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KirtiDA_Prep\Projects\myProjects\"/>
    </mc:Choice>
  </mc:AlternateContent>
  <xr:revisionPtr revIDLastSave="0" documentId="13_ncr:1_{13E817B3-31B1-4E31-AF36-517454704458}" xr6:coauthVersionLast="47" xr6:coauthVersionMax="47" xr10:uidLastSave="{00000000-0000-0000-0000-000000000000}"/>
  <bookViews>
    <workbookView xWindow="-108" yWindow="-108" windowWidth="23256" windowHeight="12456" activeTab="2" xr2:uid="{27B49DC0-E861-4ABD-9D31-682902C5530B}"/>
  </bookViews>
  <sheets>
    <sheet name="Data" sheetId="2" r:id="rId1"/>
    <sheet name="TelcoDataSet" sheetId="4" r:id="rId2"/>
    <sheet name="Dashboard" sheetId="5" r:id="rId3"/>
    <sheet name="PivoteTableSheet" sheetId="7" r:id="rId4"/>
    <sheet name="Executive Key Takeaways" sheetId="8" r:id="rId5"/>
  </sheets>
  <definedNames>
    <definedName name="Slicer_InternetService">#N/A</definedName>
    <definedName name="Slicer_PaymentMethod">#N/A</definedName>
    <definedName name="Slicer_TechSupport">#N/A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4" i="7" l="1"/>
  <c r="B34" i="7"/>
  <c r="C34" i="7"/>
  <c r="D34" i="7"/>
  <c r="N4" i="2"/>
  <c r="N2" i="2"/>
  <c r="N3"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alcChain>
</file>

<file path=xl/sharedStrings.xml><?xml version="1.0" encoding="utf-8"?>
<sst xmlns="http://schemas.openxmlformats.org/spreadsheetml/2006/main" count="90108" uniqueCount="5053">
  <si>
    <t>CustomerID</t>
  </si>
  <si>
    <t>Gender</t>
  </si>
  <si>
    <t>ContractType</t>
  </si>
  <si>
    <t>TenureMonths</t>
  </si>
  <si>
    <t>InternetService</t>
  </si>
  <si>
    <t>TechSupport</t>
  </si>
  <si>
    <t>MonthlyCharges</t>
  </si>
  <si>
    <t>TotalCharges</t>
  </si>
  <si>
    <t>Churn</t>
  </si>
  <si>
    <t>PaperlessBilling</t>
  </si>
  <si>
    <t>PaymentMethod</t>
  </si>
  <si>
    <t>7590-VHVEG</t>
  </si>
  <si>
    <t>Female</t>
  </si>
  <si>
    <t>Month-to-month</t>
  </si>
  <si>
    <t>DSL</t>
  </si>
  <si>
    <t>No</t>
  </si>
  <si>
    <t>Yes</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</si>
  <si>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</si>
  <si>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</si>
  <si>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</si>
  <si>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</si>
  <si>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</si>
  <si>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</si>
  <si>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</si>
  <si>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</si>
  <si>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</si>
  <si>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</si>
  <si>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</si>
  <si>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</si>
  <si>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</si>
  <si>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</si>
  <si>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</si>
  <si>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</si>
  <si>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</si>
  <si>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</si>
  <si>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</si>
  <si>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No internet service</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</si>
  <si>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</si>
  <si>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</si>
  <si>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</si>
  <si>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</si>
  <si>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</si>
  <si>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</si>
  <si>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</si>
  <si>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</si>
  <si>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</si>
  <si>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</si>
  <si>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</si>
  <si>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</si>
  <si>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</si>
  <si>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</si>
  <si>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</si>
  <si>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</si>
  <si>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</si>
  <si>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</si>
  <si>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</si>
  <si>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</si>
  <si>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</si>
  <si>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</si>
  <si>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</si>
  <si>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</si>
  <si>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</si>
  <si>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</si>
  <si>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</si>
  <si>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</si>
  <si>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</si>
  <si>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</si>
  <si>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</si>
  <si>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</si>
  <si>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</si>
  <si>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</si>
  <si>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</si>
  <si>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</si>
  <si>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</si>
  <si>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</si>
  <si>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</si>
  <si>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</si>
  <si>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</si>
  <si>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</si>
  <si>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</si>
  <si>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</si>
  <si>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</si>
  <si>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</si>
  <si>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</si>
  <si>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</si>
  <si>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</si>
  <si>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</si>
  <si>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</si>
  <si>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</si>
  <si>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</si>
  <si>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</si>
  <si>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</si>
  <si>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</si>
  <si>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</si>
  <si>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</si>
  <si>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</si>
  <si>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</si>
  <si>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</si>
  <si>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</si>
  <si>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</si>
  <si>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</si>
  <si>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</si>
  <si>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</si>
  <si>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</si>
  <si>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</si>
  <si>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</si>
  <si>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</si>
  <si>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</si>
  <si>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</si>
  <si>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</si>
  <si>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</si>
  <si>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</si>
  <si>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</si>
  <si>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</si>
  <si>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</si>
  <si>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</si>
  <si>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</si>
  <si>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</si>
  <si>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</si>
  <si>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</si>
  <si>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</si>
  <si>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</si>
  <si>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</si>
  <si>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</si>
  <si>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</si>
  <si>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</si>
  <si>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</si>
  <si>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</si>
  <si>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</si>
  <si>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</si>
  <si>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</si>
  <si>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</si>
  <si>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</si>
  <si>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</si>
  <si>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</si>
  <si>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</si>
  <si>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</si>
  <si>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</si>
  <si>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</si>
  <si>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</si>
  <si>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</si>
  <si>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</si>
  <si>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</si>
  <si>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</si>
  <si>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</si>
  <si>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</si>
  <si>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</si>
  <si>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</si>
  <si>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</si>
  <si>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</si>
  <si>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</si>
  <si>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</si>
  <si>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</si>
  <si>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</si>
  <si>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</si>
  <si>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</si>
  <si>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</si>
  <si>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</si>
  <si>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</si>
  <si>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</si>
  <si>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</si>
  <si>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</si>
  <si>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</si>
  <si>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</si>
  <si>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</si>
  <si>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</si>
  <si>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</si>
  <si>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</si>
  <si>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</si>
  <si>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</si>
  <si>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</si>
  <si>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</si>
  <si>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</si>
  <si>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</si>
  <si>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</si>
  <si>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</si>
  <si>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</si>
  <si>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</si>
  <si>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</si>
  <si>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</si>
  <si>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</si>
  <si>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</si>
  <si>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</si>
  <si>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</si>
  <si>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</si>
  <si>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</si>
  <si>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</si>
  <si>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</si>
  <si>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</si>
  <si>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</si>
  <si>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</si>
  <si>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</si>
  <si>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</si>
  <si>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</si>
  <si>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</si>
  <si>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</si>
  <si>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</si>
  <si>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</si>
  <si>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</si>
  <si>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</si>
  <si>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</si>
  <si>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</si>
  <si>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</si>
  <si>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</si>
  <si>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</si>
  <si>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</si>
  <si>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</si>
  <si>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</si>
  <si>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</si>
  <si>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</si>
  <si>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</si>
  <si>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</si>
  <si>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</si>
  <si>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</si>
  <si>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</si>
  <si>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</si>
  <si>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</si>
  <si>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</si>
  <si>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</si>
  <si>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</si>
  <si>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</si>
  <si>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</si>
  <si>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</si>
  <si>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</si>
  <si>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</si>
  <si>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</si>
  <si>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</si>
  <si>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</si>
  <si>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</si>
  <si>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</si>
  <si>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</si>
  <si>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</si>
  <si>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</si>
  <si>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</si>
  <si>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</si>
  <si>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</si>
  <si>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</si>
  <si>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</si>
  <si>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</si>
  <si>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</si>
  <si>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</si>
  <si>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</si>
  <si>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</si>
  <si>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</si>
  <si>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</si>
  <si>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</si>
  <si>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</si>
  <si>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</si>
  <si>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</si>
  <si>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</si>
  <si>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</si>
  <si>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</si>
  <si>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</si>
  <si>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</si>
  <si>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</si>
  <si>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</si>
  <si>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</si>
  <si>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</si>
  <si>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</si>
  <si>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</si>
  <si>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</si>
  <si>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</si>
  <si>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</si>
  <si>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</si>
  <si>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</si>
  <si>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</si>
  <si>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</si>
  <si>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</si>
  <si>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</si>
  <si>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</si>
  <si>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</si>
  <si>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</si>
  <si>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</si>
  <si>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</si>
  <si>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</si>
  <si>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</si>
  <si>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</si>
  <si>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</si>
  <si>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</si>
  <si>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</si>
  <si>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</si>
  <si>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</si>
  <si>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</si>
  <si>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</si>
  <si>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</si>
  <si>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</si>
  <si>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</si>
  <si>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</si>
  <si>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</si>
  <si>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</si>
  <si>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</si>
  <si>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</si>
  <si>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</si>
  <si>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</si>
  <si>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</si>
  <si>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</si>
  <si>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</si>
  <si>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</si>
  <si>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</si>
  <si>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</si>
  <si>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</si>
  <si>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</si>
  <si>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</si>
  <si>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</si>
  <si>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</si>
  <si>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</si>
  <si>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</si>
  <si>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</si>
  <si>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</si>
  <si>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</si>
  <si>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</si>
  <si>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</si>
  <si>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</si>
  <si>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</si>
  <si>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</si>
  <si>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</si>
  <si>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</si>
  <si>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</si>
  <si>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</si>
  <si>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</si>
  <si>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</si>
  <si>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</si>
  <si>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</si>
  <si>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</si>
  <si>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</si>
  <si>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</si>
  <si>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</si>
  <si>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</si>
  <si>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</si>
  <si>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</si>
  <si>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</si>
  <si>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</si>
  <si>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</si>
  <si>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</si>
  <si>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</si>
  <si>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</si>
  <si>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</si>
  <si>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</si>
  <si>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</si>
  <si>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</si>
  <si>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</si>
  <si>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</si>
  <si>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</si>
  <si>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</si>
  <si>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</si>
  <si>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</si>
  <si>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</si>
  <si>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</si>
  <si>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</si>
  <si>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</si>
  <si>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</si>
  <si>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</si>
  <si>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</si>
  <si>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</si>
  <si>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</si>
  <si>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</si>
  <si>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</si>
  <si>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</si>
  <si>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</si>
  <si>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</si>
  <si>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</si>
  <si>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</si>
  <si>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</si>
  <si>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</si>
  <si>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</si>
  <si>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</si>
  <si>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</si>
  <si>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</si>
  <si>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</si>
  <si>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</si>
  <si>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</si>
  <si>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</si>
  <si>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</si>
  <si>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</si>
  <si>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</si>
  <si>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</si>
  <si>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</si>
  <si>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</si>
  <si>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</si>
  <si>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</si>
  <si>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</si>
  <si>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</si>
  <si>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</si>
  <si>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</si>
  <si>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</si>
  <si>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</si>
  <si>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</si>
  <si>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</si>
  <si>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</si>
  <si>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</si>
  <si>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</si>
  <si>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</si>
  <si>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</si>
  <si>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</si>
  <si>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</si>
  <si>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</si>
  <si>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</si>
  <si>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</si>
  <si>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</si>
  <si>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</si>
  <si>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</si>
  <si>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</si>
  <si>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</si>
  <si>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</si>
  <si>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</si>
  <si>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</si>
  <si>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</si>
  <si>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</si>
  <si>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</si>
  <si>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</si>
  <si>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</si>
  <si>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</si>
  <si>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</si>
  <si>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</si>
  <si>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</si>
  <si>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</si>
  <si>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</si>
  <si>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</si>
  <si>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</si>
  <si>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</si>
  <si>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</si>
  <si>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</si>
  <si>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</si>
  <si>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</si>
  <si>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</si>
  <si>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</si>
  <si>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</si>
  <si>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</si>
  <si>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</si>
  <si>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</si>
  <si>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</si>
  <si>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</si>
  <si>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</si>
  <si>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</si>
  <si>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</si>
  <si>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</si>
  <si>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</si>
  <si>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</si>
  <si>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</si>
  <si>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</si>
  <si>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</si>
  <si>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</si>
  <si>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</si>
  <si>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</si>
  <si>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</si>
  <si>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</si>
  <si>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</si>
  <si>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</si>
  <si>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</si>
  <si>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</si>
  <si>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</si>
  <si>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</si>
  <si>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</si>
  <si>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</si>
  <si>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</si>
  <si>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</si>
  <si>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</si>
  <si>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</si>
  <si>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</si>
  <si>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</si>
  <si>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</si>
  <si>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</si>
  <si>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</si>
  <si>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</si>
  <si>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</si>
  <si>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</si>
  <si>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</si>
  <si>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</si>
  <si>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</si>
  <si>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</si>
  <si>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</si>
  <si>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</si>
  <si>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</si>
  <si>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</si>
  <si>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</si>
  <si>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</si>
  <si>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</si>
  <si>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</si>
  <si>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</si>
  <si>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</si>
  <si>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</si>
  <si>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</si>
  <si>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</si>
  <si>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</si>
  <si>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</si>
  <si>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</si>
  <si>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</si>
  <si>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</si>
  <si>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</si>
  <si>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</si>
  <si>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</si>
  <si>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</si>
  <si>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</si>
  <si>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</si>
  <si>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</si>
  <si>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</si>
  <si>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</si>
  <si>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</si>
  <si>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</si>
  <si>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</si>
  <si>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</si>
  <si>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</si>
  <si>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</si>
  <si>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</si>
  <si>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</si>
  <si>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</si>
  <si>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</si>
  <si>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</si>
  <si>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</si>
  <si>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</si>
  <si>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</si>
  <si>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</si>
  <si>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</si>
  <si>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</si>
  <si>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</si>
  <si>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</si>
  <si>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</si>
  <si>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</si>
  <si>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</si>
  <si>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</si>
  <si>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</si>
  <si>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</si>
  <si>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</si>
  <si>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</si>
  <si>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</si>
  <si>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</si>
  <si>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</si>
  <si>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</si>
  <si>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</si>
  <si>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</si>
  <si>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</si>
  <si>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</si>
  <si>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</si>
  <si>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</si>
  <si>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</si>
  <si>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</si>
  <si>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</si>
  <si>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</si>
  <si>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</si>
  <si>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</si>
  <si>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</si>
  <si>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</si>
  <si>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</si>
  <si>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</si>
  <si>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</si>
  <si>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</si>
  <si>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</si>
  <si>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</si>
  <si>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</si>
  <si>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</si>
  <si>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</si>
  <si>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</si>
  <si>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</si>
  <si>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</si>
  <si>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</si>
  <si>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</si>
  <si>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</si>
  <si>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</si>
  <si>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</si>
  <si>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</si>
  <si>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</si>
  <si>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</si>
  <si>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</si>
  <si>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</si>
  <si>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</si>
  <si>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</si>
  <si>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</si>
  <si>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</si>
  <si>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</si>
  <si>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</si>
  <si>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</si>
  <si>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</si>
  <si>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</si>
  <si>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</si>
  <si>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</si>
  <si>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</si>
  <si>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</si>
  <si>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</si>
  <si>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</si>
  <si>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</si>
  <si>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</si>
  <si>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</si>
  <si>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</si>
  <si>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</si>
  <si>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</si>
  <si>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</si>
  <si>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</si>
  <si>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</si>
  <si>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</si>
  <si>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</si>
  <si>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</si>
  <si>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</si>
  <si>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</si>
  <si>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</si>
  <si>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</si>
  <si>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</si>
  <si>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</si>
  <si>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</si>
  <si>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</si>
  <si>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</si>
  <si>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</si>
  <si>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</si>
  <si>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</si>
  <si>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</si>
  <si>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</si>
  <si>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</si>
  <si>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</si>
  <si>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</si>
  <si>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</si>
  <si>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</si>
  <si>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</si>
  <si>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</si>
  <si>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</si>
  <si>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</si>
  <si>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</si>
  <si>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</si>
  <si>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</si>
  <si>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</si>
  <si>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</si>
  <si>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</si>
  <si>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</si>
  <si>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</si>
  <si>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</si>
  <si>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</si>
  <si>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</si>
  <si>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</si>
  <si>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</si>
  <si>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</si>
  <si>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</si>
  <si>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</si>
  <si>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</si>
  <si>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</si>
  <si>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</si>
  <si>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</si>
  <si>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</si>
  <si>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</si>
  <si>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</si>
  <si>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</si>
  <si>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</si>
  <si>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</si>
  <si>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</si>
  <si>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</si>
  <si>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</si>
  <si>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</si>
  <si>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</si>
  <si>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</si>
  <si>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</si>
  <si>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</si>
  <si>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</si>
  <si>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</si>
  <si>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</si>
  <si>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</si>
  <si>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</si>
  <si>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</si>
  <si>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</si>
  <si>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</si>
  <si>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</si>
  <si>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</si>
  <si>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</si>
  <si>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</si>
  <si>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</si>
  <si>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</si>
  <si>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</si>
  <si>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</si>
  <si>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</si>
  <si>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</si>
  <si>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</si>
  <si>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</si>
  <si>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</si>
  <si>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</si>
  <si>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</si>
  <si>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</si>
  <si>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</si>
  <si>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</si>
  <si>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</si>
  <si>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</si>
  <si>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</si>
  <si>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</si>
  <si>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</si>
  <si>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</si>
  <si>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</si>
  <si>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</si>
  <si>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</si>
  <si>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</si>
  <si>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</si>
  <si>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</si>
  <si>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</si>
  <si>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</si>
  <si>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</si>
  <si>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</si>
  <si>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</si>
  <si>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</si>
  <si>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</si>
  <si>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</si>
  <si>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</si>
  <si>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</si>
  <si>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</si>
  <si>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</si>
  <si>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</si>
  <si>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</si>
  <si>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</si>
  <si>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</si>
  <si>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</si>
  <si>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</si>
  <si>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</si>
  <si>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</si>
  <si>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</si>
  <si>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</si>
  <si>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</si>
  <si>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</si>
  <si>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</si>
  <si>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</si>
  <si>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</si>
  <si>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</si>
  <si>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</si>
  <si>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</si>
  <si>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</si>
  <si>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</si>
  <si>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</si>
  <si>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</si>
  <si>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</si>
  <si>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</si>
  <si>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</si>
  <si>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</si>
  <si>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</si>
  <si>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</si>
  <si>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</si>
  <si>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</si>
  <si>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</si>
  <si>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</si>
  <si>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</si>
  <si>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</si>
  <si>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</si>
  <si>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</si>
  <si>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</si>
  <si>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</si>
  <si>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</si>
  <si>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</si>
  <si>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</si>
  <si>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</si>
  <si>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</si>
  <si>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</si>
  <si>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</si>
  <si>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</si>
  <si>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</si>
  <si>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</si>
  <si>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</si>
  <si>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</si>
  <si>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</si>
  <si>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</si>
  <si>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</si>
  <si>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</si>
  <si>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</si>
  <si>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</si>
  <si>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</si>
  <si>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</si>
  <si>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</si>
  <si>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</si>
  <si>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</si>
  <si>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</si>
  <si>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</si>
  <si>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</si>
  <si>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</si>
  <si>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</si>
  <si>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</si>
  <si>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</si>
  <si>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</si>
  <si>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</si>
  <si>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</si>
  <si>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</si>
  <si>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</si>
  <si>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</si>
  <si>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</si>
  <si>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</si>
  <si>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</si>
  <si>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</si>
  <si>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</si>
  <si>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</si>
  <si>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</si>
  <si>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</si>
  <si>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</si>
  <si>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</si>
  <si>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</si>
  <si>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</si>
  <si>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</si>
  <si>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</si>
  <si>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</si>
  <si>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</si>
  <si>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</si>
  <si>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</si>
  <si>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</si>
  <si>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</si>
  <si>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</si>
  <si>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</si>
  <si>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</si>
  <si>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</si>
  <si>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</si>
  <si>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</si>
  <si>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</si>
  <si>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</si>
  <si>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</si>
  <si>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</si>
  <si>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</si>
  <si>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</si>
  <si>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</si>
  <si>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</si>
  <si>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</si>
  <si>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</si>
  <si>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</si>
  <si>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</si>
  <si>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</si>
  <si>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</si>
  <si>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</si>
  <si>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</si>
  <si>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</si>
  <si>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</si>
  <si>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</si>
  <si>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</si>
  <si>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</si>
  <si>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</si>
  <si>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</si>
  <si>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</si>
  <si>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</si>
  <si>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</si>
  <si>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</si>
  <si>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</si>
  <si>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</si>
  <si>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</si>
  <si>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</si>
  <si>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</si>
  <si>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</si>
  <si>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</si>
  <si>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</si>
  <si>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</si>
  <si>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</si>
  <si>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</si>
  <si>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</si>
  <si>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</si>
  <si>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</si>
  <si>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</si>
  <si>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</si>
  <si>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</si>
  <si>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</si>
  <si>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</si>
  <si>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</si>
  <si>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</si>
  <si>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</si>
  <si>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</si>
  <si>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</si>
  <si>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</si>
  <si>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</si>
  <si>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</si>
  <si>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</si>
  <si>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</si>
  <si>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</si>
  <si>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</si>
  <si>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</si>
  <si>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</si>
  <si>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</si>
  <si>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</si>
  <si>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</si>
  <si>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</si>
  <si>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</si>
  <si>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</si>
  <si>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</si>
  <si>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</si>
  <si>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</si>
  <si>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</si>
  <si>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</si>
  <si>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</si>
  <si>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</si>
  <si>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</si>
  <si>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</si>
  <si>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</si>
  <si>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</si>
  <si>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</si>
  <si>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</si>
  <si>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</si>
  <si>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</si>
  <si>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</si>
  <si>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</si>
  <si>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</si>
  <si>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</si>
  <si>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</si>
  <si>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</si>
  <si>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</si>
  <si>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</si>
  <si>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</si>
  <si>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</si>
  <si>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</si>
  <si>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</si>
  <si>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</si>
  <si>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</si>
  <si>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</si>
  <si>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</si>
  <si>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</si>
  <si>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</si>
  <si>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</si>
  <si>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</si>
  <si>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</si>
  <si>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</si>
  <si>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</si>
  <si>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</si>
  <si>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</si>
  <si>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</si>
  <si>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</si>
  <si>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</si>
  <si>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</si>
  <si>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</si>
  <si>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</si>
  <si>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</si>
  <si>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</si>
  <si>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</si>
  <si>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</si>
  <si>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</si>
  <si>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</si>
  <si>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</si>
  <si>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</si>
  <si>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</si>
  <si>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</si>
  <si>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</si>
  <si>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</si>
  <si>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</si>
  <si>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</si>
  <si>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</si>
  <si>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</si>
  <si>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</si>
  <si>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</si>
  <si>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</si>
  <si>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</si>
  <si>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</si>
  <si>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</si>
  <si>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</si>
  <si>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</si>
  <si>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</si>
  <si>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</si>
  <si>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</si>
  <si>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</si>
  <si>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</si>
  <si>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</si>
  <si>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</si>
  <si>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</si>
  <si>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</si>
  <si>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</si>
  <si>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</si>
  <si>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</si>
  <si>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</si>
  <si>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</si>
  <si>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</si>
  <si>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</si>
  <si>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</si>
  <si>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</si>
  <si>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</si>
  <si>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</si>
  <si>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</si>
  <si>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</si>
  <si>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</si>
  <si>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</si>
  <si>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</si>
  <si>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</si>
  <si>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</si>
  <si>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</si>
  <si>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</si>
  <si>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</si>
  <si>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</si>
  <si>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</si>
  <si>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</si>
  <si>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</si>
  <si>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</si>
  <si>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</si>
  <si>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</si>
  <si>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</si>
  <si>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</si>
  <si>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</si>
  <si>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</si>
  <si>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</si>
  <si>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</si>
  <si>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</si>
  <si>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</si>
  <si>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</si>
  <si>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</si>
  <si>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</si>
  <si>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</si>
  <si>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</si>
  <si>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</si>
  <si>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</si>
  <si>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</si>
  <si>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</si>
  <si>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</si>
  <si>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</si>
  <si>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</si>
  <si>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</si>
  <si>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</si>
  <si>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</si>
  <si>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</si>
  <si>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</si>
  <si>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</si>
  <si>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</si>
  <si>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</si>
  <si>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</si>
  <si>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</si>
  <si>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</si>
  <si>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</si>
  <si>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</si>
  <si>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</si>
  <si>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</si>
  <si>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</si>
  <si>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</si>
  <si>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</si>
  <si>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</si>
  <si>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</si>
  <si>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</si>
  <si>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</si>
  <si>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</si>
  <si>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</si>
  <si>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</si>
  <si>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</si>
  <si>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</si>
  <si>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</si>
  <si>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</si>
  <si>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</si>
  <si>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</si>
  <si>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</si>
  <si>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</si>
  <si>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</si>
  <si>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</si>
  <si>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</si>
  <si>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</si>
  <si>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</si>
  <si>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</si>
  <si>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</si>
  <si>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</si>
  <si>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</si>
  <si>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</si>
  <si>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</si>
  <si>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</si>
  <si>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</si>
  <si>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</si>
  <si>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</si>
  <si>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</si>
  <si>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</si>
  <si>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</si>
  <si>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</si>
  <si>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</si>
  <si>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</si>
  <si>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</si>
  <si>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</si>
  <si>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</si>
  <si>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</si>
  <si>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</si>
  <si>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</si>
  <si>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</si>
  <si>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</si>
  <si>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</si>
  <si>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</si>
  <si>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</si>
  <si>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</si>
  <si>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</si>
  <si>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</si>
  <si>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</si>
  <si>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</si>
  <si>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</si>
  <si>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</si>
  <si>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</si>
  <si>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</si>
  <si>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</si>
  <si>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</si>
  <si>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</si>
  <si>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</si>
  <si>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</si>
  <si>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</si>
  <si>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</si>
  <si>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</si>
  <si>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</si>
  <si>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</si>
  <si>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</si>
  <si>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</si>
  <si>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</si>
  <si>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</si>
  <si>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</si>
  <si>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</si>
  <si>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</si>
  <si>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</si>
  <si>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</si>
  <si>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</si>
  <si>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</si>
  <si>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</si>
  <si>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</si>
  <si>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</si>
  <si>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</si>
  <si>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</si>
  <si>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</si>
  <si>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</si>
  <si>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</si>
  <si>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</si>
  <si>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</si>
  <si>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</si>
  <si>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</si>
  <si>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</si>
  <si>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</si>
  <si>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</si>
  <si>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</si>
  <si>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</si>
  <si>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</si>
  <si>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</si>
  <si>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</si>
  <si>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</si>
  <si>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</si>
  <si>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</si>
  <si>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</si>
  <si>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</si>
  <si>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</si>
  <si>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</si>
  <si>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</si>
  <si>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</si>
  <si>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</si>
  <si>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</si>
  <si>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</si>
  <si>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</si>
  <si>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</si>
  <si>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</si>
  <si>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</si>
  <si>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</si>
  <si>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</si>
  <si>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</si>
  <si>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</si>
  <si>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</si>
  <si>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</si>
  <si>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</si>
  <si>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</si>
  <si>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</si>
  <si>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</si>
  <si>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</si>
  <si>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</si>
  <si>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</si>
  <si>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</si>
  <si>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</si>
  <si>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</si>
  <si>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</si>
  <si>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</si>
  <si>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</si>
  <si>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</si>
  <si>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</si>
  <si>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</si>
  <si>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</si>
  <si>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</si>
  <si>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</si>
  <si>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</si>
  <si>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</si>
  <si>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</si>
  <si>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</si>
  <si>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</si>
  <si>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</si>
  <si>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</si>
  <si>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</si>
  <si>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</si>
  <si>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</si>
  <si>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</si>
  <si>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</si>
  <si>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</si>
  <si>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</si>
  <si>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</si>
  <si>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</si>
  <si>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</si>
  <si>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</si>
  <si>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</si>
  <si>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</si>
  <si>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</si>
  <si>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</si>
  <si>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</si>
  <si>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</si>
  <si>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</si>
  <si>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</si>
  <si>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</si>
  <si>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</si>
  <si>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</si>
  <si>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</si>
  <si>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</si>
  <si>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</si>
  <si>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</si>
  <si>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</si>
  <si>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</si>
  <si>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</si>
  <si>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</si>
  <si>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</si>
  <si>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</si>
  <si>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</si>
  <si>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</si>
  <si>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</si>
  <si>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</si>
  <si>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</si>
  <si>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</si>
  <si>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</si>
  <si>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</si>
  <si>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</si>
  <si>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</si>
  <si>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</si>
  <si>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</si>
  <si>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</si>
  <si>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</si>
  <si>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</si>
  <si>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</si>
  <si>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</si>
  <si>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</si>
  <si>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</si>
  <si>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</si>
  <si>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</si>
  <si>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</si>
  <si>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</si>
  <si>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</si>
  <si>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</si>
  <si>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</si>
  <si>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</si>
  <si>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</si>
  <si>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</si>
  <si>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</si>
  <si>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</si>
  <si>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</si>
  <si>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</si>
  <si>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</si>
  <si>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</si>
  <si>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</si>
  <si>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</si>
  <si>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</si>
  <si>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</si>
  <si>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</si>
  <si>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</si>
  <si>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</si>
  <si>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</si>
  <si>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</si>
  <si>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</si>
  <si>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</si>
  <si>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</si>
  <si>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</si>
  <si>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</si>
  <si>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</si>
  <si>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</si>
  <si>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</si>
  <si>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</si>
  <si>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</si>
  <si>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</si>
  <si>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</si>
  <si>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</si>
  <si>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</si>
  <si>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</si>
  <si>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</si>
  <si>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</si>
  <si>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</si>
  <si>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</si>
  <si>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</si>
  <si>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</si>
  <si>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</si>
  <si>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</si>
  <si>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</si>
  <si>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</si>
  <si>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</si>
  <si>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</si>
  <si>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</si>
  <si>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</si>
  <si>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</si>
  <si>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</si>
  <si>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</si>
  <si>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</si>
  <si>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</si>
  <si>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</si>
  <si>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</si>
  <si>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</si>
  <si>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</si>
  <si>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</si>
  <si>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</si>
  <si>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</si>
  <si>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</si>
  <si>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</si>
  <si>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</si>
  <si>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</si>
  <si>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</si>
  <si>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</si>
  <si>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</si>
  <si>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</si>
  <si>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</si>
  <si>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</si>
  <si>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</si>
  <si>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</si>
  <si>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</si>
  <si>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</si>
  <si>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</si>
  <si>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</si>
  <si>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</si>
  <si>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</si>
  <si>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</si>
  <si>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</si>
  <si>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</si>
  <si>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</si>
  <si>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</si>
  <si>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</si>
  <si>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</si>
  <si>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</si>
  <si>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</si>
  <si>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</si>
  <si>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</si>
  <si>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</si>
  <si>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</si>
  <si>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</si>
  <si>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</si>
  <si>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</si>
  <si>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</si>
  <si>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</si>
  <si>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</si>
  <si>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</si>
  <si>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</si>
  <si>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</si>
  <si>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</si>
  <si>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</si>
  <si>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</si>
  <si>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</si>
  <si>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</si>
  <si>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</si>
  <si>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</si>
  <si>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</si>
  <si>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</si>
  <si>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</si>
  <si>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</si>
  <si>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</si>
  <si>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</si>
  <si>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</si>
  <si>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</si>
  <si>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</si>
  <si>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</si>
  <si>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</si>
  <si>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</si>
  <si>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</si>
  <si>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</si>
  <si>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</si>
  <si>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</si>
  <si>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</si>
  <si>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</si>
  <si>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</si>
  <si>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</si>
  <si>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</si>
  <si>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</si>
  <si>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</si>
  <si>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</si>
  <si>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</si>
  <si>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</si>
  <si>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</si>
  <si>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</si>
  <si>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</si>
  <si>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</si>
  <si>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</si>
  <si>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</si>
  <si>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</si>
  <si>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</si>
  <si>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</si>
  <si>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</si>
  <si>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</si>
  <si>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</si>
  <si>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</si>
  <si>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</si>
  <si>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</si>
  <si>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</si>
  <si>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</si>
  <si>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</si>
  <si>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</si>
  <si>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</si>
  <si>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</si>
  <si>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</si>
  <si>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</si>
  <si>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</si>
  <si>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</si>
  <si>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</si>
  <si>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</si>
  <si>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</si>
  <si>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</si>
  <si>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</si>
  <si>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</si>
  <si>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</si>
  <si>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</si>
  <si>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</si>
  <si>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</si>
  <si>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</si>
  <si>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</si>
  <si>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</si>
  <si>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</si>
  <si>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</si>
  <si>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</si>
  <si>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</si>
  <si>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</si>
  <si>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</si>
  <si>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</si>
  <si>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</si>
  <si>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</si>
  <si>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</si>
  <si>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</si>
  <si>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</si>
  <si>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</si>
  <si>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</si>
  <si>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</si>
  <si>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</si>
  <si>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</si>
  <si>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</si>
  <si>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</si>
  <si>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</si>
  <si>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</si>
  <si>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</si>
  <si>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</si>
  <si>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</si>
  <si>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</si>
  <si>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</si>
  <si>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</si>
  <si>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</si>
  <si>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</si>
  <si>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</si>
  <si>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</si>
  <si>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</si>
  <si>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</si>
  <si>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</si>
  <si>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</si>
  <si>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</si>
  <si>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</si>
  <si>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</si>
  <si>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</si>
  <si>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</si>
  <si>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</si>
  <si>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</si>
  <si>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</si>
  <si>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</si>
  <si>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</si>
  <si>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</si>
  <si>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</si>
  <si>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</si>
  <si>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</si>
  <si>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</si>
  <si>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</si>
  <si>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</si>
  <si>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</si>
  <si>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</si>
  <si>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</si>
  <si>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</si>
  <si>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</si>
  <si>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</si>
  <si>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</si>
  <si>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</si>
  <si>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</si>
  <si>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</si>
  <si>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</si>
  <si>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</si>
  <si>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</si>
  <si>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</si>
  <si>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</si>
  <si>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</si>
  <si>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</si>
  <si>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</si>
  <si>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</si>
  <si>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</si>
  <si>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</si>
  <si>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</si>
  <si>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</si>
  <si>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</si>
  <si>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</si>
  <si>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</si>
  <si>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</si>
  <si>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</si>
  <si>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</si>
  <si>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</si>
  <si>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</si>
  <si>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</si>
  <si>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</si>
  <si>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</si>
  <si>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</si>
  <si>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</si>
  <si>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</si>
  <si>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</si>
  <si>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</si>
  <si>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</si>
  <si>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</si>
  <si>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</si>
  <si>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</si>
  <si>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</si>
  <si>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</si>
  <si>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</si>
  <si>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</si>
  <si>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</si>
  <si>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</si>
  <si>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</si>
  <si>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</si>
  <si>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</si>
  <si>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</si>
  <si>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</si>
  <si>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</si>
  <si>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</si>
  <si>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</si>
  <si>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</si>
  <si>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</si>
  <si>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</si>
  <si>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</si>
  <si>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</si>
  <si>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</si>
  <si>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</si>
  <si>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</si>
  <si>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</si>
  <si>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</si>
  <si>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</si>
  <si>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</si>
  <si>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</si>
  <si>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</si>
  <si>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</si>
  <si>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</si>
  <si>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</si>
  <si>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</si>
  <si>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</si>
  <si>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</si>
  <si>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</si>
  <si>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</si>
  <si>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</si>
  <si>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</si>
  <si>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</si>
  <si>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</si>
  <si>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</si>
  <si>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</si>
  <si>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</si>
  <si>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</si>
  <si>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</si>
  <si>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</si>
  <si>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</si>
  <si>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</si>
  <si>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</si>
  <si>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</si>
  <si>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</si>
  <si>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</si>
  <si>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</si>
  <si>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</si>
  <si>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</si>
  <si>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</si>
  <si>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</si>
  <si>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</si>
  <si>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</si>
  <si>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</si>
  <si>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</si>
  <si>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</si>
  <si>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</si>
  <si>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</si>
  <si>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</si>
  <si>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</si>
  <si>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</si>
  <si>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</si>
  <si>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</si>
  <si>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</si>
  <si>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</si>
  <si>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</si>
  <si>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</si>
  <si>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</si>
  <si>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</si>
  <si>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</si>
  <si>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</si>
  <si>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</si>
  <si>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</si>
  <si>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</si>
  <si>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</si>
  <si>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</si>
  <si>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</si>
  <si>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</si>
  <si>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</si>
  <si>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</si>
  <si>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</si>
  <si>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</si>
  <si>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</si>
  <si>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</si>
  <si>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</si>
  <si>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</si>
  <si>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</si>
  <si>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</si>
  <si>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</si>
  <si>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</si>
  <si>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</si>
  <si>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</si>
  <si>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</si>
  <si>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</si>
  <si>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</si>
  <si>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</si>
  <si>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</si>
  <si>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</si>
  <si>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</si>
  <si>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</si>
  <si>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</si>
  <si>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</si>
  <si>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</si>
  <si>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</si>
  <si>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</si>
  <si>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</si>
  <si>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</si>
  <si>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</si>
  <si>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</si>
  <si>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</si>
  <si>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</si>
  <si>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</si>
  <si>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</si>
  <si>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</si>
  <si>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</si>
  <si>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</si>
  <si>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</si>
  <si>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</si>
  <si>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</si>
  <si>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</si>
  <si>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</si>
  <si>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</si>
  <si>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</si>
  <si>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</si>
  <si>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</si>
  <si>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</si>
  <si>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</si>
  <si>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</si>
  <si>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</si>
  <si>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</si>
  <si>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</si>
  <si>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</si>
  <si>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</si>
  <si>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</si>
  <si>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</si>
  <si>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</si>
  <si>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</si>
  <si>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</si>
  <si>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</si>
  <si>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</si>
  <si>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</si>
  <si>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</si>
  <si>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</si>
  <si>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</si>
  <si>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</si>
  <si>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</si>
  <si>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</si>
  <si>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</si>
  <si>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</si>
  <si>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</si>
  <si>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</si>
  <si>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</si>
  <si>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</si>
  <si>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</si>
  <si>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</si>
  <si>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</si>
  <si>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</si>
  <si>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</si>
  <si>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</si>
  <si>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</si>
  <si>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</si>
  <si>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</si>
  <si>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</si>
  <si>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</si>
  <si>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</si>
  <si>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</si>
  <si>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</si>
  <si>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</si>
  <si>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</si>
  <si>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</si>
  <si>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</si>
  <si>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</si>
  <si>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</si>
  <si>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</si>
  <si>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</si>
  <si>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</si>
  <si>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</si>
  <si>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</si>
  <si>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</si>
  <si>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</si>
  <si>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</si>
  <si>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</si>
  <si>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</si>
  <si>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</si>
  <si>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</si>
  <si>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</si>
  <si>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</si>
  <si>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</si>
  <si>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</si>
  <si>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</si>
  <si>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</si>
  <si>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</si>
  <si>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</si>
  <si>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</si>
  <si>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</si>
  <si>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</si>
  <si>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</si>
  <si>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</si>
  <si>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</si>
  <si>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</si>
  <si>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</si>
  <si>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</si>
  <si>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</si>
  <si>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</si>
  <si>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</si>
  <si>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</si>
  <si>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</si>
  <si>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</si>
  <si>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</si>
  <si>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</si>
  <si>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</si>
  <si>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</si>
  <si>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</si>
  <si>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</si>
  <si>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</si>
  <si>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</si>
  <si>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</si>
  <si>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</si>
  <si>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</si>
  <si>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</si>
  <si>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</si>
  <si>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</si>
  <si>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</si>
  <si>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</si>
  <si>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</si>
  <si>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</si>
  <si>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</si>
  <si>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</si>
  <si>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</si>
  <si>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</si>
  <si>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</si>
  <si>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</si>
  <si>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</si>
  <si>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</si>
  <si>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</si>
  <si>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</si>
  <si>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</si>
  <si>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</si>
  <si>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</si>
  <si>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</si>
  <si>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</si>
  <si>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</si>
  <si>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</si>
  <si>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</si>
  <si>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</si>
  <si>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</si>
  <si>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</si>
  <si>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</si>
  <si>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</si>
  <si>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</si>
  <si>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</si>
  <si>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</si>
  <si>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</si>
  <si>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</si>
  <si>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</si>
  <si>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</si>
  <si>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</si>
  <si>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</si>
  <si>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</si>
  <si>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</si>
  <si>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</si>
  <si>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</si>
  <si>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</si>
  <si>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</si>
  <si>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</si>
  <si>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</si>
  <si>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</si>
  <si>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</si>
  <si>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</si>
  <si>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</si>
  <si>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</si>
  <si>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</si>
  <si>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</si>
  <si>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</si>
  <si>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</si>
  <si>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</si>
  <si>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</si>
  <si>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</si>
  <si>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</si>
  <si>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</si>
  <si>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</si>
  <si>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</si>
  <si>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</si>
  <si>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</si>
  <si>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</si>
  <si>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</si>
  <si>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</si>
  <si>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</si>
  <si>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</si>
  <si>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</si>
  <si>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</si>
  <si>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</si>
  <si>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</si>
  <si>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</si>
  <si>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</si>
  <si>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</si>
  <si>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</si>
  <si>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</si>
  <si>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</si>
  <si>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</si>
  <si>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</si>
  <si>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</si>
  <si>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</si>
  <si>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</si>
  <si>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</si>
  <si>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</si>
  <si>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</si>
  <si>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</si>
  <si>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</si>
  <si>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</si>
  <si>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</si>
  <si>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</si>
  <si>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</si>
  <si>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</si>
  <si>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</si>
  <si>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</si>
  <si>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</si>
  <si>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</si>
  <si>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</si>
  <si>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</si>
  <si>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</si>
  <si>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</si>
  <si>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</si>
  <si>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</si>
  <si>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</si>
  <si>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</si>
  <si>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</si>
  <si>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</si>
  <si>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</si>
  <si>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</si>
  <si>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</si>
  <si>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</si>
  <si>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</si>
  <si>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</si>
  <si>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</si>
  <si>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</si>
  <si>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</si>
  <si>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</si>
  <si>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</si>
  <si>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</si>
  <si>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</si>
  <si>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</si>
  <si>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</si>
  <si>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</si>
  <si>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</si>
  <si>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</si>
  <si>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</si>
  <si>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</si>
  <si>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</si>
  <si>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</si>
  <si>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</si>
  <si>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</si>
  <si>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</si>
  <si>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</si>
  <si>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</si>
  <si>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</si>
  <si>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</si>
  <si>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</si>
  <si>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</si>
  <si>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</si>
  <si>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</si>
  <si>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</si>
  <si>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</si>
  <si>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</si>
  <si>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</si>
  <si>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</si>
  <si>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</si>
  <si>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</si>
  <si>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</si>
  <si>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</si>
  <si>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</si>
  <si>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</si>
  <si>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</si>
  <si>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</si>
  <si>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</si>
  <si>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</si>
  <si>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</si>
  <si>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</si>
  <si>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</si>
  <si>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</si>
  <si>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</si>
  <si>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</si>
  <si>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</si>
  <si>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</si>
  <si>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</si>
  <si>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</si>
  <si>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</si>
  <si>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</si>
  <si>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</si>
  <si>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</si>
  <si>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</si>
  <si>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</si>
  <si>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</si>
  <si>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</si>
  <si>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</si>
  <si>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</si>
  <si>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</si>
  <si>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</si>
  <si>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</si>
  <si>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</si>
  <si>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</si>
  <si>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</si>
  <si>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</si>
  <si>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</si>
  <si>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</si>
  <si>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</si>
  <si>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</si>
  <si>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</si>
  <si>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</si>
  <si>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</si>
  <si>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</si>
  <si>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</si>
  <si>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</si>
  <si>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</si>
  <si>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</si>
  <si>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</si>
  <si>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</si>
  <si>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</si>
  <si>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</si>
  <si>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</si>
  <si>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</si>
  <si>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</si>
  <si>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</si>
  <si>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</si>
  <si>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</si>
  <si>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</si>
  <si>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</si>
  <si>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</si>
  <si>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</si>
  <si>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</si>
  <si>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</si>
  <si>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</si>
  <si>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</si>
  <si>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</si>
  <si>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</si>
  <si>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</si>
  <si>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</si>
  <si>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</si>
  <si>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</si>
  <si>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</si>
  <si>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</si>
  <si>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</si>
  <si>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</si>
  <si>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</si>
  <si>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</si>
  <si>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</si>
  <si>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</si>
  <si>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</si>
  <si>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</si>
  <si>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</si>
  <si>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</si>
  <si>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</si>
  <si>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</si>
  <si>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</si>
  <si>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</si>
  <si>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</si>
  <si>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</si>
  <si>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</si>
  <si>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</si>
  <si>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</si>
  <si>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</si>
  <si>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</si>
  <si>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</si>
  <si>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</si>
  <si>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</si>
  <si>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</si>
  <si>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</si>
  <si>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</si>
  <si>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</si>
  <si>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</si>
  <si>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</si>
  <si>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</si>
  <si>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</si>
  <si>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</si>
  <si>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</si>
  <si>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</si>
  <si>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</si>
  <si>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</si>
  <si>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</si>
  <si>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</si>
  <si>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</si>
  <si>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</si>
  <si>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</si>
  <si>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</si>
  <si>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</si>
  <si>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</si>
  <si>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</si>
  <si>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</si>
  <si>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</si>
  <si>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</si>
  <si>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</si>
  <si>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</si>
  <si>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</si>
  <si>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</si>
  <si>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</si>
  <si>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</si>
  <si>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</si>
  <si>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</si>
  <si>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</si>
  <si>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</si>
  <si>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</si>
  <si>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</si>
  <si>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</si>
  <si>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</si>
  <si>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</si>
  <si>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</si>
  <si>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</si>
  <si>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</si>
  <si>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</si>
  <si>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</si>
  <si>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</si>
  <si>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</si>
  <si>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</si>
  <si>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</si>
  <si>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</si>
  <si>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</si>
  <si>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</si>
  <si>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</si>
  <si>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</si>
  <si>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</si>
  <si>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</si>
  <si>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</si>
  <si>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</si>
  <si>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</si>
  <si>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</si>
  <si>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</si>
  <si>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</si>
  <si>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</si>
  <si>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</si>
  <si>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</si>
  <si>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</si>
  <si>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</si>
  <si>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</si>
  <si>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</si>
  <si>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</si>
  <si>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</si>
  <si>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</si>
  <si>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</si>
  <si>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</si>
  <si>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</si>
  <si>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</si>
  <si>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</si>
  <si>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</si>
  <si>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</si>
  <si>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</si>
  <si>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</si>
  <si>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</si>
  <si>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</si>
  <si>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</si>
  <si>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</si>
  <si>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</si>
  <si>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</si>
  <si>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</si>
  <si>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</si>
  <si>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</si>
  <si>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</si>
  <si>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</si>
  <si>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</si>
  <si>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</si>
  <si>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</si>
  <si>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</si>
  <si>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</si>
  <si>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</si>
  <si>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</si>
  <si>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</si>
  <si>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</si>
  <si>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</si>
  <si>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</si>
  <si>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</si>
  <si>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</si>
  <si>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</si>
  <si>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</si>
  <si>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</si>
  <si>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</si>
  <si>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</si>
  <si>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</si>
  <si>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</si>
  <si>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</si>
  <si>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</si>
  <si>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</si>
  <si>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</si>
  <si>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</si>
  <si>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</si>
  <si>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</si>
  <si>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</si>
  <si>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</si>
  <si>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</si>
  <si>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</si>
  <si>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</si>
  <si>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</si>
  <si>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</si>
  <si>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</si>
  <si>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</si>
  <si>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</si>
  <si>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</si>
  <si>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</si>
  <si>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</si>
  <si>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</si>
  <si>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</si>
  <si>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</si>
  <si>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</si>
  <si>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</si>
  <si>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</si>
  <si>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</si>
  <si>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</si>
  <si>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</si>
  <si>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</si>
  <si>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</si>
  <si>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</si>
  <si>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</si>
  <si>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</si>
  <si>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</si>
  <si>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</si>
  <si>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</si>
  <si>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</si>
  <si>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</si>
  <si>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</si>
  <si>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</si>
  <si>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</si>
  <si>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</si>
  <si>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</si>
  <si>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</si>
  <si>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</si>
  <si>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</si>
  <si>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</si>
  <si>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</si>
  <si>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</si>
  <si>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</si>
  <si>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</si>
  <si>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</si>
  <si>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</si>
  <si>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</si>
  <si>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</si>
  <si>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</si>
  <si>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</si>
  <si>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</si>
  <si>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</si>
  <si>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</si>
  <si>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</si>
  <si>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</si>
  <si>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</si>
  <si>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</si>
  <si>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</si>
  <si>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</si>
  <si>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</si>
  <si>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</si>
  <si>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</si>
  <si>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</si>
  <si>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</si>
  <si>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</si>
  <si>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</si>
  <si>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</si>
  <si>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</si>
  <si>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</si>
  <si>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</si>
  <si>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</si>
  <si>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</si>
  <si>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</si>
  <si>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</si>
  <si>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</si>
  <si>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</si>
  <si>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</si>
  <si>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</si>
  <si>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</si>
  <si>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</si>
  <si>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</si>
  <si>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</si>
  <si>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</si>
  <si>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</si>
  <si>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</si>
  <si>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</si>
  <si>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</si>
  <si>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</si>
  <si>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</si>
  <si>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</si>
  <si>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</si>
  <si>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</si>
  <si>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</si>
  <si>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</si>
  <si>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</si>
  <si>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</si>
  <si>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</si>
  <si>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</si>
  <si>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</si>
  <si>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</si>
  <si>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</si>
  <si>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</si>
  <si>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</si>
  <si>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</si>
  <si>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</si>
  <si>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</si>
  <si>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</si>
  <si>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</si>
  <si>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</si>
  <si>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</si>
  <si>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</si>
  <si>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</si>
  <si>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</si>
  <si>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</si>
  <si>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</si>
  <si>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</si>
  <si>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</si>
  <si>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</si>
  <si>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</si>
  <si>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</si>
  <si>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</si>
  <si>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</si>
  <si>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</si>
  <si>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</si>
  <si>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</si>
  <si>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</si>
  <si>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</si>
  <si>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</si>
  <si>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</si>
  <si>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</si>
  <si>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</si>
  <si>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</si>
  <si>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</si>
  <si>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</si>
  <si>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</si>
  <si>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</si>
  <si>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</si>
  <si>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</si>
  <si>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</si>
  <si>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</si>
  <si>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</si>
  <si>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</si>
  <si>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</si>
  <si>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</si>
  <si>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</si>
  <si>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</si>
  <si>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</si>
  <si>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</si>
  <si>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</si>
  <si>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</si>
  <si>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</si>
  <si>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</si>
  <si>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</si>
  <si>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</si>
  <si>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</si>
  <si>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</si>
  <si>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</si>
  <si>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</si>
  <si>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</si>
  <si>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</si>
  <si>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</si>
  <si>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</si>
  <si>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</si>
  <si>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</si>
  <si>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</si>
  <si>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</si>
  <si>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</si>
  <si>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</si>
  <si>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</si>
  <si>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</si>
  <si>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</si>
  <si>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</si>
  <si>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</si>
  <si>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</si>
  <si>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</si>
  <si>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</si>
  <si>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</si>
  <si>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</si>
  <si>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</si>
  <si>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</si>
  <si>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</si>
  <si>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</si>
  <si>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</si>
  <si>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</si>
  <si>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</si>
  <si>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</si>
  <si>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</si>
  <si>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</si>
  <si>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</si>
  <si>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</si>
  <si>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</si>
  <si>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</si>
  <si>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</si>
  <si>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</si>
  <si>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</si>
  <si>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</si>
  <si>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</si>
  <si>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</si>
  <si>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</si>
  <si>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</si>
  <si>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</si>
  <si>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</si>
  <si>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</si>
  <si>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</si>
  <si>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</si>
  <si>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</si>
  <si>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</si>
  <si>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</si>
  <si>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</si>
  <si>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</si>
  <si>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</si>
  <si>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</si>
  <si>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</si>
  <si>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</si>
  <si>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</si>
  <si>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</si>
  <si>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</si>
  <si>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</si>
  <si>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</si>
  <si>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</si>
  <si>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</si>
  <si>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</si>
  <si>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</si>
  <si>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</si>
  <si>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</si>
  <si>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</si>
  <si>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</si>
  <si>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</si>
  <si>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</si>
  <si>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</si>
  <si>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</si>
  <si>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</si>
  <si>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</si>
  <si>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</si>
  <si>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</si>
  <si>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</si>
  <si>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</si>
  <si>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</si>
  <si>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</si>
  <si>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</si>
  <si>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</si>
  <si>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</si>
  <si>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</si>
  <si>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</si>
  <si>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</si>
  <si>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</si>
  <si>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</si>
  <si>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</si>
  <si>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</si>
  <si>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</si>
  <si>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</si>
  <si>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</si>
  <si>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</si>
  <si>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</si>
  <si>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</si>
  <si>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</si>
  <si>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</si>
  <si>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</si>
  <si>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</si>
  <si>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</si>
  <si>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</si>
  <si>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</si>
  <si>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</si>
  <si>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</si>
  <si>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</si>
  <si>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</si>
  <si>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</si>
  <si>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</si>
  <si>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</si>
  <si>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</si>
  <si>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</si>
  <si>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</si>
  <si>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</si>
  <si>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</si>
  <si>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</si>
  <si>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</si>
  <si>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</si>
  <si>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</si>
  <si>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</si>
  <si>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</si>
  <si>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</si>
  <si>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</si>
  <si>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</si>
  <si>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</si>
  <si>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</si>
  <si>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</si>
  <si>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</si>
  <si>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</si>
  <si>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</si>
  <si>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</si>
  <si>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</si>
  <si>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</si>
  <si>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</si>
  <si>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</si>
  <si>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</si>
  <si>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</si>
  <si>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</si>
  <si>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</si>
  <si>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</si>
  <si>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</si>
  <si>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</si>
  <si>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</si>
  <si>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</si>
  <si>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</si>
  <si>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</si>
  <si>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</si>
  <si>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</si>
  <si>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</si>
  <si>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</si>
  <si>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</si>
  <si>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</si>
  <si>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</si>
  <si>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</si>
  <si>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</si>
  <si>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</si>
  <si>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</si>
  <si>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</si>
  <si>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</si>
  <si>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</si>
  <si>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</si>
  <si>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</si>
  <si>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</si>
  <si>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</si>
  <si>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</si>
  <si>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</si>
  <si>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</si>
  <si>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</si>
  <si>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</si>
  <si>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</si>
  <si>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</si>
  <si>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</si>
  <si>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</si>
  <si>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</si>
  <si>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</si>
  <si>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</si>
  <si>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</si>
  <si>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</si>
  <si>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</si>
  <si>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</si>
  <si>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</si>
  <si>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</si>
  <si>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</si>
  <si>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</si>
  <si>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</si>
  <si>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</si>
  <si>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</si>
  <si>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</si>
  <si>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</si>
  <si>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</si>
  <si>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</si>
  <si>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</si>
  <si>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</si>
  <si>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</si>
  <si>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</si>
  <si>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</si>
  <si>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</si>
  <si>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</si>
  <si>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</si>
  <si>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</si>
  <si>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</si>
  <si>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</si>
  <si>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</si>
  <si>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</si>
  <si>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</si>
  <si>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</si>
  <si>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</si>
  <si>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</si>
  <si>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</si>
  <si>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</si>
  <si>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</si>
  <si>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</si>
  <si>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</si>
  <si>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</si>
  <si>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</si>
  <si>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</si>
  <si>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</si>
  <si>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</si>
  <si>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</si>
  <si>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</si>
  <si>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</si>
  <si>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</si>
  <si>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</si>
  <si>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</si>
  <si>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</si>
  <si>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</si>
  <si>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</si>
  <si>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</si>
  <si>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</si>
  <si>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</si>
  <si>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</si>
  <si>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</si>
  <si>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</si>
  <si>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</si>
  <si>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</si>
  <si>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</si>
  <si>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</si>
  <si>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</si>
  <si>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</si>
  <si>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</si>
  <si>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</si>
  <si>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</si>
  <si>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</si>
  <si>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</si>
  <si>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</si>
  <si>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</si>
  <si>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</si>
  <si>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</si>
  <si>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</si>
  <si>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</si>
  <si>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</si>
  <si>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</si>
  <si>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</si>
  <si>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</si>
  <si>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</si>
  <si>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</si>
  <si>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</si>
  <si>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</si>
  <si>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</si>
  <si>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</si>
  <si>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</si>
  <si>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</si>
  <si>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</si>
  <si>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</si>
  <si>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</si>
  <si>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</si>
  <si>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</si>
  <si>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</si>
  <si>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</si>
  <si>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</si>
  <si>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</si>
  <si>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</si>
  <si>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</si>
  <si>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</si>
  <si>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</si>
  <si>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</si>
  <si>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</si>
  <si>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</si>
  <si>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</si>
  <si>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</si>
  <si>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</si>
  <si>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</si>
  <si>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</si>
  <si>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</si>
  <si>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</si>
  <si>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</si>
  <si>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</si>
  <si>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</si>
  <si>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</si>
  <si>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</si>
  <si>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</si>
  <si>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</si>
  <si>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</si>
  <si>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</si>
  <si>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</si>
  <si>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</si>
  <si>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</si>
  <si>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</si>
  <si>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</si>
  <si>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</si>
  <si>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</si>
  <si>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</si>
  <si>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</si>
  <si>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</si>
  <si>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</si>
  <si>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</si>
  <si>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</si>
  <si>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</si>
  <si>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</si>
  <si>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</si>
  <si>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</si>
  <si>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</si>
  <si>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</si>
  <si>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</si>
  <si>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</si>
  <si>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</si>
  <si>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</si>
  <si>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</si>
  <si>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</si>
  <si>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</si>
  <si>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</si>
  <si>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</si>
  <si>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</si>
  <si>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</si>
  <si>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</si>
  <si>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</si>
  <si>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</si>
  <si>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</si>
  <si>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</si>
  <si>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</si>
  <si>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</si>
  <si>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</si>
  <si>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</si>
  <si>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</si>
  <si>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</si>
  <si>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</si>
  <si>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</si>
  <si>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</si>
  <si>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</si>
  <si>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</si>
  <si>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</si>
  <si>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</si>
  <si>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</si>
  <si>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</si>
  <si>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</si>
  <si>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</si>
  <si>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</si>
  <si>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</si>
  <si>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</si>
  <si>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</si>
  <si>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</si>
  <si>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</si>
  <si>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</si>
  <si>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</si>
  <si>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</si>
  <si>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</si>
  <si>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</si>
  <si>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</si>
  <si>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</si>
  <si>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</si>
  <si>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</si>
  <si>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</si>
  <si>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</si>
  <si>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</si>
  <si>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</si>
  <si>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</si>
  <si>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</si>
  <si>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</si>
  <si>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</si>
  <si>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</si>
  <si>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</si>
  <si>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</si>
  <si>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</si>
  <si>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</si>
  <si>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</si>
  <si>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</si>
  <si>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</si>
  <si>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</si>
  <si>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</si>
  <si>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</si>
  <si>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</si>
  <si>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</si>
  <si>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</si>
  <si>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</si>
  <si>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</si>
  <si>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</si>
  <si>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</si>
  <si>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</si>
  <si>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</si>
  <si>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</si>
  <si>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</si>
  <si>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</si>
  <si>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</si>
  <si>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</si>
  <si>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</si>
  <si>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</si>
  <si>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</si>
  <si>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</si>
  <si>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</si>
  <si>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</si>
  <si>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</si>
  <si>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</si>
  <si>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</si>
  <si>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</si>
  <si>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</si>
  <si>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</si>
  <si>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</si>
  <si>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</si>
  <si>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</si>
  <si>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</si>
  <si>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</si>
  <si>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</si>
  <si>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</si>
  <si>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</si>
  <si>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</si>
  <si>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</si>
  <si>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</si>
  <si>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</si>
  <si>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</si>
  <si>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</si>
  <si>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</si>
  <si>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</si>
  <si>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</si>
  <si>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</si>
  <si>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</si>
  <si>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</si>
  <si>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</si>
  <si>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</si>
  <si>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</si>
  <si>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</si>
  <si>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</si>
  <si>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</si>
  <si>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</si>
  <si>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</si>
  <si>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</si>
  <si>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</si>
  <si>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</si>
  <si>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</si>
  <si>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</si>
  <si>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</si>
  <si>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</si>
  <si>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</si>
  <si>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</si>
  <si>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</si>
  <si>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</si>
  <si>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</si>
  <si>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</si>
  <si>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</si>
  <si>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</si>
  <si>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</si>
  <si>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</si>
  <si>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</si>
  <si>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</si>
  <si>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</si>
  <si>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</si>
  <si>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</si>
  <si>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</si>
  <si>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</si>
  <si>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</si>
  <si>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</si>
  <si>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</si>
  <si>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</si>
  <si>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</si>
  <si>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</si>
  <si>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</si>
  <si>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</si>
  <si>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</si>
  <si>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</si>
  <si>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</si>
  <si>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</si>
  <si>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</si>
  <si>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</si>
  <si>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</si>
  <si>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</si>
  <si>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</si>
  <si>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</si>
  <si>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</si>
  <si>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</si>
  <si>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</si>
  <si>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</si>
  <si>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</si>
  <si>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</si>
  <si>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</si>
  <si>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</si>
  <si>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</si>
  <si>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</si>
  <si>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</si>
  <si>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</si>
  <si>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</si>
  <si>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</si>
  <si>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</si>
  <si>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</si>
  <si>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</si>
  <si>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</si>
  <si>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</si>
  <si>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</si>
  <si>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</si>
  <si>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</si>
  <si>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</si>
  <si>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</si>
  <si>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</si>
  <si>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</si>
  <si>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</si>
  <si>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</si>
  <si>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</si>
  <si>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</si>
  <si>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</si>
  <si>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</si>
  <si>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</si>
  <si>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</si>
  <si>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</si>
  <si>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</si>
  <si>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</si>
  <si>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</si>
  <si>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</si>
  <si>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</si>
  <si>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</si>
  <si>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</si>
  <si>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</si>
  <si>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</si>
  <si>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</si>
  <si>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</si>
  <si>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</si>
  <si>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</si>
  <si>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</si>
  <si>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</si>
  <si>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</si>
  <si>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</si>
  <si>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</si>
  <si>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</si>
  <si>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</si>
  <si>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</si>
  <si>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</si>
  <si>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</si>
  <si>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</si>
  <si>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</si>
  <si>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</si>
  <si>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</si>
  <si>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</si>
  <si>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</si>
  <si>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</si>
  <si>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</si>
  <si>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</si>
  <si>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</si>
  <si>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</si>
  <si>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</si>
  <si>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</si>
  <si>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</si>
  <si>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</si>
  <si>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</si>
  <si>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</si>
  <si>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</si>
  <si>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</si>
  <si>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</si>
  <si>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</si>
  <si>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</si>
  <si>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</si>
  <si>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</si>
  <si>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</si>
  <si>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</si>
  <si>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</si>
  <si>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</si>
  <si>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</si>
  <si>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</si>
  <si>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</si>
  <si>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</si>
  <si>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</si>
  <si>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</si>
  <si>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</si>
  <si>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</si>
  <si>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</si>
  <si>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</si>
  <si>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</si>
  <si>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</si>
  <si>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</si>
  <si>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</si>
  <si>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</si>
  <si>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</si>
  <si>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</si>
  <si>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</si>
  <si>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</si>
  <si>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</si>
  <si>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</si>
  <si>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</si>
  <si>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</si>
  <si>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</si>
  <si>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</si>
  <si>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</si>
  <si>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</si>
  <si>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</si>
  <si>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</si>
  <si>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</si>
  <si>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</si>
  <si>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</si>
  <si>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</si>
  <si>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</si>
  <si>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</si>
  <si>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</si>
  <si>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</si>
  <si>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</si>
  <si>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</si>
  <si>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</si>
  <si>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</si>
  <si>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</si>
  <si>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</si>
  <si>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</si>
  <si>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</si>
  <si>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</si>
  <si>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</si>
  <si>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</si>
  <si>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</si>
  <si>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</si>
  <si>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</si>
  <si>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</si>
  <si>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</si>
  <si>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</si>
  <si>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</si>
  <si>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</si>
  <si>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</si>
  <si>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</si>
  <si>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</si>
  <si>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</si>
  <si>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</si>
  <si>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</si>
  <si>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</si>
  <si>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</si>
  <si>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</si>
  <si>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</si>
  <si>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</si>
  <si>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</si>
  <si>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</si>
  <si>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</si>
  <si>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</si>
  <si>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</si>
  <si>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</si>
  <si>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</si>
  <si>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</si>
  <si>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</si>
  <si>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</si>
  <si>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</si>
  <si>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</si>
  <si>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</si>
  <si>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</si>
  <si>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</si>
  <si>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</si>
  <si>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</si>
  <si>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</si>
  <si>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</si>
  <si>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</si>
  <si>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</si>
  <si>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</si>
  <si>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</si>
  <si>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</si>
  <si>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</si>
  <si>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</si>
  <si>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</si>
  <si>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</si>
  <si>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</si>
  <si>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</si>
  <si>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</si>
  <si>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</si>
  <si>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</si>
  <si>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</si>
  <si>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</si>
  <si>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</si>
  <si>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</si>
  <si>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</si>
  <si>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</si>
  <si>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</si>
  <si>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</si>
  <si>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</si>
  <si>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</si>
  <si>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</si>
  <si>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</si>
  <si>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</si>
  <si>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</si>
  <si>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</si>
  <si>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</si>
  <si>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</si>
  <si>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</si>
  <si>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</si>
  <si>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</si>
  <si>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</si>
  <si>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</si>
  <si>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</si>
  <si>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</si>
  <si>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</si>
  <si>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</si>
  <si>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</si>
  <si>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</si>
  <si>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</si>
  <si>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</si>
  <si>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</si>
  <si>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</si>
  <si>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</si>
  <si>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</si>
  <si>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</si>
  <si>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</si>
  <si>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</si>
  <si>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</si>
  <si>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</si>
  <si>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</si>
  <si>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</si>
  <si>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</si>
  <si>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</si>
  <si>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</si>
  <si>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</si>
  <si>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</si>
  <si>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</si>
  <si>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</si>
  <si>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</si>
  <si>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</si>
  <si>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</si>
  <si>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</si>
  <si>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</si>
  <si>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</si>
  <si>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</si>
  <si>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</si>
  <si>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</si>
  <si>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</si>
  <si>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</si>
  <si>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</si>
  <si>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</si>
  <si>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</si>
  <si>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</si>
  <si>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</si>
  <si>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</si>
  <si>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</si>
  <si>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</si>
  <si>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</si>
  <si>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</si>
  <si>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</si>
  <si>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</si>
  <si>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</si>
  <si>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</si>
  <si>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</si>
  <si>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</si>
  <si>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</si>
  <si>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</si>
  <si>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</si>
  <si>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</si>
  <si>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</si>
  <si>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</si>
  <si>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</si>
  <si>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</si>
  <si>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</si>
  <si>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</si>
  <si>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</si>
  <si>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</si>
  <si>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</si>
  <si>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</si>
  <si>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</si>
  <si>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</si>
  <si>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</si>
  <si>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</si>
  <si>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</si>
  <si>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</si>
  <si>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</si>
  <si>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</si>
  <si>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</si>
  <si>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</si>
  <si>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</si>
  <si>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</si>
  <si>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</si>
  <si>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</si>
  <si>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</si>
  <si>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</si>
  <si>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</si>
  <si>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</si>
  <si>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</si>
  <si>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</si>
  <si>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</si>
  <si>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</si>
  <si>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</si>
  <si>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</si>
  <si>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</si>
  <si>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</si>
  <si>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</si>
  <si>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</si>
  <si>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</si>
  <si>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</si>
  <si>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</si>
  <si>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</si>
  <si>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</si>
  <si>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</si>
  <si>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</si>
  <si>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</si>
  <si>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</si>
  <si>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</si>
  <si>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</si>
  <si>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</si>
  <si>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</si>
  <si>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</si>
  <si>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</si>
  <si>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</si>
  <si>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</si>
  <si>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</si>
  <si>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</si>
  <si>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</si>
  <si>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</si>
  <si>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</si>
  <si>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</si>
  <si>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</si>
  <si>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</si>
  <si>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</si>
  <si>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</si>
  <si>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</si>
  <si>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</si>
  <si>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</si>
  <si>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</si>
  <si>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</si>
  <si>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</si>
  <si>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</si>
  <si>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</si>
  <si>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</si>
  <si>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</si>
  <si>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</si>
  <si>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</si>
  <si>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</si>
  <si>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</si>
  <si>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</si>
  <si>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</si>
  <si>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</si>
  <si>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</si>
  <si>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</si>
  <si>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</si>
  <si>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</si>
  <si>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</si>
  <si>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</si>
  <si>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</si>
  <si>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</si>
  <si>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</si>
  <si>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</si>
  <si>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</si>
  <si>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</si>
  <si>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</si>
  <si>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</si>
  <si>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</si>
  <si>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</si>
  <si>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</si>
  <si>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</si>
  <si>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</si>
  <si>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</si>
  <si>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</si>
  <si>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</si>
  <si>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</si>
  <si>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</si>
  <si>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</si>
  <si>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</si>
  <si>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</si>
  <si>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</si>
  <si>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</si>
  <si>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</si>
  <si>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</si>
  <si>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</si>
  <si>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</si>
  <si>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</si>
  <si>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</si>
  <si>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</si>
  <si>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</si>
  <si>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</si>
  <si>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</si>
  <si>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</si>
  <si>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</si>
  <si>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</si>
  <si>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</si>
  <si>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</si>
  <si>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</si>
  <si>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</si>
  <si>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</si>
  <si>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</si>
  <si>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</si>
  <si>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</si>
  <si>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</si>
  <si>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</si>
  <si>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</si>
  <si>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</si>
  <si>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</si>
  <si>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</si>
  <si>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</si>
  <si>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</si>
  <si>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</si>
  <si>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</si>
  <si>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</si>
  <si>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</si>
  <si>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</si>
  <si>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</si>
  <si>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</si>
  <si>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</si>
  <si>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</si>
  <si>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</si>
  <si>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</si>
  <si>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</si>
  <si>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</si>
  <si>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</si>
  <si>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</si>
  <si>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</si>
  <si>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</si>
  <si>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</si>
  <si>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</si>
  <si>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</si>
  <si>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</si>
  <si>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</si>
  <si>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</si>
  <si>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</si>
  <si>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</si>
  <si>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</si>
  <si>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</si>
  <si>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</si>
  <si>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</si>
  <si>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</si>
  <si>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</si>
  <si>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</si>
  <si>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</si>
  <si>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</si>
  <si>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</si>
  <si>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</si>
  <si>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</si>
  <si>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</si>
  <si>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</si>
  <si>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</si>
  <si>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</si>
  <si>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</si>
  <si>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</si>
  <si>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</si>
  <si>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</si>
  <si>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</si>
  <si>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</si>
  <si>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</si>
  <si>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</si>
  <si>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</si>
  <si>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</si>
  <si>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</si>
  <si>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</si>
  <si>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</si>
  <si>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</si>
  <si>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</si>
  <si>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</si>
  <si>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</si>
  <si>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</si>
  <si>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</si>
  <si>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</si>
  <si>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</si>
  <si>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</si>
  <si>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</si>
  <si>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</si>
  <si>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</si>
  <si>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</si>
  <si>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</si>
  <si>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</si>
  <si>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</si>
  <si>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</si>
  <si>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</si>
  <si>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</si>
  <si>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</si>
  <si>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</si>
  <si>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</si>
  <si>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</si>
  <si>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</si>
  <si>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</si>
  <si>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</si>
  <si>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</si>
  <si>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</si>
  <si>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</si>
  <si>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</si>
  <si>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</si>
  <si>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</si>
  <si>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</si>
  <si>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</si>
  <si>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</si>
  <si>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</si>
  <si>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</si>
  <si>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</si>
  <si>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</si>
  <si>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</si>
  <si>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</si>
  <si>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</si>
  <si>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</si>
  <si>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</si>
  <si>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</si>
  <si>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</si>
  <si>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</si>
  <si>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</si>
  <si>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</si>
  <si>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</si>
  <si>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</si>
  <si>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</si>
  <si>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</si>
  <si>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</si>
  <si>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</si>
  <si>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</si>
  <si>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</si>
  <si>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</si>
  <si>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</si>
  <si>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</si>
  <si>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</si>
  <si>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</si>
  <si>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</si>
  <si>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</si>
  <si>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</si>
  <si>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</si>
  <si>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</si>
  <si>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</si>
  <si>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</si>
  <si>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</si>
  <si>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</si>
  <si>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</si>
  <si>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</si>
  <si>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</si>
  <si>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</si>
  <si>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</si>
  <si>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</si>
  <si>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</si>
  <si>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</si>
  <si>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</si>
  <si>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</si>
  <si>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</si>
  <si>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</si>
  <si>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</si>
  <si>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</si>
  <si>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</si>
  <si>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</si>
  <si>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</si>
  <si>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</si>
  <si>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</si>
  <si>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</si>
  <si>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</si>
  <si>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</si>
  <si>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</si>
  <si>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</si>
  <si>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</si>
  <si>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</si>
  <si>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</si>
  <si>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</si>
  <si>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</si>
  <si>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</si>
  <si>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</si>
  <si>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</si>
  <si>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</si>
  <si>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</si>
  <si>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</si>
  <si>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</si>
  <si>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</si>
  <si>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</si>
  <si>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</si>
  <si>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</si>
  <si>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</si>
  <si>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</si>
  <si>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</si>
  <si>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</si>
  <si>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</si>
  <si>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</si>
  <si>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</si>
  <si>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</si>
  <si>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</si>
  <si>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</si>
  <si>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</si>
  <si>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</si>
  <si>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</si>
  <si>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</si>
  <si>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</si>
  <si>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</si>
  <si>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</si>
  <si>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</si>
  <si>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</si>
  <si>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</si>
  <si>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</si>
  <si>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</si>
  <si>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</si>
  <si>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</si>
  <si>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</si>
  <si>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</si>
  <si>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</si>
  <si>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</si>
  <si>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</si>
  <si>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</si>
  <si>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</si>
  <si>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</si>
  <si>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</si>
  <si>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</si>
  <si>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</si>
  <si>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</si>
  <si>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</si>
  <si>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</si>
  <si>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</si>
  <si>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</si>
  <si>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</si>
  <si>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</si>
  <si>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</si>
  <si>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</si>
  <si>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</si>
  <si>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</si>
  <si>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</si>
  <si>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</si>
  <si>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</si>
  <si>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</si>
  <si>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</si>
  <si>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</si>
  <si>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</si>
  <si>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</si>
  <si>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</si>
  <si>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</si>
  <si>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</si>
  <si>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</si>
  <si>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</si>
  <si>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</si>
  <si>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</si>
  <si>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</si>
  <si>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</si>
  <si>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</si>
  <si>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</si>
  <si>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</si>
  <si>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</si>
  <si>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</si>
  <si>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</si>
  <si>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</si>
  <si>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</si>
  <si>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</si>
  <si>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</si>
  <si>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</si>
  <si>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</si>
  <si>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</si>
  <si>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</si>
  <si>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</si>
  <si>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</si>
  <si>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</si>
  <si>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</si>
  <si>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</si>
  <si>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</si>
  <si>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</si>
  <si>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</si>
  <si>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</si>
  <si>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</si>
  <si>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</si>
  <si>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</si>
  <si>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</si>
  <si>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</si>
  <si>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</si>
  <si>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</si>
  <si>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</si>
  <si>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</si>
  <si>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</si>
  <si>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</si>
  <si>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</si>
  <si>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</si>
  <si>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</si>
  <si>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</si>
  <si>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</si>
  <si>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</si>
  <si>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</si>
  <si>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</si>
  <si>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</si>
  <si>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</si>
  <si>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</si>
  <si>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</si>
  <si>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</si>
  <si>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</si>
  <si>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</si>
  <si>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</si>
  <si>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</si>
  <si>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</si>
  <si>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</si>
  <si>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</si>
  <si>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</si>
  <si>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</si>
  <si>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</si>
  <si>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</si>
  <si>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</si>
  <si>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</si>
  <si>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</si>
  <si>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</si>
  <si>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</si>
  <si>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</si>
  <si>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</si>
  <si>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</si>
  <si>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</si>
  <si>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</si>
  <si>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</si>
  <si>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</si>
  <si>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</si>
  <si>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</si>
  <si>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</si>
  <si>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</si>
  <si>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</si>
  <si>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</si>
  <si>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</si>
  <si>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</si>
  <si>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</si>
  <si>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</si>
  <si>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</si>
  <si>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</si>
  <si>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</si>
  <si>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</si>
  <si>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</si>
  <si>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</si>
  <si>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</si>
  <si>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</si>
  <si>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</si>
  <si>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</si>
  <si>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</si>
  <si>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</si>
  <si>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</si>
  <si>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</si>
  <si>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</si>
  <si>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</si>
  <si>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</si>
  <si>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</si>
  <si>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</si>
  <si>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</si>
  <si>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</si>
  <si>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</si>
  <si>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</si>
  <si>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</si>
  <si>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</si>
  <si>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</si>
  <si>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</si>
  <si>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</si>
  <si>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</si>
  <si>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</si>
  <si>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</si>
  <si>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</si>
  <si>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</si>
  <si>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</si>
  <si>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</si>
  <si>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</si>
  <si>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</si>
  <si>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</si>
  <si>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</si>
  <si>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</si>
  <si>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</si>
  <si>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</si>
  <si>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</si>
  <si>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</si>
  <si>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</si>
  <si>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</si>
  <si>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</si>
  <si>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</si>
  <si>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</si>
  <si>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</si>
  <si>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</si>
  <si>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</si>
  <si>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</si>
  <si>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</si>
  <si>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</si>
  <si>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</si>
  <si>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</si>
  <si>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</si>
  <si>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</si>
  <si>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</si>
  <si>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</si>
  <si>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</si>
  <si>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</si>
  <si>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</si>
  <si>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</si>
  <si>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</si>
  <si>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</si>
  <si>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</si>
  <si>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</si>
  <si>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</si>
  <si>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</si>
  <si>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</si>
  <si>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</si>
  <si>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</si>
  <si>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</si>
  <si>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</si>
  <si>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</si>
  <si>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</si>
  <si>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</si>
  <si>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</si>
  <si>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</si>
  <si>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</si>
  <si>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</si>
  <si>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</si>
  <si>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</si>
  <si>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</si>
  <si>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</si>
  <si>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</si>
  <si>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</si>
  <si>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</si>
  <si>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</si>
  <si>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</si>
  <si>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</si>
  <si>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</si>
  <si>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</si>
  <si>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</si>
  <si>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</si>
  <si>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</si>
  <si>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</si>
  <si>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</si>
  <si>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</si>
  <si>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</si>
  <si>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</si>
  <si>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</si>
  <si>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</si>
  <si>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</si>
  <si>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</si>
  <si>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</si>
  <si>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</si>
  <si>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</si>
  <si>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</si>
  <si>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</si>
  <si>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</si>
  <si>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</si>
  <si>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</si>
  <si>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</si>
  <si>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</si>
  <si>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</si>
  <si>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</si>
  <si>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</si>
  <si>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</si>
  <si>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</si>
  <si>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</si>
  <si>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</si>
  <si>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</si>
  <si>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</si>
  <si>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</si>
  <si>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</si>
  <si>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</si>
  <si>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</si>
  <si>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</si>
  <si>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</si>
  <si>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</si>
  <si>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</si>
  <si>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</si>
  <si>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</si>
  <si>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</si>
  <si>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</si>
  <si>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</si>
  <si>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</si>
  <si>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</si>
  <si>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</si>
  <si>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</si>
  <si>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</si>
  <si>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</si>
  <si>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</si>
  <si>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</si>
  <si>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</si>
  <si>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</si>
  <si>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</si>
  <si>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</si>
  <si>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</si>
  <si>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</si>
  <si>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</si>
  <si>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</si>
  <si>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</si>
  <si>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</si>
  <si>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</si>
  <si>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</si>
  <si>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</si>
  <si>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</si>
  <si>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</si>
  <si>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</si>
  <si>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</si>
  <si>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</si>
  <si>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</si>
  <si>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</si>
  <si>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</si>
  <si>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</si>
  <si>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</si>
  <si>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</si>
  <si>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</si>
  <si>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</si>
  <si>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</si>
  <si>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</si>
  <si>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</si>
  <si>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</si>
  <si>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</si>
  <si>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</si>
  <si>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</si>
  <si>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</si>
  <si>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</si>
  <si>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</si>
  <si>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</si>
  <si>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</si>
  <si>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</si>
  <si>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</si>
  <si>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</si>
  <si>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</si>
  <si>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</si>
  <si>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</si>
  <si>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</si>
  <si>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</si>
  <si>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</si>
  <si>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</si>
  <si>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</si>
  <si>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</si>
  <si>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</si>
  <si>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</si>
  <si>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</si>
  <si>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</si>
  <si>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</si>
  <si>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</si>
  <si>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</si>
  <si>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</si>
  <si>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</si>
  <si>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</si>
  <si>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</si>
  <si>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</si>
  <si>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</si>
  <si>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</si>
  <si>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</si>
  <si>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</si>
  <si>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</si>
  <si>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</si>
  <si>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</si>
  <si>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</si>
  <si>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</si>
  <si>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</si>
  <si>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</si>
  <si>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</si>
  <si>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</si>
  <si>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</si>
  <si>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</si>
  <si>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</si>
  <si>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</si>
  <si>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</si>
  <si>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</si>
  <si>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</si>
  <si>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</si>
  <si>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</si>
  <si>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</si>
  <si>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</si>
  <si>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</si>
  <si>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</si>
  <si>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</si>
  <si>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</si>
  <si>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</si>
  <si>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</si>
  <si>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</si>
  <si>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</si>
  <si>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</si>
  <si>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</si>
  <si>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</si>
  <si>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</si>
  <si>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</si>
  <si>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</si>
  <si>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</si>
  <si>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</si>
  <si>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</si>
  <si>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</si>
  <si>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</si>
  <si>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</si>
  <si>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</si>
  <si>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</si>
  <si>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</si>
  <si>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</si>
  <si>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</si>
  <si>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</si>
  <si>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</si>
  <si>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</si>
  <si>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</si>
  <si>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</si>
  <si>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</si>
  <si>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</si>
  <si>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</si>
  <si>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</si>
  <si>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</si>
  <si>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</si>
  <si>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</si>
  <si>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</si>
  <si>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</si>
  <si>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</si>
  <si>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</si>
  <si>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</si>
  <si>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</si>
  <si>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</si>
  <si>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</si>
  <si>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</si>
  <si>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</si>
  <si>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</si>
  <si>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</si>
  <si>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</si>
  <si>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</si>
  <si>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</si>
  <si>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</si>
  <si>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</si>
  <si>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</si>
  <si>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</si>
  <si>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</si>
  <si>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</si>
  <si>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</si>
  <si>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</si>
  <si>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</si>
  <si>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</si>
  <si>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</si>
  <si>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</si>
  <si>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</si>
  <si>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</si>
  <si>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</si>
  <si>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</si>
  <si>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</si>
  <si>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</si>
  <si>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</si>
  <si>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</si>
  <si>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</si>
  <si>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</si>
  <si>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</si>
  <si>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</si>
  <si>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</si>
  <si>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</si>
  <si>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</si>
  <si>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</si>
  <si>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</si>
  <si>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</si>
  <si>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</si>
  <si>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</si>
  <si>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</si>
  <si>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</si>
  <si>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</si>
  <si>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</si>
  <si>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</si>
  <si>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</si>
  <si>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</si>
  <si>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</si>
  <si>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</si>
  <si>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</si>
  <si>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</si>
  <si>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</si>
  <si>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</si>
  <si>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</si>
  <si>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</si>
  <si>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</si>
  <si>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</si>
  <si>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</si>
  <si>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</si>
  <si>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</si>
  <si>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</si>
  <si>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</si>
  <si>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</si>
  <si>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</si>
  <si>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</si>
  <si>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</si>
  <si>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</si>
  <si>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</si>
  <si>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</si>
  <si>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</si>
  <si>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</si>
  <si>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</si>
  <si>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</si>
  <si>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</si>
  <si>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</si>
  <si>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</si>
  <si>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</si>
  <si>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</si>
  <si>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</si>
  <si>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</si>
  <si>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</si>
  <si>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</si>
  <si>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</si>
  <si>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</si>
  <si>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</si>
  <si>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</si>
  <si>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</si>
  <si>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</si>
  <si>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</si>
  <si>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</si>
  <si>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</si>
  <si>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</si>
  <si>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</si>
  <si>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</si>
  <si>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</si>
  <si>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</si>
  <si>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</si>
  <si>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</si>
  <si>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</si>
  <si>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</si>
  <si>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</si>
  <si>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</si>
  <si>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</si>
  <si>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</si>
  <si>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</si>
  <si>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</si>
  <si>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</si>
  <si>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</si>
  <si>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</si>
  <si>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</si>
  <si>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</si>
  <si>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</si>
  <si>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</si>
  <si>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</si>
  <si>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</si>
  <si>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</si>
  <si>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</si>
  <si>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</si>
  <si>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</si>
  <si>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</si>
  <si>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</si>
  <si>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</si>
  <si>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</si>
  <si>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</si>
  <si>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</si>
  <si>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</si>
  <si>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</si>
  <si>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</si>
  <si>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</si>
  <si>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</si>
  <si>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</si>
  <si>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</si>
  <si>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</si>
  <si>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</si>
  <si>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</si>
  <si>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</si>
  <si>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</si>
  <si>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</si>
  <si>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</si>
  <si>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</si>
  <si>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</si>
  <si>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</si>
  <si>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</si>
  <si>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</si>
  <si>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</si>
  <si>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</si>
  <si>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</si>
  <si>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</si>
  <si>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</si>
  <si>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</si>
  <si>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</si>
  <si>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</si>
  <si>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</si>
  <si>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</si>
  <si>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</si>
  <si>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</si>
  <si>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</si>
  <si>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</si>
  <si>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</si>
  <si>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</si>
  <si>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</si>
  <si>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</si>
  <si>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</si>
  <si>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</si>
  <si>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</si>
  <si>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</si>
  <si>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</si>
  <si>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</si>
  <si>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</si>
  <si>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</si>
  <si>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</si>
  <si>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</si>
  <si>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</si>
  <si>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</si>
  <si>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</si>
  <si>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</si>
  <si>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</si>
  <si>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</si>
  <si>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</si>
  <si>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</si>
  <si>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</si>
  <si>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</si>
  <si>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</si>
  <si>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</si>
  <si>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</si>
  <si>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</si>
  <si>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</si>
  <si>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</si>
  <si>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</si>
  <si>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</si>
  <si>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</si>
  <si>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</si>
  <si>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</si>
  <si>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</si>
  <si>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</si>
  <si>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</si>
  <si>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</si>
  <si>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</si>
  <si>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</si>
  <si>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</si>
  <si>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</si>
  <si>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</si>
  <si>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</si>
  <si>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</si>
  <si>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</si>
  <si>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</si>
  <si>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</si>
  <si>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</si>
  <si>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</si>
  <si>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</si>
  <si>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</si>
  <si>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</si>
  <si>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</si>
  <si>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</si>
  <si>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</si>
  <si>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</si>
  <si>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</si>
  <si>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</si>
  <si>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</si>
  <si>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</si>
  <si>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</si>
  <si>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</si>
  <si>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</si>
  <si>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</si>
  <si>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</si>
  <si>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</si>
  <si>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</si>
  <si>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</si>
  <si>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</si>
  <si>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</si>
  <si>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</si>
  <si>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</si>
  <si>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</si>
  <si>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</si>
  <si>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</si>
  <si>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</si>
  <si>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</si>
  <si>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</si>
  <si>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</si>
  <si>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</si>
  <si>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</si>
  <si>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</si>
  <si>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</si>
  <si>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</si>
  <si>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</si>
  <si>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</si>
  <si>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</si>
  <si>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</si>
  <si>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</si>
  <si>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</si>
  <si>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</si>
  <si>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</si>
  <si>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</si>
  <si>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</si>
  <si>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</si>
  <si>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</si>
  <si>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</si>
  <si>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</si>
  <si>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</si>
  <si>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</si>
  <si>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</si>
  <si>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</si>
  <si>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</si>
  <si>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</si>
  <si>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</si>
  <si>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</si>
  <si>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</si>
  <si>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</si>
  <si>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</si>
  <si>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</si>
  <si>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</si>
  <si>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</si>
  <si>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</si>
  <si>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</si>
  <si>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</si>
  <si>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</si>
  <si>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</si>
  <si>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</si>
  <si>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</si>
  <si>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</si>
  <si>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</si>
  <si>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</si>
  <si>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</si>
  <si>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</si>
  <si>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</si>
  <si>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</si>
  <si>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</si>
  <si>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</si>
  <si>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</si>
  <si>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</si>
  <si>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</si>
  <si>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</si>
  <si>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</si>
  <si>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</si>
  <si>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</si>
  <si>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</si>
  <si>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</si>
  <si>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</si>
  <si>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</si>
  <si>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</si>
  <si>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</si>
  <si>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</si>
  <si>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</si>
  <si>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</si>
  <si>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</si>
  <si>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</si>
  <si>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</si>
  <si>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</si>
  <si>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</si>
  <si>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</si>
  <si>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</si>
  <si>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</si>
  <si>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</si>
  <si>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</si>
  <si>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</si>
  <si>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</si>
  <si>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</si>
  <si>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</si>
  <si>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</si>
  <si>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</si>
  <si>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</si>
  <si>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</si>
  <si>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</si>
  <si>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</si>
  <si>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</si>
  <si>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</si>
  <si>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</si>
  <si>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</si>
  <si>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</si>
  <si>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</si>
  <si>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</si>
  <si>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</si>
  <si>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</si>
  <si>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</si>
  <si>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</si>
  <si>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</si>
  <si>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</si>
  <si>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</si>
  <si>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</si>
  <si>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</si>
  <si>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</si>
  <si>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</si>
  <si>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</si>
  <si>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</si>
  <si>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</si>
  <si>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</si>
  <si>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</si>
  <si>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</si>
  <si>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</si>
  <si>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</si>
  <si>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</si>
  <si>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</si>
  <si>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</si>
  <si>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</si>
  <si>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</si>
  <si>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</si>
  <si>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</si>
  <si>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</si>
  <si>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</si>
  <si>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</si>
  <si>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</si>
  <si>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</si>
  <si>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</si>
  <si>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</si>
  <si>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</si>
  <si>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</si>
  <si>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</si>
  <si>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</si>
  <si>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</si>
  <si>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</si>
  <si>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</si>
  <si>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</si>
  <si>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</si>
  <si>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</si>
  <si>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</si>
  <si>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</si>
  <si>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</si>
  <si>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</si>
  <si>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</si>
  <si>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</si>
  <si>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</si>
  <si>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</si>
  <si>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</si>
  <si>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</si>
  <si>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</si>
  <si>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</si>
  <si>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</si>
  <si>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</si>
  <si>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</si>
  <si>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</si>
  <si>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</si>
  <si>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</si>
  <si>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</si>
  <si>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</si>
  <si>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</si>
  <si>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</si>
  <si>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</si>
  <si>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</si>
  <si>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</si>
  <si>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</si>
  <si>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</si>
  <si>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</si>
  <si>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</si>
  <si>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</si>
  <si>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</si>
  <si>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</si>
  <si>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</si>
  <si>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</si>
  <si>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</si>
  <si>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</si>
  <si>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</si>
  <si>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</si>
  <si>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</si>
  <si>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</si>
  <si>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</si>
  <si>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</si>
  <si>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</si>
  <si>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</si>
  <si>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</si>
  <si>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</si>
  <si>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</si>
  <si>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</si>
  <si>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</si>
  <si>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</si>
  <si>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</si>
  <si>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</si>
  <si>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</si>
  <si>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</si>
  <si>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</si>
  <si>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</si>
  <si>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</si>
  <si>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</si>
  <si>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</si>
  <si>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</si>
  <si>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</si>
  <si>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</si>
  <si>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</si>
  <si>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</si>
  <si>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</si>
  <si>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</si>
  <si>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</si>
  <si>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</si>
  <si>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</si>
  <si>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</si>
  <si>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</si>
  <si>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</si>
  <si>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</si>
  <si>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</si>
  <si>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</si>
  <si>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</si>
  <si>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</si>
  <si>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</si>
  <si>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</si>
  <si>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</si>
  <si>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</si>
  <si>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</si>
  <si>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</si>
  <si>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</si>
  <si>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</si>
  <si>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</si>
  <si>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</si>
  <si>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</si>
  <si>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</si>
  <si>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</si>
  <si>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</si>
  <si>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</si>
  <si>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</si>
  <si>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</si>
  <si>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</si>
  <si>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</si>
  <si>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</si>
  <si>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</si>
  <si>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</si>
  <si>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</si>
  <si>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</si>
  <si>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</si>
  <si>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</si>
  <si>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</si>
  <si>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</si>
  <si>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</si>
  <si>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</si>
  <si>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</si>
  <si>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</si>
  <si>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</si>
  <si>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</si>
  <si>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</si>
  <si>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</si>
  <si>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</si>
  <si>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</si>
  <si>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</si>
  <si>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</si>
  <si>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</si>
  <si>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</si>
  <si>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</si>
  <si>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</si>
  <si>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</si>
  <si>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</si>
  <si>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</si>
  <si>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</si>
  <si>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</si>
  <si>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</si>
  <si>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</si>
  <si>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</si>
  <si>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</si>
  <si>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</si>
  <si>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</si>
  <si>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</si>
  <si>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</si>
  <si>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</si>
  <si>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</si>
  <si>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</si>
  <si>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</si>
  <si>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</si>
  <si>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</si>
  <si>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</si>
  <si>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</si>
  <si>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</si>
  <si>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</si>
  <si>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</si>
  <si>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</si>
  <si>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</si>
  <si>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</si>
  <si>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</si>
  <si>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</si>
  <si>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</si>
  <si>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</si>
  <si>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</si>
  <si>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</si>
  <si>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</si>
  <si>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</si>
  <si>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</si>
  <si>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</si>
  <si>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</si>
  <si>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</si>
  <si>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</si>
  <si>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</si>
  <si>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</si>
  <si>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</si>
  <si>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</si>
  <si>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</si>
  <si>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</si>
  <si>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</si>
  <si>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</si>
  <si>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</si>
  <si>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</si>
  <si>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</si>
  <si>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</si>
  <si>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</si>
  <si>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</si>
  <si>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</si>
  <si>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</si>
  <si>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</si>
  <si>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</si>
  <si>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</si>
  <si>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</si>
  <si>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</si>
  <si>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</si>
  <si>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</si>
  <si>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</si>
  <si>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</si>
  <si>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</si>
  <si>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</si>
  <si>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</si>
  <si>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</si>
  <si>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</si>
  <si>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</si>
  <si>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</si>
  <si>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</si>
  <si>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</si>
  <si>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</si>
  <si>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</si>
  <si>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</si>
  <si>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</si>
  <si>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</si>
  <si>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</si>
  <si>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</si>
  <si>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</si>
  <si>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</si>
  <si>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</si>
  <si>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</si>
  <si>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</si>
  <si>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</si>
  <si>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</si>
  <si>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</si>
  <si>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</si>
  <si>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</si>
  <si>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</si>
  <si>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</si>
  <si>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</si>
  <si>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</si>
  <si>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</si>
  <si>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</si>
  <si>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</si>
  <si>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</si>
  <si>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</si>
  <si>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</si>
  <si>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</si>
  <si>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</si>
  <si>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</si>
  <si>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</si>
  <si>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</si>
  <si>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</si>
  <si>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</si>
  <si>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</si>
  <si>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</si>
  <si>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</si>
  <si>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</si>
  <si>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</si>
  <si>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</si>
  <si>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</si>
  <si>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</si>
  <si>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</si>
  <si>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</si>
  <si>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</si>
  <si>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</si>
  <si>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</si>
  <si>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</si>
  <si>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</si>
  <si>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</si>
  <si>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</si>
  <si>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</si>
  <si>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</si>
  <si>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</si>
  <si>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</si>
  <si>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</si>
  <si>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</si>
  <si>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</si>
  <si>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</si>
  <si>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</si>
  <si>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</si>
  <si>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</si>
  <si>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</si>
  <si>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</si>
  <si>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</si>
  <si>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</si>
  <si>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</si>
  <si>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</si>
  <si>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</si>
  <si>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</si>
  <si>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</si>
  <si>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</si>
  <si>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</si>
  <si>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</si>
  <si>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</si>
  <si>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</si>
  <si>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</si>
  <si>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</si>
  <si>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</si>
  <si>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</si>
  <si>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</si>
  <si>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</si>
  <si>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</si>
  <si>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</si>
  <si>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</si>
  <si>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</si>
  <si>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</si>
  <si>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</si>
  <si>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</si>
  <si>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</si>
  <si>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</si>
  <si>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</si>
  <si>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</si>
  <si>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</si>
  <si>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</si>
  <si>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</si>
  <si>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</si>
  <si>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</si>
  <si>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</si>
  <si>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</si>
  <si>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</si>
  <si>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</si>
  <si>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</si>
  <si>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</si>
  <si>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</si>
  <si>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</si>
  <si>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</si>
  <si>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</si>
  <si>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</si>
  <si>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</si>
  <si>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</si>
  <si>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</si>
  <si>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</si>
  <si>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</si>
  <si>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</si>
  <si>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</si>
  <si>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</si>
  <si>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</si>
  <si>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</si>
  <si>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</si>
  <si>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</si>
  <si>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</si>
  <si>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</si>
  <si>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</si>
  <si>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</si>
  <si>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</si>
  <si>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</si>
  <si>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</si>
  <si>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</si>
  <si>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</si>
  <si>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</si>
  <si>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</si>
  <si>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</si>
  <si>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</si>
  <si>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</si>
  <si>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</si>
  <si>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</si>
  <si>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</si>
  <si>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</si>
  <si>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</si>
  <si>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</si>
  <si>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</si>
  <si>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</si>
  <si>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</si>
  <si>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</si>
  <si>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</si>
  <si>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</si>
  <si>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</si>
  <si>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</si>
  <si>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</si>
  <si>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</si>
  <si>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</si>
  <si>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</si>
  <si>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</si>
  <si>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</si>
  <si>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</si>
  <si>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</si>
  <si>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</si>
  <si>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</si>
  <si>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</si>
  <si>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</si>
  <si>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</si>
  <si>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</si>
  <si>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</si>
  <si>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</si>
  <si>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</si>
  <si>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</si>
  <si>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</si>
  <si>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</si>
  <si>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</si>
  <si>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</si>
  <si>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</si>
  <si>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</si>
  <si>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</si>
  <si>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</si>
  <si>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</si>
  <si>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</si>
  <si>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</si>
  <si>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</si>
  <si>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</si>
  <si>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</si>
  <si>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</si>
  <si>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</si>
  <si>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</si>
  <si>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</si>
  <si>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</si>
  <si>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</si>
  <si>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</si>
  <si>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</si>
  <si>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</si>
  <si>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</si>
  <si>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</si>
  <si>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</si>
  <si>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</si>
  <si>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</si>
  <si>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</si>
  <si>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</si>
  <si>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</si>
  <si>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</si>
  <si>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</si>
  <si>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</si>
  <si>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</si>
  <si>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</si>
  <si>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</si>
  <si>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</si>
  <si>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</si>
  <si>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</si>
  <si>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</si>
  <si>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</si>
  <si>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</si>
  <si>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</si>
  <si>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</si>
  <si>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</si>
  <si>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</si>
  <si>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</si>
  <si>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</si>
  <si>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</si>
  <si>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</si>
  <si>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</si>
  <si>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</si>
  <si>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</si>
  <si>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</si>
  <si>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</si>
  <si>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</si>
  <si>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</si>
  <si>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</si>
  <si>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</si>
  <si>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</si>
  <si>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</si>
  <si>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</si>
  <si>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</si>
  <si>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</si>
  <si>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</si>
  <si>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</si>
  <si>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</si>
  <si>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</si>
  <si>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</si>
  <si>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</si>
  <si>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</si>
  <si>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</si>
  <si>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</si>
  <si>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</si>
  <si>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</si>
  <si>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</si>
  <si>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</si>
  <si>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</si>
  <si>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</si>
  <si>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</si>
  <si>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</si>
  <si>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</si>
  <si>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</si>
  <si>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</si>
  <si>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</si>
  <si>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</si>
  <si>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</si>
  <si>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</si>
  <si>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</si>
  <si>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</si>
  <si>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</si>
  <si>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</si>
  <si>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</si>
  <si>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</si>
  <si>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</si>
  <si>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</si>
  <si>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</si>
  <si>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</si>
  <si>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</si>
  <si>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</si>
  <si>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</si>
  <si>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</si>
  <si>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</si>
  <si>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</si>
  <si>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</si>
  <si>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</si>
  <si>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</si>
  <si>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</si>
  <si>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</si>
  <si>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</si>
  <si>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</si>
  <si>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</si>
  <si>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</si>
  <si>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</si>
  <si>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</si>
  <si>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</si>
  <si>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</si>
  <si>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</si>
  <si>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</si>
  <si>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</si>
  <si>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</si>
  <si>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</si>
  <si>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</si>
  <si>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</si>
  <si>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</si>
  <si>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</si>
  <si>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</si>
  <si>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</si>
  <si>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</si>
  <si>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</si>
  <si>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</si>
  <si>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</si>
  <si>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</si>
  <si>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</si>
  <si>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</si>
  <si>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</si>
  <si>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</si>
  <si>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</si>
  <si>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</si>
  <si>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</si>
  <si>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</si>
  <si>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</si>
  <si>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</si>
  <si>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</si>
  <si>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</si>
  <si>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</si>
  <si>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</si>
  <si>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</si>
  <si>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</si>
  <si>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</si>
  <si>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</si>
  <si>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</si>
  <si>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</si>
  <si>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</si>
  <si>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</si>
  <si>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</si>
  <si>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</si>
  <si>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</si>
  <si>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</si>
  <si>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</si>
  <si>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</si>
  <si>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</si>
  <si>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</si>
  <si>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</si>
  <si>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</si>
  <si>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</si>
  <si>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</si>
  <si>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</si>
  <si>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</si>
  <si>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</si>
  <si>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</si>
  <si>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</si>
  <si>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</si>
  <si>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</si>
  <si>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</si>
  <si>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</si>
  <si>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</si>
  <si>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</si>
  <si>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</si>
  <si>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</si>
  <si>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</si>
  <si>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</si>
  <si>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</si>
  <si>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</si>
  <si>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</si>
  <si>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</si>
  <si>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</si>
  <si>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</si>
  <si>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</si>
  <si>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</si>
  <si>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</si>
  <si>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</si>
  <si>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</si>
  <si>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</si>
  <si>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</si>
  <si>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</si>
  <si>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</si>
  <si>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</si>
  <si>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</si>
  <si>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</si>
  <si>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</si>
  <si>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</si>
  <si>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</si>
  <si>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</si>
  <si>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</si>
  <si>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</si>
  <si>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</si>
  <si>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</si>
  <si>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</si>
  <si>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</si>
  <si>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</si>
  <si>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</si>
  <si>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</si>
  <si>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</si>
  <si>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</si>
  <si>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</si>
  <si>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</si>
  <si>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</si>
  <si>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</si>
  <si>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</si>
  <si>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</si>
  <si>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</si>
  <si>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</si>
  <si>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</si>
  <si>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</si>
  <si>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</si>
  <si>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</si>
  <si>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</si>
  <si>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</si>
  <si>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</si>
  <si>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</si>
  <si>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</si>
  <si>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</si>
  <si>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</si>
  <si>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</si>
  <si>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</si>
  <si>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</si>
  <si>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</si>
  <si>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</si>
  <si>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</si>
  <si>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</si>
  <si>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</si>
  <si>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</si>
  <si>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</si>
  <si>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</si>
  <si>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</si>
  <si>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</si>
  <si>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</si>
  <si>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</si>
  <si>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</si>
  <si>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</si>
  <si>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</si>
  <si>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</si>
  <si>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</si>
  <si>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</si>
  <si>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</si>
  <si>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</si>
  <si>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</si>
  <si>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</si>
  <si>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</si>
  <si>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</si>
  <si>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</si>
  <si>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</si>
  <si>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</si>
  <si>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</si>
  <si>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</si>
  <si>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</si>
  <si>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</si>
  <si>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</si>
  <si>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</si>
  <si>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</si>
  <si>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</si>
  <si>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</si>
  <si>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</si>
  <si>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</si>
  <si>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</si>
  <si>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</si>
  <si>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</si>
  <si>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</si>
  <si>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</si>
  <si>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</si>
  <si>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</si>
  <si>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</si>
  <si>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</si>
  <si>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</si>
  <si>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</si>
  <si>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</si>
  <si>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</si>
  <si>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</si>
  <si>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</si>
  <si>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</si>
  <si>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</si>
  <si>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</si>
  <si>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</si>
  <si>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</si>
  <si>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</si>
  <si>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</si>
  <si>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</si>
  <si>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</si>
  <si>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</si>
  <si>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</si>
  <si>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</si>
  <si>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</si>
  <si>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</si>
  <si>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</si>
  <si>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</si>
  <si>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</si>
  <si>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</si>
  <si>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</si>
  <si>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</si>
  <si>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</si>
  <si>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</si>
  <si>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</si>
  <si>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</si>
  <si>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</si>
  <si>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</si>
  <si>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</si>
  <si>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</si>
  <si>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</si>
  <si>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</si>
  <si>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</si>
  <si>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</si>
  <si>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</si>
  <si>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</si>
  <si>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</si>
  <si>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</si>
  <si>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</si>
  <si>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</si>
  <si>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</si>
  <si>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</si>
  <si>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</si>
  <si>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</si>
  <si>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</si>
  <si>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</si>
  <si>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</si>
  <si>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</si>
  <si>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</si>
  <si>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</si>
  <si>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</si>
  <si>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</si>
  <si>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</si>
  <si>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</si>
  <si>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</si>
  <si>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</si>
  <si>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</si>
  <si>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</si>
  <si>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</si>
  <si>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</si>
  <si>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</si>
  <si>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</si>
  <si>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</si>
  <si>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</si>
  <si>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</si>
  <si>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</si>
  <si>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</si>
  <si>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</si>
  <si>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</si>
  <si>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</si>
  <si>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</si>
  <si>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</si>
  <si>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</si>
  <si>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</si>
  <si>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</si>
  <si>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</si>
  <si>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</si>
  <si>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</si>
  <si>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</si>
  <si>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</si>
  <si>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</si>
  <si>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</si>
  <si>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</si>
  <si>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</si>
  <si>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</si>
  <si>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</si>
  <si>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</si>
  <si>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</si>
  <si>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</si>
  <si>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</si>
  <si>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</si>
  <si>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</si>
  <si>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</si>
  <si>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</si>
  <si>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</si>
  <si>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</si>
  <si>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</si>
  <si>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</si>
  <si>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</si>
  <si>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</si>
  <si>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</si>
  <si>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</si>
  <si>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</si>
  <si>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</si>
  <si>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</si>
  <si>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</si>
  <si>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</si>
  <si>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</si>
  <si>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</si>
  <si>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</si>
  <si>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</si>
  <si>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</si>
  <si>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</si>
  <si>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</si>
  <si>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</si>
  <si>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</si>
  <si>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</si>
  <si>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</si>
  <si>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</si>
  <si>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</si>
  <si>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</si>
  <si>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</si>
  <si>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</si>
  <si>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</si>
  <si>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</si>
  <si>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</si>
  <si>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</si>
  <si>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</si>
  <si>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</si>
  <si>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</si>
  <si>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</si>
  <si>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</si>
  <si>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</si>
  <si>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</si>
  <si>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</si>
  <si>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</si>
  <si>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</si>
  <si>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</si>
  <si>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</si>
  <si>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</si>
  <si>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</si>
  <si>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</si>
  <si>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</si>
  <si>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</si>
  <si>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</si>
  <si>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</si>
  <si>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</si>
  <si>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</si>
  <si>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</si>
  <si>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</si>
  <si>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</si>
  <si>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</si>
  <si>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</si>
  <si>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</si>
  <si>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</si>
  <si>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</si>
  <si>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</si>
  <si>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</si>
  <si>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</si>
  <si>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</si>
  <si>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</si>
  <si>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</si>
  <si>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</si>
  <si>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</si>
  <si>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</si>
  <si>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</si>
  <si>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</si>
  <si>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</si>
  <si>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</si>
  <si>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</si>
  <si>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</si>
  <si>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</si>
  <si>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</si>
  <si>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</si>
  <si>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</si>
  <si>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</si>
  <si>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</si>
  <si>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</si>
  <si>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</si>
  <si>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</si>
  <si>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</si>
  <si>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</si>
  <si>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</si>
  <si>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</si>
  <si>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</si>
  <si>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</si>
  <si>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</si>
  <si>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</si>
  <si>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</si>
  <si>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</si>
  <si>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</si>
  <si>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</si>
  <si>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</si>
  <si>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</si>
  <si>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</si>
  <si>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</si>
  <si>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</si>
  <si>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</si>
  <si>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</si>
  <si>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</si>
  <si>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</si>
  <si>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</si>
  <si>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</si>
  <si>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</si>
  <si>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</si>
  <si>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</si>
  <si>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</si>
  <si>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</si>
  <si>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</si>
  <si>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</si>
  <si>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</si>
  <si>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</si>
  <si>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</si>
  <si>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</si>
  <si>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</si>
  <si>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</si>
  <si>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</si>
  <si>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</si>
  <si>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</si>
  <si>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</si>
  <si>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</si>
  <si>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</si>
  <si>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</si>
  <si>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</si>
  <si>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</si>
  <si>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</si>
  <si>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</si>
  <si>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</si>
  <si>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</si>
  <si>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</si>
  <si>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</si>
  <si>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</si>
  <si>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</si>
  <si>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</si>
  <si>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</si>
  <si>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</si>
  <si>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</si>
  <si>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</si>
  <si>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</si>
  <si>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</si>
  <si>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</si>
  <si>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</si>
  <si>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</si>
  <si>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</si>
  <si>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</si>
  <si>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</si>
  <si>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</si>
  <si>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</si>
  <si>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</si>
  <si>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</si>
  <si>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</si>
  <si>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</si>
  <si>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</si>
  <si>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</si>
  <si>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</si>
  <si>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</si>
  <si>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</si>
  <si>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</si>
  <si>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</si>
  <si>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</si>
  <si>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</si>
  <si>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</si>
  <si>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</si>
  <si>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</si>
  <si>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</si>
  <si>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</si>
  <si>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</si>
  <si>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</si>
  <si>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</si>
  <si>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</si>
  <si>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</si>
  <si>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</si>
  <si>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</si>
  <si>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</si>
  <si>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</si>
  <si>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</si>
  <si>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</si>
  <si>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</si>
  <si>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</si>
  <si>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</si>
  <si>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</si>
  <si>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</si>
  <si>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</si>
  <si>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</si>
  <si>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</si>
  <si>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</si>
  <si>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</si>
  <si>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</si>
  <si>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</si>
  <si>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</si>
  <si>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</si>
  <si>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</si>
  <si>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</si>
  <si>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</si>
  <si>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</si>
  <si>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</si>
  <si>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</si>
  <si>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</si>
  <si>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</si>
  <si>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</si>
  <si>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</si>
  <si>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</si>
  <si>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</si>
  <si>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</si>
  <si>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</si>
  <si>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</si>
  <si>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</si>
  <si>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</si>
  <si>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</si>
  <si>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CleanedTotalCharges</t>
  </si>
  <si>
    <t>TenureGroup</t>
  </si>
  <si>
    <t>RiskSegment</t>
  </si>
  <si>
    <t>0-1 Year</t>
  </si>
  <si>
    <t>Standard Spend</t>
  </si>
  <si>
    <t>1-3 Years</t>
  </si>
  <si>
    <t>3+ Years</t>
  </si>
  <si>
    <t>High Spend</t>
  </si>
  <si>
    <t xml:space="preserve">Total Customers  </t>
  </si>
  <si>
    <t>Overall Churn Rate</t>
  </si>
  <si>
    <t>Total Revenue Lost</t>
  </si>
  <si>
    <t>Avg Charge of Churned Users</t>
  </si>
  <si>
    <t>Row Labels</t>
  </si>
  <si>
    <t>Grand Total</t>
  </si>
  <si>
    <t>Column Labels</t>
  </si>
  <si>
    <t>Count of CustomerID</t>
  </si>
  <si>
    <t>Churn by Contract Type</t>
  </si>
  <si>
    <t>Churn By Tenure Group</t>
  </si>
  <si>
    <t>Revenue Lost By Internet Service</t>
  </si>
  <si>
    <t>Sum of TotalCharges</t>
  </si>
  <si>
    <t>KPI Cards</t>
  </si>
  <si>
    <t>Telecom Churn &amp; Revenue Risk Executive Summary</t>
  </si>
  <si>
    <r>
      <rPr>
        <b/>
        <sz val="11"/>
        <color theme="1"/>
        <rFont val="Calibri"/>
        <family val="2"/>
        <scheme val="minor"/>
      </rPr>
      <t>3. Strategic Action Plan (Retention Strategy)</t>
    </r>
    <r>
      <rPr>
        <sz val="11"/>
        <color theme="1"/>
        <rFont val="Calibri"/>
        <family val="2"/>
        <scheme val="minor"/>
      </rPr>
      <t xml:space="preserve">
Contract Migration Campaign: Target month-to-month Fiber Optic users in months 6–9 with targeted incentives (e.g., a 10% discount on 1-year contract conversions).
Bundle Tech Support: Automatically include 6 months of free Tech Support and Online Security with high-tier Fiber plans to increase early-tenure stickiness.
Early Onboarding Intervention: Deploy automated check-ins and onboarding assistance during the first 90 days, as 40%+ of all churn occurs during this period.</t>
    </r>
  </si>
  <si>
    <t>Executive Insights &amp; Strategic Recommendations</t>
  </si>
  <si>
    <r>
      <rPr>
        <b/>
        <sz val="11"/>
        <color theme="1"/>
        <rFont val="Calibri"/>
        <family val="2"/>
        <scheme val="minor"/>
      </rPr>
      <t>1. Primary Churn Drivers (Risk Analysis)</t>
    </r>
    <r>
      <rPr>
        <sz val="11"/>
        <color theme="1"/>
        <rFont val="Calibri"/>
        <family val="2"/>
        <scheme val="minor"/>
      </rPr>
      <t xml:space="preserve">
Contract Risk: Month-to-month contract holders account for 42% of total customer churn, compared to less than 3% churn for users on two-year contracts.
Service Bottlenecks: Fiber Optic users exhibit a 30.9% churn rate, despite paying the highest average monthly fees.
Support Add-ons: Customers without added Tech Support or Online Security features are 3x more likely to churn within their first 12 months than those with active support.</t>
    </r>
  </si>
  <si>
    <r>
      <rPr>
        <b/>
        <sz val="11"/>
        <color theme="1"/>
        <rFont val="Calibri"/>
        <family val="2"/>
        <scheme val="minor"/>
      </rPr>
      <t>2. Financial Impact &amp; Revenue Loss</t>
    </r>
    <r>
      <rPr>
        <sz val="11"/>
        <color theme="1"/>
        <rFont val="Calibri"/>
        <family val="2"/>
        <scheme val="minor"/>
      </rPr>
      <t xml:space="preserve">
Revenue Leakage: Early churn (customers leaving within the first 1–12 months) accounts for over 120K+ in lost annual recurring revenue (ARR).
Customer Lifetime Value (LTV): High Monthly Spend customers on short-term contracts represent the highest dollar loss per churned account.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</si>
</sst>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9" x14ac:knownFonts="1">
    <font>
      <sz val="11"/>
      <color theme="1"/>
      <name val="Calibri"/>
      <family val="2"/>
      <scheme val="minor"/>
    </font>
    <font>
      <b/>
      <sz val="11"/>
      <color theme="0"/>
      <name val="Calibri"/>
      <family val="2"/>
      <scheme val="minor"/>
    </font>
    <font>
      <b/>
      <sz val="11"/>
      <color theme="1"/>
      <name val="Calibri"/>
      <family val="2"/>
      <scheme val="minor"/>
    </font>
    <font>
      <b/>
      <sz val="11"/>
      <color theme="1"/>
      <name val="Calibri Light"/>
      <family val="2"/>
      <scheme val="major"/>
    </font>
    <font>
      <b/>
      <sz val="11"/>
      <color rgb="FF1F1F1F"/>
      <name val="Calibri Light"/>
      <family val="2"/>
      <scheme val="major"/>
    </font>
    <font>
      <sz val="10"/>
      <name val="Calibri Light"/>
      <family val="2"/>
      <scheme val="major"/>
    </font>
    <font>
      <sz val="10"/>
      <color theme="1"/>
      <name val="Calibri Light"/>
      <family val="2"/>
      <scheme val="major"/>
    </font>
    <font>
      <b/>
      <sz val="20"/>
      <color theme="4" tint="-0.499984740745262"/>
      <name val="Calibri"/>
      <family val="2"/>
      <scheme val="minor"/>
    </font>
    <font>
      <b/>
      <sz val="14"/>
      <color theme="0"/>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9.9978637043366805E-2"/>
        <bgColor indexed="64"/>
      </patternFill>
    </fill>
  </fills>
  <borders count="5">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5" fillId="0" borderId="0" xfId="0" applyFont="1" applyAlignment="1">
      <alignment vertical="center"/>
    </xf>
    <xf numFmtId="0" fontId="6" fillId="0" borderId="0" xfId="0" applyFont="1"/>
    <xf numFmtId="0" fontId="4" fillId="0" borderId="1" xfId="0" applyFont="1" applyFill="1" applyBorder="1" applyAlignment="1">
      <alignment horizontal="left" vertical="center" readingOrder="1"/>
    </xf>
    <xf numFmtId="0" fontId="3" fillId="0" borderId="0" xfId="0" applyFont="1" applyFill="1" applyAlignment="1"/>
    <xf numFmtId="0" fontId="0" fillId="0" borderId="0" xfId="0" applyFill="1"/>
    <xf numFmtId="164" fontId="4" fillId="0" borderId="1" xfId="0" applyNumberFormat="1" applyFont="1" applyFill="1" applyBorder="1" applyAlignment="1">
      <alignment horizontal="left" vertical="center" readingOrder="1"/>
    </xf>
    <xf numFmtId="164" fontId="6" fillId="0" borderId="0" xfId="0" applyNumberFormat="1" applyFont="1"/>
    <xf numFmtId="164" fontId="0" fillId="0" borderId="0" xfId="0" applyNumberFormat="1"/>
    <xf numFmtId="0" fontId="4" fillId="0" borderId="2" xfId="0" applyFont="1" applyFill="1" applyBorder="1" applyAlignment="1">
      <alignment horizontal="left" vertical="center" readingOrder="1"/>
    </xf>
    <xf numFmtId="164" fontId="4" fillId="0" borderId="2" xfId="0" applyNumberFormat="1" applyFont="1" applyFill="1" applyBorder="1" applyAlignment="1">
      <alignment horizontal="left" vertical="center" readingOrder="1"/>
    </xf>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0" fillId="2" borderId="0" xfId="0" applyFill="1"/>
    <xf numFmtId="0" fontId="0" fillId="3" borderId="0" xfId="0" applyFill="1"/>
    <xf numFmtId="0" fontId="7" fillId="3" borderId="0" xfId="0" applyFont="1" applyFill="1" applyAlignment="1">
      <alignment horizontal="center"/>
    </xf>
    <xf numFmtId="164" fontId="0" fillId="0" borderId="0" xfId="0" applyNumberFormat="1" applyFill="1"/>
    <xf numFmtId="0" fontId="2" fillId="4" borderId="3" xfId="0" applyFont="1" applyFill="1" applyBorder="1"/>
    <xf numFmtId="0" fontId="0" fillId="0" borderId="3" xfId="0" applyFill="1" applyBorder="1"/>
    <xf numFmtId="164" fontId="0" fillId="0" borderId="3" xfId="0" applyNumberFormat="1" applyFill="1" applyBorder="1"/>
    <xf numFmtId="0" fontId="8" fillId="2" borderId="0" xfId="0" applyFont="1" applyFill="1" applyAlignment="1">
      <alignment vertical="center"/>
    </xf>
    <xf numFmtId="0" fontId="0" fillId="5" borderId="0" xfId="0" applyFill="1"/>
    <xf numFmtId="0" fontId="0" fillId="5" borderId="4" xfId="0" applyFill="1" applyBorder="1" applyAlignment="1">
      <alignment wrapText="1"/>
    </xf>
  </cellXfs>
  <cellStyles count="1">
    <cellStyle name="Normal" xfId="0" builtinId="0"/>
  </cellStyles>
  <dxfs count="17">
    <dxf>
      <font>
        <color rgb="FF9C0006"/>
      </font>
      <fill>
        <patternFill>
          <bgColor rgb="FFFFC7CE"/>
        </patternFill>
      </fill>
    </dxf>
    <dxf>
      <font>
        <b val="0"/>
        <i val="0"/>
        <strike val="0"/>
        <condense val="0"/>
        <extend val="0"/>
        <outline val="0"/>
        <shadow val="0"/>
        <u val="none"/>
        <vertAlign val="baseline"/>
        <sz val="10"/>
        <color theme="1"/>
        <name val="Calibri Light"/>
        <family val="2"/>
        <scheme val="major"/>
      </font>
      <numFmt numFmtId="0" formatCode="General"/>
    </dxf>
    <dxf>
      <font>
        <b val="0"/>
        <i val="0"/>
        <strike val="0"/>
        <condense val="0"/>
        <extend val="0"/>
        <outline val="0"/>
        <shadow val="0"/>
        <u val="none"/>
        <vertAlign val="baseline"/>
        <sz val="10"/>
        <color theme="1"/>
        <name val="Calibri Light"/>
        <family val="2"/>
        <scheme val="major"/>
      </font>
      <numFmt numFmtId="0" formatCode="General"/>
    </dxf>
    <dxf>
      <font>
        <b val="0"/>
        <i val="0"/>
        <strike val="0"/>
        <condense val="0"/>
        <extend val="0"/>
        <outline val="0"/>
        <shadow val="0"/>
        <u val="none"/>
        <vertAlign val="baseline"/>
        <sz val="10"/>
        <color theme="1"/>
        <name val="Calibri Light"/>
        <family val="2"/>
        <scheme val="major"/>
      </font>
      <numFmt numFmtId="164" formatCode="&quot;₹&quot;\ #,##0.00"/>
    </dxf>
    <dxf>
      <font>
        <b val="0"/>
        <i val="0"/>
        <strike val="0"/>
        <condense val="0"/>
        <extend val="0"/>
        <outline val="0"/>
        <shadow val="0"/>
        <u val="none"/>
        <vertAlign val="baseline"/>
        <sz val="10"/>
        <color theme="1"/>
        <name val="Calibri Light"/>
        <family val="2"/>
        <scheme val="major"/>
      </font>
      <numFmt numFmtId="164" formatCode="&quot;₹&quot;\ #,##0.00"/>
    </dxf>
    <dxf>
      <font>
        <b val="0"/>
        <i val="0"/>
        <strike val="0"/>
        <condense val="0"/>
        <extend val="0"/>
        <outline val="0"/>
        <shadow val="0"/>
        <u val="none"/>
        <vertAlign val="baseline"/>
        <sz val="10"/>
        <color theme="1"/>
        <name val="Calibri Light"/>
        <family val="2"/>
        <scheme val="major"/>
      </font>
      <numFmt numFmtId="164" formatCode="&quot;₹&quot;\ #,##0.00"/>
    </dxf>
    <dxf>
      <font>
        <b/>
        <i val="0"/>
        <strike val="0"/>
        <condense val="0"/>
        <extend val="0"/>
        <outline val="0"/>
        <shadow val="0"/>
        <u val="none"/>
        <vertAlign val="baseline"/>
        <sz val="11"/>
        <color rgb="FF1F1F1F"/>
        <name val="Calibri Light"/>
        <family val="2"/>
        <scheme val="major"/>
      </font>
      <fill>
        <patternFill patternType="none">
          <fgColor indexed="64"/>
          <bgColor auto="1"/>
        </patternFill>
      </fill>
      <alignment horizontal="left" vertical="center" textRotation="0" wrapText="0" indent="0" justifyLastLine="0" shrinkToFit="0" readingOrder="1"/>
      <border diagonalUp="0" diagonalDown="0" outline="0">
        <left style="medium">
          <color rgb="FFC4C7C5"/>
        </left>
        <right style="medium">
          <color rgb="FFC4C7C5"/>
        </right>
        <top/>
        <bottom/>
      </border>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theme="1"/>
        <name val="Calibri Light"/>
        <family val="2"/>
        <scheme val="major"/>
      </font>
    </dxf>
    <dxf>
      <font>
        <b val="0"/>
        <i val="0"/>
        <strike val="0"/>
        <condense val="0"/>
        <extend val="0"/>
        <outline val="0"/>
        <shadow val="0"/>
        <u val="none"/>
        <vertAlign val="baseline"/>
        <sz val="10"/>
        <color auto="1"/>
        <name val="Calibri Light"/>
        <family val="2"/>
        <scheme val="maj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[Telco_Customer_Churn_Analysis.xlsx]PivoteTableSheet!PivotTable1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a:solidFill>
                  <a:schemeClr val="accent1">
                    <a:lumMod val="50000"/>
                  </a:schemeClr>
                </a:solidFill>
              </a:rPr>
              <a:t>Churn By Contract Type</a:t>
            </a:r>
          </a:p>
        </c:rich>
      </c:tx>
      <c:layout>
        <c:manualLayout>
          <c:xMode val="edge"/>
          <c:yMode val="edge"/>
          <c:x val="0.31520671123296934"/>
          <c:y val="3.858162589489398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PivoteTableSheet!$B$3:$B$4</c:f>
              <c:strCache>
                <c:ptCount val="1"/>
                <c:pt idx="0">
                  <c:v>No</c:v>
                </c:pt>
              </c:strCache>
            </c:strRef>
          </c:tx>
          <c:spPr>
            <a:solidFill>
              <a:schemeClr val="accent1"/>
            </a:solidFill>
            <a:ln>
              <a:noFill/>
            </a:ln>
            <a:effectLst/>
          </c:spPr>
          <c:invertIfNegative val="0"/>
          <c:cat>
            <c:strRef>
              <c:f>PivoteTableSheet!$A$5:$A$8</c:f>
              <c:strCache>
                <c:ptCount val="3"/>
                <c:pt idx="0">
                  <c:v>Month-to-month</c:v>
                </c:pt>
                <c:pt idx="1">
                  <c:v>One year</c:v>
                </c:pt>
                <c:pt idx="2">
                  <c:v>Two year</c:v>
                </c:pt>
              </c:strCache>
            </c:strRef>
          </c:cat>
          <c:val>
            <c:numRef>
              <c:f>PivoteTableSheet!$B$5:$B$8</c:f>
              <c:numCache>
                <c:formatCode>General</c:formatCode>
                <c:ptCount val="3"/>
                <c:pt idx="0">
                  <c:v>1601</c:v>
                </c:pt>
                <c:pt idx="1">
                  <c:v>918</c:v>
                </c:pt>
                <c:pt idx="2">
                  <c:v>1169</c:v>
                </c:pt>
              </c:numCache>
            </c:numRef>
          </c:val>
          <c:extLst>
            <c:ext xmlns:c16="http://schemas.microsoft.com/office/drawing/2014/chart" uri="{C3380CC4-5D6E-409C-BE32-E72D297353CC}">
              <c16:uniqueId val="{00000000-9E9A-4790-9690-A92C70384FAB}"/>
            </c:ext>
          </c:extLst>
        </c:ser>
        <c:ser>
          <c:idx val="1"/>
          <c:order val="1"/>
          <c:tx>
            <c:strRef>
              <c:f>PivoteTableSheet!$C$3:$C$4</c:f>
              <c:strCache>
                <c:ptCount val="1"/>
                <c:pt idx="0">
                  <c:v>Yes</c:v>
                </c:pt>
              </c:strCache>
            </c:strRef>
          </c:tx>
          <c:spPr>
            <a:solidFill>
              <a:schemeClr val="accent2"/>
            </a:solidFill>
            <a:ln>
              <a:noFill/>
            </a:ln>
            <a:effectLst/>
          </c:spPr>
          <c:invertIfNegative val="0"/>
          <c:cat>
            <c:strRef>
              <c:f>PivoteTableSheet!$A$5:$A$8</c:f>
              <c:strCache>
                <c:ptCount val="3"/>
                <c:pt idx="0">
                  <c:v>Month-to-month</c:v>
                </c:pt>
                <c:pt idx="1">
                  <c:v>One year</c:v>
                </c:pt>
                <c:pt idx="2">
                  <c:v>Two year</c:v>
                </c:pt>
              </c:strCache>
            </c:strRef>
          </c:cat>
          <c:val>
            <c:numRef>
              <c:f>PivoteTableSheet!$C$5:$C$8</c:f>
              <c:numCache>
                <c:formatCode>General</c:formatCode>
                <c:ptCount val="3"/>
                <c:pt idx="0">
                  <c:v>1172</c:v>
                </c:pt>
                <c:pt idx="1">
                  <c:v>113</c:v>
                </c:pt>
                <c:pt idx="2">
                  <c:v>28</c:v>
                </c:pt>
              </c:numCache>
            </c:numRef>
          </c:val>
          <c:extLst>
            <c:ext xmlns:c16="http://schemas.microsoft.com/office/drawing/2014/chart" uri="{C3380CC4-5D6E-409C-BE32-E72D297353CC}">
              <c16:uniqueId val="{00000001-9E9A-4790-9690-A92C70384FAB}"/>
            </c:ext>
          </c:extLst>
        </c:ser>
        <c:dLbls>
          <c:dLblPos val="ctr"/>
          <c:showLegendKey val="0"/>
          <c:showVal val="0"/>
          <c:showCatName val="0"/>
          <c:showSerName val="0"/>
          <c:showPercent val="0"/>
          <c:showBubbleSize val="0"/>
        </c:dLbls>
        <c:gapWidth val="150"/>
        <c:overlap val="100"/>
        <c:axId val="1651477376"/>
        <c:axId val="1984053456"/>
      </c:barChart>
      <c:catAx>
        <c:axId val="165147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053456"/>
        <c:crosses val="autoZero"/>
        <c:auto val="1"/>
        <c:lblAlgn val="ctr"/>
        <c:lblOffset val="100"/>
        <c:noMultiLvlLbl val="0"/>
      </c:catAx>
      <c:valAx>
        <c:axId val="19840534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7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[Telco_Customer_Churn_Analysis.xlsx]PivoteTableSheet!PivotTable2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50000"/>
                  </a:schemeClr>
                </a:solidFill>
              </a:rPr>
              <a:t>Churn By Tenure Group</a:t>
            </a:r>
          </a:p>
        </c:rich>
      </c:tx>
      <c:layout>
        <c:manualLayout>
          <c:xMode val="edge"/>
          <c:yMode val="edge"/>
          <c:x val="0.30709286465227631"/>
          <c:y val="5.1805945833422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PivoteTableSheet!$B$13:$B$14</c:f>
              <c:strCache>
                <c:ptCount val="1"/>
                <c:pt idx="0">
                  <c:v>No</c:v>
                </c:pt>
              </c:strCache>
            </c:strRef>
          </c:tx>
          <c:spPr>
            <a:solidFill>
              <a:schemeClr val="accent1"/>
            </a:solidFill>
            <a:ln>
              <a:noFill/>
            </a:ln>
            <a:effectLst/>
          </c:spPr>
          <c:invertIfNegative val="0"/>
          <c:cat>
            <c:strRef>
              <c:f>PivoteTableSheet!$A$15:$A$18</c:f>
              <c:strCache>
                <c:ptCount val="3"/>
                <c:pt idx="0">
                  <c:v>0-1 Year</c:v>
                </c:pt>
                <c:pt idx="1">
                  <c:v>1-3 Years</c:v>
                </c:pt>
                <c:pt idx="2">
                  <c:v>3+ Years</c:v>
                </c:pt>
              </c:strCache>
            </c:strRef>
          </c:cat>
          <c:val>
            <c:numRef>
              <c:f>PivoteTableSheet!$B$15:$B$18</c:f>
              <c:numCache>
                <c:formatCode>General</c:formatCode>
                <c:ptCount val="3"/>
                <c:pt idx="0">
                  <c:v>845</c:v>
                </c:pt>
                <c:pt idx="1">
                  <c:v>971</c:v>
                </c:pt>
                <c:pt idx="2">
                  <c:v>1872</c:v>
                </c:pt>
              </c:numCache>
            </c:numRef>
          </c:val>
          <c:extLst>
            <c:ext xmlns:c16="http://schemas.microsoft.com/office/drawing/2014/chart" uri="{C3380CC4-5D6E-409C-BE32-E72D297353CC}">
              <c16:uniqueId val="{00000000-B8CD-4CB3-A535-6C10215AF39E}"/>
            </c:ext>
          </c:extLst>
        </c:ser>
        <c:ser>
          <c:idx val="1"/>
          <c:order val="1"/>
          <c:tx>
            <c:strRef>
              <c:f>PivoteTableSheet!$C$13:$C$14</c:f>
              <c:strCache>
                <c:ptCount val="1"/>
                <c:pt idx="0">
                  <c:v>Yes</c:v>
                </c:pt>
              </c:strCache>
            </c:strRef>
          </c:tx>
          <c:spPr>
            <a:solidFill>
              <a:schemeClr val="accent2"/>
            </a:solidFill>
            <a:ln>
              <a:noFill/>
            </a:ln>
            <a:effectLst/>
          </c:spPr>
          <c:invertIfNegative val="0"/>
          <c:cat>
            <c:strRef>
              <c:f>PivoteTableSheet!$A$15:$A$18</c:f>
              <c:strCache>
                <c:ptCount val="3"/>
                <c:pt idx="0">
                  <c:v>0-1 Year</c:v>
                </c:pt>
                <c:pt idx="1">
                  <c:v>1-3 Years</c:v>
                </c:pt>
                <c:pt idx="2">
                  <c:v>3+ Years</c:v>
                </c:pt>
              </c:strCache>
            </c:strRef>
          </c:cat>
          <c:val>
            <c:numRef>
              <c:f>PivoteTableSheet!$C$15:$C$18</c:f>
              <c:numCache>
                <c:formatCode>General</c:formatCode>
                <c:ptCount val="3"/>
                <c:pt idx="0">
                  <c:v>731</c:v>
                </c:pt>
                <c:pt idx="1">
                  <c:v>344</c:v>
                </c:pt>
                <c:pt idx="2">
                  <c:v>238</c:v>
                </c:pt>
              </c:numCache>
            </c:numRef>
          </c:val>
          <c:extLst>
            <c:ext xmlns:c16="http://schemas.microsoft.com/office/drawing/2014/chart" uri="{C3380CC4-5D6E-409C-BE32-E72D297353CC}">
              <c16:uniqueId val="{00000001-B8CD-4CB3-A535-6C10215AF39E}"/>
            </c:ext>
          </c:extLst>
        </c:ser>
        <c:dLbls>
          <c:showLegendKey val="0"/>
          <c:showVal val="0"/>
          <c:showCatName val="0"/>
          <c:showSerName val="0"/>
          <c:showPercent val="0"/>
          <c:showBubbleSize val="0"/>
        </c:dLbls>
        <c:gapWidth val="219"/>
        <c:overlap val="-27"/>
        <c:axId val="2137952880"/>
        <c:axId val="1984026096"/>
      </c:barChart>
      <c:catAx>
        <c:axId val="21379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026096"/>
        <c:crosses val="autoZero"/>
        <c:auto val="1"/>
        <c:lblAlgn val="ctr"/>
        <c:lblOffset val="100"/>
        <c:noMultiLvlLbl val="0"/>
      </c:catAx>
      <c:valAx>
        <c:axId val="198402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5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[Telco_Customer_Churn_Analysis.xlsx]PivoteTableSheet!PivotTable3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chemeClr val="accent1">
                    <a:lumMod val="50000"/>
                  </a:schemeClr>
                </a:solidFill>
              </a:rPr>
              <a:t>Revenue Lost By Internet Service</a:t>
            </a:r>
          </a:p>
        </c:rich>
      </c:tx>
      <c:layout>
        <c:manualLayout>
          <c:xMode val="edge"/>
          <c:yMode val="edge"/>
          <c:x val="0.31303140733274193"/>
          <c:y val="4.350453834458851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PivoteTableSheet!$C$23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EB-4018-9990-D509DD2E15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EB-4018-9990-D509DD2E15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EB-4018-9990-D509DD2E15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EB-4018-9990-D509DD2E15D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EB-4018-9990-D509DD2E15D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8EB-4018-9990-D509DD2E15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PivoteTableSheet!$A$24:$B$30</c:f>
              <c:multiLvlStrCache>
                <c:ptCount val="6"/>
                <c:lvl>
                  <c:pt idx="0">
                    <c:v>No</c:v>
                  </c:pt>
                  <c:pt idx="1">
                    <c:v>Yes</c:v>
                  </c:pt>
                  <c:pt idx="2">
                    <c:v>No</c:v>
                  </c:pt>
                  <c:pt idx="3">
                    <c:v>Yes</c:v>
                  </c:pt>
                  <c:pt idx="4">
                    <c:v>No</c:v>
                  </c:pt>
                  <c:pt idx="5">
                    <c:v>Yes</c:v>
                  </c:pt>
                </c:lvl>
                <c:lvl>
                  <c:pt idx="0">
                    <c:v>DSL</c:v>
                  </c:pt>
                  <c:pt idx="2">
                    <c:v>Fiber optic</c:v>
                  </c:pt>
                  <c:pt idx="4">
                    <c:v>No</c:v>
                  </c:pt>
                </c:lvl>
              </c:multiLvlStrCache>
            </c:multiLvlStrRef>
          </c:cat>
          <c:val>
            <c:numRef>
              <c:f>PivoteTableSheet!$C$24:$C$30</c:f>
              <c:numCache>
                <c:formatCode>General</c:formatCode>
                <c:ptCount val="6"/>
                <c:pt idx="0">
                  <c:v>3407968.2999999993</c:v>
                </c:pt>
                <c:pt idx="1">
                  <c:v>241635.14999999994</c:v>
                </c:pt>
                <c:pt idx="2">
                  <c:v>5245059.2000000048</c:v>
                </c:pt>
                <c:pt idx="3">
                  <c:v>1729980.6499999994</c:v>
                </c:pt>
                <c:pt idx="4">
                  <c:v>719905.30000000016</c:v>
                </c:pt>
                <c:pt idx="5">
                  <c:v>13374.850000000002</c:v>
                </c:pt>
              </c:numCache>
            </c:numRef>
          </c:val>
          <c:extLst>
            <c:ext xmlns:c16="http://schemas.microsoft.com/office/drawing/2014/chart" uri="{C3380CC4-5D6E-409C-BE32-E72D297353CC}">
              <c16:uniqueId val="{0000000C-D8EB-4018-9990-D509DD2E15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59265</xdr:colOff>
      <xdr:row>9</xdr:row>
      <xdr:rowOff>44873</xdr:rowOff>
    </xdr:from>
    <xdr:to>
      <xdr:col>4</xdr:col>
      <xdr:colOff>0</xdr:colOff>
      <xdr:row>19</xdr:row>
      <xdr:rowOff>84667</xdr:rowOff>
    </xdr:to>
    <xdr:graphicFrame macro="">
      <xdr:nvGraphicFramePr>
        <xdr:cNvPr id="2" name="Chart 1">
          <a:extLst>
            <a:ext uri="{FF2B5EF4-FFF2-40B4-BE49-F238E27FC236}">
              <a16:creationId xmlns:a16="http://schemas.microsoft.com/office/drawing/2014/main" id="{F50E2706-C808-4853-A1F6-940BD9703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145625</xdr:colOff>
      <xdr:row>9</xdr:row>
      <xdr:rowOff>48682</xdr:rowOff>
    </xdr:from>
    <xdr:to>
      <xdr:col>9</xdr:col>
      <xdr:colOff>374224</xdr:colOff>
      <xdr:row>19</xdr:row>
      <xdr:rowOff>93133</xdr:rowOff>
    </xdr:to>
    <xdr:graphicFrame macro="">
      <xdr:nvGraphicFramePr>
        <xdr:cNvPr id="3" name="Chart 2">
          <a:extLst>
            <a:ext uri="{FF2B5EF4-FFF2-40B4-BE49-F238E27FC236}">
              <a16:creationId xmlns:a16="http://schemas.microsoft.com/office/drawing/2014/main" id="{8161A856-0DF2-4D0C-A2BB-3797CAA4F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56726</xdr:colOff>
      <xdr:row>19</xdr:row>
      <xdr:rowOff>169333</xdr:rowOff>
    </xdr:from>
    <xdr:to>
      <xdr:col>4</xdr:col>
      <xdr:colOff>5925</xdr:colOff>
      <xdr:row>31</xdr:row>
      <xdr:rowOff>45720</xdr:rowOff>
    </xdr:to>
    <xdr:graphicFrame macro="">
      <xdr:nvGraphicFramePr>
        <xdr:cNvPr id="4" name="Chart 3">
          <a:extLst>
            <a:ext uri="{FF2B5EF4-FFF2-40B4-BE49-F238E27FC236}">
              <a16:creationId xmlns:a16="http://schemas.microsoft.com/office/drawing/2014/main" id="{29437E4C-FA2B-4C9C-8A6A-F7AF55784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143086</xdr:colOff>
      <xdr:row>23</xdr:row>
      <xdr:rowOff>174414</xdr:rowOff>
    </xdr:from>
    <xdr:to>
      <xdr:col>9</xdr:col>
      <xdr:colOff>381000</xdr:colOff>
      <xdr:row>27</xdr:row>
      <xdr:rowOff>76200</xdr:rowOff>
    </xdr:to>
    <mc:AlternateContent xmlns:mc="http://schemas.openxmlformats.org/markup-compatibility/2006">
      <mc:Choice xmlns:a14="http://schemas.microsoft.com/office/drawing/2010/main" Requires="a14">
        <xdr:graphicFrame macro="">
          <xdr:nvGraphicFramePr>
            <xdr:cNvPr id="5" name="InternetService">
              <a:extLst>
                <a:ext uri="{FF2B5EF4-FFF2-40B4-BE49-F238E27FC236}">
                  <a16:creationId xmlns:a16="http://schemas.microsoft.com/office/drawing/2014/main" id="{26CF1476-16A1-C439-AA08-5544D435BE0A}"/>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5164666" y="4746414"/>
              <a:ext cx="4375574" cy="633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138006</xdr:colOff>
      <xdr:row>19</xdr:row>
      <xdr:rowOff>176955</xdr:rowOff>
    </xdr:from>
    <xdr:to>
      <xdr:col>9</xdr:col>
      <xdr:colOff>373380</xdr:colOff>
      <xdr:row>23</xdr:row>
      <xdr:rowOff>76201</xdr:rowOff>
    </xdr:to>
    <mc:AlternateContent xmlns:mc="http://schemas.openxmlformats.org/markup-compatibility/2006">
      <mc:Choice xmlns:a14="http://schemas.microsoft.com/office/drawing/2010/main" Requires="a14">
        <xdr:graphicFrame macro="">
          <xdr:nvGraphicFramePr>
            <xdr:cNvPr id="6" name="TechSupport">
              <a:extLst>
                <a:ext uri="{FF2B5EF4-FFF2-40B4-BE49-F238E27FC236}">
                  <a16:creationId xmlns:a16="http://schemas.microsoft.com/office/drawing/2014/main" id="{23E9392D-1D29-1679-B433-2A272BB0BCE7}"/>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dr:sp macro="" textlink="">
          <xdr:nvSpPr>
            <xdr:cNvPr id="0" name=""/>
            <xdr:cNvSpPr>
              <a:spLocks noTextEdit="1"/>
            </xdr:cNvSpPr>
          </xdr:nvSpPr>
          <xdr:spPr>
            <a:xfrm>
              <a:off x="5159586" y="4017435"/>
              <a:ext cx="4373034" cy="630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141392</xdr:colOff>
      <xdr:row>27</xdr:row>
      <xdr:rowOff>132082</xdr:rowOff>
    </xdr:from>
    <xdr:to>
      <xdr:col>9</xdr:col>
      <xdr:colOff>373380</xdr:colOff>
      <xdr:row>31</xdr:row>
      <xdr:rowOff>45720</xdr:rowOff>
    </xdr:to>
    <mc:AlternateContent xmlns:mc="http://schemas.openxmlformats.org/markup-compatibility/2006">
      <mc:Choice xmlns:a14="http://schemas.microsoft.com/office/drawing/2010/main" Requires="a14">
        <xdr:graphicFrame macro="">
          <xdr:nvGraphicFramePr>
            <xdr:cNvPr id="7" name="PaymentMethod">
              <a:extLst>
                <a:ext uri="{FF2B5EF4-FFF2-40B4-BE49-F238E27FC236}">
                  <a16:creationId xmlns:a16="http://schemas.microsoft.com/office/drawing/2014/main" id="{1B6F7EAB-A81F-50E3-E8CD-F60F944AD82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5162972" y="5435602"/>
              <a:ext cx="4369648" cy="645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3</xdr:row>
      <xdr:rowOff>106680</xdr:rowOff>
    </xdr:from>
    <xdr:to>
      <xdr:col>2</xdr:col>
      <xdr:colOff>746760</xdr:colOff>
      <xdr:row>7</xdr:row>
      <xdr:rowOff>15240</xdr:rowOff>
    </xdr:to>
    <xdr:sp macro="" textlink="">
      <xdr:nvSpPr>
        <xdr:cNvPr id="8" name="Rectangle: Rounded Corners 7">
          <a:extLst>
            <a:ext uri="{FF2B5EF4-FFF2-40B4-BE49-F238E27FC236}">
              <a16:creationId xmlns:a16="http://schemas.microsoft.com/office/drawing/2014/main" id="{B8DB95DD-5075-9F2B-B845-733C0FEEFB4A}"/>
            </a:ext>
          </a:extLst>
        </xdr:cNvPr>
        <xdr:cNvSpPr/>
      </xdr:nvSpPr>
      <xdr:spPr>
        <a:xfrm>
          <a:off x="624840" y="1021080"/>
          <a:ext cx="1851660" cy="6400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Total Customers</a:t>
          </a:r>
        </a:p>
        <a:p>
          <a:pPr algn="ctr"/>
          <a:r>
            <a:rPr lang="en-IN" sz="1400" b="0"/>
            <a:t>5001</a:t>
          </a:r>
        </a:p>
      </xdr:txBody>
    </xdr:sp>
    <xdr:clientData/>
  </xdr:twoCellAnchor>
  <xdr:twoCellAnchor>
    <xdr:from>
      <xdr:col>2</xdr:col>
      <xdr:colOff>1089660</xdr:colOff>
      <xdr:row>3</xdr:row>
      <xdr:rowOff>121920</xdr:rowOff>
    </xdr:from>
    <xdr:to>
      <xdr:col>3</xdr:col>
      <xdr:colOff>1028700</xdr:colOff>
      <xdr:row>7</xdr:row>
      <xdr:rowOff>7620</xdr:rowOff>
    </xdr:to>
    <xdr:sp macro="" textlink="">
      <xdr:nvSpPr>
        <xdr:cNvPr id="9" name="Rectangle: Rounded Corners 8">
          <a:extLst>
            <a:ext uri="{FF2B5EF4-FFF2-40B4-BE49-F238E27FC236}">
              <a16:creationId xmlns:a16="http://schemas.microsoft.com/office/drawing/2014/main" id="{B0E8E8A9-9D1C-4466-879C-8C70E588956F}"/>
            </a:ext>
          </a:extLst>
        </xdr:cNvPr>
        <xdr:cNvSpPr/>
      </xdr:nvSpPr>
      <xdr:spPr>
        <a:xfrm>
          <a:off x="2819400" y="1036320"/>
          <a:ext cx="1866900" cy="6172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Overall Churn Rate</a:t>
          </a:r>
        </a:p>
        <a:p>
          <a:pPr algn="ctr"/>
          <a:r>
            <a:rPr lang="en-IN" sz="1200" b="1"/>
            <a:t>26.25%</a:t>
          </a:r>
        </a:p>
      </xdr:txBody>
    </xdr:sp>
    <xdr:clientData/>
  </xdr:twoCellAnchor>
  <xdr:twoCellAnchor>
    <xdr:from>
      <xdr:col>3</xdr:col>
      <xdr:colOff>1318260</xdr:colOff>
      <xdr:row>3</xdr:row>
      <xdr:rowOff>152400</xdr:rowOff>
    </xdr:from>
    <xdr:to>
      <xdr:col>5</xdr:col>
      <xdr:colOff>121920</xdr:colOff>
      <xdr:row>7</xdr:row>
      <xdr:rowOff>15240</xdr:rowOff>
    </xdr:to>
    <xdr:sp macro="" textlink="">
      <xdr:nvSpPr>
        <xdr:cNvPr id="10" name="Rectangle: Rounded Corners 9">
          <a:extLst>
            <a:ext uri="{FF2B5EF4-FFF2-40B4-BE49-F238E27FC236}">
              <a16:creationId xmlns:a16="http://schemas.microsoft.com/office/drawing/2014/main" id="{BC8F54AE-A52C-4DB1-BF13-C6B7731B1BB9}"/>
            </a:ext>
          </a:extLst>
        </xdr:cNvPr>
        <xdr:cNvSpPr/>
      </xdr:nvSpPr>
      <xdr:spPr>
        <a:xfrm>
          <a:off x="4975860" y="1066800"/>
          <a:ext cx="1866900" cy="5943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Total</a:t>
          </a:r>
          <a:r>
            <a:rPr lang="en-IN" sz="1200" b="1" baseline="0"/>
            <a:t> Revenue Lost</a:t>
          </a:r>
        </a:p>
        <a:p>
          <a:pPr algn="ctr"/>
          <a:r>
            <a:rPr lang="en-IN" sz="1200" b="1"/>
            <a:t>₹ 19,84,990.65</a:t>
          </a:r>
        </a:p>
      </xdr:txBody>
    </xdr:sp>
    <xdr:clientData/>
  </xdr:twoCellAnchor>
  <xdr:twoCellAnchor>
    <xdr:from>
      <xdr:col>5</xdr:col>
      <xdr:colOff>388620</xdr:colOff>
      <xdr:row>3</xdr:row>
      <xdr:rowOff>167640</xdr:rowOff>
    </xdr:from>
    <xdr:to>
      <xdr:col>9</xdr:col>
      <xdr:colOff>243840</xdr:colOff>
      <xdr:row>7</xdr:row>
      <xdr:rowOff>22860</xdr:rowOff>
    </xdr:to>
    <xdr:sp macro="" textlink="">
      <xdr:nvSpPr>
        <xdr:cNvPr id="11" name="Rectangle: Rounded Corners 10">
          <a:extLst>
            <a:ext uri="{FF2B5EF4-FFF2-40B4-BE49-F238E27FC236}">
              <a16:creationId xmlns:a16="http://schemas.microsoft.com/office/drawing/2014/main" id="{03211AC4-271D-46B3-93FA-A965AB3E5847}"/>
            </a:ext>
          </a:extLst>
        </xdr:cNvPr>
        <xdr:cNvSpPr/>
      </xdr:nvSpPr>
      <xdr:spPr>
        <a:xfrm>
          <a:off x="7109460" y="1082040"/>
          <a:ext cx="2293620" cy="5867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Avg Charge of Churned Users</a:t>
          </a:r>
        </a:p>
        <a:p>
          <a:pPr algn="ctr"/>
          <a:r>
            <a:rPr lang="en-IN" sz="1200" b="1"/>
            <a:t>₹ 1,511.80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2.781966203707" createdVersion="8" refreshedVersion="8" minRefreshableVersion="3" recordCount="5001" xr:uid="{F78F8684-5C2F-4338-B732-C7795921DB56}">
  <cacheSource type="worksheet">
    <worksheetSource name="TelcoDataSet"/>
  </cacheSource>
  <cacheFields count="14">
    <cacheField name="CustomerID" numFmtId="0">
      <sharedItems/>
    </cacheField>
    <cacheField name="Gender" numFmtId="0">
      <sharedItems/>
    </cacheField>
    <cacheField name="ContractType" numFmtId="0">
      <sharedItems count="3">
        <s v="Month-to-month"/>
        <s v="One year"/>
        <s v="Two year"/>
      </sharedItems>
    </cacheField>
    <cacheField name="TenureMonths" numFmtId="0">
      <sharedItems containsSemiMixedTypes="0" containsString="0" containsNumber="1" containsInteger="1" minValue="0" maxValue="72"/>
    </cacheField>
    <cacheField name="InternetService" numFmtId="0">
      <sharedItems count="3">
        <s v="DSL"/>
        <s v="Fiber optic"/>
        <s v="No"/>
      </sharedItems>
    </cacheField>
    <cacheField name="TechSupport" numFmtId="0">
      <sharedItems count="3">
        <s v="No"/>
        <s v="Yes"/>
        <s v="No internet service"/>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PaperlessBilling" numFmtId="0">
      <sharedItems/>
    </cacheField>
    <cacheField name="PaymentMethod" numFmtId="0">
      <sharedItems count="4">
        <s v="Electronic check"/>
        <s v="Mailed check"/>
        <s v="Bank transfer (automatic)"/>
        <s v="Credit card (automatic)"/>
      </sharedItems>
    </cacheField>
    <cacheField name="CleanedTotalCharges" numFmtId="0">
      <sharedItems containsSemiMixedTypes="0" containsString="0" containsNumber="1" minValue="0" maxValue="8684.7999999999993"/>
    </cacheField>
    <cacheField name="TenureGroup" numFmtId="0">
      <sharedItems count="3">
        <s v="0-1 Year"/>
        <s v="1-3 Years"/>
        <s v="3+ Years"/>
      </sharedItems>
    </cacheField>
    <cacheField name="RiskSegment" numFmtId="0">
      <sharedItems/>
    </cacheField>
  </cacheFields>
  <extLst>
    <ext xmlns:x14="http://schemas.microsoft.com/office/spreadsheetml/2009/9/main" uri="{725AE2AE-9491-48be-B2B4-4EB974FC3084}">
      <x14:pivotCacheDefinition pivotCacheId="665342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s v="7590-VHVEG"/>
    <s v="Female"/>
    <x v="0"/>
    <n v="1"/>
    <x v="0"/>
    <x v="0"/>
    <n v="29.85"/>
    <n v="29.85"/>
    <x v="0"/>
    <s v="Yes"/>
    <x v="0"/>
    <n v="29.85"/>
    <x v="0"/>
    <s v="Standard Spend"/>
  </r>
  <r>
    <s v="5575-GNVDE"/>
    <s v="Male"/>
    <x v="1"/>
    <n v="34"/>
    <x v="0"/>
    <x v="0"/>
    <n v="56.95"/>
    <n v="1889.5"/>
    <x v="0"/>
    <s v="No"/>
    <x v="1"/>
    <n v="1889.5"/>
    <x v="1"/>
    <s v="Standard Spend"/>
  </r>
  <r>
    <s v="3668-QPYBK"/>
    <s v="Male"/>
    <x v="0"/>
    <n v="2"/>
    <x v="0"/>
    <x v="0"/>
    <n v="53.85"/>
    <n v="108.15"/>
    <x v="1"/>
    <s v="Yes"/>
    <x v="1"/>
    <n v="108.15"/>
    <x v="0"/>
    <s v="Standard Spend"/>
  </r>
  <r>
    <s v="7795-CFOCW"/>
    <s v="Male"/>
    <x v="1"/>
    <n v="45"/>
    <x v="0"/>
    <x v="1"/>
    <n v="42.3"/>
    <n v="1840.75"/>
    <x v="0"/>
    <s v="No"/>
    <x v="2"/>
    <n v="1840.75"/>
    <x v="2"/>
    <s v="Standard Spend"/>
  </r>
  <r>
    <s v="9237-HQITU"/>
    <s v="Female"/>
    <x v="0"/>
    <n v="2"/>
    <x v="1"/>
    <x v="0"/>
    <n v="70.7"/>
    <n v="151.65"/>
    <x v="1"/>
    <s v="Yes"/>
    <x v="0"/>
    <n v="151.65"/>
    <x v="0"/>
    <s v="Standard Spend"/>
  </r>
  <r>
    <s v="9305-CDSKC"/>
    <s v="Female"/>
    <x v="0"/>
    <n v="8"/>
    <x v="1"/>
    <x v="0"/>
    <n v="99.65"/>
    <n v="820.5"/>
    <x v="1"/>
    <s v="Yes"/>
    <x v="0"/>
    <n v="820.5"/>
    <x v="0"/>
    <s v="Standard Spend"/>
  </r>
  <r>
    <s v="1452-KIOVK"/>
    <s v="Male"/>
    <x v="0"/>
    <n v="22"/>
    <x v="1"/>
    <x v="0"/>
    <n v="89.1"/>
    <n v="1949.4"/>
    <x v="0"/>
    <s v="Yes"/>
    <x v="3"/>
    <n v="1949.4"/>
    <x v="1"/>
    <s v="Standard Spend"/>
  </r>
  <r>
    <s v="6713-OKOMC"/>
    <s v="Female"/>
    <x v="0"/>
    <n v="10"/>
    <x v="0"/>
    <x v="0"/>
    <n v="29.75"/>
    <n v="301.89999999999998"/>
    <x v="0"/>
    <s v="No"/>
    <x v="1"/>
    <n v="301.89999999999998"/>
    <x v="0"/>
    <s v="Standard Spend"/>
  </r>
  <r>
    <s v="7892-POOKP"/>
    <s v="Female"/>
    <x v="0"/>
    <n v="28"/>
    <x v="1"/>
    <x v="1"/>
    <n v="104.8"/>
    <n v="3046.05"/>
    <x v="1"/>
    <s v="Yes"/>
    <x v="0"/>
    <n v="3046.05"/>
    <x v="1"/>
    <s v="High Spend"/>
  </r>
  <r>
    <s v="6388-TABGU"/>
    <s v="Male"/>
    <x v="1"/>
    <n v="62"/>
    <x v="0"/>
    <x v="0"/>
    <n v="56.15"/>
    <n v="3487.95"/>
    <x v="0"/>
    <s v="No"/>
    <x v="2"/>
    <n v="3487.95"/>
    <x v="2"/>
    <s v="High Spend"/>
  </r>
  <r>
    <s v="9763-GRSKD"/>
    <s v="Male"/>
    <x v="0"/>
    <n v="13"/>
    <x v="0"/>
    <x v="0"/>
    <n v="49.95"/>
    <n v="587.45000000000005"/>
    <x v="0"/>
    <s v="Yes"/>
    <x v="1"/>
    <n v="587.45000000000005"/>
    <x v="1"/>
    <s v="Standard Spend"/>
  </r>
  <r>
    <s v="7469-LKBCI"/>
    <s v="Male"/>
    <x v="2"/>
    <n v="16"/>
    <x v="2"/>
    <x v="2"/>
    <n v="18.95"/>
    <n v="326.8"/>
    <x v="0"/>
    <s v="No"/>
    <x v="3"/>
    <n v="326.8"/>
    <x v="1"/>
    <s v="Standard Spend"/>
  </r>
  <r>
    <s v="8091-TTVAX"/>
    <s v="Male"/>
    <x v="1"/>
    <n v="58"/>
    <x v="1"/>
    <x v="0"/>
    <n v="100.35"/>
    <n v="5681.1"/>
    <x v="0"/>
    <s v="No"/>
    <x v="3"/>
    <n v="5681.1"/>
    <x v="2"/>
    <s v="High Spend"/>
  </r>
  <r>
    <s v="0280-XJGEX"/>
    <s v="Male"/>
    <x v="0"/>
    <n v="49"/>
    <x v="1"/>
    <x v="0"/>
    <n v="103.7"/>
    <n v="5036.3"/>
    <x v="1"/>
    <s v="Yes"/>
    <x v="2"/>
    <n v="5036.3"/>
    <x v="2"/>
    <s v="High Spend"/>
  </r>
  <r>
    <s v="5129-JLPIS"/>
    <s v="Male"/>
    <x v="0"/>
    <n v="25"/>
    <x v="1"/>
    <x v="1"/>
    <n v="105.5"/>
    <n v="2686.05"/>
    <x v="0"/>
    <s v="Yes"/>
    <x v="0"/>
    <n v="2686.05"/>
    <x v="1"/>
    <s v="High Spend"/>
  </r>
  <r>
    <s v="3655-SNQYZ"/>
    <s v="Female"/>
    <x v="2"/>
    <n v="69"/>
    <x v="1"/>
    <x v="1"/>
    <n v="113.25"/>
    <n v="7895.15"/>
    <x v="0"/>
    <s v="No"/>
    <x v="3"/>
    <n v="7895.15"/>
    <x v="2"/>
    <s v="High Spend"/>
  </r>
  <r>
    <s v="8191-XWSZG"/>
    <s v="Female"/>
    <x v="1"/>
    <n v="52"/>
    <x v="2"/>
    <x v="2"/>
    <n v="20.65"/>
    <n v="1022.95"/>
    <x v="0"/>
    <s v="No"/>
    <x v="1"/>
    <n v="1022.95"/>
    <x v="2"/>
    <s v="Standard Spend"/>
  </r>
  <r>
    <s v="9959-WOFKT"/>
    <s v="Male"/>
    <x v="2"/>
    <n v="71"/>
    <x v="1"/>
    <x v="0"/>
    <n v="106.7"/>
    <n v="7382.25"/>
    <x v="0"/>
    <s v="No"/>
    <x v="2"/>
    <n v="7382.25"/>
    <x v="2"/>
    <s v="High Spend"/>
  </r>
  <r>
    <s v="4190-MFLUW"/>
    <s v="Female"/>
    <x v="0"/>
    <n v="10"/>
    <x v="0"/>
    <x v="1"/>
    <n v="55.2"/>
    <n v="528.35"/>
    <x v="1"/>
    <s v="No"/>
    <x v="3"/>
    <n v="528.35"/>
    <x v="0"/>
    <s v="Standard Spend"/>
  </r>
  <r>
    <s v="4183-MYFRB"/>
    <s v="Female"/>
    <x v="0"/>
    <n v="21"/>
    <x v="1"/>
    <x v="0"/>
    <n v="90.05"/>
    <n v="1862.9"/>
    <x v="0"/>
    <s v="Yes"/>
    <x v="0"/>
    <n v="1862.9"/>
    <x v="1"/>
    <s v="Standard Spend"/>
  </r>
  <r>
    <s v="8779-QRDMV"/>
    <s v="Male"/>
    <x v="0"/>
    <n v="1"/>
    <x v="0"/>
    <x v="0"/>
    <n v="39.65"/>
    <n v="39.65"/>
    <x v="1"/>
    <s v="Yes"/>
    <x v="0"/>
    <n v="39.65"/>
    <x v="0"/>
    <s v="Standard Spend"/>
  </r>
  <r>
    <s v="1680-VDCWW"/>
    <s v="Male"/>
    <x v="1"/>
    <n v="12"/>
    <x v="2"/>
    <x v="2"/>
    <n v="19.8"/>
    <n v="202.25"/>
    <x v="0"/>
    <s v="No"/>
    <x v="2"/>
    <n v="202.25"/>
    <x v="0"/>
    <s v="Standard Spend"/>
  </r>
  <r>
    <s v="1066-JKSGK"/>
    <s v="Male"/>
    <x v="0"/>
    <n v="1"/>
    <x v="2"/>
    <x v="2"/>
    <n v="20.149999999999999"/>
    <n v="20.149999999999999"/>
    <x v="1"/>
    <s v="No"/>
    <x v="1"/>
    <n v="20.149999999999999"/>
    <x v="0"/>
    <s v="Standard Spend"/>
  </r>
  <r>
    <s v="3638-WEABW"/>
    <s v="Female"/>
    <x v="2"/>
    <n v="58"/>
    <x v="0"/>
    <x v="1"/>
    <n v="59.9"/>
    <n v="3505.1"/>
    <x v="0"/>
    <s v="Yes"/>
    <x v="3"/>
    <n v="3505.1"/>
    <x v="2"/>
    <s v="High Spend"/>
  </r>
  <r>
    <s v="6322-HRPFA"/>
    <s v="Male"/>
    <x v="0"/>
    <n v="49"/>
    <x v="0"/>
    <x v="1"/>
    <n v="59.6"/>
    <n v="2970.3"/>
    <x v="0"/>
    <s v="No"/>
    <x v="3"/>
    <n v="2970.3"/>
    <x v="2"/>
    <s v="High Spend"/>
  </r>
  <r>
    <s v="6865-JZNKO"/>
    <s v="Female"/>
    <x v="0"/>
    <n v="30"/>
    <x v="0"/>
    <x v="0"/>
    <n v="55.3"/>
    <n v="1530.6"/>
    <x v="0"/>
    <s v="Yes"/>
    <x v="2"/>
    <n v="1530.6"/>
    <x v="1"/>
    <s v="Standard Spend"/>
  </r>
  <r>
    <s v="6467-CHFZW"/>
    <s v="Male"/>
    <x v="0"/>
    <n v="47"/>
    <x v="1"/>
    <x v="0"/>
    <n v="99.35"/>
    <n v="4749.1499999999996"/>
    <x v="1"/>
    <s v="Yes"/>
    <x v="0"/>
    <n v="4749.1499999999996"/>
    <x v="2"/>
    <s v="High Spend"/>
  </r>
  <r>
    <s v="8665-UTDHZ"/>
    <s v="Male"/>
    <x v="0"/>
    <n v="1"/>
    <x v="0"/>
    <x v="0"/>
    <n v="30.2"/>
    <n v="30.2"/>
    <x v="1"/>
    <s v="No"/>
    <x v="0"/>
    <n v="30.2"/>
    <x v="0"/>
    <s v="Standard Spend"/>
  </r>
  <r>
    <s v="5248-YGIJN"/>
    <s v="Male"/>
    <x v="2"/>
    <n v="72"/>
    <x v="0"/>
    <x v="1"/>
    <n v="90.25"/>
    <n v="6369.45"/>
    <x v="0"/>
    <s v="Yes"/>
    <x v="3"/>
    <n v="6369.45"/>
    <x v="2"/>
    <s v="High Spend"/>
  </r>
  <r>
    <s v="8773-HHUOZ"/>
    <s v="Female"/>
    <x v="0"/>
    <n v="17"/>
    <x v="0"/>
    <x v="0"/>
    <n v="64.7"/>
    <n v="1093.0999999999999"/>
    <x v="1"/>
    <s v="Yes"/>
    <x v="1"/>
    <n v="1093.0999999999999"/>
    <x v="1"/>
    <s v="Standard Spend"/>
  </r>
  <r>
    <s v="3841-NFECX"/>
    <s v="Female"/>
    <x v="2"/>
    <n v="71"/>
    <x v="1"/>
    <x v="1"/>
    <n v="96.35"/>
    <n v="6766.95"/>
    <x v="0"/>
    <s v="Yes"/>
    <x v="3"/>
    <n v="6766.95"/>
    <x v="2"/>
    <s v="High Spend"/>
  </r>
  <r>
    <s v="4929-XIHVW"/>
    <s v="Male"/>
    <x v="0"/>
    <n v="2"/>
    <x v="1"/>
    <x v="0"/>
    <n v="95.5"/>
    <n v="181.65"/>
    <x v="0"/>
    <s v="Yes"/>
    <x v="3"/>
    <n v="181.65"/>
    <x v="0"/>
    <s v="Standard Spend"/>
  </r>
  <r>
    <s v="6827-IEAUQ"/>
    <s v="Female"/>
    <x v="1"/>
    <n v="27"/>
    <x v="0"/>
    <x v="1"/>
    <n v="66.150000000000006"/>
    <n v="1874.45"/>
    <x v="0"/>
    <s v="No"/>
    <x v="1"/>
    <n v="1874.45"/>
    <x v="1"/>
    <s v="Standard Spend"/>
  </r>
  <r>
    <s v="7310-EGVHZ"/>
    <s v="Male"/>
    <x v="0"/>
    <n v="1"/>
    <x v="2"/>
    <x v="2"/>
    <n v="20.2"/>
    <n v="20.2"/>
    <x v="0"/>
    <s v="No"/>
    <x v="2"/>
    <n v="20.2"/>
    <x v="0"/>
    <s v="Standard Spend"/>
  </r>
  <r>
    <s v="3413-BMNZE"/>
    <s v="Male"/>
    <x v="0"/>
    <n v="1"/>
    <x v="0"/>
    <x v="0"/>
    <n v="45.25"/>
    <n v="45.25"/>
    <x v="0"/>
    <s v="No"/>
    <x v="2"/>
    <n v="45.25"/>
    <x v="0"/>
    <s v="Standard Spend"/>
  </r>
  <r>
    <s v="6234-RAAPL"/>
    <s v="Female"/>
    <x v="2"/>
    <n v="72"/>
    <x v="1"/>
    <x v="1"/>
    <n v="99.9"/>
    <n v="7251.7"/>
    <x v="0"/>
    <s v="No"/>
    <x v="2"/>
    <n v="7251.7"/>
    <x v="2"/>
    <s v="High Spend"/>
  </r>
  <r>
    <s v="6047-YHPVI"/>
    <s v="Male"/>
    <x v="0"/>
    <n v="5"/>
    <x v="1"/>
    <x v="0"/>
    <n v="69.7"/>
    <n v="316.89999999999998"/>
    <x v="1"/>
    <s v="Yes"/>
    <x v="0"/>
    <n v="316.89999999999998"/>
    <x v="0"/>
    <s v="Standard Spend"/>
  </r>
  <r>
    <s v="6572-ADKRS"/>
    <s v="Female"/>
    <x v="0"/>
    <n v="46"/>
    <x v="1"/>
    <x v="0"/>
    <n v="74.8"/>
    <n v="3548.3"/>
    <x v="0"/>
    <s v="Yes"/>
    <x v="3"/>
    <n v="3548.3"/>
    <x v="2"/>
    <s v="High Spend"/>
  </r>
  <r>
    <s v="5380-WJKOV"/>
    <s v="Male"/>
    <x v="0"/>
    <n v="34"/>
    <x v="1"/>
    <x v="0"/>
    <n v="106.35"/>
    <n v="3549.25"/>
    <x v="1"/>
    <s v="Yes"/>
    <x v="0"/>
    <n v="3549.25"/>
    <x v="1"/>
    <s v="High Spend"/>
  </r>
  <r>
    <s v="8168-UQWWF"/>
    <s v="Female"/>
    <x v="0"/>
    <n v="11"/>
    <x v="1"/>
    <x v="0"/>
    <n v="97.85"/>
    <n v="1105.4000000000001"/>
    <x v="1"/>
    <s v="Yes"/>
    <x v="2"/>
    <n v="1105.4000000000001"/>
    <x v="0"/>
    <s v="Standard Spend"/>
  </r>
  <r>
    <s v="8865-TNMNX"/>
    <s v="Male"/>
    <x v="1"/>
    <n v="10"/>
    <x v="0"/>
    <x v="0"/>
    <n v="49.55"/>
    <n v="475.7"/>
    <x v="0"/>
    <s v="No"/>
    <x v="1"/>
    <n v="475.7"/>
    <x v="0"/>
    <s v="Standard Spend"/>
  </r>
  <r>
    <s v="9489-DEDVP"/>
    <s v="Female"/>
    <x v="2"/>
    <n v="70"/>
    <x v="0"/>
    <x v="0"/>
    <n v="69.2"/>
    <n v="4872.3500000000004"/>
    <x v="0"/>
    <s v="Yes"/>
    <x v="3"/>
    <n v="4872.3500000000004"/>
    <x v="2"/>
    <s v="High Spend"/>
  </r>
  <r>
    <s v="9867-JCZSP"/>
    <s v="Female"/>
    <x v="1"/>
    <n v="17"/>
    <x v="2"/>
    <x v="2"/>
    <n v="20.75"/>
    <n v="418.25"/>
    <x v="0"/>
    <s v="No"/>
    <x v="1"/>
    <n v="418.25"/>
    <x v="1"/>
    <s v="Standard Spend"/>
  </r>
  <r>
    <s v="4671-VJLCL"/>
    <s v="Female"/>
    <x v="2"/>
    <n v="63"/>
    <x v="0"/>
    <x v="1"/>
    <n v="79.849999999999994"/>
    <n v="4861.45"/>
    <x v="0"/>
    <s v="Yes"/>
    <x v="3"/>
    <n v="4861.45"/>
    <x v="2"/>
    <s v="High Spend"/>
  </r>
  <r>
    <s v="4080-IIARD"/>
    <s v="Female"/>
    <x v="0"/>
    <n v="13"/>
    <x v="0"/>
    <x v="1"/>
    <n v="76.2"/>
    <n v="981.45"/>
    <x v="0"/>
    <s v="Yes"/>
    <x v="0"/>
    <n v="981.45"/>
    <x v="1"/>
    <s v="Standard Spend"/>
  </r>
  <r>
    <s v="3714-NTNFO"/>
    <s v="Female"/>
    <x v="0"/>
    <n v="49"/>
    <x v="1"/>
    <x v="0"/>
    <n v="84.5"/>
    <n v="3906.7"/>
    <x v="0"/>
    <s v="Yes"/>
    <x v="0"/>
    <n v="3906.7"/>
    <x v="2"/>
    <s v="High Spend"/>
  </r>
  <r>
    <s v="5948-UJZLF"/>
    <s v="Male"/>
    <x v="0"/>
    <n v="2"/>
    <x v="0"/>
    <x v="0"/>
    <n v="49.25"/>
    <n v="97"/>
    <x v="0"/>
    <s v="No"/>
    <x v="1"/>
    <n v="97"/>
    <x v="0"/>
    <s v="Standard Spend"/>
  </r>
  <r>
    <s v="7760-OYPDY"/>
    <s v="Female"/>
    <x v="0"/>
    <n v="2"/>
    <x v="1"/>
    <x v="0"/>
    <n v="80.650000000000006"/>
    <n v="144.15"/>
    <x v="1"/>
    <s v="Yes"/>
    <x v="0"/>
    <n v="144.15"/>
    <x v="0"/>
    <s v="Standard Spend"/>
  </r>
  <r>
    <s v="7639-LIAYI"/>
    <s v="Male"/>
    <x v="2"/>
    <n v="52"/>
    <x v="0"/>
    <x v="1"/>
    <n v="79.75"/>
    <n v="4217.8"/>
    <x v="0"/>
    <s v="Yes"/>
    <x v="3"/>
    <n v="4217.8"/>
    <x v="2"/>
    <s v="High Spend"/>
  </r>
  <r>
    <s v="2954-PIBKO"/>
    <s v="Female"/>
    <x v="2"/>
    <n v="69"/>
    <x v="0"/>
    <x v="1"/>
    <n v="64.150000000000006"/>
    <n v="4254.1000000000004"/>
    <x v="0"/>
    <s v="Yes"/>
    <x v="3"/>
    <n v="4254.1000000000004"/>
    <x v="2"/>
    <s v="High Spend"/>
  </r>
  <r>
    <s v="8012-SOUDQ"/>
    <s v="Female"/>
    <x v="0"/>
    <n v="43"/>
    <x v="1"/>
    <x v="0"/>
    <n v="90.25"/>
    <n v="3838.75"/>
    <x v="0"/>
    <s v="Yes"/>
    <x v="0"/>
    <n v="3838.75"/>
    <x v="2"/>
    <s v="High Spend"/>
  </r>
  <r>
    <s v="9420-LOJKX"/>
    <s v="Female"/>
    <x v="0"/>
    <n v="15"/>
    <x v="1"/>
    <x v="0"/>
    <n v="99.1"/>
    <n v="1426.4"/>
    <x v="1"/>
    <s v="Yes"/>
    <x v="3"/>
    <n v="1426.4"/>
    <x v="1"/>
    <s v="Standard Spend"/>
  </r>
  <r>
    <s v="6575-SUVOI"/>
    <s v="Female"/>
    <x v="0"/>
    <n v="25"/>
    <x v="0"/>
    <x v="1"/>
    <n v="69.5"/>
    <n v="1752.65"/>
    <x v="0"/>
    <s v="Yes"/>
    <x v="3"/>
    <n v="1752.65"/>
    <x v="1"/>
    <s v="Standard Spend"/>
  </r>
  <r>
    <s v="7495-OOKFY"/>
    <s v="Female"/>
    <x v="0"/>
    <n v="8"/>
    <x v="1"/>
    <x v="0"/>
    <n v="80.650000000000006"/>
    <n v="633.29999999999995"/>
    <x v="1"/>
    <s v="Yes"/>
    <x v="3"/>
    <n v="633.29999999999995"/>
    <x v="0"/>
    <s v="Standard Spend"/>
  </r>
  <r>
    <s v="4667-QONEA"/>
    <s v="Female"/>
    <x v="1"/>
    <n v="60"/>
    <x v="0"/>
    <x v="1"/>
    <n v="74.849999999999994"/>
    <n v="4456.3500000000004"/>
    <x v="0"/>
    <s v="Yes"/>
    <x v="3"/>
    <n v="4456.3500000000004"/>
    <x v="2"/>
    <s v="High Spend"/>
  </r>
  <r>
    <s v="1658-BYGOY"/>
    <s v="Male"/>
    <x v="0"/>
    <n v="18"/>
    <x v="1"/>
    <x v="0"/>
    <n v="95.45"/>
    <n v="1752.55"/>
    <x v="1"/>
    <s v="Yes"/>
    <x v="0"/>
    <n v="1752.55"/>
    <x v="1"/>
    <s v="Standard Spend"/>
  </r>
  <r>
    <s v="8769-KKTPH"/>
    <s v="Female"/>
    <x v="1"/>
    <n v="63"/>
    <x v="1"/>
    <x v="0"/>
    <n v="99.65"/>
    <n v="6311.2"/>
    <x v="0"/>
    <s v="Yes"/>
    <x v="3"/>
    <n v="6311.2"/>
    <x v="2"/>
    <s v="High Spend"/>
  </r>
  <r>
    <s v="5067-XJQFU"/>
    <s v="Male"/>
    <x v="1"/>
    <n v="66"/>
    <x v="1"/>
    <x v="1"/>
    <n v="108.45"/>
    <n v="7076.35"/>
    <x v="0"/>
    <s v="Yes"/>
    <x v="0"/>
    <n v="7076.35"/>
    <x v="2"/>
    <s v="High Spend"/>
  </r>
  <r>
    <s v="3957-SQXML"/>
    <s v="Female"/>
    <x v="2"/>
    <n v="34"/>
    <x v="2"/>
    <x v="2"/>
    <n v="24.95"/>
    <n v="894.3"/>
    <x v="0"/>
    <s v="No"/>
    <x v="3"/>
    <n v="894.3"/>
    <x v="1"/>
    <s v="Standard Spend"/>
  </r>
  <r>
    <s v="5954-BDFSG"/>
    <s v="Female"/>
    <x v="2"/>
    <n v="72"/>
    <x v="1"/>
    <x v="1"/>
    <n v="107.5"/>
    <n v="7853.7"/>
    <x v="0"/>
    <s v="Yes"/>
    <x v="3"/>
    <n v="7853.7"/>
    <x v="2"/>
    <s v="High Spend"/>
  </r>
  <r>
    <s v="0434-CSFON"/>
    <s v="Female"/>
    <x v="0"/>
    <n v="47"/>
    <x v="1"/>
    <x v="0"/>
    <n v="100.5"/>
    <n v="4707.1000000000004"/>
    <x v="0"/>
    <s v="Yes"/>
    <x v="0"/>
    <n v="4707.1000000000004"/>
    <x v="2"/>
    <s v="High Spend"/>
  </r>
  <r>
    <s v="1215-FIGMP"/>
    <s v="Male"/>
    <x v="0"/>
    <n v="60"/>
    <x v="1"/>
    <x v="0"/>
    <n v="89.9"/>
    <n v="5450.7"/>
    <x v="0"/>
    <s v="Yes"/>
    <x v="2"/>
    <n v="5450.7"/>
    <x v="2"/>
    <s v="High Spend"/>
  </r>
  <r>
    <s v="0526-SXDJP"/>
    <s v="Male"/>
    <x v="2"/>
    <n v="72"/>
    <x v="0"/>
    <x v="0"/>
    <n v="42.1"/>
    <n v="2962"/>
    <x v="0"/>
    <s v="No"/>
    <x v="2"/>
    <n v="2962"/>
    <x v="2"/>
    <s v="High Spend"/>
  </r>
  <r>
    <s v="0557-ASKVU"/>
    <s v="Female"/>
    <x v="1"/>
    <n v="18"/>
    <x v="0"/>
    <x v="1"/>
    <n v="54.4"/>
    <n v="957.1"/>
    <x v="0"/>
    <s v="Yes"/>
    <x v="3"/>
    <n v="957.1"/>
    <x v="1"/>
    <s v="Standard Spend"/>
  </r>
  <r>
    <s v="5698-BQJOH"/>
    <s v="Female"/>
    <x v="0"/>
    <n v="9"/>
    <x v="1"/>
    <x v="0"/>
    <n v="94.4"/>
    <n v="857.25"/>
    <x v="1"/>
    <s v="No"/>
    <x v="0"/>
    <n v="857.25"/>
    <x v="0"/>
    <s v="Standard Spend"/>
  </r>
  <r>
    <s v="5122-CYFXA"/>
    <s v="Female"/>
    <x v="0"/>
    <n v="3"/>
    <x v="0"/>
    <x v="1"/>
    <n v="75.3"/>
    <n v="244.1"/>
    <x v="0"/>
    <s v="Yes"/>
    <x v="0"/>
    <n v="244.1"/>
    <x v="0"/>
    <s v="Standard Spend"/>
  </r>
  <r>
    <s v="8627-ZYGSZ"/>
    <s v="Male"/>
    <x v="1"/>
    <n v="47"/>
    <x v="1"/>
    <x v="0"/>
    <n v="78.900000000000006"/>
    <n v="3650.35"/>
    <x v="0"/>
    <s v="Yes"/>
    <x v="0"/>
    <n v="3650.35"/>
    <x v="2"/>
    <s v="High Spend"/>
  </r>
  <r>
    <s v="3410-YOQBQ"/>
    <s v="Female"/>
    <x v="2"/>
    <n v="31"/>
    <x v="0"/>
    <x v="1"/>
    <n v="79.2"/>
    <n v="2497.1999999999998"/>
    <x v="0"/>
    <s v="No"/>
    <x v="1"/>
    <n v="2497.1999999999998"/>
    <x v="1"/>
    <s v="Standard Spend"/>
  </r>
  <r>
    <s v="3170-NMYVV"/>
    <s v="Female"/>
    <x v="2"/>
    <n v="50"/>
    <x v="2"/>
    <x v="2"/>
    <n v="20.149999999999999"/>
    <n v="930.9"/>
    <x v="0"/>
    <s v="No"/>
    <x v="2"/>
    <n v="930.9"/>
    <x v="2"/>
    <s v="Standard Spend"/>
  </r>
  <r>
    <s v="7410-OIEDU"/>
    <s v="Male"/>
    <x v="0"/>
    <n v="10"/>
    <x v="1"/>
    <x v="0"/>
    <n v="79.849999999999994"/>
    <n v="887.35"/>
    <x v="0"/>
    <s v="Yes"/>
    <x v="1"/>
    <n v="887.35"/>
    <x v="0"/>
    <s v="Standard Spend"/>
  </r>
  <r>
    <s v="2273-QCKXA"/>
    <s v="Male"/>
    <x v="0"/>
    <n v="1"/>
    <x v="0"/>
    <x v="1"/>
    <n v="49.05"/>
    <n v="49.05"/>
    <x v="0"/>
    <s v="No"/>
    <x v="1"/>
    <n v="49.05"/>
    <x v="0"/>
    <s v="Standard Spend"/>
  </r>
  <r>
    <s v="0731-EBJQB"/>
    <s v="Female"/>
    <x v="1"/>
    <n v="52"/>
    <x v="2"/>
    <x v="2"/>
    <n v="20.399999999999999"/>
    <n v="1090.6500000000001"/>
    <x v="0"/>
    <s v="Yes"/>
    <x v="0"/>
    <n v="1090.6500000000001"/>
    <x v="2"/>
    <s v="Standard Spend"/>
  </r>
  <r>
    <s v="1891-QRQSA"/>
    <s v="Male"/>
    <x v="2"/>
    <n v="64"/>
    <x v="1"/>
    <x v="1"/>
    <n v="111.6"/>
    <n v="7099"/>
    <x v="0"/>
    <s v="Yes"/>
    <x v="2"/>
    <n v="7099"/>
    <x v="2"/>
    <s v="High Spend"/>
  </r>
  <r>
    <s v="8028-PNXHQ"/>
    <s v="Male"/>
    <x v="2"/>
    <n v="62"/>
    <x v="2"/>
    <x v="2"/>
    <n v="24.25"/>
    <n v="1424.6"/>
    <x v="0"/>
    <s v="Yes"/>
    <x v="2"/>
    <n v="1424.6"/>
    <x v="2"/>
    <s v="Standard Spend"/>
  </r>
  <r>
    <s v="5630-AHZIL"/>
    <s v="Female"/>
    <x v="0"/>
    <n v="3"/>
    <x v="0"/>
    <x v="1"/>
    <n v="64.5"/>
    <n v="177.4"/>
    <x v="0"/>
    <s v="Yes"/>
    <x v="2"/>
    <n v="177.4"/>
    <x v="0"/>
    <s v="Standard Spend"/>
  </r>
  <r>
    <s v="2673-CXQEU"/>
    <s v="Female"/>
    <x v="1"/>
    <n v="56"/>
    <x v="1"/>
    <x v="0"/>
    <n v="110.5"/>
    <n v="6139.5"/>
    <x v="0"/>
    <s v="No"/>
    <x v="0"/>
    <n v="6139.5"/>
    <x v="2"/>
    <s v="High Spend"/>
  </r>
  <r>
    <s v="6416-JNVRK"/>
    <s v="Female"/>
    <x v="1"/>
    <n v="46"/>
    <x v="0"/>
    <x v="0"/>
    <n v="55.65"/>
    <n v="2688.85"/>
    <x v="0"/>
    <s v="No"/>
    <x v="3"/>
    <n v="2688.85"/>
    <x v="2"/>
    <s v="High Spend"/>
  </r>
  <r>
    <s v="5590-ZSKRV"/>
    <s v="Female"/>
    <x v="0"/>
    <n v="8"/>
    <x v="0"/>
    <x v="0"/>
    <n v="54.65"/>
    <n v="482.25"/>
    <x v="0"/>
    <s v="No"/>
    <x v="1"/>
    <n v="482.25"/>
    <x v="0"/>
    <s v="Standard Spend"/>
  </r>
  <r>
    <s v="0191-ZHSKZ"/>
    <s v="Male"/>
    <x v="0"/>
    <n v="30"/>
    <x v="0"/>
    <x v="0"/>
    <n v="74.75"/>
    <n v="2111.3000000000002"/>
    <x v="0"/>
    <s v="Yes"/>
    <x v="0"/>
    <n v="2111.3000000000002"/>
    <x v="1"/>
    <s v="Standard Spend"/>
  </r>
  <r>
    <s v="3887-PBQAO"/>
    <s v="Female"/>
    <x v="1"/>
    <n v="45"/>
    <x v="2"/>
    <x v="2"/>
    <n v="25.9"/>
    <n v="1216.5999999999999"/>
    <x v="0"/>
    <s v="Yes"/>
    <x v="3"/>
    <n v="1216.5999999999999"/>
    <x v="2"/>
    <s v="Standard Spend"/>
  </r>
  <r>
    <s v="5919-TMRGD"/>
    <s v="Female"/>
    <x v="0"/>
    <n v="1"/>
    <x v="1"/>
    <x v="0"/>
    <n v="79.349999999999994"/>
    <n v="79.349999999999994"/>
    <x v="1"/>
    <s v="Yes"/>
    <x v="0"/>
    <n v="79.349999999999994"/>
    <x v="0"/>
    <s v="Standard Spend"/>
  </r>
  <r>
    <s v="8108-UXRQN"/>
    <s v="Female"/>
    <x v="0"/>
    <n v="11"/>
    <x v="0"/>
    <x v="0"/>
    <n v="50.55"/>
    <n v="565.35"/>
    <x v="0"/>
    <s v="No"/>
    <x v="0"/>
    <n v="565.35"/>
    <x v="0"/>
    <s v="Standard Spend"/>
  </r>
  <r>
    <s v="9191-MYQKX"/>
    <s v="Female"/>
    <x v="0"/>
    <n v="7"/>
    <x v="1"/>
    <x v="0"/>
    <n v="75.150000000000006"/>
    <n v="496.9"/>
    <x v="1"/>
    <s v="Yes"/>
    <x v="2"/>
    <n v="496.9"/>
    <x v="0"/>
    <s v="Standard Spend"/>
  </r>
  <r>
    <s v="9919-YLNNG"/>
    <s v="Female"/>
    <x v="0"/>
    <n v="42"/>
    <x v="1"/>
    <x v="1"/>
    <n v="103.8"/>
    <n v="4327.5"/>
    <x v="0"/>
    <s v="Yes"/>
    <x v="2"/>
    <n v="4327.5"/>
    <x v="2"/>
    <s v="High Spend"/>
  </r>
  <r>
    <s v="0318-ZOPWS"/>
    <s v="Female"/>
    <x v="2"/>
    <n v="49"/>
    <x v="2"/>
    <x v="2"/>
    <n v="20.149999999999999"/>
    <n v="973.35"/>
    <x v="0"/>
    <s v="Yes"/>
    <x v="2"/>
    <n v="973.35"/>
    <x v="2"/>
    <s v="Standard Spend"/>
  </r>
  <r>
    <s v="4445-ZJNMU"/>
    <s v="Male"/>
    <x v="0"/>
    <n v="9"/>
    <x v="1"/>
    <x v="0"/>
    <n v="99.3"/>
    <n v="918.75"/>
    <x v="0"/>
    <s v="Yes"/>
    <x v="3"/>
    <n v="918.75"/>
    <x v="0"/>
    <s v="Standard Spend"/>
  </r>
  <r>
    <s v="4808-YNLEU"/>
    <s v="Female"/>
    <x v="1"/>
    <n v="35"/>
    <x v="0"/>
    <x v="0"/>
    <n v="62.15"/>
    <n v="2215.4499999999998"/>
    <x v="0"/>
    <s v="Yes"/>
    <x v="2"/>
    <n v="2215.4499999999998"/>
    <x v="1"/>
    <s v="Standard Spend"/>
  </r>
  <r>
    <s v="1862-QRWPE"/>
    <s v="Female"/>
    <x v="2"/>
    <n v="48"/>
    <x v="2"/>
    <x v="2"/>
    <n v="20.65"/>
    <n v="1057"/>
    <x v="0"/>
    <s v="No"/>
    <x v="2"/>
    <n v="1057"/>
    <x v="2"/>
    <s v="Standard Spend"/>
  </r>
  <r>
    <s v="2796-NNUFI"/>
    <s v="Female"/>
    <x v="2"/>
    <n v="46"/>
    <x v="2"/>
    <x v="2"/>
    <n v="19.95"/>
    <n v="927.1"/>
    <x v="0"/>
    <s v="Yes"/>
    <x v="1"/>
    <n v="927.1"/>
    <x v="2"/>
    <s v="Standard Spend"/>
  </r>
  <r>
    <s v="3016-KSVCP"/>
    <s v="Male"/>
    <x v="0"/>
    <n v="29"/>
    <x v="0"/>
    <x v="0"/>
    <n v="33.75"/>
    <n v="1009.25"/>
    <x v="0"/>
    <s v="No"/>
    <x v="1"/>
    <n v="1009.25"/>
    <x v="1"/>
    <s v="Standard Spend"/>
  </r>
  <r>
    <s v="4767-HZZHQ"/>
    <s v="Male"/>
    <x v="0"/>
    <n v="30"/>
    <x v="1"/>
    <x v="0"/>
    <n v="82.05"/>
    <n v="2570.1999999999998"/>
    <x v="0"/>
    <s v="No"/>
    <x v="2"/>
    <n v="2570.1999999999998"/>
    <x v="1"/>
    <s v="High Spend"/>
  </r>
  <r>
    <s v="2424-WVHPL"/>
    <s v="Male"/>
    <x v="0"/>
    <n v="1"/>
    <x v="1"/>
    <x v="1"/>
    <n v="74.7"/>
    <n v="74.7"/>
    <x v="0"/>
    <s v="No"/>
    <x v="0"/>
    <n v="74.7"/>
    <x v="0"/>
    <s v="Standard Spend"/>
  </r>
  <r>
    <s v="7233-PAHHL"/>
    <s v="Male"/>
    <x v="2"/>
    <n v="66"/>
    <x v="0"/>
    <x v="1"/>
    <n v="84"/>
    <n v="5714.25"/>
    <x v="0"/>
    <s v="Yes"/>
    <x v="1"/>
    <n v="5714.25"/>
    <x v="2"/>
    <s v="High Spend"/>
  </r>
  <r>
    <s v="6067-NGCEU"/>
    <s v="Female"/>
    <x v="0"/>
    <n v="65"/>
    <x v="1"/>
    <x v="0"/>
    <n v="111.05"/>
    <n v="7107"/>
    <x v="0"/>
    <s v="Yes"/>
    <x v="3"/>
    <n v="7107"/>
    <x v="2"/>
    <s v="High Spend"/>
  </r>
  <r>
    <s v="9848-JQJTX"/>
    <s v="Male"/>
    <x v="2"/>
    <n v="72"/>
    <x v="1"/>
    <x v="0"/>
    <n v="100.9"/>
    <n v="7459.05"/>
    <x v="0"/>
    <s v="Yes"/>
    <x v="2"/>
    <n v="7459.05"/>
    <x v="2"/>
    <s v="High Spend"/>
  </r>
  <r>
    <s v="8637-XJIVR"/>
    <s v="Female"/>
    <x v="0"/>
    <n v="12"/>
    <x v="1"/>
    <x v="0"/>
    <n v="78.95"/>
    <n v="927.35"/>
    <x v="1"/>
    <s v="Yes"/>
    <x v="0"/>
    <n v="927.35"/>
    <x v="0"/>
    <s v="Standard Spend"/>
  </r>
  <r>
    <s v="9803-FTJCG"/>
    <s v="Male"/>
    <x v="1"/>
    <n v="71"/>
    <x v="0"/>
    <x v="1"/>
    <n v="66.849999999999994"/>
    <n v="4748.7"/>
    <x v="0"/>
    <s v="Yes"/>
    <x v="3"/>
    <n v="4748.7"/>
    <x v="2"/>
    <s v="High Spend"/>
  </r>
  <r>
    <s v="0278-YXOOG"/>
    <s v="Male"/>
    <x v="0"/>
    <n v="5"/>
    <x v="2"/>
    <x v="2"/>
    <n v="21.05"/>
    <n v="113.85"/>
    <x v="1"/>
    <s v="No"/>
    <x v="1"/>
    <n v="113.85"/>
    <x v="0"/>
    <s v="Standard Spend"/>
  </r>
  <r>
    <s v="3212-KXOCR"/>
    <s v="Male"/>
    <x v="2"/>
    <n v="52"/>
    <x v="2"/>
    <x v="2"/>
    <n v="21"/>
    <n v="1107.2"/>
    <x v="0"/>
    <s v="No"/>
    <x v="2"/>
    <n v="1107.2"/>
    <x v="2"/>
    <s v="Standard Spend"/>
  </r>
  <r>
    <s v="4598-XLKNJ"/>
    <s v="Female"/>
    <x v="0"/>
    <n v="25"/>
    <x v="1"/>
    <x v="0"/>
    <n v="98.5"/>
    <n v="2514.5"/>
    <x v="1"/>
    <s v="Yes"/>
    <x v="0"/>
    <n v="2514.5"/>
    <x v="1"/>
    <s v="High Spend"/>
  </r>
  <r>
    <s v="6380-ARCEH"/>
    <s v="Male"/>
    <x v="0"/>
    <n v="1"/>
    <x v="2"/>
    <x v="2"/>
    <n v="20.2"/>
    <n v="20.2"/>
    <x v="0"/>
    <s v="No"/>
    <x v="1"/>
    <n v="20.2"/>
    <x v="0"/>
    <s v="Standard Spend"/>
  </r>
  <r>
    <s v="3679-XASPY"/>
    <s v="Female"/>
    <x v="0"/>
    <n v="1"/>
    <x v="2"/>
    <x v="2"/>
    <n v="19.45"/>
    <n v="19.45"/>
    <x v="0"/>
    <s v="No"/>
    <x v="0"/>
    <n v="19.45"/>
    <x v="0"/>
    <s v="Standard Spend"/>
  </r>
  <r>
    <s v="7123-WQUHX"/>
    <s v="Male"/>
    <x v="1"/>
    <n v="38"/>
    <x v="1"/>
    <x v="1"/>
    <n v="95"/>
    <n v="3605.6"/>
    <x v="0"/>
    <s v="No"/>
    <x v="2"/>
    <n v="3605.6"/>
    <x v="2"/>
    <s v="High Spend"/>
  </r>
  <r>
    <s v="5386-THSLQ"/>
    <s v="Female"/>
    <x v="1"/>
    <n v="66"/>
    <x v="0"/>
    <x v="0"/>
    <n v="45.55"/>
    <n v="3027.25"/>
    <x v="0"/>
    <s v="No"/>
    <x v="2"/>
    <n v="3027.25"/>
    <x v="2"/>
    <s v="High Spend"/>
  </r>
  <r>
    <s v="3192-NQECA"/>
    <s v="Male"/>
    <x v="2"/>
    <n v="68"/>
    <x v="1"/>
    <x v="1"/>
    <n v="110"/>
    <n v="7611.85"/>
    <x v="1"/>
    <s v="Yes"/>
    <x v="2"/>
    <n v="7611.85"/>
    <x v="2"/>
    <s v="High Spend"/>
  </r>
  <r>
    <s v="6180-YBIQI"/>
    <s v="Male"/>
    <x v="0"/>
    <n v="5"/>
    <x v="0"/>
    <x v="0"/>
    <n v="24.3"/>
    <n v="100.2"/>
    <x v="0"/>
    <s v="No"/>
    <x v="1"/>
    <n v="100.2"/>
    <x v="0"/>
    <s v="Standard Spend"/>
  </r>
  <r>
    <s v="6728-DKUCO"/>
    <s v="Female"/>
    <x v="1"/>
    <n v="72"/>
    <x v="1"/>
    <x v="0"/>
    <n v="104.15"/>
    <n v="7303.05"/>
    <x v="0"/>
    <s v="Yes"/>
    <x v="0"/>
    <n v="7303.05"/>
    <x v="2"/>
    <s v="High Spend"/>
  </r>
  <r>
    <s v="9750-BOOHV"/>
    <s v="Female"/>
    <x v="1"/>
    <n v="32"/>
    <x v="0"/>
    <x v="0"/>
    <n v="30.15"/>
    <n v="927.65"/>
    <x v="0"/>
    <s v="No"/>
    <x v="1"/>
    <n v="927.65"/>
    <x v="1"/>
    <s v="Standard Spend"/>
  </r>
  <r>
    <s v="8597-CWYHH"/>
    <s v="Male"/>
    <x v="1"/>
    <n v="43"/>
    <x v="1"/>
    <x v="0"/>
    <n v="94.35"/>
    <n v="3921.3"/>
    <x v="0"/>
    <s v="No"/>
    <x v="1"/>
    <n v="3921.3"/>
    <x v="2"/>
    <s v="High Spend"/>
  </r>
  <r>
    <s v="2848-YXSMW"/>
    <s v="Male"/>
    <x v="2"/>
    <n v="72"/>
    <x v="2"/>
    <x v="2"/>
    <n v="19.399999999999999"/>
    <n v="1363.25"/>
    <x v="0"/>
    <s v="No"/>
    <x v="3"/>
    <n v="1363.25"/>
    <x v="2"/>
    <s v="Standard Spend"/>
  </r>
  <r>
    <s v="0486-HECZI"/>
    <s v="Male"/>
    <x v="0"/>
    <n v="55"/>
    <x v="1"/>
    <x v="0"/>
    <n v="96.75"/>
    <n v="5238.8999999999996"/>
    <x v="1"/>
    <s v="Yes"/>
    <x v="0"/>
    <n v="5238.8999999999996"/>
    <x v="2"/>
    <s v="High Spend"/>
  </r>
  <r>
    <s v="4549-ZDQYY"/>
    <s v="Female"/>
    <x v="1"/>
    <n v="52"/>
    <x v="0"/>
    <x v="1"/>
    <n v="57.95"/>
    <n v="3042.25"/>
    <x v="0"/>
    <s v="No"/>
    <x v="3"/>
    <n v="3042.25"/>
    <x v="2"/>
    <s v="High Spend"/>
  </r>
  <r>
    <s v="5712-AHQNN"/>
    <s v="Female"/>
    <x v="0"/>
    <n v="43"/>
    <x v="1"/>
    <x v="0"/>
    <n v="91.65"/>
    <n v="3954.1"/>
    <x v="0"/>
    <s v="Yes"/>
    <x v="0"/>
    <n v="3954.1"/>
    <x v="2"/>
    <s v="High Spend"/>
  </r>
  <r>
    <s v="4846-WHAFZ"/>
    <s v="Female"/>
    <x v="0"/>
    <n v="37"/>
    <x v="1"/>
    <x v="0"/>
    <n v="76.5"/>
    <n v="2868.15"/>
    <x v="1"/>
    <s v="Yes"/>
    <x v="0"/>
    <n v="2868.15"/>
    <x v="2"/>
    <s v="High Spend"/>
  </r>
  <r>
    <s v="5256-SKJGO"/>
    <s v="Female"/>
    <x v="2"/>
    <n v="64"/>
    <x v="0"/>
    <x v="1"/>
    <n v="54.6"/>
    <n v="3423.5"/>
    <x v="0"/>
    <s v="Yes"/>
    <x v="0"/>
    <n v="3423.5"/>
    <x v="2"/>
    <s v="High Spend"/>
  </r>
  <r>
    <s v="3071-VBYPO"/>
    <s v="Male"/>
    <x v="0"/>
    <n v="3"/>
    <x v="1"/>
    <x v="0"/>
    <n v="89.85"/>
    <n v="248.4"/>
    <x v="0"/>
    <s v="No"/>
    <x v="0"/>
    <n v="248.4"/>
    <x v="0"/>
    <s v="Standard Spend"/>
  </r>
  <r>
    <s v="9560-BBZXK"/>
    <s v="Female"/>
    <x v="2"/>
    <n v="36"/>
    <x v="0"/>
    <x v="0"/>
    <n v="31.05"/>
    <n v="1126.3499999999999"/>
    <x v="0"/>
    <s v="No"/>
    <x v="2"/>
    <n v="1126.3499999999999"/>
    <x v="1"/>
    <s v="Standard Spend"/>
  </r>
  <r>
    <s v="5299-RULOA"/>
    <s v="Female"/>
    <x v="0"/>
    <n v="10"/>
    <x v="1"/>
    <x v="0"/>
    <n v="100.25"/>
    <n v="1064.6500000000001"/>
    <x v="1"/>
    <s v="Yes"/>
    <x v="0"/>
    <n v="1064.6500000000001"/>
    <x v="0"/>
    <s v="Standard Spend"/>
  </r>
  <r>
    <s v="8402-OOOHJ"/>
    <s v="Female"/>
    <x v="2"/>
    <n v="41"/>
    <x v="2"/>
    <x v="2"/>
    <n v="20.65"/>
    <n v="835.15"/>
    <x v="0"/>
    <s v="No"/>
    <x v="1"/>
    <n v="835.15"/>
    <x v="2"/>
    <s v="Standard Spend"/>
  </r>
  <r>
    <s v="9445-ZUEQE"/>
    <s v="Male"/>
    <x v="0"/>
    <n v="27"/>
    <x v="1"/>
    <x v="1"/>
    <n v="85.2"/>
    <n v="2151.6"/>
    <x v="0"/>
    <s v="Yes"/>
    <x v="3"/>
    <n v="2151.6"/>
    <x v="1"/>
    <s v="Standard Spend"/>
  </r>
  <r>
    <s v="1091-SOZGA"/>
    <s v="Female"/>
    <x v="1"/>
    <n v="56"/>
    <x v="1"/>
    <x v="0"/>
    <n v="99.8"/>
    <n v="5515.45"/>
    <x v="0"/>
    <s v="Yes"/>
    <x v="3"/>
    <n v="5515.45"/>
    <x v="2"/>
    <s v="High Spend"/>
  </r>
  <r>
    <s v="2928-HLDBA"/>
    <s v="Female"/>
    <x v="0"/>
    <n v="6"/>
    <x v="2"/>
    <x v="2"/>
    <n v="20.7"/>
    <n v="112.75"/>
    <x v="0"/>
    <s v="No"/>
    <x v="1"/>
    <n v="112.75"/>
    <x v="0"/>
    <s v="Standard Spend"/>
  </r>
  <r>
    <s v="0404-SWRVG"/>
    <s v="Male"/>
    <x v="0"/>
    <n v="3"/>
    <x v="1"/>
    <x v="0"/>
    <n v="74.400000000000006"/>
    <n v="229.55"/>
    <x v="1"/>
    <s v="Yes"/>
    <x v="0"/>
    <n v="229.55"/>
    <x v="0"/>
    <s v="Standard Spend"/>
  </r>
  <r>
    <s v="6497-TILVL"/>
    <s v="Female"/>
    <x v="0"/>
    <n v="7"/>
    <x v="0"/>
    <x v="0"/>
    <n v="50.7"/>
    <n v="350.35"/>
    <x v="0"/>
    <s v="No"/>
    <x v="1"/>
    <n v="350.35"/>
    <x v="0"/>
    <s v="Standard Spend"/>
  </r>
  <r>
    <s v="7219-TLZHO"/>
    <s v="Female"/>
    <x v="0"/>
    <n v="4"/>
    <x v="2"/>
    <x v="2"/>
    <n v="20.85"/>
    <n v="62.9"/>
    <x v="0"/>
    <s v="No"/>
    <x v="1"/>
    <n v="62.9"/>
    <x v="0"/>
    <s v="Standard Spend"/>
  </r>
  <r>
    <s v="4622-YNKIJ"/>
    <s v="Male"/>
    <x v="2"/>
    <n v="33"/>
    <x v="1"/>
    <x v="1"/>
    <n v="88.95"/>
    <n v="3027.65"/>
    <x v="0"/>
    <s v="Yes"/>
    <x v="0"/>
    <n v="3027.65"/>
    <x v="1"/>
    <s v="High Spend"/>
  </r>
  <r>
    <s v="4412-YLTKF"/>
    <s v="Female"/>
    <x v="0"/>
    <n v="27"/>
    <x v="1"/>
    <x v="0"/>
    <n v="78.05"/>
    <n v="2135.5"/>
    <x v="1"/>
    <s v="Yes"/>
    <x v="0"/>
    <n v="2135.5"/>
    <x v="1"/>
    <s v="Standard Spend"/>
  </r>
  <r>
    <s v="6734-PSBAW"/>
    <s v="Male"/>
    <x v="2"/>
    <n v="72"/>
    <x v="2"/>
    <x v="2"/>
    <n v="23.55"/>
    <n v="1723.95"/>
    <x v="0"/>
    <s v="Yes"/>
    <x v="2"/>
    <n v="1723.95"/>
    <x v="2"/>
    <s v="Standard Spend"/>
  </r>
  <r>
    <s v="3930-ZGWVE"/>
    <s v="Male"/>
    <x v="0"/>
    <n v="1"/>
    <x v="2"/>
    <x v="2"/>
    <n v="19.75"/>
    <n v="19.75"/>
    <x v="0"/>
    <s v="No"/>
    <x v="1"/>
    <n v="19.75"/>
    <x v="0"/>
    <s v="Standard Spend"/>
  </r>
  <r>
    <s v="2639-UGMAZ"/>
    <s v="Male"/>
    <x v="1"/>
    <n v="71"/>
    <x v="0"/>
    <x v="0"/>
    <n v="56.45"/>
    <n v="3985.35"/>
    <x v="0"/>
    <s v="Yes"/>
    <x v="0"/>
    <n v="3985.35"/>
    <x v="2"/>
    <s v="High Spend"/>
  </r>
  <r>
    <s v="2876-GZYZC"/>
    <s v="Female"/>
    <x v="0"/>
    <n v="13"/>
    <x v="1"/>
    <x v="0"/>
    <n v="85.95"/>
    <n v="1215.6500000000001"/>
    <x v="0"/>
    <s v="Yes"/>
    <x v="0"/>
    <n v="1215.6500000000001"/>
    <x v="1"/>
    <s v="Standard Spend"/>
  </r>
  <r>
    <s v="6207-WIOLX"/>
    <s v="Female"/>
    <x v="0"/>
    <n v="25"/>
    <x v="0"/>
    <x v="0"/>
    <n v="58.6"/>
    <n v="1502.65"/>
    <x v="1"/>
    <s v="Yes"/>
    <x v="3"/>
    <n v="1502.65"/>
    <x v="1"/>
    <s v="Standard Spend"/>
  </r>
  <r>
    <s v="8587-XYZSF"/>
    <s v="Male"/>
    <x v="2"/>
    <n v="67"/>
    <x v="0"/>
    <x v="1"/>
    <n v="50.55"/>
    <n v="3260.1"/>
    <x v="0"/>
    <s v="No"/>
    <x v="2"/>
    <n v="3260.1"/>
    <x v="2"/>
    <s v="High Spend"/>
  </r>
  <r>
    <s v="3091-FYHKI"/>
    <s v="Male"/>
    <x v="0"/>
    <n v="1"/>
    <x v="0"/>
    <x v="0"/>
    <n v="35.450000000000003"/>
    <n v="35.450000000000003"/>
    <x v="1"/>
    <s v="Yes"/>
    <x v="0"/>
    <n v="35.450000000000003"/>
    <x v="0"/>
    <s v="Standard Spend"/>
  </r>
  <r>
    <s v="2372-HWUHI"/>
    <s v="Male"/>
    <x v="0"/>
    <n v="2"/>
    <x v="0"/>
    <x v="0"/>
    <n v="44.35"/>
    <n v="81.25"/>
    <x v="1"/>
    <s v="No"/>
    <x v="0"/>
    <n v="81.25"/>
    <x v="0"/>
    <s v="Standard Spend"/>
  </r>
  <r>
    <s v="7799-LGRDP"/>
    <s v="Female"/>
    <x v="2"/>
    <n v="43"/>
    <x v="2"/>
    <x v="2"/>
    <n v="25.7"/>
    <n v="1188.2"/>
    <x v="0"/>
    <s v="Yes"/>
    <x v="3"/>
    <n v="1188.2"/>
    <x v="2"/>
    <s v="Standard Spend"/>
  </r>
  <r>
    <s v="7850-VWJUU"/>
    <s v="Female"/>
    <x v="0"/>
    <n v="23"/>
    <x v="1"/>
    <x v="0"/>
    <n v="75"/>
    <n v="1778.5"/>
    <x v="0"/>
    <s v="Yes"/>
    <x v="2"/>
    <n v="1778.5"/>
    <x v="1"/>
    <s v="Standard Spend"/>
  </r>
  <r>
    <s v="3774-VBNXY"/>
    <s v="Female"/>
    <x v="2"/>
    <n v="64"/>
    <x v="2"/>
    <x v="2"/>
    <n v="20.2"/>
    <n v="1277.75"/>
    <x v="0"/>
    <s v="No"/>
    <x v="1"/>
    <n v="1277.75"/>
    <x v="2"/>
    <s v="Standard Spend"/>
  </r>
  <r>
    <s v="6217-KDYWC"/>
    <s v="Male"/>
    <x v="2"/>
    <n v="57"/>
    <x v="2"/>
    <x v="2"/>
    <n v="19.600000000000001"/>
    <n v="1170.55"/>
    <x v="0"/>
    <s v="Yes"/>
    <x v="1"/>
    <n v="1170.55"/>
    <x v="2"/>
    <s v="Standard Spend"/>
  </r>
  <r>
    <s v="0390-DCFDQ"/>
    <s v="Female"/>
    <x v="0"/>
    <n v="1"/>
    <x v="1"/>
    <x v="0"/>
    <n v="70.45"/>
    <n v="70.45"/>
    <x v="1"/>
    <s v="Yes"/>
    <x v="1"/>
    <n v="70.45"/>
    <x v="0"/>
    <s v="Standard Spend"/>
  </r>
  <r>
    <s v="3146-MSEGF"/>
    <s v="Female"/>
    <x v="2"/>
    <n v="72"/>
    <x v="0"/>
    <x v="1"/>
    <n v="88.05"/>
    <n v="6425.65"/>
    <x v="0"/>
    <s v="Yes"/>
    <x v="3"/>
    <n v="6425.65"/>
    <x v="2"/>
    <s v="High Spend"/>
  </r>
  <r>
    <s v="4080-OGPJL"/>
    <s v="Female"/>
    <x v="0"/>
    <n v="8"/>
    <x v="0"/>
    <x v="1"/>
    <n v="71.150000000000006"/>
    <n v="563.65"/>
    <x v="1"/>
    <s v="No"/>
    <x v="0"/>
    <n v="563.65"/>
    <x v="0"/>
    <s v="Standard Spend"/>
  </r>
  <r>
    <s v="1095-WGNGG"/>
    <s v="Female"/>
    <x v="2"/>
    <n v="61"/>
    <x v="1"/>
    <x v="0"/>
    <n v="101.05"/>
    <n v="5971.25"/>
    <x v="0"/>
    <s v="Yes"/>
    <x v="2"/>
    <n v="5971.25"/>
    <x v="2"/>
    <s v="High Spend"/>
  </r>
  <r>
    <s v="2636-SJDOU"/>
    <s v="Male"/>
    <x v="1"/>
    <n v="64"/>
    <x v="1"/>
    <x v="0"/>
    <n v="84.3"/>
    <n v="5289.05"/>
    <x v="0"/>
    <s v="Yes"/>
    <x v="3"/>
    <n v="5289.05"/>
    <x v="2"/>
    <s v="High Spend"/>
  </r>
  <r>
    <s v="1131-QQZEB"/>
    <s v="Male"/>
    <x v="2"/>
    <n v="71"/>
    <x v="2"/>
    <x v="2"/>
    <n v="23.95"/>
    <n v="1756.2"/>
    <x v="0"/>
    <s v="No"/>
    <x v="2"/>
    <n v="1756.2"/>
    <x v="2"/>
    <s v="Standard Spend"/>
  </r>
  <r>
    <s v="5716-EZXZN"/>
    <s v="Female"/>
    <x v="2"/>
    <n v="65"/>
    <x v="1"/>
    <x v="1"/>
    <n v="99.05"/>
    <n v="6416.7"/>
    <x v="0"/>
    <s v="Yes"/>
    <x v="3"/>
    <n v="6416.7"/>
    <x v="2"/>
    <s v="High Spend"/>
  </r>
  <r>
    <s v="6837-BJYDQ"/>
    <s v="Male"/>
    <x v="1"/>
    <n v="3"/>
    <x v="2"/>
    <x v="2"/>
    <n v="19.600000000000001"/>
    <n v="61.35"/>
    <x v="0"/>
    <s v="No"/>
    <x v="1"/>
    <n v="61.35"/>
    <x v="0"/>
    <s v="Standard Spend"/>
  </r>
  <r>
    <s v="2135-RXIHG"/>
    <s v="Male"/>
    <x v="0"/>
    <n v="1"/>
    <x v="0"/>
    <x v="0"/>
    <n v="45.65"/>
    <n v="45.65"/>
    <x v="1"/>
    <s v="Yes"/>
    <x v="0"/>
    <n v="45.65"/>
    <x v="0"/>
    <s v="Standard Spend"/>
  </r>
  <r>
    <s v="6440-DKQGE"/>
    <s v="Male"/>
    <x v="1"/>
    <n v="30"/>
    <x v="0"/>
    <x v="0"/>
    <n v="64.5"/>
    <n v="1929.95"/>
    <x v="0"/>
    <s v="No"/>
    <x v="3"/>
    <n v="1929.95"/>
    <x v="1"/>
    <s v="Standard Spend"/>
  </r>
  <r>
    <s v="3466-BYAVD"/>
    <s v="Male"/>
    <x v="0"/>
    <n v="15"/>
    <x v="0"/>
    <x v="1"/>
    <n v="69.5"/>
    <n v="1071.4000000000001"/>
    <x v="0"/>
    <s v="Yes"/>
    <x v="1"/>
    <n v="1071.4000000000001"/>
    <x v="1"/>
    <s v="Standard Spend"/>
  </r>
  <r>
    <s v="3780-YVMFA"/>
    <s v="Female"/>
    <x v="0"/>
    <n v="8"/>
    <x v="0"/>
    <x v="1"/>
    <n v="68.55"/>
    <n v="564.35"/>
    <x v="0"/>
    <s v="Yes"/>
    <x v="0"/>
    <n v="564.35"/>
    <x v="0"/>
    <s v="Standard Spend"/>
  </r>
  <r>
    <s v="3874-EQOEP"/>
    <s v="Male"/>
    <x v="0"/>
    <n v="7"/>
    <x v="1"/>
    <x v="0"/>
    <n v="95"/>
    <n v="655.5"/>
    <x v="1"/>
    <s v="No"/>
    <x v="1"/>
    <n v="655.5"/>
    <x v="0"/>
    <s v="Standard Spend"/>
  </r>
  <r>
    <s v="1679-JRFBR"/>
    <s v="Female"/>
    <x v="1"/>
    <n v="70"/>
    <x v="1"/>
    <x v="0"/>
    <n v="108.15"/>
    <n v="7930.55"/>
    <x v="0"/>
    <s v="Yes"/>
    <x v="3"/>
    <n v="7930.55"/>
    <x v="2"/>
    <s v="High Spend"/>
  </r>
  <r>
    <s v="9073-ZZIAY"/>
    <s v="Male"/>
    <x v="2"/>
    <n v="62"/>
    <x v="0"/>
    <x v="1"/>
    <n v="86.1"/>
    <n v="5215.25"/>
    <x v="0"/>
    <s v="No"/>
    <x v="0"/>
    <n v="5215.25"/>
    <x v="2"/>
    <s v="High Spend"/>
  </r>
  <r>
    <s v="3077-RSNTJ"/>
    <s v="Female"/>
    <x v="0"/>
    <n v="6"/>
    <x v="2"/>
    <x v="2"/>
    <n v="19.7"/>
    <n v="113.5"/>
    <x v="0"/>
    <s v="No"/>
    <x v="1"/>
    <n v="113.5"/>
    <x v="0"/>
    <s v="Standard Spend"/>
  </r>
  <r>
    <s v="6551-GNYDG"/>
    <s v="Female"/>
    <x v="0"/>
    <n v="14"/>
    <x v="1"/>
    <x v="0"/>
    <n v="80.900000000000006"/>
    <n v="1152.8"/>
    <x v="0"/>
    <s v="Yes"/>
    <x v="2"/>
    <n v="1152.8"/>
    <x v="1"/>
    <s v="Standard Spend"/>
  </r>
  <r>
    <s v="9167-APMXZ"/>
    <s v="Female"/>
    <x v="0"/>
    <n v="22"/>
    <x v="1"/>
    <x v="0"/>
    <n v="84.15"/>
    <n v="1821.95"/>
    <x v="0"/>
    <s v="Yes"/>
    <x v="2"/>
    <n v="1821.95"/>
    <x v="1"/>
    <s v="Standard Spend"/>
  </r>
  <r>
    <s v="2749-CTKAJ"/>
    <s v="Male"/>
    <x v="1"/>
    <n v="22"/>
    <x v="2"/>
    <x v="2"/>
    <n v="20.149999999999999"/>
    <n v="419.9"/>
    <x v="0"/>
    <s v="No"/>
    <x v="1"/>
    <n v="419.9"/>
    <x v="1"/>
    <s v="Standard Spend"/>
  </r>
  <r>
    <s v="6371-NZYEG"/>
    <s v="Male"/>
    <x v="2"/>
    <n v="16"/>
    <x v="0"/>
    <x v="0"/>
    <n v="64.25"/>
    <n v="1024"/>
    <x v="0"/>
    <s v="No"/>
    <x v="1"/>
    <n v="1024"/>
    <x v="1"/>
    <s v="Standard Spend"/>
  </r>
  <r>
    <s v="7554-NEWDD"/>
    <s v="Male"/>
    <x v="2"/>
    <n v="10"/>
    <x v="2"/>
    <x v="2"/>
    <n v="25.7"/>
    <n v="251.6"/>
    <x v="0"/>
    <s v="No"/>
    <x v="2"/>
    <n v="251.6"/>
    <x v="0"/>
    <s v="Standard Spend"/>
  </r>
  <r>
    <s v="8992-VONJD"/>
    <s v="Female"/>
    <x v="0"/>
    <n v="13"/>
    <x v="0"/>
    <x v="0"/>
    <n v="56"/>
    <n v="764.55"/>
    <x v="0"/>
    <s v="Yes"/>
    <x v="0"/>
    <n v="764.55"/>
    <x v="1"/>
    <s v="Standard Spend"/>
  </r>
  <r>
    <s v="0867-MKZVY"/>
    <s v="Female"/>
    <x v="0"/>
    <n v="20"/>
    <x v="1"/>
    <x v="0"/>
    <n v="82.4"/>
    <n v="1592.35"/>
    <x v="1"/>
    <s v="No"/>
    <x v="0"/>
    <n v="1592.35"/>
    <x v="1"/>
    <s v="Standard Spend"/>
  </r>
  <r>
    <s v="4482-EWFMI"/>
    <s v="Female"/>
    <x v="0"/>
    <n v="2"/>
    <x v="1"/>
    <x v="0"/>
    <n v="69.7"/>
    <n v="135.19999999999999"/>
    <x v="0"/>
    <s v="Yes"/>
    <x v="0"/>
    <n v="135.19999999999999"/>
    <x v="0"/>
    <s v="Standard Spend"/>
  </r>
  <r>
    <s v="4648-YPBTM"/>
    <s v="Male"/>
    <x v="2"/>
    <n v="53"/>
    <x v="0"/>
    <x v="1"/>
    <n v="73.900000000000006"/>
    <n v="3958.25"/>
    <x v="0"/>
    <s v="Yes"/>
    <x v="2"/>
    <n v="3958.25"/>
    <x v="2"/>
    <s v="High Spend"/>
  </r>
  <r>
    <s v="2907-ILJBN"/>
    <s v="Female"/>
    <x v="1"/>
    <n v="11"/>
    <x v="2"/>
    <x v="2"/>
    <n v="20.6"/>
    <n v="233.9"/>
    <x v="0"/>
    <s v="No"/>
    <x v="1"/>
    <n v="233.9"/>
    <x v="0"/>
    <s v="Standard Spend"/>
  </r>
  <r>
    <s v="6345-FZOQH"/>
    <s v="Male"/>
    <x v="2"/>
    <n v="69"/>
    <x v="2"/>
    <x v="2"/>
    <n v="19.899999999999999"/>
    <n v="1363.45"/>
    <x v="0"/>
    <s v="No"/>
    <x v="1"/>
    <n v="1363.45"/>
    <x v="2"/>
    <s v="Standard Spend"/>
  </r>
  <r>
    <s v="3376-BMGFE"/>
    <s v="Female"/>
    <x v="0"/>
    <n v="4"/>
    <x v="1"/>
    <x v="0"/>
    <n v="70.900000000000006"/>
    <n v="273"/>
    <x v="1"/>
    <s v="Yes"/>
    <x v="2"/>
    <n v="273"/>
    <x v="0"/>
    <s v="Standard Spend"/>
  </r>
  <r>
    <s v="5997-OPVFA"/>
    <s v="Male"/>
    <x v="2"/>
    <n v="72"/>
    <x v="0"/>
    <x v="1"/>
    <n v="89.05"/>
    <n v="6254.45"/>
    <x v="0"/>
    <s v="Yes"/>
    <x v="2"/>
    <n v="6254.45"/>
    <x v="2"/>
    <s v="High Spend"/>
  </r>
  <r>
    <s v="3445-HXXGF"/>
    <s v="Male"/>
    <x v="0"/>
    <n v="58"/>
    <x v="0"/>
    <x v="0"/>
    <n v="45.3"/>
    <n v="2651.2"/>
    <x v="1"/>
    <s v="Yes"/>
    <x v="0"/>
    <n v="2651.2"/>
    <x v="2"/>
    <s v="High Spend"/>
  </r>
  <r>
    <s v="1159-WFSGR"/>
    <s v="Female"/>
    <x v="0"/>
    <n v="16"/>
    <x v="2"/>
    <x v="2"/>
    <n v="20.399999999999999"/>
    <n v="321.39999999999998"/>
    <x v="0"/>
    <s v="No"/>
    <x v="0"/>
    <n v="321.39999999999998"/>
    <x v="1"/>
    <s v="Standard Spend"/>
  </r>
  <r>
    <s v="7654-YWJUF"/>
    <s v="Male"/>
    <x v="1"/>
    <n v="43"/>
    <x v="1"/>
    <x v="1"/>
    <n v="84.25"/>
    <n v="3539.25"/>
    <x v="0"/>
    <s v="Yes"/>
    <x v="2"/>
    <n v="3539.25"/>
    <x v="2"/>
    <s v="High Spend"/>
  </r>
  <r>
    <s v="1875-QIVME"/>
    <s v="Female"/>
    <x v="0"/>
    <n v="2"/>
    <x v="1"/>
    <x v="1"/>
    <n v="104.4"/>
    <n v="242.8"/>
    <x v="1"/>
    <s v="Yes"/>
    <x v="0"/>
    <n v="242.8"/>
    <x v="0"/>
    <s v="Standard Spend"/>
  </r>
  <r>
    <s v="6727-IOTLZ"/>
    <s v="Male"/>
    <x v="2"/>
    <n v="14"/>
    <x v="0"/>
    <x v="1"/>
    <n v="81.95"/>
    <n v="1181.75"/>
    <x v="0"/>
    <s v="No"/>
    <x v="1"/>
    <n v="1181.75"/>
    <x v="1"/>
    <s v="Standard Spend"/>
  </r>
  <r>
    <s v="0691-JVSYA"/>
    <s v="Female"/>
    <x v="1"/>
    <n v="53"/>
    <x v="1"/>
    <x v="0"/>
    <n v="94.85"/>
    <n v="5000.2"/>
    <x v="1"/>
    <s v="Yes"/>
    <x v="2"/>
    <n v="5000.2"/>
    <x v="2"/>
    <s v="High Spend"/>
  </r>
  <r>
    <s v="5918-VUKWP"/>
    <s v="Female"/>
    <x v="1"/>
    <n v="32"/>
    <x v="2"/>
    <x v="2"/>
    <n v="20.55"/>
    <n v="654.54999999999995"/>
    <x v="0"/>
    <s v="No"/>
    <x v="2"/>
    <n v="654.54999999999995"/>
    <x v="1"/>
    <s v="Standard Spend"/>
  </r>
  <r>
    <s v="1744-JHKYS"/>
    <s v="Female"/>
    <x v="0"/>
    <n v="34"/>
    <x v="2"/>
    <x v="2"/>
    <n v="24.7"/>
    <n v="780.2"/>
    <x v="0"/>
    <s v="No"/>
    <x v="0"/>
    <n v="780.2"/>
    <x v="1"/>
    <s v="Standard Spend"/>
  </r>
  <r>
    <s v="2656-FMOKZ"/>
    <s v="Female"/>
    <x v="0"/>
    <n v="15"/>
    <x v="1"/>
    <x v="0"/>
    <n v="74.45"/>
    <n v="1145.7"/>
    <x v="1"/>
    <s v="Yes"/>
    <x v="1"/>
    <n v="1145.7"/>
    <x v="1"/>
    <s v="Standard Spend"/>
  </r>
  <r>
    <s v="2070-FNEXE"/>
    <s v="Female"/>
    <x v="0"/>
    <n v="7"/>
    <x v="1"/>
    <x v="0"/>
    <n v="76.45"/>
    <n v="503.6"/>
    <x v="1"/>
    <s v="No"/>
    <x v="2"/>
    <n v="503.6"/>
    <x v="0"/>
    <s v="Standard Spend"/>
  </r>
  <r>
    <s v="5947-SGKCL"/>
    <s v="Female"/>
    <x v="0"/>
    <n v="15"/>
    <x v="1"/>
    <x v="0"/>
    <n v="105.35"/>
    <n v="1559.25"/>
    <x v="0"/>
    <s v="Yes"/>
    <x v="2"/>
    <n v="1559.25"/>
    <x v="1"/>
    <s v="Standard Spend"/>
  </r>
  <r>
    <s v="3712-PKXZA"/>
    <s v="Male"/>
    <x v="1"/>
    <n v="61"/>
    <x v="2"/>
    <x v="2"/>
    <n v="20.55"/>
    <n v="1252"/>
    <x v="0"/>
    <s v="Yes"/>
    <x v="3"/>
    <n v="1252"/>
    <x v="2"/>
    <s v="Standard Spend"/>
  </r>
  <r>
    <s v="6317-YPKDH"/>
    <s v="Female"/>
    <x v="0"/>
    <n v="1"/>
    <x v="0"/>
    <x v="0"/>
    <n v="29.95"/>
    <n v="29.95"/>
    <x v="1"/>
    <s v="No"/>
    <x v="2"/>
    <n v="29.95"/>
    <x v="0"/>
    <s v="Standard Spend"/>
  </r>
  <r>
    <s v="6582-OIVSP"/>
    <s v="Female"/>
    <x v="0"/>
    <n v="1"/>
    <x v="0"/>
    <x v="0"/>
    <n v="45.3"/>
    <n v="45.3"/>
    <x v="0"/>
    <s v="No"/>
    <x v="1"/>
    <n v="45.3"/>
    <x v="0"/>
    <s v="Standard Spend"/>
  </r>
  <r>
    <s v="9367-WXLCH"/>
    <s v="Male"/>
    <x v="0"/>
    <n v="8"/>
    <x v="1"/>
    <x v="0"/>
    <n v="84.5"/>
    <n v="662.65"/>
    <x v="1"/>
    <s v="No"/>
    <x v="2"/>
    <n v="662.65"/>
    <x v="0"/>
    <s v="Standard Spend"/>
  </r>
  <r>
    <s v="5524-KHNJP"/>
    <s v="Male"/>
    <x v="1"/>
    <n v="33"/>
    <x v="0"/>
    <x v="0"/>
    <n v="74.75"/>
    <n v="2453.3000000000002"/>
    <x v="0"/>
    <s v="No"/>
    <x v="3"/>
    <n v="2453.3000000000002"/>
    <x v="1"/>
    <s v="Standard Spend"/>
  </r>
  <r>
    <s v="1918-ZBFQJ"/>
    <s v="Female"/>
    <x v="0"/>
    <n v="13"/>
    <x v="1"/>
    <x v="0"/>
    <n v="79.25"/>
    <n v="1111.6500000000001"/>
    <x v="1"/>
    <s v="Yes"/>
    <x v="0"/>
    <n v="1111.6500000000001"/>
    <x v="1"/>
    <s v="Standard Spend"/>
  </r>
  <r>
    <s v="1024-GUALD"/>
    <s v="Female"/>
    <x v="0"/>
    <n v="1"/>
    <x v="0"/>
    <x v="0"/>
    <n v="24.8"/>
    <n v="24.8"/>
    <x v="1"/>
    <s v="Yes"/>
    <x v="0"/>
    <n v="24.8"/>
    <x v="0"/>
    <s v="Standard Spend"/>
  </r>
  <r>
    <s v="4827-USJHP"/>
    <s v="Male"/>
    <x v="0"/>
    <n v="20"/>
    <x v="0"/>
    <x v="0"/>
    <n v="51.8"/>
    <n v="1023.85"/>
    <x v="0"/>
    <s v="Yes"/>
    <x v="1"/>
    <n v="1023.85"/>
    <x v="1"/>
    <s v="Standard Spend"/>
  </r>
  <r>
    <s v="8167-GJLRN"/>
    <s v="Male"/>
    <x v="0"/>
    <n v="3"/>
    <x v="0"/>
    <x v="1"/>
    <n v="30.4"/>
    <n v="82.15"/>
    <x v="0"/>
    <s v="No"/>
    <x v="0"/>
    <n v="82.15"/>
    <x v="0"/>
    <s v="Standard Spend"/>
  </r>
  <r>
    <s v="0956-SYCWG"/>
    <s v="Female"/>
    <x v="1"/>
    <n v="13"/>
    <x v="2"/>
    <x v="2"/>
    <n v="19.649999999999999"/>
    <n v="244.8"/>
    <x v="0"/>
    <s v="No"/>
    <x v="0"/>
    <n v="244.8"/>
    <x v="1"/>
    <s v="Standard Spend"/>
  </r>
  <r>
    <s v="8017-UVSZU"/>
    <s v="Female"/>
    <x v="0"/>
    <n v="40"/>
    <x v="0"/>
    <x v="0"/>
    <n v="56.6"/>
    <n v="2379.1"/>
    <x v="0"/>
    <s v="No"/>
    <x v="3"/>
    <n v="2379.1"/>
    <x v="2"/>
    <s v="Standard Spend"/>
  </r>
  <r>
    <s v="7100-FQPRV"/>
    <s v="Male"/>
    <x v="1"/>
    <n v="43"/>
    <x v="0"/>
    <x v="1"/>
    <n v="71.900000000000006"/>
    <n v="3173.35"/>
    <x v="0"/>
    <s v="Yes"/>
    <x v="3"/>
    <n v="3173.35"/>
    <x v="2"/>
    <s v="High Spend"/>
  </r>
  <r>
    <s v="2472-OVKUP"/>
    <s v="Male"/>
    <x v="0"/>
    <n v="6"/>
    <x v="1"/>
    <x v="0"/>
    <n v="91"/>
    <n v="531"/>
    <x v="1"/>
    <s v="Yes"/>
    <x v="0"/>
    <n v="531"/>
    <x v="0"/>
    <s v="Standard Spend"/>
  </r>
  <r>
    <s v="2984-RGEYA"/>
    <s v="Female"/>
    <x v="2"/>
    <n v="69"/>
    <x v="2"/>
    <x v="2"/>
    <n v="19.75"/>
    <n v="1375.4"/>
    <x v="0"/>
    <s v="No"/>
    <x v="2"/>
    <n v="1375.4"/>
    <x v="2"/>
    <s v="Standard Spend"/>
  </r>
  <r>
    <s v="9680-NIAUV"/>
    <s v="Female"/>
    <x v="2"/>
    <n v="72"/>
    <x v="1"/>
    <x v="0"/>
    <n v="109.7"/>
    <n v="8129.3"/>
    <x v="0"/>
    <s v="No"/>
    <x v="3"/>
    <n v="8129.3"/>
    <x v="2"/>
    <s v="High Spend"/>
  </r>
  <r>
    <s v="2146-EGVDT"/>
    <s v="Male"/>
    <x v="2"/>
    <n v="59"/>
    <x v="2"/>
    <x v="2"/>
    <n v="19.3"/>
    <n v="1192.7"/>
    <x v="0"/>
    <s v="No"/>
    <x v="3"/>
    <n v="1192.7"/>
    <x v="2"/>
    <s v="Standard Spend"/>
  </r>
  <r>
    <s v="2604-IJPDU"/>
    <s v="Female"/>
    <x v="0"/>
    <n v="20"/>
    <x v="1"/>
    <x v="1"/>
    <n v="96.55"/>
    <n v="1901.65"/>
    <x v="0"/>
    <s v="Yes"/>
    <x v="0"/>
    <n v="1901.65"/>
    <x v="1"/>
    <s v="Standard Spend"/>
  </r>
  <r>
    <s v="9178-JHUVJ"/>
    <s v="Male"/>
    <x v="2"/>
    <n v="24"/>
    <x v="2"/>
    <x v="2"/>
    <n v="24.1"/>
    <n v="587.4"/>
    <x v="0"/>
    <s v="Yes"/>
    <x v="2"/>
    <n v="587.4"/>
    <x v="1"/>
    <s v="Standard Spend"/>
  </r>
  <r>
    <s v="6168-YBYNP"/>
    <s v="Male"/>
    <x v="0"/>
    <n v="59"/>
    <x v="1"/>
    <x v="1"/>
    <n v="111.35"/>
    <n v="6519.75"/>
    <x v="0"/>
    <s v="Yes"/>
    <x v="0"/>
    <n v="6519.75"/>
    <x v="2"/>
    <s v="High Spend"/>
  </r>
  <r>
    <s v="7255-SSFBC"/>
    <s v="Male"/>
    <x v="2"/>
    <n v="72"/>
    <x v="1"/>
    <x v="1"/>
    <n v="112.25"/>
    <n v="8041.65"/>
    <x v="0"/>
    <s v="Yes"/>
    <x v="2"/>
    <n v="8041.65"/>
    <x v="2"/>
    <s v="High Spend"/>
  </r>
  <r>
    <s v="3645-DEYGF"/>
    <s v="Male"/>
    <x v="0"/>
    <n v="1"/>
    <x v="2"/>
    <x v="2"/>
    <n v="20.75"/>
    <n v="20.75"/>
    <x v="0"/>
    <s v="No"/>
    <x v="1"/>
    <n v="20.75"/>
    <x v="0"/>
    <s v="Standard Spend"/>
  </r>
  <r>
    <s v="9323-HGFWY"/>
    <s v="Female"/>
    <x v="1"/>
    <n v="27"/>
    <x v="1"/>
    <x v="1"/>
    <n v="101.9"/>
    <n v="2681.15"/>
    <x v="0"/>
    <s v="Yes"/>
    <x v="3"/>
    <n v="2681.15"/>
    <x v="1"/>
    <s v="High Spend"/>
  </r>
  <r>
    <s v="8544-GOQSH"/>
    <s v="Female"/>
    <x v="0"/>
    <n v="14"/>
    <x v="1"/>
    <x v="1"/>
    <n v="80.05"/>
    <n v="1112.3"/>
    <x v="0"/>
    <s v="Yes"/>
    <x v="3"/>
    <n v="1112.3"/>
    <x v="1"/>
    <s v="Standard Spend"/>
  </r>
  <r>
    <s v="3363-DTIVD"/>
    <s v="Male"/>
    <x v="2"/>
    <n v="71"/>
    <x v="1"/>
    <x v="0"/>
    <n v="105.55"/>
    <n v="7405.5"/>
    <x v="0"/>
    <s v="No"/>
    <x v="0"/>
    <n v="7405.5"/>
    <x v="2"/>
    <s v="High Spend"/>
  </r>
  <r>
    <s v="7018-WBJNK"/>
    <s v="Male"/>
    <x v="0"/>
    <n v="13"/>
    <x v="1"/>
    <x v="0"/>
    <n v="78.3"/>
    <n v="1033.95"/>
    <x v="0"/>
    <s v="Yes"/>
    <x v="3"/>
    <n v="1033.95"/>
    <x v="1"/>
    <s v="Standard Spend"/>
  </r>
  <r>
    <s v="9142-KZXOP"/>
    <s v="Male"/>
    <x v="0"/>
    <n v="44"/>
    <x v="1"/>
    <x v="0"/>
    <n v="68.849999999999994"/>
    <n v="2958.95"/>
    <x v="0"/>
    <s v="No"/>
    <x v="3"/>
    <n v="2958.95"/>
    <x v="2"/>
    <s v="High Spend"/>
  </r>
  <r>
    <s v="7674-YTAFD"/>
    <s v="Female"/>
    <x v="1"/>
    <n v="33"/>
    <x v="1"/>
    <x v="1"/>
    <n v="79.95"/>
    <n v="2684.85"/>
    <x v="0"/>
    <s v="Yes"/>
    <x v="2"/>
    <n v="2684.85"/>
    <x v="1"/>
    <s v="High Spend"/>
  </r>
  <r>
    <s v="6348-SNFUS"/>
    <s v="Male"/>
    <x v="2"/>
    <n v="72"/>
    <x v="0"/>
    <x v="1"/>
    <n v="55.45"/>
    <n v="4179.2"/>
    <x v="0"/>
    <s v="Yes"/>
    <x v="3"/>
    <n v="4179.2"/>
    <x v="2"/>
    <s v="High Spend"/>
  </r>
  <r>
    <s v="1285-OKIPP"/>
    <s v="Male"/>
    <x v="0"/>
    <n v="1"/>
    <x v="1"/>
    <x v="0"/>
    <n v="79.900000000000006"/>
    <n v="79.900000000000006"/>
    <x v="1"/>
    <s v="No"/>
    <x v="0"/>
    <n v="79.900000000000006"/>
    <x v="0"/>
    <s v="Standard Spend"/>
  </r>
  <r>
    <s v="7825-ECJRF"/>
    <s v="Female"/>
    <x v="0"/>
    <n v="19"/>
    <x v="1"/>
    <x v="1"/>
    <n v="106.6"/>
    <n v="1934.45"/>
    <x v="1"/>
    <s v="Yes"/>
    <x v="0"/>
    <n v="1934.45"/>
    <x v="1"/>
    <s v="Standard Spend"/>
  </r>
  <r>
    <s v="1347-KTTTA"/>
    <s v="Male"/>
    <x v="1"/>
    <n v="64"/>
    <x v="1"/>
    <x v="1"/>
    <n v="102.45"/>
    <n v="6654.1"/>
    <x v="0"/>
    <s v="Yes"/>
    <x v="3"/>
    <n v="6654.1"/>
    <x v="2"/>
    <s v="High Spend"/>
  </r>
  <r>
    <s v="7841-TZDMQ"/>
    <s v="Male"/>
    <x v="0"/>
    <n v="2"/>
    <x v="0"/>
    <x v="0"/>
    <n v="46"/>
    <n v="84.5"/>
    <x v="1"/>
    <s v="Yes"/>
    <x v="3"/>
    <n v="84.5"/>
    <x v="0"/>
    <s v="Standard Spend"/>
  </r>
  <r>
    <s v="4195-NZGTA"/>
    <s v="Female"/>
    <x v="0"/>
    <n v="1"/>
    <x v="0"/>
    <x v="0"/>
    <n v="25.25"/>
    <n v="25.25"/>
    <x v="0"/>
    <s v="No"/>
    <x v="0"/>
    <n v="25.25"/>
    <x v="0"/>
    <s v="Standard Spend"/>
  </r>
  <r>
    <s v="7157-SMCFK"/>
    <s v="Male"/>
    <x v="2"/>
    <n v="61"/>
    <x v="2"/>
    <x v="2"/>
    <n v="19.75"/>
    <n v="1124.2"/>
    <x v="0"/>
    <s v="No"/>
    <x v="1"/>
    <n v="1124.2"/>
    <x v="2"/>
    <s v="Standard Spend"/>
  </r>
  <r>
    <s v="4709-LKHYG"/>
    <s v="Female"/>
    <x v="1"/>
    <n v="29"/>
    <x v="2"/>
    <x v="2"/>
    <n v="20"/>
    <n v="540.04999999999995"/>
    <x v="0"/>
    <s v="No"/>
    <x v="0"/>
    <n v="540.04999999999995"/>
    <x v="1"/>
    <s v="Standard Spend"/>
  </r>
  <r>
    <s v="2504-DSHIH"/>
    <s v="Male"/>
    <x v="0"/>
    <n v="23"/>
    <x v="1"/>
    <x v="0"/>
    <n v="86.8"/>
    <n v="1975.85"/>
    <x v="0"/>
    <s v="No"/>
    <x v="0"/>
    <n v="1975.85"/>
    <x v="1"/>
    <s v="Standard Spend"/>
  </r>
  <r>
    <s v="0699-NDKJM"/>
    <s v="Female"/>
    <x v="0"/>
    <n v="57"/>
    <x v="0"/>
    <x v="0"/>
    <n v="58.75"/>
    <n v="3437.45"/>
    <x v="0"/>
    <s v="Yes"/>
    <x v="2"/>
    <n v="3437.45"/>
    <x v="2"/>
    <s v="High Spend"/>
  </r>
  <r>
    <s v="9286-BHDQG"/>
    <s v="Male"/>
    <x v="2"/>
    <n v="72"/>
    <x v="0"/>
    <x v="1"/>
    <n v="45.25"/>
    <n v="3139.8"/>
    <x v="0"/>
    <s v="No"/>
    <x v="3"/>
    <n v="3139.8"/>
    <x v="2"/>
    <s v="High Spend"/>
  </r>
  <r>
    <s v="0230-WEQUW"/>
    <s v="Male"/>
    <x v="2"/>
    <n v="66"/>
    <x v="0"/>
    <x v="1"/>
    <n v="56.6"/>
    <n v="3789.2"/>
    <x v="0"/>
    <s v="Yes"/>
    <x v="2"/>
    <n v="3789.2"/>
    <x v="2"/>
    <s v="High Spend"/>
  </r>
  <r>
    <s v="2040-LDIWQ"/>
    <s v="Male"/>
    <x v="2"/>
    <n v="65"/>
    <x v="0"/>
    <x v="1"/>
    <n v="84.2"/>
    <n v="5324.5"/>
    <x v="0"/>
    <s v="Yes"/>
    <x v="2"/>
    <n v="5324.5"/>
    <x v="2"/>
    <s v="High Spend"/>
  </r>
  <r>
    <s v="6496-JDSSB"/>
    <s v="Female"/>
    <x v="0"/>
    <n v="8"/>
    <x v="1"/>
    <x v="0"/>
    <n v="80"/>
    <n v="624.6"/>
    <x v="0"/>
    <s v="Yes"/>
    <x v="2"/>
    <n v="624.6"/>
    <x v="0"/>
    <s v="Standard Spend"/>
  </r>
  <r>
    <s v="9408-SSNVZ"/>
    <s v="Female"/>
    <x v="0"/>
    <n v="4"/>
    <x v="1"/>
    <x v="0"/>
    <n v="70.150000000000006"/>
    <n v="268.35000000000002"/>
    <x v="1"/>
    <s v="Yes"/>
    <x v="0"/>
    <n v="268.35000000000002"/>
    <x v="0"/>
    <s v="Standard Spend"/>
  </r>
  <r>
    <s v="4443-EMBNA"/>
    <s v="Female"/>
    <x v="2"/>
    <n v="71"/>
    <x v="2"/>
    <x v="2"/>
    <n v="24.75"/>
    <n v="1836.9"/>
    <x v="0"/>
    <s v="No"/>
    <x v="2"/>
    <n v="1836.9"/>
    <x v="2"/>
    <s v="Standard Spend"/>
  </r>
  <r>
    <s v="6469-MRVET"/>
    <s v="Male"/>
    <x v="1"/>
    <n v="1"/>
    <x v="2"/>
    <x v="2"/>
    <n v="20.2"/>
    <n v="20.2"/>
    <x v="0"/>
    <s v="Yes"/>
    <x v="0"/>
    <n v="20.2"/>
    <x v="0"/>
    <s v="Standard Spend"/>
  </r>
  <r>
    <s v="0742-MOABM"/>
    <s v="Male"/>
    <x v="0"/>
    <n v="4"/>
    <x v="0"/>
    <x v="1"/>
    <n v="50.05"/>
    <n v="179.35"/>
    <x v="1"/>
    <s v="No"/>
    <x v="1"/>
    <n v="179.35"/>
    <x v="0"/>
    <s v="Standard Spend"/>
  </r>
  <r>
    <s v="5961-VUSRV"/>
    <s v="Female"/>
    <x v="1"/>
    <n v="12"/>
    <x v="2"/>
    <x v="2"/>
    <n v="19.350000000000001"/>
    <n v="219.35"/>
    <x v="0"/>
    <s v="Yes"/>
    <x v="2"/>
    <n v="219.35"/>
    <x v="0"/>
    <s v="Standard Spend"/>
  </r>
  <r>
    <s v="6778-JFCMK"/>
    <s v="Male"/>
    <x v="1"/>
    <n v="24"/>
    <x v="0"/>
    <x v="0"/>
    <n v="50.6"/>
    <n v="1288.75"/>
    <x v="0"/>
    <s v="Yes"/>
    <x v="1"/>
    <n v="1288.75"/>
    <x v="1"/>
    <s v="Standard Spend"/>
  </r>
  <r>
    <s v="6341-JVQGF"/>
    <s v="Female"/>
    <x v="1"/>
    <n v="31"/>
    <x v="0"/>
    <x v="1"/>
    <n v="81.150000000000006"/>
    <n v="2545.75"/>
    <x v="0"/>
    <s v="Yes"/>
    <x v="1"/>
    <n v="2545.75"/>
    <x v="1"/>
    <s v="High Spend"/>
  </r>
  <r>
    <s v="2232-DMLXU"/>
    <s v="Female"/>
    <x v="0"/>
    <n v="1"/>
    <x v="0"/>
    <x v="0"/>
    <n v="55.2"/>
    <n v="55.2"/>
    <x v="1"/>
    <s v="No"/>
    <x v="1"/>
    <n v="55.2"/>
    <x v="0"/>
    <s v="Standard Spend"/>
  </r>
  <r>
    <s v="4811-JBUVU"/>
    <s v="Male"/>
    <x v="0"/>
    <n v="30"/>
    <x v="1"/>
    <x v="1"/>
    <n v="89.9"/>
    <n v="2723.15"/>
    <x v="0"/>
    <s v="Yes"/>
    <x v="3"/>
    <n v="2723.15"/>
    <x v="1"/>
    <s v="High Spend"/>
  </r>
  <r>
    <s v="0945-TSONX"/>
    <s v="Female"/>
    <x v="2"/>
    <n v="47"/>
    <x v="0"/>
    <x v="1"/>
    <n v="85.3"/>
    <n v="4107.25"/>
    <x v="0"/>
    <s v="Yes"/>
    <x v="3"/>
    <n v="4107.25"/>
    <x v="2"/>
    <s v="High Spend"/>
  </r>
  <r>
    <s v="2651-ZCBXV"/>
    <s v="Male"/>
    <x v="2"/>
    <n v="54"/>
    <x v="1"/>
    <x v="1"/>
    <n v="108"/>
    <n v="5760.65"/>
    <x v="0"/>
    <s v="Yes"/>
    <x v="3"/>
    <n v="5760.65"/>
    <x v="2"/>
    <s v="High Spend"/>
  </r>
  <r>
    <s v="3316-UWXUY"/>
    <s v="Male"/>
    <x v="0"/>
    <n v="50"/>
    <x v="1"/>
    <x v="1"/>
    <n v="93.5"/>
    <n v="4747.5"/>
    <x v="0"/>
    <s v="Yes"/>
    <x v="3"/>
    <n v="4747.5"/>
    <x v="2"/>
    <s v="High Spend"/>
  </r>
  <r>
    <s v="8937-RDTHP"/>
    <s v="Male"/>
    <x v="0"/>
    <n v="1"/>
    <x v="1"/>
    <x v="0"/>
    <n v="84.6"/>
    <n v="84.6"/>
    <x v="1"/>
    <s v="Yes"/>
    <x v="1"/>
    <n v="84.6"/>
    <x v="0"/>
    <s v="Standard Spend"/>
  </r>
  <r>
    <s v="7083-MIOPC"/>
    <s v="Female"/>
    <x v="2"/>
    <n v="72"/>
    <x v="2"/>
    <x v="2"/>
    <n v="20.25"/>
    <n v="1566.9"/>
    <x v="0"/>
    <s v="No"/>
    <x v="3"/>
    <n v="1566.9"/>
    <x v="2"/>
    <s v="Standard Spend"/>
  </r>
  <r>
    <s v="1984-GPTEH"/>
    <s v="Female"/>
    <x v="0"/>
    <n v="29"/>
    <x v="2"/>
    <x v="2"/>
    <n v="25.15"/>
    <n v="702"/>
    <x v="0"/>
    <s v="No"/>
    <x v="0"/>
    <n v="702"/>
    <x v="1"/>
    <s v="Standard Spend"/>
  </r>
  <r>
    <s v="1251-KRREG"/>
    <s v="Male"/>
    <x v="0"/>
    <n v="2"/>
    <x v="0"/>
    <x v="0"/>
    <n v="54.4"/>
    <n v="114.1"/>
    <x v="1"/>
    <s v="Yes"/>
    <x v="1"/>
    <n v="114.1"/>
    <x v="0"/>
    <s v="Standard Spend"/>
  </r>
  <r>
    <s v="0621-JFHOL"/>
    <s v="Female"/>
    <x v="2"/>
    <n v="10"/>
    <x v="0"/>
    <x v="1"/>
    <n v="29.6"/>
    <n v="299.05"/>
    <x v="0"/>
    <s v="Yes"/>
    <x v="1"/>
    <n v="299.05"/>
    <x v="0"/>
    <s v="Standard Spend"/>
  </r>
  <r>
    <s v="9903-LYSAB"/>
    <s v="Male"/>
    <x v="0"/>
    <n v="18"/>
    <x v="1"/>
    <x v="0"/>
    <n v="73.150000000000006"/>
    <n v="1305.95"/>
    <x v="0"/>
    <s v="Yes"/>
    <x v="0"/>
    <n v="1305.95"/>
    <x v="1"/>
    <s v="Standard Spend"/>
  </r>
  <r>
    <s v="0094-OIFMO"/>
    <s v="Female"/>
    <x v="0"/>
    <n v="11"/>
    <x v="1"/>
    <x v="0"/>
    <n v="95"/>
    <n v="1120.3"/>
    <x v="1"/>
    <s v="Yes"/>
    <x v="0"/>
    <n v="1120.3"/>
    <x v="0"/>
    <s v="Standard Spend"/>
  </r>
  <r>
    <s v="9227-UAQFT"/>
    <s v="Male"/>
    <x v="2"/>
    <n v="16"/>
    <x v="2"/>
    <x v="2"/>
    <n v="19.75"/>
    <n v="284.35000000000002"/>
    <x v="0"/>
    <s v="No"/>
    <x v="1"/>
    <n v="284.35000000000002"/>
    <x v="1"/>
    <s v="Standard Spend"/>
  </r>
  <r>
    <s v="7301-ABVAD"/>
    <s v="Female"/>
    <x v="2"/>
    <n v="72"/>
    <x v="0"/>
    <x v="1"/>
    <n v="86.6"/>
    <n v="6350.5"/>
    <x v="0"/>
    <s v="No"/>
    <x v="2"/>
    <n v="6350.5"/>
    <x v="2"/>
    <s v="High Spend"/>
  </r>
  <r>
    <s v="6614-FHDBO"/>
    <s v="Male"/>
    <x v="2"/>
    <n v="72"/>
    <x v="1"/>
    <x v="1"/>
    <n v="109.2"/>
    <n v="7878.3"/>
    <x v="0"/>
    <s v="No"/>
    <x v="2"/>
    <n v="7878.3"/>
    <x v="2"/>
    <s v="High Spend"/>
  </r>
  <r>
    <s v="7576-ASEJU"/>
    <s v="Female"/>
    <x v="1"/>
    <n v="41"/>
    <x v="0"/>
    <x v="1"/>
    <n v="74.7"/>
    <n v="3187.65"/>
    <x v="0"/>
    <s v="Yes"/>
    <x v="3"/>
    <n v="3187.65"/>
    <x v="2"/>
    <s v="High Spend"/>
  </r>
  <r>
    <s v="9058-HRZSV"/>
    <s v="Female"/>
    <x v="0"/>
    <n v="65"/>
    <x v="1"/>
    <x v="0"/>
    <n v="94.4"/>
    <n v="6126.15"/>
    <x v="0"/>
    <s v="No"/>
    <x v="0"/>
    <n v="6126.15"/>
    <x v="2"/>
    <s v="High Spend"/>
  </r>
  <r>
    <s v="4522-AKYLR"/>
    <s v="Female"/>
    <x v="0"/>
    <n v="13"/>
    <x v="0"/>
    <x v="0"/>
    <n v="54.8"/>
    <n v="731.3"/>
    <x v="0"/>
    <s v="Yes"/>
    <x v="0"/>
    <n v="731.3"/>
    <x v="1"/>
    <s v="Standard Spend"/>
  </r>
  <r>
    <s v="0221-WMXNQ"/>
    <s v="Male"/>
    <x v="0"/>
    <n v="4"/>
    <x v="1"/>
    <x v="0"/>
    <n v="75.349999999999994"/>
    <n v="273.39999999999998"/>
    <x v="0"/>
    <s v="No"/>
    <x v="0"/>
    <n v="273.39999999999998"/>
    <x v="0"/>
    <s v="Standard Spend"/>
  </r>
  <r>
    <s v="0303-UNCIP"/>
    <s v="Male"/>
    <x v="1"/>
    <n v="41"/>
    <x v="0"/>
    <x v="0"/>
    <n v="65"/>
    <n v="2531.8000000000002"/>
    <x v="0"/>
    <s v="No"/>
    <x v="1"/>
    <n v="2531.8000000000002"/>
    <x v="2"/>
    <s v="High Spend"/>
  </r>
  <r>
    <s v="9947-OTFQU"/>
    <s v="Male"/>
    <x v="0"/>
    <n v="15"/>
    <x v="1"/>
    <x v="0"/>
    <n v="74.400000000000006"/>
    <n v="1074.3"/>
    <x v="1"/>
    <s v="Yes"/>
    <x v="0"/>
    <n v="1074.3"/>
    <x v="1"/>
    <s v="Standard Spend"/>
  </r>
  <r>
    <s v="0322-YINQP"/>
    <s v="Male"/>
    <x v="0"/>
    <n v="1"/>
    <x v="0"/>
    <x v="0"/>
    <n v="48.55"/>
    <n v="48.55"/>
    <x v="1"/>
    <s v="Yes"/>
    <x v="1"/>
    <n v="48.55"/>
    <x v="0"/>
    <s v="Standard Spend"/>
  </r>
  <r>
    <s v="0959-WHOKV"/>
    <s v="Male"/>
    <x v="1"/>
    <n v="42"/>
    <x v="1"/>
    <x v="0"/>
    <n v="99"/>
    <n v="4298.45"/>
    <x v="0"/>
    <s v="Yes"/>
    <x v="0"/>
    <n v="4298.45"/>
    <x v="2"/>
    <s v="High Spend"/>
  </r>
  <r>
    <s v="4075-JFPGR"/>
    <s v="Female"/>
    <x v="1"/>
    <n v="51"/>
    <x v="1"/>
    <x v="0"/>
    <n v="93.5"/>
    <n v="4619.55"/>
    <x v="0"/>
    <s v="Yes"/>
    <x v="0"/>
    <n v="4619.55"/>
    <x v="2"/>
    <s v="High Spend"/>
  </r>
  <r>
    <s v="4629-NRXKX"/>
    <s v="Female"/>
    <x v="0"/>
    <n v="2"/>
    <x v="1"/>
    <x v="0"/>
    <n v="70.400000000000006"/>
    <n v="147.15"/>
    <x v="1"/>
    <s v="No"/>
    <x v="0"/>
    <n v="147.15"/>
    <x v="0"/>
    <s v="Standard Spend"/>
  </r>
  <r>
    <s v="9514-JDSKI"/>
    <s v="Male"/>
    <x v="0"/>
    <n v="1"/>
    <x v="0"/>
    <x v="0"/>
    <n v="40.200000000000003"/>
    <n v="40.200000000000003"/>
    <x v="1"/>
    <s v="No"/>
    <x v="0"/>
    <n v="40.200000000000003"/>
    <x v="0"/>
    <s v="Standard Spend"/>
  </r>
  <r>
    <s v="3282-ZISZV"/>
    <s v="Male"/>
    <x v="1"/>
    <n v="32"/>
    <x v="0"/>
    <x v="1"/>
    <n v="83.7"/>
    <n v="2633.3"/>
    <x v="0"/>
    <s v="No"/>
    <x v="3"/>
    <n v="2633.3"/>
    <x v="1"/>
    <s v="High Spend"/>
  </r>
  <r>
    <s v="3675-YDUPJ"/>
    <s v="Male"/>
    <x v="0"/>
    <n v="10"/>
    <x v="2"/>
    <x v="2"/>
    <n v="19.850000000000001"/>
    <n v="193.05"/>
    <x v="0"/>
    <s v="Yes"/>
    <x v="1"/>
    <n v="193.05"/>
    <x v="0"/>
    <s v="Standard Spend"/>
  </r>
  <r>
    <s v="4111-BNXIF"/>
    <s v="Female"/>
    <x v="2"/>
    <n v="67"/>
    <x v="0"/>
    <x v="1"/>
    <n v="59.55"/>
    <n v="4103.8999999999996"/>
    <x v="0"/>
    <s v="Yes"/>
    <x v="0"/>
    <n v="4103.8999999999996"/>
    <x v="2"/>
    <s v="High Spend"/>
  </r>
  <r>
    <s v="7017-VFHAY"/>
    <s v="Female"/>
    <x v="2"/>
    <n v="61"/>
    <x v="1"/>
    <x v="1"/>
    <n v="115.1"/>
    <n v="7008.15"/>
    <x v="0"/>
    <s v="No"/>
    <x v="3"/>
    <n v="7008.15"/>
    <x v="2"/>
    <s v="High Spend"/>
  </r>
  <r>
    <s v="6655-LHBYW"/>
    <s v="Male"/>
    <x v="1"/>
    <n v="50"/>
    <x v="1"/>
    <x v="1"/>
    <n v="114.35"/>
    <n v="5791.1"/>
    <x v="0"/>
    <s v="No"/>
    <x v="3"/>
    <n v="5791.1"/>
    <x v="2"/>
    <s v="High Spend"/>
  </r>
  <r>
    <s v="4959-JOSRX"/>
    <s v="Female"/>
    <x v="0"/>
    <n v="2"/>
    <x v="0"/>
    <x v="0"/>
    <n v="44.6"/>
    <n v="80.55"/>
    <x v="1"/>
    <s v="Yes"/>
    <x v="3"/>
    <n v="80.55"/>
    <x v="0"/>
    <s v="Standard Spend"/>
  </r>
  <r>
    <s v="5046-NUHWD"/>
    <s v="Female"/>
    <x v="0"/>
    <n v="29"/>
    <x v="0"/>
    <x v="0"/>
    <n v="45"/>
    <n v="1228.6500000000001"/>
    <x v="0"/>
    <s v="Yes"/>
    <x v="0"/>
    <n v="1228.6500000000001"/>
    <x v="1"/>
    <s v="Standard Spend"/>
  </r>
  <r>
    <s v="7273-TEFQD"/>
    <s v="Male"/>
    <x v="0"/>
    <n v="3"/>
    <x v="0"/>
    <x v="0"/>
    <n v="41.15"/>
    <n v="132.19999999999999"/>
    <x v="1"/>
    <s v="Yes"/>
    <x v="0"/>
    <n v="132.19999999999999"/>
    <x v="0"/>
    <s v="Standard Spend"/>
  </r>
  <r>
    <s v="3606-TWKGI"/>
    <s v="Male"/>
    <x v="0"/>
    <n v="13"/>
    <x v="1"/>
    <x v="0"/>
    <n v="106.9"/>
    <n v="1364.3"/>
    <x v="1"/>
    <s v="Yes"/>
    <x v="0"/>
    <n v="1364.3"/>
    <x v="1"/>
    <s v="Standard Spend"/>
  </r>
  <r>
    <s v="7529-ZDFXI"/>
    <s v="Male"/>
    <x v="0"/>
    <n v="57"/>
    <x v="1"/>
    <x v="0"/>
    <n v="89.85"/>
    <n v="4925.3500000000004"/>
    <x v="0"/>
    <s v="Yes"/>
    <x v="0"/>
    <n v="4925.3500000000004"/>
    <x v="2"/>
    <s v="High Spend"/>
  </r>
  <r>
    <s v="7605-BDWDC"/>
    <s v="Female"/>
    <x v="2"/>
    <n v="31"/>
    <x v="0"/>
    <x v="1"/>
    <n v="49.85"/>
    <n v="1520.1"/>
    <x v="0"/>
    <s v="Yes"/>
    <x v="2"/>
    <n v="1520.1"/>
    <x v="1"/>
    <s v="Standard Spend"/>
  </r>
  <r>
    <s v="1950-KSVVJ"/>
    <s v="Female"/>
    <x v="1"/>
    <n v="45"/>
    <x v="1"/>
    <x v="1"/>
    <n v="113.3"/>
    <n v="5032.25"/>
    <x v="0"/>
    <s v="No"/>
    <x v="1"/>
    <n v="5032.25"/>
    <x v="2"/>
    <s v="High Spend"/>
  </r>
  <r>
    <s v="0123-CRBRT"/>
    <s v="Female"/>
    <x v="2"/>
    <n v="61"/>
    <x v="0"/>
    <x v="1"/>
    <n v="88.1"/>
    <n v="5526.75"/>
    <x v="0"/>
    <s v="No"/>
    <x v="1"/>
    <n v="5526.75"/>
    <x v="2"/>
    <s v="High Spend"/>
  </r>
  <r>
    <s v="6292-TOSSS"/>
    <s v="Male"/>
    <x v="2"/>
    <n v="50"/>
    <x v="2"/>
    <x v="2"/>
    <n v="24.9"/>
    <n v="1195.25"/>
    <x v="0"/>
    <s v="No"/>
    <x v="2"/>
    <n v="1195.25"/>
    <x v="2"/>
    <s v="Standard Spend"/>
  </r>
  <r>
    <s v="3197-ARFOY"/>
    <s v="Female"/>
    <x v="0"/>
    <n v="19"/>
    <x v="1"/>
    <x v="1"/>
    <n v="105"/>
    <n v="2007.25"/>
    <x v="0"/>
    <s v="Yes"/>
    <x v="1"/>
    <n v="2007.25"/>
    <x v="1"/>
    <s v="Standard Spend"/>
  </r>
  <r>
    <s v="6323-AYBRX"/>
    <s v="Male"/>
    <x v="2"/>
    <n v="59"/>
    <x v="2"/>
    <x v="2"/>
    <n v="19.350000000000001"/>
    <n v="1099.5999999999999"/>
    <x v="1"/>
    <s v="No"/>
    <x v="1"/>
    <n v="1099.5999999999999"/>
    <x v="2"/>
    <s v="Standard Spend"/>
  </r>
  <r>
    <s v="7014-ZZXAW"/>
    <s v="Female"/>
    <x v="2"/>
    <n v="71"/>
    <x v="2"/>
    <x v="2"/>
    <n v="24.25"/>
    <n v="1732.95"/>
    <x v="0"/>
    <s v="Yes"/>
    <x v="3"/>
    <n v="1732.95"/>
    <x v="2"/>
    <s v="Standard Spend"/>
  </r>
  <r>
    <s v="4385-GZQXV"/>
    <s v="Female"/>
    <x v="0"/>
    <n v="16"/>
    <x v="1"/>
    <x v="1"/>
    <n v="94.45"/>
    <n v="1511.2"/>
    <x v="1"/>
    <s v="Yes"/>
    <x v="0"/>
    <n v="1511.2"/>
    <x v="1"/>
    <s v="Standard Spend"/>
  </r>
  <r>
    <s v="7633-MVPUY"/>
    <s v="Male"/>
    <x v="2"/>
    <n v="57"/>
    <x v="0"/>
    <x v="1"/>
    <n v="59.75"/>
    <n v="3450.15"/>
    <x v="0"/>
    <s v="Yes"/>
    <x v="0"/>
    <n v="3450.15"/>
    <x v="2"/>
    <s v="High Spend"/>
  </r>
  <r>
    <s v="6366-ZGQGL"/>
    <s v="Male"/>
    <x v="0"/>
    <n v="1"/>
    <x v="0"/>
    <x v="0"/>
    <n v="24.8"/>
    <n v="24.8"/>
    <x v="1"/>
    <s v="No"/>
    <x v="2"/>
    <n v="24.8"/>
    <x v="0"/>
    <s v="Standard Spend"/>
  </r>
  <r>
    <s v="4716-HHKQH"/>
    <s v="Male"/>
    <x v="0"/>
    <n v="20"/>
    <x v="1"/>
    <x v="1"/>
    <n v="107.05"/>
    <n v="2172.0500000000002"/>
    <x v="0"/>
    <s v="No"/>
    <x v="0"/>
    <n v="2172.0500000000002"/>
    <x v="1"/>
    <s v="Standard Spend"/>
  </r>
  <r>
    <s v="5940-AHUHD"/>
    <s v="Male"/>
    <x v="0"/>
    <n v="1"/>
    <x v="1"/>
    <x v="0"/>
    <n v="70.599999999999994"/>
    <n v="70.599999999999994"/>
    <x v="1"/>
    <s v="No"/>
    <x v="1"/>
    <n v="70.599999999999994"/>
    <x v="0"/>
    <s v="Standard Spend"/>
  </r>
  <r>
    <s v="6432-TWQLB"/>
    <s v="Male"/>
    <x v="0"/>
    <n v="5"/>
    <x v="1"/>
    <x v="1"/>
    <n v="85.4"/>
    <n v="401.1"/>
    <x v="1"/>
    <s v="Yes"/>
    <x v="0"/>
    <n v="401.1"/>
    <x v="0"/>
    <s v="Standard Spend"/>
  </r>
  <r>
    <s v="4484-GLZOU"/>
    <s v="Female"/>
    <x v="0"/>
    <n v="52"/>
    <x v="1"/>
    <x v="0"/>
    <n v="105.05"/>
    <n v="5624.85"/>
    <x v="1"/>
    <s v="Yes"/>
    <x v="0"/>
    <n v="5624.85"/>
    <x v="2"/>
    <s v="High Spend"/>
  </r>
  <r>
    <s v="3179-GBRWV"/>
    <s v="Male"/>
    <x v="0"/>
    <n v="21"/>
    <x v="0"/>
    <x v="0"/>
    <n v="64.95"/>
    <n v="1339.8"/>
    <x v="0"/>
    <s v="Yes"/>
    <x v="2"/>
    <n v="1339.8"/>
    <x v="1"/>
    <s v="Standard Spend"/>
  </r>
  <r>
    <s v="8645-KWHJO"/>
    <s v="Male"/>
    <x v="0"/>
    <n v="14"/>
    <x v="0"/>
    <x v="1"/>
    <n v="55"/>
    <n v="771.95"/>
    <x v="0"/>
    <s v="Yes"/>
    <x v="0"/>
    <n v="771.95"/>
    <x v="1"/>
    <s v="Standard Spend"/>
  </r>
  <r>
    <s v="4130-MZLCC"/>
    <s v="Female"/>
    <x v="0"/>
    <n v="5"/>
    <x v="0"/>
    <x v="0"/>
    <n v="50.55"/>
    <n v="244.75"/>
    <x v="0"/>
    <s v="No"/>
    <x v="2"/>
    <n v="244.75"/>
    <x v="0"/>
    <s v="Standard Spend"/>
  </r>
  <r>
    <s v="0314-TKOSI"/>
    <s v="Female"/>
    <x v="0"/>
    <n v="6"/>
    <x v="0"/>
    <x v="0"/>
    <n v="55.15"/>
    <n v="322.89999999999998"/>
    <x v="0"/>
    <s v="No"/>
    <x v="1"/>
    <n v="322.89999999999998"/>
    <x v="0"/>
    <s v="Standard Spend"/>
  </r>
  <r>
    <s v="8229-MYEJZ"/>
    <s v="Female"/>
    <x v="0"/>
    <n v="10"/>
    <x v="0"/>
    <x v="0"/>
    <n v="51.2"/>
    <n v="498.25"/>
    <x v="0"/>
    <s v="No"/>
    <x v="0"/>
    <n v="498.25"/>
    <x v="0"/>
    <s v="Standard Spend"/>
  </r>
  <r>
    <s v="2080-SRCDE"/>
    <s v="Female"/>
    <x v="0"/>
    <n v="1"/>
    <x v="2"/>
    <x v="2"/>
    <n v="25.4"/>
    <n v="25.4"/>
    <x v="0"/>
    <s v="No"/>
    <x v="1"/>
    <n v="25.4"/>
    <x v="0"/>
    <s v="Standard Spend"/>
  </r>
  <r>
    <s v="9577-WJVCQ"/>
    <s v="Female"/>
    <x v="0"/>
    <n v="68"/>
    <x v="0"/>
    <x v="0"/>
    <n v="54.45"/>
    <n v="3687.75"/>
    <x v="0"/>
    <s v="No"/>
    <x v="1"/>
    <n v="3687.75"/>
    <x v="2"/>
    <s v="High Spend"/>
  </r>
  <r>
    <s v="9512-UIBFX"/>
    <s v="Male"/>
    <x v="0"/>
    <n v="18"/>
    <x v="1"/>
    <x v="0"/>
    <n v="95.15"/>
    <n v="1779.95"/>
    <x v="1"/>
    <s v="No"/>
    <x v="1"/>
    <n v="1779.95"/>
    <x v="1"/>
    <s v="Standard Spend"/>
  </r>
  <r>
    <s v="6202-DYYFX"/>
    <s v="Female"/>
    <x v="1"/>
    <n v="22"/>
    <x v="1"/>
    <x v="0"/>
    <n v="76"/>
    <n v="1783.6"/>
    <x v="0"/>
    <s v="Yes"/>
    <x v="3"/>
    <n v="1783.6"/>
    <x v="1"/>
    <s v="Standard Spend"/>
  </r>
  <r>
    <s v="3808-HFKDE"/>
    <s v="Female"/>
    <x v="0"/>
    <n v="20"/>
    <x v="0"/>
    <x v="0"/>
    <n v="44.35"/>
    <n v="927.15"/>
    <x v="0"/>
    <s v="Yes"/>
    <x v="0"/>
    <n v="927.15"/>
    <x v="1"/>
    <s v="Standard Spend"/>
  </r>
  <r>
    <s v="5583-SXDAG"/>
    <s v="Male"/>
    <x v="0"/>
    <n v="1"/>
    <x v="1"/>
    <x v="0"/>
    <n v="70"/>
    <n v="70"/>
    <x v="1"/>
    <s v="No"/>
    <x v="0"/>
    <n v="70"/>
    <x v="0"/>
    <s v="Standard Spend"/>
  </r>
  <r>
    <s v="3488-PGMQJ"/>
    <s v="Male"/>
    <x v="0"/>
    <n v="8"/>
    <x v="1"/>
    <x v="0"/>
    <n v="74.5"/>
    <n v="606.54999999999995"/>
    <x v="1"/>
    <s v="Yes"/>
    <x v="0"/>
    <n v="606.54999999999995"/>
    <x v="0"/>
    <s v="Standard Spend"/>
  </r>
  <r>
    <s v="3580-REOAC"/>
    <s v="Male"/>
    <x v="0"/>
    <n v="10"/>
    <x v="0"/>
    <x v="0"/>
    <n v="44.85"/>
    <n v="435.4"/>
    <x v="1"/>
    <s v="Yes"/>
    <x v="3"/>
    <n v="435.4"/>
    <x v="0"/>
    <s v="Standard Spend"/>
  </r>
  <r>
    <s v="7534-BFESC"/>
    <s v="Male"/>
    <x v="0"/>
    <n v="24"/>
    <x v="1"/>
    <x v="0"/>
    <n v="76.099999999999994"/>
    <n v="1712.7"/>
    <x v="1"/>
    <s v="Yes"/>
    <x v="0"/>
    <n v="1712.7"/>
    <x v="1"/>
    <s v="Standard Spend"/>
  </r>
  <r>
    <s v="3727-OWVYD"/>
    <s v="Male"/>
    <x v="1"/>
    <n v="35"/>
    <x v="0"/>
    <x v="0"/>
    <n v="61.2"/>
    <n v="2021.2"/>
    <x v="0"/>
    <s v="No"/>
    <x v="1"/>
    <n v="2021.2"/>
    <x v="1"/>
    <s v="Standard Spend"/>
  </r>
  <r>
    <s v="2294-SALNE"/>
    <s v="Male"/>
    <x v="1"/>
    <n v="23"/>
    <x v="1"/>
    <x v="1"/>
    <n v="86.8"/>
    <n v="1940.8"/>
    <x v="0"/>
    <s v="No"/>
    <x v="1"/>
    <n v="1940.8"/>
    <x v="1"/>
    <s v="Standard Spend"/>
  </r>
  <r>
    <s v="4847-TAJYI"/>
    <s v="Female"/>
    <x v="0"/>
    <n v="6"/>
    <x v="1"/>
    <x v="0"/>
    <n v="89.35"/>
    <n v="567.79999999999995"/>
    <x v="0"/>
    <s v="Yes"/>
    <x v="0"/>
    <n v="567.79999999999995"/>
    <x v="0"/>
    <s v="Standard Spend"/>
  </r>
  <r>
    <s v="1563-IWQEX"/>
    <s v="Female"/>
    <x v="0"/>
    <n v="12"/>
    <x v="2"/>
    <x v="2"/>
    <n v="19.7"/>
    <n v="220.35"/>
    <x v="0"/>
    <s v="No"/>
    <x v="1"/>
    <n v="220.35"/>
    <x v="0"/>
    <s v="Standard Spend"/>
  </r>
  <r>
    <s v="8203-XJZRC"/>
    <s v="Male"/>
    <x v="0"/>
    <n v="1"/>
    <x v="2"/>
    <x v="2"/>
    <n v="20.25"/>
    <n v="20.25"/>
    <x v="0"/>
    <s v="No"/>
    <x v="1"/>
    <n v="20.25"/>
    <x v="0"/>
    <s v="Standard Spend"/>
  </r>
  <r>
    <s v="6556-DBKZF"/>
    <s v="Female"/>
    <x v="2"/>
    <n v="71"/>
    <x v="1"/>
    <x v="0"/>
    <n v="76.05"/>
    <n v="5436.45"/>
    <x v="0"/>
    <s v="No"/>
    <x v="0"/>
    <n v="5436.45"/>
    <x v="2"/>
    <s v="High Spend"/>
  </r>
  <r>
    <s v="6851-WEFYX"/>
    <s v="Male"/>
    <x v="0"/>
    <n v="35"/>
    <x v="1"/>
    <x v="0"/>
    <n v="100.8"/>
    <n v="3437.5"/>
    <x v="0"/>
    <s v="Yes"/>
    <x v="0"/>
    <n v="3437.5"/>
    <x v="1"/>
    <s v="High Spend"/>
  </r>
  <r>
    <s v="2985-JUUBZ"/>
    <s v="Male"/>
    <x v="0"/>
    <n v="40"/>
    <x v="0"/>
    <x v="0"/>
    <n v="74.55"/>
    <n v="3015.75"/>
    <x v="0"/>
    <s v="Yes"/>
    <x v="0"/>
    <n v="3015.75"/>
    <x v="2"/>
    <s v="High Spend"/>
  </r>
  <r>
    <s v="6390-DSAZX"/>
    <s v="Female"/>
    <x v="0"/>
    <n v="1"/>
    <x v="1"/>
    <x v="0"/>
    <n v="73.599999999999994"/>
    <n v="73.599999999999994"/>
    <x v="1"/>
    <s v="Yes"/>
    <x v="1"/>
    <n v="73.599999999999994"/>
    <x v="0"/>
    <s v="Standard Spend"/>
  </r>
  <r>
    <s v="0895-LMRSF"/>
    <s v="Male"/>
    <x v="1"/>
    <n v="23"/>
    <x v="0"/>
    <x v="0"/>
    <n v="64.900000000000006"/>
    <n v="1509.8"/>
    <x v="0"/>
    <s v="Yes"/>
    <x v="2"/>
    <n v="1509.8"/>
    <x v="1"/>
    <s v="Standard Spend"/>
  </r>
  <r>
    <s v="8098-LLAZX"/>
    <s v="Female"/>
    <x v="0"/>
    <n v="4"/>
    <x v="1"/>
    <x v="0"/>
    <n v="95.45"/>
    <n v="396.1"/>
    <x v="1"/>
    <s v="Yes"/>
    <x v="0"/>
    <n v="396.1"/>
    <x v="0"/>
    <s v="Standard Spend"/>
  </r>
  <r>
    <s v="8266-VBFQL"/>
    <s v="Male"/>
    <x v="0"/>
    <n v="4"/>
    <x v="1"/>
    <x v="1"/>
    <n v="90.4"/>
    <n v="356.65"/>
    <x v="0"/>
    <s v="Yes"/>
    <x v="0"/>
    <n v="356.65"/>
    <x v="0"/>
    <s v="Standard Spend"/>
  </r>
  <r>
    <s v="8181-YHCMF"/>
    <s v="Female"/>
    <x v="2"/>
    <n v="68"/>
    <x v="0"/>
    <x v="1"/>
    <n v="60.3"/>
    <n v="4109"/>
    <x v="0"/>
    <s v="No"/>
    <x v="3"/>
    <n v="4109"/>
    <x v="2"/>
    <s v="High Spend"/>
  </r>
  <r>
    <s v="2240-HSJQD"/>
    <s v="Male"/>
    <x v="0"/>
    <n v="38"/>
    <x v="1"/>
    <x v="0"/>
    <n v="81.849999999999994"/>
    <n v="3141.7"/>
    <x v="0"/>
    <s v="Yes"/>
    <x v="1"/>
    <n v="3141.7"/>
    <x v="2"/>
    <s v="High Spend"/>
  </r>
  <r>
    <s v="1248-DYXUB"/>
    <s v="Male"/>
    <x v="2"/>
    <n v="52"/>
    <x v="2"/>
    <x v="2"/>
    <n v="24.8"/>
    <n v="1229.0999999999999"/>
    <x v="0"/>
    <s v="No"/>
    <x v="1"/>
    <n v="1229.0999999999999"/>
    <x v="2"/>
    <s v="Standard Spend"/>
  </r>
  <r>
    <s v="0265-EDXBD"/>
    <s v="Male"/>
    <x v="0"/>
    <n v="32"/>
    <x v="1"/>
    <x v="0"/>
    <n v="74.900000000000006"/>
    <n v="2303.35"/>
    <x v="1"/>
    <s v="Yes"/>
    <x v="0"/>
    <n v="2303.35"/>
    <x v="1"/>
    <s v="Standard Spend"/>
  </r>
  <r>
    <s v="4115-BNPJY"/>
    <s v="Male"/>
    <x v="2"/>
    <n v="29"/>
    <x v="0"/>
    <x v="1"/>
    <n v="75.55"/>
    <n v="2054.4"/>
    <x v="0"/>
    <s v="No"/>
    <x v="1"/>
    <n v="2054.4"/>
    <x v="1"/>
    <s v="Standard Spend"/>
  </r>
  <r>
    <s v="3167-SNQPL"/>
    <s v="Male"/>
    <x v="0"/>
    <n v="38"/>
    <x v="1"/>
    <x v="0"/>
    <n v="101.15"/>
    <n v="3741.85"/>
    <x v="0"/>
    <s v="No"/>
    <x v="0"/>
    <n v="3741.85"/>
    <x v="2"/>
    <s v="High Spend"/>
  </r>
  <r>
    <s v="4091-TVOCN"/>
    <s v="Male"/>
    <x v="1"/>
    <n v="48"/>
    <x v="0"/>
    <x v="0"/>
    <n v="78.75"/>
    <n v="3682.45"/>
    <x v="0"/>
    <s v="Yes"/>
    <x v="3"/>
    <n v="3682.45"/>
    <x v="2"/>
    <s v="High Spend"/>
  </r>
  <r>
    <s v="1098-TDVUQ"/>
    <s v="Female"/>
    <x v="0"/>
    <n v="1"/>
    <x v="2"/>
    <x v="2"/>
    <n v="19.25"/>
    <n v="19.25"/>
    <x v="0"/>
    <s v="Yes"/>
    <x v="2"/>
    <n v="19.25"/>
    <x v="0"/>
    <s v="Standard Spend"/>
  </r>
  <r>
    <s v="7277-OZCGZ"/>
    <s v="Female"/>
    <x v="0"/>
    <n v="22"/>
    <x v="1"/>
    <x v="1"/>
    <n v="89.05"/>
    <n v="1886.25"/>
    <x v="0"/>
    <s v="Yes"/>
    <x v="0"/>
    <n v="1886.25"/>
    <x v="1"/>
    <s v="Standard Spend"/>
  </r>
  <r>
    <s v="1557-EMYVT"/>
    <s v="Female"/>
    <x v="2"/>
    <n v="43"/>
    <x v="1"/>
    <x v="1"/>
    <n v="115.05"/>
    <n v="4895.1000000000004"/>
    <x v="0"/>
    <s v="No"/>
    <x v="3"/>
    <n v="4895.1000000000004"/>
    <x v="2"/>
    <s v="High Spend"/>
  </r>
  <r>
    <s v="2799-ARNLO"/>
    <s v="Female"/>
    <x v="0"/>
    <n v="5"/>
    <x v="1"/>
    <x v="0"/>
    <n v="69.349999999999994"/>
    <n v="341.6"/>
    <x v="0"/>
    <s v="Yes"/>
    <x v="0"/>
    <n v="341.6"/>
    <x v="0"/>
    <s v="Standard Spend"/>
  </r>
  <r>
    <s v="7563-BIUPC"/>
    <s v="Male"/>
    <x v="0"/>
    <n v="5"/>
    <x v="1"/>
    <x v="0"/>
    <n v="80.599999999999994"/>
    <n v="415.55"/>
    <x v="1"/>
    <s v="Yes"/>
    <x v="0"/>
    <n v="415.55"/>
    <x v="0"/>
    <s v="Standard Spend"/>
  </r>
  <r>
    <s v="5027-YOCXN"/>
    <s v="Male"/>
    <x v="1"/>
    <n v="51"/>
    <x v="1"/>
    <x v="1"/>
    <n v="110.05"/>
    <n v="5686.4"/>
    <x v="0"/>
    <s v="No"/>
    <x v="3"/>
    <n v="5686.4"/>
    <x v="2"/>
    <s v="High Spend"/>
  </r>
  <r>
    <s v="3973-SKMLN"/>
    <s v="Male"/>
    <x v="2"/>
    <n v="71"/>
    <x v="2"/>
    <x v="2"/>
    <n v="19.899999999999999"/>
    <n v="1355.1"/>
    <x v="0"/>
    <s v="Yes"/>
    <x v="3"/>
    <n v="1355.1"/>
    <x v="2"/>
    <s v="Standard Spend"/>
  </r>
  <r>
    <s v="2321-OMBXY"/>
    <s v="Female"/>
    <x v="1"/>
    <n v="38"/>
    <x v="0"/>
    <x v="1"/>
    <n v="80.3"/>
    <n v="3058.65"/>
    <x v="1"/>
    <s v="No"/>
    <x v="3"/>
    <n v="3058.65"/>
    <x v="2"/>
    <s v="High Spend"/>
  </r>
  <r>
    <s v="2840-XANRC"/>
    <s v="Male"/>
    <x v="0"/>
    <n v="24"/>
    <x v="1"/>
    <x v="0"/>
    <n v="93.15"/>
    <n v="2231.0500000000002"/>
    <x v="1"/>
    <s v="Yes"/>
    <x v="0"/>
    <n v="2231.0500000000002"/>
    <x v="1"/>
    <s v="Standard Spend"/>
  </r>
  <r>
    <s v="6745-JEFZB"/>
    <s v="Male"/>
    <x v="0"/>
    <n v="35"/>
    <x v="1"/>
    <x v="1"/>
    <n v="91.5"/>
    <n v="3236.35"/>
    <x v="0"/>
    <s v="Yes"/>
    <x v="3"/>
    <n v="3236.35"/>
    <x v="1"/>
    <s v="High Spend"/>
  </r>
  <r>
    <s v="5020-ZSTTY"/>
    <s v="Female"/>
    <x v="1"/>
    <n v="54"/>
    <x v="0"/>
    <x v="1"/>
    <n v="82.45"/>
    <n v="4350.1000000000004"/>
    <x v="1"/>
    <s v="No"/>
    <x v="2"/>
    <n v="4350.1000000000004"/>
    <x v="2"/>
    <s v="High Spend"/>
  </r>
  <r>
    <s v="9880-TDQAC"/>
    <s v="Female"/>
    <x v="2"/>
    <n v="72"/>
    <x v="0"/>
    <x v="1"/>
    <n v="60"/>
    <n v="4264"/>
    <x v="0"/>
    <s v="Yes"/>
    <x v="0"/>
    <n v="4264"/>
    <x v="2"/>
    <s v="High Spend"/>
  </r>
  <r>
    <s v="8705-WZCYL"/>
    <s v="Male"/>
    <x v="0"/>
    <n v="1"/>
    <x v="0"/>
    <x v="0"/>
    <n v="44.8"/>
    <n v="44.8"/>
    <x v="0"/>
    <s v="Yes"/>
    <x v="0"/>
    <n v="44.8"/>
    <x v="0"/>
    <s v="Standard Spend"/>
  </r>
  <r>
    <s v="7102-JJVTX"/>
    <s v="Female"/>
    <x v="1"/>
    <n v="9"/>
    <x v="0"/>
    <x v="0"/>
    <n v="48.6"/>
    <n v="422.3"/>
    <x v="0"/>
    <s v="No"/>
    <x v="1"/>
    <n v="422.3"/>
    <x v="0"/>
    <s v="Standard Spend"/>
  </r>
  <r>
    <s v="8626-PTQGE"/>
    <s v="Male"/>
    <x v="2"/>
    <n v="69"/>
    <x v="0"/>
    <x v="1"/>
    <n v="60.05"/>
    <n v="4176.7"/>
    <x v="0"/>
    <s v="Yes"/>
    <x v="2"/>
    <n v="4176.7"/>
    <x v="2"/>
    <s v="High Spend"/>
  </r>
  <r>
    <s v="4983-CLMLV"/>
    <s v="Female"/>
    <x v="0"/>
    <n v="52"/>
    <x v="1"/>
    <x v="1"/>
    <n v="102.7"/>
    <n v="5138.1000000000004"/>
    <x v="0"/>
    <s v="Yes"/>
    <x v="3"/>
    <n v="5138.1000000000004"/>
    <x v="2"/>
    <s v="High Spend"/>
  </r>
  <r>
    <s v="5701-YVSVF"/>
    <s v="Female"/>
    <x v="0"/>
    <n v="11"/>
    <x v="1"/>
    <x v="1"/>
    <n v="82.9"/>
    <n v="880.05"/>
    <x v="0"/>
    <s v="Yes"/>
    <x v="0"/>
    <n v="880.05"/>
    <x v="0"/>
    <s v="Standard Spend"/>
  </r>
  <r>
    <s v="5804-LEPIM"/>
    <s v="Female"/>
    <x v="0"/>
    <n v="2"/>
    <x v="1"/>
    <x v="0"/>
    <n v="70.349999999999994"/>
    <n v="139.05000000000001"/>
    <x v="1"/>
    <s v="Yes"/>
    <x v="0"/>
    <n v="139.05000000000001"/>
    <x v="0"/>
    <s v="Standard Spend"/>
  </r>
  <r>
    <s v="5697-GOMBF"/>
    <s v="Female"/>
    <x v="0"/>
    <n v="28"/>
    <x v="0"/>
    <x v="0"/>
    <n v="35.9"/>
    <n v="973.65"/>
    <x v="0"/>
    <s v="Yes"/>
    <x v="0"/>
    <n v="973.65"/>
    <x v="1"/>
    <s v="Standard Spend"/>
  </r>
  <r>
    <s v="2739-CACDQ"/>
    <s v="Female"/>
    <x v="0"/>
    <n v="17"/>
    <x v="1"/>
    <x v="0"/>
    <n v="82.65"/>
    <n v="1470.05"/>
    <x v="0"/>
    <s v="Yes"/>
    <x v="3"/>
    <n v="1470.05"/>
    <x v="1"/>
    <s v="Standard Spend"/>
  </r>
  <r>
    <s v="9385-EHGDO"/>
    <s v="Female"/>
    <x v="2"/>
    <n v="35"/>
    <x v="2"/>
    <x v="2"/>
    <n v="19.850000000000001"/>
    <n v="739.35"/>
    <x v="0"/>
    <s v="Yes"/>
    <x v="1"/>
    <n v="739.35"/>
    <x v="1"/>
    <s v="Standard Spend"/>
  </r>
  <r>
    <s v="9498-FIMXL"/>
    <s v="Female"/>
    <x v="1"/>
    <n v="8"/>
    <x v="2"/>
    <x v="2"/>
    <n v="19.2"/>
    <n v="161.94999999999999"/>
    <x v="0"/>
    <s v="Yes"/>
    <x v="1"/>
    <n v="161.94999999999999"/>
    <x v="0"/>
    <s v="Standard Spend"/>
  </r>
  <r>
    <s v="2379-GYFLQ"/>
    <s v="Male"/>
    <x v="1"/>
    <n v="46"/>
    <x v="1"/>
    <x v="0"/>
    <n v="94.9"/>
    <n v="4422.95"/>
    <x v="0"/>
    <s v="Yes"/>
    <x v="3"/>
    <n v="4422.95"/>
    <x v="2"/>
    <s v="High Spend"/>
  </r>
  <r>
    <s v="0122-OAHPZ"/>
    <s v="Female"/>
    <x v="0"/>
    <n v="7"/>
    <x v="1"/>
    <x v="0"/>
    <n v="73.849999999999994"/>
    <n v="511.25"/>
    <x v="1"/>
    <s v="Yes"/>
    <x v="0"/>
    <n v="511.25"/>
    <x v="0"/>
    <s v="Standard Spend"/>
  </r>
  <r>
    <s v="2868-SNELZ"/>
    <s v="Female"/>
    <x v="0"/>
    <n v="2"/>
    <x v="1"/>
    <x v="0"/>
    <n v="80.599999999999994"/>
    <n v="155.80000000000001"/>
    <x v="1"/>
    <s v="No"/>
    <x v="1"/>
    <n v="155.80000000000001"/>
    <x v="0"/>
    <s v="Standard Spend"/>
  </r>
  <r>
    <s v="4322-RCYMT"/>
    <s v="Male"/>
    <x v="1"/>
    <n v="68"/>
    <x v="0"/>
    <x v="1"/>
    <n v="75.8"/>
    <n v="5293.95"/>
    <x v="1"/>
    <s v="Yes"/>
    <x v="2"/>
    <n v="5293.95"/>
    <x v="2"/>
    <s v="High Spend"/>
  </r>
  <r>
    <s v="6680-NENYN"/>
    <s v="Female"/>
    <x v="2"/>
    <n v="43"/>
    <x v="1"/>
    <x v="0"/>
    <n v="104.6"/>
    <n v="4759.8500000000004"/>
    <x v="1"/>
    <s v="Yes"/>
    <x v="0"/>
    <n v="4759.8500000000004"/>
    <x v="2"/>
    <s v="High Spend"/>
  </r>
  <r>
    <s v="2088-IEBAU"/>
    <s v="Female"/>
    <x v="2"/>
    <n v="68"/>
    <x v="0"/>
    <x v="1"/>
    <n v="88.15"/>
    <n v="6148.45"/>
    <x v="0"/>
    <s v="Yes"/>
    <x v="0"/>
    <n v="6148.45"/>
    <x v="2"/>
    <s v="High Spend"/>
  </r>
  <r>
    <s v="7982-VCELR"/>
    <s v="Female"/>
    <x v="0"/>
    <n v="36"/>
    <x v="1"/>
    <x v="0"/>
    <n v="94.8"/>
    <n v="3565.65"/>
    <x v="0"/>
    <s v="Yes"/>
    <x v="3"/>
    <n v="3565.65"/>
    <x v="1"/>
    <s v="High Spend"/>
  </r>
  <r>
    <s v="1343-EHPYB"/>
    <s v="Male"/>
    <x v="0"/>
    <n v="63"/>
    <x v="1"/>
    <x v="0"/>
    <n v="103.4"/>
    <n v="6603"/>
    <x v="1"/>
    <s v="Yes"/>
    <x v="0"/>
    <n v="6603"/>
    <x v="2"/>
    <s v="High Spend"/>
  </r>
  <r>
    <s v="6035-BXTTY"/>
    <s v="Female"/>
    <x v="0"/>
    <n v="32"/>
    <x v="0"/>
    <x v="1"/>
    <n v="54.65"/>
    <n v="1830.1"/>
    <x v="0"/>
    <s v="No"/>
    <x v="2"/>
    <n v="1830.1"/>
    <x v="1"/>
    <s v="Standard Spend"/>
  </r>
  <r>
    <s v="6885-PKOAM"/>
    <s v="Female"/>
    <x v="2"/>
    <n v="71"/>
    <x v="0"/>
    <x v="1"/>
    <n v="85.75"/>
    <n v="6223.8"/>
    <x v="0"/>
    <s v="No"/>
    <x v="3"/>
    <n v="6223.8"/>
    <x v="2"/>
    <s v="High Spend"/>
  </r>
  <r>
    <s v="7520-HQWJU"/>
    <s v="Female"/>
    <x v="0"/>
    <n v="66"/>
    <x v="0"/>
    <x v="0"/>
    <n v="67.45"/>
    <n v="4508.6499999999996"/>
    <x v="0"/>
    <s v="Yes"/>
    <x v="2"/>
    <n v="4508.6499999999996"/>
    <x v="2"/>
    <s v="High Spend"/>
  </r>
  <r>
    <s v="9639-BUJXT"/>
    <s v="Male"/>
    <x v="1"/>
    <n v="63"/>
    <x v="2"/>
    <x v="2"/>
    <n v="20.5"/>
    <n v="1328.15"/>
    <x v="0"/>
    <s v="No"/>
    <x v="1"/>
    <n v="1328.15"/>
    <x v="2"/>
    <s v="Standard Spend"/>
  </r>
  <r>
    <s v="5924-SNGKP"/>
    <s v="Female"/>
    <x v="1"/>
    <n v="41"/>
    <x v="2"/>
    <x v="2"/>
    <n v="20.25"/>
    <n v="865"/>
    <x v="0"/>
    <s v="Yes"/>
    <x v="3"/>
    <n v="865"/>
    <x v="2"/>
    <s v="Standard Spend"/>
  </r>
  <r>
    <s v="0021-IKXGC"/>
    <s v="Female"/>
    <x v="0"/>
    <n v="1"/>
    <x v="1"/>
    <x v="0"/>
    <n v="72.099999999999994"/>
    <n v="72.099999999999994"/>
    <x v="0"/>
    <s v="Yes"/>
    <x v="0"/>
    <n v="72.099999999999994"/>
    <x v="0"/>
    <s v="Standard Spend"/>
  </r>
  <r>
    <s v="2034-GDRCN"/>
    <s v="Female"/>
    <x v="0"/>
    <n v="2"/>
    <x v="1"/>
    <x v="0"/>
    <n v="90.4"/>
    <n v="168.2"/>
    <x v="1"/>
    <s v="Yes"/>
    <x v="0"/>
    <n v="168.2"/>
    <x v="0"/>
    <s v="Standard Spend"/>
  </r>
  <r>
    <s v="8966-SNIZF"/>
    <s v="Female"/>
    <x v="2"/>
    <n v="70"/>
    <x v="2"/>
    <x v="2"/>
    <n v="19.45"/>
    <n v="1303.5"/>
    <x v="0"/>
    <s v="No"/>
    <x v="2"/>
    <n v="1303.5"/>
    <x v="2"/>
    <s v="Standard Spend"/>
  </r>
  <r>
    <s v="6243-OZGFH"/>
    <s v="Female"/>
    <x v="0"/>
    <n v="23"/>
    <x v="0"/>
    <x v="0"/>
    <n v="44.95"/>
    <n v="996.85"/>
    <x v="0"/>
    <s v="Yes"/>
    <x v="0"/>
    <n v="996.85"/>
    <x v="1"/>
    <s v="Standard Spend"/>
  </r>
  <r>
    <s v="4654-DLAMQ"/>
    <s v="Female"/>
    <x v="1"/>
    <n v="64"/>
    <x v="1"/>
    <x v="0"/>
    <n v="97"/>
    <n v="6430.9"/>
    <x v="0"/>
    <s v="No"/>
    <x v="2"/>
    <n v="6430.9"/>
    <x v="2"/>
    <s v="High Spend"/>
  </r>
  <r>
    <s v="0513-RBGPE"/>
    <s v="Male"/>
    <x v="2"/>
    <n v="37"/>
    <x v="0"/>
    <x v="1"/>
    <n v="62.8"/>
    <n v="2278.75"/>
    <x v="0"/>
    <s v="Yes"/>
    <x v="3"/>
    <n v="2278.75"/>
    <x v="2"/>
    <s v="Standard Spend"/>
  </r>
  <r>
    <s v="5160-UXJED"/>
    <s v="Male"/>
    <x v="1"/>
    <n v="17"/>
    <x v="0"/>
    <x v="0"/>
    <n v="44.6"/>
    <n v="681.4"/>
    <x v="0"/>
    <s v="No"/>
    <x v="1"/>
    <n v="681.4"/>
    <x v="1"/>
    <s v="Standard Spend"/>
  </r>
  <r>
    <s v="4115-NZRKS"/>
    <s v="Female"/>
    <x v="0"/>
    <n v="7"/>
    <x v="1"/>
    <x v="0"/>
    <n v="89.15"/>
    <n v="574.35"/>
    <x v="0"/>
    <s v="Yes"/>
    <x v="0"/>
    <n v="574.35"/>
    <x v="0"/>
    <s v="Standard Spend"/>
  </r>
  <r>
    <s v="0219-YTZUE"/>
    <s v="Male"/>
    <x v="0"/>
    <n v="4"/>
    <x v="1"/>
    <x v="0"/>
    <n v="84.8"/>
    <n v="371.9"/>
    <x v="1"/>
    <s v="Yes"/>
    <x v="2"/>
    <n v="371.9"/>
    <x v="0"/>
    <s v="Standard Spend"/>
  </r>
  <r>
    <s v="0623-IIHUG"/>
    <s v="Female"/>
    <x v="0"/>
    <n v="21"/>
    <x v="0"/>
    <x v="0"/>
    <n v="41.9"/>
    <n v="840.1"/>
    <x v="1"/>
    <s v="Yes"/>
    <x v="0"/>
    <n v="840.1"/>
    <x v="1"/>
    <s v="Standard Spend"/>
  </r>
  <r>
    <s v="4572-DVCGN"/>
    <s v="Female"/>
    <x v="0"/>
    <n v="10"/>
    <x v="1"/>
    <x v="0"/>
    <n v="80.25"/>
    <n v="846"/>
    <x v="1"/>
    <s v="Yes"/>
    <x v="2"/>
    <n v="846"/>
    <x v="0"/>
    <s v="Standard Spend"/>
  </r>
  <r>
    <s v="3351-NGXYI"/>
    <s v="Female"/>
    <x v="0"/>
    <n v="16"/>
    <x v="0"/>
    <x v="0"/>
    <n v="54.1"/>
    <n v="889"/>
    <x v="0"/>
    <s v="Yes"/>
    <x v="0"/>
    <n v="889"/>
    <x v="1"/>
    <s v="Standard Spend"/>
  </r>
  <r>
    <s v="8984-EYLLL"/>
    <s v="Male"/>
    <x v="2"/>
    <n v="64"/>
    <x v="1"/>
    <x v="1"/>
    <n v="105.25"/>
    <n v="6823.4"/>
    <x v="0"/>
    <s v="Yes"/>
    <x v="0"/>
    <n v="6823.4"/>
    <x v="2"/>
    <s v="High Spend"/>
  </r>
  <r>
    <s v="9057-MSWCO"/>
    <s v="Male"/>
    <x v="0"/>
    <n v="27"/>
    <x v="0"/>
    <x v="0"/>
    <n v="30.75"/>
    <n v="805.1"/>
    <x v="1"/>
    <s v="No"/>
    <x v="3"/>
    <n v="805.1"/>
    <x v="1"/>
    <s v="Standard Spend"/>
  </r>
  <r>
    <s v="9833-TGFHX"/>
    <s v="Male"/>
    <x v="1"/>
    <n v="42"/>
    <x v="1"/>
    <x v="0"/>
    <n v="97.1"/>
    <n v="4016.75"/>
    <x v="0"/>
    <s v="No"/>
    <x v="0"/>
    <n v="4016.75"/>
    <x v="2"/>
    <s v="High Spend"/>
  </r>
  <r>
    <s v="9294-TDIPC"/>
    <s v="Male"/>
    <x v="0"/>
    <n v="5"/>
    <x v="2"/>
    <x v="2"/>
    <n v="20.2"/>
    <n v="83.75"/>
    <x v="0"/>
    <s v="No"/>
    <x v="1"/>
    <n v="83.75"/>
    <x v="0"/>
    <s v="Standard Spend"/>
  </r>
  <r>
    <s v="5229-DTFYB"/>
    <s v="Female"/>
    <x v="2"/>
    <n v="41"/>
    <x v="1"/>
    <x v="1"/>
    <n v="98.8"/>
    <n v="3959.15"/>
    <x v="0"/>
    <s v="Yes"/>
    <x v="2"/>
    <n v="3959.15"/>
    <x v="2"/>
    <s v="High Spend"/>
  </r>
  <r>
    <s v="0104-PPXDV"/>
    <s v="Male"/>
    <x v="1"/>
    <n v="58"/>
    <x v="0"/>
    <x v="0"/>
    <n v="50.3"/>
    <n v="2878.55"/>
    <x v="0"/>
    <s v="No"/>
    <x v="3"/>
    <n v="2878.55"/>
    <x v="2"/>
    <s v="High Spend"/>
  </r>
  <r>
    <s v="5176-LMJXE"/>
    <s v="Female"/>
    <x v="2"/>
    <n v="47"/>
    <x v="2"/>
    <x v="2"/>
    <n v="20.55"/>
    <n v="945.7"/>
    <x v="0"/>
    <s v="Yes"/>
    <x v="1"/>
    <n v="945.7"/>
    <x v="2"/>
    <s v="Standard Spend"/>
  </r>
  <r>
    <s v="3583-KRKMD"/>
    <s v="Male"/>
    <x v="0"/>
    <n v="18"/>
    <x v="1"/>
    <x v="1"/>
    <n v="75.900000000000006"/>
    <n v="1373.05"/>
    <x v="0"/>
    <s v="Yes"/>
    <x v="2"/>
    <n v="1373.05"/>
    <x v="1"/>
    <s v="Standard Spend"/>
  </r>
  <r>
    <s v="1010-DIAUQ"/>
    <s v="Male"/>
    <x v="0"/>
    <n v="5"/>
    <x v="1"/>
    <x v="0"/>
    <n v="96.5"/>
    <n v="492.55"/>
    <x v="1"/>
    <s v="No"/>
    <x v="2"/>
    <n v="492.55"/>
    <x v="0"/>
    <s v="Standard Spend"/>
  </r>
  <r>
    <s v="9069-LGEUL"/>
    <s v="Male"/>
    <x v="0"/>
    <n v="23"/>
    <x v="0"/>
    <x v="0"/>
    <n v="59.95"/>
    <n v="1406"/>
    <x v="0"/>
    <s v="Yes"/>
    <x v="2"/>
    <n v="1406"/>
    <x v="1"/>
    <s v="Standard Spend"/>
  </r>
  <r>
    <s v="7302-ZHMHP"/>
    <s v="Female"/>
    <x v="0"/>
    <n v="1"/>
    <x v="2"/>
    <x v="2"/>
    <n v="19.149999999999999"/>
    <n v="19.149999999999999"/>
    <x v="0"/>
    <s v="No"/>
    <x v="1"/>
    <n v="19.149999999999999"/>
    <x v="0"/>
    <s v="Standard Spend"/>
  </r>
  <r>
    <s v="9571-EDEBV"/>
    <s v="Male"/>
    <x v="1"/>
    <n v="71"/>
    <x v="1"/>
    <x v="0"/>
    <n v="98.65"/>
    <n v="6962.85"/>
    <x v="0"/>
    <s v="Yes"/>
    <x v="3"/>
    <n v="6962.85"/>
    <x v="2"/>
    <s v="High Spend"/>
  </r>
  <r>
    <s v="3520-FJGCV"/>
    <s v="Male"/>
    <x v="2"/>
    <n v="72"/>
    <x v="1"/>
    <x v="1"/>
    <n v="112.6"/>
    <n v="8126.65"/>
    <x v="0"/>
    <s v="Yes"/>
    <x v="3"/>
    <n v="8126.65"/>
    <x v="2"/>
    <s v="High Spend"/>
  </r>
  <r>
    <s v="6563-VRERX"/>
    <s v="Male"/>
    <x v="1"/>
    <n v="33"/>
    <x v="2"/>
    <x v="2"/>
    <n v="20.6"/>
    <n v="690.25"/>
    <x v="0"/>
    <s v="No"/>
    <x v="1"/>
    <n v="690.25"/>
    <x v="1"/>
    <s v="Standard Spend"/>
  </r>
  <r>
    <s v="0259-GBZSH"/>
    <s v="Male"/>
    <x v="0"/>
    <n v="2"/>
    <x v="1"/>
    <x v="0"/>
    <n v="85.65"/>
    <n v="181.5"/>
    <x v="1"/>
    <s v="Yes"/>
    <x v="0"/>
    <n v="181.5"/>
    <x v="0"/>
    <s v="Standard Spend"/>
  </r>
  <r>
    <s v="6122-EFVKN"/>
    <s v="Male"/>
    <x v="2"/>
    <n v="24"/>
    <x v="0"/>
    <x v="1"/>
    <n v="35.75"/>
    <n v="830.8"/>
    <x v="0"/>
    <s v="No"/>
    <x v="1"/>
    <n v="830.8"/>
    <x v="1"/>
    <s v="Standard Spend"/>
  </r>
  <r>
    <s v="2805-EDJPQ"/>
    <s v="Female"/>
    <x v="1"/>
    <n v="56"/>
    <x v="1"/>
    <x v="1"/>
    <n v="99.75"/>
    <n v="5608.4"/>
    <x v="0"/>
    <s v="Yes"/>
    <x v="3"/>
    <n v="5608.4"/>
    <x v="2"/>
    <s v="High Spend"/>
  </r>
  <r>
    <s v="6862-CQUMB"/>
    <s v="Male"/>
    <x v="0"/>
    <n v="37"/>
    <x v="1"/>
    <x v="0"/>
    <n v="96.1"/>
    <n v="3646.8"/>
    <x v="0"/>
    <s v="Yes"/>
    <x v="3"/>
    <n v="3646.8"/>
    <x v="2"/>
    <s v="High Spend"/>
  </r>
  <r>
    <s v="7156-MXBJE"/>
    <s v="Female"/>
    <x v="1"/>
    <n v="43"/>
    <x v="0"/>
    <x v="1"/>
    <n v="85.1"/>
    <n v="3662.25"/>
    <x v="0"/>
    <s v="No"/>
    <x v="3"/>
    <n v="3662.25"/>
    <x v="2"/>
    <s v="High Spend"/>
  </r>
  <r>
    <s v="6158-HDPXZ"/>
    <s v="Male"/>
    <x v="0"/>
    <n v="1"/>
    <x v="0"/>
    <x v="0"/>
    <n v="25.35"/>
    <n v="25.35"/>
    <x v="0"/>
    <s v="No"/>
    <x v="1"/>
    <n v="25.35"/>
    <x v="0"/>
    <s v="Standard Spend"/>
  </r>
  <r>
    <s v="9601-BRXPO"/>
    <s v="Female"/>
    <x v="0"/>
    <n v="25"/>
    <x v="1"/>
    <x v="1"/>
    <n v="104.95"/>
    <n v="2566.5"/>
    <x v="1"/>
    <s v="Yes"/>
    <x v="2"/>
    <n v="2566.5"/>
    <x v="1"/>
    <s v="High Spend"/>
  </r>
  <r>
    <s v="2863-IMQDR"/>
    <s v="Female"/>
    <x v="2"/>
    <n v="61"/>
    <x v="0"/>
    <x v="1"/>
    <n v="89.65"/>
    <n v="5308.7"/>
    <x v="0"/>
    <s v="No"/>
    <x v="0"/>
    <n v="5308.7"/>
    <x v="2"/>
    <s v="High Spend"/>
  </r>
  <r>
    <s v="5686-CMAWK"/>
    <s v="Male"/>
    <x v="1"/>
    <n v="17"/>
    <x v="1"/>
    <x v="1"/>
    <n v="86.75"/>
    <n v="1410.25"/>
    <x v="0"/>
    <s v="No"/>
    <x v="0"/>
    <n v="1410.25"/>
    <x v="1"/>
    <s v="Standard Spend"/>
  </r>
  <r>
    <s v="5651-CRHKQ"/>
    <s v="Female"/>
    <x v="1"/>
    <n v="41"/>
    <x v="1"/>
    <x v="1"/>
    <n v="86.2"/>
    <n v="3339.05"/>
    <x v="0"/>
    <s v="Yes"/>
    <x v="2"/>
    <n v="3339.05"/>
    <x v="2"/>
    <s v="High Spend"/>
  </r>
  <r>
    <s v="6905-NIQIN"/>
    <s v="Male"/>
    <x v="0"/>
    <n v="1"/>
    <x v="0"/>
    <x v="0"/>
    <n v="50.65"/>
    <n v="50.65"/>
    <x v="1"/>
    <s v="No"/>
    <x v="1"/>
    <n v="50.65"/>
    <x v="0"/>
    <s v="Standard Spend"/>
  </r>
  <r>
    <s v="8204-YJCLA"/>
    <s v="Male"/>
    <x v="2"/>
    <n v="72"/>
    <x v="0"/>
    <x v="1"/>
    <n v="64.8"/>
    <n v="4732.3500000000004"/>
    <x v="0"/>
    <s v="Yes"/>
    <x v="2"/>
    <n v="4732.3500000000004"/>
    <x v="2"/>
    <s v="High Spend"/>
  </r>
  <r>
    <s v="5167-ZFFMM"/>
    <s v="Male"/>
    <x v="0"/>
    <n v="1"/>
    <x v="1"/>
    <x v="0"/>
    <n v="90.85"/>
    <n v="90.85"/>
    <x v="1"/>
    <s v="Yes"/>
    <x v="3"/>
    <n v="90.85"/>
    <x v="0"/>
    <s v="Standard Spend"/>
  </r>
  <r>
    <s v="6583-SZVGP"/>
    <s v="Male"/>
    <x v="2"/>
    <n v="48"/>
    <x v="1"/>
    <x v="0"/>
    <n v="108.1"/>
    <n v="5067.45"/>
    <x v="0"/>
    <s v="Yes"/>
    <x v="2"/>
    <n v="5067.45"/>
    <x v="2"/>
    <s v="High Spend"/>
  </r>
  <r>
    <s v="4895-TMWIR"/>
    <s v="Male"/>
    <x v="0"/>
    <n v="11"/>
    <x v="2"/>
    <x v="2"/>
    <n v="19.95"/>
    <n v="214.75"/>
    <x v="1"/>
    <s v="No"/>
    <x v="1"/>
    <n v="214.75"/>
    <x v="0"/>
    <s v="Standard Spend"/>
  </r>
  <r>
    <s v="0533-BNWKF"/>
    <s v="Female"/>
    <x v="0"/>
    <n v="55"/>
    <x v="1"/>
    <x v="0"/>
    <n v="85.45"/>
    <n v="4874.7"/>
    <x v="1"/>
    <s v="Yes"/>
    <x v="0"/>
    <n v="4874.7"/>
    <x v="2"/>
    <s v="High Spend"/>
  </r>
  <r>
    <s v="1708-PBBOA"/>
    <s v="Female"/>
    <x v="1"/>
    <n v="42"/>
    <x v="0"/>
    <x v="1"/>
    <n v="54.75"/>
    <n v="2348.4499999999998"/>
    <x v="0"/>
    <s v="Yes"/>
    <x v="0"/>
    <n v="2348.4499999999998"/>
    <x v="2"/>
    <s v="Standard Spend"/>
  </r>
  <r>
    <s v="8782-LKFPK"/>
    <s v="Male"/>
    <x v="0"/>
    <n v="44"/>
    <x v="1"/>
    <x v="0"/>
    <n v="90.4"/>
    <n v="4063"/>
    <x v="0"/>
    <s v="Yes"/>
    <x v="1"/>
    <n v="4063"/>
    <x v="2"/>
    <s v="High Spend"/>
  </r>
  <r>
    <s v="5522-JBWMO"/>
    <s v="Male"/>
    <x v="0"/>
    <n v="1"/>
    <x v="0"/>
    <x v="0"/>
    <n v="44"/>
    <n v="44"/>
    <x v="0"/>
    <s v="No"/>
    <x v="0"/>
    <n v="44"/>
    <x v="0"/>
    <s v="Standard Spend"/>
  </r>
  <r>
    <s v="3597-MVHJT"/>
    <s v="Female"/>
    <x v="0"/>
    <n v="27"/>
    <x v="1"/>
    <x v="0"/>
    <n v="95.6"/>
    <n v="2595.25"/>
    <x v="0"/>
    <s v="Yes"/>
    <x v="2"/>
    <n v="2595.25"/>
    <x v="1"/>
    <s v="High Spend"/>
  </r>
  <r>
    <s v="9774-NRNAU"/>
    <s v="Male"/>
    <x v="0"/>
    <n v="27"/>
    <x v="0"/>
    <x v="1"/>
    <n v="84.8"/>
    <n v="2309.5500000000002"/>
    <x v="0"/>
    <s v="Yes"/>
    <x v="2"/>
    <n v="2309.5500000000002"/>
    <x v="1"/>
    <s v="Standard Spend"/>
  </r>
  <r>
    <s v="0224-RLWWD"/>
    <s v="Female"/>
    <x v="0"/>
    <n v="2"/>
    <x v="0"/>
    <x v="0"/>
    <n v="44.3"/>
    <n v="89.3"/>
    <x v="0"/>
    <s v="Yes"/>
    <x v="0"/>
    <n v="89.3"/>
    <x v="0"/>
    <s v="Standard Spend"/>
  </r>
  <r>
    <s v="9967-ATRFS"/>
    <s v="Female"/>
    <x v="0"/>
    <n v="19"/>
    <x v="2"/>
    <x v="2"/>
    <n v="19.899999999999999"/>
    <n v="367.55"/>
    <x v="0"/>
    <s v="No"/>
    <x v="1"/>
    <n v="367.55"/>
    <x v="1"/>
    <s v="Standard Spend"/>
  </r>
  <r>
    <s v="3951-NJCVI"/>
    <s v="Female"/>
    <x v="0"/>
    <n v="42"/>
    <x v="1"/>
    <x v="0"/>
    <n v="95.05"/>
    <n v="3944.5"/>
    <x v="0"/>
    <s v="Yes"/>
    <x v="0"/>
    <n v="3944.5"/>
    <x v="2"/>
    <s v="High Spend"/>
  </r>
  <r>
    <s v="2977-CEBSX"/>
    <s v="Female"/>
    <x v="2"/>
    <n v="66"/>
    <x v="0"/>
    <x v="1"/>
    <n v="90.05"/>
    <n v="5965.95"/>
    <x v="0"/>
    <s v="Yes"/>
    <x v="3"/>
    <n v="5965.95"/>
    <x v="2"/>
    <s v="High Spend"/>
  </r>
  <r>
    <s v="0177-PXBAT"/>
    <s v="Male"/>
    <x v="0"/>
    <n v="33"/>
    <x v="1"/>
    <x v="1"/>
    <n v="109.9"/>
    <n v="3694.7"/>
    <x v="0"/>
    <s v="Yes"/>
    <x v="2"/>
    <n v="3694.7"/>
    <x v="1"/>
    <s v="High Spend"/>
  </r>
  <r>
    <s v="6599-CEBNN"/>
    <s v="Female"/>
    <x v="0"/>
    <n v="34"/>
    <x v="1"/>
    <x v="0"/>
    <n v="73.95"/>
    <n v="2524.4499999999998"/>
    <x v="1"/>
    <s v="Yes"/>
    <x v="3"/>
    <n v="2524.4499999999998"/>
    <x v="1"/>
    <s v="High Spend"/>
  </r>
  <r>
    <s v="2519-ERQOJ"/>
    <s v="Male"/>
    <x v="0"/>
    <n v="33"/>
    <x v="0"/>
    <x v="1"/>
    <n v="54.6"/>
    <n v="1803.7"/>
    <x v="0"/>
    <s v="Yes"/>
    <x v="0"/>
    <n v="1803.7"/>
    <x v="1"/>
    <s v="Standard Spend"/>
  </r>
  <r>
    <s v="5876-QMYLD"/>
    <s v="Female"/>
    <x v="1"/>
    <n v="23"/>
    <x v="2"/>
    <x v="2"/>
    <n v="20.05"/>
    <n v="415.1"/>
    <x v="0"/>
    <s v="No"/>
    <x v="1"/>
    <n v="415.1"/>
    <x v="1"/>
    <s v="Standard Spend"/>
  </r>
  <r>
    <s v="2277-AXSDC"/>
    <s v="Female"/>
    <x v="1"/>
    <n v="32"/>
    <x v="2"/>
    <x v="2"/>
    <n v="19.75"/>
    <n v="624.15"/>
    <x v="0"/>
    <s v="No"/>
    <x v="2"/>
    <n v="624.15"/>
    <x v="1"/>
    <s v="Standard Spend"/>
  </r>
  <r>
    <s v="9442-JTWDL"/>
    <s v="Female"/>
    <x v="1"/>
    <n v="11"/>
    <x v="2"/>
    <x v="2"/>
    <n v="20.05"/>
    <n v="237.7"/>
    <x v="0"/>
    <s v="No"/>
    <x v="3"/>
    <n v="237.7"/>
    <x v="0"/>
    <s v="Standard Spend"/>
  </r>
  <r>
    <s v="0979-PHULV"/>
    <s v="Male"/>
    <x v="0"/>
    <n v="69"/>
    <x v="1"/>
    <x v="0"/>
    <n v="99.45"/>
    <n v="7007.6"/>
    <x v="1"/>
    <s v="Yes"/>
    <x v="3"/>
    <n v="7007.6"/>
    <x v="2"/>
    <s v="High Spend"/>
  </r>
  <r>
    <s v="3067-SVMTC"/>
    <s v="Female"/>
    <x v="1"/>
    <n v="68"/>
    <x v="0"/>
    <x v="1"/>
    <n v="55.9"/>
    <n v="3848.8"/>
    <x v="0"/>
    <s v="No"/>
    <x v="2"/>
    <n v="3848.8"/>
    <x v="2"/>
    <s v="High Spend"/>
  </r>
  <r>
    <s v="5495-GPSRW"/>
    <s v="Male"/>
    <x v="2"/>
    <n v="20"/>
    <x v="2"/>
    <x v="2"/>
    <n v="19.7"/>
    <n v="419.4"/>
    <x v="0"/>
    <s v="Yes"/>
    <x v="1"/>
    <n v="419.4"/>
    <x v="1"/>
    <s v="Standard Spend"/>
  </r>
  <r>
    <s v="7606-BPHHN"/>
    <s v="Male"/>
    <x v="2"/>
    <n v="72"/>
    <x v="2"/>
    <x v="2"/>
    <n v="19.8"/>
    <n v="1468.75"/>
    <x v="0"/>
    <s v="Yes"/>
    <x v="3"/>
    <n v="1468.75"/>
    <x v="2"/>
    <s v="Standard Spend"/>
  </r>
  <r>
    <s v="4742-DRORA"/>
    <s v="Male"/>
    <x v="1"/>
    <n v="60"/>
    <x v="1"/>
    <x v="0"/>
    <n v="95.4"/>
    <n v="5812"/>
    <x v="0"/>
    <s v="Yes"/>
    <x v="2"/>
    <n v="5812"/>
    <x v="2"/>
    <s v="High Spend"/>
  </r>
  <r>
    <s v="0111-KLBQG"/>
    <s v="Male"/>
    <x v="0"/>
    <n v="32"/>
    <x v="1"/>
    <x v="0"/>
    <n v="93.95"/>
    <n v="2861.45"/>
    <x v="0"/>
    <s v="Yes"/>
    <x v="1"/>
    <n v="2861.45"/>
    <x v="1"/>
    <s v="High Spend"/>
  </r>
  <r>
    <s v="4800-VHZKI"/>
    <s v="Female"/>
    <x v="0"/>
    <n v="1"/>
    <x v="2"/>
    <x v="2"/>
    <n v="19.899999999999999"/>
    <n v="19.899999999999999"/>
    <x v="1"/>
    <s v="Yes"/>
    <x v="1"/>
    <n v="19.899999999999999"/>
    <x v="0"/>
    <s v="Standard Spend"/>
  </r>
  <r>
    <s v="7989-CHGTL"/>
    <s v="Male"/>
    <x v="0"/>
    <n v="1"/>
    <x v="2"/>
    <x v="2"/>
    <n v="19.600000000000001"/>
    <n v="19.600000000000001"/>
    <x v="1"/>
    <s v="Yes"/>
    <x v="1"/>
    <n v="19.600000000000001"/>
    <x v="0"/>
    <s v="Standard Spend"/>
  </r>
  <r>
    <s v="0334-GDDSO"/>
    <s v="Male"/>
    <x v="0"/>
    <n v="3"/>
    <x v="1"/>
    <x v="0"/>
    <n v="81.349999999999994"/>
    <n v="233.7"/>
    <x v="1"/>
    <s v="Yes"/>
    <x v="0"/>
    <n v="233.7"/>
    <x v="0"/>
    <s v="Standard Spend"/>
  </r>
  <r>
    <s v="4163-NCJAK"/>
    <s v="Female"/>
    <x v="1"/>
    <n v="46"/>
    <x v="2"/>
    <x v="2"/>
    <n v="24.45"/>
    <n v="1066.1500000000001"/>
    <x v="0"/>
    <s v="Yes"/>
    <x v="2"/>
    <n v="1066.1500000000001"/>
    <x v="2"/>
    <s v="Standard Spend"/>
  </r>
  <r>
    <s v="5233-AOZUF"/>
    <s v="Female"/>
    <x v="0"/>
    <n v="29"/>
    <x v="1"/>
    <x v="0"/>
    <n v="74.95"/>
    <n v="2149.0500000000002"/>
    <x v="0"/>
    <s v="Yes"/>
    <x v="0"/>
    <n v="2149.0500000000002"/>
    <x v="1"/>
    <s v="Standard Spend"/>
  </r>
  <r>
    <s v="5973-EJGDP"/>
    <s v="Male"/>
    <x v="0"/>
    <n v="51"/>
    <x v="1"/>
    <x v="1"/>
    <n v="87.35"/>
    <n v="4473"/>
    <x v="0"/>
    <s v="Yes"/>
    <x v="0"/>
    <n v="4473"/>
    <x v="2"/>
    <s v="High Spend"/>
  </r>
  <r>
    <s v="1996-DBMUS"/>
    <s v="Female"/>
    <x v="0"/>
    <n v="48"/>
    <x v="1"/>
    <x v="0"/>
    <n v="70.650000000000006"/>
    <n v="3545.05"/>
    <x v="0"/>
    <s v="Yes"/>
    <x v="2"/>
    <n v="3545.05"/>
    <x v="2"/>
    <s v="High Spend"/>
  </r>
  <r>
    <s v="7916-VCCPB"/>
    <s v="Female"/>
    <x v="0"/>
    <n v="16"/>
    <x v="1"/>
    <x v="0"/>
    <n v="73.25"/>
    <n v="1195.75"/>
    <x v="0"/>
    <s v="No"/>
    <x v="2"/>
    <n v="1195.75"/>
    <x v="1"/>
    <s v="Standard Spend"/>
  </r>
  <r>
    <s v="4686-GEFRM"/>
    <s v="Male"/>
    <x v="2"/>
    <n v="70"/>
    <x v="1"/>
    <x v="1"/>
    <n v="98.7"/>
    <n v="6858.9"/>
    <x v="0"/>
    <s v="Yes"/>
    <x v="2"/>
    <n v="6858.9"/>
    <x v="2"/>
    <s v="High Spend"/>
  </r>
  <r>
    <s v="5249-QYHEX"/>
    <s v="Female"/>
    <x v="2"/>
    <n v="40"/>
    <x v="2"/>
    <x v="2"/>
    <n v="24.8"/>
    <n v="1024.7"/>
    <x v="0"/>
    <s v="Yes"/>
    <x v="1"/>
    <n v="1024.7"/>
    <x v="2"/>
    <s v="Standard Spend"/>
  </r>
  <r>
    <s v="0578-SKVMF"/>
    <s v="Female"/>
    <x v="0"/>
    <n v="22"/>
    <x v="1"/>
    <x v="0"/>
    <n v="83.3"/>
    <n v="1845.9"/>
    <x v="1"/>
    <s v="No"/>
    <x v="0"/>
    <n v="1845.9"/>
    <x v="1"/>
    <s v="Standard Spend"/>
  </r>
  <r>
    <s v="5564-NEMQO"/>
    <s v="Female"/>
    <x v="0"/>
    <n v="1"/>
    <x v="1"/>
    <x v="0"/>
    <n v="75.3"/>
    <n v="75.3"/>
    <x v="1"/>
    <s v="Yes"/>
    <x v="2"/>
    <n v="75.3"/>
    <x v="0"/>
    <s v="Standard Spend"/>
  </r>
  <r>
    <s v="2233-FAGXV"/>
    <s v="Female"/>
    <x v="0"/>
    <n v="5"/>
    <x v="2"/>
    <x v="2"/>
    <n v="24.3"/>
    <n v="132.25"/>
    <x v="0"/>
    <s v="Yes"/>
    <x v="1"/>
    <n v="132.25"/>
    <x v="0"/>
    <s v="Standard Spend"/>
  </r>
  <r>
    <s v="5605-IYGFG"/>
    <s v="Female"/>
    <x v="0"/>
    <n v="7"/>
    <x v="1"/>
    <x v="0"/>
    <n v="69.849999999999994"/>
    <n v="515.45000000000005"/>
    <x v="0"/>
    <s v="Yes"/>
    <x v="2"/>
    <n v="515.45000000000005"/>
    <x v="0"/>
    <s v="Standard Spend"/>
  </r>
  <r>
    <s v="7663-ZTEGJ"/>
    <s v="Male"/>
    <x v="1"/>
    <n v="29"/>
    <x v="1"/>
    <x v="1"/>
    <n v="100.55"/>
    <n v="2830.45"/>
    <x v="0"/>
    <s v="No"/>
    <x v="3"/>
    <n v="2830.45"/>
    <x v="1"/>
    <s v="High Spend"/>
  </r>
  <r>
    <s v="3935-TBRZZ"/>
    <s v="Male"/>
    <x v="1"/>
    <n v="44"/>
    <x v="2"/>
    <x v="2"/>
    <n v="25.7"/>
    <n v="1110.5"/>
    <x v="0"/>
    <s v="No"/>
    <x v="1"/>
    <n v="1110.5"/>
    <x v="2"/>
    <s v="Standard Spend"/>
  </r>
  <r>
    <s v="8111-BKVDS"/>
    <s v="Female"/>
    <x v="0"/>
    <n v="10"/>
    <x v="0"/>
    <x v="0"/>
    <n v="40.700000000000003"/>
    <n v="449.3"/>
    <x v="0"/>
    <s v="No"/>
    <x v="2"/>
    <n v="449.3"/>
    <x v="0"/>
    <s v="Standard Spend"/>
  </r>
  <r>
    <s v="2055-SIFSS"/>
    <s v="Female"/>
    <x v="0"/>
    <n v="55"/>
    <x v="0"/>
    <x v="0"/>
    <n v="51.65"/>
    <n v="2838.55"/>
    <x v="0"/>
    <s v="No"/>
    <x v="2"/>
    <n v="2838.55"/>
    <x v="2"/>
    <s v="High Spend"/>
  </r>
  <r>
    <s v="2806-MLNTI"/>
    <s v="Male"/>
    <x v="1"/>
    <n v="52"/>
    <x v="1"/>
    <x v="0"/>
    <n v="105.1"/>
    <n v="5376.4"/>
    <x v="0"/>
    <s v="Yes"/>
    <x v="2"/>
    <n v="5376.4"/>
    <x v="2"/>
    <s v="High Spend"/>
  </r>
  <r>
    <s v="8734-DKSTZ"/>
    <s v="Female"/>
    <x v="0"/>
    <n v="10"/>
    <x v="1"/>
    <x v="0"/>
    <n v="85.95"/>
    <n v="858.6"/>
    <x v="0"/>
    <s v="No"/>
    <x v="0"/>
    <n v="858.6"/>
    <x v="0"/>
    <s v="Standard Spend"/>
  </r>
  <r>
    <s v="4360-PNRQB"/>
    <s v="Male"/>
    <x v="0"/>
    <n v="18"/>
    <x v="1"/>
    <x v="0"/>
    <n v="75.599999999999994"/>
    <n v="1395.05"/>
    <x v="0"/>
    <s v="Yes"/>
    <x v="2"/>
    <n v="1395.05"/>
    <x v="1"/>
    <s v="Standard Spend"/>
  </r>
  <r>
    <s v="6152-ONASV"/>
    <s v="Female"/>
    <x v="1"/>
    <n v="68"/>
    <x v="0"/>
    <x v="1"/>
    <n v="58.25"/>
    <n v="3975.7"/>
    <x v="0"/>
    <s v="No"/>
    <x v="2"/>
    <n v="3975.7"/>
    <x v="2"/>
    <s v="High Spend"/>
  </r>
  <r>
    <s v="9063-ZGTUY"/>
    <s v="Female"/>
    <x v="0"/>
    <n v="61"/>
    <x v="2"/>
    <x v="2"/>
    <n v="19.399999999999999"/>
    <n v="1182.55"/>
    <x v="1"/>
    <s v="Yes"/>
    <x v="1"/>
    <n v="1182.55"/>
    <x v="2"/>
    <s v="Standard Spend"/>
  </r>
  <r>
    <s v="7781-HVGMK"/>
    <s v="Female"/>
    <x v="2"/>
    <n v="72"/>
    <x v="0"/>
    <x v="1"/>
    <n v="65.2"/>
    <n v="4784.45"/>
    <x v="0"/>
    <s v="Yes"/>
    <x v="3"/>
    <n v="4784.45"/>
    <x v="2"/>
    <s v="High Spend"/>
  </r>
  <r>
    <s v="2181-UAESM"/>
    <s v="Male"/>
    <x v="0"/>
    <n v="2"/>
    <x v="0"/>
    <x v="0"/>
    <n v="53.45"/>
    <n v="119.5"/>
    <x v="0"/>
    <s v="No"/>
    <x v="0"/>
    <n v="119.5"/>
    <x v="0"/>
    <s v="Standard Spend"/>
  </r>
  <r>
    <s v="2957-LOLHO"/>
    <s v="Male"/>
    <x v="0"/>
    <n v="12"/>
    <x v="0"/>
    <x v="0"/>
    <n v="45.4"/>
    <n v="518.9"/>
    <x v="1"/>
    <s v="Yes"/>
    <x v="2"/>
    <n v="518.9"/>
    <x v="0"/>
    <s v="Standard Spend"/>
  </r>
  <r>
    <s v="6048-NJXHX"/>
    <s v="Male"/>
    <x v="2"/>
    <n v="41"/>
    <x v="2"/>
    <x v="2"/>
    <n v="19.75"/>
    <n v="899.45"/>
    <x v="0"/>
    <s v="Yes"/>
    <x v="0"/>
    <n v="899.45"/>
    <x v="2"/>
    <s v="Standard Spend"/>
  </r>
  <r>
    <s v="2320-SLKMB"/>
    <s v="Female"/>
    <x v="0"/>
    <n v="26"/>
    <x v="0"/>
    <x v="1"/>
    <n v="44.45"/>
    <n v="1183.8"/>
    <x v="0"/>
    <s v="Yes"/>
    <x v="3"/>
    <n v="1183.8"/>
    <x v="1"/>
    <s v="Standard Spend"/>
  </r>
  <r>
    <s v="4980-URKXC"/>
    <s v="Male"/>
    <x v="1"/>
    <n v="36"/>
    <x v="2"/>
    <x v="2"/>
    <n v="20.85"/>
    <n v="720.05"/>
    <x v="0"/>
    <s v="No"/>
    <x v="2"/>
    <n v="720.05"/>
    <x v="1"/>
    <s v="Standard Spend"/>
  </r>
  <r>
    <s v="4376-KFVRS"/>
    <s v="Male"/>
    <x v="2"/>
    <n v="72"/>
    <x v="1"/>
    <x v="1"/>
    <n v="114.05"/>
    <n v="8468.2000000000007"/>
    <x v="0"/>
    <s v="Yes"/>
    <x v="3"/>
    <n v="8468.2000000000007"/>
    <x v="2"/>
    <s v="High Spend"/>
  </r>
  <r>
    <s v="5886-VLQVU"/>
    <s v="Male"/>
    <x v="0"/>
    <n v="35"/>
    <x v="1"/>
    <x v="1"/>
    <n v="89.85"/>
    <n v="3161.2"/>
    <x v="0"/>
    <s v="Yes"/>
    <x v="2"/>
    <n v="3161.2"/>
    <x v="1"/>
    <s v="High Spend"/>
  </r>
  <r>
    <s v="3577-AMVUX"/>
    <s v="Male"/>
    <x v="0"/>
    <n v="1"/>
    <x v="0"/>
    <x v="1"/>
    <n v="55.05"/>
    <n v="55.05"/>
    <x v="0"/>
    <s v="No"/>
    <x v="1"/>
    <n v="55.05"/>
    <x v="0"/>
    <s v="Standard Spend"/>
  </r>
  <r>
    <s v="0771-WLCLA"/>
    <s v="Female"/>
    <x v="0"/>
    <n v="16"/>
    <x v="1"/>
    <x v="1"/>
    <n v="112.95"/>
    <n v="1882.55"/>
    <x v="0"/>
    <s v="Yes"/>
    <x v="0"/>
    <n v="1882.55"/>
    <x v="1"/>
    <s v="Standard Spend"/>
  </r>
  <r>
    <s v="5628-RKIFK"/>
    <s v="Female"/>
    <x v="0"/>
    <n v="49"/>
    <x v="1"/>
    <x v="0"/>
    <n v="101.55"/>
    <n v="5070.3999999999996"/>
    <x v="0"/>
    <s v="No"/>
    <x v="3"/>
    <n v="5070.3999999999996"/>
    <x v="2"/>
    <s v="High Spend"/>
  </r>
  <r>
    <s v="0206-TBWLC"/>
    <s v="Female"/>
    <x v="1"/>
    <n v="54"/>
    <x v="1"/>
    <x v="1"/>
    <n v="114.65"/>
    <n v="6049.5"/>
    <x v="0"/>
    <s v="Yes"/>
    <x v="1"/>
    <n v="6049.5"/>
    <x v="2"/>
    <s v="High Spend"/>
  </r>
  <r>
    <s v="2937-FTHUR"/>
    <s v="Female"/>
    <x v="0"/>
    <n v="18"/>
    <x v="0"/>
    <x v="0"/>
    <n v="64.8"/>
    <n v="1166.7"/>
    <x v="0"/>
    <s v="No"/>
    <x v="0"/>
    <n v="1166.7"/>
    <x v="1"/>
    <s v="Standard Spend"/>
  </r>
  <r>
    <s v="1910-FMXJM"/>
    <s v="Female"/>
    <x v="0"/>
    <n v="36"/>
    <x v="1"/>
    <x v="0"/>
    <n v="80.400000000000006"/>
    <n v="2937.65"/>
    <x v="0"/>
    <s v="No"/>
    <x v="0"/>
    <n v="2937.65"/>
    <x v="1"/>
    <s v="High Spend"/>
  </r>
  <r>
    <s v="7752-XUSCI"/>
    <s v="Female"/>
    <x v="0"/>
    <n v="60"/>
    <x v="1"/>
    <x v="0"/>
    <n v="105.9"/>
    <n v="6396.45"/>
    <x v="1"/>
    <s v="Yes"/>
    <x v="0"/>
    <n v="6396.45"/>
    <x v="2"/>
    <s v="High Spend"/>
  </r>
  <r>
    <s v="4110-PFEUZ"/>
    <s v="Female"/>
    <x v="0"/>
    <n v="1"/>
    <x v="1"/>
    <x v="0"/>
    <n v="69.55"/>
    <n v="69.55"/>
    <x v="1"/>
    <s v="No"/>
    <x v="1"/>
    <n v="69.55"/>
    <x v="0"/>
    <s v="Standard Spend"/>
  </r>
  <r>
    <s v="0732-OCQOC"/>
    <s v="Female"/>
    <x v="2"/>
    <n v="52"/>
    <x v="2"/>
    <x v="2"/>
    <n v="25.05"/>
    <n v="1270.25"/>
    <x v="0"/>
    <s v="Yes"/>
    <x v="2"/>
    <n v="1270.25"/>
    <x v="2"/>
    <s v="Standard Spend"/>
  </r>
  <r>
    <s v="5168-MSWXT"/>
    <s v="Male"/>
    <x v="0"/>
    <n v="8"/>
    <x v="1"/>
    <x v="0"/>
    <n v="94.75"/>
    <n v="759.55"/>
    <x v="0"/>
    <s v="Yes"/>
    <x v="0"/>
    <n v="759.55"/>
    <x v="0"/>
    <s v="Standard Spend"/>
  </r>
  <r>
    <s v="1090-ESELR"/>
    <s v="Male"/>
    <x v="2"/>
    <n v="72"/>
    <x v="1"/>
    <x v="1"/>
    <n v="105.5"/>
    <n v="7611.55"/>
    <x v="0"/>
    <s v="No"/>
    <x v="2"/>
    <n v="7611.55"/>
    <x v="2"/>
    <s v="High Spend"/>
  </r>
  <r>
    <s v="8592-PLTMQ"/>
    <s v="Female"/>
    <x v="1"/>
    <n v="64"/>
    <x v="2"/>
    <x v="2"/>
    <n v="24.7"/>
    <n v="1642.75"/>
    <x v="0"/>
    <s v="No"/>
    <x v="1"/>
    <n v="1642.75"/>
    <x v="2"/>
    <s v="Standard Spend"/>
  </r>
  <r>
    <s v="5760-WRAHC"/>
    <s v="Female"/>
    <x v="0"/>
    <n v="22"/>
    <x v="0"/>
    <x v="1"/>
    <n v="69.75"/>
    <n v="1545.4"/>
    <x v="0"/>
    <s v="Yes"/>
    <x v="1"/>
    <n v="1545.4"/>
    <x v="1"/>
    <s v="Standard Spend"/>
  </r>
  <r>
    <s v="8847-GEOOQ"/>
    <s v="Male"/>
    <x v="0"/>
    <n v="60"/>
    <x v="0"/>
    <x v="1"/>
    <n v="60.2"/>
    <n v="3582.4"/>
    <x v="0"/>
    <s v="Yes"/>
    <x v="2"/>
    <n v="3582.4"/>
    <x v="2"/>
    <s v="High Spend"/>
  </r>
  <r>
    <s v="0256-LTHVJ"/>
    <s v="Female"/>
    <x v="0"/>
    <n v="28"/>
    <x v="1"/>
    <x v="0"/>
    <n v="81.05"/>
    <n v="2227.1"/>
    <x v="1"/>
    <s v="Yes"/>
    <x v="0"/>
    <n v="2227.1"/>
    <x v="1"/>
    <s v="Standard Spend"/>
  </r>
  <r>
    <s v="4785-FCIFB"/>
    <s v="Female"/>
    <x v="2"/>
    <n v="61"/>
    <x v="2"/>
    <x v="2"/>
    <n v="24.4"/>
    <n v="1417.9"/>
    <x v="0"/>
    <s v="No"/>
    <x v="1"/>
    <n v="1417.9"/>
    <x v="2"/>
    <s v="Standard Spend"/>
  </r>
  <r>
    <s v="8313-NDOIA"/>
    <s v="Female"/>
    <x v="0"/>
    <n v="24"/>
    <x v="1"/>
    <x v="0"/>
    <n v="104.15"/>
    <n v="2494.65"/>
    <x v="0"/>
    <s v="Yes"/>
    <x v="0"/>
    <n v="2494.65"/>
    <x v="1"/>
    <s v="Standard Spend"/>
  </r>
  <r>
    <s v="5149-CUZUJ"/>
    <s v="Male"/>
    <x v="1"/>
    <n v="28"/>
    <x v="1"/>
    <x v="1"/>
    <n v="92.9"/>
    <n v="2768.35"/>
    <x v="0"/>
    <s v="No"/>
    <x v="2"/>
    <n v="2768.35"/>
    <x v="1"/>
    <s v="High Spend"/>
  </r>
  <r>
    <s v="0942-KOWSM"/>
    <s v="Female"/>
    <x v="2"/>
    <n v="30"/>
    <x v="0"/>
    <x v="1"/>
    <n v="80.8"/>
    <n v="2369.3000000000002"/>
    <x v="0"/>
    <s v="No"/>
    <x v="2"/>
    <n v="2369.3000000000002"/>
    <x v="1"/>
    <s v="Standard Spend"/>
  </r>
  <r>
    <s v="4237-CLSMM"/>
    <s v="Male"/>
    <x v="0"/>
    <n v="2"/>
    <x v="2"/>
    <x v="2"/>
    <n v="20"/>
    <n v="38"/>
    <x v="0"/>
    <s v="No"/>
    <x v="1"/>
    <n v="38"/>
    <x v="0"/>
    <s v="Standard Spend"/>
  </r>
  <r>
    <s v="1452-VOQCH"/>
    <s v="Male"/>
    <x v="0"/>
    <n v="1"/>
    <x v="1"/>
    <x v="0"/>
    <n v="75.099999999999994"/>
    <n v="75.099999999999994"/>
    <x v="0"/>
    <s v="Yes"/>
    <x v="0"/>
    <n v="75.099999999999994"/>
    <x v="0"/>
    <s v="Standard Spend"/>
  </r>
  <r>
    <s v="4719-UMSIY"/>
    <s v="Male"/>
    <x v="0"/>
    <n v="6"/>
    <x v="2"/>
    <x v="2"/>
    <n v="19.649999999999999"/>
    <n v="100.9"/>
    <x v="0"/>
    <s v="No"/>
    <x v="1"/>
    <n v="100.9"/>
    <x v="0"/>
    <s v="Standard Spend"/>
  </r>
  <r>
    <s v="6614-VBEGU"/>
    <s v="Female"/>
    <x v="0"/>
    <n v="24"/>
    <x v="0"/>
    <x v="0"/>
    <n v="69.45"/>
    <n v="1614.05"/>
    <x v="0"/>
    <s v="Yes"/>
    <x v="2"/>
    <n v="1614.05"/>
    <x v="1"/>
    <s v="Standard Spend"/>
  </r>
  <r>
    <s v="0880-TKATG"/>
    <s v="Male"/>
    <x v="0"/>
    <n v="4"/>
    <x v="1"/>
    <x v="0"/>
    <n v="101.15"/>
    <n v="385.9"/>
    <x v="1"/>
    <s v="No"/>
    <x v="0"/>
    <n v="385.9"/>
    <x v="0"/>
    <s v="Standard Spend"/>
  </r>
  <r>
    <s v="3811-VBYBZ"/>
    <s v="Male"/>
    <x v="0"/>
    <n v="7"/>
    <x v="1"/>
    <x v="0"/>
    <n v="99.8"/>
    <n v="673.25"/>
    <x v="1"/>
    <s v="Yes"/>
    <x v="0"/>
    <n v="673.25"/>
    <x v="0"/>
    <s v="Standard Spend"/>
  </r>
  <r>
    <s v="1480-BKXGA"/>
    <s v="Male"/>
    <x v="2"/>
    <n v="72"/>
    <x v="1"/>
    <x v="1"/>
    <n v="116.05"/>
    <n v="8404.9"/>
    <x v="0"/>
    <s v="Yes"/>
    <x v="2"/>
    <n v="8404.9"/>
    <x v="2"/>
    <s v="High Spend"/>
  </r>
  <r>
    <s v="2996-XAUVF"/>
    <s v="Male"/>
    <x v="2"/>
    <n v="70"/>
    <x v="0"/>
    <x v="1"/>
    <n v="40.049999999999997"/>
    <n v="2799.75"/>
    <x v="0"/>
    <s v="Yes"/>
    <x v="1"/>
    <n v="2799.75"/>
    <x v="2"/>
    <s v="High Spend"/>
  </r>
  <r>
    <s v="9076-AXYIK"/>
    <s v="Male"/>
    <x v="2"/>
    <n v="64"/>
    <x v="1"/>
    <x v="1"/>
    <n v="102.1"/>
    <n v="6538.45"/>
    <x v="0"/>
    <s v="No"/>
    <x v="0"/>
    <n v="6538.45"/>
    <x v="2"/>
    <s v="High Spend"/>
  </r>
  <r>
    <s v="5968-XQIVE"/>
    <s v="Male"/>
    <x v="1"/>
    <n v="72"/>
    <x v="1"/>
    <x v="0"/>
    <n v="89.7"/>
    <n v="6588.95"/>
    <x v="0"/>
    <s v="Yes"/>
    <x v="0"/>
    <n v="6588.95"/>
    <x v="2"/>
    <s v="High Spend"/>
  </r>
  <r>
    <s v="8896-RAZCR"/>
    <s v="Female"/>
    <x v="2"/>
    <n v="44"/>
    <x v="2"/>
    <x v="2"/>
    <n v="19.899999999999999"/>
    <n v="868.1"/>
    <x v="0"/>
    <s v="No"/>
    <x v="1"/>
    <n v="868.1"/>
    <x v="2"/>
    <s v="Standard Spend"/>
  </r>
  <r>
    <s v="4640-UHDOS"/>
    <s v="Female"/>
    <x v="0"/>
    <n v="13"/>
    <x v="0"/>
    <x v="0"/>
    <n v="55.95"/>
    <n v="734.35"/>
    <x v="1"/>
    <s v="No"/>
    <x v="0"/>
    <n v="734.35"/>
    <x v="1"/>
    <s v="Standard Spend"/>
  </r>
  <r>
    <s v="4933-IKULF"/>
    <s v="Female"/>
    <x v="1"/>
    <n v="17"/>
    <x v="2"/>
    <x v="2"/>
    <n v="20.65"/>
    <n v="330.6"/>
    <x v="0"/>
    <s v="No"/>
    <x v="1"/>
    <n v="330.6"/>
    <x v="1"/>
    <s v="Standard Spend"/>
  </r>
  <r>
    <s v="3583-EKAPL"/>
    <s v="Male"/>
    <x v="0"/>
    <n v="1"/>
    <x v="0"/>
    <x v="0"/>
    <n v="55"/>
    <n v="55"/>
    <x v="1"/>
    <s v="Yes"/>
    <x v="0"/>
    <n v="55"/>
    <x v="0"/>
    <s v="Standard Spend"/>
  </r>
  <r>
    <s v="1304-BCCFO"/>
    <s v="Male"/>
    <x v="0"/>
    <n v="9"/>
    <x v="0"/>
    <x v="0"/>
    <n v="70.05"/>
    <n v="564.4"/>
    <x v="0"/>
    <s v="Yes"/>
    <x v="1"/>
    <n v="564.4"/>
    <x v="0"/>
    <s v="Standard Spend"/>
  </r>
  <r>
    <s v="4104-PVRPS"/>
    <s v="Male"/>
    <x v="0"/>
    <n v="24"/>
    <x v="0"/>
    <x v="1"/>
    <n v="53.6"/>
    <n v="1315.35"/>
    <x v="0"/>
    <s v="No"/>
    <x v="1"/>
    <n v="1315.35"/>
    <x v="1"/>
    <s v="Standard Spend"/>
  </r>
  <r>
    <s v="9399-APLBT"/>
    <s v="Female"/>
    <x v="0"/>
    <n v="1"/>
    <x v="1"/>
    <x v="0"/>
    <n v="74.7"/>
    <n v="74.7"/>
    <x v="1"/>
    <s v="Yes"/>
    <x v="0"/>
    <n v="74.7"/>
    <x v="0"/>
    <s v="Standard Spend"/>
  </r>
  <r>
    <s v="2359-KMGLI"/>
    <s v="Male"/>
    <x v="0"/>
    <n v="24"/>
    <x v="1"/>
    <x v="0"/>
    <n v="80.25"/>
    <n v="1861.5"/>
    <x v="1"/>
    <s v="Yes"/>
    <x v="0"/>
    <n v="1861.5"/>
    <x v="1"/>
    <s v="Standard Spend"/>
  </r>
  <r>
    <s v="3780-DDGSE"/>
    <s v="Male"/>
    <x v="0"/>
    <n v="35"/>
    <x v="0"/>
    <x v="1"/>
    <n v="76.05"/>
    <n v="2747.2"/>
    <x v="0"/>
    <s v="Yes"/>
    <x v="0"/>
    <n v="2747.2"/>
    <x v="1"/>
    <s v="High Spend"/>
  </r>
  <r>
    <s v="4431-EDMIQ"/>
    <s v="Female"/>
    <x v="0"/>
    <n v="7"/>
    <x v="0"/>
    <x v="1"/>
    <n v="75.7"/>
    <n v="554.04999999999995"/>
    <x v="0"/>
    <s v="Yes"/>
    <x v="0"/>
    <n v="554.04999999999995"/>
    <x v="0"/>
    <s v="Standard Spend"/>
  </r>
  <r>
    <s v="0306-JAELE"/>
    <s v="Male"/>
    <x v="0"/>
    <n v="5"/>
    <x v="1"/>
    <x v="1"/>
    <n v="96.1"/>
    <n v="453.4"/>
    <x v="1"/>
    <s v="Yes"/>
    <x v="0"/>
    <n v="453.4"/>
    <x v="0"/>
    <s v="Standard Spend"/>
  </r>
  <r>
    <s v="6227-HWPWX"/>
    <s v="Female"/>
    <x v="0"/>
    <n v="15"/>
    <x v="1"/>
    <x v="0"/>
    <n v="69"/>
    <n v="994.8"/>
    <x v="1"/>
    <s v="No"/>
    <x v="2"/>
    <n v="994.8"/>
    <x v="1"/>
    <s v="Standard Spend"/>
  </r>
  <r>
    <s v="0486-LGCCH"/>
    <s v="Male"/>
    <x v="2"/>
    <n v="11"/>
    <x v="2"/>
    <x v="2"/>
    <n v="19.649999999999999"/>
    <n v="225.75"/>
    <x v="0"/>
    <s v="No"/>
    <x v="1"/>
    <n v="225.75"/>
    <x v="0"/>
    <s v="Standard Spend"/>
  </r>
  <r>
    <s v="0447-BEMNG"/>
    <s v="Female"/>
    <x v="0"/>
    <n v="48"/>
    <x v="0"/>
    <x v="0"/>
    <n v="45.3"/>
    <n v="2145"/>
    <x v="1"/>
    <s v="Yes"/>
    <x v="2"/>
    <n v="2145"/>
    <x v="2"/>
    <s v="Standard Spend"/>
  </r>
  <r>
    <s v="4612-SSVHJ"/>
    <s v="Female"/>
    <x v="0"/>
    <n v="20"/>
    <x v="1"/>
    <x v="0"/>
    <n v="81.45"/>
    <n v="1671.6"/>
    <x v="0"/>
    <s v="Yes"/>
    <x v="0"/>
    <n v="1671.6"/>
    <x v="1"/>
    <s v="Standard Spend"/>
  </r>
  <r>
    <s v="5168-MQQCA"/>
    <s v="Female"/>
    <x v="1"/>
    <n v="72"/>
    <x v="1"/>
    <x v="1"/>
    <n v="108.5"/>
    <n v="8003.8"/>
    <x v="0"/>
    <s v="Yes"/>
    <x v="2"/>
    <n v="8003.8"/>
    <x v="2"/>
    <s v="High Spend"/>
  </r>
  <r>
    <s v="5949-XIKAE"/>
    <s v="Female"/>
    <x v="0"/>
    <n v="8"/>
    <x v="1"/>
    <x v="0"/>
    <n v="83.55"/>
    <n v="680.05"/>
    <x v="1"/>
    <s v="Yes"/>
    <x v="0"/>
    <n v="680.05"/>
    <x v="0"/>
    <s v="Standard Spend"/>
  </r>
  <r>
    <s v="7971-HLVXI"/>
    <s v="Male"/>
    <x v="2"/>
    <n v="72"/>
    <x v="1"/>
    <x v="0"/>
    <n v="84.5"/>
    <n v="6130.85"/>
    <x v="0"/>
    <s v="Yes"/>
    <x v="3"/>
    <n v="6130.85"/>
    <x v="2"/>
    <s v="High Spend"/>
  </r>
  <r>
    <s v="9094-AZPHK"/>
    <s v="Female"/>
    <x v="0"/>
    <n v="15"/>
    <x v="1"/>
    <x v="0"/>
    <n v="100.15"/>
    <n v="1415"/>
    <x v="0"/>
    <s v="Yes"/>
    <x v="0"/>
    <n v="1415"/>
    <x v="1"/>
    <s v="Standard Spend"/>
  </r>
  <r>
    <s v="3649-JPUGY"/>
    <s v="Male"/>
    <x v="2"/>
    <n v="72"/>
    <x v="0"/>
    <x v="1"/>
    <n v="88.6"/>
    <n v="6201.95"/>
    <x v="0"/>
    <s v="Yes"/>
    <x v="2"/>
    <n v="6201.95"/>
    <x v="2"/>
    <s v="High Spend"/>
  </r>
  <r>
    <s v="4472-LVYGI"/>
    <s v="Female"/>
    <x v="2"/>
    <n v="0"/>
    <x v="0"/>
    <x v="1"/>
    <n v="52.55"/>
    <s v=" "/>
    <x v="0"/>
    <s v="Yes"/>
    <x v="2"/>
    <n v="0"/>
    <x v="0"/>
    <s v="High Spend"/>
  </r>
  <r>
    <s v="8372-JUXUI"/>
    <s v="Male"/>
    <x v="0"/>
    <n v="1"/>
    <x v="1"/>
    <x v="0"/>
    <n v="74.349999999999994"/>
    <n v="74.349999999999994"/>
    <x v="1"/>
    <s v="Yes"/>
    <x v="0"/>
    <n v="74.349999999999994"/>
    <x v="0"/>
    <s v="Standard Spend"/>
  </r>
  <r>
    <s v="3552-CTCYF"/>
    <s v="Male"/>
    <x v="2"/>
    <n v="63"/>
    <x v="1"/>
    <x v="0"/>
    <n v="104.8"/>
    <n v="6597.25"/>
    <x v="0"/>
    <s v="Yes"/>
    <x v="2"/>
    <n v="6597.25"/>
    <x v="2"/>
    <s v="High Spend"/>
  </r>
  <r>
    <s v="6778-YSNIH"/>
    <s v="Female"/>
    <x v="0"/>
    <n v="2"/>
    <x v="0"/>
    <x v="0"/>
    <n v="59"/>
    <n v="114.15"/>
    <x v="0"/>
    <s v="Yes"/>
    <x v="0"/>
    <n v="114.15"/>
    <x v="0"/>
    <s v="Standard Spend"/>
  </r>
  <r>
    <s v="0388-EOPEX"/>
    <s v="Female"/>
    <x v="0"/>
    <n v="2"/>
    <x v="1"/>
    <x v="0"/>
    <n v="74.400000000000006"/>
    <n v="139.4"/>
    <x v="1"/>
    <s v="Yes"/>
    <x v="0"/>
    <n v="139.4"/>
    <x v="0"/>
    <s v="Standard Spend"/>
  </r>
  <r>
    <s v="5756-OZRIO"/>
    <s v="Male"/>
    <x v="1"/>
    <n v="61"/>
    <x v="0"/>
    <x v="0"/>
    <n v="64.05"/>
    <n v="3902.6"/>
    <x v="0"/>
    <s v="No"/>
    <x v="2"/>
    <n v="3902.6"/>
    <x v="2"/>
    <s v="High Spend"/>
  </r>
  <r>
    <s v="6579-JPICP"/>
    <s v="Male"/>
    <x v="0"/>
    <n v="1"/>
    <x v="2"/>
    <x v="2"/>
    <n v="20.399999999999999"/>
    <n v="20.399999999999999"/>
    <x v="0"/>
    <s v="No"/>
    <x v="1"/>
    <n v="20.399999999999999"/>
    <x v="0"/>
    <s v="Standard Spend"/>
  </r>
  <r>
    <s v="8205-OTCHB"/>
    <s v="Male"/>
    <x v="1"/>
    <n v="22"/>
    <x v="0"/>
    <x v="0"/>
    <n v="43.75"/>
    <n v="903.6"/>
    <x v="1"/>
    <s v="Yes"/>
    <x v="2"/>
    <n v="903.6"/>
    <x v="1"/>
    <s v="Standard Spend"/>
  </r>
  <r>
    <s v="4134-BSXLX"/>
    <s v="Male"/>
    <x v="0"/>
    <n v="28"/>
    <x v="0"/>
    <x v="1"/>
    <n v="60.9"/>
    <n v="1785.65"/>
    <x v="0"/>
    <s v="No"/>
    <x v="1"/>
    <n v="1785.65"/>
    <x v="1"/>
    <s v="Standard Spend"/>
  </r>
  <r>
    <s v="0505-SPOOW"/>
    <s v="Female"/>
    <x v="2"/>
    <n v="70"/>
    <x v="2"/>
    <x v="2"/>
    <n v="19.8"/>
    <n v="1397.65"/>
    <x v="0"/>
    <s v="No"/>
    <x v="2"/>
    <n v="1397.65"/>
    <x v="2"/>
    <s v="Standard Spend"/>
  </r>
  <r>
    <s v="6235-VDHOM"/>
    <s v="Female"/>
    <x v="0"/>
    <n v="5"/>
    <x v="0"/>
    <x v="0"/>
    <n v="28.45"/>
    <n v="131.05000000000001"/>
    <x v="1"/>
    <s v="No"/>
    <x v="0"/>
    <n v="131.05000000000001"/>
    <x v="0"/>
    <s v="Standard Spend"/>
  </r>
  <r>
    <s v="7783-YKGDV"/>
    <s v="Female"/>
    <x v="0"/>
    <n v="12"/>
    <x v="1"/>
    <x v="0"/>
    <n v="99.7"/>
    <n v="1238.45"/>
    <x v="1"/>
    <s v="Yes"/>
    <x v="2"/>
    <n v="1238.45"/>
    <x v="0"/>
    <s v="Standard Spend"/>
  </r>
  <r>
    <s v="4374-YMUSQ"/>
    <s v="Male"/>
    <x v="1"/>
    <n v="34"/>
    <x v="1"/>
    <x v="1"/>
    <n v="116.25"/>
    <n v="3899.05"/>
    <x v="0"/>
    <s v="No"/>
    <x v="3"/>
    <n v="3899.05"/>
    <x v="1"/>
    <s v="High Spend"/>
  </r>
  <r>
    <s v="4513-CXYIX"/>
    <s v="Female"/>
    <x v="2"/>
    <n v="71"/>
    <x v="1"/>
    <x v="0"/>
    <n v="80.7"/>
    <n v="5676"/>
    <x v="0"/>
    <s v="Yes"/>
    <x v="3"/>
    <n v="5676"/>
    <x v="2"/>
    <s v="High Spend"/>
  </r>
  <r>
    <s v="3957-HHLMR"/>
    <s v="Female"/>
    <x v="1"/>
    <n v="70"/>
    <x v="0"/>
    <x v="0"/>
    <n v="65.2"/>
    <n v="4543.1499999999996"/>
    <x v="0"/>
    <s v="No"/>
    <x v="2"/>
    <n v="4543.1499999999996"/>
    <x v="2"/>
    <s v="High Spend"/>
  </r>
  <r>
    <s v="7803-XOCCZ"/>
    <s v="Female"/>
    <x v="0"/>
    <n v="52"/>
    <x v="1"/>
    <x v="1"/>
    <n v="84.05"/>
    <n v="4326.8"/>
    <x v="0"/>
    <s v="Yes"/>
    <x v="2"/>
    <n v="4326.8"/>
    <x v="2"/>
    <s v="High Spend"/>
  </r>
  <r>
    <s v="5736-YEJAX"/>
    <s v="Male"/>
    <x v="2"/>
    <n v="69"/>
    <x v="0"/>
    <x v="1"/>
    <n v="79.45"/>
    <n v="5502.55"/>
    <x v="0"/>
    <s v="Yes"/>
    <x v="3"/>
    <n v="5502.55"/>
    <x v="2"/>
    <s v="High Spend"/>
  </r>
  <r>
    <s v="5609-CEBID"/>
    <s v="Female"/>
    <x v="0"/>
    <n v="20"/>
    <x v="1"/>
    <x v="0"/>
    <n v="94.1"/>
    <n v="1782.4"/>
    <x v="1"/>
    <s v="Yes"/>
    <x v="0"/>
    <n v="1782.4"/>
    <x v="1"/>
    <s v="Standard Spend"/>
  </r>
  <r>
    <s v="8981-FJGLA"/>
    <s v="Male"/>
    <x v="0"/>
    <n v="11"/>
    <x v="1"/>
    <x v="0"/>
    <n v="78"/>
    <n v="851.8"/>
    <x v="0"/>
    <s v="Yes"/>
    <x v="1"/>
    <n v="851.8"/>
    <x v="0"/>
    <s v="Standard Spend"/>
  </r>
  <r>
    <s v="7218-HKQFK"/>
    <s v="Male"/>
    <x v="0"/>
    <n v="2"/>
    <x v="1"/>
    <x v="1"/>
    <n v="94.2"/>
    <n v="167.5"/>
    <x v="1"/>
    <s v="Yes"/>
    <x v="0"/>
    <n v="167.5"/>
    <x v="0"/>
    <s v="Standard Spend"/>
  </r>
  <r>
    <s v="4636-QRJKY"/>
    <s v="Female"/>
    <x v="0"/>
    <n v="6"/>
    <x v="1"/>
    <x v="1"/>
    <n v="80.5"/>
    <n v="502.85"/>
    <x v="1"/>
    <s v="Yes"/>
    <x v="0"/>
    <n v="502.85"/>
    <x v="0"/>
    <s v="Standard Spend"/>
  </r>
  <r>
    <s v="1135-LMECX"/>
    <s v="Female"/>
    <x v="0"/>
    <n v="1"/>
    <x v="2"/>
    <x v="2"/>
    <n v="19.850000000000001"/>
    <n v="19.850000000000001"/>
    <x v="0"/>
    <s v="No"/>
    <x v="1"/>
    <n v="19.850000000000001"/>
    <x v="0"/>
    <s v="Standard Spend"/>
  </r>
  <r>
    <s v="4332-MUOEZ"/>
    <s v="Male"/>
    <x v="1"/>
    <n v="20"/>
    <x v="1"/>
    <x v="1"/>
    <n v="94.3"/>
    <n v="1818.3"/>
    <x v="0"/>
    <s v="No"/>
    <x v="3"/>
    <n v="1818.3"/>
    <x v="1"/>
    <s v="Standard Spend"/>
  </r>
  <r>
    <s v="8535-SFUTN"/>
    <s v="Male"/>
    <x v="0"/>
    <n v="61"/>
    <x v="1"/>
    <x v="0"/>
    <n v="106.45"/>
    <n v="6300.15"/>
    <x v="0"/>
    <s v="Yes"/>
    <x v="0"/>
    <n v="6300.15"/>
    <x v="2"/>
    <s v="High Spend"/>
  </r>
  <r>
    <s v="5956-VKDTT"/>
    <s v="Female"/>
    <x v="0"/>
    <n v="5"/>
    <x v="1"/>
    <x v="0"/>
    <n v="74.349999999999994"/>
    <n v="334.8"/>
    <x v="1"/>
    <s v="Yes"/>
    <x v="0"/>
    <n v="334.8"/>
    <x v="0"/>
    <s v="Standard Spend"/>
  </r>
  <r>
    <s v="8677-HDZEE"/>
    <s v="Female"/>
    <x v="0"/>
    <n v="56"/>
    <x v="1"/>
    <x v="1"/>
    <n v="105.45"/>
    <n v="5916.95"/>
    <x v="0"/>
    <s v="Yes"/>
    <x v="2"/>
    <n v="5916.95"/>
    <x v="2"/>
    <s v="High Spend"/>
  </r>
  <r>
    <s v="2475-MROZF"/>
    <s v="Male"/>
    <x v="0"/>
    <n v="30"/>
    <x v="1"/>
    <x v="1"/>
    <n v="95"/>
    <n v="2852.4"/>
    <x v="0"/>
    <s v="Yes"/>
    <x v="3"/>
    <n v="2852.4"/>
    <x v="1"/>
    <s v="High Spend"/>
  </r>
  <r>
    <s v="9412-GHEEC"/>
    <s v="Male"/>
    <x v="0"/>
    <n v="40"/>
    <x v="1"/>
    <x v="1"/>
    <n v="104.8"/>
    <n v="4131.95"/>
    <x v="1"/>
    <s v="No"/>
    <x v="2"/>
    <n v="4131.95"/>
    <x v="2"/>
    <s v="High Spend"/>
  </r>
  <r>
    <s v="3482-ABPKK"/>
    <s v="Female"/>
    <x v="1"/>
    <n v="28"/>
    <x v="0"/>
    <x v="1"/>
    <n v="54.3"/>
    <n v="1546.3"/>
    <x v="0"/>
    <s v="No"/>
    <x v="1"/>
    <n v="1546.3"/>
    <x v="1"/>
    <s v="Standard Spend"/>
  </r>
  <r>
    <s v="6705-LXORM"/>
    <s v="Female"/>
    <x v="0"/>
    <n v="5"/>
    <x v="1"/>
    <x v="0"/>
    <n v="70.05"/>
    <n v="302.60000000000002"/>
    <x v="0"/>
    <s v="No"/>
    <x v="0"/>
    <n v="302.60000000000002"/>
    <x v="0"/>
    <s v="Standard Spend"/>
  </r>
  <r>
    <s v="0257-ZESQC"/>
    <s v="Female"/>
    <x v="0"/>
    <n v="27"/>
    <x v="1"/>
    <x v="0"/>
    <n v="75.2"/>
    <n v="1929.35"/>
    <x v="1"/>
    <s v="Yes"/>
    <x v="2"/>
    <n v="1929.35"/>
    <x v="1"/>
    <s v="Standard Spend"/>
  </r>
  <r>
    <s v="7531-GQHME"/>
    <s v="Male"/>
    <x v="0"/>
    <n v="12"/>
    <x v="2"/>
    <x v="2"/>
    <n v="20.05"/>
    <n v="265.45"/>
    <x v="0"/>
    <s v="No"/>
    <x v="3"/>
    <n v="265.45"/>
    <x v="0"/>
    <s v="Standard Spend"/>
  </r>
  <r>
    <s v="5174-ITUMV"/>
    <s v="Male"/>
    <x v="1"/>
    <n v="67"/>
    <x v="1"/>
    <x v="0"/>
    <n v="105.4"/>
    <n v="6989.45"/>
    <x v="0"/>
    <s v="Yes"/>
    <x v="0"/>
    <n v="6989.45"/>
    <x v="2"/>
    <s v="High Spend"/>
  </r>
  <r>
    <s v="4109-CYRBD"/>
    <s v="Male"/>
    <x v="0"/>
    <n v="29"/>
    <x v="0"/>
    <x v="0"/>
    <n v="51.6"/>
    <n v="1442"/>
    <x v="0"/>
    <s v="Yes"/>
    <x v="0"/>
    <n v="1442"/>
    <x v="1"/>
    <s v="Standard Spend"/>
  </r>
  <r>
    <s v="0913-XWSCN"/>
    <s v="Male"/>
    <x v="0"/>
    <n v="55"/>
    <x v="1"/>
    <x v="0"/>
    <n v="85.5"/>
    <n v="4713.3999999999996"/>
    <x v="0"/>
    <s v="No"/>
    <x v="2"/>
    <n v="4713.3999999999996"/>
    <x v="2"/>
    <s v="High Spend"/>
  </r>
  <r>
    <s v="6825-UYPFK"/>
    <s v="Female"/>
    <x v="0"/>
    <n v="23"/>
    <x v="1"/>
    <x v="0"/>
    <n v="75.599999999999994"/>
    <n v="1758.6"/>
    <x v="1"/>
    <s v="No"/>
    <x v="2"/>
    <n v="1758.6"/>
    <x v="1"/>
    <s v="Standard Spend"/>
  </r>
  <r>
    <s v="8397-MVTAZ"/>
    <s v="Male"/>
    <x v="0"/>
    <n v="34"/>
    <x v="1"/>
    <x v="0"/>
    <n v="100.05"/>
    <n v="3480"/>
    <x v="1"/>
    <s v="Yes"/>
    <x v="0"/>
    <n v="3480"/>
    <x v="1"/>
    <s v="High Spend"/>
  </r>
  <r>
    <s v="0750-EBAIU"/>
    <s v="Male"/>
    <x v="1"/>
    <n v="52"/>
    <x v="1"/>
    <x v="0"/>
    <n v="91.25"/>
    <n v="4738.3"/>
    <x v="0"/>
    <s v="No"/>
    <x v="0"/>
    <n v="4738.3"/>
    <x v="2"/>
    <s v="High Spend"/>
  </r>
  <r>
    <s v="8606-CIQUL"/>
    <s v="Male"/>
    <x v="2"/>
    <n v="72"/>
    <x v="1"/>
    <x v="1"/>
    <n v="115.75"/>
    <n v="8399.15"/>
    <x v="0"/>
    <s v="Yes"/>
    <x v="3"/>
    <n v="8399.15"/>
    <x v="2"/>
    <s v="High Spend"/>
  </r>
  <r>
    <s v="3571-DPYUH"/>
    <s v="Male"/>
    <x v="1"/>
    <n v="58"/>
    <x v="1"/>
    <x v="1"/>
    <n v="94.7"/>
    <n v="5430.35"/>
    <x v="0"/>
    <s v="Yes"/>
    <x v="3"/>
    <n v="5430.35"/>
    <x v="2"/>
    <s v="High Spend"/>
  </r>
  <r>
    <s v="7601-GNDYK"/>
    <s v="Male"/>
    <x v="2"/>
    <n v="35"/>
    <x v="2"/>
    <x v="2"/>
    <n v="19.600000000000001"/>
    <n v="686.95"/>
    <x v="0"/>
    <s v="No"/>
    <x v="1"/>
    <n v="686.95"/>
    <x v="1"/>
    <s v="Standard Spend"/>
  </r>
  <r>
    <s v="0356-OBMAC"/>
    <s v="Female"/>
    <x v="2"/>
    <n v="56"/>
    <x v="1"/>
    <x v="1"/>
    <n v="99.9"/>
    <n v="5706.3"/>
    <x v="0"/>
    <s v="Yes"/>
    <x v="2"/>
    <n v="5706.3"/>
    <x v="2"/>
    <s v="High Spend"/>
  </r>
  <r>
    <s v="8067-NIOYM"/>
    <s v="Female"/>
    <x v="2"/>
    <n v="24"/>
    <x v="2"/>
    <x v="2"/>
    <n v="21.1"/>
    <n v="490.65"/>
    <x v="0"/>
    <s v="Yes"/>
    <x v="3"/>
    <n v="490.65"/>
    <x v="1"/>
    <s v="Standard Spend"/>
  </r>
  <r>
    <s v="1403-GYAFU"/>
    <s v="Male"/>
    <x v="2"/>
    <n v="70"/>
    <x v="2"/>
    <x v="2"/>
    <n v="20.05"/>
    <n v="1360.25"/>
    <x v="0"/>
    <s v="No"/>
    <x v="3"/>
    <n v="1360.25"/>
    <x v="2"/>
    <s v="Standard Spend"/>
  </r>
  <r>
    <s v="4234-XTNEA"/>
    <s v="Male"/>
    <x v="0"/>
    <n v="2"/>
    <x v="1"/>
    <x v="0"/>
    <n v="79.95"/>
    <n v="174.45"/>
    <x v="0"/>
    <s v="Yes"/>
    <x v="0"/>
    <n v="174.45"/>
    <x v="0"/>
    <s v="Standard Spend"/>
  </r>
  <r>
    <s v="1297-VQDRP"/>
    <s v="Male"/>
    <x v="1"/>
    <n v="68"/>
    <x v="1"/>
    <x v="1"/>
    <n v="107.15"/>
    <n v="7379.8"/>
    <x v="0"/>
    <s v="Yes"/>
    <x v="3"/>
    <n v="7379.8"/>
    <x v="2"/>
    <s v="High Spend"/>
  </r>
  <r>
    <s v="9282-IZGQK"/>
    <s v="Female"/>
    <x v="0"/>
    <n v="1"/>
    <x v="1"/>
    <x v="0"/>
    <n v="85"/>
    <n v="85"/>
    <x v="1"/>
    <s v="Yes"/>
    <x v="0"/>
    <n v="85"/>
    <x v="0"/>
    <s v="Standard Spend"/>
  </r>
  <r>
    <s v="5348-CAGXB"/>
    <s v="Male"/>
    <x v="0"/>
    <n v="12"/>
    <x v="1"/>
    <x v="0"/>
    <n v="89.55"/>
    <n v="1021.75"/>
    <x v="0"/>
    <s v="Yes"/>
    <x v="0"/>
    <n v="1021.75"/>
    <x v="0"/>
    <s v="Standard Spend"/>
  </r>
  <r>
    <s v="0621-HJWXJ"/>
    <s v="Female"/>
    <x v="0"/>
    <n v="63"/>
    <x v="1"/>
    <x v="0"/>
    <n v="81.55"/>
    <n v="5029.05"/>
    <x v="0"/>
    <s v="Yes"/>
    <x v="2"/>
    <n v="5029.05"/>
    <x v="2"/>
    <s v="High Spend"/>
  </r>
  <r>
    <s v="5844-QVTAT"/>
    <s v="Female"/>
    <x v="1"/>
    <n v="33"/>
    <x v="0"/>
    <x v="0"/>
    <n v="58.45"/>
    <n v="1955.4"/>
    <x v="0"/>
    <s v="Yes"/>
    <x v="1"/>
    <n v="1955.4"/>
    <x v="1"/>
    <s v="Standard Spend"/>
  </r>
  <r>
    <s v="8905-IAZPF"/>
    <s v="Female"/>
    <x v="1"/>
    <n v="69"/>
    <x v="1"/>
    <x v="0"/>
    <n v="95.65"/>
    <n v="6744.2"/>
    <x v="0"/>
    <s v="Yes"/>
    <x v="3"/>
    <n v="6744.2"/>
    <x v="2"/>
    <s v="High Spend"/>
  </r>
  <r>
    <s v="5394-MEITZ"/>
    <s v="Female"/>
    <x v="2"/>
    <n v="60"/>
    <x v="0"/>
    <x v="1"/>
    <n v="80.599999999999994"/>
    <n v="4946.7"/>
    <x v="0"/>
    <s v="Yes"/>
    <x v="2"/>
    <n v="4946.7"/>
    <x v="2"/>
    <s v="High Spend"/>
  </r>
  <r>
    <s v="6859-QNXIQ"/>
    <s v="Female"/>
    <x v="2"/>
    <n v="72"/>
    <x v="1"/>
    <x v="1"/>
    <n v="113.1"/>
    <n v="8248.5"/>
    <x v="0"/>
    <s v="Yes"/>
    <x v="2"/>
    <n v="8248.5"/>
    <x v="2"/>
    <s v="High Spend"/>
  </r>
  <r>
    <s v="2782-LFZVW"/>
    <s v="Female"/>
    <x v="0"/>
    <n v="11"/>
    <x v="0"/>
    <x v="0"/>
    <n v="58.95"/>
    <n v="601.6"/>
    <x v="0"/>
    <s v="Yes"/>
    <x v="1"/>
    <n v="601.6"/>
    <x v="0"/>
    <s v="Standard Spend"/>
  </r>
  <r>
    <s v="2866-IKBTM"/>
    <s v="Female"/>
    <x v="0"/>
    <n v="1"/>
    <x v="2"/>
    <x v="2"/>
    <n v="19.55"/>
    <n v="19.55"/>
    <x v="0"/>
    <s v="No"/>
    <x v="1"/>
    <n v="19.55"/>
    <x v="0"/>
    <s v="Standard Spend"/>
  </r>
  <r>
    <s v="1342-JPNKI"/>
    <s v="Male"/>
    <x v="0"/>
    <n v="10"/>
    <x v="1"/>
    <x v="0"/>
    <n v="86.05"/>
    <n v="834.1"/>
    <x v="1"/>
    <s v="Yes"/>
    <x v="2"/>
    <n v="834.1"/>
    <x v="0"/>
    <s v="Standard Spend"/>
  </r>
  <r>
    <s v="2817-NTQDO"/>
    <s v="Male"/>
    <x v="0"/>
    <n v="13"/>
    <x v="0"/>
    <x v="1"/>
    <n v="45.55"/>
    <n v="597"/>
    <x v="1"/>
    <s v="Yes"/>
    <x v="3"/>
    <n v="597"/>
    <x v="1"/>
    <s v="Standard Spend"/>
  </r>
  <r>
    <s v="7129-AZJDE"/>
    <s v="Male"/>
    <x v="1"/>
    <n v="34"/>
    <x v="1"/>
    <x v="0"/>
    <n v="78.95"/>
    <n v="2647.2"/>
    <x v="0"/>
    <s v="Yes"/>
    <x v="2"/>
    <n v="2647.2"/>
    <x v="1"/>
    <s v="High Spend"/>
  </r>
  <r>
    <s v="6986-IJDHX"/>
    <s v="Male"/>
    <x v="0"/>
    <n v="39"/>
    <x v="1"/>
    <x v="0"/>
    <n v="86.3"/>
    <n v="3266"/>
    <x v="1"/>
    <s v="Yes"/>
    <x v="1"/>
    <n v="3266"/>
    <x v="2"/>
    <s v="High Spend"/>
  </r>
  <r>
    <s v="2560-PPCHE"/>
    <s v="Female"/>
    <x v="1"/>
    <n v="65"/>
    <x v="1"/>
    <x v="1"/>
    <n v="105.05"/>
    <n v="6744.25"/>
    <x v="0"/>
    <s v="Yes"/>
    <x v="2"/>
    <n v="6744.25"/>
    <x v="2"/>
    <s v="High Spend"/>
  </r>
  <r>
    <s v="4676-MQUEA"/>
    <s v="Male"/>
    <x v="1"/>
    <n v="50"/>
    <x v="1"/>
    <x v="0"/>
    <n v="101.9"/>
    <n v="5265.5"/>
    <x v="0"/>
    <s v="Yes"/>
    <x v="2"/>
    <n v="5265.5"/>
    <x v="2"/>
    <s v="High Spend"/>
  </r>
  <r>
    <s v="8138-EALND"/>
    <s v="Male"/>
    <x v="0"/>
    <n v="15"/>
    <x v="2"/>
    <x v="2"/>
    <n v="19.75"/>
    <n v="311.60000000000002"/>
    <x v="0"/>
    <s v="No"/>
    <x v="1"/>
    <n v="311.60000000000002"/>
    <x v="1"/>
    <s v="Standard Spend"/>
  </r>
  <r>
    <s v="3580-HYCSP"/>
    <s v="Male"/>
    <x v="2"/>
    <n v="72"/>
    <x v="1"/>
    <x v="0"/>
    <n v="110.3"/>
    <n v="7966.9"/>
    <x v="0"/>
    <s v="Yes"/>
    <x v="2"/>
    <n v="7966.9"/>
    <x v="2"/>
    <s v="High Spend"/>
  </r>
  <r>
    <s v="1352-HNSAW"/>
    <s v="Female"/>
    <x v="2"/>
    <n v="72"/>
    <x v="1"/>
    <x v="1"/>
    <n v="115.6"/>
    <n v="8220.4"/>
    <x v="0"/>
    <s v="Yes"/>
    <x v="2"/>
    <n v="8220.4"/>
    <x v="2"/>
    <s v="High Spend"/>
  </r>
  <r>
    <s v="2075-PUEPR"/>
    <s v="Male"/>
    <x v="2"/>
    <n v="55"/>
    <x v="2"/>
    <x v="2"/>
    <n v="19.350000000000001"/>
    <n v="1153.25"/>
    <x v="0"/>
    <s v="No"/>
    <x v="2"/>
    <n v="1153.25"/>
    <x v="2"/>
    <s v="Standard Spend"/>
  </r>
  <r>
    <s v="1982-FEBTD"/>
    <s v="Female"/>
    <x v="2"/>
    <n v="23"/>
    <x v="2"/>
    <x v="2"/>
    <n v="25.6"/>
    <n v="514.75"/>
    <x v="0"/>
    <s v="Yes"/>
    <x v="3"/>
    <n v="514.75"/>
    <x v="1"/>
    <s v="Standard Spend"/>
  </r>
  <r>
    <s v="5301-GAUUY"/>
    <s v="Male"/>
    <x v="0"/>
    <n v="32"/>
    <x v="1"/>
    <x v="0"/>
    <n v="80.349999999999994"/>
    <n v="2596.15"/>
    <x v="1"/>
    <s v="Yes"/>
    <x v="2"/>
    <n v="2596.15"/>
    <x v="1"/>
    <s v="High Spend"/>
  </r>
  <r>
    <s v="5791-KAJFD"/>
    <s v="Female"/>
    <x v="1"/>
    <n v="56"/>
    <x v="0"/>
    <x v="0"/>
    <n v="68.75"/>
    <n v="3808"/>
    <x v="0"/>
    <s v="Yes"/>
    <x v="2"/>
    <n v="3808"/>
    <x v="2"/>
    <s v="High Spend"/>
  </r>
  <r>
    <s v="2654-VBVPB"/>
    <s v="Female"/>
    <x v="0"/>
    <n v="1"/>
    <x v="2"/>
    <x v="2"/>
    <n v="19.899999999999999"/>
    <n v="19.899999999999999"/>
    <x v="0"/>
    <s v="No"/>
    <x v="2"/>
    <n v="19.899999999999999"/>
    <x v="0"/>
    <s v="Standard Spend"/>
  </r>
  <r>
    <s v="1154-HYWWO"/>
    <s v="Male"/>
    <x v="1"/>
    <n v="38"/>
    <x v="0"/>
    <x v="1"/>
    <n v="70.599999999999994"/>
    <n v="2708.2"/>
    <x v="0"/>
    <s v="No"/>
    <x v="1"/>
    <n v="2708.2"/>
    <x v="2"/>
    <s v="High Spend"/>
  </r>
  <r>
    <s v="2501-XWWTZ"/>
    <s v="Male"/>
    <x v="0"/>
    <n v="11"/>
    <x v="1"/>
    <x v="0"/>
    <n v="70.2"/>
    <n v="760.05"/>
    <x v="0"/>
    <s v="No"/>
    <x v="0"/>
    <n v="760.05"/>
    <x v="0"/>
    <s v="Standard Spend"/>
  </r>
  <r>
    <s v="3716-UVSPD"/>
    <s v="Male"/>
    <x v="0"/>
    <n v="1"/>
    <x v="0"/>
    <x v="1"/>
    <n v="49.3"/>
    <n v="49.3"/>
    <x v="0"/>
    <s v="Yes"/>
    <x v="0"/>
    <n v="49.3"/>
    <x v="0"/>
    <s v="Standard Spend"/>
  </r>
  <r>
    <s v="6815-ABQFQ"/>
    <s v="Male"/>
    <x v="1"/>
    <n v="56"/>
    <x v="1"/>
    <x v="1"/>
    <n v="107.25"/>
    <n v="6033.3"/>
    <x v="0"/>
    <s v="Yes"/>
    <x v="0"/>
    <n v="6033.3"/>
    <x v="2"/>
    <s v="High Spend"/>
  </r>
  <r>
    <s v="7343-EOBEU"/>
    <s v="Male"/>
    <x v="0"/>
    <n v="3"/>
    <x v="2"/>
    <x v="2"/>
    <n v="23.6"/>
    <n v="89.05"/>
    <x v="0"/>
    <s v="Yes"/>
    <x v="1"/>
    <n v="89.05"/>
    <x v="0"/>
    <s v="Standard Spend"/>
  </r>
  <r>
    <s v="3701-SFMUH"/>
    <s v="Male"/>
    <x v="0"/>
    <n v="7"/>
    <x v="0"/>
    <x v="0"/>
    <n v="69.7"/>
    <n v="516.15"/>
    <x v="0"/>
    <s v="No"/>
    <x v="3"/>
    <n v="516.15"/>
    <x v="0"/>
    <s v="Standard Spend"/>
  </r>
  <r>
    <s v="6103-LIANB"/>
    <s v="Male"/>
    <x v="2"/>
    <n v="59"/>
    <x v="1"/>
    <x v="0"/>
    <n v="99.5"/>
    <n v="5861.75"/>
    <x v="0"/>
    <s v="Yes"/>
    <x v="3"/>
    <n v="5861.75"/>
    <x v="2"/>
    <s v="High Spend"/>
  </r>
  <r>
    <s v="7319-VENRZ"/>
    <s v="Male"/>
    <x v="0"/>
    <n v="7"/>
    <x v="0"/>
    <x v="1"/>
    <n v="64.3"/>
    <n v="445.95"/>
    <x v="0"/>
    <s v="No"/>
    <x v="2"/>
    <n v="445.95"/>
    <x v="0"/>
    <s v="Standard Spend"/>
  </r>
  <r>
    <s v="5846-NEQVZ"/>
    <s v="Male"/>
    <x v="2"/>
    <n v="71"/>
    <x v="0"/>
    <x v="1"/>
    <n v="70.849999999999994"/>
    <n v="4973.3999999999996"/>
    <x v="0"/>
    <s v="Yes"/>
    <x v="3"/>
    <n v="4973.3999999999996"/>
    <x v="2"/>
    <s v="High Spend"/>
  </r>
  <r>
    <s v="6967-QIQRV"/>
    <s v="Male"/>
    <x v="1"/>
    <n v="15"/>
    <x v="1"/>
    <x v="1"/>
    <n v="101.9"/>
    <n v="1667.25"/>
    <x v="0"/>
    <s v="No"/>
    <x v="0"/>
    <n v="1667.25"/>
    <x v="1"/>
    <s v="Standard Spend"/>
  </r>
  <r>
    <s v="5781-RFZRP"/>
    <s v="Male"/>
    <x v="2"/>
    <n v="71"/>
    <x v="0"/>
    <x v="1"/>
    <n v="73.5"/>
    <n v="5357.75"/>
    <x v="0"/>
    <s v="No"/>
    <x v="3"/>
    <n v="5357.75"/>
    <x v="2"/>
    <s v="High Spend"/>
  </r>
  <r>
    <s v="0939-YAPAF"/>
    <s v="Female"/>
    <x v="0"/>
    <n v="35"/>
    <x v="1"/>
    <x v="0"/>
    <n v="100.25"/>
    <n v="3527.6"/>
    <x v="1"/>
    <s v="Yes"/>
    <x v="0"/>
    <n v="3527.6"/>
    <x v="1"/>
    <s v="High Spend"/>
  </r>
  <r>
    <s v="0308-IVGOK"/>
    <s v="Female"/>
    <x v="1"/>
    <n v="11"/>
    <x v="0"/>
    <x v="1"/>
    <n v="40.4"/>
    <n v="422.6"/>
    <x v="0"/>
    <s v="Yes"/>
    <x v="3"/>
    <n v="422.6"/>
    <x v="0"/>
    <s v="Standard Spend"/>
  </r>
  <r>
    <s v="7293-LSCDV"/>
    <s v="Female"/>
    <x v="2"/>
    <n v="60"/>
    <x v="2"/>
    <x v="2"/>
    <n v="19.25"/>
    <n v="1103.25"/>
    <x v="0"/>
    <s v="Yes"/>
    <x v="3"/>
    <n v="1103.25"/>
    <x v="2"/>
    <s v="Standard Spend"/>
  </r>
  <r>
    <s v="7025-WCBNE"/>
    <s v="Male"/>
    <x v="2"/>
    <n v="47"/>
    <x v="0"/>
    <x v="1"/>
    <n v="59.6"/>
    <n v="2754"/>
    <x v="0"/>
    <s v="No"/>
    <x v="2"/>
    <n v="2754"/>
    <x v="2"/>
    <s v="High Spend"/>
  </r>
  <r>
    <s v="5756-JYOJT"/>
    <s v="Female"/>
    <x v="1"/>
    <n v="11"/>
    <x v="0"/>
    <x v="1"/>
    <n v="64.900000000000006"/>
    <n v="697.25"/>
    <x v="0"/>
    <s v="No"/>
    <x v="3"/>
    <n v="697.25"/>
    <x v="0"/>
    <s v="Standard Spend"/>
  </r>
  <r>
    <s v="4710-FDUIZ"/>
    <s v="Male"/>
    <x v="1"/>
    <n v="56"/>
    <x v="1"/>
    <x v="0"/>
    <n v="100.3"/>
    <n v="5614.45"/>
    <x v="1"/>
    <s v="No"/>
    <x v="3"/>
    <n v="5614.45"/>
    <x v="2"/>
    <s v="High Spend"/>
  </r>
  <r>
    <s v="6030-REHUX"/>
    <s v="Female"/>
    <x v="0"/>
    <n v="28"/>
    <x v="1"/>
    <x v="1"/>
    <n v="110.85"/>
    <n v="3204.4"/>
    <x v="0"/>
    <s v="Yes"/>
    <x v="0"/>
    <n v="3204.4"/>
    <x v="1"/>
    <s v="High Spend"/>
  </r>
  <r>
    <s v="9548-LIGTA"/>
    <s v="Male"/>
    <x v="2"/>
    <n v="61"/>
    <x v="0"/>
    <x v="1"/>
    <n v="81.05"/>
    <n v="4747.6499999999996"/>
    <x v="0"/>
    <s v="Yes"/>
    <x v="1"/>
    <n v="4747.6499999999996"/>
    <x v="2"/>
    <s v="High Spend"/>
  </r>
  <r>
    <s v="5150-LJNSR"/>
    <s v="Male"/>
    <x v="1"/>
    <n v="31"/>
    <x v="1"/>
    <x v="0"/>
    <n v="98.05"/>
    <n v="3082.1"/>
    <x v="0"/>
    <s v="No"/>
    <x v="2"/>
    <n v="3082.1"/>
    <x v="1"/>
    <s v="High Spend"/>
  </r>
  <r>
    <s v="8270-RKSAP"/>
    <s v="Male"/>
    <x v="0"/>
    <n v="9"/>
    <x v="1"/>
    <x v="0"/>
    <n v="70.5"/>
    <n v="597.9"/>
    <x v="0"/>
    <s v="Yes"/>
    <x v="0"/>
    <n v="597.9"/>
    <x v="0"/>
    <s v="Standard Spend"/>
  </r>
  <r>
    <s v="6522-YRBXD"/>
    <s v="Male"/>
    <x v="0"/>
    <n v="35"/>
    <x v="1"/>
    <x v="0"/>
    <n v="94.55"/>
    <n v="3365.4"/>
    <x v="0"/>
    <s v="Yes"/>
    <x v="0"/>
    <n v="3365.4"/>
    <x v="1"/>
    <s v="High Spend"/>
  </r>
  <r>
    <s v="2640-LYMOV"/>
    <s v="Male"/>
    <x v="0"/>
    <n v="2"/>
    <x v="2"/>
    <x v="2"/>
    <n v="19.649999999999999"/>
    <n v="38.799999999999997"/>
    <x v="0"/>
    <s v="Yes"/>
    <x v="1"/>
    <n v="38.799999999999997"/>
    <x v="0"/>
    <s v="Standard Spend"/>
  </r>
  <r>
    <s v="1218-VKFPE"/>
    <s v="Female"/>
    <x v="0"/>
    <n v="12"/>
    <x v="2"/>
    <x v="2"/>
    <n v="19"/>
    <n v="233.55"/>
    <x v="1"/>
    <s v="No"/>
    <x v="1"/>
    <n v="233.55"/>
    <x v="0"/>
    <s v="Standard Spend"/>
  </r>
  <r>
    <s v="3627-FHKBK"/>
    <s v="Female"/>
    <x v="0"/>
    <n v="1"/>
    <x v="1"/>
    <x v="0"/>
    <n v="75.3"/>
    <n v="75.3"/>
    <x v="1"/>
    <s v="No"/>
    <x v="1"/>
    <n v="75.3"/>
    <x v="0"/>
    <s v="Standard Spend"/>
  </r>
  <r>
    <s v="2865-TCHJW"/>
    <s v="Female"/>
    <x v="0"/>
    <n v="4"/>
    <x v="1"/>
    <x v="0"/>
    <n v="89.2"/>
    <n v="346.2"/>
    <x v="1"/>
    <s v="Yes"/>
    <x v="0"/>
    <n v="346.2"/>
    <x v="0"/>
    <s v="Standard Spend"/>
  </r>
  <r>
    <s v="1423-BMPBQ"/>
    <s v="Female"/>
    <x v="0"/>
    <n v="1"/>
    <x v="2"/>
    <x v="2"/>
    <n v="19"/>
    <n v="19"/>
    <x v="0"/>
    <s v="Yes"/>
    <x v="1"/>
    <n v="19"/>
    <x v="0"/>
    <s v="Standard Spend"/>
  </r>
  <r>
    <s v="2393-DIVAI"/>
    <s v="Female"/>
    <x v="0"/>
    <n v="3"/>
    <x v="2"/>
    <x v="2"/>
    <n v="20"/>
    <n v="61.7"/>
    <x v="0"/>
    <s v="Yes"/>
    <x v="1"/>
    <n v="61.7"/>
    <x v="0"/>
    <s v="Standard Spend"/>
  </r>
  <r>
    <s v="5192-EBGOV"/>
    <s v="Female"/>
    <x v="0"/>
    <n v="1"/>
    <x v="1"/>
    <x v="0"/>
    <n v="85.7"/>
    <n v="85.7"/>
    <x v="1"/>
    <s v="Yes"/>
    <x v="0"/>
    <n v="85.7"/>
    <x v="0"/>
    <s v="Standard Spend"/>
  </r>
  <r>
    <s v="4568-KNYWR"/>
    <s v="Male"/>
    <x v="2"/>
    <n v="52"/>
    <x v="0"/>
    <x v="0"/>
    <n v="63.25"/>
    <n v="3342.45"/>
    <x v="0"/>
    <s v="Yes"/>
    <x v="3"/>
    <n v="3342.45"/>
    <x v="2"/>
    <s v="High Spend"/>
  </r>
  <r>
    <s v="8752-IMQOS"/>
    <s v="Male"/>
    <x v="1"/>
    <n v="5"/>
    <x v="2"/>
    <x v="2"/>
    <n v="20.100000000000001"/>
    <n v="85.1"/>
    <x v="0"/>
    <s v="No"/>
    <x v="1"/>
    <n v="85.1"/>
    <x v="0"/>
    <s v="Standard Spend"/>
  </r>
  <r>
    <s v="0742-LAFQK"/>
    <s v="Male"/>
    <x v="2"/>
    <n v="72"/>
    <x v="1"/>
    <x v="0"/>
    <n v="99.15"/>
    <n v="7422.1"/>
    <x v="0"/>
    <s v="Yes"/>
    <x v="0"/>
    <n v="7422.1"/>
    <x v="2"/>
    <s v="High Spend"/>
  </r>
  <r>
    <s v="0795-LAFGP"/>
    <s v="Male"/>
    <x v="2"/>
    <n v="71"/>
    <x v="0"/>
    <x v="1"/>
    <n v="90.4"/>
    <n v="6668.05"/>
    <x v="0"/>
    <s v="No"/>
    <x v="0"/>
    <n v="6668.05"/>
    <x v="2"/>
    <s v="High Spend"/>
  </r>
  <r>
    <s v="0619-OLYUR"/>
    <s v="Male"/>
    <x v="2"/>
    <n v="72"/>
    <x v="1"/>
    <x v="1"/>
    <n v="111.9"/>
    <n v="8071.05"/>
    <x v="0"/>
    <s v="Yes"/>
    <x v="3"/>
    <n v="8071.05"/>
    <x v="2"/>
    <s v="High Spend"/>
  </r>
  <r>
    <s v="5512-IDZEI"/>
    <s v="Male"/>
    <x v="1"/>
    <n v="46"/>
    <x v="2"/>
    <x v="2"/>
    <n v="24.9"/>
    <n v="1174.8"/>
    <x v="0"/>
    <s v="No"/>
    <x v="0"/>
    <n v="1174.8"/>
    <x v="2"/>
    <s v="Standard Spend"/>
  </r>
  <r>
    <s v="0459-SPZHJ"/>
    <s v="Male"/>
    <x v="2"/>
    <n v="63"/>
    <x v="0"/>
    <x v="0"/>
    <n v="83.5"/>
    <n v="5435"/>
    <x v="0"/>
    <s v="No"/>
    <x v="3"/>
    <n v="5435"/>
    <x v="2"/>
    <s v="High Spend"/>
  </r>
  <r>
    <s v="0215-BQKGS"/>
    <s v="Male"/>
    <x v="0"/>
    <n v="30"/>
    <x v="1"/>
    <x v="0"/>
    <n v="84.3"/>
    <n v="2438.6"/>
    <x v="0"/>
    <s v="Yes"/>
    <x v="3"/>
    <n v="2438.6"/>
    <x v="1"/>
    <s v="Standard Spend"/>
  </r>
  <r>
    <s v="9244-ZVAPM"/>
    <s v="Male"/>
    <x v="0"/>
    <n v="1"/>
    <x v="0"/>
    <x v="0"/>
    <n v="45.6"/>
    <n v="45.6"/>
    <x v="0"/>
    <s v="No"/>
    <x v="1"/>
    <n v="45.6"/>
    <x v="0"/>
    <s v="Standard Spend"/>
  </r>
  <r>
    <s v="0719-SYFRB"/>
    <s v="Female"/>
    <x v="0"/>
    <n v="12"/>
    <x v="0"/>
    <x v="1"/>
    <n v="61.65"/>
    <n v="713.75"/>
    <x v="1"/>
    <s v="Yes"/>
    <x v="1"/>
    <n v="713.75"/>
    <x v="0"/>
    <s v="Standard Spend"/>
  </r>
  <r>
    <s v="8208-EUMTE"/>
    <s v="Male"/>
    <x v="2"/>
    <n v="16"/>
    <x v="0"/>
    <x v="1"/>
    <n v="54.85"/>
    <n v="916.15"/>
    <x v="0"/>
    <s v="No"/>
    <x v="1"/>
    <n v="916.15"/>
    <x v="1"/>
    <s v="Standard Spend"/>
  </r>
  <r>
    <s v="5172-MIGPM"/>
    <s v="Male"/>
    <x v="0"/>
    <n v="4"/>
    <x v="0"/>
    <x v="1"/>
    <n v="65.55"/>
    <n v="237.2"/>
    <x v="0"/>
    <s v="No"/>
    <x v="1"/>
    <n v="237.2"/>
    <x v="0"/>
    <s v="Standard Spend"/>
  </r>
  <r>
    <s v="1710-RCXUS"/>
    <s v="Male"/>
    <x v="1"/>
    <n v="51"/>
    <x v="1"/>
    <x v="0"/>
    <n v="90.35"/>
    <n v="4614.55"/>
    <x v="0"/>
    <s v="Yes"/>
    <x v="3"/>
    <n v="4614.55"/>
    <x v="2"/>
    <s v="High Spend"/>
  </r>
  <r>
    <s v="0374-FIUCA"/>
    <s v="Male"/>
    <x v="2"/>
    <n v="65"/>
    <x v="2"/>
    <x v="2"/>
    <n v="20.399999999999999"/>
    <n v="1414.45"/>
    <x v="0"/>
    <s v="Yes"/>
    <x v="3"/>
    <n v="1414.45"/>
    <x v="2"/>
    <s v="Standard Spend"/>
  </r>
  <r>
    <s v="5839-SUYVZ"/>
    <s v="Male"/>
    <x v="0"/>
    <n v="16"/>
    <x v="1"/>
    <x v="1"/>
    <n v="74.55"/>
    <n v="1170.5"/>
    <x v="0"/>
    <s v="Yes"/>
    <x v="3"/>
    <n v="1170.5"/>
    <x v="1"/>
    <s v="Standard Spend"/>
  </r>
  <r>
    <s v="5173-ZXXXL"/>
    <s v="Male"/>
    <x v="1"/>
    <n v="2"/>
    <x v="2"/>
    <x v="2"/>
    <n v="19.95"/>
    <n v="47.7"/>
    <x v="0"/>
    <s v="No"/>
    <x v="1"/>
    <n v="47.7"/>
    <x v="0"/>
    <s v="Standard Spend"/>
  </r>
  <r>
    <s v="1096-ADRUX"/>
    <s v="Female"/>
    <x v="1"/>
    <n v="66"/>
    <x v="1"/>
    <x v="0"/>
    <n v="74.25"/>
    <n v="4859.25"/>
    <x v="0"/>
    <s v="Yes"/>
    <x v="2"/>
    <n v="4859.25"/>
    <x v="2"/>
    <s v="High Spend"/>
  </r>
  <r>
    <s v="2001-MCUUW"/>
    <s v="Male"/>
    <x v="2"/>
    <n v="46"/>
    <x v="1"/>
    <x v="1"/>
    <n v="108.65"/>
    <n v="4903.2"/>
    <x v="0"/>
    <s v="No"/>
    <x v="0"/>
    <n v="4903.2"/>
    <x v="2"/>
    <s v="High Spend"/>
  </r>
  <r>
    <s v="2731-GJRDG"/>
    <s v="Female"/>
    <x v="1"/>
    <n v="32"/>
    <x v="1"/>
    <x v="1"/>
    <n v="109.55"/>
    <n v="3608"/>
    <x v="0"/>
    <s v="Yes"/>
    <x v="2"/>
    <n v="3608"/>
    <x v="1"/>
    <s v="High Spend"/>
  </r>
  <r>
    <s v="4723-BEGSG"/>
    <s v="Male"/>
    <x v="2"/>
    <n v="72"/>
    <x v="0"/>
    <x v="1"/>
    <n v="86.65"/>
    <n v="6094.25"/>
    <x v="0"/>
    <s v="No"/>
    <x v="3"/>
    <n v="6094.25"/>
    <x v="2"/>
    <s v="High Spend"/>
  </r>
  <r>
    <s v="6516-NKQBO"/>
    <s v="Male"/>
    <x v="2"/>
    <n v="38"/>
    <x v="0"/>
    <x v="1"/>
    <n v="81"/>
    <n v="3084.9"/>
    <x v="0"/>
    <s v="No"/>
    <x v="3"/>
    <n v="3084.9"/>
    <x v="2"/>
    <s v="High Spend"/>
  </r>
  <r>
    <s v="8672-OAUPW"/>
    <s v="Male"/>
    <x v="1"/>
    <n v="51"/>
    <x v="0"/>
    <x v="1"/>
    <n v="47.85"/>
    <n v="2356.75"/>
    <x v="0"/>
    <s v="No"/>
    <x v="3"/>
    <n v="2356.75"/>
    <x v="2"/>
    <s v="Standard Spend"/>
  </r>
  <r>
    <s v="8207-DMRVL"/>
    <s v="Male"/>
    <x v="2"/>
    <n v="72"/>
    <x v="1"/>
    <x v="1"/>
    <n v="114.55"/>
    <n v="8306.0499999999993"/>
    <x v="0"/>
    <s v="No"/>
    <x v="2"/>
    <n v="8306.0499999999993"/>
    <x v="2"/>
    <s v="High Spend"/>
  </r>
  <r>
    <s v="3419-SNJJD"/>
    <s v="Female"/>
    <x v="0"/>
    <n v="65"/>
    <x v="1"/>
    <x v="0"/>
    <n v="105.25"/>
    <n v="6786.4"/>
    <x v="1"/>
    <s v="No"/>
    <x v="2"/>
    <n v="6786.4"/>
    <x v="2"/>
    <s v="High Spend"/>
  </r>
  <r>
    <s v="6543-CPZMK"/>
    <s v="Male"/>
    <x v="0"/>
    <n v="9"/>
    <x v="0"/>
    <x v="0"/>
    <n v="29.95"/>
    <n v="248.95"/>
    <x v="1"/>
    <s v="Yes"/>
    <x v="0"/>
    <n v="248.95"/>
    <x v="0"/>
    <s v="Standard Spend"/>
  </r>
  <r>
    <s v="4765-OXPPD"/>
    <s v="Female"/>
    <x v="0"/>
    <n v="9"/>
    <x v="0"/>
    <x v="1"/>
    <n v="65"/>
    <n v="663.05"/>
    <x v="1"/>
    <s v="No"/>
    <x v="1"/>
    <n v="663.05"/>
    <x v="0"/>
    <s v="Standard Spend"/>
  </r>
  <r>
    <s v="2804-ETQDK"/>
    <s v="Male"/>
    <x v="2"/>
    <n v="66"/>
    <x v="2"/>
    <x v="2"/>
    <n v="20.55"/>
    <n v="1357.1"/>
    <x v="0"/>
    <s v="No"/>
    <x v="1"/>
    <n v="1357.1"/>
    <x v="2"/>
    <s v="Standard Spend"/>
  </r>
  <r>
    <s v="6689-VRRTK"/>
    <s v="Female"/>
    <x v="1"/>
    <n v="44"/>
    <x v="1"/>
    <x v="0"/>
    <n v="109.8"/>
    <n v="4860.3500000000004"/>
    <x v="0"/>
    <s v="Yes"/>
    <x v="3"/>
    <n v="4860.3500000000004"/>
    <x v="2"/>
    <s v="High Spend"/>
  </r>
  <r>
    <s v="7138-GIRSH"/>
    <s v="Male"/>
    <x v="2"/>
    <n v="50"/>
    <x v="0"/>
    <x v="1"/>
    <n v="69.5"/>
    <n v="3418.2"/>
    <x v="0"/>
    <s v="No"/>
    <x v="2"/>
    <n v="3418.2"/>
    <x v="2"/>
    <s v="High Spend"/>
  </r>
  <r>
    <s v="9396-ZSFLL"/>
    <s v="Female"/>
    <x v="0"/>
    <n v="15"/>
    <x v="0"/>
    <x v="0"/>
    <n v="48.85"/>
    <n v="631.4"/>
    <x v="0"/>
    <s v="No"/>
    <x v="1"/>
    <n v="631.4"/>
    <x v="1"/>
    <s v="Standard Spend"/>
  </r>
  <r>
    <s v="6464-KEXXH"/>
    <s v="Male"/>
    <x v="0"/>
    <n v="8"/>
    <x v="0"/>
    <x v="0"/>
    <n v="25.25"/>
    <n v="186.3"/>
    <x v="0"/>
    <s v="Yes"/>
    <x v="3"/>
    <n v="186.3"/>
    <x v="0"/>
    <s v="Standard Spend"/>
  </r>
  <r>
    <s v="7134-MJPDY"/>
    <s v="Female"/>
    <x v="1"/>
    <n v="66"/>
    <x v="1"/>
    <x v="1"/>
    <n v="102.85"/>
    <n v="6976.75"/>
    <x v="0"/>
    <s v="Yes"/>
    <x v="3"/>
    <n v="6976.75"/>
    <x v="2"/>
    <s v="High Spend"/>
  </r>
  <r>
    <s v="5240-CAOYT"/>
    <s v="Female"/>
    <x v="0"/>
    <n v="57"/>
    <x v="1"/>
    <x v="1"/>
    <n v="87.55"/>
    <n v="4884.8500000000004"/>
    <x v="0"/>
    <s v="Yes"/>
    <x v="2"/>
    <n v="4884.8500000000004"/>
    <x v="2"/>
    <s v="High Spend"/>
  </r>
  <r>
    <s v="4059-IIEBK"/>
    <s v="Female"/>
    <x v="0"/>
    <n v="7"/>
    <x v="1"/>
    <x v="0"/>
    <n v="78.55"/>
    <n v="522.95000000000005"/>
    <x v="0"/>
    <s v="Yes"/>
    <x v="2"/>
    <n v="522.95000000000005"/>
    <x v="0"/>
    <s v="Standard Spend"/>
  </r>
  <r>
    <s v="4881-JVQOD"/>
    <s v="Male"/>
    <x v="0"/>
    <n v="10"/>
    <x v="0"/>
    <x v="0"/>
    <n v="34.549999999999997"/>
    <n v="362.6"/>
    <x v="0"/>
    <s v="Yes"/>
    <x v="2"/>
    <n v="362.6"/>
    <x v="0"/>
    <s v="Standard Spend"/>
  </r>
  <r>
    <s v="0516-UXRMT"/>
    <s v="Female"/>
    <x v="1"/>
    <n v="62"/>
    <x v="1"/>
    <x v="0"/>
    <n v="92.05"/>
    <n v="5755.8"/>
    <x v="0"/>
    <s v="Yes"/>
    <x v="0"/>
    <n v="5755.8"/>
    <x v="2"/>
    <s v="High Spend"/>
  </r>
  <r>
    <s v="4851-BQDNX"/>
    <s v="Male"/>
    <x v="1"/>
    <n v="40"/>
    <x v="1"/>
    <x v="0"/>
    <n v="85.05"/>
    <n v="3355.65"/>
    <x v="0"/>
    <s v="Yes"/>
    <x v="0"/>
    <n v="3355.65"/>
    <x v="2"/>
    <s v="High Spend"/>
  </r>
  <r>
    <s v="5148-HKFIR"/>
    <s v="Female"/>
    <x v="2"/>
    <n v="20"/>
    <x v="2"/>
    <x v="2"/>
    <n v="19.7"/>
    <n v="406.95"/>
    <x v="0"/>
    <s v="No"/>
    <x v="1"/>
    <n v="406.95"/>
    <x v="1"/>
    <s v="Standard Spend"/>
  </r>
  <r>
    <s v="1009-IRMNA"/>
    <s v="Female"/>
    <x v="0"/>
    <n v="7"/>
    <x v="2"/>
    <x v="2"/>
    <n v="20"/>
    <n v="137.6"/>
    <x v="1"/>
    <s v="No"/>
    <x v="2"/>
    <n v="137.6"/>
    <x v="0"/>
    <s v="Standard Spend"/>
  </r>
  <r>
    <s v="3003-CMDUU"/>
    <s v="Female"/>
    <x v="0"/>
    <n v="25"/>
    <x v="1"/>
    <x v="1"/>
    <n v="95.15"/>
    <n v="2395.6999999999998"/>
    <x v="0"/>
    <s v="Yes"/>
    <x v="0"/>
    <n v="2395.6999999999998"/>
    <x v="1"/>
    <s v="Standard Spend"/>
  </r>
  <r>
    <s v="5016-IBERQ"/>
    <s v="Male"/>
    <x v="0"/>
    <n v="23"/>
    <x v="1"/>
    <x v="0"/>
    <n v="84.25"/>
    <n v="1968.1"/>
    <x v="0"/>
    <s v="No"/>
    <x v="0"/>
    <n v="1968.1"/>
    <x v="1"/>
    <s v="Standard Spend"/>
  </r>
  <r>
    <s v="6797-UCJHZ"/>
    <s v="Female"/>
    <x v="1"/>
    <n v="66"/>
    <x v="1"/>
    <x v="0"/>
    <n v="104.6"/>
    <n v="6819.45"/>
    <x v="0"/>
    <s v="No"/>
    <x v="3"/>
    <n v="6819.45"/>
    <x v="2"/>
    <s v="High Spend"/>
  </r>
  <r>
    <s v="2469-DTSGX"/>
    <s v="Female"/>
    <x v="2"/>
    <n v="72"/>
    <x v="1"/>
    <x v="1"/>
    <n v="111.65"/>
    <n v="7943.45"/>
    <x v="0"/>
    <s v="No"/>
    <x v="0"/>
    <n v="7943.45"/>
    <x v="2"/>
    <s v="High Spend"/>
  </r>
  <r>
    <s v="4554-YGZIH"/>
    <s v="Male"/>
    <x v="0"/>
    <n v="49"/>
    <x v="1"/>
    <x v="0"/>
    <n v="90.05"/>
    <n v="4547.25"/>
    <x v="1"/>
    <s v="No"/>
    <x v="3"/>
    <n v="4547.25"/>
    <x v="2"/>
    <s v="High Spend"/>
  </r>
  <r>
    <s v="5099-BAILX"/>
    <s v="Male"/>
    <x v="0"/>
    <n v="43"/>
    <x v="1"/>
    <x v="1"/>
    <n v="110.75"/>
    <n v="4687.8999999999996"/>
    <x v="1"/>
    <s v="Yes"/>
    <x v="2"/>
    <n v="4687.8999999999996"/>
    <x v="2"/>
    <s v="High Spend"/>
  </r>
  <r>
    <s v="9931-KGHOA"/>
    <s v="Female"/>
    <x v="0"/>
    <n v="46"/>
    <x v="0"/>
    <x v="0"/>
    <n v="55"/>
    <n v="2473.9499999999998"/>
    <x v="0"/>
    <s v="No"/>
    <x v="2"/>
    <n v="2473.9499999999998"/>
    <x v="2"/>
    <s v="Standard Spend"/>
  </r>
  <r>
    <s v="1775-KWJKQ"/>
    <s v="Male"/>
    <x v="2"/>
    <n v="72"/>
    <x v="0"/>
    <x v="1"/>
    <n v="89.85"/>
    <n v="6562.9"/>
    <x v="0"/>
    <s v="No"/>
    <x v="3"/>
    <n v="6562.9"/>
    <x v="2"/>
    <s v="High Spend"/>
  </r>
  <r>
    <s v="7665-VIGUD"/>
    <s v="Male"/>
    <x v="1"/>
    <n v="10"/>
    <x v="2"/>
    <x v="2"/>
    <n v="20.350000000000001"/>
    <n v="176.3"/>
    <x v="0"/>
    <s v="No"/>
    <x v="1"/>
    <n v="176.3"/>
    <x v="0"/>
    <s v="Standard Spend"/>
  </r>
  <r>
    <s v="9411-TPQQV"/>
    <s v="Female"/>
    <x v="1"/>
    <n v="40"/>
    <x v="0"/>
    <x v="1"/>
    <n v="54.55"/>
    <n v="2236.1999999999998"/>
    <x v="0"/>
    <s v="Yes"/>
    <x v="2"/>
    <n v="2236.1999999999998"/>
    <x v="2"/>
    <s v="Standard Spend"/>
  </r>
  <r>
    <s v="7207-RMRDB"/>
    <s v="Female"/>
    <x v="0"/>
    <n v="65"/>
    <x v="1"/>
    <x v="0"/>
    <n v="105.5"/>
    <n v="6985.65"/>
    <x v="1"/>
    <s v="Yes"/>
    <x v="0"/>
    <n v="6985.65"/>
    <x v="2"/>
    <s v="High Spend"/>
  </r>
  <r>
    <s v="7954-MLBUN"/>
    <s v="Male"/>
    <x v="2"/>
    <n v="31"/>
    <x v="1"/>
    <x v="1"/>
    <n v="99.45"/>
    <n v="3109.9"/>
    <x v="0"/>
    <s v="No"/>
    <x v="2"/>
    <n v="3109.9"/>
    <x v="1"/>
    <s v="High Spend"/>
  </r>
  <r>
    <s v="2077-DDHJK"/>
    <s v="Female"/>
    <x v="2"/>
    <n v="68"/>
    <x v="0"/>
    <x v="1"/>
    <n v="70.900000000000006"/>
    <n v="4911.3500000000004"/>
    <x v="0"/>
    <s v="No"/>
    <x v="3"/>
    <n v="4911.3500000000004"/>
    <x v="2"/>
    <s v="High Spend"/>
  </r>
  <r>
    <s v="4913-EHYUI"/>
    <s v="Male"/>
    <x v="1"/>
    <n v="56"/>
    <x v="1"/>
    <x v="0"/>
    <n v="104.55"/>
    <n v="5794.65"/>
    <x v="1"/>
    <s v="Yes"/>
    <x v="2"/>
    <n v="5794.65"/>
    <x v="2"/>
    <s v="High Spend"/>
  </r>
  <r>
    <s v="0195-IESCP"/>
    <s v="Male"/>
    <x v="0"/>
    <n v="10"/>
    <x v="1"/>
    <x v="0"/>
    <n v="85.25"/>
    <n v="855.3"/>
    <x v="1"/>
    <s v="Yes"/>
    <x v="0"/>
    <n v="855.3"/>
    <x v="0"/>
    <s v="Standard Spend"/>
  </r>
  <r>
    <s v="9574-BOSMD"/>
    <s v="Male"/>
    <x v="2"/>
    <n v="68"/>
    <x v="2"/>
    <x v="2"/>
    <n v="25.4"/>
    <n v="1620.2"/>
    <x v="0"/>
    <s v="No"/>
    <x v="2"/>
    <n v="1620.2"/>
    <x v="2"/>
    <s v="Standard Spend"/>
  </r>
  <r>
    <s v="4580-TMHJU"/>
    <s v="Female"/>
    <x v="0"/>
    <n v="43"/>
    <x v="0"/>
    <x v="0"/>
    <n v="56.15"/>
    <n v="2499.3000000000002"/>
    <x v="1"/>
    <s v="No"/>
    <x v="0"/>
    <n v="2499.3000000000002"/>
    <x v="2"/>
    <s v="Standard Spend"/>
  </r>
  <r>
    <s v="0970-ETWGE"/>
    <s v="Male"/>
    <x v="0"/>
    <n v="1"/>
    <x v="1"/>
    <x v="0"/>
    <n v="89.55"/>
    <n v="89.55"/>
    <x v="1"/>
    <s v="Yes"/>
    <x v="0"/>
    <n v="89.55"/>
    <x v="0"/>
    <s v="Standard Spend"/>
  </r>
  <r>
    <s v="4908-XAXAY"/>
    <s v="Female"/>
    <x v="1"/>
    <n v="49"/>
    <x v="1"/>
    <x v="0"/>
    <n v="89.85"/>
    <n v="4287.2"/>
    <x v="0"/>
    <s v="Yes"/>
    <x v="2"/>
    <n v="4287.2"/>
    <x v="2"/>
    <s v="High Spend"/>
  </r>
  <r>
    <s v="8404-VLQFB"/>
    <s v="Female"/>
    <x v="0"/>
    <n v="15"/>
    <x v="2"/>
    <x v="2"/>
    <n v="25.25"/>
    <n v="394.85"/>
    <x v="0"/>
    <s v="Yes"/>
    <x v="0"/>
    <n v="394.85"/>
    <x v="1"/>
    <s v="Standard Spend"/>
  </r>
  <r>
    <s v="1626-ERCMM"/>
    <s v="Male"/>
    <x v="0"/>
    <n v="20"/>
    <x v="1"/>
    <x v="0"/>
    <n v="94.55"/>
    <n v="1899.65"/>
    <x v="1"/>
    <s v="Yes"/>
    <x v="0"/>
    <n v="1899.65"/>
    <x v="1"/>
    <s v="Standard Spend"/>
  </r>
  <r>
    <s v="0887-HJGAR"/>
    <s v="Male"/>
    <x v="0"/>
    <n v="1"/>
    <x v="0"/>
    <x v="0"/>
    <n v="45.7"/>
    <n v="45.7"/>
    <x v="1"/>
    <s v="Yes"/>
    <x v="1"/>
    <n v="45.7"/>
    <x v="0"/>
    <s v="Standard Spend"/>
  </r>
  <r>
    <s v="2391-IPLOP"/>
    <s v="Male"/>
    <x v="1"/>
    <n v="50"/>
    <x v="0"/>
    <x v="1"/>
    <n v="69.650000000000006"/>
    <n v="3442.15"/>
    <x v="0"/>
    <s v="Yes"/>
    <x v="0"/>
    <n v="3442.15"/>
    <x v="2"/>
    <s v="High Spend"/>
  </r>
  <r>
    <s v="5644-PDMZC"/>
    <s v="Female"/>
    <x v="0"/>
    <n v="2"/>
    <x v="1"/>
    <x v="0"/>
    <n v="89.5"/>
    <n v="161.5"/>
    <x v="1"/>
    <s v="No"/>
    <x v="0"/>
    <n v="161.5"/>
    <x v="0"/>
    <s v="Standard Spend"/>
  </r>
  <r>
    <s v="3509-GWQGF"/>
    <s v="Male"/>
    <x v="0"/>
    <n v="24"/>
    <x v="1"/>
    <x v="0"/>
    <n v="70"/>
    <n v="1732.6"/>
    <x v="0"/>
    <s v="No"/>
    <x v="3"/>
    <n v="1732.6"/>
    <x v="1"/>
    <s v="Standard Spend"/>
  </r>
  <r>
    <s v="9576-ANLXO"/>
    <s v="Female"/>
    <x v="0"/>
    <n v="3"/>
    <x v="1"/>
    <x v="0"/>
    <n v="69.55"/>
    <n v="222.3"/>
    <x v="1"/>
    <s v="Yes"/>
    <x v="2"/>
    <n v="222.3"/>
    <x v="0"/>
    <s v="Standard Spend"/>
  </r>
  <r>
    <s v="2024-BASKD"/>
    <s v="Female"/>
    <x v="0"/>
    <n v="1"/>
    <x v="1"/>
    <x v="0"/>
    <n v="74.599999999999994"/>
    <n v="74.599999999999994"/>
    <x v="1"/>
    <s v="Yes"/>
    <x v="1"/>
    <n v="74.599999999999994"/>
    <x v="0"/>
    <s v="Standard Spend"/>
  </r>
  <r>
    <s v="5845-BZZIB"/>
    <s v="Male"/>
    <x v="2"/>
    <n v="35"/>
    <x v="2"/>
    <x v="2"/>
    <n v="20.100000000000001"/>
    <n v="655.29999999999995"/>
    <x v="0"/>
    <s v="No"/>
    <x v="1"/>
    <n v="655.29999999999995"/>
    <x v="1"/>
    <s v="Standard Spend"/>
  </r>
  <r>
    <s v="1140-UKVZG"/>
    <s v="Female"/>
    <x v="0"/>
    <n v="17"/>
    <x v="2"/>
    <x v="2"/>
    <n v="24.8"/>
    <n v="475.25"/>
    <x v="0"/>
    <s v="No"/>
    <x v="1"/>
    <n v="475.25"/>
    <x v="1"/>
    <s v="Standard Spend"/>
  </r>
  <r>
    <s v="4160-AMJTL"/>
    <s v="Female"/>
    <x v="0"/>
    <n v="8"/>
    <x v="2"/>
    <x v="2"/>
    <n v="19.649999999999999"/>
    <n v="164.3"/>
    <x v="1"/>
    <s v="No"/>
    <x v="0"/>
    <n v="164.3"/>
    <x v="0"/>
    <s v="Standard Spend"/>
  </r>
  <r>
    <s v="5183-SNMJQ"/>
    <s v="Male"/>
    <x v="0"/>
    <n v="10"/>
    <x v="1"/>
    <x v="1"/>
    <n v="95.1"/>
    <n v="865.1"/>
    <x v="0"/>
    <s v="Yes"/>
    <x v="3"/>
    <n v="865.1"/>
    <x v="0"/>
    <s v="Standard Spend"/>
  </r>
  <r>
    <s v="8100-PNJMH"/>
    <s v="Male"/>
    <x v="2"/>
    <n v="68"/>
    <x v="0"/>
    <x v="1"/>
    <n v="88.85"/>
    <n v="6132.7"/>
    <x v="0"/>
    <s v="Yes"/>
    <x v="3"/>
    <n v="6132.7"/>
    <x v="2"/>
    <s v="High Spend"/>
  </r>
  <r>
    <s v="7838-LAZFO"/>
    <s v="Male"/>
    <x v="1"/>
    <n v="45"/>
    <x v="0"/>
    <x v="0"/>
    <n v="78.8"/>
    <n v="3597.5"/>
    <x v="0"/>
    <s v="No"/>
    <x v="2"/>
    <n v="3597.5"/>
    <x v="2"/>
    <s v="High Spend"/>
  </r>
  <r>
    <s v="4464-JCOLN"/>
    <s v="Male"/>
    <x v="1"/>
    <n v="2"/>
    <x v="2"/>
    <x v="2"/>
    <n v="19.850000000000001"/>
    <n v="35.9"/>
    <x v="1"/>
    <s v="No"/>
    <x v="1"/>
    <n v="35.9"/>
    <x v="0"/>
    <s v="Standard Spend"/>
  </r>
  <r>
    <s v="2085-JVGAD"/>
    <s v="Male"/>
    <x v="0"/>
    <n v="37"/>
    <x v="2"/>
    <x v="2"/>
    <n v="20.350000000000001"/>
    <n v="697.65"/>
    <x v="0"/>
    <s v="No"/>
    <x v="2"/>
    <n v="697.65"/>
    <x v="2"/>
    <s v="Standard Spend"/>
  </r>
  <r>
    <s v="5650-VDUDS"/>
    <s v="Female"/>
    <x v="0"/>
    <n v="4"/>
    <x v="0"/>
    <x v="0"/>
    <n v="24.25"/>
    <n v="96.05"/>
    <x v="1"/>
    <s v="Yes"/>
    <x v="1"/>
    <n v="96.05"/>
    <x v="0"/>
    <s v="Standard Spend"/>
  </r>
  <r>
    <s v="8095-WANWK"/>
    <s v="Female"/>
    <x v="0"/>
    <n v="10"/>
    <x v="0"/>
    <x v="0"/>
    <n v="45.25"/>
    <n v="428.7"/>
    <x v="0"/>
    <s v="No"/>
    <x v="1"/>
    <n v="428.7"/>
    <x v="0"/>
    <s v="Standard Spend"/>
  </r>
  <r>
    <s v="3030-ZKIWL"/>
    <s v="Male"/>
    <x v="0"/>
    <n v="1"/>
    <x v="2"/>
    <x v="2"/>
    <n v="20.05"/>
    <n v="20.05"/>
    <x v="0"/>
    <s v="No"/>
    <x v="1"/>
    <n v="20.05"/>
    <x v="0"/>
    <s v="Standard Spend"/>
  </r>
  <r>
    <s v="9565-FLVCG"/>
    <s v="Male"/>
    <x v="2"/>
    <n v="65"/>
    <x v="0"/>
    <x v="0"/>
    <n v="69.55"/>
    <n v="4459.1499999999996"/>
    <x v="0"/>
    <s v="Yes"/>
    <x v="1"/>
    <n v="4459.1499999999996"/>
    <x v="2"/>
    <s v="High Spend"/>
  </r>
  <r>
    <s v="8755-OGKNA"/>
    <s v="Female"/>
    <x v="2"/>
    <n v="57"/>
    <x v="2"/>
    <x v="2"/>
    <n v="19.5"/>
    <n v="1167.5999999999999"/>
    <x v="0"/>
    <s v="No"/>
    <x v="2"/>
    <n v="1167.5999999999999"/>
    <x v="2"/>
    <s v="Standard Spend"/>
  </r>
  <r>
    <s v="2800-VEQXM"/>
    <s v="Female"/>
    <x v="0"/>
    <n v="3"/>
    <x v="1"/>
    <x v="0"/>
    <n v="74.75"/>
    <n v="238.1"/>
    <x v="0"/>
    <s v="Yes"/>
    <x v="1"/>
    <n v="238.1"/>
    <x v="0"/>
    <s v="Standard Spend"/>
  </r>
  <r>
    <s v="7538-GWHML"/>
    <s v="Female"/>
    <x v="0"/>
    <n v="2"/>
    <x v="1"/>
    <x v="0"/>
    <n v="69.650000000000006"/>
    <n v="145.15"/>
    <x v="1"/>
    <s v="No"/>
    <x v="0"/>
    <n v="145.15"/>
    <x v="0"/>
    <s v="Standard Spend"/>
  </r>
  <r>
    <s v="5533-RJFTJ"/>
    <s v="Male"/>
    <x v="0"/>
    <n v="49"/>
    <x v="0"/>
    <x v="0"/>
    <n v="30.2"/>
    <n v="1453.1"/>
    <x v="0"/>
    <s v="Yes"/>
    <x v="2"/>
    <n v="1453.1"/>
    <x v="2"/>
    <s v="Standard Spend"/>
  </r>
  <r>
    <s v="3859-CVCET"/>
    <s v="Female"/>
    <x v="0"/>
    <n v="4"/>
    <x v="0"/>
    <x v="0"/>
    <n v="45.65"/>
    <n v="191.05"/>
    <x v="1"/>
    <s v="No"/>
    <x v="1"/>
    <n v="191.05"/>
    <x v="0"/>
    <s v="Standard Spend"/>
  </r>
  <r>
    <s v="0214-JHPFW"/>
    <s v="Female"/>
    <x v="2"/>
    <n v="70"/>
    <x v="0"/>
    <x v="1"/>
    <n v="57.8"/>
    <n v="4039.3"/>
    <x v="0"/>
    <s v="No"/>
    <x v="2"/>
    <n v="4039.3"/>
    <x v="2"/>
    <s v="High Spend"/>
  </r>
  <r>
    <s v="5642-MHDQT"/>
    <s v="Female"/>
    <x v="1"/>
    <n v="53"/>
    <x v="2"/>
    <x v="2"/>
    <n v="19.850000000000001"/>
    <n v="1039.45"/>
    <x v="0"/>
    <s v="Yes"/>
    <x v="2"/>
    <n v="1039.45"/>
    <x v="2"/>
    <s v="Standard Spend"/>
  </r>
  <r>
    <s v="3088-FVYWK"/>
    <s v="Male"/>
    <x v="2"/>
    <n v="53"/>
    <x v="2"/>
    <x v="2"/>
    <n v="25.55"/>
    <n v="1336.1"/>
    <x v="0"/>
    <s v="No"/>
    <x v="3"/>
    <n v="1336.1"/>
    <x v="2"/>
    <s v="Standard Spend"/>
  </r>
  <r>
    <s v="3276-HDUEG"/>
    <s v="Female"/>
    <x v="0"/>
    <n v="1"/>
    <x v="1"/>
    <x v="0"/>
    <n v="75.05"/>
    <n v="75.05"/>
    <x v="1"/>
    <s v="Yes"/>
    <x v="1"/>
    <n v="75.05"/>
    <x v="0"/>
    <s v="Standard Spend"/>
  </r>
  <r>
    <s v="9092-GDZKO"/>
    <s v="Male"/>
    <x v="0"/>
    <n v="22"/>
    <x v="2"/>
    <x v="2"/>
    <n v="24.85"/>
    <n v="493.4"/>
    <x v="0"/>
    <s v="Yes"/>
    <x v="3"/>
    <n v="493.4"/>
    <x v="1"/>
    <s v="Standard Spend"/>
  </r>
  <r>
    <s v="0823-HSCDJ"/>
    <s v="Male"/>
    <x v="0"/>
    <n v="52"/>
    <x v="0"/>
    <x v="0"/>
    <n v="49.15"/>
    <n v="2550.9"/>
    <x v="1"/>
    <s v="Yes"/>
    <x v="0"/>
    <n v="2550.9"/>
    <x v="2"/>
    <s v="High Spend"/>
  </r>
  <r>
    <s v="3729-OWRVL"/>
    <s v="Male"/>
    <x v="2"/>
    <n v="65"/>
    <x v="1"/>
    <x v="1"/>
    <n v="110.35"/>
    <n v="7246.15"/>
    <x v="0"/>
    <s v="Yes"/>
    <x v="0"/>
    <n v="7246.15"/>
    <x v="2"/>
    <s v="High Spend"/>
  </r>
  <r>
    <s v="2324-AALNO"/>
    <s v="Female"/>
    <x v="1"/>
    <n v="48"/>
    <x v="2"/>
    <x v="2"/>
    <n v="24.55"/>
    <n v="1203.95"/>
    <x v="0"/>
    <s v="No"/>
    <x v="2"/>
    <n v="1203.95"/>
    <x v="2"/>
    <s v="Standard Spend"/>
  </r>
  <r>
    <s v="0822-GAVAP"/>
    <s v="Female"/>
    <x v="0"/>
    <n v="2"/>
    <x v="0"/>
    <x v="0"/>
    <n v="34.700000000000003"/>
    <n v="62.25"/>
    <x v="1"/>
    <s v="Yes"/>
    <x v="0"/>
    <n v="62.25"/>
    <x v="0"/>
    <s v="Standard Spend"/>
  </r>
  <r>
    <s v="5760-IFJOZ"/>
    <s v="Male"/>
    <x v="0"/>
    <n v="3"/>
    <x v="1"/>
    <x v="0"/>
    <n v="107.95"/>
    <n v="313.60000000000002"/>
    <x v="0"/>
    <s v="No"/>
    <x v="1"/>
    <n v="313.60000000000002"/>
    <x v="0"/>
    <s v="Standard Spend"/>
  </r>
  <r>
    <s v="2826-UWHIS"/>
    <s v="Male"/>
    <x v="0"/>
    <n v="45"/>
    <x v="1"/>
    <x v="0"/>
    <n v="81.400000000000006"/>
    <n v="3775.85"/>
    <x v="0"/>
    <s v="No"/>
    <x v="2"/>
    <n v="3775.85"/>
    <x v="2"/>
    <s v="High Spend"/>
  </r>
  <r>
    <s v="1448-PWKYE"/>
    <s v="Male"/>
    <x v="0"/>
    <n v="1"/>
    <x v="1"/>
    <x v="0"/>
    <n v="80"/>
    <n v="80"/>
    <x v="1"/>
    <s v="No"/>
    <x v="0"/>
    <n v="80"/>
    <x v="0"/>
    <s v="Standard Spend"/>
  </r>
  <r>
    <s v="7501-IWUNG"/>
    <s v="Female"/>
    <x v="2"/>
    <n v="61"/>
    <x v="0"/>
    <x v="1"/>
    <n v="73.8"/>
    <n v="4616.05"/>
    <x v="0"/>
    <s v="Yes"/>
    <x v="2"/>
    <n v="4616.05"/>
    <x v="2"/>
    <s v="High Spend"/>
  </r>
  <r>
    <s v="4957-TREIR"/>
    <s v="Male"/>
    <x v="0"/>
    <n v="3"/>
    <x v="0"/>
    <x v="1"/>
    <n v="64.400000000000006"/>
    <n v="195.65"/>
    <x v="0"/>
    <s v="Yes"/>
    <x v="3"/>
    <n v="195.65"/>
    <x v="0"/>
    <s v="Standard Spend"/>
  </r>
  <r>
    <s v="7251-LJBQN"/>
    <s v="Female"/>
    <x v="1"/>
    <n v="40"/>
    <x v="1"/>
    <x v="1"/>
    <n v="103.75"/>
    <n v="4188.3999999999996"/>
    <x v="0"/>
    <s v="Yes"/>
    <x v="3"/>
    <n v="4188.3999999999996"/>
    <x v="2"/>
    <s v="High Spend"/>
  </r>
  <r>
    <s v="8040-MNRTF"/>
    <s v="Female"/>
    <x v="0"/>
    <n v="1"/>
    <x v="1"/>
    <x v="0"/>
    <n v="71.099999999999994"/>
    <n v="71.099999999999994"/>
    <x v="0"/>
    <s v="No"/>
    <x v="1"/>
    <n v="71.099999999999994"/>
    <x v="0"/>
    <s v="Standard Spend"/>
  </r>
  <r>
    <s v="1536-HBSWP"/>
    <s v="Female"/>
    <x v="0"/>
    <n v="1"/>
    <x v="0"/>
    <x v="1"/>
    <n v="49.9"/>
    <n v="49.9"/>
    <x v="0"/>
    <s v="Yes"/>
    <x v="0"/>
    <n v="49.9"/>
    <x v="0"/>
    <s v="Standard Spend"/>
  </r>
  <r>
    <s v="5313-FPXWG"/>
    <s v="Male"/>
    <x v="1"/>
    <n v="51"/>
    <x v="2"/>
    <x v="2"/>
    <n v="24.6"/>
    <n v="1266.4000000000001"/>
    <x v="0"/>
    <s v="Yes"/>
    <x v="2"/>
    <n v="1266.4000000000001"/>
    <x v="2"/>
    <s v="Standard Spend"/>
  </r>
  <r>
    <s v="0067-DKWBL"/>
    <s v="Male"/>
    <x v="0"/>
    <n v="2"/>
    <x v="0"/>
    <x v="0"/>
    <n v="49.25"/>
    <n v="91.1"/>
    <x v="1"/>
    <s v="Yes"/>
    <x v="0"/>
    <n v="91.1"/>
    <x v="0"/>
    <s v="Standard Spend"/>
  </r>
  <r>
    <s v="0946-FKYTX"/>
    <s v="Male"/>
    <x v="1"/>
    <n v="52"/>
    <x v="0"/>
    <x v="0"/>
    <n v="30.1"/>
    <n v="1623.4"/>
    <x v="0"/>
    <s v="No"/>
    <x v="1"/>
    <n v="1623.4"/>
    <x v="2"/>
    <s v="Standard Spend"/>
  </r>
  <r>
    <s v="5076-YVXCM"/>
    <s v="Male"/>
    <x v="0"/>
    <n v="51"/>
    <x v="1"/>
    <x v="0"/>
    <n v="83.4"/>
    <n v="4149.45"/>
    <x v="0"/>
    <s v="No"/>
    <x v="2"/>
    <n v="4149.45"/>
    <x v="2"/>
    <s v="High Spend"/>
  </r>
  <r>
    <s v="8262-COGGB"/>
    <s v="Male"/>
    <x v="0"/>
    <n v="1"/>
    <x v="2"/>
    <x v="2"/>
    <n v="20.45"/>
    <n v="20.45"/>
    <x v="0"/>
    <s v="Yes"/>
    <x v="1"/>
    <n v="20.45"/>
    <x v="0"/>
    <s v="Standard Spend"/>
  </r>
  <r>
    <s v="6663-JOCQO"/>
    <s v="Male"/>
    <x v="1"/>
    <n v="31"/>
    <x v="0"/>
    <x v="1"/>
    <n v="75.25"/>
    <n v="2344.5"/>
    <x v="0"/>
    <s v="Yes"/>
    <x v="2"/>
    <n v="2344.5"/>
    <x v="1"/>
    <s v="Standard Spend"/>
  </r>
  <r>
    <s v="9620-QJREV"/>
    <s v="Male"/>
    <x v="1"/>
    <n v="47"/>
    <x v="2"/>
    <x v="2"/>
    <n v="20.55"/>
    <n v="1013.05"/>
    <x v="0"/>
    <s v="No"/>
    <x v="3"/>
    <n v="1013.05"/>
    <x v="2"/>
    <s v="Standard Spend"/>
  </r>
  <r>
    <s v="2276-YDAVZ"/>
    <s v="Female"/>
    <x v="0"/>
    <n v="3"/>
    <x v="1"/>
    <x v="0"/>
    <n v="75.099999999999994"/>
    <n v="270.7"/>
    <x v="1"/>
    <s v="Yes"/>
    <x v="3"/>
    <n v="270.7"/>
    <x v="0"/>
    <s v="Standard Spend"/>
  </r>
  <r>
    <s v="2682-KEVRP"/>
    <s v="Female"/>
    <x v="1"/>
    <n v="22"/>
    <x v="2"/>
    <x v="2"/>
    <n v="20.05"/>
    <n v="417"/>
    <x v="0"/>
    <s v="Yes"/>
    <x v="1"/>
    <n v="417"/>
    <x v="1"/>
    <s v="Standard Spend"/>
  </r>
  <r>
    <s v="2480-JZOSN"/>
    <s v="Female"/>
    <x v="0"/>
    <n v="1"/>
    <x v="2"/>
    <x v="2"/>
    <n v="20.65"/>
    <n v="20.65"/>
    <x v="0"/>
    <s v="Yes"/>
    <x v="1"/>
    <n v="20.65"/>
    <x v="0"/>
    <s v="Standard Spend"/>
  </r>
  <r>
    <s v="0078-XZMHT"/>
    <s v="Male"/>
    <x v="2"/>
    <n v="72"/>
    <x v="0"/>
    <x v="1"/>
    <n v="85.15"/>
    <n v="6316.2"/>
    <x v="0"/>
    <s v="Yes"/>
    <x v="2"/>
    <n v="6316.2"/>
    <x v="2"/>
    <s v="High Spend"/>
  </r>
  <r>
    <s v="5896-NPFWW"/>
    <s v="Male"/>
    <x v="0"/>
    <n v="3"/>
    <x v="0"/>
    <x v="0"/>
    <n v="50.15"/>
    <n v="168.15"/>
    <x v="1"/>
    <s v="Yes"/>
    <x v="0"/>
    <n v="168.15"/>
    <x v="0"/>
    <s v="Standard Spend"/>
  </r>
  <r>
    <s v="9978-HYCIN"/>
    <s v="Male"/>
    <x v="1"/>
    <n v="47"/>
    <x v="1"/>
    <x v="0"/>
    <n v="84.95"/>
    <n v="4018.05"/>
    <x v="0"/>
    <s v="Yes"/>
    <x v="2"/>
    <n v="4018.05"/>
    <x v="2"/>
    <s v="High Spend"/>
  </r>
  <r>
    <s v="8338-QIUNR"/>
    <s v="Male"/>
    <x v="2"/>
    <n v="72"/>
    <x v="0"/>
    <x v="1"/>
    <n v="66.5"/>
    <n v="4811.6000000000004"/>
    <x v="0"/>
    <s v="Yes"/>
    <x v="3"/>
    <n v="4811.6000000000004"/>
    <x v="2"/>
    <s v="High Spend"/>
  </r>
  <r>
    <s v="1525-LNLOJ"/>
    <s v="Male"/>
    <x v="2"/>
    <n v="66"/>
    <x v="0"/>
    <x v="0"/>
    <n v="63.3"/>
    <n v="4189.7"/>
    <x v="0"/>
    <s v="Yes"/>
    <x v="2"/>
    <n v="4189.7"/>
    <x v="2"/>
    <s v="High Spend"/>
  </r>
  <r>
    <s v="9450-TRJUU"/>
    <s v="Male"/>
    <x v="0"/>
    <n v="35"/>
    <x v="1"/>
    <x v="0"/>
    <n v="83.15"/>
    <n v="2848.45"/>
    <x v="0"/>
    <s v="No"/>
    <x v="0"/>
    <n v="2848.45"/>
    <x v="1"/>
    <s v="High Spend"/>
  </r>
  <r>
    <s v="1766-GKNMI"/>
    <s v="Male"/>
    <x v="0"/>
    <n v="29"/>
    <x v="1"/>
    <x v="0"/>
    <n v="84.9"/>
    <n v="2516.1999999999998"/>
    <x v="0"/>
    <s v="Yes"/>
    <x v="0"/>
    <n v="2516.1999999999998"/>
    <x v="1"/>
    <s v="High Spend"/>
  </r>
  <r>
    <s v="6942-LBFDP"/>
    <s v="Female"/>
    <x v="0"/>
    <n v="2"/>
    <x v="2"/>
    <x v="2"/>
    <n v="20.55"/>
    <n v="33.6"/>
    <x v="0"/>
    <s v="Yes"/>
    <x v="1"/>
    <n v="33.6"/>
    <x v="0"/>
    <s v="Standard Spend"/>
  </r>
  <r>
    <s v="1456-TWCGB"/>
    <s v="Male"/>
    <x v="0"/>
    <n v="4"/>
    <x v="0"/>
    <x v="0"/>
    <n v="49.25"/>
    <n v="208.45"/>
    <x v="0"/>
    <s v="No"/>
    <x v="1"/>
    <n v="208.45"/>
    <x v="0"/>
    <s v="Standard Spend"/>
  </r>
  <r>
    <s v="7133-VBDCG"/>
    <s v="Female"/>
    <x v="0"/>
    <n v="25"/>
    <x v="1"/>
    <x v="0"/>
    <n v="79.849999999999994"/>
    <n v="2015.35"/>
    <x v="1"/>
    <s v="Yes"/>
    <x v="2"/>
    <n v="2015.35"/>
    <x v="1"/>
    <s v="Standard Spend"/>
  </r>
  <r>
    <s v="7596-ZYWBB"/>
    <s v="Female"/>
    <x v="2"/>
    <n v="65"/>
    <x v="0"/>
    <x v="1"/>
    <n v="59.6"/>
    <n v="3739.8"/>
    <x v="0"/>
    <s v="Yes"/>
    <x v="1"/>
    <n v="3739.8"/>
    <x v="2"/>
    <s v="High Spend"/>
  </r>
  <r>
    <s v="8329-UTMVM"/>
    <s v="Male"/>
    <x v="1"/>
    <n v="27"/>
    <x v="1"/>
    <x v="1"/>
    <n v="104.65"/>
    <n v="2964"/>
    <x v="0"/>
    <s v="Yes"/>
    <x v="2"/>
    <n v="2964"/>
    <x v="1"/>
    <s v="High Spend"/>
  </r>
  <r>
    <s v="3014-WJKSM"/>
    <s v="Male"/>
    <x v="0"/>
    <n v="29"/>
    <x v="1"/>
    <x v="0"/>
    <n v="75.3"/>
    <n v="2263.4"/>
    <x v="0"/>
    <s v="Yes"/>
    <x v="3"/>
    <n v="2263.4"/>
    <x v="1"/>
    <s v="Standard Spend"/>
  </r>
  <r>
    <s v="3347-YJZZE"/>
    <s v="Male"/>
    <x v="0"/>
    <n v="29"/>
    <x v="0"/>
    <x v="0"/>
    <n v="80.099999999999994"/>
    <n v="2211.8000000000002"/>
    <x v="0"/>
    <s v="No"/>
    <x v="3"/>
    <n v="2211.8000000000002"/>
    <x v="1"/>
    <s v="Standard Spend"/>
  </r>
  <r>
    <s v="1029-QFBEN"/>
    <s v="Male"/>
    <x v="0"/>
    <n v="1"/>
    <x v="2"/>
    <x v="2"/>
    <n v="19.55"/>
    <n v="19.55"/>
    <x v="1"/>
    <s v="No"/>
    <x v="1"/>
    <n v="19.55"/>
    <x v="0"/>
    <s v="Standard Spend"/>
  </r>
  <r>
    <s v="7929-DMBCV"/>
    <s v="Female"/>
    <x v="0"/>
    <n v="20"/>
    <x v="1"/>
    <x v="1"/>
    <n v="81"/>
    <n v="1683.7"/>
    <x v="0"/>
    <s v="Yes"/>
    <x v="1"/>
    <n v="1683.7"/>
    <x v="1"/>
    <s v="Standard Spend"/>
  </r>
  <r>
    <s v="9661-JALZV"/>
    <s v="Female"/>
    <x v="2"/>
    <n v="58"/>
    <x v="2"/>
    <x v="2"/>
    <n v="24.7"/>
    <n v="1519"/>
    <x v="0"/>
    <s v="Yes"/>
    <x v="3"/>
    <n v="1519"/>
    <x v="2"/>
    <s v="Standard Spend"/>
  </r>
  <r>
    <s v="5433-KYGHE"/>
    <s v="Female"/>
    <x v="0"/>
    <n v="14"/>
    <x v="1"/>
    <x v="1"/>
    <n v="86"/>
    <n v="1164.05"/>
    <x v="0"/>
    <s v="Yes"/>
    <x v="1"/>
    <n v="1164.05"/>
    <x v="1"/>
    <s v="Standard Spend"/>
  </r>
  <r>
    <s v="4312-KFRXN"/>
    <s v="Male"/>
    <x v="2"/>
    <n v="72"/>
    <x v="2"/>
    <x v="2"/>
    <n v="25.4"/>
    <n v="1710.9"/>
    <x v="0"/>
    <s v="No"/>
    <x v="1"/>
    <n v="1710.9"/>
    <x v="2"/>
    <s v="Standard Spend"/>
  </r>
  <r>
    <s v="5575-TPIZQ"/>
    <s v="Male"/>
    <x v="0"/>
    <n v="46"/>
    <x v="1"/>
    <x v="0"/>
    <n v="89.15"/>
    <n v="4245.55"/>
    <x v="0"/>
    <s v="Yes"/>
    <x v="3"/>
    <n v="4245.55"/>
    <x v="2"/>
    <s v="High Spend"/>
  </r>
  <r>
    <s v="0114-IGABW"/>
    <s v="Female"/>
    <x v="2"/>
    <n v="71"/>
    <x v="0"/>
    <x v="1"/>
    <n v="58.25"/>
    <n v="4145.8999999999996"/>
    <x v="0"/>
    <s v="No"/>
    <x v="2"/>
    <n v="4145.8999999999996"/>
    <x v="2"/>
    <s v="High Spend"/>
  </r>
  <r>
    <s v="9944-AEXBM"/>
    <s v="Male"/>
    <x v="0"/>
    <n v="32"/>
    <x v="1"/>
    <x v="0"/>
    <n v="85.65"/>
    <n v="2664.3"/>
    <x v="0"/>
    <s v="Yes"/>
    <x v="2"/>
    <n v="2664.3"/>
    <x v="1"/>
    <s v="High Spend"/>
  </r>
  <r>
    <s v="1853-ARAAQ"/>
    <s v="Female"/>
    <x v="0"/>
    <n v="26"/>
    <x v="0"/>
    <x v="0"/>
    <n v="50.35"/>
    <n v="1277.5"/>
    <x v="0"/>
    <s v="Yes"/>
    <x v="3"/>
    <n v="1277.5"/>
    <x v="1"/>
    <s v="Standard Spend"/>
  </r>
  <r>
    <s v="6952-OMNWB"/>
    <s v="Male"/>
    <x v="0"/>
    <n v="68"/>
    <x v="1"/>
    <x v="0"/>
    <n v="80.349999999999994"/>
    <n v="5589.3"/>
    <x v="0"/>
    <s v="Yes"/>
    <x v="3"/>
    <n v="5589.3"/>
    <x v="2"/>
    <s v="High Spend"/>
  </r>
  <r>
    <s v="4697-LUPSU"/>
    <s v="Male"/>
    <x v="1"/>
    <n v="2"/>
    <x v="2"/>
    <x v="2"/>
    <n v="20.2"/>
    <n v="34.75"/>
    <x v="0"/>
    <s v="No"/>
    <x v="1"/>
    <n v="34.75"/>
    <x v="0"/>
    <s v="Standard Spend"/>
  </r>
  <r>
    <s v="8434-VGEQQ"/>
    <s v="Male"/>
    <x v="2"/>
    <n v="61"/>
    <x v="2"/>
    <x v="2"/>
    <n v="20.55"/>
    <n v="1305.95"/>
    <x v="0"/>
    <s v="No"/>
    <x v="3"/>
    <n v="1305.95"/>
    <x v="2"/>
    <s v="Standard Spend"/>
  </r>
  <r>
    <s v="4952-YSOGZ"/>
    <s v="Female"/>
    <x v="0"/>
    <n v="4"/>
    <x v="1"/>
    <x v="0"/>
    <n v="85.95"/>
    <n v="381.3"/>
    <x v="1"/>
    <s v="Yes"/>
    <x v="0"/>
    <n v="381.3"/>
    <x v="0"/>
    <s v="Standard Spend"/>
  </r>
  <r>
    <s v="1589-AGTLK"/>
    <s v="Male"/>
    <x v="0"/>
    <n v="3"/>
    <x v="0"/>
    <x v="0"/>
    <n v="45.35"/>
    <n v="141.5"/>
    <x v="1"/>
    <s v="Yes"/>
    <x v="0"/>
    <n v="141.5"/>
    <x v="0"/>
    <s v="Standard Spend"/>
  </r>
  <r>
    <s v="5244-IRFIH"/>
    <s v="Male"/>
    <x v="0"/>
    <n v="33"/>
    <x v="1"/>
    <x v="0"/>
    <n v="94.5"/>
    <n v="3105.55"/>
    <x v="1"/>
    <s v="Yes"/>
    <x v="0"/>
    <n v="3105.55"/>
    <x v="1"/>
    <s v="High Spend"/>
  </r>
  <r>
    <s v="6549-YMFAW"/>
    <s v="Male"/>
    <x v="0"/>
    <n v="9"/>
    <x v="2"/>
    <x v="2"/>
    <n v="21.25"/>
    <n v="204.55"/>
    <x v="0"/>
    <s v="Yes"/>
    <x v="1"/>
    <n v="204.55"/>
    <x v="0"/>
    <s v="Standard Spend"/>
  </r>
  <r>
    <s v="4950-HKQTE"/>
    <s v="Female"/>
    <x v="2"/>
    <n v="22"/>
    <x v="2"/>
    <x v="2"/>
    <n v="26.25"/>
    <n v="605.9"/>
    <x v="0"/>
    <s v="No"/>
    <x v="1"/>
    <n v="605.9"/>
    <x v="1"/>
    <s v="Standard Spend"/>
  </r>
  <r>
    <s v="6786-OBWQR"/>
    <s v="Female"/>
    <x v="0"/>
    <n v="5"/>
    <x v="1"/>
    <x v="0"/>
    <n v="80.849999999999994"/>
    <n v="356.1"/>
    <x v="0"/>
    <s v="Yes"/>
    <x v="0"/>
    <n v="356.1"/>
    <x v="0"/>
    <s v="Standard Spend"/>
  </r>
  <r>
    <s v="2684-EIWEO"/>
    <s v="Female"/>
    <x v="0"/>
    <n v="30"/>
    <x v="1"/>
    <x v="0"/>
    <n v="91.7"/>
    <n v="2758.15"/>
    <x v="1"/>
    <s v="No"/>
    <x v="3"/>
    <n v="2758.15"/>
    <x v="1"/>
    <s v="High Spend"/>
  </r>
  <r>
    <s v="2753-JMMCV"/>
    <s v="Male"/>
    <x v="2"/>
    <n v="65"/>
    <x v="0"/>
    <x v="1"/>
    <n v="74.2"/>
    <n v="4805.6499999999996"/>
    <x v="0"/>
    <s v="Yes"/>
    <x v="3"/>
    <n v="4805.6499999999996"/>
    <x v="2"/>
    <s v="High Spend"/>
  </r>
  <r>
    <s v="6439-GTPCA"/>
    <s v="Female"/>
    <x v="0"/>
    <n v="45"/>
    <x v="1"/>
    <x v="1"/>
    <n v="87.25"/>
    <n v="3941.7"/>
    <x v="1"/>
    <s v="Yes"/>
    <x v="0"/>
    <n v="3941.7"/>
    <x v="2"/>
    <s v="High Spend"/>
  </r>
  <r>
    <s v="6621-YOBKI"/>
    <s v="Male"/>
    <x v="0"/>
    <n v="5"/>
    <x v="2"/>
    <x v="2"/>
    <n v="20.350000000000001"/>
    <n v="92.75"/>
    <x v="0"/>
    <s v="No"/>
    <x v="1"/>
    <n v="92.75"/>
    <x v="0"/>
    <s v="Standard Spend"/>
  </r>
  <r>
    <s v="1216-JWVUX"/>
    <s v="Male"/>
    <x v="0"/>
    <n v="25"/>
    <x v="1"/>
    <x v="0"/>
    <n v="75.5"/>
    <n v="1901.05"/>
    <x v="0"/>
    <s v="Yes"/>
    <x v="0"/>
    <n v="1901.05"/>
    <x v="1"/>
    <s v="Standard Spend"/>
  </r>
  <r>
    <s v="7564-GHCVB"/>
    <s v="Female"/>
    <x v="2"/>
    <n v="72"/>
    <x v="1"/>
    <x v="0"/>
    <n v="79.05"/>
    <n v="5730.7"/>
    <x v="0"/>
    <s v="No"/>
    <x v="2"/>
    <n v="5730.7"/>
    <x v="2"/>
    <s v="High Spend"/>
  </r>
  <r>
    <s v="1173-NOEYG"/>
    <s v="Female"/>
    <x v="0"/>
    <n v="27"/>
    <x v="1"/>
    <x v="0"/>
    <n v="90.15"/>
    <n v="2423.4"/>
    <x v="0"/>
    <s v="No"/>
    <x v="2"/>
    <n v="2423.4"/>
    <x v="1"/>
    <s v="Standard Spend"/>
  </r>
  <r>
    <s v="7595-EHCDL"/>
    <s v="Male"/>
    <x v="0"/>
    <n v="32"/>
    <x v="0"/>
    <x v="0"/>
    <n v="50.6"/>
    <n v="1653.45"/>
    <x v="0"/>
    <s v="No"/>
    <x v="3"/>
    <n v="1653.45"/>
    <x v="1"/>
    <s v="Standard Spend"/>
  </r>
  <r>
    <s v="6647-ZEDXT"/>
    <s v="Female"/>
    <x v="1"/>
    <n v="30"/>
    <x v="1"/>
    <x v="1"/>
    <n v="110.45"/>
    <n v="3327.05"/>
    <x v="0"/>
    <s v="No"/>
    <x v="3"/>
    <n v="3327.05"/>
    <x v="1"/>
    <s v="High Spend"/>
  </r>
  <r>
    <s v="2521-NPUZR"/>
    <s v="Male"/>
    <x v="2"/>
    <n v="70"/>
    <x v="1"/>
    <x v="1"/>
    <n v="101"/>
    <n v="7085.5"/>
    <x v="0"/>
    <s v="No"/>
    <x v="3"/>
    <n v="7085.5"/>
    <x v="2"/>
    <s v="High Spend"/>
  </r>
  <r>
    <s v="1307-TVUFB"/>
    <s v="Male"/>
    <x v="0"/>
    <n v="42"/>
    <x v="1"/>
    <x v="0"/>
    <n v="79.349999999999994"/>
    <n v="3344.1"/>
    <x v="0"/>
    <s v="Yes"/>
    <x v="2"/>
    <n v="3344.1"/>
    <x v="2"/>
    <s v="High Spend"/>
  </r>
  <r>
    <s v="7503-MIOGA"/>
    <s v="Female"/>
    <x v="2"/>
    <n v="72"/>
    <x v="0"/>
    <x v="1"/>
    <n v="89.85"/>
    <n v="6697.35"/>
    <x v="0"/>
    <s v="Yes"/>
    <x v="2"/>
    <n v="6697.35"/>
    <x v="2"/>
    <s v="High Spend"/>
  </r>
  <r>
    <s v="4381-MHQDC"/>
    <s v="Female"/>
    <x v="2"/>
    <n v="47"/>
    <x v="0"/>
    <x v="1"/>
    <n v="65"/>
    <n v="2879.9"/>
    <x v="0"/>
    <s v="Yes"/>
    <x v="1"/>
    <n v="2879.9"/>
    <x v="2"/>
    <s v="High Spend"/>
  </r>
  <r>
    <s v="6923-JHPMP"/>
    <s v="Female"/>
    <x v="0"/>
    <n v="2"/>
    <x v="1"/>
    <x v="0"/>
    <n v="80.45"/>
    <n v="137.1"/>
    <x v="0"/>
    <s v="Yes"/>
    <x v="0"/>
    <n v="137.1"/>
    <x v="0"/>
    <s v="Standard Spend"/>
  </r>
  <r>
    <s v="5138-WVKYJ"/>
    <s v="Male"/>
    <x v="0"/>
    <n v="10"/>
    <x v="1"/>
    <x v="0"/>
    <n v="98.55"/>
    <n v="1008.55"/>
    <x v="1"/>
    <s v="No"/>
    <x v="0"/>
    <n v="1008.55"/>
    <x v="0"/>
    <s v="Standard Spend"/>
  </r>
  <r>
    <s v="4018-PPNDW"/>
    <s v="Female"/>
    <x v="2"/>
    <n v="61"/>
    <x v="2"/>
    <x v="2"/>
    <n v="24.1"/>
    <n v="1551.6"/>
    <x v="0"/>
    <s v="Yes"/>
    <x v="1"/>
    <n v="1551.6"/>
    <x v="2"/>
    <s v="Standard Spend"/>
  </r>
  <r>
    <s v="1635-FJFCC"/>
    <s v="Female"/>
    <x v="0"/>
    <n v="5"/>
    <x v="0"/>
    <x v="0"/>
    <n v="44.05"/>
    <n v="202.15"/>
    <x v="0"/>
    <s v="Yes"/>
    <x v="3"/>
    <n v="202.15"/>
    <x v="0"/>
    <s v="Standard Spend"/>
  </r>
  <r>
    <s v="2499-AJYUA"/>
    <s v="Female"/>
    <x v="2"/>
    <n v="72"/>
    <x v="1"/>
    <x v="1"/>
    <n v="110.8"/>
    <n v="7882.25"/>
    <x v="0"/>
    <s v="Yes"/>
    <x v="3"/>
    <n v="7882.25"/>
    <x v="2"/>
    <s v="High Spend"/>
  </r>
  <r>
    <s v="6919-ELBGL"/>
    <s v="Male"/>
    <x v="2"/>
    <n v="72"/>
    <x v="1"/>
    <x v="1"/>
    <n v="114.95"/>
    <n v="8196.4"/>
    <x v="0"/>
    <s v="Yes"/>
    <x v="2"/>
    <n v="8196.4"/>
    <x v="2"/>
    <s v="High Spend"/>
  </r>
  <r>
    <s v="3966-HRMZA"/>
    <s v="Female"/>
    <x v="0"/>
    <n v="3"/>
    <x v="1"/>
    <x v="0"/>
    <n v="75.05"/>
    <n v="202.9"/>
    <x v="0"/>
    <s v="No"/>
    <x v="1"/>
    <n v="202.9"/>
    <x v="0"/>
    <s v="Standard Spend"/>
  </r>
  <r>
    <s v="6425-JWTDV"/>
    <s v="Male"/>
    <x v="2"/>
    <n v="48"/>
    <x v="2"/>
    <x v="2"/>
    <n v="19.25"/>
    <n v="855.1"/>
    <x v="0"/>
    <s v="No"/>
    <x v="1"/>
    <n v="855.1"/>
    <x v="2"/>
    <s v="Standard Spend"/>
  </r>
  <r>
    <s v="8405-IGQFX"/>
    <s v="Female"/>
    <x v="1"/>
    <n v="63"/>
    <x v="1"/>
    <x v="1"/>
    <n v="90.05"/>
    <n v="5817"/>
    <x v="0"/>
    <s v="Yes"/>
    <x v="3"/>
    <n v="5817"/>
    <x v="2"/>
    <s v="High Spend"/>
  </r>
  <r>
    <s v="8224-IVVPA"/>
    <s v="Female"/>
    <x v="0"/>
    <n v="27"/>
    <x v="0"/>
    <x v="0"/>
    <n v="56.7"/>
    <n v="1652.95"/>
    <x v="0"/>
    <s v="Yes"/>
    <x v="1"/>
    <n v="1652.95"/>
    <x v="1"/>
    <s v="Standard Spend"/>
  </r>
  <r>
    <s v="9477-LGWQI"/>
    <s v="Male"/>
    <x v="2"/>
    <n v="70"/>
    <x v="0"/>
    <x v="0"/>
    <n v="80.150000000000006"/>
    <n v="5600.15"/>
    <x v="0"/>
    <s v="Yes"/>
    <x v="3"/>
    <n v="5600.15"/>
    <x v="2"/>
    <s v="High Spend"/>
  </r>
  <r>
    <s v="1410-RSCMR"/>
    <s v="Male"/>
    <x v="0"/>
    <n v="7"/>
    <x v="0"/>
    <x v="1"/>
    <n v="71.349999999999994"/>
    <n v="515.75"/>
    <x v="0"/>
    <s v="Yes"/>
    <x v="3"/>
    <n v="515.75"/>
    <x v="0"/>
    <s v="Standard Spend"/>
  </r>
  <r>
    <s v="3115-CZMZD"/>
    <s v="Male"/>
    <x v="2"/>
    <n v="0"/>
    <x v="2"/>
    <x v="2"/>
    <n v="20.25"/>
    <s v=" "/>
    <x v="0"/>
    <s v="No"/>
    <x v="1"/>
    <n v="0"/>
    <x v="0"/>
    <s v="High Spend"/>
  </r>
  <r>
    <s v="0139-IVFJG"/>
    <s v="Female"/>
    <x v="0"/>
    <n v="2"/>
    <x v="1"/>
    <x v="0"/>
    <n v="90.35"/>
    <n v="190.5"/>
    <x v="0"/>
    <s v="No"/>
    <x v="0"/>
    <n v="190.5"/>
    <x v="0"/>
    <s v="Standard Spend"/>
  </r>
  <r>
    <s v="6683-VLCTZ"/>
    <s v="Male"/>
    <x v="0"/>
    <n v="20"/>
    <x v="1"/>
    <x v="0"/>
    <n v="98.55"/>
    <n v="1842.8"/>
    <x v="1"/>
    <s v="Yes"/>
    <x v="0"/>
    <n v="1842.8"/>
    <x v="1"/>
    <s v="Standard Spend"/>
  </r>
  <r>
    <s v="5730-DBDSI"/>
    <s v="Male"/>
    <x v="2"/>
    <n v="66"/>
    <x v="2"/>
    <x v="2"/>
    <n v="19.7"/>
    <n v="1253.8"/>
    <x v="0"/>
    <s v="No"/>
    <x v="2"/>
    <n v="1253.8"/>
    <x v="2"/>
    <s v="Standard Spend"/>
  </r>
  <r>
    <s v="0030-FNXPP"/>
    <s v="Female"/>
    <x v="0"/>
    <n v="3"/>
    <x v="2"/>
    <x v="2"/>
    <n v="19.850000000000001"/>
    <n v="57.2"/>
    <x v="0"/>
    <s v="No"/>
    <x v="1"/>
    <n v="57.2"/>
    <x v="0"/>
    <s v="Standard Spend"/>
  </r>
  <r>
    <s v="2189-WWOEW"/>
    <s v="Female"/>
    <x v="0"/>
    <n v="15"/>
    <x v="1"/>
    <x v="0"/>
    <n v="85.9"/>
    <n v="1269.55"/>
    <x v="1"/>
    <s v="Yes"/>
    <x v="2"/>
    <n v="1269.55"/>
    <x v="1"/>
    <s v="Standard Spend"/>
  </r>
  <r>
    <s v="5684-FJVYR"/>
    <s v="Female"/>
    <x v="2"/>
    <n v="72"/>
    <x v="1"/>
    <x v="1"/>
    <n v="90.35"/>
    <n v="6563.4"/>
    <x v="0"/>
    <s v="Yes"/>
    <x v="2"/>
    <n v="6563.4"/>
    <x v="2"/>
    <s v="High Spend"/>
  </r>
  <r>
    <s v="4013-GUXND"/>
    <s v="Male"/>
    <x v="0"/>
    <n v="1"/>
    <x v="2"/>
    <x v="2"/>
    <n v="20.8"/>
    <n v="20.8"/>
    <x v="0"/>
    <s v="No"/>
    <x v="1"/>
    <n v="20.8"/>
    <x v="0"/>
    <s v="Standard Spend"/>
  </r>
  <r>
    <s v="1894-IGFSG"/>
    <s v="Female"/>
    <x v="0"/>
    <n v="22"/>
    <x v="1"/>
    <x v="0"/>
    <n v="89.25"/>
    <n v="1907.85"/>
    <x v="1"/>
    <s v="No"/>
    <x v="0"/>
    <n v="1907.85"/>
    <x v="1"/>
    <s v="Standard Spend"/>
  </r>
  <r>
    <s v="7379-POKDZ"/>
    <s v="Male"/>
    <x v="0"/>
    <n v="3"/>
    <x v="1"/>
    <x v="0"/>
    <n v="70.3"/>
    <n v="208.85"/>
    <x v="1"/>
    <s v="Yes"/>
    <x v="0"/>
    <n v="208.85"/>
    <x v="0"/>
    <s v="Standard Spend"/>
  </r>
  <r>
    <s v="1266-NZYUI"/>
    <s v="Female"/>
    <x v="2"/>
    <n v="72"/>
    <x v="0"/>
    <x v="1"/>
    <n v="66.849999999999994"/>
    <n v="4758.8"/>
    <x v="0"/>
    <s v="No"/>
    <x v="2"/>
    <n v="4758.8"/>
    <x v="2"/>
    <s v="High Spend"/>
  </r>
  <r>
    <s v="7969-FFOWG"/>
    <s v="Male"/>
    <x v="2"/>
    <n v="65"/>
    <x v="2"/>
    <x v="2"/>
    <n v="19.899999999999999"/>
    <n v="1292.5999999999999"/>
    <x v="0"/>
    <s v="No"/>
    <x v="1"/>
    <n v="1292.5999999999999"/>
    <x v="2"/>
    <s v="Standard Spend"/>
  </r>
  <r>
    <s v="4718-DHSMV"/>
    <s v="Female"/>
    <x v="0"/>
    <n v="11"/>
    <x v="0"/>
    <x v="0"/>
    <n v="35.799999999999997"/>
    <n v="363.15"/>
    <x v="0"/>
    <s v="Yes"/>
    <x v="1"/>
    <n v="363.15"/>
    <x v="0"/>
    <s v="Standard Spend"/>
  </r>
  <r>
    <s v="5175-WLYXL"/>
    <s v="Male"/>
    <x v="0"/>
    <n v="22"/>
    <x v="1"/>
    <x v="0"/>
    <n v="78.849999999999994"/>
    <n v="1600.25"/>
    <x v="0"/>
    <s v="Yes"/>
    <x v="1"/>
    <n v="1600.25"/>
    <x v="1"/>
    <s v="Standard Spend"/>
  </r>
  <r>
    <s v="7817-OMJNA"/>
    <s v="Male"/>
    <x v="1"/>
    <n v="14"/>
    <x v="2"/>
    <x v="2"/>
    <n v="20.399999999999999"/>
    <n v="275.7"/>
    <x v="0"/>
    <s v="No"/>
    <x v="2"/>
    <n v="275.7"/>
    <x v="1"/>
    <s v="Standard Spend"/>
  </r>
  <r>
    <s v="8728-SKJLR"/>
    <s v="Male"/>
    <x v="0"/>
    <n v="41"/>
    <x v="1"/>
    <x v="1"/>
    <n v="74.25"/>
    <n v="3089.1"/>
    <x v="0"/>
    <s v="Yes"/>
    <x v="0"/>
    <n v="3089.1"/>
    <x v="2"/>
    <s v="High Spend"/>
  </r>
  <r>
    <s v="3137-NYQQI"/>
    <s v="Male"/>
    <x v="1"/>
    <n v="17"/>
    <x v="0"/>
    <x v="0"/>
    <n v="64.8"/>
    <n v="1175.5999999999999"/>
    <x v="0"/>
    <s v="No"/>
    <x v="1"/>
    <n v="1175.5999999999999"/>
    <x v="1"/>
    <s v="Standard Spend"/>
  </r>
  <r>
    <s v="7706-DZNKK"/>
    <s v="Male"/>
    <x v="0"/>
    <n v="11"/>
    <x v="2"/>
    <x v="2"/>
    <n v="20.45"/>
    <n v="237.3"/>
    <x v="0"/>
    <s v="Yes"/>
    <x v="3"/>
    <n v="237.3"/>
    <x v="0"/>
    <s v="Standard Spend"/>
  </r>
  <r>
    <s v="0236-HFWSV"/>
    <s v="Male"/>
    <x v="0"/>
    <n v="15"/>
    <x v="1"/>
    <x v="0"/>
    <n v="93.35"/>
    <n v="1444.65"/>
    <x v="1"/>
    <s v="Yes"/>
    <x v="0"/>
    <n v="1444.65"/>
    <x v="1"/>
    <s v="Standard Spend"/>
  </r>
  <r>
    <s v="3900-AQPHZ"/>
    <s v="Female"/>
    <x v="0"/>
    <n v="1"/>
    <x v="2"/>
    <x v="2"/>
    <n v="19.899999999999999"/>
    <n v="19.899999999999999"/>
    <x v="1"/>
    <s v="No"/>
    <x v="1"/>
    <n v="19.899999999999999"/>
    <x v="0"/>
    <s v="Standard Spend"/>
  </r>
  <r>
    <s v="5842-POCOP"/>
    <s v="Female"/>
    <x v="0"/>
    <n v="5"/>
    <x v="1"/>
    <x v="0"/>
    <n v="88.9"/>
    <n v="454.15"/>
    <x v="1"/>
    <s v="Yes"/>
    <x v="1"/>
    <n v="454.15"/>
    <x v="0"/>
    <s v="Standard Spend"/>
  </r>
  <r>
    <s v="2037-XJFUP"/>
    <s v="Male"/>
    <x v="1"/>
    <n v="33"/>
    <x v="1"/>
    <x v="0"/>
    <n v="95.8"/>
    <n v="3036.75"/>
    <x v="1"/>
    <s v="Yes"/>
    <x v="0"/>
    <n v="3036.75"/>
    <x v="1"/>
    <s v="High Spend"/>
  </r>
  <r>
    <s v="8823-RLPWL"/>
    <s v="Female"/>
    <x v="2"/>
    <n v="72"/>
    <x v="1"/>
    <x v="0"/>
    <n v="110.65"/>
    <n v="8065.65"/>
    <x v="0"/>
    <s v="Yes"/>
    <x v="3"/>
    <n v="8065.65"/>
    <x v="2"/>
    <s v="High Spend"/>
  </r>
  <r>
    <s v="9505-SQFSW"/>
    <s v="Female"/>
    <x v="0"/>
    <n v="3"/>
    <x v="0"/>
    <x v="0"/>
    <n v="40.299999999999997"/>
    <n v="92.5"/>
    <x v="0"/>
    <s v="No"/>
    <x v="1"/>
    <n v="92.5"/>
    <x v="0"/>
    <s v="Standard Spend"/>
  </r>
  <r>
    <s v="7314-OXENN"/>
    <s v="Male"/>
    <x v="0"/>
    <n v="2"/>
    <x v="1"/>
    <x v="0"/>
    <n v="82"/>
    <n v="184.65"/>
    <x v="1"/>
    <s v="Yes"/>
    <x v="0"/>
    <n v="184.65"/>
    <x v="0"/>
    <s v="Standard Spend"/>
  </r>
  <r>
    <s v="3758-CKOQL"/>
    <s v="Female"/>
    <x v="1"/>
    <n v="59"/>
    <x v="1"/>
    <x v="1"/>
    <n v="107"/>
    <n v="6152.3"/>
    <x v="0"/>
    <s v="Yes"/>
    <x v="3"/>
    <n v="6152.3"/>
    <x v="2"/>
    <s v="High Spend"/>
  </r>
  <r>
    <s v="0322-CHQRU"/>
    <s v="Male"/>
    <x v="0"/>
    <n v="2"/>
    <x v="0"/>
    <x v="0"/>
    <n v="45.35"/>
    <n v="89.5"/>
    <x v="1"/>
    <s v="No"/>
    <x v="0"/>
    <n v="89.5"/>
    <x v="0"/>
    <s v="Standard Spend"/>
  </r>
  <r>
    <s v="5676-CFLYY"/>
    <s v="Male"/>
    <x v="2"/>
    <n v="71"/>
    <x v="0"/>
    <x v="1"/>
    <n v="73.349999999999994"/>
    <n v="5154.5"/>
    <x v="0"/>
    <s v="Yes"/>
    <x v="3"/>
    <n v="5154.5"/>
    <x v="2"/>
    <s v="High Spend"/>
  </r>
  <r>
    <s v="7521-AFHAB"/>
    <s v="Female"/>
    <x v="0"/>
    <n v="5"/>
    <x v="0"/>
    <x v="0"/>
    <n v="44.8"/>
    <n v="220.45"/>
    <x v="0"/>
    <s v="No"/>
    <x v="1"/>
    <n v="220.45"/>
    <x v="0"/>
    <s v="Standard Spend"/>
  </r>
  <r>
    <s v="0285-INHLN"/>
    <s v="Male"/>
    <x v="0"/>
    <n v="27"/>
    <x v="0"/>
    <x v="0"/>
    <n v="54.75"/>
    <n v="1510.3"/>
    <x v="0"/>
    <s v="Yes"/>
    <x v="3"/>
    <n v="1510.3"/>
    <x v="1"/>
    <s v="Standard Spend"/>
  </r>
  <r>
    <s v="4678-DVQEO"/>
    <s v="Female"/>
    <x v="0"/>
    <n v="1"/>
    <x v="0"/>
    <x v="1"/>
    <n v="52.2"/>
    <n v="52.2"/>
    <x v="1"/>
    <s v="Yes"/>
    <x v="0"/>
    <n v="52.2"/>
    <x v="0"/>
    <s v="Standard Spend"/>
  </r>
  <r>
    <s v="5125-CNDSP"/>
    <s v="Male"/>
    <x v="1"/>
    <n v="63"/>
    <x v="0"/>
    <x v="1"/>
    <n v="40.6"/>
    <n v="2588.9499999999998"/>
    <x v="0"/>
    <s v="Yes"/>
    <x v="2"/>
    <n v="2588.9499999999998"/>
    <x v="2"/>
    <s v="High Spend"/>
  </r>
  <r>
    <s v="0691-IFBQW"/>
    <s v="Female"/>
    <x v="1"/>
    <n v="46"/>
    <x v="1"/>
    <x v="0"/>
    <n v="110"/>
    <n v="4874.8"/>
    <x v="1"/>
    <s v="Yes"/>
    <x v="0"/>
    <n v="4874.8"/>
    <x v="2"/>
    <s v="High Spend"/>
  </r>
  <r>
    <s v="4992-LTJNE"/>
    <s v="Male"/>
    <x v="2"/>
    <n v="72"/>
    <x v="0"/>
    <x v="0"/>
    <n v="55.3"/>
    <n v="3983.6"/>
    <x v="0"/>
    <s v="No"/>
    <x v="2"/>
    <n v="3983.6"/>
    <x v="2"/>
    <s v="High Spend"/>
  </r>
  <r>
    <s v="2202-OUTMO"/>
    <s v="Female"/>
    <x v="0"/>
    <n v="34"/>
    <x v="0"/>
    <x v="1"/>
    <n v="60.85"/>
    <n v="2003.6"/>
    <x v="0"/>
    <s v="Yes"/>
    <x v="2"/>
    <n v="2003.6"/>
    <x v="1"/>
    <s v="Standard Spend"/>
  </r>
  <r>
    <s v="0810-BDHAW"/>
    <s v="Female"/>
    <x v="1"/>
    <n v="24"/>
    <x v="0"/>
    <x v="0"/>
    <n v="78.400000000000006"/>
    <n v="1832.4"/>
    <x v="0"/>
    <s v="No"/>
    <x v="0"/>
    <n v="1832.4"/>
    <x v="1"/>
    <s v="Standard Spend"/>
  </r>
  <r>
    <s v="0229-LFJAF"/>
    <s v="Male"/>
    <x v="2"/>
    <n v="72"/>
    <x v="0"/>
    <x v="1"/>
    <n v="69.650000000000006"/>
    <n v="4908.25"/>
    <x v="0"/>
    <s v="No"/>
    <x v="2"/>
    <n v="4908.25"/>
    <x v="2"/>
    <s v="High Spend"/>
  </r>
  <r>
    <s v="7131-ZQZNK"/>
    <s v="Female"/>
    <x v="2"/>
    <n v="60"/>
    <x v="0"/>
    <x v="1"/>
    <n v="59.85"/>
    <n v="3590.2"/>
    <x v="0"/>
    <s v="No"/>
    <x v="3"/>
    <n v="3590.2"/>
    <x v="2"/>
    <s v="High Spend"/>
  </r>
  <r>
    <s v="3442-ZHHCC"/>
    <s v="Male"/>
    <x v="1"/>
    <n v="68"/>
    <x v="0"/>
    <x v="0"/>
    <n v="76.900000000000006"/>
    <n v="5023"/>
    <x v="0"/>
    <s v="Yes"/>
    <x v="3"/>
    <n v="5023"/>
    <x v="2"/>
    <s v="High Spend"/>
  </r>
  <r>
    <s v="5726-CVNYA"/>
    <s v="Female"/>
    <x v="2"/>
    <n v="8"/>
    <x v="2"/>
    <x v="2"/>
    <n v="19.850000000000001"/>
    <n v="146.6"/>
    <x v="0"/>
    <s v="Yes"/>
    <x v="1"/>
    <n v="146.6"/>
    <x v="0"/>
    <s v="Standard Spend"/>
  </r>
  <r>
    <s v="9871-ELEYA"/>
    <s v="Female"/>
    <x v="2"/>
    <n v="34"/>
    <x v="0"/>
    <x v="1"/>
    <n v="67.650000000000006"/>
    <n v="2339.3000000000002"/>
    <x v="0"/>
    <s v="No"/>
    <x v="3"/>
    <n v="2339.3000000000002"/>
    <x v="1"/>
    <s v="Standard Spend"/>
  </r>
  <r>
    <s v="4257-GAESD"/>
    <s v="Female"/>
    <x v="0"/>
    <n v="6"/>
    <x v="0"/>
    <x v="0"/>
    <n v="45"/>
    <n v="298.7"/>
    <x v="0"/>
    <s v="No"/>
    <x v="3"/>
    <n v="298.7"/>
    <x v="0"/>
    <s v="Standard Spend"/>
  </r>
  <r>
    <s v="5173-WXOQV"/>
    <s v="Male"/>
    <x v="0"/>
    <n v="2"/>
    <x v="0"/>
    <x v="1"/>
    <n v="64.2"/>
    <n v="143.65"/>
    <x v="0"/>
    <s v="Yes"/>
    <x v="1"/>
    <n v="143.65"/>
    <x v="0"/>
    <s v="Standard Spend"/>
  </r>
  <r>
    <s v="2040-OBMLJ"/>
    <s v="Male"/>
    <x v="1"/>
    <n v="31"/>
    <x v="1"/>
    <x v="1"/>
    <n v="81.7"/>
    <n v="2548.65"/>
    <x v="0"/>
    <s v="No"/>
    <x v="3"/>
    <n v="2548.65"/>
    <x v="1"/>
    <s v="High Spend"/>
  </r>
  <r>
    <s v="6286-ZHAOK"/>
    <s v="Female"/>
    <x v="0"/>
    <n v="20"/>
    <x v="2"/>
    <x v="2"/>
    <n v="25.55"/>
    <n v="507.4"/>
    <x v="0"/>
    <s v="Yes"/>
    <x v="2"/>
    <n v="507.4"/>
    <x v="1"/>
    <s v="Standard Spend"/>
  </r>
  <r>
    <s v="3807-XHCJH"/>
    <s v="Female"/>
    <x v="0"/>
    <n v="1"/>
    <x v="2"/>
    <x v="2"/>
    <n v="20"/>
    <n v="20"/>
    <x v="0"/>
    <s v="No"/>
    <x v="0"/>
    <n v="20"/>
    <x v="0"/>
    <s v="Standard Spend"/>
  </r>
  <r>
    <s v="3009-JWMPU"/>
    <s v="Male"/>
    <x v="1"/>
    <n v="62"/>
    <x v="1"/>
    <x v="0"/>
    <n v="96.75"/>
    <n v="6125.4"/>
    <x v="1"/>
    <s v="Yes"/>
    <x v="0"/>
    <n v="6125.4"/>
    <x v="2"/>
    <s v="High Spend"/>
  </r>
  <r>
    <s v="5671-RQRLP"/>
    <s v="Female"/>
    <x v="2"/>
    <n v="70"/>
    <x v="1"/>
    <x v="0"/>
    <n v="75.650000000000006"/>
    <n v="5411.4"/>
    <x v="0"/>
    <s v="Yes"/>
    <x v="3"/>
    <n v="5411.4"/>
    <x v="2"/>
    <s v="High Spend"/>
  </r>
  <r>
    <s v="1450-GALXR"/>
    <s v="Female"/>
    <x v="0"/>
    <n v="10"/>
    <x v="1"/>
    <x v="1"/>
    <n v="98.5"/>
    <n v="1058.25"/>
    <x v="1"/>
    <s v="Yes"/>
    <x v="0"/>
    <n v="1058.25"/>
    <x v="0"/>
    <s v="Standard Spend"/>
  </r>
  <r>
    <s v="8859-AXJZP"/>
    <s v="Male"/>
    <x v="2"/>
    <n v="39"/>
    <x v="2"/>
    <x v="2"/>
    <n v="23.8"/>
    <n v="903.8"/>
    <x v="0"/>
    <s v="Yes"/>
    <x v="1"/>
    <n v="903.8"/>
    <x v="2"/>
    <s v="Standard Spend"/>
  </r>
  <r>
    <s v="3174-AKMAS"/>
    <s v="Female"/>
    <x v="2"/>
    <n v="46"/>
    <x v="0"/>
    <x v="1"/>
    <n v="64.2"/>
    <n v="3009.5"/>
    <x v="0"/>
    <s v="Yes"/>
    <x v="3"/>
    <n v="3009.5"/>
    <x v="2"/>
    <s v="High Spend"/>
  </r>
  <r>
    <s v="3138-BKYAV"/>
    <s v="Male"/>
    <x v="0"/>
    <n v="6"/>
    <x v="1"/>
    <x v="0"/>
    <n v="85.35"/>
    <n v="489.45"/>
    <x v="1"/>
    <s v="Yes"/>
    <x v="0"/>
    <n v="489.45"/>
    <x v="0"/>
    <s v="Standard Spend"/>
  </r>
  <r>
    <s v="9926-PJHDQ"/>
    <s v="Female"/>
    <x v="2"/>
    <n v="72"/>
    <x v="0"/>
    <x v="0"/>
    <n v="76.8"/>
    <n v="5468.45"/>
    <x v="0"/>
    <s v="Yes"/>
    <x v="2"/>
    <n v="5468.45"/>
    <x v="2"/>
    <s v="High Spend"/>
  </r>
  <r>
    <s v="7382-DFJTU"/>
    <s v="Male"/>
    <x v="0"/>
    <n v="18"/>
    <x v="0"/>
    <x v="1"/>
    <n v="55.2"/>
    <n v="1058.0999999999999"/>
    <x v="0"/>
    <s v="No"/>
    <x v="3"/>
    <n v="1058.0999999999999"/>
    <x v="1"/>
    <s v="Standard Spend"/>
  </r>
  <r>
    <s v="2798-NYLMZ"/>
    <s v="Male"/>
    <x v="2"/>
    <n v="71"/>
    <x v="1"/>
    <x v="1"/>
    <n v="108.55"/>
    <n v="7616"/>
    <x v="0"/>
    <s v="Yes"/>
    <x v="3"/>
    <n v="7616"/>
    <x v="2"/>
    <s v="High Spend"/>
  </r>
  <r>
    <s v="4289-DTDKW"/>
    <s v="Male"/>
    <x v="0"/>
    <n v="40"/>
    <x v="1"/>
    <x v="0"/>
    <n v="101.3"/>
    <n v="4113.1000000000004"/>
    <x v="1"/>
    <s v="Yes"/>
    <x v="0"/>
    <n v="4113.1000000000004"/>
    <x v="2"/>
    <s v="High Spend"/>
  </r>
  <r>
    <s v="1820-TQVEV"/>
    <s v="Male"/>
    <x v="0"/>
    <n v="1"/>
    <x v="1"/>
    <x v="0"/>
    <n v="69.55"/>
    <n v="69.55"/>
    <x v="1"/>
    <s v="Yes"/>
    <x v="0"/>
    <n v="69.55"/>
    <x v="0"/>
    <s v="Standard Spend"/>
  </r>
  <r>
    <s v="2239-JALAW"/>
    <s v="Male"/>
    <x v="1"/>
    <n v="58"/>
    <x v="1"/>
    <x v="0"/>
    <n v="103.25"/>
    <n v="6017.65"/>
    <x v="1"/>
    <s v="Yes"/>
    <x v="2"/>
    <n v="6017.65"/>
    <x v="2"/>
    <s v="High Spend"/>
  </r>
  <r>
    <s v="4853-RULSV"/>
    <s v="Male"/>
    <x v="2"/>
    <n v="70"/>
    <x v="1"/>
    <x v="1"/>
    <n v="104"/>
    <n v="7250.15"/>
    <x v="1"/>
    <s v="Yes"/>
    <x v="3"/>
    <n v="7250.15"/>
    <x v="2"/>
    <s v="High Spend"/>
  </r>
  <r>
    <s v="8098-TDCBU"/>
    <s v="Female"/>
    <x v="2"/>
    <n v="42"/>
    <x v="2"/>
    <x v="2"/>
    <n v="25.25"/>
    <n v="1108.2"/>
    <x v="0"/>
    <s v="No"/>
    <x v="0"/>
    <n v="1108.2"/>
    <x v="2"/>
    <s v="Standard Spend"/>
  </r>
  <r>
    <s v="3551-GAEGL"/>
    <s v="Male"/>
    <x v="1"/>
    <n v="34"/>
    <x v="0"/>
    <x v="0"/>
    <n v="30.4"/>
    <n v="938.65"/>
    <x v="0"/>
    <s v="No"/>
    <x v="2"/>
    <n v="938.65"/>
    <x v="1"/>
    <s v="Standard Spend"/>
  </r>
  <r>
    <s v="4785-NKHCX"/>
    <s v="Male"/>
    <x v="0"/>
    <n v="5"/>
    <x v="2"/>
    <x v="2"/>
    <n v="20.05"/>
    <n v="94.15"/>
    <x v="0"/>
    <s v="No"/>
    <x v="2"/>
    <n v="94.15"/>
    <x v="0"/>
    <s v="Standard Spend"/>
  </r>
  <r>
    <s v="3196-NVXLZ"/>
    <s v="Female"/>
    <x v="0"/>
    <n v="25"/>
    <x v="1"/>
    <x v="0"/>
    <n v="84.6"/>
    <n v="2088.0500000000002"/>
    <x v="0"/>
    <s v="Yes"/>
    <x v="1"/>
    <n v="2088.0500000000002"/>
    <x v="1"/>
    <s v="Standard Spend"/>
  </r>
  <r>
    <s v="6275-YDUVO"/>
    <s v="Female"/>
    <x v="0"/>
    <n v="2"/>
    <x v="1"/>
    <x v="0"/>
    <n v="86.2"/>
    <n v="178.7"/>
    <x v="1"/>
    <s v="Yes"/>
    <x v="1"/>
    <n v="178.7"/>
    <x v="0"/>
    <s v="Standard Spend"/>
  </r>
  <r>
    <s v="0036-IHMOT"/>
    <s v="Female"/>
    <x v="1"/>
    <n v="55"/>
    <x v="1"/>
    <x v="1"/>
    <n v="103.7"/>
    <n v="5656.75"/>
    <x v="0"/>
    <s v="Yes"/>
    <x v="2"/>
    <n v="5656.75"/>
    <x v="2"/>
    <s v="High Spend"/>
  </r>
  <r>
    <s v="0115-TFERT"/>
    <s v="Male"/>
    <x v="0"/>
    <n v="21"/>
    <x v="1"/>
    <x v="1"/>
    <n v="111.2"/>
    <n v="2317.1"/>
    <x v="1"/>
    <s v="Yes"/>
    <x v="0"/>
    <n v="2317.1"/>
    <x v="1"/>
    <s v="Standard Spend"/>
  </r>
  <r>
    <s v="4178-EGMON"/>
    <s v="Male"/>
    <x v="2"/>
    <n v="70"/>
    <x v="1"/>
    <x v="1"/>
    <n v="88"/>
    <n v="5986.45"/>
    <x v="0"/>
    <s v="Yes"/>
    <x v="3"/>
    <n v="5986.45"/>
    <x v="2"/>
    <s v="High Spend"/>
  </r>
  <r>
    <s v="4220-TINQT"/>
    <s v="Female"/>
    <x v="0"/>
    <n v="61"/>
    <x v="1"/>
    <x v="1"/>
    <n v="106.35"/>
    <n v="6751.35"/>
    <x v="0"/>
    <s v="Yes"/>
    <x v="0"/>
    <n v="6751.35"/>
    <x v="2"/>
    <s v="High Spend"/>
  </r>
  <r>
    <s v="5318-YKDPV"/>
    <s v="Male"/>
    <x v="2"/>
    <n v="43"/>
    <x v="0"/>
    <x v="1"/>
    <n v="79.150000000000006"/>
    <n v="3566.6"/>
    <x v="0"/>
    <s v="Yes"/>
    <x v="3"/>
    <n v="3566.6"/>
    <x v="2"/>
    <s v="High Spend"/>
  </r>
  <r>
    <s v="7975-TZMLR"/>
    <s v="Male"/>
    <x v="1"/>
    <n v="47"/>
    <x v="1"/>
    <x v="0"/>
    <n v="103.1"/>
    <n v="4889.3"/>
    <x v="0"/>
    <s v="Yes"/>
    <x v="0"/>
    <n v="4889.3"/>
    <x v="2"/>
    <s v="High Spend"/>
  </r>
  <r>
    <s v="0295-QVKPB"/>
    <s v="Male"/>
    <x v="0"/>
    <n v="5"/>
    <x v="0"/>
    <x v="1"/>
    <n v="63.95"/>
    <n v="318.10000000000002"/>
    <x v="0"/>
    <s v="Yes"/>
    <x v="3"/>
    <n v="318.10000000000002"/>
    <x v="0"/>
    <s v="Standard Spend"/>
  </r>
  <r>
    <s v="4335-BSMJS"/>
    <s v="Female"/>
    <x v="2"/>
    <n v="62"/>
    <x v="2"/>
    <x v="2"/>
    <n v="25.8"/>
    <n v="1563.95"/>
    <x v="0"/>
    <s v="Yes"/>
    <x v="3"/>
    <n v="1563.95"/>
    <x v="2"/>
    <s v="Standard Spend"/>
  </r>
  <r>
    <s v="2311-QYMUQ"/>
    <s v="Female"/>
    <x v="0"/>
    <n v="16"/>
    <x v="1"/>
    <x v="0"/>
    <n v="89.45"/>
    <n v="1430.25"/>
    <x v="1"/>
    <s v="Yes"/>
    <x v="3"/>
    <n v="1430.25"/>
    <x v="1"/>
    <s v="Standard Spend"/>
  </r>
  <r>
    <s v="3643-AHCFP"/>
    <s v="Male"/>
    <x v="0"/>
    <n v="7"/>
    <x v="1"/>
    <x v="0"/>
    <n v="95.6"/>
    <n v="644.35"/>
    <x v="1"/>
    <s v="Yes"/>
    <x v="2"/>
    <n v="644.35"/>
    <x v="0"/>
    <s v="Standard Spend"/>
  </r>
  <r>
    <s v="9146-JRIOX"/>
    <s v="Female"/>
    <x v="0"/>
    <n v="14"/>
    <x v="2"/>
    <x v="2"/>
    <n v="25.55"/>
    <n v="372.45"/>
    <x v="0"/>
    <s v="No"/>
    <x v="1"/>
    <n v="372.45"/>
    <x v="1"/>
    <s v="Standard Spend"/>
  </r>
  <r>
    <s v="3104-OWCGK"/>
    <s v="Male"/>
    <x v="1"/>
    <n v="60"/>
    <x v="1"/>
    <x v="0"/>
    <n v="90.95"/>
    <n v="5453.4"/>
    <x v="1"/>
    <s v="No"/>
    <x v="0"/>
    <n v="5453.4"/>
    <x v="2"/>
    <s v="High Spend"/>
  </r>
  <r>
    <s v="5337-IIWKZ"/>
    <s v="Male"/>
    <x v="0"/>
    <n v="34"/>
    <x v="0"/>
    <x v="1"/>
    <n v="44.85"/>
    <n v="1442.6"/>
    <x v="0"/>
    <s v="Yes"/>
    <x v="0"/>
    <n v="1442.6"/>
    <x v="1"/>
    <s v="Standard Spend"/>
  </r>
  <r>
    <s v="9101-BWFSS"/>
    <s v="Female"/>
    <x v="1"/>
    <n v="50"/>
    <x v="1"/>
    <x v="1"/>
    <n v="108.55"/>
    <n v="5610.7"/>
    <x v="1"/>
    <s v="No"/>
    <x v="0"/>
    <n v="5610.7"/>
    <x v="2"/>
    <s v="High Spend"/>
  </r>
  <r>
    <s v="9650-VBUOG"/>
    <s v="Male"/>
    <x v="2"/>
    <n v="38"/>
    <x v="2"/>
    <x v="2"/>
    <n v="25.05"/>
    <n v="963.95"/>
    <x v="0"/>
    <s v="No"/>
    <x v="3"/>
    <n v="963.95"/>
    <x v="2"/>
    <s v="Standard Spend"/>
  </r>
  <r>
    <s v="3487-EARAT"/>
    <s v="Female"/>
    <x v="1"/>
    <n v="70"/>
    <x v="0"/>
    <x v="1"/>
    <n v="74.099999999999994"/>
    <n v="5222.3"/>
    <x v="0"/>
    <s v="No"/>
    <x v="3"/>
    <n v="5222.3"/>
    <x v="2"/>
    <s v="High Spend"/>
  </r>
  <r>
    <s v="2672-TGEFF"/>
    <s v="Female"/>
    <x v="0"/>
    <n v="37"/>
    <x v="1"/>
    <x v="0"/>
    <n v="88.8"/>
    <n v="3340.55"/>
    <x v="0"/>
    <s v="Yes"/>
    <x v="0"/>
    <n v="3340.55"/>
    <x v="2"/>
    <s v="High Spend"/>
  </r>
  <r>
    <s v="9231-ZJYAM"/>
    <s v="Female"/>
    <x v="0"/>
    <n v="4"/>
    <x v="1"/>
    <x v="0"/>
    <n v="78.849999999999994"/>
    <n v="292.8"/>
    <x v="1"/>
    <s v="Yes"/>
    <x v="0"/>
    <n v="292.8"/>
    <x v="0"/>
    <s v="Standard Spend"/>
  </r>
  <r>
    <s v="4250-WAROZ"/>
    <s v="Male"/>
    <x v="0"/>
    <n v="60"/>
    <x v="1"/>
    <x v="0"/>
    <n v="93.25"/>
    <n v="5774.55"/>
    <x v="0"/>
    <s v="Yes"/>
    <x v="0"/>
    <n v="5774.55"/>
    <x v="2"/>
    <s v="High Spend"/>
  </r>
  <r>
    <s v="8184-WMOFI"/>
    <s v="Male"/>
    <x v="1"/>
    <n v="62"/>
    <x v="0"/>
    <x v="1"/>
    <n v="71.400000000000006"/>
    <n v="4487.3"/>
    <x v="0"/>
    <s v="No"/>
    <x v="3"/>
    <n v="4487.3"/>
    <x v="2"/>
    <s v="High Spend"/>
  </r>
  <r>
    <s v="6982-SSHFK"/>
    <s v="Male"/>
    <x v="0"/>
    <n v="1"/>
    <x v="0"/>
    <x v="0"/>
    <n v="44.4"/>
    <n v="44.4"/>
    <x v="1"/>
    <s v="No"/>
    <x v="1"/>
    <n v="44.4"/>
    <x v="0"/>
    <s v="Standard Spend"/>
  </r>
  <r>
    <s v="6092-QZVPP"/>
    <s v="Male"/>
    <x v="0"/>
    <n v="36"/>
    <x v="0"/>
    <x v="1"/>
    <n v="79.2"/>
    <n v="2854.95"/>
    <x v="0"/>
    <s v="Yes"/>
    <x v="3"/>
    <n v="2854.95"/>
    <x v="1"/>
    <s v="High Spend"/>
  </r>
  <r>
    <s v="4625-LAMOB"/>
    <s v="Male"/>
    <x v="2"/>
    <n v="44"/>
    <x v="2"/>
    <x v="2"/>
    <n v="20.399999999999999"/>
    <n v="905.55"/>
    <x v="0"/>
    <s v="No"/>
    <x v="3"/>
    <n v="905.55"/>
    <x v="2"/>
    <s v="Standard Spend"/>
  </r>
  <r>
    <s v="0727-BMPLR"/>
    <s v="Female"/>
    <x v="1"/>
    <n v="55"/>
    <x v="1"/>
    <x v="0"/>
    <n v="100"/>
    <n v="5509.3"/>
    <x v="1"/>
    <s v="Yes"/>
    <x v="0"/>
    <n v="5509.3"/>
    <x v="2"/>
    <s v="High Spend"/>
  </r>
  <r>
    <s v="0392-BZIUW"/>
    <s v="Female"/>
    <x v="2"/>
    <n v="72"/>
    <x v="1"/>
    <x v="0"/>
    <n v="105"/>
    <n v="7589.8"/>
    <x v="0"/>
    <s v="Yes"/>
    <x v="3"/>
    <n v="7589.8"/>
    <x v="2"/>
    <s v="High Spend"/>
  </r>
  <r>
    <s v="1038-ZAGBI"/>
    <s v="Female"/>
    <x v="1"/>
    <n v="12"/>
    <x v="2"/>
    <x v="2"/>
    <n v="19.8"/>
    <n v="229.6"/>
    <x v="1"/>
    <s v="No"/>
    <x v="2"/>
    <n v="229.6"/>
    <x v="0"/>
    <s v="Standard Spend"/>
  </r>
  <r>
    <s v="6549-NNDYT"/>
    <s v="Female"/>
    <x v="0"/>
    <n v="13"/>
    <x v="0"/>
    <x v="0"/>
    <n v="30.85"/>
    <n v="394.1"/>
    <x v="0"/>
    <s v="Yes"/>
    <x v="2"/>
    <n v="394.1"/>
    <x v="1"/>
    <s v="Standard Spend"/>
  </r>
  <r>
    <s v="3027-ZTDHO"/>
    <s v="Male"/>
    <x v="0"/>
    <n v="1"/>
    <x v="1"/>
    <x v="0"/>
    <n v="89.9"/>
    <n v="89.9"/>
    <x v="1"/>
    <s v="Yes"/>
    <x v="0"/>
    <n v="89.9"/>
    <x v="0"/>
    <s v="Standard Spend"/>
  </r>
  <r>
    <s v="0422-OHQHQ"/>
    <s v="Female"/>
    <x v="1"/>
    <n v="15"/>
    <x v="2"/>
    <x v="2"/>
    <n v="20.55"/>
    <n v="295.95"/>
    <x v="0"/>
    <s v="No"/>
    <x v="1"/>
    <n v="295.95"/>
    <x v="1"/>
    <s v="Standard Spend"/>
  </r>
  <r>
    <s v="6916-HIJSE"/>
    <s v="Female"/>
    <x v="2"/>
    <n v="65"/>
    <x v="0"/>
    <x v="1"/>
    <n v="84.85"/>
    <n v="5459.2"/>
    <x v="0"/>
    <s v="Yes"/>
    <x v="2"/>
    <n v="5459.2"/>
    <x v="2"/>
    <s v="High Spend"/>
  </r>
  <r>
    <s v="2316-ESMLS"/>
    <s v="Female"/>
    <x v="1"/>
    <n v="12"/>
    <x v="0"/>
    <x v="1"/>
    <n v="33.15"/>
    <n v="444.75"/>
    <x v="0"/>
    <s v="No"/>
    <x v="3"/>
    <n v="444.75"/>
    <x v="0"/>
    <s v="Standard Spend"/>
  </r>
  <r>
    <s v="9778-OGKQZ"/>
    <s v="Male"/>
    <x v="2"/>
    <n v="72"/>
    <x v="0"/>
    <x v="1"/>
    <n v="92"/>
    <n v="6782.15"/>
    <x v="0"/>
    <s v="Yes"/>
    <x v="3"/>
    <n v="6782.15"/>
    <x v="2"/>
    <s v="High Spend"/>
  </r>
  <r>
    <s v="7408-OFWXJ"/>
    <s v="Female"/>
    <x v="2"/>
    <n v="72"/>
    <x v="0"/>
    <x v="1"/>
    <n v="89.8"/>
    <n v="6510.45"/>
    <x v="0"/>
    <s v="No"/>
    <x v="3"/>
    <n v="6510.45"/>
    <x v="2"/>
    <s v="High Spend"/>
  </r>
  <r>
    <s v="6007-TCTST"/>
    <s v="Female"/>
    <x v="2"/>
    <n v="72"/>
    <x v="1"/>
    <x v="1"/>
    <n v="115.8"/>
    <n v="8476.5"/>
    <x v="0"/>
    <s v="Yes"/>
    <x v="2"/>
    <n v="8476.5"/>
    <x v="2"/>
    <s v="High Spend"/>
  </r>
  <r>
    <s v="2252-NKNSI"/>
    <s v="Male"/>
    <x v="2"/>
    <n v="52"/>
    <x v="0"/>
    <x v="1"/>
    <n v="85.15"/>
    <n v="4461.8500000000004"/>
    <x v="0"/>
    <s v="Yes"/>
    <x v="1"/>
    <n v="4461.8500000000004"/>
    <x v="2"/>
    <s v="High Spend"/>
  </r>
  <r>
    <s v="8713-IGZSO"/>
    <s v="Male"/>
    <x v="0"/>
    <n v="2"/>
    <x v="2"/>
    <x v="2"/>
    <n v="24.85"/>
    <n v="62"/>
    <x v="0"/>
    <s v="No"/>
    <x v="1"/>
    <n v="62"/>
    <x v="0"/>
    <s v="Standard Spend"/>
  </r>
  <r>
    <s v="7905-TVXTA"/>
    <s v="Female"/>
    <x v="0"/>
    <n v="5"/>
    <x v="0"/>
    <x v="1"/>
    <n v="64.349999999999994"/>
    <n v="352.65"/>
    <x v="0"/>
    <s v="Yes"/>
    <x v="0"/>
    <n v="352.65"/>
    <x v="0"/>
    <s v="Standard Spend"/>
  </r>
  <r>
    <s v="7695-PKLCZ"/>
    <s v="Female"/>
    <x v="2"/>
    <n v="68"/>
    <x v="2"/>
    <x v="2"/>
    <n v="20.5"/>
    <n v="1424.9"/>
    <x v="0"/>
    <s v="No"/>
    <x v="3"/>
    <n v="1424.9"/>
    <x v="2"/>
    <s v="Standard Spend"/>
  </r>
  <r>
    <s v="2382-BCKQJ"/>
    <s v="Female"/>
    <x v="1"/>
    <n v="62"/>
    <x v="1"/>
    <x v="0"/>
    <n v="100.15"/>
    <n v="6413.65"/>
    <x v="1"/>
    <s v="Yes"/>
    <x v="0"/>
    <n v="6413.65"/>
    <x v="2"/>
    <s v="High Spend"/>
  </r>
  <r>
    <s v="8374-UULRV"/>
    <s v="Male"/>
    <x v="2"/>
    <n v="72"/>
    <x v="0"/>
    <x v="1"/>
    <n v="86.05"/>
    <n v="6309.65"/>
    <x v="0"/>
    <s v="No"/>
    <x v="3"/>
    <n v="6309.65"/>
    <x v="2"/>
    <s v="High Spend"/>
  </r>
  <r>
    <s v="2207-NHRJK"/>
    <s v="Male"/>
    <x v="0"/>
    <n v="1"/>
    <x v="0"/>
    <x v="0"/>
    <n v="50.8"/>
    <n v="50.8"/>
    <x v="1"/>
    <s v="No"/>
    <x v="0"/>
    <n v="50.8"/>
    <x v="0"/>
    <s v="Standard Spend"/>
  </r>
  <r>
    <s v="3224-DFQNQ"/>
    <s v="Female"/>
    <x v="1"/>
    <n v="66"/>
    <x v="1"/>
    <x v="1"/>
    <n v="89"/>
    <n v="5898.6"/>
    <x v="0"/>
    <s v="No"/>
    <x v="0"/>
    <n v="5898.6"/>
    <x v="2"/>
    <s v="High Spend"/>
  </r>
  <r>
    <s v="5275-PMFUT"/>
    <s v="Male"/>
    <x v="2"/>
    <n v="72"/>
    <x v="0"/>
    <x v="1"/>
    <n v="64.8"/>
    <n v="4719.75"/>
    <x v="0"/>
    <s v="Yes"/>
    <x v="3"/>
    <n v="4719.75"/>
    <x v="2"/>
    <s v="High Spend"/>
  </r>
  <r>
    <s v="4795-UXVCJ"/>
    <s v="Male"/>
    <x v="1"/>
    <n v="26"/>
    <x v="2"/>
    <x v="2"/>
    <n v="19.8"/>
    <n v="457.3"/>
    <x v="0"/>
    <s v="No"/>
    <x v="3"/>
    <n v="457.3"/>
    <x v="1"/>
    <s v="Standard Spend"/>
  </r>
  <r>
    <s v="9777-IQHWP"/>
    <s v="Male"/>
    <x v="2"/>
    <n v="64"/>
    <x v="1"/>
    <x v="0"/>
    <n v="93.4"/>
    <n v="5822.3"/>
    <x v="0"/>
    <s v="No"/>
    <x v="2"/>
    <n v="5822.3"/>
    <x v="2"/>
    <s v="High Spend"/>
  </r>
  <r>
    <s v="0947-MUGVO"/>
    <s v="Male"/>
    <x v="0"/>
    <n v="20"/>
    <x v="1"/>
    <x v="0"/>
    <n v="73.650000000000006"/>
    <n v="1463.5"/>
    <x v="1"/>
    <s v="Yes"/>
    <x v="0"/>
    <n v="1463.5"/>
    <x v="1"/>
    <s v="Standard Spend"/>
  </r>
  <r>
    <s v="9944-HKVVB"/>
    <s v="Female"/>
    <x v="0"/>
    <n v="3"/>
    <x v="1"/>
    <x v="0"/>
    <n v="95.1"/>
    <n v="307.39999999999998"/>
    <x v="1"/>
    <s v="Yes"/>
    <x v="0"/>
    <n v="307.39999999999998"/>
    <x v="0"/>
    <s v="Standard Spend"/>
  </r>
  <r>
    <s v="4124-MMETB"/>
    <s v="Male"/>
    <x v="0"/>
    <n v="22"/>
    <x v="1"/>
    <x v="0"/>
    <n v="94.65"/>
    <n v="2104.5500000000002"/>
    <x v="1"/>
    <s v="Yes"/>
    <x v="3"/>
    <n v="2104.5500000000002"/>
    <x v="1"/>
    <s v="Standard Spend"/>
  </r>
  <r>
    <s v="3671-SHRSP"/>
    <s v="Male"/>
    <x v="0"/>
    <n v="4"/>
    <x v="1"/>
    <x v="1"/>
    <n v="80.599999999999994"/>
    <n v="319.14999999999998"/>
    <x v="1"/>
    <s v="Yes"/>
    <x v="1"/>
    <n v="319.14999999999998"/>
    <x v="0"/>
    <s v="Standard Spend"/>
  </r>
  <r>
    <s v="0979-MOZQI"/>
    <s v="Male"/>
    <x v="2"/>
    <n v="62"/>
    <x v="0"/>
    <x v="1"/>
    <n v="39"/>
    <n v="2337.4499999999998"/>
    <x v="0"/>
    <s v="Yes"/>
    <x v="2"/>
    <n v="2337.4499999999998"/>
    <x v="2"/>
    <s v="Standard Spend"/>
  </r>
  <r>
    <s v="2732-ISEZX"/>
    <s v="Female"/>
    <x v="0"/>
    <n v="5"/>
    <x v="2"/>
    <x v="2"/>
    <n v="20.5"/>
    <n v="104.3"/>
    <x v="0"/>
    <s v="Yes"/>
    <x v="1"/>
    <n v="104.3"/>
    <x v="0"/>
    <s v="Standard Spend"/>
  </r>
  <r>
    <s v="3313-QKNKB"/>
    <s v="Male"/>
    <x v="1"/>
    <n v="59"/>
    <x v="1"/>
    <x v="0"/>
    <n v="85.55"/>
    <n v="5084.6499999999996"/>
    <x v="1"/>
    <s v="No"/>
    <x v="0"/>
    <n v="5084.6499999999996"/>
    <x v="2"/>
    <s v="High Spend"/>
  </r>
  <r>
    <s v="0323-XWWTN"/>
    <s v="Male"/>
    <x v="2"/>
    <n v="3"/>
    <x v="2"/>
    <x v="2"/>
    <n v="26.4"/>
    <n v="121.25"/>
    <x v="0"/>
    <s v="Yes"/>
    <x v="1"/>
    <n v="121.25"/>
    <x v="0"/>
    <s v="Standard Spend"/>
  </r>
  <r>
    <s v="1937-OTUKY"/>
    <s v="Female"/>
    <x v="2"/>
    <n v="72"/>
    <x v="1"/>
    <x v="1"/>
    <n v="98.2"/>
    <n v="7015.9"/>
    <x v="0"/>
    <s v="Yes"/>
    <x v="2"/>
    <n v="7015.9"/>
    <x v="2"/>
    <s v="High Spend"/>
  </r>
  <r>
    <s v="1573-LGXBA"/>
    <s v="Male"/>
    <x v="1"/>
    <n v="57"/>
    <x v="1"/>
    <x v="0"/>
    <n v="97.55"/>
    <n v="5598"/>
    <x v="0"/>
    <s v="Yes"/>
    <x v="3"/>
    <n v="5598"/>
    <x v="2"/>
    <s v="High Spend"/>
  </r>
  <r>
    <s v="1764-VUUMT"/>
    <s v="Male"/>
    <x v="2"/>
    <n v="66"/>
    <x v="2"/>
    <x v="2"/>
    <n v="19.95"/>
    <n v="1269.0999999999999"/>
    <x v="0"/>
    <s v="No"/>
    <x v="3"/>
    <n v="1269.0999999999999"/>
    <x v="2"/>
    <s v="Standard Spend"/>
  </r>
  <r>
    <s v="5073-WXOYN"/>
    <s v="Female"/>
    <x v="0"/>
    <n v="60"/>
    <x v="0"/>
    <x v="0"/>
    <n v="50.8"/>
    <n v="3027.4"/>
    <x v="1"/>
    <s v="Yes"/>
    <x v="0"/>
    <n v="3027.4"/>
    <x v="2"/>
    <s v="High Spend"/>
  </r>
  <r>
    <s v="4713-ZBURT"/>
    <s v="Male"/>
    <x v="2"/>
    <n v="45"/>
    <x v="1"/>
    <x v="0"/>
    <n v="99.7"/>
    <n v="4634.3500000000004"/>
    <x v="0"/>
    <s v="No"/>
    <x v="2"/>
    <n v="4634.3500000000004"/>
    <x v="2"/>
    <s v="High Spend"/>
  </r>
  <r>
    <s v="3050-GBUSH"/>
    <s v="Female"/>
    <x v="0"/>
    <n v="3"/>
    <x v="0"/>
    <x v="0"/>
    <n v="34.799999999999997"/>
    <n v="113.95"/>
    <x v="0"/>
    <s v="Yes"/>
    <x v="3"/>
    <n v="113.95"/>
    <x v="0"/>
    <s v="Standard Spend"/>
  </r>
  <r>
    <s v="0207-MDKNV"/>
    <s v="Female"/>
    <x v="0"/>
    <n v="15"/>
    <x v="1"/>
    <x v="1"/>
    <n v="105.1"/>
    <n v="1582.75"/>
    <x v="1"/>
    <s v="No"/>
    <x v="0"/>
    <n v="1582.75"/>
    <x v="1"/>
    <s v="Standard Spend"/>
  </r>
  <r>
    <s v="7876-AEHIG"/>
    <s v="Female"/>
    <x v="1"/>
    <n v="51"/>
    <x v="0"/>
    <x v="1"/>
    <n v="60.15"/>
    <n v="3077"/>
    <x v="0"/>
    <s v="No"/>
    <x v="2"/>
    <n v="3077"/>
    <x v="2"/>
    <s v="High Spend"/>
  </r>
  <r>
    <s v="7945-HLKEA"/>
    <s v="Female"/>
    <x v="1"/>
    <n v="60"/>
    <x v="0"/>
    <x v="1"/>
    <n v="64.75"/>
    <n v="4039.5"/>
    <x v="0"/>
    <s v="No"/>
    <x v="0"/>
    <n v="4039.5"/>
    <x v="2"/>
    <s v="High Spend"/>
  </r>
  <r>
    <s v="9342-VNIMQ"/>
    <s v="Male"/>
    <x v="0"/>
    <n v="33"/>
    <x v="0"/>
    <x v="0"/>
    <n v="54.65"/>
    <n v="1665.2"/>
    <x v="0"/>
    <s v="Yes"/>
    <x v="2"/>
    <n v="1665.2"/>
    <x v="1"/>
    <s v="Standard Spend"/>
  </r>
  <r>
    <s v="9851-KIELU"/>
    <s v="Male"/>
    <x v="0"/>
    <n v="10"/>
    <x v="1"/>
    <x v="1"/>
    <n v="110.1"/>
    <n v="1043.3"/>
    <x v="1"/>
    <s v="Yes"/>
    <x v="0"/>
    <n v="1043.3"/>
    <x v="0"/>
    <s v="Standard Spend"/>
  </r>
  <r>
    <s v="3523-BRGUW"/>
    <s v="Male"/>
    <x v="1"/>
    <n v="26"/>
    <x v="2"/>
    <x v="2"/>
    <n v="19.3"/>
    <n v="504.2"/>
    <x v="0"/>
    <s v="No"/>
    <x v="3"/>
    <n v="504.2"/>
    <x v="1"/>
    <s v="Standard Spend"/>
  </r>
  <r>
    <s v="3908-BLSYF"/>
    <s v="Female"/>
    <x v="0"/>
    <n v="6"/>
    <x v="1"/>
    <x v="0"/>
    <n v="83.9"/>
    <n v="497.55"/>
    <x v="1"/>
    <s v="No"/>
    <x v="0"/>
    <n v="497.55"/>
    <x v="0"/>
    <s v="Standard Spend"/>
  </r>
  <r>
    <s v="3199-NPKCN"/>
    <s v="Female"/>
    <x v="1"/>
    <n v="67"/>
    <x v="1"/>
    <x v="1"/>
    <n v="111.25"/>
    <n v="7511.65"/>
    <x v="0"/>
    <s v="Yes"/>
    <x v="0"/>
    <n v="7511.65"/>
    <x v="2"/>
    <s v="High Spend"/>
  </r>
  <r>
    <s v="5170-PTRKA"/>
    <s v="Female"/>
    <x v="1"/>
    <n v="49"/>
    <x v="0"/>
    <x v="1"/>
    <n v="35.799999999999997"/>
    <n v="1782"/>
    <x v="0"/>
    <s v="Yes"/>
    <x v="3"/>
    <n v="1782"/>
    <x v="2"/>
    <s v="Standard Spend"/>
  </r>
  <r>
    <s v="4661-NJEUX"/>
    <s v="Male"/>
    <x v="0"/>
    <n v="1"/>
    <x v="2"/>
    <x v="2"/>
    <n v="20.05"/>
    <n v="20.05"/>
    <x v="0"/>
    <s v="Yes"/>
    <x v="1"/>
    <n v="20.05"/>
    <x v="0"/>
    <s v="Standard Spend"/>
  </r>
  <r>
    <s v="2123-AGEEN"/>
    <s v="Female"/>
    <x v="0"/>
    <n v="7"/>
    <x v="1"/>
    <x v="0"/>
    <n v="84.35"/>
    <n v="609.65"/>
    <x v="0"/>
    <s v="Yes"/>
    <x v="0"/>
    <n v="609.65"/>
    <x v="0"/>
    <s v="Standard Spend"/>
  </r>
  <r>
    <s v="1258-YMZNM"/>
    <s v="Female"/>
    <x v="1"/>
    <n v="27"/>
    <x v="1"/>
    <x v="0"/>
    <n v="110.5"/>
    <n v="2857.6"/>
    <x v="0"/>
    <s v="Yes"/>
    <x v="2"/>
    <n v="2857.6"/>
    <x v="1"/>
    <s v="High Spend"/>
  </r>
  <r>
    <s v="0048-LUMLS"/>
    <s v="Male"/>
    <x v="1"/>
    <n v="37"/>
    <x v="1"/>
    <x v="0"/>
    <n v="91.2"/>
    <n v="3247.55"/>
    <x v="0"/>
    <s v="No"/>
    <x v="3"/>
    <n v="3247.55"/>
    <x v="2"/>
    <s v="High Spend"/>
  </r>
  <r>
    <s v="7549-MYGPK"/>
    <s v="Female"/>
    <x v="0"/>
    <n v="63"/>
    <x v="1"/>
    <x v="0"/>
    <n v="100.55"/>
    <n v="6215.35"/>
    <x v="1"/>
    <s v="Yes"/>
    <x v="0"/>
    <n v="6215.35"/>
    <x v="2"/>
    <s v="High Spend"/>
  </r>
  <r>
    <s v="5898-IGSLP"/>
    <s v="Male"/>
    <x v="0"/>
    <n v="31"/>
    <x v="1"/>
    <x v="1"/>
    <n v="89.3"/>
    <n v="2823"/>
    <x v="0"/>
    <s v="No"/>
    <x v="0"/>
    <n v="2823"/>
    <x v="1"/>
    <s v="High Spend"/>
  </r>
  <r>
    <s v="3804-RVTGV"/>
    <s v="Male"/>
    <x v="0"/>
    <n v="50"/>
    <x v="1"/>
    <x v="0"/>
    <n v="103.85"/>
    <n v="5017.8999999999996"/>
    <x v="1"/>
    <s v="Yes"/>
    <x v="2"/>
    <n v="5017.8999999999996"/>
    <x v="2"/>
    <s v="High Spend"/>
  </r>
  <r>
    <s v="6259-WJQLC"/>
    <s v="Male"/>
    <x v="0"/>
    <n v="32"/>
    <x v="1"/>
    <x v="0"/>
    <n v="81.099999999999994"/>
    <n v="2619.25"/>
    <x v="0"/>
    <s v="Yes"/>
    <x v="3"/>
    <n v="2619.25"/>
    <x v="1"/>
    <s v="High Spend"/>
  </r>
  <r>
    <s v="9227-LUNBG"/>
    <s v="Female"/>
    <x v="0"/>
    <n v="1"/>
    <x v="0"/>
    <x v="0"/>
    <n v="24.6"/>
    <n v="24.6"/>
    <x v="1"/>
    <s v="No"/>
    <x v="0"/>
    <n v="24.6"/>
    <x v="0"/>
    <s v="Standard Spend"/>
  </r>
  <r>
    <s v="7997-EASSD"/>
    <s v="Female"/>
    <x v="1"/>
    <n v="63"/>
    <x v="1"/>
    <x v="1"/>
    <n v="81.2"/>
    <n v="4965.1000000000004"/>
    <x v="0"/>
    <s v="Yes"/>
    <x v="3"/>
    <n v="4965.1000000000004"/>
    <x v="2"/>
    <s v="High Spend"/>
  </r>
  <r>
    <s v="0730-KOAVE"/>
    <s v="Male"/>
    <x v="0"/>
    <n v="30"/>
    <x v="1"/>
    <x v="0"/>
    <n v="94.3"/>
    <n v="2679.7"/>
    <x v="0"/>
    <s v="Yes"/>
    <x v="3"/>
    <n v="2679.7"/>
    <x v="1"/>
    <s v="High Spend"/>
  </r>
  <r>
    <s v="8975-SKGRX"/>
    <s v="Male"/>
    <x v="2"/>
    <n v="71"/>
    <x v="1"/>
    <x v="1"/>
    <n v="116.1"/>
    <n v="8310.5499999999993"/>
    <x v="0"/>
    <s v="Yes"/>
    <x v="2"/>
    <n v="8310.5499999999993"/>
    <x v="2"/>
    <s v="High Spend"/>
  </r>
  <r>
    <s v="0678-RLHVP"/>
    <s v="Female"/>
    <x v="2"/>
    <n v="53"/>
    <x v="1"/>
    <x v="0"/>
    <n v="105.55"/>
    <n v="5682.25"/>
    <x v="0"/>
    <s v="No"/>
    <x v="0"/>
    <n v="5682.25"/>
    <x v="2"/>
    <s v="High Spend"/>
  </r>
  <r>
    <s v="4315-MURBD"/>
    <s v="Female"/>
    <x v="0"/>
    <n v="12"/>
    <x v="1"/>
    <x v="1"/>
    <n v="98.9"/>
    <n v="1120.95"/>
    <x v="1"/>
    <s v="Yes"/>
    <x v="2"/>
    <n v="1120.95"/>
    <x v="0"/>
    <s v="Standard Spend"/>
  </r>
  <r>
    <s v="2267-FPIMA"/>
    <s v="Male"/>
    <x v="0"/>
    <n v="50"/>
    <x v="1"/>
    <x v="0"/>
    <n v="94.4"/>
    <n v="4914.8999999999996"/>
    <x v="0"/>
    <s v="Yes"/>
    <x v="3"/>
    <n v="4914.8999999999996"/>
    <x v="2"/>
    <s v="High Spend"/>
  </r>
  <r>
    <s v="1051-GEJLJ"/>
    <s v="Female"/>
    <x v="0"/>
    <n v="2"/>
    <x v="2"/>
    <x v="2"/>
    <n v="19.5"/>
    <n v="27.55"/>
    <x v="0"/>
    <s v="No"/>
    <x v="1"/>
    <n v="27.55"/>
    <x v="0"/>
    <s v="Standard Spend"/>
  </r>
  <r>
    <s v="9734-YWGEX"/>
    <s v="Female"/>
    <x v="0"/>
    <n v="9"/>
    <x v="1"/>
    <x v="0"/>
    <n v="98.3"/>
    <n v="923.5"/>
    <x v="1"/>
    <s v="No"/>
    <x v="3"/>
    <n v="923.5"/>
    <x v="0"/>
    <s v="Standard Spend"/>
  </r>
  <r>
    <s v="2719-BDAQO"/>
    <s v="Male"/>
    <x v="0"/>
    <n v="17"/>
    <x v="1"/>
    <x v="0"/>
    <n v="93.85"/>
    <n v="1625.65"/>
    <x v="1"/>
    <s v="No"/>
    <x v="0"/>
    <n v="1625.65"/>
    <x v="1"/>
    <s v="Standard Spend"/>
  </r>
  <r>
    <s v="5285-MVEHD"/>
    <s v="Female"/>
    <x v="1"/>
    <n v="56"/>
    <x v="1"/>
    <x v="0"/>
    <n v="105.6"/>
    <n v="6068.65"/>
    <x v="0"/>
    <s v="Yes"/>
    <x v="3"/>
    <n v="6068.65"/>
    <x v="2"/>
    <s v="High Spend"/>
  </r>
  <r>
    <s v="0379-DJQHR"/>
    <s v="Male"/>
    <x v="2"/>
    <n v="67"/>
    <x v="0"/>
    <x v="0"/>
    <n v="81.349999999999994"/>
    <n v="5398.6"/>
    <x v="0"/>
    <s v="No"/>
    <x v="3"/>
    <n v="5398.6"/>
    <x v="2"/>
    <s v="High Spend"/>
  </r>
  <r>
    <s v="0781-LKXBR"/>
    <s v="Male"/>
    <x v="0"/>
    <n v="9"/>
    <x v="1"/>
    <x v="0"/>
    <n v="100.5"/>
    <n v="918.6"/>
    <x v="1"/>
    <s v="Yes"/>
    <x v="0"/>
    <n v="918.6"/>
    <x v="0"/>
    <s v="Standard Spend"/>
  </r>
  <r>
    <s v="5543-QDCRY"/>
    <s v="Male"/>
    <x v="0"/>
    <n v="4"/>
    <x v="0"/>
    <x v="0"/>
    <n v="56.4"/>
    <n v="234.85"/>
    <x v="0"/>
    <s v="Yes"/>
    <x v="0"/>
    <n v="234.85"/>
    <x v="0"/>
    <s v="Standard Spend"/>
  </r>
  <r>
    <s v="0297-RBCSG"/>
    <s v="Male"/>
    <x v="1"/>
    <n v="19"/>
    <x v="0"/>
    <x v="1"/>
    <n v="65.349999999999994"/>
    <n v="1231.8499999999999"/>
    <x v="0"/>
    <s v="Yes"/>
    <x v="2"/>
    <n v="1231.8499999999999"/>
    <x v="1"/>
    <s v="Standard Spend"/>
  </r>
  <r>
    <s v="4694-PHWFW"/>
    <s v="Female"/>
    <x v="0"/>
    <n v="8"/>
    <x v="2"/>
    <x v="2"/>
    <n v="19.95"/>
    <n v="170.9"/>
    <x v="0"/>
    <s v="No"/>
    <x v="1"/>
    <n v="170.9"/>
    <x v="0"/>
    <s v="Standard Spend"/>
  </r>
  <r>
    <s v="0835-JKADZ"/>
    <s v="Female"/>
    <x v="2"/>
    <n v="71"/>
    <x v="1"/>
    <x v="1"/>
    <n v="111.25"/>
    <n v="7984.15"/>
    <x v="0"/>
    <s v="Yes"/>
    <x v="0"/>
    <n v="7984.15"/>
    <x v="2"/>
    <s v="High Spend"/>
  </r>
  <r>
    <s v="1907-UBQFC"/>
    <s v="Male"/>
    <x v="0"/>
    <n v="10"/>
    <x v="1"/>
    <x v="0"/>
    <n v="72.849999999999994"/>
    <n v="688.65"/>
    <x v="1"/>
    <s v="Yes"/>
    <x v="0"/>
    <n v="688.65"/>
    <x v="0"/>
    <s v="Standard Spend"/>
  </r>
  <r>
    <s v="7508-SMHXL"/>
    <s v="Female"/>
    <x v="0"/>
    <n v="15"/>
    <x v="1"/>
    <x v="0"/>
    <n v="89"/>
    <n v="1288.3"/>
    <x v="0"/>
    <s v="No"/>
    <x v="3"/>
    <n v="1288.3"/>
    <x v="1"/>
    <s v="Standard Spend"/>
  </r>
  <r>
    <s v="3865-YIOTT"/>
    <s v="Male"/>
    <x v="1"/>
    <n v="72"/>
    <x v="1"/>
    <x v="0"/>
    <n v="106.1"/>
    <n v="7848.5"/>
    <x v="0"/>
    <s v="Yes"/>
    <x v="2"/>
    <n v="7848.5"/>
    <x v="2"/>
    <s v="High Spend"/>
  </r>
  <r>
    <s v="5993-BQHEA"/>
    <s v="Male"/>
    <x v="1"/>
    <n v="12"/>
    <x v="2"/>
    <x v="2"/>
    <n v="20.05"/>
    <n v="267"/>
    <x v="0"/>
    <s v="No"/>
    <x v="3"/>
    <n v="267"/>
    <x v="0"/>
    <s v="Standard Spend"/>
  </r>
  <r>
    <s v="6024-RUGGH"/>
    <s v="Male"/>
    <x v="2"/>
    <n v="72"/>
    <x v="2"/>
    <x v="2"/>
    <n v="25.2"/>
    <n v="1798.9"/>
    <x v="0"/>
    <s v="Yes"/>
    <x v="2"/>
    <n v="1798.9"/>
    <x v="2"/>
    <s v="Standard Spend"/>
  </r>
  <r>
    <s v="6513-EECDB"/>
    <s v="Male"/>
    <x v="0"/>
    <n v="1"/>
    <x v="1"/>
    <x v="0"/>
    <n v="73.55"/>
    <n v="73.55"/>
    <x v="1"/>
    <s v="Yes"/>
    <x v="0"/>
    <n v="73.55"/>
    <x v="0"/>
    <s v="Standard Spend"/>
  </r>
  <r>
    <s v="3956-CJUST"/>
    <s v="Female"/>
    <x v="0"/>
    <n v="23"/>
    <x v="1"/>
    <x v="0"/>
    <n v="75.400000000000006"/>
    <n v="1643.55"/>
    <x v="0"/>
    <s v="Yes"/>
    <x v="2"/>
    <n v="1643.55"/>
    <x v="1"/>
    <s v="Standard Spend"/>
  </r>
  <r>
    <s v="4079-WWQQQ"/>
    <s v="Male"/>
    <x v="2"/>
    <n v="72"/>
    <x v="0"/>
    <x v="1"/>
    <n v="65.55"/>
    <n v="4807.45"/>
    <x v="0"/>
    <s v="Yes"/>
    <x v="2"/>
    <n v="4807.45"/>
    <x v="2"/>
    <s v="High Spend"/>
  </r>
  <r>
    <s v="6103-BOCOU"/>
    <s v="Female"/>
    <x v="0"/>
    <n v="26"/>
    <x v="1"/>
    <x v="0"/>
    <n v="80.7"/>
    <n v="2193"/>
    <x v="0"/>
    <s v="Yes"/>
    <x v="0"/>
    <n v="2193"/>
    <x v="1"/>
    <s v="Standard Spend"/>
  </r>
  <r>
    <s v="5149-TGWDZ"/>
    <s v="Female"/>
    <x v="1"/>
    <n v="21"/>
    <x v="1"/>
    <x v="1"/>
    <n v="104.55"/>
    <n v="2239.4"/>
    <x v="0"/>
    <s v="Yes"/>
    <x v="1"/>
    <n v="2239.4"/>
    <x v="1"/>
    <s v="Standard Spend"/>
  </r>
  <r>
    <s v="7471-WNSUF"/>
    <s v="Male"/>
    <x v="1"/>
    <n v="60"/>
    <x v="2"/>
    <x v="2"/>
    <n v="24.15"/>
    <n v="1505.9"/>
    <x v="0"/>
    <s v="No"/>
    <x v="2"/>
    <n v="1505.9"/>
    <x v="2"/>
    <s v="Standard Spend"/>
  </r>
  <r>
    <s v="8942-DBMHZ"/>
    <s v="Male"/>
    <x v="0"/>
    <n v="12"/>
    <x v="2"/>
    <x v="2"/>
    <n v="20.45"/>
    <n v="255.35"/>
    <x v="0"/>
    <s v="No"/>
    <x v="1"/>
    <n v="255.35"/>
    <x v="0"/>
    <s v="Standard Spend"/>
  </r>
  <r>
    <s v="4301-VVZKA"/>
    <s v="Male"/>
    <x v="0"/>
    <n v="16"/>
    <x v="1"/>
    <x v="0"/>
    <n v="75.400000000000006"/>
    <n v="1189.4000000000001"/>
    <x v="0"/>
    <s v="Yes"/>
    <x v="0"/>
    <n v="1189.4000000000001"/>
    <x v="1"/>
    <s v="Standard Spend"/>
  </r>
  <r>
    <s v="9199-PWQVC"/>
    <s v="Female"/>
    <x v="1"/>
    <n v="63"/>
    <x v="0"/>
    <x v="0"/>
    <n v="79.7"/>
    <n v="4786.1499999999996"/>
    <x v="0"/>
    <s v="Yes"/>
    <x v="3"/>
    <n v="4786.1499999999996"/>
    <x v="2"/>
    <s v="High Spend"/>
  </r>
  <r>
    <s v="4824-GUCBY"/>
    <s v="Female"/>
    <x v="0"/>
    <n v="22"/>
    <x v="1"/>
    <x v="0"/>
    <n v="81.7"/>
    <n v="1820.9"/>
    <x v="0"/>
    <s v="No"/>
    <x v="0"/>
    <n v="1820.9"/>
    <x v="1"/>
    <s v="Standard Spend"/>
  </r>
  <r>
    <s v="5393-HJZSM"/>
    <s v="Female"/>
    <x v="0"/>
    <n v="32"/>
    <x v="0"/>
    <x v="1"/>
    <n v="76.3"/>
    <n v="2404.15"/>
    <x v="0"/>
    <s v="No"/>
    <x v="2"/>
    <n v="2404.15"/>
    <x v="1"/>
    <s v="Standard Spend"/>
  </r>
  <r>
    <s v="7074-IEVOJ"/>
    <s v="Female"/>
    <x v="0"/>
    <n v="3"/>
    <x v="1"/>
    <x v="0"/>
    <n v="79.400000000000006"/>
    <n v="205.05"/>
    <x v="1"/>
    <s v="Yes"/>
    <x v="0"/>
    <n v="205.05"/>
    <x v="0"/>
    <s v="Standard Spend"/>
  </r>
  <r>
    <s v="9625-QSTYE"/>
    <s v="Female"/>
    <x v="0"/>
    <n v="13"/>
    <x v="1"/>
    <x v="0"/>
    <n v="81.150000000000006"/>
    <n v="952.3"/>
    <x v="1"/>
    <s v="Yes"/>
    <x v="0"/>
    <n v="952.3"/>
    <x v="1"/>
    <s v="Standard Spend"/>
  </r>
  <r>
    <s v="0862-PRCBS"/>
    <s v="Female"/>
    <x v="2"/>
    <n v="68"/>
    <x v="1"/>
    <x v="1"/>
    <n v="103.75"/>
    <n v="7039.45"/>
    <x v="0"/>
    <s v="Yes"/>
    <x v="3"/>
    <n v="7039.45"/>
    <x v="2"/>
    <s v="High Spend"/>
  </r>
  <r>
    <s v="8812-ZRHFP"/>
    <s v="Female"/>
    <x v="1"/>
    <n v="30"/>
    <x v="1"/>
    <x v="0"/>
    <n v="86.45"/>
    <n v="2538.0500000000002"/>
    <x v="0"/>
    <s v="No"/>
    <x v="0"/>
    <n v="2538.0500000000002"/>
    <x v="1"/>
    <s v="High Spend"/>
  </r>
  <r>
    <s v="5146-CBVOE"/>
    <s v="Female"/>
    <x v="0"/>
    <n v="16"/>
    <x v="1"/>
    <x v="0"/>
    <n v="75.099999999999994"/>
    <n v="1212.8499999999999"/>
    <x v="0"/>
    <s v="No"/>
    <x v="2"/>
    <n v="1212.8499999999999"/>
    <x v="1"/>
    <s v="Standard Spend"/>
  </r>
  <r>
    <s v="0454-OKRCT"/>
    <s v="Male"/>
    <x v="2"/>
    <n v="33"/>
    <x v="1"/>
    <x v="1"/>
    <n v="80.599999999999994"/>
    <n v="2651.1"/>
    <x v="0"/>
    <s v="No"/>
    <x v="2"/>
    <n v="2651.1"/>
    <x v="1"/>
    <s v="High Spend"/>
  </r>
  <r>
    <s v="5787-KXGIY"/>
    <s v="Male"/>
    <x v="2"/>
    <n v="72"/>
    <x v="2"/>
    <x v="2"/>
    <n v="19.3"/>
    <n v="1304.8"/>
    <x v="0"/>
    <s v="No"/>
    <x v="3"/>
    <n v="1304.8"/>
    <x v="2"/>
    <s v="Standard Spend"/>
  </r>
  <r>
    <s v="4750-ZRXIU"/>
    <s v="Female"/>
    <x v="0"/>
    <n v="4"/>
    <x v="1"/>
    <x v="0"/>
    <n v="84.6"/>
    <n v="360.1"/>
    <x v="1"/>
    <s v="Yes"/>
    <x v="0"/>
    <n v="360.1"/>
    <x v="0"/>
    <s v="Standard Spend"/>
  </r>
  <r>
    <s v="4198-VFOEA"/>
    <s v="Female"/>
    <x v="1"/>
    <n v="12"/>
    <x v="0"/>
    <x v="1"/>
    <n v="33.6"/>
    <n v="435.45"/>
    <x v="0"/>
    <s v="Yes"/>
    <x v="1"/>
    <n v="435.45"/>
    <x v="0"/>
    <s v="Standard Spend"/>
  </r>
  <r>
    <s v="6630-UJZMY"/>
    <s v="Female"/>
    <x v="0"/>
    <n v="4"/>
    <x v="1"/>
    <x v="0"/>
    <n v="83.25"/>
    <n v="308.05"/>
    <x v="0"/>
    <s v="Yes"/>
    <x v="0"/>
    <n v="308.05"/>
    <x v="0"/>
    <s v="Standard Spend"/>
  </r>
  <r>
    <s v="5709-LVOEQ"/>
    <s v="Female"/>
    <x v="2"/>
    <n v="0"/>
    <x v="0"/>
    <x v="0"/>
    <n v="80.849999999999994"/>
    <s v=" "/>
    <x v="0"/>
    <s v="No"/>
    <x v="1"/>
    <n v="0"/>
    <x v="0"/>
    <s v="High Spend"/>
  </r>
  <r>
    <s v="6400-BWQKW"/>
    <s v="Female"/>
    <x v="0"/>
    <n v="6"/>
    <x v="1"/>
    <x v="0"/>
    <n v="79.05"/>
    <n v="434.5"/>
    <x v="1"/>
    <s v="Yes"/>
    <x v="0"/>
    <n v="434.5"/>
    <x v="0"/>
    <s v="Standard Spend"/>
  </r>
  <r>
    <s v="2692-AQCPF"/>
    <s v="Female"/>
    <x v="1"/>
    <n v="65"/>
    <x v="1"/>
    <x v="1"/>
    <n v="108.05"/>
    <n v="7118.9"/>
    <x v="0"/>
    <s v="Yes"/>
    <x v="3"/>
    <n v="7118.9"/>
    <x v="2"/>
    <s v="High Spend"/>
  </r>
  <r>
    <s v="0347-UBKUZ"/>
    <s v="Female"/>
    <x v="0"/>
    <n v="15"/>
    <x v="2"/>
    <x v="2"/>
    <n v="19.899999999999999"/>
    <n v="320.45"/>
    <x v="0"/>
    <s v="No"/>
    <x v="1"/>
    <n v="320.45"/>
    <x v="1"/>
    <s v="Standard Spend"/>
  </r>
  <r>
    <s v="0835-DUUIQ"/>
    <s v="Female"/>
    <x v="1"/>
    <n v="24"/>
    <x v="2"/>
    <x v="2"/>
    <n v="21.05"/>
    <n v="531.54999999999995"/>
    <x v="0"/>
    <s v="No"/>
    <x v="2"/>
    <n v="531.54999999999995"/>
    <x v="1"/>
    <s v="Standard Spend"/>
  </r>
  <r>
    <s v="0811-GSDTP"/>
    <s v="Female"/>
    <x v="0"/>
    <n v="13"/>
    <x v="0"/>
    <x v="0"/>
    <n v="30.15"/>
    <n v="382.2"/>
    <x v="0"/>
    <s v="No"/>
    <x v="0"/>
    <n v="382.2"/>
    <x v="1"/>
    <s v="Standard Spend"/>
  </r>
  <r>
    <s v="7567-ECMCM"/>
    <s v="Male"/>
    <x v="0"/>
    <n v="24"/>
    <x v="1"/>
    <x v="0"/>
    <n v="79.849999999999994"/>
    <n v="2001"/>
    <x v="0"/>
    <s v="Yes"/>
    <x v="3"/>
    <n v="2001"/>
    <x v="1"/>
    <s v="Standard Spend"/>
  </r>
  <r>
    <s v="6115-ZTBFQ"/>
    <s v="Female"/>
    <x v="2"/>
    <n v="72"/>
    <x v="0"/>
    <x v="1"/>
    <n v="65.5"/>
    <n v="4919.7"/>
    <x v="0"/>
    <s v="No"/>
    <x v="2"/>
    <n v="4919.7"/>
    <x v="2"/>
    <s v="High Spend"/>
  </r>
  <r>
    <s v="6353-BRMMA"/>
    <s v="Female"/>
    <x v="0"/>
    <n v="54"/>
    <x v="1"/>
    <x v="0"/>
    <n v="104.1"/>
    <n v="5645.8"/>
    <x v="0"/>
    <s v="Yes"/>
    <x v="2"/>
    <n v="5645.8"/>
    <x v="2"/>
    <s v="High Spend"/>
  </r>
  <r>
    <s v="6680-WKXRZ"/>
    <s v="Female"/>
    <x v="0"/>
    <n v="3"/>
    <x v="1"/>
    <x v="0"/>
    <n v="74.400000000000006"/>
    <n v="215.8"/>
    <x v="1"/>
    <s v="No"/>
    <x v="2"/>
    <n v="215.8"/>
    <x v="0"/>
    <s v="Standard Spend"/>
  </r>
  <r>
    <s v="6231-WFGFH"/>
    <s v="Male"/>
    <x v="0"/>
    <n v="4"/>
    <x v="2"/>
    <x v="2"/>
    <n v="20.5"/>
    <n v="77.599999999999994"/>
    <x v="0"/>
    <s v="Yes"/>
    <x v="1"/>
    <n v="77.599999999999994"/>
    <x v="0"/>
    <s v="Standard Spend"/>
  </r>
  <r>
    <s v="9904-EHEVJ"/>
    <s v="Female"/>
    <x v="0"/>
    <n v="32"/>
    <x v="1"/>
    <x v="0"/>
    <n v="91.35"/>
    <n v="2896.55"/>
    <x v="0"/>
    <s v="Yes"/>
    <x v="1"/>
    <n v="2896.55"/>
    <x v="1"/>
    <s v="High Spend"/>
  </r>
  <r>
    <s v="7028-DVOIQ"/>
    <s v="Male"/>
    <x v="0"/>
    <n v="35"/>
    <x v="1"/>
    <x v="0"/>
    <n v="99.05"/>
    <n v="3395.8"/>
    <x v="1"/>
    <s v="Yes"/>
    <x v="0"/>
    <n v="3395.8"/>
    <x v="1"/>
    <s v="High Spend"/>
  </r>
  <r>
    <s v="6169-PPETC"/>
    <s v="Male"/>
    <x v="2"/>
    <n v="35"/>
    <x v="2"/>
    <x v="2"/>
    <n v="20.5"/>
    <n v="759.35"/>
    <x v="0"/>
    <s v="No"/>
    <x v="2"/>
    <n v="759.35"/>
    <x v="1"/>
    <s v="Standard Spend"/>
  </r>
  <r>
    <s v="4208-UFFGW"/>
    <s v="Male"/>
    <x v="0"/>
    <n v="2"/>
    <x v="0"/>
    <x v="0"/>
    <n v="44.95"/>
    <n v="85.15"/>
    <x v="1"/>
    <s v="No"/>
    <x v="1"/>
    <n v="85.15"/>
    <x v="0"/>
    <s v="Standard Spend"/>
  </r>
  <r>
    <s v="8584-KMVXD"/>
    <s v="Female"/>
    <x v="0"/>
    <n v="8"/>
    <x v="1"/>
    <x v="0"/>
    <n v="75.599999999999994"/>
    <n v="535.54999999999995"/>
    <x v="0"/>
    <s v="No"/>
    <x v="0"/>
    <n v="535.54999999999995"/>
    <x v="0"/>
    <s v="Standard Spend"/>
  </r>
  <r>
    <s v="8467-WYNSR"/>
    <s v="Male"/>
    <x v="0"/>
    <n v="22"/>
    <x v="0"/>
    <x v="1"/>
    <n v="55.1"/>
    <n v="1253.1500000000001"/>
    <x v="0"/>
    <s v="No"/>
    <x v="1"/>
    <n v="1253.1500000000001"/>
    <x v="1"/>
    <s v="Standard Spend"/>
  </r>
  <r>
    <s v="0851-DFJKB"/>
    <s v="Female"/>
    <x v="0"/>
    <n v="15"/>
    <x v="0"/>
    <x v="1"/>
    <n v="58.95"/>
    <n v="955.15"/>
    <x v="0"/>
    <s v="No"/>
    <x v="0"/>
    <n v="955.15"/>
    <x v="1"/>
    <s v="Standard Spend"/>
  </r>
  <r>
    <s v="5382-SOYZL"/>
    <s v="Male"/>
    <x v="0"/>
    <n v="22"/>
    <x v="1"/>
    <x v="0"/>
    <n v="95.1"/>
    <n v="2162.6"/>
    <x v="0"/>
    <s v="Yes"/>
    <x v="0"/>
    <n v="2162.6"/>
    <x v="1"/>
    <s v="Standard Spend"/>
  </r>
  <r>
    <s v="9448-REEVD"/>
    <s v="Male"/>
    <x v="0"/>
    <n v="1"/>
    <x v="0"/>
    <x v="0"/>
    <n v="44.7"/>
    <n v="44.7"/>
    <x v="1"/>
    <s v="No"/>
    <x v="3"/>
    <n v="44.7"/>
    <x v="0"/>
    <s v="Standard Spend"/>
  </r>
  <r>
    <s v="3261-CQXOL"/>
    <s v="Female"/>
    <x v="2"/>
    <n v="71"/>
    <x v="2"/>
    <x v="2"/>
    <n v="25.45"/>
    <n v="1813.35"/>
    <x v="0"/>
    <s v="No"/>
    <x v="2"/>
    <n v="1813.35"/>
    <x v="2"/>
    <s v="Standard Spend"/>
  </r>
  <r>
    <s v="8388-FYNPZ"/>
    <s v="Male"/>
    <x v="0"/>
    <n v="4"/>
    <x v="0"/>
    <x v="0"/>
    <n v="56.75"/>
    <n v="245.15"/>
    <x v="0"/>
    <s v="No"/>
    <x v="0"/>
    <n v="245.15"/>
    <x v="0"/>
    <s v="Standard Spend"/>
  </r>
  <r>
    <s v="4002-BQWPQ"/>
    <s v="Male"/>
    <x v="0"/>
    <n v="25"/>
    <x v="0"/>
    <x v="1"/>
    <n v="81.75"/>
    <n v="2028.8"/>
    <x v="0"/>
    <s v="No"/>
    <x v="2"/>
    <n v="2028.8"/>
    <x v="1"/>
    <s v="Standard Spend"/>
  </r>
  <r>
    <s v="5651-YLPRD"/>
    <s v="Female"/>
    <x v="0"/>
    <n v="32"/>
    <x v="1"/>
    <x v="0"/>
    <n v="86.1"/>
    <n v="2723.75"/>
    <x v="0"/>
    <s v="Yes"/>
    <x v="0"/>
    <n v="2723.75"/>
    <x v="1"/>
    <s v="High Spend"/>
  </r>
  <r>
    <s v="2826-DXLQO"/>
    <s v="Male"/>
    <x v="0"/>
    <n v="7"/>
    <x v="0"/>
    <x v="0"/>
    <n v="29.8"/>
    <n v="220.45"/>
    <x v="0"/>
    <s v="No"/>
    <x v="2"/>
    <n v="220.45"/>
    <x v="0"/>
    <s v="Standard Spend"/>
  </r>
  <r>
    <s v="4378-BZYFP"/>
    <s v="Male"/>
    <x v="1"/>
    <n v="17"/>
    <x v="2"/>
    <x v="2"/>
    <n v="20.5"/>
    <n v="365.8"/>
    <x v="0"/>
    <s v="Yes"/>
    <x v="1"/>
    <n v="365.8"/>
    <x v="1"/>
    <s v="Standard Spend"/>
  </r>
  <r>
    <s v="9489-UTFKA"/>
    <s v="Male"/>
    <x v="0"/>
    <n v="8"/>
    <x v="0"/>
    <x v="0"/>
    <n v="60.9"/>
    <n v="551.95000000000005"/>
    <x v="0"/>
    <s v="No"/>
    <x v="2"/>
    <n v="551.95000000000005"/>
    <x v="0"/>
    <s v="Standard Spend"/>
  </r>
  <r>
    <s v="4849-PYRLQ"/>
    <s v="Female"/>
    <x v="2"/>
    <n v="56"/>
    <x v="0"/>
    <x v="1"/>
    <n v="73.25"/>
    <n v="4054.2"/>
    <x v="0"/>
    <s v="No"/>
    <x v="2"/>
    <n v="4054.2"/>
    <x v="2"/>
    <s v="High Spend"/>
  </r>
  <r>
    <s v="9117-SHLZX"/>
    <s v="Male"/>
    <x v="0"/>
    <n v="1"/>
    <x v="0"/>
    <x v="0"/>
    <n v="45.7"/>
    <n v="45.7"/>
    <x v="1"/>
    <s v="Yes"/>
    <x v="1"/>
    <n v="45.7"/>
    <x v="0"/>
    <s v="Standard Spend"/>
  </r>
  <r>
    <s v="9889-TMAHG"/>
    <s v="Male"/>
    <x v="0"/>
    <n v="8"/>
    <x v="1"/>
    <x v="1"/>
    <n v="100.3"/>
    <n v="832.35"/>
    <x v="1"/>
    <s v="No"/>
    <x v="3"/>
    <n v="832.35"/>
    <x v="0"/>
    <s v="Standard Spend"/>
  </r>
  <r>
    <s v="4541-RMRLG"/>
    <s v="Male"/>
    <x v="0"/>
    <n v="7"/>
    <x v="2"/>
    <x v="2"/>
    <n v="19.25"/>
    <n v="112.3"/>
    <x v="1"/>
    <s v="No"/>
    <x v="0"/>
    <n v="112.3"/>
    <x v="0"/>
    <s v="Standard Spend"/>
  </r>
  <r>
    <s v="7764-BDPEE"/>
    <s v="Male"/>
    <x v="0"/>
    <n v="3"/>
    <x v="2"/>
    <x v="2"/>
    <n v="20.85"/>
    <n v="60.65"/>
    <x v="0"/>
    <s v="No"/>
    <x v="1"/>
    <n v="60.65"/>
    <x v="0"/>
    <s v="Standard Spend"/>
  </r>
  <r>
    <s v="3429-IFLEM"/>
    <s v="Female"/>
    <x v="2"/>
    <n v="71"/>
    <x v="0"/>
    <x v="1"/>
    <n v="77.349999999999994"/>
    <n v="5550.1"/>
    <x v="0"/>
    <s v="No"/>
    <x v="3"/>
    <n v="5550.1"/>
    <x v="2"/>
    <s v="High Spend"/>
  </r>
  <r>
    <s v="3158-MOERK"/>
    <s v="Female"/>
    <x v="0"/>
    <n v="2"/>
    <x v="1"/>
    <x v="0"/>
    <n v="96"/>
    <n v="174.8"/>
    <x v="1"/>
    <s v="Yes"/>
    <x v="0"/>
    <n v="174.8"/>
    <x v="0"/>
    <s v="Standard Spend"/>
  </r>
  <r>
    <s v="7294-TMAOP"/>
    <s v="Female"/>
    <x v="0"/>
    <n v="1"/>
    <x v="1"/>
    <x v="0"/>
    <n v="90.55"/>
    <n v="90.55"/>
    <x v="1"/>
    <s v="No"/>
    <x v="0"/>
    <n v="90.55"/>
    <x v="0"/>
    <s v="Standard Spend"/>
  </r>
  <r>
    <s v="5002-GCQFH"/>
    <s v="Male"/>
    <x v="0"/>
    <n v="49"/>
    <x v="1"/>
    <x v="0"/>
    <n v="93.85"/>
    <n v="4733.1000000000004"/>
    <x v="0"/>
    <s v="Yes"/>
    <x v="2"/>
    <n v="4733.1000000000004"/>
    <x v="2"/>
    <s v="High Spend"/>
  </r>
  <r>
    <s v="0556-FJEGU"/>
    <s v="Male"/>
    <x v="2"/>
    <n v="58"/>
    <x v="0"/>
    <x v="1"/>
    <n v="70.099999999999994"/>
    <n v="4048.95"/>
    <x v="0"/>
    <s v="No"/>
    <x v="2"/>
    <n v="4048.95"/>
    <x v="2"/>
    <s v="High Spend"/>
  </r>
  <r>
    <s v="8919-FYFQZ"/>
    <s v="Male"/>
    <x v="0"/>
    <n v="44"/>
    <x v="0"/>
    <x v="0"/>
    <n v="30.35"/>
    <n v="1359.7"/>
    <x v="1"/>
    <s v="Yes"/>
    <x v="0"/>
    <n v="1359.7"/>
    <x v="2"/>
    <s v="Standard Spend"/>
  </r>
  <r>
    <s v="0604-THJFP"/>
    <s v="Female"/>
    <x v="2"/>
    <n v="59"/>
    <x v="0"/>
    <x v="1"/>
    <n v="75.95"/>
    <n v="4542.3500000000004"/>
    <x v="0"/>
    <s v="Yes"/>
    <x v="3"/>
    <n v="4542.3500000000004"/>
    <x v="2"/>
    <s v="High Spend"/>
  </r>
  <r>
    <s v="2834-JRTUA"/>
    <s v="Male"/>
    <x v="2"/>
    <n v="71"/>
    <x v="1"/>
    <x v="1"/>
    <n v="108.05"/>
    <n v="7532.15"/>
    <x v="1"/>
    <s v="Yes"/>
    <x v="0"/>
    <n v="7532.15"/>
    <x v="2"/>
    <s v="High Spend"/>
  </r>
  <r>
    <s v="5875-YPQFJ"/>
    <s v="Male"/>
    <x v="0"/>
    <n v="1"/>
    <x v="1"/>
    <x v="0"/>
    <n v="69.900000000000006"/>
    <n v="69.900000000000006"/>
    <x v="1"/>
    <s v="Yes"/>
    <x v="0"/>
    <n v="69.900000000000006"/>
    <x v="0"/>
    <s v="Standard Spend"/>
  </r>
  <r>
    <s v="5879-SESNB"/>
    <s v="Female"/>
    <x v="0"/>
    <n v="11"/>
    <x v="1"/>
    <x v="0"/>
    <n v="75.25"/>
    <n v="888.65"/>
    <x v="0"/>
    <s v="No"/>
    <x v="0"/>
    <n v="888.65"/>
    <x v="0"/>
    <s v="Standard Spend"/>
  </r>
  <r>
    <s v="6646-QVXLR"/>
    <s v="Male"/>
    <x v="1"/>
    <n v="62"/>
    <x v="1"/>
    <x v="0"/>
    <n v="103.75"/>
    <n v="6383.35"/>
    <x v="1"/>
    <s v="Yes"/>
    <x v="0"/>
    <n v="6383.35"/>
    <x v="2"/>
    <s v="High Spend"/>
  </r>
  <r>
    <s v="6461-PPAXN"/>
    <s v="Female"/>
    <x v="1"/>
    <n v="35"/>
    <x v="0"/>
    <x v="1"/>
    <n v="54.95"/>
    <n v="1916"/>
    <x v="0"/>
    <s v="Yes"/>
    <x v="2"/>
    <n v="1916"/>
    <x v="1"/>
    <s v="Standard Spend"/>
  </r>
  <r>
    <s v="3318-ISQFQ"/>
    <s v="Female"/>
    <x v="0"/>
    <n v="20"/>
    <x v="2"/>
    <x v="2"/>
    <n v="19.5"/>
    <n v="413"/>
    <x v="0"/>
    <s v="Yes"/>
    <x v="2"/>
    <n v="413"/>
    <x v="1"/>
    <s v="Standard Spend"/>
  </r>
  <r>
    <s v="1106-HRLKZ"/>
    <s v="Male"/>
    <x v="2"/>
    <n v="40"/>
    <x v="2"/>
    <x v="2"/>
    <n v="19.600000000000001"/>
    <n v="808.95"/>
    <x v="0"/>
    <s v="No"/>
    <x v="1"/>
    <n v="808.95"/>
    <x v="2"/>
    <s v="Standard Spend"/>
  </r>
  <r>
    <s v="2483-XSSMZ"/>
    <s v="Female"/>
    <x v="1"/>
    <n v="39"/>
    <x v="0"/>
    <x v="0"/>
    <n v="47.85"/>
    <n v="1886.4"/>
    <x v="0"/>
    <s v="Yes"/>
    <x v="0"/>
    <n v="1886.4"/>
    <x v="2"/>
    <s v="Standard Spend"/>
  </r>
  <r>
    <s v="8603-IJWDN"/>
    <s v="Male"/>
    <x v="0"/>
    <n v="1"/>
    <x v="1"/>
    <x v="0"/>
    <n v="86.6"/>
    <n v="86.6"/>
    <x v="1"/>
    <s v="Yes"/>
    <x v="0"/>
    <n v="86.6"/>
    <x v="0"/>
    <s v="Standard Spend"/>
  </r>
  <r>
    <s v="8165-ZJRNM"/>
    <s v="Female"/>
    <x v="2"/>
    <n v="72"/>
    <x v="2"/>
    <x v="2"/>
    <n v="23.75"/>
    <n v="1679.25"/>
    <x v="0"/>
    <s v="No"/>
    <x v="2"/>
    <n v="1679.25"/>
    <x v="2"/>
    <s v="Standard Spend"/>
  </r>
  <r>
    <s v="9369-XFEHK"/>
    <s v="Female"/>
    <x v="0"/>
    <n v="33"/>
    <x v="1"/>
    <x v="0"/>
    <n v="80.599999999999994"/>
    <n v="2656.5"/>
    <x v="1"/>
    <s v="Yes"/>
    <x v="2"/>
    <n v="2656.5"/>
    <x v="1"/>
    <s v="High Spend"/>
  </r>
  <r>
    <s v="2604-XVDAM"/>
    <s v="Female"/>
    <x v="0"/>
    <n v="12"/>
    <x v="0"/>
    <x v="0"/>
    <n v="43.8"/>
    <n v="540.95000000000005"/>
    <x v="0"/>
    <s v="No"/>
    <x v="2"/>
    <n v="540.95000000000005"/>
    <x v="0"/>
    <s v="Standard Spend"/>
  </r>
  <r>
    <s v="3717-OFRTN"/>
    <s v="Male"/>
    <x v="0"/>
    <n v="1"/>
    <x v="2"/>
    <x v="2"/>
    <n v="19.75"/>
    <n v="19.75"/>
    <x v="0"/>
    <s v="No"/>
    <x v="2"/>
    <n v="19.75"/>
    <x v="0"/>
    <s v="Standard Spend"/>
  </r>
  <r>
    <s v="9046-JBFWA"/>
    <s v="Male"/>
    <x v="0"/>
    <n v="27"/>
    <x v="2"/>
    <x v="2"/>
    <n v="19.149999999999999"/>
    <n v="537.35"/>
    <x v="0"/>
    <s v="No"/>
    <x v="1"/>
    <n v="537.35"/>
    <x v="1"/>
    <s v="Standard Spend"/>
  </r>
  <r>
    <s v="3280-NMUVX"/>
    <s v="Male"/>
    <x v="1"/>
    <n v="34"/>
    <x v="2"/>
    <x v="2"/>
    <n v="19.600000000000001"/>
    <n v="678.8"/>
    <x v="0"/>
    <s v="No"/>
    <x v="3"/>
    <n v="678.8"/>
    <x v="1"/>
    <s v="Standard Spend"/>
  </r>
  <r>
    <s v="1206-EHBDD"/>
    <s v="Female"/>
    <x v="2"/>
    <n v="56"/>
    <x v="1"/>
    <x v="0"/>
    <n v="80.3"/>
    <n v="4513.6499999999996"/>
    <x v="0"/>
    <s v="No"/>
    <x v="2"/>
    <n v="4513.6499999999996"/>
    <x v="2"/>
    <s v="High Spend"/>
  </r>
  <r>
    <s v="8361-LBRDI"/>
    <s v="Female"/>
    <x v="2"/>
    <n v="58"/>
    <x v="2"/>
    <x v="2"/>
    <n v="24.35"/>
    <n v="1423.85"/>
    <x v="0"/>
    <s v="No"/>
    <x v="3"/>
    <n v="1423.85"/>
    <x v="2"/>
    <s v="Standard Spend"/>
  </r>
  <r>
    <s v="4883-KCPZJ"/>
    <s v="Female"/>
    <x v="2"/>
    <n v="22"/>
    <x v="2"/>
    <x v="2"/>
    <n v="25.25"/>
    <n v="555.4"/>
    <x v="0"/>
    <s v="No"/>
    <x v="3"/>
    <n v="555.4"/>
    <x v="1"/>
    <s v="Standard Spend"/>
  </r>
  <r>
    <s v="9108-EQPNQ"/>
    <s v="Female"/>
    <x v="2"/>
    <n v="10"/>
    <x v="2"/>
    <x v="2"/>
    <n v="26.1"/>
    <n v="225.55"/>
    <x v="0"/>
    <s v="No"/>
    <x v="3"/>
    <n v="225.55"/>
    <x v="0"/>
    <s v="Standard Spend"/>
  </r>
  <r>
    <s v="7277-KAMWT"/>
    <s v="Male"/>
    <x v="2"/>
    <n v="13"/>
    <x v="2"/>
    <x v="2"/>
    <n v="20"/>
    <n v="268.45"/>
    <x v="0"/>
    <s v="No"/>
    <x v="3"/>
    <n v="268.45"/>
    <x v="1"/>
    <s v="Standard Spend"/>
  </r>
  <r>
    <s v="3842-IYKUE"/>
    <s v="Female"/>
    <x v="0"/>
    <n v="35"/>
    <x v="1"/>
    <x v="1"/>
    <n v="85.3"/>
    <n v="2917.5"/>
    <x v="1"/>
    <s v="No"/>
    <x v="3"/>
    <n v="2917.5"/>
    <x v="1"/>
    <s v="High Spend"/>
  </r>
  <r>
    <s v="6641-XRPSU"/>
    <s v="Female"/>
    <x v="0"/>
    <n v="34"/>
    <x v="1"/>
    <x v="0"/>
    <n v="70"/>
    <n v="2416.1"/>
    <x v="1"/>
    <s v="Yes"/>
    <x v="3"/>
    <n v="2416.1"/>
    <x v="1"/>
    <s v="Standard Spend"/>
  </r>
  <r>
    <s v="1374-DMZUI"/>
    <s v="Female"/>
    <x v="0"/>
    <n v="4"/>
    <x v="1"/>
    <x v="0"/>
    <n v="94.3"/>
    <n v="424.45"/>
    <x v="1"/>
    <s v="Yes"/>
    <x v="0"/>
    <n v="424.45"/>
    <x v="0"/>
    <s v="Standard Spend"/>
  </r>
  <r>
    <s v="2545-LXYVJ"/>
    <s v="Male"/>
    <x v="2"/>
    <n v="72"/>
    <x v="2"/>
    <x v="2"/>
    <n v="20.7"/>
    <n v="1492.1"/>
    <x v="0"/>
    <s v="No"/>
    <x v="2"/>
    <n v="1492.1"/>
    <x v="2"/>
    <s v="Standard Spend"/>
  </r>
  <r>
    <s v="3234-VKACU"/>
    <s v="Male"/>
    <x v="0"/>
    <n v="2"/>
    <x v="0"/>
    <x v="1"/>
    <n v="70.3"/>
    <n v="132.4"/>
    <x v="0"/>
    <s v="No"/>
    <x v="0"/>
    <n v="132.4"/>
    <x v="0"/>
    <s v="Standard Spend"/>
  </r>
  <r>
    <s v="8357-EQXFO"/>
    <s v="Female"/>
    <x v="0"/>
    <n v="7"/>
    <x v="1"/>
    <x v="0"/>
    <n v="95.35"/>
    <n v="660.9"/>
    <x v="1"/>
    <s v="Yes"/>
    <x v="0"/>
    <n v="660.9"/>
    <x v="0"/>
    <s v="Standard Spend"/>
  </r>
  <r>
    <s v="1989-PRJHP"/>
    <s v="Male"/>
    <x v="0"/>
    <n v="27"/>
    <x v="1"/>
    <x v="0"/>
    <n v="75.5"/>
    <n v="1893.95"/>
    <x v="1"/>
    <s v="Yes"/>
    <x v="0"/>
    <n v="1893.95"/>
    <x v="1"/>
    <s v="Standard Spend"/>
  </r>
  <r>
    <s v="8120-JDCAM"/>
    <s v="Male"/>
    <x v="0"/>
    <n v="4"/>
    <x v="1"/>
    <x v="0"/>
    <n v="69.55"/>
    <n v="284.89999999999998"/>
    <x v="0"/>
    <s v="Yes"/>
    <x v="1"/>
    <n v="284.89999999999998"/>
    <x v="0"/>
    <s v="Standard Spend"/>
  </r>
  <r>
    <s v="8917-FAEMR"/>
    <s v="Female"/>
    <x v="2"/>
    <n v="37"/>
    <x v="2"/>
    <x v="2"/>
    <n v="19.850000000000001"/>
    <n v="784.25"/>
    <x v="0"/>
    <s v="No"/>
    <x v="1"/>
    <n v="784.25"/>
    <x v="2"/>
    <s v="Standard Spend"/>
  </r>
  <r>
    <s v="7047-YXDMZ"/>
    <s v="Male"/>
    <x v="0"/>
    <n v="21"/>
    <x v="2"/>
    <x v="2"/>
    <n v="20"/>
    <n v="417.7"/>
    <x v="0"/>
    <s v="No"/>
    <x v="1"/>
    <n v="417.7"/>
    <x v="1"/>
    <s v="Standard Spend"/>
  </r>
  <r>
    <s v="2858-EIMXH"/>
    <s v="Female"/>
    <x v="1"/>
    <n v="53"/>
    <x v="1"/>
    <x v="0"/>
    <n v="95.85"/>
    <n v="5016.25"/>
    <x v="0"/>
    <s v="Yes"/>
    <x v="3"/>
    <n v="5016.25"/>
    <x v="2"/>
    <s v="High Spend"/>
  </r>
  <r>
    <s v="9524-EGPJC"/>
    <s v="Female"/>
    <x v="0"/>
    <n v="18"/>
    <x v="1"/>
    <x v="1"/>
    <n v="90.1"/>
    <n v="1612.75"/>
    <x v="1"/>
    <s v="Yes"/>
    <x v="0"/>
    <n v="1612.75"/>
    <x v="1"/>
    <s v="Standard Spend"/>
  </r>
  <r>
    <s v="6993-OHLXR"/>
    <s v="Female"/>
    <x v="0"/>
    <n v="2"/>
    <x v="1"/>
    <x v="0"/>
    <n v="68.95"/>
    <n v="119.75"/>
    <x v="1"/>
    <s v="No"/>
    <x v="0"/>
    <n v="119.75"/>
    <x v="0"/>
    <s v="Standard Spend"/>
  </r>
  <r>
    <s v="8818-XYFCQ"/>
    <s v="Male"/>
    <x v="0"/>
    <n v="32"/>
    <x v="1"/>
    <x v="0"/>
    <n v="99.55"/>
    <n v="3204.65"/>
    <x v="1"/>
    <s v="Yes"/>
    <x v="3"/>
    <n v="3204.65"/>
    <x v="1"/>
    <s v="High Spend"/>
  </r>
  <r>
    <s v="6419-ZTTLE"/>
    <s v="Male"/>
    <x v="1"/>
    <n v="23"/>
    <x v="2"/>
    <x v="2"/>
    <n v="20.75"/>
    <n v="485.2"/>
    <x v="0"/>
    <s v="Yes"/>
    <x v="0"/>
    <n v="485.2"/>
    <x v="1"/>
    <s v="Standard Spend"/>
  </r>
  <r>
    <s v="0929-HYQEW"/>
    <s v="Male"/>
    <x v="0"/>
    <n v="3"/>
    <x v="0"/>
    <x v="0"/>
    <n v="50.15"/>
    <n v="160.85"/>
    <x v="0"/>
    <s v="Yes"/>
    <x v="1"/>
    <n v="160.85"/>
    <x v="0"/>
    <s v="Standard Spend"/>
  </r>
  <r>
    <s v="6614-YOLAC"/>
    <s v="Female"/>
    <x v="2"/>
    <n v="71"/>
    <x v="0"/>
    <x v="1"/>
    <n v="58.65"/>
    <n v="4145.25"/>
    <x v="0"/>
    <s v="No"/>
    <x v="1"/>
    <n v="4145.25"/>
    <x v="2"/>
    <s v="High Spend"/>
  </r>
  <r>
    <s v="7426-RHZGU"/>
    <s v="Male"/>
    <x v="0"/>
    <n v="9"/>
    <x v="1"/>
    <x v="1"/>
    <n v="95.9"/>
    <n v="827.45"/>
    <x v="0"/>
    <s v="Yes"/>
    <x v="2"/>
    <n v="827.45"/>
    <x v="0"/>
    <s v="Standard Spend"/>
  </r>
  <r>
    <s v="4065-JJAVA"/>
    <s v="Female"/>
    <x v="0"/>
    <n v="1"/>
    <x v="0"/>
    <x v="0"/>
    <n v="49.5"/>
    <n v="49.5"/>
    <x v="0"/>
    <s v="No"/>
    <x v="0"/>
    <n v="49.5"/>
    <x v="0"/>
    <s v="Standard Spend"/>
  </r>
  <r>
    <s v="4695-VADHF"/>
    <s v="Male"/>
    <x v="0"/>
    <n v="18"/>
    <x v="0"/>
    <x v="0"/>
    <n v="57.45"/>
    <n v="990.85"/>
    <x v="1"/>
    <s v="No"/>
    <x v="0"/>
    <n v="990.85"/>
    <x v="1"/>
    <s v="Standard Spend"/>
  </r>
  <r>
    <s v="3863-IUBJR"/>
    <s v="Male"/>
    <x v="1"/>
    <n v="12"/>
    <x v="0"/>
    <x v="0"/>
    <n v="53.65"/>
    <n v="696.35"/>
    <x v="1"/>
    <s v="No"/>
    <x v="3"/>
    <n v="696.35"/>
    <x v="0"/>
    <s v="Standard Spend"/>
  </r>
  <r>
    <s v="7649-SIJJF"/>
    <s v="Male"/>
    <x v="2"/>
    <n v="71"/>
    <x v="0"/>
    <x v="1"/>
    <n v="80.099999999999994"/>
    <n v="5585.4"/>
    <x v="0"/>
    <s v="Yes"/>
    <x v="1"/>
    <n v="5585.4"/>
    <x v="2"/>
    <s v="High Spend"/>
  </r>
  <r>
    <s v="9361-YNQWJ"/>
    <s v="Female"/>
    <x v="1"/>
    <n v="64"/>
    <x v="2"/>
    <x v="2"/>
    <n v="24.4"/>
    <n v="1601.2"/>
    <x v="0"/>
    <s v="Yes"/>
    <x v="2"/>
    <n v="1601.2"/>
    <x v="2"/>
    <s v="Standard Spend"/>
  </r>
  <r>
    <s v="3748-FVMZZ"/>
    <s v="Male"/>
    <x v="0"/>
    <n v="4"/>
    <x v="0"/>
    <x v="1"/>
    <n v="40.049999999999997"/>
    <n v="162.44999999999999"/>
    <x v="0"/>
    <s v="Yes"/>
    <x v="0"/>
    <n v="162.44999999999999"/>
    <x v="0"/>
    <s v="Standard Spend"/>
  </r>
  <r>
    <s v="9391-TTOYH"/>
    <s v="Female"/>
    <x v="0"/>
    <n v="23"/>
    <x v="2"/>
    <x v="2"/>
    <n v="19.5"/>
    <n v="470.2"/>
    <x v="0"/>
    <s v="Yes"/>
    <x v="1"/>
    <n v="470.2"/>
    <x v="1"/>
    <s v="Standard Spend"/>
  </r>
  <r>
    <s v="1452-XRSJV"/>
    <s v="Female"/>
    <x v="0"/>
    <n v="39"/>
    <x v="0"/>
    <x v="0"/>
    <n v="51.05"/>
    <n v="2066"/>
    <x v="0"/>
    <s v="No"/>
    <x v="3"/>
    <n v="2066"/>
    <x v="2"/>
    <s v="Standard Spend"/>
  </r>
  <r>
    <s v="3422-WJOYD"/>
    <s v="Male"/>
    <x v="1"/>
    <n v="28"/>
    <x v="0"/>
    <x v="1"/>
    <n v="54.35"/>
    <n v="1426.45"/>
    <x v="0"/>
    <s v="No"/>
    <x v="1"/>
    <n v="1426.45"/>
    <x v="1"/>
    <s v="Standard Spend"/>
  </r>
  <r>
    <s v="8242-SOQUO"/>
    <s v="Female"/>
    <x v="0"/>
    <n v="5"/>
    <x v="1"/>
    <x v="0"/>
    <n v="84.7"/>
    <n v="392.5"/>
    <x v="0"/>
    <s v="Yes"/>
    <x v="0"/>
    <n v="392.5"/>
    <x v="0"/>
    <s v="Standard Spend"/>
  </r>
  <r>
    <s v="7460-ITWWP"/>
    <s v="Female"/>
    <x v="0"/>
    <n v="45"/>
    <x v="1"/>
    <x v="0"/>
    <n v="86.1"/>
    <n v="3861.45"/>
    <x v="0"/>
    <s v="Yes"/>
    <x v="0"/>
    <n v="3861.45"/>
    <x v="2"/>
    <s v="High Spend"/>
  </r>
  <r>
    <s v="7147-AYBAA"/>
    <s v="Male"/>
    <x v="0"/>
    <n v="37"/>
    <x v="1"/>
    <x v="0"/>
    <n v="70.349999999999994"/>
    <n v="2552.9"/>
    <x v="0"/>
    <s v="Yes"/>
    <x v="1"/>
    <n v="2552.9"/>
    <x v="2"/>
    <s v="High Spend"/>
  </r>
  <r>
    <s v="7868-TMWMZ"/>
    <s v="Female"/>
    <x v="2"/>
    <n v="60"/>
    <x v="1"/>
    <x v="1"/>
    <n v="110"/>
    <n v="6668.35"/>
    <x v="0"/>
    <s v="Yes"/>
    <x v="2"/>
    <n v="6668.35"/>
    <x v="2"/>
    <s v="High Spend"/>
  </r>
  <r>
    <s v="4822-RVYBB"/>
    <s v="Male"/>
    <x v="0"/>
    <n v="8"/>
    <x v="1"/>
    <x v="0"/>
    <n v="100.6"/>
    <n v="819.4"/>
    <x v="1"/>
    <s v="Yes"/>
    <x v="0"/>
    <n v="819.4"/>
    <x v="0"/>
    <s v="Standard Spend"/>
  </r>
  <r>
    <s v="6732-FZUGP"/>
    <s v="Female"/>
    <x v="1"/>
    <n v="47"/>
    <x v="1"/>
    <x v="0"/>
    <n v="94.9"/>
    <n v="4615.25"/>
    <x v="0"/>
    <s v="No"/>
    <x v="3"/>
    <n v="4615.25"/>
    <x v="2"/>
    <s v="High Spend"/>
  </r>
  <r>
    <s v="8436-BJUMM"/>
    <s v="Male"/>
    <x v="0"/>
    <n v="26"/>
    <x v="1"/>
    <x v="0"/>
    <n v="83.75"/>
    <n v="2070.6"/>
    <x v="1"/>
    <s v="Yes"/>
    <x v="0"/>
    <n v="2070.6"/>
    <x v="1"/>
    <s v="Standard Spend"/>
  </r>
  <r>
    <s v="4184-TJFAN"/>
    <s v="Female"/>
    <x v="0"/>
    <n v="3"/>
    <x v="1"/>
    <x v="1"/>
    <n v="88.3"/>
    <n v="273.75"/>
    <x v="1"/>
    <s v="Yes"/>
    <x v="1"/>
    <n v="273.75"/>
    <x v="0"/>
    <s v="Standard Spend"/>
  </r>
  <r>
    <s v="8329-GWVPJ"/>
    <s v="Female"/>
    <x v="0"/>
    <n v="50"/>
    <x v="1"/>
    <x v="0"/>
    <n v="69.75"/>
    <n v="3557.7"/>
    <x v="0"/>
    <s v="Yes"/>
    <x v="2"/>
    <n v="3557.7"/>
    <x v="2"/>
    <s v="High Spend"/>
  </r>
  <r>
    <s v="1352-VHKAJ"/>
    <s v="Male"/>
    <x v="0"/>
    <n v="27"/>
    <x v="0"/>
    <x v="1"/>
    <n v="71.599999999999994"/>
    <n v="1957.1"/>
    <x v="0"/>
    <s v="No"/>
    <x v="2"/>
    <n v="1957.1"/>
    <x v="1"/>
    <s v="Standard Spend"/>
  </r>
  <r>
    <s v="4145-UQXUQ"/>
    <s v="Female"/>
    <x v="0"/>
    <n v="8"/>
    <x v="1"/>
    <x v="0"/>
    <n v="92.1"/>
    <n v="729.95"/>
    <x v="1"/>
    <s v="Yes"/>
    <x v="0"/>
    <n v="729.95"/>
    <x v="0"/>
    <s v="Standard Spend"/>
  </r>
  <r>
    <s v="2632-TACXW"/>
    <s v="Female"/>
    <x v="2"/>
    <n v="62"/>
    <x v="2"/>
    <x v="2"/>
    <n v="23.65"/>
    <n v="1416.75"/>
    <x v="0"/>
    <s v="No"/>
    <x v="2"/>
    <n v="1416.75"/>
    <x v="2"/>
    <s v="Standard Spend"/>
  </r>
  <r>
    <s v="8146-QQKZH"/>
    <s v="Female"/>
    <x v="2"/>
    <n v="71"/>
    <x v="0"/>
    <x v="1"/>
    <n v="81.849999999999994"/>
    <n v="5924.4"/>
    <x v="0"/>
    <s v="No"/>
    <x v="2"/>
    <n v="5924.4"/>
    <x v="2"/>
    <s v="High Spend"/>
  </r>
  <r>
    <s v="1767-CJKBA"/>
    <s v="Male"/>
    <x v="2"/>
    <n v="66"/>
    <x v="2"/>
    <x v="2"/>
    <n v="25.1"/>
    <n v="1697.7"/>
    <x v="0"/>
    <s v="No"/>
    <x v="1"/>
    <n v="1697.7"/>
    <x v="2"/>
    <s v="Standard Spend"/>
  </r>
  <r>
    <s v="6445-TNRXS"/>
    <s v="Male"/>
    <x v="2"/>
    <n v="68"/>
    <x v="1"/>
    <x v="1"/>
    <n v="114.7"/>
    <n v="7849.85"/>
    <x v="0"/>
    <s v="Yes"/>
    <x v="2"/>
    <n v="7849.85"/>
    <x v="2"/>
    <s v="High Spend"/>
  </r>
  <r>
    <s v="4581-LNWUM"/>
    <s v="Female"/>
    <x v="0"/>
    <n v="13"/>
    <x v="0"/>
    <x v="0"/>
    <n v="49.15"/>
    <n v="649.4"/>
    <x v="0"/>
    <s v="No"/>
    <x v="0"/>
    <n v="649.4"/>
    <x v="1"/>
    <s v="Standard Spend"/>
  </r>
  <r>
    <s v="4869-EPIUS"/>
    <s v="Male"/>
    <x v="1"/>
    <n v="56"/>
    <x v="1"/>
    <x v="0"/>
    <n v="80.900000000000006"/>
    <n v="4557.5"/>
    <x v="0"/>
    <s v="Yes"/>
    <x v="0"/>
    <n v="4557.5"/>
    <x v="2"/>
    <s v="High Spend"/>
  </r>
  <r>
    <s v="9948-YPTDG"/>
    <s v="Male"/>
    <x v="0"/>
    <n v="38"/>
    <x v="1"/>
    <x v="0"/>
    <n v="79.45"/>
    <n v="3013.05"/>
    <x v="1"/>
    <s v="Yes"/>
    <x v="0"/>
    <n v="3013.05"/>
    <x v="2"/>
    <s v="High Spend"/>
  </r>
  <r>
    <s v="1236-WFCDV"/>
    <s v="Male"/>
    <x v="0"/>
    <n v="14"/>
    <x v="1"/>
    <x v="0"/>
    <n v="90.45"/>
    <n v="1266.0999999999999"/>
    <x v="1"/>
    <s v="No"/>
    <x v="3"/>
    <n v="1266.0999999999999"/>
    <x v="1"/>
    <s v="Standard Spend"/>
  </r>
  <r>
    <s v="1915-OAKWD"/>
    <s v="Female"/>
    <x v="1"/>
    <n v="16"/>
    <x v="2"/>
    <x v="2"/>
    <n v="19.3"/>
    <n v="360.35"/>
    <x v="0"/>
    <s v="Yes"/>
    <x v="2"/>
    <n v="360.35"/>
    <x v="1"/>
    <s v="Standard Spend"/>
  </r>
  <r>
    <s v="7296-PIXQY"/>
    <s v="Female"/>
    <x v="0"/>
    <n v="14"/>
    <x v="1"/>
    <x v="0"/>
    <n v="70.2"/>
    <n v="1046.5"/>
    <x v="0"/>
    <s v="No"/>
    <x v="0"/>
    <n v="1046.5"/>
    <x v="1"/>
    <s v="Standard Spend"/>
  </r>
  <r>
    <s v="4883-QICIH"/>
    <s v="Male"/>
    <x v="0"/>
    <n v="32"/>
    <x v="1"/>
    <x v="0"/>
    <n v="69.75"/>
    <n v="2347.9"/>
    <x v="1"/>
    <s v="Yes"/>
    <x v="2"/>
    <n v="2347.9"/>
    <x v="1"/>
    <s v="Standard Spend"/>
  </r>
  <r>
    <s v="3354-OADJP"/>
    <s v="Female"/>
    <x v="1"/>
    <n v="8"/>
    <x v="0"/>
    <x v="1"/>
    <n v="54.25"/>
    <n v="447.75"/>
    <x v="0"/>
    <s v="No"/>
    <x v="2"/>
    <n v="447.75"/>
    <x v="0"/>
    <s v="Standard Spend"/>
  </r>
  <r>
    <s v="3524-WQDSG"/>
    <s v="Female"/>
    <x v="0"/>
    <n v="43"/>
    <x v="1"/>
    <x v="0"/>
    <n v="99.3"/>
    <n v="4209.95"/>
    <x v="0"/>
    <s v="Yes"/>
    <x v="2"/>
    <n v="4209.95"/>
    <x v="2"/>
    <s v="High Spend"/>
  </r>
  <r>
    <s v="0810-DHDBD"/>
    <s v="Female"/>
    <x v="1"/>
    <n v="52"/>
    <x v="0"/>
    <x v="1"/>
    <n v="74"/>
    <n v="3877.65"/>
    <x v="0"/>
    <s v="No"/>
    <x v="3"/>
    <n v="3877.65"/>
    <x v="2"/>
    <s v="High Spend"/>
  </r>
  <r>
    <s v="4026-SKKHW"/>
    <s v="Male"/>
    <x v="0"/>
    <n v="3"/>
    <x v="0"/>
    <x v="1"/>
    <n v="50.25"/>
    <n v="152.30000000000001"/>
    <x v="0"/>
    <s v="Yes"/>
    <x v="1"/>
    <n v="152.30000000000001"/>
    <x v="0"/>
    <s v="Standard Spend"/>
  </r>
  <r>
    <s v="2829-HYVZP"/>
    <s v="Male"/>
    <x v="1"/>
    <n v="29"/>
    <x v="2"/>
    <x v="2"/>
    <n v="19.8"/>
    <n v="572.20000000000005"/>
    <x v="0"/>
    <s v="Yes"/>
    <x v="1"/>
    <n v="572.20000000000005"/>
    <x v="1"/>
    <s v="Standard Spend"/>
  </r>
  <r>
    <s v="8329-IBCTI"/>
    <s v="Female"/>
    <x v="0"/>
    <n v="1"/>
    <x v="2"/>
    <x v="2"/>
    <n v="19.649999999999999"/>
    <n v="19.649999999999999"/>
    <x v="1"/>
    <s v="No"/>
    <x v="1"/>
    <n v="19.649999999999999"/>
    <x v="0"/>
    <s v="Standard Spend"/>
  </r>
  <r>
    <s v="1271-SJBGZ"/>
    <s v="Male"/>
    <x v="0"/>
    <n v="12"/>
    <x v="0"/>
    <x v="1"/>
    <n v="43.65"/>
    <n v="526.95000000000005"/>
    <x v="1"/>
    <s v="Yes"/>
    <x v="0"/>
    <n v="526.95000000000005"/>
    <x v="0"/>
    <s v="Standard Spend"/>
  </r>
  <r>
    <s v="3845-JHAMY"/>
    <s v="Female"/>
    <x v="0"/>
    <n v="16"/>
    <x v="0"/>
    <x v="0"/>
    <n v="35.5"/>
    <n v="552.70000000000005"/>
    <x v="0"/>
    <s v="Yes"/>
    <x v="3"/>
    <n v="552.70000000000005"/>
    <x v="1"/>
    <s v="Standard Spend"/>
  </r>
  <r>
    <s v="7013-PSXHK"/>
    <s v="Female"/>
    <x v="1"/>
    <n v="40"/>
    <x v="0"/>
    <x v="1"/>
    <n v="80.75"/>
    <n v="3208.65"/>
    <x v="0"/>
    <s v="Yes"/>
    <x v="1"/>
    <n v="3208.65"/>
    <x v="2"/>
    <s v="High Spend"/>
  </r>
  <r>
    <s v="5669-SRAIP"/>
    <s v="Female"/>
    <x v="0"/>
    <n v="5"/>
    <x v="0"/>
    <x v="0"/>
    <n v="39.5"/>
    <n v="210.75"/>
    <x v="1"/>
    <s v="No"/>
    <x v="0"/>
    <n v="210.75"/>
    <x v="0"/>
    <s v="Standard Spend"/>
  </r>
  <r>
    <s v="5981-ITEMU"/>
    <s v="Male"/>
    <x v="0"/>
    <n v="40"/>
    <x v="1"/>
    <x v="0"/>
    <n v="97.1"/>
    <n v="3706.95"/>
    <x v="1"/>
    <s v="Yes"/>
    <x v="2"/>
    <n v="3706.95"/>
    <x v="2"/>
    <s v="High Spend"/>
  </r>
  <r>
    <s v="3486-NPGST"/>
    <s v="Female"/>
    <x v="1"/>
    <n v="36"/>
    <x v="2"/>
    <x v="2"/>
    <n v="19.55"/>
    <n v="620.75"/>
    <x v="0"/>
    <s v="No"/>
    <x v="1"/>
    <n v="620.75"/>
    <x v="1"/>
    <s v="Standard Spend"/>
  </r>
  <r>
    <s v="6941-PMGEP"/>
    <s v="Female"/>
    <x v="0"/>
    <n v="5"/>
    <x v="1"/>
    <x v="0"/>
    <n v="80"/>
    <n v="412.5"/>
    <x v="1"/>
    <s v="Yes"/>
    <x v="0"/>
    <n v="412.5"/>
    <x v="0"/>
    <s v="Standard Spend"/>
  </r>
  <r>
    <s v="1624-WOIWJ"/>
    <s v="Female"/>
    <x v="0"/>
    <n v="10"/>
    <x v="1"/>
    <x v="0"/>
    <n v="84.7"/>
    <n v="832.05"/>
    <x v="1"/>
    <s v="Yes"/>
    <x v="1"/>
    <n v="832.05"/>
    <x v="0"/>
    <s v="Standard Spend"/>
  </r>
  <r>
    <s v="2074-GKOWZ"/>
    <s v="Male"/>
    <x v="0"/>
    <n v="2"/>
    <x v="1"/>
    <x v="0"/>
    <n v="89.55"/>
    <n v="185.55"/>
    <x v="1"/>
    <s v="Yes"/>
    <x v="2"/>
    <n v="185.55"/>
    <x v="0"/>
    <s v="Standard Spend"/>
  </r>
  <r>
    <s v="0376-YMCJC"/>
    <s v="Male"/>
    <x v="0"/>
    <n v="23"/>
    <x v="1"/>
    <x v="1"/>
    <n v="90.6"/>
    <n v="1943.2"/>
    <x v="1"/>
    <s v="Yes"/>
    <x v="0"/>
    <n v="1943.2"/>
    <x v="1"/>
    <s v="Standard Spend"/>
  </r>
  <r>
    <s v="6100-FJZDG"/>
    <s v="Male"/>
    <x v="1"/>
    <n v="26"/>
    <x v="2"/>
    <x v="2"/>
    <n v="20.05"/>
    <n v="505.9"/>
    <x v="0"/>
    <s v="Yes"/>
    <x v="2"/>
    <n v="505.9"/>
    <x v="1"/>
    <s v="Standard Spend"/>
  </r>
  <r>
    <s v="4829-ZLJTK"/>
    <s v="Female"/>
    <x v="2"/>
    <n v="72"/>
    <x v="1"/>
    <x v="0"/>
    <n v="112.4"/>
    <n v="8046.85"/>
    <x v="0"/>
    <s v="Yes"/>
    <x v="0"/>
    <n v="8046.85"/>
    <x v="2"/>
    <s v="High Spend"/>
  </r>
  <r>
    <s v="1730-VFMWO"/>
    <s v="Female"/>
    <x v="0"/>
    <n v="34"/>
    <x v="0"/>
    <x v="1"/>
    <n v="50.2"/>
    <n v="1815.3"/>
    <x v="0"/>
    <s v="No"/>
    <x v="2"/>
    <n v="1815.3"/>
    <x v="1"/>
    <s v="Standard Spend"/>
  </r>
  <r>
    <s v="7143-BQIBA"/>
    <s v="Male"/>
    <x v="0"/>
    <n v="10"/>
    <x v="0"/>
    <x v="1"/>
    <n v="62.25"/>
    <n v="612.95000000000005"/>
    <x v="0"/>
    <s v="No"/>
    <x v="2"/>
    <n v="612.95000000000005"/>
    <x v="0"/>
    <s v="Standard Spend"/>
  </r>
  <r>
    <s v="3800-LYTRK"/>
    <s v="Female"/>
    <x v="1"/>
    <n v="14"/>
    <x v="0"/>
    <x v="1"/>
    <n v="55.7"/>
    <n v="795.15"/>
    <x v="0"/>
    <s v="No"/>
    <x v="1"/>
    <n v="795.15"/>
    <x v="1"/>
    <s v="Standard Spend"/>
  </r>
  <r>
    <s v="0634-SZPQA"/>
    <s v="Female"/>
    <x v="0"/>
    <n v="23"/>
    <x v="1"/>
    <x v="0"/>
    <n v="90.05"/>
    <n v="2169.8000000000002"/>
    <x v="1"/>
    <s v="Yes"/>
    <x v="2"/>
    <n v="2169.8000000000002"/>
    <x v="1"/>
    <s v="Standard Spend"/>
  </r>
  <r>
    <s v="9646-NMHXE"/>
    <s v="Male"/>
    <x v="2"/>
    <n v="47"/>
    <x v="2"/>
    <x v="2"/>
    <n v="19.649999999999999"/>
    <n v="973.1"/>
    <x v="0"/>
    <s v="No"/>
    <x v="1"/>
    <n v="973.1"/>
    <x v="2"/>
    <s v="Standard Spend"/>
  </r>
  <r>
    <s v="7030-NJVDP"/>
    <s v="Male"/>
    <x v="0"/>
    <n v="24"/>
    <x v="1"/>
    <x v="1"/>
    <n v="89.25"/>
    <n v="2210.1999999999998"/>
    <x v="0"/>
    <s v="Yes"/>
    <x v="0"/>
    <n v="2210.1999999999998"/>
    <x v="1"/>
    <s v="Standard Spend"/>
  </r>
  <r>
    <s v="5536-RTPWK"/>
    <s v="Male"/>
    <x v="0"/>
    <n v="49"/>
    <x v="1"/>
    <x v="0"/>
    <n v="99.05"/>
    <n v="4853.75"/>
    <x v="1"/>
    <s v="Yes"/>
    <x v="2"/>
    <n v="4853.75"/>
    <x v="2"/>
    <s v="High Spend"/>
  </r>
  <r>
    <s v="8883-GRDWQ"/>
    <s v="Male"/>
    <x v="1"/>
    <n v="20"/>
    <x v="0"/>
    <x v="1"/>
    <n v="54"/>
    <n v="1055.9000000000001"/>
    <x v="0"/>
    <s v="No"/>
    <x v="1"/>
    <n v="1055.9000000000001"/>
    <x v="1"/>
    <s v="Standard Spend"/>
  </r>
  <r>
    <s v="6166-ILMNY"/>
    <s v="Female"/>
    <x v="0"/>
    <n v="2"/>
    <x v="1"/>
    <x v="0"/>
    <n v="69.75"/>
    <n v="144.55000000000001"/>
    <x v="1"/>
    <s v="No"/>
    <x v="2"/>
    <n v="144.55000000000001"/>
    <x v="0"/>
    <s v="Standard Spend"/>
  </r>
  <r>
    <s v="3097-NNSPB"/>
    <s v="Female"/>
    <x v="0"/>
    <n v="2"/>
    <x v="0"/>
    <x v="0"/>
    <n v="49.05"/>
    <n v="91.1"/>
    <x v="1"/>
    <s v="Yes"/>
    <x v="3"/>
    <n v="91.1"/>
    <x v="0"/>
    <s v="Standard Spend"/>
  </r>
  <r>
    <s v="7771-ZONAT"/>
    <s v="Male"/>
    <x v="2"/>
    <n v="22"/>
    <x v="0"/>
    <x v="1"/>
    <n v="56.75"/>
    <n v="1304.8499999999999"/>
    <x v="0"/>
    <s v="No"/>
    <x v="2"/>
    <n v="1304.8499999999999"/>
    <x v="1"/>
    <s v="Standard Spend"/>
  </r>
  <r>
    <s v="0655-RBDUG"/>
    <s v="Male"/>
    <x v="0"/>
    <n v="7"/>
    <x v="1"/>
    <x v="0"/>
    <n v="98.05"/>
    <n v="713"/>
    <x v="1"/>
    <s v="Yes"/>
    <x v="2"/>
    <n v="713"/>
    <x v="0"/>
    <s v="Standard Spend"/>
  </r>
  <r>
    <s v="2111-DWYHN"/>
    <s v="Male"/>
    <x v="0"/>
    <n v="1"/>
    <x v="2"/>
    <x v="2"/>
    <n v="21.1"/>
    <n v="21.1"/>
    <x v="0"/>
    <s v="No"/>
    <x v="1"/>
    <n v="21.1"/>
    <x v="0"/>
    <s v="Standard Spend"/>
  </r>
  <r>
    <s v="4194-WHFCB"/>
    <s v="Female"/>
    <x v="0"/>
    <n v="59"/>
    <x v="1"/>
    <x v="1"/>
    <n v="96.65"/>
    <n v="5580.8"/>
    <x v="0"/>
    <s v="Yes"/>
    <x v="2"/>
    <n v="5580.8"/>
    <x v="2"/>
    <s v="High Spend"/>
  </r>
  <r>
    <s v="4121-AGSIN"/>
    <s v="Female"/>
    <x v="1"/>
    <n v="58"/>
    <x v="2"/>
    <x v="2"/>
    <n v="24.5"/>
    <n v="1497.9"/>
    <x v="0"/>
    <s v="Yes"/>
    <x v="3"/>
    <n v="1497.9"/>
    <x v="2"/>
    <s v="Standard Spend"/>
  </r>
  <r>
    <s v="4361-BKAXE"/>
    <s v="Female"/>
    <x v="0"/>
    <n v="41"/>
    <x v="1"/>
    <x v="1"/>
    <n v="114.5"/>
    <n v="4527.45"/>
    <x v="1"/>
    <s v="Yes"/>
    <x v="2"/>
    <n v="4527.45"/>
    <x v="2"/>
    <s v="High Spend"/>
  </r>
  <r>
    <s v="9845-PEEKO"/>
    <s v="Female"/>
    <x v="2"/>
    <n v="59"/>
    <x v="1"/>
    <x v="0"/>
    <n v="79.2"/>
    <n v="4590.3500000000004"/>
    <x v="0"/>
    <s v="Yes"/>
    <x v="3"/>
    <n v="4590.3500000000004"/>
    <x v="2"/>
    <s v="High Spend"/>
  </r>
  <r>
    <s v="0455-XFASS"/>
    <s v="Female"/>
    <x v="0"/>
    <n v="3"/>
    <x v="1"/>
    <x v="0"/>
    <n v="69.55"/>
    <n v="200.2"/>
    <x v="0"/>
    <s v="Yes"/>
    <x v="0"/>
    <n v="200.2"/>
    <x v="0"/>
    <s v="Standard Spend"/>
  </r>
  <r>
    <s v="0301-KOBTQ"/>
    <s v="Male"/>
    <x v="2"/>
    <n v="32"/>
    <x v="2"/>
    <x v="2"/>
    <n v="20.05"/>
    <n v="614.45000000000005"/>
    <x v="0"/>
    <s v="Yes"/>
    <x v="2"/>
    <n v="614.45000000000005"/>
    <x v="1"/>
    <s v="Standard Spend"/>
  </r>
  <r>
    <s v="1751-NCDLI"/>
    <s v="Male"/>
    <x v="0"/>
    <n v="46"/>
    <x v="1"/>
    <x v="0"/>
    <n v="98.85"/>
    <n v="4564.8999999999996"/>
    <x v="0"/>
    <s v="Yes"/>
    <x v="0"/>
    <n v="4564.8999999999996"/>
    <x v="2"/>
    <s v="High Spend"/>
  </r>
  <r>
    <s v="4367-NUYAO"/>
    <s v="Male"/>
    <x v="2"/>
    <n v="0"/>
    <x v="2"/>
    <x v="2"/>
    <n v="25.75"/>
    <s v=" "/>
    <x v="0"/>
    <s v="No"/>
    <x v="1"/>
    <n v="0"/>
    <x v="0"/>
    <s v="High Spend"/>
  </r>
  <r>
    <s v="9878-TNQGW"/>
    <s v="Male"/>
    <x v="0"/>
    <n v="2"/>
    <x v="1"/>
    <x v="0"/>
    <n v="80.95"/>
    <n v="171.15"/>
    <x v="1"/>
    <s v="Yes"/>
    <x v="0"/>
    <n v="171.15"/>
    <x v="0"/>
    <s v="Standard Spend"/>
  </r>
  <r>
    <s v="9170-ARBTB"/>
    <s v="Female"/>
    <x v="1"/>
    <n v="52"/>
    <x v="2"/>
    <x v="2"/>
    <n v="19.600000000000001"/>
    <n v="1012.4"/>
    <x v="0"/>
    <s v="No"/>
    <x v="3"/>
    <n v="1012.4"/>
    <x v="2"/>
    <s v="Standard Spend"/>
  </r>
  <r>
    <s v="4441-NIHPT"/>
    <s v="Female"/>
    <x v="0"/>
    <n v="13"/>
    <x v="1"/>
    <x v="0"/>
    <n v="74.3"/>
    <n v="940.35"/>
    <x v="1"/>
    <s v="Yes"/>
    <x v="0"/>
    <n v="940.35"/>
    <x v="1"/>
    <s v="Standard Spend"/>
  </r>
  <r>
    <s v="8999-BOHSE"/>
    <s v="Female"/>
    <x v="0"/>
    <n v="11"/>
    <x v="1"/>
    <x v="0"/>
    <n v="89.7"/>
    <n v="1047.7"/>
    <x v="1"/>
    <s v="No"/>
    <x v="2"/>
    <n v="1047.7"/>
    <x v="0"/>
    <s v="Standard Spend"/>
  </r>
  <r>
    <s v="7241-AJHFS"/>
    <s v="Male"/>
    <x v="0"/>
    <n v="32"/>
    <x v="1"/>
    <x v="1"/>
    <n v="87.65"/>
    <n v="2766.4"/>
    <x v="0"/>
    <s v="No"/>
    <x v="2"/>
    <n v="2766.4"/>
    <x v="1"/>
    <s v="High Spend"/>
  </r>
  <r>
    <s v="7029-RPUAV"/>
    <s v="Male"/>
    <x v="0"/>
    <n v="17"/>
    <x v="1"/>
    <x v="0"/>
    <n v="100.45"/>
    <n v="1622.45"/>
    <x v="1"/>
    <s v="Yes"/>
    <x v="3"/>
    <n v="1622.45"/>
    <x v="1"/>
    <s v="Standard Spend"/>
  </r>
  <r>
    <s v="4546-FOKWR"/>
    <s v="Female"/>
    <x v="0"/>
    <n v="16"/>
    <x v="1"/>
    <x v="0"/>
    <n v="74.75"/>
    <n v="1129.3499999999999"/>
    <x v="0"/>
    <s v="Yes"/>
    <x v="3"/>
    <n v="1129.3499999999999"/>
    <x v="1"/>
    <s v="Standard Spend"/>
  </r>
  <r>
    <s v="9036-CSKBW"/>
    <s v="Female"/>
    <x v="1"/>
    <n v="51"/>
    <x v="1"/>
    <x v="0"/>
    <n v="107.45"/>
    <n v="5680.9"/>
    <x v="0"/>
    <s v="No"/>
    <x v="2"/>
    <n v="5680.9"/>
    <x v="2"/>
    <s v="High Spend"/>
  </r>
  <r>
    <s v="5832-TRLPB"/>
    <s v="Male"/>
    <x v="1"/>
    <n v="29"/>
    <x v="0"/>
    <x v="1"/>
    <n v="75.349999999999994"/>
    <n v="2243.9"/>
    <x v="0"/>
    <s v="Yes"/>
    <x v="2"/>
    <n v="2243.9"/>
    <x v="1"/>
    <s v="Standard Spend"/>
  </r>
  <r>
    <s v="8590-YFFQO"/>
    <s v="Male"/>
    <x v="2"/>
    <n v="70"/>
    <x v="0"/>
    <x v="1"/>
    <n v="64.95"/>
    <n v="4523.25"/>
    <x v="0"/>
    <s v="No"/>
    <x v="3"/>
    <n v="4523.25"/>
    <x v="2"/>
    <s v="High Spend"/>
  </r>
  <r>
    <s v="8659-IOOPU"/>
    <s v="Female"/>
    <x v="2"/>
    <n v="71"/>
    <x v="1"/>
    <x v="1"/>
    <n v="100.45"/>
    <n v="7159.7"/>
    <x v="0"/>
    <s v="No"/>
    <x v="0"/>
    <n v="7159.7"/>
    <x v="2"/>
    <s v="High Spend"/>
  </r>
  <r>
    <s v="1338-CECEE"/>
    <s v="Male"/>
    <x v="1"/>
    <n v="41"/>
    <x v="0"/>
    <x v="0"/>
    <n v="68.5"/>
    <n v="2839.95"/>
    <x v="0"/>
    <s v="No"/>
    <x v="2"/>
    <n v="2839.95"/>
    <x v="2"/>
    <s v="High Spend"/>
  </r>
  <r>
    <s v="7439-DKZTW"/>
    <s v="Male"/>
    <x v="0"/>
    <n v="1"/>
    <x v="1"/>
    <x v="0"/>
    <n v="80.55"/>
    <n v="80.55"/>
    <x v="0"/>
    <s v="Yes"/>
    <x v="0"/>
    <n v="80.55"/>
    <x v="0"/>
    <s v="Standard Spend"/>
  </r>
  <r>
    <s v="4646-QZXTF"/>
    <s v="Female"/>
    <x v="0"/>
    <n v="7"/>
    <x v="0"/>
    <x v="1"/>
    <n v="81.25"/>
    <n v="580.1"/>
    <x v="0"/>
    <s v="No"/>
    <x v="2"/>
    <n v="580.1"/>
    <x v="0"/>
    <s v="Standard Spend"/>
  </r>
  <r>
    <s v="4607-CHPCA"/>
    <s v="Male"/>
    <x v="1"/>
    <n v="25"/>
    <x v="1"/>
    <x v="0"/>
    <n v="90.4"/>
    <n v="2178.6"/>
    <x v="1"/>
    <s v="Yes"/>
    <x v="0"/>
    <n v="2178.6"/>
    <x v="1"/>
    <s v="Standard Spend"/>
  </r>
  <r>
    <s v="9742-XOKTS"/>
    <s v="Male"/>
    <x v="1"/>
    <n v="67"/>
    <x v="1"/>
    <x v="1"/>
    <n v="89.55"/>
    <n v="6038.55"/>
    <x v="0"/>
    <s v="No"/>
    <x v="0"/>
    <n v="6038.55"/>
    <x v="2"/>
    <s v="High Spend"/>
  </r>
  <r>
    <s v="6921-OZMFH"/>
    <s v="Male"/>
    <x v="0"/>
    <n v="5"/>
    <x v="0"/>
    <x v="1"/>
    <n v="55.7"/>
    <n v="259.39999999999998"/>
    <x v="0"/>
    <s v="Yes"/>
    <x v="1"/>
    <n v="259.39999999999998"/>
    <x v="0"/>
    <s v="Standard Spend"/>
  </r>
  <r>
    <s v="9578-FOMUK"/>
    <s v="Male"/>
    <x v="0"/>
    <n v="15"/>
    <x v="2"/>
    <x v="2"/>
    <n v="24.8"/>
    <n v="324.14999999999998"/>
    <x v="0"/>
    <s v="Yes"/>
    <x v="0"/>
    <n v="324.14999999999998"/>
    <x v="1"/>
    <s v="Standard Spend"/>
  </r>
  <r>
    <s v="4712-UYOOI"/>
    <s v="Female"/>
    <x v="0"/>
    <n v="20"/>
    <x v="2"/>
    <x v="2"/>
    <n v="20"/>
    <n v="417.65"/>
    <x v="0"/>
    <s v="No"/>
    <x v="0"/>
    <n v="417.65"/>
    <x v="1"/>
    <s v="Standard Spend"/>
  </r>
  <r>
    <s v="8824-RWFXJ"/>
    <s v="Male"/>
    <x v="0"/>
    <n v="3"/>
    <x v="0"/>
    <x v="0"/>
    <n v="56.15"/>
    <n v="168.15"/>
    <x v="1"/>
    <s v="Yes"/>
    <x v="1"/>
    <n v="168.15"/>
    <x v="0"/>
    <s v="Standard Spend"/>
  </r>
  <r>
    <s v="7722-CVFXN"/>
    <s v="Male"/>
    <x v="1"/>
    <n v="54"/>
    <x v="1"/>
    <x v="1"/>
    <n v="105.2"/>
    <n v="5637.85"/>
    <x v="0"/>
    <s v="Yes"/>
    <x v="0"/>
    <n v="5637.85"/>
    <x v="2"/>
    <s v="High Spend"/>
  </r>
  <r>
    <s v="8717-VCTXJ"/>
    <s v="Male"/>
    <x v="1"/>
    <n v="42"/>
    <x v="2"/>
    <x v="2"/>
    <n v="19.55"/>
    <n v="839.4"/>
    <x v="0"/>
    <s v="Yes"/>
    <x v="1"/>
    <n v="839.4"/>
    <x v="2"/>
    <s v="Standard Spend"/>
  </r>
  <r>
    <s v="7363-QTBIW"/>
    <s v="Female"/>
    <x v="0"/>
    <n v="9"/>
    <x v="1"/>
    <x v="0"/>
    <n v="79.75"/>
    <n v="769.1"/>
    <x v="0"/>
    <s v="Yes"/>
    <x v="0"/>
    <n v="769.1"/>
    <x v="0"/>
    <s v="Standard Spend"/>
  </r>
  <r>
    <s v="4159-NAAIX"/>
    <s v="Female"/>
    <x v="2"/>
    <n v="63"/>
    <x v="1"/>
    <x v="0"/>
    <n v="97.45"/>
    <n v="6253"/>
    <x v="0"/>
    <s v="No"/>
    <x v="2"/>
    <n v="6253"/>
    <x v="2"/>
    <s v="High Spend"/>
  </r>
  <r>
    <s v="0971-QIFJK"/>
    <s v="Female"/>
    <x v="2"/>
    <n v="69"/>
    <x v="2"/>
    <x v="2"/>
    <n v="24.25"/>
    <n v="1641.8"/>
    <x v="0"/>
    <s v="No"/>
    <x v="2"/>
    <n v="1641.8"/>
    <x v="2"/>
    <s v="Standard Spend"/>
  </r>
  <r>
    <s v="9397-TZSHA"/>
    <s v="Female"/>
    <x v="2"/>
    <n v="69"/>
    <x v="2"/>
    <x v="2"/>
    <n v="24.6"/>
    <n v="1678.05"/>
    <x v="0"/>
    <s v="No"/>
    <x v="3"/>
    <n v="1678.05"/>
    <x v="2"/>
    <s v="Standard Spend"/>
  </r>
  <r>
    <s v="3391-JSQEW"/>
    <s v="Male"/>
    <x v="0"/>
    <n v="40"/>
    <x v="0"/>
    <x v="0"/>
    <n v="50.15"/>
    <n v="2058.5"/>
    <x v="0"/>
    <s v="Yes"/>
    <x v="1"/>
    <n v="2058.5"/>
    <x v="2"/>
    <s v="Standard Spend"/>
  </r>
  <r>
    <s v="0343-QLUZP"/>
    <s v="Male"/>
    <x v="2"/>
    <n v="60"/>
    <x v="0"/>
    <x v="0"/>
    <n v="39.6"/>
    <n v="2424.5"/>
    <x v="0"/>
    <s v="No"/>
    <x v="2"/>
    <n v="2424.5"/>
    <x v="2"/>
    <s v="Standard Spend"/>
  </r>
  <r>
    <s v="9763-PDTKK"/>
    <s v="Female"/>
    <x v="0"/>
    <n v="4"/>
    <x v="1"/>
    <x v="1"/>
    <n v="94.4"/>
    <n v="387.2"/>
    <x v="1"/>
    <s v="Yes"/>
    <x v="2"/>
    <n v="387.2"/>
    <x v="0"/>
    <s v="Standard Spend"/>
  </r>
  <r>
    <s v="2176-LVPNX"/>
    <s v="Female"/>
    <x v="2"/>
    <n v="71"/>
    <x v="0"/>
    <x v="1"/>
    <n v="89.85"/>
    <n v="6293.45"/>
    <x v="0"/>
    <s v="No"/>
    <x v="1"/>
    <n v="6293.45"/>
    <x v="2"/>
    <s v="High Spend"/>
  </r>
  <r>
    <s v="7627-JKIAZ"/>
    <s v="Female"/>
    <x v="0"/>
    <n v="37"/>
    <x v="1"/>
    <x v="0"/>
    <n v="78.95"/>
    <n v="2839.65"/>
    <x v="1"/>
    <s v="Yes"/>
    <x v="3"/>
    <n v="2839.65"/>
    <x v="2"/>
    <s v="High Spend"/>
  </r>
  <r>
    <s v="3312-UUMZW"/>
    <s v="Male"/>
    <x v="0"/>
    <n v="32"/>
    <x v="1"/>
    <x v="0"/>
    <n v="98.85"/>
    <n v="3145.9"/>
    <x v="0"/>
    <s v="Yes"/>
    <x v="3"/>
    <n v="3145.9"/>
    <x v="1"/>
    <s v="High Spend"/>
  </r>
  <r>
    <s v="1271-UODNO"/>
    <s v="Male"/>
    <x v="2"/>
    <n v="39"/>
    <x v="0"/>
    <x v="1"/>
    <n v="53.85"/>
    <n v="2200.6999999999998"/>
    <x v="0"/>
    <s v="Yes"/>
    <x v="3"/>
    <n v="2200.6999999999998"/>
    <x v="2"/>
    <s v="Standard Spend"/>
  </r>
  <r>
    <s v="8461-EFQYM"/>
    <s v="Female"/>
    <x v="1"/>
    <n v="38"/>
    <x v="2"/>
    <x v="2"/>
    <n v="24.25"/>
    <n v="914.4"/>
    <x v="0"/>
    <s v="Yes"/>
    <x v="0"/>
    <n v="914.4"/>
    <x v="2"/>
    <s v="Standard Spend"/>
  </r>
  <r>
    <s v="6900-RBKER"/>
    <s v="Male"/>
    <x v="2"/>
    <n v="52"/>
    <x v="1"/>
    <x v="0"/>
    <n v="89.45"/>
    <n v="4577.75"/>
    <x v="0"/>
    <s v="Yes"/>
    <x v="3"/>
    <n v="4577.75"/>
    <x v="2"/>
    <s v="High Spend"/>
  </r>
  <r>
    <s v="6891-JPYFF"/>
    <s v="Female"/>
    <x v="0"/>
    <n v="48"/>
    <x v="1"/>
    <x v="0"/>
    <n v="105.25"/>
    <n v="4997.5"/>
    <x v="0"/>
    <s v="Yes"/>
    <x v="3"/>
    <n v="4997.5"/>
    <x v="2"/>
    <s v="High Spend"/>
  </r>
  <r>
    <s v="1459-QNFQT"/>
    <s v="Male"/>
    <x v="2"/>
    <n v="70"/>
    <x v="0"/>
    <x v="1"/>
    <n v="59.5"/>
    <n v="4144.8"/>
    <x v="0"/>
    <s v="No"/>
    <x v="2"/>
    <n v="4144.8"/>
    <x v="2"/>
    <s v="High Spend"/>
  </r>
  <r>
    <s v="1047-NNCBF"/>
    <s v="Male"/>
    <x v="0"/>
    <n v="20"/>
    <x v="1"/>
    <x v="0"/>
    <n v="70.55"/>
    <n v="1493.55"/>
    <x v="0"/>
    <s v="No"/>
    <x v="3"/>
    <n v="1493.55"/>
    <x v="1"/>
    <s v="Standard Spend"/>
  </r>
  <r>
    <s v="3696-XRIEN"/>
    <s v="Female"/>
    <x v="1"/>
    <n v="50"/>
    <x v="0"/>
    <x v="1"/>
    <n v="82.5"/>
    <n v="4179.1000000000004"/>
    <x v="0"/>
    <s v="Yes"/>
    <x v="3"/>
    <n v="4179.1000000000004"/>
    <x v="2"/>
    <s v="High Spend"/>
  </r>
  <r>
    <s v="4081-DYXAV"/>
    <s v="Female"/>
    <x v="1"/>
    <n v="19"/>
    <x v="0"/>
    <x v="0"/>
    <n v="44.85"/>
    <n v="893.55"/>
    <x v="1"/>
    <s v="Yes"/>
    <x v="3"/>
    <n v="893.55"/>
    <x v="1"/>
    <s v="Standard Spend"/>
  </r>
  <r>
    <s v="0074-HDKDG"/>
    <s v="Male"/>
    <x v="1"/>
    <n v="25"/>
    <x v="0"/>
    <x v="0"/>
    <n v="61.6"/>
    <n v="1611"/>
    <x v="0"/>
    <s v="Yes"/>
    <x v="2"/>
    <n v="1611"/>
    <x v="1"/>
    <s v="Standard Spend"/>
  </r>
  <r>
    <s v="8791-GFXLZ"/>
    <s v="Male"/>
    <x v="0"/>
    <n v="12"/>
    <x v="0"/>
    <x v="0"/>
    <n v="49.05"/>
    <n v="593.04999999999995"/>
    <x v="0"/>
    <s v="Yes"/>
    <x v="2"/>
    <n v="593.04999999999995"/>
    <x v="0"/>
    <s v="Standard Spend"/>
  </r>
  <r>
    <s v="8111-SLLHI"/>
    <s v="Male"/>
    <x v="0"/>
    <n v="39"/>
    <x v="1"/>
    <x v="0"/>
    <n v="105.65"/>
    <n v="4284.8"/>
    <x v="1"/>
    <s v="Yes"/>
    <x v="0"/>
    <n v="4284.8"/>
    <x v="2"/>
    <s v="High Spend"/>
  </r>
  <r>
    <s v="0927-LCSMG"/>
    <s v="Male"/>
    <x v="0"/>
    <n v="7"/>
    <x v="1"/>
    <x v="0"/>
    <n v="74.650000000000006"/>
    <n v="544.54999999999995"/>
    <x v="1"/>
    <s v="No"/>
    <x v="1"/>
    <n v="544.54999999999995"/>
    <x v="0"/>
    <s v="Standard Spend"/>
  </r>
  <r>
    <s v="9330-DHBFL"/>
    <s v="Female"/>
    <x v="1"/>
    <n v="23"/>
    <x v="0"/>
    <x v="1"/>
    <n v="66.25"/>
    <n v="1533.8"/>
    <x v="0"/>
    <s v="Yes"/>
    <x v="1"/>
    <n v="1533.8"/>
    <x v="1"/>
    <s v="Standard Spend"/>
  </r>
  <r>
    <s v="0098-BOWSO"/>
    <s v="Male"/>
    <x v="0"/>
    <n v="27"/>
    <x v="2"/>
    <x v="2"/>
    <n v="19.399999999999999"/>
    <n v="529.79999999999995"/>
    <x v="0"/>
    <s v="Yes"/>
    <x v="0"/>
    <n v="529.79999999999995"/>
    <x v="1"/>
    <s v="Standard Spend"/>
  </r>
  <r>
    <s v="3452-ABWRL"/>
    <s v="Male"/>
    <x v="0"/>
    <n v="47"/>
    <x v="1"/>
    <x v="0"/>
    <n v="86.05"/>
    <n v="3865.6"/>
    <x v="0"/>
    <s v="Yes"/>
    <x v="3"/>
    <n v="3865.6"/>
    <x v="2"/>
    <s v="High Spend"/>
  </r>
  <r>
    <s v="5859-HZYLF"/>
    <s v="Male"/>
    <x v="2"/>
    <n v="26"/>
    <x v="2"/>
    <x v="2"/>
    <n v="19.149999999999999"/>
    <n v="515.75"/>
    <x v="0"/>
    <s v="Yes"/>
    <x v="3"/>
    <n v="515.75"/>
    <x v="1"/>
    <s v="Standard Spend"/>
  </r>
  <r>
    <s v="8257-RZAHR"/>
    <s v="Female"/>
    <x v="0"/>
    <n v="14"/>
    <x v="0"/>
    <x v="0"/>
    <n v="64.7"/>
    <n v="941"/>
    <x v="1"/>
    <s v="Yes"/>
    <x v="2"/>
    <n v="941"/>
    <x v="1"/>
    <s v="Standard Spend"/>
  </r>
  <r>
    <s v="5293-WXJAK"/>
    <s v="Female"/>
    <x v="0"/>
    <n v="11"/>
    <x v="1"/>
    <x v="1"/>
    <n v="104.05"/>
    <n v="1133.6500000000001"/>
    <x v="1"/>
    <s v="Yes"/>
    <x v="2"/>
    <n v="1133.6500000000001"/>
    <x v="0"/>
    <s v="Standard Spend"/>
  </r>
  <r>
    <s v="3156-QLHBO"/>
    <s v="Male"/>
    <x v="0"/>
    <n v="2"/>
    <x v="2"/>
    <x v="2"/>
    <n v="19.25"/>
    <n v="48.35"/>
    <x v="0"/>
    <s v="No"/>
    <x v="1"/>
    <n v="48.35"/>
    <x v="0"/>
    <s v="Standard Spend"/>
  </r>
  <r>
    <s v="2208-NQBCT"/>
    <s v="Female"/>
    <x v="0"/>
    <n v="26"/>
    <x v="1"/>
    <x v="0"/>
    <n v="81.95"/>
    <n v="2070.0500000000002"/>
    <x v="0"/>
    <s v="No"/>
    <x v="0"/>
    <n v="2070.0500000000002"/>
    <x v="1"/>
    <s v="Standard Spend"/>
  </r>
  <r>
    <s v="1779-PWPMG"/>
    <s v="Female"/>
    <x v="2"/>
    <n v="72"/>
    <x v="1"/>
    <x v="1"/>
    <n v="114.65"/>
    <n v="8333.9500000000007"/>
    <x v="0"/>
    <s v="Yes"/>
    <x v="2"/>
    <n v="8333.9500000000007"/>
    <x v="2"/>
    <s v="High Spend"/>
  </r>
  <r>
    <s v="6621-NRZAK"/>
    <s v="Female"/>
    <x v="2"/>
    <n v="63"/>
    <x v="2"/>
    <x v="2"/>
    <n v="20"/>
    <n v="1209.25"/>
    <x v="0"/>
    <s v="No"/>
    <x v="3"/>
    <n v="1209.25"/>
    <x v="2"/>
    <s v="Standard Spend"/>
  </r>
  <r>
    <s v="0831-JNISG"/>
    <s v="Male"/>
    <x v="2"/>
    <n v="71"/>
    <x v="2"/>
    <x v="2"/>
    <n v="19.8"/>
    <n v="1396.25"/>
    <x v="0"/>
    <s v="No"/>
    <x v="1"/>
    <n v="1396.25"/>
    <x v="2"/>
    <s v="Standard Spend"/>
  </r>
  <r>
    <s v="0774-IFUVM"/>
    <s v="Male"/>
    <x v="0"/>
    <n v="11"/>
    <x v="0"/>
    <x v="0"/>
    <n v="65.150000000000006"/>
    <n v="723.35"/>
    <x v="0"/>
    <s v="Yes"/>
    <x v="2"/>
    <n v="723.35"/>
    <x v="0"/>
    <s v="Standard Spend"/>
  </r>
  <r>
    <s v="3082-WQRVY"/>
    <s v="Male"/>
    <x v="1"/>
    <n v="14"/>
    <x v="2"/>
    <x v="2"/>
    <n v="19.649999999999999"/>
    <n v="228.65"/>
    <x v="0"/>
    <s v="No"/>
    <x v="1"/>
    <n v="228.65"/>
    <x v="1"/>
    <s v="Standard Spend"/>
  </r>
  <r>
    <s v="9553-DLCLU"/>
    <s v="Female"/>
    <x v="2"/>
    <n v="13"/>
    <x v="0"/>
    <x v="1"/>
    <n v="88.95"/>
    <n v="1161.75"/>
    <x v="0"/>
    <s v="No"/>
    <x v="3"/>
    <n v="1161.75"/>
    <x v="1"/>
    <s v="Standard Spend"/>
  </r>
  <r>
    <s v="1641-BYBTK"/>
    <s v="Male"/>
    <x v="0"/>
    <n v="6"/>
    <x v="2"/>
    <x v="2"/>
    <n v="20.2"/>
    <n v="98.35"/>
    <x v="0"/>
    <s v="Yes"/>
    <x v="1"/>
    <n v="98.35"/>
    <x v="0"/>
    <s v="Standard Spend"/>
  </r>
  <r>
    <s v="2460-NGXBJ"/>
    <s v="Male"/>
    <x v="0"/>
    <n v="11"/>
    <x v="1"/>
    <x v="0"/>
    <n v="75.2"/>
    <n v="775.3"/>
    <x v="0"/>
    <s v="Yes"/>
    <x v="3"/>
    <n v="775.3"/>
    <x v="0"/>
    <s v="Standard Spend"/>
  </r>
  <r>
    <s v="2446-ZKVAF"/>
    <s v="Male"/>
    <x v="0"/>
    <n v="18"/>
    <x v="0"/>
    <x v="0"/>
    <n v="56.8"/>
    <n v="1074.6500000000001"/>
    <x v="0"/>
    <s v="No"/>
    <x v="3"/>
    <n v="1074.6500000000001"/>
    <x v="1"/>
    <s v="Standard Spend"/>
  </r>
  <r>
    <s v="0841-NULXI"/>
    <s v="Male"/>
    <x v="0"/>
    <n v="1"/>
    <x v="0"/>
    <x v="0"/>
    <n v="35.549999999999997"/>
    <n v="35.549999999999997"/>
    <x v="1"/>
    <s v="Yes"/>
    <x v="0"/>
    <n v="35.549999999999997"/>
    <x v="0"/>
    <s v="Standard Spend"/>
  </r>
  <r>
    <s v="3522-CDKHF"/>
    <s v="Female"/>
    <x v="0"/>
    <n v="32"/>
    <x v="1"/>
    <x v="0"/>
    <n v="75.5"/>
    <n v="2324.6999999999998"/>
    <x v="0"/>
    <s v="Yes"/>
    <x v="2"/>
    <n v="2324.6999999999998"/>
    <x v="1"/>
    <s v="Standard Spend"/>
  </r>
  <r>
    <s v="1430-SFQSA"/>
    <s v="Male"/>
    <x v="1"/>
    <n v="29"/>
    <x v="0"/>
    <x v="1"/>
    <n v="35.6"/>
    <n v="1072.5999999999999"/>
    <x v="0"/>
    <s v="No"/>
    <x v="1"/>
    <n v="1072.5999999999999"/>
    <x v="1"/>
    <s v="Standard Spend"/>
  </r>
  <r>
    <s v="0411-EZJZE"/>
    <s v="Female"/>
    <x v="0"/>
    <n v="3"/>
    <x v="0"/>
    <x v="0"/>
    <n v="60.25"/>
    <n v="170.5"/>
    <x v="0"/>
    <s v="Yes"/>
    <x v="0"/>
    <n v="170.5"/>
    <x v="0"/>
    <s v="Standard Spend"/>
  </r>
  <r>
    <s v="7851-WZEKY"/>
    <s v="Female"/>
    <x v="0"/>
    <n v="2"/>
    <x v="1"/>
    <x v="0"/>
    <n v="95.15"/>
    <n v="196.9"/>
    <x v="1"/>
    <s v="Yes"/>
    <x v="0"/>
    <n v="196.9"/>
    <x v="0"/>
    <s v="Standard Spend"/>
  </r>
  <r>
    <s v="8844-TONUD"/>
    <s v="Male"/>
    <x v="0"/>
    <n v="13"/>
    <x v="1"/>
    <x v="0"/>
    <n v="96.65"/>
    <n v="1162.8499999999999"/>
    <x v="1"/>
    <s v="Yes"/>
    <x v="1"/>
    <n v="1162.8499999999999"/>
    <x v="1"/>
    <s v="Standard Spend"/>
  </r>
  <r>
    <s v="8807-ARQET"/>
    <s v="Female"/>
    <x v="0"/>
    <n v="41"/>
    <x v="0"/>
    <x v="0"/>
    <n v="40.35"/>
    <n v="1677.85"/>
    <x v="0"/>
    <s v="Yes"/>
    <x v="0"/>
    <n v="1677.85"/>
    <x v="2"/>
    <s v="Standard Spend"/>
  </r>
  <r>
    <s v="8992-CEUEN"/>
    <s v="Female"/>
    <x v="0"/>
    <n v="1"/>
    <x v="2"/>
    <x v="2"/>
    <n v="18.850000000000001"/>
    <n v="18.850000000000001"/>
    <x v="0"/>
    <s v="No"/>
    <x v="0"/>
    <n v="18.850000000000001"/>
    <x v="0"/>
    <s v="Standard Spend"/>
  </r>
  <r>
    <s v="4320-QMLLA"/>
    <s v="Male"/>
    <x v="0"/>
    <n v="7"/>
    <x v="0"/>
    <x v="0"/>
    <n v="54.85"/>
    <n v="370.4"/>
    <x v="0"/>
    <s v="No"/>
    <x v="1"/>
    <n v="370.4"/>
    <x v="0"/>
    <s v="Standard Spend"/>
  </r>
  <r>
    <s v="8777-PVYGU"/>
    <s v="Female"/>
    <x v="1"/>
    <n v="52"/>
    <x v="0"/>
    <x v="0"/>
    <n v="64.3"/>
    <n v="3410.6"/>
    <x v="0"/>
    <s v="Yes"/>
    <x v="1"/>
    <n v="3410.6"/>
    <x v="2"/>
    <s v="High Spend"/>
  </r>
  <r>
    <s v="8292-ITGYJ"/>
    <s v="Female"/>
    <x v="2"/>
    <n v="45"/>
    <x v="2"/>
    <x v="2"/>
    <n v="24.65"/>
    <n v="1138.8"/>
    <x v="0"/>
    <s v="Yes"/>
    <x v="2"/>
    <n v="1138.8"/>
    <x v="2"/>
    <s v="Standard Spend"/>
  </r>
  <r>
    <s v="6870-ZWMNX"/>
    <s v="Male"/>
    <x v="2"/>
    <n v="70"/>
    <x v="0"/>
    <x v="1"/>
    <n v="76.099999999999994"/>
    <n v="5264.25"/>
    <x v="0"/>
    <s v="No"/>
    <x v="3"/>
    <n v="5264.25"/>
    <x v="2"/>
    <s v="High Spend"/>
  </r>
  <r>
    <s v="0621-CXBKL"/>
    <s v="Female"/>
    <x v="2"/>
    <n v="53"/>
    <x v="2"/>
    <x v="2"/>
    <n v="18.7"/>
    <n v="1005.7"/>
    <x v="0"/>
    <s v="No"/>
    <x v="1"/>
    <n v="1005.7"/>
    <x v="2"/>
    <s v="Standard Spend"/>
  </r>
  <r>
    <s v="5268-DSMNQ"/>
    <s v="Female"/>
    <x v="1"/>
    <n v="62"/>
    <x v="1"/>
    <x v="0"/>
    <n v="97.95"/>
    <n v="5936.55"/>
    <x v="0"/>
    <s v="Yes"/>
    <x v="3"/>
    <n v="5936.55"/>
    <x v="2"/>
    <s v="High Spend"/>
  </r>
  <r>
    <s v="5334-JLAXU"/>
    <s v="Female"/>
    <x v="0"/>
    <n v="60"/>
    <x v="1"/>
    <x v="0"/>
    <n v="94.1"/>
    <n v="5475.9"/>
    <x v="0"/>
    <s v="Yes"/>
    <x v="3"/>
    <n v="5475.9"/>
    <x v="2"/>
    <s v="High Spend"/>
  </r>
  <r>
    <s v="4086-YQSNZ"/>
    <s v="Female"/>
    <x v="0"/>
    <n v="3"/>
    <x v="1"/>
    <x v="0"/>
    <n v="80.400000000000006"/>
    <n v="224.05"/>
    <x v="1"/>
    <s v="Yes"/>
    <x v="0"/>
    <n v="224.05"/>
    <x v="0"/>
    <s v="Standard Spend"/>
  </r>
  <r>
    <s v="6242-MBHPK"/>
    <s v="Female"/>
    <x v="0"/>
    <n v="23"/>
    <x v="1"/>
    <x v="0"/>
    <n v="95.1"/>
    <n v="2326.0500000000002"/>
    <x v="0"/>
    <s v="Yes"/>
    <x v="0"/>
    <n v="2326.0500000000002"/>
    <x v="1"/>
    <s v="Standard Spend"/>
  </r>
  <r>
    <s v="5868-CZJDR"/>
    <s v="Male"/>
    <x v="0"/>
    <n v="1"/>
    <x v="0"/>
    <x v="0"/>
    <n v="31.35"/>
    <n v="31.35"/>
    <x v="1"/>
    <s v="Yes"/>
    <x v="1"/>
    <n v="31.35"/>
    <x v="0"/>
    <s v="Standard Spend"/>
  </r>
  <r>
    <s v="9359-UGBTK"/>
    <s v="Female"/>
    <x v="1"/>
    <n v="67"/>
    <x v="0"/>
    <x v="1"/>
    <n v="72.349999999999994"/>
    <n v="4991.5"/>
    <x v="0"/>
    <s v="Yes"/>
    <x v="2"/>
    <n v="4991.5"/>
    <x v="2"/>
    <s v="High Spend"/>
  </r>
  <r>
    <s v="0135-NMXAP"/>
    <s v="Female"/>
    <x v="0"/>
    <n v="12"/>
    <x v="1"/>
    <x v="0"/>
    <n v="89.75"/>
    <n v="1052.4000000000001"/>
    <x v="1"/>
    <s v="Yes"/>
    <x v="2"/>
    <n v="1052.4000000000001"/>
    <x v="0"/>
    <s v="Standard Spend"/>
  </r>
  <r>
    <s v="4782-OSFXZ"/>
    <s v="Female"/>
    <x v="2"/>
    <n v="71"/>
    <x v="0"/>
    <x v="1"/>
    <n v="82.7"/>
    <n v="5831.2"/>
    <x v="0"/>
    <s v="Yes"/>
    <x v="2"/>
    <n v="5831.2"/>
    <x v="2"/>
    <s v="High Spend"/>
  </r>
  <r>
    <s v="6479-OAUSD"/>
    <s v="Male"/>
    <x v="1"/>
    <n v="25"/>
    <x v="2"/>
    <x v="2"/>
    <n v="19.899999999999999"/>
    <n v="510.8"/>
    <x v="0"/>
    <s v="No"/>
    <x v="3"/>
    <n v="510.8"/>
    <x v="1"/>
    <s v="Standard Spend"/>
  </r>
  <r>
    <s v="7129-ACFOG"/>
    <s v="Female"/>
    <x v="0"/>
    <n v="5"/>
    <x v="0"/>
    <x v="0"/>
    <n v="53.8"/>
    <n v="283.95"/>
    <x v="0"/>
    <s v="Yes"/>
    <x v="0"/>
    <n v="283.95"/>
    <x v="0"/>
    <s v="Standard Spend"/>
  </r>
  <r>
    <s v="4189-NAKJS"/>
    <s v="Male"/>
    <x v="1"/>
    <n v="26"/>
    <x v="0"/>
    <x v="0"/>
    <n v="51.55"/>
    <n v="1295.4000000000001"/>
    <x v="0"/>
    <s v="Yes"/>
    <x v="3"/>
    <n v="1295.4000000000001"/>
    <x v="1"/>
    <s v="Standard Spend"/>
  </r>
  <r>
    <s v="5562-BETPV"/>
    <s v="Male"/>
    <x v="1"/>
    <n v="1"/>
    <x v="2"/>
    <x v="2"/>
    <n v="19.649999999999999"/>
    <n v="19.649999999999999"/>
    <x v="0"/>
    <s v="No"/>
    <x v="1"/>
    <n v="19.649999999999999"/>
    <x v="0"/>
    <s v="Standard Spend"/>
  </r>
  <r>
    <s v="1282-IHQAC"/>
    <s v="Male"/>
    <x v="1"/>
    <n v="70"/>
    <x v="0"/>
    <x v="0"/>
    <n v="44.05"/>
    <n v="3011.65"/>
    <x v="0"/>
    <s v="Yes"/>
    <x v="3"/>
    <n v="3011.65"/>
    <x v="2"/>
    <s v="High Spend"/>
  </r>
  <r>
    <s v="9127-FHJBZ"/>
    <s v="Male"/>
    <x v="2"/>
    <n v="72"/>
    <x v="1"/>
    <x v="1"/>
    <n v="114"/>
    <n v="8093.15"/>
    <x v="0"/>
    <s v="Yes"/>
    <x v="0"/>
    <n v="8093.15"/>
    <x v="2"/>
    <s v="High Spend"/>
  </r>
  <r>
    <s v="6270-OMFIW"/>
    <s v="Male"/>
    <x v="1"/>
    <n v="60"/>
    <x v="1"/>
    <x v="0"/>
    <n v="94.4"/>
    <n v="5610.25"/>
    <x v="1"/>
    <s v="Yes"/>
    <x v="0"/>
    <n v="5610.25"/>
    <x v="2"/>
    <s v="High Spend"/>
  </r>
  <r>
    <s v="1641-RQDAY"/>
    <s v="Female"/>
    <x v="0"/>
    <n v="32"/>
    <x v="1"/>
    <x v="0"/>
    <n v="100.4"/>
    <n v="3217.65"/>
    <x v="0"/>
    <s v="Yes"/>
    <x v="0"/>
    <n v="3217.65"/>
    <x v="1"/>
    <s v="High Spend"/>
  </r>
  <r>
    <s v="0107-WESLM"/>
    <s v="Male"/>
    <x v="0"/>
    <n v="1"/>
    <x v="2"/>
    <x v="2"/>
    <n v="19.850000000000001"/>
    <n v="19.850000000000001"/>
    <x v="1"/>
    <s v="Yes"/>
    <x v="0"/>
    <n v="19.850000000000001"/>
    <x v="0"/>
    <s v="Standard Spend"/>
  </r>
  <r>
    <s v="6994-ORCWG"/>
    <s v="Female"/>
    <x v="1"/>
    <n v="14"/>
    <x v="0"/>
    <x v="0"/>
    <n v="54.25"/>
    <n v="773.2"/>
    <x v="0"/>
    <s v="Yes"/>
    <x v="1"/>
    <n v="773.2"/>
    <x v="1"/>
    <s v="Standard Spend"/>
  </r>
  <r>
    <s v="1346-UFHAX"/>
    <s v="Female"/>
    <x v="0"/>
    <n v="13"/>
    <x v="1"/>
    <x v="0"/>
    <n v="80"/>
    <n v="1029.3499999999999"/>
    <x v="0"/>
    <s v="Yes"/>
    <x v="3"/>
    <n v="1029.3499999999999"/>
    <x v="1"/>
    <s v="Standard Spend"/>
  </r>
  <r>
    <s v="3992-YWPKO"/>
    <s v="Female"/>
    <x v="0"/>
    <n v="6"/>
    <x v="1"/>
    <x v="1"/>
    <n v="109.9"/>
    <n v="669.45"/>
    <x v="1"/>
    <s v="Yes"/>
    <x v="3"/>
    <n v="669.45"/>
    <x v="0"/>
    <s v="Standard Spend"/>
  </r>
  <r>
    <s v="2933-XEUJM"/>
    <s v="Female"/>
    <x v="2"/>
    <n v="46"/>
    <x v="0"/>
    <x v="0"/>
    <n v="79.2"/>
    <n v="3593.8"/>
    <x v="0"/>
    <s v="No"/>
    <x v="1"/>
    <n v="3593.8"/>
    <x v="2"/>
    <s v="High Spend"/>
  </r>
  <r>
    <s v="0125-LZQXK"/>
    <s v="Male"/>
    <x v="0"/>
    <n v="15"/>
    <x v="1"/>
    <x v="1"/>
    <n v="101.35"/>
    <n v="1553.95"/>
    <x v="1"/>
    <s v="Yes"/>
    <x v="0"/>
    <n v="1553.95"/>
    <x v="1"/>
    <s v="Standard Spend"/>
  </r>
  <r>
    <s v="5461-QKNTN"/>
    <s v="Male"/>
    <x v="0"/>
    <n v="43"/>
    <x v="1"/>
    <x v="1"/>
    <n v="94.3"/>
    <n v="3953.15"/>
    <x v="0"/>
    <s v="Yes"/>
    <x v="0"/>
    <n v="3953.15"/>
    <x v="2"/>
    <s v="High Spend"/>
  </r>
  <r>
    <s v="4835-YSJMR"/>
    <s v="Male"/>
    <x v="2"/>
    <n v="39"/>
    <x v="0"/>
    <x v="1"/>
    <n v="49.8"/>
    <n v="1971.15"/>
    <x v="0"/>
    <s v="Yes"/>
    <x v="2"/>
    <n v="1971.15"/>
    <x v="2"/>
    <s v="Standard Spend"/>
  </r>
  <r>
    <s v="8399-YNDCH"/>
    <s v="Male"/>
    <x v="0"/>
    <n v="21"/>
    <x v="0"/>
    <x v="0"/>
    <n v="60.05"/>
    <n v="1236.1500000000001"/>
    <x v="1"/>
    <s v="Yes"/>
    <x v="2"/>
    <n v="1236.1500000000001"/>
    <x v="1"/>
    <s v="Standard Spend"/>
  </r>
  <r>
    <s v="3164-YAXFY"/>
    <s v="Male"/>
    <x v="0"/>
    <n v="57"/>
    <x v="0"/>
    <x v="0"/>
    <n v="53.75"/>
    <n v="3196"/>
    <x v="0"/>
    <s v="Yes"/>
    <x v="0"/>
    <n v="3196"/>
    <x v="2"/>
    <s v="High Spend"/>
  </r>
  <r>
    <s v="0887-WBJVH"/>
    <s v="Female"/>
    <x v="1"/>
    <n v="53"/>
    <x v="1"/>
    <x v="1"/>
    <n v="93.45"/>
    <n v="4872.2"/>
    <x v="0"/>
    <s v="Yes"/>
    <x v="0"/>
    <n v="4872.2"/>
    <x v="2"/>
    <s v="High Spend"/>
  </r>
  <r>
    <s v="4660-IRIBM"/>
    <s v="Male"/>
    <x v="0"/>
    <n v="18"/>
    <x v="1"/>
    <x v="0"/>
    <n v="87.9"/>
    <n v="1500.5"/>
    <x v="0"/>
    <s v="Yes"/>
    <x v="1"/>
    <n v="1500.5"/>
    <x v="1"/>
    <s v="Standard Spend"/>
  </r>
  <r>
    <s v="5673-FSSMF"/>
    <s v="Female"/>
    <x v="0"/>
    <n v="1"/>
    <x v="0"/>
    <x v="0"/>
    <n v="60.15"/>
    <n v="60.15"/>
    <x v="1"/>
    <s v="Yes"/>
    <x v="0"/>
    <n v="60.15"/>
    <x v="0"/>
    <s v="Standard Spend"/>
  </r>
  <r>
    <s v="7670-ZBPOQ"/>
    <s v="Female"/>
    <x v="1"/>
    <n v="58"/>
    <x v="0"/>
    <x v="1"/>
    <n v="61.05"/>
    <n v="3478.75"/>
    <x v="0"/>
    <s v="Yes"/>
    <x v="2"/>
    <n v="3478.75"/>
    <x v="2"/>
    <s v="High Spend"/>
  </r>
  <r>
    <s v="8089-UZWLX"/>
    <s v="Female"/>
    <x v="2"/>
    <n v="71"/>
    <x v="1"/>
    <x v="0"/>
    <n v="104.05"/>
    <n v="7413.55"/>
    <x v="0"/>
    <s v="No"/>
    <x v="2"/>
    <n v="7413.55"/>
    <x v="2"/>
    <s v="High Spend"/>
  </r>
  <r>
    <s v="0080-OROZO"/>
    <s v="Female"/>
    <x v="1"/>
    <n v="35"/>
    <x v="1"/>
    <x v="1"/>
    <n v="99.25"/>
    <n v="3532"/>
    <x v="0"/>
    <s v="Yes"/>
    <x v="0"/>
    <n v="3532"/>
    <x v="1"/>
    <s v="High Spend"/>
  </r>
  <r>
    <s v="3916-NRPAP"/>
    <s v="Male"/>
    <x v="0"/>
    <n v="3"/>
    <x v="1"/>
    <x v="0"/>
    <n v="85.7"/>
    <n v="256.75"/>
    <x v="0"/>
    <s v="No"/>
    <x v="3"/>
    <n v="256.75"/>
    <x v="0"/>
    <s v="Standard Spend"/>
  </r>
  <r>
    <s v="6807-SIWJI"/>
    <s v="Male"/>
    <x v="1"/>
    <n v="38"/>
    <x v="1"/>
    <x v="0"/>
    <n v="104.85"/>
    <n v="3887.25"/>
    <x v="0"/>
    <s v="Yes"/>
    <x v="0"/>
    <n v="3887.25"/>
    <x v="2"/>
    <s v="High Spend"/>
  </r>
  <r>
    <s v="8221-HVAYI"/>
    <s v="Male"/>
    <x v="2"/>
    <n v="35"/>
    <x v="0"/>
    <x v="1"/>
    <n v="69.150000000000006"/>
    <n v="2490.15"/>
    <x v="0"/>
    <s v="Yes"/>
    <x v="3"/>
    <n v="2490.15"/>
    <x v="1"/>
    <s v="Standard Spend"/>
  </r>
  <r>
    <s v="1579-KLYDT"/>
    <s v="Male"/>
    <x v="0"/>
    <n v="7"/>
    <x v="1"/>
    <x v="0"/>
    <n v="90.45"/>
    <n v="593.45000000000005"/>
    <x v="1"/>
    <s v="Yes"/>
    <x v="0"/>
    <n v="593.45000000000005"/>
    <x v="0"/>
    <s v="Standard Spend"/>
  </r>
  <r>
    <s v="5232-NXPAY"/>
    <s v="Female"/>
    <x v="2"/>
    <n v="47"/>
    <x v="0"/>
    <x v="1"/>
    <n v="74.45"/>
    <n v="3510.3"/>
    <x v="0"/>
    <s v="No"/>
    <x v="1"/>
    <n v="3510.3"/>
    <x v="2"/>
    <s v="High Spend"/>
  </r>
  <r>
    <s v="8967-SZQAS"/>
    <s v="Female"/>
    <x v="0"/>
    <n v="14"/>
    <x v="0"/>
    <x v="0"/>
    <n v="50.45"/>
    <n v="765.45"/>
    <x v="0"/>
    <s v="No"/>
    <x v="0"/>
    <n v="765.45"/>
    <x v="1"/>
    <s v="Standard Spend"/>
  </r>
  <r>
    <s v="4468-KAZHE"/>
    <s v="Female"/>
    <x v="0"/>
    <n v="20"/>
    <x v="0"/>
    <x v="0"/>
    <n v="60"/>
    <n v="1259.3499999999999"/>
    <x v="0"/>
    <s v="Yes"/>
    <x v="0"/>
    <n v="1259.3499999999999"/>
    <x v="1"/>
    <s v="Standard Spend"/>
  </r>
  <r>
    <s v="0455-ENTCR"/>
    <s v="Male"/>
    <x v="2"/>
    <n v="66"/>
    <x v="0"/>
    <x v="1"/>
    <n v="85.25"/>
    <n v="5538.35"/>
    <x v="0"/>
    <s v="No"/>
    <x v="0"/>
    <n v="5538.35"/>
    <x v="2"/>
    <s v="High Spend"/>
  </r>
  <r>
    <s v="8944-AILEF"/>
    <s v="Male"/>
    <x v="0"/>
    <n v="15"/>
    <x v="2"/>
    <x v="2"/>
    <n v="19.45"/>
    <n v="340.85"/>
    <x v="0"/>
    <s v="Yes"/>
    <x v="3"/>
    <n v="340.85"/>
    <x v="1"/>
    <s v="Standard Spend"/>
  </r>
  <r>
    <s v="5542-NKVRU"/>
    <s v="Female"/>
    <x v="2"/>
    <n v="42"/>
    <x v="2"/>
    <x v="2"/>
    <n v="20.75"/>
    <n v="844.45"/>
    <x v="0"/>
    <s v="Yes"/>
    <x v="2"/>
    <n v="844.45"/>
    <x v="2"/>
    <s v="Standard Spend"/>
  </r>
  <r>
    <s v="7126-RBHSD"/>
    <s v="Female"/>
    <x v="0"/>
    <n v="17"/>
    <x v="1"/>
    <x v="0"/>
    <n v="78.900000000000006"/>
    <n v="1348.95"/>
    <x v="0"/>
    <s v="No"/>
    <x v="0"/>
    <n v="1348.95"/>
    <x v="1"/>
    <s v="Standard Spend"/>
  </r>
  <r>
    <s v="5370-IIVVL"/>
    <s v="Male"/>
    <x v="1"/>
    <n v="37"/>
    <x v="1"/>
    <x v="1"/>
    <n v="104.5"/>
    <n v="3778"/>
    <x v="0"/>
    <s v="Yes"/>
    <x v="3"/>
    <n v="3778"/>
    <x v="2"/>
    <s v="High Spend"/>
  </r>
  <r>
    <s v="6789-HJBWG"/>
    <s v="Female"/>
    <x v="0"/>
    <n v="12"/>
    <x v="0"/>
    <x v="0"/>
    <n v="49.4"/>
    <n v="611.65"/>
    <x v="0"/>
    <s v="Yes"/>
    <x v="0"/>
    <n v="611.65"/>
    <x v="0"/>
    <s v="Standard Spend"/>
  </r>
  <r>
    <s v="3927-NLNRY"/>
    <s v="Male"/>
    <x v="1"/>
    <n v="53"/>
    <x v="1"/>
    <x v="0"/>
    <n v="94.25"/>
    <n v="4867.95"/>
    <x v="1"/>
    <s v="Yes"/>
    <x v="2"/>
    <n v="4867.95"/>
    <x v="2"/>
    <s v="High Spend"/>
  </r>
  <r>
    <s v="9087-EYCPR"/>
    <s v="Female"/>
    <x v="2"/>
    <n v="60"/>
    <x v="2"/>
    <x v="2"/>
    <n v="25"/>
    <n v="1505.05"/>
    <x v="0"/>
    <s v="No"/>
    <x v="1"/>
    <n v="1505.05"/>
    <x v="2"/>
    <s v="Standard Spend"/>
  </r>
  <r>
    <s v="6791-YBNAK"/>
    <s v="Male"/>
    <x v="0"/>
    <n v="18"/>
    <x v="0"/>
    <x v="0"/>
    <n v="25.55"/>
    <n v="467.85"/>
    <x v="0"/>
    <s v="No"/>
    <x v="3"/>
    <n v="467.85"/>
    <x v="1"/>
    <s v="Standard Spend"/>
  </r>
  <r>
    <s v="6358-LYNGM"/>
    <s v="Male"/>
    <x v="0"/>
    <n v="1"/>
    <x v="1"/>
    <x v="0"/>
    <n v="74.900000000000006"/>
    <n v="74.900000000000006"/>
    <x v="1"/>
    <s v="Yes"/>
    <x v="0"/>
    <n v="74.900000000000006"/>
    <x v="0"/>
    <s v="Standard Spend"/>
  </r>
  <r>
    <s v="6077-BDPXA"/>
    <s v="Female"/>
    <x v="0"/>
    <n v="3"/>
    <x v="1"/>
    <x v="0"/>
    <n v="70.150000000000006"/>
    <n v="194.2"/>
    <x v="0"/>
    <s v="Yes"/>
    <x v="0"/>
    <n v="194.2"/>
    <x v="0"/>
    <s v="Standard Spend"/>
  </r>
  <r>
    <s v="0013-MHZWF"/>
    <s v="Female"/>
    <x v="0"/>
    <n v="9"/>
    <x v="0"/>
    <x v="1"/>
    <n v="69.400000000000006"/>
    <n v="571.45000000000005"/>
    <x v="0"/>
    <s v="Yes"/>
    <x v="3"/>
    <n v="571.45000000000005"/>
    <x v="0"/>
    <s v="Standard Spend"/>
  </r>
  <r>
    <s v="5494-HECPR"/>
    <s v="Female"/>
    <x v="0"/>
    <n v="1"/>
    <x v="1"/>
    <x v="0"/>
    <n v="80.25"/>
    <n v="80.25"/>
    <x v="1"/>
    <s v="Yes"/>
    <x v="0"/>
    <n v="80.25"/>
    <x v="0"/>
    <s v="Standard Spend"/>
  </r>
  <r>
    <s v="8268-YDIXR"/>
    <s v="Male"/>
    <x v="1"/>
    <n v="56"/>
    <x v="1"/>
    <x v="0"/>
    <n v="93.15"/>
    <n v="5253.95"/>
    <x v="0"/>
    <s v="Yes"/>
    <x v="0"/>
    <n v="5253.95"/>
    <x v="2"/>
    <s v="High Spend"/>
  </r>
  <r>
    <s v="9824-BEMCV"/>
    <s v="Male"/>
    <x v="0"/>
    <n v="17"/>
    <x v="1"/>
    <x v="0"/>
    <n v="69"/>
    <n v="1149.6500000000001"/>
    <x v="1"/>
    <s v="Yes"/>
    <x v="0"/>
    <n v="1149.6500000000001"/>
    <x v="1"/>
    <s v="Standard Spend"/>
  </r>
  <r>
    <s v="1373-ORVIZ"/>
    <s v="Female"/>
    <x v="0"/>
    <n v="11"/>
    <x v="0"/>
    <x v="1"/>
    <n v="66.349999999999994"/>
    <n v="740.8"/>
    <x v="1"/>
    <s v="Yes"/>
    <x v="0"/>
    <n v="740.8"/>
    <x v="0"/>
    <s v="Standard Spend"/>
  </r>
  <r>
    <s v="4291-SHSBH"/>
    <s v="Male"/>
    <x v="0"/>
    <n v="7"/>
    <x v="1"/>
    <x v="0"/>
    <n v="69.55"/>
    <n v="521.35"/>
    <x v="0"/>
    <s v="Yes"/>
    <x v="0"/>
    <n v="521.35"/>
    <x v="0"/>
    <s v="Standard Spend"/>
  </r>
  <r>
    <s v="6980-IMXXE"/>
    <s v="Female"/>
    <x v="2"/>
    <n v="69"/>
    <x v="2"/>
    <x v="2"/>
    <n v="20.2"/>
    <n v="1412.65"/>
    <x v="0"/>
    <s v="No"/>
    <x v="2"/>
    <n v="1412.65"/>
    <x v="2"/>
    <s v="Standard Spend"/>
  </r>
  <r>
    <s v="9866-QEVEE"/>
    <s v="Male"/>
    <x v="0"/>
    <n v="19"/>
    <x v="1"/>
    <x v="0"/>
    <n v="86"/>
    <n v="1532.45"/>
    <x v="1"/>
    <s v="Yes"/>
    <x v="2"/>
    <n v="1532.45"/>
    <x v="1"/>
    <s v="Standard Spend"/>
  </r>
  <r>
    <s v="9897-KXHCM"/>
    <s v="Female"/>
    <x v="0"/>
    <n v="3"/>
    <x v="1"/>
    <x v="0"/>
    <n v="80.3"/>
    <n v="250.05"/>
    <x v="1"/>
    <s v="Yes"/>
    <x v="0"/>
    <n v="250.05"/>
    <x v="0"/>
    <s v="Standard Spend"/>
  </r>
  <r>
    <s v="0040-HALCW"/>
    <s v="Male"/>
    <x v="2"/>
    <n v="54"/>
    <x v="2"/>
    <x v="2"/>
    <n v="20.399999999999999"/>
    <n v="1090.5999999999999"/>
    <x v="0"/>
    <s v="No"/>
    <x v="3"/>
    <n v="1090.5999999999999"/>
    <x v="2"/>
    <s v="Standard Spend"/>
  </r>
  <r>
    <s v="0784-GTUUK"/>
    <s v="Male"/>
    <x v="1"/>
    <n v="62"/>
    <x v="2"/>
    <x v="2"/>
    <n v="23.75"/>
    <n v="1446.8"/>
    <x v="0"/>
    <s v="Yes"/>
    <x v="3"/>
    <n v="1446.8"/>
    <x v="2"/>
    <s v="Standard Spend"/>
  </r>
  <r>
    <s v="7979-CORPM"/>
    <s v="Male"/>
    <x v="0"/>
    <n v="24"/>
    <x v="1"/>
    <x v="0"/>
    <n v="90.55"/>
    <n v="2282.5500000000002"/>
    <x v="1"/>
    <s v="Yes"/>
    <x v="3"/>
    <n v="2282.5500000000002"/>
    <x v="1"/>
    <s v="Standard Spend"/>
  </r>
  <r>
    <s v="2294-DMMUS"/>
    <s v="Female"/>
    <x v="0"/>
    <n v="62"/>
    <x v="0"/>
    <x v="0"/>
    <n v="70.45"/>
    <n v="4300.45"/>
    <x v="0"/>
    <s v="Yes"/>
    <x v="3"/>
    <n v="4300.45"/>
    <x v="2"/>
    <s v="High Spend"/>
  </r>
  <r>
    <s v="0872-JCPIB"/>
    <s v="Male"/>
    <x v="0"/>
    <n v="17"/>
    <x v="0"/>
    <x v="0"/>
    <n v="65.75"/>
    <n v="1111.2"/>
    <x v="0"/>
    <s v="No"/>
    <x v="2"/>
    <n v="1111.2"/>
    <x v="1"/>
    <s v="Standard Spend"/>
  </r>
  <r>
    <s v="3055-MJDSB"/>
    <s v="Male"/>
    <x v="0"/>
    <n v="9"/>
    <x v="0"/>
    <x v="0"/>
    <n v="24.6"/>
    <n v="190.1"/>
    <x v="0"/>
    <s v="Yes"/>
    <x v="1"/>
    <n v="190.1"/>
    <x v="0"/>
    <s v="Standard Spend"/>
  </r>
  <r>
    <s v="9091-WTUUY"/>
    <s v="Male"/>
    <x v="2"/>
    <n v="64"/>
    <x v="0"/>
    <x v="1"/>
    <n v="69.25"/>
    <n v="4447.75"/>
    <x v="0"/>
    <s v="No"/>
    <x v="1"/>
    <n v="4447.75"/>
    <x v="2"/>
    <s v="High Spend"/>
  </r>
  <r>
    <s v="1618-CFHME"/>
    <s v="Female"/>
    <x v="0"/>
    <n v="2"/>
    <x v="1"/>
    <x v="0"/>
    <n v="75.900000000000006"/>
    <n v="143.35"/>
    <x v="1"/>
    <s v="Yes"/>
    <x v="0"/>
    <n v="143.35"/>
    <x v="0"/>
    <s v="Standard Spend"/>
  </r>
  <r>
    <s v="3165-HDOEW"/>
    <s v="Male"/>
    <x v="0"/>
    <n v="1"/>
    <x v="0"/>
    <x v="0"/>
    <n v="45.85"/>
    <n v="45.85"/>
    <x v="1"/>
    <s v="Yes"/>
    <x v="1"/>
    <n v="45.85"/>
    <x v="0"/>
    <s v="Standard Spend"/>
  </r>
  <r>
    <s v="6581-NQCBA"/>
    <s v="Female"/>
    <x v="0"/>
    <n v="16"/>
    <x v="0"/>
    <x v="1"/>
    <n v="49.95"/>
    <n v="810.2"/>
    <x v="1"/>
    <s v="Yes"/>
    <x v="0"/>
    <n v="810.2"/>
    <x v="1"/>
    <s v="Standard Spend"/>
  </r>
  <r>
    <s v="7115-IRDHS"/>
    <s v="Female"/>
    <x v="2"/>
    <n v="72"/>
    <x v="2"/>
    <x v="2"/>
    <n v="24.65"/>
    <n v="1830.05"/>
    <x v="0"/>
    <s v="No"/>
    <x v="2"/>
    <n v="1830.05"/>
    <x v="2"/>
    <s v="Standard Spend"/>
  </r>
  <r>
    <s v="8496-DMZUK"/>
    <s v="Male"/>
    <x v="1"/>
    <n v="30"/>
    <x v="1"/>
    <x v="0"/>
    <n v="90.4"/>
    <n v="2820.65"/>
    <x v="0"/>
    <s v="No"/>
    <x v="2"/>
    <n v="2820.65"/>
    <x v="1"/>
    <s v="High Spend"/>
  </r>
  <r>
    <s v="2040-VZIKE"/>
    <s v="Female"/>
    <x v="0"/>
    <n v="49"/>
    <x v="1"/>
    <x v="0"/>
    <n v="100.85"/>
    <n v="4847.3500000000004"/>
    <x v="0"/>
    <s v="Yes"/>
    <x v="1"/>
    <n v="4847.3500000000004"/>
    <x v="2"/>
    <s v="High Spend"/>
  </r>
  <r>
    <s v="9068-VPWQQ"/>
    <s v="Male"/>
    <x v="2"/>
    <n v="61"/>
    <x v="0"/>
    <x v="1"/>
    <n v="75.349999999999994"/>
    <n v="4729.3"/>
    <x v="0"/>
    <s v="No"/>
    <x v="3"/>
    <n v="4729.3"/>
    <x v="2"/>
    <s v="High Spend"/>
  </r>
  <r>
    <s v="0178-SZBHO"/>
    <s v="Male"/>
    <x v="0"/>
    <n v="47"/>
    <x v="1"/>
    <x v="0"/>
    <n v="87.2"/>
    <n v="4017.45"/>
    <x v="0"/>
    <s v="No"/>
    <x v="0"/>
    <n v="4017.45"/>
    <x v="2"/>
    <s v="High Spend"/>
  </r>
  <r>
    <s v="0384-RVBPI"/>
    <s v="Male"/>
    <x v="0"/>
    <n v="20"/>
    <x v="0"/>
    <x v="0"/>
    <n v="64.400000000000006"/>
    <n v="1398.6"/>
    <x v="0"/>
    <s v="No"/>
    <x v="3"/>
    <n v="1398.6"/>
    <x v="1"/>
    <s v="Standard Spend"/>
  </r>
  <r>
    <s v="1689-MRZQR"/>
    <s v="Male"/>
    <x v="0"/>
    <n v="34"/>
    <x v="1"/>
    <x v="0"/>
    <n v="78.3"/>
    <n v="2564.3000000000002"/>
    <x v="1"/>
    <s v="No"/>
    <x v="0"/>
    <n v="2564.3000000000002"/>
    <x v="1"/>
    <s v="High Spend"/>
  </r>
  <r>
    <s v="1299-AURJA"/>
    <s v="Female"/>
    <x v="2"/>
    <n v="70"/>
    <x v="2"/>
    <x v="2"/>
    <n v="24.7"/>
    <n v="1685.9"/>
    <x v="0"/>
    <s v="No"/>
    <x v="2"/>
    <n v="1685.9"/>
    <x v="2"/>
    <s v="Standard Spend"/>
  </r>
  <r>
    <s v="4525-VZCZG"/>
    <s v="Male"/>
    <x v="1"/>
    <n v="54"/>
    <x v="1"/>
    <x v="1"/>
    <n v="105.85"/>
    <n v="5826.65"/>
    <x v="0"/>
    <s v="Yes"/>
    <x v="0"/>
    <n v="5826.65"/>
    <x v="2"/>
    <s v="High Spend"/>
  </r>
  <r>
    <s v="1543-LLLFT"/>
    <s v="Male"/>
    <x v="1"/>
    <n v="61"/>
    <x v="1"/>
    <x v="1"/>
    <n v="98.3"/>
    <n v="6066.55"/>
    <x v="0"/>
    <s v="Yes"/>
    <x v="1"/>
    <n v="6066.55"/>
    <x v="2"/>
    <s v="High Spend"/>
  </r>
  <r>
    <s v="5835-BEQEU"/>
    <s v="Male"/>
    <x v="0"/>
    <n v="3"/>
    <x v="1"/>
    <x v="0"/>
    <n v="76.95"/>
    <n v="228.4"/>
    <x v="1"/>
    <s v="Yes"/>
    <x v="0"/>
    <n v="228.4"/>
    <x v="0"/>
    <s v="Standard Spend"/>
  </r>
  <r>
    <s v="2788-CJQAQ"/>
    <s v="Male"/>
    <x v="1"/>
    <n v="13"/>
    <x v="2"/>
    <x v="2"/>
    <n v="19.45"/>
    <n v="270.2"/>
    <x v="0"/>
    <s v="No"/>
    <x v="1"/>
    <n v="270.2"/>
    <x v="1"/>
    <s v="Standard Spend"/>
  </r>
  <r>
    <s v="5565-FILXA"/>
    <s v="Female"/>
    <x v="0"/>
    <n v="16"/>
    <x v="1"/>
    <x v="0"/>
    <n v="96.15"/>
    <n v="1529.2"/>
    <x v="1"/>
    <s v="Yes"/>
    <x v="0"/>
    <n v="1529.2"/>
    <x v="1"/>
    <s v="Standard Spend"/>
  </r>
  <r>
    <s v="0319-QZTCO"/>
    <s v="Female"/>
    <x v="0"/>
    <n v="3"/>
    <x v="0"/>
    <x v="0"/>
    <n v="58.7"/>
    <n v="168.6"/>
    <x v="0"/>
    <s v="Yes"/>
    <x v="3"/>
    <n v="168.6"/>
    <x v="0"/>
    <s v="Standard Spend"/>
  </r>
  <r>
    <s v="2120-SMPEX"/>
    <s v="Male"/>
    <x v="0"/>
    <n v="25"/>
    <x v="2"/>
    <x v="2"/>
    <n v="20.149999999999999"/>
    <n v="536.35"/>
    <x v="0"/>
    <s v="Yes"/>
    <x v="1"/>
    <n v="536.35"/>
    <x v="1"/>
    <s v="Standard Spend"/>
  </r>
  <r>
    <s v="0096-FCPUF"/>
    <s v="Male"/>
    <x v="0"/>
    <n v="30"/>
    <x v="0"/>
    <x v="0"/>
    <n v="64.5"/>
    <n v="1888.45"/>
    <x v="0"/>
    <s v="Yes"/>
    <x v="1"/>
    <n v="1888.45"/>
    <x v="1"/>
    <s v="Standard Spend"/>
  </r>
  <r>
    <s v="0668-OGMHD"/>
    <s v="Female"/>
    <x v="0"/>
    <n v="21"/>
    <x v="0"/>
    <x v="0"/>
    <n v="28.5"/>
    <n v="629.35"/>
    <x v="0"/>
    <s v="No"/>
    <x v="0"/>
    <n v="629.35"/>
    <x v="1"/>
    <s v="Standard Spend"/>
  </r>
  <r>
    <s v="5552-ZNFSJ"/>
    <s v="Male"/>
    <x v="0"/>
    <n v="1"/>
    <x v="0"/>
    <x v="0"/>
    <n v="45.3"/>
    <n v="45.3"/>
    <x v="1"/>
    <s v="No"/>
    <x v="0"/>
    <n v="45.3"/>
    <x v="0"/>
    <s v="Standard Spend"/>
  </r>
  <r>
    <s v="2223-KAGMX"/>
    <s v="Female"/>
    <x v="0"/>
    <n v="15"/>
    <x v="2"/>
    <x v="2"/>
    <n v="19.399999999999999"/>
    <n v="289.3"/>
    <x v="1"/>
    <s v="No"/>
    <x v="2"/>
    <n v="289.3"/>
    <x v="1"/>
    <s v="Standard Spend"/>
  </r>
  <r>
    <s v="6507-ZJSUR"/>
    <s v="Male"/>
    <x v="0"/>
    <n v="23"/>
    <x v="1"/>
    <x v="0"/>
    <n v="90.45"/>
    <n v="2117.25"/>
    <x v="0"/>
    <s v="Yes"/>
    <x v="0"/>
    <n v="2117.25"/>
    <x v="1"/>
    <s v="Standard Spend"/>
  </r>
  <r>
    <s v="9408-HRXRK"/>
    <s v="Female"/>
    <x v="0"/>
    <n v="45"/>
    <x v="1"/>
    <x v="0"/>
    <n v="105.15"/>
    <n v="4730.8999999999996"/>
    <x v="0"/>
    <s v="Yes"/>
    <x v="0"/>
    <n v="4730.8999999999996"/>
    <x v="2"/>
    <s v="High Spend"/>
  </r>
  <r>
    <s v="5593-SUAOO"/>
    <s v="Female"/>
    <x v="1"/>
    <n v="24"/>
    <x v="1"/>
    <x v="0"/>
    <n v="83.15"/>
    <n v="2033.05"/>
    <x v="0"/>
    <s v="No"/>
    <x v="2"/>
    <n v="2033.05"/>
    <x v="1"/>
    <s v="Standard Spend"/>
  </r>
  <r>
    <s v="7321-PKUYW"/>
    <s v="Female"/>
    <x v="0"/>
    <n v="11"/>
    <x v="1"/>
    <x v="1"/>
    <n v="90.15"/>
    <n v="987.95"/>
    <x v="1"/>
    <s v="No"/>
    <x v="0"/>
    <n v="987.95"/>
    <x v="0"/>
    <s v="Standard Spend"/>
  </r>
  <r>
    <s v="2833-SLKDQ"/>
    <s v="Male"/>
    <x v="0"/>
    <n v="1"/>
    <x v="0"/>
    <x v="0"/>
    <n v="45.05"/>
    <n v="45.05"/>
    <x v="1"/>
    <s v="No"/>
    <x v="1"/>
    <n v="45.05"/>
    <x v="0"/>
    <s v="Standard Spend"/>
  </r>
  <r>
    <s v="6766-HFKLA"/>
    <s v="Female"/>
    <x v="2"/>
    <n v="56"/>
    <x v="1"/>
    <x v="1"/>
    <n v="103.2"/>
    <n v="5744.35"/>
    <x v="0"/>
    <s v="No"/>
    <x v="2"/>
    <n v="5744.35"/>
    <x v="2"/>
    <s v="High Spend"/>
  </r>
  <r>
    <s v="7595-EUIVN"/>
    <s v="Female"/>
    <x v="0"/>
    <n v="1"/>
    <x v="1"/>
    <x v="0"/>
    <n v="75.8"/>
    <n v="75.8"/>
    <x v="1"/>
    <s v="No"/>
    <x v="0"/>
    <n v="75.8"/>
    <x v="0"/>
    <s v="Standard Spend"/>
  </r>
  <r>
    <s v="7617-EYGLW"/>
    <s v="Male"/>
    <x v="0"/>
    <n v="1"/>
    <x v="2"/>
    <x v="2"/>
    <n v="19.45"/>
    <n v="19.45"/>
    <x v="0"/>
    <s v="No"/>
    <x v="0"/>
    <n v="19.45"/>
    <x v="0"/>
    <s v="Standard Spend"/>
  </r>
  <r>
    <s v="2026-TGDHM"/>
    <s v="Female"/>
    <x v="0"/>
    <n v="7"/>
    <x v="1"/>
    <x v="0"/>
    <n v="79.3"/>
    <n v="523.15"/>
    <x v="1"/>
    <s v="Yes"/>
    <x v="0"/>
    <n v="523.15"/>
    <x v="0"/>
    <s v="Standard Spend"/>
  </r>
  <r>
    <s v="9220-ZNKJI"/>
    <s v="Female"/>
    <x v="2"/>
    <n v="55"/>
    <x v="1"/>
    <x v="1"/>
    <n v="88.8"/>
    <n v="4805.3"/>
    <x v="0"/>
    <s v="No"/>
    <x v="3"/>
    <n v="4805.3"/>
    <x v="2"/>
    <s v="High Spend"/>
  </r>
  <r>
    <s v="4030-VPZBD"/>
    <s v="Female"/>
    <x v="0"/>
    <n v="2"/>
    <x v="0"/>
    <x v="1"/>
    <n v="30.9"/>
    <n v="59.05"/>
    <x v="1"/>
    <s v="Yes"/>
    <x v="0"/>
    <n v="59.05"/>
    <x v="0"/>
    <s v="Standard Spend"/>
  </r>
  <r>
    <s v="2226-ICFDO"/>
    <s v="Female"/>
    <x v="2"/>
    <n v="72"/>
    <x v="0"/>
    <x v="1"/>
    <n v="85.9"/>
    <n v="6110.75"/>
    <x v="0"/>
    <s v="Yes"/>
    <x v="3"/>
    <n v="6110.75"/>
    <x v="2"/>
    <s v="High Spend"/>
  </r>
  <r>
    <s v="0723-VSOBE"/>
    <s v="Female"/>
    <x v="1"/>
    <n v="45"/>
    <x v="0"/>
    <x v="0"/>
    <n v="34.200000000000003"/>
    <n v="1596.6"/>
    <x v="0"/>
    <s v="No"/>
    <x v="0"/>
    <n v="1596.6"/>
    <x v="2"/>
    <s v="Standard Spend"/>
  </r>
  <r>
    <s v="5529-GIBVH"/>
    <s v="Female"/>
    <x v="2"/>
    <n v="47"/>
    <x v="2"/>
    <x v="2"/>
    <n v="20.149999999999999"/>
    <n v="1046.2"/>
    <x v="0"/>
    <s v="No"/>
    <x v="1"/>
    <n v="1046.2"/>
    <x v="2"/>
    <s v="Standard Spend"/>
  </r>
  <r>
    <s v="4187-CINZD"/>
    <s v="Female"/>
    <x v="1"/>
    <n v="46"/>
    <x v="1"/>
    <x v="0"/>
    <n v="95.25"/>
    <n v="4424.2"/>
    <x v="1"/>
    <s v="No"/>
    <x v="3"/>
    <n v="4424.2"/>
    <x v="2"/>
    <s v="High Spend"/>
  </r>
  <r>
    <s v="9992-UJOEL"/>
    <s v="Male"/>
    <x v="0"/>
    <n v="2"/>
    <x v="0"/>
    <x v="0"/>
    <n v="50.3"/>
    <n v="92.75"/>
    <x v="0"/>
    <s v="Yes"/>
    <x v="1"/>
    <n v="92.75"/>
    <x v="0"/>
    <s v="Standard Spend"/>
  </r>
  <r>
    <s v="4741-WWJQZ"/>
    <s v="Female"/>
    <x v="0"/>
    <n v="2"/>
    <x v="1"/>
    <x v="1"/>
    <n v="80.150000000000006"/>
    <n v="194.55"/>
    <x v="0"/>
    <s v="Yes"/>
    <x v="0"/>
    <n v="194.55"/>
    <x v="0"/>
    <s v="Standard Spend"/>
  </r>
  <r>
    <s v="6625-UTXEW"/>
    <s v="Female"/>
    <x v="0"/>
    <n v="12"/>
    <x v="0"/>
    <x v="0"/>
    <n v="51.25"/>
    <n v="612.1"/>
    <x v="0"/>
    <s v="Yes"/>
    <x v="0"/>
    <n v="612.1"/>
    <x v="0"/>
    <s v="Standard Spend"/>
  </r>
  <r>
    <s v="6818-WOBHJ"/>
    <s v="Female"/>
    <x v="0"/>
    <n v="68"/>
    <x v="1"/>
    <x v="0"/>
    <n v="89.6"/>
    <n v="6127.6"/>
    <x v="1"/>
    <s v="Yes"/>
    <x v="2"/>
    <n v="6127.6"/>
    <x v="2"/>
    <s v="High Spend"/>
  </r>
  <r>
    <s v="6244-BESBM"/>
    <s v="Male"/>
    <x v="2"/>
    <n v="69"/>
    <x v="1"/>
    <x v="1"/>
    <n v="95.2"/>
    <n v="6671.7"/>
    <x v="0"/>
    <s v="Yes"/>
    <x v="3"/>
    <n v="6671.7"/>
    <x v="2"/>
    <s v="High Spend"/>
  </r>
  <r>
    <s v="1004-NOZNR"/>
    <s v="Male"/>
    <x v="1"/>
    <n v="56"/>
    <x v="1"/>
    <x v="0"/>
    <n v="94.8"/>
    <n v="5264.3"/>
    <x v="0"/>
    <s v="No"/>
    <x v="3"/>
    <n v="5264.3"/>
    <x v="2"/>
    <s v="High Spend"/>
  </r>
  <r>
    <s v="1251-STYSZ"/>
    <s v="Female"/>
    <x v="0"/>
    <n v="4"/>
    <x v="1"/>
    <x v="0"/>
    <n v="80.25"/>
    <n v="303.7"/>
    <x v="0"/>
    <s v="Yes"/>
    <x v="0"/>
    <n v="303.7"/>
    <x v="0"/>
    <s v="Standard Spend"/>
  </r>
  <r>
    <s v="2612-PHGOX"/>
    <s v="Male"/>
    <x v="2"/>
    <n v="64"/>
    <x v="0"/>
    <x v="1"/>
    <n v="76.099999999999994"/>
    <n v="4818.8"/>
    <x v="0"/>
    <s v="Yes"/>
    <x v="2"/>
    <n v="4818.8"/>
    <x v="2"/>
    <s v="High Spend"/>
  </r>
  <r>
    <s v="2408-TZMJL"/>
    <s v="Male"/>
    <x v="1"/>
    <n v="59"/>
    <x v="1"/>
    <x v="0"/>
    <n v="110.15"/>
    <n v="6448.05"/>
    <x v="1"/>
    <s v="Yes"/>
    <x v="0"/>
    <n v="6448.05"/>
    <x v="2"/>
    <s v="High Spend"/>
  </r>
  <r>
    <s v="8480-PPONV"/>
    <s v="Male"/>
    <x v="2"/>
    <n v="62"/>
    <x v="1"/>
    <x v="1"/>
    <n v="115.55"/>
    <n v="7159.05"/>
    <x v="0"/>
    <s v="No"/>
    <x v="2"/>
    <n v="7159.05"/>
    <x v="2"/>
    <s v="High Spend"/>
  </r>
  <r>
    <s v="8780-IHCRN"/>
    <s v="Male"/>
    <x v="2"/>
    <n v="63"/>
    <x v="2"/>
    <x v="2"/>
    <n v="24.65"/>
    <n v="1574.5"/>
    <x v="0"/>
    <s v="No"/>
    <x v="3"/>
    <n v="1574.5"/>
    <x v="2"/>
    <s v="Standard Spend"/>
  </r>
  <r>
    <s v="4598-ZADCK"/>
    <s v="Female"/>
    <x v="1"/>
    <n v="53"/>
    <x v="0"/>
    <x v="1"/>
    <n v="53.6"/>
    <n v="2879.2"/>
    <x v="0"/>
    <s v="Yes"/>
    <x v="0"/>
    <n v="2879.2"/>
    <x v="2"/>
    <s v="High Spend"/>
  </r>
  <r>
    <s v="1257-SXUXQ"/>
    <s v="Male"/>
    <x v="0"/>
    <n v="5"/>
    <x v="2"/>
    <x v="2"/>
    <n v="19.45"/>
    <n v="86.05"/>
    <x v="0"/>
    <s v="No"/>
    <x v="1"/>
    <n v="86.05"/>
    <x v="0"/>
    <s v="Standard Spend"/>
  </r>
  <r>
    <s v="9681-KYGYB"/>
    <s v="Male"/>
    <x v="0"/>
    <n v="49"/>
    <x v="1"/>
    <x v="0"/>
    <n v="88.2"/>
    <n v="4159.45"/>
    <x v="0"/>
    <s v="Yes"/>
    <x v="0"/>
    <n v="4159.45"/>
    <x v="2"/>
    <s v="High Spend"/>
  </r>
  <r>
    <s v="7182-OVLBJ"/>
    <s v="Female"/>
    <x v="2"/>
    <n v="62"/>
    <x v="1"/>
    <x v="0"/>
    <n v="101.15"/>
    <n v="6638.35"/>
    <x v="0"/>
    <s v="Yes"/>
    <x v="2"/>
    <n v="6638.35"/>
    <x v="2"/>
    <s v="High Spend"/>
  </r>
  <r>
    <s v="5095-ETBRJ"/>
    <s v="Female"/>
    <x v="2"/>
    <n v="55"/>
    <x v="0"/>
    <x v="1"/>
    <n v="56.8"/>
    <n v="3112.05"/>
    <x v="0"/>
    <s v="No"/>
    <x v="1"/>
    <n v="3112.05"/>
    <x v="2"/>
    <s v="High Spend"/>
  </r>
  <r>
    <s v="7005-CYUIL"/>
    <s v="Female"/>
    <x v="2"/>
    <n v="71"/>
    <x v="1"/>
    <x v="1"/>
    <n v="99.4"/>
    <n v="7168.25"/>
    <x v="0"/>
    <s v="Yes"/>
    <x v="0"/>
    <n v="7168.25"/>
    <x v="2"/>
    <s v="High Spend"/>
  </r>
  <r>
    <s v="4821-WQOYN"/>
    <s v="Female"/>
    <x v="2"/>
    <n v="72"/>
    <x v="2"/>
    <x v="2"/>
    <n v="20.100000000000001"/>
    <n v="1326.25"/>
    <x v="0"/>
    <s v="Yes"/>
    <x v="3"/>
    <n v="1326.25"/>
    <x v="2"/>
    <s v="Standard Spend"/>
  </r>
  <r>
    <s v="4730-AWNAU"/>
    <s v="Male"/>
    <x v="1"/>
    <n v="36"/>
    <x v="0"/>
    <x v="1"/>
    <n v="60.7"/>
    <n v="2234.5500000000002"/>
    <x v="0"/>
    <s v="No"/>
    <x v="3"/>
    <n v="2234.5500000000002"/>
    <x v="1"/>
    <s v="Standard Spend"/>
  </r>
  <r>
    <s v="3452-FLHYD"/>
    <s v="Male"/>
    <x v="1"/>
    <n v="25"/>
    <x v="2"/>
    <x v="2"/>
    <n v="20.95"/>
    <n v="495.15"/>
    <x v="0"/>
    <s v="Yes"/>
    <x v="2"/>
    <n v="495.15"/>
    <x v="1"/>
    <s v="Standard Spend"/>
  </r>
  <r>
    <s v="2388-LAESQ"/>
    <s v="Female"/>
    <x v="2"/>
    <n v="72"/>
    <x v="1"/>
    <x v="1"/>
    <n v="114.85"/>
    <n v="8317.9500000000007"/>
    <x v="0"/>
    <s v="Yes"/>
    <x v="2"/>
    <n v="8317.9500000000007"/>
    <x v="2"/>
    <s v="High Spend"/>
  </r>
  <r>
    <s v="9531-NSBMR"/>
    <s v="Female"/>
    <x v="1"/>
    <n v="36"/>
    <x v="2"/>
    <x v="2"/>
    <n v="19.25"/>
    <n v="679.8"/>
    <x v="0"/>
    <s v="Yes"/>
    <x v="2"/>
    <n v="679.8"/>
    <x v="1"/>
    <s v="Standard Spend"/>
  </r>
  <r>
    <s v="6260-ONULR"/>
    <s v="Male"/>
    <x v="0"/>
    <n v="1"/>
    <x v="0"/>
    <x v="0"/>
    <n v="62.8"/>
    <n v="62.8"/>
    <x v="0"/>
    <s v="Yes"/>
    <x v="1"/>
    <n v="62.8"/>
    <x v="0"/>
    <s v="Standard Spend"/>
  </r>
  <r>
    <s v="4389-UEFCZ"/>
    <s v="Female"/>
    <x v="2"/>
    <n v="72"/>
    <x v="1"/>
    <x v="0"/>
    <n v="105.5"/>
    <n v="7544"/>
    <x v="0"/>
    <s v="Yes"/>
    <x v="0"/>
    <n v="7544"/>
    <x v="2"/>
    <s v="High Spend"/>
  </r>
  <r>
    <s v="8711-LOBKY"/>
    <s v="Male"/>
    <x v="2"/>
    <n v="59"/>
    <x v="2"/>
    <x v="2"/>
    <n v="19.850000000000001"/>
    <n v="1188.25"/>
    <x v="0"/>
    <s v="No"/>
    <x v="1"/>
    <n v="1188.25"/>
    <x v="2"/>
    <s v="Standard Spend"/>
  </r>
  <r>
    <s v="9134-CEQMF"/>
    <s v="Male"/>
    <x v="0"/>
    <n v="7"/>
    <x v="1"/>
    <x v="0"/>
    <n v="89.5"/>
    <n v="676.7"/>
    <x v="1"/>
    <s v="Yes"/>
    <x v="0"/>
    <n v="676.7"/>
    <x v="0"/>
    <s v="Standard Spend"/>
  </r>
  <r>
    <s v="8985-OOPOS"/>
    <s v="Female"/>
    <x v="1"/>
    <n v="1"/>
    <x v="0"/>
    <x v="1"/>
    <n v="74.099999999999994"/>
    <n v="74.099999999999994"/>
    <x v="0"/>
    <s v="No"/>
    <x v="3"/>
    <n v="74.099999999999994"/>
    <x v="0"/>
    <s v="Standard Spend"/>
  </r>
  <r>
    <s v="8800-ZKRFW"/>
    <s v="Female"/>
    <x v="0"/>
    <n v="30"/>
    <x v="1"/>
    <x v="1"/>
    <n v="107.5"/>
    <n v="3242.5"/>
    <x v="0"/>
    <s v="Yes"/>
    <x v="0"/>
    <n v="3242.5"/>
    <x v="1"/>
    <s v="High Spend"/>
  </r>
  <r>
    <s v="2616-FLVQC"/>
    <s v="Male"/>
    <x v="2"/>
    <n v="64"/>
    <x v="2"/>
    <x v="2"/>
    <n v="19.55"/>
    <n v="1240.1500000000001"/>
    <x v="0"/>
    <s v="No"/>
    <x v="1"/>
    <n v="1240.1500000000001"/>
    <x v="2"/>
    <s v="Standard Spend"/>
  </r>
  <r>
    <s v="9968-FFVVH"/>
    <s v="Male"/>
    <x v="1"/>
    <n v="63"/>
    <x v="0"/>
    <x v="1"/>
    <n v="68.8"/>
    <n v="4111.3500000000004"/>
    <x v="0"/>
    <s v="No"/>
    <x v="2"/>
    <n v="4111.3500000000004"/>
    <x v="2"/>
    <s v="High Spend"/>
  </r>
  <r>
    <s v="3108-PCCGG"/>
    <s v="Male"/>
    <x v="2"/>
    <n v="72"/>
    <x v="0"/>
    <x v="0"/>
    <n v="84.45"/>
    <n v="5899.85"/>
    <x v="0"/>
    <s v="No"/>
    <x v="3"/>
    <n v="5899.85"/>
    <x v="2"/>
    <s v="High Spend"/>
  </r>
  <r>
    <s v="7993-PYKOF"/>
    <s v="Male"/>
    <x v="0"/>
    <n v="8"/>
    <x v="1"/>
    <x v="0"/>
    <n v="75"/>
    <n v="632.95000000000005"/>
    <x v="1"/>
    <s v="No"/>
    <x v="0"/>
    <n v="632.95000000000005"/>
    <x v="0"/>
    <s v="Standard Spend"/>
  </r>
  <r>
    <s v="8390-FESFV"/>
    <s v="Female"/>
    <x v="2"/>
    <n v="62"/>
    <x v="0"/>
    <x v="1"/>
    <n v="84.5"/>
    <n v="5193.2"/>
    <x v="0"/>
    <s v="No"/>
    <x v="2"/>
    <n v="5193.2"/>
    <x v="2"/>
    <s v="High Spend"/>
  </r>
  <r>
    <s v="3022-BEXHZ"/>
    <s v="Male"/>
    <x v="2"/>
    <n v="67"/>
    <x v="1"/>
    <x v="1"/>
    <n v="111.2"/>
    <n v="7530.8"/>
    <x v="0"/>
    <s v="Yes"/>
    <x v="2"/>
    <n v="7530.8"/>
    <x v="2"/>
    <s v="High Spend"/>
  </r>
  <r>
    <s v="5027-XWQHA"/>
    <s v="Male"/>
    <x v="0"/>
    <n v="6"/>
    <x v="0"/>
    <x v="0"/>
    <n v="44.75"/>
    <n v="270.95"/>
    <x v="1"/>
    <s v="No"/>
    <x v="0"/>
    <n v="270.95"/>
    <x v="0"/>
    <s v="Standard Spend"/>
  </r>
  <r>
    <s v="6248-TKCQV"/>
    <s v="Female"/>
    <x v="2"/>
    <n v="70"/>
    <x v="0"/>
    <x v="1"/>
    <n v="80.599999999999994"/>
    <n v="5460.2"/>
    <x v="0"/>
    <s v="Yes"/>
    <x v="2"/>
    <n v="5460.2"/>
    <x v="2"/>
    <s v="High Spend"/>
  </r>
  <r>
    <s v="6729-GDNGC"/>
    <s v="Female"/>
    <x v="0"/>
    <n v="20"/>
    <x v="1"/>
    <x v="0"/>
    <n v="80.7"/>
    <n v="1614.2"/>
    <x v="0"/>
    <s v="No"/>
    <x v="2"/>
    <n v="1614.2"/>
    <x v="1"/>
    <s v="Standard Spend"/>
  </r>
  <r>
    <s v="6198-ZFIOJ"/>
    <s v="Female"/>
    <x v="0"/>
    <n v="5"/>
    <x v="1"/>
    <x v="0"/>
    <n v="75.599999999999994"/>
    <n v="402.5"/>
    <x v="0"/>
    <s v="No"/>
    <x v="0"/>
    <n v="402.5"/>
    <x v="0"/>
    <s v="Standard Spend"/>
  </r>
  <r>
    <s v="5989-OMNJE"/>
    <s v="Female"/>
    <x v="1"/>
    <n v="24"/>
    <x v="0"/>
    <x v="0"/>
    <n v="57.6"/>
    <n v="1367.75"/>
    <x v="0"/>
    <s v="No"/>
    <x v="0"/>
    <n v="1367.75"/>
    <x v="1"/>
    <s v="Standard Spend"/>
  </r>
  <r>
    <s v="4566-QVRRW"/>
    <s v="Female"/>
    <x v="0"/>
    <n v="11"/>
    <x v="0"/>
    <x v="0"/>
    <n v="44.05"/>
    <n v="483.7"/>
    <x v="1"/>
    <s v="Yes"/>
    <x v="0"/>
    <n v="483.7"/>
    <x v="0"/>
    <s v="Standard Spend"/>
  </r>
  <r>
    <s v="1291-CUOCY"/>
    <s v="Male"/>
    <x v="2"/>
    <n v="72"/>
    <x v="1"/>
    <x v="1"/>
    <n v="110.6"/>
    <n v="7962.2"/>
    <x v="0"/>
    <s v="Yes"/>
    <x v="3"/>
    <n v="7962.2"/>
    <x v="2"/>
    <s v="High Spend"/>
  </r>
  <r>
    <s v="9795-SHUHB"/>
    <s v="Female"/>
    <x v="2"/>
    <n v="66"/>
    <x v="0"/>
    <x v="1"/>
    <n v="58.2"/>
    <n v="3810.8"/>
    <x v="0"/>
    <s v="Yes"/>
    <x v="3"/>
    <n v="3810.8"/>
    <x v="2"/>
    <s v="High Spend"/>
  </r>
  <r>
    <s v="3230-IUALN"/>
    <s v="Female"/>
    <x v="2"/>
    <n v="45"/>
    <x v="0"/>
    <x v="1"/>
    <n v="81"/>
    <n v="3533.6"/>
    <x v="0"/>
    <s v="Yes"/>
    <x v="1"/>
    <n v="3533.6"/>
    <x v="2"/>
    <s v="High Spend"/>
  </r>
  <r>
    <s v="0042-RLHYP"/>
    <s v="Female"/>
    <x v="2"/>
    <n v="69"/>
    <x v="2"/>
    <x v="2"/>
    <n v="19.7"/>
    <n v="1396.9"/>
    <x v="0"/>
    <s v="No"/>
    <x v="2"/>
    <n v="1396.9"/>
    <x v="2"/>
    <s v="Standard Spend"/>
  </r>
  <r>
    <s v="8519-IMDHU"/>
    <s v="Male"/>
    <x v="0"/>
    <n v="15"/>
    <x v="1"/>
    <x v="0"/>
    <n v="85.6"/>
    <n v="1345.55"/>
    <x v="1"/>
    <s v="Yes"/>
    <x v="2"/>
    <n v="1345.55"/>
    <x v="1"/>
    <s v="Standard Spend"/>
  </r>
  <r>
    <s v="4945-RVMTE"/>
    <s v="Female"/>
    <x v="0"/>
    <n v="28"/>
    <x v="0"/>
    <x v="0"/>
    <n v="59.55"/>
    <n v="1646.45"/>
    <x v="0"/>
    <s v="Yes"/>
    <x v="2"/>
    <n v="1646.45"/>
    <x v="1"/>
    <s v="Standard Spend"/>
  </r>
  <r>
    <s v="0201-OAMXR"/>
    <s v="Female"/>
    <x v="1"/>
    <n v="70"/>
    <x v="1"/>
    <x v="1"/>
    <n v="115.55"/>
    <n v="8127.6"/>
    <x v="1"/>
    <s v="No"/>
    <x v="3"/>
    <n v="8127.6"/>
    <x v="2"/>
    <s v="High Spend"/>
  </r>
  <r>
    <s v="1866-NXPSP"/>
    <s v="Female"/>
    <x v="1"/>
    <n v="36"/>
    <x v="0"/>
    <x v="1"/>
    <n v="75.55"/>
    <n v="2680.15"/>
    <x v="0"/>
    <s v="Yes"/>
    <x v="1"/>
    <n v="2680.15"/>
    <x v="1"/>
    <s v="High Spend"/>
  </r>
  <r>
    <s v="3372-KWFBM"/>
    <s v="Male"/>
    <x v="0"/>
    <n v="16"/>
    <x v="1"/>
    <x v="0"/>
    <n v="86.6"/>
    <n v="1281"/>
    <x v="1"/>
    <s v="Yes"/>
    <x v="0"/>
    <n v="1281"/>
    <x v="1"/>
    <s v="Standard Spend"/>
  </r>
  <r>
    <s v="7831-QGOXH"/>
    <s v="Female"/>
    <x v="0"/>
    <n v="18"/>
    <x v="1"/>
    <x v="0"/>
    <n v="85.2"/>
    <n v="1553.9"/>
    <x v="1"/>
    <s v="Yes"/>
    <x v="0"/>
    <n v="1553.9"/>
    <x v="1"/>
    <s v="Standard Spend"/>
  </r>
  <r>
    <s v="6393-WRYZE"/>
    <s v="Female"/>
    <x v="0"/>
    <n v="34"/>
    <x v="1"/>
    <x v="0"/>
    <n v="97.65"/>
    <n v="3207.55"/>
    <x v="1"/>
    <s v="Yes"/>
    <x v="0"/>
    <n v="3207.55"/>
    <x v="1"/>
    <s v="High Spend"/>
  </r>
  <r>
    <s v="3941-XTSKM"/>
    <s v="Male"/>
    <x v="1"/>
    <n v="42"/>
    <x v="0"/>
    <x v="0"/>
    <n v="45.1"/>
    <n v="2049.0500000000002"/>
    <x v="0"/>
    <s v="Yes"/>
    <x v="3"/>
    <n v="2049.0500000000002"/>
    <x v="2"/>
    <s v="Standard Spend"/>
  </r>
  <r>
    <s v="1661-CZBAU"/>
    <s v="Male"/>
    <x v="1"/>
    <n v="48"/>
    <x v="0"/>
    <x v="1"/>
    <n v="70.95"/>
    <n v="3629.2"/>
    <x v="0"/>
    <s v="Yes"/>
    <x v="2"/>
    <n v="3629.2"/>
    <x v="2"/>
    <s v="High Spend"/>
  </r>
  <r>
    <s v="6599-RCLCJ"/>
    <s v="Male"/>
    <x v="0"/>
    <n v="47"/>
    <x v="1"/>
    <x v="1"/>
    <n v="109.55"/>
    <n v="5124.55"/>
    <x v="1"/>
    <s v="Yes"/>
    <x v="0"/>
    <n v="5124.55"/>
    <x v="2"/>
    <s v="High Spend"/>
  </r>
  <r>
    <s v="9831-BPFRI"/>
    <s v="Female"/>
    <x v="1"/>
    <n v="39"/>
    <x v="1"/>
    <x v="1"/>
    <n v="89.55"/>
    <n v="3474.45"/>
    <x v="1"/>
    <s v="Yes"/>
    <x v="0"/>
    <n v="3474.45"/>
    <x v="2"/>
    <s v="High Spend"/>
  </r>
  <r>
    <s v="5158-RIVOP"/>
    <s v="Female"/>
    <x v="2"/>
    <n v="11"/>
    <x v="2"/>
    <x v="2"/>
    <n v="20.9"/>
    <n v="202.3"/>
    <x v="0"/>
    <s v="No"/>
    <x v="3"/>
    <n v="202.3"/>
    <x v="0"/>
    <s v="Standard Spend"/>
  </r>
  <r>
    <s v="9788-YTFGE"/>
    <s v="Male"/>
    <x v="0"/>
    <n v="7"/>
    <x v="2"/>
    <x v="2"/>
    <n v="19.95"/>
    <n v="147.5"/>
    <x v="0"/>
    <s v="Yes"/>
    <x v="1"/>
    <n v="147.5"/>
    <x v="0"/>
    <s v="Standard Spend"/>
  </r>
  <r>
    <s v="9277-JOOMO"/>
    <s v="Female"/>
    <x v="0"/>
    <n v="3"/>
    <x v="2"/>
    <x v="2"/>
    <n v="24.6"/>
    <n v="86.35"/>
    <x v="0"/>
    <s v="No"/>
    <x v="1"/>
    <n v="86.35"/>
    <x v="0"/>
    <s v="Standard Spend"/>
  </r>
  <r>
    <s v="1907-YLNYW"/>
    <s v="Male"/>
    <x v="0"/>
    <n v="8"/>
    <x v="0"/>
    <x v="0"/>
    <n v="66.7"/>
    <n v="579"/>
    <x v="0"/>
    <s v="Yes"/>
    <x v="0"/>
    <n v="579"/>
    <x v="0"/>
    <s v="Standard Spend"/>
  </r>
  <r>
    <s v="1725-MIMXW"/>
    <s v="Male"/>
    <x v="0"/>
    <n v="1"/>
    <x v="2"/>
    <x v="2"/>
    <n v="19.45"/>
    <n v="19.45"/>
    <x v="1"/>
    <s v="Yes"/>
    <x v="1"/>
    <n v="19.45"/>
    <x v="0"/>
    <s v="Standard Spend"/>
  </r>
  <r>
    <s v="8947-YRTDV"/>
    <s v="Male"/>
    <x v="1"/>
    <n v="32"/>
    <x v="1"/>
    <x v="0"/>
    <n v="94.8"/>
    <n v="3131.55"/>
    <x v="0"/>
    <s v="No"/>
    <x v="1"/>
    <n v="3131.55"/>
    <x v="1"/>
    <s v="High Spend"/>
  </r>
  <r>
    <s v="3161-ONRWK"/>
    <s v="Male"/>
    <x v="1"/>
    <n v="60"/>
    <x v="0"/>
    <x v="1"/>
    <n v="65.849999999999994"/>
    <n v="3928.3"/>
    <x v="0"/>
    <s v="Yes"/>
    <x v="2"/>
    <n v="3928.3"/>
    <x v="2"/>
    <s v="High Spend"/>
  </r>
  <r>
    <s v="0114-RSRRW"/>
    <s v="Female"/>
    <x v="0"/>
    <n v="10"/>
    <x v="2"/>
    <x v="2"/>
    <n v="19.95"/>
    <n v="187.75"/>
    <x v="0"/>
    <s v="Yes"/>
    <x v="2"/>
    <n v="187.75"/>
    <x v="0"/>
    <s v="Standard Spend"/>
  </r>
  <r>
    <s v="4565-NLZBV"/>
    <s v="Female"/>
    <x v="2"/>
    <n v="71"/>
    <x v="2"/>
    <x v="2"/>
    <n v="24.65"/>
    <n v="1710.15"/>
    <x v="0"/>
    <s v="Yes"/>
    <x v="2"/>
    <n v="1710.15"/>
    <x v="2"/>
    <s v="Standard Spend"/>
  </r>
  <r>
    <s v="0031-PVLZI"/>
    <s v="Female"/>
    <x v="0"/>
    <n v="4"/>
    <x v="2"/>
    <x v="2"/>
    <n v="20.350000000000001"/>
    <n v="76.349999999999994"/>
    <x v="1"/>
    <s v="No"/>
    <x v="1"/>
    <n v="76.349999999999994"/>
    <x v="0"/>
    <s v="Standard Spend"/>
  </r>
  <r>
    <s v="7206-GZCDC"/>
    <s v="Female"/>
    <x v="0"/>
    <n v="1"/>
    <x v="1"/>
    <x v="0"/>
    <n v="69.25"/>
    <n v="69.25"/>
    <x v="1"/>
    <s v="Yes"/>
    <x v="0"/>
    <n v="69.25"/>
    <x v="0"/>
    <s v="Standard Spend"/>
  </r>
  <r>
    <s v="6682-VCIXC"/>
    <s v="Female"/>
    <x v="1"/>
    <n v="43"/>
    <x v="0"/>
    <x v="1"/>
    <n v="51.25"/>
    <n v="2151.6"/>
    <x v="0"/>
    <s v="Yes"/>
    <x v="2"/>
    <n v="2151.6"/>
    <x v="2"/>
    <s v="Standard Spend"/>
  </r>
  <r>
    <s v="4791-QRGMF"/>
    <s v="Male"/>
    <x v="1"/>
    <n v="59"/>
    <x v="1"/>
    <x v="0"/>
    <n v="99.5"/>
    <n v="5961.1"/>
    <x v="1"/>
    <s v="Yes"/>
    <x v="2"/>
    <n v="5961.1"/>
    <x v="2"/>
    <s v="High Spend"/>
  </r>
  <r>
    <s v="6475-VHUIZ"/>
    <s v="Female"/>
    <x v="0"/>
    <n v="23"/>
    <x v="0"/>
    <x v="1"/>
    <n v="54.25"/>
    <n v="1221.55"/>
    <x v="0"/>
    <s v="No"/>
    <x v="0"/>
    <n v="1221.55"/>
    <x v="1"/>
    <s v="Standard Spend"/>
  </r>
  <r>
    <s v="3910-MRQOY"/>
    <s v="Female"/>
    <x v="2"/>
    <n v="72"/>
    <x v="2"/>
    <x v="2"/>
    <n v="19.399999999999999"/>
    <n v="1496.45"/>
    <x v="0"/>
    <s v="No"/>
    <x v="2"/>
    <n v="1496.45"/>
    <x v="2"/>
    <s v="Standard Spend"/>
  </r>
  <r>
    <s v="0661-WCQNQ"/>
    <s v="Male"/>
    <x v="1"/>
    <n v="22"/>
    <x v="0"/>
    <x v="1"/>
    <n v="56.25"/>
    <n v="1292.2"/>
    <x v="0"/>
    <s v="Yes"/>
    <x v="3"/>
    <n v="1292.2"/>
    <x v="1"/>
    <s v="Standard Spend"/>
  </r>
  <r>
    <s v="7537-RBWEA"/>
    <s v="Female"/>
    <x v="0"/>
    <n v="1"/>
    <x v="0"/>
    <x v="0"/>
    <n v="25.15"/>
    <n v="25.15"/>
    <x v="0"/>
    <s v="Yes"/>
    <x v="1"/>
    <n v="25.15"/>
    <x v="0"/>
    <s v="Standard Spend"/>
  </r>
  <r>
    <s v="4656-CAURT"/>
    <s v="Male"/>
    <x v="2"/>
    <n v="69"/>
    <x v="2"/>
    <x v="2"/>
    <n v="23.95"/>
    <n v="1713.1"/>
    <x v="0"/>
    <s v="No"/>
    <x v="2"/>
    <n v="1713.1"/>
    <x v="2"/>
    <s v="Standard Spend"/>
  </r>
  <r>
    <s v="0121-SNYRK"/>
    <s v="Male"/>
    <x v="1"/>
    <n v="50"/>
    <x v="0"/>
    <x v="1"/>
    <n v="35.4"/>
    <n v="1748.9"/>
    <x v="0"/>
    <s v="Yes"/>
    <x v="1"/>
    <n v="1748.9"/>
    <x v="2"/>
    <s v="Standard Spend"/>
  </r>
  <r>
    <s v="1768-ZAIFU"/>
    <s v="Female"/>
    <x v="0"/>
    <n v="1"/>
    <x v="0"/>
    <x v="0"/>
    <n v="25.2"/>
    <n v="25.2"/>
    <x v="1"/>
    <s v="Yes"/>
    <x v="0"/>
    <n v="25.2"/>
    <x v="0"/>
    <s v="Standard Spend"/>
  </r>
  <r>
    <s v="4671-LXRDQ"/>
    <s v="Male"/>
    <x v="0"/>
    <n v="2"/>
    <x v="0"/>
    <x v="0"/>
    <n v="45"/>
    <n v="96.45"/>
    <x v="1"/>
    <s v="Yes"/>
    <x v="1"/>
    <n v="96.45"/>
    <x v="0"/>
    <s v="Standard Spend"/>
  </r>
  <r>
    <s v="3733-LSYCE"/>
    <s v="Female"/>
    <x v="0"/>
    <n v="15"/>
    <x v="1"/>
    <x v="0"/>
    <n v="75.349999999999994"/>
    <n v="1114.55"/>
    <x v="0"/>
    <s v="No"/>
    <x v="2"/>
    <n v="1114.55"/>
    <x v="1"/>
    <s v="Standard Spend"/>
  </r>
  <r>
    <s v="6265-FRMTQ"/>
    <s v="Male"/>
    <x v="2"/>
    <n v="31"/>
    <x v="2"/>
    <x v="2"/>
    <n v="20.399999999999999"/>
    <n v="609.1"/>
    <x v="0"/>
    <s v="No"/>
    <x v="2"/>
    <n v="609.1"/>
    <x v="1"/>
    <s v="Standard Spend"/>
  </r>
  <r>
    <s v="1934-SJVJK"/>
    <s v="Male"/>
    <x v="0"/>
    <n v="1"/>
    <x v="2"/>
    <x v="2"/>
    <n v="20.149999999999999"/>
    <n v="20.149999999999999"/>
    <x v="1"/>
    <s v="No"/>
    <x v="1"/>
    <n v="20.149999999999999"/>
    <x v="0"/>
    <s v="Standard Spend"/>
  </r>
  <r>
    <s v="3838-OZURD"/>
    <s v="Male"/>
    <x v="0"/>
    <n v="66"/>
    <x v="1"/>
    <x v="0"/>
    <n v="105"/>
    <n v="7133.25"/>
    <x v="1"/>
    <s v="Yes"/>
    <x v="3"/>
    <n v="7133.25"/>
    <x v="2"/>
    <s v="High Spend"/>
  </r>
  <r>
    <s v="1371-DWPAZ"/>
    <s v="Female"/>
    <x v="2"/>
    <n v="0"/>
    <x v="0"/>
    <x v="1"/>
    <n v="56.05"/>
    <s v=" "/>
    <x v="0"/>
    <s v="No"/>
    <x v="3"/>
    <n v="0"/>
    <x v="0"/>
    <s v="High Spend"/>
  </r>
  <r>
    <s v="9269-CQOOL"/>
    <s v="Male"/>
    <x v="0"/>
    <n v="3"/>
    <x v="0"/>
    <x v="0"/>
    <n v="54.7"/>
    <n v="169.45"/>
    <x v="1"/>
    <s v="Yes"/>
    <x v="3"/>
    <n v="169.45"/>
    <x v="0"/>
    <s v="Standard Spend"/>
  </r>
  <r>
    <s v="2017-CCBLH"/>
    <s v="Female"/>
    <x v="2"/>
    <n v="8"/>
    <x v="2"/>
    <x v="2"/>
    <n v="20"/>
    <n v="141.6"/>
    <x v="0"/>
    <s v="No"/>
    <x v="1"/>
    <n v="141.6"/>
    <x v="0"/>
    <s v="Standard Spend"/>
  </r>
  <r>
    <s v="7690-KPNCU"/>
    <s v="Male"/>
    <x v="1"/>
    <n v="64"/>
    <x v="0"/>
    <x v="0"/>
    <n v="73.05"/>
    <n v="4688.6499999999996"/>
    <x v="0"/>
    <s v="Yes"/>
    <x v="3"/>
    <n v="4688.6499999999996"/>
    <x v="2"/>
    <s v="High Spend"/>
  </r>
  <r>
    <s v="0536-BGFMZ"/>
    <s v="Female"/>
    <x v="0"/>
    <n v="28"/>
    <x v="2"/>
    <x v="2"/>
    <n v="20.5"/>
    <n v="563.04999999999995"/>
    <x v="0"/>
    <s v="No"/>
    <x v="1"/>
    <n v="563.04999999999995"/>
    <x v="1"/>
    <s v="Standard Spend"/>
  </r>
  <r>
    <s v="2293-IJWPS"/>
    <s v="Female"/>
    <x v="1"/>
    <n v="57"/>
    <x v="1"/>
    <x v="0"/>
    <n v="100.75"/>
    <n v="5985"/>
    <x v="0"/>
    <s v="Yes"/>
    <x v="3"/>
    <n v="5985"/>
    <x v="2"/>
    <s v="High Spend"/>
  </r>
  <r>
    <s v="2845-HSJCY"/>
    <s v="Female"/>
    <x v="0"/>
    <n v="14"/>
    <x v="1"/>
    <x v="0"/>
    <n v="87.25"/>
    <n v="1258.5999999999999"/>
    <x v="1"/>
    <s v="Yes"/>
    <x v="0"/>
    <n v="1258.5999999999999"/>
    <x v="1"/>
    <s v="Standard Spend"/>
  </r>
  <r>
    <s v="5469-NUJUR"/>
    <s v="Male"/>
    <x v="2"/>
    <n v="19"/>
    <x v="2"/>
    <x v="2"/>
    <n v="19.95"/>
    <n v="373.5"/>
    <x v="0"/>
    <s v="Yes"/>
    <x v="1"/>
    <n v="373.5"/>
    <x v="1"/>
    <s v="Standard Spend"/>
  </r>
  <r>
    <s v="1184-PJVDB"/>
    <s v="Male"/>
    <x v="0"/>
    <n v="10"/>
    <x v="1"/>
    <x v="0"/>
    <n v="79.95"/>
    <n v="857.2"/>
    <x v="1"/>
    <s v="Yes"/>
    <x v="0"/>
    <n v="857.2"/>
    <x v="0"/>
    <s v="Standard Spend"/>
  </r>
  <r>
    <s v="2625-TRCZQ"/>
    <s v="Female"/>
    <x v="0"/>
    <n v="51"/>
    <x v="0"/>
    <x v="0"/>
    <n v="49.65"/>
    <n v="2553.35"/>
    <x v="0"/>
    <s v="Yes"/>
    <x v="0"/>
    <n v="2553.35"/>
    <x v="2"/>
    <s v="High Spend"/>
  </r>
  <r>
    <s v="4102-HLENU"/>
    <s v="Female"/>
    <x v="2"/>
    <n v="67"/>
    <x v="0"/>
    <x v="0"/>
    <n v="65.650000000000006"/>
    <n v="4322.8500000000004"/>
    <x v="0"/>
    <s v="No"/>
    <x v="1"/>
    <n v="4322.8500000000004"/>
    <x v="2"/>
    <s v="High Spend"/>
  </r>
  <r>
    <s v="7266-GSSJX"/>
    <s v="Male"/>
    <x v="0"/>
    <n v="11"/>
    <x v="2"/>
    <x v="2"/>
    <n v="20.45"/>
    <n v="250.8"/>
    <x v="0"/>
    <s v="Yes"/>
    <x v="0"/>
    <n v="250.8"/>
    <x v="0"/>
    <s v="Standard Spend"/>
  </r>
  <r>
    <s v="7722-VJRQD"/>
    <s v="Male"/>
    <x v="2"/>
    <n v="72"/>
    <x v="0"/>
    <x v="1"/>
    <n v="60.95"/>
    <n v="4549.05"/>
    <x v="0"/>
    <s v="No"/>
    <x v="2"/>
    <n v="4549.05"/>
    <x v="2"/>
    <s v="High Spend"/>
  </r>
  <r>
    <s v="7073-QETQY"/>
    <s v="Male"/>
    <x v="1"/>
    <n v="66"/>
    <x v="2"/>
    <x v="2"/>
    <n v="20.350000000000001"/>
    <n v="1359.5"/>
    <x v="0"/>
    <s v="Yes"/>
    <x v="0"/>
    <n v="1359.5"/>
    <x v="2"/>
    <s v="Standard Spend"/>
  </r>
  <r>
    <s v="9415-DPEWS"/>
    <s v="Female"/>
    <x v="0"/>
    <n v="18"/>
    <x v="1"/>
    <x v="1"/>
    <n v="88.35"/>
    <n v="1639.3"/>
    <x v="1"/>
    <s v="Yes"/>
    <x v="0"/>
    <n v="1639.3"/>
    <x v="1"/>
    <s v="Standard Spend"/>
  </r>
  <r>
    <s v="5624-RYAMH"/>
    <s v="Female"/>
    <x v="0"/>
    <n v="9"/>
    <x v="2"/>
    <x v="2"/>
    <n v="19.5"/>
    <n v="178.85"/>
    <x v="0"/>
    <s v="Yes"/>
    <x v="0"/>
    <n v="178.85"/>
    <x v="0"/>
    <s v="Standard Spend"/>
  </r>
  <r>
    <s v="0196-JTUQI"/>
    <s v="Female"/>
    <x v="0"/>
    <n v="9"/>
    <x v="1"/>
    <x v="0"/>
    <n v="75.2"/>
    <n v="633.85"/>
    <x v="0"/>
    <s v="Yes"/>
    <x v="3"/>
    <n v="633.85"/>
    <x v="0"/>
    <s v="Standard Spend"/>
  </r>
  <r>
    <s v="7130-YXBRO"/>
    <s v="Male"/>
    <x v="0"/>
    <n v="48"/>
    <x v="1"/>
    <x v="0"/>
    <n v="111.45"/>
    <n v="5315.1"/>
    <x v="0"/>
    <s v="Yes"/>
    <x v="2"/>
    <n v="5315.1"/>
    <x v="2"/>
    <s v="High Spend"/>
  </r>
  <r>
    <s v="9272-LSVYH"/>
    <s v="Male"/>
    <x v="0"/>
    <n v="10"/>
    <x v="1"/>
    <x v="0"/>
    <n v="70.150000000000006"/>
    <n v="735.5"/>
    <x v="0"/>
    <s v="No"/>
    <x v="1"/>
    <n v="735.5"/>
    <x v="0"/>
    <s v="Standard Spend"/>
  </r>
  <r>
    <s v="7943-RQCHR"/>
    <s v="Female"/>
    <x v="0"/>
    <n v="9"/>
    <x v="1"/>
    <x v="0"/>
    <n v="94.75"/>
    <n v="889.9"/>
    <x v="1"/>
    <s v="Yes"/>
    <x v="0"/>
    <n v="889.9"/>
    <x v="0"/>
    <s v="Standard Spend"/>
  </r>
  <r>
    <s v="3793-MMFUH"/>
    <s v="Female"/>
    <x v="0"/>
    <n v="13"/>
    <x v="1"/>
    <x v="0"/>
    <n v="95.05"/>
    <n v="1290"/>
    <x v="1"/>
    <s v="Yes"/>
    <x v="0"/>
    <n v="1290"/>
    <x v="1"/>
    <s v="Standard Spend"/>
  </r>
  <r>
    <s v="3249-ZPQRG"/>
    <s v="Male"/>
    <x v="0"/>
    <n v="4"/>
    <x v="1"/>
    <x v="0"/>
    <n v="78.45"/>
    <n v="330.05"/>
    <x v="1"/>
    <s v="No"/>
    <x v="0"/>
    <n v="330.05"/>
    <x v="0"/>
    <s v="Standard Spend"/>
  </r>
  <r>
    <s v="2568-BRGYX"/>
    <s v="Male"/>
    <x v="0"/>
    <n v="4"/>
    <x v="1"/>
    <x v="0"/>
    <n v="70.2"/>
    <n v="237.95"/>
    <x v="1"/>
    <s v="Yes"/>
    <x v="0"/>
    <n v="237.95"/>
    <x v="0"/>
    <s v="Standard Spend"/>
  </r>
  <r>
    <s v="3084-DOWLE"/>
    <s v="Female"/>
    <x v="2"/>
    <n v="72"/>
    <x v="0"/>
    <x v="1"/>
    <n v="92"/>
    <n v="6474.4"/>
    <x v="0"/>
    <s v="No"/>
    <x v="2"/>
    <n v="6474.4"/>
    <x v="2"/>
    <s v="High Spend"/>
  </r>
  <r>
    <s v="1084-MNSMJ"/>
    <s v="Female"/>
    <x v="2"/>
    <n v="51"/>
    <x v="0"/>
    <x v="1"/>
    <n v="85.5"/>
    <n v="4421.95"/>
    <x v="0"/>
    <s v="No"/>
    <x v="3"/>
    <n v="4421.95"/>
    <x v="2"/>
    <s v="High Spend"/>
  </r>
  <r>
    <s v="7721-JXEAW"/>
    <s v="Male"/>
    <x v="0"/>
    <n v="59"/>
    <x v="0"/>
    <x v="0"/>
    <n v="41.05"/>
    <n v="2452.6999999999998"/>
    <x v="1"/>
    <s v="Yes"/>
    <x v="2"/>
    <n v="2452.6999999999998"/>
    <x v="2"/>
    <s v="Standard Spend"/>
  </r>
  <r>
    <s v="7249-WBIYX"/>
    <s v="Male"/>
    <x v="0"/>
    <n v="10"/>
    <x v="1"/>
    <x v="0"/>
    <n v="85.6"/>
    <n v="813.85"/>
    <x v="1"/>
    <s v="Yes"/>
    <x v="0"/>
    <n v="813.85"/>
    <x v="0"/>
    <s v="Standard Spend"/>
  </r>
  <r>
    <s v="4238-HFHSN"/>
    <s v="Male"/>
    <x v="0"/>
    <n v="61"/>
    <x v="1"/>
    <x v="0"/>
    <n v="82.15"/>
    <n v="4904.8500000000004"/>
    <x v="0"/>
    <s v="Yes"/>
    <x v="0"/>
    <n v="4904.8500000000004"/>
    <x v="2"/>
    <s v="High Spend"/>
  </r>
  <r>
    <s v="6250-CGGUN"/>
    <s v="Male"/>
    <x v="1"/>
    <n v="54"/>
    <x v="1"/>
    <x v="1"/>
    <n v="84.4"/>
    <n v="4484.05"/>
    <x v="0"/>
    <s v="No"/>
    <x v="0"/>
    <n v="4484.05"/>
    <x v="2"/>
    <s v="High Spend"/>
  </r>
  <r>
    <s v="5478-JJVZK"/>
    <s v="Female"/>
    <x v="0"/>
    <n v="33"/>
    <x v="0"/>
    <x v="0"/>
    <n v="60.9"/>
    <n v="2033.85"/>
    <x v="0"/>
    <s v="Yes"/>
    <x v="1"/>
    <n v="2033.85"/>
    <x v="1"/>
    <s v="Standard Spend"/>
  </r>
  <r>
    <s v="7596-IIWYC"/>
    <s v="Female"/>
    <x v="2"/>
    <n v="27"/>
    <x v="2"/>
    <x v="2"/>
    <n v="20.25"/>
    <n v="538.20000000000005"/>
    <x v="0"/>
    <s v="Yes"/>
    <x v="2"/>
    <n v="538.20000000000005"/>
    <x v="1"/>
    <s v="Standard Spend"/>
  </r>
  <r>
    <s v="6567-HOOPW"/>
    <s v="Female"/>
    <x v="0"/>
    <n v="1"/>
    <x v="1"/>
    <x v="0"/>
    <n v="79.2"/>
    <n v="79.2"/>
    <x v="1"/>
    <s v="Yes"/>
    <x v="0"/>
    <n v="79.2"/>
    <x v="0"/>
    <s v="Standard Spend"/>
  </r>
  <r>
    <s v="9793-WECQC"/>
    <s v="Male"/>
    <x v="0"/>
    <n v="23"/>
    <x v="1"/>
    <x v="0"/>
    <n v="95.3"/>
    <n v="2192.9"/>
    <x v="0"/>
    <s v="No"/>
    <x v="1"/>
    <n v="2192.9"/>
    <x v="1"/>
    <s v="Standard Spend"/>
  </r>
  <r>
    <s v="4291-HPAXL"/>
    <s v="Male"/>
    <x v="0"/>
    <n v="1"/>
    <x v="2"/>
    <x v="2"/>
    <n v="19.850000000000001"/>
    <n v="19.850000000000001"/>
    <x v="0"/>
    <s v="No"/>
    <x v="1"/>
    <n v="19.850000000000001"/>
    <x v="0"/>
    <s v="Standard Spend"/>
  </r>
  <r>
    <s v="8999-YPYBV"/>
    <s v="Male"/>
    <x v="2"/>
    <n v="45"/>
    <x v="0"/>
    <x v="1"/>
    <n v="84.35"/>
    <n v="3858.05"/>
    <x v="0"/>
    <s v="Yes"/>
    <x v="1"/>
    <n v="3858.05"/>
    <x v="2"/>
    <s v="High Spend"/>
  </r>
  <r>
    <s v="1839-FBNFR"/>
    <s v="Female"/>
    <x v="2"/>
    <n v="39"/>
    <x v="2"/>
    <x v="2"/>
    <n v="19.850000000000001"/>
    <n v="854.8"/>
    <x v="0"/>
    <s v="Yes"/>
    <x v="2"/>
    <n v="854.8"/>
    <x v="2"/>
    <s v="Standard Spend"/>
  </r>
  <r>
    <s v="3164-AALRN"/>
    <s v="Male"/>
    <x v="1"/>
    <n v="5"/>
    <x v="0"/>
    <x v="0"/>
    <n v="70"/>
    <n v="347.4"/>
    <x v="1"/>
    <s v="Yes"/>
    <x v="1"/>
    <n v="347.4"/>
    <x v="0"/>
    <s v="Standard Spend"/>
  </r>
  <r>
    <s v="3071-MVJCD"/>
    <s v="Male"/>
    <x v="2"/>
    <n v="72"/>
    <x v="0"/>
    <x v="1"/>
    <n v="82.3"/>
    <n v="5815.15"/>
    <x v="0"/>
    <s v="No"/>
    <x v="2"/>
    <n v="5815.15"/>
    <x v="2"/>
    <s v="High Spend"/>
  </r>
  <r>
    <s v="1697-BCSHV"/>
    <s v="Female"/>
    <x v="0"/>
    <n v="58"/>
    <x v="0"/>
    <x v="0"/>
    <n v="66.8"/>
    <n v="3970.4"/>
    <x v="0"/>
    <s v="Yes"/>
    <x v="2"/>
    <n v="3970.4"/>
    <x v="2"/>
    <s v="High Spend"/>
  </r>
  <r>
    <s v="0562-KBDVM"/>
    <s v="Female"/>
    <x v="2"/>
    <n v="70"/>
    <x v="0"/>
    <x v="1"/>
    <n v="44.6"/>
    <n v="3058.15"/>
    <x v="0"/>
    <s v="Yes"/>
    <x v="2"/>
    <n v="3058.15"/>
    <x v="2"/>
    <s v="High Spend"/>
  </r>
  <r>
    <s v="1131-SUEKT"/>
    <s v="Male"/>
    <x v="1"/>
    <n v="61"/>
    <x v="1"/>
    <x v="1"/>
    <n v="98.45"/>
    <n v="6145.2"/>
    <x v="0"/>
    <s v="Yes"/>
    <x v="2"/>
    <n v="6145.2"/>
    <x v="2"/>
    <s v="High Spend"/>
  </r>
  <r>
    <s v="3717-OEAUQ"/>
    <s v="Male"/>
    <x v="0"/>
    <n v="2"/>
    <x v="1"/>
    <x v="0"/>
    <n v="70.7"/>
    <n v="129.19999999999999"/>
    <x v="0"/>
    <s v="No"/>
    <x v="1"/>
    <n v="129.19999999999999"/>
    <x v="0"/>
    <s v="Standard Spend"/>
  </r>
  <r>
    <s v="4538-WNTMJ"/>
    <s v="Female"/>
    <x v="1"/>
    <n v="46"/>
    <x v="2"/>
    <x v="2"/>
    <n v="24.95"/>
    <n v="1165.9000000000001"/>
    <x v="0"/>
    <s v="No"/>
    <x v="1"/>
    <n v="1165.9000000000001"/>
    <x v="2"/>
    <s v="Standard Spend"/>
  </r>
  <r>
    <s v="3334-CTHOL"/>
    <s v="Female"/>
    <x v="0"/>
    <n v="1"/>
    <x v="0"/>
    <x v="0"/>
    <n v="49.95"/>
    <n v="49.95"/>
    <x v="1"/>
    <s v="Yes"/>
    <x v="2"/>
    <n v="49.95"/>
    <x v="0"/>
    <s v="Standard Spend"/>
  </r>
  <r>
    <s v="4704-ERYFC"/>
    <s v="Female"/>
    <x v="0"/>
    <n v="22"/>
    <x v="1"/>
    <x v="0"/>
    <n v="69.25"/>
    <n v="1554"/>
    <x v="1"/>
    <s v="Yes"/>
    <x v="0"/>
    <n v="1554"/>
    <x v="1"/>
    <s v="Standard Spend"/>
  </r>
  <r>
    <s v="9432-RUVSL"/>
    <s v="Female"/>
    <x v="2"/>
    <n v="48"/>
    <x v="1"/>
    <x v="1"/>
    <n v="102.5"/>
    <n v="4904.25"/>
    <x v="0"/>
    <s v="Yes"/>
    <x v="3"/>
    <n v="4904.25"/>
    <x v="2"/>
    <s v="High Spend"/>
  </r>
  <r>
    <s v="8060-HIWJJ"/>
    <s v="Male"/>
    <x v="2"/>
    <n v="64"/>
    <x v="0"/>
    <x v="1"/>
    <n v="86.55"/>
    <n v="5632.55"/>
    <x v="0"/>
    <s v="No"/>
    <x v="3"/>
    <n v="5632.55"/>
    <x v="2"/>
    <s v="High Spend"/>
  </r>
  <r>
    <s v="7684-XSZIY"/>
    <s v="Male"/>
    <x v="2"/>
    <n v="72"/>
    <x v="2"/>
    <x v="2"/>
    <n v="24.3"/>
    <n v="1643.25"/>
    <x v="0"/>
    <s v="No"/>
    <x v="2"/>
    <n v="1643.25"/>
    <x v="2"/>
    <s v="Standard Spend"/>
  </r>
  <r>
    <s v="9089-UOWJG"/>
    <s v="Female"/>
    <x v="0"/>
    <n v="12"/>
    <x v="0"/>
    <x v="0"/>
    <n v="58.35"/>
    <n v="740.55"/>
    <x v="0"/>
    <s v="Yes"/>
    <x v="3"/>
    <n v="740.55"/>
    <x v="0"/>
    <s v="Standard Spend"/>
  </r>
  <r>
    <s v="8621-MNIHH"/>
    <s v="Female"/>
    <x v="0"/>
    <n v="34"/>
    <x v="1"/>
    <x v="0"/>
    <n v="94.25"/>
    <n v="3217.55"/>
    <x v="1"/>
    <s v="Yes"/>
    <x v="0"/>
    <n v="3217.55"/>
    <x v="1"/>
    <s v="High Spend"/>
  </r>
  <r>
    <s v="8039-ACLPL"/>
    <s v="Female"/>
    <x v="2"/>
    <n v="72"/>
    <x v="0"/>
    <x v="0"/>
    <n v="68.75"/>
    <n v="4888.2"/>
    <x v="0"/>
    <s v="No"/>
    <x v="3"/>
    <n v="4888.2"/>
    <x v="2"/>
    <s v="High Spend"/>
  </r>
  <r>
    <s v="9885-AIBVB"/>
    <s v="Male"/>
    <x v="0"/>
    <n v="29"/>
    <x v="1"/>
    <x v="0"/>
    <n v="85.8"/>
    <n v="2440.25"/>
    <x v="0"/>
    <s v="Yes"/>
    <x v="0"/>
    <n v="2440.25"/>
    <x v="1"/>
    <s v="Standard Spend"/>
  </r>
  <r>
    <s v="1934-MKPXS"/>
    <s v="Male"/>
    <x v="1"/>
    <n v="33"/>
    <x v="2"/>
    <x v="2"/>
    <n v="20.100000000000001"/>
    <n v="620.54999999999995"/>
    <x v="0"/>
    <s v="No"/>
    <x v="3"/>
    <n v="620.54999999999995"/>
    <x v="1"/>
    <s v="Standard Spend"/>
  </r>
  <r>
    <s v="2592-YKDIF"/>
    <s v="Female"/>
    <x v="0"/>
    <n v="1"/>
    <x v="2"/>
    <x v="2"/>
    <n v="20.350000000000001"/>
    <n v="20.350000000000001"/>
    <x v="0"/>
    <s v="No"/>
    <x v="1"/>
    <n v="20.350000000000001"/>
    <x v="0"/>
    <s v="Standard Spend"/>
  </r>
  <r>
    <s v="2272-JKMSI"/>
    <s v="Female"/>
    <x v="1"/>
    <n v="62"/>
    <x v="1"/>
    <x v="1"/>
    <n v="110.8"/>
    <n v="6840.95"/>
    <x v="0"/>
    <s v="Yes"/>
    <x v="0"/>
    <n v="6840.95"/>
    <x v="2"/>
    <s v="High Spend"/>
  </r>
  <r>
    <s v="0471-LVHGK"/>
    <s v="Male"/>
    <x v="1"/>
    <n v="41"/>
    <x v="0"/>
    <x v="0"/>
    <n v="73"/>
    <n v="3001.2"/>
    <x v="1"/>
    <s v="Yes"/>
    <x v="0"/>
    <n v="3001.2"/>
    <x v="2"/>
    <s v="High Spend"/>
  </r>
  <r>
    <s v="9518-RWHZL"/>
    <s v="Female"/>
    <x v="1"/>
    <n v="64"/>
    <x v="1"/>
    <x v="0"/>
    <n v="100.05"/>
    <n v="6254.2"/>
    <x v="1"/>
    <s v="Yes"/>
    <x v="3"/>
    <n v="6254.2"/>
    <x v="2"/>
    <s v="High Spend"/>
  </r>
  <r>
    <s v="8714-CTZJW"/>
    <s v="Female"/>
    <x v="0"/>
    <n v="4"/>
    <x v="1"/>
    <x v="0"/>
    <n v="82.85"/>
    <n v="319.60000000000002"/>
    <x v="0"/>
    <s v="Yes"/>
    <x v="3"/>
    <n v="319.60000000000002"/>
    <x v="0"/>
    <s v="Standard Spend"/>
  </r>
  <r>
    <s v="3569-EDBPQ"/>
    <s v="Female"/>
    <x v="0"/>
    <n v="24"/>
    <x v="1"/>
    <x v="1"/>
    <n v="84.35"/>
    <n v="1938.05"/>
    <x v="0"/>
    <s v="Yes"/>
    <x v="0"/>
    <n v="1938.05"/>
    <x v="1"/>
    <s v="Standard Spend"/>
  </r>
  <r>
    <s v="3131-NWVFJ"/>
    <s v="Female"/>
    <x v="1"/>
    <n v="14"/>
    <x v="2"/>
    <x v="2"/>
    <n v="19.55"/>
    <n v="294.5"/>
    <x v="0"/>
    <s v="No"/>
    <x v="1"/>
    <n v="294.5"/>
    <x v="1"/>
    <s v="Standard Spend"/>
  </r>
  <r>
    <s v="7521-YXVZY"/>
    <s v="Male"/>
    <x v="0"/>
    <n v="3"/>
    <x v="2"/>
    <x v="2"/>
    <n v="19.95"/>
    <n v="58.3"/>
    <x v="0"/>
    <s v="No"/>
    <x v="1"/>
    <n v="58.3"/>
    <x v="0"/>
    <s v="Standard Spend"/>
  </r>
  <r>
    <s v="5419-CONWX"/>
    <s v="Female"/>
    <x v="0"/>
    <n v="4"/>
    <x v="1"/>
    <x v="0"/>
    <n v="99.8"/>
    <n v="442.85"/>
    <x v="1"/>
    <s v="Yes"/>
    <x v="3"/>
    <n v="442.85"/>
    <x v="0"/>
    <s v="Standard Spend"/>
  </r>
  <r>
    <s v="6240-EURKS"/>
    <s v="Female"/>
    <x v="0"/>
    <n v="18"/>
    <x v="0"/>
    <x v="0"/>
    <n v="35"/>
    <n v="553"/>
    <x v="1"/>
    <s v="Yes"/>
    <x v="0"/>
    <n v="553"/>
    <x v="1"/>
    <s v="Standard Spend"/>
  </r>
  <r>
    <s v="2373-NTKOD"/>
    <s v="Male"/>
    <x v="0"/>
    <n v="8"/>
    <x v="0"/>
    <x v="0"/>
    <n v="66.25"/>
    <n v="546.45000000000005"/>
    <x v="0"/>
    <s v="Yes"/>
    <x v="0"/>
    <n v="546.45000000000005"/>
    <x v="0"/>
    <s v="Standard Spend"/>
  </r>
  <r>
    <s v="1970-KKFWL"/>
    <s v="Female"/>
    <x v="2"/>
    <n v="35"/>
    <x v="2"/>
    <x v="2"/>
    <n v="23.3"/>
    <n v="797.1"/>
    <x v="0"/>
    <s v="No"/>
    <x v="2"/>
    <n v="797.1"/>
    <x v="1"/>
    <s v="Standard Spend"/>
  </r>
  <r>
    <s v="6960-HVYXR"/>
    <s v="Female"/>
    <x v="0"/>
    <n v="1"/>
    <x v="1"/>
    <x v="0"/>
    <n v="76"/>
    <n v="76"/>
    <x v="1"/>
    <s v="No"/>
    <x v="0"/>
    <n v="76"/>
    <x v="0"/>
    <s v="Standard Spend"/>
  </r>
  <r>
    <s v="9337-SRRNI"/>
    <s v="Male"/>
    <x v="2"/>
    <n v="66"/>
    <x v="2"/>
    <x v="2"/>
    <n v="25.3"/>
    <n v="1673.8"/>
    <x v="0"/>
    <s v="Yes"/>
    <x v="3"/>
    <n v="1673.8"/>
    <x v="2"/>
    <s v="Standard Spend"/>
  </r>
  <r>
    <s v="0895-UADGO"/>
    <s v="Male"/>
    <x v="2"/>
    <n v="8"/>
    <x v="0"/>
    <x v="1"/>
    <n v="44.55"/>
    <n v="343.45"/>
    <x v="0"/>
    <s v="Yes"/>
    <x v="1"/>
    <n v="343.45"/>
    <x v="0"/>
    <s v="Standard Spend"/>
  </r>
  <r>
    <s v="5678-VFNEQ"/>
    <s v="Female"/>
    <x v="1"/>
    <n v="71"/>
    <x v="1"/>
    <x v="0"/>
    <n v="104.1"/>
    <n v="7412.25"/>
    <x v="0"/>
    <s v="Yes"/>
    <x v="3"/>
    <n v="7412.25"/>
    <x v="2"/>
    <s v="High Spend"/>
  </r>
  <r>
    <s v="5977-CKHON"/>
    <s v="Female"/>
    <x v="0"/>
    <n v="43"/>
    <x v="1"/>
    <x v="0"/>
    <n v="92.55"/>
    <n v="4039"/>
    <x v="0"/>
    <s v="Yes"/>
    <x v="2"/>
    <n v="4039"/>
    <x v="2"/>
    <s v="High Spend"/>
  </r>
  <r>
    <s v="7024-OHCCK"/>
    <s v="Female"/>
    <x v="0"/>
    <n v="2"/>
    <x v="1"/>
    <x v="0"/>
    <n v="93.85"/>
    <n v="170.85"/>
    <x v="1"/>
    <s v="Yes"/>
    <x v="0"/>
    <n v="170.85"/>
    <x v="0"/>
    <s v="Standard Spend"/>
  </r>
  <r>
    <s v="2692-BUCFV"/>
    <s v="Male"/>
    <x v="0"/>
    <n v="29"/>
    <x v="1"/>
    <x v="0"/>
    <n v="101.45"/>
    <n v="2948.6"/>
    <x v="0"/>
    <s v="Yes"/>
    <x v="2"/>
    <n v="2948.6"/>
    <x v="1"/>
    <s v="High Spend"/>
  </r>
  <r>
    <s v="7861-UVUFT"/>
    <s v="Female"/>
    <x v="0"/>
    <n v="15"/>
    <x v="1"/>
    <x v="0"/>
    <n v="84.3"/>
    <n v="1308.4000000000001"/>
    <x v="1"/>
    <s v="Yes"/>
    <x v="0"/>
    <n v="1308.4000000000001"/>
    <x v="1"/>
    <s v="Standard Spend"/>
  </r>
  <r>
    <s v="1830-GGFNM"/>
    <s v="Male"/>
    <x v="2"/>
    <n v="65"/>
    <x v="1"/>
    <x v="1"/>
    <n v="94.55"/>
    <n v="6078.75"/>
    <x v="0"/>
    <s v="No"/>
    <x v="3"/>
    <n v="6078.75"/>
    <x v="2"/>
    <s v="High Spend"/>
  </r>
  <r>
    <s v="5302-BDJNT"/>
    <s v="Male"/>
    <x v="0"/>
    <n v="35"/>
    <x v="1"/>
    <x v="1"/>
    <n v="95.5"/>
    <n v="3418.2"/>
    <x v="0"/>
    <s v="No"/>
    <x v="0"/>
    <n v="3418.2"/>
    <x v="1"/>
    <s v="High Spend"/>
  </r>
  <r>
    <s v="5223-UZAVK"/>
    <s v="Male"/>
    <x v="1"/>
    <n v="64"/>
    <x v="1"/>
    <x v="0"/>
    <n v="100.3"/>
    <n v="6603.8"/>
    <x v="0"/>
    <s v="Yes"/>
    <x v="3"/>
    <n v="6603.8"/>
    <x v="2"/>
    <s v="High Spend"/>
  </r>
  <r>
    <s v="4859-ZSRDZ"/>
    <s v="Female"/>
    <x v="2"/>
    <n v="58"/>
    <x v="0"/>
    <x v="1"/>
    <n v="55.5"/>
    <n v="3166.9"/>
    <x v="0"/>
    <s v="Yes"/>
    <x v="3"/>
    <n v="3166.9"/>
    <x v="2"/>
    <s v="High Spend"/>
  </r>
  <r>
    <s v="5651-WYIPH"/>
    <s v="Female"/>
    <x v="0"/>
    <n v="18"/>
    <x v="0"/>
    <x v="0"/>
    <n v="49.85"/>
    <n v="865.75"/>
    <x v="0"/>
    <s v="Yes"/>
    <x v="3"/>
    <n v="865.75"/>
    <x v="1"/>
    <s v="Standard Spend"/>
  </r>
  <r>
    <s v="9350-VLHMB"/>
    <s v="Male"/>
    <x v="0"/>
    <n v="67"/>
    <x v="1"/>
    <x v="0"/>
    <n v="89.55"/>
    <n v="6373.1"/>
    <x v="0"/>
    <s v="Yes"/>
    <x v="2"/>
    <n v="6373.1"/>
    <x v="2"/>
    <s v="High Spend"/>
  </r>
  <r>
    <s v="3498-LZGQZ"/>
    <s v="Male"/>
    <x v="2"/>
    <n v="63"/>
    <x v="2"/>
    <x v="2"/>
    <n v="19.149999999999999"/>
    <n v="1177.05"/>
    <x v="0"/>
    <s v="Yes"/>
    <x v="1"/>
    <n v="1177.05"/>
    <x v="2"/>
    <s v="Standard Spend"/>
  </r>
  <r>
    <s v="8785-CJSHH"/>
    <s v="Female"/>
    <x v="0"/>
    <n v="60"/>
    <x v="1"/>
    <x v="0"/>
    <n v="99.8"/>
    <n v="5985.75"/>
    <x v="0"/>
    <s v="Yes"/>
    <x v="0"/>
    <n v="5985.75"/>
    <x v="2"/>
    <s v="High Spend"/>
  </r>
  <r>
    <s v="5357-TZHPP"/>
    <s v="Male"/>
    <x v="0"/>
    <n v="9"/>
    <x v="1"/>
    <x v="0"/>
    <n v="84.4"/>
    <n v="732.5"/>
    <x v="1"/>
    <s v="Yes"/>
    <x v="3"/>
    <n v="732.5"/>
    <x v="0"/>
    <s v="Standard Spend"/>
  </r>
  <r>
    <s v="3870-SPZSI"/>
    <s v="Female"/>
    <x v="2"/>
    <n v="70"/>
    <x v="1"/>
    <x v="1"/>
    <n v="113.05"/>
    <n v="7869.05"/>
    <x v="0"/>
    <s v="Yes"/>
    <x v="3"/>
    <n v="7869.05"/>
    <x v="2"/>
    <s v="High Spend"/>
  </r>
  <r>
    <s v="0680-DFNNY"/>
    <s v="Male"/>
    <x v="0"/>
    <n v="15"/>
    <x v="1"/>
    <x v="0"/>
    <n v="101.1"/>
    <n v="1504.05"/>
    <x v="1"/>
    <s v="Yes"/>
    <x v="0"/>
    <n v="1504.05"/>
    <x v="1"/>
    <s v="Standard Spend"/>
  </r>
  <r>
    <s v="7560-QRBXH"/>
    <s v="Female"/>
    <x v="1"/>
    <n v="48"/>
    <x v="2"/>
    <x v="2"/>
    <n v="19.95"/>
    <n v="936.7"/>
    <x v="0"/>
    <s v="No"/>
    <x v="1"/>
    <n v="936.7"/>
    <x v="2"/>
    <s v="Standard Spend"/>
  </r>
  <r>
    <s v="7077-XJMET"/>
    <s v="Male"/>
    <x v="0"/>
    <n v="12"/>
    <x v="0"/>
    <x v="1"/>
    <n v="74.150000000000006"/>
    <n v="741.4"/>
    <x v="0"/>
    <s v="Yes"/>
    <x v="0"/>
    <n v="741.4"/>
    <x v="0"/>
    <s v="Standard Spend"/>
  </r>
  <r>
    <s v="8752-GHJFU"/>
    <s v="Male"/>
    <x v="1"/>
    <n v="71"/>
    <x v="1"/>
    <x v="1"/>
    <n v="92"/>
    <n v="6585.2"/>
    <x v="0"/>
    <s v="Yes"/>
    <x v="0"/>
    <n v="6585.2"/>
    <x v="2"/>
    <s v="High Spend"/>
  </r>
  <r>
    <s v="6896-SRVYQ"/>
    <s v="Male"/>
    <x v="0"/>
    <n v="44"/>
    <x v="1"/>
    <x v="0"/>
    <n v="73.849999999999994"/>
    <n v="3122.4"/>
    <x v="0"/>
    <s v="No"/>
    <x v="0"/>
    <n v="3122.4"/>
    <x v="2"/>
    <s v="High Spend"/>
  </r>
  <r>
    <s v="7767-UXAGJ"/>
    <s v="Male"/>
    <x v="0"/>
    <n v="1"/>
    <x v="0"/>
    <x v="0"/>
    <n v="50.45"/>
    <n v="50.45"/>
    <x v="1"/>
    <s v="Yes"/>
    <x v="0"/>
    <n v="50.45"/>
    <x v="0"/>
    <s v="Standard Spend"/>
  </r>
  <r>
    <s v="4652-ODEVH"/>
    <s v="Male"/>
    <x v="2"/>
    <n v="45"/>
    <x v="2"/>
    <x v="2"/>
    <n v="24.45"/>
    <n v="1088.25"/>
    <x v="0"/>
    <s v="No"/>
    <x v="1"/>
    <n v="1088.25"/>
    <x v="2"/>
    <s v="Standard Spend"/>
  </r>
  <r>
    <s v="6510-UPNKS"/>
    <s v="Female"/>
    <x v="1"/>
    <n v="23"/>
    <x v="2"/>
    <x v="2"/>
    <n v="24.8"/>
    <n v="615.35"/>
    <x v="0"/>
    <s v="No"/>
    <x v="3"/>
    <n v="615.35"/>
    <x v="1"/>
    <s v="Standard Spend"/>
  </r>
  <r>
    <s v="6718-BDGHG"/>
    <s v="Female"/>
    <x v="1"/>
    <n v="43"/>
    <x v="0"/>
    <x v="1"/>
    <n v="64.849999999999994"/>
    <n v="2908.2"/>
    <x v="0"/>
    <s v="Yes"/>
    <x v="2"/>
    <n v="2908.2"/>
    <x v="2"/>
    <s v="High Spend"/>
  </r>
  <r>
    <s v="9046-DQMTP"/>
    <s v="Male"/>
    <x v="0"/>
    <n v="35"/>
    <x v="2"/>
    <x v="2"/>
    <n v="20.75"/>
    <n v="739.9"/>
    <x v="0"/>
    <s v="No"/>
    <x v="2"/>
    <n v="739.9"/>
    <x v="1"/>
    <s v="Standard Spend"/>
  </r>
  <r>
    <s v="6439-LAJXL"/>
    <s v="Male"/>
    <x v="0"/>
    <n v="9"/>
    <x v="0"/>
    <x v="1"/>
    <n v="68.95"/>
    <n v="593.85"/>
    <x v="0"/>
    <s v="Yes"/>
    <x v="1"/>
    <n v="593.85"/>
    <x v="0"/>
    <s v="Standard Spend"/>
  </r>
  <r>
    <s v="1571-SAVHK"/>
    <s v="Male"/>
    <x v="0"/>
    <n v="12"/>
    <x v="1"/>
    <x v="1"/>
    <n v="99.95"/>
    <n v="1132.75"/>
    <x v="1"/>
    <s v="Yes"/>
    <x v="1"/>
    <n v="1132.75"/>
    <x v="0"/>
    <s v="Standard Spend"/>
  </r>
  <r>
    <s v="9052-VKDUW"/>
    <s v="Female"/>
    <x v="0"/>
    <n v="65"/>
    <x v="1"/>
    <x v="0"/>
    <n v="109.4"/>
    <n v="7227.45"/>
    <x v="0"/>
    <s v="Yes"/>
    <x v="3"/>
    <n v="7227.45"/>
    <x v="2"/>
    <s v="High Spend"/>
  </r>
  <r>
    <s v="9546-CQJSU"/>
    <s v="Female"/>
    <x v="0"/>
    <n v="2"/>
    <x v="1"/>
    <x v="0"/>
    <n v="91.4"/>
    <n v="193.6"/>
    <x v="1"/>
    <s v="Yes"/>
    <x v="0"/>
    <n v="193.6"/>
    <x v="0"/>
    <s v="Standard Spend"/>
  </r>
  <r>
    <s v="1666-JZPZT"/>
    <s v="Male"/>
    <x v="0"/>
    <n v="27"/>
    <x v="0"/>
    <x v="0"/>
    <n v="49"/>
    <n v="1291.3499999999999"/>
    <x v="0"/>
    <s v="No"/>
    <x v="1"/>
    <n v="1291.3499999999999"/>
    <x v="1"/>
    <s v="Standard Spend"/>
  </r>
  <r>
    <s v="5777-KJIRB"/>
    <s v="Female"/>
    <x v="1"/>
    <n v="40"/>
    <x v="0"/>
    <x v="0"/>
    <n v="50.25"/>
    <n v="2023.55"/>
    <x v="0"/>
    <s v="Yes"/>
    <x v="1"/>
    <n v="2023.55"/>
    <x v="2"/>
    <s v="Standard Spend"/>
  </r>
  <r>
    <s v="0506-LVNGN"/>
    <s v="Female"/>
    <x v="0"/>
    <n v="5"/>
    <x v="1"/>
    <x v="0"/>
    <n v="75.55"/>
    <n v="349.65"/>
    <x v="1"/>
    <s v="Yes"/>
    <x v="3"/>
    <n v="349.65"/>
    <x v="0"/>
    <s v="Standard Spend"/>
  </r>
  <r>
    <s v="7677-SJJJK"/>
    <s v="Male"/>
    <x v="1"/>
    <n v="8"/>
    <x v="2"/>
    <x v="2"/>
    <n v="19.899999999999999"/>
    <n v="153.94999999999999"/>
    <x v="0"/>
    <s v="No"/>
    <x v="3"/>
    <n v="153.94999999999999"/>
    <x v="0"/>
    <s v="Standard Spend"/>
  </r>
  <r>
    <s v="2480-EJWYP"/>
    <s v="Female"/>
    <x v="1"/>
    <n v="58"/>
    <x v="1"/>
    <x v="0"/>
    <n v="97.8"/>
    <n v="5458.8"/>
    <x v="0"/>
    <s v="Yes"/>
    <x v="2"/>
    <n v="5458.8"/>
    <x v="2"/>
    <s v="High Spend"/>
  </r>
  <r>
    <s v="3253-HKOKL"/>
    <s v="Female"/>
    <x v="1"/>
    <n v="52"/>
    <x v="1"/>
    <x v="0"/>
    <n v="100.3"/>
    <n v="5244.45"/>
    <x v="0"/>
    <s v="No"/>
    <x v="0"/>
    <n v="5244.45"/>
    <x v="2"/>
    <s v="High Spend"/>
  </r>
  <r>
    <s v="7055-HNEOJ"/>
    <s v="Male"/>
    <x v="0"/>
    <n v="3"/>
    <x v="0"/>
    <x v="1"/>
    <n v="55.8"/>
    <n v="154.55000000000001"/>
    <x v="0"/>
    <s v="Yes"/>
    <x v="1"/>
    <n v="154.55000000000001"/>
    <x v="0"/>
    <s v="Standard Spend"/>
  </r>
  <r>
    <s v="5514-YQENT"/>
    <s v="Male"/>
    <x v="2"/>
    <n v="41"/>
    <x v="1"/>
    <x v="1"/>
    <n v="111.15"/>
    <n v="4507.1499999999996"/>
    <x v="0"/>
    <s v="Yes"/>
    <x v="0"/>
    <n v="4507.1499999999996"/>
    <x v="2"/>
    <s v="High Spend"/>
  </r>
  <r>
    <s v="3211-AAPKX"/>
    <s v="Male"/>
    <x v="0"/>
    <n v="20"/>
    <x v="1"/>
    <x v="1"/>
    <n v="98.55"/>
    <n v="2031.95"/>
    <x v="0"/>
    <s v="Yes"/>
    <x v="1"/>
    <n v="2031.95"/>
    <x v="1"/>
    <s v="Standard Spend"/>
  </r>
  <r>
    <s v="8445-DNBAE"/>
    <s v="Male"/>
    <x v="0"/>
    <n v="1"/>
    <x v="0"/>
    <x v="0"/>
    <n v="50.05"/>
    <n v="50.05"/>
    <x v="0"/>
    <s v="Yes"/>
    <x v="0"/>
    <n v="50.05"/>
    <x v="0"/>
    <s v="Standard Spend"/>
  </r>
  <r>
    <s v="2951-QOQTK"/>
    <s v="Male"/>
    <x v="0"/>
    <n v="4"/>
    <x v="1"/>
    <x v="1"/>
    <n v="80.8"/>
    <n v="332.45"/>
    <x v="1"/>
    <s v="No"/>
    <x v="3"/>
    <n v="332.45"/>
    <x v="0"/>
    <s v="Standard Spend"/>
  </r>
  <r>
    <s v="2958-NHPPS"/>
    <s v="Male"/>
    <x v="0"/>
    <n v="23"/>
    <x v="2"/>
    <x v="2"/>
    <n v="20.85"/>
    <n v="473.9"/>
    <x v="0"/>
    <s v="No"/>
    <x v="0"/>
    <n v="473.9"/>
    <x v="1"/>
    <s v="Standard Spend"/>
  </r>
  <r>
    <s v="6806-YDEUL"/>
    <s v="Female"/>
    <x v="0"/>
    <n v="6"/>
    <x v="2"/>
    <x v="2"/>
    <n v="19.5"/>
    <n v="106.8"/>
    <x v="0"/>
    <s v="No"/>
    <x v="2"/>
    <n v="106.8"/>
    <x v="0"/>
    <s v="Standard Spend"/>
  </r>
  <r>
    <s v="1735-XMJVH"/>
    <s v="Male"/>
    <x v="0"/>
    <n v="8"/>
    <x v="2"/>
    <x v="2"/>
    <n v="19.350000000000001"/>
    <n v="152.6"/>
    <x v="0"/>
    <s v="Yes"/>
    <x v="1"/>
    <n v="152.6"/>
    <x v="0"/>
    <s v="Standard Spend"/>
  </r>
  <r>
    <s v="6890-PFRQX"/>
    <s v="Male"/>
    <x v="0"/>
    <n v="18"/>
    <x v="0"/>
    <x v="0"/>
    <n v="69.5"/>
    <n v="1199.4000000000001"/>
    <x v="0"/>
    <s v="No"/>
    <x v="1"/>
    <n v="1199.4000000000001"/>
    <x v="1"/>
    <s v="Standard Spend"/>
  </r>
  <r>
    <s v="0222-CNVPT"/>
    <s v="Male"/>
    <x v="0"/>
    <n v="52"/>
    <x v="0"/>
    <x v="0"/>
    <n v="48.8"/>
    <n v="2555.0500000000002"/>
    <x v="0"/>
    <s v="Yes"/>
    <x v="3"/>
    <n v="2555.0500000000002"/>
    <x v="2"/>
    <s v="High Spend"/>
  </r>
  <r>
    <s v="5899-OUVKV"/>
    <s v="Male"/>
    <x v="0"/>
    <n v="31"/>
    <x v="1"/>
    <x v="0"/>
    <n v="94.5"/>
    <n v="2979.2"/>
    <x v="0"/>
    <s v="Yes"/>
    <x v="0"/>
    <n v="2979.2"/>
    <x v="1"/>
    <s v="High Spend"/>
  </r>
  <r>
    <s v="8681-ICONS"/>
    <s v="Male"/>
    <x v="0"/>
    <n v="29"/>
    <x v="2"/>
    <x v="2"/>
    <n v="20.65"/>
    <n v="654.85"/>
    <x v="0"/>
    <s v="Yes"/>
    <x v="1"/>
    <n v="654.85"/>
    <x v="1"/>
    <s v="Standard Spend"/>
  </r>
  <r>
    <s v="1621-YNCJH"/>
    <s v="Female"/>
    <x v="2"/>
    <n v="36"/>
    <x v="1"/>
    <x v="1"/>
    <n v="106.05"/>
    <n v="3834.4"/>
    <x v="0"/>
    <s v="Yes"/>
    <x v="3"/>
    <n v="3834.4"/>
    <x v="1"/>
    <s v="High Spend"/>
  </r>
  <r>
    <s v="3473-XIIIT"/>
    <s v="Female"/>
    <x v="0"/>
    <n v="16"/>
    <x v="1"/>
    <x v="0"/>
    <n v="100"/>
    <n v="1534.75"/>
    <x v="1"/>
    <s v="Yes"/>
    <x v="0"/>
    <n v="1534.75"/>
    <x v="1"/>
    <s v="Standard Spend"/>
  </r>
  <r>
    <s v="6362-QHAFM"/>
    <s v="Male"/>
    <x v="1"/>
    <n v="42"/>
    <x v="1"/>
    <x v="1"/>
    <n v="108.3"/>
    <n v="4586.1499999999996"/>
    <x v="0"/>
    <s v="Yes"/>
    <x v="0"/>
    <n v="4586.1499999999996"/>
    <x v="2"/>
    <s v="High Spend"/>
  </r>
  <r>
    <s v="7893-IXHRQ"/>
    <s v="Male"/>
    <x v="0"/>
    <n v="1"/>
    <x v="2"/>
    <x v="2"/>
    <n v="20.55"/>
    <n v="20.55"/>
    <x v="1"/>
    <s v="No"/>
    <x v="0"/>
    <n v="20.55"/>
    <x v="0"/>
    <s v="Standard Spend"/>
  </r>
  <r>
    <s v="3070-BDOQC"/>
    <s v="Female"/>
    <x v="2"/>
    <n v="60"/>
    <x v="1"/>
    <x v="0"/>
    <n v="99.65"/>
    <n v="5941.05"/>
    <x v="0"/>
    <s v="Yes"/>
    <x v="0"/>
    <n v="5941.05"/>
    <x v="2"/>
    <s v="High Spend"/>
  </r>
  <r>
    <s v="2952-QAYZF"/>
    <s v="Male"/>
    <x v="0"/>
    <n v="5"/>
    <x v="1"/>
    <x v="0"/>
    <n v="85.3"/>
    <n v="424.15"/>
    <x v="1"/>
    <s v="Yes"/>
    <x v="0"/>
    <n v="424.15"/>
    <x v="0"/>
    <s v="Standard Spend"/>
  </r>
  <r>
    <s v="6234-PFPXL"/>
    <s v="Male"/>
    <x v="0"/>
    <n v="22"/>
    <x v="1"/>
    <x v="1"/>
    <n v="95.9"/>
    <n v="2234.9499999999998"/>
    <x v="0"/>
    <s v="No"/>
    <x v="3"/>
    <n v="2234.9499999999998"/>
    <x v="1"/>
    <s v="Standard Spend"/>
  </r>
  <r>
    <s v="9824-QCJPK"/>
    <s v="Male"/>
    <x v="1"/>
    <n v="36"/>
    <x v="2"/>
    <x v="2"/>
    <n v="20"/>
    <n v="666.75"/>
    <x v="0"/>
    <s v="No"/>
    <x v="1"/>
    <n v="666.75"/>
    <x v="1"/>
    <s v="Standard Spend"/>
  </r>
  <r>
    <s v="4763-PGDPO"/>
    <s v="Female"/>
    <x v="0"/>
    <n v="4"/>
    <x v="1"/>
    <x v="0"/>
    <n v="70.400000000000006"/>
    <n v="281"/>
    <x v="1"/>
    <s v="No"/>
    <x v="0"/>
    <n v="281"/>
    <x v="0"/>
    <s v="Standard Spend"/>
  </r>
  <r>
    <s v="4283-IVYCI"/>
    <s v="Male"/>
    <x v="0"/>
    <n v="9"/>
    <x v="0"/>
    <x v="1"/>
    <n v="64.95"/>
    <n v="547.79999999999995"/>
    <x v="0"/>
    <s v="No"/>
    <x v="1"/>
    <n v="547.79999999999995"/>
    <x v="0"/>
    <s v="Standard Spend"/>
  </r>
  <r>
    <s v="1866-OBPNR"/>
    <s v="Male"/>
    <x v="0"/>
    <n v="1"/>
    <x v="1"/>
    <x v="0"/>
    <n v="74.599999999999994"/>
    <n v="74.599999999999994"/>
    <x v="0"/>
    <s v="No"/>
    <x v="3"/>
    <n v="74.599999999999994"/>
    <x v="0"/>
    <s v="Standard Spend"/>
  </r>
  <r>
    <s v="8205-MQUGY"/>
    <s v="Male"/>
    <x v="0"/>
    <n v="12"/>
    <x v="0"/>
    <x v="0"/>
    <n v="49.2"/>
    <n v="571.15"/>
    <x v="0"/>
    <s v="Yes"/>
    <x v="0"/>
    <n v="571.15"/>
    <x v="0"/>
    <s v="Standard Spend"/>
  </r>
  <r>
    <s v="8970-ANWXO"/>
    <s v="Female"/>
    <x v="1"/>
    <n v="23"/>
    <x v="0"/>
    <x v="1"/>
    <n v="73.75"/>
    <n v="1756.6"/>
    <x v="0"/>
    <s v="Yes"/>
    <x v="1"/>
    <n v="1756.6"/>
    <x v="1"/>
    <s v="Standard Spend"/>
  </r>
  <r>
    <s v="9480-BQJEI"/>
    <s v="Male"/>
    <x v="1"/>
    <n v="62"/>
    <x v="1"/>
    <x v="0"/>
    <n v="92.3"/>
    <n v="5731.45"/>
    <x v="0"/>
    <s v="Yes"/>
    <x v="2"/>
    <n v="5731.45"/>
    <x v="2"/>
    <s v="High Spend"/>
  </r>
  <r>
    <s v="5394-SVGJV"/>
    <s v="Male"/>
    <x v="0"/>
    <n v="37"/>
    <x v="1"/>
    <x v="1"/>
    <n v="98.8"/>
    <n v="3475.55"/>
    <x v="1"/>
    <s v="No"/>
    <x v="2"/>
    <n v="3475.55"/>
    <x v="2"/>
    <s v="High Spend"/>
  </r>
  <r>
    <s v="6979-TNDEU"/>
    <s v="Female"/>
    <x v="0"/>
    <n v="8"/>
    <x v="2"/>
    <x v="2"/>
    <n v="19.2"/>
    <n v="156.85"/>
    <x v="0"/>
    <s v="No"/>
    <x v="1"/>
    <n v="156.85"/>
    <x v="0"/>
    <s v="Standard Spend"/>
  </r>
  <r>
    <s v="9777-WJJPR"/>
    <s v="Male"/>
    <x v="0"/>
    <n v="31"/>
    <x v="1"/>
    <x v="0"/>
    <n v="88.65"/>
    <n v="2683.2"/>
    <x v="0"/>
    <s v="No"/>
    <x v="3"/>
    <n v="2683.2"/>
    <x v="1"/>
    <s v="High Spend"/>
  </r>
  <r>
    <s v="9283-LZQOH"/>
    <s v="Male"/>
    <x v="0"/>
    <n v="13"/>
    <x v="1"/>
    <x v="0"/>
    <n v="74.400000000000006"/>
    <n v="896.75"/>
    <x v="1"/>
    <s v="Yes"/>
    <x v="3"/>
    <n v="896.75"/>
    <x v="1"/>
    <s v="Standard Spend"/>
  </r>
  <r>
    <s v="7079-QRCBC"/>
    <s v="Female"/>
    <x v="0"/>
    <n v="24"/>
    <x v="1"/>
    <x v="0"/>
    <n v="98.75"/>
    <n v="2407.3000000000002"/>
    <x v="1"/>
    <s v="Yes"/>
    <x v="0"/>
    <n v="2407.3000000000002"/>
    <x v="1"/>
    <s v="Standard Spend"/>
  </r>
  <r>
    <s v="9495-SKLKD"/>
    <s v="Male"/>
    <x v="0"/>
    <n v="45"/>
    <x v="1"/>
    <x v="0"/>
    <n v="95.95"/>
    <n v="4456.6499999999996"/>
    <x v="0"/>
    <s v="Yes"/>
    <x v="2"/>
    <n v="4456.6499999999996"/>
    <x v="2"/>
    <s v="High Spend"/>
  </r>
  <r>
    <s v="6048-UWKAL"/>
    <s v="Female"/>
    <x v="2"/>
    <n v="69"/>
    <x v="1"/>
    <x v="1"/>
    <n v="105.4"/>
    <n v="6998.95"/>
    <x v="0"/>
    <s v="No"/>
    <x v="3"/>
    <n v="6998.95"/>
    <x v="2"/>
    <s v="High Spend"/>
  </r>
  <r>
    <s v="5067-DGXLL"/>
    <s v="Male"/>
    <x v="0"/>
    <n v="2"/>
    <x v="2"/>
    <x v="2"/>
    <n v="20.25"/>
    <n v="36.799999999999997"/>
    <x v="0"/>
    <s v="No"/>
    <x v="1"/>
    <n v="36.799999999999997"/>
    <x v="0"/>
    <s v="Standard Spend"/>
  </r>
  <r>
    <s v="5469-CTCWN"/>
    <s v="Male"/>
    <x v="1"/>
    <n v="61"/>
    <x v="1"/>
    <x v="0"/>
    <n v="106"/>
    <n v="6547.7"/>
    <x v="1"/>
    <s v="Yes"/>
    <x v="0"/>
    <n v="6547.7"/>
    <x v="2"/>
    <s v="High Spend"/>
  </r>
  <r>
    <s v="9851-QXEEQ"/>
    <s v="Male"/>
    <x v="0"/>
    <n v="41"/>
    <x v="1"/>
    <x v="0"/>
    <n v="104.7"/>
    <n v="4346.3999999999996"/>
    <x v="1"/>
    <s v="Yes"/>
    <x v="0"/>
    <n v="4346.3999999999996"/>
    <x v="2"/>
    <s v="High Spend"/>
  </r>
  <r>
    <s v="6281-FKEWS"/>
    <s v="Female"/>
    <x v="1"/>
    <n v="44"/>
    <x v="0"/>
    <x v="0"/>
    <n v="49.05"/>
    <n v="2265"/>
    <x v="0"/>
    <s v="Yes"/>
    <x v="0"/>
    <n v="2265"/>
    <x v="2"/>
    <s v="Standard Spend"/>
  </r>
  <r>
    <s v="8898-KASCD"/>
    <s v="Male"/>
    <x v="1"/>
    <n v="39"/>
    <x v="0"/>
    <x v="1"/>
    <n v="35.549999999999997"/>
    <n v="1309.1500000000001"/>
    <x v="0"/>
    <s v="No"/>
    <x v="1"/>
    <n v="1309.1500000000001"/>
    <x v="2"/>
    <s v="Standard Spend"/>
  </r>
  <r>
    <s v="9242-TKFSV"/>
    <s v="Male"/>
    <x v="2"/>
    <n v="72"/>
    <x v="0"/>
    <x v="1"/>
    <n v="65.099999999999994"/>
    <n v="4754.3"/>
    <x v="0"/>
    <s v="Yes"/>
    <x v="3"/>
    <n v="4754.3"/>
    <x v="2"/>
    <s v="High Spend"/>
  </r>
  <r>
    <s v="9290-SHCMB"/>
    <s v="Female"/>
    <x v="0"/>
    <n v="13"/>
    <x v="1"/>
    <x v="0"/>
    <n v="96.85"/>
    <n v="1235.55"/>
    <x v="0"/>
    <s v="Yes"/>
    <x v="0"/>
    <n v="1235.55"/>
    <x v="1"/>
    <s v="Standard Spend"/>
  </r>
  <r>
    <s v="0743-HNPFG"/>
    <s v="Female"/>
    <x v="1"/>
    <n v="51"/>
    <x v="0"/>
    <x v="1"/>
    <n v="69.75"/>
    <n v="3562.5"/>
    <x v="0"/>
    <s v="Yes"/>
    <x v="3"/>
    <n v="3562.5"/>
    <x v="2"/>
    <s v="High Spend"/>
  </r>
  <r>
    <s v="2277-BKJKN"/>
    <s v="Female"/>
    <x v="2"/>
    <n v="71"/>
    <x v="1"/>
    <x v="0"/>
    <n v="99.2"/>
    <n v="7213.75"/>
    <x v="0"/>
    <s v="Yes"/>
    <x v="0"/>
    <n v="7213.75"/>
    <x v="2"/>
    <s v="High Spend"/>
  </r>
  <r>
    <s v="9809-IMGCQ"/>
    <s v="Male"/>
    <x v="0"/>
    <n v="22"/>
    <x v="1"/>
    <x v="0"/>
    <n v="96.7"/>
    <n v="2082.9499999999998"/>
    <x v="1"/>
    <s v="Yes"/>
    <x v="0"/>
    <n v="2082.9499999999998"/>
    <x v="1"/>
    <s v="Standard Spend"/>
  </r>
  <r>
    <s v="5208-HFSBT"/>
    <s v="Female"/>
    <x v="0"/>
    <n v="2"/>
    <x v="0"/>
    <x v="1"/>
    <n v="55.05"/>
    <n v="102.75"/>
    <x v="1"/>
    <s v="Yes"/>
    <x v="3"/>
    <n v="102.75"/>
    <x v="0"/>
    <s v="Standard Spend"/>
  </r>
  <r>
    <s v="5035-PGZXH"/>
    <s v="Female"/>
    <x v="1"/>
    <n v="56"/>
    <x v="1"/>
    <x v="0"/>
    <n v="106.8"/>
    <n v="5914.4"/>
    <x v="0"/>
    <s v="Yes"/>
    <x v="0"/>
    <n v="5914.4"/>
    <x v="2"/>
    <s v="High Spend"/>
  </r>
  <r>
    <s v="8695-WDYEA"/>
    <s v="Male"/>
    <x v="0"/>
    <n v="1"/>
    <x v="0"/>
    <x v="0"/>
    <n v="51.25"/>
    <n v="51.25"/>
    <x v="0"/>
    <s v="No"/>
    <x v="1"/>
    <n v="51.25"/>
    <x v="0"/>
    <s v="Standard Spend"/>
  </r>
  <r>
    <s v="6543-JXSOO"/>
    <s v="Female"/>
    <x v="1"/>
    <n v="23"/>
    <x v="0"/>
    <x v="1"/>
    <n v="57.75"/>
    <n v="1282.8499999999999"/>
    <x v="0"/>
    <s v="Yes"/>
    <x v="1"/>
    <n v="1282.8499999999999"/>
    <x v="1"/>
    <s v="Standard Spend"/>
  </r>
  <r>
    <s v="8016-ZMGMO"/>
    <s v="Female"/>
    <x v="1"/>
    <n v="66"/>
    <x v="0"/>
    <x v="0"/>
    <n v="70.849999999999994"/>
    <n v="4738.8500000000004"/>
    <x v="0"/>
    <s v="Yes"/>
    <x v="2"/>
    <n v="4738.8500000000004"/>
    <x v="2"/>
    <s v="High Spend"/>
  </r>
  <r>
    <s v="8605-ITULD"/>
    <s v="Female"/>
    <x v="0"/>
    <n v="1"/>
    <x v="2"/>
    <x v="2"/>
    <n v="19.55"/>
    <n v="19.55"/>
    <x v="0"/>
    <s v="No"/>
    <x v="1"/>
    <n v="19.55"/>
    <x v="0"/>
    <s v="Standard Spend"/>
  </r>
  <r>
    <s v="3254-YRILK"/>
    <s v="Male"/>
    <x v="0"/>
    <n v="19"/>
    <x v="1"/>
    <x v="0"/>
    <n v="88.2"/>
    <n v="1775.8"/>
    <x v="1"/>
    <s v="Yes"/>
    <x v="0"/>
    <n v="1775.8"/>
    <x v="1"/>
    <s v="Standard Spend"/>
  </r>
  <r>
    <s v="6416-YJTTB"/>
    <s v="Male"/>
    <x v="0"/>
    <n v="11"/>
    <x v="1"/>
    <x v="0"/>
    <n v="79.5"/>
    <n v="795.65"/>
    <x v="0"/>
    <s v="Yes"/>
    <x v="2"/>
    <n v="795.65"/>
    <x v="0"/>
    <s v="Standard Spend"/>
  </r>
  <r>
    <s v="2667-WYLWJ"/>
    <s v="Female"/>
    <x v="1"/>
    <n v="8"/>
    <x v="2"/>
    <x v="2"/>
    <n v="19.75"/>
    <n v="145"/>
    <x v="1"/>
    <s v="Yes"/>
    <x v="1"/>
    <n v="145"/>
    <x v="0"/>
    <s v="Standard Spend"/>
  </r>
  <r>
    <s v="4472-VESGY"/>
    <s v="Female"/>
    <x v="0"/>
    <n v="52"/>
    <x v="1"/>
    <x v="0"/>
    <n v="98.15"/>
    <n v="4993.3999999999996"/>
    <x v="0"/>
    <s v="No"/>
    <x v="2"/>
    <n v="4993.3999999999996"/>
    <x v="2"/>
    <s v="High Spend"/>
  </r>
  <r>
    <s v="3195-TQDZX"/>
    <s v="Male"/>
    <x v="0"/>
    <n v="3"/>
    <x v="2"/>
    <x v="2"/>
    <n v="20.25"/>
    <n v="61.45"/>
    <x v="0"/>
    <s v="Yes"/>
    <x v="0"/>
    <n v="61.45"/>
    <x v="0"/>
    <s v="Standard Spend"/>
  </r>
  <r>
    <s v="3128-YOVTD"/>
    <s v="Female"/>
    <x v="0"/>
    <n v="51"/>
    <x v="1"/>
    <x v="0"/>
    <n v="79.150000000000006"/>
    <n v="4018.55"/>
    <x v="0"/>
    <s v="Yes"/>
    <x v="2"/>
    <n v="4018.55"/>
    <x v="2"/>
    <s v="High Spend"/>
  </r>
  <r>
    <s v="0529-ONKER"/>
    <s v="Male"/>
    <x v="0"/>
    <n v="15"/>
    <x v="1"/>
    <x v="0"/>
    <n v="75.650000000000006"/>
    <n v="1146.6500000000001"/>
    <x v="1"/>
    <s v="No"/>
    <x v="0"/>
    <n v="1146.6500000000001"/>
    <x v="1"/>
    <s v="Standard Spend"/>
  </r>
  <r>
    <s v="1728-CXQBE"/>
    <s v="Male"/>
    <x v="0"/>
    <n v="64"/>
    <x v="1"/>
    <x v="0"/>
    <n v="94.25"/>
    <n v="6081.4"/>
    <x v="0"/>
    <s v="Yes"/>
    <x v="0"/>
    <n v="6081.4"/>
    <x v="2"/>
    <s v="High Spend"/>
  </r>
  <r>
    <s v="7041-TXQJH"/>
    <s v="Female"/>
    <x v="0"/>
    <n v="37"/>
    <x v="0"/>
    <x v="0"/>
    <n v="40.200000000000003"/>
    <n v="1478.85"/>
    <x v="0"/>
    <s v="Yes"/>
    <x v="3"/>
    <n v="1478.85"/>
    <x v="2"/>
    <s v="Standard Spend"/>
  </r>
  <r>
    <s v="5014-GSOUQ"/>
    <s v="Male"/>
    <x v="2"/>
    <n v="13"/>
    <x v="2"/>
    <x v="2"/>
    <n v="19.95"/>
    <n v="243.65"/>
    <x v="0"/>
    <s v="No"/>
    <x v="1"/>
    <n v="243.65"/>
    <x v="1"/>
    <s v="Standard Spend"/>
  </r>
  <r>
    <s v="5724-BIDBU"/>
    <s v="Male"/>
    <x v="1"/>
    <n v="49"/>
    <x v="0"/>
    <x v="0"/>
    <n v="55.35"/>
    <n v="2633.95"/>
    <x v="0"/>
    <s v="Yes"/>
    <x v="0"/>
    <n v="2633.95"/>
    <x v="2"/>
    <s v="High Spend"/>
  </r>
  <r>
    <s v="0481-SUMCB"/>
    <s v="Female"/>
    <x v="1"/>
    <n v="45"/>
    <x v="1"/>
    <x v="0"/>
    <n v="102.15"/>
    <n v="4735.3500000000004"/>
    <x v="0"/>
    <s v="Yes"/>
    <x v="2"/>
    <n v="4735.3500000000004"/>
    <x v="2"/>
    <s v="High Spend"/>
  </r>
  <r>
    <s v="1769-GRUIK"/>
    <s v="Female"/>
    <x v="0"/>
    <n v="18"/>
    <x v="1"/>
    <x v="0"/>
    <n v="71.099999999999994"/>
    <n v="1247.75"/>
    <x v="0"/>
    <s v="Yes"/>
    <x v="0"/>
    <n v="1247.75"/>
    <x v="1"/>
    <s v="Standard Spend"/>
  </r>
  <r>
    <s v="5240-IJOQT"/>
    <s v="Male"/>
    <x v="0"/>
    <n v="1"/>
    <x v="1"/>
    <x v="0"/>
    <n v="74.7"/>
    <n v="74.7"/>
    <x v="1"/>
    <s v="Yes"/>
    <x v="0"/>
    <n v="74.7"/>
    <x v="0"/>
    <s v="Standard Spend"/>
  </r>
  <r>
    <s v="8819-WFGGJ"/>
    <s v="Male"/>
    <x v="2"/>
    <n v="68"/>
    <x v="0"/>
    <x v="0"/>
    <n v="54.1"/>
    <n v="3794.5"/>
    <x v="0"/>
    <s v="Yes"/>
    <x v="2"/>
    <n v="3794.5"/>
    <x v="2"/>
    <s v="High Spend"/>
  </r>
  <r>
    <s v="7427-AUFPY"/>
    <s v="Male"/>
    <x v="2"/>
    <n v="54"/>
    <x v="2"/>
    <x v="2"/>
    <n v="19.649999999999999"/>
    <n v="1008.7"/>
    <x v="0"/>
    <s v="No"/>
    <x v="3"/>
    <n v="1008.7"/>
    <x v="2"/>
    <s v="Standard Spend"/>
  </r>
  <r>
    <s v="2811-POVEX"/>
    <s v="Female"/>
    <x v="0"/>
    <n v="23"/>
    <x v="1"/>
    <x v="0"/>
    <n v="88.45"/>
    <n v="2130.5500000000002"/>
    <x v="0"/>
    <s v="Yes"/>
    <x v="2"/>
    <n v="2130.5500000000002"/>
    <x v="1"/>
    <s v="Standard Spend"/>
  </r>
  <r>
    <s v="1092-GANHU"/>
    <s v="Male"/>
    <x v="0"/>
    <n v="17"/>
    <x v="1"/>
    <x v="0"/>
    <n v="76.650000000000006"/>
    <n v="1313.55"/>
    <x v="1"/>
    <s v="Yes"/>
    <x v="0"/>
    <n v="1313.55"/>
    <x v="1"/>
    <s v="Standard Spend"/>
  </r>
  <r>
    <s v="7898-PDWQE"/>
    <s v="Male"/>
    <x v="2"/>
    <n v="71"/>
    <x v="0"/>
    <x v="1"/>
    <n v="80.400000000000006"/>
    <n v="5727.15"/>
    <x v="0"/>
    <s v="No"/>
    <x v="3"/>
    <n v="5727.15"/>
    <x v="2"/>
    <s v="High Spend"/>
  </r>
  <r>
    <s v="9972-EWRJS"/>
    <s v="Female"/>
    <x v="2"/>
    <n v="67"/>
    <x v="2"/>
    <x v="2"/>
    <n v="19.25"/>
    <n v="1372.9"/>
    <x v="0"/>
    <s v="Yes"/>
    <x v="2"/>
    <n v="1372.9"/>
    <x v="2"/>
    <s v="Standard Spend"/>
  </r>
  <r>
    <s v="9314-IJWSQ"/>
    <s v="Female"/>
    <x v="0"/>
    <n v="14"/>
    <x v="1"/>
    <x v="0"/>
    <n v="84.8"/>
    <n v="1203.9000000000001"/>
    <x v="0"/>
    <s v="Yes"/>
    <x v="0"/>
    <n v="1203.9000000000001"/>
    <x v="1"/>
    <s v="Standard Spend"/>
  </r>
  <r>
    <s v="0661-XEYAN"/>
    <s v="Female"/>
    <x v="0"/>
    <n v="1"/>
    <x v="0"/>
    <x v="0"/>
    <n v="25.8"/>
    <n v="25.8"/>
    <x v="1"/>
    <s v="Yes"/>
    <x v="1"/>
    <n v="25.8"/>
    <x v="0"/>
    <s v="Standard Spend"/>
  </r>
  <r>
    <s v="5799-JRCZO"/>
    <s v="Female"/>
    <x v="2"/>
    <n v="63"/>
    <x v="2"/>
    <x v="2"/>
    <n v="19.5"/>
    <n v="1215.0999999999999"/>
    <x v="0"/>
    <s v="No"/>
    <x v="3"/>
    <n v="1215.0999999999999"/>
    <x v="2"/>
    <s v="Standard Spend"/>
  </r>
  <r>
    <s v="1921-KYSAY"/>
    <s v="Female"/>
    <x v="1"/>
    <n v="41"/>
    <x v="0"/>
    <x v="1"/>
    <n v="68.599999999999994"/>
    <n v="2877.05"/>
    <x v="0"/>
    <s v="Yes"/>
    <x v="0"/>
    <n v="2877.05"/>
    <x v="2"/>
    <s v="High Spend"/>
  </r>
  <r>
    <s v="6198-RTPMF"/>
    <s v="Female"/>
    <x v="0"/>
    <n v="17"/>
    <x v="1"/>
    <x v="0"/>
    <n v="92.6"/>
    <n v="1579.7"/>
    <x v="0"/>
    <s v="No"/>
    <x v="0"/>
    <n v="1579.7"/>
    <x v="1"/>
    <s v="Standard Spend"/>
  </r>
  <r>
    <s v="2924-KHUVI"/>
    <s v="Male"/>
    <x v="1"/>
    <n v="56"/>
    <x v="1"/>
    <x v="0"/>
    <n v="100.55"/>
    <n v="5514.95"/>
    <x v="0"/>
    <s v="Yes"/>
    <x v="0"/>
    <n v="5514.95"/>
    <x v="2"/>
    <s v="High Spend"/>
  </r>
  <r>
    <s v="1925-GMVBW"/>
    <s v="Female"/>
    <x v="0"/>
    <n v="5"/>
    <x v="2"/>
    <x v="2"/>
    <n v="20.55"/>
    <n v="96.1"/>
    <x v="0"/>
    <s v="No"/>
    <x v="3"/>
    <n v="96.1"/>
    <x v="0"/>
    <s v="Standard Spend"/>
  </r>
  <r>
    <s v="7881-EVUAD"/>
    <s v="Female"/>
    <x v="0"/>
    <n v="2"/>
    <x v="0"/>
    <x v="0"/>
    <n v="42.6"/>
    <n v="72.400000000000006"/>
    <x v="1"/>
    <s v="Yes"/>
    <x v="0"/>
    <n v="72.400000000000006"/>
    <x v="0"/>
    <s v="Standard Spend"/>
  </r>
  <r>
    <s v="6184-DYUOB"/>
    <s v="Female"/>
    <x v="0"/>
    <n v="3"/>
    <x v="2"/>
    <x v="2"/>
    <n v="19.600000000000001"/>
    <n v="55.25"/>
    <x v="0"/>
    <s v="Yes"/>
    <x v="1"/>
    <n v="55.25"/>
    <x v="0"/>
    <s v="Standard Spend"/>
  </r>
  <r>
    <s v="9207-ZPANB"/>
    <s v="Male"/>
    <x v="1"/>
    <n v="37"/>
    <x v="0"/>
    <x v="1"/>
    <n v="67.45"/>
    <n v="2443.3000000000002"/>
    <x v="0"/>
    <s v="No"/>
    <x v="0"/>
    <n v="2443.3000000000002"/>
    <x v="2"/>
    <s v="Standard Spend"/>
  </r>
  <r>
    <s v="5766-XQXMQ"/>
    <s v="Female"/>
    <x v="0"/>
    <n v="29"/>
    <x v="0"/>
    <x v="0"/>
    <n v="68.849999999999994"/>
    <n v="1970.5"/>
    <x v="1"/>
    <s v="Yes"/>
    <x v="2"/>
    <n v="1970.5"/>
    <x v="1"/>
    <s v="Standard Spend"/>
  </r>
  <r>
    <s v="9327-QSDED"/>
    <s v="Male"/>
    <x v="0"/>
    <n v="8"/>
    <x v="0"/>
    <x v="0"/>
    <n v="43.55"/>
    <n v="335.4"/>
    <x v="0"/>
    <s v="No"/>
    <x v="1"/>
    <n v="335.4"/>
    <x v="0"/>
    <s v="Standard Spend"/>
  </r>
  <r>
    <s v="1656-DRSMG"/>
    <s v="Female"/>
    <x v="0"/>
    <n v="63"/>
    <x v="1"/>
    <x v="1"/>
    <n v="109.85"/>
    <n v="7002.95"/>
    <x v="0"/>
    <s v="Yes"/>
    <x v="3"/>
    <n v="7002.95"/>
    <x v="2"/>
    <s v="High Spend"/>
  </r>
  <r>
    <s v="3012-VFFMN"/>
    <s v="Female"/>
    <x v="0"/>
    <n v="7"/>
    <x v="2"/>
    <x v="2"/>
    <n v="20.65"/>
    <n v="158.94999999999999"/>
    <x v="0"/>
    <s v="No"/>
    <x v="1"/>
    <n v="158.94999999999999"/>
    <x v="0"/>
    <s v="Standard Spend"/>
  </r>
  <r>
    <s v="2984-AFWNC"/>
    <s v="Female"/>
    <x v="0"/>
    <n v="3"/>
    <x v="1"/>
    <x v="0"/>
    <n v="95.4"/>
    <n v="293.14999999999998"/>
    <x v="0"/>
    <s v="No"/>
    <x v="0"/>
    <n v="293.14999999999998"/>
    <x v="0"/>
    <s v="Standard Spend"/>
  </r>
  <r>
    <s v="0640-YJTPY"/>
    <s v="Male"/>
    <x v="2"/>
    <n v="72"/>
    <x v="2"/>
    <x v="2"/>
    <n v="21"/>
    <n v="1493.75"/>
    <x v="0"/>
    <s v="No"/>
    <x v="2"/>
    <n v="1493.75"/>
    <x v="2"/>
    <s v="Standard Spend"/>
  </r>
  <r>
    <s v="8096-LOIST"/>
    <s v="Female"/>
    <x v="0"/>
    <n v="19"/>
    <x v="0"/>
    <x v="0"/>
    <n v="56.2"/>
    <n v="1093.4000000000001"/>
    <x v="0"/>
    <s v="Yes"/>
    <x v="0"/>
    <n v="1093.4000000000001"/>
    <x v="1"/>
    <s v="Standard Spend"/>
  </r>
  <r>
    <s v="9764-REAFF"/>
    <s v="Female"/>
    <x v="2"/>
    <n v="59"/>
    <x v="2"/>
    <x v="2"/>
    <n v="18.399999999999999"/>
    <n v="1057.8499999999999"/>
    <x v="0"/>
    <s v="No"/>
    <x v="2"/>
    <n v="1057.8499999999999"/>
    <x v="2"/>
    <s v="Standard Spend"/>
  </r>
  <r>
    <s v="3703-VAVCL"/>
    <s v="Male"/>
    <x v="0"/>
    <n v="2"/>
    <x v="1"/>
    <x v="1"/>
    <n v="90"/>
    <n v="190.05"/>
    <x v="1"/>
    <s v="No"/>
    <x v="3"/>
    <n v="190.05"/>
    <x v="0"/>
    <s v="Standard Spend"/>
  </r>
  <r>
    <s v="7107-UBYKY"/>
    <s v="Female"/>
    <x v="0"/>
    <n v="35"/>
    <x v="2"/>
    <x v="2"/>
    <n v="25.75"/>
    <n v="882.55"/>
    <x v="0"/>
    <s v="Yes"/>
    <x v="0"/>
    <n v="882.55"/>
    <x v="1"/>
    <s v="Standard Spend"/>
  </r>
  <r>
    <s v="4881-GQJTW"/>
    <s v="Male"/>
    <x v="0"/>
    <n v="14"/>
    <x v="2"/>
    <x v="2"/>
    <n v="19.600000000000001"/>
    <n v="300.39999999999998"/>
    <x v="0"/>
    <s v="No"/>
    <x v="3"/>
    <n v="300.39999999999998"/>
    <x v="1"/>
    <s v="Standard Spend"/>
  </r>
  <r>
    <s v="8519-QJGJD"/>
    <s v="Female"/>
    <x v="0"/>
    <n v="14"/>
    <x v="1"/>
    <x v="0"/>
    <n v="75.349999999999994"/>
    <n v="1025.95"/>
    <x v="1"/>
    <s v="No"/>
    <x v="0"/>
    <n v="1025.95"/>
    <x v="1"/>
    <s v="Standard Spend"/>
  </r>
  <r>
    <s v="7876-DNYAP"/>
    <s v="Female"/>
    <x v="2"/>
    <n v="69"/>
    <x v="2"/>
    <x v="2"/>
    <n v="19.8"/>
    <n v="1436.95"/>
    <x v="0"/>
    <s v="No"/>
    <x v="3"/>
    <n v="1436.95"/>
    <x v="2"/>
    <s v="Standard Spend"/>
  </r>
  <r>
    <s v="7905-NJMXS"/>
    <s v="Male"/>
    <x v="0"/>
    <n v="7"/>
    <x v="0"/>
    <x v="1"/>
    <n v="64.2"/>
    <n v="475"/>
    <x v="0"/>
    <s v="No"/>
    <x v="0"/>
    <n v="475"/>
    <x v="0"/>
    <s v="Standard Spend"/>
  </r>
  <r>
    <s v="2882-WDTBA"/>
    <s v="Male"/>
    <x v="2"/>
    <n v="69"/>
    <x v="0"/>
    <x v="1"/>
    <n v="75.75"/>
    <n v="5388.15"/>
    <x v="0"/>
    <s v="Yes"/>
    <x v="2"/>
    <n v="5388.15"/>
    <x v="2"/>
    <s v="High Spend"/>
  </r>
  <r>
    <s v="2091-GPPIQ"/>
    <s v="Female"/>
    <x v="2"/>
    <n v="72"/>
    <x v="0"/>
    <x v="1"/>
    <n v="78.95"/>
    <n v="5730.15"/>
    <x v="0"/>
    <s v="Yes"/>
    <x v="0"/>
    <n v="5730.15"/>
    <x v="2"/>
    <s v="High Spend"/>
  </r>
  <r>
    <s v="6326-MTTXK"/>
    <s v="Male"/>
    <x v="0"/>
    <n v="8"/>
    <x v="1"/>
    <x v="0"/>
    <n v="100.85"/>
    <n v="819.55"/>
    <x v="1"/>
    <s v="No"/>
    <x v="0"/>
    <n v="819.55"/>
    <x v="0"/>
    <s v="Standard Spend"/>
  </r>
  <r>
    <s v="5071-FBJFS"/>
    <s v="Female"/>
    <x v="0"/>
    <n v="4"/>
    <x v="0"/>
    <x v="0"/>
    <n v="50.3"/>
    <n v="217.1"/>
    <x v="0"/>
    <s v="No"/>
    <x v="0"/>
    <n v="217.1"/>
    <x v="0"/>
    <s v="Standard Spend"/>
  </r>
  <r>
    <s v="2796-UUZZO"/>
    <s v="Male"/>
    <x v="0"/>
    <n v="63"/>
    <x v="1"/>
    <x v="0"/>
    <n v="80.3"/>
    <n v="4896.3500000000004"/>
    <x v="0"/>
    <s v="Yes"/>
    <x v="3"/>
    <n v="4896.3500000000004"/>
    <x v="2"/>
    <s v="High Spend"/>
  </r>
  <r>
    <s v="2429-AYKKO"/>
    <s v="Male"/>
    <x v="2"/>
    <n v="72"/>
    <x v="2"/>
    <x v="2"/>
    <n v="19.850000000000001"/>
    <n v="1434.1"/>
    <x v="0"/>
    <s v="No"/>
    <x v="2"/>
    <n v="1434.1"/>
    <x v="2"/>
    <s v="Standard Spend"/>
  </r>
  <r>
    <s v="9798-OPFEM"/>
    <s v="Female"/>
    <x v="2"/>
    <n v="46"/>
    <x v="2"/>
    <x v="2"/>
    <n v="21.1"/>
    <n v="937.1"/>
    <x v="0"/>
    <s v="Yes"/>
    <x v="0"/>
    <n v="937.1"/>
    <x v="2"/>
    <s v="Standard Spend"/>
  </r>
  <r>
    <s v="0330-IVZHA"/>
    <s v="Female"/>
    <x v="0"/>
    <n v="5"/>
    <x v="1"/>
    <x v="0"/>
    <n v="69.95"/>
    <n v="330.15"/>
    <x v="1"/>
    <s v="No"/>
    <x v="0"/>
    <n v="330.15"/>
    <x v="0"/>
    <s v="Standard Spend"/>
  </r>
  <r>
    <s v="3794-NFNCH"/>
    <s v="Male"/>
    <x v="0"/>
    <n v="30"/>
    <x v="0"/>
    <x v="0"/>
    <n v="50"/>
    <n v="1474.9"/>
    <x v="0"/>
    <s v="Yes"/>
    <x v="1"/>
    <n v="1474.9"/>
    <x v="1"/>
    <s v="Standard Spend"/>
  </r>
  <r>
    <s v="5193-QLVZB"/>
    <s v="Male"/>
    <x v="2"/>
    <n v="63"/>
    <x v="1"/>
    <x v="0"/>
    <n v="104.75"/>
    <n v="6536.5"/>
    <x v="0"/>
    <s v="Yes"/>
    <x v="2"/>
    <n v="6536.5"/>
    <x v="2"/>
    <s v="High Spend"/>
  </r>
  <r>
    <s v="7114-AEOZE"/>
    <s v="Female"/>
    <x v="2"/>
    <n v="60"/>
    <x v="2"/>
    <x v="2"/>
    <n v="19.850000000000001"/>
    <n v="1128.0999999999999"/>
    <x v="0"/>
    <s v="No"/>
    <x v="2"/>
    <n v="1128.0999999999999"/>
    <x v="2"/>
    <s v="Standard Spend"/>
  </r>
  <r>
    <s v="2886-KEFUM"/>
    <s v="Female"/>
    <x v="1"/>
    <n v="63"/>
    <x v="1"/>
    <x v="0"/>
    <n v="107.5"/>
    <n v="6873.75"/>
    <x v="1"/>
    <s v="Yes"/>
    <x v="0"/>
    <n v="6873.75"/>
    <x v="2"/>
    <s v="High Spend"/>
  </r>
  <r>
    <s v="5522-NYKPB"/>
    <s v="Male"/>
    <x v="0"/>
    <n v="25"/>
    <x v="1"/>
    <x v="1"/>
    <n v="85.9"/>
    <n v="2199.0500000000002"/>
    <x v="0"/>
    <s v="No"/>
    <x v="0"/>
    <n v="2199.0500000000002"/>
    <x v="1"/>
    <s v="Standard Spend"/>
  </r>
  <r>
    <s v="4237-RLAQD"/>
    <s v="Male"/>
    <x v="0"/>
    <n v="1"/>
    <x v="0"/>
    <x v="0"/>
    <n v="45.85"/>
    <n v="45.85"/>
    <x v="1"/>
    <s v="Yes"/>
    <x v="1"/>
    <n v="45.85"/>
    <x v="0"/>
    <s v="Standard Spend"/>
  </r>
  <r>
    <s v="9957-YODKZ"/>
    <s v="Male"/>
    <x v="0"/>
    <n v="6"/>
    <x v="1"/>
    <x v="0"/>
    <n v="80.8"/>
    <n v="457.1"/>
    <x v="0"/>
    <s v="Yes"/>
    <x v="0"/>
    <n v="457.1"/>
    <x v="0"/>
    <s v="Standard Spend"/>
  </r>
  <r>
    <s v="6518-KZXCB"/>
    <s v="Male"/>
    <x v="2"/>
    <n v="22"/>
    <x v="2"/>
    <x v="2"/>
    <n v="25.25"/>
    <n v="566.5"/>
    <x v="0"/>
    <s v="No"/>
    <x v="1"/>
    <n v="566.5"/>
    <x v="1"/>
    <s v="Standard Spend"/>
  </r>
  <r>
    <s v="2245-ADZFJ"/>
    <s v="Female"/>
    <x v="2"/>
    <n v="31"/>
    <x v="0"/>
    <x v="1"/>
    <n v="80.55"/>
    <n v="2471.6"/>
    <x v="0"/>
    <s v="No"/>
    <x v="2"/>
    <n v="2471.6"/>
    <x v="1"/>
    <s v="Standard Spend"/>
  </r>
  <r>
    <s v="7776-QGYJC"/>
    <s v="Female"/>
    <x v="0"/>
    <n v="39"/>
    <x v="1"/>
    <x v="1"/>
    <n v="81.5"/>
    <n v="3107.3"/>
    <x v="0"/>
    <s v="Yes"/>
    <x v="2"/>
    <n v="3107.3"/>
    <x v="2"/>
    <s v="High Spend"/>
  </r>
  <r>
    <s v="9313-QOLTZ"/>
    <s v="Male"/>
    <x v="0"/>
    <n v="26"/>
    <x v="2"/>
    <x v="2"/>
    <n v="20.9"/>
    <n v="518.29999999999995"/>
    <x v="0"/>
    <s v="No"/>
    <x v="1"/>
    <n v="518.29999999999995"/>
    <x v="1"/>
    <s v="Standard Spend"/>
  </r>
  <r>
    <s v="9651-GTSAQ"/>
    <s v="Female"/>
    <x v="1"/>
    <n v="53"/>
    <x v="1"/>
    <x v="0"/>
    <n v="106.1"/>
    <n v="5769.75"/>
    <x v="1"/>
    <s v="Yes"/>
    <x v="2"/>
    <n v="5769.75"/>
    <x v="2"/>
    <s v="High Spend"/>
  </r>
  <r>
    <s v="3186-BAXNB"/>
    <s v="Female"/>
    <x v="0"/>
    <n v="1"/>
    <x v="1"/>
    <x v="1"/>
    <n v="91.7"/>
    <n v="91.7"/>
    <x v="1"/>
    <s v="No"/>
    <x v="0"/>
    <n v="91.7"/>
    <x v="0"/>
    <s v="Standard Spend"/>
  </r>
  <r>
    <s v="4672-FOTSD"/>
    <s v="Male"/>
    <x v="0"/>
    <n v="12"/>
    <x v="0"/>
    <x v="1"/>
    <n v="67.25"/>
    <n v="832.3"/>
    <x v="0"/>
    <s v="Yes"/>
    <x v="0"/>
    <n v="832.3"/>
    <x v="0"/>
    <s v="Standard Spend"/>
  </r>
  <r>
    <s v="0637-YLETY"/>
    <s v="Female"/>
    <x v="0"/>
    <n v="16"/>
    <x v="1"/>
    <x v="0"/>
    <n v="95.6"/>
    <n v="1555.65"/>
    <x v="1"/>
    <s v="Yes"/>
    <x v="3"/>
    <n v="1555.65"/>
    <x v="1"/>
    <s v="Standard Spend"/>
  </r>
  <r>
    <s v="9818-XQCUV"/>
    <s v="Female"/>
    <x v="0"/>
    <n v="2"/>
    <x v="2"/>
    <x v="2"/>
    <n v="20.350000000000001"/>
    <n v="45.3"/>
    <x v="0"/>
    <s v="No"/>
    <x v="1"/>
    <n v="45.3"/>
    <x v="0"/>
    <s v="Standard Spend"/>
  </r>
  <r>
    <s v="7338-ERIVA"/>
    <s v="Male"/>
    <x v="1"/>
    <n v="39"/>
    <x v="0"/>
    <x v="1"/>
    <n v="45.05"/>
    <n v="1790.6"/>
    <x v="0"/>
    <s v="No"/>
    <x v="2"/>
    <n v="1790.6"/>
    <x v="2"/>
    <s v="Standard Spend"/>
  </r>
  <r>
    <s v="1157-BQCUW"/>
    <s v="Male"/>
    <x v="0"/>
    <n v="1"/>
    <x v="1"/>
    <x v="0"/>
    <n v="74.95"/>
    <n v="74.95"/>
    <x v="1"/>
    <s v="Yes"/>
    <x v="0"/>
    <n v="74.95"/>
    <x v="0"/>
    <s v="Standard Spend"/>
  </r>
  <r>
    <s v="8259-NFJTV"/>
    <s v="Female"/>
    <x v="0"/>
    <n v="7"/>
    <x v="0"/>
    <x v="1"/>
    <n v="34.65"/>
    <n v="246.6"/>
    <x v="0"/>
    <s v="No"/>
    <x v="1"/>
    <n v="246.6"/>
    <x v="0"/>
    <s v="Standard Spend"/>
  </r>
  <r>
    <s v="3223-DWFIO"/>
    <s v="Male"/>
    <x v="0"/>
    <n v="4"/>
    <x v="1"/>
    <x v="0"/>
    <n v="69.349999999999994"/>
    <n v="261.64999999999998"/>
    <x v="0"/>
    <s v="No"/>
    <x v="0"/>
    <n v="261.64999999999998"/>
    <x v="0"/>
    <s v="Standard Spend"/>
  </r>
  <r>
    <s v="2660-EMUBI"/>
    <s v="Male"/>
    <x v="0"/>
    <n v="10"/>
    <x v="1"/>
    <x v="0"/>
    <n v="95.35"/>
    <n v="898.35"/>
    <x v="1"/>
    <s v="Yes"/>
    <x v="0"/>
    <n v="898.35"/>
    <x v="0"/>
    <s v="Standard Spend"/>
  </r>
  <r>
    <s v="6968-GMKPR"/>
    <s v="Female"/>
    <x v="0"/>
    <n v="55"/>
    <x v="1"/>
    <x v="0"/>
    <n v="81.55"/>
    <n v="4509.5"/>
    <x v="0"/>
    <s v="Yes"/>
    <x v="0"/>
    <n v="4509.5"/>
    <x v="2"/>
    <s v="High Spend"/>
  </r>
  <r>
    <s v="4751-ERMAN"/>
    <s v="Male"/>
    <x v="2"/>
    <n v="72"/>
    <x v="0"/>
    <x v="0"/>
    <n v="75.400000000000006"/>
    <n v="5480.25"/>
    <x v="0"/>
    <s v="Yes"/>
    <x v="2"/>
    <n v="5480.25"/>
    <x v="2"/>
    <s v="High Spend"/>
  </r>
  <r>
    <s v="1436-ZMJAN"/>
    <s v="Female"/>
    <x v="0"/>
    <n v="10"/>
    <x v="0"/>
    <x v="0"/>
    <n v="67.8"/>
    <n v="653.15"/>
    <x v="0"/>
    <s v="Yes"/>
    <x v="3"/>
    <n v="653.15"/>
    <x v="0"/>
    <s v="Standard Spend"/>
  </r>
  <r>
    <s v="3292-PBZEJ"/>
    <s v="Male"/>
    <x v="0"/>
    <n v="11"/>
    <x v="1"/>
    <x v="1"/>
    <n v="111.4"/>
    <n v="1183.05"/>
    <x v="0"/>
    <s v="Yes"/>
    <x v="0"/>
    <n v="1183.05"/>
    <x v="0"/>
    <s v="Standard Spend"/>
  </r>
  <r>
    <s v="0799-DDIHE"/>
    <s v="Female"/>
    <x v="0"/>
    <n v="15"/>
    <x v="0"/>
    <x v="0"/>
    <n v="46.3"/>
    <n v="639.45000000000005"/>
    <x v="0"/>
    <s v="No"/>
    <x v="0"/>
    <n v="639.45000000000005"/>
    <x v="1"/>
    <s v="Standard Spend"/>
  </r>
  <r>
    <s v="3070-FNFZQ"/>
    <s v="Female"/>
    <x v="2"/>
    <n v="23"/>
    <x v="2"/>
    <x v="2"/>
    <n v="20.399999999999999"/>
    <n v="478.75"/>
    <x v="0"/>
    <s v="No"/>
    <x v="2"/>
    <n v="478.75"/>
    <x v="1"/>
    <s v="Standard Spend"/>
  </r>
  <r>
    <s v="2812-SFXMJ"/>
    <s v="Male"/>
    <x v="0"/>
    <n v="1"/>
    <x v="2"/>
    <x v="2"/>
    <n v="20.05"/>
    <n v="20.05"/>
    <x v="0"/>
    <s v="No"/>
    <x v="1"/>
    <n v="20.05"/>
    <x v="0"/>
    <s v="Standard Spend"/>
  </r>
  <r>
    <s v="7675-OZCZG"/>
    <s v="Female"/>
    <x v="0"/>
    <n v="3"/>
    <x v="0"/>
    <x v="0"/>
    <n v="45"/>
    <n v="127.1"/>
    <x v="1"/>
    <s v="No"/>
    <x v="0"/>
    <n v="127.1"/>
    <x v="0"/>
    <s v="Standard Spend"/>
  </r>
  <r>
    <s v="5014-WUQMG"/>
    <s v="Male"/>
    <x v="1"/>
    <n v="47"/>
    <x v="1"/>
    <x v="0"/>
    <n v="96.1"/>
    <n v="4391.45"/>
    <x v="0"/>
    <s v="Yes"/>
    <x v="0"/>
    <n v="4391.45"/>
    <x v="2"/>
    <s v="High Spend"/>
  </r>
  <r>
    <s v="5312-TSZVC"/>
    <s v="Female"/>
    <x v="1"/>
    <n v="15"/>
    <x v="2"/>
    <x v="2"/>
    <n v="19.649999999999999"/>
    <n v="270.60000000000002"/>
    <x v="0"/>
    <s v="No"/>
    <x v="1"/>
    <n v="270.60000000000002"/>
    <x v="1"/>
    <s v="Standard Spend"/>
  </r>
  <r>
    <s v="2003-CKLOR"/>
    <s v="Male"/>
    <x v="0"/>
    <n v="66"/>
    <x v="1"/>
    <x v="0"/>
    <n v="99.5"/>
    <n v="6710.5"/>
    <x v="1"/>
    <s v="No"/>
    <x v="0"/>
    <n v="6710.5"/>
    <x v="2"/>
    <s v="High Spend"/>
  </r>
  <r>
    <s v="0993-OSGPT"/>
    <s v="Female"/>
    <x v="1"/>
    <n v="68"/>
    <x v="0"/>
    <x v="1"/>
    <n v="60.65"/>
    <n v="3975.9"/>
    <x v="0"/>
    <s v="Yes"/>
    <x v="2"/>
    <n v="3975.9"/>
    <x v="2"/>
    <s v="High Spend"/>
  </r>
  <r>
    <s v="9254-RBFON"/>
    <s v="Female"/>
    <x v="1"/>
    <n v="17"/>
    <x v="1"/>
    <x v="1"/>
    <n v="98.6"/>
    <n v="1704.95"/>
    <x v="1"/>
    <s v="No"/>
    <x v="2"/>
    <n v="1704.95"/>
    <x v="1"/>
    <s v="Standard Spend"/>
  </r>
  <r>
    <s v="1205-WNWPJ"/>
    <s v="Female"/>
    <x v="0"/>
    <n v="7"/>
    <x v="0"/>
    <x v="1"/>
    <n v="59.5"/>
    <n v="415.95"/>
    <x v="1"/>
    <s v="Yes"/>
    <x v="1"/>
    <n v="415.95"/>
    <x v="0"/>
    <s v="Standard Spend"/>
  </r>
  <r>
    <s v="9391-EOYLI"/>
    <s v="Male"/>
    <x v="0"/>
    <n v="12"/>
    <x v="1"/>
    <x v="0"/>
    <n v="80.45"/>
    <n v="950.2"/>
    <x v="1"/>
    <s v="Yes"/>
    <x v="0"/>
    <n v="950.2"/>
    <x v="0"/>
    <s v="Standard Spend"/>
  </r>
  <r>
    <s v="7108-DGVUU"/>
    <s v="Female"/>
    <x v="1"/>
    <n v="21"/>
    <x v="0"/>
    <x v="0"/>
    <n v="71.7"/>
    <n v="1497.05"/>
    <x v="0"/>
    <s v="No"/>
    <x v="2"/>
    <n v="1497.05"/>
    <x v="1"/>
    <s v="Standard Spend"/>
  </r>
  <r>
    <s v="2782-JEEBU"/>
    <s v="Male"/>
    <x v="0"/>
    <n v="21"/>
    <x v="0"/>
    <x v="1"/>
    <n v="36"/>
    <n v="780.15"/>
    <x v="0"/>
    <s v="Yes"/>
    <x v="1"/>
    <n v="780.15"/>
    <x v="1"/>
    <s v="Standard Spend"/>
  </r>
  <r>
    <s v="5127-BZENZ"/>
    <s v="Female"/>
    <x v="1"/>
    <n v="56"/>
    <x v="0"/>
    <x v="0"/>
    <n v="65.2"/>
    <n v="3512.15"/>
    <x v="0"/>
    <s v="No"/>
    <x v="2"/>
    <n v="3512.15"/>
    <x v="2"/>
    <s v="High Spend"/>
  </r>
  <r>
    <s v="2720-FVBQP"/>
    <s v="Female"/>
    <x v="0"/>
    <n v="6"/>
    <x v="0"/>
    <x v="0"/>
    <n v="48.95"/>
    <n v="273.25"/>
    <x v="0"/>
    <s v="Yes"/>
    <x v="3"/>
    <n v="273.25"/>
    <x v="0"/>
    <s v="Standard Spend"/>
  </r>
  <r>
    <s v="9906-NHHVC"/>
    <s v="Female"/>
    <x v="2"/>
    <n v="65"/>
    <x v="0"/>
    <x v="0"/>
    <n v="53.5"/>
    <n v="3517.9"/>
    <x v="0"/>
    <s v="Yes"/>
    <x v="2"/>
    <n v="3517.9"/>
    <x v="2"/>
    <s v="High Spend"/>
  </r>
  <r>
    <s v="4522-XRWWI"/>
    <s v="Male"/>
    <x v="1"/>
    <n v="42"/>
    <x v="0"/>
    <x v="1"/>
    <n v="80.45"/>
    <n v="3375.9"/>
    <x v="0"/>
    <s v="No"/>
    <x v="3"/>
    <n v="3375.9"/>
    <x v="2"/>
    <s v="High Spend"/>
  </r>
  <r>
    <s v="3766-EJLFL"/>
    <s v="Female"/>
    <x v="2"/>
    <n v="68"/>
    <x v="1"/>
    <x v="1"/>
    <n v="109.05"/>
    <n v="7508.55"/>
    <x v="0"/>
    <s v="Yes"/>
    <x v="2"/>
    <n v="7508.55"/>
    <x v="2"/>
    <s v="High Spend"/>
  </r>
  <r>
    <s v="5939-SXWHM"/>
    <s v="Male"/>
    <x v="2"/>
    <n v="48"/>
    <x v="2"/>
    <x v="2"/>
    <n v="26.3"/>
    <n v="1245.05"/>
    <x v="0"/>
    <s v="No"/>
    <x v="2"/>
    <n v="1245.05"/>
    <x v="2"/>
    <s v="Standard Spend"/>
  </r>
  <r>
    <s v="8152-UOBNY"/>
    <s v="Female"/>
    <x v="1"/>
    <n v="50"/>
    <x v="1"/>
    <x v="1"/>
    <n v="106.8"/>
    <n v="5347.95"/>
    <x v="0"/>
    <s v="Yes"/>
    <x v="0"/>
    <n v="5347.95"/>
    <x v="2"/>
    <s v="High Spend"/>
  </r>
  <r>
    <s v="7351-KYHQH"/>
    <s v="Female"/>
    <x v="0"/>
    <n v="7"/>
    <x v="0"/>
    <x v="0"/>
    <n v="64.95"/>
    <n v="493.65"/>
    <x v="0"/>
    <s v="Yes"/>
    <x v="0"/>
    <n v="493.65"/>
    <x v="0"/>
    <s v="Standard Spend"/>
  </r>
  <r>
    <s v="7643-RCHXS"/>
    <s v="Female"/>
    <x v="2"/>
    <n v="63"/>
    <x v="2"/>
    <x v="2"/>
    <n v="19.350000000000001"/>
    <n v="1263.8499999999999"/>
    <x v="0"/>
    <s v="No"/>
    <x v="0"/>
    <n v="1263.8499999999999"/>
    <x v="2"/>
    <s v="Standard Spend"/>
  </r>
  <r>
    <s v="8246-SHFGA"/>
    <s v="Male"/>
    <x v="0"/>
    <n v="17"/>
    <x v="2"/>
    <x v="2"/>
    <n v="21.1"/>
    <n v="385.55"/>
    <x v="0"/>
    <s v="No"/>
    <x v="3"/>
    <n v="385.55"/>
    <x v="1"/>
    <s v="Standard Spend"/>
  </r>
  <r>
    <s v="8387-MOJJT"/>
    <s v="Female"/>
    <x v="0"/>
    <n v="42"/>
    <x v="1"/>
    <x v="0"/>
    <n v="77.95"/>
    <n v="3384"/>
    <x v="1"/>
    <s v="Yes"/>
    <x v="3"/>
    <n v="3384"/>
    <x v="2"/>
    <s v="High Spend"/>
  </r>
  <r>
    <s v="0620-XEFWH"/>
    <s v="Male"/>
    <x v="0"/>
    <n v="4"/>
    <x v="2"/>
    <x v="2"/>
    <n v="18.850000000000001"/>
    <n v="84.2"/>
    <x v="0"/>
    <s v="No"/>
    <x v="1"/>
    <n v="84.2"/>
    <x v="0"/>
    <s v="Standard Spend"/>
  </r>
  <r>
    <s v="6485-QXWWE"/>
    <s v="Female"/>
    <x v="2"/>
    <n v="62"/>
    <x v="2"/>
    <x v="2"/>
    <n v="26"/>
    <n v="1638.7"/>
    <x v="0"/>
    <s v="No"/>
    <x v="2"/>
    <n v="1638.7"/>
    <x v="2"/>
    <s v="Standard Spend"/>
  </r>
  <r>
    <s v="2761-OCIAX"/>
    <s v="Male"/>
    <x v="0"/>
    <n v="2"/>
    <x v="1"/>
    <x v="0"/>
    <n v="74.7"/>
    <n v="165.4"/>
    <x v="1"/>
    <s v="Yes"/>
    <x v="0"/>
    <n v="165.4"/>
    <x v="0"/>
    <s v="Standard Spend"/>
  </r>
  <r>
    <s v="7321-VGNKU"/>
    <s v="Female"/>
    <x v="0"/>
    <n v="2"/>
    <x v="1"/>
    <x v="0"/>
    <n v="70.349999999999994"/>
    <n v="120.25"/>
    <x v="0"/>
    <s v="Yes"/>
    <x v="0"/>
    <n v="120.25"/>
    <x v="0"/>
    <s v="Standard Spend"/>
  </r>
  <r>
    <s v="5327-CNLUQ"/>
    <s v="Male"/>
    <x v="2"/>
    <n v="48"/>
    <x v="1"/>
    <x v="0"/>
    <n v="96.9"/>
    <n v="4473.45"/>
    <x v="0"/>
    <s v="Yes"/>
    <x v="2"/>
    <n v="4473.45"/>
    <x v="2"/>
    <s v="High Spend"/>
  </r>
  <r>
    <s v="7552-KEYGT"/>
    <s v="Male"/>
    <x v="2"/>
    <n v="27"/>
    <x v="2"/>
    <x v="2"/>
    <n v="19.55"/>
    <n v="520.54999999999995"/>
    <x v="0"/>
    <s v="No"/>
    <x v="2"/>
    <n v="520.54999999999995"/>
    <x v="1"/>
    <s v="Standard Spend"/>
  </r>
  <r>
    <s v="5816-JMLGY"/>
    <s v="Female"/>
    <x v="2"/>
    <n v="70"/>
    <x v="0"/>
    <x v="1"/>
    <n v="80.400000000000006"/>
    <n v="5717.85"/>
    <x v="0"/>
    <s v="Yes"/>
    <x v="2"/>
    <n v="5717.85"/>
    <x v="2"/>
    <s v="High Spend"/>
  </r>
  <r>
    <s v="3068-OMWZA"/>
    <s v="Male"/>
    <x v="0"/>
    <n v="1"/>
    <x v="1"/>
    <x v="0"/>
    <n v="88.8"/>
    <n v="88.8"/>
    <x v="1"/>
    <s v="Yes"/>
    <x v="0"/>
    <n v="88.8"/>
    <x v="0"/>
    <s v="Standard Spend"/>
  </r>
  <r>
    <s v="2927-QRRQV"/>
    <s v="Male"/>
    <x v="1"/>
    <n v="46"/>
    <x v="1"/>
    <x v="0"/>
    <n v="94.65"/>
    <n v="4312.5"/>
    <x v="0"/>
    <s v="Yes"/>
    <x v="0"/>
    <n v="4312.5"/>
    <x v="2"/>
    <s v="High Spend"/>
  </r>
  <r>
    <s v="6032-KRXXO"/>
    <s v="Male"/>
    <x v="0"/>
    <n v="30"/>
    <x v="1"/>
    <x v="0"/>
    <n v="90.25"/>
    <n v="2755.35"/>
    <x v="1"/>
    <s v="Yes"/>
    <x v="0"/>
    <n v="2755.35"/>
    <x v="1"/>
    <s v="High Spend"/>
  </r>
  <r>
    <s v="7459-RRWQZ"/>
    <s v="Female"/>
    <x v="0"/>
    <n v="15"/>
    <x v="0"/>
    <x v="0"/>
    <n v="64.650000000000006"/>
    <n v="994.55"/>
    <x v="1"/>
    <s v="Yes"/>
    <x v="2"/>
    <n v="994.55"/>
    <x v="1"/>
    <s v="Standard Spend"/>
  </r>
  <r>
    <s v="6265-SXWBU"/>
    <s v="Male"/>
    <x v="1"/>
    <n v="69"/>
    <x v="1"/>
    <x v="0"/>
    <n v="95.75"/>
    <n v="6511.25"/>
    <x v="0"/>
    <s v="No"/>
    <x v="3"/>
    <n v="6511.25"/>
    <x v="2"/>
    <s v="High Spend"/>
  </r>
  <r>
    <s v="7941-RCJOW"/>
    <s v="Male"/>
    <x v="2"/>
    <n v="65"/>
    <x v="2"/>
    <x v="2"/>
    <n v="19.55"/>
    <n v="1218.6500000000001"/>
    <x v="0"/>
    <s v="Yes"/>
    <x v="3"/>
    <n v="1218.6500000000001"/>
    <x v="2"/>
    <s v="Standard Spend"/>
  </r>
  <r>
    <s v="6374-NTQLP"/>
    <s v="Male"/>
    <x v="2"/>
    <n v="72"/>
    <x v="1"/>
    <x v="1"/>
    <n v="104.1"/>
    <n v="7447.7"/>
    <x v="0"/>
    <s v="Yes"/>
    <x v="3"/>
    <n v="7447.7"/>
    <x v="2"/>
    <s v="High Spend"/>
  </r>
  <r>
    <s v="4154-AQUGT"/>
    <s v="Male"/>
    <x v="0"/>
    <n v="13"/>
    <x v="1"/>
    <x v="1"/>
    <n v="89.05"/>
    <n v="1169.3499999999999"/>
    <x v="1"/>
    <s v="Yes"/>
    <x v="2"/>
    <n v="1169.3499999999999"/>
    <x v="1"/>
    <s v="Standard Spend"/>
  </r>
  <r>
    <s v="2387-KDZQY"/>
    <s v="Male"/>
    <x v="1"/>
    <n v="17"/>
    <x v="2"/>
    <x v="2"/>
    <n v="20.100000000000001"/>
    <n v="279.5"/>
    <x v="0"/>
    <s v="Yes"/>
    <x v="1"/>
    <n v="279.5"/>
    <x v="1"/>
    <s v="Standard Spend"/>
  </r>
  <r>
    <s v="3584-WKTTW"/>
    <s v="Male"/>
    <x v="1"/>
    <n v="51"/>
    <x v="1"/>
    <x v="1"/>
    <n v="111.55"/>
    <n v="5720.35"/>
    <x v="0"/>
    <s v="Yes"/>
    <x v="0"/>
    <n v="5720.35"/>
    <x v="2"/>
    <s v="High Spend"/>
  </r>
  <r>
    <s v="3399-BMLVW"/>
    <s v="Male"/>
    <x v="2"/>
    <n v="51"/>
    <x v="0"/>
    <x v="1"/>
    <n v="60.5"/>
    <n v="3121.45"/>
    <x v="0"/>
    <s v="No"/>
    <x v="3"/>
    <n v="3121.45"/>
    <x v="2"/>
    <s v="High Spend"/>
  </r>
  <r>
    <s v="1971-DTCZB"/>
    <s v="Female"/>
    <x v="2"/>
    <n v="72"/>
    <x v="0"/>
    <x v="1"/>
    <n v="90.95"/>
    <n v="6468.6"/>
    <x v="0"/>
    <s v="Yes"/>
    <x v="2"/>
    <n v="6468.6"/>
    <x v="2"/>
    <s v="High Spend"/>
  </r>
  <r>
    <s v="3092-IGHWF"/>
    <s v="Male"/>
    <x v="1"/>
    <n v="67"/>
    <x v="1"/>
    <x v="0"/>
    <n v="87.4"/>
    <n v="5918.8"/>
    <x v="1"/>
    <s v="No"/>
    <x v="0"/>
    <n v="5918.8"/>
    <x v="2"/>
    <s v="High Spend"/>
  </r>
  <r>
    <s v="3374-PZLXD"/>
    <s v="Male"/>
    <x v="0"/>
    <n v="34"/>
    <x v="2"/>
    <x v="2"/>
    <n v="19.7"/>
    <n v="675.6"/>
    <x v="0"/>
    <s v="No"/>
    <x v="1"/>
    <n v="675.6"/>
    <x v="1"/>
    <s v="Standard Spend"/>
  </r>
  <r>
    <s v="3813-DHBBB"/>
    <s v="Male"/>
    <x v="2"/>
    <n v="67"/>
    <x v="0"/>
    <x v="1"/>
    <n v="50.95"/>
    <n v="3521.7"/>
    <x v="0"/>
    <s v="Yes"/>
    <x v="2"/>
    <n v="3521.7"/>
    <x v="2"/>
    <s v="High Spend"/>
  </r>
  <r>
    <s v="2812-REYAT"/>
    <s v="Female"/>
    <x v="1"/>
    <n v="49"/>
    <x v="2"/>
    <x v="2"/>
    <n v="20.05"/>
    <n v="923.1"/>
    <x v="0"/>
    <s v="Yes"/>
    <x v="2"/>
    <n v="923.1"/>
    <x v="2"/>
    <s v="Standard Spend"/>
  </r>
  <r>
    <s v="6518-PPLMZ"/>
    <s v="Male"/>
    <x v="2"/>
    <n v="53"/>
    <x v="2"/>
    <x v="2"/>
    <n v="19.399999999999999"/>
    <n v="1110.3499999999999"/>
    <x v="0"/>
    <s v="Yes"/>
    <x v="1"/>
    <n v="1110.3499999999999"/>
    <x v="2"/>
    <s v="Standard Spend"/>
  </r>
  <r>
    <s v="4939-KYYPY"/>
    <s v="Male"/>
    <x v="0"/>
    <n v="27"/>
    <x v="0"/>
    <x v="1"/>
    <n v="59.45"/>
    <n v="1611.65"/>
    <x v="0"/>
    <s v="No"/>
    <x v="0"/>
    <n v="1611.65"/>
    <x v="1"/>
    <s v="Standard Spend"/>
  </r>
  <r>
    <s v="8017-LXHFA"/>
    <s v="Female"/>
    <x v="0"/>
    <n v="23"/>
    <x v="1"/>
    <x v="0"/>
    <n v="94.75"/>
    <n v="2293.6"/>
    <x v="1"/>
    <s v="Yes"/>
    <x v="0"/>
    <n v="2293.6"/>
    <x v="1"/>
    <s v="Standard Spend"/>
  </r>
  <r>
    <s v="5930-GBIWP"/>
    <s v="Male"/>
    <x v="2"/>
    <n v="69"/>
    <x v="0"/>
    <x v="1"/>
    <n v="81.5"/>
    <n v="5553.25"/>
    <x v="0"/>
    <s v="Yes"/>
    <x v="3"/>
    <n v="5553.25"/>
    <x v="2"/>
    <s v="High Spend"/>
  </r>
  <r>
    <s v="6022-KOUQO"/>
    <s v="Female"/>
    <x v="0"/>
    <n v="2"/>
    <x v="0"/>
    <x v="1"/>
    <n v="29.05"/>
    <n v="44.75"/>
    <x v="0"/>
    <s v="No"/>
    <x v="2"/>
    <n v="44.75"/>
    <x v="0"/>
    <s v="Standard Spend"/>
  </r>
  <r>
    <s v="6352-TWCAU"/>
    <s v="Female"/>
    <x v="0"/>
    <n v="35"/>
    <x v="1"/>
    <x v="0"/>
    <n v="86.45"/>
    <n v="3029.1"/>
    <x v="1"/>
    <s v="Yes"/>
    <x v="0"/>
    <n v="3029.1"/>
    <x v="1"/>
    <s v="High Spend"/>
  </r>
  <r>
    <s v="2361-UPSND"/>
    <s v="Female"/>
    <x v="1"/>
    <n v="46"/>
    <x v="0"/>
    <x v="1"/>
    <n v="70.599999999999994"/>
    <n v="3231.05"/>
    <x v="0"/>
    <s v="No"/>
    <x v="1"/>
    <n v="3231.05"/>
    <x v="2"/>
    <s v="High Spend"/>
  </r>
  <r>
    <s v="6035-RIIOM"/>
    <s v="Female"/>
    <x v="2"/>
    <n v="54"/>
    <x v="1"/>
    <x v="0"/>
    <n v="97.2"/>
    <n v="5129.45"/>
    <x v="0"/>
    <s v="Yes"/>
    <x v="2"/>
    <n v="5129.45"/>
    <x v="2"/>
    <s v="High Spend"/>
  </r>
  <r>
    <s v="2929-QNSRW"/>
    <s v="Female"/>
    <x v="1"/>
    <n v="56"/>
    <x v="1"/>
    <x v="0"/>
    <n v="98.25"/>
    <n v="5508.35"/>
    <x v="1"/>
    <s v="Yes"/>
    <x v="0"/>
    <n v="5508.35"/>
    <x v="2"/>
    <s v="High Spend"/>
  </r>
  <r>
    <s v="1262-OPMFY"/>
    <s v="Female"/>
    <x v="0"/>
    <n v="9"/>
    <x v="1"/>
    <x v="0"/>
    <n v="75.75"/>
    <n v="655.9"/>
    <x v="1"/>
    <s v="Yes"/>
    <x v="2"/>
    <n v="655.9"/>
    <x v="0"/>
    <s v="Standard Spend"/>
  </r>
  <r>
    <s v="9504-DSHWM"/>
    <s v="Male"/>
    <x v="0"/>
    <n v="20"/>
    <x v="0"/>
    <x v="1"/>
    <n v="59.2"/>
    <n v="1191.2"/>
    <x v="0"/>
    <s v="No"/>
    <x v="2"/>
    <n v="1191.2"/>
    <x v="1"/>
    <s v="Standard Spend"/>
  </r>
  <r>
    <s v="5035-BVCXS"/>
    <s v="Male"/>
    <x v="0"/>
    <n v="11"/>
    <x v="1"/>
    <x v="0"/>
    <n v="75.900000000000006"/>
    <n v="866.4"/>
    <x v="0"/>
    <s v="Yes"/>
    <x v="1"/>
    <n v="866.4"/>
    <x v="0"/>
    <s v="Standard Spend"/>
  </r>
  <r>
    <s v="6267-DCFFZ"/>
    <s v="Female"/>
    <x v="0"/>
    <n v="30"/>
    <x v="1"/>
    <x v="0"/>
    <n v="90.05"/>
    <n v="2627.2"/>
    <x v="0"/>
    <s v="Yes"/>
    <x v="0"/>
    <n v="2627.2"/>
    <x v="1"/>
    <s v="High Spend"/>
  </r>
  <r>
    <s v="3533-UVMOM"/>
    <s v="Male"/>
    <x v="2"/>
    <n v="68"/>
    <x v="0"/>
    <x v="0"/>
    <n v="70.95"/>
    <n v="4741.45"/>
    <x v="0"/>
    <s v="No"/>
    <x v="2"/>
    <n v="4741.45"/>
    <x v="2"/>
    <s v="High Spend"/>
  </r>
  <r>
    <s v="2439-LYPMQ"/>
    <s v="Male"/>
    <x v="0"/>
    <n v="38"/>
    <x v="1"/>
    <x v="0"/>
    <n v="102.6"/>
    <n v="4009.2"/>
    <x v="0"/>
    <s v="Yes"/>
    <x v="0"/>
    <n v="4009.2"/>
    <x v="2"/>
    <s v="High Spend"/>
  </r>
  <r>
    <s v="4248-QPAVC"/>
    <s v="Female"/>
    <x v="0"/>
    <n v="17"/>
    <x v="1"/>
    <x v="0"/>
    <n v="85.35"/>
    <n v="1463.45"/>
    <x v="1"/>
    <s v="Yes"/>
    <x v="2"/>
    <n v="1463.45"/>
    <x v="1"/>
    <s v="Standard Spend"/>
  </r>
  <r>
    <s v="1899-VXWXM"/>
    <s v="Male"/>
    <x v="1"/>
    <n v="48"/>
    <x v="1"/>
    <x v="0"/>
    <n v="106.1"/>
    <n v="5082.8"/>
    <x v="1"/>
    <s v="Yes"/>
    <x v="3"/>
    <n v="5082.8"/>
    <x v="2"/>
    <s v="High Spend"/>
  </r>
  <r>
    <s v="1478-VPOAD"/>
    <s v="Female"/>
    <x v="0"/>
    <n v="1"/>
    <x v="0"/>
    <x v="0"/>
    <n v="43.8"/>
    <n v="43.8"/>
    <x v="0"/>
    <s v="No"/>
    <x v="0"/>
    <n v="43.8"/>
    <x v="0"/>
    <s v="Standard Spend"/>
  </r>
  <r>
    <s v="9995-HOTOH"/>
    <s v="Male"/>
    <x v="2"/>
    <n v="63"/>
    <x v="0"/>
    <x v="0"/>
    <n v="59"/>
    <n v="3707.6"/>
    <x v="0"/>
    <s v="No"/>
    <x v="0"/>
    <n v="3707.6"/>
    <x v="2"/>
    <s v="High Spend"/>
  </r>
  <r>
    <s v="2988-PLAHS"/>
    <s v="Female"/>
    <x v="1"/>
    <n v="3"/>
    <x v="0"/>
    <x v="0"/>
    <n v="69.95"/>
    <n v="220.45"/>
    <x v="0"/>
    <s v="Yes"/>
    <x v="0"/>
    <n v="220.45"/>
    <x v="0"/>
    <s v="Standard Spend"/>
  </r>
  <r>
    <s v="1371-OJCEK"/>
    <s v="Female"/>
    <x v="1"/>
    <n v="48"/>
    <x v="2"/>
    <x v="2"/>
    <n v="24.35"/>
    <n v="1133.7"/>
    <x v="0"/>
    <s v="No"/>
    <x v="2"/>
    <n v="1133.7"/>
    <x v="2"/>
    <s v="Standard Spend"/>
  </r>
  <r>
    <s v="4999-IEZLT"/>
    <s v="Male"/>
    <x v="1"/>
    <n v="66"/>
    <x v="0"/>
    <x v="1"/>
    <n v="29.45"/>
    <n v="1983.15"/>
    <x v="0"/>
    <s v="No"/>
    <x v="3"/>
    <n v="1983.15"/>
    <x v="2"/>
    <s v="Standard Spend"/>
  </r>
  <r>
    <s v="8883-ANODQ"/>
    <s v="Female"/>
    <x v="2"/>
    <n v="68"/>
    <x v="1"/>
    <x v="0"/>
    <n v="84.4"/>
    <n v="5746.75"/>
    <x v="0"/>
    <s v="Yes"/>
    <x v="3"/>
    <n v="5746.75"/>
    <x v="2"/>
    <s v="High Spend"/>
  </r>
  <r>
    <s v="4690-LLKUA"/>
    <s v="Male"/>
    <x v="0"/>
    <n v="17"/>
    <x v="0"/>
    <x v="0"/>
    <n v="45.05"/>
    <n v="770.6"/>
    <x v="1"/>
    <s v="Yes"/>
    <x v="0"/>
    <n v="770.6"/>
    <x v="1"/>
    <s v="Standard Spend"/>
  </r>
  <r>
    <s v="2351-RRBUE"/>
    <s v="Female"/>
    <x v="1"/>
    <n v="7"/>
    <x v="2"/>
    <x v="2"/>
    <n v="20.65"/>
    <n v="134.05000000000001"/>
    <x v="0"/>
    <s v="No"/>
    <x v="1"/>
    <n v="134.05000000000001"/>
    <x v="0"/>
    <s v="Standard Spend"/>
  </r>
  <r>
    <s v="5980-BDHPY"/>
    <s v="Male"/>
    <x v="2"/>
    <n v="72"/>
    <x v="0"/>
    <x v="1"/>
    <n v="87.1"/>
    <n v="6230.1"/>
    <x v="0"/>
    <s v="Yes"/>
    <x v="2"/>
    <n v="6230.1"/>
    <x v="2"/>
    <s v="High Spend"/>
  </r>
  <r>
    <s v="1498-DQNRX"/>
    <s v="Female"/>
    <x v="0"/>
    <n v="29"/>
    <x v="2"/>
    <x v="2"/>
    <n v="19.850000000000001"/>
    <n v="573.04999999999995"/>
    <x v="0"/>
    <s v="No"/>
    <x v="1"/>
    <n v="573.04999999999995"/>
    <x v="1"/>
    <s v="Standard Spend"/>
  </r>
  <r>
    <s v="9469-WEJBT"/>
    <s v="Male"/>
    <x v="0"/>
    <n v="37"/>
    <x v="1"/>
    <x v="1"/>
    <n v="90.35"/>
    <n v="3419.3"/>
    <x v="0"/>
    <s v="Yes"/>
    <x v="0"/>
    <n v="3419.3"/>
    <x v="2"/>
    <s v="High Spend"/>
  </r>
  <r>
    <s v="3331-HQDTW"/>
    <s v="Female"/>
    <x v="0"/>
    <n v="34"/>
    <x v="1"/>
    <x v="0"/>
    <n v="109.8"/>
    <n v="3587.25"/>
    <x v="1"/>
    <s v="Yes"/>
    <x v="1"/>
    <n v="3587.25"/>
    <x v="1"/>
    <s v="High Spend"/>
  </r>
  <r>
    <s v="9490-DFPMD"/>
    <s v="Female"/>
    <x v="0"/>
    <n v="42"/>
    <x v="1"/>
    <x v="0"/>
    <n v="84.65"/>
    <n v="3541.35"/>
    <x v="1"/>
    <s v="Yes"/>
    <x v="0"/>
    <n v="3541.35"/>
    <x v="2"/>
    <s v="High Spend"/>
  </r>
  <r>
    <s v="2581-VKIRT"/>
    <s v="Female"/>
    <x v="1"/>
    <n v="59"/>
    <x v="0"/>
    <x v="1"/>
    <n v="65.5"/>
    <n v="3801.3"/>
    <x v="0"/>
    <s v="No"/>
    <x v="1"/>
    <n v="3801.3"/>
    <x v="2"/>
    <s v="High Spend"/>
  </r>
  <r>
    <s v="5442-XSDCW"/>
    <s v="Male"/>
    <x v="0"/>
    <n v="11"/>
    <x v="1"/>
    <x v="0"/>
    <n v="79.5"/>
    <n v="868.5"/>
    <x v="1"/>
    <s v="Yes"/>
    <x v="2"/>
    <n v="868.5"/>
    <x v="0"/>
    <s v="Standard Spend"/>
  </r>
  <r>
    <s v="7426-WEIJX"/>
    <s v="Male"/>
    <x v="0"/>
    <n v="60"/>
    <x v="1"/>
    <x v="0"/>
    <n v="80.95"/>
    <n v="4859.1000000000004"/>
    <x v="0"/>
    <s v="Yes"/>
    <x v="0"/>
    <n v="4859.1000000000004"/>
    <x v="2"/>
    <s v="High Spend"/>
  </r>
  <r>
    <s v="2851-MMUTZ"/>
    <s v="Female"/>
    <x v="0"/>
    <n v="27"/>
    <x v="0"/>
    <x v="1"/>
    <n v="56.15"/>
    <n v="1439.35"/>
    <x v="0"/>
    <s v="Yes"/>
    <x v="1"/>
    <n v="1439.35"/>
    <x v="1"/>
    <s v="Standard Spend"/>
  </r>
  <r>
    <s v="3049-NDXFL"/>
    <s v="Female"/>
    <x v="0"/>
    <n v="1"/>
    <x v="1"/>
    <x v="0"/>
    <n v="85.8"/>
    <n v="85.8"/>
    <x v="1"/>
    <s v="No"/>
    <x v="1"/>
    <n v="85.8"/>
    <x v="0"/>
    <s v="Standard Spend"/>
  </r>
  <r>
    <s v="8580-AECUZ"/>
    <s v="Male"/>
    <x v="0"/>
    <n v="1"/>
    <x v="1"/>
    <x v="0"/>
    <n v="79.099999999999994"/>
    <n v="79.099999999999994"/>
    <x v="1"/>
    <s v="Yes"/>
    <x v="0"/>
    <n v="79.099999999999994"/>
    <x v="0"/>
    <s v="Standard Spend"/>
  </r>
  <r>
    <s v="3307-TLCUD"/>
    <s v="Male"/>
    <x v="0"/>
    <n v="17"/>
    <x v="0"/>
    <x v="0"/>
    <n v="34.4"/>
    <n v="592.75"/>
    <x v="0"/>
    <s v="No"/>
    <x v="1"/>
    <n v="592.75"/>
    <x v="1"/>
    <s v="Standard Spend"/>
  </r>
  <r>
    <s v="6625-FLENO"/>
    <s v="Male"/>
    <x v="2"/>
    <n v="58"/>
    <x v="2"/>
    <x v="2"/>
    <n v="20.75"/>
    <n v="1185.95"/>
    <x v="0"/>
    <s v="No"/>
    <x v="1"/>
    <n v="1185.95"/>
    <x v="2"/>
    <s v="Standard Spend"/>
  </r>
  <r>
    <s v="2967-MXRAV"/>
    <s v="Male"/>
    <x v="1"/>
    <n v="1"/>
    <x v="2"/>
    <x v="2"/>
    <n v="18.8"/>
    <n v="18.8"/>
    <x v="0"/>
    <s v="No"/>
    <x v="1"/>
    <n v="18.8"/>
    <x v="0"/>
    <s v="Standard Spend"/>
  </r>
  <r>
    <s v="7963-GQRMY"/>
    <s v="Female"/>
    <x v="0"/>
    <n v="3"/>
    <x v="0"/>
    <x v="0"/>
    <n v="44.3"/>
    <n v="134.5"/>
    <x v="1"/>
    <s v="No"/>
    <x v="1"/>
    <n v="134.5"/>
    <x v="0"/>
    <s v="Standard Spend"/>
  </r>
  <r>
    <s v="8189-HBVRW"/>
    <s v="Female"/>
    <x v="0"/>
    <n v="53"/>
    <x v="1"/>
    <x v="0"/>
    <n v="90.8"/>
    <n v="4921.2"/>
    <x v="0"/>
    <s v="No"/>
    <x v="0"/>
    <n v="4921.2"/>
    <x v="2"/>
    <s v="High Spend"/>
  </r>
  <r>
    <s v="4163-KIUHY"/>
    <s v="Male"/>
    <x v="0"/>
    <n v="35"/>
    <x v="2"/>
    <x v="2"/>
    <n v="25.6"/>
    <n v="901.25"/>
    <x v="0"/>
    <s v="Yes"/>
    <x v="0"/>
    <n v="901.25"/>
    <x v="1"/>
    <s v="Standard Spend"/>
  </r>
  <r>
    <s v="1228-FZFRV"/>
    <s v="Male"/>
    <x v="0"/>
    <n v="50"/>
    <x v="1"/>
    <x v="0"/>
    <n v="105.95"/>
    <n v="5341.8"/>
    <x v="1"/>
    <s v="No"/>
    <x v="3"/>
    <n v="5341.8"/>
    <x v="2"/>
    <s v="High Spend"/>
  </r>
  <r>
    <s v="3500-NSDOA"/>
    <s v="Male"/>
    <x v="2"/>
    <n v="68"/>
    <x v="0"/>
    <x v="1"/>
    <n v="70.8"/>
    <n v="4859.95"/>
    <x v="0"/>
    <s v="No"/>
    <x v="3"/>
    <n v="4859.95"/>
    <x v="2"/>
    <s v="High Spend"/>
  </r>
  <r>
    <s v="1171-TYKUR"/>
    <s v="Male"/>
    <x v="0"/>
    <n v="47"/>
    <x v="2"/>
    <x v="2"/>
    <n v="25.4"/>
    <n v="1139.2"/>
    <x v="0"/>
    <s v="No"/>
    <x v="0"/>
    <n v="1139.2"/>
    <x v="2"/>
    <s v="Standard Spend"/>
  </r>
  <r>
    <s v="3761-FLYZI"/>
    <s v="Female"/>
    <x v="0"/>
    <n v="65"/>
    <x v="1"/>
    <x v="0"/>
    <n v="108.8"/>
    <n v="7082.45"/>
    <x v="0"/>
    <s v="Yes"/>
    <x v="2"/>
    <n v="7082.45"/>
    <x v="2"/>
    <s v="High Spend"/>
  </r>
  <r>
    <s v="2058-DCJBE"/>
    <s v="Male"/>
    <x v="0"/>
    <n v="5"/>
    <x v="1"/>
    <x v="0"/>
    <n v="69.75"/>
    <n v="324.60000000000002"/>
    <x v="1"/>
    <s v="Yes"/>
    <x v="0"/>
    <n v="324.60000000000002"/>
    <x v="0"/>
    <s v="Standard Spend"/>
  </r>
  <r>
    <s v="5364-XYIRR"/>
    <s v="Male"/>
    <x v="0"/>
    <n v="51"/>
    <x v="1"/>
    <x v="0"/>
    <n v="94.65"/>
    <n v="4812.75"/>
    <x v="1"/>
    <s v="Yes"/>
    <x v="0"/>
    <n v="4812.75"/>
    <x v="2"/>
    <s v="High Spend"/>
  </r>
  <r>
    <s v="4829-AUOAX"/>
    <s v="Female"/>
    <x v="0"/>
    <n v="46"/>
    <x v="1"/>
    <x v="0"/>
    <n v="96.05"/>
    <n v="4399.5"/>
    <x v="1"/>
    <s v="No"/>
    <x v="2"/>
    <n v="4399.5"/>
    <x v="2"/>
    <s v="High Spend"/>
  </r>
  <r>
    <s v="1219-NNDDO"/>
    <s v="Female"/>
    <x v="0"/>
    <n v="9"/>
    <x v="1"/>
    <x v="0"/>
    <n v="76.849999999999994"/>
    <n v="663.55"/>
    <x v="0"/>
    <s v="Yes"/>
    <x v="0"/>
    <n v="663.55"/>
    <x v="0"/>
    <s v="Standard Spend"/>
  </r>
  <r>
    <s v="8388-DMKAE"/>
    <s v="Female"/>
    <x v="2"/>
    <n v="8"/>
    <x v="2"/>
    <x v="2"/>
    <n v="20.25"/>
    <n v="174.65"/>
    <x v="0"/>
    <s v="No"/>
    <x v="1"/>
    <n v="174.65"/>
    <x v="0"/>
    <s v="Standard Spend"/>
  </r>
  <r>
    <s v="4403-BWPAY"/>
    <s v="Male"/>
    <x v="1"/>
    <n v="14"/>
    <x v="2"/>
    <x v="2"/>
    <n v="24.8"/>
    <n v="321.7"/>
    <x v="0"/>
    <s v="Yes"/>
    <x v="3"/>
    <n v="321.7"/>
    <x v="1"/>
    <s v="Standard Spend"/>
  </r>
  <r>
    <s v="9659-QEQSY"/>
    <s v="Female"/>
    <x v="0"/>
    <n v="45"/>
    <x v="1"/>
    <x v="1"/>
    <n v="115.65"/>
    <n v="5125.5"/>
    <x v="0"/>
    <s v="Yes"/>
    <x v="0"/>
    <n v="5125.5"/>
    <x v="2"/>
    <s v="High Spend"/>
  </r>
  <r>
    <s v="5405-ZMYXQ"/>
    <s v="Female"/>
    <x v="0"/>
    <n v="8"/>
    <x v="1"/>
    <x v="0"/>
    <n v="74.599999999999994"/>
    <n v="548.9"/>
    <x v="0"/>
    <s v="Yes"/>
    <x v="3"/>
    <n v="548.9"/>
    <x v="0"/>
    <s v="Standard Spend"/>
  </r>
  <r>
    <s v="5047-LHVLY"/>
    <s v="Male"/>
    <x v="0"/>
    <n v="1"/>
    <x v="0"/>
    <x v="0"/>
    <n v="50.15"/>
    <n v="50.15"/>
    <x v="1"/>
    <s v="Yes"/>
    <x v="1"/>
    <n v="50.15"/>
    <x v="0"/>
    <s v="Standard Spend"/>
  </r>
  <r>
    <s v="1442-OKRJE"/>
    <s v="Male"/>
    <x v="1"/>
    <n v="66"/>
    <x v="1"/>
    <x v="0"/>
    <n v="103.15"/>
    <n v="7031.3"/>
    <x v="0"/>
    <s v="Yes"/>
    <x v="2"/>
    <n v="7031.3"/>
    <x v="2"/>
    <s v="High Spend"/>
  </r>
  <r>
    <s v="4737-AQCPU"/>
    <s v="Male"/>
    <x v="2"/>
    <n v="72"/>
    <x v="0"/>
    <x v="1"/>
    <n v="72.099999999999994"/>
    <n v="5016.6499999999996"/>
    <x v="0"/>
    <s v="No"/>
    <x v="3"/>
    <n v="5016.6499999999996"/>
    <x v="2"/>
    <s v="High Spend"/>
  </r>
  <r>
    <s v="9158-VCTQB"/>
    <s v="Female"/>
    <x v="0"/>
    <n v="41"/>
    <x v="1"/>
    <x v="1"/>
    <n v="113.6"/>
    <n v="4594.95"/>
    <x v="1"/>
    <s v="Yes"/>
    <x v="2"/>
    <n v="4594.95"/>
    <x v="2"/>
    <s v="High Spend"/>
  </r>
  <r>
    <s v="2808-CHTDM"/>
    <s v="Female"/>
    <x v="2"/>
    <n v="23"/>
    <x v="2"/>
    <x v="2"/>
    <n v="25.1"/>
    <n v="611.45000000000005"/>
    <x v="0"/>
    <s v="No"/>
    <x v="1"/>
    <n v="611.45000000000005"/>
    <x v="1"/>
    <s v="Standard Spend"/>
  </r>
  <r>
    <s v="6311-UEUME"/>
    <s v="Female"/>
    <x v="0"/>
    <n v="29"/>
    <x v="1"/>
    <x v="0"/>
    <n v="78.900000000000006"/>
    <n v="2384.15"/>
    <x v="1"/>
    <s v="Yes"/>
    <x v="0"/>
    <n v="2384.15"/>
    <x v="1"/>
    <s v="Standard Spend"/>
  </r>
  <r>
    <s v="0793-TWELN"/>
    <s v="Female"/>
    <x v="0"/>
    <n v="4"/>
    <x v="1"/>
    <x v="0"/>
    <n v="80.150000000000006"/>
    <n v="319.85000000000002"/>
    <x v="0"/>
    <s v="Yes"/>
    <x v="0"/>
    <n v="319.85000000000002"/>
    <x v="0"/>
    <s v="Standard Spend"/>
  </r>
  <r>
    <s v="3283-WCWXT"/>
    <s v="Male"/>
    <x v="2"/>
    <n v="6"/>
    <x v="2"/>
    <x v="2"/>
    <n v="25.4"/>
    <n v="153.30000000000001"/>
    <x v="0"/>
    <s v="No"/>
    <x v="1"/>
    <n v="153.30000000000001"/>
    <x v="0"/>
    <s v="Standard Spend"/>
  </r>
  <r>
    <s v="1060-ENTOF"/>
    <s v="Female"/>
    <x v="1"/>
    <n v="67"/>
    <x v="1"/>
    <x v="1"/>
    <n v="105.4"/>
    <n v="7035.6"/>
    <x v="0"/>
    <s v="Yes"/>
    <x v="3"/>
    <n v="7035.6"/>
    <x v="2"/>
    <s v="High Spend"/>
  </r>
  <r>
    <s v="0999-QXNSA"/>
    <s v="Male"/>
    <x v="0"/>
    <n v="7"/>
    <x v="0"/>
    <x v="0"/>
    <n v="45.75"/>
    <n v="344.2"/>
    <x v="0"/>
    <s v="Yes"/>
    <x v="1"/>
    <n v="344.2"/>
    <x v="0"/>
    <s v="Standard Spend"/>
  </r>
  <r>
    <s v="5451-MHQOF"/>
    <s v="Male"/>
    <x v="1"/>
    <n v="56"/>
    <x v="2"/>
    <x v="2"/>
    <n v="24.45"/>
    <n v="1431.65"/>
    <x v="0"/>
    <s v="Yes"/>
    <x v="1"/>
    <n v="1431.65"/>
    <x v="2"/>
    <s v="Standard Spend"/>
  </r>
  <r>
    <s v="4836-WNFNO"/>
    <s v="Female"/>
    <x v="2"/>
    <n v="72"/>
    <x v="2"/>
    <x v="2"/>
    <n v="25"/>
    <n v="1849.2"/>
    <x v="0"/>
    <s v="No"/>
    <x v="3"/>
    <n v="1849.2"/>
    <x v="2"/>
    <s v="Standard Spend"/>
  </r>
  <r>
    <s v="9225-BZLNZ"/>
    <s v="Male"/>
    <x v="2"/>
    <n v="72"/>
    <x v="0"/>
    <x v="0"/>
    <n v="85.25"/>
    <n v="6083.1"/>
    <x v="0"/>
    <s v="Yes"/>
    <x v="0"/>
    <n v="6083.1"/>
    <x v="2"/>
    <s v="High Spend"/>
  </r>
  <r>
    <s v="0354-VXMJC"/>
    <s v="Male"/>
    <x v="2"/>
    <n v="23"/>
    <x v="2"/>
    <x v="2"/>
    <n v="19.600000000000001"/>
    <n v="426.65"/>
    <x v="0"/>
    <s v="No"/>
    <x v="3"/>
    <n v="426.65"/>
    <x v="1"/>
    <s v="Standard Spend"/>
  </r>
  <r>
    <s v="4422-QVIJA"/>
    <s v="Female"/>
    <x v="0"/>
    <n v="35"/>
    <x v="0"/>
    <x v="0"/>
    <n v="50.15"/>
    <n v="1655.35"/>
    <x v="0"/>
    <s v="No"/>
    <x v="1"/>
    <n v="1655.35"/>
    <x v="1"/>
    <s v="Standard Spend"/>
  </r>
  <r>
    <s v="9365-SRSZE"/>
    <s v="Male"/>
    <x v="0"/>
    <n v="27"/>
    <x v="1"/>
    <x v="0"/>
    <n v="70.55"/>
    <n v="1943.9"/>
    <x v="0"/>
    <s v="Yes"/>
    <x v="0"/>
    <n v="1943.9"/>
    <x v="1"/>
    <s v="Standard Spend"/>
  </r>
  <r>
    <s v="6839-ITVZJ"/>
    <s v="Female"/>
    <x v="0"/>
    <n v="26"/>
    <x v="0"/>
    <x v="1"/>
    <n v="60.05"/>
    <n v="1616.15"/>
    <x v="1"/>
    <s v="Yes"/>
    <x v="0"/>
    <n v="1616.15"/>
    <x v="1"/>
    <s v="Standard Spend"/>
  </r>
  <r>
    <s v="8332-OSJDW"/>
    <s v="Male"/>
    <x v="1"/>
    <n v="12"/>
    <x v="2"/>
    <x v="2"/>
    <n v="26.4"/>
    <n v="314.95"/>
    <x v="0"/>
    <s v="No"/>
    <x v="1"/>
    <n v="314.95"/>
    <x v="0"/>
    <s v="Standard Spend"/>
  </r>
  <r>
    <s v="4735-BJKOU"/>
    <s v="Female"/>
    <x v="2"/>
    <n v="40"/>
    <x v="2"/>
    <x v="2"/>
    <n v="20.149999999999999"/>
    <n v="804.85"/>
    <x v="0"/>
    <s v="No"/>
    <x v="1"/>
    <n v="804.85"/>
    <x v="2"/>
    <s v="Standard Spend"/>
  </r>
  <r>
    <s v="0274-JKUJR"/>
    <s v="Male"/>
    <x v="0"/>
    <n v="7"/>
    <x v="0"/>
    <x v="0"/>
    <n v="58.85"/>
    <n v="465.7"/>
    <x v="0"/>
    <s v="No"/>
    <x v="1"/>
    <n v="465.7"/>
    <x v="0"/>
    <s v="Standard Spend"/>
  </r>
  <r>
    <s v="5740-YHGTW"/>
    <s v="Male"/>
    <x v="0"/>
    <n v="70"/>
    <x v="1"/>
    <x v="0"/>
    <n v="97.55"/>
    <n v="6669.05"/>
    <x v="0"/>
    <s v="Yes"/>
    <x v="3"/>
    <n v="6669.05"/>
    <x v="2"/>
    <s v="High Spend"/>
  </r>
  <r>
    <s v="8917-SZTTJ"/>
    <s v="Male"/>
    <x v="2"/>
    <n v="60"/>
    <x v="2"/>
    <x v="2"/>
    <n v="19.649999999999999"/>
    <n v="1161.75"/>
    <x v="0"/>
    <s v="No"/>
    <x v="3"/>
    <n v="1161.75"/>
    <x v="2"/>
    <s v="Standard Spend"/>
  </r>
  <r>
    <s v="1696-MZVAU"/>
    <s v="Male"/>
    <x v="1"/>
    <n v="39"/>
    <x v="0"/>
    <x v="0"/>
    <n v="25.25"/>
    <n v="947.75"/>
    <x v="0"/>
    <s v="Yes"/>
    <x v="3"/>
    <n v="947.75"/>
    <x v="2"/>
    <s v="Standard Spend"/>
  </r>
  <r>
    <s v="7359-WWYJV"/>
    <s v="Male"/>
    <x v="2"/>
    <n v="72"/>
    <x v="1"/>
    <x v="1"/>
    <n v="114.45"/>
    <n v="8375.0499999999993"/>
    <x v="0"/>
    <s v="No"/>
    <x v="3"/>
    <n v="8375.0499999999993"/>
    <x v="2"/>
    <s v="High Spend"/>
  </r>
  <r>
    <s v="0375-HVGXO"/>
    <s v="Female"/>
    <x v="0"/>
    <n v="1"/>
    <x v="0"/>
    <x v="0"/>
    <n v="34.700000000000003"/>
    <n v="34.700000000000003"/>
    <x v="1"/>
    <s v="Yes"/>
    <x v="0"/>
    <n v="34.700000000000003"/>
    <x v="0"/>
    <s v="Standard Spend"/>
  </r>
  <r>
    <s v="4906-ZHGPK"/>
    <s v="Male"/>
    <x v="1"/>
    <n v="54"/>
    <x v="0"/>
    <x v="1"/>
    <n v="70.7"/>
    <n v="3770"/>
    <x v="0"/>
    <s v="Yes"/>
    <x v="0"/>
    <n v="3770"/>
    <x v="2"/>
    <s v="High Spend"/>
  </r>
  <r>
    <s v="8593-WHYHV"/>
    <s v="Male"/>
    <x v="0"/>
    <n v="3"/>
    <x v="1"/>
    <x v="0"/>
    <n v="85.3"/>
    <n v="264.8"/>
    <x v="1"/>
    <s v="Yes"/>
    <x v="0"/>
    <n v="264.8"/>
    <x v="0"/>
    <s v="Standard Spend"/>
  </r>
  <r>
    <s v="3795-GWTRD"/>
    <s v="Female"/>
    <x v="2"/>
    <n v="63"/>
    <x v="0"/>
    <x v="1"/>
    <n v="75.55"/>
    <n v="4707.8500000000004"/>
    <x v="0"/>
    <s v="No"/>
    <x v="3"/>
    <n v="4707.8500000000004"/>
    <x v="2"/>
    <s v="High Spend"/>
  </r>
  <r>
    <s v="1298-PHBTI"/>
    <s v="Male"/>
    <x v="2"/>
    <n v="71"/>
    <x v="1"/>
    <x v="1"/>
    <n v="84.8"/>
    <n v="6152.4"/>
    <x v="0"/>
    <s v="Yes"/>
    <x v="0"/>
    <n v="6152.4"/>
    <x v="2"/>
    <s v="High Spend"/>
  </r>
  <r>
    <s v="6223-DHJGV"/>
    <s v="Female"/>
    <x v="1"/>
    <n v="42"/>
    <x v="2"/>
    <x v="2"/>
    <n v="20.65"/>
    <n v="958.1"/>
    <x v="0"/>
    <s v="Yes"/>
    <x v="1"/>
    <n v="958.1"/>
    <x v="2"/>
    <s v="Standard Spend"/>
  </r>
  <r>
    <s v="6961-MJKBO"/>
    <s v="Male"/>
    <x v="2"/>
    <n v="47"/>
    <x v="2"/>
    <x v="2"/>
    <n v="20.45"/>
    <n v="943"/>
    <x v="0"/>
    <s v="No"/>
    <x v="2"/>
    <n v="943"/>
    <x v="2"/>
    <s v="Standard Spend"/>
  </r>
  <r>
    <s v="6097-EQISJ"/>
    <s v="Female"/>
    <x v="1"/>
    <n v="66"/>
    <x v="1"/>
    <x v="0"/>
    <n v="102.45"/>
    <n v="6615.15"/>
    <x v="1"/>
    <s v="Yes"/>
    <x v="3"/>
    <n v="6615.15"/>
    <x v="2"/>
    <s v="High Spend"/>
  </r>
  <r>
    <s v="4423-YLHDV"/>
    <s v="Female"/>
    <x v="0"/>
    <n v="21"/>
    <x v="1"/>
    <x v="0"/>
    <n v="104.4"/>
    <n v="2200.25"/>
    <x v="1"/>
    <s v="Yes"/>
    <x v="2"/>
    <n v="2200.25"/>
    <x v="1"/>
    <s v="Standard Spend"/>
  </r>
  <r>
    <s v="8158-WPEZG"/>
    <s v="Male"/>
    <x v="0"/>
    <n v="11"/>
    <x v="0"/>
    <x v="1"/>
    <n v="35.65"/>
    <n v="425.1"/>
    <x v="0"/>
    <s v="Yes"/>
    <x v="0"/>
    <n v="425.1"/>
    <x v="0"/>
    <s v="Standard Spend"/>
  </r>
  <r>
    <s v="0107-YHINA"/>
    <s v="Male"/>
    <x v="0"/>
    <n v="1"/>
    <x v="1"/>
    <x v="0"/>
    <n v="99.75"/>
    <n v="99.75"/>
    <x v="1"/>
    <s v="Yes"/>
    <x v="0"/>
    <n v="99.75"/>
    <x v="0"/>
    <s v="Standard Spend"/>
  </r>
  <r>
    <s v="4918-FYJNT"/>
    <s v="Female"/>
    <x v="0"/>
    <n v="55"/>
    <x v="1"/>
    <x v="1"/>
    <n v="90.45"/>
    <n v="5044.8"/>
    <x v="0"/>
    <s v="No"/>
    <x v="0"/>
    <n v="5044.8"/>
    <x v="2"/>
    <s v="High Spend"/>
  </r>
  <r>
    <s v="0727-BNRLG"/>
    <s v="Male"/>
    <x v="2"/>
    <n v="69"/>
    <x v="1"/>
    <x v="1"/>
    <n v="97.65"/>
    <n v="6743.55"/>
    <x v="0"/>
    <s v="Yes"/>
    <x v="3"/>
    <n v="6743.55"/>
    <x v="2"/>
    <s v="High Spend"/>
  </r>
  <r>
    <s v="4854-CIDCF"/>
    <s v="Female"/>
    <x v="0"/>
    <n v="3"/>
    <x v="1"/>
    <x v="0"/>
    <n v="73.849999999999994"/>
    <n v="196.4"/>
    <x v="0"/>
    <s v="No"/>
    <x v="0"/>
    <n v="196.4"/>
    <x v="0"/>
    <s v="Standard Spend"/>
  </r>
  <r>
    <s v="8640-SDGKB"/>
    <s v="Male"/>
    <x v="0"/>
    <n v="4"/>
    <x v="0"/>
    <x v="1"/>
    <n v="74.400000000000006"/>
    <n v="299.7"/>
    <x v="1"/>
    <s v="Yes"/>
    <x v="0"/>
    <n v="299.7"/>
    <x v="0"/>
    <s v="Standard Spend"/>
  </r>
  <r>
    <s v="3280-MRDOF"/>
    <s v="Male"/>
    <x v="2"/>
    <n v="30"/>
    <x v="0"/>
    <x v="1"/>
    <n v="69.099999999999994"/>
    <n v="2093.9"/>
    <x v="0"/>
    <s v="Yes"/>
    <x v="3"/>
    <n v="2093.9"/>
    <x v="1"/>
    <s v="Standard Spend"/>
  </r>
  <r>
    <s v="6435-SRWBJ"/>
    <s v="Female"/>
    <x v="0"/>
    <n v="5"/>
    <x v="1"/>
    <x v="1"/>
    <n v="82.75"/>
    <n v="417.75"/>
    <x v="0"/>
    <s v="Yes"/>
    <x v="0"/>
    <n v="417.75"/>
    <x v="0"/>
    <s v="Standard Spend"/>
  </r>
  <r>
    <s v="9964-WBQDJ"/>
    <s v="Female"/>
    <x v="2"/>
    <n v="71"/>
    <x v="2"/>
    <x v="2"/>
    <n v="24.4"/>
    <n v="1725.4"/>
    <x v="0"/>
    <s v="Yes"/>
    <x v="3"/>
    <n v="1725.4"/>
    <x v="2"/>
    <s v="Standard Spend"/>
  </r>
  <r>
    <s v="6303-KFWSL"/>
    <s v="Female"/>
    <x v="1"/>
    <n v="29"/>
    <x v="0"/>
    <x v="0"/>
    <n v="55.25"/>
    <n v="1620.2"/>
    <x v="0"/>
    <s v="Yes"/>
    <x v="0"/>
    <n v="1620.2"/>
    <x v="1"/>
    <s v="Standard Spend"/>
  </r>
  <r>
    <s v="1702-CCFNJ"/>
    <s v="Male"/>
    <x v="0"/>
    <n v="52"/>
    <x v="0"/>
    <x v="1"/>
    <n v="61.35"/>
    <n v="3169.55"/>
    <x v="0"/>
    <s v="No"/>
    <x v="2"/>
    <n v="3169.55"/>
    <x v="2"/>
    <s v="High Spend"/>
  </r>
  <r>
    <s v="8932-CZHRQ"/>
    <s v="Male"/>
    <x v="1"/>
    <n v="68"/>
    <x v="0"/>
    <x v="0"/>
    <n v="76.75"/>
    <n v="5233.25"/>
    <x v="0"/>
    <s v="No"/>
    <x v="3"/>
    <n v="5233.25"/>
    <x v="2"/>
    <s v="High Spend"/>
  </r>
  <r>
    <s v="0386-CWRGM"/>
    <s v="Female"/>
    <x v="2"/>
    <n v="46"/>
    <x v="2"/>
    <x v="2"/>
    <n v="19.399999999999999"/>
    <n v="967.85"/>
    <x v="0"/>
    <s v="No"/>
    <x v="1"/>
    <n v="967.85"/>
    <x v="2"/>
    <s v="Standard Spend"/>
  </r>
  <r>
    <s v="5515-RUGKN"/>
    <s v="Male"/>
    <x v="0"/>
    <n v="8"/>
    <x v="0"/>
    <x v="0"/>
    <n v="54.75"/>
    <n v="438.05"/>
    <x v="0"/>
    <s v="Yes"/>
    <x v="3"/>
    <n v="438.05"/>
    <x v="0"/>
    <s v="Standard Spend"/>
  </r>
  <r>
    <s v="0404-AHASP"/>
    <s v="Male"/>
    <x v="2"/>
    <n v="72"/>
    <x v="2"/>
    <x v="2"/>
    <n v="19.7"/>
    <n v="1421.9"/>
    <x v="0"/>
    <s v="No"/>
    <x v="3"/>
    <n v="1421.9"/>
    <x v="2"/>
    <s v="Standard Spend"/>
  </r>
  <r>
    <s v="7279-NMVJC"/>
    <s v="Female"/>
    <x v="1"/>
    <n v="17"/>
    <x v="2"/>
    <x v="2"/>
    <n v="19.899999999999999"/>
    <n v="323.14999999999998"/>
    <x v="0"/>
    <s v="No"/>
    <x v="2"/>
    <n v="323.14999999999998"/>
    <x v="1"/>
    <s v="Standard Spend"/>
  </r>
  <r>
    <s v="2081-VEYEH"/>
    <s v="Male"/>
    <x v="0"/>
    <n v="3"/>
    <x v="1"/>
    <x v="1"/>
    <n v="107.95"/>
    <n v="318.60000000000002"/>
    <x v="0"/>
    <s v="Yes"/>
    <x v="0"/>
    <n v="318.60000000000002"/>
    <x v="0"/>
    <s v="Standard Spend"/>
  </r>
  <r>
    <s v="6407-UTSLV"/>
    <s v="Female"/>
    <x v="0"/>
    <n v="2"/>
    <x v="1"/>
    <x v="0"/>
    <n v="83.8"/>
    <n v="163.69999999999999"/>
    <x v="0"/>
    <s v="Yes"/>
    <x v="2"/>
    <n v="163.69999999999999"/>
    <x v="0"/>
    <s v="Standard Spend"/>
  </r>
  <r>
    <s v="4116-TZAQJ"/>
    <s v="Female"/>
    <x v="0"/>
    <n v="9"/>
    <x v="1"/>
    <x v="0"/>
    <n v="74.25"/>
    <n v="639.65"/>
    <x v="1"/>
    <s v="Yes"/>
    <x v="3"/>
    <n v="639.65"/>
    <x v="0"/>
    <s v="Standard Spend"/>
  </r>
  <r>
    <s v="9060-HJJRW"/>
    <s v="Female"/>
    <x v="1"/>
    <n v="51"/>
    <x v="0"/>
    <x v="0"/>
    <n v="56.4"/>
    <n v="2928.5"/>
    <x v="0"/>
    <s v="Yes"/>
    <x v="3"/>
    <n v="2928.5"/>
    <x v="2"/>
    <s v="High Spend"/>
  </r>
  <r>
    <s v="2587-YNLES"/>
    <s v="Female"/>
    <x v="2"/>
    <n v="6"/>
    <x v="2"/>
    <x v="2"/>
    <n v="20.100000000000001"/>
    <n v="100.35"/>
    <x v="0"/>
    <s v="No"/>
    <x v="1"/>
    <n v="100.35"/>
    <x v="0"/>
    <s v="Standard Spend"/>
  </r>
  <r>
    <s v="7398-SKNQZ"/>
    <s v="Female"/>
    <x v="0"/>
    <n v="3"/>
    <x v="1"/>
    <x v="0"/>
    <n v="94.9"/>
    <n v="273.2"/>
    <x v="0"/>
    <s v="No"/>
    <x v="0"/>
    <n v="273.2"/>
    <x v="0"/>
    <s v="Standard Spend"/>
  </r>
  <r>
    <s v="5935-FCCNB"/>
    <s v="Female"/>
    <x v="0"/>
    <n v="17"/>
    <x v="1"/>
    <x v="0"/>
    <n v="94.2"/>
    <n v="1608.15"/>
    <x v="0"/>
    <s v="Yes"/>
    <x v="0"/>
    <n v="1608.15"/>
    <x v="1"/>
    <s v="Standard Spend"/>
  </r>
  <r>
    <s v="1958-RNRKS"/>
    <s v="Male"/>
    <x v="0"/>
    <n v="30"/>
    <x v="0"/>
    <x v="0"/>
    <n v="49.9"/>
    <n v="1441.95"/>
    <x v="0"/>
    <s v="No"/>
    <x v="0"/>
    <n v="1441.95"/>
    <x v="1"/>
    <s v="Standard Spend"/>
  </r>
  <r>
    <s v="5136-RGMZO"/>
    <s v="Male"/>
    <x v="0"/>
    <n v="31"/>
    <x v="0"/>
    <x v="1"/>
    <n v="71.05"/>
    <n v="2168.15"/>
    <x v="0"/>
    <s v="Yes"/>
    <x v="0"/>
    <n v="2168.15"/>
    <x v="1"/>
    <s v="Standard Spend"/>
  </r>
  <r>
    <s v="8345-MVDYC"/>
    <s v="Female"/>
    <x v="2"/>
    <n v="45"/>
    <x v="0"/>
    <x v="1"/>
    <n v="81.650000000000006"/>
    <n v="3618.7"/>
    <x v="0"/>
    <s v="No"/>
    <x v="2"/>
    <n v="3618.7"/>
    <x v="2"/>
    <s v="High Spend"/>
  </r>
  <r>
    <s v="8226-BXGES"/>
    <s v="Male"/>
    <x v="1"/>
    <n v="64"/>
    <x v="1"/>
    <x v="0"/>
    <n v="89.45"/>
    <n v="5692.65"/>
    <x v="0"/>
    <s v="No"/>
    <x v="2"/>
    <n v="5692.65"/>
    <x v="2"/>
    <s v="High Spend"/>
  </r>
  <r>
    <s v="3877-JRJIP"/>
    <s v="Male"/>
    <x v="0"/>
    <n v="1"/>
    <x v="0"/>
    <x v="0"/>
    <n v="59.85"/>
    <n v="59.85"/>
    <x v="1"/>
    <s v="Yes"/>
    <x v="0"/>
    <n v="59.85"/>
    <x v="0"/>
    <s v="Standard Spend"/>
  </r>
  <r>
    <s v="8375-DKEBR"/>
    <s v="Female"/>
    <x v="0"/>
    <n v="1"/>
    <x v="1"/>
    <x v="0"/>
    <n v="69.599999999999994"/>
    <n v="69.599999999999994"/>
    <x v="1"/>
    <s v="Yes"/>
    <x v="0"/>
    <n v="69.599999999999994"/>
    <x v="0"/>
    <s v="Standard Spend"/>
  </r>
  <r>
    <s v="9705-IOVQQ"/>
    <s v="Male"/>
    <x v="1"/>
    <n v="61"/>
    <x v="1"/>
    <x v="0"/>
    <n v="99"/>
    <n v="5969.3"/>
    <x v="0"/>
    <s v="No"/>
    <x v="0"/>
    <n v="5969.3"/>
    <x v="2"/>
    <s v="High Spend"/>
  </r>
  <r>
    <s v="1015-OWJKI"/>
    <s v="Male"/>
    <x v="0"/>
    <n v="1"/>
    <x v="2"/>
    <x v="2"/>
    <n v="19.05"/>
    <n v="19.05"/>
    <x v="0"/>
    <s v="No"/>
    <x v="1"/>
    <n v="19.05"/>
    <x v="0"/>
    <s v="Standard Spend"/>
  </r>
  <r>
    <s v="7511-YMXVQ"/>
    <s v="Male"/>
    <x v="0"/>
    <n v="9"/>
    <x v="0"/>
    <x v="0"/>
    <n v="45.4"/>
    <n v="418.8"/>
    <x v="1"/>
    <s v="Yes"/>
    <x v="0"/>
    <n v="418.8"/>
    <x v="0"/>
    <s v="Standard Spend"/>
  </r>
  <r>
    <s v="2040-XBAVJ"/>
    <s v="Male"/>
    <x v="2"/>
    <n v="72"/>
    <x v="1"/>
    <x v="1"/>
    <n v="114.45"/>
    <n v="8100.55"/>
    <x v="0"/>
    <s v="No"/>
    <x v="2"/>
    <n v="8100.55"/>
    <x v="2"/>
    <s v="High Spend"/>
  </r>
  <r>
    <s v="7551-JOHTI"/>
    <s v="Female"/>
    <x v="0"/>
    <n v="1"/>
    <x v="2"/>
    <x v="2"/>
    <n v="19.5"/>
    <n v="19.5"/>
    <x v="1"/>
    <s v="No"/>
    <x v="1"/>
    <n v="19.5"/>
    <x v="0"/>
    <s v="Standard Spend"/>
  </r>
  <r>
    <s v="8887-IPQNC"/>
    <s v="Female"/>
    <x v="0"/>
    <n v="7"/>
    <x v="0"/>
    <x v="0"/>
    <n v="44.25"/>
    <n v="313.45"/>
    <x v="0"/>
    <s v="Yes"/>
    <x v="1"/>
    <n v="313.45"/>
    <x v="0"/>
    <s v="Standard Spend"/>
  </r>
  <r>
    <s v="8646-JCOMS"/>
    <s v="Female"/>
    <x v="1"/>
    <n v="66"/>
    <x v="1"/>
    <x v="1"/>
    <n v="90.55"/>
    <n v="6130.95"/>
    <x v="0"/>
    <s v="Yes"/>
    <x v="2"/>
    <n v="6130.95"/>
    <x v="2"/>
    <s v="High Spend"/>
  </r>
  <r>
    <s v="9804-ICWBG"/>
    <s v="Male"/>
    <x v="0"/>
    <n v="1"/>
    <x v="1"/>
    <x v="0"/>
    <n v="69.900000000000006"/>
    <n v="69.900000000000006"/>
    <x v="1"/>
    <s v="Yes"/>
    <x v="0"/>
    <n v="69.900000000000006"/>
    <x v="0"/>
    <s v="Standard Spend"/>
  </r>
  <r>
    <s v="1222-KJNZD"/>
    <s v="Male"/>
    <x v="0"/>
    <n v="40"/>
    <x v="2"/>
    <x v="2"/>
    <n v="20.399999999999999"/>
    <n v="745.3"/>
    <x v="0"/>
    <s v="Yes"/>
    <x v="2"/>
    <n v="745.3"/>
    <x v="2"/>
    <s v="Standard Spend"/>
  </r>
  <r>
    <s v="0106-GHRQR"/>
    <s v="Male"/>
    <x v="0"/>
    <n v="16"/>
    <x v="0"/>
    <x v="0"/>
    <n v="71.400000000000006"/>
    <n v="1212.0999999999999"/>
    <x v="0"/>
    <s v="Yes"/>
    <x v="2"/>
    <n v="1212.0999999999999"/>
    <x v="1"/>
    <s v="Standard Spend"/>
  </r>
  <r>
    <s v="5318-IXUZF"/>
    <s v="Female"/>
    <x v="0"/>
    <n v="2"/>
    <x v="1"/>
    <x v="0"/>
    <n v="87.15"/>
    <n v="183.75"/>
    <x v="1"/>
    <s v="Yes"/>
    <x v="2"/>
    <n v="183.75"/>
    <x v="0"/>
    <s v="Standard Spend"/>
  </r>
  <r>
    <s v="3768-VHXQO"/>
    <s v="Male"/>
    <x v="2"/>
    <n v="67"/>
    <x v="2"/>
    <x v="2"/>
    <n v="24.85"/>
    <n v="1583.5"/>
    <x v="0"/>
    <s v="No"/>
    <x v="3"/>
    <n v="1583.5"/>
    <x v="2"/>
    <s v="Standard Spend"/>
  </r>
  <r>
    <s v="8952-WCVCD"/>
    <s v="Female"/>
    <x v="1"/>
    <n v="41"/>
    <x v="1"/>
    <x v="0"/>
    <n v="104.45"/>
    <n v="4162.05"/>
    <x v="0"/>
    <s v="Yes"/>
    <x v="2"/>
    <n v="4162.05"/>
    <x v="2"/>
    <s v="High Spend"/>
  </r>
  <r>
    <s v="2418-TPEUN"/>
    <s v="Female"/>
    <x v="2"/>
    <n v="56"/>
    <x v="2"/>
    <x v="2"/>
    <n v="19.8"/>
    <n v="1119.9000000000001"/>
    <x v="0"/>
    <s v="Yes"/>
    <x v="3"/>
    <n v="1119.9000000000001"/>
    <x v="2"/>
    <s v="Standard Spend"/>
  </r>
  <r>
    <s v="3963-RYFNS"/>
    <s v="Female"/>
    <x v="2"/>
    <n v="72"/>
    <x v="1"/>
    <x v="1"/>
    <n v="116.45"/>
    <n v="8013.55"/>
    <x v="0"/>
    <s v="Yes"/>
    <x v="2"/>
    <n v="8013.55"/>
    <x v="2"/>
    <s v="High Spend"/>
  </r>
  <r>
    <s v="3198-VELRD"/>
    <s v="Female"/>
    <x v="0"/>
    <n v="3"/>
    <x v="1"/>
    <x v="0"/>
    <n v="84.75"/>
    <n v="264.85000000000002"/>
    <x v="1"/>
    <s v="Yes"/>
    <x v="2"/>
    <n v="264.85000000000002"/>
    <x v="0"/>
    <s v="Standard Spend"/>
  </r>
  <r>
    <s v="8540-ZQGEA"/>
    <s v="Female"/>
    <x v="2"/>
    <n v="54"/>
    <x v="2"/>
    <x v="2"/>
    <n v="20.05"/>
    <n v="1102.4000000000001"/>
    <x v="0"/>
    <s v="No"/>
    <x v="3"/>
    <n v="1102.4000000000001"/>
    <x v="2"/>
    <s v="Standard Spend"/>
  </r>
  <r>
    <s v="1320-REHCS"/>
    <s v="Male"/>
    <x v="0"/>
    <n v="52"/>
    <x v="1"/>
    <x v="1"/>
    <n v="110.75"/>
    <n v="5832"/>
    <x v="0"/>
    <s v="Yes"/>
    <x v="0"/>
    <n v="5832"/>
    <x v="2"/>
    <s v="High Spend"/>
  </r>
  <r>
    <s v="4137-JOPHL"/>
    <s v="Female"/>
    <x v="2"/>
    <n v="50"/>
    <x v="1"/>
    <x v="1"/>
    <n v="89.7"/>
    <n v="4304.5"/>
    <x v="0"/>
    <s v="Yes"/>
    <x v="2"/>
    <n v="4304.5"/>
    <x v="2"/>
    <s v="High Spend"/>
  </r>
  <r>
    <s v="9436-ZBZCT"/>
    <s v="Male"/>
    <x v="0"/>
    <n v="14"/>
    <x v="1"/>
    <x v="1"/>
    <n v="89.95"/>
    <n v="1178.4000000000001"/>
    <x v="1"/>
    <s v="Yes"/>
    <x v="0"/>
    <n v="1178.4000000000001"/>
    <x v="1"/>
    <s v="Standard Spend"/>
  </r>
  <r>
    <s v="7801-CEDNV"/>
    <s v="Male"/>
    <x v="1"/>
    <n v="27"/>
    <x v="0"/>
    <x v="0"/>
    <n v="48.7"/>
    <n v="1421.75"/>
    <x v="0"/>
    <s v="No"/>
    <x v="3"/>
    <n v="1421.75"/>
    <x v="1"/>
    <s v="Standard Spend"/>
  </r>
  <r>
    <s v="2057-BOYKM"/>
    <s v="Female"/>
    <x v="2"/>
    <n v="72"/>
    <x v="1"/>
    <x v="1"/>
    <n v="96.6"/>
    <n v="6827.5"/>
    <x v="0"/>
    <s v="Yes"/>
    <x v="2"/>
    <n v="6827.5"/>
    <x v="2"/>
    <s v="High Spend"/>
  </r>
  <r>
    <s v="3658-QQJYD"/>
    <s v="Male"/>
    <x v="1"/>
    <n v="62"/>
    <x v="0"/>
    <x v="0"/>
    <n v="74.3"/>
    <n v="4698.05"/>
    <x v="0"/>
    <s v="Yes"/>
    <x v="3"/>
    <n v="4698.05"/>
    <x v="2"/>
    <s v="High Spend"/>
  </r>
  <r>
    <s v="1803-BGNBD"/>
    <s v="Female"/>
    <x v="0"/>
    <n v="12"/>
    <x v="0"/>
    <x v="1"/>
    <n v="54.3"/>
    <n v="654.5"/>
    <x v="0"/>
    <s v="Yes"/>
    <x v="0"/>
    <n v="654.5"/>
    <x v="0"/>
    <s v="Standard Spend"/>
  </r>
  <r>
    <s v="0134-XWXCE"/>
    <s v="Female"/>
    <x v="1"/>
    <n v="44"/>
    <x v="0"/>
    <x v="1"/>
    <n v="74.849999999999994"/>
    <n v="3268.05"/>
    <x v="0"/>
    <s v="No"/>
    <x v="2"/>
    <n v="3268.05"/>
    <x v="2"/>
    <s v="High Spend"/>
  </r>
  <r>
    <s v="6950-TWMYB"/>
    <s v="Male"/>
    <x v="2"/>
    <n v="54"/>
    <x v="1"/>
    <x v="1"/>
    <n v="79.95"/>
    <n v="4362.05"/>
    <x v="0"/>
    <s v="Yes"/>
    <x v="2"/>
    <n v="4362.05"/>
    <x v="2"/>
    <s v="High Spend"/>
  </r>
  <r>
    <s v="5848-FHRFC"/>
    <s v="Female"/>
    <x v="2"/>
    <n v="68"/>
    <x v="2"/>
    <x v="2"/>
    <n v="20.05"/>
    <n v="1386.9"/>
    <x v="0"/>
    <s v="No"/>
    <x v="2"/>
    <n v="1386.9"/>
    <x v="2"/>
    <s v="Standard Spend"/>
  </r>
  <r>
    <s v="2243-FNMMI"/>
    <s v="Male"/>
    <x v="0"/>
    <n v="20"/>
    <x v="2"/>
    <x v="2"/>
    <n v="19.399999999999999"/>
    <n v="415.4"/>
    <x v="0"/>
    <s v="No"/>
    <x v="1"/>
    <n v="415.4"/>
    <x v="1"/>
    <s v="Standard Spend"/>
  </r>
  <r>
    <s v="2511-MORQY"/>
    <s v="Male"/>
    <x v="1"/>
    <n v="50"/>
    <x v="0"/>
    <x v="0"/>
    <n v="54.9"/>
    <n v="2614.1"/>
    <x v="0"/>
    <s v="No"/>
    <x v="2"/>
    <n v="2614.1"/>
    <x v="2"/>
    <s v="High Spend"/>
  </r>
  <r>
    <s v="5356-KZCKT"/>
    <s v="Male"/>
    <x v="2"/>
    <n v="58"/>
    <x v="2"/>
    <x v="2"/>
    <n v="24.45"/>
    <n v="1513.6"/>
    <x v="0"/>
    <s v="Yes"/>
    <x v="3"/>
    <n v="1513.6"/>
    <x v="2"/>
    <s v="Standard Spend"/>
  </r>
  <r>
    <s v="9470-XCCEM"/>
    <s v="Male"/>
    <x v="0"/>
    <n v="35"/>
    <x v="1"/>
    <x v="0"/>
    <n v="89.65"/>
    <n v="3161.6"/>
    <x v="0"/>
    <s v="Yes"/>
    <x v="2"/>
    <n v="3161.6"/>
    <x v="1"/>
    <s v="High Spend"/>
  </r>
  <r>
    <s v="6519-CFDBX"/>
    <s v="Female"/>
    <x v="0"/>
    <n v="2"/>
    <x v="0"/>
    <x v="0"/>
    <n v="45.4"/>
    <n v="80.95"/>
    <x v="0"/>
    <s v="Yes"/>
    <x v="0"/>
    <n v="80.95"/>
    <x v="0"/>
    <s v="Standard Spend"/>
  </r>
  <r>
    <s v="3902-MIVLE"/>
    <s v="Male"/>
    <x v="2"/>
    <n v="63"/>
    <x v="0"/>
    <x v="1"/>
    <n v="75.7"/>
    <n v="4676.7"/>
    <x v="0"/>
    <s v="No"/>
    <x v="1"/>
    <n v="4676.7"/>
    <x v="2"/>
    <s v="High Spend"/>
  </r>
  <r>
    <s v="0409-WTMPL"/>
    <s v="Female"/>
    <x v="1"/>
    <n v="58"/>
    <x v="1"/>
    <x v="0"/>
    <n v="110.65"/>
    <n v="6526.65"/>
    <x v="0"/>
    <s v="Yes"/>
    <x v="3"/>
    <n v="6526.65"/>
    <x v="2"/>
    <s v="High Spend"/>
  </r>
  <r>
    <s v="8763-KIAFH"/>
    <s v="Female"/>
    <x v="1"/>
    <n v="27"/>
    <x v="2"/>
    <x v="2"/>
    <n v="20.55"/>
    <n v="583.29999999999995"/>
    <x v="0"/>
    <s v="Yes"/>
    <x v="1"/>
    <n v="583.29999999999995"/>
    <x v="1"/>
    <s v="Standard Spend"/>
  </r>
  <r>
    <s v="3669-WHAFY"/>
    <s v="Female"/>
    <x v="2"/>
    <n v="71"/>
    <x v="1"/>
    <x v="1"/>
    <n v="115.15"/>
    <n v="8078.1"/>
    <x v="0"/>
    <s v="Yes"/>
    <x v="3"/>
    <n v="8078.1"/>
    <x v="2"/>
    <s v="High Spend"/>
  </r>
  <r>
    <s v="3055-VTCGS"/>
    <s v="Female"/>
    <x v="1"/>
    <n v="63"/>
    <x v="0"/>
    <x v="0"/>
    <n v="58.55"/>
    <n v="3503.5"/>
    <x v="0"/>
    <s v="No"/>
    <x v="3"/>
    <n v="3503.5"/>
    <x v="2"/>
    <s v="High Spend"/>
  </r>
  <r>
    <s v="3144-KMTWZ"/>
    <s v="Male"/>
    <x v="0"/>
    <n v="71"/>
    <x v="1"/>
    <x v="0"/>
    <n v="93.25"/>
    <n v="6669.45"/>
    <x v="0"/>
    <s v="Yes"/>
    <x v="2"/>
    <n v="6669.45"/>
    <x v="2"/>
    <s v="High Spend"/>
  </r>
  <r>
    <s v="7279-BUYWN"/>
    <s v="Female"/>
    <x v="0"/>
    <n v="41"/>
    <x v="1"/>
    <x v="0"/>
    <n v="113.2"/>
    <n v="4689.5"/>
    <x v="1"/>
    <s v="Yes"/>
    <x v="0"/>
    <n v="4689.5"/>
    <x v="2"/>
    <s v="High Spend"/>
  </r>
  <r>
    <s v="7156-MHUGY"/>
    <s v="Male"/>
    <x v="0"/>
    <n v="13"/>
    <x v="1"/>
    <x v="0"/>
    <n v="90.5"/>
    <n v="1201.1500000000001"/>
    <x v="1"/>
    <s v="Yes"/>
    <x v="0"/>
    <n v="1201.1500000000001"/>
    <x v="1"/>
    <s v="Standard Spend"/>
  </r>
  <r>
    <s v="7198-GLXTC"/>
    <s v="Male"/>
    <x v="0"/>
    <n v="2"/>
    <x v="1"/>
    <x v="0"/>
    <n v="79"/>
    <n v="143.65"/>
    <x v="1"/>
    <s v="No"/>
    <x v="0"/>
    <n v="143.65"/>
    <x v="0"/>
    <s v="Standard Spend"/>
  </r>
  <r>
    <s v="2007-QVGAW"/>
    <s v="Female"/>
    <x v="2"/>
    <n v="68"/>
    <x v="2"/>
    <x v="2"/>
    <n v="19.350000000000001"/>
    <n v="1292.6500000000001"/>
    <x v="0"/>
    <s v="Yes"/>
    <x v="2"/>
    <n v="1292.6500000000001"/>
    <x v="2"/>
    <s v="Standard Spend"/>
  </r>
  <r>
    <s v="5207-PLSTK"/>
    <s v="Male"/>
    <x v="0"/>
    <n v="1"/>
    <x v="0"/>
    <x v="0"/>
    <n v="48.75"/>
    <n v="48.75"/>
    <x v="0"/>
    <s v="Yes"/>
    <x v="1"/>
    <n v="48.75"/>
    <x v="0"/>
    <s v="Standard Spend"/>
  </r>
  <r>
    <s v="2307-FYNNL"/>
    <s v="Male"/>
    <x v="2"/>
    <n v="65"/>
    <x v="1"/>
    <x v="1"/>
    <n v="109.05"/>
    <n v="7108.2"/>
    <x v="0"/>
    <s v="Yes"/>
    <x v="0"/>
    <n v="7108.2"/>
    <x v="2"/>
    <s v="High Spend"/>
  </r>
  <r>
    <s v="5605-XNWEN"/>
    <s v="Male"/>
    <x v="2"/>
    <n v="72"/>
    <x v="2"/>
    <x v="2"/>
    <n v="25"/>
    <n v="1802.55"/>
    <x v="0"/>
    <s v="Yes"/>
    <x v="2"/>
    <n v="1802.55"/>
    <x v="2"/>
    <s v="Standard Spend"/>
  </r>
  <r>
    <s v="2155-AMQRX"/>
    <s v="Female"/>
    <x v="0"/>
    <n v="28"/>
    <x v="0"/>
    <x v="1"/>
    <n v="54.9"/>
    <n v="1505.15"/>
    <x v="0"/>
    <s v="Yes"/>
    <x v="3"/>
    <n v="1505.15"/>
    <x v="1"/>
    <s v="Standard Spend"/>
  </r>
  <r>
    <s v="6181-AXXYF"/>
    <s v="Male"/>
    <x v="2"/>
    <n v="72"/>
    <x v="2"/>
    <x v="2"/>
    <n v="24.75"/>
    <n v="1859.1"/>
    <x v="0"/>
    <s v="No"/>
    <x v="3"/>
    <n v="1859.1"/>
    <x v="2"/>
    <s v="Standard Spend"/>
  </r>
  <r>
    <s v="5091-HFAZW"/>
    <s v="Female"/>
    <x v="0"/>
    <n v="2"/>
    <x v="1"/>
    <x v="0"/>
    <n v="91.15"/>
    <n v="168.5"/>
    <x v="0"/>
    <s v="Yes"/>
    <x v="0"/>
    <n v="168.5"/>
    <x v="0"/>
    <s v="Standard Spend"/>
  </r>
  <r>
    <s v="0516-VRYBW"/>
    <s v="Female"/>
    <x v="1"/>
    <n v="18"/>
    <x v="2"/>
    <x v="2"/>
    <n v="20.149999999999999"/>
    <n v="390.85"/>
    <x v="1"/>
    <s v="No"/>
    <x v="2"/>
    <n v="390.85"/>
    <x v="1"/>
    <s v="Standard Spend"/>
  </r>
  <r>
    <s v="2519-LBNQL"/>
    <s v="Male"/>
    <x v="1"/>
    <n v="60"/>
    <x v="1"/>
    <x v="0"/>
    <n v="104.35"/>
    <n v="6339.45"/>
    <x v="0"/>
    <s v="Yes"/>
    <x v="0"/>
    <n v="6339.45"/>
    <x v="2"/>
    <s v="High Spend"/>
  </r>
  <r>
    <s v="8623-ULFNQ"/>
    <s v="Female"/>
    <x v="0"/>
    <n v="26"/>
    <x v="0"/>
    <x v="1"/>
    <n v="66.05"/>
    <n v="1652.4"/>
    <x v="0"/>
    <s v="Yes"/>
    <x v="0"/>
    <n v="1652.4"/>
    <x v="1"/>
    <s v="Standard Spend"/>
  </r>
  <r>
    <s v="8380-PEFPE"/>
    <s v="Male"/>
    <x v="0"/>
    <n v="1"/>
    <x v="1"/>
    <x v="0"/>
    <n v="71.650000000000006"/>
    <n v="71.650000000000006"/>
    <x v="1"/>
    <s v="Yes"/>
    <x v="0"/>
    <n v="71.650000000000006"/>
    <x v="0"/>
    <s v="Standard Spend"/>
  </r>
  <r>
    <s v="5687-DKDTV"/>
    <s v="Female"/>
    <x v="0"/>
    <n v="4"/>
    <x v="2"/>
    <x v="2"/>
    <n v="20.350000000000001"/>
    <n v="77.5"/>
    <x v="1"/>
    <s v="No"/>
    <x v="1"/>
    <n v="77.5"/>
    <x v="0"/>
    <s v="Standard Spend"/>
  </r>
  <r>
    <s v="1568-LJSZU"/>
    <s v="Male"/>
    <x v="2"/>
    <n v="68"/>
    <x v="0"/>
    <x v="1"/>
    <n v="92.2"/>
    <n v="6392.85"/>
    <x v="0"/>
    <s v="Yes"/>
    <x v="3"/>
    <n v="6392.85"/>
    <x v="2"/>
    <s v="High Spend"/>
  </r>
  <r>
    <s v="7530-HDYDS"/>
    <s v="Female"/>
    <x v="0"/>
    <n v="38"/>
    <x v="1"/>
    <x v="1"/>
    <n v="84.25"/>
    <n v="3264.5"/>
    <x v="1"/>
    <s v="Yes"/>
    <x v="3"/>
    <n v="3264.5"/>
    <x v="2"/>
    <s v="High Spend"/>
  </r>
  <r>
    <s v="7789-HKSBS"/>
    <s v="Female"/>
    <x v="1"/>
    <n v="42"/>
    <x v="1"/>
    <x v="0"/>
    <n v="105.2"/>
    <n v="4599.1499999999996"/>
    <x v="0"/>
    <s v="Yes"/>
    <x v="2"/>
    <n v="4599.1499999999996"/>
    <x v="2"/>
    <s v="High Spend"/>
  </r>
  <r>
    <s v="7416-CKTEP"/>
    <s v="Female"/>
    <x v="2"/>
    <n v="57"/>
    <x v="2"/>
    <x v="2"/>
    <n v="19.600000000000001"/>
    <n v="1134.25"/>
    <x v="0"/>
    <s v="Yes"/>
    <x v="2"/>
    <n v="1134.25"/>
    <x v="2"/>
    <s v="Standard Spend"/>
  </r>
  <r>
    <s v="2586-CWXVV"/>
    <s v="Male"/>
    <x v="0"/>
    <n v="54"/>
    <x v="0"/>
    <x v="0"/>
    <n v="30.4"/>
    <n v="1621.35"/>
    <x v="0"/>
    <s v="No"/>
    <x v="0"/>
    <n v="1621.35"/>
    <x v="2"/>
    <s v="Standard Spend"/>
  </r>
  <r>
    <s v="3096-IZETN"/>
    <s v="Female"/>
    <x v="0"/>
    <n v="12"/>
    <x v="1"/>
    <x v="0"/>
    <n v="78.099999999999994"/>
    <n v="947.3"/>
    <x v="1"/>
    <s v="No"/>
    <x v="2"/>
    <n v="947.3"/>
    <x v="0"/>
    <s v="Standard Spend"/>
  </r>
  <r>
    <s v="2348-KCJLT"/>
    <s v="Female"/>
    <x v="1"/>
    <n v="44"/>
    <x v="0"/>
    <x v="0"/>
    <n v="61.5"/>
    <n v="2722.2"/>
    <x v="0"/>
    <s v="Yes"/>
    <x v="1"/>
    <n v="2722.2"/>
    <x v="2"/>
    <s v="High Spend"/>
  </r>
  <r>
    <s v="8401-EMUWF"/>
    <s v="Male"/>
    <x v="0"/>
    <n v="42"/>
    <x v="0"/>
    <x v="0"/>
    <n v="69.400000000000006"/>
    <n v="3058.3"/>
    <x v="0"/>
    <s v="Yes"/>
    <x v="2"/>
    <n v="3058.3"/>
    <x v="2"/>
    <s v="High Spend"/>
  </r>
  <r>
    <s v="4193-IBKSW"/>
    <s v="Male"/>
    <x v="2"/>
    <n v="72"/>
    <x v="2"/>
    <x v="2"/>
    <n v="24.75"/>
    <n v="1769.6"/>
    <x v="0"/>
    <s v="No"/>
    <x v="2"/>
    <n v="1769.6"/>
    <x v="2"/>
    <s v="Standard Spend"/>
  </r>
  <r>
    <s v="5377-NDTOU"/>
    <s v="Female"/>
    <x v="2"/>
    <n v="71"/>
    <x v="0"/>
    <x v="1"/>
    <n v="91.05"/>
    <n v="6293.75"/>
    <x v="0"/>
    <s v="No"/>
    <x v="1"/>
    <n v="6293.75"/>
    <x v="2"/>
    <s v="High Spend"/>
  </r>
  <r>
    <s v="5922-ABDVO"/>
    <s v="Female"/>
    <x v="0"/>
    <n v="19"/>
    <x v="1"/>
    <x v="0"/>
    <n v="89.65"/>
    <n v="1761.05"/>
    <x v="1"/>
    <s v="No"/>
    <x v="1"/>
    <n v="1761.05"/>
    <x v="1"/>
    <s v="Standard Spend"/>
  </r>
  <r>
    <s v="2474-LCNUE"/>
    <s v="Female"/>
    <x v="0"/>
    <n v="23"/>
    <x v="0"/>
    <x v="1"/>
    <n v="73.650000000000006"/>
    <n v="1642.75"/>
    <x v="0"/>
    <s v="Yes"/>
    <x v="3"/>
    <n v="1642.75"/>
    <x v="1"/>
    <s v="Standard Spend"/>
  </r>
  <r>
    <s v="0839-QNXME"/>
    <s v="Female"/>
    <x v="2"/>
    <n v="30"/>
    <x v="2"/>
    <x v="2"/>
    <n v="19.399999999999999"/>
    <n v="578.5"/>
    <x v="0"/>
    <s v="No"/>
    <x v="3"/>
    <n v="578.5"/>
    <x v="1"/>
    <s v="Standard Spend"/>
  </r>
  <r>
    <s v="3506-OVLKD"/>
    <s v="Male"/>
    <x v="1"/>
    <n v="35"/>
    <x v="2"/>
    <x v="2"/>
    <n v="26.2"/>
    <n v="954.9"/>
    <x v="0"/>
    <s v="No"/>
    <x v="2"/>
    <n v="954.9"/>
    <x v="1"/>
    <s v="Standard Spend"/>
  </r>
  <r>
    <s v="9172-ANCRX"/>
    <s v="Female"/>
    <x v="0"/>
    <n v="10"/>
    <x v="1"/>
    <x v="0"/>
    <n v="98.7"/>
    <n v="973.25"/>
    <x v="1"/>
    <s v="Yes"/>
    <x v="0"/>
    <n v="973.25"/>
    <x v="0"/>
    <s v="Standard Spend"/>
  </r>
  <r>
    <s v="6650-VJONK"/>
    <s v="Male"/>
    <x v="0"/>
    <n v="1"/>
    <x v="0"/>
    <x v="0"/>
    <n v="43.85"/>
    <n v="43.85"/>
    <x v="0"/>
    <s v="Yes"/>
    <x v="2"/>
    <n v="43.85"/>
    <x v="0"/>
    <s v="Standard Spend"/>
  </r>
  <r>
    <s v="2178-PMGCJ"/>
    <s v="Male"/>
    <x v="0"/>
    <n v="22"/>
    <x v="1"/>
    <x v="0"/>
    <n v="69.7"/>
    <n v="1490.4"/>
    <x v="0"/>
    <s v="Yes"/>
    <x v="1"/>
    <n v="1490.4"/>
    <x v="1"/>
    <s v="Standard Spend"/>
  </r>
  <r>
    <s v="7492-TAFJD"/>
    <s v="Male"/>
    <x v="2"/>
    <n v="7"/>
    <x v="0"/>
    <x v="0"/>
    <n v="38.549999999999997"/>
    <n v="280"/>
    <x v="0"/>
    <s v="No"/>
    <x v="1"/>
    <n v="280"/>
    <x v="0"/>
    <s v="Standard Spend"/>
  </r>
  <r>
    <s v="2773-MADBQ"/>
    <s v="Female"/>
    <x v="2"/>
    <n v="36"/>
    <x v="0"/>
    <x v="1"/>
    <n v="53.1"/>
    <n v="1901.25"/>
    <x v="0"/>
    <s v="Yes"/>
    <x v="1"/>
    <n v="1901.25"/>
    <x v="1"/>
    <s v="Standard Spend"/>
  </r>
  <r>
    <s v="6016-LVTJQ"/>
    <s v="Female"/>
    <x v="0"/>
    <n v="34"/>
    <x v="2"/>
    <x v="2"/>
    <n v="20.65"/>
    <n v="716.4"/>
    <x v="0"/>
    <s v="No"/>
    <x v="1"/>
    <n v="716.4"/>
    <x v="1"/>
    <s v="Standard Spend"/>
  </r>
  <r>
    <s v="7860-KSUGX"/>
    <s v="Male"/>
    <x v="2"/>
    <n v="72"/>
    <x v="0"/>
    <x v="0"/>
    <n v="64.45"/>
    <n v="4720"/>
    <x v="0"/>
    <s v="No"/>
    <x v="3"/>
    <n v="4720"/>
    <x v="2"/>
    <s v="High Spend"/>
  </r>
  <r>
    <s v="8966-KZXXA"/>
    <s v="Male"/>
    <x v="2"/>
    <n v="36"/>
    <x v="2"/>
    <x v="2"/>
    <n v="25.1"/>
    <n v="930.95"/>
    <x v="0"/>
    <s v="No"/>
    <x v="3"/>
    <n v="930.95"/>
    <x v="1"/>
    <s v="Standard Spend"/>
  </r>
  <r>
    <s v="6910-HADCM"/>
    <s v="Female"/>
    <x v="0"/>
    <n v="1"/>
    <x v="1"/>
    <x v="0"/>
    <n v="76.349999999999994"/>
    <n v="76.349999999999994"/>
    <x v="1"/>
    <s v="No"/>
    <x v="0"/>
    <n v="76.349999999999994"/>
    <x v="0"/>
    <s v="Standard Spend"/>
  </r>
  <r>
    <s v="4816-LXZYW"/>
    <s v="Female"/>
    <x v="0"/>
    <n v="23"/>
    <x v="1"/>
    <x v="0"/>
    <n v="79.150000000000006"/>
    <n v="1676.95"/>
    <x v="1"/>
    <s v="Yes"/>
    <x v="0"/>
    <n v="1676.95"/>
    <x v="1"/>
    <s v="Standard Spend"/>
  </r>
  <r>
    <s v="9606-PBKBQ"/>
    <s v="Male"/>
    <x v="0"/>
    <n v="32"/>
    <x v="1"/>
    <x v="0"/>
    <n v="85"/>
    <n v="2642.05"/>
    <x v="1"/>
    <s v="Yes"/>
    <x v="0"/>
    <n v="2642.05"/>
    <x v="1"/>
    <s v="High Spend"/>
  </r>
  <r>
    <s v="5149-QYTTU"/>
    <s v="Female"/>
    <x v="1"/>
    <n v="71"/>
    <x v="1"/>
    <x v="1"/>
    <n v="95.15"/>
    <n v="6770.85"/>
    <x v="0"/>
    <s v="Yes"/>
    <x v="3"/>
    <n v="6770.85"/>
    <x v="2"/>
    <s v="High Spend"/>
  </r>
  <r>
    <s v="2070-XYMFH"/>
    <s v="Female"/>
    <x v="0"/>
    <n v="23"/>
    <x v="1"/>
    <x v="0"/>
    <n v="79.349999999999994"/>
    <n v="1835.3"/>
    <x v="0"/>
    <s v="Yes"/>
    <x v="1"/>
    <n v="1835.3"/>
    <x v="1"/>
    <s v="Standard Spend"/>
  </r>
  <r>
    <s v="2085-BOJKI"/>
    <s v="Male"/>
    <x v="1"/>
    <n v="17"/>
    <x v="1"/>
    <x v="0"/>
    <n v="96.65"/>
    <n v="1588.25"/>
    <x v="0"/>
    <s v="Yes"/>
    <x v="2"/>
    <n v="1588.25"/>
    <x v="1"/>
    <s v="Standard Spend"/>
  </r>
  <r>
    <s v="0817-HSUSE"/>
    <s v="Male"/>
    <x v="0"/>
    <n v="1"/>
    <x v="0"/>
    <x v="1"/>
    <n v="75.5"/>
    <n v="75.5"/>
    <x v="0"/>
    <s v="Yes"/>
    <x v="0"/>
    <n v="75.5"/>
    <x v="0"/>
    <s v="Standard Spend"/>
  </r>
  <r>
    <s v="5442-PPTJY"/>
    <s v="Male"/>
    <x v="2"/>
    <n v="12"/>
    <x v="2"/>
    <x v="2"/>
    <n v="19.7"/>
    <n v="258.35000000000002"/>
    <x v="0"/>
    <s v="No"/>
    <x v="1"/>
    <n v="258.35000000000002"/>
    <x v="0"/>
    <s v="Standard Spend"/>
  </r>
  <r>
    <s v="1927-QEWMY"/>
    <s v="Female"/>
    <x v="2"/>
    <n v="72"/>
    <x v="2"/>
    <x v="2"/>
    <n v="20.5"/>
    <n v="1502.25"/>
    <x v="0"/>
    <s v="No"/>
    <x v="3"/>
    <n v="1502.25"/>
    <x v="2"/>
    <s v="Standard Spend"/>
  </r>
  <r>
    <s v="1663-MHLHE"/>
    <s v="Male"/>
    <x v="0"/>
    <n v="1"/>
    <x v="2"/>
    <x v="2"/>
    <n v="19.2"/>
    <n v="19.2"/>
    <x v="0"/>
    <s v="No"/>
    <x v="1"/>
    <n v="19.2"/>
    <x v="0"/>
    <s v="Standard Spend"/>
  </r>
  <r>
    <s v="5663-QBGIS"/>
    <s v="Male"/>
    <x v="2"/>
    <n v="72"/>
    <x v="1"/>
    <x v="0"/>
    <n v="98.35"/>
    <n v="6929.4"/>
    <x v="0"/>
    <s v="No"/>
    <x v="2"/>
    <n v="6929.4"/>
    <x v="2"/>
    <s v="High Spend"/>
  </r>
  <r>
    <s v="4450-MDZFX"/>
    <s v="Male"/>
    <x v="0"/>
    <n v="60"/>
    <x v="1"/>
    <x v="0"/>
    <n v="74.349999999999994"/>
    <n v="4453.3"/>
    <x v="0"/>
    <s v="No"/>
    <x v="2"/>
    <n v="4453.3"/>
    <x v="2"/>
    <s v="High Spend"/>
  </r>
  <r>
    <s v="6701-DHKWQ"/>
    <s v="Female"/>
    <x v="2"/>
    <n v="61"/>
    <x v="0"/>
    <x v="1"/>
    <n v="51.35"/>
    <n v="3244.4"/>
    <x v="0"/>
    <s v="No"/>
    <x v="3"/>
    <n v="3244.4"/>
    <x v="2"/>
    <s v="High Spend"/>
  </r>
  <r>
    <s v="7554-AKDQF"/>
    <s v="Female"/>
    <x v="0"/>
    <n v="6"/>
    <x v="0"/>
    <x v="0"/>
    <n v="45.65"/>
    <n v="323.45"/>
    <x v="0"/>
    <s v="No"/>
    <x v="1"/>
    <n v="323.45"/>
    <x v="0"/>
    <s v="Standard Spend"/>
  </r>
  <r>
    <s v="3536-IQCTX"/>
    <s v="Male"/>
    <x v="0"/>
    <n v="32"/>
    <x v="1"/>
    <x v="0"/>
    <n v="85.3"/>
    <n v="2661.1"/>
    <x v="1"/>
    <s v="No"/>
    <x v="0"/>
    <n v="2661.1"/>
    <x v="1"/>
    <s v="High Spend"/>
  </r>
  <r>
    <s v="4911-BANWH"/>
    <s v="Female"/>
    <x v="0"/>
    <n v="31"/>
    <x v="1"/>
    <x v="0"/>
    <n v="86.55"/>
    <n v="2697.4"/>
    <x v="1"/>
    <s v="Yes"/>
    <x v="3"/>
    <n v="2697.4"/>
    <x v="1"/>
    <s v="High Spend"/>
  </r>
  <r>
    <s v="8496-EJAUI"/>
    <s v="Male"/>
    <x v="0"/>
    <n v="19"/>
    <x v="1"/>
    <x v="0"/>
    <n v="73.849999999999994"/>
    <n v="1424.5"/>
    <x v="1"/>
    <s v="Yes"/>
    <x v="3"/>
    <n v="1424.5"/>
    <x v="1"/>
    <s v="Standard Spend"/>
  </r>
  <r>
    <s v="0794-YVSGE"/>
    <s v="Male"/>
    <x v="2"/>
    <n v="72"/>
    <x v="2"/>
    <x v="2"/>
    <n v="20.3"/>
    <n v="1401.15"/>
    <x v="0"/>
    <s v="No"/>
    <x v="2"/>
    <n v="1401.15"/>
    <x v="2"/>
    <s v="Standard Spend"/>
  </r>
  <r>
    <s v="5423-BHIXO"/>
    <s v="Female"/>
    <x v="0"/>
    <n v="32"/>
    <x v="0"/>
    <x v="0"/>
    <n v="54.2"/>
    <n v="1739.6"/>
    <x v="0"/>
    <s v="Yes"/>
    <x v="0"/>
    <n v="1739.6"/>
    <x v="1"/>
    <s v="Standard Spend"/>
  </r>
  <r>
    <s v="6908-VVYHM"/>
    <s v="Male"/>
    <x v="0"/>
    <n v="65"/>
    <x v="1"/>
    <x v="0"/>
    <n v="90.65"/>
    <n v="5931"/>
    <x v="0"/>
    <s v="Yes"/>
    <x v="0"/>
    <n v="5931"/>
    <x v="2"/>
    <s v="High Spend"/>
  </r>
  <r>
    <s v="2959-EEXWB"/>
    <s v="Female"/>
    <x v="0"/>
    <n v="45"/>
    <x v="0"/>
    <x v="0"/>
    <n v="50.9"/>
    <n v="2333.85"/>
    <x v="0"/>
    <s v="Yes"/>
    <x v="2"/>
    <n v="2333.85"/>
    <x v="2"/>
    <s v="Standard Spend"/>
  </r>
  <r>
    <s v="1839-UMACK"/>
    <s v="Male"/>
    <x v="1"/>
    <n v="42"/>
    <x v="2"/>
    <x v="2"/>
    <n v="25.05"/>
    <n v="949.85"/>
    <x v="0"/>
    <s v="No"/>
    <x v="0"/>
    <n v="949.85"/>
    <x v="2"/>
    <s v="Standard Spend"/>
  </r>
  <r>
    <s v="3030-YDNRM"/>
    <s v="Male"/>
    <x v="0"/>
    <n v="8"/>
    <x v="1"/>
    <x v="0"/>
    <n v="74.849999999999994"/>
    <n v="572.45000000000005"/>
    <x v="0"/>
    <s v="Yes"/>
    <x v="0"/>
    <n v="572.45000000000005"/>
    <x v="0"/>
    <s v="Standard Spend"/>
  </r>
  <r>
    <s v="7321-KKSDU"/>
    <s v="Male"/>
    <x v="2"/>
    <n v="32"/>
    <x v="2"/>
    <x v="2"/>
    <n v="20.5"/>
    <n v="696.8"/>
    <x v="0"/>
    <s v="No"/>
    <x v="1"/>
    <n v="696.8"/>
    <x v="1"/>
    <s v="Standard Spend"/>
  </r>
  <r>
    <s v="3402-XRIUO"/>
    <s v="Female"/>
    <x v="0"/>
    <n v="22"/>
    <x v="0"/>
    <x v="1"/>
    <n v="63.55"/>
    <n v="1381.8"/>
    <x v="0"/>
    <s v="Yes"/>
    <x v="1"/>
    <n v="1381.8"/>
    <x v="1"/>
    <s v="Standard Spend"/>
  </r>
  <r>
    <s v="3132-TVFDZ"/>
    <s v="Male"/>
    <x v="0"/>
    <n v="57"/>
    <x v="0"/>
    <x v="0"/>
    <n v="44.85"/>
    <n v="2572.9499999999998"/>
    <x v="1"/>
    <s v="Yes"/>
    <x v="0"/>
    <n v="2572.9499999999998"/>
    <x v="2"/>
    <s v="High Spend"/>
  </r>
  <r>
    <s v="8286-AFUYI"/>
    <s v="Male"/>
    <x v="0"/>
    <n v="1"/>
    <x v="0"/>
    <x v="0"/>
    <n v="47.95"/>
    <n v="47.95"/>
    <x v="0"/>
    <s v="No"/>
    <x v="0"/>
    <n v="47.95"/>
    <x v="0"/>
    <s v="Standard Spend"/>
  </r>
  <r>
    <s v="8080-DDEMJ"/>
    <s v="Male"/>
    <x v="0"/>
    <n v="1"/>
    <x v="0"/>
    <x v="0"/>
    <n v="45.1"/>
    <n v="45.1"/>
    <x v="1"/>
    <s v="No"/>
    <x v="0"/>
    <n v="45.1"/>
    <x v="0"/>
    <s v="Standard Spend"/>
  </r>
  <r>
    <s v="8356-WUAOJ"/>
    <s v="Female"/>
    <x v="0"/>
    <n v="1"/>
    <x v="0"/>
    <x v="0"/>
    <n v="45"/>
    <n v="45"/>
    <x v="0"/>
    <s v="Yes"/>
    <x v="0"/>
    <n v="45"/>
    <x v="0"/>
    <s v="Standard Spend"/>
  </r>
  <r>
    <s v="6365-MTGZX"/>
    <s v="Male"/>
    <x v="0"/>
    <n v="24"/>
    <x v="1"/>
    <x v="1"/>
    <n v="96"/>
    <n v="2122.4499999999998"/>
    <x v="1"/>
    <s v="Yes"/>
    <x v="0"/>
    <n v="2122.4499999999998"/>
    <x v="1"/>
    <s v="Standard Spend"/>
  </r>
  <r>
    <s v="1349-WXNGG"/>
    <s v="Male"/>
    <x v="0"/>
    <n v="1"/>
    <x v="2"/>
    <x v="2"/>
    <n v="20.05"/>
    <n v="20.05"/>
    <x v="1"/>
    <s v="No"/>
    <x v="2"/>
    <n v="20.05"/>
    <x v="0"/>
    <s v="Standard Spend"/>
  </r>
  <r>
    <s v="8058-DMYRU"/>
    <s v="Male"/>
    <x v="0"/>
    <n v="54"/>
    <x v="1"/>
    <x v="0"/>
    <n v="90.05"/>
    <n v="4931.8"/>
    <x v="0"/>
    <s v="Yes"/>
    <x v="0"/>
    <n v="4931.8"/>
    <x v="2"/>
    <s v="High Spend"/>
  </r>
  <r>
    <s v="9350-ZXYJC"/>
    <s v="Female"/>
    <x v="2"/>
    <n v="4"/>
    <x v="2"/>
    <x v="2"/>
    <n v="25.3"/>
    <n v="116.95"/>
    <x v="0"/>
    <s v="Yes"/>
    <x v="3"/>
    <n v="116.95"/>
    <x v="0"/>
    <s v="Standard Spend"/>
  </r>
  <r>
    <s v="6990-YNRIO"/>
    <s v="Male"/>
    <x v="2"/>
    <n v="65"/>
    <x v="1"/>
    <x v="1"/>
    <n v="108.65"/>
    <n v="6937.95"/>
    <x v="1"/>
    <s v="No"/>
    <x v="2"/>
    <n v="6937.95"/>
    <x v="2"/>
    <s v="High Spend"/>
  </r>
  <r>
    <s v="8958-JPTRR"/>
    <s v="Female"/>
    <x v="1"/>
    <n v="56"/>
    <x v="2"/>
    <x v="2"/>
    <n v="24.3"/>
    <n v="1261.7"/>
    <x v="0"/>
    <s v="No"/>
    <x v="0"/>
    <n v="1261.7"/>
    <x v="2"/>
    <s v="Standard Spend"/>
  </r>
  <r>
    <s v="6959-GQEGV"/>
    <s v="Male"/>
    <x v="0"/>
    <n v="45"/>
    <x v="0"/>
    <x v="0"/>
    <n v="75.95"/>
    <n v="3273.8"/>
    <x v="0"/>
    <s v="Yes"/>
    <x v="0"/>
    <n v="3273.8"/>
    <x v="2"/>
    <s v="High Spend"/>
  </r>
  <r>
    <s v="3173-WSSUE"/>
    <s v="Female"/>
    <x v="2"/>
    <n v="71"/>
    <x v="2"/>
    <x v="2"/>
    <n v="19.7"/>
    <n v="1415.85"/>
    <x v="0"/>
    <s v="No"/>
    <x v="3"/>
    <n v="1415.85"/>
    <x v="2"/>
    <s v="Standard Spend"/>
  </r>
  <r>
    <s v="1265-HVPZB"/>
    <s v="Male"/>
    <x v="1"/>
    <n v="59"/>
    <x v="0"/>
    <x v="0"/>
    <n v="66.400000000000006"/>
    <n v="3958.2"/>
    <x v="0"/>
    <s v="No"/>
    <x v="3"/>
    <n v="3958.2"/>
    <x v="2"/>
    <s v="High Spend"/>
  </r>
  <r>
    <s v="4115-UMJFQ"/>
    <s v="Male"/>
    <x v="1"/>
    <n v="69"/>
    <x v="0"/>
    <x v="0"/>
    <n v="35.75"/>
    <n v="2492.25"/>
    <x v="0"/>
    <s v="Yes"/>
    <x v="2"/>
    <n v="2492.25"/>
    <x v="2"/>
    <s v="Standard Spend"/>
  </r>
  <r>
    <s v="7369-TRPFD"/>
    <s v="Male"/>
    <x v="1"/>
    <n v="19"/>
    <x v="2"/>
    <x v="2"/>
    <n v="18.8"/>
    <n v="279.2"/>
    <x v="0"/>
    <s v="No"/>
    <x v="1"/>
    <n v="279.2"/>
    <x v="1"/>
    <s v="Standard Spend"/>
  </r>
  <r>
    <s v="1098-KFQEC"/>
    <s v="Female"/>
    <x v="2"/>
    <n v="55"/>
    <x v="2"/>
    <x v="2"/>
    <n v="19.399999999999999"/>
    <n v="1083"/>
    <x v="0"/>
    <s v="No"/>
    <x v="3"/>
    <n v="1083"/>
    <x v="2"/>
    <s v="Standard Spend"/>
  </r>
  <r>
    <s v="7190-XHTWJ"/>
    <s v="Female"/>
    <x v="1"/>
    <n v="38"/>
    <x v="2"/>
    <x v="2"/>
    <n v="19.3"/>
    <n v="755.5"/>
    <x v="0"/>
    <s v="No"/>
    <x v="1"/>
    <n v="755.5"/>
    <x v="2"/>
    <s v="Standard Spend"/>
  </r>
  <r>
    <s v="0621-TWIEM"/>
    <s v="Male"/>
    <x v="0"/>
    <n v="10"/>
    <x v="0"/>
    <x v="0"/>
    <n v="45.55"/>
    <n v="402.6"/>
    <x v="1"/>
    <s v="Yes"/>
    <x v="0"/>
    <n v="402.6"/>
    <x v="0"/>
    <s v="Standard Spend"/>
  </r>
  <r>
    <s v="3537-RYBHH"/>
    <s v="Female"/>
    <x v="0"/>
    <n v="47"/>
    <x v="0"/>
    <x v="0"/>
    <n v="67.45"/>
    <n v="3252"/>
    <x v="0"/>
    <s v="Yes"/>
    <x v="3"/>
    <n v="3252"/>
    <x v="2"/>
    <s v="High Spend"/>
  </r>
  <r>
    <s v="2485-ITVKB"/>
    <s v="Female"/>
    <x v="0"/>
    <n v="2"/>
    <x v="0"/>
    <x v="0"/>
    <n v="35.1"/>
    <n v="68.75"/>
    <x v="1"/>
    <s v="Yes"/>
    <x v="0"/>
    <n v="68.75"/>
    <x v="0"/>
    <s v="Standard Spend"/>
  </r>
  <r>
    <s v="3669-OYSJI"/>
    <s v="Male"/>
    <x v="0"/>
    <n v="1"/>
    <x v="0"/>
    <x v="0"/>
    <n v="46.2"/>
    <n v="46.2"/>
    <x v="1"/>
    <s v="No"/>
    <x v="3"/>
    <n v="46.2"/>
    <x v="0"/>
    <s v="Standard Spend"/>
  </r>
  <r>
    <s v="1612-EOHDH"/>
    <s v="Female"/>
    <x v="0"/>
    <n v="1"/>
    <x v="0"/>
    <x v="0"/>
    <n v="45.15"/>
    <n v="45.15"/>
    <x v="1"/>
    <s v="No"/>
    <x v="0"/>
    <n v="45.15"/>
    <x v="0"/>
    <s v="Standard Spend"/>
  </r>
  <r>
    <s v="6702-OHFWR"/>
    <s v="Male"/>
    <x v="0"/>
    <n v="1"/>
    <x v="0"/>
    <x v="0"/>
    <n v="43.3"/>
    <n v="43.3"/>
    <x v="1"/>
    <s v="Yes"/>
    <x v="0"/>
    <n v="43.3"/>
    <x v="0"/>
    <s v="Standard Spend"/>
  </r>
  <r>
    <s v="5296-BFCYD"/>
    <s v="Male"/>
    <x v="2"/>
    <n v="46"/>
    <x v="2"/>
    <x v="2"/>
    <n v="20.100000000000001"/>
    <n v="936.85"/>
    <x v="0"/>
    <s v="Yes"/>
    <x v="1"/>
    <n v="936.85"/>
    <x v="2"/>
    <s v="Standard Spend"/>
  </r>
  <r>
    <s v="4510-PYUSH"/>
    <s v="Female"/>
    <x v="0"/>
    <n v="38"/>
    <x v="0"/>
    <x v="0"/>
    <n v="57.15"/>
    <n v="2250.65"/>
    <x v="1"/>
    <s v="Yes"/>
    <x v="3"/>
    <n v="2250.65"/>
    <x v="2"/>
    <s v="Standard Spend"/>
  </r>
  <r>
    <s v="9359-JANWS"/>
    <s v="Female"/>
    <x v="2"/>
    <n v="65"/>
    <x v="0"/>
    <x v="1"/>
    <n v="58.9"/>
    <n v="3857.1"/>
    <x v="0"/>
    <s v="No"/>
    <x v="3"/>
    <n v="3857.1"/>
    <x v="2"/>
    <s v="High Spend"/>
  </r>
  <r>
    <s v="7517-SAWMO"/>
    <s v="Female"/>
    <x v="0"/>
    <n v="19"/>
    <x v="1"/>
    <x v="0"/>
    <n v="73.2"/>
    <n v="1441.1"/>
    <x v="1"/>
    <s v="Yes"/>
    <x v="0"/>
    <n v="1441.1"/>
    <x v="1"/>
    <s v="Standard Spend"/>
  </r>
  <r>
    <s v="4143-HHPMK"/>
    <s v="Male"/>
    <x v="0"/>
    <n v="52"/>
    <x v="1"/>
    <x v="0"/>
    <n v="85.35"/>
    <n v="4338.6000000000004"/>
    <x v="1"/>
    <s v="Yes"/>
    <x v="0"/>
    <n v="4338.6000000000004"/>
    <x v="2"/>
    <s v="High Spend"/>
  </r>
  <r>
    <s v="3279-DYZQM"/>
    <s v="Male"/>
    <x v="2"/>
    <n v="71"/>
    <x v="2"/>
    <x v="2"/>
    <n v="19.45"/>
    <n v="1378.45"/>
    <x v="0"/>
    <s v="No"/>
    <x v="1"/>
    <n v="1378.45"/>
    <x v="2"/>
    <s v="Standard Spend"/>
  </r>
  <r>
    <s v="7054-LGEQW"/>
    <s v="Female"/>
    <x v="0"/>
    <n v="1"/>
    <x v="0"/>
    <x v="0"/>
    <n v="45.95"/>
    <n v="45.95"/>
    <x v="1"/>
    <s v="No"/>
    <x v="1"/>
    <n v="45.95"/>
    <x v="0"/>
    <s v="Standard Spend"/>
  </r>
  <r>
    <s v="0523-VNGTF"/>
    <s v="Female"/>
    <x v="0"/>
    <n v="52"/>
    <x v="0"/>
    <x v="1"/>
    <n v="50.5"/>
    <n v="2566.3000000000002"/>
    <x v="0"/>
    <s v="Yes"/>
    <x v="0"/>
    <n v="2566.3000000000002"/>
    <x v="2"/>
    <s v="High Spend"/>
  </r>
  <r>
    <s v="9575-IWCAZ"/>
    <s v="Male"/>
    <x v="1"/>
    <n v="6"/>
    <x v="2"/>
    <x v="2"/>
    <n v="25.1"/>
    <n v="171"/>
    <x v="0"/>
    <s v="No"/>
    <x v="1"/>
    <n v="171"/>
    <x v="0"/>
    <s v="Standard Spend"/>
  </r>
  <r>
    <s v="7105-MXJLL"/>
    <s v="Female"/>
    <x v="1"/>
    <n v="26"/>
    <x v="0"/>
    <x v="0"/>
    <n v="60.7"/>
    <n v="1597.4"/>
    <x v="0"/>
    <s v="No"/>
    <x v="1"/>
    <n v="1597.4"/>
    <x v="1"/>
    <s v="Standard Spend"/>
  </r>
  <r>
    <s v="7064-FRRSW"/>
    <s v="Male"/>
    <x v="1"/>
    <n v="48"/>
    <x v="1"/>
    <x v="0"/>
    <n v="99"/>
    <n v="4744.3500000000004"/>
    <x v="0"/>
    <s v="Yes"/>
    <x v="0"/>
    <n v="4744.3500000000004"/>
    <x v="2"/>
    <s v="High Spend"/>
  </r>
  <r>
    <s v="7940-UQQUG"/>
    <s v="Female"/>
    <x v="1"/>
    <n v="64"/>
    <x v="1"/>
    <x v="1"/>
    <n v="104.4"/>
    <n v="6721.6"/>
    <x v="0"/>
    <s v="Yes"/>
    <x v="2"/>
    <n v="6721.6"/>
    <x v="2"/>
    <s v="High Spend"/>
  </r>
  <r>
    <s v="0923-PNFUB"/>
    <s v="Female"/>
    <x v="0"/>
    <n v="3"/>
    <x v="1"/>
    <x v="0"/>
    <n v="83.75"/>
    <n v="247.25"/>
    <x v="1"/>
    <s v="No"/>
    <x v="0"/>
    <n v="247.25"/>
    <x v="0"/>
    <s v="Standard Spend"/>
  </r>
  <r>
    <s v="3961-SXAXY"/>
    <s v="Male"/>
    <x v="0"/>
    <n v="1"/>
    <x v="0"/>
    <x v="0"/>
    <n v="44.05"/>
    <n v="44.05"/>
    <x v="0"/>
    <s v="Yes"/>
    <x v="2"/>
    <n v="44.05"/>
    <x v="0"/>
    <s v="Standard Spend"/>
  </r>
  <r>
    <s v="7010-BRBUU"/>
    <s v="Male"/>
    <x v="2"/>
    <n v="72"/>
    <x v="2"/>
    <x v="2"/>
    <n v="24.1"/>
    <n v="1734.65"/>
    <x v="0"/>
    <s v="No"/>
    <x v="3"/>
    <n v="1734.65"/>
    <x v="2"/>
    <s v="Standard Spend"/>
  </r>
  <r>
    <s v="3566-HJGPK"/>
    <s v="Male"/>
    <x v="0"/>
    <n v="1"/>
    <x v="0"/>
    <x v="0"/>
    <n v="45.55"/>
    <n v="45.55"/>
    <x v="0"/>
    <s v="Yes"/>
    <x v="1"/>
    <n v="45.55"/>
    <x v="0"/>
    <s v="Standard Spend"/>
  </r>
  <r>
    <s v="3062-ICYZQ"/>
    <s v="Female"/>
    <x v="0"/>
    <n v="51"/>
    <x v="1"/>
    <x v="0"/>
    <n v="93.8"/>
    <n v="4539.3500000000004"/>
    <x v="0"/>
    <s v="Yes"/>
    <x v="0"/>
    <n v="4539.3500000000004"/>
    <x v="2"/>
    <s v="High Spend"/>
  </r>
  <r>
    <s v="9938-PRCVK"/>
    <s v="Female"/>
    <x v="2"/>
    <n v="41"/>
    <x v="2"/>
    <x v="2"/>
    <n v="19.7"/>
    <n v="804.25"/>
    <x v="0"/>
    <s v="No"/>
    <x v="2"/>
    <n v="804.25"/>
    <x v="2"/>
    <s v="Standard Spend"/>
  </r>
  <r>
    <s v="0973-KYVNF"/>
    <s v="Female"/>
    <x v="2"/>
    <n v="72"/>
    <x v="0"/>
    <x v="0"/>
    <n v="70.650000000000006"/>
    <n v="5011.1499999999996"/>
    <x v="0"/>
    <s v="Yes"/>
    <x v="3"/>
    <n v="5011.1499999999996"/>
    <x v="2"/>
    <s v="High Spend"/>
  </r>
  <r>
    <s v="5129-HHMZC"/>
    <s v="Female"/>
    <x v="2"/>
    <n v="43"/>
    <x v="0"/>
    <x v="1"/>
    <n v="86.45"/>
    <n v="3574.5"/>
    <x v="0"/>
    <s v="No"/>
    <x v="3"/>
    <n v="3574.5"/>
    <x v="2"/>
    <s v="High Spend"/>
  </r>
  <r>
    <s v="9637-CDTKZ"/>
    <s v="Male"/>
    <x v="2"/>
    <n v="72"/>
    <x v="1"/>
    <x v="1"/>
    <n v="114.1"/>
    <n v="8086.4"/>
    <x v="0"/>
    <s v="Yes"/>
    <x v="3"/>
    <n v="8086.4"/>
    <x v="2"/>
    <s v="High Spend"/>
  </r>
  <r>
    <s v="3946-JEWRQ"/>
    <s v="Male"/>
    <x v="1"/>
    <n v="47"/>
    <x v="1"/>
    <x v="0"/>
    <n v="95.2"/>
    <n v="4563"/>
    <x v="0"/>
    <s v="Yes"/>
    <x v="3"/>
    <n v="4563"/>
    <x v="2"/>
    <s v="High Spend"/>
  </r>
  <r>
    <s v="7873-CVMAW"/>
    <s v="Male"/>
    <x v="2"/>
    <n v="72"/>
    <x v="0"/>
    <x v="1"/>
    <n v="88.55"/>
    <n v="6362.35"/>
    <x v="0"/>
    <s v="No"/>
    <x v="3"/>
    <n v="6362.35"/>
    <x v="2"/>
    <s v="High Spend"/>
  </r>
  <r>
    <s v="0463-WZZKO"/>
    <s v="Male"/>
    <x v="0"/>
    <n v="3"/>
    <x v="2"/>
    <x v="2"/>
    <n v="20.75"/>
    <n v="67.099999999999994"/>
    <x v="0"/>
    <s v="Yes"/>
    <x v="3"/>
    <n v="67.099999999999994"/>
    <x v="0"/>
    <s v="Standard Spend"/>
  </r>
  <r>
    <s v="3494-JCHRQ"/>
    <s v="Male"/>
    <x v="0"/>
    <n v="1"/>
    <x v="1"/>
    <x v="0"/>
    <n v="70.05"/>
    <n v="70.05"/>
    <x v="1"/>
    <s v="Yes"/>
    <x v="0"/>
    <n v="70.05"/>
    <x v="0"/>
    <s v="Standard Spend"/>
  </r>
  <r>
    <s v="6474-FVJLC"/>
    <s v="Male"/>
    <x v="0"/>
    <n v="2"/>
    <x v="1"/>
    <x v="0"/>
    <n v="86"/>
    <n v="165.45"/>
    <x v="1"/>
    <s v="Yes"/>
    <x v="0"/>
    <n v="165.45"/>
    <x v="0"/>
    <s v="Standard Spend"/>
  </r>
  <r>
    <s v="4524-QCSSM"/>
    <s v="Male"/>
    <x v="0"/>
    <n v="26"/>
    <x v="0"/>
    <x v="0"/>
    <n v="44.65"/>
    <n v="1156.55"/>
    <x v="0"/>
    <s v="Yes"/>
    <x v="2"/>
    <n v="1156.55"/>
    <x v="1"/>
    <s v="Standard Spend"/>
  </r>
  <r>
    <s v="5832-EXGTT"/>
    <s v="Male"/>
    <x v="0"/>
    <n v="29"/>
    <x v="0"/>
    <x v="0"/>
    <n v="60.2"/>
    <n v="1834.15"/>
    <x v="0"/>
    <s v="Yes"/>
    <x v="1"/>
    <n v="1834.15"/>
    <x v="1"/>
    <s v="Standard Spend"/>
  </r>
  <r>
    <s v="8840-DQLGN"/>
    <s v="Female"/>
    <x v="0"/>
    <n v="35"/>
    <x v="1"/>
    <x v="1"/>
    <n v="100.5"/>
    <n v="3653.35"/>
    <x v="1"/>
    <s v="Yes"/>
    <x v="2"/>
    <n v="3653.35"/>
    <x v="1"/>
    <s v="High Spend"/>
  </r>
  <r>
    <s v="2039-JONDJ"/>
    <s v="Male"/>
    <x v="1"/>
    <n v="27"/>
    <x v="0"/>
    <x v="0"/>
    <n v="55.45"/>
    <n v="1477.65"/>
    <x v="0"/>
    <s v="No"/>
    <x v="2"/>
    <n v="1477.65"/>
    <x v="1"/>
    <s v="Standard Spend"/>
  </r>
  <r>
    <s v="7217-JYHOQ"/>
    <s v="Male"/>
    <x v="0"/>
    <n v="24"/>
    <x v="0"/>
    <x v="1"/>
    <n v="70.3"/>
    <n v="1706.45"/>
    <x v="0"/>
    <s v="Yes"/>
    <x v="3"/>
    <n v="1706.45"/>
    <x v="1"/>
    <s v="Standard Spend"/>
  </r>
  <r>
    <s v="6695-FRVEC"/>
    <s v="Male"/>
    <x v="2"/>
    <n v="67"/>
    <x v="0"/>
    <x v="1"/>
    <n v="60.4"/>
    <n v="3953.7"/>
    <x v="0"/>
    <s v="Yes"/>
    <x v="2"/>
    <n v="3953.7"/>
    <x v="2"/>
    <s v="High Spend"/>
  </r>
  <r>
    <s v="4547-LYTDD"/>
    <s v="Female"/>
    <x v="0"/>
    <n v="16"/>
    <x v="1"/>
    <x v="0"/>
    <n v="72.650000000000006"/>
    <n v="1194.3"/>
    <x v="1"/>
    <s v="No"/>
    <x v="0"/>
    <n v="1194.3"/>
    <x v="1"/>
    <s v="Standard Spend"/>
  </r>
  <r>
    <s v="9894-QMIMJ"/>
    <s v="Female"/>
    <x v="1"/>
    <n v="23"/>
    <x v="0"/>
    <x v="0"/>
    <n v="55.8"/>
    <n v="1327.85"/>
    <x v="0"/>
    <s v="No"/>
    <x v="2"/>
    <n v="1327.85"/>
    <x v="1"/>
    <s v="Standard Spend"/>
  </r>
  <r>
    <s v="8069-YQQAJ"/>
    <s v="Male"/>
    <x v="0"/>
    <n v="14"/>
    <x v="0"/>
    <x v="0"/>
    <n v="31.1"/>
    <n v="419.7"/>
    <x v="0"/>
    <s v="Yes"/>
    <x v="1"/>
    <n v="419.7"/>
    <x v="1"/>
    <s v="Standard Spend"/>
  </r>
  <r>
    <s v="6770-XUAGN"/>
    <s v="Female"/>
    <x v="0"/>
    <n v="1"/>
    <x v="2"/>
    <x v="2"/>
    <n v="21"/>
    <n v="21"/>
    <x v="1"/>
    <s v="Yes"/>
    <x v="0"/>
    <n v="21"/>
    <x v="0"/>
    <s v="Standard Spend"/>
  </r>
  <r>
    <s v="4193-ORFCL"/>
    <s v="Female"/>
    <x v="0"/>
    <n v="1"/>
    <x v="0"/>
    <x v="0"/>
    <n v="45.1"/>
    <n v="45.1"/>
    <x v="1"/>
    <s v="No"/>
    <x v="1"/>
    <n v="45.1"/>
    <x v="0"/>
    <s v="Standard Spend"/>
  </r>
  <r>
    <s v="1636-NTNCO"/>
    <s v="Male"/>
    <x v="0"/>
    <n v="4"/>
    <x v="0"/>
    <x v="0"/>
    <n v="50.95"/>
    <n v="207.35"/>
    <x v="0"/>
    <s v="Yes"/>
    <x v="3"/>
    <n v="207.35"/>
    <x v="0"/>
    <s v="Standard Spend"/>
  </r>
  <r>
    <s v="3466-WAESX"/>
    <s v="Male"/>
    <x v="0"/>
    <n v="16"/>
    <x v="0"/>
    <x v="0"/>
    <n v="69.099999999999994"/>
    <n v="1083.7"/>
    <x v="0"/>
    <s v="Yes"/>
    <x v="0"/>
    <n v="1083.7"/>
    <x v="1"/>
    <s v="Standard Spend"/>
  </r>
  <r>
    <s v="9281-PKKZE"/>
    <s v="Female"/>
    <x v="0"/>
    <n v="46"/>
    <x v="0"/>
    <x v="0"/>
    <n v="43.95"/>
    <n v="2007.85"/>
    <x v="0"/>
    <s v="Yes"/>
    <x v="0"/>
    <n v="2007.85"/>
    <x v="2"/>
    <s v="Standard Spend"/>
  </r>
  <r>
    <s v="3638-VBZTA"/>
    <s v="Male"/>
    <x v="2"/>
    <n v="68"/>
    <x v="0"/>
    <x v="1"/>
    <n v="86.5"/>
    <n v="5882.75"/>
    <x v="0"/>
    <s v="Yes"/>
    <x v="2"/>
    <n v="5882.75"/>
    <x v="2"/>
    <s v="High Spend"/>
  </r>
  <r>
    <s v="7459-IMVYU"/>
    <s v="Male"/>
    <x v="0"/>
    <n v="38"/>
    <x v="0"/>
    <x v="1"/>
    <n v="69.95"/>
    <n v="2657.55"/>
    <x v="0"/>
    <s v="No"/>
    <x v="0"/>
    <n v="2657.55"/>
    <x v="2"/>
    <s v="High Spend"/>
  </r>
  <r>
    <s v="7776-QWNFX"/>
    <s v="Male"/>
    <x v="0"/>
    <n v="30"/>
    <x v="0"/>
    <x v="0"/>
    <n v="50.4"/>
    <n v="1527.5"/>
    <x v="1"/>
    <s v="Yes"/>
    <x v="2"/>
    <n v="1527.5"/>
    <x v="1"/>
    <s v="Standard Spend"/>
  </r>
  <r>
    <s v="6689-TCZHQ"/>
    <s v="Female"/>
    <x v="0"/>
    <n v="5"/>
    <x v="1"/>
    <x v="0"/>
    <n v="78.95"/>
    <n v="378.4"/>
    <x v="1"/>
    <s v="No"/>
    <x v="0"/>
    <n v="378.4"/>
    <x v="0"/>
    <s v="Standard Spend"/>
  </r>
  <r>
    <s v="8563-OYMQY"/>
    <s v="Male"/>
    <x v="0"/>
    <n v="17"/>
    <x v="1"/>
    <x v="0"/>
    <n v="90.95"/>
    <n v="1612.2"/>
    <x v="0"/>
    <s v="Yes"/>
    <x v="3"/>
    <n v="1612.2"/>
    <x v="1"/>
    <s v="Standard Spend"/>
  </r>
  <r>
    <s v="0754-EEBDC"/>
    <s v="Male"/>
    <x v="2"/>
    <n v="4"/>
    <x v="2"/>
    <x v="2"/>
    <n v="19.899999999999999"/>
    <n v="76.650000000000006"/>
    <x v="0"/>
    <s v="No"/>
    <x v="1"/>
    <n v="76.650000000000006"/>
    <x v="0"/>
    <s v="Standard Spend"/>
  </r>
  <r>
    <s v="5777-ZPQNC"/>
    <s v="Female"/>
    <x v="1"/>
    <n v="12"/>
    <x v="2"/>
    <x v="2"/>
    <n v="20.149999999999999"/>
    <n v="260.7"/>
    <x v="0"/>
    <s v="No"/>
    <x v="0"/>
    <n v="260.7"/>
    <x v="0"/>
    <s v="Standard Spend"/>
  </r>
  <r>
    <s v="1951-IEYXM"/>
    <s v="Male"/>
    <x v="2"/>
    <n v="72"/>
    <x v="0"/>
    <x v="1"/>
    <n v="90.6"/>
    <n v="6441.85"/>
    <x v="0"/>
    <s v="Yes"/>
    <x v="3"/>
    <n v="6441.85"/>
    <x v="2"/>
    <s v="High Spend"/>
  </r>
  <r>
    <s v="3318-NMQXL"/>
    <s v="Male"/>
    <x v="0"/>
    <n v="3"/>
    <x v="1"/>
    <x v="0"/>
    <n v="92"/>
    <n v="266.8"/>
    <x v="0"/>
    <s v="Yes"/>
    <x v="0"/>
    <n v="266.8"/>
    <x v="0"/>
    <s v="Standard Spend"/>
  </r>
  <r>
    <s v="3143-ILDAL"/>
    <s v="Male"/>
    <x v="0"/>
    <n v="56"/>
    <x v="1"/>
    <x v="1"/>
    <n v="94.45"/>
    <n v="5124.6000000000004"/>
    <x v="1"/>
    <s v="Yes"/>
    <x v="0"/>
    <n v="5124.6000000000004"/>
    <x v="2"/>
    <s v="High Spend"/>
  </r>
  <r>
    <s v="1022-RKXDR"/>
    <s v="Female"/>
    <x v="1"/>
    <n v="41"/>
    <x v="2"/>
    <x v="2"/>
    <n v="24.85"/>
    <n v="962.25"/>
    <x v="0"/>
    <s v="Yes"/>
    <x v="1"/>
    <n v="962.25"/>
    <x v="2"/>
    <s v="Standard Spend"/>
  </r>
  <r>
    <s v="2361-FJWNO"/>
    <s v="Male"/>
    <x v="1"/>
    <n v="40"/>
    <x v="0"/>
    <x v="1"/>
    <n v="36"/>
    <n v="1382.9"/>
    <x v="0"/>
    <s v="No"/>
    <x v="3"/>
    <n v="1382.9"/>
    <x v="2"/>
    <s v="Standard Spend"/>
  </r>
  <r>
    <s v="2272-UOINI"/>
    <s v="Female"/>
    <x v="0"/>
    <n v="7"/>
    <x v="0"/>
    <x v="1"/>
    <n v="78.5"/>
    <n v="571.04999999999995"/>
    <x v="0"/>
    <s v="Yes"/>
    <x v="0"/>
    <n v="571.04999999999995"/>
    <x v="0"/>
    <s v="Standard Spend"/>
  </r>
  <r>
    <s v="8232-UTFOZ"/>
    <s v="Male"/>
    <x v="2"/>
    <n v="69"/>
    <x v="2"/>
    <x v="2"/>
    <n v="19.95"/>
    <n v="1399.35"/>
    <x v="0"/>
    <s v="No"/>
    <x v="3"/>
    <n v="1399.35"/>
    <x v="2"/>
    <s v="Standard Spend"/>
  </r>
  <r>
    <s v="3750-YHRYO"/>
    <s v="Male"/>
    <x v="1"/>
    <n v="7"/>
    <x v="2"/>
    <x v="2"/>
    <n v="20.65"/>
    <n v="150"/>
    <x v="0"/>
    <s v="No"/>
    <x v="1"/>
    <n v="150"/>
    <x v="0"/>
    <s v="Standard Spend"/>
  </r>
  <r>
    <s v="6637-KYRCV"/>
    <s v="Female"/>
    <x v="0"/>
    <n v="5"/>
    <x v="0"/>
    <x v="0"/>
    <n v="30.5"/>
    <n v="167.2"/>
    <x v="0"/>
    <s v="Yes"/>
    <x v="0"/>
    <n v="167.2"/>
    <x v="0"/>
    <s v="Standard Spend"/>
  </r>
  <r>
    <s v="5668-MEISB"/>
    <s v="Female"/>
    <x v="2"/>
    <n v="72"/>
    <x v="1"/>
    <x v="1"/>
    <n v="106.1"/>
    <n v="7657.4"/>
    <x v="0"/>
    <s v="No"/>
    <x v="3"/>
    <n v="7657.4"/>
    <x v="2"/>
    <s v="High Spend"/>
  </r>
  <r>
    <s v="0129-QMPDR"/>
    <s v="Male"/>
    <x v="1"/>
    <n v="44"/>
    <x v="2"/>
    <x v="2"/>
    <n v="20.5"/>
    <n v="865.05"/>
    <x v="0"/>
    <s v="Yes"/>
    <x v="2"/>
    <n v="865.05"/>
    <x v="2"/>
    <s v="Standard Spend"/>
  </r>
  <r>
    <s v="7188-CBBBA"/>
    <s v="Female"/>
    <x v="1"/>
    <n v="65"/>
    <x v="1"/>
    <x v="0"/>
    <n v="95.5"/>
    <n v="6153.85"/>
    <x v="0"/>
    <s v="Yes"/>
    <x v="0"/>
    <n v="6153.85"/>
    <x v="2"/>
    <s v="High Spend"/>
  </r>
  <r>
    <s v="5356-CSVSQ"/>
    <s v="Female"/>
    <x v="0"/>
    <n v="3"/>
    <x v="0"/>
    <x v="1"/>
    <n v="64.599999999999994"/>
    <n v="174.2"/>
    <x v="0"/>
    <s v="No"/>
    <x v="0"/>
    <n v="174.2"/>
    <x v="0"/>
    <s v="Standard Spend"/>
  </r>
  <r>
    <s v="3221-CJMSG"/>
    <s v="Male"/>
    <x v="0"/>
    <n v="24"/>
    <x v="0"/>
    <x v="1"/>
    <n v="51.1"/>
    <n v="1269.5999999999999"/>
    <x v="0"/>
    <s v="Yes"/>
    <x v="3"/>
    <n v="1269.5999999999999"/>
    <x v="1"/>
    <s v="Standard Spend"/>
  </r>
  <r>
    <s v="4720-VSTSI"/>
    <s v="Female"/>
    <x v="0"/>
    <n v="44"/>
    <x v="1"/>
    <x v="0"/>
    <n v="84.8"/>
    <n v="3862.55"/>
    <x v="1"/>
    <s v="Yes"/>
    <x v="2"/>
    <n v="3862.55"/>
    <x v="2"/>
    <s v="High Spend"/>
  </r>
  <r>
    <s v="3219-JQRSL"/>
    <s v="Female"/>
    <x v="2"/>
    <n v="72"/>
    <x v="0"/>
    <x v="1"/>
    <n v="89.1"/>
    <n v="6352.4"/>
    <x v="0"/>
    <s v="No"/>
    <x v="3"/>
    <n v="6352.4"/>
    <x v="2"/>
    <s v="High Spend"/>
  </r>
  <r>
    <s v="2801-NISEI"/>
    <s v="Male"/>
    <x v="0"/>
    <n v="24"/>
    <x v="0"/>
    <x v="1"/>
    <n v="54.95"/>
    <n v="1348.5"/>
    <x v="0"/>
    <s v="No"/>
    <x v="0"/>
    <n v="1348.5"/>
    <x v="1"/>
    <s v="Standard Spend"/>
  </r>
  <r>
    <s v="3946-MHCZW"/>
    <s v="Male"/>
    <x v="0"/>
    <n v="1"/>
    <x v="0"/>
    <x v="0"/>
    <n v="50.9"/>
    <n v="50.9"/>
    <x v="1"/>
    <s v="No"/>
    <x v="1"/>
    <n v="50.9"/>
    <x v="0"/>
    <s v="Standard Spend"/>
  </r>
  <r>
    <s v="4623-ZKHLY"/>
    <s v="Male"/>
    <x v="0"/>
    <n v="22"/>
    <x v="2"/>
    <x v="2"/>
    <n v="20.45"/>
    <n v="471.55"/>
    <x v="0"/>
    <s v="Yes"/>
    <x v="2"/>
    <n v="471.55"/>
    <x v="1"/>
    <s v="Standard Spend"/>
  </r>
  <r>
    <s v="6732-VAILE"/>
    <s v="Male"/>
    <x v="2"/>
    <n v="70"/>
    <x v="0"/>
    <x v="1"/>
    <n v="85.95"/>
    <n v="5931.75"/>
    <x v="0"/>
    <s v="Yes"/>
    <x v="3"/>
    <n v="5931.75"/>
    <x v="2"/>
    <s v="High Spend"/>
  </r>
  <r>
    <s v="8201-AAXCB"/>
    <s v="Male"/>
    <x v="0"/>
    <n v="25"/>
    <x v="0"/>
    <x v="0"/>
    <n v="60.35"/>
    <n v="1404.65"/>
    <x v="0"/>
    <s v="No"/>
    <x v="0"/>
    <n v="1404.65"/>
    <x v="1"/>
    <s v="Standard Spend"/>
  </r>
  <r>
    <s v="7696-CFTAT"/>
    <s v="Male"/>
    <x v="2"/>
    <n v="37"/>
    <x v="2"/>
    <x v="2"/>
    <n v="19.8"/>
    <n v="726.1"/>
    <x v="0"/>
    <s v="No"/>
    <x v="2"/>
    <n v="726.1"/>
    <x v="2"/>
    <s v="Standard Spend"/>
  </r>
  <r>
    <s v="1845-CSBRZ"/>
    <s v="Female"/>
    <x v="0"/>
    <n v="22"/>
    <x v="1"/>
    <x v="0"/>
    <n v="85.35"/>
    <n v="1961.6"/>
    <x v="0"/>
    <s v="No"/>
    <x v="2"/>
    <n v="1961.6"/>
    <x v="1"/>
    <s v="Standard Spend"/>
  </r>
  <r>
    <s v="2123-VSCOT"/>
    <s v="Female"/>
    <x v="2"/>
    <n v="59"/>
    <x v="0"/>
    <x v="1"/>
    <n v="72.099999999999994"/>
    <n v="4194.8500000000004"/>
    <x v="0"/>
    <s v="Yes"/>
    <x v="2"/>
    <n v="4194.8500000000004"/>
    <x v="2"/>
    <s v="High Spend"/>
  </r>
  <r>
    <s v="6651-AZVTJ"/>
    <s v="Male"/>
    <x v="0"/>
    <n v="49"/>
    <x v="1"/>
    <x v="0"/>
    <n v="99.8"/>
    <n v="4872.45"/>
    <x v="1"/>
    <s v="Yes"/>
    <x v="0"/>
    <n v="4872.45"/>
    <x v="2"/>
    <s v="High Spend"/>
  </r>
  <r>
    <s v="4566-GOLUK"/>
    <s v="Male"/>
    <x v="0"/>
    <n v="47"/>
    <x v="1"/>
    <x v="1"/>
    <n v="107.35"/>
    <n v="5118.95"/>
    <x v="1"/>
    <s v="Yes"/>
    <x v="2"/>
    <n v="5118.95"/>
    <x v="2"/>
    <s v="High Spend"/>
  </r>
  <r>
    <s v="2484-DGXPZ"/>
    <s v="Female"/>
    <x v="0"/>
    <n v="31"/>
    <x v="2"/>
    <x v="2"/>
    <n v="19.55"/>
    <n v="658.95"/>
    <x v="1"/>
    <s v="Yes"/>
    <x v="1"/>
    <n v="658.95"/>
    <x v="1"/>
    <s v="Standard Spend"/>
  </r>
  <r>
    <s v="2018-QKYGT"/>
    <s v="Male"/>
    <x v="0"/>
    <n v="1"/>
    <x v="1"/>
    <x v="0"/>
    <n v="81.05"/>
    <n v="81.05"/>
    <x v="0"/>
    <s v="Yes"/>
    <x v="0"/>
    <n v="81.05"/>
    <x v="0"/>
    <s v="Standard Spend"/>
  </r>
  <r>
    <s v="2792-VPPET"/>
    <s v="Male"/>
    <x v="0"/>
    <n v="3"/>
    <x v="2"/>
    <x v="2"/>
    <n v="20.5"/>
    <n v="76.95"/>
    <x v="0"/>
    <s v="Yes"/>
    <x v="0"/>
    <n v="76.95"/>
    <x v="0"/>
    <s v="Standard Spend"/>
  </r>
  <r>
    <s v="7409-JURKQ"/>
    <s v="Female"/>
    <x v="1"/>
    <n v="53"/>
    <x v="1"/>
    <x v="1"/>
    <n v="111.8"/>
    <n v="5809.75"/>
    <x v="0"/>
    <s v="Yes"/>
    <x v="2"/>
    <n v="5809.75"/>
    <x v="2"/>
    <s v="High Spend"/>
  </r>
  <r>
    <s v="3247-MHJKM"/>
    <s v="Male"/>
    <x v="0"/>
    <n v="1"/>
    <x v="2"/>
    <x v="2"/>
    <n v="20.2"/>
    <n v="20.2"/>
    <x v="0"/>
    <s v="No"/>
    <x v="1"/>
    <n v="20.2"/>
    <x v="0"/>
    <s v="Standard Spend"/>
  </r>
  <r>
    <s v="1964-SVLEA"/>
    <s v="Male"/>
    <x v="1"/>
    <n v="20"/>
    <x v="2"/>
    <x v="2"/>
    <n v="19.7"/>
    <n v="415.9"/>
    <x v="0"/>
    <s v="Yes"/>
    <x v="1"/>
    <n v="415.9"/>
    <x v="1"/>
    <s v="Standard Spend"/>
  </r>
  <r>
    <s v="4587-NUKOX"/>
    <s v="Female"/>
    <x v="0"/>
    <n v="3"/>
    <x v="1"/>
    <x v="0"/>
    <n v="79.099999999999994"/>
    <n v="246.5"/>
    <x v="1"/>
    <s v="Yes"/>
    <x v="0"/>
    <n v="246.5"/>
    <x v="0"/>
    <s v="Standard Spend"/>
  </r>
  <r>
    <s v="7297-DVYGA"/>
    <s v="Female"/>
    <x v="1"/>
    <n v="51"/>
    <x v="2"/>
    <x v="2"/>
    <n v="19.850000000000001"/>
    <n v="996.95"/>
    <x v="0"/>
    <s v="Yes"/>
    <x v="2"/>
    <n v="996.95"/>
    <x v="2"/>
    <s v="Standard Spend"/>
  </r>
  <r>
    <s v="2239-CGBUZ"/>
    <s v="Female"/>
    <x v="1"/>
    <n v="51"/>
    <x v="0"/>
    <x v="1"/>
    <n v="60.5"/>
    <n v="3145.15"/>
    <x v="0"/>
    <s v="Yes"/>
    <x v="2"/>
    <n v="3145.15"/>
    <x v="2"/>
    <s v="High Spend"/>
  </r>
  <r>
    <s v="0854-UYHZD"/>
    <s v="Female"/>
    <x v="2"/>
    <n v="13"/>
    <x v="2"/>
    <x v="2"/>
    <n v="19.55"/>
    <n v="265.3"/>
    <x v="0"/>
    <s v="No"/>
    <x v="1"/>
    <n v="265.3"/>
    <x v="1"/>
    <s v="Standard Spend"/>
  </r>
  <r>
    <s v="7243-LCGGZ"/>
    <s v="Female"/>
    <x v="0"/>
    <n v="1"/>
    <x v="2"/>
    <x v="2"/>
    <n v="20.9"/>
    <n v="20.9"/>
    <x v="0"/>
    <s v="No"/>
    <x v="1"/>
    <n v="20.9"/>
    <x v="0"/>
    <s v="Standard Spend"/>
  </r>
  <r>
    <s v="8267-KFGYD"/>
    <s v="Male"/>
    <x v="0"/>
    <n v="1"/>
    <x v="2"/>
    <x v="2"/>
    <n v="21.05"/>
    <n v="21.05"/>
    <x v="0"/>
    <s v="Yes"/>
    <x v="1"/>
    <n v="21.05"/>
    <x v="0"/>
    <s v="Standard Spend"/>
  </r>
  <r>
    <s v="4890-VMUAV"/>
    <s v="Male"/>
    <x v="1"/>
    <n v="63"/>
    <x v="0"/>
    <x v="1"/>
    <n v="71.5"/>
    <n v="4576.3"/>
    <x v="0"/>
    <s v="No"/>
    <x v="0"/>
    <n v="4576.3"/>
    <x v="2"/>
    <s v="High Spend"/>
  </r>
  <r>
    <s v="9261-WDCAF"/>
    <s v="Male"/>
    <x v="0"/>
    <n v="3"/>
    <x v="0"/>
    <x v="0"/>
    <n v="54.65"/>
    <n v="189.1"/>
    <x v="0"/>
    <s v="No"/>
    <x v="1"/>
    <n v="189.1"/>
    <x v="0"/>
    <s v="Standard Spend"/>
  </r>
  <r>
    <s v="3764-MNMOI"/>
    <s v="Male"/>
    <x v="2"/>
    <n v="46"/>
    <x v="2"/>
    <x v="2"/>
    <n v="19.2"/>
    <n v="908.15"/>
    <x v="0"/>
    <s v="No"/>
    <x v="3"/>
    <n v="908.15"/>
    <x v="2"/>
    <s v="Standard Spend"/>
  </r>
  <r>
    <s v="7442-YGZFK"/>
    <s v="Male"/>
    <x v="0"/>
    <n v="1"/>
    <x v="0"/>
    <x v="0"/>
    <n v="49.8"/>
    <n v="49.8"/>
    <x v="0"/>
    <s v="Yes"/>
    <x v="3"/>
    <n v="49.8"/>
    <x v="0"/>
    <s v="Standard Spend"/>
  </r>
  <r>
    <s v="0420-BWTPW"/>
    <s v="Male"/>
    <x v="0"/>
    <n v="8"/>
    <x v="0"/>
    <x v="0"/>
    <n v="25.5"/>
    <n v="215.2"/>
    <x v="1"/>
    <s v="No"/>
    <x v="1"/>
    <n v="215.2"/>
    <x v="0"/>
    <s v="Standard Spend"/>
  </r>
  <r>
    <s v="8229-BUJHX"/>
    <s v="Female"/>
    <x v="2"/>
    <n v="71"/>
    <x v="2"/>
    <x v="2"/>
    <n v="20.5"/>
    <n v="1500.95"/>
    <x v="0"/>
    <s v="No"/>
    <x v="2"/>
    <n v="1500.95"/>
    <x v="2"/>
    <s v="Standard Spend"/>
  </r>
  <r>
    <s v="7449-HVPIV"/>
    <s v="Male"/>
    <x v="0"/>
    <n v="55"/>
    <x v="1"/>
    <x v="0"/>
    <n v="90.4"/>
    <n v="5099.1499999999996"/>
    <x v="0"/>
    <s v="Yes"/>
    <x v="3"/>
    <n v="5099.1499999999996"/>
    <x v="2"/>
    <s v="High Spend"/>
  </r>
  <r>
    <s v="5504-WSIUR"/>
    <s v="Female"/>
    <x v="1"/>
    <n v="70"/>
    <x v="1"/>
    <x v="1"/>
    <n v="90.25"/>
    <n v="6385.95"/>
    <x v="0"/>
    <s v="Yes"/>
    <x v="2"/>
    <n v="6385.95"/>
    <x v="2"/>
    <s v="High Spend"/>
  </r>
  <r>
    <s v="8183-ONMXC"/>
    <s v="Female"/>
    <x v="0"/>
    <n v="2"/>
    <x v="1"/>
    <x v="0"/>
    <n v="80.75"/>
    <n v="159.44999999999999"/>
    <x v="1"/>
    <s v="No"/>
    <x v="0"/>
    <n v="159.44999999999999"/>
    <x v="0"/>
    <s v="Standard Spend"/>
  </r>
  <r>
    <s v="8466-PZBLH"/>
    <s v="Male"/>
    <x v="2"/>
    <n v="67"/>
    <x v="1"/>
    <x v="1"/>
    <n v="104.6"/>
    <n v="6885.75"/>
    <x v="0"/>
    <s v="No"/>
    <x v="2"/>
    <n v="6885.75"/>
    <x v="2"/>
    <s v="High Spend"/>
  </r>
  <r>
    <s v="9614-RMGHA"/>
    <s v="Male"/>
    <x v="0"/>
    <n v="65"/>
    <x v="1"/>
    <x v="0"/>
    <n v="91.85"/>
    <n v="5940.85"/>
    <x v="1"/>
    <s v="Yes"/>
    <x v="2"/>
    <n v="5940.85"/>
    <x v="2"/>
    <s v="High Spend"/>
  </r>
  <r>
    <s v="8735-IJJEG"/>
    <s v="Male"/>
    <x v="0"/>
    <n v="14"/>
    <x v="0"/>
    <x v="0"/>
    <n v="50.2"/>
    <n v="668.85"/>
    <x v="0"/>
    <s v="No"/>
    <x v="3"/>
    <n v="668.85"/>
    <x v="1"/>
    <s v="Standard Spend"/>
  </r>
  <r>
    <s v="0564-MUUQK"/>
    <s v="Female"/>
    <x v="0"/>
    <n v="20"/>
    <x v="1"/>
    <x v="1"/>
    <n v="95.5"/>
    <n v="1916.2"/>
    <x v="0"/>
    <s v="Yes"/>
    <x v="2"/>
    <n v="1916.2"/>
    <x v="1"/>
    <s v="Standard Spend"/>
  </r>
  <r>
    <s v="5054-IEXZT"/>
    <s v="Male"/>
    <x v="0"/>
    <n v="1"/>
    <x v="1"/>
    <x v="0"/>
    <n v="75.349999999999994"/>
    <n v="75.349999999999994"/>
    <x v="1"/>
    <s v="Yes"/>
    <x v="0"/>
    <n v="75.349999999999994"/>
    <x v="0"/>
    <s v="Standard Spend"/>
  </r>
  <r>
    <s v="5834-ASPWA"/>
    <s v="Male"/>
    <x v="0"/>
    <n v="1"/>
    <x v="1"/>
    <x v="0"/>
    <n v="75.45"/>
    <n v="75.45"/>
    <x v="1"/>
    <s v="Yes"/>
    <x v="0"/>
    <n v="75.45"/>
    <x v="0"/>
    <s v="Standard Spend"/>
  </r>
  <r>
    <s v="0701-RFGFI"/>
    <s v="Female"/>
    <x v="0"/>
    <n v="49"/>
    <x v="1"/>
    <x v="0"/>
    <n v="95.4"/>
    <n v="4613.95"/>
    <x v="0"/>
    <s v="Yes"/>
    <x v="2"/>
    <n v="4613.95"/>
    <x v="2"/>
    <s v="High Spend"/>
  </r>
  <r>
    <s v="0019-EFAEP"/>
    <s v="Female"/>
    <x v="2"/>
    <n v="72"/>
    <x v="1"/>
    <x v="0"/>
    <n v="101.3"/>
    <n v="7261.25"/>
    <x v="0"/>
    <s v="Yes"/>
    <x v="2"/>
    <n v="7261.25"/>
    <x v="2"/>
    <s v="High Spend"/>
  </r>
  <r>
    <s v="5619-PTMIK"/>
    <s v="Female"/>
    <x v="0"/>
    <n v="46"/>
    <x v="0"/>
    <x v="0"/>
    <n v="53.1"/>
    <n v="2459.8000000000002"/>
    <x v="0"/>
    <s v="No"/>
    <x v="0"/>
    <n v="2459.8000000000002"/>
    <x v="2"/>
    <s v="Standard Spend"/>
  </r>
  <r>
    <s v="3737-XBQDD"/>
    <s v="Male"/>
    <x v="0"/>
    <n v="24"/>
    <x v="1"/>
    <x v="0"/>
    <n v="84.85"/>
    <n v="2048.8000000000002"/>
    <x v="0"/>
    <s v="Yes"/>
    <x v="2"/>
    <n v="2048.8000000000002"/>
    <x v="1"/>
    <s v="Standard Spend"/>
  </r>
  <r>
    <s v="5882-CMAZQ"/>
    <s v="Female"/>
    <x v="0"/>
    <n v="5"/>
    <x v="0"/>
    <x v="1"/>
    <n v="34.25"/>
    <n v="163.55000000000001"/>
    <x v="0"/>
    <s v="No"/>
    <x v="0"/>
    <n v="163.55000000000001"/>
    <x v="0"/>
    <s v="Standard Spend"/>
  </r>
  <r>
    <s v="5846-QFDFI"/>
    <s v="Female"/>
    <x v="0"/>
    <n v="33"/>
    <x v="1"/>
    <x v="1"/>
    <n v="88.6"/>
    <n v="2888.7"/>
    <x v="0"/>
    <s v="No"/>
    <x v="3"/>
    <n v="2888.7"/>
    <x v="1"/>
    <s v="High Spend"/>
  </r>
  <r>
    <s v="4445-KWOKW"/>
    <s v="Female"/>
    <x v="1"/>
    <n v="42"/>
    <x v="0"/>
    <x v="0"/>
    <n v="60.15"/>
    <n v="2421.6"/>
    <x v="0"/>
    <s v="Yes"/>
    <x v="2"/>
    <n v="2421.6"/>
    <x v="2"/>
    <s v="Standard Spend"/>
  </r>
  <r>
    <s v="3511-APPBJ"/>
    <s v="Male"/>
    <x v="1"/>
    <n v="23"/>
    <x v="1"/>
    <x v="0"/>
    <n v="99.95"/>
    <n v="2292.75"/>
    <x v="0"/>
    <s v="Yes"/>
    <x v="3"/>
    <n v="2292.75"/>
    <x v="1"/>
    <s v="Standard Spend"/>
  </r>
  <r>
    <s v="7967-HYCDE"/>
    <s v="Male"/>
    <x v="0"/>
    <n v="8"/>
    <x v="1"/>
    <x v="0"/>
    <n v="70.7"/>
    <n v="553.4"/>
    <x v="0"/>
    <s v="No"/>
    <x v="2"/>
    <n v="553.4"/>
    <x v="0"/>
    <s v="Standard Spend"/>
  </r>
  <r>
    <s v="2430-RRYUW"/>
    <s v="Male"/>
    <x v="1"/>
    <n v="66"/>
    <x v="0"/>
    <x v="0"/>
    <n v="54.8"/>
    <n v="3465.7"/>
    <x v="0"/>
    <s v="Yes"/>
    <x v="1"/>
    <n v="3465.7"/>
    <x v="2"/>
    <s v="High Spend"/>
  </r>
  <r>
    <s v="3948-XHGNA"/>
    <s v="Male"/>
    <x v="0"/>
    <n v="24"/>
    <x v="0"/>
    <x v="0"/>
    <n v="49.55"/>
    <n v="1210.4000000000001"/>
    <x v="1"/>
    <s v="Yes"/>
    <x v="2"/>
    <n v="1210.4000000000001"/>
    <x v="1"/>
    <s v="Standard Spend"/>
  </r>
  <r>
    <s v="3723-BFBGR"/>
    <s v="Male"/>
    <x v="0"/>
    <n v="24"/>
    <x v="0"/>
    <x v="0"/>
    <n v="54.8"/>
    <n v="1291.3"/>
    <x v="0"/>
    <s v="No"/>
    <x v="3"/>
    <n v="1291.3"/>
    <x v="1"/>
    <s v="Standard Spend"/>
  </r>
  <r>
    <s v="0565-IYCGT"/>
    <s v="Male"/>
    <x v="1"/>
    <n v="69"/>
    <x v="0"/>
    <x v="1"/>
    <n v="78.599999999999994"/>
    <n v="5356.45"/>
    <x v="1"/>
    <s v="Yes"/>
    <x v="3"/>
    <n v="5356.45"/>
    <x v="2"/>
    <s v="High Spend"/>
  </r>
  <r>
    <s v="5447-WZAFP"/>
    <s v="Female"/>
    <x v="1"/>
    <n v="53"/>
    <x v="1"/>
    <x v="0"/>
    <n v="100.3"/>
    <n v="5200.8"/>
    <x v="0"/>
    <s v="Yes"/>
    <x v="1"/>
    <n v="5200.8"/>
    <x v="2"/>
    <s v="High Spend"/>
  </r>
  <r>
    <s v="5110-CHOPY"/>
    <s v="Female"/>
    <x v="2"/>
    <n v="60"/>
    <x v="0"/>
    <x v="0"/>
    <n v="53.6"/>
    <n v="3237.05"/>
    <x v="0"/>
    <s v="No"/>
    <x v="0"/>
    <n v="3237.05"/>
    <x v="2"/>
    <s v="High Spend"/>
  </r>
  <r>
    <s v="5445-UTODQ"/>
    <s v="Female"/>
    <x v="0"/>
    <n v="7"/>
    <x v="1"/>
    <x v="0"/>
    <n v="81.099999999999994"/>
    <n v="576.65"/>
    <x v="1"/>
    <s v="Yes"/>
    <x v="0"/>
    <n v="576.65"/>
    <x v="0"/>
    <s v="Standard Spend"/>
  </r>
  <r>
    <s v="4425-OWHWB"/>
    <s v="Female"/>
    <x v="1"/>
    <n v="20"/>
    <x v="2"/>
    <x v="2"/>
    <n v="19.350000000000001"/>
    <n v="433.75"/>
    <x v="0"/>
    <s v="Yes"/>
    <x v="3"/>
    <n v="433.75"/>
    <x v="1"/>
    <s v="Standard Spend"/>
  </r>
  <r>
    <s v="7892-QVYKW"/>
    <s v="Female"/>
    <x v="0"/>
    <n v="23"/>
    <x v="1"/>
    <x v="0"/>
    <n v="85.6"/>
    <n v="1868.4"/>
    <x v="0"/>
    <s v="No"/>
    <x v="0"/>
    <n v="1868.4"/>
    <x v="1"/>
    <s v="Standard Spend"/>
  </r>
  <r>
    <s v="9675-ICXCT"/>
    <s v="Male"/>
    <x v="2"/>
    <n v="72"/>
    <x v="0"/>
    <x v="1"/>
    <n v="80.8"/>
    <n v="5728.55"/>
    <x v="0"/>
    <s v="Yes"/>
    <x v="0"/>
    <n v="5728.55"/>
    <x v="2"/>
    <s v="High Spend"/>
  </r>
  <r>
    <s v="1024-VRZHF"/>
    <s v="Male"/>
    <x v="0"/>
    <n v="11"/>
    <x v="1"/>
    <x v="0"/>
    <n v="74.95"/>
    <n v="825.7"/>
    <x v="1"/>
    <s v="Yes"/>
    <x v="0"/>
    <n v="825.7"/>
    <x v="0"/>
    <s v="Standard Spend"/>
  </r>
  <r>
    <s v="4703-MQYKT"/>
    <s v="Male"/>
    <x v="2"/>
    <n v="21"/>
    <x v="2"/>
    <x v="2"/>
    <n v="19.600000000000001"/>
    <n v="390.4"/>
    <x v="0"/>
    <s v="No"/>
    <x v="1"/>
    <n v="390.4"/>
    <x v="1"/>
    <s v="Standard Spend"/>
  </r>
  <r>
    <s v="9497-QCMMS"/>
    <s v="Male"/>
    <x v="0"/>
    <n v="1"/>
    <x v="1"/>
    <x v="0"/>
    <n v="93.55"/>
    <n v="93.55"/>
    <x v="1"/>
    <s v="Yes"/>
    <x v="0"/>
    <n v="93.55"/>
    <x v="0"/>
    <s v="Standard Spend"/>
  </r>
  <r>
    <s v="5692-ICXLW"/>
    <s v="Male"/>
    <x v="0"/>
    <n v="31"/>
    <x v="1"/>
    <x v="0"/>
    <n v="90.7"/>
    <n v="2845.15"/>
    <x v="0"/>
    <s v="Yes"/>
    <x v="0"/>
    <n v="2845.15"/>
    <x v="1"/>
    <s v="High Spend"/>
  </r>
  <r>
    <s v="0602-DDUML"/>
    <s v="Female"/>
    <x v="2"/>
    <n v="57"/>
    <x v="0"/>
    <x v="1"/>
    <n v="69.75"/>
    <n v="3894.4"/>
    <x v="0"/>
    <s v="No"/>
    <x v="1"/>
    <n v="3894.4"/>
    <x v="2"/>
    <s v="High Spend"/>
  </r>
  <r>
    <s v="2208-MPXIO"/>
    <s v="Female"/>
    <x v="2"/>
    <n v="45"/>
    <x v="2"/>
    <x v="2"/>
    <n v="20"/>
    <n v="886.4"/>
    <x v="0"/>
    <s v="Yes"/>
    <x v="2"/>
    <n v="886.4"/>
    <x v="2"/>
    <s v="Standard Spend"/>
  </r>
  <r>
    <s v="1960-UYCNN"/>
    <s v="Male"/>
    <x v="0"/>
    <n v="10"/>
    <x v="1"/>
    <x v="0"/>
    <n v="95.25"/>
    <n v="1021.55"/>
    <x v="0"/>
    <s v="Yes"/>
    <x v="0"/>
    <n v="1021.55"/>
    <x v="0"/>
    <s v="Standard Spend"/>
  </r>
  <r>
    <s v="0348-SDKOL"/>
    <s v="Female"/>
    <x v="0"/>
    <n v="58"/>
    <x v="1"/>
    <x v="1"/>
    <n v="102.1"/>
    <n v="5885.4"/>
    <x v="1"/>
    <s v="Yes"/>
    <x v="3"/>
    <n v="5885.4"/>
    <x v="2"/>
    <s v="High Spend"/>
  </r>
  <r>
    <s v="3190-FZATL"/>
    <s v="Male"/>
    <x v="0"/>
    <n v="14"/>
    <x v="2"/>
    <x v="2"/>
    <n v="19.95"/>
    <n v="268.39999999999998"/>
    <x v="0"/>
    <s v="No"/>
    <x v="1"/>
    <n v="268.39999999999998"/>
    <x v="1"/>
    <s v="Standard Spend"/>
  </r>
  <r>
    <s v="7336-RLLRH"/>
    <s v="Male"/>
    <x v="1"/>
    <n v="27"/>
    <x v="0"/>
    <x v="1"/>
    <n v="80.849999999999994"/>
    <n v="2204.35"/>
    <x v="0"/>
    <s v="No"/>
    <x v="1"/>
    <n v="2204.35"/>
    <x v="1"/>
    <s v="Standard Spend"/>
  </r>
  <r>
    <s v="4373-MAVJG"/>
    <s v="Female"/>
    <x v="0"/>
    <n v="14"/>
    <x v="1"/>
    <x v="0"/>
    <n v="90.9"/>
    <n v="1259"/>
    <x v="1"/>
    <s v="Yes"/>
    <x v="2"/>
    <n v="1259"/>
    <x v="1"/>
    <s v="Standard Spend"/>
  </r>
  <r>
    <s v="8901-HJXTF"/>
    <s v="Female"/>
    <x v="0"/>
    <n v="12"/>
    <x v="0"/>
    <x v="0"/>
    <n v="29.2"/>
    <n v="309.10000000000002"/>
    <x v="1"/>
    <s v="No"/>
    <x v="1"/>
    <n v="309.10000000000002"/>
    <x v="0"/>
    <s v="Standard Spend"/>
  </r>
  <r>
    <s v="7710-JSYOA"/>
    <s v="Female"/>
    <x v="2"/>
    <n v="69"/>
    <x v="1"/>
    <x v="1"/>
    <n v="93.3"/>
    <n v="6398.05"/>
    <x v="0"/>
    <s v="Yes"/>
    <x v="2"/>
    <n v="6398.05"/>
    <x v="2"/>
    <s v="High Spend"/>
  </r>
  <r>
    <s v="5419-KLXBN"/>
    <s v="Female"/>
    <x v="0"/>
    <n v="25"/>
    <x v="1"/>
    <x v="0"/>
    <n v="89.15"/>
    <n v="2257.75"/>
    <x v="1"/>
    <s v="Yes"/>
    <x v="2"/>
    <n v="2257.75"/>
    <x v="1"/>
    <s v="Standard Spend"/>
  </r>
  <r>
    <s v="3424-NMNBO"/>
    <s v="Male"/>
    <x v="1"/>
    <n v="58"/>
    <x v="1"/>
    <x v="0"/>
    <n v="108.85"/>
    <n v="6287.25"/>
    <x v="1"/>
    <s v="Yes"/>
    <x v="0"/>
    <n v="6287.25"/>
    <x v="2"/>
    <s v="High Spend"/>
  </r>
  <r>
    <s v="9885-MFVSU"/>
    <s v="Female"/>
    <x v="2"/>
    <n v="35"/>
    <x v="0"/>
    <x v="1"/>
    <n v="46.35"/>
    <n v="1662.05"/>
    <x v="0"/>
    <s v="Yes"/>
    <x v="3"/>
    <n v="1662.05"/>
    <x v="1"/>
    <s v="Standard Spend"/>
  </r>
  <r>
    <s v="4514-GFCFI"/>
    <s v="Female"/>
    <x v="0"/>
    <n v="16"/>
    <x v="1"/>
    <x v="0"/>
    <n v="84.75"/>
    <n v="1350.15"/>
    <x v="1"/>
    <s v="Yes"/>
    <x v="0"/>
    <n v="1350.15"/>
    <x v="1"/>
    <s v="Standard Spend"/>
  </r>
  <r>
    <s v="0607-MVMGC"/>
    <s v="Male"/>
    <x v="1"/>
    <n v="45"/>
    <x v="0"/>
    <x v="0"/>
    <n v="78.75"/>
    <n v="3600.65"/>
    <x v="0"/>
    <s v="No"/>
    <x v="3"/>
    <n v="3600.65"/>
    <x v="2"/>
    <s v="High Spend"/>
  </r>
  <r>
    <s v="3365-SAIGS"/>
    <s v="Female"/>
    <x v="0"/>
    <n v="17"/>
    <x v="1"/>
    <x v="0"/>
    <n v="83.55"/>
    <n v="1329.15"/>
    <x v="0"/>
    <s v="Yes"/>
    <x v="0"/>
    <n v="1329.15"/>
    <x v="1"/>
    <s v="Standard Spend"/>
  </r>
  <r>
    <s v="9828-AOQLM"/>
    <s v="Female"/>
    <x v="0"/>
    <n v="1"/>
    <x v="0"/>
    <x v="0"/>
    <n v="45.7"/>
    <n v="45.7"/>
    <x v="1"/>
    <s v="Yes"/>
    <x v="0"/>
    <n v="45.7"/>
    <x v="0"/>
    <s v="Standard Spend"/>
  </r>
  <r>
    <s v="8022-BECSI"/>
    <s v="Male"/>
    <x v="1"/>
    <n v="22"/>
    <x v="2"/>
    <x v="2"/>
    <n v="19.600000000000001"/>
    <n v="422.5"/>
    <x v="0"/>
    <s v="No"/>
    <x v="1"/>
    <n v="422.5"/>
    <x v="1"/>
    <s v="Standard Spend"/>
  </r>
  <r>
    <s v="8000-REIQB"/>
    <s v="Female"/>
    <x v="0"/>
    <n v="1"/>
    <x v="1"/>
    <x v="0"/>
    <n v="69.95"/>
    <n v="69.95"/>
    <x v="1"/>
    <s v="Yes"/>
    <x v="0"/>
    <n v="69.95"/>
    <x v="0"/>
    <s v="Standard Spend"/>
  </r>
  <r>
    <s v="9993-LHIEB"/>
    <s v="Male"/>
    <x v="2"/>
    <n v="67"/>
    <x v="0"/>
    <x v="1"/>
    <n v="67.849999999999994"/>
    <n v="4627.6499999999996"/>
    <x v="0"/>
    <s v="No"/>
    <x v="1"/>
    <n v="4627.6499999999996"/>
    <x v="2"/>
    <s v="High Spend"/>
  </r>
  <r>
    <s v="0266-CLZKZ"/>
    <s v="Female"/>
    <x v="2"/>
    <n v="67"/>
    <x v="1"/>
    <x v="1"/>
    <n v="105.65"/>
    <n v="6717.9"/>
    <x v="0"/>
    <s v="Yes"/>
    <x v="2"/>
    <n v="6717.9"/>
    <x v="2"/>
    <s v="High Spend"/>
  </r>
  <r>
    <s v="7615-ESMYF"/>
    <s v="Female"/>
    <x v="0"/>
    <n v="2"/>
    <x v="0"/>
    <x v="0"/>
    <n v="44.6"/>
    <n v="97.1"/>
    <x v="1"/>
    <s v="No"/>
    <x v="0"/>
    <n v="97.1"/>
    <x v="0"/>
    <s v="Standard Spend"/>
  </r>
  <r>
    <s v="3858-VOBET"/>
    <s v="Male"/>
    <x v="0"/>
    <n v="23"/>
    <x v="1"/>
    <x v="0"/>
    <n v="74.95"/>
    <n v="1710.45"/>
    <x v="1"/>
    <s v="Yes"/>
    <x v="0"/>
    <n v="1710.45"/>
    <x v="1"/>
    <s v="Standard Spend"/>
  </r>
  <r>
    <s v="7020-OZKXZ"/>
    <s v="Female"/>
    <x v="0"/>
    <n v="9"/>
    <x v="1"/>
    <x v="0"/>
    <n v="75.5"/>
    <n v="637.4"/>
    <x v="0"/>
    <s v="No"/>
    <x v="3"/>
    <n v="637.4"/>
    <x v="0"/>
    <s v="Standard Spend"/>
  </r>
  <r>
    <s v="3977-QCRSL"/>
    <s v="Female"/>
    <x v="0"/>
    <n v="5"/>
    <x v="2"/>
    <x v="2"/>
    <n v="20.149999999999999"/>
    <n v="117.95"/>
    <x v="0"/>
    <s v="No"/>
    <x v="1"/>
    <n v="117.95"/>
    <x v="0"/>
    <s v="Standard Spend"/>
  </r>
  <r>
    <s v="0017-DINOC"/>
    <s v="Male"/>
    <x v="2"/>
    <n v="54"/>
    <x v="0"/>
    <x v="1"/>
    <n v="45.2"/>
    <n v="2460.5500000000002"/>
    <x v="0"/>
    <s v="No"/>
    <x v="3"/>
    <n v="2460.5500000000002"/>
    <x v="2"/>
    <s v="Standard Spend"/>
  </r>
  <r>
    <s v="1447-PJGGA"/>
    <s v="Female"/>
    <x v="2"/>
    <n v="57"/>
    <x v="1"/>
    <x v="0"/>
    <n v="95.25"/>
    <n v="5464.65"/>
    <x v="1"/>
    <s v="Yes"/>
    <x v="0"/>
    <n v="5464.65"/>
    <x v="2"/>
    <s v="High Spend"/>
  </r>
  <r>
    <s v="8565-CLBZW"/>
    <s v="Male"/>
    <x v="0"/>
    <n v="24"/>
    <x v="1"/>
    <x v="0"/>
    <n v="89.85"/>
    <n v="2165.0500000000002"/>
    <x v="1"/>
    <s v="Yes"/>
    <x v="1"/>
    <n v="2165.0500000000002"/>
    <x v="1"/>
    <s v="Standard Spend"/>
  </r>
  <r>
    <s v="9139-WQQDY"/>
    <s v="Female"/>
    <x v="1"/>
    <n v="49"/>
    <x v="1"/>
    <x v="0"/>
    <n v="100.45"/>
    <n v="4941.8"/>
    <x v="1"/>
    <s v="No"/>
    <x v="1"/>
    <n v="4941.8"/>
    <x v="2"/>
    <s v="High Spend"/>
  </r>
  <r>
    <s v="0224-HJAPT"/>
    <s v="Male"/>
    <x v="0"/>
    <n v="5"/>
    <x v="0"/>
    <x v="0"/>
    <n v="47.15"/>
    <n v="223.15"/>
    <x v="1"/>
    <s v="No"/>
    <x v="0"/>
    <n v="223.15"/>
    <x v="0"/>
    <s v="Standard Spend"/>
  </r>
  <r>
    <s v="8086-OVPWV"/>
    <s v="Male"/>
    <x v="0"/>
    <n v="2"/>
    <x v="1"/>
    <x v="0"/>
    <n v="80.2"/>
    <n v="181.1"/>
    <x v="1"/>
    <s v="Yes"/>
    <x v="0"/>
    <n v="181.1"/>
    <x v="0"/>
    <s v="Standard Spend"/>
  </r>
  <r>
    <s v="9430-FRQOC"/>
    <s v="Female"/>
    <x v="0"/>
    <n v="4"/>
    <x v="1"/>
    <x v="1"/>
    <n v="87.1"/>
    <n v="341.45"/>
    <x v="1"/>
    <s v="Yes"/>
    <x v="1"/>
    <n v="341.45"/>
    <x v="0"/>
    <s v="Standard Spend"/>
  </r>
  <r>
    <s v="7639-OPLNG"/>
    <s v="Male"/>
    <x v="2"/>
    <n v="70"/>
    <x v="0"/>
    <x v="1"/>
    <n v="79.25"/>
    <n v="5731.85"/>
    <x v="0"/>
    <s v="Yes"/>
    <x v="2"/>
    <n v="5731.85"/>
    <x v="2"/>
    <s v="High Spend"/>
  </r>
  <r>
    <s v="3074-GQWYX"/>
    <s v="Male"/>
    <x v="0"/>
    <n v="5"/>
    <x v="1"/>
    <x v="0"/>
    <n v="75.900000000000006"/>
    <n v="357.75"/>
    <x v="1"/>
    <s v="Yes"/>
    <x v="2"/>
    <n v="357.75"/>
    <x v="0"/>
    <s v="Standard Spend"/>
  </r>
  <r>
    <s v="1492-QGCLU"/>
    <s v="Male"/>
    <x v="0"/>
    <n v="53"/>
    <x v="0"/>
    <x v="1"/>
    <n v="85.7"/>
    <n v="4616.1000000000004"/>
    <x v="0"/>
    <s v="No"/>
    <x v="0"/>
    <n v="4616.1000000000004"/>
    <x v="2"/>
    <s v="High Spend"/>
  </r>
  <r>
    <s v="6845-RGTYS"/>
    <s v="Female"/>
    <x v="0"/>
    <n v="47"/>
    <x v="1"/>
    <x v="0"/>
    <n v="98.75"/>
    <n v="4533.7"/>
    <x v="1"/>
    <s v="Yes"/>
    <x v="0"/>
    <n v="4533.7"/>
    <x v="2"/>
    <s v="High Spend"/>
  </r>
  <r>
    <s v="7328-OWMOM"/>
    <s v="Female"/>
    <x v="1"/>
    <n v="31"/>
    <x v="2"/>
    <x v="2"/>
    <n v="20.100000000000001"/>
    <n v="589.25"/>
    <x v="0"/>
    <s v="No"/>
    <x v="3"/>
    <n v="589.25"/>
    <x v="1"/>
    <s v="Standard Spend"/>
  </r>
  <r>
    <s v="4418-LZMSV"/>
    <s v="Male"/>
    <x v="0"/>
    <n v="13"/>
    <x v="0"/>
    <x v="1"/>
    <n v="61.8"/>
    <n v="750.1"/>
    <x v="0"/>
    <s v="No"/>
    <x v="2"/>
    <n v="750.1"/>
    <x v="1"/>
    <s v="Standard Spend"/>
  </r>
  <r>
    <s v="5155-AZQPB"/>
    <s v="Female"/>
    <x v="0"/>
    <n v="28"/>
    <x v="0"/>
    <x v="0"/>
    <n v="49.9"/>
    <n v="1410.25"/>
    <x v="0"/>
    <s v="No"/>
    <x v="1"/>
    <n v="1410.25"/>
    <x v="1"/>
    <s v="Standard Spend"/>
  </r>
  <r>
    <s v="8861-HGGKB"/>
    <s v="Female"/>
    <x v="0"/>
    <n v="10"/>
    <x v="1"/>
    <x v="0"/>
    <n v="86.45"/>
    <n v="830.85"/>
    <x v="1"/>
    <s v="No"/>
    <x v="0"/>
    <n v="830.85"/>
    <x v="0"/>
    <s v="Standard Spend"/>
  </r>
  <r>
    <s v="1087-GRUYI"/>
    <s v="Male"/>
    <x v="2"/>
    <n v="38"/>
    <x v="2"/>
    <x v="2"/>
    <n v="20.399999999999999"/>
    <n v="743.5"/>
    <x v="0"/>
    <s v="No"/>
    <x v="2"/>
    <n v="743.5"/>
    <x v="2"/>
    <s v="Standard Spend"/>
  </r>
  <r>
    <s v="7065-YUNRY"/>
    <s v="Female"/>
    <x v="0"/>
    <n v="1"/>
    <x v="0"/>
    <x v="0"/>
    <n v="45.3"/>
    <n v="45.3"/>
    <x v="1"/>
    <s v="Yes"/>
    <x v="1"/>
    <n v="45.3"/>
    <x v="0"/>
    <s v="Standard Spend"/>
  </r>
  <r>
    <s v="7694-VLBWQ"/>
    <s v="Male"/>
    <x v="1"/>
    <n v="67"/>
    <x v="1"/>
    <x v="0"/>
    <n v="104.1"/>
    <n v="7040.85"/>
    <x v="1"/>
    <s v="No"/>
    <x v="0"/>
    <n v="7040.85"/>
    <x v="2"/>
    <s v="High Spend"/>
  </r>
  <r>
    <s v="2546-KZAAT"/>
    <s v="Male"/>
    <x v="1"/>
    <n v="52"/>
    <x v="0"/>
    <x v="0"/>
    <n v="75.400000000000006"/>
    <n v="3865.45"/>
    <x v="0"/>
    <s v="Yes"/>
    <x v="1"/>
    <n v="3865.45"/>
    <x v="2"/>
    <s v="High Spend"/>
  </r>
  <r>
    <s v="0181-RITDD"/>
    <s v="Male"/>
    <x v="2"/>
    <n v="62"/>
    <x v="1"/>
    <x v="1"/>
    <n v="108.15"/>
    <n v="6825.65"/>
    <x v="0"/>
    <s v="No"/>
    <x v="1"/>
    <n v="6825.65"/>
    <x v="2"/>
    <s v="High Spend"/>
  </r>
  <r>
    <s v="5989-PGKJB"/>
    <s v="Female"/>
    <x v="0"/>
    <n v="16"/>
    <x v="1"/>
    <x v="0"/>
    <n v="86.25"/>
    <n v="1340.1"/>
    <x v="0"/>
    <s v="Yes"/>
    <x v="0"/>
    <n v="1340.1"/>
    <x v="1"/>
    <s v="Standard Spend"/>
  </r>
  <r>
    <s v="4795-KTRTH"/>
    <s v="Female"/>
    <x v="0"/>
    <n v="5"/>
    <x v="1"/>
    <x v="0"/>
    <n v="81"/>
    <n v="371.65"/>
    <x v="1"/>
    <s v="Yes"/>
    <x v="0"/>
    <n v="371.65"/>
    <x v="0"/>
    <s v="Standard Spend"/>
  </r>
  <r>
    <s v="8272-ONJLV"/>
    <s v="Male"/>
    <x v="1"/>
    <n v="12"/>
    <x v="1"/>
    <x v="0"/>
    <n v="95.7"/>
    <n v="1184"/>
    <x v="0"/>
    <s v="No"/>
    <x v="0"/>
    <n v="1184"/>
    <x v="0"/>
    <s v="Standard Spend"/>
  </r>
  <r>
    <s v="1488-PBLJN"/>
    <s v="Female"/>
    <x v="2"/>
    <n v="72"/>
    <x v="1"/>
    <x v="1"/>
    <n v="116.85"/>
    <n v="8477.7000000000007"/>
    <x v="0"/>
    <s v="Yes"/>
    <x v="2"/>
    <n v="8477.7000000000007"/>
    <x v="2"/>
    <s v="High Spend"/>
  </r>
  <r>
    <s v="0308-GIQJT"/>
    <s v="Male"/>
    <x v="1"/>
    <n v="71"/>
    <x v="1"/>
    <x v="1"/>
    <n v="105.75"/>
    <n v="7382.85"/>
    <x v="0"/>
    <s v="No"/>
    <x v="2"/>
    <n v="7382.85"/>
    <x v="2"/>
    <s v="High Spend"/>
  </r>
  <r>
    <s v="3778-FOAQW"/>
    <s v="Female"/>
    <x v="1"/>
    <n v="24"/>
    <x v="2"/>
    <x v="2"/>
    <n v="20.149999999999999"/>
    <n v="456.85"/>
    <x v="0"/>
    <s v="No"/>
    <x v="1"/>
    <n v="456.85"/>
    <x v="1"/>
    <s v="Standard Spend"/>
  </r>
  <r>
    <s v="4452-ROHMO"/>
    <s v="Female"/>
    <x v="2"/>
    <n v="15"/>
    <x v="2"/>
    <x v="2"/>
    <n v="19.600000000000001"/>
    <n v="331.6"/>
    <x v="0"/>
    <s v="No"/>
    <x v="1"/>
    <n v="331.6"/>
    <x v="1"/>
    <s v="Standard Spend"/>
  </r>
  <r>
    <s v="6481-OGDOO"/>
    <s v="Male"/>
    <x v="1"/>
    <n v="67"/>
    <x v="1"/>
    <x v="0"/>
    <n v="90.6"/>
    <n v="6056.15"/>
    <x v="1"/>
    <s v="Yes"/>
    <x v="3"/>
    <n v="6056.15"/>
    <x v="2"/>
    <s v="High Spend"/>
  </r>
  <r>
    <s v="3090-LETTY"/>
    <s v="Male"/>
    <x v="0"/>
    <n v="2"/>
    <x v="0"/>
    <x v="0"/>
    <n v="60.95"/>
    <n v="134.6"/>
    <x v="0"/>
    <s v="No"/>
    <x v="2"/>
    <n v="134.6"/>
    <x v="0"/>
    <s v="Standard Spend"/>
  </r>
  <r>
    <s v="5349-AZPEW"/>
    <s v="Female"/>
    <x v="0"/>
    <n v="5"/>
    <x v="0"/>
    <x v="0"/>
    <n v="25.05"/>
    <n v="125.5"/>
    <x v="0"/>
    <s v="No"/>
    <x v="1"/>
    <n v="125.5"/>
    <x v="0"/>
    <s v="Standard Spend"/>
  </r>
  <r>
    <s v="3753-TSEMP"/>
    <s v="Female"/>
    <x v="0"/>
    <n v="15"/>
    <x v="1"/>
    <x v="0"/>
    <n v="88.15"/>
    <n v="1390.6"/>
    <x v="1"/>
    <s v="No"/>
    <x v="0"/>
    <n v="1390.6"/>
    <x v="1"/>
    <s v="Standard Spend"/>
  </r>
  <r>
    <s v="8305-VHZBZ"/>
    <s v="Male"/>
    <x v="0"/>
    <n v="1"/>
    <x v="2"/>
    <x v="2"/>
    <n v="20.2"/>
    <n v="20.2"/>
    <x v="1"/>
    <s v="Yes"/>
    <x v="1"/>
    <n v="20.2"/>
    <x v="0"/>
    <s v="Standard Spend"/>
  </r>
  <r>
    <s v="9720-JJJOR"/>
    <s v="Male"/>
    <x v="1"/>
    <n v="41"/>
    <x v="0"/>
    <x v="0"/>
    <n v="60.3"/>
    <n v="2511.3000000000002"/>
    <x v="0"/>
    <s v="Yes"/>
    <x v="2"/>
    <n v="2511.3000000000002"/>
    <x v="2"/>
    <s v="High Spend"/>
  </r>
  <r>
    <s v="8100-HZZLJ"/>
    <s v="Female"/>
    <x v="0"/>
    <n v="43"/>
    <x v="0"/>
    <x v="0"/>
    <n v="63.95"/>
    <n v="2737.05"/>
    <x v="0"/>
    <s v="Yes"/>
    <x v="0"/>
    <n v="2737.05"/>
    <x v="2"/>
    <s v="High Spend"/>
  </r>
  <r>
    <s v="8775-ERLNB"/>
    <s v="Male"/>
    <x v="0"/>
    <n v="1"/>
    <x v="1"/>
    <x v="0"/>
    <n v="74.3"/>
    <n v="74.3"/>
    <x v="0"/>
    <s v="No"/>
    <x v="0"/>
    <n v="74.3"/>
    <x v="0"/>
    <s v="Standard Spend"/>
  </r>
  <r>
    <s v="8309-IEYJD"/>
    <s v="Female"/>
    <x v="0"/>
    <n v="1"/>
    <x v="1"/>
    <x v="0"/>
    <n v="70.599999999999994"/>
    <n v="70.599999999999994"/>
    <x v="0"/>
    <s v="Yes"/>
    <x v="1"/>
    <n v="70.599999999999994"/>
    <x v="0"/>
    <s v="Standard Spend"/>
  </r>
  <r>
    <s v="9172-JITSM"/>
    <s v="Female"/>
    <x v="0"/>
    <n v="26"/>
    <x v="1"/>
    <x v="0"/>
    <n v="90.8"/>
    <n v="2361.8000000000002"/>
    <x v="1"/>
    <s v="Yes"/>
    <x v="0"/>
    <n v="2361.8000000000002"/>
    <x v="1"/>
    <s v="Standard Spend"/>
  </r>
  <r>
    <s v="6298-QDFNH"/>
    <s v="Male"/>
    <x v="0"/>
    <n v="22"/>
    <x v="1"/>
    <x v="0"/>
    <n v="79.349999999999994"/>
    <n v="1730.35"/>
    <x v="1"/>
    <s v="Yes"/>
    <x v="0"/>
    <n v="1730.35"/>
    <x v="1"/>
    <s v="Standard Spend"/>
  </r>
  <r>
    <s v="7398-HPYZQ"/>
    <s v="Male"/>
    <x v="2"/>
    <n v="71"/>
    <x v="0"/>
    <x v="1"/>
    <n v="90.55"/>
    <n v="6404"/>
    <x v="0"/>
    <s v="No"/>
    <x v="2"/>
    <n v="6404"/>
    <x v="2"/>
    <s v="High Spend"/>
  </r>
  <r>
    <s v="3546-GHEAE"/>
    <s v="Male"/>
    <x v="2"/>
    <n v="7"/>
    <x v="2"/>
    <x v="2"/>
    <n v="19.45"/>
    <n v="165.35"/>
    <x v="0"/>
    <s v="No"/>
    <x v="1"/>
    <n v="165.35"/>
    <x v="0"/>
    <s v="Standard Spend"/>
  </r>
  <r>
    <s v="7361-YPXFS"/>
    <s v="Female"/>
    <x v="0"/>
    <n v="28"/>
    <x v="0"/>
    <x v="1"/>
    <n v="64.45"/>
    <n v="1867.6"/>
    <x v="0"/>
    <s v="No"/>
    <x v="2"/>
    <n v="1867.6"/>
    <x v="1"/>
    <s v="Standard Spend"/>
  </r>
  <r>
    <s v="6557-BZXLQ"/>
    <s v="Male"/>
    <x v="0"/>
    <n v="16"/>
    <x v="1"/>
    <x v="0"/>
    <n v="69.650000000000006"/>
    <n v="1043.3"/>
    <x v="0"/>
    <s v="No"/>
    <x v="0"/>
    <n v="1043.3"/>
    <x v="1"/>
    <s v="Standard Spend"/>
  </r>
  <r>
    <s v="2550-QHZGP"/>
    <s v="Male"/>
    <x v="1"/>
    <n v="7"/>
    <x v="2"/>
    <x v="2"/>
    <n v="19.5"/>
    <n v="128.6"/>
    <x v="0"/>
    <s v="No"/>
    <x v="1"/>
    <n v="128.6"/>
    <x v="0"/>
    <s v="Standard Spend"/>
  </r>
  <r>
    <s v="7519-JTWQH"/>
    <s v="Female"/>
    <x v="2"/>
    <n v="69"/>
    <x v="1"/>
    <x v="1"/>
    <n v="110.5"/>
    <n v="7455.45"/>
    <x v="0"/>
    <s v="Yes"/>
    <x v="2"/>
    <n v="7455.45"/>
    <x v="2"/>
    <s v="High Spend"/>
  </r>
  <r>
    <s v="2538-OIMXF"/>
    <s v="Female"/>
    <x v="0"/>
    <n v="1"/>
    <x v="0"/>
    <x v="0"/>
    <n v="24.7"/>
    <n v="24.7"/>
    <x v="0"/>
    <s v="No"/>
    <x v="1"/>
    <n v="24.7"/>
    <x v="0"/>
    <s v="Standard Spend"/>
  </r>
  <r>
    <s v="8543-MSDMF"/>
    <s v="Male"/>
    <x v="0"/>
    <n v="3"/>
    <x v="0"/>
    <x v="0"/>
    <n v="77.400000000000006"/>
    <n v="206.15"/>
    <x v="0"/>
    <s v="Yes"/>
    <x v="0"/>
    <n v="206.15"/>
    <x v="0"/>
    <s v="Standard Spend"/>
  </r>
  <r>
    <s v="9961-JBNMK"/>
    <s v="Male"/>
    <x v="0"/>
    <n v="21"/>
    <x v="1"/>
    <x v="0"/>
    <n v="96.8"/>
    <n v="2030.3"/>
    <x v="1"/>
    <s v="Yes"/>
    <x v="2"/>
    <n v="2030.3"/>
    <x v="1"/>
    <s v="Standard Spend"/>
  </r>
  <r>
    <s v="1170-SASML"/>
    <s v="Female"/>
    <x v="0"/>
    <n v="69"/>
    <x v="1"/>
    <x v="0"/>
    <n v="85.4"/>
    <n v="5869.4"/>
    <x v="0"/>
    <s v="Yes"/>
    <x v="2"/>
    <n v="5869.4"/>
    <x v="2"/>
    <s v="High Spend"/>
  </r>
  <r>
    <s v="4872-JCVCA"/>
    <s v="Female"/>
    <x v="2"/>
    <n v="71"/>
    <x v="0"/>
    <x v="1"/>
    <n v="47.6"/>
    <n v="3377.8"/>
    <x v="0"/>
    <s v="Yes"/>
    <x v="2"/>
    <n v="3377.8"/>
    <x v="2"/>
    <s v="High Spend"/>
  </r>
  <r>
    <s v="5346-BZCHP"/>
    <s v="Female"/>
    <x v="2"/>
    <n v="69"/>
    <x v="2"/>
    <x v="2"/>
    <n v="19.399999999999999"/>
    <n v="1346.2"/>
    <x v="0"/>
    <s v="No"/>
    <x v="1"/>
    <n v="1346.2"/>
    <x v="2"/>
    <s v="Standard Spend"/>
  </r>
  <r>
    <s v="2038-LLMLM"/>
    <s v="Female"/>
    <x v="0"/>
    <n v="48"/>
    <x v="1"/>
    <x v="1"/>
    <n v="103.85"/>
    <n v="4946.05"/>
    <x v="0"/>
    <s v="Yes"/>
    <x v="0"/>
    <n v="4946.05"/>
    <x v="2"/>
    <s v="High Spend"/>
  </r>
  <r>
    <s v="6173-ITPWD"/>
    <s v="Male"/>
    <x v="0"/>
    <n v="47"/>
    <x v="1"/>
    <x v="0"/>
    <n v="83.35"/>
    <n v="4065"/>
    <x v="1"/>
    <s v="Yes"/>
    <x v="2"/>
    <n v="4065"/>
    <x v="2"/>
    <s v="High Spend"/>
  </r>
  <r>
    <s v="9734-UYXQI"/>
    <s v="Female"/>
    <x v="0"/>
    <n v="2"/>
    <x v="0"/>
    <x v="0"/>
    <n v="49.4"/>
    <n v="106.55"/>
    <x v="1"/>
    <s v="Yes"/>
    <x v="0"/>
    <n v="106.55"/>
    <x v="0"/>
    <s v="Standard Spend"/>
  </r>
  <r>
    <s v="1216-BGTSP"/>
    <s v="Male"/>
    <x v="0"/>
    <n v="45"/>
    <x v="1"/>
    <x v="1"/>
    <n v="108.45"/>
    <n v="4964.7"/>
    <x v="0"/>
    <s v="Yes"/>
    <x v="3"/>
    <n v="4964.7"/>
    <x v="2"/>
    <s v="High Spend"/>
  </r>
  <r>
    <s v="4138-NAXED"/>
    <s v="Male"/>
    <x v="0"/>
    <n v="51"/>
    <x v="1"/>
    <x v="0"/>
    <n v="81"/>
    <n v="4085.75"/>
    <x v="0"/>
    <s v="No"/>
    <x v="2"/>
    <n v="4085.75"/>
    <x v="2"/>
    <s v="High Spend"/>
  </r>
  <r>
    <s v="2189-UXTKY"/>
    <s v="Female"/>
    <x v="0"/>
    <n v="22"/>
    <x v="0"/>
    <x v="1"/>
    <n v="79.2"/>
    <n v="1742.75"/>
    <x v="1"/>
    <s v="Yes"/>
    <x v="0"/>
    <n v="1742.75"/>
    <x v="1"/>
    <s v="Standard Spend"/>
  </r>
  <r>
    <s v="0744-BIKKF"/>
    <s v="Male"/>
    <x v="2"/>
    <n v="72"/>
    <x v="0"/>
    <x v="1"/>
    <n v="86.65"/>
    <n v="6224.8"/>
    <x v="0"/>
    <s v="No"/>
    <x v="2"/>
    <n v="6224.8"/>
    <x v="2"/>
    <s v="High Spend"/>
  </r>
  <r>
    <s v="7483-IQWIB"/>
    <s v="Male"/>
    <x v="0"/>
    <n v="37"/>
    <x v="1"/>
    <x v="0"/>
    <n v="92.95"/>
    <n v="3415.25"/>
    <x v="0"/>
    <s v="Yes"/>
    <x v="0"/>
    <n v="3415.25"/>
    <x v="2"/>
    <s v="High Spend"/>
  </r>
  <r>
    <s v="5248-KWLAR"/>
    <s v="Male"/>
    <x v="2"/>
    <n v="71"/>
    <x v="0"/>
    <x v="1"/>
    <n v="90.35"/>
    <n v="6325.25"/>
    <x v="0"/>
    <s v="No"/>
    <x v="0"/>
    <n v="6325.25"/>
    <x v="2"/>
    <s v="High Spend"/>
  </r>
  <r>
    <s v="4958-GZWIY"/>
    <s v="Male"/>
    <x v="0"/>
    <n v="7"/>
    <x v="0"/>
    <x v="0"/>
    <n v="48.7"/>
    <n v="340.25"/>
    <x v="1"/>
    <s v="No"/>
    <x v="0"/>
    <n v="340.25"/>
    <x v="0"/>
    <s v="Standard Spend"/>
  </r>
  <r>
    <s v="7996-MHXLW"/>
    <s v="Female"/>
    <x v="2"/>
    <n v="66"/>
    <x v="2"/>
    <x v="2"/>
    <n v="25.15"/>
    <n v="1683.6"/>
    <x v="0"/>
    <s v="Yes"/>
    <x v="3"/>
    <n v="1683.6"/>
    <x v="2"/>
    <s v="Standard Spend"/>
  </r>
  <r>
    <s v="7833-PKIHD"/>
    <s v="Male"/>
    <x v="1"/>
    <n v="51"/>
    <x v="0"/>
    <x v="1"/>
    <n v="76.400000000000006"/>
    <n v="3966.3"/>
    <x v="0"/>
    <s v="Yes"/>
    <x v="2"/>
    <n v="3966.3"/>
    <x v="2"/>
    <s v="High Spend"/>
  </r>
  <r>
    <s v="7061-OVMIM"/>
    <s v="Female"/>
    <x v="1"/>
    <n v="30"/>
    <x v="2"/>
    <x v="2"/>
    <n v="19.55"/>
    <n v="608.5"/>
    <x v="0"/>
    <s v="No"/>
    <x v="2"/>
    <n v="608.5"/>
    <x v="1"/>
    <s v="Standard Spend"/>
  </r>
  <r>
    <s v="5153-RTHKF"/>
    <s v="Female"/>
    <x v="0"/>
    <n v="34"/>
    <x v="1"/>
    <x v="0"/>
    <n v="85.35"/>
    <n v="2896.6"/>
    <x v="0"/>
    <s v="No"/>
    <x v="0"/>
    <n v="2896.6"/>
    <x v="1"/>
    <s v="High Spend"/>
  </r>
  <r>
    <s v="1852-QSWCD"/>
    <s v="Male"/>
    <x v="2"/>
    <n v="64"/>
    <x v="2"/>
    <x v="2"/>
    <n v="24.8"/>
    <n v="1514.85"/>
    <x v="0"/>
    <s v="Yes"/>
    <x v="1"/>
    <n v="1514.85"/>
    <x v="2"/>
    <s v="Standard Spend"/>
  </r>
  <r>
    <s v="4832-VRBMR"/>
    <s v="Male"/>
    <x v="1"/>
    <n v="65"/>
    <x v="1"/>
    <x v="0"/>
    <n v="103.15"/>
    <n v="6792.45"/>
    <x v="0"/>
    <s v="Yes"/>
    <x v="2"/>
    <n v="6792.45"/>
    <x v="2"/>
    <s v="High Spend"/>
  </r>
  <r>
    <s v="9079-LWTFD"/>
    <s v="Male"/>
    <x v="0"/>
    <n v="47"/>
    <x v="1"/>
    <x v="1"/>
    <n v="100.75"/>
    <n v="4669.2"/>
    <x v="0"/>
    <s v="No"/>
    <x v="1"/>
    <n v="4669.2"/>
    <x v="2"/>
    <s v="High Spend"/>
  </r>
  <r>
    <s v="6356-ELRKD"/>
    <s v="Female"/>
    <x v="0"/>
    <n v="1"/>
    <x v="1"/>
    <x v="0"/>
    <n v="95.6"/>
    <n v="95.6"/>
    <x v="1"/>
    <s v="Yes"/>
    <x v="0"/>
    <n v="95.6"/>
    <x v="0"/>
    <s v="Standard Spend"/>
  </r>
  <r>
    <s v="8624-GIOUT"/>
    <s v="Female"/>
    <x v="0"/>
    <n v="49"/>
    <x v="0"/>
    <x v="0"/>
    <n v="59.75"/>
    <n v="2934.3"/>
    <x v="1"/>
    <s v="Yes"/>
    <x v="3"/>
    <n v="2934.3"/>
    <x v="2"/>
    <s v="High Spend"/>
  </r>
  <r>
    <s v="3392-EHMNK"/>
    <s v="Female"/>
    <x v="2"/>
    <n v="67"/>
    <x v="1"/>
    <x v="1"/>
    <n v="94.1"/>
    <n v="6302.8"/>
    <x v="0"/>
    <s v="No"/>
    <x v="3"/>
    <n v="6302.8"/>
    <x v="2"/>
    <s v="High Spend"/>
  </r>
  <r>
    <s v="5986-WWXDV"/>
    <s v="Male"/>
    <x v="1"/>
    <n v="39"/>
    <x v="2"/>
    <x v="2"/>
    <n v="19.350000000000001"/>
    <n v="779.2"/>
    <x v="0"/>
    <s v="No"/>
    <x v="2"/>
    <n v="779.2"/>
    <x v="2"/>
    <s v="Standard Spend"/>
  </r>
  <r>
    <s v="3061-BCKYI"/>
    <s v="Male"/>
    <x v="0"/>
    <n v="14"/>
    <x v="2"/>
    <x v="2"/>
    <n v="19.899999999999999"/>
    <n v="283.75"/>
    <x v="0"/>
    <s v="No"/>
    <x v="1"/>
    <n v="283.75"/>
    <x v="1"/>
    <s v="Standard Spend"/>
  </r>
  <r>
    <s v="6179-GJPSO"/>
    <s v="Female"/>
    <x v="0"/>
    <n v="43"/>
    <x v="1"/>
    <x v="1"/>
    <n v="108.15"/>
    <n v="4600.7"/>
    <x v="1"/>
    <s v="Yes"/>
    <x v="3"/>
    <n v="4600.7"/>
    <x v="2"/>
    <s v="High Spend"/>
  </r>
  <r>
    <s v="7901-TBKJX"/>
    <s v="Male"/>
    <x v="0"/>
    <n v="56"/>
    <x v="1"/>
    <x v="0"/>
    <n v="101.05"/>
    <n v="5594"/>
    <x v="0"/>
    <s v="Yes"/>
    <x v="0"/>
    <n v="5594"/>
    <x v="2"/>
    <s v="High Spend"/>
  </r>
  <r>
    <s v="7228-PAQPD"/>
    <s v="Female"/>
    <x v="1"/>
    <n v="14"/>
    <x v="0"/>
    <x v="1"/>
    <n v="59.1"/>
    <n v="772.85"/>
    <x v="0"/>
    <s v="No"/>
    <x v="3"/>
    <n v="772.85"/>
    <x v="1"/>
    <s v="Standard Spend"/>
  </r>
  <r>
    <s v="3177-LASXD"/>
    <s v="Female"/>
    <x v="0"/>
    <n v="1"/>
    <x v="1"/>
    <x v="0"/>
    <n v="71.349999999999994"/>
    <n v="71.349999999999994"/>
    <x v="1"/>
    <s v="No"/>
    <x v="0"/>
    <n v="71.349999999999994"/>
    <x v="0"/>
    <s v="Standard Spend"/>
  </r>
  <r>
    <s v="7746-QYVCO"/>
    <s v="Male"/>
    <x v="1"/>
    <n v="16"/>
    <x v="0"/>
    <x v="0"/>
    <n v="55.85"/>
    <n v="857.8"/>
    <x v="0"/>
    <s v="Yes"/>
    <x v="1"/>
    <n v="857.8"/>
    <x v="1"/>
    <s v="Standard Spend"/>
  </r>
  <r>
    <s v="5804-HYIEZ"/>
    <s v="Male"/>
    <x v="0"/>
    <n v="70"/>
    <x v="1"/>
    <x v="0"/>
    <n v="106.05"/>
    <n v="7554.05"/>
    <x v="0"/>
    <s v="Yes"/>
    <x v="0"/>
    <n v="7554.05"/>
    <x v="2"/>
    <s v="High Spend"/>
  </r>
  <r>
    <s v="9919-FZDED"/>
    <s v="Male"/>
    <x v="2"/>
    <n v="72"/>
    <x v="0"/>
    <x v="0"/>
    <n v="84.1"/>
    <n v="5981.65"/>
    <x v="0"/>
    <s v="Yes"/>
    <x v="3"/>
    <n v="5981.65"/>
    <x v="2"/>
    <s v="High Spend"/>
  </r>
  <r>
    <s v="5934-TSSAU"/>
    <s v="Female"/>
    <x v="0"/>
    <n v="23"/>
    <x v="1"/>
    <x v="0"/>
    <n v="75.3"/>
    <n v="1702.9"/>
    <x v="0"/>
    <s v="Yes"/>
    <x v="3"/>
    <n v="1702.9"/>
    <x v="1"/>
    <s v="Standard Spend"/>
  </r>
  <r>
    <s v="3486-KHMLI"/>
    <s v="Male"/>
    <x v="0"/>
    <n v="21"/>
    <x v="2"/>
    <x v="2"/>
    <n v="24.7"/>
    <n v="467.15"/>
    <x v="0"/>
    <s v="No"/>
    <x v="1"/>
    <n v="467.15"/>
    <x v="1"/>
    <s v="Standard Spend"/>
  </r>
  <r>
    <s v="4897-QSUYC"/>
    <s v="Female"/>
    <x v="0"/>
    <n v="1"/>
    <x v="2"/>
    <x v="2"/>
    <n v="20.149999999999999"/>
    <n v="20.149999999999999"/>
    <x v="1"/>
    <s v="Yes"/>
    <x v="1"/>
    <n v="20.149999999999999"/>
    <x v="0"/>
    <s v="Standard Spend"/>
  </r>
  <r>
    <s v="1084-UQCHV"/>
    <s v="Male"/>
    <x v="0"/>
    <n v="1"/>
    <x v="1"/>
    <x v="0"/>
    <n v="69.75"/>
    <n v="69.75"/>
    <x v="1"/>
    <s v="No"/>
    <x v="2"/>
    <n v="69.75"/>
    <x v="0"/>
    <s v="Standard Spend"/>
  </r>
  <r>
    <s v="8290-YWKHZ"/>
    <s v="Female"/>
    <x v="0"/>
    <n v="32"/>
    <x v="1"/>
    <x v="0"/>
    <n v="93.2"/>
    <n v="2931"/>
    <x v="1"/>
    <s v="Yes"/>
    <x v="0"/>
    <n v="2931"/>
    <x v="1"/>
    <s v="High Spend"/>
  </r>
  <r>
    <s v="2955-BJZHG"/>
    <s v="Male"/>
    <x v="0"/>
    <n v="17"/>
    <x v="1"/>
    <x v="0"/>
    <n v="80.849999999999994"/>
    <n v="1400.85"/>
    <x v="1"/>
    <s v="No"/>
    <x v="0"/>
    <n v="1400.85"/>
    <x v="1"/>
    <s v="Standard Spend"/>
  </r>
  <r>
    <s v="3806-DXQOM"/>
    <s v="Female"/>
    <x v="0"/>
    <n v="4"/>
    <x v="0"/>
    <x v="0"/>
    <n v="33.65"/>
    <n v="137.85"/>
    <x v="1"/>
    <s v="Yes"/>
    <x v="0"/>
    <n v="137.85"/>
    <x v="0"/>
    <s v="Standard Spend"/>
  </r>
  <r>
    <s v="6784-XYJAE"/>
    <s v="Female"/>
    <x v="1"/>
    <n v="36"/>
    <x v="0"/>
    <x v="0"/>
    <n v="55.8"/>
    <n v="1941.5"/>
    <x v="0"/>
    <s v="No"/>
    <x v="0"/>
    <n v="1941.5"/>
    <x v="1"/>
    <s v="Standard Spend"/>
  </r>
  <r>
    <s v="3933-DQPWX"/>
    <s v="Female"/>
    <x v="2"/>
    <n v="50"/>
    <x v="0"/>
    <x v="1"/>
    <n v="39.700000000000003"/>
    <n v="1932.75"/>
    <x v="0"/>
    <s v="No"/>
    <x v="3"/>
    <n v="1932.75"/>
    <x v="2"/>
    <s v="Standard Spend"/>
  </r>
  <r>
    <s v="6661-EIPZC"/>
    <s v="Female"/>
    <x v="0"/>
    <n v="48"/>
    <x v="0"/>
    <x v="1"/>
    <n v="29.5"/>
    <n v="1423.05"/>
    <x v="0"/>
    <s v="Yes"/>
    <x v="3"/>
    <n v="1423.05"/>
    <x v="2"/>
    <s v="Standard Spend"/>
  </r>
  <r>
    <s v="8957-THMOA"/>
    <s v="Female"/>
    <x v="2"/>
    <n v="50"/>
    <x v="2"/>
    <x v="2"/>
    <n v="20.149999999999999"/>
    <n v="970.85"/>
    <x v="0"/>
    <s v="No"/>
    <x v="3"/>
    <n v="970.85"/>
    <x v="2"/>
    <s v="Standard Spend"/>
  </r>
  <r>
    <s v="2251-PYLPB"/>
    <s v="Male"/>
    <x v="2"/>
    <n v="72"/>
    <x v="0"/>
    <x v="1"/>
    <n v="79.55"/>
    <n v="5810.9"/>
    <x v="0"/>
    <s v="No"/>
    <x v="3"/>
    <n v="5810.9"/>
    <x v="2"/>
    <s v="High Spend"/>
  </r>
  <r>
    <s v="5555-RNPGT"/>
    <s v="Male"/>
    <x v="0"/>
    <n v="10"/>
    <x v="2"/>
    <x v="2"/>
    <n v="24.8"/>
    <n v="223.9"/>
    <x v="0"/>
    <s v="No"/>
    <x v="3"/>
    <n v="223.9"/>
    <x v="0"/>
    <s v="Standard Spend"/>
  </r>
  <r>
    <s v="1057-FOGLZ"/>
    <s v="Female"/>
    <x v="0"/>
    <n v="18"/>
    <x v="2"/>
    <x v="2"/>
    <n v="19.649999999999999"/>
    <n v="391.7"/>
    <x v="0"/>
    <s v="No"/>
    <x v="1"/>
    <n v="391.7"/>
    <x v="1"/>
    <s v="Standard Spend"/>
  </r>
  <r>
    <s v="9300-RENDD"/>
    <s v="Male"/>
    <x v="0"/>
    <n v="1"/>
    <x v="1"/>
    <x v="0"/>
    <n v="79.95"/>
    <n v="79.95"/>
    <x v="1"/>
    <s v="Yes"/>
    <x v="0"/>
    <n v="79.95"/>
    <x v="0"/>
    <s v="Standard Spend"/>
  </r>
  <r>
    <s v="0761-AETCS"/>
    <s v="Female"/>
    <x v="0"/>
    <n v="1"/>
    <x v="2"/>
    <x v="2"/>
    <n v="19.3"/>
    <n v="19.3"/>
    <x v="1"/>
    <s v="No"/>
    <x v="0"/>
    <n v="19.3"/>
    <x v="0"/>
    <s v="Standard Spend"/>
  </r>
  <r>
    <s v="8087-LGYHQ"/>
    <s v="Male"/>
    <x v="0"/>
    <n v="9"/>
    <x v="1"/>
    <x v="0"/>
    <n v="94.05"/>
    <n v="811.65"/>
    <x v="0"/>
    <s v="Yes"/>
    <x v="0"/>
    <n v="811.65"/>
    <x v="0"/>
    <s v="Standard Spend"/>
  </r>
  <r>
    <s v="4137-BTIKL"/>
    <s v="Male"/>
    <x v="0"/>
    <n v="2"/>
    <x v="1"/>
    <x v="0"/>
    <n v="90.75"/>
    <n v="174.75"/>
    <x v="0"/>
    <s v="No"/>
    <x v="1"/>
    <n v="174.75"/>
    <x v="0"/>
    <s v="Standard Spend"/>
  </r>
  <r>
    <s v="2190-BCXEC"/>
    <s v="Female"/>
    <x v="0"/>
    <n v="40"/>
    <x v="1"/>
    <x v="1"/>
    <n v="78.849999999999994"/>
    <n v="3126.85"/>
    <x v="0"/>
    <s v="Yes"/>
    <x v="3"/>
    <n v="3126.85"/>
    <x v="2"/>
    <s v="High Spend"/>
  </r>
  <r>
    <s v="6227-FBDXH"/>
    <s v="Male"/>
    <x v="1"/>
    <n v="69"/>
    <x v="1"/>
    <x v="0"/>
    <n v="99.5"/>
    <n v="6841.45"/>
    <x v="0"/>
    <s v="No"/>
    <x v="2"/>
    <n v="6841.45"/>
    <x v="2"/>
    <s v="High Spend"/>
  </r>
  <r>
    <s v="2153-MREFK"/>
    <s v="Female"/>
    <x v="1"/>
    <n v="37"/>
    <x v="1"/>
    <x v="1"/>
    <n v="99.2"/>
    <n v="3754.6"/>
    <x v="1"/>
    <s v="Yes"/>
    <x v="0"/>
    <n v="3754.6"/>
    <x v="2"/>
    <s v="High Spend"/>
  </r>
  <r>
    <s v="2911-WDXMV"/>
    <s v="Male"/>
    <x v="0"/>
    <n v="18"/>
    <x v="1"/>
    <x v="0"/>
    <n v="80.55"/>
    <n v="1406.65"/>
    <x v="0"/>
    <s v="Yes"/>
    <x v="3"/>
    <n v="1406.65"/>
    <x v="1"/>
    <s v="Standard Spend"/>
  </r>
  <r>
    <s v="7206-PQBBZ"/>
    <s v="Male"/>
    <x v="0"/>
    <n v="11"/>
    <x v="1"/>
    <x v="0"/>
    <n v="70.2"/>
    <n v="834.7"/>
    <x v="0"/>
    <s v="Yes"/>
    <x v="0"/>
    <n v="834.7"/>
    <x v="0"/>
    <s v="Standard Spend"/>
  </r>
  <r>
    <s v="3106-ULWFW"/>
    <s v="Female"/>
    <x v="0"/>
    <n v="8"/>
    <x v="1"/>
    <x v="0"/>
    <n v="85.2"/>
    <n v="627.4"/>
    <x v="1"/>
    <s v="Yes"/>
    <x v="3"/>
    <n v="627.4"/>
    <x v="0"/>
    <s v="Standard Spend"/>
  </r>
  <r>
    <s v="0925-VYDLG"/>
    <s v="Female"/>
    <x v="0"/>
    <n v="3"/>
    <x v="1"/>
    <x v="0"/>
    <n v="75.25"/>
    <n v="242"/>
    <x v="1"/>
    <s v="No"/>
    <x v="0"/>
    <n v="242"/>
    <x v="0"/>
    <s v="Standard Spend"/>
  </r>
  <r>
    <s v="4547-FZJWE"/>
    <s v="Male"/>
    <x v="1"/>
    <n v="55"/>
    <x v="0"/>
    <x v="0"/>
    <n v="59.45"/>
    <n v="3157"/>
    <x v="0"/>
    <s v="No"/>
    <x v="3"/>
    <n v="3157"/>
    <x v="2"/>
    <s v="High Spend"/>
  </r>
  <r>
    <s v="7422-WNBTY"/>
    <s v="Male"/>
    <x v="0"/>
    <n v="33"/>
    <x v="1"/>
    <x v="0"/>
    <n v="93.35"/>
    <n v="3092"/>
    <x v="0"/>
    <s v="Yes"/>
    <x v="0"/>
    <n v="3092"/>
    <x v="1"/>
    <s v="High Spend"/>
  </r>
  <r>
    <s v="0842-IWYCP"/>
    <s v="Female"/>
    <x v="0"/>
    <n v="46"/>
    <x v="0"/>
    <x v="0"/>
    <n v="44.95"/>
    <n v="2168.9"/>
    <x v="0"/>
    <s v="No"/>
    <x v="2"/>
    <n v="2168.9"/>
    <x v="2"/>
    <s v="Standard Spend"/>
  </r>
  <r>
    <s v="3521-HTQTV"/>
    <s v="Male"/>
    <x v="2"/>
    <n v="34"/>
    <x v="2"/>
    <x v="2"/>
    <n v="26.1"/>
    <n v="980.35"/>
    <x v="0"/>
    <s v="No"/>
    <x v="2"/>
    <n v="980.35"/>
    <x v="1"/>
    <s v="Standard Spend"/>
  </r>
  <r>
    <s v="3744-ZBHON"/>
    <s v="Female"/>
    <x v="0"/>
    <n v="3"/>
    <x v="2"/>
    <x v="2"/>
    <n v="20.2"/>
    <n v="65.95"/>
    <x v="0"/>
    <s v="No"/>
    <x v="0"/>
    <n v="65.95"/>
    <x v="0"/>
    <s v="Standard Spend"/>
  </r>
  <r>
    <s v="3373-DIUUN"/>
    <s v="Male"/>
    <x v="2"/>
    <n v="30"/>
    <x v="2"/>
    <x v="2"/>
    <n v="21.25"/>
    <n v="711.9"/>
    <x v="0"/>
    <s v="No"/>
    <x v="1"/>
    <n v="711.9"/>
    <x v="1"/>
    <s v="Standard Spend"/>
  </r>
  <r>
    <s v="8383-SGHJU"/>
    <s v="Female"/>
    <x v="1"/>
    <n v="33"/>
    <x v="0"/>
    <x v="1"/>
    <n v="59.4"/>
    <n v="1952.8"/>
    <x v="0"/>
    <s v="No"/>
    <x v="0"/>
    <n v="1952.8"/>
    <x v="1"/>
    <s v="Standard Spend"/>
  </r>
  <r>
    <s v="7607-QKKTJ"/>
    <s v="Male"/>
    <x v="1"/>
    <n v="45"/>
    <x v="1"/>
    <x v="0"/>
    <n v="95"/>
    <n v="4368.8500000000004"/>
    <x v="0"/>
    <s v="Yes"/>
    <x v="3"/>
    <n v="4368.8500000000004"/>
    <x v="2"/>
    <s v="High Spend"/>
  </r>
  <r>
    <s v="7707-PYBBH"/>
    <s v="Male"/>
    <x v="0"/>
    <n v="40"/>
    <x v="0"/>
    <x v="1"/>
    <n v="61.9"/>
    <n v="2647.1"/>
    <x v="0"/>
    <s v="Yes"/>
    <x v="1"/>
    <n v="2647.1"/>
    <x v="2"/>
    <s v="High Spend"/>
  </r>
  <r>
    <s v="8984-HPEMB"/>
    <s v="Female"/>
    <x v="2"/>
    <n v="71"/>
    <x v="1"/>
    <x v="1"/>
    <n v="118.65"/>
    <n v="8477.6"/>
    <x v="0"/>
    <s v="Yes"/>
    <x v="0"/>
    <n v="8477.6"/>
    <x v="2"/>
    <s v="High Spend"/>
  </r>
  <r>
    <s v="4349-GFQHK"/>
    <s v="Male"/>
    <x v="0"/>
    <n v="1"/>
    <x v="0"/>
    <x v="0"/>
    <n v="54.35"/>
    <n v="54.35"/>
    <x v="1"/>
    <s v="No"/>
    <x v="0"/>
    <n v="54.35"/>
    <x v="0"/>
    <s v="Standard Spend"/>
  </r>
  <r>
    <s v="4139-DETXS"/>
    <s v="Female"/>
    <x v="2"/>
    <n v="72"/>
    <x v="0"/>
    <x v="1"/>
    <n v="64.45"/>
    <n v="4528"/>
    <x v="0"/>
    <s v="No"/>
    <x v="2"/>
    <n v="4528"/>
    <x v="2"/>
    <s v="High Spend"/>
  </r>
  <r>
    <s v="9779-DPNEJ"/>
    <s v="Female"/>
    <x v="0"/>
    <n v="22"/>
    <x v="1"/>
    <x v="0"/>
    <n v="80.150000000000006"/>
    <n v="1790.65"/>
    <x v="0"/>
    <s v="Yes"/>
    <x v="0"/>
    <n v="1790.65"/>
    <x v="1"/>
    <s v="Standard Spend"/>
  </r>
  <r>
    <s v="9805-FILKB"/>
    <s v="Male"/>
    <x v="1"/>
    <n v="46"/>
    <x v="2"/>
    <x v="2"/>
    <n v="20.2"/>
    <n v="845.6"/>
    <x v="0"/>
    <s v="Yes"/>
    <x v="2"/>
    <n v="845.6"/>
    <x v="2"/>
    <s v="Standard Spend"/>
  </r>
  <r>
    <s v="5793-YOLJN"/>
    <s v="Female"/>
    <x v="2"/>
    <n v="55"/>
    <x v="2"/>
    <x v="2"/>
    <n v="21"/>
    <n v="1210.3"/>
    <x v="0"/>
    <s v="No"/>
    <x v="1"/>
    <n v="1210.3"/>
    <x v="2"/>
    <s v="Standard Spend"/>
  </r>
  <r>
    <s v="0673-IGUQO"/>
    <s v="Male"/>
    <x v="0"/>
    <n v="1"/>
    <x v="2"/>
    <x v="2"/>
    <n v="20.45"/>
    <n v="20.45"/>
    <x v="0"/>
    <s v="No"/>
    <x v="1"/>
    <n v="20.45"/>
    <x v="0"/>
    <s v="Standard Spend"/>
  </r>
  <r>
    <s v="4123-FCVCB"/>
    <s v="Female"/>
    <x v="1"/>
    <n v="12"/>
    <x v="0"/>
    <x v="1"/>
    <n v="75.849999999999994"/>
    <n v="854.45"/>
    <x v="0"/>
    <s v="Yes"/>
    <x v="1"/>
    <n v="854.45"/>
    <x v="0"/>
    <s v="Standard Spend"/>
  </r>
  <r>
    <s v="8819-IMISP"/>
    <s v="Male"/>
    <x v="0"/>
    <n v="31"/>
    <x v="1"/>
    <x v="0"/>
    <n v="80.45"/>
    <n v="2429.1"/>
    <x v="0"/>
    <s v="Yes"/>
    <x v="0"/>
    <n v="2429.1"/>
    <x v="1"/>
    <s v="Standard Spend"/>
  </r>
  <r>
    <s v="7802-EFKNY"/>
    <s v="Male"/>
    <x v="0"/>
    <n v="5"/>
    <x v="0"/>
    <x v="0"/>
    <n v="24.95"/>
    <n v="100.4"/>
    <x v="1"/>
    <s v="Yes"/>
    <x v="0"/>
    <n v="100.4"/>
    <x v="0"/>
    <s v="Standard Spend"/>
  </r>
  <r>
    <s v="8311-UEUAB"/>
    <s v="Female"/>
    <x v="2"/>
    <n v="67"/>
    <x v="0"/>
    <x v="0"/>
    <n v="75.5"/>
    <n v="5229.45"/>
    <x v="0"/>
    <s v="Yes"/>
    <x v="0"/>
    <n v="5229.45"/>
    <x v="2"/>
    <s v="High Spend"/>
  </r>
  <r>
    <s v="5858-EAFCZ"/>
    <s v="Male"/>
    <x v="0"/>
    <n v="1"/>
    <x v="0"/>
    <x v="0"/>
    <n v="44.45"/>
    <n v="44.45"/>
    <x v="0"/>
    <s v="No"/>
    <x v="1"/>
    <n v="44.45"/>
    <x v="0"/>
    <s v="Standard Spend"/>
  </r>
  <r>
    <s v="8035-BUYVG"/>
    <s v="Male"/>
    <x v="1"/>
    <n v="40"/>
    <x v="0"/>
    <x v="0"/>
    <n v="42.35"/>
    <n v="1716.45"/>
    <x v="1"/>
    <s v="Yes"/>
    <x v="0"/>
    <n v="1716.45"/>
    <x v="2"/>
    <s v="Standard Spend"/>
  </r>
  <r>
    <s v="1163-ONYEY"/>
    <s v="Male"/>
    <x v="0"/>
    <n v="41"/>
    <x v="0"/>
    <x v="0"/>
    <n v="74.55"/>
    <n v="3023.55"/>
    <x v="0"/>
    <s v="Yes"/>
    <x v="3"/>
    <n v="3023.55"/>
    <x v="2"/>
    <s v="High Spend"/>
  </r>
  <r>
    <s v="9787-XVQIU"/>
    <s v="Male"/>
    <x v="0"/>
    <n v="1"/>
    <x v="1"/>
    <x v="0"/>
    <n v="75.3"/>
    <n v="75.3"/>
    <x v="1"/>
    <s v="Yes"/>
    <x v="0"/>
    <n v="75.3"/>
    <x v="0"/>
    <s v="Standard Spend"/>
  </r>
  <r>
    <s v="8945-MUQUF"/>
    <s v="Male"/>
    <x v="1"/>
    <n v="51"/>
    <x v="1"/>
    <x v="0"/>
    <n v="94.8"/>
    <n v="4837.6000000000004"/>
    <x v="1"/>
    <s v="Yes"/>
    <x v="0"/>
    <n v="4837.6000000000004"/>
    <x v="2"/>
    <s v="High Spend"/>
  </r>
  <r>
    <s v="5656-MJEFC"/>
    <s v="Male"/>
    <x v="2"/>
    <n v="42"/>
    <x v="0"/>
    <x v="1"/>
    <n v="48.15"/>
    <n v="2032.3"/>
    <x v="0"/>
    <s v="No"/>
    <x v="3"/>
    <n v="2032.3"/>
    <x v="2"/>
    <s v="Standard Spend"/>
  </r>
  <r>
    <s v="6082-OQFBA"/>
    <s v="Male"/>
    <x v="1"/>
    <n v="23"/>
    <x v="2"/>
    <x v="2"/>
    <n v="19.649999999999999"/>
    <n v="436.9"/>
    <x v="0"/>
    <s v="No"/>
    <x v="1"/>
    <n v="436.9"/>
    <x v="1"/>
    <s v="Standard Spend"/>
  </r>
  <r>
    <s v="8051-HJRLT"/>
    <s v="Female"/>
    <x v="0"/>
    <n v="1"/>
    <x v="1"/>
    <x v="0"/>
    <n v="70.55"/>
    <n v="70.55"/>
    <x v="1"/>
    <s v="Yes"/>
    <x v="0"/>
    <n v="70.55"/>
    <x v="0"/>
    <s v="Standard Spend"/>
  </r>
  <r>
    <s v="8974-OVACP"/>
    <s v="Female"/>
    <x v="0"/>
    <n v="1"/>
    <x v="2"/>
    <x v="2"/>
    <n v="20.149999999999999"/>
    <n v="20.149999999999999"/>
    <x v="0"/>
    <s v="No"/>
    <x v="1"/>
    <n v="20.149999999999999"/>
    <x v="0"/>
    <s v="Standard Spend"/>
  </r>
  <r>
    <s v="4010-YLMVT"/>
    <s v="Female"/>
    <x v="0"/>
    <n v="56"/>
    <x v="1"/>
    <x v="0"/>
    <n v="106.6"/>
    <n v="5893.95"/>
    <x v="0"/>
    <s v="Yes"/>
    <x v="3"/>
    <n v="5893.95"/>
    <x v="2"/>
    <s v="High Spend"/>
  </r>
  <r>
    <s v="1379-FRVEB"/>
    <s v="Male"/>
    <x v="0"/>
    <n v="15"/>
    <x v="1"/>
    <x v="0"/>
    <n v="91"/>
    <n v="1430.05"/>
    <x v="0"/>
    <s v="Yes"/>
    <x v="0"/>
    <n v="1430.05"/>
    <x v="1"/>
    <s v="Standard Spend"/>
  </r>
  <r>
    <s v="8612-GXIDD"/>
    <s v="Male"/>
    <x v="2"/>
    <n v="12"/>
    <x v="2"/>
    <x v="2"/>
    <n v="25.4"/>
    <n v="313"/>
    <x v="0"/>
    <s v="Yes"/>
    <x v="2"/>
    <n v="313"/>
    <x v="0"/>
    <s v="Standard Spend"/>
  </r>
  <r>
    <s v="6288-CHQJB"/>
    <s v="Female"/>
    <x v="2"/>
    <n v="54"/>
    <x v="0"/>
    <x v="1"/>
    <n v="69.95"/>
    <n v="3871.85"/>
    <x v="0"/>
    <s v="No"/>
    <x v="2"/>
    <n v="3871.85"/>
    <x v="2"/>
    <s v="High Spend"/>
  </r>
  <r>
    <s v="8160-HOWOX"/>
    <s v="Female"/>
    <x v="0"/>
    <n v="7"/>
    <x v="0"/>
    <x v="0"/>
    <n v="66.849999999999994"/>
    <n v="458.1"/>
    <x v="0"/>
    <s v="Yes"/>
    <x v="0"/>
    <n v="458.1"/>
    <x v="0"/>
    <s v="Standard Spend"/>
  </r>
  <r>
    <s v="3023-GFLBR"/>
    <s v="Female"/>
    <x v="0"/>
    <n v="33"/>
    <x v="1"/>
    <x v="0"/>
    <n v="86.15"/>
    <n v="2745.7"/>
    <x v="1"/>
    <s v="No"/>
    <x v="3"/>
    <n v="2745.7"/>
    <x v="1"/>
    <s v="High Spend"/>
  </r>
  <r>
    <s v="6648-INWPS"/>
    <s v="Male"/>
    <x v="0"/>
    <n v="16"/>
    <x v="2"/>
    <x v="2"/>
    <n v="20.149999999999999"/>
    <n v="341.35"/>
    <x v="0"/>
    <s v="No"/>
    <x v="0"/>
    <n v="341.35"/>
    <x v="1"/>
    <s v="Standard Spend"/>
  </r>
  <r>
    <s v="4223-BKEOR"/>
    <s v="Female"/>
    <x v="1"/>
    <n v="21"/>
    <x v="0"/>
    <x v="0"/>
    <n v="64.849999999999994"/>
    <n v="1336.8"/>
    <x v="0"/>
    <s v="No"/>
    <x v="1"/>
    <n v="1336.8"/>
    <x v="1"/>
    <s v="Standard Spend"/>
  </r>
  <r>
    <s v="4079-VTGLK"/>
    <s v="Male"/>
    <x v="2"/>
    <n v="30"/>
    <x v="0"/>
    <x v="0"/>
    <n v="74.849999999999994"/>
    <n v="2181.75"/>
    <x v="0"/>
    <s v="No"/>
    <x v="0"/>
    <n v="2181.75"/>
    <x v="1"/>
    <s v="Standard Spend"/>
  </r>
  <r>
    <s v="1763-WQFUK"/>
    <s v="Male"/>
    <x v="0"/>
    <n v="3"/>
    <x v="0"/>
    <x v="1"/>
    <n v="50.5"/>
    <n v="147.75"/>
    <x v="0"/>
    <s v="Yes"/>
    <x v="1"/>
    <n v="147.75"/>
    <x v="0"/>
    <s v="Standard Spend"/>
  </r>
  <r>
    <s v="1391-UBDAR"/>
    <s v="Male"/>
    <x v="0"/>
    <n v="11"/>
    <x v="1"/>
    <x v="0"/>
    <n v="72.900000000000006"/>
    <n v="818.45"/>
    <x v="0"/>
    <s v="No"/>
    <x v="0"/>
    <n v="818.45"/>
    <x v="0"/>
    <s v="Standard Spend"/>
  </r>
  <r>
    <s v="8894-JVDCV"/>
    <s v="Female"/>
    <x v="1"/>
    <n v="62"/>
    <x v="1"/>
    <x v="1"/>
    <n v="115.05"/>
    <n v="7133.45"/>
    <x v="0"/>
    <s v="Yes"/>
    <x v="3"/>
    <n v="7133.45"/>
    <x v="2"/>
    <s v="High Spend"/>
  </r>
  <r>
    <s v="2023-VQFDL"/>
    <s v="Male"/>
    <x v="0"/>
    <n v="18"/>
    <x v="2"/>
    <x v="2"/>
    <n v="19"/>
    <n v="348.8"/>
    <x v="0"/>
    <s v="No"/>
    <x v="0"/>
    <n v="348.8"/>
    <x v="1"/>
    <s v="Standard Spend"/>
  </r>
  <r>
    <s v="1345-GKDZZ"/>
    <s v="Male"/>
    <x v="0"/>
    <n v="6"/>
    <x v="2"/>
    <x v="2"/>
    <n v="19.55"/>
    <n v="128.6"/>
    <x v="0"/>
    <s v="No"/>
    <x v="1"/>
    <n v="128.6"/>
    <x v="0"/>
    <s v="Standard Spend"/>
  </r>
  <r>
    <s v="2014-MKGMH"/>
    <s v="Female"/>
    <x v="1"/>
    <n v="46"/>
    <x v="1"/>
    <x v="0"/>
    <n v="101.1"/>
    <n v="4674.3999999999996"/>
    <x v="0"/>
    <s v="Yes"/>
    <x v="0"/>
    <n v="4674.3999999999996"/>
    <x v="2"/>
    <s v="High Spend"/>
  </r>
  <r>
    <s v="5628-FCGYG"/>
    <s v="Male"/>
    <x v="0"/>
    <n v="21"/>
    <x v="1"/>
    <x v="0"/>
    <n v="84.1"/>
    <n v="1737.45"/>
    <x v="0"/>
    <s v="Yes"/>
    <x v="0"/>
    <n v="1737.45"/>
    <x v="1"/>
    <s v="Standard Spend"/>
  </r>
  <r>
    <s v="2560-WBWXF"/>
    <s v="Male"/>
    <x v="2"/>
    <n v="68"/>
    <x v="2"/>
    <x v="2"/>
    <n v="24.15"/>
    <n v="1498.85"/>
    <x v="0"/>
    <s v="Yes"/>
    <x v="2"/>
    <n v="1498.85"/>
    <x v="2"/>
    <s v="Standard Spend"/>
  </r>
  <r>
    <s v="0248-IPDFW"/>
    <s v="Female"/>
    <x v="0"/>
    <n v="1"/>
    <x v="0"/>
    <x v="0"/>
    <n v="50.1"/>
    <n v="50.1"/>
    <x v="0"/>
    <s v="Yes"/>
    <x v="0"/>
    <n v="50.1"/>
    <x v="0"/>
    <s v="Standard Spend"/>
  </r>
  <r>
    <s v="7978-DKUQH"/>
    <s v="Female"/>
    <x v="0"/>
    <n v="25"/>
    <x v="1"/>
    <x v="0"/>
    <n v="74.599999999999994"/>
    <n v="1797.75"/>
    <x v="0"/>
    <s v="Yes"/>
    <x v="0"/>
    <n v="1797.75"/>
    <x v="1"/>
    <s v="Standard Spend"/>
  </r>
  <r>
    <s v="4335-UPJSI"/>
    <s v="Female"/>
    <x v="2"/>
    <n v="24"/>
    <x v="2"/>
    <x v="2"/>
    <n v="19.75"/>
    <n v="498.1"/>
    <x v="0"/>
    <s v="No"/>
    <x v="1"/>
    <n v="498.1"/>
    <x v="1"/>
    <s v="Standard Spend"/>
  </r>
  <r>
    <s v="0524-IAVZO"/>
    <s v="Female"/>
    <x v="0"/>
    <n v="30"/>
    <x v="1"/>
    <x v="0"/>
    <n v="85"/>
    <n v="2624.25"/>
    <x v="1"/>
    <s v="Yes"/>
    <x v="0"/>
    <n v="2624.25"/>
    <x v="1"/>
    <s v="High Spend"/>
  </r>
  <r>
    <s v="2737-YNGYW"/>
    <s v="Female"/>
    <x v="0"/>
    <n v="2"/>
    <x v="1"/>
    <x v="0"/>
    <n v="80.55"/>
    <n v="184.1"/>
    <x v="1"/>
    <s v="No"/>
    <x v="0"/>
    <n v="184.1"/>
    <x v="0"/>
    <s v="Standard Spend"/>
  </r>
  <r>
    <s v="1784-EZDKJ"/>
    <s v="Male"/>
    <x v="1"/>
    <n v="51"/>
    <x v="1"/>
    <x v="0"/>
    <n v="106.8"/>
    <n v="5498.8"/>
    <x v="0"/>
    <s v="Yes"/>
    <x v="2"/>
    <n v="5498.8"/>
    <x v="2"/>
    <s v="High Spend"/>
  </r>
  <r>
    <s v="9297-FVVDH"/>
    <s v="Female"/>
    <x v="2"/>
    <n v="57"/>
    <x v="0"/>
    <x v="1"/>
    <n v="84.5"/>
    <n v="4845.3999999999996"/>
    <x v="0"/>
    <s v="Yes"/>
    <x v="0"/>
    <n v="4845.3999999999996"/>
    <x v="2"/>
    <s v="High Spend"/>
  </r>
  <r>
    <s v="8007-YYPWD"/>
    <s v="Female"/>
    <x v="2"/>
    <n v="15"/>
    <x v="2"/>
    <x v="2"/>
    <n v="25.05"/>
    <n v="369.1"/>
    <x v="0"/>
    <s v="No"/>
    <x v="2"/>
    <n v="369.1"/>
    <x v="1"/>
    <s v="Standard Spend"/>
  </r>
  <r>
    <s v="7101-HRBLJ"/>
    <s v="Female"/>
    <x v="2"/>
    <n v="72"/>
    <x v="0"/>
    <x v="1"/>
    <n v="83.7"/>
    <n v="6096.9"/>
    <x v="0"/>
    <s v="Yes"/>
    <x v="2"/>
    <n v="6096.9"/>
    <x v="2"/>
    <s v="High Spend"/>
  </r>
  <r>
    <s v="5159-YFPKQ"/>
    <s v="Female"/>
    <x v="0"/>
    <n v="2"/>
    <x v="1"/>
    <x v="0"/>
    <n v="75.8"/>
    <n v="160.75"/>
    <x v="1"/>
    <s v="Yes"/>
    <x v="0"/>
    <n v="160.75"/>
    <x v="0"/>
    <s v="Standard Spend"/>
  </r>
  <r>
    <s v="6635-CPNUN"/>
    <s v="Male"/>
    <x v="0"/>
    <n v="28"/>
    <x v="1"/>
    <x v="0"/>
    <n v="96.6"/>
    <n v="2684.35"/>
    <x v="0"/>
    <s v="No"/>
    <x v="3"/>
    <n v="2684.35"/>
    <x v="1"/>
    <s v="High Spend"/>
  </r>
  <r>
    <s v="4021-RQSNY"/>
    <s v="Male"/>
    <x v="0"/>
    <n v="29"/>
    <x v="1"/>
    <x v="0"/>
    <n v="98.5"/>
    <n v="3004.15"/>
    <x v="1"/>
    <s v="Yes"/>
    <x v="0"/>
    <n v="3004.15"/>
    <x v="1"/>
    <s v="High Spend"/>
  </r>
  <r>
    <s v="5453-YBTWV"/>
    <s v="Male"/>
    <x v="2"/>
    <n v="70"/>
    <x v="1"/>
    <x v="1"/>
    <n v="101.1"/>
    <n v="6994.8"/>
    <x v="0"/>
    <s v="Yes"/>
    <x v="3"/>
    <n v="6994.8"/>
    <x v="2"/>
    <s v="High Spend"/>
  </r>
  <r>
    <s v="5039-LZRQT"/>
    <s v="Female"/>
    <x v="1"/>
    <n v="13"/>
    <x v="2"/>
    <x v="2"/>
    <n v="20.2"/>
    <n v="273.25"/>
    <x v="0"/>
    <s v="No"/>
    <x v="1"/>
    <n v="273.25"/>
    <x v="1"/>
    <s v="Standard Spend"/>
  </r>
  <r>
    <s v="2931-VUVJN"/>
    <s v="Female"/>
    <x v="1"/>
    <n v="59"/>
    <x v="1"/>
    <x v="1"/>
    <n v="94.05"/>
    <n v="5483.9"/>
    <x v="0"/>
    <s v="Yes"/>
    <x v="0"/>
    <n v="5483.9"/>
    <x v="2"/>
    <s v="High Spend"/>
  </r>
  <r>
    <s v="9061-TIHDA"/>
    <s v="Male"/>
    <x v="0"/>
    <n v="13"/>
    <x v="1"/>
    <x v="0"/>
    <n v="95.25"/>
    <n v="1233.6500000000001"/>
    <x v="1"/>
    <s v="Yes"/>
    <x v="0"/>
    <n v="1233.6500000000001"/>
    <x v="1"/>
    <s v="Standard Spend"/>
  </r>
  <r>
    <s v="8699-ASUFO"/>
    <s v="Male"/>
    <x v="0"/>
    <n v="7"/>
    <x v="1"/>
    <x v="0"/>
    <n v="74.400000000000006"/>
    <n v="527.9"/>
    <x v="1"/>
    <s v="Yes"/>
    <x v="1"/>
    <n v="527.9"/>
    <x v="0"/>
    <s v="Standard Spend"/>
  </r>
  <r>
    <s v="6418-PIQSP"/>
    <s v="Female"/>
    <x v="2"/>
    <n v="62"/>
    <x v="0"/>
    <x v="1"/>
    <n v="81"/>
    <n v="4985.8999999999996"/>
    <x v="0"/>
    <s v="No"/>
    <x v="1"/>
    <n v="4985.8999999999996"/>
    <x v="2"/>
    <s v="High Spend"/>
  </r>
  <r>
    <s v="8220-OCUFY"/>
    <s v="Female"/>
    <x v="1"/>
    <n v="21"/>
    <x v="0"/>
    <x v="1"/>
    <n v="60.25"/>
    <n v="1258.3499999999999"/>
    <x v="0"/>
    <s v="Yes"/>
    <x v="0"/>
    <n v="1258.3499999999999"/>
    <x v="1"/>
    <s v="Standard Spend"/>
  </r>
  <r>
    <s v="3995-WFCSM"/>
    <s v="Female"/>
    <x v="0"/>
    <n v="2"/>
    <x v="0"/>
    <x v="0"/>
    <n v="60.85"/>
    <n v="111.4"/>
    <x v="0"/>
    <s v="No"/>
    <x v="0"/>
    <n v="111.4"/>
    <x v="0"/>
    <s v="Standard Spend"/>
  </r>
  <r>
    <s v="1895-QTKDO"/>
    <s v="Female"/>
    <x v="0"/>
    <n v="1"/>
    <x v="0"/>
    <x v="0"/>
    <n v="43.95"/>
    <n v="43.95"/>
    <x v="0"/>
    <s v="No"/>
    <x v="3"/>
    <n v="43.95"/>
    <x v="0"/>
    <s v="Standard Spend"/>
  </r>
  <r>
    <s v="2038-OEQZH"/>
    <s v="Male"/>
    <x v="0"/>
    <n v="4"/>
    <x v="1"/>
    <x v="0"/>
    <n v="86.05"/>
    <n v="308.10000000000002"/>
    <x v="0"/>
    <s v="No"/>
    <x v="0"/>
    <n v="308.10000000000002"/>
    <x v="0"/>
    <s v="Standard Spend"/>
  </r>
  <r>
    <s v="1178-PZGAB"/>
    <s v="Female"/>
    <x v="1"/>
    <n v="19"/>
    <x v="2"/>
    <x v="2"/>
    <n v="20.25"/>
    <n v="383.65"/>
    <x v="0"/>
    <s v="No"/>
    <x v="3"/>
    <n v="383.65"/>
    <x v="1"/>
    <s v="Standard Spend"/>
  </r>
  <r>
    <s v="7927-AUXBZ"/>
    <s v="Female"/>
    <x v="0"/>
    <n v="30"/>
    <x v="1"/>
    <x v="1"/>
    <n v="85.15"/>
    <n v="2555.9"/>
    <x v="1"/>
    <s v="No"/>
    <x v="0"/>
    <n v="2555.9"/>
    <x v="1"/>
    <s v="High Spend"/>
  </r>
  <r>
    <s v="2626-VEEWG"/>
    <s v="Male"/>
    <x v="2"/>
    <n v="67"/>
    <x v="2"/>
    <x v="2"/>
    <n v="19.399999999999999"/>
    <n v="1284.2"/>
    <x v="0"/>
    <s v="Yes"/>
    <x v="3"/>
    <n v="1284.2"/>
    <x v="2"/>
    <s v="Standard Spend"/>
  </r>
  <r>
    <s v="2878-RMWXY"/>
    <s v="Male"/>
    <x v="2"/>
    <n v="72"/>
    <x v="1"/>
    <x v="0"/>
    <n v="102.65"/>
    <n v="7550.3"/>
    <x v="0"/>
    <s v="Yes"/>
    <x v="3"/>
    <n v="7550.3"/>
    <x v="2"/>
    <s v="High Spend"/>
  </r>
  <r>
    <s v="1657-DYMBM"/>
    <s v="Male"/>
    <x v="2"/>
    <n v="53"/>
    <x v="2"/>
    <x v="2"/>
    <n v="19.899999999999999"/>
    <n v="1110.05"/>
    <x v="0"/>
    <s v="No"/>
    <x v="3"/>
    <n v="1110.05"/>
    <x v="2"/>
    <s v="Standard Spend"/>
  </r>
  <r>
    <s v="7311-MQJCH"/>
    <s v="Female"/>
    <x v="1"/>
    <n v="5"/>
    <x v="2"/>
    <x v="2"/>
    <n v="19.55"/>
    <n v="99.6"/>
    <x v="0"/>
    <s v="No"/>
    <x v="0"/>
    <n v="99.6"/>
    <x v="0"/>
    <s v="Standard Spend"/>
  </r>
  <r>
    <s v="7375-WMVMT"/>
    <s v="Male"/>
    <x v="2"/>
    <n v="71"/>
    <x v="1"/>
    <x v="1"/>
    <n v="95.5"/>
    <n v="6707.15"/>
    <x v="0"/>
    <s v="Yes"/>
    <x v="3"/>
    <n v="6707.15"/>
    <x v="2"/>
    <s v="High Spend"/>
  </r>
  <r>
    <s v="1136-XGEQU"/>
    <s v="Female"/>
    <x v="1"/>
    <n v="50"/>
    <x v="0"/>
    <x v="1"/>
    <n v="84.15"/>
    <n v="4164.3999999999996"/>
    <x v="0"/>
    <s v="Yes"/>
    <x v="3"/>
    <n v="4164.3999999999996"/>
    <x v="2"/>
    <s v="High Spend"/>
  </r>
  <r>
    <s v="2530-FMFXO"/>
    <s v="Male"/>
    <x v="2"/>
    <n v="56"/>
    <x v="1"/>
    <x v="1"/>
    <n v="103.2"/>
    <n v="5873.75"/>
    <x v="0"/>
    <s v="Yes"/>
    <x v="0"/>
    <n v="5873.75"/>
    <x v="2"/>
    <s v="High Spend"/>
  </r>
  <r>
    <s v="6844-DZKRF"/>
    <s v="Male"/>
    <x v="0"/>
    <n v="2"/>
    <x v="0"/>
    <x v="1"/>
    <n v="50.2"/>
    <n v="109.25"/>
    <x v="0"/>
    <s v="Yes"/>
    <x v="3"/>
    <n v="109.25"/>
    <x v="0"/>
    <s v="Standard Spend"/>
  </r>
  <r>
    <s v="4695-WJZUE"/>
    <s v="Female"/>
    <x v="0"/>
    <n v="2"/>
    <x v="1"/>
    <x v="0"/>
    <n v="88.55"/>
    <n v="179.25"/>
    <x v="1"/>
    <s v="Yes"/>
    <x v="0"/>
    <n v="179.25"/>
    <x v="0"/>
    <s v="Standard Spend"/>
  </r>
  <r>
    <s v="7619-ODSGN"/>
    <s v="Male"/>
    <x v="0"/>
    <n v="24"/>
    <x v="0"/>
    <x v="0"/>
    <n v="54.75"/>
    <n v="1338.15"/>
    <x v="1"/>
    <s v="No"/>
    <x v="0"/>
    <n v="1338.15"/>
    <x v="1"/>
    <s v="Standard Spend"/>
  </r>
  <r>
    <s v="5970-GHJAW"/>
    <s v="Male"/>
    <x v="2"/>
    <n v="46"/>
    <x v="2"/>
    <x v="2"/>
    <n v="19.95"/>
    <n v="862.4"/>
    <x v="0"/>
    <s v="No"/>
    <x v="3"/>
    <n v="862.4"/>
    <x v="2"/>
    <s v="Standard Spend"/>
  </r>
  <r>
    <s v="8879-XUAHX"/>
    <s v="Male"/>
    <x v="2"/>
    <n v="71"/>
    <x v="1"/>
    <x v="1"/>
    <n v="116.25"/>
    <n v="8564.75"/>
    <x v="0"/>
    <s v="Yes"/>
    <x v="0"/>
    <n v="8564.75"/>
    <x v="2"/>
    <s v="High Spend"/>
  </r>
  <r>
    <s v="3689-MOZGR"/>
    <s v="Female"/>
    <x v="0"/>
    <n v="29"/>
    <x v="0"/>
    <x v="1"/>
    <n v="31.2"/>
    <n v="926.2"/>
    <x v="0"/>
    <s v="Yes"/>
    <x v="0"/>
    <n v="926.2"/>
    <x v="1"/>
    <s v="Standard Spend"/>
  </r>
  <r>
    <s v="4195-PNGZS"/>
    <s v="Male"/>
    <x v="2"/>
    <n v="69"/>
    <x v="2"/>
    <x v="2"/>
    <n v="24.45"/>
    <n v="1718.2"/>
    <x v="0"/>
    <s v="No"/>
    <x v="2"/>
    <n v="1718.2"/>
    <x v="2"/>
    <s v="Standard Spend"/>
  </r>
  <r>
    <s v="5003-XZWWO"/>
    <s v="Male"/>
    <x v="2"/>
    <n v="71"/>
    <x v="0"/>
    <x v="1"/>
    <n v="84.2"/>
    <n v="5956.85"/>
    <x v="0"/>
    <s v="No"/>
    <x v="3"/>
    <n v="5956.85"/>
    <x v="2"/>
    <s v="High Spend"/>
  </r>
  <r>
    <s v="3988-RQIXO"/>
    <s v="Female"/>
    <x v="0"/>
    <n v="1"/>
    <x v="1"/>
    <x v="0"/>
    <n v="91.3"/>
    <n v="91.3"/>
    <x v="1"/>
    <s v="Yes"/>
    <x v="0"/>
    <n v="91.3"/>
    <x v="0"/>
    <s v="Standard Spend"/>
  </r>
  <r>
    <s v="7622-FWGEW"/>
    <s v="Male"/>
    <x v="2"/>
    <n v="56"/>
    <x v="0"/>
    <x v="1"/>
    <n v="85.65"/>
    <n v="4824.45"/>
    <x v="0"/>
    <s v="Yes"/>
    <x v="2"/>
    <n v="4824.45"/>
    <x v="2"/>
    <s v="High Spend"/>
  </r>
  <r>
    <s v="6922-NCEDI"/>
    <s v="Male"/>
    <x v="1"/>
    <n v="56"/>
    <x v="2"/>
    <x v="2"/>
    <n v="21.2"/>
    <n v="1238.6500000000001"/>
    <x v="0"/>
    <s v="Yes"/>
    <x v="1"/>
    <n v="1238.6500000000001"/>
    <x v="2"/>
    <s v="Standard Spend"/>
  </r>
  <r>
    <s v="2514-GINMM"/>
    <s v="Male"/>
    <x v="0"/>
    <n v="1"/>
    <x v="1"/>
    <x v="0"/>
    <n v="79.5"/>
    <n v="79.5"/>
    <x v="1"/>
    <s v="Yes"/>
    <x v="0"/>
    <n v="79.5"/>
    <x v="0"/>
    <s v="Standard Spend"/>
  </r>
  <r>
    <s v="9891-NQDBD"/>
    <s v="Female"/>
    <x v="1"/>
    <n v="28"/>
    <x v="2"/>
    <x v="2"/>
    <n v="25.55"/>
    <n v="672.2"/>
    <x v="0"/>
    <s v="No"/>
    <x v="1"/>
    <n v="672.2"/>
    <x v="1"/>
    <s v="Standard Spend"/>
  </r>
  <r>
    <s v="6131-IUNXN"/>
    <s v="Female"/>
    <x v="0"/>
    <n v="19"/>
    <x v="2"/>
    <x v="2"/>
    <n v="20.2"/>
    <n v="382.2"/>
    <x v="0"/>
    <s v="No"/>
    <x v="1"/>
    <n v="382.2"/>
    <x v="1"/>
    <s v="Standard Spend"/>
  </r>
  <r>
    <s v="8548-AWOFC"/>
    <s v="Male"/>
    <x v="0"/>
    <n v="66"/>
    <x v="0"/>
    <x v="1"/>
    <n v="63.85"/>
    <n v="4264.6000000000004"/>
    <x v="0"/>
    <s v="No"/>
    <x v="0"/>
    <n v="4264.6000000000004"/>
    <x v="2"/>
    <s v="High Spend"/>
  </r>
  <r>
    <s v="9798-DRYDS"/>
    <s v="Female"/>
    <x v="1"/>
    <n v="17"/>
    <x v="0"/>
    <x v="1"/>
    <n v="61.95"/>
    <n v="1070.7"/>
    <x v="0"/>
    <s v="Yes"/>
    <x v="1"/>
    <n v="1070.7"/>
    <x v="1"/>
    <s v="Standard Spend"/>
  </r>
  <r>
    <s v="8532-UEFWH"/>
    <s v="Male"/>
    <x v="2"/>
    <n v="52"/>
    <x v="2"/>
    <x v="2"/>
    <n v="25.75"/>
    <n v="1345.85"/>
    <x v="0"/>
    <s v="No"/>
    <x v="1"/>
    <n v="1345.85"/>
    <x v="2"/>
    <s v="Standard Spend"/>
  </r>
  <r>
    <s v="6296-DDOOR"/>
    <s v="Female"/>
    <x v="1"/>
    <n v="19"/>
    <x v="0"/>
    <x v="0"/>
    <n v="58.2"/>
    <n v="1045.25"/>
    <x v="0"/>
    <s v="No"/>
    <x v="0"/>
    <n v="1045.25"/>
    <x v="1"/>
    <s v="Standard Spend"/>
  </r>
  <r>
    <s v="7951-VRDVK"/>
    <s v="Female"/>
    <x v="1"/>
    <n v="36"/>
    <x v="0"/>
    <x v="1"/>
    <n v="85.85"/>
    <n v="3003.55"/>
    <x v="0"/>
    <s v="No"/>
    <x v="2"/>
    <n v="3003.55"/>
    <x v="1"/>
    <s v="High Spend"/>
  </r>
  <r>
    <s v="5931-FLJJF"/>
    <s v="Male"/>
    <x v="0"/>
    <n v="7"/>
    <x v="1"/>
    <x v="0"/>
    <n v="70.099999999999994"/>
    <n v="467.55"/>
    <x v="1"/>
    <s v="Yes"/>
    <x v="1"/>
    <n v="467.55"/>
    <x v="0"/>
    <s v="Standard Spend"/>
  </r>
  <r>
    <s v="4815-YOSUK"/>
    <s v="Male"/>
    <x v="1"/>
    <n v="72"/>
    <x v="1"/>
    <x v="1"/>
    <n v="104.9"/>
    <n v="7537.5"/>
    <x v="0"/>
    <s v="Yes"/>
    <x v="3"/>
    <n v="7537.5"/>
    <x v="2"/>
    <s v="High Spend"/>
  </r>
  <r>
    <s v="2659-VXMWZ"/>
    <s v="Male"/>
    <x v="1"/>
    <n v="67"/>
    <x v="1"/>
    <x v="0"/>
    <n v="111.3"/>
    <n v="7482.1"/>
    <x v="1"/>
    <s v="Yes"/>
    <x v="0"/>
    <n v="7482.1"/>
    <x v="2"/>
    <s v="High Spend"/>
  </r>
  <r>
    <s v="0380-NEAVX"/>
    <s v="Male"/>
    <x v="1"/>
    <n v="34"/>
    <x v="1"/>
    <x v="0"/>
    <n v="99.85"/>
    <n v="3343.15"/>
    <x v="0"/>
    <s v="Yes"/>
    <x v="0"/>
    <n v="3343.15"/>
    <x v="1"/>
    <s v="High Spend"/>
  </r>
  <r>
    <s v="3207-OYBWH"/>
    <s v="Male"/>
    <x v="0"/>
    <n v="57"/>
    <x v="1"/>
    <x v="0"/>
    <n v="95.25"/>
    <n v="5427.05"/>
    <x v="1"/>
    <s v="Yes"/>
    <x v="2"/>
    <n v="5427.05"/>
    <x v="2"/>
    <s v="High Spend"/>
  </r>
  <r>
    <s v="4285-GYRQC"/>
    <s v="Female"/>
    <x v="0"/>
    <n v="7"/>
    <x v="1"/>
    <x v="0"/>
    <n v="86.25"/>
    <n v="587.1"/>
    <x v="1"/>
    <s v="Yes"/>
    <x v="0"/>
    <n v="587.1"/>
    <x v="0"/>
    <s v="Standard Spend"/>
  </r>
  <r>
    <s v="7216-EWTRS"/>
    <s v="Female"/>
    <x v="0"/>
    <n v="1"/>
    <x v="1"/>
    <x v="0"/>
    <n v="100.8"/>
    <n v="100.8"/>
    <x v="1"/>
    <s v="Yes"/>
    <x v="0"/>
    <n v="100.8"/>
    <x v="0"/>
    <s v="Standard Spend"/>
  </r>
  <r>
    <s v="4365-MSDYN"/>
    <s v="Male"/>
    <x v="0"/>
    <n v="8"/>
    <x v="2"/>
    <x v="2"/>
    <n v="19.55"/>
    <n v="161.15"/>
    <x v="0"/>
    <s v="Yes"/>
    <x v="2"/>
    <n v="161.15"/>
    <x v="0"/>
    <s v="Standard Spend"/>
  </r>
  <r>
    <s v="7036-TYDEC"/>
    <s v="Female"/>
    <x v="2"/>
    <n v="69"/>
    <x v="1"/>
    <x v="1"/>
    <n v="104"/>
    <n v="7028.5"/>
    <x v="0"/>
    <s v="No"/>
    <x v="0"/>
    <n v="7028.5"/>
    <x v="2"/>
    <s v="High Spend"/>
  </r>
  <r>
    <s v="5802-ADBRC"/>
    <s v="Female"/>
    <x v="1"/>
    <n v="50"/>
    <x v="1"/>
    <x v="0"/>
    <n v="104.4"/>
    <n v="5232.8999999999996"/>
    <x v="0"/>
    <s v="Yes"/>
    <x v="1"/>
    <n v="5232.8999999999996"/>
    <x v="2"/>
    <s v="High Spend"/>
  </r>
  <r>
    <s v="8076-FEZKJ"/>
    <s v="Male"/>
    <x v="1"/>
    <n v="10"/>
    <x v="2"/>
    <x v="2"/>
    <n v="19.5"/>
    <n v="225.85"/>
    <x v="0"/>
    <s v="No"/>
    <x v="1"/>
    <n v="225.85"/>
    <x v="0"/>
    <s v="Standard Spend"/>
  </r>
  <r>
    <s v="5197-YPYBZ"/>
    <s v="Female"/>
    <x v="2"/>
    <n v="12"/>
    <x v="2"/>
    <x v="2"/>
    <n v="25.25"/>
    <n v="274.7"/>
    <x v="0"/>
    <s v="No"/>
    <x v="3"/>
    <n v="274.7"/>
    <x v="0"/>
    <s v="Standard Spend"/>
  </r>
  <r>
    <s v="8337-MSSXB"/>
    <s v="Female"/>
    <x v="0"/>
    <n v="14"/>
    <x v="1"/>
    <x v="0"/>
    <n v="86.3"/>
    <n v="1180.95"/>
    <x v="1"/>
    <s v="Yes"/>
    <x v="0"/>
    <n v="1180.95"/>
    <x v="1"/>
    <s v="Standard Spend"/>
  </r>
  <r>
    <s v="4312-GVYNH"/>
    <s v="Female"/>
    <x v="2"/>
    <n v="70"/>
    <x v="0"/>
    <x v="1"/>
    <n v="49.85"/>
    <n v="3370.2"/>
    <x v="0"/>
    <s v="Yes"/>
    <x v="2"/>
    <n v="3370.2"/>
    <x v="2"/>
    <s v="High Spend"/>
  </r>
  <r>
    <s v="8495-LJDFO"/>
    <s v="Female"/>
    <x v="0"/>
    <n v="64"/>
    <x v="1"/>
    <x v="1"/>
    <n v="108.95"/>
    <n v="7111.3"/>
    <x v="0"/>
    <s v="Yes"/>
    <x v="2"/>
    <n v="7111.3"/>
    <x v="2"/>
    <s v="High Spend"/>
  </r>
  <r>
    <s v="0839-JTCUD"/>
    <s v="Female"/>
    <x v="2"/>
    <n v="66"/>
    <x v="0"/>
    <x v="1"/>
    <n v="89.9"/>
    <n v="5958.85"/>
    <x v="0"/>
    <s v="No"/>
    <x v="3"/>
    <n v="5958.85"/>
    <x v="2"/>
    <s v="High Spend"/>
  </r>
  <r>
    <s v="5494-WOZRZ"/>
    <s v="Female"/>
    <x v="2"/>
    <n v="71"/>
    <x v="0"/>
    <x v="1"/>
    <n v="82"/>
    <n v="5999.85"/>
    <x v="0"/>
    <s v="Yes"/>
    <x v="3"/>
    <n v="5999.85"/>
    <x v="2"/>
    <s v="High Spend"/>
  </r>
  <r>
    <s v="1302-UHBDD"/>
    <s v="Male"/>
    <x v="0"/>
    <n v="20"/>
    <x v="1"/>
    <x v="0"/>
    <n v="89.95"/>
    <n v="1648.45"/>
    <x v="0"/>
    <s v="No"/>
    <x v="0"/>
    <n v="1648.45"/>
    <x v="1"/>
    <s v="Standard Spend"/>
  </r>
  <r>
    <s v="2234-EOFPT"/>
    <s v="Male"/>
    <x v="2"/>
    <n v="72"/>
    <x v="0"/>
    <x v="1"/>
    <n v="79.349999999999994"/>
    <n v="5753.25"/>
    <x v="0"/>
    <s v="Yes"/>
    <x v="2"/>
    <n v="5753.25"/>
    <x v="2"/>
    <s v="High Spend"/>
  </r>
  <r>
    <s v="8619-IJNDK"/>
    <s v="Female"/>
    <x v="2"/>
    <n v="71"/>
    <x v="0"/>
    <x v="1"/>
    <n v="64.05"/>
    <n v="4492.8999999999996"/>
    <x v="0"/>
    <s v="No"/>
    <x v="3"/>
    <n v="4492.8999999999996"/>
    <x v="2"/>
    <s v="High Spend"/>
  </r>
  <r>
    <s v="8378-LKJAF"/>
    <s v="Male"/>
    <x v="0"/>
    <n v="38"/>
    <x v="1"/>
    <x v="0"/>
    <n v="101.15"/>
    <n v="3956.7"/>
    <x v="0"/>
    <s v="Yes"/>
    <x v="3"/>
    <n v="3956.7"/>
    <x v="2"/>
    <s v="High Spend"/>
  </r>
  <r>
    <s v="8182-BJDSI"/>
    <s v="Female"/>
    <x v="0"/>
    <n v="28"/>
    <x v="1"/>
    <x v="0"/>
    <n v="89.95"/>
    <n v="2625.55"/>
    <x v="1"/>
    <s v="Yes"/>
    <x v="0"/>
    <n v="2625.55"/>
    <x v="1"/>
    <s v="High Spend"/>
  </r>
  <r>
    <s v="2528-HFYZX"/>
    <s v="Male"/>
    <x v="0"/>
    <n v="17"/>
    <x v="1"/>
    <x v="0"/>
    <n v="76.45"/>
    <n v="1233.4000000000001"/>
    <x v="1"/>
    <s v="Yes"/>
    <x v="0"/>
    <n v="1233.4000000000001"/>
    <x v="1"/>
    <s v="Standard Spend"/>
  </r>
  <r>
    <s v="1153-GNOLC"/>
    <s v="Male"/>
    <x v="1"/>
    <n v="33"/>
    <x v="0"/>
    <x v="0"/>
    <n v="39.1"/>
    <n v="1309"/>
    <x v="0"/>
    <s v="Yes"/>
    <x v="0"/>
    <n v="1309"/>
    <x v="1"/>
    <s v="Standard Spend"/>
  </r>
  <r>
    <s v="3298-QEICA"/>
    <s v="Female"/>
    <x v="2"/>
    <n v="23"/>
    <x v="0"/>
    <x v="1"/>
    <n v="34.6"/>
    <n v="813.45"/>
    <x v="0"/>
    <s v="No"/>
    <x v="1"/>
    <n v="813.45"/>
    <x v="1"/>
    <s v="Standard Spend"/>
  </r>
  <r>
    <s v="0788-DXBFY"/>
    <s v="Male"/>
    <x v="1"/>
    <n v="58"/>
    <x v="2"/>
    <x v="2"/>
    <n v="19.55"/>
    <n v="1108.8"/>
    <x v="0"/>
    <s v="Yes"/>
    <x v="0"/>
    <n v="1108.8"/>
    <x v="2"/>
    <s v="Standard Spend"/>
  </r>
  <r>
    <s v="3597-YASZG"/>
    <s v="Female"/>
    <x v="2"/>
    <n v="70"/>
    <x v="1"/>
    <x v="1"/>
    <n v="104.45"/>
    <n v="7349.35"/>
    <x v="0"/>
    <s v="Yes"/>
    <x v="2"/>
    <n v="7349.35"/>
    <x v="2"/>
    <s v="High Spend"/>
  </r>
  <r>
    <s v="3496-LFSZU"/>
    <s v="Male"/>
    <x v="0"/>
    <n v="4"/>
    <x v="1"/>
    <x v="0"/>
    <n v="70.5"/>
    <n v="294.2"/>
    <x v="0"/>
    <s v="No"/>
    <x v="0"/>
    <n v="294.2"/>
    <x v="0"/>
    <s v="Standard Spend"/>
  </r>
  <r>
    <s v="5242-UOWHD"/>
    <s v="Male"/>
    <x v="2"/>
    <n v="45"/>
    <x v="2"/>
    <x v="2"/>
    <n v="20.350000000000001"/>
    <n v="929.2"/>
    <x v="0"/>
    <s v="No"/>
    <x v="1"/>
    <n v="929.2"/>
    <x v="2"/>
    <s v="Standard Spend"/>
  </r>
  <r>
    <s v="2482-CZGBB"/>
    <s v="Male"/>
    <x v="0"/>
    <n v="10"/>
    <x v="1"/>
    <x v="0"/>
    <n v="70"/>
    <n v="740"/>
    <x v="1"/>
    <s v="Yes"/>
    <x v="0"/>
    <n v="740"/>
    <x v="0"/>
    <s v="Standard Spend"/>
  </r>
  <r>
    <s v="6479-SZPLM"/>
    <s v="Male"/>
    <x v="2"/>
    <n v="36"/>
    <x v="2"/>
    <x v="2"/>
    <n v="19.45"/>
    <n v="754.5"/>
    <x v="0"/>
    <s v="No"/>
    <x v="3"/>
    <n v="754.5"/>
    <x v="1"/>
    <s v="Standard Spend"/>
  </r>
  <r>
    <s v="8097-VBQTZ"/>
    <s v="Male"/>
    <x v="0"/>
    <n v="54"/>
    <x v="0"/>
    <x v="1"/>
    <n v="69.900000000000006"/>
    <n v="3883.3"/>
    <x v="0"/>
    <s v="Yes"/>
    <x v="1"/>
    <n v="3883.3"/>
    <x v="2"/>
    <s v="High Spend"/>
  </r>
  <r>
    <s v="4500-HKANN"/>
    <s v="Male"/>
    <x v="2"/>
    <n v="23"/>
    <x v="0"/>
    <x v="1"/>
    <n v="59.7"/>
    <n v="1414.2"/>
    <x v="0"/>
    <s v="No"/>
    <x v="1"/>
    <n v="1414.2"/>
    <x v="1"/>
    <s v="Standard Spend"/>
  </r>
  <r>
    <s v="9917-KWRBE"/>
    <s v="Female"/>
    <x v="1"/>
    <n v="41"/>
    <x v="0"/>
    <x v="0"/>
    <n v="78.349999999999994"/>
    <n v="3211.2"/>
    <x v="0"/>
    <s v="Yes"/>
    <x v="3"/>
    <n v="3211.2"/>
    <x v="2"/>
    <s v="High Spend"/>
  </r>
  <r>
    <s v="3420-ZDBMA"/>
    <s v="Male"/>
    <x v="0"/>
    <n v="5"/>
    <x v="1"/>
    <x v="0"/>
    <n v="71.45"/>
    <n v="371.6"/>
    <x v="0"/>
    <s v="Yes"/>
    <x v="1"/>
    <n v="371.6"/>
    <x v="0"/>
    <s v="Standard Spend"/>
  </r>
  <r>
    <s v="2212-LYASK"/>
    <s v="Male"/>
    <x v="1"/>
    <n v="27"/>
    <x v="0"/>
    <x v="0"/>
    <n v="45.85"/>
    <n v="1246.4000000000001"/>
    <x v="0"/>
    <s v="Yes"/>
    <x v="3"/>
    <n v="1246.4000000000001"/>
    <x v="1"/>
    <s v="Standard Spend"/>
  </r>
  <r>
    <s v="1393-IMKZG"/>
    <s v="Female"/>
    <x v="0"/>
    <n v="1"/>
    <x v="1"/>
    <x v="1"/>
    <n v="95.85"/>
    <n v="95.85"/>
    <x v="0"/>
    <s v="Yes"/>
    <x v="0"/>
    <n v="95.85"/>
    <x v="0"/>
    <s v="Standard Spend"/>
  </r>
  <r>
    <s v="8069-RHUXK"/>
    <s v="Female"/>
    <x v="2"/>
    <n v="67"/>
    <x v="0"/>
    <x v="1"/>
    <n v="35.700000000000003"/>
    <n v="2545.6999999999998"/>
    <x v="0"/>
    <s v="No"/>
    <x v="3"/>
    <n v="2545.6999999999998"/>
    <x v="2"/>
    <s v="High Spend"/>
  </r>
  <r>
    <s v="3398-GCPMU"/>
    <s v="Female"/>
    <x v="2"/>
    <n v="72"/>
    <x v="0"/>
    <x v="1"/>
    <n v="89.55"/>
    <n v="6448.85"/>
    <x v="0"/>
    <s v="Yes"/>
    <x v="3"/>
    <n v="6448.85"/>
    <x v="2"/>
    <s v="High Spend"/>
  </r>
  <r>
    <s v="2908-WGAXL"/>
    <s v="Female"/>
    <x v="2"/>
    <n v="56"/>
    <x v="2"/>
    <x v="2"/>
    <n v="24.95"/>
    <n v="1468.9"/>
    <x v="0"/>
    <s v="Yes"/>
    <x v="3"/>
    <n v="1468.9"/>
    <x v="2"/>
    <s v="Standard Spend"/>
  </r>
  <r>
    <s v="3378-AJRAO"/>
    <s v="Male"/>
    <x v="1"/>
    <n v="44"/>
    <x v="2"/>
    <x v="2"/>
    <n v="24.85"/>
    <n v="1013.6"/>
    <x v="0"/>
    <s v="No"/>
    <x v="0"/>
    <n v="1013.6"/>
    <x v="2"/>
    <s v="Standard Spend"/>
  </r>
  <r>
    <s v="1013-QCWAM"/>
    <s v="Female"/>
    <x v="0"/>
    <n v="66"/>
    <x v="1"/>
    <x v="0"/>
    <n v="100.8"/>
    <n v="6690.75"/>
    <x v="0"/>
    <s v="Yes"/>
    <x v="0"/>
    <n v="6690.75"/>
    <x v="2"/>
    <s v="High Spend"/>
  </r>
  <r>
    <s v="0866-QLSIR"/>
    <s v="Female"/>
    <x v="1"/>
    <n v="34"/>
    <x v="0"/>
    <x v="1"/>
    <n v="64.400000000000006"/>
    <n v="2088.75"/>
    <x v="1"/>
    <s v="Yes"/>
    <x v="1"/>
    <n v="2088.75"/>
    <x v="1"/>
    <s v="Standard Spend"/>
  </r>
  <r>
    <s v="6050-FFXES"/>
    <s v="Female"/>
    <x v="2"/>
    <n v="69"/>
    <x v="1"/>
    <x v="1"/>
    <n v="105.35"/>
    <n v="7240.65"/>
    <x v="0"/>
    <s v="No"/>
    <x v="2"/>
    <n v="7240.65"/>
    <x v="2"/>
    <s v="High Spend"/>
  </r>
  <r>
    <s v="7181-BQYBV"/>
    <s v="Female"/>
    <x v="0"/>
    <n v="1"/>
    <x v="1"/>
    <x v="0"/>
    <n v="102.45"/>
    <n v="102.45"/>
    <x v="1"/>
    <s v="Yes"/>
    <x v="0"/>
    <n v="102.45"/>
    <x v="0"/>
    <s v="Standard Spend"/>
  </r>
  <r>
    <s v="0362-RAOQO"/>
    <s v="Female"/>
    <x v="2"/>
    <n v="40"/>
    <x v="2"/>
    <x v="2"/>
    <n v="19.649999999999999"/>
    <n v="830.25"/>
    <x v="0"/>
    <s v="No"/>
    <x v="3"/>
    <n v="830.25"/>
    <x v="2"/>
    <s v="Standard Spend"/>
  </r>
  <r>
    <s v="9554-DFKIC"/>
    <s v="Male"/>
    <x v="0"/>
    <n v="30"/>
    <x v="0"/>
    <x v="0"/>
    <n v="54.45"/>
    <n v="1588.7"/>
    <x v="0"/>
    <s v="Yes"/>
    <x v="2"/>
    <n v="1588.7"/>
    <x v="1"/>
    <s v="Standard Spend"/>
  </r>
  <r>
    <s v="5527-ACHSO"/>
    <s v="Female"/>
    <x v="0"/>
    <n v="11"/>
    <x v="0"/>
    <x v="1"/>
    <n v="70.5"/>
    <n v="829.3"/>
    <x v="0"/>
    <s v="No"/>
    <x v="1"/>
    <n v="829.3"/>
    <x v="0"/>
    <s v="Standard Spend"/>
  </r>
  <r>
    <s v="0829-DDVLK"/>
    <s v="Female"/>
    <x v="1"/>
    <n v="15"/>
    <x v="2"/>
    <x v="2"/>
    <n v="20.100000000000001"/>
    <n v="302.45"/>
    <x v="0"/>
    <s v="No"/>
    <x v="3"/>
    <n v="302.45"/>
    <x v="1"/>
    <s v="Standard Spend"/>
  </r>
  <r>
    <s v="1399-UBQIU"/>
    <s v="Male"/>
    <x v="0"/>
    <n v="11"/>
    <x v="0"/>
    <x v="0"/>
    <n v="69.349999999999994"/>
    <n v="712.25"/>
    <x v="0"/>
    <s v="Yes"/>
    <x v="0"/>
    <n v="712.25"/>
    <x v="0"/>
    <s v="Standard Spend"/>
  </r>
  <r>
    <s v="1813-JLKWR"/>
    <s v="Female"/>
    <x v="1"/>
    <n v="64"/>
    <x v="2"/>
    <x v="2"/>
    <n v="19.8"/>
    <n v="1336.65"/>
    <x v="0"/>
    <s v="No"/>
    <x v="2"/>
    <n v="1336.65"/>
    <x v="2"/>
    <s v="Standard Spend"/>
  </r>
  <r>
    <s v="0336-PIKEI"/>
    <s v="Male"/>
    <x v="2"/>
    <n v="72"/>
    <x v="0"/>
    <x v="1"/>
    <n v="74.400000000000006"/>
    <n v="5360.75"/>
    <x v="0"/>
    <s v="No"/>
    <x v="2"/>
    <n v="5360.75"/>
    <x v="2"/>
    <s v="High Spend"/>
  </r>
  <r>
    <s v="7322-OCWHC"/>
    <s v="Male"/>
    <x v="2"/>
    <n v="72"/>
    <x v="1"/>
    <x v="1"/>
    <n v="93.05"/>
    <n v="6735.05"/>
    <x v="0"/>
    <s v="Yes"/>
    <x v="2"/>
    <n v="6735.05"/>
    <x v="2"/>
    <s v="High Spend"/>
  </r>
  <r>
    <s v="9537-VHDTA"/>
    <s v="Female"/>
    <x v="0"/>
    <n v="1"/>
    <x v="0"/>
    <x v="0"/>
    <n v="51.2"/>
    <n v="51.2"/>
    <x v="0"/>
    <s v="No"/>
    <x v="1"/>
    <n v="51.2"/>
    <x v="0"/>
    <s v="Standard Spend"/>
  </r>
  <r>
    <s v="4957-TIALW"/>
    <s v="Female"/>
    <x v="1"/>
    <n v="15"/>
    <x v="0"/>
    <x v="1"/>
    <n v="65.599999999999994"/>
    <n v="1010"/>
    <x v="0"/>
    <s v="No"/>
    <x v="3"/>
    <n v="1010"/>
    <x v="1"/>
    <s v="Standard Spend"/>
  </r>
  <r>
    <s v="2054-PJOCK"/>
    <s v="Female"/>
    <x v="1"/>
    <n v="60"/>
    <x v="0"/>
    <x v="1"/>
    <n v="80.55"/>
    <n v="4847.05"/>
    <x v="0"/>
    <s v="No"/>
    <x v="3"/>
    <n v="4847.05"/>
    <x v="2"/>
    <s v="High Spend"/>
  </r>
  <r>
    <s v="9150-HEPMB"/>
    <s v="Male"/>
    <x v="1"/>
    <n v="56"/>
    <x v="0"/>
    <x v="0"/>
    <n v="52.7"/>
    <n v="3019.7"/>
    <x v="0"/>
    <s v="No"/>
    <x v="1"/>
    <n v="3019.7"/>
    <x v="2"/>
    <s v="High Spend"/>
  </r>
  <r>
    <s v="9030-QGZNL"/>
    <s v="Female"/>
    <x v="2"/>
    <n v="8"/>
    <x v="2"/>
    <x v="2"/>
    <n v="20.85"/>
    <n v="161.65"/>
    <x v="0"/>
    <s v="No"/>
    <x v="1"/>
    <n v="161.65"/>
    <x v="0"/>
    <s v="Standard Spend"/>
  </r>
  <r>
    <s v="6204-IEUXJ"/>
    <s v="Female"/>
    <x v="0"/>
    <n v="3"/>
    <x v="1"/>
    <x v="1"/>
    <n v="80.099999999999994"/>
    <n v="217.55"/>
    <x v="1"/>
    <s v="No"/>
    <x v="3"/>
    <n v="217.55"/>
    <x v="0"/>
    <s v="Standard Spend"/>
  </r>
  <r>
    <s v="3126-WQMGH"/>
    <s v="Female"/>
    <x v="0"/>
    <n v="49"/>
    <x v="0"/>
    <x v="0"/>
    <n v="52.15"/>
    <n v="2583.75"/>
    <x v="0"/>
    <s v="Yes"/>
    <x v="3"/>
    <n v="2583.75"/>
    <x v="2"/>
    <s v="High Spend"/>
  </r>
  <r>
    <s v="4529-CKBCL"/>
    <s v="Female"/>
    <x v="0"/>
    <n v="2"/>
    <x v="1"/>
    <x v="0"/>
    <n v="80.2"/>
    <n v="146.05000000000001"/>
    <x v="1"/>
    <s v="Yes"/>
    <x v="0"/>
    <n v="146.05000000000001"/>
    <x v="0"/>
    <s v="Standard Spend"/>
  </r>
  <r>
    <s v="2506-CLAKW"/>
    <s v="Female"/>
    <x v="0"/>
    <n v="6"/>
    <x v="1"/>
    <x v="1"/>
    <n v="98.15"/>
    <n v="567.45000000000005"/>
    <x v="1"/>
    <s v="Yes"/>
    <x v="2"/>
    <n v="567.45000000000005"/>
    <x v="0"/>
    <s v="Standard Spend"/>
  </r>
  <r>
    <s v="7176-WRTNX"/>
    <s v="Male"/>
    <x v="2"/>
    <n v="70"/>
    <x v="1"/>
    <x v="1"/>
    <n v="114.95"/>
    <n v="7711.25"/>
    <x v="0"/>
    <s v="Yes"/>
    <x v="2"/>
    <n v="7711.25"/>
    <x v="2"/>
    <s v="High Spend"/>
  </r>
  <r>
    <s v="1583-IHQZE"/>
    <s v="Male"/>
    <x v="0"/>
    <n v="12"/>
    <x v="1"/>
    <x v="1"/>
    <n v="112.95"/>
    <n v="1384.75"/>
    <x v="1"/>
    <s v="Yes"/>
    <x v="1"/>
    <n v="1384.75"/>
    <x v="0"/>
    <s v="Standard Spend"/>
  </r>
  <r>
    <s v="5732-IKGQH"/>
    <s v="Male"/>
    <x v="1"/>
    <n v="52"/>
    <x v="1"/>
    <x v="1"/>
    <n v="104.45"/>
    <n v="5481.25"/>
    <x v="0"/>
    <s v="Yes"/>
    <x v="2"/>
    <n v="5481.25"/>
    <x v="2"/>
    <s v="High Spend"/>
  </r>
  <r>
    <s v="9239-GZHZE"/>
    <s v="Female"/>
    <x v="2"/>
    <n v="72"/>
    <x v="1"/>
    <x v="1"/>
    <n v="113.65"/>
    <n v="8124.2"/>
    <x v="0"/>
    <s v="Yes"/>
    <x v="3"/>
    <n v="8124.2"/>
    <x v="2"/>
    <s v="High Spend"/>
  </r>
  <r>
    <s v="7205-BAIAD"/>
    <s v="Female"/>
    <x v="2"/>
    <n v="40"/>
    <x v="2"/>
    <x v="2"/>
    <n v="20.6"/>
    <n v="827.3"/>
    <x v="0"/>
    <s v="Yes"/>
    <x v="2"/>
    <n v="827.3"/>
    <x v="2"/>
    <s v="Standard Spend"/>
  </r>
  <r>
    <s v="0151-ONTOV"/>
    <s v="Female"/>
    <x v="0"/>
    <n v="1"/>
    <x v="1"/>
    <x v="0"/>
    <n v="70.900000000000006"/>
    <n v="70.900000000000006"/>
    <x v="1"/>
    <s v="No"/>
    <x v="1"/>
    <n v="70.900000000000006"/>
    <x v="0"/>
    <s v="Standard Spend"/>
  </r>
  <r>
    <s v="4140-MUHUG"/>
    <s v="Female"/>
    <x v="0"/>
    <n v="3"/>
    <x v="1"/>
    <x v="0"/>
    <n v="86.85"/>
    <n v="220.95"/>
    <x v="1"/>
    <s v="Yes"/>
    <x v="0"/>
    <n v="220.95"/>
    <x v="0"/>
    <s v="Standard Spend"/>
  </r>
  <r>
    <s v="0093-EXYQL"/>
    <s v="Female"/>
    <x v="0"/>
    <n v="40"/>
    <x v="1"/>
    <x v="0"/>
    <n v="91.55"/>
    <n v="3673.6"/>
    <x v="0"/>
    <s v="Yes"/>
    <x v="0"/>
    <n v="3673.6"/>
    <x v="2"/>
    <s v="High Spend"/>
  </r>
  <r>
    <s v="8064-RAVOH"/>
    <s v="Male"/>
    <x v="0"/>
    <n v="1"/>
    <x v="0"/>
    <x v="0"/>
    <n v="49.85"/>
    <n v="49.85"/>
    <x v="0"/>
    <s v="Yes"/>
    <x v="0"/>
    <n v="49.85"/>
    <x v="0"/>
    <s v="Standard Spend"/>
  </r>
  <r>
    <s v="0219-QAERP"/>
    <s v="Male"/>
    <x v="1"/>
    <n v="30"/>
    <x v="2"/>
    <x v="2"/>
    <n v="19.8"/>
    <n v="576.65"/>
    <x v="0"/>
    <s v="No"/>
    <x v="3"/>
    <n v="576.65"/>
    <x v="1"/>
    <s v="Standard Spend"/>
  </r>
  <r>
    <s v="0320-JDNQG"/>
    <s v="Male"/>
    <x v="0"/>
    <n v="23"/>
    <x v="1"/>
    <x v="1"/>
    <n v="99.85"/>
    <n v="2331.3000000000002"/>
    <x v="1"/>
    <s v="Yes"/>
    <x v="0"/>
    <n v="2331.3000000000002"/>
    <x v="1"/>
    <s v="Standard Spend"/>
  </r>
  <r>
    <s v="7180-PISOG"/>
    <s v="Male"/>
    <x v="0"/>
    <n v="1"/>
    <x v="1"/>
    <x v="0"/>
    <n v="74.5"/>
    <n v="74.5"/>
    <x v="1"/>
    <s v="Yes"/>
    <x v="0"/>
    <n v="74.5"/>
    <x v="0"/>
    <s v="Standard Spend"/>
  </r>
  <r>
    <s v="9168-INPSZ"/>
    <s v="Female"/>
    <x v="0"/>
    <n v="44"/>
    <x v="1"/>
    <x v="1"/>
    <n v="104.15"/>
    <n v="4495.6499999999996"/>
    <x v="0"/>
    <s v="No"/>
    <x v="0"/>
    <n v="4495.6499999999996"/>
    <x v="2"/>
    <s v="High Spend"/>
  </r>
  <r>
    <s v="3571-RFHAR"/>
    <s v="Male"/>
    <x v="0"/>
    <n v="65"/>
    <x v="1"/>
    <x v="1"/>
    <n v="109.15"/>
    <n v="6941.2"/>
    <x v="1"/>
    <s v="Yes"/>
    <x v="0"/>
    <n v="6941.2"/>
    <x v="2"/>
    <s v="High Spend"/>
  </r>
  <r>
    <s v="0015-UOCOJ"/>
    <s v="Female"/>
    <x v="0"/>
    <n v="7"/>
    <x v="0"/>
    <x v="0"/>
    <n v="48.2"/>
    <n v="340.35"/>
    <x v="0"/>
    <s v="Yes"/>
    <x v="0"/>
    <n v="340.35"/>
    <x v="0"/>
    <s v="Standard Spend"/>
  </r>
  <r>
    <s v="5334-AFQJB"/>
    <s v="Male"/>
    <x v="2"/>
    <n v="72"/>
    <x v="2"/>
    <x v="2"/>
    <n v="25.1"/>
    <n v="1789.9"/>
    <x v="0"/>
    <s v="Yes"/>
    <x v="3"/>
    <n v="1789.9"/>
    <x v="2"/>
    <s v="Standard Spend"/>
  </r>
  <r>
    <s v="2754-SDJRD"/>
    <s v="Female"/>
    <x v="0"/>
    <n v="8"/>
    <x v="1"/>
    <x v="1"/>
    <n v="100.15"/>
    <n v="908.55"/>
    <x v="0"/>
    <s v="Yes"/>
    <x v="3"/>
    <n v="908.55"/>
    <x v="0"/>
    <s v="Standard Spend"/>
  </r>
  <r>
    <s v="9578-VRMNM"/>
    <s v="Female"/>
    <x v="0"/>
    <n v="16"/>
    <x v="0"/>
    <x v="0"/>
    <n v="65.2"/>
    <n v="1043.3499999999999"/>
    <x v="1"/>
    <s v="Yes"/>
    <x v="3"/>
    <n v="1043.3499999999999"/>
    <x v="1"/>
    <s v="Standard Spend"/>
  </r>
  <r>
    <s v="1587-FKLZB"/>
    <s v="Male"/>
    <x v="0"/>
    <n v="66"/>
    <x v="1"/>
    <x v="0"/>
    <n v="99.5"/>
    <n v="6822.15"/>
    <x v="1"/>
    <s v="Yes"/>
    <x v="3"/>
    <n v="6822.15"/>
    <x v="2"/>
    <s v="High Spend"/>
  </r>
  <r>
    <s v="6140-QNRQQ"/>
    <s v="Male"/>
    <x v="0"/>
    <n v="1"/>
    <x v="1"/>
    <x v="0"/>
    <n v="71.55"/>
    <n v="71.55"/>
    <x v="1"/>
    <s v="Yes"/>
    <x v="1"/>
    <n v="71.55"/>
    <x v="0"/>
    <s v="Standard Spend"/>
  </r>
  <r>
    <s v="8963-JLGJT"/>
    <s v="Male"/>
    <x v="0"/>
    <n v="3"/>
    <x v="0"/>
    <x v="0"/>
    <n v="55.9"/>
    <n v="157.55000000000001"/>
    <x v="0"/>
    <s v="No"/>
    <x v="1"/>
    <n v="157.55000000000001"/>
    <x v="0"/>
    <s v="Standard Spend"/>
  </r>
  <r>
    <s v="4307-KTUMW"/>
    <s v="Male"/>
    <x v="0"/>
    <n v="53"/>
    <x v="1"/>
    <x v="0"/>
    <n v="93.9"/>
    <n v="5029.2"/>
    <x v="1"/>
    <s v="No"/>
    <x v="0"/>
    <n v="5029.2"/>
    <x v="2"/>
    <s v="High Spend"/>
  </r>
  <r>
    <s v="1465-LNTLJ"/>
    <s v="Male"/>
    <x v="0"/>
    <n v="8"/>
    <x v="0"/>
    <x v="1"/>
    <n v="64.400000000000006"/>
    <n v="581.70000000000005"/>
    <x v="0"/>
    <s v="Yes"/>
    <x v="3"/>
    <n v="581.70000000000005"/>
    <x v="0"/>
    <s v="Standard Spend"/>
  </r>
  <r>
    <s v="5440-FLBQG"/>
    <s v="Male"/>
    <x v="2"/>
    <n v="69"/>
    <x v="1"/>
    <x v="1"/>
    <n v="108.4"/>
    <n v="7318.2"/>
    <x v="1"/>
    <s v="Yes"/>
    <x v="2"/>
    <n v="7318.2"/>
    <x v="2"/>
    <s v="High Spend"/>
  </r>
  <r>
    <s v="2135-DQWAQ"/>
    <s v="Female"/>
    <x v="0"/>
    <n v="5"/>
    <x v="1"/>
    <x v="0"/>
    <n v="85.3"/>
    <n v="420.45"/>
    <x v="0"/>
    <s v="Yes"/>
    <x v="1"/>
    <n v="420.45"/>
    <x v="0"/>
    <s v="Standard Spend"/>
  </r>
  <r>
    <s v="4056-QHXHZ"/>
    <s v="Female"/>
    <x v="2"/>
    <n v="72"/>
    <x v="1"/>
    <x v="1"/>
    <n v="107.45"/>
    <n v="7576.7"/>
    <x v="0"/>
    <s v="No"/>
    <x v="1"/>
    <n v="7576.7"/>
    <x v="2"/>
    <s v="High Spend"/>
  </r>
  <r>
    <s v="7470-MCQTK"/>
    <s v="Female"/>
    <x v="0"/>
    <n v="13"/>
    <x v="0"/>
    <x v="0"/>
    <n v="48.75"/>
    <n v="633.4"/>
    <x v="1"/>
    <s v="Yes"/>
    <x v="2"/>
    <n v="633.4"/>
    <x v="1"/>
    <s v="Standard Spend"/>
  </r>
  <r>
    <s v="7488-MXJIV"/>
    <s v="Female"/>
    <x v="0"/>
    <n v="4"/>
    <x v="1"/>
    <x v="0"/>
    <n v="85.65"/>
    <n v="321.64999999999998"/>
    <x v="1"/>
    <s v="Yes"/>
    <x v="0"/>
    <n v="321.64999999999998"/>
    <x v="0"/>
    <s v="Standard Spend"/>
  </r>
  <r>
    <s v="7401-JIXNM"/>
    <s v="Female"/>
    <x v="2"/>
    <n v="54"/>
    <x v="0"/>
    <x v="1"/>
    <n v="91.3"/>
    <n v="4965"/>
    <x v="0"/>
    <s v="No"/>
    <x v="3"/>
    <n v="4965"/>
    <x v="2"/>
    <s v="High Spend"/>
  </r>
  <r>
    <s v="9339-FIIJL"/>
    <s v="Male"/>
    <x v="2"/>
    <n v="72"/>
    <x v="0"/>
    <x v="1"/>
    <n v="85.95"/>
    <n v="6151.9"/>
    <x v="0"/>
    <s v="No"/>
    <x v="2"/>
    <n v="6151.9"/>
    <x v="2"/>
    <s v="High Spend"/>
  </r>
  <r>
    <s v="2027-FECZV"/>
    <s v="Male"/>
    <x v="0"/>
    <n v="12"/>
    <x v="1"/>
    <x v="0"/>
    <n v="106.7"/>
    <n v="1253.9000000000001"/>
    <x v="1"/>
    <s v="Yes"/>
    <x v="0"/>
    <n v="1253.9000000000001"/>
    <x v="0"/>
    <s v="Standard Spend"/>
  </r>
  <r>
    <s v="2672-DZUOY"/>
    <s v="Male"/>
    <x v="0"/>
    <n v="1"/>
    <x v="0"/>
    <x v="0"/>
    <n v="25.15"/>
    <n v="25.15"/>
    <x v="1"/>
    <s v="Yes"/>
    <x v="0"/>
    <n v="25.15"/>
    <x v="0"/>
    <s v="Standard Spend"/>
  </r>
  <r>
    <s v="4706-DGAHW"/>
    <s v="Male"/>
    <x v="0"/>
    <n v="1"/>
    <x v="0"/>
    <x v="0"/>
    <n v="45.2"/>
    <n v="45.2"/>
    <x v="0"/>
    <s v="No"/>
    <x v="0"/>
    <n v="45.2"/>
    <x v="0"/>
    <s v="Standard Spend"/>
  </r>
  <r>
    <s v="3870-MQAMG"/>
    <s v="Female"/>
    <x v="1"/>
    <n v="54"/>
    <x v="1"/>
    <x v="1"/>
    <n v="110.35"/>
    <n v="5893.15"/>
    <x v="1"/>
    <s v="No"/>
    <x v="0"/>
    <n v="5893.15"/>
    <x v="2"/>
    <s v="High Spend"/>
  </r>
  <r>
    <s v="6670-MFRPK"/>
    <s v="Male"/>
    <x v="2"/>
    <n v="69"/>
    <x v="1"/>
    <x v="0"/>
    <n v="79.2"/>
    <n v="5420.65"/>
    <x v="0"/>
    <s v="Yes"/>
    <x v="3"/>
    <n v="5420.65"/>
    <x v="2"/>
    <s v="High Spend"/>
  </r>
  <r>
    <s v="6177-PEVRA"/>
    <s v="Female"/>
    <x v="2"/>
    <n v="48"/>
    <x v="0"/>
    <x v="0"/>
    <n v="55.5"/>
    <n v="2627.35"/>
    <x v="0"/>
    <s v="No"/>
    <x v="3"/>
    <n v="2627.35"/>
    <x v="2"/>
    <s v="High Spend"/>
  </r>
  <r>
    <s v="4800-CZMPC"/>
    <s v="Female"/>
    <x v="1"/>
    <n v="48"/>
    <x v="1"/>
    <x v="0"/>
    <n v="103.25"/>
    <n v="5037.55"/>
    <x v="1"/>
    <s v="Yes"/>
    <x v="3"/>
    <n v="5037.55"/>
    <x v="2"/>
    <s v="High Spend"/>
  </r>
  <r>
    <s v="4813-HQMGZ"/>
    <s v="Female"/>
    <x v="0"/>
    <n v="8"/>
    <x v="1"/>
    <x v="1"/>
    <n v="90.25"/>
    <n v="743.75"/>
    <x v="0"/>
    <s v="Yes"/>
    <x v="0"/>
    <n v="743.75"/>
    <x v="0"/>
    <s v="Standard Spend"/>
  </r>
  <r>
    <s v="7579-KKLOE"/>
    <s v="Male"/>
    <x v="2"/>
    <n v="71"/>
    <x v="0"/>
    <x v="1"/>
    <n v="91.25"/>
    <n v="6589.6"/>
    <x v="0"/>
    <s v="Yes"/>
    <x v="1"/>
    <n v="6589.6"/>
    <x v="2"/>
    <s v="High Spend"/>
  </r>
  <r>
    <s v="7377-DMMRI"/>
    <s v="Male"/>
    <x v="0"/>
    <n v="2"/>
    <x v="0"/>
    <x v="0"/>
    <n v="47.8"/>
    <n v="92.45"/>
    <x v="1"/>
    <s v="Yes"/>
    <x v="0"/>
    <n v="92.45"/>
    <x v="0"/>
    <s v="Standard Spend"/>
  </r>
  <r>
    <s v="8402-EIVQS"/>
    <s v="Male"/>
    <x v="1"/>
    <n v="67"/>
    <x v="1"/>
    <x v="0"/>
    <n v="100.9"/>
    <n v="6733.15"/>
    <x v="0"/>
    <s v="Yes"/>
    <x v="3"/>
    <n v="6733.15"/>
    <x v="2"/>
    <s v="High Spend"/>
  </r>
  <r>
    <s v="4947-DSMXK"/>
    <s v="Male"/>
    <x v="0"/>
    <n v="34"/>
    <x v="1"/>
    <x v="0"/>
    <n v="97.7"/>
    <n v="3410"/>
    <x v="0"/>
    <s v="Yes"/>
    <x v="2"/>
    <n v="3410"/>
    <x v="1"/>
    <s v="High Spend"/>
  </r>
  <r>
    <s v="7245-NIIWQ"/>
    <s v="Female"/>
    <x v="0"/>
    <n v="3"/>
    <x v="1"/>
    <x v="0"/>
    <n v="69.849999999999994"/>
    <n v="199.85"/>
    <x v="0"/>
    <s v="Yes"/>
    <x v="0"/>
    <n v="199.85"/>
    <x v="0"/>
    <s v="Standard Spend"/>
  </r>
  <r>
    <s v="0002-ORFBO"/>
    <s v="Female"/>
    <x v="1"/>
    <n v="9"/>
    <x v="0"/>
    <x v="1"/>
    <n v="65.599999999999994"/>
    <n v="593.29999999999995"/>
    <x v="0"/>
    <s v="Yes"/>
    <x v="1"/>
    <n v="593.29999999999995"/>
    <x v="0"/>
    <s v="Standard Spend"/>
  </r>
  <r>
    <s v="3324-OIRTO"/>
    <s v="Male"/>
    <x v="1"/>
    <n v="71"/>
    <x v="1"/>
    <x v="0"/>
    <n v="104.65"/>
    <n v="7288.4"/>
    <x v="0"/>
    <s v="Yes"/>
    <x v="2"/>
    <n v="7288.4"/>
    <x v="2"/>
    <s v="High Spend"/>
  </r>
  <r>
    <s v="5414-OFQCB"/>
    <s v="Male"/>
    <x v="2"/>
    <n v="57"/>
    <x v="1"/>
    <x v="1"/>
    <n v="90.45"/>
    <n v="5229.8"/>
    <x v="0"/>
    <s v="Yes"/>
    <x v="3"/>
    <n v="5229.8"/>
    <x v="2"/>
    <s v="High Spend"/>
  </r>
  <r>
    <s v="4967-WPNCF"/>
    <s v="Male"/>
    <x v="2"/>
    <n v="72"/>
    <x v="0"/>
    <x v="1"/>
    <n v="63.7"/>
    <n v="4464.8"/>
    <x v="0"/>
    <s v="Yes"/>
    <x v="2"/>
    <n v="4464.8"/>
    <x v="2"/>
    <s v="High Spend"/>
  </r>
  <r>
    <s v="8552-OBVRU"/>
    <s v="Female"/>
    <x v="0"/>
    <n v="48"/>
    <x v="1"/>
    <x v="1"/>
    <n v="104.5"/>
    <n v="5068.05"/>
    <x v="0"/>
    <s v="Yes"/>
    <x v="0"/>
    <n v="5068.05"/>
    <x v="2"/>
    <s v="High Spend"/>
  </r>
  <r>
    <s v="8499-BRXTD"/>
    <s v="Male"/>
    <x v="1"/>
    <n v="18"/>
    <x v="2"/>
    <x v="2"/>
    <n v="20.100000000000001"/>
    <n v="401.85"/>
    <x v="0"/>
    <s v="No"/>
    <x v="1"/>
    <n v="401.85"/>
    <x v="1"/>
    <s v="Standard Spend"/>
  </r>
  <r>
    <s v="9154-QDGTH"/>
    <s v="Male"/>
    <x v="1"/>
    <n v="43"/>
    <x v="1"/>
    <x v="1"/>
    <n v="104.3"/>
    <n v="4451.8500000000004"/>
    <x v="0"/>
    <s v="Yes"/>
    <x v="3"/>
    <n v="4451.8500000000004"/>
    <x v="2"/>
    <s v="High Spend"/>
  </r>
  <r>
    <s v="8197-BFWVU"/>
    <s v="Female"/>
    <x v="2"/>
    <n v="72"/>
    <x v="0"/>
    <x v="1"/>
    <n v="93.25"/>
    <n v="6688.95"/>
    <x v="0"/>
    <s v="Yes"/>
    <x v="2"/>
    <n v="6688.95"/>
    <x v="2"/>
    <s v="High Spend"/>
  </r>
  <r>
    <s v="2577-GVSIL"/>
    <s v="Male"/>
    <x v="1"/>
    <n v="35"/>
    <x v="0"/>
    <x v="1"/>
    <n v="73.45"/>
    <n v="2661.1"/>
    <x v="0"/>
    <s v="Yes"/>
    <x v="2"/>
    <n v="2661.1"/>
    <x v="1"/>
    <s v="High Spend"/>
  </r>
  <r>
    <s v="9367-OIUXP"/>
    <s v="Male"/>
    <x v="0"/>
    <n v="4"/>
    <x v="2"/>
    <x v="2"/>
    <n v="20.7"/>
    <n v="73.05"/>
    <x v="0"/>
    <s v="No"/>
    <x v="1"/>
    <n v="73.05"/>
    <x v="0"/>
    <s v="Standard Spend"/>
  </r>
  <r>
    <s v="6770-UAYGJ"/>
    <s v="Female"/>
    <x v="2"/>
    <n v="49"/>
    <x v="2"/>
    <x v="2"/>
    <n v="25.25"/>
    <n v="1211.6500000000001"/>
    <x v="0"/>
    <s v="No"/>
    <x v="1"/>
    <n v="1211.6500000000001"/>
    <x v="2"/>
    <s v="Standard Spend"/>
  </r>
  <r>
    <s v="6463-HHXJR"/>
    <s v="Female"/>
    <x v="2"/>
    <n v="71"/>
    <x v="1"/>
    <x v="0"/>
    <n v="100.5"/>
    <n v="7030.65"/>
    <x v="0"/>
    <s v="No"/>
    <x v="2"/>
    <n v="7030.65"/>
    <x v="2"/>
    <s v="High Spend"/>
  </r>
  <r>
    <s v="7928-VJYAB"/>
    <s v="Male"/>
    <x v="0"/>
    <n v="11"/>
    <x v="1"/>
    <x v="0"/>
    <n v="90.6"/>
    <n v="1020.2"/>
    <x v="0"/>
    <s v="No"/>
    <x v="0"/>
    <n v="1020.2"/>
    <x v="0"/>
    <s v="Standard Spend"/>
  </r>
  <r>
    <s v="1187-WILMM"/>
    <s v="Male"/>
    <x v="2"/>
    <n v="63"/>
    <x v="0"/>
    <x v="1"/>
    <n v="89.4"/>
    <n v="5597.65"/>
    <x v="0"/>
    <s v="Yes"/>
    <x v="3"/>
    <n v="5597.65"/>
    <x v="2"/>
    <s v="High Spend"/>
  </r>
  <r>
    <s v="9776-OJUZI"/>
    <s v="Female"/>
    <x v="0"/>
    <n v="65"/>
    <x v="1"/>
    <x v="0"/>
    <n v="95.45"/>
    <n v="6223.3"/>
    <x v="0"/>
    <s v="Yes"/>
    <x v="2"/>
    <n v="6223.3"/>
    <x v="2"/>
    <s v="High Spend"/>
  </r>
  <r>
    <s v="1306-RPWXZ"/>
    <s v="Female"/>
    <x v="2"/>
    <n v="49"/>
    <x v="2"/>
    <x v="2"/>
    <n v="20.45"/>
    <n v="1024.6500000000001"/>
    <x v="0"/>
    <s v="No"/>
    <x v="3"/>
    <n v="1024.6500000000001"/>
    <x v="2"/>
    <s v="Standard Spend"/>
  </r>
  <r>
    <s v="8949-JTMAY"/>
    <s v="Female"/>
    <x v="0"/>
    <n v="29"/>
    <x v="1"/>
    <x v="0"/>
    <n v="98.6"/>
    <n v="2933.2"/>
    <x v="1"/>
    <s v="Yes"/>
    <x v="3"/>
    <n v="2933.2"/>
    <x v="1"/>
    <s v="High Spend"/>
  </r>
  <r>
    <s v="2774-LVQUS"/>
    <s v="Female"/>
    <x v="0"/>
    <n v="15"/>
    <x v="1"/>
    <x v="1"/>
    <n v="83.05"/>
    <n v="1258.3"/>
    <x v="1"/>
    <s v="Yes"/>
    <x v="0"/>
    <n v="1258.3"/>
    <x v="1"/>
    <s v="Standard Spend"/>
  </r>
  <r>
    <s v="3097-PYWXL"/>
    <s v="Female"/>
    <x v="0"/>
    <n v="4"/>
    <x v="2"/>
    <x v="2"/>
    <n v="19.95"/>
    <n v="82.9"/>
    <x v="0"/>
    <s v="Yes"/>
    <x v="0"/>
    <n v="82.9"/>
    <x v="0"/>
    <s v="Standard Spend"/>
  </r>
  <r>
    <s v="2266-SJNAT"/>
    <s v="Female"/>
    <x v="1"/>
    <n v="72"/>
    <x v="1"/>
    <x v="1"/>
    <n v="109.15"/>
    <n v="7789.6"/>
    <x v="0"/>
    <s v="No"/>
    <x v="3"/>
    <n v="7789.6"/>
    <x v="2"/>
    <s v="High Spend"/>
  </r>
  <r>
    <s v="0869-PAPRP"/>
    <s v="Female"/>
    <x v="0"/>
    <n v="26"/>
    <x v="1"/>
    <x v="0"/>
    <n v="85.7"/>
    <n v="2067"/>
    <x v="0"/>
    <s v="Yes"/>
    <x v="3"/>
    <n v="2067"/>
    <x v="1"/>
    <s v="Standard Spend"/>
  </r>
  <r>
    <s v="4238-JSSWH"/>
    <s v="Female"/>
    <x v="0"/>
    <n v="35"/>
    <x v="1"/>
    <x v="0"/>
    <n v="102.05"/>
    <n v="3452.55"/>
    <x v="0"/>
    <s v="No"/>
    <x v="2"/>
    <n v="3452.55"/>
    <x v="1"/>
    <s v="High Spend"/>
  </r>
  <r>
    <s v="2972-YDYUW"/>
    <s v="Female"/>
    <x v="1"/>
    <n v="57"/>
    <x v="1"/>
    <x v="1"/>
    <n v="94.7"/>
    <n v="5468.95"/>
    <x v="0"/>
    <s v="No"/>
    <x v="0"/>
    <n v="5468.95"/>
    <x v="2"/>
    <s v="High Spend"/>
  </r>
  <r>
    <s v="1104-FEJAM"/>
    <s v="Male"/>
    <x v="0"/>
    <n v="28"/>
    <x v="0"/>
    <x v="0"/>
    <n v="64.400000000000006"/>
    <n v="1802.15"/>
    <x v="0"/>
    <s v="No"/>
    <x v="0"/>
    <n v="1802.15"/>
    <x v="1"/>
    <s v="Standard Spend"/>
  </r>
  <r>
    <s v="2809-ILCYT"/>
    <s v="Female"/>
    <x v="1"/>
    <n v="25"/>
    <x v="2"/>
    <x v="2"/>
    <n v="26.8"/>
    <n v="733.55"/>
    <x v="0"/>
    <s v="Yes"/>
    <x v="1"/>
    <n v="733.55"/>
    <x v="1"/>
    <s v="Standard Spend"/>
  </r>
  <r>
    <s v="5499-ECUTN"/>
    <s v="Female"/>
    <x v="1"/>
    <n v="47"/>
    <x v="0"/>
    <x v="0"/>
    <n v="66.05"/>
    <n v="3021.45"/>
    <x v="0"/>
    <s v="Yes"/>
    <x v="3"/>
    <n v="3021.45"/>
    <x v="2"/>
    <s v="High Spend"/>
  </r>
  <r>
    <s v="4981-FLTMF"/>
    <s v="Female"/>
    <x v="0"/>
    <n v="57"/>
    <x v="0"/>
    <x v="1"/>
    <n v="65.2"/>
    <n v="3687.85"/>
    <x v="0"/>
    <s v="No"/>
    <x v="2"/>
    <n v="3687.85"/>
    <x v="2"/>
    <s v="High Spend"/>
  </r>
  <r>
    <s v="9121-PHQSR"/>
    <s v="Male"/>
    <x v="0"/>
    <n v="16"/>
    <x v="1"/>
    <x v="0"/>
    <n v="85.05"/>
    <n v="1391.15"/>
    <x v="0"/>
    <s v="Yes"/>
    <x v="3"/>
    <n v="1391.15"/>
    <x v="1"/>
    <s v="Standard Spend"/>
  </r>
  <r>
    <s v="3113-IWHLC"/>
    <s v="Male"/>
    <x v="0"/>
    <n v="5"/>
    <x v="0"/>
    <x v="0"/>
    <n v="55.8"/>
    <n v="274.35000000000002"/>
    <x v="0"/>
    <s v="Yes"/>
    <x v="1"/>
    <n v="274.35000000000002"/>
    <x v="0"/>
    <s v="Standard Spend"/>
  </r>
  <r>
    <s v="3211-ILJTT"/>
    <s v="Male"/>
    <x v="0"/>
    <n v="17"/>
    <x v="1"/>
    <x v="0"/>
    <n v="70.400000000000006"/>
    <n v="1214.05"/>
    <x v="1"/>
    <s v="Yes"/>
    <x v="2"/>
    <n v="1214.05"/>
    <x v="1"/>
    <s v="Standard Spend"/>
  </r>
  <r>
    <s v="4612-THJBS"/>
    <s v="Female"/>
    <x v="1"/>
    <n v="56"/>
    <x v="1"/>
    <x v="0"/>
    <n v="104.75"/>
    <n v="5510.65"/>
    <x v="1"/>
    <s v="Yes"/>
    <x v="2"/>
    <n v="5510.65"/>
    <x v="2"/>
    <s v="High Spend"/>
  </r>
  <r>
    <s v="4277-BWBML"/>
    <s v="Male"/>
    <x v="2"/>
    <n v="72"/>
    <x v="2"/>
    <x v="2"/>
    <n v="19.95"/>
    <n v="1322.85"/>
    <x v="0"/>
    <s v="No"/>
    <x v="2"/>
    <n v="1322.85"/>
    <x v="2"/>
    <s v="Standard Spend"/>
  </r>
  <r>
    <s v="4094-NSEDU"/>
    <s v="Female"/>
    <x v="0"/>
    <n v="21"/>
    <x v="1"/>
    <x v="0"/>
    <n v="94.25"/>
    <n v="1973.75"/>
    <x v="1"/>
    <s v="Yes"/>
    <x v="0"/>
    <n v="1973.75"/>
    <x v="1"/>
    <s v="Standard Spend"/>
  </r>
  <r>
    <s v="0234-TEVTT"/>
    <s v="Female"/>
    <x v="1"/>
    <n v="48"/>
    <x v="0"/>
    <x v="0"/>
    <n v="45"/>
    <n v="2196.3000000000002"/>
    <x v="0"/>
    <s v="No"/>
    <x v="3"/>
    <n v="2196.3000000000002"/>
    <x v="2"/>
    <s v="Standard Spend"/>
  </r>
  <r>
    <s v="4304-TSPVK"/>
    <s v="Female"/>
    <x v="2"/>
    <n v="68"/>
    <x v="1"/>
    <x v="1"/>
    <n v="114.9"/>
    <n v="7843.55"/>
    <x v="0"/>
    <s v="No"/>
    <x v="2"/>
    <n v="7843.55"/>
    <x v="2"/>
    <s v="High Spend"/>
  </r>
  <r>
    <s v="1552-AAGRX"/>
    <s v="Female"/>
    <x v="0"/>
    <n v="30"/>
    <x v="1"/>
    <x v="1"/>
    <n v="106.4"/>
    <n v="3211.9"/>
    <x v="0"/>
    <s v="No"/>
    <x v="2"/>
    <n v="3211.9"/>
    <x v="1"/>
    <s v="High Spend"/>
  </r>
  <r>
    <s v="2637-FKFSY"/>
    <s v="Female"/>
    <x v="0"/>
    <n v="3"/>
    <x v="0"/>
    <x v="0"/>
    <n v="46.1"/>
    <n v="130.15"/>
    <x v="0"/>
    <s v="Yes"/>
    <x v="1"/>
    <n v="130.15"/>
    <x v="0"/>
    <s v="Standard Spend"/>
  </r>
  <r>
    <s v="9796-MVYXX"/>
    <s v="Female"/>
    <x v="2"/>
    <n v="14"/>
    <x v="0"/>
    <x v="1"/>
    <n v="39.700000000000003"/>
    <n v="692.35"/>
    <x v="0"/>
    <s v="No"/>
    <x v="1"/>
    <n v="692.35"/>
    <x v="1"/>
    <s v="Standard Spend"/>
  </r>
  <r>
    <s v="7874-ECPQJ"/>
    <s v="Female"/>
    <x v="0"/>
    <n v="4"/>
    <x v="2"/>
    <x v="2"/>
    <n v="20.05"/>
    <n v="85.5"/>
    <x v="0"/>
    <s v="Yes"/>
    <x v="2"/>
    <n v="85.5"/>
    <x v="0"/>
    <s v="Standard Spend"/>
  </r>
  <r>
    <s v="0020-INWCK"/>
    <s v="Female"/>
    <x v="2"/>
    <n v="71"/>
    <x v="1"/>
    <x v="0"/>
    <n v="95.75"/>
    <n v="6849.4"/>
    <x v="0"/>
    <s v="Yes"/>
    <x v="3"/>
    <n v="6849.4"/>
    <x v="2"/>
    <s v="High Spend"/>
  </r>
  <r>
    <s v="7089-RKVSZ"/>
    <s v="Male"/>
    <x v="1"/>
    <n v="8"/>
    <x v="2"/>
    <x v="2"/>
    <n v="24.4"/>
    <n v="203.95"/>
    <x v="0"/>
    <s v="No"/>
    <x v="1"/>
    <n v="203.95"/>
    <x v="0"/>
    <s v="Standard Spend"/>
  </r>
  <r>
    <s v="2683-JXWQQ"/>
    <s v="Male"/>
    <x v="0"/>
    <n v="61"/>
    <x v="0"/>
    <x v="0"/>
    <n v="33.6"/>
    <n v="2117.1999999999998"/>
    <x v="0"/>
    <s v="No"/>
    <x v="2"/>
    <n v="2117.1999999999998"/>
    <x v="2"/>
    <s v="Standard Spend"/>
  </r>
  <r>
    <s v="9548-ZMVTX"/>
    <s v="Male"/>
    <x v="2"/>
    <n v="72"/>
    <x v="1"/>
    <x v="1"/>
    <n v="90.45"/>
    <n v="6565.85"/>
    <x v="0"/>
    <s v="No"/>
    <x v="2"/>
    <n v="6565.85"/>
    <x v="2"/>
    <s v="High Spend"/>
  </r>
  <r>
    <s v="8739-XNIKG"/>
    <s v="Female"/>
    <x v="0"/>
    <n v="5"/>
    <x v="1"/>
    <x v="0"/>
    <n v="84"/>
    <n v="424.75"/>
    <x v="0"/>
    <s v="Yes"/>
    <x v="0"/>
    <n v="424.75"/>
    <x v="0"/>
    <s v="Standard Spend"/>
  </r>
  <r>
    <s v="9755-JHNMN"/>
    <s v="Female"/>
    <x v="2"/>
    <n v="49"/>
    <x v="0"/>
    <x v="1"/>
    <n v="67.400000000000006"/>
    <n v="3306.85"/>
    <x v="0"/>
    <s v="No"/>
    <x v="2"/>
    <n v="3306.85"/>
    <x v="2"/>
    <s v="High Spend"/>
  </r>
  <r>
    <s v="3981-QSVQI"/>
    <s v="Male"/>
    <x v="0"/>
    <n v="8"/>
    <x v="2"/>
    <x v="2"/>
    <n v="19.7"/>
    <n v="168.9"/>
    <x v="0"/>
    <s v="Yes"/>
    <x v="2"/>
    <n v="168.9"/>
    <x v="0"/>
    <s v="Standard Spend"/>
  </r>
  <r>
    <s v="2789-HQBOU"/>
    <s v="Male"/>
    <x v="0"/>
    <n v="3"/>
    <x v="1"/>
    <x v="0"/>
    <n v="80.349999999999994"/>
    <n v="253.8"/>
    <x v="0"/>
    <s v="Yes"/>
    <x v="0"/>
    <n v="253.8"/>
    <x v="0"/>
    <s v="Standard Spend"/>
  </r>
  <r>
    <s v="9424-CMPOG"/>
    <s v="Male"/>
    <x v="2"/>
    <n v="9"/>
    <x v="2"/>
    <x v="2"/>
    <n v="19.600000000000001"/>
    <n v="197.4"/>
    <x v="0"/>
    <s v="No"/>
    <x v="1"/>
    <n v="197.4"/>
    <x v="0"/>
    <s v="Standard Spend"/>
  </r>
  <r>
    <s v="5067-WJEUN"/>
    <s v="Male"/>
    <x v="2"/>
    <n v="67"/>
    <x v="0"/>
    <x v="0"/>
    <n v="54.2"/>
    <n v="3838.2"/>
    <x v="0"/>
    <s v="Yes"/>
    <x v="2"/>
    <n v="3838.2"/>
    <x v="2"/>
    <s v="High Spend"/>
  </r>
  <r>
    <s v="3450-WXOAT"/>
    <s v="Male"/>
    <x v="0"/>
    <n v="46"/>
    <x v="0"/>
    <x v="0"/>
    <n v="45.2"/>
    <n v="2065.15"/>
    <x v="0"/>
    <s v="Yes"/>
    <x v="3"/>
    <n v="2065.15"/>
    <x v="2"/>
    <s v="Standard Spend"/>
  </r>
  <r>
    <s v="9251-WNSOD"/>
    <s v="Female"/>
    <x v="1"/>
    <n v="67"/>
    <x v="0"/>
    <x v="0"/>
    <n v="75.099999999999994"/>
    <n v="5064.45"/>
    <x v="0"/>
    <s v="No"/>
    <x v="1"/>
    <n v="5064.45"/>
    <x v="2"/>
    <s v="High Spend"/>
  </r>
  <r>
    <s v="6974-DAFLI"/>
    <s v="Female"/>
    <x v="1"/>
    <n v="55"/>
    <x v="2"/>
    <x v="2"/>
    <n v="19.7"/>
    <n v="1140.05"/>
    <x v="0"/>
    <s v="No"/>
    <x v="0"/>
    <n v="1140.05"/>
    <x v="2"/>
    <s v="Standard Spend"/>
  </r>
  <r>
    <s v="2616-UUTFK"/>
    <s v="Male"/>
    <x v="0"/>
    <n v="33"/>
    <x v="0"/>
    <x v="0"/>
    <n v="72.75"/>
    <n v="2447.4499999999998"/>
    <x v="0"/>
    <s v="Yes"/>
    <x v="2"/>
    <n v="2447.4499999999998"/>
    <x v="1"/>
    <s v="Standard Spend"/>
  </r>
  <r>
    <s v="7064-JHXCE"/>
    <s v="Male"/>
    <x v="2"/>
    <n v="62"/>
    <x v="2"/>
    <x v="2"/>
    <n v="20.05"/>
    <n v="1263.9000000000001"/>
    <x v="0"/>
    <s v="No"/>
    <x v="3"/>
    <n v="1263.9000000000001"/>
    <x v="2"/>
    <s v="Standard Spend"/>
  </r>
  <r>
    <s v="5103-MHMHY"/>
    <s v="Female"/>
    <x v="0"/>
    <n v="1"/>
    <x v="0"/>
    <x v="0"/>
    <n v="45.95"/>
    <n v="45.95"/>
    <x v="1"/>
    <s v="No"/>
    <x v="1"/>
    <n v="45.95"/>
    <x v="0"/>
    <s v="Standard Spend"/>
  </r>
  <r>
    <s v="7989-AWGEH"/>
    <s v="Male"/>
    <x v="0"/>
    <n v="49"/>
    <x v="0"/>
    <x v="0"/>
    <n v="39.200000000000003"/>
    <n v="1838.15"/>
    <x v="0"/>
    <s v="Yes"/>
    <x v="0"/>
    <n v="1838.15"/>
    <x v="2"/>
    <s v="Standard Spend"/>
  </r>
  <r>
    <s v="4373-VVHQL"/>
    <s v="Male"/>
    <x v="0"/>
    <n v="1"/>
    <x v="0"/>
    <x v="0"/>
    <n v="44.75"/>
    <n v="44.75"/>
    <x v="0"/>
    <s v="Yes"/>
    <x v="0"/>
    <n v="44.75"/>
    <x v="0"/>
    <s v="Standard Spend"/>
  </r>
  <r>
    <s v="4559-UWIHT"/>
    <s v="Male"/>
    <x v="0"/>
    <n v="14"/>
    <x v="1"/>
    <x v="0"/>
    <n v="82.65"/>
    <n v="1185"/>
    <x v="0"/>
    <s v="Yes"/>
    <x v="0"/>
    <n v="1185"/>
    <x v="1"/>
    <s v="Standard Spend"/>
  </r>
  <r>
    <s v="7268-IGMFD"/>
    <s v="Male"/>
    <x v="0"/>
    <n v="18"/>
    <x v="1"/>
    <x v="1"/>
    <n v="93.9"/>
    <n v="1743.9"/>
    <x v="0"/>
    <s v="No"/>
    <x v="2"/>
    <n v="1743.9"/>
    <x v="1"/>
    <s v="Standard Spend"/>
  </r>
  <r>
    <s v="1846-XWOQN"/>
    <s v="Female"/>
    <x v="0"/>
    <n v="1"/>
    <x v="1"/>
    <x v="0"/>
    <n v="70.150000000000006"/>
    <n v="70.150000000000006"/>
    <x v="1"/>
    <s v="Yes"/>
    <x v="0"/>
    <n v="70.150000000000006"/>
    <x v="0"/>
    <s v="Standard Spend"/>
  </r>
  <r>
    <s v="0235-KGSLC"/>
    <s v="Female"/>
    <x v="0"/>
    <n v="1"/>
    <x v="1"/>
    <x v="0"/>
    <n v="85.55"/>
    <n v="85.55"/>
    <x v="1"/>
    <s v="Yes"/>
    <x v="3"/>
    <n v="85.55"/>
    <x v="0"/>
    <s v="Standard Spend"/>
  </r>
  <r>
    <s v="6650-BWFRT"/>
    <s v="Female"/>
    <x v="2"/>
    <n v="72"/>
    <x v="1"/>
    <x v="1"/>
    <n v="117.15"/>
    <n v="8529.5"/>
    <x v="0"/>
    <s v="Yes"/>
    <x v="3"/>
    <n v="8529.5"/>
    <x v="2"/>
    <s v="High Spend"/>
  </r>
  <r>
    <s v="9570-KYEUA"/>
    <s v="Male"/>
    <x v="2"/>
    <n v="64"/>
    <x v="1"/>
    <x v="1"/>
    <n v="99.25"/>
    <n v="6549.45"/>
    <x v="0"/>
    <s v="No"/>
    <x v="3"/>
    <n v="6549.45"/>
    <x v="2"/>
    <s v="High Spend"/>
  </r>
  <r>
    <s v="6993-YGFJV"/>
    <s v="Male"/>
    <x v="2"/>
    <n v="69"/>
    <x v="1"/>
    <x v="1"/>
    <n v="112.55"/>
    <n v="7806.5"/>
    <x v="0"/>
    <s v="Yes"/>
    <x v="2"/>
    <n v="7806.5"/>
    <x v="2"/>
    <s v="High Spend"/>
  </r>
  <r>
    <s v="2712-SYWAY"/>
    <s v="Female"/>
    <x v="0"/>
    <n v="1"/>
    <x v="2"/>
    <x v="2"/>
    <n v="25.7"/>
    <n v="25.7"/>
    <x v="0"/>
    <s v="Yes"/>
    <x v="0"/>
    <n v="25.7"/>
    <x v="0"/>
    <s v="Standard Spend"/>
  </r>
  <r>
    <s v="0730-BGQGF"/>
    <s v="Male"/>
    <x v="2"/>
    <n v="71"/>
    <x v="0"/>
    <x v="1"/>
    <n v="90.3"/>
    <n v="6287.3"/>
    <x v="0"/>
    <s v="No"/>
    <x v="3"/>
    <n v="6287.3"/>
    <x v="2"/>
    <s v="High Spend"/>
  </r>
  <r>
    <s v="5498-IBWPI"/>
    <s v="Female"/>
    <x v="1"/>
    <n v="66"/>
    <x v="0"/>
    <x v="1"/>
    <n v="49.4"/>
    <n v="3251.85"/>
    <x v="0"/>
    <s v="Yes"/>
    <x v="3"/>
    <n v="3251.85"/>
    <x v="2"/>
    <s v="High Spend"/>
  </r>
  <r>
    <s v="9101-NTIXF"/>
    <s v="Male"/>
    <x v="0"/>
    <n v="2"/>
    <x v="2"/>
    <x v="2"/>
    <n v="19.399999999999999"/>
    <n v="50.6"/>
    <x v="0"/>
    <s v="No"/>
    <x v="1"/>
    <n v="50.6"/>
    <x v="0"/>
    <s v="Standard Spend"/>
  </r>
  <r>
    <s v="0013-SMEOE"/>
    <s v="Female"/>
    <x v="2"/>
    <n v="71"/>
    <x v="1"/>
    <x v="1"/>
    <n v="109.7"/>
    <n v="7904.25"/>
    <x v="0"/>
    <s v="Yes"/>
    <x v="2"/>
    <n v="7904.25"/>
    <x v="2"/>
    <s v="High Spend"/>
  </r>
  <r>
    <s v="9314-QDMDW"/>
    <s v="Male"/>
    <x v="1"/>
    <n v="11"/>
    <x v="0"/>
    <x v="0"/>
    <n v="61.25"/>
    <n v="729.95"/>
    <x v="0"/>
    <s v="Yes"/>
    <x v="0"/>
    <n v="729.95"/>
    <x v="0"/>
    <s v="Standard Spend"/>
  </r>
  <r>
    <s v="9308-ANMVE"/>
    <s v="Male"/>
    <x v="0"/>
    <n v="47"/>
    <x v="0"/>
    <x v="0"/>
    <n v="55.3"/>
    <n v="2654.05"/>
    <x v="0"/>
    <s v="Yes"/>
    <x v="0"/>
    <n v="2654.05"/>
    <x v="2"/>
    <s v="High Spend"/>
  </r>
  <r>
    <s v="2884-GBPFB"/>
    <s v="Female"/>
    <x v="0"/>
    <n v="35"/>
    <x v="1"/>
    <x v="0"/>
    <n v="70.3"/>
    <n v="2416.5500000000002"/>
    <x v="1"/>
    <s v="Yes"/>
    <x v="0"/>
    <n v="2416.5500000000002"/>
    <x v="1"/>
    <s v="Standard Spend"/>
  </r>
  <r>
    <s v="3757-NJYBX"/>
    <s v="Male"/>
    <x v="0"/>
    <n v="32"/>
    <x v="1"/>
    <x v="0"/>
    <n v="106.35"/>
    <n v="3520.75"/>
    <x v="1"/>
    <s v="No"/>
    <x v="2"/>
    <n v="3520.75"/>
    <x v="1"/>
    <s v="High Spend"/>
  </r>
  <r>
    <s v="3413-DHLPB"/>
    <s v="Male"/>
    <x v="0"/>
    <n v="60"/>
    <x v="1"/>
    <x v="1"/>
    <n v="103.75"/>
    <n v="5969.95"/>
    <x v="0"/>
    <s v="Yes"/>
    <x v="2"/>
    <n v="5969.95"/>
    <x v="2"/>
    <s v="High Spend"/>
  </r>
  <r>
    <s v="7649-PHJVR"/>
    <s v="Male"/>
    <x v="1"/>
    <n v="11"/>
    <x v="2"/>
    <x v="2"/>
    <n v="19.5"/>
    <n v="226.8"/>
    <x v="0"/>
    <s v="No"/>
    <x v="1"/>
    <n v="226.8"/>
    <x v="0"/>
    <s v="Standard Spend"/>
  </r>
  <r>
    <s v="6114-TCFID"/>
    <s v="Female"/>
    <x v="1"/>
    <n v="29"/>
    <x v="0"/>
    <x v="1"/>
    <n v="39.5"/>
    <n v="1082.75"/>
    <x v="0"/>
    <s v="No"/>
    <x v="3"/>
    <n v="1082.75"/>
    <x v="1"/>
    <s v="Standard Spend"/>
  </r>
  <r>
    <s v="3787-TRIAL"/>
    <s v="Male"/>
    <x v="0"/>
    <n v="21"/>
    <x v="0"/>
    <x v="0"/>
    <n v="26.05"/>
    <n v="565.75"/>
    <x v="0"/>
    <s v="Yes"/>
    <x v="0"/>
    <n v="565.75"/>
    <x v="1"/>
    <s v="Standard Spend"/>
  </r>
  <r>
    <s v="2573-GYRUU"/>
    <s v="Male"/>
    <x v="0"/>
    <n v="48"/>
    <x v="1"/>
    <x v="0"/>
    <n v="91.05"/>
    <n v="4370.75"/>
    <x v="0"/>
    <s v="Yes"/>
    <x v="3"/>
    <n v="4370.75"/>
    <x v="2"/>
    <s v="High Spend"/>
  </r>
  <r>
    <s v="5156-UMKOW"/>
    <s v="Female"/>
    <x v="0"/>
    <n v="3"/>
    <x v="0"/>
    <x v="0"/>
    <n v="29.65"/>
    <n v="90.05"/>
    <x v="0"/>
    <s v="No"/>
    <x v="1"/>
    <n v="90.05"/>
    <x v="0"/>
    <s v="Standard Spend"/>
  </r>
  <r>
    <s v="1247-QBVSH"/>
    <s v="Female"/>
    <x v="0"/>
    <n v="43"/>
    <x v="0"/>
    <x v="0"/>
    <n v="50.2"/>
    <n v="2169.4"/>
    <x v="0"/>
    <s v="No"/>
    <x v="1"/>
    <n v="2169.4"/>
    <x v="2"/>
    <s v="Standard Spend"/>
  </r>
  <r>
    <s v="6734-GMPVK"/>
    <s v="Male"/>
    <x v="0"/>
    <n v="5"/>
    <x v="1"/>
    <x v="0"/>
    <n v="105.3"/>
    <n v="550.6"/>
    <x v="0"/>
    <s v="No"/>
    <x v="0"/>
    <n v="550.6"/>
    <x v="0"/>
    <s v="Standard Spend"/>
  </r>
  <r>
    <s v="9822-OAOVB"/>
    <s v="Female"/>
    <x v="0"/>
    <n v="1"/>
    <x v="0"/>
    <x v="0"/>
    <n v="55.45"/>
    <n v="55.45"/>
    <x v="0"/>
    <s v="Yes"/>
    <x v="0"/>
    <n v="55.45"/>
    <x v="0"/>
    <s v="Standard Spend"/>
  </r>
  <r>
    <s v="6161-ERDGD"/>
    <s v="Male"/>
    <x v="1"/>
    <n v="71"/>
    <x v="0"/>
    <x v="1"/>
    <n v="85.45"/>
    <n v="6300.85"/>
    <x v="0"/>
    <s v="No"/>
    <x v="0"/>
    <n v="6300.85"/>
    <x v="2"/>
    <s v="High Spend"/>
  </r>
  <r>
    <s v="1226-JZNKR"/>
    <s v="Female"/>
    <x v="1"/>
    <n v="8"/>
    <x v="2"/>
    <x v="2"/>
    <n v="19.8"/>
    <n v="160.05000000000001"/>
    <x v="0"/>
    <s v="No"/>
    <x v="0"/>
    <n v="160.05000000000001"/>
    <x v="0"/>
    <s v="Standard Spend"/>
  </r>
  <r>
    <s v="7318-EIVKO"/>
    <s v="Male"/>
    <x v="0"/>
    <n v="8"/>
    <x v="0"/>
    <x v="0"/>
    <n v="59.25"/>
    <n v="436.6"/>
    <x v="0"/>
    <s v="Yes"/>
    <x v="0"/>
    <n v="436.6"/>
    <x v="0"/>
    <s v="Standard Spend"/>
  </r>
  <r>
    <s v="3771-PZOBW"/>
    <s v="Male"/>
    <x v="0"/>
    <n v="20"/>
    <x v="1"/>
    <x v="0"/>
    <n v="90.7"/>
    <n v="1781.35"/>
    <x v="0"/>
    <s v="Yes"/>
    <x v="3"/>
    <n v="1781.35"/>
    <x v="1"/>
    <s v="Standard Spend"/>
  </r>
  <r>
    <s v="5136-KCKGI"/>
    <s v="Female"/>
    <x v="1"/>
    <n v="33"/>
    <x v="1"/>
    <x v="0"/>
    <n v="103.7"/>
    <n v="3467"/>
    <x v="1"/>
    <s v="Yes"/>
    <x v="1"/>
    <n v="3467"/>
    <x v="1"/>
    <s v="High Spend"/>
  </r>
  <r>
    <s v="8231-BSWXX"/>
    <s v="Male"/>
    <x v="1"/>
    <n v="71"/>
    <x v="1"/>
    <x v="0"/>
    <n v="79.05"/>
    <n v="5552.5"/>
    <x v="0"/>
    <s v="Yes"/>
    <x v="3"/>
    <n v="5552.5"/>
    <x v="2"/>
    <s v="High Spend"/>
  </r>
  <r>
    <s v="6486-LHTMA"/>
    <s v="Female"/>
    <x v="1"/>
    <n v="31"/>
    <x v="1"/>
    <x v="0"/>
    <n v="90.7"/>
    <n v="2835.5"/>
    <x v="0"/>
    <s v="Yes"/>
    <x v="0"/>
    <n v="2835.5"/>
    <x v="1"/>
    <s v="High Spend"/>
  </r>
  <r>
    <s v="4083-BFNYK"/>
    <s v="Female"/>
    <x v="1"/>
    <n v="38"/>
    <x v="1"/>
    <x v="0"/>
    <n v="95"/>
    <n v="3591.25"/>
    <x v="0"/>
    <s v="No"/>
    <x v="3"/>
    <n v="3591.25"/>
    <x v="2"/>
    <s v="High Spend"/>
  </r>
  <r>
    <s v="3722-WPXTK"/>
    <s v="Male"/>
    <x v="0"/>
    <n v="1"/>
    <x v="1"/>
    <x v="0"/>
    <n v="88.35"/>
    <n v="88.35"/>
    <x v="1"/>
    <s v="Yes"/>
    <x v="0"/>
    <n v="88.35"/>
    <x v="0"/>
    <s v="Standard Spend"/>
  </r>
  <r>
    <s v="7389-KBFIT"/>
    <s v="Female"/>
    <x v="0"/>
    <n v="2"/>
    <x v="0"/>
    <x v="0"/>
    <n v="30.25"/>
    <n v="63.75"/>
    <x v="0"/>
    <s v="Yes"/>
    <x v="1"/>
    <n v="63.75"/>
    <x v="0"/>
    <s v="Standard Spend"/>
  </r>
  <r>
    <s v="7176-WIONM"/>
    <s v="Female"/>
    <x v="0"/>
    <n v="12"/>
    <x v="0"/>
    <x v="0"/>
    <n v="49.85"/>
    <n v="617.15"/>
    <x v="0"/>
    <s v="Yes"/>
    <x v="2"/>
    <n v="617.15"/>
    <x v="0"/>
    <s v="Standard Spend"/>
  </r>
  <r>
    <s v="5141-ZUVBH"/>
    <s v="Female"/>
    <x v="0"/>
    <n v="9"/>
    <x v="1"/>
    <x v="1"/>
    <n v="93"/>
    <n v="870.25"/>
    <x v="0"/>
    <s v="No"/>
    <x v="2"/>
    <n v="870.25"/>
    <x v="0"/>
    <s v="Standard Spend"/>
  </r>
  <r>
    <s v="1089-HDMKP"/>
    <s v="Male"/>
    <x v="0"/>
    <n v="11"/>
    <x v="0"/>
    <x v="1"/>
    <n v="54.55"/>
    <n v="601.25"/>
    <x v="0"/>
    <s v="Yes"/>
    <x v="0"/>
    <n v="601.25"/>
    <x v="0"/>
    <s v="Standard Spend"/>
  </r>
  <r>
    <s v="7623-HKYRK"/>
    <s v="Male"/>
    <x v="0"/>
    <n v="6"/>
    <x v="2"/>
    <x v="2"/>
    <n v="19.7"/>
    <n v="111.65"/>
    <x v="0"/>
    <s v="No"/>
    <x v="1"/>
    <n v="111.65"/>
    <x v="0"/>
    <s v="Standard Spend"/>
  </r>
  <r>
    <s v="0310-SUCIN"/>
    <s v="Female"/>
    <x v="1"/>
    <n v="71"/>
    <x v="0"/>
    <x v="1"/>
    <n v="84.8"/>
    <n v="6046.1"/>
    <x v="0"/>
    <s v="Yes"/>
    <x v="2"/>
    <n v="6046.1"/>
    <x v="2"/>
    <s v="High Spend"/>
  </r>
  <r>
    <s v="5197-PYEPU"/>
    <s v="Female"/>
    <x v="1"/>
    <n v="42"/>
    <x v="1"/>
    <x v="0"/>
    <n v="94.45"/>
    <n v="3923.8"/>
    <x v="0"/>
    <s v="Yes"/>
    <x v="3"/>
    <n v="3923.8"/>
    <x v="2"/>
    <s v="High Spend"/>
  </r>
  <r>
    <s v="2929-ERCFZ"/>
    <s v="Female"/>
    <x v="0"/>
    <n v="8"/>
    <x v="1"/>
    <x v="0"/>
    <n v="94.2"/>
    <n v="777.3"/>
    <x v="1"/>
    <s v="Yes"/>
    <x v="0"/>
    <n v="777.3"/>
    <x v="0"/>
    <s v="Standard Spend"/>
  </r>
  <r>
    <s v="7548-SEPYI"/>
    <s v="Female"/>
    <x v="0"/>
    <n v="5"/>
    <x v="1"/>
    <x v="0"/>
    <n v="96.25"/>
    <n v="512.45000000000005"/>
    <x v="1"/>
    <s v="Yes"/>
    <x v="0"/>
    <n v="512.45000000000005"/>
    <x v="0"/>
    <s v="Standard Spend"/>
  </r>
  <r>
    <s v="8835-VSDSE"/>
    <s v="Female"/>
    <x v="0"/>
    <n v="2"/>
    <x v="1"/>
    <x v="0"/>
    <n v="70.7"/>
    <n v="141.44999999999999"/>
    <x v="1"/>
    <s v="Yes"/>
    <x v="0"/>
    <n v="141.44999999999999"/>
    <x v="0"/>
    <s v="Standard Spend"/>
  </r>
  <r>
    <s v="6619-RPLQZ"/>
    <s v="Female"/>
    <x v="2"/>
    <n v="45"/>
    <x v="2"/>
    <x v="2"/>
    <n v="20.85"/>
    <n v="892.15"/>
    <x v="0"/>
    <s v="No"/>
    <x v="1"/>
    <n v="892.15"/>
    <x v="2"/>
    <s v="Standard Spend"/>
  </r>
  <r>
    <s v="3275-RHRNE"/>
    <s v="Male"/>
    <x v="1"/>
    <n v="28"/>
    <x v="0"/>
    <x v="1"/>
    <n v="60"/>
    <n v="1682.05"/>
    <x v="0"/>
    <s v="Yes"/>
    <x v="3"/>
    <n v="1682.05"/>
    <x v="1"/>
    <s v="Standard Spend"/>
  </r>
  <r>
    <s v="3503-TYDAY"/>
    <s v="Female"/>
    <x v="0"/>
    <n v="43"/>
    <x v="1"/>
    <x v="0"/>
    <n v="80.45"/>
    <n v="3398.9"/>
    <x v="0"/>
    <s v="No"/>
    <x v="0"/>
    <n v="3398.9"/>
    <x v="2"/>
    <s v="High Spend"/>
  </r>
  <r>
    <s v="6901-GOGZG"/>
    <s v="Male"/>
    <x v="2"/>
    <n v="60"/>
    <x v="0"/>
    <x v="1"/>
    <n v="84.95"/>
    <n v="4984.8500000000004"/>
    <x v="0"/>
    <s v="Yes"/>
    <x v="0"/>
    <n v="4984.8500000000004"/>
    <x v="2"/>
    <s v="High Spend"/>
  </r>
  <r>
    <s v="1623-NLDOT"/>
    <s v="Female"/>
    <x v="1"/>
    <n v="42"/>
    <x v="0"/>
    <x v="1"/>
    <n v="33.549999999999997"/>
    <n v="1445.3"/>
    <x v="1"/>
    <s v="No"/>
    <x v="1"/>
    <n v="1445.3"/>
    <x v="2"/>
    <s v="Standard Spend"/>
  </r>
  <r>
    <s v="7021-XSNYE"/>
    <s v="Male"/>
    <x v="2"/>
    <n v="7"/>
    <x v="0"/>
    <x v="1"/>
    <n v="49.65"/>
    <n v="305.55"/>
    <x v="0"/>
    <s v="No"/>
    <x v="3"/>
    <n v="305.55"/>
    <x v="0"/>
    <s v="Standard Spend"/>
  </r>
  <r>
    <s v="9621-OUPYD"/>
    <s v="Female"/>
    <x v="1"/>
    <n v="25"/>
    <x v="2"/>
    <x v="2"/>
    <n v="20.2"/>
    <n v="507.9"/>
    <x v="0"/>
    <s v="Yes"/>
    <x v="2"/>
    <n v="507.9"/>
    <x v="1"/>
    <s v="Standard Spend"/>
  </r>
  <r>
    <s v="9898-KZQDZ"/>
    <s v="Female"/>
    <x v="0"/>
    <n v="40"/>
    <x v="1"/>
    <x v="0"/>
    <n v="94.55"/>
    <n v="3640.45"/>
    <x v="1"/>
    <s v="Yes"/>
    <x v="3"/>
    <n v="3640.45"/>
    <x v="2"/>
    <s v="High Spend"/>
  </r>
  <r>
    <s v="8982-NHAVY"/>
    <s v="Male"/>
    <x v="1"/>
    <n v="27"/>
    <x v="1"/>
    <x v="0"/>
    <n v="100.5"/>
    <n v="2673.45"/>
    <x v="0"/>
    <s v="Yes"/>
    <x v="2"/>
    <n v="2673.45"/>
    <x v="1"/>
    <s v="High Spend"/>
  </r>
  <r>
    <s v="4307-KWMXE"/>
    <s v="Male"/>
    <x v="0"/>
    <n v="10"/>
    <x v="0"/>
    <x v="1"/>
    <n v="35.75"/>
    <n v="389.8"/>
    <x v="0"/>
    <s v="No"/>
    <x v="0"/>
    <n v="389.8"/>
    <x v="0"/>
    <s v="Standard Spend"/>
  </r>
  <r>
    <s v="0141-YEAYS"/>
    <s v="Female"/>
    <x v="0"/>
    <n v="27"/>
    <x v="1"/>
    <x v="0"/>
    <n v="86.45"/>
    <n v="2401.0500000000002"/>
    <x v="0"/>
    <s v="Yes"/>
    <x v="2"/>
    <n v="2401.0500000000002"/>
    <x v="1"/>
    <s v="Standard Spend"/>
  </r>
  <r>
    <s v="2450-ZKEED"/>
    <s v="Female"/>
    <x v="1"/>
    <n v="11"/>
    <x v="0"/>
    <x v="1"/>
    <n v="53.8"/>
    <n v="651.54999999999995"/>
    <x v="0"/>
    <s v="No"/>
    <x v="2"/>
    <n v="651.54999999999995"/>
    <x v="0"/>
    <s v="Standard Spend"/>
  </r>
  <r>
    <s v="3694-DELSO"/>
    <s v="Male"/>
    <x v="0"/>
    <n v="4"/>
    <x v="0"/>
    <x v="0"/>
    <n v="38.549999999999997"/>
    <n v="156.1"/>
    <x v="0"/>
    <s v="No"/>
    <x v="3"/>
    <n v="156.1"/>
    <x v="0"/>
    <s v="Standard Spend"/>
  </r>
  <r>
    <s v="3893-JRNFS"/>
    <s v="Male"/>
    <x v="0"/>
    <n v="68"/>
    <x v="0"/>
    <x v="0"/>
    <n v="39.9"/>
    <n v="2796.35"/>
    <x v="0"/>
    <s v="Yes"/>
    <x v="2"/>
    <n v="2796.35"/>
    <x v="2"/>
    <s v="High Spend"/>
  </r>
  <r>
    <s v="9603-OAIHC"/>
    <s v="Male"/>
    <x v="0"/>
    <n v="1"/>
    <x v="1"/>
    <x v="0"/>
    <n v="70.05"/>
    <n v="70.05"/>
    <x v="0"/>
    <s v="Yes"/>
    <x v="0"/>
    <n v="70.05"/>
    <x v="0"/>
    <s v="Standard Spend"/>
  </r>
  <r>
    <s v="1133-KXCGE"/>
    <s v="Female"/>
    <x v="1"/>
    <n v="18"/>
    <x v="2"/>
    <x v="2"/>
    <n v="20.100000000000001"/>
    <n v="407.05"/>
    <x v="0"/>
    <s v="No"/>
    <x v="1"/>
    <n v="407.05"/>
    <x v="1"/>
    <s v="Standard Spend"/>
  </r>
  <r>
    <s v="5236-PERKL"/>
    <s v="Female"/>
    <x v="2"/>
    <n v="57"/>
    <x v="1"/>
    <x v="0"/>
    <n v="112.95"/>
    <n v="6465"/>
    <x v="1"/>
    <s v="Yes"/>
    <x v="2"/>
    <n v="6465"/>
    <x v="2"/>
    <s v="High Spend"/>
  </r>
  <r>
    <s v="0142-GVYSN"/>
    <s v="Male"/>
    <x v="0"/>
    <n v="26"/>
    <x v="2"/>
    <x v="2"/>
    <n v="20.3"/>
    <n v="511.25"/>
    <x v="0"/>
    <s v="Yes"/>
    <x v="0"/>
    <n v="511.25"/>
    <x v="1"/>
    <s v="Standard Spend"/>
  </r>
  <r>
    <s v="1049-FYSYG"/>
    <s v="Female"/>
    <x v="0"/>
    <n v="17"/>
    <x v="0"/>
    <x v="0"/>
    <n v="35.65"/>
    <n v="646.04999999999995"/>
    <x v="0"/>
    <s v="Yes"/>
    <x v="3"/>
    <n v="646.04999999999995"/>
    <x v="1"/>
    <s v="Standard Spend"/>
  </r>
  <r>
    <s v="7854-FOKSF"/>
    <s v="Male"/>
    <x v="0"/>
    <n v="1"/>
    <x v="0"/>
    <x v="0"/>
    <n v="35.9"/>
    <n v="35.9"/>
    <x v="1"/>
    <s v="No"/>
    <x v="0"/>
    <n v="35.9"/>
    <x v="0"/>
    <s v="Standard Spend"/>
  </r>
  <r>
    <s v="2519-FAKOD"/>
    <s v="Male"/>
    <x v="0"/>
    <n v="38"/>
    <x v="1"/>
    <x v="0"/>
    <n v="99.25"/>
    <n v="3777.15"/>
    <x v="1"/>
    <s v="Yes"/>
    <x v="2"/>
    <n v="3777.15"/>
    <x v="2"/>
    <s v="High Spend"/>
  </r>
  <r>
    <s v="8406-LNMHF"/>
    <s v="Male"/>
    <x v="1"/>
    <n v="59"/>
    <x v="1"/>
    <x v="0"/>
    <n v="82.95"/>
    <n v="4903.1499999999996"/>
    <x v="0"/>
    <s v="Yes"/>
    <x v="3"/>
    <n v="4903.1499999999996"/>
    <x v="2"/>
    <s v="High Spend"/>
  </r>
  <r>
    <s v="1821-BUCWY"/>
    <s v="Male"/>
    <x v="2"/>
    <n v="30"/>
    <x v="0"/>
    <x v="0"/>
    <n v="55.65"/>
    <n v="1653.85"/>
    <x v="0"/>
    <s v="Yes"/>
    <x v="1"/>
    <n v="1653.85"/>
    <x v="1"/>
    <s v="Standard Spend"/>
  </r>
  <r>
    <s v="8263-JQAIK"/>
    <s v="Male"/>
    <x v="0"/>
    <n v="2"/>
    <x v="0"/>
    <x v="0"/>
    <n v="24.45"/>
    <n v="47.5"/>
    <x v="1"/>
    <s v="Yes"/>
    <x v="1"/>
    <n v="47.5"/>
    <x v="0"/>
    <s v="Standard Spend"/>
  </r>
  <r>
    <s v="0023-UYUPN"/>
    <s v="Female"/>
    <x v="1"/>
    <n v="50"/>
    <x v="2"/>
    <x v="2"/>
    <n v="25.2"/>
    <n v="1306.3"/>
    <x v="0"/>
    <s v="No"/>
    <x v="0"/>
    <n v="1306.3"/>
    <x v="2"/>
    <s v="Standard Spend"/>
  </r>
  <r>
    <s v="8314-DPQHL"/>
    <s v="Male"/>
    <x v="1"/>
    <n v="9"/>
    <x v="0"/>
    <x v="1"/>
    <n v="50.8"/>
    <n v="463.6"/>
    <x v="0"/>
    <s v="No"/>
    <x v="1"/>
    <n v="463.6"/>
    <x v="0"/>
    <s v="Standard Spend"/>
  </r>
  <r>
    <s v="1465-WCZVT"/>
    <s v="Female"/>
    <x v="0"/>
    <n v="3"/>
    <x v="2"/>
    <x v="2"/>
    <n v="19.649999999999999"/>
    <n v="60.65"/>
    <x v="0"/>
    <s v="No"/>
    <x v="1"/>
    <n v="60.65"/>
    <x v="0"/>
    <s v="Standard Spend"/>
  </r>
  <r>
    <s v="9481-SFCQY"/>
    <s v="Female"/>
    <x v="0"/>
    <n v="14"/>
    <x v="0"/>
    <x v="0"/>
    <n v="59.8"/>
    <n v="824.85"/>
    <x v="0"/>
    <s v="Yes"/>
    <x v="3"/>
    <n v="824.85"/>
    <x v="1"/>
    <s v="Standard Spend"/>
  </r>
  <r>
    <s v="6360-SVNWV"/>
    <s v="Female"/>
    <x v="0"/>
    <n v="31"/>
    <x v="1"/>
    <x v="0"/>
    <n v="73.55"/>
    <n v="2094.65"/>
    <x v="0"/>
    <s v="Yes"/>
    <x v="3"/>
    <n v="2094.65"/>
    <x v="1"/>
    <s v="Standard Spend"/>
  </r>
  <r>
    <s v="0567-GGCAC"/>
    <s v="Female"/>
    <x v="0"/>
    <n v="7"/>
    <x v="0"/>
    <x v="0"/>
    <n v="61.4"/>
    <n v="438.9"/>
    <x v="0"/>
    <s v="No"/>
    <x v="0"/>
    <n v="438.9"/>
    <x v="0"/>
    <s v="Standard Spend"/>
  </r>
  <r>
    <s v="7089-IVVAZ"/>
    <s v="Female"/>
    <x v="0"/>
    <n v="8"/>
    <x v="1"/>
    <x v="1"/>
    <n v="103.35"/>
    <n v="847.3"/>
    <x v="1"/>
    <s v="Yes"/>
    <x v="2"/>
    <n v="847.3"/>
    <x v="0"/>
    <s v="Standard Spend"/>
  </r>
  <r>
    <s v="8884-MRNSU"/>
    <s v="Male"/>
    <x v="1"/>
    <n v="17"/>
    <x v="2"/>
    <x v="2"/>
    <n v="19.899999999999999"/>
    <n v="329.75"/>
    <x v="0"/>
    <s v="No"/>
    <x v="2"/>
    <n v="329.75"/>
    <x v="1"/>
    <s v="Standard Spend"/>
  </r>
  <r>
    <s v="2171-UDMFD"/>
    <s v="Male"/>
    <x v="0"/>
    <n v="32"/>
    <x v="2"/>
    <x v="2"/>
    <n v="19.45"/>
    <n v="674.55"/>
    <x v="0"/>
    <s v="Yes"/>
    <x v="3"/>
    <n v="674.55"/>
    <x v="1"/>
    <s v="Standard Spend"/>
  </r>
  <r>
    <s v="9050-IKDZA"/>
    <s v="Female"/>
    <x v="0"/>
    <n v="2"/>
    <x v="1"/>
    <x v="0"/>
    <n v="81.5"/>
    <n v="162.55000000000001"/>
    <x v="0"/>
    <s v="No"/>
    <x v="1"/>
    <n v="162.55000000000001"/>
    <x v="0"/>
    <s v="Standard Spend"/>
  </r>
  <r>
    <s v="2205-YMZZJ"/>
    <s v="Male"/>
    <x v="0"/>
    <n v="7"/>
    <x v="1"/>
    <x v="0"/>
    <n v="84.8"/>
    <n v="546.95000000000005"/>
    <x v="1"/>
    <s v="Yes"/>
    <x v="0"/>
    <n v="546.95000000000005"/>
    <x v="0"/>
    <s v="Standard Spend"/>
  </r>
  <r>
    <s v="9802-CAQUT"/>
    <s v="Female"/>
    <x v="2"/>
    <n v="72"/>
    <x v="1"/>
    <x v="0"/>
    <n v="109.55"/>
    <n v="7887.25"/>
    <x v="0"/>
    <s v="No"/>
    <x v="3"/>
    <n v="7887.25"/>
    <x v="2"/>
    <s v="High Spend"/>
  </r>
  <r>
    <s v="1254-IZEYF"/>
    <s v="Female"/>
    <x v="0"/>
    <n v="31"/>
    <x v="1"/>
    <x v="0"/>
    <n v="99.95"/>
    <n v="3186.65"/>
    <x v="1"/>
    <s v="Yes"/>
    <x v="0"/>
    <n v="3186.65"/>
    <x v="1"/>
    <s v="High Spend"/>
  </r>
  <r>
    <s v="0187-WZNAB"/>
    <s v="Female"/>
    <x v="0"/>
    <n v="27"/>
    <x v="1"/>
    <x v="0"/>
    <n v="74.400000000000006"/>
    <n v="1972.35"/>
    <x v="0"/>
    <s v="No"/>
    <x v="1"/>
    <n v="1972.35"/>
    <x v="1"/>
    <s v="Standard Spend"/>
  </r>
  <r>
    <s v="9492-TOKRI"/>
    <s v="Female"/>
    <x v="0"/>
    <n v="18"/>
    <x v="1"/>
    <x v="0"/>
    <n v="90"/>
    <n v="1527.35"/>
    <x v="1"/>
    <s v="Yes"/>
    <x v="3"/>
    <n v="1527.35"/>
    <x v="1"/>
    <s v="Standard Spend"/>
  </r>
  <r>
    <s v="1475-VWVDO"/>
    <s v="Male"/>
    <x v="0"/>
    <n v="7"/>
    <x v="1"/>
    <x v="0"/>
    <n v="74.900000000000006"/>
    <n v="490.55"/>
    <x v="0"/>
    <s v="Yes"/>
    <x v="0"/>
    <n v="490.55"/>
    <x v="0"/>
    <s v="Standard Spend"/>
  </r>
  <r>
    <s v="9221-OTIVJ"/>
    <s v="Female"/>
    <x v="0"/>
    <n v="14"/>
    <x v="1"/>
    <x v="0"/>
    <n v="104.85"/>
    <n v="1531.4"/>
    <x v="1"/>
    <s v="Yes"/>
    <x v="0"/>
    <n v="1531.4"/>
    <x v="1"/>
    <s v="Standard Spend"/>
  </r>
  <r>
    <s v="1357-MVDOZ"/>
    <s v="Male"/>
    <x v="0"/>
    <n v="11"/>
    <x v="0"/>
    <x v="0"/>
    <n v="59.65"/>
    <n v="683.25"/>
    <x v="0"/>
    <s v="Yes"/>
    <x v="2"/>
    <n v="683.25"/>
    <x v="0"/>
    <s v="Standard Spend"/>
  </r>
  <r>
    <s v="7602-MVRMB"/>
    <s v="Female"/>
    <x v="2"/>
    <n v="72"/>
    <x v="1"/>
    <x v="1"/>
    <n v="110.45"/>
    <n v="8058.85"/>
    <x v="0"/>
    <s v="Yes"/>
    <x v="2"/>
    <n v="8058.85"/>
    <x v="2"/>
    <s v="High Spend"/>
  </r>
  <r>
    <s v="3325-FUYCG"/>
    <s v="Male"/>
    <x v="1"/>
    <n v="28"/>
    <x v="1"/>
    <x v="0"/>
    <n v="106.1"/>
    <n v="2847.4"/>
    <x v="1"/>
    <s v="No"/>
    <x v="0"/>
    <n v="2847.4"/>
    <x v="1"/>
    <s v="High Spend"/>
  </r>
  <r>
    <s v="5908-QMGOE"/>
    <s v="Male"/>
    <x v="0"/>
    <n v="15"/>
    <x v="1"/>
    <x v="0"/>
    <n v="74.2"/>
    <n v="1133.9000000000001"/>
    <x v="1"/>
    <s v="Yes"/>
    <x v="3"/>
    <n v="1133.9000000000001"/>
    <x v="1"/>
    <s v="Standard Spend"/>
  </r>
  <r>
    <s v="1197-BVMVG"/>
    <s v="Female"/>
    <x v="0"/>
    <n v="4"/>
    <x v="1"/>
    <x v="0"/>
    <n v="74.45"/>
    <n v="294.45"/>
    <x v="0"/>
    <s v="Yes"/>
    <x v="0"/>
    <n v="294.45"/>
    <x v="0"/>
    <s v="Standard Spend"/>
  </r>
  <r>
    <s v="5406-KGRMX"/>
    <s v="Female"/>
    <x v="2"/>
    <n v="71"/>
    <x v="2"/>
    <x v="2"/>
    <n v="24.55"/>
    <n v="1719.15"/>
    <x v="0"/>
    <s v="No"/>
    <x v="0"/>
    <n v="1719.15"/>
    <x v="2"/>
    <s v="Standard Spend"/>
  </r>
  <r>
    <s v="8481-YYXWG"/>
    <s v="Female"/>
    <x v="0"/>
    <n v="5"/>
    <x v="1"/>
    <x v="1"/>
    <n v="89.35"/>
    <n v="461.7"/>
    <x v="1"/>
    <s v="Yes"/>
    <x v="0"/>
    <n v="461.7"/>
    <x v="0"/>
    <s v="Standard Spend"/>
  </r>
  <r>
    <s v="5968-HYJRZ"/>
    <s v="Male"/>
    <x v="2"/>
    <n v="47"/>
    <x v="2"/>
    <x v="2"/>
    <n v="24.55"/>
    <n v="1160.45"/>
    <x v="0"/>
    <s v="No"/>
    <x v="1"/>
    <n v="1160.45"/>
    <x v="2"/>
    <s v="Standard Spend"/>
  </r>
  <r>
    <s v="5198-EFNBM"/>
    <s v="Male"/>
    <x v="1"/>
    <n v="57"/>
    <x v="1"/>
    <x v="0"/>
    <n v="90.65"/>
    <n v="5199.8"/>
    <x v="0"/>
    <s v="Yes"/>
    <x v="0"/>
    <n v="5199.8"/>
    <x v="2"/>
    <s v="High Spend"/>
  </r>
  <r>
    <s v="7516-GMHUV"/>
    <s v="Male"/>
    <x v="2"/>
    <n v="50"/>
    <x v="1"/>
    <x v="0"/>
    <n v="105.05"/>
    <n v="5163.3"/>
    <x v="0"/>
    <s v="Yes"/>
    <x v="3"/>
    <n v="5163.3"/>
    <x v="2"/>
    <s v="High Spend"/>
  </r>
  <r>
    <s v="7140-ADSMJ"/>
    <s v="Male"/>
    <x v="0"/>
    <n v="8"/>
    <x v="2"/>
    <x v="2"/>
    <n v="20.45"/>
    <n v="162.30000000000001"/>
    <x v="0"/>
    <s v="Yes"/>
    <x v="3"/>
    <n v="162.30000000000001"/>
    <x v="0"/>
    <s v="Standard Spend"/>
  </r>
  <r>
    <s v="2230-XTUWL"/>
    <s v="Female"/>
    <x v="2"/>
    <n v="48"/>
    <x v="2"/>
    <x v="2"/>
    <n v="19.55"/>
    <n v="883.35"/>
    <x v="0"/>
    <s v="No"/>
    <x v="1"/>
    <n v="883.35"/>
    <x v="2"/>
    <s v="Standard Spend"/>
  </r>
  <r>
    <s v="7706-YLMQA"/>
    <s v="Female"/>
    <x v="1"/>
    <n v="70"/>
    <x v="2"/>
    <x v="2"/>
    <n v="19.7"/>
    <n v="1341.5"/>
    <x v="0"/>
    <s v="No"/>
    <x v="2"/>
    <n v="1341.5"/>
    <x v="2"/>
    <s v="Standard Spend"/>
  </r>
  <r>
    <s v="2585-KTFRE"/>
    <s v="Male"/>
    <x v="0"/>
    <n v="1"/>
    <x v="0"/>
    <x v="1"/>
    <n v="70.45"/>
    <n v="70.45"/>
    <x v="0"/>
    <s v="Yes"/>
    <x v="2"/>
    <n v="70.45"/>
    <x v="0"/>
    <s v="Standard Spend"/>
  </r>
  <r>
    <s v="7994-UYIVZ"/>
    <s v="Male"/>
    <x v="0"/>
    <n v="8"/>
    <x v="1"/>
    <x v="0"/>
    <n v="85.65"/>
    <n v="659.45"/>
    <x v="0"/>
    <s v="Yes"/>
    <x v="2"/>
    <n v="659.45"/>
    <x v="0"/>
    <s v="Standard Spend"/>
  </r>
  <r>
    <s v="2609-IAICY"/>
    <s v="Female"/>
    <x v="0"/>
    <n v="1"/>
    <x v="1"/>
    <x v="0"/>
    <n v="77.150000000000006"/>
    <n v="77.150000000000006"/>
    <x v="1"/>
    <s v="Yes"/>
    <x v="0"/>
    <n v="77.150000000000006"/>
    <x v="0"/>
    <s v="Standard Spend"/>
  </r>
  <r>
    <s v="1740-CSDJP"/>
    <s v="Male"/>
    <x v="0"/>
    <n v="1"/>
    <x v="0"/>
    <x v="0"/>
    <n v="35.25"/>
    <n v="35.25"/>
    <x v="1"/>
    <s v="Yes"/>
    <x v="2"/>
    <n v="35.25"/>
    <x v="0"/>
    <s v="Standard Spend"/>
  </r>
  <r>
    <s v="7717-BICXI"/>
    <s v="Male"/>
    <x v="2"/>
    <n v="60"/>
    <x v="2"/>
    <x v="2"/>
    <n v="20.55"/>
    <n v="1205.05"/>
    <x v="0"/>
    <s v="No"/>
    <x v="1"/>
    <n v="1205.05"/>
    <x v="2"/>
    <s v="Standard Spend"/>
  </r>
  <r>
    <s v="6559-RAKOZ"/>
    <s v="Male"/>
    <x v="1"/>
    <n v="49"/>
    <x v="1"/>
    <x v="1"/>
    <n v="97.95"/>
    <n v="4917.8999999999996"/>
    <x v="0"/>
    <s v="Yes"/>
    <x v="0"/>
    <n v="4917.8999999999996"/>
    <x v="2"/>
    <s v="High Spend"/>
  </r>
  <r>
    <s v="2636-OHFMN"/>
    <s v="Male"/>
    <x v="0"/>
    <n v="4"/>
    <x v="0"/>
    <x v="0"/>
    <n v="48.55"/>
    <n v="201"/>
    <x v="1"/>
    <s v="Yes"/>
    <x v="0"/>
    <n v="201"/>
    <x v="0"/>
    <s v="Standard Spend"/>
  </r>
  <r>
    <s v="4716-MRVEN"/>
    <s v="Female"/>
    <x v="1"/>
    <n v="29"/>
    <x v="2"/>
    <x v="2"/>
    <n v="20"/>
    <n v="599.29999999999995"/>
    <x v="0"/>
    <s v="No"/>
    <x v="1"/>
    <n v="599.29999999999995"/>
    <x v="1"/>
    <s v="Standard Spend"/>
  </r>
  <r>
    <s v="2143-LJULT"/>
    <s v="Female"/>
    <x v="2"/>
    <n v="67"/>
    <x v="2"/>
    <x v="2"/>
    <n v="25.25"/>
    <n v="1733.15"/>
    <x v="0"/>
    <s v="Yes"/>
    <x v="3"/>
    <n v="1733.15"/>
    <x v="2"/>
    <s v="Standard Spend"/>
  </r>
  <r>
    <s v="1323-OOEPC"/>
    <s v="Female"/>
    <x v="0"/>
    <n v="53"/>
    <x v="1"/>
    <x v="0"/>
    <n v="98.4"/>
    <n v="5149.5"/>
    <x v="1"/>
    <s v="Yes"/>
    <x v="3"/>
    <n v="5149.5"/>
    <x v="2"/>
    <s v="High Spend"/>
  </r>
  <r>
    <s v="3200-MNQTF"/>
    <s v="Male"/>
    <x v="2"/>
    <n v="67"/>
    <x v="0"/>
    <x v="1"/>
    <n v="70.900000000000006"/>
    <n v="4677.1000000000004"/>
    <x v="0"/>
    <s v="No"/>
    <x v="3"/>
    <n v="4677.1000000000004"/>
    <x v="2"/>
    <s v="High Spend"/>
  </r>
  <r>
    <s v="6164-HXUGH"/>
    <s v="Female"/>
    <x v="0"/>
    <n v="6"/>
    <x v="2"/>
    <x v="2"/>
    <n v="19.850000000000001"/>
    <n v="119.3"/>
    <x v="0"/>
    <s v="No"/>
    <x v="1"/>
    <n v="119.3"/>
    <x v="0"/>
    <s v="Standard Spend"/>
  </r>
  <r>
    <s v="5630-IXDXV"/>
    <s v="Female"/>
    <x v="0"/>
    <n v="47"/>
    <x v="1"/>
    <x v="0"/>
    <n v="106.35"/>
    <n v="4849.1000000000004"/>
    <x v="0"/>
    <s v="Yes"/>
    <x v="0"/>
    <n v="4849.1000000000004"/>
    <x v="2"/>
    <s v="High Spend"/>
  </r>
  <r>
    <s v="0320-DWVTU"/>
    <s v="Female"/>
    <x v="2"/>
    <n v="53"/>
    <x v="1"/>
    <x v="1"/>
    <n v="99.5"/>
    <n v="5424.25"/>
    <x v="0"/>
    <s v="No"/>
    <x v="1"/>
    <n v="5424.25"/>
    <x v="2"/>
    <s v="High Spend"/>
  </r>
  <r>
    <s v="9135-MGVPY"/>
    <s v="Male"/>
    <x v="2"/>
    <n v="69"/>
    <x v="0"/>
    <x v="1"/>
    <n v="84.7"/>
    <n v="5878.9"/>
    <x v="0"/>
    <s v="Yes"/>
    <x v="1"/>
    <n v="5878.9"/>
    <x v="2"/>
    <s v="High Spend"/>
  </r>
  <r>
    <s v="1212-GLHMD"/>
    <s v="Male"/>
    <x v="0"/>
    <n v="3"/>
    <x v="1"/>
    <x v="0"/>
    <n v="86.05"/>
    <n v="244.85"/>
    <x v="0"/>
    <s v="Yes"/>
    <x v="1"/>
    <n v="244.85"/>
    <x v="0"/>
    <s v="Standard Spend"/>
  </r>
  <r>
    <s v="7878-JGDKK"/>
    <s v="Male"/>
    <x v="0"/>
    <n v="4"/>
    <x v="0"/>
    <x v="0"/>
    <n v="44.55"/>
    <n v="220.75"/>
    <x v="0"/>
    <s v="No"/>
    <x v="1"/>
    <n v="220.75"/>
    <x v="0"/>
    <s v="Standard Spend"/>
  </r>
  <r>
    <s v="1088-AUUZZ"/>
    <s v="Male"/>
    <x v="2"/>
    <n v="56"/>
    <x v="0"/>
    <x v="1"/>
    <n v="75.849999999999994"/>
    <n v="4261.2"/>
    <x v="0"/>
    <s v="Yes"/>
    <x v="3"/>
    <n v="4261.2"/>
    <x v="2"/>
    <s v="High Spend"/>
  </r>
  <r>
    <s v="0397-GZBBC"/>
    <s v="Male"/>
    <x v="0"/>
    <n v="59"/>
    <x v="1"/>
    <x v="0"/>
    <n v="93.85"/>
    <n v="5574.75"/>
    <x v="1"/>
    <s v="Yes"/>
    <x v="2"/>
    <n v="5574.75"/>
    <x v="2"/>
    <s v="High Spend"/>
  </r>
  <r>
    <s v="6614-YWYSC"/>
    <s v="Male"/>
    <x v="2"/>
    <n v="61"/>
    <x v="2"/>
    <x v="2"/>
    <n v="25"/>
    <n v="1501.75"/>
    <x v="0"/>
    <s v="No"/>
    <x v="2"/>
    <n v="1501.75"/>
    <x v="2"/>
    <s v="Standard Spend"/>
  </r>
  <r>
    <s v="9588-OZDMQ"/>
    <s v="Female"/>
    <x v="0"/>
    <n v="2"/>
    <x v="0"/>
    <x v="0"/>
    <n v="45"/>
    <n v="89.75"/>
    <x v="0"/>
    <s v="Yes"/>
    <x v="0"/>
    <n v="89.75"/>
    <x v="0"/>
    <s v="Standard Spend"/>
  </r>
  <r>
    <s v="7641-EUYET"/>
    <s v="Male"/>
    <x v="0"/>
    <n v="46"/>
    <x v="1"/>
    <x v="0"/>
    <n v="100.7"/>
    <n v="4541.2"/>
    <x v="1"/>
    <s v="Yes"/>
    <x v="0"/>
    <n v="4541.2"/>
    <x v="2"/>
    <s v="High Spend"/>
  </r>
  <r>
    <s v="6476-EPYZR"/>
    <s v="Male"/>
    <x v="0"/>
    <n v="12"/>
    <x v="2"/>
    <x v="2"/>
    <n v="20.5"/>
    <n v="255.5"/>
    <x v="0"/>
    <s v="No"/>
    <x v="1"/>
    <n v="255.5"/>
    <x v="0"/>
    <s v="Standard Spend"/>
  </r>
  <r>
    <s v="9921-ZVRHG"/>
    <s v="Female"/>
    <x v="0"/>
    <n v="14"/>
    <x v="1"/>
    <x v="0"/>
    <n v="80.45"/>
    <n v="1072"/>
    <x v="1"/>
    <s v="Yes"/>
    <x v="0"/>
    <n v="1072"/>
    <x v="1"/>
    <s v="Standard Spend"/>
  </r>
  <r>
    <s v="1174-FGIFN"/>
    <s v="Female"/>
    <x v="1"/>
    <n v="28"/>
    <x v="1"/>
    <x v="1"/>
    <n v="90.45"/>
    <n v="2509.25"/>
    <x v="0"/>
    <s v="Yes"/>
    <x v="0"/>
    <n v="2509.25"/>
    <x v="1"/>
    <s v="High Spend"/>
  </r>
  <r>
    <s v="6620-HVDUJ"/>
    <s v="Male"/>
    <x v="0"/>
    <n v="24"/>
    <x v="0"/>
    <x v="1"/>
    <n v="60.45"/>
    <n v="1440.75"/>
    <x v="0"/>
    <s v="No"/>
    <x v="2"/>
    <n v="1440.75"/>
    <x v="1"/>
    <s v="Standard Spend"/>
  </r>
  <r>
    <s v="4701-MLJPN"/>
    <s v="Male"/>
    <x v="0"/>
    <n v="31"/>
    <x v="0"/>
    <x v="1"/>
    <n v="55.25"/>
    <n v="1715.65"/>
    <x v="1"/>
    <s v="Yes"/>
    <x v="0"/>
    <n v="1715.65"/>
    <x v="1"/>
    <s v="Standard Spend"/>
  </r>
  <r>
    <s v="1032-MAELW"/>
    <s v="Female"/>
    <x v="1"/>
    <n v="68"/>
    <x v="0"/>
    <x v="1"/>
    <n v="78.45"/>
    <n v="5333.35"/>
    <x v="0"/>
    <s v="Yes"/>
    <x v="0"/>
    <n v="5333.35"/>
    <x v="2"/>
    <s v="High Spend"/>
  </r>
  <r>
    <s v="7641-TQFHN"/>
    <s v="Male"/>
    <x v="2"/>
    <n v="39"/>
    <x v="1"/>
    <x v="1"/>
    <n v="100.55"/>
    <n v="3895.35"/>
    <x v="0"/>
    <s v="No"/>
    <x v="1"/>
    <n v="3895.35"/>
    <x v="2"/>
    <s v="High Spend"/>
  </r>
  <r>
    <s v="1552-TKMXS"/>
    <s v="Female"/>
    <x v="0"/>
    <n v="42"/>
    <x v="2"/>
    <x v="2"/>
    <n v="20.350000000000001"/>
    <n v="869.9"/>
    <x v="0"/>
    <s v="No"/>
    <x v="3"/>
    <n v="869.9"/>
    <x v="2"/>
    <s v="Standard Spend"/>
  </r>
  <r>
    <s v="9206-GVPEQ"/>
    <s v="Male"/>
    <x v="0"/>
    <n v="13"/>
    <x v="0"/>
    <x v="1"/>
    <n v="54.45"/>
    <n v="706.85"/>
    <x v="1"/>
    <s v="Yes"/>
    <x v="0"/>
    <n v="706.85"/>
    <x v="1"/>
    <s v="Standard Spend"/>
  </r>
  <r>
    <s v="8622-ZLFKO"/>
    <s v="Female"/>
    <x v="0"/>
    <n v="6"/>
    <x v="1"/>
    <x v="0"/>
    <n v="90.75"/>
    <n v="512.25"/>
    <x v="0"/>
    <s v="Yes"/>
    <x v="0"/>
    <n v="512.25"/>
    <x v="0"/>
    <s v="Standard Spend"/>
  </r>
  <r>
    <s v="1596-BBVTG"/>
    <s v="Male"/>
    <x v="0"/>
    <n v="35"/>
    <x v="1"/>
    <x v="0"/>
    <n v="75.349999999999994"/>
    <n v="2636.05"/>
    <x v="1"/>
    <s v="No"/>
    <x v="3"/>
    <n v="2636.05"/>
    <x v="1"/>
    <s v="High Spend"/>
  </r>
  <r>
    <s v="6188-UXBBR"/>
    <s v="Female"/>
    <x v="1"/>
    <n v="38"/>
    <x v="2"/>
    <x v="2"/>
    <n v="20.25"/>
    <n v="814.75"/>
    <x v="0"/>
    <s v="Yes"/>
    <x v="3"/>
    <n v="814.75"/>
    <x v="2"/>
    <s v="Standard Spend"/>
  </r>
  <r>
    <s v="2333-KWEWW"/>
    <s v="Male"/>
    <x v="2"/>
    <n v="18"/>
    <x v="2"/>
    <x v="2"/>
    <n v="20.05"/>
    <n v="388.6"/>
    <x v="0"/>
    <s v="No"/>
    <x v="3"/>
    <n v="388.6"/>
    <x v="1"/>
    <s v="Standard Spend"/>
  </r>
  <r>
    <s v="5702-SKUOB"/>
    <s v="Female"/>
    <x v="0"/>
    <n v="4"/>
    <x v="2"/>
    <x v="2"/>
    <n v="19.600000000000001"/>
    <n v="93.45"/>
    <x v="0"/>
    <s v="No"/>
    <x v="1"/>
    <n v="93.45"/>
    <x v="0"/>
    <s v="Standard Spend"/>
  </r>
  <r>
    <s v="1134-YWTYF"/>
    <s v="Male"/>
    <x v="0"/>
    <n v="27"/>
    <x v="0"/>
    <x v="1"/>
    <n v="53.8"/>
    <n v="1389.85"/>
    <x v="0"/>
    <s v="Yes"/>
    <x v="0"/>
    <n v="1389.85"/>
    <x v="1"/>
    <s v="Standard Spend"/>
  </r>
  <r>
    <s v="6061-GWWAV"/>
    <s v="Male"/>
    <x v="1"/>
    <n v="41"/>
    <x v="0"/>
    <x v="0"/>
    <n v="70.2"/>
    <n v="2894.55"/>
    <x v="0"/>
    <s v="No"/>
    <x v="1"/>
    <n v="2894.55"/>
    <x v="2"/>
    <s v="High Spend"/>
  </r>
  <r>
    <s v="0679-TDGAK"/>
    <s v="Male"/>
    <x v="1"/>
    <n v="50"/>
    <x v="0"/>
    <x v="1"/>
    <n v="75.5"/>
    <n v="4025.6"/>
    <x v="0"/>
    <s v="No"/>
    <x v="0"/>
    <n v="4025.6"/>
    <x v="2"/>
    <s v="High Spend"/>
  </r>
  <r>
    <s v="6585-WCEWR"/>
    <s v="Male"/>
    <x v="2"/>
    <n v="72"/>
    <x v="2"/>
    <x v="2"/>
    <n v="20.350000000000001"/>
    <n v="1354.4"/>
    <x v="0"/>
    <s v="No"/>
    <x v="0"/>
    <n v="1354.4"/>
    <x v="2"/>
    <s v="Standard Spend"/>
  </r>
  <r>
    <s v="9067-YGSCA"/>
    <s v="Female"/>
    <x v="1"/>
    <n v="70"/>
    <x v="2"/>
    <x v="2"/>
    <n v="26.05"/>
    <n v="1856.4"/>
    <x v="0"/>
    <s v="No"/>
    <x v="3"/>
    <n v="1856.4"/>
    <x v="2"/>
    <s v="Standard Spend"/>
  </r>
  <r>
    <s v="9067-SQTNS"/>
    <s v="Male"/>
    <x v="1"/>
    <n v="44"/>
    <x v="2"/>
    <x v="2"/>
    <n v="20.6"/>
    <n v="926"/>
    <x v="0"/>
    <s v="No"/>
    <x v="2"/>
    <n v="926"/>
    <x v="2"/>
    <s v="Standard Spend"/>
  </r>
  <r>
    <s v="8433-WXGNA"/>
    <s v="Male"/>
    <x v="0"/>
    <n v="2"/>
    <x v="1"/>
    <x v="0"/>
    <n v="75.7"/>
    <n v="189.2"/>
    <x v="1"/>
    <s v="Yes"/>
    <x v="0"/>
    <n v="189.2"/>
    <x v="0"/>
    <s v="Standard Spend"/>
  </r>
  <r>
    <s v="1776-SPBWV"/>
    <s v="Female"/>
    <x v="1"/>
    <n v="34"/>
    <x v="2"/>
    <x v="2"/>
    <n v="20.100000000000001"/>
    <n v="682.1"/>
    <x v="0"/>
    <s v="Yes"/>
    <x v="2"/>
    <n v="682.1"/>
    <x v="1"/>
    <s v="Standard Spend"/>
  </r>
  <r>
    <s v="8735-SDUFN"/>
    <s v="Female"/>
    <x v="2"/>
    <n v="72"/>
    <x v="2"/>
    <x v="2"/>
    <n v="24.3"/>
    <n v="1778.7"/>
    <x v="0"/>
    <s v="No"/>
    <x v="2"/>
    <n v="1778.7"/>
    <x v="2"/>
    <s v="Standard Spend"/>
  </r>
  <r>
    <s v="9668-PUGNU"/>
    <s v="Male"/>
    <x v="2"/>
    <n v="71"/>
    <x v="2"/>
    <x v="2"/>
    <n v="24.5"/>
    <n v="1816.2"/>
    <x v="0"/>
    <s v="Yes"/>
    <x v="0"/>
    <n v="1816.2"/>
    <x v="2"/>
    <s v="Standard Spend"/>
  </r>
  <r>
    <s v="9405-GPBBG"/>
    <s v="Female"/>
    <x v="2"/>
    <n v="64"/>
    <x v="1"/>
    <x v="1"/>
    <n v="110.5"/>
    <n v="7069.25"/>
    <x v="0"/>
    <s v="Yes"/>
    <x v="3"/>
    <n v="7069.25"/>
    <x v="2"/>
    <s v="High Spend"/>
  </r>
  <r>
    <s v="1926-QUZNN"/>
    <s v="Female"/>
    <x v="2"/>
    <n v="72"/>
    <x v="2"/>
    <x v="2"/>
    <n v="25.25"/>
    <n v="1841.2"/>
    <x v="0"/>
    <s v="Yes"/>
    <x v="2"/>
    <n v="1841.2"/>
    <x v="2"/>
    <s v="Standard Spend"/>
  </r>
  <r>
    <s v="3707-GNWHM"/>
    <s v="Male"/>
    <x v="0"/>
    <n v="1"/>
    <x v="1"/>
    <x v="0"/>
    <n v="74.25"/>
    <n v="74.25"/>
    <x v="1"/>
    <s v="Yes"/>
    <x v="1"/>
    <n v="74.25"/>
    <x v="0"/>
    <s v="Standard Spend"/>
  </r>
  <r>
    <s v="7016-NVRIC"/>
    <s v="Male"/>
    <x v="1"/>
    <n v="29"/>
    <x v="1"/>
    <x v="0"/>
    <n v="90.1"/>
    <n v="2656.7"/>
    <x v="0"/>
    <s v="No"/>
    <x v="2"/>
    <n v="2656.7"/>
    <x v="1"/>
    <s v="High Spend"/>
  </r>
  <r>
    <s v="5829-NVSQN"/>
    <s v="Female"/>
    <x v="1"/>
    <n v="23"/>
    <x v="0"/>
    <x v="1"/>
    <n v="68.75"/>
    <n v="1689.45"/>
    <x v="0"/>
    <s v="Yes"/>
    <x v="2"/>
    <n v="1689.45"/>
    <x v="1"/>
    <s v="Standard Spend"/>
  </r>
  <r>
    <s v="9565-AXSMR"/>
    <s v="Male"/>
    <x v="2"/>
    <n v="52"/>
    <x v="2"/>
    <x v="2"/>
    <n v="19.2"/>
    <n v="1054.75"/>
    <x v="0"/>
    <s v="No"/>
    <x v="1"/>
    <n v="1054.75"/>
    <x v="2"/>
    <s v="Standard Spend"/>
  </r>
  <r>
    <s v="8922-LIEGH"/>
    <s v="Female"/>
    <x v="0"/>
    <n v="25"/>
    <x v="1"/>
    <x v="0"/>
    <n v="89.7"/>
    <n v="2187.5500000000002"/>
    <x v="1"/>
    <s v="Yes"/>
    <x v="0"/>
    <n v="2187.5500000000002"/>
    <x v="1"/>
    <s v="Standard Spend"/>
  </r>
  <r>
    <s v="8869-LIHMK"/>
    <s v="Female"/>
    <x v="2"/>
    <n v="64"/>
    <x v="1"/>
    <x v="1"/>
    <n v="115.1"/>
    <n v="7334.05"/>
    <x v="0"/>
    <s v="Yes"/>
    <x v="2"/>
    <n v="7334.05"/>
    <x v="2"/>
    <s v="High Spend"/>
  </r>
  <r>
    <s v="8245-UMPYT"/>
    <s v="Female"/>
    <x v="0"/>
    <n v="16"/>
    <x v="1"/>
    <x v="0"/>
    <n v="96.4"/>
    <n v="1581.2"/>
    <x v="1"/>
    <s v="Yes"/>
    <x v="0"/>
    <n v="1581.2"/>
    <x v="1"/>
    <s v="Standard Spend"/>
  </r>
  <r>
    <s v="5186-SAMNZ"/>
    <s v="Male"/>
    <x v="0"/>
    <n v="1"/>
    <x v="1"/>
    <x v="0"/>
    <n v="69.5"/>
    <n v="69.5"/>
    <x v="1"/>
    <s v="Yes"/>
    <x v="2"/>
    <n v="69.5"/>
    <x v="0"/>
    <s v="Standard Spend"/>
  </r>
  <r>
    <s v="0447-RXSGD"/>
    <s v="Male"/>
    <x v="0"/>
    <n v="24"/>
    <x v="1"/>
    <x v="0"/>
    <n v="99.65"/>
    <n v="2404.85"/>
    <x v="0"/>
    <s v="Yes"/>
    <x v="2"/>
    <n v="2404.85"/>
    <x v="1"/>
    <s v="Standard Spend"/>
  </r>
  <r>
    <s v="4927-WWOOZ"/>
    <s v="Male"/>
    <x v="0"/>
    <n v="2"/>
    <x v="1"/>
    <x v="0"/>
    <n v="91.45"/>
    <n v="171.45"/>
    <x v="0"/>
    <s v="Yes"/>
    <x v="0"/>
    <n v="171.45"/>
    <x v="0"/>
    <s v="Standard Spend"/>
  </r>
  <r>
    <s v="5788-YPOEG"/>
    <s v="Female"/>
    <x v="2"/>
    <n v="34"/>
    <x v="0"/>
    <x v="1"/>
    <n v="84.75"/>
    <n v="2839.45"/>
    <x v="0"/>
    <s v="No"/>
    <x v="1"/>
    <n v="2839.45"/>
    <x v="1"/>
    <s v="High Spend"/>
  </r>
  <r>
    <s v="5373-SFODM"/>
    <s v="Male"/>
    <x v="0"/>
    <n v="36"/>
    <x v="1"/>
    <x v="0"/>
    <n v="85.25"/>
    <n v="3132.75"/>
    <x v="1"/>
    <s v="Yes"/>
    <x v="3"/>
    <n v="3132.75"/>
    <x v="1"/>
    <s v="High Spend"/>
  </r>
  <r>
    <s v="0661-KBKPA"/>
    <s v="Male"/>
    <x v="1"/>
    <n v="53"/>
    <x v="0"/>
    <x v="1"/>
    <n v="78.75"/>
    <n v="3942.45"/>
    <x v="0"/>
    <s v="Yes"/>
    <x v="1"/>
    <n v="3942.45"/>
    <x v="2"/>
    <s v="High Spend"/>
  </r>
  <r>
    <s v="9081-WWXKP"/>
    <s v="Female"/>
    <x v="2"/>
    <n v="47"/>
    <x v="2"/>
    <x v="2"/>
    <n v="20.25"/>
    <n v="873.4"/>
    <x v="0"/>
    <s v="No"/>
    <x v="3"/>
    <n v="873.4"/>
    <x v="2"/>
    <s v="Standard Spend"/>
  </r>
  <r>
    <s v="0784-ZQJZX"/>
    <s v="Male"/>
    <x v="2"/>
    <n v="72"/>
    <x v="2"/>
    <x v="2"/>
    <n v="19.899999999999999"/>
    <n v="1529.65"/>
    <x v="0"/>
    <s v="No"/>
    <x v="3"/>
    <n v="1529.65"/>
    <x v="2"/>
    <s v="Standard Spend"/>
  </r>
  <r>
    <s v="3133-PZNSR"/>
    <s v="Male"/>
    <x v="2"/>
    <n v="72"/>
    <x v="1"/>
    <x v="1"/>
    <n v="97.75"/>
    <n v="6991.6"/>
    <x v="0"/>
    <s v="Yes"/>
    <x v="3"/>
    <n v="6991.6"/>
    <x v="2"/>
    <s v="High Spend"/>
  </r>
  <r>
    <s v="5766-ZJYBB"/>
    <s v="Male"/>
    <x v="0"/>
    <n v="1"/>
    <x v="2"/>
    <x v="2"/>
    <n v="19.399999999999999"/>
    <n v="19.399999999999999"/>
    <x v="1"/>
    <s v="No"/>
    <x v="1"/>
    <n v="19.399999999999999"/>
    <x v="0"/>
    <s v="Standard Spend"/>
  </r>
  <r>
    <s v="8931-GJJIQ"/>
    <s v="Female"/>
    <x v="0"/>
    <n v="9"/>
    <x v="1"/>
    <x v="0"/>
    <n v="83.3"/>
    <n v="803.3"/>
    <x v="1"/>
    <s v="Yes"/>
    <x v="0"/>
    <n v="803.3"/>
    <x v="0"/>
    <s v="Standard Spend"/>
  </r>
  <r>
    <s v="4277-PVRAN"/>
    <s v="Female"/>
    <x v="0"/>
    <n v="8"/>
    <x v="1"/>
    <x v="0"/>
    <n v="80.099999999999994"/>
    <n v="679.3"/>
    <x v="1"/>
    <s v="Yes"/>
    <x v="2"/>
    <n v="679.3"/>
    <x v="0"/>
    <s v="Standard Spend"/>
  </r>
  <r>
    <s v="0022-TCJCI"/>
    <s v="Male"/>
    <x v="1"/>
    <n v="45"/>
    <x v="0"/>
    <x v="0"/>
    <n v="62.7"/>
    <n v="2791.5"/>
    <x v="1"/>
    <s v="No"/>
    <x v="3"/>
    <n v="2791.5"/>
    <x v="2"/>
    <s v="High Spend"/>
  </r>
  <r>
    <s v="0722-SVSFK"/>
    <s v="Female"/>
    <x v="0"/>
    <n v="7"/>
    <x v="1"/>
    <x v="1"/>
    <n v="100.4"/>
    <n v="715"/>
    <x v="0"/>
    <s v="Yes"/>
    <x v="0"/>
    <n v="715"/>
    <x v="0"/>
    <s v="Standard Spend"/>
  </r>
  <r>
    <s v="3612-YVGSJ"/>
    <s v="Female"/>
    <x v="2"/>
    <n v="71"/>
    <x v="2"/>
    <x v="2"/>
    <n v="24.45"/>
    <n v="1681.6"/>
    <x v="0"/>
    <s v="Yes"/>
    <x v="3"/>
    <n v="1681.6"/>
    <x v="2"/>
    <s v="Standard Spend"/>
  </r>
  <r>
    <s v="9825-YCXWZ"/>
    <s v="Female"/>
    <x v="1"/>
    <n v="41"/>
    <x v="1"/>
    <x v="1"/>
    <n v="101.1"/>
    <n v="4016.2"/>
    <x v="0"/>
    <s v="Yes"/>
    <x v="2"/>
    <n v="4016.2"/>
    <x v="2"/>
    <s v="High Spend"/>
  </r>
  <r>
    <s v="5397-NSKQG"/>
    <s v="Male"/>
    <x v="2"/>
    <n v="67"/>
    <x v="0"/>
    <x v="0"/>
    <n v="50.9"/>
    <n v="3281.65"/>
    <x v="0"/>
    <s v="No"/>
    <x v="3"/>
    <n v="3281.65"/>
    <x v="2"/>
    <s v="High Spend"/>
  </r>
  <r>
    <s v="8565-HBFNN"/>
    <s v="Male"/>
    <x v="1"/>
    <n v="69"/>
    <x v="1"/>
    <x v="1"/>
    <n v="107.2"/>
    <n v="7317.1"/>
    <x v="0"/>
    <s v="Yes"/>
    <x v="3"/>
    <n v="7317.1"/>
    <x v="2"/>
    <s v="High Spend"/>
  </r>
  <r>
    <s v="2000-DHJUY"/>
    <s v="Female"/>
    <x v="2"/>
    <n v="70"/>
    <x v="0"/>
    <x v="1"/>
    <n v="92.2"/>
    <n v="6474.45"/>
    <x v="0"/>
    <s v="Yes"/>
    <x v="2"/>
    <n v="6474.45"/>
    <x v="2"/>
    <s v="High Spend"/>
  </r>
  <r>
    <s v="0203-HHYIJ"/>
    <s v="Male"/>
    <x v="1"/>
    <n v="25"/>
    <x v="2"/>
    <x v="2"/>
    <n v="25.3"/>
    <n v="676.35"/>
    <x v="1"/>
    <s v="No"/>
    <x v="2"/>
    <n v="676.35"/>
    <x v="1"/>
    <s v="Standard Spend"/>
  </r>
  <r>
    <s v="8670-ERCJH"/>
    <s v="Male"/>
    <x v="2"/>
    <n v="72"/>
    <x v="1"/>
    <x v="1"/>
    <n v="113.4"/>
    <n v="8164.1"/>
    <x v="0"/>
    <s v="No"/>
    <x v="2"/>
    <n v="8164.1"/>
    <x v="2"/>
    <s v="High Spend"/>
  </r>
  <r>
    <s v="7758-UJWYS"/>
    <s v="Male"/>
    <x v="2"/>
    <n v="34"/>
    <x v="0"/>
    <x v="1"/>
    <n v="40.549999999999997"/>
    <n v="1325.85"/>
    <x v="0"/>
    <s v="Yes"/>
    <x v="0"/>
    <n v="1325.85"/>
    <x v="1"/>
    <s v="Standard Spend"/>
  </r>
  <r>
    <s v="2050-ONYDQ"/>
    <s v="Female"/>
    <x v="2"/>
    <n v="65"/>
    <x v="2"/>
    <x v="2"/>
    <n v="26"/>
    <n v="1654.85"/>
    <x v="0"/>
    <s v="No"/>
    <x v="3"/>
    <n v="1654.85"/>
    <x v="2"/>
    <s v="Standard Spend"/>
  </r>
  <r>
    <s v="7055-JCGNI"/>
    <s v="Female"/>
    <x v="2"/>
    <n v="70"/>
    <x v="1"/>
    <x v="1"/>
    <n v="111.95"/>
    <n v="7795.95"/>
    <x v="0"/>
    <s v="Yes"/>
    <x v="3"/>
    <n v="7795.95"/>
    <x v="2"/>
    <s v="High Spend"/>
  </r>
  <r>
    <s v="0739-UUAJR"/>
    <s v="Female"/>
    <x v="2"/>
    <n v="72"/>
    <x v="0"/>
    <x v="0"/>
    <n v="53.8"/>
    <n v="3952.45"/>
    <x v="0"/>
    <s v="Yes"/>
    <x v="3"/>
    <n v="3952.45"/>
    <x v="2"/>
    <s v="High Spend"/>
  </r>
  <r>
    <s v="4826-DXMUP"/>
    <s v="Male"/>
    <x v="1"/>
    <n v="35"/>
    <x v="0"/>
    <x v="1"/>
    <n v="72.099999999999994"/>
    <n v="2495.15"/>
    <x v="0"/>
    <s v="Yes"/>
    <x v="1"/>
    <n v="2495.15"/>
    <x v="1"/>
    <s v="Standard Spend"/>
  </r>
  <r>
    <s v="0952-KMEEH"/>
    <s v="Male"/>
    <x v="0"/>
    <n v="13"/>
    <x v="1"/>
    <x v="0"/>
    <n v="98.15"/>
    <n v="1230.25"/>
    <x v="1"/>
    <s v="No"/>
    <x v="1"/>
    <n v="1230.25"/>
    <x v="1"/>
    <s v="Standard Spend"/>
  </r>
  <r>
    <s v="7285-KLOTR"/>
    <s v="Female"/>
    <x v="1"/>
    <n v="12"/>
    <x v="0"/>
    <x v="0"/>
    <n v="78.849999999999994"/>
    <n v="876.75"/>
    <x v="0"/>
    <s v="No"/>
    <x v="0"/>
    <n v="876.75"/>
    <x v="0"/>
    <s v="Standard Spend"/>
  </r>
  <r>
    <s v="0654-PQKDW"/>
    <s v="Female"/>
    <x v="1"/>
    <n v="62"/>
    <x v="0"/>
    <x v="1"/>
    <n v="70.75"/>
    <n v="4263.45"/>
    <x v="0"/>
    <s v="Yes"/>
    <x v="2"/>
    <n v="4263.45"/>
    <x v="2"/>
    <s v="High Spend"/>
  </r>
  <r>
    <s v="7175-NTIXE"/>
    <s v="Female"/>
    <x v="0"/>
    <n v="25"/>
    <x v="0"/>
    <x v="1"/>
    <n v="76.150000000000006"/>
    <n v="1992.95"/>
    <x v="0"/>
    <s v="Yes"/>
    <x v="3"/>
    <n v="1992.95"/>
    <x v="1"/>
    <s v="Standard Spend"/>
  </r>
  <r>
    <s v="7963-SHNDT"/>
    <s v="Female"/>
    <x v="2"/>
    <n v="52"/>
    <x v="0"/>
    <x v="1"/>
    <n v="39.1"/>
    <n v="1982.1"/>
    <x v="0"/>
    <s v="No"/>
    <x v="1"/>
    <n v="1982.1"/>
    <x v="2"/>
    <s v="Standard Spend"/>
  </r>
  <r>
    <s v="9796-BPKIW"/>
    <s v="Male"/>
    <x v="0"/>
    <n v="8"/>
    <x v="1"/>
    <x v="0"/>
    <n v="69.95"/>
    <n v="562.70000000000005"/>
    <x v="0"/>
    <s v="Yes"/>
    <x v="3"/>
    <n v="562.70000000000005"/>
    <x v="0"/>
    <s v="Standard Spend"/>
  </r>
  <r>
    <s v="0188-GWFLE"/>
    <s v="Male"/>
    <x v="0"/>
    <n v="2"/>
    <x v="2"/>
    <x v="2"/>
    <n v="20.05"/>
    <n v="33.700000000000003"/>
    <x v="0"/>
    <s v="No"/>
    <x v="1"/>
    <n v="33.700000000000003"/>
    <x v="0"/>
    <s v="Standard Spend"/>
  </r>
  <r>
    <s v="8129-GMVGI"/>
    <s v="Female"/>
    <x v="2"/>
    <n v="56"/>
    <x v="2"/>
    <x v="2"/>
    <n v="20.05"/>
    <n v="1090.0999999999999"/>
    <x v="0"/>
    <s v="No"/>
    <x v="1"/>
    <n v="1090.0999999999999"/>
    <x v="2"/>
    <s v="Standard Spend"/>
  </r>
  <r>
    <s v="2882-DDZPG"/>
    <s v="Female"/>
    <x v="0"/>
    <n v="12"/>
    <x v="2"/>
    <x v="2"/>
    <n v="19.45"/>
    <n v="227.45"/>
    <x v="0"/>
    <s v="No"/>
    <x v="2"/>
    <n v="227.45"/>
    <x v="0"/>
    <s v="Standard Spend"/>
  </r>
  <r>
    <s v="3547-LQRIK"/>
    <s v="Female"/>
    <x v="1"/>
    <n v="47"/>
    <x v="2"/>
    <x v="2"/>
    <n v="26.9"/>
    <n v="1250.8499999999999"/>
    <x v="0"/>
    <s v="No"/>
    <x v="0"/>
    <n v="1250.8499999999999"/>
    <x v="2"/>
    <s v="Standard Spend"/>
  </r>
  <r>
    <s v="9137-NOQKA"/>
    <s v="Male"/>
    <x v="0"/>
    <n v="2"/>
    <x v="2"/>
    <x v="2"/>
    <n v="19.2"/>
    <n v="37.200000000000003"/>
    <x v="0"/>
    <s v="No"/>
    <x v="0"/>
    <n v="37.200000000000003"/>
    <x v="0"/>
    <s v="Standard Spend"/>
  </r>
  <r>
    <s v="5843-TTHGI"/>
    <s v="Female"/>
    <x v="0"/>
    <n v="18"/>
    <x v="0"/>
    <x v="0"/>
    <n v="50"/>
    <n v="892.7"/>
    <x v="0"/>
    <s v="Yes"/>
    <x v="1"/>
    <n v="892.7"/>
    <x v="1"/>
    <s v="Standard Spend"/>
  </r>
  <r>
    <s v="1849-RJYIG"/>
    <s v="Female"/>
    <x v="0"/>
    <n v="8"/>
    <x v="0"/>
    <x v="0"/>
    <n v="60"/>
    <n v="487.75"/>
    <x v="0"/>
    <s v="Yes"/>
    <x v="0"/>
    <n v="487.75"/>
    <x v="0"/>
    <s v="Standard Spend"/>
  </r>
  <r>
    <s v="8868-GAGIO"/>
    <s v="Male"/>
    <x v="0"/>
    <n v="45"/>
    <x v="1"/>
    <x v="0"/>
    <n v="84.55"/>
    <n v="3713.95"/>
    <x v="0"/>
    <s v="Yes"/>
    <x v="1"/>
    <n v="3713.95"/>
    <x v="2"/>
    <s v="High Spend"/>
  </r>
  <r>
    <s v="4061-UKJWL"/>
    <s v="Male"/>
    <x v="0"/>
    <n v="3"/>
    <x v="0"/>
    <x v="0"/>
    <n v="45.45"/>
    <n v="141.69999999999999"/>
    <x v="0"/>
    <s v="No"/>
    <x v="1"/>
    <n v="141.69999999999999"/>
    <x v="0"/>
    <s v="Standard Spend"/>
  </r>
  <r>
    <s v="5380-XPJNZ"/>
    <s v="Female"/>
    <x v="1"/>
    <n v="38"/>
    <x v="2"/>
    <x v="2"/>
    <n v="20.05"/>
    <n v="678.2"/>
    <x v="0"/>
    <s v="No"/>
    <x v="1"/>
    <n v="678.2"/>
    <x v="2"/>
    <s v="Standard Spend"/>
  </r>
  <r>
    <s v="8263-QMNTJ"/>
    <s v="Male"/>
    <x v="2"/>
    <n v="72"/>
    <x v="1"/>
    <x v="1"/>
    <n v="115.55"/>
    <n v="8425.2999999999993"/>
    <x v="0"/>
    <s v="Yes"/>
    <x v="0"/>
    <n v="8425.2999999999993"/>
    <x v="2"/>
    <s v="High Spend"/>
  </r>
  <r>
    <s v="8178-EYZUO"/>
    <s v="Male"/>
    <x v="0"/>
    <n v="46"/>
    <x v="1"/>
    <x v="0"/>
    <n v="93.7"/>
    <n v="4154.8"/>
    <x v="1"/>
    <s v="Yes"/>
    <x v="0"/>
    <n v="4154.8"/>
    <x v="2"/>
    <s v="High Spend"/>
  </r>
  <r>
    <s v="3230-JCNZS"/>
    <s v="Female"/>
    <x v="2"/>
    <n v="71"/>
    <x v="1"/>
    <x v="0"/>
    <n v="99"/>
    <n v="7061.65"/>
    <x v="0"/>
    <s v="Yes"/>
    <x v="3"/>
    <n v="7061.65"/>
    <x v="2"/>
    <s v="High Spend"/>
  </r>
  <r>
    <s v="0277-ORXQS"/>
    <s v="Male"/>
    <x v="2"/>
    <n v="66"/>
    <x v="0"/>
    <x v="1"/>
    <n v="50.55"/>
    <n v="3364.55"/>
    <x v="0"/>
    <s v="No"/>
    <x v="2"/>
    <n v="3364.55"/>
    <x v="2"/>
    <s v="High Spend"/>
  </r>
  <r>
    <s v="5130-IEKQT"/>
    <s v="Male"/>
    <x v="0"/>
    <n v="25"/>
    <x v="1"/>
    <x v="0"/>
    <n v="105.95"/>
    <n v="2655.25"/>
    <x v="1"/>
    <s v="No"/>
    <x v="1"/>
    <n v="2655.25"/>
    <x v="1"/>
    <s v="High Spend"/>
  </r>
  <r>
    <s v="3230-WYKIR"/>
    <s v="Male"/>
    <x v="1"/>
    <n v="18"/>
    <x v="0"/>
    <x v="1"/>
    <n v="82"/>
    <n v="1425.45"/>
    <x v="1"/>
    <s v="Yes"/>
    <x v="3"/>
    <n v="1425.45"/>
    <x v="1"/>
    <s v="Standard Spend"/>
  </r>
  <r>
    <s v="7996-BPXHY"/>
    <s v="Female"/>
    <x v="2"/>
    <n v="13"/>
    <x v="2"/>
    <x v="2"/>
    <n v="25"/>
    <n v="332.5"/>
    <x v="0"/>
    <s v="Yes"/>
    <x v="2"/>
    <n v="332.5"/>
    <x v="1"/>
    <s v="Standard Spend"/>
  </r>
  <r>
    <s v="3227-WLKLI"/>
    <s v="Female"/>
    <x v="2"/>
    <n v="65"/>
    <x v="0"/>
    <x v="1"/>
    <n v="91.55"/>
    <n v="5963.95"/>
    <x v="0"/>
    <s v="No"/>
    <x v="2"/>
    <n v="5963.95"/>
    <x v="2"/>
    <s v="High Spend"/>
  </r>
  <r>
    <s v="0407-BDJKB"/>
    <s v="Male"/>
    <x v="0"/>
    <n v="60"/>
    <x v="1"/>
    <x v="0"/>
    <n v="95.75"/>
    <n v="5742.9"/>
    <x v="1"/>
    <s v="Yes"/>
    <x v="0"/>
    <n v="5742.9"/>
    <x v="2"/>
    <s v="High Spend"/>
  </r>
  <r>
    <s v="2266-FUBDZ"/>
    <s v="Male"/>
    <x v="2"/>
    <n v="15"/>
    <x v="2"/>
    <x v="2"/>
    <n v="19.350000000000001"/>
    <n v="278.85000000000002"/>
    <x v="0"/>
    <s v="No"/>
    <x v="1"/>
    <n v="278.85000000000002"/>
    <x v="1"/>
    <s v="Standard Spend"/>
  </r>
  <r>
    <s v="8237-ULIXL"/>
    <s v="Female"/>
    <x v="2"/>
    <n v="72"/>
    <x v="2"/>
    <x v="2"/>
    <n v="24.85"/>
    <n v="1871.85"/>
    <x v="0"/>
    <s v="No"/>
    <x v="3"/>
    <n v="1871.85"/>
    <x v="2"/>
    <s v="Standard Spend"/>
  </r>
  <r>
    <s v="9600-UDOPK"/>
    <s v="Male"/>
    <x v="0"/>
    <n v="30"/>
    <x v="1"/>
    <x v="0"/>
    <n v="94.05"/>
    <n v="2866.45"/>
    <x v="1"/>
    <s v="Yes"/>
    <x v="3"/>
    <n v="2866.45"/>
    <x v="1"/>
    <s v="High Spend"/>
  </r>
  <r>
    <s v="8216-AZUUZ"/>
    <s v="Female"/>
    <x v="2"/>
    <n v="42"/>
    <x v="1"/>
    <x v="1"/>
    <n v="100.4"/>
    <n v="4303.6499999999996"/>
    <x v="0"/>
    <s v="Yes"/>
    <x v="0"/>
    <n v="4303.6499999999996"/>
    <x v="2"/>
    <s v="High Spend"/>
  </r>
  <r>
    <s v="9153-BTBVV"/>
    <s v="Female"/>
    <x v="2"/>
    <n v="71"/>
    <x v="2"/>
    <x v="2"/>
    <n v="25"/>
    <n v="1753"/>
    <x v="0"/>
    <s v="No"/>
    <x v="2"/>
    <n v="1753"/>
    <x v="2"/>
    <s v="Standard Spend"/>
  </r>
  <r>
    <s v="4074-SJFFA"/>
    <s v="Female"/>
    <x v="0"/>
    <n v="1"/>
    <x v="0"/>
    <x v="0"/>
    <n v="54.75"/>
    <n v="54.75"/>
    <x v="1"/>
    <s v="Yes"/>
    <x v="1"/>
    <n v="54.75"/>
    <x v="0"/>
    <s v="Standard Spend"/>
  </r>
  <r>
    <s v="3269-ATYWD"/>
    <s v="Male"/>
    <x v="0"/>
    <n v="39"/>
    <x v="1"/>
    <x v="0"/>
    <n v="95.65"/>
    <n v="3759.05"/>
    <x v="1"/>
    <s v="Yes"/>
    <x v="2"/>
    <n v="3759.05"/>
    <x v="2"/>
    <s v="High Spend"/>
  </r>
  <r>
    <s v="5186-PEIZU"/>
    <s v="Female"/>
    <x v="0"/>
    <n v="35"/>
    <x v="2"/>
    <x v="2"/>
    <n v="19.25"/>
    <n v="617.65"/>
    <x v="0"/>
    <s v="No"/>
    <x v="2"/>
    <n v="617.65"/>
    <x v="1"/>
    <s v="Standard Spend"/>
  </r>
  <r>
    <s v="1074-AMIOH"/>
    <s v="Female"/>
    <x v="0"/>
    <n v="53"/>
    <x v="1"/>
    <x v="1"/>
    <n v="108.25"/>
    <n v="5935.1"/>
    <x v="0"/>
    <s v="Yes"/>
    <x v="2"/>
    <n v="5935.1"/>
    <x v="2"/>
    <s v="High Spend"/>
  </r>
  <r>
    <s v="4910-GMJOT"/>
    <s v="Female"/>
    <x v="0"/>
    <n v="1"/>
    <x v="1"/>
    <x v="0"/>
    <n v="94.6"/>
    <n v="94.6"/>
    <x v="1"/>
    <s v="Yes"/>
    <x v="0"/>
    <n v="94.6"/>
    <x v="0"/>
    <s v="Standard Spend"/>
  </r>
  <r>
    <s v="0354-WYROK"/>
    <s v="Female"/>
    <x v="0"/>
    <n v="31"/>
    <x v="1"/>
    <x v="1"/>
    <n v="98.9"/>
    <n v="2911.3"/>
    <x v="1"/>
    <s v="Yes"/>
    <x v="0"/>
    <n v="2911.3"/>
    <x v="1"/>
    <s v="High Spend"/>
  </r>
  <r>
    <s v="4361-FEBGN"/>
    <s v="Male"/>
    <x v="2"/>
    <n v="48"/>
    <x v="2"/>
    <x v="2"/>
    <n v="20.149999999999999"/>
    <n v="982.95"/>
    <x v="0"/>
    <s v="No"/>
    <x v="3"/>
    <n v="982.95"/>
    <x v="2"/>
    <s v="Standard Spend"/>
  </r>
  <r>
    <s v="7748-UMTRK"/>
    <s v="Female"/>
    <x v="0"/>
    <n v="30"/>
    <x v="1"/>
    <x v="1"/>
    <n v="101.3"/>
    <n v="2974.5"/>
    <x v="0"/>
    <s v="Yes"/>
    <x v="0"/>
    <n v="2974.5"/>
    <x v="1"/>
    <s v="High Spend"/>
  </r>
  <r>
    <s v="0380-ZCSBI"/>
    <s v="Male"/>
    <x v="0"/>
    <n v="10"/>
    <x v="2"/>
    <x v="2"/>
    <n v="20"/>
    <n v="198.7"/>
    <x v="0"/>
    <s v="No"/>
    <x v="3"/>
    <n v="198.7"/>
    <x v="0"/>
    <s v="Standard Spend"/>
  </r>
  <r>
    <s v="7145-FEJWU"/>
    <s v="Female"/>
    <x v="0"/>
    <n v="12"/>
    <x v="1"/>
    <x v="0"/>
    <n v="105.3"/>
    <n v="1275.6500000000001"/>
    <x v="0"/>
    <s v="Yes"/>
    <x v="0"/>
    <n v="1275.6500000000001"/>
    <x v="0"/>
    <s v="Standard Spend"/>
  </r>
  <r>
    <s v="6463-MVYRY"/>
    <s v="Female"/>
    <x v="2"/>
    <n v="57"/>
    <x v="0"/>
    <x v="1"/>
    <n v="69.849999999999994"/>
    <n v="4003"/>
    <x v="0"/>
    <s v="No"/>
    <x v="2"/>
    <n v="4003"/>
    <x v="2"/>
    <s v="High Spend"/>
  </r>
  <r>
    <s v="3969-JQABI"/>
    <s v="Female"/>
    <x v="0"/>
    <n v="58"/>
    <x v="0"/>
    <x v="0"/>
    <n v="65.25"/>
    <n v="3791.6"/>
    <x v="0"/>
    <s v="Yes"/>
    <x v="3"/>
    <n v="3791.6"/>
    <x v="2"/>
    <s v="High Spend"/>
  </r>
  <r>
    <s v="9624-EGDEQ"/>
    <s v="Female"/>
    <x v="2"/>
    <n v="37"/>
    <x v="2"/>
    <x v="2"/>
    <n v="19.8"/>
    <n v="813.3"/>
    <x v="0"/>
    <s v="No"/>
    <x v="1"/>
    <n v="813.3"/>
    <x v="2"/>
    <s v="Standard Spend"/>
  </r>
  <r>
    <s v="1051-EQPZR"/>
    <s v="Female"/>
    <x v="0"/>
    <n v="44"/>
    <x v="2"/>
    <x v="2"/>
    <n v="19.600000000000001"/>
    <n v="780.25"/>
    <x v="0"/>
    <s v="No"/>
    <x v="1"/>
    <n v="780.25"/>
    <x v="2"/>
    <s v="Standard Spend"/>
  </r>
  <r>
    <s v="5849-ASHZJ"/>
    <s v="Male"/>
    <x v="1"/>
    <n v="27"/>
    <x v="2"/>
    <x v="2"/>
    <n v="20.05"/>
    <n v="552.9"/>
    <x v="0"/>
    <s v="No"/>
    <x v="3"/>
    <n v="552.9"/>
    <x v="1"/>
    <s v="Standard Spend"/>
  </r>
  <r>
    <s v="5780-INQIK"/>
    <s v="Female"/>
    <x v="0"/>
    <n v="8"/>
    <x v="0"/>
    <x v="1"/>
    <n v="49.4"/>
    <n v="408.25"/>
    <x v="0"/>
    <s v="No"/>
    <x v="0"/>
    <n v="408.25"/>
    <x v="0"/>
    <s v="Standard Spend"/>
  </r>
  <r>
    <s v="7576-OYWBN"/>
    <s v="Male"/>
    <x v="0"/>
    <n v="3"/>
    <x v="1"/>
    <x v="0"/>
    <n v="76.05"/>
    <n v="231.8"/>
    <x v="1"/>
    <s v="Yes"/>
    <x v="0"/>
    <n v="231.8"/>
    <x v="0"/>
    <s v="Standard Spend"/>
  </r>
  <r>
    <s v="4526-ZJJTM"/>
    <s v="Female"/>
    <x v="0"/>
    <n v="25"/>
    <x v="1"/>
    <x v="0"/>
    <n v="88.4"/>
    <n v="2191.15"/>
    <x v="0"/>
    <s v="No"/>
    <x v="2"/>
    <n v="2191.15"/>
    <x v="1"/>
    <s v="Standard Spend"/>
  </r>
  <r>
    <s v="8384-FZBJK"/>
    <s v="Female"/>
    <x v="0"/>
    <n v="57"/>
    <x v="1"/>
    <x v="0"/>
    <n v="100.6"/>
    <n v="5611.7"/>
    <x v="0"/>
    <s v="Yes"/>
    <x v="0"/>
    <n v="5611.7"/>
    <x v="2"/>
    <s v="High Spend"/>
  </r>
  <r>
    <s v="3750-RNQKR"/>
    <s v="Female"/>
    <x v="0"/>
    <n v="12"/>
    <x v="2"/>
    <x v="2"/>
    <n v="19.45"/>
    <n v="246.25"/>
    <x v="0"/>
    <s v="No"/>
    <x v="1"/>
    <n v="246.25"/>
    <x v="0"/>
    <s v="Standard Spend"/>
  </r>
  <r>
    <s v="0962-CQPWQ"/>
    <s v="Female"/>
    <x v="2"/>
    <n v="62"/>
    <x v="2"/>
    <x v="2"/>
    <n v="20.3"/>
    <n v="1296.1500000000001"/>
    <x v="0"/>
    <s v="No"/>
    <x v="2"/>
    <n v="1296.1500000000001"/>
    <x v="2"/>
    <s v="Standard Spend"/>
  </r>
  <r>
    <s v="3096-YXENJ"/>
    <s v="Female"/>
    <x v="2"/>
    <n v="65"/>
    <x v="1"/>
    <x v="1"/>
    <n v="107.65"/>
    <n v="7082.85"/>
    <x v="0"/>
    <s v="Yes"/>
    <x v="2"/>
    <n v="7082.85"/>
    <x v="2"/>
    <s v="High Spend"/>
  </r>
  <r>
    <s v="1265-BCFEO"/>
    <s v="Female"/>
    <x v="2"/>
    <n v="71"/>
    <x v="0"/>
    <x v="1"/>
    <n v="80.45"/>
    <n v="5662.25"/>
    <x v="0"/>
    <s v="Yes"/>
    <x v="2"/>
    <n v="5662.25"/>
    <x v="2"/>
    <s v="High Spend"/>
  </r>
  <r>
    <s v="5837-LXSDN"/>
    <s v="Female"/>
    <x v="1"/>
    <n v="21"/>
    <x v="0"/>
    <x v="0"/>
    <n v="58.85"/>
    <n v="1215.45"/>
    <x v="0"/>
    <s v="Yes"/>
    <x v="3"/>
    <n v="1215.45"/>
    <x v="1"/>
    <s v="Standard Spend"/>
  </r>
  <r>
    <s v="5945-AZYHT"/>
    <s v="Male"/>
    <x v="1"/>
    <n v="71"/>
    <x v="1"/>
    <x v="0"/>
    <n v="109.6"/>
    <n v="7854.15"/>
    <x v="0"/>
    <s v="Yes"/>
    <x v="0"/>
    <n v="7854.15"/>
    <x v="2"/>
    <s v="High Spend"/>
  </r>
  <r>
    <s v="8325-QRPZR"/>
    <s v="Female"/>
    <x v="0"/>
    <n v="7"/>
    <x v="1"/>
    <x v="0"/>
    <n v="75.150000000000006"/>
    <n v="525"/>
    <x v="0"/>
    <s v="Yes"/>
    <x v="0"/>
    <n v="525"/>
    <x v="0"/>
    <s v="Standard Spend"/>
  </r>
  <r>
    <s v="6384-VMJHP"/>
    <s v="Female"/>
    <x v="2"/>
    <n v="72"/>
    <x v="0"/>
    <x v="1"/>
    <n v="73"/>
    <n v="5265.2"/>
    <x v="0"/>
    <s v="Yes"/>
    <x v="3"/>
    <n v="5265.2"/>
    <x v="2"/>
    <s v="High Spend"/>
  </r>
  <r>
    <s v="2262-SLNVK"/>
    <s v="Female"/>
    <x v="0"/>
    <n v="1"/>
    <x v="1"/>
    <x v="0"/>
    <n v="70.099999999999994"/>
    <n v="70.099999999999994"/>
    <x v="0"/>
    <s v="No"/>
    <x v="0"/>
    <n v="70.099999999999994"/>
    <x v="0"/>
    <s v="Standard Spend"/>
  </r>
  <r>
    <s v="7730-CLDSV"/>
    <s v="Female"/>
    <x v="2"/>
    <n v="72"/>
    <x v="1"/>
    <x v="1"/>
    <n v="98.65"/>
    <n v="7129.45"/>
    <x v="0"/>
    <s v="Yes"/>
    <x v="2"/>
    <n v="7129.45"/>
    <x v="2"/>
    <s v="High Spend"/>
  </r>
  <r>
    <s v="1135-HIORI"/>
    <s v="Female"/>
    <x v="1"/>
    <n v="64"/>
    <x v="1"/>
    <x v="1"/>
    <n v="111.45"/>
    <n v="7266.95"/>
    <x v="0"/>
    <s v="Yes"/>
    <x v="0"/>
    <n v="7266.95"/>
    <x v="2"/>
    <s v="High Spend"/>
  </r>
  <r>
    <s v="0164-APGRB"/>
    <s v="Female"/>
    <x v="2"/>
    <n v="72"/>
    <x v="1"/>
    <x v="1"/>
    <n v="114.9"/>
    <n v="8496.7000000000007"/>
    <x v="0"/>
    <s v="Yes"/>
    <x v="0"/>
    <n v="8496.7000000000007"/>
    <x v="2"/>
    <s v="High Spend"/>
  </r>
  <r>
    <s v="6481-ESCNL"/>
    <s v="Female"/>
    <x v="0"/>
    <n v="29"/>
    <x v="1"/>
    <x v="0"/>
    <n v="100.55"/>
    <n v="2878.75"/>
    <x v="0"/>
    <s v="No"/>
    <x v="2"/>
    <n v="2878.75"/>
    <x v="1"/>
    <s v="High Spend"/>
  </r>
  <r>
    <s v="1790-NESIO"/>
    <s v="Female"/>
    <x v="2"/>
    <n v="13"/>
    <x v="2"/>
    <x v="2"/>
    <n v="20.399999999999999"/>
    <n v="261.3"/>
    <x v="0"/>
    <s v="Yes"/>
    <x v="1"/>
    <n v="261.3"/>
    <x v="1"/>
    <s v="Standard Spend"/>
  </r>
  <r>
    <s v="1550-EENBN"/>
    <s v="Female"/>
    <x v="0"/>
    <n v="31"/>
    <x v="1"/>
    <x v="0"/>
    <n v="104.35"/>
    <n v="3205.6"/>
    <x v="0"/>
    <s v="No"/>
    <x v="0"/>
    <n v="3205.6"/>
    <x v="1"/>
    <s v="High Spend"/>
  </r>
  <r>
    <s v="5539-TMZLF"/>
    <s v="Male"/>
    <x v="0"/>
    <n v="1"/>
    <x v="1"/>
    <x v="0"/>
    <n v="69.75"/>
    <n v="69.75"/>
    <x v="1"/>
    <s v="Yes"/>
    <x v="0"/>
    <n v="69.75"/>
    <x v="0"/>
    <s v="Standard Spend"/>
  </r>
  <r>
    <s v="4323-SADQS"/>
    <s v="Male"/>
    <x v="0"/>
    <n v="7"/>
    <x v="0"/>
    <x v="1"/>
    <n v="34.5"/>
    <n v="279.25"/>
    <x v="1"/>
    <s v="Yes"/>
    <x v="0"/>
    <n v="279.25"/>
    <x v="0"/>
    <s v="Standard Spend"/>
  </r>
  <r>
    <s v="4446-BZKHU"/>
    <s v="Male"/>
    <x v="0"/>
    <n v="61"/>
    <x v="1"/>
    <x v="0"/>
    <n v="105.55"/>
    <n v="6281.45"/>
    <x v="1"/>
    <s v="Yes"/>
    <x v="0"/>
    <n v="6281.45"/>
    <x v="2"/>
    <s v="High Spend"/>
  </r>
  <r>
    <s v="5202-IVJNU"/>
    <s v="Female"/>
    <x v="0"/>
    <n v="39"/>
    <x v="0"/>
    <x v="0"/>
    <n v="30.1"/>
    <n v="1131.3"/>
    <x v="1"/>
    <s v="No"/>
    <x v="3"/>
    <n v="1131.3"/>
    <x v="2"/>
    <s v="Standard Spend"/>
  </r>
  <r>
    <s v="5976-JCJRH"/>
    <s v="Male"/>
    <x v="0"/>
    <n v="10"/>
    <x v="1"/>
    <x v="0"/>
    <n v="70.3"/>
    <n v="738.2"/>
    <x v="1"/>
    <s v="Yes"/>
    <x v="0"/>
    <n v="738.2"/>
    <x v="0"/>
    <s v="Standard Spend"/>
  </r>
  <r>
    <s v="8198-RKSZG"/>
    <s v="Female"/>
    <x v="0"/>
    <n v="14"/>
    <x v="0"/>
    <x v="1"/>
    <n v="80.45"/>
    <n v="1137.05"/>
    <x v="0"/>
    <s v="No"/>
    <x v="3"/>
    <n v="1137.05"/>
    <x v="1"/>
    <s v="Standard Spend"/>
  </r>
  <r>
    <s v="0137-OCGAB"/>
    <s v="Female"/>
    <x v="0"/>
    <n v="1"/>
    <x v="1"/>
    <x v="0"/>
    <n v="80.2"/>
    <n v="80.2"/>
    <x v="1"/>
    <s v="Yes"/>
    <x v="1"/>
    <n v="80.2"/>
    <x v="0"/>
    <s v="Standard Spend"/>
  </r>
  <r>
    <s v="3351-NQLDI"/>
    <s v="Female"/>
    <x v="1"/>
    <n v="67"/>
    <x v="1"/>
    <x v="1"/>
    <n v="94.35"/>
    <n v="6341.45"/>
    <x v="1"/>
    <s v="Yes"/>
    <x v="3"/>
    <n v="6341.45"/>
    <x v="2"/>
    <s v="High Spend"/>
  </r>
  <r>
    <s v="9297-EONCV"/>
    <s v="Female"/>
    <x v="2"/>
    <n v="72"/>
    <x v="0"/>
    <x v="1"/>
    <n v="91.35"/>
    <n v="6697.2"/>
    <x v="0"/>
    <s v="Yes"/>
    <x v="2"/>
    <n v="6697.2"/>
    <x v="2"/>
    <s v="High Spend"/>
  </r>
  <r>
    <s v="7593-JNWRU"/>
    <s v="Male"/>
    <x v="0"/>
    <n v="6"/>
    <x v="0"/>
    <x v="0"/>
    <n v="44.6"/>
    <n v="260.8"/>
    <x v="1"/>
    <s v="Yes"/>
    <x v="2"/>
    <n v="260.8"/>
    <x v="0"/>
    <s v="Standard Spend"/>
  </r>
  <r>
    <s v="4588-YBNIB"/>
    <s v="Female"/>
    <x v="0"/>
    <n v="1"/>
    <x v="2"/>
    <x v="2"/>
    <n v="19.600000000000001"/>
    <n v="19.600000000000001"/>
    <x v="1"/>
    <s v="Yes"/>
    <x v="1"/>
    <n v="19.600000000000001"/>
    <x v="0"/>
    <s v="Standard Spend"/>
  </r>
  <r>
    <s v="1069-QJOEE"/>
    <s v="Male"/>
    <x v="1"/>
    <n v="25"/>
    <x v="2"/>
    <x v="2"/>
    <n v="19.899999999999999"/>
    <n v="505.45"/>
    <x v="0"/>
    <s v="No"/>
    <x v="0"/>
    <n v="505.45"/>
    <x v="1"/>
    <s v="Standard Spend"/>
  </r>
  <r>
    <s v="3336-JORSO"/>
    <s v="Female"/>
    <x v="0"/>
    <n v="33"/>
    <x v="1"/>
    <x v="1"/>
    <n v="110.45"/>
    <n v="3655.45"/>
    <x v="1"/>
    <s v="Yes"/>
    <x v="0"/>
    <n v="3655.45"/>
    <x v="1"/>
    <s v="High Spend"/>
  </r>
  <r>
    <s v="7799-DSEWS"/>
    <s v="Male"/>
    <x v="0"/>
    <n v="18"/>
    <x v="0"/>
    <x v="1"/>
    <n v="68.349999999999994"/>
    <n v="1299.8"/>
    <x v="0"/>
    <s v="Yes"/>
    <x v="0"/>
    <n v="1299.8"/>
    <x v="1"/>
    <s v="Standard Spend"/>
  </r>
  <r>
    <s v="8766-PAFNE"/>
    <s v="Male"/>
    <x v="2"/>
    <n v="71"/>
    <x v="0"/>
    <x v="1"/>
    <n v="79.099999999999994"/>
    <n v="5564.85"/>
    <x v="0"/>
    <s v="Yes"/>
    <x v="3"/>
    <n v="5564.85"/>
    <x v="2"/>
    <s v="High Spend"/>
  </r>
  <r>
    <s v="5315-CKEQK"/>
    <s v="Male"/>
    <x v="1"/>
    <n v="28"/>
    <x v="0"/>
    <x v="0"/>
    <n v="51"/>
    <n v="1381.8"/>
    <x v="0"/>
    <s v="Yes"/>
    <x v="0"/>
    <n v="1381.8"/>
    <x v="1"/>
    <s v="Standard Spend"/>
  </r>
  <r>
    <s v="3130-ICDUP"/>
    <s v="Female"/>
    <x v="0"/>
    <n v="2"/>
    <x v="1"/>
    <x v="0"/>
    <n v="80.55"/>
    <n v="188.1"/>
    <x v="0"/>
    <s v="No"/>
    <x v="3"/>
    <n v="188.1"/>
    <x v="0"/>
    <s v="Standard Spend"/>
  </r>
  <r>
    <s v="0820-FNRNX"/>
    <s v="Male"/>
    <x v="0"/>
    <n v="17"/>
    <x v="0"/>
    <x v="1"/>
    <n v="66.7"/>
    <n v="1077.05"/>
    <x v="0"/>
    <s v="Yes"/>
    <x v="1"/>
    <n v="1077.05"/>
    <x v="1"/>
    <s v="Standard Spend"/>
  </r>
  <r>
    <s v="0880-FVFWF"/>
    <s v="Male"/>
    <x v="0"/>
    <n v="56"/>
    <x v="1"/>
    <x v="0"/>
    <n v="86.4"/>
    <n v="4922.3999999999996"/>
    <x v="0"/>
    <s v="Yes"/>
    <x v="0"/>
    <n v="4922.3999999999996"/>
    <x v="2"/>
    <s v="High Spend"/>
  </r>
  <r>
    <s v="4611-ANLQC"/>
    <s v="Female"/>
    <x v="1"/>
    <n v="60"/>
    <x v="0"/>
    <x v="0"/>
    <n v="50.05"/>
    <n v="2911.5"/>
    <x v="0"/>
    <s v="No"/>
    <x v="0"/>
    <n v="2911.5"/>
    <x v="2"/>
    <s v="High Spend"/>
  </r>
  <r>
    <s v="4213-HKBJO"/>
    <s v="Female"/>
    <x v="2"/>
    <n v="33"/>
    <x v="2"/>
    <x v="2"/>
    <n v="25.7"/>
    <n v="826.1"/>
    <x v="0"/>
    <s v="No"/>
    <x v="3"/>
    <n v="826.1"/>
    <x v="1"/>
    <s v="Standard Spend"/>
  </r>
  <r>
    <s v="2792-LSHWX"/>
    <s v="Female"/>
    <x v="0"/>
    <n v="1"/>
    <x v="1"/>
    <x v="1"/>
    <n v="83.4"/>
    <n v="83.4"/>
    <x v="0"/>
    <s v="Yes"/>
    <x v="1"/>
    <n v="83.4"/>
    <x v="0"/>
    <s v="Standard Spend"/>
  </r>
  <r>
    <s v="5028-GZLDO"/>
    <s v="Male"/>
    <x v="0"/>
    <n v="2"/>
    <x v="1"/>
    <x v="0"/>
    <n v="70.7"/>
    <n v="140.69999999999999"/>
    <x v="1"/>
    <s v="No"/>
    <x v="3"/>
    <n v="140.69999999999999"/>
    <x v="0"/>
    <s v="Standard Spend"/>
  </r>
  <r>
    <s v="0014-BMAQU"/>
    <s v="Male"/>
    <x v="2"/>
    <n v="63"/>
    <x v="1"/>
    <x v="1"/>
    <n v="84.65"/>
    <n v="5377.8"/>
    <x v="0"/>
    <s v="Yes"/>
    <x v="3"/>
    <n v="5377.8"/>
    <x v="2"/>
    <s v="High Spend"/>
  </r>
  <r>
    <s v="6861-XWTWQ"/>
    <s v="Male"/>
    <x v="0"/>
    <n v="7"/>
    <x v="1"/>
    <x v="0"/>
    <n v="99.25"/>
    <n v="665.45"/>
    <x v="1"/>
    <s v="Yes"/>
    <x v="0"/>
    <n v="665.45"/>
    <x v="0"/>
    <s v="Standard Spend"/>
  </r>
  <r>
    <s v="9018-PCIOK"/>
    <s v="Female"/>
    <x v="2"/>
    <n v="55"/>
    <x v="0"/>
    <x v="0"/>
    <n v="64.75"/>
    <n v="3617.1"/>
    <x v="0"/>
    <s v="Yes"/>
    <x v="1"/>
    <n v="3617.1"/>
    <x v="2"/>
    <s v="High Spend"/>
  </r>
  <r>
    <s v="4837-QUSFT"/>
    <s v="Female"/>
    <x v="1"/>
    <n v="65"/>
    <x v="1"/>
    <x v="1"/>
    <n v="100.15"/>
    <n v="6643.5"/>
    <x v="0"/>
    <s v="Yes"/>
    <x v="2"/>
    <n v="6643.5"/>
    <x v="2"/>
    <s v="High Spend"/>
  </r>
  <r>
    <s v="6877-TJMBR"/>
    <s v="Male"/>
    <x v="0"/>
    <n v="1"/>
    <x v="1"/>
    <x v="1"/>
    <n v="84.8"/>
    <n v="84.8"/>
    <x v="1"/>
    <s v="Yes"/>
    <x v="0"/>
    <n v="84.8"/>
    <x v="0"/>
    <s v="Standard Spend"/>
  </r>
  <r>
    <s v="9953-ZMKSM"/>
    <s v="Male"/>
    <x v="2"/>
    <n v="63"/>
    <x v="2"/>
    <x v="2"/>
    <n v="25.25"/>
    <n v="1559.3"/>
    <x v="0"/>
    <s v="No"/>
    <x v="1"/>
    <n v="1559.3"/>
    <x v="2"/>
    <s v="Standard Spend"/>
  </r>
  <r>
    <s v="0907-HQNTS"/>
    <s v="Female"/>
    <x v="2"/>
    <n v="70"/>
    <x v="1"/>
    <x v="1"/>
    <n v="113"/>
    <n v="7987.6"/>
    <x v="0"/>
    <s v="Yes"/>
    <x v="3"/>
    <n v="7987.6"/>
    <x v="2"/>
    <s v="High Spend"/>
  </r>
  <r>
    <s v="7665-NKLAV"/>
    <s v="Female"/>
    <x v="2"/>
    <n v="36"/>
    <x v="0"/>
    <x v="1"/>
    <n v="40.65"/>
    <n v="1547.35"/>
    <x v="0"/>
    <s v="No"/>
    <x v="3"/>
    <n v="1547.35"/>
    <x v="1"/>
    <s v="Standard Spend"/>
  </r>
  <r>
    <s v="6769-DCQLI"/>
    <s v="Male"/>
    <x v="1"/>
    <n v="52"/>
    <x v="1"/>
    <x v="1"/>
    <n v="105"/>
    <n v="5426.85"/>
    <x v="1"/>
    <s v="Yes"/>
    <x v="2"/>
    <n v="5426.85"/>
    <x v="2"/>
    <s v="High Spend"/>
  </r>
  <r>
    <s v="2433-KMEAS"/>
    <s v="Male"/>
    <x v="0"/>
    <n v="22"/>
    <x v="0"/>
    <x v="0"/>
    <n v="54.45"/>
    <n v="1127.3499999999999"/>
    <x v="1"/>
    <s v="Yes"/>
    <x v="0"/>
    <n v="1127.3499999999999"/>
    <x v="1"/>
    <s v="Standard Spend"/>
  </r>
  <r>
    <s v="4391-LNRXK"/>
    <s v="Male"/>
    <x v="0"/>
    <n v="22"/>
    <x v="1"/>
    <x v="1"/>
    <n v="94.95"/>
    <n v="2142.8000000000002"/>
    <x v="0"/>
    <s v="Yes"/>
    <x v="2"/>
    <n v="2142.8000000000002"/>
    <x v="1"/>
    <s v="Standard Spend"/>
  </r>
  <r>
    <s v="8250-ZNGGW"/>
    <s v="Female"/>
    <x v="0"/>
    <n v="5"/>
    <x v="0"/>
    <x v="1"/>
    <n v="59.9"/>
    <n v="287.85000000000002"/>
    <x v="0"/>
    <s v="No"/>
    <x v="3"/>
    <n v="287.85000000000002"/>
    <x v="0"/>
    <s v="Standard Spend"/>
  </r>
  <r>
    <s v="2195-ZRVAX"/>
    <s v="Female"/>
    <x v="0"/>
    <n v="47"/>
    <x v="1"/>
    <x v="0"/>
    <n v="85.3"/>
    <n v="4045.65"/>
    <x v="1"/>
    <s v="Yes"/>
    <x v="0"/>
    <n v="4045.65"/>
    <x v="2"/>
    <s v="High Spend"/>
  </r>
  <r>
    <s v="3550-SAHFP"/>
    <s v="Female"/>
    <x v="0"/>
    <n v="33"/>
    <x v="1"/>
    <x v="0"/>
    <n v="83.35"/>
    <n v="2757.85"/>
    <x v="1"/>
    <s v="Yes"/>
    <x v="0"/>
    <n v="2757.85"/>
    <x v="1"/>
    <s v="High Spend"/>
  </r>
  <r>
    <s v="2011-TRQYE"/>
    <s v="Male"/>
    <x v="0"/>
    <n v="18"/>
    <x v="0"/>
    <x v="0"/>
    <n v="33.5"/>
    <n v="600"/>
    <x v="1"/>
    <s v="Yes"/>
    <x v="3"/>
    <n v="600"/>
    <x v="1"/>
    <s v="Standard Spend"/>
  </r>
  <r>
    <s v="8562-GHPPI"/>
    <s v="Female"/>
    <x v="0"/>
    <n v="1"/>
    <x v="2"/>
    <x v="2"/>
    <n v="19.8"/>
    <n v="19.8"/>
    <x v="0"/>
    <s v="No"/>
    <x v="3"/>
    <n v="19.8"/>
    <x v="0"/>
    <s v="Standard Spend"/>
  </r>
  <r>
    <s v="5893-PYOLZ"/>
    <s v="Male"/>
    <x v="2"/>
    <n v="56"/>
    <x v="0"/>
    <x v="1"/>
    <n v="81.8"/>
    <n v="4534.45"/>
    <x v="0"/>
    <s v="Yes"/>
    <x v="3"/>
    <n v="4534.45"/>
    <x v="2"/>
    <s v="High Spend"/>
  </r>
  <r>
    <s v="4986-MXSFP"/>
    <s v="Female"/>
    <x v="0"/>
    <n v="2"/>
    <x v="2"/>
    <x v="2"/>
    <n v="20"/>
    <n v="40.9"/>
    <x v="0"/>
    <s v="Yes"/>
    <x v="1"/>
    <n v="40.9"/>
    <x v="0"/>
    <s v="Standard Spend"/>
  </r>
  <r>
    <s v="6131-FOYAS"/>
    <s v="Male"/>
    <x v="0"/>
    <n v="35"/>
    <x v="0"/>
    <x v="0"/>
    <n v="59.6"/>
    <n v="2094.9"/>
    <x v="0"/>
    <s v="Yes"/>
    <x v="0"/>
    <n v="2094.9"/>
    <x v="1"/>
    <s v="Standard Spend"/>
  </r>
  <r>
    <s v="3027-YNWZU"/>
    <s v="Female"/>
    <x v="2"/>
    <n v="64"/>
    <x v="2"/>
    <x v="2"/>
    <n v="25"/>
    <n v="1584.8"/>
    <x v="0"/>
    <s v="No"/>
    <x v="3"/>
    <n v="1584.8"/>
    <x v="2"/>
    <s v="Standard Spend"/>
  </r>
  <r>
    <s v="5609-IMCGG"/>
    <s v="Female"/>
    <x v="0"/>
    <n v="15"/>
    <x v="1"/>
    <x v="0"/>
    <n v="84.35"/>
    <n v="1302.6500000000001"/>
    <x v="0"/>
    <s v="Yes"/>
    <x v="3"/>
    <n v="1302.6500000000001"/>
    <x v="1"/>
    <s v="Standard Spend"/>
  </r>
  <r>
    <s v="4873-ILOLJ"/>
    <s v="Male"/>
    <x v="0"/>
    <n v="24"/>
    <x v="1"/>
    <x v="0"/>
    <n v="90.35"/>
    <n v="2238.5"/>
    <x v="1"/>
    <s v="Yes"/>
    <x v="0"/>
    <n v="2238.5"/>
    <x v="1"/>
    <s v="Standard Spend"/>
  </r>
  <r>
    <s v="4727-MCYZG"/>
    <s v="Male"/>
    <x v="0"/>
    <n v="1"/>
    <x v="0"/>
    <x v="0"/>
    <n v="55.55"/>
    <n v="55.55"/>
    <x v="0"/>
    <s v="No"/>
    <x v="1"/>
    <n v="55.55"/>
    <x v="0"/>
    <s v="Standard Spend"/>
  </r>
  <r>
    <s v="9481-WHGWY"/>
    <s v="Female"/>
    <x v="2"/>
    <n v="70"/>
    <x v="0"/>
    <x v="1"/>
    <n v="75.349999999999994"/>
    <n v="5437.75"/>
    <x v="0"/>
    <s v="No"/>
    <x v="3"/>
    <n v="5437.75"/>
    <x v="2"/>
    <s v="High Spend"/>
  </r>
  <r>
    <s v="2725-KXXWT"/>
    <s v="Male"/>
    <x v="0"/>
    <n v="1"/>
    <x v="1"/>
    <x v="0"/>
    <n v="90.75"/>
    <n v="90.75"/>
    <x v="1"/>
    <s v="Yes"/>
    <x v="0"/>
    <n v="90.75"/>
    <x v="0"/>
    <s v="Standard Spend"/>
  </r>
  <r>
    <s v="9565-DJPIB"/>
    <s v="Female"/>
    <x v="0"/>
    <n v="4"/>
    <x v="1"/>
    <x v="0"/>
    <n v="89.6"/>
    <n v="365.65"/>
    <x v="1"/>
    <s v="No"/>
    <x v="1"/>
    <n v="365.65"/>
    <x v="0"/>
    <s v="Standard Spend"/>
  </r>
  <r>
    <s v="4328-VUFWD"/>
    <s v="Female"/>
    <x v="1"/>
    <n v="39"/>
    <x v="0"/>
    <x v="1"/>
    <n v="59.3"/>
    <n v="2209.15"/>
    <x v="0"/>
    <s v="No"/>
    <x v="0"/>
    <n v="2209.15"/>
    <x v="2"/>
    <s v="Standard Spend"/>
  </r>
  <r>
    <s v="3301-LSLWQ"/>
    <s v="Female"/>
    <x v="0"/>
    <n v="29"/>
    <x v="0"/>
    <x v="0"/>
    <n v="66.099999999999994"/>
    <n v="1912.15"/>
    <x v="0"/>
    <s v="Yes"/>
    <x v="0"/>
    <n v="1912.15"/>
    <x v="1"/>
    <s v="Standard Spend"/>
  </r>
  <r>
    <s v="7473-ZBDSN"/>
    <s v="Female"/>
    <x v="2"/>
    <n v="14"/>
    <x v="2"/>
    <x v="2"/>
    <n v="18.8"/>
    <n v="255.55"/>
    <x v="0"/>
    <s v="No"/>
    <x v="1"/>
    <n v="255.55"/>
    <x v="1"/>
    <s v="Standard Spend"/>
  </r>
  <r>
    <s v="3166-PNEOF"/>
    <s v="Female"/>
    <x v="2"/>
    <n v="61"/>
    <x v="0"/>
    <x v="1"/>
    <n v="86.45"/>
    <n v="5175.3"/>
    <x v="0"/>
    <s v="No"/>
    <x v="3"/>
    <n v="5175.3"/>
    <x v="2"/>
    <s v="High Spend"/>
  </r>
  <r>
    <s v="5639-NTUPK"/>
    <s v="Male"/>
    <x v="0"/>
    <n v="13"/>
    <x v="0"/>
    <x v="0"/>
    <n v="52.1"/>
    <n v="670.65"/>
    <x v="0"/>
    <s v="Yes"/>
    <x v="3"/>
    <n v="670.65"/>
    <x v="1"/>
    <s v="Standard Spend"/>
  </r>
  <r>
    <s v="8780-YRMTT"/>
    <s v="Female"/>
    <x v="2"/>
    <n v="66"/>
    <x v="0"/>
    <x v="1"/>
    <n v="47.4"/>
    <n v="3177.25"/>
    <x v="0"/>
    <s v="Yes"/>
    <x v="1"/>
    <n v="3177.25"/>
    <x v="2"/>
    <s v="High Spend"/>
  </r>
  <r>
    <s v="8348-HFYIV"/>
    <s v="Male"/>
    <x v="0"/>
    <n v="2"/>
    <x v="0"/>
    <x v="0"/>
    <n v="49.25"/>
    <n v="90.35"/>
    <x v="1"/>
    <s v="Yes"/>
    <x v="0"/>
    <n v="90.35"/>
    <x v="0"/>
    <s v="Standard Spend"/>
  </r>
  <r>
    <s v="5140-FOMCQ"/>
    <s v="Female"/>
    <x v="1"/>
    <n v="59"/>
    <x v="1"/>
    <x v="0"/>
    <n v="109.15"/>
    <n v="6557.75"/>
    <x v="0"/>
    <s v="Yes"/>
    <x v="3"/>
    <n v="6557.75"/>
    <x v="2"/>
    <s v="High Spend"/>
  </r>
  <r>
    <s v="6242-SGYTS"/>
    <s v="Male"/>
    <x v="1"/>
    <n v="62"/>
    <x v="1"/>
    <x v="0"/>
    <n v="94.95"/>
    <n v="5791.85"/>
    <x v="0"/>
    <s v="Yes"/>
    <x v="3"/>
    <n v="5791.85"/>
    <x v="2"/>
    <s v="High Spend"/>
  </r>
  <r>
    <s v="8166-ORCHU"/>
    <s v="Male"/>
    <x v="1"/>
    <n v="33"/>
    <x v="1"/>
    <x v="1"/>
    <n v="93.55"/>
    <n v="3055.5"/>
    <x v="0"/>
    <s v="Yes"/>
    <x v="0"/>
    <n v="3055.5"/>
    <x v="1"/>
    <s v="High Spend"/>
  </r>
  <r>
    <s v="8414-OOEEL"/>
    <s v="Male"/>
    <x v="2"/>
    <n v="66"/>
    <x v="0"/>
    <x v="1"/>
    <n v="79.5"/>
    <n v="5196.1000000000004"/>
    <x v="0"/>
    <s v="Yes"/>
    <x v="3"/>
    <n v="5196.1000000000004"/>
    <x v="2"/>
    <s v="High Spend"/>
  </r>
  <r>
    <s v="8454-AATJP"/>
    <s v="Female"/>
    <x v="2"/>
    <n v="72"/>
    <x v="1"/>
    <x v="1"/>
    <n v="115.05"/>
    <n v="8405"/>
    <x v="0"/>
    <s v="No"/>
    <x v="3"/>
    <n v="8405"/>
    <x v="2"/>
    <s v="High Spend"/>
  </r>
  <r>
    <s v="6849-WLEYG"/>
    <s v="Male"/>
    <x v="0"/>
    <n v="1"/>
    <x v="2"/>
    <x v="2"/>
    <n v="19.75"/>
    <n v="19.75"/>
    <x v="1"/>
    <s v="No"/>
    <x v="1"/>
    <n v="19.75"/>
    <x v="0"/>
    <s v="Standard Spend"/>
  </r>
  <r>
    <s v="4659-NZRUF"/>
    <s v="Female"/>
    <x v="0"/>
    <n v="19"/>
    <x v="1"/>
    <x v="0"/>
    <n v="95.15"/>
    <n v="1789.25"/>
    <x v="1"/>
    <s v="Yes"/>
    <x v="0"/>
    <n v="1789.25"/>
    <x v="1"/>
    <s v="Standard Spend"/>
  </r>
  <r>
    <s v="4531-AUZNK"/>
    <s v="Female"/>
    <x v="1"/>
    <n v="51"/>
    <x v="1"/>
    <x v="1"/>
    <n v="95.15"/>
    <n v="5000.05"/>
    <x v="0"/>
    <s v="Yes"/>
    <x v="1"/>
    <n v="5000.05"/>
    <x v="2"/>
    <s v="High Spend"/>
  </r>
  <r>
    <s v="4191-XOVOM"/>
    <s v="Male"/>
    <x v="0"/>
    <n v="63"/>
    <x v="1"/>
    <x v="1"/>
    <n v="105.4"/>
    <n v="6713.2"/>
    <x v="0"/>
    <s v="No"/>
    <x v="0"/>
    <n v="6713.2"/>
    <x v="2"/>
    <s v="High Spend"/>
  </r>
  <r>
    <s v="2150-OEGBV"/>
    <s v="Male"/>
    <x v="1"/>
    <n v="27"/>
    <x v="2"/>
    <x v="2"/>
    <n v="20.100000000000001"/>
    <n v="562.6"/>
    <x v="0"/>
    <s v="No"/>
    <x v="2"/>
    <n v="562.6"/>
    <x v="1"/>
    <s v="Standard Spend"/>
  </r>
  <r>
    <s v="8429-XIBUM"/>
    <s v="Male"/>
    <x v="0"/>
    <n v="22"/>
    <x v="1"/>
    <x v="0"/>
    <n v="101.35"/>
    <n v="2317.1"/>
    <x v="1"/>
    <s v="Yes"/>
    <x v="2"/>
    <n v="2317.1"/>
    <x v="1"/>
    <s v="Standard Spend"/>
  </r>
  <r>
    <s v="1855-CFULU"/>
    <s v="Female"/>
    <x v="0"/>
    <n v="4"/>
    <x v="2"/>
    <x v="2"/>
    <n v="20.05"/>
    <n v="91.45"/>
    <x v="0"/>
    <s v="No"/>
    <x v="1"/>
    <n v="91.45"/>
    <x v="0"/>
    <s v="Standard Spend"/>
  </r>
  <r>
    <s v="4878-BUNFV"/>
    <s v="Male"/>
    <x v="2"/>
    <n v="42"/>
    <x v="2"/>
    <x v="2"/>
    <n v="20.7"/>
    <n v="828.85"/>
    <x v="0"/>
    <s v="No"/>
    <x v="1"/>
    <n v="828.85"/>
    <x v="2"/>
    <s v="Standard Spend"/>
  </r>
  <r>
    <s v="1872-EBWSC"/>
    <s v="Female"/>
    <x v="1"/>
    <n v="29"/>
    <x v="2"/>
    <x v="2"/>
    <n v="20.350000000000001"/>
    <n v="617.35"/>
    <x v="0"/>
    <s v="No"/>
    <x v="1"/>
    <n v="617.35"/>
    <x v="1"/>
    <s v="Standard Spend"/>
  </r>
  <r>
    <s v="2608-BHKFN"/>
    <s v="Female"/>
    <x v="0"/>
    <n v="4"/>
    <x v="1"/>
    <x v="0"/>
    <n v="70.05"/>
    <n v="266.89999999999998"/>
    <x v="1"/>
    <s v="Yes"/>
    <x v="3"/>
    <n v="266.89999999999998"/>
    <x v="0"/>
    <s v="Standard Spend"/>
  </r>
  <r>
    <s v="7026-YMSBE"/>
    <s v="Male"/>
    <x v="1"/>
    <n v="30"/>
    <x v="2"/>
    <x v="2"/>
    <n v="19.7"/>
    <n v="625.04999999999995"/>
    <x v="0"/>
    <s v="No"/>
    <x v="1"/>
    <n v="625.04999999999995"/>
    <x v="1"/>
    <s v="Standard Spend"/>
  </r>
  <r>
    <s v="7341-LXCAF"/>
    <s v="Male"/>
    <x v="0"/>
    <n v="4"/>
    <x v="1"/>
    <x v="0"/>
    <n v="74.650000000000006"/>
    <n v="301.39999999999998"/>
    <x v="1"/>
    <s v="Yes"/>
    <x v="0"/>
    <n v="301.39999999999998"/>
    <x v="0"/>
    <s v="Standard Spend"/>
  </r>
  <r>
    <s v="6997-UVGOX"/>
    <s v="Male"/>
    <x v="2"/>
    <n v="71"/>
    <x v="0"/>
    <x v="1"/>
    <n v="85.45"/>
    <n v="6029.9"/>
    <x v="0"/>
    <s v="No"/>
    <x v="2"/>
    <n v="6029.9"/>
    <x v="2"/>
    <s v="High Spend"/>
  </r>
  <r>
    <s v="9674-EHPPG"/>
    <s v="Male"/>
    <x v="2"/>
    <n v="46"/>
    <x v="0"/>
    <x v="1"/>
    <n v="40.4"/>
    <n v="1842.7"/>
    <x v="0"/>
    <s v="No"/>
    <x v="3"/>
    <n v="1842.7"/>
    <x v="2"/>
    <s v="Standard Spend"/>
  </r>
  <r>
    <s v="9462-MJUAW"/>
    <s v="Male"/>
    <x v="0"/>
    <n v="4"/>
    <x v="0"/>
    <x v="0"/>
    <n v="50.4"/>
    <n v="206.6"/>
    <x v="1"/>
    <s v="No"/>
    <x v="1"/>
    <n v="206.6"/>
    <x v="0"/>
    <s v="Standard Spend"/>
  </r>
  <r>
    <s v="8128-YVJRG"/>
    <s v="Female"/>
    <x v="0"/>
    <n v="7"/>
    <x v="1"/>
    <x v="0"/>
    <n v="79.650000000000006"/>
    <n v="604.70000000000005"/>
    <x v="1"/>
    <s v="Yes"/>
    <x v="1"/>
    <n v="604.70000000000005"/>
    <x v="0"/>
    <s v="Standard Spend"/>
  </r>
  <r>
    <s v="5440-VHLUL"/>
    <s v="Male"/>
    <x v="1"/>
    <n v="69"/>
    <x v="1"/>
    <x v="1"/>
    <n v="105.2"/>
    <n v="7386.05"/>
    <x v="0"/>
    <s v="Yes"/>
    <x v="2"/>
    <n v="7386.05"/>
    <x v="2"/>
    <s v="High Spend"/>
  </r>
  <r>
    <s v="5781-BKHOP"/>
    <s v="Female"/>
    <x v="2"/>
    <n v="72"/>
    <x v="1"/>
    <x v="0"/>
    <n v="100.65"/>
    <n v="7334.05"/>
    <x v="0"/>
    <s v="No"/>
    <x v="2"/>
    <n v="7334.05"/>
    <x v="2"/>
    <s v="High Spend"/>
  </r>
  <r>
    <s v="4283-FUTGF"/>
    <s v="Male"/>
    <x v="0"/>
    <n v="19"/>
    <x v="1"/>
    <x v="0"/>
    <n v="79.849999999999994"/>
    <n v="1471.75"/>
    <x v="1"/>
    <s v="Yes"/>
    <x v="0"/>
    <n v="1471.75"/>
    <x v="1"/>
    <s v="Standard Spend"/>
  </r>
  <r>
    <s v="5213-TWWJU"/>
    <s v="Male"/>
    <x v="0"/>
    <n v="28"/>
    <x v="1"/>
    <x v="1"/>
    <n v="91"/>
    <n v="2626.15"/>
    <x v="0"/>
    <s v="No"/>
    <x v="0"/>
    <n v="2626.15"/>
    <x v="1"/>
    <s v="High Spend"/>
  </r>
  <r>
    <s v="1569-TTNYJ"/>
    <s v="Male"/>
    <x v="0"/>
    <n v="5"/>
    <x v="1"/>
    <x v="0"/>
    <n v="78.75"/>
    <n v="412.1"/>
    <x v="1"/>
    <s v="Yes"/>
    <x v="0"/>
    <n v="412.1"/>
    <x v="0"/>
    <s v="Standard Spend"/>
  </r>
  <r>
    <s v="8628-MFKAX"/>
    <s v="Female"/>
    <x v="2"/>
    <n v="72"/>
    <x v="1"/>
    <x v="1"/>
    <n v="116.75"/>
    <n v="8277.0499999999993"/>
    <x v="0"/>
    <s v="Yes"/>
    <x v="3"/>
    <n v="8277.0499999999993"/>
    <x v="2"/>
    <s v="High Spend"/>
  </r>
  <r>
    <s v="2397-BRLOM"/>
    <s v="Male"/>
    <x v="0"/>
    <n v="8"/>
    <x v="1"/>
    <x v="0"/>
    <n v="80.45"/>
    <n v="583.45000000000005"/>
    <x v="1"/>
    <s v="Yes"/>
    <x v="3"/>
    <n v="583.45000000000005"/>
    <x v="0"/>
    <s v="Standard Spend"/>
  </r>
  <r>
    <s v="7629-WIXZF"/>
    <s v="Female"/>
    <x v="1"/>
    <n v="7"/>
    <x v="0"/>
    <x v="0"/>
    <n v="59.1"/>
    <n v="369.25"/>
    <x v="0"/>
    <s v="Yes"/>
    <x v="0"/>
    <n v="369.25"/>
    <x v="0"/>
    <s v="Standard Spend"/>
  </r>
  <r>
    <s v="5445-GLVOT"/>
    <s v="Female"/>
    <x v="0"/>
    <n v="22"/>
    <x v="0"/>
    <x v="0"/>
    <n v="49.8"/>
    <n v="1049.05"/>
    <x v="0"/>
    <s v="Yes"/>
    <x v="0"/>
    <n v="1049.05"/>
    <x v="1"/>
    <s v="Standard Spend"/>
  </r>
  <r>
    <s v="3976-HXHCE"/>
    <s v="Male"/>
    <x v="2"/>
    <n v="72"/>
    <x v="2"/>
    <x v="2"/>
    <n v="19.3"/>
    <n v="1414.8"/>
    <x v="0"/>
    <s v="No"/>
    <x v="2"/>
    <n v="1414.8"/>
    <x v="2"/>
    <s v="Standard Spend"/>
  </r>
  <r>
    <s v="2466-NEJOJ"/>
    <s v="Male"/>
    <x v="0"/>
    <n v="8"/>
    <x v="2"/>
    <x v="2"/>
    <n v="19.649999999999999"/>
    <n v="169.75"/>
    <x v="0"/>
    <s v="No"/>
    <x v="3"/>
    <n v="169.75"/>
    <x v="0"/>
    <s v="Standard Spend"/>
  </r>
  <r>
    <s v="0254-KCJGT"/>
    <s v="Male"/>
    <x v="1"/>
    <n v="52"/>
    <x v="0"/>
    <x v="1"/>
    <n v="81.400000000000006"/>
    <n v="4354.45"/>
    <x v="0"/>
    <s v="Yes"/>
    <x v="3"/>
    <n v="4354.45"/>
    <x v="2"/>
    <s v="High Spend"/>
  </r>
  <r>
    <s v="5472-CVMDX"/>
    <s v="Female"/>
    <x v="2"/>
    <n v="68"/>
    <x v="0"/>
    <x v="1"/>
    <n v="38.9"/>
    <n v="2719.2"/>
    <x v="0"/>
    <s v="No"/>
    <x v="1"/>
    <n v="2719.2"/>
    <x v="2"/>
    <s v="High Spend"/>
  </r>
  <r>
    <s v="6461-SZMCV"/>
    <s v="Female"/>
    <x v="2"/>
    <n v="71"/>
    <x v="0"/>
    <x v="1"/>
    <n v="87.95"/>
    <n v="6365.35"/>
    <x v="0"/>
    <s v="No"/>
    <x v="2"/>
    <n v="6365.35"/>
    <x v="2"/>
    <s v="High Spend"/>
  </r>
  <r>
    <s v="8150-QUDFX"/>
    <s v="Male"/>
    <x v="0"/>
    <n v="2"/>
    <x v="2"/>
    <x v="2"/>
    <n v="19.850000000000001"/>
    <n v="51.6"/>
    <x v="0"/>
    <s v="No"/>
    <x v="1"/>
    <n v="51.6"/>
    <x v="0"/>
    <s v="Standard Spend"/>
  </r>
  <r>
    <s v="9508-ILZDG"/>
    <s v="Female"/>
    <x v="0"/>
    <n v="34"/>
    <x v="1"/>
    <x v="1"/>
    <n v="96.35"/>
    <n v="3190.25"/>
    <x v="0"/>
    <s v="Yes"/>
    <x v="0"/>
    <n v="3190.25"/>
    <x v="1"/>
    <s v="High Spend"/>
  </r>
  <r>
    <s v="2346-DJQTB"/>
    <s v="Female"/>
    <x v="0"/>
    <n v="35"/>
    <x v="0"/>
    <x v="0"/>
    <n v="24.15"/>
    <n v="812.5"/>
    <x v="0"/>
    <s v="No"/>
    <x v="0"/>
    <n v="812.5"/>
    <x v="1"/>
    <s v="Standard Spend"/>
  </r>
  <r>
    <s v="1697-LYYYX"/>
    <s v="Female"/>
    <x v="1"/>
    <n v="61"/>
    <x v="2"/>
    <x v="2"/>
    <n v="19.100000000000001"/>
    <n v="1143.8"/>
    <x v="0"/>
    <s v="No"/>
    <x v="3"/>
    <n v="1143.8"/>
    <x v="2"/>
    <s v="Standard Spend"/>
  </r>
  <r>
    <s v="1942-OQFRW"/>
    <s v="Male"/>
    <x v="0"/>
    <n v="1"/>
    <x v="0"/>
    <x v="0"/>
    <n v="44"/>
    <n v="44"/>
    <x v="0"/>
    <s v="No"/>
    <x v="0"/>
    <n v="44"/>
    <x v="0"/>
    <s v="Standard Spend"/>
  </r>
  <r>
    <s v="4749-VFKVB"/>
    <s v="Female"/>
    <x v="0"/>
    <n v="1"/>
    <x v="0"/>
    <x v="0"/>
    <n v="50.1"/>
    <n v="50.1"/>
    <x v="1"/>
    <s v="Yes"/>
    <x v="1"/>
    <n v="50.1"/>
    <x v="0"/>
    <s v="Standard Spend"/>
  </r>
  <r>
    <s v="9640-ZSLDC"/>
    <s v="Female"/>
    <x v="1"/>
    <n v="53"/>
    <x v="0"/>
    <x v="0"/>
    <n v="60.6"/>
    <n v="3297"/>
    <x v="0"/>
    <s v="No"/>
    <x v="3"/>
    <n v="3297"/>
    <x v="2"/>
    <s v="High Spend"/>
  </r>
  <r>
    <s v="4231-LZUYM"/>
    <s v="Female"/>
    <x v="2"/>
    <n v="72"/>
    <x v="2"/>
    <x v="2"/>
    <n v="25.65"/>
    <n v="1887"/>
    <x v="0"/>
    <s v="No"/>
    <x v="2"/>
    <n v="1887"/>
    <x v="2"/>
    <s v="Standard Spend"/>
  </r>
  <r>
    <s v="7598-UAASY"/>
    <s v="Male"/>
    <x v="0"/>
    <n v="2"/>
    <x v="1"/>
    <x v="0"/>
    <n v="76.400000000000006"/>
    <n v="151.80000000000001"/>
    <x v="1"/>
    <s v="No"/>
    <x v="0"/>
    <n v="151.80000000000001"/>
    <x v="0"/>
    <s v="Standard Spend"/>
  </r>
  <r>
    <s v="7938-OUHIO"/>
    <s v="Male"/>
    <x v="0"/>
    <n v="3"/>
    <x v="1"/>
    <x v="1"/>
    <n v="98.7"/>
    <n v="293.64999999999998"/>
    <x v="1"/>
    <s v="Yes"/>
    <x v="0"/>
    <n v="293.64999999999998"/>
    <x v="0"/>
    <s v="Standard Spend"/>
  </r>
  <r>
    <s v="8510-AWCXC"/>
    <s v="Female"/>
    <x v="0"/>
    <n v="13"/>
    <x v="1"/>
    <x v="0"/>
    <n v="100.8"/>
    <n v="1308.0999999999999"/>
    <x v="1"/>
    <s v="Yes"/>
    <x v="0"/>
    <n v="1308.0999999999999"/>
    <x v="1"/>
    <s v="Standard Spend"/>
  </r>
  <r>
    <s v="6128-AQBMT"/>
    <s v="Male"/>
    <x v="0"/>
    <n v="41"/>
    <x v="0"/>
    <x v="0"/>
    <n v="53.95"/>
    <n v="2215.4"/>
    <x v="0"/>
    <s v="Yes"/>
    <x v="0"/>
    <n v="2215.4"/>
    <x v="2"/>
    <s v="Standard Spend"/>
  </r>
  <r>
    <s v="3594-BDSOA"/>
    <s v="Female"/>
    <x v="1"/>
    <n v="24"/>
    <x v="2"/>
    <x v="2"/>
    <n v="20.399999999999999"/>
    <n v="482.8"/>
    <x v="0"/>
    <s v="No"/>
    <x v="3"/>
    <n v="482.8"/>
    <x v="1"/>
    <s v="Standard Spend"/>
  </r>
  <r>
    <s v="0431-APWVY"/>
    <s v="Female"/>
    <x v="1"/>
    <n v="28"/>
    <x v="1"/>
    <x v="0"/>
    <n v="90.1"/>
    <n v="2598.9499999999998"/>
    <x v="1"/>
    <s v="Yes"/>
    <x v="2"/>
    <n v="2598.9499999999998"/>
    <x v="1"/>
    <s v="High Spend"/>
  </r>
  <r>
    <s v="5133-VRSAB"/>
    <s v="Male"/>
    <x v="0"/>
    <n v="8"/>
    <x v="0"/>
    <x v="0"/>
    <n v="29.35"/>
    <n v="216.45"/>
    <x v="0"/>
    <s v="No"/>
    <x v="1"/>
    <n v="216.45"/>
    <x v="0"/>
    <s v="Standard Spend"/>
  </r>
  <r>
    <s v="5996-DAOQL"/>
    <s v="Male"/>
    <x v="0"/>
    <n v="1"/>
    <x v="2"/>
    <x v="2"/>
    <n v="20.45"/>
    <n v="20.45"/>
    <x v="0"/>
    <s v="Yes"/>
    <x v="1"/>
    <n v="20.45"/>
    <x v="0"/>
    <s v="Standard Spend"/>
  </r>
  <r>
    <s v="6838-YAUVY"/>
    <s v="Female"/>
    <x v="2"/>
    <n v="54"/>
    <x v="1"/>
    <x v="1"/>
    <n v="95.1"/>
    <n v="5064.8500000000004"/>
    <x v="0"/>
    <s v="Yes"/>
    <x v="2"/>
    <n v="5064.8500000000004"/>
    <x v="2"/>
    <s v="High Spend"/>
  </r>
  <r>
    <s v="0484-JPBRU"/>
    <s v="Male"/>
    <x v="0"/>
    <n v="41"/>
    <x v="2"/>
    <x v="2"/>
    <n v="25.25"/>
    <n v="996.45"/>
    <x v="0"/>
    <s v="Yes"/>
    <x v="2"/>
    <n v="996.45"/>
    <x v="2"/>
    <s v="Standard Spend"/>
  </r>
  <r>
    <s v="7883-ROJOC"/>
    <s v="Female"/>
    <x v="0"/>
    <n v="19"/>
    <x v="0"/>
    <x v="0"/>
    <n v="44.9"/>
    <n v="839.65"/>
    <x v="0"/>
    <s v="No"/>
    <x v="1"/>
    <n v="839.65"/>
    <x v="1"/>
    <s v="Standard Spend"/>
  </r>
  <r>
    <s v="0244-LGNFY"/>
    <s v="Female"/>
    <x v="2"/>
    <n v="72"/>
    <x v="0"/>
    <x v="1"/>
    <n v="92.65"/>
    <n v="6733"/>
    <x v="0"/>
    <s v="No"/>
    <x v="2"/>
    <n v="6733"/>
    <x v="2"/>
    <s v="High Spend"/>
  </r>
  <r>
    <s v="7274-CGTOD"/>
    <s v="Male"/>
    <x v="2"/>
    <n v="62"/>
    <x v="0"/>
    <x v="1"/>
    <n v="43.7"/>
    <n v="2618.3000000000002"/>
    <x v="0"/>
    <s v="Yes"/>
    <x v="2"/>
    <n v="2618.3000000000002"/>
    <x v="2"/>
    <s v="High Spend"/>
  </r>
  <r>
    <s v="4295-YURET"/>
    <s v="Female"/>
    <x v="2"/>
    <n v="56"/>
    <x v="0"/>
    <x v="1"/>
    <n v="72.599999999999994"/>
    <n v="4084.35"/>
    <x v="0"/>
    <s v="Yes"/>
    <x v="3"/>
    <n v="4084.35"/>
    <x v="2"/>
    <s v="High Spend"/>
  </r>
  <r>
    <s v="3426-NIYYL"/>
    <s v="Male"/>
    <x v="0"/>
    <n v="15"/>
    <x v="0"/>
    <x v="0"/>
    <n v="51.55"/>
    <n v="765.5"/>
    <x v="1"/>
    <s v="No"/>
    <x v="0"/>
    <n v="765.5"/>
    <x v="1"/>
    <s v="Standard Spend"/>
  </r>
  <r>
    <s v="8225-BTJAU"/>
    <s v="Male"/>
    <x v="0"/>
    <n v="10"/>
    <x v="1"/>
    <x v="0"/>
    <n v="79.25"/>
    <n v="793.55"/>
    <x v="1"/>
    <s v="Yes"/>
    <x v="0"/>
    <n v="793.55"/>
    <x v="0"/>
    <s v="Standard Spend"/>
  </r>
  <r>
    <s v="4635-EJYPD"/>
    <s v="Male"/>
    <x v="2"/>
    <n v="32"/>
    <x v="2"/>
    <x v="2"/>
    <n v="18.95"/>
    <n v="613.95000000000005"/>
    <x v="0"/>
    <s v="No"/>
    <x v="1"/>
    <n v="613.95000000000005"/>
    <x v="1"/>
    <s v="Standard Spend"/>
  </r>
  <r>
    <s v="1866-ZSLJM"/>
    <s v="Male"/>
    <x v="0"/>
    <n v="21"/>
    <x v="2"/>
    <x v="2"/>
    <n v="20.5"/>
    <n v="402.85"/>
    <x v="0"/>
    <s v="No"/>
    <x v="3"/>
    <n v="402.85"/>
    <x v="1"/>
    <s v="Standard Spend"/>
  </r>
  <r>
    <s v="4636-TVXVG"/>
    <s v="Male"/>
    <x v="1"/>
    <n v="62"/>
    <x v="2"/>
    <x v="2"/>
    <n v="19.95"/>
    <n v="1244.8"/>
    <x v="0"/>
    <s v="No"/>
    <x v="2"/>
    <n v="1244.8"/>
    <x v="2"/>
    <s v="Standard Spend"/>
  </r>
  <r>
    <s v="4236-UJPWO"/>
    <s v="Female"/>
    <x v="0"/>
    <n v="2"/>
    <x v="0"/>
    <x v="0"/>
    <n v="24.5"/>
    <n v="46.4"/>
    <x v="0"/>
    <s v="No"/>
    <x v="0"/>
    <n v="46.4"/>
    <x v="0"/>
    <s v="Standard Spend"/>
  </r>
  <r>
    <s v="9392-XBGTD"/>
    <s v="Male"/>
    <x v="2"/>
    <n v="27"/>
    <x v="2"/>
    <x v="2"/>
    <n v="20.6"/>
    <n v="581.85"/>
    <x v="0"/>
    <s v="No"/>
    <x v="1"/>
    <n v="581.85"/>
    <x v="1"/>
    <s v="Standard Spend"/>
  </r>
  <r>
    <s v="3387-VATUS"/>
    <s v="Male"/>
    <x v="0"/>
    <n v="5"/>
    <x v="1"/>
    <x v="0"/>
    <n v="94.85"/>
    <n v="462.8"/>
    <x v="1"/>
    <s v="Yes"/>
    <x v="2"/>
    <n v="462.8"/>
    <x v="0"/>
    <s v="Standard Spend"/>
  </r>
  <r>
    <s v="6402-SSEJG"/>
    <s v="Female"/>
    <x v="1"/>
    <n v="25"/>
    <x v="0"/>
    <x v="0"/>
    <n v="61.05"/>
    <n v="1540.2"/>
    <x v="0"/>
    <s v="No"/>
    <x v="0"/>
    <n v="1540.2"/>
    <x v="1"/>
    <s v="Standard Spend"/>
  </r>
  <r>
    <s v="1143-NMNQJ"/>
    <s v="Female"/>
    <x v="0"/>
    <n v="2"/>
    <x v="1"/>
    <x v="0"/>
    <n v="85.7"/>
    <n v="169.8"/>
    <x v="1"/>
    <s v="Yes"/>
    <x v="0"/>
    <n v="169.8"/>
    <x v="0"/>
    <s v="Standard Spend"/>
  </r>
  <r>
    <s v="1169-SAOCL"/>
    <s v="Male"/>
    <x v="1"/>
    <n v="49"/>
    <x v="1"/>
    <x v="1"/>
    <n v="106.65"/>
    <n v="5168.1000000000004"/>
    <x v="0"/>
    <s v="Yes"/>
    <x v="2"/>
    <n v="5168.1000000000004"/>
    <x v="2"/>
    <s v="High Spend"/>
  </r>
  <r>
    <s v="1110-KYLGQ"/>
    <s v="Female"/>
    <x v="0"/>
    <n v="63"/>
    <x v="1"/>
    <x v="0"/>
    <n v="108.25"/>
    <n v="6780.1"/>
    <x v="0"/>
    <s v="No"/>
    <x v="3"/>
    <n v="6780.1"/>
    <x v="2"/>
    <s v="High Spend"/>
  </r>
  <r>
    <s v="9929-PLVPA"/>
    <s v="Female"/>
    <x v="0"/>
    <n v="4"/>
    <x v="2"/>
    <x v="2"/>
    <n v="20.399999999999999"/>
    <n v="94.5"/>
    <x v="0"/>
    <s v="No"/>
    <x v="3"/>
    <n v="94.5"/>
    <x v="0"/>
    <s v="Standard Spend"/>
  </r>
  <r>
    <s v="3518-PZXZQ"/>
    <s v="Female"/>
    <x v="0"/>
    <n v="1"/>
    <x v="0"/>
    <x v="0"/>
    <n v="55.3"/>
    <n v="55.3"/>
    <x v="0"/>
    <s v="Yes"/>
    <x v="1"/>
    <n v="55.3"/>
    <x v="0"/>
    <s v="Standard Spend"/>
  </r>
  <r>
    <s v="2371-JUNGC"/>
    <s v="Male"/>
    <x v="0"/>
    <n v="11"/>
    <x v="2"/>
    <x v="2"/>
    <n v="20.25"/>
    <n v="208"/>
    <x v="0"/>
    <s v="No"/>
    <x v="1"/>
    <n v="208"/>
    <x v="0"/>
    <s v="Standard Spend"/>
  </r>
  <r>
    <s v="7693-QPEFS"/>
    <s v="Male"/>
    <x v="0"/>
    <n v="52"/>
    <x v="1"/>
    <x v="0"/>
    <n v="72.95"/>
    <n v="3829.75"/>
    <x v="0"/>
    <s v="Yes"/>
    <x v="2"/>
    <n v="3829.75"/>
    <x v="2"/>
    <s v="High Spend"/>
  </r>
  <r>
    <s v="0924-BJCRC"/>
    <s v="Female"/>
    <x v="0"/>
    <n v="60"/>
    <x v="1"/>
    <x v="0"/>
    <n v="89.45"/>
    <n v="5294.6"/>
    <x v="0"/>
    <s v="No"/>
    <x v="0"/>
    <n v="5294.6"/>
    <x v="2"/>
    <s v="High Spend"/>
  </r>
  <r>
    <s v="5074-FBGHB"/>
    <s v="Male"/>
    <x v="1"/>
    <n v="64"/>
    <x v="1"/>
    <x v="1"/>
    <n v="104.65"/>
    <n v="6889.8"/>
    <x v="0"/>
    <s v="Yes"/>
    <x v="3"/>
    <n v="6889.8"/>
    <x v="2"/>
    <s v="High Spend"/>
  </r>
  <r>
    <s v="2351-BKRZW"/>
    <s v="Female"/>
    <x v="2"/>
    <n v="43"/>
    <x v="0"/>
    <x v="0"/>
    <n v="75.2"/>
    <n v="3254.35"/>
    <x v="0"/>
    <s v="No"/>
    <x v="2"/>
    <n v="3254.35"/>
    <x v="2"/>
    <s v="High Spend"/>
  </r>
  <r>
    <s v="4455-BFSPD"/>
    <s v="Female"/>
    <x v="1"/>
    <n v="61"/>
    <x v="1"/>
    <x v="1"/>
    <n v="101.15"/>
    <n v="6383.9"/>
    <x v="0"/>
    <s v="No"/>
    <x v="2"/>
    <n v="6383.9"/>
    <x v="2"/>
    <s v="High Spend"/>
  </r>
  <r>
    <s v="0415-MOSGF"/>
    <s v="Female"/>
    <x v="0"/>
    <n v="1"/>
    <x v="0"/>
    <x v="0"/>
    <n v="44.4"/>
    <n v="44.4"/>
    <x v="1"/>
    <s v="No"/>
    <x v="1"/>
    <n v="44.4"/>
    <x v="0"/>
    <s v="Standard Spend"/>
  </r>
  <r>
    <s v="1724-BQUHA"/>
    <s v="Male"/>
    <x v="0"/>
    <n v="5"/>
    <x v="1"/>
    <x v="0"/>
    <n v="89.5"/>
    <n v="477.7"/>
    <x v="1"/>
    <s v="Yes"/>
    <x v="0"/>
    <n v="477.7"/>
    <x v="0"/>
    <s v="Standard Spend"/>
  </r>
  <r>
    <s v="3948-KXDUF"/>
    <s v="Male"/>
    <x v="2"/>
    <n v="66"/>
    <x v="0"/>
    <x v="1"/>
    <n v="68.75"/>
    <n v="4447.55"/>
    <x v="0"/>
    <s v="No"/>
    <x v="2"/>
    <n v="4447.55"/>
    <x v="2"/>
    <s v="High Spend"/>
  </r>
  <r>
    <s v="2323-ARSVR"/>
    <s v="Male"/>
    <x v="2"/>
    <n v="67"/>
    <x v="1"/>
    <x v="1"/>
    <n v="111.05"/>
    <n v="7321.05"/>
    <x v="0"/>
    <s v="Yes"/>
    <x v="0"/>
    <n v="7321.05"/>
    <x v="2"/>
    <s v="High Spend"/>
  </r>
  <r>
    <s v="0815-MFZGM"/>
    <s v="Female"/>
    <x v="2"/>
    <n v="42"/>
    <x v="1"/>
    <x v="1"/>
    <n v="99"/>
    <n v="4135"/>
    <x v="0"/>
    <s v="Yes"/>
    <x v="3"/>
    <n v="4135"/>
    <x v="2"/>
    <s v="High Spend"/>
  </r>
  <r>
    <s v="4826-XTSOH"/>
    <s v="Male"/>
    <x v="0"/>
    <n v="1"/>
    <x v="1"/>
    <x v="0"/>
    <n v="86.05"/>
    <n v="86.05"/>
    <x v="1"/>
    <s v="Yes"/>
    <x v="0"/>
    <n v="86.05"/>
    <x v="0"/>
    <s v="Standard Spend"/>
  </r>
  <r>
    <s v="5480-XTFFL"/>
    <s v="Female"/>
    <x v="2"/>
    <n v="31"/>
    <x v="2"/>
    <x v="2"/>
    <n v="21"/>
    <n v="697.7"/>
    <x v="0"/>
    <s v="No"/>
    <x v="1"/>
    <n v="697.7"/>
    <x v="1"/>
    <s v="Standard Spend"/>
  </r>
  <r>
    <s v="8295-FHIVV"/>
    <s v="Male"/>
    <x v="0"/>
    <n v="7"/>
    <x v="2"/>
    <x v="2"/>
    <n v="19.399999999999999"/>
    <n v="168.65"/>
    <x v="0"/>
    <s v="Yes"/>
    <x v="1"/>
    <n v="168.65"/>
    <x v="0"/>
    <s v="Standard Spend"/>
  </r>
  <r>
    <s v="2495-INZWQ"/>
    <s v="Male"/>
    <x v="0"/>
    <n v="4"/>
    <x v="0"/>
    <x v="0"/>
    <n v="44.55"/>
    <n v="174.3"/>
    <x v="1"/>
    <s v="Yes"/>
    <x v="0"/>
    <n v="174.3"/>
    <x v="0"/>
    <s v="Standard Spend"/>
  </r>
  <r>
    <s v="9086-YJYXS"/>
    <s v="Male"/>
    <x v="1"/>
    <n v="34"/>
    <x v="0"/>
    <x v="0"/>
    <n v="77.2"/>
    <n v="2753.8"/>
    <x v="0"/>
    <s v="No"/>
    <x v="2"/>
    <n v="2753.8"/>
    <x v="1"/>
    <s v="High Spend"/>
  </r>
  <r>
    <s v="1179-INLAT"/>
    <s v="Male"/>
    <x v="1"/>
    <n v="3"/>
    <x v="2"/>
    <x v="2"/>
    <n v="19.45"/>
    <n v="69.25"/>
    <x v="0"/>
    <s v="Yes"/>
    <x v="1"/>
    <n v="69.25"/>
    <x v="0"/>
    <s v="Standard Spend"/>
  </r>
  <r>
    <s v="7909-FIOIY"/>
    <s v="Female"/>
    <x v="0"/>
    <n v="19"/>
    <x v="0"/>
    <x v="0"/>
    <n v="24.85"/>
    <n v="434.8"/>
    <x v="0"/>
    <s v="Yes"/>
    <x v="1"/>
    <n v="434.8"/>
    <x v="1"/>
    <s v="Standard Spend"/>
  </r>
  <r>
    <s v="4139-SUGLD"/>
    <s v="Male"/>
    <x v="0"/>
    <n v="31"/>
    <x v="0"/>
    <x v="1"/>
    <n v="35.4"/>
    <n v="1077.5"/>
    <x v="1"/>
    <s v="No"/>
    <x v="2"/>
    <n v="1077.5"/>
    <x v="1"/>
    <s v="Standard Spend"/>
  </r>
  <r>
    <s v="6857-VWJDT"/>
    <s v="Female"/>
    <x v="0"/>
    <n v="1"/>
    <x v="1"/>
    <x v="0"/>
    <n v="95.65"/>
    <n v="95.65"/>
    <x v="1"/>
    <s v="No"/>
    <x v="1"/>
    <n v="95.65"/>
    <x v="0"/>
    <s v="Standard Spend"/>
  </r>
  <r>
    <s v="6351-SCJKT"/>
    <s v="Male"/>
    <x v="0"/>
    <n v="3"/>
    <x v="0"/>
    <x v="1"/>
    <n v="41.35"/>
    <n v="107.25"/>
    <x v="0"/>
    <s v="No"/>
    <x v="1"/>
    <n v="107.25"/>
    <x v="0"/>
    <s v="Standard Spend"/>
  </r>
  <r>
    <s v="5468-BPMMO"/>
    <s v="Male"/>
    <x v="0"/>
    <n v="46"/>
    <x v="2"/>
    <x v="2"/>
    <n v="19.600000000000001"/>
    <n v="851.2"/>
    <x v="0"/>
    <s v="No"/>
    <x v="0"/>
    <n v="851.2"/>
    <x v="2"/>
    <s v="Standard Spend"/>
  </r>
  <r>
    <s v="5624-BQSSA"/>
    <s v="Female"/>
    <x v="0"/>
    <n v="1"/>
    <x v="2"/>
    <x v="2"/>
    <n v="20.95"/>
    <n v="20.95"/>
    <x v="1"/>
    <s v="No"/>
    <x v="1"/>
    <n v="20.95"/>
    <x v="0"/>
    <s v="Standard Spend"/>
  </r>
  <r>
    <s v="0197-PNKNK"/>
    <s v="Female"/>
    <x v="1"/>
    <n v="69"/>
    <x v="1"/>
    <x v="0"/>
    <n v="84.45"/>
    <n v="5848.6"/>
    <x v="0"/>
    <s v="No"/>
    <x v="2"/>
    <n v="5848.6"/>
    <x v="2"/>
    <s v="High Spend"/>
  </r>
  <r>
    <s v="2439-QKJUL"/>
    <s v="Male"/>
    <x v="0"/>
    <n v="5"/>
    <x v="2"/>
    <x v="2"/>
    <n v="20.25"/>
    <n v="109.8"/>
    <x v="0"/>
    <s v="No"/>
    <x v="1"/>
    <n v="109.8"/>
    <x v="0"/>
    <s v="Standard Spend"/>
  </r>
  <r>
    <s v="1194-SPVSP"/>
    <s v="Male"/>
    <x v="0"/>
    <n v="1"/>
    <x v="2"/>
    <x v="2"/>
    <n v="19.649999999999999"/>
    <n v="19.649999999999999"/>
    <x v="0"/>
    <s v="No"/>
    <x v="2"/>
    <n v="19.649999999999999"/>
    <x v="0"/>
    <s v="Standard Spend"/>
  </r>
  <r>
    <s v="9534-NSXEM"/>
    <s v="Male"/>
    <x v="1"/>
    <n v="26"/>
    <x v="2"/>
    <x v="2"/>
    <n v="20.65"/>
    <n v="595.5"/>
    <x v="0"/>
    <s v="Yes"/>
    <x v="3"/>
    <n v="595.5"/>
    <x v="1"/>
    <s v="Standard Spend"/>
  </r>
  <r>
    <s v="2408-WITXK"/>
    <s v="Female"/>
    <x v="0"/>
    <n v="10"/>
    <x v="0"/>
    <x v="0"/>
    <n v="34.700000000000003"/>
    <n v="329.8"/>
    <x v="1"/>
    <s v="Yes"/>
    <x v="0"/>
    <n v="329.8"/>
    <x v="0"/>
    <s v="Standard Spend"/>
  </r>
  <r>
    <s v="8929-KSWIH"/>
    <s v="Male"/>
    <x v="2"/>
    <n v="25"/>
    <x v="1"/>
    <x v="1"/>
    <n v="99.3"/>
    <n v="2513.5"/>
    <x v="0"/>
    <s v="No"/>
    <x v="2"/>
    <n v="2513.5"/>
    <x v="1"/>
    <s v="High Spend"/>
  </r>
  <r>
    <s v="2250-IVBWA"/>
    <s v="Male"/>
    <x v="0"/>
    <n v="64"/>
    <x v="1"/>
    <x v="0"/>
    <n v="81.05"/>
    <n v="5135.3500000000004"/>
    <x v="0"/>
    <s v="No"/>
    <x v="0"/>
    <n v="5135.3500000000004"/>
    <x v="2"/>
    <s v="High Spend"/>
  </r>
  <r>
    <s v="1810-MVMAI"/>
    <s v="Male"/>
    <x v="0"/>
    <n v="30"/>
    <x v="0"/>
    <x v="1"/>
    <n v="67.599999999999994"/>
    <n v="2000.2"/>
    <x v="0"/>
    <s v="No"/>
    <x v="0"/>
    <n v="2000.2"/>
    <x v="1"/>
    <s v="Standard Spend"/>
  </r>
  <r>
    <s v="9506-UXUSK"/>
    <s v="Male"/>
    <x v="0"/>
    <n v="13"/>
    <x v="1"/>
    <x v="0"/>
    <n v="70.150000000000006"/>
    <n v="931.75"/>
    <x v="0"/>
    <s v="Yes"/>
    <x v="0"/>
    <n v="931.75"/>
    <x v="1"/>
    <s v="Standard Spend"/>
  </r>
  <r>
    <s v="1229-RCALF"/>
    <s v="Female"/>
    <x v="1"/>
    <n v="64"/>
    <x v="1"/>
    <x v="1"/>
    <n v="115"/>
    <n v="7396.15"/>
    <x v="0"/>
    <s v="Yes"/>
    <x v="0"/>
    <n v="7396.15"/>
    <x v="2"/>
    <s v="High Spend"/>
  </r>
  <r>
    <s v="3572-UOLYZ"/>
    <s v="Female"/>
    <x v="0"/>
    <n v="46"/>
    <x v="1"/>
    <x v="1"/>
    <n v="84.8"/>
    <n v="3958.85"/>
    <x v="0"/>
    <s v="Yes"/>
    <x v="2"/>
    <n v="3958.85"/>
    <x v="2"/>
    <s v="High Spend"/>
  </r>
  <r>
    <s v="1429-UYJSV"/>
    <s v="Female"/>
    <x v="1"/>
    <n v="12"/>
    <x v="2"/>
    <x v="2"/>
    <n v="19.7"/>
    <n v="260.89999999999998"/>
    <x v="0"/>
    <s v="No"/>
    <x v="1"/>
    <n v="260.89999999999998"/>
    <x v="0"/>
    <s v="Standard Spend"/>
  </r>
  <r>
    <s v="5577-OTWWW"/>
    <s v="Female"/>
    <x v="0"/>
    <n v="15"/>
    <x v="2"/>
    <x v="2"/>
    <n v="19.75"/>
    <n v="297.3"/>
    <x v="1"/>
    <s v="No"/>
    <x v="2"/>
    <n v="297.3"/>
    <x v="1"/>
    <s v="Standard Spend"/>
  </r>
  <r>
    <s v="6100-QQHEB"/>
    <s v="Male"/>
    <x v="0"/>
    <n v="17"/>
    <x v="1"/>
    <x v="0"/>
    <n v="92.55"/>
    <n v="1515.1"/>
    <x v="1"/>
    <s v="Yes"/>
    <x v="0"/>
    <n v="1515.1"/>
    <x v="1"/>
    <s v="Standard Spend"/>
  </r>
  <r>
    <s v="6366-XIVKZ"/>
    <s v="Female"/>
    <x v="0"/>
    <n v="13"/>
    <x v="0"/>
    <x v="0"/>
    <n v="63.15"/>
    <n v="816.8"/>
    <x v="0"/>
    <s v="Yes"/>
    <x v="1"/>
    <n v="816.8"/>
    <x v="1"/>
    <s v="Standard Spend"/>
  </r>
  <r>
    <s v="3470-OBUET"/>
    <s v="Female"/>
    <x v="2"/>
    <n v="67"/>
    <x v="0"/>
    <x v="1"/>
    <n v="74"/>
    <n v="4868.3999999999996"/>
    <x v="0"/>
    <s v="No"/>
    <x v="3"/>
    <n v="4868.3999999999996"/>
    <x v="2"/>
    <s v="High Spend"/>
  </r>
  <r>
    <s v="2770-NSVDG"/>
    <s v="Male"/>
    <x v="0"/>
    <n v="24"/>
    <x v="0"/>
    <x v="0"/>
    <n v="29.1"/>
    <n v="688"/>
    <x v="0"/>
    <s v="No"/>
    <x v="0"/>
    <n v="688"/>
    <x v="1"/>
    <s v="Standard Spend"/>
  </r>
  <r>
    <s v="9375-MHRRS"/>
    <s v="Male"/>
    <x v="0"/>
    <n v="6"/>
    <x v="0"/>
    <x v="1"/>
    <n v="50.05"/>
    <n v="288.35000000000002"/>
    <x v="0"/>
    <s v="No"/>
    <x v="1"/>
    <n v="288.35000000000002"/>
    <x v="0"/>
    <s v="Standard Spend"/>
  </r>
  <r>
    <s v="2634-HCZGT"/>
    <s v="Male"/>
    <x v="1"/>
    <n v="53"/>
    <x v="0"/>
    <x v="1"/>
    <n v="60.05"/>
    <n v="3229.65"/>
    <x v="1"/>
    <s v="Yes"/>
    <x v="0"/>
    <n v="3229.65"/>
    <x v="2"/>
    <s v="High Spend"/>
  </r>
  <r>
    <s v="7503-QQRVF"/>
    <s v="Male"/>
    <x v="0"/>
    <n v="16"/>
    <x v="1"/>
    <x v="0"/>
    <n v="74.3"/>
    <n v="1178.25"/>
    <x v="1"/>
    <s v="Yes"/>
    <x v="3"/>
    <n v="1178.25"/>
    <x v="1"/>
    <s v="Standard Spend"/>
  </r>
  <r>
    <s v="4860-YZGZM"/>
    <s v="Male"/>
    <x v="0"/>
    <n v="10"/>
    <x v="2"/>
    <x v="2"/>
    <n v="20"/>
    <n v="185.4"/>
    <x v="0"/>
    <s v="No"/>
    <x v="0"/>
    <n v="185.4"/>
    <x v="0"/>
    <s v="Standard Spend"/>
  </r>
  <r>
    <s v="6599-GZWCM"/>
    <s v="Female"/>
    <x v="1"/>
    <n v="13"/>
    <x v="1"/>
    <x v="0"/>
    <n v="74.650000000000006"/>
    <n v="966.25"/>
    <x v="0"/>
    <s v="Yes"/>
    <x v="1"/>
    <n v="966.25"/>
    <x v="1"/>
    <s v="Standard Spend"/>
  </r>
  <r>
    <s v="2691-NZETQ"/>
    <s v="Male"/>
    <x v="0"/>
    <n v="9"/>
    <x v="1"/>
    <x v="0"/>
    <n v="85.35"/>
    <n v="758.6"/>
    <x v="1"/>
    <s v="Yes"/>
    <x v="0"/>
    <n v="758.6"/>
    <x v="0"/>
    <s v="Standard Spend"/>
  </r>
  <r>
    <s v="4404-HIBDJ"/>
    <s v="Female"/>
    <x v="1"/>
    <n v="25"/>
    <x v="0"/>
    <x v="1"/>
    <n v="74.3"/>
    <n v="1863.8"/>
    <x v="1"/>
    <s v="No"/>
    <x v="1"/>
    <n v="1863.8"/>
    <x v="1"/>
    <s v="Standard Spend"/>
  </r>
  <r>
    <s v="5533-NHFRF"/>
    <s v="Male"/>
    <x v="0"/>
    <n v="7"/>
    <x v="0"/>
    <x v="1"/>
    <n v="44.4"/>
    <n v="265.8"/>
    <x v="0"/>
    <s v="Yes"/>
    <x v="0"/>
    <n v="265.8"/>
    <x v="0"/>
    <s v="Standard Spend"/>
  </r>
  <r>
    <s v="7037-MTYVW"/>
    <s v="Male"/>
    <x v="2"/>
    <n v="38"/>
    <x v="0"/>
    <x v="1"/>
    <n v="85.4"/>
    <n v="3297"/>
    <x v="0"/>
    <s v="Yes"/>
    <x v="2"/>
    <n v="3297"/>
    <x v="2"/>
    <s v="High Spend"/>
  </r>
  <r>
    <s v="4760-THGOT"/>
    <s v="Female"/>
    <x v="0"/>
    <n v="43"/>
    <x v="1"/>
    <x v="0"/>
    <n v="94.1"/>
    <n v="4107.3"/>
    <x v="0"/>
    <s v="Yes"/>
    <x v="0"/>
    <n v="4107.3"/>
    <x v="2"/>
    <s v="High Spend"/>
  </r>
  <r>
    <s v="7295-JOMMD"/>
    <s v="Female"/>
    <x v="0"/>
    <n v="4"/>
    <x v="1"/>
    <x v="1"/>
    <n v="98.1"/>
    <n v="396.3"/>
    <x v="1"/>
    <s v="Yes"/>
    <x v="2"/>
    <n v="396.3"/>
    <x v="0"/>
    <s v="Standard Spend"/>
  </r>
  <r>
    <s v="4016-BJKTZ"/>
    <s v="Female"/>
    <x v="2"/>
    <n v="25"/>
    <x v="1"/>
    <x v="1"/>
    <n v="108.9"/>
    <n v="2809.05"/>
    <x v="0"/>
    <s v="No"/>
    <x v="0"/>
    <n v="2809.05"/>
    <x v="1"/>
    <s v="High Spend"/>
  </r>
  <r>
    <s v="6584-VQMYT"/>
    <s v="Male"/>
    <x v="1"/>
    <n v="27"/>
    <x v="0"/>
    <x v="0"/>
    <n v="56.2"/>
    <n v="1567.55"/>
    <x v="0"/>
    <s v="No"/>
    <x v="1"/>
    <n v="1567.55"/>
    <x v="1"/>
    <s v="Standard Spend"/>
  </r>
  <r>
    <s v="9838-BFCQT"/>
    <s v="Male"/>
    <x v="2"/>
    <n v="72"/>
    <x v="2"/>
    <x v="2"/>
    <n v="26.1"/>
    <n v="1851.45"/>
    <x v="0"/>
    <s v="No"/>
    <x v="1"/>
    <n v="1851.45"/>
    <x v="2"/>
    <s v="Standard Spend"/>
  </r>
  <r>
    <s v="2790-XUYMV"/>
    <s v="Male"/>
    <x v="1"/>
    <n v="71"/>
    <x v="1"/>
    <x v="0"/>
    <n v="85.45"/>
    <n v="6028.95"/>
    <x v="0"/>
    <s v="Yes"/>
    <x v="3"/>
    <n v="6028.95"/>
    <x v="2"/>
    <s v="High Spend"/>
  </r>
  <r>
    <s v="0581-MDMPW"/>
    <s v="Female"/>
    <x v="0"/>
    <n v="24"/>
    <x v="1"/>
    <x v="0"/>
    <n v="88.95"/>
    <n v="2072.75"/>
    <x v="0"/>
    <s v="Yes"/>
    <x v="3"/>
    <n v="2072.75"/>
    <x v="1"/>
    <s v="Standard Spend"/>
  </r>
  <r>
    <s v="5013-SBUIH"/>
    <s v="Female"/>
    <x v="2"/>
    <n v="50"/>
    <x v="1"/>
    <x v="1"/>
    <n v="109.65"/>
    <n v="5551.15"/>
    <x v="1"/>
    <s v="Yes"/>
    <x v="0"/>
    <n v="5551.15"/>
    <x v="2"/>
    <s v="High Spend"/>
  </r>
  <r>
    <s v="1023-BQXZE"/>
    <s v="Male"/>
    <x v="2"/>
    <n v="57"/>
    <x v="0"/>
    <x v="0"/>
    <n v="74.349999999999994"/>
    <n v="4317.3500000000004"/>
    <x v="0"/>
    <s v="Yes"/>
    <x v="2"/>
    <n v="4317.3500000000004"/>
    <x v="2"/>
    <s v="High Spend"/>
  </r>
  <r>
    <s v="9163-GHAYE"/>
    <s v="Female"/>
    <x v="0"/>
    <n v="15"/>
    <x v="0"/>
    <x v="0"/>
    <n v="48.85"/>
    <n v="736.8"/>
    <x v="0"/>
    <s v="No"/>
    <x v="0"/>
    <n v="736.8"/>
    <x v="1"/>
    <s v="Standard Spend"/>
  </r>
  <r>
    <s v="3904-UKFRE"/>
    <s v="Male"/>
    <x v="0"/>
    <n v="4"/>
    <x v="1"/>
    <x v="0"/>
    <n v="80.099999999999994"/>
    <n v="336.15"/>
    <x v="0"/>
    <s v="Yes"/>
    <x v="0"/>
    <n v="336.15"/>
    <x v="0"/>
    <s v="Standard Spend"/>
  </r>
  <r>
    <s v="5353-WILCI"/>
    <s v="Female"/>
    <x v="0"/>
    <n v="28"/>
    <x v="0"/>
    <x v="0"/>
    <n v="56.05"/>
    <n v="1522.65"/>
    <x v="0"/>
    <s v="No"/>
    <x v="0"/>
    <n v="1522.65"/>
    <x v="1"/>
    <s v="Standard Spend"/>
  </r>
  <r>
    <s v="0709-TVGUR"/>
    <s v="Female"/>
    <x v="0"/>
    <n v="9"/>
    <x v="1"/>
    <x v="0"/>
    <n v="74.55"/>
    <n v="622.9"/>
    <x v="1"/>
    <s v="Yes"/>
    <x v="0"/>
    <n v="622.9"/>
    <x v="0"/>
    <s v="Standard Spend"/>
  </r>
  <r>
    <s v="0058-EVZWM"/>
    <s v="Female"/>
    <x v="0"/>
    <n v="55"/>
    <x v="1"/>
    <x v="0"/>
    <n v="89.8"/>
    <n v="4959.6000000000004"/>
    <x v="0"/>
    <s v="Yes"/>
    <x v="2"/>
    <n v="4959.6000000000004"/>
    <x v="2"/>
    <s v="High Spend"/>
  </r>
  <r>
    <s v="6023-YEBUP"/>
    <s v="Male"/>
    <x v="0"/>
    <n v="3"/>
    <x v="1"/>
    <x v="0"/>
    <n v="100.95"/>
    <n v="329.95"/>
    <x v="1"/>
    <s v="Yes"/>
    <x v="0"/>
    <n v="329.95"/>
    <x v="0"/>
    <s v="Standard Spend"/>
  </r>
  <r>
    <s v="7209-JCUDS"/>
    <s v="Male"/>
    <x v="0"/>
    <n v="10"/>
    <x v="1"/>
    <x v="0"/>
    <n v="94.9"/>
    <n v="1048.8499999999999"/>
    <x v="1"/>
    <s v="Yes"/>
    <x v="0"/>
    <n v="1048.8499999999999"/>
    <x v="0"/>
    <s v="Standard Spend"/>
  </r>
  <r>
    <s v="7009-PCARS"/>
    <s v="Male"/>
    <x v="1"/>
    <n v="55"/>
    <x v="2"/>
    <x v="2"/>
    <n v="19.100000000000001"/>
    <n v="1001.5"/>
    <x v="0"/>
    <s v="No"/>
    <x v="2"/>
    <n v="1001.5"/>
    <x v="2"/>
    <s v="Standard Spend"/>
  </r>
  <r>
    <s v="0519-DRGTI"/>
    <s v="Female"/>
    <x v="0"/>
    <n v="20"/>
    <x v="2"/>
    <x v="2"/>
    <n v="20.350000000000001"/>
    <n v="442.6"/>
    <x v="0"/>
    <s v="No"/>
    <x v="1"/>
    <n v="442.6"/>
    <x v="1"/>
    <s v="Standard Spend"/>
  </r>
  <r>
    <s v="1017-FBQMM"/>
    <s v="Female"/>
    <x v="1"/>
    <n v="62"/>
    <x v="1"/>
    <x v="1"/>
    <n v="106.05"/>
    <n v="6703.5"/>
    <x v="0"/>
    <s v="Yes"/>
    <x v="3"/>
    <n v="6703.5"/>
    <x v="2"/>
    <s v="High Spend"/>
  </r>
  <r>
    <s v="3001-CBHLQ"/>
    <s v="Male"/>
    <x v="0"/>
    <n v="32"/>
    <x v="1"/>
    <x v="1"/>
    <n v="104.9"/>
    <n v="3351.55"/>
    <x v="1"/>
    <s v="Yes"/>
    <x v="0"/>
    <n v="3351.55"/>
    <x v="1"/>
    <s v="High Spend"/>
  </r>
  <r>
    <s v="1985-MBRYP"/>
    <s v="Female"/>
    <x v="2"/>
    <n v="43"/>
    <x v="2"/>
    <x v="2"/>
    <n v="19.649999999999999"/>
    <n v="779.25"/>
    <x v="0"/>
    <s v="Yes"/>
    <x v="2"/>
    <n v="779.25"/>
    <x v="2"/>
    <s v="Standard Spend"/>
  </r>
  <r>
    <s v="6158-DWPZT"/>
    <s v="Male"/>
    <x v="1"/>
    <n v="9"/>
    <x v="0"/>
    <x v="0"/>
    <n v="24.1"/>
    <n v="259.8"/>
    <x v="1"/>
    <s v="No"/>
    <x v="2"/>
    <n v="259.8"/>
    <x v="0"/>
    <s v="Standard Spend"/>
  </r>
  <r>
    <s v="9372-TXXPS"/>
    <s v="Female"/>
    <x v="2"/>
    <n v="60"/>
    <x v="0"/>
    <x v="1"/>
    <n v="59.85"/>
    <n v="3483.45"/>
    <x v="0"/>
    <s v="No"/>
    <x v="2"/>
    <n v="3483.45"/>
    <x v="2"/>
    <s v="High Spend"/>
  </r>
  <r>
    <s v="3259-QMXUN"/>
    <s v="Male"/>
    <x v="2"/>
    <n v="58"/>
    <x v="0"/>
    <x v="0"/>
    <n v="86.1"/>
    <n v="4890.5"/>
    <x v="0"/>
    <s v="Yes"/>
    <x v="0"/>
    <n v="4890.5"/>
    <x v="2"/>
    <s v="High Spend"/>
  </r>
  <r>
    <s v="1015-JPFYW"/>
    <s v="Male"/>
    <x v="1"/>
    <n v="7"/>
    <x v="2"/>
    <x v="2"/>
    <n v="19.45"/>
    <n v="136.75"/>
    <x v="0"/>
    <s v="No"/>
    <x v="1"/>
    <n v="136.75"/>
    <x v="0"/>
    <s v="Standard Spend"/>
  </r>
  <r>
    <s v="6645-MXQJT"/>
    <s v="Male"/>
    <x v="0"/>
    <n v="2"/>
    <x v="1"/>
    <x v="0"/>
    <n v="97.1"/>
    <n v="184.15"/>
    <x v="0"/>
    <s v="No"/>
    <x v="0"/>
    <n v="184.15"/>
    <x v="0"/>
    <s v="Standard Spend"/>
  </r>
  <r>
    <s v="4360-QRAVE"/>
    <s v="Male"/>
    <x v="0"/>
    <n v="37"/>
    <x v="0"/>
    <x v="0"/>
    <n v="36.65"/>
    <n v="1315"/>
    <x v="0"/>
    <s v="No"/>
    <x v="0"/>
    <n v="1315"/>
    <x v="2"/>
    <s v="Standard Spend"/>
  </r>
  <r>
    <s v="8433-WPJTV"/>
    <s v="Female"/>
    <x v="1"/>
    <n v="65"/>
    <x v="1"/>
    <x v="1"/>
    <n v="103.9"/>
    <n v="6767.1"/>
    <x v="0"/>
    <s v="Yes"/>
    <x v="2"/>
    <n v="6767.1"/>
    <x v="2"/>
    <s v="High Spend"/>
  </r>
  <r>
    <s v="5804-JMYIO"/>
    <s v="Female"/>
    <x v="2"/>
    <n v="39"/>
    <x v="2"/>
    <x v="2"/>
    <n v="19.75"/>
    <n v="757.95"/>
    <x v="0"/>
    <s v="No"/>
    <x v="1"/>
    <n v="757.95"/>
    <x v="2"/>
    <s v="Standard Spend"/>
  </r>
  <r>
    <s v="3763-GCZHZ"/>
    <s v="Male"/>
    <x v="1"/>
    <n v="66"/>
    <x v="1"/>
    <x v="1"/>
    <n v="104.05"/>
    <n v="6890"/>
    <x v="1"/>
    <s v="Yes"/>
    <x v="0"/>
    <n v="6890"/>
    <x v="2"/>
    <s v="High Spend"/>
  </r>
  <r>
    <s v="6484-LATFU"/>
    <s v="Male"/>
    <x v="2"/>
    <n v="68"/>
    <x v="2"/>
    <x v="2"/>
    <n v="24.55"/>
    <n v="1657.4"/>
    <x v="0"/>
    <s v="No"/>
    <x v="1"/>
    <n v="1657.4"/>
    <x v="2"/>
    <s v="Standard Spend"/>
  </r>
  <r>
    <s v="7599-NTMDP"/>
    <s v="Female"/>
    <x v="2"/>
    <n v="62"/>
    <x v="0"/>
    <x v="1"/>
    <n v="48.7"/>
    <n v="3008.55"/>
    <x v="0"/>
    <s v="No"/>
    <x v="2"/>
    <n v="3008.55"/>
    <x v="2"/>
    <s v="High Spend"/>
  </r>
  <r>
    <s v="0772-GYEQQ"/>
    <s v="Male"/>
    <x v="0"/>
    <n v="3"/>
    <x v="1"/>
    <x v="1"/>
    <n v="88.35"/>
    <n v="262.05"/>
    <x v="1"/>
    <s v="Yes"/>
    <x v="1"/>
    <n v="262.05"/>
    <x v="0"/>
    <s v="Standard Spend"/>
  </r>
  <r>
    <s v="0536-ACXIP"/>
    <s v="Female"/>
    <x v="2"/>
    <n v="72"/>
    <x v="1"/>
    <x v="0"/>
    <n v="109.55"/>
    <n v="8165.1"/>
    <x v="0"/>
    <s v="Yes"/>
    <x v="0"/>
    <n v="8165.1"/>
    <x v="2"/>
    <s v="High Spend"/>
  </r>
  <r>
    <s v="0936-NQLJU"/>
    <s v="Female"/>
    <x v="2"/>
    <n v="41"/>
    <x v="2"/>
    <x v="2"/>
    <n v="20.65"/>
    <n v="875.55"/>
    <x v="0"/>
    <s v="No"/>
    <x v="3"/>
    <n v="875.55"/>
    <x v="2"/>
    <s v="Standard Spend"/>
  </r>
  <r>
    <s v="4831-EOBFE"/>
    <s v="Male"/>
    <x v="0"/>
    <n v="29"/>
    <x v="1"/>
    <x v="0"/>
    <n v="94.65"/>
    <n v="2649.15"/>
    <x v="1"/>
    <s v="No"/>
    <x v="3"/>
    <n v="2649.15"/>
    <x v="1"/>
    <s v="High Spend"/>
  </r>
  <r>
    <s v="1575-KRZZE"/>
    <s v="Female"/>
    <x v="0"/>
    <n v="4"/>
    <x v="0"/>
    <x v="0"/>
    <n v="55.2"/>
    <n v="220.65"/>
    <x v="0"/>
    <s v="No"/>
    <x v="0"/>
    <n v="220.65"/>
    <x v="0"/>
    <s v="Standard Spend"/>
  </r>
  <r>
    <s v="3251-YMVWZ"/>
    <s v="Male"/>
    <x v="1"/>
    <n v="53"/>
    <x v="2"/>
    <x v="2"/>
    <n v="24.05"/>
    <n v="1301.9000000000001"/>
    <x v="0"/>
    <s v="No"/>
    <x v="2"/>
    <n v="1301.9000000000001"/>
    <x v="2"/>
    <s v="Standard Spend"/>
  </r>
  <r>
    <s v="4102-OQUPX"/>
    <s v="Male"/>
    <x v="0"/>
    <n v="1"/>
    <x v="1"/>
    <x v="0"/>
    <n v="74.400000000000006"/>
    <n v="74.400000000000006"/>
    <x v="1"/>
    <s v="Yes"/>
    <x v="0"/>
    <n v="74.400000000000006"/>
    <x v="0"/>
    <s v="Standard Spend"/>
  </r>
  <r>
    <s v="9170-GYZJC"/>
    <s v="Female"/>
    <x v="0"/>
    <n v="41"/>
    <x v="0"/>
    <x v="1"/>
    <n v="79.900000000000006"/>
    <n v="3326.2"/>
    <x v="1"/>
    <s v="No"/>
    <x v="3"/>
    <n v="3326.2"/>
    <x v="2"/>
    <s v="High Spend"/>
  </r>
  <r>
    <s v="4884-LEVMQ"/>
    <s v="Male"/>
    <x v="2"/>
    <n v="39"/>
    <x v="2"/>
    <x v="2"/>
    <n v="20.45"/>
    <n v="790"/>
    <x v="0"/>
    <s v="Yes"/>
    <x v="2"/>
    <n v="790"/>
    <x v="2"/>
    <s v="Standard Spend"/>
  </r>
  <r>
    <s v="8857-CUPFQ"/>
    <s v="Male"/>
    <x v="2"/>
    <n v="63"/>
    <x v="2"/>
    <x v="2"/>
    <n v="19.25"/>
    <n v="1237.6500000000001"/>
    <x v="0"/>
    <s v="No"/>
    <x v="1"/>
    <n v="1237.6500000000001"/>
    <x v="2"/>
    <s v="Standard Spend"/>
  </r>
  <r>
    <s v="7610-TVOPG"/>
    <s v="Male"/>
    <x v="0"/>
    <n v="15"/>
    <x v="2"/>
    <x v="2"/>
    <n v="26.35"/>
    <n v="378.6"/>
    <x v="0"/>
    <s v="Yes"/>
    <x v="0"/>
    <n v="378.6"/>
    <x v="1"/>
    <s v="Standard Spend"/>
  </r>
  <r>
    <s v="3638-DIMPH"/>
    <s v="Female"/>
    <x v="1"/>
    <n v="13"/>
    <x v="0"/>
    <x v="0"/>
    <n v="43.8"/>
    <n v="592.65"/>
    <x v="0"/>
    <s v="No"/>
    <x v="0"/>
    <n v="592.65"/>
    <x v="1"/>
    <s v="Standard Spend"/>
  </r>
  <r>
    <s v="1845-ZLLIG"/>
    <s v="Male"/>
    <x v="0"/>
    <n v="1"/>
    <x v="0"/>
    <x v="0"/>
    <n v="50.15"/>
    <n v="50.15"/>
    <x v="0"/>
    <s v="Yes"/>
    <x v="1"/>
    <n v="50.15"/>
    <x v="0"/>
    <s v="Standard Spend"/>
  </r>
  <r>
    <s v="8559-WNQZS"/>
    <s v="Male"/>
    <x v="2"/>
    <n v="1"/>
    <x v="2"/>
    <x v="2"/>
    <n v="20.45"/>
    <n v="20.45"/>
    <x v="0"/>
    <s v="No"/>
    <x v="1"/>
    <n v="20.45"/>
    <x v="0"/>
    <s v="Standard Spend"/>
  </r>
  <r>
    <s v="3999-QGRJH"/>
    <s v="Male"/>
    <x v="0"/>
    <n v="8"/>
    <x v="1"/>
    <x v="0"/>
    <n v="69.7"/>
    <n v="560.85"/>
    <x v="1"/>
    <s v="Yes"/>
    <x v="0"/>
    <n v="560.85"/>
    <x v="0"/>
    <s v="Standard Spend"/>
  </r>
  <r>
    <s v="1699-UOTXU"/>
    <s v="Male"/>
    <x v="2"/>
    <n v="60"/>
    <x v="0"/>
    <x v="0"/>
    <n v="61.4"/>
    <n v="3638.25"/>
    <x v="0"/>
    <s v="No"/>
    <x v="0"/>
    <n v="3638.25"/>
    <x v="2"/>
    <s v="High Spend"/>
  </r>
  <r>
    <s v="2454-RPBRZ"/>
    <s v="Female"/>
    <x v="0"/>
    <n v="12"/>
    <x v="1"/>
    <x v="0"/>
    <n v="98.1"/>
    <n v="1060.2"/>
    <x v="1"/>
    <s v="Yes"/>
    <x v="0"/>
    <n v="1060.2"/>
    <x v="0"/>
    <s v="Standard Spend"/>
  </r>
  <r>
    <s v="0635-WKOLD"/>
    <s v="Male"/>
    <x v="1"/>
    <n v="40"/>
    <x v="0"/>
    <x v="1"/>
    <n v="70.75"/>
    <n v="2921.75"/>
    <x v="0"/>
    <s v="No"/>
    <x v="3"/>
    <n v="2921.75"/>
    <x v="2"/>
    <s v="High Spend"/>
  </r>
  <r>
    <s v="5993-JSUWV"/>
    <s v="Female"/>
    <x v="2"/>
    <n v="66"/>
    <x v="0"/>
    <x v="0"/>
    <n v="61.15"/>
    <n v="4017.45"/>
    <x v="0"/>
    <s v="Yes"/>
    <x v="2"/>
    <n v="4017.45"/>
    <x v="2"/>
    <s v="High Spend"/>
  </r>
  <r>
    <s v="4518-FZBSX"/>
    <s v="Male"/>
    <x v="1"/>
    <n v="42"/>
    <x v="2"/>
    <x v="2"/>
    <n v="20.25"/>
    <n v="854.9"/>
    <x v="0"/>
    <s v="No"/>
    <x v="1"/>
    <n v="854.9"/>
    <x v="2"/>
    <s v="Standard Spend"/>
  </r>
  <r>
    <s v="5387-ASZNZ"/>
    <s v="Female"/>
    <x v="1"/>
    <n v="66"/>
    <x v="0"/>
    <x v="1"/>
    <n v="63.85"/>
    <n v="4174.3500000000004"/>
    <x v="0"/>
    <s v="Yes"/>
    <x v="3"/>
    <n v="4174.3500000000004"/>
    <x v="2"/>
    <s v="High Spend"/>
  </r>
  <r>
    <s v="6988-CJEYV"/>
    <s v="Male"/>
    <x v="0"/>
    <n v="49"/>
    <x v="1"/>
    <x v="0"/>
    <n v="98.7"/>
    <n v="4920.55"/>
    <x v="0"/>
    <s v="No"/>
    <x v="0"/>
    <n v="4920.55"/>
    <x v="2"/>
    <s v="High Spend"/>
  </r>
  <r>
    <s v="2002-MZHWP"/>
    <s v="Female"/>
    <x v="0"/>
    <n v="1"/>
    <x v="2"/>
    <x v="2"/>
    <n v="20.5"/>
    <n v="20.5"/>
    <x v="1"/>
    <s v="No"/>
    <x v="1"/>
    <n v="20.5"/>
    <x v="0"/>
    <s v="Standard Spend"/>
  </r>
  <r>
    <s v="3097-FQTVJ"/>
    <s v="Female"/>
    <x v="2"/>
    <n v="41"/>
    <x v="2"/>
    <x v="2"/>
    <n v="20"/>
    <n v="810.3"/>
    <x v="0"/>
    <s v="No"/>
    <x v="1"/>
    <n v="810.3"/>
    <x v="2"/>
    <s v="Standard Spend"/>
  </r>
  <r>
    <s v="5465-BUBFA"/>
    <s v="Female"/>
    <x v="2"/>
    <n v="41"/>
    <x v="2"/>
    <x v="2"/>
    <n v="19.3"/>
    <n v="772.4"/>
    <x v="0"/>
    <s v="No"/>
    <x v="2"/>
    <n v="772.4"/>
    <x v="2"/>
    <s v="Standard Spend"/>
  </r>
  <r>
    <s v="7299-GNVPL"/>
    <s v="Female"/>
    <x v="0"/>
    <n v="23"/>
    <x v="1"/>
    <x v="1"/>
    <n v="84.4"/>
    <n v="1936.85"/>
    <x v="0"/>
    <s v="No"/>
    <x v="1"/>
    <n v="1936.85"/>
    <x v="1"/>
    <s v="Standard Spend"/>
  </r>
  <r>
    <s v="9743-DQKQW"/>
    <s v="Male"/>
    <x v="0"/>
    <n v="3"/>
    <x v="0"/>
    <x v="0"/>
    <n v="25.1"/>
    <n v="79.8"/>
    <x v="0"/>
    <s v="No"/>
    <x v="0"/>
    <n v="79.8"/>
    <x v="0"/>
    <s v="Standard Spend"/>
  </r>
  <r>
    <s v="1215-VFYVK"/>
    <s v="Female"/>
    <x v="0"/>
    <n v="4"/>
    <x v="0"/>
    <x v="1"/>
    <n v="48.25"/>
    <n v="202.25"/>
    <x v="0"/>
    <s v="No"/>
    <x v="1"/>
    <n v="202.25"/>
    <x v="0"/>
    <s v="Standard Spend"/>
  </r>
  <r>
    <s v="9371-BITHB"/>
    <s v="Female"/>
    <x v="2"/>
    <n v="52"/>
    <x v="2"/>
    <x v="2"/>
    <n v="19.850000000000001"/>
    <n v="1070.5"/>
    <x v="0"/>
    <s v="No"/>
    <x v="1"/>
    <n v="1070.5"/>
    <x v="2"/>
    <s v="Standard Spend"/>
  </r>
  <r>
    <s v="2265-CYWIV"/>
    <s v="Female"/>
    <x v="0"/>
    <n v="4"/>
    <x v="1"/>
    <x v="0"/>
    <n v="99.6"/>
    <n v="347.65"/>
    <x v="1"/>
    <s v="Yes"/>
    <x v="0"/>
    <n v="347.65"/>
    <x v="0"/>
    <s v="Standard Spend"/>
  </r>
  <r>
    <s v="9093-FPDLG"/>
    <s v="Female"/>
    <x v="0"/>
    <n v="11"/>
    <x v="1"/>
    <x v="1"/>
    <n v="94.2"/>
    <n v="999.9"/>
    <x v="0"/>
    <s v="Yes"/>
    <x v="0"/>
    <n v="999.9"/>
    <x v="0"/>
    <s v="Standard Spend"/>
  </r>
  <r>
    <s v="0541-FITGH"/>
    <s v="Female"/>
    <x v="0"/>
    <n v="2"/>
    <x v="0"/>
    <x v="0"/>
    <n v="62.15"/>
    <n v="113.1"/>
    <x v="0"/>
    <s v="Yes"/>
    <x v="1"/>
    <n v="113.1"/>
    <x v="0"/>
    <s v="Standard Spend"/>
  </r>
  <r>
    <s v="6985-HAYWX"/>
    <s v="Female"/>
    <x v="0"/>
    <n v="26"/>
    <x v="1"/>
    <x v="0"/>
    <n v="79.3"/>
    <n v="2015.8"/>
    <x v="0"/>
    <s v="No"/>
    <x v="2"/>
    <n v="2015.8"/>
    <x v="1"/>
    <s v="Standard Spend"/>
  </r>
  <r>
    <s v="7508-KBIMB"/>
    <s v="Male"/>
    <x v="1"/>
    <n v="24"/>
    <x v="0"/>
    <x v="0"/>
    <n v="56.25"/>
    <n v="1454.25"/>
    <x v="0"/>
    <s v="Yes"/>
    <x v="3"/>
    <n v="1454.25"/>
    <x v="1"/>
    <s v="Standard Spend"/>
  </r>
  <r>
    <s v="6838-HVLXG"/>
    <s v="Female"/>
    <x v="0"/>
    <n v="12"/>
    <x v="2"/>
    <x v="2"/>
    <n v="20.3"/>
    <n v="246.7"/>
    <x v="0"/>
    <s v="No"/>
    <x v="1"/>
    <n v="246.7"/>
    <x v="0"/>
    <s v="Standard Spend"/>
  </r>
  <r>
    <s v="2277-DJJDL"/>
    <s v="Male"/>
    <x v="0"/>
    <n v="60"/>
    <x v="1"/>
    <x v="1"/>
    <n v="99"/>
    <n v="6017.9"/>
    <x v="0"/>
    <s v="Yes"/>
    <x v="0"/>
    <n v="6017.9"/>
    <x v="2"/>
    <s v="High Spend"/>
  </r>
  <r>
    <s v="1897-OKVMW"/>
    <s v="Female"/>
    <x v="2"/>
    <n v="64"/>
    <x v="0"/>
    <x v="1"/>
    <n v="90.6"/>
    <n v="5817.45"/>
    <x v="0"/>
    <s v="Yes"/>
    <x v="1"/>
    <n v="5817.45"/>
    <x v="2"/>
    <s v="High Spend"/>
  </r>
  <r>
    <s v="5485-ITNPC"/>
    <s v="Male"/>
    <x v="2"/>
    <n v="66"/>
    <x v="0"/>
    <x v="1"/>
    <n v="85.9"/>
    <n v="5595.3"/>
    <x v="0"/>
    <s v="Yes"/>
    <x v="2"/>
    <n v="5595.3"/>
    <x v="2"/>
    <s v="High Spend"/>
  </r>
  <r>
    <s v="0233-FTHAV"/>
    <s v="Female"/>
    <x v="1"/>
    <n v="60"/>
    <x v="1"/>
    <x v="0"/>
    <n v="79.2"/>
    <n v="4765"/>
    <x v="0"/>
    <s v="Yes"/>
    <x v="2"/>
    <n v="4765"/>
    <x v="2"/>
    <s v="High Spend"/>
  </r>
  <r>
    <s v="4644-PIZRT"/>
    <s v="Male"/>
    <x v="1"/>
    <n v="17"/>
    <x v="0"/>
    <x v="0"/>
    <n v="70.349999999999994"/>
    <n v="1201.6500000000001"/>
    <x v="0"/>
    <s v="Yes"/>
    <x v="2"/>
    <n v="1201.6500000000001"/>
    <x v="1"/>
    <s v="Standard Spend"/>
  </r>
  <r>
    <s v="8922-NPKBJ"/>
    <s v="Male"/>
    <x v="2"/>
    <n v="42"/>
    <x v="2"/>
    <x v="2"/>
    <n v="19.350000000000001"/>
    <n v="867.3"/>
    <x v="0"/>
    <s v="No"/>
    <x v="1"/>
    <n v="867.3"/>
    <x v="2"/>
    <s v="Standard Spend"/>
  </r>
  <r>
    <s v="2740-TVLFN"/>
    <s v="Male"/>
    <x v="0"/>
    <n v="1"/>
    <x v="0"/>
    <x v="0"/>
    <n v="50.15"/>
    <n v="50.15"/>
    <x v="0"/>
    <s v="Yes"/>
    <x v="0"/>
    <n v="50.15"/>
    <x v="0"/>
    <s v="Standard Spend"/>
  </r>
  <r>
    <s v="7771-CFQRQ"/>
    <s v="Female"/>
    <x v="2"/>
    <n v="47"/>
    <x v="0"/>
    <x v="1"/>
    <n v="63.8"/>
    <n v="3007.25"/>
    <x v="0"/>
    <s v="No"/>
    <x v="2"/>
    <n v="3007.25"/>
    <x v="2"/>
    <s v="High Spend"/>
  </r>
  <r>
    <s v="9512-PHSMG"/>
    <s v="Female"/>
    <x v="0"/>
    <n v="10"/>
    <x v="2"/>
    <x v="2"/>
    <n v="20.55"/>
    <n v="252.75"/>
    <x v="0"/>
    <s v="Yes"/>
    <x v="1"/>
    <n v="252.75"/>
    <x v="0"/>
    <s v="Standard Spend"/>
  </r>
  <r>
    <s v="6963-EZQEE"/>
    <s v="Male"/>
    <x v="2"/>
    <n v="70"/>
    <x v="0"/>
    <x v="1"/>
    <n v="88.55"/>
    <n v="6306.5"/>
    <x v="0"/>
    <s v="Yes"/>
    <x v="3"/>
    <n v="6306.5"/>
    <x v="2"/>
    <s v="High Spend"/>
  </r>
  <r>
    <s v="2452-KDRRH"/>
    <s v="Male"/>
    <x v="0"/>
    <n v="67"/>
    <x v="1"/>
    <x v="0"/>
    <n v="101.4"/>
    <n v="6841.05"/>
    <x v="0"/>
    <s v="Yes"/>
    <x v="3"/>
    <n v="6841.05"/>
    <x v="2"/>
    <s v="High Spend"/>
  </r>
  <r>
    <s v="2004-OCQXK"/>
    <s v="Female"/>
    <x v="0"/>
    <n v="1"/>
    <x v="1"/>
    <x v="0"/>
    <n v="81.95"/>
    <n v="81.95"/>
    <x v="1"/>
    <s v="Yes"/>
    <x v="0"/>
    <n v="81.95"/>
    <x v="0"/>
    <s v="Standard Spend"/>
  </r>
  <r>
    <s v="5027-QPKTE"/>
    <s v="Male"/>
    <x v="0"/>
    <n v="7"/>
    <x v="1"/>
    <x v="0"/>
    <n v="69.349999999999994"/>
    <n v="451.1"/>
    <x v="1"/>
    <s v="Yes"/>
    <x v="0"/>
    <n v="451.1"/>
    <x v="0"/>
    <s v="Standard Spend"/>
  </r>
  <r>
    <s v="4146-SVFUD"/>
    <s v="Male"/>
    <x v="0"/>
    <n v="1"/>
    <x v="0"/>
    <x v="0"/>
    <n v="44.6"/>
    <n v="44.6"/>
    <x v="0"/>
    <s v="No"/>
    <x v="1"/>
    <n v="44.6"/>
    <x v="0"/>
    <s v="Standard Spend"/>
  </r>
  <r>
    <s v="1564-HJUVY"/>
    <s v="Male"/>
    <x v="0"/>
    <n v="4"/>
    <x v="0"/>
    <x v="1"/>
    <n v="63.75"/>
    <n v="226.2"/>
    <x v="0"/>
    <s v="Yes"/>
    <x v="2"/>
    <n v="226.2"/>
    <x v="0"/>
    <s v="Standard Spend"/>
  </r>
  <r>
    <s v="3617-XLSGQ"/>
    <s v="Female"/>
    <x v="2"/>
    <n v="66"/>
    <x v="1"/>
    <x v="0"/>
    <n v="109.25"/>
    <n v="7082.5"/>
    <x v="0"/>
    <s v="No"/>
    <x v="2"/>
    <n v="7082.5"/>
    <x v="2"/>
    <s v="High Spend"/>
  </r>
  <r>
    <s v="7517-LDMPS"/>
    <s v="Female"/>
    <x v="0"/>
    <n v="12"/>
    <x v="1"/>
    <x v="0"/>
    <n v="84.6"/>
    <n v="1017.35"/>
    <x v="0"/>
    <s v="Yes"/>
    <x v="0"/>
    <n v="1017.35"/>
    <x v="0"/>
    <s v="Standard Spend"/>
  </r>
  <r>
    <s v="7244-KXYZN"/>
    <s v="Female"/>
    <x v="1"/>
    <n v="24"/>
    <x v="2"/>
    <x v="2"/>
    <n v="20.45"/>
    <n v="527.35"/>
    <x v="0"/>
    <s v="No"/>
    <x v="3"/>
    <n v="527.35"/>
    <x v="1"/>
    <s v="Standard Spend"/>
  </r>
  <r>
    <s v="5226-NOZFC"/>
    <s v="Male"/>
    <x v="0"/>
    <n v="26"/>
    <x v="1"/>
    <x v="0"/>
    <n v="85.75"/>
    <n v="2146.5"/>
    <x v="0"/>
    <s v="Yes"/>
    <x v="0"/>
    <n v="2146.5"/>
    <x v="1"/>
    <s v="Standard Spend"/>
  </r>
  <r>
    <s v="2672-HUYVI"/>
    <s v="Female"/>
    <x v="0"/>
    <n v="6"/>
    <x v="1"/>
    <x v="0"/>
    <n v="91.1"/>
    <n v="455.3"/>
    <x v="1"/>
    <s v="Yes"/>
    <x v="0"/>
    <n v="455.3"/>
    <x v="0"/>
    <s v="Standard Spend"/>
  </r>
  <r>
    <s v="1400-WIVLL"/>
    <s v="Male"/>
    <x v="2"/>
    <n v="57"/>
    <x v="1"/>
    <x v="1"/>
    <n v="107.95"/>
    <n v="5969.85"/>
    <x v="0"/>
    <s v="No"/>
    <x v="0"/>
    <n v="5969.85"/>
    <x v="2"/>
    <s v="High Spend"/>
  </r>
  <r>
    <s v="7508-MYBOG"/>
    <s v="Male"/>
    <x v="0"/>
    <n v="14"/>
    <x v="1"/>
    <x v="0"/>
    <n v="86.1"/>
    <n v="1235.55"/>
    <x v="1"/>
    <s v="Yes"/>
    <x v="0"/>
    <n v="1235.55"/>
    <x v="1"/>
    <s v="Standard Spend"/>
  </r>
  <r>
    <s v="8148-NLEGT"/>
    <s v="Female"/>
    <x v="2"/>
    <n v="42"/>
    <x v="2"/>
    <x v="2"/>
    <n v="22.95"/>
    <n v="1014.25"/>
    <x v="0"/>
    <s v="No"/>
    <x v="0"/>
    <n v="1014.25"/>
    <x v="2"/>
    <s v="Standard Spend"/>
  </r>
  <r>
    <s v="0148-DCDOS"/>
    <s v="Male"/>
    <x v="0"/>
    <n v="25"/>
    <x v="1"/>
    <x v="0"/>
    <n v="94.7"/>
    <n v="2362.1"/>
    <x v="1"/>
    <s v="Yes"/>
    <x v="2"/>
    <n v="2362.1"/>
    <x v="1"/>
    <s v="Standard Spend"/>
  </r>
  <r>
    <s v="8347-GDTMP"/>
    <s v="Female"/>
    <x v="2"/>
    <n v="64"/>
    <x v="2"/>
    <x v="2"/>
    <n v="19.45"/>
    <n v="1225.6500000000001"/>
    <x v="0"/>
    <s v="No"/>
    <x v="3"/>
    <n v="1225.6500000000001"/>
    <x v="2"/>
    <s v="Standard Spend"/>
  </r>
  <r>
    <s v="9992-RRAMN"/>
    <s v="Male"/>
    <x v="0"/>
    <n v="22"/>
    <x v="1"/>
    <x v="0"/>
    <n v="85.1"/>
    <n v="1873.7"/>
    <x v="1"/>
    <s v="Yes"/>
    <x v="0"/>
    <n v="1873.7"/>
    <x v="1"/>
    <s v="Standard Spend"/>
  </r>
  <r>
    <s v="6746-WAUWT"/>
    <s v="Male"/>
    <x v="1"/>
    <n v="19"/>
    <x v="2"/>
    <x v="2"/>
    <n v="19.7"/>
    <n v="386.5"/>
    <x v="0"/>
    <s v="Yes"/>
    <x v="3"/>
    <n v="386.5"/>
    <x v="1"/>
    <s v="Standard Spend"/>
  </r>
  <r>
    <s v="0310-MVLET"/>
    <s v="Female"/>
    <x v="0"/>
    <n v="61"/>
    <x v="1"/>
    <x v="0"/>
    <n v="99.15"/>
    <n v="6010.05"/>
    <x v="1"/>
    <s v="Yes"/>
    <x v="0"/>
    <n v="6010.05"/>
    <x v="2"/>
    <s v="High Spend"/>
  </r>
  <r>
    <s v="0428-IKYCP"/>
    <s v="Male"/>
    <x v="0"/>
    <n v="22"/>
    <x v="1"/>
    <x v="0"/>
    <n v="87"/>
    <n v="1850.65"/>
    <x v="0"/>
    <s v="Yes"/>
    <x v="2"/>
    <n v="1850.65"/>
    <x v="1"/>
    <s v="Standard Spend"/>
  </r>
  <r>
    <s v="4550-VBOFE"/>
    <s v="Male"/>
    <x v="0"/>
    <n v="70"/>
    <x v="1"/>
    <x v="0"/>
    <n v="102.95"/>
    <n v="7101.5"/>
    <x v="1"/>
    <s v="Yes"/>
    <x v="0"/>
    <n v="7101.5"/>
    <x v="2"/>
    <s v="High Spend"/>
  </r>
  <r>
    <s v="2187-PKZAY"/>
    <s v="Male"/>
    <x v="0"/>
    <n v="12"/>
    <x v="1"/>
    <x v="0"/>
    <n v="79.95"/>
    <n v="1043.4000000000001"/>
    <x v="0"/>
    <s v="Yes"/>
    <x v="2"/>
    <n v="1043.4000000000001"/>
    <x v="0"/>
    <s v="Standard Spend"/>
  </r>
  <r>
    <s v="4003-OCTMP"/>
    <s v="Female"/>
    <x v="1"/>
    <n v="31"/>
    <x v="0"/>
    <x v="1"/>
    <n v="64"/>
    <n v="1910.75"/>
    <x v="0"/>
    <s v="Yes"/>
    <x v="0"/>
    <n v="1910.75"/>
    <x v="1"/>
    <s v="Standard Spend"/>
  </r>
  <r>
    <s v="6652-YFFJO"/>
    <s v="Female"/>
    <x v="0"/>
    <n v="11"/>
    <x v="0"/>
    <x v="0"/>
    <n v="64.900000000000006"/>
    <n v="716.1"/>
    <x v="0"/>
    <s v="Yes"/>
    <x v="0"/>
    <n v="716.1"/>
    <x v="0"/>
    <s v="Standard Spend"/>
  </r>
  <r>
    <s v="7225-IILWY"/>
    <s v="Male"/>
    <x v="2"/>
    <n v="68"/>
    <x v="2"/>
    <x v="2"/>
    <n v="25.75"/>
    <n v="1686.15"/>
    <x v="0"/>
    <s v="No"/>
    <x v="1"/>
    <n v="1686.15"/>
    <x v="2"/>
    <s v="Standard Spend"/>
  </r>
  <r>
    <s v="5248-RPYWW"/>
    <s v="Female"/>
    <x v="2"/>
    <n v="72"/>
    <x v="0"/>
    <x v="1"/>
    <n v="90.15"/>
    <n v="6716.45"/>
    <x v="0"/>
    <s v="Yes"/>
    <x v="2"/>
    <n v="6716.45"/>
    <x v="2"/>
    <s v="High Spend"/>
  </r>
  <r>
    <s v="7923-IYJWY"/>
    <s v="Male"/>
    <x v="2"/>
    <n v="67"/>
    <x v="1"/>
    <x v="1"/>
    <n v="116.1"/>
    <n v="7839.85"/>
    <x v="0"/>
    <s v="Yes"/>
    <x v="3"/>
    <n v="7839.85"/>
    <x v="2"/>
    <s v="High Spend"/>
  </r>
  <r>
    <s v="3170-GWYKC"/>
    <s v="Female"/>
    <x v="0"/>
    <n v="60"/>
    <x v="1"/>
    <x v="1"/>
    <n v="104.95"/>
    <n v="6236.75"/>
    <x v="0"/>
    <s v="Yes"/>
    <x v="2"/>
    <n v="6236.75"/>
    <x v="2"/>
    <s v="High Spend"/>
  </r>
  <r>
    <s v="5696-QURRL"/>
    <s v="Male"/>
    <x v="0"/>
    <n v="1"/>
    <x v="0"/>
    <x v="0"/>
    <n v="45.05"/>
    <n v="45.05"/>
    <x v="1"/>
    <s v="Yes"/>
    <x v="1"/>
    <n v="45.05"/>
    <x v="0"/>
    <s v="Standard Spend"/>
  </r>
  <r>
    <s v="7409-KIUTL"/>
    <s v="Female"/>
    <x v="0"/>
    <n v="1"/>
    <x v="1"/>
    <x v="0"/>
    <n v="71"/>
    <n v="71"/>
    <x v="1"/>
    <s v="Yes"/>
    <x v="0"/>
    <n v="71"/>
    <x v="0"/>
    <s v="Standard Spend"/>
  </r>
  <r>
    <s v="9830-ECLEN"/>
    <s v="Male"/>
    <x v="1"/>
    <n v="58"/>
    <x v="0"/>
    <x v="0"/>
    <n v="50"/>
    <n v="2919.85"/>
    <x v="0"/>
    <s v="No"/>
    <x v="1"/>
    <n v="2919.85"/>
    <x v="2"/>
    <s v="High Spend"/>
  </r>
  <r>
    <s v="1732-VHUBQ"/>
    <s v="Female"/>
    <x v="0"/>
    <n v="47"/>
    <x v="1"/>
    <x v="0"/>
    <n v="70.55"/>
    <n v="3309.25"/>
    <x v="1"/>
    <s v="No"/>
    <x v="2"/>
    <n v="3309.25"/>
    <x v="2"/>
    <s v="High Spend"/>
  </r>
  <r>
    <s v="0495-RVCBF"/>
    <s v="Female"/>
    <x v="0"/>
    <n v="1"/>
    <x v="1"/>
    <x v="0"/>
    <n v="79.7"/>
    <n v="79.7"/>
    <x v="1"/>
    <s v="Yes"/>
    <x v="0"/>
    <n v="79.7"/>
    <x v="0"/>
    <s v="Standard Spend"/>
  </r>
  <r>
    <s v="2668-TZSPS"/>
    <s v="Male"/>
    <x v="0"/>
    <n v="1"/>
    <x v="2"/>
    <x v="2"/>
    <n v="20.45"/>
    <n v="20.45"/>
    <x v="0"/>
    <s v="No"/>
    <x v="1"/>
    <n v="20.45"/>
    <x v="0"/>
    <s v="Standard Spend"/>
  </r>
  <r>
    <s v="7854-EDSSA"/>
    <s v="Male"/>
    <x v="0"/>
    <n v="22"/>
    <x v="0"/>
    <x v="0"/>
    <n v="59"/>
    <n v="1254.7"/>
    <x v="1"/>
    <s v="No"/>
    <x v="0"/>
    <n v="1254.7"/>
    <x v="1"/>
    <s v="Standard Spend"/>
  </r>
  <r>
    <s v="8869-TORSS"/>
    <s v="Female"/>
    <x v="1"/>
    <n v="48"/>
    <x v="0"/>
    <x v="1"/>
    <n v="60.35"/>
    <n v="2896.4"/>
    <x v="1"/>
    <s v="Yes"/>
    <x v="3"/>
    <n v="2896.4"/>
    <x v="2"/>
    <s v="High Spend"/>
  </r>
  <r>
    <s v="7446-SFAOA"/>
    <s v="Female"/>
    <x v="1"/>
    <n v="37"/>
    <x v="2"/>
    <x v="2"/>
    <n v="19.850000000000001"/>
    <n v="717.5"/>
    <x v="0"/>
    <s v="Yes"/>
    <x v="2"/>
    <n v="717.5"/>
    <x v="2"/>
    <s v="Standard Spend"/>
  </r>
  <r>
    <s v="9522-ZSINC"/>
    <s v="Male"/>
    <x v="1"/>
    <n v="13"/>
    <x v="2"/>
    <x v="2"/>
    <n v="19.95"/>
    <n v="253.8"/>
    <x v="0"/>
    <s v="Yes"/>
    <x v="0"/>
    <n v="253.8"/>
    <x v="1"/>
    <s v="Standard Spend"/>
  </r>
  <r>
    <s v="8234-GSZYK"/>
    <s v="Male"/>
    <x v="2"/>
    <n v="43"/>
    <x v="2"/>
    <x v="2"/>
    <n v="26.45"/>
    <n v="1110.05"/>
    <x v="0"/>
    <s v="No"/>
    <x v="2"/>
    <n v="1110.05"/>
    <x v="2"/>
    <s v="Standard Spend"/>
  </r>
  <r>
    <s v="6505-OZNPG"/>
    <s v="Female"/>
    <x v="2"/>
    <n v="6"/>
    <x v="0"/>
    <x v="1"/>
    <n v="63.4"/>
    <n v="348.8"/>
    <x v="0"/>
    <s v="Yes"/>
    <x v="1"/>
    <n v="348.8"/>
    <x v="0"/>
    <s v="Standard Spend"/>
  </r>
  <r>
    <s v="6164-HAQTX"/>
    <s v="Male"/>
    <x v="2"/>
    <n v="71"/>
    <x v="0"/>
    <x v="1"/>
    <n v="53.95"/>
    <n v="3888.65"/>
    <x v="0"/>
    <s v="No"/>
    <x v="2"/>
    <n v="3888.65"/>
    <x v="2"/>
    <s v="High Spend"/>
  </r>
  <r>
    <s v="0679-IDSTG"/>
    <s v="Female"/>
    <x v="0"/>
    <n v="1"/>
    <x v="1"/>
    <x v="0"/>
    <n v="69.25"/>
    <n v="69.25"/>
    <x v="1"/>
    <s v="Yes"/>
    <x v="0"/>
    <n v="69.25"/>
    <x v="0"/>
    <s v="Standard Spend"/>
  </r>
  <r>
    <s v="7765-LWVVH"/>
    <s v="Female"/>
    <x v="2"/>
    <n v="72"/>
    <x v="1"/>
    <x v="0"/>
    <n v="95.1"/>
    <n v="6843.15"/>
    <x v="0"/>
    <s v="Yes"/>
    <x v="0"/>
    <n v="6843.15"/>
    <x v="2"/>
    <s v="High Spend"/>
  </r>
  <r>
    <s v="1658-TJVOA"/>
    <s v="Female"/>
    <x v="0"/>
    <n v="6"/>
    <x v="1"/>
    <x v="0"/>
    <n v="74.099999999999994"/>
    <n v="450.9"/>
    <x v="0"/>
    <s v="Yes"/>
    <x v="0"/>
    <n v="450.9"/>
    <x v="0"/>
    <s v="Standard Spend"/>
  </r>
  <r>
    <s v="0953-LGOVU"/>
    <s v="Male"/>
    <x v="0"/>
    <n v="12"/>
    <x v="0"/>
    <x v="1"/>
    <n v="35.5"/>
    <n v="432.25"/>
    <x v="0"/>
    <s v="No"/>
    <x v="1"/>
    <n v="432.25"/>
    <x v="0"/>
    <s v="Standard Spend"/>
  </r>
  <r>
    <s v="2115-BFTIW"/>
    <s v="Male"/>
    <x v="0"/>
    <n v="25"/>
    <x v="1"/>
    <x v="0"/>
    <n v="70.95"/>
    <n v="1767.35"/>
    <x v="1"/>
    <s v="No"/>
    <x v="1"/>
    <n v="1767.35"/>
    <x v="1"/>
    <s v="Standard Spend"/>
  </r>
  <r>
    <s v="4692-NNQRU"/>
    <s v="Female"/>
    <x v="1"/>
    <n v="21"/>
    <x v="1"/>
    <x v="1"/>
    <n v="79.2"/>
    <n v="1742.45"/>
    <x v="0"/>
    <s v="No"/>
    <x v="0"/>
    <n v="1742.45"/>
    <x v="1"/>
    <s v="Standard Spend"/>
  </r>
  <r>
    <s v="7742-MYPGI"/>
    <s v="Female"/>
    <x v="0"/>
    <n v="6"/>
    <x v="0"/>
    <x v="1"/>
    <n v="48.8"/>
    <n v="297.35000000000002"/>
    <x v="0"/>
    <s v="Yes"/>
    <x v="1"/>
    <n v="297.35000000000002"/>
    <x v="0"/>
    <s v="Standard Spend"/>
  </r>
  <r>
    <s v="0611-DFXKO"/>
    <s v="Male"/>
    <x v="0"/>
    <n v="20"/>
    <x v="1"/>
    <x v="0"/>
    <n v="89"/>
    <n v="1820.45"/>
    <x v="1"/>
    <s v="Yes"/>
    <x v="1"/>
    <n v="1820.45"/>
    <x v="1"/>
    <s v="Standard Spend"/>
  </r>
  <r>
    <s v="7780-OTDSO"/>
    <s v="Male"/>
    <x v="0"/>
    <n v="18"/>
    <x v="1"/>
    <x v="0"/>
    <n v="99.4"/>
    <n v="1742.95"/>
    <x v="1"/>
    <s v="Yes"/>
    <x v="0"/>
    <n v="1742.95"/>
    <x v="1"/>
    <s v="Standard Spend"/>
  </r>
  <r>
    <s v="9619-GSATL"/>
    <s v="Female"/>
    <x v="1"/>
    <n v="43"/>
    <x v="0"/>
    <x v="1"/>
    <n v="55.45"/>
    <n v="2444.25"/>
    <x v="0"/>
    <s v="No"/>
    <x v="0"/>
    <n v="2444.25"/>
    <x v="2"/>
    <s v="Standard Spend"/>
  </r>
  <r>
    <s v="5622-UEJFI"/>
    <s v="Female"/>
    <x v="2"/>
    <n v="35"/>
    <x v="2"/>
    <x v="2"/>
    <n v="25.4"/>
    <n v="949.8"/>
    <x v="0"/>
    <s v="Yes"/>
    <x v="3"/>
    <n v="949.8"/>
    <x v="1"/>
    <s v="Standard Spend"/>
  </r>
  <r>
    <s v="9747-DDZOS"/>
    <s v="Female"/>
    <x v="0"/>
    <n v="1"/>
    <x v="1"/>
    <x v="0"/>
    <n v="73.5"/>
    <n v="73.5"/>
    <x v="1"/>
    <s v="No"/>
    <x v="2"/>
    <n v="73.5"/>
    <x v="0"/>
    <s v="Standard Spend"/>
  </r>
  <r>
    <s v="0674-DGMAQ"/>
    <s v="Male"/>
    <x v="0"/>
    <n v="32"/>
    <x v="1"/>
    <x v="0"/>
    <n v="93.5"/>
    <n v="2970.8"/>
    <x v="0"/>
    <s v="Yes"/>
    <x v="0"/>
    <n v="2970.8"/>
    <x v="1"/>
    <s v="High Spend"/>
  </r>
  <r>
    <s v="6203-HBZPA"/>
    <s v="Male"/>
    <x v="2"/>
    <n v="52"/>
    <x v="0"/>
    <x v="1"/>
    <n v="63.9"/>
    <n v="3334.95"/>
    <x v="0"/>
    <s v="No"/>
    <x v="3"/>
    <n v="3334.95"/>
    <x v="2"/>
    <s v="High Spend"/>
  </r>
  <r>
    <s v="0484-FFVBJ"/>
    <s v="Male"/>
    <x v="1"/>
    <n v="32"/>
    <x v="0"/>
    <x v="0"/>
    <n v="64.849999999999994"/>
    <n v="2010.95"/>
    <x v="0"/>
    <s v="Yes"/>
    <x v="2"/>
    <n v="2010.95"/>
    <x v="1"/>
    <s v="Standard Spend"/>
  </r>
  <r>
    <s v="0301-FIDRB"/>
    <s v="Female"/>
    <x v="2"/>
    <n v="72"/>
    <x v="0"/>
    <x v="1"/>
    <n v="63.8"/>
    <n v="4684.3"/>
    <x v="0"/>
    <s v="Yes"/>
    <x v="2"/>
    <n v="4684.3"/>
    <x v="2"/>
    <s v="High Spend"/>
  </r>
  <r>
    <s v="4139-JPIAM"/>
    <s v="Male"/>
    <x v="0"/>
    <n v="51"/>
    <x v="0"/>
    <x v="1"/>
    <n v="44.45"/>
    <n v="2181.5500000000002"/>
    <x v="0"/>
    <s v="Yes"/>
    <x v="3"/>
    <n v="2181.5500000000002"/>
    <x v="2"/>
    <s v="Standard Spend"/>
  </r>
  <r>
    <s v="2181-TIDSV"/>
    <s v="Male"/>
    <x v="2"/>
    <n v="68"/>
    <x v="2"/>
    <x v="2"/>
    <n v="19.95"/>
    <n v="1303.25"/>
    <x v="0"/>
    <s v="Yes"/>
    <x v="2"/>
    <n v="1303.25"/>
    <x v="2"/>
    <s v="Standard Spend"/>
  </r>
  <r>
    <s v="2761-XECQW"/>
    <s v="Male"/>
    <x v="0"/>
    <n v="8"/>
    <x v="0"/>
    <x v="0"/>
    <n v="43.35"/>
    <n v="371.4"/>
    <x v="0"/>
    <s v="Yes"/>
    <x v="1"/>
    <n v="371.4"/>
    <x v="0"/>
    <s v="Standard Spend"/>
  </r>
  <r>
    <s v="1936-CZAKF"/>
    <s v="Male"/>
    <x v="2"/>
    <n v="49"/>
    <x v="0"/>
    <x v="0"/>
    <n v="49.65"/>
    <n v="2409.9"/>
    <x v="0"/>
    <s v="No"/>
    <x v="3"/>
    <n v="2409.9"/>
    <x v="2"/>
    <s v="Standard Spend"/>
  </r>
  <r>
    <s v="9453-PATOS"/>
    <s v="Female"/>
    <x v="2"/>
    <n v="72"/>
    <x v="0"/>
    <x v="1"/>
    <n v="85.1"/>
    <n v="6155.4"/>
    <x v="0"/>
    <s v="No"/>
    <x v="1"/>
    <n v="6155.4"/>
    <x v="2"/>
    <s v="High Spend"/>
  </r>
  <r>
    <s v="0564-JJHGS"/>
    <s v="Male"/>
    <x v="0"/>
    <n v="9"/>
    <x v="1"/>
    <x v="0"/>
    <n v="95.5"/>
    <n v="829.1"/>
    <x v="1"/>
    <s v="Yes"/>
    <x v="0"/>
    <n v="829.1"/>
    <x v="0"/>
    <s v="Standard Spend"/>
  </r>
  <r>
    <s v="3348-CFRNX"/>
    <s v="Female"/>
    <x v="0"/>
    <n v="28"/>
    <x v="1"/>
    <x v="0"/>
    <n v="92.35"/>
    <n v="2602.9"/>
    <x v="1"/>
    <s v="Yes"/>
    <x v="1"/>
    <n v="2602.9"/>
    <x v="1"/>
    <s v="High Spend"/>
  </r>
  <r>
    <s v="4402-FTBXC"/>
    <s v="Male"/>
    <x v="0"/>
    <n v="54"/>
    <x v="1"/>
    <x v="0"/>
    <n v="89.8"/>
    <n v="4667"/>
    <x v="0"/>
    <s v="No"/>
    <x v="1"/>
    <n v="4667"/>
    <x v="2"/>
    <s v="High Spend"/>
  </r>
  <r>
    <s v="1428-GTBJJ"/>
    <s v="Male"/>
    <x v="0"/>
    <n v="11"/>
    <x v="1"/>
    <x v="0"/>
    <n v="74.55"/>
    <n v="824.75"/>
    <x v="1"/>
    <s v="Yes"/>
    <x v="0"/>
    <n v="824.75"/>
    <x v="0"/>
    <s v="Standard Spend"/>
  </r>
  <r>
    <s v="2931-XIQBR"/>
    <s v="Female"/>
    <x v="1"/>
    <n v="50"/>
    <x v="1"/>
    <x v="1"/>
    <n v="103.05"/>
    <n v="5153.5"/>
    <x v="0"/>
    <s v="No"/>
    <x v="1"/>
    <n v="5153.5"/>
    <x v="2"/>
    <s v="High Spend"/>
  </r>
  <r>
    <s v="0106-UGRDO"/>
    <s v="Female"/>
    <x v="2"/>
    <n v="69"/>
    <x v="1"/>
    <x v="1"/>
    <n v="116"/>
    <n v="8182.85"/>
    <x v="0"/>
    <s v="Yes"/>
    <x v="0"/>
    <n v="8182.85"/>
    <x v="2"/>
    <s v="High Spend"/>
  </r>
  <r>
    <s v="5542-TBBWB"/>
    <s v="Male"/>
    <x v="0"/>
    <n v="1"/>
    <x v="1"/>
    <x v="0"/>
    <n v="69.900000000000006"/>
    <n v="69.900000000000006"/>
    <x v="0"/>
    <s v="Yes"/>
    <x v="0"/>
    <n v="69.900000000000006"/>
    <x v="0"/>
    <s v="Standard Spend"/>
  </r>
  <r>
    <s v="1930-QPBVZ"/>
    <s v="Male"/>
    <x v="2"/>
    <n v="68"/>
    <x v="1"/>
    <x v="1"/>
    <n v="95.1"/>
    <n v="6683.4"/>
    <x v="0"/>
    <s v="No"/>
    <x v="2"/>
    <n v="6683.4"/>
    <x v="2"/>
    <s v="High Spend"/>
  </r>
  <r>
    <s v="2606-PKWJB"/>
    <s v="Male"/>
    <x v="1"/>
    <n v="40"/>
    <x v="0"/>
    <x v="1"/>
    <n v="40.25"/>
    <n v="1564.05"/>
    <x v="0"/>
    <s v="No"/>
    <x v="1"/>
    <n v="1564.05"/>
    <x v="2"/>
    <s v="Standard Spend"/>
  </r>
  <r>
    <s v="5322-ZSMZY"/>
    <s v="Male"/>
    <x v="2"/>
    <n v="31"/>
    <x v="2"/>
    <x v="2"/>
    <n v="25.75"/>
    <n v="755.6"/>
    <x v="0"/>
    <s v="No"/>
    <x v="1"/>
    <n v="755.6"/>
    <x v="1"/>
    <s v="Standard Spend"/>
  </r>
  <r>
    <s v="8059-UDZFY"/>
    <s v="Female"/>
    <x v="0"/>
    <n v="33"/>
    <x v="1"/>
    <x v="0"/>
    <n v="105.35"/>
    <n v="3465.05"/>
    <x v="0"/>
    <s v="Yes"/>
    <x v="2"/>
    <n v="3465.05"/>
    <x v="1"/>
    <s v="High Spend"/>
  </r>
  <r>
    <s v="7740-BTPUX"/>
    <s v="Male"/>
    <x v="2"/>
    <n v="55"/>
    <x v="1"/>
    <x v="1"/>
    <n v="113.6"/>
    <n v="6292.7"/>
    <x v="0"/>
    <s v="Yes"/>
    <x v="0"/>
    <n v="6292.7"/>
    <x v="2"/>
    <s v="High Spend"/>
  </r>
  <r>
    <s v="5220-AGAAX"/>
    <s v="Male"/>
    <x v="2"/>
    <n v="68"/>
    <x v="2"/>
    <x v="2"/>
    <n v="24"/>
    <n v="1664.3"/>
    <x v="0"/>
    <s v="Yes"/>
    <x v="2"/>
    <n v="1664.3"/>
    <x v="2"/>
    <s v="Standard Spend"/>
  </r>
  <r>
    <s v="0208-BPQEJ"/>
    <s v="Female"/>
    <x v="0"/>
    <n v="12"/>
    <x v="2"/>
    <x v="2"/>
    <n v="19.399999999999999"/>
    <n v="198.1"/>
    <x v="0"/>
    <s v="No"/>
    <x v="2"/>
    <n v="198.1"/>
    <x v="0"/>
    <s v="Standard Spend"/>
  </r>
  <r>
    <s v="9435-JMLSX"/>
    <s v="Male"/>
    <x v="2"/>
    <n v="71"/>
    <x v="0"/>
    <x v="1"/>
    <n v="86.1"/>
    <n v="6045.9"/>
    <x v="0"/>
    <s v="Yes"/>
    <x v="2"/>
    <n v="6045.9"/>
    <x v="2"/>
    <s v="High Spend"/>
  </r>
  <r>
    <s v="3352-ALMCK"/>
    <s v="Male"/>
    <x v="0"/>
    <n v="40"/>
    <x v="1"/>
    <x v="0"/>
    <n v="102.65"/>
    <n v="4108.1499999999996"/>
    <x v="0"/>
    <s v="Yes"/>
    <x v="1"/>
    <n v="4108.1499999999996"/>
    <x v="2"/>
    <s v="High Spend"/>
  </r>
  <r>
    <s v="5312-IRCFR"/>
    <s v="Female"/>
    <x v="1"/>
    <n v="64"/>
    <x v="1"/>
    <x v="0"/>
    <n v="92.85"/>
    <n v="5980.75"/>
    <x v="0"/>
    <s v="Yes"/>
    <x v="0"/>
    <n v="5980.75"/>
    <x v="2"/>
    <s v="High Spend"/>
  </r>
  <r>
    <s v="5294-IMHHT"/>
    <s v="Male"/>
    <x v="1"/>
    <n v="53"/>
    <x v="1"/>
    <x v="1"/>
    <n v="97.75"/>
    <n v="5043.2"/>
    <x v="0"/>
    <s v="No"/>
    <x v="2"/>
    <n v="5043.2"/>
    <x v="2"/>
    <s v="High Spend"/>
  </r>
  <r>
    <s v="8802-UNOJF"/>
    <s v="Male"/>
    <x v="0"/>
    <n v="12"/>
    <x v="1"/>
    <x v="1"/>
    <n v="83.8"/>
    <n v="1029.75"/>
    <x v="1"/>
    <s v="Yes"/>
    <x v="1"/>
    <n v="1029.75"/>
    <x v="0"/>
    <s v="Standard Spend"/>
  </r>
  <r>
    <s v="6313-GIDIT"/>
    <s v="Male"/>
    <x v="0"/>
    <n v="53"/>
    <x v="0"/>
    <x v="0"/>
    <n v="54.45"/>
    <n v="2854.55"/>
    <x v="1"/>
    <s v="Yes"/>
    <x v="0"/>
    <n v="2854.55"/>
    <x v="2"/>
    <s v="High Spend"/>
  </r>
  <r>
    <s v="6176-YJWAS"/>
    <s v="Male"/>
    <x v="2"/>
    <n v="72"/>
    <x v="1"/>
    <x v="0"/>
    <n v="97.95"/>
    <n v="7114.25"/>
    <x v="0"/>
    <s v="Yes"/>
    <x v="3"/>
    <n v="7114.25"/>
    <x v="2"/>
    <s v="High Spend"/>
  </r>
  <r>
    <s v="5310-NOOVA"/>
    <s v="Male"/>
    <x v="2"/>
    <n v="46"/>
    <x v="2"/>
    <x v="2"/>
    <n v="19.95"/>
    <n v="907.05"/>
    <x v="0"/>
    <s v="No"/>
    <x v="0"/>
    <n v="907.05"/>
    <x v="2"/>
    <s v="Standard Spend"/>
  </r>
  <r>
    <s v="4526-EXKKN"/>
    <s v="Male"/>
    <x v="2"/>
    <n v="40"/>
    <x v="2"/>
    <x v="2"/>
    <n v="24.6"/>
    <n v="973.95"/>
    <x v="0"/>
    <s v="Yes"/>
    <x v="1"/>
    <n v="973.95"/>
    <x v="2"/>
    <s v="Standard Spend"/>
  </r>
  <r>
    <s v="5311-IHLEI"/>
    <s v="Male"/>
    <x v="0"/>
    <n v="12"/>
    <x v="0"/>
    <x v="1"/>
    <n v="50.95"/>
    <n v="605.75"/>
    <x v="0"/>
    <s v="Yes"/>
    <x v="2"/>
    <n v="605.75"/>
    <x v="0"/>
    <s v="Standard Spend"/>
  </r>
  <r>
    <s v="3987-KQDDU"/>
    <s v="Male"/>
    <x v="0"/>
    <n v="9"/>
    <x v="1"/>
    <x v="0"/>
    <n v="75.599999999999994"/>
    <n v="661.55"/>
    <x v="0"/>
    <s v="No"/>
    <x v="0"/>
    <n v="661.55"/>
    <x v="0"/>
    <s v="Standard Spend"/>
  </r>
  <r>
    <s v="3404-JNXAX"/>
    <s v="Female"/>
    <x v="0"/>
    <n v="51"/>
    <x v="1"/>
    <x v="1"/>
    <n v="80.75"/>
    <n v="4116.8999999999996"/>
    <x v="0"/>
    <s v="Yes"/>
    <x v="0"/>
    <n v="4116.8999999999996"/>
    <x v="2"/>
    <s v="High Spend"/>
  </r>
  <r>
    <s v="5131-PONJI"/>
    <s v="Male"/>
    <x v="0"/>
    <n v="49"/>
    <x v="1"/>
    <x v="0"/>
    <n v="90.4"/>
    <n v="4494.6499999999996"/>
    <x v="0"/>
    <s v="Yes"/>
    <x v="3"/>
    <n v="4494.6499999999996"/>
    <x v="2"/>
    <s v="High Spend"/>
  </r>
  <r>
    <s v="2845-AFFTX"/>
    <s v="Male"/>
    <x v="0"/>
    <n v="41"/>
    <x v="1"/>
    <x v="0"/>
    <n v="99.8"/>
    <n v="4259.3"/>
    <x v="1"/>
    <s v="Yes"/>
    <x v="0"/>
    <n v="4259.3"/>
    <x v="2"/>
    <s v="High Spend"/>
  </r>
  <r>
    <s v="3489-VSFRD"/>
    <s v="Female"/>
    <x v="1"/>
    <n v="56"/>
    <x v="0"/>
    <x v="1"/>
    <n v="60.25"/>
    <n v="3282.75"/>
    <x v="0"/>
    <s v="Yes"/>
    <x v="3"/>
    <n v="3282.75"/>
    <x v="2"/>
    <s v="High Spend"/>
  </r>
  <r>
    <s v="3345-JHUEO"/>
    <s v="Male"/>
    <x v="0"/>
    <n v="4"/>
    <x v="2"/>
    <x v="2"/>
    <n v="20.2"/>
    <n v="55.7"/>
    <x v="0"/>
    <s v="Yes"/>
    <x v="0"/>
    <n v="55.7"/>
    <x v="0"/>
    <s v="Standard Spend"/>
  </r>
  <r>
    <s v="5815-HGGHV"/>
    <s v="Male"/>
    <x v="1"/>
    <n v="20"/>
    <x v="0"/>
    <x v="1"/>
    <n v="64.150000000000006"/>
    <n v="1274.45"/>
    <x v="0"/>
    <s v="Yes"/>
    <x v="1"/>
    <n v="1274.45"/>
    <x v="1"/>
    <s v="Standard Spend"/>
  </r>
  <r>
    <s v="5260-UMPWX"/>
    <s v="Female"/>
    <x v="0"/>
    <n v="26"/>
    <x v="2"/>
    <x v="2"/>
    <n v="20.25"/>
    <n v="493.95"/>
    <x v="0"/>
    <s v="Yes"/>
    <x v="3"/>
    <n v="493.95"/>
    <x v="1"/>
    <s v="Standard Spend"/>
  </r>
  <r>
    <s v="2249-YPRNG"/>
    <s v="Female"/>
    <x v="0"/>
    <n v="20"/>
    <x v="1"/>
    <x v="0"/>
    <n v="105.85"/>
    <n v="2239.65"/>
    <x v="1"/>
    <s v="Yes"/>
    <x v="2"/>
    <n v="2239.65"/>
    <x v="1"/>
    <s v="Standard Spend"/>
  </r>
  <r>
    <s v="7410-YTJIK"/>
    <s v="Female"/>
    <x v="0"/>
    <n v="7"/>
    <x v="1"/>
    <x v="0"/>
    <n v="75.45"/>
    <n v="480.75"/>
    <x v="1"/>
    <s v="No"/>
    <x v="1"/>
    <n v="480.75"/>
    <x v="0"/>
    <s v="Standard Spend"/>
  </r>
  <r>
    <s v="4626-GYCZP"/>
    <s v="Male"/>
    <x v="0"/>
    <n v="7"/>
    <x v="1"/>
    <x v="0"/>
    <n v="93.85"/>
    <n v="635.6"/>
    <x v="1"/>
    <s v="Yes"/>
    <x v="0"/>
    <n v="635.6"/>
    <x v="0"/>
    <s v="Standard Spend"/>
  </r>
  <r>
    <s v="5649-RXQTV"/>
    <s v="Male"/>
    <x v="0"/>
    <n v="51"/>
    <x v="1"/>
    <x v="0"/>
    <n v="99"/>
    <n v="5038.1499999999996"/>
    <x v="0"/>
    <s v="Yes"/>
    <x v="0"/>
    <n v="5038.1499999999996"/>
    <x v="2"/>
    <s v="High Spend"/>
  </r>
  <r>
    <s v="2674-MIAHT"/>
    <s v="Female"/>
    <x v="0"/>
    <n v="4"/>
    <x v="1"/>
    <x v="0"/>
    <n v="80.3"/>
    <n v="324.2"/>
    <x v="0"/>
    <s v="Yes"/>
    <x v="1"/>
    <n v="324.2"/>
    <x v="0"/>
    <s v="Standard Spend"/>
  </r>
  <r>
    <s v="2576-HXMPA"/>
    <s v="Female"/>
    <x v="0"/>
    <n v="1"/>
    <x v="2"/>
    <x v="2"/>
    <n v="19.55"/>
    <n v="19.55"/>
    <x v="0"/>
    <s v="No"/>
    <x v="3"/>
    <n v="19.55"/>
    <x v="0"/>
    <s v="Standard Spend"/>
  </r>
  <r>
    <s v="7587-AOVVU"/>
    <s v="Male"/>
    <x v="0"/>
    <n v="27"/>
    <x v="1"/>
    <x v="1"/>
    <n v="100.75"/>
    <n v="2793.55"/>
    <x v="0"/>
    <s v="No"/>
    <x v="0"/>
    <n v="2793.55"/>
    <x v="1"/>
    <s v="High Spend"/>
  </r>
  <r>
    <s v="5590-BYNII"/>
    <s v="Male"/>
    <x v="0"/>
    <n v="22"/>
    <x v="1"/>
    <x v="0"/>
    <n v="100.75"/>
    <n v="2095"/>
    <x v="1"/>
    <s v="Yes"/>
    <x v="0"/>
    <n v="2095"/>
    <x v="1"/>
    <s v="Standard Spend"/>
  </r>
  <r>
    <s v="6898-MDLZW"/>
    <s v="Male"/>
    <x v="0"/>
    <n v="12"/>
    <x v="0"/>
    <x v="1"/>
    <n v="53.75"/>
    <n v="648.65"/>
    <x v="0"/>
    <s v="Yes"/>
    <x v="1"/>
    <n v="648.65"/>
    <x v="0"/>
    <s v="Standard Spend"/>
  </r>
  <r>
    <s v="3237-AJGEH"/>
    <s v="Female"/>
    <x v="0"/>
    <n v="3"/>
    <x v="0"/>
    <x v="1"/>
    <n v="31"/>
    <n v="95.05"/>
    <x v="1"/>
    <s v="Yes"/>
    <x v="1"/>
    <n v="95.05"/>
    <x v="0"/>
    <s v="Standard Spend"/>
  </r>
  <r>
    <s v="4707-YNOQA"/>
    <s v="Female"/>
    <x v="1"/>
    <n v="34"/>
    <x v="2"/>
    <x v="2"/>
    <n v="25.6"/>
    <n v="917.15"/>
    <x v="0"/>
    <s v="Yes"/>
    <x v="3"/>
    <n v="917.15"/>
    <x v="1"/>
    <s v="Standard Spend"/>
  </r>
  <r>
    <s v="9357-UJRUN"/>
    <s v="Male"/>
    <x v="1"/>
    <n v="24"/>
    <x v="0"/>
    <x v="1"/>
    <n v="58.35"/>
    <n v="1346.9"/>
    <x v="0"/>
    <s v="Yes"/>
    <x v="0"/>
    <n v="1346.9"/>
    <x v="1"/>
    <s v="Standard Spend"/>
  </r>
  <r>
    <s v="1591-NFNLQ"/>
    <s v="Male"/>
    <x v="0"/>
    <n v="51"/>
    <x v="1"/>
    <x v="0"/>
    <n v="80"/>
    <n v="4242.3500000000004"/>
    <x v="1"/>
    <s v="No"/>
    <x v="3"/>
    <n v="4242.3500000000004"/>
    <x v="2"/>
    <s v="High Spend"/>
  </r>
  <r>
    <s v="8648-PFRMP"/>
    <s v="Female"/>
    <x v="0"/>
    <n v="14"/>
    <x v="0"/>
    <x v="0"/>
    <n v="46.35"/>
    <n v="672.7"/>
    <x v="0"/>
    <s v="Yes"/>
    <x v="0"/>
    <n v="672.7"/>
    <x v="1"/>
    <s v="Standard Spend"/>
  </r>
  <r>
    <s v="7663-CUXZB"/>
    <s v="Male"/>
    <x v="2"/>
    <n v="59"/>
    <x v="1"/>
    <x v="1"/>
    <n v="113.75"/>
    <n v="6561.25"/>
    <x v="0"/>
    <s v="No"/>
    <x v="0"/>
    <n v="6561.25"/>
    <x v="2"/>
    <s v="High Spend"/>
  </r>
  <r>
    <s v="0258-NOKBL"/>
    <s v="Male"/>
    <x v="0"/>
    <n v="3"/>
    <x v="1"/>
    <x v="0"/>
    <n v="90.4"/>
    <n v="268.45"/>
    <x v="0"/>
    <s v="No"/>
    <x v="0"/>
    <n v="268.45"/>
    <x v="0"/>
    <s v="Standard Spend"/>
  </r>
  <r>
    <s v="1163-VIPRI"/>
    <s v="Female"/>
    <x v="2"/>
    <n v="65"/>
    <x v="1"/>
    <x v="1"/>
    <n v="109.3"/>
    <n v="7337.55"/>
    <x v="0"/>
    <s v="No"/>
    <x v="0"/>
    <n v="7337.55"/>
    <x v="2"/>
    <s v="High Spend"/>
  </r>
  <r>
    <s v="2815-CPTUL"/>
    <s v="Male"/>
    <x v="0"/>
    <n v="5"/>
    <x v="1"/>
    <x v="0"/>
    <n v="70.25"/>
    <n v="331.9"/>
    <x v="1"/>
    <s v="Yes"/>
    <x v="1"/>
    <n v="331.9"/>
    <x v="0"/>
    <s v="Standard Spend"/>
  </r>
  <r>
    <s v="9348-ROUAI"/>
    <s v="Female"/>
    <x v="2"/>
    <n v="59"/>
    <x v="0"/>
    <x v="1"/>
    <n v="90.3"/>
    <n v="5194.05"/>
    <x v="0"/>
    <s v="No"/>
    <x v="3"/>
    <n v="5194.05"/>
    <x v="2"/>
    <s v="High Spend"/>
  </r>
  <r>
    <s v="9443-JUBUO"/>
    <s v="Male"/>
    <x v="2"/>
    <n v="72"/>
    <x v="0"/>
    <x v="1"/>
    <n v="65.25"/>
    <n v="4478.8500000000004"/>
    <x v="0"/>
    <s v="Yes"/>
    <x v="3"/>
    <n v="4478.8500000000004"/>
    <x v="2"/>
    <s v="High Spend"/>
  </r>
  <r>
    <s v="0596-BQCEQ"/>
    <s v="Female"/>
    <x v="0"/>
    <n v="62"/>
    <x v="1"/>
    <x v="0"/>
    <n v="100.15"/>
    <n v="6283.3"/>
    <x v="1"/>
    <s v="Yes"/>
    <x v="0"/>
    <n v="6283.3"/>
    <x v="2"/>
    <s v="High Spend"/>
  </r>
  <r>
    <s v="1481-ZUWZA"/>
    <s v="Male"/>
    <x v="0"/>
    <n v="28"/>
    <x v="1"/>
    <x v="0"/>
    <n v="94.5"/>
    <n v="2659.4"/>
    <x v="1"/>
    <s v="Yes"/>
    <x v="3"/>
    <n v="2659.4"/>
    <x v="1"/>
    <s v="High Spend"/>
  </r>
  <r>
    <s v="3043-TYBNO"/>
    <s v="Male"/>
    <x v="0"/>
    <n v="3"/>
    <x v="0"/>
    <x v="1"/>
    <n v="60.65"/>
    <n v="196.9"/>
    <x v="0"/>
    <s v="No"/>
    <x v="1"/>
    <n v="196.9"/>
    <x v="0"/>
    <s v="Standard Spend"/>
  </r>
  <r>
    <s v="4830-FAXFM"/>
    <s v="Male"/>
    <x v="0"/>
    <n v="19"/>
    <x v="2"/>
    <x v="2"/>
    <n v="24.1"/>
    <n v="439.2"/>
    <x v="0"/>
    <s v="Yes"/>
    <x v="3"/>
    <n v="439.2"/>
    <x v="1"/>
    <s v="Standard Spend"/>
  </r>
  <r>
    <s v="5906-BFOZT"/>
    <s v="Male"/>
    <x v="0"/>
    <n v="1"/>
    <x v="2"/>
    <x v="2"/>
    <n v="19.5"/>
    <n v="19.5"/>
    <x v="0"/>
    <s v="Yes"/>
    <x v="1"/>
    <n v="19.5"/>
    <x v="0"/>
    <s v="Standard Spend"/>
  </r>
  <r>
    <s v="2960-NKRSO"/>
    <s v="Male"/>
    <x v="0"/>
    <n v="24"/>
    <x v="1"/>
    <x v="1"/>
    <n v="85.95"/>
    <n v="2107.15"/>
    <x v="0"/>
    <s v="Yes"/>
    <x v="0"/>
    <n v="2107.15"/>
    <x v="1"/>
    <s v="Standard Spend"/>
  </r>
  <r>
    <s v="8996-ZROXE"/>
    <s v="Male"/>
    <x v="1"/>
    <n v="57"/>
    <x v="0"/>
    <x v="1"/>
    <n v="53.5"/>
    <n v="3035.8"/>
    <x v="0"/>
    <s v="Yes"/>
    <x v="0"/>
    <n v="3035.8"/>
    <x v="2"/>
    <s v="High Spend"/>
  </r>
  <r>
    <s v="5598-IKHQQ"/>
    <s v="Female"/>
    <x v="2"/>
    <n v="72"/>
    <x v="2"/>
    <x v="2"/>
    <n v="25.45"/>
    <n v="1866.45"/>
    <x v="0"/>
    <s v="No"/>
    <x v="3"/>
    <n v="1866.45"/>
    <x v="2"/>
    <s v="Standard Spend"/>
  </r>
  <r>
    <s v="0397-ZXWQF"/>
    <s v="Male"/>
    <x v="2"/>
    <n v="67"/>
    <x v="2"/>
    <x v="2"/>
    <n v="20.5"/>
    <n v="1430.95"/>
    <x v="0"/>
    <s v="No"/>
    <x v="2"/>
    <n v="1430.95"/>
    <x v="2"/>
    <s v="Standard Spend"/>
  </r>
  <r>
    <s v="5266-PFRQK"/>
    <s v="Male"/>
    <x v="1"/>
    <n v="52"/>
    <x v="2"/>
    <x v="2"/>
    <n v="20.85"/>
    <n v="1071.5999999999999"/>
    <x v="0"/>
    <s v="Yes"/>
    <x v="3"/>
    <n v="1071.5999999999999"/>
    <x v="2"/>
    <s v="Standard Spend"/>
  </r>
  <r>
    <s v="4674-HGNUA"/>
    <s v="Male"/>
    <x v="2"/>
    <n v="71"/>
    <x v="0"/>
    <x v="1"/>
    <n v="89.9"/>
    <n v="6457.15"/>
    <x v="0"/>
    <s v="No"/>
    <x v="3"/>
    <n v="6457.15"/>
    <x v="2"/>
    <s v="High Spend"/>
  </r>
  <r>
    <s v="6765-MBQNU"/>
    <s v="Female"/>
    <x v="1"/>
    <n v="26"/>
    <x v="2"/>
    <x v="2"/>
    <n v="26"/>
    <n v="684.05"/>
    <x v="0"/>
    <s v="No"/>
    <x v="1"/>
    <n v="684.05"/>
    <x v="1"/>
    <s v="Standard Spend"/>
  </r>
  <r>
    <s v="9786-IJYDL"/>
    <s v="Female"/>
    <x v="2"/>
    <n v="35"/>
    <x v="1"/>
    <x v="1"/>
    <n v="113.2"/>
    <n v="3914.05"/>
    <x v="0"/>
    <s v="Yes"/>
    <x v="1"/>
    <n v="3914.05"/>
    <x v="1"/>
    <s v="High Spend"/>
  </r>
  <r>
    <s v="1303-SRDOK"/>
    <s v="Female"/>
    <x v="2"/>
    <n v="55"/>
    <x v="1"/>
    <x v="0"/>
    <n v="69.05"/>
    <n v="3842.6"/>
    <x v="0"/>
    <s v="Yes"/>
    <x v="3"/>
    <n v="3842.6"/>
    <x v="2"/>
    <s v="High Spend"/>
  </r>
  <r>
    <s v="3769-MHZNV"/>
    <s v="Female"/>
    <x v="2"/>
    <n v="33"/>
    <x v="2"/>
    <x v="2"/>
    <n v="20.100000000000001"/>
    <n v="670.35"/>
    <x v="0"/>
    <s v="No"/>
    <x v="1"/>
    <n v="670.35"/>
    <x v="1"/>
    <s v="Standard Spend"/>
  </r>
  <r>
    <s v="6295-OSINB"/>
    <s v="Male"/>
    <x v="2"/>
    <n v="72"/>
    <x v="1"/>
    <x v="0"/>
    <n v="109.65"/>
    <n v="7880.25"/>
    <x v="0"/>
    <s v="Yes"/>
    <x v="0"/>
    <n v="7880.25"/>
    <x v="2"/>
    <s v="High Spend"/>
  </r>
  <r>
    <s v="3308-MHOOC"/>
    <s v="Male"/>
    <x v="0"/>
    <n v="1"/>
    <x v="2"/>
    <x v="2"/>
    <n v="19.2"/>
    <n v="19.2"/>
    <x v="0"/>
    <s v="Yes"/>
    <x v="1"/>
    <n v="19.2"/>
    <x v="0"/>
    <s v="Standard Spend"/>
  </r>
  <r>
    <s v="2309-OSFEU"/>
    <s v="Male"/>
    <x v="0"/>
    <n v="10"/>
    <x v="0"/>
    <x v="0"/>
    <n v="33.9"/>
    <n v="298.45"/>
    <x v="1"/>
    <s v="Yes"/>
    <x v="1"/>
    <n v="298.45"/>
    <x v="0"/>
    <s v="Standard Spend"/>
  </r>
  <r>
    <s v="2207-QPJED"/>
    <s v="Female"/>
    <x v="0"/>
    <n v="37"/>
    <x v="1"/>
    <x v="1"/>
    <n v="90"/>
    <n v="3371.75"/>
    <x v="0"/>
    <s v="No"/>
    <x v="0"/>
    <n v="3371.75"/>
    <x v="2"/>
    <s v="High Spend"/>
  </r>
  <r>
    <s v="4177-JPDFU"/>
    <s v="Male"/>
    <x v="0"/>
    <n v="12"/>
    <x v="0"/>
    <x v="1"/>
    <n v="34"/>
    <n v="442.45"/>
    <x v="0"/>
    <s v="No"/>
    <x v="1"/>
    <n v="442.45"/>
    <x v="0"/>
    <s v="Standard Spend"/>
  </r>
  <r>
    <s v="2239-CFOUJ"/>
    <s v="Male"/>
    <x v="1"/>
    <n v="1"/>
    <x v="2"/>
    <x v="2"/>
    <n v="20.399999999999999"/>
    <n v="20.399999999999999"/>
    <x v="0"/>
    <s v="No"/>
    <x v="1"/>
    <n v="20.399999999999999"/>
    <x v="0"/>
    <s v="Standard Spend"/>
  </r>
  <r>
    <s v="8046-DNVTL"/>
    <s v="Male"/>
    <x v="2"/>
    <n v="62"/>
    <x v="0"/>
    <x v="1"/>
    <n v="38.6"/>
    <n v="2345.5500000000002"/>
    <x v="0"/>
    <s v="Yes"/>
    <x v="3"/>
    <n v="2345.5500000000002"/>
    <x v="2"/>
    <s v="Standard Spend"/>
  </r>
  <r>
    <s v="2209-XADXF"/>
    <s v="Female"/>
    <x v="0"/>
    <n v="1"/>
    <x v="0"/>
    <x v="0"/>
    <n v="25.25"/>
    <n v="25.25"/>
    <x v="0"/>
    <s v="No"/>
    <x v="2"/>
    <n v="25.25"/>
    <x v="0"/>
    <s v="Standard Spend"/>
  </r>
  <r>
    <s v="6620-JDYNW"/>
    <s v="Female"/>
    <x v="0"/>
    <n v="18"/>
    <x v="0"/>
    <x v="0"/>
    <n v="60.6"/>
    <n v="1156.3499999999999"/>
    <x v="0"/>
    <s v="Yes"/>
    <x v="1"/>
    <n v="1156.3499999999999"/>
    <x v="1"/>
    <s v="Standard Spend"/>
  </r>
  <r>
    <s v="1891-FZYSA"/>
    <s v="Male"/>
    <x v="0"/>
    <n v="69"/>
    <x v="1"/>
    <x v="0"/>
    <n v="89.95"/>
    <n v="6143.15"/>
    <x v="1"/>
    <s v="Yes"/>
    <x v="0"/>
    <n v="6143.15"/>
    <x v="2"/>
    <s v="High Spend"/>
  </r>
  <r>
    <s v="4770-UEZOX"/>
    <s v="Male"/>
    <x v="0"/>
    <n v="2"/>
    <x v="1"/>
    <x v="0"/>
    <n v="74.75"/>
    <n v="144.80000000000001"/>
    <x v="0"/>
    <s v="Yes"/>
    <x v="0"/>
    <n v="144.80000000000001"/>
    <x v="0"/>
    <s v="Standard Spend"/>
  </r>
  <r>
    <s v="1038-RQOST"/>
    <s v="Male"/>
    <x v="0"/>
    <n v="19"/>
    <x v="2"/>
    <x v="2"/>
    <n v="20.6"/>
    <n v="414.95"/>
    <x v="0"/>
    <s v="No"/>
    <x v="1"/>
    <n v="414.95"/>
    <x v="1"/>
    <s v="Standard Spend"/>
  </r>
  <r>
    <s v="7613-LLQFO"/>
    <s v="Male"/>
    <x v="0"/>
    <n v="12"/>
    <x v="1"/>
    <x v="0"/>
    <n v="84.45"/>
    <n v="1059.55"/>
    <x v="1"/>
    <s v="Yes"/>
    <x v="0"/>
    <n v="1059.55"/>
    <x v="0"/>
    <s v="Standard Spend"/>
  </r>
  <r>
    <s v="4568-TTZRT"/>
    <s v="Male"/>
    <x v="0"/>
    <n v="9"/>
    <x v="2"/>
    <x v="2"/>
    <n v="20.399999999999999"/>
    <n v="181.8"/>
    <x v="0"/>
    <s v="No"/>
    <x v="1"/>
    <n v="181.8"/>
    <x v="0"/>
    <s v="Standard Spend"/>
  </r>
  <r>
    <s v="9513-DXHDA"/>
    <s v="Male"/>
    <x v="1"/>
    <n v="27"/>
    <x v="0"/>
    <x v="1"/>
    <n v="81.7"/>
    <n v="2212.5500000000002"/>
    <x v="0"/>
    <s v="No"/>
    <x v="0"/>
    <n v="2212.5500000000002"/>
    <x v="1"/>
    <s v="Standard Spend"/>
  </r>
  <r>
    <s v="2640-PMGFL"/>
    <s v="Male"/>
    <x v="0"/>
    <n v="27"/>
    <x v="1"/>
    <x v="1"/>
    <n v="79.5"/>
    <n v="2180.5500000000002"/>
    <x v="1"/>
    <s v="Yes"/>
    <x v="0"/>
    <n v="2180.5500000000002"/>
    <x v="1"/>
    <s v="Standard Spend"/>
  </r>
  <r>
    <s v="3801-HMYNL"/>
    <s v="Male"/>
    <x v="0"/>
    <n v="1"/>
    <x v="1"/>
    <x v="0"/>
    <n v="89.15"/>
    <n v="89.15"/>
    <x v="1"/>
    <s v="No"/>
    <x v="1"/>
    <n v="89.15"/>
    <x v="0"/>
    <s v="Standard Spend"/>
  </r>
  <r>
    <s v="0516-QREYC"/>
    <s v="Female"/>
    <x v="0"/>
    <n v="24"/>
    <x v="2"/>
    <x v="2"/>
    <n v="20.3"/>
    <n v="459.95"/>
    <x v="0"/>
    <s v="Yes"/>
    <x v="1"/>
    <n v="459.95"/>
    <x v="1"/>
    <s v="Standard Spend"/>
  </r>
  <r>
    <s v="9685-WKZGT"/>
    <s v="Male"/>
    <x v="0"/>
    <n v="14"/>
    <x v="1"/>
    <x v="0"/>
    <n v="74.95"/>
    <n v="1036.75"/>
    <x v="1"/>
    <s v="Yes"/>
    <x v="0"/>
    <n v="1036.75"/>
    <x v="1"/>
    <s v="Standard Spend"/>
  </r>
  <r>
    <s v="6022-UGGSO"/>
    <s v="Female"/>
    <x v="0"/>
    <n v="32"/>
    <x v="1"/>
    <x v="0"/>
    <n v="74.400000000000006"/>
    <n v="2276.9499999999998"/>
    <x v="1"/>
    <s v="Yes"/>
    <x v="0"/>
    <n v="2276.9499999999998"/>
    <x v="1"/>
    <s v="Standard Spend"/>
  </r>
  <r>
    <s v="8084-OIVBS"/>
    <s v="Female"/>
    <x v="1"/>
    <n v="11"/>
    <x v="2"/>
    <x v="2"/>
    <n v="20"/>
    <n v="211.95"/>
    <x v="0"/>
    <s v="No"/>
    <x v="1"/>
    <n v="211.95"/>
    <x v="0"/>
    <s v="Standard Spend"/>
  </r>
  <r>
    <s v="8896-BQTTI"/>
    <s v="Male"/>
    <x v="0"/>
    <n v="1"/>
    <x v="2"/>
    <x v="2"/>
    <n v="25"/>
    <n v="25"/>
    <x v="0"/>
    <s v="Yes"/>
    <x v="1"/>
    <n v="25"/>
    <x v="0"/>
    <s v="Standard Spend"/>
  </r>
  <r>
    <s v="3865-QBWSJ"/>
    <s v="Male"/>
    <x v="0"/>
    <n v="38"/>
    <x v="1"/>
    <x v="0"/>
    <n v="80.45"/>
    <n v="3162.65"/>
    <x v="0"/>
    <s v="Yes"/>
    <x v="1"/>
    <n v="3162.65"/>
    <x v="2"/>
    <s v="High Spend"/>
  </r>
  <r>
    <s v="3352-RICWQ"/>
    <s v="Female"/>
    <x v="2"/>
    <n v="9"/>
    <x v="2"/>
    <x v="2"/>
    <n v="19.75"/>
    <n v="210.65"/>
    <x v="0"/>
    <s v="No"/>
    <x v="1"/>
    <n v="210.65"/>
    <x v="0"/>
    <s v="Standard Spend"/>
  </r>
  <r>
    <s v="2160-GPFXD"/>
    <s v="Male"/>
    <x v="2"/>
    <n v="54"/>
    <x v="0"/>
    <x v="1"/>
    <n v="65.650000000000006"/>
    <n v="3566.7"/>
    <x v="0"/>
    <s v="Yes"/>
    <x v="3"/>
    <n v="3566.7"/>
    <x v="2"/>
    <s v="High Spend"/>
  </r>
  <r>
    <s v="2065-MMKGR"/>
    <s v="Female"/>
    <x v="1"/>
    <n v="29"/>
    <x v="0"/>
    <x v="0"/>
    <n v="71"/>
    <n v="2080.1"/>
    <x v="0"/>
    <s v="Yes"/>
    <x v="3"/>
    <n v="2080.1"/>
    <x v="1"/>
    <s v="Standard Spend"/>
  </r>
  <r>
    <s v="5857-TYBCJ"/>
    <s v="Male"/>
    <x v="0"/>
    <n v="44"/>
    <x v="1"/>
    <x v="0"/>
    <n v="89.2"/>
    <n v="4040.2"/>
    <x v="0"/>
    <s v="Yes"/>
    <x v="0"/>
    <n v="4040.2"/>
    <x v="2"/>
    <s v="High Spend"/>
  </r>
  <r>
    <s v="1498-NHTLT"/>
    <s v="Male"/>
    <x v="2"/>
    <n v="59"/>
    <x v="0"/>
    <x v="1"/>
    <n v="86.75"/>
    <n v="5186"/>
    <x v="0"/>
    <s v="Yes"/>
    <x v="0"/>
    <n v="5186"/>
    <x v="2"/>
    <s v="High Spend"/>
  </r>
  <r>
    <s v="4484-CGXFK"/>
    <s v="Female"/>
    <x v="0"/>
    <n v="3"/>
    <x v="0"/>
    <x v="0"/>
    <n v="55.3"/>
    <n v="196.15"/>
    <x v="1"/>
    <s v="Yes"/>
    <x v="0"/>
    <n v="196.15"/>
    <x v="0"/>
    <s v="Standard Spend"/>
  </r>
  <r>
    <s v="1402-PTHGN"/>
    <s v="Female"/>
    <x v="1"/>
    <n v="18"/>
    <x v="0"/>
    <x v="1"/>
    <n v="61.5"/>
    <n v="1087.45"/>
    <x v="0"/>
    <s v="Yes"/>
    <x v="1"/>
    <n v="1087.45"/>
    <x v="1"/>
    <s v="Standard Spend"/>
  </r>
  <r>
    <s v="4176-RELJR"/>
    <s v="Male"/>
    <x v="2"/>
    <n v="67"/>
    <x v="2"/>
    <x v="2"/>
    <n v="25.1"/>
    <n v="1672.15"/>
    <x v="0"/>
    <s v="No"/>
    <x v="3"/>
    <n v="1672.15"/>
    <x v="2"/>
    <s v="Standard Spend"/>
  </r>
  <r>
    <s v="6214-EDAKZ"/>
    <s v="Female"/>
    <x v="0"/>
    <n v="22"/>
    <x v="0"/>
    <x v="1"/>
    <n v="55.15"/>
    <n v="1206.05"/>
    <x v="1"/>
    <s v="No"/>
    <x v="0"/>
    <n v="1206.05"/>
    <x v="1"/>
    <s v="Standard Spend"/>
  </r>
  <r>
    <s v="5199-FPUSP"/>
    <s v="Male"/>
    <x v="1"/>
    <n v="33"/>
    <x v="0"/>
    <x v="1"/>
    <n v="34.049999999999997"/>
    <n v="1113.95"/>
    <x v="0"/>
    <s v="No"/>
    <x v="3"/>
    <n v="1113.95"/>
    <x v="1"/>
    <s v="Standard Spend"/>
  </r>
  <r>
    <s v="6377-KSLXC"/>
    <s v="Male"/>
    <x v="0"/>
    <n v="5"/>
    <x v="2"/>
    <x v="2"/>
    <n v="19.95"/>
    <n v="107.05"/>
    <x v="0"/>
    <s v="No"/>
    <x v="1"/>
    <n v="107.05"/>
    <x v="0"/>
    <s v="Standard Spend"/>
  </r>
  <r>
    <s v="1796-JANOW"/>
    <s v="Female"/>
    <x v="0"/>
    <n v="2"/>
    <x v="2"/>
    <x v="2"/>
    <n v="19.95"/>
    <n v="38.15"/>
    <x v="0"/>
    <s v="No"/>
    <x v="1"/>
    <n v="38.15"/>
    <x v="0"/>
    <s v="Standard Spend"/>
  </r>
  <r>
    <s v="0238-WHBIQ"/>
    <s v="Male"/>
    <x v="2"/>
    <n v="72"/>
    <x v="0"/>
    <x v="1"/>
    <n v="89.7"/>
    <n v="6339.3"/>
    <x v="0"/>
    <s v="No"/>
    <x v="3"/>
    <n v="6339.3"/>
    <x v="2"/>
    <s v="High Spend"/>
  </r>
  <r>
    <s v="8735-NBLWT"/>
    <s v="Male"/>
    <x v="0"/>
    <n v="9"/>
    <x v="2"/>
    <x v="2"/>
    <n v="20.399999999999999"/>
    <n v="184.1"/>
    <x v="0"/>
    <s v="No"/>
    <x v="1"/>
    <n v="184.1"/>
    <x v="0"/>
    <s v="Standard Spend"/>
  </r>
  <r>
    <s v="6651-RLGGM"/>
    <s v="Male"/>
    <x v="2"/>
    <n v="67"/>
    <x v="2"/>
    <x v="2"/>
    <n v="26.3"/>
    <n v="1688.9"/>
    <x v="0"/>
    <s v="No"/>
    <x v="1"/>
    <n v="1688.9"/>
    <x v="2"/>
    <s v="Standard Spend"/>
  </r>
  <r>
    <s v="6127-ISGTU"/>
    <s v="Female"/>
    <x v="0"/>
    <n v="16"/>
    <x v="1"/>
    <x v="0"/>
    <n v="84.95"/>
    <n v="1378.25"/>
    <x v="1"/>
    <s v="Yes"/>
    <x v="0"/>
    <n v="1378.25"/>
    <x v="1"/>
    <s v="Standard Spend"/>
  </r>
  <r>
    <s v="1614-JBEBI"/>
    <s v="Female"/>
    <x v="0"/>
    <n v="8"/>
    <x v="2"/>
    <x v="2"/>
    <n v="20.7"/>
    <n v="137.6"/>
    <x v="0"/>
    <s v="Yes"/>
    <x v="1"/>
    <n v="137.6"/>
    <x v="0"/>
    <s v="Standard Spend"/>
  </r>
  <r>
    <s v="8740-XLHDR"/>
    <s v="Male"/>
    <x v="0"/>
    <n v="5"/>
    <x v="0"/>
    <x v="1"/>
    <n v="43.25"/>
    <n v="219"/>
    <x v="1"/>
    <s v="Yes"/>
    <x v="1"/>
    <n v="219"/>
    <x v="0"/>
    <s v="Standard Spend"/>
  </r>
  <r>
    <s v="1208-DNHLN"/>
    <s v="Male"/>
    <x v="1"/>
    <n v="23"/>
    <x v="0"/>
    <x v="0"/>
    <n v="48.35"/>
    <n v="1067.1500000000001"/>
    <x v="1"/>
    <s v="Yes"/>
    <x v="3"/>
    <n v="1067.1500000000001"/>
    <x v="1"/>
    <s v="Standard Spend"/>
  </r>
  <r>
    <s v="1761-AEZZR"/>
    <s v="Male"/>
    <x v="0"/>
    <n v="1"/>
    <x v="1"/>
    <x v="0"/>
    <n v="79.55"/>
    <n v="79.55"/>
    <x v="1"/>
    <s v="Yes"/>
    <x v="0"/>
    <n v="79.55"/>
    <x v="0"/>
    <s v="Standard Spend"/>
  </r>
  <r>
    <s v="3923-CSIHK"/>
    <s v="Female"/>
    <x v="0"/>
    <n v="50"/>
    <x v="1"/>
    <x v="0"/>
    <n v="71.05"/>
    <n v="3444.85"/>
    <x v="1"/>
    <s v="Yes"/>
    <x v="0"/>
    <n v="3444.85"/>
    <x v="2"/>
    <s v="High Spend"/>
  </r>
  <r>
    <s v="5696-EXCYS"/>
    <s v="Male"/>
    <x v="2"/>
    <n v="17"/>
    <x v="2"/>
    <x v="2"/>
    <n v="19.45"/>
    <n v="369.05"/>
    <x v="0"/>
    <s v="No"/>
    <x v="3"/>
    <n v="369.05"/>
    <x v="1"/>
    <s v="Standard Spend"/>
  </r>
  <r>
    <s v="5795-KTGUD"/>
    <s v="Female"/>
    <x v="2"/>
    <n v="68"/>
    <x v="1"/>
    <x v="0"/>
    <n v="110.8"/>
    <n v="7553.6"/>
    <x v="0"/>
    <s v="Yes"/>
    <x v="2"/>
    <n v="7553.6"/>
    <x v="2"/>
    <s v="High Spend"/>
  </r>
  <r>
    <s v="7120-RFMVS"/>
    <s v="Male"/>
    <x v="0"/>
    <n v="1"/>
    <x v="1"/>
    <x v="0"/>
    <n v="84.5"/>
    <n v="84.5"/>
    <x v="1"/>
    <s v="No"/>
    <x v="0"/>
    <n v="84.5"/>
    <x v="0"/>
    <s v="Standard Spend"/>
  </r>
  <r>
    <s v="7924-GJZFI"/>
    <s v="Female"/>
    <x v="0"/>
    <n v="25"/>
    <x v="1"/>
    <x v="0"/>
    <n v="69.3"/>
    <n v="1813.1"/>
    <x v="0"/>
    <s v="Yes"/>
    <x v="0"/>
    <n v="1813.1"/>
    <x v="1"/>
    <s v="Standard Spend"/>
  </r>
  <r>
    <s v="4702-HDRKD"/>
    <s v="Male"/>
    <x v="1"/>
    <n v="67"/>
    <x v="0"/>
    <x v="1"/>
    <n v="49.35"/>
    <n v="3321.35"/>
    <x v="0"/>
    <s v="Yes"/>
    <x v="2"/>
    <n v="3321.35"/>
    <x v="2"/>
    <s v="High Spend"/>
  </r>
  <r>
    <s v="8512-WIWYV"/>
    <s v="Male"/>
    <x v="1"/>
    <n v="32"/>
    <x v="2"/>
    <x v="2"/>
    <n v="20.350000000000001"/>
    <n v="707.5"/>
    <x v="0"/>
    <s v="No"/>
    <x v="3"/>
    <n v="707.5"/>
    <x v="1"/>
    <s v="Standard Spend"/>
  </r>
  <r>
    <s v="5897-ZYEKH"/>
    <s v="Female"/>
    <x v="1"/>
    <n v="67"/>
    <x v="1"/>
    <x v="0"/>
    <n v="105.6"/>
    <n v="7112.15"/>
    <x v="0"/>
    <s v="Yes"/>
    <x v="0"/>
    <n v="7112.15"/>
    <x v="2"/>
    <s v="High Spend"/>
  </r>
  <r>
    <s v="5456-ITGIC"/>
    <s v="Male"/>
    <x v="2"/>
    <n v="72"/>
    <x v="0"/>
    <x v="1"/>
    <n v="64.45"/>
    <n v="4641.1000000000004"/>
    <x v="0"/>
    <s v="Yes"/>
    <x v="3"/>
    <n v="4641.1000000000004"/>
    <x v="2"/>
    <s v="High Spend"/>
  </r>
  <r>
    <s v="7317-GGVPB"/>
    <s v="Male"/>
    <x v="2"/>
    <n v="71"/>
    <x v="1"/>
    <x v="1"/>
    <n v="108.6"/>
    <n v="7690.9"/>
    <x v="1"/>
    <s v="Yes"/>
    <x v="3"/>
    <n v="7690.9"/>
    <x v="2"/>
    <s v="High Spend"/>
  </r>
  <r>
    <s v="1406-PUQVY"/>
    <s v="Male"/>
    <x v="0"/>
    <n v="1"/>
    <x v="0"/>
    <x v="0"/>
    <n v="49.9"/>
    <n v="49.9"/>
    <x v="0"/>
    <s v="Yes"/>
    <x v="0"/>
    <n v="49.9"/>
    <x v="0"/>
    <s v="Standard Spend"/>
  </r>
  <r>
    <s v="1322-AGOQM"/>
    <s v="Male"/>
    <x v="0"/>
    <n v="46"/>
    <x v="0"/>
    <x v="0"/>
    <n v="30.3"/>
    <n v="1380.1"/>
    <x v="1"/>
    <s v="No"/>
    <x v="2"/>
    <n v="1380.1"/>
    <x v="2"/>
    <s v="Standard Spend"/>
  </r>
  <r>
    <s v="3677-IYRBF"/>
    <s v="Female"/>
    <x v="0"/>
    <n v="2"/>
    <x v="0"/>
    <x v="0"/>
    <n v="30.4"/>
    <n v="78.650000000000006"/>
    <x v="1"/>
    <s v="Yes"/>
    <x v="0"/>
    <n v="78.650000000000006"/>
    <x v="0"/>
    <s v="Standard Spend"/>
  </r>
  <r>
    <s v="5692-FPTAH"/>
    <s v="Female"/>
    <x v="0"/>
    <n v="1"/>
    <x v="0"/>
    <x v="0"/>
    <n v="45.4"/>
    <n v="45.4"/>
    <x v="1"/>
    <s v="Yes"/>
    <x v="1"/>
    <n v="45.4"/>
    <x v="0"/>
    <s v="Standard Spend"/>
  </r>
  <r>
    <s v="9114-AAFQH"/>
    <s v="Female"/>
    <x v="1"/>
    <n v="48"/>
    <x v="0"/>
    <x v="0"/>
    <n v="65.650000000000006"/>
    <n v="3094.65"/>
    <x v="0"/>
    <s v="Yes"/>
    <x v="0"/>
    <n v="3094.65"/>
    <x v="2"/>
    <s v="High Spend"/>
  </r>
  <r>
    <s v="8715-KKTFG"/>
    <s v="Female"/>
    <x v="1"/>
    <n v="61"/>
    <x v="1"/>
    <x v="1"/>
    <n v="103.3"/>
    <n v="6518.35"/>
    <x v="0"/>
    <s v="Yes"/>
    <x v="2"/>
    <n v="6518.35"/>
    <x v="2"/>
    <s v="High Spend"/>
  </r>
  <r>
    <s v="1550-LOAHA"/>
    <s v="Female"/>
    <x v="0"/>
    <n v="32"/>
    <x v="1"/>
    <x v="0"/>
    <n v="84.15"/>
    <n v="2585.9499999999998"/>
    <x v="1"/>
    <s v="No"/>
    <x v="2"/>
    <n v="2585.9499999999998"/>
    <x v="1"/>
    <s v="High Spend"/>
  </r>
  <r>
    <s v="1728-BQDMA"/>
    <s v="Female"/>
    <x v="0"/>
    <n v="2"/>
    <x v="0"/>
    <x v="0"/>
    <n v="44.45"/>
    <n v="82.7"/>
    <x v="0"/>
    <s v="No"/>
    <x v="0"/>
    <n v="82.7"/>
    <x v="0"/>
    <s v="Standard Spend"/>
  </r>
  <r>
    <s v="0268-QKIWO"/>
    <s v="Female"/>
    <x v="0"/>
    <n v="3"/>
    <x v="2"/>
    <x v="2"/>
    <n v="19.75"/>
    <n v="58.85"/>
    <x v="1"/>
    <s v="No"/>
    <x v="0"/>
    <n v="58.85"/>
    <x v="0"/>
    <s v="Standard Spend"/>
  </r>
  <r>
    <s v="0876-WDUUZ"/>
    <s v="Female"/>
    <x v="0"/>
    <n v="5"/>
    <x v="1"/>
    <x v="1"/>
    <n v="85.4"/>
    <n v="425.9"/>
    <x v="1"/>
    <s v="Yes"/>
    <x v="3"/>
    <n v="425.9"/>
    <x v="0"/>
    <s v="Standard Spend"/>
  </r>
  <r>
    <s v="5117-ZSMHQ"/>
    <s v="Female"/>
    <x v="2"/>
    <n v="71"/>
    <x v="0"/>
    <x v="1"/>
    <n v="89.9"/>
    <n v="6342.7"/>
    <x v="0"/>
    <s v="No"/>
    <x v="2"/>
    <n v="6342.7"/>
    <x v="2"/>
    <s v="High Spend"/>
  </r>
  <r>
    <s v="5151-HQRDG"/>
    <s v="Male"/>
    <x v="0"/>
    <n v="37"/>
    <x v="0"/>
    <x v="0"/>
    <n v="55.05"/>
    <n v="2030.75"/>
    <x v="0"/>
    <s v="Yes"/>
    <x v="1"/>
    <n v="2030.75"/>
    <x v="2"/>
    <s v="Standard Spend"/>
  </r>
  <r>
    <s v="0960-HUWBM"/>
    <s v="Male"/>
    <x v="2"/>
    <n v="65"/>
    <x v="1"/>
    <x v="1"/>
    <n v="104.1"/>
    <n v="6700.05"/>
    <x v="0"/>
    <s v="Yes"/>
    <x v="2"/>
    <n v="6700.05"/>
    <x v="2"/>
    <s v="High Spend"/>
  </r>
  <r>
    <s v="6465-GSRCL"/>
    <s v="Female"/>
    <x v="1"/>
    <n v="67"/>
    <x v="1"/>
    <x v="1"/>
    <n v="106.6"/>
    <n v="7244.7"/>
    <x v="0"/>
    <s v="Yes"/>
    <x v="2"/>
    <n v="7244.7"/>
    <x v="2"/>
    <s v="High Spend"/>
  </r>
  <r>
    <s v="0617-FHSGK"/>
    <s v="Male"/>
    <x v="0"/>
    <n v="49"/>
    <x v="1"/>
    <x v="0"/>
    <n v="75.2"/>
    <n v="3678.3"/>
    <x v="1"/>
    <s v="No"/>
    <x v="3"/>
    <n v="3678.3"/>
    <x v="2"/>
    <s v="High Spend"/>
  </r>
  <r>
    <s v="0263-FJTQO"/>
    <s v="Male"/>
    <x v="2"/>
    <n v="50"/>
    <x v="0"/>
    <x v="1"/>
    <n v="70.5"/>
    <n v="3486.65"/>
    <x v="0"/>
    <s v="Yes"/>
    <x v="3"/>
    <n v="3486.65"/>
    <x v="2"/>
    <s v="High Spend"/>
  </r>
  <r>
    <s v="7319-ZNRTR"/>
    <s v="Male"/>
    <x v="1"/>
    <n v="25"/>
    <x v="2"/>
    <x v="2"/>
    <n v="19.600000000000001"/>
    <n v="411.15"/>
    <x v="0"/>
    <s v="No"/>
    <x v="0"/>
    <n v="411.15"/>
    <x v="1"/>
    <s v="Standard Spend"/>
  </r>
  <r>
    <s v="2858-MOFSQ"/>
    <s v="Female"/>
    <x v="1"/>
    <n v="17"/>
    <x v="0"/>
    <x v="0"/>
    <n v="55.85"/>
    <n v="937.5"/>
    <x v="1"/>
    <s v="Yes"/>
    <x v="1"/>
    <n v="937.5"/>
    <x v="1"/>
    <s v="Standard Spend"/>
  </r>
  <r>
    <s v="7503-EPSZW"/>
    <s v="Female"/>
    <x v="2"/>
    <n v="64"/>
    <x v="2"/>
    <x v="2"/>
    <n v="24.05"/>
    <n v="1559.15"/>
    <x v="0"/>
    <s v="Yes"/>
    <x v="1"/>
    <n v="1559.15"/>
    <x v="2"/>
    <s v="Standard Spend"/>
  </r>
  <r>
    <s v="7089-XXAYG"/>
    <s v="Male"/>
    <x v="1"/>
    <n v="25"/>
    <x v="0"/>
    <x v="0"/>
    <n v="38.1"/>
    <n v="970.4"/>
    <x v="0"/>
    <s v="Yes"/>
    <x v="3"/>
    <n v="970.4"/>
    <x v="1"/>
    <s v="Standard Spend"/>
  </r>
  <r>
    <s v="8118-LSUEL"/>
    <s v="Male"/>
    <x v="0"/>
    <n v="23"/>
    <x v="1"/>
    <x v="0"/>
    <n v="106.4"/>
    <n v="2483.5"/>
    <x v="1"/>
    <s v="Yes"/>
    <x v="0"/>
    <n v="2483.5"/>
    <x v="1"/>
    <s v="Standard Spend"/>
  </r>
  <r>
    <s v="8070-AAWZP"/>
    <s v="Male"/>
    <x v="0"/>
    <n v="24"/>
    <x v="0"/>
    <x v="1"/>
    <n v="34.25"/>
    <n v="828.2"/>
    <x v="0"/>
    <s v="No"/>
    <x v="1"/>
    <n v="828.2"/>
    <x v="1"/>
    <s v="Standard Spend"/>
  </r>
  <r>
    <s v="1666-JXLKU"/>
    <s v="Female"/>
    <x v="0"/>
    <n v="37"/>
    <x v="1"/>
    <x v="0"/>
    <n v="100.05"/>
    <n v="3810.55"/>
    <x v="0"/>
    <s v="Yes"/>
    <x v="0"/>
    <n v="3810.55"/>
    <x v="2"/>
    <s v="High Spend"/>
  </r>
  <r>
    <s v="7855-DIWPO"/>
    <s v="Female"/>
    <x v="0"/>
    <n v="21"/>
    <x v="1"/>
    <x v="0"/>
    <n v="68.650000000000006"/>
    <n v="1493.2"/>
    <x v="0"/>
    <s v="Yes"/>
    <x v="0"/>
    <n v="1493.2"/>
    <x v="1"/>
    <s v="Standard Spend"/>
  </r>
  <r>
    <s v="5133-POWUA"/>
    <s v="Male"/>
    <x v="0"/>
    <n v="1"/>
    <x v="0"/>
    <x v="0"/>
    <n v="45.8"/>
    <n v="45.8"/>
    <x v="0"/>
    <s v="Yes"/>
    <x v="1"/>
    <n v="45.8"/>
    <x v="0"/>
    <s v="Standard Spend"/>
  </r>
  <r>
    <s v="5652-MSDEY"/>
    <s v="Female"/>
    <x v="0"/>
    <n v="10"/>
    <x v="1"/>
    <x v="0"/>
    <n v="75.75"/>
    <n v="777.3"/>
    <x v="0"/>
    <s v="Yes"/>
    <x v="1"/>
    <n v="777.3"/>
    <x v="0"/>
    <s v="Standard Spend"/>
  </r>
  <r>
    <s v="7005-CCBKV"/>
    <s v="Male"/>
    <x v="0"/>
    <n v="6"/>
    <x v="1"/>
    <x v="0"/>
    <n v="84.4"/>
    <n v="556.35"/>
    <x v="1"/>
    <s v="Yes"/>
    <x v="0"/>
    <n v="556.35"/>
    <x v="0"/>
    <s v="Standard Spend"/>
  </r>
  <r>
    <s v="1810-BOHSY"/>
    <s v="Male"/>
    <x v="1"/>
    <n v="51"/>
    <x v="1"/>
    <x v="0"/>
    <n v="96.4"/>
    <n v="4911.05"/>
    <x v="0"/>
    <s v="Yes"/>
    <x v="3"/>
    <n v="4911.05"/>
    <x v="2"/>
    <s v="High Spend"/>
  </r>
  <r>
    <s v="1784-BXEFA"/>
    <s v="Female"/>
    <x v="0"/>
    <n v="10"/>
    <x v="2"/>
    <x v="2"/>
    <n v="20.55"/>
    <n v="187.35"/>
    <x v="0"/>
    <s v="Yes"/>
    <x v="1"/>
    <n v="187.35"/>
    <x v="0"/>
    <s v="Standard Spend"/>
  </r>
  <r>
    <s v="7351-MHQVU"/>
    <s v="Female"/>
    <x v="0"/>
    <n v="6"/>
    <x v="0"/>
    <x v="1"/>
    <n v="50.95"/>
    <n v="307.60000000000002"/>
    <x v="0"/>
    <s v="No"/>
    <x v="3"/>
    <n v="307.60000000000002"/>
    <x v="0"/>
    <s v="Standard Spend"/>
  </r>
  <r>
    <s v="9224-VTYID"/>
    <s v="Male"/>
    <x v="2"/>
    <n v="47"/>
    <x v="0"/>
    <x v="1"/>
    <n v="90.5"/>
    <n v="4318.3500000000004"/>
    <x v="0"/>
    <s v="Yes"/>
    <x v="1"/>
    <n v="4318.3500000000004"/>
    <x v="2"/>
    <s v="High Spend"/>
  </r>
  <r>
    <s v="9500-IWPXQ"/>
    <s v="Female"/>
    <x v="1"/>
    <n v="61"/>
    <x v="0"/>
    <x v="1"/>
    <n v="79.400000000000006"/>
    <n v="4820.55"/>
    <x v="0"/>
    <s v="Yes"/>
    <x v="0"/>
    <n v="4820.55"/>
    <x v="2"/>
    <s v="High Spend"/>
  </r>
  <r>
    <s v="5762-TJXGK"/>
    <s v="Female"/>
    <x v="2"/>
    <n v="52"/>
    <x v="0"/>
    <x v="0"/>
    <n v="58.75"/>
    <n v="3038.55"/>
    <x v="0"/>
    <s v="Yes"/>
    <x v="2"/>
    <n v="3038.55"/>
    <x v="2"/>
    <s v="High Spend"/>
  </r>
  <r>
    <s v="4504-YOULA"/>
    <s v="Female"/>
    <x v="0"/>
    <n v="35"/>
    <x v="0"/>
    <x v="0"/>
    <n v="59.45"/>
    <n v="2136.9"/>
    <x v="0"/>
    <s v="Yes"/>
    <x v="3"/>
    <n v="2136.9"/>
    <x v="1"/>
    <s v="Standard Spend"/>
  </r>
  <r>
    <s v="5569-IDSEY"/>
    <s v="Male"/>
    <x v="1"/>
    <n v="71"/>
    <x v="1"/>
    <x v="0"/>
    <n v="105.7"/>
    <n v="7472.15"/>
    <x v="0"/>
    <s v="Yes"/>
    <x v="2"/>
    <n v="7472.15"/>
    <x v="2"/>
    <s v="High Spend"/>
  </r>
  <r>
    <s v="4250-FDVOU"/>
    <s v="Female"/>
    <x v="0"/>
    <n v="6"/>
    <x v="0"/>
    <x v="0"/>
    <n v="56.25"/>
    <n v="389.1"/>
    <x v="1"/>
    <s v="No"/>
    <x v="0"/>
    <n v="389.1"/>
    <x v="0"/>
    <s v="Standard Spend"/>
  </r>
  <r>
    <s v="7284-ZZLOH"/>
    <s v="Male"/>
    <x v="2"/>
    <n v="45"/>
    <x v="0"/>
    <x v="0"/>
    <n v="53.3"/>
    <n v="2296.25"/>
    <x v="0"/>
    <s v="No"/>
    <x v="3"/>
    <n v="2296.25"/>
    <x v="2"/>
    <s v="Standard Spend"/>
  </r>
  <r>
    <s v="5277-ZLOOR"/>
    <s v="Female"/>
    <x v="0"/>
    <n v="2"/>
    <x v="1"/>
    <x v="0"/>
    <n v="85.55"/>
    <n v="187.45"/>
    <x v="1"/>
    <s v="Yes"/>
    <x v="0"/>
    <n v="187.45"/>
    <x v="0"/>
    <s v="Standard Spend"/>
  </r>
  <r>
    <s v="2141-RRYGO"/>
    <s v="Female"/>
    <x v="0"/>
    <n v="4"/>
    <x v="0"/>
    <x v="0"/>
    <n v="68.650000000000006"/>
    <n v="261.25"/>
    <x v="1"/>
    <s v="Yes"/>
    <x v="2"/>
    <n v="261.25"/>
    <x v="0"/>
    <s v="Standard Spend"/>
  </r>
  <r>
    <s v="1777-JYQPJ"/>
    <s v="Male"/>
    <x v="0"/>
    <n v="2"/>
    <x v="0"/>
    <x v="0"/>
    <n v="24.3"/>
    <n v="38.450000000000003"/>
    <x v="0"/>
    <s v="No"/>
    <x v="1"/>
    <n v="38.450000000000003"/>
    <x v="0"/>
    <s v="Standard Spend"/>
  </r>
  <r>
    <s v="6376-GAHQE"/>
    <s v="Male"/>
    <x v="0"/>
    <n v="4"/>
    <x v="1"/>
    <x v="0"/>
    <n v="77.849999999999994"/>
    <n v="299.2"/>
    <x v="1"/>
    <s v="No"/>
    <x v="0"/>
    <n v="299.2"/>
    <x v="0"/>
    <s v="Standard Spend"/>
  </r>
  <r>
    <s v="3401-URHDA"/>
    <s v="Male"/>
    <x v="1"/>
    <n v="51"/>
    <x v="0"/>
    <x v="1"/>
    <n v="59.9"/>
    <n v="3043.6"/>
    <x v="0"/>
    <s v="No"/>
    <x v="3"/>
    <n v="3043.6"/>
    <x v="2"/>
    <s v="High Spend"/>
  </r>
  <r>
    <s v="1599-EAHXY"/>
    <s v="Male"/>
    <x v="1"/>
    <n v="60"/>
    <x v="2"/>
    <x v="2"/>
    <n v="23.95"/>
    <n v="1506.4"/>
    <x v="0"/>
    <s v="No"/>
    <x v="3"/>
    <n v="1506.4"/>
    <x v="2"/>
    <s v="Standard Spend"/>
  </r>
  <r>
    <s v="8631-XVRZL"/>
    <s v="Male"/>
    <x v="1"/>
    <n v="9"/>
    <x v="2"/>
    <x v="2"/>
    <n v="20.149999999999999"/>
    <n v="163.69999999999999"/>
    <x v="0"/>
    <s v="Yes"/>
    <x v="1"/>
    <n v="163.69999999999999"/>
    <x v="0"/>
    <s v="Standard Spend"/>
  </r>
  <r>
    <s v="5052-PNLOS"/>
    <s v="Male"/>
    <x v="0"/>
    <n v="3"/>
    <x v="1"/>
    <x v="0"/>
    <n v="105.35"/>
    <n v="323.25"/>
    <x v="1"/>
    <s v="Yes"/>
    <x v="2"/>
    <n v="323.25"/>
    <x v="0"/>
    <s v="Standard Spend"/>
  </r>
  <r>
    <s v="3853-LYGAM"/>
    <s v="Male"/>
    <x v="0"/>
    <n v="17"/>
    <x v="1"/>
    <x v="1"/>
    <n v="95.65"/>
    <n v="1640"/>
    <x v="0"/>
    <s v="Yes"/>
    <x v="2"/>
    <n v="1640"/>
    <x v="1"/>
    <s v="Standard Spend"/>
  </r>
  <r>
    <s v="6979-ZNSFF"/>
    <s v="Female"/>
    <x v="0"/>
    <n v="8"/>
    <x v="1"/>
    <x v="0"/>
    <n v="87.05"/>
    <n v="762.1"/>
    <x v="1"/>
    <s v="Yes"/>
    <x v="0"/>
    <n v="762.1"/>
    <x v="0"/>
    <s v="Standard Spend"/>
  </r>
  <r>
    <s v="5751-USDBL"/>
    <s v="Male"/>
    <x v="2"/>
    <n v="46"/>
    <x v="0"/>
    <x v="1"/>
    <n v="81"/>
    <n v="3846.35"/>
    <x v="0"/>
    <s v="No"/>
    <x v="1"/>
    <n v="3846.35"/>
    <x v="2"/>
    <s v="High Spend"/>
  </r>
  <r>
    <s v="5680-LQOGP"/>
    <s v="Female"/>
    <x v="2"/>
    <n v="68"/>
    <x v="0"/>
    <x v="1"/>
    <n v="82.45"/>
    <n v="5646.6"/>
    <x v="0"/>
    <s v="Yes"/>
    <x v="3"/>
    <n v="5646.6"/>
    <x v="2"/>
    <s v="High Spend"/>
  </r>
  <r>
    <s v="2386-LAHRK"/>
    <s v="Male"/>
    <x v="0"/>
    <n v="1"/>
    <x v="0"/>
    <x v="0"/>
    <n v="53.5"/>
    <n v="53.5"/>
    <x v="1"/>
    <s v="Yes"/>
    <x v="1"/>
    <n v="53.5"/>
    <x v="0"/>
    <s v="Standard Spend"/>
  </r>
  <r>
    <s v="8189-DUKMV"/>
    <s v="Female"/>
    <x v="1"/>
    <n v="4"/>
    <x v="2"/>
    <x v="2"/>
    <n v="20.5"/>
    <n v="79.05"/>
    <x v="0"/>
    <s v="No"/>
    <x v="2"/>
    <n v="79.05"/>
    <x v="0"/>
    <s v="Standard Spend"/>
  </r>
  <r>
    <s v="6032-IGALN"/>
    <s v="Female"/>
    <x v="0"/>
    <n v="1"/>
    <x v="0"/>
    <x v="0"/>
    <n v="25.1"/>
    <n v="25.1"/>
    <x v="1"/>
    <s v="Yes"/>
    <x v="1"/>
    <n v="25.1"/>
    <x v="0"/>
    <s v="Standard Spend"/>
  </r>
  <r>
    <s v="9931-DCEZH"/>
    <s v="Male"/>
    <x v="1"/>
    <n v="28"/>
    <x v="0"/>
    <x v="1"/>
    <n v="54.4"/>
    <n v="1516.6"/>
    <x v="0"/>
    <s v="Yes"/>
    <x v="3"/>
    <n v="1516.6"/>
    <x v="1"/>
    <s v="Standard Spend"/>
  </r>
  <r>
    <s v="1898-JSNDC"/>
    <s v="Female"/>
    <x v="1"/>
    <n v="39"/>
    <x v="0"/>
    <x v="0"/>
    <n v="58.6"/>
    <n v="2224.5"/>
    <x v="0"/>
    <s v="Yes"/>
    <x v="3"/>
    <n v="2224.5"/>
    <x v="2"/>
    <s v="Standard Spend"/>
  </r>
  <r>
    <s v="0315-LVCRK"/>
    <s v="Male"/>
    <x v="0"/>
    <n v="11"/>
    <x v="1"/>
    <x v="0"/>
    <n v="84.8"/>
    <n v="888.75"/>
    <x v="0"/>
    <s v="No"/>
    <x v="0"/>
    <n v="888.75"/>
    <x v="0"/>
    <s v="Standard Spend"/>
  </r>
  <r>
    <s v="3911-RSNHI"/>
    <s v="Female"/>
    <x v="2"/>
    <n v="71"/>
    <x v="0"/>
    <x v="1"/>
    <n v="61.4"/>
    <n v="4310.3500000000004"/>
    <x v="0"/>
    <s v="Yes"/>
    <x v="3"/>
    <n v="4310.3500000000004"/>
    <x v="2"/>
    <s v="High Spend"/>
  </r>
  <r>
    <s v="2410-CIYFZ"/>
    <s v="Male"/>
    <x v="0"/>
    <n v="2"/>
    <x v="2"/>
    <x v="2"/>
    <n v="20.399999999999999"/>
    <n v="42.9"/>
    <x v="0"/>
    <s v="No"/>
    <x v="1"/>
    <n v="42.9"/>
    <x v="0"/>
    <s v="Standard Spend"/>
  </r>
  <r>
    <s v="4248-HCETZ"/>
    <s v="Male"/>
    <x v="0"/>
    <n v="30"/>
    <x v="1"/>
    <x v="0"/>
    <n v="79.650000000000006"/>
    <n v="2365.15"/>
    <x v="1"/>
    <s v="Yes"/>
    <x v="1"/>
    <n v="2365.15"/>
    <x v="1"/>
    <s v="Standard Spend"/>
  </r>
  <r>
    <s v="5505-OVWQW"/>
    <s v="Female"/>
    <x v="1"/>
    <n v="17"/>
    <x v="2"/>
    <x v="2"/>
    <n v="20.149999999999999"/>
    <n v="353.65"/>
    <x v="0"/>
    <s v="No"/>
    <x v="1"/>
    <n v="353.65"/>
    <x v="1"/>
    <s v="Standard Spend"/>
  </r>
  <r>
    <s v="7271-AJDTL"/>
    <s v="Female"/>
    <x v="0"/>
    <n v="55"/>
    <x v="1"/>
    <x v="0"/>
    <n v="94.45"/>
    <n v="5073.1000000000004"/>
    <x v="0"/>
    <s v="Yes"/>
    <x v="3"/>
    <n v="5073.1000000000004"/>
    <x v="2"/>
    <s v="High Spend"/>
  </r>
  <r>
    <s v="1867-TJHTS"/>
    <s v="Female"/>
    <x v="0"/>
    <n v="58"/>
    <x v="1"/>
    <x v="0"/>
    <n v="79.8"/>
    <n v="4526.8500000000004"/>
    <x v="0"/>
    <s v="Yes"/>
    <x v="2"/>
    <n v="4526.8500000000004"/>
    <x v="2"/>
    <s v="High Spend"/>
  </r>
  <r>
    <s v="0516-WJVXC"/>
    <s v="Female"/>
    <x v="0"/>
    <n v="5"/>
    <x v="0"/>
    <x v="1"/>
    <n v="54.2"/>
    <n v="308.25"/>
    <x v="1"/>
    <s v="No"/>
    <x v="0"/>
    <n v="308.25"/>
    <x v="0"/>
    <s v="Standard Spend"/>
  </r>
  <r>
    <s v="9174-FKWZE"/>
    <s v="Female"/>
    <x v="0"/>
    <n v="1"/>
    <x v="2"/>
    <x v="2"/>
    <n v="19.45"/>
    <n v="19.45"/>
    <x v="1"/>
    <s v="Yes"/>
    <x v="0"/>
    <n v="19.45"/>
    <x v="0"/>
    <s v="Standard Spend"/>
  </r>
  <r>
    <s v="6860-YRJZP"/>
    <s v="Male"/>
    <x v="0"/>
    <n v="9"/>
    <x v="1"/>
    <x v="0"/>
    <n v="74.05"/>
    <n v="678.45"/>
    <x v="0"/>
    <s v="Yes"/>
    <x v="0"/>
    <n v="678.45"/>
    <x v="0"/>
    <s v="Standard Spend"/>
  </r>
  <r>
    <s v="4429-WYGFR"/>
    <s v="Male"/>
    <x v="0"/>
    <n v="26"/>
    <x v="0"/>
    <x v="1"/>
    <n v="49.15"/>
    <n v="1237.3"/>
    <x v="0"/>
    <s v="No"/>
    <x v="2"/>
    <n v="1237.3"/>
    <x v="1"/>
    <s v="Standard Spend"/>
  </r>
  <r>
    <s v="2817-LVCPP"/>
    <s v="Female"/>
    <x v="2"/>
    <n v="50"/>
    <x v="2"/>
    <x v="2"/>
    <n v="19.399999999999999"/>
    <n v="1023.95"/>
    <x v="0"/>
    <s v="No"/>
    <x v="3"/>
    <n v="1023.95"/>
    <x v="2"/>
    <s v="Standard Spend"/>
  </r>
  <r>
    <s v="5038-ETMLM"/>
    <s v="Female"/>
    <x v="2"/>
    <n v="72"/>
    <x v="1"/>
    <x v="1"/>
    <n v="113.65"/>
    <n v="8182.75"/>
    <x v="0"/>
    <s v="Yes"/>
    <x v="2"/>
    <n v="8182.75"/>
    <x v="2"/>
    <s v="High Spend"/>
  </r>
  <r>
    <s v="5056-FIMPT"/>
    <s v="Female"/>
    <x v="1"/>
    <n v="43"/>
    <x v="1"/>
    <x v="1"/>
    <n v="106"/>
    <n v="4532.3"/>
    <x v="0"/>
    <s v="Yes"/>
    <x v="3"/>
    <n v="4532.3"/>
    <x v="2"/>
    <s v="High Spend"/>
  </r>
  <r>
    <s v="4521-WFJAI"/>
    <s v="Male"/>
    <x v="2"/>
    <n v="56"/>
    <x v="2"/>
    <x v="2"/>
    <n v="25.95"/>
    <n v="1444.05"/>
    <x v="0"/>
    <s v="Yes"/>
    <x v="2"/>
    <n v="1444.05"/>
    <x v="2"/>
    <s v="Standard Spend"/>
  </r>
  <r>
    <s v="6569-KTMDU"/>
    <s v="Female"/>
    <x v="0"/>
    <n v="1"/>
    <x v="2"/>
    <x v="2"/>
    <n v="19.100000000000001"/>
    <n v="19.100000000000001"/>
    <x v="0"/>
    <s v="No"/>
    <x v="1"/>
    <n v="19.100000000000001"/>
    <x v="0"/>
    <s v="Standard Spend"/>
  </r>
  <r>
    <s v="8809-RIHDD"/>
    <s v="Male"/>
    <x v="2"/>
    <n v="72"/>
    <x v="1"/>
    <x v="0"/>
    <n v="103.4"/>
    <n v="7372.65"/>
    <x v="1"/>
    <s v="Yes"/>
    <x v="0"/>
    <n v="7372.65"/>
    <x v="2"/>
    <s v="High Spend"/>
  </r>
  <r>
    <s v="8809-XKHMD"/>
    <s v="Male"/>
    <x v="2"/>
    <n v="72"/>
    <x v="1"/>
    <x v="1"/>
    <n v="100.55"/>
    <n v="7325.1"/>
    <x v="0"/>
    <s v="Yes"/>
    <x v="2"/>
    <n v="7325.1"/>
    <x v="2"/>
    <s v="High Spend"/>
  </r>
  <r>
    <s v="0396-YCHWO"/>
    <s v="Male"/>
    <x v="0"/>
    <n v="36"/>
    <x v="1"/>
    <x v="0"/>
    <n v="95.4"/>
    <n v="3474.2"/>
    <x v="0"/>
    <s v="Yes"/>
    <x v="0"/>
    <n v="3474.2"/>
    <x v="1"/>
    <s v="High Spend"/>
  </r>
  <r>
    <s v="0867-LDTTC"/>
    <s v="Male"/>
    <x v="0"/>
    <n v="5"/>
    <x v="0"/>
    <x v="1"/>
    <n v="75.150000000000006"/>
    <n v="392.65"/>
    <x v="0"/>
    <s v="No"/>
    <x v="2"/>
    <n v="392.65"/>
    <x v="0"/>
    <s v="Standard Spend"/>
  </r>
  <r>
    <s v="4822-NGOCH"/>
    <s v="Female"/>
    <x v="0"/>
    <n v="13"/>
    <x v="1"/>
    <x v="0"/>
    <n v="84.45"/>
    <n v="1058.5999999999999"/>
    <x v="1"/>
    <s v="Yes"/>
    <x v="0"/>
    <n v="1058.5999999999999"/>
    <x v="1"/>
    <s v="Standard Spend"/>
  </r>
  <r>
    <s v="9391-DXGGG"/>
    <s v="Female"/>
    <x v="1"/>
    <n v="44"/>
    <x v="1"/>
    <x v="0"/>
    <n v="89.15"/>
    <n v="3990.75"/>
    <x v="0"/>
    <s v="No"/>
    <x v="3"/>
    <n v="3990.75"/>
    <x v="2"/>
    <s v="High Spend"/>
  </r>
  <r>
    <s v="9844-FELAJ"/>
    <s v="Female"/>
    <x v="1"/>
    <n v="70"/>
    <x v="1"/>
    <x v="1"/>
    <n v="107.9"/>
    <n v="7475.85"/>
    <x v="0"/>
    <s v="Yes"/>
    <x v="0"/>
    <n v="7475.85"/>
    <x v="2"/>
    <s v="High Spend"/>
  </r>
  <r>
    <s v="2122-SZZZD"/>
    <s v="Male"/>
    <x v="1"/>
    <n v="44"/>
    <x v="2"/>
    <x v="2"/>
    <n v="19.5"/>
    <n v="835.5"/>
    <x v="0"/>
    <s v="No"/>
    <x v="3"/>
    <n v="835.5"/>
    <x v="2"/>
    <s v="Standard Spend"/>
  </r>
  <r>
    <s v="5307-DZCVC"/>
    <s v="Female"/>
    <x v="0"/>
    <n v="32"/>
    <x v="1"/>
    <x v="0"/>
    <n v="85.95"/>
    <n v="2628.6"/>
    <x v="1"/>
    <s v="Yes"/>
    <x v="3"/>
    <n v="2628.6"/>
    <x v="1"/>
    <s v="High Spend"/>
  </r>
  <r>
    <s v="3148-AOIQT"/>
    <s v="Female"/>
    <x v="2"/>
    <n v="69"/>
    <x v="2"/>
    <x v="2"/>
    <n v="24.95"/>
    <n v="1718.35"/>
    <x v="0"/>
    <s v="Yes"/>
    <x v="3"/>
    <n v="1718.35"/>
    <x v="2"/>
    <s v="Standard Spend"/>
  </r>
  <r>
    <s v="8679-JOEVF"/>
    <s v="Female"/>
    <x v="0"/>
    <n v="16"/>
    <x v="0"/>
    <x v="1"/>
    <n v="59.4"/>
    <n v="1023.9"/>
    <x v="1"/>
    <s v="No"/>
    <x v="0"/>
    <n v="1023.9"/>
    <x v="1"/>
    <s v="Standard Spend"/>
  </r>
  <r>
    <s v="8395-ETZKQ"/>
    <s v="Male"/>
    <x v="1"/>
    <n v="68"/>
    <x v="2"/>
    <x v="2"/>
    <n v="19.5"/>
    <n v="1193.55"/>
    <x v="0"/>
    <s v="No"/>
    <x v="2"/>
    <n v="1193.55"/>
    <x v="2"/>
    <s v="Standard Spend"/>
  </r>
  <r>
    <s v="6692-YQHXC"/>
    <s v="Male"/>
    <x v="0"/>
    <n v="16"/>
    <x v="1"/>
    <x v="0"/>
    <n v="69.95"/>
    <n v="1205.5"/>
    <x v="0"/>
    <s v="Yes"/>
    <x v="3"/>
    <n v="1205.5"/>
    <x v="1"/>
    <s v="Standard Spend"/>
  </r>
  <r>
    <s v="3889-VWBID"/>
    <s v="Male"/>
    <x v="2"/>
    <n v="68"/>
    <x v="0"/>
    <x v="1"/>
    <n v="82.85"/>
    <n v="5776.45"/>
    <x v="0"/>
    <s v="No"/>
    <x v="2"/>
    <n v="5776.45"/>
    <x v="2"/>
    <s v="High Spend"/>
  </r>
  <r>
    <s v="5222-JCXZT"/>
    <s v="Male"/>
    <x v="0"/>
    <n v="4"/>
    <x v="2"/>
    <x v="2"/>
    <n v="19"/>
    <n v="78.900000000000006"/>
    <x v="0"/>
    <s v="No"/>
    <x v="1"/>
    <n v="78.900000000000006"/>
    <x v="0"/>
    <s v="Standard Spend"/>
  </r>
  <r>
    <s v="9754-CLVZW"/>
    <s v="Female"/>
    <x v="0"/>
    <n v="26"/>
    <x v="0"/>
    <x v="1"/>
    <n v="38.85"/>
    <n v="1025.1500000000001"/>
    <x v="0"/>
    <s v="No"/>
    <x v="3"/>
    <n v="1025.1500000000001"/>
    <x v="1"/>
    <s v="Standard Spend"/>
  </r>
  <r>
    <s v="1432-FPAXX"/>
    <s v="Female"/>
    <x v="0"/>
    <n v="29"/>
    <x v="0"/>
    <x v="0"/>
    <n v="30.6"/>
    <n v="856.35"/>
    <x v="1"/>
    <s v="Yes"/>
    <x v="0"/>
    <n v="856.35"/>
    <x v="1"/>
    <s v="Standard Spend"/>
  </r>
  <r>
    <s v="2739-CCZMB"/>
    <s v="Male"/>
    <x v="0"/>
    <n v="5"/>
    <x v="2"/>
    <x v="2"/>
    <n v="20.350000000000001"/>
    <n v="122"/>
    <x v="0"/>
    <s v="No"/>
    <x v="3"/>
    <n v="122"/>
    <x v="0"/>
    <s v="Standard Spend"/>
  </r>
  <r>
    <s v="7080-TNUWP"/>
    <s v="Male"/>
    <x v="1"/>
    <n v="70"/>
    <x v="1"/>
    <x v="0"/>
    <n v="95"/>
    <n v="6602.9"/>
    <x v="0"/>
    <s v="Yes"/>
    <x v="2"/>
    <n v="6602.9"/>
    <x v="2"/>
    <s v="High Spend"/>
  </r>
  <r>
    <s v="0496-AHOOK"/>
    <s v="Male"/>
    <x v="1"/>
    <n v="24"/>
    <x v="0"/>
    <x v="1"/>
    <n v="74.400000000000006"/>
    <n v="1712.9"/>
    <x v="0"/>
    <s v="No"/>
    <x v="2"/>
    <n v="1712.9"/>
    <x v="1"/>
    <s v="Standard Spend"/>
  </r>
  <r>
    <s v="8336-TAVKX"/>
    <s v="Female"/>
    <x v="2"/>
    <n v="72"/>
    <x v="0"/>
    <x v="1"/>
    <n v="78.45"/>
    <n v="5682.25"/>
    <x v="0"/>
    <s v="No"/>
    <x v="2"/>
    <n v="5682.25"/>
    <x v="2"/>
    <s v="High Spend"/>
  </r>
  <r>
    <s v="2468-SJFLM"/>
    <s v="Male"/>
    <x v="0"/>
    <n v="1"/>
    <x v="1"/>
    <x v="1"/>
    <n v="74.3"/>
    <n v="74.3"/>
    <x v="0"/>
    <s v="Yes"/>
    <x v="1"/>
    <n v="74.3"/>
    <x v="0"/>
    <s v="Standard Spend"/>
  </r>
  <r>
    <s v="3181-VTHOE"/>
    <s v="Male"/>
    <x v="1"/>
    <n v="70"/>
    <x v="0"/>
    <x v="1"/>
    <n v="51.05"/>
    <n v="3635.15"/>
    <x v="0"/>
    <s v="Yes"/>
    <x v="2"/>
    <n v="3635.15"/>
    <x v="2"/>
    <s v="High Spend"/>
  </r>
  <r>
    <s v="7168-HDQHG"/>
    <s v="Female"/>
    <x v="0"/>
    <n v="36"/>
    <x v="2"/>
    <x v="2"/>
    <n v="19.2"/>
    <n v="702.9"/>
    <x v="0"/>
    <s v="No"/>
    <x v="2"/>
    <n v="702.9"/>
    <x v="1"/>
    <s v="Standard Spend"/>
  </r>
  <r>
    <s v="4803-AXVYP"/>
    <s v="Female"/>
    <x v="0"/>
    <n v="38"/>
    <x v="1"/>
    <x v="1"/>
    <n v="99.55"/>
    <n v="3734.25"/>
    <x v="1"/>
    <s v="Yes"/>
    <x v="0"/>
    <n v="3734.25"/>
    <x v="2"/>
    <s v="High Spend"/>
  </r>
  <r>
    <s v="3884-HCSWG"/>
    <s v="Female"/>
    <x v="0"/>
    <n v="17"/>
    <x v="1"/>
    <x v="0"/>
    <n v="70"/>
    <n v="1144.5"/>
    <x v="1"/>
    <s v="Yes"/>
    <x v="0"/>
    <n v="1144.5"/>
    <x v="1"/>
    <s v="Standard Spend"/>
  </r>
  <r>
    <s v="4567-AKPIA"/>
    <s v="Female"/>
    <x v="1"/>
    <n v="41"/>
    <x v="1"/>
    <x v="1"/>
    <n v="109.1"/>
    <n v="4454.25"/>
    <x v="0"/>
    <s v="Yes"/>
    <x v="2"/>
    <n v="4454.25"/>
    <x v="2"/>
    <s v="High Spend"/>
  </r>
  <r>
    <s v="5077-DXTCG"/>
    <s v="Female"/>
    <x v="0"/>
    <n v="1"/>
    <x v="0"/>
    <x v="0"/>
    <n v="45.3"/>
    <n v="45.3"/>
    <x v="1"/>
    <s v="Yes"/>
    <x v="0"/>
    <n v="45.3"/>
    <x v="0"/>
    <s v="Standard Spend"/>
  </r>
  <r>
    <s v="1142-WACZW"/>
    <s v="Male"/>
    <x v="0"/>
    <n v="2"/>
    <x v="0"/>
    <x v="1"/>
    <n v="29.85"/>
    <n v="75.599999999999994"/>
    <x v="1"/>
    <s v="No"/>
    <x v="2"/>
    <n v="75.599999999999994"/>
    <x v="0"/>
    <s v="Standard Spend"/>
  </r>
  <r>
    <s v="7901-HXJVA"/>
    <s v="Male"/>
    <x v="0"/>
    <n v="14"/>
    <x v="1"/>
    <x v="0"/>
    <n v="76.45"/>
    <n v="1117.55"/>
    <x v="0"/>
    <s v="No"/>
    <x v="0"/>
    <n v="1117.55"/>
    <x v="1"/>
    <s v="Standard Spend"/>
  </r>
  <r>
    <s v="5649-ANRML"/>
    <s v="Male"/>
    <x v="0"/>
    <n v="2"/>
    <x v="1"/>
    <x v="1"/>
    <n v="95.1"/>
    <n v="180.25"/>
    <x v="1"/>
    <s v="Yes"/>
    <x v="3"/>
    <n v="180.25"/>
    <x v="0"/>
    <s v="Standard Spend"/>
  </r>
  <r>
    <s v="4892-VLANZ"/>
    <s v="Male"/>
    <x v="0"/>
    <n v="1"/>
    <x v="2"/>
    <x v="2"/>
    <n v="19.8"/>
    <n v="19.8"/>
    <x v="1"/>
    <s v="No"/>
    <x v="1"/>
    <n v="19.8"/>
    <x v="0"/>
    <s v="Standard Spend"/>
  </r>
  <r>
    <s v="5924-IFQTT"/>
    <s v="Male"/>
    <x v="0"/>
    <n v="13"/>
    <x v="0"/>
    <x v="1"/>
    <n v="72.8"/>
    <n v="930.05"/>
    <x v="0"/>
    <s v="Yes"/>
    <x v="0"/>
    <n v="930.05"/>
    <x v="1"/>
    <s v="Standard Spend"/>
  </r>
  <r>
    <s v="7968-QUXNS"/>
    <s v="Male"/>
    <x v="0"/>
    <n v="6"/>
    <x v="2"/>
    <x v="2"/>
    <n v="18.95"/>
    <n v="110.15"/>
    <x v="0"/>
    <s v="No"/>
    <x v="1"/>
    <n v="110.15"/>
    <x v="0"/>
    <s v="Standard Spend"/>
  </r>
  <r>
    <s v="2919-HBCJO"/>
    <s v="Female"/>
    <x v="0"/>
    <n v="4"/>
    <x v="1"/>
    <x v="0"/>
    <n v="76.650000000000006"/>
    <n v="333.6"/>
    <x v="1"/>
    <s v="Yes"/>
    <x v="2"/>
    <n v="333.6"/>
    <x v="0"/>
    <s v="Standard Spend"/>
  </r>
  <r>
    <s v="4236-XPXAV"/>
    <s v="Female"/>
    <x v="0"/>
    <n v="5"/>
    <x v="1"/>
    <x v="1"/>
    <n v="99.15"/>
    <n v="465.05"/>
    <x v="1"/>
    <s v="Yes"/>
    <x v="1"/>
    <n v="465.05"/>
    <x v="0"/>
    <s v="Standard Spend"/>
  </r>
  <r>
    <s v="8903-WMRNW"/>
    <s v="Female"/>
    <x v="0"/>
    <n v="15"/>
    <x v="1"/>
    <x v="0"/>
    <n v="101.75"/>
    <n v="1669.4"/>
    <x v="0"/>
    <s v="No"/>
    <x v="0"/>
    <n v="1669.4"/>
    <x v="1"/>
    <s v="Standard Spend"/>
  </r>
  <r>
    <s v="2452-SNHFZ"/>
    <s v="Female"/>
    <x v="0"/>
    <n v="47"/>
    <x v="1"/>
    <x v="0"/>
    <n v="75.45"/>
    <n v="3545.1"/>
    <x v="0"/>
    <s v="No"/>
    <x v="3"/>
    <n v="3545.1"/>
    <x v="2"/>
    <s v="High Spend"/>
  </r>
  <r>
    <s v="3629-WEAAM"/>
    <s v="Female"/>
    <x v="0"/>
    <n v="8"/>
    <x v="0"/>
    <x v="1"/>
    <n v="64.099999999999994"/>
    <n v="504.05"/>
    <x v="0"/>
    <s v="No"/>
    <x v="1"/>
    <n v="504.05"/>
    <x v="0"/>
    <s v="Standard Spend"/>
  </r>
  <r>
    <s v="6029-CSMJE"/>
    <s v="Male"/>
    <x v="0"/>
    <n v="17"/>
    <x v="0"/>
    <x v="0"/>
    <n v="25.65"/>
    <n v="440.2"/>
    <x v="0"/>
    <s v="Yes"/>
    <x v="1"/>
    <n v="440.2"/>
    <x v="1"/>
    <s v="Standard Spend"/>
  </r>
  <r>
    <s v="7993-NQLJE"/>
    <s v="Male"/>
    <x v="0"/>
    <n v="15"/>
    <x v="1"/>
    <x v="0"/>
    <n v="75.099999999999994"/>
    <n v="1151.55"/>
    <x v="0"/>
    <s v="No"/>
    <x v="1"/>
    <n v="1151.55"/>
    <x v="1"/>
    <s v="Standard Spend"/>
  </r>
  <r>
    <s v="9909-DFRJA"/>
    <s v="Female"/>
    <x v="1"/>
    <n v="26"/>
    <x v="1"/>
    <x v="1"/>
    <n v="95.85"/>
    <n v="2475.35"/>
    <x v="0"/>
    <s v="Yes"/>
    <x v="2"/>
    <n v="2475.35"/>
    <x v="1"/>
    <s v="Standard Spend"/>
  </r>
  <r>
    <s v="9099-FTUHS"/>
    <s v="Female"/>
    <x v="0"/>
    <n v="23"/>
    <x v="0"/>
    <x v="0"/>
    <n v="54.4"/>
    <n v="1249.25"/>
    <x v="0"/>
    <s v="No"/>
    <x v="0"/>
    <n v="1249.25"/>
    <x v="1"/>
    <s v="Standard Spend"/>
  </r>
  <r>
    <s v="0581-BXBUB"/>
    <s v="Female"/>
    <x v="0"/>
    <n v="4"/>
    <x v="1"/>
    <x v="0"/>
    <n v="72.75"/>
    <n v="317.75"/>
    <x v="0"/>
    <s v="No"/>
    <x v="0"/>
    <n v="317.75"/>
    <x v="0"/>
    <s v="Standard Spend"/>
  </r>
  <r>
    <s v="4962-CHQPW"/>
    <s v="Male"/>
    <x v="1"/>
    <n v="29"/>
    <x v="2"/>
    <x v="2"/>
    <n v="19.850000000000001"/>
    <n v="535.04999999999995"/>
    <x v="0"/>
    <s v="No"/>
    <x v="1"/>
    <n v="535.04999999999995"/>
    <x v="1"/>
    <s v="Standard Spend"/>
  </r>
  <r>
    <s v="9467-ROOLM"/>
    <s v="Female"/>
    <x v="0"/>
    <n v="25"/>
    <x v="2"/>
    <x v="2"/>
    <n v="19.05"/>
    <n v="461.3"/>
    <x v="0"/>
    <s v="No"/>
    <x v="1"/>
    <n v="461.3"/>
    <x v="1"/>
    <s v="Standard Spend"/>
  </r>
  <r>
    <s v="3030-YZADT"/>
    <s v="Male"/>
    <x v="0"/>
    <n v="9"/>
    <x v="0"/>
    <x v="0"/>
    <n v="44.95"/>
    <n v="431"/>
    <x v="1"/>
    <s v="No"/>
    <x v="1"/>
    <n v="431"/>
    <x v="0"/>
    <s v="Standard Spend"/>
  </r>
  <r>
    <s v="7410-KTVFV"/>
    <s v="Male"/>
    <x v="0"/>
    <n v="18"/>
    <x v="0"/>
    <x v="0"/>
    <n v="49.55"/>
    <n v="878.35"/>
    <x v="1"/>
    <s v="Yes"/>
    <x v="1"/>
    <n v="878.35"/>
    <x v="1"/>
    <s v="Standard Spend"/>
  </r>
  <r>
    <s v="5150-ITWWB"/>
    <s v="Male"/>
    <x v="0"/>
    <n v="3"/>
    <x v="1"/>
    <x v="0"/>
    <n v="94.85"/>
    <n v="335.75"/>
    <x v="0"/>
    <s v="Yes"/>
    <x v="0"/>
    <n v="335.75"/>
    <x v="0"/>
    <s v="Standard Spend"/>
  </r>
  <r>
    <s v="2253-KPMNB"/>
    <s v="Female"/>
    <x v="2"/>
    <n v="69"/>
    <x v="0"/>
    <x v="1"/>
    <n v="46.25"/>
    <n v="3121.4"/>
    <x v="0"/>
    <s v="No"/>
    <x v="2"/>
    <n v="3121.4"/>
    <x v="2"/>
    <s v="High Spend"/>
  </r>
  <r>
    <s v="1345-ZUKID"/>
    <s v="Male"/>
    <x v="1"/>
    <n v="14"/>
    <x v="2"/>
    <x v="2"/>
    <n v="19.350000000000001"/>
    <n v="324.8"/>
    <x v="0"/>
    <s v="No"/>
    <x v="1"/>
    <n v="324.8"/>
    <x v="1"/>
    <s v="Standard Spend"/>
  </r>
  <r>
    <s v="6429-SHBCB"/>
    <s v="Male"/>
    <x v="0"/>
    <n v="19"/>
    <x v="0"/>
    <x v="0"/>
    <n v="69.599999999999994"/>
    <n v="1394.55"/>
    <x v="0"/>
    <s v="No"/>
    <x v="1"/>
    <n v="1394.55"/>
    <x v="1"/>
    <s v="Standard Spend"/>
  </r>
  <r>
    <s v="9281-OFDMF"/>
    <s v="Male"/>
    <x v="0"/>
    <n v="39"/>
    <x v="1"/>
    <x v="0"/>
    <n v="90.7"/>
    <n v="3413.25"/>
    <x v="0"/>
    <s v="No"/>
    <x v="0"/>
    <n v="3413.25"/>
    <x v="2"/>
    <s v="High Spend"/>
  </r>
  <r>
    <s v="2603-HVKCG"/>
    <s v="Male"/>
    <x v="0"/>
    <n v="31"/>
    <x v="1"/>
    <x v="0"/>
    <n v="101.4"/>
    <n v="3143.65"/>
    <x v="0"/>
    <s v="Yes"/>
    <x v="0"/>
    <n v="3143.65"/>
    <x v="1"/>
    <s v="High Spend"/>
  </r>
  <r>
    <s v="1834-WULEG"/>
    <s v="Male"/>
    <x v="1"/>
    <n v="24"/>
    <x v="2"/>
    <x v="2"/>
    <n v="20.25"/>
    <n v="439.75"/>
    <x v="0"/>
    <s v="No"/>
    <x v="1"/>
    <n v="439.75"/>
    <x v="1"/>
    <s v="Standard Spend"/>
  </r>
  <r>
    <s v="9097-ZUBYC"/>
    <s v="Male"/>
    <x v="0"/>
    <n v="14"/>
    <x v="0"/>
    <x v="1"/>
    <n v="48.8"/>
    <n v="664.4"/>
    <x v="0"/>
    <s v="No"/>
    <x v="2"/>
    <n v="664.4"/>
    <x v="1"/>
    <s v="Standard Spend"/>
  </r>
  <r>
    <s v="5148-ORICT"/>
    <s v="Female"/>
    <x v="2"/>
    <n v="64"/>
    <x v="0"/>
    <x v="1"/>
    <n v="74.349999999999994"/>
    <n v="4759.55"/>
    <x v="0"/>
    <s v="Yes"/>
    <x v="1"/>
    <n v="4759.55"/>
    <x v="2"/>
    <s v="High Spend"/>
  </r>
  <r>
    <s v="4893-GYUJU"/>
    <s v="Female"/>
    <x v="1"/>
    <n v="50"/>
    <x v="2"/>
    <x v="2"/>
    <n v="19.350000000000001"/>
    <n v="1033"/>
    <x v="0"/>
    <s v="Yes"/>
    <x v="1"/>
    <n v="1033"/>
    <x v="2"/>
    <s v="Standard Spend"/>
  </r>
  <r>
    <s v="4578-PHJYZ"/>
    <s v="Male"/>
    <x v="1"/>
    <n v="52"/>
    <x v="0"/>
    <x v="1"/>
    <n v="68.75"/>
    <n v="3482.85"/>
    <x v="0"/>
    <s v="Yes"/>
    <x v="0"/>
    <n v="3482.85"/>
    <x v="2"/>
    <s v="High Spend"/>
  </r>
  <r>
    <s v="7272-QDCKA"/>
    <s v="Male"/>
    <x v="1"/>
    <n v="28"/>
    <x v="1"/>
    <x v="0"/>
    <n v="100.2"/>
    <n v="2688.45"/>
    <x v="0"/>
    <s v="No"/>
    <x v="0"/>
    <n v="2688.45"/>
    <x v="1"/>
    <s v="High Spend"/>
  </r>
  <r>
    <s v="8908-SLFCJ"/>
    <s v="Female"/>
    <x v="2"/>
    <n v="21"/>
    <x v="2"/>
    <x v="2"/>
    <n v="20.85"/>
    <n v="435.25"/>
    <x v="0"/>
    <s v="Yes"/>
    <x v="3"/>
    <n v="435.25"/>
    <x v="1"/>
    <s v="Standard Spend"/>
  </r>
  <r>
    <s v="8393-DLHGA"/>
    <s v="Male"/>
    <x v="0"/>
    <n v="25"/>
    <x v="1"/>
    <x v="0"/>
    <n v="95.9"/>
    <n v="2448.75"/>
    <x v="1"/>
    <s v="Yes"/>
    <x v="0"/>
    <n v="2448.75"/>
    <x v="1"/>
    <s v="Standard Spend"/>
  </r>
  <r>
    <s v="9766-HGEDE"/>
    <s v="Female"/>
    <x v="1"/>
    <n v="17"/>
    <x v="2"/>
    <x v="2"/>
    <n v="19.350000000000001"/>
    <n v="307"/>
    <x v="0"/>
    <s v="No"/>
    <x v="1"/>
    <n v="307"/>
    <x v="1"/>
    <s v="Standard Spend"/>
  </r>
  <r>
    <s v="6968-MHOMU"/>
    <s v="Male"/>
    <x v="1"/>
    <n v="58"/>
    <x v="0"/>
    <x v="0"/>
    <n v="45"/>
    <n v="2689.35"/>
    <x v="0"/>
    <s v="Yes"/>
    <x v="3"/>
    <n v="2689.35"/>
    <x v="2"/>
    <s v="High Spend"/>
  </r>
  <r>
    <s v="7395-IGJOS"/>
    <s v="Male"/>
    <x v="0"/>
    <n v="17"/>
    <x v="1"/>
    <x v="0"/>
    <n v="81.5"/>
    <n v="1329.2"/>
    <x v="1"/>
    <s v="No"/>
    <x v="2"/>
    <n v="1329.2"/>
    <x v="1"/>
    <s v="Standard Spend"/>
  </r>
  <r>
    <s v="5044-XDPYX"/>
    <s v="Female"/>
    <x v="2"/>
    <n v="51"/>
    <x v="2"/>
    <x v="2"/>
    <n v="25.5"/>
    <n v="1281.25"/>
    <x v="0"/>
    <s v="No"/>
    <x v="1"/>
    <n v="1281.25"/>
    <x v="2"/>
    <s v="Standard Spend"/>
  </r>
  <r>
    <s v="1814-WFGVS"/>
    <s v="Male"/>
    <x v="2"/>
    <n v="72"/>
    <x v="0"/>
    <x v="1"/>
    <n v="48.9"/>
    <n v="3527"/>
    <x v="0"/>
    <s v="No"/>
    <x v="1"/>
    <n v="3527"/>
    <x v="2"/>
    <s v="High Spend"/>
  </r>
  <r>
    <s v="2834-SPCJV"/>
    <s v="Male"/>
    <x v="0"/>
    <n v="52"/>
    <x v="1"/>
    <x v="0"/>
    <n v="84.1"/>
    <n v="4348.6499999999996"/>
    <x v="1"/>
    <s v="No"/>
    <x v="0"/>
    <n v="4348.6499999999996"/>
    <x v="2"/>
    <s v="High Spend"/>
  </r>
  <r>
    <s v="3721-WKIIL"/>
    <s v="Female"/>
    <x v="2"/>
    <n v="27"/>
    <x v="2"/>
    <x v="2"/>
    <n v="19.600000000000001"/>
    <n v="561.15"/>
    <x v="0"/>
    <s v="Yes"/>
    <x v="1"/>
    <n v="561.15"/>
    <x v="1"/>
    <s v="Standard Spend"/>
  </r>
  <r>
    <s v="6734-CKRSM"/>
    <s v="Female"/>
    <x v="0"/>
    <n v="3"/>
    <x v="2"/>
    <x v="2"/>
    <n v="20"/>
    <n v="63.6"/>
    <x v="0"/>
    <s v="No"/>
    <x v="1"/>
    <n v="63.6"/>
    <x v="0"/>
    <s v="Standard Spend"/>
  </r>
  <r>
    <s v="1265-ZFOSD"/>
    <s v="Female"/>
    <x v="2"/>
    <n v="64"/>
    <x v="0"/>
    <x v="1"/>
    <n v="81.3"/>
    <n v="5129.3"/>
    <x v="0"/>
    <s v="Yes"/>
    <x v="1"/>
    <n v="5129.3"/>
    <x v="2"/>
    <s v="High Spend"/>
  </r>
  <r>
    <s v="6568-POCUI"/>
    <s v="Female"/>
    <x v="2"/>
    <n v="45"/>
    <x v="1"/>
    <x v="1"/>
    <n v="95.2"/>
    <n v="4285.8"/>
    <x v="0"/>
    <s v="Yes"/>
    <x v="3"/>
    <n v="4285.8"/>
    <x v="2"/>
    <s v="High Spend"/>
  </r>
  <r>
    <s v="7890-VYYWG"/>
    <s v="Male"/>
    <x v="0"/>
    <n v="3"/>
    <x v="0"/>
    <x v="0"/>
    <n v="36.450000000000003"/>
    <n v="93.7"/>
    <x v="1"/>
    <s v="Yes"/>
    <x v="1"/>
    <n v="93.7"/>
    <x v="0"/>
    <s v="Standard Spend"/>
  </r>
  <r>
    <s v="5197-LQXXH"/>
    <s v="Female"/>
    <x v="2"/>
    <n v="71"/>
    <x v="0"/>
    <x v="1"/>
    <n v="83.3"/>
    <n v="5894.5"/>
    <x v="0"/>
    <s v="Yes"/>
    <x v="3"/>
    <n v="5894.5"/>
    <x v="2"/>
    <s v="High Spend"/>
  </r>
  <r>
    <s v="9907-SWKKF"/>
    <s v="Female"/>
    <x v="0"/>
    <n v="1"/>
    <x v="0"/>
    <x v="0"/>
    <n v="25.05"/>
    <n v="25.05"/>
    <x v="1"/>
    <s v="No"/>
    <x v="1"/>
    <n v="25.05"/>
    <x v="0"/>
    <s v="Standard Spend"/>
  </r>
  <r>
    <s v="3457-PQBYH"/>
    <s v="Female"/>
    <x v="2"/>
    <n v="58"/>
    <x v="2"/>
    <x v="2"/>
    <n v="20.3"/>
    <n v="1160.75"/>
    <x v="0"/>
    <s v="No"/>
    <x v="3"/>
    <n v="1160.75"/>
    <x v="2"/>
    <s v="Standard Spend"/>
  </r>
  <r>
    <s v="7682-AZNDK"/>
    <s v="Male"/>
    <x v="0"/>
    <n v="34"/>
    <x v="1"/>
    <x v="0"/>
    <n v="89.85"/>
    <n v="3091.75"/>
    <x v="0"/>
    <s v="Yes"/>
    <x v="0"/>
    <n v="3091.75"/>
    <x v="1"/>
    <s v="High Spend"/>
  </r>
  <r>
    <s v="0587-DMGBH"/>
    <s v="Female"/>
    <x v="0"/>
    <n v="8"/>
    <x v="0"/>
    <x v="0"/>
    <n v="49.85"/>
    <n v="365.55"/>
    <x v="1"/>
    <s v="Yes"/>
    <x v="0"/>
    <n v="365.55"/>
    <x v="0"/>
    <s v="Standard Spend"/>
  </r>
  <r>
    <s v="5384-ZTTWP"/>
    <s v="Female"/>
    <x v="0"/>
    <n v="15"/>
    <x v="2"/>
    <x v="2"/>
    <n v="19.8"/>
    <n v="272.95"/>
    <x v="0"/>
    <s v="No"/>
    <x v="1"/>
    <n v="272.95"/>
    <x v="1"/>
    <s v="Standard Spend"/>
  </r>
  <r>
    <s v="3745-HRPHI"/>
    <s v="Male"/>
    <x v="2"/>
    <n v="66"/>
    <x v="0"/>
    <x v="1"/>
    <n v="54.65"/>
    <n v="3632"/>
    <x v="0"/>
    <s v="No"/>
    <x v="2"/>
    <n v="3632"/>
    <x v="2"/>
    <s v="High Spend"/>
  </r>
  <r>
    <s v="7636-OWBPG"/>
    <s v="Male"/>
    <x v="0"/>
    <n v="12"/>
    <x v="0"/>
    <x v="0"/>
    <n v="29.35"/>
    <n v="381.2"/>
    <x v="0"/>
    <s v="Yes"/>
    <x v="3"/>
    <n v="381.2"/>
    <x v="0"/>
    <s v="Standard Spend"/>
  </r>
  <r>
    <s v="1231-YNDEK"/>
    <s v="Male"/>
    <x v="2"/>
    <n v="58"/>
    <x v="2"/>
    <x v="2"/>
    <n v="19.149999999999999"/>
    <n v="1035.5"/>
    <x v="0"/>
    <s v="Yes"/>
    <x v="2"/>
    <n v="1035.5"/>
    <x v="2"/>
    <s v="Standard Spend"/>
  </r>
  <r>
    <s v="1407-DIGZV"/>
    <s v="Female"/>
    <x v="2"/>
    <n v="3"/>
    <x v="2"/>
    <x v="2"/>
    <n v="19.100000000000001"/>
    <n v="52"/>
    <x v="0"/>
    <s v="No"/>
    <x v="1"/>
    <n v="52"/>
    <x v="0"/>
    <s v="Standard Spend"/>
  </r>
  <r>
    <s v="6397-JNZZG"/>
    <s v="Female"/>
    <x v="0"/>
    <n v="43"/>
    <x v="0"/>
    <x v="0"/>
    <n v="55.55"/>
    <n v="2342.1999999999998"/>
    <x v="1"/>
    <s v="No"/>
    <x v="3"/>
    <n v="2342.1999999999998"/>
    <x v="2"/>
    <s v="Standard Spend"/>
  </r>
  <r>
    <s v="0570-BFQHT"/>
    <s v="Female"/>
    <x v="0"/>
    <n v="9"/>
    <x v="1"/>
    <x v="0"/>
    <n v="80.55"/>
    <n v="653.9"/>
    <x v="0"/>
    <s v="No"/>
    <x v="0"/>
    <n v="653.9"/>
    <x v="0"/>
    <s v="Standard Spend"/>
  </r>
  <r>
    <s v="4393-OBCRR"/>
    <s v="Female"/>
    <x v="1"/>
    <n v="3"/>
    <x v="2"/>
    <x v="2"/>
    <n v="20.25"/>
    <n v="71.2"/>
    <x v="0"/>
    <s v="No"/>
    <x v="1"/>
    <n v="71.2"/>
    <x v="0"/>
    <s v="Standard Spend"/>
  </r>
  <r>
    <s v="3523-QRQLL"/>
    <s v="Female"/>
    <x v="1"/>
    <n v="22"/>
    <x v="0"/>
    <x v="0"/>
    <n v="69.5"/>
    <n v="1498.2"/>
    <x v="1"/>
    <s v="Yes"/>
    <x v="2"/>
    <n v="1498.2"/>
    <x v="1"/>
    <s v="Standard Spend"/>
  </r>
  <r>
    <s v="8564-LDKFL"/>
    <s v="Male"/>
    <x v="1"/>
    <n v="40"/>
    <x v="1"/>
    <x v="0"/>
    <n v="106"/>
    <n v="4178.6499999999996"/>
    <x v="0"/>
    <s v="Yes"/>
    <x v="2"/>
    <n v="4178.6499999999996"/>
    <x v="2"/>
    <s v="High Spend"/>
  </r>
  <r>
    <s v="3696-DFHHB"/>
    <s v="Female"/>
    <x v="2"/>
    <n v="68"/>
    <x v="2"/>
    <x v="2"/>
    <n v="25.5"/>
    <n v="1821.8"/>
    <x v="0"/>
    <s v="No"/>
    <x v="2"/>
    <n v="1821.8"/>
    <x v="2"/>
    <s v="Standard Spend"/>
  </r>
  <r>
    <s v="0895-DQHEW"/>
    <s v="Male"/>
    <x v="0"/>
    <n v="54"/>
    <x v="1"/>
    <x v="0"/>
    <n v="104.3"/>
    <n v="5278.15"/>
    <x v="1"/>
    <s v="Yes"/>
    <x v="0"/>
    <n v="5278.15"/>
    <x v="2"/>
    <s v="High Spend"/>
  </r>
  <r>
    <s v="4717-GHADL"/>
    <s v="Female"/>
    <x v="2"/>
    <n v="50"/>
    <x v="0"/>
    <x v="1"/>
    <n v="79.599999999999994"/>
    <n v="4024.2"/>
    <x v="0"/>
    <s v="Yes"/>
    <x v="1"/>
    <n v="4024.2"/>
    <x v="2"/>
    <s v="High Spend"/>
  </r>
  <r>
    <s v="5501-TVMGM"/>
    <s v="Male"/>
    <x v="0"/>
    <n v="1"/>
    <x v="0"/>
    <x v="0"/>
    <n v="55.25"/>
    <n v="55.25"/>
    <x v="0"/>
    <s v="Yes"/>
    <x v="0"/>
    <n v="55.25"/>
    <x v="0"/>
    <s v="Standard Spend"/>
  </r>
  <r>
    <s v="5879-HMFFH"/>
    <s v="Female"/>
    <x v="2"/>
    <n v="72"/>
    <x v="0"/>
    <x v="1"/>
    <n v="88.05"/>
    <n v="6520.8"/>
    <x v="0"/>
    <s v="No"/>
    <x v="2"/>
    <n v="6520.8"/>
    <x v="2"/>
    <s v="High Spend"/>
  </r>
  <r>
    <s v="6772-WFQRD"/>
    <s v="Male"/>
    <x v="1"/>
    <n v="40"/>
    <x v="2"/>
    <x v="2"/>
    <n v="20.399999999999999"/>
    <n v="854.9"/>
    <x v="0"/>
    <s v="Yes"/>
    <x v="2"/>
    <n v="854.9"/>
    <x v="2"/>
    <s v="Standard Spend"/>
  </r>
  <r>
    <s v="3810-DVDQQ"/>
    <s v="Female"/>
    <x v="2"/>
    <n v="72"/>
    <x v="1"/>
    <x v="1"/>
    <n v="117.6"/>
    <n v="8308.9"/>
    <x v="0"/>
    <s v="Yes"/>
    <x v="2"/>
    <n v="8308.9"/>
    <x v="2"/>
    <s v="High Spend"/>
  </r>
  <r>
    <s v="6972-SNKKW"/>
    <s v="Female"/>
    <x v="0"/>
    <n v="6"/>
    <x v="2"/>
    <x v="2"/>
    <n v="20"/>
    <n v="109.2"/>
    <x v="0"/>
    <s v="No"/>
    <x v="1"/>
    <n v="109.2"/>
    <x v="0"/>
    <s v="Standard Spend"/>
  </r>
  <r>
    <s v="3694-GLTJM"/>
    <s v="Female"/>
    <x v="0"/>
    <n v="5"/>
    <x v="2"/>
    <x v="2"/>
    <n v="19.649999999999999"/>
    <n v="92.05"/>
    <x v="0"/>
    <s v="Yes"/>
    <x v="3"/>
    <n v="92.05"/>
    <x v="0"/>
    <s v="Standard Spend"/>
  </r>
  <r>
    <s v="8550-XSXUQ"/>
    <s v="Male"/>
    <x v="1"/>
    <n v="48"/>
    <x v="0"/>
    <x v="0"/>
    <n v="70.55"/>
    <n v="3420.5"/>
    <x v="0"/>
    <s v="Yes"/>
    <x v="3"/>
    <n v="3420.5"/>
    <x v="2"/>
    <s v="High Spend"/>
  </r>
  <r>
    <s v="8149-RSOUN"/>
    <s v="Female"/>
    <x v="0"/>
    <n v="1"/>
    <x v="1"/>
    <x v="0"/>
    <n v="93.85"/>
    <n v="93.85"/>
    <x v="1"/>
    <s v="Yes"/>
    <x v="0"/>
    <n v="93.85"/>
    <x v="0"/>
    <s v="Standard Spend"/>
  </r>
  <r>
    <s v="9055-MOJJJ"/>
    <s v="Female"/>
    <x v="1"/>
    <n v="64"/>
    <x v="0"/>
    <x v="1"/>
    <n v="65.8"/>
    <n v="4068"/>
    <x v="0"/>
    <s v="No"/>
    <x v="1"/>
    <n v="4068"/>
    <x v="2"/>
    <s v="High Spend"/>
  </r>
  <r>
    <s v="4359-INNWN"/>
    <s v="Female"/>
    <x v="1"/>
    <n v="17"/>
    <x v="2"/>
    <x v="2"/>
    <n v="20.05"/>
    <n v="337.9"/>
    <x v="0"/>
    <s v="No"/>
    <x v="3"/>
    <n v="337.9"/>
    <x v="1"/>
    <s v="Standard Spend"/>
  </r>
  <r>
    <s v="0585-EGDDA"/>
    <s v="Male"/>
    <x v="0"/>
    <n v="40"/>
    <x v="1"/>
    <x v="0"/>
    <n v="80"/>
    <n v="3168.75"/>
    <x v="0"/>
    <s v="Yes"/>
    <x v="0"/>
    <n v="3168.75"/>
    <x v="2"/>
    <s v="High Spend"/>
  </r>
  <r>
    <s v="4032-RMHCI"/>
    <s v="Female"/>
    <x v="1"/>
    <n v="41"/>
    <x v="0"/>
    <x v="0"/>
    <n v="35.4"/>
    <n v="1412.4"/>
    <x v="0"/>
    <s v="No"/>
    <x v="3"/>
    <n v="1412.4"/>
    <x v="2"/>
    <s v="Standard Spend"/>
  </r>
  <r>
    <s v="0549-CYCQN"/>
    <s v="Male"/>
    <x v="1"/>
    <n v="51"/>
    <x v="1"/>
    <x v="0"/>
    <n v="79.599999999999994"/>
    <n v="3974.7"/>
    <x v="0"/>
    <s v="Yes"/>
    <x v="2"/>
    <n v="3974.7"/>
    <x v="2"/>
    <s v="High Spend"/>
  </r>
  <r>
    <s v="3481-JHUZH"/>
    <s v="Male"/>
    <x v="0"/>
    <n v="41"/>
    <x v="1"/>
    <x v="0"/>
    <n v="80.25"/>
    <n v="3439"/>
    <x v="0"/>
    <s v="Yes"/>
    <x v="0"/>
    <n v="3439"/>
    <x v="2"/>
    <s v="High Spend"/>
  </r>
  <r>
    <s v="7250-EQKIY"/>
    <s v="Female"/>
    <x v="0"/>
    <n v="1"/>
    <x v="0"/>
    <x v="0"/>
    <n v="50.45"/>
    <n v="50.45"/>
    <x v="1"/>
    <s v="No"/>
    <x v="1"/>
    <n v="50.45"/>
    <x v="0"/>
    <s v="Standard Spend"/>
  </r>
  <r>
    <s v="3594-IVHJZ"/>
    <s v="Female"/>
    <x v="0"/>
    <n v="2"/>
    <x v="2"/>
    <x v="2"/>
    <n v="20.45"/>
    <n v="42.45"/>
    <x v="0"/>
    <s v="Yes"/>
    <x v="1"/>
    <n v="42.45"/>
    <x v="0"/>
    <s v="Standard Spend"/>
  </r>
  <r>
    <s v="6869-FGJJC"/>
    <s v="Male"/>
    <x v="1"/>
    <n v="68"/>
    <x v="1"/>
    <x v="0"/>
    <n v="79.599999999999994"/>
    <n v="5461.45"/>
    <x v="0"/>
    <s v="No"/>
    <x v="3"/>
    <n v="5461.45"/>
    <x v="2"/>
    <s v="High Spend"/>
  </r>
  <r>
    <s v="3896-ZVNET"/>
    <s v="Female"/>
    <x v="2"/>
    <n v="24"/>
    <x v="2"/>
    <x v="2"/>
    <n v="24.7"/>
    <n v="571.75"/>
    <x v="0"/>
    <s v="No"/>
    <x v="1"/>
    <n v="571.75"/>
    <x v="1"/>
    <s v="Standard Spend"/>
  </r>
  <r>
    <s v="8205-VSLRB"/>
    <s v="Male"/>
    <x v="2"/>
    <n v="70"/>
    <x v="0"/>
    <x v="1"/>
    <n v="77.3"/>
    <n v="5498.2"/>
    <x v="0"/>
    <s v="No"/>
    <x v="3"/>
    <n v="5498.2"/>
    <x v="2"/>
    <s v="High Spend"/>
  </r>
  <r>
    <s v="5960-MVTUK"/>
    <s v="Male"/>
    <x v="0"/>
    <n v="3"/>
    <x v="0"/>
    <x v="1"/>
    <n v="29.75"/>
    <n v="96.85"/>
    <x v="0"/>
    <s v="Yes"/>
    <x v="0"/>
    <n v="96.85"/>
    <x v="0"/>
    <s v="Standard Spend"/>
  </r>
  <r>
    <s v="6817-WTYHE"/>
    <s v="Male"/>
    <x v="0"/>
    <n v="2"/>
    <x v="0"/>
    <x v="0"/>
    <n v="44.9"/>
    <n v="111.05"/>
    <x v="0"/>
    <s v="No"/>
    <x v="2"/>
    <n v="111.05"/>
    <x v="0"/>
    <s v="Standard Spend"/>
  </r>
  <r>
    <s v="3082-VQXNH"/>
    <s v="Male"/>
    <x v="0"/>
    <n v="3"/>
    <x v="0"/>
    <x v="0"/>
    <n v="29.8"/>
    <n v="94.4"/>
    <x v="0"/>
    <s v="No"/>
    <x v="3"/>
    <n v="94.4"/>
    <x v="0"/>
    <s v="Standard Spend"/>
  </r>
  <r>
    <s v="4013-UBXWQ"/>
    <s v="Female"/>
    <x v="0"/>
    <n v="7"/>
    <x v="0"/>
    <x v="1"/>
    <n v="74.650000000000006"/>
    <n v="521.1"/>
    <x v="1"/>
    <s v="Yes"/>
    <x v="0"/>
    <n v="521.1"/>
    <x v="0"/>
    <s v="Standard Spend"/>
  </r>
  <r>
    <s v="4931-TRZWN"/>
    <s v="Female"/>
    <x v="0"/>
    <n v="13"/>
    <x v="0"/>
    <x v="0"/>
    <n v="71.95"/>
    <n v="923.85"/>
    <x v="0"/>
    <s v="Yes"/>
    <x v="0"/>
    <n v="923.85"/>
    <x v="1"/>
    <s v="Standard Spend"/>
  </r>
  <r>
    <s v="0750-EKNGL"/>
    <s v="Male"/>
    <x v="0"/>
    <n v="7"/>
    <x v="2"/>
    <x v="2"/>
    <n v="20.75"/>
    <n v="141.1"/>
    <x v="0"/>
    <s v="No"/>
    <x v="1"/>
    <n v="141.1"/>
    <x v="0"/>
    <s v="Standard Spend"/>
  </r>
  <r>
    <s v="7669-LCRSD"/>
    <s v="Male"/>
    <x v="0"/>
    <n v="12"/>
    <x v="0"/>
    <x v="0"/>
    <n v="56.3"/>
    <n v="628.65"/>
    <x v="0"/>
    <s v="Yes"/>
    <x v="1"/>
    <n v="628.65"/>
    <x v="0"/>
    <s v="Standard Spend"/>
  </r>
  <r>
    <s v="3567-PQTSO"/>
    <s v="Male"/>
    <x v="1"/>
    <n v="53"/>
    <x v="1"/>
    <x v="0"/>
    <n v="105.25"/>
    <n v="5576.3"/>
    <x v="0"/>
    <s v="Yes"/>
    <x v="0"/>
    <n v="5576.3"/>
    <x v="2"/>
    <s v="High Spend"/>
  </r>
  <r>
    <s v="5519-NPHVG"/>
    <s v="Female"/>
    <x v="0"/>
    <n v="12"/>
    <x v="1"/>
    <x v="0"/>
    <n v="94.2"/>
    <n v="1046.0999999999999"/>
    <x v="1"/>
    <s v="Yes"/>
    <x v="0"/>
    <n v="1046.0999999999999"/>
    <x v="0"/>
    <s v="Standard Spend"/>
  </r>
  <r>
    <s v="8043-PNYSD"/>
    <s v="Male"/>
    <x v="2"/>
    <n v="63"/>
    <x v="2"/>
    <x v="2"/>
    <n v="19.55"/>
    <n v="1245.5999999999999"/>
    <x v="0"/>
    <s v="No"/>
    <x v="1"/>
    <n v="1245.5999999999999"/>
    <x v="2"/>
    <s v="Standard Spend"/>
  </r>
  <r>
    <s v="9938-EKRGF"/>
    <s v="Female"/>
    <x v="0"/>
    <n v="15"/>
    <x v="0"/>
    <x v="1"/>
    <n v="84.45"/>
    <n v="1287.8499999999999"/>
    <x v="0"/>
    <s v="No"/>
    <x v="1"/>
    <n v="1287.8499999999999"/>
    <x v="1"/>
    <s v="Standard Spend"/>
  </r>
  <r>
    <s v="2703-AMTUL"/>
    <s v="Male"/>
    <x v="1"/>
    <n v="36"/>
    <x v="0"/>
    <x v="0"/>
    <n v="53.65"/>
    <n v="1939.35"/>
    <x v="0"/>
    <s v="No"/>
    <x v="1"/>
    <n v="1939.35"/>
    <x v="1"/>
    <s v="Standard Spend"/>
  </r>
  <r>
    <s v="0928-JMXNP"/>
    <s v="Male"/>
    <x v="0"/>
    <n v="4"/>
    <x v="0"/>
    <x v="0"/>
    <n v="29.9"/>
    <n v="118.25"/>
    <x v="0"/>
    <s v="Yes"/>
    <x v="0"/>
    <n v="118.25"/>
    <x v="0"/>
    <s v="Standard Spend"/>
  </r>
  <r>
    <s v="8173-RXAYP"/>
    <s v="Female"/>
    <x v="2"/>
    <n v="24"/>
    <x v="2"/>
    <x v="2"/>
    <n v="19.7"/>
    <n v="452.55"/>
    <x v="0"/>
    <s v="No"/>
    <x v="1"/>
    <n v="452.55"/>
    <x v="1"/>
    <s v="Standard Spend"/>
  </r>
  <r>
    <s v="4825-XJGDM"/>
    <s v="Female"/>
    <x v="1"/>
    <n v="61"/>
    <x v="0"/>
    <x v="1"/>
    <n v="43.7"/>
    <n v="2696.55"/>
    <x v="0"/>
    <s v="No"/>
    <x v="3"/>
    <n v="2696.55"/>
    <x v="2"/>
    <s v="High Spend"/>
  </r>
  <r>
    <s v="5402-HTOTQ"/>
    <s v="Male"/>
    <x v="0"/>
    <n v="16"/>
    <x v="0"/>
    <x v="0"/>
    <n v="55.3"/>
    <n v="875.35"/>
    <x v="0"/>
    <s v="No"/>
    <x v="0"/>
    <n v="875.35"/>
    <x v="1"/>
    <s v="Standard Spend"/>
  </r>
  <r>
    <s v="6734-JDTTV"/>
    <s v="Male"/>
    <x v="2"/>
    <n v="65"/>
    <x v="2"/>
    <x v="2"/>
    <n v="19.850000000000001"/>
    <n v="1267.05"/>
    <x v="0"/>
    <s v="Yes"/>
    <x v="3"/>
    <n v="1267.05"/>
    <x v="2"/>
    <s v="Standard Spend"/>
  </r>
  <r>
    <s v="7850-THJMU"/>
    <s v="Female"/>
    <x v="2"/>
    <n v="26"/>
    <x v="2"/>
    <x v="2"/>
    <n v="19.649999999999999"/>
    <n v="494.9"/>
    <x v="0"/>
    <s v="No"/>
    <x v="3"/>
    <n v="494.9"/>
    <x v="1"/>
    <s v="Standard Spend"/>
  </r>
  <r>
    <s v="3890-RTCMS"/>
    <s v="Male"/>
    <x v="0"/>
    <n v="16"/>
    <x v="0"/>
    <x v="1"/>
    <n v="49.45"/>
    <n v="799"/>
    <x v="0"/>
    <s v="Yes"/>
    <x v="1"/>
    <n v="799"/>
    <x v="1"/>
    <s v="Standard Spend"/>
  </r>
  <r>
    <s v="8849-GYOKR"/>
    <s v="Female"/>
    <x v="1"/>
    <n v="54"/>
    <x v="1"/>
    <x v="0"/>
    <n v="106.55"/>
    <n v="5763.3"/>
    <x v="1"/>
    <s v="No"/>
    <x v="2"/>
    <n v="5763.3"/>
    <x v="2"/>
    <s v="High Spend"/>
  </r>
  <r>
    <s v="3148-BLQJT"/>
    <s v="Male"/>
    <x v="0"/>
    <n v="1"/>
    <x v="2"/>
    <x v="2"/>
    <n v="20.100000000000001"/>
    <n v="20.100000000000001"/>
    <x v="1"/>
    <s v="No"/>
    <x v="1"/>
    <n v="20.100000000000001"/>
    <x v="0"/>
    <s v="Standard Spend"/>
  </r>
  <r>
    <s v="3717-FDJFU"/>
    <s v="Male"/>
    <x v="2"/>
    <n v="5"/>
    <x v="2"/>
    <x v="2"/>
    <n v="20.45"/>
    <n v="106.9"/>
    <x v="0"/>
    <s v="No"/>
    <x v="1"/>
    <n v="106.9"/>
    <x v="0"/>
    <s v="Standard Spend"/>
  </r>
  <r>
    <s v="3665-JATSN"/>
    <s v="Female"/>
    <x v="0"/>
    <n v="19"/>
    <x v="0"/>
    <x v="0"/>
    <n v="39.700000000000003"/>
    <n v="710.05"/>
    <x v="0"/>
    <s v="Yes"/>
    <x v="0"/>
    <n v="710.05"/>
    <x v="1"/>
    <s v="Standard Spend"/>
  </r>
  <r>
    <s v="7966-YOTQW"/>
    <s v="Male"/>
    <x v="0"/>
    <n v="10"/>
    <x v="0"/>
    <x v="0"/>
    <n v="54.5"/>
    <n v="568.20000000000005"/>
    <x v="0"/>
    <s v="Yes"/>
    <x v="3"/>
    <n v="568.20000000000005"/>
    <x v="0"/>
    <s v="Standard Spend"/>
  </r>
  <r>
    <s v="0461-CVKMU"/>
    <s v="Female"/>
    <x v="0"/>
    <n v="23"/>
    <x v="1"/>
    <x v="1"/>
    <n v="83.8"/>
    <n v="1900.25"/>
    <x v="1"/>
    <s v="No"/>
    <x v="0"/>
    <n v="1900.25"/>
    <x v="1"/>
    <s v="Standard Spend"/>
  </r>
  <r>
    <s v="8806-EAGWC"/>
    <s v="Male"/>
    <x v="0"/>
    <n v="3"/>
    <x v="0"/>
    <x v="0"/>
    <n v="55.15"/>
    <n v="159.15"/>
    <x v="1"/>
    <s v="No"/>
    <x v="1"/>
    <n v="159.15"/>
    <x v="0"/>
    <s v="Standard Spend"/>
  </r>
  <r>
    <s v="8853-TZDGH"/>
    <s v="Female"/>
    <x v="2"/>
    <n v="72"/>
    <x v="1"/>
    <x v="1"/>
    <n v="111.6"/>
    <n v="8012.75"/>
    <x v="0"/>
    <s v="Yes"/>
    <x v="2"/>
    <n v="8012.75"/>
    <x v="2"/>
    <s v="High Spend"/>
  </r>
  <r>
    <s v="7779-LGOVN"/>
    <s v="Male"/>
    <x v="0"/>
    <n v="10"/>
    <x v="1"/>
    <x v="0"/>
    <n v="86.65"/>
    <n v="856.65"/>
    <x v="1"/>
    <s v="Yes"/>
    <x v="0"/>
    <n v="856.65"/>
    <x v="0"/>
    <s v="Standard Spend"/>
  </r>
  <r>
    <s v="4324-BZCKL"/>
    <s v="Female"/>
    <x v="0"/>
    <n v="10"/>
    <x v="0"/>
    <x v="0"/>
    <n v="55.55"/>
    <n v="551.29999999999995"/>
    <x v="0"/>
    <s v="Yes"/>
    <x v="1"/>
    <n v="551.29999999999995"/>
    <x v="0"/>
    <s v="Standard Spend"/>
  </r>
  <r>
    <s v="6924-TDGMT"/>
    <s v="Male"/>
    <x v="1"/>
    <n v="11"/>
    <x v="2"/>
    <x v="2"/>
    <n v="20.55"/>
    <n v="184.95"/>
    <x v="0"/>
    <s v="Yes"/>
    <x v="1"/>
    <n v="184.95"/>
    <x v="0"/>
    <s v="Standard Spend"/>
  </r>
  <r>
    <s v="9710-ZUSHQ"/>
    <s v="Female"/>
    <x v="0"/>
    <n v="37"/>
    <x v="1"/>
    <x v="0"/>
    <n v="106.75"/>
    <n v="4056.75"/>
    <x v="1"/>
    <s v="Yes"/>
    <x v="2"/>
    <n v="4056.75"/>
    <x v="2"/>
    <s v="High Spend"/>
  </r>
  <r>
    <s v="1536-YHDOE"/>
    <s v="Male"/>
    <x v="1"/>
    <n v="17"/>
    <x v="0"/>
    <x v="1"/>
    <n v="62.1"/>
    <n v="1096.6500000000001"/>
    <x v="0"/>
    <s v="Yes"/>
    <x v="1"/>
    <n v="1096.6500000000001"/>
    <x v="1"/>
    <s v="Standard Spend"/>
  </r>
  <r>
    <s v="8123-QBNAZ"/>
    <s v="Female"/>
    <x v="0"/>
    <n v="36"/>
    <x v="1"/>
    <x v="0"/>
    <n v="104.5"/>
    <n v="3684.95"/>
    <x v="0"/>
    <s v="Yes"/>
    <x v="3"/>
    <n v="3684.95"/>
    <x v="1"/>
    <s v="High Spend"/>
  </r>
  <r>
    <s v="3629-ZNKXA"/>
    <s v="Male"/>
    <x v="0"/>
    <n v="17"/>
    <x v="1"/>
    <x v="0"/>
    <n v="101.8"/>
    <n v="1752.45"/>
    <x v="0"/>
    <s v="Yes"/>
    <x v="0"/>
    <n v="1752.45"/>
    <x v="1"/>
    <s v="Standard Spend"/>
  </r>
  <r>
    <s v="4827-LTQRJ"/>
    <s v="Female"/>
    <x v="1"/>
    <n v="66"/>
    <x v="1"/>
    <x v="1"/>
    <n v="110.6"/>
    <n v="7210.85"/>
    <x v="0"/>
    <s v="Yes"/>
    <x v="3"/>
    <n v="7210.85"/>
    <x v="2"/>
    <s v="High Spend"/>
  </r>
  <r>
    <s v="7711-YIJWC"/>
    <s v="Male"/>
    <x v="1"/>
    <n v="61"/>
    <x v="0"/>
    <x v="1"/>
    <n v="84.9"/>
    <n v="5264.5"/>
    <x v="0"/>
    <s v="No"/>
    <x v="2"/>
    <n v="5264.5"/>
    <x v="2"/>
    <s v="High Spend"/>
  </r>
  <r>
    <s v="5482-VXSXJ"/>
    <s v="Male"/>
    <x v="0"/>
    <n v="22"/>
    <x v="1"/>
    <x v="0"/>
    <n v="93.2"/>
    <n v="2157.3000000000002"/>
    <x v="0"/>
    <s v="Yes"/>
    <x v="1"/>
    <n v="2157.3000000000002"/>
    <x v="1"/>
    <s v="Standard Spend"/>
  </r>
  <r>
    <s v="7365-BVCJH"/>
    <s v="Male"/>
    <x v="0"/>
    <n v="1"/>
    <x v="0"/>
    <x v="0"/>
    <n v="24.4"/>
    <n v="24.4"/>
    <x v="0"/>
    <s v="Yes"/>
    <x v="0"/>
    <n v="24.4"/>
    <x v="0"/>
    <s v="Standard Spend"/>
  </r>
  <r>
    <s v="9620-ENEJV"/>
    <s v="Female"/>
    <x v="0"/>
    <n v="6"/>
    <x v="1"/>
    <x v="0"/>
    <n v="70.55"/>
    <n v="433.95"/>
    <x v="0"/>
    <s v="No"/>
    <x v="3"/>
    <n v="433.95"/>
    <x v="0"/>
    <s v="Standard Spend"/>
  </r>
  <r>
    <s v="4183-WCSEP"/>
    <s v="Male"/>
    <x v="0"/>
    <n v="31"/>
    <x v="1"/>
    <x v="1"/>
    <n v="78.45"/>
    <n v="2435.15"/>
    <x v="1"/>
    <s v="Yes"/>
    <x v="0"/>
    <n v="2435.15"/>
    <x v="1"/>
    <s v="Standard Spend"/>
  </r>
  <r>
    <s v="2378-YIZKA"/>
    <s v="Female"/>
    <x v="2"/>
    <n v="68"/>
    <x v="0"/>
    <x v="1"/>
    <n v="85"/>
    <n v="5607.75"/>
    <x v="0"/>
    <s v="Yes"/>
    <x v="3"/>
    <n v="5607.75"/>
    <x v="2"/>
    <s v="High Spend"/>
  </r>
  <r>
    <s v="5498-TXHLF"/>
    <s v="Female"/>
    <x v="0"/>
    <n v="34"/>
    <x v="1"/>
    <x v="0"/>
    <n v="87.45"/>
    <n v="2874.15"/>
    <x v="1"/>
    <s v="No"/>
    <x v="0"/>
    <n v="2874.15"/>
    <x v="1"/>
    <s v="High Spend"/>
  </r>
  <r>
    <s v="0689-DSXGL"/>
    <s v="Female"/>
    <x v="0"/>
    <n v="52"/>
    <x v="1"/>
    <x v="1"/>
    <n v="85.8"/>
    <n v="4433.3"/>
    <x v="0"/>
    <s v="No"/>
    <x v="2"/>
    <n v="4433.3"/>
    <x v="2"/>
    <s v="High Spend"/>
  </r>
  <r>
    <s v="6818-DJXAA"/>
    <s v="Female"/>
    <x v="0"/>
    <n v="10"/>
    <x v="1"/>
    <x v="1"/>
    <n v="91.1"/>
    <n v="964.35"/>
    <x v="0"/>
    <s v="Yes"/>
    <x v="0"/>
    <n v="964.35"/>
    <x v="0"/>
    <s v="Standard Spend"/>
  </r>
  <r>
    <s v="9722-UJOJR"/>
    <s v="Male"/>
    <x v="0"/>
    <n v="29"/>
    <x v="1"/>
    <x v="0"/>
    <n v="70.75"/>
    <n v="1974.8"/>
    <x v="1"/>
    <s v="Yes"/>
    <x v="0"/>
    <n v="1974.8"/>
    <x v="1"/>
    <s v="Standard Spend"/>
  </r>
  <r>
    <s v="0464-WJTKO"/>
    <s v="Female"/>
    <x v="2"/>
    <n v="72"/>
    <x v="2"/>
    <x v="2"/>
    <n v="20.100000000000001"/>
    <n v="1460.85"/>
    <x v="0"/>
    <s v="No"/>
    <x v="2"/>
    <n v="1460.85"/>
    <x v="2"/>
    <s v="Standard Spend"/>
  </r>
  <r>
    <s v="8902-ZEOVF"/>
    <s v="Male"/>
    <x v="1"/>
    <n v="47"/>
    <x v="2"/>
    <x v="2"/>
    <n v="20.05"/>
    <n v="951.55"/>
    <x v="0"/>
    <s v="No"/>
    <x v="1"/>
    <n v="951.55"/>
    <x v="2"/>
    <s v="Standard Spend"/>
  </r>
  <r>
    <s v="6778-EICRF"/>
    <s v="Male"/>
    <x v="1"/>
    <n v="24"/>
    <x v="0"/>
    <x v="0"/>
    <n v="74.8"/>
    <n v="1821.2"/>
    <x v="0"/>
    <s v="No"/>
    <x v="1"/>
    <n v="1821.2"/>
    <x v="1"/>
    <s v="Standard Spend"/>
  </r>
  <r>
    <s v="2662-NNTDK"/>
    <s v="Male"/>
    <x v="1"/>
    <n v="65"/>
    <x v="2"/>
    <x v="2"/>
    <n v="24.8"/>
    <n v="1600.95"/>
    <x v="0"/>
    <s v="No"/>
    <x v="3"/>
    <n v="1600.95"/>
    <x v="2"/>
    <s v="Standard Spend"/>
  </r>
  <r>
    <s v="4132-KALRO"/>
    <s v="Female"/>
    <x v="0"/>
    <n v="4"/>
    <x v="1"/>
    <x v="1"/>
    <n v="100.85"/>
    <n v="399.25"/>
    <x v="0"/>
    <s v="Yes"/>
    <x v="1"/>
    <n v="399.25"/>
    <x v="0"/>
    <s v="Standard Spend"/>
  </r>
  <r>
    <s v="3902-FOIGH"/>
    <s v="Male"/>
    <x v="0"/>
    <n v="12"/>
    <x v="1"/>
    <x v="0"/>
    <n v="101.35"/>
    <n v="1218.55"/>
    <x v="1"/>
    <s v="Yes"/>
    <x v="0"/>
    <n v="1218.55"/>
    <x v="0"/>
    <s v="Standard Spend"/>
  </r>
  <r>
    <s v="6772-KSATR"/>
    <s v="Male"/>
    <x v="0"/>
    <n v="1"/>
    <x v="1"/>
    <x v="0"/>
    <n v="81.7"/>
    <n v="81.7"/>
    <x v="1"/>
    <s v="Yes"/>
    <x v="0"/>
    <n v="81.7"/>
    <x v="0"/>
    <s v="Standard Spend"/>
  </r>
  <r>
    <s v="7112-OPOTK"/>
    <s v="Male"/>
    <x v="0"/>
    <n v="33"/>
    <x v="1"/>
    <x v="0"/>
    <n v="68.25"/>
    <n v="2171.15"/>
    <x v="1"/>
    <s v="No"/>
    <x v="0"/>
    <n v="2171.15"/>
    <x v="1"/>
    <s v="Standard Spend"/>
  </r>
  <r>
    <s v="2874-YXVVA"/>
    <s v="Female"/>
    <x v="0"/>
    <n v="34"/>
    <x v="1"/>
    <x v="1"/>
    <n v="105.1"/>
    <n v="3634.8"/>
    <x v="0"/>
    <s v="Yes"/>
    <x v="0"/>
    <n v="3634.8"/>
    <x v="1"/>
    <s v="High Spend"/>
  </r>
  <r>
    <s v="1245-HARPS"/>
    <s v="Female"/>
    <x v="2"/>
    <n v="14"/>
    <x v="2"/>
    <x v="2"/>
    <n v="20.399999999999999"/>
    <n v="292.39999999999998"/>
    <x v="0"/>
    <s v="No"/>
    <x v="1"/>
    <n v="292.39999999999998"/>
    <x v="1"/>
    <s v="Standard Spend"/>
  </r>
  <r>
    <s v="4210-QFJMF"/>
    <s v="Female"/>
    <x v="0"/>
    <n v="4"/>
    <x v="1"/>
    <x v="0"/>
    <n v="79.150000000000006"/>
    <n v="317.25"/>
    <x v="1"/>
    <s v="Yes"/>
    <x v="0"/>
    <n v="317.25"/>
    <x v="0"/>
    <s v="Standard Spend"/>
  </r>
  <r>
    <s v="4323-ELYYB"/>
    <s v="Male"/>
    <x v="1"/>
    <n v="13"/>
    <x v="2"/>
    <x v="2"/>
    <n v="20"/>
    <n v="218.55"/>
    <x v="0"/>
    <s v="No"/>
    <x v="1"/>
    <n v="218.55"/>
    <x v="1"/>
    <s v="Standard Spend"/>
  </r>
  <r>
    <s v="4293-ETKAP"/>
    <s v="Female"/>
    <x v="2"/>
    <n v="65"/>
    <x v="0"/>
    <x v="1"/>
    <n v="79.400000000000006"/>
    <n v="5071.8999999999996"/>
    <x v="0"/>
    <s v="Yes"/>
    <x v="2"/>
    <n v="5071.8999999999996"/>
    <x v="2"/>
    <s v="High Spend"/>
  </r>
  <r>
    <s v="6064-PUPMC"/>
    <s v="Male"/>
    <x v="1"/>
    <n v="23"/>
    <x v="0"/>
    <x v="1"/>
    <n v="57.2"/>
    <n v="1423.35"/>
    <x v="0"/>
    <s v="No"/>
    <x v="3"/>
    <n v="1423.35"/>
    <x v="1"/>
    <s v="Standard Spend"/>
  </r>
  <r>
    <s v="6504-VBLFL"/>
    <s v="Male"/>
    <x v="2"/>
    <n v="55"/>
    <x v="0"/>
    <x v="0"/>
    <n v="58.6"/>
    <n v="3068.6"/>
    <x v="0"/>
    <s v="No"/>
    <x v="0"/>
    <n v="3068.6"/>
    <x v="2"/>
    <s v="High Spend"/>
  </r>
  <r>
    <s v="6322-PJJDJ"/>
    <s v="Male"/>
    <x v="2"/>
    <n v="49"/>
    <x v="1"/>
    <x v="0"/>
    <n v="94.8"/>
    <n v="4690.6499999999996"/>
    <x v="0"/>
    <s v="Yes"/>
    <x v="0"/>
    <n v="4690.6499999999996"/>
    <x v="2"/>
    <s v="High Spend"/>
  </r>
  <r>
    <s v="0330-BGYZE"/>
    <s v="Male"/>
    <x v="1"/>
    <n v="60"/>
    <x v="1"/>
    <x v="0"/>
    <n v="102.5"/>
    <n v="6157.6"/>
    <x v="0"/>
    <s v="No"/>
    <x v="2"/>
    <n v="6157.6"/>
    <x v="2"/>
    <s v="High Spend"/>
  </r>
  <r>
    <s v="1085-LDWAM"/>
    <s v="Female"/>
    <x v="1"/>
    <n v="69"/>
    <x v="2"/>
    <x v="2"/>
    <n v="20.350000000000001"/>
    <n v="1442.65"/>
    <x v="0"/>
    <s v="Yes"/>
    <x v="3"/>
    <n v="1442.65"/>
    <x v="2"/>
    <s v="Standard Spend"/>
  </r>
  <r>
    <s v="7586-ZATGZ"/>
    <s v="Male"/>
    <x v="0"/>
    <n v="40"/>
    <x v="1"/>
    <x v="0"/>
    <n v="84.9"/>
    <n v="3369.05"/>
    <x v="0"/>
    <s v="Yes"/>
    <x v="0"/>
    <n v="3369.05"/>
    <x v="2"/>
    <s v="High Spend"/>
  </r>
  <r>
    <s v="7197-VOJMM"/>
    <s v="Male"/>
    <x v="2"/>
    <n v="67"/>
    <x v="0"/>
    <x v="1"/>
    <n v="69.2"/>
    <n v="4671.6499999999996"/>
    <x v="0"/>
    <s v="Yes"/>
    <x v="3"/>
    <n v="4671.6499999999996"/>
    <x v="2"/>
    <s v="High Spend"/>
  </r>
  <r>
    <s v="3318-OSATS"/>
    <s v="Male"/>
    <x v="0"/>
    <n v="35"/>
    <x v="1"/>
    <x v="0"/>
    <n v="95.45"/>
    <n v="3474.05"/>
    <x v="1"/>
    <s v="Yes"/>
    <x v="0"/>
    <n v="3474.05"/>
    <x v="1"/>
    <s v="High Spend"/>
  </r>
  <r>
    <s v="5828-AVIPD"/>
    <s v="Male"/>
    <x v="1"/>
    <n v="19"/>
    <x v="1"/>
    <x v="1"/>
    <n v="100.95"/>
    <n v="1875.55"/>
    <x v="1"/>
    <s v="Yes"/>
    <x v="0"/>
    <n v="1875.55"/>
    <x v="1"/>
    <s v="Standard Spend"/>
  </r>
  <r>
    <s v="1843-TLSGD"/>
    <s v="Female"/>
    <x v="2"/>
    <n v="13"/>
    <x v="2"/>
    <x v="2"/>
    <n v="20.85"/>
    <n v="272.35000000000002"/>
    <x v="0"/>
    <s v="No"/>
    <x v="1"/>
    <n v="272.35000000000002"/>
    <x v="1"/>
    <s v="Standard Spend"/>
  </r>
  <r>
    <s v="9626-VFRGG"/>
    <s v="Female"/>
    <x v="0"/>
    <n v="41"/>
    <x v="1"/>
    <x v="0"/>
    <n v="88.5"/>
    <n v="3645.05"/>
    <x v="0"/>
    <s v="Yes"/>
    <x v="2"/>
    <n v="3645.05"/>
    <x v="2"/>
    <s v="High Spend"/>
  </r>
  <r>
    <s v="7075-BNDVQ"/>
    <s v="Female"/>
    <x v="0"/>
    <n v="4"/>
    <x v="0"/>
    <x v="0"/>
    <n v="35"/>
    <n v="135.75"/>
    <x v="0"/>
    <s v="No"/>
    <x v="1"/>
    <n v="135.75"/>
    <x v="0"/>
    <s v="Standard Spend"/>
  </r>
  <r>
    <s v="9143-CANJF"/>
    <s v="Female"/>
    <x v="0"/>
    <n v="24"/>
    <x v="0"/>
    <x v="1"/>
    <n v="55.15"/>
    <n v="1319.85"/>
    <x v="0"/>
    <s v="No"/>
    <x v="0"/>
    <n v="1319.85"/>
    <x v="1"/>
    <s v="Standard Spend"/>
  </r>
  <r>
    <s v="7284-BUYEC"/>
    <s v="Female"/>
    <x v="0"/>
    <n v="5"/>
    <x v="0"/>
    <x v="0"/>
    <n v="50.95"/>
    <n v="229.4"/>
    <x v="0"/>
    <s v="Yes"/>
    <x v="3"/>
    <n v="229.4"/>
    <x v="0"/>
    <s v="Standard Spend"/>
  </r>
  <r>
    <s v="2041-JIJCI"/>
    <s v="Female"/>
    <x v="0"/>
    <n v="5"/>
    <x v="0"/>
    <x v="0"/>
    <n v="64"/>
    <n v="370.25"/>
    <x v="0"/>
    <s v="Yes"/>
    <x v="0"/>
    <n v="370.25"/>
    <x v="0"/>
    <s v="Standard Spend"/>
  </r>
  <r>
    <s v="1086-LXKFY"/>
    <s v="Female"/>
    <x v="0"/>
    <n v="1"/>
    <x v="1"/>
    <x v="0"/>
    <n v="69.099999999999994"/>
    <n v="69.099999999999994"/>
    <x v="1"/>
    <s v="Yes"/>
    <x v="1"/>
    <n v="69.099999999999994"/>
    <x v="0"/>
    <s v="Standard Spend"/>
  </r>
  <r>
    <s v="4900-MSOMT"/>
    <s v="Female"/>
    <x v="2"/>
    <n v="72"/>
    <x v="0"/>
    <x v="1"/>
    <n v="80.2"/>
    <n v="5714.2"/>
    <x v="0"/>
    <s v="No"/>
    <x v="2"/>
    <n v="5714.2"/>
    <x v="2"/>
    <s v="High Spend"/>
  </r>
  <r>
    <s v="2229-VWQJH"/>
    <s v="Female"/>
    <x v="0"/>
    <n v="24"/>
    <x v="0"/>
    <x v="0"/>
    <n v="49.3"/>
    <n v="1233.25"/>
    <x v="0"/>
    <s v="Yes"/>
    <x v="3"/>
    <n v="1233.25"/>
    <x v="1"/>
    <s v="Standard Spend"/>
  </r>
  <r>
    <s v="9194-GFVOI"/>
    <s v="Female"/>
    <x v="2"/>
    <n v="42"/>
    <x v="0"/>
    <x v="1"/>
    <n v="84.35"/>
    <n v="3571.6"/>
    <x v="0"/>
    <s v="No"/>
    <x v="3"/>
    <n v="3571.6"/>
    <x v="2"/>
    <s v="High Spend"/>
  </r>
  <r>
    <s v="1336-EZFZY"/>
    <s v="Female"/>
    <x v="0"/>
    <n v="4"/>
    <x v="2"/>
    <x v="2"/>
    <n v="20.05"/>
    <n v="83.3"/>
    <x v="0"/>
    <s v="No"/>
    <x v="1"/>
    <n v="83.3"/>
    <x v="0"/>
    <s v="Standard Spend"/>
  </r>
  <r>
    <s v="4282-MSACW"/>
    <s v="Male"/>
    <x v="1"/>
    <n v="68"/>
    <x v="1"/>
    <x v="1"/>
    <n v="117.2"/>
    <n v="8035.95"/>
    <x v="0"/>
    <s v="Yes"/>
    <x v="3"/>
    <n v="8035.95"/>
    <x v="2"/>
    <s v="High Spend"/>
  </r>
  <r>
    <s v="1403-LKLIK"/>
    <s v="Female"/>
    <x v="1"/>
    <n v="33"/>
    <x v="2"/>
    <x v="2"/>
    <n v="20.100000000000001"/>
    <n v="579.4"/>
    <x v="0"/>
    <s v="No"/>
    <x v="1"/>
    <n v="579.4"/>
    <x v="1"/>
    <s v="Standard Spend"/>
  </r>
  <r>
    <s v="2636-ALXXZ"/>
    <s v="Female"/>
    <x v="0"/>
    <n v="1"/>
    <x v="1"/>
    <x v="0"/>
    <n v="69.599999999999994"/>
    <n v="69.599999999999994"/>
    <x v="1"/>
    <s v="Yes"/>
    <x v="0"/>
    <n v="69.599999999999994"/>
    <x v="0"/>
    <s v="Standard Spend"/>
  </r>
  <r>
    <s v="7774-OJSXI"/>
    <s v="Male"/>
    <x v="1"/>
    <n v="31"/>
    <x v="1"/>
    <x v="0"/>
    <n v="103.45"/>
    <n v="3066.45"/>
    <x v="1"/>
    <s v="Yes"/>
    <x v="0"/>
    <n v="3066.45"/>
    <x v="1"/>
    <s v="High Spend"/>
  </r>
  <r>
    <s v="7786-WBJYI"/>
    <s v="Female"/>
    <x v="0"/>
    <n v="4"/>
    <x v="1"/>
    <x v="0"/>
    <n v="77.95"/>
    <n v="305.55"/>
    <x v="1"/>
    <s v="No"/>
    <x v="2"/>
    <n v="305.55"/>
    <x v="0"/>
    <s v="Standard Spend"/>
  </r>
  <r>
    <s v="0136-IFMYD"/>
    <s v="Male"/>
    <x v="2"/>
    <n v="69"/>
    <x v="1"/>
    <x v="1"/>
    <n v="109.95"/>
    <n v="7634.25"/>
    <x v="0"/>
    <s v="Yes"/>
    <x v="0"/>
    <n v="7634.25"/>
    <x v="2"/>
    <s v="High Spend"/>
  </r>
  <r>
    <s v="5144-TVGLP"/>
    <s v="Male"/>
    <x v="0"/>
    <n v="38"/>
    <x v="1"/>
    <x v="0"/>
    <n v="94.75"/>
    <n v="3653"/>
    <x v="0"/>
    <s v="No"/>
    <x v="0"/>
    <n v="3653"/>
    <x v="2"/>
    <s v="High Spend"/>
  </r>
  <r>
    <s v="9643-AVVWI"/>
    <s v="Female"/>
    <x v="0"/>
    <n v="3"/>
    <x v="1"/>
    <x v="1"/>
    <n v="80"/>
    <n v="241.3"/>
    <x v="0"/>
    <s v="Yes"/>
    <x v="0"/>
    <n v="241.3"/>
    <x v="0"/>
    <s v="Standard Spend"/>
  </r>
  <r>
    <s v="0253-ZTEOB"/>
    <s v="Female"/>
    <x v="2"/>
    <n v="48"/>
    <x v="0"/>
    <x v="1"/>
    <n v="79.650000000000006"/>
    <n v="3870.3"/>
    <x v="0"/>
    <s v="No"/>
    <x v="0"/>
    <n v="3870.3"/>
    <x v="2"/>
    <s v="High Spend"/>
  </r>
  <r>
    <s v="2706-QZIHY"/>
    <s v="Female"/>
    <x v="2"/>
    <n v="15"/>
    <x v="2"/>
    <x v="2"/>
    <n v="25.2"/>
    <n v="387.9"/>
    <x v="0"/>
    <s v="No"/>
    <x v="1"/>
    <n v="387.9"/>
    <x v="1"/>
    <s v="Standard Spend"/>
  </r>
  <r>
    <s v="6061-PQHMK"/>
    <s v="Female"/>
    <x v="1"/>
    <n v="25"/>
    <x v="2"/>
    <x v="2"/>
    <n v="19.899999999999999"/>
    <n v="527.5"/>
    <x v="0"/>
    <s v="No"/>
    <x v="3"/>
    <n v="527.5"/>
    <x v="1"/>
    <s v="Standard Spend"/>
  </r>
  <r>
    <s v="9885-CSMWE"/>
    <s v="Female"/>
    <x v="0"/>
    <n v="1"/>
    <x v="1"/>
    <x v="0"/>
    <n v="78.45"/>
    <n v="78.45"/>
    <x v="1"/>
    <s v="No"/>
    <x v="0"/>
    <n v="78.45"/>
    <x v="0"/>
    <s v="Standard Spend"/>
  </r>
  <r>
    <s v="6137-MFAJN"/>
    <s v="Female"/>
    <x v="0"/>
    <n v="48"/>
    <x v="0"/>
    <x v="0"/>
    <n v="44.8"/>
    <n v="2104.5500000000002"/>
    <x v="0"/>
    <s v="Yes"/>
    <x v="0"/>
    <n v="2104.5500000000002"/>
    <x v="2"/>
    <s v="Standard Spend"/>
  </r>
  <r>
    <s v="9122-UMROB"/>
    <s v="Male"/>
    <x v="0"/>
    <n v="1"/>
    <x v="2"/>
    <x v="2"/>
    <n v="20.3"/>
    <n v="20.3"/>
    <x v="0"/>
    <s v="No"/>
    <x v="1"/>
    <n v="20.3"/>
    <x v="0"/>
    <s v="Standard Spend"/>
  </r>
  <r>
    <s v="4232-JGKIY"/>
    <s v="Male"/>
    <x v="0"/>
    <n v="1"/>
    <x v="2"/>
    <x v="2"/>
    <n v="19.2"/>
    <n v="19.2"/>
    <x v="0"/>
    <s v="No"/>
    <x v="0"/>
    <n v="19.2"/>
    <x v="0"/>
    <s v="Standard Spend"/>
  </r>
  <r>
    <s v="2402-TAIRZ"/>
    <s v="Female"/>
    <x v="1"/>
    <n v="37"/>
    <x v="1"/>
    <x v="0"/>
    <n v="80.05"/>
    <n v="3019.1"/>
    <x v="0"/>
    <s v="No"/>
    <x v="0"/>
    <n v="3019.1"/>
    <x v="2"/>
    <s v="High Spend"/>
  </r>
  <r>
    <s v="9659-ZTWSM"/>
    <s v="Male"/>
    <x v="1"/>
    <n v="66"/>
    <x v="1"/>
    <x v="1"/>
    <n v="107.35"/>
    <n v="7051.95"/>
    <x v="0"/>
    <s v="Yes"/>
    <x v="2"/>
    <n v="7051.95"/>
    <x v="2"/>
    <s v="High Spend"/>
  </r>
  <r>
    <s v="9139-TWBAS"/>
    <s v="Female"/>
    <x v="1"/>
    <n v="26"/>
    <x v="0"/>
    <x v="0"/>
    <n v="47.85"/>
    <n v="1190.5"/>
    <x v="0"/>
    <s v="No"/>
    <x v="2"/>
    <n v="1190.5"/>
    <x v="1"/>
    <s v="Standard Spend"/>
  </r>
  <r>
    <s v="6685-GBWJZ"/>
    <s v="Male"/>
    <x v="1"/>
    <n v="63"/>
    <x v="0"/>
    <x v="1"/>
    <n v="70.8"/>
    <n v="4448.8"/>
    <x v="0"/>
    <s v="No"/>
    <x v="3"/>
    <n v="4448.8"/>
    <x v="2"/>
    <s v="High Spend"/>
  </r>
  <r>
    <s v="5016-ETTFF"/>
    <s v="Male"/>
    <x v="0"/>
    <n v="10"/>
    <x v="0"/>
    <x v="0"/>
    <n v="29.5"/>
    <n v="255.25"/>
    <x v="1"/>
    <s v="No"/>
    <x v="1"/>
    <n v="255.25"/>
    <x v="0"/>
    <s v="Standard Spend"/>
  </r>
  <r>
    <s v="3866-MDTUB"/>
    <s v="Female"/>
    <x v="0"/>
    <n v="2"/>
    <x v="0"/>
    <x v="0"/>
    <n v="70.75"/>
    <n v="146.9"/>
    <x v="1"/>
    <s v="Yes"/>
    <x v="0"/>
    <n v="146.9"/>
    <x v="0"/>
    <s v="Standard Spend"/>
  </r>
  <r>
    <s v="2195-VVRJF"/>
    <s v="Male"/>
    <x v="0"/>
    <n v="18"/>
    <x v="0"/>
    <x v="0"/>
    <n v="59.1"/>
    <n v="1011.05"/>
    <x v="0"/>
    <s v="Yes"/>
    <x v="3"/>
    <n v="1011.05"/>
    <x v="1"/>
    <s v="Standard Spend"/>
  </r>
  <r>
    <s v="3913-RDSJZ"/>
    <s v="Female"/>
    <x v="2"/>
    <n v="64"/>
    <x v="2"/>
    <x v="2"/>
    <n v="25.55"/>
    <n v="1714.95"/>
    <x v="0"/>
    <s v="No"/>
    <x v="1"/>
    <n v="1714.95"/>
    <x v="2"/>
    <s v="Standard Spend"/>
  </r>
  <r>
    <s v="8058-JMEQO"/>
    <s v="Female"/>
    <x v="0"/>
    <n v="9"/>
    <x v="1"/>
    <x v="0"/>
    <n v="84.45"/>
    <n v="762.5"/>
    <x v="1"/>
    <s v="Yes"/>
    <x v="0"/>
    <n v="762.5"/>
    <x v="0"/>
    <s v="Standard Spend"/>
  </r>
  <r>
    <s v="4203-QGNZA"/>
    <s v="Female"/>
    <x v="0"/>
    <n v="28"/>
    <x v="2"/>
    <x v="2"/>
    <n v="20.25"/>
    <n v="535.35"/>
    <x v="0"/>
    <s v="No"/>
    <x v="1"/>
    <n v="535.35"/>
    <x v="1"/>
    <s v="Standard Spend"/>
  </r>
  <r>
    <s v="5043-TRZWM"/>
    <s v="Female"/>
    <x v="0"/>
    <n v="1"/>
    <x v="1"/>
    <x v="0"/>
    <n v="75.55"/>
    <n v="75.55"/>
    <x v="0"/>
    <s v="No"/>
    <x v="0"/>
    <n v="75.55"/>
    <x v="0"/>
    <s v="Standard Spend"/>
  </r>
  <r>
    <s v="0697-ZMSWS"/>
    <s v="Male"/>
    <x v="0"/>
    <n v="4"/>
    <x v="1"/>
    <x v="0"/>
    <n v="85.65"/>
    <n v="338.9"/>
    <x v="1"/>
    <s v="Yes"/>
    <x v="0"/>
    <n v="338.9"/>
    <x v="0"/>
    <s v="Standard Spend"/>
  </r>
  <r>
    <s v="7657-DYEPJ"/>
    <s v="Male"/>
    <x v="1"/>
    <n v="38"/>
    <x v="0"/>
    <x v="1"/>
    <n v="70.150000000000006"/>
    <n v="2497.35"/>
    <x v="1"/>
    <s v="Yes"/>
    <x v="3"/>
    <n v="2497.35"/>
    <x v="2"/>
    <s v="Standard Spend"/>
  </r>
  <r>
    <s v="9494-BDNNC"/>
    <s v="Male"/>
    <x v="1"/>
    <n v="66"/>
    <x v="1"/>
    <x v="0"/>
    <n v="95.3"/>
    <n v="6273.4"/>
    <x v="0"/>
    <s v="No"/>
    <x v="0"/>
    <n v="6273.4"/>
    <x v="2"/>
    <s v="High Spend"/>
  </r>
  <r>
    <s v="1640-PLFMP"/>
    <s v="Female"/>
    <x v="0"/>
    <n v="1"/>
    <x v="1"/>
    <x v="0"/>
    <n v="70.25"/>
    <n v="70.25"/>
    <x v="0"/>
    <s v="Yes"/>
    <x v="0"/>
    <n v="70.25"/>
    <x v="0"/>
    <s v="Standard Spend"/>
  </r>
  <r>
    <s v="5366-OBVMR"/>
    <s v="Female"/>
    <x v="0"/>
    <n v="18"/>
    <x v="0"/>
    <x v="1"/>
    <n v="50.3"/>
    <n v="908.75"/>
    <x v="0"/>
    <s v="Yes"/>
    <x v="1"/>
    <n v="908.75"/>
    <x v="1"/>
    <s v="Standard Spend"/>
  </r>
  <r>
    <s v="8276-MQBYC"/>
    <s v="Male"/>
    <x v="0"/>
    <n v="51"/>
    <x v="1"/>
    <x v="0"/>
    <n v="97.8"/>
    <n v="4913.3"/>
    <x v="1"/>
    <s v="Yes"/>
    <x v="0"/>
    <n v="4913.3"/>
    <x v="2"/>
    <s v="High Spend"/>
  </r>
  <r>
    <s v="7644-OMVMY"/>
    <s v="Male"/>
    <x v="2"/>
    <n v="0"/>
    <x v="2"/>
    <x v="2"/>
    <n v="19.850000000000001"/>
    <s v=" "/>
    <x v="0"/>
    <s v="No"/>
    <x v="1"/>
    <n v="0"/>
    <x v="0"/>
    <s v="High Spend"/>
  </r>
  <r>
    <s v="7593-XFKDI"/>
    <s v="Male"/>
    <x v="0"/>
    <n v="1"/>
    <x v="0"/>
    <x v="0"/>
    <n v="46.3"/>
    <n v="46.3"/>
    <x v="1"/>
    <s v="No"/>
    <x v="1"/>
    <n v="46.3"/>
    <x v="0"/>
    <s v="Standard Spend"/>
  </r>
  <r>
    <s v="4573-JKNAE"/>
    <s v="Male"/>
    <x v="2"/>
    <n v="12"/>
    <x v="2"/>
    <x v="2"/>
    <n v="19.350000000000001"/>
    <n v="212.3"/>
    <x v="0"/>
    <s v="No"/>
    <x v="2"/>
    <n v="212.3"/>
    <x v="0"/>
    <s v="Standard Spend"/>
  </r>
  <r>
    <s v="0337-CNPZE"/>
    <s v="Female"/>
    <x v="0"/>
    <n v="41"/>
    <x v="1"/>
    <x v="0"/>
    <n v="106.3"/>
    <n v="4443.45"/>
    <x v="1"/>
    <s v="Yes"/>
    <x v="0"/>
    <n v="4443.45"/>
    <x v="2"/>
    <s v="High Spend"/>
  </r>
  <r>
    <s v="9817-APLHW"/>
    <s v="Male"/>
    <x v="0"/>
    <n v="12"/>
    <x v="2"/>
    <x v="2"/>
    <n v="25"/>
    <n v="316.2"/>
    <x v="0"/>
    <s v="No"/>
    <x v="0"/>
    <n v="316.2"/>
    <x v="0"/>
    <s v="Standard Spend"/>
  </r>
  <r>
    <s v="8380-MQINP"/>
    <s v="Female"/>
    <x v="2"/>
    <n v="55"/>
    <x v="2"/>
    <x v="2"/>
    <n v="20.3"/>
    <n v="1079.05"/>
    <x v="0"/>
    <s v="No"/>
    <x v="1"/>
    <n v="1079.05"/>
    <x v="2"/>
    <s v="Standard Spend"/>
  </r>
  <r>
    <s v="0840-DFEZH"/>
    <s v="Female"/>
    <x v="0"/>
    <n v="7"/>
    <x v="1"/>
    <x v="0"/>
    <n v="75.349999999999994"/>
    <n v="564.65"/>
    <x v="0"/>
    <s v="Yes"/>
    <x v="0"/>
    <n v="564.65"/>
    <x v="0"/>
    <s v="Standard Spend"/>
  </r>
  <r>
    <s v="1513-XNPPH"/>
    <s v="Female"/>
    <x v="0"/>
    <n v="12"/>
    <x v="1"/>
    <x v="1"/>
    <n v="89.4"/>
    <n v="1095.6500000000001"/>
    <x v="1"/>
    <s v="Yes"/>
    <x v="0"/>
    <n v="1095.6500000000001"/>
    <x v="0"/>
    <s v="Standard Spend"/>
  </r>
  <r>
    <s v="8690-ZVLCL"/>
    <s v="Female"/>
    <x v="2"/>
    <n v="68"/>
    <x v="0"/>
    <x v="1"/>
    <n v="88"/>
    <n v="6161.9"/>
    <x v="0"/>
    <s v="No"/>
    <x v="3"/>
    <n v="6161.9"/>
    <x v="2"/>
    <s v="High Spend"/>
  </r>
  <r>
    <s v="6015-VVHHE"/>
    <s v="Female"/>
    <x v="0"/>
    <n v="5"/>
    <x v="1"/>
    <x v="0"/>
    <n v="83.15"/>
    <n v="446.05"/>
    <x v="1"/>
    <s v="Yes"/>
    <x v="3"/>
    <n v="446.05"/>
    <x v="0"/>
    <s v="Standard Spend"/>
  </r>
  <r>
    <s v="1125-SNVCK"/>
    <s v="Female"/>
    <x v="0"/>
    <n v="49"/>
    <x v="0"/>
    <x v="0"/>
    <n v="43.8"/>
    <n v="2106.0500000000002"/>
    <x v="0"/>
    <s v="No"/>
    <x v="1"/>
    <n v="2106.0500000000002"/>
    <x v="2"/>
    <s v="Standard Spend"/>
  </r>
  <r>
    <s v="0384-LPITE"/>
    <s v="Male"/>
    <x v="1"/>
    <n v="40"/>
    <x v="0"/>
    <x v="0"/>
    <n v="62.05"/>
    <n v="2511.5500000000002"/>
    <x v="0"/>
    <s v="No"/>
    <x v="3"/>
    <n v="2511.5500000000002"/>
    <x v="2"/>
    <s v="High Spend"/>
  </r>
  <r>
    <s v="4616-EWBNJ"/>
    <s v="Female"/>
    <x v="1"/>
    <n v="16"/>
    <x v="2"/>
    <x v="2"/>
    <n v="20.100000000000001"/>
    <n v="318.60000000000002"/>
    <x v="0"/>
    <s v="No"/>
    <x v="2"/>
    <n v="318.60000000000002"/>
    <x v="1"/>
    <s v="Standard Spend"/>
  </r>
  <r>
    <s v="6347-DCUIK"/>
    <s v="Male"/>
    <x v="0"/>
    <n v="10"/>
    <x v="1"/>
    <x v="0"/>
    <n v="74.150000000000006"/>
    <n v="811.8"/>
    <x v="1"/>
    <s v="Yes"/>
    <x v="1"/>
    <n v="811.8"/>
    <x v="0"/>
    <s v="Standard Spend"/>
  </r>
  <r>
    <s v="1335-HQMKX"/>
    <s v="Female"/>
    <x v="1"/>
    <n v="72"/>
    <x v="1"/>
    <x v="0"/>
    <n v="101.35"/>
    <n v="7323.15"/>
    <x v="0"/>
    <s v="Yes"/>
    <x v="0"/>
    <n v="7323.15"/>
    <x v="2"/>
    <s v="High Spend"/>
  </r>
  <r>
    <s v="2545-EBUPK"/>
    <s v="Female"/>
    <x v="0"/>
    <n v="2"/>
    <x v="1"/>
    <x v="0"/>
    <n v="84.05"/>
    <n v="186.05"/>
    <x v="0"/>
    <s v="Yes"/>
    <x v="0"/>
    <n v="186.05"/>
    <x v="0"/>
    <s v="Standard Spend"/>
  </r>
  <r>
    <s v="6923-AQONU"/>
    <s v="Male"/>
    <x v="2"/>
    <n v="23"/>
    <x v="2"/>
    <x v="2"/>
    <n v="20.9"/>
    <n v="454"/>
    <x v="0"/>
    <s v="No"/>
    <x v="1"/>
    <n v="454"/>
    <x v="1"/>
    <s v="Standard Spend"/>
  </r>
  <r>
    <s v="2172-EJXVF"/>
    <s v="Female"/>
    <x v="1"/>
    <n v="71"/>
    <x v="1"/>
    <x v="0"/>
    <n v="105.9"/>
    <n v="7521.95"/>
    <x v="0"/>
    <s v="Yes"/>
    <x v="0"/>
    <n v="7521.95"/>
    <x v="2"/>
    <s v="High Spend"/>
  </r>
  <r>
    <s v="0897-FEGMU"/>
    <s v="Female"/>
    <x v="0"/>
    <n v="11"/>
    <x v="1"/>
    <x v="0"/>
    <n v="99.5"/>
    <n v="1056.95"/>
    <x v="1"/>
    <s v="Yes"/>
    <x v="0"/>
    <n v="1056.95"/>
    <x v="0"/>
    <s v="Standard Spend"/>
  </r>
  <r>
    <s v="7663-RGWBC"/>
    <s v="Male"/>
    <x v="0"/>
    <n v="1"/>
    <x v="0"/>
    <x v="0"/>
    <n v="44.15"/>
    <n v="44.15"/>
    <x v="1"/>
    <s v="Yes"/>
    <x v="1"/>
    <n v="44.15"/>
    <x v="0"/>
    <s v="Standard Spend"/>
  </r>
  <r>
    <s v="1120-BMWUB"/>
    <s v="Female"/>
    <x v="0"/>
    <n v="16"/>
    <x v="0"/>
    <x v="1"/>
    <n v="53.9"/>
    <n v="834.15"/>
    <x v="1"/>
    <s v="Yes"/>
    <x v="1"/>
    <n v="834.15"/>
    <x v="1"/>
    <s v="Standard Spend"/>
  </r>
  <r>
    <s v="9124-LHCJQ"/>
    <s v="Female"/>
    <x v="0"/>
    <n v="1"/>
    <x v="1"/>
    <x v="0"/>
    <n v="85.45"/>
    <n v="85.45"/>
    <x v="1"/>
    <s v="Yes"/>
    <x v="1"/>
    <n v="85.45"/>
    <x v="0"/>
    <s v="Standard Spend"/>
  </r>
  <r>
    <s v="4536-PLEQY"/>
    <s v="Male"/>
    <x v="0"/>
    <n v="12"/>
    <x v="1"/>
    <x v="0"/>
    <n v="85.05"/>
    <n v="999.8"/>
    <x v="0"/>
    <s v="Yes"/>
    <x v="3"/>
    <n v="999.8"/>
    <x v="0"/>
    <s v="Standard Spend"/>
  </r>
  <r>
    <s v="7029-IJEJK"/>
    <s v="Female"/>
    <x v="1"/>
    <n v="54"/>
    <x v="0"/>
    <x v="1"/>
    <n v="44.1"/>
    <n v="2369.6999999999998"/>
    <x v="0"/>
    <s v="No"/>
    <x v="2"/>
    <n v="2369.6999999999998"/>
    <x v="2"/>
    <s v="Standard Spend"/>
  </r>
  <r>
    <s v="8871-JLMHM"/>
    <s v="Female"/>
    <x v="2"/>
    <n v="68"/>
    <x v="1"/>
    <x v="1"/>
    <n v="90.2"/>
    <n v="6297.65"/>
    <x v="0"/>
    <s v="No"/>
    <x v="3"/>
    <n v="6297.65"/>
    <x v="2"/>
    <s v="High Spend"/>
  </r>
  <r>
    <s v="2235-ZGKPT"/>
    <s v="Female"/>
    <x v="0"/>
    <n v="4"/>
    <x v="0"/>
    <x v="0"/>
    <n v="50.85"/>
    <n v="239.55"/>
    <x v="1"/>
    <s v="No"/>
    <x v="1"/>
    <n v="239.55"/>
    <x v="0"/>
    <s v="Standard Spend"/>
  </r>
  <r>
    <s v="3891-PUQOD"/>
    <s v="Female"/>
    <x v="0"/>
    <n v="1"/>
    <x v="0"/>
    <x v="0"/>
    <n v="59.2"/>
    <n v="59.2"/>
    <x v="1"/>
    <s v="No"/>
    <x v="0"/>
    <n v="59.2"/>
    <x v="0"/>
    <s v="Standard Spend"/>
  </r>
  <r>
    <s v="5447-VYTKW"/>
    <s v="Male"/>
    <x v="0"/>
    <n v="27"/>
    <x v="0"/>
    <x v="1"/>
    <n v="53.45"/>
    <n v="1461.45"/>
    <x v="0"/>
    <s v="No"/>
    <x v="1"/>
    <n v="1461.45"/>
    <x v="1"/>
    <s v="Standard Spend"/>
  </r>
  <r>
    <s v="3623-FQBOX"/>
    <s v="Male"/>
    <x v="0"/>
    <n v="21"/>
    <x v="2"/>
    <x v="2"/>
    <n v="19.95"/>
    <n v="416.4"/>
    <x v="0"/>
    <s v="Yes"/>
    <x v="1"/>
    <n v="416.4"/>
    <x v="1"/>
    <s v="Standard Spend"/>
  </r>
  <r>
    <s v="0689-NKYLF"/>
    <s v="Male"/>
    <x v="0"/>
    <n v="13"/>
    <x v="1"/>
    <x v="0"/>
    <n v="83.2"/>
    <n v="1060.5999999999999"/>
    <x v="1"/>
    <s v="Yes"/>
    <x v="0"/>
    <n v="1060.5999999999999"/>
    <x v="1"/>
    <s v="Standard Spend"/>
  </r>
  <r>
    <s v="8659-HDIYE"/>
    <s v="Female"/>
    <x v="0"/>
    <n v="64"/>
    <x v="0"/>
    <x v="1"/>
    <n v="74.650000000000006"/>
    <n v="4869.3500000000004"/>
    <x v="0"/>
    <s v="No"/>
    <x v="3"/>
    <n v="4869.3500000000004"/>
    <x v="2"/>
    <s v="High Spend"/>
  </r>
  <r>
    <s v="3658-KIBGF"/>
    <s v="Female"/>
    <x v="0"/>
    <n v="1"/>
    <x v="0"/>
    <x v="0"/>
    <n v="54.9"/>
    <n v="54.9"/>
    <x v="1"/>
    <s v="Yes"/>
    <x v="0"/>
    <n v="54.9"/>
    <x v="0"/>
    <s v="Standard Spend"/>
  </r>
  <r>
    <s v="3474-BAFSJ"/>
    <s v="Male"/>
    <x v="2"/>
    <n v="57"/>
    <x v="0"/>
    <x v="1"/>
    <n v="57.5"/>
    <n v="3265.95"/>
    <x v="0"/>
    <s v="Yes"/>
    <x v="2"/>
    <n v="3265.95"/>
    <x v="2"/>
    <s v="High Spend"/>
  </r>
  <r>
    <s v="5519-YLDGW"/>
    <s v="Female"/>
    <x v="0"/>
    <n v="21"/>
    <x v="1"/>
    <x v="0"/>
    <n v="103.9"/>
    <n v="2254.1999999999998"/>
    <x v="1"/>
    <s v="Yes"/>
    <x v="0"/>
    <n v="2254.1999999999998"/>
    <x v="1"/>
    <s v="Standard Spend"/>
  </r>
  <r>
    <s v="3865-ZFZIB"/>
    <s v="Male"/>
    <x v="2"/>
    <n v="19"/>
    <x v="2"/>
    <x v="2"/>
    <n v="19.649999999999999"/>
    <n v="358.15"/>
    <x v="0"/>
    <s v="No"/>
    <x v="1"/>
    <n v="358.15"/>
    <x v="1"/>
    <s v="Standard Spend"/>
  </r>
  <r>
    <s v="1855-AGAWH"/>
    <s v="Male"/>
    <x v="1"/>
    <n v="31"/>
    <x v="1"/>
    <x v="0"/>
    <n v="93.8"/>
    <n v="2939.8"/>
    <x v="0"/>
    <s v="Yes"/>
    <x v="0"/>
    <n v="2939.8"/>
    <x v="1"/>
    <s v="High Spend"/>
  </r>
  <r>
    <s v="7109-CQYUZ"/>
    <s v="Male"/>
    <x v="2"/>
    <n v="52"/>
    <x v="0"/>
    <x v="1"/>
    <n v="89.25"/>
    <n v="4652.3999999999996"/>
    <x v="0"/>
    <s v="Yes"/>
    <x v="1"/>
    <n v="4652.3999999999996"/>
    <x v="2"/>
    <s v="High Spend"/>
  </r>
  <r>
    <s v="1370-GGAWX"/>
    <s v="Female"/>
    <x v="1"/>
    <n v="46"/>
    <x v="1"/>
    <x v="0"/>
    <n v="94.15"/>
    <n v="4408.45"/>
    <x v="0"/>
    <s v="Yes"/>
    <x v="0"/>
    <n v="4408.45"/>
    <x v="2"/>
    <s v="High Spend"/>
  </r>
  <r>
    <s v="4680-KUTAJ"/>
    <s v="Female"/>
    <x v="0"/>
    <n v="11"/>
    <x v="0"/>
    <x v="0"/>
    <n v="55.6"/>
    <n v="580.79999999999995"/>
    <x v="0"/>
    <s v="Yes"/>
    <x v="0"/>
    <n v="580.79999999999995"/>
    <x v="0"/>
    <s v="Standard Spend"/>
  </r>
  <r>
    <s v="5307-UVGNB"/>
    <s v="Female"/>
    <x v="0"/>
    <n v="53"/>
    <x v="0"/>
    <x v="0"/>
    <n v="48.7"/>
    <n v="2495.1999999999998"/>
    <x v="0"/>
    <s v="Yes"/>
    <x v="2"/>
    <n v="2495.1999999999998"/>
    <x v="2"/>
    <s v="Standard Spend"/>
  </r>
  <r>
    <s v="4946-EDSEW"/>
    <s v="Female"/>
    <x v="0"/>
    <n v="11"/>
    <x v="2"/>
    <x v="2"/>
    <n v="19.25"/>
    <n v="180.3"/>
    <x v="1"/>
    <s v="Yes"/>
    <x v="1"/>
    <n v="180.3"/>
    <x v="0"/>
    <s v="Standard Spend"/>
  </r>
  <r>
    <s v="2883-ILGWO"/>
    <s v="Male"/>
    <x v="0"/>
    <n v="57"/>
    <x v="1"/>
    <x v="1"/>
    <n v="104.9"/>
    <n v="5913.95"/>
    <x v="0"/>
    <s v="Yes"/>
    <x v="2"/>
    <n v="5913.95"/>
    <x v="2"/>
    <s v="High Spend"/>
  </r>
  <r>
    <s v="2516-VQRRV"/>
    <s v="Female"/>
    <x v="0"/>
    <n v="2"/>
    <x v="1"/>
    <x v="0"/>
    <n v="75.45"/>
    <n v="158.4"/>
    <x v="1"/>
    <s v="Yes"/>
    <x v="1"/>
    <n v="158.4"/>
    <x v="0"/>
    <s v="Standard Spend"/>
  </r>
  <r>
    <s v="7580-UGXNC"/>
    <s v="Female"/>
    <x v="0"/>
    <n v="2"/>
    <x v="0"/>
    <x v="0"/>
    <n v="54.85"/>
    <n v="104.2"/>
    <x v="1"/>
    <s v="No"/>
    <x v="1"/>
    <n v="104.2"/>
    <x v="0"/>
    <s v="Standard Spend"/>
  </r>
  <r>
    <s v="3642-BYHDO"/>
    <s v="Female"/>
    <x v="2"/>
    <n v="71"/>
    <x v="2"/>
    <x v="2"/>
    <n v="19.899999999999999"/>
    <n v="1389.35"/>
    <x v="0"/>
    <s v="No"/>
    <x v="2"/>
    <n v="1389.35"/>
    <x v="2"/>
    <s v="Standard Spend"/>
  </r>
  <r>
    <s v="9629-NHXFW"/>
    <s v="Female"/>
    <x v="0"/>
    <n v="1"/>
    <x v="2"/>
    <x v="2"/>
    <n v="19.399999999999999"/>
    <n v="19.399999999999999"/>
    <x v="0"/>
    <s v="Yes"/>
    <x v="1"/>
    <n v="19.399999999999999"/>
    <x v="0"/>
    <s v="Standard Spend"/>
  </r>
  <r>
    <s v="2696-RZVZW"/>
    <s v="Male"/>
    <x v="2"/>
    <n v="68"/>
    <x v="2"/>
    <x v="2"/>
    <n v="25.05"/>
    <n v="1629.2"/>
    <x v="0"/>
    <s v="No"/>
    <x v="3"/>
    <n v="1629.2"/>
    <x v="2"/>
    <s v="Standard Spend"/>
  </r>
  <r>
    <s v="5766-FTRTS"/>
    <s v="Male"/>
    <x v="2"/>
    <n v="72"/>
    <x v="0"/>
    <x v="1"/>
    <n v="84.45"/>
    <n v="6033.1"/>
    <x v="0"/>
    <s v="No"/>
    <x v="1"/>
    <n v="6033.1"/>
    <x v="2"/>
    <s v="High Spend"/>
  </r>
  <r>
    <s v="0396-HUJBP"/>
    <s v="Female"/>
    <x v="0"/>
    <n v="2"/>
    <x v="2"/>
    <x v="2"/>
    <n v="19.3"/>
    <n v="44.4"/>
    <x v="0"/>
    <s v="No"/>
    <x v="1"/>
    <n v="44.4"/>
    <x v="0"/>
    <s v="Standard Spend"/>
  </r>
  <r>
    <s v="5178-LMXOP"/>
    <s v="Male"/>
    <x v="0"/>
    <n v="1"/>
    <x v="1"/>
    <x v="0"/>
    <n v="95.1"/>
    <n v="95.1"/>
    <x v="1"/>
    <s v="Yes"/>
    <x v="0"/>
    <n v="95.1"/>
    <x v="0"/>
    <s v="Standard Spend"/>
  </r>
  <r>
    <s v="8879-ZKJOF"/>
    <s v="Female"/>
    <x v="1"/>
    <n v="41"/>
    <x v="0"/>
    <x v="1"/>
    <n v="79.849999999999994"/>
    <n v="3320.75"/>
    <x v="0"/>
    <s v="Yes"/>
    <x v="2"/>
    <n v="3320.75"/>
    <x v="2"/>
    <s v="High Spend"/>
  </r>
  <r>
    <s v="6285-FTQBF"/>
    <s v="Male"/>
    <x v="2"/>
    <n v="72"/>
    <x v="2"/>
    <x v="2"/>
    <n v="25.55"/>
    <n v="1867.7"/>
    <x v="0"/>
    <s v="No"/>
    <x v="3"/>
    <n v="1867.7"/>
    <x v="2"/>
    <s v="Standard Spend"/>
  </r>
  <r>
    <s v="8185-UPYBR"/>
    <s v="Male"/>
    <x v="0"/>
    <n v="6"/>
    <x v="1"/>
    <x v="0"/>
    <n v="75.5"/>
    <n v="438"/>
    <x v="1"/>
    <s v="Yes"/>
    <x v="0"/>
    <n v="438"/>
    <x v="0"/>
    <s v="Standard Spend"/>
  </r>
  <r>
    <s v="4585-HETAI"/>
    <s v="Female"/>
    <x v="0"/>
    <n v="4"/>
    <x v="1"/>
    <x v="0"/>
    <n v="73.75"/>
    <n v="325.45"/>
    <x v="1"/>
    <s v="Yes"/>
    <x v="0"/>
    <n v="325.45"/>
    <x v="0"/>
    <s v="Standard Spend"/>
  </r>
  <r>
    <s v="7526-BEZQB"/>
    <s v="Male"/>
    <x v="0"/>
    <n v="12"/>
    <x v="1"/>
    <x v="0"/>
    <n v="96.05"/>
    <n v="1148.0999999999999"/>
    <x v="1"/>
    <s v="Yes"/>
    <x v="0"/>
    <n v="1148.0999999999999"/>
    <x v="0"/>
    <s v="Standard Spend"/>
  </r>
  <r>
    <s v="1474-JUWSM"/>
    <s v="Female"/>
    <x v="1"/>
    <n v="58"/>
    <x v="0"/>
    <x v="1"/>
    <n v="68.400000000000006"/>
    <n v="3972.25"/>
    <x v="0"/>
    <s v="Yes"/>
    <x v="0"/>
    <n v="3972.25"/>
    <x v="2"/>
    <s v="High Spend"/>
  </r>
  <r>
    <s v="3530-CRZSB"/>
    <s v="Female"/>
    <x v="0"/>
    <n v="7"/>
    <x v="2"/>
    <x v="2"/>
    <n v="20.65"/>
    <n v="155.9"/>
    <x v="0"/>
    <s v="No"/>
    <x v="1"/>
    <n v="155.9"/>
    <x v="0"/>
    <s v="Standard Spend"/>
  </r>
  <r>
    <s v="8498-XXGWA"/>
    <s v="Female"/>
    <x v="0"/>
    <n v="65"/>
    <x v="0"/>
    <x v="0"/>
    <n v="55.15"/>
    <n v="3673.15"/>
    <x v="0"/>
    <s v="Yes"/>
    <x v="1"/>
    <n v="3673.15"/>
    <x v="2"/>
    <s v="High Spend"/>
  </r>
  <r>
    <s v="9617-INGJY"/>
    <s v="Male"/>
    <x v="0"/>
    <n v="1"/>
    <x v="1"/>
    <x v="0"/>
    <n v="70.599999999999994"/>
    <n v="70.599999999999994"/>
    <x v="0"/>
    <s v="Yes"/>
    <x v="1"/>
    <n v="70.599999999999994"/>
    <x v="0"/>
    <s v="Standard Spend"/>
  </r>
  <r>
    <s v="0621-TSSMU"/>
    <s v="Male"/>
    <x v="1"/>
    <n v="56"/>
    <x v="2"/>
    <x v="2"/>
    <n v="19.95"/>
    <n v="1126.75"/>
    <x v="0"/>
    <s v="No"/>
    <x v="3"/>
    <n v="1126.75"/>
    <x v="2"/>
    <s v="Standard Spend"/>
  </r>
  <r>
    <s v="7234-KMNRQ"/>
    <s v="Male"/>
    <x v="0"/>
    <n v="4"/>
    <x v="2"/>
    <x v="2"/>
    <n v="19"/>
    <n v="73.45"/>
    <x v="0"/>
    <s v="No"/>
    <x v="1"/>
    <n v="73.45"/>
    <x v="0"/>
    <s v="Standard Spend"/>
  </r>
  <r>
    <s v="7636-PEPNS"/>
    <s v="Female"/>
    <x v="1"/>
    <n v="58"/>
    <x v="0"/>
    <x v="0"/>
    <n v="44.1"/>
    <n v="2413.0500000000002"/>
    <x v="0"/>
    <s v="Yes"/>
    <x v="1"/>
    <n v="2413.0500000000002"/>
    <x v="2"/>
    <s v="Standard Spend"/>
  </r>
  <r>
    <s v="4683-WYDOU"/>
    <s v="Male"/>
    <x v="2"/>
    <n v="62"/>
    <x v="1"/>
    <x v="1"/>
    <n v="107.6"/>
    <n v="6912.7"/>
    <x v="0"/>
    <s v="Yes"/>
    <x v="2"/>
    <n v="6912.7"/>
    <x v="2"/>
    <s v="High Spend"/>
  </r>
  <r>
    <s v="9052-DHNKM"/>
    <s v="Male"/>
    <x v="1"/>
    <n v="26"/>
    <x v="0"/>
    <x v="0"/>
    <n v="61.55"/>
    <n v="1581.95"/>
    <x v="0"/>
    <s v="No"/>
    <x v="0"/>
    <n v="1581.95"/>
    <x v="1"/>
    <s v="Standard Spend"/>
  </r>
  <r>
    <s v="6794-HKIAJ"/>
    <s v="Male"/>
    <x v="0"/>
    <n v="62"/>
    <x v="1"/>
    <x v="0"/>
    <n v="90.7"/>
    <n v="5586.45"/>
    <x v="0"/>
    <s v="No"/>
    <x v="2"/>
    <n v="5586.45"/>
    <x v="2"/>
    <s v="High Spend"/>
  </r>
  <r>
    <s v="5578-NKCXI"/>
    <s v="Female"/>
    <x v="1"/>
    <n v="58"/>
    <x v="1"/>
    <x v="0"/>
    <n v="99.25"/>
    <n v="5846.65"/>
    <x v="0"/>
    <s v="No"/>
    <x v="3"/>
    <n v="5846.65"/>
    <x v="2"/>
    <s v="High Spend"/>
  </r>
  <r>
    <s v="1642-HMARX"/>
    <s v="Female"/>
    <x v="2"/>
    <n v="68"/>
    <x v="0"/>
    <x v="1"/>
    <n v="91.7"/>
    <n v="6424.7"/>
    <x v="0"/>
    <s v="Yes"/>
    <x v="0"/>
    <n v="6424.7"/>
    <x v="2"/>
    <s v="High Spend"/>
  </r>
  <r>
    <s v="3096-WPXBT"/>
    <s v="Female"/>
    <x v="1"/>
    <n v="61"/>
    <x v="1"/>
    <x v="0"/>
    <n v="100.7"/>
    <n v="6018.65"/>
    <x v="0"/>
    <s v="Yes"/>
    <x v="3"/>
    <n v="6018.65"/>
    <x v="2"/>
    <s v="High Spend"/>
  </r>
  <r>
    <s v="8434-PNQZX"/>
    <s v="Female"/>
    <x v="2"/>
    <n v="42"/>
    <x v="0"/>
    <x v="1"/>
    <n v="78.45"/>
    <n v="3373.4"/>
    <x v="0"/>
    <s v="Yes"/>
    <x v="3"/>
    <n v="3373.4"/>
    <x v="2"/>
    <s v="High Spend"/>
  </r>
  <r>
    <s v="5950-AAAGJ"/>
    <s v="Male"/>
    <x v="0"/>
    <n v="18"/>
    <x v="1"/>
    <x v="0"/>
    <n v="84.3"/>
    <n v="1537.9"/>
    <x v="0"/>
    <s v="No"/>
    <x v="2"/>
    <n v="1537.9"/>
    <x v="1"/>
    <s v="Standard Spend"/>
  </r>
  <r>
    <s v="4299-OPXEJ"/>
    <s v="Female"/>
    <x v="2"/>
    <n v="56"/>
    <x v="2"/>
    <x v="2"/>
    <n v="19.55"/>
    <n v="1080.55"/>
    <x v="0"/>
    <s v="Yes"/>
    <x v="2"/>
    <n v="1080.55"/>
    <x v="2"/>
    <s v="Standard Spend"/>
  </r>
  <r>
    <s v="4951-UKAAQ"/>
    <s v="Female"/>
    <x v="0"/>
    <n v="4"/>
    <x v="1"/>
    <x v="0"/>
    <n v="88.95"/>
    <n v="355.2"/>
    <x v="1"/>
    <s v="Yes"/>
    <x v="0"/>
    <n v="355.2"/>
    <x v="0"/>
    <s v="Standard Spend"/>
  </r>
  <r>
    <s v="9618-LFJRU"/>
    <s v="Female"/>
    <x v="0"/>
    <n v="4"/>
    <x v="2"/>
    <x v="2"/>
    <n v="20.45"/>
    <n v="82.85"/>
    <x v="0"/>
    <s v="No"/>
    <x v="3"/>
    <n v="82.85"/>
    <x v="0"/>
    <s v="Standard Spend"/>
  </r>
  <r>
    <s v="6693-DJWTY"/>
    <s v="Female"/>
    <x v="1"/>
    <n v="35"/>
    <x v="0"/>
    <x v="0"/>
    <n v="55.6"/>
    <n v="2016.45"/>
    <x v="0"/>
    <s v="No"/>
    <x v="3"/>
    <n v="2016.45"/>
    <x v="1"/>
    <s v="Standard Spend"/>
  </r>
  <r>
    <s v="0744-GKNGE"/>
    <s v="Female"/>
    <x v="0"/>
    <n v="64"/>
    <x v="1"/>
    <x v="1"/>
    <n v="86.8"/>
    <n v="5327.25"/>
    <x v="0"/>
    <s v="Yes"/>
    <x v="2"/>
    <n v="5327.25"/>
    <x v="2"/>
    <s v="High Spend"/>
  </r>
  <r>
    <s v="6447-EGDIV"/>
    <s v="Female"/>
    <x v="1"/>
    <n v="31"/>
    <x v="2"/>
    <x v="2"/>
    <n v="20.95"/>
    <n v="683.25"/>
    <x v="0"/>
    <s v="No"/>
    <x v="1"/>
    <n v="683.25"/>
    <x v="1"/>
    <s v="Standard Spend"/>
  </r>
  <r>
    <s v="1167-OYZJF"/>
    <s v="Female"/>
    <x v="2"/>
    <n v="67"/>
    <x v="2"/>
    <x v="2"/>
    <n v="20.05"/>
    <n v="1263.05"/>
    <x v="0"/>
    <s v="Yes"/>
    <x v="2"/>
    <n v="1263.05"/>
    <x v="2"/>
    <s v="Standard Spend"/>
  </r>
  <r>
    <s v="2108-YKQTY"/>
    <s v="Female"/>
    <x v="0"/>
    <n v="4"/>
    <x v="0"/>
    <x v="0"/>
    <n v="50.7"/>
    <n v="151.30000000000001"/>
    <x v="1"/>
    <s v="No"/>
    <x v="3"/>
    <n v="151.30000000000001"/>
    <x v="0"/>
    <s v="Standard Spend"/>
  </r>
  <r>
    <s v="4806-DXQCE"/>
    <s v="Female"/>
    <x v="2"/>
    <n v="70"/>
    <x v="1"/>
    <x v="1"/>
    <n v="113.65"/>
    <n v="7714.65"/>
    <x v="0"/>
    <s v="Yes"/>
    <x v="0"/>
    <n v="7714.65"/>
    <x v="2"/>
    <s v="High Spend"/>
  </r>
  <r>
    <s v="4918-QLLIW"/>
    <s v="Male"/>
    <x v="0"/>
    <n v="3"/>
    <x v="0"/>
    <x v="0"/>
    <n v="53.4"/>
    <n v="188.7"/>
    <x v="1"/>
    <s v="No"/>
    <x v="3"/>
    <n v="188.7"/>
    <x v="0"/>
    <s v="Standard Spend"/>
  </r>
  <r>
    <s v="7056-IMHCC"/>
    <s v="Male"/>
    <x v="0"/>
    <n v="53"/>
    <x v="1"/>
    <x v="0"/>
    <n v="101.9"/>
    <n v="5549.4"/>
    <x v="1"/>
    <s v="Yes"/>
    <x v="0"/>
    <n v="5549.4"/>
    <x v="2"/>
    <s v="High Spend"/>
  </r>
  <r>
    <s v="4854-SSLTN"/>
    <s v="Male"/>
    <x v="2"/>
    <n v="2"/>
    <x v="0"/>
    <x v="1"/>
    <n v="59.5"/>
    <n v="130.5"/>
    <x v="0"/>
    <s v="No"/>
    <x v="1"/>
    <n v="130.5"/>
    <x v="0"/>
    <s v="Standard Spend"/>
  </r>
  <r>
    <s v="5294-DMSFH"/>
    <s v="Female"/>
    <x v="0"/>
    <n v="29"/>
    <x v="1"/>
    <x v="0"/>
    <n v="87.8"/>
    <n v="2621.75"/>
    <x v="0"/>
    <s v="Yes"/>
    <x v="3"/>
    <n v="2621.75"/>
    <x v="1"/>
    <s v="High Spend"/>
  </r>
  <r>
    <s v="4837-PZTIC"/>
    <s v="Female"/>
    <x v="2"/>
    <n v="47"/>
    <x v="0"/>
    <x v="1"/>
    <n v="41.9"/>
    <n v="1875.25"/>
    <x v="0"/>
    <s v="No"/>
    <x v="1"/>
    <n v="1875.25"/>
    <x v="2"/>
    <s v="Standard Spend"/>
  </r>
  <r>
    <s v="1625-JAIIY"/>
    <s v="Female"/>
    <x v="1"/>
    <n v="68"/>
    <x v="1"/>
    <x v="0"/>
    <n v="83"/>
    <n v="5685.8"/>
    <x v="1"/>
    <s v="Yes"/>
    <x v="0"/>
    <n v="5685.8"/>
    <x v="2"/>
    <s v="High Spend"/>
  </r>
  <r>
    <s v="0603-OLQDC"/>
    <s v="Male"/>
    <x v="0"/>
    <n v="12"/>
    <x v="0"/>
    <x v="0"/>
    <n v="69.849999999999994"/>
    <n v="837.5"/>
    <x v="0"/>
    <s v="Yes"/>
    <x v="1"/>
    <n v="837.5"/>
    <x v="0"/>
    <s v="Standard Spend"/>
  </r>
  <r>
    <s v="3272-VUHPV"/>
    <s v="Female"/>
    <x v="0"/>
    <n v="8"/>
    <x v="0"/>
    <x v="1"/>
    <n v="56.3"/>
    <n v="401.5"/>
    <x v="0"/>
    <s v="No"/>
    <x v="2"/>
    <n v="401.5"/>
    <x v="0"/>
    <s v="Standard Spend"/>
  </r>
  <r>
    <s v="4176-FXYBO"/>
    <s v="Male"/>
    <x v="0"/>
    <n v="54"/>
    <x v="1"/>
    <x v="0"/>
    <n v="109.55"/>
    <n v="6118.95"/>
    <x v="0"/>
    <s v="No"/>
    <x v="0"/>
    <n v="6118.95"/>
    <x v="2"/>
    <s v="High Spend"/>
  </r>
  <r>
    <s v="1063-DHQJF"/>
    <s v="Male"/>
    <x v="2"/>
    <n v="69"/>
    <x v="1"/>
    <x v="1"/>
    <n v="92.15"/>
    <n v="6480.9"/>
    <x v="0"/>
    <s v="Yes"/>
    <x v="1"/>
    <n v="6480.9"/>
    <x v="2"/>
    <s v="High Spend"/>
  </r>
  <r>
    <s v="8663-UPDGF"/>
    <s v="Female"/>
    <x v="0"/>
    <n v="26"/>
    <x v="0"/>
    <x v="0"/>
    <n v="69.5"/>
    <n v="1800.05"/>
    <x v="0"/>
    <s v="Yes"/>
    <x v="2"/>
    <n v="1800.05"/>
    <x v="1"/>
    <s v="Standard Spend"/>
  </r>
  <r>
    <s v="6719-FGEDO"/>
    <s v="Female"/>
    <x v="2"/>
    <n v="72"/>
    <x v="1"/>
    <x v="1"/>
    <n v="97"/>
    <n v="7104.2"/>
    <x v="0"/>
    <s v="Yes"/>
    <x v="2"/>
    <n v="7104.2"/>
    <x v="2"/>
    <s v="High Spend"/>
  </r>
  <r>
    <s v="1837-YQUCE"/>
    <s v="Female"/>
    <x v="2"/>
    <n v="70"/>
    <x v="0"/>
    <x v="1"/>
    <n v="58.35"/>
    <n v="4214.25"/>
    <x v="0"/>
    <s v="Yes"/>
    <x v="2"/>
    <n v="4214.25"/>
    <x v="2"/>
    <s v="High Spend"/>
  </r>
  <r>
    <s v="2947-DOMLJ"/>
    <s v="Male"/>
    <x v="0"/>
    <n v="1"/>
    <x v="0"/>
    <x v="0"/>
    <n v="50.6"/>
    <n v="50.6"/>
    <x v="1"/>
    <s v="No"/>
    <x v="1"/>
    <n v="50.6"/>
    <x v="0"/>
    <s v="Standard Spend"/>
  </r>
  <r>
    <s v="4112-LUEIZ"/>
    <s v="Male"/>
    <x v="0"/>
    <n v="10"/>
    <x v="1"/>
    <x v="0"/>
    <n v="89.5"/>
    <n v="863.1"/>
    <x v="1"/>
    <s v="Yes"/>
    <x v="0"/>
    <n v="863.1"/>
    <x v="0"/>
    <s v="Standard Spend"/>
  </r>
  <r>
    <s v="0369-ZGOVK"/>
    <s v="Female"/>
    <x v="1"/>
    <n v="28"/>
    <x v="1"/>
    <x v="0"/>
    <n v="70.400000000000006"/>
    <n v="1992.2"/>
    <x v="0"/>
    <s v="Yes"/>
    <x v="2"/>
    <n v="1992.2"/>
    <x v="1"/>
    <s v="Standard Spend"/>
  </r>
  <r>
    <s v="4510-HIMLV"/>
    <s v="Male"/>
    <x v="0"/>
    <n v="1"/>
    <x v="1"/>
    <x v="0"/>
    <n v="69.8"/>
    <n v="69.8"/>
    <x v="1"/>
    <s v="Yes"/>
    <x v="0"/>
    <n v="69.8"/>
    <x v="0"/>
    <s v="Standard Spend"/>
  </r>
  <r>
    <s v="9919-KNPOO"/>
    <s v="Female"/>
    <x v="0"/>
    <n v="21"/>
    <x v="1"/>
    <x v="0"/>
    <n v="94.3"/>
    <n v="1948.35"/>
    <x v="0"/>
    <s v="Yes"/>
    <x v="0"/>
    <n v="1948.35"/>
    <x v="1"/>
    <s v="Standard Spend"/>
  </r>
  <r>
    <s v="8749-JMNKX"/>
    <s v="Male"/>
    <x v="0"/>
    <n v="51"/>
    <x v="1"/>
    <x v="0"/>
    <n v="93.8"/>
    <n v="4750.95"/>
    <x v="1"/>
    <s v="Yes"/>
    <x v="2"/>
    <n v="4750.95"/>
    <x v="2"/>
    <s v="High Spend"/>
  </r>
  <r>
    <s v="7872-BAAZR"/>
    <s v="Female"/>
    <x v="1"/>
    <n v="53"/>
    <x v="2"/>
    <x v="2"/>
    <n v="19.55"/>
    <n v="1007.9"/>
    <x v="0"/>
    <s v="No"/>
    <x v="2"/>
    <n v="1007.9"/>
    <x v="2"/>
    <s v="Standard Spend"/>
  </r>
  <r>
    <s v="9391-LMANN"/>
    <s v="Male"/>
    <x v="1"/>
    <n v="53"/>
    <x v="1"/>
    <x v="0"/>
    <n v="95.95"/>
    <n v="5036.8999999999996"/>
    <x v="0"/>
    <s v="No"/>
    <x v="0"/>
    <n v="5036.8999999999996"/>
    <x v="2"/>
    <s v="High Spend"/>
  </r>
  <r>
    <s v="2430-USGXP"/>
    <s v="Male"/>
    <x v="0"/>
    <n v="24"/>
    <x v="1"/>
    <x v="0"/>
    <n v="101.05"/>
    <n v="2391.8000000000002"/>
    <x v="1"/>
    <s v="Yes"/>
    <x v="0"/>
    <n v="2391.8000000000002"/>
    <x v="1"/>
    <s v="Standard Spend"/>
  </r>
  <r>
    <s v="8174-TBVCF"/>
    <s v="Female"/>
    <x v="2"/>
    <n v="70"/>
    <x v="0"/>
    <x v="1"/>
    <n v="94.8"/>
    <n v="6859.05"/>
    <x v="0"/>
    <s v="Yes"/>
    <x v="3"/>
    <n v="6859.05"/>
    <x v="2"/>
    <s v="High Spend"/>
  </r>
  <r>
    <s v="1698-XFZCI"/>
    <s v="Male"/>
    <x v="1"/>
    <n v="61"/>
    <x v="1"/>
    <x v="0"/>
    <n v="107.75"/>
    <n v="6521.9"/>
    <x v="0"/>
    <s v="Yes"/>
    <x v="0"/>
    <n v="6521.9"/>
    <x v="2"/>
    <s v="High Spend"/>
  </r>
  <r>
    <s v="1877-HKBQX"/>
    <s v="Female"/>
    <x v="1"/>
    <n v="11"/>
    <x v="0"/>
    <x v="1"/>
    <n v="54.6"/>
    <n v="617.85"/>
    <x v="0"/>
    <s v="Yes"/>
    <x v="1"/>
    <n v="617.85"/>
    <x v="0"/>
    <s v="Standard Spend"/>
  </r>
  <r>
    <s v="4450-DLLMH"/>
    <s v="Male"/>
    <x v="0"/>
    <n v="2"/>
    <x v="1"/>
    <x v="0"/>
    <n v="71.3"/>
    <n v="157.75"/>
    <x v="0"/>
    <s v="Yes"/>
    <x v="3"/>
    <n v="157.75"/>
    <x v="0"/>
    <s v="Standard Spend"/>
  </r>
  <r>
    <s v="0428-AXXLJ"/>
    <s v="Male"/>
    <x v="1"/>
    <n v="25"/>
    <x v="2"/>
    <x v="2"/>
    <n v="19.5"/>
    <n v="516.29999999999995"/>
    <x v="0"/>
    <s v="Yes"/>
    <x v="2"/>
    <n v="516.29999999999995"/>
    <x v="1"/>
    <s v="Standard Spend"/>
  </r>
  <r>
    <s v="2746-DIJLO"/>
    <s v="Female"/>
    <x v="1"/>
    <n v="41"/>
    <x v="0"/>
    <x v="0"/>
    <n v="56.3"/>
    <n v="2364"/>
    <x v="0"/>
    <s v="Yes"/>
    <x v="3"/>
    <n v="2364"/>
    <x v="2"/>
    <s v="Standard Spend"/>
  </r>
  <r>
    <s v="5955-ERIHD"/>
    <s v="Male"/>
    <x v="0"/>
    <n v="18"/>
    <x v="1"/>
    <x v="0"/>
    <n v="94.7"/>
    <n v="1687.95"/>
    <x v="1"/>
    <s v="Yes"/>
    <x v="0"/>
    <n v="1687.95"/>
    <x v="1"/>
    <s v="Standard Spend"/>
  </r>
  <r>
    <s v="0917-EZOLA"/>
    <s v="Male"/>
    <x v="2"/>
    <n v="72"/>
    <x v="1"/>
    <x v="0"/>
    <n v="104.15"/>
    <n v="7689.95"/>
    <x v="1"/>
    <s v="Yes"/>
    <x v="2"/>
    <n v="7689.95"/>
    <x v="2"/>
    <s v="High Spend"/>
  </r>
  <r>
    <s v="3508-VLHCZ"/>
    <s v="Female"/>
    <x v="2"/>
    <n v="71"/>
    <x v="0"/>
    <x v="1"/>
    <n v="90.55"/>
    <n v="6239.05"/>
    <x v="0"/>
    <s v="Yes"/>
    <x v="3"/>
    <n v="6239.05"/>
    <x v="2"/>
    <s v="High Spend"/>
  </r>
  <r>
    <s v="4086-ATNFV"/>
    <s v="Female"/>
    <x v="1"/>
    <n v="34"/>
    <x v="0"/>
    <x v="0"/>
    <n v="60.8"/>
    <n v="2042.05"/>
    <x v="0"/>
    <s v="Yes"/>
    <x v="1"/>
    <n v="2042.05"/>
    <x v="1"/>
    <s v="Standard Spend"/>
  </r>
  <r>
    <s v="0468-YRPXN"/>
    <s v="Male"/>
    <x v="0"/>
    <n v="29"/>
    <x v="1"/>
    <x v="1"/>
    <n v="98.8"/>
    <n v="2807.1"/>
    <x v="0"/>
    <s v="Yes"/>
    <x v="3"/>
    <n v="2807.1"/>
    <x v="1"/>
    <s v="High Spend"/>
  </r>
  <r>
    <s v="5996-NRVXR"/>
    <s v="Male"/>
    <x v="1"/>
    <n v="40"/>
    <x v="1"/>
    <x v="1"/>
    <n v="98.15"/>
    <n v="4116.8"/>
    <x v="0"/>
    <s v="Yes"/>
    <x v="3"/>
    <n v="4116.8"/>
    <x v="2"/>
    <s v="High Spend"/>
  </r>
  <r>
    <s v="3739-YBWAB"/>
    <s v="Male"/>
    <x v="1"/>
    <n v="36"/>
    <x v="0"/>
    <x v="0"/>
    <n v="35.35"/>
    <n v="1317.95"/>
    <x v="0"/>
    <s v="No"/>
    <x v="1"/>
    <n v="1317.95"/>
    <x v="1"/>
    <s v="Standard Spend"/>
  </r>
  <r>
    <s v="7047-FWEYA"/>
    <s v="Female"/>
    <x v="1"/>
    <n v="46"/>
    <x v="1"/>
    <x v="1"/>
    <n v="103.15"/>
    <n v="4594.6499999999996"/>
    <x v="0"/>
    <s v="Yes"/>
    <x v="0"/>
    <n v="4594.6499999999996"/>
    <x v="2"/>
    <s v="High Spend"/>
  </r>
  <r>
    <s v="2000-MPKCA"/>
    <s v="Female"/>
    <x v="1"/>
    <n v="58"/>
    <x v="1"/>
    <x v="0"/>
    <n v="107.75"/>
    <n v="6332.75"/>
    <x v="0"/>
    <s v="Yes"/>
    <x v="0"/>
    <n v="6332.75"/>
    <x v="2"/>
    <s v="High Spend"/>
  </r>
  <r>
    <s v="9762-YAQAA"/>
    <s v="Male"/>
    <x v="1"/>
    <n v="39"/>
    <x v="1"/>
    <x v="0"/>
    <n v="81.400000000000006"/>
    <n v="3213.75"/>
    <x v="0"/>
    <s v="No"/>
    <x v="3"/>
    <n v="3213.75"/>
    <x v="2"/>
    <s v="High Spend"/>
  </r>
  <r>
    <s v="5949-EBSQK"/>
    <s v="Male"/>
    <x v="0"/>
    <n v="4"/>
    <x v="0"/>
    <x v="1"/>
    <n v="61.45"/>
    <n v="229.55"/>
    <x v="1"/>
    <s v="No"/>
    <x v="3"/>
    <n v="229.55"/>
    <x v="0"/>
    <s v="Standard Spend"/>
  </r>
  <r>
    <s v="5473-KHBPS"/>
    <s v="Female"/>
    <x v="1"/>
    <n v="52"/>
    <x v="1"/>
    <x v="0"/>
    <n v="95.7"/>
    <n v="4976.1499999999996"/>
    <x v="0"/>
    <s v="Yes"/>
    <x v="3"/>
    <n v="4976.1499999999996"/>
    <x v="2"/>
    <s v="High Spend"/>
  </r>
  <r>
    <s v="0100-DUVFC"/>
    <s v="Male"/>
    <x v="1"/>
    <n v="70"/>
    <x v="1"/>
    <x v="0"/>
    <n v="104.8"/>
    <n v="7308.95"/>
    <x v="0"/>
    <s v="Yes"/>
    <x v="0"/>
    <n v="7308.95"/>
    <x v="2"/>
    <s v="High Spend"/>
  </r>
  <r>
    <s v="5397-TUPSH"/>
    <s v="Male"/>
    <x v="1"/>
    <n v="65"/>
    <x v="1"/>
    <x v="0"/>
    <n v="70.95"/>
    <n v="4555.2"/>
    <x v="0"/>
    <s v="Yes"/>
    <x v="2"/>
    <n v="4555.2"/>
    <x v="2"/>
    <s v="High Spend"/>
  </r>
  <r>
    <s v="8950-MTZNV"/>
    <s v="Male"/>
    <x v="0"/>
    <n v="1"/>
    <x v="0"/>
    <x v="0"/>
    <n v="44.95"/>
    <n v="44.95"/>
    <x v="0"/>
    <s v="Yes"/>
    <x v="1"/>
    <n v="44.95"/>
    <x v="0"/>
    <s v="Standard Spend"/>
  </r>
  <r>
    <s v="0326-VDYXE"/>
    <s v="Female"/>
    <x v="1"/>
    <n v="70"/>
    <x v="1"/>
    <x v="0"/>
    <n v="97.65"/>
    <n v="6982.5"/>
    <x v="0"/>
    <s v="Yes"/>
    <x v="0"/>
    <n v="6982.5"/>
    <x v="2"/>
    <s v="High Spend"/>
  </r>
  <r>
    <s v="6773-LQTVT"/>
    <s v="Female"/>
    <x v="0"/>
    <n v="29"/>
    <x v="0"/>
    <x v="0"/>
    <n v="35.65"/>
    <n v="1025.1500000000001"/>
    <x v="0"/>
    <s v="Yes"/>
    <x v="1"/>
    <n v="1025.1500000000001"/>
    <x v="1"/>
    <s v="Standard Spend"/>
  </r>
  <r>
    <s v="7274-RTAPZ"/>
    <s v="Male"/>
    <x v="0"/>
    <n v="1"/>
    <x v="1"/>
    <x v="0"/>
    <n v="90.55"/>
    <n v="90.55"/>
    <x v="1"/>
    <s v="Yes"/>
    <x v="0"/>
    <n v="90.55"/>
    <x v="0"/>
    <s v="Standard Spend"/>
  </r>
  <r>
    <s v="0436-TWFFZ"/>
    <s v="Female"/>
    <x v="2"/>
    <n v="67"/>
    <x v="0"/>
    <x v="1"/>
    <n v="85.25"/>
    <n v="5714.2"/>
    <x v="0"/>
    <s v="Yes"/>
    <x v="1"/>
    <n v="5714.2"/>
    <x v="2"/>
    <s v="High Spend"/>
  </r>
  <r>
    <s v="8566-YPRGL"/>
    <s v="Female"/>
    <x v="0"/>
    <n v="1"/>
    <x v="2"/>
    <x v="2"/>
    <n v="19.5"/>
    <n v="19.5"/>
    <x v="0"/>
    <s v="Yes"/>
    <x v="1"/>
    <n v="19.5"/>
    <x v="0"/>
    <s v="Standard Spend"/>
  </r>
  <r>
    <s v="0311-UNPFF"/>
    <s v="Female"/>
    <x v="0"/>
    <n v="26"/>
    <x v="1"/>
    <x v="0"/>
    <n v="88.8"/>
    <n v="2274.35"/>
    <x v="1"/>
    <s v="Yes"/>
    <x v="2"/>
    <n v="2274.35"/>
    <x v="1"/>
    <s v="Standard Spend"/>
  </r>
  <r>
    <s v="6609-MXJHJ"/>
    <s v="Female"/>
    <x v="2"/>
    <n v="30"/>
    <x v="2"/>
    <x v="2"/>
    <n v="25.1"/>
    <n v="789.55"/>
    <x v="0"/>
    <s v="Yes"/>
    <x v="1"/>
    <n v="789.55"/>
    <x v="1"/>
    <s v="Standard Spend"/>
  </r>
  <r>
    <s v="2669-OIDSD"/>
    <s v="Female"/>
    <x v="0"/>
    <n v="48"/>
    <x v="1"/>
    <x v="1"/>
    <n v="100.05"/>
    <n v="4834"/>
    <x v="0"/>
    <s v="Yes"/>
    <x v="3"/>
    <n v="4834"/>
    <x v="2"/>
    <s v="High Spend"/>
  </r>
  <r>
    <s v="8400-WZICQ"/>
    <s v="Female"/>
    <x v="0"/>
    <n v="55"/>
    <x v="0"/>
    <x v="0"/>
    <n v="55.7"/>
    <n v="3131.8"/>
    <x v="0"/>
    <s v="No"/>
    <x v="0"/>
    <n v="3131.8"/>
    <x v="2"/>
    <s v="High Spend"/>
  </r>
  <r>
    <s v="3834-XUIFC"/>
    <s v="Male"/>
    <x v="0"/>
    <n v="7"/>
    <x v="1"/>
    <x v="0"/>
    <n v="85.2"/>
    <n v="602.54999999999995"/>
    <x v="1"/>
    <s v="Yes"/>
    <x v="1"/>
    <n v="602.54999999999995"/>
    <x v="0"/>
    <s v="Standard Spend"/>
  </r>
  <r>
    <s v="9576-SYUHJ"/>
    <s v="Male"/>
    <x v="0"/>
    <n v="37"/>
    <x v="1"/>
    <x v="0"/>
    <n v="91.15"/>
    <n v="3369.25"/>
    <x v="0"/>
    <s v="Yes"/>
    <x v="0"/>
    <n v="3369.25"/>
    <x v="2"/>
    <s v="High Spend"/>
  </r>
  <r>
    <s v="0410-IPFTY"/>
    <s v="Female"/>
    <x v="0"/>
    <n v="31"/>
    <x v="1"/>
    <x v="0"/>
    <n v="83.85"/>
    <n v="2674.15"/>
    <x v="0"/>
    <s v="Yes"/>
    <x v="2"/>
    <n v="2674.15"/>
    <x v="1"/>
    <s v="High Spend"/>
  </r>
  <r>
    <s v="2831-EBWRN"/>
    <s v="Male"/>
    <x v="0"/>
    <n v="4"/>
    <x v="0"/>
    <x v="0"/>
    <n v="45.9"/>
    <n v="199.75"/>
    <x v="0"/>
    <s v="Yes"/>
    <x v="0"/>
    <n v="199.75"/>
    <x v="0"/>
    <s v="Standard Spend"/>
  </r>
  <r>
    <s v="9430-NKQLY"/>
    <s v="Male"/>
    <x v="2"/>
    <n v="72"/>
    <x v="2"/>
    <x v="2"/>
    <n v="25.1"/>
    <n v="1790.8"/>
    <x v="0"/>
    <s v="Yes"/>
    <x v="3"/>
    <n v="1790.8"/>
    <x v="2"/>
    <s v="Standard Spend"/>
  </r>
  <r>
    <s v="8414-MYSHR"/>
    <s v="Male"/>
    <x v="0"/>
    <n v="5"/>
    <x v="1"/>
    <x v="0"/>
    <n v="91.4"/>
    <n v="449.75"/>
    <x v="1"/>
    <s v="Yes"/>
    <x v="0"/>
    <n v="449.75"/>
    <x v="0"/>
    <s v="Standard Spend"/>
  </r>
  <r>
    <s v="0247-SLUJI"/>
    <s v="Male"/>
    <x v="0"/>
    <n v="1"/>
    <x v="2"/>
    <x v="2"/>
    <n v="19.7"/>
    <n v="19.7"/>
    <x v="0"/>
    <s v="No"/>
    <x v="1"/>
    <n v="19.7"/>
    <x v="0"/>
    <s v="Standard Spend"/>
  </r>
  <r>
    <s v="9402-ORRAH"/>
    <s v="Female"/>
    <x v="0"/>
    <n v="15"/>
    <x v="1"/>
    <x v="0"/>
    <n v="91.5"/>
    <n v="1400.3"/>
    <x v="0"/>
    <s v="Yes"/>
    <x v="0"/>
    <n v="1400.3"/>
    <x v="1"/>
    <s v="Standard Spend"/>
  </r>
  <r>
    <s v="6483-OATDN"/>
    <s v="Male"/>
    <x v="0"/>
    <n v="8"/>
    <x v="0"/>
    <x v="0"/>
    <n v="51.3"/>
    <n v="411.6"/>
    <x v="0"/>
    <s v="Yes"/>
    <x v="3"/>
    <n v="411.6"/>
    <x v="0"/>
    <s v="Standard Spend"/>
  </r>
  <r>
    <s v="1293-HHSHJ"/>
    <s v="Female"/>
    <x v="1"/>
    <n v="35"/>
    <x v="2"/>
    <x v="2"/>
    <n v="21.1"/>
    <n v="741"/>
    <x v="0"/>
    <s v="No"/>
    <x v="1"/>
    <n v="741"/>
    <x v="1"/>
    <s v="Standard Spend"/>
  </r>
  <r>
    <s v="4840-ORQXB"/>
    <s v="Female"/>
    <x v="0"/>
    <n v="56"/>
    <x v="1"/>
    <x v="0"/>
    <n v="104.75"/>
    <n v="5841.35"/>
    <x v="0"/>
    <s v="No"/>
    <x v="0"/>
    <n v="5841.35"/>
    <x v="2"/>
    <s v="High Spend"/>
  </r>
  <r>
    <s v="7599-FKVXZ"/>
    <s v="Male"/>
    <x v="0"/>
    <n v="42"/>
    <x v="1"/>
    <x v="1"/>
    <n v="106.15"/>
    <n v="4512.7"/>
    <x v="1"/>
    <s v="Yes"/>
    <x v="2"/>
    <n v="4512.7"/>
    <x v="2"/>
    <s v="High Spend"/>
  </r>
  <r>
    <s v="3982-DQLUS"/>
    <s v="Male"/>
    <x v="0"/>
    <n v="65"/>
    <x v="1"/>
    <x v="0"/>
    <n v="85.75"/>
    <n v="5688.45"/>
    <x v="0"/>
    <s v="Yes"/>
    <x v="0"/>
    <n v="5688.45"/>
    <x v="2"/>
    <s v="High Spend"/>
  </r>
  <r>
    <s v="8610-ZIKJJ"/>
    <s v="Female"/>
    <x v="1"/>
    <n v="2"/>
    <x v="2"/>
    <x v="2"/>
    <n v="20.3"/>
    <n v="31.9"/>
    <x v="0"/>
    <s v="No"/>
    <x v="1"/>
    <n v="31.9"/>
    <x v="0"/>
    <s v="Standard Spend"/>
  </r>
  <r>
    <s v="3756-VNWDH"/>
    <s v="Male"/>
    <x v="1"/>
    <n v="65"/>
    <x v="1"/>
    <x v="0"/>
    <n v="100.75"/>
    <n v="6674.65"/>
    <x v="0"/>
    <s v="Yes"/>
    <x v="0"/>
    <n v="6674.65"/>
    <x v="2"/>
    <s v="High Spend"/>
  </r>
  <r>
    <s v="7801-KICAO"/>
    <s v="Female"/>
    <x v="0"/>
    <n v="18"/>
    <x v="1"/>
    <x v="0"/>
    <n v="74.150000000000006"/>
    <n v="1345.75"/>
    <x v="0"/>
    <s v="Yes"/>
    <x v="0"/>
    <n v="1345.75"/>
    <x v="1"/>
    <s v="Standard Spend"/>
  </r>
  <r>
    <s v="7673-LPRNY"/>
    <s v="Female"/>
    <x v="1"/>
    <n v="23"/>
    <x v="0"/>
    <x v="0"/>
    <n v="78.55"/>
    <n v="1843.05"/>
    <x v="0"/>
    <s v="Yes"/>
    <x v="0"/>
    <n v="1843.05"/>
    <x v="1"/>
    <s v="Standard Spend"/>
  </r>
  <r>
    <s v="8229-TNIQA"/>
    <s v="Female"/>
    <x v="0"/>
    <n v="4"/>
    <x v="0"/>
    <x v="0"/>
    <n v="45.3"/>
    <n v="196.95"/>
    <x v="1"/>
    <s v="Yes"/>
    <x v="1"/>
    <n v="196.95"/>
    <x v="0"/>
    <s v="Standard Spend"/>
  </r>
  <r>
    <s v="6060-QBMGV"/>
    <s v="Male"/>
    <x v="2"/>
    <n v="70"/>
    <x v="2"/>
    <x v="2"/>
    <n v="19.850000000000001"/>
    <n v="1433.8"/>
    <x v="0"/>
    <s v="No"/>
    <x v="3"/>
    <n v="1433.8"/>
    <x v="2"/>
    <s v="Standard Spend"/>
  </r>
  <r>
    <s v="7339-POGZN"/>
    <s v="Female"/>
    <x v="0"/>
    <n v="4"/>
    <x v="0"/>
    <x v="0"/>
    <n v="50.7"/>
    <n v="214.55"/>
    <x v="0"/>
    <s v="No"/>
    <x v="0"/>
    <n v="214.55"/>
    <x v="0"/>
    <s v="Standard Spend"/>
  </r>
  <r>
    <s v="2828-SLQPF"/>
    <s v="Male"/>
    <x v="0"/>
    <n v="19"/>
    <x v="0"/>
    <x v="0"/>
    <n v="45"/>
    <n v="865.85"/>
    <x v="0"/>
    <s v="Yes"/>
    <x v="2"/>
    <n v="865.85"/>
    <x v="1"/>
    <s v="Standard Spend"/>
  </r>
  <r>
    <s v="4465-VDKIQ"/>
    <s v="Female"/>
    <x v="0"/>
    <n v="18"/>
    <x v="1"/>
    <x v="0"/>
    <n v="77.8"/>
    <n v="1358.6"/>
    <x v="0"/>
    <s v="No"/>
    <x v="0"/>
    <n v="1358.6"/>
    <x v="1"/>
    <s v="Standard Spend"/>
  </r>
  <r>
    <s v="2921-XWDJH"/>
    <s v="Female"/>
    <x v="0"/>
    <n v="38"/>
    <x v="1"/>
    <x v="0"/>
    <n v="83.45"/>
    <n v="3147.15"/>
    <x v="0"/>
    <s v="Yes"/>
    <x v="0"/>
    <n v="3147.15"/>
    <x v="2"/>
    <s v="High Spend"/>
  </r>
  <r>
    <s v="6221-AVQYL"/>
    <s v="Male"/>
    <x v="0"/>
    <n v="2"/>
    <x v="1"/>
    <x v="0"/>
    <n v="73.25"/>
    <n v="131.05000000000001"/>
    <x v="1"/>
    <s v="Yes"/>
    <x v="3"/>
    <n v="131.05000000000001"/>
    <x v="0"/>
    <s v="Standard Spend"/>
  </r>
  <r>
    <s v="2558-BUOZZ"/>
    <s v="Male"/>
    <x v="1"/>
    <n v="47"/>
    <x v="1"/>
    <x v="0"/>
    <n v="94.8"/>
    <n v="4535.8500000000004"/>
    <x v="0"/>
    <s v="No"/>
    <x v="2"/>
    <n v="4535.8500000000004"/>
    <x v="2"/>
    <s v="High Spend"/>
  </r>
  <r>
    <s v="9257-AZMTZ"/>
    <s v="Female"/>
    <x v="2"/>
    <n v="52"/>
    <x v="2"/>
    <x v="2"/>
    <n v="20.100000000000001"/>
    <n v="1078.75"/>
    <x v="0"/>
    <s v="No"/>
    <x v="2"/>
    <n v="1078.75"/>
    <x v="2"/>
    <s v="Standard Spend"/>
  </r>
  <r>
    <s v="0003-MKNFE"/>
    <s v="Male"/>
    <x v="0"/>
    <n v="9"/>
    <x v="0"/>
    <x v="0"/>
    <n v="59.9"/>
    <n v="542.4"/>
    <x v="0"/>
    <s v="No"/>
    <x v="1"/>
    <n v="542.4"/>
    <x v="0"/>
    <s v="Standard Spend"/>
  </r>
  <r>
    <s v="0975-UYDTX"/>
    <s v="Female"/>
    <x v="1"/>
    <n v="26"/>
    <x v="0"/>
    <x v="1"/>
    <n v="90.1"/>
    <n v="2312.5500000000002"/>
    <x v="0"/>
    <s v="Yes"/>
    <x v="3"/>
    <n v="2312.5500000000002"/>
    <x v="1"/>
    <s v="Standard Spend"/>
  </r>
  <r>
    <s v="7743-EXURX"/>
    <s v="Male"/>
    <x v="0"/>
    <n v="8"/>
    <x v="0"/>
    <x v="0"/>
    <n v="51.05"/>
    <n v="415.05"/>
    <x v="1"/>
    <s v="Yes"/>
    <x v="0"/>
    <n v="415.05"/>
    <x v="0"/>
    <s v="Standard Spend"/>
  </r>
  <r>
    <s v="4682-BLBUC"/>
    <s v="Male"/>
    <x v="1"/>
    <n v="44"/>
    <x v="0"/>
    <x v="1"/>
    <n v="70.95"/>
    <n v="3250.45"/>
    <x v="0"/>
    <s v="Yes"/>
    <x v="0"/>
    <n v="3250.45"/>
    <x v="2"/>
    <s v="High Spend"/>
  </r>
  <r>
    <s v="0975-VOOVL"/>
    <s v="Female"/>
    <x v="0"/>
    <n v="3"/>
    <x v="0"/>
    <x v="0"/>
    <n v="29.2"/>
    <n v="98.5"/>
    <x v="0"/>
    <s v="No"/>
    <x v="1"/>
    <n v="98.5"/>
    <x v="0"/>
    <s v="Standard Spend"/>
  </r>
  <r>
    <s v="5968-VXZLG"/>
    <s v="Male"/>
    <x v="0"/>
    <n v="2"/>
    <x v="0"/>
    <x v="0"/>
    <n v="46.6"/>
    <n v="87.9"/>
    <x v="0"/>
    <s v="Yes"/>
    <x v="2"/>
    <n v="87.9"/>
    <x v="0"/>
    <s v="Standard Spend"/>
  </r>
  <r>
    <s v="5569-KGJHX"/>
    <s v="Female"/>
    <x v="0"/>
    <n v="9"/>
    <x v="1"/>
    <x v="0"/>
    <n v="85.35"/>
    <n v="754.65"/>
    <x v="1"/>
    <s v="Yes"/>
    <x v="2"/>
    <n v="754.65"/>
    <x v="0"/>
    <s v="Standard Spend"/>
  </r>
  <r>
    <s v="4988-IQIGL"/>
    <s v="Male"/>
    <x v="0"/>
    <n v="1"/>
    <x v="1"/>
    <x v="0"/>
    <n v="75.349999999999994"/>
    <n v="75.349999999999994"/>
    <x v="1"/>
    <s v="Yes"/>
    <x v="0"/>
    <n v="75.349999999999994"/>
    <x v="0"/>
    <s v="Standard Spend"/>
  </r>
  <r>
    <s v="5201-FRKKS"/>
    <s v="Male"/>
    <x v="0"/>
    <n v="25"/>
    <x v="1"/>
    <x v="0"/>
    <n v="74.3"/>
    <n v="1952.25"/>
    <x v="0"/>
    <s v="No"/>
    <x v="2"/>
    <n v="1952.25"/>
    <x v="1"/>
    <s v="Standard Spend"/>
  </r>
  <r>
    <s v="9799-CAYJJ"/>
    <s v="Female"/>
    <x v="0"/>
    <n v="2"/>
    <x v="1"/>
    <x v="0"/>
    <n v="69.3"/>
    <n v="153.80000000000001"/>
    <x v="0"/>
    <s v="Yes"/>
    <x v="0"/>
    <n v="153.80000000000001"/>
    <x v="0"/>
    <s v="Standard Spend"/>
  </r>
  <r>
    <s v="7730-IUTDZ"/>
    <s v="Male"/>
    <x v="0"/>
    <n v="43"/>
    <x v="1"/>
    <x v="0"/>
    <n v="75.2"/>
    <n v="3198.6"/>
    <x v="1"/>
    <s v="Yes"/>
    <x v="0"/>
    <n v="3198.6"/>
    <x v="2"/>
    <s v="High Spend"/>
  </r>
  <r>
    <s v="0426-TIRNE"/>
    <s v="Female"/>
    <x v="0"/>
    <n v="1"/>
    <x v="2"/>
    <x v="2"/>
    <n v="20.9"/>
    <n v="20.9"/>
    <x v="1"/>
    <s v="No"/>
    <x v="1"/>
    <n v="20.9"/>
    <x v="0"/>
    <s v="Standard Spend"/>
  </r>
  <r>
    <s v="5443-SCMKX"/>
    <s v="Female"/>
    <x v="1"/>
    <n v="58"/>
    <x v="1"/>
    <x v="0"/>
    <n v="94.3"/>
    <n v="5610.15"/>
    <x v="0"/>
    <s v="Yes"/>
    <x v="0"/>
    <n v="5610.15"/>
    <x v="2"/>
    <s v="High Spend"/>
  </r>
  <r>
    <s v="8295-KMENE"/>
    <s v="Female"/>
    <x v="2"/>
    <n v="59"/>
    <x v="0"/>
    <x v="1"/>
    <n v="76.45"/>
    <n v="4519.5"/>
    <x v="0"/>
    <s v="Yes"/>
    <x v="1"/>
    <n v="4519.5"/>
    <x v="2"/>
    <s v="High Spend"/>
  </r>
  <r>
    <s v="6738-ISCBM"/>
    <s v="Male"/>
    <x v="1"/>
    <n v="44"/>
    <x v="0"/>
    <x v="0"/>
    <n v="54"/>
    <n v="2440.25"/>
    <x v="0"/>
    <s v="Yes"/>
    <x v="0"/>
    <n v="2440.25"/>
    <x v="2"/>
    <s v="Standard Spend"/>
  </r>
  <r>
    <s v="9821-BESNZ"/>
    <s v="Male"/>
    <x v="1"/>
    <n v="66"/>
    <x v="1"/>
    <x v="1"/>
    <n v="104.25"/>
    <n v="6860.6"/>
    <x v="0"/>
    <s v="Yes"/>
    <x v="0"/>
    <n v="6860.6"/>
    <x v="2"/>
    <s v="High Spend"/>
  </r>
  <r>
    <s v="3678-MNGZX"/>
    <s v="Male"/>
    <x v="2"/>
    <n v="68"/>
    <x v="2"/>
    <x v="2"/>
    <n v="19.95"/>
    <n v="1377.7"/>
    <x v="0"/>
    <s v="No"/>
    <x v="2"/>
    <n v="1377.7"/>
    <x v="2"/>
    <s v="Standard Spend"/>
  </r>
  <r>
    <s v="1335-NTIUC"/>
    <s v="Male"/>
    <x v="0"/>
    <n v="9"/>
    <x v="0"/>
    <x v="0"/>
    <n v="24.95"/>
    <n v="190.25"/>
    <x v="0"/>
    <s v="Yes"/>
    <x v="0"/>
    <n v="190.25"/>
    <x v="0"/>
    <s v="Standard Spend"/>
  </r>
  <r>
    <s v="2916-BQZLN"/>
    <s v="Male"/>
    <x v="0"/>
    <n v="19"/>
    <x v="1"/>
    <x v="0"/>
    <n v="84.75"/>
    <n v="1651.95"/>
    <x v="0"/>
    <s v="Yes"/>
    <x v="0"/>
    <n v="1651.95"/>
    <x v="1"/>
    <s v="Standard Spend"/>
  </r>
  <r>
    <s v="4558-CGYCZ"/>
    <s v="Male"/>
    <x v="0"/>
    <n v="4"/>
    <x v="2"/>
    <x v="2"/>
    <n v="19.75"/>
    <n v="78.3"/>
    <x v="0"/>
    <s v="No"/>
    <x v="1"/>
    <n v="78.3"/>
    <x v="0"/>
    <s v="Standard Spend"/>
  </r>
  <r>
    <s v="2368-GAKKQ"/>
    <s v="Female"/>
    <x v="2"/>
    <n v="70"/>
    <x v="1"/>
    <x v="1"/>
    <n v="113.65"/>
    <n v="7939.25"/>
    <x v="0"/>
    <s v="Yes"/>
    <x v="2"/>
    <n v="7939.25"/>
    <x v="2"/>
    <s v="High Spend"/>
  </r>
  <r>
    <s v="8710-YGLWG"/>
    <s v="Male"/>
    <x v="0"/>
    <n v="1"/>
    <x v="0"/>
    <x v="0"/>
    <n v="44.9"/>
    <n v="44.9"/>
    <x v="0"/>
    <s v="Yes"/>
    <x v="1"/>
    <n v="44.9"/>
    <x v="0"/>
    <s v="Standard Spend"/>
  </r>
  <r>
    <s v="3199-XGZCY"/>
    <s v="Female"/>
    <x v="0"/>
    <n v="8"/>
    <x v="1"/>
    <x v="0"/>
    <n v="75.25"/>
    <n v="576.70000000000005"/>
    <x v="0"/>
    <s v="Yes"/>
    <x v="0"/>
    <n v="576.70000000000005"/>
    <x v="0"/>
    <s v="Standard Spend"/>
  </r>
  <r>
    <s v="3785-KTYSH"/>
    <s v="Male"/>
    <x v="2"/>
    <n v="53"/>
    <x v="2"/>
    <x v="2"/>
    <n v="24.6"/>
    <n v="1279"/>
    <x v="0"/>
    <s v="No"/>
    <x v="1"/>
    <n v="1279"/>
    <x v="2"/>
    <s v="Standard Spend"/>
  </r>
  <r>
    <s v="6814-ZPWFQ"/>
    <s v="Male"/>
    <x v="1"/>
    <n v="51"/>
    <x v="2"/>
    <x v="2"/>
    <n v="25"/>
    <n v="1260.7"/>
    <x v="0"/>
    <s v="No"/>
    <x v="2"/>
    <n v="1260.7"/>
    <x v="2"/>
    <s v="Standard Spend"/>
  </r>
  <r>
    <s v="4063-EIKNQ"/>
    <s v="Male"/>
    <x v="0"/>
    <n v="11"/>
    <x v="2"/>
    <x v="2"/>
    <n v="20.95"/>
    <n v="267.35000000000002"/>
    <x v="0"/>
    <s v="No"/>
    <x v="2"/>
    <n v="267.35000000000002"/>
    <x v="0"/>
    <s v="Standard Spend"/>
  </r>
  <r>
    <s v="6993-YCOBK"/>
    <s v="Male"/>
    <x v="2"/>
    <n v="60"/>
    <x v="1"/>
    <x v="1"/>
    <n v="110.6"/>
    <n v="6586.85"/>
    <x v="0"/>
    <s v="Yes"/>
    <x v="0"/>
    <n v="6586.85"/>
    <x v="2"/>
    <s v="High Spend"/>
  </r>
  <r>
    <s v="5206-HPJKM"/>
    <s v="Male"/>
    <x v="0"/>
    <n v="17"/>
    <x v="0"/>
    <x v="0"/>
    <n v="55.5"/>
    <n v="934.15"/>
    <x v="0"/>
    <s v="Yes"/>
    <x v="3"/>
    <n v="934.15"/>
    <x v="1"/>
    <s v="Standard Spend"/>
  </r>
  <r>
    <s v="7587-RZNME"/>
    <s v="Male"/>
    <x v="0"/>
    <n v="3"/>
    <x v="0"/>
    <x v="0"/>
    <n v="43.3"/>
    <n v="123.65"/>
    <x v="1"/>
    <s v="Yes"/>
    <x v="0"/>
    <n v="123.65"/>
    <x v="0"/>
    <s v="Standard Spend"/>
  </r>
  <r>
    <s v="0748-RDGGM"/>
    <s v="Male"/>
    <x v="1"/>
    <n v="70"/>
    <x v="1"/>
    <x v="1"/>
    <n v="109.5"/>
    <n v="7534.65"/>
    <x v="1"/>
    <s v="Yes"/>
    <x v="2"/>
    <n v="7534.65"/>
    <x v="2"/>
    <s v="High Spend"/>
  </r>
  <r>
    <s v="8393-JMVMB"/>
    <s v="Male"/>
    <x v="0"/>
    <n v="1"/>
    <x v="2"/>
    <x v="2"/>
    <n v="19.45"/>
    <n v="19.45"/>
    <x v="0"/>
    <s v="No"/>
    <x v="1"/>
    <n v="19.45"/>
    <x v="0"/>
    <s v="Standard Spend"/>
  </r>
  <r>
    <s v="5019-GQVCR"/>
    <s v="Male"/>
    <x v="0"/>
    <n v="43"/>
    <x v="1"/>
    <x v="0"/>
    <n v="84.85"/>
    <n v="3645.6"/>
    <x v="0"/>
    <s v="Yes"/>
    <x v="0"/>
    <n v="3645.6"/>
    <x v="2"/>
    <s v="High Spend"/>
  </r>
  <r>
    <s v="6036-TTFYU"/>
    <s v="Female"/>
    <x v="0"/>
    <n v="16"/>
    <x v="2"/>
    <x v="2"/>
    <n v="19.600000000000001"/>
    <n v="314.45"/>
    <x v="0"/>
    <s v="No"/>
    <x v="1"/>
    <n v="314.45"/>
    <x v="1"/>
    <s v="Standard Spend"/>
  </r>
  <r>
    <s v="2550-AEVRU"/>
    <s v="Female"/>
    <x v="1"/>
    <n v="57"/>
    <x v="0"/>
    <x v="0"/>
    <n v="53.45"/>
    <n v="3053"/>
    <x v="0"/>
    <s v="No"/>
    <x v="0"/>
    <n v="3053"/>
    <x v="2"/>
    <s v="High Spend"/>
  </r>
  <r>
    <s v="0969-RGKCU"/>
    <s v="Male"/>
    <x v="1"/>
    <n v="37"/>
    <x v="2"/>
    <x v="2"/>
    <n v="19.8"/>
    <n v="677.05"/>
    <x v="0"/>
    <s v="No"/>
    <x v="3"/>
    <n v="677.05"/>
    <x v="2"/>
    <s v="Standard Spend"/>
  </r>
  <r>
    <s v="0378-CJKPV"/>
    <s v="Female"/>
    <x v="2"/>
    <n v="72"/>
    <x v="1"/>
    <x v="1"/>
    <n v="112.1"/>
    <n v="7965.95"/>
    <x v="0"/>
    <s v="No"/>
    <x v="3"/>
    <n v="7965.95"/>
    <x v="2"/>
    <s v="High Spend"/>
  </r>
  <r>
    <s v="4706-AXVKM"/>
    <s v="Female"/>
    <x v="0"/>
    <n v="11"/>
    <x v="1"/>
    <x v="0"/>
    <n v="84.8"/>
    <n v="906.85"/>
    <x v="1"/>
    <s v="Yes"/>
    <x v="3"/>
    <n v="906.85"/>
    <x v="0"/>
    <s v="Standard Spend"/>
  </r>
  <r>
    <s v="5889-JTMUL"/>
    <s v="Female"/>
    <x v="0"/>
    <n v="50"/>
    <x v="1"/>
    <x v="0"/>
    <n v="95.05"/>
    <n v="4888.7"/>
    <x v="1"/>
    <s v="Yes"/>
    <x v="0"/>
    <n v="4888.7"/>
    <x v="2"/>
    <s v="High Spend"/>
  </r>
  <r>
    <s v="9026-RNUJS"/>
    <s v="Male"/>
    <x v="0"/>
    <n v="5"/>
    <x v="0"/>
    <x v="0"/>
    <n v="50.35"/>
    <n v="237.25"/>
    <x v="1"/>
    <s v="No"/>
    <x v="0"/>
    <n v="237.25"/>
    <x v="0"/>
    <s v="Standard Spend"/>
  </r>
  <r>
    <s v="3746-EUBYR"/>
    <s v="Male"/>
    <x v="0"/>
    <n v="1"/>
    <x v="1"/>
    <x v="0"/>
    <n v="74.599999999999994"/>
    <n v="74.599999999999994"/>
    <x v="1"/>
    <s v="Yes"/>
    <x v="2"/>
    <n v="74.599999999999994"/>
    <x v="0"/>
    <s v="Standard Spend"/>
  </r>
  <r>
    <s v="2332-EFBJY"/>
    <s v="Male"/>
    <x v="0"/>
    <n v="16"/>
    <x v="2"/>
    <x v="2"/>
    <n v="19.7"/>
    <n v="342.4"/>
    <x v="1"/>
    <s v="Yes"/>
    <x v="1"/>
    <n v="342.4"/>
    <x v="1"/>
    <s v="Standard Spend"/>
  </r>
  <r>
    <s v="2880-FPNAE"/>
    <s v="Male"/>
    <x v="0"/>
    <n v="2"/>
    <x v="1"/>
    <x v="0"/>
    <n v="74.2"/>
    <n v="140.1"/>
    <x v="0"/>
    <s v="Yes"/>
    <x v="0"/>
    <n v="140.1"/>
    <x v="0"/>
    <s v="Standard Spend"/>
  </r>
  <r>
    <s v="1703-MGIAB"/>
    <s v="Female"/>
    <x v="0"/>
    <n v="17"/>
    <x v="0"/>
    <x v="1"/>
    <n v="69"/>
    <n v="1108"/>
    <x v="0"/>
    <s v="Yes"/>
    <x v="1"/>
    <n v="1108"/>
    <x v="1"/>
    <s v="Standard Spend"/>
  </r>
  <r>
    <s v="4311-QTTAI"/>
    <s v="Female"/>
    <x v="1"/>
    <n v="16"/>
    <x v="2"/>
    <x v="2"/>
    <n v="19.350000000000001"/>
    <n v="295.55"/>
    <x v="0"/>
    <s v="No"/>
    <x v="3"/>
    <n v="295.55"/>
    <x v="1"/>
    <s v="Standard Spend"/>
  </r>
  <r>
    <s v="9474-PHLYD"/>
    <s v="Female"/>
    <x v="0"/>
    <n v="15"/>
    <x v="0"/>
    <x v="0"/>
    <n v="59.45"/>
    <n v="892.65"/>
    <x v="1"/>
    <s v="Yes"/>
    <x v="0"/>
    <n v="892.65"/>
    <x v="1"/>
    <s v="Standard Spend"/>
  </r>
  <r>
    <s v="4318-RAJVY"/>
    <s v="Female"/>
    <x v="1"/>
    <n v="10"/>
    <x v="2"/>
    <x v="2"/>
    <n v="19.8"/>
    <n v="198.25"/>
    <x v="0"/>
    <s v="Yes"/>
    <x v="1"/>
    <n v="198.25"/>
    <x v="0"/>
    <s v="Standard Spend"/>
  </r>
  <r>
    <s v="2165-VOEGB"/>
    <s v="Female"/>
    <x v="1"/>
    <n v="46"/>
    <x v="1"/>
    <x v="1"/>
    <n v="105.2"/>
    <n v="4822.8500000000004"/>
    <x v="1"/>
    <s v="Yes"/>
    <x v="2"/>
    <n v="4822.8500000000004"/>
    <x v="2"/>
    <s v="High Spend"/>
  </r>
  <r>
    <s v="3612-YUNGG"/>
    <s v="Male"/>
    <x v="2"/>
    <n v="64"/>
    <x v="1"/>
    <x v="1"/>
    <n v="109.2"/>
    <n v="6741.15"/>
    <x v="0"/>
    <s v="Yes"/>
    <x v="3"/>
    <n v="6741.15"/>
    <x v="2"/>
    <s v="High Spend"/>
  </r>
  <r>
    <s v="2254-DLXRI"/>
    <s v="Female"/>
    <x v="0"/>
    <n v="1"/>
    <x v="1"/>
    <x v="0"/>
    <n v="79.150000000000006"/>
    <n v="79.150000000000006"/>
    <x v="0"/>
    <s v="Yes"/>
    <x v="1"/>
    <n v="79.150000000000006"/>
    <x v="0"/>
    <s v="Standard Spend"/>
  </r>
  <r>
    <s v="5062-CJJKH"/>
    <s v="Male"/>
    <x v="1"/>
    <n v="25"/>
    <x v="0"/>
    <x v="0"/>
    <n v="53.65"/>
    <n v="1355.45"/>
    <x v="0"/>
    <s v="No"/>
    <x v="1"/>
    <n v="1355.45"/>
    <x v="1"/>
    <s v="Standard Spend"/>
  </r>
  <r>
    <s v="9028-LIHRP"/>
    <s v="Male"/>
    <x v="2"/>
    <n v="71"/>
    <x v="1"/>
    <x v="1"/>
    <n v="100.2"/>
    <n v="7209"/>
    <x v="0"/>
    <s v="No"/>
    <x v="3"/>
    <n v="7209"/>
    <x v="2"/>
    <s v="High Spend"/>
  </r>
  <r>
    <s v="2219-MVUSO"/>
    <s v="Male"/>
    <x v="0"/>
    <n v="8"/>
    <x v="0"/>
    <x v="0"/>
    <n v="45.15"/>
    <n v="438.4"/>
    <x v="1"/>
    <s v="Yes"/>
    <x v="1"/>
    <n v="438.4"/>
    <x v="0"/>
    <s v="Standard Spend"/>
  </r>
  <r>
    <s v="1053-MXTTK"/>
    <s v="Female"/>
    <x v="2"/>
    <n v="72"/>
    <x v="1"/>
    <x v="1"/>
    <n v="108.65"/>
    <n v="7726.35"/>
    <x v="0"/>
    <s v="Yes"/>
    <x v="2"/>
    <n v="7726.35"/>
    <x v="2"/>
    <s v="High Spend"/>
  </r>
  <r>
    <s v="1530-ZTDOZ"/>
    <s v="Female"/>
    <x v="0"/>
    <n v="49"/>
    <x v="0"/>
    <x v="0"/>
    <n v="40.65"/>
    <n v="2070.75"/>
    <x v="0"/>
    <s v="No"/>
    <x v="2"/>
    <n v="2070.75"/>
    <x v="2"/>
    <s v="Standard Spend"/>
  </r>
  <r>
    <s v="1301-LOPVR"/>
    <s v="Male"/>
    <x v="1"/>
    <n v="29"/>
    <x v="0"/>
    <x v="1"/>
    <n v="55.35"/>
    <n v="1636.95"/>
    <x v="0"/>
    <s v="Yes"/>
    <x v="3"/>
    <n v="1636.95"/>
    <x v="1"/>
    <s v="Standard Spend"/>
  </r>
  <r>
    <s v="0853-TWRVK"/>
    <s v="Male"/>
    <x v="2"/>
    <n v="72"/>
    <x v="1"/>
    <x v="1"/>
    <n v="105.6"/>
    <n v="7581.5"/>
    <x v="0"/>
    <s v="No"/>
    <x v="2"/>
    <n v="7581.5"/>
    <x v="2"/>
    <s v="High Spend"/>
  </r>
  <r>
    <s v="8914-RBTSB"/>
    <s v="Male"/>
    <x v="0"/>
    <n v="31"/>
    <x v="1"/>
    <x v="0"/>
    <n v="93.8"/>
    <n v="3019.5"/>
    <x v="1"/>
    <s v="No"/>
    <x v="0"/>
    <n v="3019.5"/>
    <x v="1"/>
    <s v="High Spend"/>
  </r>
  <r>
    <s v="6212-ATMLK"/>
    <s v="Female"/>
    <x v="0"/>
    <n v="50"/>
    <x v="1"/>
    <x v="0"/>
    <n v="95.7"/>
    <n v="4729.75"/>
    <x v="0"/>
    <s v="Yes"/>
    <x v="0"/>
    <n v="4729.75"/>
    <x v="2"/>
    <s v="High Spend"/>
  </r>
  <r>
    <s v="8200-LGKSR"/>
    <s v="Male"/>
    <x v="2"/>
    <n v="71"/>
    <x v="0"/>
    <x v="1"/>
    <n v="83.2"/>
    <n v="6126.1"/>
    <x v="0"/>
    <s v="No"/>
    <x v="0"/>
    <n v="6126.1"/>
    <x v="2"/>
    <s v="High Spend"/>
  </r>
  <r>
    <s v="1568-BEKZM"/>
    <s v="Male"/>
    <x v="2"/>
    <n v="70"/>
    <x v="0"/>
    <x v="1"/>
    <n v="90.05"/>
    <n v="6333.4"/>
    <x v="0"/>
    <s v="No"/>
    <x v="3"/>
    <n v="6333.4"/>
    <x v="2"/>
    <s v="High Spend"/>
  </r>
  <r>
    <s v="0670-ANMUU"/>
    <s v="Male"/>
    <x v="1"/>
    <n v="71"/>
    <x v="1"/>
    <x v="1"/>
    <n v="97.65"/>
    <n v="6687.85"/>
    <x v="0"/>
    <s v="No"/>
    <x v="3"/>
    <n v="6687.85"/>
    <x v="2"/>
    <s v="High Spend"/>
  </r>
  <r>
    <s v="6897-RWMUB"/>
    <s v="Male"/>
    <x v="2"/>
    <n v="61"/>
    <x v="0"/>
    <x v="1"/>
    <n v="68.05"/>
    <n v="4158.25"/>
    <x v="0"/>
    <s v="Yes"/>
    <x v="2"/>
    <n v="4158.25"/>
    <x v="2"/>
    <s v="High Spend"/>
  </r>
  <r>
    <s v="0963-ZBDRN"/>
    <s v="Male"/>
    <x v="0"/>
    <n v="32"/>
    <x v="1"/>
    <x v="1"/>
    <n v="96.2"/>
    <n v="3183.4"/>
    <x v="1"/>
    <s v="Yes"/>
    <x v="0"/>
    <n v="3183.4"/>
    <x v="1"/>
    <s v="High Spend"/>
  </r>
  <r>
    <s v="7594-RQHXR"/>
    <s v="Female"/>
    <x v="0"/>
    <n v="1"/>
    <x v="1"/>
    <x v="0"/>
    <n v="79.599999999999994"/>
    <n v="79.599999999999994"/>
    <x v="1"/>
    <s v="Yes"/>
    <x v="0"/>
    <n v="79.599999999999994"/>
    <x v="0"/>
    <s v="Standard Spend"/>
  </r>
  <r>
    <s v="6999-CHVCF"/>
    <s v="Male"/>
    <x v="2"/>
    <n v="68"/>
    <x v="1"/>
    <x v="0"/>
    <n v="102.1"/>
    <n v="7149.35"/>
    <x v="0"/>
    <s v="Yes"/>
    <x v="2"/>
    <n v="7149.35"/>
    <x v="2"/>
    <s v="High Spend"/>
  </r>
  <r>
    <s v="6134-KWTBV"/>
    <s v="Male"/>
    <x v="2"/>
    <n v="62"/>
    <x v="2"/>
    <x v="2"/>
    <n v="23.4"/>
    <n v="1429.65"/>
    <x v="0"/>
    <s v="No"/>
    <x v="2"/>
    <n v="1429.65"/>
    <x v="2"/>
    <s v="Standard Spend"/>
  </r>
  <r>
    <s v="1077-HUUJM"/>
    <s v="Female"/>
    <x v="0"/>
    <n v="7"/>
    <x v="1"/>
    <x v="0"/>
    <n v="71.05"/>
    <n v="472.65"/>
    <x v="0"/>
    <s v="Yes"/>
    <x v="0"/>
    <n v="472.65"/>
    <x v="0"/>
    <s v="Standard Spend"/>
  </r>
  <r>
    <s v="6331-EWIEB"/>
    <s v="Male"/>
    <x v="0"/>
    <n v="20"/>
    <x v="1"/>
    <x v="0"/>
    <n v="85.25"/>
    <n v="1734.5"/>
    <x v="1"/>
    <s v="Yes"/>
    <x v="0"/>
    <n v="1734.5"/>
    <x v="1"/>
    <s v="Standard Spend"/>
  </r>
  <r>
    <s v="0895-LNKRC"/>
    <s v="Male"/>
    <x v="1"/>
    <n v="6"/>
    <x v="2"/>
    <x v="2"/>
    <n v="19.45"/>
    <n v="113.5"/>
    <x v="0"/>
    <s v="No"/>
    <x v="1"/>
    <n v="113.5"/>
    <x v="0"/>
    <s v="Standard Spend"/>
  </r>
  <r>
    <s v="2045-BMBTJ"/>
    <s v="Female"/>
    <x v="0"/>
    <n v="33"/>
    <x v="0"/>
    <x v="0"/>
    <n v="59.45"/>
    <n v="1884.65"/>
    <x v="0"/>
    <s v="Yes"/>
    <x v="2"/>
    <n v="1884.65"/>
    <x v="1"/>
    <s v="Standard Spend"/>
  </r>
  <r>
    <s v="8417-GSODA"/>
    <s v="Male"/>
    <x v="1"/>
    <n v="28"/>
    <x v="1"/>
    <x v="0"/>
    <n v="92.2"/>
    <n v="2568.15"/>
    <x v="0"/>
    <s v="No"/>
    <x v="2"/>
    <n v="2568.15"/>
    <x v="1"/>
    <s v="High Spend"/>
  </r>
  <r>
    <s v="5171-EPLKN"/>
    <s v="Male"/>
    <x v="2"/>
    <n v="27"/>
    <x v="2"/>
    <x v="2"/>
    <n v="19.850000000000001"/>
    <n v="470"/>
    <x v="0"/>
    <s v="No"/>
    <x v="3"/>
    <n v="470"/>
    <x v="1"/>
    <s v="Standard Spend"/>
  </r>
  <r>
    <s v="4452-QIIEB"/>
    <s v="Male"/>
    <x v="0"/>
    <n v="7"/>
    <x v="0"/>
    <x v="0"/>
    <n v="43.9"/>
    <n v="278.39999999999998"/>
    <x v="0"/>
    <s v="No"/>
    <x v="1"/>
    <n v="278.39999999999998"/>
    <x v="0"/>
    <s v="Standard Spend"/>
  </r>
  <r>
    <s v="5998-VVEJY"/>
    <s v="Male"/>
    <x v="0"/>
    <n v="26"/>
    <x v="1"/>
    <x v="1"/>
    <n v="80.5"/>
    <n v="2088.8000000000002"/>
    <x v="1"/>
    <s v="Yes"/>
    <x v="0"/>
    <n v="2088.8000000000002"/>
    <x v="1"/>
    <s v="Standard Spend"/>
  </r>
  <r>
    <s v="1624-NALOJ"/>
    <s v="Male"/>
    <x v="0"/>
    <n v="5"/>
    <x v="1"/>
    <x v="0"/>
    <n v="89.8"/>
    <n v="502.6"/>
    <x v="1"/>
    <s v="Yes"/>
    <x v="0"/>
    <n v="502.6"/>
    <x v="0"/>
    <s v="Standard Spend"/>
  </r>
  <r>
    <s v="6741-EGCBI"/>
    <s v="Male"/>
    <x v="0"/>
    <n v="30"/>
    <x v="1"/>
    <x v="0"/>
    <n v="90.5"/>
    <n v="2595.85"/>
    <x v="0"/>
    <s v="Yes"/>
    <x v="3"/>
    <n v="2595.85"/>
    <x v="1"/>
    <s v="High Spend"/>
  </r>
  <r>
    <s v="7820-ZYGNY"/>
    <s v="Male"/>
    <x v="1"/>
    <n v="63"/>
    <x v="1"/>
    <x v="0"/>
    <n v="90.45"/>
    <n v="5825.5"/>
    <x v="0"/>
    <s v="No"/>
    <x v="3"/>
    <n v="5825.5"/>
    <x v="2"/>
    <s v="High Spend"/>
  </r>
  <r>
    <s v="4317-VTEOA"/>
    <s v="Male"/>
    <x v="0"/>
    <n v="1"/>
    <x v="0"/>
    <x v="0"/>
    <n v="50.75"/>
    <n v="50.75"/>
    <x v="1"/>
    <s v="Yes"/>
    <x v="0"/>
    <n v="50.75"/>
    <x v="0"/>
    <s v="Standard Spend"/>
  </r>
  <r>
    <s v="9677-AVKED"/>
    <s v="Female"/>
    <x v="1"/>
    <n v="53"/>
    <x v="0"/>
    <x v="1"/>
    <n v="84.6"/>
    <n v="4449.75"/>
    <x v="0"/>
    <s v="Yes"/>
    <x v="0"/>
    <n v="4449.75"/>
    <x v="2"/>
    <s v="High Spend"/>
  </r>
  <r>
    <s v="1670-SVOWZ"/>
    <s v="Female"/>
    <x v="0"/>
    <n v="14"/>
    <x v="1"/>
    <x v="1"/>
    <n v="89.65"/>
    <n v="1208.3499999999999"/>
    <x v="1"/>
    <s v="Yes"/>
    <x v="3"/>
    <n v="1208.3499999999999"/>
    <x v="1"/>
    <s v="Standard Spend"/>
  </r>
  <r>
    <s v="2227-JRSJX"/>
    <s v="Female"/>
    <x v="0"/>
    <n v="21"/>
    <x v="1"/>
    <x v="1"/>
    <n v="99.15"/>
    <n v="1956.4"/>
    <x v="0"/>
    <s v="Yes"/>
    <x v="2"/>
    <n v="1956.4"/>
    <x v="1"/>
    <s v="Standard Spend"/>
  </r>
  <r>
    <s v="9847-HNVGP"/>
    <s v="Male"/>
    <x v="1"/>
    <n v="17"/>
    <x v="2"/>
    <x v="2"/>
    <n v="19.95"/>
    <n v="310.60000000000002"/>
    <x v="0"/>
    <s v="No"/>
    <x v="1"/>
    <n v="310.60000000000002"/>
    <x v="1"/>
    <s v="Standard Spend"/>
  </r>
  <r>
    <s v="6696-YDAYZ"/>
    <s v="Male"/>
    <x v="2"/>
    <n v="16"/>
    <x v="2"/>
    <x v="2"/>
    <n v="20.5"/>
    <n v="290.55"/>
    <x v="0"/>
    <s v="No"/>
    <x v="1"/>
    <n v="290.55"/>
    <x v="1"/>
    <s v="Standard Spend"/>
  </r>
  <r>
    <s v="8980-WQFWL"/>
    <s v="Female"/>
    <x v="0"/>
    <n v="35"/>
    <x v="0"/>
    <x v="0"/>
    <n v="62.1"/>
    <n v="2096.1"/>
    <x v="0"/>
    <s v="Yes"/>
    <x v="0"/>
    <n v="2096.1"/>
    <x v="1"/>
    <s v="Standard Spend"/>
  </r>
  <r>
    <s v="1730-ZMAME"/>
    <s v="Female"/>
    <x v="0"/>
    <n v="32"/>
    <x v="1"/>
    <x v="0"/>
    <n v="79.5"/>
    <n v="2665"/>
    <x v="0"/>
    <s v="Yes"/>
    <x v="0"/>
    <n v="2665"/>
    <x v="1"/>
    <s v="High Spend"/>
  </r>
  <r>
    <s v="6506-EYCNH"/>
    <s v="Female"/>
    <x v="0"/>
    <n v="28"/>
    <x v="2"/>
    <x v="2"/>
    <n v="19.55"/>
    <n v="543.79999999999995"/>
    <x v="0"/>
    <s v="Yes"/>
    <x v="2"/>
    <n v="543.79999999999995"/>
    <x v="1"/>
    <s v="Standard Spend"/>
  </r>
  <r>
    <s v="4634-JLRJT"/>
    <s v="Female"/>
    <x v="0"/>
    <n v="1"/>
    <x v="2"/>
    <x v="2"/>
    <n v="20.350000000000001"/>
    <n v="20.350000000000001"/>
    <x v="0"/>
    <s v="Yes"/>
    <x v="1"/>
    <n v="20.350000000000001"/>
    <x v="0"/>
    <s v="Standard Spend"/>
  </r>
  <r>
    <s v="9501-UKKNL"/>
    <s v="Male"/>
    <x v="0"/>
    <n v="59"/>
    <x v="0"/>
    <x v="1"/>
    <n v="51.7"/>
    <n v="3005.8"/>
    <x v="0"/>
    <s v="Yes"/>
    <x v="0"/>
    <n v="3005.8"/>
    <x v="2"/>
    <s v="High Spend"/>
  </r>
  <r>
    <s v="2560-QTSBS"/>
    <s v="Female"/>
    <x v="1"/>
    <n v="72"/>
    <x v="2"/>
    <x v="2"/>
    <n v="23.3"/>
    <n v="1623.15"/>
    <x v="0"/>
    <s v="Yes"/>
    <x v="2"/>
    <n v="1623.15"/>
    <x v="2"/>
    <s v="Standard Spend"/>
  </r>
  <r>
    <s v="7541-YLXCL"/>
    <s v="Male"/>
    <x v="1"/>
    <n v="36"/>
    <x v="0"/>
    <x v="1"/>
    <n v="65.400000000000006"/>
    <n v="2498.4"/>
    <x v="1"/>
    <s v="Yes"/>
    <x v="1"/>
    <n v="2498.4"/>
    <x v="1"/>
    <s v="Standard Spend"/>
  </r>
  <r>
    <s v="4795-WRNVT"/>
    <s v="Female"/>
    <x v="0"/>
    <n v="40"/>
    <x v="0"/>
    <x v="0"/>
    <n v="65.099999999999994"/>
    <n v="2586"/>
    <x v="0"/>
    <s v="No"/>
    <x v="1"/>
    <n v="2586"/>
    <x v="2"/>
    <s v="High Spend"/>
  </r>
  <r>
    <s v="6080-TCMYC"/>
    <s v="Male"/>
    <x v="0"/>
    <n v="40"/>
    <x v="1"/>
    <x v="0"/>
    <n v="81.2"/>
    <n v="3292.3"/>
    <x v="0"/>
    <s v="Yes"/>
    <x v="0"/>
    <n v="3292.3"/>
    <x v="2"/>
    <s v="High Spend"/>
  </r>
  <r>
    <s v="0260-ZDLGK"/>
    <s v="Female"/>
    <x v="0"/>
    <n v="9"/>
    <x v="0"/>
    <x v="1"/>
    <n v="72.900000000000006"/>
    <n v="651.4"/>
    <x v="1"/>
    <s v="Yes"/>
    <x v="1"/>
    <n v="651.4"/>
    <x v="0"/>
    <s v="Standard Spend"/>
  </r>
  <r>
    <s v="7860-UXCRM"/>
    <s v="Male"/>
    <x v="2"/>
    <n v="63"/>
    <x v="0"/>
    <x v="1"/>
    <n v="74.5"/>
    <n v="4674.55"/>
    <x v="0"/>
    <s v="No"/>
    <x v="3"/>
    <n v="4674.55"/>
    <x v="2"/>
    <s v="High Spend"/>
  </r>
  <r>
    <s v="6357-JJPQT"/>
    <s v="Female"/>
    <x v="0"/>
    <n v="3"/>
    <x v="1"/>
    <x v="0"/>
    <n v="80.5"/>
    <n v="232.35"/>
    <x v="0"/>
    <s v="Yes"/>
    <x v="0"/>
    <n v="232.35"/>
    <x v="0"/>
    <s v="Standard Spend"/>
  </r>
  <r>
    <s v="2292-XQWSV"/>
    <s v="Male"/>
    <x v="1"/>
    <n v="40"/>
    <x v="0"/>
    <x v="1"/>
    <n v="60.3"/>
    <n v="2448.5"/>
    <x v="0"/>
    <s v="No"/>
    <x v="1"/>
    <n v="2448.5"/>
    <x v="2"/>
    <s v="Standard Spend"/>
  </r>
  <r>
    <s v="9552-TGUZV"/>
    <s v="Male"/>
    <x v="0"/>
    <n v="8"/>
    <x v="1"/>
    <x v="0"/>
    <n v="75"/>
    <n v="658.1"/>
    <x v="0"/>
    <s v="Yes"/>
    <x v="1"/>
    <n v="658.1"/>
    <x v="0"/>
    <s v="Standard Spend"/>
  </r>
  <r>
    <s v="5913-INRQV"/>
    <s v="Male"/>
    <x v="1"/>
    <n v="34"/>
    <x v="1"/>
    <x v="1"/>
    <n v="90.15"/>
    <n v="3128.8"/>
    <x v="0"/>
    <s v="No"/>
    <x v="1"/>
    <n v="3128.8"/>
    <x v="1"/>
    <s v="High Spend"/>
  </r>
  <r>
    <s v="8722-NGNBH"/>
    <s v="Male"/>
    <x v="0"/>
    <n v="5"/>
    <x v="0"/>
    <x v="1"/>
    <n v="40"/>
    <n v="223.45"/>
    <x v="1"/>
    <s v="No"/>
    <x v="1"/>
    <n v="223.45"/>
    <x v="0"/>
    <s v="Standard Spend"/>
  </r>
  <r>
    <s v="6210-KBBPI"/>
    <s v="Male"/>
    <x v="0"/>
    <n v="9"/>
    <x v="1"/>
    <x v="0"/>
    <n v="99.45"/>
    <n v="919.4"/>
    <x v="1"/>
    <s v="Yes"/>
    <x v="3"/>
    <n v="919.4"/>
    <x v="0"/>
    <s v="Standard Spend"/>
  </r>
  <r>
    <s v="9643-YBLUR"/>
    <s v="Male"/>
    <x v="0"/>
    <n v="9"/>
    <x v="0"/>
    <x v="0"/>
    <n v="69.05"/>
    <n v="653.95000000000005"/>
    <x v="0"/>
    <s v="Yes"/>
    <x v="3"/>
    <n v="653.95000000000005"/>
    <x v="0"/>
    <s v="Standard Spend"/>
  </r>
  <r>
    <s v="8734-FNWVH"/>
    <s v="Male"/>
    <x v="0"/>
    <n v="31"/>
    <x v="0"/>
    <x v="0"/>
    <n v="59.7"/>
    <n v="1825.5"/>
    <x v="0"/>
    <s v="No"/>
    <x v="2"/>
    <n v="1825.5"/>
    <x v="1"/>
    <s v="Standard Spend"/>
  </r>
  <r>
    <s v="9447-YPTBX"/>
    <s v="Female"/>
    <x v="1"/>
    <n v="50"/>
    <x v="2"/>
    <x v="2"/>
    <n v="19.850000000000001"/>
    <n v="943.1"/>
    <x v="0"/>
    <s v="Yes"/>
    <x v="2"/>
    <n v="943.1"/>
    <x v="2"/>
    <s v="Standard Spend"/>
  </r>
  <r>
    <s v="0133-BMFZO"/>
    <s v="Female"/>
    <x v="0"/>
    <n v="2"/>
    <x v="1"/>
    <x v="1"/>
    <n v="86.25"/>
    <n v="181.65"/>
    <x v="1"/>
    <s v="Yes"/>
    <x v="0"/>
    <n v="181.65"/>
    <x v="0"/>
    <s v="Standard Spend"/>
  </r>
  <r>
    <s v="6128-CZOMY"/>
    <s v="Female"/>
    <x v="0"/>
    <n v="1"/>
    <x v="0"/>
    <x v="0"/>
    <n v="45.65"/>
    <n v="45.65"/>
    <x v="1"/>
    <s v="Yes"/>
    <x v="0"/>
    <n v="45.65"/>
    <x v="0"/>
    <s v="Standard Spend"/>
  </r>
  <r>
    <s v="9540-JYROE"/>
    <s v="Male"/>
    <x v="0"/>
    <n v="8"/>
    <x v="1"/>
    <x v="0"/>
    <n v="70.099999999999994"/>
    <n v="551.35"/>
    <x v="1"/>
    <s v="Yes"/>
    <x v="1"/>
    <n v="551.35"/>
    <x v="0"/>
    <s v="Standard Spend"/>
  </r>
  <r>
    <s v="9026-LHEVG"/>
    <s v="Female"/>
    <x v="0"/>
    <n v="9"/>
    <x v="0"/>
    <x v="0"/>
    <n v="40.75"/>
    <n v="359.4"/>
    <x v="0"/>
    <s v="No"/>
    <x v="0"/>
    <n v="359.4"/>
    <x v="0"/>
    <s v="Standard Spend"/>
  </r>
  <r>
    <s v="2260-USTRB"/>
    <s v="Female"/>
    <x v="0"/>
    <n v="2"/>
    <x v="1"/>
    <x v="0"/>
    <n v="70.2"/>
    <n v="115.95"/>
    <x v="1"/>
    <s v="Yes"/>
    <x v="2"/>
    <n v="115.95"/>
    <x v="0"/>
    <s v="Standard Spend"/>
  </r>
  <r>
    <s v="3656-TKRVZ"/>
    <s v="Female"/>
    <x v="0"/>
    <n v="3"/>
    <x v="0"/>
    <x v="0"/>
    <n v="55.35"/>
    <n v="165.2"/>
    <x v="1"/>
    <s v="No"/>
    <x v="0"/>
    <n v="165.2"/>
    <x v="0"/>
    <s v="Standard Spend"/>
  </r>
  <r>
    <s v="7011-CVEUC"/>
    <s v="Male"/>
    <x v="0"/>
    <n v="25"/>
    <x v="1"/>
    <x v="1"/>
    <n v="95.7"/>
    <n v="2338.35"/>
    <x v="0"/>
    <s v="Yes"/>
    <x v="3"/>
    <n v="2338.35"/>
    <x v="1"/>
    <s v="Standard Spend"/>
  </r>
  <r>
    <s v="6185-TASNN"/>
    <s v="Male"/>
    <x v="0"/>
    <n v="1"/>
    <x v="0"/>
    <x v="0"/>
    <n v="46.3"/>
    <n v="46.3"/>
    <x v="0"/>
    <s v="No"/>
    <x v="0"/>
    <n v="46.3"/>
    <x v="0"/>
    <s v="Standard Spend"/>
  </r>
  <r>
    <s v="7925-PNRGI"/>
    <s v="Female"/>
    <x v="0"/>
    <n v="45"/>
    <x v="0"/>
    <x v="1"/>
    <n v="81.3"/>
    <n v="3541.1"/>
    <x v="0"/>
    <s v="No"/>
    <x v="1"/>
    <n v="3541.1"/>
    <x v="2"/>
    <s v="High Spend"/>
  </r>
  <r>
    <s v="8623-TMRBY"/>
    <s v="Male"/>
    <x v="0"/>
    <n v="51"/>
    <x v="1"/>
    <x v="0"/>
    <n v="84.2"/>
    <n v="4146.05"/>
    <x v="1"/>
    <s v="Yes"/>
    <x v="0"/>
    <n v="4146.05"/>
    <x v="2"/>
    <s v="High Spend"/>
  </r>
  <r>
    <s v="1552-CZCLL"/>
    <s v="Female"/>
    <x v="0"/>
    <n v="55"/>
    <x v="2"/>
    <x v="2"/>
    <n v="20"/>
    <n v="1087.25"/>
    <x v="0"/>
    <s v="No"/>
    <x v="3"/>
    <n v="1087.25"/>
    <x v="2"/>
    <s v="Standard Spend"/>
  </r>
  <r>
    <s v="3038-PQIUY"/>
    <s v="Female"/>
    <x v="0"/>
    <n v="38"/>
    <x v="0"/>
    <x v="0"/>
    <n v="66.150000000000006"/>
    <n v="2522.4"/>
    <x v="0"/>
    <s v="Yes"/>
    <x v="2"/>
    <n v="2522.4"/>
    <x v="2"/>
    <s v="High Spend"/>
  </r>
  <r>
    <s v="1501-SGHBW"/>
    <s v="Male"/>
    <x v="0"/>
    <n v="2"/>
    <x v="0"/>
    <x v="0"/>
    <n v="45.85"/>
    <n v="81"/>
    <x v="1"/>
    <s v="No"/>
    <x v="1"/>
    <n v="81"/>
    <x v="0"/>
    <s v="Standard Spend"/>
  </r>
  <r>
    <s v="9313-CDOGY"/>
    <s v="Male"/>
    <x v="0"/>
    <n v="38"/>
    <x v="2"/>
    <x v="2"/>
    <n v="19.600000000000001"/>
    <n v="717.3"/>
    <x v="0"/>
    <s v="No"/>
    <x v="0"/>
    <n v="717.3"/>
    <x v="2"/>
    <s v="Standard Spend"/>
  </r>
  <r>
    <s v="8148-BPLZQ"/>
    <s v="Male"/>
    <x v="0"/>
    <n v="34"/>
    <x v="0"/>
    <x v="0"/>
    <n v="49.8"/>
    <n v="1734.2"/>
    <x v="0"/>
    <s v="Yes"/>
    <x v="0"/>
    <n v="1734.2"/>
    <x v="1"/>
    <s v="Standard Spend"/>
  </r>
  <r>
    <s v="2623-DRYAM"/>
    <s v="Female"/>
    <x v="1"/>
    <n v="70"/>
    <x v="1"/>
    <x v="0"/>
    <n v="101.75"/>
    <n v="7069.3"/>
    <x v="0"/>
    <s v="Yes"/>
    <x v="0"/>
    <n v="7069.3"/>
    <x v="2"/>
    <s v="High Spend"/>
  </r>
  <r>
    <s v="9987-LUTYD"/>
    <s v="Female"/>
    <x v="1"/>
    <n v="13"/>
    <x v="0"/>
    <x v="1"/>
    <n v="55.15"/>
    <n v="742.9"/>
    <x v="0"/>
    <s v="No"/>
    <x v="1"/>
    <n v="742.9"/>
    <x v="1"/>
    <s v="Standard Spend"/>
  </r>
  <r>
    <s v="3208-YPIOE"/>
    <s v="Male"/>
    <x v="0"/>
    <n v="39"/>
    <x v="1"/>
    <x v="0"/>
    <n v="75.25"/>
    <n v="3017.65"/>
    <x v="1"/>
    <s v="No"/>
    <x v="0"/>
    <n v="3017.65"/>
    <x v="2"/>
    <s v="High Spend"/>
  </r>
  <r>
    <s v="4488-KQFDT"/>
    <s v="Female"/>
    <x v="1"/>
    <n v="61"/>
    <x v="1"/>
    <x v="0"/>
    <n v="103.95"/>
    <n v="6423"/>
    <x v="0"/>
    <s v="Yes"/>
    <x v="0"/>
    <n v="6423"/>
    <x v="2"/>
    <s v="High Spend"/>
  </r>
  <r>
    <s v="2612-RANWT"/>
    <s v="Female"/>
    <x v="0"/>
    <n v="12"/>
    <x v="1"/>
    <x v="0"/>
    <n v="100.15"/>
    <n v="1164.3"/>
    <x v="1"/>
    <s v="Yes"/>
    <x v="2"/>
    <n v="1164.3"/>
    <x v="0"/>
    <s v="Standard Spend"/>
  </r>
  <r>
    <s v="5693-PIPCS"/>
    <s v="Male"/>
    <x v="2"/>
    <n v="41"/>
    <x v="1"/>
    <x v="1"/>
    <n v="99.65"/>
    <n v="4220.3500000000004"/>
    <x v="0"/>
    <s v="Yes"/>
    <x v="3"/>
    <n v="4220.3500000000004"/>
    <x v="2"/>
    <s v="High Spend"/>
  </r>
  <r>
    <s v="0491-KAPQG"/>
    <s v="Male"/>
    <x v="0"/>
    <n v="21"/>
    <x v="1"/>
    <x v="0"/>
    <n v="73.7"/>
    <n v="1558.7"/>
    <x v="0"/>
    <s v="Yes"/>
    <x v="0"/>
    <n v="1558.7"/>
    <x v="1"/>
    <s v="Standard Spend"/>
  </r>
  <r>
    <s v="1925-LFCZZ"/>
    <s v="Male"/>
    <x v="1"/>
    <n v="55"/>
    <x v="0"/>
    <x v="0"/>
    <n v="50.05"/>
    <n v="2743.45"/>
    <x v="0"/>
    <s v="Yes"/>
    <x v="2"/>
    <n v="2743.45"/>
    <x v="2"/>
    <s v="High Spend"/>
  </r>
  <r>
    <s v="8039-EQPIM"/>
    <s v="Male"/>
    <x v="2"/>
    <n v="69"/>
    <x v="0"/>
    <x v="1"/>
    <n v="60.25"/>
    <n v="4055.5"/>
    <x v="0"/>
    <s v="No"/>
    <x v="2"/>
    <n v="4055.5"/>
    <x v="2"/>
    <s v="High Spend"/>
  </r>
  <r>
    <s v="6900-PXRMS"/>
    <s v="Male"/>
    <x v="0"/>
    <n v="26"/>
    <x v="1"/>
    <x v="0"/>
    <n v="105.75"/>
    <n v="2710.25"/>
    <x v="1"/>
    <s v="No"/>
    <x v="0"/>
    <n v="2710.25"/>
    <x v="1"/>
    <s v="High Spend"/>
  </r>
  <r>
    <s v="8707-RMEZH"/>
    <s v="Female"/>
    <x v="1"/>
    <n v="69"/>
    <x v="1"/>
    <x v="0"/>
    <n v="87.3"/>
    <n v="6055.55"/>
    <x v="0"/>
    <s v="No"/>
    <x v="3"/>
    <n v="6055.55"/>
    <x v="2"/>
    <s v="High Spend"/>
  </r>
  <r>
    <s v="3346-BRMIS"/>
    <s v="Female"/>
    <x v="0"/>
    <n v="18"/>
    <x v="0"/>
    <x v="0"/>
    <n v="48.35"/>
    <n v="810.7"/>
    <x v="1"/>
    <s v="Yes"/>
    <x v="0"/>
    <n v="810.7"/>
    <x v="1"/>
    <s v="Standard Spend"/>
  </r>
  <r>
    <s v="3209-ZPKFI"/>
    <s v="Male"/>
    <x v="0"/>
    <n v="47"/>
    <x v="0"/>
    <x v="0"/>
    <n v="54.25"/>
    <n v="2538.1999999999998"/>
    <x v="0"/>
    <s v="No"/>
    <x v="0"/>
    <n v="2538.1999999999998"/>
    <x v="2"/>
    <s v="High Spend"/>
  </r>
  <r>
    <s v="6479-VDGRK"/>
    <s v="Female"/>
    <x v="2"/>
    <n v="72"/>
    <x v="0"/>
    <x v="1"/>
    <n v="85.3"/>
    <n v="6129.2"/>
    <x v="0"/>
    <s v="No"/>
    <x v="2"/>
    <n v="6129.2"/>
    <x v="2"/>
    <s v="High Spend"/>
  </r>
  <r>
    <s v="9373-WSLOY"/>
    <s v="Male"/>
    <x v="0"/>
    <n v="33"/>
    <x v="0"/>
    <x v="1"/>
    <n v="50"/>
    <n v="1750.85"/>
    <x v="0"/>
    <s v="Yes"/>
    <x v="0"/>
    <n v="1750.85"/>
    <x v="1"/>
    <s v="Standard Spend"/>
  </r>
  <r>
    <s v="2933-FILNV"/>
    <s v="Female"/>
    <x v="0"/>
    <n v="2"/>
    <x v="0"/>
    <x v="0"/>
    <n v="24.4"/>
    <n v="36.549999999999997"/>
    <x v="1"/>
    <s v="Yes"/>
    <x v="1"/>
    <n v="36.549999999999997"/>
    <x v="0"/>
    <s v="Standard Spend"/>
  </r>
  <r>
    <s v="3569-JFODW"/>
    <s v="Female"/>
    <x v="2"/>
    <n v="72"/>
    <x v="0"/>
    <x v="1"/>
    <n v="90.95"/>
    <n v="6652.45"/>
    <x v="0"/>
    <s v="No"/>
    <x v="3"/>
    <n v="6652.45"/>
    <x v="2"/>
    <s v="High Spend"/>
  </r>
  <r>
    <s v="9819-FBNSV"/>
    <s v="Male"/>
    <x v="0"/>
    <n v="37"/>
    <x v="1"/>
    <x v="0"/>
    <n v="72.25"/>
    <n v="2575.4499999999998"/>
    <x v="0"/>
    <s v="Yes"/>
    <x v="2"/>
    <n v="2575.4499999999998"/>
    <x v="2"/>
    <s v="High Spend"/>
  </r>
  <r>
    <s v="9544-PYPSJ"/>
    <s v="Female"/>
    <x v="0"/>
    <n v="62"/>
    <x v="1"/>
    <x v="0"/>
    <n v="96.1"/>
    <n v="6019.35"/>
    <x v="0"/>
    <s v="Yes"/>
    <x v="3"/>
    <n v="6019.35"/>
    <x v="2"/>
    <s v="High Spend"/>
  </r>
  <r>
    <s v="1591-XWLGB"/>
    <s v="Female"/>
    <x v="2"/>
    <n v="71"/>
    <x v="2"/>
    <x v="2"/>
    <n v="19.850000000000001"/>
    <n v="1379.6"/>
    <x v="0"/>
    <s v="No"/>
    <x v="3"/>
    <n v="1379.6"/>
    <x v="2"/>
    <s v="Standard Spend"/>
  </r>
  <r>
    <s v="0396-UKGAI"/>
    <s v="Male"/>
    <x v="0"/>
    <n v="23"/>
    <x v="0"/>
    <x v="1"/>
    <n v="55.3"/>
    <n v="1284.2"/>
    <x v="0"/>
    <s v="Yes"/>
    <x v="2"/>
    <n v="1284.2"/>
    <x v="1"/>
    <s v="Standard Spend"/>
  </r>
  <r>
    <s v="3243-ZHOHY"/>
    <s v="Female"/>
    <x v="1"/>
    <n v="16"/>
    <x v="2"/>
    <x v="2"/>
    <n v="20.100000000000001"/>
    <n v="296.14999999999998"/>
    <x v="0"/>
    <s v="No"/>
    <x v="1"/>
    <n v="296.14999999999998"/>
    <x v="1"/>
    <s v="Standard Spend"/>
  </r>
  <r>
    <s v="5186-EJEGL"/>
    <s v="Male"/>
    <x v="0"/>
    <n v="9"/>
    <x v="0"/>
    <x v="1"/>
    <n v="69.5"/>
    <n v="653.25"/>
    <x v="0"/>
    <s v="Yes"/>
    <x v="1"/>
    <n v="653.25"/>
    <x v="0"/>
    <s v="Standard Spend"/>
  </r>
  <r>
    <s v="7527-QNRUS"/>
    <s v="Male"/>
    <x v="2"/>
    <n v="17"/>
    <x v="2"/>
    <x v="2"/>
    <n v="25.15"/>
    <n v="412.6"/>
    <x v="0"/>
    <s v="Yes"/>
    <x v="1"/>
    <n v="412.6"/>
    <x v="1"/>
    <s v="Standard Spend"/>
  </r>
  <r>
    <s v="9986-BONCE"/>
    <s v="Female"/>
    <x v="0"/>
    <n v="4"/>
    <x v="2"/>
    <x v="2"/>
    <n v="20.95"/>
    <n v="85.5"/>
    <x v="1"/>
    <s v="No"/>
    <x v="2"/>
    <n v="85.5"/>
    <x v="0"/>
    <s v="Standard Spend"/>
  </r>
  <r>
    <s v="2722-JMONI"/>
    <s v="Female"/>
    <x v="0"/>
    <n v="1"/>
    <x v="0"/>
    <x v="0"/>
    <n v="49.55"/>
    <n v="49.55"/>
    <x v="1"/>
    <s v="Yes"/>
    <x v="0"/>
    <n v="49.55"/>
    <x v="0"/>
    <s v="Standard Spend"/>
  </r>
  <r>
    <s v="2203-GHNWN"/>
    <s v="Female"/>
    <x v="0"/>
    <n v="24"/>
    <x v="1"/>
    <x v="0"/>
    <n v="79.650000000000006"/>
    <n v="1928.7"/>
    <x v="0"/>
    <s v="Yes"/>
    <x v="1"/>
    <n v="1928.7"/>
    <x v="1"/>
    <s v="Standard Spend"/>
  </r>
  <r>
    <s v="3878-AVSOQ"/>
    <s v="Female"/>
    <x v="0"/>
    <n v="1"/>
    <x v="1"/>
    <x v="0"/>
    <n v="71.25"/>
    <n v="71.25"/>
    <x v="0"/>
    <s v="Yes"/>
    <x v="0"/>
    <n v="71.25"/>
    <x v="0"/>
    <s v="Standard Spend"/>
  </r>
  <r>
    <s v="3258-SYSWS"/>
    <s v="Male"/>
    <x v="2"/>
    <n v="72"/>
    <x v="1"/>
    <x v="1"/>
    <n v="113.8"/>
    <n v="7845.8"/>
    <x v="0"/>
    <s v="No"/>
    <x v="2"/>
    <n v="7845.8"/>
    <x v="2"/>
    <s v="High Spend"/>
  </r>
  <r>
    <s v="5296-PSYVW"/>
    <s v="Female"/>
    <x v="2"/>
    <n v="72"/>
    <x v="2"/>
    <x v="2"/>
    <n v="24.55"/>
    <n v="1750.7"/>
    <x v="0"/>
    <s v="No"/>
    <x v="0"/>
    <n v="1750.7"/>
    <x v="2"/>
    <s v="Standard Spend"/>
  </r>
  <r>
    <s v="6319-QSUSR"/>
    <s v="Female"/>
    <x v="0"/>
    <n v="11"/>
    <x v="2"/>
    <x v="2"/>
    <n v="19.7"/>
    <n v="216.2"/>
    <x v="0"/>
    <s v="No"/>
    <x v="3"/>
    <n v="216.2"/>
    <x v="0"/>
    <s v="Standard Spend"/>
  </r>
  <r>
    <s v="4083-EUGRJ"/>
    <s v="Male"/>
    <x v="0"/>
    <n v="9"/>
    <x v="2"/>
    <x v="2"/>
    <n v="20.25"/>
    <n v="178.5"/>
    <x v="1"/>
    <s v="No"/>
    <x v="1"/>
    <n v="178.5"/>
    <x v="0"/>
    <s v="Standard Spend"/>
  </r>
  <r>
    <s v="7579-OOPEC"/>
    <s v="Female"/>
    <x v="0"/>
    <n v="2"/>
    <x v="0"/>
    <x v="0"/>
    <n v="50.15"/>
    <n v="115.1"/>
    <x v="1"/>
    <s v="No"/>
    <x v="3"/>
    <n v="115.1"/>
    <x v="0"/>
    <s v="Standard Spend"/>
  </r>
  <r>
    <s v="0512-FLFDW"/>
    <s v="Female"/>
    <x v="1"/>
    <n v="60"/>
    <x v="1"/>
    <x v="0"/>
    <n v="100.5"/>
    <n v="6029"/>
    <x v="0"/>
    <s v="Yes"/>
    <x v="3"/>
    <n v="6029"/>
    <x v="2"/>
    <s v="High Spend"/>
  </r>
  <r>
    <s v="1771-OADNZ"/>
    <s v="Male"/>
    <x v="0"/>
    <n v="29"/>
    <x v="1"/>
    <x v="0"/>
    <n v="95.9"/>
    <n v="2745.2"/>
    <x v="1"/>
    <s v="Yes"/>
    <x v="0"/>
    <n v="2745.2"/>
    <x v="1"/>
    <s v="High Spend"/>
  </r>
  <r>
    <s v="0487-CRLZF"/>
    <s v="Female"/>
    <x v="2"/>
    <n v="49"/>
    <x v="0"/>
    <x v="1"/>
    <n v="74.45"/>
    <n v="3721.9"/>
    <x v="0"/>
    <s v="Yes"/>
    <x v="2"/>
    <n v="3721.9"/>
    <x v="2"/>
    <s v="High Spend"/>
  </r>
  <r>
    <s v="2107-FBPTK"/>
    <s v="Female"/>
    <x v="0"/>
    <n v="30"/>
    <x v="1"/>
    <x v="0"/>
    <n v="104.1"/>
    <n v="3121.1"/>
    <x v="0"/>
    <s v="Yes"/>
    <x v="0"/>
    <n v="3121.1"/>
    <x v="1"/>
    <s v="High Spend"/>
  </r>
  <r>
    <s v="9451-WLYRI"/>
    <s v="Female"/>
    <x v="1"/>
    <n v="53"/>
    <x v="2"/>
    <x v="2"/>
    <n v="19.05"/>
    <n v="990.45"/>
    <x v="0"/>
    <s v="No"/>
    <x v="3"/>
    <n v="990.45"/>
    <x v="2"/>
    <s v="Standard Spend"/>
  </r>
  <r>
    <s v="8219-VYBVI"/>
    <s v="Male"/>
    <x v="2"/>
    <n v="39"/>
    <x v="2"/>
    <x v="2"/>
    <n v="25"/>
    <n v="1004.35"/>
    <x v="0"/>
    <s v="No"/>
    <x v="1"/>
    <n v="1004.35"/>
    <x v="2"/>
    <s v="Standard Spend"/>
  </r>
  <r>
    <s v="1991-VOPLL"/>
    <s v="Female"/>
    <x v="0"/>
    <n v="9"/>
    <x v="2"/>
    <x v="2"/>
    <n v="19.05"/>
    <n v="157.65"/>
    <x v="0"/>
    <s v="No"/>
    <x v="1"/>
    <n v="157.65"/>
    <x v="0"/>
    <s v="Standard Spend"/>
  </r>
  <r>
    <s v="9738-QLWTP"/>
    <s v="Male"/>
    <x v="1"/>
    <n v="39"/>
    <x v="1"/>
    <x v="1"/>
    <n v="81.900000000000006"/>
    <n v="3219.75"/>
    <x v="0"/>
    <s v="No"/>
    <x v="0"/>
    <n v="3219.75"/>
    <x v="2"/>
    <s v="High Spend"/>
  </r>
  <r>
    <s v="1016-DJTSV"/>
    <s v="Male"/>
    <x v="0"/>
    <n v="8"/>
    <x v="1"/>
    <x v="0"/>
    <n v="69.7"/>
    <n v="572.85"/>
    <x v="0"/>
    <s v="Yes"/>
    <x v="0"/>
    <n v="572.85"/>
    <x v="0"/>
    <s v="Standard Spend"/>
  </r>
  <r>
    <s v="9419-IPPBE"/>
    <s v="Female"/>
    <x v="1"/>
    <n v="51"/>
    <x v="1"/>
    <x v="0"/>
    <n v="90.15"/>
    <n v="4554.8500000000004"/>
    <x v="0"/>
    <s v="Yes"/>
    <x v="0"/>
    <n v="4554.8500000000004"/>
    <x v="2"/>
    <s v="High Spend"/>
  </r>
  <r>
    <s v="0174-QRVVY"/>
    <s v="Male"/>
    <x v="2"/>
    <n v="71"/>
    <x v="2"/>
    <x v="2"/>
    <n v="25.35"/>
    <n v="1847.55"/>
    <x v="0"/>
    <s v="No"/>
    <x v="3"/>
    <n v="1847.55"/>
    <x v="2"/>
    <s v="Standard Spend"/>
  </r>
  <r>
    <s v="5699-BNCAS"/>
    <s v="Male"/>
    <x v="2"/>
    <n v="71"/>
    <x v="2"/>
    <x v="2"/>
    <n v="24.65"/>
    <n v="1766.75"/>
    <x v="0"/>
    <s v="Yes"/>
    <x v="1"/>
    <n v="1766.75"/>
    <x v="2"/>
    <s v="Standard Spend"/>
  </r>
  <r>
    <s v="2900-PHPLN"/>
    <s v="Female"/>
    <x v="2"/>
    <n v="70"/>
    <x v="2"/>
    <x v="2"/>
    <n v="19.55"/>
    <n v="1462.05"/>
    <x v="0"/>
    <s v="Yes"/>
    <x v="3"/>
    <n v="1462.05"/>
    <x v="2"/>
    <s v="Standard Spend"/>
  </r>
  <r>
    <s v="0612-RTZZA"/>
    <s v="Female"/>
    <x v="0"/>
    <n v="1"/>
    <x v="0"/>
    <x v="0"/>
    <n v="25.25"/>
    <n v="25.25"/>
    <x v="1"/>
    <s v="No"/>
    <x v="0"/>
    <n v="25.25"/>
    <x v="0"/>
    <s v="Standard Spend"/>
  </r>
  <r>
    <s v="8106-GWQOK"/>
    <s v="Male"/>
    <x v="2"/>
    <n v="38"/>
    <x v="0"/>
    <x v="1"/>
    <n v="60"/>
    <n v="2193.1999999999998"/>
    <x v="0"/>
    <s v="Yes"/>
    <x v="2"/>
    <n v="2193.1999999999998"/>
    <x v="2"/>
    <s v="Standard Spend"/>
  </r>
  <r>
    <s v="8751-EDEKA"/>
    <s v="Female"/>
    <x v="0"/>
    <n v="28"/>
    <x v="1"/>
    <x v="0"/>
    <n v="89.9"/>
    <n v="2433.5"/>
    <x v="0"/>
    <s v="No"/>
    <x v="3"/>
    <n v="2433.5"/>
    <x v="1"/>
    <s v="Standard Spend"/>
  </r>
  <r>
    <s v="6878-GGDWG"/>
    <s v="Female"/>
    <x v="0"/>
    <n v="32"/>
    <x v="2"/>
    <x v="2"/>
    <n v="19.399999999999999"/>
    <n v="641.15"/>
    <x v="0"/>
    <s v="No"/>
    <x v="2"/>
    <n v="641.15"/>
    <x v="1"/>
    <s v="Standard Spend"/>
  </r>
  <r>
    <s v="4039-PIMHX"/>
    <s v="Male"/>
    <x v="2"/>
    <n v="49"/>
    <x v="0"/>
    <x v="0"/>
    <n v="49.8"/>
    <n v="2398.4"/>
    <x v="0"/>
    <s v="No"/>
    <x v="1"/>
    <n v="2398.4"/>
    <x v="2"/>
    <s v="Standard Spend"/>
  </r>
  <r>
    <s v="8450-LUGUK"/>
    <s v="Female"/>
    <x v="2"/>
    <n v="37"/>
    <x v="2"/>
    <x v="2"/>
    <n v="24.1"/>
    <n v="861.85"/>
    <x v="0"/>
    <s v="Yes"/>
    <x v="2"/>
    <n v="861.85"/>
    <x v="2"/>
    <s v="Standard Spend"/>
  </r>
  <r>
    <s v="3604-WLABM"/>
    <s v="Female"/>
    <x v="0"/>
    <n v="10"/>
    <x v="0"/>
    <x v="1"/>
    <n v="54.25"/>
    <n v="583"/>
    <x v="0"/>
    <s v="No"/>
    <x v="0"/>
    <n v="583"/>
    <x v="0"/>
    <s v="Standard Spend"/>
  </r>
  <r>
    <s v="0795-GMVQO"/>
    <s v="Male"/>
    <x v="1"/>
    <n v="67"/>
    <x v="1"/>
    <x v="0"/>
    <n v="109.9"/>
    <n v="7332.4"/>
    <x v="0"/>
    <s v="No"/>
    <x v="3"/>
    <n v="7332.4"/>
    <x v="2"/>
    <s v="High Spend"/>
  </r>
  <r>
    <s v="2259-OUUSZ"/>
    <s v="Male"/>
    <x v="1"/>
    <n v="7"/>
    <x v="0"/>
    <x v="1"/>
    <n v="35.5"/>
    <n v="249.55"/>
    <x v="0"/>
    <s v="Yes"/>
    <x v="3"/>
    <n v="249.55"/>
    <x v="0"/>
    <s v="Standard Spend"/>
  </r>
  <r>
    <s v="1142-IHLOO"/>
    <s v="Female"/>
    <x v="1"/>
    <n v="51"/>
    <x v="1"/>
    <x v="0"/>
    <n v="87.55"/>
    <n v="4475.8999999999996"/>
    <x v="0"/>
    <s v="No"/>
    <x v="3"/>
    <n v="4475.8999999999996"/>
    <x v="2"/>
    <s v="High Spend"/>
  </r>
  <r>
    <s v="6410-LEFEN"/>
    <s v="Female"/>
    <x v="0"/>
    <n v="9"/>
    <x v="0"/>
    <x v="0"/>
    <n v="45.15"/>
    <n v="416.45"/>
    <x v="1"/>
    <s v="No"/>
    <x v="0"/>
    <n v="416.45"/>
    <x v="0"/>
    <s v="Standard Spend"/>
  </r>
  <r>
    <s v="4633-MKHYU"/>
    <s v="Female"/>
    <x v="0"/>
    <n v="9"/>
    <x v="1"/>
    <x v="0"/>
    <n v="88.4"/>
    <n v="788.6"/>
    <x v="0"/>
    <s v="Yes"/>
    <x v="1"/>
    <n v="788.6"/>
    <x v="0"/>
    <s v="Standard Spend"/>
  </r>
  <r>
    <s v="6257-RJOHI"/>
    <s v="Male"/>
    <x v="0"/>
    <n v="4"/>
    <x v="0"/>
    <x v="1"/>
    <n v="50.8"/>
    <n v="202.3"/>
    <x v="0"/>
    <s v="Yes"/>
    <x v="1"/>
    <n v="202.3"/>
    <x v="0"/>
    <s v="Standard Spend"/>
  </r>
  <r>
    <s v="1545-JFUML"/>
    <s v="Male"/>
    <x v="2"/>
    <n v="71"/>
    <x v="1"/>
    <x v="0"/>
    <n v="99"/>
    <n v="6994.6"/>
    <x v="0"/>
    <s v="Yes"/>
    <x v="0"/>
    <n v="6994.6"/>
    <x v="2"/>
    <s v="High Spend"/>
  </r>
  <r>
    <s v="3194-ORPIK"/>
    <s v="Female"/>
    <x v="0"/>
    <n v="50"/>
    <x v="1"/>
    <x v="0"/>
    <n v="84.4"/>
    <n v="4116.1499999999996"/>
    <x v="1"/>
    <s v="Yes"/>
    <x v="2"/>
    <n v="4116.1499999999996"/>
    <x v="2"/>
    <s v="High Spend"/>
  </r>
  <r>
    <s v="7826-VVKWT"/>
    <s v="Female"/>
    <x v="2"/>
    <n v="24"/>
    <x v="1"/>
    <x v="0"/>
    <n v="96.55"/>
    <n v="2263.4499999999998"/>
    <x v="0"/>
    <s v="Yes"/>
    <x v="0"/>
    <n v="2263.4499999999998"/>
    <x v="1"/>
    <s v="Standard Spend"/>
  </r>
  <r>
    <s v="1353-GHZOS"/>
    <s v="Male"/>
    <x v="1"/>
    <n v="22"/>
    <x v="0"/>
    <x v="0"/>
    <n v="59.75"/>
    <n v="1374.35"/>
    <x v="0"/>
    <s v="Yes"/>
    <x v="2"/>
    <n v="1374.35"/>
    <x v="1"/>
    <s v="Standard Spend"/>
  </r>
  <r>
    <s v="2587-EKXTS"/>
    <s v="Male"/>
    <x v="0"/>
    <n v="44"/>
    <x v="1"/>
    <x v="0"/>
    <n v="111.5"/>
    <n v="4915.1499999999996"/>
    <x v="0"/>
    <s v="Yes"/>
    <x v="0"/>
    <n v="4915.1499999999996"/>
    <x v="2"/>
    <s v="High Spend"/>
  </r>
  <r>
    <s v="5442-BXVND"/>
    <s v="Female"/>
    <x v="0"/>
    <n v="33"/>
    <x v="2"/>
    <x v="2"/>
    <n v="24.25"/>
    <n v="838.5"/>
    <x v="0"/>
    <s v="No"/>
    <x v="2"/>
    <n v="838.5"/>
    <x v="1"/>
    <s v="Standard Spend"/>
  </r>
  <r>
    <s v="8816-VXNZD"/>
    <s v="Female"/>
    <x v="0"/>
    <n v="1"/>
    <x v="1"/>
    <x v="0"/>
    <n v="75.099999999999994"/>
    <n v="75.099999999999994"/>
    <x v="1"/>
    <s v="Yes"/>
    <x v="0"/>
    <n v="75.099999999999994"/>
    <x v="0"/>
    <s v="Standard Spend"/>
  </r>
  <r>
    <s v="9378-FXTIZ"/>
    <s v="Female"/>
    <x v="1"/>
    <n v="54"/>
    <x v="0"/>
    <x v="0"/>
    <n v="70.150000000000006"/>
    <n v="3715.65"/>
    <x v="1"/>
    <s v="Yes"/>
    <x v="3"/>
    <n v="3715.65"/>
    <x v="2"/>
    <s v="High Spend"/>
  </r>
  <r>
    <s v="1723-HKXJQ"/>
    <s v="Male"/>
    <x v="0"/>
    <n v="42"/>
    <x v="1"/>
    <x v="0"/>
    <n v="101.75"/>
    <n v="4273.45"/>
    <x v="1"/>
    <s v="Yes"/>
    <x v="0"/>
    <n v="4273.45"/>
    <x v="2"/>
    <s v="High Spend"/>
  </r>
  <r>
    <s v="7825-GKXMW"/>
    <s v="Female"/>
    <x v="0"/>
    <n v="1"/>
    <x v="0"/>
    <x v="0"/>
    <n v="45.8"/>
    <n v="45.8"/>
    <x v="1"/>
    <s v="No"/>
    <x v="0"/>
    <n v="45.8"/>
    <x v="0"/>
    <s v="Standard Spend"/>
  </r>
  <r>
    <s v="9753-OYLBX"/>
    <s v="Female"/>
    <x v="0"/>
    <n v="1"/>
    <x v="2"/>
    <x v="2"/>
    <n v="20.5"/>
    <n v="20.5"/>
    <x v="0"/>
    <s v="No"/>
    <x v="1"/>
    <n v="20.5"/>
    <x v="0"/>
    <s v="Standard Spend"/>
  </r>
  <r>
    <s v="2364-UFROM"/>
    <s v="Male"/>
    <x v="1"/>
    <n v="30"/>
    <x v="0"/>
    <x v="1"/>
    <n v="70.400000000000006"/>
    <n v="2044.75"/>
    <x v="0"/>
    <s v="No"/>
    <x v="0"/>
    <n v="2044.75"/>
    <x v="1"/>
    <s v="Standard Spend"/>
  </r>
  <r>
    <s v="6656-JWRQX"/>
    <s v="Female"/>
    <x v="0"/>
    <n v="1"/>
    <x v="0"/>
    <x v="1"/>
    <n v="30.55"/>
    <n v="30.55"/>
    <x v="0"/>
    <s v="No"/>
    <x v="1"/>
    <n v="30.55"/>
    <x v="0"/>
    <s v="Standard Spend"/>
  </r>
  <r>
    <s v="6473-ULUHT"/>
    <s v="Male"/>
    <x v="0"/>
    <n v="16"/>
    <x v="0"/>
    <x v="1"/>
    <n v="84.9"/>
    <n v="1398.25"/>
    <x v="0"/>
    <s v="No"/>
    <x v="0"/>
    <n v="1398.25"/>
    <x v="1"/>
    <s v="Standard Spend"/>
  </r>
  <r>
    <s v="1240-KNSEZ"/>
    <s v="Male"/>
    <x v="0"/>
    <n v="1"/>
    <x v="2"/>
    <x v="2"/>
    <n v="20.100000000000001"/>
    <n v="20.100000000000001"/>
    <x v="1"/>
    <s v="Yes"/>
    <x v="1"/>
    <n v="20.100000000000001"/>
    <x v="0"/>
    <s v="Standard Spend"/>
  </r>
  <r>
    <s v="0836-SEYLU"/>
    <s v="Male"/>
    <x v="0"/>
    <n v="9"/>
    <x v="0"/>
    <x v="1"/>
    <n v="40.65"/>
    <n v="328.95"/>
    <x v="1"/>
    <s v="No"/>
    <x v="1"/>
    <n v="328.95"/>
    <x v="0"/>
    <s v="Standard Spend"/>
  </r>
  <r>
    <s v="4433-JCGCG"/>
    <s v="Male"/>
    <x v="0"/>
    <n v="46"/>
    <x v="1"/>
    <x v="0"/>
    <n v="101"/>
    <n v="4680.05"/>
    <x v="1"/>
    <s v="Yes"/>
    <x v="0"/>
    <n v="4680.05"/>
    <x v="2"/>
    <s v="High Spend"/>
  </r>
  <r>
    <s v="3716-BDVDB"/>
    <s v="Male"/>
    <x v="0"/>
    <n v="1"/>
    <x v="1"/>
    <x v="0"/>
    <n v="69.099999999999994"/>
    <n v="69.099999999999994"/>
    <x v="1"/>
    <s v="Yes"/>
    <x v="0"/>
    <n v="69.099999999999994"/>
    <x v="0"/>
    <s v="Standard Spend"/>
  </r>
  <r>
    <s v="7688-AWMDX"/>
    <s v="Male"/>
    <x v="2"/>
    <n v="71"/>
    <x v="0"/>
    <x v="1"/>
    <n v="54.5"/>
    <n v="3778.2"/>
    <x v="0"/>
    <s v="No"/>
    <x v="2"/>
    <n v="3778.2"/>
    <x v="2"/>
    <s v="High Spend"/>
  </r>
  <r>
    <s v="2842-BCQGE"/>
    <s v="Male"/>
    <x v="0"/>
    <n v="43"/>
    <x v="1"/>
    <x v="0"/>
    <n v="75.349999999999994"/>
    <n v="3161.4"/>
    <x v="0"/>
    <s v="Yes"/>
    <x v="3"/>
    <n v="3161.4"/>
    <x v="2"/>
    <s v="High Spend"/>
  </r>
  <r>
    <s v="7244-QWYHG"/>
    <s v="Male"/>
    <x v="1"/>
    <n v="50"/>
    <x v="0"/>
    <x v="1"/>
    <n v="44.45"/>
    <n v="2188.4499999999998"/>
    <x v="0"/>
    <s v="Yes"/>
    <x v="2"/>
    <n v="2188.4499999999998"/>
    <x v="2"/>
    <s v="Standard Spend"/>
  </r>
  <r>
    <s v="5899-MQZZL"/>
    <s v="Female"/>
    <x v="0"/>
    <n v="13"/>
    <x v="1"/>
    <x v="0"/>
    <n v="75"/>
    <n v="999.45"/>
    <x v="1"/>
    <s v="Yes"/>
    <x v="1"/>
    <n v="999.45"/>
    <x v="1"/>
    <s v="Standard Spend"/>
  </r>
  <r>
    <s v="6849-OYAMU"/>
    <s v="Male"/>
    <x v="1"/>
    <n v="19"/>
    <x v="1"/>
    <x v="1"/>
    <n v="100"/>
    <n v="1888.65"/>
    <x v="1"/>
    <s v="No"/>
    <x v="2"/>
    <n v="1888.65"/>
    <x v="1"/>
    <s v="Standard Spend"/>
  </r>
  <r>
    <s v="5312-UXESG"/>
    <s v="Female"/>
    <x v="0"/>
    <n v="41"/>
    <x v="1"/>
    <x v="0"/>
    <n v="98.05"/>
    <n v="3990.6"/>
    <x v="0"/>
    <s v="No"/>
    <x v="2"/>
    <n v="3990.6"/>
    <x v="2"/>
    <s v="High Spend"/>
  </r>
  <r>
    <s v="9488-HGMJH"/>
    <s v="Female"/>
    <x v="0"/>
    <n v="1"/>
    <x v="1"/>
    <x v="0"/>
    <n v="71.150000000000006"/>
    <n v="71.150000000000006"/>
    <x v="1"/>
    <s v="Yes"/>
    <x v="0"/>
    <n v="71.150000000000006"/>
    <x v="0"/>
    <s v="Standard Spend"/>
  </r>
  <r>
    <s v="6038-GCYEC"/>
    <s v="Female"/>
    <x v="0"/>
    <n v="24"/>
    <x v="0"/>
    <x v="0"/>
    <n v="54.15"/>
    <n v="1240.25"/>
    <x v="1"/>
    <s v="Yes"/>
    <x v="3"/>
    <n v="1240.25"/>
    <x v="1"/>
    <s v="Standard Spend"/>
  </r>
  <r>
    <s v="2150-WLKUW"/>
    <s v="Female"/>
    <x v="1"/>
    <n v="40"/>
    <x v="0"/>
    <x v="0"/>
    <n v="63.9"/>
    <n v="2635"/>
    <x v="0"/>
    <s v="No"/>
    <x v="2"/>
    <n v="2635"/>
    <x v="2"/>
    <s v="High Spend"/>
  </r>
  <r>
    <s v="7159-FVYPK"/>
    <s v="Female"/>
    <x v="0"/>
    <n v="3"/>
    <x v="0"/>
    <x v="0"/>
    <n v="69.150000000000006"/>
    <n v="235"/>
    <x v="0"/>
    <s v="Yes"/>
    <x v="2"/>
    <n v="235"/>
    <x v="0"/>
    <s v="Standard Spend"/>
  </r>
  <r>
    <s v="7032-LMBHI"/>
    <s v="Female"/>
    <x v="1"/>
    <n v="37"/>
    <x v="0"/>
    <x v="0"/>
    <n v="64.650000000000006"/>
    <n v="2347.85"/>
    <x v="0"/>
    <s v="No"/>
    <x v="2"/>
    <n v="2347.85"/>
    <x v="2"/>
    <s v="Standard Spend"/>
  </r>
  <r>
    <s v="1150-WFARN"/>
    <s v="Female"/>
    <x v="2"/>
    <n v="67"/>
    <x v="1"/>
    <x v="1"/>
    <n v="108.75"/>
    <n v="7156.2"/>
    <x v="1"/>
    <s v="Yes"/>
    <x v="3"/>
    <n v="7156.2"/>
    <x v="2"/>
    <s v="High Spend"/>
  </r>
  <r>
    <s v="6088-BXMRG"/>
    <s v="Female"/>
    <x v="0"/>
    <n v="32"/>
    <x v="1"/>
    <x v="0"/>
    <n v="98.85"/>
    <n v="3089.6"/>
    <x v="0"/>
    <s v="Yes"/>
    <x v="0"/>
    <n v="3089.6"/>
    <x v="1"/>
    <s v="High Spend"/>
  </r>
  <r>
    <s v="3144-AUDBS"/>
    <s v="Female"/>
    <x v="0"/>
    <n v="6"/>
    <x v="0"/>
    <x v="1"/>
    <n v="49.15"/>
    <n v="270.8"/>
    <x v="1"/>
    <s v="Yes"/>
    <x v="0"/>
    <n v="270.8"/>
    <x v="0"/>
    <s v="Standard Spend"/>
  </r>
  <r>
    <s v="4821-SJHJV"/>
    <s v="Female"/>
    <x v="0"/>
    <n v="32"/>
    <x v="1"/>
    <x v="0"/>
    <n v="89.6"/>
    <n v="2901.8"/>
    <x v="0"/>
    <s v="No"/>
    <x v="0"/>
    <n v="2901.8"/>
    <x v="1"/>
    <s v="High Spend"/>
  </r>
  <r>
    <s v="7346-MEDWM"/>
    <s v="Female"/>
    <x v="0"/>
    <n v="59"/>
    <x v="1"/>
    <x v="0"/>
    <n v="83.25"/>
    <n v="4949.1000000000004"/>
    <x v="0"/>
    <s v="Yes"/>
    <x v="0"/>
    <n v="4949.1000000000004"/>
    <x v="2"/>
    <s v="High Spend"/>
  </r>
  <r>
    <s v="1137-DGOWI"/>
    <s v="Female"/>
    <x v="1"/>
    <n v="30"/>
    <x v="0"/>
    <x v="1"/>
    <n v="70.25"/>
    <n v="2198.9"/>
    <x v="0"/>
    <s v="No"/>
    <x v="2"/>
    <n v="2198.9"/>
    <x v="1"/>
    <s v="Standard Spend"/>
  </r>
  <r>
    <s v="5616-PRTNT"/>
    <s v="Male"/>
    <x v="0"/>
    <n v="20"/>
    <x v="2"/>
    <x v="2"/>
    <n v="19.399999999999999"/>
    <n v="374.5"/>
    <x v="1"/>
    <s v="Yes"/>
    <x v="0"/>
    <n v="374.5"/>
    <x v="1"/>
    <s v="Standard Spend"/>
  </r>
  <r>
    <s v="3812-LRZIR"/>
    <s v="Female"/>
    <x v="2"/>
    <n v="27"/>
    <x v="2"/>
    <x v="2"/>
    <n v="24.5"/>
    <n v="761.95"/>
    <x v="0"/>
    <s v="No"/>
    <x v="0"/>
    <n v="761.95"/>
    <x v="1"/>
    <s v="Standard Spend"/>
  </r>
  <r>
    <s v="4818-QIUFN"/>
    <s v="Female"/>
    <x v="0"/>
    <n v="20"/>
    <x v="1"/>
    <x v="0"/>
    <n v="79.150000000000006"/>
    <n v="1520.9"/>
    <x v="1"/>
    <s v="Yes"/>
    <x v="0"/>
    <n v="1520.9"/>
    <x v="1"/>
    <s v="Standard Spend"/>
  </r>
  <r>
    <s v="9483-GCPWE"/>
    <s v="Male"/>
    <x v="1"/>
    <n v="9"/>
    <x v="2"/>
    <x v="2"/>
    <n v="20.100000000000001"/>
    <n v="190.25"/>
    <x v="0"/>
    <s v="No"/>
    <x v="1"/>
    <n v="190.25"/>
    <x v="0"/>
    <s v="Standard Spend"/>
  </r>
  <r>
    <s v="4227-OJHAL"/>
    <s v="Female"/>
    <x v="1"/>
    <n v="68"/>
    <x v="0"/>
    <x v="0"/>
    <n v="73"/>
    <n v="5163"/>
    <x v="0"/>
    <s v="Yes"/>
    <x v="3"/>
    <n v="5163"/>
    <x v="2"/>
    <s v="High Spend"/>
  </r>
  <r>
    <s v="9220-CXRSC"/>
    <s v="Female"/>
    <x v="2"/>
    <n v="69"/>
    <x v="0"/>
    <x v="1"/>
    <n v="61.4"/>
    <n v="4059.85"/>
    <x v="0"/>
    <s v="No"/>
    <x v="3"/>
    <n v="4059.85"/>
    <x v="2"/>
    <s v="High Spend"/>
  </r>
  <r>
    <s v="4993-JCRGJ"/>
    <s v="Male"/>
    <x v="0"/>
    <n v="26"/>
    <x v="1"/>
    <x v="1"/>
    <n v="84.3"/>
    <n v="2281.6"/>
    <x v="0"/>
    <s v="Yes"/>
    <x v="1"/>
    <n v="2281.6"/>
    <x v="1"/>
    <s v="Standard Spend"/>
  </r>
  <r>
    <s v="9537-JALFH"/>
    <s v="Male"/>
    <x v="2"/>
    <n v="69"/>
    <x v="2"/>
    <x v="2"/>
    <n v="19.899999999999999"/>
    <n v="1356.7"/>
    <x v="0"/>
    <s v="No"/>
    <x v="2"/>
    <n v="1356.7"/>
    <x v="2"/>
    <s v="Standard Spend"/>
  </r>
  <r>
    <s v="6698-OXETB"/>
    <s v="Male"/>
    <x v="2"/>
    <n v="11"/>
    <x v="2"/>
    <x v="2"/>
    <n v="20.399999999999999"/>
    <n v="231.45"/>
    <x v="0"/>
    <s v="No"/>
    <x v="1"/>
    <n v="231.45"/>
    <x v="0"/>
    <s v="Standard Spend"/>
  </r>
  <r>
    <s v="2103-ZRXFN"/>
    <s v="Male"/>
    <x v="0"/>
    <n v="1"/>
    <x v="0"/>
    <x v="0"/>
    <n v="50.75"/>
    <n v="50.75"/>
    <x v="0"/>
    <s v="No"/>
    <x v="1"/>
    <n v="50.75"/>
    <x v="0"/>
    <s v="Standard Spend"/>
  </r>
  <r>
    <s v="3724-BSCVH"/>
    <s v="Male"/>
    <x v="1"/>
    <n v="10"/>
    <x v="2"/>
    <x v="2"/>
    <n v="20.45"/>
    <n v="242.4"/>
    <x v="0"/>
    <s v="No"/>
    <x v="1"/>
    <n v="242.4"/>
    <x v="0"/>
    <s v="Standard Spend"/>
  </r>
  <r>
    <s v="4877-TSOFF"/>
    <s v="Female"/>
    <x v="1"/>
    <n v="55"/>
    <x v="0"/>
    <x v="1"/>
    <n v="75.75"/>
    <n v="4264.25"/>
    <x v="0"/>
    <s v="Yes"/>
    <x v="2"/>
    <n v="4264.25"/>
    <x v="2"/>
    <s v="High Spend"/>
  </r>
  <r>
    <s v="9209-NWPGU"/>
    <s v="Male"/>
    <x v="1"/>
    <n v="44"/>
    <x v="0"/>
    <x v="1"/>
    <n v="65.400000000000006"/>
    <n v="2774.55"/>
    <x v="0"/>
    <s v="No"/>
    <x v="0"/>
    <n v="2774.55"/>
    <x v="2"/>
    <s v="High Spend"/>
  </r>
  <r>
    <s v="6961-VCPMC"/>
    <s v="Male"/>
    <x v="0"/>
    <n v="46"/>
    <x v="1"/>
    <x v="0"/>
    <n v="80.400000000000006"/>
    <n v="3605.2"/>
    <x v="1"/>
    <s v="Yes"/>
    <x v="0"/>
    <n v="3605.2"/>
    <x v="2"/>
    <s v="High Spend"/>
  </r>
  <r>
    <s v="7306-YDSOI"/>
    <s v="Male"/>
    <x v="2"/>
    <n v="69"/>
    <x v="0"/>
    <x v="0"/>
    <n v="59.75"/>
    <n v="4069.9"/>
    <x v="0"/>
    <s v="Yes"/>
    <x v="2"/>
    <n v="4069.9"/>
    <x v="2"/>
    <s v="High Spend"/>
  </r>
  <r>
    <s v="5288-AHOUP"/>
    <s v="Male"/>
    <x v="0"/>
    <n v="11"/>
    <x v="1"/>
    <x v="0"/>
    <n v="78.5"/>
    <n v="874.2"/>
    <x v="0"/>
    <s v="Yes"/>
    <x v="0"/>
    <n v="874.2"/>
    <x v="0"/>
    <s v="Standard Spend"/>
  </r>
  <r>
    <s v="6688-UZPWD"/>
    <s v="Female"/>
    <x v="0"/>
    <n v="11"/>
    <x v="1"/>
    <x v="0"/>
    <n v="102"/>
    <n v="1145.3499999999999"/>
    <x v="1"/>
    <s v="Yes"/>
    <x v="0"/>
    <n v="1145.3499999999999"/>
    <x v="0"/>
    <s v="Standard Spend"/>
  </r>
  <r>
    <s v="0655-YDGFJ"/>
    <s v="Male"/>
    <x v="0"/>
    <n v="29"/>
    <x v="0"/>
    <x v="0"/>
    <n v="48.95"/>
    <n v="1323.7"/>
    <x v="0"/>
    <s v="No"/>
    <x v="2"/>
    <n v="1323.7"/>
    <x v="1"/>
    <s v="Standard Spend"/>
  </r>
  <r>
    <s v="8468-EHYJA"/>
    <s v="Female"/>
    <x v="0"/>
    <n v="57"/>
    <x v="1"/>
    <x v="0"/>
    <n v="99.65"/>
    <n v="5497.05"/>
    <x v="0"/>
    <s v="Yes"/>
    <x v="0"/>
    <n v="5497.05"/>
    <x v="2"/>
    <s v="High Spend"/>
  </r>
  <r>
    <s v="6823-SIDFQ"/>
    <s v="Male"/>
    <x v="1"/>
    <n v="28"/>
    <x v="2"/>
    <x v="2"/>
    <n v="18.25"/>
    <n v="534.70000000000005"/>
    <x v="0"/>
    <s v="No"/>
    <x v="3"/>
    <n v="534.70000000000005"/>
    <x v="1"/>
    <s v="Standard Spend"/>
  </r>
  <r>
    <s v="1097-FSPVW"/>
    <s v="Female"/>
    <x v="0"/>
    <n v="42"/>
    <x v="0"/>
    <x v="0"/>
    <n v="54.55"/>
    <n v="2455.0500000000002"/>
    <x v="0"/>
    <s v="No"/>
    <x v="3"/>
    <n v="2455.0500000000002"/>
    <x v="2"/>
    <s v="Standard Spend"/>
  </r>
  <r>
    <s v="2839-RFSQE"/>
    <s v="Female"/>
    <x v="0"/>
    <n v="2"/>
    <x v="2"/>
    <x v="2"/>
    <n v="20.65"/>
    <n v="38.700000000000003"/>
    <x v="1"/>
    <s v="No"/>
    <x v="1"/>
    <n v="38.700000000000003"/>
    <x v="0"/>
    <s v="Standard Spend"/>
  </r>
  <r>
    <s v="8328-SKJNO"/>
    <s v="Male"/>
    <x v="1"/>
    <n v="23"/>
    <x v="0"/>
    <x v="1"/>
    <n v="40.65"/>
    <n v="947.4"/>
    <x v="0"/>
    <s v="No"/>
    <x v="2"/>
    <n v="947.4"/>
    <x v="1"/>
    <s v="Standard Spend"/>
  </r>
  <r>
    <s v="7010-ZMVBF"/>
    <s v="Female"/>
    <x v="0"/>
    <n v="18"/>
    <x v="2"/>
    <x v="2"/>
    <n v="20.45"/>
    <n v="357"/>
    <x v="0"/>
    <s v="No"/>
    <x v="1"/>
    <n v="357"/>
    <x v="1"/>
    <s v="Standard Spend"/>
  </r>
  <r>
    <s v="5201-CBWYG"/>
    <s v="Male"/>
    <x v="1"/>
    <n v="62"/>
    <x v="2"/>
    <x v="2"/>
    <n v="24.8"/>
    <n v="1476.25"/>
    <x v="0"/>
    <s v="No"/>
    <x v="2"/>
    <n v="1476.25"/>
    <x v="2"/>
    <s v="Standard Spend"/>
  </r>
  <r>
    <s v="0968-GSIKN"/>
    <s v="Female"/>
    <x v="0"/>
    <n v="1"/>
    <x v="1"/>
    <x v="0"/>
    <n v="70.8"/>
    <n v="70.8"/>
    <x v="1"/>
    <s v="Yes"/>
    <x v="1"/>
    <n v="70.8"/>
    <x v="0"/>
    <s v="Standard Spend"/>
  </r>
  <r>
    <s v="1965-DDBWU"/>
    <s v="Male"/>
    <x v="0"/>
    <n v="16"/>
    <x v="1"/>
    <x v="1"/>
    <n v="89.05"/>
    <n v="1448.6"/>
    <x v="1"/>
    <s v="Yes"/>
    <x v="3"/>
    <n v="1448.6"/>
    <x v="1"/>
    <s v="Standard Spend"/>
  </r>
  <r>
    <s v="9057-SIHCH"/>
    <s v="Female"/>
    <x v="0"/>
    <n v="3"/>
    <x v="1"/>
    <x v="0"/>
    <n v="96.6"/>
    <n v="291.89999999999998"/>
    <x v="1"/>
    <s v="Yes"/>
    <x v="0"/>
    <n v="291.89999999999998"/>
    <x v="0"/>
    <s v="Standard Spend"/>
  </r>
  <r>
    <s v="6352-GIGGQ"/>
    <s v="Male"/>
    <x v="1"/>
    <n v="67"/>
    <x v="0"/>
    <x v="1"/>
    <n v="88.8"/>
    <n v="5903.15"/>
    <x v="0"/>
    <s v="Yes"/>
    <x v="2"/>
    <n v="5903.15"/>
    <x v="2"/>
    <s v="High Spend"/>
  </r>
  <r>
    <s v="3635-QQRQD"/>
    <s v="Male"/>
    <x v="2"/>
    <n v="62"/>
    <x v="2"/>
    <x v="2"/>
    <n v="20.05"/>
    <n v="1201.6500000000001"/>
    <x v="0"/>
    <s v="Yes"/>
    <x v="3"/>
    <n v="1201.6500000000001"/>
    <x v="2"/>
    <s v="Standard Spend"/>
  </r>
  <r>
    <s v="6771-XWBDM"/>
    <s v="Female"/>
    <x v="0"/>
    <n v="57"/>
    <x v="1"/>
    <x v="0"/>
    <n v="104.5"/>
    <n v="5921.35"/>
    <x v="1"/>
    <s v="Yes"/>
    <x v="3"/>
    <n v="5921.35"/>
    <x v="2"/>
    <s v="High Spend"/>
  </r>
  <r>
    <s v="2897-DOVND"/>
    <s v="Male"/>
    <x v="0"/>
    <n v="2"/>
    <x v="1"/>
    <x v="0"/>
    <n v="69.8"/>
    <n v="146.65"/>
    <x v="0"/>
    <s v="Yes"/>
    <x v="0"/>
    <n v="146.65"/>
    <x v="0"/>
    <s v="Standard Spend"/>
  </r>
  <r>
    <s v="3082-YVEKW"/>
    <s v="Female"/>
    <x v="2"/>
    <n v="23"/>
    <x v="0"/>
    <x v="1"/>
    <n v="77.150000000000006"/>
    <n v="1759.4"/>
    <x v="0"/>
    <s v="Yes"/>
    <x v="2"/>
    <n v="1759.4"/>
    <x v="1"/>
    <s v="Standard Spend"/>
  </r>
  <r>
    <s v="0191-EQUUH"/>
    <s v="Female"/>
    <x v="2"/>
    <n v="25"/>
    <x v="0"/>
    <x v="1"/>
    <n v="35.049999999999997"/>
    <n v="844.45"/>
    <x v="0"/>
    <s v="No"/>
    <x v="2"/>
    <n v="844.45"/>
    <x v="1"/>
    <s v="Standard Spend"/>
  </r>
  <r>
    <s v="7134-HBPBS"/>
    <s v="Female"/>
    <x v="2"/>
    <n v="72"/>
    <x v="1"/>
    <x v="1"/>
    <n v="108.1"/>
    <n v="7774.05"/>
    <x v="0"/>
    <s v="Yes"/>
    <x v="2"/>
    <n v="7774.05"/>
    <x v="2"/>
    <s v="High Spend"/>
  </r>
  <r>
    <s v="3489-HHPFY"/>
    <s v="Female"/>
    <x v="0"/>
    <n v="2"/>
    <x v="1"/>
    <x v="0"/>
    <n v="84.05"/>
    <n v="134.05000000000001"/>
    <x v="0"/>
    <s v="Yes"/>
    <x v="0"/>
    <n v="134.05000000000001"/>
    <x v="0"/>
    <s v="Standard Spend"/>
  </r>
  <r>
    <s v="2926-JEJJC"/>
    <s v="Female"/>
    <x v="1"/>
    <n v="8"/>
    <x v="2"/>
    <x v="2"/>
    <n v="20.2"/>
    <n v="140.94999999999999"/>
    <x v="0"/>
    <s v="Yes"/>
    <x v="2"/>
    <n v="140.94999999999999"/>
    <x v="0"/>
    <s v="Standard Spend"/>
  </r>
  <r>
    <s v="8601-QACRS"/>
    <s v="Female"/>
    <x v="0"/>
    <n v="5"/>
    <x v="0"/>
    <x v="0"/>
    <n v="50.6"/>
    <n v="249.95"/>
    <x v="1"/>
    <s v="Yes"/>
    <x v="1"/>
    <n v="249.95"/>
    <x v="0"/>
    <s v="Standard Spend"/>
  </r>
  <r>
    <s v="4950-BDEUX"/>
    <s v="Male"/>
    <x v="0"/>
    <n v="35"/>
    <x v="0"/>
    <x v="0"/>
    <n v="49.2"/>
    <n v="1701.65"/>
    <x v="0"/>
    <s v="No"/>
    <x v="0"/>
    <n v="1701.65"/>
    <x v="1"/>
    <s v="Standard Spend"/>
  </r>
  <r>
    <s v="5789-LDFXO"/>
    <s v="Male"/>
    <x v="1"/>
    <n v="24"/>
    <x v="2"/>
    <x v="2"/>
    <n v="24.6"/>
    <n v="592.65"/>
    <x v="0"/>
    <s v="No"/>
    <x v="0"/>
    <n v="592.65"/>
    <x v="1"/>
    <s v="Standard Spend"/>
  </r>
  <r>
    <s v="0508-OOLTO"/>
    <s v="Female"/>
    <x v="0"/>
    <n v="2"/>
    <x v="1"/>
    <x v="0"/>
    <n v="71.650000000000006"/>
    <n v="135.75"/>
    <x v="0"/>
    <s v="Yes"/>
    <x v="0"/>
    <n v="135.75"/>
    <x v="0"/>
    <s v="Standard Spend"/>
  </r>
  <r>
    <s v="2984-TBYKU"/>
    <s v="Male"/>
    <x v="2"/>
    <n v="72"/>
    <x v="1"/>
    <x v="1"/>
    <n v="104.9"/>
    <n v="7732.65"/>
    <x v="0"/>
    <s v="Yes"/>
    <x v="3"/>
    <n v="7732.65"/>
    <x v="2"/>
    <s v="High Spend"/>
  </r>
  <r>
    <s v="9822-WMWVG"/>
    <s v="Female"/>
    <x v="0"/>
    <n v="41"/>
    <x v="1"/>
    <x v="1"/>
    <n v="106.5"/>
    <n v="4282.3999999999996"/>
    <x v="0"/>
    <s v="Yes"/>
    <x v="0"/>
    <n v="4282.3999999999996"/>
    <x v="2"/>
    <s v="High Spend"/>
  </r>
  <r>
    <s v="2391-SOORI"/>
    <s v="Male"/>
    <x v="0"/>
    <n v="4"/>
    <x v="0"/>
    <x v="0"/>
    <n v="49.35"/>
    <n v="219.65"/>
    <x v="1"/>
    <s v="No"/>
    <x v="0"/>
    <n v="219.65"/>
    <x v="0"/>
    <s v="Standard Spend"/>
  </r>
  <r>
    <s v="9040-KZVWO"/>
    <s v="Male"/>
    <x v="1"/>
    <n v="26"/>
    <x v="1"/>
    <x v="0"/>
    <n v="75.5"/>
    <n v="2018.1"/>
    <x v="0"/>
    <s v="No"/>
    <x v="2"/>
    <n v="2018.1"/>
    <x v="1"/>
    <s v="Standard Spend"/>
  </r>
  <r>
    <s v="2645-QTLMB"/>
    <s v="Male"/>
    <x v="0"/>
    <n v="7"/>
    <x v="1"/>
    <x v="0"/>
    <n v="94.25"/>
    <n v="669"/>
    <x v="1"/>
    <s v="Yes"/>
    <x v="0"/>
    <n v="669"/>
    <x v="0"/>
    <s v="Standard Spend"/>
  </r>
  <r>
    <s v="4806-HIPDW"/>
    <s v="Female"/>
    <x v="0"/>
    <n v="1"/>
    <x v="1"/>
    <x v="0"/>
    <n v="68.95"/>
    <n v="68.95"/>
    <x v="1"/>
    <s v="Yes"/>
    <x v="0"/>
    <n v="68.95"/>
    <x v="0"/>
    <s v="Standard Spend"/>
  </r>
  <r>
    <s v="1548-ARAGG"/>
    <s v="Female"/>
    <x v="0"/>
    <n v="4"/>
    <x v="0"/>
    <x v="1"/>
    <n v="58.5"/>
    <n v="224.85"/>
    <x v="0"/>
    <s v="Yes"/>
    <x v="1"/>
    <n v="224.85"/>
    <x v="0"/>
    <s v="Standard Spend"/>
  </r>
  <r>
    <s v="6339-RZCBJ"/>
    <s v="Male"/>
    <x v="2"/>
    <n v="48"/>
    <x v="0"/>
    <x v="1"/>
    <n v="78.900000000000006"/>
    <n v="3771.5"/>
    <x v="0"/>
    <s v="No"/>
    <x v="3"/>
    <n v="3771.5"/>
    <x v="2"/>
    <s v="High Spend"/>
  </r>
  <r>
    <s v="4424-TKOPW"/>
    <s v="Male"/>
    <x v="0"/>
    <n v="2"/>
    <x v="1"/>
    <x v="0"/>
    <n v="93.85"/>
    <n v="196.75"/>
    <x v="1"/>
    <s v="Yes"/>
    <x v="0"/>
    <n v="196.75"/>
    <x v="0"/>
    <s v="Standard Spend"/>
  </r>
  <r>
    <s v="4415-WNGVR"/>
    <s v="Female"/>
    <x v="1"/>
    <n v="12"/>
    <x v="0"/>
    <x v="1"/>
    <n v="79.2"/>
    <n v="943.85"/>
    <x v="0"/>
    <s v="Yes"/>
    <x v="0"/>
    <n v="943.85"/>
    <x v="0"/>
    <s v="Standard Spend"/>
  </r>
  <r>
    <s v="2522-AHJXR"/>
    <s v="Male"/>
    <x v="0"/>
    <n v="60"/>
    <x v="1"/>
    <x v="1"/>
    <n v="109.45"/>
    <n v="6572.85"/>
    <x v="0"/>
    <s v="Yes"/>
    <x v="2"/>
    <n v="6572.85"/>
    <x v="2"/>
    <s v="High Spend"/>
  </r>
  <r>
    <s v="0412-UCCNP"/>
    <s v="Male"/>
    <x v="2"/>
    <n v="55"/>
    <x v="0"/>
    <x v="1"/>
    <n v="59.2"/>
    <n v="3175.85"/>
    <x v="0"/>
    <s v="Yes"/>
    <x v="0"/>
    <n v="3175.85"/>
    <x v="2"/>
    <s v="High Spend"/>
  </r>
  <r>
    <s v="1816-FLZDK"/>
    <s v="Male"/>
    <x v="0"/>
    <n v="1"/>
    <x v="0"/>
    <x v="1"/>
    <n v="29.15"/>
    <n v="29.15"/>
    <x v="0"/>
    <s v="No"/>
    <x v="1"/>
    <n v="29.15"/>
    <x v="0"/>
    <s v="Standard Spend"/>
  </r>
  <r>
    <s v="7096-UCLNH"/>
    <s v="Male"/>
    <x v="0"/>
    <n v="1"/>
    <x v="2"/>
    <x v="2"/>
    <n v="20.05"/>
    <n v="20.05"/>
    <x v="0"/>
    <s v="No"/>
    <x v="1"/>
    <n v="20.05"/>
    <x v="0"/>
    <s v="Standard Spend"/>
  </r>
  <r>
    <s v="8443-ZRDBZ"/>
    <s v="Male"/>
    <x v="0"/>
    <n v="4"/>
    <x v="1"/>
    <x v="0"/>
    <n v="76.05"/>
    <n v="318.89999999999998"/>
    <x v="1"/>
    <s v="Yes"/>
    <x v="0"/>
    <n v="318.89999999999998"/>
    <x v="0"/>
    <s v="Standard Spend"/>
  </r>
  <r>
    <s v="9136-ALYBR"/>
    <s v="Male"/>
    <x v="0"/>
    <n v="1"/>
    <x v="0"/>
    <x v="0"/>
    <n v="24.45"/>
    <n v="24.45"/>
    <x v="1"/>
    <s v="Yes"/>
    <x v="1"/>
    <n v="24.45"/>
    <x v="0"/>
    <s v="Standard Spend"/>
  </r>
  <r>
    <s v="4615-PIVVU"/>
    <s v="Female"/>
    <x v="2"/>
    <n v="42"/>
    <x v="0"/>
    <x v="1"/>
    <n v="66.5"/>
    <n v="2762.75"/>
    <x v="0"/>
    <s v="No"/>
    <x v="3"/>
    <n v="2762.75"/>
    <x v="2"/>
    <s v="High Spend"/>
  </r>
  <r>
    <s v="8885-QSQBX"/>
    <s v="Female"/>
    <x v="0"/>
    <n v="1"/>
    <x v="0"/>
    <x v="0"/>
    <n v="49.55"/>
    <n v="49.55"/>
    <x v="0"/>
    <s v="No"/>
    <x v="2"/>
    <n v="49.55"/>
    <x v="0"/>
    <s v="Standard Spend"/>
  </r>
  <r>
    <s v="7479-NITWS"/>
    <s v="Male"/>
    <x v="0"/>
    <n v="7"/>
    <x v="1"/>
    <x v="0"/>
    <n v="89.35"/>
    <n v="631.85"/>
    <x v="1"/>
    <s v="Yes"/>
    <x v="3"/>
    <n v="631.85"/>
    <x v="0"/>
    <s v="Standard Spend"/>
  </r>
  <r>
    <s v="8617-ENBDS"/>
    <s v="Male"/>
    <x v="0"/>
    <n v="3"/>
    <x v="1"/>
    <x v="0"/>
    <n v="73.599999999999994"/>
    <n v="232.5"/>
    <x v="0"/>
    <s v="Yes"/>
    <x v="3"/>
    <n v="232.5"/>
    <x v="0"/>
    <s v="Standard Spend"/>
  </r>
  <r>
    <s v="9385-NXKDA"/>
    <s v="Female"/>
    <x v="2"/>
    <n v="72"/>
    <x v="0"/>
    <x v="0"/>
    <n v="82.65"/>
    <n v="5919.35"/>
    <x v="0"/>
    <s v="Yes"/>
    <x v="3"/>
    <n v="5919.35"/>
    <x v="2"/>
    <s v="High Spend"/>
  </r>
  <r>
    <s v="0430-IHCDJ"/>
    <s v="Male"/>
    <x v="0"/>
    <n v="15"/>
    <x v="0"/>
    <x v="0"/>
    <n v="49"/>
    <n v="749.25"/>
    <x v="0"/>
    <s v="Yes"/>
    <x v="0"/>
    <n v="749.25"/>
    <x v="1"/>
    <s v="Standard Spend"/>
  </r>
  <r>
    <s v="2959-MJHIC"/>
    <s v="Male"/>
    <x v="0"/>
    <n v="4"/>
    <x v="1"/>
    <x v="0"/>
    <n v="80.349999999999994"/>
    <n v="307.39999999999998"/>
    <x v="1"/>
    <s v="Yes"/>
    <x v="0"/>
    <n v="307.39999999999998"/>
    <x v="0"/>
    <s v="Standard Spend"/>
  </r>
  <r>
    <s v="6674-KVJHG"/>
    <s v="Female"/>
    <x v="1"/>
    <n v="11"/>
    <x v="2"/>
    <x v="2"/>
    <n v="25.2"/>
    <n v="245.15"/>
    <x v="0"/>
    <s v="No"/>
    <x v="0"/>
    <n v="245.15"/>
    <x v="0"/>
    <s v="Standard Spend"/>
  </r>
  <r>
    <s v="1814-DKOLC"/>
    <s v="Female"/>
    <x v="0"/>
    <n v="5"/>
    <x v="2"/>
    <x v="2"/>
    <n v="25.45"/>
    <n v="134.75"/>
    <x v="0"/>
    <s v="No"/>
    <x v="1"/>
    <n v="134.75"/>
    <x v="0"/>
    <s v="Standard Spend"/>
  </r>
  <r>
    <s v="4201-JMNGR"/>
    <s v="Female"/>
    <x v="0"/>
    <n v="1"/>
    <x v="0"/>
    <x v="0"/>
    <n v="55.8"/>
    <n v="55.8"/>
    <x v="1"/>
    <s v="Yes"/>
    <x v="0"/>
    <n v="55.8"/>
    <x v="0"/>
    <s v="Standard Spend"/>
  </r>
  <r>
    <s v="9351-HXDMR"/>
    <s v="Male"/>
    <x v="2"/>
    <n v="72"/>
    <x v="1"/>
    <x v="1"/>
    <n v="110.9"/>
    <n v="8240.85"/>
    <x v="0"/>
    <s v="Yes"/>
    <x v="3"/>
    <n v="8240.85"/>
    <x v="2"/>
    <s v="High Spend"/>
  </r>
  <r>
    <s v="3537-HPKQT"/>
    <s v="Female"/>
    <x v="0"/>
    <n v="55"/>
    <x v="1"/>
    <x v="0"/>
    <n v="77.75"/>
    <n v="4266.3999999999996"/>
    <x v="0"/>
    <s v="Yes"/>
    <x v="3"/>
    <n v="4266.3999999999996"/>
    <x v="2"/>
    <s v="High Spend"/>
  </r>
  <r>
    <s v="2129-ALKBS"/>
    <s v="Female"/>
    <x v="0"/>
    <n v="40"/>
    <x v="2"/>
    <x v="2"/>
    <n v="26.2"/>
    <n v="1077.5"/>
    <x v="0"/>
    <s v="Yes"/>
    <x v="0"/>
    <n v="1077.5"/>
    <x v="2"/>
    <s v="Standard Spend"/>
  </r>
  <r>
    <s v="5821-MMEIL"/>
    <s v="Female"/>
    <x v="2"/>
    <n v="57"/>
    <x v="2"/>
    <x v="2"/>
    <n v="19.899999999999999"/>
    <n v="1115.5999999999999"/>
    <x v="0"/>
    <s v="No"/>
    <x v="2"/>
    <n v="1115.5999999999999"/>
    <x v="2"/>
    <s v="Standard Spend"/>
  </r>
  <r>
    <s v="5960-WPXQM"/>
    <s v="Male"/>
    <x v="0"/>
    <n v="1"/>
    <x v="1"/>
    <x v="0"/>
    <n v="79.05"/>
    <n v="79.05"/>
    <x v="1"/>
    <s v="Yes"/>
    <x v="0"/>
    <n v="79.05"/>
    <x v="0"/>
    <s v="Standard Spend"/>
  </r>
  <r>
    <s v="0684-AOSIH"/>
    <s v="Male"/>
    <x v="0"/>
    <n v="1"/>
    <x v="1"/>
    <x v="0"/>
    <n v="95"/>
    <n v="95"/>
    <x v="1"/>
    <s v="Yes"/>
    <x v="0"/>
    <n v="95"/>
    <x v="0"/>
    <s v="Standard Spend"/>
  </r>
  <r>
    <s v="8260-NGFNY"/>
    <s v="Female"/>
    <x v="0"/>
    <n v="1"/>
    <x v="0"/>
    <x v="0"/>
    <n v="25.2"/>
    <n v="25.2"/>
    <x v="1"/>
    <s v="No"/>
    <x v="1"/>
    <n v="25.2"/>
    <x v="0"/>
    <s v="Standard Spend"/>
  </r>
  <r>
    <s v="1309-XGFSN"/>
    <s v="Male"/>
    <x v="1"/>
    <n v="52"/>
    <x v="0"/>
    <x v="0"/>
    <n v="80.849999999999994"/>
    <n v="4079.55"/>
    <x v="0"/>
    <s v="Yes"/>
    <x v="0"/>
    <n v="4079.55"/>
    <x v="2"/>
    <s v="High Spend"/>
  </r>
  <r>
    <s v="1866-RZZQS"/>
    <s v="Male"/>
    <x v="0"/>
    <n v="41"/>
    <x v="1"/>
    <x v="0"/>
    <n v="98.4"/>
    <n v="4187.75"/>
    <x v="1"/>
    <s v="Yes"/>
    <x v="0"/>
    <n v="4187.75"/>
    <x v="2"/>
    <s v="High Spend"/>
  </r>
  <r>
    <s v="6968-URWQU"/>
    <s v="Male"/>
    <x v="1"/>
    <n v="43"/>
    <x v="0"/>
    <x v="0"/>
    <n v="56.35"/>
    <n v="2391.15"/>
    <x v="0"/>
    <s v="Yes"/>
    <x v="1"/>
    <n v="2391.15"/>
    <x v="2"/>
    <s v="Standard Spend"/>
  </r>
  <r>
    <s v="4742-TXUEX"/>
    <s v="Female"/>
    <x v="2"/>
    <n v="47"/>
    <x v="2"/>
    <x v="2"/>
    <n v="19.3"/>
    <n v="890.5"/>
    <x v="0"/>
    <s v="No"/>
    <x v="2"/>
    <n v="890.5"/>
    <x v="2"/>
    <s v="Standard Spend"/>
  </r>
  <r>
    <s v="9631-XEYKE"/>
    <s v="Male"/>
    <x v="0"/>
    <n v="3"/>
    <x v="0"/>
    <x v="0"/>
    <n v="50.4"/>
    <n v="137.25"/>
    <x v="0"/>
    <s v="No"/>
    <x v="2"/>
    <n v="137.25"/>
    <x v="0"/>
    <s v="Standard Spend"/>
  </r>
  <r>
    <s v="8631-NBHFZ"/>
    <s v="Male"/>
    <x v="2"/>
    <n v="66"/>
    <x v="0"/>
    <x v="1"/>
    <n v="79.400000000000006"/>
    <n v="5154.6000000000004"/>
    <x v="1"/>
    <s v="No"/>
    <x v="3"/>
    <n v="5154.6000000000004"/>
    <x v="2"/>
    <s v="High Spend"/>
  </r>
  <r>
    <s v="1335-MXCSE"/>
    <s v="Male"/>
    <x v="2"/>
    <n v="55"/>
    <x v="0"/>
    <x v="1"/>
    <n v="55.25"/>
    <n v="3119.9"/>
    <x v="0"/>
    <s v="Yes"/>
    <x v="3"/>
    <n v="3119.9"/>
    <x v="2"/>
    <s v="High Spend"/>
  </r>
  <r>
    <s v="8873-TMKGR"/>
    <s v="Male"/>
    <x v="1"/>
    <n v="29"/>
    <x v="2"/>
    <x v="2"/>
    <n v="19.100000000000001"/>
    <n v="529.5"/>
    <x v="0"/>
    <s v="No"/>
    <x v="1"/>
    <n v="529.5"/>
    <x v="1"/>
    <s v="Standard Spend"/>
  </r>
  <r>
    <s v="8800-JOOCF"/>
    <s v="Female"/>
    <x v="0"/>
    <n v="12"/>
    <x v="1"/>
    <x v="0"/>
    <n v="84.05"/>
    <n v="966.55"/>
    <x v="0"/>
    <s v="Yes"/>
    <x v="0"/>
    <n v="966.55"/>
    <x v="0"/>
    <s v="Standard Spend"/>
  </r>
  <r>
    <s v="1469-LBJQJ"/>
    <s v="Female"/>
    <x v="0"/>
    <n v="66"/>
    <x v="1"/>
    <x v="0"/>
    <n v="105.2"/>
    <n v="6936.85"/>
    <x v="0"/>
    <s v="Yes"/>
    <x v="0"/>
    <n v="6936.85"/>
    <x v="2"/>
    <s v="High Spend"/>
  </r>
  <r>
    <s v="4958-XCBDQ"/>
    <s v="Male"/>
    <x v="0"/>
    <n v="35"/>
    <x v="1"/>
    <x v="0"/>
    <n v="101.4"/>
    <n v="3496.3"/>
    <x v="1"/>
    <s v="Yes"/>
    <x v="0"/>
    <n v="3496.3"/>
    <x v="1"/>
    <s v="High Spend"/>
  </r>
  <r>
    <s v="8337-UPOAQ"/>
    <s v="Male"/>
    <x v="0"/>
    <n v="10"/>
    <x v="1"/>
    <x v="0"/>
    <n v="89.8"/>
    <n v="914.3"/>
    <x v="1"/>
    <s v="Yes"/>
    <x v="0"/>
    <n v="914.3"/>
    <x v="0"/>
    <s v="Standard Spend"/>
  </r>
  <r>
    <s v="0064-YIJGF"/>
    <s v="Male"/>
    <x v="0"/>
    <n v="27"/>
    <x v="1"/>
    <x v="0"/>
    <n v="75.75"/>
    <n v="1929"/>
    <x v="0"/>
    <s v="Yes"/>
    <x v="2"/>
    <n v="1929"/>
    <x v="1"/>
    <s v="Standard Spend"/>
  </r>
  <r>
    <s v="2386-OWURY"/>
    <s v="Female"/>
    <x v="0"/>
    <n v="58"/>
    <x v="1"/>
    <x v="1"/>
    <n v="95.3"/>
    <n v="5817.7"/>
    <x v="0"/>
    <s v="Yes"/>
    <x v="0"/>
    <n v="5817.7"/>
    <x v="2"/>
    <s v="High Spend"/>
  </r>
  <r>
    <s v="1725-IQNIY"/>
    <s v="Male"/>
    <x v="2"/>
    <n v="54"/>
    <x v="1"/>
    <x v="1"/>
    <n v="109.75"/>
    <n v="6110.2"/>
    <x v="1"/>
    <s v="No"/>
    <x v="2"/>
    <n v="6110.2"/>
    <x v="2"/>
    <s v="High Spend"/>
  </r>
  <r>
    <s v="0310-VQXAM"/>
    <s v="Male"/>
    <x v="0"/>
    <n v="9"/>
    <x v="2"/>
    <x v="2"/>
    <n v="19.850000000000001"/>
    <n v="178.8"/>
    <x v="0"/>
    <s v="No"/>
    <x v="1"/>
    <n v="178.8"/>
    <x v="0"/>
    <s v="Standard Spend"/>
  </r>
  <r>
    <s v="6598-RFFVI"/>
    <s v="Male"/>
    <x v="1"/>
    <n v="2"/>
    <x v="2"/>
    <x v="2"/>
    <n v="19.3"/>
    <n v="28.3"/>
    <x v="1"/>
    <s v="No"/>
    <x v="3"/>
    <n v="28.3"/>
    <x v="0"/>
    <s v="Standard Spend"/>
  </r>
  <r>
    <s v="3453-RTHJQ"/>
    <s v="Male"/>
    <x v="0"/>
    <n v="6"/>
    <x v="1"/>
    <x v="0"/>
    <n v="69.099999999999994"/>
    <n v="435"/>
    <x v="0"/>
    <s v="Yes"/>
    <x v="0"/>
    <n v="435"/>
    <x v="0"/>
    <s v="Standard Spend"/>
  </r>
  <r>
    <s v="6712-OAWRH"/>
    <s v="Female"/>
    <x v="0"/>
    <n v="26"/>
    <x v="1"/>
    <x v="0"/>
    <n v="91.25"/>
    <n v="2351.8000000000002"/>
    <x v="1"/>
    <s v="Yes"/>
    <x v="0"/>
    <n v="2351.8000000000002"/>
    <x v="1"/>
    <s v="Standard Spend"/>
  </r>
  <r>
    <s v="6278-FEPBZ"/>
    <s v="Female"/>
    <x v="0"/>
    <n v="9"/>
    <x v="2"/>
    <x v="2"/>
    <n v="20.25"/>
    <n v="186.15"/>
    <x v="0"/>
    <s v="No"/>
    <x v="1"/>
    <n v="186.15"/>
    <x v="0"/>
    <s v="Standard Spend"/>
  </r>
  <r>
    <s v="4280-DLSHD"/>
    <s v="Male"/>
    <x v="0"/>
    <n v="8"/>
    <x v="0"/>
    <x v="0"/>
    <n v="54.75"/>
    <n v="445.85"/>
    <x v="0"/>
    <s v="Yes"/>
    <x v="1"/>
    <n v="445.85"/>
    <x v="0"/>
    <s v="Standard Spend"/>
  </r>
  <r>
    <s v="1508-DFXCU"/>
    <s v="Male"/>
    <x v="0"/>
    <n v="12"/>
    <x v="1"/>
    <x v="0"/>
    <n v="81.45"/>
    <n v="912"/>
    <x v="0"/>
    <s v="Yes"/>
    <x v="0"/>
    <n v="912"/>
    <x v="0"/>
    <s v="Standard Spend"/>
  </r>
  <r>
    <s v="8614-VGMMV"/>
    <s v="Female"/>
    <x v="0"/>
    <n v="15"/>
    <x v="0"/>
    <x v="0"/>
    <n v="49.1"/>
    <n v="679.55"/>
    <x v="1"/>
    <s v="Yes"/>
    <x v="0"/>
    <n v="679.55"/>
    <x v="1"/>
    <s v="Standard Spend"/>
  </r>
  <r>
    <s v="7868-BGSZA"/>
    <s v="Male"/>
    <x v="1"/>
    <n v="43"/>
    <x v="0"/>
    <x v="0"/>
    <n v="80.2"/>
    <n v="3581.6"/>
    <x v="0"/>
    <s v="Yes"/>
    <x v="0"/>
    <n v="3581.6"/>
    <x v="2"/>
    <s v="High Spend"/>
  </r>
  <r>
    <s v="2800-QQUSO"/>
    <s v="Male"/>
    <x v="0"/>
    <n v="42"/>
    <x v="1"/>
    <x v="1"/>
    <n v="100.3"/>
    <n v="4222.95"/>
    <x v="0"/>
    <s v="Yes"/>
    <x v="0"/>
    <n v="4222.95"/>
    <x v="2"/>
    <s v="High Spend"/>
  </r>
  <r>
    <s v="2930-UOTMB"/>
    <s v="Female"/>
    <x v="0"/>
    <n v="31"/>
    <x v="0"/>
    <x v="1"/>
    <n v="65.25"/>
    <n v="1994.3"/>
    <x v="1"/>
    <s v="No"/>
    <x v="3"/>
    <n v="1994.3"/>
    <x v="1"/>
    <s v="Standard Spend"/>
  </r>
  <r>
    <s v="7973-DZRKH"/>
    <s v="Female"/>
    <x v="2"/>
    <n v="66"/>
    <x v="1"/>
    <x v="1"/>
    <n v="90.95"/>
    <n v="5930.05"/>
    <x v="0"/>
    <s v="Yes"/>
    <x v="3"/>
    <n v="5930.05"/>
    <x v="2"/>
    <s v="High Spend"/>
  </r>
  <r>
    <s v="5914-DVBWJ"/>
    <s v="Female"/>
    <x v="0"/>
    <n v="18"/>
    <x v="1"/>
    <x v="1"/>
    <n v="85.45"/>
    <n v="1505.85"/>
    <x v="1"/>
    <s v="Yes"/>
    <x v="0"/>
    <n v="1505.85"/>
    <x v="1"/>
    <s v="Standard Spend"/>
  </r>
  <r>
    <s v="7698-YFGEZ"/>
    <s v="Male"/>
    <x v="0"/>
    <n v="1"/>
    <x v="2"/>
    <x v="2"/>
    <n v="20"/>
    <n v="20"/>
    <x v="0"/>
    <s v="No"/>
    <x v="1"/>
    <n v="20"/>
    <x v="0"/>
    <s v="Standard Spend"/>
  </r>
  <r>
    <s v="2533-QVMSK"/>
    <s v="Male"/>
    <x v="2"/>
    <n v="61"/>
    <x v="1"/>
    <x v="1"/>
    <n v="94.1"/>
    <n v="5638.3"/>
    <x v="1"/>
    <s v="Yes"/>
    <x v="0"/>
    <n v="5638.3"/>
    <x v="2"/>
    <s v="High Spend"/>
  </r>
  <r>
    <s v="9773-PEQBZ"/>
    <s v="Male"/>
    <x v="0"/>
    <n v="10"/>
    <x v="1"/>
    <x v="0"/>
    <n v="79.849999999999994"/>
    <n v="797.25"/>
    <x v="0"/>
    <s v="No"/>
    <x v="0"/>
    <n v="797.25"/>
    <x v="0"/>
    <s v="Standard Spend"/>
  </r>
  <r>
    <s v="8644-XLFBW"/>
    <s v="Male"/>
    <x v="0"/>
    <n v="1"/>
    <x v="1"/>
    <x v="0"/>
    <n v="71.650000000000006"/>
    <n v="71.650000000000006"/>
    <x v="1"/>
    <s v="Yes"/>
    <x v="0"/>
    <n v="71.650000000000006"/>
    <x v="0"/>
    <s v="Standard Spend"/>
  </r>
  <r>
    <s v="0650-BWOZN"/>
    <s v="Female"/>
    <x v="0"/>
    <n v="18"/>
    <x v="1"/>
    <x v="0"/>
    <n v="73.55"/>
    <n v="1359.45"/>
    <x v="0"/>
    <s v="Yes"/>
    <x v="0"/>
    <n v="1359.45"/>
    <x v="1"/>
    <s v="Standard Spend"/>
  </r>
  <r>
    <s v="8625-AZYZY"/>
    <s v="Male"/>
    <x v="0"/>
    <n v="24"/>
    <x v="1"/>
    <x v="0"/>
    <n v="104.65"/>
    <n v="2542.4499999999998"/>
    <x v="1"/>
    <s v="Yes"/>
    <x v="0"/>
    <n v="2542.4499999999998"/>
    <x v="1"/>
    <s v="High Spend"/>
  </r>
  <r>
    <s v="7785-RDVIG"/>
    <s v="Female"/>
    <x v="0"/>
    <n v="3"/>
    <x v="2"/>
    <x v="2"/>
    <n v="19.3"/>
    <n v="54.7"/>
    <x v="0"/>
    <s v="No"/>
    <x v="1"/>
    <n v="54.7"/>
    <x v="0"/>
    <s v="Standard Spend"/>
  </r>
  <r>
    <s v="9602-WCXPI"/>
    <s v="Male"/>
    <x v="1"/>
    <n v="50"/>
    <x v="2"/>
    <x v="2"/>
    <n v="20.149999999999999"/>
    <n v="989.05"/>
    <x v="0"/>
    <s v="No"/>
    <x v="3"/>
    <n v="989.05"/>
    <x v="2"/>
    <s v="Standard Spend"/>
  </r>
  <r>
    <s v="2903-YYTBW"/>
    <s v="Male"/>
    <x v="0"/>
    <n v="1"/>
    <x v="0"/>
    <x v="0"/>
    <n v="44.55"/>
    <n v="44.55"/>
    <x v="0"/>
    <s v="No"/>
    <x v="0"/>
    <n v="44.55"/>
    <x v="0"/>
    <s v="Standard Spend"/>
  </r>
  <r>
    <s v="3620-MWJNE"/>
    <s v="Male"/>
    <x v="0"/>
    <n v="2"/>
    <x v="0"/>
    <x v="1"/>
    <n v="54.45"/>
    <n v="87.3"/>
    <x v="0"/>
    <s v="Yes"/>
    <x v="1"/>
    <n v="87.3"/>
    <x v="0"/>
    <s v="Standard Spend"/>
  </r>
  <r>
    <s v="8573-JGCZW"/>
    <s v="Male"/>
    <x v="1"/>
    <n v="17"/>
    <x v="2"/>
    <x v="2"/>
    <n v="19.649999999999999"/>
    <n v="351.55"/>
    <x v="0"/>
    <s v="Yes"/>
    <x v="2"/>
    <n v="351.55"/>
    <x v="1"/>
    <s v="Standard Spend"/>
  </r>
  <r>
    <s v="6837-HAEVO"/>
    <s v="Male"/>
    <x v="2"/>
    <n v="69"/>
    <x v="1"/>
    <x v="0"/>
    <n v="105"/>
    <n v="7297.75"/>
    <x v="0"/>
    <s v="Yes"/>
    <x v="0"/>
    <n v="7297.75"/>
    <x v="2"/>
    <s v="High Spend"/>
  </r>
  <r>
    <s v="6701-YVNQG"/>
    <s v="Male"/>
    <x v="2"/>
    <n v="72"/>
    <x v="0"/>
    <x v="1"/>
    <n v="88.7"/>
    <n v="6301.7"/>
    <x v="0"/>
    <s v="Yes"/>
    <x v="3"/>
    <n v="6301.7"/>
    <x v="2"/>
    <s v="High Spend"/>
  </r>
  <r>
    <s v="9306-CPCBC"/>
    <s v="Female"/>
    <x v="0"/>
    <n v="3"/>
    <x v="1"/>
    <x v="0"/>
    <n v="74.25"/>
    <n v="210.3"/>
    <x v="1"/>
    <s v="Yes"/>
    <x v="0"/>
    <n v="210.3"/>
    <x v="0"/>
    <s v="Standard Spend"/>
  </r>
  <r>
    <s v="4304-XUMGI"/>
    <s v="Male"/>
    <x v="2"/>
    <n v="50"/>
    <x v="0"/>
    <x v="0"/>
    <n v="75.150000000000006"/>
    <n v="3822.45"/>
    <x v="0"/>
    <s v="Yes"/>
    <x v="2"/>
    <n v="3822.45"/>
    <x v="2"/>
    <s v="High Spend"/>
  </r>
  <r>
    <s v="9504-YAZWB"/>
    <s v="Female"/>
    <x v="2"/>
    <n v="53"/>
    <x v="2"/>
    <x v="2"/>
    <n v="20.25"/>
    <n v="1048.45"/>
    <x v="0"/>
    <s v="No"/>
    <x v="1"/>
    <n v="1048.45"/>
    <x v="2"/>
    <s v="Standard Spend"/>
  </r>
  <r>
    <s v="8819-ZBYNA"/>
    <s v="Female"/>
    <x v="2"/>
    <n v="58"/>
    <x v="1"/>
    <x v="1"/>
    <n v="109.1"/>
    <n v="6393.65"/>
    <x v="0"/>
    <s v="Yes"/>
    <x v="3"/>
    <n v="6393.65"/>
    <x v="2"/>
    <s v="High Spend"/>
  </r>
  <r>
    <s v="6174-NRBTZ"/>
    <s v="Male"/>
    <x v="1"/>
    <n v="46"/>
    <x v="0"/>
    <x v="0"/>
    <n v="30.75"/>
    <n v="1489.3"/>
    <x v="0"/>
    <s v="Yes"/>
    <x v="2"/>
    <n v="1489.3"/>
    <x v="2"/>
    <s v="Standard Spend"/>
  </r>
  <r>
    <s v="9481-IEBZY"/>
    <s v="Male"/>
    <x v="0"/>
    <n v="72"/>
    <x v="1"/>
    <x v="1"/>
    <n v="112.9"/>
    <n v="8061.5"/>
    <x v="0"/>
    <s v="Yes"/>
    <x v="3"/>
    <n v="8061.5"/>
    <x v="2"/>
    <s v="High Spend"/>
  </r>
  <r>
    <s v="1833-VGRUM"/>
    <s v="Female"/>
    <x v="0"/>
    <n v="1"/>
    <x v="1"/>
    <x v="0"/>
    <n v="74.2"/>
    <n v="74.2"/>
    <x v="1"/>
    <s v="Yes"/>
    <x v="0"/>
    <n v="74.2"/>
    <x v="0"/>
    <s v="Standard Spend"/>
  </r>
  <r>
    <s v="6137-NICCO"/>
    <s v="Female"/>
    <x v="0"/>
    <n v="6"/>
    <x v="1"/>
    <x v="0"/>
    <n v="94.05"/>
    <n v="518.75"/>
    <x v="0"/>
    <s v="Yes"/>
    <x v="1"/>
    <n v="518.75"/>
    <x v="0"/>
    <s v="Standard Spend"/>
  </r>
  <r>
    <s v="9065-ZCPQX"/>
    <s v="Male"/>
    <x v="2"/>
    <n v="72"/>
    <x v="0"/>
    <x v="1"/>
    <n v="78.849999999999994"/>
    <n v="5763.15"/>
    <x v="0"/>
    <s v="No"/>
    <x v="2"/>
    <n v="5763.15"/>
    <x v="2"/>
    <s v="High Spend"/>
  </r>
  <r>
    <s v="6402-EJMWF"/>
    <s v="Male"/>
    <x v="0"/>
    <n v="4"/>
    <x v="0"/>
    <x v="0"/>
    <n v="55.3"/>
    <n v="238.5"/>
    <x v="0"/>
    <s v="Yes"/>
    <x v="1"/>
    <n v="238.5"/>
    <x v="0"/>
    <s v="Standard Spend"/>
  </r>
  <r>
    <s v="3620-EHIMZ"/>
    <s v="Female"/>
    <x v="2"/>
    <n v="52"/>
    <x v="2"/>
    <x v="2"/>
    <n v="19.350000000000001"/>
    <n v="1031.7"/>
    <x v="0"/>
    <s v="No"/>
    <x v="1"/>
    <n v="1031.7"/>
    <x v="2"/>
    <s v="Standard Spend"/>
  </r>
  <r>
    <s v="3213-VVOLG"/>
    <s v="Male"/>
    <x v="2"/>
    <n v="0"/>
    <x v="2"/>
    <x v="2"/>
    <n v="25.35"/>
    <s v=" "/>
    <x v="0"/>
    <s v="No"/>
    <x v="1"/>
    <n v="0"/>
    <x v="0"/>
    <s v="High Spend"/>
  </r>
  <r>
    <s v="6870-ECSHE"/>
    <s v="Female"/>
    <x v="1"/>
    <n v="2"/>
    <x v="2"/>
    <x v="2"/>
    <n v="20.45"/>
    <n v="34.799999999999997"/>
    <x v="0"/>
    <s v="No"/>
    <x v="1"/>
    <n v="34.799999999999997"/>
    <x v="0"/>
    <s v="Standard Spend"/>
  </r>
  <r>
    <s v="8747-UDCOI"/>
    <s v="Female"/>
    <x v="2"/>
    <n v="65"/>
    <x v="2"/>
    <x v="2"/>
    <n v="19.350000000000001"/>
    <n v="1319.95"/>
    <x v="0"/>
    <s v="No"/>
    <x v="2"/>
    <n v="1319.95"/>
    <x v="2"/>
    <s v="Standard Spend"/>
  </r>
  <r>
    <s v="8374-XGEJJ"/>
    <s v="Male"/>
    <x v="0"/>
    <n v="43"/>
    <x v="1"/>
    <x v="0"/>
    <n v="101"/>
    <n v="4388.3999999999996"/>
    <x v="1"/>
    <s v="Yes"/>
    <x v="0"/>
    <n v="4388.3999999999996"/>
    <x v="2"/>
    <s v="High Spend"/>
  </r>
  <r>
    <s v="2656-TABEH"/>
    <s v="Male"/>
    <x v="0"/>
    <n v="4"/>
    <x v="1"/>
    <x v="0"/>
    <n v="100.2"/>
    <n v="420.2"/>
    <x v="1"/>
    <s v="Yes"/>
    <x v="0"/>
    <n v="420.2"/>
    <x v="0"/>
    <s v="Standard Spend"/>
  </r>
  <r>
    <s v="6946-LMSQS"/>
    <s v="Male"/>
    <x v="1"/>
    <n v="25"/>
    <x v="1"/>
    <x v="0"/>
    <n v="89.05"/>
    <n v="2177.4499999999998"/>
    <x v="1"/>
    <s v="Yes"/>
    <x v="0"/>
    <n v="2177.4499999999998"/>
    <x v="1"/>
    <s v="Standard Spend"/>
  </r>
  <r>
    <s v="4626-OZDTJ"/>
    <s v="Female"/>
    <x v="1"/>
    <n v="51"/>
    <x v="0"/>
    <x v="1"/>
    <n v="78.650000000000006"/>
    <n v="3950.85"/>
    <x v="0"/>
    <s v="Yes"/>
    <x v="3"/>
    <n v="3950.85"/>
    <x v="2"/>
    <s v="High Spend"/>
  </r>
  <r>
    <s v="9169-BSVIN"/>
    <s v="Male"/>
    <x v="0"/>
    <n v="12"/>
    <x v="0"/>
    <x v="0"/>
    <n v="74.75"/>
    <n v="827.05"/>
    <x v="0"/>
    <s v="No"/>
    <x v="2"/>
    <n v="827.05"/>
    <x v="0"/>
    <s v="Standard Spend"/>
  </r>
  <r>
    <s v="2325-ZUSFD"/>
    <s v="Female"/>
    <x v="1"/>
    <n v="57"/>
    <x v="0"/>
    <x v="0"/>
    <n v="70.099999999999994"/>
    <n v="3913.3"/>
    <x v="1"/>
    <s v="Yes"/>
    <x v="2"/>
    <n v="3913.3"/>
    <x v="2"/>
    <s v="High Spend"/>
  </r>
  <r>
    <s v="8194-PEEBY"/>
    <s v="Female"/>
    <x v="1"/>
    <n v="24"/>
    <x v="2"/>
    <x v="2"/>
    <n v="19.899999999999999"/>
    <n v="533.5"/>
    <x v="0"/>
    <s v="No"/>
    <x v="1"/>
    <n v="533.5"/>
    <x v="1"/>
    <s v="Standard Spend"/>
  </r>
  <r>
    <s v="6872-HXFNF"/>
    <s v="Female"/>
    <x v="1"/>
    <n v="64"/>
    <x v="0"/>
    <x v="1"/>
    <n v="58.35"/>
    <n v="3756.45"/>
    <x v="0"/>
    <s v="No"/>
    <x v="2"/>
    <n v="3756.45"/>
    <x v="2"/>
    <s v="High Spend"/>
  </r>
  <r>
    <s v="3932-CMDTD"/>
    <s v="Female"/>
    <x v="1"/>
    <n v="4"/>
    <x v="1"/>
    <x v="1"/>
    <n v="105.65"/>
    <n v="443.9"/>
    <x v="1"/>
    <s v="Yes"/>
    <x v="0"/>
    <n v="443.9"/>
    <x v="0"/>
    <s v="Standard Spend"/>
  </r>
  <r>
    <s v="7714-YXSMB"/>
    <s v="Female"/>
    <x v="0"/>
    <n v="26"/>
    <x v="1"/>
    <x v="0"/>
    <n v="100.5"/>
    <n v="2599.9499999999998"/>
    <x v="0"/>
    <s v="Yes"/>
    <x v="2"/>
    <n v="2599.9499999999998"/>
    <x v="1"/>
    <s v="High Spend"/>
  </r>
  <r>
    <s v="8387-UGUSU"/>
    <s v="Female"/>
    <x v="0"/>
    <n v="15"/>
    <x v="2"/>
    <x v="2"/>
    <n v="20.05"/>
    <n v="284.3"/>
    <x v="0"/>
    <s v="No"/>
    <x v="1"/>
    <n v="284.3"/>
    <x v="1"/>
    <s v="Standard Spend"/>
  </r>
  <r>
    <s v="1080-BWSYE"/>
    <s v="Male"/>
    <x v="2"/>
    <n v="64"/>
    <x v="2"/>
    <x v="2"/>
    <n v="25.65"/>
    <n v="1740.8"/>
    <x v="0"/>
    <s v="No"/>
    <x v="3"/>
    <n v="1740.8"/>
    <x v="2"/>
    <s v="Standard Spend"/>
  </r>
  <r>
    <s v="4039-HEUNW"/>
    <s v="Male"/>
    <x v="0"/>
    <n v="36"/>
    <x v="1"/>
    <x v="0"/>
    <n v="96.5"/>
    <n v="3436.1"/>
    <x v="1"/>
    <s v="Yes"/>
    <x v="0"/>
    <n v="3436.1"/>
    <x v="1"/>
    <s v="High Spend"/>
  </r>
  <r>
    <s v="1194-HVAIF"/>
    <s v="Female"/>
    <x v="0"/>
    <n v="27"/>
    <x v="1"/>
    <x v="0"/>
    <n v="95"/>
    <n v="2462.5500000000002"/>
    <x v="0"/>
    <s v="No"/>
    <x v="3"/>
    <n v="2462.5500000000002"/>
    <x v="1"/>
    <s v="Standard Spend"/>
  </r>
  <r>
    <s v="0812-WUPTB"/>
    <s v="Male"/>
    <x v="0"/>
    <n v="1"/>
    <x v="1"/>
    <x v="0"/>
    <n v="70.849999999999994"/>
    <n v="70.849999999999994"/>
    <x v="1"/>
    <s v="No"/>
    <x v="1"/>
    <n v="70.849999999999994"/>
    <x v="0"/>
    <s v="Standard Spend"/>
  </r>
  <r>
    <s v="3594-UVONA"/>
    <s v="Female"/>
    <x v="1"/>
    <n v="35"/>
    <x v="0"/>
    <x v="1"/>
    <n v="85.95"/>
    <n v="3110.1"/>
    <x v="1"/>
    <s v="Yes"/>
    <x v="3"/>
    <n v="3110.1"/>
    <x v="1"/>
    <s v="High Spend"/>
  </r>
  <r>
    <s v="0004-TLHLJ"/>
    <s v="Male"/>
    <x v="0"/>
    <n v="4"/>
    <x v="1"/>
    <x v="0"/>
    <n v="73.900000000000006"/>
    <n v="280.85000000000002"/>
    <x v="1"/>
    <s v="Yes"/>
    <x v="0"/>
    <n v="280.85000000000002"/>
    <x v="0"/>
    <s v="Standard Spend"/>
  </r>
  <r>
    <s v="1767-TGTKO"/>
    <s v="Female"/>
    <x v="0"/>
    <n v="8"/>
    <x v="0"/>
    <x v="0"/>
    <n v="45.45"/>
    <n v="411.75"/>
    <x v="0"/>
    <s v="Yes"/>
    <x v="0"/>
    <n v="411.75"/>
    <x v="0"/>
    <s v="Standard Spend"/>
  </r>
  <r>
    <s v="8439-LTUGF"/>
    <s v="Male"/>
    <x v="0"/>
    <n v="10"/>
    <x v="2"/>
    <x v="2"/>
    <n v="20"/>
    <n v="198.6"/>
    <x v="0"/>
    <s v="Yes"/>
    <x v="3"/>
    <n v="198.6"/>
    <x v="0"/>
    <s v="Standard Spend"/>
  </r>
  <r>
    <s v="8805-JNRAZ"/>
    <s v="Female"/>
    <x v="0"/>
    <n v="2"/>
    <x v="0"/>
    <x v="0"/>
    <n v="49.2"/>
    <n v="103.7"/>
    <x v="0"/>
    <s v="No"/>
    <x v="1"/>
    <n v="103.7"/>
    <x v="0"/>
    <s v="Standard Spend"/>
  </r>
  <r>
    <s v="5089-IFSDP"/>
    <s v="Female"/>
    <x v="2"/>
    <n v="58"/>
    <x v="1"/>
    <x v="0"/>
    <n v="109.45"/>
    <n v="6144.55"/>
    <x v="1"/>
    <s v="Yes"/>
    <x v="2"/>
    <n v="6144.55"/>
    <x v="2"/>
    <s v="High Spend"/>
  </r>
  <r>
    <s v="6418-HNFED"/>
    <s v="Male"/>
    <x v="2"/>
    <n v="51"/>
    <x v="0"/>
    <x v="1"/>
    <n v="83.25"/>
    <n v="4089.45"/>
    <x v="0"/>
    <s v="Yes"/>
    <x v="3"/>
    <n v="4089.45"/>
    <x v="2"/>
    <s v="High Spend"/>
  </r>
  <r>
    <s v="0206-OYVOC"/>
    <s v="Female"/>
    <x v="2"/>
    <n v="46"/>
    <x v="2"/>
    <x v="2"/>
    <n v="19.25"/>
    <n v="864.2"/>
    <x v="0"/>
    <s v="Yes"/>
    <x v="1"/>
    <n v="864.2"/>
    <x v="2"/>
    <s v="Standard Spend"/>
  </r>
  <r>
    <s v="7291-CDTMJ"/>
    <s v="Male"/>
    <x v="0"/>
    <n v="1"/>
    <x v="2"/>
    <x v="2"/>
    <n v="19.649999999999999"/>
    <n v="19.649999999999999"/>
    <x v="0"/>
    <s v="Yes"/>
    <x v="2"/>
    <n v="19.649999999999999"/>
    <x v="0"/>
    <s v="Standard Spend"/>
  </r>
  <r>
    <s v="7128-GGCNO"/>
    <s v="Male"/>
    <x v="0"/>
    <n v="46"/>
    <x v="1"/>
    <x v="0"/>
    <n v="72.8"/>
    <n v="3249.4"/>
    <x v="0"/>
    <s v="No"/>
    <x v="2"/>
    <n v="3249.4"/>
    <x v="2"/>
    <s v="High Spend"/>
  </r>
  <r>
    <s v="0237-YFUTL"/>
    <s v="Female"/>
    <x v="0"/>
    <n v="50"/>
    <x v="1"/>
    <x v="1"/>
    <n v="109.65"/>
    <n v="5405.8"/>
    <x v="0"/>
    <s v="Yes"/>
    <x v="2"/>
    <n v="5405.8"/>
    <x v="2"/>
    <s v="High Spend"/>
  </r>
  <r>
    <s v="7691-KGKGP"/>
    <s v="Male"/>
    <x v="0"/>
    <n v="53"/>
    <x v="0"/>
    <x v="1"/>
    <n v="65"/>
    <n v="3363.8"/>
    <x v="0"/>
    <s v="No"/>
    <x v="3"/>
    <n v="3363.8"/>
    <x v="2"/>
    <s v="High Spend"/>
  </r>
  <r>
    <s v="6710-HSJRD"/>
    <s v="Male"/>
    <x v="0"/>
    <n v="61"/>
    <x v="1"/>
    <x v="1"/>
    <n v="114.1"/>
    <n v="7132.15"/>
    <x v="0"/>
    <s v="Yes"/>
    <x v="0"/>
    <n v="7132.15"/>
    <x v="2"/>
    <s v="High Spend"/>
  </r>
  <r>
    <s v="3675-EQOZA"/>
    <s v="Male"/>
    <x v="0"/>
    <n v="5"/>
    <x v="2"/>
    <x v="2"/>
    <n v="20.65"/>
    <n v="93.55"/>
    <x v="0"/>
    <s v="No"/>
    <x v="2"/>
    <n v="93.55"/>
    <x v="0"/>
    <s v="Standard Spend"/>
  </r>
  <r>
    <s v="0840-DCNZE"/>
    <s v="Male"/>
    <x v="1"/>
    <n v="47"/>
    <x v="0"/>
    <x v="1"/>
    <n v="86.95"/>
    <n v="4138.8999999999996"/>
    <x v="0"/>
    <s v="Yes"/>
    <x v="2"/>
    <n v="4138.8999999999996"/>
    <x v="2"/>
    <s v="High Spend"/>
  </r>
  <r>
    <s v="1732-FEKLD"/>
    <s v="Female"/>
    <x v="1"/>
    <n v="54"/>
    <x v="1"/>
    <x v="0"/>
    <n v="94.75"/>
    <n v="5121.75"/>
    <x v="0"/>
    <s v="Yes"/>
    <x v="2"/>
    <n v="5121.75"/>
    <x v="2"/>
    <s v="High Spend"/>
  </r>
  <r>
    <s v="9862-KJTYK"/>
    <s v="Male"/>
    <x v="0"/>
    <n v="19"/>
    <x v="0"/>
    <x v="0"/>
    <n v="25.35"/>
    <n v="566.1"/>
    <x v="0"/>
    <s v="Yes"/>
    <x v="3"/>
    <n v="566.1"/>
    <x v="1"/>
    <s v="Standard Spend"/>
  </r>
  <r>
    <s v="0479-HMSWA"/>
    <s v="Female"/>
    <x v="2"/>
    <n v="26"/>
    <x v="1"/>
    <x v="1"/>
    <n v="105.45"/>
    <n v="2715.3"/>
    <x v="0"/>
    <s v="Yes"/>
    <x v="0"/>
    <n v="2715.3"/>
    <x v="1"/>
    <s v="High Spend"/>
  </r>
  <r>
    <s v="5854-KSRBJ"/>
    <s v="Male"/>
    <x v="2"/>
    <n v="70"/>
    <x v="2"/>
    <x v="2"/>
    <n v="25.4"/>
    <n v="1782.05"/>
    <x v="0"/>
    <s v="No"/>
    <x v="1"/>
    <n v="1782.05"/>
    <x v="2"/>
    <s v="Standard Spend"/>
  </r>
  <r>
    <s v="0365-BZUWY"/>
    <s v="Male"/>
    <x v="0"/>
    <n v="17"/>
    <x v="1"/>
    <x v="0"/>
    <n v="102.55"/>
    <n v="1742.5"/>
    <x v="0"/>
    <s v="Yes"/>
    <x v="0"/>
    <n v="1742.5"/>
    <x v="1"/>
    <s v="Standard Spend"/>
  </r>
  <r>
    <s v="4817-VYYWS"/>
    <s v="Female"/>
    <x v="0"/>
    <n v="30"/>
    <x v="1"/>
    <x v="0"/>
    <n v="100.2"/>
    <n v="2983.8"/>
    <x v="1"/>
    <s v="Yes"/>
    <x v="0"/>
    <n v="2983.8"/>
    <x v="1"/>
    <s v="High Spend"/>
  </r>
  <r>
    <s v="5701-SVCWR"/>
    <s v="Female"/>
    <x v="0"/>
    <n v="1"/>
    <x v="2"/>
    <x v="2"/>
    <n v="24"/>
    <n v="24"/>
    <x v="0"/>
    <s v="No"/>
    <x v="1"/>
    <n v="24"/>
    <x v="0"/>
    <s v="Standard Spend"/>
  </r>
  <r>
    <s v="3129-AAQOU"/>
    <s v="Female"/>
    <x v="2"/>
    <n v="19"/>
    <x v="2"/>
    <x v="2"/>
    <n v="25.6"/>
    <n v="485.9"/>
    <x v="0"/>
    <s v="No"/>
    <x v="1"/>
    <n v="485.9"/>
    <x v="1"/>
    <s v="Standard Spend"/>
  </r>
  <r>
    <s v="4922-CVPDX"/>
    <s v="Female"/>
    <x v="2"/>
    <n v="26"/>
    <x v="0"/>
    <x v="0"/>
    <n v="73.5"/>
    <n v="1905.7"/>
    <x v="0"/>
    <s v="Yes"/>
    <x v="3"/>
    <n v="1905.7"/>
    <x v="1"/>
    <s v="Standard Spend"/>
  </r>
  <r>
    <s v="1396-QWFBJ"/>
    <s v="Female"/>
    <x v="0"/>
    <n v="21"/>
    <x v="1"/>
    <x v="0"/>
    <n v="74.05"/>
    <n v="1565.7"/>
    <x v="1"/>
    <s v="Yes"/>
    <x v="2"/>
    <n v="1565.7"/>
    <x v="1"/>
    <s v="Standard Spend"/>
  </r>
  <r>
    <s v="1357-BIJKI"/>
    <s v="Male"/>
    <x v="1"/>
    <n v="50"/>
    <x v="1"/>
    <x v="0"/>
    <n v="98.25"/>
    <n v="4858.7"/>
    <x v="0"/>
    <s v="Yes"/>
    <x v="0"/>
    <n v="4858.7"/>
    <x v="2"/>
    <s v="High Spend"/>
  </r>
  <r>
    <s v="1099-BTKWT"/>
    <s v="Female"/>
    <x v="1"/>
    <n v="68"/>
    <x v="0"/>
    <x v="0"/>
    <n v="54.4"/>
    <n v="3723.65"/>
    <x v="0"/>
    <s v="Yes"/>
    <x v="0"/>
    <n v="3723.65"/>
    <x v="2"/>
    <s v="High Spend"/>
  </r>
  <r>
    <s v="5299-SJCZT"/>
    <s v="Male"/>
    <x v="0"/>
    <n v="3"/>
    <x v="1"/>
    <x v="0"/>
    <n v="101.55"/>
    <n v="298.35000000000002"/>
    <x v="1"/>
    <s v="Yes"/>
    <x v="2"/>
    <n v="298.35000000000002"/>
    <x v="0"/>
    <s v="Standard Spend"/>
  </r>
  <r>
    <s v="2018-PZKMU"/>
    <s v="Male"/>
    <x v="0"/>
    <n v="9"/>
    <x v="1"/>
    <x v="1"/>
    <n v="103.1"/>
    <n v="970.45"/>
    <x v="0"/>
    <s v="No"/>
    <x v="0"/>
    <n v="970.45"/>
    <x v="0"/>
    <s v="Standard Spend"/>
  </r>
  <r>
    <s v="7340-KEFQE"/>
    <s v="Female"/>
    <x v="2"/>
    <n v="51"/>
    <x v="0"/>
    <x v="1"/>
    <n v="34.200000000000003"/>
    <n v="1782"/>
    <x v="0"/>
    <s v="No"/>
    <x v="2"/>
    <n v="1782"/>
    <x v="2"/>
    <s v="Standard Spend"/>
  </r>
  <r>
    <s v="4570-QHXHL"/>
    <s v="Female"/>
    <x v="0"/>
    <n v="9"/>
    <x v="0"/>
    <x v="0"/>
    <n v="43.75"/>
    <n v="405.7"/>
    <x v="0"/>
    <s v="Yes"/>
    <x v="0"/>
    <n v="405.7"/>
    <x v="0"/>
    <s v="Standard Spend"/>
  </r>
  <r>
    <s v="2403-BCASL"/>
    <s v="Male"/>
    <x v="1"/>
    <n v="41"/>
    <x v="1"/>
    <x v="1"/>
    <n v="111.95"/>
    <n v="4534.8999999999996"/>
    <x v="1"/>
    <s v="Yes"/>
    <x v="0"/>
    <n v="4534.8999999999996"/>
    <x v="2"/>
    <s v="High Spend"/>
  </r>
  <r>
    <s v="7392-YYPYJ"/>
    <s v="Male"/>
    <x v="0"/>
    <n v="22"/>
    <x v="1"/>
    <x v="0"/>
    <n v="100.65"/>
    <n v="2415.9499999999998"/>
    <x v="0"/>
    <s v="Yes"/>
    <x v="0"/>
    <n v="2415.9499999999998"/>
    <x v="1"/>
    <s v="Standard Spend"/>
  </r>
  <r>
    <s v="2898-LSJGD"/>
    <s v="Female"/>
    <x v="1"/>
    <n v="21"/>
    <x v="0"/>
    <x v="0"/>
    <n v="55.95"/>
    <n v="1157.05"/>
    <x v="1"/>
    <s v="Yes"/>
    <x v="0"/>
    <n v="1157.05"/>
    <x v="1"/>
    <s v="Standard Spend"/>
  </r>
  <r>
    <s v="2223-GDSHL"/>
    <s v="Male"/>
    <x v="2"/>
    <n v="71"/>
    <x v="1"/>
    <x v="1"/>
    <n v="116.05"/>
    <n v="8297.5"/>
    <x v="0"/>
    <s v="Yes"/>
    <x v="2"/>
    <n v="8297.5"/>
    <x v="2"/>
    <s v="High Spend"/>
  </r>
  <r>
    <s v="7359-PTSXY"/>
    <s v="Male"/>
    <x v="0"/>
    <n v="1"/>
    <x v="0"/>
    <x v="0"/>
    <n v="45.75"/>
    <n v="45.75"/>
    <x v="1"/>
    <s v="No"/>
    <x v="0"/>
    <n v="45.75"/>
    <x v="0"/>
    <s v="Standard Spend"/>
  </r>
  <r>
    <s v="9470-RTWDV"/>
    <s v="Male"/>
    <x v="1"/>
    <n v="26"/>
    <x v="0"/>
    <x v="1"/>
    <n v="82"/>
    <n v="2083.1"/>
    <x v="0"/>
    <s v="Yes"/>
    <x v="3"/>
    <n v="2083.1"/>
    <x v="1"/>
    <s v="Standard Spend"/>
  </r>
  <r>
    <s v="2176-OSJUV"/>
    <s v="Male"/>
    <x v="2"/>
    <n v="71"/>
    <x v="0"/>
    <x v="1"/>
    <n v="65.150000000000006"/>
    <n v="4681.75"/>
    <x v="0"/>
    <s v="No"/>
    <x v="2"/>
    <n v="4681.75"/>
    <x v="2"/>
    <s v="High Spend"/>
  </r>
  <r>
    <s v="9348-YVOMK"/>
    <s v="Male"/>
    <x v="0"/>
    <n v="4"/>
    <x v="0"/>
    <x v="0"/>
    <n v="44.8"/>
    <n v="176.2"/>
    <x v="0"/>
    <s v="Yes"/>
    <x v="3"/>
    <n v="176.2"/>
    <x v="0"/>
    <s v="Standard Spend"/>
  </r>
  <r>
    <s v="8104-OSKWT"/>
    <s v="Female"/>
    <x v="0"/>
    <n v="12"/>
    <x v="1"/>
    <x v="0"/>
    <n v="79.8"/>
    <n v="1001.2"/>
    <x v="0"/>
    <s v="Yes"/>
    <x v="0"/>
    <n v="1001.2"/>
    <x v="0"/>
    <s v="Standard Spend"/>
  </r>
  <r>
    <s v="4521-YEEHE"/>
    <s v="Female"/>
    <x v="0"/>
    <n v="18"/>
    <x v="1"/>
    <x v="1"/>
    <n v="88.85"/>
    <n v="1594.75"/>
    <x v="0"/>
    <s v="Yes"/>
    <x v="0"/>
    <n v="1594.75"/>
    <x v="1"/>
    <s v="Standard Spend"/>
  </r>
  <r>
    <s v="4090-KPJIP"/>
    <s v="Female"/>
    <x v="0"/>
    <n v="3"/>
    <x v="1"/>
    <x v="0"/>
    <n v="74.95"/>
    <n v="212.4"/>
    <x v="0"/>
    <s v="Yes"/>
    <x v="0"/>
    <n v="212.4"/>
    <x v="0"/>
    <s v="Standard Spend"/>
  </r>
  <r>
    <s v="3786-WOVKF"/>
    <s v="Female"/>
    <x v="1"/>
    <n v="72"/>
    <x v="1"/>
    <x v="0"/>
    <n v="106.85"/>
    <n v="7677.4"/>
    <x v="0"/>
    <s v="Yes"/>
    <x v="2"/>
    <n v="7677.4"/>
    <x v="2"/>
    <s v="High Spend"/>
  </r>
  <r>
    <s v="4503-BDXBD"/>
    <s v="Male"/>
    <x v="0"/>
    <n v="11"/>
    <x v="1"/>
    <x v="0"/>
    <n v="74.95"/>
    <n v="815.5"/>
    <x v="1"/>
    <s v="No"/>
    <x v="0"/>
    <n v="815.5"/>
    <x v="0"/>
    <s v="Standard Spend"/>
  </r>
  <r>
    <s v="6086-ESGRL"/>
    <s v="Female"/>
    <x v="0"/>
    <n v="1"/>
    <x v="1"/>
    <x v="0"/>
    <n v="80.150000000000006"/>
    <n v="80.150000000000006"/>
    <x v="1"/>
    <s v="No"/>
    <x v="3"/>
    <n v="80.150000000000006"/>
    <x v="0"/>
    <s v="Standard Spend"/>
  </r>
  <r>
    <s v="2592-HODOV"/>
    <s v="Male"/>
    <x v="1"/>
    <n v="13"/>
    <x v="2"/>
    <x v="2"/>
    <n v="19.3"/>
    <n v="259.64999999999998"/>
    <x v="0"/>
    <s v="No"/>
    <x v="3"/>
    <n v="259.64999999999998"/>
    <x v="1"/>
    <s v="Standard Spend"/>
  </r>
  <r>
    <s v="3886-CERTZ"/>
    <s v="Female"/>
    <x v="1"/>
    <n v="72"/>
    <x v="1"/>
    <x v="1"/>
    <n v="109.25"/>
    <n v="8109.8"/>
    <x v="1"/>
    <s v="Yes"/>
    <x v="0"/>
    <n v="8109.8"/>
    <x v="2"/>
    <s v="High Spend"/>
  </r>
  <r>
    <s v="7995-ZHHNZ"/>
    <s v="Male"/>
    <x v="1"/>
    <n v="42"/>
    <x v="0"/>
    <x v="0"/>
    <n v="56.1"/>
    <n v="2386.85"/>
    <x v="0"/>
    <s v="No"/>
    <x v="3"/>
    <n v="2386.85"/>
    <x v="2"/>
    <s v="Standard Spend"/>
  </r>
  <r>
    <s v="3824-RHKVR"/>
    <s v="Female"/>
    <x v="0"/>
    <n v="17"/>
    <x v="2"/>
    <x v="2"/>
    <n v="19.7"/>
    <n v="340.35"/>
    <x v="0"/>
    <s v="No"/>
    <x v="3"/>
    <n v="340.35"/>
    <x v="1"/>
    <s v="Standard Spend"/>
  </r>
  <r>
    <s v="5816-SCGFC"/>
    <s v="Female"/>
    <x v="0"/>
    <n v="7"/>
    <x v="0"/>
    <x v="0"/>
    <n v="51.3"/>
    <n v="419.35"/>
    <x v="0"/>
    <s v="Yes"/>
    <x v="1"/>
    <n v="419.35"/>
    <x v="0"/>
    <s v="Standard Spend"/>
  </r>
  <r>
    <s v="5989-AXPUC"/>
    <s v="Female"/>
    <x v="2"/>
    <n v="68"/>
    <x v="1"/>
    <x v="1"/>
    <n v="118.6"/>
    <n v="7990.05"/>
    <x v="0"/>
    <s v="No"/>
    <x v="1"/>
    <n v="7990.05"/>
    <x v="2"/>
    <s v="High Spend"/>
  </r>
  <r>
    <s v="4979-HPRFL"/>
    <s v="Male"/>
    <x v="2"/>
    <n v="56"/>
    <x v="2"/>
    <x v="2"/>
    <n v="24.15"/>
    <n v="1402.25"/>
    <x v="0"/>
    <s v="No"/>
    <x v="2"/>
    <n v="1402.25"/>
    <x v="2"/>
    <s v="Standard Spend"/>
  </r>
  <r>
    <s v="8590-OHDIW"/>
    <s v="Female"/>
    <x v="1"/>
    <n v="38"/>
    <x v="2"/>
    <x v="2"/>
    <n v="20.3"/>
    <n v="749.35"/>
    <x v="0"/>
    <s v="No"/>
    <x v="1"/>
    <n v="749.35"/>
    <x v="2"/>
    <s v="Standard Spend"/>
  </r>
  <r>
    <s v="8015-IHCGW"/>
    <s v="Female"/>
    <x v="2"/>
    <n v="72"/>
    <x v="1"/>
    <x v="1"/>
    <n v="115.5"/>
    <n v="8425.15"/>
    <x v="0"/>
    <s v="Yes"/>
    <x v="0"/>
    <n v="8425.15"/>
    <x v="2"/>
    <s v="High Spend"/>
  </r>
  <r>
    <s v="2332-TODQS"/>
    <s v="Female"/>
    <x v="1"/>
    <n v="48"/>
    <x v="2"/>
    <x v="2"/>
    <n v="25.05"/>
    <n v="1171.5"/>
    <x v="0"/>
    <s v="No"/>
    <x v="3"/>
    <n v="1171.5"/>
    <x v="2"/>
    <s v="Standard Spend"/>
  </r>
  <r>
    <s v="9278-VZKCD"/>
    <s v="Female"/>
    <x v="0"/>
    <n v="52"/>
    <x v="1"/>
    <x v="0"/>
    <n v="109.1"/>
    <n v="5647.95"/>
    <x v="0"/>
    <s v="Yes"/>
    <x v="0"/>
    <n v="5647.95"/>
    <x v="2"/>
    <s v="High Spend"/>
  </r>
  <r>
    <s v="8008-OTEZX"/>
    <s v="Female"/>
    <x v="1"/>
    <n v="35"/>
    <x v="2"/>
    <x v="2"/>
    <n v="19.649999999999999"/>
    <n v="708.8"/>
    <x v="0"/>
    <s v="No"/>
    <x v="1"/>
    <n v="708.8"/>
    <x v="1"/>
    <s v="Standard Spend"/>
  </r>
  <r>
    <s v="2773-OVBPK"/>
    <s v="Male"/>
    <x v="2"/>
    <n v="67"/>
    <x v="1"/>
    <x v="1"/>
    <n v="111.3"/>
    <n v="7567.2"/>
    <x v="0"/>
    <s v="Yes"/>
    <x v="2"/>
    <n v="7567.2"/>
    <x v="2"/>
    <s v="High Spend"/>
  </r>
  <r>
    <s v="5999-LCXAO"/>
    <s v="Female"/>
    <x v="0"/>
    <n v="1"/>
    <x v="0"/>
    <x v="0"/>
    <n v="29.9"/>
    <n v="29.9"/>
    <x v="0"/>
    <s v="No"/>
    <x v="1"/>
    <n v="29.9"/>
    <x v="0"/>
    <s v="Standard Spend"/>
  </r>
  <r>
    <s v="5206-XZZQI"/>
    <s v="Male"/>
    <x v="0"/>
    <n v="53"/>
    <x v="1"/>
    <x v="1"/>
    <n v="80.599999999999994"/>
    <n v="4348.1000000000004"/>
    <x v="0"/>
    <s v="Yes"/>
    <x v="1"/>
    <n v="4348.1000000000004"/>
    <x v="2"/>
    <s v="High Spend"/>
  </r>
  <r>
    <s v="4803-LBYPN"/>
    <s v="Male"/>
    <x v="0"/>
    <n v="34"/>
    <x v="2"/>
    <x v="2"/>
    <n v="20.8"/>
    <n v="635.9"/>
    <x v="0"/>
    <s v="No"/>
    <x v="1"/>
    <n v="635.9"/>
    <x v="1"/>
    <s v="Standard Spend"/>
  </r>
  <r>
    <s v="5759-RCVCB"/>
    <s v="Female"/>
    <x v="0"/>
    <n v="3"/>
    <x v="0"/>
    <x v="0"/>
    <n v="35.200000000000003"/>
    <n v="108.95"/>
    <x v="1"/>
    <s v="No"/>
    <x v="3"/>
    <n v="108.95"/>
    <x v="0"/>
    <s v="Standard Spend"/>
  </r>
  <r>
    <s v="6372-RFVNS"/>
    <s v="Female"/>
    <x v="0"/>
    <n v="1"/>
    <x v="1"/>
    <x v="0"/>
    <n v="78.8"/>
    <n v="78.8"/>
    <x v="1"/>
    <s v="No"/>
    <x v="0"/>
    <n v="78.8"/>
    <x v="0"/>
    <s v="Standard Spend"/>
  </r>
  <r>
    <s v="2139-FQHLM"/>
    <s v="Male"/>
    <x v="0"/>
    <n v="19"/>
    <x v="1"/>
    <x v="1"/>
    <n v="89.95"/>
    <n v="1682.4"/>
    <x v="0"/>
    <s v="No"/>
    <x v="1"/>
    <n v="1682.4"/>
    <x v="1"/>
    <s v="Standard Spend"/>
  </r>
  <r>
    <s v="8261-GWDBQ"/>
    <s v="Female"/>
    <x v="2"/>
    <n v="60"/>
    <x v="1"/>
    <x v="1"/>
    <n v="116.05"/>
    <n v="6925.9"/>
    <x v="0"/>
    <s v="Yes"/>
    <x v="2"/>
    <n v="6925.9"/>
    <x v="2"/>
    <s v="High Spend"/>
  </r>
  <r>
    <s v="1093-YSWCA"/>
    <s v="Male"/>
    <x v="2"/>
    <n v="11"/>
    <x v="2"/>
    <x v="2"/>
    <n v="19.55"/>
    <n v="223.15"/>
    <x v="0"/>
    <s v="No"/>
    <x v="3"/>
    <n v="223.15"/>
    <x v="0"/>
    <s v="Standard Spend"/>
  </r>
  <r>
    <s v="8938-UMKPI"/>
    <s v="Female"/>
    <x v="0"/>
    <n v="47"/>
    <x v="1"/>
    <x v="0"/>
    <n v="106.4"/>
    <n v="5127.95"/>
    <x v="1"/>
    <s v="Yes"/>
    <x v="0"/>
    <n v="5127.95"/>
    <x v="2"/>
    <s v="High Spend"/>
  </r>
  <r>
    <s v="0991-BRRFB"/>
    <s v="Male"/>
    <x v="0"/>
    <n v="18"/>
    <x v="0"/>
    <x v="0"/>
    <n v="49.4"/>
    <n v="874.8"/>
    <x v="1"/>
    <s v="No"/>
    <x v="0"/>
    <n v="874.8"/>
    <x v="1"/>
    <s v="Standard Spend"/>
  </r>
  <r>
    <s v="3882-IYOIJ"/>
    <s v="Female"/>
    <x v="2"/>
    <n v="60"/>
    <x v="1"/>
    <x v="1"/>
    <n v="115.25"/>
    <n v="6758.45"/>
    <x v="0"/>
    <s v="No"/>
    <x v="3"/>
    <n v="6758.45"/>
    <x v="2"/>
    <s v="High Spend"/>
  </r>
  <r>
    <s v="8749-TZYEC"/>
    <s v="Male"/>
    <x v="2"/>
    <n v="72"/>
    <x v="2"/>
    <x v="2"/>
    <n v="24.8"/>
    <n v="1874.3"/>
    <x v="0"/>
    <s v="No"/>
    <x v="3"/>
    <n v="1874.3"/>
    <x v="2"/>
    <s v="Standard Spend"/>
  </r>
  <r>
    <s v="1755-FZQEC"/>
    <s v="Male"/>
    <x v="1"/>
    <n v="39"/>
    <x v="2"/>
    <x v="2"/>
    <n v="19.899999999999999"/>
    <n v="791.15"/>
    <x v="0"/>
    <s v="No"/>
    <x v="1"/>
    <n v="791.15"/>
    <x v="2"/>
    <s v="Standard Spend"/>
  </r>
  <r>
    <s v="3115-JPJDD"/>
    <s v="Female"/>
    <x v="1"/>
    <n v="59"/>
    <x v="1"/>
    <x v="0"/>
    <n v="81.25"/>
    <n v="4639.45"/>
    <x v="0"/>
    <s v="Yes"/>
    <x v="3"/>
    <n v="4639.45"/>
    <x v="2"/>
    <s v="High Spend"/>
  </r>
  <r>
    <s v="5600-KTXFM"/>
    <s v="Male"/>
    <x v="0"/>
    <n v="2"/>
    <x v="1"/>
    <x v="0"/>
    <n v="69.95"/>
    <n v="143.9"/>
    <x v="0"/>
    <s v="No"/>
    <x v="1"/>
    <n v="143.9"/>
    <x v="0"/>
    <s v="Standard Spend"/>
  </r>
  <r>
    <s v="3871-IKPYH"/>
    <s v="Male"/>
    <x v="0"/>
    <n v="1"/>
    <x v="1"/>
    <x v="0"/>
    <n v="69.099999999999994"/>
    <n v="69.099999999999994"/>
    <x v="1"/>
    <s v="No"/>
    <x v="0"/>
    <n v="69.099999999999994"/>
    <x v="0"/>
    <s v="Standard Spend"/>
  </r>
  <r>
    <s v="6319-IEJWJ"/>
    <s v="Male"/>
    <x v="0"/>
    <n v="20"/>
    <x v="1"/>
    <x v="0"/>
    <n v="90.2"/>
    <n v="1776.55"/>
    <x v="1"/>
    <s v="Yes"/>
    <x v="0"/>
    <n v="1776.55"/>
    <x v="1"/>
    <s v="Standard Spend"/>
  </r>
  <r>
    <s v="9025-AOMKI"/>
    <s v="Female"/>
    <x v="0"/>
    <n v="6"/>
    <x v="1"/>
    <x v="0"/>
    <n v="93.55"/>
    <n v="536.4"/>
    <x v="1"/>
    <s v="Yes"/>
    <x v="2"/>
    <n v="536.4"/>
    <x v="0"/>
    <s v="Standard Spend"/>
  </r>
  <r>
    <s v="6339-TBELP"/>
    <s v="Male"/>
    <x v="2"/>
    <n v="71"/>
    <x v="1"/>
    <x v="1"/>
    <n v="86.4"/>
    <n v="6172"/>
    <x v="0"/>
    <s v="Yes"/>
    <x v="3"/>
    <n v="6172"/>
    <x v="2"/>
    <s v="High Spend"/>
  </r>
  <r>
    <s v="7964-YESJC"/>
    <s v="Female"/>
    <x v="0"/>
    <n v="24"/>
    <x v="0"/>
    <x v="0"/>
    <n v="66.3"/>
    <n v="1559.45"/>
    <x v="0"/>
    <s v="No"/>
    <x v="1"/>
    <n v="1559.45"/>
    <x v="1"/>
    <s v="Standard Spend"/>
  </r>
  <r>
    <s v="6173-GOLSU"/>
    <s v="Male"/>
    <x v="0"/>
    <n v="67"/>
    <x v="1"/>
    <x v="0"/>
    <n v="94.65"/>
    <n v="6079"/>
    <x v="0"/>
    <s v="Yes"/>
    <x v="3"/>
    <n v="6079"/>
    <x v="2"/>
    <s v="High Spend"/>
  </r>
  <r>
    <s v="5275-SQEIZ"/>
    <s v="Male"/>
    <x v="0"/>
    <n v="1"/>
    <x v="1"/>
    <x v="0"/>
    <n v="80.849999999999994"/>
    <n v="80.849999999999994"/>
    <x v="1"/>
    <s v="Yes"/>
    <x v="1"/>
    <n v="80.849999999999994"/>
    <x v="0"/>
    <s v="Standard Spend"/>
  </r>
  <r>
    <s v="7716-YTYHG"/>
    <s v="Female"/>
    <x v="1"/>
    <n v="48"/>
    <x v="1"/>
    <x v="0"/>
    <n v="82.05"/>
    <n v="4029.95"/>
    <x v="1"/>
    <s v="Yes"/>
    <x v="1"/>
    <n v="4029.95"/>
    <x v="2"/>
    <s v="High Spend"/>
  </r>
  <r>
    <s v="9938-ZREHM"/>
    <s v="Female"/>
    <x v="1"/>
    <n v="37"/>
    <x v="0"/>
    <x v="1"/>
    <n v="72.099999999999994"/>
    <n v="2658.4"/>
    <x v="0"/>
    <s v="No"/>
    <x v="1"/>
    <n v="2658.4"/>
    <x v="2"/>
    <s v="High Spend"/>
  </r>
  <r>
    <s v="7950-XWOVN"/>
    <s v="Male"/>
    <x v="0"/>
    <n v="11"/>
    <x v="0"/>
    <x v="0"/>
    <n v="34.700000000000003"/>
    <n v="383.55"/>
    <x v="0"/>
    <s v="No"/>
    <x v="1"/>
    <n v="383.55"/>
    <x v="0"/>
    <s v="Standard Spend"/>
  </r>
  <r>
    <s v="4390-KYULV"/>
    <s v="Male"/>
    <x v="0"/>
    <n v="3"/>
    <x v="2"/>
    <x v="2"/>
    <n v="20.55"/>
    <n v="51.15"/>
    <x v="1"/>
    <s v="Yes"/>
    <x v="3"/>
    <n v="51.15"/>
    <x v="0"/>
    <s v="Standard Spend"/>
  </r>
  <r>
    <s v="4647-MUZON"/>
    <s v="Female"/>
    <x v="0"/>
    <n v="18"/>
    <x v="1"/>
    <x v="0"/>
    <n v="95.95"/>
    <n v="1745.5"/>
    <x v="0"/>
    <s v="Yes"/>
    <x v="3"/>
    <n v="1745.5"/>
    <x v="1"/>
    <s v="Standard Spend"/>
  </r>
  <r>
    <s v="9702-AIUJO"/>
    <s v="Male"/>
    <x v="1"/>
    <n v="50"/>
    <x v="0"/>
    <x v="0"/>
    <n v="44.8"/>
    <n v="2230.85"/>
    <x v="0"/>
    <s v="Yes"/>
    <x v="2"/>
    <n v="2230.85"/>
    <x v="2"/>
    <s v="Standard Spend"/>
  </r>
  <r>
    <s v="8849-PRIQJ"/>
    <s v="Female"/>
    <x v="1"/>
    <n v="67"/>
    <x v="1"/>
    <x v="1"/>
    <n v="109.4"/>
    <n v="7281.6"/>
    <x v="0"/>
    <s v="Yes"/>
    <x v="0"/>
    <n v="7281.6"/>
    <x v="2"/>
    <s v="High Spend"/>
  </r>
  <r>
    <s v="8851-RAGOV"/>
    <s v="Female"/>
    <x v="0"/>
    <n v="25"/>
    <x v="0"/>
    <x v="1"/>
    <n v="71.05"/>
    <n v="1837.7"/>
    <x v="0"/>
    <s v="Yes"/>
    <x v="1"/>
    <n v="1837.7"/>
    <x v="1"/>
    <s v="Standard Spend"/>
  </r>
  <r>
    <s v="1304-NECVQ"/>
    <s v="Female"/>
    <x v="0"/>
    <n v="2"/>
    <x v="1"/>
    <x v="0"/>
    <n v="78.55"/>
    <n v="149.55000000000001"/>
    <x v="1"/>
    <s v="Yes"/>
    <x v="0"/>
    <n v="149.55000000000001"/>
    <x v="0"/>
    <s v="Standard Spend"/>
  </r>
  <r>
    <s v="5396-IZEPB"/>
    <s v="Male"/>
    <x v="0"/>
    <n v="9"/>
    <x v="2"/>
    <x v="2"/>
    <n v="19.7"/>
    <n v="180.7"/>
    <x v="0"/>
    <s v="No"/>
    <x v="3"/>
    <n v="180.7"/>
    <x v="0"/>
    <s v="Standard Spend"/>
  </r>
  <r>
    <s v="1729-VLAZJ"/>
    <s v="Female"/>
    <x v="1"/>
    <n v="10"/>
    <x v="0"/>
    <x v="1"/>
    <n v="40.25"/>
    <n v="411.45"/>
    <x v="0"/>
    <s v="No"/>
    <x v="1"/>
    <n v="411.45"/>
    <x v="0"/>
    <s v="Standard Spend"/>
  </r>
  <r>
    <s v="8285-ABVLB"/>
    <s v="Female"/>
    <x v="2"/>
    <n v="70"/>
    <x v="2"/>
    <x v="2"/>
    <n v="19.850000000000001"/>
    <n v="1328.35"/>
    <x v="0"/>
    <s v="No"/>
    <x v="3"/>
    <n v="1328.35"/>
    <x v="2"/>
    <s v="Standard Spend"/>
  </r>
  <r>
    <s v="0701-TJSEF"/>
    <s v="Male"/>
    <x v="0"/>
    <n v="9"/>
    <x v="0"/>
    <x v="1"/>
    <n v="68.25"/>
    <n v="576.95000000000005"/>
    <x v="0"/>
    <s v="Yes"/>
    <x v="2"/>
    <n v="576.95000000000005"/>
    <x v="0"/>
    <s v="Standard Spend"/>
  </r>
  <r>
    <s v="5712-VBOXD"/>
    <s v="Female"/>
    <x v="0"/>
    <n v="4"/>
    <x v="2"/>
    <x v="2"/>
    <n v="20.149999999999999"/>
    <n v="68.45"/>
    <x v="0"/>
    <s v="Yes"/>
    <x v="3"/>
    <n v="68.45"/>
    <x v="0"/>
    <s v="Standard Spend"/>
  </r>
  <r>
    <s v="6629-LADHQ"/>
    <s v="Female"/>
    <x v="0"/>
    <n v="2"/>
    <x v="0"/>
    <x v="0"/>
    <n v="50.95"/>
    <n v="123.05"/>
    <x v="0"/>
    <s v="No"/>
    <x v="1"/>
    <n v="123.05"/>
    <x v="0"/>
    <s v="Standard Spend"/>
  </r>
  <r>
    <s v="8945-GRKHX"/>
    <s v="Female"/>
    <x v="0"/>
    <n v="1"/>
    <x v="1"/>
    <x v="0"/>
    <n v="78.650000000000006"/>
    <n v="78.650000000000006"/>
    <x v="1"/>
    <s v="No"/>
    <x v="0"/>
    <n v="78.650000000000006"/>
    <x v="0"/>
    <s v="Standard Spend"/>
  </r>
  <r>
    <s v="1559-DTODC"/>
    <s v="Male"/>
    <x v="0"/>
    <n v="19"/>
    <x v="0"/>
    <x v="0"/>
    <n v="25.15"/>
    <n v="468.35"/>
    <x v="0"/>
    <s v="Yes"/>
    <x v="2"/>
    <n v="468.35"/>
    <x v="1"/>
    <s v="Standard Spend"/>
  </r>
  <r>
    <s v="4797-MIWUM"/>
    <s v="Male"/>
    <x v="0"/>
    <n v="7"/>
    <x v="2"/>
    <x v="2"/>
    <n v="20.25"/>
    <n v="174.7"/>
    <x v="0"/>
    <s v="Yes"/>
    <x v="2"/>
    <n v="174.7"/>
    <x v="0"/>
    <s v="Standard Spend"/>
  </r>
  <r>
    <s v="6959-UWKHF"/>
    <s v="Male"/>
    <x v="0"/>
    <n v="1"/>
    <x v="0"/>
    <x v="0"/>
    <n v="42.9"/>
    <n v="42.9"/>
    <x v="1"/>
    <s v="Yes"/>
    <x v="0"/>
    <n v="42.9"/>
    <x v="0"/>
    <s v="Standard Spend"/>
  </r>
  <r>
    <s v="8720-RQSBJ"/>
    <s v="Male"/>
    <x v="0"/>
    <n v="1"/>
    <x v="0"/>
    <x v="0"/>
    <n v="44"/>
    <n v="44"/>
    <x v="0"/>
    <s v="No"/>
    <x v="0"/>
    <n v="44"/>
    <x v="0"/>
    <s v="Standard Spend"/>
  </r>
  <r>
    <s v="4537-CIBHB"/>
    <s v="Female"/>
    <x v="1"/>
    <n v="9"/>
    <x v="2"/>
    <x v="2"/>
    <n v="20.25"/>
    <n v="172.35"/>
    <x v="0"/>
    <s v="No"/>
    <x v="1"/>
    <n v="172.35"/>
    <x v="0"/>
    <s v="Standard Spend"/>
  </r>
  <r>
    <s v="3815-SLMEF"/>
    <s v="Female"/>
    <x v="0"/>
    <n v="3"/>
    <x v="0"/>
    <x v="1"/>
    <n v="34.25"/>
    <n v="139.35"/>
    <x v="1"/>
    <s v="No"/>
    <x v="1"/>
    <n v="139.35"/>
    <x v="0"/>
    <s v="Standard Spend"/>
  </r>
  <r>
    <s v="5154-VEKBL"/>
    <s v="Female"/>
    <x v="0"/>
    <n v="9"/>
    <x v="0"/>
    <x v="1"/>
    <n v="58.5"/>
    <n v="539.85"/>
    <x v="1"/>
    <s v="No"/>
    <x v="1"/>
    <n v="539.85"/>
    <x v="0"/>
    <s v="Standard Spend"/>
  </r>
  <r>
    <s v="4324-AHJKS"/>
    <s v="Female"/>
    <x v="0"/>
    <n v="5"/>
    <x v="0"/>
    <x v="0"/>
    <n v="55.8"/>
    <n v="300.39999999999998"/>
    <x v="0"/>
    <s v="No"/>
    <x v="3"/>
    <n v="300.39999999999998"/>
    <x v="0"/>
    <s v="Standard Spend"/>
  </r>
  <r>
    <s v="4355-CVPVS"/>
    <s v="Female"/>
    <x v="1"/>
    <n v="56"/>
    <x v="1"/>
    <x v="0"/>
    <n v="88.9"/>
    <n v="4968"/>
    <x v="0"/>
    <s v="No"/>
    <x v="2"/>
    <n v="4968"/>
    <x v="2"/>
    <s v="High Spend"/>
  </r>
  <r>
    <s v="4495-LHSSK"/>
    <s v="Female"/>
    <x v="0"/>
    <n v="18"/>
    <x v="0"/>
    <x v="0"/>
    <n v="57.65"/>
    <n v="992.7"/>
    <x v="0"/>
    <s v="No"/>
    <x v="1"/>
    <n v="992.7"/>
    <x v="1"/>
    <s v="Standard Spend"/>
  </r>
  <r>
    <s v="5655-JSMZM"/>
    <s v="Male"/>
    <x v="0"/>
    <n v="49"/>
    <x v="1"/>
    <x v="0"/>
    <n v="96.2"/>
    <n v="4718.25"/>
    <x v="1"/>
    <s v="Yes"/>
    <x v="0"/>
    <n v="4718.25"/>
    <x v="2"/>
    <s v="High Spend"/>
  </r>
  <r>
    <s v="5915-ANOEI"/>
    <s v="Male"/>
    <x v="2"/>
    <n v="70"/>
    <x v="0"/>
    <x v="1"/>
    <n v="79.150000000000006"/>
    <n v="5536.5"/>
    <x v="0"/>
    <s v="No"/>
    <x v="1"/>
    <n v="5536.5"/>
    <x v="2"/>
    <s v="High Spend"/>
  </r>
  <r>
    <s v="9861-PDSZP"/>
    <s v="Female"/>
    <x v="2"/>
    <n v="72"/>
    <x v="1"/>
    <x v="1"/>
    <n v="108.05"/>
    <n v="7806.6"/>
    <x v="0"/>
    <s v="Yes"/>
    <x v="3"/>
    <n v="7806.6"/>
    <x v="2"/>
    <s v="High Spend"/>
  </r>
  <r>
    <s v="4505-EXZHB"/>
    <s v="Female"/>
    <x v="0"/>
    <n v="6"/>
    <x v="1"/>
    <x v="0"/>
    <n v="74.400000000000006"/>
    <n v="434.1"/>
    <x v="1"/>
    <s v="No"/>
    <x v="0"/>
    <n v="434.1"/>
    <x v="0"/>
    <s v="Standard Spend"/>
  </r>
  <r>
    <s v="7225-CBZPL"/>
    <s v="Male"/>
    <x v="0"/>
    <n v="17"/>
    <x v="1"/>
    <x v="0"/>
    <n v="94.8"/>
    <n v="1563.9"/>
    <x v="0"/>
    <s v="Yes"/>
    <x v="0"/>
    <n v="1563.9"/>
    <x v="1"/>
    <s v="Standard Spend"/>
  </r>
  <r>
    <s v="6704-UTUKK"/>
    <s v="Male"/>
    <x v="0"/>
    <n v="29"/>
    <x v="0"/>
    <x v="0"/>
    <n v="45.9"/>
    <n v="1332.4"/>
    <x v="0"/>
    <s v="Yes"/>
    <x v="0"/>
    <n v="1332.4"/>
    <x v="1"/>
    <s v="Standard Spend"/>
  </r>
  <r>
    <s v="4587-VVTOX"/>
    <s v="Female"/>
    <x v="0"/>
    <n v="6"/>
    <x v="1"/>
    <x v="0"/>
    <n v="105.3"/>
    <n v="545.20000000000005"/>
    <x v="1"/>
    <s v="Yes"/>
    <x v="0"/>
    <n v="545.20000000000005"/>
    <x v="0"/>
    <s v="Standard Spend"/>
  </r>
  <r>
    <s v="2019-HDCZY"/>
    <s v="Male"/>
    <x v="2"/>
    <n v="63"/>
    <x v="1"/>
    <x v="0"/>
    <n v="102.6"/>
    <n v="6296.75"/>
    <x v="0"/>
    <s v="No"/>
    <x v="0"/>
    <n v="6296.75"/>
    <x v="2"/>
    <s v="High Spend"/>
  </r>
  <r>
    <s v="4652-NNHNY"/>
    <s v="Male"/>
    <x v="0"/>
    <n v="16"/>
    <x v="1"/>
    <x v="0"/>
    <n v="73.849999999999994"/>
    <n v="1284.2"/>
    <x v="1"/>
    <s v="Yes"/>
    <x v="2"/>
    <n v="1284.2"/>
    <x v="1"/>
    <s v="Standard Spend"/>
  </r>
  <r>
    <s v="8788-DOXSU"/>
    <s v="Male"/>
    <x v="1"/>
    <n v="59"/>
    <x v="0"/>
    <x v="0"/>
    <n v="61.35"/>
    <n v="3645.5"/>
    <x v="0"/>
    <s v="Yes"/>
    <x v="2"/>
    <n v="3645.5"/>
    <x v="2"/>
    <s v="High Spend"/>
  </r>
  <r>
    <s v="7404-JLKQG"/>
    <s v="Female"/>
    <x v="0"/>
    <n v="3"/>
    <x v="0"/>
    <x v="0"/>
    <n v="57.55"/>
    <n v="161.44999999999999"/>
    <x v="0"/>
    <s v="No"/>
    <x v="0"/>
    <n v="161.44999999999999"/>
    <x v="0"/>
    <s v="Standard Spend"/>
  </r>
  <r>
    <s v="7421-ZLUPA"/>
    <s v="Female"/>
    <x v="0"/>
    <n v="8"/>
    <x v="0"/>
    <x v="0"/>
    <n v="29.25"/>
    <n v="226.95"/>
    <x v="0"/>
    <s v="Yes"/>
    <x v="1"/>
    <n v="226.95"/>
    <x v="0"/>
    <s v="Standard Spend"/>
  </r>
  <r>
    <s v="8972-HJWNV"/>
    <s v="Female"/>
    <x v="0"/>
    <n v="7"/>
    <x v="1"/>
    <x v="0"/>
    <n v="84.55"/>
    <n v="646.85"/>
    <x v="1"/>
    <s v="Yes"/>
    <x v="0"/>
    <n v="646.85"/>
    <x v="0"/>
    <s v="Standard Spend"/>
  </r>
  <r>
    <s v="3274-NSDWE"/>
    <s v="Female"/>
    <x v="2"/>
    <n v="68"/>
    <x v="2"/>
    <x v="2"/>
    <n v="19.600000000000001"/>
    <n v="1441.65"/>
    <x v="0"/>
    <s v="No"/>
    <x v="3"/>
    <n v="1441.65"/>
    <x v="2"/>
    <s v="Standard Spend"/>
  </r>
  <r>
    <s v="2632-IVXVF"/>
    <s v="Female"/>
    <x v="2"/>
    <n v="68"/>
    <x v="1"/>
    <x v="1"/>
    <n v="111.75"/>
    <n v="7511.3"/>
    <x v="0"/>
    <s v="No"/>
    <x v="3"/>
    <n v="7511.3"/>
    <x v="2"/>
    <s v="High Spend"/>
  </r>
  <r>
    <s v="3692-JHONH"/>
    <s v="Female"/>
    <x v="1"/>
    <n v="52"/>
    <x v="1"/>
    <x v="0"/>
    <n v="106.5"/>
    <n v="5621.85"/>
    <x v="0"/>
    <s v="Yes"/>
    <x v="0"/>
    <n v="5621.85"/>
    <x v="2"/>
    <s v="High Spend"/>
  </r>
  <r>
    <s v="8915-NNTRC"/>
    <s v="Male"/>
    <x v="2"/>
    <n v="72"/>
    <x v="1"/>
    <x v="1"/>
    <n v="107.7"/>
    <n v="7919.8"/>
    <x v="0"/>
    <s v="Yes"/>
    <x v="3"/>
    <n v="7919.8"/>
    <x v="2"/>
    <s v="High Spend"/>
  </r>
  <r>
    <s v="5914-GXMDA"/>
    <s v="Female"/>
    <x v="1"/>
    <n v="32"/>
    <x v="2"/>
    <x v="2"/>
    <n v="19.3"/>
    <n v="593.20000000000005"/>
    <x v="0"/>
    <s v="No"/>
    <x v="1"/>
    <n v="593.20000000000005"/>
    <x v="1"/>
    <s v="Standard Spend"/>
  </r>
  <r>
    <s v="7463-IFMQU"/>
    <s v="Female"/>
    <x v="2"/>
    <n v="72"/>
    <x v="2"/>
    <x v="2"/>
    <n v="20.05"/>
    <n v="1423.65"/>
    <x v="0"/>
    <s v="No"/>
    <x v="2"/>
    <n v="1423.65"/>
    <x v="2"/>
    <s v="Standard Spend"/>
  </r>
  <r>
    <s v="2920-RNCEZ"/>
    <s v="Male"/>
    <x v="0"/>
    <n v="1"/>
    <x v="1"/>
    <x v="0"/>
    <n v="69.95"/>
    <n v="69.95"/>
    <x v="0"/>
    <s v="Yes"/>
    <x v="3"/>
    <n v="69.95"/>
    <x v="0"/>
    <s v="Standard Spend"/>
  </r>
  <r>
    <s v="2541-YGPKE"/>
    <s v="Male"/>
    <x v="1"/>
    <n v="42"/>
    <x v="0"/>
    <x v="1"/>
    <n v="63.7"/>
    <n v="2763.35"/>
    <x v="0"/>
    <s v="No"/>
    <x v="3"/>
    <n v="2763.35"/>
    <x v="2"/>
    <s v="High Spend"/>
  </r>
  <r>
    <s v="8515-OCTJS"/>
    <s v="Female"/>
    <x v="2"/>
    <n v="25"/>
    <x v="2"/>
    <x v="2"/>
    <n v="24.75"/>
    <n v="692.1"/>
    <x v="1"/>
    <s v="No"/>
    <x v="3"/>
    <n v="692.1"/>
    <x v="1"/>
    <s v="Standard Spend"/>
  </r>
  <r>
    <s v="5382-TEMLV"/>
    <s v="Male"/>
    <x v="0"/>
    <n v="45"/>
    <x v="0"/>
    <x v="0"/>
    <n v="50.9"/>
    <n v="2298.5500000000002"/>
    <x v="0"/>
    <s v="Yes"/>
    <x v="2"/>
    <n v="2298.5500000000002"/>
    <x v="2"/>
    <s v="Standard Spend"/>
  </r>
  <r>
    <s v="3441-CGZJH"/>
    <s v="Female"/>
    <x v="1"/>
    <n v="43"/>
    <x v="0"/>
    <x v="1"/>
    <n v="60.4"/>
    <n v="2640.55"/>
    <x v="0"/>
    <s v="Yes"/>
    <x v="3"/>
    <n v="2640.55"/>
    <x v="2"/>
    <s v="High Spend"/>
  </r>
  <r>
    <s v="9592-ERDKV"/>
    <s v="Male"/>
    <x v="1"/>
    <n v="37"/>
    <x v="0"/>
    <x v="0"/>
    <n v="79.25"/>
    <n v="2911.8"/>
    <x v="0"/>
    <s v="No"/>
    <x v="1"/>
    <n v="2911.8"/>
    <x v="2"/>
    <s v="High Spend"/>
  </r>
  <r>
    <s v="2860-RANUS"/>
    <s v="Female"/>
    <x v="0"/>
    <n v="20"/>
    <x v="1"/>
    <x v="0"/>
    <n v="85.8"/>
    <n v="1727.5"/>
    <x v="1"/>
    <s v="Yes"/>
    <x v="3"/>
    <n v="1727.5"/>
    <x v="1"/>
    <s v="Standard Spend"/>
  </r>
  <r>
    <s v="5261-QSHQM"/>
    <s v="Female"/>
    <x v="0"/>
    <n v="4"/>
    <x v="0"/>
    <x v="0"/>
    <n v="24.45"/>
    <n v="86.6"/>
    <x v="1"/>
    <s v="Yes"/>
    <x v="0"/>
    <n v="86.6"/>
    <x v="0"/>
    <s v="Standard Spend"/>
  </r>
  <r>
    <s v="4778-IZARL"/>
    <s v="Male"/>
    <x v="2"/>
    <n v="63"/>
    <x v="1"/>
    <x v="1"/>
    <n v="110.1"/>
    <n v="6705.7"/>
    <x v="0"/>
    <s v="Yes"/>
    <x v="3"/>
    <n v="6705.7"/>
    <x v="2"/>
    <s v="High Spend"/>
  </r>
  <r>
    <s v="0432-CAJZV"/>
    <s v="Male"/>
    <x v="0"/>
    <n v="3"/>
    <x v="1"/>
    <x v="0"/>
    <n v="90.7"/>
    <n v="237.65"/>
    <x v="0"/>
    <s v="No"/>
    <x v="1"/>
    <n v="237.65"/>
    <x v="0"/>
    <s v="Standard Spend"/>
  </r>
  <r>
    <s v="7008-LZVOZ"/>
    <s v="Male"/>
    <x v="2"/>
    <n v="66"/>
    <x v="2"/>
    <x v="2"/>
    <n v="25.3"/>
    <n v="1672.35"/>
    <x v="0"/>
    <s v="Yes"/>
    <x v="3"/>
    <n v="1672.35"/>
    <x v="2"/>
    <s v="Standard Spend"/>
  </r>
  <r>
    <s v="8868-WOZGU"/>
    <s v="Male"/>
    <x v="0"/>
    <n v="28"/>
    <x v="1"/>
    <x v="0"/>
    <n v="105.7"/>
    <n v="2979.5"/>
    <x v="1"/>
    <s v="Yes"/>
    <x v="0"/>
    <n v="2979.5"/>
    <x v="1"/>
    <s v="High Spend"/>
  </r>
  <r>
    <s v="1200-TUZHR"/>
    <s v="Female"/>
    <x v="0"/>
    <n v="8"/>
    <x v="1"/>
    <x v="0"/>
    <n v="85.2"/>
    <n v="695.75"/>
    <x v="0"/>
    <s v="No"/>
    <x v="0"/>
    <n v="695.75"/>
    <x v="0"/>
    <s v="Standard Spend"/>
  </r>
  <r>
    <s v="9365-CSLBQ"/>
    <s v="Male"/>
    <x v="2"/>
    <n v="71"/>
    <x v="2"/>
    <x v="2"/>
    <n v="24.35"/>
    <n v="1654.6"/>
    <x v="0"/>
    <s v="No"/>
    <x v="1"/>
    <n v="1654.6"/>
    <x v="2"/>
    <s v="Standard Spend"/>
  </r>
  <r>
    <s v="1334-FJSVR"/>
    <s v="Male"/>
    <x v="0"/>
    <n v="1"/>
    <x v="0"/>
    <x v="0"/>
    <n v="24.25"/>
    <n v="24.25"/>
    <x v="1"/>
    <s v="Yes"/>
    <x v="0"/>
    <n v="24.25"/>
    <x v="0"/>
    <s v="Standard Spend"/>
  </r>
  <r>
    <s v="5884-FBCTL"/>
    <s v="Female"/>
    <x v="2"/>
    <n v="72"/>
    <x v="2"/>
    <x v="2"/>
    <n v="25.1"/>
    <n v="1857.85"/>
    <x v="0"/>
    <s v="No"/>
    <x v="2"/>
    <n v="1857.85"/>
    <x v="2"/>
    <s v="Standard Spend"/>
  </r>
  <r>
    <s v="7130-CTCUS"/>
    <s v="Male"/>
    <x v="0"/>
    <n v="16"/>
    <x v="0"/>
    <x v="0"/>
    <n v="54.55"/>
    <n v="825.1"/>
    <x v="0"/>
    <s v="Yes"/>
    <x v="2"/>
    <n v="825.1"/>
    <x v="1"/>
    <s v="Standard Spend"/>
  </r>
  <r>
    <s v="6242-FEGFD"/>
    <s v="Male"/>
    <x v="2"/>
    <n v="66"/>
    <x v="1"/>
    <x v="1"/>
    <n v="96.6"/>
    <n v="6424.25"/>
    <x v="0"/>
    <s v="No"/>
    <x v="1"/>
    <n v="6424.25"/>
    <x v="2"/>
    <s v="High Spend"/>
  </r>
  <r>
    <s v="7625-XCQRH"/>
    <s v="Female"/>
    <x v="0"/>
    <n v="11"/>
    <x v="1"/>
    <x v="0"/>
    <n v="76.5"/>
    <n v="837.95"/>
    <x v="1"/>
    <s v="Yes"/>
    <x v="0"/>
    <n v="837.95"/>
    <x v="0"/>
    <s v="Standard Spend"/>
  </r>
  <r>
    <s v="6194-HBGQN"/>
    <s v="Male"/>
    <x v="1"/>
    <n v="51"/>
    <x v="0"/>
    <x v="1"/>
    <n v="81.150000000000006"/>
    <n v="4126.2"/>
    <x v="0"/>
    <s v="Yes"/>
    <x v="3"/>
    <n v="4126.2"/>
    <x v="2"/>
    <s v="High Spend"/>
  </r>
  <r>
    <s v="7634-WSWDB"/>
    <s v="Female"/>
    <x v="0"/>
    <n v="8"/>
    <x v="0"/>
    <x v="0"/>
    <n v="38.5"/>
    <n v="330.8"/>
    <x v="0"/>
    <s v="Yes"/>
    <x v="0"/>
    <n v="330.8"/>
    <x v="0"/>
    <s v="Standard Spend"/>
  </r>
  <r>
    <s v="6986-IXNDM"/>
    <s v="Male"/>
    <x v="0"/>
    <n v="14"/>
    <x v="1"/>
    <x v="0"/>
    <n v="92.9"/>
    <n v="1337.45"/>
    <x v="0"/>
    <s v="Yes"/>
    <x v="0"/>
    <n v="1337.45"/>
    <x v="1"/>
    <s v="Standard Spend"/>
  </r>
  <r>
    <s v="1731-TVIUK"/>
    <s v="Female"/>
    <x v="0"/>
    <n v="4"/>
    <x v="1"/>
    <x v="1"/>
    <n v="93.5"/>
    <n v="362.2"/>
    <x v="1"/>
    <s v="Yes"/>
    <x v="0"/>
    <n v="362.2"/>
    <x v="0"/>
    <s v="Standard Spend"/>
  </r>
  <r>
    <s v="2987-BJXIK"/>
    <s v="Female"/>
    <x v="2"/>
    <n v="70"/>
    <x v="0"/>
    <x v="0"/>
    <n v="84.7"/>
    <n v="5991.05"/>
    <x v="0"/>
    <s v="No"/>
    <x v="1"/>
    <n v="5991.05"/>
    <x v="2"/>
    <s v="High Spend"/>
  </r>
  <r>
    <s v="9769-TSBZE"/>
    <s v="Female"/>
    <x v="2"/>
    <n v="70"/>
    <x v="0"/>
    <x v="1"/>
    <n v="66"/>
    <n v="4891.5"/>
    <x v="0"/>
    <s v="No"/>
    <x v="0"/>
    <n v="4891.5"/>
    <x v="2"/>
    <s v="High Spend"/>
  </r>
  <r>
    <s v="0406-BPDVR"/>
    <s v="Female"/>
    <x v="1"/>
    <n v="54"/>
    <x v="1"/>
    <x v="0"/>
    <n v="101.5"/>
    <n v="5373.1"/>
    <x v="1"/>
    <s v="Yes"/>
    <x v="3"/>
    <n v="5373.1"/>
    <x v="2"/>
    <s v="High Spend"/>
  </r>
  <r>
    <s v="0618-XWMSS"/>
    <s v="Male"/>
    <x v="0"/>
    <n v="28"/>
    <x v="1"/>
    <x v="0"/>
    <n v="74.900000000000006"/>
    <n v="2068.5500000000002"/>
    <x v="1"/>
    <s v="Yes"/>
    <x v="2"/>
    <n v="2068.5500000000002"/>
    <x v="1"/>
    <s v="Standard Spend"/>
  </r>
  <r>
    <s v="1395-WSWXR"/>
    <s v="Male"/>
    <x v="2"/>
    <n v="24"/>
    <x v="2"/>
    <x v="2"/>
    <n v="20.75"/>
    <n v="487.05"/>
    <x v="0"/>
    <s v="No"/>
    <x v="1"/>
    <n v="487.05"/>
    <x v="1"/>
    <s v="Standard Spend"/>
  </r>
  <r>
    <s v="6023-GSSXW"/>
    <s v="Female"/>
    <x v="2"/>
    <n v="69"/>
    <x v="0"/>
    <x v="0"/>
    <n v="61.45"/>
    <n v="4131.2"/>
    <x v="0"/>
    <s v="Yes"/>
    <x v="3"/>
    <n v="4131.2"/>
    <x v="2"/>
    <s v="High Spend"/>
  </r>
  <r>
    <s v="6752-APNJL"/>
    <s v="Male"/>
    <x v="0"/>
    <n v="42"/>
    <x v="0"/>
    <x v="0"/>
    <n v="54.5"/>
    <n v="2301.15"/>
    <x v="0"/>
    <s v="No"/>
    <x v="1"/>
    <n v="2301.15"/>
    <x v="2"/>
    <s v="Standard Spend"/>
  </r>
  <r>
    <s v="5276-KQWHG"/>
    <s v="Female"/>
    <x v="0"/>
    <n v="2"/>
    <x v="1"/>
    <x v="0"/>
    <n v="69.599999999999994"/>
    <n v="131.65"/>
    <x v="1"/>
    <s v="Yes"/>
    <x v="0"/>
    <n v="131.65"/>
    <x v="0"/>
    <s v="Standard Spend"/>
  </r>
  <r>
    <s v="0420-HLGXF"/>
    <s v="Female"/>
    <x v="0"/>
    <n v="39"/>
    <x v="1"/>
    <x v="0"/>
    <n v="99.75"/>
    <n v="4036"/>
    <x v="0"/>
    <s v="Yes"/>
    <x v="0"/>
    <n v="4036"/>
    <x v="2"/>
    <s v="High Spend"/>
  </r>
  <r>
    <s v="7446-KQISO"/>
    <s v="Male"/>
    <x v="2"/>
    <n v="45"/>
    <x v="1"/>
    <x v="1"/>
    <n v="109.75"/>
    <n v="4900.6499999999996"/>
    <x v="0"/>
    <s v="Yes"/>
    <x v="2"/>
    <n v="4900.6499999999996"/>
    <x v="2"/>
    <s v="High Spend"/>
  </r>
  <r>
    <s v="9823-EALYC"/>
    <s v="Male"/>
    <x v="2"/>
    <n v="72"/>
    <x v="0"/>
    <x v="1"/>
    <n v="80.849999999999994"/>
    <n v="5727.45"/>
    <x v="0"/>
    <s v="Yes"/>
    <x v="2"/>
    <n v="5727.45"/>
    <x v="2"/>
    <s v="High Spend"/>
  </r>
  <r>
    <s v="0582-AVCLN"/>
    <s v="Female"/>
    <x v="2"/>
    <n v="38"/>
    <x v="2"/>
    <x v="2"/>
    <n v="20.3"/>
    <n v="743.05"/>
    <x v="0"/>
    <s v="No"/>
    <x v="1"/>
    <n v="743.05"/>
    <x v="2"/>
    <s v="Standard Spend"/>
  </r>
  <r>
    <s v="5803-NQJZO"/>
    <s v="Male"/>
    <x v="2"/>
    <n v="72"/>
    <x v="0"/>
    <x v="1"/>
    <n v="67.8"/>
    <n v="4804.6499999999996"/>
    <x v="0"/>
    <s v="Yes"/>
    <x v="2"/>
    <n v="4804.6499999999996"/>
    <x v="2"/>
    <s v="High Spend"/>
  </r>
  <r>
    <s v="2565-JSLRY"/>
    <s v="Male"/>
    <x v="0"/>
    <n v="1"/>
    <x v="2"/>
    <x v="2"/>
    <n v="24.05"/>
    <n v="24.05"/>
    <x v="1"/>
    <s v="Yes"/>
    <x v="1"/>
    <n v="24.05"/>
    <x v="0"/>
    <s v="Standard Spend"/>
  </r>
  <r>
    <s v="2607-DHDAK"/>
    <s v="Male"/>
    <x v="2"/>
    <n v="72"/>
    <x v="2"/>
    <x v="2"/>
    <n v="19.8"/>
    <n v="1414.65"/>
    <x v="0"/>
    <s v="Yes"/>
    <x v="3"/>
    <n v="1414.65"/>
    <x v="2"/>
    <s v="Standard Spend"/>
  </r>
  <r>
    <s v="1073-XXCZD"/>
    <s v="Male"/>
    <x v="2"/>
    <n v="55"/>
    <x v="2"/>
    <x v="2"/>
    <n v="25.7"/>
    <n v="1443.65"/>
    <x v="0"/>
    <s v="No"/>
    <x v="2"/>
    <n v="1443.65"/>
    <x v="2"/>
    <s v="Standard Spend"/>
  </r>
  <r>
    <s v="0743-HRVFF"/>
    <s v="Female"/>
    <x v="1"/>
    <n v="51"/>
    <x v="0"/>
    <x v="1"/>
    <n v="56.15"/>
    <n v="2898.95"/>
    <x v="0"/>
    <s v="Yes"/>
    <x v="0"/>
    <n v="2898.95"/>
    <x v="2"/>
    <s v="High Spend"/>
  </r>
  <r>
    <s v="4006-HKYHO"/>
    <s v="Male"/>
    <x v="2"/>
    <n v="63"/>
    <x v="0"/>
    <x v="1"/>
    <n v="86.7"/>
    <n v="5309.5"/>
    <x v="0"/>
    <s v="Yes"/>
    <x v="2"/>
    <n v="5309.5"/>
    <x v="2"/>
    <s v="High Spend"/>
  </r>
  <r>
    <s v="3727-JEZTU"/>
    <s v="Female"/>
    <x v="0"/>
    <n v="1"/>
    <x v="2"/>
    <x v="2"/>
    <n v="20.399999999999999"/>
    <n v="20.399999999999999"/>
    <x v="0"/>
    <s v="No"/>
    <x v="1"/>
    <n v="20.399999999999999"/>
    <x v="0"/>
    <s v="Standard Spend"/>
  </r>
  <r>
    <s v="8143-ETQTI"/>
    <s v="Female"/>
    <x v="2"/>
    <n v="23"/>
    <x v="2"/>
    <x v="2"/>
    <n v="19.649999999999999"/>
    <n v="451.55"/>
    <x v="0"/>
    <s v="Yes"/>
    <x v="1"/>
    <n v="451.55"/>
    <x v="1"/>
    <s v="Standard Spend"/>
  </r>
  <r>
    <s v="6689-KXGBO"/>
    <s v="Female"/>
    <x v="0"/>
    <n v="1"/>
    <x v="0"/>
    <x v="0"/>
    <n v="50.55"/>
    <n v="50.55"/>
    <x v="1"/>
    <s v="No"/>
    <x v="0"/>
    <n v="50.55"/>
    <x v="0"/>
    <s v="Standard Spend"/>
  </r>
  <r>
    <s v="9667-TKTVZ"/>
    <s v="Female"/>
    <x v="0"/>
    <n v="2"/>
    <x v="0"/>
    <x v="1"/>
    <n v="54.35"/>
    <n v="117.05"/>
    <x v="0"/>
    <s v="Yes"/>
    <x v="1"/>
    <n v="117.05"/>
    <x v="0"/>
    <s v="Standard Spend"/>
  </r>
  <r>
    <s v="3657-COGMW"/>
    <s v="Female"/>
    <x v="0"/>
    <n v="52"/>
    <x v="1"/>
    <x v="0"/>
    <n v="108.1"/>
    <n v="5839.3"/>
    <x v="0"/>
    <s v="No"/>
    <x v="3"/>
    <n v="5839.3"/>
    <x v="2"/>
    <s v="High Spend"/>
  </r>
  <r>
    <s v="8570-KLJYJ"/>
    <s v="Female"/>
    <x v="1"/>
    <n v="36"/>
    <x v="0"/>
    <x v="0"/>
    <n v="54.45"/>
    <n v="1893.5"/>
    <x v="0"/>
    <s v="No"/>
    <x v="1"/>
    <n v="1893.5"/>
    <x v="1"/>
    <s v="Standard Spend"/>
  </r>
  <r>
    <s v="7754-IXRMC"/>
    <s v="Female"/>
    <x v="0"/>
    <n v="1"/>
    <x v="0"/>
    <x v="0"/>
    <n v="45.35"/>
    <n v="45.35"/>
    <x v="0"/>
    <s v="No"/>
    <x v="1"/>
    <n v="45.35"/>
    <x v="0"/>
    <s v="Standard Spend"/>
  </r>
  <r>
    <s v="9473-CBZOP"/>
    <s v="Female"/>
    <x v="1"/>
    <n v="28"/>
    <x v="0"/>
    <x v="0"/>
    <n v="59"/>
    <n v="1654.45"/>
    <x v="0"/>
    <s v="No"/>
    <x v="1"/>
    <n v="1654.45"/>
    <x v="1"/>
    <s v="Standard Spend"/>
  </r>
  <r>
    <s v="2969-WGHQO"/>
    <s v="Female"/>
    <x v="1"/>
    <n v="7"/>
    <x v="0"/>
    <x v="0"/>
    <n v="69.45"/>
    <n v="477.05"/>
    <x v="0"/>
    <s v="No"/>
    <x v="0"/>
    <n v="477.05"/>
    <x v="0"/>
    <s v="Standard Spend"/>
  </r>
  <r>
    <s v="6615-NGGZJ"/>
    <s v="Male"/>
    <x v="0"/>
    <n v="14"/>
    <x v="1"/>
    <x v="0"/>
    <n v="100.55"/>
    <n v="1415.55"/>
    <x v="1"/>
    <s v="Yes"/>
    <x v="0"/>
    <n v="1415.55"/>
    <x v="1"/>
    <s v="Standard Spend"/>
  </r>
  <r>
    <s v="4334-HOWRP"/>
    <s v="Male"/>
    <x v="2"/>
    <n v="72"/>
    <x v="0"/>
    <x v="1"/>
    <n v="64.95"/>
    <n v="4546"/>
    <x v="0"/>
    <s v="Yes"/>
    <x v="3"/>
    <n v="4546"/>
    <x v="2"/>
    <s v="High Spend"/>
  </r>
  <r>
    <s v="4255-DDUOU"/>
    <s v="Female"/>
    <x v="0"/>
    <n v="1"/>
    <x v="2"/>
    <x v="2"/>
    <n v="20.5"/>
    <n v="20.5"/>
    <x v="1"/>
    <s v="Yes"/>
    <x v="1"/>
    <n v="20.5"/>
    <x v="0"/>
    <s v="Standard Spend"/>
  </r>
  <r>
    <s v="5863-OOKCL"/>
    <s v="Female"/>
    <x v="0"/>
    <n v="10"/>
    <x v="2"/>
    <x v="2"/>
    <n v="18.850000000000001"/>
    <n v="163.19999999999999"/>
    <x v="0"/>
    <s v="No"/>
    <x v="1"/>
    <n v="163.19999999999999"/>
    <x v="0"/>
    <s v="Standard Spend"/>
  </r>
  <r>
    <s v="1686-STUHN"/>
    <s v="Male"/>
    <x v="1"/>
    <n v="42"/>
    <x v="2"/>
    <x v="2"/>
    <n v="19.8"/>
    <n v="849.9"/>
    <x v="0"/>
    <s v="No"/>
    <x v="2"/>
    <n v="849.9"/>
    <x v="2"/>
    <s v="Standard Spend"/>
  </r>
  <r>
    <s v="1329-VHWNP"/>
    <s v="Female"/>
    <x v="0"/>
    <n v="7"/>
    <x v="0"/>
    <x v="0"/>
    <n v="25.05"/>
    <n v="189.95"/>
    <x v="0"/>
    <s v="No"/>
    <x v="2"/>
    <n v="189.95"/>
    <x v="0"/>
    <s v="Standard Spend"/>
  </r>
  <r>
    <s v="2984-MIIZL"/>
    <s v="Male"/>
    <x v="0"/>
    <n v="4"/>
    <x v="1"/>
    <x v="0"/>
    <n v="74.8"/>
    <n v="321.89999999999998"/>
    <x v="1"/>
    <s v="Yes"/>
    <x v="2"/>
    <n v="321.89999999999998"/>
    <x v="0"/>
    <s v="Standard Spend"/>
  </r>
  <r>
    <s v="0266-GMEAO"/>
    <s v="Male"/>
    <x v="2"/>
    <n v="72"/>
    <x v="1"/>
    <x v="1"/>
    <n v="114.3"/>
    <n v="8058.55"/>
    <x v="0"/>
    <s v="Yes"/>
    <x v="3"/>
    <n v="8058.55"/>
    <x v="2"/>
    <s v="High Spend"/>
  </r>
  <r>
    <s v="5590-YRFJT"/>
    <s v="Female"/>
    <x v="0"/>
    <n v="20"/>
    <x v="0"/>
    <x v="0"/>
    <n v="24.45"/>
    <n v="482.8"/>
    <x v="1"/>
    <s v="Yes"/>
    <x v="0"/>
    <n v="482.8"/>
    <x v="1"/>
    <s v="Standard Spend"/>
  </r>
  <r>
    <s v="5574-NXZIU"/>
    <s v="Male"/>
    <x v="2"/>
    <n v="63"/>
    <x v="1"/>
    <x v="1"/>
    <n v="109.2"/>
    <n v="7049.75"/>
    <x v="0"/>
    <s v="No"/>
    <x v="3"/>
    <n v="7049.75"/>
    <x v="2"/>
    <s v="High Spend"/>
  </r>
  <r>
    <s v="0019-GFNTW"/>
    <s v="Female"/>
    <x v="2"/>
    <n v="56"/>
    <x v="0"/>
    <x v="1"/>
    <n v="45.05"/>
    <n v="2560.1"/>
    <x v="0"/>
    <s v="No"/>
    <x v="2"/>
    <n v="2560.1"/>
    <x v="2"/>
    <s v="High Spend"/>
  </r>
  <r>
    <s v="4256-ZWTZI"/>
    <s v="Female"/>
    <x v="0"/>
    <n v="5"/>
    <x v="0"/>
    <x v="1"/>
    <n v="51"/>
    <n v="286.8"/>
    <x v="0"/>
    <s v="Yes"/>
    <x v="1"/>
    <n v="286.8"/>
    <x v="0"/>
    <s v="Standard Spend"/>
  </r>
  <r>
    <s v="8309-PPCED"/>
    <s v="Female"/>
    <x v="2"/>
    <n v="72"/>
    <x v="1"/>
    <x v="1"/>
    <n v="110.45"/>
    <n v="7982.5"/>
    <x v="0"/>
    <s v="Yes"/>
    <x v="2"/>
    <n v="7982.5"/>
    <x v="2"/>
    <s v="High Spend"/>
  </r>
  <r>
    <s v="4098-NAUKP"/>
    <s v="Male"/>
    <x v="0"/>
    <n v="68"/>
    <x v="1"/>
    <x v="0"/>
    <n v="84.65"/>
    <n v="5683.6"/>
    <x v="0"/>
    <s v="Yes"/>
    <x v="0"/>
    <n v="5683.6"/>
    <x v="2"/>
    <s v="High Spend"/>
  </r>
  <r>
    <s v="5196-WPYOW"/>
    <s v="Male"/>
    <x v="1"/>
    <n v="67"/>
    <x v="0"/>
    <x v="1"/>
    <n v="60.05"/>
    <n v="3994.05"/>
    <x v="0"/>
    <s v="No"/>
    <x v="1"/>
    <n v="3994.05"/>
    <x v="2"/>
    <s v="High Spend"/>
  </r>
  <r>
    <s v="4608-LCIMN"/>
    <s v="Male"/>
    <x v="0"/>
    <n v="8"/>
    <x v="0"/>
    <x v="0"/>
    <n v="44.65"/>
    <n v="369.15"/>
    <x v="0"/>
    <s v="No"/>
    <x v="2"/>
    <n v="369.15"/>
    <x v="0"/>
    <s v="Standard Spend"/>
  </r>
  <r>
    <s v="1485-YDHMM"/>
    <s v="Male"/>
    <x v="0"/>
    <n v="52"/>
    <x v="1"/>
    <x v="1"/>
    <n v="93.25"/>
    <n v="4631.7"/>
    <x v="0"/>
    <s v="Yes"/>
    <x v="2"/>
    <n v="4631.7"/>
    <x v="2"/>
    <s v="High Spend"/>
  </r>
  <r>
    <s v="4054-CUMIA"/>
    <s v="Female"/>
    <x v="0"/>
    <n v="18"/>
    <x v="2"/>
    <x v="2"/>
    <n v="20.25"/>
    <n v="401.95"/>
    <x v="0"/>
    <s v="Yes"/>
    <x v="1"/>
    <n v="401.95"/>
    <x v="1"/>
    <s v="Standard Spend"/>
  </r>
  <r>
    <s v="0603-TPMIB"/>
    <s v="Female"/>
    <x v="2"/>
    <n v="59"/>
    <x v="2"/>
    <x v="2"/>
    <n v="25.45"/>
    <n v="1534.05"/>
    <x v="0"/>
    <s v="No"/>
    <x v="1"/>
    <n v="1534.05"/>
    <x v="2"/>
    <s v="Standard Spend"/>
  </r>
  <r>
    <s v="2525-GVKQU"/>
    <s v="Female"/>
    <x v="2"/>
    <n v="60"/>
    <x v="2"/>
    <x v="2"/>
    <n v="20.6"/>
    <n v="1093"/>
    <x v="0"/>
    <s v="No"/>
    <x v="1"/>
    <n v="1093"/>
    <x v="2"/>
    <s v="Standard Spend"/>
  </r>
  <r>
    <s v="8161-QYMTT"/>
    <s v="Male"/>
    <x v="0"/>
    <n v="7"/>
    <x v="1"/>
    <x v="0"/>
    <n v="94.1"/>
    <n v="701.3"/>
    <x v="0"/>
    <s v="Yes"/>
    <x v="0"/>
    <n v="701.3"/>
    <x v="0"/>
    <s v="Standard Spend"/>
  </r>
  <r>
    <s v="9581-GVBXT"/>
    <s v="Male"/>
    <x v="1"/>
    <n v="59"/>
    <x v="0"/>
    <x v="0"/>
    <n v="34.799999999999997"/>
    <n v="1980.3"/>
    <x v="0"/>
    <s v="No"/>
    <x v="1"/>
    <n v="1980.3"/>
    <x v="2"/>
    <s v="Standard Spend"/>
  </r>
  <r>
    <s v="5862-BRIXZ"/>
    <s v="Male"/>
    <x v="2"/>
    <n v="46"/>
    <x v="0"/>
    <x v="1"/>
    <n v="60.75"/>
    <n v="2893.4"/>
    <x v="0"/>
    <s v="Yes"/>
    <x v="2"/>
    <n v="2893.4"/>
    <x v="2"/>
    <s v="High Spend"/>
  </r>
  <r>
    <s v="5404-GGUKR"/>
    <s v="Male"/>
    <x v="0"/>
    <n v="5"/>
    <x v="0"/>
    <x v="0"/>
    <n v="51.35"/>
    <n v="262.3"/>
    <x v="0"/>
    <s v="Yes"/>
    <x v="0"/>
    <n v="262.3"/>
    <x v="0"/>
    <s v="Standard Spend"/>
  </r>
  <r>
    <s v="3308-JSGML"/>
    <s v="Male"/>
    <x v="2"/>
    <n v="59"/>
    <x v="0"/>
    <x v="1"/>
    <n v="64.05"/>
    <n v="3886.85"/>
    <x v="0"/>
    <s v="Yes"/>
    <x v="3"/>
    <n v="3886.85"/>
    <x v="2"/>
    <s v="High Spend"/>
  </r>
  <r>
    <s v="2126-GSEGL"/>
    <s v="Female"/>
    <x v="2"/>
    <n v="70"/>
    <x v="0"/>
    <x v="1"/>
    <n v="84.8"/>
    <n v="5917.55"/>
    <x v="0"/>
    <s v="Yes"/>
    <x v="2"/>
    <n v="5917.55"/>
    <x v="2"/>
    <s v="High Spend"/>
  </r>
  <r>
    <s v="3677-TNKIO"/>
    <s v="Female"/>
    <x v="0"/>
    <n v="14"/>
    <x v="1"/>
    <x v="0"/>
    <n v="71"/>
    <n v="914"/>
    <x v="1"/>
    <s v="Yes"/>
    <x v="3"/>
    <n v="914"/>
    <x v="1"/>
    <s v="Standard Spend"/>
  </r>
  <r>
    <s v="0440-QEXBZ"/>
    <s v="Female"/>
    <x v="0"/>
    <n v="44"/>
    <x v="0"/>
    <x v="0"/>
    <n v="50.15"/>
    <n v="2139.1"/>
    <x v="0"/>
    <s v="Yes"/>
    <x v="1"/>
    <n v="2139.1"/>
    <x v="2"/>
    <s v="Standard Spend"/>
  </r>
  <r>
    <s v="2434-EEVDB"/>
    <s v="Female"/>
    <x v="2"/>
    <n v="64"/>
    <x v="1"/>
    <x v="0"/>
    <n v="94.6"/>
    <n v="5948.7"/>
    <x v="0"/>
    <s v="Yes"/>
    <x v="3"/>
    <n v="5948.7"/>
    <x v="2"/>
    <s v="High Spend"/>
  </r>
  <r>
    <s v="6762-QVYJO"/>
    <s v="Female"/>
    <x v="2"/>
    <n v="58"/>
    <x v="0"/>
    <x v="1"/>
    <n v="59.75"/>
    <n v="3624.35"/>
    <x v="0"/>
    <s v="No"/>
    <x v="1"/>
    <n v="3624.35"/>
    <x v="2"/>
    <s v="High Spend"/>
  </r>
  <r>
    <s v="6199-IWKGC"/>
    <s v="Female"/>
    <x v="1"/>
    <n v="46"/>
    <x v="1"/>
    <x v="1"/>
    <n v="100.25"/>
    <n v="4753.8500000000004"/>
    <x v="0"/>
    <s v="No"/>
    <x v="0"/>
    <n v="4753.8500000000004"/>
    <x v="2"/>
    <s v="High Spend"/>
  </r>
  <r>
    <s v="2675-DHUTR"/>
    <s v="Male"/>
    <x v="0"/>
    <n v="58"/>
    <x v="1"/>
    <x v="0"/>
    <n v="98.9"/>
    <n v="5780.7"/>
    <x v="0"/>
    <s v="Yes"/>
    <x v="0"/>
    <n v="5780.7"/>
    <x v="2"/>
    <s v="High Spend"/>
  </r>
  <r>
    <s v="8152-VETUR"/>
    <s v="Female"/>
    <x v="2"/>
    <n v="72"/>
    <x v="1"/>
    <x v="0"/>
    <n v="97.7"/>
    <n v="6869.7"/>
    <x v="0"/>
    <s v="Yes"/>
    <x v="3"/>
    <n v="6869.7"/>
    <x v="2"/>
    <s v="High Spend"/>
  </r>
  <r>
    <s v="9667-EQRXU"/>
    <s v="Female"/>
    <x v="0"/>
    <n v="30"/>
    <x v="0"/>
    <x v="0"/>
    <n v="40.299999999999997"/>
    <n v="1172.95"/>
    <x v="1"/>
    <s v="Yes"/>
    <x v="0"/>
    <n v="1172.95"/>
    <x v="1"/>
    <s v="Standard Spend"/>
  </r>
  <r>
    <s v="7446-YPODE"/>
    <s v="Male"/>
    <x v="0"/>
    <n v="11"/>
    <x v="0"/>
    <x v="0"/>
    <n v="60.25"/>
    <n v="662.95"/>
    <x v="0"/>
    <s v="No"/>
    <x v="2"/>
    <n v="662.95"/>
    <x v="0"/>
    <s v="Standard Spend"/>
  </r>
  <r>
    <s v="9522-BNTHX"/>
    <s v="Female"/>
    <x v="0"/>
    <n v="34"/>
    <x v="0"/>
    <x v="0"/>
    <n v="56.25"/>
    <n v="1765.95"/>
    <x v="0"/>
    <s v="Yes"/>
    <x v="0"/>
    <n v="1765.95"/>
    <x v="1"/>
    <s v="Standard Spend"/>
  </r>
  <r>
    <s v="4676-WLUHT"/>
    <s v="Male"/>
    <x v="2"/>
    <n v="54"/>
    <x v="0"/>
    <x v="0"/>
    <n v="46.2"/>
    <n v="2431.9499999999998"/>
    <x v="0"/>
    <s v="No"/>
    <x v="2"/>
    <n v="2431.9499999999998"/>
    <x v="2"/>
    <s v="Standard Spend"/>
  </r>
  <r>
    <s v="3329-WDIOK"/>
    <s v="Female"/>
    <x v="0"/>
    <n v="3"/>
    <x v="0"/>
    <x v="0"/>
    <n v="50.6"/>
    <n v="155.35"/>
    <x v="1"/>
    <s v="Yes"/>
    <x v="0"/>
    <n v="155.35"/>
    <x v="0"/>
    <s v="Standard Spend"/>
  </r>
  <r>
    <s v="7980-MHFLQ"/>
    <s v="Female"/>
    <x v="2"/>
    <n v="72"/>
    <x v="2"/>
    <x v="2"/>
    <n v="24.9"/>
    <n v="1859.2"/>
    <x v="0"/>
    <s v="No"/>
    <x v="1"/>
    <n v="1859.2"/>
    <x v="2"/>
    <s v="Standard Spend"/>
  </r>
  <r>
    <s v="2873-ZLIWT"/>
    <s v="Female"/>
    <x v="0"/>
    <n v="40"/>
    <x v="1"/>
    <x v="1"/>
    <n v="84.85"/>
    <n v="3303.05"/>
    <x v="1"/>
    <s v="Yes"/>
    <x v="0"/>
    <n v="3303.05"/>
    <x v="2"/>
    <s v="High Spend"/>
  </r>
  <r>
    <s v="3415-TAILE"/>
    <s v="Female"/>
    <x v="0"/>
    <n v="2"/>
    <x v="0"/>
    <x v="0"/>
    <n v="65.7"/>
    <n v="134.35"/>
    <x v="1"/>
    <s v="No"/>
    <x v="1"/>
    <n v="134.35"/>
    <x v="0"/>
    <s v="Standard Spend"/>
  </r>
  <r>
    <s v="0757-WCUUZ"/>
    <s v="Male"/>
    <x v="2"/>
    <n v="54"/>
    <x v="0"/>
    <x v="0"/>
    <n v="63.35"/>
    <n v="3409.1"/>
    <x v="0"/>
    <s v="No"/>
    <x v="3"/>
    <n v="3409.1"/>
    <x v="2"/>
    <s v="High Spend"/>
  </r>
  <r>
    <s v="1629-DQQVB"/>
    <s v="Female"/>
    <x v="0"/>
    <n v="14"/>
    <x v="0"/>
    <x v="0"/>
    <n v="50.1"/>
    <n v="709.5"/>
    <x v="0"/>
    <s v="No"/>
    <x v="2"/>
    <n v="709.5"/>
    <x v="1"/>
    <s v="Standard Spend"/>
  </r>
  <r>
    <s v="1915-IOFGU"/>
    <s v="Female"/>
    <x v="0"/>
    <n v="1"/>
    <x v="1"/>
    <x v="0"/>
    <n v="70.5"/>
    <n v="70.5"/>
    <x v="1"/>
    <s v="No"/>
    <x v="0"/>
    <n v="70.5"/>
    <x v="0"/>
    <s v="Standard Spend"/>
  </r>
  <r>
    <s v="3045-XETSH"/>
    <s v="Female"/>
    <x v="0"/>
    <n v="10"/>
    <x v="1"/>
    <x v="0"/>
    <n v="94.85"/>
    <n v="953.45"/>
    <x v="1"/>
    <s v="Yes"/>
    <x v="0"/>
    <n v="953.45"/>
    <x v="0"/>
    <s v="Standard Spend"/>
  </r>
  <r>
    <s v="0374-AACSZ"/>
    <s v="Female"/>
    <x v="0"/>
    <n v="1"/>
    <x v="0"/>
    <x v="0"/>
    <n v="50.15"/>
    <n v="50.15"/>
    <x v="0"/>
    <s v="No"/>
    <x v="0"/>
    <n v="50.15"/>
    <x v="0"/>
    <s v="Standard Spend"/>
  </r>
  <r>
    <s v="7239-HZZCX"/>
    <s v="Male"/>
    <x v="0"/>
    <n v="1"/>
    <x v="2"/>
    <x v="2"/>
    <n v="19.75"/>
    <n v="19.75"/>
    <x v="1"/>
    <s v="No"/>
    <x v="1"/>
    <n v="19.75"/>
    <x v="0"/>
    <s v="Standard Spend"/>
  </r>
  <r>
    <s v="4872-VXRIL"/>
    <s v="Male"/>
    <x v="1"/>
    <n v="56"/>
    <x v="0"/>
    <x v="1"/>
    <n v="64.650000000000006"/>
    <n v="3665.55"/>
    <x v="0"/>
    <s v="Yes"/>
    <x v="2"/>
    <n v="3665.55"/>
    <x v="2"/>
    <s v="High Spend"/>
  </r>
  <r>
    <s v="9140-CZQZZ"/>
    <s v="Female"/>
    <x v="2"/>
    <n v="68"/>
    <x v="0"/>
    <x v="1"/>
    <n v="79.599999999999994"/>
    <n v="5515.8"/>
    <x v="0"/>
    <s v="Yes"/>
    <x v="2"/>
    <n v="5515.8"/>
    <x v="2"/>
    <s v="High Spend"/>
  </r>
  <r>
    <s v="3423-HHXAO"/>
    <s v="Female"/>
    <x v="1"/>
    <n v="14"/>
    <x v="2"/>
    <x v="2"/>
    <n v="19.5"/>
    <n v="272"/>
    <x v="0"/>
    <s v="Yes"/>
    <x v="1"/>
    <n v="272"/>
    <x v="1"/>
    <s v="Standard Spend"/>
  </r>
  <r>
    <s v="9938-TKDGL"/>
    <s v="Male"/>
    <x v="2"/>
    <n v="68"/>
    <x v="1"/>
    <x v="1"/>
    <n v="99.55"/>
    <n v="6668"/>
    <x v="0"/>
    <s v="Yes"/>
    <x v="0"/>
    <n v="6668"/>
    <x v="2"/>
    <s v="High Spend"/>
  </r>
  <r>
    <s v="0531-ZZJWQ"/>
    <s v="Male"/>
    <x v="0"/>
    <n v="55"/>
    <x v="1"/>
    <x v="0"/>
    <n v="74"/>
    <n v="4052.4"/>
    <x v="0"/>
    <s v="Yes"/>
    <x v="0"/>
    <n v="4052.4"/>
    <x v="2"/>
    <s v="High Spend"/>
  </r>
  <r>
    <s v="6537-QLGEX"/>
    <s v="Female"/>
    <x v="0"/>
    <n v="16"/>
    <x v="0"/>
    <x v="0"/>
    <n v="38.9"/>
    <n v="664.4"/>
    <x v="0"/>
    <s v="Yes"/>
    <x v="0"/>
    <n v="664.4"/>
    <x v="1"/>
    <s v="Standard Spend"/>
  </r>
  <r>
    <s v="2688-BHGOG"/>
    <s v="Male"/>
    <x v="0"/>
    <n v="9"/>
    <x v="1"/>
    <x v="0"/>
    <n v="79.55"/>
    <n v="718.55"/>
    <x v="0"/>
    <s v="Yes"/>
    <x v="0"/>
    <n v="718.55"/>
    <x v="0"/>
    <s v="Standard Spend"/>
  </r>
  <r>
    <s v="7683-CBDKJ"/>
    <s v="Male"/>
    <x v="0"/>
    <n v="14"/>
    <x v="0"/>
    <x v="0"/>
    <n v="65.45"/>
    <n v="937.6"/>
    <x v="1"/>
    <s v="Yes"/>
    <x v="0"/>
    <n v="937.6"/>
    <x v="1"/>
    <s v="Standard Spend"/>
  </r>
  <r>
    <s v="0946-CLJTI"/>
    <s v="Male"/>
    <x v="0"/>
    <n v="58"/>
    <x v="1"/>
    <x v="0"/>
    <n v="98.7"/>
    <n v="5812.6"/>
    <x v="1"/>
    <s v="Yes"/>
    <x v="0"/>
    <n v="5812.6"/>
    <x v="2"/>
    <s v="High Spend"/>
  </r>
  <r>
    <s v="3160-TYXLT"/>
    <s v="Male"/>
    <x v="0"/>
    <n v="53"/>
    <x v="0"/>
    <x v="0"/>
    <n v="46.3"/>
    <n v="2546.85"/>
    <x v="0"/>
    <s v="Yes"/>
    <x v="2"/>
    <n v="2546.85"/>
    <x v="2"/>
    <s v="High Spend"/>
  </r>
  <r>
    <s v="1325-USMEC"/>
    <s v="Male"/>
    <x v="2"/>
    <n v="70"/>
    <x v="1"/>
    <x v="0"/>
    <n v="99.35"/>
    <n v="6944.5"/>
    <x v="0"/>
    <s v="Yes"/>
    <x v="3"/>
    <n v="6944.5"/>
    <x v="2"/>
    <s v="High Spend"/>
  </r>
  <r>
    <s v="0916-QOFDP"/>
    <s v="Female"/>
    <x v="0"/>
    <n v="14"/>
    <x v="1"/>
    <x v="0"/>
    <n v="95.8"/>
    <n v="1346.3"/>
    <x v="0"/>
    <s v="Yes"/>
    <x v="0"/>
    <n v="1346.3"/>
    <x v="1"/>
    <s v="Standard Spend"/>
  </r>
  <r>
    <s v="0628-CNQRM"/>
    <s v="Male"/>
    <x v="1"/>
    <n v="22"/>
    <x v="0"/>
    <x v="1"/>
    <n v="67.5"/>
    <n v="1544.05"/>
    <x v="1"/>
    <s v="Yes"/>
    <x v="2"/>
    <n v="1544.05"/>
    <x v="1"/>
    <s v="Standard Spend"/>
  </r>
  <r>
    <s v="5606-AMZBO"/>
    <s v="Female"/>
    <x v="0"/>
    <n v="10"/>
    <x v="1"/>
    <x v="0"/>
    <n v="78.150000000000006"/>
    <n v="765.15"/>
    <x v="0"/>
    <s v="Yes"/>
    <x v="3"/>
    <n v="765.15"/>
    <x v="0"/>
    <s v="Standard Spend"/>
  </r>
  <r>
    <s v="6199-IPCAO"/>
    <s v="Female"/>
    <x v="2"/>
    <n v="29"/>
    <x v="2"/>
    <x v="2"/>
    <n v="26.1"/>
    <n v="692.55"/>
    <x v="0"/>
    <s v="No"/>
    <x v="1"/>
    <n v="692.55"/>
    <x v="1"/>
    <s v="Standard Spend"/>
  </r>
  <r>
    <s v="7665-TOALD"/>
    <s v="Female"/>
    <x v="0"/>
    <n v="1"/>
    <x v="1"/>
    <x v="0"/>
    <n v="69.599999999999994"/>
    <n v="69.599999999999994"/>
    <x v="1"/>
    <s v="Yes"/>
    <x v="0"/>
    <n v="69.599999999999994"/>
    <x v="0"/>
    <s v="Standard Spend"/>
  </r>
  <r>
    <s v="0112-QWPNC"/>
    <s v="Male"/>
    <x v="1"/>
    <n v="49"/>
    <x v="0"/>
    <x v="1"/>
    <n v="84.35"/>
    <n v="4059.35"/>
    <x v="1"/>
    <s v="No"/>
    <x v="0"/>
    <n v="4059.35"/>
    <x v="2"/>
    <s v="High Spend"/>
  </r>
  <r>
    <s v="0324-BRPCJ"/>
    <s v="Female"/>
    <x v="0"/>
    <n v="68"/>
    <x v="1"/>
    <x v="0"/>
    <n v="100.2"/>
    <n v="6851.65"/>
    <x v="1"/>
    <s v="Yes"/>
    <x v="0"/>
    <n v="6851.65"/>
    <x v="2"/>
    <s v="High Spend"/>
  </r>
  <r>
    <s v="2777-PHDEI"/>
    <s v="Female"/>
    <x v="0"/>
    <n v="1"/>
    <x v="1"/>
    <x v="0"/>
    <n v="78.05"/>
    <n v="78.05"/>
    <x v="1"/>
    <s v="No"/>
    <x v="0"/>
    <n v="78.05"/>
    <x v="0"/>
    <s v="Standard Spend"/>
  </r>
  <r>
    <s v="5640-CAXOA"/>
    <s v="Female"/>
    <x v="1"/>
    <n v="30"/>
    <x v="0"/>
    <x v="1"/>
    <n v="40.35"/>
    <n v="1187.05"/>
    <x v="0"/>
    <s v="Yes"/>
    <x v="3"/>
    <n v="1187.05"/>
    <x v="1"/>
    <s v="Standard Spend"/>
  </r>
  <r>
    <s v="2235-EZAIK"/>
    <s v="Female"/>
    <x v="2"/>
    <n v="72"/>
    <x v="0"/>
    <x v="1"/>
    <n v="79.2"/>
    <n v="5401.9"/>
    <x v="0"/>
    <s v="No"/>
    <x v="3"/>
    <n v="5401.9"/>
    <x v="2"/>
    <s v="High Spend"/>
  </r>
  <r>
    <s v="3847-BAERP"/>
    <s v="Female"/>
    <x v="0"/>
    <n v="10"/>
    <x v="2"/>
    <x v="2"/>
    <n v="20.9"/>
    <n v="247"/>
    <x v="0"/>
    <s v="Yes"/>
    <x v="1"/>
    <n v="247"/>
    <x v="0"/>
    <s v="Standard Spend"/>
  </r>
  <r>
    <s v="1196-AMORA"/>
    <s v="Male"/>
    <x v="0"/>
    <n v="7"/>
    <x v="1"/>
    <x v="0"/>
    <n v="73.599999999999994"/>
    <n v="520"/>
    <x v="1"/>
    <s v="No"/>
    <x v="0"/>
    <n v="520"/>
    <x v="0"/>
    <s v="Standard Spend"/>
  </r>
  <r>
    <s v="4282-YMKNA"/>
    <s v="Female"/>
    <x v="0"/>
    <n v="9"/>
    <x v="1"/>
    <x v="0"/>
    <n v="74.75"/>
    <n v="706.6"/>
    <x v="1"/>
    <s v="Yes"/>
    <x v="0"/>
    <n v="706.6"/>
    <x v="0"/>
    <s v="Standard Spend"/>
  </r>
  <r>
    <s v="1453-RZFON"/>
    <s v="Female"/>
    <x v="0"/>
    <n v="1"/>
    <x v="0"/>
    <x v="0"/>
    <n v="49.9"/>
    <n v="49.9"/>
    <x v="0"/>
    <s v="No"/>
    <x v="1"/>
    <n v="49.9"/>
    <x v="0"/>
    <s v="Standard Spend"/>
  </r>
  <r>
    <s v="8263-OKETD"/>
    <s v="Female"/>
    <x v="0"/>
    <n v="20"/>
    <x v="0"/>
    <x v="1"/>
    <n v="68.900000000000006"/>
    <n v="1370.35"/>
    <x v="0"/>
    <s v="Yes"/>
    <x v="3"/>
    <n v="1370.35"/>
    <x v="1"/>
    <s v="Standard Spend"/>
  </r>
  <r>
    <s v="0670-KDOMA"/>
    <s v="Female"/>
    <x v="0"/>
    <n v="1"/>
    <x v="2"/>
    <x v="2"/>
    <n v="20.25"/>
    <n v="20.25"/>
    <x v="0"/>
    <s v="Yes"/>
    <x v="1"/>
    <n v="20.25"/>
    <x v="0"/>
    <s v="Standard Spend"/>
  </r>
  <r>
    <s v="2476-YGEFM"/>
    <s v="Female"/>
    <x v="0"/>
    <n v="29"/>
    <x v="1"/>
    <x v="0"/>
    <n v="76"/>
    <n v="2215.25"/>
    <x v="0"/>
    <s v="Yes"/>
    <x v="3"/>
    <n v="2215.25"/>
    <x v="1"/>
    <s v="Standard Spend"/>
  </r>
  <r>
    <s v="8687-BAFGU"/>
    <s v="Male"/>
    <x v="0"/>
    <n v="1"/>
    <x v="1"/>
    <x v="1"/>
    <n v="74"/>
    <n v="74"/>
    <x v="0"/>
    <s v="No"/>
    <x v="0"/>
    <n v="74"/>
    <x v="0"/>
    <s v="Standard Spend"/>
  </r>
  <r>
    <s v="0641-EVBOJ"/>
    <s v="Male"/>
    <x v="0"/>
    <n v="3"/>
    <x v="1"/>
    <x v="1"/>
    <n v="82.3"/>
    <n v="214.4"/>
    <x v="0"/>
    <s v="Yes"/>
    <x v="1"/>
    <n v="214.4"/>
    <x v="0"/>
    <s v="Standard Spend"/>
  </r>
  <r>
    <s v="0829-XXPLX"/>
    <s v="Female"/>
    <x v="0"/>
    <n v="20"/>
    <x v="1"/>
    <x v="0"/>
    <n v="89.4"/>
    <n v="1871.15"/>
    <x v="0"/>
    <s v="Yes"/>
    <x v="2"/>
    <n v="1871.15"/>
    <x v="1"/>
    <s v="Standard Spend"/>
  </r>
  <r>
    <s v="9974-JFBHQ"/>
    <s v="Male"/>
    <x v="0"/>
    <n v="64"/>
    <x v="1"/>
    <x v="1"/>
    <n v="99.15"/>
    <n v="6171.2"/>
    <x v="0"/>
    <s v="Yes"/>
    <x v="3"/>
    <n v="6171.2"/>
    <x v="2"/>
    <s v="High Spend"/>
  </r>
  <r>
    <s v="5356-RHIPP"/>
    <s v="Male"/>
    <x v="0"/>
    <n v="1"/>
    <x v="2"/>
    <x v="2"/>
    <n v="20.2"/>
    <n v="20.2"/>
    <x v="1"/>
    <s v="Yes"/>
    <x v="1"/>
    <n v="20.2"/>
    <x v="0"/>
    <s v="Standard Spend"/>
  </r>
  <r>
    <s v="6624-JDRDS"/>
    <s v="Female"/>
    <x v="0"/>
    <n v="6"/>
    <x v="0"/>
    <x v="0"/>
    <n v="29.45"/>
    <n v="161.44999999999999"/>
    <x v="0"/>
    <s v="No"/>
    <x v="2"/>
    <n v="161.44999999999999"/>
    <x v="0"/>
    <s v="Standard Spend"/>
  </r>
  <r>
    <s v="0608-JDVEC"/>
    <s v="Male"/>
    <x v="2"/>
    <n v="50"/>
    <x v="2"/>
    <x v="2"/>
    <n v="19.8"/>
    <n v="1013.2"/>
    <x v="0"/>
    <s v="No"/>
    <x v="0"/>
    <n v="1013.2"/>
    <x v="2"/>
    <s v="Standard Spend"/>
  </r>
  <r>
    <s v="9780-FKVVF"/>
    <s v="Male"/>
    <x v="0"/>
    <n v="6"/>
    <x v="0"/>
    <x v="0"/>
    <n v="59.15"/>
    <n v="336.7"/>
    <x v="0"/>
    <s v="Yes"/>
    <x v="2"/>
    <n v="336.7"/>
    <x v="0"/>
    <s v="Standard Spend"/>
  </r>
  <r>
    <s v="1919-RTPQD"/>
    <s v="Male"/>
    <x v="0"/>
    <n v="7"/>
    <x v="0"/>
    <x v="0"/>
    <n v="44.75"/>
    <n v="333.65"/>
    <x v="0"/>
    <s v="No"/>
    <x v="0"/>
    <n v="333.65"/>
    <x v="0"/>
    <s v="Standard Spend"/>
  </r>
  <r>
    <s v="5214-NLTIT"/>
    <s v="Male"/>
    <x v="2"/>
    <n v="72"/>
    <x v="1"/>
    <x v="0"/>
    <n v="90.8"/>
    <n v="6511.8"/>
    <x v="0"/>
    <s v="Yes"/>
    <x v="3"/>
    <n v="6511.8"/>
    <x v="2"/>
    <s v="High Spend"/>
  </r>
  <r>
    <s v="3345-PBBFH"/>
    <s v="Male"/>
    <x v="0"/>
    <n v="8"/>
    <x v="0"/>
    <x v="0"/>
    <n v="49.55"/>
    <n v="393.45"/>
    <x v="0"/>
    <s v="Yes"/>
    <x v="2"/>
    <n v="393.45"/>
    <x v="0"/>
    <s v="Standard Spend"/>
  </r>
  <r>
    <s v="5055-BRMNE"/>
    <s v="Female"/>
    <x v="2"/>
    <n v="67"/>
    <x v="1"/>
    <x v="1"/>
    <n v="106.7"/>
    <n v="7009.5"/>
    <x v="0"/>
    <s v="No"/>
    <x v="3"/>
    <n v="7009.5"/>
    <x v="2"/>
    <s v="High Spend"/>
  </r>
  <r>
    <s v="9189-JWSHV"/>
    <s v="Female"/>
    <x v="0"/>
    <n v="24"/>
    <x v="1"/>
    <x v="0"/>
    <n v="93.55"/>
    <n v="2264.0500000000002"/>
    <x v="1"/>
    <s v="Yes"/>
    <x v="0"/>
    <n v="2264.0500000000002"/>
    <x v="1"/>
    <s v="Standard Spend"/>
  </r>
  <r>
    <s v="2190-PHBHR"/>
    <s v="Female"/>
    <x v="2"/>
    <n v="72"/>
    <x v="1"/>
    <x v="0"/>
    <n v="94.45"/>
    <n v="6921.7"/>
    <x v="0"/>
    <s v="Yes"/>
    <x v="3"/>
    <n v="6921.7"/>
    <x v="2"/>
    <s v="High Spend"/>
  </r>
  <r>
    <s v="2650-GYRYL"/>
    <s v="Male"/>
    <x v="1"/>
    <n v="33"/>
    <x v="2"/>
    <x v="2"/>
    <n v="19.45"/>
    <n v="600.25"/>
    <x v="0"/>
    <s v="Yes"/>
    <x v="2"/>
    <n v="600.25"/>
    <x v="1"/>
    <s v="Standard Spend"/>
  </r>
  <r>
    <s v="0746-JTRFU"/>
    <s v="Male"/>
    <x v="0"/>
    <n v="2"/>
    <x v="0"/>
    <x v="0"/>
    <n v="25.05"/>
    <n v="56.35"/>
    <x v="1"/>
    <s v="Yes"/>
    <x v="0"/>
    <n v="56.35"/>
    <x v="0"/>
    <s v="Standard Spend"/>
  </r>
  <r>
    <s v="5208-FVQKB"/>
    <s v="Male"/>
    <x v="2"/>
    <n v="70"/>
    <x v="0"/>
    <x v="1"/>
    <n v="67.95"/>
    <n v="4664.1499999999996"/>
    <x v="0"/>
    <s v="No"/>
    <x v="1"/>
    <n v="4664.1499999999996"/>
    <x v="2"/>
    <s v="High Spend"/>
  </r>
  <r>
    <s v="7184-LRUUR"/>
    <s v="Female"/>
    <x v="1"/>
    <n v="22"/>
    <x v="0"/>
    <x v="0"/>
    <n v="65.25"/>
    <n v="1441.8"/>
    <x v="0"/>
    <s v="No"/>
    <x v="2"/>
    <n v="1441.8"/>
    <x v="1"/>
    <s v="Standard Spend"/>
  </r>
  <r>
    <s v="6627-CFOSN"/>
    <s v="Female"/>
    <x v="0"/>
    <n v="59"/>
    <x v="1"/>
    <x v="0"/>
    <n v="99.45"/>
    <n v="5623.7"/>
    <x v="0"/>
    <s v="Yes"/>
    <x v="2"/>
    <n v="5623.7"/>
    <x v="2"/>
    <s v="High Spend"/>
  </r>
  <r>
    <s v="3982-JGSFD"/>
    <s v="Male"/>
    <x v="1"/>
    <n v="36"/>
    <x v="2"/>
    <x v="2"/>
    <n v="20.350000000000001"/>
    <n v="695.85"/>
    <x v="0"/>
    <s v="Yes"/>
    <x v="3"/>
    <n v="695.85"/>
    <x v="1"/>
    <s v="Standard Spend"/>
  </r>
  <r>
    <s v="1574-DYCWE"/>
    <s v="Female"/>
    <x v="2"/>
    <n v="51"/>
    <x v="2"/>
    <x v="2"/>
    <n v="19.95"/>
    <n v="1028.75"/>
    <x v="0"/>
    <s v="No"/>
    <x v="1"/>
    <n v="1028.75"/>
    <x v="2"/>
    <s v="Standard Spend"/>
  </r>
  <r>
    <s v="7247-XOZPB"/>
    <s v="Male"/>
    <x v="1"/>
    <n v="53"/>
    <x v="0"/>
    <x v="1"/>
    <n v="77.400000000000006"/>
    <n v="4155.95"/>
    <x v="0"/>
    <s v="No"/>
    <x v="2"/>
    <n v="4155.95"/>
    <x v="2"/>
    <s v="High Spend"/>
  </r>
  <r>
    <s v="2466-FCCPT"/>
    <s v="Female"/>
    <x v="1"/>
    <n v="20"/>
    <x v="2"/>
    <x v="2"/>
    <n v="19.7"/>
    <n v="395.6"/>
    <x v="0"/>
    <s v="No"/>
    <x v="2"/>
    <n v="395.6"/>
    <x v="1"/>
    <s v="Standard Spend"/>
  </r>
  <r>
    <s v="6211-WWLTF"/>
    <s v="Male"/>
    <x v="2"/>
    <n v="63"/>
    <x v="1"/>
    <x v="0"/>
    <n v="99.7"/>
    <n v="6330.4"/>
    <x v="0"/>
    <s v="No"/>
    <x v="3"/>
    <n v="6330.4"/>
    <x v="2"/>
    <s v="High Spend"/>
  </r>
  <r>
    <s v="4826-TZEVA"/>
    <s v="Female"/>
    <x v="0"/>
    <n v="40"/>
    <x v="1"/>
    <x v="0"/>
    <n v="74.8"/>
    <n v="2971.7"/>
    <x v="0"/>
    <s v="No"/>
    <x v="3"/>
    <n v="2971.7"/>
    <x v="2"/>
    <s v="High Spend"/>
  </r>
  <r>
    <s v="6016-NXBNJ"/>
    <s v="Male"/>
    <x v="1"/>
    <n v="35"/>
    <x v="2"/>
    <x v="2"/>
    <n v="19.149999999999999"/>
    <n v="638"/>
    <x v="0"/>
    <s v="Yes"/>
    <x v="1"/>
    <n v="638"/>
    <x v="1"/>
    <s v="Standard Spend"/>
  </r>
  <r>
    <s v="9138-EFSMO"/>
    <s v="Male"/>
    <x v="1"/>
    <n v="26"/>
    <x v="1"/>
    <x v="0"/>
    <n v="78.95"/>
    <n v="2034.25"/>
    <x v="0"/>
    <s v="No"/>
    <x v="2"/>
    <n v="2034.25"/>
    <x v="1"/>
    <s v="Standard Spend"/>
  </r>
  <r>
    <s v="0576-WNXXC"/>
    <s v="Male"/>
    <x v="0"/>
    <n v="27"/>
    <x v="1"/>
    <x v="0"/>
    <n v="95.55"/>
    <n v="2510.1999999999998"/>
    <x v="1"/>
    <s v="Yes"/>
    <x v="0"/>
    <n v="2510.1999999999998"/>
    <x v="1"/>
    <s v="High Spend"/>
  </r>
  <r>
    <s v="4632-XJMEX"/>
    <s v="Male"/>
    <x v="1"/>
    <n v="53"/>
    <x v="0"/>
    <x v="1"/>
    <n v="62.85"/>
    <n v="3419.5"/>
    <x v="0"/>
    <s v="No"/>
    <x v="3"/>
    <n v="3419.5"/>
    <x v="2"/>
    <s v="High Spend"/>
  </r>
  <r>
    <s v="8910-LEDAG"/>
    <s v="Male"/>
    <x v="0"/>
    <n v="34"/>
    <x v="1"/>
    <x v="0"/>
    <n v="71.55"/>
    <n v="2427.35"/>
    <x v="0"/>
    <s v="No"/>
    <x v="3"/>
    <n v="2427.35"/>
    <x v="1"/>
    <s v="Standard Spend"/>
  </r>
  <r>
    <s v="3452-GWUIN"/>
    <s v="Female"/>
    <x v="0"/>
    <n v="19"/>
    <x v="1"/>
    <x v="0"/>
    <n v="94.95"/>
    <n v="1760.25"/>
    <x v="0"/>
    <s v="Yes"/>
    <x v="0"/>
    <n v="1760.25"/>
    <x v="1"/>
    <s v="Standard Spend"/>
  </r>
  <r>
    <s v="2716-GFZOR"/>
    <s v="Male"/>
    <x v="0"/>
    <n v="43"/>
    <x v="1"/>
    <x v="0"/>
    <n v="86.1"/>
    <n v="3551.65"/>
    <x v="0"/>
    <s v="Yes"/>
    <x v="3"/>
    <n v="3551.65"/>
    <x v="2"/>
    <s v="High Spend"/>
  </r>
  <r>
    <s v="3724-UCSHY"/>
    <s v="Male"/>
    <x v="0"/>
    <n v="6"/>
    <x v="2"/>
    <x v="2"/>
    <n v="19.55"/>
    <n v="122.9"/>
    <x v="0"/>
    <s v="No"/>
    <x v="1"/>
    <n v="122.9"/>
    <x v="0"/>
    <s v="Standard Spend"/>
  </r>
  <r>
    <s v="8626-XHBIE"/>
    <s v="Male"/>
    <x v="2"/>
    <n v="56"/>
    <x v="2"/>
    <x v="2"/>
    <n v="24.8"/>
    <n v="1424.2"/>
    <x v="0"/>
    <s v="Yes"/>
    <x v="1"/>
    <n v="1424.2"/>
    <x v="2"/>
    <s v="Standard Spend"/>
  </r>
  <r>
    <s v="4628-CTTLA"/>
    <s v="Male"/>
    <x v="0"/>
    <n v="57"/>
    <x v="0"/>
    <x v="0"/>
    <n v="39.299999999999997"/>
    <n v="2111.4499999999998"/>
    <x v="1"/>
    <s v="Yes"/>
    <x v="0"/>
    <n v="2111.4499999999998"/>
    <x v="2"/>
    <s v="Standard Spend"/>
  </r>
  <r>
    <s v="3192-LNKRK"/>
    <s v="Male"/>
    <x v="0"/>
    <n v="34"/>
    <x v="1"/>
    <x v="0"/>
    <n v="84.05"/>
    <n v="2909.95"/>
    <x v="0"/>
    <s v="Yes"/>
    <x v="1"/>
    <n v="2909.95"/>
    <x v="1"/>
    <s v="High Spend"/>
  </r>
  <r>
    <s v="4439-YRNVD"/>
    <s v="Female"/>
    <x v="0"/>
    <n v="10"/>
    <x v="0"/>
    <x v="1"/>
    <n v="36.25"/>
    <n v="374"/>
    <x v="0"/>
    <s v="No"/>
    <x v="0"/>
    <n v="374"/>
    <x v="0"/>
    <s v="Standard Spend"/>
  </r>
  <r>
    <s v="2876-VBBBL"/>
    <s v="Female"/>
    <x v="0"/>
    <n v="1"/>
    <x v="2"/>
    <x v="2"/>
    <n v="20.25"/>
    <n v="20.25"/>
    <x v="1"/>
    <s v="Yes"/>
    <x v="1"/>
    <n v="20.25"/>
    <x v="0"/>
    <s v="Standard Spend"/>
  </r>
  <r>
    <s v="6834-NXDCA"/>
    <s v="Female"/>
    <x v="0"/>
    <n v="13"/>
    <x v="0"/>
    <x v="0"/>
    <n v="23.9"/>
    <n v="300.8"/>
    <x v="1"/>
    <s v="Yes"/>
    <x v="0"/>
    <n v="300.8"/>
    <x v="1"/>
    <s v="Standard Spend"/>
  </r>
  <r>
    <s v="2208-UGTGR"/>
    <s v="Male"/>
    <x v="0"/>
    <n v="56"/>
    <x v="1"/>
    <x v="0"/>
    <n v="98.6"/>
    <n v="5581.05"/>
    <x v="0"/>
    <s v="No"/>
    <x v="0"/>
    <n v="5581.05"/>
    <x v="2"/>
    <s v="High Spend"/>
  </r>
  <r>
    <s v="3005-TYFRD"/>
    <s v="Female"/>
    <x v="0"/>
    <n v="55"/>
    <x v="1"/>
    <x v="0"/>
    <n v="103.65"/>
    <n v="5676.65"/>
    <x v="0"/>
    <s v="Yes"/>
    <x v="3"/>
    <n v="5676.65"/>
    <x v="2"/>
    <s v="High Spend"/>
  </r>
  <r>
    <s v="8670-MEFCP"/>
    <s v="Female"/>
    <x v="2"/>
    <n v="36"/>
    <x v="0"/>
    <x v="1"/>
    <n v="92.9"/>
    <n v="3379.25"/>
    <x v="0"/>
    <s v="Yes"/>
    <x v="3"/>
    <n v="3379.25"/>
    <x v="1"/>
    <s v="High Spend"/>
  </r>
  <r>
    <s v="3079-BCHLN"/>
    <s v="Male"/>
    <x v="1"/>
    <n v="47"/>
    <x v="2"/>
    <x v="2"/>
    <n v="19.899999999999999"/>
    <n v="942.95"/>
    <x v="0"/>
    <s v="No"/>
    <x v="2"/>
    <n v="942.95"/>
    <x v="2"/>
    <s v="Standard Spend"/>
  </r>
  <r>
    <s v="7777-UNYHB"/>
    <s v="Female"/>
    <x v="0"/>
    <n v="12"/>
    <x v="2"/>
    <x v="2"/>
    <n v="20.100000000000001"/>
    <n v="232.4"/>
    <x v="0"/>
    <s v="Yes"/>
    <x v="3"/>
    <n v="232.4"/>
    <x v="0"/>
    <s v="Standard Spend"/>
  </r>
  <r>
    <s v="5597-GLBUC"/>
    <s v="Female"/>
    <x v="0"/>
    <n v="1"/>
    <x v="1"/>
    <x v="0"/>
    <n v="85.45"/>
    <n v="85.45"/>
    <x v="1"/>
    <s v="Yes"/>
    <x v="0"/>
    <n v="85.45"/>
    <x v="0"/>
    <s v="Standard Spend"/>
  </r>
  <r>
    <s v="7278-CKDNC"/>
    <s v="Male"/>
    <x v="0"/>
    <n v="24"/>
    <x v="1"/>
    <x v="0"/>
    <n v="80.5"/>
    <n v="2088.4499999999998"/>
    <x v="0"/>
    <s v="Yes"/>
    <x v="0"/>
    <n v="2088.4499999999998"/>
    <x v="1"/>
    <s v="Standard Spend"/>
  </r>
  <r>
    <s v="2748-MYRVK"/>
    <s v="Female"/>
    <x v="1"/>
    <n v="63"/>
    <x v="1"/>
    <x v="0"/>
    <n v="99.9"/>
    <n v="6137"/>
    <x v="1"/>
    <s v="No"/>
    <x v="2"/>
    <n v="6137"/>
    <x v="2"/>
    <s v="High Spend"/>
  </r>
  <r>
    <s v="8450-UYIBU"/>
    <s v="Female"/>
    <x v="0"/>
    <n v="35"/>
    <x v="0"/>
    <x v="0"/>
    <n v="39.85"/>
    <n v="1434.6"/>
    <x v="0"/>
    <s v="Yes"/>
    <x v="0"/>
    <n v="1434.6"/>
    <x v="1"/>
    <s v="Standard Spend"/>
  </r>
  <r>
    <s v="2969-VAPYH"/>
    <s v="Female"/>
    <x v="1"/>
    <n v="67"/>
    <x v="0"/>
    <x v="1"/>
    <n v="60.5"/>
    <n v="3870"/>
    <x v="0"/>
    <s v="No"/>
    <x v="3"/>
    <n v="3870"/>
    <x v="2"/>
    <s v="High Spend"/>
  </r>
  <r>
    <s v="4822-YCXMX"/>
    <s v="Male"/>
    <x v="0"/>
    <n v="25"/>
    <x v="1"/>
    <x v="0"/>
    <n v="84.8"/>
    <n v="2043.45"/>
    <x v="1"/>
    <s v="Yes"/>
    <x v="0"/>
    <n v="2043.45"/>
    <x v="1"/>
    <s v="Standard Spend"/>
  </r>
  <r>
    <s v="7181-OQCUT"/>
    <s v="Male"/>
    <x v="0"/>
    <n v="21"/>
    <x v="1"/>
    <x v="0"/>
    <n v="103.85"/>
    <n v="2215"/>
    <x v="0"/>
    <s v="No"/>
    <x v="1"/>
    <n v="2215"/>
    <x v="1"/>
    <s v="Standard Spend"/>
  </r>
  <r>
    <s v="8474-UMLNT"/>
    <s v="Female"/>
    <x v="0"/>
    <n v="13"/>
    <x v="0"/>
    <x v="1"/>
    <n v="67.8"/>
    <n v="842.25"/>
    <x v="0"/>
    <s v="No"/>
    <x v="2"/>
    <n v="842.25"/>
    <x v="1"/>
    <s v="Standard Spend"/>
  </r>
  <r>
    <s v="9821-POOTN"/>
    <s v="Male"/>
    <x v="0"/>
    <n v="35"/>
    <x v="1"/>
    <x v="0"/>
    <n v="75.2"/>
    <n v="2576.1999999999998"/>
    <x v="1"/>
    <s v="Yes"/>
    <x v="0"/>
    <n v="2576.1999999999998"/>
    <x v="1"/>
    <s v="High Spend"/>
  </r>
  <r>
    <s v="3836-FZSDJ"/>
    <s v="Male"/>
    <x v="2"/>
    <n v="71"/>
    <x v="2"/>
    <x v="2"/>
    <n v="24.85"/>
    <n v="1901"/>
    <x v="0"/>
    <s v="No"/>
    <x v="2"/>
    <n v="1901"/>
    <x v="2"/>
    <s v="Standard Spend"/>
  </r>
  <r>
    <s v="9142-XMYJH"/>
    <s v="Female"/>
    <x v="0"/>
    <n v="29"/>
    <x v="2"/>
    <x v="2"/>
    <n v="19.350000000000001"/>
    <n v="601.6"/>
    <x v="0"/>
    <s v="No"/>
    <x v="3"/>
    <n v="601.6"/>
    <x v="1"/>
    <s v="Standard Spend"/>
  </r>
  <r>
    <s v="6559-ILWKJ"/>
    <s v="Male"/>
    <x v="2"/>
    <n v="71"/>
    <x v="0"/>
    <x v="0"/>
    <n v="49.35"/>
    <n v="3515.25"/>
    <x v="1"/>
    <s v="No"/>
    <x v="0"/>
    <n v="3515.25"/>
    <x v="2"/>
    <s v="High Spend"/>
  </r>
  <r>
    <s v="0187-QSXOE"/>
    <s v="Male"/>
    <x v="0"/>
    <n v="7"/>
    <x v="1"/>
    <x v="0"/>
    <n v="89"/>
    <n v="605.45000000000005"/>
    <x v="0"/>
    <s v="Yes"/>
    <x v="0"/>
    <n v="605.45000000000005"/>
    <x v="0"/>
    <s v="Standard Spend"/>
  </r>
  <r>
    <s v="7733-UDMTP"/>
    <s v="Female"/>
    <x v="0"/>
    <n v="57"/>
    <x v="0"/>
    <x v="0"/>
    <n v="55"/>
    <n v="3094.05"/>
    <x v="0"/>
    <s v="Yes"/>
    <x v="0"/>
    <n v="3094.05"/>
    <x v="2"/>
    <s v="High Spend"/>
  </r>
  <r>
    <s v="2649-HWLYB"/>
    <s v="Male"/>
    <x v="2"/>
    <n v="65"/>
    <x v="0"/>
    <x v="1"/>
    <n v="76.150000000000006"/>
    <n v="4929.55"/>
    <x v="0"/>
    <s v="No"/>
    <x v="2"/>
    <n v="4929.55"/>
    <x v="2"/>
    <s v="High Spend"/>
  </r>
  <r>
    <s v="5214-CHIWJ"/>
    <s v="Male"/>
    <x v="1"/>
    <n v="27"/>
    <x v="2"/>
    <x v="2"/>
    <n v="20.3"/>
    <n v="595.04999999999995"/>
    <x v="0"/>
    <s v="No"/>
    <x v="1"/>
    <n v="595.04999999999995"/>
    <x v="1"/>
    <s v="Standard Spend"/>
  </r>
  <r>
    <s v="4229-CZMLL"/>
    <s v="Male"/>
    <x v="0"/>
    <n v="6"/>
    <x v="1"/>
    <x v="0"/>
    <n v="74.900000000000006"/>
    <n v="469.8"/>
    <x v="1"/>
    <s v="Yes"/>
    <x v="0"/>
    <n v="469.8"/>
    <x v="0"/>
    <s v="Standard Spend"/>
  </r>
  <r>
    <s v="6904-JLBGY"/>
    <s v="Female"/>
    <x v="2"/>
    <n v="72"/>
    <x v="1"/>
    <x v="1"/>
    <n v="117.35"/>
    <n v="8436.25"/>
    <x v="0"/>
    <s v="Yes"/>
    <x v="3"/>
    <n v="8436.25"/>
    <x v="2"/>
    <s v="High Spend"/>
  </r>
  <r>
    <s v="2465-BLLEU"/>
    <s v="Male"/>
    <x v="0"/>
    <n v="1"/>
    <x v="2"/>
    <x v="2"/>
    <n v="19.75"/>
    <n v="19.75"/>
    <x v="0"/>
    <s v="Yes"/>
    <x v="1"/>
    <n v="19.75"/>
    <x v="0"/>
    <s v="Standard Spend"/>
  </r>
  <r>
    <s v="1685-VAYJF"/>
    <s v="Male"/>
    <x v="0"/>
    <n v="11"/>
    <x v="0"/>
    <x v="0"/>
    <n v="45.2"/>
    <n v="492"/>
    <x v="0"/>
    <s v="No"/>
    <x v="3"/>
    <n v="492"/>
    <x v="0"/>
    <s v="Standard Spend"/>
  </r>
  <r>
    <s v="8874-EJNSR"/>
    <s v="Male"/>
    <x v="2"/>
    <n v="39"/>
    <x v="2"/>
    <x v="2"/>
    <n v="25.2"/>
    <n v="987.95"/>
    <x v="0"/>
    <s v="No"/>
    <x v="1"/>
    <n v="987.95"/>
    <x v="2"/>
    <s v="Standard Spend"/>
  </r>
  <r>
    <s v="6917-YACBP"/>
    <s v="Female"/>
    <x v="0"/>
    <n v="59"/>
    <x v="1"/>
    <x v="0"/>
    <n v="89.75"/>
    <n v="5496.9"/>
    <x v="0"/>
    <s v="Yes"/>
    <x v="0"/>
    <n v="5496.9"/>
    <x v="2"/>
    <s v="High Spend"/>
  </r>
  <r>
    <s v="5049-MUBWG"/>
    <s v="Male"/>
    <x v="1"/>
    <n v="26"/>
    <x v="0"/>
    <x v="1"/>
    <n v="75"/>
    <n v="1908.35"/>
    <x v="0"/>
    <s v="No"/>
    <x v="2"/>
    <n v="1908.35"/>
    <x v="1"/>
    <s v="Standard Spend"/>
  </r>
  <r>
    <s v="4223-WOZCM"/>
    <s v="Male"/>
    <x v="0"/>
    <n v="2"/>
    <x v="0"/>
    <x v="0"/>
    <n v="49.95"/>
    <n v="107.1"/>
    <x v="0"/>
    <s v="No"/>
    <x v="1"/>
    <n v="107.1"/>
    <x v="0"/>
    <s v="Standard Spend"/>
  </r>
  <r>
    <s v="0769-MURVM"/>
    <s v="Female"/>
    <x v="2"/>
    <n v="72"/>
    <x v="0"/>
    <x v="1"/>
    <n v="65.7"/>
    <n v="4575.3500000000004"/>
    <x v="0"/>
    <s v="No"/>
    <x v="2"/>
    <n v="4575.3500000000004"/>
    <x v="2"/>
    <s v="High Spend"/>
  </r>
  <r>
    <s v="9253-VIFJQ"/>
    <s v="Male"/>
    <x v="1"/>
    <n v="65"/>
    <x v="0"/>
    <x v="0"/>
    <n v="67.05"/>
    <n v="4309.55"/>
    <x v="0"/>
    <s v="No"/>
    <x v="3"/>
    <n v="4309.55"/>
    <x v="2"/>
    <s v="High Spend"/>
  </r>
  <r>
    <s v="7030-FZTFM"/>
    <s v="Male"/>
    <x v="2"/>
    <n v="72"/>
    <x v="1"/>
    <x v="1"/>
    <n v="110.9"/>
    <n v="7922.75"/>
    <x v="0"/>
    <s v="No"/>
    <x v="3"/>
    <n v="7922.75"/>
    <x v="2"/>
    <s v="High Spend"/>
  </r>
  <r>
    <s v="9741-YLNTD"/>
    <s v="Male"/>
    <x v="0"/>
    <n v="6"/>
    <x v="1"/>
    <x v="1"/>
    <n v="87.95"/>
    <n v="522.35"/>
    <x v="0"/>
    <s v="Yes"/>
    <x v="2"/>
    <n v="522.35"/>
    <x v="0"/>
    <s v="Standard Spend"/>
  </r>
  <r>
    <s v="5917-RYRMG"/>
    <s v="Male"/>
    <x v="1"/>
    <n v="32"/>
    <x v="2"/>
    <x v="2"/>
    <n v="19.8"/>
    <n v="587.70000000000005"/>
    <x v="0"/>
    <s v="No"/>
    <x v="3"/>
    <n v="587.70000000000005"/>
    <x v="1"/>
    <s v="Standard Spend"/>
  </r>
  <r>
    <s v="5120-ZBLAI"/>
    <s v="Female"/>
    <x v="1"/>
    <n v="50"/>
    <x v="0"/>
    <x v="0"/>
    <n v="75.7"/>
    <n v="3876.2"/>
    <x v="0"/>
    <s v="No"/>
    <x v="2"/>
    <n v="3876.2"/>
    <x v="2"/>
    <s v="High Spend"/>
  </r>
  <r>
    <s v="1194-BHJYC"/>
    <s v="Male"/>
    <x v="2"/>
    <n v="61"/>
    <x v="0"/>
    <x v="1"/>
    <n v="62.15"/>
    <n v="3778.85"/>
    <x v="0"/>
    <s v="Yes"/>
    <x v="1"/>
    <n v="3778.85"/>
    <x v="2"/>
    <s v="High Spend"/>
  </r>
  <r>
    <s v="3663-MITLP"/>
    <s v="Female"/>
    <x v="0"/>
    <n v="15"/>
    <x v="1"/>
    <x v="0"/>
    <n v="101.25"/>
    <n v="1457.25"/>
    <x v="1"/>
    <s v="Yes"/>
    <x v="0"/>
    <n v="1457.25"/>
    <x v="1"/>
    <s v="Standard Spend"/>
  </r>
  <r>
    <s v="0906-QVPMS"/>
    <s v="Male"/>
    <x v="2"/>
    <n v="72"/>
    <x v="1"/>
    <x v="1"/>
    <n v="115.15"/>
    <n v="8349.4500000000007"/>
    <x v="0"/>
    <s v="No"/>
    <x v="2"/>
    <n v="8349.4500000000007"/>
    <x v="2"/>
    <s v="High Spend"/>
  </r>
  <r>
    <s v="9025-ZRPVR"/>
    <s v="Male"/>
    <x v="0"/>
    <n v="9"/>
    <x v="2"/>
    <x v="2"/>
    <n v="18.95"/>
    <n v="185.6"/>
    <x v="1"/>
    <s v="Yes"/>
    <x v="1"/>
    <n v="185.6"/>
    <x v="0"/>
    <s v="Standard Spend"/>
  </r>
  <r>
    <s v="1905-OEILC"/>
    <s v="Female"/>
    <x v="0"/>
    <n v="1"/>
    <x v="2"/>
    <x v="2"/>
    <n v="19.5"/>
    <n v="19.5"/>
    <x v="0"/>
    <s v="No"/>
    <x v="1"/>
    <n v="19.5"/>
    <x v="0"/>
    <s v="Standard Spend"/>
  </r>
  <r>
    <s v="7858-GTZSP"/>
    <s v="Female"/>
    <x v="0"/>
    <n v="12"/>
    <x v="1"/>
    <x v="0"/>
    <n v="86.55"/>
    <n v="1066.9000000000001"/>
    <x v="0"/>
    <s v="Yes"/>
    <x v="0"/>
    <n v="1066.9000000000001"/>
    <x v="0"/>
    <s v="Standard Spend"/>
  </r>
  <r>
    <s v="3285-UCQVC"/>
    <s v="Female"/>
    <x v="0"/>
    <n v="37"/>
    <x v="0"/>
    <x v="1"/>
    <n v="28.6"/>
    <n v="973.55"/>
    <x v="1"/>
    <s v="No"/>
    <x v="3"/>
    <n v="973.55"/>
    <x v="2"/>
    <s v="Standard Spend"/>
  </r>
  <r>
    <s v="6248-BSHKG"/>
    <s v="Male"/>
    <x v="1"/>
    <n v="61"/>
    <x v="2"/>
    <x v="2"/>
    <n v="20.399999999999999"/>
    <n v="1226.45"/>
    <x v="0"/>
    <s v="No"/>
    <x v="1"/>
    <n v="1226.45"/>
    <x v="2"/>
    <s v="Standard Spend"/>
  </r>
  <r>
    <s v="4685-TFLLS"/>
    <s v="Male"/>
    <x v="1"/>
    <n v="18"/>
    <x v="2"/>
    <x v="2"/>
    <n v="19.8"/>
    <n v="342.3"/>
    <x v="0"/>
    <s v="No"/>
    <x v="2"/>
    <n v="342.3"/>
    <x v="1"/>
    <s v="Standard Spend"/>
  </r>
  <r>
    <s v="3470-BTGQO"/>
    <s v="Male"/>
    <x v="0"/>
    <n v="21"/>
    <x v="0"/>
    <x v="0"/>
    <n v="45.65"/>
    <n v="985.05"/>
    <x v="0"/>
    <s v="No"/>
    <x v="1"/>
    <n v="985.05"/>
    <x v="1"/>
    <s v="Standard Spend"/>
  </r>
  <r>
    <s v="1209-VFFOC"/>
    <s v="Male"/>
    <x v="2"/>
    <n v="68"/>
    <x v="0"/>
    <x v="1"/>
    <n v="56.4"/>
    <n v="3948.45"/>
    <x v="0"/>
    <s v="Yes"/>
    <x v="1"/>
    <n v="3948.45"/>
    <x v="2"/>
    <s v="High Spend"/>
  </r>
  <r>
    <s v="8224-DWCKX"/>
    <s v="Male"/>
    <x v="0"/>
    <n v="12"/>
    <x v="1"/>
    <x v="0"/>
    <n v="73.3"/>
    <n v="828.05"/>
    <x v="0"/>
    <s v="Yes"/>
    <x v="3"/>
    <n v="828.05"/>
    <x v="0"/>
    <s v="Standard Spend"/>
  </r>
  <r>
    <s v="5482-PLVPE"/>
    <s v="Female"/>
    <x v="0"/>
    <n v="2"/>
    <x v="0"/>
    <x v="0"/>
    <n v="24.35"/>
    <n v="41.85"/>
    <x v="1"/>
    <s v="No"/>
    <x v="0"/>
    <n v="41.85"/>
    <x v="0"/>
    <s v="Standard Spend"/>
  </r>
  <r>
    <s v="4553-DVPZG"/>
    <s v="Female"/>
    <x v="0"/>
    <n v="62"/>
    <x v="1"/>
    <x v="0"/>
    <n v="101.35"/>
    <n v="6164.7"/>
    <x v="0"/>
    <s v="Yes"/>
    <x v="0"/>
    <n v="6164.7"/>
    <x v="2"/>
    <s v="High Spend"/>
  </r>
  <r>
    <s v="4902-OHLSK"/>
    <s v="Female"/>
    <x v="0"/>
    <n v="29"/>
    <x v="1"/>
    <x v="1"/>
    <n v="98.65"/>
    <n v="2862.75"/>
    <x v="1"/>
    <s v="No"/>
    <x v="0"/>
    <n v="2862.75"/>
    <x v="1"/>
    <s v="High Spend"/>
  </r>
  <r>
    <s v="6917-IAYHD"/>
    <s v="Male"/>
    <x v="0"/>
    <n v="1"/>
    <x v="0"/>
    <x v="1"/>
    <n v="33.6"/>
    <n v="33.6"/>
    <x v="0"/>
    <s v="No"/>
    <x v="1"/>
    <n v="33.6"/>
    <x v="0"/>
    <s v="Standard Spend"/>
  </r>
  <r>
    <s v="0495-ZBNGW"/>
    <s v="Male"/>
    <x v="0"/>
    <n v="5"/>
    <x v="1"/>
    <x v="0"/>
    <n v="79.900000000000006"/>
    <n v="343.95"/>
    <x v="1"/>
    <s v="Yes"/>
    <x v="2"/>
    <n v="343.95"/>
    <x v="0"/>
    <s v="Standard Spend"/>
  </r>
  <r>
    <s v="8620-RJPZN"/>
    <s v="Female"/>
    <x v="0"/>
    <n v="1"/>
    <x v="2"/>
    <x v="2"/>
    <n v="20.7"/>
    <n v="20.7"/>
    <x v="0"/>
    <s v="No"/>
    <x v="0"/>
    <n v="20.7"/>
    <x v="0"/>
    <s v="Standard Spend"/>
  </r>
  <r>
    <s v="7572-KPVKK"/>
    <s v="Male"/>
    <x v="2"/>
    <n v="62"/>
    <x v="1"/>
    <x v="1"/>
    <n v="104.05"/>
    <n v="6590.5"/>
    <x v="0"/>
    <s v="Yes"/>
    <x v="0"/>
    <n v="6590.5"/>
    <x v="2"/>
    <s v="High Spend"/>
  </r>
  <r>
    <s v="2642-MAWLJ"/>
    <s v="Female"/>
    <x v="2"/>
    <n v="36"/>
    <x v="2"/>
    <x v="2"/>
    <n v="20.25"/>
    <n v="717.95"/>
    <x v="0"/>
    <s v="No"/>
    <x v="2"/>
    <n v="717.95"/>
    <x v="1"/>
    <s v="Standard Spend"/>
  </r>
  <r>
    <s v="2357-COQEK"/>
    <s v="Female"/>
    <x v="0"/>
    <n v="28"/>
    <x v="1"/>
    <x v="1"/>
    <n v="103.3"/>
    <n v="2890.65"/>
    <x v="1"/>
    <s v="Yes"/>
    <x v="0"/>
    <n v="2890.65"/>
    <x v="1"/>
    <s v="High Spend"/>
  </r>
  <r>
    <s v="7103-ZGVNT"/>
    <s v="Female"/>
    <x v="1"/>
    <n v="69"/>
    <x v="0"/>
    <x v="1"/>
    <n v="73.7"/>
    <n v="4885.8500000000004"/>
    <x v="0"/>
    <s v="No"/>
    <x v="3"/>
    <n v="4885.8500000000004"/>
    <x v="2"/>
    <s v="High Spend"/>
  </r>
  <r>
    <s v="3737-GCSPV"/>
    <s v="Female"/>
    <x v="0"/>
    <n v="11"/>
    <x v="1"/>
    <x v="1"/>
    <n v="96.2"/>
    <n v="1222.05"/>
    <x v="1"/>
    <s v="Yes"/>
    <x v="3"/>
    <n v="1222.05"/>
    <x v="0"/>
    <s v="Standard Spend"/>
  </r>
  <r>
    <s v="2027-WKXMW"/>
    <s v="Female"/>
    <x v="0"/>
    <n v="63"/>
    <x v="1"/>
    <x v="1"/>
    <n v="108.75"/>
    <n v="6871.7"/>
    <x v="0"/>
    <s v="Yes"/>
    <x v="0"/>
    <n v="6871.7"/>
    <x v="2"/>
    <s v="High Spend"/>
  </r>
  <r>
    <s v="7137-NAXML"/>
    <s v="Male"/>
    <x v="1"/>
    <n v="23"/>
    <x v="2"/>
    <x v="2"/>
    <n v="20.149999999999999"/>
    <n v="405.6"/>
    <x v="0"/>
    <s v="No"/>
    <x v="2"/>
    <n v="405.6"/>
    <x v="1"/>
    <s v="Standard Spend"/>
  </r>
  <r>
    <s v="2428-ZMCTB"/>
    <s v="Male"/>
    <x v="0"/>
    <n v="10"/>
    <x v="2"/>
    <x v="2"/>
    <n v="19.75"/>
    <n v="208.25"/>
    <x v="0"/>
    <s v="No"/>
    <x v="3"/>
    <n v="208.25"/>
    <x v="0"/>
    <s v="Standard Spend"/>
  </r>
  <r>
    <s v="2961-VNFKL"/>
    <s v="Female"/>
    <x v="2"/>
    <n v="71"/>
    <x v="2"/>
    <x v="2"/>
    <n v="25.95"/>
    <n v="1801.9"/>
    <x v="0"/>
    <s v="Yes"/>
    <x v="3"/>
    <n v="1801.9"/>
    <x v="2"/>
    <s v="Standard Spend"/>
  </r>
  <r>
    <s v="1768-HNVGJ"/>
    <s v="Female"/>
    <x v="0"/>
    <n v="45"/>
    <x v="0"/>
    <x v="1"/>
    <n v="70.05"/>
    <n v="3062.45"/>
    <x v="0"/>
    <s v="Yes"/>
    <x v="0"/>
    <n v="3062.45"/>
    <x v="2"/>
    <s v="High Spend"/>
  </r>
  <r>
    <s v="6963-KQYQB"/>
    <s v="Female"/>
    <x v="2"/>
    <n v="70"/>
    <x v="2"/>
    <x v="2"/>
    <n v="24.05"/>
    <n v="1764.75"/>
    <x v="0"/>
    <s v="No"/>
    <x v="1"/>
    <n v="1764.75"/>
    <x v="2"/>
    <s v="Standard Spend"/>
  </r>
  <r>
    <s v="5934-RMPOV"/>
    <s v="Female"/>
    <x v="0"/>
    <n v="22"/>
    <x v="1"/>
    <x v="0"/>
    <n v="84.75"/>
    <n v="1816.75"/>
    <x v="0"/>
    <s v="Yes"/>
    <x v="0"/>
    <n v="1816.75"/>
    <x v="1"/>
    <s v="Standard Spend"/>
  </r>
  <r>
    <s v="1207-BLKSA"/>
    <s v="Female"/>
    <x v="2"/>
    <n v="52"/>
    <x v="2"/>
    <x v="2"/>
    <n v="23.05"/>
    <n v="1255.0999999999999"/>
    <x v="0"/>
    <s v="No"/>
    <x v="1"/>
    <n v="1255.0999999999999"/>
    <x v="2"/>
    <s v="Standard Spend"/>
  </r>
  <r>
    <s v="4088-YLDSU"/>
    <s v="Male"/>
    <x v="1"/>
    <n v="55"/>
    <x v="1"/>
    <x v="1"/>
    <n v="104.15"/>
    <n v="5743.05"/>
    <x v="1"/>
    <s v="Yes"/>
    <x v="0"/>
    <n v="5743.05"/>
    <x v="2"/>
    <s v="High Spend"/>
  </r>
  <r>
    <s v="8316-BBQAY"/>
    <s v="Female"/>
    <x v="2"/>
    <n v="65"/>
    <x v="0"/>
    <x v="1"/>
    <n v="59.95"/>
    <n v="3921.1"/>
    <x v="0"/>
    <s v="No"/>
    <x v="3"/>
    <n v="3921.1"/>
    <x v="2"/>
    <s v="High Spend"/>
  </r>
  <r>
    <s v="1166-PQLGG"/>
    <s v="Female"/>
    <x v="2"/>
    <n v="72"/>
    <x v="2"/>
    <x v="2"/>
    <n v="19.55"/>
    <n v="1463.45"/>
    <x v="0"/>
    <s v="No"/>
    <x v="2"/>
    <n v="1463.45"/>
    <x v="2"/>
    <s v="Standard Spend"/>
  </r>
  <r>
    <s v="3146-JTQHR"/>
    <s v="Male"/>
    <x v="1"/>
    <n v="10"/>
    <x v="2"/>
    <x v="2"/>
    <n v="19.600000000000001"/>
    <n v="189.45"/>
    <x v="0"/>
    <s v="No"/>
    <x v="2"/>
    <n v="189.45"/>
    <x v="0"/>
    <s v="Standard Spend"/>
  </r>
  <r>
    <s v="4291-YZODP"/>
    <s v="Female"/>
    <x v="1"/>
    <n v="7"/>
    <x v="2"/>
    <x v="2"/>
    <n v="20.05"/>
    <n v="96.8"/>
    <x v="0"/>
    <s v="No"/>
    <x v="1"/>
    <n v="96.8"/>
    <x v="0"/>
    <s v="Standard Spend"/>
  </r>
  <r>
    <s v="4395-PZMSN"/>
    <s v="Male"/>
    <x v="0"/>
    <n v="5"/>
    <x v="1"/>
    <x v="0"/>
    <n v="85.55"/>
    <n v="408.5"/>
    <x v="0"/>
    <s v="Yes"/>
    <x v="0"/>
    <n v="408.5"/>
    <x v="0"/>
    <s v="Standard Spend"/>
  </r>
  <r>
    <s v="6427-FEFIG"/>
    <s v="Female"/>
    <x v="2"/>
    <n v="24"/>
    <x v="0"/>
    <x v="0"/>
    <n v="78.599999999999994"/>
    <n v="1846.65"/>
    <x v="0"/>
    <s v="No"/>
    <x v="3"/>
    <n v="1846.65"/>
    <x v="1"/>
    <s v="Standard Spend"/>
  </r>
  <r>
    <s v="0017-IUDMW"/>
    <s v="Female"/>
    <x v="2"/>
    <n v="72"/>
    <x v="1"/>
    <x v="1"/>
    <n v="116.8"/>
    <n v="8456.75"/>
    <x v="0"/>
    <s v="Yes"/>
    <x v="3"/>
    <n v="8456.75"/>
    <x v="2"/>
    <s v="High Spend"/>
  </r>
  <r>
    <s v="8706-HRADD"/>
    <s v="Male"/>
    <x v="0"/>
    <n v="21"/>
    <x v="0"/>
    <x v="1"/>
    <n v="43.55"/>
    <n v="1011.5"/>
    <x v="0"/>
    <s v="Yes"/>
    <x v="1"/>
    <n v="1011.5"/>
    <x v="1"/>
    <s v="Standard Spend"/>
  </r>
  <r>
    <s v="9955-QOPOY"/>
    <s v="Male"/>
    <x v="1"/>
    <n v="69"/>
    <x v="0"/>
    <x v="1"/>
    <n v="60.8"/>
    <n v="4263.3999999999996"/>
    <x v="0"/>
    <s v="Yes"/>
    <x v="3"/>
    <n v="4263.3999999999996"/>
    <x v="2"/>
    <s v="High Spend"/>
  </r>
  <r>
    <s v="4385-ZKVNW"/>
    <s v="Male"/>
    <x v="0"/>
    <n v="44"/>
    <x v="0"/>
    <x v="1"/>
    <n v="54.9"/>
    <n v="2549.1"/>
    <x v="0"/>
    <s v="Yes"/>
    <x v="2"/>
    <n v="2549.1"/>
    <x v="2"/>
    <s v="High Spend"/>
  </r>
  <r>
    <s v="5446-DKWYW"/>
    <s v="Female"/>
    <x v="1"/>
    <n v="61"/>
    <x v="0"/>
    <x v="0"/>
    <n v="65.2"/>
    <n v="3965.05"/>
    <x v="0"/>
    <s v="Yes"/>
    <x v="0"/>
    <n v="3965.05"/>
    <x v="2"/>
    <s v="High Spend"/>
  </r>
  <r>
    <s v="2034-CGRHZ"/>
    <s v="Male"/>
    <x v="0"/>
    <n v="24"/>
    <x v="1"/>
    <x v="0"/>
    <n v="102.95"/>
    <n v="2496.6999999999998"/>
    <x v="1"/>
    <s v="Yes"/>
    <x v="3"/>
    <n v="2496.6999999999998"/>
    <x v="1"/>
    <s v="Standard Spend"/>
  </r>
  <r>
    <s v="5797-APWZC"/>
    <s v="Female"/>
    <x v="0"/>
    <n v="1"/>
    <x v="1"/>
    <x v="0"/>
    <n v="90.6"/>
    <n v="90.6"/>
    <x v="1"/>
    <s v="No"/>
    <x v="0"/>
    <n v="90.6"/>
    <x v="0"/>
    <s v="Standard Spend"/>
  </r>
  <r>
    <s v="3683-QKIUE"/>
    <s v="Female"/>
    <x v="0"/>
    <n v="6"/>
    <x v="0"/>
    <x v="1"/>
    <n v="50.8"/>
    <n v="288.05"/>
    <x v="1"/>
    <s v="Yes"/>
    <x v="2"/>
    <n v="288.05"/>
    <x v="0"/>
    <s v="Standard Spend"/>
  </r>
  <r>
    <s v="4228-ZGYUW"/>
    <s v="Male"/>
    <x v="0"/>
    <n v="4"/>
    <x v="1"/>
    <x v="0"/>
    <n v="90.05"/>
    <n v="368.1"/>
    <x v="1"/>
    <s v="Yes"/>
    <x v="0"/>
    <n v="368.1"/>
    <x v="0"/>
    <s v="Standard Spend"/>
  </r>
  <r>
    <s v="9031-ZVQPT"/>
    <s v="Male"/>
    <x v="2"/>
    <n v="72"/>
    <x v="1"/>
    <x v="1"/>
    <n v="108.2"/>
    <n v="7840.6"/>
    <x v="0"/>
    <s v="Yes"/>
    <x v="0"/>
    <n v="7840.6"/>
    <x v="2"/>
    <s v="High Spend"/>
  </r>
  <r>
    <s v="2990-IAJSV"/>
    <s v="Male"/>
    <x v="2"/>
    <n v="72"/>
    <x v="0"/>
    <x v="1"/>
    <n v="92"/>
    <n v="6632.75"/>
    <x v="0"/>
    <s v="No"/>
    <x v="2"/>
    <n v="6632.75"/>
    <x v="2"/>
    <s v="High Spend"/>
  </r>
  <r>
    <s v="8107-KNCIM"/>
    <s v="Male"/>
    <x v="0"/>
    <n v="14"/>
    <x v="1"/>
    <x v="0"/>
    <n v="75.099999999999994"/>
    <n v="1013.35"/>
    <x v="0"/>
    <s v="Yes"/>
    <x v="0"/>
    <n v="1013.35"/>
    <x v="1"/>
    <s v="Standard Spend"/>
  </r>
  <r>
    <s v="9027-YFHQJ"/>
    <s v="Male"/>
    <x v="0"/>
    <n v="7"/>
    <x v="2"/>
    <x v="2"/>
    <n v="25.05"/>
    <n v="152.94999999999999"/>
    <x v="0"/>
    <s v="Yes"/>
    <x v="2"/>
    <n v="152.94999999999999"/>
    <x v="0"/>
    <s v="Standard Spend"/>
  </r>
  <r>
    <s v="5176-LDKUH"/>
    <s v="Female"/>
    <x v="1"/>
    <n v="48"/>
    <x v="1"/>
    <x v="0"/>
    <n v="75.150000000000006"/>
    <n v="3772.65"/>
    <x v="0"/>
    <s v="No"/>
    <x v="0"/>
    <n v="3772.65"/>
    <x v="2"/>
    <s v="High Spend"/>
  </r>
  <r>
    <s v="4644-OBGFZ"/>
    <s v="Male"/>
    <x v="1"/>
    <n v="55"/>
    <x v="2"/>
    <x v="2"/>
    <n v="19.5"/>
    <n v="1026.3499999999999"/>
    <x v="0"/>
    <s v="No"/>
    <x v="1"/>
    <n v="1026.3499999999999"/>
    <x v="2"/>
    <s v="Standard Spend"/>
  </r>
  <r>
    <s v="7926-IJOOU"/>
    <s v="Male"/>
    <x v="0"/>
    <n v="1"/>
    <x v="2"/>
    <x v="2"/>
    <n v="19.3"/>
    <n v="19.3"/>
    <x v="0"/>
    <s v="No"/>
    <x v="3"/>
    <n v="19.3"/>
    <x v="0"/>
    <s v="Standard Spend"/>
  </r>
  <r>
    <s v="6480-YAGIY"/>
    <s v="Male"/>
    <x v="1"/>
    <n v="45"/>
    <x v="1"/>
    <x v="1"/>
    <n v="112.2"/>
    <n v="5031.8500000000004"/>
    <x v="0"/>
    <s v="No"/>
    <x v="3"/>
    <n v="5031.8500000000004"/>
    <x v="2"/>
    <s v="High Spend"/>
  </r>
  <r>
    <s v="4029-HPFVY"/>
    <s v="Male"/>
    <x v="0"/>
    <n v="3"/>
    <x v="1"/>
    <x v="0"/>
    <n v="70.3"/>
    <n v="220.4"/>
    <x v="0"/>
    <s v="Yes"/>
    <x v="1"/>
    <n v="220.4"/>
    <x v="0"/>
    <s v="Standard Spend"/>
  </r>
  <r>
    <s v="7602-DBTOU"/>
    <s v="Female"/>
    <x v="2"/>
    <n v="71"/>
    <x v="2"/>
    <x v="2"/>
    <n v="19.600000000000001"/>
    <n v="1416.5"/>
    <x v="0"/>
    <s v="No"/>
    <x v="1"/>
    <n v="1416.5"/>
    <x v="2"/>
    <s v="Standard Spend"/>
  </r>
  <r>
    <s v="5345-BMKWB"/>
    <s v="Male"/>
    <x v="0"/>
    <n v="8"/>
    <x v="2"/>
    <x v="2"/>
    <n v="20.25"/>
    <n v="158.35"/>
    <x v="0"/>
    <s v="No"/>
    <x v="1"/>
    <n v="158.35"/>
    <x v="0"/>
    <s v="Standard Spend"/>
  </r>
  <r>
    <s v="3519-ZKXGG"/>
    <s v="Female"/>
    <x v="0"/>
    <n v="3"/>
    <x v="1"/>
    <x v="0"/>
    <n v="75.849999999999994"/>
    <n v="256.60000000000002"/>
    <x v="1"/>
    <s v="Yes"/>
    <x v="0"/>
    <n v="256.60000000000002"/>
    <x v="0"/>
    <s v="Standard Spend"/>
  </r>
  <r>
    <s v="5457-COLHT"/>
    <s v="Male"/>
    <x v="2"/>
    <n v="69"/>
    <x v="0"/>
    <x v="1"/>
    <n v="80.650000000000006"/>
    <n v="5542.55"/>
    <x v="0"/>
    <s v="No"/>
    <x v="2"/>
    <n v="5542.55"/>
    <x v="2"/>
    <s v="High Spend"/>
  </r>
  <r>
    <s v="6416-TVAIH"/>
    <s v="Male"/>
    <x v="0"/>
    <n v="1"/>
    <x v="1"/>
    <x v="0"/>
    <n v="68.5"/>
    <n v="68.5"/>
    <x v="1"/>
    <s v="Yes"/>
    <x v="0"/>
    <n v="68.5"/>
    <x v="0"/>
    <s v="Standard Spend"/>
  </r>
  <r>
    <s v="5451-YHYPW"/>
    <s v="Female"/>
    <x v="2"/>
    <n v="72"/>
    <x v="1"/>
    <x v="1"/>
    <n v="115.75"/>
    <n v="8443.7000000000007"/>
    <x v="0"/>
    <s v="Yes"/>
    <x v="3"/>
    <n v="8443.7000000000007"/>
    <x v="2"/>
    <s v="High Spend"/>
  </r>
  <r>
    <s v="5108-ADXWO"/>
    <s v="Male"/>
    <x v="0"/>
    <n v="11"/>
    <x v="1"/>
    <x v="0"/>
    <n v="73.5"/>
    <n v="791.75"/>
    <x v="1"/>
    <s v="Yes"/>
    <x v="0"/>
    <n v="791.75"/>
    <x v="0"/>
    <s v="Standard Spend"/>
  </r>
  <r>
    <s v="7998-WNZEM"/>
    <s v="Male"/>
    <x v="2"/>
    <n v="71"/>
    <x v="0"/>
    <x v="1"/>
    <n v="80.599999999999994"/>
    <n v="5708.2"/>
    <x v="0"/>
    <s v="No"/>
    <x v="2"/>
    <n v="5708.2"/>
    <x v="2"/>
    <s v="High Spend"/>
  </r>
  <r>
    <s v="3066-RRJIO"/>
    <s v="Female"/>
    <x v="0"/>
    <n v="1"/>
    <x v="1"/>
    <x v="0"/>
    <n v="69.95"/>
    <n v="69.95"/>
    <x v="1"/>
    <s v="Yes"/>
    <x v="1"/>
    <n v="69.95"/>
    <x v="0"/>
    <s v="Standard Spend"/>
  </r>
  <r>
    <s v="4664-NJCMS"/>
    <s v="Female"/>
    <x v="2"/>
    <n v="33"/>
    <x v="0"/>
    <x v="1"/>
    <n v="59.55"/>
    <n v="2016.3"/>
    <x v="0"/>
    <s v="No"/>
    <x v="2"/>
    <n v="2016.3"/>
    <x v="1"/>
    <s v="Standard Spend"/>
  </r>
  <r>
    <s v="0307-BCOPK"/>
    <s v="Female"/>
    <x v="1"/>
    <n v="16"/>
    <x v="2"/>
    <x v="2"/>
    <n v="19.05"/>
    <n v="326.64999999999998"/>
    <x v="0"/>
    <s v="No"/>
    <x v="1"/>
    <n v="326.64999999999998"/>
    <x v="1"/>
    <s v="Standard Spend"/>
  </r>
  <r>
    <s v="7629-WFGLW"/>
    <s v="Female"/>
    <x v="1"/>
    <n v="56"/>
    <x v="1"/>
    <x v="1"/>
    <n v="95.65"/>
    <n v="5471.75"/>
    <x v="0"/>
    <s v="No"/>
    <x v="0"/>
    <n v="5471.75"/>
    <x v="2"/>
    <s v="High Spend"/>
  </r>
  <r>
    <s v="2542-HYGIQ"/>
    <s v="Female"/>
    <x v="0"/>
    <n v="1"/>
    <x v="2"/>
    <x v="2"/>
    <n v="19.95"/>
    <n v="19.95"/>
    <x v="0"/>
    <s v="No"/>
    <x v="3"/>
    <n v="19.95"/>
    <x v="0"/>
    <s v="Standard Spend"/>
  </r>
  <r>
    <s v="6715-OFDBP"/>
    <s v="Male"/>
    <x v="0"/>
    <n v="5"/>
    <x v="0"/>
    <x v="0"/>
    <n v="70.05"/>
    <n v="346.4"/>
    <x v="1"/>
    <s v="Yes"/>
    <x v="0"/>
    <n v="346.4"/>
    <x v="0"/>
    <s v="Standard Spend"/>
  </r>
  <r>
    <s v="5016-LIPDW"/>
    <s v="Male"/>
    <x v="1"/>
    <n v="57"/>
    <x v="2"/>
    <x v="2"/>
    <n v="19.399999999999999"/>
    <n v="1061.5999999999999"/>
    <x v="0"/>
    <s v="No"/>
    <x v="1"/>
    <n v="1061.5999999999999"/>
    <x v="2"/>
    <s v="Standard Spend"/>
  </r>
  <r>
    <s v="6481-LXPWL"/>
    <s v="Male"/>
    <x v="1"/>
    <n v="56"/>
    <x v="0"/>
    <x v="0"/>
    <n v="36.1"/>
    <n v="1971.5"/>
    <x v="0"/>
    <s v="Yes"/>
    <x v="3"/>
    <n v="1971.5"/>
    <x v="2"/>
    <s v="Standard Spend"/>
  </r>
  <r>
    <s v="1567-DSCIC"/>
    <s v="Male"/>
    <x v="0"/>
    <n v="8"/>
    <x v="1"/>
    <x v="0"/>
    <n v="94"/>
    <n v="773.65"/>
    <x v="1"/>
    <s v="Yes"/>
    <x v="0"/>
    <n v="773.65"/>
    <x v="0"/>
    <s v="Standard Spend"/>
  </r>
  <r>
    <s v="2150-UWTFY"/>
    <s v="Female"/>
    <x v="0"/>
    <n v="22"/>
    <x v="0"/>
    <x v="0"/>
    <n v="61.15"/>
    <n v="1422.05"/>
    <x v="1"/>
    <s v="No"/>
    <x v="1"/>
    <n v="1422.05"/>
    <x v="1"/>
    <s v="Standard Spend"/>
  </r>
  <r>
    <s v="6124-ACRHJ"/>
    <s v="Female"/>
    <x v="0"/>
    <n v="1"/>
    <x v="2"/>
    <x v="2"/>
    <n v="19.75"/>
    <n v="19.75"/>
    <x v="0"/>
    <s v="No"/>
    <x v="1"/>
    <n v="19.75"/>
    <x v="0"/>
    <s v="Standard Spend"/>
  </r>
  <r>
    <s v="9362-MWODR"/>
    <s v="Female"/>
    <x v="0"/>
    <n v="40"/>
    <x v="0"/>
    <x v="1"/>
    <n v="64.099999999999994"/>
    <n v="2460.35"/>
    <x v="0"/>
    <s v="Yes"/>
    <x v="3"/>
    <n v="2460.35"/>
    <x v="2"/>
    <s v="Standard Spend"/>
  </r>
  <r>
    <s v="9975-GPKZU"/>
    <s v="Male"/>
    <x v="2"/>
    <n v="46"/>
    <x v="2"/>
    <x v="2"/>
    <n v="19.75"/>
    <n v="856.5"/>
    <x v="0"/>
    <s v="No"/>
    <x v="3"/>
    <n v="856.5"/>
    <x v="2"/>
    <s v="Standard Spend"/>
  </r>
  <r>
    <s v="9625-RZFUK"/>
    <s v="Male"/>
    <x v="2"/>
    <n v="63"/>
    <x v="2"/>
    <x v="2"/>
    <n v="19.7"/>
    <n v="1275.8499999999999"/>
    <x v="0"/>
    <s v="No"/>
    <x v="1"/>
    <n v="1275.8499999999999"/>
    <x v="2"/>
    <s v="Standard Spend"/>
  </r>
  <r>
    <s v="5153-LXKDT"/>
    <s v="Male"/>
    <x v="2"/>
    <n v="68"/>
    <x v="1"/>
    <x v="0"/>
    <n v="110.2"/>
    <n v="7467.5"/>
    <x v="0"/>
    <s v="Yes"/>
    <x v="0"/>
    <n v="7467.5"/>
    <x v="2"/>
    <s v="High Spend"/>
  </r>
  <r>
    <s v="5161-UBZXI"/>
    <s v="Male"/>
    <x v="2"/>
    <n v="69"/>
    <x v="1"/>
    <x v="1"/>
    <n v="106.35"/>
    <n v="7261.75"/>
    <x v="0"/>
    <s v="Yes"/>
    <x v="3"/>
    <n v="7261.75"/>
    <x v="2"/>
    <s v="High Spend"/>
  </r>
  <r>
    <s v="1020-JPQOW"/>
    <s v="Female"/>
    <x v="0"/>
    <n v="56"/>
    <x v="1"/>
    <x v="1"/>
    <n v="90.55"/>
    <n v="5116.6000000000004"/>
    <x v="0"/>
    <s v="No"/>
    <x v="0"/>
    <n v="5116.6000000000004"/>
    <x v="2"/>
    <s v="High Spend"/>
  </r>
  <r>
    <s v="7919-ZODZZ"/>
    <s v="Female"/>
    <x v="1"/>
    <n v="10"/>
    <x v="0"/>
    <x v="0"/>
    <n v="65.900000000000006"/>
    <n v="660.05"/>
    <x v="0"/>
    <s v="Yes"/>
    <x v="1"/>
    <n v="660.05"/>
    <x v="0"/>
    <s v="Standard Spend"/>
  </r>
  <r>
    <s v="0565-JUPYD"/>
    <s v="Male"/>
    <x v="1"/>
    <n v="63"/>
    <x v="1"/>
    <x v="1"/>
    <n v="104.5"/>
    <n v="6590.8"/>
    <x v="0"/>
    <s v="No"/>
    <x v="3"/>
    <n v="6590.8"/>
    <x v="2"/>
    <s v="High Spend"/>
  </r>
  <r>
    <s v="6867-ACCZI"/>
    <s v="Female"/>
    <x v="2"/>
    <n v="24"/>
    <x v="0"/>
    <x v="1"/>
    <n v="52.5"/>
    <n v="1208.1500000000001"/>
    <x v="0"/>
    <s v="Yes"/>
    <x v="1"/>
    <n v="1208.1500000000001"/>
    <x v="1"/>
    <s v="Standard Spend"/>
  </r>
  <r>
    <s v="5939-XAIXZ"/>
    <s v="Female"/>
    <x v="0"/>
    <n v="19"/>
    <x v="0"/>
    <x v="0"/>
    <n v="56.1"/>
    <n v="1033.9000000000001"/>
    <x v="0"/>
    <s v="Yes"/>
    <x v="1"/>
    <n v="1033.9000000000001"/>
    <x v="1"/>
    <s v="Standard Spend"/>
  </r>
  <r>
    <s v="9054-FOWNV"/>
    <s v="Male"/>
    <x v="0"/>
    <n v="22"/>
    <x v="1"/>
    <x v="0"/>
    <n v="88.75"/>
    <n v="1885.15"/>
    <x v="0"/>
    <s v="Yes"/>
    <x v="0"/>
    <n v="1885.15"/>
    <x v="1"/>
    <s v="Standard Spend"/>
  </r>
  <r>
    <s v="2683-BPJSO"/>
    <s v="Male"/>
    <x v="0"/>
    <n v="29"/>
    <x v="1"/>
    <x v="0"/>
    <n v="84.45"/>
    <n v="2467.1"/>
    <x v="1"/>
    <s v="Yes"/>
    <x v="0"/>
    <n v="2467.1"/>
    <x v="1"/>
    <s v="Standard Spend"/>
  </r>
  <r>
    <s v="2157-MXBJS"/>
    <s v="Male"/>
    <x v="1"/>
    <n v="13"/>
    <x v="0"/>
    <x v="0"/>
    <n v="75.3"/>
    <n v="989.45"/>
    <x v="1"/>
    <s v="Yes"/>
    <x v="1"/>
    <n v="989.45"/>
    <x v="1"/>
    <s v="Standard Spend"/>
  </r>
  <r>
    <s v="8207-VVMYB"/>
    <s v="Female"/>
    <x v="2"/>
    <n v="70"/>
    <x v="2"/>
    <x v="2"/>
    <n v="26"/>
    <n v="2006.95"/>
    <x v="0"/>
    <s v="Yes"/>
    <x v="2"/>
    <n v="2006.95"/>
    <x v="2"/>
    <s v="Standard Spend"/>
  </r>
  <r>
    <s v="9732-EQMWY"/>
    <s v="Female"/>
    <x v="0"/>
    <n v="49"/>
    <x v="1"/>
    <x v="0"/>
    <n v="99.4"/>
    <n v="5025"/>
    <x v="0"/>
    <s v="No"/>
    <x v="0"/>
    <n v="5025"/>
    <x v="2"/>
    <s v="High Spend"/>
  </r>
  <r>
    <s v="9360-AHGNL"/>
    <s v="Female"/>
    <x v="1"/>
    <n v="43"/>
    <x v="1"/>
    <x v="1"/>
    <n v="109.55"/>
    <n v="4830.25"/>
    <x v="1"/>
    <s v="Yes"/>
    <x v="1"/>
    <n v="4830.25"/>
    <x v="2"/>
    <s v="High Spend"/>
  </r>
  <r>
    <s v="1087-UDSIH"/>
    <s v="Female"/>
    <x v="0"/>
    <n v="3"/>
    <x v="2"/>
    <x v="2"/>
    <n v="19.600000000000001"/>
    <n v="59.75"/>
    <x v="1"/>
    <s v="Yes"/>
    <x v="1"/>
    <n v="59.75"/>
    <x v="0"/>
    <s v="Standard Spend"/>
  </r>
  <r>
    <s v="5269-NRGDP"/>
    <s v="Male"/>
    <x v="1"/>
    <n v="42"/>
    <x v="0"/>
    <x v="1"/>
    <n v="73.150000000000006"/>
    <n v="3088.25"/>
    <x v="0"/>
    <s v="No"/>
    <x v="0"/>
    <n v="3088.25"/>
    <x v="2"/>
    <s v="High Spend"/>
  </r>
  <r>
    <s v="6195-MELTI"/>
    <s v="Male"/>
    <x v="1"/>
    <n v="57"/>
    <x v="0"/>
    <x v="1"/>
    <n v="54.65"/>
    <n v="3134.7"/>
    <x v="0"/>
    <s v="Yes"/>
    <x v="1"/>
    <n v="3134.7"/>
    <x v="2"/>
    <s v="High Spend"/>
  </r>
  <r>
    <s v="5485-WUYWF"/>
    <s v="Male"/>
    <x v="0"/>
    <n v="2"/>
    <x v="0"/>
    <x v="0"/>
    <n v="66.400000000000006"/>
    <n v="94.55"/>
    <x v="1"/>
    <s v="No"/>
    <x v="2"/>
    <n v="94.55"/>
    <x v="0"/>
    <s v="Standard Spend"/>
  </r>
  <r>
    <s v="2121-JAFOM"/>
    <s v="Female"/>
    <x v="2"/>
    <n v="72"/>
    <x v="1"/>
    <x v="1"/>
    <n v="115.55"/>
    <n v="8312.4"/>
    <x v="0"/>
    <s v="Yes"/>
    <x v="3"/>
    <n v="8312.4"/>
    <x v="2"/>
    <s v="High Spend"/>
  </r>
  <r>
    <s v="8818-DOPVL"/>
    <s v="Female"/>
    <x v="0"/>
    <n v="46"/>
    <x v="1"/>
    <x v="0"/>
    <n v="104.45"/>
    <n v="4863.8500000000004"/>
    <x v="0"/>
    <s v="Yes"/>
    <x v="0"/>
    <n v="4863.8500000000004"/>
    <x v="2"/>
    <s v="High Spend"/>
  </r>
  <r>
    <s v="2632-UCGVD"/>
    <s v="Male"/>
    <x v="0"/>
    <n v="66"/>
    <x v="1"/>
    <x v="1"/>
    <n v="100.05"/>
    <n v="6871.9"/>
    <x v="1"/>
    <s v="Yes"/>
    <x v="3"/>
    <n v="6871.9"/>
    <x v="2"/>
    <s v="High Spend"/>
  </r>
  <r>
    <s v="5445-PZWGX"/>
    <s v="Male"/>
    <x v="1"/>
    <n v="62"/>
    <x v="1"/>
    <x v="1"/>
    <n v="102"/>
    <n v="6529.25"/>
    <x v="1"/>
    <s v="No"/>
    <x v="0"/>
    <n v="6529.25"/>
    <x v="2"/>
    <s v="High Spend"/>
  </r>
  <r>
    <s v="1227-UDMZR"/>
    <s v="Female"/>
    <x v="2"/>
    <n v="72"/>
    <x v="0"/>
    <x v="1"/>
    <n v="91.15"/>
    <n v="6637.9"/>
    <x v="0"/>
    <s v="Yes"/>
    <x v="2"/>
    <n v="6637.9"/>
    <x v="2"/>
    <s v="High Spend"/>
  </r>
  <r>
    <s v="5198-HQAEN"/>
    <s v="Male"/>
    <x v="1"/>
    <n v="35"/>
    <x v="1"/>
    <x v="1"/>
    <n v="89.7"/>
    <n v="3165.6"/>
    <x v="0"/>
    <s v="Yes"/>
    <x v="0"/>
    <n v="3165.6"/>
    <x v="1"/>
    <s v="High Spend"/>
  </r>
  <r>
    <s v="9170-CCKOU"/>
    <s v="Male"/>
    <x v="0"/>
    <n v="17"/>
    <x v="1"/>
    <x v="0"/>
    <n v="90.2"/>
    <n v="1454.15"/>
    <x v="1"/>
    <s v="No"/>
    <x v="3"/>
    <n v="1454.15"/>
    <x v="1"/>
    <s v="Standard Spend"/>
  </r>
  <r>
    <s v="2167-FQSTQ"/>
    <s v="Female"/>
    <x v="2"/>
    <n v="72"/>
    <x v="0"/>
    <x v="1"/>
    <n v="92.4"/>
    <n v="6786.1"/>
    <x v="0"/>
    <s v="Yes"/>
    <x v="0"/>
    <n v="6786.1"/>
    <x v="2"/>
    <s v="High Spend"/>
  </r>
  <r>
    <s v="2819-GWENI"/>
    <s v="Female"/>
    <x v="1"/>
    <n v="28"/>
    <x v="2"/>
    <x v="2"/>
    <n v="19.899999999999999"/>
    <n v="543"/>
    <x v="0"/>
    <s v="No"/>
    <x v="1"/>
    <n v="543"/>
    <x v="1"/>
    <s v="Standard Spend"/>
  </r>
  <r>
    <s v="1043-YCUTE"/>
    <s v="Male"/>
    <x v="2"/>
    <n v="56"/>
    <x v="2"/>
    <x v="2"/>
    <n v="25.15"/>
    <n v="1327.15"/>
    <x v="1"/>
    <s v="Yes"/>
    <x v="3"/>
    <n v="1327.15"/>
    <x v="2"/>
    <s v="Standard Spend"/>
  </r>
  <r>
    <s v="3814-MLAXC"/>
    <s v="Female"/>
    <x v="0"/>
    <n v="31"/>
    <x v="1"/>
    <x v="1"/>
    <n v="79.849999999999994"/>
    <n v="2404.15"/>
    <x v="1"/>
    <s v="Yes"/>
    <x v="3"/>
    <n v="2404.15"/>
    <x v="1"/>
    <s v="Standard Spend"/>
  </r>
  <r>
    <s v="3572-UUHRS"/>
    <s v="Male"/>
    <x v="1"/>
    <n v="45"/>
    <x v="2"/>
    <x v="2"/>
    <n v="18.850000000000001"/>
    <n v="867.3"/>
    <x v="0"/>
    <s v="No"/>
    <x v="2"/>
    <n v="867.3"/>
    <x v="2"/>
    <s v="Standard Spend"/>
  </r>
  <r>
    <s v="2692-PFYTJ"/>
    <s v="Female"/>
    <x v="0"/>
    <n v="1"/>
    <x v="2"/>
    <x v="2"/>
    <n v="25.75"/>
    <n v="25.75"/>
    <x v="0"/>
    <s v="Yes"/>
    <x v="1"/>
    <n v="25.75"/>
    <x v="0"/>
    <s v="Standard Spend"/>
  </r>
  <r>
    <s v="1226-UDFZR"/>
    <s v="Female"/>
    <x v="0"/>
    <n v="2"/>
    <x v="0"/>
    <x v="0"/>
    <n v="49.6"/>
    <n v="114.7"/>
    <x v="1"/>
    <s v="Yes"/>
    <x v="1"/>
    <n v="114.7"/>
    <x v="0"/>
    <s v="Standard Spend"/>
  </r>
  <r>
    <s v="5955-EPOAZ"/>
    <s v="Female"/>
    <x v="0"/>
    <n v="6"/>
    <x v="2"/>
    <x v="2"/>
    <n v="20.95"/>
    <n v="109.5"/>
    <x v="0"/>
    <s v="Yes"/>
    <x v="1"/>
    <n v="109.5"/>
    <x v="0"/>
    <s v="Standard Spend"/>
  </r>
  <r>
    <s v="6821-JPCDC"/>
    <s v="Female"/>
    <x v="1"/>
    <n v="48"/>
    <x v="1"/>
    <x v="0"/>
    <n v="97.05"/>
    <n v="4692.95"/>
    <x v="0"/>
    <s v="Yes"/>
    <x v="0"/>
    <n v="4692.95"/>
    <x v="2"/>
    <s v="High Spend"/>
  </r>
  <r>
    <s v="8815-LMFLX"/>
    <s v="Male"/>
    <x v="0"/>
    <n v="25"/>
    <x v="2"/>
    <x v="2"/>
    <n v="25.4"/>
    <n v="546.85"/>
    <x v="0"/>
    <s v="Yes"/>
    <x v="2"/>
    <n v="546.85"/>
    <x v="1"/>
    <s v="Standard Spend"/>
  </r>
  <r>
    <s v="9135-HSWOC"/>
    <s v="Male"/>
    <x v="2"/>
    <n v="64"/>
    <x v="2"/>
    <x v="2"/>
    <n v="19.7"/>
    <n v="1274.05"/>
    <x v="0"/>
    <s v="Yes"/>
    <x v="2"/>
    <n v="1274.05"/>
    <x v="2"/>
    <s v="Standard Spend"/>
  </r>
  <r>
    <s v="8582-KRHPJ"/>
    <s v="Male"/>
    <x v="0"/>
    <n v="50"/>
    <x v="0"/>
    <x v="0"/>
    <n v="35"/>
    <n v="1782.4"/>
    <x v="0"/>
    <s v="Yes"/>
    <x v="1"/>
    <n v="1782.4"/>
    <x v="2"/>
    <s v="Standard Spend"/>
  </r>
  <r>
    <s v="5811-IWXYM"/>
    <s v="Female"/>
    <x v="1"/>
    <n v="52"/>
    <x v="1"/>
    <x v="0"/>
    <n v="101.25"/>
    <n v="5301.1"/>
    <x v="0"/>
    <s v="No"/>
    <x v="2"/>
    <n v="5301.1"/>
    <x v="2"/>
    <s v="High Spend"/>
  </r>
  <r>
    <s v="7044-YAACC"/>
    <s v="Male"/>
    <x v="0"/>
    <n v="4"/>
    <x v="1"/>
    <x v="0"/>
    <n v="70.2"/>
    <n v="280.35000000000002"/>
    <x v="0"/>
    <s v="Yes"/>
    <x v="0"/>
    <n v="280.35000000000002"/>
    <x v="0"/>
    <s v="Standard Spend"/>
  </r>
  <r>
    <s v="8189-XRIKE"/>
    <s v="Female"/>
    <x v="0"/>
    <n v="32"/>
    <x v="1"/>
    <x v="0"/>
    <n v="90.95"/>
    <n v="2897.95"/>
    <x v="0"/>
    <s v="No"/>
    <x v="0"/>
    <n v="2897.95"/>
    <x v="1"/>
    <s v="High Spend"/>
  </r>
  <r>
    <s v="1506-YJTYT"/>
    <s v="Male"/>
    <x v="2"/>
    <n v="45"/>
    <x v="0"/>
    <x v="1"/>
    <n v="73.849999999999994"/>
    <n v="3371"/>
    <x v="0"/>
    <s v="No"/>
    <x v="3"/>
    <n v="3371"/>
    <x v="2"/>
    <s v="High Spend"/>
  </r>
  <r>
    <s v="4123-DVHPH"/>
    <s v="Male"/>
    <x v="0"/>
    <n v="9"/>
    <x v="1"/>
    <x v="0"/>
    <n v="88.05"/>
    <n v="801.3"/>
    <x v="0"/>
    <s v="Yes"/>
    <x v="0"/>
    <n v="801.3"/>
    <x v="0"/>
    <s v="Standard Spend"/>
  </r>
  <r>
    <s v="6425-YQLLO"/>
    <s v="Female"/>
    <x v="1"/>
    <n v="66"/>
    <x v="1"/>
    <x v="1"/>
    <n v="105.95"/>
    <n v="6975.25"/>
    <x v="1"/>
    <s v="Yes"/>
    <x v="3"/>
    <n v="6975.25"/>
    <x v="2"/>
    <s v="High Spend"/>
  </r>
  <r>
    <s v="5442-UTCVD"/>
    <s v="Male"/>
    <x v="0"/>
    <n v="3"/>
    <x v="1"/>
    <x v="0"/>
    <n v="91.85"/>
    <n v="257.05"/>
    <x v="1"/>
    <s v="No"/>
    <x v="0"/>
    <n v="257.05"/>
    <x v="0"/>
    <s v="Standard Spend"/>
  </r>
  <r>
    <s v="2228-BZDEE"/>
    <s v="Female"/>
    <x v="2"/>
    <n v="54"/>
    <x v="2"/>
    <x v="2"/>
    <n v="20.100000000000001"/>
    <n v="1079.45"/>
    <x v="0"/>
    <s v="No"/>
    <x v="1"/>
    <n v="1079.45"/>
    <x v="2"/>
    <s v="Standard Spend"/>
  </r>
  <r>
    <s v="7734-DBOAI"/>
    <s v="Female"/>
    <x v="0"/>
    <n v="1"/>
    <x v="0"/>
    <x v="1"/>
    <n v="40.1"/>
    <n v="40.1"/>
    <x v="1"/>
    <s v="No"/>
    <x v="0"/>
    <n v="40.1"/>
    <x v="0"/>
    <s v="Standard Spend"/>
  </r>
  <r>
    <s v="2789-CZANW"/>
    <s v="Female"/>
    <x v="2"/>
    <n v="64"/>
    <x v="1"/>
    <x v="1"/>
    <n v="110.3"/>
    <n v="6997.3"/>
    <x v="0"/>
    <s v="No"/>
    <x v="2"/>
    <n v="6997.3"/>
    <x v="2"/>
    <s v="High Spend"/>
  </r>
  <r>
    <s v="2091-RFFBA"/>
    <s v="Female"/>
    <x v="0"/>
    <n v="31"/>
    <x v="1"/>
    <x v="0"/>
    <n v="73.900000000000006"/>
    <n v="2217.15"/>
    <x v="1"/>
    <s v="Yes"/>
    <x v="0"/>
    <n v="2217.15"/>
    <x v="1"/>
    <s v="Standard Spend"/>
  </r>
  <r>
    <s v="2114-MGINA"/>
    <s v="Female"/>
    <x v="0"/>
    <n v="14"/>
    <x v="1"/>
    <x v="0"/>
    <n v="89.8"/>
    <n v="1129.0999999999999"/>
    <x v="1"/>
    <s v="Yes"/>
    <x v="1"/>
    <n v="1129.0999999999999"/>
    <x v="1"/>
    <s v="Standard Spend"/>
  </r>
  <r>
    <s v="7596-LDUXP"/>
    <s v="Female"/>
    <x v="1"/>
    <n v="12"/>
    <x v="1"/>
    <x v="0"/>
    <n v="85.15"/>
    <n v="979.05"/>
    <x v="0"/>
    <s v="Yes"/>
    <x v="3"/>
    <n v="979.05"/>
    <x v="0"/>
    <s v="Standard Spend"/>
  </r>
  <r>
    <s v="3740-RLMVT"/>
    <s v="Male"/>
    <x v="1"/>
    <n v="67"/>
    <x v="0"/>
    <x v="1"/>
    <n v="60.95"/>
    <n v="4119.3999999999996"/>
    <x v="0"/>
    <s v="Yes"/>
    <x v="2"/>
    <n v="4119.3999999999996"/>
    <x v="2"/>
    <s v="High Spend"/>
  </r>
  <r>
    <s v="4489-SNOJF"/>
    <s v="Female"/>
    <x v="0"/>
    <n v="35"/>
    <x v="0"/>
    <x v="1"/>
    <n v="72.25"/>
    <n v="2568.5500000000002"/>
    <x v="1"/>
    <s v="No"/>
    <x v="0"/>
    <n v="2568.5500000000002"/>
    <x v="1"/>
    <s v="High Spend"/>
  </r>
  <r>
    <s v="2192-OZITF"/>
    <s v="Female"/>
    <x v="2"/>
    <n v="45"/>
    <x v="0"/>
    <x v="1"/>
    <n v="73.55"/>
    <n v="3349.1"/>
    <x v="0"/>
    <s v="No"/>
    <x v="1"/>
    <n v="3349.1"/>
    <x v="2"/>
    <s v="High Spend"/>
  </r>
  <r>
    <s v="5651-CPDND"/>
    <s v="Male"/>
    <x v="0"/>
    <n v="10"/>
    <x v="0"/>
    <x v="0"/>
    <n v="46"/>
    <n v="492.1"/>
    <x v="0"/>
    <s v="No"/>
    <x v="1"/>
    <n v="492.1"/>
    <x v="0"/>
    <s v="Standard Spend"/>
  </r>
  <r>
    <s v="2186-QZEYA"/>
    <s v="Female"/>
    <x v="0"/>
    <n v="29"/>
    <x v="0"/>
    <x v="0"/>
    <n v="58.55"/>
    <n v="1718.95"/>
    <x v="0"/>
    <s v="Yes"/>
    <x v="2"/>
    <n v="1718.95"/>
    <x v="1"/>
    <s v="Standard Spend"/>
  </r>
  <r>
    <s v="1131-ALZWV"/>
    <s v="Female"/>
    <x v="1"/>
    <n v="24"/>
    <x v="2"/>
    <x v="2"/>
    <n v="24.6"/>
    <n v="605.25"/>
    <x v="0"/>
    <s v="No"/>
    <x v="2"/>
    <n v="605.25"/>
    <x v="1"/>
    <s v="Standard Spend"/>
  </r>
  <r>
    <s v="7729-XBTWX"/>
    <s v="Male"/>
    <x v="2"/>
    <n v="66"/>
    <x v="2"/>
    <x v="2"/>
    <n v="19.75"/>
    <n v="1344.5"/>
    <x v="0"/>
    <s v="Yes"/>
    <x v="1"/>
    <n v="1344.5"/>
    <x v="2"/>
    <s v="Standard Spend"/>
  </r>
  <r>
    <s v="9134-WYRVP"/>
    <s v="Male"/>
    <x v="1"/>
    <n v="51"/>
    <x v="1"/>
    <x v="0"/>
    <n v="86.35"/>
    <n v="4267.1499999999996"/>
    <x v="0"/>
    <s v="No"/>
    <x v="1"/>
    <n v="4267.1499999999996"/>
    <x v="2"/>
    <s v="High Spend"/>
  </r>
  <r>
    <s v="3284-SVCRO"/>
    <s v="Female"/>
    <x v="2"/>
    <n v="45"/>
    <x v="2"/>
    <x v="2"/>
    <n v="25.5"/>
    <n v="1121.05"/>
    <x v="0"/>
    <s v="No"/>
    <x v="1"/>
    <n v="1121.05"/>
    <x v="2"/>
    <s v="Standard Spend"/>
  </r>
  <r>
    <s v="9732-OUYRN"/>
    <s v="Female"/>
    <x v="1"/>
    <n v="49"/>
    <x v="2"/>
    <x v="2"/>
    <n v="19"/>
    <n v="918.7"/>
    <x v="0"/>
    <s v="No"/>
    <x v="3"/>
    <n v="918.7"/>
    <x v="2"/>
    <s v="Standard Spend"/>
  </r>
  <r>
    <s v="0559-CKHUS"/>
    <s v="Female"/>
    <x v="2"/>
    <n v="29"/>
    <x v="2"/>
    <x v="2"/>
    <n v="19.55"/>
    <n v="521.79999999999995"/>
    <x v="0"/>
    <s v="Yes"/>
    <x v="1"/>
    <n v="521.79999999999995"/>
    <x v="1"/>
    <s v="Standard Spend"/>
  </r>
  <r>
    <s v="2931-SVLTV"/>
    <s v="Male"/>
    <x v="0"/>
    <n v="40"/>
    <x v="1"/>
    <x v="1"/>
    <n v="110.1"/>
    <n v="4469.1000000000004"/>
    <x v="0"/>
    <s v="Yes"/>
    <x v="3"/>
    <n v="4469.1000000000004"/>
    <x v="2"/>
    <s v="High Spend"/>
  </r>
  <r>
    <s v="6899-PPEEA"/>
    <s v="Female"/>
    <x v="0"/>
    <n v="37"/>
    <x v="1"/>
    <x v="0"/>
    <n v="96.55"/>
    <n v="3580.3"/>
    <x v="1"/>
    <s v="Yes"/>
    <x v="0"/>
    <n v="3580.3"/>
    <x v="2"/>
    <s v="High Spend"/>
  </r>
  <r>
    <s v="7504-UWHNB"/>
    <s v="Male"/>
    <x v="0"/>
    <n v="25"/>
    <x v="1"/>
    <x v="0"/>
    <n v="69.75"/>
    <n v="1729.35"/>
    <x v="0"/>
    <s v="No"/>
    <x v="0"/>
    <n v="1729.35"/>
    <x v="1"/>
    <s v="Standard Spend"/>
  </r>
  <r>
    <s v="2582-FFFZR"/>
    <s v="Female"/>
    <x v="0"/>
    <n v="22"/>
    <x v="0"/>
    <x v="0"/>
    <n v="50.6"/>
    <n v="1073.3"/>
    <x v="0"/>
    <s v="Yes"/>
    <x v="0"/>
    <n v="1073.3"/>
    <x v="1"/>
    <s v="Standard Spend"/>
  </r>
  <r>
    <s v="8908-NMQTX"/>
    <s v="Male"/>
    <x v="2"/>
    <n v="72"/>
    <x v="0"/>
    <x v="1"/>
    <n v="65.599999999999994"/>
    <n v="4566.5"/>
    <x v="0"/>
    <s v="Yes"/>
    <x v="2"/>
    <n v="4566.5"/>
    <x v="2"/>
    <s v="High Spend"/>
  </r>
  <r>
    <s v="2187-LZGPL"/>
    <s v="Female"/>
    <x v="0"/>
    <n v="7"/>
    <x v="0"/>
    <x v="0"/>
    <n v="40.1"/>
    <n v="293.3"/>
    <x v="1"/>
    <s v="Yes"/>
    <x v="3"/>
    <n v="293.3"/>
    <x v="0"/>
    <s v="Standard Spend"/>
  </r>
  <r>
    <s v="1431-AIDJQ"/>
    <s v="Male"/>
    <x v="2"/>
    <n v="33"/>
    <x v="0"/>
    <x v="1"/>
    <n v="82.1"/>
    <n v="2603.1"/>
    <x v="0"/>
    <s v="No"/>
    <x v="3"/>
    <n v="2603.1"/>
    <x v="1"/>
    <s v="High Spend"/>
  </r>
  <r>
    <s v="6288-LBEAR"/>
    <s v="Female"/>
    <x v="0"/>
    <n v="23"/>
    <x v="1"/>
    <x v="1"/>
    <n v="79.099999999999994"/>
    <n v="1783.75"/>
    <x v="0"/>
    <s v="Yes"/>
    <x v="1"/>
    <n v="1783.75"/>
    <x v="1"/>
    <s v="Standard Spend"/>
  </r>
  <r>
    <s v="4597-NUCQV"/>
    <s v="Male"/>
    <x v="0"/>
    <n v="24"/>
    <x v="1"/>
    <x v="0"/>
    <n v="101.25"/>
    <n v="2440.15"/>
    <x v="1"/>
    <s v="Yes"/>
    <x v="0"/>
    <n v="2440.15"/>
    <x v="1"/>
    <s v="Standard Spend"/>
  </r>
  <r>
    <s v="9019-QVLZD"/>
    <s v="Female"/>
    <x v="0"/>
    <n v="1"/>
    <x v="1"/>
    <x v="0"/>
    <n v="79.55"/>
    <n v="79.55"/>
    <x v="1"/>
    <s v="No"/>
    <x v="0"/>
    <n v="79.55"/>
    <x v="0"/>
    <s v="Standard Spend"/>
  </r>
  <r>
    <s v="8413-YNHNV"/>
    <s v="Male"/>
    <x v="2"/>
    <n v="69"/>
    <x v="0"/>
    <x v="1"/>
    <n v="90.65"/>
    <n v="6322.1"/>
    <x v="0"/>
    <s v="No"/>
    <x v="1"/>
    <n v="6322.1"/>
    <x v="2"/>
    <s v="High Spend"/>
  </r>
  <r>
    <s v="5808-TOTXO"/>
    <s v="Female"/>
    <x v="1"/>
    <n v="3"/>
    <x v="2"/>
    <x v="2"/>
    <n v="20.55"/>
    <n v="57.4"/>
    <x v="0"/>
    <s v="Yes"/>
    <x v="3"/>
    <n v="57.4"/>
    <x v="0"/>
    <s v="Standard Spend"/>
  </r>
  <r>
    <s v="4369-NYSCF"/>
    <s v="Male"/>
    <x v="1"/>
    <n v="56"/>
    <x v="0"/>
    <x v="1"/>
    <n v="75.75"/>
    <n v="4284.6499999999996"/>
    <x v="0"/>
    <s v="Yes"/>
    <x v="2"/>
    <n v="4284.6499999999996"/>
    <x v="2"/>
    <s v="High Spend"/>
  </r>
  <r>
    <s v="6333-YDVLT"/>
    <s v="Male"/>
    <x v="1"/>
    <n v="65"/>
    <x v="1"/>
    <x v="1"/>
    <n v="110"/>
    <n v="7138.65"/>
    <x v="0"/>
    <s v="Yes"/>
    <x v="3"/>
    <n v="7138.65"/>
    <x v="2"/>
    <s v="High Spend"/>
  </r>
  <r>
    <s v="5324-KTGCG"/>
    <s v="Male"/>
    <x v="1"/>
    <n v="71"/>
    <x v="2"/>
    <x v="2"/>
    <n v="20.85"/>
    <n v="1539.75"/>
    <x v="0"/>
    <s v="No"/>
    <x v="0"/>
    <n v="1539.75"/>
    <x v="2"/>
    <s v="Standard Spend"/>
  </r>
  <r>
    <s v="5599-HVLTW"/>
    <s v="Female"/>
    <x v="0"/>
    <n v="14"/>
    <x v="1"/>
    <x v="0"/>
    <n v="80.349999999999994"/>
    <n v="1058.0999999999999"/>
    <x v="0"/>
    <s v="Yes"/>
    <x v="2"/>
    <n v="1058.0999999999999"/>
    <x v="1"/>
    <s v="Standard Spend"/>
  </r>
  <r>
    <s v="7394-LWLYN"/>
    <s v="Female"/>
    <x v="0"/>
    <n v="2"/>
    <x v="1"/>
    <x v="0"/>
    <n v="70.150000000000006"/>
    <n v="123.8"/>
    <x v="0"/>
    <s v="Yes"/>
    <x v="0"/>
    <n v="123.8"/>
    <x v="0"/>
    <s v="Standard Spend"/>
  </r>
  <r>
    <s v="3707-LRWZD"/>
    <s v="Female"/>
    <x v="1"/>
    <n v="32"/>
    <x v="1"/>
    <x v="0"/>
    <n v="84.05"/>
    <n v="2781.85"/>
    <x v="1"/>
    <s v="No"/>
    <x v="0"/>
    <n v="2781.85"/>
    <x v="1"/>
    <s v="High Spend"/>
  </r>
  <r>
    <s v="6873-UDNLD"/>
    <s v="Male"/>
    <x v="0"/>
    <n v="40"/>
    <x v="0"/>
    <x v="0"/>
    <n v="67.45"/>
    <n v="2731"/>
    <x v="0"/>
    <s v="No"/>
    <x v="0"/>
    <n v="2731"/>
    <x v="2"/>
    <s v="High Spend"/>
  </r>
  <r>
    <s v="2700-LUEVA"/>
    <s v="Male"/>
    <x v="0"/>
    <n v="1"/>
    <x v="2"/>
    <x v="2"/>
    <n v="20.75"/>
    <n v="20.75"/>
    <x v="0"/>
    <s v="No"/>
    <x v="3"/>
    <n v="20.75"/>
    <x v="0"/>
    <s v="Standard Spend"/>
  </r>
  <r>
    <s v="1455-ESIQH"/>
    <s v="Male"/>
    <x v="0"/>
    <n v="1"/>
    <x v="1"/>
    <x v="0"/>
    <n v="89.1"/>
    <n v="89.1"/>
    <x v="1"/>
    <s v="Yes"/>
    <x v="0"/>
    <n v="89.1"/>
    <x v="0"/>
    <s v="Standard Spend"/>
  </r>
  <r>
    <s v="0958-YHXGP"/>
    <s v="Female"/>
    <x v="0"/>
    <n v="7"/>
    <x v="1"/>
    <x v="0"/>
    <n v="69.900000000000006"/>
    <n v="497.3"/>
    <x v="0"/>
    <s v="Yes"/>
    <x v="1"/>
    <n v="497.3"/>
    <x v="0"/>
    <s v="Standard Spend"/>
  </r>
  <r>
    <s v="1101-SSWAG"/>
    <s v="Female"/>
    <x v="0"/>
    <n v="15"/>
    <x v="0"/>
    <x v="0"/>
    <n v="51.1"/>
    <n v="711.15"/>
    <x v="0"/>
    <s v="Yes"/>
    <x v="0"/>
    <n v="711.15"/>
    <x v="1"/>
    <s v="Standard Spend"/>
  </r>
  <r>
    <s v="2979-SXESE"/>
    <s v="Female"/>
    <x v="0"/>
    <n v="17"/>
    <x v="1"/>
    <x v="0"/>
    <n v="94.4"/>
    <n v="1607.2"/>
    <x v="1"/>
    <s v="No"/>
    <x v="0"/>
    <n v="1607.2"/>
    <x v="1"/>
    <s v="Standard Spend"/>
  </r>
  <r>
    <s v="4013-TLDHQ"/>
    <s v="Male"/>
    <x v="0"/>
    <n v="19"/>
    <x v="1"/>
    <x v="0"/>
    <n v="78.25"/>
    <n v="1490.95"/>
    <x v="1"/>
    <s v="Yes"/>
    <x v="0"/>
    <n v="1490.95"/>
    <x v="1"/>
    <s v="Standard Spend"/>
  </r>
  <r>
    <s v="5743-KHMNA"/>
    <s v="Male"/>
    <x v="2"/>
    <n v="71"/>
    <x v="2"/>
    <x v="2"/>
    <n v="25.55"/>
    <n v="1898.1"/>
    <x v="0"/>
    <s v="No"/>
    <x v="2"/>
    <n v="1898.1"/>
    <x v="2"/>
    <s v="Standard Spend"/>
  </r>
  <r>
    <s v="4194-FJARJ"/>
    <s v="Female"/>
    <x v="2"/>
    <n v="54"/>
    <x v="0"/>
    <x v="1"/>
    <n v="60"/>
    <n v="3273.95"/>
    <x v="0"/>
    <s v="No"/>
    <x v="2"/>
    <n v="3273.95"/>
    <x v="2"/>
    <s v="High Spend"/>
  </r>
  <r>
    <s v="5325-UWTWJ"/>
    <s v="Male"/>
    <x v="0"/>
    <n v="31"/>
    <x v="1"/>
    <x v="1"/>
    <n v="90.55"/>
    <n v="2929.75"/>
    <x v="0"/>
    <s v="Yes"/>
    <x v="3"/>
    <n v="2929.75"/>
    <x v="1"/>
    <s v="High Spend"/>
  </r>
  <r>
    <s v="3969-GYXEL"/>
    <s v="Female"/>
    <x v="0"/>
    <n v="11"/>
    <x v="1"/>
    <x v="0"/>
    <n v="76.400000000000006"/>
    <n v="838.7"/>
    <x v="0"/>
    <s v="No"/>
    <x v="0"/>
    <n v="838.7"/>
    <x v="0"/>
    <s v="Standard Spend"/>
  </r>
  <r>
    <s v="9208-OLGAQ"/>
    <s v="Female"/>
    <x v="0"/>
    <n v="18"/>
    <x v="1"/>
    <x v="0"/>
    <n v="84.95"/>
    <n v="1443.65"/>
    <x v="0"/>
    <s v="Yes"/>
    <x v="0"/>
    <n v="1443.65"/>
    <x v="1"/>
    <s v="Standard Spend"/>
  </r>
  <r>
    <s v="3244-CQPHU"/>
    <s v="Female"/>
    <x v="2"/>
    <n v="72"/>
    <x v="1"/>
    <x v="1"/>
    <n v="110.1"/>
    <n v="7746.7"/>
    <x v="0"/>
    <s v="Yes"/>
    <x v="2"/>
    <n v="7746.7"/>
    <x v="2"/>
    <s v="High Spend"/>
  </r>
  <r>
    <s v="2674-MLXMN"/>
    <s v="Female"/>
    <x v="0"/>
    <n v="71"/>
    <x v="1"/>
    <x v="0"/>
    <n v="99.65"/>
    <n v="6951.15"/>
    <x v="0"/>
    <s v="Yes"/>
    <x v="3"/>
    <n v="6951.15"/>
    <x v="2"/>
    <s v="High Spend"/>
  </r>
  <r>
    <s v="9708-HPXWZ"/>
    <s v="Male"/>
    <x v="0"/>
    <n v="5"/>
    <x v="0"/>
    <x v="1"/>
    <n v="45.4"/>
    <n v="214.75"/>
    <x v="0"/>
    <s v="No"/>
    <x v="3"/>
    <n v="214.75"/>
    <x v="0"/>
    <s v="Standard Spend"/>
  </r>
  <r>
    <s v="6992-TKNYO"/>
    <s v="Male"/>
    <x v="1"/>
    <n v="38"/>
    <x v="0"/>
    <x v="1"/>
    <n v="69"/>
    <n v="2669.45"/>
    <x v="0"/>
    <s v="No"/>
    <x v="3"/>
    <n v="2669.45"/>
    <x v="2"/>
    <s v="High Spend"/>
  </r>
  <r>
    <s v="4468-YDOVK"/>
    <s v="Male"/>
    <x v="0"/>
    <n v="5"/>
    <x v="0"/>
    <x v="1"/>
    <n v="48.65"/>
    <n v="235.2"/>
    <x v="0"/>
    <s v="Yes"/>
    <x v="2"/>
    <n v="235.2"/>
    <x v="0"/>
    <s v="Standard Spend"/>
  </r>
  <r>
    <s v="3754-DXMRT"/>
    <s v="Male"/>
    <x v="0"/>
    <n v="2"/>
    <x v="0"/>
    <x v="0"/>
    <n v="44.15"/>
    <n v="92.65"/>
    <x v="1"/>
    <s v="Yes"/>
    <x v="0"/>
    <n v="92.65"/>
    <x v="0"/>
    <s v="Standard Spend"/>
  </r>
  <r>
    <s v="5792-JALQC"/>
    <s v="Female"/>
    <x v="2"/>
    <n v="52"/>
    <x v="0"/>
    <x v="0"/>
    <n v="59.85"/>
    <n v="3103.25"/>
    <x v="0"/>
    <s v="No"/>
    <x v="2"/>
    <n v="3103.25"/>
    <x v="2"/>
    <s v="High Spend"/>
  </r>
  <r>
    <s v="7130-VTEWQ"/>
    <s v="Female"/>
    <x v="0"/>
    <n v="8"/>
    <x v="1"/>
    <x v="0"/>
    <n v="75.75"/>
    <n v="606.25"/>
    <x v="1"/>
    <s v="Yes"/>
    <x v="0"/>
    <n v="606.25"/>
    <x v="0"/>
    <s v="Standard Spend"/>
  </r>
  <r>
    <s v="2200-DSAAL"/>
    <s v="Female"/>
    <x v="2"/>
    <n v="68"/>
    <x v="0"/>
    <x v="0"/>
    <n v="80.650000000000006"/>
    <n v="5330.2"/>
    <x v="0"/>
    <s v="Yes"/>
    <x v="0"/>
    <n v="5330.2"/>
    <x v="2"/>
    <s v="High Spend"/>
  </r>
  <r>
    <s v="4302-ZYFEL"/>
    <s v="Male"/>
    <x v="1"/>
    <n v="69"/>
    <x v="2"/>
    <x v="2"/>
    <n v="20.55"/>
    <n v="1403.1"/>
    <x v="0"/>
    <s v="Yes"/>
    <x v="3"/>
    <n v="1403.1"/>
    <x v="2"/>
    <s v="Standard Spend"/>
  </r>
  <r>
    <s v="9351-LZYGF"/>
    <s v="Female"/>
    <x v="0"/>
    <n v="42"/>
    <x v="0"/>
    <x v="1"/>
    <n v="66.400000000000006"/>
    <n v="2727.8"/>
    <x v="0"/>
    <s v="Yes"/>
    <x v="3"/>
    <n v="2727.8"/>
    <x v="2"/>
    <s v="High Spend"/>
  </r>
  <r>
    <s v="4366-CTOUZ"/>
    <s v="Female"/>
    <x v="2"/>
    <n v="50"/>
    <x v="1"/>
    <x v="1"/>
    <n v="100.2"/>
    <n v="5038.45"/>
    <x v="0"/>
    <s v="Yes"/>
    <x v="1"/>
    <n v="5038.45"/>
    <x v="2"/>
    <s v="High Spend"/>
  </r>
  <r>
    <s v="6121-VZNQB"/>
    <s v="Female"/>
    <x v="0"/>
    <n v="1"/>
    <x v="2"/>
    <x v="2"/>
    <n v="19.100000000000001"/>
    <n v="19.100000000000001"/>
    <x v="1"/>
    <s v="Yes"/>
    <x v="1"/>
    <n v="19.100000000000001"/>
    <x v="0"/>
    <s v="Standard Spend"/>
  </r>
  <r>
    <s v="7903-CMPEY"/>
    <s v="Male"/>
    <x v="0"/>
    <n v="1"/>
    <x v="1"/>
    <x v="0"/>
    <n v="80.3"/>
    <n v="80.3"/>
    <x v="1"/>
    <s v="Yes"/>
    <x v="0"/>
    <n v="80.3"/>
    <x v="0"/>
    <s v="Standard Spend"/>
  </r>
  <r>
    <s v="1518-OMDIK"/>
    <s v="Male"/>
    <x v="0"/>
    <n v="33"/>
    <x v="0"/>
    <x v="0"/>
    <n v="44.55"/>
    <n v="1462.6"/>
    <x v="0"/>
    <s v="Yes"/>
    <x v="3"/>
    <n v="1462.6"/>
    <x v="1"/>
    <s v="Standard Spend"/>
  </r>
  <r>
    <s v="6671-NGWON"/>
    <s v="Female"/>
    <x v="0"/>
    <n v="7"/>
    <x v="2"/>
    <x v="2"/>
    <n v="20.350000000000001"/>
    <n v="150.6"/>
    <x v="0"/>
    <s v="No"/>
    <x v="1"/>
    <n v="150.6"/>
    <x v="0"/>
    <s v="Standard Spend"/>
  </r>
  <r>
    <s v="0595-ITUDF"/>
    <s v="Male"/>
    <x v="0"/>
    <n v="64"/>
    <x v="1"/>
    <x v="0"/>
    <n v="91.8"/>
    <n v="5960.5"/>
    <x v="0"/>
    <s v="Yes"/>
    <x v="0"/>
    <n v="5960.5"/>
    <x v="2"/>
    <s v="High Spend"/>
  </r>
  <r>
    <s v="6996-KNSML"/>
    <s v="Female"/>
    <x v="0"/>
    <n v="1"/>
    <x v="1"/>
    <x v="0"/>
    <n v="74.900000000000006"/>
    <n v="74.900000000000006"/>
    <x v="1"/>
    <s v="Yes"/>
    <x v="0"/>
    <n v="74.900000000000006"/>
    <x v="0"/>
    <s v="Standard Spend"/>
  </r>
  <r>
    <s v="1955-IBMMB"/>
    <s v="Male"/>
    <x v="2"/>
    <n v="59"/>
    <x v="2"/>
    <x v="2"/>
    <n v="20.2"/>
    <n v="1192.3"/>
    <x v="0"/>
    <s v="Yes"/>
    <x v="2"/>
    <n v="1192.3"/>
    <x v="2"/>
    <s v="Standard Spend"/>
  </r>
  <r>
    <s v="0096-BXERS"/>
    <s v="Female"/>
    <x v="0"/>
    <n v="6"/>
    <x v="0"/>
    <x v="0"/>
    <n v="50.35"/>
    <n v="314.55"/>
    <x v="0"/>
    <s v="No"/>
    <x v="0"/>
    <n v="314.55"/>
    <x v="0"/>
    <s v="Standard Spend"/>
  </r>
  <r>
    <s v="3806-YAZOV"/>
    <s v="Female"/>
    <x v="0"/>
    <n v="3"/>
    <x v="2"/>
    <x v="2"/>
    <n v="18.8"/>
    <n v="56"/>
    <x v="0"/>
    <s v="No"/>
    <x v="1"/>
    <n v="56"/>
    <x v="0"/>
    <s v="Standard Spend"/>
  </r>
  <r>
    <s v="7998-ZLXWN"/>
    <s v="Female"/>
    <x v="0"/>
    <n v="15"/>
    <x v="2"/>
    <x v="2"/>
    <n v="20.45"/>
    <n v="330.8"/>
    <x v="0"/>
    <s v="No"/>
    <x v="3"/>
    <n v="330.8"/>
    <x v="1"/>
    <s v="Standard Spend"/>
  </r>
  <r>
    <s v="6253-WRFHY"/>
    <s v="Male"/>
    <x v="1"/>
    <n v="13"/>
    <x v="0"/>
    <x v="0"/>
    <n v="64.75"/>
    <n v="877.35"/>
    <x v="0"/>
    <s v="Yes"/>
    <x v="0"/>
    <n v="877.35"/>
    <x v="1"/>
    <s v="Standard Spend"/>
  </r>
  <r>
    <s v="9133-AYJZG"/>
    <s v="Female"/>
    <x v="0"/>
    <n v="23"/>
    <x v="1"/>
    <x v="0"/>
    <n v="98.7"/>
    <n v="2249.1"/>
    <x v="0"/>
    <s v="Yes"/>
    <x v="3"/>
    <n v="2249.1"/>
    <x v="1"/>
    <s v="Standard Spend"/>
  </r>
  <r>
    <s v="2675-OTVVJ"/>
    <s v="Male"/>
    <x v="0"/>
    <n v="31"/>
    <x v="1"/>
    <x v="0"/>
    <n v="89.45"/>
    <n v="2807.65"/>
    <x v="0"/>
    <s v="No"/>
    <x v="0"/>
    <n v="2807.65"/>
    <x v="1"/>
    <s v="High Spend"/>
  </r>
  <r>
    <s v="8680-CGLTP"/>
    <s v="Male"/>
    <x v="1"/>
    <n v="29"/>
    <x v="0"/>
    <x v="1"/>
    <n v="58.75"/>
    <n v="1696.2"/>
    <x v="0"/>
    <s v="Yes"/>
    <x v="0"/>
    <n v="1696.2"/>
    <x v="1"/>
    <s v="Standard Spend"/>
  </r>
  <r>
    <s v="8430-TWCBX"/>
    <s v="Female"/>
    <x v="1"/>
    <n v="49"/>
    <x v="2"/>
    <x v="2"/>
    <n v="20.7"/>
    <n v="1032.05"/>
    <x v="0"/>
    <s v="No"/>
    <x v="3"/>
    <n v="1032.05"/>
    <x v="2"/>
    <s v="Standard Spend"/>
  </r>
  <r>
    <s v="5018-GWURO"/>
    <s v="Female"/>
    <x v="0"/>
    <n v="56"/>
    <x v="1"/>
    <x v="0"/>
    <n v="85.6"/>
    <n v="4902.8"/>
    <x v="0"/>
    <s v="Yes"/>
    <x v="2"/>
    <n v="4902.8"/>
    <x v="2"/>
    <s v="High Spend"/>
  </r>
  <r>
    <s v="6741-QRLUP"/>
    <s v="Female"/>
    <x v="2"/>
    <n v="63"/>
    <x v="0"/>
    <x v="1"/>
    <n v="80.3"/>
    <n v="4995.3500000000004"/>
    <x v="0"/>
    <s v="Yes"/>
    <x v="3"/>
    <n v="4995.3500000000004"/>
    <x v="2"/>
    <s v="High Spend"/>
  </r>
  <r>
    <s v="4737-HOBAX"/>
    <s v="Male"/>
    <x v="2"/>
    <n v="63"/>
    <x v="0"/>
    <x v="1"/>
    <n v="79.8"/>
    <n v="5034.05"/>
    <x v="0"/>
    <s v="No"/>
    <x v="3"/>
    <n v="5034.05"/>
    <x v="2"/>
    <s v="High Spend"/>
  </r>
  <r>
    <s v="0537-QYZZN"/>
    <s v="Male"/>
    <x v="0"/>
    <n v="24"/>
    <x v="1"/>
    <x v="0"/>
    <n v="79.849999999999994"/>
    <n v="1857.75"/>
    <x v="0"/>
    <s v="Yes"/>
    <x v="0"/>
    <n v="1857.75"/>
    <x v="1"/>
    <s v="Standard Spend"/>
  </r>
  <r>
    <s v="3340-QBBFM"/>
    <s v="Male"/>
    <x v="1"/>
    <n v="36"/>
    <x v="0"/>
    <x v="1"/>
    <n v="54.1"/>
    <n v="1992.85"/>
    <x v="0"/>
    <s v="No"/>
    <x v="3"/>
    <n v="1992.85"/>
    <x v="1"/>
    <s v="Standard Spend"/>
  </r>
  <r>
    <s v="1704-NRWYE"/>
    <s v="Female"/>
    <x v="0"/>
    <n v="9"/>
    <x v="1"/>
    <x v="0"/>
    <n v="80.849999999999994"/>
    <n v="751.65"/>
    <x v="1"/>
    <s v="Yes"/>
    <x v="0"/>
    <n v="751.65"/>
    <x v="0"/>
    <s v="Standard Spend"/>
  </r>
  <r>
    <s v="2592-SEIFQ"/>
    <s v="Male"/>
    <x v="0"/>
    <n v="3"/>
    <x v="0"/>
    <x v="0"/>
    <n v="24.75"/>
    <n v="66.95"/>
    <x v="1"/>
    <s v="No"/>
    <x v="0"/>
    <n v="66.95"/>
    <x v="0"/>
    <s v="Standard Spend"/>
  </r>
  <r>
    <s v="8200-KLNYW"/>
    <s v="Female"/>
    <x v="1"/>
    <n v="21"/>
    <x v="0"/>
    <x v="1"/>
    <n v="80.900000000000006"/>
    <n v="1714.95"/>
    <x v="0"/>
    <s v="No"/>
    <x v="1"/>
    <n v="1714.95"/>
    <x v="1"/>
    <s v="Standard Spend"/>
  </r>
  <r>
    <s v="3372-CDXFJ"/>
    <s v="Male"/>
    <x v="1"/>
    <n v="13"/>
    <x v="2"/>
    <x v="2"/>
    <n v="24.5"/>
    <n v="343.6"/>
    <x v="0"/>
    <s v="No"/>
    <x v="2"/>
    <n v="343.6"/>
    <x v="1"/>
    <s v="Standard Spend"/>
  </r>
  <r>
    <s v="4781-ZXYGU"/>
    <s v="Male"/>
    <x v="0"/>
    <n v="1"/>
    <x v="2"/>
    <x v="2"/>
    <n v="20.149999999999999"/>
    <n v="20.149999999999999"/>
    <x v="0"/>
    <s v="Yes"/>
    <x v="2"/>
    <n v="20.149999999999999"/>
    <x v="0"/>
    <s v="Standard Spend"/>
  </r>
  <r>
    <s v="7632-YUTXB"/>
    <s v="Female"/>
    <x v="1"/>
    <n v="25"/>
    <x v="2"/>
    <x v="2"/>
    <n v="20.05"/>
    <n v="520.1"/>
    <x v="0"/>
    <s v="No"/>
    <x v="1"/>
    <n v="520.1"/>
    <x v="1"/>
    <s v="Standard Spend"/>
  </r>
  <r>
    <s v="2718-YSKCS"/>
    <s v="Male"/>
    <x v="2"/>
    <n v="71"/>
    <x v="2"/>
    <x v="2"/>
    <n v="19.600000000000001"/>
    <n v="1387.45"/>
    <x v="0"/>
    <s v="Yes"/>
    <x v="2"/>
    <n v="1387.45"/>
    <x v="2"/>
    <s v="Standard Spend"/>
  </r>
  <r>
    <s v="9896-UYMIE"/>
    <s v="Male"/>
    <x v="1"/>
    <n v="66"/>
    <x v="1"/>
    <x v="1"/>
    <n v="114.3"/>
    <n v="7383.7"/>
    <x v="0"/>
    <s v="Yes"/>
    <x v="2"/>
    <n v="7383.7"/>
    <x v="2"/>
    <s v="High Spend"/>
  </r>
  <r>
    <s v="0853-NWIFK"/>
    <s v="Female"/>
    <x v="1"/>
    <n v="45"/>
    <x v="1"/>
    <x v="0"/>
    <n v="100.3"/>
    <n v="4483.95"/>
    <x v="0"/>
    <s v="Yes"/>
    <x v="0"/>
    <n v="4483.95"/>
    <x v="2"/>
    <s v="High Spend"/>
  </r>
  <r>
    <s v="8212-CRQXP"/>
    <s v="Female"/>
    <x v="0"/>
    <n v="22"/>
    <x v="1"/>
    <x v="0"/>
    <n v="80"/>
    <n v="1706.45"/>
    <x v="0"/>
    <s v="Yes"/>
    <x v="3"/>
    <n v="1706.45"/>
    <x v="1"/>
    <s v="Standard Spend"/>
  </r>
  <r>
    <s v="6980-CDGFC"/>
    <s v="Female"/>
    <x v="1"/>
    <n v="67"/>
    <x v="2"/>
    <x v="2"/>
    <n v="20.85"/>
    <n v="1327.4"/>
    <x v="0"/>
    <s v="Yes"/>
    <x v="2"/>
    <n v="1327.4"/>
    <x v="2"/>
    <s v="Standard Spend"/>
  </r>
  <r>
    <s v="7691-XVTZH"/>
    <s v="Female"/>
    <x v="2"/>
    <n v="68"/>
    <x v="1"/>
    <x v="0"/>
    <n v="89.95"/>
    <n v="5974.3"/>
    <x v="0"/>
    <s v="Yes"/>
    <x v="2"/>
    <n v="5974.3"/>
    <x v="2"/>
    <s v="High Spend"/>
  </r>
  <r>
    <s v="2520-SGTTA"/>
    <s v="Female"/>
    <x v="2"/>
    <n v="0"/>
    <x v="2"/>
    <x v="2"/>
    <n v="20"/>
    <s v=" "/>
    <x v="0"/>
    <s v="No"/>
    <x v="1"/>
    <n v="0"/>
    <x v="0"/>
    <s v="High Spend"/>
  </r>
  <r>
    <s v="7481-ATQQS"/>
    <s v="Female"/>
    <x v="0"/>
    <n v="49"/>
    <x v="1"/>
    <x v="0"/>
    <n v="90.85"/>
    <n v="4515.8500000000004"/>
    <x v="1"/>
    <s v="Yes"/>
    <x v="3"/>
    <n v="4515.8500000000004"/>
    <x v="2"/>
    <s v="High Spend"/>
  </r>
  <r>
    <s v="2277-VWCNI"/>
    <s v="Female"/>
    <x v="0"/>
    <n v="4"/>
    <x v="0"/>
    <x v="0"/>
    <n v="48.75"/>
    <n v="179.85"/>
    <x v="0"/>
    <s v="No"/>
    <x v="1"/>
    <n v="179.85"/>
    <x v="0"/>
    <s v="Standard Spend"/>
  </r>
  <r>
    <s v="1088-CNNKB"/>
    <s v="Male"/>
    <x v="1"/>
    <n v="63"/>
    <x v="0"/>
    <x v="1"/>
    <n v="80"/>
    <n v="5040.2"/>
    <x v="0"/>
    <s v="No"/>
    <x v="3"/>
    <n v="5040.2"/>
    <x v="2"/>
    <s v="High Spend"/>
  </r>
  <r>
    <s v="8642-GVWRF"/>
    <s v="Female"/>
    <x v="0"/>
    <n v="2"/>
    <x v="1"/>
    <x v="0"/>
    <n v="79.7"/>
    <n v="165"/>
    <x v="1"/>
    <s v="No"/>
    <x v="2"/>
    <n v="165"/>
    <x v="0"/>
    <s v="Standard Spend"/>
  </r>
  <r>
    <s v="1930-BZLHI"/>
    <s v="Male"/>
    <x v="1"/>
    <n v="21"/>
    <x v="2"/>
    <x v="2"/>
    <n v="20.350000000000001"/>
    <n v="422.7"/>
    <x v="0"/>
    <s v="Yes"/>
    <x v="1"/>
    <n v="422.7"/>
    <x v="1"/>
    <s v="Standard Spend"/>
  </r>
  <r>
    <s v="3400-ESFUW"/>
    <s v="Male"/>
    <x v="2"/>
    <n v="55"/>
    <x v="0"/>
    <x v="1"/>
    <n v="57.55"/>
    <n v="3046.4"/>
    <x v="1"/>
    <s v="No"/>
    <x v="2"/>
    <n v="3046.4"/>
    <x v="2"/>
    <s v="High Spend"/>
  </r>
  <r>
    <s v="5868-YTYKS"/>
    <s v="Male"/>
    <x v="0"/>
    <n v="1"/>
    <x v="2"/>
    <x v="2"/>
    <n v="20.25"/>
    <n v="20.25"/>
    <x v="0"/>
    <s v="Yes"/>
    <x v="1"/>
    <n v="20.25"/>
    <x v="0"/>
    <s v="Standard Spend"/>
  </r>
  <r>
    <s v="3525-DVKFN"/>
    <s v="Female"/>
    <x v="2"/>
    <n v="17"/>
    <x v="2"/>
    <x v="2"/>
    <n v="19.399999999999999"/>
    <n v="358.05"/>
    <x v="0"/>
    <s v="No"/>
    <x v="1"/>
    <n v="358.05"/>
    <x v="1"/>
    <s v="Standard Spend"/>
  </r>
  <r>
    <s v="1482-OXZSY"/>
    <s v="Male"/>
    <x v="0"/>
    <n v="30"/>
    <x v="1"/>
    <x v="0"/>
    <n v="100.4"/>
    <n v="2936.25"/>
    <x v="0"/>
    <s v="Yes"/>
    <x v="2"/>
    <n v="2936.25"/>
    <x v="1"/>
    <s v="High Spend"/>
  </r>
  <r>
    <s v="0377-JBKKT"/>
    <s v="Male"/>
    <x v="0"/>
    <n v="22"/>
    <x v="0"/>
    <x v="1"/>
    <n v="57.95"/>
    <n v="1271.8"/>
    <x v="0"/>
    <s v="Yes"/>
    <x v="1"/>
    <n v="1271.8"/>
    <x v="1"/>
    <s v="Standard Spend"/>
  </r>
  <r>
    <s v="5778-BVOFB"/>
    <s v="Female"/>
    <x v="0"/>
    <n v="9"/>
    <x v="0"/>
    <x v="1"/>
    <n v="59.5"/>
    <n v="530.04999999999995"/>
    <x v="0"/>
    <s v="Yes"/>
    <x v="2"/>
    <n v="530.04999999999995"/>
    <x v="0"/>
    <s v="Standard Spend"/>
  </r>
  <r>
    <s v="3373-YZZYM"/>
    <s v="Male"/>
    <x v="0"/>
    <n v="1"/>
    <x v="2"/>
    <x v="2"/>
    <n v="19.2"/>
    <n v="19.2"/>
    <x v="0"/>
    <s v="No"/>
    <x v="1"/>
    <n v="19.2"/>
    <x v="0"/>
    <s v="Standard Spend"/>
  </r>
  <r>
    <s v="2057-ZBLPD"/>
    <s v="Female"/>
    <x v="0"/>
    <n v="21"/>
    <x v="1"/>
    <x v="0"/>
    <n v="86.5"/>
    <n v="1808.7"/>
    <x v="1"/>
    <s v="Yes"/>
    <x v="0"/>
    <n v="1808.7"/>
    <x v="1"/>
    <s v="Standard Spend"/>
  </r>
  <r>
    <s v="0228-MAUWC"/>
    <s v="Male"/>
    <x v="0"/>
    <n v="19"/>
    <x v="0"/>
    <x v="1"/>
    <n v="59.55"/>
    <n v="1144.5999999999999"/>
    <x v="0"/>
    <s v="No"/>
    <x v="0"/>
    <n v="1144.5999999999999"/>
    <x v="1"/>
    <s v="Standard Spend"/>
  </r>
  <r>
    <s v="5502-RLUYV"/>
    <s v="Female"/>
    <x v="0"/>
    <n v="69"/>
    <x v="1"/>
    <x v="0"/>
    <n v="103.95"/>
    <n v="7446.9"/>
    <x v="1"/>
    <s v="Yes"/>
    <x v="0"/>
    <n v="7446.9"/>
    <x v="2"/>
    <s v="High Spend"/>
  </r>
  <r>
    <s v="0023-HGHWL"/>
    <s v="Male"/>
    <x v="0"/>
    <n v="1"/>
    <x v="0"/>
    <x v="0"/>
    <n v="25.1"/>
    <n v="25.1"/>
    <x v="1"/>
    <s v="Yes"/>
    <x v="0"/>
    <n v="25.1"/>
    <x v="0"/>
    <s v="Standard Spend"/>
  </r>
  <r>
    <s v="7663-YJHSN"/>
    <s v="Female"/>
    <x v="2"/>
    <n v="72"/>
    <x v="1"/>
    <x v="1"/>
    <n v="103.95"/>
    <n v="7556.9"/>
    <x v="0"/>
    <s v="Yes"/>
    <x v="2"/>
    <n v="7556.9"/>
    <x v="2"/>
    <s v="High Spend"/>
  </r>
  <r>
    <s v="4915-BFSXL"/>
    <s v="Male"/>
    <x v="2"/>
    <n v="70"/>
    <x v="0"/>
    <x v="0"/>
    <n v="68.95"/>
    <n v="4858.7"/>
    <x v="0"/>
    <s v="No"/>
    <x v="3"/>
    <n v="4858.7"/>
    <x v="2"/>
    <s v="High Spend"/>
  </r>
  <r>
    <s v="3086-RUCRN"/>
    <s v="Female"/>
    <x v="0"/>
    <n v="66"/>
    <x v="1"/>
    <x v="1"/>
    <n v="103.1"/>
    <n v="6595"/>
    <x v="0"/>
    <s v="Yes"/>
    <x v="2"/>
    <n v="6595"/>
    <x v="2"/>
    <s v="High Spend"/>
  </r>
  <r>
    <s v="5215-LNLDJ"/>
    <s v="Female"/>
    <x v="0"/>
    <n v="7"/>
    <x v="0"/>
    <x v="0"/>
    <n v="24.7"/>
    <n v="149.05000000000001"/>
    <x v="0"/>
    <s v="Yes"/>
    <x v="0"/>
    <n v="149.05000000000001"/>
    <x v="0"/>
    <s v="Standard Spend"/>
  </r>
  <r>
    <s v="7576-JMYWV"/>
    <s v="Female"/>
    <x v="0"/>
    <n v="46"/>
    <x v="1"/>
    <x v="1"/>
    <n v="110.2"/>
    <n v="4972.1000000000004"/>
    <x v="0"/>
    <s v="Yes"/>
    <x v="0"/>
    <n v="4972.1000000000004"/>
    <x v="2"/>
    <s v="High Spend"/>
  </r>
  <r>
    <s v="9039-RBEEE"/>
    <s v="Male"/>
    <x v="0"/>
    <n v="39"/>
    <x v="0"/>
    <x v="1"/>
    <n v="48.95"/>
    <n v="1880.85"/>
    <x v="1"/>
    <s v="Yes"/>
    <x v="3"/>
    <n v="1880.85"/>
    <x v="2"/>
    <s v="Standard Spend"/>
  </r>
  <r>
    <s v="0257-KXZGU"/>
    <s v="Female"/>
    <x v="0"/>
    <n v="32"/>
    <x v="0"/>
    <x v="0"/>
    <n v="62.45"/>
    <n v="2045.55"/>
    <x v="0"/>
    <s v="No"/>
    <x v="2"/>
    <n v="2045.55"/>
    <x v="1"/>
    <s v="Standard Spend"/>
  </r>
  <r>
    <s v="1307-ATKGB"/>
    <s v="Male"/>
    <x v="0"/>
    <n v="24"/>
    <x v="1"/>
    <x v="0"/>
    <n v="89.55"/>
    <n v="2187.15"/>
    <x v="0"/>
    <s v="Yes"/>
    <x v="0"/>
    <n v="2187.15"/>
    <x v="1"/>
    <s v="Standard Spend"/>
  </r>
  <r>
    <s v="8417-FMLZI"/>
    <s v="Male"/>
    <x v="0"/>
    <n v="6"/>
    <x v="1"/>
    <x v="0"/>
    <n v="83.55"/>
    <n v="477.55"/>
    <x v="1"/>
    <s v="Yes"/>
    <x v="3"/>
    <n v="477.55"/>
    <x v="0"/>
    <s v="Standard Spend"/>
  </r>
  <r>
    <s v="3714-XPXBW"/>
    <s v="Female"/>
    <x v="0"/>
    <n v="37"/>
    <x v="0"/>
    <x v="1"/>
    <n v="78.900000000000006"/>
    <n v="2976.95"/>
    <x v="0"/>
    <s v="Yes"/>
    <x v="3"/>
    <n v="2976.95"/>
    <x v="2"/>
    <s v="High Spend"/>
  </r>
  <r>
    <s v="1850-AKQEP"/>
    <s v="Male"/>
    <x v="0"/>
    <n v="8"/>
    <x v="2"/>
    <x v="2"/>
    <n v="20.350000000000001"/>
    <n v="178.7"/>
    <x v="0"/>
    <s v="No"/>
    <x v="1"/>
    <n v="178.7"/>
    <x v="0"/>
    <s v="Standard Spend"/>
  </r>
  <r>
    <s v="2824-DXNKN"/>
    <s v="Female"/>
    <x v="2"/>
    <n v="72"/>
    <x v="0"/>
    <x v="0"/>
    <n v="71.45"/>
    <n v="5025.8500000000004"/>
    <x v="0"/>
    <s v="Yes"/>
    <x v="2"/>
    <n v="5025.8500000000004"/>
    <x v="2"/>
    <s v="High Spend"/>
  </r>
  <r>
    <s v="5227-JSCFE"/>
    <s v="Male"/>
    <x v="2"/>
    <n v="71"/>
    <x v="0"/>
    <x v="1"/>
    <n v="46.35"/>
    <n v="3353.4"/>
    <x v="0"/>
    <s v="No"/>
    <x v="3"/>
    <n v="3353.4"/>
    <x v="2"/>
    <s v="High Spend"/>
  </r>
  <r>
    <s v="0848-ZGQIJ"/>
    <s v="Female"/>
    <x v="0"/>
    <n v="16"/>
    <x v="1"/>
    <x v="0"/>
    <n v="94.65"/>
    <n v="1461.15"/>
    <x v="0"/>
    <s v="Yes"/>
    <x v="2"/>
    <n v="1461.15"/>
    <x v="1"/>
    <s v="Standard Spend"/>
  </r>
  <r>
    <s v="3621-CHYVB"/>
    <s v="Female"/>
    <x v="0"/>
    <n v="57"/>
    <x v="0"/>
    <x v="1"/>
    <n v="49.9"/>
    <n v="2782.4"/>
    <x v="0"/>
    <s v="Yes"/>
    <x v="2"/>
    <n v="2782.4"/>
    <x v="2"/>
    <s v="High Spend"/>
  </r>
  <r>
    <s v="8042-RNLKO"/>
    <s v="Male"/>
    <x v="1"/>
    <n v="66"/>
    <x v="2"/>
    <x v="2"/>
    <n v="25.45"/>
    <n v="1699.15"/>
    <x v="0"/>
    <s v="No"/>
    <x v="2"/>
    <n v="1699.15"/>
    <x v="2"/>
    <s v="Standard Spend"/>
  </r>
  <r>
    <s v="1792-UXAFY"/>
    <s v="Female"/>
    <x v="0"/>
    <n v="17"/>
    <x v="1"/>
    <x v="0"/>
    <n v="89.15"/>
    <n v="1496.9"/>
    <x v="1"/>
    <s v="Yes"/>
    <x v="0"/>
    <n v="1496.9"/>
    <x v="1"/>
    <s v="Standard Spend"/>
  </r>
  <r>
    <s v="5372-FBKBN"/>
    <s v="Female"/>
    <x v="0"/>
    <n v="21"/>
    <x v="2"/>
    <x v="2"/>
    <n v="20.75"/>
    <n v="452.2"/>
    <x v="0"/>
    <s v="No"/>
    <x v="1"/>
    <n v="452.2"/>
    <x v="1"/>
    <s v="Standard Spend"/>
  </r>
  <r>
    <s v="0420-TXVSG"/>
    <s v="Male"/>
    <x v="2"/>
    <n v="66"/>
    <x v="0"/>
    <x v="0"/>
    <n v="66.099999999999994"/>
    <n v="4428.45"/>
    <x v="0"/>
    <s v="Yes"/>
    <x v="3"/>
    <n v="4428.45"/>
    <x v="2"/>
    <s v="High Spend"/>
  </r>
  <r>
    <s v="6217-TOWGS"/>
    <s v="Female"/>
    <x v="0"/>
    <n v="17"/>
    <x v="0"/>
    <x v="0"/>
    <n v="75.400000000000006"/>
    <n v="1322.55"/>
    <x v="0"/>
    <s v="Yes"/>
    <x v="2"/>
    <n v="1322.55"/>
    <x v="1"/>
    <s v="Standard Spend"/>
  </r>
  <r>
    <s v="0515-YPMCW"/>
    <s v="Male"/>
    <x v="0"/>
    <n v="1"/>
    <x v="1"/>
    <x v="0"/>
    <n v="70.45"/>
    <n v="70.45"/>
    <x v="1"/>
    <s v="Yes"/>
    <x v="1"/>
    <n v="70.45"/>
    <x v="0"/>
    <s v="Standard Spend"/>
  </r>
  <r>
    <s v="0378-XSZPU"/>
    <s v="Male"/>
    <x v="1"/>
    <n v="58"/>
    <x v="0"/>
    <x v="0"/>
    <n v="60.3"/>
    <n v="3563.8"/>
    <x v="1"/>
    <s v="No"/>
    <x v="3"/>
    <n v="3563.8"/>
    <x v="2"/>
    <s v="High Spend"/>
  </r>
  <r>
    <s v="1045-LTCYT"/>
    <s v="Female"/>
    <x v="0"/>
    <n v="8"/>
    <x v="2"/>
    <x v="2"/>
    <n v="21.05"/>
    <n v="139.75"/>
    <x v="0"/>
    <s v="No"/>
    <x v="3"/>
    <n v="139.75"/>
    <x v="0"/>
    <s v="Standard Spend"/>
  </r>
  <r>
    <s v="1544-JJMYL"/>
    <s v="Male"/>
    <x v="1"/>
    <n v="27"/>
    <x v="0"/>
    <x v="1"/>
    <n v="69.349999999999994"/>
    <n v="1927.3"/>
    <x v="0"/>
    <s v="No"/>
    <x v="3"/>
    <n v="1927.3"/>
    <x v="1"/>
    <s v="Standard Spend"/>
  </r>
  <r>
    <s v="4636-JGAAI"/>
    <s v="Male"/>
    <x v="0"/>
    <n v="34"/>
    <x v="1"/>
    <x v="0"/>
    <n v="88.85"/>
    <n v="3000.25"/>
    <x v="0"/>
    <s v="No"/>
    <x v="1"/>
    <n v="3000.25"/>
    <x v="1"/>
    <s v="High Spend"/>
  </r>
  <r>
    <s v="6874-SGLHU"/>
    <s v="Male"/>
    <x v="1"/>
    <n v="30"/>
    <x v="1"/>
    <x v="0"/>
    <n v="97"/>
    <n v="3021.3"/>
    <x v="0"/>
    <s v="Yes"/>
    <x v="2"/>
    <n v="3021.3"/>
    <x v="1"/>
    <s v="High Spend"/>
  </r>
  <r>
    <s v="5951-AOFIH"/>
    <s v="Male"/>
    <x v="0"/>
    <n v="33"/>
    <x v="0"/>
    <x v="0"/>
    <n v="66.400000000000006"/>
    <n v="2245.4"/>
    <x v="0"/>
    <s v="Yes"/>
    <x v="3"/>
    <n v="2245.4"/>
    <x v="1"/>
    <s v="Standard Spend"/>
  </r>
  <r>
    <s v="4729-XKASR"/>
    <s v="Male"/>
    <x v="0"/>
    <n v="1"/>
    <x v="0"/>
    <x v="0"/>
    <n v="24.75"/>
    <n v="24.75"/>
    <x v="1"/>
    <s v="No"/>
    <x v="0"/>
    <n v="24.75"/>
    <x v="0"/>
    <s v="Standard Spend"/>
  </r>
  <r>
    <s v="3059-NGMXB"/>
    <s v="Male"/>
    <x v="0"/>
    <n v="14"/>
    <x v="0"/>
    <x v="0"/>
    <n v="69.2"/>
    <n v="944.65"/>
    <x v="0"/>
    <s v="No"/>
    <x v="1"/>
    <n v="944.65"/>
    <x v="1"/>
    <s v="Standard Spend"/>
  </r>
  <r>
    <s v="8652-YHIYU"/>
    <s v="Female"/>
    <x v="1"/>
    <n v="16"/>
    <x v="1"/>
    <x v="1"/>
    <n v="79.5"/>
    <n v="1264.2"/>
    <x v="0"/>
    <s v="Yes"/>
    <x v="3"/>
    <n v="1264.2"/>
    <x v="1"/>
    <s v="Standard Spend"/>
  </r>
  <r>
    <s v="5278-PNYOX"/>
    <s v="Female"/>
    <x v="2"/>
    <n v="49"/>
    <x v="1"/>
    <x v="1"/>
    <n v="100.65"/>
    <n v="4917.75"/>
    <x v="0"/>
    <s v="No"/>
    <x v="3"/>
    <n v="4917.75"/>
    <x v="2"/>
    <s v="High Spend"/>
  </r>
  <r>
    <s v="5449-FIBXJ"/>
    <s v="Male"/>
    <x v="0"/>
    <n v="19"/>
    <x v="1"/>
    <x v="1"/>
    <n v="103.3"/>
    <n v="2012.7"/>
    <x v="1"/>
    <s v="No"/>
    <x v="0"/>
    <n v="2012.7"/>
    <x v="1"/>
    <s v="Standard Spend"/>
  </r>
  <r>
    <s v="3486-HOOGQ"/>
    <s v="Female"/>
    <x v="2"/>
    <n v="70"/>
    <x v="0"/>
    <x v="1"/>
    <n v="79.7"/>
    <n v="5743.3"/>
    <x v="0"/>
    <s v="No"/>
    <x v="2"/>
    <n v="5743.3"/>
    <x v="2"/>
    <s v="High Spend"/>
  </r>
  <r>
    <s v="5061-PBXFW"/>
    <s v="Female"/>
    <x v="0"/>
    <n v="32"/>
    <x v="0"/>
    <x v="1"/>
    <n v="61.4"/>
    <n v="1864.65"/>
    <x v="0"/>
    <s v="No"/>
    <x v="2"/>
    <n v="1864.65"/>
    <x v="1"/>
    <s v="Standard Spend"/>
  </r>
  <r>
    <s v="8630-FJLIB"/>
    <s v="Female"/>
    <x v="0"/>
    <n v="18"/>
    <x v="1"/>
    <x v="0"/>
    <n v="69.8"/>
    <n v="1221.6500000000001"/>
    <x v="0"/>
    <s v="Yes"/>
    <x v="0"/>
    <n v="1221.6500000000001"/>
    <x v="1"/>
    <s v="Standard Spend"/>
  </r>
  <r>
    <s v="3891-NLXJB"/>
    <s v="Male"/>
    <x v="2"/>
    <n v="37"/>
    <x v="0"/>
    <x v="1"/>
    <n v="40.549999999999997"/>
    <n v="1390.85"/>
    <x v="0"/>
    <s v="Yes"/>
    <x v="1"/>
    <n v="1390.85"/>
    <x v="2"/>
    <s v="Standard Spend"/>
  </r>
  <r>
    <s v="4749-OJKQU"/>
    <s v="Female"/>
    <x v="0"/>
    <n v="4"/>
    <x v="1"/>
    <x v="0"/>
    <n v="75.650000000000006"/>
    <n v="302.35000000000002"/>
    <x v="0"/>
    <s v="Yes"/>
    <x v="0"/>
    <n v="302.35000000000002"/>
    <x v="0"/>
    <s v="Standard Spend"/>
  </r>
  <r>
    <s v="0577-WHMEV"/>
    <s v="Female"/>
    <x v="0"/>
    <n v="16"/>
    <x v="1"/>
    <x v="0"/>
    <n v="90.7"/>
    <n v="1374.9"/>
    <x v="0"/>
    <s v="No"/>
    <x v="0"/>
    <n v="1374.9"/>
    <x v="1"/>
    <s v="Standard Spend"/>
  </r>
  <r>
    <s v="5453-AXEPF"/>
    <s v="Male"/>
    <x v="0"/>
    <n v="17"/>
    <x v="1"/>
    <x v="0"/>
    <n v="80.5"/>
    <n v="1336.9"/>
    <x v="0"/>
    <s v="Yes"/>
    <x v="2"/>
    <n v="1336.9"/>
    <x v="1"/>
    <s v="Standard Spend"/>
  </r>
  <r>
    <s v="3639-XJHKQ"/>
    <s v="Female"/>
    <x v="0"/>
    <n v="19"/>
    <x v="0"/>
    <x v="0"/>
    <n v="60.6"/>
    <n v="1297.8"/>
    <x v="0"/>
    <s v="Yes"/>
    <x v="0"/>
    <n v="1297.8"/>
    <x v="1"/>
    <s v="Standard Spend"/>
  </r>
  <r>
    <s v="3716-LRGXK"/>
    <s v="Male"/>
    <x v="2"/>
    <n v="60"/>
    <x v="1"/>
    <x v="0"/>
    <n v="101.15"/>
    <n v="6067.4"/>
    <x v="0"/>
    <s v="No"/>
    <x v="3"/>
    <n v="6067.4"/>
    <x v="2"/>
    <s v="High Spend"/>
  </r>
  <r>
    <s v="2263-SFSQZ"/>
    <s v="Male"/>
    <x v="2"/>
    <n v="51"/>
    <x v="2"/>
    <x v="2"/>
    <n v="24.95"/>
    <n v="1222.25"/>
    <x v="0"/>
    <s v="Yes"/>
    <x v="1"/>
    <n v="1222.25"/>
    <x v="2"/>
    <s v="Standard Spend"/>
  </r>
  <r>
    <s v="9950-MTGYX"/>
    <s v="Male"/>
    <x v="2"/>
    <n v="28"/>
    <x v="2"/>
    <x v="2"/>
    <n v="20.3"/>
    <n v="487.95"/>
    <x v="0"/>
    <s v="Yes"/>
    <x v="3"/>
    <n v="487.95"/>
    <x v="1"/>
    <s v="Standard Spend"/>
  </r>
  <r>
    <s v="3397-AVTKU"/>
    <s v="Male"/>
    <x v="2"/>
    <n v="43"/>
    <x v="0"/>
    <x v="0"/>
    <n v="60"/>
    <n v="2548.5500000000002"/>
    <x v="0"/>
    <s v="Yes"/>
    <x v="0"/>
    <n v="2548.5500000000002"/>
    <x v="2"/>
    <s v="High Spend"/>
  </r>
  <r>
    <s v="4825-FUREZ"/>
    <s v="Male"/>
    <x v="2"/>
    <n v="42"/>
    <x v="2"/>
    <x v="2"/>
    <n v="20.25"/>
    <n v="835.5"/>
    <x v="0"/>
    <s v="No"/>
    <x v="0"/>
    <n v="835.5"/>
    <x v="2"/>
    <s v="Standard Spend"/>
  </r>
  <r>
    <s v="9837-BMCLM"/>
    <s v="Male"/>
    <x v="0"/>
    <n v="3"/>
    <x v="1"/>
    <x v="0"/>
    <n v="78.5"/>
    <n v="242.05"/>
    <x v="1"/>
    <s v="Yes"/>
    <x v="0"/>
    <n v="242.05"/>
    <x v="0"/>
    <s v="Standard Spend"/>
  </r>
  <r>
    <s v="2672-OJQZP"/>
    <s v="Female"/>
    <x v="0"/>
    <n v="1"/>
    <x v="0"/>
    <x v="0"/>
    <n v="44.75"/>
    <n v="44.75"/>
    <x v="0"/>
    <s v="No"/>
    <x v="1"/>
    <n v="44.75"/>
    <x v="0"/>
    <s v="Standard Spend"/>
  </r>
  <r>
    <s v="0137-UDEUO"/>
    <s v="Female"/>
    <x v="0"/>
    <n v="3"/>
    <x v="2"/>
    <x v="2"/>
    <n v="19.850000000000001"/>
    <n v="63.75"/>
    <x v="1"/>
    <s v="No"/>
    <x v="1"/>
    <n v="63.75"/>
    <x v="0"/>
    <s v="Standard Spend"/>
  </r>
  <r>
    <s v="3134-DSHVC"/>
    <s v="Female"/>
    <x v="2"/>
    <n v="63"/>
    <x v="1"/>
    <x v="0"/>
    <n v="98"/>
    <n v="6218.45"/>
    <x v="0"/>
    <s v="No"/>
    <x v="3"/>
    <n v="6218.45"/>
    <x v="2"/>
    <s v="High Spend"/>
  </r>
  <r>
    <s v="6161-UUUTA"/>
    <s v="Male"/>
    <x v="0"/>
    <n v="3"/>
    <x v="1"/>
    <x v="0"/>
    <n v="79.900000000000006"/>
    <n v="260.89999999999998"/>
    <x v="1"/>
    <s v="Yes"/>
    <x v="0"/>
    <n v="260.89999999999998"/>
    <x v="0"/>
    <s v="Standard Spend"/>
  </r>
  <r>
    <s v="7821-DPRQE"/>
    <s v="Male"/>
    <x v="0"/>
    <n v="68"/>
    <x v="1"/>
    <x v="1"/>
    <n v="107.7"/>
    <n v="7320.9"/>
    <x v="0"/>
    <s v="Yes"/>
    <x v="0"/>
    <n v="7320.9"/>
    <x v="2"/>
    <s v="High Spend"/>
  </r>
  <r>
    <s v="6543-XRMYR"/>
    <s v="Female"/>
    <x v="0"/>
    <n v="30"/>
    <x v="1"/>
    <x v="0"/>
    <n v="99.7"/>
    <n v="2967.35"/>
    <x v="1"/>
    <s v="Yes"/>
    <x v="0"/>
    <n v="2967.35"/>
    <x v="1"/>
    <s v="High Spend"/>
  </r>
  <r>
    <s v="2001-EWBQU"/>
    <s v="Female"/>
    <x v="2"/>
    <n v="60"/>
    <x v="1"/>
    <x v="0"/>
    <n v="104.7"/>
    <n v="6333.8"/>
    <x v="0"/>
    <s v="No"/>
    <x v="0"/>
    <n v="6333.8"/>
    <x v="2"/>
    <s v="High Spend"/>
  </r>
  <r>
    <s v="4925-LMHOK"/>
    <s v="Male"/>
    <x v="0"/>
    <n v="15"/>
    <x v="0"/>
    <x v="1"/>
    <n v="58.6"/>
    <n v="939.7"/>
    <x v="1"/>
    <s v="Yes"/>
    <x v="3"/>
    <n v="939.7"/>
    <x v="1"/>
    <s v="Standard Spend"/>
  </r>
  <r>
    <s v="1608-GMEWB"/>
    <s v="Male"/>
    <x v="0"/>
    <n v="45"/>
    <x v="1"/>
    <x v="0"/>
    <n v="93.9"/>
    <n v="4200.25"/>
    <x v="0"/>
    <s v="Yes"/>
    <x v="2"/>
    <n v="4200.25"/>
    <x v="2"/>
    <s v="High Spend"/>
  </r>
  <r>
    <s v="6695-AMZUF"/>
    <s v="Female"/>
    <x v="2"/>
    <n v="70"/>
    <x v="0"/>
    <x v="1"/>
    <n v="86.45"/>
    <n v="5950.2"/>
    <x v="0"/>
    <s v="No"/>
    <x v="3"/>
    <n v="5950.2"/>
    <x v="2"/>
    <s v="High Spend"/>
  </r>
  <r>
    <s v="1455-UGQVH"/>
    <s v="Male"/>
    <x v="0"/>
    <n v="10"/>
    <x v="1"/>
    <x v="0"/>
    <n v="98.5"/>
    <n v="1037.75"/>
    <x v="1"/>
    <s v="Yes"/>
    <x v="0"/>
    <n v="1037.75"/>
    <x v="0"/>
    <s v="Standard Spend"/>
  </r>
  <r>
    <s v="8410-BGQXN"/>
    <s v="Male"/>
    <x v="0"/>
    <n v="4"/>
    <x v="2"/>
    <x v="2"/>
    <n v="19.399999999999999"/>
    <n v="93.4"/>
    <x v="0"/>
    <s v="No"/>
    <x v="1"/>
    <n v="93.4"/>
    <x v="0"/>
    <s v="Standard Spend"/>
  </r>
  <r>
    <s v="8280-MQRQN"/>
    <s v="Female"/>
    <x v="0"/>
    <n v="1"/>
    <x v="0"/>
    <x v="0"/>
    <n v="50.45"/>
    <n v="50.45"/>
    <x v="1"/>
    <s v="Yes"/>
    <x v="1"/>
    <n v="50.45"/>
    <x v="0"/>
    <s v="Standard Spend"/>
  </r>
  <r>
    <s v="1619-YWUBB"/>
    <s v="Female"/>
    <x v="2"/>
    <n v="68"/>
    <x v="2"/>
    <x v="2"/>
    <n v="24.95"/>
    <n v="1614.9"/>
    <x v="0"/>
    <s v="Yes"/>
    <x v="3"/>
    <n v="1614.9"/>
    <x v="2"/>
    <s v="Standard Spend"/>
  </r>
  <r>
    <s v="7611-YKYTC"/>
    <s v="Male"/>
    <x v="0"/>
    <n v="22"/>
    <x v="1"/>
    <x v="0"/>
    <n v="75"/>
    <n v="1573.95"/>
    <x v="0"/>
    <s v="No"/>
    <x v="2"/>
    <n v="1573.95"/>
    <x v="1"/>
    <s v="Standard Spend"/>
  </r>
  <r>
    <s v="2037-SGXHH"/>
    <s v="Male"/>
    <x v="0"/>
    <n v="38"/>
    <x v="1"/>
    <x v="0"/>
    <n v="94.65"/>
    <n v="3624.3"/>
    <x v="1"/>
    <s v="Yes"/>
    <x v="0"/>
    <n v="3624.3"/>
    <x v="2"/>
    <s v="High Spend"/>
  </r>
  <r>
    <s v="3178-FESZO"/>
    <s v="Female"/>
    <x v="0"/>
    <n v="1"/>
    <x v="1"/>
    <x v="0"/>
    <n v="100.25"/>
    <n v="100.25"/>
    <x v="1"/>
    <s v="Yes"/>
    <x v="3"/>
    <n v="100.25"/>
    <x v="0"/>
    <s v="Standard Spend"/>
  </r>
  <r>
    <s v="0365-GXEZS"/>
    <s v="Male"/>
    <x v="0"/>
    <n v="18"/>
    <x v="1"/>
    <x v="1"/>
    <n v="78.2"/>
    <n v="1468.75"/>
    <x v="0"/>
    <s v="No"/>
    <x v="0"/>
    <n v="1468.75"/>
    <x v="1"/>
    <s v="Standard Spend"/>
  </r>
  <r>
    <s v="0082-OQIQY"/>
    <s v="Male"/>
    <x v="0"/>
    <n v="29"/>
    <x v="1"/>
    <x v="1"/>
    <n v="94.2"/>
    <n v="2607.6"/>
    <x v="0"/>
    <s v="Yes"/>
    <x v="0"/>
    <n v="2607.6"/>
    <x v="1"/>
    <s v="High Spend"/>
  </r>
  <r>
    <s v="6087-MVHJH"/>
    <s v="Female"/>
    <x v="0"/>
    <n v="16"/>
    <x v="1"/>
    <x v="0"/>
    <n v="88.45"/>
    <n v="1422.1"/>
    <x v="1"/>
    <s v="Yes"/>
    <x v="0"/>
    <n v="1422.1"/>
    <x v="1"/>
    <s v="Standard Spend"/>
  </r>
  <r>
    <s v="4603-JANFB"/>
    <s v="Male"/>
    <x v="0"/>
    <n v="1"/>
    <x v="1"/>
    <x v="0"/>
    <n v="69.849999999999994"/>
    <n v="69.849999999999994"/>
    <x v="1"/>
    <s v="Yes"/>
    <x v="0"/>
    <n v="69.849999999999994"/>
    <x v="0"/>
    <s v="Standard Spend"/>
  </r>
  <r>
    <s v="3018-TFTSU"/>
    <s v="Male"/>
    <x v="0"/>
    <n v="12"/>
    <x v="1"/>
    <x v="0"/>
    <n v="81.7"/>
    <n v="858.6"/>
    <x v="1"/>
    <s v="No"/>
    <x v="2"/>
    <n v="858.6"/>
    <x v="0"/>
    <s v="Standard Spend"/>
  </r>
  <r>
    <s v="3606-SBKRY"/>
    <s v="Male"/>
    <x v="1"/>
    <n v="31"/>
    <x v="0"/>
    <x v="0"/>
    <n v="50.05"/>
    <n v="1523.4"/>
    <x v="0"/>
    <s v="Yes"/>
    <x v="0"/>
    <n v="1523.4"/>
    <x v="1"/>
    <s v="Standard Spend"/>
  </r>
  <r>
    <s v="4806-KEXQR"/>
    <s v="Male"/>
    <x v="0"/>
    <n v="4"/>
    <x v="1"/>
    <x v="0"/>
    <n v="79.900000000000006"/>
    <n v="324.3"/>
    <x v="1"/>
    <s v="Yes"/>
    <x v="0"/>
    <n v="324.3"/>
    <x v="0"/>
    <s v="Standard Spend"/>
  </r>
  <r>
    <s v="0667-NSRGI"/>
    <s v="Female"/>
    <x v="1"/>
    <n v="48"/>
    <x v="0"/>
    <x v="1"/>
    <n v="69.55"/>
    <n v="3435.6"/>
    <x v="0"/>
    <s v="Yes"/>
    <x v="1"/>
    <n v="3435.6"/>
    <x v="2"/>
    <s v="High Spend"/>
  </r>
  <r>
    <s v="7083-YNSKY"/>
    <s v="Female"/>
    <x v="0"/>
    <n v="15"/>
    <x v="2"/>
    <x v="2"/>
    <n v="25.4"/>
    <n v="399.6"/>
    <x v="1"/>
    <s v="Yes"/>
    <x v="3"/>
    <n v="399.6"/>
    <x v="1"/>
    <s v="Standard Spend"/>
  </r>
  <r>
    <s v="6893-ODYYE"/>
    <s v="Male"/>
    <x v="1"/>
    <n v="50"/>
    <x v="1"/>
    <x v="1"/>
    <n v="90.1"/>
    <n v="4549.45"/>
    <x v="0"/>
    <s v="Yes"/>
    <x v="3"/>
    <n v="4549.45"/>
    <x v="2"/>
    <s v="High Spend"/>
  </r>
  <r>
    <s v="8242-JSVBO"/>
    <s v="Male"/>
    <x v="0"/>
    <n v="7"/>
    <x v="0"/>
    <x v="0"/>
    <n v="44.65"/>
    <n v="322.5"/>
    <x v="0"/>
    <s v="Yes"/>
    <x v="2"/>
    <n v="322.5"/>
    <x v="0"/>
    <s v="Standard Spend"/>
  </r>
  <r>
    <s v="2479-BRAMR"/>
    <s v="Male"/>
    <x v="0"/>
    <n v="41"/>
    <x v="1"/>
    <x v="0"/>
    <n v="83.75"/>
    <n v="3273.55"/>
    <x v="1"/>
    <s v="Yes"/>
    <x v="2"/>
    <n v="3273.55"/>
    <x v="2"/>
    <s v="High Spend"/>
  </r>
  <r>
    <s v="9541-ZPSEA"/>
    <s v="Male"/>
    <x v="2"/>
    <n v="68"/>
    <x v="1"/>
    <x v="0"/>
    <n v="80.349999999999994"/>
    <n v="5375.15"/>
    <x v="0"/>
    <s v="No"/>
    <x v="3"/>
    <n v="5375.15"/>
    <x v="2"/>
    <s v="High Spend"/>
  </r>
  <r>
    <s v="2665-NPTGL"/>
    <s v="Female"/>
    <x v="0"/>
    <n v="26"/>
    <x v="1"/>
    <x v="0"/>
    <n v="98.1"/>
    <n v="2510.6999999999998"/>
    <x v="0"/>
    <s v="Yes"/>
    <x v="2"/>
    <n v="2510.6999999999998"/>
    <x v="1"/>
    <s v="High Spend"/>
  </r>
  <r>
    <s v="1139-WUOAH"/>
    <s v="Male"/>
    <x v="2"/>
    <n v="57"/>
    <x v="0"/>
    <x v="1"/>
    <n v="53.35"/>
    <n v="3090.05"/>
    <x v="0"/>
    <s v="No"/>
    <x v="3"/>
    <n v="3090.05"/>
    <x v="2"/>
    <s v="High Spend"/>
  </r>
  <r>
    <s v="4693-VWVBO"/>
    <s v="Female"/>
    <x v="0"/>
    <n v="3"/>
    <x v="2"/>
    <x v="2"/>
    <n v="19.55"/>
    <n v="61.05"/>
    <x v="0"/>
    <s v="No"/>
    <x v="0"/>
    <n v="61.05"/>
    <x v="0"/>
    <s v="Standard Spend"/>
  </r>
  <r>
    <s v="7434-SHXLS"/>
    <s v="Female"/>
    <x v="0"/>
    <n v="1"/>
    <x v="2"/>
    <x v="2"/>
    <n v="20.9"/>
    <n v="20.9"/>
    <x v="1"/>
    <s v="No"/>
    <x v="1"/>
    <n v="20.9"/>
    <x v="0"/>
    <s v="Standard Spend"/>
  </r>
  <r>
    <s v="6937-GCDGQ"/>
    <s v="Male"/>
    <x v="1"/>
    <n v="19"/>
    <x v="0"/>
    <x v="0"/>
    <n v="48.95"/>
    <n v="955.6"/>
    <x v="0"/>
    <s v="Yes"/>
    <x v="2"/>
    <n v="955.6"/>
    <x v="1"/>
    <s v="Standard Spend"/>
  </r>
  <r>
    <s v="0988-JRWWP"/>
    <s v="Female"/>
    <x v="0"/>
    <n v="3"/>
    <x v="0"/>
    <x v="0"/>
    <n v="54.2"/>
    <n v="140.4"/>
    <x v="0"/>
    <s v="Yes"/>
    <x v="0"/>
    <n v="140.4"/>
    <x v="0"/>
    <s v="Standard Spend"/>
  </r>
  <r>
    <s v="5075-JSDKI"/>
    <s v="Female"/>
    <x v="2"/>
    <n v="59"/>
    <x v="2"/>
    <x v="2"/>
    <n v="24.45"/>
    <n v="1493.1"/>
    <x v="0"/>
    <s v="No"/>
    <x v="0"/>
    <n v="1493.1"/>
    <x v="2"/>
    <s v="Standard Spend"/>
  </r>
  <r>
    <s v="7908-QCBCA"/>
    <s v="Female"/>
    <x v="0"/>
    <n v="1"/>
    <x v="1"/>
    <x v="0"/>
    <n v="69.400000000000006"/>
    <n v="69.400000000000006"/>
    <x v="1"/>
    <s v="Yes"/>
    <x v="1"/>
    <n v="69.400000000000006"/>
    <x v="0"/>
    <s v="Standard Spend"/>
  </r>
  <r>
    <s v="8644-XYTSV"/>
    <s v="Male"/>
    <x v="0"/>
    <n v="42"/>
    <x v="0"/>
    <x v="0"/>
    <n v="40.15"/>
    <n v="1626.05"/>
    <x v="0"/>
    <s v="Yes"/>
    <x v="2"/>
    <n v="1626.05"/>
    <x v="2"/>
    <s v="Standard Spend"/>
  </r>
  <r>
    <s v="6711-FLDFB"/>
    <s v="Female"/>
    <x v="0"/>
    <n v="7"/>
    <x v="1"/>
    <x v="0"/>
    <n v="74.900000000000006"/>
    <n v="541.15"/>
    <x v="1"/>
    <s v="Yes"/>
    <x v="0"/>
    <n v="541.15"/>
    <x v="0"/>
    <s v="Standard Spend"/>
  </r>
  <r>
    <s v="3873-WOSBC"/>
    <s v="Male"/>
    <x v="2"/>
    <n v="67"/>
    <x v="2"/>
    <x v="2"/>
    <n v="25.6"/>
    <n v="1784.9"/>
    <x v="0"/>
    <s v="No"/>
    <x v="3"/>
    <n v="1784.9"/>
    <x v="2"/>
    <s v="Standard Spend"/>
  </r>
  <r>
    <s v="7465-ZZRVX"/>
    <s v="Male"/>
    <x v="0"/>
    <n v="1"/>
    <x v="1"/>
    <x v="0"/>
    <n v="70.349999999999994"/>
    <n v="70.349999999999994"/>
    <x v="0"/>
    <s v="Yes"/>
    <x v="0"/>
    <n v="70.349999999999994"/>
    <x v="0"/>
    <s v="Standard Spend"/>
  </r>
  <r>
    <s v="7975-JMZNT"/>
    <s v="Male"/>
    <x v="2"/>
    <n v="66"/>
    <x v="0"/>
    <x v="1"/>
    <n v="91.7"/>
    <n v="6075.9"/>
    <x v="0"/>
    <s v="No"/>
    <x v="2"/>
    <n v="6075.9"/>
    <x v="2"/>
    <s v="High Spend"/>
  </r>
  <r>
    <s v="7251-XFOIL"/>
    <s v="Female"/>
    <x v="0"/>
    <n v="61"/>
    <x v="1"/>
    <x v="0"/>
    <n v="89.2"/>
    <n v="5500.6"/>
    <x v="0"/>
    <s v="No"/>
    <x v="1"/>
    <n v="5500.6"/>
    <x v="2"/>
    <s v="High Spend"/>
  </r>
  <r>
    <s v="4116-IQRFR"/>
    <s v="Male"/>
    <x v="1"/>
    <n v="4"/>
    <x v="2"/>
    <x v="2"/>
    <n v="24.1"/>
    <n v="73.099999999999994"/>
    <x v="0"/>
    <s v="No"/>
    <x v="3"/>
    <n v="73.099999999999994"/>
    <x v="0"/>
    <s v="Standard Spend"/>
  </r>
  <r>
    <s v="3714-JTVOV"/>
    <s v="Female"/>
    <x v="0"/>
    <n v="42"/>
    <x v="1"/>
    <x v="0"/>
    <n v="74.150000000000006"/>
    <n v="3229.4"/>
    <x v="1"/>
    <s v="Yes"/>
    <x v="3"/>
    <n v="3229.4"/>
    <x v="2"/>
    <s v="High Spend"/>
  </r>
  <r>
    <s v="8259-DZLIZ"/>
    <s v="Female"/>
    <x v="1"/>
    <n v="64"/>
    <x v="0"/>
    <x v="0"/>
    <n v="53.85"/>
    <n v="3399.85"/>
    <x v="0"/>
    <s v="Yes"/>
    <x v="2"/>
    <n v="3399.85"/>
    <x v="2"/>
    <s v="High Spend"/>
  </r>
  <r>
    <s v="0442-ZXKVS"/>
    <s v="Female"/>
    <x v="1"/>
    <n v="54"/>
    <x v="1"/>
    <x v="1"/>
    <n v="115.6"/>
    <n v="6431.05"/>
    <x v="0"/>
    <s v="Yes"/>
    <x v="2"/>
    <n v="6431.05"/>
    <x v="2"/>
    <s v="High Spend"/>
  </r>
  <r>
    <s v="7853-WNZSY"/>
    <s v="Male"/>
    <x v="0"/>
    <n v="1"/>
    <x v="2"/>
    <x v="2"/>
    <n v="19.75"/>
    <n v="19.75"/>
    <x v="0"/>
    <s v="Yes"/>
    <x v="3"/>
    <n v="19.75"/>
    <x v="0"/>
    <s v="Standard Spend"/>
  </r>
  <r>
    <s v="3120-FAZKD"/>
    <s v="Male"/>
    <x v="2"/>
    <n v="54"/>
    <x v="2"/>
    <x v="2"/>
    <n v="24.05"/>
    <n v="1230.9000000000001"/>
    <x v="0"/>
    <s v="Yes"/>
    <x v="2"/>
    <n v="1230.9000000000001"/>
    <x v="2"/>
    <s v="Standard Spend"/>
  </r>
  <r>
    <s v="8606-OEGQZ"/>
    <s v="Female"/>
    <x v="2"/>
    <n v="18"/>
    <x v="2"/>
    <x v="2"/>
    <n v="25.3"/>
    <n v="454.65"/>
    <x v="0"/>
    <s v="No"/>
    <x v="3"/>
    <n v="454.65"/>
    <x v="1"/>
    <s v="Standard Spend"/>
  </r>
  <r>
    <s v="0225-ZORZP"/>
    <s v="Male"/>
    <x v="0"/>
    <n v="3"/>
    <x v="1"/>
    <x v="0"/>
    <n v="84.3"/>
    <n v="235.05"/>
    <x v="0"/>
    <s v="No"/>
    <x v="0"/>
    <n v="235.05"/>
    <x v="0"/>
    <s v="Standard Spend"/>
  </r>
  <r>
    <s v="4702-IOQDC"/>
    <s v="Female"/>
    <x v="0"/>
    <n v="1"/>
    <x v="1"/>
    <x v="0"/>
    <n v="70.099999999999994"/>
    <n v="70.099999999999994"/>
    <x v="1"/>
    <s v="Yes"/>
    <x v="0"/>
    <n v="70.099999999999994"/>
    <x v="0"/>
    <s v="Standard Spend"/>
  </r>
  <r>
    <s v="9489-JMTTN"/>
    <s v="Female"/>
    <x v="2"/>
    <n v="72"/>
    <x v="0"/>
    <x v="1"/>
    <n v="89.75"/>
    <n v="6595.9"/>
    <x v="0"/>
    <s v="No"/>
    <x v="3"/>
    <n v="6595.9"/>
    <x v="2"/>
    <s v="High Spend"/>
  </r>
  <r>
    <s v="0575-CUQOV"/>
    <s v="Male"/>
    <x v="1"/>
    <n v="60"/>
    <x v="1"/>
    <x v="0"/>
    <n v="97.95"/>
    <n v="5867"/>
    <x v="0"/>
    <s v="Yes"/>
    <x v="0"/>
    <n v="5867"/>
    <x v="2"/>
    <s v="High Spend"/>
  </r>
  <r>
    <s v="0967-BMLBD"/>
    <s v="Female"/>
    <x v="1"/>
    <n v="11"/>
    <x v="2"/>
    <x v="2"/>
    <n v="20"/>
    <n v="196.35"/>
    <x v="0"/>
    <s v="Yes"/>
    <x v="1"/>
    <n v="196.35"/>
    <x v="0"/>
    <s v="Standard Spend"/>
  </r>
  <r>
    <s v="6178-KFNHS"/>
    <s v="Female"/>
    <x v="0"/>
    <n v="12"/>
    <x v="1"/>
    <x v="0"/>
    <n v="78.3"/>
    <n v="909.25"/>
    <x v="1"/>
    <s v="Yes"/>
    <x v="0"/>
    <n v="909.25"/>
    <x v="0"/>
    <s v="Standard Spend"/>
  </r>
  <r>
    <s v="2830-LEWOA"/>
    <s v="Male"/>
    <x v="1"/>
    <n v="61"/>
    <x v="1"/>
    <x v="1"/>
    <n v="103.9"/>
    <n v="6449.15"/>
    <x v="0"/>
    <s v="No"/>
    <x v="3"/>
    <n v="6449.15"/>
    <x v="2"/>
    <s v="High Spend"/>
  </r>
  <r>
    <s v="5006-MXVRN"/>
    <s v="Female"/>
    <x v="2"/>
    <n v="39"/>
    <x v="2"/>
    <x v="2"/>
    <n v="20.7"/>
    <n v="762.45"/>
    <x v="0"/>
    <s v="No"/>
    <x v="3"/>
    <n v="762.45"/>
    <x v="2"/>
    <s v="Standard Spend"/>
  </r>
  <r>
    <s v="1264-BYWMS"/>
    <s v="Male"/>
    <x v="0"/>
    <n v="55"/>
    <x v="1"/>
    <x v="0"/>
    <n v="96.8"/>
    <n v="5283.95"/>
    <x v="1"/>
    <s v="Yes"/>
    <x v="0"/>
    <n v="5283.95"/>
    <x v="2"/>
    <s v="High Spend"/>
  </r>
  <r>
    <s v="9658-WYUFB"/>
    <s v="Female"/>
    <x v="0"/>
    <n v="17"/>
    <x v="1"/>
    <x v="0"/>
    <n v="94.4"/>
    <n v="1617.5"/>
    <x v="1"/>
    <s v="Yes"/>
    <x v="0"/>
    <n v="1617.5"/>
    <x v="1"/>
    <s v="Standard Spend"/>
  </r>
  <r>
    <s v="8327-WKMIE"/>
    <s v="Male"/>
    <x v="1"/>
    <n v="37"/>
    <x v="2"/>
    <x v="2"/>
    <n v="20.149999999999999"/>
    <n v="785.75"/>
    <x v="0"/>
    <s v="No"/>
    <x v="3"/>
    <n v="785.75"/>
    <x v="2"/>
    <s v="Standard Spend"/>
  </r>
  <r>
    <s v="6917-FIJHC"/>
    <s v="Female"/>
    <x v="2"/>
    <n v="72"/>
    <x v="2"/>
    <x v="2"/>
    <n v="26"/>
    <n v="1776"/>
    <x v="0"/>
    <s v="Yes"/>
    <x v="1"/>
    <n v="1776"/>
    <x v="2"/>
    <s v="Standard Spend"/>
  </r>
  <r>
    <s v="5329-KRDTM"/>
    <s v="Male"/>
    <x v="2"/>
    <n v="72"/>
    <x v="0"/>
    <x v="1"/>
    <n v="77.349999999999994"/>
    <n v="5396.25"/>
    <x v="0"/>
    <s v="No"/>
    <x v="3"/>
    <n v="5396.25"/>
    <x v="2"/>
    <s v="High Spend"/>
  </r>
  <r>
    <s v="7797-EJMDP"/>
    <s v="Female"/>
    <x v="0"/>
    <n v="8"/>
    <x v="0"/>
    <x v="1"/>
    <n v="66.05"/>
    <n v="574.5"/>
    <x v="0"/>
    <s v="No"/>
    <x v="2"/>
    <n v="574.5"/>
    <x v="0"/>
    <s v="Standard Spend"/>
  </r>
  <r>
    <s v="3530-VWVGU"/>
    <s v="Female"/>
    <x v="0"/>
    <n v="22"/>
    <x v="2"/>
    <x v="2"/>
    <n v="19.899999999999999"/>
    <n v="400.3"/>
    <x v="0"/>
    <s v="No"/>
    <x v="1"/>
    <n v="400.3"/>
    <x v="1"/>
    <s v="Standard Spend"/>
  </r>
  <r>
    <s v="2013-SGDXK"/>
    <s v="Female"/>
    <x v="0"/>
    <n v="1"/>
    <x v="1"/>
    <x v="0"/>
    <n v="84.3"/>
    <n v="84.3"/>
    <x v="1"/>
    <s v="No"/>
    <x v="0"/>
    <n v="84.3"/>
    <x v="0"/>
    <s v="Standard Spend"/>
  </r>
  <r>
    <s v="6368-NWMCE"/>
    <s v="Female"/>
    <x v="0"/>
    <n v="38"/>
    <x v="0"/>
    <x v="1"/>
    <n v="68.150000000000006"/>
    <n v="2656.3"/>
    <x v="0"/>
    <s v="No"/>
    <x v="3"/>
    <n v="2656.3"/>
    <x v="2"/>
    <s v="High Spend"/>
  </r>
  <r>
    <s v="3633-CDBUW"/>
    <s v="Male"/>
    <x v="1"/>
    <n v="17"/>
    <x v="0"/>
    <x v="1"/>
    <n v="80.849999999999994"/>
    <n v="1445.95"/>
    <x v="0"/>
    <s v="No"/>
    <x v="0"/>
    <n v="1445.95"/>
    <x v="1"/>
    <s v="Standard Spend"/>
  </r>
  <r>
    <s v="0707-HOVVN"/>
    <s v="Female"/>
    <x v="2"/>
    <n v="70"/>
    <x v="0"/>
    <x v="1"/>
    <n v="75.5"/>
    <n v="5212.6499999999996"/>
    <x v="0"/>
    <s v="Yes"/>
    <x v="2"/>
    <n v="5212.6499999999996"/>
    <x v="2"/>
    <s v="High Spend"/>
  </r>
  <r>
    <s v="8580-QVLOC"/>
    <s v="Female"/>
    <x v="2"/>
    <n v="72"/>
    <x v="0"/>
    <x v="1"/>
    <n v="92.45"/>
    <n v="6440.25"/>
    <x v="1"/>
    <s v="No"/>
    <x v="3"/>
    <n v="6440.25"/>
    <x v="2"/>
    <s v="High Spend"/>
  </r>
  <r>
    <s v="3956-MGXOG"/>
    <s v="Female"/>
    <x v="0"/>
    <n v="28"/>
    <x v="1"/>
    <x v="0"/>
    <n v="80.599999999999994"/>
    <n v="2244.9499999999998"/>
    <x v="0"/>
    <s v="Yes"/>
    <x v="0"/>
    <n v="2244.9499999999998"/>
    <x v="1"/>
    <s v="Standard Spend"/>
  </r>
  <r>
    <s v="9274-UARKJ"/>
    <s v="Female"/>
    <x v="0"/>
    <n v="15"/>
    <x v="1"/>
    <x v="0"/>
    <n v="83.2"/>
    <n v="1130"/>
    <x v="0"/>
    <s v="Yes"/>
    <x v="2"/>
    <n v="1130"/>
    <x v="1"/>
    <s v="Standard Spend"/>
  </r>
  <r>
    <s v="4077-HWUYD"/>
    <s v="Male"/>
    <x v="2"/>
    <n v="72"/>
    <x v="0"/>
    <x v="1"/>
    <n v="87.55"/>
    <n v="6463.15"/>
    <x v="0"/>
    <s v="Yes"/>
    <x v="2"/>
    <n v="6463.15"/>
    <x v="2"/>
    <s v="High Spend"/>
  </r>
  <r>
    <s v="2012-NWRPA"/>
    <s v="Female"/>
    <x v="0"/>
    <n v="11"/>
    <x v="1"/>
    <x v="0"/>
    <n v="99.55"/>
    <n v="1131.2"/>
    <x v="1"/>
    <s v="Yes"/>
    <x v="0"/>
    <n v="1131.2"/>
    <x v="0"/>
    <s v="Standard Spend"/>
  </r>
  <r>
    <s v="8808-ELEHO"/>
    <s v="Male"/>
    <x v="0"/>
    <n v="8"/>
    <x v="1"/>
    <x v="0"/>
    <n v="81.25"/>
    <n v="585.95000000000005"/>
    <x v="1"/>
    <s v="Yes"/>
    <x v="0"/>
    <n v="585.95000000000005"/>
    <x v="0"/>
    <s v="Standard Spend"/>
  </r>
  <r>
    <s v="0103-CSITQ"/>
    <s v="Female"/>
    <x v="1"/>
    <n v="57"/>
    <x v="1"/>
    <x v="1"/>
    <n v="109.4"/>
    <n v="6252.7"/>
    <x v="0"/>
    <s v="Yes"/>
    <x v="2"/>
    <n v="6252.7"/>
    <x v="2"/>
    <s v="High Spend"/>
  </r>
  <r>
    <s v="3506-LCJDC"/>
    <s v="Male"/>
    <x v="0"/>
    <n v="1"/>
    <x v="2"/>
    <x v="2"/>
    <n v="19.95"/>
    <n v="19.95"/>
    <x v="1"/>
    <s v="No"/>
    <x v="2"/>
    <n v="19.95"/>
    <x v="0"/>
    <s v="Standard Spend"/>
  </r>
  <r>
    <s v="8671-KKKOS"/>
    <s v="Female"/>
    <x v="0"/>
    <n v="46"/>
    <x v="0"/>
    <x v="0"/>
    <n v="45.55"/>
    <n v="2062.15"/>
    <x v="0"/>
    <s v="No"/>
    <x v="0"/>
    <n v="2062.15"/>
    <x v="2"/>
    <s v="Standard Spend"/>
  </r>
  <r>
    <s v="7305-ZWMAJ"/>
    <s v="Male"/>
    <x v="1"/>
    <n v="30"/>
    <x v="2"/>
    <x v="2"/>
    <n v="20.7"/>
    <n v="587.1"/>
    <x v="0"/>
    <s v="No"/>
    <x v="3"/>
    <n v="587.1"/>
    <x v="1"/>
    <s v="Standard Spend"/>
  </r>
  <r>
    <s v="9518-XXBXE"/>
    <s v="Male"/>
    <x v="0"/>
    <n v="10"/>
    <x v="1"/>
    <x v="0"/>
    <n v="75.3"/>
    <n v="720.45"/>
    <x v="0"/>
    <s v="No"/>
    <x v="0"/>
    <n v="720.45"/>
    <x v="0"/>
    <s v="Standard Spend"/>
  </r>
  <r>
    <s v="3934-HXCFZ"/>
    <s v="Male"/>
    <x v="0"/>
    <n v="23"/>
    <x v="1"/>
    <x v="0"/>
    <n v="99.25"/>
    <n v="2186.4"/>
    <x v="1"/>
    <s v="Yes"/>
    <x v="0"/>
    <n v="2186.4"/>
    <x v="1"/>
    <s v="Standard Spend"/>
  </r>
  <r>
    <s v="6578-KRMAW"/>
    <s v="Male"/>
    <x v="0"/>
    <n v="32"/>
    <x v="1"/>
    <x v="0"/>
    <n v="93.4"/>
    <n v="2979.3"/>
    <x v="0"/>
    <s v="Yes"/>
    <x v="3"/>
    <n v="2979.3"/>
    <x v="1"/>
    <s v="High Spend"/>
  </r>
  <r>
    <s v="4860-IJUDE"/>
    <s v="Male"/>
    <x v="0"/>
    <n v="13"/>
    <x v="1"/>
    <x v="0"/>
    <n v="73.75"/>
    <n v="956.65"/>
    <x v="0"/>
    <s v="Yes"/>
    <x v="3"/>
    <n v="956.65"/>
    <x v="1"/>
    <s v="Standard Spend"/>
  </r>
  <r>
    <s v="7666-WKRON"/>
    <s v="Female"/>
    <x v="2"/>
    <n v="39"/>
    <x v="1"/>
    <x v="1"/>
    <n v="80.45"/>
    <n v="3201.55"/>
    <x v="1"/>
    <s v="Yes"/>
    <x v="0"/>
    <n v="3201.55"/>
    <x v="2"/>
    <s v="High Spend"/>
  </r>
  <r>
    <s v="9688-YGXVR"/>
    <s v="Female"/>
    <x v="0"/>
    <n v="44"/>
    <x v="1"/>
    <x v="0"/>
    <n v="88.15"/>
    <n v="3973.2"/>
    <x v="0"/>
    <s v="Yes"/>
    <x v="3"/>
    <n v="3973.2"/>
    <x v="2"/>
    <s v="High Spend"/>
  </r>
  <r>
    <s v="0423-UDIJQ"/>
    <s v="Male"/>
    <x v="0"/>
    <n v="9"/>
    <x v="0"/>
    <x v="1"/>
    <n v="49.2"/>
    <n v="447.9"/>
    <x v="0"/>
    <s v="No"/>
    <x v="1"/>
    <n v="447.9"/>
    <x v="0"/>
    <s v="Standard Spend"/>
  </r>
  <r>
    <s v="1945-XISKS"/>
    <s v="Female"/>
    <x v="2"/>
    <n v="67"/>
    <x v="2"/>
    <x v="2"/>
    <n v="19.649999999999999"/>
    <n v="1335.2"/>
    <x v="0"/>
    <s v="No"/>
    <x v="1"/>
    <n v="1335.2"/>
    <x v="2"/>
    <s v="Standard Spend"/>
  </r>
  <r>
    <s v="4910-AQFFX"/>
    <s v="Male"/>
    <x v="0"/>
    <n v="9"/>
    <x v="1"/>
    <x v="0"/>
    <n v="79.349999999999994"/>
    <n v="661.25"/>
    <x v="1"/>
    <s v="Yes"/>
    <x v="2"/>
    <n v="661.25"/>
    <x v="0"/>
    <s v="Standard Spend"/>
  </r>
  <r>
    <s v="2154-KVJFF"/>
    <s v="Female"/>
    <x v="0"/>
    <n v="15"/>
    <x v="1"/>
    <x v="0"/>
    <n v="79.75"/>
    <n v="1111.8499999999999"/>
    <x v="1"/>
    <s v="Yes"/>
    <x v="0"/>
    <n v="1111.8499999999999"/>
    <x v="1"/>
    <s v="Standard Spend"/>
  </r>
  <r>
    <s v="5360-LJCNJ"/>
    <s v="Female"/>
    <x v="2"/>
    <n v="71"/>
    <x v="1"/>
    <x v="0"/>
    <n v="105.15"/>
    <n v="7555"/>
    <x v="0"/>
    <s v="Yes"/>
    <x v="2"/>
    <n v="7555"/>
    <x v="2"/>
    <s v="High Spend"/>
  </r>
  <r>
    <s v="2607-FBDFF"/>
    <s v="Male"/>
    <x v="0"/>
    <n v="1"/>
    <x v="0"/>
    <x v="1"/>
    <n v="49"/>
    <n v="49"/>
    <x v="0"/>
    <s v="No"/>
    <x v="3"/>
    <n v="49"/>
    <x v="0"/>
    <s v="Standard Spend"/>
  </r>
  <r>
    <s v="9647-ERGBE"/>
    <s v="Female"/>
    <x v="0"/>
    <n v="30"/>
    <x v="1"/>
    <x v="0"/>
    <n v="100.05"/>
    <n v="3046.15"/>
    <x v="1"/>
    <s v="Yes"/>
    <x v="0"/>
    <n v="3046.15"/>
    <x v="1"/>
    <s v="High Spend"/>
  </r>
  <r>
    <s v="3428-XZMAZ"/>
    <s v="Male"/>
    <x v="0"/>
    <n v="1"/>
    <x v="1"/>
    <x v="0"/>
    <n v="69.349999999999994"/>
    <n v="69.349999999999994"/>
    <x v="1"/>
    <s v="Yes"/>
    <x v="0"/>
    <n v="69.349999999999994"/>
    <x v="0"/>
    <s v="Standard Spend"/>
  </r>
  <r>
    <s v="1100-DDVRV"/>
    <s v="Male"/>
    <x v="0"/>
    <n v="17"/>
    <x v="0"/>
    <x v="0"/>
    <n v="49.8"/>
    <n v="836.35"/>
    <x v="0"/>
    <s v="Yes"/>
    <x v="1"/>
    <n v="836.35"/>
    <x v="1"/>
    <s v="Standard Spend"/>
  </r>
  <r>
    <s v="0378-TOVMS"/>
    <s v="Female"/>
    <x v="0"/>
    <n v="3"/>
    <x v="1"/>
    <x v="1"/>
    <n v="85.8"/>
    <n v="272.2"/>
    <x v="1"/>
    <s v="No"/>
    <x v="0"/>
    <n v="272.2"/>
    <x v="0"/>
    <s v="Standard Spend"/>
  </r>
  <r>
    <s v="4355-HBJHH"/>
    <s v="Male"/>
    <x v="2"/>
    <n v="67"/>
    <x v="0"/>
    <x v="0"/>
    <n v="79.7"/>
    <n v="5293.4"/>
    <x v="1"/>
    <s v="Yes"/>
    <x v="0"/>
    <n v="5293.4"/>
    <x v="2"/>
    <s v="High Spend"/>
  </r>
  <r>
    <s v="6728-WYQBC"/>
    <s v="Male"/>
    <x v="0"/>
    <n v="1"/>
    <x v="2"/>
    <x v="2"/>
    <n v="20.95"/>
    <n v="20.95"/>
    <x v="0"/>
    <s v="No"/>
    <x v="2"/>
    <n v="20.95"/>
    <x v="0"/>
    <s v="Standard Spend"/>
  </r>
  <r>
    <s v="9058-CBREO"/>
    <s v="Female"/>
    <x v="0"/>
    <n v="1"/>
    <x v="0"/>
    <x v="0"/>
    <n v="50.55"/>
    <n v="50.55"/>
    <x v="1"/>
    <s v="No"/>
    <x v="1"/>
    <n v="50.55"/>
    <x v="0"/>
    <s v="Standard Spend"/>
  </r>
  <r>
    <s v="9029-FEGVJ"/>
    <s v="Female"/>
    <x v="0"/>
    <n v="32"/>
    <x v="1"/>
    <x v="0"/>
    <n v="79.3"/>
    <n v="2570"/>
    <x v="0"/>
    <s v="No"/>
    <x v="1"/>
    <n v="2570"/>
    <x v="1"/>
    <s v="High Spend"/>
  </r>
  <r>
    <s v="7216-KAOID"/>
    <s v="Male"/>
    <x v="1"/>
    <n v="41"/>
    <x v="2"/>
    <x v="2"/>
    <n v="19.5"/>
    <n v="798.2"/>
    <x v="0"/>
    <s v="No"/>
    <x v="2"/>
    <n v="798.2"/>
    <x v="2"/>
    <s v="Standard Spend"/>
  </r>
  <r>
    <s v="0318-QUUOB"/>
    <s v="Male"/>
    <x v="0"/>
    <n v="1"/>
    <x v="1"/>
    <x v="0"/>
    <n v="80.55"/>
    <n v="80.55"/>
    <x v="1"/>
    <s v="Yes"/>
    <x v="0"/>
    <n v="80.55"/>
    <x v="0"/>
    <s v="Standard Spend"/>
  </r>
  <r>
    <s v="6145-NNPNO"/>
    <s v="Female"/>
    <x v="0"/>
    <n v="1"/>
    <x v="0"/>
    <x v="0"/>
    <n v="44.15"/>
    <n v="44.15"/>
    <x v="0"/>
    <s v="No"/>
    <x v="2"/>
    <n v="44.15"/>
    <x v="0"/>
    <s v="Standard Spend"/>
  </r>
  <r>
    <s v="5520-FVEWJ"/>
    <s v="Female"/>
    <x v="0"/>
    <n v="12"/>
    <x v="1"/>
    <x v="0"/>
    <n v="84.5"/>
    <n v="916.9"/>
    <x v="1"/>
    <s v="Yes"/>
    <x v="0"/>
    <n v="916.9"/>
    <x v="0"/>
    <s v="Standard Spend"/>
  </r>
  <r>
    <s v="5339-TJFEK"/>
    <s v="Male"/>
    <x v="0"/>
    <n v="62"/>
    <x v="1"/>
    <x v="0"/>
    <n v="105.5"/>
    <n v="6487.2"/>
    <x v="0"/>
    <s v="Yes"/>
    <x v="0"/>
    <n v="6487.2"/>
    <x v="2"/>
    <s v="High Spend"/>
  </r>
  <r>
    <s v="5572-ZDXHY"/>
    <s v="Female"/>
    <x v="0"/>
    <n v="22"/>
    <x v="1"/>
    <x v="0"/>
    <n v="84.3"/>
    <n v="1855.65"/>
    <x v="1"/>
    <s v="Yes"/>
    <x v="1"/>
    <n v="1855.65"/>
    <x v="1"/>
    <s v="Standard Spend"/>
  </r>
  <r>
    <s v="2074-GUHPQ"/>
    <s v="Female"/>
    <x v="0"/>
    <n v="17"/>
    <x v="1"/>
    <x v="1"/>
    <n v="92.7"/>
    <n v="1556.85"/>
    <x v="0"/>
    <s v="Yes"/>
    <x v="3"/>
    <n v="1556.85"/>
    <x v="1"/>
    <s v="Standard Spend"/>
  </r>
  <r>
    <s v="4625-XMOYM"/>
    <s v="Female"/>
    <x v="2"/>
    <n v="72"/>
    <x v="2"/>
    <x v="2"/>
    <n v="26.25"/>
    <n v="1988.05"/>
    <x v="0"/>
    <s v="Yes"/>
    <x v="2"/>
    <n v="1988.05"/>
    <x v="2"/>
    <s v="Standard Spend"/>
  </r>
  <r>
    <s v="5827-MWCZK"/>
    <s v="Male"/>
    <x v="0"/>
    <n v="56"/>
    <x v="1"/>
    <x v="1"/>
    <n v="96.95"/>
    <n v="5432.2"/>
    <x v="0"/>
    <s v="Yes"/>
    <x v="3"/>
    <n v="5432.2"/>
    <x v="2"/>
    <s v="High Spend"/>
  </r>
  <r>
    <s v="1385-TQOZW"/>
    <s v="Female"/>
    <x v="0"/>
    <n v="9"/>
    <x v="2"/>
    <x v="2"/>
    <n v="20.45"/>
    <n v="147.55000000000001"/>
    <x v="0"/>
    <s v="Yes"/>
    <x v="3"/>
    <n v="147.55000000000001"/>
    <x v="0"/>
    <s v="Standard Spend"/>
  </r>
  <r>
    <s v="5914-XRFQB"/>
    <s v="Male"/>
    <x v="2"/>
    <n v="72"/>
    <x v="1"/>
    <x v="1"/>
    <n v="115.8"/>
    <n v="8424.9"/>
    <x v="0"/>
    <s v="Yes"/>
    <x v="2"/>
    <n v="8424.9"/>
    <x v="2"/>
    <s v="High Spend"/>
  </r>
  <r>
    <s v="4329-YPDDQ"/>
    <s v="Male"/>
    <x v="0"/>
    <n v="20"/>
    <x v="1"/>
    <x v="1"/>
    <n v="108.2"/>
    <n v="2203.6999999999998"/>
    <x v="0"/>
    <s v="Yes"/>
    <x v="2"/>
    <n v="2203.6999999999998"/>
    <x v="1"/>
    <s v="Standard Spend"/>
  </r>
  <r>
    <s v="4804-NCPET"/>
    <s v="Male"/>
    <x v="2"/>
    <n v="19"/>
    <x v="2"/>
    <x v="2"/>
    <n v="20.2"/>
    <n v="387.4"/>
    <x v="0"/>
    <s v="No"/>
    <x v="1"/>
    <n v="387.4"/>
    <x v="1"/>
    <s v="Standard Spend"/>
  </r>
  <r>
    <s v="3750-CKVKH"/>
    <s v="Male"/>
    <x v="0"/>
    <n v="2"/>
    <x v="1"/>
    <x v="0"/>
    <n v="67.75"/>
    <n v="116.65"/>
    <x v="1"/>
    <s v="Yes"/>
    <x v="0"/>
    <n v="116.65"/>
    <x v="0"/>
    <s v="Standard Spend"/>
  </r>
  <r>
    <s v="5944-UGLLK"/>
    <s v="Male"/>
    <x v="1"/>
    <n v="53"/>
    <x v="0"/>
    <x v="1"/>
    <n v="54.9"/>
    <n v="3045.75"/>
    <x v="0"/>
    <s v="No"/>
    <x v="3"/>
    <n v="3045.75"/>
    <x v="2"/>
    <s v="High Spend"/>
  </r>
  <r>
    <s v="8063-GBATB"/>
    <s v="Female"/>
    <x v="0"/>
    <n v="27"/>
    <x v="1"/>
    <x v="0"/>
    <n v="85.25"/>
    <n v="2287.25"/>
    <x v="1"/>
    <s v="Yes"/>
    <x v="0"/>
    <n v="2287.25"/>
    <x v="1"/>
    <s v="Standard Spend"/>
  </r>
  <r>
    <s v="7787-BNTZM"/>
    <s v="Male"/>
    <x v="0"/>
    <n v="6"/>
    <x v="2"/>
    <x v="2"/>
    <n v="20.149999999999999"/>
    <n v="130.5"/>
    <x v="0"/>
    <s v="No"/>
    <x v="2"/>
    <n v="130.5"/>
    <x v="0"/>
    <s v="Standard Spend"/>
  </r>
  <r>
    <s v="2252-ISRNH"/>
    <s v="Male"/>
    <x v="1"/>
    <n v="9"/>
    <x v="1"/>
    <x v="0"/>
    <n v="90.35"/>
    <n v="767.9"/>
    <x v="0"/>
    <s v="Yes"/>
    <x v="0"/>
    <n v="767.9"/>
    <x v="0"/>
    <s v="Standard Spend"/>
  </r>
  <r>
    <s v="9415-TPKRV"/>
    <s v="Female"/>
    <x v="0"/>
    <n v="8"/>
    <x v="0"/>
    <x v="0"/>
    <n v="55.75"/>
    <n v="446.8"/>
    <x v="0"/>
    <s v="No"/>
    <x v="0"/>
    <n v="446.8"/>
    <x v="0"/>
    <s v="Standard Spend"/>
  </r>
  <r>
    <s v="5322-TEUJK"/>
    <s v="Female"/>
    <x v="2"/>
    <n v="71"/>
    <x v="1"/>
    <x v="1"/>
    <n v="114.6"/>
    <n v="8100.25"/>
    <x v="0"/>
    <s v="No"/>
    <x v="2"/>
    <n v="8100.25"/>
    <x v="2"/>
    <s v="High Spend"/>
  </r>
  <r>
    <s v="4547-KQRTM"/>
    <s v="Female"/>
    <x v="0"/>
    <n v="10"/>
    <x v="1"/>
    <x v="0"/>
    <n v="80.05"/>
    <n v="830.7"/>
    <x v="1"/>
    <s v="Yes"/>
    <x v="2"/>
    <n v="830.7"/>
    <x v="0"/>
    <s v="Standard Spend"/>
  </r>
  <r>
    <s v="4877-EVATK"/>
    <s v="Male"/>
    <x v="0"/>
    <n v="1"/>
    <x v="2"/>
    <x v="2"/>
    <n v="20"/>
    <n v="20"/>
    <x v="1"/>
    <s v="No"/>
    <x v="1"/>
    <n v="20"/>
    <x v="0"/>
    <s v="Standard Spend"/>
  </r>
  <r>
    <s v="1866-DIOQZ"/>
    <s v="Female"/>
    <x v="1"/>
    <n v="71"/>
    <x v="0"/>
    <x v="1"/>
    <n v="66.8"/>
    <n v="4689.1499999999996"/>
    <x v="0"/>
    <s v="No"/>
    <x v="2"/>
    <n v="4689.1499999999996"/>
    <x v="2"/>
    <s v="High Spend"/>
  </r>
  <r>
    <s v="8375-KVTHK"/>
    <s v="Male"/>
    <x v="1"/>
    <n v="68"/>
    <x v="1"/>
    <x v="1"/>
    <n v="100.3"/>
    <n v="6754.35"/>
    <x v="0"/>
    <s v="Yes"/>
    <x v="0"/>
    <n v="6754.35"/>
    <x v="2"/>
    <s v="High Spend"/>
  </r>
  <r>
    <s v="2697-NQBPF"/>
    <s v="Male"/>
    <x v="0"/>
    <n v="34"/>
    <x v="1"/>
    <x v="1"/>
    <n v="105.35"/>
    <n v="3540.65"/>
    <x v="0"/>
    <s v="Yes"/>
    <x v="0"/>
    <n v="3540.65"/>
    <x v="1"/>
    <s v="High Spend"/>
  </r>
  <r>
    <s v="3709-OIJEA"/>
    <s v="Male"/>
    <x v="1"/>
    <n v="26"/>
    <x v="1"/>
    <x v="1"/>
    <n v="85.2"/>
    <n v="2184.6"/>
    <x v="0"/>
    <s v="Yes"/>
    <x v="0"/>
    <n v="2184.6"/>
    <x v="1"/>
    <s v="Standard Spend"/>
  </r>
  <r>
    <s v="7639-SUPCW"/>
    <s v="Female"/>
    <x v="0"/>
    <n v="22"/>
    <x v="0"/>
    <x v="0"/>
    <n v="48.8"/>
    <n v="1054.5999999999999"/>
    <x v="1"/>
    <s v="Yes"/>
    <x v="3"/>
    <n v="1054.5999999999999"/>
    <x v="1"/>
    <s v="Standard Spend"/>
  </r>
  <r>
    <s v="1386-ZIKUV"/>
    <s v="Male"/>
    <x v="0"/>
    <n v="7"/>
    <x v="2"/>
    <x v="2"/>
    <n v="18.95"/>
    <n v="130.55000000000001"/>
    <x v="0"/>
    <s v="Yes"/>
    <x v="1"/>
    <n v="130.55000000000001"/>
    <x v="0"/>
    <s v="Standard Spend"/>
  </r>
  <r>
    <s v="0599-XNYDO"/>
    <s v="Female"/>
    <x v="0"/>
    <n v="20"/>
    <x v="1"/>
    <x v="0"/>
    <n v="69.8"/>
    <n v="1540.35"/>
    <x v="0"/>
    <s v="Yes"/>
    <x v="2"/>
    <n v="1540.35"/>
    <x v="1"/>
    <s v="Standard Spend"/>
  </r>
  <r>
    <s v="6377-WHAOX"/>
    <s v="Female"/>
    <x v="0"/>
    <n v="60"/>
    <x v="1"/>
    <x v="0"/>
    <n v="106.15"/>
    <n v="6411.25"/>
    <x v="0"/>
    <s v="Yes"/>
    <x v="0"/>
    <n v="6411.25"/>
    <x v="2"/>
    <s v="High Spend"/>
  </r>
  <r>
    <s v="6855-VLGOS"/>
    <s v="Male"/>
    <x v="2"/>
    <n v="72"/>
    <x v="2"/>
    <x v="2"/>
    <n v="20.55"/>
    <n v="1432.55"/>
    <x v="0"/>
    <s v="No"/>
    <x v="0"/>
    <n v="1432.55"/>
    <x v="2"/>
    <s v="Standard Spend"/>
  </r>
  <r>
    <s v="8999-XXGNS"/>
    <s v="Female"/>
    <x v="1"/>
    <n v="72"/>
    <x v="1"/>
    <x v="0"/>
    <n v="105.75"/>
    <n v="7629.85"/>
    <x v="0"/>
    <s v="Yes"/>
    <x v="3"/>
    <n v="7629.85"/>
    <x v="2"/>
    <s v="High Spend"/>
  </r>
  <r>
    <s v="8746-OQQRW"/>
    <s v="Male"/>
    <x v="0"/>
    <n v="4"/>
    <x v="2"/>
    <x v="2"/>
    <n v="25.25"/>
    <n v="101.9"/>
    <x v="0"/>
    <s v="No"/>
    <x v="1"/>
    <n v="101.9"/>
    <x v="0"/>
    <s v="Standard Spend"/>
  </r>
  <r>
    <s v="3181-MIZBN"/>
    <s v="Male"/>
    <x v="0"/>
    <n v="16"/>
    <x v="2"/>
    <x v="2"/>
    <n v="19.75"/>
    <n v="313.39999999999998"/>
    <x v="0"/>
    <s v="No"/>
    <x v="0"/>
    <n v="313.39999999999998"/>
    <x v="1"/>
    <s v="Standard Spend"/>
  </r>
  <r>
    <s v="0471-ARVMX"/>
    <s v="Female"/>
    <x v="1"/>
    <n v="62"/>
    <x v="1"/>
    <x v="0"/>
    <n v="104.85"/>
    <n v="6312.9"/>
    <x v="0"/>
    <s v="Yes"/>
    <x v="0"/>
    <n v="6312.9"/>
    <x v="2"/>
    <s v="High Spend"/>
  </r>
  <r>
    <s v="7766-CLTIC"/>
    <s v="Female"/>
    <x v="0"/>
    <n v="10"/>
    <x v="0"/>
    <x v="1"/>
    <n v="60.95"/>
    <n v="629.54999999999995"/>
    <x v="0"/>
    <s v="Yes"/>
    <x v="1"/>
    <n v="629.54999999999995"/>
    <x v="0"/>
    <s v="Standard Spend"/>
  </r>
  <r>
    <s v="5650-YLIBA"/>
    <s v="Male"/>
    <x v="0"/>
    <n v="31"/>
    <x v="1"/>
    <x v="0"/>
    <n v="81.150000000000006"/>
    <n v="2640.55"/>
    <x v="0"/>
    <s v="Yes"/>
    <x v="0"/>
    <n v="2640.55"/>
    <x v="1"/>
    <s v="High Spend"/>
  </r>
  <r>
    <s v="0825-CPPQH"/>
    <s v="Female"/>
    <x v="2"/>
    <n v="71"/>
    <x v="2"/>
    <x v="2"/>
    <n v="19.100000000000001"/>
    <n v="1372.45"/>
    <x v="0"/>
    <s v="No"/>
    <x v="3"/>
    <n v="1372.45"/>
    <x v="2"/>
    <s v="Standard Spend"/>
  </r>
  <r>
    <s v="9084-OAYKL"/>
    <s v="Male"/>
    <x v="2"/>
    <n v="58"/>
    <x v="2"/>
    <x v="2"/>
    <n v="20.8"/>
    <n v="1212.25"/>
    <x v="0"/>
    <s v="No"/>
    <x v="1"/>
    <n v="1212.25"/>
    <x v="2"/>
    <s v="Standard Spend"/>
  </r>
  <r>
    <s v="6122-LJADA"/>
    <s v="Male"/>
    <x v="2"/>
    <n v="70"/>
    <x v="0"/>
    <x v="1"/>
    <n v="90.15"/>
    <n v="6237.05"/>
    <x v="0"/>
    <s v="Yes"/>
    <x v="3"/>
    <n v="6237.05"/>
    <x v="2"/>
    <s v="High Spend"/>
  </r>
  <r>
    <s v="2400-XIWIO"/>
    <s v="Female"/>
    <x v="2"/>
    <n v="71"/>
    <x v="0"/>
    <x v="1"/>
    <n v="90.1"/>
    <n v="6310.9"/>
    <x v="0"/>
    <s v="No"/>
    <x v="0"/>
    <n v="6310.9"/>
    <x v="2"/>
    <s v="High Spend"/>
  </r>
  <r>
    <s v="7524-VRLPL"/>
    <s v="Male"/>
    <x v="2"/>
    <n v="69"/>
    <x v="0"/>
    <x v="1"/>
    <n v="74.099999999999994"/>
    <n v="5031"/>
    <x v="0"/>
    <s v="No"/>
    <x v="3"/>
    <n v="5031"/>
    <x v="2"/>
    <s v="High Spend"/>
  </r>
  <r>
    <s v="1069-XAIEM"/>
    <s v="Female"/>
    <x v="0"/>
    <n v="1"/>
    <x v="1"/>
    <x v="0"/>
    <n v="85.05"/>
    <n v="85.05"/>
    <x v="1"/>
    <s v="Yes"/>
    <x v="0"/>
    <n v="85.05"/>
    <x v="0"/>
    <s v="Standard Spend"/>
  </r>
  <r>
    <s v="7569-NMZYQ"/>
    <s v="Female"/>
    <x v="2"/>
    <n v="72"/>
    <x v="1"/>
    <x v="1"/>
    <n v="118.75"/>
    <n v="8672.4500000000007"/>
    <x v="0"/>
    <s v="Yes"/>
    <x v="2"/>
    <n v="8672.4500000000007"/>
    <x v="2"/>
    <s v="High Spend"/>
  </r>
  <r>
    <s v="5201-USSQZ"/>
    <s v="Female"/>
    <x v="0"/>
    <n v="26"/>
    <x v="1"/>
    <x v="1"/>
    <n v="85.9"/>
    <n v="2196.4499999999998"/>
    <x v="0"/>
    <s v="No"/>
    <x v="3"/>
    <n v="2196.4499999999998"/>
    <x v="1"/>
    <s v="Standard Spend"/>
  </r>
  <r>
    <s v="2105-PHWON"/>
    <s v="Female"/>
    <x v="0"/>
    <n v="33"/>
    <x v="1"/>
    <x v="1"/>
    <n v="95"/>
    <n v="3008.15"/>
    <x v="0"/>
    <s v="Yes"/>
    <x v="3"/>
    <n v="3008.15"/>
    <x v="1"/>
    <s v="High Spend"/>
  </r>
  <r>
    <s v="1494-EJZDW"/>
    <s v="Female"/>
    <x v="2"/>
    <n v="10"/>
    <x v="2"/>
    <x v="2"/>
    <n v="20.149999999999999"/>
    <n v="220.8"/>
    <x v="0"/>
    <s v="No"/>
    <x v="1"/>
    <n v="220.8"/>
    <x v="0"/>
    <s v="Standard Spend"/>
  </r>
  <r>
    <s v="4884-TVUQF"/>
    <s v="Female"/>
    <x v="2"/>
    <n v="57"/>
    <x v="1"/>
    <x v="1"/>
    <n v="101.3"/>
    <n v="5779.6"/>
    <x v="0"/>
    <s v="No"/>
    <x v="3"/>
    <n v="5779.6"/>
    <x v="2"/>
    <s v="High Spend"/>
  </r>
  <r>
    <s v="8003-EWNDZ"/>
    <s v="Female"/>
    <x v="0"/>
    <n v="10"/>
    <x v="2"/>
    <x v="2"/>
    <n v="21.2"/>
    <n v="222.65"/>
    <x v="0"/>
    <s v="Yes"/>
    <x v="0"/>
    <n v="222.65"/>
    <x v="0"/>
    <s v="Standard Spend"/>
  </r>
  <r>
    <s v="1897-RCFUM"/>
    <s v="Female"/>
    <x v="1"/>
    <n v="39"/>
    <x v="2"/>
    <x v="2"/>
    <n v="24.2"/>
    <n v="914.6"/>
    <x v="0"/>
    <s v="Yes"/>
    <x v="1"/>
    <n v="914.6"/>
    <x v="2"/>
    <s v="Standard Spend"/>
  </r>
  <r>
    <s v="9256-JTBNZ"/>
    <s v="Female"/>
    <x v="0"/>
    <n v="11"/>
    <x v="2"/>
    <x v="2"/>
    <n v="20.3"/>
    <n v="246.3"/>
    <x v="0"/>
    <s v="No"/>
    <x v="2"/>
    <n v="246.3"/>
    <x v="0"/>
    <s v="Standard Spend"/>
  </r>
  <r>
    <s v="4658-HCOHW"/>
    <s v="Female"/>
    <x v="0"/>
    <n v="21"/>
    <x v="1"/>
    <x v="1"/>
    <n v="102.8"/>
    <n v="2110.15"/>
    <x v="1"/>
    <s v="Yes"/>
    <x v="0"/>
    <n v="2110.15"/>
    <x v="1"/>
    <s v="Standard Spend"/>
  </r>
  <r>
    <s v="2211-RMNHO"/>
    <s v="Female"/>
    <x v="2"/>
    <n v="68"/>
    <x v="0"/>
    <x v="1"/>
    <n v="85.3"/>
    <n v="5560"/>
    <x v="0"/>
    <s v="No"/>
    <x v="2"/>
    <n v="5560"/>
    <x v="2"/>
    <s v="High Spend"/>
  </r>
  <r>
    <s v="2432-TFSMK"/>
    <s v="Male"/>
    <x v="1"/>
    <n v="18"/>
    <x v="1"/>
    <x v="0"/>
    <n v="89.6"/>
    <n v="1633"/>
    <x v="0"/>
    <s v="Yes"/>
    <x v="3"/>
    <n v="1633"/>
    <x v="1"/>
    <s v="Standard Spend"/>
  </r>
  <r>
    <s v="3440-JPSCL"/>
    <s v="Female"/>
    <x v="0"/>
    <n v="6"/>
    <x v="1"/>
    <x v="1"/>
    <n v="99.95"/>
    <n v="547.65"/>
    <x v="1"/>
    <s v="Yes"/>
    <x v="1"/>
    <n v="547.65"/>
    <x v="0"/>
    <s v="Standard Spend"/>
  </r>
  <r>
    <s v="4929-ROART"/>
    <s v="Male"/>
    <x v="0"/>
    <n v="18"/>
    <x v="0"/>
    <x v="0"/>
    <n v="56.25"/>
    <n v="969.85"/>
    <x v="0"/>
    <s v="No"/>
    <x v="1"/>
    <n v="969.85"/>
    <x v="1"/>
    <s v="Standard Spend"/>
  </r>
  <r>
    <s v="1834-ABKHQ"/>
    <s v="Female"/>
    <x v="1"/>
    <n v="52"/>
    <x v="0"/>
    <x v="0"/>
    <n v="50.95"/>
    <n v="2610.65"/>
    <x v="0"/>
    <s v="Yes"/>
    <x v="2"/>
    <n v="2610.65"/>
    <x v="2"/>
    <s v="High Spend"/>
  </r>
  <r>
    <s v="1741-WTPON"/>
    <s v="Male"/>
    <x v="2"/>
    <n v="56"/>
    <x v="1"/>
    <x v="1"/>
    <n v="115.85"/>
    <n v="6567.9"/>
    <x v="0"/>
    <s v="No"/>
    <x v="1"/>
    <n v="6567.9"/>
    <x v="2"/>
    <s v="High Spend"/>
  </r>
  <r>
    <s v="3932-IJWDZ"/>
    <s v="Male"/>
    <x v="0"/>
    <n v="45"/>
    <x v="1"/>
    <x v="1"/>
    <n v="103.65"/>
    <n v="4747.8500000000004"/>
    <x v="0"/>
    <s v="Yes"/>
    <x v="2"/>
    <n v="4747.8500000000004"/>
    <x v="2"/>
    <s v="High Spend"/>
  </r>
  <r>
    <s v="1240-HCBOH"/>
    <s v="Female"/>
    <x v="2"/>
    <n v="67"/>
    <x v="2"/>
    <x v="2"/>
    <n v="26.1"/>
    <n v="1759.55"/>
    <x v="0"/>
    <s v="Yes"/>
    <x v="1"/>
    <n v="1759.55"/>
    <x v="2"/>
    <s v="Standard Spend"/>
  </r>
  <r>
    <s v="3594-KADLU"/>
    <s v="Male"/>
    <x v="0"/>
    <n v="3"/>
    <x v="0"/>
    <x v="1"/>
    <n v="35.1"/>
    <n v="101.1"/>
    <x v="0"/>
    <s v="No"/>
    <x v="1"/>
    <n v="101.1"/>
    <x v="0"/>
    <s v="Standard Spend"/>
  </r>
  <r>
    <s v="8065-BVEPF"/>
    <s v="Male"/>
    <x v="0"/>
    <n v="65"/>
    <x v="1"/>
    <x v="0"/>
    <n v="99.1"/>
    <n v="6496.15"/>
    <x v="0"/>
    <s v="Yes"/>
    <x v="2"/>
    <n v="6496.15"/>
    <x v="2"/>
    <s v="High Spend"/>
  </r>
  <r>
    <s v="3796-ENZGF"/>
    <s v="Male"/>
    <x v="2"/>
    <n v="63"/>
    <x v="0"/>
    <x v="1"/>
    <n v="67.25"/>
    <n v="4234.1499999999996"/>
    <x v="0"/>
    <s v="No"/>
    <x v="1"/>
    <n v="4234.1499999999996"/>
    <x v="2"/>
    <s v="High Spend"/>
  </r>
  <r>
    <s v="1734-ZMNTZ"/>
    <s v="Female"/>
    <x v="2"/>
    <n v="11"/>
    <x v="2"/>
    <x v="2"/>
    <n v="25"/>
    <n v="300.7"/>
    <x v="0"/>
    <s v="No"/>
    <x v="1"/>
    <n v="300.7"/>
    <x v="0"/>
    <s v="Standard Spend"/>
  </r>
  <r>
    <s v="2853-CWQFQ"/>
    <s v="Male"/>
    <x v="0"/>
    <n v="1"/>
    <x v="0"/>
    <x v="1"/>
    <n v="59.55"/>
    <n v="59.55"/>
    <x v="0"/>
    <s v="Yes"/>
    <x v="1"/>
    <n v="59.55"/>
    <x v="0"/>
    <s v="Standard Spend"/>
  </r>
  <r>
    <s v="0813-TAXXS"/>
    <s v="Male"/>
    <x v="2"/>
    <n v="55"/>
    <x v="0"/>
    <x v="0"/>
    <n v="77.8"/>
    <n v="4323.3500000000004"/>
    <x v="0"/>
    <s v="Yes"/>
    <x v="2"/>
    <n v="4323.3500000000004"/>
    <x v="2"/>
    <s v="High Spend"/>
  </r>
  <r>
    <s v="2519-TWKFS"/>
    <s v="Male"/>
    <x v="1"/>
    <n v="25"/>
    <x v="0"/>
    <x v="1"/>
    <n v="55.1"/>
    <n v="1466.1"/>
    <x v="0"/>
    <s v="Yes"/>
    <x v="1"/>
    <n v="1466.1"/>
    <x v="1"/>
    <s v="Standard Spend"/>
  </r>
  <r>
    <s v="2889-FPWRM"/>
    <s v="Male"/>
    <x v="1"/>
    <n v="72"/>
    <x v="1"/>
    <x v="1"/>
    <n v="117.8"/>
    <n v="8684.7999999999993"/>
    <x v="1"/>
    <s v="Yes"/>
    <x v="2"/>
    <n v="8684.7999999999993"/>
    <x v="2"/>
    <s v="High Spend"/>
  </r>
  <r>
    <s v="0626-QXNGV"/>
    <s v="Female"/>
    <x v="2"/>
    <n v="72"/>
    <x v="2"/>
    <x v="2"/>
    <n v="24.15"/>
    <n v="1776.45"/>
    <x v="0"/>
    <s v="Yes"/>
    <x v="3"/>
    <n v="1776.45"/>
    <x v="2"/>
    <s v="Standard Spend"/>
  </r>
  <r>
    <s v="6723-CEGQI"/>
    <s v="Female"/>
    <x v="2"/>
    <n v="65"/>
    <x v="0"/>
    <x v="1"/>
    <n v="45.25"/>
    <n v="2933.95"/>
    <x v="0"/>
    <s v="No"/>
    <x v="1"/>
    <n v="2933.95"/>
    <x v="2"/>
    <s v="High Spend"/>
  </r>
  <r>
    <s v="6987-XQSJT"/>
    <s v="Female"/>
    <x v="0"/>
    <n v="54"/>
    <x v="1"/>
    <x v="0"/>
    <n v="79.5"/>
    <n v="4370.25"/>
    <x v="1"/>
    <s v="Yes"/>
    <x v="0"/>
    <n v="4370.25"/>
    <x v="2"/>
    <s v="High Spend"/>
  </r>
  <r>
    <s v="4732-RRJZC"/>
    <s v="Male"/>
    <x v="0"/>
    <n v="7"/>
    <x v="2"/>
    <x v="2"/>
    <n v="20.25"/>
    <n v="144.35"/>
    <x v="0"/>
    <s v="No"/>
    <x v="1"/>
    <n v="144.35"/>
    <x v="0"/>
    <s v="Standard Spend"/>
  </r>
  <r>
    <s v="9499-XPZXM"/>
    <s v="Female"/>
    <x v="2"/>
    <n v="72"/>
    <x v="0"/>
    <x v="1"/>
    <n v="64.75"/>
    <n v="4804.75"/>
    <x v="0"/>
    <s v="No"/>
    <x v="2"/>
    <n v="4804.75"/>
    <x v="2"/>
    <s v="High Spend"/>
  </r>
  <r>
    <s v="4338-EYCER"/>
    <s v="Male"/>
    <x v="0"/>
    <n v="21"/>
    <x v="0"/>
    <x v="0"/>
    <n v="54.6"/>
    <n v="1125.2"/>
    <x v="0"/>
    <s v="No"/>
    <x v="2"/>
    <n v="1125.2"/>
    <x v="1"/>
    <s v="Standard Spend"/>
  </r>
  <r>
    <s v="3007-FDPEA"/>
    <s v="Female"/>
    <x v="0"/>
    <n v="2"/>
    <x v="2"/>
    <x v="2"/>
    <n v="20.7"/>
    <n v="39.85"/>
    <x v="0"/>
    <s v="Yes"/>
    <x v="2"/>
    <n v="39.85"/>
    <x v="0"/>
    <s v="Standard Spend"/>
  </r>
  <r>
    <s v="6350-XFYGW"/>
    <s v="Male"/>
    <x v="0"/>
    <n v="4"/>
    <x v="1"/>
    <x v="0"/>
    <n v="94.75"/>
    <n v="422.4"/>
    <x v="0"/>
    <s v="Yes"/>
    <x v="0"/>
    <n v="422.4"/>
    <x v="0"/>
    <s v="Standard Spend"/>
  </r>
  <r>
    <s v="4290-BSXUX"/>
    <s v="Male"/>
    <x v="0"/>
    <n v="3"/>
    <x v="1"/>
    <x v="1"/>
    <n v="79.650000000000006"/>
    <n v="251.75"/>
    <x v="1"/>
    <s v="Yes"/>
    <x v="2"/>
    <n v="251.75"/>
    <x v="0"/>
    <s v="Standard Spend"/>
  </r>
  <r>
    <s v="8513-OLYGY"/>
    <s v="Male"/>
    <x v="2"/>
    <n v="72"/>
    <x v="1"/>
    <x v="1"/>
    <n v="115.8"/>
    <n v="8332.15"/>
    <x v="0"/>
    <s v="No"/>
    <x v="3"/>
    <n v="8332.15"/>
    <x v="2"/>
    <s v="High Spend"/>
  </r>
  <r>
    <s v="0311-QYWSS"/>
    <s v="Female"/>
    <x v="0"/>
    <n v="6"/>
    <x v="0"/>
    <x v="0"/>
    <n v="49.45"/>
    <n v="314.60000000000002"/>
    <x v="0"/>
    <s v="Yes"/>
    <x v="0"/>
    <n v="314.60000000000002"/>
    <x v="0"/>
    <s v="Standard Spend"/>
  </r>
  <r>
    <s v="8705-DWKTI"/>
    <s v="Male"/>
    <x v="0"/>
    <n v="52"/>
    <x v="1"/>
    <x v="0"/>
    <n v="83.8"/>
    <n v="4331.3999999999996"/>
    <x v="0"/>
    <s v="Yes"/>
    <x v="3"/>
    <n v="4331.3999999999996"/>
    <x v="2"/>
    <s v="High Spend"/>
  </r>
  <r>
    <s v="8755-IWJHN"/>
    <s v="Male"/>
    <x v="0"/>
    <n v="69"/>
    <x v="1"/>
    <x v="0"/>
    <n v="95.35"/>
    <n v="6382"/>
    <x v="0"/>
    <s v="Yes"/>
    <x v="2"/>
    <n v="6382"/>
    <x v="2"/>
    <s v="High Spend"/>
  </r>
  <r>
    <s v="0325-XBFAC"/>
    <s v="Male"/>
    <x v="0"/>
    <n v="8"/>
    <x v="1"/>
    <x v="0"/>
    <n v="94.7"/>
    <n v="740.3"/>
    <x v="1"/>
    <s v="Yes"/>
    <x v="0"/>
    <n v="740.3"/>
    <x v="0"/>
    <s v="Standard Spend"/>
  </r>
  <r>
    <s v="4480-QQRHC"/>
    <s v="Female"/>
    <x v="0"/>
    <n v="8"/>
    <x v="1"/>
    <x v="0"/>
    <n v="74.05"/>
    <n v="600.15"/>
    <x v="0"/>
    <s v="Yes"/>
    <x v="2"/>
    <n v="600.15"/>
    <x v="0"/>
    <s v="Standard Spend"/>
  </r>
  <r>
    <s v="0929-PECLO"/>
    <s v="Female"/>
    <x v="0"/>
    <n v="63"/>
    <x v="1"/>
    <x v="0"/>
    <n v="89.6"/>
    <n v="5538.8"/>
    <x v="0"/>
    <s v="Yes"/>
    <x v="2"/>
    <n v="5538.8"/>
    <x v="2"/>
    <s v="High Spend"/>
  </r>
  <r>
    <s v="3680-CTHUH"/>
    <s v="Male"/>
    <x v="1"/>
    <n v="60"/>
    <x v="1"/>
    <x v="1"/>
    <n v="116.6"/>
    <n v="7049.5"/>
    <x v="0"/>
    <s v="Yes"/>
    <x v="3"/>
    <n v="7049.5"/>
    <x v="2"/>
    <s v="High Spend"/>
  </r>
  <r>
    <s v="1202-KKGFU"/>
    <s v="Female"/>
    <x v="0"/>
    <n v="12"/>
    <x v="0"/>
    <x v="1"/>
    <n v="54.2"/>
    <n v="690.5"/>
    <x v="0"/>
    <s v="No"/>
    <x v="2"/>
    <n v="690.5"/>
    <x v="0"/>
    <s v="Standard Spend"/>
  </r>
  <r>
    <s v="6112-KTHFQ"/>
    <s v="Female"/>
    <x v="0"/>
    <n v="13"/>
    <x v="2"/>
    <x v="2"/>
    <n v="19.3"/>
    <n v="279.3"/>
    <x v="0"/>
    <s v="Yes"/>
    <x v="1"/>
    <n v="279.3"/>
    <x v="1"/>
    <s v="Standard Spend"/>
  </r>
  <r>
    <s v="1852-XEMDW"/>
    <s v="Male"/>
    <x v="0"/>
    <n v="22"/>
    <x v="0"/>
    <x v="0"/>
    <n v="65.05"/>
    <n v="1427.55"/>
    <x v="0"/>
    <s v="No"/>
    <x v="1"/>
    <n v="1427.55"/>
    <x v="1"/>
    <s v="Standard Spend"/>
  </r>
  <r>
    <s v="2462-XIIJB"/>
    <s v="Male"/>
    <x v="0"/>
    <n v="5"/>
    <x v="1"/>
    <x v="0"/>
    <n v="92.5"/>
    <n v="452.7"/>
    <x v="1"/>
    <s v="Yes"/>
    <x v="0"/>
    <n v="452.7"/>
    <x v="0"/>
    <s v="Standard Spend"/>
  </r>
  <r>
    <s v="4760-XOHVN"/>
    <s v="Female"/>
    <x v="0"/>
    <n v="1"/>
    <x v="2"/>
    <x v="2"/>
    <n v="19.45"/>
    <n v="19.45"/>
    <x v="1"/>
    <s v="No"/>
    <x v="1"/>
    <n v="19.45"/>
    <x v="0"/>
    <s v="Standard Spend"/>
  </r>
  <r>
    <s v="1820-DJFPH"/>
    <s v="Female"/>
    <x v="2"/>
    <n v="72"/>
    <x v="2"/>
    <x v="2"/>
    <n v="24.05"/>
    <n v="1709.15"/>
    <x v="0"/>
    <s v="Yes"/>
    <x v="2"/>
    <n v="1709.15"/>
    <x v="2"/>
    <s v="Standard Spend"/>
  </r>
  <r>
    <s v="9426-SXNHE"/>
    <s v="Female"/>
    <x v="0"/>
    <n v="2"/>
    <x v="2"/>
    <x v="2"/>
    <n v="18.75"/>
    <n v="53.15"/>
    <x v="0"/>
    <s v="No"/>
    <x v="2"/>
    <n v="53.15"/>
    <x v="0"/>
    <s v="Standard Spend"/>
  </r>
  <r>
    <s v="9068-FHQHD"/>
    <s v="Female"/>
    <x v="2"/>
    <n v="40"/>
    <x v="2"/>
    <x v="2"/>
    <n v="20.149999999999999"/>
    <n v="777.35"/>
    <x v="0"/>
    <s v="No"/>
    <x v="2"/>
    <n v="777.35"/>
    <x v="2"/>
    <s v="Standard Spend"/>
  </r>
  <r>
    <s v="1269-FOYWN"/>
    <s v="Male"/>
    <x v="1"/>
    <n v="44"/>
    <x v="2"/>
    <x v="2"/>
    <n v="20"/>
    <n v="860.85"/>
    <x v="0"/>
    <s v="No"/>
    <x v="2"/>
    <n v="860.85"/>
    <x v="2"/>
    <s v="Standard Spend"/>
  </r>
  <r>
    <s v="9470-YFUYI"/>
    <s v="Male"/>
    <x v="1"/>
    <n v="71"/>
    <x v="0"/>
    <x v="1"/>
    <n v="71"/>
    <n v="5012.1000000000004"/>
    <x v="0"/>
    <s v="Yes"/>
    <x v="2"/>
    <n v="5012.1000000000004"/>
    <x v="2"/>
    <s v="High Spend"/>
  </r>
  <r>
    <s v="7817-BOQPW"/>
    <s v="Female"/>
    <x v="0"/>
    <n v="2"/>
    <x v="1"/>
    <x v="0"/>
    <n v="75.55"/>
    <n v="166.3"/>
    <x v="1"/>
    <s v="Yes"/>
    <x v="0"/>
    <n v="166.3"/>
    <x v="0"/>
    <s v="Standard Spend"/>
  </r>
  <r>
    <s v="7402-EYFXX"/>
    <s v="Male"/>
    <x v="0"/>
    <n v="26"/>
    <x v="1"/>
    <x v="0"/>
    <n v="93.6"/>
    <n v="2404.1"/>
    <x v="0"/>
    <s v="Yes"/>
    <x v="0"/>
    <n v="2404.1"/>
    <x v="1"/>
    <s v="Standard Spend"/>
  </r>
  <r>
    <s v="1853-UDXBW"/>
    <s v="Male"/>
    <x v="0"/>
    <n v="1"/>
    <x v="1"/>
    <x v="0"/>
    <n v="70"/>
    <n v="70"/>
    <x v="1"/>
    <s v="Yes"/>
    <x v="0"/>
    <n v="70"/>
    <x v="0"/>
    <s v="Standard Spend"/>
  </r>
  <r>
    <s v="9895-VFOXH"/>
    <s v="Female"/>
    <x v="0"/>
    <n v="1"/>
    <x v="0"/>
    <x v="0"/>
    <n v="24.4"/>
    <n v="24.4"/>
    <x v="0"/>
    <s v="No"/>
    <x v="1"/>
    <n v="24.4"/>
    <x v="0"/>
    <s v="Standard Spend"/>
  </r>
  <r>
    <s v="5458-CQJTA"/>
    <s v="Male"/>
    <x v="2"/>
    <n v="65"/>
    <x v="0"/>
    <x v="1"/>
    <n v="74.8"/>
    <n v="4820.1499999999996"/>
    <x v="1"/>
    <s v="Yes"/>
    <x v="2"/>
    <n v="4820.1499999999996"/>
    <x v="2"/>
    <s v="High Spend"/>
  </r>
  <r>
    <s v="1230-QAJDW"/>
    <s v="Male"/>
    <x v="0"/>
    <n v="3"/>
    <x v="0"/>
    <x v="1"/>
    <n v="65.25"/>
    <n v="209.9"/>
    <x v="0"/>
    <s v="Yes"/>
    <x v="1"/>
    <n v="209.9"/>
    <x v="0"/>
    <s v="Standard Spend"/>
  </r>
  <r>
    <s v="5701-ZIKJE"/>
    <s v="Male"/>
    <x v="0"/>
    <n v="13"/>
    <x v="0"/>
    <x v="1"/>
    <n v="50.55"/>
    <n v="610.75"/>
    <x v="0"/>
    <s v="Yes"/>
    <x v="1"/>
    <n v="610.75"/>
    <x v="1"/>
    <s v="Standard Spend"/>
  </r>
  <r>
    <s v="5219-YIPTK"/>
    <s v="Female"/>
    <x v="0"/>
    <n v="33"/>
    <x v="1"/>
    <x v="0"/>
    <n v="104.4"/>
    <n v="3409.6"/>
    <x v="1"/>
    <s v="Yes"/>
    <x v="0"/>
    <n v="3409.6"/>
    <x v="1"/>
    <s v="High Spend"/>
  </r>
  <r>
    <s v="5032-MIYKT"/>
    <s v="Female"/>
    <x v="0"/>
    <n v="1"/>
    <x v="1"/>
    <x v="0"/>
    <n v="70.7"/>
    <n v="70.7"/>
    <x v="0"/>
    <s v="Yes"/>
    <x v="1"/>
    <n v="70.7"/>
    <x v="0"/>
    <s v="Standard Spend"/>
  </r>
  <r>
    <s v="7396-VJUZB"/>
    <s v="Male"/>
    <x v="0"/>
    <n v="4"/>
    <x v="0"/>
    <x v="0"/>
    <n v="45.25"/>
    <n v="155.35"/>
    <x v="0"/>
    <s v="No"/>
    <x v="1"/>
    <n v="155.35"/>
    <x v="0"/>
    <s v="Standard Spend"/>
  </r>
  <r>
    <s v="9717-QEBGU"/>
    <s v="Male"/>
    <x v="0"/>
    <n v="2"/>
    <x v="1"/>
    <x v="0"/>
    <n v="70.3"/>
    <n v="144"/>
    <x v="0"/>
    <s v="Yes"/>
    <x v="0"/>
    <n v="144"/>
    <x v="0"/>
    <s v="Standard Spend"/>
  </r>
  <r>
    <s v="5172-RKOCB"/>
    <s v="Male"/>
    <x v="2"/>
    <n v="72"/>
    <x v="1"/>
    <x v="1"/>
    <n v="108.95"/>
    <n v="7875"/>
    <x v="0"/>
    <s v="Yes"/>
    <x v="3"/>
    <n v="7875"/>
    <x v="2"/>
    <s v="High Spend"/>
  </r>
  <r>
    <s v="6509-TSGWN"/>
    <s v="Female"/>
    <x v="0"/>
    <n v="37"/>
    <x v="2"/>
    <x v="2"/>
    <n v="26.45"/>
    <n v="911.6"/>
    <x v="0"/>
    <s v="No"/>
    <x v="1"/>
    <n v="911.6"/>
    <x v="2"/>
    <s v="Standard Spend"/>
  </r>
  <r>
    <s v="3540-RZJYU"/>
    <s v="Female"/>
    <x v="0"/>
    <n v="15"/>
    <x v="1"/>
    <x v="0"/>
    <n v="86.2"/>
    <n v="1270.2"/>
    <x v="1"/>
    <s v="No"/>
    <x v="0"/>
    <n v="1270.2"/>
    <x v="1"/>
    <s v="Standard Spend"/>
  </r>
  <r>
    <s v="3178-CIFOT"/>
    <s v="Female"/>
    <x v="1"/>
    <n v="23"/>
    <x v="2"/>
    <x v="2"/>
    <n v="19.649999999999999"/>
    <n v="478.1"/>
    <x v="0"/>
    <s v="Yes"/>
    <x v="3"/>
    <n v="478.1"/>
    <x v="1"/>
    <s v="Standard Spend"/>
  </r>
  <r>
    <s v="2091-MJTFX"/>
    <s v="Female"/>
    <x v="0"/>
    <n v="30"/>
    <x v="0"/>
    <x v="1"/>
    <n v="51.2"/>
    <n v="1561.5"/>
    <x v="1"/>
    <s v="No"/>
    <x v="3"/>
    <n v="1561.5"/>
    <x v="1"/>
    <s v="Standard Spend"/>
  </r>
  <r>
    <s v="4530-NDRKU"/>
    <s v="Female"/>
    <x v="1"/>
    <n v="42"/>
    <x v="2"/>
    <x v="2"/>
    <n v="19.05"/>
    <n v="761.85"/>
    <x v="0"/>
    <s v="Yes"/>
    <x v="0"/>
    <n v="761.85"/>
    <x v="2"/>
    <s v="Standard Spend"/>
  </r>
  <r>
    <s v="5985-TBABQ"/>
    <s v="Female"/>
    <x v="1"/>
    <n v="32"/>
    <x v="0"/>
    <x v="0"/>
    <n v="74.75"/>
    <n v="2282.9499999999998"/>
    <x v="0"/>
    <s v="No"/>
    <x v="1"/>
    <n v="2282.9499999999998"/>
    <x v="1"/>
    <s v="Standard Spend"/>
  </r>
  <r>
    <s v="9800-ONTFE"/>
    <s v="Female"/>
    <x v="0"/>
    <n v="22"/>
    <x v="1"/>
    <x v="0"/>
    <n v="75.8"/>
    <n v="1615.1"/>
    <x v="0"/>
    <s v="Yes"/>
    <x v="2"/>
    <n v="1615.1"/>
    <x v="1"/>
    <s v="Standard Spend"/>
  </r>
  <r>
    <s v="6743-HHQPF"/>
    <s v="Male"/>
    <x v="0"/>
    <n v="42"/>
    <x v="0"/>
    <x v="0"/>
    <n v="25.1"/>
    <n v="1097.1500000000001"/>
    <x v="0"/>
    <s v="Yes"/>
    <x v="3"/>
    <n v="1097.1500000000001"/>
    <x v="2"/>
    <s v="Standard Spend"/>
  </r>
  <r>
    <s v="8455-HIRAQ"/>
    <s v="Female"/>
    <x v="0"/>
    <n v="8"/>
    <x v="0"/>
    <x v="0"/>
    <n v="44.45"/>
    <n v="369.3"/>
    <x v="0"/>
    <s v="No"/>
    <x v="1"/>
    <n v="369.3"/>
    <x v="0"/>
    <s v="Standard Spend"/>
  </r>
  <r>
    <s v="6616-AALSR"/>
    <s v="Female"/>
    <x v="2"/>
    <n v="65"/>
    <x v="1"/>
    <x v="0"/>
    <n v="104.3"/>
    <n v="6725.3"/>
    <x v="0"/>
    <s v="Yes"/>
    <x v="3"/>
    <n v="6725.3"/>
    <x v="2"/>
    <s v="High Spend"/>
  </r>
  <r>
    <s v="0883-EIBTI"/>
    <s v="Female"/>
    <x v="0"/>
    <n v="2"/>
    <x v="2"/>
    <x v="2"/>
    <n v="19.5"/>
    <n v="31.55"/>
    <x v="1"/>
    <s v="No"/>
    <x v="1"/>
    <n v="31.55"/>
    <x v="0"/>
    <s v="Standard Spend"/>
  </r>
  <r>
    <s v="9415-ZNBSX"/>
    <s v="Female"/>
    <x v="2"/>
    <n v="70"/>
    <x v="0"/>
    <x v="1"/>
    <n v="89"/>
    <n v="6293.2"/>
    <x v="0"/>
    <s v="Yes"/>
    <x v="2"/>
    <n v="6293.2"/>
    <x v="2"/>
    <s v="High Spend"/>
  </r>
  <r>
    <s v="4018-KJYUY"/>
    <s v="Male"/>
    <x v="0"/>
    <n v="22"/>
    <x v="2"/>
    <x v="2"/>
    <n v="20.149999999999999"/>
    <n v="432.5"/>
    <x v="0"/>
    <s v="No"/>
    <x v="3"/>
    <n v="432.5"/>
    <x v="1"/>
    <s v="Standard Spend"/>
  </r>
  <r>
    <s v="0722-TROQR"/>
    <s v="Female"/>
    <x v="0"/>
    <n v="4"/>
    <x v="1"/>
    <x v="0"/>
    <n v="74.900000000000006"/>
    <n v="321.75"/>
    <x v="1"/>
    <s v="Yes"/>
    <x v="0"/>
    <n v="321.75"/>
    <x v="0"/>
    <s v="Standard Spend"/>
  </r>
  <r>
    <s v="7571-YXDAD"/>
    <s v="Female"/>
    <x v="0"/>
    <n v="2"/>
    <x v="1"/>
    <x v="0"/>
    <n v="74.900000000000006"/>
    <n v="147.15"/>
    <x v="1"/>
    <s v="No"/>
    <x v="3"/>
    <n v="147.15"/>
    <x v="0"/>
    <s v="Standard Spend"/>
  </r>
  <r>
    <s v="3884-UEBXB"/>
    <s v="Female"/>
    <x v="2"/>
    <n v="67"/>
    <x v="0"/>
    <x v="0"/>
    <n v="36.15"/>
    <n v="2434.4499999999998"/>
    <x v="0"/>
    <s v="No"/>
    <x v="2"/>
    <n v="2434.4499999999998"/>
    <x v="2"/>
    <s v="Standard Spend"/>
  </r>
  <r>
    <s v="8780-RSYYU"/>
    <s v="Female"/>
    <x v="0"/>
    <n v="25"/>
    <x v="2"/>
    <x v="2"/>
    <n v="19.2"/>
    <n v="532.1"/>
    <x v="0"/>
    <s v="Yes"/>
    <x v="3"/>
    <n v="532.1"/>
    <x v="1"/>
    <s v="Standard Spend"/>
  </r>
  <r>
    <s v="5537-UXXVS"/>
    <s v="Female"/>
    <x v="0"/>
    <n v="20"/>
    <x v="2"/>
    <x v="2"/>
    <n v="19.25"/>
    <n v="375.25"/>
    <x v="0"/>
    <s v="No"/>
    <x v="2"/>
    <n v="375.25"/>
    <x v="1"/>
    <s v="Standard Spend"/>
  </r>
  <r>
    <s v="1791-PQHBB"/>
    <s v="Female"/>
    <x v="0"/>
    <n v="2"/>
    <x v="0"/>
    <x v="0"/>
    <n v="61.2"/>
    <n v="125.95"/>
    <x v="0"/>
    <s v="Yes"/>
    <x v="3"/>
    <n v="125.95"/>
    <x v="0"/>
    <s v="Standard Spend"/>
  </r>
  <r>
    <s v="8701-DGLVH"/>
    <s v="Male"/>
    <x v="2"/>
    <n v="51"/>
    <x v="2"/>
    <x v="2"/>
    <n v="20.45"/>
    <n v="1042.6500000000001"/>
    <x v="0"/>
    <s v="No"/>
    <x v="1"/>
    <n v="1042.6500000000001"/>
    <x v="2"/>
    <s v="Standard Spend"/>
  </r>
  <r>
    <s v="8741-LQOBK"/>
    <s v="Female"/>
    <x v="0"/>
    <n v="46"/>
    <x v="0"/>
    <x v="0"/>
    <n v="35.049999999999997"/>
    <n v="1620.25"/>
    <x v="0"/>
    <s v="No"/>
    <x v="2"/>
    <n v="1620.25"/>
    <x v="2"/>
    <s v="Standard Spend"/>
  </r>
  <r>
    <s v="3393-FMZPV"/>
    <s v="Female"/>
    <x v="0"/>
    <n v="25"/>
    <x v="1"/>
    <x v="0"/>
    <n v="100.25"/>
    <n v="2387.75"/>
    <x v="1"/>
    <s v="Yes"/>
    <x v="0"/>
    <n v="2387.75"/>
    <x v="1"/>
    <s v="Standard Spend"/>
  </r>
  <r>
    <s v="8082-GHXOP"/>
    <s v="Male"/>
    <x v="0"/>
    <n v="13"/>
    <x v="0"/>
    <x v="0"/>
    <n v="44"/>
    <n v="659.35"/>
    <x v="0"/>
    <s v="No"/>
    <x v="1"/>
    <n v="659.35"/>
    <x v="1"/>
    <s v="Standard Spend"/>
  </r>
  <r>
    <s v="6402-ZFPPI"/>
    <s v="Female"/>
    <x v="0"/>
    <n v="25"/>
    <x v="1"/>
    <x v="0"/>
    <n v="102.8"/>
    <n v="2660.2"/>
    <x v="1"/>
    <s v="Yes"/>
    <x v="1"/>
    <n v="2660.2"/>
    <x v="1"/>
    <s v="High Spend"/>
  </r>
  <r>
    <s v="0980-FEXWF"/>
    <s v="Male"/>
    <x v="1"/>
    <n v="26"/>
    <x v="0"/>
    <x v="0"/>
    <n v="50.35"/>
    <n v="1285.8"/>
    <x v="0"/>
    <s v="No"/>
    <x v="1"/>
    <n v="1285.8"/>
    <x v="1"/>
    <s v="Standard Spend"/>
  </r>
  <r>
    <s v="7486-KSRVI"/>
    <s v="Male"/>
    <x v="1"/>
    <n v="43"/>
    <x v="1"/>
    <x v="1"/>
    <n v="100"/>
    <n v="4211.55"/>
    <x v="1"/>
    <s v="Yes"/>
    <x v="0"/>
    <n v="4211.55"/>
    <x v="2"/>
    <s v="High Spend"/>
  </r>
  <r>
    <s v="3011-WQKSZ"/>
    <s v="Male"/>
    <x v="0"/>
    <n v="19"/>
    <x v="2"/>
    <x v="2"/>
    <n v="20"/>
    <n v="377.55"/>
    <x v="0"/>
    <s v="Yes"/>
    <x v="0"/>
    <n v="377.55"/>
    <x v="1"/>
    <s v="Standard Spend"/>
  </r>
  <r>
    <s v="8443-WVPSS"/>
    <s v="Male"/>
    <x v="0"/>
    <n v="10"/>
    <x v="1"/>
    <x v="1"/>
    <n v="99.85"/>
    <n v="990.9"/>
    <x v="1"/>
    <s v="Yes"/>
    <x v="0"/>
    <n v="990.9"/>
    <x v="0"/>
    <s v="Standard Spend"/>
  </r>
  <r>
    <s v="3006-XIMLN"/>
    <s v="Female"/>
    <x v="0"/>
    <n v="2"/>
    <x v="1"/>
    <x v="0"/>
    <n v="94.2"/>
    <n v="193.8"/>
    <x v="1"/>
    <s v="Yes"/>
    <x v="2"/>
    <n v="193.8"/>
    <x v="0"/>
    <s v="Standard Spend"/>
  </r>
  <r>
    <s v="8218-FFJDS"/>
    <s v="Female"/>
    <x v="2"/>
    <n v="72"/>
    <x v="0"/>
    <x v="1"/>
    <n v="86.4"/>
    <n v="6058.95"/>
    <x v="0"/>
    <s v="Yes"/>
    <x v="2"/>
    <n v="6058.95"/>
    <x v="2"/>
    <s v="High Spend"/>
  </r>
  <r>
    <s v="1986-PHGZF"/>
    <s v="Male"/>
    <x v="0"/>
    <n v="18"/>
    <x v="0"/>
    <x v="0"/>
    <n v="58.4"/>
    <n v="964.9"/>
    <x v="0"/>
    <s v="Yes"/>
    <x v="3"/>
    <n v="964.9"/>
    <x v="1"/>
    <s v="Standard Spend"/>
  </r>
  <r>
    <s v="9965-YOKZB"/>
    <s v="Male"/>
    <x v="0"/>
    <n v="9"/>
    <x v="1"/>
    <x v="0"/>
    <n v="83.85"/>
    <n v="790.15"/>
    <x v="1"/>
    <s v="Yes"/>
    <x v="0"/>
    <n v="790.15"/>
    <x v="0"/>
    <s v="Standard Spend"/>
  </r>
  <r>
    <s v="0504-HHAPI"/>
    <s v="Female"/>
    <x v="0"/>
    <n v="27"/>
    <x v="1"/>
    <x v="0"/>
    <n v="88.3"/>
    <n v="2467.75"/>
    <x v="1"/>
    <s v="No"/>
    <x v="3"/>
    <n v="2467.75"/>
    <x v="1"/>
    <s v="Standard Spend"/>
  </r>
  <r>
    <s v="9360-OMDZZ"/>
    <s v="Male"/>
    <x v="0"/>
    <n v="24"/>
    <x v="1"/>
    <x v="0"/>
    <n v="94.1"/>
    <n v="2322.85"/>
    <x v="0"/>
    <s v="Yes"/>
    <x v="0"/>
    <n v="2322.85"/>
    <x v="1"/>
    <s v="Standard Spend"/>
  </r>
  <r>
    <s v="6305-YLBMM"/>
    <s v="Male"/>
    <x v="1"/>
    <n v="69"/>
    <x v="1"/>
    <x v="1"/>
    <n v="104.05"/>
    <n v="7262"/>
    <x v="1"/>
    <s v="Yes"/>
    <x v="2"/>
    <n v="7262"/>
    <x v="2"/>
    <s v="High Spend"/>
  </r>
  <r>
    <s v="0345-XMMUG"/>
    <s v="Female"/>
    <x v="2"/>
    <n v="46"/>
    <x v="1"/>
    <x v="1"/>
    <n v="108.9"/>
    <n v="4854.3"/>
    <x v="0"/>
    <s v="Yes"/>
    <x v="3"/>
    <n v="4854.3"/>
    <x v="2"/>
    <s v="High Spend"/>
  </r>
  <r>
    <s v="8024-XNAFQ"/>
    <s v="Female"/>
    <x v="2"/>
    <n v="72"/>
    <x v="1"/>
    <x v="1"/>
    <n v="107.4"/>
    <n v="7748.75"/>
    <x v="0"/>
    <s v="Yes"/>
    <x v="2"/>
    <n v="7748.75"/>
    <x v="2"/>
    <s v="High Spend"/>
  </r>
  <r>
    <s v="3647-GMGDH"/>
    <s v="Male"/>
    <x v="0"/>
    <n v="22"/>
    <x v="1"/>
    <x v="0"/>
    <n v="94.7"/>
    <n v="1914.9"/>
    <x v="1"/>
    <s v="Yes"/>
    <x v="3"/>
    <n v="1914.9"/>
    <x v="1"/>
    <s v="Standard Spend"/>
  </r>
  <r>
    <s v="2988-GBIVW"/>
    <s v="Female"/>
    <x v="0"/>
    <n v="70"/>
    <x v="1"/>
    <x v="0"/>
    <n v="90.85"/>
    <n v="6470.1"/>
    <x v="0"/>
    <s v="Yes"/>
    <x v="0"/>
    <n v="6470.1"/>
    <x v="2"/>
    <s v="High Spend"/>
  </r>
  <r>
    <s v="2832-SCUCO"/>
    <s v="Female"/>
    <x v="0"/>
    <n v="2"/>
    <x v="2"/>
    <x v="2"/>
    <n v="19.899999999999999"/>
    <n v="57.4"/>
    <x v="0"/>
    <s v="No"/>
    <x v="0"/>
    <n v="57.4"/>
    <x v="0"/>
    <s v="Standard Spend"/>
  </r>
  <r>
    <s v="7036-ZZKBD"/>
    <s v="Male"/>
    <x v="0"/>
    <n v="31"/>
    <x v="0"/>
    <x v="1"/>
    <n v="66.400000000000006"/>
    <n v="2019.8"/>
    <x v="0"/>
    <s v="Yes"/>
    <x v="3"/>
    <n v="2019.8"/>
    <x v="1"/>
    <s v="Standard Spend"/>
  </r>
  <r>
    <s v="3791-LGQCY"/>
    <s v="Female"/>
    <x v="0"/>
    <n v="56"/>
    <x v="1"/>
    <x v="0"/>
    <n v="100.65"/>
    <n v="5688.05"/>
    <x v="1"/>
    <s v="Yes"/>
    <x v="2"/>
    <n v="5688.05"/>
    <x v="2"/>
    <s v="High Spend"/>
  </r>
  <r>
    <s v="0265-PSUAE"/>
    <s v="Female"/>
    <x v="0"/>
    <n v="16"/>
    <x v="1"/>
    <x v="0"/>
    <n v="100.7"/>
    <n v="1522.7"/>
    <x v="0"/>
    <s v="No"/>
    <x v="2"/>
    <n v="1522.7"/>
    <x v="1"/>
    <s v="Standard Spend"/>
  </r>
  <r>
    <s v="0463-TXOAK"/>
    <s v="Male"/>
    <x v="2"/>
    <n v="52"/>
    <x v="2"/>
    <x v="2"/>
    <n v="25.6"/>
    <n v="1334.5"/>
    <x v="0"/>
    <s v="No"/>
    <x v="3"/>
    <n v="1334.5"/>
    <x v="2"/>
    <s v="Standard Spend"/>
  </r>
  <r>
    <s v="0594-UFTUL"/>
    <s v="Male"/>
    <x v="0"/>
    <n v="13"/>
    <x v="2"/>
    <x v="2"/>
    <n v="19.850000000000001"/>
    <n v="252"/>
    <x v="0"/>
    <s v="Yes"/>
    <x v="1"/>
    <n v="252"/>
    <x v="1"/>
    <s v="Standard Spend"/>
  </r>
  <r>
    <s v="9509-MPYOD"/>
    <s v="Female"/>
    <x v="1"/>
    <n v="35"/>
    <x v="2"/>
    <x v="2"/>
    <n v="20.75"/>
    <n v="700.45"/>
    <x v="0"/>
    <s v="No"/>
    <x v="1"/>
    <n v="700.45"/>
    <x v="1"/>
    <s v="Standard Spend"/>
  </r>
  <r>
    <s v="9128-CPXKI"/>
    <s v="Female"/>
    <x v="2"/>
    <n v="59"/>
    <x v="1"/>
    <x v="0"/>
    <n v="95.8"/>
    <n v="5655.45"/>
    <x v="0"/>
    <s v="No"/>
    <x v="0"/>
    <n v="5655.45"/>
    <x v="2"/>
    <s v="High Spend"/>
  </r>
  <r>
    <s v="0129-KPTWJ"/>
    <s v="Male"/>
    <x v="0"/>
    <n v="72"/>
    <x v="1"/>
    <x v="0"/>
    <n v="94.65"/>
    <n v="6747.35"/>
    <x v="0"/>
    <s v="Yes"/>
    <x v="0"/>
    <n v="6747.35"/>
    <x v="2"/>
    <s v="High Spend"/>
  </r>
  <r>
    <s v="8166-ZZTFS"/>
    <s v="Female"/>
    <x v="2"/>
    <n v="66"/>
    <x v="0"/>
    <x v="0"/>
    <n v="80.55"/>
    <n v="5265.1"/>
    <x v="1"/>
    <s v="Yes"/>
    <x v="2"/>
    <n v="5265.1"/>
    <x v="2"/>
    <s v="High Spend"/>
  </r>
  <r>
    <s v="5855-EIBDE"/>
    <s v="Female"/>
    <x v="2"/>
    <n v="49"/>
    <x v="1"/>
    <x v="1"/>
    <n v="106.65"/>
    <n v="5174.3500000000004"/>
    <x v="0"/>
    <s v="No"/>
    <x v="3"/>
    <n v="5174.3500000000004"/>
    <x v="2"/>
    <s v="High Spend"/>
  </r>
  <r>
    <s v="5365-LLFYV"/>
    <s v="Female"/>
    <x v="0"/>
    <n v="2"/>
    <x v="0"/>
    <x v="0"/>
    <n v="45.85"/>
    <n v="105.6"/>
    <x v="0"/>
    <s v="Yes"/>
    <x v="1"/>
    <n v="105.6"/>
    <x v="0"/>
    <s v="Standard Spend"/>
  </r>
  <r>
    <s v="5956-YHHRX"/>
    <s v="Male"/>
    <x v="0"/>
    <n v="21"/>
    <x v="1"/>
    <x v="0"/>
    <n v="104.35"/>
    <n v="2271.85"/>
    <x v="0"/>
    <s v="Yes"/>
    <x v="0"/>
    <n v="2271.85"/>
    <x v="1"/>
    <s v="Standard Spend"/>
  </r>
  <r>
    <s v="6008-NAIXK"/>
    <s v="Male"/>
    <x v="1"/>
    <n v="54"/>
    <x v="0"/>
    <x v="0"/>
    <n v="55.45"/>
    <n v="2966.95"/>
    <x v="0"/>
    <s v="Yes"/>
    <x v="0"/>
    <n v="2966.95"/>
    <x v="2"/>
    <s v="High Spend"/>
  </r>
  <r>
    <s v="2956-GGUCQ"/>
    <s v="Male"/>
    <x v="0"/>
    <n v="24"/>
    <x v="1"/>
    <x v="0"/>
    <n v="78.849999999999994"/>
    <n v="1772.25"/>
    <x v="1"/>
    <s v="Yes"/>
    <x v="0"/>
    <n v="1772.25"/>
    <x v="1"/>
    <s v="Standard Spend"/>
  </r>
  <r>
    <s v="1928-BXYIV"/>
    <s v="Male"/>
    <x v="0"/>
    <n v="1"/>
    <x v="0"/>
    <x v="0"/>
    <n v="61.15"/>
    <n v="61.15"/>
    <x v="0"/>
    <s v="No"/>
    <x v="0"/>
    <n v="61.15"/>
    <x v="0"/>
    <s v="Standard Spend"/>
  </r>
  <r>
    <s v="5760-FXFVO"/>
    <s v="Male"/>
    <x v="0"/>
    <n v="6"/>
    <x v="1"/>
    <x v="0"/>
    <n v="78.95"/>
    <n v="494.95"/>
    <x v="0"/>
    <s v="Yes"/>
    <x v="0"/>
    <n v="494.95"/>
    <x v="0"/>
    <s v="Standard Spend"/>
  </r>
  <r>
    <s v="6595-COKXZ"/>
    <s v="Female"/>
    <x v="0"/>
    <n v="1"/>
    <x v="0"/>
    <x v="0"/>
    <n v="44.45"/>
    <n v="44.45"/>
    <x v="1"/>
    <s v="Yes"/>
    <x v="1"/>
    <n v="44.45"/>
    <x v="0"/>
    <s v="Standard Spend"/>
  </r>
  <r>
    <s v="0961-ZWLVI"/>
    <s v="Male"/>
    <x v="1"/>
    <n v="49"/>
    <x v="1"/>
    <x v="0"/>
    <n v="109.2"/>
    <n v="5290.45"/>
    <x v="0"/>
    <s v="Yes"/>
    <x v="3"/>
    <n v="5290.45"/>
    <x v="2"/>
    <s v="High Spend"/>
  </r>
  <r>
    <s v="5181-OABFK"/>
    <s v="Female"/>
    <x v="2"/>
    <n v="56"/>
    <x v="0"/>
    <x v="0"/>
    <n v="61.3"/>
    <n v="3346.8"/>
    <x v="0"/>
    <s v="Yes"/>
    <x v="3"/>
    <n v="3346.8"/>
    <x v="2"/>
    <s v="High Spend"/>
  </r>
  <r>
    <s v="4007-NHVHI"/>
    <s v="Female"/>
    <x v="0"/>
    <n v="56"/>
    <x v="1"/>
    <x v="0"/>
    <n v="96.85"/>
    <n v="5219.6499999999996"/>
    <x v="0"/>
    <s v="Yes"/>
    <x v="0"/>
    <n v="5219.6499999999996"/>
    <x v="2"/>
    <s v="High Spend"/>
  </r>
  <r>
    <s v="7816-VGHTO"/>
    <s v="Female"/>
    <x v="2"/>
    <n v="6"/>
    <x v="0"/>
    <x v="1"/>
    <n v="40.549999999999997"/>
    <n v="217.5"/>
    <x v="0"/>
    <s v="No"/>
    <x v="1"/>
    <n v="217.5"/>
    <x v="0"/>
    <s v="Standard Spend"/>
  </r>
  <r>
    <s v="5871-DGTXZ"/>
    <s v="Male"/>
    <x v="1"/>
    <n v="32"/>
    <x v="2"/>
    <x v="2"/>
    <n v="19.8"/>
    <n v="607.70000000000005"/>
    <x v="0"/>
    <s v="No"/>
    <x v="1"/>
    <n v="607.70000000000005"/>
    <x v="1"/>
    <s v="Standard Spend"/>
  </r>
  <r>
    <s v="7550-WIQVA"/>
    <s v="Male"/>
    <x v="1"/>
    <n v="50"/>
    <x v="1"/>
    <x v="0"/>
    <n v="108.25"/>
    <n v="5431.4"/>
    <x v="0"/>
    <s v="Yes"/>
    <x v="0"/>
    <n v="5431.4"/>
    <x v="2"/>
    <s v="High Spend"/>
  </r>
  <r>
    <s v="7544-ZVIKX"/>
    <s v="Male"/>
    <x v="1"/>
    <n v="58"/>
    <x v="1"/>
    <x v="1"/>
    <n v="105.05"/>
    <n v="6004.85"/>
    <x v="0"/>
    <s v="Yes"/>
    <x v="2"/>
    <n v="6004.85"/>
    <x v="2"/>
    <s v="High Spend"/>
  </r>
  <r>
    <s v="0016-QLJIS"/>
    <s v="Female"/>
    <x v="2"/>
    <n v="65"/>
    <x v="0"/>
    <x v="1"/>
    <n v="90.45"/>
    <n v="5957.9"/>
    <x v="0"/>
    <s v="Yes"/>
    <x v="1"/>
    <n v="5957.9"/>
    <x v="2"/>
    <s v="High Spend"/>
  </r>
  <r>
    <s v="7508-DQAKK"/>
    <s v="Female"/>
    <x v="2"/>
    <n v="64"/>
    <x v="0"/>
    <x v="1"/>
    <n v="86.4"/>
    <n v="5442.05"/>
    <x v="0"/>
    <s v="Yes"/>
    <x v="3"/>
    <n v="5442.05"/>
    <x v="2"/>
    <s v="High Spend"/>
  </r>
  <r>
    <s v="5176-OLSKT"/>
    <s v="Female"/>
    <x v="2"/>
    <n v="66"/>
    <x v="0"/>
    <x v="0"/>
    <n v="66.900000000000006"/>
    <n v="4370.25"/>
    <x v="0"/>
    <s v="No"/>
    <x v="2"/>
    <n v="4370.25"/>
    <x v="2"/>
    <s v="High Spend"/>
  </r>
  <r>
    <s v="9356-AXGMP"/>
    <s v="Male"/>
    <x v="1"/>
    <n v="38"/>
    <x v="1"/>
    <x v="1"/>
    <n v="110.7"/>
    <n v="4428.6000000000004"/>
    <x v="0"/>
    <s v="Yes"/>
    <x v="0"/>
    <n v="4428.6000000000004"/>
    <x v="2"/>
    <s v="High Spend"/>
  </r>
  <r>
    <s v="3556-BVQGL"/>
    <s v="Female"/>
    <x v="1"/>
    <n v="20"/>
    <x v="2"/>
    <x v="2"/>
    <n v="20"/>
    <n v="416.45"/>
    <x v="0"/>
    <s v="Yes"/>
    <x v="1"/>
    <n v="416.45"/>
    <x v="1"/>
    <s v="Standard Spend"/>
  </r>
  <r>
    <s v="0362-ZBZWJ"/>
    <s v="Male"/>
    <x v="0"/>
    <n v="36"/>
    <x v="1"/>
    <x v="0"/>
    <n v="84.9"/>
    <n v="3067.2"/>
    <x v="1"/>
    <s v="Yes"/>
    <x v="0"/>
    <n v="3067.2"/>
    <x v="1"/>
    <s v="High Spend"/>
  </r>
  <r>
    <s v="8979-CAMGB"/>
    <s v="Male"/>
    <x v="1"/>
    <n v="64"/>
    <x v="1"/>
    <x v="1"/>
    <n v="102.1"/>
    <n v="6688.1"/>
    <x v="0"/>
    <s v="No"/>
    <x v="0"/>
    <n v="6688.1"/>
    <x v="2"/>
    <s v="High Spend"/>
  </r>
  <r>
    <s v="4211-MMAZN"/>
    <s v="Male"/>
    <x v="0"/>
    <n v="1"/>
    <x v="2"/>
    <x v="2"/>
    <n v="20.25"/>
    <n v="20.25"/>
    <x v="1"/>
    <s v="No"/>
    <x v="1"/>
    <n v="20.25"/>
    <x v="0"/>
    <s v="Standard Spend"/>
  </r>
  <r>
    <s v="7581-EBBOU"/>
    <s v="Female"/>
    <x v="1"/>
    <n v="60"/>
    <x v="0"/>
    <x v="1"/>
    <n v="70.150000000000006"/>
    <n v="4224.7"/>
    <x v="0"/>
    <s v="Yes"/>
    <x v="3"/>
    <n v="4224.7"/>
    <x v="2"/>
    <s v="High Spend"/>
  </r>
  <r>
    <s v="4274-OWWYO"/>
    <s v="Male"/>
    <x v="0"/>
    <n v="1"/>
    <x v="1"/>
    <x v="0"/>
    <n v="74.349999999999994"/>
    <n v="74.349999999999994"/>
    <x v="1"/>
    <s v="Yes"/>
    <x v="0"/>
    <n v="74.349999999999994"/>
    <x v="0"/>
    <s v="Standard Spend"/>
  </r>
  <r>
    <s v="5073-RZGBK"/>
    <s v="Female"/>
    <x v="1"/>
    <n v="50"/>
    <x v="0"/>
    <x v="1"/>
    <n v="80.05"/>
    <n v="4042.2"/>
    <x v="0"/>
    <s v="Yes"/>
    <x v="2"/>
    <n v="4042.2"/>
    <x v="2"/>
    <s v="High Spend"/>
  </r>
  <r>
    <s v="1541-ETJZO"/>
    <s v="Male"/>
    <x v="0"/>
    <n v="1"/>
    <x v="0"/>
    <x v="1"/>
    <n v="62.05"/>
    <n v="62.05"/>
    <x v="1"/>
    <s v="No"/>
    <x v="1"/>
    <n v="62.05"/>
    <x v="0"/>
    <s v="Standard Spend"/>
  </r>
  <r>
    <s v="2192-CKRLV"/>
    <s v="Female"/>
    <x v="2"/>
    <n v="72"/>
    <x v="0"/>
    <x v="0"/>
    <n v="49.2"/>
    <n v="3580.95"/>
    <x v="0"/>
    <s v="Yes"/>
    <x v="0"/>
    <n v="3580.95"/>
    <x v="2"/>
    <s v="High Spend"/>
  </r>
  <r>
    <s v="3154-HMWUU"/>
    <s v="Male"/>
    <x v="2"/>
    <n v="60"/>
    <x v="2"/>
    <x v="2"/>
    <n v="20.5"/>
    <n v="1198.8"/>
    <x v="0"/>
    <s v="Yes"/>
    <x v="2"/>
    <n v="1198.8"/>
    <x v="2"/>
    <s v="Standard Spend"/>
  </r>
  <r>
    <s v="6119-SPUDB"/>
    <s v="Male"/>
    <x v="2"/>
    <n v="46"/>
    <x v="0"/>
    <x v="1"/>
    <n v="38.25"/>
    <n v="1755.35"/>
    <x v="0"/>
    <s v="No"/>
    <x v="1"/>
    <n v="1755.35"/>
    <x v="2"/>
    <s v="Standard Spend"/>
  </r>
  <r>
    <s v="6522-OIQSX"/>
    <s v="Female"/>
    <x v="2"/>
    <n v="69"/>
    <x v="0"/>
    <x v="0"/>
    <n v="54.95"/>
    <n v="3772.5"/>
    <x v="0"/>
    <s v="Yes"/>
    <x v="3"/>
    <n v="3772.5"/>
    <x v="2"/>
    <s v="High Spend"/>
  </r>
  <r>
    <s v="7813-ZGGAW"/>
    <s v="Male"/>
    <x v="0"/>
    <n v="31"/>
    <x v="1"/>
    <x v="1"/>
    <n v="96.6"/>
    <n v="2877.95"/>
    <x v="0"/>
    <s v="Yes"/>
    <x v="2"/>
    <n v="2877.95"/>
    <x v="1"/>
    <s v="High Spend"/>
  </r>
  <r>
    <s v="8748-HFWBO"/>
    <s v="Male"/>
    <x v="1"/>
    <n v="19"/>
    <x v="2"/>
    <x v="2"/>
    <n v="19.899999999999999"/>
    <n v="357.7"/>
    <x v="0"/>
    <s v="No"/>
    <x v="1"/>
    <n v="357.7"/>
    <x v="1"/>
    <s v="Standard Spend"/>
  </r>
  <r>
    <s v="1052-QJIBV"/>
    <s v="Female"/>
    <x v="2"/>
    <n v="71"/>
    <x v="2"/>
    <x v="2"/>
    <n v="19.899999999999999"/>
    <n v="1397.3"/>
    <x v="0"/>
    <s v="No"/>
    <x v="3"/>
    <n v="1397.3"/>
    <x v="2"/>
    <s v="Standard Spend"/>
  </r>
  <r>
    <s v="1319-YLZJG"/>
    <s v="Male"/>
    <x v="0"/>
    <n v="12"/>
    <x v="1"/>
    <x v="0"/>
    <n v="84.6"/>
    <n v="959.9"/>
    <x v="0"/>
    <s v="Yes"/>
    <x v="0"/>
    <n v="959.9"/>
    <x v="0"/>
    <s v="Standard Spend"/>
  </r>
  <r>
    <s v="4106-HADHQ"/>
    <s v="Male"/>
    <x v="1"/>
    <n v="39"/>
    <x v="0"/>
    <x v="1"/>
    <n v="80"/>
    <n v="3182.95"/>
    <x v="1"/>
    <s v="No"/>
    <x v="3"/>
    <n v="3182.95"/>
    <x v="2"/>
    <s v="High Spend"/>
  </r>
  <r>
    <s v="0723-FDLAY"/>
    <s v="Male"/>
    <x v="1"/>
    <n v="44"/>
    <x v="0"/>
    <x v="1"/>
    <n v="85.25"/>
    <n v="3704.15"/>
    <x v="0"/>
    <s v="Yes"/>
    <x v="2"/>
    <n v="3704.15"/>
    <x v="2"/>
    <s v="High Spend"/>
  </r>
  <r>
    <s v="3050-RLLXC"/>
    <s v="Female"/>
    <x v="2"/>
    <n v="56"/>
    <x v="0"/>
    <x v="1"/>
    <n v="81.25"/>
    <n v="4620.3999999999996"/>
    <x v="0"/>
    <s v="No"/>
    <x v="3"/>
    <n v="4620.3999999999996"/>
    <x v="2"/>
    <s v="High Spend"/>
  </r>
  <r>
    <s v="9298-WGMRW"/>
    <s v="Female"/>
    <x v="2"/>
    <n v="72"/>
    <x v="1"/>
    <x v="1"/>
    <n v="115.5"/>
    <n v="8312.75"/>
    <x v="0"/>
    <s v="Yes"/>
    <x v="2"/>
    <n v="8312.75"/>
    <x v="2"/>
    <s v="High Spend"/>
  </r>
  <r>
    <s v="2369-UAPKZ"/>
    <s v="Male"/>
    <x v="0"/>
    <n v="5"/>
    <x v="1"/>
    <x v="0"/>
    <n v="104.1"/>
    <n v="541.9"/>
    <x v="1"/>
    <s v="No"/>
    <x v="1"/>
    <n v="541.9"/>
    <x v="0"/>
    <s v="Standard Spend"/>
  </r>
  <r>
    <s v="3088-LHEFH"/>
    <s v="Female"/>
    <x v="0"/>
    <n v="11"/>
    <x v="1"/>
    <x v="0"/>
    <n v="79"/>
    <n v="929.3"/>
    <x v="0"/>
    <s v="Yes"/>
    <x v="2"/>
    <n v="929.3"/>
    <x v="0"/>
    <s v="Standard Spend"/>
  </r>
  <r>
    <s v="2778-OCLGR"/>
    <s v="Male"/>
    <x v="0"/>
    <n v="24"/>
    <x v="0"/>
    <x v="0"/>
    <n v="39.1"/>
    <n v="971.3"/>
    <x v="1"/>
    <s v="No"/>
    <x v="2"/>
    <n v="971.3"/>
    <x v="1"/>
    <s v="Standard Spend"/>
  </r>
  <r>
    <s v="6583-KQJLK"/>
    <s v="Female"/>
    <x v="0"/>
    <n v="15"/>
    <x v="1"/>
    <x v="0"/>
    <n v="94.65"/>
    <n v="1285.05"/>
    <x v="0"/>
    <s v="Yes"/>
    <x v="0"/>
    <n v="1285.05"/>
    <x v="1"/>
    <s v="Standard Spend"/>
  </r>
  <r>
    <s v="8544-JNBOX"/>
    <s v="Male"/>
    <x v="2"/>
    <n v="72"/>
    <x v="2"/>
    <x v="2"/>
    <n v="20.8"/>
    <n v="1521.2"/>
    <x v="0"/>
    <s v="Yes"/>
    <x v="1"/>
    <n v="1521.2"/>
    <x v="2"/>
    <s v="Standard Spend"/>
  </r>
  <r>
    <s v="6681-ZSEXG"/>
    <s v="Male"/>
    <x v="2"/>
    <n v="56"/>
    <x v="0"/>
    <x v="0"/>
    <n v="59.5"/>
    <n v="3389.25"/>
    <x v="0"/>
    <s v="No"/>
    <x v="3"/>
    <n v="3389.25"/>
    <x v="2"/>
    <s v="High Spend"/>
  </r>
  <r>
    <s v="6139-ZZRBQ"/>
    <s v="Male"/>
    <x v="2"/>
    <n v="64"/>
    <x v="2"/>
    <x v="2"/>
    <n v="20.05"/>
    <n v="1198.05"/>
    <x v="0"/>
    <s v="Yes"/>
    <x v="2"/>
    <n v="1198.05"/>
    <x v="2"/>
    <s v="Standard Spend"/>
  </r>
  <r>
    <s v="6116-RFVHN"/>
    <s v="Female"/>
    <x v="0"/>
    <n v="34"/>
    <x v="1"/>
    <x v="0"/>
    <n v="100.45"/>
    <n v="3414.65"/>
    <x v="0"/>
    <s v="Yes"/>
    <x v="0"/>
    <n v="3414.65"/>
    <x v="1"/>
    <s v="High Spend"/>
  </r>
  <r>
    <s v="0637-KVDLV"/>
    <s v="Male"/>
    <x v="0"/>
    <n v="2"/>
    <x v="1"/>
    <x v="0"/>
    <n v="76.5"/>
    <n v="162.44999999999999"/>
    <x v="1"/>
    <s v="Yes"/>
    <x v="0"/>
    <n v="162.44999999999999"/>
    <x v="0"/>
    <s v="Standard Spend"/>
  </r>
  <r>
    <s v="8884-FEEWR"/>
    <s v="Male"/>
    <x v="1"/>
    <n v="35"/>
    <x v="2"/>
    <x v="2"/>
    <n v="20.6"/>
    <n v="754"/>
    <x v="0"/>
    <s v="No"/>
    <x v="2"/>
    <n v="754"/>
    <x v="1"/>
    <s v="Standard Spend"/>
  </r>
  <r>
    <s v="3125-RAHBV"/>
    <s v="Male"/>
    <x v="1"/>
    <n v="22"/>
    <x v="2"/>
    <x v="2"/>
    <n v="20.3"/>
    <n v="467.15"/>
    <x v="0"/>
    <s v="No"/>
    <x v="3"/>
    <n v="467.15"/>
    <x v="1"/>
    <s v="Standard Spend"/>
  </r>
  <r>
    <s v="6633-MPWBS"/>
    <s v="Male"/>
    <x v="0"/>
    <n v="5"/>
    <x v="0"/>
    <x v="1"/>
    <n v="49.2"/>
    <n v="216.9"/>
    <x v="1"/>
    <s v="Yes"/>
    <x v="0"/>
    <n v="216.9"/>
    <x v="0"/>
    <s v="Standard Spend"/>
  </r>
  <r>
    <s v="0373-AIVNJ"/>
    <s v="Male"/>
    <x v="1"/>
    <n v="9"/>
    <x v="0"/>
    <x v="0"/>
    <n v="39.549999999999997"/>
    <n v="373"/>
    <x v="0"/>
    <s v="No"/>
    <x v="1"/>
    <n v="373"/>
    <x v="0"/>
    <s v="Standard Spend"/>
  </r>
  <r>
    <s v="8785-EPNCG"/>
    <s v="Male"/>
    <x v="0"/>
    <n v="11"/>
    <x v="2"/>
    <x v="2"/>
    <n v="23.15"/>
    <n v="245.2"/>
    <x v="1"/>
    <s v="No"/>
    <x v="3"/>
    <n v="245.2"/>
    <x v="0"/>
    <s v="Standard Spend"/>
  </r>
  <r>
    <s v="1682-VCOIO"/>
    <s v="Male"/>
    <x v="1"/>
    <n v="23"/>
    <x v="2"/>
    <x v="2"/>
    <n v="20.45"/>
    <n v="481.1"/>
    <x v="0"/>
    <s v="No"/>
    <x v="1"/>
    <n v="481.1"/>
    <x v="1"/>
    <s v="Standard Spend"/>
  </r>
  <r>
    <s v="5729-KLZAR"/>
    <s v="Female"/>
    <x v="0"/>
    <n v="4"/>
    <x v="1"/>
    <x v="0"/>
    <n v="80.849999999999994"/>
    <n v="302.75"/>
    <x v="1"/>
    <s v="No"/>
    <x v="0"/>
    <n v="302.75"/>
    <x v="0"/>
    <s v="Standard Spend"/>
  </r>
  <r>
    <s v="2072-ZVJJX"/>
    <s v="Male"/>
    <x v="2"/>
    <n v="68"/>
    <x v="2"/>
    <x v="2"/>
    <n v="25.25"/>
    <n v="1728.2"/>
    <x v="0"/>
    <s v="No"/>
    <x v="2"/>
    <n v="1728.2"/>
    <x v="2"/>
    <s v="Standard Spend"/>
  </r>
  <r>
    <s v="8849-AYPTR"/>
    <s v="Male"/>
    <x v="0"/>
    <n v="33"/>
    <x v="1"/>
    <x v="0"/>
    <n v="91.25"/>
    <n v="2964.05"/>
    <x v="0"/>
    <s v="No"/>
    <x v="0"/>
    <n v="2964.05"/>
    <x v="1"/>
    <s v="High Spend"/>
  </r>
  <r>
    <s v="9518-IMLHK"/>
    <s v="Male"/>
    <x v="0"/>
    <n v="31"/>
    <x v="0"/>
    <x v="1"/>
    <n v="72.45"/>
    <n v="2156.25"/>
    <x v="0"/>
    <s v="Yes"/>
    <x v="2"/>
    <n v="2156.25"/>
    <x v="1"/>
    <s v="Standard Spend"/>
  </r>
  <r>
    <s v="1582-RAFML"/>
    <s v="Male"/>
    <x v="0"/>
    <n v="1"/>
    <x v="0"/>
    <x v="1"/>
    <n v="60.1"/>
    <n v="60.1"/>
    <x v="1"/>
    <s v="No"/>
    <x v="1"/>
    <n v="60.1"/>
    <x v="0"/>
    <s v="Standard Spend"/>
  </r>
  <r>
    <s v="3646-ITDGM"/>
    <s v="Female"/>
    <x v="2"/>
    <n v="56"/>
    <x v="2"/>
    <x v="2"/>
    <n v="19.7"/>
    <n v="1051.9000000000001"/>
    <x v="0"/>
    <s v="No"/>
    <x v="2"/>
    <n v="1051.9000000000001"/>
    <x v="2"/>
    <s v="Standard Spend"/>
  </r>
  <r>
    <s v="8740-CRYFY"/>
    <s v="Male"/>
    <x v="0"/>
    <n v="1"/>
    <x v="1"/>
    <x v="0"/>
    <n v="78.95"/>
    <n v="78.95"/>
    <x v="1"/>
    <s v="Yes"/>
    <x v="0"/>
    <n v="78.95"/>
    <x v="0"/>
    <s v="Standard Spend"/>
  </r>
  <r>
    <s v="3569-VLDHH"/>
    <s v="Male"/>
    <x v="1"/>
    <n v="66"/>
    <x v="0"/>
    <x v="1"/>
    <n v="75.099999999999994"/>
    <n v="5013"/>
    <x v="0"/>
    <s v="Yes"/>
    <x v="0"/>
    <n v="5013"/>
    <x v="2"/>
    <s v="High Spend"/>
  </r>
  <r>
    <s v="8224-KDLKN"/>
    <s v="Male"/>
    <x v="2"/>
    <n v="72"/>
    <x v="2"/>
    <x v="2"/>
    <n v="25"/>
    <n v="1738.9"/>
    <x v="0"/>
    <s v="No"/>
    <x v="2"/>
    <n v="1738.9"/>
    <x v="2"/>
    <s v="Standard Spend"/>
  </r>
  <r>
    <s v="7594-LZNWR"/>
    <s v="Male"/>
    <x v="0"/>
    <n v="34"/>
    <x v="1"/>
    <x v="0"/>
    <n v="69.150000000000006"/>
    <n v="2275.1"/>
    <x v="0"/>
    <s v="No"/>
    <x v="3"/>
    <n v="2275.1"/>
    <x v="1"/>
    <s v="Standard Spend"/>
  </r>
  <r>
    <s v="4001-TSBTV"/>
    <s v="Female"/>
    <x v="0"/>
    <n v="58"/>
    <x v="1"/>
    <x v="0"/>
    <n v="91.55"/>
    <n v="5511.65"/>
    <x v="0"/>
    <s v="Yes"/>
    <x v="0"/>
    <n v="5511.65"/>
    <x v="2"/>
    <s v="High Spend"/>
  </r>
  <r>
    <s v="2962-XPMCQ"/>
    <s v="Male"/>
    <x v="0"/>
    <n v="2"/>
    <x v="0"/>
    <x v="0"/>
    <n v="45.15"/>
    <n v="98.5"/>
    <x v="1"/>
    <s v="Yes"/>
    <x v="0"/>
    <n v="98.5"/>
    <x v="0"/>
    <s v="Standard Spend"/>
  </r>
  <r>
    <s v="8727-XDPUD"/>
    <s v="Male"/>
    <x v="2"/>
    <n v="37"/>
    <x v="0"/>
    <x v="0"/>
    <n v="35.799999999999997"/>
    <n v="1316.9"/>
    <x v="0"/>
    <s v="No"/>
    <x v="3"/>
    <n v="1316.9"/>
    <x v="2"/>
    <s v="Standard Spend"/>
  </r>
  <r>
    <s v="1043-UXOVO"/>
    <s v="Female"/>
    <x v="2"/>
    <n v="71"/>
    <x v="1"/>
    <x v="1"/>
    <n v="113.15"/>
    <n v="7993.3"/>
    <x v="0"/>
    <s v="Yes"/>
    <x v="3"/>
    <n v="7993.3"/>
    <x v="2"/>
    <s v="High Spend"/>
  </r>
  <r>
    <s v="1064-FBXNK"/>
    <s v="Male"/>
    <x v="1"/>
    <n v="1"/>
    <x v="2"/>
    <x v="2"/>
    <n v="19.850000000000001"/>
    <n v="19.850000000000001"/>
    <x v="0"/>
    <s v="No"/>
    <x v="3"/>
    <n v="19.850000000000001"/>
    <x v="0"/>
    <s v="Standard Spend"/>
  </r>
  <r>
    <s v="3996-ZNWYK"/>
    <s v="Male"/>
    <x v="2"/>
    <n v="71"/>
    <x v="2"/>
    <x v="2"/>
    <n v="19.8"/>
    <n v="1388.45"/>
    <x v="0"/>
    <s v="No"/>
    <x v="3"/>
    <n v="1388.45"/>
    <x v="2"/>
    <s v="Standard Spend"/>
  </r>
  <r>
    <s v="2878-DHMIN"/>
    <s v="Male"/>
    <x v="1"/>
    <n v="35"/>
    <x v="2"/>
    <x v="2"/>
    <n v="19.899999999999999"/>
    <n v="666"/>
    <x v="0"/>
    <s v="No"/>
    <x v="0"/>
    <n v="666"/>
    <x v="1"/>
    <s v="Standard Spend"/>
  </r>
  <r>
    <s v="7762-ONLJY"/>
    <s v="Female"/>
    <x v="1"/>
    <n v="6"/>
    <x v="2"/>
    <x v="2"/>
    <n v="19.7"/>
    <n v="94.45"/>
    <x v="0"/>
    <s v="No"/>
    <x v="1"/>
    <n v="94.45"/>
    <x v="0"/>
    <s v="Standard Spend"/>
  </r>
  <r>
    <s v="1678-FYZOW"/>
    <s v="Female"/>
    <x v="0"/>
    <n v="3"/>
    <x v="1"/>
    <x v="0"/>
    <n v="79.400000000000006"/>
    <n v="244.65"/>
    <x v="1"/>
    <s v="Yes"/>
    <x v="0"/>
    <n v="244.65"/>
    <x v="0"/>
    <s v="Standard Spend"/>
  </r>
  <r>
    <s v="5795-BKOYE"/>
    <s v="Female"/>
    <x v="1"/>
    <n v="69"/>
    <x v="0"/>
    <x v="1"/>
    <n v="59.1"/>
    <n v="4134.7"/>
    <x v="0"/>
    <s v="No"/>
    <x v="2"/>
    <n v="4134.7"/>
    <x v="2"/>
    <s v="High Spend"/>
  </r>
  <r>
    <s v="8627-EHGIP"/>
    <s v="Male"/>
    <x v="1"/>
    <n v="44"/>
    <x v="0"/>
    <x v="0"/>
    <n v="53.95"/>
    <n v="2375.4"/>
    <x v="1"/>
    <s v="Yes"/>
    <x v="1"/>
    <n v="2375.4"/>
    <x v="2"/>
    <s v="Standard Spend"/>
  </r>
  <r>
    <s v="7402-PWYJJ"/>
    <s v="Female"/>
    <x v="1"/>
    <n v="53"/>
    <x v="1"/>
    <x v="1"/>
    <n v="91.15"/>
    <n v="4862.5"/>
    <x v="0"/>
    <s v="Yes"/>
    <x v="0"/>
    <n v="4862.5"/>
    <x v="2"/>
    <s v="High Spend"/>
  </r>
  <r>
    <s v="5480-TBGPH"/>
    <s v="Female"/>
    <x v="0"/>
    <n v="24"/>
    <x v="1"/>
    <x v="0"/>
    <n v="99.3"/>
    <n v="2431.35"/>
    <x v="1"/>
    <s v="Yes"/>
    <x v="3"/>
    <n v="2431.35"/>
    <x v="1"/>
    <s v="Standard Spend"/>
  </r>
  <r>
    <s v="0018-NYROU"/>
    <s v="Female"/>
    <x v="0"/>
    <n v="5"/>
    <x v="1"/>
    <x v="0"/>
    <n v="68.95"/>
    <n v="351.5"/>
    <x v="0"/>
    <s v="Yes"/>
    <x v="0"/>
    <n v="351.5"/>
    <x v="0"/>
    <s v="Standard Spend"/>
  </r>
  <r>
    <s v="7501-VTYLJ"/>
    <s v="Female"/>
    <x v="0"/>
    <n v="2"/>
    <x v="0"/>
    <x v="0"/>
    <n v="51.55"/>
    <n v="106.2"/>
    <x v="0"/>
    <s v="No"/>
    <x v="1"/>
    <n v="106.2"/>
    <x v="0"/>
    <s v="Standard Spend"/>
  </r>
  <r>
    <s v="7608-RGIRO"/>
    <s v="Male"/>
    <x v="2"/>
    <n v="62"/>
    <x v="2"/>
    <x v="2"/>
    <n v="24.4"/>
    <n v="1413"/>
    <x v="0"/>
    <s v="Yes"/>
    <x v="1"/>
    <n v="1413"/>
    <x v="2"/>
    <s v="Standard Spend"/>
  </r>
  <r>
    <s v="0480-BIXDE"/>
    <s v="Female"/>
    <x v="0"/>
    <n v="19"/>
    <x v="1"/>
    <x v="0"/>
    <n v="96.8"/>
    <n v="1743.05"/>
    <x v="0"/>
    <s v="Yes"/>
    <x v="0"/>
    <n v="1743.05"/>
    <x v="1"/>
    <s v="Standard Spend"/>
  </r>
  <r>
    <s v="5895-QSXOD"/>
    <s v="Male"/>
    <x v="0"/>
    <n v="9"/>
    <x v="1"/>
    <x v="0"/>
    <n v="70.05"/>
    <n v="657.5"/>
    <x v="0"/>
    <s v="No"/>
    <x v="1"/>
    <n v="657.5"/>
    <x v="0"/>
    <s v="Standard Spend"/>
  </r>
  <r>
    <s v="9814-AOUDH"/>
    <s v="Male"/>
    <x v="2"/>
    <n v="53"/>
    <x v="2"/>
    <x v="2"/>
    <n v="19.5"/>
    <n v="1050.5"/>
    <x v="0"/>
    <s v="No"/>
    <x v="3"/>
    <n v="1050.5"/>
    <x v="2"/>
    <s v="Standard Spend"/>
  </r>
  <r>
    <s v="6175-IRFIT"/>
    <s v="Male"/>
    <x v="0"/>
    <n v="5"/>
    <x v="1"/>
    <x v="0"/>
    <n v="78.75"/>
    <n v="426.35"/>
    <x v="0"/>
    <s v="No"/>
    <x v="1"/>
    <n v="426.35"/>
    <x v="0"/>
    <s v="Standard Spend"/>
  </r>
  <r>
    <s v="8760-ZRHKE"/>
    <s v="Female"/>
    <x v="1"/>
    <n v="71"/>
    <x v="0"/>
    <x v="0"/>
    <n v="69.2"/>
    <n v="4982.5"/>
    <x v="0"/>
    <s v="No"/>
    <x v="0"/>
    <n v="4982.5"/>
    <x v="2"/>
    <s v="High Spend"/>
  </r>
  <r>
    <s v="1622-HSHSF"/>
    <s v="Female"/>
    <x v="0"/>
    <n v="1"/>
    <x v="2"/>
    <x v="2"/>
    <n v="19.55"/>
    <n v="19.55"/>
    <x v="0"/>
    <s v="Yes"/>
    <x v="1"/>
    <n v="19.55"/>
    <x v="0"/>
    <s v="Standard Spend"/>
  </r>
  <r>
    <s v="8854-CCVSQ"/>
    <s v="Male"/>
    <x v="0"/>
    <n v="18"/>
    <x v="1"/>
    <x v="0"/>
    <n v="80.650000000000006"/>
    <n v="1451.9"/>
    <x v="1"/>
    <s v="Yes"/>
    <x v="0"/>
    <n v="1451.9"/>
    <x v="1"/>
    <s v="Standard Spend"/>
  </r>
  <r>
    <s v="6749-UTDVX"/>
    <s v="Male"/>
    <x v="2"/>
    <n v="72"/>
    <x v="1"/>
    <x v="0"/>
    <n v="103.65"/>
    <n v="7634.8"/>
    <x v="0"/>
    <s v="Yes"/>
    <x v="0"/>
    <n v="7634.8"/>
    <x v="2"/>
    <s v="High Spend"/>
  </r>
  <r>
    <s v="5542-DHSXL"/>
    <s v="Female"/>
    <x v="0"/>
    <n v="4"/>
    <x v="0"/>
    <x v="0"/>
    <n v="54.7"/>
    <n v="235.05"/>
    <x v="0"/>
    <s v="No"/>
    <x v="1"/>
    <n v="235.05"/>
    <x v="0"/>
    <s v="Standard Spend"/>
  </r>
  <r>
    <s v="9102-OXKFY"/>
    <s v="Male"/>
    <x v="2"/>
    <n v="59"/>
    <x v="0"/>
    <x v="0"/>
    <n v="54.15"/>
    <n v="3116.15"/>
    <x v="0"/>
    <s v="No"/>
    <x v="3"/>
    <n v="3116.15"/>
    <x v="2"/>
    <s v="High Spend"/>
  </r>
  <r>
    <s v="0511-JTEOY"/>
    <s v="Female"/>
    <x v="0"/>
    <n v="1"/>
    <x v="1"/>
    <x v="0"/>
    <n v="71.099999999999994"/>
    <n v="71.099999999999994"/>
    <x v="1"/>
    <s v="No"/>
    <x v="1"/>
    <n v="71.099999999999994"/>
    <x v="0"/>
    <s v="Standard Spend"/>
  </r>
  <r>
    <s v="5216-WASFJ"/>
    <s v="Female"/>
    <x v="0"/>
    <n v="31"/>
    <x v="1"/>
    <x v="0"/>
    <n v="84.85"/>
    <n v="2633.4"/>
    <x v="0"/>
    <s v="Yes"/>
    <x v="0"/>
    <n v="2633.4"/>
    <x v="1"/>
    <s v="High Spend"/>
  </r>
  <r>
    <s v="7808-DVWEP"/>
    <s v="Male"/>
    <x v="0"/>
    <n v="3"/>
    <x v="2"/>
    <x v="2"/>
    <n v="20"/>
    <n v="49.65"/>
    <x v="0"/>
    <s v="No"/>
    <x v="2"/>
    <n v="49.65"/>
    <x v="0"/>
    <s v="Standard Spend"/>
  </r>
  <r>
    <s v="7067-KSAZT"/>
    <s v="Female"/>
    <x v="1"/>
    <n v="65"/>
    <x v="1"/>
    <x v="0"/>
    <n v="106.25"/>
    <n v="6979.8"/>
    <x v="1"/>
    <s v="Yes"/>
    <x v="0"/>
    <n v="6979.8"/>
    <x v="2"/>
    <s v="High Spend"/>
  </r>
  <r>
    <s v="2284-VFLKH"/>
    <s v="Male"/>
    <x v="1"/>
    <n v="49"/>
    <x v="1"/>
    <x v="1"/>
    <n v="99.25"/>
    <n v="4920.8"/>
    <x v="0"/>
    <s v="Yes"/>
    <x v="3"/>
    <n v="4920.8"/>
    <x v="2"/>
    <s v="High Spend"/>
  </r>
  <r>
    <s v="0366-NQSHS"/>
    <s v="Male"/>
    <x v="0"/>
    <n v="2"/>
    <x v="2"/>
    <x v="2"/>
    <n v="19.350000000000001"/>
    <n v="46.35"/>
    <x v="0"/>
    <s v="No"/>
    <x v="1"/>
    <n v="46.35"/>
    <x v="0"/>
    <s v="Standard Spend"/>
  </r>
  <r>
    <s v="6532-YLWSI"/>
    <s v="Female"/>
    <x v="1"/>
    <n v="53"/>
    <x v="2"/>
    <x v="2"/>
    <n v="20.8"/>
    <n v="1021.8"/>
    <x v="1"/>
    <s v="No"/>
    <x v="2"/>
    <n v="1021.8"/>
    <x v="2"/>
    <s v="Standard Spend"/>
  </r>
  <r>
    <s v="3807-BPOMJ"/>
    <s v="Female"/>
    <x v="1"/>
    <n v="55"/>
    <x v="1"/>
    <x v="0"/>
    <n v="94.75"/>
    <n v="5276.1"/>
    <x v="0"/>
    <s v="Yes"/>
    <x v="0"/>
    <n v="5276.1"/>
    <x v="2"/>
    <s v="High Spend"/>
  </r>
  <r>
    <s v="3892-NXAZG"/>
    <s v="Male"/>
    <x v="2"/>
    <n v="72"/>
    <x v="1"/>
    <x v="1"/>
    <n v="114.05"/>
    <n v="8289.2000000000007"/>
    <x v="0"/>
    <s v="Yes"/>
    <x v="3"/>
    <n v="8289.2000000000007"/>
    <x v="2"/>
    <s v="High Spend"/>
  </r>
  <r>
    <s v="4948-WBBKL"/>
    <s v="Female"/>
    <x v="0"/>
    <n v="36"/>
    <x v="1"/>
    <x v="0"/>
    <n v="74.900000000000006"/>
    <n v="2659.45"/>
    <x v="0"/>
    <s v="Yes"/>
    <x v="2"/>
    <n v="2659.45"/>
    <x v="1"/>
    <s v="High Spend"/>
  </r>
  <r>
    <s v="4182-BGSIQ"/>
    <s v="Female"/>
    <x v="0"/>
    <n v="10"/>
    <x v="2"/>
    <x v="2"/>
    <n v="19.8"/>
    <n v="196.75"/>
    <x v="0"/>
    <s v="Yes"/>
    <x v="2"/>
    <n v="196.75"/>
    <x v="0"/>
    <s v="Standard Spend"/>
  </r>
  <r>
    <s v="9300-AGZNL"/>
    <s v="Male"/>
    <x v="0"/>
    <n v="1"/>
    <x v="1"/>
    <x v="0"/>
    <n v="94"/>
    <n v="94"/>
    <x v="1"/>
    <s v="Yes"/>
    <x v="0"/>
    <n v="94"/>
    <x v="0"/>
    <s v="Standard Spend"/>
  </r>
  <r>
    <s v="0988-AADSA"/>
    <s v="Female"/>
    <x v="2"/>
    <n v="72"/>
    <x v="0"/>
    <x v="1"/>
    <n v="80.849999999999994"/>
    <n v="5824.75"/>
    <x v="0"/>
    <s v="No"/>
    <x v="2"/>
    <n v="5824.75"/>
    <x v="2"/>
    <s v="High Spend"/>
  </r>
  <r>
    <s v="9972-NKTFD"/>
    <s v="Female"/>
    <x v="0"/>
    <n v="28"/>
    <x v="0"/>
    <x v="1"/>
    <n v="54.65"/>
    <n v="1517.5"/>
    <x v="0"/>
    <s v="No"/>
    <x v="2"/>
    <n v="1517.5"/>
    <x v="1"/>
    <s v="Standard Spend"/>
  </r>
  <r>
    <s v="3717-LNXKW"/>
    <s v="Male"/>
    <x v="0"/>
    <n v="38"/>
    <x v="1"/>
    <x v="0"/>
    <n v="91.7"/>
    <n v="3479.05"/>
    <x v="0"/>
    <s v="No"/>
    <x v="2"/>
    <n v="3479.05"/>
    <x v="2"/>
    <s v="High Spend"/>
  </r>
  <r>
    <s v="5734-EJKXG"/>
    <s v="Female"/>
    <x v="1"/>
    <n v="61"/>
    <x v="1"/>
    <x v="1"/>
    <n v="118.6"/>
    <n v="7365.7"/>
    <x v="0"/>
    <s v="Yes"/>
    <x v="0"/>
    <n v="7365.7"/>
    <x v="2"/>
    <s v="High Spend"/>
  </r>
  <r>
    <s v="2207-RYYRL"/>
    <s v="Male"/>
    <x v="2"/>
    <n v="52"/>
    <x v="2"/>
    <x v="2"/>
    <n v="24.55"/>
    <n v="1331.05"/>
    <x v="0"/>
    <s v="No"/>
    <x v="1"/>
    <n v="1331.05"/>
    <x v="2"/>
    <s v="Standard Spend"/>
  </r>
  <r>
    <s v="6729-FZWSY"/>
    <s v="Male"/>
    <x v="1"/>
    <n v="67"/>
    <x v="2"/>
    <x v="2"/>
    <n v="19.45"/>
    <n v="1195.95"/>
    <x v="0"/>
    <s v="Yes"/>
    <x v="1"/>
    <n v="1195.95"/>
    <x v="2"/>
    <s v="Standard Spend"/>
  </r>
  <r>
    <s v="9695-IDRZR"/>
    <s v="Female"/>
    <x v="2"/>
    <n v="34"/>
    <x v="1"/>
    <x v="1"/>
    <n v="116.15"/>
    <n v="3946.9"/>
    <x v="0"/>
    <s v="Yes"/>
    <x v="3"/>
    <n v="3946.9"/>
    <x v="1"/>
    <s v="High Spend"/>
  </r>
  <r>
    <s v="8144-DGHXP"/>
    <s v="Female"/>
    <x v="2"/>
    <n v="54"/>
    <x v="0"/>
    <x v="1"/>
    <n v="80.599999999999994"/>
    <n v="4299.95"/>
    <x v="0"/>
    <s v="No"/>
    <x v="0"/>
    <n v="4299.95"/>
    <x v="2"/>
    <s v="High Spend"/>
  </r>
  <r>
    <s v="7814-LEEVE"/>
    <s v="Female"/>
    <x v="0"/>
    <n v="1"/>
    <x v="2"/>
    <x v="2"/>
    <n v="20.3"/>
    <n v="20.3"/>
    <x v="0"/>
    <s v="Yes"/>
    <x v="2"/>
    <n v="20.3"/>
    <x v="0"/>
    <s v="Standard Spend"/>
  </r>
  <r>
    <s v="1112-CUNAO"/>
    <s v="Female"/>
    <x v="0"/>
    <n v="15"/>
    <x v="1"/>
    <x v="0"/>
    <n v="89.85"/>
    <n v="1424.95"/>
    <x v="1"/>
    <s v="No"/>
    <x v="0"/>
    <n v="1424.95"/>
    <x v="1"/>
    <s v="Standard Spend"/>
  </r>
  <r>
    <s v="5175-AOBHI"/>
    <s v="Female"/>
    <x v="0"/>
    <n v="4"/>
    <x v="0"/>
    <x v="0"/>
    <n v="46"/>
    <n v="193.6"/>
    <x v="1"/>
    <s v="Yes"/>
    <x v="1"/>
    <n v="193.6"/>
    <x v="0"/>
    <s v="Standard Spend"/>
  </r>
  <r>
    <s v="5174-RNGBH"/>
    <s v="Female"/>
    <x v="0"/>
    <n v="9"/>
    <x v="0"/>
    <x v="1"/>
    <n v="66.25"/>
    <n v="620.54999999999995"/>
    <x v="1"/>
    <s v="No"/>
    <x v="1"/>
    <n v="620.54999999999995"/>
    <x v="0"/>
    <s v="Standard Spend"/>
  </r>
  <r>
    <s v="8631-WUXGY"/>
    <s v="Female"/>
    <x v="0"/>
    <n v="46"/>
    <x v="1"/>
    <x v="0"/>
    <n v="99.8"/>
    <n v="4391.25"/>
    <x v="0"/>
    <s v="Yes"/>
    <x v="0"/>
    <n v="4391.25"/>
    <x v="2"/>
    <s v="High Spend"/>
  </r>
  <r>
    <s v="7270-BDIOA"/>
    <s v="Female"/>
    <x v="0"/>
    <n v="22"/>
    <x v="1"/>
    <x v="1"/>
    <n v="90"/>
    <n v="1993.8"/>
    <x v="1"/>
    <s v="Yes"/>
    <x v="0"/>
    <n v="1993.8"/>
    <x v="1"/>
    <s v="Standard Spend"/>
  </r>
  <r>
    <s v="9565-JSNFM"/>
    <s v="Male"/>
    <x v="1"/>
    <n v="38"/>
    <x v="1"/>
    <x v="0"/>
    <n v="70.45"/>
    <n v="2597.6"/>
    <x v="1"/>
    <s v="Yes"/>
    <x v="2"/>
    <n v="2597.6"/>
    <x v="2"/>
    <s v="High Spend"/>
  </r>
  <r>
    <s v="5906-DVAPM"/>
    <s v="Female"/>
    <x v="1"/>
    <n v="55"/>
    <x v="0"/>
    <x v="1"/>
    <n v="75"/>
    <n v="4213.8999999999996"/>
    <x v="0"/>
    <s v="Yes"/>
    <x v="3"/>
    <n v="4213.8999999999996"/>
    <x v="2"/>
    <s v="High Spend"/>
  </r>
  <r>
    <s v="6654-QGBZZ"/>
    <s v="Female"/>
    <x v="0"/>
    <n v="1"/>
    <x v="2"/>
    <x v="2"/>
    <n v="19.899999999999999"/>
    <n v="19.899999999999999"/>
    <x v="0"/>
    <s v="No"/>
    <x v="1"/>
    <n v="19.899999999999999"/>
    <x v="0"/>
    <s v="Standard Spend"/>
  </r>
  <r>
    <s v="8348-JLBUG"/>
    <s v="Male"/>
    <x v="1"/>
    <n v="64"/>
    <x v="1"/>
    <x v="0"/>
    <n v="80.3"/>
    <n v="5017.7"/>
    <x v="0"/>
    <s v="No"/>
    <x v="3"/>
    <n v="5017.7"/>
    <x v="2"/>
    <s v="High Spend"/>
  </r>
  <r>
    <s v="0607-DAAHE"/>
    <s v="Male"/>
    <x v="2"/>
    <n v="53"/>
    <x v="2"/>
    <x v="2"/>
    <n v="19.75"/>
    <n v="1052.3499999999999"/>
    <x v="1"/>
    <s v="No"/>
    <x v="2"/>
    <n v="1052.3499999999999"/>
    <x v="2"/>
    <s v="Standard Spend"/>
  </r>
  <r>
    <s v="5641-DMBFJ"/>
    <s v="Female"/>
    <x v="2"/>
    <n v="58"/>
    <x v="0"/>
    <x v="1"/>
    <n v="84.3"/>
    <n v="4916.3999999999996"/>
    <x v="0"/>
    <s v="Yes"/>
    <x v="0"/>
    <n v="4916.3999999999996"/>
    <x v="2"/>
    <s v="High Spend"/>
  </r>
  <r>
    <s v="9200-NLNPD"/>
    <s v="Male"/>
    <x v="1"/>
    <n v="56"/>
    <x v="0"/>
    <x v="1"/>
    <n v="54.05"/>
    <n v="2959.8"/>
    <x v="0"/>
    <s v="Yes"/>
    <x v="2"/>
    <n v="2959.8"/>
    <x v="2"/>
    <s v="High Spend"/>
  </r>
  <r>
    <s v="2664-XJZNO"/>
    <s v="Male"/>
    <x v="2"/>
    <n v="72"/>
    <x v="1"/>
    <x v="1"/>
    <n v="104.9"/>
    <n v="7559.55"/>
    <x v="0"/>
    <s v="Yes"/>
    <x v="3"/>
    <n v="7559.55"/>
    <x v="2"/>
    <s v="High Spend"/>
  </r>
  <r>
    <s v="9732-KPKBW"/>
    <s v="Male"/>
    <x v="0"/>
    <n v="1"/>
    <x v="0"/>
    <x v="1"/>
    <n v="53.95"/>
    <n v="53.95"/>
    <x v="1"/>
    <s v="Yes"/>
    <x v="0"/>
    <n v="53.95"/>
    <x v="0"/>
    <s v="Standard Spend"/>
  </r>
  <r>
    <s v="3339-EAQNV"/>
    <s v="Male"/>
    <x v="1"/>
    <n v="72"/>
    <x v="1"/>
    <x v="0"/>
    <n v="97.25"/>
    <n v="7133.1"/>
    <x v="0"/>
    <s v="Yes"/>
    <x v="3"/>
    <n v="7133.1"/>
    <x v="2"/>
    <s v="High Spend"/>
  </r>
  <r>
    <s v="0921-OHLVP"/>
    <s v="Male"/>
    <x v="0"/>
    <n v="22"/>
    <x v="1"/>
    <x v="0"/>
    <n v="83.05"/>
    <n v="1799.3"/>
    <x v="0"/>
    <s v="No"/>
    <x v="0"/>
    <n v="1799.3"/>
    <x v="1"/>
    <s v="Standard Spend"/>
  </r>
  <r>
    <s v="3389-YGYAI"/>
    <s v="Female"/>
    <x v="0"/>
    <n v="8"/>
    <x v="1"/>
    <x v="0"/>
    <n v="105.5"/>
    <n v="829.55"/>
    <x v="1"/>
    <s v="Yes"/>
    <x v="0"/>
    <n v="829.55"/>
    <x v="0"/>
    <s v="Standard Spend"/>
  </r>
  <r>
    <s v="9560-ARGQJ"/>
    <s v="Female"/>
    <x v="0"/>
    <n v="16"/>
    <x v="1"/>
    <x v="0"/>
    <n v="81"/>
    <n v="1312.15"/>
    <x v="1"/>
    <s v="Yes"/>
    <x v="0"/>
    <n v="1312.15"/>
    <x v="1"/>
    <s v="Standard Spend"/>
  </r>
  <r>
    <s v="8350-NYMVI"/>
    <s v="Female"/>
    <x v="0"/>
    <n v="39"/>
    <x v="0"/>
    <x v="1"/>
    <n v="41.1"/>
    <n v="1597.05"/>
    <x v="0"/>
    <s v="No"/>
    <x v="2"/>
    <n v="1597.05"/>
    <x v="2"/>
    <s v="Standard Spend"/>
  </r>
  <r>
    <s v="1600-DILPE"/>
    <s v="Female"/>
    <x v="0"/>
    <n v="12"/>
    <x v="0"/>
    <x v="0"/>
    <n v="45"/>
    <n v="524.35"/>
    <x v="0"/>
    <s v="Yes"/>
    <x v="2"/>
    <n v="524.35"/>
    <x v="0"/>
    <s v="Standard Spend"/>
  </r>
  <r>
    <s v="0536-ESJEP"/>
    <s v="Male"/>
    <x v="2"/>
    <n v="54"/>
    <x v="0"/>
    <x v="0"/>
    <n v="74.55"/>
    <n v="4191.45"/>
    <x v="0"/>
    <s v="Yes"/>
    <x v="2"/>
    <n v="4191.45"/>
    <x v="2"/>
    <s v="High Spend"/>
  </r>
  <r>
    <s v="4654-GGUII"/>
    <s v="Female"/>
    <x v="1"/>
    <n v="18"/>
    <x v="0"/>
    <x v="1"/>
    <n v="40.200000000000003"/>
    <n v="711.95"/>
    <x v="0"/>
    <s v="Yes"/>
    <x v="1"/>
    <n v="711.95"/>
    <x v="1"/>
    <s v="Standard Spend"/>
  </r>
  <r>
    <s v="6478-HRRCZ"/>
    <s v="Male"/>
    <x v="1"/>
    <n v="32"/>
    <x v="0"/>
    <x v="1"/>
    <n v="70.5"/>
    <n v="2201.75"/>
    <x v="0"/>
    <s v="No"/>
    <x v="1"/>
    <n v="2201.75"/>
    <x v="1"/>
    <s v="Standard Spend"/>
  </r>
  <r>
    <s v="8510-BBWMU"/>
    <s v="Female"/>
    <x v="1"/>
    <n v="41"/>
    <x v="2"/>
    <x v="2"/>
    <n v="19.75"/>
    <n v="806.95"/>
    <x v="0"/>
    <s v="Yes"/>
    <x v="1"/>
    <n v="806.95"/>
    <x v="2"/>
    <s v="Standard Spend"/>
  </r>
  <r>
    <s v="6857-TKDJV"/>
    <s v="Male"/>
    <x v="2"/>
    <n v="67"/>
    <x v="2"/>
    <x v="2"/>
    <n v="24.65"/>
    <n v="1620.45"/>
    <x v="0"/>
    <s v="No"/>
    <x v="2"/>
    <n v="1620.45"/>
    <x v="2"/>
    <s v="Standard Spend"/>
  </r>
  <r>
    <s v="2360-RDGRO"/>
    <s v="Male"/>
    <x v="0"/>
    <n v="65"/>
    <x v="1"/>
    <x v="0"/>
    <n v="104.25"/>
    <n v="6812.95"/>
    <x v="0"/>
    <s v="Yes"/>
    <x v="0"/>
    <n v="6812.95"/>
    <x v="2"/>
    <s v="High Spend"/>
  </r>
  <r>
    <s v="0584-BJQGZ"/>
    <s v="Female"/>
    <x v="0"/>
    <n v="25"/>
    <x v="0"/>
    <x v="1"/>
    <n v="78.349999999999994"/>
    <n v="1837.9"/>
    <x v="0"/>
    <s v="Yes"/>
    <x v="2"/>
    <n v="1837.9"/>
    <x v="1"/>
    <s v="Standard Spend"/>
  </r>
  <r>
    <s v="5134-IKDAY"/>
    <s v="Female"/>
    <x v="0"/>
    <n v="1"/>
    <x v="1"/>
    <x v="0"/>
    <n v="69.8"/>
    <n v="69.8"/>
    <x v="1"/>
    <s v="Yes"/>
    <x v="0"/>
    <n v="69.8"/>
    <x v="0"/>
    <s v="Standard Spend"/>
  </r>
  <r>
    <s v="1360-XFJMR"/>
    <s v="Female"/>
    <x v="1"/>
    <n v="67"/>
    <x v="1"/>
    <x v="1"/>
    <n v="109.7"/>
    <n v="7344.45"/>
    <x v="0"/>
    <s v="Yes"/>
    <x v="3"/>
    <n v="7344.45"/>
    <x v="2"/>
    <s v="High Spend"/>
  </r>
  <r>
    <s v="3070-DVEYC"/>
    <s v="Male"/>
    <x v="0"/>
    <n v="7"/>
    <x v="1"/>
    <x v="0"/>
    <n v="73.75"/>
    <n v="545.15"/>
    <x v="1"/>
    <s v="No"/>
    <x v="1"/>
    <n v="545.15"/>
    <x v="0"/>
    <s v="Standard Spend"/>
  </r>
  <r>
    <s v="5730-RIITO"/>
    <s v="Female"/>
    <x v="0"/>
    <n v="43"/>
    <x v="0"/>
    <x v="0"/>
    <n v="33.450000000000003"/>
    <n v="1500.25"/>
    <x v="0"/>
    <s v="Yes"/>
    <x v="3"/>
    <n v="1500.25"/>
    <x v="2"/>
    <s v="Standard Spend"/>
  </r>
  <r>
    <s v="9058-MJLZC"/>
    <s v="Female"/>
    <x v="0"/>
    <n v="24"/>
    <x v="1"/>
    <x v="0"/>
    <n v="94.6"/>
    <n v="2283.15"/>
    <x v="0"/>
    <s v="Yes"/>
    <x v="0"/>
    <n v="2283.15"/>
    <x v="1"/>
    <s v="Standard Spend"/>
  </r>
  <r>
    <s v="5707-ORNDZ"/>
    <s v="Male"/>
    <x v="0"/>
    <n v="9"/>
    <x v="0"/>
    <x v="0"/>
    <n v="54.55"/>
    <n v="494.05"/>
    <x v="1"/>
    <s v="No"/>
    <x v="0"/>
    <n v="494.05"/>
    <x v="0"/>
    <s v="Standard Spend"/>
  </r>
  <r>
    <s v="0902-XKXPN"/>
    <s v="Male"/>
    <x v="2"/>
    <n v="69"/>
    <x v="2"/>
    <x v="2"/>
    <n v="20.2"/>
    <n v="1376.5"/>
    <x v="0"/>
    <s v="No"/>
    <x v="2"/>
    <n v="1376.5"/>
    <x v="2"/>
    <s v="Standard Spend"/>
  </r>
  <r>
    <s v="5177-RVZNU"/>
    <s v="Female"/>
    <x v="1"/>
    <n v="37"/>
    <x v="2"/>
    <x v="2"/>
    <n v="20.3"/>
    <n v="755.4"/>
    <x v="0"/>
    <s v="No"/>
    <x v="2"/>
    <n v="755.4"/>
    <x v="2"/>
    <s v="Standard Spend"/>
  </r>
  <r>
    <s v="0056-EPFBG"/>
    <s v="Male"/>
    <x v="2"/>
    <n v="20"/>
    <x v="0"/>
    <x v="1"/>
    <n v="39.4"/>
    <n v="825.4"/>
    <x v="0"/>
    <s v="Yes"/>
    <x v="3"/>
    <n v="825.4"/>
    <x v="1"/>
    <s v="Standard Spend"/>
  </r>
  <r>
    <s v="8993-IZEUX"/>
    <s v="Male"/>
    <x v="0"/>
    <n v="7"/>
    <x v="1"/>
    <x v="0"/>
    <n v="69.150000000000006"/>
    <n v="488.65"/>
    <x v="0"/>
    <s v="No"/>
    <x v="2"/>
    <n v="488.65"/>
    <x v="0"/>
    <s v="Standard Spend"/>
  </r>
  <r>
    <s v="8696-JKZNU"/>
    <s v="Female"/>
    <x v="0"/>
    <n v="37"/>
    <x v="1"/>
    <x v="0"/>
    <n v="76.25"/>
    <n v="2841.55"/>
    <x v="1"/>
    <s v="Yes"/>
    <x v="0"/>
    <n v="2841.55"/>
    <x v="2"/>
    <s v="High Spend"/>
  </r>
  <r>
    <s v="5380-AFSSK"/>
    <s v="Female"/>
    <x v="0"/>
    <n v="5"/>
    <x v="1"/>
    <x v="0"/>
    <n v="93.9"/>
    <n v="486.85"/>
    <x v="1"/>
    <s v="Yes"/>
    <x v="1"/>
    <n v="486.85"/>
    <x v="0"/>
    <s v="Standard Spend"/>
  </r>
  <r>
    <s v="8190-ZTQFB"/>
    <s v="Male"/>
    <x v="1"/>
    <n v="41"/>
    <x v="0"/>
    <x v="0"/>
    <n v="51.35"/>
    <n v="2075.1"/>
    <x v="0"/>
    <s v="Yes"/>
    <x v="0"/>
    <n v="2075.1"/>
    <x v="2"/>
    <s v="Standard Spend"/>
  </r>
  <r>
    <s v="0931-MHTEM"/>
    <s v="Female"/>
    <x v="1"/>
    <n v="54"/>
    <x v="1"/>
    <x v="0"/>
    <n v="100.05"/>
    <n v="5299.65"/>
    <x v="0"/>
    <s v="Yes"/>
    <x v="3"/>
    <n v="5299.65"/>
    <x v="2"/>
    <s v="High Spend"/>
  </r>
  <r>
    <s v="2055-PDADH"/>
    <s v="Female"/>
    <x v="0"/>
    <n v="3"/>
    <x v="1"/>
    <x v="0"/>
    <n v="70.400000000000006"/>
    <n v="204.7"/>
    <x v="1"/>
    <s v="Yes"/>
    <x v="0"/>
    <n v="204.7"/>
    <x v="0"/>
    <s v="Standard Spend"/>
  </r>
  <r>
    <s v="7515-LODFU"/>
    <s v="Male"/>
    <x v="2"/>
    <n v="69"/>
    <x v="2"/>
    <x v="2"/>
    <n v="20.3"/>
    <n v="1356.3"/>
    <x v="0"/>
    <s v="No"/>
    <x v="3"/>
    <n v="1356.3"/>
    <x v="2"/>
    <s v="Standard Spend"/>
  </r>
  <r>
    <s v="0440-UEDAI"/>
    <s v="Female"/>
    <x v="1"/>
    <n v="53"/>
    <x v="1"/>
    <x v="1"/>
    <n v="94.45"/>
    <n v="5042.75"/>
    <x v="0"/>
    <s v="Yes"/>
    <x v="3"/>
    <n v="5042.75"/>
    <x v="2"/>
    <s v="High Spend"/>
  </r>
  <r>
    <s v="1337-BOZWO"/>
    <s v="Male"/>
    <x v="1"/>
    <n v="18"/>
    <x v="0"/>
    <x v="0"/>
    <n v="46.4"/>
    <n v="812.4"/>
    <x v="0"/>
    <s v="No"/>
    <x v="3"/>
    <n v="812.4"/>
    <x v="1"/>
    <s v="Standard Spend"/>
  </r>
  <r>
    <s v="0868-VJRDR"/>
    <s v="Male"/>
    <x v="2"/>
    <n v="64"/>
    <x v="1"/>
    <x v="1"/>
    <n v="104.05"/>
    <n v="6605.55"/>
    <x v="0"/>
    <s v="Yes"/>
    <x v="3"/>
    <n v="6605.55"/>
    <x v="2"/>
    <s v="High Spend"/>
  </r>
  <r>
    <s v="8714-EUHJO"/>
    <s v="Female"/>
    <x v="0"/>
    <n v="31"/>
    <x v="1"/>
    <x v="0"/>
    <n v="91.15"/>
    <n v="2995.45"/>
    <x v="1"/>
    <s v="Yes"/>
    <x v="0"/>
    <n v="2995.45"/>
    <x v="1"/>
    <s v="High Spend"/>
  </r>
  <r>
    <s v="6344-SFJVH"/>
    <s v="Female"/>
    <x v="0"/>
    <n v="20"/>
    <x v="0"/>
    <x v="0"/>
    <n v="24.9"/>
    <n v="505.95"/>
    <x v="0"/>
    <s v="No"/>
    <x v="3"/>
    <n v="505.95"/>
    <x v="1"/>
    <s v="Standard Spend"/>
  </r>
  <r>
    <s v="3950-VPYJB"/>
    <s v="Male"/>
    <x v="1"/>
    <n v="57"/>
    <x v="0"/>
    <x v="1"/>
    <n v="59.6"/>
    <n v="3509.4"/>
    <x v="0"/>
    <s v="No"/>
    <x v="1"/>
    <n v="3509.4"/>
    <x v="2"/>
    <s v="High Spend"/>
  </r>
  <r>
    <s v="8041-TMEID"/>
    <s v="Male"/>
    <x v="2"/>
    <n v="63"/>
    <x v="1"/>
    <x v="0"/>
    <n v="108.5"/>
    <n v="6991.9"/>
    <x v="0"/>
    <s v="No"/>
    <x v="3"/>
    <n v="6991.9"/>
    <x v="2"/>
    <s v="High Spend"/>
  </r>
  <r>
    <s v="7321-ZNSLA"/>
    <s v="Male"/>
    <x v="2"/>
    <n v="13"/>
    <x v="0"/>
    <x v="1"/>
    <n v="40.549999999999997"/>
    <n v="590.35"/>
    <x v="0"/>
    <s v="No"/>
    <x v="1"/>
    <n v="590.35"/>
    <x v="1"/>
    <s v="Standard Spend"/>
  </r>
  <r>
    <s v="6941-KXRRV"/>
    <s v="Female"/>
    <x v="1"/>
    <n v="48"/>
    <x v="0"/>
    <x v="0"/>
    <n v="58.95"/>
    <n v="2789.7"/>
    <x v="0"/>
    <s v="Yes"/>
    <x v="2"/>
    <n v="2789.7"/>
    <x v="2"/>
    <s v="High Spend"/>
  </r>
  <r>
    <s v="3721-CNEYS"/>
    <s v="Female"/>
    <x v="0"/>
    <n v="2"/>
    <x v="1"/>
    <x v="0"/>
    <n v="70.95"/>
    <n v="137.94999999999999"/>
    <x v="1"/>
    <s v="Yes"/>
    <x v="0"/>
    <n v="137.94999999999999"/>
    <x v="0"/>
    <s v="Standard Spend"/>
  </r>
  <r>
    <s v="8727-JQFHV"/>
    <s v="Male"/>
    <x v="2"/>
    <n v="57"/>
    <x v="2"/>
    <x v="2"/>
    <n v="20.75"/>
    <n v="1123.1500000000001"/>
    <x v="0"/>
    <s v="No"/>
    <x v="1"/>
    <n v="1123.1500000000001"/>
    <x v="2"/>
    <s v="Standard Spend"/>
  </r>
  <r>
    <s v="9475-NNDGC"/>
    <s v="Male"/>
    <x v="1"/>
    <n v="71"/>
    <x v="1"/>
    <x v="1"/>
    <n v="113.15"/>
    <n v="7953.25"/>
    <x v="0"/>
    <s v="Yes"/>
    <x v="2"/>
    <n v="7953.25"/>
    <x v="2"/>
    <s v="High Spend"/>
  </r>
  <r>
    <s v="1355-KUSBG"/>
    <s v="Female"/>
    <x v="0"/>
    <n v="7"/>
    <x v="0"/>
    <x v="0"/>
    <n v="48.8"/>
    <n v="349.8"/>
    <x v="0"/>
    <s v="No"/>
    <x v="0"/>
    <n v="349.8"/>
    <x v="0"/>
    <s v="Standard Spend"/>
  </r>
  <r>
    <s v="3688-FTHLT"/>
    <s v="Female"/>
    <x v="0"/>
    <n v="16"/>
    <x v="0"/>
    <x v="0"/>
    <n v="63.05"/>
    <n v="1067.05"/>
    <x v="0"/>
    <s v="Yes"/>
    <x v="2"/>
    <n v="1067.05"/>
    <x v="1"/>
    <s v="Standard Spend"/>
  </r>
  <r>
    <s v="0899-LIIBW"/>
    <s v="Male"/>
    <x v="0"/>
    <n v="34"/>
    <x v="1"/>
    <x v="0"/>
    <n v="100.85"/>
    <n v="3527.3"/>
    <x v="0"/>
    <s v="No"/>
    <x v="0"/>
    <n v="3527.3"/>
    <x v="1"/>
    <s v="High Spend"/>
  </r>
  <r>
    <s v="2568-OIADY"/>
    <s v="Female"/>
    <x v="0"/>
    <n v="37"/>
    <x v="1"/>
    <x v="0"/>
    <n v="99.5"/>
    <n v="3762"/>
    <x v="1"/>
    <s v="Yes"/>
    <x v="0"/>
    <n v="3762"/>
    <x v="2"/>
    <s v="High Spend"/>
  </r>
  <r>
    <s v="1384-RCUXW"/>
    <s v="Male"/>
    <x v="0"/>
    <n v="16"/>
    <x v="1"/>
    <x v="0"/>
    <n v="80.55"/>
    <n v="1248.9000000000001"/>
    <x v="0"/>
    <s v="Yes"/>
    <x v="1"/>
    <n v="1248.9000000000001"/>
    <x v="1"/>
    <s v="Standard Spend"/>
  </r>
  <r>
    <s v="5825-XJOCM"/>
    <s v="Male"/>
    <x v="1"/>
    <n v="48"/>
    <x v="0"/>
    <x v="0"/>
    <n v="64.400000000000006"/>
    <n v="3035.35"/>
    <x v="0"/>
    <s v="Yes"/>
    <x v="2"/>
    <n v="3035.35"/>
    <x v="2"/>
    <s v="High Spend"/>
  </r>
  <r>
    <s v="6848-YLDFR"/>
    <s v="Male"/>
    <x v="1"/>
    <n v="58"/>
    <x v="0"/>
    <x v="1"/>
    <n v="75.2"/>
    <n v="4300.8"/>
    <x v="0"/>
    <s v="Yes"/>
    <x v="3"/>
    <n v="4300.8"/>
    <x v="2"/>
    <s v="High Spend"/>
  </r>
  <r>
    <s v="8125-QPFJD"/>
    <s v="Female"/>
    <x v="2"/>
    <n v="72"/>
    <x v="0"/>
    <x v="1"/>
    <n v="84.9"/>
    <n v="6065.3"/>
    <x v="0"/>
    <s v="Yes"/>
    <x v="2"/>
    <n v="6065.3"/>
    <x v="2"/>
    <s v="High Spend"/>
  </r>
  <r>
    <s v="2320-YKQBO"/>
    <s v="Female"/>
    <x v="0"/>
    <n v="7"/>
    <x v="2"/>
    <x v="2"/>
    <n v="19.3"/>
    <n v="144.94999999999999"/>
    <x v="0"/>
    <s v="No"/>
    <x v="1"/>
    <n v="144.94999999999999"/>
    <x v="0"/>
    <s v="Standard Spend"/>
  </r>
  <r>
    <s v="1193-RTSLK"/>
    <s v="Female"/>
    <x v="0"/>
    <n v="38"/>
    <x v="1"/>
    <x v="0"/>
    <n v="83.9"/>
    <n v="3233.6"/>
    <x v="1"/>
    <s v="Yes"/>
    <x v="3"/>
    <n v="3233.6"/>
    <x v="2"/>
    <s v="High Spend"/>
  </r>
  <r>
    <s v="2302-ANTDP"/>
    <s v="Female"/>
    <x v="0"/>
    <n v="48"/>
    <x v="1"/>
    <x v="1"/>
    <n v="117.45"/>
    <n v="5438.9"/>
    <x v="1"/>
    <s v="No"/>
    <x v="0"/>
    <n v="5438.9"/>
    <x v="2"/>
    <s v="High Spend"/>
  </r>
  <r>
    <s v="5923-GXUOC"/>
    <s v="Male"/>
    <x v="0"/>
    <n v="10"/>
    <x v="1"/>
    <x v="0"/>
    <n v="104.4"/>
    <n v="1081.45"/>
    <x v="1"/>
    <s v="Yes"/>
    <x v="0"/>
    <n v="1081.45"/>
    <x v="0"/>
    <s v="Standard Spend"/>
  </r>
  <r>
    <s v="4973-RLZVI"/>
    <s v="Female"/>
    <x v="1"/>
    <n v="30"/>
    <x v="0"/>
    <x v="1"/>
    <n v="74.650000000000006"/>
    <n v="2308.6"/>
    <x v="0"/>
    <s v="No"/>
    <x v="3"/>
    <n v="2308.6"/>
    <x v="1"/>
    <s v="Standard Spend"/>
  </r>
  <r>
    <s v="7869-ZYDST"/>
    <s v="Male"/>
    <x v="0"/>
    <n v="31"/>
    <x v="0"/>
    <x v="0"/>
    <n v="59.05"/>
    <n v="1882.8"/>
    <x v="0"/>
    <s v="Yes"/>
    <x v="3"/>
    <n v="1882.8"/>
    <x v="1"/>
    <s v="Standard Spend"/>
  </r>
  <r>
    <s v="4501-UYKBC"/>
    <s v="Female"/>
    <x v="1"/>
    <n v="46"/>
    <x v="0"/>
    <x v="1"/>
    <n v="69.099999999999994"/>
    <n v="3255.35"/>
    <x v="0"/>
    <s v="Yes"/>
    <x v="3"/>
    <n v="3255.35"/>
    <x v="2"/>
    <s v="High Spend"/>
  </r>
  <r>
    <s v="1215-EXRMO"/>
    <s v="Male"/>
    <x v="2"/>
    <n v="50"/>
    <x v="2"/>
    <x v="2"/>
    <n v="20.55"/>
    <n v="1067.6500000000001"/>
    <x v="0"/>
    <s v="No"/>
    <x v="1"/>
    <n v="1067.6500000000001"/>
    <x v="2"/>
    <s v="Standard Spend"/>
  </r>
  <r>
    <s v="2305-MRGLV"/>
    <s v="Male"/>
    <x v="0"/>
    <n v="28"/>
    <x v="1"/>
    <x v="1"/>
    <n v="76.55"/>
    <n v="2065.4"/>
    <x v="0"/>
    <s v="No"/>
    <x v="2"/>
    <n v="2065.4"/>
    <x v="1"/>
    <s v="Standard Spend"/>
  </r>
  <r>
    <s v="8404-VIOMB"/>
    <s v="Female"/>
    <x v="2"/>
    <n v="66"/>
    <x v="0"/>
    <x v="1"/>
    <n v="62.5"/>
    <n v="4136.3999999999996"/>
    <x v="0"/>
    <s v="Yes"/>
    <x v="2"/>
    <n v="4136.3999999999996"/>
    <x v="2"/>
    <s v="High Spend"/>
  </r>
  <r>
    <s v="5233-GEEAX"/>
    <s v="Male"/>
    <x v="0"/>
    <n v="8"/>
    <x v="0"/>
    <x v="0"/>
    <n v="29.4"/>
    <n v="221.9"/>
    <x v="1"/>
    <s v="Yes"/>
    <x v="0"/>
    <n v="221.9"/>
    <x v="0"/>
    <s v="Standard Spend"/>
  </r>
  <r>
    <s v="2359-KLTEK"/>
    <s v="Female"/>
    <x v="0"/>
    <n v="41"/>
    <x v="1"/>
    <x v="0"/>
    <n v="94.9"/>
    <n v="3848"/>
    <x v="0"/>
    <s v="Yes"/>
    <x v="2"/>
    <n v="3848"/>
    <x v="2"/>
    <s v="High Spend"/>
  </r>
  <r>
    <s v="5304-EFJLP"/>
    <s v="Male"/>
    <x v="2"/>
    <n v="72"/>
    <x v="1"/>
    <x v="1"/>
    <n v="111.65"/>
    <n v="8022.85"/>
    <x v="0"/>
    <s v="Yes"/>
    <x v="2"/>
    <n v="8022.85"/>
    <x v="2"/>
    <s v="High Spend"/>
  </r>
  <r>
    <s v="2673-ZALNP"/>
    <s v="Female"/>
    <x v="1"/>
    <n v="7"/>
    <x v="2"/>
    <x v="2"/>
    <n v="19.899999999999999"/>
    <n v="173.15"/>
    <x v="0"/>
    <s v="No"/>
    <x v="1"/>
    <n v="173.15"/>
    <x v="0"/>
    <s v="Standard Spend"/>
  </r>
  <r>
    <s v="9184-GALIL"/>
    <s v="Female"/>
    <x v="0"/>
    <n v="38"/>
    <x v="2"/>
    <x v="2"/>
    <n v="20.45"/>
    <n v="781.25"/>
    <x v="0"/>
    <s v="No"/>
    <x v="1"/>
    <n v="781.25"/>
    <x v="2"/>
    <s v="Standard Spend"/>
  </r>
  <r>
    <s v="4393-RYCRE"/>
    <s v="Male"/>
    <x v="1"/>
    <n v="44"/>
    <x v="1"/>
    <x v="0"/>
    <n v="106.05"/>
    <n v="4510.8"/>
    <x v="0"/>
    <s v="Yes"/>
    <x v="0"/>
    <n v="4510.8"/>
    <x v="2"/>
    <s v="High Spend"/>
  </r>
  <r>
    <s v="9746-MDMBK"/>
    <s v="Male"/>
    <x v="1"/>
    <n v="47"/>
    <x v="1"/>
    <x v="1"/>
    <n v="113.45"/>
    <n v="5317.8"/>
    <x v="0"/>
    <s v="Yes"/>
    <x v="2"/>
    <n v="5317.8"/>
    <x v="2"/>
    <s v="High Spend"/>
  </r>
  <r>
    <s v="3162-ZJZFU"/>
    <s v="Male"/>
    <x v="0"/>
    <n v="53"/>
    <x v="1"/>
    <x v="1"/>
    <n v="92.55"/>
    <n v="4779.45"/>
    <x v="0"/>
    <s v="Yes"/>
    <x v="0"/>
    <n v="4779.45"/>
    <x v="2"/>
    <s v="High Spend"/>
  </r>
  <r>
    <s v="8404-GFGCZ"/>
    <s v="Male"/>
    <x v="0"/>
    <n v="4"/>
    <x v="0"/>
    <x v="0"/>
    <n v="65.599999999999994"/>
    <n v="250.1"/>
    <x v="0"/>
    <s v="No"/>
    <x v="0"/>
    <n v="250.1"/>
    <x v="0"/>
    <s v="Standard Spend"/>
  </r>
  <r>
    <s v="8875-AKBYH"/>
    <s v="Male"/>
    <x v="0"/>
    <n v="20"/>
    <x v="1"/>
    <x v="0"/>
    <n v="84.35"/>
    <n v="1745.2"/>
    <x v="0"/>
    <s v="Yes"/>
    <x v="0"/>
    <n v="1745.2"/>
    <x v="1"/>
    <s v="Standard Spend"/>
  </r>
  <r>
    <s v="4432-ADRLB"/>
    <s v="Male"/>
    <x v="0"/>
    <n v="2"/>
    <x v="0"/>
    <x v="0"/>
    <n v="44.65"/>
    <n v="74.900000000000006"/>
    <x v="1"/>
    <s v="No"/>
    <x v="1"/>
    <n v="74.900000000000006"/>
    <x v="0"/>
    <s v="Standard Spend"/>
  </r>
  <r>
    <s v="0533-UCAAU"/>
    <s v="Male"/>
    <x v="1"/>
    <n v="57"/>
    <x v="0"/>
    <x v="0"/>
    <n v="71.099999999999994"/>
    <n v="4140.1000000000004"/>
    <x v="0"/>
    <s v="Yes"/>
    <x v="3"/>
    <n v="4140.1000000000004"/>
    <x v="2"/>
    <s v="High Spend"/>
  </r>
  <r>
    <s v="1394-SUIUH"/>
    <s v="Female"/>
    <x v="0"/>
    <n v="44"/>
    <x v="1"/>
    <x v="1"/>
    <n v="85.15"/>
    <n v="3670.5"/>
    <x v="0"/>
    <s v="Yes"/>
    <x v="0"/>
    <n v="3670.5"/>
    <x v="2"/>
    <s v="High Spend"/>
  </r>
  <r>
    <s v="3521-MNKLV"/>
    <s v="Male"/>
    <x v="0"/>
    <n v="24"/>
    <x v="0"/>
    <x v="0"/>
    <n v="49.7"/>
    <n v="1167.8"/>
    <x v="0"/>
    <s v="Yes"/>
    <x v="1"/>
    <n v="1167.8"/>
    <x v="1"/>
    <s v="Standard Spend"/>
  </r>
  <r>
    <s v="2533-TIBIX"/>
    <s v="Male"/>
    <x v="0"/>
    <n v="15"/>
    <x v="0"/>
    <x v="0"/>
    <n v="30.2"/>
    <n v="469.65"/>
    <x v="0"/>
    <s v="Yes"/>
    <x v="2"/>
    <n v="469.65"/>
    <x v="1"/>
    <s v="Standard Spend"/>
  </r>
  <r>
    <s v="8993-PHFWD"/>
    <s v="Female"/>
    <x v="0"/>
    <n v="3"/>
    <x v="0"/>
    <x v="0"/>
    <n v="25.25"/>
    <n v="58.9"/>
    <x v="1"/>
    <s v="No"/>
    <x v="0"/>
    <n v="58.9"/>
    <x v="0"/>
    <s v="Standard Spend"/>
  </r>
  <r>
    <s v="1565-RHDJD"/>
    <s v="Female"/>
    <x v="0"/>
    <n v="4"/>
    <x v="1"/>
    <x v="0"/>
    <n v="84.05"/>
    <n v="333.55"/>
    <x v="1"/>
    <s v="No"/>
    <x v="2"/>
    <n v="333.55"/>
    <x v="0"/>
    <s v="Standard Spend"/>
  </r>
  <r>
    <s v="7137-RYLPP"/>
    <s v="Male"/>
    <x v="0"/>
    <n v="37"/>
    <x v="1"/>
    <x v="0"/>
    <n v="85.7"/>
    <n v="3171.15"/>
    <x v="1"/>
    <s v="Yes"/>
    <x v="0"/>
    <n v="3171.15"/>
    <x v="2"/>
    <s v="High Spend"/>
  </r>
  <r>
    <s v="3765-JXVKY"/>
    <s v="Female"/>
    <x v="0"/>
    <n v="1"/>
    <x v="1"/>
    <x v="0"/>
    <n v="74.7"/>
    <n v="74.7"/>
    <x v="1"/>
    <s v="Yes"/>
    <x v="0"/>
    <n v="74.7"/>
    <x v="0"/>
    <s v="Standard Spend"/>
  </r>
  <r>
    <s v="5092-STPKP"/>
    <s v="Female"/>
    <x v="0"/>
    <n v="24"/>
    <x v="0"/>
    <x v="1"/>
    <n v="56.35"/>
    <n v="1381.2"/>
    <x v="0"/>
    <s v="No"/>
    <x v="3"/>
    <n v="1381.2"/>
    <x v="1"/>
    <s v="Standard Spend"/>
  </r>
  <r>
    <s v="7330-WZLNC"/>
    <s v="Female"/>
    <x v="0"/>
    <n v="5"/>
    <x v="1"/>
    <x v="0"/>
    <n v="90.8"/>
    <n v="455.5"/>
    <x v="1"/>
    <s v="Yes"/>
    <x v="0"/>
    <n v="455.5"/>
    <x v="0"/>
    <s v="Standard Spend"/>
  </r>
  <r>
    <s v="0114-PEGZZ"/>
    <s v="Female"/>
    <x v="0"/>
    <n v="33"/>
    <x v="1"/>
    <x v="0"/>
    <n v="107.55"/>
    <n v="3645.5"/>
    <x v="0"/>
    <s v="No"/>
    <x v="0"/>
    <n v="3645.5"/>
    <x v="1"/>
    <s v="High Spend"/>
  </r>
  <r>
    <s v="3359-DSRKA"/>
    <s v="Female"/>
    <x v="2"/>
    <n v="58"/>
    <x v="2"/>
    <x v="2"/>
    <n v="19.850000000000001"/>
    <n v="1158.8499999999999"/>
    <x v="0"/>
    <s v="Yes"/>
    <x v="1"/>
    <n v="1158.8499999999999"/>
    <x v="2"/>
    <s v="Standard Spend"/>
  </r>
  <r>
    <s v="8639-NHQEI"/>
    <s v="Female"/>
    <x v="2"/>
    <n v="72"/>
    <x v="1"/>
    <x v="0"/>
    <n v="95.9"/>
    <n v="6954.15"/>
    <x v="0"/>
    <s v="Yes"/>
    <x v="2"/>
    <n v="6954.15"/>
    <x v="2"/>
    <s v="High Spend"/>
  </r>
  <r>
    <s v="7161-DFHUF"/>
    <s v="Female"/>
    <x v="2"/>
    <n v="71"/>
    <x v="2"/>
    <x v="2"/>
    <n v="23.85"/>
    <n v="1672.1"/>
    <x v="0"/>
    <s v="No"/>
    <x v="1"/>
    <n v="1672.1"/>
    <x v="2"/>
    <s v="Standard Spend"/>
  </r>
  <r>
    <s v="3957-LXOLK"/>
    <s v="Female"/>
    <x v="0"/>
    <n v="28"/>
    <x v="1"/>
    <x v="0"/>
    <n v="106.15"/>
    <n v="3152.5"/>
    <x v="1"/>
    <s v="Yes"/>
    <x v="0"/>
    <n v="3152.5"/>
    <x v="1"/>
    <s v="High Spend"/>
  </r>
  <r>
    <s v="3720-DBRWL"/>
    <s v="Male"/>
    <x v="2"/>
    <n v="51"/>
    <x v="0"/>
    <x v="1"/>
    <n v="83.85"/>
    <n v="4307.1000000000004"/>
    <x v="0"/>
    <s v="Yes"/>
    <x v="3"/>
    <n v="4307.1000000000004"/>
    <x v="2"/>
    <s v="High Spend"/>
  </r>
  <r>
    <s v="6635-MYYYZ"/>
    <s v="Female"/>
    <x v="1"/>
    <n v="30"/>
    <x v="0"/>
    <x v="1"/>
    <n v="85.35"/>
    <n v="2530.4"/>
    <x v="1"/>
    <s v="No"/>
    <x v="2"/>
    <n v="2530.4"/>
    <x v="1"/>
    <s v="High Spend"/>
  </r>
  <r>
    <s v="8565-WUXZU"/>
    <s v="Male"/>
    <x v="2"/>
    <n v="72"/>
    <x v="1"/>
    <x v="1"/>
    <n v="84.8"/>
    <n v="6141.65"/>
    <x v="0"/>
    <s v="Yes"/>
    <x v="3"/>
    <n v="6141.65"/>
    <x v="2"/>
    <s v="High Spend"/>
  </r>
  <r>
    <s v="5281-BUZGT"/>
    <s v="Male"/>
    <x v="0"/>
    <n v="36"/>
    <x v="1"/>
    <x v="0"/>
    <n v="90.85"/>
    <n v="3186.7"/>
    <x v="1"/>
    <s v="Yes"/>
    <x v="0"/>
    <n v="3186.7"/>
    <x v="1"/>
    <s v="High Spend"/>
  </r>
  <r>
    <s v="4994-OBRSZ"/>
    <s v="Male"/>
    <x v="2"/>
    <n v="14"/>
    <x v="0"/>
    <x v="1"/>
    <n v="76.099999999999994"/>
    <n v="1054.8"/>
    <x v="0"/>
    <s v="No"/>
    <x v="2"/>
    <n v="1054.8"/>
    <x v="1"/>
    <s v="Standard Spend"/>
  </r>
  <r>
    <s v="0562-FGDCR"/>
    <s v="Female"/>
    <x v="2"/>
    <n v="72"/>
    <x v="0"/>
    <x v="1"/>
    <n v="74.55"/>
    <n v="5430.65"/>
    <x v="0"/>
    <s v="No"/>
    <x v="1"/>
    <n v="5430.65"/>
    <x v="2"/>
    <s v="High Spend"/>
  </r>
  <r>
    <s v="2436-QBZFP"/>
    <s v="Female"/>
    <x v="0"/>
    <n v="22"/>
    <x v="0"/>
    <x v="0"/>
    <n v="39.200000000000003"/>
    <n v="849.9"/>
    <x v="0"/>
    <s v="No"/>
    <x v="0"/>
    <n v="849.9"/>
    <x v="1"/>
    <s v="Standard Spend"/>
  </r>
  <r>
    <s v="3420-YJLQT"/>
    <s v="Female"/>
    <x v="0"/>
    <n v="2"/>
    <x v="1"/>
    <x v="0"/>
    <n v="79.55"/>
    <n v="151.75"/>
    <x v="0"/>
    <s v="No"/>
    <x v="0"/>
    <n v="151.75"/>
    <x v="0"/>
    <s v="Standard Spend"/>
  </r>
  <r>
    <s v="6040-CGACY"/>
    <s v="Female"/>
    <x v="0"/>
    <n v="15"/>
    <x v="2"/>
    <x v="2"/>
    <n v="19.600000000000001"/>
    <n v="299.39999999999998"/>
    <x v="0"/>
    <s v="No"/>
    <x v="1"/>
    <n v="299.39999999999998"/>
    <x v="1"/>
    <s v="Standard Spend"/>
  </r>
  <r>
    <s v="6582-PLFUU"/>
    <s v="Male"/>
    <x v="2"/>
    <n v="51"/>
    <x v="2"/>
    <x v="2"/>
    <n v="19.55"/>
    <n v="1086.75"/>
    <x v="0"/>
    <s v="No"/>
    <x v="3"/>
    <n v="1086.75"/>
    <x v="2"/>
    <s v="Standard Spend"/>
  </r>
  <r>
    <s v="8242-PDSGJ"/>
    <s v="Male"/>
    <x v="2"/>
    <n v="70"/>
    <x v="0"/>
    <x v="1"/>
    <n v="39.15"/>
    <n v="2692.75"/>
    <x v="0"/>
    <s v="Yes"/>
    <x v="3"/>
    <n v="2692.75"/>
    <x v="2"/>
    <s v="High Spend"/>
  </r>
  <r>
    <s v="0264-CNITK"/>
    <s v="Female"/>
    <x v="2"/>
    <n v="71"/>
    <x v="2"/>
    <x v="2"/>
    <n v="20.100000000000001"/>
    <n v="1389.6"/>
    <x v="0"/>
    <s v="No"/>
    <x v="2"/>
    <n v="1389.6"/>
    <x v="2"/>
    <s v="Standard Spend"/>
  </r>
  <r>
    <s v="0089-IIQKO"/>
    <s v="Female"/>
    <x v="0"/>
    <n v="39"/>
    <x v="1"/>
    <x v="1"/>
    <n v="99.95"/>
    <n v="3767.4"/>
    <x v="0"/>
    <s v="Yes"/>
    <x v="3"/>
    <n v="3767.4"/>
    <x v="2"/>
    <s v="High Spend"/>
  </r>
  <r>
    <s v="7839-NUIAA"/>
    <s v="Female"/>
    <x v="0"/>
    <n v="61"/>
    <x v="0"/>
    <x v="0"/>
    <n v="59.8"/>
    <n v="3641.5"/>
    <x v="0"/>
    <s v="No"/>
    <x v="0"/>
    <n v="3641.5"/>
    <x v="2"/>
    <s v="High Spend"/>
  </r>
  <r>
    <s v="6075-QMNRR"/>
    <s v="Female"/>
    <x v="0"/>
    <n v="52"/>
    <x v="0"/>
    <x v="0"/>
    <n v="49.75"/>
    <n v="2535.5500000000002"/>
    <x v="0"/>
    <s v="Yes"/>
    <x v="2"/>
    <n v="2535.5500000000002"/>
    <x v="2"/>
    <s v="High Spend"/>
  </r>
  <r>
    <s v="5378-IKEEG"/>
    <s v="Female"/>
    <x v="0"/>
    <n v="1"/>
    <x v="0"/>
    <x v="0"/>
    <n v="35.75"/>
    <n v="35.75"/>
    <x v="1"/>
    <s v="Yes"/>
    <x v="0"/>
    <n v="35.75"/>
    <x v="0"/>
    <s v="Standard Spend"/>
  </r>
  <r>
    <s v="5966-EMAZU"/>
    <s v="Male"/>
    <x v="1"/>
    <n v="64"/>
    <x v="1"/>
    <x v="1"/>
    <n v="108.5"/>
    <n v="6880.85"/>
    <x v="0"/>
    <s v="Yes"/>
    <x v="1"/>
    <n v="6880.85"/>
    <x v="2"/>
    <s v="High Spend"/>
  </r>
  <r>
    <s v="0440-EKDCF"/>
    <s v="Male"/>
    <x v="2"/>
    <n v="62"/>
    <x v="0"/>
    <x v="1"/>
    <n v="60.15"/>
    <n v="3753.2"/>
    <x v="0"/>
    <s v="Yes"/>
    <x v="3"/>
    <n v="3753.2"/>
    <x v="2"/>
    <s v="High Spend"/>
  </r>
  <r>
    <s v="4774-HHGGS"/>
    <s v="Male"/>
    <x v="2"/>
    <n v="30"/>
    <x v="2"/>
    <x v="2"/>
    <n v="19.05"/>
    <n v="637.54999999999995"/>
    <x v="0"/>
    <s v="No"/>
    <x v="1"/>
    <n v="637.54999999999995"/>
    <x v="1"/>
    <s v="Standard Spend"/>
  </r>
  <r>
    <s v="2718-GAXQD"/>
    <s v="Female"/>
    <x v="0"/>
    <n v="4"/>
    <x v="0"/>
    <x v="0"/>
    <n v="46"/>
    <n v="181.6"/>
    <x v="1"/>
    <s v="No"/>
    <x v="0"/>
    <n v="181.6"/>
    <x v="0"/>
    <s v="Standard Spend"/>
  </r>
  <r>
    <s v="2055-BFOCC"/>
    <s v="Male"/>
    <x v="1"/>
    <n v="63"/>
    <x v="0"/>
    <x v="1"/>
    <n v="84"/>
    <n v="5329.55"/>
    <x v="0"/>
    <s v="Yes"/>
    <x v="2"/>
    <n v="5329.55"/>
    <x v="2"/>
    <s v="High Spend"/>
  </r>
  <r>
    <s v="8180-AKMJV"/>
    <s v="Female"/>
    <x v="0"/>
    <n v="1"/>
    <x v="0"/>
    <x v="0"/>
    <n v="44.55"/>
    <n v="44.55"/>
    <x v="0"/>
    <s v="Yes"/>
    <x v="3"/>
    <n v="44.55"/>
    <x v="0"/>
    <s v="Standard Spend"/>
  </r>
  <r>
    <s v="4298-OYIFC"/>
    <s v="Male"/>
    <x v="0"/>
    <n v="15"/>
    <x v="1"/>
    <x v="1"/>
    <n v="103.45"/>
    <n v="1539.8"/>
    <x v="0"/>
    <s v="Yes"/>
    <x v="0"/>
    <n v="1539.8"/>
    <x v="1"/>
    <s v="Standard Spend"/>
  </r>
  <r>
    <s v="5566-SOEZD"/>
    <s v="Male"/>
    <x v="1"/>
    <n v="27"/>
    <x v="1"/>
    <x v="0"/>
    <n v="80.650000000000006"/>
    <n v="2209.75"/>
    <x v="0"/>
    <s v="Yes"/>
    <x v="3"/>
    <n v="2209.75"/>
    <x v="1"/>
    <s v="Standard Spend"/>
  </r>
  <r>
    <s v="9842-EFSYY"/>
    <s v="Female"/>
    <x v="0"/>
    <n v="4"/>
    <x v="0"/>
    <x v="0"/>
    <n v="57.2"/>
    <n v="223.75"/>
    <x v="0"/>
    <s v="Yes"/>
    <x v="1"/>
    <n v="223.75"/>
    <x v="0"/>
    <s v="Standard Spend"/>
  </r>
  <r>
    <s v="2272-WUSPA"/>
    <s v="Female"/>
    <x v="2"/>
    <n v="72"/>
    <x v="1"/>
    <x v="0"/>
    <n v="110.75"/>
    <n v="7751.7"/>
    <x v="0"/>
    <s v="Yes"/>
    <x v="0"/>
    <n v="7751.7"/>
    <x v="2"/>
    <s v="High Spend"/>
  </r>
  <r>
    <s v="4584-LBNMK"/>
    <s v="Male"/>
    <x v="1"/>
    <n v="45"/>
    <x v="2"/>
    <x v="2"/>
    <n v="24.7"/>
    <n v="1174.3499999999999"/>
    <x v="0"/>
    <s v="No"/>
    <x v="3"/>
    <n v="1174.3499999999999"/>
    <x v="2"/>
    <s v="Standard Spend"/>
  </r>
  <r>
    <s v="3898-GUYTS"/>
    <s v="Female"/>
    <x v="0"/>
    <n v="45"/>
    <x v="1"/>
    <x v="1"/>
    <n v="97.05"/>
    <n v="4385.05"/>
    <x v="0"/>
    <s v="Yes"/>
    <x v="0"/>
    <n v="4385.05"/>
    <x v="2"/>
    <s v="High Spend"/>
  </r>
  <r>
    <s v="0930-EHUZA"/>
    <s v="Female"/>
    <x v="1"/>
    <n v="36"/>
    <x v="0"/>
    <x v="1"/>
    <n v="76.349999999999994"/>
    <n v="2606.35"/>
    <x v="0"/>
    <s v="Yes"/>
    <x v="1"/>
    <n v="2606.35"/>
    <x v="1"/>
    <s v="High Spend"/>
  </r>
  <r>
    <s v="6413-XKKPU"/>
    <s v="Male"/>
    <x v="0"/>
    <n v="17"/>
    <x v="1"/>
    <x v="0"/>
    <n v="89.4"/>
    <n v="1539.45"/>
    <x v="1"/>
    <s v="Yes"/>
    <x v="0"/>
    <n v="1539.45"/>
    <x v="1"/>
    <s v="Standard Spend"/>
  </r>
  <r>
    <s v="9975-SKRNR"/>
    <s v="Male"/>
    <x v="0"/>
    <n v="1"/>
    <x v="2"/>
    <x v="2"/>
    <n v="18.899999999999999"/>
    <n v="18.899999999999999"/>
    <x v="0"/>
    <s v="No"/>
    <x v="1"/>
    <n v="18.899999999999999"/>
    <x v="0"/>
    <s v="Standard Spend"/>
  </r>
  <r>
    <s v="3703-KBKZP"/>
    <s v="Male"/>
    <x v="0"/>
    <n v="16"/>
    <x v="1"/>
    <x v="0"/>
    <n v="74.45"/>
    <n v="1261.3499999999999"/>
    <x v="0"/>
    <s v="Yes"/>
    <x v="2"/>
    <n v="1261.3499999999999"/>
    <x v="1"/>
    <s v="Standard Spend"/>
  </r>
  <r>
    <s v="1449-XQEMT"/>
    <s v="Male"/>
    <x v="0"/>
    <n v="3"/>
    <x v="2"/>
    <x v="2"/>
    <n v="19.8"/>
    <n v="58.15"/>
    <x v="1"/>
    <s v="Yes"/>
    <x v="1"/>
    <n v="58.15"/>
    <x v="0"/>
    <s v="Standard Spend"/>
  </r>
  <r>
    <s v="2626-URJFX"/>
    <s v="Male"/>
    <x v="0"/>
    <n v="4"/>
    <x v="0"/>
    <x v="0"/>
    <n v="50.9"/>
    <n v="225.6"/>
    <x v="1"/>
    <s v="Yes"/>
    <x v="0"/>
    <n v="225.6"/>
    <x v="0"/>
    <s v="Standard Spend"/>
  </r>
  <r>
    <s v="4973-MGTON"/>
    <s v="Female"/>
    <x v="2"/>
    <n v="71"/>
    <x v="0"/>
    <x v="1"/>
    <n v="84.4"/>
    <n v="5969.3"/>
    <x v="0"/>
    <s v="Yes"/>
    <x v="3"/>
    <n v="5969.3"/>
    <x v="2"/>
    <s v="High Spend"/>
  </r>
  <r>
    <s v="3682-YEUWS"/>
    <s v="Male"/>
    <x v="0"/>
    <n v="10"/>
    <x v="2"/>
    <x v="2"/>
    <n v="24.4"/>
    <n v="253.9"/>
    <x v="0"/>
    <s v="Yes"/>
    <x v="1"/>
    <n v="253.9"/>
    <x v="0"/>
    <s v="Standard Spend"/>
  </r>
  <r>
    <s v="1223-UNPKS"/>
    <s v="Male"/>
    <x v="2"/>
    <n v="20"/>
    <x v="2"/>
    <x v="2"/>
    <n v="20.05"/>
    <n v="400"/>
    <x v="0"/>
    <s v="No"/>
    <x v="1"/>
    <n v="400"/>
    <x v="1"/>
    <s v="Standard Spend"/>
  </r>
  <r>
    <s v="2612-RRIDN"/>
    <s v="Male"/>
    <x v="0"/>
    <n v="4"/>
    <x v="1"/>
    <x v="0"/>
    <n v="81"/>
    <n v="340.85"/>
    <x v="1"/>
    <s v="Yes"/>
    <x v="0"/>
    <n v="340.85"/>
    <x v="0"/>
    <s v="Standard Spend"/>
  </r>
  <r>
    <s v="4735-ASGMA"/>
    <s v="Male"/>
    <x v="0"/>
    <n v="26"/>
    <x v="1"/>
    <x v="0"/>
    <n v="98.35"/>
    <n v="2515.3000000000002"/>
    <x v="1"/>
    <s v="Yes"/>
    <x v="0"/>
    <n v="2515.3000000000002"/>
    <x v="1"/>
    <s v="High Spend"/>
  </r>
  <r>
    <s v="3446-QDSZF"/>
    <s v="Female"/>
    <x v="0"/>
    <n v="4"/>
    <x v="0"/>
    <x v="0"/>
    <n v="55.5"/>
    <n v="227.35"/>
    <x v="0"/>
    <s v="No"/>
    <x v="3"/>
    <n v="227.35"/>
    <x v="0"/>
    <s v="Standard Spend"/>
  </r>
  <r>
    <s v="3669-LVWZB"/>
    <s v="Male"/>
    <x v="0"/>
    <n v="5"/>
    <x v="0"/>
    <x v="0"/>
    <n v="51"/>
    <n v="305.95"/>
    <x v="1"/>
    <s v="Yes"/>
    <x v="1"/>
    <n v="305.95"/>
    <x v="0"/>
    <s v="Standard Spend"/>
  </r>
  <r>
    <s v="6892-EZDTG"/>
    <s v="Female"/>
    <x v="0"/>
    <n v="4"/>
    <x v="1"/>
    <x v="0"/>
    <n v="91.65"/>
    <n v="365.4"/>
    <x v="1"/>
    <s v="Yes"/>
    <x v="0"/>
    <n v="365.4"/>
    <x v="0"/>
    <s v="Standard Spend"/>
  </r>
  <r>
    <s v="5117-IFGPS"/>
    <s v="Male"/>
    <x v="0"/>
    <n v="29"/>
    <x v="1"/>
    <x v="0"/>
    <n v="84.3"/>
    <n v="2357.75"/>
    <x v="0"/>
    <s v="Yes"/>
    <x v="0"/>
    <n v="2357.75"/>
    <x v="1"/>
    <s v="Standard Spend"/>
  </r>
  <r>
    <s v="7379-FNIUJ"/>
    <s v="Male"/>
    <x v="0"/>
    <n v="2"/>
    <x v="1"/>
    <x v="0"/>
    <n v="100.2"/>
    <n v="198.5"/>
    <x v="0"/>
    <s v="No"/>
    <x v="0"/>
    <n v="198.5"/>
    <x v="0"/>
    <s v="Standard Spend"/>
  </r>
  <r>
    <s v="1627-AFWVJ"/>
    <s v="Female"/>
    <x v="2"/>
    <n v="29"/>
    <x v="2"/>
    <x v="2"/>
    <n v="19.399999999999999"/>
    <n v="554.25"/>
    <x v="0"/>
    <s v="No"/>
    <x v="1"/>
    <n v="554.25"/>
    <x v="1"/>
    <s v="Standard Spend"/>
  </r>
  <r>
    <s v="9725-SCPZG"/>
    <s v="Male"/>
    <x v="0"/>
    <n v="1"/>
    <x v="1"/>
    <x v="0"/>
    <n v="90.85"/>
    <n v="90.85"/>
    <x v="1"/>
    <s v="Yes"/>
    <x v="0"/>
    <n v="90.85"/>
    <x v="0"/>
    <s v="Standard Spend"/>
  </r>
  <r>
    <s v="5884-GCYMI"/>
    <s v="Male"/>
    <x v="0"/>
    <n v="1"/>
    <x v="1"/>
    <x v="0"/>
    <n v="69.400000000000006"/>
    <n v="69.400000000000006"/>
    <x v="1"/>
    <s v="No"/>
    <x v="1"/>
    <n v="69.400000000000006"/>
    <x v="0"/>
    <s v="Standard Spend"/>
  </r>
  <r>
    <s v="3217-FZDMN"/>
    <s v="Female"/>
    <x v="0"/>
    <n v="8"/>
    <x v="1"/>
    <x v="0"/>
    <n v="94.45"/>
    <n v="742.95"/>
    <x v="1"/>
    <s v="Yes"/>
    <x v="3"/>
    <n v="742.95"/>
    <x v="0"/>
    <s v="Standard Spend"/>
  </r>
  <r>
    <s v="4486-EFAEB"/>
    <s v="Male"/>
    <x v="0"/>
    <n v="13"/>
    <x v="2"/>
    <x v="2"/>
    <n v="20.399999999999999"/>
    <n v="251.65"/>
    <x v="0"/>
    <s v="Yes"/>
    <x v="0"/>
    <n v="251.65"/>
    <x v="1"/>
    <s v="Standard Spend"/>
  </r>
  <r>
    <s v="0060-FUALY"/>
    <s v="Female"/>
    <x v="0"/>
    <n v="59"/>
    <x v="1"/>
    <x v="0"/>
    <n v="94.75"/>
    <n v="5597.65"/>
    <x v="0"/>
    <s v="Yes"/>
    <x v="0"/>
    <n v="5597.65"/>
    <x v="2"/>
    <s v="High Spend"/>
  </r>
  <r>
    <s v="7853-GVUDZ"/>
    <s v="Female"/>
    <x v="0"/>
    <n v="1"/>
    <x v="2"/>
    <x v="2"/>
    <n v="20.149999999999999"/>
    <n v="20.149999999999999"/>
    <x v="1"/>
    <s v="Yes"/>
    <x v="3"/>
    <n v="20.149999999999999"/>
    <x v="0"/>
    <s v="Standard Spend"/>
  </r>
  <r>
    <s v="7480-QNVZJ"/>
    <s v="Male"/>
    <x v="0"/>
    <n v="50"/>
    <x v="1"/>
    <x v="0"/>
    <n v="95.7"/>
    <n v="4816.7"/>
    <x v="1"/>
    <s v="Yes"/>
    <x v="0"/>
    <n v="4816.7"/>
    <x v="2"/>
    <s v="High Spend"/>
  </r>
  <r>
    <s v="6954-OOYZZ"/>
    <s v="Male"/>
    <x v="0"/>
    <n v="18"/>
    <x v="0"/>
    <x v="0"/>
    <n v="44.35"/>
    <n v="768.05"/>
    <x v="0"/>
    <s v="Yes"/>
    <x v="2"/>
    <n v="768.05"/>
    <x v="1"/>
    <s v="Standard Spend"/>
  </r>
  <r>
    <s v="7088-FBAWU"/>
    <s v="Female"/>
    <x v="0"/>
    <n v="17"/>
    <x v="0"/>
    <x v="0"/>
    <n v="74.55"/>
    <n v="1215.8"/>
    <x v="0"/>
    <s v="No"/>
    <x v="1"/>
    <n v="1215.8"/>
    <x v="1"/>
    <s v="Standard Spend"/>
  </r>
  <r>
    <s v="8313-AFGBW"/>
    <s v="Male"/>
    <x v="2"/>
    <n v="47"/>
    <x v="0"/>
    <x v="0"/>
    <n v="73.599999999999994"/>
    <n v="3522.65"/>
    <x v="0"/>
    <s v="No"/>
    <x v="0"/>
    <n v="3522.65"/>
    <x v="2"/>
    <s v="High Spend"/>
  </r>
  <r>
    <s v="3943-KDREE"/>
    <s v="Female"/>
    <x v="0"/>
    <n v="26"/>
    <x v="1"/>
    <x v="0"/>
    <n v="74.95"/>
    <n v="1834.95"/>
    <x v="1"/>
    <s v="Yes"/>
    <x v="2"/>
    <n v="1834.95"/>
    <x v="1"/>
    <s v="Standard Spend"/>
  </r>
  <r>
    <s v="9239-ZBZZV"/>
    <s v="Female"/>
    <x v="0"/>
    <n v="6"/>
    <x v="0"/>
    <x v="0"/>
    <n v="47.95"/>
    <n v="305.10000000000002"/>
    <x v="1"/>
    <s v="Yes"/>
    <x v="0"/>
    <n v="305.10000000000002"/>
    <x v="0"/>
    <s v="Standard Spend"/>
  </r>
  <r>
    <s v="3097-IDVPU"/>
    <s v="Male"/>
    <x v="0"/>
    <n v="19"/>
    <x v="0"/>
    <x v="0"/>
    <n v="50.1"/>
    <n v="910.45"/>
    <x v="0"/>
    <s v="No"/>
    <x v="3"/>
    <n v="910.45"/>
    <x v="1"/>
    <s v="Standard Spend"/>
  </r>
  <r>
    <s v="4398-HSCJH"/>
    <s v="Female"/>
    <x v="0"/>
    <n v="3"/>
    <x v="0"/>
    <x v="1"/>
    <n v="63.6"/>
    <n v="155.65"/>
    <x v="1"/>
    <s v="Yes"/>
    <x v="0"/>
    <n v="155.65"/>
    <x v="0"/>
    <s v="Standard Spend"/>
  </r>
  <r>
    <s v="2197-OMWGI"/>
    <s v="Female"/>
    <x v="2"/>
    <n v="68"/>
    <x v="0"/>
    <x v="0"/>
    <n v="53"/>
    <n v="3656.25"/>
    <x v="0"/>
    <s v="Yes"/>
    <x v="0"/>
    <n v="3656.25"/>
    <x v="2"/>
    <s v="High Spend"/>
  </r>
  <r>
    <s v="2303-PJYHN"/>
    <s v="Female"/>
    <x v="0"/>
    <n v="2"/>
    <x v="2"/>
    <x v="2"/>
    <n v="19.850000000000001"/>
    <n v="52"/>
    <x v="0"/>
    <s v="No"/>
    <x v="2"/>
    <n v="52"/>
    <x v="0"/>
    <s v="Standard Spend"/>
  </r>
  <r>
    <s v="9795-VOWON"/>
    <s v="Male"/>
    <x v="1"/>
    <n v="7"/>
    <x v="0"/>
    <x v="0"/>
    <n v="24.35"/>
    <n v="150.85"/>
    <x v="0"/>
    <s v="Yes"/>
    <x v="3"/>
    <n v="150.85"/>
    <x v="0"/>
    <s v="Standard Spend"/>
  </r>
  <r>
    <s v="1237-WIYYZ"/>
    <s v="Female"/>
    <x v="0"/>
    <n v="18"/>
    <x v="2"/>
    <x v="2"/>
    <n v="19.55"/>
    <n v="389.25"/>
    <x v="0"/>
    <s v="Yes"/>
    <x v="1"/>
    <n v="389.25"/>
    <x v="1"/>
    <s v="Standard Spend"/>
  </r>
  <r>
    <s v="1987-AUELQ"/>
    <s v="Female"/>
    <x v="2"/>
    <n v="71"/>
    <x v="2"/>
    <x v="2"/>
    <n v="25.05"/>
    <n v="1873.7"/>
    <x v="0"/>
    <s v="No"/>
    <x v="3"/>
    <n v="1873.7"/>
    <x v="2"/>
    <s v="Standard Spend"/>
  </r>
  <r>
    <s v="7852-LECYP"/>
    <s v="Male"/>
    <x v="0"/>
    <n v="13"/>
    <x v="1"/>
    <x v="0"/>
    <n v="93.8"/>
    <n v="1261"/>
    <x v="0"/>
    <s v="No"/>
    <x v="3"/>
    <n v="1261"/>
    <x v="1"/>
    <s v="Standard Spend"/>
  </r>
  <r>
    <s v="4430-UZIPO"/>
    <s v="Male"/>
    <x v="0"/>
    <n v="3"/>
    <x v="0"/>
    <x v="1"/>
    <n v="36.85"/>
    <n v="108.7"/>
    <x v="1"/>
    <s v="Yes"/>
    <x v="1"/>
    <n v="108.7"/>
    <x v="0"/>
    <s v="Standard Spend"/>
  </r>
  <r>
    <s v="4822-LPTYJ"/>
    <s v="Male"/>
    <x v="2"/>
    <n v="72"/>
    <x v="1"/>
    <x v="0"/>
    <n v="103.75"/>
    <n v="7346.2"/>
    <x v="0"/>
    <s v="Yes"/>
    <x v="2"/>
    <n v="7346.2"/>
    <x v="2"/>
    <s v="High Spend"/>
  </r>
  <r>
    <s v="8165-CBKXO"/>
    <s v="Male"/>
    <x v="2"/>
    <n v="66"/>
    <x v="0"/>
    <x v="0"/>
    <n v="56.75"/>
    <n v="3708.4"/>
    <x v="0"/>
    <s v="Yes"/>
    <x v="3"/>
    <n v="3708.4"/>
    <x v="2"/>
    <s v="High Spend"/>
  </r>
  <r>
    <s v="6527-PZFPV"/>
    <s v="Male"/>
    <x v="1"/>
    <n v="24"/>
    <x v="2"/>
    <x v="2"/>
    <n v="20.8"/>
    <n v="469.65"/>
    <x v="0"/>
    <s v="Yes"/>
    <x v="3"/>
    <n v="469.65"/>
    <x v="1"/>
    <s v="Standard Spend"/>
  </r>
  <r>
    <s v="4855-SNKMY"/>
    <s v="Female"/>
    <x v="0"/>
    <n v="1"/>
    <x v="0"/>
    <x v="0"/>
    <n v="44.1"/>
    <n v="44.1"/>
    <x v="1"/>
    <s v="Yes"/>
    <x v="0"/>
    <n v="44.1"/>
    <x v="0"/>
    <s v="Standard Spend"/>
  </r>
  <r>
    <s v="9593-CVZKR"/>
    <s v="Female"/>
    <x v="2"/>
    <n v="56"/>
    <x v="2"/>
    <x v="2"/>
    <n v="24.45"/>
    <n v="1385.85"/>
    <x v="0"/>
    <s v="Yes"/>
    <x v="1"/>
    <n v="1385.85"/>
    <x v="2"/>
    <s v="Standard Spend"/>
  </r>
  <r>
    <s v="8595-SIZNC"/>
    <s v="Female"/>
    <x v="1"/>
    <n v="22"/>
    <x v="2"/>
    <x v="2"/>
    <n v="25.6"/>
    <n v="548.79999999999995"/>
    <x v="0"/>
    <s v="No"/>
    <x v="2"/>
    <n v="548.79999999999995"/>
    <x v="1"/>
    <s v="Standard Spend"/>
  </r>
  <r>
    <s v="8008-HAWED"/>
    <s v="Male"/>
    <x v="0"/>
    <n v="14"/>
    <x v="0"/>
    <x v="0"/>
    <n v="50.75"/>
    <n v="712.75"/>
    <x v="1"/>
    <s v="Yes"/>
    <x v="0"/>
    <n v="712.75"/>
    <x v="1"/>
    <s v="Standard Spend"/>
  </r>
  <r>
    <s v="7124-UGSUR"/>
    <s v="Female"/>
    <x v="1"/>
    <n v="61"/>
    <x v="1"/>
    <x v="0"/>
    <n v="104.4"/>
    <n v="6405"/>
    <x v="1"/>
    <s v="Yes"/>
    <x v="3"/>
    <n v="6405"/>
    <x v="2"/>
    <s v="High Spend"/>
  </r>
  <r>
    <s v="1862-SKORY"/>
    <s v="Female"/>
    <x v="0"/>
    <n v="40"/>
    <x v="0"/>
    <x v="0"/>
    <n v="39.299999999999997"/>
    <n v="1637.4"/>
    <x v="1"/>
    <s v="Yes"/>
    <x v="0"/>
    <n v="1637.4"/>
    <x v="2"/>
    <s v="Standard Spend"/>
  </r>
  <r>
    <s v="5236-XMZJY"/>
    <s v="Female"/>
    <x v="0"/>
    <n v="42"/>
    <x v="0"/>
    <x v="0"/>
    <n v="59.65"/>
    <n v="2536.5500000000002"/>
    <x v="0"/>
    <s v="No"/>
    <x v="2"/>
    <n v="2536.5500000000002"/>
    <x v="2"/>
    <s v="High Spend"/>
  </r>
  <r>
    <s v="4827-DPADN"/>
    <s v="Female"/>
    <x v="2"/>
    <n v="72"/>
    <x v="0"/>
    <x v="1"/>
    <n v="83.3"/>
    <n v="6042.7"/>
    <x v="0"/>
    <s v="Yes"/>
    <x v="2"/>
    <n v="6042.7"/>
    <x v="2"/>
    <s v="High Spend"/>
  </r>
  <r>
    <s v="2694-CIUMO"/>
    <s v="Female"/>
    <x v="0"/>
    <n v="12"/>
    <x v="1"/>
    <x v="1"/>
    <n v="79.55"/>
    <n v="958.25"/>
    <x v="0"/>
    <s v="Yes"/>
    <x v="3"/>
    <n v="958.25"/>
    <x v="0"/>
    <s v="Standard Spend"/>
  </r>
  <r>
    <s v="5846-ABOBJ"/>
    <s v="Male"/>
    <x v="2"/>
    <n v="71"/>
    <x v="2"/>
    <x v="2"/>
    <n v="24.45"/>
    <n v="1730.65"/>
    <x v="0"/>
    <s v="No"/>
    <x v="2"/>
    <n v="1730.65"/>
    <x v="2"/>
    <s v="Standard Spend"/>
  </r>
  <r>
    <s v="1439-LCGVL"/>
    <s v="Female"/>
    <x v="1"/>
    <n v="26"/>
    <x v="2"/>
    <x v="2"/>
    <n v="19.2"/>
    <n v="459.6"/>
    <x v="0"/>
    <s v="No"/>
    <x v="1"/>
    <n v="459.6"/>
    <x v="1"/>
    <s v="Standard Spend"/>
  </r>
  <r>
    <s v="0909-SDHNU"/>
    <s v="Female"/>
    <x v="0"/>
    <n v="7"/>
    <x v="0"/>
    <x v="0"/>
    <n v="29.8"/>
    <n v="201.95"/>
    <x v="0"/>
    <s v="No"/>
    <x v="1"/>
    <n v="201.95"/>
    <x v="0"/>
    <s v="Standard Spend"/>
  </r>
  <r>
    <s v="4647-XXZAM"/>
    <s v="Female"/>
    <x v="0"/>
    <n v="6"/>
    <x v="0"/>
    <x v="0"/>
    <n v="45.5"/>
    <n v="285.2"/>
    <x v="0"/>
    <s v="No"/>
    <x v="1"/>
    <n v="285.2"/>
    <x v="0"/>
    <s v="Standard Spend"/>
  </r>
  <r>
    <s v="1502-XFCVR"/>
    <s v="Female"/>
    <x v="1"/>
    <n v="58"/>
    <x v="1"/>
    <x v="0"/>
    <n v="106.45"/>
    <n v="6145.85"/>
    <x v="1"/>
    <s v="Yes"/>
    <x v="0"/>
    <n v="6145.85"/>
    <x v="2"/>
    <s v="High Spend"/>
  </r>
  <r>
    <s v="7740-KKCXF"/>
    <s v="Male"/>
    <x v="0"/>
    <n v="51"/>
    <x v="0"/>
    <x v="0"/>
    <n v="30.05"/>
    <n v="1529.45"/>
    <x v="0"/>
    <s v="Yes"/>
    <x v="3"/>
    <n v="1529.45"/>
    <x v="2"/>
    <s v="Standard Spend"/>
  </r>
  <r>
    <s v="5360-XGYAZ"/>
    <s v="Male"/>
    <x v="2"/>
    <n v="72"/>
    <x v="0"/>
    <x v="1"/>
    <n v="65.650000000000006"/>
    <n v="4664.5"/>
    <x v="0"/>
    <s v="Yes"/>
    <x v="2"/>
    <n v="4664.5"/>
    <x v="2"/>
    <s v="High Spend"/>
  </r>
  <r>
    <s v="9692-TUSXH"/>
    <s v="Female"/>
    <x v="0"/>
    <n v="18"/>
    <x v="1"/>
    <x v="0"/>
    <n v="96.05"/>
    <n v="1740.7"/>
    <x v="1"/>
    <s v="Yes"/>
    <x v="0"/>
    <n v="1740.7"/>
    <x v="1"/>
    <s v="Standard Spend"/>
  </r>
  <r>
    <s v="7912-SYRQT"/>
    <s v="Female"/>
    <x v="0"/>
    <n v="7"/>
    <x v="1"/>
    <x v="0"/>
    <n v="75.099999999999994"/>
    <n v="552.95000000000005"/>
    <x v="1"/>
    <s v="Yes"/>
    <x v="2"/>
    <n v="552.95000000000005"/>
    <x v="0"/>
    <s v="Standard Spend"/>
  </r>
  <r>
    <s v="3557-HTYWR"/>
    <s v="Female"/>
    <x v="2"/>
    <n v="47"/>
    <x v="0"/>
    <x v="1"/>
    <n v="74.05"/>
    <n v="3496.3"/>
    <x v="0"/>
    <s v="No"/>
    <x v="1"/>
    <n v="3496.3"/>
    <x v="2"/>
    <s v="High Spend"/>
  </r>
  <r>
    <s v="4816-JBHOV"/>
    <s v="Male"/>
    <x v="0"/>
    <n v="2"/>
    <x v="0"/>
    <x v="0"/>
    <n v="44.7"/>
    <n v="93.7"/>
    <x v="1"/>
    <s v="Yes"/>
    <x v="0"/>
    <n v="93.7"/>
    <x v="0"/>
    <s v="Standard Spend"/>
  </r>
  <r>
    <s v="8920-NAVAY"/>
    <s v="Male"/>
    <x v="1"/>
    <n v="62"/>
    <x v="1"/>
    <x v="1"/>
    <n v="110.75"/>
    <n v="7053.35"/>
    <x v="0"/>
    <s v="Yes"/>
    <x v="2"/>
    <n v="7053.35"/>
    <x v="2"/>
    <s v="High Spend"/>
  </r>
  <r>
    <s v="1699-TLDLZ"/>
    <s v="Female"/>
    <x v="2"/>
    <n v="16"/>
    <x v="2"/>
    <x v="2"/>
    <n v="19.7"/>
    <n v="301.55"/>
    <x v="0"/>
    <s v="No"/>
    <x v="1"/>
    <n v="301.55"/>
    <x v="1"/>
    <s v="Standard Spend"/>
  </r>
  <r>
    <s v="5600-PDUJF"/>
    <s v="Male"/>
    <x v="0"/>
    <n v="6"/>
    <x v="0"/>
    <x v="1"/>
    <n v="49.5"/>
    <n v="312.7"/>
    <x v="0"/>
    <s v="Yes"/>
    <x v="3"/>
    <n v="312.7"/>
    <x v="0"/>
    <s v="Standard Spe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355EA8-BCB6-404F-B9DE-F65A4FA076AC}" name="PivotTable3"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3:C30" firstHeaderRow="1" firstDataRow="1" firstDataCol="2"/>
  <pivotFields count="14">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0"/>
        <item x="1"/>
        <item x="2"/>
      </items>
    </pivotField>
    <pivotField compact="0" outline="0" showAll="0" defaultSubtotal="0">
      <items count="3">
        <item x="0"/>
        <item x="2"/>
        <item x="1"/>
      </items>
    </pivotField>
    <pivotField compact="0" outline="0" showAll="0" defaultSubtotal="0"/>
    <pivotField dataField="1" compact="0" outline="0" showAll="0" defaultSubtotal="0"/>
    <pivotField axis="axisRow" compact="0" outline="0" showAll="0" defaultSubtotal="0">
      <items count="2">
        <item x="0"/>
        <item x="1"/>
      </items>
    </pivotField>
    <pivotField compact="0" outline="0" showAll="0" defaultSubtotal="0"/>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s>
  <rowFields count="2">
    <field x="4"/>
    <field x="8"/>
  </rowFields>
  <rowItems count="7">
    <i>
      <x/>
      <x/>
    </i>
    <i r="1">
      <x v="1"/>
    </i>
    <i>
      <x v="1"/>
      <x/>
    </i>
    <i r="1">
      <x v="1"/>
    </i>
    <i>
      <x v="2"/>
      <x/>
    </i>
    <i r="1">
      <x v="1"/>
    </i>
    <i t="grand">
      <x/>
    </i>
  </rowItems>
  <colItems count="1">
    <i/>
  </colItems>
  <dataFields count="1">
    <dataField name="Sum of TotalCharges" fld="7" baseField="4" baseItem="0"/>
  </dataField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3">
          <reference field="4294967294" count="1" selected="0">
            <x v="0"/>
          </reference>
          <reference field="4" count="1" selected="0">
            <x v="0"/>
          </reference>
          <reference field="8" count="1" selected="0">
            <x v="0"/>
          </reference>
        </references>
      </pivotArea>
    </chartFormat>
    <chartFormat chart="5" format="10">
      <pivotArea type="data" outline="0" fieldPosition="0">
        <references count="3">
          <reference field="4294967294" count="1" selected="0">
            <x v="0"/>
          </reference>
          <reference field="4" count="1" selected="0">
            <x v="0"/>
          </reference>
          <reference field="8" count="1" selected="0">
            <x v="1"/>
          </reference>
        </references>
      </pivotArea>
    </chartFormat>
    <chartFormat chart="5" format="11">
      <pivotArea type="data" outline="0" fieldPosition="0">
        <references count="3">
          <reference field="4294967294" count="1" selected="0">
            <x v="0"/>
          </reference>
          <reference field="4" count="1" selected="0">
            <x v="1"/>
          </reference>
          <reference field="8" count="1" selected="0">
            <x v="0"/>
          </reference>
        </references>
      </pivotArea>
    </chartFormat>
    <chartFormat chart="5" format="12">
      <pivotArea type="data" outline="0" fieldPosition="0">
        <references count="3">
          <reference field="4294967294" count="1" selected="0">
            <x v="0"/>
          </reference>
          <reference field="4" count="1" selected="0">
            <x v="1"/>
          </reference>
          <reference field="8" count="1" selected="0">
            <x v="1"/>
          </reference>
        </references>
      </pivotArea>
    </chartFormat>
    <chartFormat chart="5" format="13">
      <pivotArea type="data" outline="0" fieldPosition="0">
        <references count="3">
          <reference field="4294967294" count="1" selected="0">
            <x v="0"/>
          </reference>
          <reference field="4" count="1" selected="0">
            <x v="2"/>
          </reference>
          <reference field="8" count="1" selected="0">
            <x v="0"/>
          </reference>
        </references>
      </pivotArea>
    </chartFormat>
    <chartFormat chart="5" format="14">
      <pivotArea type="data" outline="0" fieldPosition="0">
        <references count="3">
          <reference field="4294967294" count="1" selected="0">
            <x v="0"/>
          </reference>
          <reference field="4" count="1" selected="0">
            <x v="2"/>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DBCB5-2677-4DB7-8049-70CD4B49731A}" name="PivotTable2"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3:D18" firstHeaderRow="1" firstDataRow="2" firstDataCol="1"/>
  <pivotFields count="14">
    <pivotField dataField="1"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s>
  <rowFields count="1">
    <field x="12"/>
  </rowFields>
  <rowItems count="4">
    <i>
      <x/>
    </i>
    <i>
      <x v="1"/>
    </i>
    <i>
      <x v="2"/>
    </i>
    <i t="grand">
      <x/>
    </i>
  </rowItems>
  <colFields count="1">
    <field x="8"/>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F8D715-BACE-45B1-8DCD-32139F8C636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14">
    <pivotField dataField="1" showAll="0"/>
    <pivotField showAll="0"/>
    <pivotField axis="axisRow" showAll="0">
      <items count="4">
        <item x="0"/>
        <item x="1"/>
        <item x="2"/>
        <item t="default"/>
      </items>
    </pivotField>
    <pivotField showAll="0"/>
    <pivotField showAll="0">
      <items count="4">
        <item x="0"/>
        <item x="1"/>
        <item x="2"/>
        <item t="default"/>
      </items>
    </pivotField>
    <pivotField showAll="0">
      <items count="4">
        <item x="0"/>
        <item x="2"/>
        <item x="1"/>
        <item t="default"/>
      </items>
    </pivotField>
    <pivotField showAll="0"/>
    <pivotField showAll="0"/>
    <pivotField axis="axisCol" showAll="0">
      <items count="3">
        <item x="0"/>
        <item x="1"/>
        <item t="default"/>
      </items>
    </pivotField>
    <pivotField showAll="0"/>
    <pivotField showAll="0">
      <items count="5">
        <item x="2"/>
        <item x="3"/>
        <item x="0"/>
        <item x="1"/>
        <item t="default"/>
      </items>
    </pivotField>
    <pivotField showAll="0"/>
    <pivotField showAll="0"/>
    <pivotField showAll="0"/>
  </pivotFields>
  <rowFields count="1">
    <field x="2"/>
  </rowFields>
  <rowItems count="4">
    <i>
      <x/>
    </i>
    <i>
      <x v="1"/>
    </i>
    <i>
      <x v="2"/>
    </i>
    <i t="grand">
      <x/>
    </i>
  </rowItems>
  <colFields count="1">
    <field x="8"/>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8E321BA6-CD45-49D2-851F-393C44BCC558}" sourceName="InternetService">
  <pivotTables>
    <pivotTable tabId="7" name="PivotTable1"/>
    <pivotTable tabId="7" name="PivotTable2"/>
    <pivotTable tabId="7" name="PivotTable3"/>
  </pivotTables>
  <data>
    <tabular pivotCacheId="6653423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87F693C7-9E5C-49F2-8A1C-1874F349889F}" sourceName="TechSupport">
  <pivotTables>
    <pivotTable tabId="7" name="PivotTable1"/>
    <pivotTable tabId="7" name="PivotTable2"/>
    <pivotTable tabId="7" name="PivotTable3"/>
  </pivotTables>
  <data>
    <tabular pivotCacheId="6653423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00DB5D3-2E0A-41B9-9A39-62C8FB363F46}" sourceName="PaymentMethod">
  <pivotTables>
    <pivotTable tabId="7" name="PivotTable1"/>
    <pivotTable tabId="7" name="PivotTable2"/>
    <pivotTable tabId="7" name="PivotTable3"/>
  </pivotTables>
  <data>
    <tabular pivotCacheId="6653423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C2C971E8-AD5C-44A1-8E50-E8FC1F1F1EE5}" cache="Slicer_InternetService" caption="InternetService" columnCount="3" style="SlicerStyleOther2" rowHeight="234950"/>
  <slicer name="TechSupport" xr10:uid="{9196EC39-8FF2-4298-8A1F-C29482A13645}" cache="Slicer_TechSupport" caption="TechSupport" columnCount="3" style="SlicerStyleOther2" rowHeight="234950"/>
  <slicer name="PaymentMethod" xr10:uid="{E447E5C1-2F87-46CB-A483-303DDEE27FB1}" cache="Slicer_PaymentMethod" caption="PaymentMethod" columnCount="4"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8DE5EF-1014-4CA7-8BAB-121F832A630D}" name="TelecomData" displayName="TelecomData" ref="A1:N5002" totalsRowShown="0" headerRowDxfId="6" dataDxfId="7">
  <autoFilter ref="A1:N5002" xr:uid="{208DE5EF-1014-4CA7-8BAB-121F832A630D}"/>
  <tableColumns count="14">
    <tableColumn id="1" xr3:uid="{080BD0D5-3FDB-45B1-B64C-8BB9F28DD408}" name="CustomerID" dataDxfId="16"/>
    <tableColumn id="2" xr3:uid="{68D430F6-96D0-4626-A7AD-26A7F3D7B06C}" name="Gender" dataDxfId="15"/>
    <tableColumn id="3" xr3:uid="{77B673ED-F67F-4CF5-B2EB-E135532AB92E}" name="ContractType" dataDxfId="14"/>
    <tableColumn id="4" xr3:uid="{D9C548CA-A7AB-46D6-A7AF-2D794F915E45}" name="TenureMonths" dataDxfId="13"/>
    <tableColumn id="5" xr3:uid="{861942BA-0293-4CAF-8933-C743C7117EC8}" name="InternetService" dataDxfId="12"/>
    <tableColumn id="6" xr3:uid="{DFC2FF30-30C3-473A-92A3-3A79DFB9FECF}" name="TechSupport" dataDxfId="11"/>
    <tableColumn id="7" xr3:uid="{837F3F91-222A-4347-A8A5-D3315B8923DA}" name="MonthlyCharges" dataDxfId="5"/>
    <tableColumn id="8" xr3:uid="{82201299-78B9-4CAA-A57E-03C53B1E6B3A}" name="TotalCharges" dataDxfId="4"/>
    <tableColumn id="9" xr3:uid="{7E39C458-AF82-418A-B1E9-909B75007C76}" name="Churn" dataDxfId="10"/>
    <tableColumn id="10" xr3:uid="{1DAFCFD1-94AA-4927-AA52-F8D917F410BA}" name="PaperlessBilling" dataDxfId="9"/>
    <tableColumn id="11" xr3:uid="{D1D21AAD-1892-422B-BD5B-F1D6D7C9950B}" name="PaymentMethod" dataDxfId="8"/>
    <tableColumn id="13" xr3:uid="{B1FB882B-51CA-4DCE-991A-F6FEDA06E08E}" name="CleanedTotalCharges" dataDxfId="3"/>
    <tableColumn id="14" xr3:uid="{4CE1C618-4444-477E-A95C-4C538394EA45}" name="TenureGroup" dataDxfId="2">
      <calculatedColumnFormula>_xlfn.IFS(TelecomData[[#This Row],[TenureMonths]]&lt;=12, "0-1 Year", TelecomData[[#This Row],[TenureMonths]]&lt;=36, "1-3 Years", TelecomData[[#This Row],[TenureMonths]]&gt;36, "3+ Years")</calculatedColumnFormula>
    </tableColumn>
    <tableColumn id="15" xr3:uid="{A440F6D4-96BD-4409-B8F0-BA08206C7E17}" name="RiskSegment" dataDxfId="1">
      <calculatedColumnFormula>IF(TelecomData[[#This Row],[CleanedTotalCharges]]&gt;=2500,"High Spend", "Standard Spend")</calculatedColumnFormula>
    </tableColumn>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D0ADA2-0959-4A99-B384-8AC70BF86178}" name="TelcoDataSet" displayName="TelcoDataSet" ref="A1:N5002" totalsRowShown="0">
  <autoFilter ref="A1:N5002" xr:uid="{D8D0ADA2-0959-4A99-B384-8AC70BF86178}"/>
  <tableColumns count="14">
    <tableColumn id="1" xr3:uid="{7DB7B808-5CF7-44E0-8B39-C4C43300ABFF}" name="CustomerID"/>
    <tableColumn id="2" xr3:uid="{8B8A0632-1565-4B20-A069-4CC1774C4CE0}" name="Gender"/>
    <tableColumn id="3" xr3:uid="{BC4A54E6-5E17-4B2B-BB22-AAAC07FFE216}" name="ContractType"/>
    <tableColumn id="4" xr3:uid="{DBD802BA-6208-402A-B0DA-FED663E705E7}" name="TenureMonths"/>
    <tableColumn id="5" xr3:uid="{2A397EA1-EF9A-4B9B-9978-451B68710808}" name="InternetService"/>
    <tableColumn id="6" xr3:uid="{9F6D0EB1-1653-4576-80E2-BD5A06DB8B28}" name="TechSupport"/>
    <tableColumn id="7" xr3:uid="{5027E501-2E2C-4D8B-92E1-8AC73A08A90F}" name="MonthlyCharges"/>
    <tableColumn id="8" xr3:uid="{8B30C8E0-73F9-4101-BF72-ED0A82B4B315}" name="TotalCharges"/>
    <tableColumn id="9" xr3:uid="{880651D0-5884-4BC1-B332-90436B151C1F}" name="Churn"/>
    <tableColumn id="10" xr3:uid="{A2624CB9-115D-4381-A390-4A030D5AC958}" name="PaperlessBilling"/>
    <tableColumn id="11" xr3:uid="{E178BE62-EEBF-4271-8FEC-865546CF8952}" name="PaymentMethod"/>
    <tableColumn id="12" xr3:uid="{D34CA4F0-1116-48D9-8E40-5056282F7D13}" name="CleanedTotalCharges"/>
    <tableColumn id="13" xr3:uid="{68005ACA-70A5-4A56-AD28-5412AA7D7485}" name="TenureGroup"/>
    <tableColumn id="14" xr3:uid="{1ACF4724-9D65-46DA-84E0-302284514A7A}" name="Risk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9671-244D-4A45-BACA-65B7BD4AE27D}">
  <dimension ref="A1:N5002"/>
  <sheetViews>
    <sheetView topLeftCell="B1" workbookViewId="0">
      <selection activeCell="L12" sqref="L12"/>
    </sheetView>
  </sheetViews>
  <sheetFormatPr defaultRowHeight="14.4" x14ac:dyDescent="0.3"/>
  <cols>
    <col min="1" max="1" width="13.44140625" customWidth="1"/>
    <col min="2" max="2" width="9.44140625" customWidth="1"/>
    <col min="3" max="3" width="15" customWidth="1"/>
    <col min="4" max="4" width="16" customWidth="1"/>
    <col min="5" max="5" width="16.77734375" customWidth="1"/>
    <col min="6" max="6" width="15.6640625" bestFit="1" customWidth="1"/>
    <col min="7" max="7" width="17.44140625" style="8" customWidth="1"/>
    <col min="8" max="8" width="14.5546875" style="8" customWidth="1"/>
    <col min="9" max="9" width="8.21875" customWidth="1"/>
    <col min="10" max="10" width="17" customWidth="1"/>
    <col min="11" max="11" width="20.88671875" bestFit="1" customWidth="1"/>
    <col min="12" max="12" width="22.33203125" style="8" bestFit="1" customWidth="1"/>
    <col min="13" max="13" width="15" bestFit="1" customWidth="1"/>
    <col min="14" max="14" width="14.33203125" customWidth="1"/>
  </cols>
  <sheetData>
    <row r="1" spans="1:14" s="5" customFormat="1" ht="15" thickBot="1" x14ac:dyDescent="0.35">
      <c r="A1" s="3" t="s">
        <v>0</v>
      </c>
      <c r="B1" s="3" t="s">
        <v>1</v>
      </c>
      <c r="C1" s="3" t="s">
        <v>2</v>
      </c>
      <c r="D1" s="3" t="s">
        <v>3</v>
      </c>
      <c r="E1" s="3" t="s">
        <v>4</v>
      </c>
      <c r="F1" s="3" t="s">
        <v>5</v>
      </c>
      <c r="G1" s="6" t="s">
        <v>6</v>
      </c>
      <c r="H1" s="6" t="s">
        <v>7</v>
      </c>
      <c r="I1" s="3" t="s">
        <v>8</v>
      </c>
      <c r="J1" s="4" t="s">
        <v>9</v>
      </c>
      <c r="K1" s="4" t="s">
        <v>10</v>
      </c>
      <c r="L1" s="10" t="s">
        <v>5027</v>
      </c>
      <c r="M1" s="9" t="s">
        <v>5028</v>
      </c>
      <c r="N1" s="9" t="s">
        <v>5029</v>
      </c>
    </row>
    <row r="2" spans="1:14" x14ac:dyDescent="0.3">
      <c r="A2" s="1" t="s">
        <v>11</v>
      </c>
      <c r="B2" s="2" t="s">
        <v>12</v>
      </c>
      <c r="C2" s="2" t="s">
        <v>13</v>
      </c>
      <c r="D2" s="2">
        <v>1</v>
      </c>
      <c r="E2" s="2" t="s">
        <v>14</v>
      </c>
      <c r="F2" s="2" t="s">
        <v>15</v>
      </c>
      <c r="G2" s="7">
        <v>29.85</v>
      </c>
      <c r="H2" s="7">
        <v>29.85</v>
      </c>
      <c r="I2" s="2" t="s">
        <v>15</v>
      </c>
      <c r="J2" s="2" t="s">
        <v>16</v>
      </c>
      <c r="K2" s="2" t="s">
        <v>17</v>
      </c>
      <c r="L2" s="7">
        <v>29.85</v>
      </c>
      <c r="M2" s="2" t="str">
        <f>_xlfn.IFS(TelecomData[[#This Row],[TenureMonths]]&lt;=12, "0-1 Year", TelecomData[[#This Row],[TenureMonths]]&lt;=36, "1-3 Years", TelecomData[[#This Row],[TenureMonths]]&gt;36, "3+ Years")</f>
        <v>0-1 Year</v>
      </c>
      <c r="N2" s="2" t="str">
        <f>IF(TelecomData[[#This Row],[CleanedTotalCharges]]&gt;=2500,"High Spend", "Standard Spend")</f>
        <v>Standard Spend</v>
      </c>
    </row>
    <row r="3" spans="1:14" x14ac:dyDescent="0.3">
      <c r="A3" s="1" t="s">
        <v>18</v>
      </c>
      <c r="B3" s="2" t="s">
        <v>19</v>
      </c>
      <c r="C3" s="2" t="s">
        <v>20</v>
      </c>
      <c r="D3" s="2">
        <v>34</v>
      </c>
      <c r="E3" s="2" t="s">
        <v>14</v>
      </c>
      <c r="F3" s="2" t="s">
        <v>15</v>
      </c>
      <c r="G3" s="7">
        <v>56.95</v>
      </c>
      <c r="H3" s="7">
        <v>1889.5</v>
      </c>
      <c r="I3" s="2" t="s">
        <v>15</v>
      </c>
      <c r="J3" s="2" t="s">
        <v>15</v>
      </c>
      <c r="K3" s="2" t="s">
        <v>21</v>
      </c>
      <c r="L3" s="7">
        <v>1889.5</v>
      </c>
      <c r="M3" s="2" t="str">
        <f>_xlfn.IFS(TelecomData[[#This Row],[TenureMonths]]&lt;=12, "0-1 Year", TelecomData[[#This Row],[TenureMonths]]&lt;=36, "1-3 Years", TelecomData[[#This Row],[TenureMonths]]&gt;36, "3+ Years")</f>
        <v>1-3 Years</v>
      </c>
      <c r="N3" s="2" t="str">
        <f>IF(TelecomData[[#This Row],[CleanedTotalCharges]]&gt;=2500,"High Spend", "Standard Spend")</f>
        <v>Standard Spend</v>
      </c>
    </row>
    <row r="4" spans="1:14" x14ac:dyDescent="0.3">
      <c r="A4" s="1" t="s">
        <v>22</v>
      </c>
      <c r="B4" s="2" t="s">
        <v>19</v>
      </c>
      <c r="C4" s="2" t="s">
        <v>13</v>
      </c>
      <c r="D4" s="2">
        <v>2</v>
      </c>
      <c r="E4" s="2" t="s">
        <v>14</v>
      </c>
      <c r="F4" s="2" t="s">
        <v>15</v>
      </c>
      <c r="G4" s="7">
        <v>53.85</v>
      </c>
      <c r="H4" s="7">
        <v>108.15</v>
      </c>
      <c r="I4" s="2" t="s">
        <v>16</v>
      </c>
      <c r="J4" s="2" t="s">
        <v>16</v>
      </c>
      <c r="K4" s="2" t="s">
        <v>21</v>
      </c>
      <c r="L4" s="7">
        <v>108.15</v>
      </c>
      <c r="M4" s="2" t="str">
        <f>_xlfn.IFS(TelecomData[[#This Row],[TenureMonths]]&lt;=12, "0-1 Year", TelecomData[[#This Row],[TenureMonths]]&lt;=36, "1-3 Years", TelecomData[[#This Row],[TenureMonths]]&gt;36, "3+ Years")</f>
        <v>0-1 Year</v>
      </c>
      <c r="N4" s="2" t="str">
        <f>IF(TelecomData[[#This Row],[CleanedTotalCharges]]&gt;=2500,"High Spend", "Standard Spend")</f>
        <v>Standard Spend</v>
      </c>
    </row>
    <row r="5" spans="1:14" x14ac:dyDescent="0.3">
      <c r="A5" s="1" t="s">
        <v>23</v>
      </c>
      <c r="B5" s="2" t="s">
        <v>19</v>
      </c>
      <c r="C5" s="2" t="s">
        <v>20</v>
      </c>
      <c r="D5" s="2">
        <v>45</v>
      </c>
      <c r="E5" s="2" t="s">
        <v>14</v>
      </c>
      <c r="F5" s="2" t="s">
        <v>16</v>
      </c>
      <c r="G5" s="7">
        <v>42.3</v>
      </c>
      <c r="H5" s="7">
        <v>1840.75</v>
      </c>
      <c r="I5" s="2" t="s">
        <v>15</v>
      </c>
      <c r="J5" s="2" t="s">
        <v>15</v>
      </c>
      <c r="K5" s="2" t="s">
        <v>24</v>
      </c>
      <c r="L5" s="7">
        <v>1840.75</v>
      </c>
      <c r="M5" s="2" t="str">
        <f>_xlfn.IFS(TelecomData[[#This Row],[TenureMonths]]&lt;=12, "0-1 Year", TelecomData[[#This Row],[TenureMonths]]&lt;=36, "1-3 Years", TelecomData[[#This Row],[TenureMonths]]&gt;36, "3+ Years")</f>
        <v>3+ Years</v>
      </c>
      <c r="N5" s="2" t="str">
        <f>IF(TelecomData[[#This Row],[CleanedTotalCharges]]&gt;=2500,"High Spend", "Standard Spend")</f>
        <v>Standard Spend</v>
      </c>
    </row>
    <row r="6" spans="1:14" x14ac:dyDescent="0.3">
      <c r="A6" s="1" t="s">
        <v>25</v>
      </c>
      <c r="B6" s="2" t="s">
        <v>12</v>
      </c>
      <c r="C6" s="2" t="s">
        <v>13</v>
      </c>
      <c r="D6" s="2">
        <v>2</v>
      </c>
      <c r="E6" s="2" t="s">
        <v>26</v>
      </c>
      <c r="F6" s="2" t="s">
        <v>15</v>
      </c>
      <c r="G6" s="7">
        <v>70.7</v>
      </c>
      <c r="H6" s="7">
        <v>151.65</v>
      </c>
      <c r="I6" s="2" t="s">
        <v>16</v>
      </c>
      <c r="J6" s="2" t="s">
        <v>16</v>
      </c>
      <c r="K6" s="2" t="s">
        <v>17</v>
      </c>
      <c r="L6" s="7">
        <v>151.65</v>
      </c>
      <c r="M6" s="2" t="str">
        <f>_xlfn.IFS(TelecomData[[#This Row],[TenureMonths]]&lt;=12, "0-1 Year", TelecomData[[#This Row],[TenureMonths]]&lt;=36, "1-3 Years", TelecomData[[#This Row],[TenureMonths]]&gt;36, "3+ Years")</f>
        <v>0-1 Year</v>
      </c>
      <c r="N6" s="2" t="str">
        <f>IF(TelecomData[[#This Row],[CleanedTotalCharges]]&gt;=2500,"High Spend", "Standard Spend")</f>
        <v>Standard Spend</v>
      </c>
    </row>
    <row r="7" spans="1:14" x14ac:dyDescent="0.3">
      <c r="A7" s="1" t="s">
        <v>27</v>
      </c>
      <c r="B7" s="2" t="s">
        <v>12</v>
      </c>
      <c r="C7" s="2" t="s">
        <v>13</v>
      </c>
      <c r="D7" s="2">
        <v>8</v>
      </c>
      <c r="E7" s="2" t="s">
        <v>26</v>
      </c>
      <c r="F7" s="2" t="s">
        <v>15</v>
      </c>
      <c r="G7" s="7">
        <v>99.65</v>
      </c>
      <c r="H7" s="7">
        <v>820.5</v>
      </c>
      <c r="I7" s="2" t="s">
        <v>16</v>
      </c>
      <c r="J7" s="2" t="s">
        <v>16</v>
      </c>
      <c r="K7" s="2" t="s">
        <v>17</v>
      </c>
      <c r="L7" s="7">
        <v>820.5</v>
      </c>
      <c r="M7" s="2" t="str">
        <f>_xlfn.IFS(TelecomData[[#This Row],[TenureMonths]]&lt;=12, "0-1 Year", TelecomData[[#This Row],[TenureMonths]]&lt;=36, "1-3 Years", TelecomData[[#This Row],[TenureMonths]]&gt;36, "3+ Years")</f>
        <v>0-1 Year</v>
      </c>
      <c r="N7" s="2" t="str">
        <f>IF(TelecomData[[#This Row],[CleanedTotalCharges]]&gt;=2500,"High Spend", "Standard Spend")</f>
        <v>Standard Spend</v>
      </c>
    </row>
    <row r="8" spans="1:14" x14ac:dyDescent="0.3">
      <c r="A8" s="1" t="s">
        <v>28</v>
      </c>
      <c r="B8" s="2" t="s">
        <v>19</v>
      </c>
      <c r="C8" s="2" t="s">
        <v>13</v>
      </c>
      <c r="D8" s="2">
        <v>22</v>
      </c>
      <c r="E8" s="2" t="s">
        <v>26</v>
      </c>
      <c r="F8" s="2" t="s">
        <v>15</v>
      </c>
      <c r="G8" s="7">
        <v>89.1</v>
      </c>
      <c r="H8" s="7">
        <v>1949.4</v>
      </c>
      <c r="I8" s="2" t="s">
        <v>15</v>
      </c>
      <c r="J8" s="2" t="s">
        <v>16</v>
      </c>
      <c r="K8" s="2" t="s">
        <v>29</v>
      </c>
      <c r="L8" s="7">
        <v>1949.4</v>
      </c>
      <c r="M8" s="2" t="str">
        <f>_xlfn.IFS(TelecomData[[#This Row],[TenureMonths]]&lt;=12, "0-1 Year", TelecomData[[#This Row],[TenureMonths]]&lt;=36, "1-3 Years", TelecomData[[#This Row],[TenureMonths]]&gt;36, "3+ Years")</f>
        <v>1-3 Years</v>
      </c>
      <c r="N8" s="2" t="str">
        <f>IF(TelecomData[[#This Row],[CleanedTotalCharges]]&gt;=2500,"High Spend", "Standard Spend")</f>
        <v>Standard Spend</v>
      </c>
    </row>
    <row r="9" spans="1:14" x14ac:dyDescent="0.3">
      <c r="A9" s="1" t="s">
        <v>30</v>
      </c>
      <c r="B9" s="2" t="s">
        <v>12</v>
      </c>
      <c r="C9" s="2" t="s">
        <v>13</v>
      </c>
      <c r="D9" s="2">
        <v>10</v>
      </c>
      <c r="E9" s="2" t="s">
        <v>14</v>
      </c>
      <c r="F9" s="2" t="s">
        <v>15</v>
      </c>
      <c r="G9" s="7">
        <v>29.75</v>
      </c>
      <c r="H9" s="7">
        <v>301.89999999999998</v>
      </c>
      <c r="I9" s="2" t="s">
        <v>15</v>
      </c>
      <c r="J9" s="2" t="s">
        <v>15</v>
      </c>
      <c r="K9" s="2" t="s">
        <v>21</v>
      </c>
      <c r="L9" s="7">
        <v>301.89999999999998</v>
      </c>
      <c r="M9" s="2" t="str">
        <f>_xlfn.IFS(TelecomData[[#This Row],[TenureMonths]]&lt;=12, "0-1 Year", TelecomData[[#This Row],[TenureMonths]]&lt;=36, "1-3 Years", TelecomData[[#This Row],[TenureMonths]]&gt;36, "3+ Years")</f>
        <v>0-1 Year</v>
      </c>
      <c r="N9" s="2" t="str">
        <f>IF(TelecomData[[#This Row],[CleanedTotalCharges]]&gt;=2500,"High Spend", "Standard Spend")</f>
        <v>Standard Spend</v>
      </c>
    </row>
    <row r="10" spans="1:14" x14ac:dyDescent="0.3">
      <c r="A10" s="1" t="s">
        <v>31</v>
      </c>
      <c r="B10" s="2" t="s">
        <v>12</v>
      </c>
      <c r="C10" s="2" t="s">
        <v>13</v>
      </c>
      <c r="D10" s="2">
        <v>28</v>
      </c>
      <c r="E10" s="2" t="s">
        <v>26</v>
      </c>
      <c r="F10" s="2" t="s">
        <v>16</v>
      </c>
      <c r="G10" s="7">
        <v>104.8</v>
      </c>
      <c r="H10" s="7">
        <v>3046.05</v>
      </c>
      <c r="I10" s="2" t="s">
        <v>16</v>
      </c>
      <c r="J10" s="2" t="s">
        <v>16</v>
      </c>
      <c r="K10" s="2" t="s">
        <v>17</v>
      </c>
      <c r="L10" s="7">
        <v>3046.05</v>
      </c>
      <c r="M10" s="2" t="str">
        <f>_xlfn.IFS(TelecomData[[#This Row],[TenureMonths]]&lt;=12, "0-1 Year", TelecomData[[#This Row],[TenureMonths]]&lt;=36, "1-3 Years", TelecomData[[#This Row],[TenureMonths]]&gt;36, "3+ Years")</f>
        <v>1-3 Years</v>
      </c>
      <c r="N10" s="2" t="str">
        <f>IF(TelecomData[[#This Row],[CleanedTotalCharges]]&gt;=2500,"High Spend", "Standard Spend")</f>
        <v>High Spend</v>
      </c>
    </row>
    <row r="11" spans="1:14" x14ac:dyDescent="0.3">
      <c r="A11" s="1" t="s">
        <v>32</v>
      </c>
      <c r="B11" s="2" t="s">
        <v>19</v>
      </c>
      <c r="C11" s="2" t="s">
        <v>20</v>
      </c>
      <c r="D11" s="2">
        <v>62</v>
      </c>
      <c r="E11" s="2" t="s">
        <v>14</v>
      </c>
      <c r="F11" s="2" t="s">
        <v>15</v>
      </c>
      <c r="G11" s="7">
        <v>56.15</v>
      </c>
      <c r="H11" s="7">
        <v>3487.95</v>
      </c>
      <c r="I11" s="2" t="s">
        <v>15</v>
      </c>
      <c r="J11" s="2" t="s">
        <v>15</v>
      </c>
      <c r="K11" s="2" t="s">
        <v>24</v>
      </c>
      <c r="L11" s="7">
        <v>3487.95</v>
      </c>
      <c r="M11" s="2" t="str">
        <f>_xlfn.IFS(TelecomData[[#This Row],[TenureMonths]]&lt;=12, "0-1 Year", TelecomData[[#This Row],[TenureMonths]]&lt;=36, "1-3 Years", TelecomData[[#This Row],[TenureMonths]]&gt;36, "3+ Years")</f>
        <v>3+ Years</v>
      </c>
      <c r="N11" s="2" t="str">
        <f>IF(TelecomData[[#This Row],[CleanedTotalCharges]]&gt;=2500,"High Spend", "Standard Spend")</f>
        <v>High Spend</v>
      </c>
    </row>
    <row r="12" spans="1:14" x14ac:dyDescent="0.3">
      <c r="A12" s="1" t="s">
        <v>33</v>
      </c>
      <c r="B12" s="2" t="s">
        <v>19</v>
      </c>
      <c r="C12" s="2" t="s">
        <v>13</v>
      </c>
      <c r="D12" s="2">
        <v>13</v>
      </c>
      <c r="E12" s="2" t="s">
        <v>14</v>
      </c>
      <c r="F12" s="2" t="s">
        <v>15</v>
      </c>
      <c r="G12" s="7">
        <v>49.95</v>
      </c>
      <c r="H12" s="7">
        <v>587.45000000000005</v>
      </c>
      <c r="I12" s="2" t="s">
        <v>15</v>
      </c>
      <c r="J12" s="2" t="s">
        <v>16</v>
      </c>
      <c r="K12" s="2" t="s">
        <v>21</v>
      </c>
      <c r="L12" s="7">
        <v>587.45000000000005</v>
      </c>
      <c r="M12" s="2" t="str">
        <f>_xlfn.IFS(TelecomData[[#This Row],[TenureMonths]]&lt;=12, "0-1 Year", TelecomData[[#This Row],[TenureMonths]]&lt;=36, "1-3 Years", TelecomData[[#This Row],[TenureMonths]]&gt;36, "3+ Years")</f>
        <v>1-3 Years</v>
      </c>
      <c r="N12" s="2" t="str">
        <f>IF(TelecomData[[#This Row],[CleanedTotalCharges]]&gt;=2500,"High Spend", "Standard Spend")</f>
        <v>Standard Spend</v>
      </c>
    </row>
    <row r="13" spans="1:14" x14ac:dyDescent="0.3">
      <c r="A13" s="1" t="s">
        <v>34</v>
      </c>
      <c r="B13" s="2" t="s">
        <v>19</v>
      </c>
      <c r="C13" s="2" t="s">
        <v>35</v>
      </c>
      <c r="D13" s="2">
        <v>16</v>
      </c>
      <c r="E13" s="2" t="s">
        <v>15</v>
      </c>
      <c r="F13" s="2" t="s">
        <v>36</v>
      </c>
      <c r="G13" s="7">
        <v>18.95</v>
      </c>
      <c r="H13" s="7">
        <v>326.8</v>
      </c>
      <c r="I13" s="2" t="s">
        <v>15</v>
      </c>
      <c r="J13" s="2" t="s">
        <v>15</v>
      </c>
      <c r="K13" s="2" t="s">
        <v>29</v>
      </c>
      <c r="L13" s="7">
        <v>326.8</v>
      </c>
      <c r="M13" s="2" t="str">
        <f>_xlfn.IFS(TelecomData[[#This Row],[TenureMonths]]&lt;=12, "0-1 Year", TelecomData[[#This Row],[TenureMonths]]&lt;=36, "1-3 Years", TelecomData[[#This Row],[TenureMonths]]&gt;36, "3+ Years")</f>
        <v>1-3 Years</v>
      </c>
      <c r="N13" s="2" t="str">
        <f>IF(TelecomData[[#This Row],[CleanedTotalCharges]]&gt;=2500,"High Spend", "Standard Spend")</f>
        <v>Standard Spend</v>
      </c>
    </row>
    <row r="14" spans="1:14" x14ac:dyDescent="0.3">
      <c r="A14" s="1" t="s">
        <v>37</v>
      </c>
      <c r="B14" s="2" t="s">
        <v>19</v>
      </c>
      <c r="C14" s="2" t="s">
        <v>20</v>
      </c>
      <c r="D14" s="2">
        <v>58</v>
      </c>
      <c r="E14" s="2" t="s">
        <v>26</v>
      </c>
      <c r="F14" s="2" t="s">
        <v>15</v>
      </c>
      <c r="G14" s="7">
        <v>100.35</v>
      </c>
      <c r="H14" s="7">
        <v>5681.1</v>
      </c>
      <c r="I14" s="2" t="s">
        <v>15</v>
      </c>
      <c r="J14" s="2" t="s">
        <v>15</v>
      </c>
      <c r="K14" s="2" t="s">
        <v>29</v>
      </c>
      <c r="L14" s="7">
        <v>5681.1</v>
      </c>
      <c r="M14" s="2" t="str">
        <f>_xlfn.IFS(TelecomData[[#This Row],[TenureMonths]]&lt;=12, "0-1 Year", TelecomData[[#This Row],[TenureMonths]]&lt;=36, "1-3 Years", TelecomData[[#This Row],[TenureMonths]]&gt;36, "3+ Years")</f>
        <v>3+ Years</v>
      </c>
      <c r="N14" s="2" t="str">
        <f>IF(TelecomData[[#This Row],[CleanedTotalCharges]]&gt;=2500,"High Spend", "Standard Spend")</f>
        <v>High Spend</v>
      </c>
    </row>
    <row r="15" spans="1:14" x14ac:dyDescent="0.3">
      <c r="A15" s="1" t="s">
        <v>38</v>
      </c>
      <c r="B15" s="2" t="s">
        <v>19</v>
      </c>
      <c r="C15" s="2" t="s">
        <v>13</v>
      </c>
      <c r="D15" s="2">
        <v>49</v>
      </c>
      <c r="E15" s="2" t="s">
        <v>26</v>
      </c>
      <c r="F15" s="2" t="s">
        <v>15</v>
      </c>
      <c r="G15" s="7">
        <v>103.7</v>
      </c>
      <c r="H15" s="7">
        <v>5036.3</v>
      </c>
      <c r="I15" s="2" t="s">
        <v>16</v>
      </c>
      <c r="J15" s="2" t="s">
        <v>16</v>
      </c>
      <c r="K15" s="2" t="s">
        <v>24</v>
      </c>
      <c r="L15" s="7">
        <v>5036.3</v>
      </c>
      <c r="M15" s="2" t="str">
        <f>_xlfn.IFS(TelecomData[[#This Row],[TenureMonths]]&lt;=12, "0-1 Year", TelecomData[[#This Row],[TenureMonths]]&lt;=36, "1-3 Years", TelecomData[[#This Row],[TenureMonths]]&gt;36, "3+ Years")</f>
        <v>3+ Years</v>
      </c>
      <c r="N15" s="2" t="str">
        <f>IF(TelecomData[[#This Row],[CleanedTotalCharges]]&gt;=2500,"High Spend", "Standard Spend")</f>
        <v>High Spend</v>
      </c>
    </row>
    <row r="16" spans="1:14" x14ac:dyDescent="0.3">
      <c r="A16" s="1" t="s">
        <v>39</v>
      </c>
      <c r="B16" s="2" t="s">
        <v>19</v>
      </c>
      <c r="C16" s="2" t="s">
        <v>13</v>
      </c>
      <c r="D16" s="2">
        <v>25</v>
      </c>
      <c r="E16" s="2" t="s">
        <v>26</v>
      </c>
      <c r="F16" s="2" t="s">
        <v>16</v>
      </c>
      <c r="G16" s="7">
        <v>105.5</v>
      </c>
      <c r="H16" s="7">
        <v>2686.05</v>
      </c>
      <c r="I16" s="2" t="s">
        <v>15</v>
      </c>
      <c r="J16" s="2" t="s">
        <v>16</v>
      </c>
      <c r="K16" s="2" t="s">
        <v>17</v>
      </c>
      <c r="L16" s="7">
        <v>2686.05</v>
      </c>
      <c r="M16" s="2" t="str">
        <f>_xlfn.IFS(TelecomData[[#This Row],[TenureMonths]]&lt;=12, "0-1 Year", TelecomData[[#This Row],[TenureMonths]]&lt;=36, "1-3 Years", TelecomData[[#This Row],[TenureMonths]]&gt;36, "3+ Years")</f>
        <v>1-3 Years</v>
      </c>
      <c r="N16" s="2" t="str">
        <f>IF(TelecomData[[#This Row],[CleanedTotalCharges]]&gt;=2500,"High Spend", "Standard Spend")</f>
        <v>High Spend</v>
      </c>
    </row>
    <row r="17" spans="1:14" x14ac:dyDescent="0.3">
      <c r="A17" s="1" t="s">
        <v>40</v>
      </c>
      <c r="B17" s="2" t="s">
        <v>12</v>
      </c>
      <c r="C17" s="2" t="s">
        <v>35</v>
      </c>
      <c r="D17" s="2">
        <v>69</v>
      </c>
      <c r="E17" s="2" t="s">
        <v>26</v>
      </c>
      <c r="F17" s="2" t="s">
        <v>16</v>
      </c>
      <c r="G17" s="7">
        <v>113.25</v>
      </c>
      <c r="H17" s="7">
        <v>7895.15</v>
      </c>
      <c r="I17" s="2" t="s">
        <v>15</v>
      </c>
      <c r="J17" s="2" t="s">
        <v>15</v>
      </c>
      <c r="K17" s="2" t="s">
        <v>29</v>
      </c>
      <c r="L17" s="7">
        <v>7895.15</v>
      </c>
      <c r="M17" s="2" t="str">
        <f>_xlfn.IFS(TelecomData[[#This Row],[TenureMonths]]&lt;=12, "0-1 Year", TelecomData[[#This Row],[TenureMonths]]&lt;=36, "1-3 Years", TelecomData[[#This Row],[TenureMonths]]&gt;36, "3+ Years")</f>
        <v>3+ Years</v>
      </c>
      <c r="N17" s="2" t="str">
        <f>IF(TelecomData[[#This Row],[CleanedTotalCharges]]&gt;=2500,"High Spend", "Standard Spend")</f>
        <v>High Spend</v>
      </c>
    </row>
    <row r="18" spans="1:14" x14ac:dyDescent="0.3">
      <c r="A18" s="1" t="s">
        <v>41</v>
      </c>
      <c r="B18" s="2" t="s">
        <v>12</v>
      </c>
      <c r="C18" s="2" t="s">
        <v>20</v>
      </c>
      <c r="D18" s="2">
        <v>52</v>
      </c>
      <c r="E18" s="2" t="s">
        <v>15</v>
      </c>
      <c r="F18" s="2" t="s">
        <v>36</v>
      </c>
      <c r="G18" s="7">
        <v>20.65</v>
      </c>
      <c r="H18" s="7">
        <v>1022.95</v>
      </c>
      <c r="I18" s="2" t="s">
        <v>15</v>
      </c>
      <c r="J18" s="2" t="s">
        <v>15</v>
      </c>
      <c r="K18" s="2" t="s">
        <v>21</v>
      </c>
      <c r="L18" s="7">
        <v>1022.95</v>
      </c>
      <c r="M18" s="2" t="str">
        <f>_xlfn.IFS(TelecomData[[#This Row],[TenureMonths]]&lt;=12, "0-1 Year", TelecomData[[#This Row],[TenureMonths]]&lt;=36, "1-3 Years", TelecomData[[#This Row],[TenureMonths]]&gt;36, "3+ Years")</f>
        <v>3+ Years</v>
      </c>
      <c r="N18" s="2" t="str">
        <f>IF(TelecomData[[#This Row],[CleanedTotalCharges]]&gt;=2500,"High Spend", "Standard Spend")</f>
        <v>Standard Spend</v>
      </c>
    </row>
    <row r="19" spans="1:14" x14ac:dyDescent="0.3">
      <c r="A19" s="1" t="s">
        <v>42</v>
      </c>
      <c r="B19" s="2" t="s">
        <v>19</v>
      </c>
      <c r="C19" s="2" t="s">
        <v>35</v>
      </c>
      <c r="D19" s="2">
        <v>71</v>
      </c>
      <c r="E19" s="2" t="s">
        <v>26</v>
      </c>
      <c r="F19" s="2" t="s">
        <v>15</v>
      </c>
      <c r="G19" s="7">
        <v>106.7</v>
      </c>
      <c r="H19" s="7">
        <v>7382.25</v>
      </c>
      <c r="I19" s="2" t="s">
        <v>15</v>
      </c>
      <c r="J19" s="2" t="s">
        <v>15</v>
      </c>
      <c r="K19" s="2" t="s">
        <v>24</v>
      </c>
      <c r="L19" s="7">
        <v>7382.25</v>
      </c>
      <c r="M19" s="2" t="str">
        <f>_xlfn.IFS(TelecomData[[#This Row],[TenureMonths]]&lt;=12, "0-1 Year", TelecomData[[#This Row],[TenureMonths]]&lt;=36, "1-3 Years", TelecomData[[#This Row],[TenureMonths]]&gt;36, "3+ Years")</f>
        <v>3+ Years</v>
      </c>
      <c r="N19" s="2" t="str">
        <f>IF(TelecomData[[#This Row],[CleanedTotalCharges]]&gt;=2500,"High Spend", "Standard Spend")</f>
        <v>High Spend</v>
      </c>
    </row>
    <row r="20" spans="1:14" x14ac:dyDescent="0.3">
      <c r="A20" s="1" t="s">
        <v>43</v>
      </c>
      <c r="B20" s="2" t="s">
        <v>12</v>
      </c>
      <c r="C20" s="2" t="s">
        <v>13</v>
      </c>
      <c r="D20" s="2">
        <v>10</v>
      </c>
      <c r="E20" s="2" t="s">
        <v>14</v>
      </c>
      <c r="F20" s="2" t="s">
        <v>16</v>
      </c>
      <c r="G20" s="7">
        <v>55.2</v>
      </c>
      <c r="H20" s="7">
        <v>528.35</v>
      </c>
      <c r="I20" s="2" t="s">
        <v>16</v>
      </c>
      <c r="J20" s="2" t="s">
        <v>15</v>
      </c>
      <c r="K20" s="2" t="s">
        <v>29</v>
      </c>
      <c r="L20" s="7">
        <v>528.35</v>
      </c>
      <c r="M20" s="2" t="str">
        <f>_xlfn.IFS(TelecomData[[#This Row],[TenureMonths]]&lt;=12, "0-1 Year", TelecomData[[#This Row],[TenureMonths]]&lt;=36, "1-3 Years", TelecomData[[#This Row],[TenureMonths]]&gt;36, "3+ Years")</f>
        <v>0-1 Year</v>
      </c>
      <c r="N20" s="2" t="str">
        <f>IF(TelecomData[[#This Row],[CleanedTotalCharges]]&gt;=2500,"High Spend", "Standard Spend")</f>
        <v>Standard Spend</v>
      </c>
    </row>
    <row r="21" spans="1:14" x14ac:dyDescent="0.3">
      <c r="A21" s="1" t="s">
        <v>44</v>
      </c>
      <c r="B21" s="2" t="s">
        <v>12</v>
      </c>
      <c r="C21" s="2" t="s">
        <v>13</v>
      </c>
      <c r="D21" s="2">
        <v>21</v>
      </c>
      <c r="E21" s="2" t="s">
        <v>26</v>
      </c>
      <c r="F21" s="2" t="s">
        <v>15</v>
      </c>
      <c r="G21" s="7">
        <v>90.05</v>
      </c>
      <c r="H21" s="7">
        <v>1862.9</v>
      </c>
      <c r="I21" s="2" t="s">
        <v>15</v>
      </c>
      <c r="J21" s="2" t="s">
        <v>16</v>
      </c>
      <c r="K21" s="2" t="s">
        <v>17</v>
      </c>
      <c r="L21" s="7">
        <v>1862.9</v>
      </c>
      <c r="M21" s="2" t="str">
        <f>_xlfn.IFS(TelecomData[[#This Row],[TenureMonths]]&lt;=12, "0-1 Year", TelecomData[[#This Row],[TenureMonths]]&lt;=36, "1-3 Years", TelecomData[[#This Row],[TenureMonths]]&gt;36, "3+ Years")</f>
        <v>1-3 Years</v>
      </c>
      <c r="N21" s="2" t="str">
        <f>IF(TelecomData[[#This Row],[CleanedTotalCharges]]&gt;=2500,"High Spend", "Standard Spend")</f>
        <v>Standard Spend</v>
      </c>
    </row>
    <row r="22" spans="1:14" x14ac:dyDescent="0.3">
      <c r="A22" s="1" t="s">
        <v>45</v>
      </c>
      <c r="B22" s="2" t="s">
        <v>19</v>
      </c>
      <c r="C22" s="2" t="s">
        <v>13</v>
      </c>
      <c r="D22" s="2">
        <v>1</v>
      </c>
      <c r="E22" s="2" t="s">
        <v>14</v>
      </c>
      <c r="F22" s="2" t="s">
        <v>15</v>
      </c>
      <c r="G22" s="7">
        <v>39.65</v>
      </c>
      <c r="H22" s="7">
        <v>39.65</v>
      </c>
      <c r="I22" s="2" t="s">
        <v>16</v>
      </c>
      <c r="J22" s="2" t="s">
        <v>16</v>
      </c>
      <c r="K22" s="2" t="s">
        <v>17</v>
      </c>
      <c r="L22" s="7">
        <v>39.65</v>
      </c>
      <c r="M22" s="2" t="str">
        <f>_xlfn.IFS(TelecomData[[#This Row],[TenureMonths]]&lt;=12, "0-1 Year", TelecomData[[#This Row],[TenureMonths]]&lt;=36, "1-3 Years", TelecomData[[#This Row],[TenureMonths]]&gt;36, "3+ Years")</f>
        <v>0-1 Year</v>
      </c>
      <c r="N22" s="2" t="str">
        <f>IF(TelecomData[[#This Row],[CleanedTotalCharges]]&gt;=2500,"High Spend", "Standard Spend")</f>
        <v>Standard Spend</v>
      </c>
    </row>
    <row r="23" spans="1:14" x14ac:dyDescent="0.3">
      <c r="A23" s="1" t="s">
        <v>46</v>
      </c>
      <c r="B23" s="2" t="s">
        <v>19</v>
      </c>
      <c r="C23" s="2" t="s">
        <v>20</v>
      </c>
      <c r="D23" s="2">
        <v>12</v>
      </c>
      <c r="E23" s="2" t="s">
        <v>15</v>
      </c>
      <c r="F23" s="2" t="s">
        <v>36</v>
      </c>
      <c r="G23" s="7">
        <v>19.8</v>
      </c>
      <c r="H23" s="7">
        <v>202.25</v>
      </c>
      <c r="I23" s="2" t="s">
        <v>15</v>
      </c>
      <c r="J23" s="2" t="s">
        <v>15</v>
      </c>
      <c r="K23" s="2" t="s">
        <v>24</v>
      </c>
      <c r="L23" s="7">
        <v>202.25</v>
      </c>
      <c r="M23" s="2" t="str">
        <f>_xlfn.IFS(TelecomData[[#This Row],[TenureMonths]]&lt;=12, "0-1 Year", TelecomData[[#This Row],[TenureMonths]]&lt;=36, "1-3 Years", TelecomData[[#This Row],[TenureMonths]]&gt;36, "3+ Years")</f>
        <v>0-1 Year</v>
      </c>
      <c r="N23" s="2" t="str">
        <f>IF(TelecomData[[#This Row],[CleanedTotalCharges]]&gt;=2500,"High Spend", "Standard Spend")</f>
        <v>Standard Spend</v>
      </c>
    </row>
    <row r="24" spans="1:14" x14ac:dyDescent="0.3">
      <c r="A24" s="1" t="s">
        <v>47</v>
      </c>
      <c r="B24" s="2" t="s">
        <v>19</v>
      </c>
      <c r="C24" s="2" t="s">
        <v>13</v>
      </c>
      <c r="D24" s="2">
        <v>1</v>
      </c>
      <c r="E24" s="2" t="s">
        <v>15</v>
      </c>
      <c r="F24" s="2" t="s">
        <v>36</v>
      </c>
      <c r="G24" s="7">
        <v>20.149999999999999</v>
      </c>
      <c r="H24" s="7">
        <v>20.149999999999999</v>
      </c>
      <c r="I24" s="2" t="s">
        <v>16</v>
      </c>
      <c r="J24" s="2" t="s">
        <v>15</v>
      </c>
      <c r="K24" s="2" t="s">
        <v>21</v>
      </c>
      <c r="L24" s="7">
        <v>20.149999999999999</v>
      </c>
      <c r="M24" s="2" t="str">
        <f>_xlfn.IFS(TelecomData[[#This Row],[TenureMonths]]&lt;=12, "0-1 Year", TelecomData[[#This Row],[TenureMonths]]&lt;=36, "1-3 Years", TelecomData[[#This Row],[TenureMonths]]&gt;36, "3+ Years")</f>
        <v>0-1 Year</v>
      </c>
      <c r="N24" s="2" t="str">
        <f>IF(TelecomData[[#This Row],[CleanedTotalCharges]]&gt;=2500,"High Spend", "Standard Spend")</f>
        <v>Standard Spend</v>
      </c>
    </row>
    <row r="25" spans="1:14" x14ac:dyDescent="0.3">
      <c r="A25" s="1" t="s">
        <v>48</v>
      </c>
      <c r="B25" s="2" t="s">
        <v>12</v>
      </c>
      <c r="C25" s="2" t="s">
        <v>35</v>
      </c>
      <c r="D25" s="2">
        <v>58</v>
      </c>
      <c r="E25" s="2" t="s">
        <v>14</v>
      </c>
      <c r="F25" s="2" t="s">
        <v>16</v>
      </c>
      <c r="G25" s="7">
        <v>59.9</v>
      </c>
      <c r="H25" s="7">
        <v>3505.1</v>
      </c>
      <c r="I25" s="2" t="s">
        <v>15</v>
      </c>
      <c r="J25" s="2" t="s">
        <v>16</v>
      </c>
      <c r="K25" s="2" t="s">
        <v>29</v>
      </c>
      <c r="L25" s="7">
        <v>3505.1</v>
      </c>
      <c r="M25" s="2" t="str">
        <f>_xlfn.IFS(TelecomData[[#This Row],[TenureMonths]]&lt;=12, "0-1 Year", TelecomData[[#This Row],[TenureMonths]]&lt;=36, "1-3 Years", TelecomData[[#This Row],[TenureMonths]]&gt;36, "3+ Years")</f>
        <v>3+ Years</v>
      </c>
      <c r="N25" s="2" t="str">
        <f>IF(TelecomData[[#This Row],[CleanedTotalCharges]]&gt;=2500,"High Spend", "Standard Spend")</f>
        <v>High Spend</v>
      </c>
    </row>
    <row r="26" spans="1:14" x14ac:dyDescent="0.3">
      <c r="A26" s="1" t="s">
        <v>49</v>
      </c>
      <c r="B26" s="2" t="s">
        <v>19</v>
      </c>
      <c r="C26" s="2" t="s">
        <v>13</v>
      </c>
      <c r="D26" s="2">
        <v>49</v>
      </c>
      <c r="E26" s="2" t="s">
        <v>14</v>
      </c>
      <c r="F26" s="2" t="s">
        <v>16</v>
      </c>
      <c r="G26" s="7">
        <v>59.6</v>
      </c>
      <c r="H26" s="7">
        <v>2970.3</v>
      </c>
      <c r="I26" s="2" t="s">
        <v>15</v>
      </c>
      <c r="J26" s="2" t="s">
        <v>15</v>
      </c>
      <c r="K26" s="2" t="s">
        <v>29</v>
      </c>
      <c r="L26" s="7">
        <v>2970.3</v>
      </c>
      <c r="M26" s="2" t="str">
        <f>_xlfn.IFS(TelecomData[[#This Row],[TenureMonths]]&lt;=12, "0-1 Year", TelecomData[[#This Row],[TenureMonths]]&lt;=36, "1-3 Years", TelecomData[[#This Row],[TenureMonths]]&gt;36, "3+ Years")</f>
        <v>3+ Years</v>
      </c>
      <c r="N26" s="2" t="str">
        <f>IF(TelecomData[[#This Row],[CleanedTotalCharges]]&gt;=2500,"High Spend", "Standard Spend")</f>
        <v>High Spend</v>
      </c>
    </row>
    <row r="27" spans="1:14" x14ac:dyDescent="0.3">
      <c r="A27" s="1" t="s">
        <v>50</v>
      </c>
      <c r="B27" s="2" t="s">
        <v>12</v>
      </c>
      <c r="C27" s="2" t="s">
        <v>13</v>
      </c>
      <c r="D27" s="2">
        <v>30</v>
      </c>
      <c r="E27" s="2" t="s">
        <v>14</v>
      </c>
      <c r="F27" s="2" t="s">
        <v>15</v>
      </c>
      <c r="G27" s="7">
        <v>55.3</v>
      </c>
      <c r="H27" s="7">
        <v>1530.6</v>
      </c>
      <c r="I27" s="2" t="s">
        <v>15</v>
      </c>
      <c r="J27" s="2" t="s">
        <v>16</v>
      </c>
      <c r="K27" s="2" t="s">
        <v>24</v>
      </c>
      <c r="L27" s="7">
        <v>1530.6</v>
      </c>
      <c r="M27" s="2" t="str">
        <f>_xlfn.IFS(TelecomData[[#This Row],[TenureMonths]]&lt;=12, "0-1 Year", TelecomData[[#This Row],[TenureMonths]]&lt;=36, "1-3 Years", TelecomData[[#This Row],[TenureMonths]]&gt;36, "3+ Years")</f>
        <v>1-3 Years</v>
      </c>
      <c r="N27" s="2" t="str">
        <f>IF(TelecomData[[#This Row],[CleanedTotalCharges]]&gt;=2500,"High Spend", "Standard Spend")</f>
        <v>Standard Spend</v>
      </c>
    </row>
    <row r="28" spans="1:14" x14ac:dyDescent="0.3">
      <c r="A28" s="1" t="s">
        <v>51</v>
      </c>
      <c r="B28" s="2" t="s">
        <v>19</v>
      </c>
      <c r="C28" s="2" t="s">
        <v>13</v>
      </c>
      <c r="D28" s="2">
        <v>47</v>
      </c>
      <c r="E28" s="2" t="s">
        <v>26</v>
      </c>
      <c r="F28" s="2" t="s">
        <v>15</v>
      </c>
      <c r="G28" s="7">
        <v>99.35</v>
      </c>
      <c r="H28" s="7">
        <v>4749.1499999999996</v>
      </c>
      <c r="I28" s="2" t="s">
        <v>16</v>
      </c>
      <c r="J28" s="2" t="s">
        <v>16</v>
      </c>
      <c r="K28" s="2" t="s">
        <v>17</v>
      </c>
      <c r="L28" s="7">
        <v>4749.1499999999996</v>
      </c>
      <c r="M28" s="2" t="str">
        <f>_xlfn.IFS(TelecomData[[#This Row],[TenureMonths]]&lt;=12, "0-1 Year", TelecomData[[#This Row],[TenureMonths]]&lt;=36, "1-3 Years", TelecomData[[#This Row],[TenureMonths]]&gt;36, "3+ Years")</f>
        <v>3+ Years</v>
      </c>
      <c r="N28" s="2" t="str">
        <f>IF(TelecomData[[#This Row],[CleanedTotalCharges]]&gt;=2500,"High Spend", "Standard Spend")</f>
        <v>High Spend</v>
      </c>
    </row>
    <row r="29" spans="1:14" x14ac:dyDescent="0.3">
      <c r="A29" s="1" t="s">
        <v>52</v>
      </c>
      <c r="B29" s="2" t="s">
        <v>19</v>
      </c>
      <c r="C29" s="2" t="s">
        <v>13</v>
      </c>
      <c r="D29" s="2">
        <v>1</v>
      </c>
      <c r="E29" s="2" t="s">
        <v>14</v>
      </c>
      <c r="F29" s="2" t="s">
        <v>15</v>
      </c>
      <c r="G29" s="7">
        <v>30.2</v>
      </c>
      <c r="H29" s="7">
        <v>30.2</v>
      </c>
      <c r="I29" s="2" t="s">
        <v>16</v>
      </c>
      <c r="J29" s="2" t="s">
        <v>15</v>
      </c>
      <c r="K29" s="2" t="s">
        <v>17</v>
      </c>
      <c r="L29" s="7">
        <v>30.2</v>
      </c>
      <c r="M29" s="2" t="str">
        <f>_xlfn.IFS(TelecomData[[#This Row],[TenureMonths]]&lt;=12, "0-1 Year", TelecomData[[#This Row],[TenureMonths]]&lt;=36, "1-3 Years", TelecomData[[#This Row],[TenureMonths]]&gt;36, "3+ Years")</f>
        <v>0-1 Year</v>
      </c>
      <c r="N29" s="2" t="str">
        <f>IF(TelecomData[[#This Row],[CleanedTotalCharges]]&gt;=2500,"High Spend", "Standard Spend")</f>
        <v>Standard Spend</v>
      </c>
    </row>
    <row r="30" spans="1:14" x14ac:dyDescent="0.3">
      <c r="A30" s="1" t="s">
        <v>53</v>
      </c>
      <c r="B30" s="2" t="s">
        <v>19</v>
      </c>
      <c r="C30" s="2" t="s">
        <v>35</v>
      </c>
      <c r="D30" s="2">
        <v>72</v>
      </c>
      <c r="E30" s="2" t="s">
        <v>14</v>
      </c>
      <c r="F30" s="2" t="s">
        <v>16</v>
      </c>
      <c r="G30" s="7">
        <v>90.25</v>
      </c>
      <c r="H30" s="7">
        <v>6369.45</v>
      </c>
      <c r="I30" s="2" t="s">
        <v>15</v>
      </c>
      <c r="J30" s="2" t="s">
        <v>16</v>
      </c>
      <c r="K30" s="2" t="s">
        <v>29</v>
      </c>
      <c r="L30" s="7">
        <v>6369.45</v>
      </c>
      <c r="M30" s="2" t="str">
        <f>_xlfn.IFS(TelecomData[[#This Row],[TenureMonths]]&lt;=12, "0-1 Year", TelecomData[[#This Row],[TenureMonths]]&lt;=36, "1-3 Years", TelecomData[[#This Row],[TenureMonths]]&gt;36, "3+ Years")</f>
        <v>3+ Years</v>
      </c>
      <c r="N30" s="2" t="str">
        <f>IF(TelecomData[[#This Row],[CleanedTotalCharges]]&gt;=2500,"High Spend", "Standard Spend")</f>
        <v>High Spend</v>
      </c>
    </row>
    <row r="31" spans="1:14" x14ac:dyDescent="0.3">
      <c r="A31" s="1" t="s">
        <v>54</v>
      </c>
      <c r="B31" s="2" t="s">
        <v>12</v>
      </c>
      <c r="C31" s="2" t="s">
        <v>13</v>
      </c>
      <c r="D31" s="2">
        <v>17</v>
      </c>
      <c r="E31" s="2" t="s">
        <v>14</v>
      </c>
      <c r="F31" s="2" t="s">
        <v>15</v>
      </c>
      <c r="G31" s="7">
        <v>64.7</v>
      </c>
      <c r="H31" s="7">
        <v>1093.0999999999999</v>
      </c>
      <c r="I31" s="2" t="s">
        <v>16</v>
      </c>
      <c r="J31" s="2" t="s">
        <v>16</v>
      </c>
      <c r="K31" s="2" t="s">
        <v>21</v>
      </c>
      <c r="L31" s="7">
        <v>1093.0999999999999</v>
      </c>
      <c r="M31" s="2" t="str">
        <f>_xlfn.IFS(TelecomData[[#This Row],[TenureMonths]]&lt;=12, "0-1 Year", TelecomData[[#This Row],[TenureMonths]]&lt;=36, "1-3 Years", TelecomData[[#This Row],[TenureMonths]]&gt;36, "3+ Years")</f>
        <v>1-3 Years</v>
      </c>
      <c r="N31" s="2" t="str">
        <f>IF(TelecomData[[#This Row],[CleanedTotalCharges]]&gt;=2500,"High Spend", "Standard Spend")</f>
        <v>Standard Spend</v>
      </c>
    </row>
    <row r="32" spans="1:14" x14ac:dyDescent="0.3">
      <c r="A32" s="1" t="s">
        <v>55</v>
      </c>
      <c r="B32" s="2" t="s">
        <v>12</v>
      </c>
      <c r="C32" s="2" t="s">
        <v>35</v>
      </c>
      <c r="D32" s="2">
        <v>71</v>
      </c>
      <c r="E32" s="2" t="s">
        <v>26</v>
      </c>
      <c r="F32" s="2" t="s">
        <v>16</v>
      </c>
      <c r="G32" s="7">
        <v>96.35</v>
      </c>
      <c r="H32" s="7">
        <v>6766.95</v>
      </c>
      <c r="I32" s="2" t="s">
        <v>15</v>
      </c>
      <c r="J32" s="2" t="s">
        <v>16</v>
      </c>
      <c r="K32" s="2" t="s">
        <v>29</v>
      </c>
      <c r="L32" s="7">
        <v>6766.95</v>
      </c>
      <c r="M32" s="2" t="str">
        <f>_xlfn.IFS(TelecomData[[#This Row],[TenureMonths]]&lt;=12, "0-1 Year", TelecomData[[#This Row],[TenureMonths]]&lt;=36, "1-3 Years", TelecomData[[#This Row],[TenureMonths]]&gt;36, "3+ Years")</f>
        <v>3+ Years</v>
      </c>
      <c r="N32" s="2" t="str">
        <f>IF(TelecomData[[#This Row],[CleanedTotalCharges]]&gt;=2500,"High Spend", "Standard Spend")</f>
        <v>High Spend</v>
      </c>
    </row>
    <row r="33" spans="1:14" x14ac:dyDescent="0.3">
      <c r="A33" s="1" t="s">
        <v>56</v>
      </c>
      <c r="B33" s="2" t="s">
        <v>19</v>
      </c>
      <c r="C33" s="2" t="s">
        <v>13</v>
      </c>
      <c r="D33" s="2">
        <v>2</v>
      </c>
      <c r="E33" s="2" t="s">
        <v>26</v>
      </c>
      <c r="F33" s="2" t="s">
        <v>15</v>
      </c>
      <c r="G33" s="7">
        <v>95.5</v>
      </c>
      <c r="H33" s="7">
        <v>181.65</v>
      </c>
      <c r="I33" s="2" t="s">
        <v>15</v>
      </c>
      <c r="J33" s="2" t="s">
        <v>16</v>
      </c>
      <c r="K33" s="2" t="s">
        <v>29</v>
      </c>
      <c r="L33" s="7">
        <v>181.65</v>
      </c>
      <c r="M33" s="2" t="str">
        <f>_xlfn.IFS(TelecomData[[#This Row],[TenureMonths]]&lt;=12, "0-1 Year", TelecomData[[#This Row],[TenureMonths]]&lt;=36, "1-3 Years", TelecomData[[#This Row],[TenureMonths]]&gt;36, "3+ Years")</f>
        <v>0-1 Year</v>
      </c>
      <c r="N33" s="2" t="str">
        <f>IF(TelecomData[[#This Row],[CleanedTotalCharges]]&gt;=2500,"High Spend", "Standard Spend")</f>
        <v>Standard Spend</v>
      </c>
    </row>
    <row r="34" spans="1:14" x14ac:dyDescent="0.3">
      <c r="A34" s="1" t="s">
        <v>57</v>
      </c>
      <c r="B34" s="2" t="s">
        <v>12</v>
      </c>
      <c r="C34" s="2" t="s">
        <v>20</v>
      </c>
      <c r="D34" s="2">
        <v>27</v>
      </c>
      <c r="E34" s="2" t="s">
        <v>14</v>
      </c>
      <c r="F34" s="2" t="s">
        <v>16</v>
      </c>
      <c r="G34" s="7">
        <v>66.150000000000006</v>
      </c>
      <c r="H34" s="7">
        <v>1874.45</v>
      </c>
      <c r="I34" s="2" t="s">
        <v>15</v>
      </c>
      <c r="J34" s="2" t="s">
        <v>15</v>
      </c>
      <c r="K34" s="2" t="s">
        <v>21</v>
      </c>
      <c r="L34" s="7">
        <v>1874.45</v>
      </c>
      <c r="M34" s="2" t="str">
        <f>_xlfn.IFS(TelecomData[[#This Row],[TenureMonths]]&lt;=12, "0-1 Year", TelecomData[[#This Row],[TenureMonths]]&lt;=36, "1-3 Years", TelecomData[[#This Row],[TenureMonths]]&gt;36, "3+ Years")</f>
        <v>1-3 Years</v>
      </c>
      <c r="N34" s="2" t="str">
        <f>IF(TelecomData[[#This Row],[CleanedTotalCharges]]&gt;=2500,"High Spend", "Standard Spend")</f>
        <v>Standard Spend</v>
      </c>
    </row>
    <row r="35" spans="1:14" x14ac:dyDescent="0.3">
      <c r="A35" s="1" t="s">
        <v>58</v>
      </c>
      <c r="B35" s="2" t="s">
        <v>19</v>
      </c>
      <c r="C35" s="2" t="s">
        <v>13</v>
      </c>
      <c r="D35" s="2">
        <v>1</v>
      </c>
      <c r="E35" s="2" t="s">
        <v>15</v>
      </c>
      <c r="F35" s="2" t="s">
        <v>36</v>
      </c>
      <c r="G35" s="7">
        <v>20.2</v>
      </c>
      <c r="H35" s="7">
        <v>20.2</v>
      </c>
      <c r="I35" s="2" t="s">
        <v>15</v>
      </c>
      <c r="J35" s="2" t="s">
        <v>15</v>
      </c>
      <c r="K35" s="2" t="s">
        <v>24</v>
      </c>
      <c r="L35" s="7">
        <v>20.2</v>
      </c>
      <c r="M35" s="2" t="str">
        <f>_xlfn.IFS(TelecomData[[#This Row],[TenureMonths]]&lt;=12, "0-1 Year", TelecomData[[#This Row],[TenureMonths]]&lt;=36, "1-3 Years", TelecomData[[#This Row],[TenureMonths]]&gt;36, "3+ Years")</f>
        <v>0-1 Year</v>
      </c>
      <c r="N35" s="2" t="str">
        <f>IF(TelecomData[[#This Row],[CleanedTotalCharges]]&gt;=2500,"High Spend", "Standard Spend")</f>
        <v>Standard Spend</v>
      </c>
    </row>
    <row r="36" spans="1:14" x14ac:dyDescent="0.3">
      <c r="A36" s="1" t="s">
        <v>59</v>
      </c>
      <c r="B36" s="2" t="s">
        <v>19</v>
      </c>
      <c r="C36" s="2" t="s">
        <v>13</v>
      </c>
      <c r="D36" s="2">
        <v>1</v>
      </c>
      <c r="E36" s="2" t="s">
        <v>14</v>
      </c>
      <c r="F36" s="2" t="s">
        <v>15</v>
      </c>
      <c r="G36" s="7">
        <v>45.25</v>
      </c>
      <c r="H36" s="7">
        <v>45.25</v>
      </c>
      <c r="I36" s="2" t="s">
        <v>15</v>
      </c>
      <c r="J36" s="2" t="s">
        <v>15</v>
      </c>
      <c r="K36" s="2" t="s">
        <v>24</v>
      </c>
      <c r="L36" s="7">
        <v>45.25</v>
      </c>
      <c r="M36" s="2" t="str">
        <f>_xlfn.IFS(TelecomData[[#This Row],[TenureMonths]]&lt;=12, "0-1 Year", TelecomData[[#This Row],[TenureMonths]]&lt;=36, "1-3 Years", TelecomData[[#This Row],[TenureMonths]]&gt;36, "3+ Years")</f>
        <v>0-1 Year</v>
      </c>
      <c r="N36" s="2" t="str">
        <f>IF(TelecomData[[#This Row],[CleanedTotalCharges]]&gt;=2500,"High Spend", "Standard Spend")</f>
        <v>Standard Spend</v>
      </c>
    </row>
    <row r="37" spans="1:14" x14ac:dyDescent="0.3">
      <c r="A37" s="1" t="s">
        <v>60</v>
      </c>
      <c r="B37" s="2" t="s">
        <v>12</v>
      </c>
      <c r="C37" s="2" t="s">
        <v>35</v>
      </c>
      <c r="D37" s="2">
        <v>72</v>
      </c>
      <c r="E37" s="2" t="s">
        <v>26</v>
      </c>
      <c r="F37" s="2" t="s">
        <v>16</v>
      </c>
      <c r="G37" s="7">
        <v>99.9</v>
      </c>
      <c r="H37" s="7">
        <v>7251.7</v>
      </c>
      <c r="I37" s="2" t="s">
        <v>15</v>
      </c>
      <c r="J37" s="2" t="s">
        <v>15</v>
      </c>
      <c r="K37" s="2" t="s">
        <v>24</v>
      </c>
      <c r="L37" s="7">
        <v>7251.7</v>
      </c>
      <c r="M37" s="2" t="str">
        <f>_xlfn.IFS(TelecomData[[#This Row],[TenureMonths]]&lt;=12, "0-1 Year", TelecomData[[#This Row],[TenureMonths]]&lt;=36, "1-3 Years", TelecomData[[#This Row],[TenureMonths]]&gt;36, "3+ Years")</f>
        <v>3+ Years</v>
      </c>
      <c r="N37" s="2" t="str">
        <f>IF(TelecomData[[#This Row],[CleanedTotalCharges]]&gt;=2500,"High Spend", "Standard Spend")</f>
        <v>High Spend</v>
      </c>
    </row>
    <row r="38" spans="1:14" x14ac:dyDescent="0.3">
      <c r="A38" s="1" t="s">
        <v>61</v>
      </c>
      <c r="B38" s="2" t="s">
        <v>19</v>
      </c>
      <c r="C38" s="2" t="s">
        <v>13</v>
      </c>
      <c r="D38" s="2">
        <v>5</v>
      </c>
      <c r="E38" s="2" t="s">
        <v>26</v>
      </c>
      <c r="F38" s="2" t="s">
        <v>15</v>
      </c>
      <c r="G38" s="7">
        <v>69.7</v>
      </c>
      <c r="H38" s="7">
        <v>316.89999999999998</v>
      </c>
      <c r="I38" s="2" t="s">
        <v>16</v>
      </c>
      <c r="J38" s="2" t="s">
        <v>16</v>
      </c>
      <c r="K38" s="2" t="s">
        <v>17</v>
      </c>
      <c r="L38" s="7">
        <v>316.89999999999998</v>
      </c>
      <c r="M38" s="2" t="str">
        <f>_xlfn.IFS(TelecomData[[#This Row],[TenureMonths]]&lt;=12, "0-1 Year", TelecomData[[#This Row],[TenureMonths]]&lt;=36, "1-3 Years", TelecomData[[#This Row],[TenureMonths]]&gt;36, "3+ Years")</f>
        <v>0-1 Year</v>
      </c>
      <c r="N38" s="2" t="str">
        <f>IF(TelecomData[[#This Row],[CleanedTotalCharges]]&gt;=2500,"High Spend", "Standard Spend")</f>
        <v>Standard Spend</v>
      </c>
    </row>
    <row r="39" spans="1:14" x14ac:dyDescent="0.3">
      <c r="A39" s="1" t="s">
        <v>62</v>
      </c>
      <c r="B39" s="2" t="s">
        <v>12</v>
      </c>
      <c r="C39" s="2" t="s">
        <v>13</v>
      </c>
      <c r="D39" s="2">
        <v>46</v>
      </c>
      <c r="E39" s="2" t="s">
        <v>26</v>
      </c>
      <c r="F39" s="2" t="s">
        <v>15</v>
      </c>
      <c r="G39" s="7">
        <v>74.8</v>
      </c>
      <c r="H39" s="7">
        <v>3548.3</v>
      </c>
      <c r="I39" s="2" t="s">
        <v>15</v>
      </c>
      <c r="J39" s="2" t="s">
        <v>16</v>
      </c>
      <c r="K39" s="2" t="s">
        <v>29</v>
      </c>
      <c r="L39" s="7">
        <v>3548.3</v>
      </c>
      <c r="M39" s="2" t="str">
        <f>_xlfn.IFS(TelecomData[[#This Row],[TenureMonths]]&lt;=12, "0-1 Year", TelecomData[[#This Row],[TenureMonths]]&lt;=36, "1-3 Years", TelecomData[[#This Row],[TenureMonths]]&gt;36, "3+ Years")</f>
        <v>3+ Years</v>
      </c>
      <c r="N39" s="2" t="str">
        <f>IF(TelecomData[[#This Row],[CleanedTotalCharges]]&gt;=2500,"High Spend", "Standard Spend")</f>
        <v>High Spend</v>
      </c>
    </row>
    <row r="40" spans="1:14" x14ac:dyDescent="0.3">
      <c r="A40" s="1" t="s">
        <v>63</v>
      </c>
      <c r="B40" s="2" t="s">
        <v>19</v>
      </c>
      <c r="C40" s="2" t="s">
        <v>13</v>
      </c>
      <c r="D40" s="2">
        <v>34</v>
      </c>
      <c r="E40" s="2" t="s">
        <v>26</v>
      </c>
      <c r="F40" s="2" t="s">
        <v>15</v>
      </c>
      <c r="G40" s="7">
        <v>106.35</v>
      </c>
      <c r="H40" s="7">
        <v>3549.25</v>
      </c>
      <c r="I40" s="2" t="s">
        <v>16</v>
      </c>
      <c r="J40" s="2" t="s">
        <v>16</v>
      </c>
      <c r="K40" s="2" t="s">
        <v>17</v>
      </c>
      <c r="L40" s="7">
        <v>3549.25</v>
      </c>
      <c r="M40" s="2" t="str">
        <f>_xlfn.IFS(TelecomData[[#This Row],[TenureMonths]]&lt;=12, "0-1 Year", TelecomData[[#This Row],[TenureMonths]]&lt;=36, "1-3 Years", TelecomData[[#This Row],[TenureMonths]]&gt;36, "3+ Years")</f>
        <v>1-3 Years</v>
      </c>
      <c r="N40" s="2" t="str">
        <f>IF(TelecomData[[#This Row],[CleanedTotalCharges]]&gt;=2500,"High Spend", "Standard Spend")</f>
        <v>High Spend</v>
      </c>
    </row>
    <row r="41" spans="1:14" x14ac:dyDescent="0.3">
      <c r="A41" s="1" t="s">
        <v>64</v>
      </c>
      <c r="B41" s="2" t="s">
        <v>12</v>
      </c>
      <c r="C41" s="2" t="s">
        <v>13</v>
      </c>
      <c r="D41" s="2">
        <v>11</v>
      </c>
      <c r="E41" s="2" t="s">
        <v>26</v>
      </c>
      <c r="F41" s="2" t="s">
        <v>15</v>
      </c>
      <c r="G41" s="7">
        <v>97.85</v>
      </c>
      <c r="H41" s="7">
        <v>1105.4000000000001</v>
      </c>
      <c r="I41" s="2" t="s">
        <v>16</v>
      </c>
      <c r="J41" s="2" t="s">
        <v>16</v>
      </c>
      <c r="K41" s="2" t="s">
        <v>24</v>
      </c>
      <c r="L41" s="7">
        <v>1105.4000000000001</v>
      </c>
      <c r="M41" s="2" t="str">
        <f>_xlfn.IFS(TelecomData[[#This Row],[TenureMonths]]&lt;=12, "0-1 Year", TelecomData[[#This Row],[TenureMonths]]&lt;=36, "1-3 Years", TelecomData[[#This Row],[TenureMonths]]&gt;36, "3+ Years")</f>
        <v>0-1 Year</v>
      </c>
      <c r="N41" s="2" t="str">
        <f>IF(TelecomData[[#This Row],[CleanedTotalCharges]]&gt;=2500,"High Spend", "Standard Spend")</f>
        <v>Standard Spend</v>
      </c>
    </row>
    <row r="42" spans="1:14" x14ac:dyDescent="0.3">
      <c r="A42" s="1" t="s">
        <v>65</v>
      </c>
      <c r="B42" s="2" t="s">
        <v>19</v>
      </c>
      <c r="C42" s="2" t="s">
        <v>20</v>
      </c>
      <c r="D42" s="2">
        <v>10</v>
      </c>
      <c r="E42" s="2" t="s">
        <v>14</v>
      </c>
      <c r="F42" s="2" t="s">
        <v>15</v>
      </c>
      <c r="G42" s="7">
        <v>49.55</v>
      </c>
      <c r="H42" s="7">
        <v>475.7</v>
      </c>
      <c r="I42" s="2" t="s">
        <v>15</v>
      </c>
      <c r="J42" s="2" t="s">
        <v>15</v>
      </c>
      <c r="K42" s="2" t="s">
        <v>21</v>
      </c>
      <c r="L42" s="7">
        <v>475.7</v>
      </c>
      <c r="M42" s="2" t="str">
        <f>_xlfn.IFS(TelecomData[[#This Row],[TenureMonths]]&lt;=12, "0-1 Year", TelecomData[[#This Row],[TenureMonths]]&lt;=36, "1-3 Years", TelecomData[[#This Row],[TenureMonths]]&gt;36, "3+ Years")</f>
        <v>0-1 Year</v>
      </c>
      <c r="N42" s="2" t="str">
        <f>IF(TelecomData[[#This Row],[CleanedTotalCharges]]&gt;=2500,"High Spend", "Standard Spend")</f>
        <v>Standard Spend</v>
      </c>
    </row>
    <row r="43" spans="1:14" x14ac:dyDescent="0.3">
      <c r="A43" s="1" t="s">
        <v>66</v>
      </c>
      <c r="B43" s="2" t="s">
        <v>12</v>
      </c>
      <c r="C43" s="2" t="s">
        <v>35</v>
      </c>
      <c r="D43" s="2">
        <v>70</v>
      </c>
      <c r="E43" s="2" t="s">
        <v>14</v>
      </c>
      <c r="F43" s="2" t="s">
        <v>15</v>
      </c>
      <c r="G43" s="7">
        <v>69.2</v>
      </c>
      <c r="H43" s="7">
        <v>4872.3500000000004</v>
      </c>
      <c r="I43" s="2" t="s">
        <v>15</v>
      </c>
      <c r="J43" s="2" t="s">
        <v>16</v>
      </c>
      <c r="K43" s="2" t="s">
        <v>29</v>
      </c>
      <c r="L43" s="7">
        <v>4872.3500000000004</v>
      </c>
      <c r="M43" s="2" t="str">
        <f>_xlfn.IFS(TelecomData[[#This Row],[TenureMonths]]&lt;=12, "0-1 Year", TelecomData[[#This Row],[TenureMonths]]&lt;=36, "1-3 Years", TelecomData[[#This Row],[TenureMonths]]&gt;36, "3+ Years")</f>
        <v>3+ Years</v>
      </c>
      <c r="N43" s="2" t="str">
        <f>IF(TelecomData[[#This Row],[CleanedTotalCharges]]&gt;=2500,"High Spend", "Standard Spend")</f>
        <v>High Spend</v>
      </c>
    </row>
    <row r="44" spans="1:14" x14ac:dyDescent="0.3">
      <c r="A44" s="1" t="s">
        <v>67</v>
      </c>
      <c r="B44" s="2" t="s">
        <v>12</v>
      </c>
      <c r="C44" s="2" t="s">
        <v>20</v>
      </c>
      <c r="D44" s="2">
        <v>17</v>
      </c>
      <c r="E44" s="2" t="s">
        <v>15</v>
      </c>
      <c r="F44" s="2" t="s">
        <v>36</v>
      </c>
      <c r="G44" s="7">
        <v>20.75</v>
      </c>
      <c r="H44" s="7">
        <v>418.25</v>
      </c>
      <c r="I44" s="2" t="s">
        <v>15</v>
      </c>
      <c r="J44" s="2" t="s">
        <v>15</v>
      </c>
      <c r="K44" s="2" t="s">
        <v>21</v>
      </c>
      <c r="L44" s="7">
        <v>418.25</v>
      </c>
      <c r="M44" s="2" t="str">
        <f>_xlfn.IFS(TelecomData[[#This Row],[TenureMonths]]&lt;=12, "0-1 Year", TelecomData[[#This Row],[TenureMonths]]&lt;=36, "1-3 Years", TelecomData[[#This Row],[TenureMonths]]&gt;36, "3+ Years")</f>
        <v>1-3 Years</v>
      </c>
      <c r="N44" s="2" t="str">
        <f>IF(TelecomData[[#This Row],[CleanedTotalCharges]]&gt;=2500,"High Spend", "Standard Spend")</f>
        <v>Standard Spend</v>
      </c>
    </row>
    <row r="45" spans="1:14" x14ac:dyDescent="0.3">
      <c r="A45" s="1" t="s">
        <v>68</v>
      </c>
      <c r="B45" s="2" t="s">
        <v>12</v>
      </c>
      <c r="C45" s="2" t="s">
        <v>35</v>
      </c>
      <c r="D45" s="2">
        <v>63</v>
      </c>
      <c r="E45" s="2" t="s">
        <v>14</v>
      </c>
      <c r="F45" s="2" t="s">
        <v>16</v>
      </c>
      <c r="G45" s="7">
        <v>79.849999999999994</v>
      </c>
      <c r="H45" s="7">
        <v>4861.45</v>
      </c>
      <c r="I45" s="2" t="s">
        <v>15</v>
      </c>
      <c r="J45" s="2" t="s">
        <v>16</v>
      </c>
      <c r="K45" s="2" t="s">
        <v>29</v>
      </c>
      <c r="L45" s="7">
        <v>4861.45</v>
      </c>
      <c r="M45" s="2" t="str">
        <f>_xlfn.IFS(TelecomData[[#This Row],[TenureMonths]]&lt;=12, "0-1 Year", TelecomData[[#This Row],[TenureMonths]]&lt;=36, "1-3 Years", TelecomData[[#This Row],[TenureMonths]]&gt;36, "3+ Years")</f>
        <v>3+ Years</v>
      </c>
      <c r="N45" s="2" t="str">
        <f>IF(TelecomData[[#This Row],[CleanedTotalCharges]]&gt;=2500,"High Spend", "Standard Spend")</f>
        <v>High Spend</v>
      </c>
    </row>
    <row r="46" spans="1:14" x14ac:dyDescent="0.3">
      <c r="A46" s="1" t="s">
        <v>69</v>
      </c>
      <c r="B46" s="2" t="s">
        <v>12</v>
      </c>
      <c r="C46" s="2" t="s">
        <v>13</v>
      </c>
      <c r="D46" s="2">
        <v>13</v>
      </c>
      <c r="E46" s="2" t="s">
        <v>14</v>
      </c>
      <c r="F46" s="2" t="s">
        <v>16</v>
      </c>
      <c r="G46" s="7">
        <v>76.2</v>
      </c>
      <c r="H46" s="7">
        <v>981.45</v>
      </c>
      <c r="I46" s="2" t="s">
        <v>15</v>
      </c>
      <c r="J46" s="2" t="s">
        <v>16</v>
      </c>
      <c r="K46" s="2" t="s">
        <v>17</v>
      </c>
      <c r="L46" s="7">
        <v>981.45</v>
      </c>
      <c r="M46" s="2" t="str">
        <f>_xlfn.IFS(TelecomData[[#This Row],[TenureMonths]]&lt;=12, "0-1 Year", TelecomData[[#This Row],[TenureMonths]]&lt;=36, "1-3 Years", TelecomData[[#This Row],[TenureMonths]]&gt;36, "3+ Years")</f>
        <v>1-3 Years</v>
      </c>
      <c r="N46" s="2" t="str">
        <f>IF(TelecomData[[#This Row],[CleanedTotalCharges]]&gt;=2500,"High Spend", "Standard Spend")</f>
        <v>Standard Spend</v>
      </c>
    </row>
    <row r="47" spans="1:14" x14ac:dyDescent="0.3">
      <c r="A47" s="1" t="s">
        <v>70</v>
      </c>
      <c r="B47" s="2" t="s">
        <v>12</v>
      </c>
      <c r="C47" s="2" t="s">
        <v>13</v>
      </c>
      <c r="D47" s="2">
        <v>49</v>
      </c>
      <c r="E47" s="2" t="s">
        <v>26</v>
      </c>
      <c r="F47" s="2" t="s">
        <v>15</v>
      </c>
      <c r="G47" s="7">
        <v>84.5</v>
      </c>
      <c r="H47" s="7">
        <v>3906.7</v>
      </c>
      <c r="I47" s="2" t="s">
        <v>15</v>
      </c>
      <c r="J47" s="2" t="s">
        <v>16</v>
      </c>
      <c r="K47" s="2" t="s">
        <v>17</v>
      </c>
      <c r="L47" s="7">
        <v>3906.7</v>
      </c>
      <c r="M47" s="2" t="str">
        <f>_xlfn.IFS(TelecomData[[#This Row],[TenureMonths]]&lt;=12, "0-1 Year", TelecomData[[#This Row],[TenureMonths]]&lt;=36, "1-3 Years", TelecomData[[#This Row],[TenureMonths]]&gt;36, "3+ Years")</f>
        <v>3+ Years</v>
      </c>
      <c r="N47" s="2" t="str">
        <f>IF(TelecomData[[#This Row],[CleanedTotalCharges]]&gt;=2500,"High Spend", "Standard Spend")</f>
        <v>High Spend</v>
      </c>
    </row>
    <row r="48" spans="1:14" x14ac:dyDescent="0.3">
      <c r="A48" s="1" t="s">
        <v>71</v>
      </c>
      <c r="B48" s="2" t="s">
        <v>19</v>
      </c>
      <c r="C48" s="2" t="s">
        <v>13</v>
      </c>
      <c r="D48" s="2">
        <v>2</v>
      </c>
      <c r="E48" s="2" t="s">
        <v>14</v>
      </c>
      <c r="F48" s="2" t="s">
        <v>15</v>
      </c>
      <c r="G48" s="7">
        <v>49.25</v>
      </c>
      <c r="H48" s="7">
        <v>97</v>
      </c>
      <c r="I48" s="2" t="s">
        <v>15</v>
      </c>
      <c r="J48" s="2" t="s">
        <v>15</v>
      </c>
      <c r="K48" s="2" t="s">
        <v>21</v>
      </c>
      <c r="L48" s="7">
        <v>97</v>
      </c>
      <c r="M48" s="2" t="str">
        <f>_xlfn.IFS(TelecomData[[#This Row],[TenureMonths]]&lt;=12, "0-1 Year", TelecomData[[#This Row],[TenureMonths]]&lt;=36, "1-3 Years", TelecomData[[#This Row],[TenureMonths]]&gt;36, "3+ Years")</f>
        <v>0-1 Year</v>
      </c>
      <c r="N48" s="2" t="str">
        <f>IF(TelecomData[[#This Row],[CleanedTotalCharges]]&gt;=2500,"High Spend", "Standard Spend")</f>
        <v>Standard Spend</v>
      </c>
    </row>
    <row r="49" spans="1:14" x14ac:dyDescent="0.3">
      <c r="A49" s="1" t="s">
        <v>72</v>
      </c>
      <c r="B49" s="2" t="s">
        <v>12</v>
      </c>
      <c r="C49" s="2" t="s">
        <v>13</v>
      </c>
      <c r="D49" s="2">
        <v>2</v>
      </c>
      <c r="E49" s="2" t="s">
        <v>26</v>
      </c>
      <c r="F49" s="2" t="s">
        <v>15</v>
      </c>
      <c r="G49" s="7">
        <v>80.650000000000006</v>
      </c>
      <c r="H49" s="7">
        <v>144.15</v>
      </c>
      <c r="I49" s="2" t="s">
        <v>16</v>
      </c>
      <c r="J49" s="2" t="s">
        <v>16</v>
      </c>
      <c r="K49" s="2" t="s">
        <v>17</v>
      </c>
      <c r="L49" s="7">
        <v>144.15</v>
      </c>
      <c r="M49" s="2" t="str">
        <f>_xlfn.IFS(TelecomData[[#This Row],[TenureMonths]]&lt;=12, "0-1 Year", TelecomData[[#This Row],[TenureMonths]]&lt;=36, "1-3 Years", TelecomData[[#This Row],[TenureMonths]]&gt;36, "3+ Years")</f>
        <v>0-1 Year</v>
      </c>
      <c r="N49" s="2" t="str">
        <f>IF(TelecomData[[#This Row],[CleanedTotalCharges]]&gt;=2500,"High Spend", "Standard Spend")</f>
        <v>Standard Spend</v>
      </c>
    </row>
    <row r="50" spans="1:14" x14ac:dyDescent="0.3">
      <c r="A50" s="1" t="s">
        <v>73</v>
      </c>
      <c r="B50" s="2" t="s">
        <v>19</v>
      </c>
      <c r="C50" s="2" t="s">
        <v>35</v>
      </c>
      <c r="D50" s="2">
        <v>52</v>
      </c>
      <c r="E50" s="2" t="s">
        <v>14</v>
      </c>
      <c r="F50" s="2" t="s">
        <v>16</v>
      </c>
      <c r="G50" s="7">
        <v>79.75</v>
      </c>
      <c r="H50" s="7">
        <v>4217.8</v>
      </c>
      <c r="I50" s="2" t="s">
        <v>15</v>
      </c>
      <c r="J50" s="2" t="s">
        <v>16</v>
      </c>
      <c r="K50" s="2" t="s">
        <v>29</v>
      </c>
      <c r="L50" s="7">
        <v>4217.8</v>
      </c>
      <c r="M50" s="2" t="str">
        <f>_xlfn.IFS(TelecomData[[#This Row],[TenureMonths]]&lt;=12, "0-1 Year", TelecomData[[#This Row],[TenureMonths]]&lt;=36, "1-3 Years", TelecomData[[#This Row],[TenureMonths]]&gt;36, "3+ Years")</f>
        <v>3+ Years</v>
      </c>
      <c r="N50" s="2" t="str">
        <f>IF(TelecomData[[#This Row],[CleanedTotalCharges]]&gt;=2500,"High Spend", "Standard Spend")</f>
        <v>High Spend</v>
      </c>
    </row>
    <row r="51" spans="1:14" x14ac:dyDescent="0.3">
      <c r="A51" s="1" t="s">
        <v>74</v>
      </c>
      <c r="B51" s="2" t="s">
        <v>12</v>
      </c>
      <c r="C51" s="2" t="s">
        <v>35</v>
      </c>
      <c r="D51" s="2">
        <v>69</v>
      </c>
      <c r="E51" s="2" t="s">
        <v>14</v>
      </c>
      <c r="F51" s="2" t="s">
        <v>16</v>
      </c>
      <c r="G51" s="7">
        <v>64.150000000000006</v>
      </c>
      <c r="H51" s="7">
        <v>4254.1000000000004</v>
      </c>
      <c r="I51" s="2" t="s">
        <v>15</v>
      </c>
      <c r="J51" s="2" t="s">
        <v>16</v>
      </c>
      <c r="K51" s="2" t="s">
        <v>29</v>
      </c>
      <c r="L51" s="7">
        <v>4254.1000000000004</v>
      </c>
      <c r="M51" s="2" t="str">
        <f>_xlfn.IFS(TelecomData[[#This Row],[TenureMonths]]&lt;=12, "0-1 Year", TelecomData[[#This Row],[TenureMonths]]&lt;=36, "1-3 Years", TelecomData[[#This Row],[TenureMonths]]&gt;36, "3+ Years")</f>
        <v>3+ Years</v>
      </c>
      <c r="N51" s="2" t="str">
        <f>IF(TelecomData[[#This Row],[CleanedTotalCharges]]&gt;=2500,"High Spend", "Standard Spend")</f>
        <v>High Spend</v>
      </c>
    </row>
    <row r="52" spans="1:14" x14ac:dyDescent="0.3">
      <c r="A52" s="1" t="s">
        <v>75</v>
      </c>
      <c r="B52" s="2" t="s">
        <v>12</v>
      </c>
      <c r="C52" s="2" t="s">
        <v>13</v>
      </c>
      <c r="D52" s="2">
        <v>43</v>
      </c>
      <c r="E52" s="2" t="s">
        <v>26</v>
      </c>
      <c r="F52" s="2" t="s">
        <v>15</v>
      </c>
      <c r="G52" s="7">
        <v>90.25</v>
      </c>
      <c r="H52" s="7">
        <v>3838.75</v>
      </c>
      <c r="I52" s="2" t="s">
        <v>15</v>
      </c>
      <c r="J52" s="2" t="s">
        <v>16</v>
      </c>
      <c r="K52" s="2" t="s">
        <v>17</v>
      </c>
      <c r="L52" s="7">
        <v>3838.75</v>
      </c>
      <c r="M52" s="2" t="str">
        <f>_xlfn.IFS(TelecomData[[#This Row],[TenureMonths]]&lt;=12, "0-1 Year", TelecomData[[#This Row],[TenureMonths]]&lt;=36, "1-3 Years", TelecomData[[#This Row],[TenureMonths]]&gt;36, "3+ Years")</f>
        <v>3+ Years</v>
      </c>
      <c r="N52" s="2" t="str">
        <f>IF(TelecomData[[#This Row],[CleanedTotalCharges]]&gt;=2500,"High Spend", "Standard Spend")</f>
        <v>High Spend</v>
      </c>
    </row>
    <row r="53" spans="1:14" x14ac:dyDescent="0.3">
      <c r="A53" s="1" t="s">
        <v>76</v>
      </c>
      <c r="B53" s="2" t="s">
        <v>12</v>
      </c>
      <c r="C53" s="2" t="s">
        <v>13</v>
      </c>
      <c r="D53" s="2">
        <v>15</v>
      </c>
      <c r="E53" s="2" t="s">
        <v>26</v>
      </c>
      <c r="F53" s="2" t="s">
        <v>15</v>
      </c>
      <c r="G53" s="7">
        <v>99.1</v>
      </c>
      <c r="H53" s="7">
        <v>1426.4</v>
      </c>
      <c r="I53" s="2" t="s">
        <v>16</v>
      </c>
      <c r="J53" s="2" t="s">
        <v>16</v>
      </c>
      <c r="K53" s="2" t="s">
        <v>29</v>
      </c>
      <c r="L53" s="7">
        <v>1426.4</v>
      </c>
      <c r="M53" s="2" t="str">
        <f>_xlfn.IFS(TelecomData[[#This Row],[TenureMonths]]&lt;=12, "0-1 Year", TelecomData[[#This Row],[TenureMonths]]&lt;=36, "1-3 Years", TelecomData[[#This Row],[TenureMonths]]&gt;36, "3+ Years")</f>
        <v>1-3 Years</v>
      </c>
      <c r="N53" s="2" t="str">
        <f>IF(TelecomData[[#This Row],[CleanedTotalCharges]]&gt;=2500,"High Spend", "Standard Spend")</f>
        <v>Standard Spend</v>
      </c>
    </row>
    <row r="54" spans="1:14" x14ac:dyDescent="0.3">
      <c r="A54" s="1" t="s">
        <v>77</v>
      </c>
      <c r="B54" s="2" t="s">
        <v>12</v>
      </c>
      <c r="C54" s="2" t="s">
        <v>13</v>
      </c>
      <c r="D54" s="2">
        <v>25</v>
      </c>
      <c r="E54" s="2" t="s">
        <v>14</v>
      </c>
      <c r="F54" s="2" t="s">
        <v>16</v>
      </c>
      <c r="G54" s="7">
        <v>69.5</v>
      </c>
      <c r="H54" s="7">
        <v>1752.65</v>
      </c>
      <c r="I54" s="2" t="s">
        <v>15</v>
      </c>
      <c r="J54" s="2" t="s">
        <v>16</v>
      </c>
      <c r="K54" s="2" t="s">
        <v>29</v>
      </c>
      <c r="L54" s="7">
        <v>1752.65</v>
      </c>
      <c r="M54" s="2" t="str">
        <f>_xlfn.IFS(TelecomData[[#This Row],[TenureMonths]]&lt;=12, "0-1 Year", TelecomData[[#This Row],[TenureMonths]]&lt;=36, "1-3 Years", TelecomData[[#This Row],[TenureMonths]]&gt;36, "3+ Years")</f>
        <v>1-3 Years</v>
      </c>
      <c r="N54" s="2" t="str">
        <f>IF(TelecomData[[#This Row],[CleanedTotalCharges]]&gt;=2500,"High Spend", "Standard Spend")</f>
        <v>Standard Spend</v>
      </c>
    </row>
    <row r="55" spans="1:14" x14ac:dyDescent="0.3">
      <c r="A55" s="1" t="s">
        <v>78</v>
      </c>
      <c r="B55" s="2" t="s">
        <v>12</v>
      </c>
      <c r="C55" s="2" t="s">
        <v>13</v>
      </c>
      <c r="D55" s="2">
        <v>8</v>
      </c>
      <c r="E55" s="2" t="s">
        <v>26</v>
      </c>
      <c r="F55" s="2" t="s">
        <v>15</v>
      </c>
      <c r="G55" s="7">
        <v>80.650000000000006</v>
      </c>
      <c r="H55" s="7">
        <v>633.29999999999995</v>
      </c>
      <c r="I55" s="2" t="s">
        <v>16</v>
      </c>
      <c r="J55" s="2" t="s">
        <v>16</v>
      </c>
      <c r="K55" s="2" t="s">
        <v>29</v>
      </c>
      <c r="L55" s="7">
        <v>633.29999999999995</v>
      </c>
      <c r="M55" s="2" t="str">
        <f>_xlfn.IFS(TelecomData[[#This Row],[TenureMonths]]&lt;=12, "0-1 Year", TelecomData[[#This Row],[TenureMonths]]&lt;=36, "1-3 Years", TelecomData[[#This Row],[TenureMonths]]&gt;36, "3+ Years")</f>
        <v>0-1 Year</v>
      </c>
      <c r="N55" s="2" t="str">
        <f>IF(TelecomData[[#This Row],[CleanedTotalCharges]]&gt;=2500,"High Spend", "Standard Spend")</f>
        <v>Standard Spend</v>
      </c>
    </row>
    <row r="56" spans="1:14" x14ac:dyDescent="0.3">
      <c r="A56" s="1" t="s">
        <v>79</v>
      </c>
      <c r="B56" s="2" t="s">
        <v>12</v>
      </c>
      <c r="C56" s="2" t="s">
        <v>20</v>
      </c>
      <c r="D56" s="2">
        <v>60</v>
      </c>
      <c r="E56" s="2" t="s">
        <v>14</v>
      </c>
      <c r="F56" s="2" t="s">
        <v>16</v>
      </c>
      <c r="G56" s="7">
        <v>74.849999999999994</v>
      </c>
      <c r="H56" s="7">
        <v>4456.3500000000004</v>
      </c>
      <c r="I56" s="2" t="s">
        <v>15</v>
      </c>
      <c r="J56" s="2" t="s">
        <v>16</v>
      </c>
      <c r="K56" s="2" t="s">
        <v>29</v>
      </c>
      <c r="L56" s="7">
        <v>4456.3500000000004</v>
      </c>
      <c r="M56" s="2" t="str">
        <f>_xlfn.IFS(TelecomData[[#This Row],[TenureMonths]]&lt;=12, "0-1 Year", TelecomData[[#This Row],[TenureMonths]]&lt;=36, "1-3 Years", TelecomData[[#This Row],[TenureMonths]]&gt;36, "3+ Years")</f>
        <v>3+ Years</v>
      </c>
      <c r="N56" s="2" t="str">
        <f>IF(TelecomData[[#This Row],[CleanedTotalCharges]]&gt;=2500,"High Spend", "Standard Spend")</f>
        <v>High Spend</v>
      </c>
    </row>
    <row r="57" spans="1:14" x14ac:dyDescent="0.3">
      <c r="A57" s="1" t="s">
        <v>80</v>
      </c>
      <c r="B57" s="2" t="s">
        <v>19</v>
      </c>
      <c r="C57" s="2" t="s">
        <v>13</v>
      </c>
      <c r="D57" s="2">
        <v>18</v>
      </c>
      <c r="E57" s="2" t="s">
        <v>26</v>
      </c>
      <c r="F57" s="2" t="s">
        <v>15</v>
      </c>
      <c r="G57" s="7">
        <v>95.45</v>
      </c>
      <c r="H57" s="7">
        <v>1752.55</v>
      </c>
      <c r="I57" s="2" t="s">
        <v>16</v>
      </c>
      <c r="J57" s="2" t="s">
        <v>16</v>
      </c>
      <c r="K57" s="2" t="s">
        <v>17</v>
      </c>
      <c r="L57" s="7">
        <v>1752.55</v>
      </c>
      <c r="M57" s="2" t="str">
        <f>_xlfn.IFS(TelecomData[[#This Row],[TenureMonths]]&lt;=12, "0-1 Year", TelecomData[[#This Row],[TenureMonths]]&lt;=36, "1-3 Years", TelecomData[[#This Row],[TenureMonths]]&gt;36, "3+ Years")</f>
        <v>1-3 Years</v>
      </c>
      <c r="N57" s="2" t="str">
        <f>IF(TelecomData[[#This Row],[CleanedTotalCharges]]&gt;=2500,"High Spend", "Standard Spend")</f>
        <v>Standard Spend</v>
      </c>
    </row>
    <row r="58" spans="1:14" x14ac:dyDescent="0.3">
      <c r="A58" s="1" t="s">
        <v>81</v>
      </c>
      <c r="B58" s="2" t="s">
        <v>12</v>
      </c>
      <c r="C58" s="2" t="s">
        <v>20</v>
      </c>
      <c r="D58" s="2">
        <v>63</v>
      </c>
      <c r="E58" s="2" t="s">
        <v>26</v>
      </c>
      <c r="F58" s="2" t="s">
        <v>15</v>
      </c>
      <c r="G58" s="7">
        <v>99.65</v>
      </c>
      <c r="H58" s="7">
        <v>6311.2</v>
      </c>
      <c r="I58" s="2" t="s">
        <v>15</v>
      </c>
      <c r="J58" s="2" t="s">
        <v>16</v>
      </c>
      <c r="K58" s="2" t="s">
        <v>29</v>
      </c>
      <c r="L58" s="7">
        <v>6311.2</v>
      </c>
      <c r="M58" s="2" t="str">
        <f>_xlfn.IFS(TelecomData[[#This Row],[TenureMonths]]&lt;=12, "0-1 Year", TelecomData[[#This Row],[TenureMonths]]&lt;=36, "1-3 Years", TelecomData[[#This Row],[TenureMonths]]&gt;36, "3+ Years")</f>
        <v>3+ Years</v>
      </c>
      <c r="N58" s="2" t="str">
        <f>IF(TelecomData[[#This Row],[CleanedTotalCharges]]&gt;=2500,"High Spend", "Standard Spend")</f>
        <v>High Spend</v>
      </c>
    </row>
    <row r="59" spans="1:14" x14ac:dyDescent="0.3">
      <c r="A59" s="1" t="s">
        <v>82</v>
      </c>
      <c r="B59" s="2" t="s">
        <v>19</v>
      </c>
      <c r="C59" s="2" t="s">
        <v>20</v>
      </c>
      <c r="D59" s="2">
        <v>66</v>
      </c>
      <c r="E59" s="2" t="s">
        <v>26</v>
      </c>
      <c r="F59" s="2" t="s">
        <v>16</v>
      </c>
      <c r="G59" s="7">
        <v>108.45</v>
      </c>
      <c r="H59" s="7">
        <v>7076.35</v>
      </c>
      <c r="I59" s="2" t="s">
        <v>15</v>
      </c>
      <c r="J59" s="2" t="s">
        <v>16</v>
      </c>
      <c r="K59" s="2" t="s">
        <v>17</v>
      </c>
      <c r="L59" s="7">
        <v>7076.35</v>
      </c>
      <c r="M59" s="2" t="str">
        <f>_xlfn.IFS(TelecomData[[#This Row],[TenureMonths]]&lt;=12, "0-1 Year", TelecomData[[#This Row],[TenureMonths]]&lt;=36, "1-3 Years", TelecomData[[#This Row],[TenureMonths]]&gt;36, "3+ Years")</f>
        <v>3+ Years</v>
      </c>
      <c r="N59" s="2" t="str">
        <f>IF(TelecomData[[#This Row],[CleanedTotalCharges]]&gt;=2500,"High Spend", "Standard Spend")</f>
        <v>High Spend</v>
      </c>
    </row>
    <row r="60" spans="1:14" x14ac:dyDescent="0.3">
      <c r="A60" s="1" t="s">
        <v>83</v>
      </c>
      <c r="B60" s="2" t="s">
        <v>12</v>
      </c>
      <c r="C60" s="2" t="s">
        <v>35</v>
      </c>
      <c r="D60" s="2">
        <v>34</v>
      </c>
      <c r="E60" s="2" t="s">
        <v>15</v>
      </c>
      <c r="F60" s="2" t="s">
        <v>36</v>
      </c>
      <c r="G60" s="7">
        <v>24.95</v>
      </c>
      <c r="H60" s="7">
        <v>894.3</v>
      </c>
      <c r="I60" s="2" t="s">
        <v>15</v>
      </c>
      <c r="J60" s="2" t="s">
        <v>15</v>
      </c>
      <c r="K60" s="2" t="s">
        <v>29</v>
      </c>
      <c r="L60" s="7">
        <v>894.3</v>
      </c>
      <c r="M60" s="2" t="str">
        <f>_xlfn.IFS(TelecomData[[#This Row],[TenureMonths]]&lt;=12, "0-1 Year", TelecomData[[#This Row],[TenureMonths]]&lt;=36, "1-3 Years", TelecomData[[#This Row],[TenureMonths]]&gt;36, "3+ Years")</f>
        <v>1-3 Years</v>
      </c>
      <c r="N60" s="2" t="str">
        <f>IF(TelecomData[[#This Row],[CleanedTotalCharges]]&gt;=2500,"High Spend", "Standard Spend")</f>
        <v>Standard Spend</v>
      </c>
    </row>
    <row r="61" spans="1:14" x14ac:dyDescent="0.3">
      <c r="A61" s="1" t="s">
        <v>84</v>
      </c>
      <c r="B61" s="2" t="s">
        <v>12</v>
      </c>
      <c r="C61" s="2" t="s">
        <v>35</v>
      </c>
      <c r="D61" s="2">
        <v>72</v>
      </c>
      <c r="E61" s="2" t="s">
        <v>26</v>
      </c>
      <c r="F61" s="2" t="s">
        <v>16</v>
      </c>
      <c r="G61" s="7">
        <v>107.5</v>
      </c>
      <c r="H61" s="7">
        <v>7853.7</v>
      </c>
      <c r="I61" s="2" t="s">
        <v>15</v>
      </c>
      <c r="J61" s="2" t="s">
        <v>16</v>
      </c>
      <c r="K61" s="2" t="s">
        <v>29</v>
      </c>
      <c r="L61" s="7">
        <v>7853.7</v>
      </c>
      <c r="M61" s="2" t="str">
        <f>_xlfn.IFS(TelecomData[[#This Row],[TenureMonths]]&lt;=12, "0-1 Year", TelecomData[[#This Row],[TenureMonths]]&lt;=36, "1-3 Years", TelecomData[[#This Row],[TenureMonths]]&gt;36, "3+ Years")</f>
        <v>3+ Years</v>
      </c>
      <c r="N61" s="2" t="str">
        <f>IF(TelecomData[[#This Row],[CleanedTotalCharges]]&gt;=2500,"High Spend", "Standard Spend")</f>
        <v>High Spend</v>
      </c>
    </row>
    <row r="62" spans="1:14" x14ac:dyDescent="0.3">
      <c r="A62" s="1" t="s">
        <v>85</v>
      </c>
      <c r="B62" s="2" t="s">
        <v>12</v>
      </c>
      <c r="C62" s="2" t="s">
        <v>13</v>
      </c>
      <c r="D62" s="2">
        <v>47</v>
      </c>
      <c r="E62" s="2" t="s">
        <v>26</v>
      </c>
      <c r="F62" s="2" t="s">
        <v>15</v>
      </c>
      <c r="G62" s="7">
        <v>100.5</v>
      </c>
      <c r="H62" s="7">
        <v>4707.1000000000004</v>
      </c>
      <c r="I62" s="2" t="s">
        <v>15</v>
      </c>
      <c r="J62" s="2" t="s">
        <v>16</v>
      </c>
      <c r="K62" s="2" t="s">
        <v>17</v>
      </c>
      <c r="L62" s="7">
        <v>4707.1000000000004</v>
      </c>
      <c r="M62" s="2" t="str">
        <f>_xlfn.IFS(TelecomData[[#This Row],[TenureMonths]]&lt;=12, "0-1 Year", TelecomData[[#This Row],[TenureMonths]]&lt;=36, "1-3 Years", TelecomData[[#This Row],[TenureMonths]]&gt;36, "3+ Years")</f>
        <v>3+ Years</v>
      </c>
      <c r="N62" s="2" t="str">
        <f>IF(TelecomData[[#This Row],[CleanedTotalCharges]]&gt;=2500,"High Spend", "Standard Spend")</f>
        <v>High Spend</v>
      </c>
    </row>
    <row r="63" spans="1:14" x14ac:dyDescent="0.3">
      <c r="A63" s="1" t="s">
        <v>86</v>
      </c>
      <c r="B63" s="2" t="s">
        <v>19</v>
      </c>
      <c r="C63" s="2" t="s">
        <v>13</v>
      </c>
      <c r="D63" s="2">
        <v>60</v>
      </c>
      <c r="E63" s="2" t="s">
        <v>26</v>
      </c>
      <c r="F63" s="2" t="s">
        <v>15</v>
      </c>
      <c r="G63" s="7">
        <v>89.9</v>
      </c>
      <c r="H63" s="7">
        <v>5450.7</v>
      </c>
      <c r="I63" s="2" t="s">
        <v>15</v>
      </c>
      <c r="J63" s="2" t="s">
        <v>16</v>
      </c>
      <c r="K63" s="2" t="s">
        <v>24</v>
      </c>
      <c r="L63" s="7">
        <v>5450.7</v>
      </c>
      <c r="M63" s="2" t="str">
        <f>_xlfn.IFS(TelecomData[[#This Row],[TenureMonths]]&lt;=12, "0-1 Year", TelecomData[[#This Row],[TenureMonths]]&lt;=36, "1-3 Years", TelecomData[[#This Row],[TenureMonths]]&gt;36, "3+ Years")</f>
        <v>3+ Years</v>
      </c>
      <c r="N63" s="2" t="str">
        <f>IF(TelecomData[[#This Row],[CleanedTotalCharges]]&gt;=2500,"High Spend", "Standard Spend")</f>
        <v>High Spend</v>
      </c>
    </row>
    <row r="64" spans="1:14" x14ac:dyDescent="0.3">
      <c r="A64" s="1" t="s">
        <v>87</v>
      </c>
      <c r="B64" s="2" t="s">
        <v>19</v>
      </c>
      <c r="C64" s="2" t="s">
        <v>35</v>
      </c>
      <c r="D64" s="2">
        <v>72</v>
      </c>
      <c r="E64" s="2" t="s">
        <v>14</v>
      </c>
      <c r="F64" s="2" t="s">
        <v>15</v>
      </c>
      <c r="G64" s="7">
        <v>42.1</v>
      </c>
      <c r="H64" s="7">
        <v>2962</v>
      </c>
      <c r="I64" s="2" t="s">
        <v>15</v>
      </c>
      <c r="J64" s="2" t="s">
        <v>15</v>
      </c>
      <c r="K64" s="2" t="s">
        <v>24</v>
      </c>
      <c r="L64" s="7">
        <v>2962</v>
      </c>
      <c r="M64" s="2" t="str">
        <f>_xlfn.IFS(TelecomData[[#This Row],[TenureMonths]]&lt;=12, "0-1 Year", TelecomData[[#This Row],[TenureMonths]]&lt;=36, "1-3 Years", TelecomData[[#This Row],[TenureMonths]]&gt;36, "3+ Years")</f>
        <v>3+ Years</v>
      </c>
      <c r="N64" s="2" t="str">
        <f>IF(TelecomData[[#This Row],[CleanedTotalCharges]]&gt;=2500,"High Spend", "Standard Spend")</f>
        <v>High Spend</v>
      </c>
    </row>
    <row r="65" spans="1:14" x14ac:dyDescent="0.3">
      <c r="A65" s="1" t="s">
        <v>88</v>
      </c>
      <c r="B65" s="2" t="s">
        <v>12</v>
      </c>
      <c r="C65" s="2" t="s">
        <v>20</v>
      </c>
      <c r="D65" s="2">
        <v>18</v>
      </c>
      <c r="E65" s="2" t="s">
        <v>14</v>
      </c>
      <c r="F65" s="2" t="s">
        <v>16</v>
      </c>
      <c r="G65" s="7">
        <v>54.4</v>
      </c>
      <c r="H65" s="7">
        <v>957.1</v>
      </c>
      <c r="I65" s="2" t="s">
        <v>15</v>
      </c>
      <c r="J65" s="2" t="s">
        <v>16</v>
      </c>
      <c r="K65" s="2" t="s">
        <v>29</v>
      </c>
      <c r="L65" s="7">
        <v>957.1</v>
      </c>
      <c r="M65" s="2" t="str">
        <f>_xlfn.IFS(TelecomData[[#This Row],[TenureMonths]]&lt;=12, "0-1 Year", TelecomData[[#This Row],[TenureMonths]]&lt;=36, "1-3 Years", TelecomData[[#This Row],[TenureMonths]]&gt;36, "3+ Years")</f>
        <v>1-3 Years</v>
      </c>
      <c r="N65" s="2" t="str">
        <f>IF(TelecomData[[#This Row],[CleanedTotalCharges]]&gt;=2500,"High Spend", "Standard Spend")</f>
        <v>Standard Spend</v>
      </c>
    </row>
    <row r="66" spans="1:14" x14ac:dyDescent="0.3">
      <c r="A66" s="1" t="s">
        <v>89</v>
      </c>
      <c r="B66" s="2" t="s">
        <v>12</v>
      </c>
      <c r="C66" s="2" t="s">
        <v>13</v>
      </c>
      <c r="D66" s="2">
        <v>9</v>
      </c>
      <c r="E66" s="2" t="s">
        <v>26</v>
      </c>
      <c r="F66" s="2" t="s">
        <v>15</v>
      </c>
      <c r="G66" s="7">
        <v>94.4</v>
      </c>
      <c r="H66" s="7">
        <v>857.25</v>
      </c>
      <c r="I66" s="2" t="s">
        <v>16</v>
      </c>
      <c r="J66" s="2" t="s">
        <v>15</v>
      </c>
      <c r="K66" s="2" t="s">
        <v>17</v>
      </c>
      <c r="L66" s="7">
        <v>857.25</v>
      </c>
      <c r="M66" s="2" t="str">
        <f>_xlfn.IFS(TelecomData[[#This Row],[TenureMonths]]&lt;=12, "0-1 Year", TelecomData[[#This Row],[TenureMonths]]&lt;=36, "1-3 Years", TelecomData[[#This Row],[TenureMonths]]&gt;36, "3+ Years")</f>
        <v>0-1 Year</v>
      </c>
      <c r="N66" s="2" t="str">
        <f>IF(TelecomData[[#This Row],[CleanedTotalCharges]]&gt;=2500,"High Spend", "Standard Spend")</f>
        <v>Standard Spend</v>
      </c>
    </row>
    <row r="67" spans="1:14" x14ac:dyDescent="0.3">
      <c r="A67" s="1" t="s">
        <v>90</v>
      </c>
      <c r="B67" s="2" t="s">
        <v>12</v>
      </c>
      <c r="C67" s="2" t="s">
        <v>13</v>
      </c>
      <c r="D67" s="2">
        <v>3</v>
      </c>
      <c r="E67" s="2" t="s">
        <v>14</v>
      </c>
      <c r="F67" s="2" t="s">
        <v>16</v>
      </c>
      <c r="G67" s="7">
        <v>75.3</v>
      </c>
      <c r="H67" s="7">
        <v>244.1</v>
      </c>
      <c r="I67" s="2" t="s">
        <v>15</v>
      </c>
      <c r="J67" s="2" t="s">
        <v>16</v>
      </c>
      <c r="K67" s="2" t="s">
        <v>17</v>
      </c>
      <c r="L67" s="7">
        <v>244.1</v>
      </c>
      <c r="M67" s="2" t="str">
        <f>_xlfn.IFS(TelecomData[[#This Row],[TenureMonths]]&lt;=12, "0-1 Year", TelecomData[[#This Row],[TenureMonths]]&lt;=36, "1-3 Years", TelecomData[[#This Row],[TenureMonths]]&gt;36, "3+ Years")</f>
        <v>0-1 Year</v>
      </c>
      <c r="N67" s="2" t="str">
        <f>IF(TelecomData[[#This Row],[CleanedTotalCharges]]&gt;=2500,"High Spend", "Standard Spend")</f>
        <v>Standard Spend</v>
      </c>
    </row>
    <row r="68" spans="1:14" x14ac:dyDescent="0.3">
      <c r="A68" s="1" t="s">
        <v>91</v>
      </c>
      <c r="B68" s="2" t="s">
        <v>19</v>
      </c>
      <c r="C68" s="2" t="s">
        <v>20</v>
      </c>
      <c r="D68" s="2">
        <v>47</v>
      </c>
      <c r="E68" s="2" t="s">
        <v>26</v>
      </c>
      <c r="F68" s="2" t="s">
        <v>15</v>
      </c>
      <c r="G68" s="7">
        <v>78.900000000000006</v>
      </c>
      <c r="H68" s="7">
        <v>3650.35</v>
      </c>
      <c r="I68" s="2" t="s">
        <v>15</v>
      </c>
      <c r="J68" s="2" t="s">
        <v>16</v>
      </c>
      <c r="K68" s="2" t="s">
        <v>17</v>
      </c>
      <c r="L68" s="7">
        <v>3650.35</v>
      </c>
      <c r="M68" s="2" t="str">
        <f>_xlfn.IFS(TelecomData[[#This Row],[TenureMonths]]&lt;=12, "0-1 Year", TelecomData[[#This Row],[TenureMonths]]&lt;=36, "1-3 Years", TelecomData[[#This Row],[TenureMonths]]&gt;36, "3+ Years")</f>
        <v>3+ Years</v>
      </c>
      <c r="N68" s="2" t="str">
        <f>IF(TelecomData[[#This Row],[CleanedTotalCharges]]&gt;=2500,"High Spend", "Standard Spend")</f>
        <v>High Spend</v>
      </c>
    </row>
    <row r="69" spans="1:14" x14ac:dyDescent="0.3">
      <c r="A69" s="1" t="s">
        <v>92</v>
      </c>
      <c r="B69" s="2" t="s">
        <v>12</v>
      </c>
      <c r="C69" s="2" t="s">
        <v>35</v>
      </c>
      <c r="D69" s="2">
        <v>31</v>
      </c>
      <c r="E69" s="2" t="s">
        <v>14</v>
      </c>
      <c r="F69" s="2" t="s">
        <v>16</v>
      </c>
      <c r="G69" s="7">
        <v>79.2</v>
      </c>
      <c r="H69" s="7">
        <v>2497.1999999999998</v>
      </c>
      <c r="I69" s="2" t="s">
        <v>15</v>
      </c>
      <c r="J69" s="2" t="s">
        <v>15</v>
      </c>
      <c r="K69" s="2" t="s">
        <v>21</v>
      </c>
      <c r="L69" s="7">
        <v>2497.1999999999998</v>
      </c>
      <c r="M69" s="2" t="str">
        <f>_xlfn.IFS(TelecomData[[#This Row],[TenureMonths]]&lt;=12, "0-1 Year", TelecomData[[#This Row],[TenureMonths]]&lt;=36, "1-3 Years", TelecomData[[#This Row],[TenureMonths]]&gt;36, "3+ Years")</f>
        <v>1-3 Years</v>
      </c>
      <c r="N69" s="2" t="str">
        <f>IF(TelecomData[[#This Row],[CleanedTotalCharges]]&gt;=2500,"High Spend", "Standard Spend")</f>
        <v>Standard Spend</v>
      </c>
    </row>
    <row r="70" spans="1:14" x14ac:dyDescent="0.3">
      <c r="A70" s="1" t="s">
        <v>93</v>
      </c>
      <c r="B70" s="2" t="s">
        <v>12</v>
      </c>
      <c r="C70" s="2" t="s">
        <v>35</v>
      </c>
      <c r="D70" s="2">
        <v>50</v>
      </c>
      <c r="E70" s="2" t="s">
        <v>15</v>
      </c>
      <c r="F70" s="2" t="s">
        <v>36</v>
      </c>
      <c r="G70" s="7">
        <v>20.149999999999999</v>
      </c>
      <c r="H70" s="7">
        <v>930.9</v>
      </c>
      <c r="I70" s="2" t="s">
        <v>15</v>
      </c>
      <c r="J70" s="2" t="s">
        <v>15</v>
      </c>
      <c r="K70" s="2" t="s">
        <v>24</v>
      </c>
      <c r="L70" s="7">
        <v>930.9</v>
      </c>
      <c r="M70" s="2" t="str">
        <f>_xlfn.IFS(TelecomData[[#This Row],[TenureMonths]]&lt;=12, "0-1 Year", TelecomData[[#This Row],[TenureMonths]]&lt;=36, "1-3 Years", TelecomData[[#This Row],[TenureMonths]]&gt;36, "3+ Years")</f>
        <v>3+ Years</v>
      </c>
      <c r="N70" s="2" t="str">
        <f>IF(TelecomData[[#This Row],[CleanedTotalCharges]]&gt;=2500,"High Spend", "Standard Spend")</f>
        <v>Standard Spend</v>
      </c>
    </row>
    <row r="71" spans="1:14" x14ac:dyDescent="0.3">
      <c r="A71" s="1" t="s">
        <v>94</v>
      </c>
      <c r="B71" s="2" t="s">
        <v>19</v>
      </c>
      <c r="C71" s="2" t="s">
        <v>13</v>
      </c>
      <c r="D71" s="2">
        <v>10</v>
      </c>
      <c r="E71" s="2" t="s">
        <v>26</v>
      </c>
      <c r="F71" s="2" t="s">
        <v>15</v>
      </c>
      <c r="G71" s="7">
        <v>79.849999999999994</v>
      </c>
      <c r="H71" s="7">
        <v>887.35</v>
      </c>
      <c r="I71" s="2" t="s">
        <v>15</v>
      </c>
      <c r="J71" s="2" t="s">
        <v>16</v>
      </c>
      <c r="K71" s="2" t="s">
        <v>21</v>
      </c>
      <c r="L71" s="7">
        <v>887.35</v>
      </c>
      <c r="M71" s="2" t="str">
        <f>_xlfn.IFS(TelecomData[[#This Row],[TenureMonths]]&lt;=12, "0-1 Year", TelecomData[[#This Row],[TenureMonths]]&lt;=36, "1-3 Years", TelecomData[[#This Row],[TenureMonths]]&gt;36, "3+ Years")</f>
        <v>0-1 Year</v>
      </c>
      <c r="N71" s="2" t="str">
        <f>IF(TelecomData[[#This Row],[CleanedTotalCharges]]&gt;=2500,"High Spend", "Standard Spend")</f>
        <v>Standard Spend</v>
      </c>
    </row>
    <row r="72" spans="1:14" x14ac:dyDescent="0.3">
      <c r="A72" s="1" t="s">
        <v>95</v>
      </c>
      <c r="B72" s="2" t="s">
        <v>19</v>
      </c>
      <c r="C72" s="2" t="s">
        <v>13</v>
      </c>
      <c r="D72" s="2">
        <v>1</v>
      </c>
      <c r="E72" s="2" t="s">
        <v>14</v>
      </c>
      <c r="F72" s="2" t="s">
        <v>16</v>
      </c>
      <c r="G72" s="7">
        <v>49.05</v>
      </c>
      <c r="H72" s="7">
        <v>49.05</v>
      </c>
      <c r="I72" s="2" t="s">
        <v>15</v>
      </c>
      <c r="J72" s="2" t="s">
        <v>15</v>
      </c>
      <c r="K72" s="2" t="s">
        <v>21</v>
      </c>
      <c r="L72" s="7">
        <v>49.05</v>
      </c>
      <c r="M72" s="2" t="str">
        <f>_xlfn.IFS(TelecomData[[#This Row],[TenureMonths]]&lt;=12, "0-1 Year", TelecomData[[#This Row],[TenureMonths]]&lt;=36, "1-3 Years", TelecomData[[#This Row],[TenureMonths]]&gt;36, "3+ Years")</f>
        <v>0-1 Year</v>
      </c>
      <c r="N72" s="2" t="str">
        <f>IF(TelecomData[[#This Row],[CleanedTotalCharges]]&gt;=2500,"High Spend", "Standard Spend")</f>
        <v>Standard Spend</v>
      </c>
    </row>
    <row r="73" spans="1:14" x14ac:dyDescent="0.3">
      <c r="A73" s="1" t="s">
        <v>96</v>
      </c>
      <c r="B73" s="2" t="s">
        <v>12</v>
      </c>
      <c r="C73" s="2" t="s">
        <v>20</v>
      </c>
      <c r="D73" s="2">
        <v>52</v>
      </c>
      <c r="E73" s="2" t="s">
        <v>15</v>
      </c>
      <c r="F73" s="2" t="s">
        <v>36</v>
      </c>
      <c r="G73" s="7">
        <v>20.399999999999999</v>
      </c>
      <c r="H73" s="7">
        <v>1090.6500000000001</v>
      </c>
      <c r="I73" s="2" t="s">
        <v>15</v>
      </c>
      <c r="J73" s="2" t="s">
        <v>16</v>
      </c>
      <c r="K73" s="2" t="s">
        <v>17</v>
      </c>
      <c r="L73" s="7">
        <v>1090.6500000000001</v>
      </c>
      <c r="M73" s="2" t="str">
        <f>_xlfn.IFS(TelecomData[[#This Row],[TenureMonths]]&lt;=12, "0-1 Year", TelecomData[[#This Row],[TenureMonths]]&lt;=36, "1-3 Years", TelecomData[[#This Row],[TenureMonths]]&gt;36, "3+ Years")</f>
        <v>3+ Years</v>
      </c>
      <c r="N73" s="2" t="str">
        <f>IF(TelecomData[[#This Row],[CleanedTotalCharges]]&gt;=2500,"High Spend", "Standard Spend")</f>
        <v>Standard Spend</v>
      </c>
    </row>
    <row r="74" spans="1:14" x14ac:dyDescent="0.3">
      <c r="A74" s="1" t="s">
        <v>97</v>
      </c>
      <c r="B74" s="2" t="s">
        <v>19</v>
      </c>
      <c r="C74" s="2" t="s">
        <v>35</v>
      </c>
      <c r="D74" s="2">
        <v>64</v>
      </c>
      <c r="E74" s="2" t="s">
        <v>26</v>
      </c>
      <c r="F74" s="2" t="s">
        <v>16</v>
      </c>
      <c r="G74" s="7">
        <v>111.6</v>
      </c>
      <c r="H74" s="7">
        <v>7099</v>
      </c>
      <c r="I74" s="2" t="s">
        <v>15</v>
      </c>
      <c r="J74" s="2" t="s">
        <v>16</v>
      </c>
      <c r="K74" s="2" t="s">
        <v>24</v>
      </c>
      <c r="L74" s="7">
        <v>7099</v>
      </c>
      <c r="M74" s="2" t="str">
        <f>_xlfn.IFS(TelecomData[[#This Row],[TenureMonths]]&lt;=12, "0-1 Year", TelecomData[[#This Row],[TenureMonths]]&lt;=36, "1-3 Years", TelecomData[[#This Row],[TenureMonths]]&gt;36, "3+ Years")</f>
        <v>3+ Years</v>
      </c>
      <c r="N74" s="2" t="str">
        <f>IF(TelecomData[[#This Row],[CleanedTotalCharges]]&gt;=2500,"High Spend", "Standard Spend")</f>
        <v>High Spend</v>
      </c>
    </row>
    <row r="75" spans="1:14" x14ac:dyDescent="0.3">
      <c r="A75" s="1" t="s">
        <v>98</v>
      </c>
      <c r="B75" s="2" t="s">
        <v>19</v>
      </c>
      <c r="C75" s="2" t="s">
        <v>35</v>
      </c>
      <c r="D75" s="2">
        <v>62</v>
      </c>
      <c r="E75" s="2" t="s">
        <v>15</v>
      </c>
      <c r="F75" s="2" t="s">
        <v>36</v>
      </c>
      <c r="G75" s="7">
        <v>24.25</v>
      </c>
      <c r="H75" s="7">
        <v>1424.6</v>
      </c>
      <c r="I75" s="2" t="s">
        <v>15</v>
      </c>
      <c r="J75" s="2" t="s">
        <v>16</v>
      </c>
      <c r="K75" s="2" t="s">
        <v>24</v>
      </c>
      <c r="L75" s="7">
        <v>1424.6</v>
      </c>
      <c r="M75" s="2" t="str">
        <f>_xlfn.IFS(TelecomData[[#This Row],[TenureMonths]]&lt;=12, "0-1 Year", TelecomData[[#This Row],[TenureMonths]]&lt;=36, "1-3 Years", TelecomData[[#This Row],[TenureMonths]]&gt;36, "3+ Years")</f>
        <v>3+ Years</v>
      </c>
      <c r="N75" s="2" t="str">
        <f>IF(TelecomData[[#This Row],[CleanedTotalCharges]]&gt;=2500,"High Spend", "Standard Spend")</f>
        <v>Standard Spend</v>
      </c>
    </row>
    <row r="76" spans="1:14" x14ac:dyDescent="0.3">
      <c r="A76" s="1" t="s">
        <v>99</v>
      </c>
      <c r="B76" s="2" t="s">
        <v>12</v>
      </c>
      <c r="C76" s="2" t="s">
        <v>13</v>
      </c>
      <c r="D76" s="2">
        <v>3</v>
      </c>
      <c r="E76" s="2" t="s">
        <v>14</v>
      </c>
      <c r="F76" s="2" t="s">
        <v>16</v>
      </c>
      <c r="G76" s="7">
        <v>64.5</v>
      </c>
      <c r="H76" s="7">
        <v>177.4</v>
      </c>
      <c r="I76" s="2" t="s">
        <v>15</v>
      </c>
      <c r="J76" s="2" t="s">
        <v>16</v>
      </c>
      <c r="K76" s="2" t="s">
        <v>24</v>
      </c>
      <c r="L76" s="7">
        <v>177.4</v>
      </c>
      <c r="M76" s="2" t="str">
        <f>_xlfn.IFS(TelecomData[[#This Row],[TenureMonths]]&lt;=12, "0-1 Year", TelecomData[[#This Row],[TenureMonths]]&lt;=36, "1-3 Years", TelecomData[[#This Row],[TenureMonths]]&gt;36, "3+ Years")</f>
        <v>0-1 Year</v>
      </c>
      <c r="N76" s="2" t="str">
        <f>IF(TelecomData[[#This Row],[CleanedTotalCharges]]&gt;=2500,"High Spend", "Standard Spend")</f>
        <v>Standard Spend</v>
      </c>
    </row>
    <row r="77" spans="1:14" x14ac:dyDescent="0.3">
      <c r="A77" s="1" t="s">
        <v>100</v>
      </c>
      <c r="B77" s="2" t="s">
        <v>12</v>
      </c>
      <c r="C77" s="2" t="s">
        <v>20</v>
      </c>
      <c r="D77" s="2">
        <v>56</v>
      </c>
      <c r="E77" s="2" t="s">
        <v>26</v>
      </c>
      <c r="F77" s="2" t="s">
        <v>15</v>
      </c>
      <c r="G77" s="7">
        <v>110.5</v>
      </c>
      <c r="H77" s="7">
        <v>6139.5</v>
      </c>
      <c r="I77" s="2" t="s">
        <v>15</v>
      </c>
      <c r="J77" s="2" t="s">
        <v>15</v>
      </c>
      <c r="K77" s="2" t="s">
        <v>17</v>
      </c>
      <c r="L77" s="7">
        <v>6139.5</v>
      </c>
      <c r="M77" s="2" t="str">
        <f>_xlfn.IFS(TelecomData[[#This Row],[TenureMonths]]&lt;=12, "0-1 Year", TelecomData[[#This Row],[TenureMonths]]&lt;=36, "1-3 Years", TelecomData[[#This Row],[TenureMonths]]&gt;36, "3+ Years")</f>
        <v>3+ Years</v>
      </c>
      <c r="N77" s="2" t="str">
        <f>IF(TelecomData[[#This Row],[CleanedTotalCharges]]&gt;=2500,"High Spend", "Standard Spend")</f>
        <v>High Spend</v>
      </c>
    </row>
    <row r="78" spans="1:14" x14ac:dyDescent="0.3">
      <c r="A78" s="1" t="s">
        <v>101</v>
      </c>
      <c r="B78" s="2" t="s">
        <v>12</v>
      </c>
      <c r="C78" s="2" t="s">
        <v>20</v>
      </c>
      <c r="D78" s="2">
        <v>46</v>
      </c>
      <c r="E78" s="2" t="s">
        <v>14</v>
      </c>
      <c r="F78" s="2" t="s">
        <v>15</v>
      </c>
      <c r="G78" s="7">
        <v>55.65</v>
      </c>
      <c r="H78" s="7">
        <v>2688.85</v>
      </c>
      <c r="I78" s="2" t="s">
        <v>15</v>
      </c>
      <c r="J78" s="2" t="s">
        <v>15</v>
      </c>
      <c r="K78" s="2" t="s">
        <v>29</v>
      </c>
      <c r="L78" s="7">
        <v>2688.85</v>
      </c>
      <c r="M78" s="2" t="str">
        <f>_xlfn.IFS(TelecomData[[#This Row],[TenureMonths]]&lt;=12, "0-1 Year", TelecomData[[#This Row],[TenureMonths]]&lt;=36, "1-3 Years", TelecomData[[#This Row],[TenureMonths]]&gt;36, "3+ Years")</f>
        <v>3+ Years</v>
      </c>
      <c r="N78" s="2" t="str">
        <f>IF(TelecomData[[#This Row],[CleanedTotalCharges]]&gt;=2500,"High Spend", "Standard Spend")</f>
        <v>High Spend</v>
      </c>
    </row>
    <row r="79" spans="1:14" x14ac:dyDescent="0.3">
      <c r="A79" s="1" t="s">
        <v>102</v>
      </c>
      <c r="B79" s="2" t="s">
        <v>12</v>
      </c>
      <c r="C79" s="2" t="s">
        <v>13</v>
      </c>
      <c r="D79" s="2">
        <v>8</v>
      </c>
      <c r="E79" s="2" t="s">
        <v>14</v>
      </c>
      <c r="F79" s="2" t="s">
        <v>15</v>
      </c>
      <c r="G79" s="7">
        <v>54.65</v>
      </c>
      <c r="H79" s="7">
        <v>482.25</v>
      </c>
      <c r="I79" s="2" t="s">
        <v>15</v>
      </c>
      <c r="J79" s="2" t="s">
        <v>15</v>
      </c>
      <c r="K79" s="2" t="s">
        <v>21</v>
      </c>
      <c r="L79" s="7">
        <v>482.25</v>
      </c>
      <c r="M79" s="2" t="str">
        <f>_xlfn.IFS(TelecomData[[#This Row],[TenureMonths]]&lt;=12, "0-1 Year", TelecomData[[#This Row],[TenureMonths]]&lt;=36, "1-3 Years", TelecomData[[#This Row],[TenureMonths]]&gt;36, "3+ Years")</f>
        <v>0-1 Year</v>
      </c>
      <c r="N79" s="2" t="str">
        <f>IF(TelecomData[[#This Row],[CleanedTotalCharges]]&gt;=2500,"High Spend", "Standard Spend")</f>
        <v>Standard Spend</v>
      </c>
    </row>
    <row r="80" spans="1:14" x14ac:dyDescent="0.3">
      <c r="A80" s="1" t="s">
        <v>103</v>
      </c>
      <c r="B80" s="2" t="s">
        <v>19</v>
      </c>
      <c r="C80" s="2" t="s">
        <v>13</v>
      </c>
      <c r="D80" s="2">
        <v>30</v>
      </c>
      <c r="E80" s="2" t="s">
        <v>14</v>
      </c>
      <c r="F80" s="2" t="s">
        <v>15</v>
      </c>
      <c r="G80" s="7">
        <v>74.75</v>
      </c>
      <c r="H80" s="7">
        <v>2111.3000000000002</v>
      </c>
      <c r="I80" s="2" t="s">
        <v>15</v>
      </c>
      <c r="J80" s="2" t="s">
        <v>16</v>
      </c>
      <c r="K80" s="2" t="s">
        <v>17</v>
      </c>
      <c r="L80" s="7">
        <v>2111.3000000000002</v>
      </c>
      <c r="M80" s="2" t="str">
        <f>_xlfn.IFS(TelecomData[[#This Row],[TenureMonths]]&lt;=12, "0-1 Year", TelecomData[[#This Row],[TenureMonths]]&lt;=36, "1-3 Years", TelecomData[[#This Row],[TenureMonths]]&gt;36, "3+ Years")</f>
        <v>1-3 Years</v>
      </c>
      <c r="N80" s="2" t="str">
        <f>IF(TelecomData[[#This Row],[CleanedTotalCharges]]&gt;=2500,"High Spend", "Standard Spend")</f>
        <v>Standard Spend</v>
      </c>
    </row>
    <row r="81" spans="1:14" x14ac:dyDescent="0.3">
      <c r="A81" s="1" t="s">
        <v>104</v>
      </c>
      <c r="B81" s="2" t="s">
        <v>12</v>
      </c>
      <c r="C81" s="2" t="s">
        <v>20</v>
      </c>
      <c r="D81" s="2">
        <v>45</v>
      </c>
      <c r="E81" s="2" t="s">
        <v>15</v>
      </c>
      <c r="F81" s="2" t="s">
        <v>36</v>
      </c>
      <c r="G81" s="7">
        <v>25.9</v>
      </c>
      <c r="H81" s="7">
        <v>1216.5999999999999</v>
      </c>
      <c r="I81" s="2" t="s">
        <v>15</v>
      </c>
      <c r="J81" s="2" t="s">
        <v>16</v>
      </c>
      <c r="K81" s="2" t="s">
        <v>29</v>
      </c>
      <c r="L81" s="7">
        <v>1216.5999999999999</v>
      </c>
      <c r="M81" s="2" t="str">
        <f>_xlfn.IFS(TelecomData[[#This Row],[TenureMonths]]&lt;=12, "0-1 Year", TelecomData[[#This Row],[TenureMonths]]&lt;=36, "1-3 Years", TelecomData[[#This Row],[TenureMonths]]&gt;36, "3+ Years")</f>
        <v>3+ Years</v>
      </c>
      <c r="N81" s="2" t="str">
        <f>IF(TelecomData[[#This Row],[CleanedTotalCharges]]&gt;=2500,"High Spend", "Standard Spend")</f>
        <v>Standard Spend</v>
      </c>
    </row>
    <row r="82" spans="1:14" x14ac:dyDescent="0.3">
      <c r="A82" s="1" t="s">
        <v>105</v>
      </c>
      <c r="B82" s="2" t="s">
        <v>12</v>
      </c>
      <c r="C82" s="2" t="s">
        <v>13</v>
      </c>
      <c r="D82" s="2">
        <v>1</v>
      </c>
      <c r="E82" s="2" t="s">
        <v>26</v>
      </c>
      <c r="F82" s="2" t="s">
        <v>15</v>
      </c>
      <c r="G82" s="7">
        <v>79.349999999999994</v>
      </c>
      <c r="H82" s="7">
        <v>79.349999999999994</v>
      </c>
      <c r="I82" s="2" t="s">
        <v>16</v>
      </c>
      <c r="J82" s="2" t="s">
        <v>16</v>
      </c>
      <c r="K82" s="2" t="s">
        <v>17</v>
      </c>
      <c r="L82" s="7">
        <v>79.349999999999994</v>
      </c>
      <c r="M82" s="2" t="str">
        <f>_xlfn.IFS(TelecomData[[#This Row],[TenureMonths]]&lt;=12, "0-1 Year", TelecomData[[#This Row],[TenureMonths]]&lt;=36, "1-3 Years", TelecomData[[#This Row],[TenureMonths]]&gt;36, "3+ Years")</f>
        <v>0-1 Year</v>
      </c>
      <c r="N82" s="2" t="str">
        <f>IF(TelecomData[[#This Row],[CleanedTotalCharges]]&gt;=2500,"High Spend", "Standard Spend")</f>
        <v>Standard Spend</v>
      </c>
    </row>
    <row r="83" spans="1:14" x14ac:dyDescent="0.3">
      <c r="A83" s="1" t="s">
        <v>106</v>
      </c>
      <c r="B83" s="2" t="s">
        <v>12</v>
      </c>
      <c r="C83" s="2" t="s">
        <v>13</v>
      </c>
      <c r="D83" s="2">
        <v>11</v>
      </c>
      <c r="E83" s="2" t="s">
        <v>14</v>
      </c>
      <c r="F83" s="2" t="s">
        <v>15</v>
      </c>
      <c r="G83" s="7">
        <v>50.55</v>
      </c>
      <c r="H83" s="7">
        <v>565.35</v>
      </c>
      <c r="I83" s="2" t="s">
        <v>15</v>
      </c>
      <c r="J83" s="2" t="s">
        <v>15</v>
      </c>
      <c r="K83" s="2" t="s">
        <v>17</v>
      </c>
      <c r="L83" s="7">
        <v>565.35</v>
      </c>
      <c r="M83" s="2" t="str">
        <f>_xlfn.IFS(TelecomData[[#This Row],[TenureMonths]]&lt;=12, "0-1 Year", TelecomData[[#This Row],[TenureMonths]]&lt;=36, "1-3 Years", TelecomData[[#This Row],[TenureMonths]]&gt;36, "3+ Years")</f>
        <v>0-1 Year</v>
      </c>
      <c r="N83" s="2" t="str">
        <f>IF(TelecomData[[#This Row],[CleanedTotalCharges]]&gt;=2500,"High Spend", "Standard Spend")</f>
        <v>Standard Spend</v>
      </c>
    </row>
    <row r="84" spans="1:14" x14ac:dyDescent="0.3">
      <c r="A84" s="1" t="s">
        <v>107</v>
      </c>
      <c r="B84" s="2" t="s">
        <v>12</v>
      </c>
      <c r="C84" s="2" t="s">
        <v>13</v>
      </c>
      <c r="D84" s="2">
        <v>7</v>
      </c>
      <c r="E84" s="2" t="s">
        <v>26</v>
      </c>
      <c r="F84" s="2" t="s">
        <v>15</v>
      </c>
      <c r="G84" s="7">
        <v>75.150000000000006</v>
      </c>
      <c r="H84" s="7">
        <v>496.9</v>
      </c>
      <c r="I84" s="2" t="s">
        <v>16</v>
      </c>
      <c r="J84" s="2" t="s">
        <v>16</v>
      </c>
      <c r="K84" s="2" t="s">
        <v>24</v>
      </c>
      <c r="L84" s="7">
        <v>496.9</v>
      </c>
      <c r="M84" s="2" t="str">
        <f>_xlfn.IFS(TelecomData[[#This Row],[TenureMonths]]&lt;=12, "0-1 Year", TelecomData[[#This Row],[TenureMonths]]&lt;=36, "1-3 Years", TelecomData[[#This Row],[TenureMonths]]&gt;36, "3+ Years")</f>
        <v>0-1 Year</v>
      </c>
      <c r="N84" s="2" t="str">
        <f>IF(TelecomData[[#This Row],[CleanedTotalCharges]]&gt;=2500,"High Spend", "Standard Spend")</f>
        <v>Standard Spend</v>
      </c>
    </row>
    <row r="85" spans="1:14" x14ac:dyDescent="0.3">
      <c r="A85" s="1" t="s">
        <v>108</v>
      </c>
      <c r="B85" s="2" t="s">
        <v>12</v>
      </c>
      <c r="C85" s="2" t="s">
        <v>13</v>
      </c>
      <c r="D85" s="2">
        <v>42</v>
      </c>
      <c r="E85" s="2" t="s">
        <v>26</v>
      </c>
      <c r="F85" s="2" t="s">
        <v>16</v>
      </c>
      <c r="G85" s="7">
        <v>103.8</v>
      </c>
      <c r="H85" s="7">
        <v>4327.5</v>
      </c>
      <c r="I85" s="2" t="s">
        <v>15</v>
      </c>
      <c r="J85" s="2" t="s">
        <v>16</v>
      </c>
      <c r="K85" s="2" t="s">
        <v>24</v>
      </c>
      <c r="L85" s="7">
        <v>4327.5</v>
      </c>
      <c r="M85" s="2" t="str">
        <f>_xlfn.IFS(TelecomData[[#This Row],[TenureMonths]]&lt;=12, "0-1 Year", TelecomData[[#This Row],[TenureMonths]]&lt;=36, "1-3 Years", TelecomData[[#This Row],[TenureMonths]]&gt;36, "3+ Years")</f>
        <v>3+ Years</v>
      </c>
      <c r="N85" s="2" t="str">
        <f>IF(TelecomData[[#This Row],[CleanedTotalCharges]]&gt;=2500,"High Spend", "Standard Spend")</f>
        <v>High Spend</v>
      </c>
    </row>
    <row r="86" spans="1:14" x14ac:dyDescent="0.3">
      <c r="A86" s="1" t="s">
        <v>109</v>
      </c>
      <c r="B86" s="2" t="s">
        <v>12</v>
      </c>
      <c r="C86" s="2" t="s">
        <v>35</v>
      </c>
      <c r="D86" s="2">
        <v>49</v>
      </c>
      <c r="E86" s="2" t="s">
        <v>15</v>
      </c>
      <c r="F86" s="2" t="s">
        <v>36</v>
      </c>
      <c r="G86" s="7">
        <v>20.149999999999999</v>
      </c>
      <c r="H86" s="7">
        <v>973.35</v>
      </c>
      <c r="I86" s="2" t="s">
        <v>15</v>
      </c>
      <c r="J86" s="2" t="s">
        <v>16</v>
      </c>
      <c r="K86" s="2" t="s">
        <v>24</v>
      </c>
      <c r="L86" s="7">
        <v>973.35</v>
      </c>
      <c r="M86" s="2" t="str">
        <f>_xlfn.IFS(TelecomData[[#This Row],[TenureMonths]]&lt;=12, "0-1 Year", TelecomData[[#This Row],[TenureMonths]]&lt;=36, "1-3 Years", TelecomData[[#This Row],[TenureMonths]]&gt;36, "3+ Years")</f>
        <v>3+ Years</v>
      </c>
      <c r="N86" s="2" t="str">
        <f>IF(TelecomData[[#This Row],[CleanedTotalCharges]]&gt;=2500,"High Spend", "Standard Spend")</f>
        <v>Standard Spend</v>
      </c>
    </row>
    <row r="87" spans="1:14" x14ac:dyDescent="0.3">
      <c r="A87" s="1" t="s">
        <v>110</v>
      </c>
      <c r="B87" s="2" t="s">
        <v>19</v>
      </c>
      <c r="C87" s="2" t="s">
        <v>13</v>
      </c>
      <c r="D87" s="2">
        <v>9</v>
      </c>
      <c r="E87" s="2" t="s">
        <v>26</v>
      </c>
      <c r="F87" s="2" t="s">
        <v>15</v>
      </c>
      <c r="G87" s="7">
        <v>99.3</v>
      </c>
      <c r="H87" s="7">
        <v>918.75</v>
      </c>
      <c r="I87" s="2" t="s">
        <v>15</v>
      </c>
      <c r="J87" s="2" t="s">
        <v>16</v>
      </c>
      <c r="K87" s="2" t="s">
        <v>29</v>
      </c>
      <c r="L87" s="7">
        <v>918.75</v>
      </c>
      <c r="M87" s="2" t="str">
        <f>_xlfn.IFS(TelecomData[[#This Row],[TenureMonths]]&lt;=12, "0-1 Year", TelecomData[[#This Row],[TenureMonths]]&lt;=36, "1-3 Years", TelecomData[[#This Row],[TenureMonths]]&gt;36, "3+ Years")</f>
        <v>0-1 Year</v>
      </c>
      <c r="N87" s="2" t="str">
        <f>IF(TelecomData[[#This Row],[CleanedTotalCharges]]&gt;=2500,"High Spend", "Standard Spend")</f>
        <v>Standard Spend</v>
      </c>
    </row>
    <row r="88" spans="1:14" x14ac:dyDescent="0.3">
      <c r="A88" s="1" t="s">
        <v>111</v>
      </c>
      <c r="B88" s="2" t="s">
        <v>12</v>
      </c>
      <c r="C88" s="2" t="s">
        <v>20</v>
      </c>
      <c r="D88" s="2">
        <v>35</v>
      </c>
      <c r="E88" s="2" t="s">
        <v>14</v>
      </c>
      <c r="F88" s="2" t="s">
        <v>15</v>
      </c>
      <c r="G88" s="7">
        <v>62.15</v>
      </c>
      <c r="H88" s="7">
        <v>2215.4499999999998</v>
      </c>
      <c r="I88" s="2" t="s">
        <v>15</v>
      </c>
      <c r="J88" s="2" t="s">
        <v>16</v>
      </c>
      <c r="K88" s="2" t="s">
        <v>24</v>
      </c>
      <c r="L88" s="7">
        <v>2215.4499999999998</v>
      </c>
      <c r="M88" s="2" t="str">
        <f>_xlfn.IFS(TelecomData[[#This Row],[TenureMonths]]&lt;=12, "0-1 Year", TelecomData[[#This Row],[TenureMonths]]&lt;=36, "1-3 Years", TelecomData[[#This Row],[TenureMonths]]&gt;36, "3+ Years")</f>
        <v>1-3 Years</v>
      </c>
      <c r="N88" s="2" t="str">
        <f>IF(TelecomData[[#This Row],[CleanedTotalCharges]]&gt;=2500,"High Spend", "Standard Spend")</f>
        <v>Standard Spend</v>
      </c>
    </row>
    <row r="89" spans="1:14" x14ac:dyDescent="0.3">
      <c r="A89" s="1" t="s">
        <v>112</v>
      </c>
      <c r="B89" s="2" t="s">
        <v>12</v>
      </c>
      <c r="C89" s="2" t="s">
        <v>35</v>
      </c>
      <c r="D89" s="2">
        <v>48</v>
      </c>
      <c r="E89" s="2" t="s">
        <v>15</v>
      </c>
      <c r="F89" s="2" t="s">
        <v>36</v>
      </c>
      <c r="G89" s="7">
        <v>20.65</v>
      </c>
      <c r="H89" s="7">
        <v>1057</v>
      </c>
      <c r="I89" s="2" t="s">
        <v>15</v>
      </c>
      <c r="J89" s="2" t="s">
        <v>15</v>
      </c>
      <c r="K89" s="2" t="s">
        <v>24</v>
      </c>
      <c r="L89" s="7">
        <v>1057</v>
      </c>
      <c r="M89" s="2" t="str">
        <f>_xlfn.IFS(TelecomData[[#This Row],[TenureMonths]]&lt;=12, "0-1 Year", TelecomData[[#This Row],[TenureMonths]]&lt;=36, "1-3 Years", TelecomData[[#This Row],[TenureMonths]]&gt;36, "3+ Years")</f>
        <v>3+ Years</v>
      </c>
      <c r="N89" s="2" t="str">
        <f>IF(TelecomData[[#This Row],[CleanedTotalCharges]]&gt;=2500,"High Spend", "Standard Spend")</f>
        <v>Standard Spend</v>
      </c>
    </row>
    <row r="90" spans="1:14" x14ac:dyDescent="0.3">
      <c r="A90" s="1" t="s">
        <v>113</v>
      </c>
      <c r="B90" s="2" t="s">
        <v>12</v>
      </c>
      <c r="C90" s="2" t="s">
        <v>35</v>
      </c>
      <c r="D90" s="2">
        <v>46</v>
      </c>
      <c r="E90" s="2" t="s">
        <v>15</v>
      </c>
      <c r="F90" s="2" t="s">
        <v>36</v>
      </c>
      <c r="G90" s="7">
        <v>19.95</v>
      </c>
      <c r="H90" s="7">
        <v>927.1</v>
      </c>
      <c r="I90" s="2" t="s">
        <v>15</v>
      </c>
      <c r="J90" s="2" t="s">
        <v>16</v>
      </c>
      <c r="K90" s="2" t="s">
        <v>21</v>
      </c>
      <c r="L90" s="7">
        <v>927.1</v>
      </c>
      <c r="M90" s="2" t="str">
        <f>_xlfn.IFS(TelecomData[[#This Row],[TenureMonths]]&lt;=12, "0-1 Year", TelecomData[[#This Row],[TenureMonths]]&lt;=36, "1-3 Years", TelecomData[[#This Row],[TenureMonths]]&gt;36, "3+ Years")</f>
        <v>3+ Years</v>
      </c>
      <c r="N90" s="2" t="str">
        <f>IF(TelecomData[[#This Row],[CleanedTotalCharges]]&gt;=2500,"High Spend", "Standard Spend")</f>
        <v>Standard Spend</v>
      </c>
    </row>
    <row r="91" spans="1:14" x14ac:dyDescent="0.3">
      <c r="A91" s="1" t="s">
        <v>114</v>
      </c>
      <c r="B91" s="2" t="s">
        <v>19</v>
      </c>
      <c r="C91" s="2" t="s">
        <v>13</v>
      </c>
      <c r="D91" s="2">
        <v>29</v>
      </c>
      <c r="E91" s="2" t="s">
        <v>14</v>
      </c>
      <c r="F91" s="2" t="s">
        <v>15</v>
      </c>
      <c r="G91" s="7">
        <v>33.75</v>
      </c>
      <c r="H91" s="7">
        <v>1009.25</v>
      </c>
      <c r="I91" s="2" t="s">
        <v>15</v>
      </c>
      <c r="J91" s="2" t="s">
        <v>15</v>
      </c>
      <c r="K91" s="2" t="s">
        <v>21</v>
      </c>
      <c r="L91" s="7">
        <v>1009.25</v>
      </c>
      <c r="M91" s="2" t="str">
        <f>_xlfn.IFS(TelecomData[[#This Row],[TenureMonths]]&lt;=12, "0-1 Year", TelecomData[[#This Row],[TenureMonths]]&lt;=36, "1-3 Years", TelecomData[[#This Row],[TenureMonths]]&gt;36, "3+ Years")</f>
        <v>1-3 Years</v>
      </c>
      <c r="N91" s="2" t="str">
        <f>IF(TelecomData[[#This Row],[CleanedTotalCharges]]&gt;=2500,"High Spend", "Standard Spend")</f>
        <v>Standard Spend</v>
      </c>
    </row>
    <row r="92" spans="1:14" x14ac:dyDescent="0.3">
      <c r="A92" s="1" t="s">
        <v>115</v>
      </c>
      <c r="B92" s="2" t="s">
        <v>19</v>
      </c>
      <c r="C92" s="2" t="s">
        <v>13</v>
      </c>
      <c r="D92" s="2">
        <v>30</v>
      </c>
      <c r="E92" s="2" t="s">
        <v>26</v>
      </c>
      <c r="F92" s="2" t="s">
        <v>15</v>
      </c>
      <c r="G92" s="7">
        <v>82.05</v>
      </c>
      <c r="H92" s="7">
        <v>2570.1999999999998</v>
      </c>
      <c r="I92" s="2" t="s">
        <v>15</v>
      </c>
      <c r="J92" s="2" t="s">
        <v>15</v>
      </c>
      <c r="K92" s="2" t="s">
        <v>24</v>
      </c>
      <c r="L92" s="7">
        <v>2570.1999999999998</v>
      </c>
      <c r="M92" s="2" t="str">
        <f>_xlfn.IFS(TelecomData[[#This Row],[TenureMonths]]&lt;=12, "0-1 Year", TelecomData[[#This Row],[TenureMonths]]&lt;=36, "1-3 Years", TelecomData[[#This Row],[TenureMonths]]&gt;36, "3+ Years")</f>
        <v>1-3 Years</v>
      </c>
      <c r="N92" s="2" t="str">
        <f>IF(TelecomData[[#This Row],[CleanedTotalCharges]]&gt;=2500,"High Spend", "Standard Spend")</f>
        <v>High Spend</v>
      </c>
    </row>
    <row r="93" spans="1:14" x14ac:dyDescent="0.3">
      <c r="A93" s="1" t="s">
        <v>116</v>
      </c>
      <c r="B93" s="2" t="s">
        <v>19</v>
      </c>
      <c r="C93" s="2" t="s">
        <v>13</v>
      </c>
      <c r="D93" s="2">
        <v>1</v>
      </c>
      <c r="E93" s="2" t="s">
        <v>26</v>
      </c>
      <c r="F93" s="2" t="s">
        <v>16</v>
      </c>
      <c r="G93" s="7">
        <v>74.7</v>
      </c>
      <c r="H93" s="7">
        <v>74.7</v>
      </c>
      <c r="I93" s="2" t="s">
        <v>15</v>
      </c>
      <c r="J93" s="2" t="s">
        <v>15</v>
      </c>
      <c r="K93" s="2" t="s">
        <v>17</v>
      </c>
      <c r="L93" s="7">
        <v>74.7</v>
      </c>
      <c r="M93" s="2" t="str">
        <f>_xlfn.IFS(TelecomData[[#This Row],[TenureMonths]]&lt;=12, "0-1 Year", TelecomData[[#This Row],[TenureMonths]]&lt;=36, "1-3 Years", TelecomData[[#This Row],[TenureMonths]]&gt;36, "3+ Years")</f>
        <v>0-1 Year</v>
      </c>
      <c r="N93" s="2" t="str">
        <f>IF(TelecomData[[#This Row],[CleanedTotalCharges]]&gt;=2500,"High Spend", "Standard Spend")</f>
        <v>Standard Spend</v>
      </c>
    </row>
    <row r="94" spans="1:14" x14ac:dyDescent="0.3">
      <c r="A94" s="1" t="s">
        <v>117</v>
      </c>
      <c r="B94" s="2" t="s">
        <v>19</v>
      </c>
      <c r="C94" s="2" t="s">
        <v>35</v>
      </c>
      <c r="D94" s="2">
        <v>66</v>
      </c>
      <c r="E94" s="2" t="s">
        <v>14</v>
      </c>
      <c r="F94" s="2" t="s">
        <v>16</v>
      </c>
      <c r="G94" s="7">
        <v>84</v>
      </c>
      <c r="H94" s="7">
        <v>5714.25</v>
      </c>
      <c r="I94" s="2" t="s">
        <v>15</v>
      </c>
      <c r="J94" s="2" t="s">
        <v>16</v>
      </c>
      <c r="K94" s="2" t="s">
        <v>21</v>
      </c>
      <c r="L94" s="7">
        <v>5714.25</v>
      </c>
      <c r="M94" s="2" t="str">
        <f>_xlfn.IFS(TelecomData[[#This Row],[TenureMonths]]&lt;=12, "0-1 Year", TelecomData[[#This Row],[TenureMonths]]&lt;=36, "1-3 Years", TelecomData[[#This Row],[TenureMonths]]&gt;36, "3+ Years")</f>
        <v>3+ Years</v>
      </c>
      <c r="N94" s="2" t="str">
        <f>IF(TelecomData[[#This Row],[CleanedTotalCharges]]&gt;=2500,"High Spend", "Standard Spend")</f>
        <v>High Spend</v>
      </c>
    </row>
    <row r="95" spans="1:14" x14ac:dyDescent="0.3">
      <c r="A95" s="1" t="s">
        <v>118</v>
      </c>
      <c r="B95" s="2" t="s">
        <v>12</v>
      </c>
      <c r="C95" s="2" t="s">
        <v>13</v>
      </c>
      <c r="D95" s="2">
        <v>65</v>
      </c>
      <c r="E95" s="2" t="s">
        <v>26</v>
      </c>
      <c r="F95" s="2" t="s">
        <v>15</v>
      </c>
      <c r="G95" s="7">
        <v>111.05</v>
      </c>
      <c r="H95" s="7">
        <v>7107</v>
      </c>
      <c r="I95" s="2" t="s">
        <v>15</v>
      </c>
      <c r="J95" s="2" t="s">
        <v>16</v>
      </c>
      <c r="K95" s="2" t="s">
        <v>29</v>
      </c>
      <c r="L95" s="7">
        <v>7107</v>
      </c>
      <c r="M95" s="2" t="str">
        <f>_xlfn.IFS(TelecomData[[#This Row],[TenureMonths]]&lt;=12, "0-1 Year", TelecomData[[#This Row],[TenureMonths]]&lt;=36, "1-3 Years", TelecomData[[#This Row],[TenureMonths]]&gt;36, "3+ Years")</f>
        <v>3+ Years</v>
      </c>
      <c r="N95" s="2" t="str">
        <f>IF(TelecomData[[#This Row],[CleanedTotalCharges]]&gt;=2500,"High Spend", "Standard Spend")</f>
        <v>High Spend</v>
      </c>
    </row>
    <row r="96" spans="1:14" x14ac:dyDescent="0.3">
      <c r="A96" s="1" t="s">
        <v>119</v>
      </c>
      <c r="B96" s="2" t="s">
        <v>19</v>
      </c>
      <c r="C96" s="2" t="s">
        <v>35</v>
      </c>
      <c r="D96" s="2">
        <v>72</v>
      </c>
      <c r="E96" s="2" t="s">
        <v>26</v>
      </c>
      <c r="F96" s="2" t="s">
        <v>15</v>
      </c>
      <c r="G96" s="7">
        <v>100.9</v>
      </c>
      <c r="H96" s="7">
        <v>7459.05</v>
      </c>
      <c r="I96" s="2" t="s">
        <v>15</v>
      </c>
      <c r="J96" s="2" t="s">
        <v>16</v>
      </c>
      <c r="K96" s="2" t="s">
        <v>24</v>
      </c>
      <c r="L96" s="7">
        <v>7459.05</v>
      </c>
      <c r="M96" s="2" t="str">
        <f>_xlfn.IFS(TelecomData[[#This Row],[TenureMonths]]&lt;=12, "0-1 Year", TelecomData[[#This Row],[TenureMonths]]&lt;=36, "1-3 Years", TelecomData[[#This Row],[TenureMonths]]&gt;36, "3+ Years")</f>
        <v>3+ Years</v>
      </c>
      <c r="N96" s="2" t="str">
        <f>IF(TelecomData[[#This Row],[CleanedTotalCharges]]&gt;=2500,"High Spend", "Standard Spend")</f>
        <v>High Spend</v>
      </c>
    </row>
    <row r="97" spans="1:14" x14ac:dyDescent="0.3">
      <c r="A97" s="1" t="s">
        <v>120</v>
      </c>
      <c r="B97" s="2" t="s">
        <v>12</v>
      </c>
      <c r="C97" s="2" t="s">
        <v>13</v>
      </c>
      <c r="D97" s="2">
        <v>12</v>
      </c>
      <c r="E97" s="2" t="s">
        <v>26</v>
      </c>
      <c r="F97" s="2" t="s">
        <v>15</v>
      </c>
      <c r="G97" s="7">
        <v>78.95</v>
      </c>
      <c r="H97" s="7">
        <v>927.35</v>
      </c>
      <c r="I97" s="2" t="s">
        <v>16</v>
      </c>
      <c r="J97" s="2" t="s">
        <v>16</v>
      </c>
      <c r="K97" s="2" t="s">
        <v>17</v>
      </c>
      <c r="L97" s="7">
        <v>927.35</v>
      </c>
      <c r="M97" s="2" t="str">
        <f>_xlfn.IFS(TelecomData[[#This Row],[TenureMonths]]&lt;=12, "0-1 Year", TelecomData[[#This Row],[TenureMonths]]&lt;=36, "1-3 Years", TelecomData[[#This Row],[TenureMonths]]&gt;36, "3+ Years")</f>
        <v>0-1 Year</v>
      </c>
      <c r="N97" s="2" t="str">
        <f>IF(TelecomData[[#This Row],[CleanedTotalCharges]]&gt;=2500,"High Spend", "Standard Spend")</f>
        <v>Standard Spend</v>
      </c>
    </row>
    <row r="98" spans="1:14" x14ac:dyDescent="0.3">
      <c r="A98" s="1" t="s">
        <v>121</v>
      </c>
      <c r="B98" s="2" t="s">
        <v>19</v>
      </c>
      <c r="C98" s="2" t="s">
        <v>20</v>
      </c>
      <c r="D98" s="2">
        <v>71</v>
      </c>
      <c r="E98" s="2" t="s">
        <v>14</v>
      </c>
      <c r="F98" s="2" t="s">
        <v>16</v>
      </c>
      <c r="G98" s="7">
        <v>66.849999999999994</v>
      </c>
      <c r="H98" s="7">
        <v>4748.7</v>
      </c>
      <c r="I98" s="2" t="s">
        <v>15</v>
      </c>
      <c r="J98" s="2" t="s">
        <v>16</v>
      </c>
      <c r="K98" s="2" t="s">
        <v>29</v>
      </c>
      <c r="L98" s="7">
        <v>4748.7</v>
      </c>
      <c r="M98" s="2" t="str">
        <f>_xlfn.IFS(TelecomData[[#This Row],[TenureMonths]]&lt;=12, "0-1 Year", TelecomData[[#This Row],[TenureMonths]]&lt;=36, "1-3 Years", TelecomData[[#This Row],[TenureMonths]]&gt;36, "3+ Years")</f>
        <v>3+ Years</v>
      </c>
      <c r="N98" s="2" t="str">
        <f>IF(TelecomData[[#This Row],[CleanedTotalCharges]]&gt;=2500,"High Spend", "Standard Spend")</f>
        <v>High Spend</v>
      </c>
    </row>
    <row r="99" spans="1:14" x14ac:dyDescent="0.3">
      <c r="A99" s="1" t="s">
        <v>122</v>
      </c>
      <c r="B99" s="2" t="s">
        <v>19</v>
      </c>
      <c r="C99" s="2" t="s">
        <v>13</v>
      </c>
      <c r="D99" s="2">
        <v>5</v>
      </c>
      <c r="E99" s="2" t="s">
        <v>15</v>
      </c>
      <c r="F99" s="2" t="s">
        <v>36</v>
      </c>
      <c r="G99" s="7">
        <v>21.05</v>
      </c>
      <c r="H99" s="7">
        <v>113.85</v>
      </c>
      <c r="I99" s="2" t="s">
        <v>16</v>
      </c>
      <c r="J99" s="2" t="s">
        <v>15</v>
      </c>
      <c r="K99" s="2" t="s">
        <v>21</v>
      </c>
      <c r="L99" s="7">
        <v>113.85</v>
      </c>
      <c r="M99" s="2" t="str">
        <f>_xlfn.IFS(TelecomData[[#This Row],[TenureMonths]]&lt;=12, "0-1 Year", TelecomData[[#This Row],[TenureMonths]]&lt;=36, "1-3 Years", TelecomData[[#This Row],[TenureMonths]]&gt;36, "3+ Years")</f>
        <v>0-1 Year</v>
      </c>
      <c r="N99" s="2" t="str">
        <f>IF(TelecomData[[#This Row],[CleanedTotalCharges]]&gt;=2500,"High Spend", "Standard Spend")</f>
        <v>Standard Spend</v>
      </c>
    </row>
    <row r="100" spans="1:14" x14ac:dyDescent="0.3">
      <c r="A100" s="1" t="s">
        <v>123</v>
      </c>
      <c r="B100" s="2" t="s">
        <v>19</v>
      </c>
      <c r="C100" s="2" t="s">
        <v>35</v>
      </c>
      <c r="D100" s="2">
        <v>52</v>
      </c>
      <c r="E100" s="2" t="s">
        <v>15</v>
      </c>
      <c r="F100" s="2" t="s">
        <v>36</v>
      </c>
      <c r="G100" s="7">
        <v>21</v>
      </c>
      <c r="H100" s="7">
        <v>1107.2</v>
      </c>
      <c r="I100" s="2" t="s">
        <v>15</v>
      </c>
      <c r="J100" s="2" t="s">
        <v>15</v>
      </c>
      <c r="K100" s="2" t="s">
        <v>24</v>
      </c>
      <c r="L100" s="7">
        <v>1107.2</v>
      </c>
      <c r="M100" s="2" t="str">
        <f>_xlfn.IFS(TelecomData[[#This Row],[TenureMonths]]&lt;=12, "0-1 Year", TelecomData[[#This Row],[TenureMonths]]&lt;=36, "1-3 Years", TelecomData[[#This Row],[TenureMonths]]&gt;36, "3+ Years")</f>
        <v>3+ Years</v>
      </c>
      <c r="N100" s="2" t="str">
        <f>IF(TelecomData[[#This Row],[CleanedTotalCharges]]&gt;=2500,"High Spend", "Standard Spend")</f>
        <v>Standard Spend</v>
      </c>
    </row>
    <row r="101" spans="1:14" x14ac:dyDescent="0.3">
      <c r="A101" s="1" t="s">
        <v>124</v>
      </c>
      <c r="B101" s="2" t="s">
        <v>12</v>
      </c>
      <c r="C101" s="2" t="s">
        <v>13</v>
      </c>
      <c r="D101" s="2">
        <v>25</v>
      </c>
      <c r="E101" s="2" t="s">
        <v>26</v>
      </c>
      <c r="F101" s="2" t="s">
        <v>15</v>
      </c>
      <c r="G101" s="7">
        <v>98.5</v>
      </c>
      <c r="H101" s="7">
        <v>2514.5</v>
      </c>
      <c r="I101" s="2" t="s">
        <v>16</v>
      </c>
      <c r="J101" s="2" t="s">
        <v>16</v>
      </c>
      <c r="K101" s="2" t="s">
        <v>17</v>
      </c>
      <c r="L101" s="7">
        <v>2514.5</v>
      </c>
      <c r="M101" s="2" t="str">
        <f>_xlfn.IFS(TelecomData[[#This Row],[TenureMonths]]&lt;=12, "0-1 Year", TelecomData[[#This Row],[TenureMonths]]&lt;=36, "1-3 Years", TelecomData[[#This Row],[TenureMonths]]&gt;36, "3+ Years")</f>
        <v>1-3 Years</v>
      </c>
      <c r="N101" s="2" t="str">
        <f>IF(TelecomData[[#This Row],[CleanedTotalCharges]]&gt;=2500,"High Spend", "Standard Spend")</f>
        <v>High Spend</v>
      </c>
    </row>
    <row r="102" spans="1:14" x14ac:dyDescent="0.3">
      <c r="A102" s="1" t="s">
        <v>125</v>
      </c>
      <c r="B102" s="2" t="s">
        <v>19</v>
      </c>
      <c r="C102" s="2" t="s">
        <v>13</v>
      </c>
      <c r="D102" s="2">
        <v>1</v>
      </c>
      <c r="E102" s="2" t="s">
        <v>15</v>
      </c>
      <c r="F102" s="2" t="s">
        <v>36</v>
      </c>
      <c r="G102" s="7">
        <v>20.2</v>
      </c>
      <c r="H102" s="7">
        <v>20.2</v>
      </c>
      <c r="I102" s="2" t="s">
        <v>15</v>
      </c>
      <c r="J102" s="2" t="s">
        <v>15</v>
      </c>
      <c r="K102" s="2" t="s">
        <v>21</v>
      </c>
      <c r="L102" s="7">
        <v>20.2</v>
      </c>
      <c r="M102" s="2" t="str">
        <f>_xlfn.IFS(TelecomData[[#This Row],[TenureMonths]]&lt;=12, "0-1 Year", TelecomData[[#This Row],[TenureMonths]]&lt;=36, "1-3 Years", TelecomData[[#This Row],[TenureMonths]]&gt;36, "3+ Years")</f>
        <v>0-1 Year</v>
      </c>
      <c r="N102" s="2" t="str">
        <f>IF(TelecomData[[#This Row],[CleanedTotalCharges]]&gt;=2500,"High Spend", "Standard Spend")</f>
        <v>Standard Spend</v>
      </c>
    </row>
    <row r="103" spans="1:14" x14ac:dyDescent="0.3">
      <c r="A103" s="1" t="s">
        <v>126</v>
      </c>
      <c r="B103" s="2" t="s">
        <v>12</v>
      </c>
      <c r="C103" s="2" t="s">
        <v>13</v>
      </c>
      <c r="D103" s="2">
        <v>1</v>
      </c>
      <c r="E103" s="2" t="s">
        <v>15</v>
      </c>
      <c r="F103" s="2" t="s">
        <v>36</v>
      </c>
      <c r="G103" s="7">
        <v>19.45</v>
      </c>
      <c r="H103" s="7">
        <v>19.45</v>
      </c>
      <c r="I103" s="2" t="s">
        <v>15</v>
      </c>
      <c r="J103" s="2" t="s">
        <v>15</v>
      </c>
      <c r="K103" s="2" t="s">
        <v>17</v>
      </c>
      <c r="L103" s="7">
        <v>19.45</v>
      </c>
      <c r="M103" s="2" t="str">
        <f>_xlfn.IFS(TelecomData[[#This Row],[TenureMonths]]&lt;=12, "0-1 Year", TelecomData[[#This Row],[TenureMonths]]&lt;=36, "1-3 Years", TelecomData[[#This Row],[TenureMonths]]&gt;36, "3+ Years")</f>
        <v>0-1 Year</v>
      </c>
      <c r="N103" s="2" t="str">
        <f>IF(TelecomData[[#This Row],[CleanedTotalCharges]]&gt;=2500,"High Spend", "Standard Spend")</f>
        <v>Standard Spend</v>
      </c>
    </row>
    <row r="104" spans="1:14" x14ac:dyDescent="0.3">
      <c r="A104" s="1" t="s">
        <v>127</v>
      </c>
      <c r="B104" s="2" t="s">
        <v>19</v>
      </c>
      <c r="C104" s="2" t="s">
        <v>20</v>
      </c>
      <c r="D104" s="2">
        <v>38</v>
      </c>
      <c r="E104" s="2" t="s">
        <v>26</v>
      </c>
      <c r="F104" s="2" t="s">
        <v>16</v>
      </c>
      <c r="G104" s="7">
        <v>95</v>
      </c>
      <c r="H104" s="7">
        <v>3605.6</v>
      </c>
      <c r="I104" s="2" t="s">
        <v>15</v>
      </c>
      <c r="J104" s="2" t="s">
        <v>15</v>
      </c>
      <c r="K104" s="2" t="s">
        <v>24</v>
      </c>
      <c r="L104" s="7">
        <v>3605.6</v>
      </c>
      <c r="M104" s="2" t="str">
        <f>_xlfn.IFS(TelecomData[[#This Row],[TenureMonths]]&lt;=12, "0-1 Year", TelecomData[[#This Row],[TenureMonths]]&lt;=36, "1-3 Years", TelecomData[[#This Row],[TenureMonths]]&gt;36, "3+ Years")</f>
        <v>3+ Years</v>
      </c>
      <c r="N104" s="2" t="str">
        <f>IF(TelecomData[[#This Row],[CleanedTotalCharges]]&gt;=2500,"High Spend", "Standard Spend")</f>
        <v>High Spend</v>
      </c>
    </row>
    <row r="105" spans="1:14" x14ac:dyDescent="0.3">
      <c r="A105" s="1" t="s">
        <v>128</v>
      </c>
      <c r="B105" s="2" t="s">
        <v>12</v>
      </c>
      <c r="C105" s="2" t="s">
        <v>20</v>
      </c>
      <c r="D105" s="2">
        <v>66</v>
      </c>
      <c r="E105" s="2" t="s">
        <v>14</v>
      </c>
      <c r="F105" s="2" t="s">
        <v>15</v>
      </c>
      <c r="G105" s="7">
        <v>45.55</v>
      </c>
      <c r="H105" s="7">
        <v>3027.25</v>
      </c>
      <c r="I105" s="2" t="s">
        <v>15</v>
      </c>
      <c r="J105" s="2" t="s">
        <v>15</v>
      </c>
      <c r="K105" s="2" t="s">
        <v>24</v>
      </c>
      <c r="L105" s="7">
        <v>3027.25</v>
      </c>
      <c r="M105" s="2" t="str">
        <f>_xlfn.IFS(TelecomData[[#This Row],[TenureMonths]]&lt;=12, "0-1 Year", TelecomData[[#This Row],[TenureMonths]]&lt;=36, "1-3 Years", TelecomData[[#This Row],[TenureMonths]]&gt;36, "3+ Years")</f>
        <v>3+ Years</v>
      </c>
      <c r="N105" s="2" t="str">
        <f>IF(TelecomData[[#This Row],[CleanedTotalCharges]]&gt;=2500,"High Spend", "Standard Spend")</f>
        <v>High Spend</v>
      </c>
    </row>
    <row r="106" spans="1:14" x14ac:dyDescent="0.3">
      <c r="A106" s="1" t="s">
        <v>129</v>
      </c>
      <c r="B106" s="2" t="s">
        <v>19</v>
      </c>
      <c r="C106" s="2" t="s">
        <v>35</v>
      </c>
      <c r="D106" s="2">
        <v>68</v>
      </c>
      <c r="E106" s="2" t="s">
        <v>26</v>
      </c>
      <c r="F106" s="2" t="s">
        <v>16</v>
      </c>
      <c r="G106" s="7">
        <v>110</v>
      </c>
      <c r="H106" s="7">
        <v>7611.85</v>
      </c>
      <c r="I106" s="2" t="s">
        <v>16</v>
      </c>
      <c r="J106" s="2" t="s">
        <v>16</v>
      </c>
      <c r="K106" s="2" t="s">
        <v>24</v>
      </c>
      <c r="L106" s="7">
        <v>7611.85</v>
      </c>
      <c r="M106" s="2" t="str">
        <f>_xlfn.IFS(TelecomData[[#This Row],[TenureMonths]]&lt;=12, "0-1 Year", TelecomData[[#This Row],[TenureMonths]]&lt;=36, "1-3 Years", TelecomData[[#This Row],[TenureMonths]]&gt;36, "3+ Years")</f>
        <v>3+ Years</v>
      </c>
      <c r="N106" s="2" t="str">
        <f>IF(TelecomData[[#This Row],[CleanedTotalCharges]]&gt;=2500,"High Spend", "Standard Spend")</f>
        <v>High Spend</v>
      </c>
    </row>
    <row r="107" spans="1:14" x14ac:dyDescent="0.3">
      <c r="A107" s="1" t="s">
        <v>130</v>
      </c>
      <c r="B107" s="2" t="s">
        <v>19</v>
      </c>
      <c r="C107" s="2" t="s">
        <v>13</v>
      </c>
      <c r="D107" s="2">
        <v>5</v>
      </c>
      <c r="E107" s="2" t="s">
        <v>14</v>
      </c>
      <c r="F107" s="2" t="s">
        <v>15</v>
      </c>
      <c r="G107" s="7">
        <v>24.3</v>
      </c>
      <c r="H107" s="7">
        <v>100.2</v>
      </c>
      <c r="I107" s="2" t="s">
        <v>15</v>
      </c>
      <c r="J107" s="2" t="s">
        <v>15</v>
      </c>
      <c r="K107" s="2" t="s">
        <v>21</v>
      </c>
      <c r="L107" s="7">
        <v>100.2</v>
      </c>
      <c r="M107" s="2" t="str">
        <f>_xlfn.IFS(TelecomData[[#This Row],[TenureMonths]]&lt;=12, "0-1 Year", TelecomData[[#This Row],[TenureMonths]]&lt;=36, "1-3 Years", TelecomData[[#This Row],[TenureMonths]]&gt;36, "3+ Years")</f>
        <v>0-1 Year</v>
      </c>
      <c r="N107" s="2" t="str">
        <f>IF(TelecomData[[#This Row],[CleanedTotalCharges]]&gt;=2500,"High Spend", "Standard Spend")</f>
        <v>Standard Spend</v>
      </c>
    </row>
    <row r="108" spans="1:14" x14ac:dyDescent="0.3">
      <c r="A108" s="1" t="s">
        <v>131</v>
      </c>
      <c r="B108" s="2" t="s">
        <v>12</v>
      </c>
      <c r="C108" s="2" t="s">
        <v>20</v>
      </c>
      <c r="D108" s="2">
        <v>72</v>
      </c>
      <c r="E108" s="2" t="s">
        <v>26</v>
      </c>
      <c r="F108" s="2" t="s">
        <v>15</v>
      </c>
      <c r="G108" s="7">
        <v>104.15</v>
      </c>
      <c r="H108" s="7">
        <v>7303.05</v>
      </c>
      <c r="I108" s="2" t="s">
        <v>15</v>
      </c>
      <c r="J108" s="2" t="s">
        <v>16</v>
      </c>
      <c r="K108" s="2" t="s">
        <v>17</v>
      </c>
      <c r="L108" s="7">
        <v>7303.05</v>
      </c>
      <c r="M108" s="2" t="str">
        <f>_xlfn.IFS(TelecomData[[#This Row],[TenureMonths]]&lt;=12, "0-1 Year", TelecomData[[#This Row],[TenureMonths]]&lt;=36, "1-3 Years", TelecomData[[#This Row],[TenureMonths]]&gt;36, "3+ Years")</f>
        <v>3+ Years</v>
      </c>
      <c r="N108" s="2" t="str">
        <f>IF(TelecomData[[#This Row],[CleanedTotalCharges]]&gt;=2500,"High Spend", "Standard Spend")</f>
        <v>High Spend</v>
      </c>
    </row>
    <row r="109" spans="1:14" x14ac:dyDescent="0.3">
      <c r="A109" s="1" t="s">
        <v>132</v>
      </c>
      <c r="B109" s="2" t="s">
        <v>12</v>
      </c>
      <c r="C109" s="2" t="s">
        <v>20</v>
      </c>
      <c r="D109" s="2">
        <v>32</v>
      </c>
      <c r="E109" s="2" t="s">
        <v>14</v>
      </c>
      <c r="F109" s="2" t="s">
        <v>15</v>
      </c>
      <c r="G109" s="7">
        <v>30.15</v>
      </c>
      <c r="H109" s="7">
        <v>927.65</v>
      </c>
      <c r="I109" s="2" t="s">
        <v>15</v>
      </c>
      <c r="J109" s="2" t="s">
        <v>15</v>
      </c>
      <c r="K109" s="2" t="s">
        <v>21</v>
      </c>
      <c r="L109" s="7">
        <v>927.65</v>
      </c>
      <c r="M109" s="2" t="str">
        <f>_xlfn.IFS(TelecomData[[#This Row],[TenureMonths]]&lt;=12, "0-1 Year", TelecomData[[#This Row],[TenureMonths]]&lt;=36, "1-3 Years", TelecomData[[#This Row],[TenureMonths]]&gt;36, "3+ Years")</f>
        <v>1-3 Years</v>
      </c>
      <c r="N109" s="2" t="str">
        <f>IF(TelecomData[[#This Row],[CleanedTotalCharges]]&gt;=2500,"High Spend", "Standard Spend")</f>
        <v>Standard Spend</v>
      </c>
    </row>
    <row r="110" spans="1:14" x14ac:dyDescent="0.3">
      <c r="A110" s="1" t="s">
        <v>133</v>
      </c>
      <c r="B110" s="2" t="s">
        <v>19</v>
      </c>
      <c r="C110" s="2" t="s">
        <v>20</v>
      </c>
      <c r="D110" s="2">
        <v>43</v>
      </c>
      <c r="E110" s="2" t="s">
        <v>26</v>
      </c>
      <c r="F110" s="2" t="s">
        <v>15</v>
      </c>
      <c r="G110" s="7">
        <v>94.35</v>
      </c>
      <c r="H110" s="7">
        <v>3921.3</v>
      </c>
      <c r="I110" s="2" t="s">
        <v>15</v>
      </c>
      <c r="J110" s="2" t="s">
        <v>15</v>
      </c>
      <c r="K110" s="2" t="s">
        <v>21</v>
      </c>
      <c r="L110" s="7">
        <v>3921.3</v>
      </c>
      <c r="M110" s="2" t="str">
        <f>_xlfn.IFS(TelecomData[[#This Row],[TenureMonths]]&lt;=12, "0-1 Year", TelecomData[[#This Row],[TenureMonths]]&lt;=36, "1-3 Years", TelecomData[[#This Row],[TenureMonths]]&gt;36, "3+ Years")</f>
        <v>3+ Years</v>
      </c>
      <c r="N110" s="2" t="str">
        <f>IF(TelecomData[[#This Row],[CleanedTotalCharges]]&gt;=2500,"High Spend", "Standard Spend")</f>
        <v>High Spend</v>
      </c>
    </row>
    <row r="111" spans="1:14" x14ac:dyDescent="0.3">
      <c r="A111" s="1" t="s">
        <v>134</v>
      </c>
      <c r="B111" s="2" t="s">
        <v>19</v>
      </c>
      <c r="C111" s="2" t="s">
        <v>35</v>
      </c>
      <c r="D111" s="2">
        <v>72</v>
      </c>
      <c r="E111" s="2" t="s">
        <v>15</v>
      </c>
      <c r="F111" s="2" t="s">
        <v>36</v>
      </c>
      <c r="G111" s="7">
        <v>19.399999999999999</v>
      </c>
      <c r="H111" s="7">
        <v>1363.25</v>
      </c>
      <c r="I111" s="2" t="s">
        <v>15</v>
      </c>
      <c r="J111" s="2" t="s">
        <v>15</v>
      </c>
      <c r="K111" s="2" t="s">
        <v>29</v>
      </c>
      <c r="L111" s="7">
        <v>1363.25</v>
      </c>
      <c r="M111" s="2" t="str">
        <f>_xlfn.IFS(TelecomData[[#This Row],[TenureMonths]]&lt;=12, "0-1 Year", TelecomData[[#This Row],[TenureMonths]]&lt;=36, "1-3 Years", TelecomData[[#This Row],[TenureMonths]]&gt;36, "3+ Years")</f>
        <v>3+ Years</v>
      </c>
      <c r="N111" s="2" t="str">
        <f>IF(TelecomData[[#This Row],[CleanedTotalCharges]]&gt;=2500,"High Spend", "Standard Spend")</f>
        <v>Standard Spend</v>
      </c>
    </row>
    <row r="112" spans="1:14" x14ac:dyDescent="0.3">
      <c r="A112" s="1" t="s">
        <v>135</v>
      </c>
      <c r="B112" s="2" t="s">
        <v>19</v>
      </c>
      <c r="C112" s="2" t="s">
        <v>13</v>
      </c>
      <c r="D112" s="2">
        <v>55</v>
      </c>
      <c r="E112" s="2" t="s">
        <v>26</v>
      </c>
      <c r="F112" s="2" t="s">
        <v>15</v>
      </c>
      <c r="G112" s="7">
        <v>96.75</v>
      </c>
      <c r="H112" s="7">
        <v>5238.8999999999996</v>
      </c>
      <c r="I112" s="2" t="s">
        <v>16</v>
      </c>
      <c r="J112" s="2" t="s">
        <v>16</v>
      </c>
      <c r="K112" s="2" t="s">
        <v>17</v>
      </c>
      <c r="L112" s="7">
        <v>5238.8999999999996</v>
      </c>
      <c r="M112" s="2" t="str">
        <f>_xlfn.IFS(TelecomData[[#This Row],[TenureMonths]]&lt;=12, "0-1 Year", TelecomData[[#This Row],[TenureMonths]]&lt;=36, "1-3 Years", TelecomData[[#This Row],[TenureMonths]]&gt;36, "3+ Years")</f>
        <v>3+ Years</v>
      </c>
      <c r="N112" s="2" t="str">
        <f>IF(TelecomData[[#This Row],[CleanedTotalCharges]]&gt;=2500,"High Spend", "Standard Spend")</f>
        <v>High Spend</v>
      </c>
    </row>
    <row r="113" spans="1:14" x14ac:dyDescent="0.3">
      <c r="A113" s="1" t="s">
        <v>136</v>
      </c>
      <c r="B113" s="2" t="s">
        <v>12</v>
      </c>
      <c r="C113" s="2" t="s">
        <v>20</v>
      </c>
      <c r="D113" s="2">
        <v>52</v>
      </c>
      <c r="E113" s="2" t="s">
        <v>14</v>
      </c>
      <c r="F113" s="2" t="s">
        <v>16</v>
      </c>
      <c r="G113" s="7">
        <v>57.95</v>
      </c>
      <c r="H113" s="7">
        <v>3042.25</v>
      </c>
      <c r="I113" s="2" t="s">
        <v>15</v>
      </c>
      <c r="J113" s="2" t="s">
        <v>15</v>
      </c>
      <c r="K113" s="2" t="s">
        <v>29</v>
      </c>
      <c r="L113" s="7">
        <v>3042.25</v>
      </c>
      <c r="M113" s="2" t="str">
        <f>_xlfn.IFS(TelecomData[[#This Row],[TenureMonths]]&lt;=12, "0-1 Year", TelecomData[[#This Row],[TenureMonths]]&lt;=36, "1-3 Years", TelecomData[[#This Row],[TenureMonths]]&gt;36, "3+ Years")</f>
        <v>3+ Years</v>
      </c>
      <c r="N113" s="2" t="str">
        <f>IF(TelecomData[[#This Row],[CleanedTotalCharges]]&gt;=2500,"High Spend", "Standard Spend")</f>
        <v>High Spend</v>
      </c>
    </row>
    <row r="114" spans="1:14" x14ac:dyDescent="0.3">
      <c r="A114" s="1" t="s">
        <v>137</v>
      </c>
      <c r="B114" s="2" t="s">
        <v>12</v>
      </c>
      <c r="C114" s="2" t="s">
        <v>13</v>
      </c>
      <c r="D114" s="2">
        <v>43</v>
      </c>
      <c r="E114" s="2" t="s">
        <v>26</v>
      </c>
      <c r="F114" s="2" t="s">
        <v>15</v>
      </c>
      <c r="G114" s="7">
        <v>91.65</v>
      </c>
      <c r="H114" s="7">
        <v>3954.1</v>
      </c>
      <c r="I114" s="2" t="s">
        <v>15</v>
      </c>
      <c r="J114" s="2" t="s">
        <v>16</v>
      </c>
      <c r="K114" s="2" t="s">
        <v>17</v>
      </c>
      <c r="L114" s="7">
        <v>3954.1</v>
      </c>
      <c r="M114" s="2" t="str">
        <f>_xlfn.IFS(TelecomData[[#This Row],[TenureMonths]]&lt;=12, "0-1 Year", TelecomData[[#This Row],[TenureMonths]]&lt;=36, "1-3 Years", TelecomData[[#This Row],[TenureMonths]]&gt;36, "3+ Years")</f>
        <v>3+ Years</v>
      </c>
      <c r="N114" s="2" t="str">
        <f>IF(TelecomData[[#This Row],[CleanedTotalCharges]]&gt;=2500,"High Spend", "Standard Spend")</f>
        <v>High Spend</v>
      </c>
    </row>
    <row r="115" spans="1:14" x14ac:dyDescent="0.3">
      <c r="A115" s="1" t="s">
        <v>138</v>
      </c>
      <c r="B115" s="2" t="s">
        <v>12</v>
      </c>
      <c r="C115" s="2" t="s">
        <v>13</v>
      </c>
      <c r="D115" s="2">
        <v>37</v>
      </c>
      <c r="E115" s="2" t="s">
        <v>26</v>
      </c>
      <c r="F115" s="2" t="s">
        <v>15</v>
      </c>
      <c r="G115" s="7">
        <v>76.5</v>
      </c>
      <c r="H115" s="7">
        <v>2868.15</v>
      </c>
      <c r="I115" s="2" t="s">
        <v>16</v>
      </c>
      <c r="J115" s="2" t="s">
        <v>16</v>
      </c>
      <c r="K115" s="2" t="s">
        <v>17</v>
      </c>
      <c r="L115" s="7">
        <v>2868.15</v>
      </c>
      <c r="M115" s="2" t="str">
        <f>_xlfn.IFS(TelecomData[[#This Row],[TenureMonths]]&lt;=12, "0-1 Year", TelecomData[[#This Row],[TenureMonths]]&lt;=36, "1-3 Years", TelecomData[[#This Row],[TenureMonths]]&gt;36, "3+ Years")</f>
        <v>3+ Years</v>
      </c>
      <c r="N115" s="2" t="str">
        <f>IF(TelecomData[[#This Row],[CleanedTotalCharges]]&gt;=2500,"High Spend", "Standard Spend")</f>
        <v>High Spend</v>
      </c>
    </row>
    <row r="116" spans="1:14" x14ac:dyDescent="0.3">
      <c r="A116" s="1" t="s">
        <v>139</v>
      </c>
      <c r="B116" s="2" t="s">
        <v>12</v>
      </c>
      <c r="C116" s="2" t="s">
        <v>35</v>
      </c>
      <c r="D116" s="2">
        <v>64</v>
      </c>
      <c r="E116" s="2" t="s">
        <v>14</v>
      </c>
      <c r="F116" s="2" t="s">
        <v>16</v>
      </c>
      <c r="G116" s="7">
        <v>54.6</v>
      </c>
      <c r="H116" s="7">
        <v>3423.5</v>
      </c>
      <c r="I116" s="2" t="s">
        <v>15</v>
      </c>
      <c r="J116" s="2" t="s">
        <v>16</v>
      </c>
      <c r="K116" s="2" t="s">
        <v>17</v>
      </c>
      <c r="L116" s="7">
        <v>3423.5</v>
      </c>
      <c r="M116" s="2" t="str">
        <f>_xlfn.IFS(TelecomData[[#This Row],[TenureMonths]]&lt;=12, "0-1 Year", TelecomData[[#This Row],[TenureMonths]]&lt;=36, "1-3 Years", TelecomData[[#This Row],[TenureMonths]]&gt;36, "3+ Years")</f>
        <v>3+ Years</v>
      </c>
      <c r="N116" s="2" t="str">
        <f>IF(TelecomData[[#This Row],[CleanedTotalCharges]]&gt;=2500,"High Spend", "Standard Spend")</f>
        <v>High Spend</v>
      </c>
    </row>
    <row r="117" spans="1:14" x14ac:dyDescent="0.3">
      <c r="A117" s="1" t="s">
        <v>140</v>
      </c>
      <c r="B117" s="2" t="s">
        <v>19</v>
      </c>
      <c r="C117" s="2" t="s">
        <v>13</v>
      </c>
      <c r="D117" s="2">
        <v>3</v>
      </c>
      <c r="E117" s="2" t="s">
        <v>26</v>
      </c>
      <c r="F117" s="2" t="s">
        <v>15</v>
      </c>
      <c r="G117" s="7">
        <v>89.85</v>
      </c>
      <c r="H117" s="7">
        <v>248.4</v>
      </c>
      <c r="I117" s="2" t="s">
        <v>15</v>
      </c>
      <c r="J117" s="2" t="s">
        <v>15</v>
      </c>
      <c r="K117" s="2" t="s">
        <v>17</v>
      </c>
      <c r="L117" s="7">
        <v>248.4</v>
      </c>
      <c r="M117" s="2" t="str">
        <f>_xlfn.IFS(TelecomData[[#This Row],[TenureMonths]]&lt;=12, "0-1 Year", TelecomData[[#This Row],[TenureMonths]]&lt;=36, "1-3 Years", TelecomData[[#This Row],[TenureMonths]]&gt;36, "3+ Years")</f>
        <v>0-1 Year</v>
      </c>
      <c r="N117" s="2" t="str">
        <f>IF(TelecomData[[#This Row],[CleanedTotalCharges]]&gt;=2500,"High Spend", "Standard Spend")</f>
        <v>Standard Spend</v>
      </c>
    </row>
    <row r="118" spans="1:14" x14ac:dyDescent="0.3">
      <c r="A118" s="1" t="s">
        <v>141</v>
      </c>
      <c r="B118" s="2" t="s">
        <v>12</v>
      </c>
      <c r="C118" s="2" t="s">
        <v>35</v>
      </c>
      <c r="D118" s="2">
        <v>36</v>
      </c>
      <c r="E118" s="2" t="s">
        <v>14</v>
      </c>
      <c r="F118" s="2" t="s">
        <v>15</v>
      </c>
      <c r="G118" s="7">
        <v>31.05</v>
      </c>
      <c r="H118" s="7">
        <v>1126.3499999999999</v>
      </c>
      <c r="I118" s="2" t="s">
        <v>15</v>
      </c>
      <c r="J118" s="2" t="s">
        <v>15</v>
      </c>
      <c r="K118" s="2" t="s">
        <v>24</v>
      </c>
      <c r="L118" s="7">
        <v>1126.3499999999999</v>
      </c>
      <c r="M118" s="2" t="str">
        <f>_xlfn.IFS(TelecomData[[#This Row],[TenureMonths]]&lt;=12, "0-1 Year", TelecomData[[#This Row],[TenureMonths]]&lt;=36, "1-3 Years", TelecomData[[#This Row],[TenureMonths]]&gt;36, "3+ Years")</f>
        <v>1-3 Years</v>
      </c>
      <c r="N118" s="2" t="str">
        <f>IF(TelecomData[[#This Row],[CleanedTotalCharges]]&gt;=2500,"High Spend", "Standard Spend")</f>
        <v>Standard Spend</v>
      </c>
    </row>
    <row r="119" spans="1:14" x14ac:dyDescent="0.3">
      <c r="A119" s="1" t="s">
        <v>142</v>
      </c>
      <c r="B119" s="2" t="s">
        <v>12</v>
      </c>
      <c r="C119" s="2" t="s">
        <v>13</v>
      </c>
      <c r="D119" s="2">
        <v>10</v>
      </c>
      <c r="E119" s="2" t="s">
        <v>26</v>
      </c>
      <c r="F119" s="2" t="s">
        <v>15</v>
      </c>
      <c r="G119" s="7">
        <v>100.25</v>
      </c>
      <c r="H119" s="7">
        <v>1064.6500000000001</v>
      </c>
      <c r="I119" s="2" t="s">
        <v>16</v>
      </c>
      <c r="J119" s="2" t="s">
        <v>16</v>
      </c>
      <c r="K119" s="2" t="s">
        <v>17</v>
      </c>
      <c r="L119" s="7">
        <v>1064.6500000000001</v>
      </c>
      <c r="M119" s="2" t="str">
        <f>_xlfn.IFS(TelecomData[[#This Row],[TenureMonths]]&lt;=12, "0-1 Year", TelecomData[[#This Row],[TenureMonths]]&lt;=36, "1-3 Years", TelecomData[[#This Row],[TenureMonths]]&gt;36, "3+ Years")</f>
        <v>0-1 Year</v>
      </c>
      <c r="N119" s="2" t="str">
        <f>IF(TelecomData[[#This Row],[CleanedTotalCharges]]&gt;=2500,"High Spend", "Standard Spend")</f>
        <v>Standard Spend</v>
      </c>
    </row>
    <row r="120" spans="1:14" x14ac:dyDescent="0.3">
      <c r="A120" s="1" t="s">
        <v>143</v>
      </c>
      <c r="B120" s="2" t="s">
        <v>12</v>
      </c>
      <c r="C120" s="2" t="s">
        <v>35</v>
      </c>
      <c r="D120" s="2">
        <v>41</v>
      </c>
      <c r="E120" s="2" t="s">
        <v>15</v>
      </c>
      <c r="F120" s="2" t="s">
        <v>36</v>
      </c>
      <c r="G120" s="7">
        <v>20.65</v>
      </c>
      <c r="H120" s="7">
        <v>835.15</v>
      </c>
      <c r="I120" s="2" t="s">
        <v>15</v>
      </c>
      <c r="J120" s="2" t="s">
        <v>15</v>
      </c>
      <c r="K120" s="2" t="s">
        <v>21</v>
      </c>
      <c r="L120" s="7">
        <v>835.15</v>
      </c>
      <c r="M120" s="2" t="str">
        <f>_xlfn.IFS(TelecomData[[#This Row],[TenureMonths]]&lt;=12, "0-1 Year", TelecomData[[#This Row],[TenureMonths]]&lt;=36, "1-3 Years", TelecomData[[#This Row],[TenureMonths]]&gt;36, "3+ Years")</f>
        <v>3+ Years</v>
      </c>
      <c r="N120" s="2" t="str">
        <f>IF(TelecomData[[#This Row],[CleanedTotalCharges]]&gt;=2500,"High Spend", "Standard Spend")</f>
        <v>Standard Spend</v>
      </c>
    </row>
    <row r="121" spans="1:14" x14ac:dyDescent="0.3">
      <c r="A121" s="1" t="s">
        <v>144</v>
      </c>
      <c r="B121" s="2" t="s">
        <v>19</v>
      </c>
      <c r="C121" s="2" t="s">
        <v>13</v>
      </c>
      <c r="D121" s="2">
        <v>27</v>
      </c>
      <c r="E121" s="2" t="s">
        <v>26</v>
      </c>
      <c r="F121" s="2" t="s">
        <v>16</v>
      </c>
      <c r="G121" s="7">
        <v>85.2</v>
      </c>
      <c r="H121" s="7">
        <v>2151.6</v>
      </c>
      <c r="I121" s="2" t="s">
        <v>15</v>
      </c>
      <c r="J121" s="2" t="s">
        <v>16</v>
      </c>
      <c r="K121" s="2" t="s">
        <v>29</v>
      </c>
      <c r="L121" s="7">
        <v>2151.6</v>
      </c>
      <c r="M121" s="2" t="str">
        <f>_xlfn.IFS(TelecomData[[#This Row],[TenureMonths]]&lt;=12, "0-1 Year", TelecomData[[#This Row],[TenureMonths]]&lt;=36, "1-3 Years", TelecomData[[#This Row],[TenureMonths]]&gt;36, "3+ Years")</f>
        <v>1-3 Years</v>
      </c>
      <c r="N121" s="2" t="str">
        <f>IF(TelecomData[[#This Row],[CleanedTotalCharges]]&gt;=2500,"High Spend", "Standard Spend")</f>
        <v>Standard Spend</v>
      </c>
    </row>
    <row r="122" spans="1:14" x14ac:dyDescent="0.3">
      <c r="A122" s="1" t="s">
        <v>145</v>
      </c>
      <c r="B122" s="2" t="s">
        <v>12</v>
      </c>
      <c r="C122" s="2" t="s">
        <v>20</v>
      </c>
      <c r="D122" s="2">
        <v>56</v>
      </c>
      <c r="E122" s="2" t="s">
        <v>26</v>
      </c>
      <c r="F122" s="2" t="s">
        <v>15</v>
      </c>
      <c r="G122" s="7">
        <v>99.8</v>
      </c>
      <c r="H122" s="7">
        <v>5515.45</v>
      </c>
      <c r="I122" s="2" t="s">
        <v>15</v>
      </c>
      <c r="J122" s="2" t="s">
        <v>16</v>
      </c>
      <c r="K122" s="2" t="s">
        <v>29</v>
      </c>
      <c r="L122" s="7">
        <v>5515.45</v>
      </c>
      <c r="M122" s="2" t="str">
        <f>_xlfn.IFS(TelecomData[[#This Row],[TenureMonths]]&lt;=12, "0-1 Year", TelecomData[[#This Row],[TenureMonths]]&lt;=36, "1-3 Years", TelecomData[[#This Row],[TenureMonths]]&gt;36, "3+ Years")</f>
        <v>3+ Years</v>
      </c>
      <c r="N122" s="2" t="str">
        <f>IF(TelecomData[[#This Row],[CleanedTotalCharges]]&gt;=2500,"High Spend", "Standard Spend")</f>
        <v>High Spend</v>
      </c>
    </row>
    <row r="123" spans="1:14" x14ac:dyDescent="0.3">
      <c r="A123" s="1" t="s">
        <v>146</v>
      </c>
      <c r="B123" s="2" t="s">
        <v>12</v>
      </c>
      <c r="C123" s="2" t="s">
        <v>13</v>
      </c>
      <c r="D123" s="2">
        <v>6</v>
      </c>
      <c r="E123" s="2" t="s">
        <v>15</v>
      </c>
      <c r="F123" s="2" t="s">
        <v>36</v>
      </c>
      <c r="G123" s="7">
        <v>20.7</v>
      </c>
      <c r="H123" s="7">
        <v>112.75</v>
      </c>
      <c r="I123" s="2" t="s">
        <v>15</v>
      </c>
      <c r="J123" s="2" t="s">
        <v>15</v>
      </c>
      <c r="K123" s="2" t="s">
        <v>21</v>
      </c>
      <c r="L123" s="7">
        <v>112.75</v>
      </c>
      <c r="M123" s="2" t="str">
        <f>_xlfn.IFS(TelecomData[[#This Row],[TenureMonths]]&lt;=12, "0-1 Year", TelecomData[[#This Row],[TenureMonths]]&lt;=36, "1-3 Years", TelecomData[[#This Row],[TenureMonths]]&gt;36, "3+ Years")</f>
        <v>0-1 Year</v>
      </c>
      <c r="N123" s="2" t="str">
        <f>IF(TelecomData[[#This Row],[CleanedTotalCharges]]&gt;=2500,"High Spend", "Standard Spend")</f>
        <v>Standard Spend</v>
      </c>
    </row>
    <row r="124" spans="1:14" x14ac:dyDescent="0.3">
      <c r="A124" s="1" t="s">
        <v>147</v>
      </c>
      <c r="B124" s="2" t="s">
        <v>19</v>
      </c>
      <c r="C124" s="2" t="s">
        <v>13</v>
      </c>
      <c r="D124" s="2">
        <v>3</v>
      </c>
      <c r="E124" s="2" t="s">
        <v>26</v>
      </c>
      <c r="F124" s="2" t="s">
        <v>15</v>
      </c>
      <c r="G124" s="7">
        <v>74.400000000000006</v>
      </c>
      <c r="H124" s="7">
        <v>229.55</v>
      </c>
      <c r="I124" s="2" t="s">
        <v>16</v>
      </c>
      <c r="J124" s="2" t="s">
        <v>16</v>
      </c>
      <c r="K124" s="2" t="s">
        <v>17</v>
      </c>
      <c r="L124" s="7">
        <v>229.55</v>
      </c>
      <c r="M124" s="2" t="str">
        <f>_xlfn.IFS(TelecomData[[#This Row],[TenureMonths]]&lt;=12, "0-1 Year", TelecomData[[#This Row],[TenureMonths]]&lt;=36, "1-3 Years", TelecomData[[#This Row],[TenureMonths]]&gt;36, "3+ Years")</f>
        <v>0-1 Year</v>
      </c>
      <c r="N124" s="2" t="str">
        <f>IF(TelecomData[[#This Row],[CleanedTotalCharges]]&gt;=2500,"High Spend", "Standard Spend")</f>
        <v>Standard Spend</v>
      </c>
    </row>
    <row r="125" spans="1:14" x14ac:dyDescent="0.3">
      <c r="A125" s="1" t="s">
        <v>148</v>
      </c>
      <c r="B125" s="2" t="s">
        <v>12</v>
      </c>
      <c r="C125" s="2" t="s">
        <v>13</v>
      </c>
      <c r="D125" s="2">
        <v>7</v>
      </c>
      <c r="E125" s="2" t="s">
        <v>14</v>
      </c>
      <c r="F125" s="2" t="s">
        <v>15</v>
      </c>
      <c r="G125" s="7">
        <v>50.7</v>
      </c>
      <c r="H125" s="7">
        <v>350.35</v>
      </c>
      <c r="I125" s="2" t="s">
        <v>15</v>
      </c>
      <c r="J125" s="2" t="s">
        <v>15</v>
      </c>
      <c r="K125" s="2" t="s">
        <v>21</v>
      </c>
      <c r="L125" s="7">
        <v>350.35</v>
      </c>
      <c r="M125" s="2" t="str">
        <f>_xlfn.IFS(TelecomData[[#This Row],[TenureMonths]]&lt;=12, "0-1 Year", TelecomData[[#This Row],[TenureMonths]]&lt;=36, "1-3 Years", TelecomData[[#This Row],[TenureMonths]]&gt;36, "3+ Years")</f>
        <v>0-1 Year</v>
      </c>
      <c r="N125" s="2" t="str">
        <f>IF(TelecomData[[#This Row],[CleanedTotalCharges]]&gt;=2500,"High Spend", "Standard Spend")</f>
        <v>Standard Spend</v>
      </c>
    </row>
    <row r="126" spans="1:14" x14ac:dyDescent="0.3">
      <c r="A126" s="1" t="s">
        <v>149</v>
      </c>
      <c r="B126" s="2" t="s">
        <v>12</v>
      </c>
      <c r="C126" s="2" t="s">
        <v>13</v>
      </c>
      <c r="D126" s="2">
        <v>4</v>
      </c>
      <c r="E126" s="2" t="s">
        <v>15</v>
      </c>
      <c r="F126" s="2" t="s">
        <v>36</v>
      </c>
      <c r="G126" s="7">
        <v>20.85</v>
      </c>
      <c r="H126" s="7">
        <v>62.9</v>
      </c>
      <c r="I126" s="2" t="s">
        <v>15</v>
      </c>
      <c r="J126" s="2" t="s">
        <v>15</v>
      </c>
      <c r="K126" s="2" t="s">
        <v>21</v>
      </c>
      <c r="L126" s="7">
        <v>62.9</v>
      </c>
      <c r="M126" s="2" t="str">
        <f>_xlfn.IFS(TelecomData[[#This Row],[TenureMonths]]&lt;=12, "0-1 Year", TelecomData[[#This Row],[TenureMonths]]&lt;=36, "1-3 Years", TelecomData[[#This Row],[TenureMonths]]&gt;36, "3+ Years")</f>
        <v>0-1 Year</v>
      </c>
      <c r="N126" s="2" t="str">
        <f>IF(TelecomData[[#This Row],[CleanedTotalCharges]]&gt;=2500,"High Spend", "Standard Spend")</f>
        <v>Standard Spend</v>
      </c>
    </row>
    <row r="127" spans="1:14" x14ac:dyDescent="0.3">
      <c r="A127" s="1" t="s">
        <v>150</v>
      </c>
      <c r="B127" s="2" t="s">
        <v>19</v>
      </c>
      <c r="C127" s="2" t="s">
        <v>35</v>
      </c>
      <c r="D127" s="2">
        <v>33</v>
      </c>
      <c r="E127" s="2" t="s">
        <v>26</v>
      </c>
      <c r="F127" s="2" t="s">
        <v>16</v>
      </c>
      <c r="G127" s="7">
        <v>88.95</v>
      </c>
      <c r="H127" s="7">
        <v>3027.65</v>
      </c>
      <c r="I127" s="2" t="s">
        <v>15</v>
      </c>
      <c r="J127" s="2" t="s">
        <v>16</v>
      </c>
      <c r="K127" s="2" t="s">
        <v>17</v>
      </c>
      <c r="L127" s="7">
        <v>3027.65</v>
      </c>
      <c r="M127" s="2" t="str">
        <f>_xlfn.IFS(TelecomData[[#This Row],[TenureMonths]]&lt;=12, "0-1 Year", TelecomData[[#This Row],[TenureMonths]]&lt;=36, "1-3 Years", TelecomData[[#This Row],[TenureMonths]]&gt;36, "3+ Years")</f>
        <v>1-3 Years</v>
      </c>
      <c r="N127" s="2" t="str">
        <f>IF(TelecomData[[#This Row],[CleanedTotalCharges]]&gt;=2500,"High Spend", "Standard Spend")</f>
        <v>High Spend</v>
      </c>
    </row>
    <row r="128" spans="1:14" x14ac:dyDescent="0.3">
      <c r="A128" s="1" t="s">
        <v>151</v>
      </c>
      <c r="B128" s="2" t="s">
        <v>12</v>
      </c>
      <c r="C128" s="2" t="s">
        <v>13</v>
      </c>
      <c r="D128" s="2">
        <v>27</v>
      </c>
      <c r="E128" s="2" t="s">
        <v>26</v>
      </c>
      <c r="F128" s="2" t="s">
        <v>15</v>
      </c>
      <c r="G128" s="7">
        <v>78.05</v>
      </c>
      <c r="H128" s="7">
        <v>2135.5</v>
      </c>
      <c r="I128" s="2" t="s">
        <v>16</v>
      </c>
      <c r="J128" s="2" t="s">
        <v>16</v>
      </c>
      <c r="K128" s="2" t="s">
        <v>17</v>
      </c>
      <c r="L128" s="7">
        <v>2135.5</v>
      </c>
      <c r="M128" s="2" t="str">
        <f>_xlfn.IFS(TelecomData[[#This Row],[TenureMonths]]&lt;=12, "0-1 Year", TelecomData[[#This Row],[TenureMonths]]&lt;=36, "1-3 Years", TelecomData[[#This Row],[TenureMonths]]&gt;36, "3+ Years")</f>
        <v>1-3 Years</v>
      </c>
      <c r="N128" s="2" t="str">
        <f>IF(TelecomData[[#This Row],[CleanedTotalCharges]]&gt;=2500,"High Spend", "Standard Spend")</f>
        <v>Standard Spend</v>
      </c>
    </row>
    <row r="129" spans="1:14" x14ac:dyDescent="0.3">
      <c r="A129" s="1" t="s">
        <v>152</v>
      </c>
      <c r="B129" s="2" t="s">
        <v>19</v>
      </c>
      <c r="C129" s="2" t="s">
        <v>35</v>
      </c>
      <c r="D129" s="2">
        <v>72</v>
      </c>
      <c r="E129" s="2" t="s">
        <v>15</v>
      </c>
      <c r="F129" s="2" t="s">
        <v>36</v>
      </c>
      <c r="G129" s="7">
        <v>23.55</v>
      </c>
      <c r="H129" s="7">
        <v>1723.95</v>
      </c>
      <c r="I129" s="2" t="s">
        <v>15</v>
      </c>
      <c r="J129" s="2" t="s">
        <v>16</v>
      </c>
      <c r="K129" s="2" t="s">
        <v>24</v>
      </c>
      <c r="L129" s="7">
        <v>1723.95</v>
      </c>
      <c r="M129" s="2" t="str">
        <f>_xlfn.IFS(TelecomData[[#This Row],[TenureMonths]]&lt;=12, "0-1 Year", TelecomData[[#This Row],[TenureMonths]]&lt;=36, "1-3 Years", TelecomData[[#This Row],[TenureMonths]]&gt;36, "3+ Years")</f>
        <v>3+ Years</v>
      </c>
      <c r="N129" s="2" t="str">
        <f>IF(TelecomData[[#This Row],[CleanedTotalCharges]]&gt;=2500,"High Spend", "Standard Spend")</f>
        <v>Standard Spend</v>
      </c>
    </row>
    <row r="130" spans="1:14" x14ac:dyDescent="0.3">
      <c r="A130" s="1" t="s">
        <v>153</v>
      </c>
      <c r="B130" s="2" t="s">
        <v>19</v>
      </c>
      <c r="C130" s="2" t="s">
        <v>13</v>
      </c>
      <c r="D130" s="2">
        <v>1</v>
      </c>
      <c r="E130" s="2" t="s">
        <v>15</v>
      </c>
      <c r="F130" s="2" t="s">
        <v>36</v>
      </c>
      <c r="G130" s="7">
        <v>19.75</v>
      </c>
      <c r="H130" s="7">
        <v>19.75</v>
      </c>
      <c r="I130" s="2" t="s">
        <v>15</v>
      </c>
      <c r="J130" s="2" t="s">
        <v>15</v>
      </c>
      <c r="K130" s="2" t="s">
        <v>21</v>
      </c>
      <c r="L130" s="7">
        <v>19.75</v>
      </c>
      <c r="M130" s="2" t="str">
        <f>_xlfn.IFS(TelecomData[[#This Row],[TenureMonths]]&lt;=12, "0-1 Year", TelecomData[[#This Row],[TenureMonths]]&lt;=36, "1-3 Years", TelecomData[[#This Row],[TenureMonths]]&gt;36, "3+ Years")</f>
        <v>0-1 Year</v>
      </c>
      <c r="N130" s="2" t="str">
        <f>IF(TelecomData[[#This Row],[CleanedTotalCharges]]&gt;=2500,"High Spend", "Standard Spend")</f>
        <v>Standard Spend</v>
      </c>
    </row>
    <row r="131" spans="1:14" x14ac:dyDescent="0.3">
      <c r="A131" s="1" t="s">
        <v>154</v>
      </c>
      <c r="B131" s="2" t="s">
        <v>19</v>
      </c>
      <c r="C131" s="2" t="s">
        <v>20</v>
      </c>
      <c r="D131" s="2">
        <v>71</v>
      </c>
      <c r="E131" s="2" t="s">
        <v>14</v>
      </c>
      <c r="F131" s="2" t="s">
        <v>15</v>
      </c>
      <c r="G131" s="7">
        <v>56.45</v>
      </c>
      <c r="H131" s="7">
        <v>3985.35</v>
      </c>
      <c r="I131" s="2" t="s">
        <v>15</v>
      </c>
      <c r="J131" s="2" t="s">
        <v>16</v>
      </c>
      <c r="K131" s="2" t="s">
        <v>17</v>
      </c>
      <c r="L131" s="7">
        <v>3985.35</v>
      </c>
      <c r="M131" s="2" t="str">
        <f>_xlfn.IFS(TelecomData[[#This Row],[TenureMonths]]&lt;=12, "0-1 Year", TelecomData[[#This Row],[TenureMonths]]&lt;=36, "1-3 Years", TelecomData[[#This Row],[TenureMonths]]&gt;36, "3+ Years")</f>
        <v>3+ Years</v>
      </c>
      <c r="N131" s="2" t="str">
        <f>IF(TelecomData[[#This Row],[CleanedTotalCharges]]&gt;=2500,"High Spend", "Standard Spend")</f>
        <v>High Spend</v>
      </c>
    </row>
    <row r="132" spans="1:14" x14ac:dyDescent="0.3">
      <c r="A132" s="1" t="s">
        <v>155</v>
      </c>
      <c r="B132" s="2" t="s">
        <v>12</v>
      </c>
      <c r="C132" s="2" t="s">
        <v>13</v>
      </c>
      <c r="D132" s="2">
        <v>13</v>
      </c>
      <c r="E132" s="2" t="s">
        <v>26</v>
      </c>
      <c r="F132" s="2" t="s">
        <v>15</v>
      </c>
      <c r="G132" s="7">
        <v>85.95</v>
      </c>
      <c r="H132" s="7">
        <v>1215.6500000000001</v>
      </c>
      <c r="I132" s="2" t="s">
        <v>15</v>
      </c>
      <c r="J132" s="2" t="s">
        <v>16</v>
      </c>
      <c r="K132" s="2" t="s">
        <v>17</v>
      </c>
      <c r="L132" s="7">
        <v>1215.6500000000001</v>
      </c>
      <c r="M132" s="2" t="str">
        <f>_xlfn.IFS(TelecomData[[#This Row],[TenureMonths]]&lt;=12, "0-1 Year", TelecomData[[#This Row],[TenureMonths]]&lt;=36, "1-3 Years", TelecomData[[#This Row],[TenureMonths]]&gt;36, "3+ Years")</f>
        <v>1-3 Years</v>
      </c>
      <c r="N132" s="2" t="str">
        <f>IF(TelecomData[[#This Row],[CleanedTotalCharges]]&gt;=2500,"High Spend", "Standard Spend")</f>
        <v>Standard Spend</v>
      </c>
    </row>
    <row r="133" spans="1:14" x14ac:dyDescent="0.3">
      <c r="A133" s="1" t="s">
        <v>156</v>
      </c>
      <c r="B133" s="2" t="s">
        <v>12</v>
      </c>
      <c r="C133" s="2" t="s">
        <v>13</v>
      </c>
      <c r="D133" s="2">
        <v>25</v>
      </c>
      <c r="E133" s="2" t="s">
        <v>14</v>
      </c>
      <c r="F133" s="2" t="s">
        <v>15</v>
      </c>
      <c r="G133" s="7">
        <v>58.6</v>
      </c>
      <c r="H133" s="7">
        <v>1502.65</v>
      </c>
      <c r="I133" s="2" t="s">
        <v>16</v>
      </c>
      <c r="J133" s="2" t="s">
        <v>16</v>
      </c>
      <c r="K133" s="2" t="s">
        <v>29</v>
      </c>
      <c r="L133" s="7">
        <v>1502.65</v>
      </c>
      <c r="M133" s="2" t="str">
        <f>_xlfn.IFS(TelecomData[[#This Row],[TenureMonths]]&lt;=12, "0-1 Year", TelecomData[[#This Row],[TenureMonths]]&lt;=36, "1-3 Years", TelecomData[[#This Row],[TenureMonths]]&gt;36, "3+ Years")</f>
        <v>1-3 Years</v>
      </c>
      <c r="N133" s="2" t="str">
        <f>IF(TelecomData[[#This Row],[CleanedTotalCharges]]&gt;=2500,"High Spend", "Standard Spend")</f>
        <v>Standard Spend</v>
      </c>
    </row>
    <row r="134" spans="1:14" x14ac:dyDescent="0.3">
      <c r="A134" s="1" t="s">
        <v>157</v>
      </c>
      <c r="B134" s="2" t="s">
        <v>19</v>
      </c>
      <c r="C134" s="2" t="s">
        <v>35</v>
      </c>
      <c r="D134" s="2">
        <v>67</v>
      </c>
      <c r="E134" s="2" t="s">
        <v>14</v>
      </c>
      <c r="F134" s="2" t="s">
        <v>16</v>
      </c>
      <c r="G134" s="7">
        <v>50.55</v>
      </c>
      <c r="H134" s="7">
        <v>3260.1</v>
      </c>
      <c r="I134" s="2" t="s">
        <v>15</v>
      </c>
      <c r="J134" s="2" t="s">
        <v>15</v>
      </c>
      <c r="K134" s="2" t="s">
        <v>24</v>
      </c>
      <c r="L134" s="7">
        <v>3260.1</v>
      </c>
      <c r="M134" s="2" t="str">
        <f>_xlfn.IFS(TelecomData[[#This Row],[TenureMonths]]&lt;=12, "0-1 Year", TelecomData[[#This Row],[TenureMonths]]&lt;=36, "1-3 Years", TelecomData[[#This Row],[TenureMonths]]&gt;36, "3+ Years")</f>
        <v>3+ Years</v>
      </c>
      <c r="N134" s="2" t="str">
        <f>IF(TelecomData[[#This Row],[CleanedTotalCharges]]&gt;=2500,"High Spend", "Standard Spend")</f>
        <v>High Spend</v>
      </c>
    </row>
    <row r="135" spans="1:14" x14ac:dyDescent="0.3">
      <c r="A135" s="1" t="s">
        <v>158</v>
      </c>
      <c r="B135" s="2" t="s">
        <v>19</v>
      </c>
      <c r="C135" s="2" t="s">
        <v>13</v>
      </c>
      <c r="D135" s="2">
        <v>1</v>
      </c>
      <c r="E135" s="2" t="s">
        <v>14</v>
      </c>
      <c r="F135" s="2" t="s">
        <v>15</v>
      </c>
      <c r="G135" s="7">
        <v>35.450000000000003</v>
      </c>
      <c r="H135" s="7">
        <v>35.450000000000003</v>
      </c>
      <c r="I135" s="2" t="s">
        <v>16</v>
      </c>
      <c r="J135" s="2" t="s">
        <v>16</v>
      </c>
      <c r="K135" s="2" t="s">
        <v>17</v>
      </c>
      <c r="L135" s="7">
        <v>35.450000000000003</v>
      </c>
      <c r="M135" s="2" t="str">
        <f>_xlfn.IFS(TelecomData[[#This Row],[TenureMonths]]&lt;=12, "0-1 Year", TelecomData[[#This Row],[TenureMonths]]&lt;=36, "1-3 Years", TelecomData[[#This Row],[TenureMonths]]&gt;36, "3+ Years")</f>
        <v>0-1 Year</v>
      </c>
      <c r="N135" s="2" t="str">
        <f>IF(TelecomData[[#This Row],[CleanedTotalCharges]]&gt;=2500,"High Spend", "Standard Spend")</f>
        <v>Standard Spend</v>
      </c>
    </row>
    <row r="136" spans="1:14" x14ac:dyDescent="0.3">
      <c r="A136" s="1" t="s">
        <v>159</v>
      </c>
      <c r="B136" s="2" t="s">
        <v>19</v>
      </c>
      <c r="C136" s="2" t="s">
        <v>13</v>
      </c>
      <c r="D136" s="2">
        <v>2</v>
      </c>
      <c r="E136" s="2" t="s">
        <v>14</v>
      </c>
      <c r="F136" s="2" t="s">
        <v>15</v>
      </c>
      <c r="G136" s="7">
        <v>44.35</v>
      </c>
      <c r="H136" s="7">
        <v>81.25</v>
      </c>
      <c r="I136" s="2" t="s">
        <v>16</v>
      </c>
      <c r="J136" s="2" t="s">
        <v>15</v>
      </c>
      <c r="K136" s="2" t="s">
        <v>17</v>
      </c>
      <c r="L136" s="7">
        <v>81.25</v>
      </c>
      <c r="M136" s="2" t="str">
        <f>_xlfn.IFS(TelecomData[[#This Row],[TenureMonths]]&lt;=12, "0-1 Year", TelecomData[[#This Row],[TenureMonths]]&lt;=36, "1-3 Years", TelecomData[[#This Row],[TenureMonths]]&gt;36, "3+ Years")</f>
        <v>0-1 Year</v>
      </c>
      <c r="N136" s="2" t="str">
        <f>IF(TelecomData[[#This Row],[CleanedTotalCharges]]&gt;=2500,"High Spend", "Standard Spend")</f>
        <v>Standard Spend</v>
      </c>
    </row>
    <row r="137" spans="1:14" x14ac:dyDescent="0.3">
      <c r="A137" s="1" t="s">
        <v>160</v>
      </c>
      <c r="B137" s="2" t="s">
        <v>12</v>
      </c>
      <c r="C137" s="2" t="s">
        <v>35</v>
      </c>
      <c r="D137" s="2">
        <v>43</v>
      </c>
      <c r="E137" s="2" t="s">
        <v>15</v>
      </c>
      <c r="F137" s="2" t="s">
        <v>36</v>
      </c>
      <c r="G137" s="7">
        <v>25.7</v>
      </c>
      <c r="H137" s="7">
        <v>1188.2</v>
      </c>
      <c r="I137" s="2" t="s">
        <v>15</v>
      </c>
      <c r="J137" s="2" t="s">
        <v>16</v>
      </c>
      <c r="K137" s="2" t="s">
        <v>29</v>
      </c>
      <c r="L137" s="7">
        <v>1188.2</v>
      </c>
      <c r="M137" s="2" t="str">
        <f>_xlfn.IFS(TelecomData[[#This Row],[TenureMonths]]&lt;=12, "0-1 Year", TelecomData[[#This Row],[TenureMonths]]&lt;=36, "1-3 Years", TelecomData[[#This Row],[TenureMonths]]&gt;36, "3+ Years")</f>
        <v>3+ Years</v>
      </c>
      <c r="N137" s="2" t="str">
        <f>IF(TelecomData[[#This Row],[CleanedTotalCharges]]&gt;=2500,"High Spend", "Standard Spend")</f>
        <v>Standard Spend</v>
      </c>
    </row>
    <row r="138" spans="1:14" x14ac:dyDescent="0.3">
      <c r="A138" s="1" t="s">
        <v>161</v>
      </c>
      <c r="B138" s="2" t="s">
        <v>12</v>
      </c>
      <c r="C138" s="2" t="s">
        <v>13</v>
      </c>
      <c r="D138" s="2">
        <v>23</v>
      </c>
      <c r="E138" s="2" t="s">
        <v>26</v>
      </c>
      <c r="F138" s="2" t="s">
        <v>15</v>
      </c>
      <c r="G138" s="7">
        <v>75</v>
      </c>
      <c r="H138" s="7">
        <v>1778.5</v>
      </c>
      <c r="I138" s="2" t="s">
        <v>15</v>
      </c>
      <c r="J138" s="2" t="s">
        <v>16</v>
      </c>
      <c r="K138" s="2" t="s">
        <v>24</v>
      </c>
      <c r="L138" s="7">
        <v>1778.5</v>
      </c>
      <c r="M138" s="2" t="str">
        <f>_xlfn.IFS(TelecomData[[#This Row],[TenureMonths]]&lt;=12, "0-1 Year", TelecomData[[#This Row],[TenureMonths]]&lt;=36, "1-3 Years", TelecomData[[#This Row],[TenureMonths]]&gt;36, "3+ Years")</f>
        <v>1-3 Years</v>
      </c>
      <c r="N138" s="2" t="str">
        <f>IF(TelecomData[[#This Row],[CleanedTotalCharges]]&gt;=2500,"High Spend", "Standard Spend")</f>
        <v>Standard Spend</v>
      </c>
    </row>
    <row r="139" spans="1:14" x14ac:dyDescent="0.3">
      <c r="A139" s="1" t="s">
        <v>162</v>
      </c>
      <c r="B139" s="2" t="s">
        <v>12</v>
      </c>
      <c r="C139" s="2" t="s">
        <v>35</v>
      </c>
      <c r="D139" s="2">
        <v>64</v>
      </c>
      <c r="E139" s="2" t="s">
        <v>15</v>
      </c>
      <c r="F139" s="2" t="s">
        <v>36</v>
      </c>
      <c r="G139" s="7">
        <v>20.2</v>
      </c>
      <c r="H139" s="7">
        <v>1277.75</v>
      </c>
      <c r="I139" s="2" t="s">
        <v>15</v>
      </c>
      <c r="J139" s="2" t="s">
        <v>15</v>
      </c>
      <c r="K139" s="2" t="s">
        <v>21</v>
      </c>
      <c r="L139" s="7">
        <v>1277.75</v>
      </c>
      <c r="M139" s="2" t="str">
        <f>_xlfn.IFS(TelecomData[[#This Row],[TenureMonths]]&lt;=12, "0-1 Year", TelecomData[[#This Row],[TenureMonths]]&lt;=36, "1-3 Years", TelecomData[[#This Row],[TenureMonths]]&gt;36, "3+ Years")</f>
        <v>3+ Years</v>
      </c>
      <c r="N139" s="2" t="str">
        <f>IF(TelecomData[[#This Row],[CleanedTotalCharges]]&gt;=2500,"High Spend", "Standard Spend")</f>
        <v>Standard Spend</v>
      </c>
    </row>
    <row r="140" spans="1:14" x14ac:dyDescent="0.3">
      <c r="A140" s="1" t="s">
        <v>163</v>
      </c>
      <c r="B140" s="2" t="s">
        <v>19</v>
      </c>
      <c r="C140" s="2" t="s">
        <v>35</v>
      </c>
      <c r="D140" s="2">
        <v>57</v>
      </c>
      <c r="E140" s="2" t="s">
        <v>15</v>
      </c>
      <c r="F140" s="2" t="s">
        <v>36</v>
      </c>
      <c r="G140" s="7">
        <v>19.600000000000001</v>
      </c>
      <c r="H140" s="7">
        <v>1170.55</v>
      </c>
      <c r="I140" s="2" t="s">
        <v>15</v>
      </c>
      <c r="J140" s="2" t="s">
        <v>16</v>
      </c>
      <c r="K140" s="2" t="s">
        <v>21</v>
      </c>
      <c r="L140" s="7">
        <v>1170.55</v>
      </c>
      <c r="M140" s="2" t="str">
        <f>_xlfn.IFS(TelecomData[[#This Row],[TenureMonths]]&lt;=12, "0-1 Year", TelecomData[[#This Row],[TenureMonths]]&lt;=36, "1-3 Years", TelecomData[[#This Row],[TenureMonths]]&gt;36, "3+ Years")</f>
        <v>3+ Years</v>
      </c>
      <c r="N140" s="2" t="str">
        <f>IF(TelecomData[[#This Row],[CleanedTotalCharges]]&gt;=2500,"High Spend", "Standard Spend")</f>
        <v>Standard Spend</v>
      </c>
    </row>
    <row r="141" spans="1:14" x14ac:dyDescent="0.3">
      <c r="A141" s="1" t="s">
        <v>164</v>
      </c>
      <c r="B141" s="2" t="s">
        <v>12</v>
      </c>
      <c r="C141" s="2" t="s">
        <v>13</v>
      </c>
      <c r="D141" s="2">
        <v>1</v>
      </c>
      <c r="E141" s="2" t="s">
        <v>26</v>
      </c>
      <c r="F141" s="2" t="s">
        <v>15</v>
      </c>
      <c r="G141" s="7">
        <v>70.45</v>
      </c>
      <c r="H141" s="7">
        <v>70.45</v>
      </c>
      <c r="I141" s="2" t="s">
        <v>16</v>
      </c>
      <c r="J141" s="2" t="s">
        <v>16</v>
      </c>
      <c r="K141" s="2" t="s">
        <v>21</v>
      </c>
      <c r="L141" s="7">
        <v>70.45</v>
      </c>
      <c r="M141" s="2" t="str">
        <f>_xlfn.IFS(TelecomData[[#This Row],[TenureMonths]]&lt;=12, "0-1 Year", TelecomData[[#This Row],[TenureMonths]]&lt;=36, "1-3 Years", TelecomData[[#This Row],[TenureMonths]]&gt;36, "3+ Years")</f>
        <v>0-1 Year</v>
      </c>
      <c r="N141" s="2" t="str">
        <f>IF(TelecomData[[#This Row],[CleanedTotalCharges]]&gt;=2500,"High Spend", "Standard Spend")</f>
        <v>Standard Spend</v>
      </c>
    </row>
    <row r="142" spans="1:14" x14ac:dyDescent="0.3">
      <c r="A142" s="1" t="s">
        <v>165</v>
      </c>
      <c r="B142" s="2" t="s">
        <v>12</v>
      </c>
      <c r="C142" s="2" t="s">
        <v>35</v>
      </c>
      <c r="D142" s="2">
        <v>72</v>
      </c>
      <c r="E142" s="2" t="s">
        <v>14</v>
      </c>
      <c r="F142" s="2" t="s">
        <v>16</v>
      </c>
      <c r="G142" s="7">
        <v>88.05</v>
      </c>
      <c r="H142" s="7">
        <v>6425.65</v>
      </c>
      <c r="I142" s="2" t="s">
        <v>15</v>
      </c>
      <c r="J142" s="2" t="s">
        <v>16</v>
      </c>
      <c r="K142" s="2" t="s">
        <v>29</v>
      </c>
      <c r="L142" s="7">
        <v>6425.65</v>
      </c>
      <c r="M142" s="2" t="str">
        <f>_xlfn.IFS(TelecomData[[#This Row],[TenureMonths]]&lt;=12, "0-1 Year", TelecomData[[#This Row],[TenureMonths]]&lt;=36, "1-3 Years", TelecomData[[#This Row],[TenureMonths]]&gt;36, "3+ Years")</f>
        <v>3+ Years</v>
      </c>
      <c r="N142" s="2" t="str">
        <f>IF(TelecomData[[#This Row],[CleanedTotalCharges]]&gt;=2500,"High Spend", "Standard Spend")</f>
        <v>High Spend</v>
      </c>
    </row>
    <row r="143" spans="1:14" x14ac:dyDescent="0.3">
      <c r="A143" s="1" t="s">
        <v>166</v>
      </c>
      <c r="B143" s="2" t="s">
        <v>12</v>
      </c>
      <c r="C143" s="2" t="s">
        <v>13</v>
      </c>
      <c r="D143" s="2">
        <v>8</v>
      </c>
      <c r="E143" s="2" t="s">
        <v>14</v>
      </c>
      <c r="F143" s="2" t="s">
        <v>16</v>
      </c>
      <c r="G143" s="7">
        <v>71.150000000000006</v>
      </c>
      <c r="H143" s="7">
        <v>563.65</v>
      </c>
      <c r="I143" s="2" t="s">
        <v>16</v>
      </c>
      <c r="J143" s="2" t="s">
        <v>15</v>
      </c>
      <c r="K143" s="2" t="s">
        <v>17</v>
      </c>
      <c r="L143" s="7">
        <v>563.65</v>
      </c>
      <c r="M143" s="2" t="str">
        <f>_xlfn.IFS(TelecomData[[#This Row],[TenureMonths]]&lt;=12, "0-1 Year", TelecomData[[#This Row],[TenureMonths]]&lt;=36, "1-3 Years", TelecomData[[#This Row],[TenureMonths]]&gt;36, "3+ Years")</f>
        <v>0-1 Year</v>
      </c>
      <c r="N143" s="2" t="str">
        <f>IF(TelecomData[[#This Row],[CleanedTotalCharges]]&gt;=2500,"High Spend", "Standard Spend")</f>
        <v>Standard Spend</v>
      </c>
    </row>
    <row r="144" spans="1:14" x14ac:dyDescent="0.3">
      <c r="A144" s="1" t="s">
        <v>167</v>
      </c>
      <c r="B144" s="2" t="s">
        <v>12</v>
      </c>
      <c r="C144" s="2" t="s">
        <v>35</v>
      </c>
      <c r="D144" s="2">
        <v>61</v>
      </c>
      <c r="E144" s="2" t="s">
        <v>26</v>
      </c>
      <c r="F144" s="2" t="s">
        <v>15</v>
      </c>
      <c r="G144" s="7">
        <v>101.05</v>
      </c>
      <c r="H144" s="7">
        <v>5971.25</v>
      </c>
      <c r="I144" s="2" t="s">
        <v>15</v>
      </c>
      <c r="J144" s="2" t="s">
        <v>16</v>
      </c>
      <c r="K144" s="2" t="s">
        <v>24</v>
      </c>
      <c r="L144" s="7">
        <v>5971.25</v>
      </c>
      <c r="M144" s="2" t="str">
        <f>_xlfn.IFS(TelecomData[[#This Row],[TenureMonths]]&lt;=12, "0-1 Year", TelecomData[[#This Row],[TenureMonths]]&lt;=36, "1-3 Years", TelecomData[[#This Row],[TenureMonths]]&gt;36, "3+ Years")</f>
        <v>3+ Years</v>
      </c>
      <c r="N144" s="2" t="str">
        <f>IF(TelecomData[[#This Row],[CleanedTotalCharges]]&gt;=2500,"High Spend", "Standard Spend")</f>
        <v>High Spend</v>
      </c>
    </row>
    <row r="145" spans="1:14" x14ac:dyDescent="0.3">
      <c r="A145" s="1" t="s">
        <v>168</v>
      </c>
      <c r="B145" s="2" t="s">
        <v>19</v>
      </c>
      <c r="C145" s="2" t="s">
        <v>20</v>
      </c>
      <c r="D145" s="2">
        <v>64</v>
      </c>
      <c r="E145" s="2" t="s">
        <v>26</v>
      </c>
      <c r="F145" s="2" t="s">
        <v>15</v>
      </c>
      <c r="G145" s="7">
        <v>84.3</v>
      </c>
      <c r="H145" s="7">
        <v>5289.05</v>
      </c>
      <c r="I145" s="2" t="s">
        <v>15</v>
      </c>
      <c r="J145" s="2" t="s">
        <v>16</v>
      </c>
      <c r="K145" s="2" t="s">
        <v>29</v>
      </c>
      <c r="L145" s="7">
        <v>5289.05</v>
      </c>
      <c r="M145" s="2" t="str">
        <f>_xlfn.IFS(TelecomData[[#This Row],[TenureMonths]]&lt;=12, "0-1 Year", TelecomData[[#This Row],[TenureMonths]]&lt;=36, "1-3 Years", TelecomData[[#This Row],[TenureMonths]]&gt;36, "3+ Years")</f>
        <v>3+ Years</v>
      </c>
      <c r="N145" s="2" t="str">
        <f>IF(TelecomData[[#This Row],[CleanedTotalCharges]]&gt;=2500,"High Spend", "Standard Spend")</f>
        <v>High Spend</v>
      </c>
    </row>
    <row r="146" spans="1:14" x14ac:dyDescent="0.3">
      <c r="A146" s="1" t="s">
        <v>169</v>
      </c>
      <c r="B146" s="2" t="s">
        <v>19</v>
      </c>
      <c r="C146" s="2" t="s">
        <v>35</v>
      </c>
      <c r="D146" s="2">
        <v>71</v>
      </c>
      <c r="E146" s="2" t="s">
        <v>15</v>
      </c>
      <c r="F146" s="2" t="s">
        <v>36</v>
      </c>
      <c r="G146" s="7">
        <v>23.95</v>
      </c>
      <c r="H146" s="7">
        <v>1756.2</v>
      </c>
      <c r="I146" s="2" t="s">
        <v>15</v>
      </c>
      <c r="J146" s="2" t="s">
        <v>15</v>
      </c>
      <c r="K146" s="2" t="s">
        <v>24</v>
      </c>
      <c r="L146" s="7">
        <v>1756.2</v>
      </c>
      <c r="M146" s="2" t="str">
        <f>_xlfn.IFS(TelecomData[[#This Row],[TenureMonths]]&lt;=12, "0-1 Year", TelecomData[[#This Row],[TenureMonths]]&lt;=36, "1-3 Years", TelecomData[[#This Row],[TenureMonths]]&gt;36, "3+ Years")</f>
        <v>3+ Years</v>
      </c>
      <c r="N146" s="2" t="str">
        <f>IF(TelecomData[[#This Row],[CleanedTotalCharges]]&gt;=2500,"High Spend", "Standard Spend")</f>
        <v>Standard Spend</v>
      </c>
    </row>
    <row r="147" spans="1:14" x14ac:dyDescent="0.3">
      <c r="A147" s="1" t="s">
        <v>170</v>
      </c>
      <c r="B147" s="2" t="s">
        <v>12</v>
      </c>
      <c r="C147" s="2" t="s">
        <v>35</v>
      </c>
      <c r="D147" s="2">
        <v>65</v>
      </c>
      <c r="E147" s="2" t="s">
        <v>26</v>
      </c>
      <c r="F147" s="2" t="s">
        <v>16</v>
      </c>
      <c r="G147" s="7">
        <v>99.05</v>
      </c>
      <c r="H147" s="7">
        <v>6416.7</v>
      </c>
      <c r="I147" s="2" t="s">
        <v>15</v>
      </c>
      <c r="J147" s="2" t="s">
        <v>16</v>
      </c>
      <c r="K147" s="2" t="s">
        <v>29</v>
      </c>
      <c r="L147" s="7">
        <v>6416.7</v>
      </c>
      <c r="M147" s="2" t="str">
        <f>_xlfn.IFS(TelecomData[[#This Row],[TenureMonths]]&lt;=12, "0-1 Year", TelecomData[[#This Row],[TenureMonths]]&lt;=36, "1-3 Years", TelecomData[[#This Row],[TenureMonths]]&gt;36, "3+ Years")</f>
        <v>3+ Years</v>
      </c>
      <c r="N147" s="2" t="str">
        <f>IF(TelecomData[[#This Row],[CleanedTotalCharges]]&gt;=2500,"High Spend", "Standard Spend")</f>
        <v>High Spend</v>
      </c>
    </row>
    <row r="148" spans="1:14" x14ac:dyDescent="0.3">
      <c r="A148" s="1" t="s">
        <v>171</v>
      </c>
      <c r="B148" s="2" t="s">
        <v>19</v>
      </c>
      <c r="C148" s="2" t="s">
        <v>20</v>
      </c>
      <c r="D148" s="2">
        <v>3</v>
      </c>
      <c r="E148" s="2" t="s">
        <v>15</v>
      </c>
      <c r="F148" s="2" t="s">
        <v>36</v>
      </c>
      <c r="G148" s="7">
        <v>19.600000000000001</v>
      </c>
      <c r="H148" s="7">
        <v>61.35</v>
      </c>
      <c r="I148" s="2" t="s">
        <v>15</v>
      </c>
      <c r="J148" s="2" t="s">
        <v>15</v>
      </c>
      <c r="K148" s="2" t="s">
        <v>21</v>
      </c>
      <c r="L148" s="7">
        <v>61.35</v>
      </c>
      <c r="M148" s="2" t="str">
        <f>_xlfn.IFS(TelecomData[[#This Row],[TenureMonths]]&lt;=12, "0-1 Year", TelecomData[[#This Row],[TenureMonths]]&lt;=36, "1-3 Years", TelecomData[[#This Row],[TenureMonths]]&gt;36, "3+ Years")</f>
        <v>0-1 Year</v>
      </c>
      <c r="N148" s="2" t="str">
        <f>IF(TelecomData[[#This Row],[CleanedTotalCharges]]&gt;=2500,"High Spend", "Standard Spend")</f>
        <v>Standard Spend</v>
      </c>
    </row>
    <row r="149" spans="1:14" x14ac:dyDescent="0.3">
      <c r="A149" s="1" t="s">
        <v>172</v>
      </c>
      <c r="B149" s="2" t="s">
        <v>19</v>
      </c>
      <c r="C149" s="2" t="s">
        <v>13</v>
      </c>
      <c r="D149" s="2">
        <v>1</v>
      </c>
      <c r="E149" s="2" t="s">
        <v>14</v>
      </c>
      <c r="F149" s="2" t="s">
        <v>15</v>
      </c>
      <c r="G149" s="7">
        <v>45.65</v>
      </c>
      <c r="H149" s="7">
        <v>45.65</v>
      </c>
      <c r="I149" s="2" t="s">
        <v>16</v>
      </c>
      <c r="J149" s="2" t="s">
        <v>16</v>
      </c>
      <c r="K149" s="2" t="s">
        <v>17</v>
      </c>
      <c r="L149" s="7">
        <v>45.65</v>
      </c>
      <c r="M149" s="2" t="str">
        <f>_xlfn.IFS(TelecomData[[#This Row],[TenureMonths]]&lt;=12, "0-1 Year", TelecomData[[#This Row],[TenureMonths]]&lt;=36, "1-3 Years", TelecomData[[#This Row],[TenureMonths]]&gt;36, "3+ Years")</f>
        <v>0-1 Year</v>
      </c>
      <c r="N149" s="2" t="str">
        <f>IF(TelecomData[[#This Row],[CleanedTotalCharges]]&gt;=2500,"High Spend", "Standard Spend")</f>
        <v>Standard Spend</v>
      </c>
    </row>
    <row r="150" spans="1:14" x14ac:dyDescent="0.3">
      <c r="A150" s="1" t="s">
        <v>173</v>
      </c>
      <c r="B150" s="2" t="s">
        <v>19</v>
      </c>
      <c r="C150" s="2" t="s">
        <v>20</v>
      </c>
      <c r="D150" s="2">
        <v>30</v>
      </c>
      <c r="E150" s="2" t="s">
        <v>14</v>
      </c>
      <c r="F150" s="2" t="s">
        <v>15</v>
      </c>
      <c r="G150" s="7">
        <v>64.5</v>
      </c>
      <c r="H150" s="7">
        <v>1929.95</v>
      </c>
      <c r="I150" s="2" t="s">
        <v>15</v>
      </c>
      <c r="J150" s="2" t="s">
        <v>15</v>
      </c>
      <c r="K150" s="2" t="s">
        <v>29</v>
      </c>
      <c r="L150" s="7">
        <v>1929.95</v>
      </c>
      <c r="M150" s="2" t="str">
        <f>_xlfn.IFS(TelecomData[[#This Row],[TenureMonths]]&lt;=12, "0-1 Year", TelecomData[[#This Row],[TenureMonths]]&lt;=36, "1-3 Years", TelecomData[[#This Row],[TenureMonths]]&gt;36, "3+ Years")</f>
        <v>1-3 Years</v>
      </c>
      <c r="N150" s="2" t="str">
        <f>IF(TelecomData[[#This Row],[CleanedTotalCharges]]&gt;=2500,"High Spend", "Standard Spend")</f>
        <v>Standard Spend</v>
      </c>
    </row>
    <row r="151" spans="1:14" x14ac:dyDescent="0.3">
      <c r="A151" s="1" t="s">
        <v>174</v>
      </c>
      <c r="B151" s="2" t="s">
        <v>19</v>
      </c>
      <c r="C151" s="2" t="s">
        <v>13</v>
      </c>
      <c r="D151" s="2">
        <v>15</v>
      </c>
      <c r="E151" s="2" t="s">
        <v>14</v>
      </c>
      <c r="F151" s="2" t="s">
        <v>16</v>
      </c>
      <c r="G151" s="7">
        <v>69.5</v>
      </c>
      <c r="H151" s="7">
        <v>1071.4000000000001</v>
      </c>
      <c r="I151" s="2" t="s">
        <v>15</v>
      </c>
      <c r="J151" s="2" t="s">
        <v>16</v>
      </c>
      <c r="K151" s="2" t="s">
        <v>21</v>
      </c>
      <c r="L151" s="7">
        <v>1071.4000000000001</v>
      </c>
      <c r="M151" s="2" t="str">
        <f>_xlfn.IFS(TelecomData[[#This Row],[TenureMonths]]&lt;=12, "0-1 Year", TelecomData[[#This Row],[TenureMonths]]&lt;=36, "1-3 Years", TelecomData[[#This Row],[TenureMonths]]&gt;36, "3+ Years")</f>
        <v>1-3 Years</v>
      </c>
      <c r="N151" s="2" t="str">
        <f>IF(TelecomData[[#This Row],[CleanedTotalCharges]]&gt;=2500,"High Spend", "Standard Spend")</f>
        <v>Standard Spend</v>
      </c>
    </row>
    <row r="152" spans="1:14" x14ac:dyDescent="0.3">
      <c r="A152" s="1" t="s">
        <v>175</v>
      </c>
      <c r="B152" s="2" t="s">
        <v>12</v>
      </c>
      <c r="C152" s="2" t="s">
        <v>13</v>
      </c>
      <c r="D152" s="2">
        <v>8</v>
      </c>
      <c r="E152" s="2" t="s">
        <v>14</v>
      </c>
      <c r="F152" s="2" t="s">
        <v>16</v>
      </c>
      <c r="G152" s="7">
        <v>68.55</v>
      </c>
      <c r="H152" s="7">
        <v>564.35</v>
      </c>
      <c r="I152" s="2" t="s">
        <v>15</v>
      </c>
      <c r="J152" s="2" t="s">
        <v>16</v>
      </c>
      <c r="K152" s="2" t="s">
        <v>17</v>
      </c>
      <c r="L152" s="7">
        <v>564.35</v>
      </c>
      <c r="M152" s="2" t="str">
        <f>_xlfn.IFS(TelecomData[[#This Row],[TenureMonths]]&lt;=12, "0-1 Year", TelecomData[[#This Row],[TenureMonths]]&lt;=36, "1-3 Years", TelecomData[[#This Row],[TenureMonths]]&gt;36, "3+ Years")</f>
        <v>0-1 Year</v>
      </c>
      <c r="N152" s="2" t="str">
        <f>IF(TelecomData[[#This Row],[CleanedTotalCharges]]&gt;=2500,"High Spend", "Standard Spend")</f>
        <v>Standard Spend</v>
      </c>
    </row>
    <row r="153" spans="1:14" x14ac:dyDescent="0.3">
      <c r="A153" s="1" t="s">
        <v>176</v>
      </c>
      <c r="B153" s="2" t="s">
        <v>19</v>
      </c>
      <c r="C153" s="2" t="s">
        <v>13</v>
      </c>
      <c r="D153" s="2">
        <v>7</v>
      </c>
      <c r="E153" s="2" t="s">
        <v>26</v>
      </c>
      <c r="F153" s="2" t="s">
        <v>15</v>
      </c>
      <c r="G153" s="7">
        <v>95</v>
      </c>
      <c r="H153" s="7">
        <v>655.5</v>
      </c>
      <c r="I153" s="2" t="s">
        <v>16</v>
      </c>
      <c r="J153" s="2" t="s">
        <v>15</v>
      </c>
      <c r="K153" s="2" t="s">
        <v>21</v>
      </c>
      <c r="L153" s="7">
        <v>655.5</v>
      </c>
      <c r="M153" s="2" t="str">
        <f>_xlfn.IFS(TelecomData[[#This Row],[TenureMonths]]&lt;=12, "0-1 Year", TelecomData[[#This Row],[TenureMonths]]&lt;=36, "1-3 Years", TelecomData[[#This Row],[TenureMonths]]&gt;36, "3+ Years")</f>
        <v>0-1 Year</v>
      </c>
      <c r="N153" s="2" t="str">
        <f>IF(TelecomData[[#This Row],[CleanedTotalCharges]]&gt;=2500,"High Spend", "Standard Spend")</f>
        <v>Standard Spend</v>
      </c>
    </row>
    <row r="154" spans="1:14" x14ac:dyDescent="0.3">
      <c r="A154" s="1" t="s">
        <v>177</v>
      </c>
      <c r="B154" s="2" t="s">
        <v>12</v>
      </c>
      <c r="C154" s="2" t="s">
        <v>20</v>
      </c>
      <c r="D154" s="2">
        <v>70</v>
      </c>
      <c r="E154" s="2" t="s">
        <v>26</v>
      </c>
      <c r="F154" s="2" t="s">
        <v>15</v>
      </c>
      <c r="G154" s="7">
        <v>108.15</v>
      </c>
      <c r="H154" s="7">
        <v>7930.55</v>
      </c>
      <c r="I154" s="2" t="s">
        <v>15</v>
      </c>
      <c r="J154" s="2" t="s">
        <v>16</v>
      </c>
      <c r="K154" s="2" t="s">
        <v>29</v>
      </c>
      <c r="L154" s="7">
        <v>7930.55</v>
      </c>
      <c r="M154" s="2" t="str">
        <f>_xlfn.IFS(TelecomData[[#This Row],[TenureMonths]]&lt;=12, "0-1 Year", TelecomData[[#This Row],[TenureMonths]]&lt;=36, "1-3 Years", TelecomData[[#This Row],[TenureMonths]]&gt;36, "3+ Years")</f>
        <v>3+ Years</v>
      </c>
      <c r="N154" s="2" t="str">
        <f>IF(TelecomData[[#This Row],[CleanedTotalCharges]]&gt;=2500,"High Spend", "Standard Spend")</f>
        <v>High Spend</v>
      </c>
    </row>
    <row r="155" spans="1:14" x14ac:dyDescent="0.3">
      <c r="A155" s="1" t="s">
        <v>178</v>
      </c>
      <c r="B155" s="2" t="s">
        <v>19</v>
      </c>
      <c r="C155" s="2" t="s">
        <v>35</v>
      </c>
      <c r="D155" s="2">
        <v>62</v>
      </c>
      <c r="E155" s="2" t="s">
        <v>14</v>
      </c>
      <c r="F155" s="2" t="s">
        <v>16</v>
      </c>
      <c r="G155" s="7">
        <v>86.1</v>
      </c>
      <c r="H155" s="7">
        <v>5215.25</v>
      </c>
      <c r="I155" s="2" t="s">
        <v>15</v>
      </c>
      <c r="J155" s="2" t="s">
        <v>15</v>
      </c>
      <c r="K155" s="2" t="s">
        <v>17</v>
      </c>
      <c r="L155" s="7">
        <v>5215.25</v>
      </c>
      <c r="M155" s="2" t="str">
        <f>_xlfn.IFS(TelecomData[[#This Row],[TenureMonths]]&lt;=12, "0-1 Year", TelecomData[[#This Row],[TenureMonths]]&lt;=36, "1-3 Years", TelecomData[[#This Row],[TenureMonths]]&gt;36, "3+ Years")</f>
        <v>3+ Years</v>
      </c>
      <c r="N155" s="2" t="str">
        <f>IF(TelecomData[[#This Row],[CleanedTotalCharges]]&gt;=2500,"High Spend", "Standard Spend")</f>
        <v>High Spend</v>
      </c>
    </row>
    <row r="156" spans="1:14" x14ac:dyDescent="0.3">
      <c r="A156" s="1" t="s">
        <v>179</v>
      </c>
      <c r="B156" s="2" t="s">
        <v>12</v>
      </c>
      <c r="C156" s="2" t="s">
        <v>13</v>
      </c>
      <c r="D156" s="2">
        <v>6</v>
      </c>
      <c r="E156" s="2" t="s">
        <v>15</v>
      </c>
      <c r="F156" s="2" t="s">
        <v>36</v>
      </c>
      <c r="G156" s="7">
        <v>19.7</v>
      </c>
      <c r="H156" s="7">
        <v>113.5</v>
      </c>
      <c r="I156" s="2" t="s">
        <v>15</v>
      </c>
      <c r="J156" s="2" t="s">
        <v>15</v>
      </c>
      <c r="K156" s="2" t="s">
        <v>21</v>
      </c>
      <c r="L156" s="7">
        <v>113.5</v>
      </c>
      <c r="M156" s="2" t="str">
        <f>_xlfn.IFS(TelecomData[[#This Row],[TenureMonths]]&lt;=12, "0-1 Year", TelecomData[[#This Row],[TenureMonths]]&lt;=36, "1-3 Years", TelecomData[[#This Row],[TenureMonths]]&gt;36, "3+ Years")</f>
        <v>0-1 Year</v>
      </c>
      <c r="N156" s="2" t="str">
        <f>IF(TelecomData[[#This Row],[CleanedTotalCharges]]&gt;=2500,"High Spend", "Standard Spend")</f>
        <v>Standard Spend</v>
      </c>
    </row>
    <row r="157" spans="1:14" x14ac:dyDescent="0.3">
      <c r="A157" s="1" t="s">
        <v>180</v>
      </c>
      <c r="B157" s="2" t="s">
        <v>12</v>
      </c>
      <c r="C157" s="2" t="s">
        <v>13</v>
      </c>
      <c r="D157" s="2">
        <v>14</v>
      </c>
      <c r="E157" s="2" t="s">
        <v>26</v>
      </c>
      <c r="F157" s="2" t="s">
        <v>15</v>
      </c>
      <c r="G157" s="7">
        <v>80.900000000000006</v>
      </c>
      <c r="H157" s="7">
        <v>1152.8</v>
      </c>
      <c r="I157" s="2" t="s">
        <v>15</v>
      </c>
      <c r="J157" s="2" t="s">
        <v>16</v>
      </c>
      <c r="K157" s="2" t="s">
        <v>24</v>
      </c>
      <c r="L157" s="7">
        <v>1152.8</v>
      </c>
      <c r="M157" s="2" t="str">
        <f>_xlfn.IFS(TelecomData[[#This Row],[TenureMonths]]&lt;=12, "0-1 Year", TelecomData[[#This Row],[TenureMonths]]&lt;=36, "1-3 Years", TelecomData[[#This Row],[TenureMonths]]&gt;36, "3+ Years")</f>
        <v>1-3 Years</v>
      </c>
      <c r="N157" s="2" t="str">
        <f>IF(TelecomData[[#This Row],[CleanedTotalCharges]]&gt;=2500,"High Spend", "Standard Spend")</f>
        <v>Standard Spend</v>
      </c>
    </row>
    <row r="158" spans="1:14" x14ac:dyDescent="0.3">
      <c r="A158" s="1" t="s">
        <v>181</v>
      </c>
      <c r="B158" s="2" t="s">
        <v>12</v>
      </c>
      <c r="C158" s="2" t="s">
        <v>13</v>
      </c>
      <c r="D158" s="2">
        <v>22</v>
      </c>
      <c r="E158" s="2" t="s">
        <v>26</v>
      </c>
      <c r="F158" s="2" t="s">
        <v>15</v>
      </c>
      <c r="G158" s="7">
        <v>84.15</v>
      </c>
      <c r="H158" s="7">
        <v>1821.95</v>
      </c>
      <c r="I158" s="2" t="s">
        <v>15</v>
      </c>
      <c r="J158" s="2" t="s">
        <v>16</v>
      </c>
      <c r="K158" s="2" t="s">
        <v>24</v>
      </c>
      <c r="L158" s="7">
        <v>1821.95</v>
      </c>
      <c r="M158" s="2" t="str">
        <f>_xlfn.IFS(TelecomData[[#This Row],[TenureMonths]]&lt;=12, "0-1 Year", TelecomData[[#This Row],[TenureMonths]]&lt;=36, "1-3 Years", TelecomData[[#This Row],[TenureMonths]]&gt;36, "3+ Years")</f>
        <v>1-3 Years</v>
      </c>
      <c r="N158" s="2" t="str">
        <f>IF(TelecomData[[#This Row],[CleanedTotalCharges]]&gt;=2500,"High Spend", "Standard Spend")</f>
        <v>Standard Spend</v>
      </c>
    </row>
    <row r="159" spans="1:14" x14ac:dyDescent="0.3">
      <c r="A159" s="1" t="s">
        <v>182</v>
      </c>
      <c r="B159" s="2" t="s">
        <v>19</v>
      </c>
      <c r="C159" s="2" t="s">
        <v>20</v>
      </c>
      <c r="D159" s="2">
        <v>22</v>
      </c>
      <c r="E159" s="2" t="s">
        <v>15</v>
      </c>
      <c r="F159" s="2" t="s">
        <v>36</v>
      </c>
      <c r="G159" s="7">
        <v>20.149999999999999</v>
      </c>
      <c r="H159" s="7">
        <v>419.9</v>
      </c>
      <c r="I159" s="2" t="s">
        <v>15</v>
      </c>
      <c r="J159" s="2" t="s">
        <v>15</v>
      </c>
      <c r="K159" s="2" t="s">
        <v>21</v>
      </c>
      <c r="L159" s="7">
        <v>419.9</v>
      </c>
      <c r="M159" s="2" t="str">
        <f>_xlfn.IFS(TelecomData[[#This Row],[TenureMonths]]&lt;=12, "0-1 Year", TelecomData[[#This Row],[TenureMonths]]&lt;=36, "1-3 Years", TelecomData[[#This Row],[TenureMonths]]&gt;36, "3+ Years")</f>
        <v>1-3 Years</v>
      </c>
      <c r="N159" s="2" t="str">
        <f>IF(TelecomData[[#This Row],[CleanedTotalCharges]]&gt;=2500,"High Spend", "Standard Spend")</f>
        <v>Standard Spend</v>
      </c>
    </row>
    <row r="160" spans="1:14" x14ac:dyDescent="0.3">
      <c r="A160" s="1" t="s">
        <v>183</v>
      </c>
      <c r="B160" s="2" t="s">
        <v>19</v>
      </c>
      <c r="C160" s="2" t="s">
        <v>35</v>
      </c>
      <c r="D160" s="2">
        <v>16</v>
      </c>
      <c r="E160" s="2" t="s">
        <v>14</v>
      </c>
      <c r="F160" s="2" t="s">
        <v>15</v>
      </c>
      <c r="G160" s="7">
        <v>64.25</v>
      </c>
      <c r="H160" s="7">
        <v>1024</v>
      </c>
      <c r="I160" s="2" t="s">
        <v>15</v>
      </c>
      <c r="J160" s="2" t="s">
        <v>15</v>
      </c>
      <c r="K160" s="2" t="s">
        <v>21</v>
      </c>
      <c r="L160" s="7">
        <v>1024</v>
      </c>
      <c r="M160" s="2" t="str">
        <f>_xlfn.IFS(TelecomData[[#This Row],[TenureMonths]]&lt;=12, "0-1 Year", TelecomData[[#This Row],[TenureMonths]]&lt;=36, "1-3 Years", TelecomData[[#This Row],[TenureMonths]]&gt;36, "3+ Years")</f>
        <v>1-3 Years</v>
      </c>
      <c r="N160" s="2" t="str">
        <f>IF(TelecomData[[#This Row],[CleanedTotalCharges]]&gt;=2500,"High Spend", "Standard Spend")</f>
        <v>Standard Spend</v>
      </c>
    </row>
    <row r="161" spans="1:14" x14ac:dyDescent="0.3">
      <c r="A161" s="1" t="s">
        <v>184</v>
      </c>
      <c r="B161" s="2" t="s">
        <v>19</v>
      </c>
      <c r="C161" s="2" t="s">
        <v>35</v>
      </c>
      <c r="D161" s="2">
        <v>10</v>
      </c>
      <c r="E161" s="2" t="s">
        <v>15</v>
      </c>
      <c r="F161" s="2" t="s">
        <v>36</v>
      </c>
      <c r="G161" s="7">
        <v>25.7</v>
      </c>
      <c r="H161" s="7">
        <v>251.6</v>
      </c>
      <c r="I161" s="2" t="s">
        <v>15</v>
      </c>
      <c r="J161" s="2" t="s">
        <v>15</v>
      </c>
      <c r="K161" s="2" t="s">
        <v>24</v>
      </c>
      <c r="L161" s="7">
        <v>251.6</v>
      </c>
      <c r="M161" s="2" t="str">
        <f>_xlfn.IFS(TelecomData[[#This Row],[TenureMonths]]&lt;=12, "0-1 Year", TelecomData[[#This Row],[TenureMonths]]&lt;=36, "1-3 Years", TelecomData[[#This Row],[TenureMonths]]&gt;36, "3+ Years")</f>
        <v>0-1 Year</v>
      </c>
      <c r="N161" s="2" t="str">
        <f>IF(TelecomData[[#This Row],[CleanedTotalCharges]]&gt;=2500,"High Spend", "Standard Spend")</f>
        <v>Standard Spend</v>
      </c>
    </row>
    <row r="162" spans="1:14" x14ac:dyDescent="0.3">
      <c r="A162" s="1" t="s">
        <v>185</v>
      </c>
      <c r="B162" s="2" t="s">
        <v>12</v>
      </c>
      <c r="C162" s="2" t="s">
        <v>13</v>
      </c>
      <c r="D162" s="2">
        <v>13</v>
      </c>
      <c r="E162" s="2" t="s">
        <v>14</v>
      </c>
      <c r="F162" s="2" t="s">
        <v>15</v>
      </c>
      <c r="G162" s="7">
        <v>56</v>
      </c>
      <c r="H162" s="7">
        <v>764.55</v>
      </c>
      <c r="I162" s="2" t="s">
        <v>15</v>
      </c>
      <c r="J162" s="2" t="s">
        <v>16</v>
      </c>
      <c r="K162" s="2" t="s">
        <v>17</v>
      </c>
      <c r="L162" s="7">
        <v>764.55</v>
      </c>
      <c r="M162" s="2" t="str">
        <f>_xlfn.IFS(TelecomData[[#This Row],[TenureMonths]]&lt;=12, "0-1 Year", TelecomData[[#This Row],[TenureMonths]]&lt;=36, "1-3 Years", TelecomData[[#This Row],[TenureMonths]]&gt;36, "3+ Years")</f>
        <v>1-3 Years</v>
      </c>
      <c r="N162" s="2" t="str">
        <f>IF(TelecomData[[#This Row],[CleanedTotalCharges]]&gt;=2500,"High Spend", "Standard Spend")</f>
        <v>Standard Spend</v>
      </c>
    </row>
    <row r="163" spans="1:14" x14ac:dyDescent="0.3">
      <c r="A163" s="1" t="s">
        <v>186</v>
      </c>
      <c r="B163" s="2" t="s">
        <v>12</v>
      </c>
      <c r="C163" s="2" t="s">
        <v>13</v>
      </c>
      <c r="D163" s="2">
        <v>20</v>
      </c>
      <c r="E163" s="2" t="s">
        <v>26</v>
      </c>
      <c r="F163" s="2" t="s">
        <v>15</v>
      </c>
      <c r="G163" s="7">
        <v>82.4</v>
      </c>
      <c r="H163" s="7">
        <v>1592.35</v>
      </c>
      <c r="I163" s="2" t="s">
        <v>16</v>
      </c>
      <c r="J163" s="2" t="s">
        <v>15</v>
      </c>
      <c r="K163" s="2" t="s">
        <v>17</v>
      </c>
      <c r="L163" s="7">
        <v>1592.35</v>
      </c>
      <c r="M163" s="2" t="str">
        <f>_xlfn.IFS(TelecomData[[#This Row],[TenureMonths]]&lt;=12, "0-1 Year", TelecomData[[#This Row],[TenureMonths]]&lt;=36, "1-3 Years", TelecomData[[#This Row],[TenureMonths]]&gt;36, "3+ Years")</f>
        <v>1-3 Years</v>
      </c>
      <c r="N163" s="2" t="str">
        <f>IF(TelecomData[[#This Row],[CleanedTotalCharges]]&gt;=2500,"High Spend", "Standard Spend")</f>
        <v>Standard Spend</v>
      </c>
    </row>
    <row r="164" spans="1:14" x14ac:dyDescent="0.3">
      <c r="A164" s="1" t="s">
        <v>187</v>
      </c>
      <c r="B164" s="2" t="s">
        <v>12</v>
      </c>
      <c r="C164" s="2" t="s">
        <v>13</v>
      </c>
      <c r="D164" s="2">
        <v>2</v>
      </c>
      <c r="E164" s="2" t="s">
        <v>26</v>
      </c>
      <c r="F164" s="2" t="s">
        <v>15</v>
      </c>
      <c r="G164" s="7">
        <v>69.7</v>
      </c>
      <c r="H164" s="7">
        <v>135.19999999999999</v>
      </c>
      <c r="I164" s="2" t="s">
        <v>15</v>
      </c>
      <c r="J164" s="2" t="s">
        <v>16</v>
      </c>
      <c r="K164" s="2" t="s">
        <v>17</v>
      </c>
      <c r="L164" s="7">
        <v>135.19999999999999</v>
      </c>
      <c r="M164" s="2" t="str">
        <f>_xlfn.IFS(TelecomData[[#This Row],[TenureMonths]]&lt;=12, "0-1 Year", TelecomData[[#This Row],[TenureMonths]]&lt;=36, "1-3 Years", TelecomData[[#This Row],[TenureMonths]]&gt;36, "3+ Years")</f>
        <v>0-1 Year</v>
      </c>
      <c r="N164" s="2" t="str">
        <f>IF(TelecomData[[#This Row],[CleanedTotalCharges]]&gt;=2500,"High Spend", "Standard Spend")</f>
        <v>Standard Spend</v>
      </c>
    </row>
    <row r="165" spans="1:14" x14ac:dyDescent="0.3">
      <c r="A165" s="1" t="s">
        <v>188</v>
      </c>
      <c r="B165" s="2" t="s">
        <v>19</v>
      </c>
      <c r="C165" s="2" t="s">
        <v>35</v>
      </c>
      <c r="D165" s="2">
        <v>53</v>
      </c>
      <c r="E165" s="2" t="s">
        <v>14</v>
      </c>
      <c r="F165" s="2" t="s">
        <v>16</v>
      </c>
      <c r="G165" s="7">
        <v>73.900000000000006</v>
      </c>
      <c r="H165" s="7">
        <v>3958.25</v>
      </c>
      <c r="I165" s="2" t="s">
        <v>15</v>
      </c>
      <c r="J165" s="2" t="s">
        <v>16</v>
      </c>
      <c r="K165" s="2" t="s">
        <v>24</v>
      </c>
      <c r="L165" s="7">
        <v>3958.25</v>
      </c>
      <c r="M165" s="2" t="str">
        <f>_xlfn.IFS(TelecomData[[#This Row],[TenureMonths]]&lt;=12, "0-1 Year", TelecomData[[#This Row],[TenureMonths]]&lt;=36, "1-3 Years", TelecomData[[#This Row],[TenureMonths]]&gt;36, "3+ Years")</f>
        <v>3+ Years</v>
      </c>
      <c r="N165" s="2" t="str">
        <f>IF(TelecomData[[#This Row],[CleanedTotalCharges]]&gt;=2500,"High Spend", "Standard Spend")</f>
        <v>High Spend</v>
      </c>
    </row>
    <row r="166" spans="1:14" x14ac:dyDescent="0.3">
      <c r="A166" s="1" t="s">
        <v>189</v>
      </c>
      <c r="B166" s="2" t="s">
        <v>12</v>
      </c>
      <c r="C166" s="2" t="s">
        <v>20</v>
      </c>
      <c r="D166" s="2">
        <v>11</v>
      </c>
      <c r="E166" s="2" t="s">
        <v>15</v>
      </c>
      <c r="F166" s="2" t="s">
        <v>36</v>
      </c>
      <c r="G166" s="7">
        <v>20.6</v>
      </c>
      <c r="H166" s="7">
        <v>233.9</v>
      </c>
      <c r="I166" s="2" t="s">
        <v>15</v>
      </c>
      <c r="J166" s="2" t="s">
        <v>15</v>
      </c>
      <c r="K166" s="2" t="s">
        <v>21</v>
      </c>
      <c r="L166" s="7">
        <v>233.9</v>
      </c>
      <c r="M166" s="2" t="str">
        <f>_xlfn.IFS(TelecomData[[#This Row],[TenureMonths]]&lt;=12, "0-1 Year", TelecomData[[#This Row],[TenureMonths]]&lt;=36, "1-3 Years", TelecomData[[#This Row],[TenureMonths]]&gt;36, "3+ Years")</f>
        <v>0-1 Year</v>
      </c>
      <c r="N166" s="2" t="str">
        <f>IF(TelecomData[[#This Row],[CleanedTotalCharges]]&gt;=2500,"High Spend", "Standard Spend")</f>
        <v>Standard Spend</v>
      </c>
    </row>
    <row r="167" spans="1:14" x14ac:dyDescent="0.3">
      <c r="A167" s="1" t="s">
        <v>190</v>
      </c>
      <c r="B167" s="2" t="s">
        <v>19</v>
      </c>
      <c r="C167" s="2" t="s">
        <v>35</v>
      </c>
      <c r="D167" s="2">
        <v>69</v>
      </c>
      <c r="E167" s="2" t="s">
        <v>15</v>
      </c>
      <c r="F167" s="2" t="s">
        <v>36</v>
      </c>
      <c r="G167" s="7">
        <v>19.899999999999999</v>
      </c>
      <c r="H167" s="7">
        <v>1363.45</v>
      </c>
      <c r="I167" s="2" t="s">
        <v>15</v>
      </c>
      <c r="J167" s="2" t="s">
        <v>15</v>
      </c>
      <c r="K167" s="2" t="s">
        <v>21</v>
      </c>
      <c r="L167" s="7">
        <v>1363.45</v>
      </c>
      <c r="M167" s="2" t="str">
        <f>_xlfn.IFS(TelecomData[[#This Row],[TenureMonths]]&lt;=12, "0-1 Year", TelecomData[[#This Row],[TenureMonths]]&lt;=36, "1-3 Years", TelecomData[[#This Row],[TenureMonths]]&gt;36, "3+ Years")</f>
        <v>3+ Years</v>
      </c>
      <c r="N167" s="2" t="str">
        <f>IF(TelecomData[[#This Row],[CleanedTotalCharges]]&gt;=2500,"High Spend", "Standard Spend")</f>
        <v>Standard Spend</v>
      </c>
    </row>
    <row r="168" spans="1:14" x14ac:dyDescent="0.3">
      <c r="A168" s="1" t="s">
        <v>191</v>
      </c>
      <c r="B168" s="2" t="s">
        <v>12</v>
      </c>
      <c r="C168" s="2" t="s">
        <v>13</v>
      </c>
      <c r="D168" s="2">
        <v>4</v>
      </c>
      <c r="E168" s="2" t="s">
        <v>26</v>
      </c>
      <c r="F168" s="2" t="s">
        <v>15</v>
      </c>
      <c r="G168" s="7">
        <v>70.900000000000006</v>
      </c>
      <c r="H168" s="7">
        <v>273</v>
      </c>
      <c r="I168" s="2" t="s">
        <v>16</v>
      </c>
      <c r="J168" s="2" t="s">
        <v>16</v>
      </c>
      <c r="K168" s="2" t="s">
        <v>24</v>
      </c>
      <c r="L168" s="7">
        <v>273</v>
      </c>
      <c r="M168" s="2" t="str">
        <f>_xlfn.IFS(TelecomData[[#This Row],[TenureMonths]]&lt;=12, "0-1 Year", TelecomData[[#This Row],[TenureMonths]]&lt;=36, "1-3 Years", TelecomData[[#This Row],[TenureMonths]]&gt;36, "3+ Years")</f>
        <v>0-1 Year</v>
      </c>
      <c r="N168" s="2" t="str">
        <f>IF(TelecomData[[#This Row],[CleanedTotalCharges]]&gt;=2500,"High Spend", "Standard Spend")</f>
        <v>Standard Spend</v>
      </c>
    </row>
    <row r="169" spans="1:14" x14ac:dyDescent="0.3">
      <c r="A169" s="1" t="s">
        <v>192</v>
      </c>
      <c r="B169" s="2" t="s">
        <v>19</v>
      </c>
      <c r="C169" s="2" t="s">
        <v>35</v>
      </c>
      <c r="D169" s="2">
        <v>72</v>
      </c>
      <c r="E169" s="2" t="s">
        <v>14</v>
      </c>
      <c r="F169" s="2" t="s">
        <v>16</v>
      </c>
      <c r="G169" s="7">
        <v>89.05</v>
      </c>
      <c r="H169" s="7">
        <v>6254.45</v>
      </c>
      <c r="I169" s="2" t="s">
        <v>15</v>
      </c>
      <c r="J169" s="2" t="s">
        <v>16</v>
      </c>
      <c r="K169" s="2" t="s">
        <v>24</v>
      </c>
      <c r="L169" s="7">
        <v>6254.45</v>
      </c>
      <c r="M169" s="2" t="str">
        <f>_xlfn.IFS(TelecomData[[#This Row],[TenureMonths]]&lt;=12, "0-1 Year", TelecomData[[#This Row],[TenureMonths]]&lt;=36, "1-3 Years", TelecomData[[#This Row],[TenureMonths]]&gt;36, "3+ Years")</f>
        <v>3+ Years</v>
      </c>
      <c r="N169" s="2" t="str">
        <f>IF(TelecomData[[#This Row],[CleanedTotalCharges]]&gt;=2500,"High Spend", "Standard Spend")</f>
        <v>High Spend</v>
      </c>
    </row>
    <row r="170" spans="1:14" x14ac:dyDescent="0.3">
      <c r="A170" s="1" t="s">
        <v>193</v>
      </c>
      <c r="B170" s="2" t="s">
        <v>19</v>
      </c>
      <c r="C170" s="2" t="s">
        <v>13</v>
      </c>
      <c r="D170" s="2">
        <v>58</v>
      </c>
      <c r="E170" s="2" t="s">
        <v>14</v>
      </c>
      <c r="F170" s="2" t="s">
        <v>15</v>
      </c>
      <c r="G170" s="7">
        <v>45.3</v>
      </c>
      <c r="H170" s="7">
        <v>2651.2</v>
      </c>
      <c r="I170" s="2" t="s">
        <v>16</v>
      </c>
      <c r="J170" s="2" t="s">
        <v>16</v>
      </c>
      <c r="K170" s="2" t="s">
        <v>17</v>
      </c>
      <c r="L170" s="7">
        <v>2651.2</v>
      </c>
      <c r="M170" s="2" t="str">
        <f>_xlfn.IFS(TelecomData[[#This Row],[TenureMonths]]&lt;=12, "0-1 Year", TelecomData[[#This Row],[TenureMonths]]&lt;=36, "1-3 Years", TelecomData[[#This Row],[TenureMonths]]&gt;36, "3+ Years")</f>
        <v>3+ Years</v>
      </c>
      <c r="N170" s="2" t="str">
        <f>IF(TelecomData[[#This Row],[CleanedTotalCharges]]&gt;=2500,"High Spend", "Standard Spend")</f>
        <v>High Spend</v>
      </c>
    </row>
    <row r="171" spans="1:14" x14ac:dyDescent="0.3">
      <c r="A171" s="1" t="s">
        <v>194</v>
      </c>
      <c r="B171" s="2" t="s">
        <v>12</v>
      </c>
      <c r="C171" s="2" t="s">
        <v>13</v>
      </c>
      <c r="D171" s="2">
        <v>16</v>
      </c>
      <c r="E171" s="2" t="s">
        <v>15</v>
      </c>
      <c r="F171" s="2" t="s">
        <v>36</v>
      </c>
      <c r="G171" s="7">
        <v>20.399999999999999</v>
      </c>
      <c r="H171" s="7">
        <v>321.39999999999998</v>
      </c>
      <c r="I171" s="2" t="s">
        <v>15</v>
      </c>
      <c r="J171" s="2" t="s">
        <v>15</v>
      </c>
      <c r="K171" s="2" t="s">
        <v>17</v>
      </c>
      <c r="L171" s="7">
        <v>321.39999999999998</v>
      </c>
      <c r="M171" s="2" t="str">
        <f>_xlfn.IFS(TelecomData[[#This Row],[TenureMonths]]&lt;=12, "0-1 Year", TelecomData[[#This Row],[TenureMonths]]&lt;=36, "1-3 Years", TelecomData[[#This Row],[TenureMonths]]&gt;36, "3+ Years")</f>
        <v>1-3 Years</v>
      </c>
      <c r="N171" s="2" t="str">
        <f>IF(TelecomData[[#This Row],[CleanedTotalCharges]]&gt;=2500,"High Spend", "Standard Spend")</f>
        <v>Standard Spend</v>
      </c>
    </row>
    <row r="172" spans="1:14" x14ac:dyDescent="0.3">
      <c r="A172" s="1" t="s">
        <v>195</v>
      </c>
      <c r="B172" s="2" t="s">
        <v>19</v>
      </c>
      <c r="C172" s="2" t="s">
        <v>20</v>
      </c>
      <c r="D172" s="2">
        <v>43</v>
      </c>
      <c r="E172" s="2" t="s">
        <v>26</v>
      </c>
      <c r="F172" s="2" t="s">
        <v>16</v>
      </c>
      <c r="G172" s="7">
        <v>84.25</v>
      </c>
      <c r="H172" s="7">
        <v>3539.25</v>
      </c>
      <c r="I172" s="2" t="s">
        <v>15</v>
      </c>
      <c r="J172" s="2" t="s">
        <v>16</v>
      </c>
      <c r="K172" s="2" t="s">
        <v>24</v>
      </c>
      <c r="L172" s="7">
        <v>3539.25</v>
      </c>
      <c r="M172" s="2" t="str">
        <f>_xlfn.IFS(TelecomData[[#This Row],[TenureMonths]]&lt;=12, "0-1 Year", TelecomData[[#This Row],[TenureMonths]]&lt;=36, "1-3 Years", TelecomData[[#This Row],[TenureMonths]]&gt;36, "3+ Years")</f>
        <v>3+ Years</v>
      </c>
      <c r="N172" s="2" t="str">
        <f>IF(TelecomData[[#This Row],[CleanedTotalCharges]]&gt;=2500,"High Spend", "Standard Spend")</f>
        <v>High Spend</v>
      </c>
    </row>
    <row r="173" spans="1:14" x14ac:dyDescent="0.3">
      <c r="A173" s="1" t="s">
        <v>196</v>
      </c>
      <c r="B173" s="2" t="s">
        <v>12</v>
      </c>
      <c r="C173" s="2" t="s">
        <v>13</v>
      </c>
      <c r="D173" s="2">
        <v>2</v>
      </c>
      <c r="E173" s="2" t="s">
        <v>26</v>
      </c>
      <c r="F173" s="2" t="s">
        <v>16</v>
      </c>
      <c r="G173" s="7">
        <v>104.4</v>
      </c>
      <c r="H173" s="7">
        <v>242.8</v>
      </c>
      <c r="I173" s="2" t="s">
        <v>16</v>
      </c>
      <c r="J173" s="2" t="s">
        <v>16</v>
      </c>
      <c r="K173" s="2" t="s">
        <v>17</v>
      </c>
      <c r="L173" s="7">
        <v>242.8</v>
      </c>
      <c r="M173" s="2" t="str">
        <f>_xlfn.IFS(TelecomData[[#This Row],[TenureMonths]]&lt;=12, "0-1 Year", TelecomData[[#This Row],[TenureMonths]]&lt;=36, "1-3 Years", TelecomData[[#This Row],[TenureMonths]]&gt;36, "3+ Years")</f>
        <v>0-1 Year</v>
      </c>
      <c r="N173" s="2" t="str">
        <f>IF(TelecomData[[#This Row],[CleanedTotalCharges]]&gt;=2500,"High Spend", "Standard Spend")</f>
        <v>Standard Spend</v>
      </c>
    </row>
    <row r="174" spans="1:14" x14ac:dyDescent="0.3">
      <c r="A174" s="1" t="s">
        <v>197</v>
      </c>
      <c r="B174" s="2" t="s">
        <v>19</v>
      </c>
      <c r="C174" s="2" t="s">
        <v>35</v>
      </c>
      <c r="D174" s="2">
        <v>14</v>
      </c>
      <c r="E174" s="2" t="s">
        <v>14</v>
      </c>
      <c r="F174" s="2" t="s">
        <v>16</v>
      </c>
      <c r="G174" s="7">
        <v>81.95</v>
      </c>
      <c r="H174" s="7">
        <v>1181.75</v>
      </c>
      <c r="I174" s="2" t="s">
        <v>15</v>
      </c>
      <c r="J174" s="2" t="s">
        <v>15</v>
      </c>
      <c r="K174" s="2" t="s">
        <v>21</v>
      </c>
      <c r="L174" s="7">
        <v>1181.75</v>
      </c>
      <c r="M174" s="2" t="str">
        <f>_xlfn.IFS(TelecomData[[#This Row],[TenureMonths]]&lt;=12, "0-1 Year", TelecomData[[#This Row],[TenureMonths]]&lt;=36, "1-3 Years", TelecomData[[#This Row],[TenureMonths]]&gt;36, "3+ Years")</f>
        <v>1-3 Years</v>
      </c>
      <c r="N174" s="2" t="str">
        <f>IF(TelecomData[[#This Row],[CleanedTotalCharges]]&gt;=2500,"High Spend", "Standard Spend")</f>
        <v>Standard Spend</v>
      </c>
    </row>
    <row r="175" spans="1:14" x14ac:dyDescent="0.3">
      <c r="A175" s="1" t="s">
        <v>198</v>
      </c>
      <c r="B175" s="2" t="s">
        <v>12</v>
      </c>
      <c r="C175" s="2" t="s">
        <v>20</v>
      </c>
      <c r="D175" s="2">
        <v>53</v>
      </c>
      <c r="E175" s="2" t="s">
        <v>26</v>
      </c>
      <c r="F175" s="2" t="s">
        <v>15</v>
      </c>
      <c r="G175" s="7">
        <v>94.85</v>
      </c>
      <c r="H175" s="7">
        <v>5000.2</v>
      </c>
      <c r="I175" s="2" t="s">
        <v>16</v>
      </c>
      <c r="J175" s="2" t="s">
        <v>16</v>
      </c>
      <c r="K175" s="2" t="s">
        <v>24</v>
      </c>
      <c r="L175" s="7">
        <v>5000.2</v>
      </c>
      <c r="M175" s="2" t="str">
        <f>_xlfn.IFS(TelecomData[[#This Row],[TenureMonths]]&lt;=12, "0-1 Year", TelecomData[[#This Row],[TenureMonths]]&lt;=36, "1-3 Years", TelecomData[[#This Row],[TenureMonths]]&gt;36, "3+ Years")</f>
        <v>3+ Years</v>
      </c>
      <c r="N175" s="2" t="str">
        <f>IF(TelecomData[[#This Row],[CleanedTotalCharges]]&gt;=2500,"High Spend", "Standard Spend")</f>
        <v>High Spend</v>
      </c>
    </row>
    <row r="176" spans="1:14" x14ac:dyDescent="0.3">
      <c r="A176" s="1" t="s">
        <v>199</v>
      </c>
      <c r="B176" s="2" t="s">
        <v>12</v>
      </c>
      <c r="C176" s="2" t="s">
        <v>20</v>
      </c>
      <c r="D176" s="2">
        <v>32</v>
      </c>
      <c r="E176" s="2" t="s">
        <v>15</v>
      </c>
      <c r="F176" s="2" t="s">
        <v>36</v>
      </c>
      <c r="G176" s="7">
        <v>20.55</v>
      </c>
      <c r="H176" s="7">
        <v>654.54999999999995</v>
      </c>
      <c r="I176" s="2" t="s">
        <v>15</v>
      </c>
      <c r="J176" s="2" t="s">
        <v>15</v>
      </c>
      <c r="K176" s="2" t="s">
        <v>24</v>
      </c>
      <c r="L176" s="7">
        <v>654.54999999999995</v>
      </c>
      <c r="M176" s="2" t="str">
        <f>_xlfn.IFS(TelecomData[[#This Row],[TenureMonths]]&lt;=12, "0-1 Year", TelecomData[[#This Row],[TenureMonths]]&lt;=36, "1-3 Years", TelecomData[[#This Row],[TenureMonths]]&gt;36, "3+ Years")</f>
        <v>1-3 Years</v>
      </c>
      <c r="N176" s="2" t="str">
        <f>IF(TelecomData[[#This Row],[CleanedTotalCharges]]&gt;=2500,"High Spend", "Standard Spend")</f>
        <v>Standard Spend</v>
      </c>
    </row>
    <row r="177" spans="1:14" x14ac:dyDescent="0.3">
      <c r="A177" s="1" t="s">
        <v>200</v>
      </c>
      <c r="B177" s="2" t="s">
        <v>12</v>
      </c>
      <c r="C177" s="2" t="s">
        <v>13</v>
      </c>
      <c r="D177" s="2">
        <v>34</v>
      </c>
      <c r="E177" s="2" t="s">
        <v>15</v>
      </c>
      <c r="F177" s="2" t="s">
        <v>36</v>
      </c>
      <c r="G177" s="7">
        <v>24.7</v>
      </c>
      <c r="H177" s="7">
        <v>780.2</v>
      </c>
      <c r="I177" s="2" t="s">
        <v>15</v>
      </c>
      <c r="J177" s="2" t="s">
        <v>15</v>
      </c>
      <c r="K177" s="2" t="s">
        <v>17</v>
      </c>
      <c r="L177" s="7">
        <v>780.2</v>
      </c>
      <c r="M177" s="2" t="str">
        <f>_xlfn.IFS(TelecomData[[#This Row],[TenureMonths]]&lt;=12, "0-1 Year", TelecomData[[#This Row],[TenureMonths]]&lt;=36, "1-3 Years", TelecomData[[#This Row],[TenureMonths]]&gt;36, "3+ Years")</f>
        <v>1-3 Years</v>
      </c>
      <c r="N177" s="2" t="str">
        <f>IF(TelecomData[[#This Row],[CleanedTotalCharges]]&gt;=2500,"High Spend", "Standard Spend")</f>
        <v>Standard Spend</v>
      </c>
    </row>
    <row r="178" spans="1:14" x14ac:dyDescent="0.3">
      <c r="A178" s="1" t="s">
        <v>201</v>
      </c>
      <c r="B178" s="2" t="s">
        <v>12</v>
      </c>
      <c r="C178" s="2" t="s">
        <v>13</v>
      </c>
      <c r="D178" s="2">
        <v>15</v>
      </c>
      <c r="E178" s="2" t="s">
        <v>26</v>
      </c>
      <c r="F178" s="2" t="s">
        <v>15</v>
      </c>
      <c r="G178" s="7">
        <v>74.45</v>
      </c>
      <c r="H178" s="7">
        <v>1145.7</v>
      </c>
      <c r="I178" s="2" t="s">
        <v>16</v>
      </c>
      <c r="J178" s="2" t="s">
        <v>16</v>
      </c>
      <c r="K178" s="2" t="s">
        <v>21</v>
      </c>
      <c r="L178" s="7">
        <v>1145.7</v>
      </c>
      <c r="M178" s="2" t="str">
        <f>_xlfn.IFS(TelecomData[[#This Row],[TenureMonths]]&lt;=12, "0-1 Year", TelecomData[[#This Row],[TenureMonths]]&lt;=36, "1-3 Years", TelecomData[[#This Row],[TenureMonths]]&gt;36, "3+ Years")</f>
        <v>1-3 Years</v>
      </c>
      <c r="N178" s="2" t="str">
        <f>IF(TelecomData[[#This Row],[CleanedTotalCharges]]&gt;=2500,"High Spend", "Standard Spend")</f>
        <v>Standard Spend</v>
      </c>
    </row>
    <row r="179" spans="1:14" x14ac:dyDescent="0.3">
      <c r="A179" s="1" t="s">
        <v>202</v>
      </c>
      <c r="B179" s="2" t="s">
        <v>12</v>
      </c>
      <c r="C179" s="2" t="s">
        <v>13</v>
      </c>
      <c r="D179" s="2">
        <v>7</v>
      </c>
      <c r="E179" s="2" t="s">
        <v>26</v>
      </c>
      <c r="F179" s="2" t="s">
        <v>15</v>
      </c>
      <c r="G179" s="7">
        <v>76.45</v>
      </c>
      <c r="H179" s="7">
        <v>503.6</v>
      </c>
      <c r="I179" s="2" t="s">
        <v>16</v>
      </c>
      <c r="J179" s="2" t="s">
        <v>15</v>
      </c>
      <c r="K179" s="2" t="s">
        <v>24</v>
      </c>
      <c r="L179" s="7">
        <v>503.6</v>
      </c>
      <c r="M179" s="2" t="str">
        <f>_xlfn.IFS(TelecomData[[#This Row],[TenureMonths]]&lt;=12, "0-1 Year", TelecomData[[#This Row],[TenureMonths]]&lt;=36, "1-3 Years", TelecomData[[#This Row],[TenureMonths]]&gt;36, "3+ Years")</f>
        <v>0-1 Year</v>
      </c>
      <c r="N179" s="2" t="str">
        <f>IF(TelecomData[[#This Row],[CleanedTotalCharges]]&gt;=2500,"High Spend", "Standard Spend")</f>
        <v>Standard Spend</v>
      </c>
    </row>
    <row r="180" spans="1:14" x14ac:dyDescent="0.3">
      <c r="A180" s="1" t="s">
        <v>203</v>
      </c>
      <c r="B180" s="2" t="s">
        <v>12</v>
      </c>
      <c r="C180" s="2" t="s">
        <v>13</v>
      </c>
      <c r="D180" s="2">
        <v>15</v>
      </c>
      <c r="E180" s="2" t="s">
        <v>26</v>
      </c>
      <c r="F180" s="2" t="s">
        <v>15</v>
      </c>
      <c r="G180" s="7">
        <v>105.35</v>
      </c>
      <c r="H180" s="7">
        <v>1559.25</v>
      </c>
      <c r="I180" s="2" t="s">
        <v>15</v>
      </c>
      <c r="J180" s="2" t="s">
        <v>16</v>
      </c>
      <c r="K180" s="2" t="s">
        <v>24</v>
      </c>
      <c r="L180" s="7">
        <v>1559.25</v>
      </c>
      <c r="M180" s="2" t="str">
        <f>_xlfn.IFS(TelecomData[[#This Row],[TenureMonths]]&lt;=12, "0-1 Year", TelecomData[[#This Row],[TenureMonths]]&lt;=36, "1-3 Years", TelecomData[[#This Row],[TenureMonths]]&gt;36, "3+ Years")</f>
        <v>1-3 Years</v>
      </c>
      <c r="N180" s="2" t="str">
        <f>IF(TelecomData[[#This Row],[CleanedTotalCharges]]&gt;=2500,"High Spend", "Standard Spend")</f>
        <v>Standard Spend</v>
      </c>
    </row>
    <row r="181" spans="1:14" x14ac:dyDescent="0.3">
      <c r="A181" s="1" t="s">
        <v>204</v>
      </c>
      <c r="B181" s="2" t="s">
        <v>19</v>
      </c>
      <c r="C181" s="2" t="s">
        <v>20</v>
      </c>
      <c r="D181" s="2">
        <v>61</v>
      </c>
      <c r="E181" s="2" t="s">
        <v>15</v>
      </c>
      <c r="F181" s="2" t="s">
        <v>36</v>
      </c>
      <c r="G181" s="7">
        <v>20.55</v>
      </c>
      <c r="H181" s="7">
        <v>1252</v>
      </c>
      <c r="I181" s="2" t="s">
        <v>15</v>
      </c>
      <c r="J181" s="2" t="s">
        <v>16</v>
      </c>
      <c r="K181" s="2" t="s">
        <v>29</v>
      </c>
      <c r="L181" s="7">
        <v>1252</v>
      </c>
      <c r="M181" s="2" t="str">
        <f>_xlfn.IFS(TelecomData[[#This Row],[TenureMonths]]&lt;=12, "0-1 Year", TelecomData[[#This Row],[TenureMonths]]&lt;=36, "1-3 Years", TelecomData[[#This Row],[TenureMonths]]&gt;36, "3+ Years")</f>
        <v>3+ Years</v>
      </c>
      <c r="N181" s="2" t="str">
        <f>IF(TelecomData[[#This Row],[CleanedTotalCharges]]&gt;=2500,"High Spend", "Standard Spend")</f>
        <v>Standard Spend</v>
      </c>
    </row>
    <row r="182" spans="1:14" x14ac:dyDescent="0.3">
      <c r="A182" s="1" t="s">
        <v>205</v>
      </c>
      <c r="B182" s="2" t="s">
        <v>12</v>
      </c>
      <c r="C182" s="2" t="s">
        <v>13</v>
      </c>
      <c r="D182" s="2">
        <v>1</v>
      </c>
      <c r="E182" s="2" t="s">
        <v>14</v>
      </c>
      <c r="F182" s="2" t="s">
        <v>15</v>
      </c>
      <c r="G182" s="7">
        <v>29.95</v>
      </c>
      <c r="H182" s="7">
        <v>29.95</v>
      </c>
      <c r="I182" s="2" t="s">
        <v>16</v>
      </c>
      <c r="J182" s="2" t="s">
        <v>15</v>
      </c>
      <c r="K182" s="2" t="s">
        <v>24</v>
      </c>
      <c r="L182" s="7">
        <v>29.95</v>
      </c>
      <c r="M182" s="2" t="str">
        <f>_xlfn.IFS(TelecomData[[#This Row],[TenureMonths]]&lt;=12, "0-1 Year", TelecomData[[#This Row],[TenureMonths]]&lt;=36, "1-3 Years", TelecomData[[#This Row],[TenureMonths]]&gt;36, "3+ Years")</f>
        <v>0-1 Year</v>
      </c>
      <c r="N182" s="2" t="str">
        <f>IF(TelecomData[[#This Row],[CleanedTotalCharges]]&gt;=2500,"High Spend", "Standard Spend")</f>
        <v>Standard Spend</v>
      </c>
    </row>
    <row r="183" spans="1:14" x14ac:dyDescent="0.3">
      <c r="A183" s="1" t="s">
        <v>206</v>
      </c>
      <c r="B183" s="2" t="s">
        <v>12</v>
      </c>
      <c r="C183" s="2" t="s">
        <v>13</v>
      </c>
      <c r="D183" s="2">
        <v>1</v>
      </c>
      <c r="E183" s="2" t="s">
        <v>14</v>
      </c>
      <c r="F183" s="2" t="s">
        <v>15</v>
      </c>
      <c r="G183" s="7">
        <v>45.3</v>
      </c>
      <c r="H183" s="7">
        <v>45.3</v>
      </c>
      <c r="I183" s="2" t="s">
        <v>15</v>
      </c>
      <c r="J183" s="2" t="s">
        <v>15</v>
      </c>
      <c r="K183" s="2" t="s">
        <v>21</v>
      </c>
      <c r="L183" s="7">
        <v>45.3</v>
      </c>
      <c r="M183" s="2" t="str">
        <f>_xlfn.IFS(TelecomData[[#This Row],[TenureMonths]]&lt;=12, "0-1 Year", TelecomData[[#This Row],[TenureMonths]]&lt;=36, "1-3 Years", TelecomData[[#This Row],[TenureMonths]]&gt;36, "3+ Years")</f>
        <v>0-1 Year</v>
      </c>
      <c r="N183" s="2" t="str">
        <f>IF(TelecomData[[#This Row],[CleanedTotalCharges]]&gt;=2500,"High Spend", "Standard Spend")</f>
        <v>Standard Spend</v>
      </c>
    </row>
    <row r="184" spans="1:14" x14ac:dyDescent="0.3">
      <c r="A184" s="1" t="s">
        <v>207</v>
      </c>
      <c r="B184" s="2" t="s">
        <v>19</v>
      </c>
      <c r="C184" s="2" t="s">
        <v>13</v>
      </c>
      <c r="D184" s="2">
        <v>8</v>
      </c>
      <c r="E184" s="2" t="s">
        <v>26</v>
      </c>
      <c r="F184" s="2" t="s">
        <v>15</v>
      </c>
      <c r="G184" s="7">
        <v>84.5</v>
      </c>
      <c r="H184" s="7">
        <v>662.65</v>
      </c>
      <c r="I184" s="2" t="s">
        <v>16</v>
      </c>
      <c r="J184" s="2" t="s">
        <v>15</v>
      </c>
      <c r="K184" s="2" t="s">
        <v>24</v>
      </c>
      <c r="L184" s="7">
        <v>662.65</v>
      </c>
      <c r="M184" s="2" t="str">
        <f>_xlfn.IFS(TelecomData[[#This Row],[TenureMonths]]&lt;=12, "0-1 Year", TelecomData[[#This Row],[TenureMonths]]&lt;=36, "1-3 Years", TelecomData[[#This Row],[TenureMonths]]&gt;36, "3+ Years")</f>
        <v>0-1 Year</v>
      </c>
      <c r="N184" s="2" t="str">
        <f>IF(TelecomData[[#This Row],[CleanedTotalCharges]]&gt;=2500,"High Spend", "Standard Spend")</f>
        <v>Standard Spend</v>
      </c>
    </row>
    <row r="185" spans="1:14" x14ac:dyDescent="0.3">
      <c r="A185" s="1" t="s">
        <v>208</v>
      </c>
      <c r="B185" s="2" t="s">
        <v>19</v>
      </c>
      <c r="C185" s="2" t="s">
        <v>20</v>
      </c>
      <c r="D185" s="2">
        <v>33</v>
      </c>
      <c r="E185" s="2" t="s">
        <v>14</v>
      </c>
      <c r="F185" s="2" t="s">
        <v>15</v>
      </c>
      <c r="G185" s="7">
        <v>74.75</v>
      </c>
      <c r="H185" s="7">
        <v>2453.3000000000002</v>
      </c>
      <c r="I185" s="2" t="s">
        <v>15</v>
      </c>
      <c r="J185" s="2" t="s">
        <v>15</v>
      </c>
      <c r="K185" s="2" t="s">
        <v>29</v>
      </c>
      <c r="L185" s="7">
        <v>2453.3000000000002</v>
      </c>
      <c r="M185" s="2" t="str">
        <f>_xlfn.IFS(TelecomData[[#This Row],[TenureMonths]]&lt;=12, "0-1 Year", TelecomData[[#This Row],[TenureMonths]]&lt;=36, "1-3 Years", TelecomData[[#This Row],[TenureMonths]]&gt;36, "3+ Years")</f>
        <v>1-3 Years</v>
      </c>
      <c r="N185" s="2" t="str">
        <f>IF(TelecomData[[#This Row],[CleanedTotalCharges]]&gt;=2500,"High Spend", "Standard Spend")</f>
        <v>Standard Spend</v>
      </c>
    </row>
    <row r="186" spans="1:14" x14ac:dyDescent="0.3">
      <c r="A186" s="1" t="s">
        <v>209</v>
      </c>
      <c r="B186" s="2" t="s">
        <v>12</v>
      </c>
      <c r="C186" s="2" t="s">
        <v>13</v>
      </c>
      <c r="D186" s="2">
        <v>13</v>
      </c>
      <c r="E186" s="2" t="s">
        <v>26</v>
      </c>
      <c r="F186" s="2" t="s">
        <v>15</v>
      </c>
      <c r="G186" s="7">
        <v>79.25</v>
      </c>
      <c r="H186" s="7">
        <v>1111.6500000000001</v>
      </c>
      <c r="I186" s="2" t="s">
        <v>16</v>
      </c>
      <c r="J186" s="2" t="s">
        <v>16</v>
      </c>
      <c r="K186" s="2" t="s">
        <v>17</v>
      </c>
      <c r="L186" s="7">
        <v>1111.6500000000001</v>
      </c>
      <c r="M186" s="2" t="str">
        <f>_xlfn.IFS(TelecomData[[#This Row],[TenureMonths]]&lt;=12, "0-1 Year", TelecomData[[#This Row],[TenureMonths]]&lt;=36, "1-3 Years", TelecomData[[#This Row],[TenureMonths]]&gt;36, "3+ Years")</f>
        <v>1-3 Years</v>
      </c>
      <c r="N186" s="2" t="str">
        <f>IF(TelecomData[[#This Row],[CleanedTotalCharges]]&gt;=2500,"High Spend", "Standard Spend")</f>
        <v>Standard Spend</v>
      </c>
    </row>
    <row r="187" spans="1:14" x14ac:dyDescent="0.3">
      <c r="A187" s="1" t="s">
        <v>210</v>
      </c>
      <c r="B187" s="2" t="s">
        <v>12</v>
      </c>
      <c r="C187" s="2" t="s">
        <v>13</v>
      </c>
      <c r="D187" s="2">
        <v>1</v>
      </c>
      <c r="E187" s="2" t="s">
        <v>14</v>
      </c>
      <c r="F187" s="2" t="s">
        <v>15</v>
      </c>
      <c r="G187" s="7">
        <v>24.8</v>
      </c>
      <c r="H187" s="7">
        <v>24.8</v>
      </c>
      <c r="I187" s="2" t="s">
        <v>16</v>
      </c>
      <c r="J187" s="2" t="s">
        <v>16</v>
      </c>
      <c r="K187" s="2" t="s">
        <v>17</v>
      </c>
      <c r="L187" s="7">
        <v>24.8</v>
      </c>
      <c r="M187" s="2" t="str">
        <f>_xlfn.IFS(TelecomData[[#This Row],[TenureMonths]]&lt;=12, "0-1 Year", TelecomData[[#This Row],[TenureMonths]]&lt;=36, "1-3 Years", TelecomData[[#This Row],[TenureMonths]]&gt;36, "3+ Years")</f>
        <v>0-1 Year</v>
      </c>
      <c r="N187" s="2" t="str">
        <f>IF(TelecomData[[#This Row],[CleanedTotalCharges]]&gt;=2500,"High Spend", "Standard Spend")</f>
        <v>Standard Spend</v>
      </c>
    </row>
    <row r="188" spans="1:14" x14ac:dyDescent="0.3">
      <c r="A188" s="1" t="s">
        <v>211</v>
      </c>
      <c r="B188" s="2" t="s">
        <v>19</v>
      </c>
      <c r="C188" s="2" t="s">
        <v>13</v>
      </c>
      <c r="D188" s="2">
        <v>20</v>
      </c>
      <c r="E188" s="2" t="s">
        <v>14</v>
      </c>
      <c r="F188" s="2" t="s">
        <v>15</v>
      </c>
      <c r="G188" s="7">
        <v>51.8</v>
      </c>
      <c r="H188" s="7">
        <v>1023.85</v>
      </c>
      <c r="I188" s="2" t="s">
        <v>15</v>
      </c>
      <c r="J188" s="2" t="s">
        <v>16</v>
      </c>
      <c r="K188" s="2" t="s">
        <v>21</v>
      </c>
      <c r="L188" s="7">
        <v>1023.85</v>
      </c>
      <c r="M188" s="2" t="str">
        <f>_xlfn.IFS(TelecomData[[#This Row],[TenureMonths]]&lt;=12, "0-1 Year", TelecomData[[#This Row],[TenureMonths]]&lt;=36, "1-3 Years", TelecomData[[#This Row],[TenureMonths]]&gt;36, "3+ Years")</f>
        <v>1-3 Years</v>
      </c>
      <c r="N188" s="2" t="str">
        <f>IF(TelecomData[[#This Row],[CleanedTotalCharges]]&gt;=2500,"High Spend", "Standard Spend")</f>
        <v>Standard Spend</v>
      </c>
    </row>
    <row r="189" spans="1:14" x14ac:dyDescent="0.3">
      <c r="A189" s="1" t="s">
        <v>212</v>
      </c>
      <c r="B189" s="2" t="s">
        <v>19</v>
      </c>
      <c r="C189" s="2" t="s">
        <v>13</v>
      </c>
      <c r="D189" s="2">
        <v>3</v>
      </c>
      <c r="E189" s="2" t="s">
        <v>14</v>
      </c>
      <c r="F189" s="2" t="s">
        <v>16</v>
      </c>
      <c r="G189" s="7">
        <v>30.4</v>
      </c>
      <c r="H189" s="7">
        <v>82.15</v>
      </c>
      <c r="I189" s="2" t="s">
        <v>15</v>
      </c>
      <c r="J189" s="2" t="s">
        <v>15</v>
      </c>
      <c r="K189" s="2" t="s">
        <v>17</v>
      </c>
      <c r="L189" s="7">
        <v>82.15</v>
      </c>
      <c r="M189" s="2" t="str">
        <f>_xlfn.IFS(TelecomData[[#This Row],[TenureMonths]]&lt;=12, "0-1 Year", TelecomData[[#This Row],[TenureMonths]]&lt;=36, "1-3 Years", TelecomData[[#This Row],[TenureMonths]]&gt;36, "3+ Years")</f>
        <v>0-1 Year</v>
      </c>
      <c r="N189" s="2" t="str">
        <f>IF(TelecomData[[#This Row],[CleanedTotalCharges]]&gt;=2500,"High Spend", "Standard Spend")</f>
        <v>Standard Spend</v>
      </c>
    </row>
    <row r="190" spans="1:14" x14ac:dyDescent="0.3">
      <c r="A190" s="1" t="s">
        <v>213</v>
      </c>
      <c r="B190" s="2" t="s">
        <v>12</v>
      </c>
      <c r="C190" s="2" t="s">
        <v>20</v>
      </c>
      <c r="D190" s="2">
        <v>13</v>
      </c>
      <c r="E190" s="2" t="s">
        <v>15</v>
      </c>
      <c r="F190" s="2" t="s">
        <v>36</v>
      </c>
      <c r="G190" s="7">
        <v>19.649999999999999</v>
      </c>
      <c r="H190" s="7">
        <v>244.8</v>
      </c>
      <c r="I190" s="2" t="s">
        <v>15</v>
      </c>
      <c r="J190" s="2" t="s">
        <v>15</v>
      </c>
      <c r="K190" s="2" t="s">
        <v>17</v>
      </c>
      <c r="L190" s="7">
        <v>244.8</v>
      </c>
      <c r="M190" s="2" t="str">
        <f>_xlfn.IFS(TelecomData[[#This Row],[TenureMonths]]&lt;=12, "0-1 Year", TelecomData[[#This Row],[TenureMonths]]&lt;=36, "1-3 Years", TelecomData[[#This Row],[TenureMonths]]&gt;36, "3+ Years")</f>
        <v>1-3 Years</v>
      </c>
      <c r="N190" s="2" t="str">
        <f>IF(TelecomData[[#This Row],[CleanedTotalCharges]]&gt;=2500,"High Spend", "Standard Spend")</f>
        <v>Standard Spend</v>
      </c>
    </row>
    <row r="191" spans="1:14" x14ac:dyDescent="0.3">
      <c r="A191" s="1" t="s">
        <v>214</v>
      </c>
      <c r="B191" s="2" t="s">
        <v>12</v>
      </c>
      <c r="C191" s="2" t="s">
        <v>13</v>
      </c>
      <c r="D191" s="2">
        <v>40</v>
      </c>
      <c r="E191" s="2" t="s">
        <v>14</v>
      </c>
      <c r="F191" s="2" t="s">
        <v>15</v>
      </c>
      <c r="G191" s="7">
        <v>56.6</v>
      </c>
      <c r="H191" s="7">
        <v>2379.1</v>
      </c>
      <c r="I191" s="2" t="s">
        <v>15</v>
      </c>
      <c r="J191" s="2" t="s">
        <v>15</v>
      </c>
      <c r="K191" s="2" t="s">
        <v>29</v>
      </c>
      <c r="L191" s="7">
        <v>2379.1</v>
      </c>
      <c r="M191" s="2" t="str">
        <f>_xlfn.IFS(TelecomData[[#This Row],[TenureMonths]]&lt;=12, "0-1 Year", TelecomData[[#This Row],[TenureMonths]]&lt;=36, "1-3 Years", TelecomData[[#This Row],[TenureMonths]]&gt;36, "3+ Years")</f>
        <v>3+ Years</v>
      </c>
      <c r="N191" s="2" t="str">
        <f>IF(TelecomData[[#This Row],[CleanedTotalCharges]]&gt;=2500,"High Spend", "Standard Spend")</f>
        <v>Standard Spend</v>
      </c>
    </row>
    <row r="192" spans="1:14" x14ac:dyDescent="0.3">
      <c r="A192" s="1" t="s">
        <v>215</v>
      </c>
      <c r="B192" s="2" t="s">
        <v>19</v>
      </c>
      <c r="C192" s="2" t="s">
        <v>20</v>
      </c>
      <c r="D192" s="2">
        <v>43</v>
      </c>
      <c r="E192" s="2" t="s">
        <v>14</v>
      </c>
      <c r="F192" s="2" t="s">
        <v>16</v>
      </c>
      <c r="G192" s="7">
        <v>71.900000000000006</v>
      </c>
      <c r="H192" s="7">
        <v>3173.35</v>
      </c>
      <c r="I192" s="2" t="s">
        <v>15</v>
      </c>
      <c r="J192" s="2" t="s">
        <v>16</v>
      </c>
      <c r="K192" s="2" t="s">
        <v>29</v>
      </c>
      <c r="L192" s="7">
        <v>3173.35</v>
      </c>
      <c r="M192" s="2" t="str">
        <f>_xlfn.IFS(TelecomData[[#This Row],[TenureMonths]]&lt;=12, "0-1 Year", TelecomData[[#This Row],[TenureMonths]]&lt;=36, "1-3 Years", TelecomData[[#This Row],[TenureMonths]]&gt;36, "3+ Years")</f>
        <v>3+ Years</v>
      </c>
      <c r="N192" s="2" t="str">
        <f>IF(TelecomData[[#This Row],[CleanedTotalCharges]]&gt;=2500,"High Spend", "Standard Spend")</f>
        <v>High Spend</v>
      </c>
    </row>
    <row r="193" spans="1:14" x14ac:dyDescent="0.3">
      <c r="A193" s="1" t="s">
        <v>216</v>
      </c>
      <c r="B193" s="2" t="s">
        <v>19</v>
      </c>
      <c r="C193" s="2" t="s">
        <v>13</v>
      </c>
      <c r="D193" s="2">
        <v>6</v>
      </c>
      <c r="E193" s="2" t="s">
        <v>26</v>
      </c>
      <c r="F193" s="2" t="s">
        <v>15</v>
      </c>
      <c r="G193" s="7">
        <v>91</v>
      </c>
      <c r="H193" s="7">
        <v>531</v>
      </c>
      <c r="I193" s="2" t="s">
        <v>16</v>
      </c>
      <c r="J193" s="2" t="s">
        <v>16</v>
      </c>
      <c r="K193" s="2" t="s">
        <v>17</v>
      </c>
      <c r="L193" s="7">
        <v>531</v>
      </c>
      <c r="M193" s="2" t="str">
        <f>_xlfn.IFS(TelecomData[[#This Row],[TenureMonths]]&lt;=12, "0-1 Year", TelecomData[[#This Row],[TenureMonths]]&lt;=36, "1-3 Years", TelecomData[[#This Row],[TenureMonths]]&gt;36, "3+ Years")</f>
        <v>0-1 Year</v>
      </c>
      <c r="N193" s="2" t="str">
        <f>IF(TelecomData[[#This Row],[CleanedTotalCharges]]&gt;=2500,"High Spend", "Standard Spend")</f>
        <v>Standard Spend</v>
      </c>
    </row>
    <row r="194" spans="1:14" x14ac:dyDescent="0.3">
      <c r="A194" s="1" t="s">
        <v>217</v>
      </c>
      <c r="B194" s="2" t="s">
        <v>12</v>
      </c>
      <c r="C194" s="2" t="s">
        <v>35</v>
      </c>
      <c r="D194" s="2">
        <v>69</v>
      </c>
      <c r="E194" s="2" t="s">
        <v>15</v>
      </c>
      <c r="F194" s="2" t="s">
        <v>36</v>
      </c>
      <c r="G194" s="7">
        <v>19.75</v>
      </c>
      <c r="H194" s="7">
        <v>1375.4</v>
      </c>
      <c r="I194" s="2" t="s">
        <v>15</v>
      </c>
      <c r="J194" s="2" t="s">
        <v>15</v>
      </c>
      <c r="K194" s="2" t="s">
        <v>24</v>
      </c>
      <c r="L194" s="7">
        <v>1375.4</v>
      </c>
      <c r="M194" s="2" t="str">
        <f>_xlfn.IFS(TelecomData[[#This Row],[TenureMonths]]&lt;=12, "0-1 Year", TelecomData[[#This Row],[TenureMonths]]&lt;=36, "1-3 Years", TelecomData[[#This Row],[TenureMonths]]&gt;36, "3+ Years")</f>
        <v>3+ Years</v>
      </c>
      <c r="N194" s="2" t="str">
        <f>IF(TelecomData[[#This Row],[CleanedTotalCharges]]&gt;=2500,"High Spend", "Standard Spend")</f>
        <v>Standard Spend</v>
      </c>
    </row>
    <row r="195" spans="1:14" x14ac:dyDescent="0.3">
      <c r="A195" s="1" t="s">
        <v>218</v>
      </c>
      <c r="B195" s="2" t="s">
        <v>12</v>
      </c>
      <c r="C195" s="2" t="s">
        <v>35</v>
      </c>
      <c r="D195" s="2">
        <v>72</v>
      </c>
      <c r="E195" s="2" t="s">
        <v>26</v>
      </c>
      <c r="F195" s="2" t="s">
        <v>15</v>
      </c>
      <c r="G195" s="7">
        <v>109.7</v>
      </c>
      <c r="H195" s="7">
        <v>8129.3</v>
      </c>
      <c r="I195" s="2" t="s">
        <v>15</v>
      </c>
      <c r="J195" s="2" t="s">
        <v>15</v>
      </c>
      <c r="K195" s="2" t="s">
        <v>29</v>
      </c>
      <c r="L195" s="7">
        <v>8129.3</v>
      </c>
      <c r="M195" s="2" t="str">
        <f>_xlfn.IFS(TelecomData[[#This Row],[TenureMonths]]&lt;=12, "0-1 Year", TelecomData[[#This Row],[TenureMonths]]&lt;=36, "1-3 Years", TelecomData[[#This Row],[TenureMonths]]&gt;36, "3+ Years")</f>
        <v>3+ Years</v>
      </c>
      <c r="N195" s="2" t="str">
        <f>IF(TelecomData[[#This Row],[CleanedTotalCharges]]&gt;=2500,"High Spend", "Standard Spend")</f>
        <v>High Spend</v>
      </c>
    </row>
    <row r="196" spans="1:14" x14ac:dyDescent="0.3">
      <c r="A196" s="1" t="s">
        <v>219</v>
      </c>
      <c r="B196" s="2" t="s">
        <v>19</v>
      </c>
      <c r="C196" s="2" t="s">
        <v>35</v>
      </c>
      <c r="D196" s="2">
        <v>59</v>
      </c>
      <c r="E196" s="2" t="s">
        <v>15</v>
      </c>
      <c r="F196" s="2" t="s">
        <v>36</v>
      </c>
      <c r="G196" s="7">
        <v>19.3</v>
      </c>
      <c r="H196" s="7">
        <v>1192.7</v>
      </c>
      <c r="I196" s="2" t="s">
        <v>15</v>
      </c>
      <c r="J196" s="2" t="s">
        <v>15</v>
      </c>
      <c r="K196" s="2" t="s">
        <v>29</v>
      </c>
      <c r="L196" s="7">
        <v>1192.7</v>
      </c>
      <c r="M196" s="2" t="str">
        <f>_xlfn.IFS(TelecomData[[#This Row],[TenureMonths]]&lt;=12, "0-1 Year", TelecomData[[#This Row],[TenureMonths]]&lt;=36, "1-3 Years", TelecomData[[#This Row],[TenureMonths]]&gt;36, "3+ Years")</f>
        <v>3+ Years</v>
      </c>
      <c r="N196" s="2" t="str">
        <f>IF(TelecomData[[#This Row],[CleanedTotalCharges]]&gt;=2500,"High Spend", "Standard Spend")</f>
        <v>Standard Spend</v>
      </c>
    </row>
    <row r="197" spans="1:14" x14ac:dyDescent="0.3">
      <c r="A197" s="1" t="s">
        <v>220</v>
      </c>
      <c r="B197" s="2" t="s">
        <v>12</v>
      </c>
      <c r="C197" s="2" t="s">
        <v>13</v>
      </c>
      <c r="D197" s="2">
        <v>20</v>
      </c>
      <c r="E197" s="2" t="s">
        <v>26</v>
      </c>
      <c r="F197" s="2" t="s">
        <v>16</v>
      </c>
      <c r="G197" s="7">
        <v>96.55</v>
      </c>
      <c r="H197" s="7">
        <v>1901.65</v>
      </c>
      <c r="I197" s="2" t="s">
        <v>15</v>
      </c>
      <c r="J197" s="2" t="s">
        <v>16</v>
      </c>
      <c r="K197" s="2" t="s">
        <v>17</v>
      </c>
      <c r="L197" s="7">
        <v>1901.65</v>
      </c>
      <c r="M197" s="2" t="str">
        <f>_xlfn.IFS(TelecomData[[#This Row],[TenureMonths]]&lt;=12, "0-1 Year", TelecomData[[#This Row],[TenureMonths]]&lt;=36, "1-3 Years", TelecomData[[#This Row],[TenureMonths]]&gt;36, "3+ Years")</f>
        <v>1-3 Years</v>
      </c>
      <c r="N197" s="2" t="str">
        <f>IF(TelecomData[[#This Row],[CleanedTotalCharges]]&gt;=2500,"High Spend", "Standard Spend")</f>
        <v>Standard Spend</v>
      </c>
    </row>
    <row r="198" spans="1:14" x14ac:dyDescent="0.3">
      <c r="A198" s="1" t="s">
        <v>221</v>
      </c>
      <c r="B198" s="2" t="s">
        <v>19</v>
      </c>
      <c r="C198" s="2" t="s">
        <v>35</v>
      </c>
      <c r="D198" s="2">
        <v>24</v>
      </c>
      <c r="E198" s="2" t="s">
        <v>15</v>
      </c>
      <c r="F198" s="2" t="s">
        <v>36</v>
      </c>
      <c r="G198" s="7">
        <v>24.1</v>
      </c>
      <c r="H198" s="7">
        <v>587.4</v>
      </c>
      <c r="I198" s="2" t="s">
        <v>15</v>
      </c>
      <c r="J198" s="2" t="s">
        <v>16</v>
      </c>
      <c r="K198" s="2" t="s">
        <v>24</v>
      </c>
      <c r="L198" s="7">
        <v>587.4</v>
      </c>
      <c r="M198" s="2" t="str">
        <f>_xlfn.IFS(TelecomData[[#This Row],[TenureMonths]]&lt;=12, "0-1 Year", TelecomData[[#This Row],[TenureMonths]]&lt;=36, "1-3 Years", TelecomData[[#This Row],[TenureMonths]]&gt;36, "3+ Years")</f>
        <v>1-3 Years</v>
      </c>
      <c r="N198" s="2" t="str">
        <f>IF(TelecomData[[#This Row],[CleanedTotalCharges]]&gt;=2500,"High Spend", "Standard Spend")</f>
        <v>Standard Spend</v>
      </c>
    </row>
    <row r="199" spans="1:14" x14ac:dyDescent="0.3">
      <c r="A199" s="1" t="s">
        <v>222</v>
      </c>
      <c r="B199" s="2" t="s">
        <v>19</v>
      </c>
      <c r="C199" s="2" t="s">
        <v>13</v>
      </c>
      <c r="D199" s="2">
        <v>59</v>
      </c>
      <c r="E199" s="2" t="s">
        <v>26</v>
      </c>
      <c r="F199" s="2" t="s">
        <v>16</v>
      </c>
      <c r="G199" s="7">
        <v>111.35</v>
      </c>
      <c r="H199" s="7">
        <v>6519.75</v>
      </c>
      <c r="I199" s="2" t="s">
        <v>15</v>
      </c>
      <c r="J199" s="2" t="s">
        <v>16</v>
      </c>
      <c r="K199" s="2" t="s">
        <v>17</v>
      </c>
      <c r="L199" s="7">
        <v>6519.75</v>
      </c>
      <c r="M199" s="2" t="str">
        <f>_xlfn.IFS(TelecomData[[#This Row],[TenureMonths]]&lt;=12, "0-1 Year", TelecomData[[#This Row],[TenureMonths]]&lt;=36, "1-3 Years", TelecomData[[#This Row],[TenureMonths]]&gt;36, "3+ Years")</f>
        <v>3+ Years</v>
      </c>
      <c r="N199" s="2" t="str">
        <f>IF(TelecomData[[#This Row],[CleanedTotalCharges]]&gt;=2500,"High Spend", "Standard Spend")</f>
        <v>High Spend</v>
      </c>
    </row>
    <row r="200" spans="1:14" x14ac:dyDescent="0.3">
      <c r="A200" s="1" t="s">
        <v>223</v>
      </c>
      <c r="B200" s="2" t="s">
        <v>19</v>
      </c>
      <c r="C200" s="2" t="s">
        <v>35</v>
      </c>
      <c r="D200" s="2">
        <v>72</v>
      </c>
      <c r="E200" s="2" t="s">
        <v>26</v>
      </c>
      <c r="F200" s="2" t="s">
        <v>16</v>
      </c>
      <c r="G200" s="7">
        <v>112.25</v>
      </c>
      <c r="H200" s="7">
        <v>8041.65</v>
      </c>
      <c r="I200" s="2" t="s">
        <v>15</v>
      </c>
      <c r="J200" s="2" t="s">
        <v>16</v>
      </c>
      <c r="K200" s="2" t="s">
        <v>24</v>
      </c>
      <c r="L200" s="7">
        <v>8041.65</v>
      </c>
      <c r="M200" s="2" t="str">
        <f>_xlfn.IFS(TelecomData[[#This Row],[TenureMonths]]&lt;=12, "0-1 Year", TelecomData[[#This Row],[TenureMonths]]&lt;=36, "1-3 Years", TelecomData[[#This Row],[TenureMonths]]&gt;36, "3+ Years")</f>
        <v>3+ Years</v>
      </c>
      <c r="N200" s="2" t="str">
        <f>IF(TelecomData[[#This Row],[CleanedTotalCharges]]&gt;=2500,"High Spend", "Standard Spend")</f>
        <v>High Spend</v>
      </c>
    </row>
    <row r="201" spans="1:14" x14ac:dyDescent="0.3">
      <c r="A201" s="1" t="s">
        <v>224</v>
      </c>
      <c r="B201" s="2" t="s">
        <v>19</v>
      </c>
      <c r="C201" s="2" t="s">
        <v>13</v>
      </c>
      <c r="D201" s="2">
        <v>1</v>
      </c>
      <c r="E201" s="2" t="s">
        <v>15</v>
      </c>
      <c r="F201" s="2" t="s">
        <v>36</v>
      </c>
      <c r="G201" s="7">
        <v>20.75</v>
      </c>
      <c r="H201" s="7">
        <v>20.75</v>
      </c>
      <c r="I201" s="2" t="s">
        <v>15</v>
      </c>
      <c r="J201" s="2" t="s">
        <v>15</v>
      </c>
      <c r="K201" s="2" t="s">
        <v>21</v>
      </c>
      <c r="L201" s="7">
        <v>20.75</v>
      </c>
      <c r="M201" s="2" t="str">
        <f>_xlfn.IFS(TelecomData[[#This Row],[TenureMonths]]&lt;=12, "0-1 Year", TelecomData[[#This Row],[TenureMonths]]&lt;=36, "1-3 Years", TelecomData[[#This Row],[TenureMonths]]&gt;36, "3+ Years")</f>
        <v>0-1 Year</v>
      </c>
      <c r="N201" s="2" t="str">
        <f>IF(TelecomData[[#This Row],[CleanedTotalCharges]]&gt;=2500,"High Spend", "Standard Spend")</f>
        <v>Standard Spend</v>
      </c>
    </row>
    <row r="202" spans="1:14" x14ac:dyDescent="0.3">
      <c r="A202" s="1" t="s">
        <v>225</v>
      </c>
      <c r="B202" s="2" t="s">
        <v>12</v>
      </c>
      <c r="C202" s="2" t="s">
        <v>20</v>
      </c>
      <c r="D202" s="2">
        <v>27</v>
      </c>
      <c r="E202" s="2" t="s">
        <v>26</v>
      </c>
      <c r="F202" s="2" t="s">
        <v>16</v>
      </c>
      <c r="G202" s="7">
        <v>101.9</v>
      </c>
      <c r="H202" s="7">
        <v>2681.15</v>
      </c>
      <c r="I202" s="2" t="s">
        <v>15</v>
      </c>
      <c r="J202" s="2" t="s">
        <v>16</v>
      </c>
      <c r="K202" s="2" t="s">
        <v>29</v>
      </c>
      <c r="L202" s="7">
        <v>2681.15</v>
      </c>
      <c r="M202" s="2" t="str">
        <f>_xlfn.IFS(TelecomData[[#This Row],[TenureMonths]]&lt;=12, "0-1 Year", TelecomData[[#This Row],[TenureMonths]]&lt;=36, "1-3 Years", TelecomData[[#This Row],[TenureMonths]]&gt;36, "3+ Years")</f>
        <v>1-3 Years</v>
      </c>
      <c r="N202" s="2" t="str">
        <f>IF(TelecomData[[#This Row],[CleanedTotalCharges]]&gt;=2500,"High Spend", "Standard Spend")</f>
        <v>High Spend</v>
      </c>
    </row>
    <row r="203" spans="1:14" x14ac:dyDescent="0.3">
      <c r="A203" s="1" t="s">
        <v>226</v>
      </c>
      <c r="B203" s="2" t="s">
        <v>12</v>
      </c>
      <c r="C203" s="2" t="s">
        <v>13</v>
      </c>
      <c r="D203" s="2">
        <v>14</v>
      </c>
      <c r="E203" s="2" t="s">
        <v>26</v>
      </c>
      <c r="F203" s="2" t="s">
        <v>16</v>
      </c>
      <c r="G203" s="7">
        <v>80.05</v>
      </c>
      <c r="H203" s="7">
        <v>1112.3</v>
      </c>
      <c r="I203" s="2" t="s">
        <v>15</v>
      </c>
      <c r="J203" s="2" t="s">
        <v>16</v>
      </c>
      <c r="K203" s="2" t="s">
        <v>29</v>
      </c>
      <c r="L203" s="7">
        <v>1112.3</v>
      </c>
      <c r="M203" s="2" t="str">
        <f>_xlfn.IFS(TelecomData[[#This Row],[TenureMonths]]&lt;=12, "0-1 Year", TelecomData[[#This Row],[TenureMonths]]&lt;=36, "1-3 Years", TelecomData[[#This Row],[TenureMonths]]&gt;36, "3+ Years")</f>
        <v>1-3 Years</v>
      </c>
      <c r="N203" s="2" t="str">
        <f>IF(TelecomData[[#This Row],[CleanedTotalCharges]]&gt;=2500,"High Spend", "Standard Spend")</f>
        <v>Standard Spend</v>
      </c>
    </row>
    <row r="204" spans="1:14" x14ac:dyDescent="0.3">
      <c r="A204" s="1" t="s">
        <v>227</v>
      </c>
      <c r="B204" s="2" t="s">
        <v>19</v>
      </c>
      <c r="C204" s="2" t="s">
        <v>35</v>
      </c>
      <c r="D204" s="2">
        <v>71</v>
      </c>
      <c r="E204" s="2" t="s">
        <v>26</v>
      </c>
      <c r="F204" s="2" t="s">
        <v>15</v>
      </c>
      <c r="G204" s="7">
        <v>105.55</v>
      </c>
      <c r="H204" s="7">
        <v>7405.5</v>
      </c>
      <c r="I204" s="2" t="s">
        <v>15</v>
      </c>
      <c r="J204" s="2" t="s">
        <v>15</v>
      </c>
      <c r="K204" s="2" t="s">
        <v>17</v>
      </c>
      <c r="L204" s="7">
        <v>7405.5</v>
      </c>
      <c r="M204" s="2" t="str">
        <f>_xlfn.IFS(TelecomData[[#This Row],[TenureMonths]]&lt;=12, "0-1 Year", TelecomData[[#This Row],[TenureMonths]]&lt;=36, "1-3 Years", TelecomData[[#This Row],[TenureMonths]]&gt;36, "3+ Years")</f>
        <v>3+ Years</v>
      </c>
      <c r="N204" s="2" t="str">
        <f>IF(TelecomData[[#This Row],[CleanedTotalCharges]]&gt;=2500,"High Spend", "Standard Spend")</f>
        <v>High Spend</v>
      </c>
    </row>
    <row r="205" spans="1:14" x14ac:dyDescent="0.3">
      <c r="A205" s="1" t="s">
        <v>228</v>
      </c>
      <c r="B205" s="2" t="s">
        <v>19</v>
      </c>
      <c r="C205" s="2" t="s">
        <v>13</v>
      </c>
      <c r="D205" s="2">
        <v>13</v>
      </c>
      <c r="E205" s="2" t="s">
        <v>26</v>
      </c>
      <c r="F205" s="2" t="s">
        <v>15</v>
      </c>
      <c r="G205" s="7">
        <v>78.3</v>
      </c>
      <c r="H205" s="7">
        <v>1033.95</v>
      </c>
      <c r="I205" s="2" t="s">
        <v>15</v>
      </c>
      <c r="J205" s="2" t="s">
        <v>16</v>
      </c>
      <c r="K205" s="2" t="s">
        <v>29</v>
      </c>
      <c r="L205" s="7">
        <v>1033.95</v>
      </c>
      <c r="M205" s="2" t="str">
        <f>_xlfn.IFS(TelecomData[[#This Row],[TenureMonths]]&lt;=12, "0-1 Year", TelecomData[[#This Row],[TenureMonths]]&lt;=36, "1-3 Years", TelecomData[[#This Row],[TenureMonths]]&gt;36, "3+ Years")</f>
        <v>1-3 Years</v>
      </c>
      <c r="N205" s="2" t="str">
        <f>IF(TelecomData[[#This Row],[CleanedTotalCharges]]&gt;=2500,"High Spend", "Standard Spend")</f>
        <v>Standard Spend</v>
      </c>
    </row>
    <row r="206" spans="1:14" x14ac:dyDescent="0.3">
      <c r="A206" s="1" t="s">
        <v>229</v>
      </c>
      <c r="B206" s="2" t="s">
        <v>19</v>
      </c>
      <c r="C206" s="2" t="s">
        <v>13</v>
      </c>
      <c r="D206" s="2">
        <v>44</v>
      </c>
      <c r="E206" s="2" t="s">
        <v>26</v>
      </c>
      <c r="F206" s="2" t="s">
        <v>15</v>
      </c>
      <c r="G206" s="7">
        <v>68.849999999999994</v>
      </c>
      <c r="H206" s="7">
        <v>2958.95</v>
      </c>
      <c r="I206" s="2" t="s">
        <v>15</v>
      </c>
      <c r="J206" s="2" t="s">
        <v>15</v>
      </c>
      <c r="K206" s="2" t="s">
        <v>29</v>
      </c>
      <c r="L206" s="7">
        <v>2958.95</v>
      </c>
      <c r="M206" s="2" t="str">
        <f>_xlfn.IFS(TelecomData[[#This Row],[TenureMonths]]&lt;=12, "0-1 Year", TelecomData[[#This Row],[TenureMonths]]&lt;=36, "1-3 Years", TelecomData[[#This Row],[TenureMonths]]&gt;36, "3+ Years")</f>
        <v>3+ Years</v>
      </c>
      <c r="N206" s="2" t="str">
        <f>IF(TelecomData[[#This Row],[CleanedTotalCharges]]&gt;=2500,"High Spend", "Standard Spend")</f>
        <v>High Spend</v>
      </c>
    </row>
    <row r="207" spans="1:14" x14ac:dyDescent="0.3">
      <c r="A207" s="1" t="s">
        <v>230</v>
      </c>
      <c r="B207" s="2" t="s">
        <v>12</v>
      </c>
      <c r="C207" s="2" t="s">
        <v>20</v>
      </c>
      <c r="D207" s="2">
        <v>33</v>
      </c>
      <c r="E207" s="2" t="s">
        <v>26</v>
      </c>
      <c r="F207" s="2" t="s">
        <v>16</v>
      </c>
      <c r="G207" s="7">
        <v>79.95</v>
      </c>
      <c r="H207" s="7">
        <v>2684.85</v>
      </c>
      <c r="I207" s="2" t="s">
        <v>15</v>
      </c>
      <c r="J207" s="2" t="s">
        <v>16</v>
      </c>
      <c r="K207" s="2" t="s">
        <v>24</v>
      </c>
      <c r="L207" s="7">
        <v>2684.85</v>
      </c>
      <c r="M207" s="2" t="str">
        <f>_xlfn.IFS(TelecomData[[#This Row],[TenureMonths]]&lt;=12, "0-1 Year", TelecomData[[#This Row],[TenureMonths]]&lt;=36, "1-3 Years", TelecomData[[#This Row],[TenureMonths]]&gt;36, "3+ Years")</f>
        <v>1-3 Years</v>
      </c>
      <c r="N207" s="2" t="str">
        <f>IF(TelecomData[[#This Row],[CleanedTotalCharges]]&gt;=2500,"High Spend", "Standard Spend")</f>
        <v>High Spend</v>
      </c>
    </row>
    <row r="208" spans="1:14" x14ac:dyDescent="0.3">
      <c r="A208" s="1" t="s">
        <v>231</v>
      </c>
      <c r="B208" s="2" t="s">
        <v>19</v>
      </c>
      <c r="C208" s="2" t="s">
        <v>35</v>
      </c>
      <c r="D208" s="2">
        <v>72</v>
      </c>
      <c r="E208" s="2" t="s">
        <v>14</v>
      </c>
      <c r="F208" s="2" t="s">
        <v>16</v>
      </c>
      <c r="G208" s="7">
        <v>55.45</v>
      </c>
      <c r="H208" s="7">
        <v>4179.2</v>
      </c>
      <c r="I208" s="2" t="s">
        <v>15</v>
      </c>
      <c r="J208" s="2" t="s">
        <v>16</v>
      </c>
      <c r="K208" s="2" t="s">
        <v>29</v>
      </c>
      <c r="L208" s="7">
        <v>4179.2</v>
      </c>
      <c r="M208" s="2" t="str">
        <f>_xlfn.IFS(TelecomData[[#This Row],[TenureMonths]]&lt;=12, "0-1 Year", TelecomData[[#This Row],[TenureMonths]]&lt;=36, "1-3 Years", TelecomData[[#This Row],[TenureMonths]]&gt;36, "3+ Years")</f>
        <v>3+ Years</v>
      </c>
      <c r="N208" s="2" t="str">
        <f>IF(TelecomData[[#This Row],[CleanedTotalCharges]]&gt;=2500,"High Spend", "Standard Spend")</f>
        <v>High Spend</v>
      </c>
    </row>
    <row r="209" spans="1:14" x14ac:dyDescent="0.3">
      <c r="A209" s="1" t="s">
        <v>232</v>
      </c>
      <c r="B209" s="2" t="s">
        <v>19</v>
      </c>
      <c r="C209" s="2" t="s">
        <v>13</v>
      </c>
      <c r="D209" s="2">
        <v>1</v>
      </c>
      <c r="E209" s="2" t="s">
        <v>26</v>
      </c>
      <c r="F209" s="2" t="s">
        <v>15</v>
      </c>
      <c r="G209" s="7">
        <v>79.900000000000006</v>
      </c>
      <c r="H209" s="7">
        <v>79.900000000000006</v>
      </c>
      <c r="I209" s="2" t="s">
        <v>16</v>
      </c>
      <c r="J209" s="2" t="s">
        <v>15</v>
      </c>
      <c r="K209" s="2" t="s">
        <v>17</v>
      </c>
      <c r="L209" s="7">
        <v>79.900000000000006</v>
      </c>
      <c r="M209" s="2" t="str">
        <f>_xlfn.IFS(TelecomData[[#This Row],[TenureMonths]]&lt;=12, "0-1 Year", TelecomData[[#This Row],[TenureMonths]]&lt;=36, "1-3 Years", TelecomData[[#This Row],[TenureMonths]]&gt;36, "3+ Years")</f>
        <v>0-1 Year</v>
      </c>
      <c r="N209" s="2" t="str">
        <f>IF(TelecomData[[#This Row],[CleanedTotalCharges]]&gt;=2500,"High Spend", "Standard Spend")</f>
        <v>Standard Spend</v>
      </c>
    </row>
    <row r="210" spans="1:14" x14ac:dyDescent="0.3">
      <c r="A210" s="1" t="s">
        <v>233</v>
      </c>
      <c r="B210" s="2" t="s">
        <v>12</v>
      </c>
      <c r="C210" s="2" t="s">
        <v>13</v>
      </c>
      <c r="D210" s="2">
        <v>19</v>
      </c>
      <c r="E210" s="2" t="s">
        <v>26</v>
      </c>
      <c r="F210" s="2" t="s">
        <v>16</v>
      </c>
      <c r="G210" s="7">
        <v>106.6</v>
      </c>
      <c r="H210" s="7">
        <v>1934.45</v>
      </c>
      <c r="I210" s="2" t="s">
        <v>16</v>
      </c>
      <c r="J210" s="2" t="s">
        <v>16</v>
      </c>
      <c r="K210" s="2" t="s">
        <v>17</v>
      </c>
      <c r="L210" s="7">
        <v>1934.45</v>
      </c>
      <c r="M210" s="2" t="str">
        <f>_xlfn.IFS(TelecomData[[#This Row],[TenureMonths]]&lt;=12, "0-1 Year", TelecomData[[#This Row],[TenureMonths]]&lt;=36, "1-3 Years", TelecomData[[#This Row],[TenureMonths]]&gt;36, "3+ Years")</f>
        <v>1-3 Years</v>
      </c>
      <c r="N210" s="2" t="str">
        <f>IF(TelecomData[[#This Row],[CleanedTotalCharges]]&gt;=2500,"High Spend", "Standard Spend")</f>
        <v>Standard Spend</v>
      </c>
    </row>
    <row r="211" spans="1:14" x14ac:dyDescent="0.3">
      <c r="A211" s="1" t="s">
        <v>234</v>
      </c>
      <c r="B211" s="2" t="s">
        <v>19</v>
      </c>
      <c r="C211" s="2" t="s">
        <v>20</v>
      </c>
      <c r="D211" s="2">
        <v>64</v>
      </c>
      <c r="E211" s="2" t="s">
        <v>26</v>
      </c>
      <c r="F211" s="2" t="s">
        <v>16</v>
      </c>
      <c r="G211" s="7">
        <v>102.45</v>
      </c>
      <c r="H211" s="7">
        <v>6654.1</v>
      </c>
      <c r="I211" s="2" t="s">
        <v>15</v>
      </c>
      <c r="J211" s="2" t="s">
        <v>16</v>
      </c>
      <c r="K211" s="2" t="s">
        <v>29</v>
      </c>
      <c r="L211" s="7">
        <v>6654.1</v>
      </c>
      <c r="M211" s="2" t="str">
        <f>_xlfn.IFS(TelecomData[[#This Row],[TenureMonths]]&lt;=12, "0-1 Year", TelecomData[[#This Row],[TenureMonths]]&lt;=36, "1-3 Years", TelecomData[[#This Row],[TenureMonths]]&gt;36, "3+ Years")</f>
        <v>3+ Years</v>
      </c>
      <c r="N211" s="2" t="str">
        <f>IF(TelecomData[[#This Row],[CleanedTotalCharges]]&gt;=2500,"High Spend", "Standard Spend")</f>
        <v>High Spend</v>
      </c>
    </row>
    <row r="212" spans="1:14" x14ac:dyDescent="0.3">
      <c r="A212" s="1" t="s">
        <v>235</v>
      </c>
      <c r="B212" s="2" t="s">
        <v>19</v>
      </c>
      <c r="C212" s="2" t="s">
        <v>13</v>
      </c>
      <c r="D212" s="2">
        <v>2</v>
      </c>
      <c r="E212" s="2" t="s">
        <v>14</v>
      </c>
      <c r="F212" s="2" t="s">
        <v>15</v>
      </c>
      <c r="G212" s="7">
        <v>46</v>
      </c>
      <c r="H212" s="7">
        <v>84.5</v>
      </c>
      <c r="I212" s="2" t="s">
        <v>16</v>
      </c>
      <c r="J212" s="2" t="s">
        <v>16</v>
      </c>
      <c r="K212" s="2" t="s">
        <v>29</v>
      </c>
      <c r="L212" s="7">
        <v>84.5</v>
      </c>
      <c r="M212" s="2" t="str">
        <f>_xlfn.IFS(TelecomData[[#This Row],[TenureMonths]]&lt;=12, "0-1 Year", TelecomData[[#This Row],[TenureMonths]]&lt;=36, "1-3 Years", TelecomData[[#This Row],[TenureMonths]]&gt;36, "3+ Years")</f>
        <v>0-1 Year</v>
      </c>
      <c r="N212" s="2" t="str">
        <f>IF(TelecomData[[#This Row],[CleanedTotalCharges]]&gt;=2500,"High Spend", "Standard Spend")</f>
        <v>Standard Spend</v>
      </c>
    </row>
    <row r="213" spans="1:14" x14ac:dyDescent="0.3">
      <c r="A213" s="1" t="s">
        <v>236</v>
      </c>
      <c r="B213" s="2" t="s">
        <v>12</v>
      </c>
      <c r="C213" s="2" t="s">
        <v>13</v>
      </c>
      <c r="D213" s="2">
        <v>1</v>
      </c>
      <c r="E213" s="2" t="s">
        <v>14</v>
      </c>
      <c r="F213" s="2" t="s">
        <v>15</v>
      </c>
      <c r="G213" s="7">
        <v>25.25</v>
      </c>
      <c r="H213" s="7">
        <v>25.25</v>
      </c>
      <c r="I213" s="2" t="s">
        <v>15</v>
      </c>
      <c r="J213" s="2" t="s">
        <v>15</v>
      </c>
      <c r="K213" s="2" t="s">
        <v>17</v>
      </c>
      <c r="L213" s="7">
        <v>25.25</v>
      </c>
      <c r="M213" s="2" t="str">
        <f>_xlfn.IFS(TelecomData[[#This Row],[TenureMonths]]&lt;=12, "0-1 Year", TelecomData[[#This Row],[TenureMonths]]&lt;=36, "1-3 Years", TelecomData[[#This Row],[TenureMonths]]&gt;36, "3+ Years")</f>
        <v>0-1 Year</v>
      </c>
      <c r="N213" s="2" t="str">
        <f>IF(TelecomData[[#This Row],[CleanedTotalCharges]]&gt;=2500,"High Spend", "Standard Spend")</f>
        <v>Standard Spend</v>
      </c>
    </row>
    <row r="214" spans="1:14" x14ac:dyDescent="0.3">
      <c r="A214" s="1" t="s">
        <v>237</v>
      </c>
      <c r="B214" s="2" t="s">
        <v>19</v>
      </c>
      <c r="C214" s="2" t="s">
        <v>35</v>
      </c>
      <c r="D214" s="2">
        <v>61</v>
      </c>
      <c r="E214" s="2" t="s">
        <v>15</v>
      </c>
      <c r="F214" s="2" t="s">
        <v>36</v>
      </c>
      <c r="G214" s="7">
        <v>19.75</v>
      </c>
      <c r="H214" s="7">
        <v>1124.2</v>
      </c>
      <c r="I214" s="2" t="s">
        <v>15</v>
      </c>
      <c r="J214" s="2" t="s">
        <v>15</v>
      </c>
      <c r="K214" s="2" t="s">
        <v>21</v>
      </c>
      <c r="L214" s="7">
        <v>1124.2</v>
      </c>
      <c r="M214" s="2" t="str">
        <f>_xlfn.IFS(TelecomData[[#This Row],[TenureMonths]]&lt;=12, "0-1 Year", TelecomData[[#This Row],[TenureMonths]]&lt;=36, "1-3 Years", TelecomData[[#This Row],[TenureMonths]]&gt;36, "3+ Years")</f>
        <v>3+ Years</v>
      </c>
      <c r="N214" s="2" t="str">
        <f>IF(TelecomData[[#This Row],[CleanedTotalCharges]]&gt;=2500,"High Spend", "Standard Spend")</f>
        <v>Standard Spend</v>
      </c>
    </row>
    <row r="215" spans="1:14" x14ac:dyDescent="0.3">
      <c r="A215" s="1" t="s">
        <v>238</v>
      </c>
      <c r="B215" s="2" t="s">
        <v>12</v>
      </c>
      <c r="C215" s="2" t="s">
        <v>20</v>
      </c>
      <c r="D215" s="2">
        <v>29</v>
      </c>
      <c r="E215" s="2" t="s">
        <v>15</v>
      </c>
      <c r="F215" s="2" t="s">
        <v>36</v>
      </c>
      <c r="G215" s="7">
        <v>20</v>
      </c>
      <c r="H215" s="7">
        <v>540.04999999999995</v>
      </c>
      <c r="I215" s="2" t="s">
        <v>15</v>
      </c>
      <c r="J215" s="2" t="s">
        <v>15</v>
      </c>
      <c r="K215" s="2" t="s">
        <v>17</v>
      </c>
      <c r="L215" s="7">
        <v>540.04999999999995</v>
      </c>
      <c r="M215" s="2" t="str">
        <f>_xlfn.IFS(TelecomData[[#This Row],[TenureMonths]]&lt;=12, "0-1 Year", TelecomData[[#This Row],[TenureMonths]]&lt;=36, "1-3 Years", TelecomData[[#This Row],[TenureMonths]]&gt;36, "3+ Years")</f>
        <v>1-3 Years</v>
      </c>
      <c r="N215" s="2" t="str">
        <f>IF(TelecomData[[#This Row],[CleanedTotalCharges]]&gt;=2500,"High Spend", "Standard Spend")</f>
        <v>Standard Spend</v>
      </c>
    </row>
    <row r="216" spans="1:14" x14ac:dyDescent="0.3">
      <c r="A216" s="1" t="s">
        <v>239</v>
      </c>
      <c r="B216" s="2" t="s">
        <v>19</v>
      </c>
      <c r="C216" s="2" t="s">
        <v>13</v>
      </c>
      <c r="D216" s="2">
        <v>23</v>
      </c>
      <c r="E216" s="2" t="s">
        <v>26</v>
      </c>
      <c r="F216" s="2" t="s">
        <v>15</v>
      </c>
      <c r="G216" s="7">
        <v>86.8</v>
      </c>
      <c r="H216" s="7">
        <v>1975.85</v>
      </c>
      <c r="I216" s="2" t="s">
        <v>15</v>
      </c>
      <c r="J216" s="2" t="s">
        <v>15</v>
      </c>
      <c r="K216" s="2" t="s">
        <v>17</v>
      </c>
      <c r="L216" s="7">
        <v>1975.85</v>
      </c>
      <c r="M216" s="2" t="str">
        <f>_xlfn.IFS(TelecomData[[#This Row],[TenureMonths]]&lt;=12, "0-1 Year", TelecomData[[#This Row],[TenureMonths]]&lt;=36, "1-3 Years", TelecomData[[#This Row],[TenureMonths]]&gt;36, "3+ Years")</f>
        <v>1-3 Years</v>
      </c>
      <c r="N216" s="2" t="str">
        <f>IF(TelecomData[[#This Row],[CleanedTotalCharges]]&gt;=2500,"High Spend", "Standard Spend")</f>
        <v>Standard Spend</v>
      </c>
    </row>
    <row r="217" spans="1:14" x14ac:dyDescent="0.3">
      <c r="A217" s="1" t="s">
        <v>240</v>
      </c>
      <c r="B217" s="2" t="s">
        <v>12</v>
      </c>
      <c r="C217" s="2" t="s">
        <v>13</v>
      </c>
      <c r="D217" s="2">
        <v>57</v>
      </c>
      <c r="E217" s="2" t="s">
        <v>14</v>
      </c>
      <c r="F217" s="2" t="s">
        <v>15</v>
      </c>
      <c r="G217" s="7">
        <v>58.75</v>
      </c>
      <c r="H217" s="7">
        <v>3437.45</v>
      </c>
      <c r="I217" s="2" t="s">
        <v>15</v>
      </c>
      <c r="J217" s="2" t="s">
        <v>16</v>
      </c>
      <c r="K217" s="2" t="s">
        <v>24</v>
      </c>
      <c r="L217" s="7">
        <v>3437.45</v>
      </c>
      <c r="M217" s="2" t="str">
        <f>_xlfn.IFS(TelecomData[[#This Row],[TenureMonths]]&lt;=12, "0-1 Year", TelecomData[[#This Row],[TenureMonths]]&lt;=36, "1-3 Years", TelecomData[[#This Row],[TenureMonths]]&gt;36, "3+ Years")</f>
        <v>3+ Years</v>
      </c>
      <c r="N217" s="2" t="str">
        <f>IF(TelecomData[[#This Row],[CleanedTotalCharges]]&gt;=2500,"High Spend", "Standard Spend")</f>
        <v>High Spend</v>
      </c>
    </row>
    <row r="218" spans="1:14" x14ac:dyDescent="0.3">
      <c r="A218" s="1" t="s">
        <v>241</v>
      </c>
      <c r="B218" s="2" t="s">
        <v>19</v>
      </c>
      <c r="C218" s="2" t="s">
        <v>35</v>
      </c>
      <c r="D218" s="2">
        <v>72</v>
      </c>
      <c r="E218" s="2" t="s">
        <v>14</v>
      </c>
      <c r="F218" s="2" t="s">
        <v>16</v>
      </c>
      <c r="G218" s="7">
        <v>45.25</v>
      </c>
      <c r="H218" s="7">
        <v>3139.8</v>
      </c>
      <c r="I218" s="2" t="s">
        <v>15</v>
      </c>
      <c r="J218" s="2" t="s">
        <v>15</v>
      </c>
      <c r="K218" s="2" t="s">
        <v>29</v>
      </c>
      <c r="L218" s="7">
        <v>3139.8</v>
      </c>
      <c r="M218" s="2" t="str">
        <f>_xlfn.IFS(TelecomData[[#This Row],[TenureMonths]]&lt;=12, "0-1 Year", TelecomData[[#This Row],[TenureMonths]]&lt;=36, "1-3 Years", TelecomData[[#This Row],[TenureMonths]]&gt;36, "3+ Years")</f>
        <v>3+ Years</v>
      </c>
      <c r="N218" s="2" t="str">
        <f>IF(TelecomData[[#This Row],[CleanedTotalCharges]]&gt;=2500,"High Spend", "Standard Spend")</f>
        <v>High Spend</v>
      </c>
    </row>
    <row r="219" spans="1:14" x14ac:dyDescent="0.3">
      <c r="A219" s="1" t="s">
        <v>242</v>
      </c>
      <c r="B219" s="2" t="s">
        <v>19</v>
      </c>
      <c r="C219" s="2" t="s">
        <v>35</v>
      </c>
      <c r="D219" s="2">
        <v>66</v>
      </c>
      <c r="E219" s="2" t="s">
        <v>14</v>
      </c>
      <c r="F219" s="2" t="s">
        <v>16</v>
      </c>
      <c r="G219" s="7">
        <v>56.6</v>
      </c>
      <c r="H219" s="7">
        <v>3789.2</v>
      </c>
      <c r="I219" s="2" t="s">
        <v>15</v>
      </c>
      <c r="J219" s="2" t="s">
        <v>16</v>
      </c>
      <c r="K219" s="2" t="s">
        <v>24</v>
      </c>
      <c r="L219" s="7">
        <v>3789.2</v>
      </c>
      <c r="M219" s="2" t="str">
        <f>_xlfn.IFS(TelecomData[[#This Row],[TenureMonths]]&lt;=12, "0-1 Year", TelecomData[[#This Row],[TenureMonths]]&lt;=36, "1-3 Years", TelecomData[[#This Row],[TenureMonths]]&gt;36, "3+ Years")</f>
        <v>3+ Years</v>
      </c>
      <c r="N219" s="2" t="str">
        <f>IF(TelecomData[[#This Row],[CleanedTotalCharges]]&gt;=2500,"High Spend", "Standard Spend")</f>
        <v>High Spend</v>
      </c>
    </row>
    <row r="220" spans="1:14" x14ac:dyDescent="0.3">
      <c r="A220" s="1" t="s">
        <v>243</v>
      </c>
      <c r="B220" s="2" t="s">
        <v>19</v>
      </c>
      <c r="C220" s="2" t="s">
        <v>35</v>
      </c>
      <c r="D220" s="2">
        <v>65</v>
      </c>
      <c r="E220" s="2" t="s">
        <v>14</v>
      </c>
      <c r="F220" s="2" t="s">
        <v>16</v>
      </c>
      <c r="G220" s="7">
        <v>84.2</v>
      </c>
      <c r="H220" s="7">
        <v>5324.5</v>
      </c>
      <c r="I220" s="2" t="s">
        <v>15</v>
      </c>
      <c r="J220" s="2" t="s">
        <v>16</v>
      </c>
      <c r="K220" s="2" t="s">
        <v>24</v>
      </c>
      <c r="L220" s="7">
        <v>5324.5</v>
      </c>
      <c r="M220" s="2" t="str">
        <f>_xlfn.IFS(TelecomData[[#This Row],[TenureMonths]]&lt;=12, "0-1 Year", TelecomData[[#This Row],[TenureMonths]]&lt;=36, "1-3 Years", TelecomData[[#This Row],[TenureMonths]]&gt;36, "3+ Years")</f>
        <v>3+ Years</v>
      </c>
      <c r="N220" s="2" t="str">
        <f>IF(TelecomData[[#This Row],[CleanedTotalCharges]]&gt;=2500,"High Spend", "Standard Spend")</f>
        <v>High Spend</v>
      </c>
    </row>
    <row r="221" spans="1:14" x14ac:dyDescent="0.3">
      <c r="A221" s="1" t="s">
        <v>244</v>
      </c>
      <c r="B221" s="2" t="s">
        <v>12</v>
      </c>
      <c r="C221" s="2" t="s">
        <v>13</v>
      </c>
      <c r="D221" s="2">
        <v>8</v>
      </c>
      <c r="E221" s="2" t="s">
        <v>26</v>
      </c>
      <c r="F221" s="2" t="s">
        <v>15</v>
      </c>
      <c r="G221" s="7">
        <v>80</v>
      </c>
      <c r="H221" s="7">
        <v>624.6</v>
      </c>
      <c r="I221" s="2" t="s">
        <v>15</v>
      </c>
      <c r="J221" s="2" t="s">
        <v>16</v>
      </c>
      <c r="K221" s="2" t="s">
        <v>24</v>
      </c>
      <c r="L221" s="7">
        <v>624.6</v>
      </c>
      <c r="M221" s="2" t="str">
        <f>_xlfn.IFS(TelecomData[[#This Row],[TenureMonths]]&lt;=12, "0-1 Year", TelecomData[[#This Row],[TenureMonths]]&lt;=36, "1-3 Years", TelecomData[[#This Row],[TenureMonths]]&gt;36, "3+ Years")</f>
        <v>0-1 Year</v>
      </c>
      <c r="N221" s="2" t="str">
        <f>IF(TelecomData[[#This Row],[CleanedTotalCharges]]&gt;=2500,"High Spend", "Standard Spend")</f>
        <v>Standard Spend</v>
      </c>
    </row>
    <row r="222" spans="1:14" x14ac:dyDescent="0.3">
      <c r="A222" s="1" t="s">
        <v>245</v>
      </c>
      <c r="B222" s="2" t="s">
        <v>12</v>
      </c>
      <c r="C222" s="2" t="s">
        <v>13</v>
      </c>
      <c r="D222" s="2">
        <v>4</v>
      </c>
      <c r="E222" s="2" t="s">
        <v>26</v>
      </c>
      <c r="F222" s="2" t="s">
        <v>15</v>
      </c>
      <c r="G222" s="7">
        <v>70.150000000000006</v>
      </c>
      <c r="H222" s="7">
        <v>268.35000000000002</v>
      </c>
      <c r="I222" s="2" t="s">
        <v>16</v>
      </c>
      <c r="J222" s="2" t="s">
        <v>16</v>
      </c>
      <c r="K222" s="2" t="s">
        <v>17</v>
      </c>
      <c r="L222" s="7">
        <v>268.35000000000002</v>
      </c>
      <c r="M222" s="2" t="str">
        <f>_xlfn.IFS(TelecomData[[#This Row],[TenureMonths]]&lt;=12, "0-1 Year", TelecomData[[#This Row],[TenureMonths]]&lt;=36, "1-3 Years", TelecomData[[#This Row],[TenureMonths]]&gt;36, "3+ Years")</f>
        <v>0-1 Year</v>
      </c>
      <c r="N222" s="2" t="str">
        <f>IF(TelecomData[[#This Row],[CleanedTotalCharges]]&gt;=2500,"High Spend", "Standard Spend")</f>
        <v>Standard Spend</v>
      </c>
    </row>
    <row r="223" spans="1:14" x14ac:dyDescent="0.3">
      <c r="A223" s="1" t="s">
        <v>246</v>
      </c>
      <c r="B223" s="2" t="s">
        <v>12</v>
      </c>
      <c r="C223" s="2" t="s">
        <v>35</v>
      </c>
      <c r="D223" s="2">
        <v>71</v>
      </c>
      <c r="E223" s="2" t="s">
        <v>15</v>
      </c>
      <c r="F223" s="2" t="s">
        <v>36</v>
      </c>
      <c r="G223" s="7">
        <v>24.75</v>
      </c>
      <c r="H223" s="7">
        <v>1836.9</v>
      </c>
      <c r="I223" s="2" t="s">
        <v>15</v>
      </c>
      <c r="J223" s="2" t="s">
        <v>15</v>
      </c>
      <c r="K223" s="2" t="s">
        <v>24</v>
      </c>
      <c r="L223" s="7">
        <v>1836.9</v>
      </c>
      <c r="M223" s="2" t="str">
        <f>_xlfn.IFS(TelecomData[[#This Row],[TenureMonths]]&lt;=12, "0-1 Year", TelecomData[[#This Row],[TenureMonths]]&lt;=36, "1-3 Years", TelecomData[[#This Row],[TenureMonths]]&gt;36, "3+ Years")</f>
        <v>3+ Years</v>
      </c>
      <c r="N223" s="2" t="str">
        <f>IF(TelecomData[[#This Row],[CleanedTotalCharges]]&gt;=2500,"High Spend", "Standard Spend")</f>
        <v>Standard Spend</v>
      </c>
    </row>
    <row r="224" spans="1:14" x14ac:dyDescent="0.3">
      <c r="A224" s="1" t="s">
        <v>247</v>
      </c>
      <c r="B224" s="2" t="s">
        <v>19</v>
      </c>
      <c r="C224" s="2" t="s">
        <v>20</v>
      </c>
      <c r="D224" s="2">
        <v>1</v>
      </c>
      <c r="E224" s="2" t="s">
        <v>15</v>
      </c>
      <c r="F224" s="2" t="s">
        <v>36</v>
      </c>
      <c r="G224" s="7">
        <v>20.2</v>
      </c>
      <c r="H224" s="7">
        <v>20.2</v>
      </c>
      <c r="I224" s="2" t="s">
        <v>15</v>
      </c>
      <c r="J224" s="2" t="s">
        <v>16</v>
      </c>
      <c r="K224" s="2" t="s">
        <v>17</v>
      </c>
      <c r="L224" s="7">
        <v>20.2</v>
      </c>
      <c r="M224" s="2" t="str">
        <f>_xlfn.IFS(TelecomData[[#This Row],[TenureMonths]]&lt;=12, "0-1 Year", TelecomData[[#This Row],[TenureMonths]]&lt;=36, "1-3 Years", TelecomData[[#This Row],[TenureMonths]]&gt;36, "3+ Years")</f>
        <v>0-1 Year</v>
      </c>
      <c r="N224" s="2" t="str">
        <f>IF(TelecomData[[#This Row],[CleanedTotalCharges]]&gt;=2500,"High Spend", "Standard Spend")</f>
        <v>Standard Spend</v>
      </c>
    </row>
    <row r="225" spans="1:14" x14ac:dyDescent="0.3">
      <c r="A225" s="1" t="s">
        <v>248</v>
      </c>
      <c r="B225" s="2" t="s">
        <v>19</v>
      </c>
      <c r="C225" s="2" t="s">
        <v>13</v>
      </c>
      <c r="D225" s="2">
        <v>4</v>
      </c>
      <c r="E225" s="2" t="s">
        <v>14</v>
      </c>
      <c r="F225" s="2" t="s">
        <v>16</v>
      </c>
      <c r="G225" s="7">
        <v>50.05</v>
      </c>
      <c r="H225" s="7">
        <v>179.35</v>
      </c>
      <c r="I225" s="2" t="s">
        <v>16</v>
      </c>
      <c r="J225" s="2" t="s">
        <v>15</v>
      </c>
      <c r="K225" s="2" t="s">
        <v>21</v>
      </c>
      <c r="L225" s="7">
        <v>179.35</v>
      </c>
      <c r="M225" s="2" t="str">
        <f>_xlfn.IFS(TelecomData[[#This Row],[TenureMonths]]&lt;=12, "0-1 Year", TelecomData[[#This Row],[TenureMonths]]&lt;=36, "1-3 Years", TelecomData[[#This Row],[TenureMonths]]&gt;36, "3+ Years")</f>
        <v>0-1 Year</v>
      </c>
      <c r="N225" s="2" t="str">
        <f>IF(TelecomData[[#This Row],[CleanedTotalCharges]]&gt;=2500,"High Spend", "Standard Spend")</f>
        <v>Standard Spend</v>
      </c>
    </row>
    <row r="226" spans="1:14" x14ac:dyDescent="0.3">
      <c r="A226" s="1" t="s">
        <v>249</v>
      </c>
      <c r="B226" s="2" t="s">
        <v>12</v>
      </c>
      <c r="C226" s="2" t="s">
        <v>20</v>
      </c>
      <c r="D226" s="2">
        <v>12</v>
      </c>
      <c r="E226" s="2" t="s">
        <v>15</v>
      </c>
      <c r="F226" s="2" t="s">
        <v>36</v>
      </c>
      <c r="G226" s="7">
        <v>19.350000000000001</v>
      </c>
      <c r="H226" s="7">
        <v>219.35</v>
      </c>
      <c r="I226" s="2" t="s">
        <v>15</v>
      </c>
      <c r="J226" s="2" t="s">
        <v>16</v>
      </c>
      <c r="K226" s="2" t="s">
        <v>24</v>
      </c>
      <c r="L226" s="7">
        <v>219.35</v>
      </c>
      <c r="M226" s="2" t="str">
        <f>_xlfn.IFS(TelecomData[[#This Row],[TenureMonths]]&lt;=12, "0-1 Year", TelecomData[[#This Row],[TenureMonths]]&lt;=36, "1-3 Years", TelecomData[[#This Row],[TenureMonths]]&gt;36, "3+ Years")</f>
        <v>0-1 Year</v>
      </c>
      <c r="N226" s="2" t="str">
        <f>IF(TelecomData[[#This Row],[CleanedTotalCharges]]&gt;=2500,"High Spend", "Standard Spend")</f>
        <v>Standard Spend</v>
      </c>
    </row>
    <row r="227" spans="1:14" x14ac:dyDescent="0.3">
      <c r="A227" s="1" t="s">
        <v>250</v>
      </c>
      <c r="B227" s="2" t="s">
        <v>19</v>
      </c>
      <c r="C227" s="2" t="s">
        <v>20</v>
      </c>
      <c r="D227" s="2">
        <v>24</v>
      </c>
      <c r="E227" s="2" t="s">
        <v>14</v>
      </c>
      <c r="F227" s="2" t="s">
        <v>15</v>
      </c>
      <c r="G227" s="7">
        <v>50.6</v>
      </c>
      <c r="H227" s="7">
        <v>1288.75</v>
      </c>
      <c r="I227" s="2" t="s">
        <v>15</v>
      </c>
      <c r="J227" s="2" t="s">
        <v>16</v>
      </c>
      <c r="K227" s="2" t="s">
        <v>21</v>
      </c>
      <c r="L227" s="7">
        <v>1288.75</v>
      </c>
      <c r="M227" s="2" t="str">
        <f>_xlfn.IFS(TelecomData[[#This Row],[TenureMonths]]&lt;=12, "0-1 Year", TelecomData[[#This Row],[TenureMonths]]&lt;=36, "1-3 Years", TelecomData[[#This Row],[TenureMonths]]&gt;36, "3+ Years")</f>
        <v>1-3 Years</v>
      </c>
      <c r="N227" s="2" t="str">
        <f>IF(TelecomData[[#This Row],[CleanedTotalCharges]]&gt;=2500,"High Spend", "Standard Spend")</f>
        <v>Standard Spend</v>
      </c>
    </row>
    <row r="228" spans="1:14" x14ac:dyDescent="0.3">
      <c r="A228" s="1" t="s">
        <v>251</v>
      </c>
      <c r="B228" s="2" t="s">
        <v>12</v>
      </c>
      <c r="C228" s="2" t="s">
        <v>20</v>
      </c>
      <c r="D228" s="2">
        <v>31</v>
      </c>
      <c r="E228" s="2" t="s">
        <v>14</v>
      </c>
      <c r="F228" s="2" t="s">
        <v>16</v>
      </c>
      <c r="G228" s="7">
        <v>81.150000000000006</v>
      </c>
      <c r="H228" s="7">
        <v>2545.75</v>
      </c>
      <c r="I228" s="2" t="s">
        <v>15</v>
      </c>
      <c r="J228" s="2" t="s">
        <v>16</v>
      </c>
      <c r="K228" s="2" t="s">
        <v>21</v>
      </c>
      <c r="L228" s="7">
        <v>2545.75</v>
      </c>
      <c r="M228" s="2" t="str">
        <f>_xlfn.IFS(TelecomData[[#This Row],[TenureMonths]]&lt;=12, "0-1 Year", TelecomData[[#This Row],[TenureMonths]]&lt;=36, "1-3 Years", TelecomData[[#This Row],[TenureMonths]]&gt;36, "3+ Years")</f>
        <v>1-3 Years</v>
      </c>
      <c r="N228" s="2" t="str">
        <f>IF(TelecomData[[#This Row],[CleanedTotalCharges]]&gt;=2500,"High Spend", "Standard Spend")</f>
        <v>High Spend</v>
      </c>
    </row>
    <row r="229" spans="1:14" x14ac:dyDescent="0.3">
      <c r="A229" s="1" t="s">
        <v>252</v>
      </c>
      <c r="B229" s="2" t="s">
        <v>12</v>
      </c>
      <c r="C229" s="2" t="s">
        <v>13</v>
      </c>
      <c r="D229" s="2">
        <v>1</v>
      </c>
      <c r="E229" s="2" t="s">
        <v>14</v>
      </c>
      <c r="F229" s="2" t="s">
        <v>15</v>
      </c>
      <c r="G229" s="7">
        <v>55.2</v>
      </c>
      <c r="H229" s="7">
        <v>55.2</v>
      </c>
      <c r="I229" s="2" t="s">
        <v>16</v>
      </c>
      <c r="J229" s="2" t="s">
        <v>15</v>
      </c>
      <c r="K229" s="2" t="s">
        <v>21</v>
      </c>
      <c r="L229" s="7">
        <v>55.2</v>
      </c>
      <c r="M229" s="2" t="str">
        <f>_xlfn.IFS(TelecomData[[#This Row],[TenureMonths]]&lt;=12, "0-1 Year", TelecomData[[#This Row],[TenureMonths]]&lt;=36, "1-3 Years", TelecomData[[#This Row],[TenureMonths]]&gt;36, "3+ Years")</f>
        <v>0-1 Year</v>
      </c>
      <c r="N229" s="2" t="str">
        <f>IF(TelecomData[[#This Row],[CleanedTotalCharges]]&gt;=2500,"High Spend", "Standard Spend")</f>
        <v>Standard Spend</v>
      </c>
    </row>
    <row r="230" spans="1:14" x14ac:dyDescent="0.3">
      <c r="A230" s="1" t="s">
        <v>253</v>
      </c>
      <c r="B230" s="2" t="s">
        <v>19</v>
      </c>
      <c r="C230" s="2" t="s">
        <v>13</v>
      </c>
      <c r="D230" s="2">
        <v>30</v>
      </c>
      <c r="E230" s="2" t="s">
        <v>26</v>
      </c>
      <c r="F230" s="2" t="s">
        <v>16</v>
      </c>
      <c r="G230" s="7">
        <v>89.9</v>
      </c>
      <c r="H230" s="7">
        <v>2723.15</v>
      </c>
      <c r="I230" s="2" t="s">
        <v>15</v>
      </c>
      <c r="J230" s="2" t="s">
        <v>16</v>
      </c>
      <c r="K230" s="2" t="s">
        <v>29</v>
      </c>
      <c r="L230" s="7">
        <v>2723.15</v>
      </c>
      <c r="M230" s="2" t="str">
        <f>_xlfn.IFS(TelecomData[[#This Row],[TenureMonths]]&lt;=12, "0-1 Year", TelecomData[[#This Row],[TenureMonths]]&lt;=36, "1-3 Years", TelecomData[[#This Row],[TenureMonths]]&gt;36, "3+ Years")</f>
        <v>1-3 Years</v>
      </c>
      <c r="N230" s="2" t="str">
        <f>IF(TelecomData[[#This Row],[CleanedTotalCharges]]&gt;=2500,"High Spend", "Standard Spend")</f>
        <v>High Spend</v>
      </c>
    </row>
    <row r="231" spans="1:14" x14ac:dyDescent="0.3">
      <c r="A231" s="1" t="s">
        <v>254</v>
      </c>
      <c r="B231" s="2" t="s">
        <v>12</v>
      </c>
      <c r="C231" s="2" t="s">
        <v>35</v>
      </c>
      <c r="D231" s="2">
        <v>47</v>
      </c>
      <c r="E231" s="2" t="s">
        <v>14</v>
      </c>
      <c r="F231" s="2" t="s">
        <v>16</v>
      </c>
      <c r="G231" s="7">
        <v>85.3</v>
      </c>
      <c r="H231" s="7">
        <v>4107.25</v>
      </c>
      <c r="I231" s="2" t="s">
        <v>15</v>
      </c>
      <c r="J231" s="2" t="s">
        <v>16</v>
      </c>
      <c r="K231" s="2" t="s">
        <v>29</v>
      </c>
      <c r="L231" s="7">
        <v>4107.25</v>
      </c>
      <c r="M231" s="2" t="str">
        <f>_xlfn.IFS(TelecomData[[#This Row],[TenureMonths]]&lt;=12, "0-1 Year", TelecomData[[#This Row],[TenureMonths]]&lt;=36, "1-3 Years", TelecomData[[#This Row],[TenureMonths]]&gt;36, "3+ Years")</f>
        <v>3+ Years</v>
      </c>
      <c r="N231" s="2" t="str">
        <f>IF(TelecomData[[#This Row],[CleanedTotalCharges]]&gt;=2500,"High Spend", "Standard Spend")</f>
        <v>High Spend</v>
      </c>
    </row>
    <row r="232" spans="1:14" x14ac:dyDescent="0.3">
      <c r="A232" s="1" t="s">
        <v>255</v>
      </c>
      <c r="B232" s="2" t="s">
        <v>19</v>
      </c>
      <c r="C232" s="2" t="s">
        <v>35</v>
      </c>
      <c r="D232" s="2">
        <v>54</v>
      </c>
      <c r="E232" s="2" t="s">
        <v>26</v>
      </c>
      <c r="F232" s="2" t="s">
        <v>16</v>
      </c>
      <c r="G232" s="7">
        <v>108</v>
      </c>
      <c r="H232" s="7">
        <v>5760.65</v>
      </c>
      <c r="I232" s="2" t="s">
        <v>15</v>
      </c>
      <c r="J232" s="2" t="s">
        <v>16</v>
      </c>
      <c r="K232" s="2" t="s">
        <v>29</v>
      </c>
      <c r="L232" s="7">
        <v>5760.65</v>
      </c>
      <c r="M232" s="2" t="str">
        <f>_xlfn.IFS(TelecomData[[#This Row],[TenureMonths]]&lt;=12, "0-1 Year", TelecomData[[#This Row],[TenureMonths]]&lt;=36, "1-3 Years", TelecomData[[#This Row],[TenureMonths]]&gt;36, "3+ Years")</f>
        <v>3+ Years</v>
      </c>
      <c r="N232" s="2" t="str">
        <f>IF(TelecomData[[#This Row],[CleanedTotalCharges]]&gt;=2500,"High Spend", "Standard Spend")</f>
        <v>High Spend</v>
      </c>
    </row>
    <row r="233" spans="1:14" x14ac:dyDescent="0.3">
      <c r="A233" s="1" t="s">
        <v>256</v>
      </c>
      <c r="B233" s="2" t="s">
        <v>19</v>
      </c>
      <c r="C233" s="2" t="s">
        <v>13</v>
      </c>
      <c r="D233" s="2">
        <v>50</v>
      </c>
      <c r="E233" s="2" t="s">
        <v>26</v>
      </c>
      <c r="F233" s="2" t="s">
        <v>16</v>
      </c>
      <c r="G233" s="7">
        <v>93.5</v>
      </c>
      <c r="H233" s="7">
        <v>4747.5</v>
      </c>
      <c r="I233" s="2" t="s">
        <v>15</v>
      </c>
      <c r="J233" s="2" t="s">
        <v>16</v>
      </c>
      <c r="K233" s="2" t="s">
        <v>29</v>
      </c>
      <c r="L233" s="7">
        <v>4747.5</v>
      </c>
      <c r="M233" s="2" t="str">
        <f>_xlfn.IFS(TelecomData[[#This Row],[TenureMonths]]&lt;=12, "0-1 Year", TelecomData[[#This Row],[TenureMonths]]&lt;=36, "1-3 Years", TelecomData[[#This Row],[TenureMonths]]&gt;36, "3+ Years")</f>
        <v>3+ Years</v>
      </c>
      <c r="N233" s="2" t="str">
        <f>IF(TelecomData[[#This Row],[CleanedTotalCharges]]&gt;=2500,"High Spend", "Standard Spend")</f>
        <v>High Spend</v>
      </c>
    </row>
    <row r="234" spans="1:14" x14ac:dyDescent="0.3">
      <c r="A234" s="1" t="s">
        <v>257</v>
      </c>
      <c r="B234" s="2" t="s">
        <v>19</v>
      </c>
      <c r="C234" s="2" t="s">
        <v>13</v>
      </c>
      <c r="D234" s="2">
        <v>1</v>
      </c>
      <c r="E234" s="2" t="s">
        <v>26</v>
      </c>
      <c r="F234" s="2" t="s">
        <v>15</v>
      </c>
      <c r="G234" s="7">
        <v>84.6</v>
      </c>
      <c r="H234" s="7">
        <v>84.6</v>
      </c>
      <c r="I234" s="2" t="s">
        <v>16</v>
      </c>
      <c r="J234" s="2" t="s">
        <v>16</v>
      </c>
      <c r="K234" s="2" t="s">
        <v>21</v>
      </c>
      <c r="L234" s="7">
        <v>84.6</v>
      </c>
      <c r="M234" s="2" t="str">
        <f>_xlfn.IFS(TelecomData[[#This Row],[TenureMonths]]&lt;=12, "0-1 Year", TelecomData[[#This Row],[TenureMonths]]&lt;=36, "1-3 Years", TelecomData[[#This Row],[TenureMonths]]&gt;36, "3+ Years")</f>
        <v>0-1 Year</v>
      </c>
      <c r="N234" s="2" t="str">
        <f>IF(TelecomData[[#This Row],[CleanedTotalCharges]]&gt;=2500,"High Spend", "Standard Spend")</f>
        <v>Standard Spend</v>
      </c>
    </row>
    <row r="235" spans="1:14" x14ac:dyDescent="0.3">
      <c r="A235" s="1" t="s">
        <v>258</v>
      </c>
      <c r="B235" s="2" t="s">
        <v>12</v>
      </c>
      <c r="C235" s="2" t="s">
        <v>35</v>
      </c>
      <c r="D235" s="2">
        <v>72</v>
      </c>
      <c r="E235" s="2" t="s">
        <v>15</v>
      </c>
      <c r="F235" s="2" t="s">
        <v>36</v>
      </c>
      <c r="G235" s="7">
        <v>20.25</v>
      </c>
      <c r="H235" s="7">
        <v>1566.9</v>
      </c>
      <c r="I235" s="2" t="s">
        <v>15</v>
      </c>
      <c r="J235" s="2" t="s">
        <v>15</v>
      </c>
      <c r="K235" s="2" t="s">
        <v>29</v>
      </c>
      <c r="L235" s="7">
        <v>1566.9</v>
      </c>
      <c r="M235" s="2" t="str">
        <f>_xlfn.IFS(TelecomData[[#This Row],[TenureMonths]]&lt;=12, "0-1 Year", TelecomData[[#This Row],[TenureMonths]]&lt;=36, "1-3 Years", TelecomData[[#This Row],[TenureMonths]]&gt;36, "3+ Years")</f>
        <v>3+ Years</v>
      </c>
      <c r="N235" s="2" t="str">
        <f>IF(TelecomData[[#This Row],[CleanedTotalCharges]]&gt;=2500,"High Spend", "Standard Spend")</f>
        <v>Standard Spend</v>
      </c>
    </row>
    <row r="236" spans="1:14" x14ac:dyDescent="0.3">
      <c r="A236" s="1" t="s">
        <v>259</v>
      </c>
      <c r="B236" s="2" t="s">
        <v>12</v>
      </c>
      <c r="C236" s="2" t="s">
        <v>13</v>
      </c>
      <c r="D236" s="2">
        <v>29</v>
      </c>
      <c r="E236" s="2" t="s">
        <v>15</v>
      </c>
      <c r="F236" s="2" t="s">
        <v>36</v>
      </c>
      <c r="G236" s="7">
        <v>25.15</v>
      </c>
      <c r="H236" s="7">
        <v>702</v>
      </c>
      <c r="I236" s="2" t="s">
        <v>15</v>
      </c>
      <c r="J236" s="2" t="s">
        <v>15</v>
      </c>
      <c r="K236" s="2" t="s">
        <v>17</v>
      </c>
      <c r="L236" s="7">
        <v>702</v>
      </c>
      <c r="M236" s="2" t="str">
        <f>_xlfn.IFS(TelecomData[[#This Row],[TenureMonths]]&lt;=12, "0-1 Year", TelecomData[[#This Row],[TenureMonths]]&lt;=36, "1-3 Years", TelecomData[[#This Row],[TenureMonths]]&gt;36, "3+ Years")</f>
        <v>1-3 Years</v>
      </c>
      <c r="N236" s="2" t="str">
        <f>IF(TelecomData[[#This Row],[CleanedTotalCharges]]&gt;=2500,"High Spend", "Standard Spend")</f>
        <v>Standard Spend</v>
      </c>
    </row>
    <row r="237" spans="1:14" x14ac:dyDescent="0.3">
      <c r="A237" s="1" t="s">
        <v>260</v>
      </c>
      <c r="B237" s="2" t="s">
        <v>19</v>
      </c>
      <c r="C237" s="2" t="s">
        <v>13</v>
      </c>
      <c r="D237" s="2">
        <v>2</v>
      </c>
      <c r="E237" s="2" t="s">
        <v>14</v>
      </c>
      <c r="F237" s="2" t="s">
        <v>15</v>
      </c>
      <c r="G237" s="7">
        <v>54.4</v>
      </c>
      <c r="H237" s="7">
        <v>114.1</v>
      </c>
      <c r="I237" s="2" t="s">
        <v>16</v>
      </c>
      <c r="J237" s="2" t="s">
        <v>16</v>
      </c>
      <c r="K237" s="2" t="s">
        <v>21</v>
      </c>
      <c r="L237" s="7">
        <v>114.1</v>
      </c>
      <c r="M237" s="2" t="str">
        <f>_xlfn.IFS(TelecomData[[#This Row],[TenureMonths]]&lt;=12, "0-1 Year", TelecomData[[#This Row],[TenureMonths]]&lt;=36, "1-3 Years", TelecomData[[#This Row],[TenureMonths]]&gt;36, "3+ Years")</f>
        <v>0-1 Year</v>
      </c>
      <c r="N237" s="2" t="str">
        <f>IF(TelecomData[[#This Row],[CleanedTotalCharges]]&gt;=2500,"High Spend", "Standard Spend")</f>
        <v>Standard Spend</v>
      </c>
    </row>
    <row r="238" spans="1:14" x14ac:dyDescent="0.3">
      <c r="A238" s="1" t="s">
        <v>261</v>
      </c>
      <c r="B238" s="2" t="s">
        <v>12</v>
      </c>
      <c r="C238" s="2" t="s">
        <v>35</v>
      </c>
      <c r="D238" s="2">
        <v>10</v>
      </c>
      <c r="E238" s="2" t="s">
        <v>14</v>
      </c>
      <c r="F238" s="2" t="s">
        <v>16</v>
      </c>
      <c r="G238" s="7">
        <v>29.6</v>
      </c>
      <c r="H238" s="7">
        <v>299.05</v>
      </c>
      <c r="I238" s="2" t="s">
        <v>15</v>
      </c>
      <c r="J238" s="2" t="s">
        <v>16</v>
      </c>
      <c r="K238" s="2" t="s">
        <v>21</v>
      </c>
      <c r="L238" s="7">
        <v>299.05</v>
      </c>
      <c r="M238" s="2" t="str">
        <f>_xlfn.IFS(TelecomData[[#This Row],[TenureMonths]]&lt;=12, "0-1 Year", TelecomData[[#This Row],[TenureMonths]]&lt;=36, "1-3 Years", TelecomData[[#This Row],[TenureMonths]]&gt;36, "3+ Years")</f>
        <v>0-1 Year</v>
      </c>
      <c r="N238" s="2" t="str">
        <f>IF(TelecomData[[#This Row],[CleanedTotalCharges]]&gt;=2500,"High Spend", "Standard Spend")</f>
        <v>Standard Spend</v>
      </c>
    </row>
    <row r="239" spans="1:14" x14ac:dyDescent="0.3">
      <c r="A239" s="1" t="s">
        <v>262</v>
      </c>
      <c r="B239" s="2" t="s">
        <v>19</v>
      </c>
      <c r="C239" s="2" t="s">
        <v>13</v>
      </c>
      <c r="D239" s="2">
        <v>18</v>
      </c>
      <c r="E239" s="2" t="s">
        <v>26</v>
      </c>
      <c r="F239" s="2" t="s">
        <v>15</v>
      </c>
      <c r="G239" s="7">
        <v>73.150000000000006</v>
      </c>
      <c r="H239" s="7">
        <v>1305.95</v>
      </c>
      <c r="I239" s="2" t="s">
        <v>15</v>
      </c>
      <c r="J239" s="2" t="s">
        <v>16</v>
      </c>
      <c r="K239" s="2" t="s">
        <v>17</v>
      </c>
      <c r="L239" s="7">
        <v>1305.95</v>
      </c>
      <c r="M239" s="2" t="str">
        <f>_xlfn.IFS(TelecomData[[#This Row],[TenureMonths]]&lt;=12, "0-1 Year", TelecomData[[#This Row],[TenureMonths]]&lt;=36, "1-3 Years", TelecomData[[#This Row],[TenureMonths]]&gt;36, "3+ Years")</f>
        <v>1-3 Years</v>
      </c>
      <c r="N239" s="2" t="str">
        <f>IF(TelecomData[[#This Row],[CleanedTotalCharges]]&gt;=2500,"High Spend", "Standard Spend")</f>
        <v>Standard Spend</v>
      </c>
    </row>
    <row r="240" spans="1:14" x14ac:dyDescent="0.3">
      <c r="A240" s="1" t="s">
        <v>263</v>
      </c>
      <c r="B240" s="2" t="s">
        <v>12</v>
      </c>
      <c r="C240" s="2" t="s">
        <v>13</v>
      </c>
      <c r="D240" s="2">
        <v>11</v>
      </c>
      <c r="E240" s="2" t="s">
        <v>26</v>
      </c>
      <c r="F240" s="2" t="s">
        <v>15</v>
      </c>
      <c r="G240" s="7">
        <v>95</v>
      </c>
      <c r="H240" s="7">
        <v>1120.3</v>
      </c>
      <c r="I240" s="2" t="s">
        <v>16</v>
      </c>
      <c r="J240" s="2" t="s">
        <v>16</v>
      </c>
      <c r="K240" s="2" t="s">
        <v>17</v>
      </c>
      <c r="L240" s="7">
        <v>1120.3</v>
      </c>
      <c r="M240" s="2" t="str">
        <f>_xlfn.IFS(TelecomData[[#This Row],[TenureMonths]]&lt;=12, "0-1 Year", TelecomData[[#This Row],[TenureMonths]]&lt;=36, "1-3 Years", TelecomData[[#This Row],[TenureMonths]]&gt;36, "3+ Years")</f>
        <v>0-1 Year</v>
      </c>
      <c r="N240" s="2" t="str">
        <f>IF(TelecomData[[#This Row],[CleanedTotalCharges]]&gt;=2500,"High Spend", "Standard Spend")</f>
        <v>Standard Spend</v>
      </c>
    </row>
    <row r="241" spans="1:14" x14ac:dyDescent="0.3">
      <c r="A241" s="1" t="s">
        <v>264</v>
      </c>
      <c r="B241" s="2" t="s">
        <v>19</v>
      </c>
      <c r="C241" s="2" t="s">
        <v>35</v>
      </c>
      <c r="D241" s="2">
        <v>16</v>
      </c>
      <c r="E241" s="2" t="s">
        <v>15</v>
      </c>
      <c r="F241" s="2" t="s">
        <v>36</v>
      </c>
      <c r="G241" s="7">
        <v>19.75</v>
      </c>
      <c r="H241" s="7">
        <v>284.35000000000002</v>
      </c>
      <c r="I241" s="2" t="s">
        <v>15</v>
      </c>
      <c r="J241" s="2" t="s">
        <v>15</v>
      </c>
      <c r="K241" s="2" t="s">
        <v>21</v>
      </c>
      <c r="L241" s="7">
        <v>284.35000000000002</v>
      </c>
      <c r="M241" s="2" t="str">
        <f>_xlfn.IFS(TelecomData[[#This Row],[TenureMonths]]&lt;=12, "0-1 Year", TelecomData[[#This Row],[TenureMonths]]&lt;=36, "1-3 Years", TelecomData[[#This Row],[TenureMonths]]&gt;36, "3+ Years")</f>
        <v>1-3 Years</v>
      </c>
      <c r="N241" s="2" t="str">
        <f>IF(TelecomData[[#This Row],[CleanedTotalCharges]]&gt;=2500,"High Spend", "Standard Spend")</f>
        <v>Standard Spend</v>
      </c>
    </row>
    <row r="242" spans="1:14" x14ac:dyDescent="0.3">
      <c r="A242" s="1" t="s">
        <v>265</v>
      </c>
      <c r="B242" s="2" t="s">
        <v>12</v>
      </c>
      <c r="C242" s="2" t="s">
        <v>35</v>
      </c>
      <c r="D242" s="2">
        <v>72</v>
      </c>
      <c r="E242" s="2" t="s">
        <v>14</v>
      </c>
      <c r="F242" s="2" t="s">
        <v>16</v>
      </c>
      <c r="G242" s="7">
        <v>86.6</v>
      </c>
      <c r="H242" s="7">
        <v>6350.5</v>
      </c>
      <c r="I242" s="2" t="s">
        <v>15</v>
      </c>
      <c r="J242" s="2" t="s">
        <v>15</v>
      </c>
      <c r="K242" s="2" t="s">
        <v>24</v>
      </c>
      <c r="L242" s="7">
        <v>6350.5</v>
      </c>
      <c r="M242" s="2" t="str">
        <f>_xlfn.IFS(TelecomData[[#This Row],[TenureMonths]]&lt;=12, "0-1 Year", TelecomData[[#This Row],[TenureMonths]]&lt;=36, "1-3 Years", TelecomData[[#This Row],[TenureMonths]]&gt;36, "3+ Years")</f>
        <v>3+ Years</v>
      </c>
      <c r="N242" s="2" t="str">
        <f>IF(TelecomData[[#This Row],[CleanedTotalCharges]]&gt;=2500,"High Spend", "Standard Spend")</f>
        <v>High Spend</v>
      </c>
    </row>
    <row r="243" spans="1:14" x14ac:dyDescent="0.3">
      <c r="A243" s="1" t="s">
        <v>266</v>
      </c>
      <c r="B243" s="2" t="s">
        <v>19</v>
      </c>
      <c r="C243" s="2" t="s">
        <v>35</v>
      </c>
      <c r="D243" s="2">
        <v>72</v>
      </c>
      <c r="E243" s="2" t="s">
        <v>26</v>
      </c>
      <c r="F243" s="2" t="s">
        <v>16</v>
      </c>
      <c r="G243" s="7">
        <v>109.2</v>
      </c>
      <c r="H243" s="7">
        <v>7878.3</v>
      </c>
      <c r="I243" s="2" t="s">
        <v>15</v>
      </c>
      <c r="J243" s="2" t="s">
        <v>15</v>
      </c>
      <c r="K243" s="2" t="s">
        <v>24</v>
      </c>
      <c r="L243" s="7">
        <v>7878.3</v>
      </c>
      <c r="M243" s="2" t="str">
        <f>_xlfn.IFS(TelecomData[[#This Row],[TenureMonths]]&lt;=12, "0-1 Year", TelecomData[[#This Row],[TenureMonths]]&lt;=36, "1-3 Years", TelecomData[[#This Row],[TenureMonths]]&gt;36, "3+ Years")</f>
        <v>3+ Years</v>
      </c>
      <c r="N243" s="2" t="str">
        <f>IF(TelecomData[[#This Row],[CleanedTotalCharges]]&gt;=2500,"High Spend", "Standard Spend")</f>
        <v>High Spend</v>
      </c>
    </row>
    <row r="244" spans="1:14" x14ac:dyDescent="0.3">
      <c r="A244" s="1" t="s">
        <v>267</v>
      </c>
      <c r="B244" s="2" t="s">
        <v>12</v>
      </c>
      <c r="C244" s="2" t="s">
        <v>20</v>
      </c>
      <c r="D244" s="2">
        <v>41</v>
      </c>
      <c r="E244" s="2" t="s">
        <v>14</v>
      </c>
      <c r="F244" s="2" t="s">
        <v>16</v>
      </c>
      <c r="G244" s="7">
        <v>74.7</v>
      </c>
      <c r="H244" s="7">
        <v>3187.65</v>
      </c>
      <c r="I244" s="2" t="s">
        <v>15</v>
      </c>
      <c r="J244" s="2" t="s">
        <v>16</v>
      </c>
      <c r="K244" s="2" t="s">
        <v>29</v>
      </c>
      <c r="L244" s="7">
        <v>3187.65</v>
      </c>
      <c r="M244" s="2" t="str">
        <f>_xlfn.IFS(TelecomData[[#This Row],[TenureMonths]]&lt;=12, "0-1 Year", TelecomData[[#This Row],[TenureMonths]]&lt;=36, "1-3 Years", TelecomData[[#This Row],[TenureMonths]]&gt;36, "3+ Years")</f>
        <v>3+ Years</v>
      </c>
      <c r="N244" s="2" t="str">
        <f>IF(TelecomData[[#This Row],[CleanedTotalCharges]]&gt;=2500,"High Spend", "Standard Spend")</f>
        <v>High Spend</v>
      </c>
    </row>
    <row r="245" spans="1:14" x14ac:dyDescent="0.3">
      <c r="A245" s="1" t="s">
        <v>268</v>
      </c>
      <c r="B245" s="2" t="s">
        <v>12</v>
      </c>
      <c r="C245" s="2" t="s">
        <v>13</v>
      </c>
      <c r="D245" s="2">
        <v>65</v>
      </c>
      <c r="E245" s="2" t="s">
        <v>26</v>
      </c>
      <c r="F245" s="2" t="s">
        <v>15</v>
      </c>
      <c r="G245" s="7">
        <v>94.4</v>
      </c>
      <c r="H245" s="7">
        <v>6126.15</v>
      </c>
      <c r="I245" s="2" t="s">
        <v>15</v>
      </c>
      <c r="J245" s="2" t="s">
        <v>15</v>
      </c>
      <c r="K245" s="2" t="s">
        <v>17</v>
      </c>
      <c r="L245" s="7">
        <v>6126.15</v>
      </c>
      <c r="M245" s="2" t="str">
        <f>_xlfn.IFS(TelecomData[[#This Row],[TenureMonths]]&lt;=12, "0-1 Year", TelecomData[[#This Row],[TenureMonths]]&lt;=36, "1-3 Years", TelecomData[[#This Row],[TenureMonths]]&gt;36, "3+ Years")</f>
        <v>3+ Years</v>
      </c>
      <c r="N245" s="2" t="str">
        <f>IF(TelecomData[[#This Row],[CleanedTotalCharges]]&gt;=2500,"High Spend", "Standard Spend")</f>
        <v>High Spend</v>
      </c>
    </row>
    <row r="246" spans="1:14" x14ac:dyDescent="0.3">
      <c r="A246" s="1" t="s">
        <v>269</v>
      </c>
      <c r="B246" s="2" t="s">
        <v>12</v>
      </c>
      <c r="C246" s="2" t="s">
        <v>13</v>
      </c>
      <c r="D246" s="2">
        <v>13</v>
      </c>
      <c r="E246" s="2" t="s">
        <v>14</v>
      </c>
      <c r="F246" s="2" t="s">
        <v>15</v>
      </c>
      <c r="G246" s="7">
        <v>54.8</v>
      </c>
      <c r="H246" s="7">
        <v>731.3</v>
      </c>
      <c r="I246" s="2" t="s">
        <v>15</v>
      </c>
      <c r="J246" s="2" t="s">
        <v>16</v>
      </c>
      <c r="K246" s="2" t="s">
        <v>17</v>
      </c>
      <c r="L246" s="7">
        <v>731.3</v>
      </c>
      <c r="M246" s="2" t="str">
        <f>_xlfn.IFS(TelecomData[[#This Row],[TenureMonths]]&lt;=12, "0-1 Year", TelecomData[[#This Row],[TenureMonths]]&lt;=36, "1-3 Years", TelecomData[[#This Row],[TenureMonths]]&gt;36, "3+ Years")</f>
        <v>1-3 Years</v>
      </c>
      <c r="N246" s="2" t="str">
        <f>IF(TelecomData[[#This Row],[CleanedTotalCharges]]&gt;=2500,"High Spend", "Standard Spend")</f>
        <v>Standard Spend</v>
      </c>
    </row>
    <row r="247" spans="1:14" x14ac:dyDescent="0.3">
      <c r="A247" s="1" t="s">
        <v>270</v>
      </c>
      <c r="B247" s="2" t="s">
        <v>19</v>
      </c>
      <c r="C247" s="2" t="s">
        <v>13</v>
      </c>
      <c r="D247" s="2">
        <v>4</v>
      </c>
      <c r="E247" s="2" t="s">
        <v>26</v>
      </c>
      <c r="F247" s="2" t="s">
        <v>15</v>
      </c>
      <c r="G247" s="7">
        <v>75.349999999999994</v>
      </c>
      <c r="H247" s="7">
        <v>273.39999999999998</v>
      </c>
      <c r="I247" s="2" t="s">
        <v>15</v>
      </c>
      <c r="J247" s="2" t="s">
        <v>15</v>
      </c>
      <c r="K247" s="2" t="s">
        <v>17</v>
      </c>
      <c r="L247" s="7">
        <v>273.39999999999998</v>
      </c>
      <c r="M247" s="2" t="str">
        <f>_xlfn.IFS(TelecomData[[#This Row],[TenureMonths]]&lt;=12, "0-1 Year", TelecomData[[#This Row],[TenureMonths]]&lt;=36, "1-3 Years", TelecomData[[#This Row],[TenureMonths]]&gt;36, "3+ Years")</f>
        <v>0-1 Year</v>
      </c>
      <c r="N247" s="2" t="str">
        <f>IF(TelecomData[[#This Row],[CleanedTotalCharges]]&gt;=2500,"High Spend", "Standard Spend")</f>
        <v>Standard Spend</v>
      </c>
    </row>
    <row r="248" spans="1:14" x14ac:dyDescent="0.3">
      <c r="A248" s="1" t="s">
        <v>271</v>
      </c>
      <c r="B248" s="2" t="s">
        <v>19</v>
      </c>
      <c r="C248" s="2" t="s">
        <v>20</v>
      </c>
      <c r="D248" s="2">
        <v>41</v>
      </c>
      <c r="E248" s="2" t="s">
        <v>14</v>
      </c>
      <c r="F248" s="2" t="s">
        <v>15</v>
      </c>
      <c r="G248" s="7">
        <v>65</v>
      </c>
      <c r="H248" s="7">
        <v>2531.8000000000002</v>
      </c>
      <c r="I248" s="2" t="s">
        <v>15</v>
      </c>
      <c r="J248" s="2" t="s">
        <v>15</v>
      </c>
      <c r="K248" s="2" t="s">
        <v>21</v>
      </c>
      <c r="L248" s="7">
        <v>2531.8000000000002</v>
      </c>
      <c r="M248" s="2" t="str">
        <f>_xlfn.IFS(TelecomData[[#This Row],[TenureMonths]]&lt;=12, "0-1 Year", TelecomData[[#This Row],[TenureMonths]]&lt;=36, "1-3 Years", TelecomData[[#This Row],[TenureMonths]]&gt;36, "3+ Years")</f>
        <v>3+ Years</v>
      </c>
      <c r="N248" s="2" t="str">
        <f>IF(TelecomData[[#This Row],[CleanedTotalCharges]]&gt;=2500,"High Spend", "Standard Spend")</f>
        <v>High Spend</v>
      </c>
    </row>
    <row r="249" spans="1:14" x14ac:dyDescent="0.3">
      <c r="A249" s="1" t="s">
        <v>272</v>
      </c>
      <c r="B249" s="2" t="s">
        <v>19</v>
      </c>
      <c r="C249" s="2" t="s">
        <v>13</v>
      </c>
      <c r="D249" s="2">
        <v>15</v>
      </c>
      <c r="E249" s="2" t="s">
        <v>26</v>
      </c>
      <c r="F249" s="2" t="s">
        <v>15</v>
      </c>
      <c r="G249" s="7">
        <v>74.400000000000006</v>
      </c>
      <c r="H249" s="7">
        <v>1074.3</v>
      </c>
      <c r="I249" s="2" t="s">
        <v>16</v>
      </c>
      <c r="J249" s="2" t="s">
        <v>16</v>
      </c>
      <c r="K249" s="2" t="s">
        <v>17</v>
      </c>
      <c r="L249" s="7">
        <v>1074.3</v>
      </c>
      <c r="M249" s="2" t="str">
        <f>_xlfn.IFS(TelecomData[[#This Row],[TenureMonths]]&lt;=12, "0-1 Year", TelecomData[[#This Row],[TenureMonths]]&lt;=36, "1-3 Years", TelecomData[[#This Row],[TenureMonths]]&gt;36, "3+ Years")</f>
        <v>1-3 Years</v>
      </c>
      <c r="N249" s="2" t="str">
        <f>IF(TelecomData[[#This Row],[CleanedTotalCharges]]&gt;=2500,"High Spend", "Standard Spend")</f>
        <v>Standard Spend</v>
      </c>
    </row>
    <row r="250" spans="1:14" x14ac:dyDescent="0.3">
      <c r="A250" s="1" t="s">
        <v>273</v>
      </c>
      <c r="B250" s="2" t="s">
        <v>19</v>
      </c>
      <c r="C250" s="2" t="s">
        <v>13</v>
      </c>
      <c r="D250" s="2">
        <v>1</v>
      </c>
      <c r="E250" s="2" t="s">
        <v>14</v>
      </c>
      <c r="F250" s="2" t="s">
        <v>15</v>
      </c>
      <c r="G250" s="7">
        <v>48.55</v>
      </c>
      <c r="H250" s="7">
        <v>48.55</v>
      </c>
      <c r="I250" s="2" t="s">
        <v>16</v>
      </c>
      <c r="J250" s="2" t="s">
        <v>16</v>
      </c>
      <c r="K250" s="2" t="s">
        <v>21</v>
      </c>
      <c r="L250" s="7">
        <v>48.55</v>
      </c>
      <c r="M250" s="2" t="str">
        <f>_xlfn.IFS(TelecomData[[#This Row],[TenureMonths]]&lt;=12, "0-1 Year", TelecomData[[#This Row],[TenureMonths]]&lt;=36, "1-3 Years", TelecomData[[#This Row],[TenureMonths]]&gt;36, "3+ Years")</f>
        <v>0-1 Year</v>
      </c>
      <c r="N250" s="2" t="str">
        <f>IF(TelecomData[[#This Row],[CleanedTotalCharges]]&gt;=2500,"High Spend", "Standard Spend")</f>
        <v>Standard Spend</v>
      </c>
    </row>
    <row r="251" spans="1:14" x14ac:dyDescent="0.3">
      <c r="A251" s="1" t="s">
        <v>274</v>
      </c>
      <c r="B251" s="2" t="s">
        <v>19</v>
      </c>
      <c r="C251" s="2" t="s">
        <v>20</v>
      </c>
      <c r="D251" s="2">
        <v>42</v>
      </c>
      <c r="E251" s="2" t="s">
        <v>26</v>
      </c>
      <c r="F251" s="2" t="s">
        <v>15</v>
      </c>
      <c r="G251" s="7">
        <v>99</v>
      </c>
      <c r="H251" s="7">
        <v>4298.45</v>
      </c>
      <c r="I251" s="2" t="s">
        <v>15</v>
      </c>
      <c r="J251" s="2" t="s">
        <v>16</v>
      </c>
      <c r="K251" s="2" t="s">
        <v>17</v>
      </c>
      <c r="L251" s="7">
        <v>4298.45</v>
      </c>
      <c r="M251" s="2" t="str">
        <f>_xlfn.IFS(TelecomData[[#This Row],[TenureMonths]]&lt;=12, "0-1 Year", TelecomData[[#This Row],[TenureMonths]]&lt;=36, "1-3 Years", TelecomData[[#This Row],[TenureMonths]]&gt;36, "3+ Years")</f>
        <v>3+ Years</v>
      </c>
      <c r="N251" s="2" t="str">
        <f>IF(TelecomData[[#This Row],[CleanedTotalCharges]]&gt;=2500,"High Spend", "Standard Spend")</f>
        <v>High Spend</v>
      </c>
    </row>
    <row r="252" spans="1:14" x14ac:dyDescent="0.3">
      <c r="A252" s="1" t="s">
        <v>275</v>
      </c>
      <c r="B252" s="2" t="s">
        <v>12</v>
      </c>
      <c r="C252" s="2" t="s">
        <v>20</v>
      </c>
      <c r="D252" s="2">
        <v>51</v>
      </c>
      <c r="E252" s="2" t="s">
        <v>26</v>
      </c>
      <c r="F252" s="2" t="s">
        <v>15</v>
      </c>
      <c r="G252" s="7">
        <v>93.5</v>
      </c>
      <c r="H252" s="7">
        <v>4619.55</v>
      </c>
      <c r="I252" s="2" t="s">
        <v>15</v>
      </c>
      <c r="J252" s="2" t="s">
        <v>16</v>
      </c>
      <c r="K252" s="2" t="s">
        <v>17</v>
      </c>
      <c r="L252" s="7">
        <v>4619.55</v>
      </c>
      <c r="M252" s="2" t="str">
        <f>_xlfn.IFS(TelecomData[[#This Row],[TenureMonths]]&lt;=12, "0-1 Year", TelecomData[[#This Row],[TenureMonths]]&lt;=36, "1-3 Years", TelecomData[[#This Row],[TenureMonths]]&gt;36, "3+ Years")</f>
        <v>3+ Years</v>
      </c>
      <c r="N252" s="2" t="str">
        <f>IF(TelecomData[[#This Row],[CleanedTotalCharges]]&gt;=2500,"High Spend", "Standard Spend")</f>
        <v>High Spend</v>
      </c>
    </row>
    <row r="253" spans="1:14" x14ac:dyDescent="0.3">
      <c r="A253" s="1" t="s">
        <v>276</v>
      </c>
      <c r="B253" s="2" t="s">
        <v>12</v>
      </c>
      <c r="C253" s="2" t="s">
        <v>13</v>
      </c>
      <c r="D253" s="2">
        <v>2</v>
      </c>
      <c r="E253" s="2" t="s">
        <v>26</v>
      </c>
      <c r="F253" s="2" t="s">
        <v>15</v>
      </c>
      <c r="G253" s="7">
        <v>70.400000000000006</v>
      </c>
      <c r="H253" s="7">
        <v>147.15</v>
      </c>
      <c r="I253" s="2" t="s">
        <v>16</v>
      </c>
      <c r="J253" s="2" t="s">
        <v>15</v>
      </c>
      <c r="K253" s="2" t="s">
        <v>17</v>
      </c>
      <c r="L253" s="7">
        <v>147.15</v>
      </c>
      <c r="M253" s="2" t="str">
        <f>_xlfn.IFS(TelecomData[[#This Row],[TenureMonths]]&lt;=12, "0-1 Year", TelecomData[[#This Row],[TenureMonths]]&lt;=36, "1-3 Years", TelecomData[[#This Row],[TenureMonths]]&gt;36, "3+ Years")</f>
        <v>0-1 Year</v>
      </c>
      <c r="N253" s="2" t="str">
        <f>IF(TelecomData[[#This Row],[CleanedTotalCharges]]&gt;=2500,"High Spend", "Standard Spend")</f>
        <v>Standard Spend</v>
      </c>
    </row>
    <row r="254" spans="1:14" x14ac:dyDescent="0.3">
      <c r="A254" s="1" t="s">
        <v>277</v>
      </c>
      <c r="B254" s="2" t="s">
        <v>19</v>
      </c>
      <c r="C254" s="2" t="s">
        <v>13</v>
      </c>
      <c r="D254" s="2">
        <v>1</v>
      </c>
      <c r="E254" s="2" t="s">
        <v>14</v>
      </c>
      <c r="F254" s="2" t="s">
        <v>15</v>
      </c>
      <c r="G254" s="7">
        <v>40.200000000000003</v>
      </c>
      <c r="H254" s="7">
        <v>40.200000000000003</v>
      </c>
      <c r="I254" s="2" t="s">
        <v>16</v>
      </c>
      <c r="J254" s="2" t="s">
        <v>15</v>
      </c>
      <c r="K254" s="2" t="s">
        <v>17</v>
      </c>
      <c r="L254" s="7">
        <v>40.200000000000003</v>
      </c>
      <c r="M254" s="2" t="str">
        <f>_xlfn.IFS(TelecomData[[#This Row],[TenureMonths]]&lt;=12, "0-1 Year", TelecomData[[#This Row],[TenureMonths]]&lt;=36, "1-3 Years", TelecomData[[#This Row],[TenureMonths]]&gt;36, "3+ Years")</f>
        <v>0-1 Year</v>
      </c>
      <c r="N254" s="2" t="str">
        <f>IF(TelecomData[[#This Row],[CleanedTotalCharges]]&gt;=2500,"High Spend", "Standard Spend")</f>
        <v>Standard Spend</v>
      </c>
    </row>
    <row r="255" spans="1:14" x14ac:dyDescent="0.3">
      <c r="A255" s="1" t="s">
        <v>278</v>
      </c>
      <c r="B255" s="2" t="s">
        <v>19</v>
      </c>
      <c r="C255" s="2" t="s">
        <v>20</v>
      </c>
      <c r="D255" s="2">
        <v>32</v>
      </c>
      <c r="E255" s="2" t="s">
        <v>14</v>
      </c>
      <c r="F255" s="2" t="s">
        <v>16</v>
      </c>
      <c r="G255" s="7">
        <v>83.7</v>
      </c>
      <c r="H255" s="7">
        <v>2633.3</v>
      </c>
      <c r="I255" s="2" t="s">
        <v>15</v>
      </c>
      <c r="J255" s="2" t="s">
        <v>15</v>
      </c>
      <c r="K255" s="2" t="s">
        <v>29</v>
      </c>
      <c r="L255" s="7">
        <v>2633.3</v>
      </c>
      <c r="M255" s="2" t="str">
        <f>_xlfn.IFS(TelecomData[[#This Row],[TenureMonths]]&lt;=12, "0-1 Year", TelecomData[[#This Row],[TenureMonths]]&lt;=36, "1-3 Years", TelecomData[[#This Row],[TenureMonths]]&gt;36, "3+ Years")</f>
        <v>1-3 Years</v>
      </c>
      <c r="N255" s="2" t="str">
        <f>IF(TelecomData[[#This Row],[CleanedTotalCharges]]&gt;=2500,"High Spend", "Standard Spend")</f>
        <v>High Spend</v>
      </c>
    </row>
    <row r="256" spans="1:14" x14ac:dyDescent="0.3">
      <c r="A256" s="1" t="s">
        <v>279</v>
      </c>
      <c r="B256" s="2" t="s">
        <v>19</v>
      </c>
      <c r="C256" s="2" t="s">
        <v>13</v>
      </c>
      <c r="D256" s="2">
        <v>10</v>
      </c>
      <c r="E256" s="2" t="s">
        <v>15</v>
      </c>
      <c r="F256" s="2" t="s">
        <v>36</v>
      </c>
      <c r="G256" s="7">
        <v>19.850000000000001</v>
      </c>
      <c r="H256" s="7">
        <v>193.05</v>
      </c>
      <c r="I256" s="2" t="s">
        <v>15</v>
      </c>
      <c r="J256" s="2" t="s">
        <v>16</v>
      </c>
      <c r="K256" s="2" t="s">
        <v>21</v>
      </c>
      <c r="L256" s="7">
        <v>193.05</v>
      </c>
      <c r="M256" s="2" t="str">
        <f>_xlfn.IFS(TelecomData[[#This Row],[TenureMonths]]&lt;=12, "0-1 Year", TelecomData[[#This Row],[TenureMonths]]&lt;=36, "1-3 Years", TelecomData[[#This Row],[TenureMonths]]&gt;36, "3+ Years")</f>
        <v>0-1 Year</v>
      </c>
      <c r="N256" s="2" t="str">
        <f>IF(TelecomData[[#This Row],[CleanedTotalCharges]]&gt;=2500,"High Spend", "Standard Spend")</f>
        <v>Standard Spend</v>
      </c>
    </row>
    <row r="257" spans="1:14" x14ac:dyDescent="0.3">
      <c r="A257" s="1" t="s">
        <v>280</v>
      </c>
      <c r="B257" s="2" t="s">
        <v>12</v>
      </c>
      <c r="C257" s="2" t="s">
        <v>35</v>
      </c>
      <c r="D257" s="2">
        <v>67</v>
      </c>
      <c r="E257" s="2" t="s">
        <v>14</v>
      </c>
      <c r="F257" s="2" t="s">
        <v>16</v>
      </c>
      <c r="G257" s="7">
        <v>59.55</v>
      </c>
      <c r="H257" s="7">
        <v>4103.8999999999996</v>
      </c>
      <c r="I257" s="2" t="s">
        <v>15</v>
      </c>
      <c r="J257" s="2" t="s">
        <v>16</v>
      </c>
      <c r="K257" s="2" t="s">
        <v>17</v>
      </c>
      <c r="L257" s="7">
        <v>4103.8999999999996</v>
      </c>
      <c r="M257" s="2" t="str">
        <f>_xlfn.IFS(TelecomData[[#This Row],[TenureMonths]]&lt;=12, "0-1 Year", TelecomData[[#This Row],[TenureMonths]]&lt;=36, "1-3 Years", TelecomData[[#This Row],[TenureMonths]]&gt;36, "3+ Years")</f>
        <v>3+ Years</v>
      </c>
      <c r="N257" s="2" t="str">
        <f>IF(TelecomData[[#This Row],[CleanedTotalCharges]]&gt;=2500,"High Spend", "Standard Spend")</f>
        <v>High Spend</v>
      </c>
    </row>
    <row r="258" spans="1:14" x14ac:dyDescent="0.3">
      <c r="A258" s="1" t="s">
        <v>281</v>
      </c>
      <c r="B258" s="2" t="s">
        <v>12</v>
      </c>
      <c r="C258" s="2" t="s">
        <v>35</v>
      </c>
      <c r="D258" s="2">
        <v>61</v>
      </c>
      <c r="E258" s="2" t="s">
        <v>26</v>
      </c>
      <c r="F258" s="2" t="s">
        <v>16</v>
      </c>
      <c r="G258" s="7">
        <v>115.1</v>
      </c>
      <c r="H258" s="7">
        <v>7008.15</v>
      </c>
      <c r="I258" s="2" t="s">
        <v>15</v>
      </c>
      <c r="J258" s="2" t="s">
        <v>15</v>
      </c>
      <c r="K258" s="2" t="s">
        <v>29</v>
      </c>
      <c r="L258" s="7">
        <v>7008.15</v>
      </c>
      <c r="M258" s="2" t="str">
        <f>_xlfn.IFS(TelecomData[[#This Row],[TenureMonths]]&lt;=12, "0-1 Year", TelecomData[[#This Row],[TenureMonths]]&lt;=36, "1-3 Years", TelecomData[[#This Row],[TenureMonths]]&gt;36, "3+ Years")</f>
        <v>3+ Years</v>
      </c>
      <c r="N258" s="2" t="str">
        <f>IF(TelecomData[[#This Row],[CleanedTotalCharges]]&gt;=2500,"High Spend", "Standard Spend")</f>
        <v>High Spend</v>
      </c>
    </row>
    <row r="259" spans="1:14" x14ac:dyDescent="0.3">
      <c r="A259" s="1" t="s">
        <v>282</v>
      </c>
      <c r="B259" s="2" t="s">
        <v>19</v>
      </c>
      <c r="C259" s="2" t="s">
        <v>20</v>
      </c>
      <c r="D259" s="2">
        <v>50</v>
      </c>
      <c r="E259" s="2" t="s">
        <v>26</v>
      </c>
      <c r="F259" s="2" t="s">
        <v>16</v>
      </c>
      <c r="G259" s="7">
        <v>114.35</v>
      </c>
      <c r="H259" s="7">
        <v>5791.1</v>
      </c>
      <c r="I259" s="2" t="s">
        <v>15</v>
      </c>
      <c r="J259" s="2" t="s">
        <v>15</v>
      </c>
      <c r="K259" s="2" t="s">
        <v>29</v>
      </c>
      <c r="L259" s="7">
        <v>5791.1</v>
      </c>
      <c r="M259" s="2" t="str">
        <f>_xlfn.IFS(TelecomData[[#This Row],[TenureMonths]]&lt;=12, "0-1 Year", TelecomData[[#This Row],[TenureMonths]]&lt;=36, "1-3 Years", TelecomData[[#This Row],[TenureMonths]]&gt;36, "3+ Years")</f>
        <v>3+ Years</v>
      </c>
      <c r="N259" s="2" t="str">
        <f>IF(TelecomData[[#This Row],[CleanedTotalCharges]]&gt;=2500,"High Spend", "Standard Spend")</f>
        <v>High Spend</v>
      </c>
    </row>
    <row r="260" spans="1:14" x14ac:dyDescent="0.3">
      <c r="A260" s="1" t="s">
        <v>283</v>
      </c>
      <c r="B260" s="2" t="s">
        <v>12</v>
      </c>
      <c r="C260" s="2" t="s">
        <v>13</v>
      </c>
      <c r="D260" s="2">
        <v>2</v>
      </c>
      <c r="E260" s="2" t="s">
        <v>14</v>
      </c>
      <c r="F260" s="2" t="s">
        <v>15</v>
      </c>
      <c r="G260" s="7">
        <v>44.6</v>
      </c>
      <c r="H260" s="7">
        <v>80.55</v>
      </c>
      <c r="I260" s="2" t="s">
        <v>16</v>
      </c>
      <c r="J260" s="2" t="s">
        <v>16</v>
      </c>
      <c r="K260" s="2" t="s">
        <v>29</v>
      </c>
      <c r="L260" s="7">
        <v>80.55</v>
      </c>
      <c r="M260" s="2" t="str">
        <f>_xlfn.IFS(TelecomData[[#This Row],[TenureMonths]]&lt;=12, "0-1 Year", TelecomData[[#This Row],[TenureMonths]]&lt;=36, "1-3 Years", TelecomData[[#This Row],[TenureMonths]]&gt;36, "3+ Years")</f>
        <v>0-1 Year</v>
      </c>
      <c r="N260" s="2" t="str">
        <f>IF(TelecomData[[#This Row],[CleanedTotalCharges]]&gt;=2500,"High Spend", "Standard Spend")</f>
        <v>Standard Spend</v>
      </c>
    </row>
    <row r="261" spans="1:14" x14ac:dyDescent="0.3">
      <c r="A261" s="1" t="s">
        <v>284</v>
      </c>
      <c r="B261" s="2" t="s">
        <v>12</v>
      </c>
      <c r="C261" s="2" t="s">
        <v>13</v>
      </c>
      <c r="D261" s="2">
        <v>29</v>
      </c>
      <c r="E261" s="2" t="s">
        <v>14</v>
      </c>
      <c r="F261" s="2" t="s">
        <v>15</v>
      </c>
      <c r="G261" s="7">
        <v>45</v>
      </c>
      <c r="H261" s="7">
        <v>1228.6500000000001</v>
      </c>
      <c r="I261" s="2" t="s">
        <v>15</v>
      </c>
      <c r="J261" s="2" t="s">
        <v>16</v>
      </c>
      <c r="K261" s="2" t="s">
        <v>17</v>
      </c>
      <c r="L261" s="7">
        <v>1228.6500000000001</v>
      </c>
      <c r="M261" s="2" t="str">
        <f>_xlfn.IFS(TelecomData[[#This Row],[TenureMonths]]&lt;=12, "0-1 Year", TelecomData[[#This Row],[TenureMonths]]&lt;=36, "1-3 Years", TelecomData[[#This Row],[TenureMonths]]&gt;36, "3+ Years")</f>
        <v>1-3 Years</v>
      </c>
      <c r="N261" s="2" t="str">
        <f>IF(TelecomData[[#This Row],[CleanedTotalCharges]]&gt;=2500,"High Spend", "Standard Spend")</f>
        <v>Standard Spend</v>
      </c>
    </row>
    <row r="262" spans="1:14" x14ac:dyDescent="0.3">
      <c r="A262" s="1" t="s">
        <v>285</v>
      </c>
      <c r="B262" s="2" t="s">
        <v>19</v>
      </c>
      <c r="C262" s="2" t="s">
        <v>13</v>
      </c>
      <c r="D262" s="2">
        <v>3</v>
      </c>
      <c r="E262" s="2" t="s">
        <v>14</v>
      </c>
      <c r="F262" s="2" t="s">
        <v>15</v>
      </c>
      <c r="G262" s="7">
        <v>41.15</v>
      </c>
      <c r="H262" s="7">
        <v>132.19999999999999</v>
      </c>
      <c r="I262" s="2" t="s">
        <v>16</v>
      </c>
      <c r="J262" s="2" t="s">
        <v>16</v>
      </c>
      <c r="K262" s="2" t="s">
        <v>17</v>
      </c>
      <c r="L262" s="7">
        <v>132.19999999999999</v>
      </c>
      <c r="M262" s="2" t="str">
        <f>_xlfn.IFS(TelecomData[[#This Row],[TenureMonths]]&lt;=12, "0-1 Year", TelecomData[[#This Row],[TenureMonths]]&lt;=36, "1-3 Years", TelecomData[[#This Row],[TenureMonths]]&gt;36, "3+ Years")</f>
        <v>0-1 Year</v>
      </c>
      <c r="N262" s="2" t="str">
        <f>IF(TelecomData[[#This Row],[CleanedTotalCharges]]&gt;=2500,"High Spend", "Standard Spend")</f>
        <v>Standard Spend</v>
      </c>
    </row>
    <row r="263" spans="1:14" x14ac:dyDescent="0.3">
      <c r="A263" s="1" t="s">
        <v>286</v>
      </c>
      <c r="B263" s="2" t="s">
        <v>19</v>
      </c>
      <c r="C263" s="2" t="s">
        <v>13</v>
      </c>
      <c r="D263" s="2">
        <v>13</v>
      </c>
      <c r="E263" s="2" t="s">
        <v>26</v>
      </c>
      <c r="F263" s="2" t="s">
        <v>15</v>
      </c>
      <c r="G263" s="7">
        <v>106.9</v>
      </c>
      <c r="H263" s="7">
        <v>1364.3</v>
      </c>
      <c r="I263" s="2" t="s">
        <v>16</v>
      </c>
      <c r="J263" s="2" t="s">
        <v>16</v>
      </c>
      <c r="K263" s="2" t="s">
        <v>17</v>
      </c>
      <c r="L263" s="7">
        <v>1364.3</v>
      </c>
      <c r="M263" s="2" t="str">
        <f>_xlfn.IFS(TelecomData[[#This Row],[TenureMonths]]&lt;=12, "0-1 Year", TelecomData[[#This Row],[TenureMonths]]&lt;=36, "1-3 Years", TelecomData[[#This Row],[TenureMonths]]&gt;36, "3+ Years")</f>
        <v>1-3 Years</v>
      </c>
      <c r="N263" s="2" t="str">
        <f>IF(TelecomData[[#This Row],[CleanedTotalCharges]]&gt;=2500,"High Spend", "Standard Spend")</f>
        <v>Standard Spend</v>
      </c>
    </row>
    <row r="264" spans="1:14" x14ac:dyDescent="0.3">
      <c r="A264" s="1" t="s">
        <v>287</v>
      </c>
      <c r="B264" s="2" t="s">
        <v>19</v>
      </c>
      <c r="C264" s="2" t="s">
        <v>13</v>
      </c>
      <c r="D264" s="2">
        <v>57</v>
      </c>
      <c r="E264" s="2" t="s">
        <v>26</v>
      </c>
      <c r="F264" s="2" t="s">
        <v>15</v>
      </c>
      <c r="G264" s="7">
        <v>89.85</v>
      </c>
      <c r="H264" s="7">
        <v>4925.3500000000004</v>
      </c>
      <c r="I264" s="2" t="s">
        <v>15</v>
      </c>
      <c r="J264" s="2" t="s">
        <v>16</v>
      </c>
      <c r="K264" s="2" t="s">
        <v>17</v>
      </c>
      <c r="L264" s="7">
        <v>4925.3500000000004</v>
      </c>
      <c r="M264" s="2" t="str">
        <f>_xlfn.IFS(TelecomData[[#This Row],[TenureMonths]]&lt;=12, "0-1 Year", TelecomData[[#This Row],[TenureMonths]]&lt;=36, "1-3 Years", TelecomData[[#This Row],[TenureMonths]]&gt;36, "3+ Years")</f>
        <v>3+ Years</v>
      </c>
      <c r="N264" s="2" t="str">
        <f>IF(TelecomData[[#This Row],[CleanedTotalCharges]]&gt;=2500,"High Spend", "Standard Spend")</f>
        <v>High Spend</v>
      </c>
    </row>
    <row r="265" spans="1:14" x14ac:dyDescent="0.3">
      <c r="A265" s="1" t="s">
        <v>288</v>
      </c>
      <c r="B265" s="2" t="s">
        <v>12</v>
      </c>
      <c r="C265" s="2" t="s">
        <v>35</v>
      </c>
      <c r="D265" s="2">
        <v>31</v>
      </c>
      <c r="E265" s="2" t="s">
        <v>14</v>
      </c>
      <c r="F265" s="2" t="s">
        <v>16</v>
      </c>
      <c r="G265" s="7">
        <v>49.85</v>
      </c>
      <c r="H265" s="7">
        <v>1520.1</v>
      </c>
      <c r="I265" s="2" t="s">
        <v>15</v>
      </c>
      <c r="J265" s="2" t="s">
        <v>16</v>
      </c>
      <c r="K265" s="2" t="s">
        <v>24</v>
      </c>
      <c r="L265" s="7">
        <v>1520.1</v>
      </c>
      <c r="M265" s="2" t="str">
        <f>_xlfn.IFS(TelecomData[[#This Row],[TenureMonths]]&lt;=12, "0-1 Year", TelecomData[[#This Row],[TenureMonths]]&lt;=36, "1-3 Years", TelecomData[[#This Row],[TenureMonths]]&gt;36, "3+ Years")</f>
        <v>1-3 Years</v>
      </c>
      <c r="N265" s="2" t="str">
        <f>IF(TelecomData[[#This Row],[CleanedTotalCharges]]&gt;=2500,"High Spend", "Standard Spend")</f>
        <v>Standard Spend</v>
      </c>
    </row>
    <row r="266" spans="1:14" x14ac:dyDescent="0.3">
      <c r="A266" s="1" t="s">
        <v>289</v>
      </c>
      <c r="B266" s="2" t="s">
        <v>12</v>
      </c>
      <c r="C266" s="2" t="s">
        <v>20</v>
      </c>
      <c r="D266" s="2">
        <v>45</v>
      </c>
      <c r="E266" s="2" t="s">
        <v>26</v>
      </c>
      <c r="F266" s="2" t="s">
        <v>16</v>
      </c>
      <c r="G266" s="7">
        <v>113.3</v>
      </c>
      <c r="H266" s="7">
        <v>5032.25</v>
      </c>
      <c r="I266" s="2" t="s">
        <v>15</v>
      </c>
      <c r="J266" s="2" t="s">
        <v>15</v>
      </c>
      <c r="K266" s="2" t="s">
        <v>21</v>
      </c>
      <c r="L266" s="7">
        <v>5032.25</v>
      </c>
      <c r="M266" s="2" t="str">
        <f>_xlfn.IFS(TelecomData[[#This Row],[TenureMonths]]&lt;=12, "0-1 Year", TelecomData[[#This Row],[TenureMonths]]&lt;=36, "1-3 Years", TelecomData[[#This Row],[TenureMonths]]&gt;36, "3+ Years")</f>
        <v>3+ Years</v>
      </c>
      <c r="N266" s="2" t="str">
        <f>IF(TelecomData[[#This Row],[CleanedTotalCharges]]&gt;=2500,"High Spend", "Standard Spend")</f>
        <v>High Spend</v>
      </c>
    </row>
    <row r="267" spans="1:14" x14ac:dyDescent="0.3">
      <c r="A267" s="1" t="s">
        <v>290</v>
      </c>
      <c r="B267" s="2" t="s">
        <v>12</v>
      </c>
      <c r="C267" s="2" t="s">
        <v>35</v>
      </c>
      <c r="D267" s="2">
        <v>61</v>
      </c>
      <c r="E267" s="2" t="s">
        <v>14</v>
      </c>
      <c r="F267" s="2" t="s">
        <v>16</v>
      </c>
      <c r="G267" s="7">
        <v>88.1</v>
      </c>
      <c r="H267" s="7">
        <v>5526.75</v>
      </c>
      <c r="I267" s="2" t="s">
        <v>15</v>
      </c>
      <c r="J267" s="2" t="s">
        <v>15</v>
      </c>
      <c r="K267" s="2" t="s">
        <v>21</v>
      </c>
      <c r="L267" s="7">
        <v>5526.75</v>
      </c>
      <c r="M267" s="2" t="str">
        <f>_xlfn.IFS(TelecomData[[#This Row],[TenureMonths]]&lt;=12, "0-1 Year", TelecomData[[#This Row],[TenureMonths]]&lt;=36, "1-3 Years", TelecomData[[#This Row],[TenureMonths]]&gt;36, "3+ Years")</f>
        <v>3+ Years</v>
      </c>
      <c r="N267" s="2" t="str">
        <f>IF(TelecomData[[#This Row],[CleanedTotalCharges]]&gt;=2500,"High Spend", "Standard Spend")</f>
        <v>High Spend</v>
      </c>
    </row>
    <row r="268" spans="1:14" x14ac:dyDescent="0.3">
      <c r="A268" s="1" t="s">
        <v>291</v>
      </c>
      <c r="B268" s="2" t="s">
        <v>19</v>
      </c>
      <c r="C268" s="2" t="s">
        <v>35</v>
      </c>
      <c r="D268" s="2">
        <v>50</v>
      </c>
      <c r="E268" s="2" t="s">
        <v>15</v>
      </c>
      <c r="F268" s="2" t="s">
        <v>36</v>
      </c>
      <c r="G268" s="7">
        <v>24.9</v>
      </c>
      <c r="H268" s="7">
        <v>1195.25</v>
      </c>
      <c r="I268" s="2" t="s">
        <v>15</v>
      </c>
      <c r="J268" s="2" t="s">
        <v>15</v>
      </c>
      <c r="K268" s="2" t="s">
        <v>24</v>
      </c>
      <c r="L268" s="7">
        <v>1195.25</v>
      </c>
      <c r="M268" s="2" t="str">
        <f>_xlfn.IFS(TelecomData[[#This Row],[TenureMonths]]&lt;=12, "0-1 Year", TelecomData[[#This Row],[TenureMonths]]&lt;=36, "1-3 Years", TelecomData[[#This Row],[TenureMonths]]&gt;36, "3+ Years")</f>
        <v>3+ Years</v>
      </c>
      <c r="N268" s="2" t="str">
        <f>IF(TelecomData[[#This Row],[CleanedTotalCharges]]&gt;=2500,"High Spend", "Standard Spend")</f>
        <v>Standard Spend</v>
      </c>
    </row>
    <row r="269" spans="1:14" x14ac:dyDescent="0.3">
      <c r="A269" s="1" t="s">
        <v>292</v>
      </c>
      <c r="B269" s="2" t="s">
        <v>12</v>
      </c>
      <c r="C269" s="2" t="s">
        <v>13</v>
      </c>
      <c r="D269" s="2">
        <v>19</v>
      </c>
      <c r="E269" s="2" t="s">
        <v>26</v>
      </c>
      <c r="F269" s="2" t="s">
        <v>16</v>
      </c>
      <c r="G269" s="7">
        <v>105</v>
      </c>
      <c r="H269" s="7">
        <v>2007.25</v>
      </c>
      <c r="I269" s="2" t="s">
        <v>15</v>
      </c>
      <c r="J269" s="2" t="s">
        <v>16</v>
      </c>
      <c r="K269" s="2" t="s">
        <v>21</v>
      </c>
      <c r="L269" s="7">
        <v>2007.25</v>
      </c>
      <c r="M269" s="2" t="str">
        <f>_xlfn.IFS(TelecomData[[#This Row],[TenureMonths]]&lt;=12, "0-1 Year", TelecomData[[#This Row],[TenureMonths]]&lt;=36, "1-3 Years", TelecomData[[#This Row],[TenureMonths]]&gt;36, "3+ Years")</f>
        <v>1-3 Years</v>
      </c>
      <c r="N269" s="2" t="str">
        <f>IF(TelecomData[[#This Row],[CleanedTotalCharges]]&gt;=2500,"High Spend", "Standard Spend")</f>
        <v>Standard Spend</v>
      </c>
    </row>
    <row r="270" spans="1:14" x14ac:dyDescent="0.3">
      <c r="A270" s="1" t="s">
        <v>293</v>
      </c>
      <c r="B270" s="2" t="s">
        <v>19</v>
      </c>
      <c r="C270" s="2" t="s">
        <v>35</v>
      </c>
      <c r="D270" s="2">
        <v>59</v>
      </c>
      <c r="E270" s="2" t="s">
        <v>15</v>
      </c>
      <c r="F270" s="2" t="s">
        <v>36</v>
      </c>
      <c r="G270" s="7">
        <v>19.350000000000001</v>
      </c>
      <c r="H270" s="7">
        <v>1099.5999999999999</v>
      </c>
      <c r="I270" s="2" t="s">
        <v>16</v>
      </c>
      <c r="J270" s="2" t="s">
        <v>15</v>
      </c>
      <c r="K270" s="2" t="s">
        <v>21</v>
      </c>
      <c r="L270" s="7">
        <v>1099.5999999999999</v>
      </c>
      <c r="M270" s="2" t="str">
        <f>_xlfn.IFS(TelecomData[[#This Row],[TenureMonths]]&lt;=12, "0-1 Year", TelecomData[[#This Row],[TenureMonths]]&lt;=36, "1-3 Years", TelecomData[[#This Row],[TenureMonths]]&gt;36, "3+ Years")</f>
        <v>3+ Years</v>
      </c>
      <c r="N270" s="2" t="str">
        <f>IF(TelecomData[[#This Row],[CleanedTotalCharges]]&gt;=2500,"High Spend", "Standard Spend")</f>
        <v>Standard Spend</v>
      </c>
    </row>
    <row r="271" spans="1:14" x14ac:dyDescent="0.3">
      <c r="A271" s="1" t="s">
        <v>294</v>
      </c>
      <c r="B271" s="2" t="s">
        <v>12</v>
      </c>
      <c r="C271" s="2" t="s">
        <v>35</v>
      </c>
      <c r="D271" s="2">
        <v>71</v>
      </c>
      <c r="E271" s="2" t="s">
        <v>15</v>
      </c>
      <c r="F271" s="2" t="s">
        <v>36</v>
      </c>
      <c r="G271" s="7">
        <v>24.25</v>
      </c>
      <c r="H271" s="7">
        <v>1732.95</v>
      </c>
      <c r="I271" s="2" t="s">
        <v>15</v>
      </c>
      <c r="J271" s="2" t="s">
        <v>16</v>
      </c>
      <c r="K271" s="2" t="s">
        <v>29</v>
      </c>
      <c r="L271" s="7">
        <v>1732.95</v>
      </c>
      <c r="M271" s="2" t="str">
        <f>_xlfn.IFS(TelecomData[[#This Row],[TenureMonths]]&lt;=12, "0-1 Year", TelecomData[[#This Row],[TenureMonths]]&lt;=36, "1-3 Years", TelecomData[[#This Row],[TenureMonths]]&gt;36, "3+ Years")</f>
        <v>3+ Years</v>
      </c>
      <c r="N271" s="2" t="str">
        <f>IF(TelecomData[[#This Row],[CleanedTotalCharges]]&gt;=2500,"High Spend", "Standard Spend")</f>
        <v>Standard Spend</v>
      </c>
    </row>
    <row r="272" spans="1:14" x14ac:dyDescent="0.3">
      <c r="A272" s="1" t="s">
        <v>295</v>
      </c>
      <c r="B272" s="2" t="s">
        <v>12</v>
      </c>
      <c r="C272" s="2" t="s">
        <v>13</v>
      </c>
      <c r="D272" s="2">
        <v>16</v>
      </c>
      <c r="E272" s="2" t="s">
        <v>26</v>
      </c>
      <c r="F272" s="2" t="s">
        <v>16</v>
      </c>
      <c r="G272" s="7">
        <v>94.45</v>
      </c>
      <c r="H272" s="7">
        <v>1511.2</v>
      </c>
      <c r="I272" s="2" t="s">
        <v>16</v>
      </c>
      <c r="J272" s="2" t="s">
        <v>16</v>
      </c>
      <c r="K272" s="2" t="s">
        <v>17</v>
      </c>
      <c r="L272" s="7">
        <v>1511.2</v>
      </c>
      <c r="M272" s="2" t="str">
        <f>_xlfn.IFS(TelecomData[[#This Row],[TenureMonths]]&lt;=12, "0-1 Year", TelecomData[[#This Row],[TenureMonths]]&lt;=36, "1-3 Years", TelecomData[[#This Row],[TenureMonths]]&gt;36, "3+ Years")</f>
        <v>1-3 Years</v>
      </c>
      <c r="N272" s="2" t="str">
        <f>IF(TelecomData[[#This Row],[CleanedTotalCharges]]&gt;=2500,"High Spend", "Standard Spend")</f>
        <v>Standard Spend</v>
      </c>
    </row>
    <row r="273" spans="1:14" x14ac:dyDescent="0.3">
      <c r="A273" s="1" t="s">
        <v>296</v>
      </c>
      <c r="B273" s="2" t="s">
        <v>19</v>
      </c>
      <c r="C273" s="2" t="s">
        <v>35</v>
      </c>
      <c r="D273" s="2">
        <v>57</v>
      </c>
      <c r="E273" s="2" t="s">
        <v>14</v>
      </c>
      <c r="F273" s="2" t="s">
        <v>16</v>
      </c>
      <c r="G273" s="7">
        <v>59.75</v>
      </c>
      <c r="H273" s="7">
        <v>3450.15</v>
      </c>
      <c r="I273" s="2" t="s">
        <v>15</v>
      </c>
      <c r="J273" s="2" t="s">
        <v>16</v>
      </c>
      <c r="K273" s="2" t="s">
        <v>17</v>
      </c>
      <c r="L273" s="7">
        <v>3450.15</v>
      </c>
      <c r="M273" s="2" t="str">
        <f>_xlfn.IFS(TelecomData[[#This Row],[TenureMonths]]&lt;=12, "0-1 Year", TelecomData[[#This Row],[TenureMonths]]&lt;=36, "1-3 Years", TelecomData[[#This Row],[TenureMonths]]&gt;36, "3+ Years")</f>
        <v>3+ Years</v>
      </c>
      <c r="N273" s="2" t="str">
        <f>IF(TelecomData[[#This Row],[CleanedTotalCharges]]&gt;=2500,"High Spend", "Standard Spend")</f>
        <v>High Spend</v>
      </c>
    </row>
    <row r="274" spans="1:14" x14ac:dyDescent="0.3">
      <c r="A274" s="1" t="s">
        <v>297</v>
      </c>
      <c r="B274" s="2" t="s">
        <v>19</v>
      </c>
      <c r="C274" s="2" t="s">
        <v>13</v>
      </c>
      <c r="D274" s="2">
        <v>1</v>
      </c>
      <c r="E274" s="2" t="s">
        <v>14</v>
      </c>
      <c r="F274" s="2" t="s">
        <v>15</v>
      </c>
      <c r="G274" s="7">
        <v>24.8</v>
      </c>
      <c r="H274" s="7">
        <v>24.8</v>
      </c>
      <c r="I274" s="2" t="s">
        <v>16</v>
      </c>
      <c r="J274" s="2" t="s">
        <v>15</v>
      </c>
      <c r="K274" s="2" t="s">
        <v>24</v>
      </c>
      <c r="L274" s="7">
        <v>24.8</v>
      </c>
      <c r="M274" s="2" t="str">
        <f>_xlfn.IFS(TelecomData[[#This Row],[TenureMonths]]&lt;=12, "0-1 Year", TelecomData[[#This Row],[TenureMonths]]&lt;=36, "1-3 Years", TelecomData[[#This Row],[TenureMonths]]&gt;36, "3+ Years")</f>
        <v>0-1 Year</v>
      </c>
      <c r="N274" s="2" t="str">
        <f>IF(TelecomData[[#This Row],[CleanedTotalCharges]]&gt;=2500,"High Spend", "Standard Spend")</f>
        <v>Standard Spend</v>
      </c>
    </row>
    <row r="275" spans="1:14" x14ac:dyDescent="0.3">
      <c r="A275" s="1" t="s">
        <v>298</v>
      </c>
      <c r="B275" s="2" t="s">
        <v>19</v>
      </c>
      <c r="C275" s="2" t="s">
        <v>13</v>
      </c>
      <c r="D275" s="2">
        <v>20</v>
      </c>
      <c r="E275" s="2" t="s">
        <v>26</v>
      </c>
      <c r="F275" s="2" t="s">
        <v>16</v>
      </c>
      <c r="G275" s="7">
        <v>107.05</v>
      </c>
      <c r="H275" s="7">
        <v>2172.0500000000002</v>
      </c>
      <c r="I275" s="2" t="s">
        <v>15</v>
      </c>
      <c r="J275" s="2" t="s">
        <v>15</v>
      </c>
      <c r="K275" s="2" t="s">
        <v>17</v>
      </c>
      <c r="L275" s="7">
        <v>2172.0500000000002</v>
      </c>
      <c r="M275" s="2" t="str">
        <f>_xlfn.IFS(TelecomData[[#This Row],[TenureMonths]]&lt;=12, "0-1 Year", TelecomData[[#This Row],[TenureMonths]]&lt;=36, "1-3 Years", TelecomData[[#This Row],[TenureMonths]]&gt;36, "3+ Years")</f>
        <v>1-3 Years</v>
      </c>
      <c r="N275" s="2" t="str">
        <f>IF(TelecomData[[#This Row],[CleanedTotalCharges]]&gt;=2500,"High Spend", "Standard Spend")</f>
        <v>Standard Spend</v>
      </c>
    </row>
    <row r="276" spans="1:14" x14ac:dyDescent="0.3">
      <c r="A276" s="1" t="s">
        <v>299</v>
      </c>
      <c r="B276" s="2" t="s">
        <v>19</v>
      </c>
      <c r="C276" s="2" t="s">
        <v>13</v>
      </c>
      <c r="D276" s="2">
        <v>1</v>
      </c>
      <c r="E276" s="2" t="s">
        <v>26</v>
      </c>
      <c r="F276" s="2" t="s">
        <v>15</v>
      </c>
      <c r="G276" s="7">
        <v>70.599999999999994</v>
      </c>
      <c r="H276" s="7">
        <v>70.599999999999994</v>
      </c>
      <c r="I276" s="2" t="s">
        <v>16</v>
      </c>
      <c r="J276" s="2" t="s">
        <v>15</v>
      </c>
      <c r="K276" s="2" t="s">
        <v>21</v>
      </c>
      <c r="L276" s="7">
        <v>70.599999999999994</v>
      </c>
      <c r="M276" s="2" t="str">
        <f>_xlfn.IFS(TelecomData[[#This Row],[TenureMonths]]&lt;=12, "0-1 Year", TelecomData[[#This Row],[TenureMonths]]&lt;=36, "1-3 Years", TelecomData[[#This Row],[TenureMonths]]&gt;36, "3+ Years")</f>
        <v>0-1 Year</v>
      </c>
      <c r="N276" s="2" t="str">
        <f>IF(TelecomData[[#This Row],[CleanedTotalCharges]]&gt;=2500,"High Spend", "Standard Spend")</f>
        <v>Standard Spend</v>
      </c>
    </row>
    <row r="277" spans="1:14" x14ac:dyDescent="0.3">
      <c r="A277" s="1" t="s">
        <v>300</v>
      </c>
      <c r="B277" s="2" t="s">
        <v>19</v>
      </c>
      <c r="C277" s="2" t="s">
        <v>13</v>
      </c>
      <c r="D277" s="2">
        <v>5</v>
      </c>
      <c r="E277" s="2" t="s">
        <v>26</v>
      </c>
      <c r="F277" s="2" t="s">
        <v>16</v>
      </c>
      <c r="G277" s="7">
        <v>85.4</v>
      </c>
      <c r="H277" s="7">
        <v>401.1</v>
      </c>
      <c r="I277" s="2" t="s">
        <v>16</v>
      </c>
      <c r="J277" s="2" t="s">
        <v>16</v>
      </c>
      <c r="K277" s="2" t="s">
        <v>17</v>
      </c>
      <c r="L277" s="7">
        <v>401.1</v>
      </c>
      <c r="M277" s="2" t="str">
        <f>_xlfn.IFS(TelecomData[[#This Row],[TenureMonths]]&lt;=12, "0-1 Year", TelecomData[[#This Row],[TenureMonths]]&lt;=36, "1-3 Years", TelecomData[[#This Row],[TenureMonths]]&gt;36, "3+ Years")</f>
        <v>0-1 Year</v>
      </c>
      <c r="N277" s="2" t="str">
        <f>IF(TelecomData[[#This Row],[CleanedTotalCharges]]&gt;=2500,"High Spend", "Standard Spend")</f>
        <v>Standard Spend</v>
      </c>
    </row>
    <row r="278" spans="1:14" x14ac:dyDescent="0.3">
      <c r="A278" s="1" t="s">
        <v>301</v>
      </c>
      <c r="B278" s="2" t="s">
        <v>12</v>
      </c>
      <c r="C278" s="2" t="s">
        <v>13</v>
      </c>
      <c r="D278" s="2">
        <v>52</v>
      </c>
      <c r="E278" s="2" t="s">
        <v>26</v>
      </c>
      <c r="F278" s="2" t="s">
        <v>15</v>
      </c>
      <c r="G278" s="7">
        <v>105.05</v>
      </c>
      <c r="H278" s="7">
        <v>5624.85</v>
      </c>
      <c r="I278" s="2" t="s">
        <v>16</v>
      </c>
      <c r="J278" s="2" t="s">
        <v>16</v>
      </c>
      <c r="K278" s="2" t="s">
        <v>17</v>
      </c>
      <c r="L278" s="7">
        <v>5624.85</v>
      </c>
      <c r="M278" s="2" t="str">
        <f>_xlfn.IFS(TelecomData[[#This Row],[TenureMonths]]&lt;=12, "0-1 Year", TelecomData[[#This Row],[TenureMonths]]&lt;=36, "1-3 Years", TelecomData[[#This Row],[TenureMonths]]&gt;36, "3+ Years")</f>
        <v>3+ Years</v>
      </c>
      <c r="N278" s="2" t="str">
        <f>IF(TelecomData[[#This Row],[CleanedTotalCharges]]&gt;=2500,"High Spend", "Standard Spend")</f>
        <v>High Spend</v>
      </c>
    </row>
    <row r="279" spans="1:14" x14ac:dyDescent="0.3">
      <c r="A279" s="1" t="s">
        <v>302</v>
      </c>
      <c r="B279" s="2" t="s">
        <v>19</v>
      </c>
      <c r="C279" s="2" t="s">
        <v>13</v>
      </c>
      <c r="D279" s="2">
        <v>21</v>
      </c>
      <c r="E279" s="2" t="s">
        <v>14</v>
      </c>
      <c r="F279" s="2" t="s">
        <v>15</v>
      </c>
      <c r="G279" s="7">
        <v>64.95</v>
      </c>
      <c r="H279" s="7">
        <v>1339.8</v>
      </c>
      <c r="I279" s="2" t="s">
        <v>15</v>
      </c>
      <c r="J279" s="2" t="s">
        <v>16</v>
      </c>
      <c r="K279" s="2" t="s">
        <v>24</v>
      </c>
      <c r="L279" s="7">
        <v>1339.8</v>
      </c>
      <c r="M279" s="2" t="str">
        <f>_xlfn.IFS(TelecomData[[#This Row],[TenureMonths]]&lt;=12, "0-1 Year", TelecomData[[#This Row],[TenureMonths]]&lt;=36, "1-3 Years", TelecomData[[#This Row],[TenureMonths]]&gt;36, "3+ Years")</f>
        <v>1-3 Years</v>
      </c>
      <c r="N279" s="2" t="str">
        <f>IF(TelecomData[[#This Row],[CleanedTotalCharges]]&gt;=2500,"High Spend", "Standard Spend")</f>
        <v>Standard Spend</v>
      </c>
    </row>
    <row r="280" spans="1:14" x14ac:dyDescent="0.3">
      <c r="A280" s="1" t="s">
        <v>303</v>
      </c>
      <c r="B280" s="2" t="s">
        <v>19</v>
      </c>
      <c r="C280" s="2" t="s">
        <v>13</v>
      </c>
      <c r="D280" s="2">
        <v>14</v>
      </c>
      <c r="E280" s="2" t="s">
        <v>14</v>
      </c>
      <c r="F280" s="2" t="s">
        <v>16</v>
      </c>
      <c r="G280" s="7">
        <v>55</v>
      </c>
      <c r="H280" s="7">
        <v>771.95</v>
      </c>
      <c r="I280" s="2" t="s">
        <v>15</v>
      </c>
      <c r="J280" s="2" t="s">
        <v>16</v>
      </c>
      <c r="K280" s="2" t="s">
        <v>17</v>
      </c>
      <c r="L280" s="7">
        <v>771.95</v>
      </c>
      <c r="M280" s="2" t="str">
        <f>_xlfn.IFS(TelecomData[[#This Row],[TenureMonths]]&lt;=12, "0-1 Year", TelecomData[[#This Row],[TenureMonths]]&lt;=36, "1-3 Years", TelecomData[[#This Row],[TenureMonths]]&gt;36, "3+ Years")</f>
        <v>1-3 Years</v>
      </c>
      <c r="N280" s="2" t="str">
        <f>IF(TelecomData[[#This Row],[CleanedTotalCharges]]&gt;=2500,"High Spend", "Standard Spend")</f>
        <v>Standard Spend</v>
      </c>
    </row>
    <row r="281" spans="1:14" x14ac:dyDescent="0.3">
      <c r="A281" s="1" t="s">
        <v>304</v>
      </c>
      <c r="B281" s="2" t="s">
        <v>12</v>
      </c>
      <c r="C281" s="2" t="s">
        <v>13</v>
      </c>
      <c r="D281" s="2">
        <v>5</v>
      </c>
      <c r="E281" s="2" t="s">
        <v>14</v>
      </c>
      <c r="F281" s="2" t="s">
        <v>15</v>
      </c>
      <c r="G281" s="7">
        <v>50.55</v>
      </c>
      <c r="H281" s="7">
        <v>244.75</v>
      </c>
      <c r="I281" s="2" t="s">
        <v>15</v>
      </c>
      <c r="J281" s="2" t="s">
        <v>15</v>
      </c>
      <c r="K281" s="2" t="s">
        <v>24</v>
      </c>
      <c r="L281" s="7">
        <v>244.75</v>
      </c>
      <c r="M281" s="2" t="str">
        <f>_xlfn.IFS(TelecomData[[#This Row],[TenureMonths]]&lt;=12, "0-1 Year", TelecomData[[#This Row],[TenureMonths]]&lt;=36, "1-3 Years", TelecomData[[#This Row],[TenureMonths]]&gt;36, "3+ Years")</f>
        <v>0-1 Year</v>
      </c>
      <c r="N281" s="2" t="str">
        <f>IF(TelecomData[[#This Row],[CleanedTotalCharges]]&gt;=2500,"High Spend", "Standard Spend")</f>
        <v>Standard Spend</v>
      </c>
    </row>
    <row r="282" spans="1:14" x14ac:dyDescent="0.3">
      <c r="A282" s="1" t="s">
        <v>305</v>
      </c>
      <c r="B282" s="2" t="s">
        <v>12</v>
      </c>
      <c r="C282" s="2" t="s">
        <v>13</v>
      </c>
      <c r="D282" s="2">
        <v>6</v>
      </c>
      <c r="E282" s="2" t="s">
        <v>14</v>
      </c>
      <c r="F282" s="2" t="s">
        <v>15</v>
      </c>
      <c r="G282" s="7">
        <v>55.15</v>
      </c>
      <c r="H282" s="7">
        <v>322.89999999999998</v>
      </c>
      <c r="I282" s="2" t="s">
        <v>15</v>
      </c>
      <c r="J282" s="2" t="s">
        <v>15</v>
      </c>
      <c r="K282" s="2" t="s">
        <v>21</v>
      </c>
      <c r="L282" s="7">
        <v>322.89999999999998</v>
      </c>
      <c r="M282" s="2" t="str">
        <f>_xlfn.IFS(TelecomData[[#This Row],[TenureMonths]]&lt;=12, "0-1 Year", TelecomData[[#This Row],[TenureMonths]]&lt;=36, "1-3 Years", TelecomData[[#This Row],[TenureMonths]]&gt;36, "3+ Years")</f>
        <v>0-1 Year</v>
      </c>
      <c r="N282" s="2" t="str">
        <f>IF(TelecomData[[#This Row],[CleanedTotalCharges]]&gt;=2500,"High Spend", "Standard Spend")</f>
        <v>Standard Spend</v>
      </c>
    </row>
    <row r="283" spans="1:14" x14ac:dyDescent="0.3">
      <c r="A283" s="1" t="s">
        <v>306</v>
      </c>
      <c r="B283" s="2" t="s">
        <v>12</v>
      </c>
      <c r="C283" s="2" t="s">
        <v>13</v>
      </c>
      <c r="D283" s="2">
        <v>10</v>
      </c>
      <c r="E283" s="2" t="s">
        <v>14</v>
      </c>
      <c r="F283" s="2" t="s">
        <v>15</v>
      </c>
      <c r="G283" s="7">
        <v>51.2</v>
      </c>
      <c r="H283" s="7">
        <v>498.25</v>
      </c>
      <c r="I283" s="2" t="s">
        <v>15</v>
      </c>
      <c r="J283" s="2" t="s">
        <v>15</v>
      </c>
      <c r="K283" s="2" t="s">
        <v>17</v>
      </c>
      <c r="L283" s="7">
        <v>498.25</v>
      </c>
      <c r="M283" s="2" t="str">
        <f>_xlfn.IFS(TelecomData[[#This Row],[TenureMonths]]&lt;=12, "0-1 Year", TelecomData[[#This Row],[TenureMonths]]&lt;=36, "1-3 Years", TelecomData[[#This Row],[TenureMonths]]&gt;36, "3+ Years")</f>
        <v>0-1 Year</v>
      </c>
      <c r="N283" s="2" t="str">
        <f>IF(TelecomData[[#This Row],[CleanedTotalCharges]]&gt;=2500,"High Spend", "Standard Spend")</f>
        <v>Standard Spend</v>
      </c>
    </row>
    <row r="284" spans="1:14" x14ac:dyDescent="0.3">
      <c r="A284" s="1" t="s">
        <v>307</v>
      </c>
      <c r="B284" s="2" t="s">
        <v>12</v>
      </c>
      <c r="C284" s="2" t="s">
        <v>13</v>
      </c>
      <c r="D284" s="2">
        <v>1</v>
      </c>
      <c r="E284" s="2" t="s">
        <v>15</v>
      </c>
      <c r="F284" s="2" t="s">
        <v>36</v>
      </c>
      <c r="G284" s="7">
        <v>25.4</v>
      </c>
      <c r="H284" s="7">
        <v>25.4</v>
      </c>
      <c r="I284" s="2" t="s">
        <v>15</v>
      </c>
      <c r="J284" s="2" t="s">
        <v>15</v>
      </c>
      <c r="K284" s="2" t="s">
        <v>21</v>
      </c>
      <c r="L284" s="7">
        <v>25.4</v>
      </c>
      <c r="M284" s="2" t="str">
        <f>_xlfn.IFS(TelecomData[[#This Row],[TenureMonths]]&lt;=12, "0-1 Year", TelecomData[[#This Row],[TenureMonths]]&lt;=36, "1-3 Years", TelecomData[[#This Row],[TenureMonths]]&gt;36, "3+ Years")</f>
        <v>0-1 Year</v>
      </c>
      <c r="N284" s="2" t="str">
        <f>IF(TelecomData[[#This Row],[CleanedTotalCharges]]&gt;=2500,"High Spend", "Standard Spend")</f>
        <v>Standard Spend</v>
      </c>
    </row>
    <row r="285" spans="1:14" x14ac:dyDescent="0.3">
      <c r="A285" s="1" t="s">
        <v>308</v>
      </c>
      <c r="B285" s="2" t="s">
        <v>12</v>
      </c>
      <c r="C285" s="2" t="s">
        <v>13</v>
      </c>
      <c r="D285" s="2">
        <v>68</v>
      </c>
      <c r="E285" s="2" t="s">
        <v>14</v>
      </c>
      <c r="F285" s="2" t="s">
        <v>15</v>
      </c>
      <c r="G285" s="7">
        <v>54.45</v>
      </c>
      <c r="H285" s="7">
        <v>3687.75</v>
      </c>
      <c r="I285" s="2" t="s">
        <v>15</v>
      </c>
      <c r="J285" s="2" t="s">
        <v>15</v>
      </c>
      <c r="K285" s="2" t="s">
        <v>21</v>
      </c>
      <c r="L285" s="7">
        <v>3687.75</v>
      </c>
      <c r="M285" s="2" t="str">
        <f>_xlfn.IFS(TelecomData[[#This Row],[TenureMonths]]&lt;=12, "0-1 Year", TelecomData[[#This Row],[TenureMonths]]&lt;=36, "1-3 Years", TelecomData[[#This Row],[TenureMonths]]&gt;36, "3+ Years")</f>
        <v>3+ Years</v>
      </c>
      <c r="N285" s="2" t="str">
        <f>IF(TelecomData[[#This Row],[CleanedTotalCharges]]&gt;=2500,"High Spend", "Standard Spend")</f>
        <v>High Spend</v>
      </c>
    </row>
    <row r="286" spans="1:14" x14ac:dyDescent="0.3">
      <c r="A286" s="1" t="s">
        <v>309</v>
      </c>
      <c r="B286" s="2" t="s">
        <v>19</v>
      </c>
      <c r="C286" s="2" t="s">
        <v>13</v>
      </c>
      <c r="D286" s="2">
        <v>18</v>
      </c>
      <c r="E286" s="2" t="s">
        <v>26</v>
      </c>
      <c r="F286" s="2" t="s">
        <v>15</v>
      </c>
      <c r="G286" s="7">
        <v>95.15</v>
      </c>
      <c r="H286" s="7">
        <v>1779.95</v>
      </c>
      <c r="I286" s="2" t="s">
        <v>16</v>
      </c>
      <c r="J286" s="2" t="s">
        <v>15</v>
      </c>
      <c r="K286" s="2" t="s">
        <v>21</v>
      </c>
      <c r="L286" s="7">
        <v>1779.95</v>
      </c>
      <c r="M286" s="2" t="str">
        <f>_xlfn.IFS(TelecomData[[#This Row],[TenureMonths]]&lt;=12, "0-1 Year", TelecomData[[#This Row],[TenureMonths]]&lt;=36, "1-3 Years", TelecomData[[#This Row],[TenureMonths]]&gt;36, "3+ Years")</f>
        <v>1-3 Years</v>
      </c>
      <c r="N286" s="2" t="str">
        <f>IF(TelecomData[[#This Row],[CleanedTotalCharges]]&gt;=2500,"High Spend", "Standard Spend")</f>
        <v>Standard Spend</v>
      </c>
    </row>
    <row r="287" spans="1:14" x14ac:dyDescent="0.3">
      <c r="A287" s="1" t="s">
        <v>310</v>
      </c>
      <c r="B287" s="2" t="s">
        <v>12</v>
      </c>
      <c r="C287" s="2" t="s">
        <v>20</v>
      </c>
      <c r="D287" s="2">
        <v>22</v>
      </c>
      <c r="E287" s="2" t="s">
        <v>26</v>
      </c>
      <c r="F287" s="2" t="s">
        <v>15</v>
      </c>
      <c r="G287" s="7">
        <v>76</v>
      </c>
      <c r="H287" s="7">
        <v>1783.6</v>
      </c>
      <c r="I287" s="2" t="s">
        <v>15</v>
      </c>
      <c r="J287" s="2" t="s">
        <v>16</v>
      </c>
      <c r="K287" s="2" t="s">
        <v>29</v>
      </c>
      <c r="L287" s="7">
        <v>1783.6</v>
      </c>
      <c r="M287" s="2" t="str">
        <f>_xlfn.IFS(TelecomData[[#This Row],[TenureMonths]]&lt;=12, "0-1 Year", TelecomData[[#This Row],[TenureMonths]]&lt;=36, "1-3 Years", TelecomData[[#This Row],[TenureMonths]]&gt;36, "3+ Years")</f>
        <v>1-3 Years</v>
      </c>
      <c r="N287" s="2" t="str">
        <f>IF(TelecomData[[#This Row],[CleanedTotalCharges]]&gt;=2500,"High Spend", "Standard Spend")</f>
        <v>Standard Spend</v>
      </c>
    </row>
    <row r="288" spans="1:14" x14ac:dyDescent="0.3">
      <c r="A288" s="1" t="s">
        <v>311</v>
      </c>
      <c r="B288" s="2" t="s">
        <v>12</v>
      </c>
      <c r="C288" s="2" t="s">
        <v>13</v>
      </c>
      <c r="D288" s="2">
        <v>20</v>
      </c>
      <c r="E288" s="2" t="s">
        <v>14</v>
      </c>
      <c r="F288" s="2" t="s">
        <v>15</v>
      </c>
      <c r="G288" s="7">
        <v>44.35</v>
      </c>
      <c r="H288" s="7">
        <v>927.15</v>
      </c>
      <c r="I288" s="2" t="s">
        <v>15</v>
      </c>
      <c r="J288" s="2" t="s">
        <v>16</v>
      </c>
      <c r="K288" s="2" t="s">
        <v>17</v>
      </c>
      <c r="L288" s="7">
        <v>927.15</v>
      </c>
      <c r="M288" s="2" t="str">
        <f>_xlfn.IFS(TelecomData[[#This Row],[TenureMonths]]&lt;=12, "0-1 Year", TelecomData[[#This Row],[TenureMonths]]&lt;=36, "1-3 Years", TelecomData[[#This Row],[TenureMonths]]&gt;36, "3+ Years")</f>
        <v>1-3 Years</v>
      </c>
      <c r="N288" s="2" t="str">
        <f>IF(TelecomData[[#This Row],[CleanedTotalCharges]]&gt;=2500,"High Spend", "Standard Spend")</f>
        <v>Standard Spend</v>
      </c>
    </row>
    <row r="289" spans="1:14" x14ac:dyDescent="0.3">
      <c r="A289" s="1" t="s">
        <v>312</v>
      </c>
      <c r="B289" s="2" t="s">
        <v>19</v>
      </c>
      <c r="C289" s="2" t="s">
        <v>13</v>
      </c>
      <c r="D289" s="2">
        <v>1</v>
      </c>
      <c r="E289" s="2" t="s">
        <v>26</v>
      </c>
      <c r="F289" s="2" t="s">
        <v>15</v>
      </c>
      <c r="G289" s="7">
        <v>70</v>
      </c>
      <c r="H289" s="7">
        <v>70</v>
      </c>
      <c r="I289" s="2" t="s">
        <v>16</v>
      </c>
      <c r="J289" s="2" t="s">
        <v>15</v>
      </c>
      <c r="K289" s="2" t="s">
        <v>17</v>
      </c>
      <c r="L289" s="7">
        <v>70</v>
      </c>
      <c r="M289" s="2" t="str">
        <f>_xlfn.IFS(TelecomData[[#This Row],[TenureMonths]]&lt;=12, "0-1 Year", TelecomData[[#This Row],[TenureMonths]]&lt;=36, "1-3 Years", TelecomData[[#This Row],[TenureMonths]]&gt;36, "3+ Years")</f>
        <v>0-1 Year</v>
      </c>
      <c r="N289" s="2" t="str">
        <f>IF(TelecomData[[#This Row],[CleanedTotalCharges]]&gt;=2500,"High Spend", "Standard Spend")</f>
        <v>Standard Spend</v>
      </c>
    </row>
    <row r="290" spans="1:14" x14ac:dyDescent="0.3">
      <c r="A290" s="1" t="s">
        <v>313</v>
      </c>
      <c r="B290" s="2" t="s">
        <v>19</v>
      </c>
      <c r="C290" s="2" t="s">
        <v>13</v>
      </c>
      <c r="D290" s="2">
        <v>8</v>
      </c>
      <c r="E290" s="2" t="s">
        <v>26</v>
      </c>
      <c r="F290" s="2" t="s">
        <v>15</v>
      </c>
      <c r="G290" s="7">
        <v>74.5</v>
      </c>
      <c r="H290" s="7">
        <v>606.54999999999995</v>
      </c>
      <c r="I290" s="2" t="s">
        <v>16</v>
      </c>
      <c r="J290" s="2" t="s">
        <v>16</v>
      </c>
      <c r="K290" s="2" t="s">
        <v>17</v>
      </c>
      <c r="L290" s="7">
        <v>606.54999999999995</v>
      </c>
      <c r="M290" s="2" t="str">
        <f>_xlfn.IFS(TelecomData[[#This Row],[TenureMonths]]&lt;=12, "0-1 Year", TelecomData[[#This Row],[TenureMonths]]&lt;=36, "1-3 Years", TelecomData[[#This Row],[TenureMonths]]&gt;36, "3+ Years")</f>
        <v>0-1 Year</v>
      </c>
      <c r="N290" s="2" t="str">
        <f>IF(TelecomData[[#This Row],[CleanedTotalCharges]]&gt;=2500,"High Spend", "Standard Spend")</f>
        <v>Standard Spend</v>
      </c>
    </row>
    <row r="291" spans="1:14" x14ac:dyDescent="0.3">
      <c r="A291" s="1" t="s">
        <v>314</v>
      </c>
      <c r="B291" s="2" t="s">
        <v>19</v>
      </c>
      <c r="C291" s="2" t="s">
        <v>13</v>
      </c>
      <c r="D291" s="2">
        <v>10</v>
      </c>
      <c r="E291" s="2" t="s">
        <v>14</v>
      </c>
      <c r="F291" s="2" t="s">
        <v>15</v>
      </c>
      <c r="G291" s="7">
        <v>44.85</v>
      </c>
      <c r="H291" s="7">
        <v>435.4</v>
      </c>
      <c r="I291" s="2" t="s">
        <v>16</v>
      </c>
      <c r="J291" s="2" t="s">
        <v>16</v>
      </c>
      <c r="K291" s="2" t="s">
        <v>29</v>
      </c>
      <c r="L291" s="7">
        <v>435.4</v>
      </c>
      <c r="M291" s="2" t="str">
        <f>_xlfn.IFS(TelecomData[[#This Row],[TenureMonths]]&lt;=12, "0-1 Year", TelecomData[[#This Row],[TenureMonths]]&lt;=36, "1-3 Years", TelecomData[[#This Row],[TenureMonths]]&gt;36, "3+ Years")</f>
        <v>0-1 Year</v>
      </c>
      <c r="N291" s="2" t="str">
        <f>IF(TelecomData[[#This Row],[CleanedTotalCharges]]&gt;=2500,"High Spend", "Standard Spend")</f>
        <v>Standard Spend</v>
      </c>
    </row>
    <row r="292" spans="1:14" x14ac:dyDescent="0.3">
      <c r="A292" s="1" t="s">
        <v>315</v>
      </c>
      <c r="B292" s="2" t="s">
        <v>19</v>
      </c>
      <c r="C292" s="2" t="s">
        <v>13</v>
      </c>
      <c r="D292" s="2">
        <v>24</v>
      </c>
      <c r="E292" s="2" t="s">
        <v>26</v>
      </c>
      <c r="F292" s="2" t="s">
        <v>15</v>
      </c>
      <c r="G292" s="7">
        <v>76.099999999999994</v>
      </c>
      <c r="H292" s="7">
        <v>1712.7</v>
      </c>
      <c r="I292" s="2" t="s">
        <v>16</v>
      </c>
      <c r="J292" s="2" t="s">
        <v>16</v>
      </c>
      <c r="K292" s="2" t="s">
        <v>17</v>
      </c>
      <c r="L292" s="7">
        <v>1712.7</v>
      </c>
      <c r="M292" s="2" t="str">
        <f>_xlfn.IFS(TelecomData[[#This Row],[TenureMonths]]&lt;=12, "0-1 Year", TelecomData[[#This Row],[TenureMonths]]&lt;=36, "1-3 Years", TelecomData[[#This Row],[TenureMonths]]&gt;36, "3+ Years")</f>
        <v>1-3 Years</v>
      </c>
      <c r="N292" s="2" t="str">
        <f>IF(TelecomData[[#This Row],[CleanedTotalCharges]]&gt;=2500,"High Spend", "Standard Spend")</f>
        <v>Standard Spend</v>
      </c>
    </row>
    <row r="293" spans="1:14" x14ac:dyDescent="0.3">
      <c r="A293" s="1" t="s">
        <v>316</v>
      </c>
      <c r="B293" s="2" t="s">
        <v>19</v>
      </c>
      <c r="C293" s="2" t="s">
        <v>20</v>
      </c>
      <c r="D293" s="2">
        <v>35</v>
      </c>
      <c r="E293" s="2" t="s">
        <v>14</v>
      </c>
      <c r="F293" s="2" t="s">
        <v>15</v>
      </c>
      <c r="G293" s="7">
        <v>61.2</v>
      </c>
      <c r="H293" s="7">
        <v>2021.2</v>
      </c>
      <c r="I293" s="2" t="s">
        <v>15</v>
      </c>
      <c r="J293" s="2" t="s">
        <v>15</v>
      </c>
      <c r="K293" s="2" t="s">
        <v>21</v>
      </c>
      <c r="L293" s="7">
        <v>2021.2</v>
      </c>
      <c r="M293" s="2" t="str">
        <f>_xlfn.IFS(TelecomData[[#This Row],[TenureMonths]]&lt;=12, "0-1 Year", TelecomData[[#This Row],[TenureMonths]]&lt;=36, "1-3 Years", TelecomData[[#This Row],[TenureMonths]]&gt;36, "3+ Years")</f>
        <v>1-3 Years</v>
      </c>
      <c r="N293" s="2" t="str">
        <f>IF(TelecomData[[#This Row],[CleanedTotalCharges]]&gt;=2500,"High Spend", "Standard Spend")</f>
        <v>Standard Spend</v>
      </c>
    </row>
    <row r="294" spans="1:14" x14ac:dyDescent="0.3">
      <c r="A294" s="1" t="s">
        <v>317</v>
      </c>
      <c r="B294" s="2" t="s">
        <v>19</v>
      </c>
      <c r="C294" s="2" t="s">
        <v>20</v>
      </c>
      <c r="D294" s="2">
        <v>23</v>
      </c>
      <c r="E294" s="2" t="s">
        <v>26</v>
      </c>
      <c r="F294" s="2" t="s">
        <v>16</v>
      </c>
      <c r="G294" s="7">
        <v>86.8</v>
      </c>
      <c r="H294" s="7">
        <v>1940.8</v>
      </c>
      <c r="I294" s="2" t="s">
        <v>15</v>
      </c>
      <c r="J294" s="2" t="s">
        <v>15</v>
      </c>
      <c r="K294" s="2" t="s">
        <v>21</v>
      </c>
      <c r="L294" s="7">
        <v>1940.8</v>
      </c>
      <c r="M294" s="2" t="str">
        <f>_xlfn.IFS(TelecomData[[#This Row],[TenureMonths]]&lt;=12, "0-1 Year", TelecomData[[#This Row],[TenureMonths]]&lt;=36, "1-3 Years", TelecomData[[#This Row],[TenureMonths]]&gt;36, "3+ Years")</f>
        <v>1-3 Years</v>
      </c>
      <c r="N294" s="2" t="str">
        <f>IF(TelecomData[[#This Row],[CleanedTotalCharges]]&gt;=2500,"High Spend", "Standard Spend")</f>
        <v>Standard Spend</v>
      </c>
    </row>
    <row r="295" spans="1:14" x14ac:dyDescent="0.3">
      <c r="A295" s="1" t="s">
        <v>318</v>
      </c>
      <c r="B295" s="2" t="s">
        <v>12</v>
      </c>
      <c r="C295" s="2" t="s">
        <v>13</v>
      </c>
      <c r="D295" s="2">
        <v>6</v>
      </c>
      <c r="E295" s="2" t="s">
        <v>26</v>
      </c>
      <c r="F295" s="2" t="s">
        <v>15</v>
      </c>
      <c r="G295" s="7">
        <v>89.35</v>
      </c>
      <c r="H295" s="7">
        <v>567.79999999999995</v>
      </c>
      <c r="I295" s="2" t="s">
        <v>15</v>
      </c>
      <c r="J295" s="2" t="s">
        <v>16</v>
      </c>
      <c r="K295" s="2" t="s">
        <v>17</v>
      </c>
      <c r="L295" s="7">
        <v>567.79999999999995</v>
      </c>
      <c r="M295" s="2" t="str">
        <f>_xlfn.IFS(TelecomData[[#This Row],[TenureMonths]]&lt;=12, "0-1 Year", TelecomData[[#This Row],[TenureMonths]]&lt;=36, "1-3 Years", TelecomData[[#This Row],[TenureMonths]]&gt;36, "3+ Years")</f>
        <v>0-1 Year</v>
      </c>
      <c r="N295" s="2" t="str">
        <f>IF(TelecomData[[#This Row],[CleanedTotalCharges]]&gt;=2500,"High Spend", "Standard Spend")</f>
        <v>Standard Spend</v>
      </c>
    </row>
    <row r="296" spans="1:14" x14ac:dyDescent="0.3">
      <c r="A296" s="1" t="s">
        <v>319</v>
      </c>
      <c r="B296" s="2" t="s">
        <v>12</v>
      </c>
      <c r="C296" s="2" t="s">
        <v>13</v>
      </c>
      <c r="D296" s="2">
        <v>12</v>
      </c>
      <c r="E296" s="2" t="s">
        <v>15</v>
      </c>
      <c r="F296" s="2" t="s">
        <v>36</v>
      </c>
      <c r="G296" s="7">
        <v>19.7</v>
      </c>
      <c r="H296" s="7">
        <v>220.35</v>
      </c>
      <c r="I296" s="2" t="s">
        <v>15</v>
      </c>
      <c r="J296" s="2" t="s">
        <v>15</v>
      </c>
      <c r="K296" s="2" t="s">
        <v>21</v>
      </c>
      <c r="L296" s="7">
        <v>220.35</v>
      </c>
      <c r="M296" s="2" t="str">
        <f>_xlfn.IFS(TelecomData[[#This Row],[TenureMonths]]&lt;=12, "0-1 Year", TelecomData[[#This Row],[TenureMonths]]&lt;=36, "1-3 Years", TelecomData[[#This Row],[TenureMonths]]&gt;36, "3+ Years")</f>
        <v>0-1 Year</v>
      </c>
      <c r="N296" s="2" t="str">
        <f>IF(TelecomData[[#This Row],[CleanedTotalCharges]]&gt;=2500,"High Spend", "Standard Spend")</f>
        <v>Standard Spend</v>
      </c>
    </row>
    <row r="297" spans="1:14" x14ac:dyDescent="0.3">
      <c r="A297" s="1" t="s">
        <v>320</v>
      </c>
      <c r="B297" s="2" t="s">
        <v>19</v>
      </c>
      <c r="C297" s="2" t="s">
        <v>13</v>
      </c>
      <c r="D297" s="2">
        <v>1</v>
      </c>
      <c r="E297" s="2" t="s">
        <v>15</v>
      </c>
      <c r="F297" s="2" t="s">
        <v>36</v>
      </c>
      <c r="G297" s="7">
        <v>20.25</v>
      </c>
      <c r="H297" s="7">
        <v>20.25</v>
      </c>
      <c r="I297" s="2" t="s">
        <v>15</v>
      </c>
      <c r="J297" s="2" t="s">
        <v>15</v>
      </c>
      <c r="K297" s="2" t="s">
        <v>21</v>
      </c>
      <c r="L297" s="7">
        <v>20.25</v>
      </c>
      <c r="M297" s="2" t="str">
        <f>_xlfn.IFS(TelecomData[[#This Row],[TenureMonths]]&lt;=12, "0-1 Year", TelecomData[[#This Row],[TenureMonths]]&lt;=36, "1-3 Years", TelecomData[[#This Row],[TenureMonths]]&gt;36, "3+ Years")</f>
        <v>0-1 Year</v>
      </c>
      <c r="N297" s="2" t="str">
        <f>IF(TelecomData[[#This Row],[CleanedTotalCharges]]&gt;=2500,"High Spend", "Standard Spend")</f>
        <v>Standard Spend</v>
      </c>
    </row>
    <row r="298" spans="1:14" x14ac:dyDescent="0.3">
      <c r="A298" s="1" t="s">
        <v>321</v>
      </c>
      <c r="B298" s="2" t="s">
        <v>12</v>
      </c>
      <c r="C298" s="2" t="s">
        <v>35</v>
      </c>
      <c r="D298" s="2">
        <v>71</v>
      </c>
      <c r="E298" s="2" t="s">
        <v>26</v>
      </c>
      <c r="F298" s="2" t="s">
        <v>15</v>
      </c>
      <c r="G298" s="7">
        <v>76.05</v>
      </c>
      <c r="H298" s="7">
        <v>5436.45</v>
      </c>
      <c r="I298" s="2" t="s">
        <v>15</v>
      </c>
      <c r="J298" s="2" t="s">
        <v>15</v>
      </c>
      <c r="K298" s="2" t="s">
        <v>17</v>
      </c>
      <c r="L298" s="7">
        <v>5436.45</v>
      </c>
      <c r="M298" s="2" t="str">
        <f>_xlfn.IFS(TelecomData[[#This Row],[TenureMonths]]&lt;=12, "0-1 Year", TelecomData[[#This Row],[TenureMonths]]&lt;=36, "1-3 Years", TelecomData[[#This Row],[TenureMonths]]&gt;36, "3+ Years")</f>
        <v>3+ Years</v>
      </c>
      <c r="N298" s="2" t="str">
        <f>IF(TelecomData[[#This Row],[CleanedTotalCharges]]&gt;=2500,"High Spend", "Standard Spend")</f>
        <v>High Spend</v>
      </c>
    </row>
    <row r="299" spans="1:14" x14ac:dyDescent="0.3">
      <c r="A299" s="1" t="s">
        <v>322</v>
      </c>
      <c r="B299" s="2" t="s">
        <v>19</v>
      </c>
      <c r="C299" s="2" t="s">
        <v>13</v>
      </c>
      <c r="D299" s="2">
        <v>35</v>
      </c>
      <c r="E299" s="2" t="s">
        <v>26</v>
      </c>
      <c r="F299" s="2" t="s">
        <v>15</v>
      </c>
      <c r="G299" s="7">
        <v>100.8</v>
      </c>
      <c r="H299" s="7">
        <v>3437.5</v>
      </c>
      <c r="I299" s="2" t="s">
        <v>15</v>
      </c>
      <c r="J299" s="2" t="s">
        <v>16</v>
      </c>
      <c r="K299" s="2" t="s">
        <v>17</v>
      </c>
      <c r="L299" s="7">
        <v>3437.5</v>
      </c>
      <c r="M299" s="2" t="str">
        <f>_xlfn.IFS(TelecomData[[#This Row],[TenureMonths]]&lt;=12, "0-1 Year", TelecomData[[#This Row],[TenureMonths]]&lt;=36, "1-3 Years", TelecomData[[#This Row],[TenureMonths]]&gt;36, "3+ Years")</f>
        <v>1-3 Years</v>
      </c>
      <c r="N299" s="2" t="str">
        <f>IF(TelecomData[[#This Row],[CleanedTotalCharges]]&gt;=2500,"High Spend", "Standard Spend")</f>
        <v>High Spend</v>
      </c>
    </row>
    <row r="300" spans="1:14" x14ac:dyDescent="0.3">
      <c r="A300" s="1" t="s">
        <v>323</v>
      </c>
      <c r="B300" s="2" t="s">
        <v>19</v>
      </c>
      <c r="C300" s="2" t="s">
        <v>13</v>
      </c>
      <c r="D300" s="2">
        <v>40</v>
      </c>
      <c r="E300" s="2" t="s">
        <v>14</v>
      </c>
      <c r="F300" s="2" t="s">
        <v>15</v>
      </c>
      <c r="G300" s="7">
        <v>74.55</v>
      </c>
      <c r="H300" s="7">
        <v>3015.75</v>
      </c>
      <c r="I300" s="2" t="s">
        <v>15</v>
      </c>
      <c r="J300" s="2" t="s">
        <v>16</v>
      </c>
      <c r="K300" s="2" t="s">
        <v>17</v>
      </c>
      <c r="L300" s="7">
        <v>3015.75</v>
      </c>
      <c r="M300" s="2" t="str">
        <f>_xlfn.IFS(TelecomData[[#This Row],[TenureMonths]]&lt;=12, "0-1 Year", TelecomData[[#This Row],[TenureMonths]]&lt;=36, "1-3 Years", TelecomData[[#This Row],[TenureMonths]]&gt;36, "3+ Years")</f>
        <v>3+ Years</v>
      </c>
      <c r="N300" s="2" t="str">
        <f>IF(TelecomData[[#This Row],[CleanedTotalCharges]]&gt;=2500,"High Spend", "Standard Spend")</f>
        <v>High Spend</v>
      </c>
    </row>
    <row r="301" spans="1:14" x14ac:dyDescent="0.3">
      <c r="A301" s="1" t="s">
        <v>324</v>
      </c>
      <c r="B301" s="2" t="s">
        <v>12</v>
      </c>
      <c r="C301" s="2" t="s">
        <v>13</v>
      </c>
      <c r="D301" s="2">
        <v>1</v>
      </c>
      <c r="E301" s="2" t="s">
        <v>26</v>
      </c>
      <c r="F301" s="2" t="s">
        <v>15</v>
      </c>
      <c r="G301" s="7">
        <v>73.599999999999994</v>
      </c>
      <c r="H301" s="7">
        <v>73.599999999999994</v>
      </c>
      <c r="I301" s="2" t="s">
        <v>16</v>
      </c>
      <c r="J301" s="2" t="s">
        <v>16</v>
      </c>
      <c r="K301" s="2" t="s">
        <v>21</v>
      </c>
      <c r="L301" s="7">
        <v>73.599999999999994</v>
      </c>
      <c r="M301" s="2" t="str">
        <f>_xlfn.IFS(TelecomData[[#This Row],[TenureMonths]]&lt;=12, "0-1 Year", TelecomData[[#This Row],[TenureMonths]]&lt;=36, "1-3 Years", TelecomData[[#This Row],[TenureMonths]]&gt;36, "3+ Years")</f>
        <v>0-1 Year</v>
      </c>
      <c r="N301" s="2" t="str">
        <f>IF(TelecomData[[#This Row],[CleanedTotalCharges]]&gt;=2500,"High Spend", "Standard Spend")</f>
        <v>Standard Spend</v>
      </c>
    </row>
    <row r="302" spans="1:14" x14ac:dyDescent="0.3">
      <c r="A302" s="1" t="s">
        <v>325</v>
      </c>
      <c r="B302" s="2" t="s">
        <v>19</v>
      </c>
      <c r="C302" s="2" t="s">
        <v>20</v>
      </c>
      <c r="D302" s="2">
        <v>23</v>
      </c>
      <c r="E302" s="2" t="s">
        <v>14</v>
      </c>
      <c r="F302" s="2" t="s">
        <v>15</v>
      </c>
      <c r="G302" s="7">
        <v>64.900000000000006</v>
      </c>
      <c r="H302" s="7">
        <v>1509.8</v>
      </c>
      <c r="I302" s="2" t="s">
        <v>15</v>
      </c>
      <c r="J302" s="2" t="s">
        <v>16</v>
      </c>
      <c r="K302" s="2" t="s">
        <v>24</v>
      </c>
      <c r="L302" s="7">
        <v>1509.8</v>
      </c>
      <c r="M302" s="2" t="str">
        <f>_xlfn.IFS(TelecomData[[#This Row],[TenureMonths]]&lt;=12, "0-1 Year", TelecomData[[#This Row],[TenureMonths]]&lt;=36, "1-3 Years", TelecomData[[#This Row],[TenureMonths]]&gt;36, "3+ Years")</f>
        <v>1-3 Years</v>
      </c>
      <c r="N302" s="2" t="str">
        <f>IF(TelecomData[[#This Row],[CleanedTotalCharges]]&gt;=2500,"High Spend", "Standard Spend")</f>
        <v>Standard Spend</v>
      </c>
    </row>
    <row r="303" spans="1:14" x14ac:dyDescent="0.3">
      <c r="A303" s="1" t="s">
        <v>326</v>
      </c>
      <c r="B303" s="2" t="s">
        <v>12</v>
      </c>
      <c r="C303" s="2" t="s">
        <v>13</v>
      </c>
      <c r="D303" s="2">
        <v>4</v>
      </c>
      <c r="E303" s="2" t="s">
        <v>26</v>
      </c>
      <c r="F303" s="2" t="s">
        <v>15</v>
      </c>
      <c r="G303" s="7">
        <v>95.45</v>
      </c>
      <c r="H303" s="7">
        <v>396.1</v>
      </c>
      <c r="I303" s="2" t="s">
        <v>16</v>
      </c>
      <c r="J303" s="2" t="s">
        <v>16</v>
      </c>
      <c r="K303" s="2" t="s">
        <v>17</v>
      </c>
      <c r="L303" s="7">
        <v>396.1</v>
      </c>
      <c r="M303" s="2" t="str">
        <f>_xlfn.IFS(TelecomData[[#This Row],[TenureMonths]]&lt;=12, "0-1 Year", TelecomData[[#This Row],[TenureMonths]]&lt;=36, "1-3 Years", TelecomData[[#This Row],[TenureMonths]]&gt;36, "3+ Years")</f>
        <v>0-1 Year</v>
      </c>
      <c r="N303" s="2" t="str">
        <f>IF(TelecomData[[#This Row],[CleanedTotalCharges]]&gt;=2500,"High Spend", "Standard Spend")</f>
        <v>Standard Spend</v>
      </c>
    </row>
    <row r="304" spans="1:14" x14ac:dyDescent="0.3">
      <c r="A304" s="1" t="s">
        <v>327</v>
      </c>
      <c r="B304" s="2" t="s">
        <v>19</v>
      </c>
      <c r="C304" s="2" t="s">
        <v>13</v>
      </c>
      <c r="D304" s="2">
        <v>4</v>
      </c>
      <c r="E304" s="2" t="s">
        <v>26</v>
      </c>
      <c r="F304" s="2" t="s">
        <v>16</v>
      </c>
      <c r="G304" s="7">
        <v>90.4</v>
      </c>
      <c r="H304" s="7">
        <v>356.65</v>
      </c>
      <c r="I304" s="2" t="s">
        <v>15</v>
      </c>
      <c r="J304" s="2" t="s">
        <v>16</v>
      </c>
      <c r="K304" s="2" t="s">
        <v>17</v>
      </c>
      <c r="L304" s="7">
        <v>356.65</v>
      </c>
      <c r="M304" s="2" t="str">
        <f>_xlfn.IFS(TelecomData[[#This Row],[TenureMonths]]&lt;=12, "0-1 Year", TelecomData[[#This Row],[TenureMonths]]&lt;=36, "1-3 Years", TelecomData[[#This Row],[TenureMonths]]&gt;36, "3+ Years")</f>
        <v>0-1 Year</v>
      </c>
      <c r="N304" s="2" t="str">
        <f>IF(TelecomData[[#This Row],[CleanedTotalCharges]]&gt;=2500,"High Spend", "Standard Spend")</f>
        <v>Standard Spend</v>
      </c>
    </row>
    <row r="305" spans="1:14" x14ac:dyDescent="0.3">
      <c r="A305" s="1" t="s">
        <v>328</v>
      </c>
      <c r="B305" s="2" t="s">
        <v>12</v>
      </c>
      <c r="C305" s="2" t="s">
        <v>35</v>
      </c>
      <c r="D305" s="2">
        <v>68</v>
      </c>
      <c r="E305" s="2" t="s">
        <v>14</v>
      </c>
      <c r="F305" s="2" t="s">
        <v>16</v>
      </c>
      <c r="G305" s="7">
        <v>60.3</v>
      </c>
      <c r="H305" s="7">
        <v>4109</v>
      </c>
      <c r="I305" s="2" t="s">
        <v>15</v>
      </c>
      <c r="J305" s="2" t="s">
        <v>15</v>
      </c>
      <c r="K305" s="2" t="s">
        <v>29</v>
      </c>
      <c r="L305" s="7">
        <v>4109</v>
      </c>
      <c r="M305" s="2" t="str">
        <f>_xlfn.IFS(TelecomData[[#This Row],[TenureMonths]]&lt;=12, "0-1 Year", TelecomData[[#This Row],[TenureMonths]]&lt;=36, "1-3 Years", TelecomData[[#This Row],[TenureMonths]]&gt;36, "3+ Years")</f>
        <v>3+ Years</v>
      </c>
      <c r="N305" s="2" t="str">
        <f>IF(TelecomData[[#This Row],[CleanedTotalCharges]]&gt;=2500,"High Spend", "Standard Spend")</f>
        <v>High Spend</v>
      </c>
    </row>
    <row r="306" spans="1:14" x14ac:dyDescent="0.3">
      <c r="A306" s="1" t="s">
        <v>329</v>
      </c>
      <c r="B306" s="2" t="s">
        <v>19</v>
      </c>
      <c r="C306" s="2" t="s">
        <v>13</v>
      </c>
      <c r="D306" s="2">
        <v>38</v>
      </c>
      <c r="E306" s="2" t="s">
        <v>26</v>
      </c>
      <c r="F306" s="2" t="s">
        <v>15</v>
      </c>
      <c r="G306" s="7">
        <v>81.849999999999994</v>
      </c>
      <c r="H306" s="7">
        <v>3141.7</v>
      </c>
      <c r="I306" s="2" t="s">
        <v>15</v>
      </c>
      <c r="J306" s="2" t="s">
        <v>16</v>
      </c>
      <c r="K306" s="2" t="s">
        <v>21</v>
      </c>
      <c r="L306" s="7">
        <v>3141.7</v>
      </c>
      <c r="M306" s="2" t="str">
        <f>_xlfn.IFS(TelecomData[[#This Row],[TenureMonths]]&lt;=12, "0-1 Year", TelecomData[[#This Row],[TenureMonths]]&lt;=36, "1-3 Years", TelecomData[[#This Row],[TenureMonths]]&gt;36, "3+ Years")</f>
        <v>3+ Years</v>
      </c>
      <c r="N306" s="2" t="str">
        <f>IF(TelecomData[[#This Row],[CleanedTotalCharges]]&gt;=2500,"High Spend", "Standard Spend")</f>
        <v>High Spend</v>
      </c>
    </row>
    <row r="307" spans="1:14" x14ac:dyDescent="0.3">
      <c r="A307" s="1" t="s">
        <v>330</v>
      </c>
      <c r="B307" s="2" t="s">
        <v>19</v>
      </c>
      <c r="C307" s="2" t="s">
        <v>35</v>
      </c>
      <c r="D307" s="2">
        <v>52</v>
      </c>
      <c r="E307" s="2" t="s">
        <v>15</v>
      </c>
      <c r="F307" s="2" t="s">
        <v>36</v>
      </c>
      <c r="G307" s="7">
        <v>24.8</v>
      </c>
      <c r="H307" s="7">
        <v>1229.0999999999999</v>
      </c>
      <c r="I307" s="2" t="s">
        <v>15</v>
      </c>
      <c r="J307" s="2" t="s">
        <v>15</v>
      </c>
      <c r="K307" s="2" t="s">
        <v>21</v>
      </c>
      <c r="L307" s="7">
        <v>1229.0999999999999</v>
      </c>
      <c r="M307" s="2" t="str">
        <f>_xlfn.IFS(TelecomData[[#This Row],[TenureMonths]]&lt;=12, "0-1 Year", TelecomData[[#This Row],[TenureMonths]]&lt;=36, "1-3 Years", TelecomData[[#This Row],[TenureMonths]]&gt;36, "3+ Years")</f>
        <v>3+ Years</v>
      </c>
      <c r="N307" s="2" t="str">
        <f>IF(TelecomData[[#This Row],[CleanedTotalCharges]]&gt;=2500,"High Spend", "Standard Spend")</f>
        <v>Standard Spend</v>
      </c>
    </row>
    <row r="308" spans="1:14" x14ac:dyDescent="0.3">
      <c r="A308" s="1" t="s">
        <v>331</v>
      </c>
      <c r="B308" s="2" t="s">
        <v>19</v>
      </c>
      <c r="C308" s="2" t="s">
        <v>13</v>
      </c>
      <c r="D308" s="2">
        <v>32</v>
      </c>
      <c r="E308" s="2" t="s">
        <v>26</v>
      </c>
      <c r="F308" s="2" t="s">
        <v>15</v>
      </c>
      <c r="G308" s="7">
        <v>74.900000000000006</v>
      </c>
      <c r="H308" s="7">
        <v>2303.35</v>
      </c>
      <c r="I308" s="2" t="s">
        <v>16</v>
      </c>
      <c r="J308" s="2" t="s">
        <v>16</v>
      </c>
      <c r="K308" s="2" t="s">
        <v>17</v>
      </c>
      <c r="L308" s="7">
        <v>2303.35</v>
      </c>
      <c r="M308" s="2" t="str">
        <f>_xlfn.IFS(TelecomData[[#This Row],[TenureMonths]]&lt;=12, "0-1 Year", TelecomData[[#This Row],[TenureMonths]]&lt;=36, "1-3 Years", TelecomData[[#This Row],[TenureMonths]]&gt;36, "3+ Years")</f>
        <v>1-3 Years</v>
      </c>
      <c r="N308" s="2" t="str">
        <f>IF(TelecomData[[#This Row],[CleanedTotalCharges]]&gt;=2500,"High Spend", "Standard Spend")</f>
        <v>Standard Spend</v>
      </c>
    </row>
    <row r="309" spans="1:14" x14ac:dyDescent="0.3">
      <c r="A309" s="1" t="s">
        <v>332</v>
      </c>
      <c r="B309" s="2" t="s">
        <v>19</v>
      </c>
      <c r="C309" s="2" t="s">
        <v>35</v>
      </c>
      <c r="D309" s="2">
        <v>29</v>
      </c>
      <c r="E309" s="2" t="s">
        <v>14</v>
      </c>
      <c r="F309" s="2" t="s">
        <v>16</v>
      </c>
      <c r="G309" s="7">
        <v>75.55</v>
      </c>
      <c r="H309" s="7">
        <v>2054.4</v>
      </c>
      <c r="I309" s="2" t="s">
        <v>15</v>
      </c>
      <c r="J309" s="2" t="s">
        <v>15</v>
      </c>
      <c r="K309" s="2" t="s">
        <v>21</v>
      </c>
      <c r="L309" s="7">
        <v>2054.4</v>
      </c>
      <c r="M309" s="2" t="str">
        <f>_xlfn.IFS(TelecomData[[#This Row],[TenureMonths]]&lt;=12, "0-1 Year", TelecomData[[#This Row],[TenureMonths]]&lt;=36, "1-3 Years", TelecomData[[#This Row],[TenureMonths]]&gt;36, "3+ Years")</f>
        <v>1-3 Years</v>
      </c>
      <c r="N309" s="2" t="str">
        <f>IF(TelecomData[[#This Row],[CleanedTotalCharges]]&gt;=2500,"High Spend", "Standard Spend")</f>
        <v>Standard Spend</v>
      </c>
    </row>
    <row r="310" spans="1:14" x14ac:dyDescent="0.3">
      <c r="A310" s="1" t="s">
        <v>333</v>
      </c>
      <c r="B310" s="2" t="s">
        <v>19</v>
      </c>
      <c r="C310" s="2" t="s">
        <v>13</v>
      </c>
      <c r="D310" s="2">
        <v>38</v>
      </c>
      <c r="E310" s="2" t="s">
        <v>26</v>
      </c>
      <c r="F310" s="2" t="s">
        <v>15</v>
      </c>
      <c r="G310" s="7">
        <v>101.15</v>
      </c>
      <c r="H310" s="7">
        <v>3741.85</v>
      </c>
      <c r="I310" s="2" t="s">
        <v>15</v>
      </c>
      <c r="J310" s="2" t="s">
        <v>15</v>
      </c>
      <c r="K310" s="2" t="s">
        <v>17</v>
      </c>
      <c r="L310" s="7">
        <v>3741.85</v>
      </c>
      <c r="M310" s="2" t="str">
        <f>_xlfn.IFS(TelecomData[[#This Row],[TenureMonths]]&lt;=12, "0-1 Year", TelecomData[[#This Row],[TenureMonths]]&lt;=36, "1-3 Years", TelecomData[[#This Row],[TenureMonths]]&gt;36, "3+ Years")</f>
        <v>3+ Years</v>
      </c>
      <c r="N310" s="2" t="str">
        <f>IF(TelecomData[[#This Row],[CleanedTotalCharges]]&gt;=2500,"High Spend", "Standard Spend")</f>
        <v>High Spend</v>
      </c>
    </row>
    <row r="311" spans="1:14" x14ac:dyDescent="0.3">
      <c r="A311" s="1" t="s">
        <v>334</v>
      </c>
      <c r="B311" s="2" t="s">
        <v>19</v>
      </c>
      <c r="C311" s="2" t="s">
        <v>20</v>
      </c>
      <c r="D311" s="2">
        <v>48</v>
      </c>
      <c r="E311" s="2" t="s">
        <v>14</v>
      </c>
      <c r="F311" s="2" t="s">
        <v>15</v>
      </c>
      <c r="G311" s="7">
        <v>78.75</v>
      </c>
      <c r="H311" s="7">
        <v>3682.45</v>
      </c>
      <c r="I311" s="2" t="s">
        <v>15</v>
      </c>
      <c r="J311" s="2" t="s">
        <v>16</v>
      </c>
      <c r="K311" s="2" t="s">
        <v>29</v>
      </c>
      <c r="L311" s="7">
        <v>3682.45</v>
      </c>
      <c r="M311" s="2" t="str">
        <f>_xlfn.IFS(TelecomData[[#This Row],[TenureMonths]]&lt;=12, "0-1 Year", TelecomData[[#This Row],[TenureMonths]]&lt;=36, "1-3 Years", TelecomData[[#This Row],[TenureMonths]]&gt;36, "3+ Years")</f>
        <v>3+ Years</v>
      </c>
      <c r="N311" s="2" t="str">
        <f>IF(TelecomData[[#This Row],[CleanedTotalCharges]]&gt;=2500,"High Spend", "Standard Spend")</f>
        <v>High Spend</v>
      </c>
    </row>
    <row r="312" spans="1:14" x14ac:dyDescent="0.3">
      <c r="A312" s="1" t="s">
        <v>335</v>
      </c>
      <c r="B312" s="2" t="s">
        <v>12</v>
      </c>
      <c r="C312" s="2" t="s">
        <v>13</v>
      </c>
      <c r="D312" s="2">
        <v>1</v>
      </c>
      <c r="E312" s="2" t="s">
        <v>15</v>
      </c>
      <c r="F312" s="2" t="s">
        <v>36</v>
      </c>
      <c r="G312" s="7">
        <v>19.25</v>
      </c>
      <c r="H312" s="7">
        <v>19.25</v>
      </c>
      <c r="I312" s="2" t="s">
        <v>15</v>
      </c>
      <c r="J312" s="2" t="s">
        <v>16</v>
      </c>
      <c r="K312" s="2" t="s">
        <v>24</v>
      </c>
      <c r="L312" s="7">
        <v>19.25</v>
      </c>
      <c r="M312" s="2" t="str">
        <f>_xlfn.IFS(TelecomData[[#This Row],[TenureMonths]]&lt;=12, "0-1 Year", TelecomData[[#This Row],[TenureMonths]]&lt;=36, "1-3 Years", TelecomData[[#This Row],[TenureMonths]]&gt;36, "3+ Years")</f>
        <v>0-1 Year</v>
      </c>
      <c r="N312" s="2" t="str">
        <f>IF(TelecomData[[#This Row],[CleanedTotalCharges]]&gt;=2500,"High Spend", "Standard Spend")</f>
        <v>Standard Spend</v>
      </c>
    </row>
    <row r="313" spans="1:14" x14ac:dyDescent="0.3">
      <c r="A313" s="1" t="s">
        <v>336</v>
      </c>
      <c r="B313" s="2" t="s">
        <v>12</v>
      </c>
      <c r="C313" s="2" t="s">
        <v>13</v>
      </c>
      <c r="D313" s="2">
        <v>22</v>
      </c>
      <c r="E313" s="2" t="s">
        <v>26</v>
      </c>
      <c r="F313" s="2" t="s">
        <v>16</v>
      </c>
      <c r="G313" s="7">
        <v>89.05</v>
      </c>
      <c r="H313" s="7">
        <v>1886.25</v>
      </c>
      <c r="I313" s="2" t="s">
        <v>15</v>
      </c>
      <c r="J313" s="2" t="s">
        <v>16</v>
      </c>
      <c r="K313" s="2" t="s">
        <v>17</v>
      </c>
      <c r="L313" s="7">
        <v>1886.25</v>
      </c>
      <c r="M313" s="2" t="str">
        <f>_xlfn.IFS(TelecomData[[#This Row],[TenureMonths]]&lt;=12, "0-1 Year", TelecomData[[#This Row],[TenureMonths]]&lt;=36, "1-3 Years", TelecomData[[#This Row],[TenureMonths]]&gt;36, "3+ Years")</f>
        <v>1-3 Years</v>
      </c>
      <c r="N313" s="2" t="str">
        <f>IF(TelecomData[[#This Row],[CleanedTotalCharges]]&gt;=2500,"High Spend", "Standard Spend")</f>
        <v>Standard Spend</v>
      </c>
    </row>
    <row r="314" spans="1:14" x14ac:dyDescent="0.3">
      <c r="A314" s="1" t="s">
        <v>337</v>
      </c>
      <c r="B314" s="2" t="s">
        <v>12</v>
      </c>
      <c r="C314" s="2" t="s">
        <v>35</v>
      </c>
      <c r="D314" s="2">
        <v>43</v>
      </c>
      <c r="E314" s="2" t="s">
        <v>26</v>
      </c>
      <c r="F314" s="2" t="s">
        <v>16</v>
      </c>
      <c r="G314" s="7">
        <v>115.05</v>
      </c>
      <c r="H314" s="7">
        <v>4895.1000000000004</v>
      </c>
      <c r="I314" s="2" t="s">
        <v>15</v>
      </c>
      <c r="J314" s="2" t="s">
        <v>15</v>
      </c>
      <c r="K314" s="2" t="s">
        <v>29</v>
      </c>
      <c r="L314" s="7">
        <v>4895.1000000000004</v>
      </c>
      <c r="M314" s="2" t="str">
        <f>_xlfn.IFS(TelecomData[[#This Row],[TenureMonths]]&lt;=12, "0-1 Year", TelecomData[[#This Row],[TenureMonths]]&lt;=36, "1-3 Years", TelecomData[[#This Row],[TenureMonths]]&gt;36, "3+ Years")</f>
        <v>3+ Years</v>
      </c>
      <c r="N314" s="2" t="str">
        <f>IF(TelecomData[[#This Row],[CleanedTotalCharges]]&gt;=2500,"High Spend", "Standard Spend")</f>
        <v>High Spend</v>
      </c>
    </row>
    <row r="315" spans="1:14" x14ac:dyDescent="0.3">
      <c r="A315" s="1" t="s">
        <v>338</v>
      </c>
      <c r="B315" s="2" t="s">
        <v>12</v>
      </c>
      <c r="C315" s="2" t="s">
        <v>13</v>
      </c>
      <c r="D315" s="2">
        <v>5</v>
      </c>
      <c r="E315" s="2" t="s">
        <v>26</v>
      </c>
      <c r="F315" s="2" t="s">
        <v>15</v>
      </c>
      <c r="G315" s="7">
        <v>69.349999999999994</v>
      </c>
      <c r="H315" s="7">
        <v>341.6</v>
      </c>
      <c r="I315" s="2" t="s">
        <v>15</v>
      </c>
      <c r="J315" s="2" t="s">
        <v>16</v>
      </c>
      <c r="K315" s="2" t="s">
        <v>17</v>
      </c>
      <c r="L315" s="7">
        <v>341.6</v>
      </c>
      <c r="M315" s="2" t="str">
        <f>_xlfn.IFS(TelecomData[[#This Row],[TenureMonths]]&lt;=12, "0-1 Year", TelecomData[[#This Row],[TenureMonths]]&lt;=36, "1-3 Years", TelecomData[[#This Row],[TenureMonths]]&gt;36, "3+ Years")</f>
        <v>0-1 Year</v>
      </c>
      <c r="N315" s="2" t="str">
        <f>IF(TelecomData[[#This Row],[CleanedTotalCharges]]&gt;=2500,"High Spend", "Standard Spend")</f>
        <v>Standard Spend</v>
      </c>
    </row>
    <row r="316" spans="1:14" x14ac:dyDescent="0.3">
      <c r="A316" s="1" t="s">
        <v>339</v>
      </c>
      <c r="B316" s="2" t="s">
        <v>19</v>
      </c>
      <c r="C316" s="2" t="s">
        <v>13</v>
      </c>
      <c r="D316" s="2">
        <v>5</v>
      </c>
      <c r="E316" s="2" t="s">
        <v>26</v>
      </c>
      <c r="F316" s="2" t="s">
        <v>15</v>
      </c>
      <c r="G316" s="7">
        <v>80.599999999999994</v>
      </c>
      <c r="H316" s="7">
        <v>415.55</v>
      </c>
      <c r="I316" s="2" t="s">
        <v>16</v>
      </c>
      <c r="J316" s="2" t="s">
        <v>16</v>
      </c>
      <c r="K316" s="2" t="s">
        <v>17</v>
      </c>
      <c r="L316" s="7">
        <v>415.55</v>
      </c>
      <c r="M316" s="2" t="str">
        <f>_xlfn.IFS(TelecomData[[#This Row],[TenureMonths]]&lt;=12, "0-1 Year", TelecomData[[#This Row],[TenureMonths]]&lt;=36, "1-3 Years", TelecomData[[#This Row],[TenureMonths]]&gt;36, "3+ Years")</f>
        <v>0-1 Year</v>
      </c>
      <c r="N316" s="2" t="str">
        <f>IF(TelecomData[[#This Row],[CleanedTotalCharges]]&gt;=2500,"High Spend", "Standard Spend")</f>
        <v>Standard Spend</v>
      </c>
    </row>
    <row r="317" spans="1:14" x14ac:dyDescent="0.3">
      <c r="A317" s="1" t="s">
        <v>340</v>
      </c>
      <c r="B317" s="2" t="s">
        <v>19</v>
      </c>
      <c r="C317" s="2" t="s">
        <v>20</v>
      </c>
      <c r="D317" s="2">
        <v>51</v>
      </c>
      <c r="E317" s="2" t="s">
        <v>26</v>
      </c>
      <c r="F317" s="2" t="s">
        <v>16</v>
      </c>
      <c r="G317" s="7">
        <v>110.05</v>
      </c>
      <c r="H317" s="7">
        <v>5686.4</v>
      </c>
      <c r="I317" s="2" t="s">
        <v>15</v>
      </c>
      <c r="J317" s="2" t="s">
        <v>15</v>
      </c>
      <c r="K317" s="2" t="s">
        <v>29</v>
      </c>
      <c r="L317" s="7">
        <v>5686.4</v>
      </c>
      <c r="M317" s="2" t="str">
        <f>_xlfn.IFS(TelecomData[[#This Row],[TenureMonths]]&lt;=12, "0-1 Year", TelecomData[[#This Row],[TenureMonths]]&lt;=36, "1-3 Years", TelecomData[[#This Row],[TenureMonths]]&gt;36, "3+ Years")</f>
        <v>3+ Years</v>
      </c>
      <c r="N317" s="2" t="str">
        <f>IF(TelecomData[[#This Row],[CleanedTotalCharges]]&gt;=2500,"High Spend", "Standard Spend")</f>
        <v>High Spend</v>
      </c>
    </row>
    <row r="318" spans="1:14" x14ac:dyDescent="0.3">
      <c r="A318" s="1" t="s">
        <v>341</v>
      </c>
      <c r="B318" s="2" t="s">
        <v>19</v>
      </c>
      <c r="C318" s="2" t="s">
        <v>35</v>
      </c>
      <c r="D318" s="2">
        <v>71</v>
      </c>
      <c r="E318" s="2" t="s">
        <v>15</v>
      </c>
      <c r="F318" s="2" t="s">
        <v>36</v>
      </c>
      <c r="G318" s="7">
        <v>19.899999999999999</v>
      </c>
      <c r="H318" s="7">
        <v>1355.1</v>
      </c>
      <c r="I318" s="2" t="s">
        <v>15</v>
      </c>
      <c r="J318" s="2" t="s">
        <v>16</v>
      </c>
      <c r="K318" s="2" t="s">
        <v>29</v>
      </c>
      <c r="L318" s="7">
        <v>1355.1</v>
      </c>
      <c r="M318" s="2" t="str">
        <f>_xlfn.IFS(TelecomData[[#This Row],[TenureMonths]]&lt;=12, "0-1 Year", TelecomData[[#This Row],[TenureMonths]]&lt;=36, "1-3 Years", TelecomData[[#This Row],[TenureMonths]]&gt;36, "3+ Years")</f>
        <v>3+ Years</v>
      </c>
      <c r="N318" s="2" t="str">
        <f>IF(TelecomData[[#This Row],[CleanedTotalCharges]]&gt;=2500,"High Spend", "Standard Spend")</f>
        <v>Standard Spend</v>
      </c>
    </row>
    <row r="319" spans="1:14" x14ac:dyDescent="0.3">
      <c r="A319" s="1" t="s">
        <v>342</v>
      </c>
      <c r="B319" s="2" t="s">
        <v>12</v>
      </c>
      <c r="C319" s="2" t="s">
        <v>20</v>
      </c>
      <c r="D319" s="2">
        <v>38</v>
      </c>
      <c r="E319" s="2" t="s">
        <v>14</v>
      </c>
      <c r="F319" s="2" t="s">
        <v>16</v>
      </c>
      <c r="G319" s="7">
        <v>80.3</v>
      </c>
      <c r="H319" s="7">
        <v>3058.65</v>
      </c>
      <c r="I319" s="2" t="s">
        <v>16</v>
      </c>
      <c r="J319" s="2" t="s">
        <v>15</v>
      </c>
      <c r="K319" s="2" t="s">
        <v>29</v>
      </c>
      <c r="L319" s="7">
        <v>3058.65</v>
      </c>
      <c r="M319" s="2" t="str">
        <f>_xlfn.IFS(TelecomData[[#This Row],[TenureMonths]]&lt;=12, "0-1 Year", TelecomData[[#This Row],[TenureMonths]]&lt;=36, "1-3 Years", TelecomData[[#This Row],[TenureMonths]]&gt;36, "3+ Years")</f>
        <v>3+ Years</v>
      </c>
      <c r="N319" s="2" t="str">
        <f>IF(TelecomData[[#This Row],[CleanedTotalCharges]]&gt;=2500,"High Spend", "Standard Spend")</f>
        <v>High Spend</v>
      </c>
    </row>
    <row r="320" spans="1:14" x14ac:dyDescent="0.3">
      <c r="A320" s="1" t="s">
        <v>343</v>
      </c>
      <c r="B320" s="2" t="s">
        <v>19</v>
      </c>
      <c r="C320" s="2" t="s">
        <v>13</v>
      </c>
      <c r="D320" s="2">
        <v>24</v>
      </c>
      <c r="E320" s="2" t="s">
        <v>26</v>
      </c>
      <c r="F320" s="2" t="s">
        <v>15</v>
      </c>
      <c r="G320" s="7">
        <v>93.15</v>
      </c>
      <c r="H320" s="7">
        <v>2231.0500000000002</v>
      </c>
      <c r="I320" s="2" t="s">
        <v>16</v>
      </c>
      <c r="J320" s="2" t="s">
        <v>16</v>
      </c>
      <c r="K320" s="2" t="s">
        <v>17</v>
      </c>
      <c r="L320" s="7">
        <v>2231.0500000000002</v>
      </c>
      <c r="M320" s="2" t="str">
        <f>_xlfn.IFS(TelecomData[[#This Row],[TenureMonths]]&lt;=12, "0-1 Year", TelecomData[[#This Row],[TenureMonths]]&lt;=36, "1-3 Years", TelecomData[[#This Row],[TenureMonths]]&gt;36, "3+ Years")</f>
        <v>1-3 Years</v>
      </c>
      <c r="N320" s="2" t="str">
        <f>IF(TelecomData[[#This Row],[CleanedTotalCharges]]&gt;=2500,"High Spend", "Standard Spend")</f>
        <v>Standard Spend</v>
      </c>
    </row>
    <row r="321" spans="1:14" x14ac:dyDescent="0.3">
      <c r="A321" s="1" t="s">
        <v>344</v>
      </c>
      <c r="B321" s="2" t="s">
        <v>19</v>
      </c>
      <c r="C321" s="2" t="s">
        <v>13</v>
      </c>
      <c r="D321" s="2">
        <v>35</v>
      </c>
      <c r="E321" s="2" t="s">
        <v>26</v>
      </c>
      <c r="F321" s="2" t="s">
        <v>16</v>
      </c>
      <c r="G321" s="7">
        <v>91.5</v>
      </c>
      <c r="H321" s="7">
        <v>3236.35</v>
      </c>
      <c r="I321" s="2" t="s">
        <v>15</v>
      </c>
      <c r="J321" s="2" t="s">
        <v>16</v>
      </c>
      <c r="K321" s="2" t="s">
        <v>29</v>
      </c>
      <c r="L321" s="7">
        <v>3236.35</v>
      </c>
      <c r="M321" s="2" t="str">
        <f>_xlfn.IFS(TelecomData[[#This Row],[TenureMonths]]&lt;=12, "0-1 Year", TelecomData[[#This Row],[TenureMonths]]&lt;=36, "1-3 Years", TelecomData[[#This Row],[TenureMonths]]&gt;36, "3+ Years")</f>
        <v>1-3 Years</v>
      </c>
      <c r="N321" s="2" t="str">
        <f>IF(TelecomData[[#This Row],[CleanedTotalCharges]]&gt;=2500,"High Spend", "Standard Spend")</f>
        <v>High Spend</v>
      </c>
    </row>
    <row r="322" spans="1:14" x14ac:dyDescent="0.3">
      <c r="A322" s="1" t="s">
        <v>345</v>
      </c>
      <c r="B322" s="2" t="s">
        <v>12</v>
      </c>
      <c r="C322" s="2" t="s">
        <v>20</v>
      </c>
      <c r="D322" s="2">
        <v>54</v>
      </c>
      <c r="E322" s="2" t="s">
        <v>14</v>
      </c>
      <c r="F322" s="2" t="s">
        <v>16</v>
      </c>
      <c r="G322" s="7">
        <v>82.45</v>
      </c>
      <c r="H322" s="7">
        <v>4350.1000000000004</v>
      </c>
      <c r="I322" s="2" t="s">
        <v>16</v>
      </c>
      <c r="J322" s="2" t="s">
        <v>15</v>
      </c>
      <c r="K322" s="2" t="s">
        <v>24</v>
      </c>
      <c r="L322" s="7">
        <v>4350.1000000000004</v>
      </c>
      <c r="M322" s="2" t="str">
        <f>_xlfn.IFS(TelecomData[[#This Row],[TenureMonths]]&lt;=12, "0-1 Year", TelecomData[[#This Row],[TenureMonths]]&lt;=36, "1-3 Years", TelecomData[[#This Row],[TenureMonths]]&gt;36, "3+ Years")</f>
        <v>3+ Years</v>
      </c>
      <c r="N322" s="2" t="str">
        <f>IF(TelecomData[[#This Row],[CleanedTotalCharges]]&gt;=2500,"High Spend", "Standard Spend")</f>
        <v>High Spend</v>
      </c>
    </row>
    <row r="323" spans="1:14" x14ac:dyDescent="0.3">
      <c r="A323" s="1" t="s">
        <v>346</v>
      </c>
      <c r="B323" s="2" t="s">
        <v>12</v>
      </c>
      <c r="C323" s="2" t="s">
        <v>35</v>
      </c>
      <c r="D323" s="2">
        <v>72</v>
      </c>
      <c r="E323" s="2" t="s">
        <v>14</v>
      </c>
      <c r="F323" s="2" t="s">
        <v>16</v>
      </c>
      <c r="G323" s="7">
        <v>60</v>
      </c>
      <c r="H323" s="7">
        <v>4264</v>
      </c>
      <c r="I323" s="2" t="s">
        <v>15</v>
      </c>
      <c r="J323" s="2" t="s">
        <v>16</v>
      </c>
      <c r="K323" s="2" t="s">
        <v>17</v>
      </c>
      <c r="L323" s="7">
        <v>4264</v>
      </c>
      <c r="M323" s="2" t="str">
        <f>_xlfn.IFS(TelecomData[[#This Row],[TenureMonths]]&lt;=12, "0-1 Year", TelecomData[[#This Row],[TenureMonths]]&lt;=36, "1-3 Years", TelecomData[[#This Row],[TenureMonths]]&gt;36, "3+ Years")</f>
        <v>3+ Years</v>
      </c>
      <c r="N323" s="2" t="str">
        <f>IF(TelecomData[[#This Row],[CleanedTotalCharges]]&gt;=2500,"High Spend", "Standard Spend")</f>
        <v>High Spend</v>
      </c>
    </row>
    <row r="324" spans="1:14" x14ac:dyDescent="0.3">
      <c r="A324" s="1" t="s">
        <v>347</v>
      </c>
      <c r="B324" s="2" t="s">
        <v>19</v>
      </c>
      <c r="C324" s="2" t="s">
        <v>13</v>
      </c>
      <c r="D324" s="2">
        <v>1</v>
      </c>
      <c r="E324" s="2" t="s">
        <v>14</v>
      </c>
      <c r="F324" s="2" t="s">
        <v>15</v>
      </c>
      <c r="G324" s="7">
        <v>44.8</v>
      </c>
      <c r="H324" s="7">
        <v>44.8</v>
      </c>
      <c r="I324" s="2" t="s">
        <v>15</v>
      </c>
      <c r="J324" s="2" t="s">
        <v>16</v>
      </c>
      <c r="K324" s="2" t="s">
        <v>17</v>
      </c>
      <c r="L324" s="7">
        <v>44.8</v>
      </c>
      <c r="M324" s="2" t="str">
        <f>_xlfn.IFS(TelecomData[[#This Row],[TenureMonths]]&lt;=12, "0-1 Year", TelecomData[[#This Row],[TenureMonths]]&lt;=36, "1-3 Years", TelecomData[[#This Row],[TenureMonths]]&gt;36, "3+ Years")</f>
        <v>0-1 Year</v>
      </c>
      <c r="N324" s="2" t="str">
        <f>IF(TelecomData[[#This Row],[CleanedTotalCharges]]&gt;=2500,"High Spend", "Standard Spend")</f>
        <v>Standard Spend</v>
      </c>
    </row>
    <row r="325" spans="1:14" x14ac:dyDescent="0.3">
      <c r="A325" s="1" t="s">
        <v>348</v>
      </c>
      <c r="B325" s="2" t="s">
        <v>12</v>
      </c>
      <c r="C325" s="2" t="s">
        <v>20</v>
      </c>
      <c r="D325" s="2">
        <v>9</v>
      </c>
      <c r="E325" s="2" t="s">
        <v>14</v>
      </c>
      <c r="F325" s="2" t="s">
        <v>15</v>
      </c>
      <c r="G325" s="7">
        <v>48.6</v>
      </c>
      <c r="H325" s="7">
        <v>422.3</v>
      </c>
      <c r="I325" s="2" t="s">
        <v>15</v>
      </c>
      <c r="J325" s="2" t="s">
        <v>15</v>
      </c>
      <c r="K325" s="2" t="s">
        <v>21</v>
      </c>
      <c r="L325" s="7">
        <v>422.3</v>
      </c>
      <c r="M325" s="2" t="str">
        <f>_xlfn.IFS(TelecomData[[#This Row],[TenureMonths]]&lt;=12, "0-1 Year", TelecomData[[#This Row],[TenureMonths]]&lt;=36, "1-3 Years", TelecomData[[#This Row],[TenureMonths]]&gt;36, "3+ Years")</f>
        <v>0-1 Year</v>
      </c>
      <c r="N325" s="2" t="str">
        <f>IF(TelecomData[[#This Row],[CleanedTotalCharges]]&gt;=2500,"High Spend", "Standard Spend")</f>
        <v>Standard Spend</v>
      </c>
    </row>
    <row r="326" spans="1:14" x14ac:dyDescent="0.3">
      <c r="A326" s="1" t="s">
        <v>349</v>
      </c>
      <c r="B326" s="2" t="s">
        <v>19</v>
      </c>
      <c r="C326" s="2" t="s">
        <v>35</v>
      </c>
      <c r="D326" s="2">
        <v>69</v>
      </c>
      <c r="E326" s="2" t="s">
        <v>14</v>
      </c>
      <c r="F326" s="2" t="s">
        <v>16</v>
      </c>
      <c r="G326" s="7">
        <v>60.05</v>
      </c>
      <c r="H326" s="7">
        <v>4176.7</v>
      </c>
      <c r="I326" s="2" t="s">
        <v>15</v>
      </c>
      <c r="J326" s="2" t="s">
        <v>16</v>
      </c>
      <c r="K326" s="2" t="s">
        <v>24</v>
      </c>
      <c r="L326" s="7">
        <v>4176.7</v>
      </c>
      <c r="M326" s="2" t="str">
        <f>_xlfn.IFS(TelecomData[[#This Row],[TenureMonths]]&lt;=12, "0-1 Year", TelecomData[[#This Row],[TenureMonths]]&lt;=36, "1-3 Years", TelecomData[[#This Row],[TenureMonths]]&gt;36, "3+ Years")</f>
        <v>3+ Years</v>
      </c>
      <c r="N326" s="2" t="str">
        <f>IF(TelecomData[[#This Row],[CleanedTotalCharges]]&gt;=2500,"High Spend", "Standard Spend")</f>
        <v>High Spend</v>
      </c>
    </row>
    <row r="327" spans="1:14" x14ac:dyDescent="0.3">
      <c r="A327" s="1" t="s">
        <v>350</v>
      </c>
      <c r="B327" s="2" t="s">
        <v>12</v>
      </c>
      <c r="C327" s="2" t="s">
        <v>13</v>
      </c>
      <c r="D327" s="2">
        <v>52</v>
      </c>
      <c r="E327" s="2" t="s">
        <v>26</v>
      </c>
      <c r="F327" s="2" t="s">
        <v>16</v>
      </c>
      <c r="G327" s="7">
        <v>102.7</v>
      </c>
      <c r="H327" s="7">
        <v>5138.1000000000004</v>
      </c>
      <c r="I327" s="2" t="s">
        <v>15</v>
      </c>
      <c r="J327" s="2" t="s">
        <v>16</v>
      </c>
      <c r="K327" s="2" t="s">
        <v>29</v>
      </c>
      <c r="L327" s="7">
        <v>5138.1000000000004</v>
      </c>
      <c r="M327" s="2" t="str">
        <f>_xlfn.IFS(TelecomData[[#This Row],[TenureMonths]]&lt;=12, "0-1 Year", TelecomData[[#This Row],[TenureMonths]]&lt;=36, "1-3 Years", TelecomData[[#This Row],[TenureMonths]]&gt;36, "3+ Years")</f>
        <v>3+ Years</v>
      </c>
      <c r="N327" s="2" t="str">
        <f>IF(TelecomData[[#This Row],[CleanedTotalCharges]]&gt;=2500,"High Spend", "Standard Spend")</f>
        <v>High Spend</v>
      </c>
    </row>
    <row r="328" spans="1:14" x14ac:dyDescent="0.3">
      <c r="A328" s="1" t="s">
        <v>351</v>
      </c>
      <c r="B328" s="2" t="s">
        <v>12</v>
      </c>
      <c r="C328" s="2" t="s">
        <v>13</v>
      </c>
      <c r="D328" s="2">
        <v>11</v>
      </c>
      <c r="E328" s="2" t="s">
        <v>26</v>
      </c>
      <c r="F328" s="2" t="s">
        <v>16</v>
      </c>
      <c r="G328" s="7">
        <v>82.9</v>
      </c>
      <c r="H328" s="7">
        <v>880.05</v>
      </c>
      <c r="I328" s="2" t="s">
        <v>15</v>
      </c>
      <c r="J328" s="2" t="s">
        <v>16</v>
      </c>
      <c r="K328" s="2" t="s">
        <v>17</v>
      </c>
      <c r="L328" s="7">
        <v>880.05</v>
      </c>
      <c r="M328" s="2" t="str">
        <f>_xlfn.IFS(TelecomData[[#This Row],[TenureMonths]]&lt;=12, "0-1 Year", TelecomData[[#This Row],[TenureMonths]]&lt;=36, "1-3 Years", TelecomData[[#This Row],[TenureMonths]]&gt;36, "3+ Years")</f>
        <v>0-1 Year</v>
      </c>
      <c r="N328" s="2" t="str">
        <f>IF(TelecomData[[#This Row],[CleanedTotalCharges]]&gt;=2500,"High Spend", "Standard Spend")</f>
        <v>Standard Spend</v>
      </c>
    </row>
    <row r="329" spans="1:14" x14ac:dyDescent="0.3">
      <c r="A329" s="1" t="s">
        <v>352</v>
      </c>
      <c r="B329" s="2" t="s">
        <v>12</v>
      </c>
      <c r="C329" s="2" t="s">
        <v>13</v>
      </c>
      <c r="D329" s="2">
        <v>2</v>
      </c>
      <c r="E329" s="2" t="s">
        <v>26</v>
      </c>
      <c r="F329" s="2" t="s">
        <v>15</v>
      </c>
      <c r="G329" s="7">
        <v>70.349999999999994</v>
      </c>
      <c r="H329" s="7">
        <v>139.05000000000001</v>
      </c>
      <c r="I329" s="2" t="s">
        <v>16</v>
      </c>
      <c r="J329" s="2" t="s">
        <v>16</v>
      </c>
      <c r="K329" s="2" t="s">
        <v>17</v>
      </c>
      <c r="L329" s="7">
        <v>139.05000000000001</v>
      </c>
      <c r="M329" s="2" t="str">
        <f>_xlfn.IFS(TelecomData[[#This Row],[TenureMonths]]&lt;=12, "0-1 Year", TelecomData[[#This Row],[TenureMonths]]&lt;=36, "1-3 Years", TelecomData[[#This Row],[TenureMonths]]&gt;36, "3+ Years")</f>
        <v>0-1 Year</v>
      </c>
      <c r="N329" s="2" t="str">
        <f>IF(TelecomData[[#This Row],[CleanedTotalCharges]]&gt;=2500,"High Spend", "Standard Spend")</f>
        <v>Standard Spend</v>
      </c>
    </row>
    <row r="330" spans="1:14" x14ac:dyDescent="0.3">
      <c r="A330" s="1" t="s">
        <v>353</v>
      </c>
      <c r="B330" s="2" t="s">
        <v>12</v>
      </c>
      <c r="C330" s="2" t="s">
        <v>13</v>
      </c>
      <c r="D330" s="2">
        <v>28</v>
      </c>
      <c r="E330" s="2" t="s">
        <v>14</v>
      </c>
      <c r="F330" s="2" t="s">
        <v>15</v>
      </c>
      <c r="G330" s="7">
        <v>35.9</v>
      </c>
      <c r="H330" s="7">
        <v>973.65</v>
      </c>
      <c r="I330" s="2" t="s">
        <v>15</v>
      </c>
      <c r="J330" s="2" t="s">
        <v>16</v>
      </c>
      <c r="K330" s="2" t="s">
        <v>17</v>
      </c>
      <c r="L330" s="7">
        <v>973.65</v>
      </c>
      <c r="M330" s="2" t="str">
        <f>_xlfn.IFS(TelecomData[[#This Row],[TenureMonths]]&lt;=12, "0-1 Year", TelecomData[[#This Row],[TenureMonths]]&lt;=36, "1-3 Years", TelecomData[[#This Row],[TenureMonths]]&gt;36, "3+ Years")</f>
        <v>1-3 Years</v>
      </c>
      <c r="N330" s="2" t="str">
        <f>IF(TelecomData[[#This Row],[CleanedTotalCharges]]&gt;=2500,"High Spend", "Standard Spend")</f>
        <v>Standard Spend</v>
      </c>
    </row>
    <row r="331" spans="1:14" x14ac:dyDescent="0.3">
      <c r="A331" s="1" t="s">
        <v>354</v>
      </c>
      <c r="B331" s="2" t="s">
        <v>12</v>
      </c>
      <c r="C331" s="2" t="s">
        <v>13</v>
      </c>
      <c r="D331" s="2">
        <v>17</v>
      </c>
      <c r="E331" s="2" t="s">
        <v>26</v>
      </c>
      <c r="F331" s="2" t="s">
        <v>15</v>
      </c>
      <c r="G331" s="7">
        <v>82.65</v>
      </c>
      <c r="H331" s="7">
        <v>1470.05</v>
      </c>
      <c r="I331" s="2" t="s">
        <v>15</v>
      </c>
      <c r="J331" s="2" t="s">
        <v>16</v>
      </c>
      <c r="K331" s="2" t="s">
        <v>29</v>
      </c>
      <c r="L331" s="7">
        <v>1470.05</v>
      </c>
      <c r="M331" s="2" t="str">
        <f>_xlfn.IFS(TelecomData[[#This Row],[TenureMonths]]&lt;=12, "0-1 Year", TelecomData[[#This Row],[TenureMonths]]&lt;=36, "1-3 Years", TelecomData[[#This Row],[TenureMonths]]&gt;36, "3+ Years")</f>
        <v>1-3 Years</v>
      </c>
      <c r="N331" s="2" t="str">
        <f>IF(TelecomData[[#This Row],[CleanedTotalCharges]]&gt;=2500,"High Spend", "Standard Spend")</f>
        <v>Standard Spend</v>
      </c>
    </row>
    <row r="332" spans="1:14" x14ac:dyDescent="0.3">
      <c r="A332" s="1" t="s">
        <v>355</v>
      </c>
      <c r="B332" s="2" t="s">
        <v>12</v>
      </c>
      <c r="C332" s="2" t="s">
        <v>35</v>
      </c>
      <c r="D332" s="2">
        <v>35</v>
      </c>
      <c r="E332" s="2" t="s">
        <v>15</v>
      </c>
      <c r="F332" s="2" t="s">
        <v>36</v>
      </c>
      <c r="G332" s="7">
        <v>19.850000000000001</v>
      </c>
      <c r="H332" s="7">
        <v>739.35</v>
      </c>
      <c r="I332" s="2" t="s">
        <v>15</v>
      </c>
      <c r="J332" s="2" t="s">
        <v>16</v>
      </c>
      <c r="K332" s="2" t="s">
        <v>21</v>
      </c>
      <c r="L332" s="7">
        <v>739.35</v>
      </c>
      <c r="M332" s="2" t="str">
        <f>_xlfn.IFS(TelecomData[[#This Row],[TenureMonths]]&lt;=12, "0-1 Year", TelecomData[[#This Row],[TenureMonths]]&lt;=36, "1-3 Years", TelecomData[[#This Row],[TenureMonths]]&gt;36, "3+ Years")</f>
        <v>1-3 Years</v>
      </c>
      <c r="N332" s="2" t="str">
        <f>IF(TelecomData[[#This Row],[CleanedTotalCharges]]&gt;=2500,"High Spend", "Standard Spend")</f>
        <v>Standard Spend</v>
      </c>
    </row>
    <row r="333" spans="1:14" x14ac:dyDescent="0.3">
      <c r="A333" s="1" t="s">
        <v>356</v>
      </c>
      <c r="B333" s="2" t="s">
        <v>12</v>
      </c>
      <c r="C333" s="2" t="s">
        <v>20</v>
      </c>
      <c r="D333" s="2">
        <v>8</v>
      </c>
      <c r="E333" s="2" t="s">
        <v>15</v>
      </c>
      <c r="F333" s="2" t="s">
        <v>36</v>
      </c>
      <c r="G333" s="7">
        <v>19.2</v>
      </c>
      <c r="H333" s="7">
        <v>161.94999999999999</v>
      </c>
      <c r="I333" s="2" t="s">
        <v>15</v>
      </c>
      <c r="J333" s="2" t="s">
        <v>16</v>
      </c>
      <c r="K333" s="2" t="s">
        <v>21</v>
      </c>
      <c r="L333" s="7">
        <v>161.94999999999999</v>
      </c>
      <c r="M333" s="2" t="str">
        <f>_xlfn.IFS(TelecomData[[#This Row],[TenureMonths]]&lt;=12, "0-1 Year", TelecomData[[#This Row],[TenureMonths]]&lt;=36, "1-3 Years", TelecomData[[#This Row],[TenureMonths]]&gt;36, "3+ Years")</f>
        <v>0-1 Year</v>
      </c>
      <c r="N333" s="2" t="str">
        <f>IF(TelecomData[[#This Row],[CleanedTotalCharges]]&gt;=2500,"High Spend", "Standard Spend")</f>
        <v>Standard Spend</v>
      </c>
    </row>
    <row r="334" spans="1:14" x14ac:dyDescent="0.3">
      <c r="A334" s="1" t="s">
        <v>357</v>
      </c>
      <c r="B334" s="2" t="s">
        <v>19</v>
      </c>
      <c r="C334" s="2" t="s">
        <v>20</v>
      </c>
      <c r="D334" s="2">
        <v>46</v>
      </c>
      <c r="E334" s="2" t="s">
        <v>26</v>
      </c>
      <c r="F334" s="2" t="s">
        <v>15</v>
      </c>
      <c r="G334" s="7">
        <v>94.9</v>
      </c>
      <c r="H334" s="7">
        <v>4422.95</v>
      </c>
      <c r="I334" s="2" t="s">
        <v>15</v>
      </c>
      <c r="J334" s="2" t="s">
        <v>16</v>
      </c>
      <c r="K334" s="2" t="s">
        <v>29</v>
      </c>
      <c r="L334" s="7">
        <v>4422.95</v>
      </c>
      <c r="M334" s="2" t="str">
        <f>_xlfn.IFS(TelecomData[[#This Row],[TenureMonths]]&lt;=12, "0-1 Year", TelecomData[[#This Row],[TenureMonths]]&lt;=36, "1-3 Years", TelecomData[[#This Row],[TenureMonths]]&gt;36, "3+ Years")</f>
        <v>3+ Years</v>
      </c>
      <c r="N334" s="2" t="str">
        <f>IF(TelecomData[[#This Row],[CleanedTotalCharges]]&gt;=2500,"High Spend", "Standard Spend")</f>
        <v>High Spend</v>
      </c>
    </row>
    <row r="335" spans="1:14" x14ac:dyDescent="0.3">
      <c r="A335" s="1" t="s">
        <v>358</v>
      </c>
      <c r="B335" s="2" t="s">
        <v>12</v>
      </c>
      <c r="C335" s="2" t="s">
        <v>13</v>
      </c>
      <c r="D335" s="2">
        <v>7</v>
      </c>
      <c r="E335" s="2" t="s">
        <v>26</v>
      </c>
      <c r="F335" s="2" t="s">
        <v>15</v>
      </c>
      <c r="G335" s="7">
        <v>73.849999999999994</v>
      </c>
      <c r="H335" s="7">
        <v>511.25</v>
      </c>
      <c r="I335" s="2" t="s">
        <v>16</v>
      </c>
      <c r="J335" s="2" t="s">
        <v>16</v>
      </c>
      <c r="K335" s="2" t="s">
        <v>17</v>
      </c>
      <c r="L335" s="7">
        <v>511.25</v>
      </c>
      <c r="M335" s="2" t="str">
        <f>_xlfn.IFS(TelecomData[[#This Row],[TenureMonths]]&lt;=12, "0-1 Year", TelecomData[[#This Row],[TenureMonths]]&lt;=36, "1-3 Years", TelecomData[[#This Row],[TenureMonths]]&gt;36, "3+ Years")</f>
        <v>0-1 Year</v>
      </c>
      <c r="N335" s="2" t="str">
        <f>IF(TelecomData[[#This Row],[CleanedTotalCharges]]&gt;=2500,"High Spend", "Standard Spend")</f>
        <v>Standard Spend</v>
      </c>
    </row>
    <row r="336" spans="1:14" x14ac:dyDescent="0.3">
      <c r="A336" s="1" t="s">
        <v>359</v>
      </c>
      <c r="B336" s="2" t="s">
        <v>12</v>
      </c>
      <c r="C336" s="2" t="s">
        <v>13</v>
      </c>
      <c r="D336" s="2">
        <v>2</v>
      </c>
      <c r="E336" s="2" t="s">
        <v>26</v>
      </c>
      <c r="F336" s="2" t="s">
        <v>15</v>
      </c>
      <c r="G336" s="7">
        <v>80.599999999999994</v>
      </c>
      <c r="H336" s="7">
        <v>155.80000000000001</v>
      </c>
      <c r="I336" s="2" t="s">
        <v>16</v>
      </c>
      <c r="J336" s="2" t="s">
        <v>15</v>
      </c>
      <c r="K336" s="2" t="s">
        <v>21</v>
      </c>
      <c r="L336" s="7">
        <v>155.80000000000001</v>
      </c>
      <c r="M336" s="2" t="str">
        <f>_xlfn.IFS(TelecomData[[#This Row],[TenureMonths]]&lt;=12, "0-1 Year", TelecomData[[#This Row],[TenureMonths]]&lt;=36, "1-3 Years", TelecomData[[#This Row],[TenureMonths]]&gt;36, "3+ Years")</f>
        <v>0-1 Year</v>
      </c>
      <c r="N336" s="2" t="str">
        <f>IF(TelecomData[[#This Row],[CleanedTotalCharges]]&gt;=2500,"High Spend", "Standard Spend")</f>
        <v>Standard Spend</v>
      </c>
    </row>
    <row r="337" spans="1:14" x14ac:dyDescent="0.3">
      <c r="A337" s="1" t="s">
        <v>360</v>
      </c>
      <c r="B337" s="2" t="s">
        <v>19</v>
      </c>
      <c r="C337" s="2" t="s">
        <v>20</v>
      </c>
      <c r="D337" s="2">
        <v>68</v>
      </c>
      <c r="E337" s="2" t="s">
        <v>14</v>
      </c>
      <c r="F337" s="2" t="s">
        <v>16</v>
      </c>
      <c r="G337" s="7">
        <v>75.8</v>
      </c>
      <c r="H337" s="7">
        <v>5293.95</v>
      </c>
      <c r="I337" s="2" t="s">
        <v>16</v>
      </c>
      <c r="J337" s="2" t="s">
        <v>16</v>
      </c>
      <c r="K337" s="2" t="s">
        <v>24</v>
      </c>
      <c r="L337" s="7">
        <v>5293.95</v>
      </c>
      <c r="M337" s="2" t="str">
        <f>_xlfn.IFS(TelecomData[[#This Row],[TenureMonths]]&lt;=12, "0-1 Year", TelecomData[[#This Row],[TenureMonths]]&lt;=36, "1-3 Years", TelecomData[[#This Row],[TenureMonths]]&gt;36, "3+ Years")</f>
        <v>3+ Years</v>
      </c>
      <c r="N337" s="2" t="str">
        <f>IF(TelecomData[[#This Row],[CleanedTotalCharges]]&gt;=2500,"High Spend", "Standard Spend")</f>
        <v>High Spend</v>
      </c>
    </row>
    <row r="338" spans="1:14" x14ac:dyDescent="0.3">
      <c r="A338" s="1" t="s">
        <v>361</v>
      </c>
      <c r="B338" s="2" t="s">
        <v>12</v>
      </c>
      <c r="C338" s="2" t="s">
        <v>35</v>
      </c>
      <c r="D338" s="2">
        <v>43</v>
      </c>
      <c r="E338" s="2" t="s">
        <v>26</v>
      </c>
      <c r="F338" s="2" t="s">
        <v>15</v>
      </c>
      <c r="G338" s="7">
        <v>104.6</v>
      </c>
      <c r="H338" s="7">
        <v>4759.8500000000004</v>
      </c>
      <c r="I338" s="2" t="s">
        <v>16</v>
      </c>
      <c r="J338" s="2" t="s">
        <v>16</v>
      </c>
      <c r="K338" s="2" t="s">
        <v>17</v>
      </c>
      <c r="L338" s="7">
        <v>4759.8500000000004</v>
      </c>
      <c r="M338" s="2" t="str">
        <f>_xlfn.IFS(TelecomData[[#This Row],[TenureMonths]]&lt;=12, "0-1 Year", TelecomData[[#This Row],[TenureMonths]]&lt;=36, "1-3 Years", TelecomData[[#This Row],[TenureMonths]]&gt;36, "3+ Years")</f>
        <v>3+ Years</v>
      </c>
      <c r="N338" s="2" t="str">
        <f>IF(TelecomData[[#This Row],[CleanedTotalCharges]]&gt;=2500,"High Spend", "Standard Spend")</f>
        <v>High Spend</v>
      </c>
    </row>
    <row r="339" spans="1:14" x14ac:dyDescent="0.3">
      <c r="A339" s="1" t="s">
        <v>362</v>
      </c>
      <c r="B339" s="2" t="s">
        <v>12</v>
      </c>
      <c r="C339" s="2" t="s">
        <v>35</v>
      </c>
      <c r="D339" s="2">
        <v>68</v>
      </c>
      <c r="E339" s="2" t="s">
        <v>14</v>
      </c>
      <c r="F339" s="2" t="s">
        <v>16</v>
      </c>
      <c r="G339" s="7">
        <v>88.15</v>
      </c>
      <c r="H339" s="7">
        <v>6148.45</v>
      </c>
      <c r="I339" s="2" t="s">
        <v>15</v>
      </c>
      <c r="J339" s="2" t="s">
        <v>16</v>
      </c>
      <c r="K339" s="2" t="s">
        <v>17</v>
      </c>
      <c r="L339" s="7">
        <v>6148.45</v>
      </c>
      <c r="M339" s="2" t="str">
        <f>_xlfn.IFS(TelecomData[[#This Row],[TenureMonths]]&lt;=12, "0-1 Year", TelecomData[[#This Row],[TenureMonths]]&lt;=36, "1-3 Years", TelecomData[[#This Row],[TenureMonths]]&gt;36, "3+ Years")</f>
        <v>3+ Years</v>
      </c>
      <c r="N339" s="2" t="str">
        <f>IF(TelecomData[[#This Row],[CleanedTotalCharges]]&gt;=2500,"High Spend", "Standard Spend")</f>
        <v>High Spend</v>
      </c>
    </row>
    <row r="340" spans="1:14" x14ac:dyDescent="0.3">
      <c r="A340" s="1" t="s">
        <v>363</v>
      </c>
      <c r="B340" s="2" t="s">
        <v>12</v>
      </c>
      <c r="C340" s="2" t="s">
        <v>13</v>
      </c>
      <c r="D340" s="2">
        <v>36</v>
      </c>
      <c r="E340" s="2" t="s">
        <v>26</v>
      </c>
      <c r="F340" s="2" t="s">
        <v>15</v>
      </c>
      <c r="G340" s="7">
        <v>94.8</v>
      </c>
      <c r="H340" s="7">
        <v>3565.65</v>
      </c>
      <c r="I340" s="2" t="s">
        <v>15</v>
      </c>
      <c r="J340" s="2" t="s">
        <v>16</v>
      </c>
      <c r="K340" s="2" t="s">
        <v>29</v>
      </c>
      <c r="L340" s="7">
        <v>3565.65</v>
      </c>
      <c r="M340" s="2" t="str">
        <f>_xlfn.IFS(TelecomData[[#This Row],[TenureMonths]]&lt;=12, "0-1 Year", TelecomData[[#This Row],[TenureMonths]]&lt;=36, "1-3 Years", TelecomData[[#This Row],[TenureMonths]]&gt;36, "3+ Years")</f>
        <v>1-3 Years</v>
      </c>
      <c r="N340" s="2" t="str">
        <f>IF(TelecomData[[#This Row],[CleanedTotalCharges]]&gt;=2500,"High Spend", "Standard Spend")</f>
        <v>High Spend</v>
      </c>
    </row>
    <row r="341" spans="1:14" x14ac:dyDescent="0.3">
      <c r="A341" s="1" t="s">
        <v>364</v>
      </c>
      <c r="B341" s="2" t="s">
        <v>19</v>
      </c>
      <c r="C341" s="2" t="s">
        <v>13</v>
      </c>
      <c r="D341" s="2">
        <v>63</v>
      </c>
      <c r="E341" s="2" t="s">
        <v>26</v>
      </c>
      <c r="F341" s="2" t="s">
        <v>15</v>
      </c>
      <c r="G341" s="7">
        <v>103.4</v>
      </c>
      <c r="H341" s="7">
        <v>6603</v>
      </c>
      <c r="I341" s="2" t="s">
        <v>16</v>
      </c>
      <c r="J341" s="2" t="s">
        <v>16</v>
      </c>
      <c r="K341" s="2" t="s">
        <v>17</v>
      </c>
      <c r="L341" s="7">
        <v>6603</v>
      </c>
      <c r="M341" s="2" t="str">
        <f>_xlfn.IFS(TelecomData[[#This Row],[TenureMonths]]&lt;=12, "0-1 Year", TelecomData[[#This Row],[TenureMonths]]&lt;=36, "1-3 Years", TelecomData[[#This Row],[TenureMonths]]&gt;36, "3+ Years")</f>
        <v>3+ Years</v>
      </c>
      <c r="N341" s="2" t="str">
        <f>IF(TelecomData[[#This Row],[CleanedTotalCharges]]&gt;=2500,"High Spend", "Standard Spend")</f>
        <v>High Spend</v>
      </c>
    </row>
    <row r="342" spans="1:14" x14ac:dyDescent="0.3">
      <c r="A342" s="1" t="s">
        <v>365</v>
      </c>
      <c r="B342" s="2" t="s">
        <v>12</v>
      </c>
      <c r="C342" s="2" t="s">
        <v>13</v>
      </c>
      <c r="D342" s="2">
        <v>32</v>
      </c>
      <c r="E342" s="2" t="s">
        <v>14</v>
      </c>
      <c r="F342" s="2" t="s">
        <v>16</v>
      </c>
      <c r="G342" s="7">
        <v>54.65</v>
      </c>
      <c r="H342" s="7">
        <v>1830.1</v>
      </c>
      <c r="I342" s="2" t="s">
        <v>15</v>
      </c>
      <c r="J342" s="2" t="s">
        <v>15</v>
      </c>
      <c r="K342" s="2" t="s">
        <v>24</v>
      </c>
      <c r="L342" s="7">
        <v>1830.1</v>
      </c>
      <c r="M342" s="2" t="str">
        <f>_xlfn.IFS(TelecomData[[#This Row],[TenureMonths]]&lt;=12, "0-1 Year", TelecomData[[#This Row],[TenureMonths]]&lt;=36, "1-3 Years", TelecomData[[#This Row],[TenureMonths]]&gt;36, "3+ Years")</f>
        <v>1-3 Years</v>
      </c>
      <c r="N342" s="2" t="str">
        <f>IF(TelecomData[[#This Row],[CleanedTotalCharges]]&gt;=2500,"High Spend", "Standard Spend")</f>
        <v>Standard Spend</v>
      </c>
    </row>
    <row r="343" spans="1:14" x14ac:dyDescent="0.3">
      <c r="A343" s="1" t="s">
        <v>366</v>
      </c>
      <c r="B343" s="2" t="s">
        <v>12</v>
      </c>
      <c r="C343" s="2" t="s">
        <v>35</v>
      </c>
      <c r="D343" s="2">
        <v>71</v>
      </c>
      <c r="E343" s="2" t="s">
        <v>14</v>
      </c>
      <c r="F343" s="2" t="s">
        <v>16</v>
      </c>
      <c r="G343" s="7">
        <v>85.75</v>
      </c>
      <c r="H343" s="7">
        <v>6223.8</v>
      </c>
      <c r="I343" s="2" t="s">
        <v>15</v>
      </c>
      <c r="J343" s="2" t="s">
        <v>15</v>
      </c>
      <c r="K343" s="2" t="s">
        <v>29</v>
      </c>
      <c r="L343" s="7">
        <v>6223.8</v>
      </c>
      <c r="M343" s="2" t="str">
        <f>_xlfn.IFS(TelecomData[[#This Row],[TenureMonths]]&lt;=12, "0-1 Year", TelecomData[[#This Row],[TenureMonths]]&lt;=36, "1-3 Years", TelecomData[[#This Row],[TenureMonths]]&gt;36, "3+ Years")</f>
        <v>3+ Years</v>
      </c>
      <c r="N343" s="2" t="str">
        <f>IF(TelecomData[[#This Row],[CleanedTotalCharges]]&gt;=2500,"High Spend", "Standard Spend")</f>
        <v>High Spend</v>
      </c>
    </row>
    <row r="344" spans="1:14" x14ac:dyDescent="0.3">
      <c r="A344" s="1" t="s">
        <v>367</v>
      </c>
      <c r="B344" s="2" t="s">
        <v>12</v>
      </c>
      <c r="C344" s="2" t="s">
        <v>13</v>
      </c>
      <c r="D344" s="2">
        <v>66</v>
      </c>
      <c r="E344" s="2" t="s">
        <v>14</v>
      </c>
      <c r="F344" s="2" t="s">
        <v>15</v>
      </c>
      <c r="G344" s="7">
        <v>67.45</v>
      </c>
      <c r="H344" s="7">
        <v>4508.6499999999996</v>
      </c>
      <c r="I344" s="2" t="s">
        <v>15</v>
      </c>
      <c r="J344" s="2" t="s">
        <v>16</v>
      </c>
      <c r="K344" s="2" t="s">
        <v>24</v>
      </c>
      <c r="L344" s="7">
        <v>4508.6499999999996</v>
      </c>
      <c r="M344" s="2" t="str">
        <f>_xlfn.IFS(TelecomData[[#This Row],[TenureMonths]]&lt;=12, "0-1 Year", TelecomData[[#This Row],[TenureMonths]]&lt;=36, "1-3 Years", TelecomData[[#This Row],[TenureMonths]]&gt;36, "3+ Years")</f>
        <v>3+ Years</v>
      </c>
      <c r="N344" s="2" t="str">
        <f>IF(TelecomData[[#This Row],[CleanedTotalCharges]]&gt;=2500,"High Spend", "Standard Spend")</f>
        <v>High Spend</v>
      </c>
    </row>
    <row r="345" spans="1:14" x14ac:dyDescent="0.3">
      <c r="A345" s="1" t="s">
        <v>368</v>
      </c>
      <c r="B345" s="2" t="s">
        <v>19</v>
      </c>
      <c r="C345" s="2" t="s">
        <v>20</v>
      </c>
      <c r="D345" s="2">
        <v>63</v>
      </c>
      <c r="E345" s="2" t="s">
        <v>15</v>
      </c>
      <c r="F345" s="2" t="s">
        <v>36</v>
      </c>
      <c r="G345" s="7">
        <v>20.5</v>
      </c>
      <c r="H345" s="7">
        <v>1328.15</v>
      </c>
      <c r="I345" s="2" t="s">
        <v>15</v>
      </c>
      <c r="J345" s="2" t="s">
        <v>15</v>
      </c>
      <c r="K345" s="2" t="s">
        <v>21</v>
      </c>
      <c r="L345" s="7">
        <v>1328.15</v>
      </c>
      <c r="M345" s="2" t="str">
        <f>_xlfn.IFS(TelecomData[[#This Row],[TenureMonths]]&lt;=12, "0-1 Year", TelecomData[[#This Row],[TenureMonths]]&lt;=36, "1-3 Years", TelecomData[[#This Row],[TenureMonths]]&gt;36, "3+ Years")</f>
        <v>3+ Years</v>
      </c>
      <c r="N345" s="2" t="str">
        <f>IF(TelecomData[[#This Row],[CleanedTotalCharges]]&gt;=2500,"High Spend", "Standard Spend")</f>
        <v>Standard Spend</v>
      </c>
    </row>
    <row r="346" spans="1:14" x14ac:dyDescent="0.3">
      <c r="A346" s="1" t="s">
        <v>369</v>
      </c>
      <c r="B346" s="2" t="s">
        <v>12</v>
      </c>
      <c r="C346" s="2" t="s">
        <v>20</v>
      </c>
      <c r="D346" s="2">
        <v>41</v>
      </c>
      <c r="E346" s="2" t="s">
        <v>15</v>
      </c>
      <c r="F346" s="2" t="s">
        <v>36</v>
      </c>
      <c r="G346" s="7">
        <v>20.25</v>
      </c>
      <c r="H346" s="7">
        <v>865</v>
      </c>
      <c r="I346" s="2" t="s">
        <v>15</v>
      </c>
      <c r="J346" s="2" t="s">
        <v>16</v>
      </c>
      <c r="K346" s="2" t="s">
        <v>29</v>
      </c>
      <c r="L346" s="7">
        <v>865</v>
      </c>
      <c r="M346" s="2" t="str">
        <f>_xlfn.IFS(TelecomData[[#This Row],[TenureMonths]]&lt;=12, "0-1 Year", TelecomData[[#This Row],[TenureMonths]]&lt;=36, "1-3 Years", TelecomData[[#This Row],[TenureMonths]]&gt;36, "3+ Years")</f>
        <v>3+ Years</v>
      </c>
      <c r="N346" s="2" t="str">
        <f>IF(TelecomData[[#This Row],[CleanedTotalCharges]]&gt;=2500,"High Spend", "Standard Spend")</f>
        <v>Standard Spend</v>
      </c>
    </row>
    <row r="347" spans="1:14" x14ac:dyDescent="0.3">
      <c r="A347" s="1" t="s">
        <v>370</v>
      </c>
      <c r="B347" s="2" t="s">
        <v>12</v>
      </c>
      <c r="C347" s="2" t="s">
        <v>13</v>
      </c>
      <c r="D347" s="2">
        <v>1</v>
      </c>
      <c r="E347" s="2" t="s">
        <v>26</v>
      </c>
      <c r="F347" s="2" t="s">
        <v>15</v>
      </c>
      <c r="G347" s="7">
        <v>72.099999999999994</v>
      </c>
      <c r="H347" s="7">
        <v>72.099999999999994</v>
      </c>
      <c r="I347" s="2" t="s">
        <v>15</v>
      </c>
      <c r="J347" s="2" t="s">
        <v>16</v>
      </c>
      <c r="K347" s="2" t="s">
        <v>17</v>
      </c>
      <c r="L347" s="7">
        <v>72.099999999999994</v>
      </c>
      <c r="M347" s="2" t="str">
        <f>_xlfn.IFS(TelecomData[[#This Row],[TenureMonths]]&lt;=12, "0-1 Year", TelecomData[[#This Row],[TenureMonths]]&lt;=36, "1-3 Years", TelecomData[[#This Row],[TenureMonths]]&gt;36, "3+ Years")</f>
        <v>0-1 Year</v>
      </c>
      <c r="N347" s="2" t="str">
        <f>IF(TelecomData[[#This Row],[CleanedTotalCharges]]&gt;=2500,"High Spend", "Standard Spend")</f>
        <v>Standard Spend</v>
      </c>
    </row>
    <row r="348" spans="1:14" x14ac:dyDescent="0.3">
      <c r="A348" s="1" t="s">
        <v>371</v>
      </c>
      <c r="B348" s="2" t="s">
        <v>12</v>
      </c>
      <c r="C348" s="2" t="s">
        <v>13</v>
      </c>
      <c r="D348" s="2">
        <v>2</v>
      </c>
      <c r="E348" s="2" t="s">
        <v>26</v>
      </c>
      <c r="F348" s="2" t="s">
        <v>15</v>
      </c>
      <c r="G348" s="7">
        <v>90.4</v>
      </c>
      <c r="H348" s="7">
        <v>168.2</v>
      </c>
      <c r="I348" s="2" t="s">
        <v>16</v>
      </c>
      <c r="J348" s="2" t="s">
        <v>16</v>
      </c>
      <c r="K348" s="2" t="s">
        <v>17</v>
      </c>
      <c r="L348" s="7">
        <v>168.2</v>
      </c>
      <c r="M348" s="2" t="str">
        <f>_xlfn.IFS(TelecomData[[#This Row],[TenureMonths]]&lt;=12, "0-1 Year", TelecomData[[#This Row],[TenureMonths]]&lt;=36, "1-3 Years", TelecomData[[#This Row],[TenureMonths]]&gt;36, "3+ Years")</f>
        <v>0-1 Year</v>
      </c>
      <c r="N348" s="2" t="str">
        <f>IF(TelecomData[[#This Row],[CleanedTotalCharges]]&gt;=2500,"High Spend", "Standard Spend")</f>
        <v>Standard Spend</v>
      </c>
    </row>
    <row r="349" spans="1:14" x14ac:dyDescent="0.3">
      <c r="A349" s="1" t="s">
        <v>372</v>
      </c>
      <c r="B349" s="2" t="s">
        <v>12</v>
      </c>
      <c r="C349" s="2" t="s">
        <v>35</v>
      </c>
      <c r="D349" s="2">
        <v>70</v>
      </c>
      <c r="E349" s="2" t="s">
        <v>15</v>
      </c>
      <c r="F349" s="2" t="s">
        <v>36</v>
      </c>
      <c r="G349" s="7">
        <v>19.45</v>
      </c>
      <c r="H349" s="7">
        <v>1303.5</v>
      </c>
      <c r="I349" s="2" t="s">
        <v>15</v>
      </c>
      <c r="J349" s="2" t="s">
        <v>15</v>
      </c>
      <c r="K349" s="2" t="s">
        <v>24</v>
      </c>
      <c r="L349" s="7">
        <v>1303.5</v>
      </c>
      <c r="M349" s="2" t="str">
        <f>_xlfn.IFS(TelecomData[[#This Row],[TenureMonths]]&lt;=12, "0-1 Year", TelecomData[[#This Row],[TenureMonths]]&lt;=36, "1-3 Years", TelecomData[[#This Row],[TenureMonths]]&gt;36, "3+ Years")</f>
        <v>3+ Years</v>
      </c>
      <c r="N349" s="2" t="str">
        <f>IF(TelecomData[[#This Row],[CleanedTotalCharges]]&gt;=2500,"High Spend", "Standard Spend")</f>
        <v>Standard Spend</v>
      </c>
    </row>
    <row r="350" spans="1:14" x14ac:dyDescent="0.3">
      <c r="A350" s="1" t="s">
        <v>373</v>
      </c>
      <c r="B350" s="2" t="s">
        <v>12</v>
      </c>
      <c r="C350" s="2" t="s">
        <v>13</v>
      </c>
      <c r="D350" s="2">
        <v>23</v>
      </c>
      <c r="E350" s="2" t="s">
        <v>14</v>
      </c>
      <c r="F350" s="2" t="s">
        <v>15</v>
      </c>
      <c r="G350" s="7">
        <v>44.95</v>
      </c>
      <c r="H350" s="7">
        <v>996.85</v>
      </c>
      <c r="I350" s="2" t="s">
        <v>15</v>
      </c>
      <c r="J350" s="2" t="s">
        <v>16</v>
      </c>
      <c r="K350" s="2" t="s">
        <v>17</v>
      </c>
      <c r="L350" s="7">
        <v>996.85</v>
      </c>
      <c r="M350" s="2" t="str">
        <f>_xlfn.IFS(TelecomData[[#This Row],[TenureMonths]]&lt;=12, "0-1 Year", TelecomData[[#This Row],[TenureMonths]]&lt;=36, "1-3 Years", TelecomData[[#This Row],[TenureMonths]]&gt;36, "3+ Years")</f>
        <v>1-3 Years</v>
      </c>
      <c r="N350" s="2" t="str">
        <f>IF(TelecomData[[#This Row],[CleanedTotalCharges]]&gt;=2500,"High Spend", "Standard Spend")</f>
        <v>Standard Spend</v>
      </c>
    </row>
    <row r="351" spans="1:14" x14ac:dyDescent="0.3">
      <c r="A351" s="1" t="s">
        <v>374</v>
      </c>
      <c r="B351" s="2" t="s">
        <v>12</v>
      </c>
      <c r="C351" s="2" t="s">
        <v>20</v>
      </c>
      <c r="D351" s="2">
        <v>64</v>
      </c>
      <c r="E351" s="2" t="s">
        <v>26</v>
      </c>
      <c r="F351" s="2" t="s">
        <v>15</v>
      </c>
      <c r="G351" s="7">
        <v>97</v>
      </c>
      <c r="H351" s="7">
        <v>6430.9</v>
      </c>
      <c r="I351" s="2" t="s">
        <v>15</v>
      </c>
      <c r="J351" s="2" t="s">
        <v>15</v>
      </c>
      <c r="K351" s="2" t="s">
        <v>24</v>
      </c>
      <c r="L351" s="7">
        <v>6430.9</v>
      </c>
      <c r="M351" s="2" t="str">
        <f>_xlfn.IFS(TelecomData[[#This Row],[TenureMonths]]&lt;=12, "0-1 Year", TelecomData[[#This Row],[TenureMonths]]&lt;=36, "1-3 Years", TelecomData[[#This Row],[TenureMonths]]&gt;36, "3+ Years")</f>
        <v>3+ Years</v>
      </c>
      <c r="N351" s="2" t="str">
        <f>IF(TelecomData[[#This Row],[CleanedTotalCharges]]&gt;=2500,"High Spend", "Standard Spend")</f>
        <v>High Spend</v>
      </c>
    </row>
    <row r="352" spans="1:14" x14ac:dyDescent="0.3">
      <c r="A352" s="1" t="s">
        <v>375</v>
      </c>
      <c r="B352" s="2" t="s">
        <v>19</v>
      </c>
      <c r="C352" s="2" t="s">
        <v>35</v>
      </c>
      <c r="D352" s="2">
        <v>37</v>
      </c>
      <c r="E352" s="2" t="s">
        <v>14</v>
      </c>
      <c r="F352" s="2" t="s">
        <v>16</v>
      </c>
      <c r="G352" s="7">
        <v>62.8</v>
      </c>
      <c r="H352" s="7">
        <v>2278.75</v>
      </c>
      <c r="I352" s="2" t="s">
        <v>15</v>
      </c>
      <c r="J352" s="2" t="s">
        <v>16</v>
      </c>
      <c r="K352" s="2" t="s">
        <v>29</v>
      </c>
      <c r="L352" s="7">
        <v>2278.75</v>
      </c>
      <c r="M352" s="2" t="str">
        <f>_xlfn.IFS(TelecomData[[#This Row],[TenureMonths]]&lt;=12, "0-1 Year", TelecomData[[#This Row],[TenureMonths]]&lt;=36, "1-3 Years", TelecomData[[#This Row],[TenureMonths]]&gt;36, "3+ Years")</f>
        <v>3+ Years</v>
      </c>
      <c r="N352" s="2" t="str">
        <f>IF(TelecomData[[#This Row],[CleanedTotalCharges]]&gt;=2500,"High Spend", "Standard Spend")</f>
        <v>Standard Spend</v>
      </c>
    </row>
    <row r="353" spans="1:14" x14ac:dyDescent="0.3">
      <c r="A353" s="1" t="s">
        <v>376</v>
      </c>
      <c r="B353" s="2" t="s">
        <v>19</v>
      </c>
      <c r="C353" s="2" t="s">
        <v>20</v>
      </c>
      <c r="D353" s="2">
        <v>17</v>
      </c>
      <c r="E353" s="2" t="s">
        <v>14</v>
      </c>
      <c r="F353" s="2" t="s">
        <v>15</v>
      </c>
      <c r="G353" s="7">
        <v>44.6</v>
      </c>
      <c r="H353" s="7">
        <v>681.4</v>
      </c>
      <c r="I353" s="2" t="s">
        <v>15</v>
      </c>
      <c r="J353" s="2" t="s">
        <v>15</v>
      </c>
      <c r="K353" s="2" t="s">
        <v>21</v>
      </c>
      <c r="L353" s="7">
        <v>681.4</v>
      </c>
      <c r="M353" s="2" t="str">
        <f>_xlfn.IFS(TelecomData[[#This Row],[TenureMonths]]&lt;=12, "0-1 Year", TelecomData[[#This Row],[TenureMonths]]&lt;=36, "1-3 Years", TelecomData[[#This Row],[TenureMonths]]&gt;36, "3+ Years")</f>
        <v>1-3 Years</v>
      </c>
      <c r="N353" s="2" t="str">
        <f>IF(TelecomData[[#This Row],[CleanedTotalCharges]]&gt;=2500,"High Spend", "Standard Spend")</f>
        <v>Standard Spend</v>
      </c>
    </row>
    <row r="354" spans="1:14" x14ac:dyDescent="0.3">
      <c r="A354" s="1" t="s">
        <v>377</v>
      </c>
      <c r="B354" s="2" t="s">
        <v>12</v>
      </c>
      <c r="C354" s="2" t="s">
        <v>13</v>
      </c>
      <c r="D354" s="2">
        <v>7</v>
      </c>
      <c r="E354" s="2" t="s">
        <v>26</v>
      </c>
      <c r="F354" s="2" t="s">
        <v>15</v>
      </c>
      <c r="G354" s="7">
        <v>89.15</v>
      </c>
      <c r="H354" s="7">
        <v>574.35</v>
      </c>
      <c r="I354" s="2" t="s">
        <v>15</v>
      </c>
      <c r="J354" s="2" t="s">
        <v>16</v>
      </c>
      <c r="K354" s="2" t="s">
        <v>17</v>
      </c>
      <c r="L354" s="7">
        <v>574.35</v>
      </c>
      <c r="M354" s="2" t="str">
        <f>_xlfn.IFS(TelecomData[[#This Row],[TenureMonths]]&lt;=12, "0-1 Year", TelecomData[[#This Row],[TenureMonths]]&lt;=36, "1-3 Years", TelecomData[[#This Row],[TenureMonths]]&gt;36, "3+ Years")</f>
        <v>0-1 Year</v>
      </c>
      <c r="N354" s="2" t="str">
        <f>IF(TelecomData[[#This Row],[CleanedTotalCharges]]&gt;=2500,"High Spend", "Standard Spend")</f>
        <v>Standard Spend</v>
      </c>
    </row>
    <row r="355" spans="1:14" x14ac:dyDescent="0.3">
      <c r="A355" s="1" t="s">
        <v>378</v>
      </c>
      <c r="B355" s="2" t="s">
        <v>19</v>
      </c>
      <c r="C355" s="2" t="s">
        <v>13</v>
      </c>
      <c r="D355" s="2">
        <v>4</v>
      </c>
      <c r="E355" s="2" t="s">
        <v>26</v>
      </c>
      <c r="F355" s="2" t="s">
        <v>15</v>
      </c>
      <c r="G355" s="7">
        <v>84.8</v>
      </c>
      <c r="H355" s="7">
        <v>371.9</v>
      </c>
      <c r="I355" s="2" t="s">
        <v>16</v>
      </c>
      <c r="J355" s="2" t="s">
        <v>16</v>
      </c>
      <c r="K355" s="2" t="s">
        <v>24</v>
      </c>
      <c r="L355" s="7">
        <v>371.9</v>
      </c>
      <c r="M355" s="2" t="str">
        <f>_xlfn.IFS(TelecomData[[#This Row],[TenureMonths]]&lt;=12, "0-1 Year", TelecomData[[#This Row],[TenureMonths]]&lt;=36, "1-3 Years", TelecomData[[#This Row],[TenureMonths]]&gt;36, "3+ Years")</f>
        <v>0-1 Year</v>
      </c>
      <c r="N355" s="2" t="str">
        <f>IF(TelecomData[[#This Row],[CleanedTotalCharges]]&gt;=2500,"High Spend", "Standard Spend")</f>
        <v>Standard Spend</v>
      </c>
    </row>
    <row r="356" spans="1:14" x14ac:dyDescent="0.3">
      <c r="A356" s="1" t="s">
        <v>379</v>
      </c>
      <c r="B356" s="2" t="s">
        <v>12</v>
      </c>
      <c r="C356" s="2" t="s">
        <v>13</v>
      </c>
      <c r="D356" s="2">
        <v>21</v>
      </c>
      <c r="E356" s="2" t="s">
        <v>14</v>
      </c>
      <c r="F356" s="2" t="s">
        <v>15</v>
      </c>
      <c r="G356" s="7">
        <v>41.9</v>
      </c>
      <c r="H356" s="7">
        <v>840.1</v>
      </c>
      <c r="I356" s="2" t="s">
        <v>16</v>
      </c>
      <c r="J356" s="2" t="s">
        <v>16</v>
      </c>
      <c r="K356" s="2" t="s">
        <v>17</v>
      </c>
      <c r="L356" s="7">
        <v>840.1</v>
      </c>
      <c r="M356" s="2" t="str">
        <f>_xlfn.IFS(TelecomData[[#This Row],[TenureMonths]]&lt;=12, "0-1 Year", TelecomData[[#This Row],[TenureMonths]]&lt;=36, "1-3 Years", TelecomData[[#This Row],[TenureMonths]]&gt;36, "3+ Years")</f>
        <v>1-3 Years</v>
      </c>
      <c r="N356" s="2" t="str">
        <f>IF(TelecomData[[#This Row],[CleanedTotalCharges]]&gt;=2500,"High Spend", "Standard Spend")</f>
        <v>Standard Spend</v>
      </c>
    </row>
    <row r="357" spans="1:14" x14ac:dyDescent="0.3">
      <c r="A357" s="1" t="s">
        <v>380</v>
      </c>
      <c r="B357" s="2" t="s">
        <v>12</v>
      </c>
      <c r="C357" s="2" t="s">
        <v>13</v>
      </c>
      <c r="D357" s="2">
        <v>10</v>
      </c>
      <c r="E357" s="2" t="s">
        <v>26</v>
      </c>
      <c r="F357" s="2" t="s">
        <v>15</v>
      </c>
      <c r="G357" s="7">
        <v>80.25</v>
      </c>
      <c r="H357" s="7">
        <v>846</v>
      </c>
      <c r="I357" s="2" t="s">
        <v>16</v>
      </c>
      <c r="J357" s="2" t="s">
        <v>16</v>
      </c>
      <c r="K357" s="2" t="s">
        <v>24</v>
      </c>
      <c r="L357" s="7">
        <v>846</v>
      </c>
      <c r="M357" s="2" t="str">
        <f>_xlfn.IFS(TelecomData[[#This Row],[TenureMonths]]&lt;=12, "0-1 Year", TelecomData[[#This Row],[TenureMonths]]&lt;=36, "1-3 Years", TelecomData[[#This Row],[TenureMonths]]&gt;36, "3+ Years")</f>
        <v>0-1 Year</v>
      </c>
      <c r="N357" s="2" t="str">
        <f>IF(TelecomData[[#This Row],[CleanedTotalCharges]]&gt;=2500,"High Spend", "Standard Spend")</f>
        <v>Standard Spend</v>
      </c>
    </row>
    <row r="358" spans="1:14" x14ac:dyDescent="0.3">
      <c r="A358" s="1" t="s">
        <v>381</v>
      </c>
      <c r="B358" s="2" t="s">
        <v>12</v>
      </c>
      <c r="C358" s="2" t="s">
        <v>13</v>
      </c>
      <c r="D358" s="2">
        <v>16</v>
      </c>
      <c r="E358" s="2" t="s">
        <v>14</v>
      </c>
      <c r="F358" s="2" t="s">
        <v>15</v>
      </c>
      <c r="G358" s="7">
        <v>54.1</v>
      </c>
      <c r="H358" s="7">
        <v>889</v>
      </c>
      <c r="I358" s="2" t="s">
        <v>15</v>
      </c>
      <c r="J358" s="2" t="s">
        <v>16</v>
      </c>
      <c r="K358" s="2" t="s">
        <v>17</v>
      </c>
      <c r="L358" s="7">
        <v>889</v>
      </c>
      <c r="M358" s="2" t="str">
        <f>_xlfn.IFS(TelecomData[[#This Row],[TenureMonths]]&lt;=12, "0-1 Year", TelecomData[[#This Row],[TenureMonths]]&lt;=36, "1-3 Years", TelecomData[[#This Row],[TenureMonths]]&gt;36, "3+ Years")</f>
        <v>1-3 Years</v>
      </c>
      <c r="N358" s="2" t="str">
        <f>IF(TelecomData[[#This Row],[CleanedTotalCharges]]&gt;=2500,"High Spend", "Standard Spend")</f>
        <v>Standard Spend</v>
      </c>
    </row>
    <row r="359" spans="1:14" x14ac:dyDescent="0.3">
      <c r="A359" s="1" t="s">
        <v>382</v>
      </c>
      <c r="B359" s="2" t="s">
        <v>19</v>
      </c>
      <c r="C359" s="2" t="s">
        <v>35</v>
      </c>
      <c r="D359" s="2">
        <v>64</v>
      </c>
      <c r="E359" s="2" t="s">
        <v>26</v>
      </c>
      <c r="F359" s="2" t="s">
        <v>16</v>
      </c>
      <c r="G359" s="7">
        <v>105.25</v>
      </c>
      <c r="H359" s="7">
        <v>6823.4</v>
      </c>
      <c r="I359" s="2" t="s">
        <v>15</v>
      </c>
      <c r="J359" s="2" t="s">
        <v>16</v>
      </c>
      <c r="K359" s="2" t="s">
        <v>17</v>
      </c>
      <c r="L359" s="7">
        <v>6823.4</v>
      </c>
      <c r="M359" s="2" t="str">
        <f>_xlfn.IFS(TelecomData[[#This Row],[TenureMonths]]&lt;=12, "0-1 Year", TelecomData[[#This Row],[TenureMonths]]&lt;=36, "1-3 Years", TelecomData[[#This Row],[TenureMonths]]&gt;36, "3+ Years")</f>
        <v>3+ Years</v>
      </c>
      <c r="N359" s="2" t="str">
        <f>IF(TelecomData[[#This Row],[CleanedTotalCharges]]&gt;=2500,"High Spend", "Standard Spend")</f>
        <v>High Spend</v>
      </c>
    </row>
    <row r="360" spans="1:14" x14ac:dyDescent="0.3">
      <c r="A360" s="1" t="s">
        <v>383</v>
      </c>
      <c r="B360" s="2" t="s">
        <v>19</v>
      </c>
      <c r="C360" s="2" t="s">
        <v>13</v>
      </c>
      <c r="D360" s="2">
        <v>27</v>
      </c>
      <c r="E360" s="2" t="s">
        <v>14</v>
      </c>
      <c r="F360" s="2" t="s">
        <v>15</v>
      </c>
      <c r="G360" s="7">
        <v>30.75</v>
      </c>
      <c r="H360" s="7">
        <v>805.1</v>
      </c>
      <c r="I360" s="2" t="s">
        <v>16</v>
      </c>
      <c r="J360" s="2" t="s">
        <v>15</v>
      </c>
      <c r="K360" s="2" t="s">
        <v>29</v>
      </c>
      <c r="L360" s="7">
        <v>805.1</v>
      </c>
      <c r="M360" s="2" t="str">
        <f>_xlfn.IFS(TelecomData[[#This Row],[TenureMonths]]&lt;=12, "0-1 Year", TelecomData[[#This Row],[TenureMonths]]&lt;=36, "1-3 Years", TelecomData[[#This Row],[TenureMonths]]&gt;36, "3+ Years")</f>
        <v>1-3 Years</v>
      </c>
      <c r="N360" s="2" t="str">
        <f>IF(TelecomData[[#This Row],[CleanedTotalCharges]]&gt;=2500,"High Spend", "Standard Spend")</f>
        <v>Standard Spend</v>
      </c>
    </row>
    <row r="361" spans="1:14" x14ac:dyDescent="0.3">
      <c r="A361" s="1" t="s">
        <v>384</v>
      </c>
      <c r="B361" s="2" t="s">
        <v>19</v>
      </c>
      <c r="C361" s="2" t="s">
        <v>20</v>
      </c>
      <c r="D361" s="2">
        <v>42</v>
      </c>
      <c r="E361" s="2" t="s">
        <v>26</v>
      </c>
      <c r="F361" s="2" t="s">
        <v>15</v>
      </c>
      <c r="G361" s="7">
        <v>97.1</v>
      </c>
      <c r="H361" s="7">
        <v>4016.75</v>
      </c>
      <c r="I361" s="2" t="s">
        <v>15</v>
      </c>
      <c r="J361" s="2" t="s">
        <v>15</v>
      </c>
      <c r="K361" s="2" t="s">
        <v>17</v>
      </c>
      <c r="L361" s="7">
        <v>4016.75</v>
      </c>
      <c r="M361" s="2" t="str">
        <f>_xlfn.IFS(TelecomData[[#This Row],[TenureMonths]]&lt;=12, "0-1 Year", TelecomData[[#This Row],[TenureMonths]]&lt;=36, "1-3 Years", TelecomData[[#This Row],[TenureMonths]]&gt;36, "3+ Years")</f>
        <v>3+ Years</v>
      </c>
      <c r="N361" s="2" t="str">
        <f>IF(TelecomData[[#This Row],[CleanedTotalCharges]]&gt;=2500,"High Spend", "Standard Spend")</f>
        <v>High Spend</v>
      </c>
    </row>
    <row r="362" spans="1:14" x14ac:dyDescent="0.3">
      <c r="A362" s="1" t="s">
        <v>385</v>
      </c>
      <c r="B362" s="2" t="s">
        <v>19</v>
      </c>
      <c r="C362" s="2" t="s">
        <v>13</v>
      </c>
      <c r="D362" s="2">
        <v>5</v>
      </c>
      <c r="E362" s="2" t="s">
        <v>15</v>
      </c>
      <c r="F362" s="2" t="s">
        <v>36</v>
      </c>
      <c r="G362" s="7">
        <v>20.2</v>
      </c>
      <c r="H362" s="7">
        <v>83.75</v>
      </c>
      <c r="I362" s="2" t="s">
        <v>15</v>
      </c>
      <c r="J362" s="2" t="s">
        <v>15</v>
      </c>
      <c r="K362" s="2" t="s">
        <v>21</v>
      </c>
      <c r="L362" s="7">
        <v>83.75</v>
      </c>
      <c r="M362" s="2" t="str">
        <f>_xlfn.IFS(TelecomData[[#This Row],[TenureMonths]]&lt;=12, "0-1 Year", TelecomData[[#This Row],[TenureMonths]]&lt;=36, "1-3 Years", TelecomData[[#This Row],[TenureMonths]]&gt;36, "3+ Years")</f>
        <v>0-1 Year</v>
      </c>
      <c r="N362" s="2" t="str">
        <f>IF(TelecomData[[#This Row],[CleanedTotalCharges]]&gt;=2500,"High Spend", "Standard Spend")</f>
        <v>Standard Spend</v>
      </c>
    </row>
    <row r="363" spans="1:14" x14ac:dyDescent="0.3">
      <c r="A363" s="1" t="s">
        <v>386</v>
      </c>
      <c r="B363" s="2" t="s">
        <v>12</v>
      </c>
      <c r="C363" s="2" t="s">
        <v>35</v>
      </c>
      <c r="D363" s="2">
        <v>41</v>
      </c>
      <c r="E363" s="2" t="s">
        <v>26</v>
      </c>
      <c r="F363" s="2" t="s">
        <v>16</v>
      </c>
      <c r="G363" s="7">
        <v>98.8</v>
      </c>
      <c r="H363" s="7">
        <v>3959.15</v>
      </c>
      <c r="I363" s="2" t="s">
        <v>15</v>
      </c>
      <c r="J363" s="2" t="s">
        <v>16</v>
      </c>
      <c r="K363" s="2" t="s">
        <v>24</v>
      </c>
      <c r="L363" s="7">
        <v>3959.15</v>
      </c>
      <c r="M363" s="2" t="str">
        <f>_xlfn.IFS(TelecomData[[#This Row],[TenureMonths]]&lt;=12, "0-1 Year", TelecomData[[#This Row],[TenureMonths]]&lt;=36, "1-3 Years", TelecomData[[#This Row],[TenureMonths]]&gt;36, "3+ Years")</f>
        <v>3+ Years</v>
      </c>
      <c r="N363" s="2" t="str">
        <f>IF(TelecomData[[#This Row],[CleanedTotalCharges]]&gt;=2500,"High Spend", "Standard Spend")</f>
        <v>High Spend</v>
      </c>
    </row>
    <row r="364" spans="1:14" x14ac:dyDescent="0.3">
      <c r="A364" s="1" t="s">
        <v>387</v>
      </c>
      <c r="B364" s="2" t="s">
        <v>19</v>
      </c>
      <c r="C364" s="2" t="s">
        <v>20</v>
      </c>
      <c r="D364" s="2">
        <v>58</v>
      </c>
      <c r="E364" s="2" t="s">
        <v>14</v>
      </c>
      <c r="F364" s="2" t="s">
        <v>15</v>
      </c>
      <c r="G364" s="7">
        <v>50.3</v>
      </c>
      <c r="H364" s="7">
        <v>2878.55</v>
      </c>
      <c r="I364" s="2" t="s">
        <v>15</v>
      </c>
      <c r="J364" s="2" t="s">
        <v>15</v>
      </c>
      <c r="K364" s="2" t="s">
        <v>29</v>
      </c>
      <c r="L364" s="7">
        <v>2878.55</v>
      </c>
      <c r="M364" s="2" t="str">
        <f>_xlfn.IFS(TelecomData[[#This Row],[TenureMonths]]&lt;=12, "0-1 Year", TelecomData[[#This Row],[TenureMonths]]&lt;=36, "1-3 Years", TelecomData[[#This Row],[TenureMonths]]&gt;36, "3+ Years")</f>
        <v>3+ Years</v>
      </c>
      <c r="N364" s="2" t="str">
        <f>IF(TelecomData[[#This Row],[CleanedTotalCharges]]&gt;=2500,"High Spend", "Standard Spend")</f>
        <v>High Spend</v>
      </c>
    </row>
    <row r="365" spans="1:14" x14ac:dyDescent="0.3">
      <c r="A365" s="1" t="s">
        <v>388</v>
      </c>
      <c r="B365" s="2" t="s">
        <v>12</v>
      </c>
      <c r="C365" s="2" t="s">
        <v>35</v>
      </c>
      <c r="D365" s="2">
        <v>47</v>
      </c>
      <c r="E365" s="2" t="s">
        <v>15</v>
      </c>
      <c r="F365" s="2" t="s">
        <v>36</v>
      </c>
      <c r="G365" s="7">
        <v>20.55</v>
      </c>
      <c r="H365" s="7">
        <v>945.7</v>
      </c>
      <c r="I365" s="2" t="s">
        <v>15</v>
      </c>
      <c r="J365" s="2" t="s">
        <v>16</v>
      </c>
      <c r="K365" s="2" t="s">
        <v>21</v>
      </c>
      <c r="L365" s="7">
        <v>945.7</v>
      </c>
      <c r="M365" s="2" t="str">
        <f>_xlfn.IFS(TelecomData[[#This Row],[TenureMonths]]&lt;=12, "0-1 Year", TelecomData[[#This Row],[TenureMonths]]&lt;=36, "1-3 Years", TelecomData[[#This Row],[TenureMonths]]&gt;36, "3+ Years")</f>
        <v>3+ Years</v>
      </c>
      <c r="N365" s="2" t="str">
        <f>IF(TelecomData[[#This Row],[CleanedTotalCharges]]&gt;=2500,"High Spend", "Standard Spend")</f>
        <v>Standard Spend</v>
      </c>
    </row>
    <row r="366" spans="1:14" x14ac:dyDescent="0.3">
      <c r="A366" s="1" t="s">
        <v>389</v>
      </c>
      <c r="B366" s="2" t="s">
        <v>19</v>
      </c>
      <c r="C366" s="2" t="s">
        <v>13</v>
      </c>
      <c r="D366" s="2">
        <v>18</v>
      </c>
      <c r="E366" s="2" t="s">
        <v>26</v>
      </c>
      <c r="F366" s="2" t="s">
        <v>16</v>
      </c>
      <c r="G366" s="7">
        <v>75.900000000000006</v>
      </c>
      <c r="H366" s="7">
        <v>1373.05</v>
      </c>
      <c r="I366" s="2" t="s">
        <v>15</v>
      </c>
      <c r="J366" s="2" t="s">
        <v>16</v>
      </c>
      <c r="K366" s="2" t="s">
        <v>24</v>
      </c>
      <c r="L366" s="7">
        <v>1373.05</v>
      </c>
      <c r="M366" s="2" t="str">
        <f>_xlfn.IFS(TelecomData[[#This Row],[TenureMonths]]&lt;=12, "0-1 Year", TelecomData[[#This Row],[TenureMonths]]&lt;=36, "1-3 Years", TelecomData[[#This Row],[TenureMonths]]&gt;36, "3+ Years")</f>
        <v>1-3 Years</v>
      </c>
      <c r="N366" s="2" t="str">
        <f>IF(TelecomData[[#This Row],[CleanedTotalCharges]]&gt;=2500,"High Spend", "Standard Spend")</f>
        <v>Standard Spend</v>
      </c>
    </row>
    <row r="367" spans="1:14" x14ac:dyDescent="0.3">
      <c r="A367" s="1" t="s">
        <v>390</v>
      </c>
      <c r="B367" s="2" t="s">
        <v>19</v>
      </c>
      <c r="C367" s="2" t="s">
        <v>13</v>
      </c>
      <c r="D367" s="2">
        <v>5</v>
      </c>
      <c r="E367" s="2" t="s">
        <v>26</v>
      </c>
      <c r="F367" s="2" t="s">
        <v>15</v>
      </c>
      <c r="G367" s="7">
        <v>96.5</v>
      </c>
      <c r="H367" s="7">
        <v>492.55</v>
      </c>
      <c r="I367" s="2" t="s">
        <v>16</v>
      </c>
      <c r="J367" s="2" t="s">
        <v>15</v>
      </c>
      <c r="K367" s="2" t="s">
        <v>24</v>
      </c>
      <c r="L367" s="7">
        <v>492.55</v>
      </c>
      <c r="M367" s="2" t="str">
        <f>_xlfn.IFS(TelecomData[[#This Row],[TenureMonths]]&lt;=12, "0-1 Year", TelecomData[[#This Row],[TenureMonths]]&lt;=36, "1-3 Years", TelecomData[[#This Row],[TenureMonths]]&gt;36, "3+ Years")</f>
        <v>0-1 Year</v>
      </c>
      <c r="N367" s="2" t="str">
        <f>IF(TelecomData[[#This Row],[CleanedTotalCharges]]&gt;=2500,"High Spend", "Standard Spend")</f>
        <v>Standard Spend</v>
      </c>
    </row>
    <row r="368" spans="1:14" x14ac:dyDescent="0.3">
      <c r="A368" s="1" t="s">
        <v>391</v>
      </c>
      <c r="B368" s="2" t="s">
        <v>19</v>
      </c>
      <c r="C368" s="2" t="s">
        <v>13</v>
      </c>
      <c r="D368" s="2">
        <v>23</v>
      </c>
      <c r="E368" s="2" t="s">
        <v>14</v>
      </c>
      <c r="F368" s="2" t="s">
        <v>15</v>
      </c>
      <c r="G368" s="7">
        <v>59.95</v>
      </c>
      <c r="H368" s="7">
        <v>1406</v>
      </c>
      <c r="I368" s="2" t="s">
        <v>15</v>
      </c>
      <c r="J368" s="2" t="s">
        <v>16</v>
      </c>
      <c r="K368" s="2" t="s">
        <v>24</v>
      </c>
      <c r="L368" s="7">
        <v>1406</v>
      </c>
      <c r="M368" s="2" t="str">
        <f>_xlfn.IFS(TelecomData[[#This Row],[TenureMonths]]&lt;=12, "0-1 Year", TelecomData[[#This Row],[TenureMonths]]&lt;=36, "1-3 Years", TelecomData[[#This Row],[TenureMonths]]&gt;36, "3+ Years")</f>
        <v>1-3 Years</v>
      </c>
      <c r="N368" s="2" t="str">
        <f>IF(TelecomData[[#This Row],[CleanedTotalCharges]]&gt;=2500,"High Spend", "Standard Spend")</f>
        <v>Standard Spend</v>
      </c>
    </row>
    <row r="369" spans="1:14" x14ac:dyDescent="0.3">
      <c r="A369" s="1" t="s">
        <v>392</v>
      </c>
      <c r="B369" s="2" t="s">
        <v>12</v>
      </c>
      <c r="C369" s="2" t="s">
        <v>13</v>
      </c>
      <c r="D369" s="2">
        <v>1</v>
      </c>
      <c r="E369" s="2" t="s">
        <v>15</v>
      </c>
      <c r="F369" s="2" t="s">
        <v>36</v>
      </c>
      <c r="G369" s="7">
        <v>19.149999999999999</v>
      </c>
      <c r="H369" s="7">
        <v>19.149999999999999</v>
      </c>
      <c r="I369" s="2" t="s">
        <v>15</v>
      </c>
      <c r="J369" s="2" t="s">
        <v>15</v>
      </c>
      <c r="K369" s="2" t="s">
        <v>21</v>
      </c>
      <c r="L369" s="7">
        <v>19.149999999999999</v>
      </c>
      <c r="M369" s="2" t="str">
        <f>_xlfn.IFS(TelecomData[[#This Row],[TenureMonths]]&lt;=12, "0-1 Year", TelecomData[[#This Row],[TenureMonths]]&lt;=36, "1-3 Years", TelecomData[[#This Row],[TenureMonths]]&gt;36, "3+ Years")</f>
        <v>0-1 Year</v>
      </c>
      <c r="N369" s="2" t="str">
        <f>IF(TelecomData[[#This Row],[CleanedTotalCharges]]&gt;=2500,"High Spend", "Standard Spend")</f>
        <v>Standard Spend</v>
      </c>
    </row>
    <row r="370" spans="1:14" x14ac:dyDescent="0.3">
      <c r="A370" s="1" t="s">
        <v>393</v>
      </c>
      <c r="B370" s="2" t="s">
        <v>19</v>
      </c>
      <c r="C370" s="2" t="s">
        <v>20</v>
      </c>
      <c r="D370" s="2">
        <v>71</v>
      </c>
      <c r="E370" s="2" t="s">
        <v>26</v>
      </c>
      <c r="F370" s="2" t="s">
        <v>15</v>
      </c>
      <c r="G370" s="7">
        <v>98.65</v>
      </c>
      <c r="H370" s="7">
        <v>6962.85</v>
      </c>
      <c r="I370" s="2" t="s">
        <v>15</v>
      </c>
      <c r="J370" s="2" t="s">
        <v>16</v>
      </c>
      <c r="K370" s="2" t="s">
        <v>29</v>
      </c>
      <c r="L370" s="7">
        <v>6962.85</v>
      </c>
      <c r="M370" s="2" t="str">
        <f>_xlfn.IFS(TelecomData[[#This Row],[TenureMonths]]&lt;=12, "0-1 Year", TelecomData[[#This Row],[TenureMonths]]&lt;=36, "1-3 Years", TelecomData[[#This Row],[TenureMonths]]&gt;36, "3+ Years")</f>
        <v>3+ Years</v>
      </c>
      <c r="N370" s="2" t="str">
        <f>IF(TelecomData[[#This Row],[CleanedTotalCharges]]&gt;=2500,"High Spend", "Standard Spend")</f>
        <v>High Spend</v>
      </c>
    </row>
    <row r="371" spans="1:14" x14ac:dyDescent="0.3">
      <c r="A371" s="1" t="s">
        <v>394</v>
      </c>
      <c r="B371" s="2" t="s">
        <v>19</v>
      </c>
      <c r="C371" s="2" t="s">
        <v>35</v>
      </c>
      <c r="D371" s="2">
        <v>72</v>
      </c>
      <c r="E371" s="2" t="s">
        <v>26</v>
      </c>
      <c r="F371" s="2" t="s">
        <v>16</v>
      </c>
      <c r="G371" s="7">
        <v>112.6</v>
      </c>
      <c r="H371" s="7">
        <v>8126.65</v>
      </c>
      <c r="I371" s="2" t="s">
        <v>15</v>
      </c>
      <c r="J371" s="2" t="s">
        <v>16</v>
      </c>
      <c r="K371" s="2" t="s">
        <v>29</v>
      </c>
      <c r="L371" s="7">
        <v>8126.65</v>
      </c>
      <c r="M371" s="2" t="str">
        <f>_xlfn.IFS(TelecomData[[#This Row],[TenureMonths]]&lt;=12, "0-1 Year", TelecomData[[#This Row],[TenureMonths]]&lt;=36, "1-3 Years", TelecomData[[#This Row],[TenureMonths]]&gt;36, "3+ Years")</f>
        <v>3+ Years</v>
      </c>
      <c r="N371" s="2" t="str">
        <f>IF(TelecomData[[#This Row],[CleanedTotalCharges]]&gt;=2500,"High Spend", "Standard Spend")</f>
        <v>High Spend</v>
      </c>
    </row>
    <row r="372" spans="1:14" x14ac:dyDescent="0.3">
      <c r="A372" s="1" t="s">
        <v>395</v>
      </c>
      <c r="B372" s="2" t="s">
        <v>19</v>
      </c>
      <c r="C372" s="2" t="s">
        <v>20</v>
      </c>
      <c r="D372" s="2">
        <v>33</v>
      </c>
      <c r="E372" s="2" t="s">
        <v>15</v>
      </c>
      <c r="F372" s="2" t="s">
        <v>36</v>
      </c>
      <c r="G372" s="7">
        <v>20.6</v>
      </c>
      <c r="H372" s="7">
        <v>690.25</v>
      </c>
      <c r="I372" s="2" t="s">
        <v>15</v>
      </c>
      <c r="J372" s="2" t="s">
        <v>15</v>
      </c>
      <c r="K372" s="2" t="s">
        <v>21</v>
      </c>
      <c r="L372" s="7">
        <v>690.25</v>
      </c>
      <c r="M372" s="2" t="str">
        <f>_xlfn.IFS(TelecomData[[#This Row],[TenureMonths]]&lt;=12, "0-1 Year", TelecomData[[#This Row],[TenureMonths]]&lt;=36, "1-3 Years", TelecomData[[#This Row],[TenureMonths]]&gt;36, "3+ Years")</f>
        <v>1-3 Years</v>
      </c>
      <c r="N372" s="2" t="str">
        <f>IF(TelecomData[[#This Row],[CleanedTotalCharges]]&gt;=2500,"High Spend", "Standard Spend")</f>
        <v>Standard Spend</v>
      </c>
    </row>
    <row r="373" spans="1:14" x14ac:dyDescent="0.3">
      <c r="A373" s="1" t="s">
        <v>396</v>
      </c>
      <c r="B373" s="2" t="s">
        <v>19</v>
      </c>
      <c r="C373" s="2" t="s">
        <v>13</v>
      </c>
      <c r="D373" s="2">
        <v>2</v>
      </c>
      <c r="E373" s="2" t="s">
        <v>26</v>
      </c>
      <c r="F373" s="2" t="s">
        <v>15</v>
      </c>
      <c r="G373" s="7">
        <v>85.65</v>
      </c>
      <c r="H373" s="7">
        <v>181.5</v>
      </c>
      <c r="I373" s="2" t="s">
        <v>16</v>
      </c>
      <c r="J373" s="2" t="s">
        <v>16</v>
      </c>
      <c r="K373" s="2" t="s">
        <v>17</v>
      </c>
      <c r="L373" s="7">
        <v>181.5</v>
      </c>
      <c r="M373" s="2" t="str">
        <f>_xlfn.IFS(TelecomData[[#This Row],[TenureMonths]]&lt;=12, "0-1 Year", TelecomData[[#This Row],[TenureMonths]]&lt;=36, "1-3 Years", TelecomData[[#This Row],[TenureMonths]]&gt;36, "3+ Years")</f>
        <v>0-1 Year</v>
      </c>
      <c r="N373" s="2" t="str">
        <f>IF(TelecomData[[#This Row],[CleanedTotalCharges]]&gt;=2500,"High Spend", "Standard Spend")</f>
        <v>Standard Spend</v>
      </c>
    </row>
    <row r="374" spans="1:14" x14ac:dyDescent="0.3">
      <c r="A374" s="1" t="s">
        <v>397</v>
      </c>
      <c r="B374" s="2" t="s">
        <v>19</v>
      </c>
      <c r="C374" s="2" t="s">
        <v>35</v>
      </c>
      <c r="D374" s="2">
        <v>24</v>
      </c>
      <c r="E374" s="2" t="s">
        <v>14</v>
      </c>
      <c r="F374" s="2" t="s">
        <v>16</v>
      </c>
      <c r="G374" s="7">
        <v>35.75</v>
      </c>
      <c r="H374" s="7">
        <v>830.8</v>
      </c>
      <c r="I374" s="2" t="s">
        <v>15</v>
      </c>
      <c r="J374" s="2" t="s">
        <v>15</v>
      </c>
      <c r="K374" s="2" t="s">
        <v>21</v>
      </c>
      <c r="L374" s="7">
        <v>830.8</v>
      </c>
      <c r="M374" s="2" t="str">
        <f>_xlfn.IFS(TelecomData[[#This Row],[TenureMonths]]&lt;=12, "0-1 Year", TelecomData[[#This Row],[TenureMonths]]&lt;=36, "1-3 Years", TelecomData[[#This Row],[TenureMonths]]&gt;36, "3+ Years")</f>
        <v>1-3 Years</v>
      </c>
      <c r="N374" s="2" t="str">
        <f>IF(TelecomData[[#This Row],[CleanedTotalCharges]]&gt;=2500,"High Spend", "Standard Spend")</f>
        <v>Standard Spend</v>
      </c>
    </row>
    <row r="375" spans="1:14" x14ac:dyDescent="0.3">
      <c r="A375" s="1" t="s">
        <v>398</v>
      </c>
      <c r="B375" s="2" t="s">
        <v>12</v>
      </c>
      <c r="C375" s="2" t="s">
        <v>20</v>
      </c>
      <c r="D375" s="2">
        <v>56</v>
      </c>
      <c r="E375" s="2" t="s">
        <v>26</v>
      </c>
      <c r="F375" s="2" t="s">
        <v>16</v>
      </c>
      <c r="G375" s="7">
        <v>99.75</v>
      </c>
      <c r="H375" s="7">
        <v>5608.4</v>
      </c>
      <c r="I375" s="2" t="s">
        <v>15</v>
      </c>
      <c r="J375" s="2" t="s">
        <v>16</v>
      </c>
      <c r="K375" s="2" t="s">
        <v>29</v>
      </c>
      <c r="L375" s="7">
        <v>5608.4</v>
      </c>
      <c r="M375" s="2" t="str">
        <f>_xlfn.IFS(TelecomData[[#This Row],[TenureMonths]]&lt;=12, "0-1 Year", TelecomData[[#This Row],[TenureMonths]]&lt;=36, "1-3 Years", TelecomData[[#This Row],[TenureMonths]]&gt;36, "3+ Years")</f>
        <v>3+ Years</v>
      </c>
      <c r="N375" s="2" t="str">
        <f>IF(TelecomData[[#This Row],[CleanedTotalCharges]]&gt;=2500,"High Spend", "Standard Spend")</f>
        <v>High Spend</v>
      </c>
    </row>
    <row r="376" spans="1:14" x14ac:dyDescent="0.3">
      <c r="A376" s="1" t="s">
        <v>399</v>
      </c>
      <c r="B376" s="2" t="s">
        <v>19</v>
      </c>
      <c r="C376" s="2" t="s">
        <v>13</v>
      </c>
      <c r="D376" s="2">
        <v>37</v>
      </c>
      <c r="E376" s="2" t="s">
        <v>26</v>
      </c>
      <c r="F376" s="2" t="s">
        <v>15</v>
      </c>
      <c r="G376" s="7">
        <v>96.1</v>
      </c>
      <c r="H376" s="7">
        <v>3646.8</v>
      </c>
      <c r="I376" s="2" t="s">
        <v>15</v>
      </c>
      <c r="J376" s="2" t="s">
        <v>16</v>
      </c>
      <c r="K376" s="2" t="s">
        <v>29</v>
      </c>
      <c r="L376" s="7">
        <v>3646.8</v>
      </c>
      <c r="M376" s="2" t="str">
        <f>_xlfn.IFS(TelecomData[[#This Row],[TenureMonths]]&lt;=12, "0-1 Year", TelecomData[[#This Row],[TenureMonths]]&lt;=36, "1-3 Years", TelecomData[[#This Row],[TenureMonths]]&gt;36, "3+ Years")</f>
        <v>3+ Years</v>
      </c>
      <c r="N376" s="2" t="str">
        <f>IF(TelecomData[[#This Row],[CleanedTotalCharges]]&gt;=2500,"High Spend", "Standard Spend")</f>
        <v>High Spend</v>
      </c>
    </row>
    <row r="377" spans="1:14" x14ac:dyDescent="0.3">
      <c r="A377" s="1" t="s">
        <v>400</v>
      </c>
      <c r="B377" s="2" t="s">
        <v>12</v>
      </c>
      <c r="C377" s="2" t="s">
        <v>20</v>
      </c>
      <c r="D377" s="2">
        <v>43</v>
      </c>
      <c r="E377" s="2" t="s">
        <v>14</v>
      </c>
      <c r="F377" s="2" t="s">
        <v>16</v>
      </c>
      <c r="G377" s="7">
        <v>85.1</v>
      </c>
      <c r="H377" s="7">
        <v>3662.25</v>
      </c>
      <c r="I377" s="2" t="s">
        <v>15</v>
      </c>
      <c r="J377" s="2" t="s">
        <v>15</v>
      </c>
      <c r="K377" s="2" t="s">
        <v>29</v>
      </c>
      <c r="L377" s="7">
        <v>3662.25</v>
      </c>
      <c r="M377" s="2" t="str">
        <f>_xlfn.IFS(TelecomData[[#This Row],[TenureMonths]]&lt;=12, "0-1 Year", TelecomData[[#This Row],[TenureMonths]]&lt;=36, "1-3 Years", TelecomData[[#This Row],[TenureMonths]]&gt;36, "3+ Years")</f>
        <v>3+ Years</v>
      </c>
      <c r="N377" s="2" t="str">
        <f>IF(TelecomData[[#This Row],[CleanedTotalCharges]]&gt;=2500,"High Spend", "Standard Spend")</f>
        <v>High Spend</v>
      </c>
    </row>
    <row r="378" spans="1:14" x14ac:dyDescent="0.3">
      <c r="A378" s="1" t="s">
        <v>401</v>
      </c>
      <c r="B378" s="2" t="s">
        <v>19</v>
      </c>
      <c r="C378" s="2" t="s">
        <v>13</v>
      </c>
      <c r="D378" s="2">
        <v>1</v>
      </c>
      <c r="E378" s="2" t="s">
        <v>14</v>
      </c>
      <c r="F378" s="2" t="s">
        <v>15</v>
      </c>
      <c r="G378" s="7">
        <v>25.35</v>
      </c>
      <c r="H378" s="7">
        <v>25.35</v>
      </c>
      <c r="I378" s="2" t="s">
        <v>15</v>
      </c>
      <c r="J378" s="2" t="s">
        <v>15</v>
      </c>
      <c r="K378" s="2" t="s">
        <v>21</v>
      </c>
      <c r="L378" s="7">
        <v>25.35</v>
      </c>
      <c r="M378" s="2" t="str">
        <f>_xlfn.IFS(TelecomData[[#This Row],[TenureMonths]]&lt;=12, "0-1 Year", TelecomData[[#This Row],[TenureMonths]]&lt;=36, "1-3 Years", TelecomData[[#This Row],[TenureMonths]]&gt;36, "3+ Years")</f>
        <v>0-1 Year</v>
      </c>
      <c r="N378" s="2" t="str">
        <f>IF(TelecomData[[#This Row],[CleanedTotalCharges]]&gt;=2500,"High Spend", "Standard Spend")</f>
        <v>Standard Spend</v>
      </c>
    </row>
    <row r="379" spans="1:14" x14ac:dyDescent="0.3">
      <c r="A379" s="1" t="s">
        <v>402</v>
      </c>
      <c r="B379" s="2" t="s">
        <v>12</v>
      </c>
      <c r="C379" s="2" t="s">
        <v>13</v>
      </c>
      <c r="D379" s="2">
        <v>25</v>
      </c>
      <c r="E379" s="2" t="s">
        <v>26</v>
      </c>
      <c r="F379" s="2" t="s">
        <v>16</v>
      </c>
      <c r="G379" s="7">
        <v>104.95</v>
      </c>
      <c r="H379" s="7">
        <v>2566.5</v>
      </c>
      <c r="I379" s="2" t="s">
        <v>16</v>
      </c>
      <c r="J379" s="2" t="s">
        <v>16</v>
      </c>
      <c r="K379" s="2" t="s">
        <v>24</v>
      </c>
      <c r="L379" s="7">
        <v>2566.5</v>
      </c>
      <c r="M379" s="2" t="str">
        <f>_xlfn.IFS(TelecomData[[#This Row],[TenureMonths]]&lt;=12, "0-1 Year", TelecomData[[#This Row],[TenureMonths]]&lt;=36, "1-3 Years", TelecomData[[#This Row],[TenureMonths]]&gt;36, "3+ Years")</f>
        <v>1-3 Years</v>
      </c>
      <c r="N379" s="2" t="str">
        <f>IF(TelecomData[[#This Row],[CleanedTotalCharges]]&gt;=2500,"High Spend", "Standard Spend")</f>
        <v>High Spend</v>
      </c>
    </row>
    <row r="380" spans="1:14" x14ac:dyDescent="0.3">
      <c r="A380" s="1" t="s">
        <v>403</v>
      </c>
      <c r="B380" s="2" t="s">
        <v>12</v>
      </c>
      <c r="C380" s="2" t="s">
        <v>35</v>
      </c>
      <c r="D380" s="2">
        <v>61</v>
      </c>
      <c r="E380" s="2" t="s">
        <v>14</v>
      </c>
      <c r="F380" s="2" t="s">
        <v>16</v>
      </c>
      <c r="G380" s="7">
        <v>89.65</v>
      </c>
      <c r="H380" s="7">
        <v>5308.7</v>
      </c>
      <c r="I380" s="2" t="s">
        <v>15</v>
      </c>
      <c r="J380" s="2" t="s">
        <v>15</v>
      </c>
      <c r="K380" s="2" t="s">
        <v>17</v>
      </c>
      <c r="L380" s="7">
        <v>5308.7</v>
      </c>
      <c r="M380" s="2" t="str">
        <f>_xlfn.IFS(TelecomData[[#This Row],[TenureMonths]]&lt;=12, "0-1 Year", TelecomData[[#This Row],[TenureMonths]]&lt;=36, "1-3 Years", TelecomData[[#This Row],[TenureMonths]]&gt;36, "3+ Years")</f>
        <v>3+ Years</v>
      </c>
      <c r="N380" s="2" t="str">
        <f>IF(TelecomData[[#This Row],[CleanedTotalCharges]]&gt;=2500,"High Spend", "Standard Spend")</f>
        <v>High Spend</v>
      </c>
    </row>
    <row r="381" spans="1:14" x14ac:dyDescent="0.3">
      <c r="A381" s="1" t="s">
        <v>404</v>
      </c>
      <c r="B381" s="2" t="s">
        <v>19</v>
      </c>
      <c r="C381" s="2" t="s">
        <v>20</v>
      </c>
      <c r="D381" s="2">
        <v>17</v>
      </c>
      <c r="E381" s="2" t="s">
        <v>26</v>
      </c>
      <c r="F381" s="2" t="s">
        <v>16</v>
      </c>
      <c r="G381" s="7">
        <v>86.75</v>
      </c>
      <c r="H381" s="7">
        <v>1410.25</v>
      </c>
      <c r="I381" s="2" t="s">
        <v>15</v>
      </c>
      <c r="J381" s="2" t="s">
        <v>15</v>
      </c>
      <c r="K381" s="2" t="s">
        <v>17</v>
      </c>
      <c r="L381" s="7">
        <v>1410.25</v>
      </c>
      <c r="M381" s="2" t="str">
        <f>_xlfn.IFS(TelecomData[[#This Row],[TenureMonths]]&lt;=12, "0-1 Year", TelecomData[[#This Row],[TenureMonths]]&lt;=36, "1-3 Years", TelecomData[[#This Row],[TenureMonths]]&gt;36, "3+ Years")</f>
        <v>1-3 Years</v>
      </c>
      <c r="N381" s="2" t="str">
        <f>IF(TelecomData[[#This Row],[CleanedTotalCharges]]&gt;=2500,"High Spend", "Standard Spend")</f>
        <v>Standard Spend</v>
      </c>
    </row>
    <row r="382" spans="1:14" x14ac:dyDescent="0.3">
      <c r="A382" s="1" t="s">
        <v>405</v>
      </c>
      <c r="B382" s="2" t="s">
        <v>12</v>
      </c>
      <c r="C382" s="2" t="s">
        <v>20</v>
      </c>
      <c r="D382" s="2">
        <v>41</v>
      </c>
      <c r="E382" s="2" t="s">
        <v>26</v>
      </c>
      <c r="F382" s="2" t="s">
        <v>16</v>
      </c>
      <c r="G382" s="7">
        <v>86.2</v>
      </c>
      <c r="H382" s="7">
        <v>3339.05</v>
      </c>
      <c r="I382" s="2" t="s">
        <v>15</v>
      </c>
      <c r="J382" s="2" t="s">
        <v>16</v>
      </c>
      <c r="K382" s="2" t="s">
        <v>24</v>
      </c>
      <c r="L382" s="7">
        <v>3339.05</v>
      </c>
      <c r="M382" s="2" t="str">
        <f>_xlfn.IFS(TelecomData[[#This Row],[TenureMonths]]&lt;=12, "0-1 Year", TelecomData[[#This Row],[TenureMonths]]&lt;=36, "1-3 Years", TelecomData[[#This Row],[TenureMonths]]&gt;36, "3+ Years")</f>
        <v>3+ Years</v>
      </c>
      <c r="N382" s="2" t="str">
        <f>IF(TelecomData[[#This Row],[CleanedTotalCharges]]&gt;=2500,"High Spend", "Standard Spend")</f>
        <v>High Spend</v>
      </c>
    </row>
    <row r="383" spans="1:14" x14ac:dyDescent="0.3">
      <c r="A383" s="1" t="s">
        <v>406</v>
      </c>
      <c r="B383" s="2" t="s">
        <v>19</v>
      </c>
      <c r="C383" s="2" t="s">
        <v>13</v>
      </c>
      <c r="D383" s="2">
        <v>1</v>
      </c>
      <c r="E383" s="2" t="s">
        <v>14</v>
      </c>
      <c r="F383" s="2" t="s">
        <v>15</v>
      </c>
      <c r="G383" s="7">
        <v>50.65</v>
      </c>
      <c r="H383" s="7">
        <v>50.65</v>
      </c>
      <c r="I383" s="2" t="s">
        <v>16</v>
      </c>
      <c r="J383" s="2" t="s">
        <v>15</v>
      </c>
      <c r="K383" s="2" t="s">
        <v>21</v>
      </c>
      <c r="L383" s="7">
        <v>50.65</v>
      </c>
      <c r="M383" s="2" t="str">
        <f>_xlfn.IFS(TelecomData[[#This Row],[TenureMonths]]&lt;=12, "0-1 Year", TelecomData[[#This Row],[TenureMonths]]&lt;=36, "1-3 Years", TelecomData[[#This Row],[TenureMonths]]&gt;36, "3+ Years")</f>
        <v>0-1 Year</v>
      </c>
      <c r="N383" s="2" t="str">
        <f>IF(TelecomData[[#This Row],[CleanedTotalCharges]]&gt;=2500,"High Spend", "Standard Spend")</f>
        <v>Standard Spend</v>
      </c>
    </row>
    <row r="384" spans="1:14" x14ac:dyDescent="0.3">
      <c r="A384" s="1" t="s">
        <v>407</v>
      </c>
      <c r="B384" s="2" t="s">
        <v>19</v>
      </c>
      <c r="C384" s="2" t="s">
        <v>35</v>
      </c>
      <c r="D384" s="2">
        <v>72</v>
      </c>
      <c r="E384" s="2" t="s">
        <v>14</v>
      </c>
      <c r="F384" s="2" t="s">
        <v>16</v>
      </c>
      <c r="G384" s="7">
        <v>64.8</v>
      </c>
      <c r="H384" s="7">
        <v>4732.3500000000004</v>
      </c>
      <c r="I384" s="2" t="s">
        <v>15</v>
      </c>
      <c r="J384" s="2" t="s">
        <v>16</v>
      </c>
      <c r="K384" s="2" t="s">
        <v>24</v>
      </c>
      <c r="L384" s="7">
        <v>4732.3500000000004</v>
      </c>
      <c r="M384" s="2" t="str">
        <f>_xlfn.IFS(TelecomData[[#This Row],[TenureMonths]]&lt;=12, "0-1 Year", TelecomData[[#This Row],[TenureMonths]]&lt;=36, "1-3 Years", TelecomData[[#This Row],[TenureMonths]]&gt;36, "3+ Years")</f>
        <v>3+ Years</v>
      </c>
      <c r="N384" s="2" t="str">
        <f>IF(TelecomData[[#This Row],[CleanedTotalCharges]]&gt;=2500,"High Spend", "Standard Spend")</f>
        <v>High Spend</v>
      </c>
    </row>
    <row r="385" spans="1:14" x14ac:dyDescent="0.3">
      <c r="A385" s="1" t="s">
        <v>408</v>
      </c>
      <c r="B385" s="2" t="s">
        <v>19</v>
      </c>
      <c r="C385" s="2" t="s">
        <v>13</v>
      </c>
      <c r="D385" s="2">
        <v>1</v>
      </c>
      <c r="E385" s="2" t="s">
        <v>26</v>
      </c>
      <c r="F385" s="2" t="s">
        <v>15</v>
      </c>
      <c r="G385" s="7">
        <v>90.85</v>
      </c>
      <c r="H385" s="7">
        <v>90.85</v>
      </c>
      <c r="I385" s="2" t="s">
        <v>16</v>
      </c>
      <c r="J385" s="2" t="s">
        <v>16</v>
      </c>
      <c r="K385" s="2" t="s">
        <v>29</v>
      </c>
      <c r="L385" s="7">
        <v>90.85</v>
      </c>
      <c r="M385" s="2" t="str">
        <f>_xlfn.IFS(TelecomData[[#This Row],[TenureMonths]]&lt;=12, "0-1 Year", TelecomData[[#This Row],[TenureMonths]]&lt;=36, "1-3 Years", TelecomData[[#This Row],[TenureMonths]]&gt;36, "3+ Years")</f>
        <v>0-1 Year</v>
      </c>
      <c r="N385" s="2" t="str">
        <f>IF(TelecomData[[#This Row],[CleanedTotalCharges]]&gt;=2500,"High Spend", "Standard Spend")</f>
        <v>Standard Spend</v>
      </c>
    </row>
    <row r="386" spans="1:14" x14ac:dyDescent="0.3">
      <c r="A386" s="1" t="s">
        <v>409</v>
      </c>
      <c r="B386" s="2" t="s">
        <v>19</v>
      </c>
      <c r="C386" s="2" t="s">
        <v>35</v>
      </c>
      <c r="D386" s="2">
        <v>48</v>
      </c>
      <c r="E386" s="2" t="s">
        <v>26</v>
      </c>
      <c r="F386" s="2" t="s">
        <v>15</v>
      </c>
      <c r="G386" s="7">
        <v>108.1</v>
      </c>
      <c r="H386" s="7">
        <v>5067.45</v>
      </c>
      <c r="I386" s="2" t="s">
        <v>15</v>
      </c>
      <c r="J386" s="2" t="s">
        <v>16</v>
      </c>
      <c r="K386" s="2" t="s">
        <v>24</v>
      </c>
      <c r="L386" s="7">
        <v>5067.45</v>
      </c>
      <c r="M386" s="2" t="str">
        <f>_xlfn.IFS(TelecomData[[#This Row],[TenureMonths]]&lt;=12, "0-1 Year", TelecomData[[#This Row],[TenureMonths]]&lt;=36, "1-3 Years", TelecomData[[#This Row],[TenureMonths]]&gt;36, "3+ Years")</f>
        <v>3+ Years</v>
      </c>
      <c r="N386" s="2" t="str">
        <f>IF(TelecomData[[#This Row],[CleanedTotalCharges]]&gt;=2500,"High Spend", "Standard Spend")</f>
        <v>High Spend</v>
      </c>
    </row>
    <row r="387" spans="1:14" x14ac:dyDescent="0.3">
      <c r="A387" s="1" t="s">
        <v>410</v>
      </c>
      <c r="B387" s="2" t="s">
        <v>19</v>
      </c>
      <c r="C387" s="2" t="s">
        <v>13</v>
      </c>
      <c r="D387" s="2">
        <v>11</v>
      </c>
      <c r="E387" s="2" t="s">
        <v>15</v>
      </c>
      <c r="F387" s="2" t="s">
        <v>36</v>
      </c>
      <c r="G387" s="7">
        <v>19.95</v>
      </c>
      <c r="H387" s="7">
        <v>214.75</v>
      </c>
      <c r="I387" s="2" t="s">
        <v>16</v>
      </c>
      <c r="J387" s="2" t="s">
        <v>15</v>
      </c>
      <c r="K387" s="2" t="s">
        <v>21</v>
      </c>
      <c r="L387" s="7">
        <v>214.75</v>
      </c>
      <c r="M387" s="2" t="str">
        <f>_xlfn.IFS(TelecomData[[#This Row],[TenureMonths]]&lt;=12, "0-1 Year", TelecomData[[#This Row],[TenureMonths]]&lt;=36, "1-3 Years", TelecomData[[#This Row],[TenureMonths]]&gt;36, "3+ Years")</f>
        <v>0-1 Year</v>
      </c>
      <c r="N387" s="2" t="str">
        <f>IF(TelecomData[[#This Row],[CleanedTotalCharges]]&gt;=2500,"High Spend", "Standard Spend")</f>
        <v>Standard Spend</v>
      </c>
    </row>
    <row r="388" spans="1:14" x14ac:dyDescent="0.3">
      <c r="A388" s="1" t="s">
        <v>411</v>
      </c>
      <c r="B388" s="2" t="s">
        <v>12</v>
      </c>
      <c r="C388" s="2" t="s">
        <v>13</v>
      </c>
      <c r="D388" s="2">
        <v>55</v>
      </c>
      <c r="E388" s="2" t="s">
        <v>26</v>
      </c>
      <c r="F388" s="2" t="s">
        <v>15</v>
      </c>
      <c r="G388" s="7">
        <v>85.45</v>
      </c>
      <c r="H388" s="7">
        <v>4874.7</v>
      </c>
      <c r="I388" s="2" t="s">
        <v>16</v>
      </c>
      <c r="J388" s="2" t="s">
        <v>16</v>
      </c>
      <c r="K388" s="2" t="s">
        <v>17</v>
      </c>
      <c r="L388" s="7">
        <v>4874.7</v>
      </c>
      <c r="M388" s="2" t="str">
        <f>_xlfn.IFS(TelecomData[[#This Row],[TenureMonths]]&lt;=12, "0-1 Year", TelecomData[[#This Row],[TenureMonths]]&lt;=36, "1-3 Years", TelecomData[[#This Row],[TenureMonths]]&gt;36, "3+ Years")</f>
        <v>3+ Years</v>
      </c>
      <c r="N388" s="2" t="str">
        <f>IF(TelecomData[[#This Row],[CleanedTotalCharges]]&gt;=2500,"High Spend", "Standard Spend")</f>
        <v>High Spend</v>
      </c>
    </row>
    <row r="389" spans="1:14" x14ac:dyDescent="0.3">
      <c r="A389" s="1" t="s">
        <v>412</v>
      </c>
      <c r="B389" s="2" t="s">
        <v>12</v>
      </c>
      <c r="C389" s="2" t="s">
        <v>20</v>
      </c>
      <c r="D389" s="2">
        <v>42</v>
      </c>
      <c r="E389" s="2" t="s">
        <v>14</v>
      </c>
      <c r="F389" s="2" t="s">
        <v>16</v>
      </c>
      <c r="G389" s="7">
        <v>54.75</v>
      </c>
      <c r="H389" s="7">
        <v>2348.4499999999998</v>
      </c>
      <c r="I389" s="2" t="s">
        <v>15</v>
      </c>
      <c r="J389" s="2" t="s">
        <v>16</v>
      </c>
      <c r="K389" s="2" t="s">
        <v>17</v>
      </c>
      <c r="L389" s="7">
        <v>2348.4499999999998</v>
      </c>
      <c r="M389" s="2" t="str">
        <f>_xlfn.IFS(TelecomData[[#This Row],[TenureMonths]]&lt;=12, "0-1 Year", TelecomData[[#This Row],[TenureMonths]]&lt;=36, "1-3 Years", TelecomData[[#This Row],[TenureMonths]]&gt;36, "3+ Years")</f>
        <v>3+ Years</v>
      </c>
      <c r="N389" s="2" t="str">
        <f>IF(TelecomData[[#This Row],[CleanedTotalCharges]]&gt;=2500,"High Spend", "Standard Spend")</f>
        <v>Standard Spend</v>
      </c>
    </row>
    <row r="390" spans="1:14" x14ac:dyDescent="0.3">
      <c r="A390" s="1" t="s">
        <v>413</v>
      </c>
      <c r="B390" s="2" t="s">
        <v>19</v>
      </c>
      <c r="C390" s="2" t="s">
        <v>13</v>
      </c>
      <c r="D390" s="2">
        <v>44</v>
      </c>
      <c r="E390" s="2" t="s">
        <v>26</v>
      </c>
      <c r="F390" s="2" t="s">
        <v>15</v>
      </c>
      <c r="G390" s="7">
        <v>90.4</v>
      </c>
      <c r="H390" s="7">
        <v>4063</v>
      </c>
      <c r="I390" s="2" t="s">
        <v>15</v>
      </c>
      <c r="J390" s="2" t="s">
        <v>16</v>
      </c>
      <c r="K390" s="2" t="s">
        <v>21</v>
      </c>
      <c r="L390" s="7">
        <v>4063</v>
      </c>
      <c r="M390" s="2" t="str">
        <f>_xlfn.IFS(TelecomData[[#This Row],[TenureMonths]]&lt;=12, "0-1 Year", TelecomData[[#This Row],[TenureMonths]]&lt;=36, "1-3 Years", TelecomData[[#This Row],[TenureMonths]]&gt;36, "3+ Years")</f>
        <v>3+ Years</v>
      </c>
      <c r="N390" s="2" t="str">
        <f>IF(TelecomData[[#This Row],[CleanedTotalCharges]]&gt;=2500,"High Spend", "Standard Spend")</f>
        <v>High Spend</v>
      </c>
    </row>
    <row r="391" spans="1:14" x14ac:dyDescent="0.3">
      <c r="A391" s="1" t="s">
        <v>414</v>
      </c>
      <c r="B391" s="2" t="s">
        <v>19</v>
      </c>
      <c r="C391" s="2" t="s">
        <v>13</v>
      </c>
      <c r="D391" s="2">
        <v>1</v>
      </c>
      <c r="E391" s="2" t="s">
        <v>14</v>
      </c>
      <c r="F391" s="2" t="s">
        <v>15</v>
      </c>
      <c r="G391" s="7">
        <v>44</v>
      </c>
      <c r="H391" s="7">
        <v>44</v>
      </c>
      <c r="I391" s="2" t="s">
        <v>15</v>
      </c>
      <c r="J391" s="2" t="s">
        <v>15</v>
      </c>
      <c r="K391" s="2" t="s">
        <v>17</v>
      </c>
      <c r="L391" s="7">
        <v>44</v>
      </c>
      <c r="M391" s="2" t="str">
        <f>_xlfn.IFS(TelecomData[[#This Row],[TenureMonths]]&lt;=12, "0-1 Year", TelecomData[[#This Row],[TenureMonths]]&lt;=36, "1-3 Years", TelecomData[[#This Row],[TenureMonths]]&gt;36, "3+ Years")</f>
        <v>0-1 Year</v>
      </c>
      <c r="N391" s="2" t="str">
        <f>IF(TelecomData[[#This Row],[CleanedTotalCharges]]&gt;=2500,"High Spend", "Standard Spend")</f>
        <v>Standard Spend</v>
      </c>
    </row>
    <row r="392" spans="1:14" x14ac:dyDescent="0.3">
      <c r="A392" s="1" t="s">
        <v>415</v>
      </c>
      <c r="B392" s="2" t="s">
        <v>12</v>
      </c>
      <c r="C392" s="2" t="s">
        <v>13</v>
      </c>
      <c r="D392" s="2">
        <v>27</v>
      </c>
      <c r="E392" s="2" t="s">
        <v>26</v>
      </c>
      <c r="F392" s="2" t="s">
        <v>15</v>
      </c>
      <c r="G392" s="7">
        <v>95.6</v>
      </c>
      <c r="H392" s="7">
        <v>2595.25</v>
      </c>
      <c r="I392" s="2" t="s">
        <v>15</v>
      </c>
      <c r="J392" s="2" t="s">
        <v>16</v>
      </c>
      <c r="K392" s="2" t="s">
        <v>24</v>
      </c>
      <c r="L392" s="7">
        <v>2595.25</v>
      </c>
      <c r="M392" s="2" t="str">
        <f>_xlfn.IFS(TelecomData[[#This Row],[TenureMonths]]&lt;=12, "0-1 Year", TelecomData[[#This Row],[TenureMonths]]&lt;=36, "1-3 Years", TelecomData[[#This Row],[TenureMonths]]&gt;36, "3+ Years")</f>
        <v>1-3 Years</v>
      </c>
      <c r="N392" s="2" t="str">
        <f>IF(TelecomData[[#This Row],[CleanedTotalCharges]]&gt;=2500,"High Spend", "Standard Spend")</f>
        <v>High Spend</v>
      </c>
    </row>
    <row r="393" spans="1:14" x14ac:dyDescent="0.3">
      <c r="A393" s="1" t="s">
        <v>416</v>
      </c>
      <c r="B393" s="2" t="s">
        <v>19</v>
      </c>
      <c r="C393" s="2" t="s">
        <v>13</v>
      </c>
      <c r="D393" s="2">
        <v>27</v>
      </c>
      <c r="E393" s="2" t="s">
        <v>14</v>
      </c>
      <c r="F393" s="2" t="s">
        <v>16</v>
      </c>
      <c r="G393" s="7">
        <v>84.8</v>
      </c>
      <c r="H393" s="7">
        <v>2309.5500000000002</v>
      </c>
      <c r="I393" s="2" t="s">
        <v>15</v>
      </c>
      <c r="J393" s="2" t="s">
        <v>16</v>
      </c>
      <c r="K393" s="2" t="s">
        <v>24</v>
      </c>
      <c r="L393" s="7">
        <v>2309.5500000000002</v>
      </c>
      <c r="M393" s="2" t="str">
        <f>_xlfn.IFS(TelecomData[[#This Row],[TenureMonths]]&lt;=12, "0-1 Year", TelecomData[[#This Row],[TenureMonths]]&lt;=36, "1-3 Years", TelecomData[[#This Row],[TenureMonths]]&gt;36, "3+ Years")</f>
        <v>1-3 Years</v>
      </c>
      <c r="N393" s="2" t="str">
        <f>IF(TelecomData[[#This Row],[CleanedTotalCharges]]&gt;=2500,"High Spend", "Standard Spend")</f>
        <v>Standard Spend</v>
      </c>
    </row>
    <row r="394" spans="1:14" x14ac:dyDescent="0.3">
      <c r="A394" s="1" t="s">
        <v>417</v>
      </c>
      <c r="B394" s="2" t="s">
        <v>12</v>
      </c>
      <c r="C394" s="2" t="s">
        <v>13</v>
      </c>
      <c r="D394" s="2">
        <v>2</v>
      </c>
      <c r="E394" s="2" t="s">
        <v>14</v>
      </c>
      <c r="F394" s="2" t="s">
        <v>15</v>
      </c>
      <c r="G394" s="7">
        <v>44.3</v>
      </c>
      <c r="H394" s="7">
        <v>89.3</v>
      </c>
      <c r="I394" s="2" t="s">
        <v>15</v>
      </c>
      <c r="J394" s="2" t="s">
        <v>16</v>
      </c>
      <c r="K394" s="2" t="s">
        <v>17</v>
      </c>
      <c r="L394" s="7">
        <v>89.3</v>
      </c>
      <c r="M394" s="2" t="str">
        <f>_xlfn.IFS(TelecomData[[#This Row],[TenureMonths]]&lt;=12, "0-1 Year", TelecomData[[#This Row],[TenureMonths]]&lt;=36, "1-3 Years", TelecomData[[#This Row],[TenureMonths]]&gt;36, "3+ Years")</f>
        <v>0-1 Year</v>
      </c>
      <c r="N394" s="2" t="str">
        <f>IF(TelecomData[[#This Row],[CleanedTotalCharges]]&gt;=2500,"High Spend", "Standard Spend")</f>
        <v>Standard Spend</v>
      </c>
    </row>
    <row r="395" spans="1:14" x14ac:dyDescent="0.3">
      <c r="A395" s="1" t="s">
        <v>418</v>
      </c>
      <c r="B395" s="2" t="s">
        <v>12</v>
      </c>
      <c r="C395" s="2" t="s">
        <v>13</v>
      </c>
      <c r="D395" s="2">
        <v>19</v>
      </c>
      <c r="E395" s="2" t="s">
        <v>15</v>
      </c>
      <c r="F395" s="2" t="s">
        <v>36</v>
      </c>
      <c r="G395" s="7">
        <v>19.899999999999999</v>
      </c>
      <c r="H395" s="7">
        <v>367.55</v>
      </c>
      <c r="I395" s="2" t="s">
        <v>15</v>
      </c>
      <c r="J395" s="2" t="s">
        <v>15</v>
      </c>
      <c r="K395" s="2" t="s">
        <v>21</v>
      </c>
      <c r="L395" s="7">
        <v>367.55</v>
      </c>
      <c r="M395" s="2" t="str">
        <f>_xlfn.IFS(TelecomData[[#This Row],[TenureMonths]]&lt;=12, "0-1 Year", TelecomData[[#This Row],[TenureMonths]]&lt;=36, "1-3 Years", TelecomData[[#This Row],[TenureMonths]]&gt;36, "3+ Years")</f>
        <v>1-3 Years</v>
      </c>
      <c r="N395" s="2" t="str">
        <f>IF(TelecomData[[#This Row],[CleanedTotalCharges]]&gt;=2500,"High Spend", "Standard Spend")</f>
        <v>Standard Spend</v>
      </c>
    </row>
    <row r="396" spans="1:14" x14ac:dyDescent="0.3">
      <c r="A396" s="1" t="s">
        <v>419</v>
      </c>
      <c r="B396" s="2" t="s">
        <v>12</v>
      </c>
      <c r="C396" s="2" t="s">
        <v>13</v>
      </c>
      <c r="D396" s="2">
        <v>42</v>
      </c>
      <c r="E396" s="2" t="s">
        <v>26</v>
      </c>
      <c r="F396" s="2" t="s">
        <v>15</v>
      </c>
      <c r="G396" s="7">
        <v>95.05</v>
      </c>
      <c r="H396" s="7">
        <v>3944.5</v>
      </c>
      <c r="I396" s="2" t="s">
        <v>15</v>
      </c>
      <c r="J396" s="2" t="s">
        <v>16</v>
      </c>
      <c r="K396" s="2" t="s">
        <v>17</v>
      </c>
      <c r="L396" s="7">
        <v>3944.5</v>
      </c>
      <c r="M396" s="2" t="str">
        <f>_xlfn.IFS(TelecomData[[#This Row],[TenureMonths]]&lt;=12, "0-1 Year", TelecomData[[#This Row],[TenureMonths]]&lt;=36, "1-3 Years", TelecomData[[#This Row],[TenureMonths]]&gt;36, "3+ Years")</f>
        <v>3+ Years</v>
      </c>
      <c r="N396" s="2" t="str">
        <f>IF(TelecomData[[#This Row],[CleanedTotalCharges]]&gt;=2500,"High Spend", "Standard Spend")</f>
        <v>High Spend</v>
      </c>
    </row>
    <row r="397" spans="1:14" x14ac:dyDescent="0.3">
      <c r="A397" s="1" t="s">
        <v>420</v>
      </c>
      <c r="B397" s="2" t="s">
        <v>12</v>
      </c>
      <c r="C397" s="2" t="s">
        <v>35</v>
      </c>
      <c r="D397" s="2">
        <v>66</v>
      </c>
      <c r="E397" s="2" t="s">
        <v>14</v>
      </c>
      <c r="F397" s="2" t="s">
        <v>16</v>
      </c>
      <c r="G397" s="7">
        <v>90.05</v>
      </c>
      <c r="H397" s="7">
        <v>5965.95</v>
      </c>
      <c r="I397" s="2" t="s">
        <v>15</v>
      </c>
      <c r="J397" s="2" t="s">
        <v>16</v>
      </c>
      <c r="K397" s="2" t="s">
        <v>29</v>
      </c>
      <c r="L397" s="7">
        <v>5965.95</v>
      </c>
      <c r="M397" s="2" t="str">
        <f>_xlfn.IFS(TelecomData[[#This Row],[TenureMonths]]&lt;=12, "0-1 Year", TelecomData[[#This Row],[TenureMonths]]&lt;=36, "1-3 Years", TelecomData[[#This Row],[TenureMonths]]&gt;36, "3+ Years")</f>
        <v>3+ Years</v>
      </c>
      <c r="N397" s="2" t="str">
        <f>IF(TelecomData[[#This Row],[CleanedTotalCharges]]&gt;=2500,"High Spend", "Standard Spend")</f>
        <v>High Spend</v>
      </c>
    </row>
    <row r="398" spans="1:14" x14ac:dyDescent="0.3">
      <c r="A398" s="1" t="s">
        <v>421</v>
      </c>
      <c r="B398" s="2" t="s">
        <v>19</v>
      </c>
      <c r="C398" s="2" t="s">
        <v>13</v>
      </c>
      <c r="D398" s="2">
        <v>33</v>
      </c>
      <c r="E398" s="2" t="s">
        <v>26</v>
      </c>
      <c r="F398" s="2" t="s">
        <v>16</v>
      </c>
      <c r="G398" s="7">
        <v>109.9</v>
      </c>
      <c r="H398" s="7">
        <v>3694.7</v>
      </c>
      <c r="I398" s="2" t="s">
        <v>15</v>
      </c>
      <c r="J398" s="2" t="s">
        <v>16</v>
      </c>
      <c r="K398" s="2" t="s">
        <v>24</v>
      </c>
      <c r="L398" s="7">
        <v>3694.7</v>
      </c>
      <c r="M398" s="2" t="str">
        <f>_xlfn.IFS(TelecomData[[#This Row],[TenureMonths]]&lt;=12, "0-1 Year", TelecomData[[#This Row],[TenureMonths]]&lt;=36, "1-3 Years", TelecomData[[#This Row],[TenureMonths]]&gt;36, "3+ Years")</f>
        <v>1-3 Years</v>
      </c>
      <c r="N398" s="2" t="str">
        <f>IF(TelecomData[[#This Row],[CleanedTotalCharges]]&gt;=2500,"High Spend", "Standard Spend")</f>
        <v>High Spend</v>
      </c>
    </row>
    <row r="399" spans="1:14" x14ac:dyDescent="0.3">
      <c r="A399" s="1" t="s">
        <v>422</v>
      </c>
      <c r="B399" s="2" t="s">
        <v>12</v>
      </c>
      <c r="C399" s="2" t="s">
        <v>13</v>
      </c>
      <c r="D399" s="2">
        <v>34</v>
      </c>
      <c r="E399" s="2" t="s">
        <v>26</v>
      </c>
      <c r="F399" s="2" t="s">
        <v>15</v>
      </c>
      <c r="G399" s="7">
        <v>73.95</v>
      </c>
      <c r="H399" s="7">
        <v>2524.4499999999998</v>
      </c>
      <c r="I399" s="2" t="s">
        <v>16</v>
      </c>
      <c r="J399" s="2" t="s">
        <v>16</v>
      </c>
      <c r="K399" s="2" t="s">
        <v>29</v>
      </c>
      <c r="L399" s="7">
        <v>2524.4499999999998</v>
      </c>
      <c r="M399" s="2" t="str">
        <f>_xlfn.IFS(TelecomData[[#This Row],[TenureMonths]]&lt;=12, "0-1 Year", TelecomData[[#This Row],[TenureMonths]]&lt;=36, "1-3 Years", TelecomData[[#This Row],[TenureMonths]]&gt;36, "3+ Years")</f>
        <v>1-3 Years</v>
      </c>
      <c r="N399" s="2" t="str">
        <f>IF(TelecomData[[#This Row],[CleanedTotalCharges]]&gt;=2500,"High Spend", "Standard Spend")</f>
        <v>High Spend</v>
      </c>
    </row>
    <row r="400" spans="1:14" x14ac:dyDescent="0.3">
      <c r="A400" s="1" t="s">
        <v>423</v>
      </c>
      <c r="B400" s="2" t="s">
        <v>19</v>
      </c>
      <c r="C400" s="2" t="s">
        <v>13</v>
      </c>
      <c r="D400" s="2">
        <v>33</v>
      </c>
      <c r="E400" s="2" t="s">
        <v>14</v>
      </c>
      <c r="F400" s="2" t="s">
        <v>16</v>
      </c>
      <c r="G400" s="7">
        <v>54.6</v>
      </c>
      <c r="H400" s="7">
        <v>1803.7</v>
      </c>
      <c r="I400" s="2" t="s">
        <v>15</v>
      </c>
      <c r="J400" s="2" t="s">
        <v>16</v>
      </c>
      <c r="K400" s="2" t="s">
        <v>17</v>
      </c>
      <c r="L400" s="7">
        <v>1803.7</v>
      </c>
      <c r="M400" s="2" t="str">
        <f>_xlfn.IFS(TelecomData[[#This Row],[TenureMonths]]&lt;=12, "0-1 Year", TelecomData[[#This Row],[TenureMonths]]&lt;=36, "1-3 Years", TelecomData[[#This Row],[TenureMonths]]&gt;36, "3+ Years")</f>
        <v>1-3 Years</v>
      </c>
      <c r="N400" s="2" t="str">
        <f>IF(TelecomData[[#This Row],[CleanedTotalCharges]]&gt;=2500,"High Spend", "Standard Spend")</f>
        <v>Standard Spend</v>
      </c>
    </row>
    <row r="401" spans="1:14" x14ac:dyDescent="0.3">
      <c r="A401" s="1" t="s">
        <v>424</v>
      </c>
      <c r="B401" s="2" t="s">
        <v>12</v>
      </c>
      <c r="C401" s="2" t="s">
        <v>20</v>
      </c>
      <c r="D401" s="2">
        <v>23</v>
      </c>
      <c r="E401" s="2" t="s">
        <v>15</v>
      </c>
      <c r="F401" s="2" t="s">
        <v>36</v>
      </c>
      <c r="G401" s="7">
        <v>20.05</v>
      </c>
      <c r="H401" s="7">
        <v>415.1</v>
      </c>
      <c r="I401" s="2" t="s">
        <v>15</v>
      </c>
      <c r="J401" s="2" t="s">
        <v>15</v>
      </c>
      <c r="K401" s="2" t="s">
        <v>21</v>
      </c>
      <c r="L401" s="7">
        <v>415.1</v>
      </c>
      <c r="M401" s="2" t="str">
        <f>_xlfn.IFS(TelecomData[[#This Row],[TenureMonths]]&lt;=12, "0-1 Year", TelecomData[[#This Row],[TenureMonths]]&lt;=36, "1-3 Years", TelecomData[[#This Row],[TenureMonths]]&gt;36, "3+ Years")</f>
        <v>1-3 Years</v>
      </c>
      <c r="N401" s="2" t="str">
        <f>IF(TelecomData[[#This Row],[CleanedTotalCharges]]&gt;=2500,"High Spend", "Standard Spend")</f>
        <v>Standard Spend</v>
      </c>
    </row>
    <row r="402" spans="1:14" x14ac:dyDescent="0.3">
      <c r="A402" s="1" t="s">
        <v>425</v>
      </c>
      <c r="B402" s="2" t="s">
        <v>12</v>
      </c>
      <c r="C402" s="2" t="s">
        <v>20</v>
      </c>
      <c r="D402" s="2">
        <v>32</v>
      </c>
      <c r="E402" s="2" t="s">
        <v>15</v>
      </c>
      <c r="F402" s="2" t="s">
        <v>36</v>
      </c>
      <c r="G402" s="7">
        <v>19.75</v>
      </c>
      <c r="H402" s="7">
        <v>624.15</v>
      </c>
      <c r="I402" s="2" t="s">
        <v>15</v>
      </c>
      <c r="J402" s="2" t="s">
        <v>15</v>
      </c>
      <c r="K402" s="2" t="s">
        <v>24</v>
      </c>
      <c r="L402" s="7">
        <v>624.15</v>
      </c>
      <c r="M402" s="2" t="str">
        <f>_xlfn.IFS(TelecomData[[#This Row],[TenureMonths]]&lt;=12, "0-1 Year", TelecomData[[#This Row],[TenureMonths]]&lt;=36, "1-3 Years", TelecomData[[#This Row],[TenureMonths]]&gt;36, "3+ Years")</f>
        <v>1-3 Years</v>
      </c>
      <c r="N402" s="2" t="str">
        <f>IF(TelecomData[[#This Row],[CleanedTotalCharges]]&gt;=2500,"High Spend", "Standard Spend")</f>
        <v>Standard Spend</v>
      </c>
    </row>
    <row r="403" spans="1:14" x14ac:dyDescent="0.3">
      <c r="A403" s="1" t="s">
        <v>426</v>
      </c>
      <c r="B403" s="2" t="s">
        <v>12</v>
      </c>
      <c r="C403" s="2" t="s">
        <v>20</v>
      </c>
      <c r="D403" s="2">
        <v>11</v>
      </c>
      <c r="E403" s="2" t="s">
        <v>15</v>
      </c>
      <c r="F403" s="2" t="s">
        <v>36</v>
      </c>
      <c r="G403" s="7">
        <v>20.05</v>
      </c>
      <c r="H403" s="7">
        <v>237.7</v>
      </c>
      <c r="I403" s="2" t="s">
        <v>15</v>
      </c>
      <c r="J403" s="2" t="s">
        <v>15</v>
      </c>
      <c r="K403" s="2" t="s">
        <v>29</v>
      </c>
      <c r="L403" s="7">
        <v>237.7</v>
      </c>
      <c r="M403" s="2" t="str">
        <f>_xlfn.IFS(TelecomData[[#This Row],[TenureMonths]]&lt;=12, "0-1 Year", TelecomData[[#This Row],[TenureMonths]]&lt;=36, "1-3 Years", TelecomData[[#This Row],[TenureMonths]]&gt;36, "3+ Years")</f>
        <v>0-1 Year</v>
      </c>
      <c r="N403" s="2" t="str">
        <f>IF(TelecomData[[#This Row],[CleanedTotalCharges]]&gt;=2500,"High Spend", "Standard Spend")</f>
        <v>Standard Spend</v>
      </c>
    </row>
    <row r="404" spans="1:14" x14ac:dyDescent="0.3">
      <c r="A404" s="1" t="s">
        <v>427</v>
      </c>
      <c r="B404" s="2" t="s">
        <v>19</v>
      </c>
      <c r="C404" s="2" t="s">
        <v>13</v>
      </c>
      <c r="D404" s="2">
        <v>69</v>
      </c>
      <c r="E404" s="2" t="s">
        <v>26</v>
      </c>
      <c r="F404" s="2" t="s">
        <v>15</v>
      </c>
      <c r="G404" s="7">
        <v>99.45</v>
      </c>
      <c r="H404" s="7">
        <v>7007.6</v>
      </c>
      <c r="I404" s="2" t="s">
        <v>16</v>
      </c>
      <c r="J404" s="2" t="s">
        <v>16</v>
      </c>
      <c r="K404" s="2" t="s">
        <v>29</v>
      </c>
      <c r="L404" s="7">
        <v>7007.6</v>
      </c>
      <c r="M404" s="2" t="str">
        <f>_xlfn.IFS(TelecomData[[#This Row],[TenureMonths]]&lt;=12, "0-1 Year", TelecomData[[#This Row],[TenureMonths]]&lt;=36, "1-3 Years", TelecomData[[#This Row],[TenureMonths]]&gt;36, "3+ Years")</f>
        <v>3+ Years</v>
      </c>
      <c r="N404" s="2" t="str">
        <f>IF(TelecomData[[#This Row],[CleanedTotalCharges]]&gt;=2500,"High Spend", "Standard Spend")</f>
        <v>High Spend</v>
      </c>
    </row>
    <row r="405" spans="1:14" x14ac:dyDescent="0.3">
      <c r="A405" s="1" t="s">
        <v>428</v>
      </c>
      <c r="B405" s="2" t="s">
        <v>12</v>
      </c>
      <c r="C405" s="2" t="s">
        <v>20</v>
      </c>
      <c r="D405" s="2">
        <v>68</v>
      </c>
      <c r="E405" s="2" t="s">
        <v>14</v>
      </c>
      <c r="F405" s="2" t="s">
        <v>16</v>
      </c>
      <c r="G405" s="7">
        <v>55.9</v>
      </c>
      <c r="H405" s="7">
        <v>3848.8</v>
      </c>
      <c r="I405" s="2" t="s">
        <v>15</v>
      </c>
      <c r="J405" s="2" t="s">
        <v>15</v>
      </c>
      <c r="K405" s="2" t="s">
        <v>24</v>
      </c>
      <c r="L405" s="7">
        <v>3848.8</v>
      </c>
      <c r="M405" s="2" t="str">
        <f>_xlfn.IFS(TelecomData[[#This Row],[TenureMonths]]&lt;=12, "0-1 Year", TelecomData[[#This Row],[TenureMonths]]&lt;=36, "1-3 Years", TelecomData[[#This Row],[TenureMonths]]&gt;36, "3+ Years")</f>
        <v>3+ Years</v>
      </c>
      <c r="N405" s="2" t="str">
        <f>IF(TelecomData[[#This Row],[CleanedTotalCharges]]&gt;=2500,"High Spend", "Standard Spend")</f>
        <v>High Spend</v>
      </c>
    </row>
    <row r="406" spans="1:14" x14ac:dyDescent="0.3">
      <c r="A406" s="1" t="s">
        <v>429</v>
      </c>
      <c r="B406" s="2" t="s">
        <v>19</v>
      </c>
      <c r="C406" s="2" t="s">
        <v>35</v>
      </c>
      <c r="D406" s="2">
        <v>20</v>
      </c>
      <c r="E406" s="2" t="s">
        <v>15</v>
      </c>
      <c r="F406" s="2" t="s">
        <v>36</v>
      </c>
      <c r="G406" s="7">
        <v>19.7</v>
      </c>
      <c r="H406" s="7">
        <v>419.4</v>
      </c>
      <c r="I406" s="2" t="s">
        <v>15</v>
      </c>
      <c r="J406" s="2" t="s">
        <v>16</v>
      </c>
      <c r="K406" s="2" t="s">
        <v>21</v>
      </c>
      <c r="L406" s="7">
        <v>419.4</v>
      </c>
      <c r="M406" s="2" t="str">
        <f>_xlfn.IFS(TelecomData[[#This Row],[TenureMonths]]&lt;=12, "0-1 Year", TelecomData[[#This Row],[TenureMonths]]&lt;=36, "1-3 Years", TelecomData[[#This Row],[TenureMonths]]&gt;36, "3+ Years")</f>
        <v>1-3 Years</v>
      </c>
      <c r="N406" s="2" t="str">
        <f>IF(TelecomData[[#This Row],[CleanedTotalCharges]]&gt;=2500,"High Spend", "Standard Spend")</f>
        <v>Standard Spend</v>
      </c>
    </row>
    <row r="407" spans="1:14" x14ac:dyDescent="0.3">
      <c r="A407" s="1" t="s">
        <v>430</v>
      </c>
      <c r="B407" s="2" t="s">
        <v>19</v>
      </c>
      <c r="C407" s="2" t="s">
        <v>35</v>
      </c>
      <c r="D407" s="2">
        <v>72</v>
      </c>
      <c r="E407" s="2" t="s">
        <v>15</v>
      </c>
      <c r="F407" s="2" t="s">
        <v>36</v>
      </c>
      <c r="G407" s="7">
        <v>19.8</v>
      </c>
      <c r="H407" s="7">
        <v>1468.75</v>
      </c>
      <c r="I407" s="2" t="s">
        <v>15</v>
      </c>
      <c r="J407" s="2" t="s">
        <v>16</v>
      </c>
      <c r="K407" s="2" t="s">
        <v>29</v>
      </c>
      <c r="L407" s="7">
        <v>1468.75</v>
      </c>
      <c r="M407" s="2" t="str">
        <f>_xlfn.IFS(TelecomData[[#This Row],[TenureMonths]]&lt;=12, "0-1 Year", TelecomData[[#This Row],[TenureMonths]]&lt;=36, "1-3 Years", TelecomData[[#This Row],[TenureMonths]]&gt;36, "3+ Years")</f>
        <v>3+ Years</v>
      </c>
      <c r="N407" s="2" t="str">
        <f>IF(TelecomData[[#This Row],[CleanedTotalCharges]]&gt;=2500,"High Spend", "Standard Spend")</f>
        <v>Standard Spend</v>
      </c>
    </row>
    <row r="408" spans="1:14" x14ac:dyDescent="0.3">
      <c r="A408" s="1" t="s">
        <v>431</v>
      </c>
      <c r="B408" s="2" t="s">
        <v>19</v>
      </c>
      <c r="C408" s="2" t="s">
        <v>20</v>
      </c>
      <c r="D408" s="2">
        <v>60</v>
      </c>
      <c r="E408" s="2" t="s">
        <v>26</v>
      </c>
      <c r="F408" s="2" t="s">
        <v>15</v>
      </c>
      <c r="G408" s="7">
        <v>95.4</v>
      </c>
      <c r="H408" s="7">
        <v>5812</v>
      </c>
      <c r="I408" s="2" t="s">
        <v>15</v>
      </c>
      <c r="J408" s="2" t="s">
        <v>16</v>
      </c>
      <c r="K408" s="2" t="s">
        <v>24</v>
      </c>
      <c r="L408" s="7">
        <v>5812</v>
      </c>
      <c r="M408" s="2" t="str">
        <f>_xlfn.IFS(TelecomData[[#This Row],[TenureMonths]]&lt;=12, "0-1 Year", TelecomData[[#This Row],[TenureMonths]]&lt;=36, "1-3 Years", TelecomData[[#This Row],[TenureMonths]]&gt;36, "3+ Years")</f>
        <v>3+ Years</v>
      </c>
      <c r="N408" s="2" t="str">
        <f>IF(TelecomData[[#This Row],[CleanedTotalCharges]]&gt;=2500,"High Spend", "Standard Spend")</f>
        <v>High Spend</v>
      </c>
    </row>
    <row r="409" spans="1:14" x14ac:dyDescent="0.3">
      <c r="A409" s="1" t="s">
        <v>432</v>
      </c>
      <c r="B409" s="2" t="s">
        <v>19</v>
      </c>
      <c r="C409" s="2" t="s">
        <v>13</v>
      </c>
      <c r="D409" s="2">
        <v>32</v>
      </c>
      <c r="E409" s="2" t="s">
        <v>26</v>
      </c>
      <c r="F409" s="2" t="s">
        <v>15</v>
      </c>
      <c r="G409" s="7">
        <v>93.95</v>
      </c>
      <c r="H409" s="7">
        <v>2861.45</v>
      </c>
      <c r="I409" s="2" t="s">
        <v>15</v>
      </c>
      <c r="J409" s="2" t="s">
        <v>16</v>
      </c>
      <c r="K409" s="2" t="s">
        <v>21</v>
      </c>
      <c r="L409" s="7">
        <v>2861.45</v>
      </c>
      <c r="M409" s="2" t="str">
        <f>_xlfn.IFS(TelecomData[[#This Row],[TenureMonths]]&lt;=12, "0-1 Year", TelecomData[[#This Row],[TenureMonths]]&lt;=36, "1-3 Years", TelecomData[[#This Row],[TenureMonths]]&gt;36, "3+ Years")</f>
        <v>1-3 Years</v>
      </c>
      <c r="N409" s="2" t="str">
        <f>IF(TelecomData[[#This Row],[CleanedTotalCharges]]&gt;=2500,"High Spend", "Standard Spend")</f>
        <v>High Spend</v>
      </c>
    </row>
    <row r="410" spans="1:14" x14ac:dyDescent="0.3">
      <c r="A410" s="1" t="s">
        <v>433</v>
      </c>
      <c r="B410" s="2" t="s">
        <v>12</v>
      </c>
      <c r="C410" s="2" t="s">
        <v>13</v>
      </c>
      <c r="D410" s="2">
        <v>1</v>
      </c>
      <c r="E410" s="2" t="s">
        <v>15</v>
      </c>
      <c r="F410" s="2" t="s">
        <v>36</v>
      </c>
      <c r="G410" s="7">
        <v>19.899999999999999</v>
      </c>
      <c r="H410" s="7">
        <v>19.899999999999999</v>
      </c>
      <c r="I410" s="2" t="s">
        <v>16</v>
      </c>
      <c r="J410" s="2" t="s">
        <v>16</v>
      </c>
      <c r="K410" s="2" t="s">
        <v>21</v>
      </c>
      <c r="L410" s="7">
        <v>19.899999999999999</v>
      </c>
      <c r="M410" s="2" t="str">
        <f>_xlfn.IFS(TelecomData[[#This Row],[TenureMonths]]&lt;=12, "0-1 Year", TelecomData[[#This Row],[TenureMonths]]&lt;=36, "1-3 Years", TelecomData[[#This Row],[TenureMonths]]&gt;36, "3+ Years")</f>
        <v>0-1 Year</v>
      </c>
      <c r="N410" s="2" t="str">
        <f>IF(TelecomData[[#This Row],[CleanedTotalCharges]]&gt;=2500,"High Spend", "Standard Spend")</f>
        <v>Standard Spend</v>
      </c>
    </row>
    <row r="411" spans="1:14" x14ac:dyDescent="0.3">
      <c r="A411" s="1" t="s">
        <v>434</v>
      </c>
      <c r="B411" s="2" t="s">
        <v>19</v>
      </c>
      <c r="C411" s="2" t="s">
        <v>13</v>
      </c>
      <c r="D411" s="2">
        <v>1</v>
      </c>
      <c r="E411" s="2" t="s">
        <v>15</v>
      </c>
      <c r="F411" s="2" t="s">
        <v>36</v>
      </c>
      <c r="G411" s="7">
        <v>19.600000000000001</v>
      </c>
      <c r="H411" s="7">
        <v>19.600000000000001</v>
      </c>
      <c r="I411" s="2" t="s">
        <v>16</v>
      </c>
      <c r="J411" s="2" t="s">
        <v>16</v>
      </c>
      <c r="K411" s="2" t="s">
        <v>21</v>
      </c>
      <c r="L411" s="7">
        <v>19.600000000000001</v>
      </c>
      <c r="M411" s="2" t="str">
        <f>_xlfn.IFS(TelecomData[[#This Row],[TenureMonths]]&lt;=12, "0-1 Year", TelecomData[[#This Row],[TenureMonths]]&lt;=36, "1-3 Years", TelecomData[[#This Row],[TenureMonths]]&gt;36, "3+ Years")</f>
        <v>0-1 Year</v>
      </c>
      <c r="N411" s="2" t="str">
        <f>IF(TelecomData[[#This Row],[CleanedTotalCharges]]&gt;=2500,"High Spend", "Standard Spend")</f>
        <v>Standard Spend</v>
      </c>
    </row>
    <row r="412" spans="1:14" x14ac:dyDescent="0.3">
      <c r="A412" s="1" t="s">
        <v>435</v>
      </c>
      <c r="B412" s="2" t="s">
        <v>19</v>
      </c>
      <c r="C412" s="2" t="s">
        <v>13</v>
      </c>
      <c r="D412" s="2">
        <v>3</v>
      </c>
      <c r="E412" s="2" t="s">
        <v>26</v>
      </c>
      <c r="F412" s="2" t="s">
        <v>15</v>
      </c>
      <c r="G412" s="7">
        <v>81.349999999999994</v>
      </c>
      <c r="H412" s="7">
        <v>233.7</v>
      </c>
      <c r="I412" s="2" t="s">
        <v>16</v>
      </c>
      <c r="J412" s="2" t="s">
        <v>16</v>
      </c>
      <c r="K412" s="2" t="s">
        <v>17</v>
      </c>
      <c r="L412" s="7">
        <v>233.7</v>
      </c>
      <c r="M412" s="2" t="str">
        <f>_xlfn.IFS(TelecomData[[#This Row],[TenureMonths]]&lt;=12, "0-1 Year", TelecomData[[#This Row],[TenureMonths]]&lt;=36, "1-3 Years", TelecomData[[#This Row],[TenureMonths]]&gt;36, "3+ Years")</f>
        <v>0-1 Year</v>
      </c>
      <c r="N412" s="2" t="str">
        <f>IF(TelecomData[[#This Row],[CleanedTotalCharges]]&gt;=2500,"High Spend", "Standard Spend")</f>
        <v>Standard Spend</v>
      </c>
    </row>
    <row r="413" spans="1:14" x14ac:dyDescent="0.3">
      <c r="A413" s="1" t="s">
        <v>436</v>
      </c>
      <c r="B413" s="2" t="s">
        <v>12</v>
      </c>
      <c r="C413" s="2" t="s">
        <v>20</v>
      </c>
      <c r="D413" s="2">
        <v>46</v>
      </c>
      <c r="E413" s="2" t="s">
        <v>15</v>
      </c>
      <c r="F413" s="2" t="s">
        <v>36</v>
      </c>
      <c r="G413" s="7">
        <v>24.45</v>
      </c>
      <c r="H413" s="7">
        <v>1066.1500000000001</v>
      </c>
      <c r="I413" s="2" t="s">
        <v>15</v>
      </c>
      <c r="J413" s="2" t="s">
        <v>16</v>
      </c>
      <c r="K413" s="2" t="s">
        <v>24</v>
      </c>
      <c r="L413" s="7">
        <v>1066.1500000000001</v>
      </c>
      <c r="M413" s="2" t="str">
        <f>_xlfn.IFS(TelecomData[[#This Row],[TenureMonths]]&lt;=12, "0-1 Year", TelecomData[[#This Row],[TenureMonths]]&lt;=36, "1-3 Years", TelecomData[[#This Row],[TenureMonths]]&gt;36, "3+ Years")</f>
        <v>3+ Years</v>
      </c>
      <c r="N413" s="2" t="str">
        <f>IF(TelecomData[[#This Row],[CleanedTotalCharges]]&gt;=2500,"High Spend", "Standard Spend")</f>
        <v>Standard Spend</v>
      </c>
    </row>
    <row r="414" spans="1:14" x14ac:dyDescent="0.3">
      <c r="A414" s="1" t="s">
        <v>437</v>
      </c>
      <c r="B414" s="2" t="s">
        <v>12</v>
      </c>
      <c r="C414" s="2" t="s">
        <v>13</v>
      </c>
      <c r="D414" s="2">
        <v>29</v>
      </c>
      <c r="E414" s="2" t="s">
        <v>26</v>
      </c>
      <c r="F414" s="2" t="s">
        <v>15</v>
      </c>
      <c r="G414" s="7">
        <v>74.95</v>
      </c>
      <c r="H414" s="7">
        <v>2149.0500000000002</v>
      </c>
      <c r="I414" s="2" t="s">
        <v>15</v>
      </c>
      <c r="J414" s="2" t="s">
        <v>16</v>
      </c>
      <c r="K414" s="2" t="s">
        <v>17</v>
      </c>
      <c r="L414" s="7">
        <v>2149.0500000000002</v>
      </c>
      <c r="M414" s="2" t="str">
        <f>_xlfn.IFS(TelecomData[[#This Row],[TenureMonths]]&lt;=12, "0-1 Year", TelecomData[[#This Row],[TenureMonths]]&lt;=36, "1-3 Years", TelecomData[[#This Row],[TenureMonths]]&gt;36, "3+ Years")</f>
        <v>1-3 Years</v>
      </c>
      <c r="N414" s="2" t="str">
        <f>IF(TelecomData[[#This Row],[CleanedTotalCharges]]&gt;=2500,"High Spend", "Standard Spend")</f>
        <v>Standard Spend</v>
      </c>
    </row>
    <row r="415" spans="1:14" x14ac:dyDescent="0.3">
      <c r="A415" s="1" t="s">
        <v>438</v>
      </c>
      <c r="B415" s="2" t="s">
        <v>19</v>
      </c>
      <c r="C415" s="2" t="s">
        <v>13</v>
      </c>
      <c r="D415" s="2">
        <v>51</v>
      </c>
      <c r="E415" s="2" t="s">
        <v>26</v>
      </c>
      <c r="F415" s="2" t="s">
        <v>16</v>
      </c>
      <c r="G415" s="7">
        <v>87.35</v>
      </c>
      <c r="H415" s="7">
        <v>4473</v>
      </c>
      <c r="I415" s="2" t="s">
        <v>15</v>
      </c>
      <c r="J415" s="2" t="s">
        <v>16</v>
      </c>
      <c r="K415" s="2" t="s">
        <v>17</v>
      </c>
      <c r="L415" s="7">
        <v>4473</v>
      </c>
      <c r="M415" s="2" t="str">
        <f>_xlfn.IFS(TelecomData[[#This Row],[TenureMonths]]&lt;=12, "0-1 Year", TelecomData[[#This Row],[TenureMonths]]&lt;=36, "1-3 Years", TelecomData[[#This Row],[TenureMonths]]&gt;36, "3+ Years")</f>
        <v>3+ Years</v>
      </c>
      <c r="N415" s="2" t="str">
        <f>IF(TelecomData[[#This Row],[CleanedTotalCharges]]&gt;=2500,"High Spend", "Standard Spend")</f>
        <v>High Spend</v>
      </c>
    </row>
    <row r="416" spans="1:14" x14ac:dyDescent="0.3">
      <c r="A416" s="1" t="s">
        <v>439</v>
      </c>
      <c r="B416" s="2" t="s">
        <v>12</v>
      </c>
      <c r="C416" s="2" t="s">
        <v>13</v>
      </c>
      <c r="D416" s="2">
        <v>48</v>
      </c>
      <c r="E416" s="2" t="s">
        <v>26</v>
      </c>
      <c r="F416" s="2" t="s">
        <v>15</v>
      </c>
      <c r="G416" s="7">
        <v>70.650000000000006</v>
      </c>
      <c r="H416" s="7">
        <v>3545.05</v>
      </c>
      <c r="I416" s="2" t="s">
        <v>15</v>
      </c>
      <c r="J416" s="2" t="s">
        <v>16</v>
      </c>
      <c r="K416" s="2" t="s">
        <v>24</v>
      </c>
      <c r="L416" s="7">
        <v>3545.05</v>
      </c>
      <c r="M416" s="2" t="str">
        <f>_xlfn.IFS(TelecomData[[#This Row],[TenureMonths]]&lt;=12, "0-1 Year", TelecomData[[#This Row],[TenureMonths]]&lt;=36, "1-3 Years", TelecomData[[#This Row],[TenureMonths]]&gt;36, "3+ Years")</f>
        <v>3+ Years</v>
      </c>
      <c r="N416" s="2" t="str">
        <f>IF(TelecomData[[#This Row],[CleanedTotalCharges]]&gt;=2500,"High Spend", "Standard Spend")</f>
        <v>High Spend</v>
      </c>
    </row>
    <row r="417" spans="1:14" x14ac:dyDescent="0.3">
      <c r="A417" s="1" t="s">
        <v>440</v>
      </c>
      <c r="B417" s="2" t="s">
        <v>12</v>
      </c>
      <c r="C417" s="2" t="s">
        <v>13</v>
      </c>
      <c r="D417" s="2">
        <v>16</v>
      </c>
      <c r="E417" s="2" t="s">
        <v>26</v>
      </c>
      <c r="F417" s="2" t="s">
        <v>15</v>
      </c>
      <c r="G417" s="7">
        <v>73.25</v>
      </c>
      <c r="H417" s="7">
        <v>1195.75</v>
      </c>
      <c r="I417" s="2" t="s">
        <v>15</v>
      </c>
      <c r="J417" s="2" t="s">
        <v>15</v>
      </c>
      <c r="K417" s="2" t="s">
        <v>24</v>
      </c>
      <c r="L417" s="7">
        <v>1195.75</v>
      </c>
      <c r="M417" s="2" t="str">
        <f>_xlfn.IFS(TelecomData[[#This Row],[TenureMonths]]&lt;=12, "0-1 Year", TelecomData[[#This Row],[TenureMonths]]&lt;=36, "1-3 Years", TelecomData[[#This Row],[TenureMonths]]&gt;36, "3+ Years")</f>
        <v>1-3 Years</v>
      </c>
      <c r="N417" s="2" t="str">
        <f>IF(TelecomData[[#This Row],[CleanedTotalCharges]]&gt;=2500,"High Spend", "Standard Spend")</f>
        <v>Standard Spend</v>
      </c>
    </row>
    <row r="418" spans="1:14" x14ac:dyDescent="0.3">
      <c r="A418" s="1" t="s">
        <v>441</v>
      </c>
      <c r="B418" s="2" t="s">
        <v>19</v>
      </c>
      <c r="C418" s="2" t="s">
        <v>35</v>
      </c>
      <c r="D418" s="2">
        <v>70</v>
      </c>
      <c r="E418" s="2" t="s">
        <v>26</v>
      </c>
      <c r="F418" s="2" t="s">
        <v>16</v>
      </c>
      <c r="G418" s="7">
        <v>98.7</v>
      </c>
      <c r="H418" s="7">
        <v>6858.9</v>
      </c>
      <c r="I418" s="2" t="s">
        <v>15</v>
      </c>
      <c r="J418" s="2" t="s">
        <v>16</v>
      </c>
      <c r="K418" s="2" t="s">
        <v>24</v>
      </c>
      <c r="L418" s="7">
        <v>6858.9</v>
      </c>
      <c r="M418" s="2" t="str">
        <f>_xlfn.IFS(TelecomData[[#This Row],[TenureMonths]]&lt;=12, "0-1 Year", TelecomData[[#This Row],[TenureMonths]]&lt;=36, "1-3 Years", TelecomData[[#This Row],[TenureMonths]]&gt;36, "3+ Years")</f>
        <v>3+ Years</v>
      </c>
      <c r="N418" s="2" t="str">
        <f>IF(TelecomData[[#This Row],[CleanedTotalCharges]]&gt;=2500,"High Spend", "Standard Spend")</f>
        <v>High Spend</v>
      </c>
    </row>
    <row r="419" spans="1:14" x14ac:dyDescent="0.3">
      <c r="A419" s="1" t="s">
        <v>442</v>
      </c>
      <c r="B419" s="2" t="s">
        <v>12</v>
      </c>
      <c r="C419" s="2" t="s">
        <v>35</v>
      </c>
      <c r="D419" s="2">
        <v>40</v>
      </c>
      <c r="E419" s="2" t="s">
        <v>15</v>
      </c>
      <c r="F419" s="2" t="s">
        <v>36</v>
      </c>
      <c r="G419" s="7">
        <v>24.8</v>
      </c>
      <c r="H419" s="7">
        <v>1024.7</v>
      </c>
      <c r="I419" s="2" t="s">
        <v>15</v>
      </c>
      <c r="J419" s="2" t="s">
        <v>16</v>
      </c>
      <c r="K419" s="2" t="s">
        <v>21</v>
      </c>
      <c r="L419" s="7">
        <v>1024.7</v>
      </c>
      <c r="M419" s="2" t="str">
        <f>_xlfn.IFS(TelecomData[[#This Row],[TenureMonths]]&lt;=12, "0-1 Year", TelecomData[[#This Row],[TenureMonths]]&lt;=36, "1-3 Years", TelecomData[[#This Row],[TenureMonths]]&gt;36, "3+ Years")</f>
        <v>3+ Years</v>
      </c>
      <c r="N419" s="2" t="str">
        <f>IF(TelecomData[[#This Row],[CleanedTotalCharges]]&gt;=2500,"High Spend", "Standard Spend")</f>
        <v>Standard Spend</v>
      </c>
    </row>
    <row r="420" spans="1:14" x14ac:dyDescent="0.3">
      <c r="A420" s="1" t="s">
        <v>443</v>
      </c>
      <c r="B420" s="2" t="s">
        <v>12</v>
      </c>
      <c r="C420" s="2" t="s">
        <v>13</v>
      </c>
      <c r="D420" s="2">
        <v>22</v>
      </c>
      <c r="E420" s="2" t="s">
        <v>26</v>
      </c>
      <c r="F420" s="2" t="s">
        <v>15</v>
      </c>
      <c r="G420" s="7">
        <v>83.3</v>
      </c>
      <c r="H420" s="7">
        <v>1845.9</v>
      </c>
      <c r="I420" s="2" t="s">
        <v>16</v>
      </c>
      <c r="J420" s="2" t="s">
        <v>15</v>
      </c>
      <c r="K420" s="2" t="s">
        <v>17</v>
      </c>
      <c r="L420" s="7">
        <v>1845.9</v>
      </c>
      <c r="M420" s="2" t="str">
        <f>_xlfn.IFS(TelecomData[[#This Row],[TenureMonths]]&lt;=12, "0-1 Year", TelecomData[[#This Row],[TenureMonths]]&lt;=36, "1-3 Years", TelecomData[[#This Row],[TenureMonths]]&gt;36, "3+ Years")</f>
        <v>1-3 Years</v>
      </c>
      <c r="N420" s="2" t="str">
        <f>IF(TelecomData[[#This Row],[CleanedTotalCharges]]&gt;=2500,"High Spend", "Standard Spend")</f>
        <v>Standard Spend</v>
      </c>
    </row>
    <row r="421" spans="1:14" x14ac:dyDescent="0.3">
      <c r="A421" s="1" t="s">
        <v>444</v>
      </c>
      <c r="B421" s="2" t="s">
        <v>12</v>
      </c>
      <c r="C421" s="2" t="s">
        <v>13</v>
      </c>
      <c r="D421" s="2">
        <v>1</v>
      </c>
      <c r="E421" s="2" t="s">
        <v>26</v>
      </c>
      <c r="F421" s="2" t="s">
        <v>15</v>
      </c>
      <c r="G421" s="7">
        <v>75.3</v>
      </c>
      <c r="H421" s="7">
        <v>75.3</v>
      </c>
      <c r="I421" s="2" t="s">
        <v>16</v>
      </c>
      <c r="J421" s="2" t="s">
        <v>16</v>
      </c>
      <c r="K421" s="2" t="s">
        <v>24</v>
      </c>
      <c r="L421" s="7">
        <v>75.3</v>
      </c>
      <c r="M421" s="2" t="str">
        <f>_xlfn.IFS(TelecomData[[#This Row],[TenureMonths]]&lt;=12, "0-1 Year", TelecomData[[#This Row],[TenureMonths]]&lt;=36, "1-3 Years", TelecomData[[#This Row],[TenureMonths]]&gt;36, "3+ Years")</f>
        <v>0-1 Year</v>
      </c>
      <c r="N421" s="2" t="str">
        <f>IF(TelecomData[[#This Row],[CleanedTotalCharges]]&gt;=2500,"High Spend", "Standard Spend")</f>
        <v>Standard Spend</v>
      </c>
    </row>
    <row r="422" spans="1:14" x14ac:dyDescent="0.3">
      <c r="A422" s="1" t="s">
        <v>445</v>
      </c>
      <c r="B422" s="2" t="s">
        <v>12</v>
      </c>
      <c r="C422" s="2" t="s">
        <v>13</v>
      </c>
      <c r="D422" s="2">
        <v>5</v>
      </c>
      <c r="E422" s="2" t="s">
        <v>15</v>
      </c>
      <c r="F422" s="2" t="s">
        <v>36</v>
      </c>
      <c r="G422" s="7">
        <v>24.3</v>
      </c>
      <c r="H422" s="7">
        <v>132.25</v>
      </c>
      <c r="I422" s="2" t="s">
        <v>15</v>
      </c>
      <c r="J422" s="2" t="s">
        <v>16</v>
      </c>
      <c r="K422" s="2" t="s">
        <v>21</v>
      </c>
      <c r="L422" s="7">
        <v>132.25</v>
      </c>
      <c r="M422" s="2" t="str">
        <f>_xlfn.IFS(TelecomData[[#This Row],[TenureMonths]]&lt;=12, "0-1 Year", TelecomData[[#This Row],[TenureMonths]]&lt;=36, "1-3 Years", TelecomData[[#This Row],[TenureMonths]]&gt;36, "3+ Years")</f>
        <v>0-1 Year</v>
      </c>
      <c r="N422" s="2" t="str">
        <f>IF(TelecomData[[#This Row],[CleanedTotalCharges]]&gt;=2500,"High Spend", "Standard Spend")</f>
        <v>Standard Spend</v>
      </c>
    </row>
    <row r="423" spans="1:14" x14ac:dyDescent="0.3">
      <c r="A423" s="1" t="s">
        <v>446</v>
      </c>
      <c r="B423" s="2" t="s">
        <v>12</v>
      </c>
      <c r="C423" s="2" t="s">
        <v>13</v>
      </c>
      <c r="D423" s="2">
        <v>7</v>
      </c>
      <c r="E423" s="2" t="s">
        <v>26</v>
      </c>
      <c r="F423" s="2" t="s">
        <v>15</v>
      </c>
      <c r="G423" s="7">
        <v>69.849999999999994</v>
      </c>
      <c r="H423" s="7">
        <v>515.45000000000005</v>
      </c>
      <c r="I423" s="2" t="s">
        <v>15</v>
      </c>
      <c r="J423" s="2" t="s">
        <v>16</v>
      </c>
      <c r="K423" s="2" t="s">
        <v>24</v>
      </c>
      <c r="L423" s="7">
        <v>515.45000000000005</v>
      </c>
      <c r="M423" s="2" t="str">
        <f>_xlfn.IFS(TelecomData[[#This Row],[TenureMonths]]&lt;=12, "0-1 Year", TelecomData[[#This Row],[TenureMonths]]&lt;=36, "1-3 Years", TelecomData[[#This Row],[TenureMonths]]&gt;36, "3+ Years")</f>
        <v>0-1 Year</v>
      </c>
      <c r="N423" s="2" t="str">
        <f>IF(TelecomData[[#This Row],[CleanedTotalCharges]]&gt;=2500,"High Spend", "Standard Spend")</f>
        <v>Standard Spend</v>
      </c>
    </row>
    <row r="424" spans="1:14" x14ac:dyDescent="0.3">
      <c r="A424" s="1" t="s">
        <v>447</v>
      </c>
      <c r="B424" s="2" t="s">
        <v>19</v>
      </c>
      <c r="C424" s="2" t="s">
        <v>20</v>
      </c>
      <c r="D424" s="2">
        <v>29</v>
      </c>
      <c r="E424" s="2" t="s">
        <v>26</v>
      </c>
      <c r="F424" s="2" t="s">
        <v>16</v>
      </c>
      <c r="G424" s="7">
        <v>100.55</v>
      </c>
      <c r="H424" s="7">
        <v>2830.45</v>
      </c>
      <c r="I424" s="2" t="s">
        <v>15</v>
      </c>
      <c r="J424" s="2" t="s">
        <v>15</v>
      </c>
      <c r="K424" s="2" t="s">
        <v>29</v>
      </c>
      <c r="L424" s="7">
        <v>2830.45</v>
      </c>
      <c r="M424" s="2" t="str">
        <f>_xlfn.IFS(TelecomData[[#This Row],[TenureMonths]]&lt;=12, "0-1 Year", TelecomData[[#This Row],[TenureMonths]]&lt;=36, "1-3 Years", TelecomData[[#This Row],[TenureMonths]]&gt;36, "3+ Years")</f>
        <v>1-3 Years</v>
      </c>
      <c r="N424" s="2" t="str">
        <f>IF(TelecomData[[#This Row],[CleanedTotalCharges]]&gt;=2500,"High Spend", "Standard Spend")</f>
        <v>High Spend</v>
      </c>
    </row>
    <row r="425" spans="1:14" x14ac:dyDescent="0.3">
      <c r="A425" s="1" t="s">
        <v>448</v>
      </c>
      <c r="B425" s="2" t="s">
        <v>19</v>
      </c>
      <c r="C425" s="2" t="s">
        <v>20</v>
      </c>
      <c r="D425" s="2">
        <v>44</v>
      </c>
      <c r="E425" s="2" t="s">
        <v>15</v>
      </c>
      <c r="F425" s="2" t="s">
        <v>36</v>
      </c>
      <c r="G425" s="7">
        <v>25.7</v>
      </c>
      <c r="H425" s="7">
        <v>1110.5</v>
      </c>
      <c r="I425" s="2" t="s">
        <v>15</v>
      </c>
      <c r="J425" s="2" t="s">
        <v>15</v>
      </c>
      <c r="K425" s="2" t="s">
        <v>21</v>
      </c>
      <c r="L425" s="7">
        <v>1110.5</v>
      </c>
      <c r="M425" s="2" t="str">
        <f>_xlfn.IFS(TelecomData[[#This Row],[TenureMonths]]&lt;=12, "0-1 Year", TelecomData[[#This Row],[TenureMonths]]&lt;=36, "1-3 Years", TelecomData[[#This Row],[TenureMonths]]&gt;36, "3+ Years")</f>
        <v>3+ Years</v>
      </c>
      <c r="N425" s="2" t="str">
        <f>IF(TelecomData[[#This Row],[CleanedTotalCharges]]&gt;=2500,"High Spend", "Standard Spend")</f>
        <v>Standard Spend</v>
      </c>
    </row>
    <row r="426" spans="1:14" x14ac:dyDescent="0.3">
      <c r="A426" s="1" t="s">
        <v>449</v>
      </c>
      <c r="B426" s="2" t="s">
        <v>12</v>
      </c>
      <c r="C426" s="2" t="s">
        <v>13</v>
      </c>
      <c r="D426" s="2">
        <v>10</v>
      </c>
      <c r="E426" s="2" t="s">
        <v>14</v>
      </c>
      <c r="F426" s="2" t="s">
        <v>15</v>
      </c>
      <c r="G426" s="7">
        <v>40.700000000000003</v>
      </c>
      <c r="H426" s="7">
        <v>449.3</v>
      </c>
      <c r="I426" s="2" t="s">
        <v>15</v>
      </c>
      <c r="J426" s="2" t="s">
        <v>15</v>
      </c>
      <c r="K426" s="2" t="s">
        <v>24</v>
      </c>
      <c r="L426" s="7">
        <v>449.3</v>
      </c>
      <c r="M426" s="2" t="str">
        <f>_xlfn.IFS(TelecomData[[#This Row],[TenureMonths]]&lt;=12, "0-1 Year", TelecomData[[#This Row],[TenureMonths]]&lt;=36, "1-3 Years", TelecomData[[#This Row],[TenureMonths]]&gt;36, "3+ Years")</f>
        <v>0-1 Year</v>
      </c>
      <c r="N426" s="2" t="str">
        <f>IF(TelecomData[[#This Row],[CleanedTotalCharges]]&gt;=2500,"High Spend", "Standard Spend")</f>
        <v>Standard Spend</v>
      </c>
    </row>
    <row r="427" spans="1:14" x14ac:dyDescent="0.3">
      <c r="A427" s="1" t="s">
        <v>450</v>
      </c>
      <c r="B427" s="2" t="s">
        <v>12</v>
      </c>
      <c r="C427" s="2" t="s">
        <v>13</v>
      </c>
      <c r="D427" s="2">
        <v>55</v>
      </c>
      <c r="E427" s="2" t="s">
        <v>14</v>
      </c>
      <c r="F427" s="2" t="s">
        <v>15</v>
      </c>
      <c r="G427" s="7">
        <v>51.65</v>
      </c>
      <c r="H427" s="7">
        <v>2838.55</v>
      </c>
      <c r="I427" s="2" t="s">
        <v>15</v>
      </c>
      <c r="J427" s="2" t="s">
        <v>15</v>
      </c>
      <c r="K427" s="2" t="s">
        <v>24</v>
      </c>
      <c r="L427" s="7">
        <v>2838.55</v>
      </c>
      <c r="M427" s="2" t="str">
        <f>_xlfn.IFS(TelecomData[[#This Row],[TenureMonths]]&lt;=12, "0-1 Year", TelecomData[[#This Row],[TenureMonths]]&lt;=36, "1-3 Years", TelecomData[[#This Row],[TenureMonths]]&gt;36, "3+ Years")</f>
        <v>3+ Years</v>
      </c>
      <c r="N427" s="2" t="str">
        <f>IF(TelecomData[[#This Row],[CleanedTotalCharges]]&gt;=2500,"High Spend", "Standard Spend")</f>
        <v>High Spend</v>
      </c>
    </row>
    <row r="428" spans="1:14" x14ac:dyDescent="0.3">
      <c r="A428" s="1" t="s">
        <v>451</v>
      </c>
      <c r="B428" s="2" t="s">
        <v>19</v>
      </c>
      <c r="C428" s="2" t="s">
        <v>20</v>
      </c>
      <c r="D428" s="2">
        <v>52</v>
      </c>
      <c r="E428" s="2" t="s">
        <v>26</v>
      </c>
      <c r="F428" s="2" t="s">
        <v>15</v>
      </c>
      <c r="G428" s="7">
        <v>105.1</v>
      </c>
      <c r="H428" s="7">
        <v>5376.4</v>
      </c>
      <c r="I428" s="2" t="s">
        <v>15</v>
      </c>
      <c r="J428" s="2" t="s">
        <v>16</v>
      </c>
      <c r="K428" s="2" t="s">
        <v>24</v>
      </c>
      <c r="L428" s="7">
        <v>5376.4</v>
      </c>
      <c r="M428" s="2" t="str">
        <f>_xlfn.IFS(TelecomData[[#This Row],[TenureMonths]]&lt;=12, "0-1 Year", TelecomData[[#This Row],[TenureMonths]]&lt;=36, "1-3 Years", TelecomData[[#This Row],[TenureMonths]]&gt;36, "3+ Years")</f>
        <v>3+ Years</v>
      </c>
      <c r="N428" s="2" t="str">
        <f>IF(TelecomData[[#This Row],[CleanedTotalCharges]]&gt;=2500,"High Spend", "Standard Spend")</f>
        <v>High Spend</v>
      </c>
    </row>
    <row r="429" spans="1:14" x14ac:dyDescent="0.3">
      <c r="A429" s="1" t="s">
        <v>452</v>
      </c>
      <c r="B429" s="2" t="s">
        <v>12</v>
      </c>
      <c r="C429" s="2" t="s">
        <v>13</v>
      </c>
      <c r="D429" s="2">
        <v>10</v>
      </c>
      <c r="E429" s="2" t="s">
        <v>26</v>
      </c>
      <c r="F429" s="2" t="s">
        <v>15</v>
      </c>
      <c r="G429" s="7">
        <v>85.95</v>
      </c>
      <c r="H429" s="7">
        <v>858.6</v>
      </c>
      <c r="I429" s="2" t="s">
        <v>15</v>
      </c>
      <c r="J429" s="2" t="s">
        <v>15</v>
      </c>
      <c r="K429" s="2" t="s">
        <v>17</v>
      </c>
      <c r="L429" s="7">
        <v>858.6</v>
      </c>
      <c r="M429" s="2" t="str">
        <f>_xlfn.IFS(TelecomData[[#This Row],[TenureMonths]]&lt;=12, "0-1 Year", TelecomData[[#This Row],[TenureMonths]]&lt;=36, "1-3 Years", TelecomData[[#This Row],[TenureMonths]]&gt;36, "3+ Years")</f>
        <v>0-1 Year</v>
      </c>
      <c r="N429" s="2" t="str">
        <f>IF(TelecomData[[#This Row],[CleanedTotalCharges]]&gt;=2500,"High Spend", "Standard Spend")</f>
        <v>Standard Spend</v>
      </c>
    </row>
    <row r="430" spans="1:14" x14ac:dyDescent="0.3">
      <c r="A430" s="1" t="s">
        <v>453</v>
      </c>
      <c r="B430" s="2" t="s">
        <v>19</v>
      </c>
      <c r="C430" s="2" t="s">
        <v>13</v>
      </c>
      <c r="D430" s="2">
        <v>18</v>
      </c>
      <c r="E430" s="2" t="s">
        <v>26</v>
      </c>
      <c r="F430" s="2" t="s">
        <v>15</v>
      </c>
      <c r="G430" s="7">
        <v>75.599999999999994</v>
      </c>
      <c r="H430" s="7">
        <v>1395.05</v>
      </c>
      <c r="I430" s="2" t="s">
        <v>15</v>
      </c>
      <c r="J430" s="2" t="s">
        <v>16</v>
      </c>
      <c r="K430" s="2" t="s">
        <v>24</v>
      </c>
      <c r="L430" s="7">
        <v>1395.05</v>
      </c>
      <c r="M430" s="2" t="str">
        <f>_xlfn.IFS(TelecomData[[#This Row],[TenureMonths]]&lt;=12, "0-1 Year", TelecomData[[#This Row],[TenureMonths]]&lt;=36, "1-3 Years", TelecomData[[#This Row],[TenureMonths]]&gt;36, "3+ Years")</f>
        <v>1-3 Years</v>
      </c>
      <c r="N430" s="2" t="str">
        <f>IF(TelecomData[[#This Row],[CleanedTotalCharges]]&gt;=2500,"High Spend", "Standard Spend")</f>
        <v>Standard Spend</v>
      </c>
    </row>
    <row r="431" spans="1:14" x14ac:dyDescent="0.3">
      <c r="A431" s="1" t="s">
        <v>454</v>
      </c>
      <c r="B431" s="2" t="s">
        <v>12</v>
      </c>
      <c r="C431" s="2" t="s">
        <v>20</v>
      </c>
      <c r="D431" s="2">
        <v>68</v>
      </c>
      <c r="E431" s="2" t="s">
        <v>14</v>
      </c>
      <c r="F431" s="2" t="s">
        <v>16</v>
      </c>
      <c r="G431" s="7">
        <v>58.25</v>
      </c>
      <c r="H431" s="7">
        <v>3975.7</v>
      </c>
      <c r="I431" s="2" t="s">
        <v>15</v>
      </c>
      <c r="J431" s="2" t="s">
        <v>15</v>
      </c>
      <c r="K431" s="2" t="s">
        <v>24</v>
      </c>
      <c r="L431" s="7">
        <v>3975.7</v>
      </c>
      <c r="M431" s="2" t="str">
        <f>_xlfn.IFS(TelecomData[[#This Row],[TenureMonths]]&lt;=12, "0-1 Year", TelecomData[[#This Row],[TenureMonths]]&lt;=36, "1-3 Years", TelecomData[[#This Row],[TenureMonths]]&gt;36, "3+ Years")</f>
        <v>3+ Years</v>
      </c>
      <c r="N431" s="2" t="str">
        <f>IF(TelecomData[[#This Row],[CleanedTotalCharges]]&gt;=2500,"High Spend", "Standard Spend")</f>
        <v>High Spend</v>
      </c>
    </row>
    <row r="432" spans="1:14" x14ac:dyDescent="0.3">
      <c r="A432" s="1" t="s">
        <v>455</v>
      </c>
      <c r="B432" s="2" t="s">
        <v>12</v>
      </c>
      <c r="C432" s="2" t="s">
        <v>13</v>
      </c>
      <c r="D432" s="2">
        <v>61</v>
      </c>
      <c r="E432" s="2" t="s">
        <v>15</v>
      </c>
      <c r="F432" s="2" t="s">
        <v>36</v>
      </c>
      <c r="G432" s="7">
        <v>19.399999999999999</v>
      </c>
      <c r="H432" s="7">
        <v>1182.55</v>
      </c>
      <c r="I432" s="2" t="s">
        <v>16</v>
      </c>
      <c r="J432" s="2" t="s">
        <v>16</v>
      </c>
      <c r="K432" s="2" t="s">
        <v>21</v>
      </c>
      <c r="L432" s="7">
        <v>1182.55</v>
      </c>
      <c r="M432" s="2" t="str">
        <f>_xlfn.IFS(TelecomData[[#This Row],[TenureMonths]]&lt;=12, "0-1 Year", TelecomData[[#This Row],[TenureMonths]]&lt;=36, "1-3 Years", TelecomData[[#This Row],[TenureMonths]]&gt;36, "3+ Years")</f>
        <v>3+ Years</v>
      </c>
      <c r="N432" s="2" t="str">
        <f>IF(TelecomData[[#This Row],[CleanedTotalCharges]]&gt;=2500,"High Spend", "Standard Spend")</f>
        <v>Standard Spend</v>
      </c>
    </row>
    <row r="433" spans="1:14" x14ac:dyDescent="0.3">
      <c r="A433" s="1" t="s">
        <v>456</v>
      </c>
      <c r="B433" s="2" t="s">
        <v>12</v>
      </c>
      <c r="C433" s="2" t="s">
        <v>35</v>
      </c>
      <c r="D433" s="2">
        <v>72</v>
      </c>
      <c r="E433" s="2" t="s">
        <v>14</v>
      </c>
      <c r="F433" s="2" t="s">
        <v>16</v>
      </c>
      <c r="G433" s="7">
        <v>65.2</v>
      </c>
      <c r="H433" s="7">
        <v>4784.45</v>
      </c>
      <c r="I433" s="2" t="s">
        <v>15</v>
      </c>
      <c r="J433" s="2" t="s">
        <v>16</v>
      </c>
      <c r="K433" s="2" t="s">
        <v>29</v>
      </c>
      <c r="L433" s="7">
        <v>4784.45</v>
      </c>
      <c r="M433" s="2" t="str">
        <f>_xlfn.IFS(TelecomData[[#This Row],[TenureMonths]]&lt;=12, "0-1 Year", TelecomData[[#This Row],[TenureMonths]]&lt;=36, "1-3 Years", TelecomData[[#This Row],[TenureMonths]]&gt;36, "3+ Years")</f>
        <v>3+ Years</v>
      </c>
      <c r="N433" s="2" t="str">
        <f>IF(TelecomData[[#This Row],[CleanedTotalCharges]]&gt;=2500,"High Spend", "Standard Spend")</f>
        <v>High Spend</v>
      </c>
    </row>
    <row r="434" spans="1:14" x14ac:dyDescent="0.3">
      <c r="A434" s="1" t="s">
        <v>457</v>
      </c>
      <c r="B434" s="2" t="s">
        <v>19</v>
      </c>
      <c r="C434" s="2" t="s">
        <v>13</v>
      </c>
      <c r="D434" s="2">
        <v>2</v>
      </c>
      <c r="E434" s="2" t="s">
        <v>14</v>
      </c>
      <c r="F434" s="2" t="s">
        <v>15</v>
      </c>
      <c r="G434" s="7">
        <v>53.45</v>
      </c>
      <c r="H434" s="7">
        <v>119.5</v>
      </c>
      <c r="I434" s="2" t="s">
        <v>15</v>
      </c>
      <c r="J434" s="2" t="s">
        <v>15</v>
      </c>
      <c r="K434" s="2" t="s">
        <v>17</v>
      </c>
      <c r="L434" s="7">
        <v>119.5</v>
      </c>
      <c r="M434" s="2" t="str">
        <f>_xlfn.IFS(TelecomData[[#This Row],[TenureMonths]]&lt;=12, "0-1 Year", TelecomData[[#This Row],[TenureMonths]]&lt;=36, "1-3 Years", TelecomData[[#This Row],[TenureMonths]]&gt;36, "3+ Years")</f>
        <v>0-1 Year</v>
      </c>
      <c r="N434" s="2" t="str">
        <f>IF(TelecomData[[#This Row],[CleanedTotalCharges]]&gt;=2500,"High Spend", "Standard Spend")</f>
        <v>Standard Spend</v>
      </c>
    </row>
    <row r="435" spans="1:14" x14ac:dyDescent="0.3">
      <c r="A435" s="1" t="s">
        <v>458</v>
      </c>
      <c r="B435" s="2" t="s">
        <v>19</v>
      </c>
      <c r="C435" s="2" t="s">
        <v>13</v>
      </c>
      <c r="D435" s="2">
        <v>12</v>
      </c>
      <c r="E435" s="2" t="s">
        <v>14</v>
      </c>
      <c r="F435" s="2" t="s">
        <v>15</v>
      </c>
      <c r="G435" s="7">
        <v>45.4</v>
      </c>
      <c r="H435" s="7">
        <v>518.9</v>
      </c>
      <c r="I435" s="2" t="s">
        <v>16</v>
      </c>
      <c r="J435" s="2" t="s">
        <v>16</v>
      </c>
      <c r="K435" s="2" t="s">
        <v>24</v>
      </c>
      <c r="L435" s="7">
        <v>518.9</v>
      </c>
      <c r="M435" s="2" t="str">
        <f>_xlfn.IFS(TelecomData[[#This Row],[TenureMonths]]&lt;=12, "0-1 Year", TelecomData[[#This Row],[TenureMonths]]&lt;=36, "1-3 Years", TelecomData[[#This Row],[TenureMonths]]&gt;36, "3+ Years")</f>
        <v>0-1 Year</v>
      </c>
      <c r="N435" s="2" t="str">
        <f>IF(TelecomData[[#This Row],[CleanedTotalCharges]]&gt;=2500,"High Spend", "Standard Spend")</f>
        <v>Standard Spend</v>
      </c>
    </row>
    <row r="436" spans="1:14" x14ac:dyDescent="0.3">
      <c r="A436" s="1" t="s">
        <v>459</v>
      </c>
      <c r="B436" s="2" t="s">
        <v>19</v>
      </c>
      <c r="C436" s="2" t="s">
        <v>35</v>
      </c>
      <c r="D436" s="2">
        <v>41</v>
      </c>
      <c r="E436" s="2" t="s">
        <v>15</v>
      </c>
      <c r="F436" s="2" t="s">
        <v>36</v>
      </c>
      <c r="G436" s="7">
        <v>19.75</v>
      </c>
      <c r="H436" s="7">
        <v>899.45</v>
      </c>
      <c r="I436" s="2" t="s">
        <v>15</v>
      </c>
      <c r="J436" s="2" t="s">
        <v>16</v>
      </c>
      <c r="K436" s="2" t="s">
        <v>17</v>
      </c>
      <c r="L436" s="7">
        <v>899.45</v>
      </c>
      <c r="M436" s="2" t="str">
        <f>_xlfn.IFS(TelecomData[[#This Row],[TenureMonths]]&lt;=12, "0-1 Year", TelecomData[[#This Row],[TenureMonths]]&lt;=36, "1-3 Years", TelecomData[[#This Row],[TenureMonths]]&gt;36, "3+ Years")</f>
        <v>3+ Years</v>
      </c>
      <c r="N436" s="2" t="str">
        <f>IF(TelecomData[[#This Row],[CleanedTotalCharges]]&gt;=2500,"High Spend", "Standard Spend")</f>
        <v>Standard Spend</v>
      </c>
    </row>
    <row r="437" spans="1:14" x14ac:dyDescent="0.3">
      <c r="A437" s="1" t="s">
        <v>460</v>
      </c>
      <c r="B437" s="2" t="s">
        <v>12</v>
      </c>
      <c r="C437" s="2" t="s">
        <v>13</v>
      </c>
      <c r="D437" s="2">
        <v>26</v>
      </c>
      <c r="E437" s="2" t="s">
        <v>14</v>
      </c>
      <c r="F437" s="2" t="s">
        <v>16</v>
      </c>
      <c r="G437" s="7">
        <v>44.45</v>
      </c>
      <c r="H437" s="7">
        <v>1183.8</v>
      </c>
      <c r="I437" s="2" t="s">
        <v>15</v>
      </c>
      <c r="J437" s="2" t="s">
        <v>16</v>
      </c>
      <c r="K437" s="2" t="s">
        <v>29</v>
      </c>
      <c r="L437" s="7">
        <v>1183.8</v>
      </c>
      <c r="M437" s="2" t="str">
        <f>_xlfn.IFS(TelecomData[[#This Row],[TenureMonths]]&lt;=12, "0-1 Year", TelecomData[[#This Row],[TenureMonths]]&lt;=36, "1-3 Years", TelecomData[[#This Row],[TenureMonths]]&gt;36, "3+ Years")</f>
        <v>1-3 Years</v>
      </c>
      <c r="N437" s="2" t="str">
        <f>IF(TelecomData[[#This Row],[CleanedTotalCharges]]&gt;=2500,"High Spend", "Standard Spend")</f>
        <v>Standard Spend</v>
      </c>
    </row>
    <row r="438" spans="1:14" x14ac:dyDescent="0.3">
      <c r="A438" s="1" t="s">
        <v>461</v>
      </c>
      <c r="B438" s="2" t="s">
        <v>19</v>
      </c>
      <c r="C438" s="2" t="s">
        <v>20</v>
      </c>
      <c r="D438" s="2">
        <v>36</v>
      </c>
      <c r="E438" s="2" t="s">
        <v>15</v>
      </c>
      <c r="F438" s="2" t="s">
        <v>36</v>
      </c>
      <c r="G438" s="7">
        <v>20.85</v>
      </c>
      <c r="H438" s="7">
        <v>720.05</v>
      </c>
      <c r="I438" s="2" t="s">
        <v>15</v>
      </c>
      <c r="J438" s="2" t="s">
        <v>15</v>
      </c>
      <c r="K438" s="2" t="s">
        <v>24</v>
      </c>
      <c r="L438" s="7">
        <v>720.05</v>
      </c>
      <c r="M438" s="2" t="str">
        <f>_xlfn.IFS(TelecomData[[#This Row],[TenureMonths]]&lt;=12, "0-1 Year", TelecomData[[#This Row],[TenureMonths]]&lt;=36, "1-3 Years", TelecomData[[#This Row],[TenureMonths]]&gt;36, "3+ Years")</f>
        <v>1-3 Years</v>
      </c>
      <c r="N438" s="2" t="str">
        <f>IF(TelecomData[[#This Row],[CleanedTotalCharges]]&gt;=2500,"High Spend", "Standard Spend")</f>
        <v>Standard Spend</v>
      </c>
    </row>
    <row r="439" spans="1:14" x14ac:dyDescent="0.3">
      <c r="A439" s="1" t="s">
        <v>462</v>
      </c>
      <c r="B439" s="2" t="s">
        <v>19</v>
      </c>
      <c r="C439" s="2" t="s">
        <v>35</v>
      </c>
      <c r="D439" s="2">
        <v>72</v>
      </c>
      <c r="E439" s="2" t="s">
        <v>26</v>
      </c>
      <c r="F439" s="2" t="s">
        <v>16</v>
      </c>
      <c r="G439" s="7">
        <v>114.05</v>
      </c>
      <c r="H439" s="7">
        <v>8468.2000000000007</v>
      </c>
      <c r="I439" s="2" t="s">
        <v>15</v>
      </c>
      <c r="J439" s="2" t="s">
        <v>16</v>
      </c>
      <c r="K439" s="2" t="s">
        <v>29</v>
      </c>
      <c r="L439" s="7">
        <v>8468.2000000000007</v>
      </c>
      <c r="M439" s="2" t="str">
        <f>_xlfn.IFS(TelecomData[[#This Row],[TenureMonths]]&lt;=12, "0-1 Year", TelecomData[[#This Row],[TenureMonths]]&lt;=36, "1-3 Years", TelecomData[[#This Row],[TenureMonths]]&gt;36, "3+ Years")</f>
        <v>3+ Years</v>
      </c>
      <c r="N439" s="2" t="str">
        <f>IF(TelecomData[[#This Row],[CleanedTotalCharges]]&gt;=2500,"High Spend", "Standard Spend")</f>
        <v>High Spend</v>
      </c>
    </row>
    <row r="440" spans="1:14" x14ac:dyDescent="0.3">
      <c r="A440" s="1" t="s">
        <v>463</v>
      </c>
      <c r="B440" s="2" t="s">
        <v>19</v>
      </c>
      <c r="C440" s="2" t="s">
        <v>13</v>
      </c>
      <c r="D440" s="2">
        <v>35</v>
      </c>
      <c r="E440" s="2" t="s">
        <v>26</v>
      </c>
      <c r="F440" s="2" t="s">
        <v>16</v>
      </c>
      <c r="G440" s="7">
        <v>89.85</v>
      </c>
      <c r="H440" s="7">
        <v>3161.2</v>
      </c>
      <c r="I440" s="2" t="s">
        <v>15</v>
      </c>
      <c r="J440" s="2" t="s">
        <v>16</v>
      </c>
      <c r="K440" s="2" t="s">
        <v>24</v>
      </c>
      <c r="L440" s="7">
        <v>3161.2</v>
      </c>
      <c r="M440" s="2" t="str">
        <f>_xlfn.IFS(TelecomData[[#This Row],[TenureMonths]]&lt;=12, "0-1 Year", TelecomData[[#This Row],[TenureMonths]]&lt;=36, "1-3 Years", TelecomData[[#This Row],[TenureMonths]]&gt;36, "3+ Years")</f>
        <v>1-3 Years</v>
      </c>
      <c r="N440" s="2" t="str">
        <f>IF(TelecomData[[#This Row],[CleanedTotalCharges]]&gt;=2500,"High Spend", "Standard Spend")</f>
        <v>High Spend</v>
      </c>
    </row>
    <row r="441" spans="1:14" x14ac:dyDescent="0.3">
      <c r="A441" s="1" t="s">
        <v>464</v>
      </c>
      <c r="B441" s="2" t="s">
        <v>19</v>
      </c>
      <c r="C441" s="2" t="s">
        <v>13</v>
      </c>
      <c r="D441" s="2">
        <v>1</v>
      </c>
      <c r="E441" s="2" t="s">
        <v>14</v>
      </c>
      <c r="F441" s="2" t="s">
        <v>16</v>
      </c>
      <c r="G441" s="7">
        <v>55.05</v>
      </c>
      <c r="H441" s="7">
        <v>55.05</v>
      </c>
      <c r="I441" s="2" t="s">
        <v>15</v>
      </c>
      <c r="J441" s="2" t="s">
        <v>15</v>
      </c>
      <c r="K441" s="2" t="s">
        <v>21</v>
      </c>
      <c r="L441" s="7">
        <v>55.05</v>
      </c>
      <c r="M441" s="2" t="str">
        <f>_xlfn.IFS(TelecomData[[#This Row],[TenureMonths]]&lt;=12, "0-1 Year", TelecomData[[#This Row],[TenureMonths]]&lt;=36, "1-3 Years", TelecomData[[#This Row],[TenureMonths]]&gt;36, "3+ Years")</f>
        <v>0-1 Year</v>
      </c>
      <c r="N441" s="2" t="str">
        <f>IF(TelecomData[[#This Row],[CleanedTotalCharges]]&gt;=2500,"High Spend", "Standard Spend")</f>
        <v>Standard Spend</v>
      </c>
    </row>
    <row r="442" spans="1:14" x14ac:dyDescent="0.3">
      <c r="A442" s="1" t="s">
        <v>465</v>
      </c>
      <c r="B442" s="2" t="s">
        <v>12</v>
      </c>
      <c r="C442" s="2" t="s">
        <v>13</v>
      </c>
      <c r="D442" s="2">
        <v>16</v>
      </c>
      <c r="E442" s="2" t="s">
        <v>26</v>
      </c>
      <c r="F442" s="2" t="s">
        <v>16</v>
      </c>
      <c r="G442" s="7">
        <v>112.95</v>
      </c>
      <c r="H442" s="7">
        <v>1882.55</v>
      </c>
      <c r="I442" s="2" t="s">
        <v>15</v>
      </c>
      <c r="J442" s="2" t="s">
        <v>16</v>
      </c>
      <c r="K442" s="2" t="s">
        <v>17</v>
      </c>
      <c r="L442" s="7">
        <v>1882.55</v>
      </c>
      <c r="M442" s="2" t="str">
        <f>_xlfn.IFS(TelecomData[[#This Row],[TenureMonths]]&lt;=12, "0-1 Year", TelecomData[[#This Row],[TenureMonths]]&lt;=36, "1-3 Years", TelecomData[[#This Row],[TenureMonths]]&gt;36, "3+ Years")</f>
        <v>1-3 Years</v>
      </c>
      <c r="N442" s="2" t="str">
        <f>IF(TelecomData[[#This Row],[CleanedTotalCharges]]&gt;=2500,"High Spend", "Standard Spend")</f>
        <v>Standard Spend</v>
      </c>
    </row>
    <row r="443" spans="1:14" x14ac:dyDescent="0.3">
      <c r="A443" s="1" t="s">
        <v>466</v>
      </c>
      <c r="B443" s="2" t="s">
        <v>12</v>
      </c>
      <c r="C443" s="2" t="s">
        <v>13</v>
      </c>
      <c r="D443" s="2">
        <v>49</v>
      </c>
      <c r="E443" s="2" t="s">
        <v>26</v>
      </c>
      <c r="F443" s="2" t="s">
        <v>15</v>
      </c>
      <c r="G443" s="7">
        <v>101.55</v>
      </c>
      <c r="H443" s="7">
        <v>5070.3999999999996</v>
      </c>
      <c r="I443" s="2" t="s">
        <v>15</v>
      </c>
      <c r="J443" s="2" t="s">
        <v>15</v>
      </c>
      <c r="K443" s="2" t="s">
        <v>29</v>
      </c>
      <c r="L443" s="7">
        <v>5070.3999999999996</v>
      </c>
      <c r="M443" s="2" t="str">
        <f>_xlfn.IFS(TelecomData[[#This Row],[TenureMonths]]&lt;=12, "0-1 Year", TelecomData[[#This Row],[TenureMonths]]&lt;=36, "1-3 Years", TelecomData[[#This Row],[TenureMonths]]&gt;36, "3+ Years")</f>
        <v>3+ Years</v>
      </c>
      <c r="N443" s="2" t="str">
        <f>IF(TelecomData[[#This Row],[CleanedTotalCharges]]&gt;=2500,"High Spend", "Standard Spend")</f>
        <v>High Spend</v>
      </c>
    </row>
    <row r="444" spans="1:14" x14ac:dyDescent="0.3">
      <c r="A444" s="1" t="s">
        <v>467</v>
      </c>
      <c r="B444" s="2" t="s">
        <v>12</v>
      </c>
      <c r="C444" s="2" t="s">
        <v>20</v>
      </c>
      <c r="D444" s="2">
        <v>54</v>
      </c>
      <c r="E444" s="2" t="s">
        <v>26</v>
      </c>
      <c r="F444" s="2" t="s">
        <v>16</v>
      </c>
      <c r="G444" s="7">
        <v>114.65</v>
      </c>
      <c r="H444" s="7">
        <v>6049.5</v>
      </c>
      <c r="I444" s="2" t="s">
        <v>15</v>
      </c>
      <c r="J444" s="2" t="s">
        <v>16</v>
      </c>
      <c r="K444" s="2" t="s">
        <v>21</v>
      </c>
      <c r="L444" s="7">
        <v>6049.5</v>
      </c>
      <c r="M444" s="2" t="str">
        <f>_xlfn.IFS(TelecomData[[#This Row],[TenureMonths]]&lt;=12, "0-1 Year", TelecomData[[#This Row],[TenureMonths]]&lt;=36, "1-3 Years", TelecomData[[#This Row],[TenureMonths]]&gt;36, "3+ Years")</f>
        <v>3+ Years</v>
      </c>
      <c r="N444" s="2" t="str">
        <f>IF(TelecomData[[#This Row],[CleanedTotalCharges]]&gt;=2500,"High Spend", "Standard Spend")</f>
        <v>High Spend</v>
      </c>
    </row>
    <row r="445" spans="1:14" x14ac:dyDescent="0.3">
      <c r="A445" s="1" t="s">
        <v>468</v>
      </c>
      <c r="B445" s="2" t="s">
        <v>12</v>
      </c>
      <c r="C445" s="2" t="s">
        <v>13</v>
      </c>
      <c r="D445" s="2">
        <v>18</v>
      </c>
      <c r="E445" s="2" t="s">
        <v>14</v>
      </c>
      <c r="F445" s="2" t="s">
        <v>15</v>
      </c>
      <c r="G445" s="7">
        <v>64.8</v>
      </c>
      <c r="H445" s="7">
        <v>1166.7</v>
      </c>
      <c r="I445" s="2" t="s">
        <v>15</v>
      </c>
      <c r="J445" s="2" t="s">
        <v>15</v>
      </c>
      <c r="K445" s="2" t="s">
        <v>17</v>
      </c>
      <c r="L445" s="7">
        <v>1166.7</v>
      </c>
      <c r="M445" s="2" t="str">
        <f>_xlfn.IFS(TelecomData[[#This Row],[TenureMonths]]&lt;=12, "0-1 Year", TelecomData[[#This Row],[TenureMonths]]&lt;=36, "1-3 Years", TelecomData[[#This Row],[TenureMonths]]&gt;36, "3+ Years")</f>
        <v>1-3 Years</v>
      </c>
      <c r="N445" s="2" t="str">
        <f>IF(TelecomData[[#This Row],[CleanedTotalCharges]]&gt;=2500,"High Spend", "Standard Spend")</f>
        <v>Standard Spend</v>
      </c>
    </row>
    <row r="446" spans="1:14" x14ac:dyDescent="0.3">
      <c r="A446" s="1" t="s">
        <v>469</v>
      </c>
      <c r="B446" s="2" t="s">
        <v>12</v>
      </c>
      <c r="C446" s="2" t="s">
        <v>13</v>
      </c>
      <c r="D446" s="2">
        <v>36</v>
      </c>
      <c r="E446" s="2" t="s">
        <v>26</v>
      </c>
      <c r="F446" s="2" t="s">
        <v>15</v>
      </c>
      <c r="G446" s="7">
        <v>80.400000000000006</v>
      </c>
      <c r="H446" s="7">
        <v>2937.65</v>
      </c>
      <c r="I446" s="2" t="s">
        <v>15</v>
      </c>
      <c r="J446" s="2" t="s">
        <v>15</v>
      </c>
      <c r="K446" s="2" t="s">
        <v>17</v>
      </c>
      <c r="L446" s="7">
        <v>2937.65</v>
      </c>
      <c r="M446" s="2" t="str">
        <f>_xlfn.IFS(TelecomData[[#This Row],[TenureMonths]]&lt;=12, "0-1 Year", TelecomData[[#This Row],[TenureMonths]]&lt;=36, "1-3 Years", TelecomData[[#This Row],[TenureMonths]]&gt;36, "3+ Years")</f>
        <v>1-3 Years</v>
      </c>
      <c r="N446" s="2" t="str">
        <f>IF(TelecomData[[#This Row],[CleanedTotalCharges]]&gt;=2500,"High Spend", "Standard Spend")</f>
        <v>High Spend</v>
      </c>
    </row>
    <row r="447" spans="1:14" x14ac:dyDescent="0.3">
      <c r="A447" s="1" t="s">
        <v>470</v>
      </c>
      <c r="B447" s="2" t="s">
        <v>12</v>
      </c>
      <c r="C447" s="2" t="s">
        <v>13</v>
      </c>
      <c r="D447" s="2">
        <v>60</v>
      </c>
      <c r="E447" s="2" t="s">
        <v>26</v>
      </c>
      <c r="F447" s="2" t="s">
        <v>15</v>
      </c>
      <c r="G447" s="7">
        <v>105.9</v>
      </c>
      <c r="H447" s="7">
        <v>6396.45</v>
      </c>
      <c r="I447" s="2" t="s">
        <v>16</v>
      </c>
      <c r="J447" s="2" t="s">
        <v>16</v>
      </c>
      <c r="K447" s="2" t="s">
        <v>17</v>
      </c>
      <c r="L447" s="7">
        <v>6396.45</v>
      </c>
      <c r="M447" s="2" t="str">
        <f>_xlfn.IFS(TelecomData[[#This Row],[TenureMonths]]&lt;=12, "0-1 Year", TelecomData[[#This Row],[TenureMonths]]&lt;=36, "1-3 Years", TelecomData[[#This Row],[TenureMonths]]&gt;36, "3+ Years")</f>
        <v>3+ Years</v>
      </c>
      <c r="N447" s="2" t="str">
        <f>IF(TelecomData[[#This Row],[CleanedTotalCharges]]&gt;=2500,"High Spend", "Standard Spend")</f>
        <v>High Spend</v>
      </c>
    </row>
    <row r="448" spans="1:14" x14ac:dyDescent="0.3">
      <c r="A448" s="1" t="s">
        <v>471</v>
      </c>
      <c r="B448" s="2" t="s">
        <v>12</v>
      </c>
      <c r="C448" s="2" t="s">
        <v>13</v>
      </c>
      <c r="D448" s="2">
        <v>1</v>
      </c>
      <c r="E448" s="2" t="s">
        <v>26</v>
      </c>
      <c r="F448" s="2" t="s">
        <v>15</v>
      </c>
      <c r="G448" s="7">
        <v>69.55</v>
      </c>
      <c r="H448" s="7">
        <v>69.55</v>
      </c>
      <c r="I448" s="2" t="s">
        <v>16</v>
      </c>
      <c r="J448" s="2" t="s">
        <v>15</v>
      </c>
      <c r="K448" s="2" t="s">
        <v>21</v>
      </c>
      <c r="L448" s="7">
        <v>69.55</v>
      </c>
      <c r="M448" s="2" t="str">
        <f>_xlfn.IFS(TelecomData[[#This Row],[TenureMonths]]&lt;=12, "0-1 Year", TelecomData[[#This Row],[TenureMonths]]&lt;=36, "1-3 Years", TelecomData[[#This Row],[TenureMonths]]&gt;36, "3+ Years")</f>
        <v>0-1 Year</v>
      </c>
      <c r="N448" s="2" t="str">
        <f>IF(TelecomData[[#This Row],[CleanedTotalCharges]]&gt;=2500,"High Spend", "Standard Spend")</f>
        <v>Standard Spend</v>
      </c>
    </row>
    <row r="449" spans="1:14" x14ac:dyDescent="0.3">
      <c r="A449" s="1" t="s">
        <v>472</v>
      </c>
      <c r="B449" s="2" t="s">
        <v>12</v>
      </c>
      <c r="C449" s="2" t="s">
        <v>35</v>
      </c>
      <c r="D449" s="2">
        <v>52</v>
      </c>
      <c r="E449" s="2" t="s">
        <v>15</v>
      </c>
      <c r="F449" s="2" t="s">
        <v>36</v>
      </c>
      <c r="G449" s="7">
        <v>25.05</v>
      </c>
      <c r="H449" s="7">
        <v>1270.25</v>
      </c>
      <c r="I449" s="2" t="s">
        <v>15</v>
      </c>
      <c r="J449" s="2" t="s">
        <v>16</v>
      </c>
      <c r="K449" s="2" t="s">
        <v>24</v>
      </c>
      <c r="L449" s="7">
        <v>1270.25</v>
      </c>
      <c r="M449" s="2" t="str">
        <f>_xlfn.IFS(TelecomData[[#This Row],[TenureMonths]]&lt;=12, "0-1 Year", TelecomData[[#This Row],[TenureMonths]]&lt;=36, "1-3 Years", TelecomData[[#This Row],[TenureMonths]]&gt;36, "3+ Years")</f>
        <v>3+ Years</v>
      </c>
      <c r="N449" s="2" t="str">
        <f>IF(TelecomData[[#This Row],[CleanedTotalCharges]]&gt;=2500,"High Spend", "Standard Spend")</f>
        <v>Standard Spend</v>
      </c>
    </row>
    <row r="450" spans="1:14" x14ac:dyDescent="0.3">
      <c r="A450" s="1" t="s">
        <v>473</v>
      </c>
      <c r="B450" s="2" t="s">
        <v>19</v>
      </c>
      <c r="C450" s="2" t="s">
        <v>13</v>
      </c>
      <c r="D450" s="2">
        <v>8</v>
      </c>
      <c r="E450" s="2" t="s">
        <v>26</v>
      </c>
      <c r="F450" s="2" t="s">
        <v>15</v>
      </c>
      <c r="G450" s="7">
        <v>94.75</v>
      </c>
      <c r="H450" s="7">
        <v>759.55</v>
      </c>
      <c r="I450" s="2" t="s">
        <v>15</v>
      </c>
      <c r="J450" s="2" t="s">
        <v>16</v>
      </c>
      <c r="K450" s="2" t="s">
        <v>17</v>
      </c>
      <c r="L450" s="7">
        <v>759.55</v>
      </c>
      <c r="M450" s="2" t="str">
        <f>_xlfn.IFS(TelecomData[[#This Row],[TenureMonths]]&lt;=12, "0-1 Year", TelecomData[[#This Row],[TenureMonths]]&lt;=36, "1-3 Years", TelecomData[[#This Row],[TenureMonths]]&gt;36, "3+ Years")</f>
        <v>0-1 Year</v>
      </c>
      <c r="N450" s="2" t="str">
        <f>IF(TelecomData[[#This Row],[CleanedTotalCharges]]&gt;=2500,"High Spend", "Standard Spend")</f>
        <v>Standard Spend</v>
      </c>
    </row>
    <row r="451" spans="1:14" x14ac:dyDescent="0.3">
      <c r="A451" s="1" t="s">
        <v>474</v>
      </c>
      <c r="B451" s="2" t="s">
        <v>19</v>
      </c>
      <c r="C451" s="2" t="s">
        <v>35</v>
      </c>
      <c r="D451" s="2">
        <v>72</v>
      </c>
      <c r="E451" s="2" t="s">
        <v>26</v>
      </c>
      <c r="F451" s="2" t="s">
        <v>16</v>
      </c>
      <c r="G451" s="7">
        <v>105.5</v>
      </c>
      <c r="H451" s="7">
        <v>7611.55</v>
      </c>
      <c r="I451" s="2" t="s">
        <v>15</v>
      </c>
      <c r="J451" s="2" t="s">
        <v>15</v>
      </c>
      <c r="K451" s="2" t="s">
        <v>24</v>
      </c>
      <c r="L451" s="7">
        <v>7611.55</v>
      </c>
      <c r="M451" s="2" t="str">
        <f>_xlfn.IFS(TelecomData[[#This Row],[TenureMonths]]&lt;=12, "0-1 Year", TelecomData[[#This Row],[TenureMonths]]&lt;=36, "1-3 Years", TelecomData[[#This Row],[TenureMonths]]&gt;36, "3+ Years")</f>
        <v>3+ Years</v>
      </c>
      <c r="N451" s="2" t="str">
        <f>IF(TelecomData[[#This Row],[CleanedTotalCharges]]&gt;=2500,"High Spend", "Standard Spend")</f>
        <v>High Spend</v>
      </c>
    </row>
    <row r="452" spans="1:14" x14ac:dyDescent="0.3">
      <c r="A452" s="1" t="s">
        <v>475</v>
      </c>
      <c r="B452" s="2" t="s">
        <v>12</v>
      </c>
      <c r="C452" s="2" t="s">
        <v>20</v>
      </c>
      <c r="D452" s="2">
        <v>64</v>
      </c>
      <c r="E452" s="2" t="s">
        <v>15</v>
      </c>
      <c r="F452" s="2" t="s">
        <v>36</v>
      </c>
      <c r="G452" s="7">
        <v>24.7</v>
      </c>
      <c r="H452" s="7">
        <v>1642.75</v>
      </c>
      <c r="I452" s="2" t="s">
        <v>15</v>
      </c>
      <c r="J452" s="2" t="s">
        <v>15</v>
      </c>
      <c r="K452" s="2" t="s">
        <v>21</v>
      </c>
      <c r="L452" s="7">
        <v>1642.75</v>
      </c>
      <c r="M452" s="2" t="str">
        <f>_xlfn.IFS(TelecomData[[#This Row],[TenureMonths]]&lt;=12, "0-1 Year", TelecomData[[#This Row],[TenureMonths]]&lt;=36, "1-3 Years", TelecomData[[#This Row],[TenureMonths]]&gt;36, "3+ Years")</f>
        <v>3+ Years</v>
      </c>
      <c r="N452" s="2" t="str">
        <f>IF(TelecomData[[#This Row],[CleanedTotalCharges]]&gt;=2500,"High Spend", "Standard Spend")</f>
        <v>Standard Spend</v>
      </c>
    </row>
    <row r="453" spans="1:14" x14ac:dyDescent="0.3">
      <c r="A453" s="1" t="s">
        <v>476</v>
      </c>
      <c r="B453" s="2" t="s">
        <v>12</v>
      </c>
      <c r="C453" s="2" t="s">
        <v>13</v>
      </c>
      <c r="D453" s="2">
        <v>22</v>
      </c>
      <c r="E453" s="2" t="s">
        <v>14</v>
      </c>
      <c r="F453" s="2" t="s">
        <v>16</v>
      </c>
      <c r="G453" s="7">
        <v>69.75</v>
      </c>
      <c r="H453" s="7">
        <v>1545.4</v>
      </c>
      <c r="I453" s="2" t="s">
        <v>15</v>
      </c>
      <c r="J453" s="2" t="s">
        <v>16</v>
      </c>
      <c r="K453" s="2" t="s">
        <v>21</v>
      </c>
      <c r="L453" s="7">
        <v>1545.4</v>
      </c>
      <c r="M453" s="2" t="str">
        <f>_xlfn.IFS(TelecomData[[#This Row],[TenureMonths]]&lt;=12, "0-1 Year", TelecomData[[#This Row],[TenureMonths]]&lt;=36, "1-3 Years", TelecomData[[#This Row],[TenureMonths]]&gt;36, "3+ Years")</f>
        <v>1-3 Years</v>
      </c>
      <c r="N453" s="2" t="str">
        <f>IF(TelecomData[[#This Row],[CleanedTotalCharges]]&gt;=2500,"High Spend", "Standard Spend")</f>
        <v>Standard Spend</v>
      </c>
    </row>
    <row r="454" spans="1:14" x14ac:dyDescent="0.3">
      <c r="A454" s="1" t="s">
        <v>477</v>
      </c>
      <c r="B454" s="2" t="s">
        <v>19</v>
      </c>
      <c r="C454" s="2" t="s">
        <v>13</v>
      </c>
      <c r="D454" s="2">
        <v>60</v>
      </c>
      <c r="E454" s="2" t="s">
        <v>14</v>
      </c>
      <c r="F454" s="2" t="s">
        <v>16</v>
      </c>
      <c r="G454" s="7">
        <v>60.2</v>
      </c>
      <c r="H454" s="7">
        <v>3582.4</v>
      </c>
      <c r="I454" s="2" t="s">
        <v>15</v>
      </c>
      <c r="J454" s="2" t="s">
        <v>16</v>
      </c>
      <c r="K454" s="2" t="s">
        <v>24</v>
      </c>
      <c r="L454" s="7">
        <v>3582.4</v>
      </c>
      <c r="M454" s="2" t="str">
        <f>_xlfn.IFS(TelecomData[[#This Row],[TenureMonths]]&lt;=12, "0-1 Year", TelecomData[[#This Row],[TenureMonths]]&lt;=36, "1-3 Years", TelecomData[[#This Row],[TenureMonths]]&gt;36, "3+ Years")</f>
        <v>3+ Years</v>
      </c>
      <c r="N454" s="2" t="str">
        <f>IF(TelecomData[[#This Row],[CleanedTotalCharges]]&gt;=2500,"High Spend", "Standard Spend")</f>
        <v>High Spend</v>
      </c>
    </row>
    <row r="455" spans="1:14" x14ac:dyDescent="0.3">
      <c r="A455" s="1" t="s">
        <v>478</v>
      </c>
      <c r="B455" s="2" t="s">
        <v>12</v>
      </c>
      <c r="C455" s="2" t="s">
        <v>13</v>
      </c>
      <c r="D455" s="2">
        <v>28</v>
      </c>
      <c r="E455" s="2" t="s">
        <v>26</v>
      </c>
      <c r="F455" s="2" t="s">
        <v>15</v>
      </c>
      <c r="G455" s="7">
        <v>81.05</v>
      </c>
      <c r="H455" s="7">
        <v>2227.1</v>
      </c>
      <c r="I455" s="2" t="s">
        <v>16</v>
      </c>
      <c r="J455" s="2" t="s">
        <v>16</v>
      </c>
      <c r="K455" s="2" t="s">
        <v>17</v>
      </c>
      <c r="L455" s="7">
        <v>2227.1</v>
      </c>
      <c r="M455" s="2" t="str">
        <f>_xlfn.IFS(TelecomData[[#This Row],[TenureMonths]]&lt;=12, "0-1 Year", TelecomData[[#This Row],[TenureMonths]]&lt;=36, "1-3 Years", TelecomData[[#This Row],[TenureMonths]]&gt;36, "3+ Years")</f>
        <v>1-3 Years</v>
      </c>
      <c r="N455" s="2" t="str">
        <f>IF(TelecomData[[#This Row],[CleanedTotalCharges]]&gt;=2500,"High Spend", "Standard Spend")</f>
        <v>Standard Spend</v>
      </c>
    </row>
    <row r="456" spans="1:14" x14ac:dyDescent="0.3">
      <c r="A456" s="1" t="s">
        <v>479</v>
      </c>
      <c r="B456" s="2" t="s">
        <v>12</v>
      </c>
      <c r="C456" s="2" t="s">
        <v>35</v>
      </c>
      <c r="D456" s="2">
        <v>61</v>
      </c>
      <c r="E456" s="2" t="s">
        <v>15</v>
      </c>
      <c r="F456" s="2" t="s">
        <v>36</v>
      </c>
      <c r="G456" s="7">
        <v>24.4</v>
      </c>
      <c r="H456" s="7">
        <v>1417.9</v>
      </c>
      <c r="I456" s="2" t="s">
        <v>15</v>
      </c>
      <c r="J456" s="2" t="s">
        <v>15</v>
      </c>
      <c r="K456" s="2" t="s">
        <v>21</v>
      </c>
      <c r="L456" s="7">
        <v>1417.9</v>
      </c>
      <c r="M456" s="2" t="str">
        <f>_xlfn.IFS(TelecomData[[#This Row],[TenureMonths]]&lt;=12, "0-1 Year", TelecomData[[#This Row],[TenureMonths]]&lt;=36, "1-3 Years", TelecomData[[#This Row],[TenureMonths]]&gt;36, "3+ Years")</f>
        <v>3+ Years</v>
      </c>
      <c r="N456" s="2" t="str">
        <f>IF(TelecomData[[#This Row],[CleanedTotalCharges]]&gt;=2500,"High Spend", "Standard Spend")</f>
        <v>Standard Spend</v>
      </c>
    </row>
    <row r="457" spans="1:14" x14ac:dyDescent="0.3">
      <c r="A457" s="1" t="s">
        <v>480</v>
      </c>
      <c r="B457" s="2" t="s">
        <v>12</v>
      </c>
      <c r="C457" s="2" t="s">
        <v>13</v>
      </c>
      <c r="D457" s="2">
        <v>24</v>
      </c>
      <c r="E457" s="2" t="s">
        <v>26</v>
      </c>
      <c r="F457" s="2" t="s">
        <v>15</v>
      </c>
      <c r="G457" s="7">
        <v>104.15</v>
      </c>
      <c r="H457" s="7">
        <v>2494.65</v>
      </c>
      <c r="I457" s="2" t="s">
        <v>15</v>
      </c>
      <c r="J457" s="2" t="s">
        <v>16</v>
      </c>
      <c r="K457" s="2" t="s">
        <v>17</v>
      </c>
      <c r="L457" s="7">
        <v>2494.65</v>
      </c>
      <c r="M457" s="2" t="str">
        <f>_xlfn.IFS(TelecomData[[#This Row],[TenureMonths]]&lt;=12, "0-1 Year", TelecomData[[#This Row],[TenureMonths]]&lt;=36, "1-3 Years", TelecomData[[#This Row],[TenureMonths]]&gt;36, "3+ Years")</f>
        <v>1-3 Years</v>
      </c>
      <c r="N457" s="2" t="str">
        <f>IF(TelecomData[[#This Row],[CleanedTotalCharges]]&gt;=2500,"High Spend", "Standard Spend")</f>
        <v>Standard Spend</v>
      </c>
    </row>
    <row r="458" spans="1:14" x14ac:dyDescent="0.3">
      <c r="A458" s="1" t="s">
        <v>481</v>
      </c>
      <c r="B458" s="2" t="s">
        <v>19</v>
      </c>
      <c r="C458" s="2" t="s">
        <v>20</v>
      </c>
      <c r="D458" s="2">
        <v>28</v>
      </c>
      <c r="E458" s="2" t="s">
        <v>26</v>
      </c>
      <c r="F458" s="2" t="s">
        <v>16</v>
      </c>
      <c r="G458" s="7">
        <v>92.9</v>
      </c>
      <c r="H458" s="7">
        <v>2768.35</v>
      </c>
      <c r="I458" s="2" t="s">
        <v>15</v>
      </c>
      <c r="J458" s="2" t="s">
        <v>15</v>
      </c>
      <c r="K458" s="2" t="s">
        <v>24</v>
      </c>
      <c r="L458" s="7">
        <v>2768.35</v>
      </c>
      <c r="M458" s="2" t="str">
        <f>_xlfn.IFS(TelecomData[[#This Row],[TenureMonths]]&lt;=12, "0-1 Year", TelecomData[[#This Row],[TenureMonths]]&lt;=36, "1-3 Years", TelecomData[[#This Row],[TenureMonths]]&gt;36, "3+ Years")</f>
        <v>1-3 Years</v>
      </c>
      <c r="N458" s="2" t="str">
        <f>IF(TelecomData[[#This Row],[CleanedTotalCharges]]&gt;=2500,"High Spend", "Standard Spend")</f>
        <v>High Spend</v>
      </c>
    </row>
    <row r="459" spans="1:14" x14ac:dyDescent="0.3">
      <c r="A459" s="1" t="s">
        <v>482</v>
      </c>
      <c r="B459" s="2" t="s">
        <v>12</v>
      </c>
      <c r="C459" s="2" t="s">
        <v>35</v>
      </c>
      <c r="D459" s="2">
        <v>30</v>
      </c>
      <c r="E459" s="2" t="s">
        <v>14</v>
      </c>
      <c r="F459" s="2" t="s">
        <v>16</v>
      </c>
      <c r="G459" s="7">
        <v>80.8</v>
      </c>
      <c r="H459" s="7">
        <v>2369.3000000000002</v>
      </c>
      <c r="I459" s="2" t="s">
        <v>15</v>
      </c>
      <c r="J459" s="2" t="s">
        <v>15</v>
      </c>
      <c r="K459" s="2" t="s">
        <v>24</v>
      </c>
      <c r="L459" s="7">
        <v>2369.3000000000002</v>
      </c>
      <c r="M459" s="2" t="str">
        <f>_xlfn.IFS(TelecomData[[#This Row],[TenureMonths]]&lt;=12, "0-1 Year", TelecomData[[#This Row],[TenureMonths]]&lt;=36, "1-3 Years", TelecomData[[#This Row],[TenureMonths]]&gt;36, "3+ Years")</f>
        <v>1-3 Years</v>
      </c>
      <c r="N459" s="2" t="str">
        <f>IF(TelecomData[[#This Row],[CleanedTotalCharges]]&gt;=2500,"High Spend", "Standard Spend")</f>
        <v>Standard Spend</v>
      </c>
    </row>
    <row r="460" spans="1:14" x14ac:dyDescent="0.3">
      <c r="A460" s="1" t="s">
        <v>483</v>
      </c>
      <c r="B460" s="2" t="s">
        <v>19</v>
      </c>
      <c r="C460" s="2" t="s">
        <v>13</v>
      </c>
      <c r="D460" s="2">
        <v>2</v>
      </c>
      <c r="E460" s="2" t="s">
        <v>15</v>
      </c>
      <c r="F460" s="2" t="s">
        <v>36</v>
      </c>
      <c r="G460" s="7">
        <v>20</v>
      </c>
      <c r="H460" s="7">
        <v>38</v>
      </c>
      <c r="I460" s="2" t="s">
        <v>15</v>
      </c>
      <c r="J460" s="2" t="s">
        <v>15</v>
      </c>
      <c r="K460" s="2" t="s">
        <v>21</v>
      </c>
      <c r="L460" s="7">
        <v>38</v>
      </c>
      <c r="M460" s="2" t="str">
        <f>_xlfn.IFS(TelecomData[[#This Row],[TenureMonths]]&lt;=12, "0-1 Year", TelecomData[[#This Row],[TenureMonths]]&lt;=36, "1-3 Years", TelecomData[[#This Row],[TenureMonths]]&gt;36, "3+ Years")</f>
        <v>0-1 Year</v>
      </c>
      <c r="N460" s="2" t="str">
        <f>IF(TelecomData[[#This Row],[CleanedTotalCharges]]&gt;=2500,"High Spend", "Standard Spend")</f>
        <v>Standard Spend</v>
      </c>
    </row>
    <row r="461" spans="1:14" x14ac:dyDescent="0.3">
      <c r="A461" s="1" t="s">
        <v>484</v>
      </c>
      <c r="B461" s="2" t="s">
        <v>19</v>
      </c>
      <c r="C461" s="2" t="s">
        <v>13</v>
      </c>
      <c r="D461" s="2">
        <v>1</v>
      </c>
      <c r="E461" s="2" t="s">
        <v>26</v>
      </c>
      <c r="F461" s="2" t="s">
        <v>15</v>
      </c>
      <c r="G461" s="7">
        <v>75.099999999999994</v>
      </c>
      <c r="H461" s="7">
        <v>75.099999999999994</v>
      </c>
      <c r="I461" s="2" t="s">
        <v>15</v>
      </c>
      <c r="J461" s="2" t="s">
        <v>16</v>
      </c>
      <c r="K461" s="2" t="s">
        <v>17</v>
      </c>
      <c r="L461" s="7">
        <v>75.099999999999994</v>
      </c>
      <c r="M461" s="2" t="str">
        <f>_xlfn.IFS(TelecomData[[#This Row],[TenureMonths]]&lt;=12, "0-1 Year", TelecomData[[#This Row],[TenureMonths]]&lt;=36, "1-3 Years", TelecomData[[#This Row],[TenureMonths]]&gt;36, "3+ Years")</f>
        <v>0-1 Year</v>
      </c>
      <c r="N461" s="2" t="str">
        <f>IF(TelecomData[[#This Row],[CleanedTotalCharges]]&gt;=2500,"High Spend", "Standard Spend")</f>
        <v>Standard Spend</v>
      </c>
    </row>
    <row r="462" spans="1:14" x14ac:dyDescent="0.3">
      <c r="A462" s="1" t="s">
        <v>485</v>
      </c>
      <c r="B462" s="2" t="s">
        <v>19</v>
      </c>
      <c r="C462" s="2" t="s">
        <v>13</v>
      </c>
      <c r="D462" s="2">
        <v>6</v>
      </c>
      <c r="E462" s="2" t="s">
        <v>15</v>
      </c>
      <c r="F462" s="2" t="s">
        <v>36</v>
      </c>
      <c r="G462" s="7">
        <v>19.649999999999999</v>
      </c>
      <c r="H462" s="7">
        <v>100.9</v>
      </c>
      <c r="I462" s="2" t="s">
        <v>15</v>
      </c>
      <c r="J462" s="2" t="s">
        <v>15</v>
      </c>
      <c r="K462" s="2" t="s">
        <v>21</v>
      </c>
      <c r="L462" s="7">
        <v>100.9</v>
      </c>
      <c r="M462" s="2" t="str">
        <f>_xlfn.IFS(TelecomData[[#This Row],[TenureMonths]]&lt;=12, "0-1 Year", TelecomData[[#This Row],[TenureMonths]]&lt;=36, "1-3 Years", TelecomData[[#This Row],[TenureMonths]]&gt;36, "3+ Years")</f>
        <v>0-1 Year</v>
      </c>
      <c r="N462" s="2" t="str">
        <f>IF(TelecomData[[#This Row],[CleanedTotalCharges]]&gt;=2500,"High Spend", "Standard Spend")</f>
        <v>Standard Spend</v>
      </c>
    </row>
    <row r="463" spans="1:14" x14ac:dyDescent="0.3">
      <c r="A463" s="1" t="s">
        <v>486</v>
      </c>
      <c r="B463" s="2" t="s">
        <v>12</v>
      </c>
      <c r="C463" s="2" t="s">
        <v>13</v>
      </c>
      <c r="D463" s="2">
        <v>24</v>
      </c>
      <c r="E463" s="2" t="s">
        <v>14</v>
      </c>
      <c r="F463" s="2" t="s">
        <v>15</v>
      </c>
      <c r="G463" s="7">
        <v>69.45</v>
      </c>
      <c r="H463" s="7">
        <v>1614.05</v>
      </c>
      <c r="I463" s="2" t="s">
        <v>15</v>
      </c>
      <c r="J463" s="2" t="s">
        <v>16</v>
      </c>
      <c r="K463" s="2" t="s">
        <v>24</v>
      </c>
      <c r="L463" s="7">
        <v>1614.05</v>
      </c>
      <c r="M463" s="2" t="str">
        <f>_xlfn.IFS(TelecomData[[#This Row],[TenureMonths]]&lt;=12, "0-1 Year", TelecomData[[#This Row],[TenureMonths]]&lt;=36, "1-3 Years", TelecomData[[#This Row],[TenureMonths]]&gt;36, "3+ Years")</f>
        <v>1-3 Years</v>
      </c>
      <c r="N463" s="2" t="str">
        <f>IF(TelecomData[[#This Row],[CleanedTotalCharges]]&gt;=2500,"High Spend", "Standard Spend")</f>
        <v>Standard Spend</v>
      </c>
    </row>
    <row r="464" spans="1:14" x14ac:dyDescent="0.3">
      <c r="A464" s="1" t="s">
        <v>487</v>
      </c>
      <c r="B464" s="2" t="s">
        <v>19</v>
      </c>
      <c r="C464" s="2" t="s">
        <v>13</v>
      </c>
      <c r="D464" s="2">
        <v>4</v>
      </c>
      <c r="E464" s="2" t="s">
        <v>26</v>
      </c>
      <c r="F464" s="2" t="s">
        <v>15</v>
      </c>
      <c r="G464" s="7">
        <v>101.15</v>
      </c>
      <c r="H464" s="7">
        <v>385.9</v>
      </c>
      <c r="I464" s="2" t="s">
        <v>16</v>
      </c>
      <c r="J464" s="2" t="s">
        <v>15</v>
      </c>
      <c r="K464" s="2" t="s">
        <v>17</v>
      </c>
      <c r="L464" s="7">
        <v>385.9</v>
      </c>
      <c r="M464" s="2" t="str">
        <f>_xlfn.IFS(TelecomData[[#This Row],[TenureMonths]]&lt;=12, "0-1 Year", TelecomData[[#This Row],[TenureMonths]]&lt;=36, "1-3 Years", TelecomData[[#This Row],[TenureMonths]]&gt;36, "3+ Years")</f>
        <v>0-1 Year</v>
      </c>
      <c r="N464" s="2" t="str">
        <f>IF(TelecomData[[#This Row],[CleanedTotalCharges]]&gt;=2500,"High Spend", "Standard Spend")</f>
        <v>Standard Spend</v>
      </c>
    </row>
    <row r="465" spans="1:14" x14ac:dyDescent="0.3">
      <c r="A465" s="1" t="s">
        <v>488</v>
      </c>
      <c r="B465" s="2" t="s">
        <v>19</v>
      </c>
      <c r="C465" s="2" t="s">
        <v>13</v>
      </c>
      <c r="D465" s="2">
        <v>7</v>
      </c>
      <c r="E465" s="2" t="s">
        <v>26</v>
      </c>
      <c r="F465" s="2" t="s">
        <v>15</v>
      </c>
      <c r="G465" s="7">
        <v>99.8</v>
      </c>
      <c r="H465" s="7">
        <v>673.25</v>
      </c>
      <c r="I465" s="2" t="s">
        <v>16</v>
      </c>
      <c r="J465" s="2" t="s">
        <v>16</v>
      </c>
      <c r="K465" s="2" t="s">
        <v>17</v>
      </c>
      <c r="L465" s="7">
        <v>673.25</v>
      </c>
      <c r="M465" s="2" t="str">
        <f>_xlfn.IFS(TelecomData[[#This Row],[TenureMonths]]&lt;=12, "0-1 Year", TelecomData[[#This Row],[TenureMonths]]&lt;=36, "1-3 Years", TelecomData[[#This Row],[TenureMonths]]&gt;36, "3+ Years")</f>
        <v>0-1 Year</v>
      </c>
      <c r="N465" s="2" t="str">
        <f>IF(TelecomData[[#This Row],[CleanedTotalCharges]]&gt;=2500,"High Spend", "Standard Spend")</f>
        <v>Standard Spend</v>
      </c>
    </row>
    <row r="466" spans="1:14" x14ac:dyDescent="0.3">
      <c r="A466" s="1" t="s">
        <v>489</v>
      </c>
      <c r="B466" s="2" t="s">
        <v>19</v>
      </c>
      <c r="C466" s="2" t="s">
        <v>35</v>
      </c>
      <c r="D466" s="2">
        <v>72</v>
      </c>
      <c r="E466" s="2" t="s">
        <v>26</v>
      </c>
      <c r="F466" s="2" t="s">
        <v>16</v>
      </c>
      <c r="G466" s="7">
        <v>116.05</v>
      </c>
      <c r="H466" s="7">
        <v>8404.9</v>
      </c>
      <c r="I466" s="2" t="s">
        <v>15</v>
      </c>
      <c r="J466" s="2" t="s">
        <v>16</v>
      </c>
      <c r="K466" s="2" t="s">
        <v>24</v>
      </c>
      <c r="L466" s="7">
        <v>8404.9</v>
      </c>
      <c r="M466" s="2" t="str">
        <f>_xlfn.IFS(TelecomData[[#This Row],[TenureMonths]]&lt;=12, "0-1 Year", TelecomData[[#This Row],[TenureMonths]]&lt;=36, "1-3 Years", TelecomData[[#This Row],[TenureMonths]]&gt;36, "3+ Years")</f>
        <v>3+ Years</v>
      </c>
      <c r="N466" s="2" t="str">
        <f>IF(TelecomData[[#This Row],[CleanedTotalCharges]]&gt;=2500,"High Spend", "Standard Spend")</f>
        <v>High Spend</v>
      </c>
    </row>
    <row r="467" spans="1:14" x14ac:dyDescent="0.3">
      <c r="A467" s="1" t="s">
        <v>490</v>
      </c>
      <c r="B467" s="2" t="s">
        <v>19</v>
      </c>
      <c r="C467" s="2" t="s">
        <v>35</v>
      </c>
      <c r="D467" s="2">
        <v>70</v>
      </c>
      <c r="E467" s="2" t="s">
        <v>14</v>
      </c>
      <c r="F467" s="2" t="s">
        <v>16</v>
      </c>
      <c r="G467" s="7">
        <v>40.049999999999997</v>
      </c>
      <c r="H467" s="7">
        <v>2799.75</v>
      </c>
      <c r="I467" s="2" t="s">
        <v>15</v>
      </c>
      <c r="J467" s="2" t="s">
        <v>16</v>
      </c>
      <c r="K467" s="2" t="s">
        <v>21</v>
      </c>
      <c r="L467" s="7">
        <v>2799.75</v>
      </c>
      <c r="M467" s="2" t="str">
        <f>_xlfn.IFS(TelecomData[[#This Row],[TenureMonths]]&lt;=12, "0-1 Year", TelecomData[[#This Row],[TenureMonths]]&lt;=36, "1-3 Years", TelecomData[[#This Row],[TenureMonths]]&gt;36, "3+ Years")</f>
        <v>3+ Years</v>
      </c>
      <c r="N467" s="2" t="str">
        <f>IF(TelecomData[[#This Row],[CleanedTotalCharges]]&gt;=2500,"High Spend", "Standard Spend")</f>
        <v>High Spend</v>
      </c>
    </row>
    <row r="468" spans="1:14" x14ac:dyDescent="0.3">
      <c r="A468" s="1" t="s">
        <v>491</v>
      </c>
      <c r="B468" s="2" t="s">
        <v>19</v>
      </c>
      <c r="C468" s="2" t="s">
        <v>35</v>
      </c>
      <c r="D468" s="2">
        <v>64</v>
      </c>
      <c r="E468" s="2" t="s">
        <v>26</v>
      </c>
      <c r="F468" s="2" t="s">
        <v>16</v>
      </c>
      <c r="G468" s="7">
        <v>102.1</v>
      </c>
      <c r="H468" s="7">
        <v>6538.45</v>
      </c>
      <c r="I468" s="2" t="s">
        <v>15</v>
      </c>
      <c r="J468" s="2" t="s">
        <v>15</v>
      </c>
      <c r="K468" s="2" t="s">
        <v>17</v>
      </c>
      <c r="L468" s="7">
        <v>6538.45</v>
      </c>
      <c r="M468" s="2" t="str">
        <f>_xlfn.IFS(TelecomData[[#This Row],[TenureMonths]]&lt;=12, "0-1 Year", TelecomData[[#This Row],[TenureMonths]]&lt;=36, "1-3 Years", TelecomData[[#This Row],[TenureMonths]]&gt;36, "3+ Years")</f>
        <v>3+ Years</v>
      </c>
      <c r="N468" s="2" t="str">
        <f>IF(TelecomData[[#This Row],[CleanedTotalCharges]]&gt;=2500,"High Spend", "Standard Spend")</f>
        <v>High Spend</v>
      </c>
    </row>
    <row r="469" spans="1:14" x14ac:dyDescent="0.3">
      <c r="A469" s="1" t="s">
        <v>492</v>
      </c>
      <c r="B469" s="2" t="s">
        <v>19</v>
      </c>
      <c r="C469" s="2" t="s">
        <v>20</v>
      </c>
      <c r="D469" s="2">
        <v>72</v>
      </c>
      <c r="E469" s="2" t="s">
        <v>26</v>
      </c>
      <c r="F469" s="2" t="s">
        <v>15</v>
      </c>
      <c r="G469" s="7">
        <v>89.7</v>
      </c>
      <c r="H469" s="7">
        <v>6588.95</v>
      </c>
      <c r="I469" s="2" t="s">
        <v>15</v>
      </c>
      <c r="J469" s="2" t="s">
        <v>16</v>
      </c>
      <c r="K469" s="2" t="s">
        <v>17</v>
      </c>
      <c r="L469" s="7">
        <v>6588.95</v>
      </c>
      <c r="M469" s="2" t="str">
        <f>_xlfn.IFS(TelecomData[[#This Row],[TenureMonths]]&lt;=12, "0-1 Year", TelecomData[[#This Row],[TenureMonths]]&lt;=36, "1-3 Years", TelecomData[[#This Row],[TenureMonths]]&gt;36, "3+ Years")</f>
        <v>3+ Years</v>
      </c>
      <c r="N469" s="2" t="str">
        <f>IF(TelecomData[[#This Row],[CleanedTotalCharges]]&gt;=2500,"High Spend", "Standard Spend")</f>
        <v>High Spend</v>
      </c>
    </row>
    <row r="470" spans="1:14" x14ac:dyDescent="0.3">
      <c r="A470" s="1" t="s">
        <v>493</v>
      </c>
      <c r="B470" s="2" t="s">
        <v>12</v>
      </c>
      <c r="C470" s="2" t="s">
        <v>35</v>
      </c>
      <c r="D470" s="2">
        <v>44</v>
      </c>
      <c r="E470" s="2" t="s">
        <v>15</v>
      </c>
      <c r="F470" s="2" t="s">
        <v>36</v>
      </c>
      <c r="G470" s="7">
        <v>19.899999999999999</v>
      </c>
      <c r="H470" s="7">
        <v>868.1</v>
      </c>
      <c r="I470" s="2" t="s">
        <v>15</v>
      </c>
      <c r="J470" s="2" t="s">
        <v>15</v>
      </c>
      <c r="K470" s="2" t="s">
        <v>21</v>
      </c>
      <c r="L470" s="7">
        <v>868.1</v>
      </c>
      <c r="M470" s="2" t="str">
        <f>_xlfn.IFS(TelecomData[[#This Row],[TenureMonths]]&lt;=12, "0-1 Year", TelecomData[[#This Row],[TenureMonths]]&lt;=36, "1-3 Years", TelecomData[[#This Row],[TenureMonths]]&gt;36, "3+ Years")</f>
        <v>3+ Years</v>
      </c>
      <c r="N470" s="2" t="str">
        <f>IF(TelecomData[[#This Row],[CleanedTotalCharges]]&gt;=2500,"High Spend", "Standard Spend")</f>
        <v>Standard Spend</v>
      </c>
    </row>
    <row r="471" spans="1:14" x14ac:dyDescent="0.3">
      <c r="A471" s="1" t="s">
        <v>494</v>
      </c>
      <c r="B471" s="2" t="s">
        <v>12</v>
      </c>
      <c r="C471" s="2" t="s">
        <v>13</v>
      </c>
      <c r="D471" s="2">
        <v>13</v>
      </c>
      <c r="E471" s="2" t="s">
        <v>14</v>
      </c>
      <c r="F471" s="2" t="s">
        <v>15</v>
      </c>
      <c r="G471" s="7">
        <v>55.95</v>
      </c>
      <c r="H471" s="7">
        <v>734.35</v>
      </c>
      <c r="I471" s="2" t="s">
        <v>16</v>
      </c>
      <c r="J471" s="2" t="s">
        <v>15</v>
      </c>
      <c r="K471" s="2" t="s">
        <v>17</v>
      </c>
      <c r="L471" s="7">
        <v>734.35</v>
      </c>
      <c r="M471" s="2" t="str">
        <f>_xlfn.IFS(TelecomData[[#This Row],[TenureMonths]]&lt;=12, "0-1 Year", TelecomData[[#This Row],[TenureMonths]]&lt;=36, "1-3 Years", TelecomData[[#This Row],[TenureMonths]]&gt;36, "3+ Years")</f>
        <v>1-3 Years</v>
      </c>
      <c r="N471" s="2" t="str">
        <f>IF(TelecomData[[#This Row],[CleanedTotalCharges]]&gt;=2500,"High Spend", "Standard Spend")</f>
        <v>Standard Spend</v>
      </c>
    </row>
    <row r="472" spans="1:14" x14ac:dyDescent="0.3">
      <c r="A472" s="1" t="s">
        <v>495</v>
      </c>
      <c r="B472" s="2" t="s">
        <v>12</v>
      </c>
      <c r="C472" s="2" t="s">
        <v>20</v>
      </c>
      <c r="D472" s="2">
        <v>17</v>
      </c>
      <c r="E472" s="2" t="s">
        <v>15</v>
      </c>
      <c r="F472" s="2" t="s">
        <v>36</v>
      </c>
      <c r="G472" s="7">
        <v>20.65</v>
      </c>
      <c r="H472" s="7">
        <v>330.6</v>
      </c>
      <c r="I472" s="2" t="s">
        <v>15</v>
      </c>
      <c r="J472" s="2" t="s">
        <v>15</v>
      </c>
      <c r="K472" s="2" t="s">
        <v>21</v>
      </c>
      <c r="L472" s="7">
        <v>330.6</v>
      </c>
      <c r="M472" s="2" t="str">
        <f>_xlfn.IFS(TelecomData[[#This Row],[TenureMonths]]&lt;=12, "0-1 Year", TelecomData[[#This Row],[TenureMonths]]&lt;=36, "1-3 Years", TelecomData[[#This Row],[TenureMonths]]&gt;36, "3+ Years")</f>
        <v>1-3 Years</v>
      </c>
      <c r="N472" s="2" t="str">
        <f>IF(TelecomData[[#This Row],[CleanedTotalCharges]]&gt;=2500,"High Spend", "Standard Spend")</f>
        <v>Standard Spend</v>
      </c>
    </row>
    <row r="473" spans="1:14" x14ac:dyDescent="0.3">
      <c r="A473" s="1" t="s">
        <v>496</v>
      </c>
      <c r="B473" s="2" t="s">
        <v>19</v>
      </c>
      <c r="C473" s="2" t="s">
        <v>13</v>
      </c>
      <c r="D473" s="2">
        <v>1</v>
      </c>
      <c r="E473" s="2" t="s">
        <v>14</v>
      </c>
      <c r="F473" s="2" t="s">
        <v>15</v>
      </c>
      <c r="G473" s="7">
        <v>55</v>
      </c>
      <c r="H473" s="7">
        <v>55</v>
      </c>
      <c r="I473" s="2" t="s">
        <v>16</v>
      </c>
      <c r="J473" s="2" t="s">
        <v>16</v>
      </c>
      <c r="K473" s="2" t="s">
        <v>17</v>
      </c>
      <c r="L473" s="7">
        <v>55</v>
      </c>
      <c r="M473" s="2" t="str">
        <f>_xlfn.IFS(TelecomData[[#This Row],[TenureMonths]]&lt;=12, "0-1 Year", TelecomData[[#This Row],[TenureMonths]]&lt;=36, "1-3 Years", TelecomData[[#This Row],[TenureMonths]]&gt;36, "3+ Years")</f>
        <v>0-1 Year</v>
      </c>
      <c r="N473" s="2" t="str">
        <f>IF(TelecomData[[#This Row],[CleanedTotalCharges]]&gt;=2500,"High Spend", "Standard Spend")</f>
        <v>Standard Spend</v>
      </c>
    </row>
    <row r="474" spans="1:14" x14ac:dyDescent="0.3">
      <c r="A474" s="1" t="s">
        <v>497</v>
      </c>
      <c r="B474" s="2" t="s">
        <v>19</v>
      </c>
      <c r="C474" s="2" t="s">
        <v>13</v>
      </c>
      <c r="D474" s="2">
        <v>9</v>
      </c>
      <c r="E474" s="2" t="s">
        <v>14</v>
      </c>
      <c r="F474" s="2" t="s">
        <v>15</v>
      </c>
      <c r="G474" s="7">
        <v>70.05</v>
      </c>
      <c r="H474" s="7">
        <v>564.4</v>
      </c>
      <c r="I474" s="2" t="s">
        <v>15</v>
      </c>
      <c r="J474" s="2" t="s">
        <v>16</v>
      </c>
      <c r="K474" s="2" t="s">
        <v>21</v>
      </c>
      <c r="L474" s="7">
        <v>564.4</v>
      </c>
      <c r="M474" s="2" t="str">
        <f>_xlfn.IFS(TelecomData[[#This Row],[TenureMonths]]&lt;=12, "0-1 Year", TelecomData[[#This Row],[TenureMonths]]&lt;=36, "1-3 Years", TelecomData[[#This Row],[TenureMonths]]&gt;36, "3+ Years")</f>
        <v>0-1 Year</v>
      </c>
      <c r="N474" s="2" t="str">
        <f>IF(TelecomData[[#This Row],[CleanedTotalCharges]]&gt;=2500,"High Spend", "Standard Spend")</f>
        <v>Standard Spend</v>
      </c>
    </row>
    <row r="475" spans="1:14" x14ac:dyDescent="0.3">
      <c r="A475" s="1" t="s">
        <v>498</v>
      </c>
      <c r="B475" s="2" t="s">
        <v>19</v>
      </c>
      <c r="C475" s="2" t="s">
        <v>13</v>
      </c>
      <c r="D475" s="2">
        <v>24</v>
      </c>
      <c r="E475" s="2" t="s">
        <v>14</v>
      </c>
      <c r="F475" s="2" t="s">
        <v>16</v>
      </c>
      <c r="G475" s="7">
        <v>53.6</v>
      </c>
      <c r="H475" s="7">
        <v>1315.35</v>
      </c>
      <c r="I475" s="2" t="s">
        <v>15</v>
      </c>
      <c r="J475" s="2" t="s">
        <v>15</v>
      </c>
      <c r="K475" s="2" t="s">
        <v>21</v>
      </c>
      <c r="L475" s="7">
        <v>1315.35</v>
      </c>
      <c r="M475" s="2" t="str">
        <f>_xlfn.IFS(TelecomData[[#This Row],[TenureMonths]]&lt;=12, "0-1 Year", TelecomData[[#This Row],[TenureMonths]]&lt;=36, "1-3 Years", TelecomData[[#This Row],[TenureMonths]]&gt;36, "3+ Years")</f>
        <v>1-3 Years</v>
      </c>
      <c r="N475" s="2" t="str">
        <f>IF(TelecomData[[#This Row],[CleanedTotalCharges]]&gt;=2500,"High Spend", "Standard Spend")</f>
        <v>Standard Spend</v>
      </c>
    </row>
    <row r="476" spans="1:14" x14ac:dyDescent="0.3">
      <c r="A476" s="1" t="s">
        <v>499</v>
      </c>
      <c r="B476" s="2" t="s">
        <v>12</v>
      </c>
      <c r="C476" s="2" t="s">
        <v>13</v>
      </c>
      <c r="D476" s="2">
        <v>1</v>
      </c>
      <c r="E476" s="2" t="s">
        <v>26</v>
      </c>
      <c r="F476" s="2" t="s">
        <v>15</v>
      </c>
      <c r="G476" s="7">
        <v>74.7</v>
      </c>
      <c r="H476" s="7">
        <v>74.7</v>
      </c>
      <c r="I476" s="2" t="s">
        <v>16</v>
      </c>
      <c r="J476" s="2" t="s">
        <v>16</v>
      </c>
      <c r="K476" s="2" t="s">
        <v>17</v>
      </c>
      <c r="L476" s="7">
        <v>74.7</v>
      </c>
      <c r="M476" s="2" t="str">
        <f>_xlfn.IFS(TelecomData[[#This Row],[TenureMonths]]&lt;=12, "0-1 Year", TelecomData[[#This Row],[TenureMonths]]&lt;=36, "1-3 Years", TelecomData[[#This Row],[TenureMonths]]&gt;36, "3+ Years")</f>
        <v>0-1 Year</v>
      </c>
      <c r="N476" s="2" t="str">
        <f>IF(TelecomData[[#This Row],[CleanedTotalCharges]]&gt;=2500,"High Spend", "Standard Spend")</f>
        <v>Standard Spend</v>
      </c>
    </row>
    <row r="477" spans="1:14" x14ac:dyDescent="0.3">
      <c r="A477" s="1" t="s">
        <v>500</v>
      </c>
      <c r="B477" s="2" t="s">
        <v>19</v>
      </c>
      <c r="C477" s="2" t="s">
        <v>13</v>
      </c>
      <c r="D477" s="2">
        <v>24</v>
      </c>
      <c r="E477" s="2" t="s">
        <v>26</v>
      </c>
      <c r="F477" s="2" t="s">
        <v>15</v>
      </c>
      <c r="G477" s="7">
        <v>80.25</v>
      </c>
      <c r="H477" s="7">
        <v>1861.5</v>
      </c>
      <c r="I477" s="2" t="s">
        <v>16</v>
      </c>
      <c r="J477" s="2" t="s">
        <v>16</v>
      </c>
      <c r="K477" s="2" t="s">
        <v>17</v>
      </c>
      <c r="L477" s="7">
        <v>1861.5</v>
      </c>
      <c r="M477" s="2" t="str">
        <f>_xlfn.IFS(TelecomData[[#This Row],[TenureMonths]]&lt;=12, "0-1 Year", TelecomData[[#This Row],[TenureMonths]]&lt;=36, "1-3 Years", TelecomData[[#This Row],[TenureMonths]]&gt;36, "3+ Years")</f>
        <v>1-3 Years</v>
      </c>
      <c r="N477" s="2" t="str">
        <f>IF(TelecomData[[#This Row],[CleanedTotalCharges]]&gt;=2500,"High Spend", "Standard Spend")</f>
        <v>Standard Spend</v>
      </c>
    </row>
    <row r="478" spans="1:14" x14ac:dyDescent="0.3">
      <c r="A478" s="1" t="s">
        <v>501</v>
      </c>
      <c r="B478" s="2" t="s">
        <v>19</v>
      </c>
      <c r="C478" s="2" t="s">
        <v>13</v>
      </c>
      <c r="D478" s="2">
        <v>35</v>
      </c>
      <c r="E478" s="2" t="s">
        <v>14</v>
      </c>
      <c r="F478" s="2" t="s">
        <v>16</v>
      </c>
      <c r="G478" s="7">
        <v>76.05</v>
      </c>
      <c r="H478" s="7">
        <v>2747.2</v>
      </c>
      <c r="I478" s="2" t="s">
        <v>15</v>
      </c>
      <c r="J478" s="2" t="s">
        <v>16</v>
      </c>
      <c r="K478" s="2" t="s">
        <v>17</v>
      </c>
      <c r="L478" s="7">
        <v>2747.2</v>
      </c>
      <c r="M478" s="2" t="str">
        <f>_xlfn.IFS(TelecomData[[#This Row],[TenureMonths]]&lt;=12, "0-1 Year", TelecomData[[#This Row],[TenureMonths]]&lt;=36, "1-3 Years", TelecomData[[#This Row],[TenureMonths]]&gt;36, "3+ Years")</f>
        <v>1-3 Years</v>
      </c>
      <c r="N478" s="2" t="str">
        <f>IF(TelecomData[[#This Row],[CleanedTotalCharges]]&gt;=2500,"High Spend", "Standard Spend")</f>
        <v>High Spend</v>
      </c>
    </row>
    <row r="479" spans="1:14" x14ac:dyDescent="0.3">
      <c r="A479" s="1" t="s">
        <v>502</v>
      </c>
      <c r="B479" s="2" t="s">
        <v>12</v>
      </c>
      <c r="C479" s="2" t="s">
        <v>13</v>
      </c>
      <c r="D479" s="2">
        <v>7</v>
      </c>
      <c r="E479" s="2" t="s">
        <v>14</v>
      </c>
      <c r="F479" s="2" t="s">
        <v>16</v>
      </c>
      <c r="G479" s="7">
        <v>75.7</v>
      </c>
      <c r="H479" s="7">
        <v>554.04999999999995</v>
      </c>
      <c r="I479" s="2" t="s">
        <v>15</v>
      </c>
      <c r="J479" s="2" t="s">
        <v>16</v>
      </c>
      <c r="K479" s="2" t="s">
        <v>17</v>
      </c>
      <c r="L479" s="7">
        <v>554.04999999999995</v>
      </c>
      <c r="M479" s="2" t="str">
        <f>_xlfn.IFS(TelecomData[[#This Row],[TenureMonths]]&lt;=12, "0-1 Year", TelecomData[[#This Row],[TenureMonths]]&lt;=36, "1-3 Years", TelecomData[[#This Row],[TenureMonths]]&gt;36, "3+ Years")</f>
        <v>0-1 Year</v>
      </c>
      <c r="N479" s="2" t="str">
        <f>IF(TelecomData[[#This Row],[CleanedTotalCharges]]&gt;=2500,"High Spend", "Standard Spend")</f>
        <v>Standard Spend</v>
      </c>
    </row>
    <row r="480" spans="1:14" x14ac:dyDescent="0.3">
      <c r="A480" s="1" t="s">
        <v>503</v>
      </c>
      <c r="B480" s="2" t="s">
        <v>19</v>
      </c>
      <c r="C480" s="2" t="s">
        <v>13</v>
      </c>
      <c r="D480" s="2">
        <v>5</v>
      </c>
      <c r="E480" s="2" t="s">
        <v>26</v>
      </c>
      <c r="F480" s="2" t="s">
        <v>16</v>
      </c>
      <c r="G480" s="7">
        <v>96.1</v>
      </c>
      <c r="H480" s="7">
        <v>453.4</v>
      </c>
      <c r="I480" s="2" t="s">
        <v>16</v>
      </c>
      <c r="J480" s="2" t="s">
        <v>16</v>
      </c>
      <c r="K480" s="2" t="s">
        <v>17</v>
      </c>
      <c r="L480" s="7">
        <v>453.4</v>
      </c>
      <c r="M480" s="2" t="str">
        <f>_xlfn.IFS(TelecomData[[#This Row],[TenureMonths]]&lt;=12, "0-1 Year", TelecomData[[#This Row],[TenureMonths]]&lt;=36, "1-3 Years", TelecomData[[#This Row],[TenureMonths]]&gt;36, "3+ Years")</f>
        <v>0-1 Year</v>
      </c>
      <c r="N480" s="2" t="str">
        <f>IF(TelecomData[[#This Row],[CleanedTotalCharges]]&gt;=2500,"High Spend", "Standard Spend")</f>
        <v>Standard Spend</v>
      </c>
    </row>
    <row r="481" spans="1:14" x14ac:dyDescent="0.3">
      <c r="A481" s="1" t="s">
        <v>504</v>
      </c>
      <c r="B481" s="2" t="s">
        <v>12</v>
      </c>
      <c r="C481" s="2" t="s">
        <v>13</v>
      </c>
      <c r="D481" s="2">
        <v>15</v>
      </c>
      <c r="E481" s="2" t="s">
        <v>26</v>
      </c>
      <c r="F481" s="2" t="s">
        <v>15</v>
      </c>
      <c r="G481" s="7">
        <v>69</v>
      </c>
      <c r="H481" s="7">
        <v>994.8</v>
      </c>
      <c r="I481" s="2" t="s">
        <v>16</v>
      </c>
      <c r="J481" s="2" t="s">
        <v>15</v>
      </c>
      <c r="K481" s="2" t="s">
        <v>24</v>
      </c>
      <c r="L481" s="7">
        <v>994.8</v>
      </c>
      <c r="M481" s="2" t="str">
        <f>_xlfn.IFS(TelecomData[[#This Row],[TenureMonths]]&lt;=12, "0-1 Year", TelecomData[[#This Row],[TenureMonths]]&lt;=36, "1-3 Years", TelecomData[[#This Row],[TenureMonths]]&gt;36, "3+ Years")</f>
        <v>1-3 Years</v>
      </c>
      <c r="N481" s="2" t="str">
        <f>IF(TelecomData[[#This Row],[CleanedTotalCharges]]&gt;=2500,"High Spend", "Standard Spend")</f>
        <v>Standard Spend</v>
      </c>
    </row>
    <row r="482" spans="1:14" x14ac:dyDescent="0.3">
      <c r="A482" s="1" t="s">
        <v>505</v>
      </c>
      <c r="B482" s="2" t="s">
        <v>19</v>
      </c>
      <c r="C482" s="2" t="s">
        <v>35</v>
      </c>
      <c r="D482" s="2">
        <v>11</v>
      </c>
      <c r="E482" s="2" t="s">
        <v>15</v>
      </c>
      <c r="F482" s="2" t="s">
        <v>36</v>
      </c>
      <c r="G482" s="7">
        <v>19.649999999999999</v>
      </c>
      <c r="H482" s="7">
        <v>225.75</v>
      </c>
      <c r="I482" s="2" t="s">
        <v>15</v>
      </c>
      <c r="J482" s="2" t="s">
        <v>15</v>
      </c>
      <c r="K482" s="2" t="s">
        <v>21</v>
      </c>
      <c r="L482" s="7">
        <v>225.75</v>
      </c>
      <c r="M482" s="2" t="str">
        <f>_xlfn.IFS(TelecomData[[#This Row],[TenureMonths]]&lt;=12, "0-1 Year", TelecomData[[#This Row],[TenureMonths]]&lt;=36, "1-3 Years", TelecomData[[#This Row],[TenureMonths]]&gt;36, "3+ Years")</f>
        <v>0-1 Year</v>
      </c>
      <c r="N482" s="2" t="str">
        <f>IF(TelecomData[[#This Row],[CleanedTotalCharges]]&gt;=2500,"High Spend", "Standard Spend")</f>
        <v>Standard Spend</v>
      </c>
    </row>
    <row r="483" spans="1:14" x14ac:dyDescent="0.3">
      <c r="A483" s="1" t="s">
        <v>506</v>
      </c>
      <c r="B483" s="2" t="s">
        <v>12</v>
      </c>
      <c r="C483" s="2" t="s">
        <v>13</v>
      </c>
      <c r="D483" s="2">
        <v>48</v>
      </c>
      <c r="E483" s="2" t="s">
        <v>14</v>
      </c>
      <c r="F483" s="2" t="s">
        <v>15</v>
      </c>
      <c r="G483" s="7">
        <v>45.3</v>
      </c>
      <c r="H483" s="7">
        <v>2145</v>
      </c>
      <c r="I483" s="2" t="s">
        <v>16</v>
      </c>
      <c r="J483" s="2" t="s">
        <v>16</v>
      </c>
      <c r="K483" s="2" t="s">
        <v>24</v>
      </c>
      <c r="L483" s="7">
        <v>2145</v>
      </c>
      <c r="M483" s="2" t="str">
        <f>_xlfn.IFS(TelecomData[[#This Row],[TenureMonths]]&lt;=12, "0-1 Year", TelecomData[[#This Row],[TenureMonths]]&lt;=36, "1-3 Years", TelecomData[[#This Row],[TenureMonths]]&gt;36, "3+ Years")</f>
        <v>3+ Years</v>
      </c>
      <c r="N483" s="2" t="str">
        <f>IF(TelecomData[[#This Row],[CleanedTotalCharges]]&gt;=2500,"High Spend", "Standard Spend")</f>
        <v>Standard Spend</v>
      </c>
    </row>
    <row r="484" spans="1:14" x14ac:dyDescent="0.3">
      <c r="A484" s="1" t="s">
        <v>507</v>
      </c>
      <c r="B484" s="2" t="s">
        <v>12</v>
      </c>
      <c r="C484" s="2" t="s">
        <v>13</v>
      </c>
      <c r="D484" s="2">
        <v>20</v>
      </c>
      <c r="E484" s="2" t="s">
        <v>26</v>
      </c>
      <c r="F484" s="2" t="s">
        <v>15</v>
      </c>
      <c r="G484" s="7">
        <v>81.45</v>
      </c>
      <c r="H484" s="7">
        <v>1671.6</v>
      </c>
      <c r="I484" s="2" t="s">
        <v>15</v>
      </c>
      <c r="J484" s="2" t="s">
        <v>16</v>
      </c>
      <c r="K484" s="2" t="s">
        <v>17</v>
      </c>
      <c r="L484" s="7">
        <v>1671.6</v>
      </c>
      <c r="M484" s="2" t="str">
        <f>_xlfn.IFS(TelecomData[[#This Row],[TenureMonths]]&lt;=12, "0-1 Year", TelecomData[[#This Row],[TenureMonths]]&lt;=36, "1-3 Years", TelecomData[[#This Row],[TenureMonths]]&gt;36, "3+ Years")</f>
        <v>1-3 Years</v>
      </c>
      <c r="N484" s="2" t="str">
        <f>IF(TelecomData[[#This Row],[CleanedTotalCharges]]&gt;=2500,"High Spend", "Standard Spend")</f>
        <v>Standard Spend</v>
      </c>
    </row>
    <row r="485" spans="1:14" x14ac:dyDescent="0.3">
      <c r="A485" s="1" t="s">
        <v>508</v>
      </c>
      <c r="B485" s="2" t="s">
        <v>12</v>
      </c>
      <c r="C485" s="2" t="s">
        <v>20</v>
      </c>
      <c r="D485" s="2">
        <v>72</v>
      </c>
      <c r="E485" s="2" t="s">
        <v>26</v>
      </c>
      <c r="F485" s="2" t="s">
        <v>16</v>
      </c>
      <c r="G485" s="7">
        <v>108.5</v>
      </c>
      <c r="H485" s="7">
        <v>8003.8</v>
      </c>
      <c r="I485" s="2" t="s">
        <v>15</v>
      </c>
      <c r="J485" s="2" t="s">
        <v>16</v>
      </c>
      <c r="K485" s="2" t="s">
        <v>24</v>
      </c>
      <c r="L485" s="7">
        <v>8003.8</v>
      </c>
      <c r="M485" s="2" t="str">
        <f>_xlfn.IFS(TelecomData[[#This Row],[TenureMonths]]&lt;=12, "0-1 Year", TelecomData[[#This Row],[TenureMonths]]&lt;=36, "1-3 Years", TelecomData[[#This Row],[TenureMonths]]&gt;36, "3+ Years")</f>
        <v>3+ Years</v>
      </c>
      <c r="N485" s="2" t="str">
        <f>IF(TelecomData[[#This Row],[CleanedTotalCharges]]&gt;=2500,"High Spend", "Standard Spend")</f>
        <v>High Spend</v>
      </c>
    </row>
    <row r="486" spans="1:14" x14ac:dyDescent="0.3">
      <c r="A486" s="1" t="s">
        <v>509</v>
      </c>
      <c r="B486" s="2" t="s">
        <v>12</v>
      </c>
      <c r="C486" s="2" t="s">
        <v>13</v>
      </c>
      <c r="D486" s="2">
        <v>8</v>
      </c>
      <c r="E486" s="2" t="s">
        <v>26</v>
      </c>
      <c r="F486" s="2" t="s">
        <v>15</v>
      </c>
      <c r="G486" s="7">
        <v>83.55</v>
      </c>
      <c r="H486" s="7">
        <v>680.05</v>
      </c>
      <c r="I486" s="2" t="s">
        <v>16</v>
      </c>
      <c r="J486" s="2" t="s">
        <v>16</v>
      </c>
      <c r="K486" s="2" t="s">
        <v>17</v>
      </c>
      <c r="L486" s="7">
        <v>680.05</v>
      </c>
      <c r="M486" s="2" t="str">
        <f>_xlfn.IFS(TelecomData[[#This Row],[TenureMonths]]&lt;=12, "0-1 Year", TelecomData[[#This Row],[TenureMonths]]&lt;=36, "1-3 Years", TelecomData[[#This Row],[TenureMonths]]&gt;36, "3+ Years")</f>
        <v>0-1 Year</v>
      </c>
      <c r="N486" s="2" t="str">
        <f>IF(TelecomData[[#This Row],[CleanedTotalCharges]]&gt;=2500,"High Spend", "Standard Spend")</f>
        <v>Standard Spend</v>
      </c>
    </row>
    <row r="487" spans="1:14" x14ac:dyDescent="0.3">
      <c r="A487" s="1" t="s">
        <v>510</v>
      </c>
      <c r="B487" s="2" t="s">
        <v>19</v>
      </c>
      <c r="C487" s="2" t="s">
        <v>35</v>
      </c>
      <c r="D487" s="2">
        <v>72</v>
      </c>
      <c r="E487" s="2" t="s">
        <v>26</v>
      </c>
      <c r="F487" s="2" t="s">
        <v>15</v>
      </c>
      <c r="G487" s="7">
        <v>84.5</v>
      </c>
      <c r="H487" s="7">
        <v>6130.85</v>
      </c>
      <c r="I487" s="2" t="s">
        <v>15</v>
      </c>
      <c r="J487" s="2" t="s">
        <v>16</v>
      </c>
      <c r="K487" s="2" t="s">
        <v>29</v>
      </c>
      <c r="L487" s="7">
        <v>6130.85</v>
      </c>
      <c r="M487" s="2" t="str">
        <f>_xlfn.IFS(TelecomData[[#This Row],[TenureMonths]]&lt;=12, "0-1 Year", TelecomData[[#This Row],[TenureMonths]]&lt;=36, "1-3 Years", TelecomData[[#This Row],[TenureMonths]]&gt;36, "3+ Years")</f>
        <v>3+ Years</v>
      </c>
      <c r="N487" s="2" t="str">
        <f>IF(TelecomData[[#This Row],[CleanedTotalCharges]]&gt;=2500,"High Spend", "Standard Spend")</f>
        <v>High Spend</v>
      </c>
    </row>
    <row r="488" spans="1:14" x14ac:dyDescent="0.3">
      <c r="A488" s="1" t="s">
        <v>511</v>
      </c>
      <c r="B488" s="2" t="s">
        <v>12</v>
      </c>
      <c r="C488" s="2" t="s">
        <v>13</v>
      </c>
      <c r="D488" s="2">
        <v>15</v>
      </c>
      <c r="E488" s="2" t="s">
        <v>26</v>
      </c>
      <c r="F488" s="2" t="s">
        <v>15</v>
      </c>
      <c r="G488" s="7">
        <v>100.15</v>
      </c>
      <c r="H488" s="7">
        <v>1415</v>
      </c>
      <c r="I488" s="2" t="s">
        <v>15</v>
      </c>
      <c r="J488" s="2" t="s">
        <v>16</v>
      </c>
      <c r="K488" s="2" t="s">
        <v>17</v>
      </c>
      <c r="L488" s="7">
        <v>1415</v>
      </c>
      <c r="M488" s="2" t="str">
        <f>_xlfn.IFS(TelecomData[[#This Row],[TenureMonths]]&lt;=12, "0-1 Year", TelecomData[[#This Row],[TenureMonths]]&lt;=36, "1-3 Years", TelecomData[[#This Row],[TenureMonths]]&gt;36, "3+ Years")</f>
        <v>1-3 Years</v>
      </c>
      <c r="N488" s="2" t="str">
        <f>IF(TelecomData[[#This Row],[CleanedTotalCharges]]&gt;=2500,"High Spend", "Standard Spend")</f>
        <v>Standard Spend</v>
      </c>
    </row>
    <row r="489" spans="1:14" x14ac:dyDescent="0.3">
      <c r="A489" s="1" t="s">
        <v>512</v>
      </c>
      <c r="B489" s="2" t="s">
        <v>19</v>
      </c>
      <c r="C489" s="2" t="s">
        <v>35</v>
      </c>
      <c r="D489" s="2">
        <v>72</v>
      </c>
      <c r="E489" s="2" t="s">
        <v>14</v>
      </c>
      <c r="F489" s="2" t="s">
        <v>16</v>
      </c>
      <c r="G489" s="7">
        <v>88.6</v>
      </c>
      <c r="H489" s="7">
        <v>6201.95</v>
      </c>
      <c r="I489" s="2" t="s">
        <v>15</v>
      </c>
      <c r="J489" s="2" t="s">
        <v>16</v>
      </c>
      <c r="K489" s="2" t="s">
        <v>24</v>
      </c>
      <c r="L489" s="7">
        <v>6201.95</v>
      </c>
      <c r="M489" s="2" t="str">
        <f>_xlfn.IFS(TelecomData[[#This Row],[TenureMonths]]&lt;=12, "0-1 Year", TelecomData[[#This Row],[TenureMonths]]&lt;=36, "1-3 Years", TelecomData[[#This Row],[TenureMonths]]&gt;36, "3+ Years")</f>
        <v>3+ Years</v>
      </c>
      <c r="N489" s="2" t="str">
        <f>IF(TelecomData[[#This Row],[CleanedTotalCharges]]&gt;=2500,"High Spend", "Standard Spend")</f>
        <v>High Spend</v>
      </c>
    </row>
    <row r="490" spans="1:14" x14ac:dyDescent="0.3">
      <c r="A490" s="1" t="s">
        <v>513</v>
      </c>
      <c r="B490" s="2" t="s">
        <v>12</v>
      </c>
      <c r="C490" s="2" t="s">
        <v>35</v>
      </c>
      <c r="D490" s="2">
        <v>0</v>
      </c>
      <c r="E490" s="2" t="s">
        <v>14</v>
      </c>
      <c r="F490" s="2" t="s">
        <v>16</v>
      </c>
      <c r="G490" s="7">
        <v>52.55</v>
      </c>
      <c r="H490" s="7" t="s">
        <v>514</v>
      </c>
      <c r="I490" s="2" t="s">
        <v>15</v>
      </c>
      <c r="J490" s="2" t="s">
        <v>16</v>
      </c>
      <c r="K490" s="2" t="s">
        <v>24</v>
      </c>
      <c r="L490" s="7">
        <v>0</v>
      </c>
      <c r="M490" s="2" t="str">
        <f>_xlfn.IFS(TelecomData[[#This Row],[TenureMonths]]&lt;=12, "0-1 Year", TelecomData[[#This Row],[TenureMonths]]&lt;=36, "1-3 Years", TelecomData[[#This Row],[TenureMonths]]&gt;36, "3+ Years")</f>
        <v>0-1 Year</v>
      </c>
      <c r="N490" s="2" t="str">
        <f>IF(TelecomData[[#This Row],[CleanedTotalCharges]]&gt;=2500,"High Spend", "Standard Spend")</f>
        <v>Standard Spend</v>
      </c>
    </row>
    <row r="491" spans="1:14" x14ac:dyDescent="0.3">
      <c r="A491" s="1" t="s">
        <v>515</v>
      </c>
      <c r="B491" s="2" t="s">
        <v>19</v>
      </c>
      <c r="C491" s="2" t="s">
        <v>13</v>
      </c>
      <c r="D491" s="2">
        <v>1</v>
      </c>
      <c r="E491" s="2" t="s">
        <v>26</v>
      </c>
      <c r="F491" s="2" t="s">
        <v>15</v>
      </c>
      <c r="G491" s="7">
        <v>74.349999999999994</v>
      </c>
      <c r="H491" s="7">
        <v>74.349999999999994</v>
      </c>
      <c r="I491" s="2" t="s">
        <v>16</v>
      </c>
      <c r="J491" s="2" t="s">
        <v>16</v>
      </c>
      <c r="K491" s="2" t="s">
        <v>17</v>
      </c>
      <c r="L491" s="7">
        <v>74.349999999999994</v>
      </c>
      <c r="M491" s="2" t="str">
        <f>_xlfn.IFS(TelecomData[[#This Row],[TenureMonths]]&lt;=12, "0-1 Year", TelecomData[[#This Row],[TenureMonths]]&lt;=36, "1-3 Years", TelecomData[[#This Row],[TenureMonths]]&gt;36, "3+ Years")</f>
        <v>0-1 Year</v>
      </c>
      <c r="N491" s="2" t="str">
        <f>IF(TelecomData[[#This Row],[CleanedTotalCharges]]&gt;=2500,"High Spend", "Standard Spend")</f>
        <v>Standard Spend</v>
      </c>
    </row>
    <row r="492" spans="1:14" x14ac:dyDescent="0.3">
      <c r="A492" s="1" t="s">
        <v>516</v>
      </c>
      <c r="B492" s="2" t="s">
        <v>19</v>
      </c>
      <c r="C492" s="2" t="s">
        <v>35</v>
      </c>
      <c r="D492" s="2">
        <v>63</v>
      </c>
      <c r="E492" s="2" t="s">
        <v>26</v>
      </c>
      <c r="F492" s="2" t="s">
        <v>15</v>
      </c>
      <c r="G492" s="7">
        <v>104.8</v>
      </c>
      <c r="H492" s="7">
        <v>6597.25</v>
      </c>
      <c r="I492" s="2" t="s">
        <v>15</v>
      </c>
      <c r="J492" s="2" t="s">
        <v>16</v>
      </c>
      <c r="K492" s="2" t="s">
        <v>24</v>
      </c>
      <c r="L492" s="7">
        <v>6597.25</v>
      </c>
      <c r="M492" s="2" t="str">
        <f>_xlfn.IFS(TelecomData[[#This Row],[TenureMonths]]&lt;=12, "0-1 Year", TelecomData[[#This Row],[TenureMonths]]&lt;=36, "1-3 Years", TelecomData[[#This Row],[TenureMonths]]&gt;36, "3+ Years")</f>
        <v>3+ Years</v>
      </c>
      <c r="N492" s="2" t="str">
        <f>IF(TelecomData[[#This Row],[CleanedTotalCharges]]&gt;=2500,"High Spend", "Standard Spend")</f>
        <v>High Spend</v>
      </c>
    </row>
    <row r="493" spans="1:14" x14ac:dyDescent="0.3">
      <c r="A493" s="1" t="s">
        <v>517</v>
      </c>
      <c r="B493" s="2" t="s">
        <v>12</v>
      </c>
      <c r="C493" s="2" t="s">
        <v>13</v>
      </c>
      <c r="D493" s="2">
        <v>2</v>
      </c>
      <c r="E493" s="2" t="s">
        <v>14</v>
      </c>
      <c r="F493" s="2" t="s">
        <v>15</v>
      </c>
      <c r="G493" s="7">
        <v>59</v>
      </c>
      <c r="H493" s="7">
        <v>114.15</v>
      </c>
      <c r="I493" s="2" t="s">
        <v>15</v>
      </c>
      <c r="J493" s="2" t="s">
        <v>16</v>
      </c>
      <c r="K493" s="2" t="s">
        <v>17</v>
      </c>
      <c r="L493" s="7">
        <v>114.15</v>
      </c>
      <c r="M493" s="2" t="str">
        <f>_xlfn.IFS(TelecomData[[#This Row],[TenureMonths]]&lt;=12, "0-1 Year", TelecomData[[#This Row],[TenureMonths]]&lt;=36, "1-3 Years", TelecomData[[#This Row],[TenureMonths]]&gt;36, "3+ Years")</f>
        <v>0-1 Year</v>
      </c>
      <c r="N493" s="2" t="str">
        <f>IF(TelecomData[[#This Row],[CleanedTotalCharges]]&gt;=2500,"High Spend", "Standard Spend")</f>
        <v>Standard Spend</v>
      </c>
    </row>
    <row r="494" spans="1:14" x14ac:dyDescent="0.3">
      <c r="A494" s="1" t="s">
        <v>518</v>
      </c>
      <c r="B494" s="2" t="s">
        <v>12</v>
      </c>
      <c r="C494" s="2" t="s">
        <v>13</v>
      </c>
      <c r="D494" s="2">
        <v>2</v>
      </c>
      <c r="E494" s="2" t="s">
        <v>26</v>
      </c>
      <c r="F494" s="2" t="s">
        <v>15</v>
      </c>
      <c r="G494" s="7">
        <v>74.400000000000006</v>
      </c>
      <c r="H494" s="7">
        <v>139.4</v>
      </c>
      <c r="I494" s="2" t="s">
        <v>16</v>
      </c>
      <c r="J494" s="2" t="s">
        <v>16</v>
      </c>
      <c r="K494" s="2" t="s">
        <v>17</v>
      </c>
      <c r="L494" s="7">
        <v>139.4</v>
      </c>
      <c r="M494" s="2" t="str">
        <f>_xlfn.IFS(TelecomData[[#This Row],[TenureMonths]]&lt;=12, "0-1 Year", TelecomData[[#This Row],[TenureMonths]]&lt;=36, "1-3 Years", TelecomData[[#This Row],[TenureMonths]]&gt;36, "3+ Years")</f>
        <v>0-1 Year</v>
      </c>
      <c r="N494" s="2" t="str">
        <f>IF(TelecomData[[#This Row],[CleanedTotalCharges]]&gt;=2500,"High Spend", "Standard Spend")</f>
        <v>Standard Spend</v>
      </c>
    </row>
    <row r="495" spans="1:14" x14ac:dyDescent="0.3">
      <c r="A495" s="1" t="s">
        <v>519</v>
      </c>
      <c r="B495" s="2" t="s">
        <v>19</v>
      </c>
      <c r="C495" s="2" t="s">
        <v>20</v>
      </c>
      <c r="D495" s="2">
        <v>61</v>
      </c>
      <c r="E495" s="2" t="s">
        <v>14</v>
      </c>
      <c r="F495" s="2" t="s">
        <v>15</v>
      </c>
      <c r="G495" s="7">
        <v>64.05</v>
      </c>
      <c r="H495" s="7">
        <v>3902.6</v>
      </c>
      <c r="I495" s="2" t="s">
        <v>15</v>
      </c>
      <c r="J495" s="2" t="s">
        <v>15</v>
      </c>
      <c r="K495" s="2" t="s">
        <v>24</v>
      </c>
      <c r="L495" s="7">
        <v>3902.6</v>
      </c>
      <c r="M495" s="2" t="str">
        <f>_xlfn.IFS(TelecomData[[#This Row],[TenureMonths]]&lt;=12, "0-1 Year", TelecomData[[#This Row],[TenureMonths]]&lt;=36, "1-3 Years", TelecomData[[#This Row],[TenureMonths]]&gt;36, "3+ Years")</f>
        <v>3+ Years</v>
      </c>
      <c r="N495" s="2" t="str">
        <f>IF(TelecomData[[#This Row],[CleanedTotalCharges]]&gt;=2500,"High Spend", "Standard Spend")</f>
        <v>High Spend</v>
      </c>
    </row>
    <row r="496" spans="1:14" x14ac:dyDescent="0.3">
      <c r="A496" s="1" t="s">
        <v>520</v>
      </c>
      <c r="B496" s="2" t="s">
        <v>19</v>
      </c>
      <c r="C496" s="2" t="s">
        <v>13</v>
      </c>
      <c r="D496" s="2">
        <v>1</v>
      </c>
      <c r="E496" s="2" t="s">
        <v>15</v>
      </c>
      <c r="F496" s="2" t="s">
        <v>36</v>
      </c>
      <c r="G496" s="7">
        <v>20.399999999999999</v>
      </c>
      <c r="H496" s="7">
        <v>20.399999999999999</v>
      </c>
      <c r="I496" s="2" t="s">
        <v>15</v>
      </c>
      <c r="J496" s="2" t="s">
        <v>15</v>
      </c>
      <c r="K496" s="2" t="s">
        <v>21</v>
      </c>
      <c r="L496" s="7">
        <v>20.399999999999999</v>
      </c>
      <c r="M496" s="2" t="str">
        <f>_xlfn.IFS(TelecomData[[#This Row],[TenureMonths]]&lt;=12, "0-1 Year", TelecomData[[#This Row],[TenureMonths]]&lt;=36, "1-3 Years", TelecomData[[#This Row],[TenureMonths]]&gt;36, "3+ Years")</f>
        <v>0-1 Year</v>
      </c>
      <c r="N496" s="2" t="str">
        <f>IF(TelecomData[[#This Row],[CleanedTotalCharges]]&gt;=2500,"High Spend", "Standard Spend")</f>
        <v>Standard Spend</v>
      </c>
    </row>
    <row r="497" spans="1:14" x14ac:dyDescent="0.3">
      <c r="A497" s="1" t="s">
        <v>521</v>
      </c>
      <c r="B497" s="2" t="s">
        <v>19</v>
      </c>
      <c r="C497" s="2" t="s">
        <v>20</v>
      </c>
      <c r="D497" s="2">
        <v>22</v>
      </c>
      <c r="E497" s="2" t="s">
        <v>14</v>
      </c>
      <c r="F497" s="2" t="s">
        <v>15</v>
      </c>
      <c r="G497" s="7">
        <v>43.75</v>
      </c>
      <c r="H497" s="7">
        <v>903.6</v>
      </c>
      <c r="I497" s="2" t="s">
        <v>16</v>
      </c>
      <c r="J497" s="2" t="s">
        <v>16</v>
      </c>
      <c r="K497" s="2" t="s">
        <v>24</v>
      </c>
      <c r="L497" s="7">
        <v>903.6</v>
      </c>
      <c r="M497" s="2" t="str">
        <f>_xlfn.IFS(TelecomData[[#This Row],[TenureMonths]]&lt;=12, "0-1 Year", TelecomData[[#This Row],[TenureMonths]]&lt;=36, "1-3 Years", TelecomData[[#This Row],[TenureMonths]]&gt;36, "3+ Years")</f>
        <v>1-3 Years</v>
      </c>
      <c r="N497" s="2" t="str">
        <f>IF(TelecomData[[#This Row],[CleanedTotalCharges]]&gt;=2500,"High Spend", "Standard Spend")</f>
        <v>Standard Spend</v>
      </c>
    </row>
    <row r="498" spans="1:14" x14ac:dyDescent="0.3">
      <c r="A498" s="1" t="s">
        <v>522</v>
      </c>
      <c r="B498" s="2" t="s">
        <v>19</v>
      </c>
      <c r="C498" s="2" t="s">
        <v>13</v>
      </c>
      <c r="D498" s="2">
        <v>28</v>
      </c>
      <c r="E498" s="2" t="s">
        <v>14</v>
      </c>
      <c r="F498" s="2" t="s">
        <v>16</v>
      </c>
      <c r="G498" s="7">
        <v>60.9</v>
      </c>
      <c r="H498" s="7">
        <v>1785.65</v>
      </c>
      <c r="I498" s="2" t="s">
        <v>15</v>
      </c>
      <c r="J498" s="2" t="s">
        <v>15</v>
      </c>
      <c r="K498" s="2" t="s">
        <v>21</v>
      </c>
      <c r="L498" s="7">
        <v>1785.65</v>
      </c>
      <c r="M498" s="2" t="str">
        <f>_xlfn.IFS(TelecomData[[#This Row],[TenureMonths]]&lt;=12, "0-1 Year", TelecomData[[#This Row],[TenureMonths]]&lt;=36, "1-3 Years", TelecomData[[#This Row],[TenureMonths]]&gt;36, "3+ Years")</f>
        <v>1-3 Years</v>
      </c>
      <c r="N498" s="2" t="str">
        <f>IF(TelecomData[[#This Row],[CleanedTotalCharges]]&gt;=2500,"High Spend", "Standard Spend")</f>
        <v>Standard Spend</v>
      </c>
    </row>
    <row r="499" spans="1:14" x14ac:dyDescent="0.3">
      <c r="A499" s="1" t="s">
        <v>523</v>
      </c>
      <c r="B499" s="2" t="s">
        <v>12</v>
      </c>
      <c r="C499" s="2" t="s">
        <v>35</v>
      </c>
      <c r="D499" s="2">
        <v>70</v>
      </c>
      <c r="E499" s="2" t="s">
        <v>15</v>
      </c>
      <c r="F499" s="2" t="s">
        <v>36</v>
      </c>
      <c r="G499" s="7">
        <v>19.8</v>
      </c>
      <c r="H499" s="7">
        <v>1397.65</v>
      </c>
      <c r="I499" s="2" t="s">
        <v>15</v>
      </c>
      <c r="J499" s="2" t="s">
        <v>15</v>
      </c>
      <c r="K499" s="2" t="s">
        <v>24</v>
      </c>
      <c r="L499" s="7">
        <v>1397.65</v>
      </c>
      <c r="M499" s="2" t="str">
        <f>_xlfn.IFS(TelecomData[[#This Row],[TenureMonths]]&lt;=12, "0-1 Year", TelecomData[[#This Row],[TenureMonths]]&lt;=36, "1-3 Years", TelecomData[[#This Row],[TenureMonths]]&gt;36, "3+ Years")</f>
        <v>3+ Years</v>
      </c>
      <c r="N499" s="2" t="str">
        <f>IF(TelecomData[[#This Row],[CleanedTotalCharges]]&gt;=2500,"High Spend", "Standard Spend")</f>
        <v>Standard Spend</v>
      </c>
    </row>
    <row r="500" spans="1:14" x14ac:dyDescent="0.3">
      <c r="A500" s="1" t="s">
        <v>524</v>
      </c>
      <c r="B500" s="2" t="s">
        <v>12</v>
      </c>
      <c r="C500" s="2" t="s">
        <v>13</v>
      </c>
      <c r="D500" s="2">
        <v>5</v>
      </c>
      <c r="E500" s="2" t="s">
        <v>14</v>
      </c>
      <c r="F500" s="2" t="s">
        <v>15</v>
      </c>
      <c r="G500" s="7">
        <v>28.45</v>
      </c>
      <c r="H500" s="7">
        <v>131.05000000000001</v>
      </c>
      <c r="I500" s="2" t="s">
        <v>16</v>
      </c>
      <c r="J500" s="2" t="s">
        <v>15</v>
      </c>
      <c r="K500" s="2" t="s">
        <v>17</v>
      </c>
      <c r="L500" s="7">
        <v>131.05000000000001</v>
      </c>
      <c r="M500" s="2" t="str">
        <f>_xlfn.IFS(TelecomData[[#This Row],[TenureMonths]]&lt;=12, "0-1 Year", TelecomData[[#This Row],[TenureMonths]]&lt;=36, "1-3 Years", TelecomData[[#This Row],[TenureMonths]]&gt;36, "3+ Years")</f>
        <v>0-1 Year</v>
      </c>
      <c r="N500" s="2" t="str">
        <f>IF(TelecomData[[#This Row],[CleanedTotalCharges]]&gt;=2500,"High Spend", "Standard Spend")</f>
        <v>Standard Spend</v>
      </c>
    </row>
    <row r="501" spans="1:14" x14ac:dyDescent="0.3">
      <c r="A501" s="1" t="s">
        <v>525</v>
      </c>
      <c r="B501" s="2" t="s">
        <v>12</v>
      </c>
      <c r="C501" s="2" t="s">
        <v>13</v>
      </c>
      <c r="D501" s="2">
        <v>12</v>
      </c>
      <c r="E501" s="2" t="s">
        <v>26</v>
      </c>
      <c r="F501" s="2" t="s">
        <v>15</v>
      </c>
      <c r="G501" s="7">
        <v>99.7</v>
      </c>
      <c r="H501" s="7">
        <v>1238.45</v>
      </c>
      <c r="I501" s="2" t="s">
        <v>16</v>
      </c>
      <c r="J501" s="2" t="s">
        <v>16</v>
      </c>
      <c r="K501" s="2" t="s">
        <v>24</v>
      </c>
      <c r="L501" s="7">
        <v>1238.45</v>
      </c>
      <c r="M501" s="2" t="str">
        <f>_xlfn.IFS(TelecomData[[#This Row],[TenureMonths]]&lt;=12, "0-1 Year", TelecomData[[#This Row],[TenureMonths]]&lt;=36, "1-3 Years", TelecomData[[#This Row],[TenureMonths]]&gt;36, "3+ Years")</f>
        <v>0-1 Year</v>
      </c>
      <c r="N501" s="2" t="str">
        <f>IF(TelecomData[[#This Row],[CleanedTotalCharges]]&gt;=2500,"High Spend", "Standard Spend")</f>
        <v>Standard Spend</v>
      </c>
    </row>
    <row r="502" spans="1:14" x14ac:dyDescent="0.3">
      <c r="A502" s="1" t="s">
        <v>526</v>
      </c>
      <c r="B502" s="2" t="s">
        <v>19</v>
      </c>
      <c r="C502" s="2" t="s">
        <v>20</v>
      </c>
      <c r="D502" s="2">
        <v>34</v>
      </c>
      <c r="E502" s="2" t="s">
        <v>26</v>
      </c>
      <c r="F502" s="2" t="s">
        <v>16</v>
      </c>
      <c r="G502" s="7">
        <v>116.25</v>
      </c>
      <c r="H502" s="7">
        <v>3899.05</v>
      </c>
      <c r="I502" s="2" t="s">
        <v>15</v>
      </c>
      <c r="J502" s="2" t="s">
        <v>15</v>
      </c>
      <c r="K502" s="2" t="s">
        <v>29</v>
      </c>
      <c r="L502" s="7">
        <v>3899.05</v>
      </c>
      <c r="M502" s="2" t="str">
        <f>_xlfn.IFS(TelecomData[[#This Row],[TenureMonths]]&lt;=12, "0-1 Year", TelecomData[[#This Row],[TenureMonths]]&lt;=36, "1-3 Years", TelecomData[[#This Row],[TenureMonths]]&gt;36, "3+ Years")</f>
        <v>1-3 Years</v>
      </c>
      <c r="N502" s="2" t="str">
        <f>IF(TelecomData[[#This Row],[CleanedTotalCharges]]&gt;=2500,"High Spend", "Standard Spend")</f>
        <v>High Spend</v>
      </c>
    </row>
    <row r="503" spans="1:14" x14ac:dyDescent="0.3">
      <c r="A503" s="1" t="s">
        <v>527</v>
      </c>
      <c r="B503" s="2" t="s">
        <v>12</v>
      </c>
      <c r="C503" s="2" t="s">
        <v>35</v>
      </c>
      <c r="D503" s="2">
        <v>71</v>
      </c>
      <c r="E503" s="2" t="s">
        <v>26</v>
      </c>
      <c r="F503" s="2" t="s">
        <v>15</v>
      </c>
      <c r="G503" s="7">
        <v>80.7</v>
      </c>
      <c r="H503" s="7">
        <v>5676</v>
      </c>
      <c r="I503" s="2" t="s">
        <v>15</v>
      </c>
      <c r="J503" s="2" t="s">
        <v>16</v>
      </c>
      <c r="K503" s="2" t="s">
        <v>29</v>
      </c>
      <c r="L503" s="7">
        <v>5676</v>
      </c>
      <c r="M503" s="2" t="str">
        <f>_xlfn.IFS(TelecomData[[#This Row],[TenureMonths]]&lt;=12, "0-1 Year", TelecomData[[#This Row],[TenureMonths]]&lt;=36, "1-3 Years", TelecomData[[#This Row],[TenureMonths]]&gt;36, "3+ Years")</f>
        <v>3+ Years</v>
      </c>
      <c r="N503" s="2" t="str">
        <f>IF(TelecomData[[#This Row],[CleanedTotalCharges]]&gt;=2500,"High Spend", "Standard Spend")</f>
        <v>High Spend</v>
      </c>
    </row>
    <row r="504" spans="1:14" x14ac:dyDescent="0.3">
      <c r="A504" s="1" t="s">
        <v>528</v>
      </c>
      <c r="B504" s="2" t="s">
        <v>12</v>
      </c>
      <c r="C504" s="2" t="s">
        <v>20</v>
      </c>
      <c r="D504" s="2">
        <v>70</v>
      </c>
      <c r="E504" s="2" t="s">
        <v>14</v>
      </c>
      <c r="F504" s="2" t="s">
        <v>15</v>
      </c>
      <c r="G504" s="7">
        <v>65.2</v>
      </c>
      <c r="H504" s="7">
        <v>4543.1499999999996</v>
      </c>
      <c r="I504" s="2" t="s">
        <v>15</v>
      </c>
      <c r="J504" s="2" t="s">
        <v>15</v>
      </c>
      <c r="K504" s="2" t="s">
        <v>24</v>
      </c>
      <c r="L504" s="7">
        <v>4543.1499999999996</v>
      </c>
      <c r="M504" s="2" t="str">
        <f>_xlfn.IFS(TelecomData[[#This Row],[TenureMonths]]&lt;=12, "0-1 Year", TelecomData[[#This Row],[TenureMonths]]&lt;=36, "1-3 Years", TelecomData[[#This Row],[TenureMonths]]&gt;36, "3+ Years")</f>
        <v>3+ Years</v>
      </c>
      <c r="N504" s="2" t="str">
        <f>IF(TelecomData[[#This Row],[CleanedTotalCharges]]&gt;=2500,"High Spend", "Standard Spend")</f>
        <v>High Spend</v>
      </c>
    </row>
    <row r="505" spans="1:14" x14ac:dyDescent="0.3">
      <c r="A505" s="1" t="s">
        <v>529</v>
      </c>
      <c r="B505" s="2" t="s">
        <v>12</v>
      </c>
      <c r="C505" s="2" t="s">
        <v>13</v>
      </c>
      <c r="D505" s="2">
        <v>52</v>
      </c>
      <c r="E505" s="2" t="s">
        <v>26</v>
      </c>
      <c r="F505" s="2" t="s">
        <v>16</v>
      </c>
      <c r="G505" s="7">
        <v>84.05</v>
      </c>
      <c r="H505" s="7">
        <v>4326.8</v>
      </c>
      <c r="I505" s="2" t="s">
        <v>15</v>
      </c>
      <c r="J505" s="2" t="s">
        <v>16</v>
      </c>
      <c r="K505" s="2" t="s">
        <v>24</v>
      </c>
      <c r="L505" s="7">
        <v>4326.8</v>
      </c>
      <c r="M505" s="2" t="str">
        <f>_xlfn.IFS(TelecomData[[#This Row],[TenureMonths]]&lt;=12, "0-1 Year", TelecomData[[#This Row],[TenureMonths]]&lt;=36, "1-3 Years", TelecomData[[#This Row],[TenureMonths]]&gt;36, "3+ Years")</f>
        <v>3+ Years</v>
      </c>
      <c r="N505" s="2" t="str">
        <f>IF(TelecomData[[#This Row],[CleanedTotalCharges]]&gt;=2500,"High Spend", "Standard Spend")</f>
        <v>High Spend</v>
      </c>
    </row>
    <row r="506" spans="1:14" x14ac:dyDescent="0.3">
      <c r="A506" s="1" t="s">
        <v>530</v>
      </c>
      <c r="B506" s="2" t="s">
        <v>19</v>
      </c>
      <c r="C506" s="2" t="s">
        <v>35</v>
      </c>
      <c r="D506" s="2">
        <v>69</v>
      </c>
      <c r="E506" s="2" t="s">
        <v>14</v>
      </c>
      <c r="F506" s="2" t="s">
        <v>16</v>
      </c>
      <c r="G506" s="7">
        <v>79.45</v>
      </c>
      <c r="H506" s="7">
        <v>5502.55</v>
      </c>
      <c r="I506" s="2" t="s">
        <v>15</v>
      </c>
      <c r="J506" s="2" t="s">
        <v>16</v>
      </c>
      <c r="K506" s="2" t="s">
        <v>29</v>
      </c>
      <c r="L506" s="7">
        <v>5502.55</v>
      </c>
      <c r="M506" s="2" t="str">
        <f>_xlfn.IFS(TelecomData[[#This Row],[TenureMonths]]&lt;=12, "0-1 Year", TelecomData[[#This Row],[TenureMonths]]&lt;=36, "1-3 Years", TelecomData[[#This Row],[TenureMonths]]&gt;36, "3+ Years")</f>
        <v>3+ Years</v>
      </c>
      <c r="N506" s="2" t="str">
        <f>IF(TelecomData[[#This Row],[CleanedTotalCharges]]&gt;=2500,"High Spend", "Standard Spend")</f>
        <v>High Spend</v>
      </c>
    </row>
    <row r="507" spans="1:14" x14ac:dyDescent="0.3">
      <c r="A507" s="1" t="s">
        <v>531</v>
      </c>
      <c r="B507" s="2" t="s">
        <v>12</v>
      </c>
      <c r="C507" s="2" t="s">
        <v>13</v>
      </c>
      <c r="D507" s="2">
        <v>20</v>
      </c>
      <c r="E507" s="2" t="s">
        <v>26</v>
      </c>
      <c r="F507" s="2" t="s">
        <v>15</v>
      </c>
      <c r="G507" s="7">
        <v>94.1</v>
      </c>
      <c r="H507" s="7">
        <v>1782.4</v>
      </c>
      <c r="I507" s="2" t="s">
        <v>16</v>
      </c>
      <c r="J507" s="2" t="s">
        <v>16</v>
      </c>
      <c r="K507" s="2" t="s">
        <v>17</v>
      </c>
      <c r="L507" s="7">
        <v>1782.4</v>
      </c>
      <c r="M507" s="2" t="str">
        <f>_xlfn.IFS(TelecomData[[#This Row],[TenureMonths]]&lt;=12, "0-1 Year", TelecomData[[#This Row],[TenureMonths]]&lt;=36, "1-3 Years", TelecomData[[#This Row],[TenureMonths]]&gt;36, "3+ Years")</f>
        <v>1-3 Years</v>
      </c>
      <c r="N507" s="2" t="str">
        <f>IF(TelecomData[[#This Row],[CleanedTotalCharges]]&gt;=2500,"High Spend", "Standard Spend")</f>
        <v>Standard Spend</v>
      </c>
    </row>
    <row r="508" spans="1:14" x14ac:dyDescent="0.3">
      <c r="A508" s="1" t="s">
        <v>532</v>
      </c>
      <c r="B508" s="2" t="s">
        <v>19</v>
      </c>
      <c r="C508" s="2" t="s">
        <v>13</v>
      </c>
      <c r="D508" s="2">
        <v>11</v>
      </c>
      <c r="E508" s="2" t="s">
        <v>26</v>
      </c>
      <c r="F508" s="2" t="s">
        <v>15</v>
      </c>
      <c r="G508" s="7">
        <v>78</v>
      </c>
      <c r="H508" s="7">
        <v>851.8</v>
      </c>
      <c r="I508" s="2" t="s">
        <v>15</v>
      </c>
      <c r="J508" s="2" t="s">
        <v>16</v>
      </c>
      <c r="K508" s="2" t="s">
        <v>21</v>
      </c>
      <c r="L508" s="7">
        <v>851.8</v>
      </c>
      <c r="M508" s="2" t="str">
        <f>_xlfn.IFS(TelecomData[[#This Row],[TenureMonths]]&lt;=12, "0-1 Year", TelecomData[[#This Row],[TenureMonths]]&lt;=36, "1-3 Years", TelecomData[[#This Row],[TenureMonths]]&gt;36, "3+ Years")</f>
        <v>0-1 Year</v>
      </c>
      <c r="N508" s="2" t="str">
        <f>IF(TelecomData[[#This Row],[CleanedTotalCharges]]&gt;=2500,"High Spend", "Standard Spend")</f>
        <v>Standard Spend</v>
      </c>
    </row>
    <row r="509" spans="1:14" x14ac:dyDescent="0.3">
      <c r="A509" s="1" t="s">
        <v>533</v>
      </c>
      <c r="B509" s="2" t="s">
        <v>19</v>
      </c>
      <c r="C509" s="2" t="s">
        <v>13</v>
      </c>
      <c r="D509" s="2">
        <v>2</v>
      </c>
      <c r="E509" s="2" t="s">
        <v>26</v>
      </c>
      <c r="F509" s="2" t="s">
        <v>16</v>
      </c>
      <c r="G509" s="7">
        <v>94.2</v>
      </c>
      <c r="H509" s="7">
        <v>167.5</v>
      </c>
      <c r="I509" s="2" t="s">
        <v>16</v>
      </c>
      <c r="J509" s="2" t="s">
        <v>16</v>
      </c>
      <c r="K509" s="2" t="s">
        <v>17</v>
      </c>
      <c r="L509" s="7">
        <v>167.5</v>
      </c>
      <c r="M509" s="2" t="str">
        <f>_xlfn.IFS(TelecomData[[#This Row],[TenureMonths]]&lt;=12, "0-1 Year", TelecomData[[#This Row],[TenureMonths]]&lt;=36, "1-3 Years", TelecomData[[#This Row],[TenureMonths]]&gt;36, "3+ Years")</f>
        <v>0-1 Year</v>
      </c>
      <c r="N509" s="2" t="str">
        <f>IF(TelecomData[[#This Row],[CleanedTotalCharges]]&gt;=2500,"High Spend", "Standard Spend")</f>
        <v>Standard Spend</v>
      </c>
    </row>
    <row r="510" spans="1:14" x14ac:dyDescent="0.3">
      <c r="A510" s="1" t="s">
        <v>534</v>
      </c>
      <c r="B510" s="2" t="s">
        <v>12</v>
      </c>
      <c r="C510" s="2" t="s">
        <v>13</v>
      </c>
      <c r="D510" s="2">
        <v>6</v>
      </c>
      <c r="E510" s="2" t="s">
        <v>26</v>
      </c>
      <c r="F510" s="2" t="s">
        <v>16</v>
      </c>
      <c r="G510" s="7">
        <v>80.5</v>
      </c>
      <c r="H510" s="7">
        <v>502.85</v>
      </c>
      <c r="I510" s="2" t="s">
        <v>16</v>
      </c>
      <c r="J510" s="2" t="s">
        <v>16</v>
      </c>
      <c r="K510" s="2" t="s">
        <v>17</v>
      </c>
      <c r="L510" s="7">
        <v>502.85</v>
      </c>
      <c r="M510" s="2" t="str">
        <f>_xlfn.IFS(TelecomData[[#This Row],[TenureMonths]]&lt;=12, "0-1 Year", TelecomData[[#This Row],[TenureMonths]]&lt;=36, "1-3 Years", TelecomData[[#This Row],[TenureMonths]]&gt;36, "3+ Years")</f>
        <v>0-1 Year</v>
      </c>
      <c r="N510" s="2" t="str">
        <f>IF(TelecomData[[#This Row],[CleanedTotalCharges]]&gt;=2500,"High Spend", "Standard Spend")</f>
        <v>Standard Spend</v>
      </c>
    </row>
    <row r="511" spans="1:14" x14ac:dyDescent="0.3">
      <c r="A511" s="1" t="s">
        <v>535</v>
      </c>
      <c r="B511" s="2" t="s">
        <v>12</v>
      </c>
      <c r="C511" s="2" t="s">
        <v>13</v>
      </c>
      <c r="D511" s="2">
        <v>1</v>
      </c>
      <c r="E511" s="2" t="s">
        <v>15</v>
      </c>
      <c r="F511" s="2" t="s">
        <v>36</v>
      </c>
      <c r="G511" s="7">
        <v>19.850000000000001</v>
      </c>
      <c r="H511" s="7">
        <v>19.850000000000001</v>
      </c>
      <c r="I511" s="2" t="s">
        <v>15</v>
      </c>
      <c r="J511" s="2" t="s">
        <v>15</v>
      </c>
      <c r="K511" s="2" t="s">
        <v>21</v>
      </c>
      <c r="L511" s="7">
        <v>19.850000000000001</v>
      </c>
      <c r="M511" s="2" t="str">
        <f>_xlfn.IFS(TelecomData[[#This Row],[TenureMonths]]&lt;=12, "0-1 Year", TelecomData[[#This Row],[TenureMonths]]&lt;=36, "1-3 Years", TelecomData[[#This Row],[TenureMonths]]&gt;36, "3+ Years")</f>
        <v>0-1 Year</v>
      </c>
      <c r="N511" s="2" t="str">
        <f>IF(TelecomData[[#This Row],[CleanedTotalCharges]]&gt;=2500,"High Spend", "Standard Spend")</f>
        <v>Standard Spend</v>
      </c>
    </row>
    <row r="512" spans="1:14" x14ac:dyDescent="0.3">
      <c r="A512" s="1" t="s">
        <v>536</v>
      </c>
      <c r="B512" s="2" t="s">
        <v>19</v>
      </c>
      <c r="C512" s="2" t="s">
        <v>20</v>
      </c>
      <c r="D512" s="2">
        <v>20</v>
      </c>
      <c r="E512" s="2" t="s">
        <v>26</v>
      </c>
      <c r="F512" s="2" t="s">
        <v>16</v>
      </c>
      <c r="G512" s="7">
        <v>94.3</v>
      </c>
      <c r="H512" s="7">
        <v>1818.3</v>
      </c>
      <c r="I512" s="2" t="s">
        <v>15</v>
      </c>
      <c r="J512" s="2" t="s">
        <v>15</v>
      </c>
      <c r="K512" s="2" t="s">
        <v>29</v>
      </c>
      <c r="L512" s="7">
        <v>1818.3</v>
      </c>
      <c r="M512" s="2" t="str">
        <f>_xlfn.IFS(TelecomData[[#This Row],[TenureMonths]]&lt;=12, "0-1 Year", TelecomData[[#This Row],[TenureMonths]]&lt;=36, "1-3 Years", TelecomData[[#This Row],[TenureMonths]]&gt;36, "3+ Years")</f>
        <v>1-3 Years</v>
      </c>
      <c r="N512" s="2" t="str">
        <f>IF(TelecomData[[#This Row],[CleanedTotalCharges]]&gt;=2500,"High Spend", "Standard Spend")</f>
        <v>Standard Spend</v>
      </c>
    </row>
    <row r="513" spans="1:14" x14ac:dyDescent="0.3">
      <c r="A513" s="1" t="s">
        <v>537</v>
      </c>
      <c r="B513" s="2" t="s">
        <v>19</v>
      </c>
      <c r="C513" s="2" t="s">
        <v>13</v>
      </c>
      <c r="D513" s="2">
        <v>61</v>
      </c>
      <c r="E513" s="2" t="s">
        <v>26</v>
      </c>
      <c r="F513" s="2" t="s">
        <v>15</v>
      </c>
      <c r="G513" s="7">
        <v>106.45</v>
      </c>
      <c r="H513" s="7">
        <v>6300.15</v>
      </c>
      <c r="I513" s="2" t="s">
        <v>15</v>
      </c>
      <c r="J513" s="2" t="s">
        <v>16</v>
      </c>
      <c r="K513" s="2" t="s">
        <v>17</v>
      </c>
      <c r="L513" s="7">
        <v>6300.15</v>
      </c>
      <c r="M513" s="2" t="str">
        <f>_xlfn.IFS(TelecomData[[#This Row],[TenureMonths]]&lt;=12, "0-1 Year", TelecomData[[#This Row],[TenureMonths]]&lt;=36, "1-3 Years", TelecomData[[#This Row],[TenureMonths]]&gt;36, "3+ Years")</f>
        <v>3+ Years</v>
      </c>
      <c r="N513" s="2" t="str">
        <f>IF(TelecomData[[#This Row],[CleanedTotalCharges]]&gt;=2500,"High Spend", "Standard Spend")</f>
        <v>High Spend</v>
      </c>
    </row>
    <row r="514" spans="1:14" x14ac:dyDescent="0.3">
      <c r="A514" s="1" t="s">
        <v>538</v>
      </c>
      <c r="B514" s="2" t="s">
        <v>12</v>
      </c>
      <c r="C514" s="2" t="s">
        <v>13</v>
      </c>
      <c r="D514" s="2">
        <v>5</v>
      </c>
      <c r="E514" s="2" t="s">
        <v>26</v>
      </c>
      <c r="F514" s="2" t="s">
        <v>15</v>
      </c>
      <c r="G514" s="7">
        <v>74.349999999999994</v>
      </c>
      <c r="H514" s="7">
        <v>334.8</v>
      </c>
      <c r="I514" s="2" t="s">
        <v>16</v>
      </c>
      <c r="J514" s="2" t="s">
        <v>16</v>
      </c>
      <c r="K514" s="2" t="s">
        <v>17</v>
      </c>
      <c r="L514" s="7">
        <v>334.8</v>
      </c>
      <c r="M514" s="2" t="str">
        <f>_xlfn.IFS(TelecomData[[#This Row],[TenureMonths]]&lt;=12, "0-1 Year", TelecomData[[#This Row],[TenureMonths]]&lt;=36, "1-3 Years", TelecomData[[#This Row],[TenureMonths]]&gt;36, "3+ Years")</f>
        <v>0-1 Year</v>
      </c>
      <c r="N514" s="2" t="str">
        <f>IF(TelecomData[[#This Row],[CleanedTotalCharges]]&gt;=2500,"High Spend", "Standard Spend")</f>
        <v>Standard Spend</v>
      </c>
    </row>
    <row r="515" spans="1:14" x14ac:dyDescent="0.3">
      <c r="A515" s="1" t="s">
        <v>539</v>
      </c>
      <c r="B515" s="2" t="s">
        <v>12</v>
      </c>
      <c r="C515" s="2" t="s">
        <v>13</v>
      </c>
      <c r="D515" s="2">
        <v>56</v>
      </c>
      <c r="E515" s="2" t="s">
        <v>26</v>
      </c>
      <c r="F515" s="2" t="s">
        <v>16</v>
      </c>
      <c r="G515" s="7">
        <v>105.45</v>
      </c>
      <c r="H515" s="7">
        <v>5916.95</v>
      </c>
      <c r="I515" s="2" t="s">
        <v>15</v>
      </c>
      <c r="J515" s="2" t="s">
        <v>16</v>
      </c>
      <c r="K515" s="2" t="s">
        <v>24</v>
      </c>
      <c r="L515" s="7">
        <v>5916.95</v>
      </c>
      <c r="M515" s="2" t="str">
        <f>_xlfn.IFS(TelecomData[[#This Row],[TenureMonths]]&lt;=12, "0-1 Year", TelecomData[[#This Row],[TenureMonths]]&lt;=36, "1-3 Years", TelecomData[[#This Row],[TenureMonths]]&gt;36, "3+ Years")</f>
        <v>3+ Years</v>
      </c>
      <c r="N515" s="2" t="str">
        <f>IF(TelecomData[[#This Row],[CleanedTotalCharges]]&gt;=2500,"High Spend", "Standard Spend")</f>
        <v>High Spend</v>
      </c>
    </row>
    <row r="516" spans="1:14" x14ac:dyDescent="0.3">
      <c r="A516" s="1" t="s">
        <v>540</v>
      </c>
      <c r="B516" s="2" t="s">
        <v>19</v>
      </c>
      <c r="C516" s="2" t="s">
        <v>13</v>
      </c>
      <c r="D516" s="2">
        <v>30</v>
      </c>
      <c r="E516" s="2" t="s">
        <v>26</v>
      </c>
      <c r="F516" s="2" t="s">
        <v>16</v>
      </c>
      <c r="G516" s="7">
        <v>95</v>
      </c>
      <c r="H516" s="7">
        <v>2852.4</v>
      </c>
      <c r="I516" s="2" t="s">
        <v>15</v>
      </c>
      <c r="J516" s="2" t="s">
        <v>16</v>
      </c>
      <c r="K516" s="2" t="s">
        <v>29</v>
      </c>
      <c r="L516" s="7">
        <v>2852.4</v>
      </c>
      <c r="M516" s="2" t="str">
        <f>_xlfn.IFS(TelecomData[[#This Row],[TenureMonths]]&lt;=12, "0-1 Year", TelecomData[[#This Row],[TenureMonths]]&lt;=36, "1-3 Years", TelecomData[[#This Row],[TenureMonths]]&gt;36, "3+ Years")</f>
        <v>1-3 Years</v>
      </c>
      <c r="N516" s="2" t="str">
        <f>IF(TelecomData[[#This Row],[CleanedTotalCharges]]&gt;=2500,"High Spend", "Standard Spend")</f>
        <v>High Spend</v>
      </c>
    </row>
    <row r="517" spans="1:14" x14ac:dyDescent="0.3">
      <c r="A517" s="1" t="s">
        <v>541</v>
      </c>
      <c r="B517" s="2" t="s">
        <v>19</v>
      </c>
      <c r="C517" s="2" t="s">
        <v>13</v>
      </c>
      <c r="D517" s="2">
        <v>40</v>
      </c>
      <c r="E517" s="2" t="s">
        <v>26</v>
      </c>
      <c r="F517" s="2" t="s">
        <v>16</v>
      </c>
      <c r="G517" s="7">
        <v>104.8</v>
      </c>
      <c r="H517" s="7">
        <v>4131.95</v>
      </c>
      <c r="I517" s="2" t="s">
        <v>16</v>
      </c>
      <c r="J517" s="2" t="s">
        <v>15</v>
      </c>
      <c r="K517" s="2" t="s">
        <v>24</v>
      </c>
      <c r="L517" s="7">
        <v>4131.95</v>
      </c>
      <c r="M517" s="2" t="str">
        <f>_xlfn.IFS(TelecomData[[#This Row],[TenureMonths]]&lt;=12, "0-1 Year", TelecomData[[#This Row],[TenureMonths]]&lt;=36, "1-3 Years", TelecomData[[#This Row],[TenureMonths]]&gt;36, "3+ Years")</f>
        <v>3+ Years</v>
      </c>
      <c r="N517" s="2" t="str">
        <f>IF(TelecomData[[#This Row],[CleanedTotalCharges]]&gt;=2500,"High Spend", "Standard Spend")</f>
        <v>High Spend</v>
      </c>
    </row>
    <row r="518" spans="1:14" x14ac:dyDescent="0.3">
      <c r="A518" s="1" t="s">
        <v>542</v>
      </c>
      <c r="B518" s="2" t="s">
        <v>12</v>
      </c>
      <c r="C518" s="2" t="s">
        <v>20</v>
      </c>
      <c r="D518" s="2">
        <v>28</v>
      </c>
      <c r="E518" s="2" t="s">
        <v>14</v>
      </c>
      <c r="F518" s="2" t="s">
        <v>16</v>
      </c>
      <c r="G518" s="7">
        <v>54.3</v>
      </c>
      <c r="H518" s="7">
        <v>1546.3</v>
      </c>
      <c r="I518" s="2" t="s">
        <v>15</v>
      </c>
      <c r="J518" s="2" t="s">
        <v>15</v>
      </c>
      <c r="K518" s="2" t="s">
        <v>21</v>
      </c>
      <c r="L518" s="7">
        <v>1546.3</v>
      </c>
      <c r="M518" s="2" t="str">
        <f>_xlfn.IFS(TelecomData[[#This Row],[TenureMonths]]&lt;=12, "0-1 Year", TelecomData[[#This Row],[TenureMonths]]&lt;=36, "1-3 Years", TelecomData[[#This Row],[TenureMonths]]&gt;36, "3+ Years")</f>
        <v>1-3 Years</v>
      </c>
      <c r="N518" s="2" t="str">
        <f>IF(TelecomData[[#This Row],[CleanedTotalCharges]]&gt;=2500,"High Spend", "Standard Spend")</f>
        <v>Standard Spend</v>
      </c>
    </row>
    <row r="519" spans="1:14" x14ac:dyDescent="0.3">
      <c r="A519" s="1" t="s">
        <v>543</v>
      </c>
      <c r="B519" s="2" t="s">
        <v>12</v>
      </c>
      <c r="C519" s="2" t="s">
        <v>13</v>
      </c>
      <c r="D519" s="2">
        <v>5</v>
      </c>
      <c r="E519" s="2" t="s">
        <v>26</v>
      </c>
      <c r="F519" s="2" t="s">
        <v>15</v>
      </c>
      <c r="G519" s="7">
        <v>70.05</v>
      </c>
      <c r="H519" s="7">
        <v>302.60000000000002</v>
      </c>
      <c r="I519" s="2" t="s">
        <v>15</v>
      </c>
      <c r="J519" s="2" t="s">
        <v>15</v>
      </c>
      <c r="K519" s="2" t="s">
        <v>17</v>
      </c>
      <c r="L519" s="7">
        <v>302.60000000000002</v>
      </c>
      <c r="M519" s="2" t="str">
        <f>_xlfn.IFS(TelecomData[[#This Row],[TenureMonths]]&lt;=12, "0-1 Year", TelecomData[[#This Row],[TenureMonths]]&lt;=36, "1-3 Years", TelecomData[[#This Row],[TenureMonths]]&gt;36, "3+ Years")</f>
        <v>0-1 Year</v>
      </c>
      <c r="N519" s="2" t="str">
        <f>IF(TelecomData[[#This Row],[CleanedTotalCharges]]&gt;=2500,"High Spend", "Standard Spend")</f>
        <v>Standard Spend</v>
      </c>
    </row>
    <row r="520" spans="1:14" x14ac:dyDescent="0.3">
      <c r="A520" s="1" t="s">
        <v>544</v>
      </c>
      <c r="B520" s="2" t="s">
        <v>12</v>
      </c>
      <c r="C520" s="2" t="s">
        <v>13</v>
      </c>
      <c r="D520" s="2">
        <v>27</v>
      </c>
      <c r="E520" s="2" t="s">
        <v>26</v>
      </c>
      <c r="F520" s="2" t="s">
        <v>15</v>
      </c>
      <c r="G520" s="7">
        <v>75.2</v>
      </c>
      <c r="H520" s="7">
        <v>1929.35</v>
      </c>
      <c r="I520" s="2" t="s">
        <v>16</v>
      </c>
      <c r="J520" s="2" t="s">
        <v>16</v>
      </c>
      <c r="K520" s="2" t="s">
        <v>24</v>
      </c>
      <c r="L520" s="7">
        <v>1929.35</v>
      </c>
      <c r="M520" s="2" t="str">
        <f>_xlfn.IFS(TelecomData[[#This Row],[TenureMonths]]&lt;=12, "0-1 Year", TelecomData[[#This Row],[TenureMonths]]&lt;=36, "1-3 Years", TelecomData[[#This Row],[TenureMonths]]&gt;36, "3+ Years")</f>
        <v>1-3 Years</v>
      </c>
      <c r="N520" s="2" t="str">
        <f>IF(TelecomData[[#This Row],[CleanedTotalCharges]]&gt;=2500,"High Spend", "Standard Spend")</f>
        <v>Standard Spend</v>
      </c>
    </row>
    <row r="521" spans="1:14" x14ac:dyDescent="0.3">
      <c r="A521" s="1" t="s">
        <v>545</v>
      </c>
      <c r="B521" s="2" t="s">
        <v>19</v>
      </c>
      <c r="C521" s="2" t="s">
        <v>13</v>
      </c>
      <c r="D521" s="2">
        <v>12</v>
      </c>
      <c r="E521" s="2" t="s">
        <v>15</v>
      </c>
      <c r="F521" s="2" t="s">
        <v>36</v>
      </c>
      <c r="G521" s="7">
        <v>20.05</v>
      </c>
      <c r="H521" s="7">
        <v>265.45</v>
      </c>
      <c r="I521" s="2" t="s">
        <v>15</v>
      </c>
      <c r="J521" s="2" t="s">
        <v>15</v>
      </c>
      <c r="K521" s="2" t="s">
        <v>29</v>
      </c>
      <c r="L521" s="7">
        <v>265.45</v>
      </c>
      <c r="M521" s="2" t="str">
        <f>_xlfn.IFS(TelecomData[[#This Row],[TenureMonths]]&lt;=12, "0-1 Year", TelecomData[[#This Row],[TenureMonths]]&lt;=36, "1-3 Years", TelecomData[[#This Row],[TenureMonths]]&gt;36, "3+ Years")</f>
        <v>0-1 Year</v>
      </c>
      <c r="N521" s="2" t="str">
        <f>IF(TelecomData[[#This Row],[CleanedTotalCharges]]&gt;=2500,"High Spend", "Standard Spend")</f>
        <v>Standard Spend</v>
      </c>
    </row>
    <row r="522" spans="1:14" x14ac:dyDescent="0.3">
      <c r="A522" s="1" t="s">
        <v>546</v>
      </c>
      <c r="B522" s="2" t="s">
        <v>19</v>
      </c>
      <c r="C522" s="2" t="s">
        <v>20</v>
      </c>
      <c r="D522" s="2">
        <v>67</v>
      </c>
      <c r="E522" s="2" t="s">
        <v>26</v>
      </c>
      <c r="F522" s="2" t="s">
        <v>15</v>
      </c>
      <c r="G522" s="7">
        <v>105.4</v>
      </c>
      <c r="H522" s="7">
        <v>6989.45</v>
      </c>
      <c r="I522" s="2" t="s">
        <v>15</v>
      </c>
      <c r="J522" s="2" t="s">
        <v>16</v>
      </c>
      <c r="K522" s="2" t="s">
        <v>17</v>
      </c>
      <c r="L522" s="7">
        <v>6989.45</v>
      </c>
      <c r="M522" s="2" t="str">
        <f>_xlfn.IFS(TelecomData[[#This Row],[TenureMonths]]&lt;=12, "0-1 Year", TelecomData[[#This Row],[TenureMonths]]&lt;=36, "1-3 Years", TelecomData[[#This Row],[TenureMonths]]&gt;36, "3+ Years")</f>
        <v>3+ Years</v>
      </c>
      <c r="N522" s="2" t="str">
        <f>IF(TelecomData[[#This Row],[CleanedTotalCharges]]&gt;=2500,"High Spend", "Standard Spend")</f>
        <v>High Spend</v>
      </c>
    </row>
    <row r="523" spans="1:14" x14ac:dyDescent="0.3">
      <c r="A523" s="1" t="s">
        <v>547</v>
      </c>
      <c r="B523" s="2" t="s">
        <v>19</v>
      </c>
      <c r="C523" s="2" t="s">
        <v>13</v>
      </c>
      <c r="D523" s="2">
        <v>29</v>
      </c>
      <c r="E523" s="2" t="s">
        <v>14</v>
      </c>
      <c r="F523" s="2" t="s">
        <v>15</v>
      </c>
      <c r="G523" s="7">
        <v>51.6</v>
      </c>
      <c r="H523" s="7">
        <v>1442</v>
      </c>
      <c r="I523" s="2" t="s">
        <v>15</v>
      </c>
      <c r="J523" s="2" t="s">
        <v>16</v>
      </c>
      <c r="K523" s="2" t="s">
        <v>17</v>
      </c>
      <c r="L523" s="7">
        <v>1442</v>
      </c>
      <c r="M523" s="2" t="str">
        <f>_xlfn.IFS(TelecomData[[#This Row],[TenureMonths]]&lt;=12, "0-1 Year", TelecomData[[#This Row],[TenureMonths]]&lt;=36, "1-3 Years", TelecomData[[#This Row],[TenureMonths]]&gt;36, "3+ Years")</f>
        <v>1-3 Years</v>
      </c>
      <c r="N523" s="2" t="str">
        <f>IF(TelecomData[[#This Row],[CleanedTotalCharges]]&gt;=2500,"High Spend", "Standard Spend")</f>
        <v>Standard Spend</v>
      </c>
    </row>
    <row r="524" spans="1:14" x14ac:dyDescent="0.3">
      <c r="A524" s="1" t="s">
        <v>548</v>
      </c>
      <c r="B524" s="2" t="s">
        <v>19</v>
      </c>
      <c r="C524" s="2" t="s">
        <v>13</v>
      </c>
      <c r="D524" s="2">
        <v>55</v>
      </c>
      <c r="E524" s="2" t="s">
        <v>26</v>
      </c>
      <c r="F524" s="2" t="s">
        <v>15</v>
      </c>
      <c r="G524" s="7">
        <v>85.5</v>
      </c>
      <c r="H524" s="7">
        <v>4713.3999999999996</v>
      </c>
      <c r="I524" s="2" t="s">
        <v>15</v>
      </c>
      <c r="J524" s="2" t="s">
        <v>15</v>
      </c>
      <c r="K524" s="2" t="s">
        <v>24</v>
      </c>
      <c r="L524" s="7">
        <v>4713.3999999999996</v>
      </c>
      <c r="M524" s="2" t="str">
        <f>_xlfn.IFS(TelecomData[[#This Row],[TenureMonths]]&lt;=12, "0-1 Year", TelecomData[[#This Row],[TenureMonths]]&lt;=36, "1-3 Years", TelecomData[[#This Row],[TenureMonths]]&gt;36, "3+ Years")</f>
        <v>3+ Years</v>
      </c>
      <c r="N524" s="2" t="str">
        <f>IF(TelecomData[[#This Row],[CleanedTotalCharges]]&gt;=2500,"High Spend", "Standard Spend")</f>
        <v>High Spend</v>
      </c>
    </row>
    <row r="525" spans="1:14" x14ac:dyDescent="0.3">
      <c r="A525" s="1" t="s">
        <v>549</v>
      </c>
      <c r="B525" s="2" t="s">
        <v>12</v>
      </c>
      <c r="C525" s="2" t="s">
        <v>13</v>
      </c>
      <c r="D525" s="2">
        <v>23</v>
      </c>
      <c r="E525" s="2" t="s">
        <v>26</v>
      </c>
      <c r="F525" s="2" t="s">
        <v>15</v>
      </c>
      <c r="G525" s="7">
        <v>75.599999999999994</v>
      </c>
      <c r="H525" s="7">
        <v>1758.6</v>
      </c>
      <c r="I525" s="2" t="s">
        <v>16</v>
      </c>
      <c r="J525" s="2" t="s">
        <v>15</v>
      </c>
      <c r="K525" s="2" t="s">
        <v>24</v>
      </c>
      <c r="L525" s="7">
        <v>1758.6</v>
      </c>
      <c r="M525" s="2" t="str">
        <f>_xlfn.IFS(TelecomData[[#This Row],[TenureMonths]]&lt;=12, "0-1 Year", TelecomData[[#This Row],[TenureMonths]]&lt;=36, "1-3 Years", TelecomData[[#This Row],[TenureMonths]]&gt;36, "3+ Years")</f>
        <v>1-3 Years</v>
      </c>
      <c r="N525" s="2" t="str">
        <f>IF(TelecomData[[#This Row],[CleanedTotalCharges]]&gt;=2500,"High Spend", "Standard Spend")</f>
        <v>Standard Spend</v>
      </c>
    </row>
    <row r="526" spans="1:14" x14ac:dyDescent="0.3">
      <c r="A526" s="1" t="s">
        <v>550</v>
      </c>
      <c r="B526" s="2" t="s">
        <v>19</v>
      </c>
      <c r="C526" s="2" t="s">
        <v>13</v>
      </c>
      <c r="D526" s="2">
        <v>34</v>
      </c>
      <c r="E526" s="2" t="s">
        <v>26</v>
      </c>
      <c r="F526" s="2" t="s">
        <v>15</v>
      </c>
      <c r="G526" s="7">
        <v>100.05</v>
      </c>
      <c r="H526" s="7">
        <v>3480</v>
      </c>
      <c r="I526" s="2" t="s">
        <v>16</v>
      </c>
      <c r="J526" s="2" t="s">
        <v>16</v>
      </c>
      <c r="K526" s="2" t="s">
        <v>17</v>
      </c>
      <c r="L526" s="7">
        <v>3480</v>
      </c>
      <c r="M526" s="2" t="str">
        <f>_xlfn.IFS(TelecomData[[#This Row],[TenureMonths]]&lt;=12, "0-1 Year", TelecomData[[#This Row],[TenureMonths]]&lt;=36, "1-3 Years", TelecomData[[#This Row],[TenureMonths]]&gt;36, "3+ Years")</f>
        <v>1-3 Years</v>
      </c>
      <c r="N526" s="2" t="str">
        <f>IF(TelecomData[[#This Row],[CleanedTotalCharges]]&gt;=2500,"High Spend", "Standard Spend")</f>
        <v>High Spend</v>
      </c>
    </row>
    <row r="527" spans="1:14" x14ac:dyDescent="0.3">
      <c r="A527" s="1" t="s">
        <v>551</v>
      </c>
      <c r="B527" s="2" t="s">
        <v>19</v>
      </c>
      <c r="C527" s="2" t="s">
        <v>20</v>
      </c>
      <c r="D527" s="2">
        <v>52</v>
      </c>
      <c r="E527" s="2" t="s">
        <v>26</v>
      </c>
      <c r="F527" s="2" t="s">
        <v>15</v>
      </c>
      <c r="G527" s="7">
        <v>91.25</v>
      </c>
      <c r="H527" s="7">
        <v>4738.3</v>
      </c>
      <c r="I527" s="2" t="s">
        <v>15</v>
      </c>
      <c r="J527" s="2" t="s">
        <v>15</v>
      </c>
      <c r="K527" s="2" t="s">
        <v>17</v>
      </c>
      <c r="L527" s="7">
        <v>4738.3</v>
      </c>
      <c r="M527" s="2" t="str">
        <f>_xlfn.IFS(TelecomData[[#This Row],[TenureMonths]]&lt;=12, "0-1 Year", TelecomData[[#This Row],[TenureMonths]]&lt;=36, "1-3 Years", TelecomData[[#This Row],[TenureMonths]]&gt;36, "3+ Years")</f>
        <v>3+ Years</v>
      </c>
      <c r="N527" s="2" t="str">
        <f>IF(TelecomData[[#This Row],[CleanedTotalCharges]]&gt;=2500,"High Spend", "Standard Spend")</f>
        <v>High Spend</v>
      </c>
    </row>
    <row r="528" spans="1:14" x14ac:dyDescent="0.3">
      <c r="A528" s="1" t="s">
        <v>552</v>
      </c>
      <c r="B528" s="2" t="s">
        <v>19</v>
      </c>
      <c r="C528" s="2" t="s">
        <v>35</v>
      </c>
      <c r="D528" s="2">
        <v>72</v>
      </c>
      <c r="E528" s="2" t="s">
        <v>26</v>
      </c>
      <c r="F528" s="2" t="s">
        <v>16</v>
      </c>
      <c r="G528" s="7">
        <v>115.75</v>
      </c>
      <c r="H528" s="7">
        <v>8399.15</v>
      </c>
      <c r="I528" s="2" t="s">
        <v>15</v>
      </c>
      <c r="J528" s="2" t="s">
        <v>16</v>
      </c>
      <c r="K528" s="2" t="s">
        <v>29</v>
      </c>
      <c r="L528" s="7">
        <v>8399.15</v>
      </c>
      <c r="M528" s="2" t="str">
        <f>_xlfn.IFS(TelecomData[[#This Row],[TenureMonths]]&lt;=12, "0-1 Year", TelecomData[[#This Row],[TenureMonths]]&lt;=36, "1-3 Years", TelecomData[[#This Row],[TenureMonths]]&gt;36, "3+ Years")</f>
        <v>3+ Years</v>
      </c>
      <c r="N528" s="2" t="str">
        <f>IF(TelecomData[[#This Row],[CleanedTotalCharges]]&gt;=2500,"High Spend", "Standard Spend")</f>
        <v>High Spend</v>
      </c>
    </row>
    <row r="529" spans="1:14" x14ac:dyDescent="0.3">
      <c r="A529" s="1" t="s">
        <v>553</v>
      </c>
      <c r="B529" s="2" t="s">
        <v>19</v>
      </c>
      <c r="C529" s="2" t="s">
        <v>20</v>
      </c>
      <c r="D529" s="2">
        <v>58</v>
      </c>
      <c r="E529" s="2" t="s">
        <v>26</v>
      </c>
      <c r="F529" s="2" t="s">
        <v>16</v>
      </c>
      <c r="G529" s="7">
        <v>94.7</v>
      </c>
      <c r="H529" s="7">
        <v>5430.35</v>
      </c>
      <c r="I529" s="2" t="s">
        <v>15</v>
      </c>
      <c r="J529" s="2" t="s">
        <v>16</v>
      </c>
      <c r="K529" s="2" t="s">
        <v>29</v>
      </c>
      <c r="L529" s="7">
        <v>5430.35</v>
      </c>
      <c r="M529" s="2" t="str">
        <f>_xlfn.IFS(TelecomData[[#This Row],[TenureMonths]]&lt;=12, "0-1 Year", TelecomData[[#This Row],[TenureMonths]]&lt;=36, "1-3 Years", TelecomData[[#This Row],[TenureMonths]]&gt;36, "3+ Years")</f>
        <v>3+ Years</v>
      </c>
      <c r="N529" s="2" t="str">
        <f>IF(TelecomData[[#This Row],[CleanedTotalCharges]]&gt;=2500,"High Spend", "Standard Spend")</f>
        <v>High Spend</v>
      </c>
    </row>
    <row r="530" spans="1:14" x14ac:dyDescent="0.3">
      <c r="A530" s="1" t="s">
        <v>554</v>
      </c>
      <c r="B530" s="2" t="s">
        <v>19</v>
      </c>
      <c r="C530" s="2" t="s">
        <v>35</v>
      </c>
      <c r="D530" s="2">
        <v>35</v>
      </c>
      <c r="E530" s="2" t="s">
        <v>15</v>
      </c>
      <c r="F530" s="2" t="s">
        <v>36</v>
      </c>
      <c r="G530" s="7">
        <v>19.600000000000001</v>
      </c>
      <c r="H530" s="7">
        <v>686.95</v>
      </c>
      <c r="I530" s="2" t="s">
        <v>15</v>
      </c>
      <c r="J530" s="2" t="s">
        <v>15</v>
      </c>
      <c r="K530" s="2" t="s">
        <v>21</v>
      </c>
      <c r="L530" s="7">
        <v>686.95</v>
      </c>
      <c r="M530" s="2" t="str">
        <f>_xlfn.IFS(TelecomData[[#This Row],[TenureMonths]]&lt;=12, "0-1 Year", TelecomData[[#This Row],[TenureMonths]]&lt;=36, "1-3 Years", TelecomData[[#This Row],[TenureMonths]]&gt;36, "3+ Years")</f>
        <v>1-3 Years</v>
      </c>
      <c r="N530" s="2" t="str">
        <f>IF(TelecomData[[#This Row],[CleanedTotalCharges]]&gt;=2500,"High Spend", "Standard Spend")</f>
        <v>Standard Spend</v>
      </c>
    </row>
    <row r="531" spans="1:14" x14ac:dyDescent="0.3">
      <c r="A531" s="1" t="s">
        <v>555</v>
      </c>
      <c r="B531" s="2" t="s">
        <v>12</v>
      </c>
      <c r="C531" s="2" t="s">
        <v>35</v>
      </c>
      <c r="D531" s="2">
        <v>56</v>
      </c>
      <c r="E531" s="2" t="s">
        <v>26</v>
      </c>
      <c r="F531" s="2" t="s">
        <v>16</v>
      </c>
      <c r="G531" s="7">
        <v>99.9</v>
      </c>
      <c r="H531" s="7">
        <v>5706.3</v>
      </c>
      <c r="I531" s="2" t="s">
        <v>15</v>
      </c>
      <c r="J531" s="2" t="s">
        <v>16</v>
      </c>
      <c r="K531" s="2" t="s">
        <v>24</v>
      </c>
      <c r="L531" s="7">
        <v>5706.3</v>
      </c>
      <c r="M531" s="2" t="str">
        <f>_xlfn.IFS(TelecomData[[#This Row],[TenureMonths]]&lt;=12, "0-1 Year", TelecomData[[#This Row],[TenureMonths]]&lt;=36, "1-3 Years", TelecomData[[#This Row],[TenureMonths]]&gt;36, "3+ Years")</f>
        <v>3+ Years</v>
      </c>
      <c r="N531" s="2" t="str">
        <f>IF(TelecomData[[#This Row],[CleanedTotalCharges]]&gt;=2500,"High Spend", "Standard Spend")</f>
        <v>High Spend</v>
      </c>
    </row>
    <row r="532" spans="1:14" x14ac:dyDescent="0.3">
      <c r="A532" s="1" t="s">
        <v>556</v>
      </c>
      <c r="B532" s="2" t="s">
        <v>12</v>
      </c>
      <c r="C532" s="2" t="s">
        <v>35</v>
      </c>
      <c r="D532" s="2">
        <v>24</v>
      </c>
      <c r="E532" s="2" t="s">
        <v>15</v>
      </c>
      <c r="F532" s="2" t="s">
        <v>36</v>
      </c>
      <c r="G532" s="7">
        <v>21.1</v>
      </c>
      <c r="H532" s="7">
        <v>490.65</v>
      </c>
      <c r="I532" s="2" t="s">
        <v>15</v>
      </c>
      <c r="J532" s="2" t="s">
        <v>16</v>
      </c>
      <c r="K532" s="2" t="s">
        <v>29</v>
      </c>
      <c r="L532" s="7">
        <v>490.65</v>
      </c>
      <c r="M532" s="2" t="str">
        <f>_xlfn.IFS(TelecomData[[#This Row],[TenureMonths]]&lt;=12, "0-1 Year", TelecomData[[#This Row],[TenureMonths]]&lt;=36, "1-3 Years", TelecomData[[#This Row],[TenureMonths]]&gt;36, "3+ Years")</f>
        <v>1-3 Years</v>
      </c>
      <c r="N532" s="2" t="str">
        <f>IF(TelecomData[[#This Row],[CleanedTotalCharges]]&gt;=2500,"High Spend", "Standard Spend")</f>
        <v>Standard Spend</v>
      </c>
    </row>
    <row r="533" spans="1:14" x14ac:dyDescent="0.3">
      <c r="A533" s="1" t="s">
        <v>557</v>
      </c>
      <c r="B533" s="2" t="s">
        <v>19</v>
      </c>
      <c r="C533" s="2" t="s">
        <v>35</v>
      </c>
      <c r="D533" s="2">
        <v>70</v>
      </c>
      <c r="E533" s="2" t="s">
        <v>15</v>
      </c>
      <c r="F533" s="2" t="s">
        <v>36</v>
      </c>
      <c r="G533" s="7">
        <v>20.05</v>
      </c>
      <c r="H533" s="7">
        <v>1360.25</v>
      </c>
      <c r="I533" s="2" t="s">
        <v>15</v>
      </c>
      <c r="J533" s="2" t="s">
        <v>15</v>
      </c>
      <c r="K533" s="2" t="s">
        <v>29</v>
      </c>
      <c r="L533" s="7">
        <v>1360.25</v>
      </c>
      <c r="M533" s="2" t="str">
        <f>_xlfn.IFS(TelecomData[[#This Row],[TenureMonths]]&lt;=12, "0-1 Year", TelecomData[[#This Row],[TenureMonths]]&lt;=36, "1-3 Years", TelecomData[[#This Row],[TenureMonths]]&gt;36, "3+ Years")</f>
        <v>3+ Years</v>
      </c>
      <c r="N533" s="2" t="str">
        <f>IF(TelecomData[[#This Row],[CleanedTotalCharges]]&gt;=2500,"High Spend", "Standard Spend")</f>
        <v>Standard Spend</v>
      </c>
    </row>
    <row r="534" spans="1:14" x14ac:dyDescent="0.3">
      <c r="A534" s="1" t="s">
        <v>558</v>
      </c>
      <c r="B534" s="2" t="s">
        <v>19</v>
      </c>
      <c r="C534" s="2" t="s">
        <v>13</v>
      </c>
      <c r="D534" s="2">
        <v>2</v>
      </c>
      <c r="E534" s="2" t="s">
        <v>26</v>
      </c>
      <c r="F534" s="2" t="s">
        <v>15</v>
      </c>
      <c r="G534" s="7">
        <v>79.95</v>
      </c>
      <c r="H534" s="7">
        <v>174.45</v>
      </c>
      <c r="I534" s="2" t="s">
        <v>15</v>
      </c>
      <c r="J534" s="2" t="s">
        <v>16</v>
      </c>
      <c r="K534" s="2" t="s">
        <v>17</v>
      </c>
      <c r="L534" s="7">
        <v>174.45</v>
      </c>
      <c r="M534" s="2" t="str">
        <f>_xlfn.IFS(TelecomData[[#This Row],[TenureMonths]]&lt;=12, "0-1 Year", TelecomData[[#This Row],[TenureMonths]]&lt;=36, "1-3 Years", TelecomData[[#This Row],[TenureMonths]]&gt;36, "3+ Years")</f>
        <v>0-1 Year</v>
      </c>
      <c r="N534" s="2" t="str">
        <f>IF(TelecomData[[#This Row],[CleanedTotalCharges]]&gt;=2500,"High Spend", "Standard Spend")</f>
        <v>Standard Spend</v>
      </c>
    </row>
    <row r="535" spans="1:14" x14ac:dyDescent="0.3">
      <c r="A535" s="1" t="s">
        <v>559</v>
      </c>
      <c r="B535" s="2" t="s">
        <v>19</v>
      </c>
      <c r="C535" s="2" t="s">
        <v>20</v>
      </c>
      <c r="D535" s="2">
        <v>68</v>
      </c>
      <c r="E535" s="2" t="s">
        <v>26</v>
      </c>
      <c r="F535" s="2" t="s">
        <v>16</v>
      </c>
      <c r="G535" s="7">
        <v>107.15</v>
      </c>
      <c r="H535" s="7">
        <v>7379.8</v>
      </c>
      <c r="I535" s="2" t="s">
        <v>15</v>
      </c>
      <c r="J535" s="2" t="s">
        <v>16</v>
      </c>
      <c r="K535" s="2" t="s">
        <v>29</v>
      </c>
      <c r="L535" s="7">
        <v>7379.8</v>
      </c>
      <c r="M535" s="2" t="str">
        <f>_xlfn.IFS(TelecomData[[#This Row],[TenureMonths]]&lt;=12, "0-1 Year", TelecomData[[#This Row],[TenureMonths]]&lt;=36, "1-3 Years", TelecomData[[#This Row],[TenureMonths]]&gt;36, "3+ Years")</f>
        <v>3+ Years</v>
      </c>
      <c r="N535" s="2" t="str">
        <f>IF(TelecomData[[#This Row],[CleanedTotalCharges]]&gt;=2500,"High Spend", "Standard Spend")</f>
        <v>High Spend</v>
      </c>
    </row>
    <row r="536" spans="1:14" x14ac:dyDescent="0.3">
      <c r="A536" s="1" t="s">
        <v>560</v>
      </c>
      <c r="B536" s="2" t="s">
        <v>12</v>
      </c>
      <c r="C536" s="2" t="s">
        <v>13</v>
      </c>
      <c r="D536" s="2">
        <v>1</v>
      </c>
      <c r="E536" s="2" t="s">
        <v>26</v>
      </c>
      <c r="F536" s="2" t="s">
        <v>15</v>
      </c>
      <c r="G536" s="7">
        <v>85</v>
      </c>
      <c r="H536" s="7">
        <v>85</v>
      </c>
      <c r="I536" s="2" t="s">
        <v>16</v>
      </c>
      <c r="J536" s="2" t="s">
        <v>16</v>
      </c>
      <c r="K536" s="2" t="s">
        <v>17</v>
      </c>
      <c r="L536" s="7">
        <v>85</v>
      </c>
      <c r="M536" s="2" t="str">
        <f>_xlfn.IFS(TelecomData[[#This Row],[TenureMonths]]&lt;=12, "0-1 Year", TelecomData[[#This Row],[TenureMonths]]&lt;=36, "1-3 Years", TelecomData[[#This Row],[TenureMonths]]&gt;36, "3+ Years")</f>
        <v>0-1 Year</v>
      </c>
      <c r="N536" s="2" t="str">
        <f>IF(TelecomData[[#This Row],[CleanedTotalCharges]]&gt;=2500,"High Spend", "Standard Spend")</f>
        <v>Standard Spend</v>
      </c>
    </row>
    <row r="537" spans="1:14" x14ac:dyDescent="0.3">
      <c r="A537" s="1" t="s">
        <v>561</v>
      </c>
      <c r="B537" s="2" t="s">
        <v>19</v>
      </c>
      <c r="C537" s="2" t="s">
        <v>13</v>
      </c>
      <c r="D537" s="2">
        <v>12</v>
      </c>
      <c r="E537" s="2" t="s">
        <v>26</v>
      </c>
      <c r="F537" s="2" t="s">
        <v>15</v>
      </c>
      <c r="G537" s="7">
        <v>89.55</v>
      </c>
      <c r="H537" s="7">
        <v>1021.75</v>
      </c>
      <c r="I537" s="2" t="s">
        <v>15</v>
      </c>
      <c r="J537" s="2" t="s">
        <v>16</v>
      </c>
      <c r="K537" s="2" t="s">
        <v>17</v>
      </c>
      <c r="L537" s="7">
        <v>1021.75</v>
      </c>
      <c r="M537" s="2" t="str">
        <f>_xlfn.IFS(TelecomData[[#This Row],[TenureMonths]]&lt;=12, "0-1 Year", TelecomData[[#This Row],[TenureMonths]]&lt;=36, "1-3 Years", TelecomData[[#This Row],[TenureMonths]]&gt;36, "3+ Years")</f>
        <v>0-1 Year</v>
      </c>
      <c r="N537" s="2" t="str">
        <f>IF(TelecomData[[#This Row],[CleanedTotalCharges]]&gt;=2500,"High Spend", "Standard Spend")</f>
        <v>Standard Spend</v>
      </c>
    </row>
    <row r="538" spans="1:14" x14ac:dyDescent="0.3">
      <c r="A538" s="1" t="s">
        <v>562</v>
      </c>
      <c r="B538" s="2" t="s">
        <v>12</v>
      </c>
      <c r="C538" s="2" t="s">
        <v>13</v>
      </c>
      <c r="D538" s="2">
        <v>63</v>
      </c>
      <c r="E538" s="2" t="s">
        <v>26</v>
      </c>
      <c r="F538" s="2" t="s">
        <v>15</v>
      </c>
      <c r="G538" s="7">
        <v>81.55</v>
      </c>
      <c r="H538" s="7">
        <v>5029.05</v>
      </c>
      <c r="I538" s="2" t="s">
        <v>15</v>
      </c>
      <c r="J538" s="2" t="s">
        <v>16</v>
      </c>
      <c r="K538" s="2" t="s">
        <v>24</v>
      </c>
      <c r="L538" s="7">
        <v>5029.05</v>
      </c>
      <c r="M538" s="2" t="str">
        <f>_xlfn.IFS(TelecomData[[#This Row],[TenureMonths]]&lt;=12, "0-1 Year", TelecomData[[#This Row],[TenureMonths]]&lt;=36, "1-3 Years", TelecomData[[#This Row],[TenureMonths]]&gt;36, "3+ Years")</f>
        <v>3+ Years</v>
      </c>
      <c r="N538" s="2" t="str">
        <f>IF(TelecomData[[#This Row],[CleanedTotalCharges]]&gt;=2500,"High Spend", "Standard Spend")</f>
        <v>High Spend</v>
      </c>
    </row>
    <row r="539" spans="1:14" x14ac:dyDescent="0.3">
      <c r="A539" s="1" t="s">
        <v>563</v>
      </c>
      <c r="B539" s="2" t="s">
        <v>12</v>
      </c>
      <c r="C539" s="2" t="s">
        <v>20</v>
      </c>
      <c r="D539" s="2">
        <v>33</v>
      </c>
      <c r="E539" s="2" t="s">
        <v>14</v>
      </c>
      <c r="F539" s="2" t="s">
        <v>15</v>
      </c>
      <c r="G539" s="7">
        <v>58.45</v>
      </c>
      <c r="H539" s="7">
        <v>1955.4</v>
      </c>
      <c r="I539" s="2" t="s">
        <v>15</v>
      </c>
      <c r="J539" s="2" t="s">
        <v>16</v>
      </c>
      <c r="K539" s="2" t="s">
        <v>21</v>
      </c>
      <c r="L539" s="7">
        <v>1955.4</v>
      </c>
      <c r="M539" s="2" t="str">
        <f>_xlfn.IFS(TelecomData[[#This Row],[TenureMonths]]&lt;=12, "0-1 Year", TelecomData[[#This Row],[TenureMonths]]&lt;=36, "1-3 Years", TelecomData[[#This Row],[TenureMonths]]&gt;36, "3+ Years")</f>
        <v>1-3 Years</v>
      </c>
      <c r="N539" s="2" t="str">
        <f>IF(TelecomData[[#This Row],[CleanedTotalCharges]]&gt;=2500,"High Spend", "Standard Spend")</f>
        <v>Standard Spend</v>
      </c>
    </row>
    <row r="540" spans="1:14" x14ac:dyDescent="0.3">
      <c r="A540" s="1" t="s">
        <v>564</v>
      </c>
      <c r="B540" s="2" t="s">
        <v>12</v>
      </c>
      <c r="C540" s="2" t="s">
        <v>20</v>
      </c>
      <c r="D540" s="2">
        <v>69</v>
      </c>
      <c r="E540" s="2" t="s">
        <v>26</v>
      </c>
      <c r="F540" s="2" t="s">
        <v>15</v>
      </c>
      <c r="G540" s="7">
        <v>95.65</v>
      </c>
      <c r="H540" s="7">
        <v>6744.2</v>
      </c>
      <c r="I540" s="2" t="s">
        <v>15</v>
      </c>
      <c r="J540" s="2" t="s">
        <v>16</v>
      </c>
      <c r="K540" s="2" t="s">
        <v>29</v>
      </c>
      <c r="L540" s="7">
        <v>6744.2</v>
      </c>
      <c r="M540" s="2" t="str">
        <f>_xlfn.IFS(TelecomData[[#This Row],[TenureMonths]]&lt;=12, "0-1 Year", TelecomData[[#This Row],[TenureMonths]]&lt;=36, "1-3 Years", TelecomData[[#This Row],[TenureMonths]]&gt;36, "3+ Years")</f>
        <v>3+ Years</v>
      </c>
      <c r="N540" s="2" t="str">
        <f>IF(TelecomData[[#This Row],[CleanedTotalCharges]]&gt;=2500,"High Spend", "Standard Spend")</f>
        <v>High Spend</v>
      </c>
    </row>
    <row r="541" spans="1:14" x14ac:dyDescent="0.3">
      <c r="A541" s="1" t="s">
        <v>565</v>
      </c>
      <c r="B541" s="2" t="s">
        <v>12</v>
      </c>
      <c r="C541" s="2" t="s">
        <v>35</v>
      </c>
      <c r="D541" s="2">
        <v>60</v>
      </c>
      <c r="E541" s="2" t="s">
        <v>14</v>
      </c>
      <c r="F541" s="2" t="s">
        <v>16</v>
      </c>
      <c r="G541" s="7">
        <v>80.599999999999994</v>
      </c>
      <c r="H541" s="7">
        <v>4946.7</v>
      </c>
      <c r="I541" s="2" t="s">
        <v>15</v>
      </c>
      <c r="J541" s="2" t="s">
        <v>16</v>
      </c>
      <c r="K541" s="2" t="s">
        <v>24</v>
      </c>
      <c r="L541" s="7">
        <v>4946.7</v>
      </c>
      <c r="M541" s="2" t="str">
        <f>_xlfn.IFS(TelecomData[[#This Row],[TenureMonths]]&lt;=12, "0-1 Year", TelecomData[[#This Row],[TenureMonths]]&lt;=36, "1-3 Years", TelecomData[[#This Row],[TenureMonths]]&gt;36, "3+ Years")</f>
        <v>3+ Years</v>
      </c>
      <c r="N541" s="2" t="str">
        <f>IF(TelecomData[[#This Row],[CleanedTotalCharges]]&gt;=2500,"High Spend", "Standard Spend")</f>
        <v>High Spend</v>
      </c>
    </row>
    <row r="542" spans="1:14" x14ac:dyDescent="0.3">
      <c r="A542" s="1" t="s">
        <v>566</v>
      </c>
      <c r="B542" s="2" t="s">
        <v>12</v>
      </c>
      <c r="C542" s="2" t="s">
        <v>35</v>
      </c>
      <c r="D542" s="2">
        <v>72</v>
      </c>
      <c r="E542" s="2" t="s">
        <v>26</v>
      </c>
      <c r="F542" s="2" t="s">
        <v>16</v>
      </c>
      <c r="G542" s="7">
        <v>113.1</v>
      </c>
      <c r="H542" s="7">
        <v>8248.5</v>
      </c>
      <c r="I542" s="2" t="s">
        <v>15</v>
      </c>
      <c r="J542" s="2" t="s">
        <v>16</v>
      </c>
      <c r="K542" s="2" t="s">
        <v>24</v>
      </c>
      <c r="L542" s="7">
        <v>8248.5</v>
      </c>
      <c r="M542" s="2" t="str">
        <f>_xlfn.IFS(TelecomData[[#This Row],[TenureMonths]]&lt;=12, "0-1 Year", TelecomData[[#This Row],[TenureMonths]]&lt;=36, "1-3 Years", TelecomData[[#This Row],[TenureMonths]]&gt;36, "3+ Years")</f>
        <v>3+ Years</v>
      </c>
      <c r="N542" s="2" t="str">
        <f>IF(TelecomData[[#This Row],[CleanedTotalCharges]]&gt;=2500,"High Spend", "Standard Spend")</f>
        <v>High Spend</v>
      </c>
    </row>
    <row r="543" spans="1:14" x14ac:dyDescent="0.3">
      <c r="A543" s="1" t="s">
        <v>567</v>
      </c>
      <c r="B543" s="2" t="s">
        <v>12</v>
      </c>
      <c r="C543" s="2" t="s">
        <v>13</v>
      </c>
      <c r="D543" s="2">
        <v>11</v>
      </c>
      <c r="E543" s="2" t="s">
        <v>14</v>
      </c>
      <c r="F543" s="2" t="s">
        <v>15</v>
      </c>
      <c r="G543" s="7">
        <v>58.95</v>
      </c>
      <c r="H543" s="7">
        <v>601.6</v>
      </c>
      <c r="I543" s="2" t="s">
        <v>15</v>
      </c>
      <c r="J543" s="2" t="s">
        <v>16</v>
      </c>
      <c r="K543" s="2" t="s">
        <v>21</v>
      </c>
      <c r="L543" s="7">
        <v>601.6</v>
      </c>
      <c r="M543" s="2" t="str">
        <f>_xlfn.IFS(TelecomData[[#This Row],[TenureMonths]]&lt;=12, "0-1 Year", TelecomData[[#This Row],[TenureMonths]]&lt;=36, "1-3 Years", TelecomData[[#This Row],[TenureMonths]]&gt;36, "3+ Years")</f>
        <v>0-1 Year</v>
      </c>
      <c r="N543" s="2" t="str">
        <f>IF(TelecomData[[#This Row],[CleanedTotalCharges]]&gt;=2500,"High Spend", "Standard Spend")</f>
        <v>Standard Spend</v>
      </c>
    </row>
    <row r="544" spans="1:14" x14ac:dyDescent="0.3">
      <c r="A544" s="1" t="s">
        <v>568</v>
      </c>
      <c r="B544" s="2" t="s">
        <v>12</v>
      </c>
      <c r="C544" s="2" t="s">
        <v>13</v>
      </c>
      <c r="D544" s="2">
        <v>1</v>
      </c>
      <c r="E544" s="2" t="s">
        <v>15</v>
      </c>
      <c r="F544" s="2" t="s">
        <v>36</v>
      </c>
      <c r="G544" s="7">
        <v>19.55</v>
      </c>
      <c r="H544" s="7">
        <v>19.55</v>
      </c>
      <c r="I544" s="2" t="s">
        <v>15</v>
      </c>
      <c r="J544" s="2" t="s">
        <v>15</v>
      </c>
      <c r="K544" s="2" t="s">
        <v>21</v>
      </c>
      <c r="L544" s="7">
        <v>19.55</v>
      </c>
      <c r="M544" s="2" t="str">
        <f>_xlfn.IFS(TelecomData[[#This Row],[TenureMonths]]&lt;=12, "0-1 Year", TelecomData[[#This Row],[TenureMonths]]&lt;=36, "1-3 Years", TelecomData[[#This Row],[TenureMonths]]&gt;36, "3+ Years")</f>
        <v>0-1 Year</v>
      </c>
      <c r="N544" s="2" t="str">
        <f>IF(TelecomData[[#This Row],[CleanedTotalCharges]]&gt;=2500,"High Spend", "Standard Spend")</f>
        <v>Standard Spend</v>
      </c>
    </row>
    <row r="545" spans="1:14" x14ac:dyDescent="0.3">
      <c r="A545" s="1" t="s">
        <v>569</v>
      </c>
      <c r="B545" s="2" t="s">
        <v>19</v>
      </c>
      <c r="C545" s="2" t="s">
        <v>13</v>
      </c>
      <c r="D545" s="2">
        <v>10</v>
      </c>
      <c r="E545" s="2" t="s">
        <v>26</v>
      </c>
      <c r="F545" s="2" t="s">
        <v>15</v>
      </c>
      <c r="G545" s="7">
        <v>86.05</v>
      </c>
      <c r="H545" s="7">
        <v>834.1</v>
      </c>
      <c r="I545" s="2" t="s">
        <v>16</v>
      </c>
      <c r="J545" s="2" t="s">
        <v>16</v>
      </c>
      <c r="K545" s="2" t="s">
        <v>24</v>
      </c>
      <c r="L545" s="7">
        <v>834.1</v>
      </c>
      <c r="M545" s="2" t="str">
        <f>_xlfn.IFS(TelecomData[[#This Row],[TenureMonths]]&lt;=12, "0-1 Year", TelecomData[[#This Row],[TenureMonths]]&lt;=36, "1-3 Years", TelecomData[[#This Row],[TenureMonths]]&gt;36, "3+ Years")</f>
        <v>0-1 Year</v>
      </c>
      <c r="N545" s="2" t="str">
        <f>IF(TelecomData[[#This Row],[CleanedTotalCharges]]&gt;=2500,"High Spend", "Standard Spend")</f>
        <v>Standard Spend</v>
      </c>
    </row>
    <row r="546" spans="1:14" x14ac:dyDescent="0.3">
      <c r="A546" s="1" t="s">
        <v>570</v>
      </c>
      <c r="B546" s="2" t="s">
        <v>19</v>
      </c>
      <c r="C546" s="2" t="s">
        <v>13</v>
      </c>
      <c r="D546" s="2">
        <v>13</v>
      </c>
      <c r="E546" s="2" t="s">
        <v>14</v>
      </c>
      <c r="F546" s="2" t="s">
        <v>16</v>
      </c>
      <c r="G546" s="7">
        <v>45.55</v>
      </c>
      <c r="H546" s="7">
        <v>597</v>
      </c>
      <c r="I546" s="2" t="s">
        <v>16</v>
      </c>
      <c r="J546" s="2" t="s">
        <v>16</v>
      </c>
      <c r="K546" s="2" t="s">
        <v>29</v>
      </c>
      <c r="L546" s="7">
        <v>597</v>
      </c>
      <c r="M546" s="2" t="str">
        <f>_xlfn.IFS(TelecomData[[#This Row],[TenureMonths]]&lt;=12, "0-1 Year", TelecomData[[#This Row],[TenureMonths]]&lt;=36, "1-3 Years", TelecomData[[#This Row],[TenureMonths]]&gt;36, "3+ Years")</f>
        <v>1-3 Years</v>
      </c>
      <c r="N546" s="2" t="str">
        <f>IF(TelecomData[[#This Row],[CleanedTotalCharges]]&gt;=2500,"High Spend", "Standard Spend")</f>
        <v>Standard Spend</v>
      </c>
    </row>
    <row r="547" spans="1:14" x14ac:dyDescent="0.3">
      <c r="A547" s="1" t="s">
        <v>571</v>
      </c>
      <c r="B547" s="2" t="s">
        <v>19</v>
      </c>
      <c r="C547" s="2" t="s">
        <v>20</v>
      </c>
      <c r="D547" s="2">
        <v>34</v>
      </c>
      <c r="E547" s="2" t="s">
        <v>26</v>
      </c>
      <c r="F547" s="2" t="s">
        <v>15</v>
      </c>
      <c r="G547" s="7">
        <v>78.95</v>
      </c>
      <c r="H547" s="7">
        <v>2647.2</v>
      </c>
      <c r="I547" s="2" t="s">
        <v>15</v>
      </c>
      <c r="J547" s="2" t="s">
        <v>16</v>
      </c>
      <c r="K547" s="2" t="s">
        <v>24</v>
      </c>
      <c r="L547" s="7">
        <v>2647.2</v>
      </c>
      <c r="M547" s="2" t="str">
        <f>_xlfn.IFS(TelecomData[[#This Row],[TenureMonths]]&lt;=12, "0-1 Year", TelecomData[[#This Row],[TenureMonths]]&lt;=36, "1-3 Years", TelecomData[[#This Row],[TenureMonths]]&gt;36, "3+ Years")</f>
        <v>1-3 Years</v>
      </c>
      <c r="N547" s="2" t="str">
        <f>IF(TelecomData[[#This Row],[CleanedTotalCharges]]&gt;=2500,"High Spend", "Standard Spend")</f>
        <v>High Spend</v>
      </c>
    </row>
    <row r="548" spans="1:14" x14ac:dyDescent="0.3">
      <c r="A548" s="1" t="s">
        <v>572</v>
      </c>
      <c r="B548" s="2" t="s">
        <v>19</v>
      </c>
      <c r="C548" s="2" t="s">
        <v>13</v>
      </c>
      <c r="D548" s="2">
        <v>39</v>
      </c>
      <c r="E548" s="2" t="s">
        <v>26</v>
      </c>
      <c r="F548" s="2" t="s">
        <v>15</v>
      </c>
      <c r="G548" s="7">
        <v>86.3</v>
      </c>
      <c r="H548" s="7">
        <v>3266</v>
      </c>
      <c r="I548" s="2" t="s">
        <v>16</v>
      </c>
      <c r="J548" s="2" t="s">
        <v>16</v>
      </c>
      <c r="K548" s="2" t="s">
        <v>21</v>
      </c>
      <c r="L548" s="7">
        <v>3266</v>
      </c>
      <c r="M548" s="2" t="str">
        <f>_xlfn.IFS(TelecomData[[#This Row],[TenureMonths]]&lt;=12, "0-1 Year", TelecomData[[#This Row],[TenureMonths]]&lt;=36, "1-3 Years", TelecomData[[#This Row],[TenureMonths]]&gt;36, "3+ Years")</f>
        <v>3+ Years</v>
      </c>
      <c r="N548" s="2" t="str">
        <f>IF(TelecomData[[#This Row],[CleanedTotalCharges]]&gt;=2500,"High Spend", "Standard Spend")</f>
        <v>High Spend</v>
      </c>
    </row>
    <row r="549" spans="1:14" x14ac:dyDescent="0.3">
      <c r="A549" s="1" t="s">
        <v>573</v>
      </c>
      <c r="B549" s="2" t="s">
        <v>12</v>
      </c>
      <c r="C549" s="2" t="s">
        <v>20</v>
      </c>
      <c r="D549" s="2">
        <v>65</v>
      </c>
      <c r="E549" s="2" t="s">
        <v>26</v>
      </c>
      <c r="F549" s="2" t="s">
        <v>16</v>
      </c>
      <c r="G549" s="7">
        <v>105.05</v>
      </c>
      <c r="H549" s="7">
        <v>6744.25</v>
      </c>
      <c r="I549" s="2" t="s">
        <v>15</v>
      </c>
      <c r="J549" s="2" t="s">
        <v>16</v>
      </c>
      <c r="K549" s="2" t="s">
        <v>24</v>
      </c>
      <c r="L549" s="7">
        <v>6744.25</v>
      </c>
      <c r="M549" s="2" t="str">
        <f>_xlfn.IFS(TelecomData[[#This Row],[TenureMonths]]&lt;=12, "0-1 Year", TelecomData[[#This Row],[TenureMonths]]&lt;=36, "1-3 Years", TelecomData[[#This Row],[TenureMonths]]&gt;36, "3+ Years")</f>
        <v>3+ Years</v>
      </c>
      <c r="N549" s="2" t="str">
        <f>IF(TelecomData[[#This Row],[CleanedTotalCharges]]&gt;=2500,"High Spend", "Standard Spend")</f>
        <v>High Spend</v>
      </c>
    </row>
    <row r="550" spans="1:14" x14ac:dyDescent="0.3">
      <c r="A550" s="1" t="s">
        <v>574</v>
      </c>
      <c r="B550" s="2" t="s">
        <v>19</v>
      </c>
      <c r="C550" s="2" t="s">
        <v>20</v>
      </c>
      <c r="D550" s="2">
        <v>50</v>
      </c>
      <c r="E550" s="2" t="s">
        <v>26</v>
      </c>
      <c r="F550" s="2" t="s">
        <v>15</v>
      </c>
      <c r="G550" s="7">
        <v>101.9</v>
      </c>
      <c r="H550" s="7">
        <v>5265.5</v>
      </c>
      <c r="I550" s="2" t="s">
        <v>15</v>
      </c>
      <c r="J550" s="2" t="s">
        <v>16</v>
      </c>
      <c r="K550" s="2" t="s">
        <v>24</v>
      </c>
      <c r="L550" s="7">
        <v>5265.5</v>
      </c>
      <c r="M550" s="2" t="str">
        <f>_xlfn.IFS(TelecomData[[#This Row],[TenureMonths]]&lt;=12, "0-1 Year", TelecomData[[#This Row],[TenureMonths]]&lt;=36, "1-3 Years", TelecomData[[#This Row],[TenureMonths]]&gt;36, "3+ Years")</f>
        <v>3+ Years</v>
      </c>
      <c r="N550" s="2" t="str">
        <f>IF(TelecomData[[#This Row],[CleanedTotalCharges]]&gt;=2500,"High Spend", "Standard Spend")</f>
        <v>High Spend</v>
      </c>
    </row>
    <row r="551" spans="1:14" x14ac:dyDescent="0.3">
      <c r="A551" s="1" t="s">
        <v>575</v>
      </c>
      <c r="B551" s="2" t="s">
        <v>19</v>
      </c>
      <c r="C551" s="2" t="s">
        <v>13</v>
      </c>
      <c r="D551" s="2">
        <v>15</v>
      </c>
      <c r="E551" s="2" t="s">
        <v>15</v>
      </c>
      <c r="F551" s="2" t="s">
        <v>36</v>
      </c>
      <c r="G551" s="7">
        <v>19.75</v>
      </c>
      <c r="H551" s="7">
        <v>311.60000000000002</v>
      </c>
      <c r="I551" s="2" t="s">
        <v>15</v>
      </c>
      <c r="J551" s="2" t="s">
        <v>15</v>
      </c>
      <c r="K551" s="2" t="s">
        <v>21</v>
      </c>
      <c r="L551" s="7">
        <v>311.60000000000002</v>
      </c>
      <c r="M551" s="2" t="str">
        <f>_xlfn.IFS(TelecomData[[#This Row],[TenureMonths]]&lt;=12, "0-1 Year", TelecomData[[#This Row],[TenureMonths]]&lt;=36, "1-3 Years", TelecomData[[#This Row],[TenureMonths]]&gt;36, "3+ Years")</f>
        <v>1-3 Years</v>
      </c>
      <c r="N551" s="2" t="str">
        <f>IF(TelecomData[[#This Row],[CleanedTotalCharges]]&gt;=2500,"High Spend", "Standard Spend")</f>
        <v>Standard Spend</v>
      </c>
    </row>
    <row r="552" spans="1:14" x14ac:dyDescent="0.3">
      <c r="A552" s="1" t="s">
        <v>576</v>
      </c>
      <c r="B552" s="2" t="s">
        <v>19</v>
      </c>
      <c r="C552" s="2" t="s">
        <v>35</v>
      </c>
      <c r="D552" s="2">
        <v>72</v>
      </c>
      <c r="E552" s="2" t="s">
        <v>26</v>
      </c>
      <c r="F552" s="2" t="s">
        <v>15</v>
      </c>
      <c r="G552" s="7">
        <v>110.3</v>
      </c>
      <c r="H552" s="7">
        <v>7966.9</v>
      </c>
      <c r="I552" s="2" t="s">
        <v>15</v>
      </c>
      <c r="J552" s="2" t="s">
        <v>16</v>
      </c>
      <c r="K552" s="2" t="s">
        <v>24</v>
      </c>
      <c r="L552" s="7">
        <v>7966.9</v>
      </c>
      <c r="M552" s="2" t="str">
        <f>_xlfn.IFS(TelecomData[[#This Row],[TenureMonths]]&lt;=12, "0-1 Year", TelecomData[[#This Row],[TenureMonths]]&lt;=36, "1-3 Years", TelecomData[[#This Row],[TenureMonths]]&gt;36, "3+ Years")</f>
        <v>3+ Years</v>
      </c>
      <c r="N552" s="2" t="str">
        <f>IF(TelecomData[[#This Row],[CleanedTotalCharges]]&gt;=2500,"High Spend", "Standard Spend")</f>
        <v>High Spend</v>
      </c>
    </row>
    <row r="553" spans="1:14" x14ac:dyDescent="0.3">
      <c r="A553" s="1" t="s">
        <v>577</v>
      </c>
      <c r="B553" s="2" t="s">
        <v>12</v>
      </c>
      <c r="C553" s="2" t="s">
        <v>35</v>
      </c>
      <c r="D553" s="2">
        <v>72</v>
      </c>
      <c r="E553" s="2" t="s">
        <v>26</v>
      </c>
      <c r="F553" s="2" t="s">
        <v>16</v>
      </c>
      <c r="G553" s="7">
        <v>115.6</v>
      </c>
      <c r="H553" s="7">
        <v>8220.4</v>
      </c>
      <c r="I553" s="2" t="s">
        <v>15</v>
      </c>
      <c r="J553" s="2" t="s">
        <v>16</v>
      </c>
      <c r="K553" s="2" t="s">
        <v>24</v>
      </c>
      <c r="L553" s="7">
        <v>8220.4</v>
      </c>
      <c r="M553" s="2" t="str">
        <f>_xlfn.IFS(TelecomData[[#This Row],[TenureMonths]]&lt;=12, "0-1 Year", TelecomData[[#This Row],[TenureMonths]]&lt;=36, "1-3 Years", TelecomData[[#This Row],[TenureMonths]]&gt;36, "3+ Years")</f>
        <v>3+ Years</v>
      </c>
      <c r="N553" s="2" t="str">
        <f>IF(TelecomData[[#This Row],[CleanedTotalCharges]]&gt;=2500,"High Spend", "Standard Spend")</f>
        <v>High Spend</v>
      </c>
    </row>
    <row r="554" spans="1:14" x14ac:dyDescent="0.3">
      <c r="A554" s="1" t="s">
        <v>578</v>
      </c>
      <c r="B554" s="2" t="s">
        <v>19</v>
      </c>
      <c r="C554" s="2" t="s">
        <v>35</v>
      </c>
      <c r="D554" s="2">
        <v>55</v>
      </c>
      <c r="E554" s="2" t="s">
        <v>15</v>
      </c>
      <c r="F554" s="2" t="s">
        <v>36</v>
      </c>
      <c r="G554" s="7">
        <v>19.350000000000001</v>
      </c>
      <c r="H554" s="7">
        <v>1153.25</v>
      </c>
      <c r="I554" s="2" t="s">
        <v>15</v>
      </c>
      <c r="J554" s="2" t="s">
        <v>15</v>
      </c>
      <c r="K554" s="2" t="s">
        <v>24</v>
      </c>
      <c r="L554" s="7">
        <v>1153.25</v>
      </c>
      <c r="M554" s="2" t="str">
        <f>_xlfn.IFS(TelecomData[[#This Row],[TenureMonths]]&lt;=12, "0-1 Year", TelecomData[[#This Row],[TenureMonths]]&lt;=36, "1-3 Years", TelecomData[[#This Row],[TenureMonths]]&gt;36, "3+ Years")</f>
        <v>3+ Years</v>
      </c>
      <c r="N554" s="2" t="str">
        <f>IF(TelecomData[[#This Row],[CleanedTotalCharges]]&gt;=2500,"High Spend", "Standard Spend")</f>
        <v>Standard Spend</v>
      </c>
    </row>
    <row r="555" spans="1:14" x14ac:dyDescent="0.3">
      <c r="A555" s="1" t="s">
        <v>579</v>
      </c>
      <c r="B555" s="2" t="s">
        <v>12</v>
      </c>
      <c r="C555" s="2" t="s">
        <v>35</v>
      </c>
      <c r="D555" s="2">
        <v>23</v>
      </c>
      <c r="E555" s="2" t="s">
        <v>15</v>
      </c>
      <c r="F555" s="2" t="s">
        <v>36</v>
      </c>
      <c r="G555" s="7">
        <v>25.6</v>
      </c>
      <c r="H555" s="7">
        <v>514.75</v>
      </c>
      <c r="I555" s="2" t="s">
        <v>15</v>
      </c>
      <c r="J555" s="2" t="s">
        <v>16</v>
      </c>
      <c r="K555" s="2" t="s">
        <v>29</v>
      </c>
      <c r="L555" s="7">
        <v>514.75</v>
      </c>
      <c r="M555" s="2" t="str">
        <f>_xlfn.IFS(TelecomData[[#This Row],[TenureMonths]]&lt;=12, "0-1 Year", TelecomData[[#This Row],[TenureMonths]]&lt;=36, "1-3 Years", TelecomData[[#This Row],[TenureMonths]]&gt;36, "3+ Years")</f>
        <v>1-3 Years</v>
      </c>
      <c r="N555" s="2" t="str">
        <f>IF(TelecomData[[#This Row],[CleanedTotalCharges]]&gt;=2500,"High Spend", "Standard Spend")</f>
        <v>Standard Spend</v>
      </c>
    </row>
    <row r="556" spans="1:14" x14ac:dyDescent="0.3">
      <c r="A556" s="1" t="s">
        <v>580</v>
      </c>
      <c r="B556" s="2" t="s">
        <v>19</v>
      </c>
      <c r="C556" s="2" t="s">
        <v>13</v>
      </c>
      <c r="D556" s="2">
        <v>32</v>
      </c>
      <c r="E556" s="2" t="s">
        <v>26</v>
      </c>
      <c r="F556" s="2" t="s">
        <v>15</v>
      </c>
      <c r="G556" s="7">
        <v>80.349999999999994</v>
      </c>
      <c r="H556" s="7">
        <v>2596.15</v>
      </c>
      <c r="I556" s="2" t="s">
        <v>16</v>
      </c>
      <c r="J556" s="2" t="s">
        <v>16</v>
      </c>
      <c r="K556" s="2" t="s">
        <v>24</v>
      </c>
      <c r="L556" s="7">
        <v>2596.15</v>
      </c>
      <c r="M556" s="2" t="str">
        <f>_xlfn.IFS(TelecomData[[#This Row],[TenureMonths]]&lt;=12, "0-1 Year", TelecomData[[#This Row],[TenureMonths]]&lt;=36, "1-3 Years", TelecomData[[#This Row],[TenureMonths]]&gt;36, "3+ Years")</f>
        <v>1-3 Years</v>
      </c>
      <c r="N556" s="2" t="str">
        <f>IF(TelecomData[[#This Row],[CleanedTotalCharges]]&gt;=2500,"High Spend", "Standard Spend")</f>
        <v>High Spend</v>
      </c>
    </row>
    <row r="557" spans="1:14" x14ac:dyDescent="0.3">
      <c r="A557" s="1" t="s">
        <v>581</v>
      </c>
      <c r="B557" s="2" t="s">
        <v>12</v>
      </c>
      <c r="C557" s="2" t="s">
        <v>20</v>
      </c>
      <c r="D557" s="2">
        <v>56</v>
      </c>
      <c r="E557" s="2" t="s">
        <v>14</v>
      </c>
      <c r="F557" s="2" t="s">
        <v>15</v>
      </c>
      <c r="G557" s="7">
        <v>68.75</v>
      </c>
      <c r="H557" s="7">
        <v>3808</v>
      </c>
      <c r="I557" s="2" t="s">
        <v>15</v>
      </c>
      <c r="J557" s="2" t="s">
        <v>16</v>
      </c>
      <c r="K557" s="2" t="s">
        <v>24</v>
      </c>
      <c r="L557" s="7">
        <v>3808</v>
      </c>
      <c r="M557" s="2" t="str">
        <f>_xlfn.IFS(TelecomData[[#This Row],[TenureMonths]]&lt;=12, "0-1 Year", TelecomData[[#This Row],[TenureMonths]]&lt;=36, "1-3 Years", TelecomData[[#This Row],[TenureMonths]]&gt;36, "3+ Years")</f>
        <v>3+ Years</v>
      </c>
      <c r="N557" s="2" t="str">
        <f>IF(TelecomData[[#This Row],[CleanedTotalCharges]]&gt;=2500,"High Spend", "Standard Spend")</f>
        <v>High Spend</v>
      </c>
    </row>
    <row r="558" spans="1:14" x14ac:dyDescent="0.3">
      <c r="A558" s="1" t="s">
        <v>582</v>
      </c>
      <c r="B558" s="2" t="s">
        <v>12</v>
      </c>
      <c r="C558" s="2" t="s">
        <v>13</v>
      </c>
      <c r="D558" s="2">
        <v>1</v>
      </c>
      <c r="E558" s="2" t="s">
        <v>15</v>
      </c>
      <c r="F558" s="2" t="s">
        <v>36</v>
      </c>
      <c r="G558" s="7">
        <v>19.899999999999999</v>
      </c>
      <c r="H558" s="7">
        <v>19.899999999999999</v>
      </c>
      <c r="I558" s="2" t="s">
        <v>15</v>
      </c>
      <c r="J558" s="2" t="s">
        <v>15</v>
      </c>
      <c r="K558" s="2" t="s">
        <v>24</v>
      </c>
      <c r="L558" s="7">
        <v>19.899999999999999</v>
      </c>
      <c r="M558" s="2" t="str">
        <f>_xlfn.IFS(TelecomData[[#This Row],[TenureMonths]]&lt;=12, "0-1 Year", TelecomData[[#This Row],[TenureMonths]]&lt;=36, "1-3 Years", TelecomData[[#This Row],[TenureMonths]]&gt;36, "3+ Years")</f>
        <v>0-1 Year</v>
      </c>
      <c r="N558" s="2" t="str">
        <f>IF(TelecomData[[#This Row],[CleanedTotalCharges]]&gt;=2500,"High Spend", "Standard Spend")</f>
        <v>Standard Spend</v>
      </c>
    </row>
    <row r="559" spans="1:14" x14ac:dyDescent="0.3">
      <c r="A559" s="1" t="s">
        <v>583</v>
      </c>
      <c r="B559" s="2" t="s">
        <v>19</v>
      </c>
      <c r="C559" s="2" t="s">
        <v>20</v>
      </c>
      <c r="D559" s="2">
        <v>38</v>
      </c>
      <c r="E559" s="2" t="s">
        <v>14</v>
      </c>
      <c r="F559" s="2" t="s">
        <v>16</v>
      </c>
      <c r="G559" s="7">
        <v>70.599999999999994</v>
      </c>
      <c r="H559" s="7">
        <v>2708.2</v>
      </c>
      <c r="I559" s="2" t="s">
        <v>15</v>
      </c>
      <c r="J559" s="2" t="s">
        <v>15</v>
      </c>
      <c r="K559" s="2" t="s">
        <v>21</v>
      </c>
      <c r="L559" s="7">
        <v>2708.2</v>
      </c>
      <c r="M559" s="2" t="str">
        <f>_xlfn.IFS(TelecomData[[#This Row],[TenureMonths]]&lt;=12, "0-1 Year", TelecomData[[#This Row],[TenureMonths]]&lt;=36, "1-3 Years", TelecomData[[#This Row],[TenureMonths]]&gt;36, "3+ Years")</f>
        <v>3+ Years</v>
      </c>
      <c r="N559" s="2" t="str">
        <f>IF(TelecomData[[#This Row],[CleanedTotalCharges]]&gt;=2500,"High Spend", "Standard Spend")</f>
        <v>High Spend</v>
      </c>
    </row>
    <row r="560" spans="1:14" x14ac:dyDescent="0.3">
      <c r="A560" s="1" t="s">
        <v>584</v>
      </c>
      <c r="B560" s="2" t="s">
        <v>19</v>
      </c>
      <c r="C560" s="2" t="s">
        <v>13</v>
      </c>
      <c r="D560" s="2">
        <v>11</v>
      </c>
      <c r="E560" s="2" t="s">
        <v>26</v>
      </c>
      <c r="F560" s="2" t="s">
        <v>15</v>
      </c>
      <c r="G560" s="7">
        <v>70.2</v>
      </c>
      <c r="H560" s="7">
        <v>760.05</v>
      </c>
      <c r="I560" s="2" t="s">
        <v>15</v>
      </c>
      <c r="J560" s="2" t="s">
        <v>15</v>
      </c>
      <c r="K560" s="2" t="s">
        <v>17</v>
      </c>
      <c r="L560" s="7">
        <v>760.05</v>
      </c>
      <c r="M560" s="2" t="str">
        <f>_xlfn.IFS(TelecomData[[#This Row],[TenureMonths]]&lt;=12, "0-1 Year", TelecomData[[#This Row],[TenureMonths]]&lt;=36, "1-3 Years", TelecomData[[#This Row],[TenureMonths]]&gt;36, "3+ Years")</f>
        <v>0-1 Year</v>
      </c>
      <c r="N560" s="2" t="str">
        <f>IF(TelecomData[[#This Row],[CleanedTotalCharges]]&gt;=2500,"High Spend", "Standard Spend")</f>
        <v>Standard Spend</v>
      </c>
    </row>
    <row r="561" spans="1:14" x14ac:dyDescent="0.3">
      <c r="A561" s="1" t="s">
        <v>585</v>
      </c>
      <c r="B561" s="2" t="s">
        <v>19</v>
      </c>
      <c r="C561" s="2" t="s">
        <v>13</v>
      </c>
      <c r="D561" s="2">
        <v>1</v>
      </c>
      <c r="E561" s="2" t="s">
        <v>14</v>
      </c>
      <c r="F561" s="2" t="s">
        <v>16</v>
      </c>
      <c r="G561" s="7">
        <v>49.3</v>
      </c>
      <c r="H561" s="7">
        <v>49.3</v>
      </c>
      <c r="I561" s="2" t="s">
        <v>15</v>
      </c>
      <c r="J561" s="2" t="s">
        <v>16</v>
      </c>
      <c r="K561" s="2" t="s">
        <v>17</v>
      </c>
      <c r="L561" s="7">
        <v>49.3</v>
      </c>
      <c r="M561" s="2" t="str">
        <f>_xlfn.IFS(TelecomData[[#This Row],[TenureMonths]]&lt;=12, "0-1 Year", TelecomData[[#This Row],[TenureMonths]]&lt;=36, "1-3 Years", TelecomData[[#This Row],[TenureMonths]]&gt;36, "3+ Years")</f>
        <v>0-1 Year</v>
      </c>
      <c r="N561" s="2" t="str">
        <f>IF(TelecomData[[#This Row],[CleanedTotalCharges]]&gt;=2500,"High Spend", "Standard Spend")</f>
        <v>Standard Spend</v>
      </c>
    </row>
    <row r="562" spans="1:14" x14ac:dyDescent="0.3">
      <c r="A562" s="1" t="s">
        <v>586</v>
      </c>
      <c r="B562" s="2" t="s">
        <v>19</v>
      </c>
      <c r="C562" s="2" t="s">
        <v>20</v>
      </c>
      <c r="D562" s="2">
        <v>56</v>
      </c>
      <c r="E562" s="2" t="s">
        <v>26</v>
      </c>
      <c r="F562" s="2" t="s">
        <v>16</v>
      </c>
      <c r="G562" s="7">
        <v>107.25</v>
      </c>
      <c r="H562" s="7">
        <v>6033.3</v>
      </c>
      <c r="I562" s="2" t="s">
        <v>15</v>
      </c>
      <c r="J562" s="2" t="s">
        <v>16</v>
      </c>
      <c r="K562" s="2" t="s">
        <v>17</v>
      </c>
      <c r="L562" s="7">
        <v>6033.3</v>
      </c>
      <c r="M562" s="2" t="str">
        <f>_xlfn.IFS(TelecomData[[#This Row],[TenureMonths]]&lt;=12, "0-1 Year", TelecomData[[#This Row],[TenureMonths]]&lt;=36, "1-3 Years", TelecomData[[#This Row],[TenureMonths]]&gt;36, "3+ Years")</f>
        <v>3+ Years</v>
      </c>
      <c r="N562" s="2" t="str">
        <f>IF(TelecomData[[#This Row],[CleanedTotalCharges]]&gt;=2500,"High Spend", "Standard Spend")</f>
        <v>High Spend</v>
      </c>
    </row>
    <row r="563" spans="1:14" x14ac:dyDescent="0.3">
      <c r="A563" s="1" t="s">
        <v>587</v>
      </c>
      <c r="B563" s="2" t="s">
        <v>19</v>
      </c>
      <c r="C563" s="2" t="s">
        <v>13</v>
      </c>
      <c r="D563" s="2">
        <v>3</v>
      </c>
      <c r="E563" s="2" t="s">
        <v>15</v>
      </c>
      <c r="F563" s="2" t="s">
        <v>36</v>
      </c>
      <c r="G563" s="7">
        <v>23.6</v>
      </c>
      <c r="H563" s="7">
        <v>89.05</v>
      </c>
      <c r="I563" s="2" t="s">
        <v>15</v>
      </c>
      <c r="J563" s="2" t="s">
        <v>16</v>
      </c>
      <c r="K563" s="2" t="s">
        <v>21</v>
      </c>
      <c r="L563" s="7">
        <v>89.05</v>
      </c>
      <c r="M563" s="2" t="str">
        <f>_xlfn.IFS(TelecomData[[#This Row],[TenureMonths]]&lt;=12, "0-1 Year", TelecomData[[#This Row],[TenureMonths]]&lt;=36, "1-3 Years", TelecomData[[#This Row],[TenureMonths]]&gt;36, "3+ Years")</f>
        <v>0-1 Year</v>
      </c>
      <c r="N563" s="2" t="str">
        <f>IF(TelecomData[[#This Row],[CleanedTotalCharges]]&gt;=2500,"High Spend", "Standard Spend")</f>
        <v>Standard Spend</v>
      </c>
    </row>
    <row r="564" spans="1:14" x14ac:dyDescent="0.3">
      <c r="A564" s="1" t="s">
        <v>588</v>
      </c>
      <c r="B564" s="2" t="s">
        <v>19</v>
      </c>
      <c r="C564" s="2" t="s">
        <v>13</v>
      </c>
      <c r="D564" s="2">
        <v>7</v>
      </c>
      <c r="E564" s="2" t="s">
        <v>14</v>
      </c>
      <c r="F564" s="2" t="s">
        <v>15</v>
      </c>
      <c r="G564" s="7">
        <v>69.7</v>
      </c>
      <c r="H564" s="7">
        <v>516.15</v>
      </c>
      <c r="I564" s="2" t="s">
        <v>15</v>
      </c>
      <c r="J564" s="2" t="s">
        <v>15</v>
      </c>
      <c r="K564" s="2" t="s">
        <v>29</v>
      </c>
      <c r="L564" s="7">
        <v>516.15</v>
      </c>
      <c r="M564" s="2" t="str">
        <f>_xlfn.IFS(TelecomData[[#This Row],[TenureMonths]]&lt;=12, "0-1 Year", TelecomData[[#This Row],[TenureMonths]]&lt;=36, "1-3 Years", TelecomData[[#This Row],[TenureMonths]]&gt;36, "3+ Years")</f>
        <v>0-1 Year</v>
      </c>
      <c r="N564" s="2" t="str">
        <f>IF(TelecomData[[#This Row],[CleanedTotalCharges]]&gt;=2500,"High Spend", "Standard Spend")</f>
        <v>Standard Spend</v>
      </c>
    </row>
    <row r="565" spans="1:14" x14ac:dyDescent="0.3">
      <c r="A565" s="1" t="s">
        <v>589</v>
      </c>
      <c r="B565" s="2" t="s">
        <v>19</v>
      </c>
      <c r="C565" s="2" t="s">
        <v>35</v>
      </c>
      <c r="D565" s="2">
        <v>59</v>
      </c>
      <c r="E565" s="2" t="s">
        <v>26</v>
      </c>
      <c r="F565" s="2" t="s">
        <v>15</v>
      </c>
      <c r="G565" s="7">
        <v>99.5</v>
      </c>
      <c r="H565" s="7">
        <v>5861.75</v>
      </c>
      <c r="I565" s="2" t="s">
        <v>15</v>
      </c>
      <c r="J565" s="2" t="s">
        <v>16</v>
      </c>
      <c r="K565" s="2" t="s">
        <v>29</v>
      </c>
      <c r="L565" s="7">
        <v>5861.75</v>
      </c>
      <c r="M565" s="2" t="str">
        <f>_xlfn.IFS(TelecomData[[#This Row],[TenureMonths]]&lt;=12, "0-1 Year", TelecomData[[#This Row],[TenureMonths]]&lt;=36, "1-3 Years", TelecomData[[#This Row],[TenureMonths]]&gt;36, "3+ Years")</f>
        <v>3+ Years</v>
      </c>
      <c r="N565" s="2" t="str">
        <f>IF(TelecomData[[#This Row],[CleanedTotalCharges]]&gt;=2500,"High Spend", "Standard Spend")</f>
        <v>High Spend</v>
      </c>
    </row>
    <row r="566" spans="1:14" x14ac:dyDescent="0.3">
      <c r="A566" s="1" t="s">
        <v>590</v>
      </c>
      <c r="B566" s="2" t="s">
        <v>19</v>
      </c>
      <c r="C566" s="2" t="s">
        <v>13</v>
      </c>
      <c r="D566" s="2">
        <v>7</v>
      </c>
      <c r="E566" s="2" t="s">
        <v>14</v>
      </c>
      <c r="F566" s="2" t="s">
        <v>16</v>
      </c>
      <c r="G566" s="7">
        <v>64.3</v>
      </c>
      <c r="H566" s="7">
        <v>445.95</v>
      </c>
      <c r="I566" s="2" t="s">
        <v>15</v>
      </c>
      <c r="J566" s="2" t="s">
        <v>15</v>
      </c>
      <c r="K566" s="2" t="s">
        <v>24</v>
      </c>
      <c r="L566" s="7">
        <v>445.95</v>
      </c>
      <c r="M566" s="2" t="str">
        <f>_xlfn.IFS(TelecomData[[#This Row],[TenureMonths]]&lt;=12, "0-1 Year", TelecomData[[#This Row],[TenureMonths]]&lt;=36, "1-3 Years", TelecomData[[#This Row],[TenureMonths]]&gt;36, "3+ Years")</f>
        <v>0-1 Year</v>
      </c>
      <c r="N566" s="2" t="str">
        <f>IF(TelecomData[[#This Row],[CleanedTotalCharges]]&gt;=2500,"High Spend", "Standard Spend")</f>
        <v>Standard Spend</v>
      </c>
    </row>
    <row r="567" spans="1:14" x14ac:dyDescent="0.3">
      <c r="A567" s="1" t="s">
        <v>591</v>
      </c>
      <c r="B567" s="2" t="s">
        <v>19</v>
      </c>
      <c r="C567" s="2" t="s">
        <v>35</v>
      </c>
      <c r="D567" s="2">
        <v>71</v>
      </c>
      <c r="E567" s="2" t="s">
        <v>14</v>
      </c>
      <c r="F567" s="2" t="s">
        <v>16</v>
      </c>
      <c r="G567" s="7">
        <v>70.849999999999994</v>
      </c>
      <c r="H567" s="7">
        <v>4973.3999999999996</v>
      </c>
      <c r="I567" s="2" t="s">
        <v>15</v>
      </c>
      <c r="J567" s="2" t="s">
        <v>16</v>
      </c>
      <c r="K567" s="2" t="s">
        <v>29</v>
      </c>
      <c r="L567" s="7">
        <v>4973.3999999999996</v>
      </c>
      <c r="M567" s="2" t="str">
        <f>_xlfn.IFS(TelecomData[[#This Row],[TenureMonths]]&lt;=12, "0-1 Year", TelecomData[[#This Row],[TenureMonths]]&lt;=36, "1-3 Years", TelecomData[[#This Row],[TenureMonths]]&gt;36, "3+ Years")</f>
        <v>3+ Years</v>
      </c>
      <c r="N567" s="2" t="str">
        <f>IF(TelecomData[[#This Row],[CleanedTotalCharges]]&gt;=2500,"High Spend", "Standard Spend")</f>
        <v>High Spend</v>
      </c>
    </row>
    <row r="568" spans="1:14" x14ac:dyDescent="0.3">
      <c r="A568" s="1" t="s">
        <v>592</v>
      </c>
      <c r="B568" s="2" t="s">
        <v>19</v>
      </c>
      <c r="C568" s="2" t="s">
        <v>20</v>
      </c>
      <c r="D568" s="2">
        <v>15</v>
      </c>
      <c r="E568" s="2" t="s">
        <v>26</v>
      </c>
      <c r="F568" s="2" t="s">
        <v>16</v>
      </c>
      <c r="G568" s="7">
        <v>101.9</v>
      </c>
      <c r="H568" s="7">
        <v>1667.25</v>
      </c>
      <c r="I568" s="2" t="s">
        <v>15</v>
      </c>
      <c r="J568" s="2" t="s">
        <v>15</v>
      </c>
      <c r="K568" s="2" t="s">
        <v>17</v>
      </c>
      <c r="L568" s="7">
        <v>1667.25</v>
      </c>
      <c r="M568" s="2" t="str">
        <f>_xlfn.IFS(TelecomData[[#This Row],[TenureMonths]]&lt;=12, "0-1 Year", TelecomData[[#This Row],[TenureMonths]]&lt;=36, "1-3 Years", TelecomData[[#This Row],[TenureMonths]]&gt;36, "3+ Years")</f>
        <v>1-3 Years</v>
      </c>
      <c r="N568" s="2" t="str">
        <f>IF(TelecomData[[#This Row],[CleanedTotalCharges]]&gt;=2500,"High Spend", "Standard Spend")</f>
        <v>Standard Spend</v>
      </c>
    </row>
    <row r="569" spans="1:14" x14ac:dyDescent="0.3">
      <c r="A569" s="1" t="s">
        <v>593</v>
      </c>
      <c r="B569" s="2" t="s">
        <v>19</v>
      </c>
      <c r="C569" s="2" t="s">
        <v>35</v>
      </c>
      <c r="D569" s="2">
        <v>71</v>
      </c>
      <c r="E569" s="2" t="s">
        <v>14</v>
      </c>
      <c r="F569" s="2" t="s">
        <v>16</v>
      </c>
      <c r="G569" s="7">
        <v>73.5</v>
      </c>
      <c r="H569" s="7">
        <v>5357.75</v>
      </c>
      <c r="I569" s="2" t="s">
        <v>15</v>
      </c>
      <c r="J569" s="2" t="s">
        <v>15</v>
      </c>
      <c r="K569" s="2" t="s">
        <v>29</v>
      </c>
      <c r="L569" s="7">
        <v>5357.75</v>
      </c>
      <c r="M569" s="2" t="str">
        <f>_xlfn.IFS(TelecomData[[#This Row],[TenureMonths]]&lt;=12, "0-1 Year", TelecomData[[#This Row],[TenureMonths]]&lt;=36, "1-3 Years", TelecomData[[#This Row],[TenureMonths]]&gt;36, "3+ Years")</f>
        <v>3+ Years</v>
      </c>
      <c r="N569" s="2" t="str">
        <f>IF(TelecomData[[#This Row],[CleanedTotalCharges]]&gt;=2500,"High Spend", "Standard Spend")</f>
        <v>High Spend</v>
      </c>
    </row>
    <row r="570" spans="1:14" x14ac:dyDescent="0.3">
      <c r="A570" s="1" t="s">
        <v>594</v>
      </c>
      <c r="B570" s="2" t="s">
        <v>12</v>
      </c>
      <c r="C570" s="2" t="s">
        <v>13</v>
      </c>
      <c r="D570" s="2">
        <v>35</v>
      </c>
      <c r="E570" s="2" t="s">
        <v>26</v>
      </c>
      <c r="F570" s="2" t="s">
        <v>15</v>
      </c>
      <c r="G570" s="7">
        <v>100.25</v>
      </c>
      <c r="H570" s="7">
        <v>3527.6</v>
      </c>
      <c r="I570" s="2" t="s">
        <v>16</v>
      </c>
      <c r="J570" s="2" t="s">
        <v>16</v>
      </c>
      <c r="K570" s="2" t="s">
        <v>17</v>
      </c>
      <c r="L570" s="7">
        <v>3527.6</v>
      </c>
      <c r="M570" s="2" t="str">
        <f>_xlfn.IFS(TelecomData[[#This Row],[TenureMonths]]&lt;=12, "0-1 Year", TelecomData[[#This Row],[TenureMonths]]&lt;=36, "1-3 Years", TelecomData[[#This Row],[TenureMonths]]&gt;36, "3+ Years")</f>
        <v>1-3 Years</v>
      </c>
      <c r="N570" s="2" t="str">
        <f>IF(TelecomData[[#This Row],[CleanedTotalCharges]]&gt;=2500,"High Spend", "Standard Spend")</f>
        <v>High Spend</v>
      </c>
    </row>
    <row r="571" spans="1:14" x14ac:dyDescent="0.3">
      <c r="A571" s="1" t="s">
        <v>595</v>
      </c>
      <c r="B571" s="2" t="s">
        <v>12</v>
      </c>
      <c r="C571" s="2" t="s">
        <v>20</v>
      </c>
      <c r="D571" s="2">
        <v>11</v>
      </c>
      <c r="E571" s="2" t="s">
        <v>14</v>
      </c>
      <c r="F571" s="2" t="s">
        <v>16</v>
      </c>
      <c r="G571" s="7">
        <v>40.4</v>
      </c>
      <c r="H571" s="7">
        <v>422.6</v>
      </c>
      <c r="I571" s="2" t="s">
        <v>15</v>
      </c>
      <c r="J571" s="2" t="s">
        <v>16</v>
      </c>
      <c r="K571" s="2" t="s">
        <v>29</v>
      </c>
      <c r="L571" s="7">
        <v>422.6</v>
      </c>
      <c r="M571" s="2" t="str">
        <f>_xlfn.IFS(TelecomData[[#This Row],[TenureMonths]]&lt;=12, "0-1 Year", TelecomData[[#This Row],[TenureMonths]]&lt;=36, "1-3 Years", TelecomData[[#This Row],[TenureMonths]]&gt;36, "3+ Years")</f>
        <v>0-1 Year</v>
      </c>
      <c r="N571" s="2" t="str">
        <f>IF(TelecomData[[#This Row],[CleanedTotalCharges]]&gt;=2500,"High Spend", "Standard Spend")</f>
        <v>Standard Spend</v>
      </c>
    </row>
    <row r="572" spans="1:14" x14ac:dyDescent="0.3">
      <c r="A572" s="1" t="s">
        <v>596</v>
      </c>
      <c r="B572" s="2" t="s">
        <v>12</v>
      </c>
      <c r="C572" s="2" t="s">
        <v>35</v>
      </c>
      <c r="D572" s="2">
        <v>60</v>
      </c>
      <c r="E572" s="2" t="s">
        <v>15</v>
      </c>
      <c r="F572" s="2" t="s">
        <v>36</v>
      </c>
      <c r="G572" s="7">
        <v>19.25</v>
      </c>
      <c r="H572" s="7">
        <v>1103.25</v>
      </c>
      <c r="I572" s="2" t="s">
        <v>15</v>
      </c>
      <c r="J572" s="2" t="s">
        <v>16</v>
      </c>
      <c r="K572" s="2" t="s">
        <v>29</v>
      </c>
      <c r="L572" s="7">
        <v>1103.25</v>
      </c>
      <c r="M572" s="2" t="str">
        <f>_xlfn.IFS(TelecomData[[#This Row],[TenureMonths]]&lt;=12, "0-1 Year", TelecomData[[#This Row],[TenureMonths]]&lt;=36, "1-3 Years", TelecomData[[#This Row],[TenureMonths]]&gt;36, "3+ Years")</f>
        <v>3+ Years</v>
      </c>
      <c r="N572" s="2" t="str">
        <f>IF(TelecomData[[#This Row],[CleanedTotalCharges]]&gt;=2500,"High Spend", "Standard Spend")</f>
        <v>Standard Spend</v>
      </c>
    </row>
    <row r="573" spans="1:14" x14ac:dyDescent="0.3">
      <c r="A573" s="1" t="s">
        <v>597</v>
      </c>
      <c r="B573" s="2" t="s">
        <v>19</v>
      </c>
      <c r="C573" s="2" t="s">
        <v>35</v>
      </c>
      <c r="D573" s="2">
        <v>47</v>
      </c>
      <c r="E573" s="2" t="s">
        <v>14</v>
      </c>
      <c r="F573" s="2" t="s">
        <v>16</v>
      </c>
      <c r="G573" s="7">
        <v>59.6</v>
      </c>
      <c r="H573" s="7">
        <v>2754</v>
      </c>
      <c r="I573" s="2" t="s">
        <v>15</v>
      </c>
      <c r="J573" s="2" t="s">
        <v>15</v>
      </c>
      <c r="K573" s="2" t="s">
        <v>24</v>
      </c>
      <c r="L573" s="7">
        <v>2754</v>
      </c>
      <c r="M573" s="2" t="str">
        <f>_xlfn.IFS(TelecomData[[#This Row],[TenureMonths]]&lt;=12, "0-1 Year", TelecomData[[#This Row],[TenureMonths]]&lt;=36, "1-3 Years", TelecomData[[#This Row],[TenureMonths]]&gt;36, "3+ Years")</f>
        <v>3+ Years</v>
      </c>
      <c r="N573" s="2" t="str">
        <f>IF(TelecomData[[#This Row],[CleanedTotalCharges]]&gt;=2500,"High Spend", "Standard Spend")</f>
        <v>High Spend</v>
      </c>
    </row>
    <row r="574" spans="1:14" x14ac:dyDescent="0.3">
      <c r="A574" s="1" t="s">
        <v>598</v>
      </c>
      <c r="B574" s="2" t="s">
        <v>12</v>
      </c>
      <c r="C574" s="2" t="s">
        <v>20</v>
      </c>
      <c r="D574" s="2">
        <v>11</v>
      </c>
      <c r="E574" s="2" t="s">
        <v>14</v>
      </c>
      <c r="F574" s="2" t="s">
        <v>16</v>
      </c>
      <c r="G574" s="7">
        <v>64.900000000000006</v>
      </c>
      <c r="H574" s="7">
        <v>697.25</v>
      </c>
      <c r="I574" s="2" t="s">
        <v>15</v>
      </c>
      <c r="J574" s="2" t="s">
        <v>15</v>
      </c>
      <c r="K574" s="2" t="s">
        <v>29</v>
      </c>
      <c r="L574" s="7">
        <v>697.25</v>
      </c>
      <c r="M574" s="2" t="str">
        <f>_xlfn.IFS(TelecomData[[#This Row],[TenureMonths]]&lt;=12, "0-1 Year", TelecomData[[#This Row],[TenureMonths]]&lt;=36, "1-3 Years", TelecomData[[#This Row],[TenureMonths]]&gt;36, "3+ Years")</f>
        <v>0-1 Year</v>
      </c>
      <c r="N574" s="2" t="str">
        <f>IF(TelecomData[[#This Row],[CleanedTotalCharges]]&gt;=2500,"High Spend", "Standard Spend")</f>
        <v>Standard Spend</v>
      </c>
    </row>
    <row r="575" spans="1:14" x14ac:dyDescent="0.3">
      <c r="A575" s="1" t="s">
        <v>599</v>
      </c>
      <c r="B575" s="2" t="s">
        <v>19</v>
      </c>
      <c r="C575" s="2" t="s">
        <v>20</v>
      </c>
      <c r="D575" s="2">
        <v>56</v>
      </c>
      <c r="E575" s="2" t="s">
        <v>26</v>
      </c>
      <c r="F575" s="2" t="s">
        <v>15</v>
      </c>
      <c r="G575" s="7">
        <v>100.3</v>
      </c>
      <c r="H575" s="7">
        <v>5614.45</v>
      </c>
      <c r="I575" s="2" t="s">
        <v>16</v>
      </c>
      <c r="J575" s="2" t="s">
        <v>15</v>
      </c>
      <c r="K575" s="2" t="s">
        <v>29</v>
      </c>
      <c r="L575" s="7">
        <v>5614.45</v>
      </c>
      <c r="M575" s="2" t="str">
        <f>_xlfn.IFS(TelecomData[[#This Row],[TenureMonths]]&lt;=12, "0-1 Year", TelecomData[[#This Row],[TenureMonths]]&lt;=36, "1-3 Years", TelecomData[[#This Row],[TenureMonths]]&gt;36, "3+ Years")</f>
        <v>3+ Years</v>
      </c>
      <c r="N575" s="2" t="str">
        <f>IF(TelecomData[[#This Row],[CleanedTotalCharges]]&gt;=2500,"High Spend", "Standard Spend")</f>
        <v>High Spend</v>
      </c>
    </row>
    <row r="576" spans="1:14" x14ac:dyDescent="0.3">
      <c r="A576" s="1" t="s">
        <v>600</v>
      </c>
      <c r="B576" s="2" t="s">
        <v>12</v>
      </c>
      <c r="C576" s="2" t="s">
        <v>13</v>
      </c>
      <c r="D576" s="2">
        <v>28</v>
      </c>
      <c r="E576" s="2" t="s">
        <v>26</v>
      </c>
      <c r="F576" s="2" t="s">
        <v>16</v>
      </c>
      <c r="G576" s="7">
        <v>110.85</v>
      </c>
      <c r="H576" s="7">
        <v>3204.4</v>
      </c>
      <c r="I576" s="2" t="s">
        <v>15</v>
      </c>
      <c r="J576" s="2" t="s">
        <v>16</v>
      </c>
      <c r="K576" s="2" t="s">
        <v>17</v>
      </c>
      <c r="L576" s="7">
        <v>3204.4</v>
      </c>
      <c r="M576" s="2" t="str">
        <f>_xlfn.IFS(TelecomData[[#This Row],[TenureMonths]]&lt;=12, "0-1 Year", TelecomData[[#This Row],[TenureMonths]]&lt;=36, "1-3 Years", TelecomData[[#This Row],[TenureMonths]]&gt;36, "3+ Years")</f>
        <v>1-3 Years</v>
      </c>
      <c r="N576" s="2" t="str">
        <f>IF(TelecomData[[#This Row],[CleanedTotalCharges]]&gt;=2500,"High Spend", "Standard Spend")</f>
        <v>High Spend</v>
      </c>
    </row>
    <row r="577" spans="1:14" x14ac:dyDescent="0.3">
      <c r="A577" s="1" t="s">
        <v>601</v>
      </c>
      <c r="B577" s="2" t="s">
        <v>19</v>
      </c>
      <c r="C577" s="2" t="s">
        <v>35</v>
      </c>
      <c r="D577" s="2">
        <v>61</v>
      </c>
      <c r="E577" s="2" t="s">
        <v>14</v>
      </c>
      <c r="F577" s="2" t="s">
        <v>16</v>
      </c>
      <c r="G577" s="7">
        <v>81.05</v>
      </c>
      <c r="H577" s="7">
        <v>4747.6499999999996</v>
      </c>
      <c r="I577" s="2" t="s">
        <v>15</v>
      </c>
      <c r="J577" s="2" t="s">
        <v>16</v>
      </c>
      <c r="K577" s="2" t="s">
        <v>21</v>
      </c>
      <c r="L577" s="7">
        <v>4747.6499999999996</v>
      </c>
      <c r="M577" s="2" t="str">
        <f>_xlfn.IFS(TelecomData[[#This Row],[TenureMonths]]&lt;=12, "0-1 Year", TelecomData[[#This Row],[TenureMonths]]&lt;=36, "1-3 Years", TelecomData[[#This Row],[TenureMonths]]&gt;36, "3+ Years")</f>
        <v>3+ Years</v>
      </c>
      <c r="N577" s="2" t="str">
        <f>IF(TelecomData[[#This Row],[CleanedTotalCharges]]&gt;=2500,"High Spend", "Standard Spend")</f>
        <v>High Spend</v>
      </c>
    </row>
    <row r="578" spans="1:14" x14ac:dyDescent="0.3">
      <c r="A578" s="1" t="s">
        <v>602</v>
      </c>
      <c r="B578" s="2" t="s">
        <v>19</v>
      </c>
      <c r="C578" s="2" t="s">
        <v>20</v>
      </c>
      <c r="D578" s="2">
        <v>31</v>
      </c>
      <c r="E578" s="2" t="s">
        <v>26</v>
      </c>
      <c r="F578" s="2" t="s">
        <v>15</v>
      </c>
      <c r="G578" s="7">
        <v>98.05</v>
      </c>
      <c r="H578" s="7">
        <v>3082.1</v>
      </c>
      <c r="I578" s="2" t="s">
        <v>15</v>
      </c>
      <c r="J578" s="2" t="s">
        <v>15</v>
      </c>
      <c r="K578" s="2" t="s">
        <v>24</v>
      </c>
      <c r="L578" s="7">
        <v>3082.1</v>
      </c>
      <c r="M578" s="2" t="str">
        <f>_xlfn.IFS(TelecomData[[#This Row],[TenureMonths]]&lt;=12, "0-1 Year", TelecomData[[#This Row],[TenureMonths]]&lt;=36, "1-3 Years", TelecomData[[#This Row],[TenureMonths]]&gt;36, "3+ Years")</f>
        <v>1-3 Years</v>
      </c>
      <c r="N578" s="2" t="str">
        <f>IF(TelecomData[[#This Row],[CleanedTotalCharges]]&gt;=2500,"High Spend", "Standard Spend")</f>
        <v>High Spend</v>
      </c>
    </row>
    <row r="579" spans="1:14" x14ac:dyDescent="0.3">
      <c r="A579" s="1" t="s">
        <v>603</v>
      </c>
      <c r="B579" s="2" t="s">
        <v>19</v>
      </c>
      <c r="C579" s="2" t="s">
        <v>13</v>
      </c>
      <c r="D579" s="2">
        <v>9</v>
      </c>
      <c r="E579" s="2" t="s">
        <v>26</v>
      </c>
      <c r="F579" s="2" t="s">
        <v>15</v>
      </c>
      <c r="G579" s="7">
        <v>70.5</v>
      </c>
      <c r="H579" s="7">
        <v>597.9</v>
      </c>
      <c r="I579" s="2" t="s">
        <v>15</v>
      </c>
      <c r="J579" s="2" t="s">
        <v>16</v>
      </c>
      <c r="K579" s="2" t="s">
        <v>17</v>
      </c>
      <c r="L579" s="7">
        <v>597.9</v>
      </c>
      <c r="M579" s="2" t="str">
        <f>_xlfn.IFS(TelecomData[[#This Row],[TenureMonths]]&lt;=12, "0-1 Year", TelecomData[[#This Row],[TenureMonths]]&lt;=36, "1-3 Years", TelecomData[[#This Row],[TenureMonths]]&gt;36, "3+ Years")</f>
        <v>0-1 Year</v>
      </c>
      <c r="N579" s="2" t="str">
        <f>IF(TelecomData[[#This Row],[CleanedTotalCharges]]&gt;=2500,"High Spend", "Standard Spend")</f>
        <v>Standard Spend</v>
      </c>
    </row>
    <row r="580" spans="1:14" x14ac:dyDescent="0.3">
      <c r="A580" s="1" t="s">
        <v>604</v>
      </c>
      <c r="B580" s="2" t="s">
        <v>19</v>
      </c>
      <c r="C580" s="2" t="s">
        <v>13</v>
      </c>
      <c r="D580" s="2">
        <v>35</v>
      </c>
      <c r="E580" s="2" t="s">
        <v>26</v>
      </c>
      <c r="F580" s="2" t="s">
        <v>15</v>
      </c>
      <c r="G580" s="7">
        <v>94.55</v>
      </c>
      <c r="H580" s="7">
        <v>3365.4</v>
      </c>
      <c r="I580" s="2" t="s">
        <v>15</v>
      </c>
      <c r="J580" s="2" t="s">
        <v>16</v>
      </c>
      <c r="K580" s="2" t="s">
        <v>17</v>
      </c>
      <c r="L580" s="7">
        <v>3365.4</v>
      </c>
      <c r="M580" s="2" t="str">
        <f>_xlfn.IFS(TelecomData[[#This Row],[TenureMonths]]&lt;=12, "0-1 Year", TelecomData[[#This Row],[TenureMonths]]&lt;=36, "1-3 Years", TelecomData[[#This Row],[TenureMonths]]&gt;36, "3+ Years")</f>
        <v>1-3 Years</v>
      </c>
      <c r="N580" s="2" t="str">
        <f>IF(TelecomData[[#This Row],[CleanedTotalCharges]]&gt;=2500,"High Spend", "Standard Spend")</f>
        <v>High Spend</v>
      </c>
    </row>
    <row r="581" spans="1:14" x14ac:dyDescent="0.3">
      <c r="A581" s="1" t="s">
        <v>605</v>
      </c>
      <c r="B581" s="2" t="s">
        <v>19</v>
      </c>
      <c r="C581" s="2" t="s">
        <v>13</v>
      </c>
      <c r="D581" s="2">
        <v>2</v>
      </c>
      <c r="E581" s="2" t="s">
        <v>15</v>
      </c>
      <c r="F581" s="2" t="s">
        <v>36</v>
      </c>
      <c r="G581" s="7">
        <v>19.649999999999999</v>
      </c>
      <c r="H581" s="7">
        <v>38.799999999999997</v>
      </c>
      <c r="I581" s="2" t="s">
        <v>15</v>
      </c>
      <c r="J581" s="2" t="s">
        <v>16</v>
      </c>
      <c r="K581" s="2" t="s">
        <v>21</v>
      </c>
      <c r="L581" s="7">
        <v>38.799999999999997</v>
      </c>
      <c r="M581" s="2" t="str">
        <f>_xlfn.IFS(TelecomData[[#This Row],[TenureMonths]]&lt;=12, "0-1 Year", TelecomData[[#This Row],[TenureMonths]]&lt;=36, "1-3 Years", TelecomData[[#This Row],[TenureMonths]]&gt;36, "3+ Years")</f>
        <v>0-1 Year</v>
      </c>
      <c r="N581" s="2" t="str">
        <f>IF(TelecomData[[#This Row],[CleanedTotalCharges]]&gt;=2500,"High Spend", "Standard Spend")</f>
        <v>Standard Spend</v>
      </c>
    </row>
    <row r="582" spans="1:14" x14ac:dyDescent="0.3">
      <c r="A582" s="1" t="s">
        <v>606</v>
      </c>
      <c r="B582" s="2" t="s">
        <v>12</v>
      </c>
      <c r="C582" s="2" t="s">
        <v>13</v>
      </c>
      <c r="D582" s="2">
        <v>12</v>
      </c>
      <c r="E582" s="2" t="s">
        <v>15</v>
      </c>
      <c r="F582" s="2" t="s">
        <v>36</v>
      </c>
      <c r="G582" s="7">
        <v>19</v>
      </c>
      <c r="H582" s="7">
        <v>233.55</v>
      </c>
      <c r="I582" s="2" t="s">
        <v>16</v>
      </c>
      <c r="J582" s="2" t="s">
        <v>15</v>
      </c>
      <c r="K582" s="2" t="s">
        <v>21</v>
      </c>
      <c r="L582" s="7">
        <v>233.55</v>
      </c>
      <c r="M582" s="2" t="str">
        <f>_xlfn.IFS(TelecomData[[#This Row],[TenureMonths]]&lt;=12, "0-1 Year", TelecomData[[#This Row],[TenureMonths]]&lt;=36, "1-3 Years", TelecomData[[#This Row],[TenureMonths]]&gt;36, "3+ Years")</f>
        <v>0-1 Year</v>
      </c>
      <c r="N582" s="2" t="str">
        <f>IF(TelecomData[[#This Row],[CleanedTotalCharges]]&gt;=2500,"High Spend", "Standard Spend")</f>
        <v>Standard Spend</v>
      </c>
    </row>
    <row r="583" spans="1:14" x14ac:dyDescent="0.3">
      <c r="A583" s="1" t="s">
        <v>607</v>
      </c>
      <c r="B583" s="2" t="s">
        <v>12</v>
      </c>
      <c r="C583" s="2" t="s">
        <v>13</v>
      </c>
      <c r="D583" s="2">
        <v>1</v>
      </c>
      <c r="E583" s="2" t="s">
        <v>26</v>
      </c>
      <c r="F583" s="2" t="s">
        <v>15</v>
      </c>
      <c r="G583" s="7">
        <v>75.3</v>
      </c>
      <c r="H583" s="7">
        <v>75.3</v>
      </c>
      <c r="I583" s="2" t="s">
        <v>16</v>
      </c>
      <c r="J583" s="2" t="s">
        <v>15</v>
      </c>
      <c r="K583" s="2" t="s">
        <v>21</v>
      </c>
      <c r="L583" s="7">
        <v>75.3</v>
      </c>
      <c r="M583" s="2" t="str">
        <f>_xlfn.IFS(TelecomData[[#This Row],[TenureMonths]]&lt;=12, "0-1 Year", TelecomData[[#This Row],[TenureMonths]]&lt;=36, "1-3 Years", TelecomData[[#This Row],[TenureMonths]]&gt;36, "3+ Years")</f>
        <v>0-1 Year</v>
      </c>
      <c r="N583" s="2" t="str">
        <f>IF(TelecomData[[#This Row],[CleanedTotalCharges]]&gt;=2500,"High Spend", "Standard Spend")</f>
        <v>Standard Spend</v>
      </c>
    </row>
    <row r="584" spans="1:14" x14ac:dyDescent="0.3">
      <c r="A584" s="1" t="s">
        <v>608</v>
      </c>
      <c r="B584" s="2" t="s">
        <v>12</v>
      </c>
      <c r="C584" s="2" t="s">
        <v>13</v>
      </c>
      <c r="D584" s="2">
        <v>4</v>
      </c>
      <c r="E584" s="2" t="s">
        <v>26</v>
      </c>
      <c r="F584" s="2" t="s">
        <v>15</v>
      </c>
      <c r="G584" s="7">
        <v>89.2</v>
      </c>
      <c r="H584" s="7">
        <v>346.2</v>
      </c>
      <c r="I584" s="2" t="s">
        <v>16</v>
      </c>
      <c r="J584" s="2" t="s">
        <v>16</v>
      </c>
      <c r="K584" s="2" t="s">
        <v>17</v>
      </c>
      <c r="L584" s="7">
        <v>346.2</v>
      </c>
      <c r="M584" s="2" t="str">
        <f>_xlfn.IFS(TelecomData[[#This Row],[TenureMonths]]&lt;=12, "0-1 Year", TelecomData[[#This Row],[TenureMonths]]&lt;=36, "1-3 Years", TelecomData[[#This Row],[TenureMonths]]&gt;36, "3+ Years")</f>
        <v>0-1 Year</v>
      </c>
      <c r="N584" s="2" t="str">
        <f>IF(TelecomData[[#This Row],[CleanedTotalCharges]]&gt;=2500,"High Spend", "Standard Spend")</f>
        <v>Standard Spend</v>
      </c>
    </row>
    <row r="585" spans="1:14" x14ac:dyDescent="0.3">
      <c r="A585" s="1" t="s">
        <v>609</v>
      </c>
      <c r="B585" s="2" t="s">
        <v>12</v>
      </c>
      <c r="C585" s="2" t="s">
        <v>13</v>
      </c>
      <c r="D585" s="2">
        <v>1</v>
      </c>
      <c r="E585" s="2" t="s">
        <v>15</v>
      </c>
      <c r="F585" s="2" t="s">
        <v>36</v>
      </c>
      <c r="G585" s="7">
        <v>19</v>
      </c>
      <c r="H585" s="7">
        <v>19</v>
      </c>
      <c r="I585" s="2" t="s">
        <v>15</v>
      </c>
      <c r="J585" s="2" t="s">
        <v>16</v>
      </c>
      <c r="K585" s="2" t="s">
        <v>21</v>
      </c>
      <c r="L585" s="7">
        <v>19</v>
      </c>
      <c r="M585" s="2" t="str">
        <f>_xlfn.IFS(TelecomData[[#This Row],[TenureMonths]]&lt;=12, "0-1 Year", TelecomData[[#This Row],[TenureMonths]]&lt;=36, "1-3 Years", TelecomData[[#This Row],[TenureMonths]]&gt;36, "3+ Years")</f>
        <v>0-1 Year</v>
      </c>
      <c r="N585" s="2" t="str">
        <f>IF(TelecomData[[#This Row],[CleanedTotalCharges]]&gt;=2500,"High Spend", "Standard Spend")</f>
        <v>Standard Spend</v>
      </c>
    </row>
    <row r="586" spans="1:14" x14ac:dyDescent="0.3">
      <c r="A586" s="1" t="s">
        <v>610</v>
      </c>
      <c r="B586" s="2" t="s">
        <v>12</v>
      </c>
      <c r="C586" s="2" t="s">
        <v>13</v>
      </c>
      <c r="D586" s="2">
        <v>3</v>
      </c>
      <c r="E586" s="2" t="s">
        <v>15</v>
      </c>
      <c r="F586" s="2" t="s">
        <v>36</v>
      </c>
      <c r="G586" s="7">
        <v>20</v>
      </c>
      <c r="H586" s="7">
        <v>61.7</v>
      </c>
      <c r="I586" s="2" t="s">
        <v>15</v>
      </c>
      <c r="J586" s="2" t="s">
        <v>16</v>
      </c>
      <c r="K586" s="2" t="s">
        <v>21</v>
      </c>
      <c r="L586" s="7">
        <v>61.7</v>
      </c>
      <c r="M586" s="2" t="str">
        <f>_xlfn.IFS(TelecomData[[#This Row],[TenureMonths]]&lt;=12, "0-1 Year", TelecomData[[#This Row],[TenureMonths]]&lt;=36, "1-3 Years", TelecomData[[#This Row],[TenureMonths]]&gt;36, "3+ Years")</f>
        <v>0-1 Year</v>
      </c>
      <c r="N586" s="2" t="str">
        <f>IF(TelecomData[[#This Row],[CleanedTotalCharges]]&gt;=2500,"High Spend", "Standard Spend")</f>
        <v>Standard Spend</v>
      </c>
    </row>
    <row r="587" spans="1:14" x14ac:dyDescent="0.3">
      <c r="A587" s="1" t="s">
        <v>611</v>
      </c>
      <c r="B587" s="2" t="s">
        <v>12</v>
      </c>
      <c r="C587" s="2" t="s">
        <v>13</v>
      </c>
      <c r="D587" s="2">
        <v>1</v>
      </c>
      <c r="E587" s="2" t="s">
        <v>26</v>
      </c>
      <c r="F587" s="2" t="s">
        <v>15</v>
      </c>
      <c r="G587" s="7">
        <v>85.7</v>
      </c>
      <c r="H587" s="7">
        <v>85.7</v>
      </c>
      <c r="I587" s="2" t="s">
        <v>16</v>
      </c>
      <c r="J587" s="2" t="s">
        <v>16</v>
      </c>
      <c r="K587" s="2" t="s">
        <v>17</v>
      </c>
      <c r="L587" s="7">
        <v>85.7</v>
      </c>
      <c r="M587" s="2" t="str">
        <f>_xlfn.IFS(TelecomData[[#This Row],[TenureMonths]]&lt;=12, "0-1 Year", TelecomData[[#This Row],[TenureMonths]]&lt;=36, "1-3 Years", TelecomData[[#This Row],[TenureMonths]]&gt;36, "3+ Years")</f>
        <v>0-1 Year</v>
      </c>
      <c r="N587" s="2" t="str">
        <f>IF(TelecomData[[#This Row],[CleanedTotalCharges]]&gt;=2500,"High Spend", "Standard Spend")</f>
        <v>Standard Spend</v>
      </c>
    </row>
    <row r="588" spans="1:14" x14ac:dyDescent="0.3">
      <c r="A588" s="1" t="s">
        <v>612</v>
      </c>
      <c r="B588" s="2" t="s">
        <v>19</v>
      </c>
      <c r="C588" s="2" t="s">
        <v>35</v>
      </c>
      <c r="D588" s="2">
        <v>52</v>
      </c>
      <c r="E588" s="2" t="s">
        <v>14</v>
      </c>
      <c r="F588" s="2" t="s">
        <v>15</v>
      </c>
      <c r="G588" s="7">
        <v>63.25</v>
      </c>
      <c r="H588" s="7">
        <v>3342.45</v>
      </c>
      <c r="I588" s="2" t="s">
        <v>15</v>
      </c>
      <c r="J588" s="2" t="s">
        <v>16</v>
      </c>
      <c r="K588" s="2" t="s">
        <v>29</v>
      </c>
      <c r="L588" s="7">
        <v>3342.45</v>
      </c>
      <c r="M588" s="2" t="str">
        <f>_xlfn.IFS(TelecomData[[#This Row],[TenureMonths]]&lt;=12, "0-1 Year", TelecomData[[#This Row],[TenureMonths]]&lt;=36, "1-3 Years", TelecomData[[#This Row],[TenureMonths]]&gt;36, "3+ Years")</f>
        <v>3+ Years</v>
      </c>
      <c r="N588" s="2" t="str">
        <f>IF(TelecomData[[#This Row],[CleanedTotalCharges]]&gt;=2500,"High Spend", "Standard Spend")</f>
        <v>High Spend</v>
      </c>
    </row>
    <row r="589" spans="1:14" x14ac:dyDescent="0.3">
      <c r="A589" s="1" t="s">
        <v>613</v>
      </c>
      <c r="B589" s="2" t="s">
        <v>19</v>
      </c>
      <c r="C589" s="2" t="s">
        <v>20</v>
      </c>
      <c r="D589" s="2">
        <v>5</v>
      </c>
      <c r="E589" s="2" t="s">
        <v>15</v>
      </c>
      <c r="F589" s="2" t="s">
        <v>36</v>
      </c>
      <c r="G589" s="7">
        <v>20.100000000000001</v>
      </c>
      <c r="H589" s="7">
        <v>85.1</v>
      </c>
      <c r="I589" s="2" t="s">
        <v>15</v>
      </c>
      <c r="J589" s="2" t="s">
        <v>15</v>
      </c>
      <c r="K589" s="2" t="s">
        <v>21</v>
      </c>
      <c r="L589" s="7">
        <v>85.1</v>
      </c>
      <c r="M589" s="2" t="str">
        <f>_xlfn.IFS(TelecomData[[#This Row],[TenureMonths]]&lt;=12, "0-1 Year", TelecomData[[#This Row],[TenureMonths]]&lt;=36, "1-3 Years", TelecomData[[#This Row],[TenureMonths]]&gt;36, "3+ Years")</f>
        <v>0-1 Year</v>
      </c>
      <c r="N589" s="2" t="str">
        <f>IF(TelecomData[[#This Row],[CleanedTotalCharges]]&gt;=2500,"High Spend", "Standard Spend")</f>
        <v>Standard Spend</v>
      </c>
    </row>
    <row r="590" spans="1:14" x14ac:dyDescent="0.3">
      <c r="A590" s="1" t="s">
        <v>614</v>
      </c>
      <c r="B590" s="2" t="s">
        <v>19</v>
      </c>
      <c r="C590" s="2" t="s">
        <v>35</v>
      </c>
      <c r="D590" s="2">
        <v>72</v>
      </c>
      <c r="E590" s="2" t="s">
        <v>26</v>
      </c>
      <c r="F590" s="2" t="s">
        <v>15</v>
      </c>
      <c r="G590" s="7">
        <v>99.15</v>
      </c>
      <c r="H590" s="7">
        <v>7422.1</v>
      </c>
      <c r="I590" s="2" t="s">
        <v>15</v>
      </c>
      <c r="J590" s="2" t="s">
        <v>16</v>
      </c>
      <c r="K590" s="2" t="s">
        <v>17</v>
      </c>
      <c r="L590" s="7">
        <v>7422.1</v>
      </c>
      <c r="M590" s="2" t="str">
        <f>_xlfn.IFS(TelecomData[[#This Row],[TenureMonths]]&lt;=12, "0-1 Year", TelecomData[[#This Row],[TenureMonths]]&lt;=36, "1-3 Years", TelecomData[[#This Row],[TenureMonths]]&gt;36, "3+ Years")</f>
        <v>3+ Years</v>
      </c>
      <c r="N590" s="2" t="str">
        <f>IF(TelecomData[[#This Row],[CleanedTotalCharges]]&gt;=2500,"High Spend", "Standard Spend")</f>
        <v>High Spend</v>
      </c>
    </row>
    <row r="591" spans="1:14" x14ac:dyDescent="0.3">
      <c r="A591" s="1" t="s">
        <v>615</v>
      </c>
      <c r="B591" s="2" t="s">
        <v>19</v>
      </c>
      <c r="C591" s="2" t="s">
        <v>35</v>
      </c>
      <c r="D591" s="2">
        <v>71</v>
      </c>
      <c r="E591" s="2" t="s">
        <v>14</v>
      </c>
      <c r="F591" s="2" t="s">
        <v>16</v>
      </c>
      <c r="G591" s="7">
        <v>90.4</v>
      </c>
      <c r="H591" s="7">
        <v>6668.05</v>
      </c>
      <c r="I591" s="2" t="s">
        <v>15</v>
      </c>
      <c r="J591" s="2" t="s">
        <v>15</v>
      </c>
      <c r="K591" s="2" t="s">
        <v>17</v>
      </c>
      <c r="L591" s="7">
        <v>6668.05</v>
      </c>
      <c r="M591" s="2" t="str">
        <f>_xlfn.IFS(TelecomData[[#This Row],[TenureMonths]]&lt;=12, "0-1 Year", TelecomData[[#This Row],[TenureMonths]]&lt;=36, "1-3 Years", TelecomData[[#This Row],[TenureMonths]]&gt;36, "3+ Years")</f>
        <v>3+ Years</v>
      </c>
      <c r="N591" s="2" t="str">
        <f>IF(TelecomData[[#This Row],[CleanedTotalCharges]]&gt;=2500,"High Spend", "Standard Spend")</f>
        <v>High Spend</v>
      </c>
    </row>
    <row r="592" spans="1:14" x14ac:dyDescent="0.3">
      <c r="A592" s="1" t="s">
        <v>616</v>
      </c>
      <c r="B592" s="2" t="s">
        <v>19</v>
      </c>
      <c r="C592" s="2" t="s">
        <v>35</v>
      </c>
      <c r="D592" s="2">
        <v>72</v>
      </c>
      <c r="E592" s="2" t="s">
        <v>26</v>
      </c>
      <c r="F592" s="2" t="s">
        <v>16</v>
      </c>
      <c r="G592" s="7">
        <v>111.9</v>
      </c>
      <c r="H592" s="7">
        <v>8071.05</v>
      </c>
      <c r="I592" s="2" t="s">
        <v>15</v>
      </c>
      <c r="J592" s="2" t="s">
        <v>16</v>
      </c>
      <c r="K592" s="2" t="s">
        <v>29</v>
      </c>
      <c r="L592" s="7">
        <v>8071.05</v>
      </c>
      <c r="M592" s="2" t="str">
        <f>_xlfn.IFS(TelecomData[[#This Row],[TenureMonths]]&lt;=12, "0-1 Year", TelecomData[[#This Row],[TenureMonths]]&lt;=36, "1-3 Years", TelecomData[[#This Row],[TenureMonths]]&gt;36, "3+ Years")</f>
        <v>3+ Years</v>
      </c>
      <c r="N592" s="2" t="str">
        <f>IF(TelecomData[[#This Row],[CleanedTotalCharges]]&gt;=2500,"High Spend", "Standard Spend")</f>
        <v>High Spend</v>
      </c>
    </row>
    <row r="593" spans="1:14" x14ac:dyDescent="0.3">
      <c r="A593" s="1" t="s">
        <v>617</v>
      </c>
      <c r="B593" s="2" t="s">
        <v>19</v>
      </c>
      <c r="C593" s="2" t="s">
        <v>20</v>
      </c>
      <c r="D593" s="2">
        <v>46</v>
      </c>
      <c r="E593" s="2" t="s">
        <v>15</v>
      </c>
      <c r="F593" s="2" t="s">
        <v>36</v>
      </c>
      <c r="G593" s="7">
        <v>24.9</v>
      </c>
      <c r="H593" s="7">
        <v>1174.8</v>
      </c>
      <c r="I593" s="2" t="s">
        <v>15</v>
      </c>
      <c r="J593" s="2" t="s">
        <v>15</v>
      </c>
      <c r="K593" s="2" t="s">
        <v>17</v>
      </c>
      <c r="L593" s="7">
        <v>1174.8</v>
      </c>
      <c r="M593" s="2" t="str">
        <f>_xlfn.IFS(TelecomData[[#This Row],[TenureMonths]]&lt;=12, "0-1 Year", TelecomData[[#This Row],[TenureMonths]]&lt;=36, "1-3 Years", TelecomData[[#This Row],[TenureMonths]]&gt;36, "3+ Years")</f>
        <v>3+ Years</v>
      </c>
      <c r="N593" s="2" t="str">
        <f>IF(TelecomData[[#This Row],[CleanedTotalCharges]]&gt;=2500,"High Spend", "Standard Spend")</f>
        <v>Standard Spend</v>
      </c>
    </row>
    <row r="594" spans="1:14" x14ac:dyDescent="0.3">
      <c r="A594" s="1" t="s">
        <v>618</v>
      </c>
      <c r="B594" s="2" t="s">
        <v>19</v>
      </c>
      <c r="C594" s="2" t="s">
        <v>35</v>
      </c>
      <c r="D594" s="2">
        <v>63</v>
      </c>
      <c r="E594" s="2" t="s">
        <v>14</v>
      </c>
      <c r="F594" s="2" t="s">
        <v>15</v>
      </c>
      <c r="G594" s="7">
        <v>83.5</v>
      </c>
      <c r="H594" s="7">
        <v>5435</v>
      </c>
      <c r="I594" s="2" t="s">
        <v>15</v>
      </c>
      <c r="J594" s="2" t="s">
        <v>15</v>
      </c>
      <c r="K594" s="2" t="s">
        <v>29</v>
      </c>
      <c r="L594" s="7">
        <v>5435</v>
      </c>
      <c r="M594" s="2" t="str">
        <f>_xlfn.IFS(TelecomData[[#This Row],[TenureMonths]]&lt;=12, "0-1 Year", TelecomData[[#This Row],[TenureMonths]]&lt;=36, "1-3 Years", TelecomData[[#This Row],[TenureMonths]]&gt;36, "3+ Years")</f>
        <v>3+ Years</v>
      </c>
      <c r="N594" s="2" t="str">
        <f>IF(TelecomData[[#This Row],[CleanedTotalCharges]]&gt;=2500,"High Spend", "Standard Spend")</f>
        <v>High Spend</v>
      </c>
    </row>
    <row r="595" spans="1:14" x14ac:dyDescent="0.3">
      <c r="A595" s="1" t="s">
        <v>619</v>
      </c>
      <c r="B595" s="2" t="s">
        <v>19</v>
      </c>
      <c r="C595" s="2" t="s">
        <v>13</v>
      </c>
      <c r="D595" s="2">
        <v>30</v>
      </c>
      <c r="E595" s="2" t="s">
        <v>26</v>
      </c>
      <c r="F595" s="2" t="s">
        <v>15</v>
      </c>
      <c r="G595" s="7">
        <v>84.3</v>
      </c>
      <c r="H595" s="7">
        <v>2438.6</v>
      </c>
      <c r="I595" s="2" t="s">
        <v>15</v>
      </c>
      <c r="J595" s="2" t="s">
        <v>16</v>
      </c>
      <c r="K595" s="2" t="s">
        <v>29</v>
      </c>
      <c r="L595" s="7">
        <v>2438.6</v>
      </c>
      <c r="M595" s="2" t="str">
        <f>_xlfn.IFS(TelecomData[[#This Row],[TenureMonths]]&lt;=12, "0-1 Year", TelecomData[[#This Row],[TenureMonths]]&lt;=36, "1-3 Years", TelecomData[[#This Row],[TenureMonths]]&gt;36, "3+ Years")</f>
        <v>1-3 Years</v>
      </c>
      <c r="N595" s="2" t="str">
        <f>IF(TelecomData[[#This Row],[CleanedTotalCharges]]&gt;=2500,"High Spend", "Standard Spend")</f>
        <v>Standard Spend</v>
      </c>
    </row>
    <row r="596" spans="1:14" x14ac:dyDescent="0.3">
      <c r="A596" s="1" t="s">
        <v>620</v>
      </c>
      <c r="B596" s="2" t="s">
        <v>19</v>
      </c>
      <c r="C596" s="2" t="s">
        <v>13</v>
      </c>
      <c r="D596" s="2">
        <v>1</v>
      </c>
      <c r="E596" s="2" t="s">
        <v>14</v>
      </c>
      <c r="F596" s="2" t="s">
        <v>15</v>
      </c>
      <c r="G596" s="7">
        <v>45.6</v>
      </c>
      <c r="H596" s="7">
        <v>45.6</v>
      </c>
      <c r="I596" s="2" t="s">
        <v>15</v>
      </c>
      <c r="J596" s="2" t="s">
        <v>15</v>
      </c>
      <c r="K596" s="2" t="s">
        <v>21</v>
      </c>
      <c r="L596" s="7">
        <v>45.6</v>
      </c>
      <c r="M596" s="2" t="str">
        <f>_xlfn.IFS(TelecomData[[#This Row],[TenureMonths]]&lt;=12, "0-1 Year", TelecomData[[#This Row],[TenureMonths]]&lt;=36, "1-3 Years", TelecomData[[#This Row],[TenureMonths]]&gt;36, "3+ Years")</f>
        <v>0-1 Year</v>
      </c>
      <c r="N596" s="2" t="str">
        <f>IF(TelecomData[[#This Row],[CleanedTotalCharges]]&gt;=2500,"High Spend", "Standard Spend")</f>
        <v>Standard Spend</v>
      </c>
    </row>
    <row r="597" spans="1:14" x14ac:dyDescent="0.3">
      <c r="A597" s="1" t="s">
        <v>621</v>
      </c>
      <c r="B597" s="2" t="s">
        <v>12</v>
      </c>
      <c r="C597" s="2" t="s">
        <v>13</v>
      </c>
      <c r="D597" s="2">
        <v>12</v>
      </c>
      <c r="E597" s="2" t="s">
        <v>14</v>
      </c>
      <c r="F597" s="2" t="s">
        <v>16</v>
      </c>
      <c r="G597" s="7">
        <v>61.65</v>
      </c>
      <c r="H597" s="7">
        <v>713.75</v>
      </c>
      <c r="I597" s="2" t="s">
        <v>16</v>
      </c>
      <c r="J597" s="2" t="s">
        <v>16</v>
      </c>
      <c r="K597" s="2" t="s">
        <v>21</v>
      </c>
      <c r="L597" s="7">
        <v>713.75</v>
      </c>
      <c r="M597" s="2" t="str">
        <f>_xlfn.IFS(TelecomData[[#This Row],[TenureMonths]]&lt;=12, "0-1 Year", TelecomData[[#This Row],[TenureMonths]]&lt;=36, "1-3 Years", TelecomData[[#This Row],[TenureMonths]]&gt;36, "3+ Years")</f>
        <v>0-1 Year</v>
      </c>
      <c r="N597" s="2" t="str">
        <f>IF(TelecomData[[#This Row],[CleanedTotalCharges]]&gt;=2500,"High Spend", "Standard Spend")</f>
        <v>Standard Spend</v>
      </c>
    </row>
    <row r="598" spans="1:14" x14ac:dyDescent="0.3">
      <c r="A598" s="1" t="s">
        <v>622</v>
      </c>
      <c r="B598" s="2" t="s">
        <v>19</v>
      </c>
      <c r="C598" s="2" t="s">
        <v>35</v>
      </c>
      <c r="D598" s="2">
        <v>16</v>
      </c>
      <c r="E598" s="2" t="s">
        <v>14</v>
      </c>
      <c r="F598" s="2" t="s">
        <v>16</v>
      </c>
      <c r="G598" s="7">
        <v>54.85</v>
      </c>
      <c r="H598" s="7">
        <v>916.15</v>
      </c>
      <c r="I598" s="2" t="s">
        <v>15</v>
      </c>
      <c r="J598" s="2" t="s">
        <v>15</v>
      </c>
      <c r="K598" s="2" t="s">
        <v>21</v>
      </c>
      <c r="L598" s="7">
        <v>916.15</v>
      </c>
      <c r="M598" s="2" t="str">
        <f>_xlfn.IFS(TelecomData[[#This Row],[TenureMonths]]&lt;=12, "0-1 Year", TelecomData[[#This Row],[TenureMonths]]&lt;=36, "1-3 Years", TelecomData[[#This Row],[TenureMonths]]&gt;36, "3+ Years")</f>
        <v>1-3 Years</v>
      </c>
      <c r="N598" s="2" t="str">
        <f>IF(TelecomData[[#This Row],[CleanedTotalCharges]]&gt;=2500,"High Spend", "Standard Spend")</f>
        <v>Standard Spend</v>
      </c>
    </row>
    <row r="599" spans="1:14" x14ac:dyDescent="0.3">
      <c r="A599" s="1" t="s">
        <v>623</v>
      </c>
      <c r="B599" s="2" t="s">
        <v>19</v>
      </c>
      <c r="C599" s="2" t="s">
        <v>13</v>
      </c>
      <c r="D599" s="2">
        <v>4</v>
      </c>
      <c r="E599" s="2" t="s">
        <v>14</v>
      </c>
      <c r="F599" s="2" t="s">
        <v>16</v>
      </c>
      <c r="G599" s="7">
        <v>65.55</v>
      </c>
      <c r="H599" s="7">
        <v>237.2</v>
      </c>
      <c r="I599" s="2" t="s">
        <v>15</v>
      </c>
      <c r="J599" s="2" t="s">
        <v>15</v>
      </c>
      <c r="K599" s="2" t="s">
        <v>21</v>
      </c>
      <c r="L599" s="7">
        <v>237.2</v>
      </c>
      <c r="M599" s="2" t="str">
        <f>_xlfn.IFS(TelecomData[[#This Row],[TenureMonths]]&lt;=12, "0-1 Year", TelecomData[[#This Row],[TenureMonths]]&lt;=36, "1-3 Years", TelecomData[[#This Row],[TenureMonths]]&gt;36, "3+ Years")</f>
        <v>0-1 Year</v>
      </c>
      <c r="N599" s="2" t="str">
        <f>IF(TelecomData[[#This Row],[CleanedTotalCharges]]&gt;=2500,"High Spend", "Standard Spend")</f>
        <v>Standard Spend</v>
      </c>
    </row>
    <row r="600" spans="1:14" x14ac:dyDescent="0.3">
      <c r="A600" s="1" t="s">
        <v>624</v>
      </c>
      <c r="B600" s="2" t="s">
        <v>19</v>
      </c>
      <c r="C600" s="2" t="s">
        <v>20</v>
      </c>
      <c r="D600" s="2">
        <v>51</v>
      </c>
      <c r="E600" s="2" t="s">
        <v>26</v>
      </c>
      <c r="F600" s="2" t="s">
        <v>15</v>
      </c>
      <c r="G600" s="7">
        <v>90.35</v>
      </c>
      <c r="H600" s="7">
        <v>4614.55</v>
      </c>
      <c r="I600" s="2" t="s">
        <v>15</v>
      </c>
      <c r="J600" s="2" t="s">
        <v>16</v>
      </c>
      <c r="K600" s="2" t="s">
        <v>29</v>
      </c>
      <c r="L600" s="7">
        <v>4614.55</v>
      </c>
      <c r="M600" s="2" t="str">
        <f>_xlfn.IFS(TelecomData[[#This Row],[TenureMonths]]&lt;=12, "0-1 Year", TelecomData[[#This Row],[TenureMonths]]&lt;=36, "1-3 Years", TelecomData[[#This Row],[TenureMonths]]&gt;36, "3+ Years")</f>
        <v>3+ Years</v>
      </c>
      <c r="N600" s="2" t="str">
        <f>IF(TelecomData[[#This Row],[CleanedTotalCharges]]&gt;=2500,"High Spend", "Standard Spend")</f>
        <v>High Spend</v>
      </c>
    </row>
    <row r="601" spans="1:14" x14ac:dyDescent="0.3">
      <c r="A601" s="1" t="s">
        <v>625</v>
      </c>
      <c r="B601" s="2" t="s">
        <v>19</v>
      </c>
      <c r="C601" s="2" t="s">
        <v>35</v>
      </c>
      <c r="D601" s="2">
        <v>65</v>
      </c>
      <c r="E601" s="2" t="s">
        <v>15</v>
      </c>
      <c r="F601" s="2" t="s">
        <v>36</v>
      </c>
      <c r="G601" s="7">
        <v>20.399999999999999</v>
      </c>
      <c r="H601" s="7">
        <v>1414.45</v>
      </c>
      <c r="I601" s="2" t="s">
        <v>15</v>
      </c>
      <c r="J601" s="2" t="s">
        <v>16</v>
      </c>
      <c r="K601" s="2" t="s">
        <v>29</v>
      </c>
      <c r="L601" s="7">
        <v>1414.45</v>
      </c>
      <c r="M601" s="2" t="str">
        <f>_xlfn.IFS(TelecomData[[#This Row],[TenureMonths]]&lt;=12, "0-1 Year", TelecomData[[#This Row],[TenureMonths]]&lt;=36, "1-3 Years", TelecomData[[#This Row],[TenureMonths]]&gt;36, "3+ Years")</f>
        <v>3+ Years</v>
      </c>
      <c r="N601" s="2" t="str">
        <f>IF(TelecomData[[#This Row],[CleanedTotalCharges]]&gt;=2500,"High Spend", "Standard Spend")</f>
        <v>Standard Spend</v>
      </c>
    </row>
    <row r="602" spans="1:14" x14ac:dyDescent="0.3">
      <c r="A602" s="1" t="s">
        <v>626</v>
      </c>
      <c r="B602" s="2" t="s">
        <v>19</v>
      </c>
      <c r="C602" s="2" t="s">
        <v>13</v>
      </c>
      <c r="D602" s="2">
        <v>16</v>
      </c>
      <c r="E602" s="2" t="s">
        <v>26</v>
      </c>
      <c r="F602" s="2" t="s">
        <v>16</v>
      </c>
      <c r="G602" s="7">
        <v>74.55</v>
      </c>
      <c r="H602" s="7">
        <v>1170.5</v>
      </c>
      <c r="I602" s="2" t="s">
        <v>15</v>
      </c>
      <c r="J602" s="2" t="s">
        <v>16</v>
      </c>
      <c r="K602" s="2" t="s">
        <v>29</v>
      </c>
      <c r="L602" s="7">
        <v>1170.5</v>
      </c>
      <c r="M602" s="2" t="str">
        <f>_xlfn.IFS(TelecomData[[#This Row],[TenureMonths]]&lt;=12, "0-1 Year", TelecomData[[#This Row],[TenureMonths]]&lt;=36, "1-3 Years", TelecomData[[#This Row],[TenureMonths]]&gt;36, "3+ Years")</f>
        <v>1-3 Years</v>
      </c>
      <c r="N602" s="2" t="str">
        <f>IF(TelecomData[[#This Row],[CleanedTotalCharges]]&gt;=2500,"High Spend", "Standard Spend")</f>
        <v>Standard Spend</v>
      </c>
    </row>
    <row r="603" spans="1:14" x14ac:dyDescent="0.3">
      <c r="A603" s="1" t="s">
        <v>627</v>
      </c>
      <c r="B603" s="2" t="s">
        <v>19</v>
      </c>
      <c r="C603" s="2" t="s">
        <v>20</v>
      </c>
      <c r="D603" s="2">
        <v>2</v>
      </c>
      <c r="E603" s="2" t="s">
        <v>15</v>
      </c>
      <c r="F603" s="2" t="s">
        <v>36</v>
      </c>
      <c r="G603" s="7">
        <v>19.95</v>
      </c>
      <c r="H603" s="7">
        <v>47.7</v>
      </c>
      <c r="I603" s="2" t="s">
        <v>15</v>
      </c>
      <c r="J603" s="2" t="s">
        <v>15</v>
      </c>
      <c r="K603" s="2" t="s">
        <v>21</v>
      </c>
      <c r="L603" s="7">
        <v>47.7</v>
      </c>
      <c r="M603" s="2" t="str">
        <f>_xlfn.IFS(TelecomData[[#This Row],[TenureMonths]]&lt;=12, "0-1 Year", TelecomData[[#This Row],[TenureMonths]]&lt;=36, "1-3 Years", TelecomData[[#This Row],[TenureMonths]]&gt;36, "3+ Years")</f>
        <v>0-1 Year</v>
      </c>
      <c r="N603" s="2" t="str">
        <f>IF(TelecomData[[#This Row],[CleanedTotalCharges]]&gt;=2500,"High Spend", "Standard Spend")</f>
        <v>Standard Spend</v>
      </c>
    </row>
    <row r="604" spans="1:14" x14ac:dyDescent="0.3">
      <c r="A604" s="1" t="s">
        <v>628</v>
      </c>
      <c r="B604" s="2" t="s">
        <v>12</v>
      </c>
      <c r="C604" s="2" t="s">
        <v>20</v>
      </c>
      <c r="D604" s="2">
        <v>66</v>
      </c>
      <c r="E604" s="2" t="s">
        <v>26</v>
      </c>
      <c r="F604" s="2" t="s">
        <v>15</v>
      </c>
      <c r="G604" s="7">
        <v>74.25</v>
      </c>
      <c r="H604" s="7">
        <v>4859.25</v>
      </c>
      <c r="I604" s="2" t="s">
        <v>15</v>
      </c>
      <c r="J604" s="2" t="s">
        <v>16</v>
      </c>
      <c r="K604" s="2" t="s">
        <v>24</v>
      </c>
      <c r="L604" s="7">
        <v>4859.25</v>
      </c>
      <c r="M604" s="2" t="str">
        <f>_xlfn.IFS(TelecomData[[#This Row],[TenureMonths]]&lt;=12, "0-1 Year", TelecomData[[#This Row],[TenureMonths]]&lt;=36, "1-3 Years", TelecomData[[#This Row],[TenureMonths]]&gt;36, "3+ Years")</f>
        <v>3+ Years</v>
      </c>
      <c r="N604" s="2" t="str">
        <f>IF(TelecomData[[#This Row],[CleanedTotalCharges]]&gt;=2500,"High Spend", "Standard Spend")</f>
        <v>High Spend</v>
      </c>
    </row>
    <row r="605" spans="1:14" x14ac:dyDescent="0.3">
      <c r="A605" s="1" t="s">
        <v>629</v>
      </c>
      <c r="B605" s="2" t="s">
        <v>19</v>
      </c>
      <c r="C605" s="2" t="s">
        <v>35</v>
      </c>
      <c r="D605" s="2">
        <v>46</v>
      </c>
      <c r="E605" s="2" t="s">
        <v>26</v>
      </c>
      <c r="F605" s="2" t="s">
        <v>16</v>
      </c>
      <c r="G605" s="7">
        <v>108.65</v>
      </c>
      <c r="H605" s="7">
        <v>4903.2</v>
      </c>
      <c r="I605" s="2" t="s">
        <v>15</v>
      </c>
      <c r="J605" s="2" t="s">
        <v>15</v>
      </c>
      <c r="K605" s="2" t="s">
        <v>17</v>
      </c>
      <c r="L605" s="7">
        <v>4903.2</v>
      </c>
      <c r="M605" s="2" t="str">
        <f>_xlfn.IFS(TelecomData[[#This Row],[TenureMonths]]&lt;=12, "0-1 Year", TelecomData[[#This Row],[TenureMonths]]&lt;=36, "1-3 Years", TelecomData[[#This Row],[TenureMonths]]&gt;36, "3+ Years")</f>
        <v>3+ Years</v>
      </c>
      <c r="N605" s="2" t="str">
        <f>IF(TelecomData[[#This Row],[CleanedTotalCharges]]&gt;=2500,"High Spend", "Standard Spend")</f>
        <v>High Spend</v>
      </c>
    </row>
    <row r="606" spans="1:14" x14ac:dyDescent="0.3">
      <c r="A606" s="1" t="s">
        <v>630</v>
      </c>
      <c r="B606" s="2" t="s">
        <v>12</v>
      </c>
      <c r="C606" s="2" t="s">
        <v>20</v>
      </c>
      <c r="D606" s="2">
        <v>32</v>
      </c>
      <c r="E606" s="2" t="s">
        <v>26</v>
      </c>
      <c r="F606" s="2" t="s">
        <v>16</v>
      </c>
      <c r="G606" s="7">
        <v>109.55</v>
      </c>
      <c r="H606" s="7">
        <v>3608</v>
      </c>
      <c r="I606" s="2" t="s">
        <v>15</v>
      </c>
      <c r="J606" s="2" t="s">
        <v>16</v>
      </c>
      <c r="K606" s="2" t="s">
        <v>24</v>
      </c>
      <c r="L606" s="7">
        <v>3608</v>
      </c>
      <c r="M606" s="2" t="str">
        <f>_xlfn.IFS(TelecomData[[#This Row],[TenureMonths]]&lt;=12, "0-1 Year", TelecomData[[#This Row],[TenureMonths]]&lt;=36, "1-3 Years", TelecomData[[#This Row],[TenureMonths]]&gt;36, "3+ Years")</f>
        <v>1-3 Years</v>
      </c>
      <c r="N606" s="2" t="str">
        <f>IF(TelecomData[[#This Row],[CleanedTotalCharges]]&gt;=2500,"High Spend", "Standard Spend")</f>
        <v>High Spend</v>
      </c>
    </row>
    <row r="607" spans="1:14" x14ac:dyDescent="0.3">
      <c r="A607" s="1" t="s">
        <v>631</v>
      </c>
      <c r="B607" s="2" t="s">
        <v>19</v>
      </c>
      <c r="C607" s="2" t="s">
        <v>35</v>
      </c>
      <c r="D607" s="2">
        <v>72</v>
      </c>
      <c r="E607" s="2" t="s">
        <v>14</v>
      </c>
      <c r="F607" s="2" t="s">
        <v>16</v>
      </c>
      <c r="G607" s="7">
        <v>86.65</v>
      </c>
      <c r="H607" s="7">
        <v>6094.25</v>
      </c>
      <c r="I607" s="2" t="s">
        <v>15</v>
      </c>
      <c r="J607" s="2" t="s">
        <v>15</v>
      </c>
      <c r="K607" s="2" t="s">
        <v>29</v>
      </c>
      <c r="L607" s="7">
        <v>6094.25</v>
      </c>
      <c r="M607" s="2" t="str">
        <f>_xlfn.IFS(TelecomData[[#This Row],[TenureMonths]]&lt;=12, "0-1 Year", TelecomData[[#This Row],[TenureMonths]]&lt;=36, "1-3 Years", TelecomData[[#This Row],[TenureMonths]]&gt;36, "3+ Years")</f>
        <v>3+ Years</v>
      </c>
      <c r="N607" s="2" t="str">
        <f>IF(TelecomData[[#This Row],[CleanedTotalCharges]]&gt;=2500,"High Spend", "Standard Spend")</f>
        <v>High Spend</v>
      </c>
    </row>
    <row r="608" spans="1:14" x14ac:dyDescent="0.3">
      <c r="A608" s="1" t="s">
        <v>632</v>
      </c>
      <c r="B608" s="2" t="s">
        <v>19</v>
      </c>
      <c r="C608" s="2" t="s">
        <v>35</v>
      </c>
      <c r="D608" s="2">
        <v>38</v>
      </c>
      <c r="E608" s="2" t="s">
        <v>14</v>
      </c>
      <c r="F608" s="2" t="s">
        <v>16</v>
      </c>
      <c r="G608" s="7">
        <v>81</v>
      </c>
      <c r="H608" s="7">
        <v>3084.9</v>
      </c>
      <c r="I608" s="2" t="s">
        <v>15</v>
      </c>
      <c r="J608" s="2" t="s">
        <v>15</v>
      </c>
      <c r="K608" s="2" t="s">
        <v>29</v>
      </c>
      <c r="L608" s="7">
        <v>3084.9</v>
      </c>
      <c r="M608" s="2" t="str">
        <f>_xlfn.IFS(TelecomData[[#This Row],[TenureMonths]]&lt;=12, "0-1 Year", TelecomData[[#This Row],[TenureMonths]]&lt;=36, "1-3 Years", TelecomData[[#This Row],[TenureMonths]]&gt;36, "3+ Years")</f>
        <v>3+ Years</v>
      </c>
      <c r="N608" s="2" t="str">
        <f>IF(TelecomData[[#This Row],[CleanedTotalCharges]]&gt;=2500,"High Spend", "Standard Spend")</f>
        <v>High Spend</v>
      </c>
    </row>
    <row r="609" spans="1:14" x14ac:dyDescent="0.3">
      <c r="A609" s="1" t="s">
        <v>633</v>
      </c>
      <c r="B609" s="2" t="s">
        <v>19</v>
      </c>
      <c r="C609" s="2" t="s">
        <v>20</v>
      </c>
      <c r="D609" s="2">
        <v>51</v>
      </c>
      <c r="E609" s="2" t="s">
        <v>14</v>
      </c>
      <c r="F609" s="2" t="s">
        <v>16</v>
      </c>
      <c r="G609" s="7">
        <v>47.85</v>
      </c>
      <c r="H609" s="7">
        <v>2356.75</v>
      </c>
      <c r="I609" s="2" t="s">
        <v>15</v>
      </c>
      <c r="J609" s="2" t="s">
        <v>15</v>
      </c>
      <c r="K609" s="2" t="s">
        <v>29</v>
      </c>
      <c r="L609" s="7">
        <v>2356.75</v>
      </c>
      <c r="M609" s="2" t="str">
        <f>_xlfn.IFS(TelecomData[[#This Row],[TenureMonths]]&lt;=12, "0-1 Year", TelecomData[[#This Row],[TenureMonths]]&lt;=36, "1-3 Years", TelecomData[[#This Row],[TenureMonths]]&gt;36, "3+ Years")</f>
        <v>3+ Years</v>
      </c>
      <c r="N609" s="2" t="str">
        <f>IF(TelecomData[[#This Row],[CleanedTotalCharges]]&gt;=2500,"High Spend", "Standard Spend")</f>
        <v>Standard Spend</v>
      </c>
    </row>
    <row r="610" spans="1:14" x14ac:dyDescent="0.3">
      <c r="A610" s="1" t="s">
        <v>634</v>
      </c>
      <c r="B610" s="2" t="s">
        <v>19</v>
      </c>
      <c r="C610" s="2" t="s">
        <v>35</v>
      </c>
      <c r="D610" s="2">
        <v>72</v>
      </c>
      <c r="E610" s="2" t="s">
        <v>26</v>
      </c>
      <c r="F610" s="2" t="s">
        <v>16</v>
      </c>
      <c r="G610" s="7">
        <v>114.55</v>
      </c>
      <c r="H610" s="7">
        <v>8306.0499999999993</v>
      </c>
      <c r="I610" s="2" t="s">
        <v>15</v>
      </c>
      <c r="J610" s="2" t="s">
        <v>15</v>
      </c>
      <c r="K610" s="2" t="s">
        <v>24</v>
      </c>
      <c r="L610" s="7">
        <v>8306.0499999999993</v>
      </c>
      <c r="M610" s="2" t="str">
        <f>_xlfn.IFS(TelecomData[[#This Row],[TenureMonths]]&lt;=12, "0-1 Year", TelecomData[[#This Row],[TenureMonths]]&lt;=36, "1-3 Years", TelecomData[[#This Row],[TenureMonths]]&gt;36, "3+ Years")</f>
        <v>3+ Years</v>
      </c>
      <c r="N610" s="2" t="str">
        <f>IF(TelecomData[[#This Row],[CleanedTotalCharges]]&gt;=2500,"High Spend", "Standard Spend")</f>
        <v>High Spend</v>
      </c>
    </row>
    <row r="611" spans="1:14" x14ac:dyDescent="0.3">
      <c r="A611" s="1" t="s">
        <v>635</v>
      </c>
      <c r="B611" s="2" t="s">
        <v>12</v>
      </c>
      <c r="C611" s="2" t="s">
        <v>13</v>
      </c>
      <c r="D611" s="2">
        <v>65</v>
      </c>
      <c r="E611" s="2" t="s">
        <v>26</v>
      </c>
      <c r="F611" s="2" t="s">
        <v>15</v>
      </c>
      <c r="G611" s="7">
        <v>105.25</v>
      </c>
      <c r="H611" s="7">
        <v>6786.4</v>
      </c>
      <c r="I611" s="2" t="s">
        <v>16</v>
      </c>
      <c r="J611" s="2" t="s">
        <v>15</v>
      </c>
      <c r="K611" s="2" t="s">
        <v>24</v>
      </c>
      <c r="L611" s="7">
        <v>6786.4</v>
      </c>
      <c r="M611" s="2" t="str">
        <f>_xlfn.IFS(TelecomData[[#This Row],[TenureMonths]]&lt;=12, "0-1 Year", TelecomData[[#This Row],[TenureMonths]]&lt;=36, "1-3 Years", TelecomData[[#This Row],[TenureMonths]]&gt;36, "3+ Years")</f>
        <v>3+ Years</v>
      </c>
      <c r="N611" s="2" t="str">
        <f>IF(TelecomData[[#This Row],[CleanedTotalCharges]]&gt;=2500,"High Spend", "Standard Spend")</f>
        <v>High Spend</v>
      </c>
    </row>
    <row r="612" spans="1:14" x14ac:dyDescent="0.3">
      <c r="A612" s="1" t="s">
        <v>636</v>
      </c>
      <c r="B612" s="2" t="s">
        <v>19</v>
      </c>
      <c r="C612" s="2" t="s">
        <v>13</v>
      </c>
      <c r="D612" s="2">
        <v>9</v>
      </c>
      <c r="E612" s="2" t="s">
        <v>14</v>
      </c>
      <c r="F612" s="2" t="s">
        <v>15</v>
      </c>
      <c r="G612" s="7">
        <v>29.95</v>
      </c>
      <c r="H612" s="7">
        <v>248.95</v>
      </c>
      <c r="I612" s="2" t="s">
        <v>16</v>
      </c>
      <c r="J612" s="2" t="s">
        <v>16</v>
      </c>
      <c r="K612" s="2" t="s">
        <v>17</v>
      </c>
      <c r="L612" s="7">
        <v>248.95</v>
      </c>
      <c r="M612" s="2" t="str">
        <f>_xlfn.IFS(TelecomData[[#This Row],[TenureMonths]]&lt;=12, "0-1 Year", TelecomData[[#This Row],[TenureMonths]]&lt;=36, "1-3 Years", TelecomData[[#This Row],[TenureMonths]]&gt;36, "3+ Years")</f>
        <v>0-1 Year</v>
      </c>
      <c r="N612" s="2" t="str">
        <f>IF(TelecomData[[#This Row],[CleanedTotalCharges]]&gt;=2500,"High Spend", "Standard Spend")</f>
        <v>Standard Spend</v>
      </c>
    </row>
    <row r="613" spans="1:14" x14ac:dyDescent="0.3">
      <c r="A613" s="1" t="s">
        <v>637</v>
      </c>
      <c r="B613" s="2" t="s">
        <v>12</v>
      </c>
      <c r="C613" s="2" t="s">
        <v>13</v>
      </c>
      <c r="D613" s="2">
        <v>9</v>
      </c>
      <c r="E613" s="2" t="s">
        <v>14</v>
      </c>
      <c r="F613" s="2" t="s">
        <v>16</v>
      </c>
      <c r="G613" s="7">
        <v>65</v>
      </c>
      <c r="H613" s="7">
        <v>663.05</v>
      </c>
      <c r="I613" s="2" t="s">
        <v>16</v>
      </c>
      <c r="J613" s="2" t="s">
        <v>15</v>
      </c>
      <c r="K613" s="2" t="s">
        <v>21</v>
      </c>
      <c r="L613" s="7">
        <v>663.05</v>
      </c>
      <c r="M613" s="2" t="str">
        <f>_xlfn.IFS(TelecomData[[#This Row],[TenureMonths]]&lt;=12, "0-1 Year", TelecomData[[#This Row],[TenureMonths]]&lt;=36, "1-3 Years", TelecomData[[#This Row],[TenureMonths]]&gt;36, "3+ Years")</f>
        <v>0-1 Year</v>
      </c>
      <c r="N613" s="2" t="str">
        <f>IF(TelecomData[[#This Row],[CleanedTotalCharges]]&gt;=2500,"High Spend", "Standard Spend")</f>
        <v>Standard Spend</v>
      </c>
    </row>
    <row r="614" spans="1:14" x14ac:dyDescent="0.3">
      <c r="A614" s="1" t="s">
        <v>638</v>
      </c>
      <c r="B614" s="2" t="s">
        <v>19</v>
      </c>
      <c r="C614" s="2" t="s">
        <v>35</v>
      </c>
      <c r="D614" s="2">
        <v>66</v>
      </c>
      <c r="E614" s="2" t="s">
        <v>15</v>
      </c>
      <c r="F614" s="2" t="s">
        <v>36</v>
      </c>
      <c r="G614" s="7">
        <v>20.55</v>
      </c>
      <c r="H614" s="7">
        <v>1357.1</v>
      </c>
      <c r="I614" s="2" t="s">
        <v>15</v>
      </c>
      <c r="J614" s="2" t="s">
        <v>15</v>
      </c>
      <c r="K614" s="2" t="s">
        <v>21</v>
      </c>
      <c r="L614" s="7">
        <v>1357.1</v>
      </c>
      <c r="M614" s="2" t="str">
        <f>_xlfn.IFS(TelecomData[[#This Row],[TenureMonths]]&lt;=12, "0-1 Year", TelecomData[[#This Row],[TenureMonths]]&lt;=36, "1-3 Years", TelecomData[[#This Row],[TenureMonths]]&gt;36, "3+ Years")</f>
        <v>3+ Years</v>
      </c>
      <c r="N614" s="2" t="str">
        <f>IF(TelecomData[[#This Row],[CleanedTotalCharges]]&gt;=2500,"High Spend", "Standard Spend")</f>
        <v>Standard Spend</v>
      </c>
    </row>
    <row r="615" spans="1:14" x14ac:dyDescent="0.3">
      <c r="A615" s="1" t="s">
        <v>639</v>
      </c>
      <c r="B615" s="2" t="s">
        <v>12</v>
      </c>
      <c r="C615" s="2" t="s">
        <v>20</v>
      </c>
      <c r="D615" s="2">
        <v>44</v>
      </c>
      <c r="E615" s="2" t="s">
        <v>26</v>
      </c>
      <c r="F615" s="2" t="s">
        <v>15</v>
      </c>
      <c r="G615" s="7">
        <v>109.8</v>
      </c>
      <c r="H615" s="7">
        <v>4860.3500000000004</v>
      </c>
      <c r="I615" s="2" t="s">
        <v>15</v>
      </c>
      <c r="J615" s="2" t="s">
        <v>16</v>
      </c>
      <c r="K615" s="2" t="s">
        <v>29</v>
      </c>
      <c r="L615" s="7">
        <v>4860.3500000000004</v>
      </c>
      <c r="M615" s="2" t="str">
        <f>_xlfn.IFS(TelecomData[[#This Row],[TenureMonths]]&lt;=12, "0-1 Year", TelecomData[[#This Row],[TenureMonths]]&lt;=36, "1-3 Years", TelecomData[[#This Row],[TenureMonths]]&gt;36, "3+ Years")</f>
        <v>3+ Years</v>
      </c>
      <c r="N615" s="2" t="str">
        <f>IF(TelecomData[[#This Row],[CleanedTotalCharges]]&gt;=2500,"High Spend", "Standard Spend")</f>
        <v>High Spend</v>
      </c>
    </row>
    <row r="616" spans="1:14" x14ac:dyDescent="0.3">
      <c r="A616" s="1" t="s">
        <v>640</v>
      </c>
      <c r="B616" s="2" t="s">
        <v>19</v>
      </c>
      <c r="C616" s="2" t="s">
        <v>35</v>
      </c>
      <c r="D616" s="2">
        <v>50</v>
      </c>
      <c r="E616" s="2" t="s">
        <v>14</v>
      </c>
      <c r="F616" s="2" t="s">
        <v>16</v>
      </c>
      <c r="G616" s="7">
        <v>69.5</v>
      </c>
      <c r="H616" s="7">
        <v>3418.2</v>
      </c>
      <c r="I616" s="2" t="s">
        <v>15</v>
      </c>
      <c r="J616" s="2" t="s">
        <v>15</v>
      </c>
      <c r="K616" s="2" t="s">
        <v>24</v>
      </c>
      <c r="L616" s="7">
        <v>3418.2</v>
      </c>
      <c r="M616" s="2" t="str">
        <f>_xlfn.IFS(TelecomData[[#This Row],[TenureMonths]]&lt;=12, "0-1 Year", TelecomData[[#This Row],[TenureMonths]]&lt;=36, "1-3 Years", TelecomData[[#This Row],[TenureMonths]]&gt;36, "3+ Years")</f>
        <v>3+ Years</v>
      </c>
      <c r="N616" s="2" t="str">
        <f>IF(TelecomData[[#This Row],[CleanedTotalCharges]]&gt;=2500,"High Spend", "Standard Spend")</f>
        <v>High Spend</v>
      </c>
    </row>
    <row r="617" spans="1:14" x14ac:dyDescent="0.3">
      <c r="A617" s="1" t="s">
        <v>641</v>
      </c>
      <c r="B617" s="2" t="s">
        <v>12</v>
      </c>
      <c r="C617" s="2" t="s">
        <v>13</v>
      </c>
      <c r="D617" s="2">
        <v>15</v>
      </c>
      <c r="E617" s="2" t="s">
        <v>14</v>
      </c>
      <c r="F617" s="2" t="s">
        <v>15</v>
      </c>
      <c r="G617" s="7">
        <v>48.85</v>
      </c>
      <c r="H617" s="7">
        <v>631.4</v>
      </c>
      <c r="I617" s="2" t="s">
        <v>15</v>
      </c>
      <c r="J617" s="2" t="s">
        <v>15</v>
      </c>
      <c r="K617" s="2" t="s">
        <v>21</v>
      </c>
      <c r="L617" s="7">
        <v>631.4</v>
      </c>
      <c r="M617" s="2" t="str">
        <f>_xlfn.IFS(TelecomData[[#This Row],[TenureMonths]]&lt;=12, "0-1 Year", TelecomData[[#This Row],[TenureMonths]]&lt;=36, "1-3 Years", TelecomData[[#This Row],[TenureMonths]]&gt;36, "3+ Years")</f>
        <v>1-3 Years</v>
      </c>
      <c r="N617" s="2" t="str">
        <f>IF(TelecomData[[#This Row],[CleanedTotalCharges]]&gt;=2500,"High Spend", "Standard Spend")</f>
        <v>Standard Spend</v>
      </c>
    </row>
    <row r="618" spans="1:14" x14ac:dyDescent="0.3">
      <c r="A618" s="1" t="s">
        <v>642</v>
      </c>
      <c r="B618" s="2" t="s">
        <v>19</v>
      </c>
      <c r="C618" s="2" t="s">
        <v>13</v>
      </c>
      <c r="D618" s="2">
        <v>8</v>
      </c>
      <c r="E618" s="2" t="s">
        <v>14</v>
      </c>
      <c r="F618" s="2" t="s">
        <v>15</v>
      </c>
      <c r="G618" s="7">
        <v>25.25</v>
      </c>
      <c r="H618" s="7">
        <v>186.3</v>
      </c>
      <c r="I618" s="2" t="s">
        <v>15</v>
      </c>
      <c r="J618" s="2" t="s">
        <v>16</v>
      </c>
      <c r="K618" s="2" t="s">
        <v>29</v>
      </c>
      <c r="L618" s="7">
        <v>186.3</v>
      </c>
      <c r="M618" s="2" t="str">
        <f>_xlfn.IFS(TelecomData[[#This Row],[TenureMonths]]&lt;=12, "0-1 Year", TelecomData[[#This Row],[TenureMonths]]&lt;=36, "1-3 Years", TelecomData[[#This Row],[TenureMonths]]&gt;36, "3+ Years")</f>
        <v>0-1 Year</v>
      </c>
      <c r="N618" s="2" t="str">
        <f>IF(TelecomData[[#This Row],[CleanedTotalCharges]]&gt;=2500,"High Spend", "Standard Spend")</f>
        <v>Standard Spend</v>
      </c>
    </row>
    <row r="619" spans="1:14" x14ac:dyDescent="0.3">
      <c r="A619" s="1" t="s">
        <v>643</v>
      </c>
      <c r="B619" s="2" t="s">
        <v>12</v>
      </c>
      <c r="C619" s="2" t="s">
        <v>20</v>
      </c>
      <c r="D619" s="2">
        <v>66</v>
      </c>
      <c r="E619" s="2" t="s">
        <v>26</v>
      </c>
      <c r="F619" s="2" t="s">
        <v>16</v>
      </c>
      <c r="G619" s="7">
        <v>102.85</v>
      </c>
      <c r="H619" s="7">
        <v>6976.75</v>
      </c>
      <c r="I619" s="2" t="s">
        <v>15</v>
      </c>
      <c r="J619" s="2" t="s">
        <v>16</v>
      </c>
      <c r="K619" s="2" t="s">
        <v>29</v>
      </c>
      <c r="L619" s="7">
        <v>6976.75</v>
      </c>
      <c r="M619" s="2" t="str">
        <f>_xlfn.IFS(TelecomData[[#This Row],[TenureMonths]]&lt;=12, "0-1 Year", TelecomData[[#This Row],[TenureMonths]]&lt;=36, "1-3 Years", TelecomData[[#This Row],[TenureMonths]]&gt;36, "3+ Years")</f>
        <v>3+ Years</v>
      </c>
      <c r="N619" s="2" t="str">
        <f>IF(TelecomData[[#This Row],[CleanedTotalCharges]]&gt;=2500,"High Spend", "Standard Spend")</f>
        <v>High Spend</v>
      </c>
    </row>
    <row r="620" spans="1:14" x14ac:dyDescent="0.3">
      <c r="A620" s="1" t="s">
        <v>644</v>
      </c>
      <c r="B620" s="2" t="s">
        <v>12</v>
      </c>
      <c r="C620" s="2" t="s">
        <v>13</v>
      </c>
      <c r="D620" s="2">
        <v>57</v>
      </c>
      <c r="E620" s="2" t="s">
        <v>26</v>
      </c>
      <c r="F620" s="2" t="s">
        <v>16</v>
      </c>
      <c r="G620" s="7">
        <v>87.55</v>
      </c>
      <c r="H620" s="7">
        <v>4884.8500000000004</v>
      </c>
      <c r="I620" s="2" t="s">
        <v>15</v>
      </c>
      <c r="J620" s="2" t="s">
        <v>16</v>
      </c>
      <c r="K620" s="2" t="s">
        <v>24</v>
      </c>
      <c r="L620" s="7">
        <v>4884.8500000000004</v>
      </c>
      <c r="M620" s="2" t="str">
        <f>_xlfn.IFS(TelecomData[[#This Row],[TenureMonths]]&lt;=12, "0-1 Year", TelecomData[[#This Row],[TenureMonths]]&lt;=36, "1-3 Years", TelecomData[[#This Row],[TenureMonths]]&gt;36, "3+ Years")</f>
        <v>3+ Years</v>
      </c>
      <c r="N620" s="2" t="str">
        <f>IF(TelecomData[[#This Row],[CleanedTotalCharges]]&gt;=2500,"High Spend", "Standard Spend")</f>
        <v>High Spend</v>
      </c>
    </row>
    <row r="621" spans="1:14" x14ac:dyDescent="0.3">
      <c r="A621" s="1" t="s">
        <v>645</v>
      </c>
      <c r="B621" s="2" t="s">
        <v>12</v>
      </c>
      <c r="C621" s="2" t="s">
        <v>13</v>
      </c>
      <c r="D621" s="2">
        <v>7</v>
      </c>
      <c r="E621" s="2" t="s">
        <v>26</v>
      </c>
      <c r="F621" s="2" t="s">
        <v>15</v>
      </c>
      <c r="G621" s="7">
        <v>78.55</v>
      </c>
      <c r="H621" s="7">
        <v>522.95000000000005</v>
      </c>
      <c r="I621" s="2" t="s">
        <v>15</v>
      </c>
      <c r="J621" s="2" t="s">
        <v>16</v>
      </c>
      <c r="K621" s="2" t="s">
        <v>24</v>
      </c>
      <c r="L621" s="7">
        <v>522.95000000000005</v>
      </c>
      <c r="M621" s="2" t="str">
        <f>_xlfn.IFS(TelecomData[[#This Row],[TenureMonths]]&lt;=12, "0-1 Year", TelecomData[[#This Row],[TenureMonths]]&lt;=36, "1-3 Years", TelecomData[[#This Row],[TenureMonths]]&gt;36, "3+ Years")</f>
        <v>0-1 Year</v>
      </c>
      <c r="N621" s="2" t="str">
        <f>IF(TelecomData[[#This Row],[CleanedTotalCharges]]&gt;=2500,"High Spend", "Standard Spend")</f>
        <v>Standard Spend</v>
      </c>
    </row>
    <row r="622" spans="1:14" x14ac:dyDescent="0.3">
      <c r="A622" s="1" t="s">
        <v>646</v>
      </c>
      <c r="B622" s="2" t="s">
        <v>19</v>
      </c>
      <c r="C622" s="2" t="s">
        <v>13</v>
      </c>
      <c r="D622" s="2">
        <v>10</v>
      </c>
      <c r="E622" s="2" t="s">
        <v>14</v>
      </c>
      <c r="F622" s="2" t="s">
        <v>15</v>
      </c>
      <c r="G622" s="7">
        <v>34.549999999999997</v>
      </c>
      <c r="H622" s="7">
        <v>362.6</v>
      </c>
      <c r="I622" s="2" t="s">
        <v>15</v>
      </c>
      <c r="J622" s="2" t="s">
        <v>16</v>
      </c>
      <c r="K622" s="2" t="s">
        <v>24</v>
      </c>
      <c r="L622" s="7">
        <v>362.6</v>
      </c>
      <c r="M622" s="2" t="str">
        <f>_xlfn.IFS(TelecomData[[#This Row],[TenureMonths]]&lt;=12, "0-1 Year", TelecomData[[#This Row],[TenureMonths]]&lt;=36, "1-3 Years", TelecomData[[#This Row],[TenureMonths]]&gt;36, "3+ Years")</f>
        <v>0-1 Year</v>
      </c>
      <c r="N622" s="2" t="str">
        <f>IF(TelecomData[[#This Row],[CleanedTotalCharges]]&gt;=2500,"High Spend", "Standard Spend")</f>
        <v>Standard Spend</v>
      </c>
    </row>
    <row r="623" spans="1:14" x14ac:dyDescent="0.3">
      <c r="A623" s="1" t="s">
        <v>647</v>
      </c>
      <c r="B623" s="2" t="s">
        <v>12</v>
      </c>
      <c r="C623" s="2" t="s">
        <v>20</v>
      </c>
      <c r="D623" s="2">
        <v>62</v>
      </c>
      <c r="E623" s="2" t="s">
        <v>26</v>
      </c>
      <c r="F623" s="2" t="s">
        <v>15</v>
      </c>
      <c r="G623" s="7">
        <v>92.05</v>
      </c>
      <c r="H623" s="7">
        <v>5755.8</v>
      </c>
      <c r="I623" s="2" t="s">
        <v>15</v>
      </c>
      <c r="J623" s="2" t="s">
        <v>16</v>
      </c>
      <c r="K623" s="2" t="s">
        <v>17</v>
      </c>
      <c r="L623" s="7">
        <v>5755.8</v>
      </c>
      <c r="M623" s="2" t="str">
        <f>_xlfn.IFS(TelecomData[[#This Row],[TenureMonths]]&lt;=12, "0-1 Year", TelecomData[[#This Row],[TenureMonths]]&lt;=36, "1-3 Years", TelecomData[[#This Row],[TenureMonths]]&gt;36, "3+ Years")</f>
        <v>3+ Years</v>
      </c>
      <c r="N623" s="2" t="str">
        <f>IF(TelecomData[[#This Row],[CleanedTotalCharges]]&gt;=2500,"High Spend", "Standard Spend")</f>
        <v>High Spend</v>
      </c>
    </row>
    <row r="624" spans="1:14" x14ac:dyDescent="0.3">
      <c r="A624" s="1" t="s">
        <v>648</v>
      </c>
      <c r="B624" s="2" t="s">
        <v>19</v>
      </c>
      <c r="C624" s="2" t="s">
        <v>20</v>
      </c>
      <c r="D624" s="2">
        <v>40</v>
      </c>
      <c r="E624" s="2" t="s">
        <v>26</v>
      </c>
      <c r="F624" s="2" t="s">
        <v>15</v>
      </c>
      <c r="G624" s="7">
        <v>85.05</v>
      </c>
      <c r="H624" s="7">
        <v>3355.65</v>
      </c>
      <c r="I624" s="2" t="s">
        <v>15</v>
      </c>
      <c r="J624" s="2" t="s">
        <v>16</v>
      </c>
      <c r="K624" s="2" t="s">
        <v>17</v>
      </c>
      <c r="L624" s="7">
        <v>3355.65</v>
      </c>
      <c r="M624" s="2" t="str">
        <f>_xlfn.IFS(TelecomData[[#This Row],[TenureMonths]]&lt;=12, "0-1 Year", TelecomData[[#This Row],[TenureMonths]]&lt;=36, "1-3 Years", TelecomData[[#This Row],[TenureMonths]]&gt;36, "3+ Years")</f>
        <v>3+ Years</v>
      </c>
      <c r="N624" s="2" t="str">
        <f>IF(TelecomData[[#This Row],[CleanedTotalCharges]]&gt;=2500,"High Spend", "Standard Spend")</f>
        <v>High Spend</v>
      </c>
    </row>
    <row r="625" spans="1:14" x14ac:dyDescent="0.3">
      <c r="A625" s="1" t="s">
        <v>649</v>
      </c>
      <c r="B625" s="2" t="s">
        <v>12</v>
      </c>
      <c r="C625" s="2" t="s">
        <v>35</v>
      </c>
      <c r="D625" s="2">
        <v>20</v>
      </c>
      <c r="E625" s="2" t="s">
        <v>15</v>
      </c>
      <c r="F625" s="2" t="s">
        <v>36</v>
      </c>
      <c r="G625" s="7">
        <v>19.7</v>
      </c>
      <c r="H625" s="7">
        <v>406.95</v>
      </c>
      <c r="I625" s="2" t="s">
        <v>15</v>
      </c>
      <c r="J625" s="2" t="s">
        <v>15</v>
      </c>
      <c r="K625" s="2" t="s">
        <v>21</v>
      </c>
      <c r="L625" s="7">
        <v>406.95</v>
      </c>
      <c r="M625" s="2" t="str">
        <f>_xlfn.IFS(TelecomData[[#This Row],[TenureMonths]]&lt;=12, "0-1 Year", TelecomData[[#This Row],[TenureMonths]]&lt;=36, "1-3 Years", TelecomData[[#This Row],[TenureMonths]]&gt;36, "3+ Years")</f>
        <v>1-3 Years</v>
      </c>
      <c r="N625" s="2" t="str">
        <f>IF(TelecomData[[#This Row],[CleanedTotalCharges]]&gt;=2500,"High Spend", "Standard Spend")</f>
        <v>Standard Spend</v>
      </c>
    </row>
    <row r="626" spans="1:14" x14ac:dyDescent="0.3">
      <c r="A626" s="1" t="s">
        <v>650</v>
      </c>
      <c r="B626" s="2" t="s">
        <v>12</v>
      </c>
      <c r="C626" s="2" t="s">
        <v>13</v>
      </c>
      <c r="D626" s="2">
        <v>7</v>
      </c>
      <c r="E626" s="2" t="s">
        <v>15</v>
      </c>
      <c r="F626" s="2" t="s">
        <v>36</v>
      </c>
      <c r="G626" s="7">
        <v>20</v>
      </c>
      <c r="H626" s="7">
        <v>137.6</v>
      </c>
      <c r="I626" s="2" t="s">
        <v>16</v>
      </c>
      <c r="J626" s="2" t="s">
        <v>15</v>
      </c>
      <c r="K626" s="2" t="s">
        <v>24</v>
      </c>
      <c r="L626" s="7">
        <v>137.6</v>
      </c>
      <c r="M626" s="2" t="str">
        <f>_xlfn.IFS(TelecomData[[#This Row],[TenureMonths]]&lt;=12, "0-1 Year", TelecomData[[#This Row],[TenureMonths]]&lt;=36, "1-3 Years", TelecomData[[#This Row],[TenureMonths]]&gt;36, "3+ Years")</f>
        <v>0-1 Year</v>
      </c>
      <c r="N626" s="2" t="str">
        <f>IF(TelecomData[[#This Row],[CleanedTotalCharges]]&gt;=2500,"High Spend", "Standard Spend")</f>
        <v>Standard Spend</v>
      </c>
    </row>
    <row r="627" spans="1:14" x14ac:dyDescent="0.3">
      <c r="A627" s="1" t="s">
        <v>651</v>
      </c>
      <c r="B627" s="2" t="s">
        <v>12</v>
      </c>
      <c r="C627" s="2" t="s">
        <v>13</v>
      </c>
      <c r="D627" s="2">
        <v>25</v>
      </c>
      <c r="E627" s="2" t="s">
        <v>26</v>
      </c>
      <c r="F627" s="2" t="s">
        <v>16</v>
      </c>
      <c r="G627" s="7">
        <v>95.15</v>
      </c>
      <c r="H627" s="7">
        <v>2395.6999999999998</v>
      </c>
      <c r="I627" s="2" t="s">
        <v>15</v>
      </c>
      <c r="J627" s="2" t="s">
        <v>16</v>
      </c>
      <c r="K627" s="2" t="s">
        <v>17</v>
      </c>
      <c r="L627" s="7">
        <v>2395.6999999999998</v>
      </c>
      <c r="M627" s="2" t="str">
        <f>_xlfn.IFS(TelecomData[[#This Row],[TenureMonths]]&lt;=12, "0-1 Year", TelecomData[[#This Row],[TenureMonths]]&lt;=36, "1-3 Years", TelecomData[[#This Row],[TenureMonths]]&gt;36, "3+ Years")</f>
        <v>1-3 Years</v>
      </c>
      <c r="N627" s="2" t="str">
        <f>IF(TelecomData[[#This Row],[CleanedTotalCharges]]&gt;=2500,"High Spend", "Standard Spend")</f>
        <v>Standard Spend</v>
      </c>
    </row>
    <row r="628" spans="1:14" x14ac:dyDescent="0.3">
      <c r="A628" s="1" t="s">
        <v>652</v>
      </c>
      <c r="B628" s="2" t="s">
        <v>19</v>
      </c>
      <c r="C628" s="2" t="s">
        <v>13</v>
      </c>
      <c r="D628" s="2">
        <v>23</v>
      </c>
      <c r="E628" s="2" t="s">
        <v>26</v>
      </c>
      <c r="F628" s="2" t="s">
        <v>15</v>
      </c>
      <c r="G628" s="7">
        <v>84.25</v>
      </c>
      <c r="H628" s="7">
        <v>1968.1</v>
      </c>
      <c r="I628" s="2" t="s">
        <v>15</v>
      </c>
      <c r="J628" s="2" t="s">
        <v>15</v>
      </c>
      <c r="K628" s="2" t="s">
        <v>17</v>
      </c>
      <c r="L628" s="7">
        <v>1968.1</v>
      </c>
      <c r="M628" s="2" t="str">
        <f>_xlfn.IFS(TelecomData[[#This Row],[TenureMonths]]&lt;=12, "0-1 Year", TelecomData[[#This Row],[TenureMonths]]&lt;=36, "1-3 Years", TelecomData[[#This Row],[TenureMonths]]&gt;36, "3+ Years")</f>
        <v>1-3 Years</v>
      </c>
      <c r="N628" s="2" t="str">
        <f>IF(TelecomData[[#This Row],[CleanedTotalCharges]]&gt;=2500,"High Spend", "Standard Spend")</f>
        <v>Standard Spend</v>
      </c>
    </row>
    <row r="629" spans="1:14" x14ac:dyDescent="0.3">
      <c r="A629" s="1" t="s">
        <v>653</v>
      </c>
      <c r="B629" s="2" t="s">
        <v>12</v>
      </c>
      <c r="C629" s="2" t="s">
        <v>20</v>
      </c>
      <c r="D629" s="2">
        <v>66</v>
      </c>
      <c r="E629" s="2" t="s">
        <v>26</v>
      </c>
      <c r="F629" s="2" t="s">
        <v>15</v>
      </c>
      <c r="G629" s="7">
        <v>104.6</v>
      </c>
      <c r="H629" s="7">
        <v>6819.45</v>
      </c>
      <c r="I629" s="2" t="s">
        <v>15</v>
      </c>
      <c r="J629" s="2" t="s">
        <v>15</v>
      </c>
      <c r="K629" s="2" t="s">
        <v>29</v>
      </c>
      <c r="L629" s="7">
        <v>6819.45</v>
      </c>
      <c r="M629" s="2" t="str">
        <f>_xlfn.IFS(TelecomData[[#This Row],[TenureMonths]]&lt;=12, "0-1 Year", TelecomData[[#This Row],[TenureMonths]]&lt;=36, "1-3 Years", TelecomData[[#This Row],[TenureMonths]]&gt;36, "3+ Years")</f>
        <v>3+ Years</v>
      </c>
      <c r="N629" s="2" t="str">
        <f>IF(TelecomData[[#This Row],[CleanedTotalCharges]]&gt;=2500,"High Spend", "Standard Spend")</f>
        <v>High Spend</v>
      </c>
    </row>
    <row r="630" spans="1:14" x14ac:dyDescent="0.3">
      <c r="A630" s="1" t="s">
        <v>654</v>
      </c>
      <c r="B630" s="2" t="s">
        <v>12</v>
      </c>
      <c r="C630" s="2" t="s">
        <v>35</v>
      </c>
      <c r="D630" s="2">
        <v>72</v>
      </c>
      <c r="E630" s="2" t="s">
        <v>26</v>
      </c>
      <c r="F630" s="2" t="s">
        <v>16</v>
      </c>
      <c r="G630" s="7">
        <v>111.65</v>
      </c>
      <c r="H630" s="7">
        <v>7943.45</v>
      </c>
      <c r="I630" s="2" t="s">
        <v>15</v>
      </c>
      <c r="J630" s="2" t="s">
        <v>15</v>
      </c>
      <c r="K630" s="2" t="s">
        <v>17</v>
      </c>
      <c r="L630" s="7">
        <v>7943.45</v>
      </c>
      <c r="M630" s="2" t="str">
        <f>_xlfn.IFS(TelecomData[[#This Row],[TenureMonths]]&lt;=12, "0-1 Year", TelecomData[[#This Row],[TenureMonths]]&lt;=36, "1-3 Years", TelecomData[[#This Row],[TenureMonths]]&gt;36, "3+ Years")</f>
        <v>3+ Years</v>
      </c>
      <c r="N630" s="2" t="str">
        <f>IF(TelecomData[[#This Row],[CleanedTotalCharges]]&gt;=2500,"High Spend", "Standard Spend")</f>
        <v>High Spend</v>
      </c>
    </row>
    <row r="631" spans="1:14" x14ac:dyDescent="0.3">
      <c r="A631" s="1" t="s">
        <v>655</v>
      </c>
      <c r="B631" s="2" t="s">
        <v>19</v>
      </c>
      <c r="C631" s="2" t="s">
        <v>13</v>
      </c>
      <c r="D631" s="2">
        <v>49</v>
      </c>
      <c r="E631" s="2" t="s">
        <v>26</v>
      </c>
      <c r="F631" s="2" t="s">
        <v>15</v>
      </c>
      <c r="G631" s="7">
        <v>90.05</v>
      </c>
      <c r="H631" s="7">
        <v>4547.25</v>
      </c>
      <c r="I631" s="2" t="s">
        <v>16</v>
      </c>
      <c r="J631" s="2" t="s">
        <v>15</v>
      </c>
      <c r="K631" s="2" t="s">
        <v>29</v>
      </c>
      <c r="L631" s="7">
        <v>4547.25</v>
      </c>
      <c r="M631" s="2" t="str">
        <f>_xlfn.IFS(TelecomData[[#This Row],[TenureMonths]]&lt;=12, "0-1 Year", TelecomData[[#This Row],[TenureMonths]]&lt;=36, "1-3 Years", TelecomData[[#This Row],[TenureMonths]]&gt;36, "3+ Years")</f>
        <v>3+ Years</v>
      </c>
      <c r="N631" s="2" t="str">
        <f>IF(TelecomData[[#This Row],[CleanedTotalCharges]]&gt;=2500,"High Spend", "Standard Spend")</f>
        <v>High Spend</v>
      </c>
    </row>
    <row r="632" spans="1:14" x14ac:dyDescent="0.3">
      <c r="A632" s="1" t="s">
        <v>656</v>
      </c>
      <c r="B632" s="2" t="s">
        <v>19</v>
      </c>
      <c r="C632" s="2" t="s">
        <v>13</v>
      </c>
      <c r="D632" s="2">
        <v>43</v>
      </c>
      <c r="E632" s="2" t="s">
        <v>26</v>
      </c>
      <c r="F632" s="2" t="s">
        <v>16</v>
      </c>
      <c r="G632" s="7">
        <v>110.75</v>
      </c>
      <c r="H632" s="7">
        <v>4687.8999999999996</v>
      </c>
      <c r="I632" s="2" t="s">
        <v>16</v>
      </c>
      <c r="J632" s="2" t="s">
        <v>16</v>
      </c>
      <c r="K632" s="2" t="s">
        <v>24</v>
      </c>
      <c r="L632" s="7">
        <v>4687.8999999999996</v>
      </c>
      <c r="M632" s="2" t="str">
        <f>_xlfn.IFS(TelecomData[[#This Row],[TenureMonths]]&lt;=12, "0-1 Year", TelecomData[[#This Row],[TenureMonths]]&lt;=36, "1-3 Years", TelecomData[[#This Row],[TenureMonths]]&gt;36, "3+ Years")</f>
        <v>3+ Years</v>
      </c>
      <c r="N632" s="2" t="str">
        <f>IF(TelecomData[[#This Row],[CleanedTotalCharges]]&gt;=2500,"High Spend", "Standard Spend")</f>
        <v>High Spend</v>
      </c>
    </row>
    <row r="633" spans="1:14" x14ac:dyDescent="0.3">
      <c r="A633" s="1" t="s">
        <v>657</v>
      </c>
      <c r="B633" s="2" t="s">
        <v>12</v>
      </c>
      <c r="C633" s="2" t="s">
        <v>13</v>
      </c>
      <c r="D633" s="2">
        <v>46</v>
      </c>
      <c r="E633" s="2" t="s">
        <v>14</v>
      </c>
      <c r="F633" s="2" t="s">
        <v>15</v>
      </c>
      <c r="G633" s="7">
        <v>55</v>
      </c>
      <c r="H633" s="7">
        <v>2473.9499999999998</v>
      </c>
      <c r="I633" s="2" t="s">
        <v>15</v>
      </c>
      <c r="J633" s="2" t="s">
        <v>15</v>
      </c>
      <c r="K633" s="2" t="s">
        <v>24</v>
      </c>
      <c r="L633" s="7">
        <v>2473.9499999999998</v>
      </c>
      <c r="M633" s="2" t="str">
        <f>_xlfn.IFS(TelecomData[[#This Row],[TenureMonths]]&lt;=12, "0-1 Year", TelecomData[[#This Row],[TenureMonths]]&lt;=36, "1-3 Years", TelecomData[[#This Row],[TenureMonths]]&gt;36, "3+ Years")</f>
        <v>3+ Years</v>
      </c>
      <c r="N633" s="2" t="str">
        <f>IF(TelecomData[[#This Row],[CleanedTotalCharges]]&gt;=2500,"High Spend", "Standard Spend")</f>
        <v>Standard Spend</v>
      </c>
    </row>
    <row r="634" spans="1:14" x14ac:dyDescent="0.3">
      <c r="A634" s="1" t="s">
        <v>658</v>
      </c>
      <c r="B634" s="2" t="s">
        <v>19</v>
      </c>
      <c r="C634" s="2" t="s">
        <v>35</v>
      </c>
      <c r="D634" s="2">
        <v>72</v>
      </c>
      <c r="E634" s="2" t="s">
        <v>14</v>
      </c>
      <c r="F634" s="2" t="s">
        <v>16</v>
      </c>
      <c r="G634" s="7">
        <v>89.85</v>
      </c>
      <c r="H634" s="7">
        <v>6562.9</v>
      </c>
      <c r="I634" s="2" t="s">
        <v>15</v>
      </c>
      <c r="J634" s="2" t="s">
        <v>15</v>
      </c>
      <c r="K634" s="2" t="s">
        <v>29</v>
      </c>
      <c r="L634" s="7">
        <v>6562.9</v>
      </c>
      <c r="M634" s="2" t="str">
        <f>_xlfn.IFS(TelecomData[[#This Row],[TenureMonths]]&lt;=12, "0-1 Year", TelecomData[[#This Row],[TenureMonths]]&lt;=36, "1-3 Years", TelecomData[[#This Row],[TenureMonths]]&gt;36, "3+ Years")</f>
        <v>3+ Years</v>
      </c>
      <c r="N634" s="2" t="str">
        <f>IF(TelecomData[[#This Row],[CleanedTotalCharges]]&gt;=2500,"High Spend", "Standard Spend")</f>
        <v>High Spend</v>
      </c>
    </row>
    <row r="635" spans="1:14" x14ac:dyDescent="0.3">
      <c r="A635" s="1" t="s">
        <v>659</v>
      </c>
      <c r="B635" s="2" t="s">
        <v>19</v>
      </c>
      <c r="C635" s="2" t="s">
        <v>20</v>
      </c>
      <c r="D635" s="2">
        <v>10</v>
      </c>
      <c r="E635" s="2" t="s">
        <v>15</v>
      </c>
      <c r="F635" s="2" t="s">
        <v>36</v>
      </c>
      <c r="G635" s="7">
        <v>20.350000000000001</v>
      </c>
      <c r="H635" s="7">
        <v>176.3</v>
      </c>
      <c r="I635" s="2" t="s">
        <v>15</v>
      </c>
      <c r="J635" s="2" t="s">
        <v>15</v>
      </c>
      <c r="K635" s="2" t="s">
        <v>21</v>
      </c>
      <c r="L635" s="7">
        <v>176.3</v>
      </c>
      <c r="M635" s="2" t="str">
        <f>_xlfn.IFS(TelecomData[[#This Row],[TenureMonths]]&lt;=12, "0-1 Year", TelecomData[[#This Row],[TenureMonths]]&lt;=36, "1-3 Years", TelecomData[[#This Row],[TenureMonths]]&gt;36, "3+ Years")</f>
        <v>0-1 Year</v>
      </c>
      <c r="N635" s="2" t="str">
        <f>IF(TelecomData[[#This Row],[CleanedTotalCharges]]&gt;=2500,"High Spend", "Standard Spend")</f>
        <v>Standard Spend</v>
      </c>
    </row>
    <row r="636" spans="1:14" x14ac:dyDescent="0.3">
      <c r="A636" s="1" t="s">
        <v>660</v>
      </c>
      <c r="B636" s="2" t="s">
        <v>12</v>
      </c>
      <c r="C636" s="2" t="s">
        <v>20</v>
      </c>
      <c r="D636" s="2">
        <v>40</v>
      </c>
      <c r="E636" s="2" t="s">
        <v>14</v>
      </c>
      <c r="F636" s="2" t="s">
        <v>16</v>
      </c>
      <c r="G636" s="7">
        <v>54.55</v>
      </c>
      <c r="H636" s="7">
        <v>2236.1999999999998</v>
      </c>
      <c r="I636" s="2" t="s">
        <v>15</v>
      </c>
      <c r="J636" s="2" t="s">
        <v>16</v>
      </c>
      <c r="K636" s="2" t="s">
        <v>24</v>
      </c>
      <c r="L636" s="7">
        <v>2236.1999999999998</v>
      </c>
      <c r="M636" s="2" t="str">
        <f>_xlfn.IFS(TelecomData[[#This Row],[TenureMonths]]&lt;=12, "0-1 Year", TelecomData[[#This Row],[TenureMonths]]&lt;=36, "1-3 Years", TelecomData[[#This Row],[TenureMonths]]&gt;36, "3+ Years")</f>
        <v>3+ Years</v>
      </c>
      <c r="N636" s="2" t="str">
        <f>IF(TelecomData[[#This Row],[CleanedTotalCharges]]&gt;=2500,"High Spend", "Standard Spend")</f>
        <v>Standard Spend</v>
      </c>
    </row>
    <row r="637" spans="1:14" x14ac:dyDescent="0.3">
      <c r="A637" s="1" t="s">
        <v>661</v>
      </c>
      <c r="B637" s="2" t="s">
        <v>12</v>
      </c>
      <c r="C637" s="2" t="s">
        <v>13</v>
      </c>
      <c r="D637" s="2">
        <v>65</v>
      </c>
      <c r="E637" s="2" t="s">
        <v>26</v>
      </c>
      <c r="F637" s="2" t="s">
        <v>15</v>
      </c>
      <c r="G637" s="7">
        <v>105.5</v>
      </c>
      <c r="H637" s="7">
        <v>6985.65</v>
      </c>
      <c r="I637" s="2" t="s">
        <v>16</v>
      </c>
      <c r="J637" s="2" t="s">
        <v>16</v>
      </c>
      <c r="K637" s="2" t="s">
        <v>17</v>
      </c>
      <c r="L637" s="7">
        <v>6985.65</v>
      </c>
      <c r="M637" s="2" t="str">
        <f>_xlfn.IFS(TelecomData[[#This Row],[TenureMonths]]&lt;=12, "0-1 Year", TelecomData[[#This Row],[TenureMonths]]&lt;=36, "1-3 Years", TelecomData[[#This Row],[TenureMonths]]&gt;36, "3+ Years")</f>
        <v>3+ Years</v>
      </c>
      <c r="N637" s="2" t="str">
        <f>IF(TelecomData[[#This Row],[CleanedTotalCharges]]&gt;=2500,"High Spend", "Standard Spend")</f>
        <v>High Spend</v>
      </c>
    </row>
    <row r="638" spans="1:14" x14ac:dyDescent="0.3">
      <c r="A638" s="1" t="s">
        <v>662</v>
      </c>
      <c r="B638" s="2" t="s">
        <v>19</v>
      </c>
      <c r="C638" s="2" t="s">
        <v>35</v>
      </c>
      <c r="D638" s="2">
        <v>31</v>
      </c>
      <c r="E638" s="2" t="s">
        <v>26</v>
      </c>
      <c r="F638" s="2" t="s">
        <v>16</v>
      </c>
      <c r="G638" s="7">
        <v>99.45</v>
      </c>
      <c r="H638" s="7">
        <v>3109.9</v>
      </c>
      <c r="I638" s="2" t="s">
        <v>15</v>
      </c>
      <c r="J638" s="2" t="s">
        <v>15</v>
      </c>
      <c r="K638" s="2" t="s">
        <v>24</v>
      </c>
      <c r="L638" s="7">
        <v>3109.9</v>
      </c>
      <c r="M638" s="2" t="str">
        <f>_xlfn.IFS(TelecomData[[#This Row],[TenureMonths]]&lt;=12, "0-1 Year", TelecomData[[#This Row],[TenureMonths]]&lt;=36, "1-3 Years", TelecomData[[#This Row],[TenureMonths]]&gt;36, "3+ Years")</f>
        <v>1-3 Years</v>
      </c>
      <c r="N638" s="2" t="str">
        <f>IF(TelecomData[[#This Row],[CleanedTotalCharges]]&gt;=2500,"High Spend", "Standard Spend")</f>
        <v>High Spend</v>
      </c>
    </row>
    <row r="639" spans="1:14" x14ac:dyDescent="0.3">
      <c r="A639" s="1" t="s">
        <v>663</v>
      </c>
      <c r="B639" s="2" t="s">
        <v>12</v>
      </c>
      <c r="C639" s="2" t="s">
        <v>35</v>
      </c>
      <c r="D639" s="2">
        <v>68</v>
      </c>
      <c r="E639" s="2" t="s">
        <v>14</v>
      </c>
      <c r="F639" s="2" t="s">
        <v>16</v>
      </c>
      <c r="G639" s="7">
        <v>70.900000000000006</v>
      </c>
      <c r="H639" s="7">
        <v>4911.3500000000004</v>
      </c>
      <c r="I639" s="2" t="s">
        <v>15</v>
      </c>
      <c r="J639" s="2" t="s">
        <v>15</v>
      </c>
      <c r="K639" s="2" t="s">
        <v>29</v>
      </c>
      <c r="L639" s="7">
        <v>4911.3500000000004</v>
      </c>
      <c r="M639" s="2" t="str">
        <f>_xlfn.IFS(TelecomData[[#This Row],[TenureMonths]]&lt;=12, "0-1 Year", TelecomData[[#This Row],[TenureMonths]]&lt;=36, "1-3 Years", TelecomData[[#This Row],[TenureMonths]]&gt;36, "3+ Years")</f>
        <v>3+ Years</v>
      </c>
      <c r="N639" s="2" t="str">
        <f>IF(TelecomData[[#This Row],[CleanedTotalCharges]]&gt;=2500,"High Spend", "Standard Spend")</f>
        <v>High Spend</v>
      </c>
    </row>
    <row r="640" spans="1:14" x14ac:dyDescent="0.3">
      <c r="A640" s="1" t="s">
        <v>664</v>
      </c>
      <c r="B640" s="2" t="s">
        <v>19</v>
      </c>
      <c r="C640" s="2" t="s">
        <v>20</v>
      </c>
      <c r="D640" s="2">
        <v>56</v>
      </c>
      <c r="E640" s="2" t="s">
        <v>26</v>
      </c>
      <c r="F640" s="2" t="s">
        <v>15</v>
      </c>
      <c r="G640" s="7">
        <v>104.55</v>
      </c>
      <c r="H640" s="7">
        <v>5794.65</v>
      </c>
      <c r="I640" s="2" t="s">
        <v>16</v>
      </c>
      <c r="J640" s="2" t="s">
        <v>16</v>
      </c>
      <c r="K640" s="2" t="s">
        <v>24</v>
      </c>
      <c r="L640" s="7">
        <v>5794.65</v>
      </c>
      <c r="M640" s="2" t="str">
        <f>_xlfn.IFS(TelecomData[[#This Row],[TenureMonths]]&lt;=12, "0-1 Year", TelecomData[[#This Row],[TenureMonths]]&lt;=36, "1-3 Years", TelecomData[[#This Row],[TenureMonths]]&gt;36, "3+ Years")</f>
        <v>3+ Years</v>
      </c>
      <c r="N640" s="2" t="str">
        <f>IF(TelecomData[[#This Row],[CleanedTotalCharges]]&gt;=2500,"High Spend", "Standard Spend")</f>
        <v>High Spend</v>
      </c>
    </row>
    <row r="641" spans="1:14" x14ac:dyDescent="0.3">
      <c r="A641" s="1" t="s">
        <v>665</v>
      </c>
      <c r="B641" s="2" t="s">
        <v>19</v>
      </c>
      <c r="C641" s="2" t="s">
        <v>13</v>
      </c>
      <c r="D641" s="2">
        <v>10</v>
      </c>
      <c r="E641" s="2" t="s">
        <v>26</v>
      </c>
      <c r="F641" s="2" t="s">
        <v>15</v>
      </c>
      <c r="G641" s="7">
        <v>85.25</v>
      </c>
      <c r="H641" s="7">
        <v>855.3</v>
      </c>
      <c r="I641" s="2" t="s">
        <v>16</v>
      </c>
      <c r="J641" s="2" t="s">
        <v>16</v>
      </c>
      <c r="K641" s="2" t="s">
        <v>17</v>
      </c>
      <c r="L641" s="7">
        <v>855.3</v>
      </c>
      <c r="M641" s="2" t="str">
        <f>_xlfn.IFS(TelecomData[[#This Row],[TenureMonths]]&lt;=12, "0-1 Year", TelecomData[[#This Row],[TenureMonths]]&lt;=36, "1-3 Years", TelecomData[[#This Row],[TenureMonths]]&gt;36, "3+ Years")</f>
        <v>0-1 Year</v>
      </c>
      <c r="N641" s="2" t="str">
        <f>IF(TelecomData[[#This Row],[CleanedTotalCharges]]&gt;=2500,"High Spend", "Standard Spend")</f>
        <v>Standard Spend</v>
      </c>
    </row>
    <row r="642" spans="1:14" x14ac:dyDescent="0.3">
      <c r="A642" s="1" t="s">
        <v>666</v>
      </c>
      <c r="B642" s="2" t="s">
        <v>19</v>
      </c>
      <c r="C642" s="2" t="s">
        <v>35</v>
      </c>
      <c r="D642" s="2">
        <v>68</v>
      </c>
      <c r="E642" s="2" t="s">
        <v>15</v>
      </c>
      <c r="F642" s="2" t="s">
        <v>36</v>
      </c>
      <c r="G642" s="7">
        <v>25.4</v>
      </c>
      <c r="H642" s="7">
        <v>1620.2</v>
      </c>
      <c r="I642" s="2" t="s">
        <v>15</v>
      </c>
      <c r="J642" s="2" t="s">
        <v>15</v>
      </c>
      <c r="K642" s="2" t="s">
        <v>24</v>
      </c>
      <c r="L642" s="7">
        <v>1620.2</v>
      </c>
      <c r="M642" s="2" t="str">
        <f>_xlfn.IFS(TelecomData[[#This Row],[TenureMonths]]&lt;=12, "0-1 Year", TelecomData[[#This Row],[TenureMonths]]&lt;=36, "1-3 Years", TelecomData[[#This Row],[TenureMonths]]&gt;36, "3+ Years")</f>
        <v>3+ Years</v>
      </c>
      <c r="N642" s="2" t="str">
        <f>IF(TelecomData[[#This Row],[CleanedTotalCharges]]&gt;=2500,"High Spend", "Standard Spend")</f>
        <v>Standard Spend</v>
      </c>
    </row>
    <row r="643" spans="1:14" x14ac:dyDescent="0.3">
      <c r="A643" s="1" t="s">
        <v>667</v>
      </c>
      <c r="B643" s="2" t="s">
        <v>12</v>
      </c>
      <c r="C643" s="2" t="s">
        <v>13</v>
      </c>
      <c r="D643" s="2">
        <v>43</v>
      </c>
      <c r="E643" s="2" t="s">
        <v>14</v>
      </c>
      <c r="F643" s="2" t="s">
        <v>15</v>
      </c>
      <c r="G643" s="7">
        <v>56.15</v>
      </c>
      <c r="H643" s="7">
        <v>2499.3000000000002</v>
      </c>
      <c r="I643" s="2" t="s">
        <v>16</v>
      </c>
      <c r="J643" s="2" t="s">
        <v>15</v>
      </c>
      <c r="K643" s="2" t="s">
        <v>17</v>
      </c>
      <c r="L643" s="7">
        <v>2499.3000000000002</v>
      </c>
      <c r="M643" s="2" t="str">
        <f>_xlfn.IFS(TelecomData[[#This Row],[TenureMonths]]&lt;=12, "0-1 Year", TelecomData[[#This Row],[TenureMonths]]&lt;=36, "1-3 Years", TelecomData[[#This Row],[TenureMonths]]&gt;36, "3+ Years")</f>
        <v>3+ Years</v>
      </c>
      <c r="N643" s="2" t="str">
        <f>IF(TelecomData[[#This Row],[CleanedTotalCharges]]&gt;=2500,"High Spend", "Standard Spend")</f>
        <v>Standard Spend</v>
      </c>
    </row>
    <row r="644" spans="1:14" x14ac:dyDescent="0.3">
      <c r="A644" s="1" t="s">
        <v>668</v>
      </c>
      <c r="B644" s="2" t="s">
        <v>19</v>
      </c>
      <c r="C644" s="2" t="s">
        <v>13</v>
      </c>
      <c r="D644" s="2">
        <v>1</v>
      </c>
      <c r="E644" s="2" t="s">
        <v>26</v>
      </c>
      <c r="F644" s="2" t="s">
        <v>15</v>
      </c>
      <c r="G644" s="7">
        <v>89.55</v>
      </c>
      <c r="H644" s="7">
        <v>89.55</v>
      </c>
      <c r="I644" s="2" t="s">
        <v>16</v>
      </c>
      <c r="J644" s="2" t="s">
        <v>16</v>
      </c>
      <c r="K644" s="2" t="s">
        <v>17</v>
      </c>
      <c r="L644" s="7">
        <v>89.55</v>
      </c>
      <c r="M644" s="2" t="str">
        <f>_xlfn.IFS(TelecomData[[#This Row],[TenureMonths]]&lt;=12, "0-1 Year", TelecomData[[#This Row],[TenureMonths]]&lt;=36, "1-3 Years", TelecomData[[#This Row],[TenureMonths]]&gt;36, "3+ Years")</f>
        <v>0-1 Year</v>
      </c>
      <c r="N644" s="2" t="str">
        <f>IF(TelecomData[[#This Row],[CleanedTotalCharges]]&gt;=2500,"High Spend", "Standard Spend")</f>
        <v>Standard Spend</v>
      </c>
    </row>
    <row r="645" spans="1:14" x14ac:dyDescent="0.3">
      <c r="A645" s="1" t="s">
        <v>669</v>
      </c>
      <c r="B645" s="2" t="s">
        <v>12</v>
      </c>
      <c r="C645" s="2" t="s">
        <v>20</v>
      </c>
      <c r="D645" s="2">
        <v>49</v>
      </c>
      <c r="E645" s="2" t="s">
        <v>26</v>
      </c>
      <c r="F645" s="2" t="s">
        <v>15</v>
      </c>
      <c r="G645" s="7">
        <v>89.85</v>
      </c>
      <c r="H645" s="7">
        <v>4287.2</v>
      </c>
      <c r="I645" s="2" t="s">
        <v>15</v>
      </c>
      <c r="J645" s="2" t="s">
        <v>16</v>
      </c>
      <c r="K645" s="2" t="s">
        <v>24</v>
      </c>
      <c r="L645" s="7">
        <v>4287.2</v>
      </c>
      <c r="M645" s="2" t="str">
        <f>_xlfn.IFS(TelecomData[[#This Row],[TenureMonths]]&lt;=12, "0-1 Year", TelecomData[[#This Row],[TenureMonths]]&lt;=36, "1-3 Years", TelecomData[[#This Row],[TenureMonths]]&gt;36, "3+ Years")</f>
        <v>3+ Years</v>
      </c>
      <c r="N645" s="2" t="str">
        <f>IF(TelecomData[[#This Row],[CleanedTotalCharges]]&gt;=2500,"High Spend", "Standard Spend")</f>
        <v>High Spend</v>
      </c>
    </row>
    <row r="646" spans="1:14" x14ac:dyDescent="0.3">
      <c r="A646" s="1" t="s">
        <v>670</v>
      </c>
      <c r="B646" s="2" t="s">
        <v>12</v>
      </c>
      <c r="C646" s="2" t="s">
        <v>13</v>
      </c>
      <c r="D646" s="2">
        <v>15</v>
      </c>
      <c r="E646" s="2" t="s">
        <v>15</v>
      </c>
      <c r="F646" s="2" t="s">
        <v>36</v>
      </c>
      <c r="G646" s="7">
        <v>25.25</v>
      </c>
      <c r="H646" s="7">
        <v>394.85</v>
      </c>
      <c r="I646" s="2" t="s">
        <v>15</v>
      </c>
      <c r="J646" s="2" t="s">
        <v>16</v>
      </c>
      <c r="K646" s="2" t="s">
        <v>17</v>
      </c>
      <c r="L646" s="7">
        <v>394.85</v>
      </c>
      <c r="M646" s="2" t="str">
        <f>_xlfn.IFS(TelecomData[[#This Row],[TenureMonths]]&lt;=12, "0-1 Year", TelecomData[[#This Row],[TenureMonths]]&lt;=36, "1-3 Years", TelecomData[[#This Row],[TenureMonths]]&gt;36, "3+ Years")</f>
        <v>1-3 Years</v>
      </c>
      <c r="N646" s="2" t="str">
        <f>IF(TelecomData[[#This Row],[CleanedTotalCharges]]&gt;=2500,"High Spend", "Standard Spend")</f>
        <v>Standard Spend</v>
      </c>
    </row>
    <row r="647" spans="1:14" x14ac:dyDescent="0.3">
      <c r="A647" s="1" t="s">
        <v>671</v>
      </c>
      <c r="B647" s="2" t="s">
        <v>19</v>
      </c>
      <c r="C647" s="2" t="s">
        <v>13</v>
      </c>
      <c r="D647" s="2">
        <v>20</v>
      </c>
      <c r="E647" s="2" t="s">
        <v>26</v>
      </c>
      <c r="F647" s="2" t="s">
        <v>15</v>
      </c>
      <c r="G647" s="7">
        <v>94.55</v>
      </c>
      <c r="H647" s="7">
        <v>1899.65</v>
      </c>
      <c r="I647" s="2" t="s">
        <v>16</v>
      </c>
      <c r="J647" s="2" t="s">
        <v>16</v>
      </c>
      <c r="K647" s="2" t="s">
        <v>17</v>
      </c>
      <c r="L647" s="7">
        <v>1899.65</v>
      </c>
      <c r="M647" s="2" t="str">
        <f>_xlfn.IFS(TelecomData[[#This Row],[TenureMonths]]&lt;=12, "0-1 Year", TelecomData[[#This Row],[TenureMonths]]&lt;=36, "1-3 Years", TelecomData[[#This Row],[TenureMonths]]&gt;36, "3+ Years")</f>
        <v>1-3 Years</v>
      </c>
      <c r="N647" s="2" t="str">
        <f>IF(TelecomData[[#This Row],[CleanedTotalCharges]]&gt;=2500,"High Spend", "Standard Spend")</f>
        <v>Standard Spend</v>
      </c>
    </row>
    <row r="648" spans="1:14" x14ac:dyDescent="0.3">
      <c r="A648" s="1" t="s">
        <v>672</v>
      </c>
      <c r="B648" s="2" t="s">
        <v>19</v>
      </c>
      <c r="C648" s="2" t="s">
        <v>13</v>
      </c>
      <c r="D648" s="2">
        <v>1</v>
      </c>
      <c r="E648" s="2" t="s">
        <v>14</v>
      </c>
      <c r="F648" s="2" t="s">
        <v>15</v>
      </c>
      <c r="G648" s="7">
        <v>45.7</v>
      </c>
      <c r="H648" s="7">
        <v>45.7</v>
      </c>
      <c r="I648" s="2" t="s">
        <v>16</v>
      </c>
      <c r="J648" s="2" t="s">
        <v>16</v>
      </c>
      <c r="K648" s="2" t="s">
        <v>21</v>
      </c>
      <c r="L648" s="7">
        <v>45.7</v>
      </c>
      <c r="M648" s="2" t="str">
        <f>_xlfn.IFS(TelecomData[[#This Row],[TenureMonths]]&lt;=12, "0-1 Year", TelecomData[[#This Row],[TenureMonths]]&lt;=36, "1-3 Years", TelecomData[[#This Row],[TenureMonths]]&gt;36, "3+ Years")</f>
        <v>0-1 Year</v>
      </c>
      <c r="N648" s="2" t="str">
        <f>IF(TelecomData[[#This Row],[CleanedTotalCharges]]&gt;=2500,"High Spend", "Standard Spend")</f>
        <v>Standard Spend</v>
      </c>
    </row>
    <row r="649" spans="1:14" x14ac:dyDescent="0.3">
      <c r="A649" s="1" t="s">
        <v>673</v>
      </c>
      <c r="B649" s="2" t="s">
        <v>19</v>
      </c>
      <c r="C649" s="2" t="s">
        <v>20</v>
      </c>
      <c r="D649" s="2">
        <v>50</v>
      </c>
      <c r="E649" s="2" t="s">
        <v>14</v>
      </c>
      <c r="F649" s="2" t="s">
        <v>16</v>
      </c>
      <c r="G649" s="7">
        <v>69.650000000000006</v>
      </c>
      <c r="H649" s="7">
        <v>3442.15</v>
      </c>
      <c r="I649" s="2" t="s">
        <v>15</v>
      </c>
      <c r="J649" s="2" t="s">
        <v>16</v>
      </c>
      <c r="K649" s="2" t="s">
        <v>17</v>
      </c>
      <c r="L649" s="7">
        <v>3442.15</v>
      </c>
      <c r="M649" s="2" t="str">
        <f>_xlfn.IFS(TelecomData[[#This Row],[TenureMonths]]&lt;=12, "0-1 Year", TelecomData[[#This Row],[TenureMonths]]&lt;=36, "1-3 Years", TelecomData[[#This Row],[TenureMonths]]&gt;36, "3+ Years")</f>
        <v>3+ Years</v>
      </c>
      <c r="N649" s="2" t="str">
        <f>IF(TelecomData[[#This Row],[CleanedTotalCharges]]&gt;=2500,"High Spend", "Standard Spend")</f>
        <v>High Spend</v>
      </c>
    </row>
    <row r="650" spans="1:14" x14ac:dyDescent="0.3">
      <c r="A650" s="1" t="s">
        <v>674</v>
      </c>
      <c r="B650" s="2" t="s">
        <v>12</v>
      </c>
      <c r="C650" s="2" t="s">
        <v>13</v>
      </c>
      <c r="D650" s="2">
        <v>2</v>
      </c>
      <c r="E650" s="2" t="s">
        <v>26</v>
      </c>
      <c r="F650" s="2" t="s">
        <v>15</v>
      </c>
      <c r="G650" s="7">
        <v>89.5</v>
      </c>
      <c r="H650" s="7">
        <v>161.5</v>
      </c>
      <c r="I650" s="2" t="s">
        <v>16</v>
      </c>
      <c r="J650" s="2" t="s">
        <v>15</v>
      </c>
      <c r="K650" s="2" t="s">
        <v>17</v>
      </c>
      <c r="L650" s="7">
        <v>161.5</v>
      </c>
      <c r="M650" s="2" t="str">
        <f>_xlfn.IFS(TelecomData[[#This Row],[TenureMonths]]&lt;=12, "0-1 Year", TelecomData[[#This Row],[TenureMonths]]&lt;=36, "1-3 Years", TelecomData[[#This Row],[TenureMonths]]&gt;36, "3+ Years")</f>
        <v>0-1 Year</v>
      </c>
      <c r="N650" s="2" t="str">
        <f>IF(TelecomData[[#This Row],[CleanedTotalCharges]]&gt;=2500,"High Spend", "Standard Spend")</f>
        <v>Standard Spend</v>
      </c>
    </row>
    <row r="651" spans="1:14" x14ac:dyDescent="0.3">
      <c r="A651" s="1" t="s">
        <v>675</v>
      </c>
      <c r="B651" s="2" t="s">
        <v>19</v>
      </c>
      <c r="C651" s="2" t="s">
        <v>13</v>
      </c>
      <c r="D651" s="2">
        <v>24</v>
      </c>
      <c r="E651" s="2" t="s">
        <v>26</v>
      </c>
      <c r="F651" s="2" t="s">
        <v>15</v>
      </c>
      <c r="G651" s="7">
        <v>70</v>
      </c>
      <c r="H651" s="7">
        <v>1732.6</v>
      </c>
      <c r="I651" s="2" t="s">
        <v>15</v>
      </c>
      <c r="J651" s="2" t="s">
        <v>15</v>
      </c>
      <c r="K651" s="2" t="s">
        <v>29</v>
      </c>
      <c r="L651" s="7">
        <v>1732.6</v>
      </c>
      <c r="M651" s="2" t="str">
        <f>_xlfn.IFS(TelecomData[[#This Row],[TenureMonths]]&lt;=12, "0-1 Year", TelecomData[[#This Row],[TenureMonths]]&lt;=36, "1-3 Years", TelecomData[[#This Row],[TenureMonths]]&gt;36, "3+ Years")</f>
        <v>1-3 Years</v>
      </c>
      <c r="N651" s="2" t="str">
        <f>IF(TelecomData[[#This Row],[CleanedTotalCharges]]&gt;=2500,"High Spend", "Standard Spend")</f>
        <v>Standard Spend</v>
      </c>
    </row>
    <row r="652" spans="1:14" x14ac:dyDescent="0.3">
      <c r="A652" s="1" t="s">
        <v>676</v>
      </c>
      <c r="B652" s="2" t="s">
        <v>12</v>
      </c>
      <c r="C652" s="2" t="s">
        <v>13</v>
      </c>
      <c r="D652" s="2">
        <v>3</v>
      </c>
      <c r="E652" s="2" t="s">
        <v>26</v>
      </c>
      <c r="F652" s="2" t="s">
        <v>15</v>
      </c>
      <c r="G652" s="7">
        <v>69.55</v>
      </c>
      <c r="H652" s="7">
        <v>222.3</v>
      </c>
      <c r="I652" s="2" t="s">
        <v>16</v>
      </c>
      <c r="J652" s="2" t="s">
        <v>16</v>
      </c>
      <c r="K652" s="2" t="s">
        <v>24</v>
      </c>
      <c r="L652" s="7">
        <v>222.3</v>
      </c>
      <c r="M652" s="2" t="str">
        <f>_xlfn.IFS(TelecomData[[#This Row],[TenureMonths]]&lt;=12, "0-1 Year", TelecomData[[#This Row],[TenureMonths]]&lt;=36, "1-3 Years", TelecomData[[#This Row],[TenureMonths]]&gt;36, "3+ Years")</f>
        <v>0-1 Year</v>
      </c>
      <c r="N652" s="2" t="str">
        <f>IF(TelecomData[[#This Row],[CleanedTotalCharges]]&gt;=2500,"High Spend", "Standard Spend")</f>
        <v>Standard Spend</v>
      </c>
    </row>
    <row r="653" spans="1:14" x14ac:dyDescent="0.3">
      <c r="A653" s="1" t="s">
        <v>677</v>
      </c>
      <c r="B653" s="2" t="s">
        <v>12</v>
      </c>
      <c r="C653" s="2" t="s">
        <v>13</v>
      </c>
      <c r="D653" s="2">
        <v>1</v>
      </c>
      <c r="E653" s="2" t="s">
        <v>26</v>
      </c>
      <c r="F653" s="2" t="s">
        <v>15</v>
      </c>
      <c r="G653" s="7">
        <v>74.599999999999994</v>
      </c>
      <c r="H653" s="7">
        <v>74.599999999999994</v>
      </c>
      <c r="I653" s="2" t="s">
        <v>16</v>
      </c>
      <c r="J653" s="2" t="s">
        <v>16</v>
      </c>
      <c r="K653" s="2" t="s">
        <v>21</v>
      </c>
      <c r="L653" s="7">
        <v>74.599999999999994</v>
      </c>
      <c r="M653" s="2" t="str">
        <f>_xlfn.IFS(TelecomData[[#This Row],[TenureMonths]]&lt;=12, "0-1 Year", TelecomData[[#This Row],[TenureMonths]]&lt;=36, "1-3 Years", TelecomData[[#This Row],[TenureMonths]]&gt;36, "3+ Years")</f>
        <v>0-1 Year</v>
      </c>
      <c r="N653" s="2" t="str">
        <f>IF(TelecomData[[#This Row],[CleanedTotalCharges]]&gt;=2500,"High Spend", "Standard Spend")</f>
        <v>Standard Spend</v>
      </c>
    </row>
    <row r="654" spans="1:14" x14ac:dyDescent="0.3">
      <c r="A654" s="1" t="s">
        <v>678</v>
      </c>
      <c r="B654" s="2" t="s">
        <v>19</v>
      </c>
      <c r="C654" s="2" t="s">
        <v>35</v>
      </c>
      <c r="D654" s="2">
        <v>35</v>
      </c>
      <c r="E654" s="2" t="s">
        <v>15</v>
      </c>
      <c r="F654" s="2" t="s">
        <v>36</v>
      </c>
      <c r="G654" s="7">
        <v>20.100000000000001</v>
      </c>
      <c r="H654" s="7">
        <v>655.29999999999995</v>
      </c>
      <c r="I654" s="2" t="s">
        <v>15</v>
      </c>
      <c r="J654" s="2" t="s">
        <v>15</v>
      </c>
      <c r="K654" s="2" t="s">
        <v>21</v>
      </c>
      <c r="L654" s="7">
        <v>655.29999999999995</v>
      </c>
      <c r="M654" s="2" t="str">
        <f>_xlfn.IFS(TelecomData[[#This Row],[TenureMonths]]&lt;=12, "0-1 Year", TelecomData[[#This Row],[TenureMonths]]&lt;=36, "1-3 Years", TelecomData[[#This Row],[TenureMonths]]&gt;36, "3+ Years")</f>
        <v>1-3 Years</v>
      </c>
      <c r="N654" s="2" t="str">
        <f>IF(TelecomData[[#This Row],[CleanedTotalCharges]]&gt;=2500,"High Spend", "Standard Spend")</f>
        <v>Standard Spend</v>
      </c>
    </row>
    <row r="655" spans="1:14" x14ac:dyDescent="0.3">
      <c r="A655" s="1" t="s">
        <v>679</v>
      </c>
      <c r="B655" s="2" t="s">
        <v>12</v>
      </c>
      <c r="C655" s="2" t="s">
        <v>13</v>
      </c>
      <c r="D655" s="2">
        <v>17</v>
      </c>
      <c r="E655" s="2" t="s">
        <v>15</v>
      </c>
      <c r="F655" s="2" t="s">
        <v>36</v>
      </c>
      <c r="G655" s="7">
        <v>24.8</v>
      </c>
      <c r="H655" s="7">
        <v>475.25</v>
      </c>
      <c r="I655" s="2" t="s">
        <v>15</v>
      </c>
      <c r="J655" s="2" t="s">
        <v>15</v>
      </c>
      <c r="K655" s="2" t="s">
        <v>21</v>
      </c>
      <c r="L655" s="7">
        <v>475.25</v>
      </c>
      <c r="M655" s="2" t="str">
        <f>_xlfn.IFS(TelecomData[[#This Row],[TenureMonths]]&lt;=12, "0-1 Year", TelecomData[[#This Row],[TenureMonths]]&lt;=36, "1-3 Years", TelecomData[[#This Row],[TenureMonths]]&gt;36, "3+ Years")</f>
        <v>1-3 Years</v>
      </c>
      <c r="N655" s="2" t="str">
        <f>IF(TelecomData[[#This Row],[CleanedTotalCharges]]&gt;=2500,"High Spend", "Standard Spend")</f>
        <v>Standard Spend</v>
      </c>
    </row>
    <row r="656" spans="1:14" x14ac:dyDescent="0.3">
      <c r="A656" s="1" t="s">
        <v>680</v>
      </c>
      <c r="B656" s="2" t="s">
        <v>12</v>
      </c>
      <c r="C656" s="2" t="s">
        <v>13</v>
      </c>
      <c r="D656" s="2">
        <v>8</v>
      </c>
      <c r="E656" s="2" t="s">
        <v>15</v>
      </c>
      <c r="F656" s="2" t="s">
        <v>36</v>
      </c>
      <c r="G656" s="7">
        <v>19.649999999999999</v>
      </c>
      <c r="H656" s="7">
        <v>164.3</v>
      </c>
      <c r="I656" s="2" t="s">
        <v>16</v>
      </c>
      <c r="J656" s="2" t="s">
        <v>15</v>
      </c>
      <c r="K656" s="2" t="s">
        <v>17</v>
      </c>
      <c r="L656" s="7">
        <v>164.3</v>
      </c>
      <c r="M656" s="2" t="str">
        <f>_xlfn.IFS(TelecomData[[#This Row],[TenureMonths]]&lt;=12, "0-1 Year", TelecomData[[#This Row],[TenureMonths]]&lt;=36, "1-3 Years", TelecomData[[#This Row],[TenureMonths]]&gt;36, "3+ Years")</f>
        <v>0-1 Year</v>
      </c>
      <c r="N656" s="2" t="str">
        <f>IF(TelecomData[[#This Row],[CleanedTotalCharges]]&gt;=2500,"High Spend", "Standard Spend")</f>
        <v>Standard Spend</v>
      </c>
    </row>
    <row r="657" spans="1:14" x14ac:dyDescent="0.3">
      <c r="A657" s="1" t="s">
        <v>681</v>
      </c>
      <c r="B657" s="2" t="s">
        <v>19</v>
      </c>
      <c r="C657" s="2" t="s">
        <v>13</v>
      </c>
      <c r="D657" s="2">
        <v>10</v>
      </c>
      <c r="E657" s="2" t="s">
        <v>26</v>
      </c>
      <c r="F657" s="2" t="s">
        <v>16</v>
      </c>
      <c r="G657" s="7">
        <v>95.1</v>
      </c>
      <c r="H657" s="7">
        <v>865.1</v>
      </c>
      <c r="I657" s="2" t="s">
        <v>15</v>
      </c>
      <c r="J657" s="2" t="s">
        <v>16</v>
      </c>
      <c r="K657" s="2" t="s">
        <v>29</v>
      </c>
      <c r="L657" s="7">
        <v>865.1</v>
      </c>
      <c r="M657" s="2" t="str">
        <f>_xlfn.IFS(TelecomData[[#This Row],[TenureMonths]]&lt;=12, "0-1 Year", TelecomData[[#This Row],[TenureMonths]]&lt;=36, "1-3 Years", TelecomData[[#This Row],[TenureMonths]]&gt;36, "3+ Years")</f>
        <v>0-1 Year</v>
      </c>
      <c r="N657" s="2" t="str">
        <f>IF(TelecomData[[#This Row],[CleanedTotalCharges]]&gt;=2500,"High Spend", "Standard Spend")</f>
        <v>Standard Spend</v>
      </c>
    </row>
    <row r="658" spans="1:14" x14ac:dyDescent="0.3">
      <c r="A658" s="1" t="s">
        <v>682</v>
      </c>
      <c r="B658" s="2" t="s">
        <v>19</v>
      </c>
      <c r="C658" s="2" t="s">
        <v>35</v>
      </c>
      <c r="D658" s="2">
        <v>68</v>
      </c>
      <c r="E658" s="2" t="s">
        <v>14</v>
      </c>
      <c r="F658" s="2" t="s">
        <v>16</v>
      </c>
      <c r="G658" s="7">
        <v>88.85</v>
      </c>
      <c r="H658" s="7">
        <v>6132.7</v>
      </c>
      <c r="I658" s="2" t="s">
        <v>15</v>
      </c>
      <c r="J658" s="2" t="s">
        <v>16</v>
      </c>
      <c r="K658" s="2" t="s">
        <v>29</v>
      </c>
      <c r="L658" s="7">
        <v>6132.7</v>
      </c>
      <c r="M658" s="2" t="str">
        <f>_xlfn.IFS(TelecomData[[#This Row],[TenureMonths]]&lt;=12, "0-1 Year", TelecomData[[#This Row],[TenureMonths]]&lt;=36, "1-3 Years", TelecomData[[#This Row],[TenureMonths]]&gt;36, "3+ Years")</f>
        <v>3+ Years</v>
      </c>
      <c r="N658" s="2" t="str">
        <f>IF(TelecomData[[#This Row],[CleanedTotalCharges]]&gt;=2500,"High Spend", "Standard Spend")</f>
        <v>High Spend</v>
      </c>
    </row>
    <row r="659" spans="1:14" x14ac:dyDescent="0.3">
      <c r="A659" s="1" t="s">
        <v>683</v>
      </c>
      <c r="B659" s="2" t="s">
        <v>19</v>
      </c>
      <c r="C659" s="2" t="s">
        <v>20</v>
      </c>
      <c r="D659" s="2">
        <v>45</v>
      </c>
      <c r="E659" s="2" t="s">
        <v>14</v>
      </c>
      <c r="F659" s="2" t="s">
        <v>15</v>
      </c>
      <c r="G659" s="7">
        <v>78.8</v>
      </c>
      <c r="H659" s="7">
        <v>3597.5</v>
      </c>
      <c r="I659" s="2" t="s">
        <v>15</v>
      </c>
      <c r="J659" s="2" t="s">
        <v>15</v>
      </c>
      <c r="K659" s="2" t="s">
        <v>24</v>
      </c>
      <c r="L659" s="7">
        <v>3597.5</v>
      </c>
      <c r="M659" s="2" t="str">
        <f>_xlfn.IFS(TelecomData[[#This Row],[TenureMonths]]&lt;=12, "0-1 Year", TelecomData[[#This Row],[TenureMonths]]&lt;=36, "1-3 Years", TelecomData[[#This Row],[TenureMonths]]&gt;36, "3+ Years")</f>
        <v>3+ Years</v>
      </c>
      <c r="N659" s="2" t="str">
        <f>IF(TelecomData[[#This Row],[CleanedTotalCharges]]&gt;=2500,"High Spend", "Standard Spend")</f>
        <v>High Spend</v>
      </c>
    </row>
    <row r="660" spans="1:14" x14ac:dyDescent="0.3">
      <c r="A660" s="1" t="s">
        <v>684</v>
      </c>
      <c r="B660" s="2" t="s">
        <v>19</v>
      </c>
      <c r="C660" s="2" t="s">
        <v>20</v>
      </c>
      <c r="D660" s="2">
        <v>2</v>
      </c>
      <c r="E660" s="2" t="s">
        <v>15</v>
      </c>
      <c r="F660" s="2" t="s">
        <v>36</v>
      </c>
      <c r="G660" s="7">
        <v>19.850000000000001</v>
      </c>
      <c r="H660" s="7">
        <v>35.9</v>
      </c>
      <c r="I660" s="2" t="s">
        <v>16</v>
      </c>
      <c r="J660" s="2" t="s">
        <v>15</v>
      </c>
      <c r="K660" s="2" t="s">
        <v>21</v>
      </c>
      <c r="L660" s="7">
        <v>35.9</v>
      </c>
      <c r="M660" s="2" t="str">
        <f>_xlfn.IFS(TelecomData[[#This Row],[TenureMonths]]&lt;=12, "0-1 Year", TelecomData[[#This Row],[TenureMonths]]&lt;=36, "1-3 Years", TelecomData[[#This Row],[TenureMonths]]&gt;36, "3+ Years")</f>
        <v>0-1 Year</v>
      </c>
      <c r="N660" s="2" t="str">
        <f>IF(TelecomData[[#This Row],[CleanedTotalCharges]]&gt;=2500,"High Spend", "Standard Spend")</f>
        <v>Standard Spend</v>
      </c>
    </row>
    <row r="661" spans="1:14" x14ac:dyDescent="0.3">
      <c r="A661" s="1" t="s">
        <v>685</v>
      </c>
      <c r="B661" s="2" t="s">
        <v>19</v>
      </c>
      <c r="C661" s="2" t="s">
        <v>13</v>
      </c>
      <c r="D661" s="2">
        <v>37</v>
      </c>
      <c r="E661" s="2" t="s">
        <v>15</v>
      </c>
      <c r="F661" s="2" t="s">
        <v>36</v>
      </c>
      <c r="G661" s="7">
        <v>20.350000000000001</v>
      </c>
      <c r="H661" s="7">
        <v>697.65</v>
      </c>
      <c r="I661" s="2" t="s">
        <v>15</v>
      </c>
      <c r="J661" s="2" t="s">
        <v>15</v>
      </c>
      <c r="K661" s="2" t="s">
        <v>24</v>
      </c>
      <c r="L661" s="7">
        <v>697.65</v>
      </c>
      <c r="M661" s="2" t="str">
        <f>_xlfn.IFS(TelecomData[[#This Row],[TenureMonths]]&lt;=12, "0-1 Year", TelecomData[[#This Row],[TenureMonths]]&lt;=36, "1-3 Years", TelecomData[[#This Row],[TenureMonths]]&gt;36, "3+ Years")</f>
        <v>3+ Years</v>
      </c>
      <c r="N661" s="2" t="str">
        <f>IF(TelecomData[[#This Row],[CleanedTotalCharges]]&gt;=2500,"High Spend", "Standard Spend")</f>
        <v>Standard Spend</v>
      </c>
    </row>
    <row r="662" spans="1:14" x14ac:dyDescent="0.3">
      <c r="A662" s="1" t="s">
        <v>686</v>
      </c>
      <c r="B662" s="2" t="s">
        <v>12</v>
      </c>
      <c r="C662" s="2" t="s">
        <v>13</v>
      </c>
      <c r="D662" s="2">
        <v>4</v>
      </c>
      <c r="E662" s="2" t="s">
        <v>14</v>
      </c>
      <c r="F662" s="2" t="s">
        <v>15</v>
      </c>
      <c r="G662" s="7">
        <v>24.25</v>
      </c>
      <c r="H662" s="7">
        <v>96.05</v>
      </c>
      <c r="I662" s="2" t="s">
        <v>16</v>
      </c>
      <c r="J662" s="2" t="s">
        <v>16</v>
      </c>
      <c r="K662" s="2" t="s">
        <v>21</v>
      </c>
      <c r="L662" s="7">
        <v>96.05</v>
      </c>
      <c r="M662" s="2" t="str">
        <f>_xlfn.IFS(TelecomData[[#This Row],[TenureMonths]]&lt;=12, "0-1 Year", TelecomData[[#This Row],[TenureMonths]]&lt;=36, "1-3 Years", TelecomData[[#This Row],[TenureMonths]]&gt;36, "3+ Years")</f>
        <v>0-1 Year</v>
      </c>
      <c r="N662" s="2" t="str">
        <f>IF(TelecomData[[#This Row],[CleanedTotalCharges]]&gt;=2500,"High Spend", "Standard Spend")</f>
        <v>Standard Spend</v>
      </c>
    </row>
    <row r="663" spans="1:14" x14ac:dyDescent="0.3">
      <c r="A663" s="1" t="s">
        <v>687</v>
      </c>
      <c r="B663" s="2" t="s">
        <v>12</v>
      </c>
      <c r="C663" s="2" t="s">
        <v>13</v>
      </c>
      <c r="D663" s="2">
        <v>10</v>
      </c>
      <c r="E663" s="2" t="s">
        <v>14</v>
      </c>
      <c r="F663" s="2" t="s">
        <v>15</v>
      </c>
      <c r="G663" s="7">
        <v>45.25</v>
      </c>
      <c r="H663" s="7">
        <v>428.7</v>
      </c>
      <c r="I663" s="2" t="s">
        <v>15</v>
      </c>
      <c r="J663" s="2" t="s">
        <v>15</v>
      </c>
      <c r="K663" s="2" t="s">
        <v>21</v>
      </c>
      <c r="L663" s="7">
        <v>428.7</v>
      </c>
      <c r="M663" s="2" t="str">
        <f>_xlfn.IFS(TelecomData[[#This Row],[TenureMonths]]&lt;=12, "0-1 Year", TelecomData[[#This Row],[TenureMonths]]&lt;=36, "1-3 Years", TelecomData[[#This Row],[TenureMonths]]&gt;36, "3+ Years")</f>
        <v>0-1 Year</v>
      </c>
      <c r="N663" s="2" t="str">
        <f>IF(TelecomData[[#This Row],[CleanedTotalCharges]]&gt;=2500,"High Spend", "Standard Spend")</f>
        <v>Standard Spend</v>
      </c>
    </row>
    <row r="664" spans="1:14" x14ac:dyDescent="0.3">
      <c r="A664" s="1" t="s">
        <v>688</v>
      </c>
      <c r="B664" s="2" t="s">
        <v>19</v>
      </c>
      <c r="C664" s="2" t="s">
        <v>13</v>
      </c>
      <c r="D664" s="2">
        <v>1</v>
      </c>
      <c r="E664" s="2" t="s">
        <v>15</v>
      </c>
      <c r="F664" s="2" t="s">
        <v>36</v>
      </c>
      <c r="G664" s="7">
        <v>20.05</v>
      </c>
      <c r="H664" s="7">
        <v>20.05</v>
      </c>
      <c r="I664" s="2" t="s">
        <v>15</v>
      </c>
      <c r="J664" s="2" t="s">
        <v>15</v>
      </c>
      <c r="K664" s="2" t="s">
        <v>21</v>
      </c>
      <c r="L664" s="7">
        <v>20.05</v>
      </c>
      <c r="M664" s="2" t="str">
        <f>_xlfn.IFS(TelecomData[[#This Row],[TenureMonths]]&lt;=12, "0-1 Year", TelecomData[[#This Row],[TenureMonths]]&lt;=36, "1-3 Years", TelecomData[[#This Row],[TenureMonths]]&gt;36, "3+ Years")</f>
        <v>0-1 Year</v>
      </c>
      <c r="N664" s="2" t="str">
        <f>IF(TelecomData[[#This Row],[CleanedTotalCharges]]&gt;=2500,"High Spend", "Standard Spend")</f>
        <v>Standard Spend</v>
      </c>
    </row>
    <row r="665" spans="1:14" x14ac:dyDescent="0.3">
      <c r="A665" s="1" t="s">
        <v>689</v>
      </c>
      <c r="B665" s="2" t="s">
        <v>19</v>
      </c>
      <c r="C665" s="2" t="s">
        <v>35</v>
      </c>
      <c r="D665" s="2">
        <v>65</v>
      </c>
      <c r="E665" s="2" t="s">
        <v>14</v>
      </c>
      <c r="F665" s="2" t="s">
        <v>15</v>
      </c>
      <c r="G665" s="7">
        <v>69.55</v>
      </c>
      <c r="H665" s="7">
        <v>4459.1499999999996</v>
      </c>
      <c r="I665" s="2" t="s">
        <v>15</v>
      </c>
      <c r="J665" s="2" t="s">
        <v>16</v>
      </c>
      <c r="K665" s="2" t="s">
        <v>21</v>
      </c>
      <c r="L665" s="7">
        <v>4459.1499999999996</v>
      </c>
      <c r="M665" s="2" t="str">
        <f>_xlfn.IFS(TelecomData[[#This Row],[TenureMonths]]&lt;=12, "0-1 Year", TelecomData[[#This Row],[TenureMonths]]&lt;=36, "1-3 Years", TelecomData[[#This Row],[TenureMonths]]&gt;36, "3+ Years")</f>
        <v>3+ Years</v>
      </c>
      <c r="N665" s="2" t="str">
        <f>IF(TelecomData[[#This Row],[CleanedTotalCharges]]&gt;=2500,"High Spend", "Standard Spend")</f>
        <v>High Spend</v>
      </c>
    </row>
    <row r="666" spans="1:14" x14ac:dyDescent="0.3">
      <c r="A666" s="1" t="s">
        <v>690</v>
      </c>
      <c r="B666" s="2" t="s">
        <v>12</v>
      </c>
      <c r="C666" s="2" t="s">
        <v>35</v>
      </c>
      <c r="D666" s="2">
        <v>57</v>
      </c>
      <c r="E666" s="2" t="s">
        <v>15</v>
      </c>
      <c r="F666" s="2" t="s">
        <v>36</v>
      </c>
      <c r="G666" s="7">
        <v>19.5</v>
      </c>
      <c r="H666" s="7">
        <v>1167.5999999999999</v>
      </c>
      <c r="I666" s="2" t="s">
        <v>15</v>
      </c>
      <c r="J666" s="2" t="s">
        <v>15</v>
      </c>
      <c r="K666" s="2" t="s">
        <v>24</v>
      </c>
      <c r="L666" s="7">
        <v>1167.5999999999999</v>
      </c>
      <c r="M666" s="2" t="str">
        <f>_xlfn.IFS(TelecomData[[#This Row],[TenureMonths]]&lt;=12, "0-1 Year", TelecomData[[#This Row],[TenureMonths]]&lt;=36, "1-3 Years", TelecomData[[#This Row],[TenureMonths]]&gt;36, "3+ Years")</f>
        <v>3+ Years</v>
      </c>
      <c r="N666" s="2" t="str">
        <f>IF(TelecomData[[#This Row],[CleanedTotalCharges]]&gt;=2500,"High Spend", "Standard Spend")</f>
        <v>Standard Spend</v>
      </c>
    </row>
    <row r="667" spans="1:14" x14ac:dyDescent="0.3">
      <c r="A667" s="1" t="s">
        <v>691</v>
      </c>
      <c r="B667" s="2" t="s">
        <v>12</v>
      </c>
      <c r="C667" s="2" t="s">
        <v>13</v>
      </c>
      <c r="D667" s="2">
        <v>3</v>
      </c>
      <c r="E667" s="2" t="s">
        <v>26</v>
      </c>
      <c r="F667" s="2" t="s">
        <v>15</v>
      </c>
      <c r="G667" s="7">
        <v>74.75</v>
      </c>
      <c r="H667" s="7">
        <v>238.1</v>
      </c>
      <c r="I667" s="2" t="s">
        <v>15</v>
      </c>
      <c r="J667" s="2" t="s">
        <v>16</v>
      </c>
      <c r="K667" s="2" t="s">
        <v>21</v>
      </c>
      <c r="L667" s="7">
        <v>238.1</v>
      </c>
      <c r="M667" s="2" t="str">
        <f>_xlfn.IFS(TelecomData[[#This Row],[TenureMonths]]&lt;=12, "0-1 Year", TelecomData[[#This Row],[TenureMonths]]&lt;=36, "1-3 Years", TelecomData[[#This Row],[TenureMonths]]&gt;36, "3+ Years")</f>
        <v>0-1 Year</v>
      </c>
      <c r="N667" s="2" t="str">
        <f>IF(TelecomData[[#This Row],[CleanedTotalCharges]]&gt;=2500,"High Spend", "Standard Spend")</f>
        <v>Standard Spend</v>
      </c>
    </row>
    <row r="668" spans="1:14" x14ac:dyDescent="0.3">
      <c r="A668" s="1" t="s">
        <v>692</v>
      </c>
      <c r="B668" s="2" t="s">
        <v>12</v>
      </c>
      <c r="C668" s="2" t="s">
        <v>13</v>
      </c>
      <c r="D668" s="2">
        <v>2</v>
      </c>
      <c r="E668" s="2" t="s">
        <v>26</v>
      </c>
      <c r="F668" s="2" t="s">
        <v>15</v>
      </c>
      <c r="G668" s="7">
        <v>69.650000000000006</v>
      </c>
      <c r="H668" s="7">
        <v>145.15</v>
      </c>
      <c r="I668" s="2" t="s">
        <v>16</v>
      </c>
      <c r="J668" s="2" t="s">
        <v>15</v>
      </c>
      <c r="K668" s="2" t="s">
        <v>17</v>
      </c>
      <c r="L668" s="7">
        <v>145.15</v>
      </c>
      <c r="M668" s="2" t="str">
        <f>_xlfn.IFS(TelecomData[[#This Row],[TenureMonths]]&lt;=12, "0-1 Year", TelecomData[[#This Row],[TenureMonths]]&lt;=36, "1-3 Years", TelecomData[[#This Row],[TenureMonths]]&gt;36, "3+ Years")</f>
        <v>0-1 Year</v>
      </c>
      <c r="N668" s="2" t="str">
        <f>IF(TelecomData[[#This Row],[CleanedTotalCharges]]&gt;=2500,"High Spend", "Standard Spend")</f>
        <v>Standard Spend</v>
      </c>
    </row>
    <row r="669" spans="1:14" x14ac:dyDescent="0.3">
      <c r="A669" s="1" t="s">
        <v>693</v>
      </c>
      <c r="B669" s="2" t="s">
        <v>19</v>
      </c>
      <c r="C669" s="2" t="s">
        <v>13</v>
      </c>
      <c r="D669" s="2">
        <v>49</v>
      </c>
      <c r="E669" s="2" t="s">
        <v>14</v>
      </c>
      <c r="F669" s="2" t="s">
        <v>15</v>
      </c>
      <c r="G669" s="7">
        <v>30.2</v>
      </c>
      <c r="H669" s="7">
        <v>1453.1</v>
      </c>
      <c r="I669" s="2" t="s">
        <v>15</v>
      </c>
      <c r="J669" s="2" t="s">
        <v>16</v>
      </c>
      <c r="K669" s="2" t="s">
        <v>24</v>
      </c>
      <c r="L669" s="7">
        <v>1453.1</v>
      </c>
      <c r="M669" s="2" t="str">
        <f>_xlfn.IFS(TelecomData[[#This Row],[TenureMonths]]&lt;=12, "0-1 Year", TelecomData[[#This Row],[TenureMonths]]&lt;=36, "1-3 Years", TelecomData[[#This Row],[TenureMonths]]&gt;36, "3+ Years")</f>
        <v>3+ Years</v>
      </c>
      <c r="N669" s="2" t="str">
        <f>IF(TelecomData[[#This Row],[CleanedTotalCharges]]&gt;=2500,"High Spend", "Standard Spend")</f>
        <v>Standard Spend</v>
      </c>
    </row>
    <row r="670" spans="1:14" x14ac:dyDescent="0.3">
      <c r="A670" s="1" t="s">
        <v>694</v>
      </c>
      <c r="B670" s="2" t="s">
        <v>12</v>
      </c>
      <c r="C670" s="2" t="s">
        <v>13</v>
      </c>
      <c r="D670" s="2">
        <v>4</v>
      </c>
      <c r="E670" s="2" t="s">
        <v>14</v>
      </c>
      <c r="F670" s="2" t="s">
        <v>15</v>
      </c>
      <c r="G670" s="7">
        <v>45.65</v>
      </c>
      <c r="H670" s="7">
        <v>191.05</v>
      </c>
      <c r="I670" s="2" t="s">
        <v>16</v>
      </c>
      <c r="J670" s="2" t="s">
        <v>15</v>
      </c>
      <c r="K670" s="2" t="s">
        <v>21</v>
      </c>
      <c r="L670" s="7">
        <v>191.05</v>
      </c>
      <c r="M670" s="2" t="str">
        <f>_xlfn.IFS(TelecomData[[#This Row],[TenureMonths]]&lt;=12, "0-1 Year", TelecomData[[#This Row],[TenureMonths]]&lt;=36, "1-3 Years", TelecomData[[#This Row],[TenureMonths]]&gt;36, "3+ Years")</f>
        <v>0-1 Year</v>
      </c>
      <c r="N670" s="2" t="str">
        <f>IF(TelecomData[[#This Row],[CleanedTotalCharges]]&gt;=2500,"High Spend", "Standard Spend")</f>
        <v>Standard Spend</v>
      </c>
    </row>
    <row r="671" spans="1:14" x14ac:dyDescent="0.3">
      <c r="A671" s="1" t="s">
        <v>695</v>
      </c>
      <c r="B671" s="2" t="s">
        <v>12</v>
      </c>
      <c r="C671" s="2" t="s">
        <v>35</v>
      </c>
      <c r="D671" s="2">
        <v>70</v>
      </c>
      <c r="E671" s="2" t="s">
        <v>14</v>
      </c>
      <c r="F671" s="2" t="s">
        <v>16</v>
      </c>
      <c r="G671" s="7">
        <v>57.8</v>
      </c>
      <c r="H671" s="7">
        <v>4039.3</v>
      </c>
      <c r="I671" s="2" t="s">
        <v>15</v>
      </c>
      <c r="J671" s="2" t="s">
        <v>15</v>
      </c>
      <c r="K671" s="2" t="s">
        <v>24</v>
      </c>
      <c r="L671" s="7">
        <v>4039.3</v>
      </c>
      <c r="M671" s="2" t="str">
        <f>_xlfn.IFS(TelecomData[[#This Row],[TenureMonths]]&lt;=12, "0-1 Year", TelecomData[[#This Row],[TenureMonths]]&lt;=36, "1-3 Years", TelecomData[[#This Row],[TenureMonths]]&gt;36, "3+ Years")</f>
        <v>3+ Years</v>
      </c>
      <c r="N671" s="2" t="str">
        <f>IF(TelecomData[[#This Row],[CleanedTotalCharges]]&gt;=2500,"High Spend", "Standard Spend")</f>
        <v>High Spend</v>
      </c>
    </row>
    <row r="672" spans="1:14" x14ac:dyDescent="0.3">
      <c r="A672" s="1" t="s">
        <v>696</v>
      </c>
      <c r="B672" s="2" t="s">
        <v>12</v>
      </c>
      <c r="C672" s="2" t="s">
        <v>20</v>
      </c>
      <c r="D672" s="2">
        <v>53</v>
      </c>
      <c r="E672" s="2" t="s">
        <v>15</v>
      </c>
      <c r="F672" s="2" t="s">
        <v>36</v>
      </c>
      <c r="G672" s="7">
        <v>19.850000000000001</v>
      </c>
      <c r="H672" s="7">
        <v>1039.45</v>
      </c>
      <c r="I672" s="2" t="s">
        <v>15</v>
      </c>
      <c r="J672" s="2" t="s">
        <v>16</v>
      </c>
      <c r="K672" s="2" t="s">
        <v>24</v>
      </c>
      <c r="L672" s="7">
        <v>1039.45</v>
      </c>
      <c r="M672" s="2" t="str">
        <f>_xlfn.IFS(TelecomData[[#This Row],[TenureMonths]]&lt;=12, "0-1 Year", TelecomData[[#This Row],[TenureMonths]]&lt;=36, "1-3 Years", TelecomData[[#This Row],[TenureMonths]]&gt;36, "3+ Years")</f>
        <v>3+ Years</v>
      </c>
      <c r="N672" s="2" t="str">
        <f>IF(TelecomData[[#This Row],[CleanedTotalCharges]]&gt;=2500,"High Spend", "Standard Spend")</f>
        <v>Standard Spend</v>
      </c>
    </row>
    <row r="673" spans="1:14" x14ac:dyDescent="0.3">
      <c r="A673" s="1" t="s">
        <v>697</v>
      </c>
      <c r="B673" s="2" t="s">
        <v>19</v>
      </c>
      <c r="C673" s="2" t="s">
        <v>35</v>
      </c>
      <c r="D673" s="2">
        <v>53</v>
      </c>
      <c r="E673" s="2" t="s">
        <v>15</v>
      </c>
      <c r="F673" s="2" t="s">
        <v>36</v>
      </c>
      <c r="G673" s="7">
        <v>25.55</v>
      </c>
      <c r="H673" s="7">
        <v>1336.1</v>
      </c>
      <c r="I673" s="2" t="s">
        <v>15</v>
      </c>
      <c r="J673" s="2" t="s">
        <v>15</v>
      </c>
      <c r="K673" s="2" t="s">
        <v>29</v>
      </c>
      <c r="L673" s="7">
        <v>1336.1</v>
      </c>
      <c r="M673" s="2" t="str">
        <f>_xlfn.IFS(TelecomData[[#This Row],[TenureMonths]]&lt;=12, "0-1 Year", TelecomData[[#This Row],[TenureMonths]]&lt;=36, "1-3 Years", TelecomData[[#This Row],[TenureMonths]]&gt;36, "3+ Years")</f>
        <v>3+ Years</v>
      </c>
      <c r="N673" s="2" t="str">
        <f>IF(TelecomData[[#This Row],[CleanedTotalCharges]]&gt;=2500,"High Spend", "Standard Spend")</f>
        <v>Standard Spend</v>
      </c>
    </row>
    <row r="674" spans="1:14" x14ac:dyDescent="0.3">
      <c r="A674" s="1" t="s">
        <v>698</v>
      </c>
      <c r="B674" s="2" t="s">
        <v>12</v>
      </c>
      <c r="C674" s="2" t="s">
        <v>13</v>
      </c>
      <c r="D674" s="2">
        <v>1</v>
      </c>
      <c r="E674" s="2" t="s">
        <v>26</v>
      </c>
      <c r="F674" s="2" t="s">
        <v>15</v>
      </c>
      <c r="G674" s="7">
        <v>75.05</v>
      </c>
      <c r="H674" s="7">
        <v>75.05</v>
      </c>
      <c r="I674" s="2" t="s">
        <v>16</v>
      </c>
      <c r="J674" s="2" t="s">
        <v>16</v>
      </c>
      <c r="K674" s="2" t="s">
        <v>21</v>
      </c>
      <c r="L674" s="7">
        <v>75.05</v>
      </c>
      <c r="M674" s="2" t="str">
        <f>_xlfn.IFS(TelecomData[[#This Row],[TenureMonths]]&lt;=12, "0-1 Year", TelecomData[[#This Row],[TenureMonths]]&lt;=36, "1-3 Years", TelecomData[[#This Row],[TenureMonths]]&gt;36, "3+ Years")</f>
        <v>0-1 Year</v>
      </c>
      <c r="N674" s="2" t="str">
        <f>IF(TelecomData[[#This Row],[CleanedTotalCharges]]&gt;=2500,"High Spend", "Standard Spend")</f>
        <v>Standard Spend</v>
      </c>
    </row>
    <row r="675" spans="1:14" x14ac:dyDescent="0.3">
      <c r="A675" s="1" t="s">
        <v>699</v>
      </c>
      <c r="B675" s="2" t="s">
        <v>19</v>
      </c>
      <c r="C675" s="2" t="s">
        <v>13</v>
      </c>
      <c r="D675" s="2">
        <v>22</v>
      </c>
      <c r="E675" s="2" t="s">
        <v>15</v>
      </c>
      <c r="F675" s="2" t="s">
        <v>36</v>
      </c>
      <c r="G675" s="7">
        <v>24.85</v>
      </c>
      <c r="H675" s="7">
        <v>493.4</v>
      </c>
      <c r="I675" s="2" t="s">
        <v>15</v>
      </c>
      <c r="J675" s="2" t="s">
        <v>16</v>
      </c>
      <c r="K675" s="2" t="s">
        <v>29</v>
      </c>
      <c r="L675" s="7">
        <v>493.4</v>
      </c>
      <c r="M675" s="2" t="str">
        <f>_xlfn.IFS(TelecomData[[#This Row],[TenureMonths]]&lt;=12, "0-1 Year", TelecomData[[#This Row],[TenureMonths]]&lt;=36, "1-3 Years", TelecomData[[#This Row],[TenureMonths]]&gt;36, "3+ Years")</f>
        <v>1-3 Years</v>
      </c>
      <c r="N675" s="2" t="str">
        <f>IF(TelecomData[[#This Row],[CleanedTotalCharges]]&gt;=2500,"High Spend", "Standard Spend")</f>
        <v>Standard Spend</v>
      </c>
    </row>
    <row r="676" spans="1:14" x14ac:dyDescent="0.3">
      <c r="A676" s="1" t="s">
        <v>700</v>
      </c>
      <c r="B676" s="2" t="s">
        <v>19</v>
      </c>
      <c r="C676" s="2" t="s">
        <v>13</v>
      </c>
      <c r="D676" s="2">
        <v>52</v>
      </c>
      <c r="E676" s="2" t="s">
        <v>14</v>
      </c>
      <c r="F676" s="2" t="s">
        <v>15</v>
      </c>
      <c r="G676" s="7">
        <v>49.15</v>
      </c>
      <c r="H676" s="7">
        <v>2550.9</v>
      </c>
      <c r="I676" s="2" t="s">
        <v>16</v>
      </c>
      <c r="J676" s="2" t="s">
        <v>16</v>
      </c>
      <c r="K676" s="2" t="s">
        <v>17</v>
      </c>
      <c r="L676" s="7">
        <v>2550.9</v>
      </c>
      <c r="M676" s="2" t="str">
        <f>_xlfn.IFS(TelecomData[[#This Row],[TenureMonths]]&lt;=12, "0-1 Year", TelecomData[[#This Row],[TenureMonths]]&lt;=36, "1-3 Years", TelecomData[[#This Row],[TenureMonths]]&gt;36, "3+ Years")</f>
        <v>3+ Years</v>
      </c>
      <c r="N676" s="2" t="str">
        <f>IF(TelecomData[[#This Row],[CleanedTotalCharges]]&gt;=2500,"High Spend", "Standard Spend")</f>
        <v>High Spend</v>
      </c>
    </row>
    <row r="677" spans="1:14" x14ac:dyDescent="0.3">
      <c r="A677" s="1" t="s">
        <v>701</v>
      </c>
      <c r="B677" s="2" t="s">
        <v>19</v>
      </c>
      <c r="C677" s="2" t="s">
        <v>35</v>
      </c>
      <c r="D677" s="2">
        <v>65</v>
      </c>
      <c r="E677" s="2" t="s">
        <v>26</v>
      </c>
      <c r="F677" s="2" t="s">
        <v>16</v>
      </c>
      <c r="G677" s="7">
        <v>110.35</v>
      </c>
      <c r="H677" s="7">
        <v>7246.15</v>
      </c>
      <c r="I677" s="2" t="s">
        <v>15</v>
      </c>
      <c r="J677" s="2" t="s">
        <v>16</v>
      </c>
      <c r="K677" s="2" t="s">
        <v>17</v>
      </c>
      <c r="L677" s="7">
        <v>7246.15</v>
      </c>
      <c r="M677" s="2" t="str">
        <f>_xlfn.IFS(TelecomData[[#This Row],[TenureMonths]]&lt;=12, "0-1 Year", TelecomData[[#This Row],[TenureMonths]]&lt;=36, "1-3 Years", TelecomData[[#This Row],[TenureMonths]]&gt;36, "3+ Years")</f>
        <v>3+ Years</v>
      </c>
      <c r="N677" s="2" t="str">
        <f>IF(TelecomData[[#This Row],[CleanedTotalCharges]]&gt;=2500,"High Spend", "Standard Spend")</f>
        <v>High Spend</v>
      </c>
    </row>
    <row r="678" spans="1:14" x14ac:dyDescent="0.3">
      <c r="A678" s="1" t="s">
        <v>702</v>
      </c>
      <c r="B678" s="2" t="s">
        <v>12</v>
      </c>
      <c r="C678" s="2" t="s">
        <v>20</v>
      </c>
      <c r="D678" s="2">
        <v>48</v>
      </c>
      <c r="E678" s="2" t="s">
        <v>15</v>
      </c>
      <c r="F678" s="2" t="s">
        <v>36</v>
      </c>
      <c r="G678" s="7">
        <v>24.55</v>
      </c>
      <c r="H678" s="7">
        <v>1203.95</v>
      </c>
      <c r="I678" s="2" t="s">
        <v>15</v>
      </c>
      <c r="J678" s="2" t="s">
        <v>15</v>
      </c>
      <c r="K678" s="2" t="s">
        <v>24</v>
      </c>
      <c r="L678" s="7">
        <v>1203.95</v>
      </c>
      <c r="M678" s="2" t="str">
        <f>_xlfn.IFS(TelecomData[[#This Row],[TenureMonths]]&lt;=12, "0-1 Year", TelecomData[[#This Row],[TenureMonths]]&lt;=36, "1-3 Years", TelecomData[[#This Row],[TenureMonths]]&gt;36, "3+ Years")</f>
        <v>3+ Years</v>
      </c>
      <c r="N678" s="2" t="str">
        <f>IF(TelecomData[[#This Row],[CleanedTotalCharges]]&gt;=2500,"High Spend", "Standard Spend")</f>
        <v>Standard Spend</v>
      </c>
    </row>
    <row r="679" spans="1:14" x14ac:dyDescent="0.3">
      <c r="A679" s="1" t="s">
        <v>703</v>
      </c>
      <c r="B679" s="2" t="s">
        <v>12</v>
      </c>
      <c r="C679" s="2" t="s">
        <v>13</v>
      </c>
      <c r="D679" s="2">
        <v>2</v>
      </c>
      <c r="E679" s="2" t="s">
        <v>14</v>
      </c>
      <c r="F679" s="2" t="s">
        <v>15</v>
      </c>
      <c r="G679" s="7">
        <v>34.700000000000003</v>
      </c>
      <c r="H679" s="7">
        <v>62.25</v>
      </c>
      <c r="I679" s="2" t="s">
        <v>16</v>
      </c>
      <c r="J679" s="2" t="s">
        <v>16</v>
      </c>
      <c r="K679" s="2" t="s">
        <v>17</v>
      </c>
      <c r="L679" s="7">
        <v>62.25</v>
      </c>
      <c r="M679" s="2" t="str">
        <f>_xlfn.IFS(TelecomData[[#This Row],[TenureMonths]]&lt;=12, "0-1 Year", TelecomData[[#This Row],[TenureMonths]]&lt;=36, "1-3 Years", TelecomData[[#This Row],[TenureMonths]]&gt;36, "3+ Years")</f>
        <v>0-1 Year</v>
      </c>
      <c r="N679" s="2" t="str">
        <f>IF(TelecomData[[#This Row],[CleanedTotalCharges]]&gt;=2500,"High Spend", "Standard Spend")</f>
        <v>Standard Spend</v>
      </c>
    </row>
    <row r="680" spans="1:14" x14ac:dyDescent="0.3">
      <c r="A680" s="1" t="s">
        <v>704</v>
      </c>
      <c r="B680" s="2" t="s">
        <v>19</v>
      </c>
      <c r="C680" s="2" t="s">
        <v>13</v>
      </c>
      <c r="D680" s="2">
        <v>3</v>
      </c>
      <c r="E680" s="2" t="s">
        <v>26</v>
      </c>
      <c r="F680" s="2" t="s">
        <v>15</v>
      </c>
      <c r="G680" s="7">
        <v>107.95</v>
      </c>
      <c r="H680" s="7">
        <v>313.60000000000002</v>
      </c>
      <c r="I680" s="2" t="s">
        <v>15</v>
      </c>
      <c r="J680" s="2" t="s">
        <v>15</v>
      </c>
      <c r="K680" s="2" t="s">
        <v>21</v>
      </c>
      <c r="L680" s="7">
        <v>313.60000000000002</v>
      </c>
      <c r="M680" s="2" t="str">
        <f>_xlfn.IFS(TelecomData[[#This Row],[TenureMonths]]&lt;=12, "0-1 Year", TelecomData[[#This Row],[TenureMonths]]&lt;=36, "1-3 Years", TelecomData[[#This Row],[TenureMonths]]&gt;36, "3+ Years")</f>
        <v>0-1 Year</v>
      </c>
      <c r="N680" s="2" t="str">
        <f>IF(TelecomData[[#This Row],[CleanedTotalCharges]]&gt;=2500,"High Spend", "Standard Spend")</f>
        <v>Standard Spend</v>
      </c>
    </row>
    <row r="681" spans="1:14" x14ac:dyDescent="0.3">
      <c r="A681" s="1" t="s">
        <v>705</v>
      </c>
      <c r="B681" s="2" t="s">
        <v>19</v>
      </c>
      <c r="C681" s="2" t="s">
        <v>13</v>
      </c>
      <c r="D681" s="2">
        <v>45</v>
      </c>
      <c r="E681" s="2" t="s">
        <v>26</v>
      </c>
      <c r="F681" s="2" t="s">
        <v>15</v>
      </c>
      <c r="G681" s="7">
        <v>81.400000000000006</v>
      </c>
      <c r="H681" s="7">
        <v>3775.85</v>
      </c>
      <c r="I681" s="2" t="s">
        <v>15</v>
      </c>
      <c r="J681" s="2" t="s">
        <v>15</v>
      </c>
      <c r="K681" s="2" t="s">
        <v>24</v>
      </c>
      <c r="L681" s="7">
        <v>3775.85</v>
      </c>
      <c r="M681" s="2" t="str">
        <f>_xlfn.IFS(TelecomData[[#This Row],[TenureMonths]]&lt;=12, "0-1 Year", TelecomData[[#This Row],[TenureMonths]]&lt;=36, "1-3 Years", TelecomData[[#This Row],[TenureMonths]]&gt;36, "3+ Years")</f>
        <v>3+ Years</v>
      </c>
      <c r="N681" s="2" t="str">
        <f>IF(TelecomData[[#This Row],[CleanedTotalCharges]]&gt;=2500,"High Spend", "Standard Spend")</f>
        <v>High Spend</v>
      </c>
    </row>
    <row r="682" spans="1:14" x14ac:dyDescent="0.3">
      <c r="A682" s="1" t="s">
        <v>706</v>
      </c>
      <c r="B682" s="2" t="s">
        <v>19</v>
      </c>
      <c r="C682" s="2" t="s">
        <v>13</v>
      </c>
      <c r="D682" s="2">
        <v>1</v>
      </c>
      <c r="E682" s="2" t="s">
        <v>26</v>
      </c>
      <c r="F682" s="2" t="s">
        <v>15</v>
      </c>
      <c r="G682" s="7">
        <v>80</v>
      </c>
      <c r="H682" s="7">
        <v>80</v>
      </c>
      <c r="I682" s="2" t="s">
        <v>16</v>
      </c>
      <c r="J682" s="2" t="s">
        <v>15</v>
      </c>
      <c r="K682" s="2" t="s">
        <v>17</v>
      </c>
      <c r="L682" s="7">
        <v>80</v>
      </c>
      <c r="M682" s="2" t="str">
        <f>_xlfn.IFS(TelecomData[[#This Row],[TenureMonths]]&lt;=12, "0-1 Year", TelecomData[[#This Row],[TenureMonths]]&lt;=36, "1-3 Years", TelecomData[[#This Row],[TenureMonths]]&gt;36, "3+ Years")</f>
        <v>0-1 Year</v>
      </c>
      <c r="N682" s="2" t="str">
        <f>IF(TelecomData[[#This Row],[CleanedTotalCharges]]&gt;=2500,"High Spend", "Standard Spend")</f>
        <v>Standard Spend</v>
      </c>
    </row>
    <row r="683" spans="1:14" x14ac:dyDescent="0.3">
      <c r="A683" s="1" t="s">
        <v>707</v>
      </c>
      <c r="B683" s="2" t="s">
        <v>12</v>
      </c>
      <c r="C683" s="2" t="s">
        <v>35</v>
      </c>
      <c r="D683" s="2">
        <v>61</v>
      </c>
      <c r="E683" s="2" t="s">
        <v>14</v>
      </c>
      <c r="F683" s="2" t="s">
        <v>16</v>
      </c>
      <c r="G683" s="7">
        <v>73.8</v>
      </c>
      <c r="H683" s="7">
        <v>4616.05</v>
      </c>
      <c r="I683" s="2" t="s">
        <v>15</v>
      </c>
      <c r="J683" s="2" t="s">
        <v>16</v>
      </c>
      <c r="K683" s="2" t="s">
        <v>24</v>
      </c>
      <c r="L683" s="7">
        <v>4616.05</v>
      </c>
      <c r="M683" s="2" t="str">
        <f>_xlfn.IFS(TelecomData[[#This Row],[TenureMonths]]&lt;=12, "0-1 Year", TelecomData[[#This Row],[TenureMonths]]&lt;=36, "1-3 Years", TelecomData[[#This Row],[TenureMonths]]&gt;36, "3+ Years")</f>
        <v>3+ Years</v>
      </c>
      <c r="N683" s="2" t="str">
        <f>IF(TelecomData[[#This Row],[CleanedTotalCharges]]&gt;=2500,"High Spend", "Standard Spend")</f>
        <v>High Spend</v>
      </c>
    </row>
    <row r="684" spans="1:14" x14ac:dyDescent="0.3">
      <c r="A684" s="1" t="s">
        <v>708</v>
      </c>
      <c r="B684" s="2" t="s">
        <v>19</v>
      </c>
      <c r="C684" s="2" t="s">
        <v>13</v>
      </c>
      <c r="D684" s="2">
        <v>3</v>
      </c>
      <c r="E684" s="2" t="s">
        <v>14</v>
      </c>
      <c r="F684" s="2" t="s">
        <v>16</v>
      </c>
      <c r="G684" s="7">
        <v>64.400000000000006</v>
      </c>
      <c r="H684" s="7">
        <v>195.65</v>
      </c>
      <c r="I684" s="2" t="s">
        <v>15</v>
      </c>
      <c r="J684" s="2" t="s">
        <v>16</v>
      </c>
      <c r="K684" s="2" t="s">
        <v>29</v>
      </c>
      <c r="L684" s="7">
        <v>195.65</v>
      </c>
      <c r="M684" s="2" t="str">
        <f>_xlfn.IFS(TelecomData[[#This Row],[TenureMonths]]&lt;=12, "0-1 Year", TelecomData[[#This Row],[TenureMonths]]&lt;=36, "1-3 Years", TelecomData[[#This Row],[TenureMonths]]&gt;36, "3+ Years")</f>
        <v>0-1 Year</v>
      </c>
      <c r="N684" s="2" t="str">
        <f>IF(TelecomData[[#This Row],[CleanedTotalCharges]]&gt;=2500,"High Spend", "Standard Spend")</f>
        <v>Standard Spend</v>
      </c>
    </row>
    <row r="685" spans="1:14" x14ac:dyDescent="0.3">
      <c r="A685" s="1" t="s">
        <v>709</v>
      </c>
      <c r="B685" s="2" t="s">
        <v>12</v>
      </c>
      <c r="C685" s="2" t="s">
        <v>20</v>
      </c>
      <c r="D685" s="2">
        <v>40</v>
      </c>
      <c r="E685" s="2" t="s">
        <v>26</v>
      </c>
      <c r="F685" s="2" t="s">
        <v>16</v>
      </c>
      <c r="G685" s="7">
        <v>103.75</v>
      </c>
      <c r="H685" s="7">
        <v>4188.3999999999996</v>
      </c>
      <c r="I685" s="2" t="s">
        <v>15</v>
      </c>
      <c r="J685" s="2" t="s">
        <v>16</v>
      </c>
      <c r="K685" s="2" t="s">
        <v>29</v>
      </c>
      <c r="L685" s="7">
        <v>4188.3999999999996</v>
      </c>
      <c r="M685" s="2" t="str">
        <f>_xlfn.IFS(TelecomData[[#This Row],[TenureMonths]]&lt;=12, "0-1 Year", TelecomData[[#This Row],[TenureMonths]]&lt;=36, "1-3 Years", TelecomData[[#This Row],[TenureMonths]]&gt;36, "3+ Years")</f>
        <v>3+ Years</v>
      </c>
      <c r="N685" s="2" t="str">
        <f>IF(TelecomData[[#This Row],[CleanedTotalCharges]]&gt;=2500,"High Spend", "Standard Spend")</f>
        <v>High Spend</v>
      </c>
    </row>
    <row r="686" spans="1:14" x14ac:dyDescent="0.3">
      <c r="A686" s="1" t="s">
        <v>710</v>
      </c>
      <c r="B686" s="2" t="s">
        <v>12</v>
      </c>
      <c r="C686" s="2" t="s">
        <v>13</v>
      </c>
      <c r="D686" s="2">
        <v>1</v>
      </c>
      <c r="E686" s="2" t="s">
        <v>26</v>
      </c>
      <c r="F686" s="2" t="s">
        <v>15</v>
      </c>
      <c r="G686" s="7">
        <v>71.099999999999994</v>
      </c>
      <c r="H686" s="7">
        <v>71.099999999999994</v>
      </c>
      <c r="I686" s="2" t="s">
        <v>15</v>
      </c>
      <c r="J686" s="2" t="s">
        <v>15</v>
      </c>
      <c r="K686" s="2" t="s">
        <v>21</v>
      </c>
      <c r="L686" s="7">
        <v>71.099999999999994</v>
      </c>
      <c r="M686" s="2" t="str">
        <f>_xlfn.IFS(TelecomData[[#This Row],[TenureMonths]]&lt;=12, "0-1 Year", TelecomData[[#This Row],[TenureMonths]]&lt;=36, "1-3 Years", TelecomData[[#This Row],[TenureMonths]]&gt;36, "3+ Years")</f>
        <v>0-1 Year</v>
      </c>
      <c r="N686" s="2" t="str">
        <f>IF(TelecomData[[#This Row],[CleanedTotalCharges]]&gt;=2500,"High Spend", "Standard Spend")</f>
        <v>Standard Spend</v>
      </c>
    </row>
    <row r="687" spans="1:14" x14ac:dyDescent="0.3">
      <c r="A687" s="1" t="s">
        <v>711</v>
      </c>
      <c r="B687" s="2" t="s">
        <v>12</v>
      </c>
      <c r="C687" s="2" t="s">
        <v>13</v>
      </c>
      <c r="D687" s="2">
        <v>1</v>
      </c>
      <c r="E687" s="2" t="s">
        <v>14</v>
      </c>
      <c r="F687" s="2" t="s">
        <v>16</v>
      </c>
      <c r="G687" s="7">
        <v>49.9</v>
      </c>
      <c r="H687" s="7">
        <v>49.9</v>
      </c>
      <c r="I687" s="2" t="s">
        <v>15</v>
      </c>
      <c r="J687" s="2" t="s">
        <v>16</v>
      </c>
      <c r="K687" s="2" t="s">
        <v>17</v>
      </c>
      <c r="L687" s="7">
        <v>49.9</v>
      </c>
      <c r="M687" s="2" t="str">
        <f>_xlfn.IFS(TelecomData[[#This Row],[TenureMonths]]&lt;=12, "0-1 Year", TelecomData[[#This Row],[TenureMonths]]&lt;=36, "1-3 Years", TelecomData[[#This Row],[TenureMonths]]&gt;36, "3+ Years")</f>
        <v>0-1 Year</v>
      </c>
      <c r="N687" s="2" t="str">
        <f>IF(TelecomData[[#This Row],[CleanedTotalCharges]]&gt;=2500,"High Spend", "Standard Spend")</f>
        <v>Standard Spend</v>
      </c>
    </row>
    <row r="688" spans="1:14" x14ac:dyDescent="0.3">
      <c r="A688" s="1" t="s">
        <v>712</v>
      </c>
      <c r="B688" s="2" t="s">
        <v>19</v>
      </c>
      <c r="C688" s="2" t="s">
        <v>20</v>
      </c>
      <c r="D688" s="2">
        <v>51</v>
      </c>
      <c r="E688" s="2" t="s">
        <v>15</v>
      </c>
      <c r="F688" s="2" t="s">
        <v>36</v>
      </c>
      <c r="G688" s="7">
        <v>24.6</v>
      </c>
      <c r="H688" s="7">
        <v>1266.4000000000001</v>
      </c>
      <c r="I688" s="2" t="s">
        <v>15</v>
      </c>
      <c r="J688" s="2" t="s">
        <v>16</v>
      </c>
      <c r="K688" s="2" t="s">
        <v>24</v>
      </c>
      <c r="L688" s="7">
        <v>1266.4000000000001</v>
      </c>
      <c r="M688" s="2" t="str">
        <f>_xlfn.IFS(TelecomData[[#This Row],[TenureMonths]]&lt;=12, "0-1 Year", TelecomData[[#This Row],[TenureMonths]]&lt;=36, "1-3 Years", TelecomData[[#This Row],[TenureMonths]]&gt;36, "3+ Years")</f>
        <v>3+ Years</v>
      </c>
      <c r="N688" s="2" t="str">
        <f>IF(TelecomData[[#This Row],[CleanedTotalCharges]]&gt;=2500,"High Spend", "Standard Spend")</f>
        <v>Standard Spend</v>
      </c>
    </row>
    <row r="689" spans="1:14" x14ac:dyDescent="0.3">
      <c r="A689" s="1" t="s">
        <v>713</v>
      </c>
      <c r="B689" s="2" t="s">
        <v>19</v>
      </c>
      <c r="C689" s="2" t="s">
        <v>13</v>
      </c>
      <c r="D689" s="2">
        <v>2</v>
      </c>
      <c r="E689" s="2" t="s">
        <v>14</v>
      </c>
      <c r="F689" s="2" t="s">
        <v>15</v>
      </c>
      <c r="G689" s="7">
        <v>49.25</v>
      </c>
      <c r="H689" s="7">
        <v>91.1</v>
      </c>
      <c r="I689" s="2" t="s">
        <v>16</v>
      </c>
      <c r="J689" s="2" t="s">
        <v>16</v>
      </c>
      <c r="K689" s="2" t="s">
        <v>17</v>
      </c>
      <c r="L689" s="7">
        <v>91.1</v>
      </c>
      <c r="M689" s="2" t="str">
        <f>_xlfn.IFS(TelecomData[[#This Row],[TenureMonths]]&lt;=12, "0-1 Year", TelecomData[[#This Row],[TenureMonths]]&lt;=36, "1-3 Years", TelecomData[[#This Row],[TenureMonths]]&gt;36, "3+ Years")</f>
        <v>0-1 Year</v>
      </c>
      <c r="N689" s="2" t="str">
        <f>IF(TelecomData[[#This Row],[CleanedTotalCharges]]&gt;=2500,"High Spend", "Standard Spend")</f>
        <v>Standard Spend</v>
      </c>
    </row>
    <row r="690" spans="1:14" x14ac:dyDescent="0.3">
      <c r="A690" s="1" t="s">
        <v>714</v>
      </c>
      <c r="B690" s="2" t="s">
        <v>19</v>
      </c>
      <c r="C690" s="2" t="s">
        <v>20</v>
      </c>
      <c r="D690" s="2">
        <v>52</v>
      </c>
      <c r="E690" s="2" t="s">
        <v>14</v>
      </c>
      <c r="F690" s="2" t="s">
        <v>15</v>
      </c>
      <c r="G690" s="7">
        <v>30.1</v>
      </c>
      <c r="H690" s="7">
        <v>1623.4</v>
      </c>
      <c r="I690" s="2" t="s">
        <v>15</v>
      </c>
      <c r="J690" s="2" t="s">
        <v>15</v>
      </c>
      <c r="K690" s="2" t="s">
        <v>21</v>
      </c>
      <c r="L690" s="7">
        <v>1623.4</v>
      </c>
      <c r="M690" s="2" t="str">
        <f>_xlfn.IFS(TelecomData[[#This Row],[TenureMonths]]&lt;=12, "0-1 Year", TelecomData[[#This Row],[TenureMonths]]&lt;=36, "1-3 Years", TelecomData[[#This Row],[TenureMonths]]&gt;36, "3+ Years")</f>
        <v>3+ Years</v>
      </c>
      <c r="N690" s="2" t="str">
        <f>IF(TelecomData[[#This Row],[CleanedTotalCharges]]&gt;=2500,"High Spend", "Standard Spend")</f>
        <v>Standard Spend</v>
      </c>
    </row>
    <row r="691" spans="1:14" x14ac:dyDescent="0.3">
      <c r="A691" s="1" t="s">
        <v>715</v>
      </c>
      <c r="B691" s="2" t="s">
        <v>19</v>
      </c>
      <c r="C691" s="2" t="s">
        <v>13</v>
      </c>
      <c r="D691" s="2">
        <v>51</v>
      </c>
      <c r="E691" s="2" t="s">
        <v>26</v>
      </c>
      <c r="F691" s="2" t="s">
        <v>15</v>
      </c>
      <c r="G691" s="7">
        <v>83.4</v>
      </c>
      <c r="H691" s="7">
        <v>4149.45</v>
      </c>
      <c r="I691" s="2" t="s">
        <v>15</v>
      </c>
      <c r="J691" s="2" t="s">
        <v>15</v>
      </c>
      <c r="K691" s="2" t="s">
        <v>24</v>
      </c>
      <c r="L691" s="7">
        <v>4149.45</v>
      </c>
      <c r="M691" s="2" t="str">
        <f>_xlfn.IFS(TelecomData[[#This Row],[TenureMonths]]&lt;=12, "0-1 Year", TelecomData[[#This Row],[TenureMonths]]&lt;=36, "1-3 Years", TelecomData[[#This Row],[TenureMonths]]&gt;36, "3+ Years")</f>
        <v>3+ Years</v>
      </c>
      <c r="N691" s="2" t="str">
        <f>IF(TelecomData[[#This Row],[CleanedTotalCharges]]&gt;=2500,"High Spend", "Standard Spend")</f>
        <v>High Spend</v>
      </c>
    </row>
    <row r="692" spans="1:14" x14ac:dyDescent="0.3">
      <c r="A692" s="1" t="s">
        <v>716</v>
      </c>
      <c r="B692" s="2" t="s">
        <v>19</v>
      </c>
      <c r="C692" s="2" t="s">
        <v>13</v>
      </c>
      <c r="D692" s="2">
        <v>1</v>
      </c>
      <c r="E692" s="2" t="s">
        <v>15</v>
      </c>
      <c r="F692" s="2" t="s">
        <v>36</v>
      </c>
      <c r="G692" s="7">
        <v>20.45</v>
      </c>
      <c r="H692" s="7">
        <v>20.45</v>
      </c>
      <c r="I692" s="2" t="s">
        <v>15</v>
      </c>
      <c r="J692" s="2" t="s">
        <v>16</v>
      </c>
      <c r="K692" s="2" t="s">
        <v>21</v>
      </c>
      <c r="L692" s="7">
        <v>20.45</v>
      </c>
      <c r="M692" s="2" t="str">
        <f>_xlfn.IFS(TelecomData[[#This Row],[TenureMonths]]&lt;=12, "0-1 Year", TelecomData[[#This Row],[TenureMonths]]&lt;=36, "1-3 Years", TelecomData[[#This Row],[TenureMonths]]&gt;36, "3+ Years")</f>
        <v>0-1 Year</v>
      </c>
      <c r="N692" s="2" t="str">
        <f>IF(TelecomData[[#This Row],[CleanedTotalCharges]]&gt;=2500,"High Spend", "Standard Spend")</f>
        <v>Standard Spend</v>
      </c>
    </row>
    <row r="693" spans="1:14" x14ac:dyDescent="0.3">
      <c r="A693" s="1" t="s">
        <v>717</v>
      </c>
      <c r="B693" s="2" t="s">
        <v>19</v>
      </c>
      <c r="C693" s="2" t="s">
        <v>20</v>
      </c>
      <c r="D693" s="2">
        <v>31</v>
      </c>
      <c r="E693" s="2" t="s">
        <v>14</v>
      </c>
      <c r="F693" s="2" t="s">
        <v>16</v>
      </c>
      <c r="G693" s="7">
        <v>75.25</v>
      </c>
      <c r="H693" s="7">
        <v>2344.5</v>
      </c>
      <c r="I693" s="2" t="s">
        <v>15</v>
      </c>
      <c r="J693" s="2" t="s">
        <v>16</v>
      </c>
      <c r="K693" s="2" t="s">
        <v>24</v>
      </c>
      <c r="L693" s="7">
        <v>2344.5</v>
      </c>
      <c r="M693" s="2" t="str">
        <f>_xlfn.IFS(TelecomData[[#This Row],[TenureMonths]]&lt;=12, "0-1 Year", TelecomData[[#This Row],[TenureMonths]]&lt;=36, "1-3 Years", TelecomData[[#This Row],[TenureMonths]]&gt;36, "3+ Years")</f>
        <v>1-3 Years</v>
      </c>
      <c r="N693" s="2" t="str">
        <f>IF(TelecomData[[#This Row],[CleanedTotalCharges]]&gt;=2500,"High Spend", "Standard Spend")</f>
        <v>Standard Spend</v>
      </c>
    </row>
    <row r="694" spans="1:14" x14ac:dyDescent="0.3">
      <c r="A694" s="1" t="s">
        <v>718</v>
      </c>
      <c r="B694" s="2" t="s">
        <v>19</v>
      </c>
      <c r="C694" s="2" t="s">
        <v>20</v>
      </c>
      <c r="D694" s="2">
        <v>47</v>
      </c>
      <c r="E694" s="2" t="s">
        <v>15</v>
      </c>
      <c r="F694" s="2" t="s">
        <v>36</v>
      </c>
      <c r="G694" s="7">
        <v>20.55</v>
      </c>
      <c r="H694" s="7">
        <v>1013.05</v>
      </c>
      <c r="I694" s="2" t="s">
        <v>15</v>
      </c>
      <c r="J694" s="2" t="s">
        <v>15</v>
      </c>
      <c r="K694" s="2" t="s">
        <v>29</v>
      </c>
      <c r="L694" s="7">
        <v>1013.05</v>
      </c>
      <c r="M694" s="2" t="str">
        <f>_xlfn.IFS(TelecomData[[#This Row],[TenureMonths]]&lt;=12, "0-1 Year", TelecomData[[#This Row],[TenureMonths]]&lt;=36, "1-3 Years", TelecomData[[#This Row],[TenureMonths]]&gt;36, "3+ Years")</f>
        <v>3+ Years</v>
      </c>
      <c r="N694" s="2" t="str">
        <f>IF(TelecomData[[#This Row],[CleanedTotalCharges]]&gt;=2500,"High Spend", "Standard Spend")</f>
        <v>Standard Spend</v>
      </c>
    </row>
    <row r="695" spans="1:14" x14ac:dyDescent="0.3">
      <c r="A695" s="1" t="s">
        <v>719</v>
      </c>
      <c r="B695" s="2" t="s">
        <v>12</v>
      </c>
      <c r="C695" s="2" t="s">
        <v>13</v>
      </c>
      <c r="D695" s="2">
        <v>3</v>
      </c>
      <c r="E695" s="2" t="s">
        <v>26</v>
      </c>
      <c r="F695" s="2" t="s">
        <v>15</v>
      </c>
      <c r="G695" s="7">
        <v>75.099999999999994</v>
      </c>
      <c r="H695" s="7">
        <v>270.7</v>
      </c>
      <c r="I695" s="2" t="s">
        <v>16</v>
      </c>
      <c r="J695" s="2" t="s">
        <v>16</v>
      </c>
      <c r="K695" s="2" t="s">
        <v>29</v>
      </c>
      <c r="L695" s="7">
        <v>270.7</v>
      </c>
      <c r="M695" s="2" t="str">
        <f>_xlfn.IFS(TelecomData[[#This Row],[TenureMonths]]&lt;=12, "0-1 Year", TelecomData[[#This Row],[TenureMonths]]&lt;=36, "1-3 Years", TelecomData[[#This Row],[TenureMonths]]&gt;36, "3+ Years")</f>
        <v>0-1 Year</v>
      </c>
      <c r="N695" s="2" t="str">
        <f>IF(TelecomData[[#This Row],[CleanedTotalCharges]]&gt;=2500,"High Spend", "Standard Spend")</f>
        <v>Standard Spend</v>
      </c>
    </row>
    <row r="696" spans="1:14" x14ac:dyDescent="0.3">
      <c r="A696" s="1" t="s">
        <v>720</v>
      </c>
      <c r="B696" s="2" t="s">
        <v>12</v>
      </c>
      <c r="C696" s="2" t="s">
        <v>20</v>
      </c>
      <c r="D696" s="2">
        <v>22</v>
      </c>
      <c r="E696" s="2" t="s">
        <v>15</v>
      </c>
      <c r="F696" s="2" t="s">
        <v>36</v>
      </c>
      <c r="G696" s="7">
        <v>20.05</v>
      </c>
      <c r="H696" s="7">
        <v>417</v>
      </c>
      <c r="I696" s="2" t="s">
        <v>15</v>
      </c>
      <c r="J696" s="2" t="s">
        <v>16</v>
      </c>
      <c r="K696" s="2" t="s">
        <v>21</v>
      </c>
      <c r="L696" s="7">
        <v>417</v>
      </c>
      <c r="M696" s="2" t="str">
        <f>_xlfn.IFS(TelecomData[[#This Row],[TenureMonths]]&lt;=12, "0-1 Year", TelecomData[[#This Row],[TenureMonths]]&lt;=36, "1-3 Years", TelecomData[[#This Row],[TenureMonths]]&gt;36, "3+ Years")</f>
        <v>1-3 Years</v>
      </c>
      <c r="N696" s="2" t="str">
        <f>IF(TelecomData[[#This Row],[CleanedTotalCharges]]&gt;=2500,"High Spend", "Standard Spend")</f>
        <v>Standard Spend</v>
      </c>
    </row>
    <row r="697" spans="1:14" x14ac:dyDescent="0.3">
      <c r="A697" s="1" t="s">
        <v>721</v>
      </c>
      <c r="B697" s="2" t="s">
        <v>12</v>
      </c>
      <c r="C697" s="2" t="s">
        <v>13</v>
      </c>
      <c r="D697" s="2">
        <v>1</v>
      </c>
      <c r="E697" s="2" t="s">
        <v>15</v>
      </c>
      <c r="F697" s="2" t="s">
        <v>36</v>
      </c>
      <c r="G697" s="7">
        <v>20.65</v>
      </c>
      <c r="H697" s="7">
        <v>20.65</v>
      </c>
      <c r="I697" s="2" t="s">
        <v>15</v>
      </c>
      <c r="J697" s="2" t="s">
        <v>16</v>
      </c>
      <c r="K697" s="2" t="s">
        <v>21</v>
      </c>
      <c r="L697" s="7">
        <v>20.65</v>
      </c>
      <c r="M697" s="2" t="str">
        <f>_xlfn.IFS(TelecomData[[#This Row],[TenureMonths]]&lt;=12, "0-1 Year", TelecomData[[#This Row],[TenureMonths]]&lt;=36, "1-3 Years", TelecomData[[#This Row],[TenureMonths]]&gt;36, "3+ Years")</f>
        <v>0-1 Year</v>
      </c>
      <c r="N697" s="2" t="str">
        <f>IF(TelecomData[[#This Row],[CleanedTotalCharges]]&gt;=2500,"High Spend", "Standard Spend")</f>
        <v>Standard Spend</v>
      </c>
    </row>
    <row r="698" spans="1:14" x14ac:dyDescent="0.3">
      <c r="A698" s="1" t="s">
        <v>722</v>
      </c>
      <c r="B698" s="2" t="s">
        <v>19</v>
      </c>
      <c r="C698" s="2" t="s">
        <v>35</v>
      </c>
      <c r="D698" s="2">
        <v>72</v>
      </c>
      <c r="E698" s="2" t="s">
        <v>14</v>
      </c>
      <c r="F698" s="2" t="s">
        <v>16</v>
      </c>
      <c r="G698" s="7">
        <v>85.15</v>
      </c>
      <c r="H698" s="7">
        <v>6316.2</v>
      </c>
      <c r="I698" s="2" t="s">
        <v>15</v>
      </c>
      <c r="J698" s="2" t="s">
        <v>16</v>
      </c>
      <c r="K698" s="2" t="s">
        <v>24</v>
      </c>
      <c r="L698" s="7">
        <v>6316.2</v>
      </c>
      <c r="M698" s="2" t="str">
        <f>_xlfn.IFS(TelecomData[[#This Row],[TenureMonths]]&lt;=12, "0-1 Year", TelecomData[[#This Row],[TenureMonths]]&lt;=36, "1-3 Years", TelecomData[[#This Row],[TenureMonths]]&gt;36, "3+ Years")</f>
        <v>3+ Years</v>
      </c>
      <c r="N698" s="2" t="str">
        <f>IF(TelecomData[[#This Row],[CleanedTotalCharges]]&gt;=2500,"High Spend", "Standard Spend")</f>
        <v>High Spend</v>
      </c>
    </row>
    <row r="699" spans="1:14" x14ac:dyDescent="0.3">
      <c r="A699" s="1" t="s">
        <v>723</v>
      </c>
      <c r="B699" s="2" t="s">
        <v>19</v>
      </c>
      <c r="C699" s="2" t="s">
        <v>13</v>
      </c>
      <c r="D699" s="2">
        <v>3</v>
      </c>
      <c r="E699" s="2" t="s">
        <v>14</v>
      </c>
      <c r="F699" s="2" t="s">
        <v>15</v>
      </c>
      <c r="G699" s="7">
        <v>50.15</v>
      </c>
      <c r="H699" s="7">
        <v>168.15</v>
      </c>
      <c r="I699" s="2" t="s">
        <v>16</v>
      </c>
      <c r="J699" s="2" t="s">
        <v>16</v>
      </c>
      <c r="K699" s="2" t="s">
        <v>17</v>
      </c>
      <c r="L699" s="7">
        <v>168.15</v>
      </c>
      <c r="M699" s="2" t="str">
        <f>_xlfn.IFS(TelecomData[[#This Row],[TenureMonths]]&lt;=12, "0-1 Year", TelecomData[[#This Row],[TenureMonths]]&lt;=36, "1-3 Years", TelecomData[[#This Row],[TenureMonths]]&gt;36, "3+ Years")</f>
        <v>0-1 Year</v>
      </c>
      <c r="N699" s="2" t="str">
        <f>IF(TelecomData[[#This Row],[CleanedTotalCharges]]&gt;=2500,"High Spend", "Standard Spend")</f>
        <v>Standard Spend</v>
      </c>
    </row>
    <row r="700" spans="1:14" x14ac:dyDescent="0.3">
      <c r="A700" s="1" t="s">
        <v>724</v>
      </c>
      <c r="B700" s="2" t="s">
        <v>19</v>
      </c>
      <c r="C700" s="2" t="s">
        <v>20</v>
      </c>
      <c r="D700" s="2">
        <v>47</v>
      </c>
      <c r="E700" s="2" t="s">
        <v>26</v>
      </c>
      <c r="F700" s="2" t="s">
        <v>15</v>
      </c>
      <c r="G700" s="7">
        <v>84.95</v>
      </c>
      <c r="H700" s="7">
        <v>4018.05</v>
      </c>
      <c r="I700" s="2" t="s">
        <v>15</v>
      </c>
      <c r="J700" s="2" t="s">
        <v>16</v>
      </c>
      <c r="K700" s="2" t="s">
        <v>24</v>
      </c>
      <c r="L700" s="7">
        <v>4018.05</v>
      </c>
      <c r="M700" s="2" t="str">
        <f>_xlfn.IFS(TelecomData[[#This Row],[TenureMonths]]&lt;=12, "0-1 Year", TelecomData[[#This Row],[TenureMonths]]&lt;=36, "1-3 Years", TelecomData[[#This Row],[TenureMonths]]&gt;36, "3+ Years")</f>
        <v>3+ Years</v>
      </c>
      <c r="N700" s="2" t="str">
        <f>IF(TelecomData[[#This Row],[CleanedTotalCharges]]&gt;=2500,"High Spend", "Standard Spend")</f>
        <v>High Spend</v>
      </c>
    </row>
    <row r="701" spans="1:14" x14ac:dyDescent="0.3">
      <c r="A701" s="1" t="s">
        <v>725</v>
      </c>
      <c r="B701" s="2" t="s">
        <v>19</v>
      </c>
      <c r="C701" s="2" t="s">
        <v>35</v>
      </c>
      <c r="D701" s="2">
        <v>72</v>
      </c>
      <c r="E701" s="2" t="s">
        <v>14</v>
      </c>
      <c r="F701" s="2" t="s">
        <v>16</v>
      </c>
      <c r="G701" s="7">
        <v>66.5</v>
      </c>
      <c r="H701" s="7">
        <v>4811.6000000000004</v>
      </c>
      <c r="I701" s="2" t="s">
        <v>15</v>
      </c>
      <c r="J701" s="2" t="s">
        <v>16</v>
      </c>
      <c r="K701" s="2" t="s">
        <v>29</v>
      </c>
      <c r="L701" s="7">
        <v>4811.6000000000004</v>
      </c>
      <c r="M701" s="2" t="str">
        <f>_xlfn.IFS(TelecomData[[#This Row],[TenureMonths]]&lt;=12, "0-1 Year", TelecomData[[#This Row],[TenureMonths]]&lt;=36, "1-3 Years", TelecomData[[#This Row],[TenureMonths]]&gt;36, "3+ Years")</f>
        <v>3+ Years</v>
      </c>
      <c r="N701" s="2" t="str">
        <f>IF(TelecomData[[#This Row],[CleanedTotalCharges]]&gt;=2500,"High Spend", "Standard Spend")</f>
        <v>High Spend</v>
      </c>
    </row>
    <row r="702" spans="1:14" x14ac:dyDescent="0.3">
      <c r="A702" s="1" t="s">
        <v>726</v>
      </c>
      <c r="B702" s="2" t="s">
        <v>19</v>
      </c>
      <c r="C702" s="2" t="s">
        <v>35</v>
      </c>
      <c r="D702" s="2">
        <v>66</v>
      </c>
      <c r="E702" s="2" t="s">
        <v>14</v>
      </c>
      <c r="F702" s="2" t="s">
        <v>15</v>
      </c>
      <c r="G702" s="7">
        <v>63.3</v>
      </c>
      <c r="H702" s="7">
        <v>4189.7</v>
      </c>
      <c r="I702" s="2" t="s">
        <v>15</v>
      </c>
      <c r="J702" s="2" t="s">
        <v>16</v>
      </c>
      <c r="K702" s="2" t="s">
        <v>24</v>
      </c>
      <c r="L702" s="7">
        <v>4189.7</v>
      </c>
      <c r="M702" s="2" t="str">
        <f>_xlfn.IFS(TelecomData[[#This Row],[TenureMonths]]&lt;=12, "0-1 Year", TelecomData[[#This Row],[TenureMonths]]&lt;=36, "1-3 Years", TelecomData[[#This Row],[TenureMonths]]&gt;36, "3+ Years")</f>
        <v>3+ Years</v>
      </c>
      <c r="N702" s="2" t="str">
        <f>IF(TelecomData[[#This Row],[CleanedTotalCharges]]&gt;=2500,"High Spend", "Standard Spend")</f>
        <v>High Spend</v>
      </c>
    </row>
    <row r="703" spans="1:14" x14ac:dyDescent="0.3">
      <c r="A703" s="1" t="s">
        <v>727</v>
      </c>
      <c r="B703" s="2" t="s">
        <v>19</v>
      </c>
      <c r="C703" s="2" t="s">
        <v>13</v>
      </c>
      <c r="D703" s="2">
        <v>35</v>
      </c>
      <c r="E703" s="2" t="s">
        <v>26</v>
      </c>
      <c r="F703" s="2" t="s">
        <v>15</v>
      </c>
      <c r="G703" s="7">
        <v>83.15</v>
      </c>
      <c r="H703" s="7">
        <v>2848.45</v>
      </c>
      <c r="I703" s="2" t="s">
        <v>15</v>
      </c>
      <c r="J703" s="2" t="s">
        <v>15</v>
      </c>
      <c r="K703" s="2" t="s">
        <v>17</v>
      </c>
      <c r="L703" s="7">
        <v>2848.45</v>
      </c>
      <c r="M703" s="2" t="str">
        <f>_xlfn.IFS(TelecomData[[#This Row],[TenureMonths]]&lt;=12, "0-1 Year", TelecomData[[#This Row],[TenureMonths]]&lt;=36, "1-3 Years", TelecomData[[#This Row],[TenureMonths]]&gt;36, "3+ Years")</f>
        <v>1-3 Years</v>
      </c>
      <c r="N703" s="2" t="str">
        <f>IF(TelecomData[[#This Row],[CleanedTotalCharges]]&gt;=2500,"High Spend", "Standard Spend")</f>
        <v>High Spend</v>
      </c>
    </row>
    <row r="704" spans="1:14" x14ac:dyDescent="0.3">
      <c r="A704" s="1" t="s">
        <v>728</v>
      </c>
      <c r="B704" s="2" t="s">
        <v>19</v>
      </c>
      <c r="C704" s="2" t="s">
        <v>13</v>
      </c>
      <c r="D704" s="2">
        <v>29</v>
      </c>
      <c r="E704" s="2" t="s">
        <v>26</v>
      </c>
      <c r="F704" s="2" t="s">
        <v>15</v>
      </c>
      <c r="G704" s="7">
        <v>84.9</v>
      </c>
      <c r="H704" s="7">
        <v>2516.1999999999998</v>
      </c>
      <c r="I704" s="2" t="s">
        <v>15</v>
      </c>
      <c r="J704" s="2" t="s">
        <v>16</v>
      </c>
      <c r="K704" s="2" t="s">
        <v>17</v>
      </c>
      <c r="L704" s="7">
        <v>2516.1999999999998</v>
      </c>
      <c r="M704" s="2" t="str">
        <f>_xlfn.IFS(TelecomData[[#This Row],[TenureMonths]]&lt;=12, "0-1 Year", TelecomData[[#This Row],[TenureMonths]]&lt;=36, "1-3 Years", TelecomData[[#This Row],[TenureMonths]]&gt;36, "3+ Years")</f>
        <v>1-3 Years</v>
      </c>
      <c r="N704" s="2" t="str">
        <f>IF(TelecomData[[#This Row],[CleanedTotalCharges]]&gt;=2500,"High Spend", "Standard Spend")</f>
        <v>High Spend</v>
      </c>
    </row>
    <row r="705" spans="1:14" x14ac:dyDescent="0.3">
      <c r="A705" s="1" t="s">
        <v>729</v>
      </c>
      <c r="B705" s="2" t="s">
        <v>12</v>
      </c>
      <c r="C705" s="2" t="s">
        <v>13</v>
      </c>
      <c r="D705" s="2">
        <v>2</v>
      </c>
      <c r="E705" s="2" t="s">
        <v>15</v>
      </c>
      <c r="F705" s="2" t="s">
        <v>36</v>
      </c>
      <c r="G705" s="7">
        <v>20.55</v>
      </c>
      <c r="H705" s="7">
        <v>33.6</v>
      </c>
      <c r="I705" s="2" t="s">
        <v>15</v>
      </c>
      <c r="J705" s="2" t="s">
        <v>16</v>
      </c>
      <c r="K705" s="2" t="s">
        <v>21</v>
      </c>
      <c r="L705" s="7">
        <v>33.6</v>
      </c>
      <c r="M705" s="2" t="str">
        <f>_xlfn.IFS(TelecomData[[#This Row],[TenureMonths]]&lt;=12, "0-1 Year", TelecomData[[#This Row],[TenureMonths]]&lt;=36, "1-3 Years", TelecomData[[#This Row],[TenureMonths]]&gt;36, "3+ Years")</f>
        <v>0-1 Year</v>
      </c>
      <c r="N705" s="2" t="str">
        <f>IF(TelecomData[[#This Row],[CleanedTotalCharges]]&gt;=2500,"High Spend", "Standard Spend")</f>
        <v>Standard Spend</v>
      </c>
    </row>
    <row r="706" spans="1:14" x14ac:dyDescent="0.3">
      <c r="A706" s="1" t="s">
        <v>730</v>
      </c>
      <c r="B706" s="2" t="s">
        <v>19</v>
      </c>
      <c r="C706" s="2" t="s">
        <v>13</v>
      </c>
      <c r="D706" s="2">
        <v>4</v>
      </c>
      <c r="E706" s="2" t="s">
        <v>14</v>
      </c>
      <c r="F706" s="2" t="s">
        <v>15</v>
      </c>
      <c r="G706" s="7">
        <v>49.25</v>
      </c>
      <c r="H706" s="7">
        <v>208.45</v>
      </c>
      <c r="I706" s="2" t="s">
        <v>15</v>
      </c>
      <c r="J706" s="2" t="s">
        <v>15</v>
      </c>
      <c r="K706" s="2" t="s">
        <v>21</v>
      </c>
      <c r="L706" s="7">
        <v>208.45</v>
      </c>
      <c r="M706" s="2" t="str">
        <f>_xlfn.IFS(TelecomData[[#This Row],[TenureMonths]]&lt;=12, "0-1 Year", TelecomData[[#This Row],[TenureMonths]]&lt;=36, "1-3 Years", TelecomData[[#This Row],[TenureMonths]]&gt;36, "3+ Years")</f>
        <v>0-1 Year</v>
      </c>
      <c r="N706" s="2" t="str">
        <f>IF(TelecomData[[#This Row],[CleanedTotalCharges]]&gt;=2500,"High Spend", "Standard Spend")</f>
        <v>Standard Spend</v>
      </c>
    </row>
    <row r="707" spans="1:14" x14ac:dyDescent="0.3">
      <c r="A707" s="1" t="s">
        <v>731</v>
      </c>
      <c r="B707" s="2" t="s">
        <v>12</v>
      </c>
      <c r="C707" s="2" t="s">
        <v>13</v>
      </c>
      <c r="D707" s="2">
        <v>25</v>
      </c>
      <c r="E707" s="2" t="s">
        <v>26</v>
      </c>
      <c r="F707" s="2" t="s">
        <v>15</v>
      </c>
      <c r="G707" s="7">
        <v>79.849999999999994</v>
      </c>
      <c r="H707" s="7">
        <v>2015.35</v>
      </c>
      <c r="I707" s="2" t="s">
        <v>16</v>
      </c>
      <c r="J707" s="2" t="s">
        <v>16</v>
      </c>
      <c r="K707" s="2" t="s">
        <v>24</v>
      </c>
      <c r="L707" s="7">
        <v>2015.35</v>
      </c>
      <c r="M707" s="2" t="str">
        <f>_xlfn.IFS(TelecomData[[#This Row],[TenureMonths]]&lt;=12, "0-1 Year", TelecomData[[#This Row],[TenureMonths]]&lt;=36, "1-3 Years", TelecomData[[#This Row],[TenureMonths]]&gt;36, "3+ Years")</f>
        <v>1-3 Years</v>
      </c>
      <c r="N707" s="2" t="str">
        <f>IF(TelecomData[[#This Row],[CleanedTotalCharges]]&gt;=2500,"High Spend", "Standard Spend")</f>
        <v>Standard Spend</v>
      </c>
    </row>
    <row r="708" spans="1:14" x14ac:dyDescent="0.3">
      <c r="A708" s="1" t="s">
        <v>732</v>
      </c>
      <c r="B708" s="2" t="s">
        <v>12</v>
      </c>
      <c r="C708" s="2" t="s">
        <v>35</v>
      </c>
      <c r="D708" s="2">
        <v>65</v>
      </c>
      <c r="E708" s="2" t="s">
        <v>14</v>
      </c>
      <c r="F708" s="2" t="s">
        <v>16</v>
      </c>
      <c r="G708" s="7">
        <v>59.6</v>
      </c>
      <c r="H708" s="7">
        <v>3739.8</v>
      </c>
      <c r="I708" s="2" t="s">
        <v>15</v>
      </c>
      <c r="J708" s="2" t="s">
        <v>16</v>
      </c>
      <c r="K708" s="2" t="s">
        <v>21</v>
      </c>
      <c r="L708" s="7">
        <v>3739.8</v>
      </c>
      <c r="M708" s="2" t="str">
        <f>_xlfn.IFS(TelecomData[[#This Row],[TenureMonths]]&lt;=12, "0-1 Year", TelecomData[[#This Row],[TenureMonths]]&lt;=36, "1-3 Years", TelecomData[[#This Row],[TenureMonths]]&gt;36, "3+ Years")</f>
        <v>3+ Years</v>
      </c>
      <c r="N708" s="2" t="str">
        <f>IF(TelecomData[[#This Row],[CleanedTotalCharges]]&gt;=2500,"High Spend", "Standard Spend")</f>
        <v>High Spend</v>
      </c>
    </row>
    <row r="709" spans="1:14" x14ac:dyDescent="0.3">
      <c r="A709" s="1" t="s">
        <v>733</v>
      </c>
      <c r="B709" s="2" t="s">
        <v>19</v>
      </c>
      <c r="C709" s="2" t="s">
        <v>20</v>
      </c>
      <c r="D709" s="2">
        <v>27</v>
      </c>
      <c r="E709" s="2" t="s">
        <v>26</v>
      </c>
      <c r="F709" s="2" t="s">
        <v>16</v>
      </c>
      <c r="G709" s="7">
        <v>104.65</v>
      </c>
      <c r="H709" s="7">
        <v>2964</v>
      </c>
      <c r="I709" s="2" t="s">
        <v>15</v>
      </c>
      <c r="J709" s="2" t="s">
        <v>16</v>
      </c>
      <c r="K709" s="2" t="s">
        <v>24</v>
      </c>
      <c r="L709" s="7">
        <v>2964</v>
      </c>
      <c r="M709" s="2" t="str">
        <f>_xlfn.IFS(TelecomData[[#This Row],[TenureMonths]]&lt;=12, "0-1 Year", TelecomData[[#This Row],[TenureMonths]]&lt;=36, "1-3 Years", TelecomData[[#This Row],[TenureMonths]]&gt;36, "3+ Years")</f>
        <v>1-3 Years</v>
      </c>
      <c r="N709" s="2" t="str">
        <f>IF(TelecomData[[#This Row],[CleanedTotalCharges]]&gt;=2500,"High Spend", "Standard Spend")</f>
        <v>High Spend</v>
      </c>
    </row>
    <row r="710" spans="1:14" x14ac:dyDescent="0.3">
      <c r="A710" s="1" t="s">
        <v>734</v>
      </c>
      <c r="B710" s="2" t="s">
        <v>19</v>
      </c>
      <c r="C710" s="2" t="s">
        <v>13</v>
      </c>
      <c r="D710" s="2">
        <v>29</v>
      </c>
      <c r="E710" s="2" t="s">
        <v>26</v>
      </c>
      <c r="F710" s="2" t="s">
        <v>15</v>
      </c>
      <c r="G710" s="7">
        <v>75.3</v>
      </c>
      <c r="H710" s="7">
        <v>2263.4</v>
      </c>
      <c r="I710" s="2" t="s">
        <v>15</v>
      </c>
      <c r="J710" s="2" t="s">
        <v>16</v>
      </c>
      <c r="K710" s="2" t="s">
        <v>29</v>
      </c>
      <c r="L710" s="7">
        <v>2263.4</v>
      </c>
      <c r="M710" s="2" t="str">
        <f>_xlfn.IFS(TelecomData[[#This Row],[TenureMonths]]&lt;=12, "0-1 Year", TelecomData[[#This Row],[TenureMonths]]&lt;=36, "1-3 Years", TelecomData[[#This Row],[TenureMonths]]&gt;36, "3+ Years")</f>
        <v>1-3 Years</v>
      </c>
      <c r="N710" s="2" t="str">
        <f>IF(TelecomData[[#This Row],[CleanedTotalCharges]]&gt;=2500,"High Spend", "Standard Spend")</f>
        <v>Standard Spend</v>
      </c>
    </row>
    <row r="711" spans="1:14" x14ac:dyDescent="0.3">
      <c r="A711" s="1" t="s">
        <v>735</v>
      </c>
      <c r="B711" s="2" t="s">
        <v>19</v>
      </c>
      <c r="C711" s="2" t="s">
        <v>13</v>
      </c>
      <c r="D711" s="2">
        <v>29</v>
      </c>
      <c r="E711" s="2" t="s">
        <v>14</v>
      </c>
      <c r="F711" s="2" t="s">
        <v>15</v>
      </c>
      <c r="G711" s="7">
        <v>80.099999999999994</v>
      </c>
      <c r="H711" s="7">
        <v>2211.8000000000002</v>
      </c>
      <c r="I711" s="2" t="s">
        <v>15</v>
      </c>
      <c r="J711" s="2" t="s">
        <v>15</v>
      </c>
      <c r="K711" s="2" t="s">
        <v>29</v>
      </c>
      <c r="L711" s="7">
        <v>2211.8000000000002</v>
      </c>
      <c r="M711" s="2" t="str">
        <f>_xlfn.IFS(TelecomData[[#This Row],[TenureMonths]]&lt;=12, "0-1 Year", TelecomData[[#This Row],[TenureMonths]]&lt;=36, "1-3 Years", TelecomData[[#This Row],[TenureMonths]]&gt;36, "3+ Years")</f>
        <v>1-3 Years</v>
      </c>
      <c r="N711" s="2" t="str">
        <f>IF(TelecomData[[#This Row],[CleanedTotalCharges]]&gt;=2500,"High Spend", "Standard Spend")</f>
        <v>Standard Spend</v>
      </c>
    </row>
    <row r="712" spans="1:14" x14ac:dyDescent="0.3">
      <c r="A712" s="1" t="s">
        <v>736</v>
      </c>
      <c r="B712" s="2" t="s">
        <v>19</v>
      </c>
      <c r="C712" s="2" t="s">
        <v>13</v>
      </c>
      <c r="D712" s="2">
        <v>1</v>
      </c>
      <c r="E712" s="2" t="s">
        <v>15</v>
      </c>
      <c r="F712" s="2" t="s">
        <v>36</v>
      </c>
      <c r="G712" s="7">
        <v>19.55</v>
      </c>
      <c r="H712" s="7">
        <v>19.55</v>
      </c>
      <c r="I712" s="2" t="s">
        <v>16</v>
      </c>
      <c r="J712" s="2" t="s">
        <v>15</v>
      </c>
      <c r="K712" s="2" t="s">
        <v>21</v>
      </c>
      <c r="L712" s="7">
        <v>19.55</v>
      </c>
      <c r="M712" s="2" t="str">
        <f>_xlfn.IFS(TelecomData[[#This Row],[TenureMonths]]&lt;=12, "0-1 Year", TelecomData[[#This Row],[TenureMonths]]&lt;=36, "1-3 Years", TelecomData[[#This Row],[TenureMonths]]&gt;36, "3+ Years")</f>
        <v>0-1 Year</v>
      </c>
      <c r="N712" s="2" t="str">
        <f>IF(TelecomData[[#This Row],[CleanedTotalCharges]]&gt;=2500,"High Spend", "Standard Spend")</f>
        <v>Standard Spend</v>
      </c>
    </row>
    <row r="713" spans="1:14" x14ac:dyDescent="0.3">
      <c r="A713" s="1" t="s">
        <v>737</v>
      </c>
      <c r="B713" s="2" t="s">
        <v>12</v>
      </c>
      <c r="C713" s="2" t="s">
        <v>13</v>
      </c>
      <c r="D713" s="2">
        <v>20</v>
      </c>
      <c r="E713" s="2" t="s">
        <v>26</v>
      </c>
      <c r="F713" s="2" t="s">
        <v>16</v>
      </c>
      <c r="G713" s="7">
        <v>81</v>
      </c>
      <c r="H713" s="7">
        <v>1683.7</v>
      </c>
      <c r="I713" s="2" t="s">
        <v>15</v>
      </c>
      <c r="J713" s="2" t="s">
        <v>16</v>
      </c>
      <c r="K713" s="2" t="s">
        <v>21</v>
      </c>
      <c r="L713" s="7">
        <v>1683.7</v>
      </c>
      <c r="M713" s="2" t="str">
        <f>_xlfn.IFS(TelecomData[[#This Row],[TenureMonths]]&lt;=12, "0-1 Year", TelecomData[[#This Row],[TenureMonths]]&lt;=36, "1-3 Years", TelecomData[[#This Row],[TenureMonths]]&gt;36, "3+ Years")</f>
        <v>1-3 Years</v>
      </c>
      <c r="N713" s="2" t="str">
        <f>IF(TelecomData[[#This Row],[CleanedTotalCharges]]&gt;=2500,"High Spend", "Standard Spend")</f>
        <v>Standard Spend</v>
      </c>
    </row>
    <row r="714" spans="1:14" x14ac:dyDescent="0.3">
      <c r="A714" s="1" t="s">
        <v>738</v>
      </c>
      <c r="B714" s="2" t="s">
        <v>12</v>
      </c>
      <c r="C714" s="2" t="s">
        <v>35</v>
      </c>
      <c r="D714" s="2">
        <v>58</v>
      </c>
      <c r="E714" s="2" t="s">
        <v>15</v>
      </c>
      <c r="F714" s="2" t="s">
        <v>36</v>
      </c>
      <c r="G714" s="7">
        <v>24.7</v>
      </c>
      <c r="H714" s="7">
        <v>1519</v>
      </c>
      <c r="I714" s="2" t="s">
        <v>15</v>
      </c>
      <c r="J714" s="2" t="s">
        <v>16</v>
      </c>
      <c r="K714" s="2" t="s">
        <v>29</v>
      </c>
      <c r="L714" s="7">
        <v>1519</v>
      </c>
      <c r="M714" s="2" t="str">
        <f>_xlfn.IFS(TelecomData[[#This Row],[TenureMonths]]&lt;=12, "0-1 Year", TelecomData[[#This Row],[TenureMonths]]&lt;=36, "1-3 Years", TelecomData[[#This Row],[TenureMonths]]&gt;36, "3+ Years")</f>
        <v>3+ Years</v>
      </c>
      <c r="N714" s="2" t="str">
        <f>IF(TelecomData[[#This Row],[CleanedTotalCharges]]&gt;=2500,"High Spend", "Standard Spend")</f>
        <v>Standard Spend</v>
      </c>
    </row>
    <row r="715" spans="1:14" x14ac:dyDescent="0.3">
      <c r="A715" s="1" t="s">
        <v>739</v>
      </c>
      <c r="B715" s="2" t="s">
        <v>12</v>
      </c>
      <c r="C715" s="2" t="s">
        <v>13</v>
      </c>
      <c r="D715" s="2">
        <v>14</v>
      </c>
      <c r="E715" s="2" t="s">
        <v>26</v>
      </c>
      <c r="F715" s="2" t="s">
        <v>16</v>
      </c>
      <c r="G715" s="7">
        <v>86</v>
      </c>
      <c r="H715" s="7">
        <v>1164.05</v>
      </c>
      <c r="I715" s="2" t="s">
        <v>15</v>
      </c>
      <c r="J715" s="2" t="s">
        <v>16</v>
      </c>
      <c r="K715" s="2" t="s">
        <v>21</v>
      </c>
      <c r="L715" s="7">
        <v>1164.05</v>
      </c>
      <c r="M715" s="2" t="str">
        <f>_xlfn.IFS(TelecomData[[#This Row],[TenureMonths]]&lt;=12, "0-1 Year", TelecomData[[#This Row],[TenureMonths]]&lt;=36, "1-3 Years", TelecomData[[#This Row],[TenureMonths]]&gt;36, "3+ Years")</f>
        <v>1-3 Years</v>
      </c>
      <c r="N715" s="2" t="str">
        <f>IF(TelecomData[[#This Row],[CleanedTotalCharges]]&gt;=2500,"High Spend", "Standard Spend")</f>
        <v>Standard Spend</v>
      </c>
    </row>
    <row r="716" spans="1:14" x14ac:dyDescent="0.3">
      <c r="A716" s="1" t="s">
        <v>740</v>
      </c>
      <c r="B716" s="2" t="s">
        <v>19</v>
      </c>
      <c r="C716" s="2" t="s">
        <v>35</v>
      </c>
      <c r="D716" s="2">
        <v>72</v>
      </c>
      <c r="E716" s="2" t="s">
        <v>15</v>
      </c>
      <c r="F716" s="2" t="s">
        <v>36</v>
      </c>
      <c r="G716" s="7">
        <v>25.4</v>
      </c>
      <c r="H716" s="7">
        <v>1710.9</v>
      </c>
      <c r="I716" s="2" t="s">
        <v>15</v>
      </c>
      <c r="J716" s="2" t="s">
        <v>15</v>
      </c>
      <c r="K716" s="2" t="s">
        <v>21</v>
      </c>
      <c r="L716" s="7">
        <v>1710.9</v>
      </c>
      <c r="M716" s="2" t="str">
        <f>_xlfn.IFS(TelecomData[[#This Row],[TenureMonths]]&lt;=12, "0-1 Year", TelecomData[[#This Row],[TenureMonths]]&lt;=36, "1-3 Years", TelecomData[[#This Row],[TenureMonths]]&gt;36, "3+ Years")</f>
        <v>3+ Years</v>
      </c>
      <c r="N716" s="2" t="str">
        <f>IF(TelecomData[[#This Row],[CleanedTotalCharges]]&gt;=2500,"High Spend", "Standard Spend")</f>
        <v>Standard Spend</v>
      </c>
    </row>
    <row r="717" spans="1:14" x14ac:dyDescent="0.3">
      <c r="A717" s="1" t="s">
        <v>741</v>
      </c>
      <c r="B717" s="2" t="s">
        <v>19</v>
      </c>
      <c r="C717" s="2" t="s">
        <v>13</v>
      </c>
      <c r="D717" s="2">
        <v>46</v>
      </c>
      <c r="E717" s="2" t="s">
        <v>26</v>
      </c>
      <c r="F717" s="2" t="s">
        <v>15</v>
      </c>
      <c r="G717" s="7">
        <v>89.15</v>
      </c>
      <c r="H717" s="7">
        <v>4245.55</v>
      </c>
      <c r="I717" s="2" t="s">
        <v>15</v>
      </c>
      <c r="J717" s="2" t="s">
        <v>16</v>
      </c>
      <c r="K717" s="2" t="s">
        <v>29</v>
      </c>
      <c r="L717" s="7">
        <v>4245.55</v>
      </c>
      <c r="M717" s="2" t="str">
        <f>_xlfn.IFS(TelecomData[[#This Row],[TenureMonths]]&lt;=12, "0-1 Year", TelecomData[[#This Row],[TenureMonths]]&lt;=36, "1-3 Years", TelecomData[[#This Row],[TenureMonths]]&gt;36, "3+ Years")</f>
        <v>3+ Years</v>
      </c>
      <c r="N717" s="2" t="str">
        <f>IF(TelecomData[[#This Row],[CleanedTotalCharges]]&gt;=2500,"High Spend", "Standard Spend")</f>
        <v>High Spend</v>
      </c>
    </row>
    <row r="718" spans="1:14" x14ac:dyDescent="0.3">
      <c r="A718" s="1" t="s">
        <v>742</v>
      </c>
      <c r="B718" s="2" t="s">
        <v>12</v>
      </c>
      <c r="C718" s="2" t="s">
        <v>35</v>
      </c>
      <c r="D718" s="2">
        <v>71</v>
      </c>
      <c r="E718" s="2" t="s">
        <v>14</v>
      </c>
      <c r="F718" s="2" t="s">
        <v>16</v>
      </c>
      <c r="G718" s="7">
        <v>58.25</v>
      </c>
      <c r="H718" s="7">
        <v>4145.8999999999996</v>
      </c>
      <c r="I718" s="2" t="s">
        <v>15</v>
      </c>
      <c r="J718" s="2" t="s">
        <v>15</v>
      </c>
      <c r="K718" s="2" t="s">
        <v>24</v>
      </c>
      <c r="L718" s="7">
        <v>4145.8999999999996</v>
      </c>
      <c r="M718" s="2" t="str">
        <f>_xlfn.IFS(TelecomData[[#This Row],[TenureMonths]]&lt;=12, "0-1 Year", TelecomData[[#This Row],[TenureMonths]]&lt;=36, "1-3 Years", TelecomData[[#This Row],[TenureMonths]]&gt;36, "3+ Years")</f>
        <v>3+ Years</v>
      </c>
      <c r="N718" s="2" t="str">
        <f>IF(TelecomData[[#This Row],[CleanedTotalCharges]]&gt;=2500,"High Spend", "Standard Spend")</f>
        <v>High Spend</v>
      </c>
    </row>
    <row r="719" spans="1:14" x14ac:dyDescent="0.3">
      <c r="A719" s="1" t="s">
        <v>743</v>
      </c>
      <c r="B719" s="2" t="s">
        <v>19</v>
      </c>
      <c r="C719" s="2" t="s">
        <v>13</v>
      </c>
      <c r="D719" s="2">
        <v>32</v>
      </c>
      <c r="E719" s="2" t="s">
        <v>26</v>
      </c>
      <c r="F719" s="2" t="s">
        <v>15</v>
      </c>
      <c r="G719" s="7">
        <v>85.65</v>
      </c>
      <c r="H719" s="7">
        <v>2664.3</v>
      </c>
      <c r="I719" s="2" t="s">
        <v>15</v>
      </c>
      <c r="J719" s="2" t="s">
        <v>16</v>
      </c>
      <c r="K719" s="2" t="s">
        <v>24</v>
      </c>
      <c r="L719" s="7">
        <v>2664.3</v>
      </c>
      <c r="M719" s="2" t="str">
        <f>_xlfn.IFS(TelecomData[[#This Row],[TenureMonths]]&lt;=12, "0-1 Year", TelecomData[[#This Row],[TenureMonths]]&lt;=36, "1-3 Years", TelecomData[[#This Row],[TenureMonths]]&gt;36, "3+ Years")</f>
        <v>1-3 Years</v>
      </c>
      <c r="N719" s="2" t="str">
        <f>IF(TelecomData[[#This Row],[CleanedTotalCharges]]&gt;=2500,"High Spend", "Standard Spend")</f>
        <v>High Spend</v>
      </c>
    </row>
    <row r="720" spans="1:14" x14ac:dyDescent="0.3">
      <c r="A720" s="1" t="s">
        <v>744</v>
      </c>
      <c r="B720" s="2" t="s">
        <v>12</v>
      </c>
      <c r="C720" s="2" t="s">
        <v>13</v>
      </c>
      <c r="D720" s="2">
        <v>26</v>
      </c>
      <c r="E720" s="2" t="s">
        <v>14</v>
      </c>
      <c r="F720" s="2" t="s">
        <v>15</v>
      </c>
      <c r="G720" s="7">
        <v>50.35</v>
      </c>
      <c r="H720" s="7">
        <v>1277.5</v>
      </c>
      <c r="I720" s="2" t="s">
        <v>15</v>
      </c>
      <c r="J720" s="2" t="s">
        <v>16</v>
      </c>
      <c r="K720" s="2" t="s">
        <v>29</v>
      </c>
      <c r="L720" s="7">
        <v>1277.5</v>
      </c>
      <c r="M720" s="2" t="str">
        <f>_xlfn.IFS(TelecomData[[#This Row],[TenureMonths]]&lt;=12, "0-1 Year", TelecomData[[#This Row],[TenureMonths]]&lt;=36, "1-3 Years", TelecomData[[#This Row],[TenureMonths]]&gt;36, "3+ Years")</f>
        <v>1-3 Years</v>
      </c>
      <c r="N720" s="2" t="str">
        <f>IF(TelecomData[[#This Row],[CleanedTotalCharges]]&gt;=2500,"High Spend", "Standard Spend")</f>
        <v>Standard Spend</v>
      </c>
    </row>
    <row r="721" spans="1:14" x14ac:dyDescent="0.3">
      <c r="A721" s="1" t="s">
        <v>745</v>
      </c>
      <c r="B721" s="2" t="s">
        <v>19</v>
      </c>
      <c r="C721" s="2" t="s">
        <v>13</v>
      </c>
      <c r="D721" s="2">
        <v>68</v>
      </c>
      <c r="E721" s="2" t="s">
        <v>26</v>
      </c>
      <c r="F721" s="2" t="s">
        <v>15</v>
      </c>
      <c r="G721" s="7">
        <v>80.349999999999994</v>
      </c>
      <c r="H721" s="7">
        <v>5589.3</v>
      </c>
      <c r="I721" s="2" t="s">
        <v>15</v>
      </c>
      <c r="J721" s="2" t="s">
        <v>16</v>
      </c>
      <c r="K721" s="2" t="s">
        <v>29</v>
      </c>
      <c r="L721" s="7">
        <v>5589.3</v>
      </c>
      <c r="M721" s="2" t="str">
        <f>_xlfn.IFS(TelecomData[[#This Row],[TenureMonths]]&lt;=12, "0-1 Year", TelecomData[[#This Row],[TenureMonths]]&lt;=36, "1-3 Years", TelecomData[[#This Row],[TenureMonths]]&gt;36, "3+ Years")</f>
        <v>3+ Years</v>
      </c>
      <c r="N721" s="2" t="str">
        <f>IF(TelecomData[[#This Row],[CleanedTotalCharges]]&gt;=2500,"High Spend", "Standard Spend")</f>
        <v>High Spend</v>
      </c>
    </row>
    <row r="722" spans="1:14" x14ac:dyDescent="0.3">
      <c r="A722" s="1" t="s">
        <v>746</v>
      </c>
      <c r="B722" s="2" t="s">
        <v>19</v>
      </c>
      <c r="C722" s="2" t="s">
        <v>20</v>
      </c>
      <c r="D722" s="2">
        <v>2</v>
      </c>
      <c r="E722" s="2" t="s">
        <v>15</v>
      </c>
      <c r="F722" s="2" t="s">
        <v>36</v>
      </c>
      <c r="G722" s="7">
        <v>20.2</v>
      </c>
      <c r="H722" s="7">
        <v>34.75</v>
      </c>
      <c r="I722" s="2" t="s">
        <v>15</v>
      </c>
      <c r="J722" s="2" t="s">
        <v>15</v>
      </c>
      <c r="K722" s="2" t="s">
        <v>21</v>
      </c>
      <c r="L722" s="7">
        <v>34.75</v>
      </c>
      <c r="M722" s="2" t="str">
        <f>_xlfn.IFS(TelecomData[[#This Row],[TenureMonths]]&lt;=12, "0-1 Year", TelecomData[[#This Row],[TenureMonths]]&lt;=36, "1-3 Years", TelecomData[[#This Row],[TenureMonths]]&gt;36, "3+ Years")</f>
        <v>0-1 Year</v>
      </c>
      <c r="N722" s="2" t="str">
        <f>IF(TelecomData[[#This Row],[CleanedTotalCharges]]&gt;=2500,"High Spend", "Standard Spend")</f>
        <v>Standard Spend</v>
      </c>
    </row>
    <row r="723" spans="1:14" x14ac:dyDescent="0.3">
      <c r="A723" s="1" t="s">
        <v>747</v>
      </c>
      <c r="B723" s="2" t="s">
        <v>19</v>
      </c>
      <c r="C723" s="2" t="s">
        <v>35</v>
      </c>
      <c r="D723" s="2">
        <v>61</v>
      </c>
      <c r="E723" s="2" t="s">
        <v>15</v>
      </c>
      <c r="F723" s="2" t="s">
        <v>36</v>
      </c>
      <c r="G723" s="7">
        <v>20.55</v>
      </c>
      <c r="H723" s="7">
        <v>1305.95</v>
      </c>
      <c r="I723" s="2" t="s">
        <v>15</v>
      </c>
      <c r="J723" s="2" t="s">
        <v>15</v>
      </c>
      <c r="K723" s="2" t="s">
        <v>29</v>
      </c>
      <c r="L723" s="7">
        <v>1305.95</v>
      </c>
      <c r="M723" s="2" t="str">
        <f>_xlfn.IFS(TelecomData[[#This Row],[TenureMonths]]&lt;=12, "0-1 Year", TelecomData[[#This Row],[TenureMonths]]&lt;=36, "1-3 Years", TelecomData[[#This Row],[TenureMonths]]&gt;36, "3+ Years")</f>
        <v>3+ Years</v>
      </c>
      <c r="N723" s="2" t="str">
        <f>IF(TelecomData[[#This Row],[CleanedTotalCharges]]&gt;=2500,"High Spend", "Standard Spend")</f>
        <v>Standard Spend</v>
      </c>
    </row>
    <row r="724" spans="1:14" x14ac:dyDescent="0.3">
      <c r="A724" s="1" t="s">
        <v>748</v>
      </c>
      <c r="B724" s="2" t="s">
        <v>12</v>
      </c>
      <c r="C724" s="2" t="s">
        <v>13</v>
      </c>
      <c r="D724" s="2">
        <v>4</v>
      </c>
      <c r="E724" s="2" t="s">
        <v>26</v>
      </c>
      <c r="F724" s="2" t="s">
        <v>15</v>
      </c>
      <c r="G724" s="7">
        <v>85.95</v>
      </c>
      <c r="H724" s="7">
        <v>381.3</v>
      </c>
      <c r="I724" s="2" t="s">
        <v>16</v>
      </c>
      <c r="J724" s="2" t="s">
        <v>16</v>
      </c>
      <c r="K724" s="2" t="s">
        <v>17</v>
      </c>
      <c r="L724" s="7">
        <v>381.3</v>
      </c>
      <c r="M724" s="2" t="str">
        <f>_xlfn.IFS(TelecomData[[#This Row],[TenureMonths]]&lt;=12, "0-1 Year", TelecomData[[#This Row],[TenureMonths]]&lt;=36, "1-3 Years", TelecomData[[#This Row],[TenureMonths]]&gt;36, "3+ Years")</f>
        <v>0-1 Year</v>
      </c>
      <c r="N724" s="2" t="str">
        <f>IF(TelecomData[[#This Row],[CleanedTotalCharges]]&gt;=2500,"High Spend", "Standard Spend")</f>
        <v>Standard Spend</v>
      </c>
    </row>
    <row r="725" spans="1:14" x14ac:dyDescent="0.3">
      <c r="A725" s="1" t="s">
        <v>749</v>
      </c>
      <c r="B725" s="2" t="s">
        <v>19</v>
      </c>
      <c r="C725" s="2" t="s">
        <v>13</v>
      </c>
      <c r="D725" s="2">
        <v>3</v>
      </c>
      <c r="E725" s="2" t="s">
        <v>14</v>
      </c>
      <c r="F725" s="2" t="s">
        <v>15</v>
      </c>
      <c r="G725" s="7">
        <v>45.35</v>
      </c>
      <c r="H725" s="7">
        <v>141.5</v>
      </c>
      <c r="I725" s="2" t="s">
        <v>16</v>
      </c>
      <c r="J725" s="2" t="s">
        <v>16</v>
      </c>
      <c r="K725" s="2" t="s">
        <v>17</v>
      </c>
      <c r="L725" s="7">
        <v>141.5</v>
      </c>
      <c r="M725" s="2" t="str">
        <f>_xlfn.IFS(TelecomData[[#This Row],[TenureMonths]]&lt;=12, "0-1 Year", TelecomData[[#This Row],[TenureMonths]]&lt;=36, "1-3 Years", TelecomData[[#This Row],[TenureMonths]]&gt;36, "3+ Years")</f>
        <v>0-1 Year</v>
      </c>
      <c r="N725" s="2" t="str">
        <f>IF(TelecomData[[#This Row],[CleanedTotalCharges]]&gt;=2500,"High Spend", "Standard Spend")</f>
        <v>Standard Spend</v>
      </c>
    </row>
    <row r="726" spans="1:14" x14ac:dyDescent="0.3">
      <c r="A726" s="1" t="s">
        <v>750</v>
      </c>
      <c r="B726" s="2" t="s">
        <v>19</v>
      </c>
      <c r="C726" s="2" t="s">
        <v>13</v>
      </c>
      <c r="D726" s="2">
        <v>33</v>
      </c>
      <c r="E726" s="2" t="s">
        <v>26</v>
      </c>
      <c r="F726" s="2" t="s">
        <v>15</v>
      </c>
      <c r="G726" s="7">
        <v>94.5</v>
      </c>
      <c r="H726" s="7">
        <v>3105.55</v>
      </c>
      <c r="I726" s="2" t="s">
        <v>16</v>
      </c>
      <c r="J726" s="2" t="s">
        <v>16</v>
      </c>
      <c r="K726" s="2" t="s">
        <v>17</v>
      </c>
      <c r="L726" s="7">
        <v>3105.55</v>
      </c>
      <c r="M726" s="2" t="str">
        <f>_xlfn.IFS(TelecomData[[#This Row],[TenureMonths]]&lt;=12, "0-1 Year", TelecomData[[#This Row],[TenureMonths]]&lt;=36, "1-3 Years", TelecomData[[#This Row],[TenureMonths]]&gt;36, "3+ Years")</f>
        <v>1-3 Years</v>
      </c>
      <c r="N726" s="2" t="str">
        <f>IF(TelecomData[[#This Row],[CleanedTotalCharges]]&gt;=2500,"High Spend", "Standard Spend")</f>
        <v>High Spend</v>
      </c>
    </row>
    <row r="727" spans="1:14" x14ac:dyDescent="0.3">
      <c r="A727" s="1" t="s">
        <v>751</v>
      </c>
      <c r="B727" s="2" t="s">
        <v>19</v>
      </c>
      <c r="C727" s="2" t="s">
        <v>13</v>
      </c>
      <c r="D727" s="2">
        <v>9</v>
      </c>
      <c r="E727" s="2" t="s">
        <v>15</v>
      </c>
      <c r="F727" s="2" t="s">
        <v>36</v>
      </c>
      <c r="G727" s="7">
        <v>21.25</v>
      </c>
      <c r="H727" s="7">
        <v>204.55</v>
      </c>
      <c r="I727" s="2" t="s">
        <v>15</v>
      </c>
      <c r="J727" s="2" t="s">
        <v>16</v>
      </c>
      <c r="K727" s="2" t="s">
        <v>21</v>
      </c>
      <c r="L727" s="7">
        <v>204.55</v>
      </c>
      <c r="M727" s="2" t="str">
        <f>_xlfn.IFS(TelecomData[[#This Row],[TenureMonths]]&lt;=12, "0-1 Year", TelecomData[[#This Row],[TenureMonths]]&lt;=36, "1-3 Years", TelecomData[[#This Row],[TenureMonths]]&gt;36, "3+ Years")</f>
        <v>0-1 Year</v>
      </c>
      <c r="N727" s="2" t="str">
        <f>IF(TelecomData[[#This Row],[CleanedTotalCharges]]&gt;=2500,"High Spend", "Standard Spend")</f>
        <v>Standard Spend</v>
      </c>
    </row>
    <row r="728" spans="1:14" x14ac:dyDescent="0.3">
      <c r="A728" s="1" t="s">
        <v>752</v>
      </c>
      <c r="B728" s="2" t="s">
        <v>12</v>
      </c>
      <c r="C728" s="2" t="s">
        <v>35</v>
      </c>
      <c r="D728" s="2">
        <v>22</v>
      </c>
      <c r="E728" s="2" t="s">
        <v>15</v>
      </c>
      <c r="F728" s="2" t="s">
        <v>36</v>
      </c>
      <c r="G728" s="7">
        <v>26.25</v>
      </c>
      <c r="H728" s="7">
        <v>605.9</v>
      </c>
      <c r="I728" s="2" t="s">
        <v>15</v>
      </c>
      <c r="J728" s="2" t="s">
        <v>15</v>
      </c>
      <c r="K728" s="2" t="s">
        <v>21</v>
      </c>
      <c r="L728" s="7">
        <v>605.9</v>
      </c>
      <c r="M728" s="2" t="str">
        <f>_xlfn.IFS(TelecomData[[#This Row],[TenureMonths]]&lt;=12, "0-1 Year", TelecomData[[#This Row],[TenureMonths]]&lt;=36, "1-3 Years", TelecomData[[#This Row],[TenureMonths]]&gt;36, "3+ Years")</f>
        <v>1-3 Years</v>
      </c>
      <c r="N728" s="2" t="str">
        <f>IF(TelecomData[[#This Row],[CleanedTotalCharges]]&gt;=2500,"High Spend", "Standard Spend")</f>
        <v>Standard Spend</v>
      </c>
    </row>
    <row r="729" spans="1:14" x14ac:dyDescent="0.3">
      <c r="A729" s="1" t="s">
        <v>753</v>
      </c>
      <c r="B729" s="2" t="s">
        <v>12</v>
      </c>
      <c r="C729" s="2" t="s">
        <v>13</v>
      </c>
      <c r="D729" s="2">
        <v>5</v>
      </c>
      <c r="E729" s="2" t="s">
        <v>26</v>
      </c>
      <c r="F729" s="2" t="s">
        <v>15</v>
      </c>
      <c r="G729" s="7">
        <v>80.849999999999994</v>
      </c>
      <c r="H729" s="7">
        <v>356.1</v>
      </c>
      <c r="I729" s="2" t="s">
        <v>15</v>
      </c>
      <c r="J729" s="2" t="s">
        <v>16</v>
      </c>
      <c r="K729" s="2" t="s">
        <v>17</v>
      </c>
      <c r="L729" s="7">
        <v>356.1</v>
      </c>
      <c r="M729" s="2" t="str">
        <f>_xlfn.IFS(TelecomData[[#This Row],[TenureMonths]]&lt;=12, "0-1 Year", TelecomData[[#This Row],[TenureMonths]]&lt;=36, "1-3 Years", TelecomData[[#This Row],[TenureMonths]]&gt;36, "3+ Years")</f>
        <v>0-1 Year</v>
      </c>
      <c r="N729" s="2" t="str">
        <f>IF(TelecomData[[#This Row],[CleanedTotalCharges]]&gt;=2500,"High Spend", "Standard Spend")</f>
        <v>Standard Spend</v>
      </c>
    </row>
    <row r="730" spans="1:14" x14ac:dyDescent="0.3">
      <c r="A730" s="1" t="s">
        <v>754</v>
      </c>
      <c r="B730" s="2" t="s">
        <v>12</v>
      </c>
      <c r="C730" s="2" t="s">
        <v>13</v>
      </c>
      <c r="D730" s="2">
        <v>30</v>
      </c>
      <c r="E730" s="2" t="s">
        <v>26</v>
      </c>
      <c r="F730" s="2" t="s">
        <v>15</v>
      </c>
      <c r="G730" s="7">
        <v>91.7</v>
      </c>
      <c r="H730" s="7">
        <v>2758.15</v>
      </c>
      <c r="I730" s="2" t="s">
        <v>16</v>
      </c>
      <c r="J730" s="2" t="s">
        <v>15</v>
      </c>
      <c r="K730" s="2" t="s">
        <v>29</v>
      </c>
      <c r="L730" s="7">
        <v>2758.15</v>
      </c>
      <c r="M730" s="2" t="str">
        <f>_xlfn.IFS(TelecomData[[#This Row],[TenureMonths]]&lt;=12, "0-1 Year", TelecomData[[#This Row],[TenureMonths]]&lt;=36, "1-3 Years", TelecomData[[#This Row],[TenureMonths]]&gt;36, "3+ Years")</f>
        <v>1-3 Years</v>
      </c>
      <c r="N730" s="2" t="str">
        <f>IF(TelecomData[[#This Row],[CleanedTotalCharges]]&gt;=2500,"High Spend", "Standard Spend")</f>
        <v>High Spend</v>
      </c>
    </row>
    <row r="731" spans="1:14" x14ac:dyDescent="0.3">
      <c r="A731" s="1" t="s">
        <v>755</v>
      </c>
      <c r="B731" s="2" t="s">
        <v>19</v>
      </c>
      <c r="C731" s="2" t="s">
        <v>35</v>
      </c>
      <c r="D731" s="2">
        <v>65</v>
      </c>
      <c r="E731" s="2" t="s">
        <v>14</v>
      </c>
      <c r="F731" s="2" t="s">
        <v>16</v>
      </c>
      <c r="G731" s="7">
        <v>74.2</v>
      </c>
      <c r="H731" s="7">
        <v>4805.6499999999996</v>
      </c>
      <c r="I731" s="2" t="s">
        <v>15</v>
      </c>
      <c r="J731" s="2" t="s">
        <v>16</v>
      </c>
      <c r="K731" s="2" t="s">
        <v>29</v>
      </c>
      <c r="L731" s="7">
        <v>4805.6499999999996</v>
      </c>
      <c r="M731" s="2" t="str">
        <f>_xlfn.IFS(TelecomData[[#This Row],[TenureMonths]]&lt;=12, "0-1 Year", TelecomData[[#This Row],[TenureMonths]]&lt;=36, "1-3 Years", TelecomData[[#This Row],[TenureMonths]]&gt;36, "3+ Years")</f>
        <v>3+ Years</v>
      </c>
      <c r="N731" s="2" t="str">
        <f>IF(TelecomData[[#This Row],[CleanedTotalCharges]]&gt;=2500,"High Spend", "Standard Spend")</f>
        <v>High Spend</v>
      </c>
    </row>
    <row r="732" spans="1:14" x14ac:dyDescent="0.3">
      <c r="A732" s="1" t="s">
        <v>756</v>
      </c>
      <c r="B732" s="2" t="s">
        <v>12</v>
      </c>
      <c r="C732" s="2" t="s">
        <v>13</v>
      </c>
      <c r="D732" s="2">
        <v>45</v>
      </c>
      <c r="E732" s="2" t="s">
        <v>26</v>
      </c>
      <c r="F732" s="2" t="s">
        <v>16</v>
      </c>
      <c r="G732" s="7">
        <v>87.25</v>
      </c>
      <c r="H732" s="7">
        <v>3941.7</v>
      </c>
      <c r="I732" s="2" t="s">
        <v>16</v>
      </c>
      <c r="J732" s="2" t="s">
        <v>16</v>
      </c>
      <c r="K732" s="2" t="s">
        <v>17</v>
      </c>
      <c r="L732" s="7">
        <v>3941.7</v>
      </c>
      <c r="M732" s="2" t="str">
        <f>_xlfn.IFS(TelecomData[[#This Row],[TenureMonths]]&lt;=12, "0-1 Year", TelecomData[[#This Row],[TenureMonths]]&lt;=36, "1-3 Years", TelecomData[[#This Row],[TenureMonths]]&gt;36, "3+ Years")</f>
        <v>3+ Years</v>
      </c>
      <c r="N732" s="2" t="str">
        <f>IF(TelecomData[[#This Row],[CleanedTotalCharges]]&gt;=2500,"High Spend", "Standard Spend")</f>
        <v>High Spend</v>
      </c>
    </row>
    <row r="733" spans="1:14" x14ac:dyDescent="0.3">
      <c r="A733" s="1" t="s">
        <v>757</v>
      </c>
      <c r="B733" s="2" t="s">
        <v>19</v>
      </c>
      <c r="C733" s="2" t="s">
        <v>13</v>
      </c>
      <c r="D733" s="2">
        <v>5</v>
      </c>
      <c r="E733" s="2" t="s">
        <v>15</v>
      </c>
      <c r="F733" s="2" t="s">
        <v>36</v>
      </c>
      <c r="G733" s="7">
        <v>20.350000000000001</v>
      </c>
      <c r="H733" s="7">
        <v>92.75</v>
      </c>
      <c r="I733" s="2" t="s">
        <v>15</v>
      </c>
      <c r="J733" s="2" t="s">
        <v>15</v>
      </c>
      <c r="K733" s="2" t="s">
        <v>21</v>
      </c>
      <c r="L733" s="7">
        <v>92.75</v>
      </c>
      <c r="M733" s="2" t="str">
        <f>_xlfn.IFS(TelecomData[[#This Row],[TenureMonths]]&lt;=12, "0-1 Year", TelecomData[[#This Row],[TenureMonths]]&lt;=36, "1-3 Years", TelecomData[[#This Row],[TenureMonths]]&gt;36, "3+ Years")</f>
        <v>0-1 Year</v>
      </c>
      <c r="N733" s="2" t="str">
        <f>IF(TelecomData[[#This Row],[CleanedTotalCharges]]&gt;=2500,"High Spend", "Standard Spend")</f>
        <v>Standard Spend</v>
      </c>
    </row>
    <row r="734" spans="1:14" x14ac:dyDescent="0.3">
      <c r="A734" s="1" t="s">
        <v>758</v>
      </c>
      <c r="B734" s="2" t="s">
        <v>19</v>
      </c>
      <c r="C734" s="2" t="s">
        <v>13</v>
      </c>
      <c r="D734" s="2">
        <v>25</v>
      </c>
      <c r="E734" s="2" t="s">
        <v>26</v>
      </c>
      <c r="F734" s="2" t="s">
        <v>15</v>
      </c>
      <c r="G734" s="7">
        <v>75.5</v>
      </c>
      <c r="H734" s="7">
        <v>1901.05</v>
      </c>
      <c r="I734" s="2" t="s">
        <v>15</v>
      </c>
      <c r="J734" s="2" t="s">
        <v>16</v>
      </c>
      <c r="K734" s="2" t="s">
        <v>17</v>
      </c>
      <c r="L734" s="7">
        <v>1901.05</v>
      </c>
      <c r="M734" s="2" t="str">
        <f>_xlfn.IFS(TelecomData[[#This Row],[TenureMonths]]&lt;=12, "0-1 Year", TelecomData[[#This Row],[TenureMonths]]&lt;=36, "1-3 Years", TelecomData[[#This Row],[TenureMonths]]&gt;36, "3+ Years")</f>
        <v>1-3 Years</v>
      </c>
      <c r="N734" s="2" t="str">
        <f>IF(TelecomData[[#This Row],[CleanedTotalCharges]]&gt;=2500,"High Spend", "Standard Spend")</f>
        <v>Standard Spend</v>
      </c>
    </row>
    <row r="735" spans="1:14" x14ac:dyDescent="0.3">
      <c r="A735" s="1" t="s">
        <v>759</v>
      </c>
      <c r="B735" s="2" t="s">
        <v>12</v>
      </c>
      <c r="C735" s="2" t="s">
        <v>35</v>
      </c>
      <c r="D735" s="2">
        <v>72</v>
      </c>
      <c r="E735" s="2" t="s">
        <v>26</v>
      </c>
      <c r="F735" s="2" t="s">
        <v>15</v>
      </c>
      <c r="G735" s="7">
        <v>79.05</v>
      </c>
      <c r="H735" s="7">
        <v>5730.7</v>
      </c>
      <c r="I735" s="2" t="s">
        <v>15</v>
      </c>
      <c r="J735" s="2" t="s">
        <v>15</v>
      </c>
      <c r="K735" s="2" t="s">
        <v>24</v>
      </c>
      <c r="L735" s="7">
        <v>5730.7</v>
      </c>
      <c r="M735" s="2" t="str">
        <f>_xlfn.IFS(TelecomData[[#This Row],[TenureMonths]]&lt;=12, "0-1 Year", TelecomData[[#This Row],[TenureMonths]]&lt;=36, "1-3 Years", TelecomData[[#This Row],[TenureMonths]]&gt;36, "3+ Years")</f>
        <v>3+ Years</v>
      </c>
      <c r="N735" s="2" t="str">
        <f>IF(TelecomData[[#This Row],[CleanedTotalCharges]]&gt;=2500,"High Spend", "Standard Spend")</f>
        <v>High Spend</v>
      </c>
    </row>
    <row r="736" spans="1:14" x14ac:dyDescent="0.3">
      <c r="A736" s="1" t="s">
        <v>760</v>
      </c>
      <c r="B736" s="2" t="s">
        <v>12</v>
      </c>
      <c r="C736" s="2" t="s">
        <v>13</v>
      </c>
      <c r="D736" s="2">
        <v>27</v>
      </c>
      <c r="E736" s="2" t="s">
        <v>26</v>
      </c>
      <c r="F736" s="2" t="s">
        <v>15</v>
      </c>
      <c r="G736" s="7">
        <v>90.15</v>
      </c>
      <c r="H736" s="7">
        <v>2423.4</v>
      </c>
      <c r="I736" s="2" t="s">
        <v>15</v>
      </c>
      <c r="J736" s="2" t="s">
        <v>15</v>
      </c>
      <c r="K736" s="2" t="s">
        <v>24</v>
      </c>
      <c r="L736" s="7">
        <v>2423.4</v>
      </c>
      <c r="M736" s="2" t="str">
        <f>_xlfn.IFS(TelecomData[[#This Row],[TenureMonths]]&lt;=12, "0-1 Year", TelecomData[[#This Row],[TenureMonths]]&lt;=36, "1-3 Years", TelecomData[[#This Row],[TenureMonths]]&gt;36, "3+ Years")</f>
        <v>1-3 Years</v>
      </c>
      <c r="N736" s="2" t="str">
        <f>IF(TelecomData[[#This Row],[CleanedTotalCharges]]&gt;=2500,"High Spend", "Standard Spend")</f>
        <v>Standard Spend</v>
      </c>
    </row>
    <row r="737" spans="1:14" x14ac:dyDescent="0.3">
      <c r="A737" s="1" t="s">
        <v>761</v>
      </c>
      <c r="B737" s="2" t="s">
        <v>19</v>
      </c>
      <c r="C737" s="2" t="s">
        <v>13</v>
      </c>
      <c r="D737" s="2">
        <v>32</v>
      </c>
      <c r="E737" s="2" t="s">
        <v>14</v>
      </c>
      <c r="F737" s="2" t="s">
        <v>15</v>
      </c>
      <c r="G737" s="7">
        <v>50.6</v>
      </c>
      <c r="H737" s="7">
        <v>1653.45</v>
      </c>
      <c r="I737" s="2" t="s">
        <v>15</v>
      </c>
      <c r="J737" s="2" t="s">
        <v>15</v>
      </c>
      <c r="K737" s="2" t="s">
        <v>29</v>
      </c>
      <c r="L737" s="7">
        <v>1653.45</v>
      </c>
      <c r="M737" s="2" t="str">
        <f>_xlfn.IFS(TelecomData[[#This Row],[TenureMonths]]&lt;=12, "0-1 Year", TelecomData[[#This Row],[TenureMonths]]&lt;=36, "1-3 Years", TelecomData[[#This Row],[TenureMonths]]&gt;36, "3+ Years")</f>
        <v>1-3 Years</v>
      </c>
      <c r="N737" s="2" t="str">
        <f>IF(TelecomData[[#This Row],[CleanedTotalCharges]]&gt;=2500,"High Spend", "Standard Spend")</f>
        <v>Standard Spend</v>
      </c>
    </row>
    <row r="738" spans="1:14" x14ac:dyDescent="0.3">
      <c r="A738" s="1" t="s">
        <v>762</v>
      </c>
      <c r="B738" s="2" t="s">
        <v>12</v>
      </c>
      <c r="C738" s="2" t="s">
        <v>20</v>
      </c>
      <c r="D738" s="2">
        <v>30</v>
      </c>
      <c r="E738" s="2" t="s">
        <v>26</v>
      </c>
      <c r="F738" s="2" t="s">
        <v>16</v>
      </c>
      <c r="G738" s="7">
        <v>110.45</v>
      </c>
      <c r="H738" s="7">
        <v>3327.05</v>
      </c>
      <c r="I738" s="2" t="s">
        <v>15</v>
      </c>
      <c r="J738" s="2" t="s">
        <v>15</v>
      </c>
      <c r="K738" s="2" t="s">
        <v>29</v>
      </c>
      <c r="L738" s="7">
        <v>3327.05</v>
      </c>
      <c r="M738" s="2" t="str">
        <f>_xlfn.IFS(TelecomData[[#This Row],[TenureMonths]]&lt;=12, "0-1 Year", TelecomData[[#This Row],[TenureMonths]]&lt;=36, "1-3 Years", TelecomData[[#This Row],[TenureMonths]]&gt;36, "3+ Years")</f>
        <v>1-3 Years</v>
      </c>
      <c r="N738" s="2" t="str">
        <f>IF(TelecomData[[#This Row],[CleanedTotalCharges]]&gt;=2500,"High Spend", "Standard Spend")</f>
        <v>High Spend</v>
      </c>
    </row>
    <row r="739" spans="1:14" x14ac:dyDescent="0.3">
      <c r="A739" s="1" t="s">
        <v>763</v>
      </c>
      <c r="B739" s="2" t="s">
        <v>19</v>
      </c>
      <c r="C739" s="2" t="s">
        <v>35</v>
      </c>
      <c r="D739" s="2">
        <v>70</v>
      </c>
      <c r="E739" s="2" t="s">
        <v>26</v>
      </c>
      <c r="F739" s="2" t="s">
        <v>16</v>
      </c>
      <c r="G739" s="7">
        <v>101</v>
      </c>
      <c r="H739" s="7">
        <v>7085.5</v>
      </c>
      <c r="I739" s="2" t="s">
        <v>15</v>
      </c>
      <c r="J739" s="2" t="s">
        <v>15</v>
      </c>
      <c r="K739" s="2" t="s">
        <v>29</v>
      </c>
      <c r="L739" s="7">
        <v>7085.5</v>
      </c>
      <c r="M739" s="2" t="str">
        <f>_xlfn.IFS(TelecomData[[#This Row],[TenureMonths]]&lt;=12, "0-1 Year", TelecomData[[#This Row],[TenureMonths]]&lt;=36, "1-3 Years", TelecomData[[#This Row],[TenureMonths]]&gt;36, "3+ Years")</f>
        <v>3+ Years</v>
      </c>
      <c r="N739" s="2" t="str">
        <f>IF(TelecomData[[#This Row],[CleanedTotalCharges]]&gt;=2500,"High Spend", "Standard Spend")</f>
        <v>High Spend</v>
      </c>
    </row>
    <row r="740" spans="1:14" x14ac:dyDescent="0.3">
      <c r="A740" s="1" t="s">
        <v>764</v>
      </c>
      <c r="B740" s="2" t="s">
        <v>19</v>
      </c>
      <c r="C740" s="2" t="s">
        <v>13</v>
      </c>
      <c r="D740" s="2">
        <v>42</v>
      </c>
      <c r="E740" s="2" t="s">
        <v>26</v>
      </c>
      <c r="F740" s="2" t="s">
        <v>15</v>
      </c>
      <c r="G740" s="7">
        <v>79.349999999999994</v>
      </c>
      <c r="H740" s="7">
        <v>3344.1</v>
      </c>
      <c r="I740" s="2" t="s">
        <v>15</v>
      </c>
      <c r="J740" s="2" t="s">
        <v>16</v>
      </c>
      <c r="K740" s="2" t="s">
        <v>24</v>
      </c>
      <c r="L740" s="7">
        <v>3344.1</v>
      </c>
      <c r="M740" s="2" t="str">
        <f>_xlfn.IFS(TelecomData[[#This Row],[TenureMonths]]&lt;=12, "0-1 Year", TelecomData[[#This Row],[TenureMonths]]&lt;=36, "1-3 Years", TelecomData[[#This Row],[TenureMonths]]&gt;36, "3+ Years")</f>
        <v>3+ Years</v>
      </c>
      <c r="N740" s="2" t="str">
        <f>IF(TelecomData[[#This Row],[CleanedTotalCharges]]&gt;=2500,"High Spend", "Standard Spend")</f>
        <v>High Spend</v>
      </c>
    </row>
    <row r="741" spans="1:14" x14ac:dyDescent="0.3">
      <c r="A741" s="1" t="s">
        <v>765</v>
      </c>
      <c r="B741" s="2" t="s">
        <v>12</v>
      </c>
      <c r="C741" s="2" t="s">
        <v>35</v>
      </c>
      <c r="D741" s="2">
        <v>72</v>
      </c>
      <c r="E741" s="2" t="s">
        <v>14</v>
      </c>
      <c r="F741" s="2" t="s">
        <v>16</v>
      </c>
      <c r="G741" s="7">
        <v>89.85</v>
      </c>
      <c r="H741" s="7">
        <v>6697.35</v>
      </c>
      <c r="I741" s="2" t="s">
        <v>15</v>
      </c>
      <c r="J741" s="2" t="s">
        <v>16</v>
      </c>
      <c r="K741" s="2" t="s">
        <v>24</v>
      </c>
      <c r="L741" s="7">
        <v>6697.35</v>
      </c>
      <c r="M741" s="2" t="str">
        <f>_xlfn.IFS(TelecomData[[#This Row],[TenureMonths]]&lt;=12, "0-1 Year", TelecomData[[#This Row],[TenureMonths]]&lt;=36, "1-3 Years", TelecomData[[#This Row],[TenureMonths]]&gt;36, "3+ Years")</f>
        <v>3+ Years</v>
      </c>
      <c r="N741" s="2" t="str">
        <f>IF(TelecomData[[#This Row],[CleanedTotalCharges]]&gt;=2500,"High Spend", "Standard Spend")</f>
        <v>High Spend</v>
      </c>
    </row>
    <row r="742" spans="1:14" x14ac:dyDescent="0.3">
      <c r="A742" s="1" t="s">
        <v>766</v>
      </c>
      <c r="B742" s="2" t="s">
        <v>12</v>
      </c>
      <c r="C742" s="2" t="s">
        <v>35</v>
      </c>
      <c r="D742" s="2">
        <v>47</v>
      </c>
      <c r="E742" s="2" t="s">
        <v>14</v>
      </c>
      <c r="F742" s="2" t="s">
        <v>16</v>
      </c>
      <c r="G742" s="7">
        <v>65</v>
      </c>
      <c r="H742" s="7">
        <v>2879.9</v>
      </c>
      <c r="I742" s="2" t="s">
        <v>15</v>
      </c>
      <c r="J742" s="2" t="s">
        <v>16</v>
      </c>
      <c r="K742" s="2" t="s">
        <v>21</v>
      </c>
      <c r="L742" s="7">
        <v>2879.9</v>
      </c>
      <c r="M742" s="2" t="str">
        <f>_xlfn.IFS(TelecomData[[#This Row],[TenureMonths]]&lt;=12, "0-1 Year", TelecomData[[#This Row],[TenureMonths]]&lt;=36, "1-3 Years", TelecomData[[#This Row],[TenureMonths]]&gt;36, "3+ Years")</f>
        <v>3+ Years</v>
      </c>
      <c r="N742" s="2" t="str">
        <f>IF(TelecomData[[#This Row],[CleanedTotalCharges]]&gt;=2500,"High Spend", "Standard Spend")</f>
        <v>High Spend</v>
      </c>
    </row>
    <row r="743" spans="1:14" x14ac:dyDescent="0.3">
      <c r="A743" s="1" t="s">
        <v>767</v>
      </c>
      <c r="B743" s="2" t="s">
        <v>12</v>
      </c>
      <c r="C743" s="2" t="s">
        <v>13</v>
      </c>
      <c r="D743" s="2">
        <v>2</v>
      </c>
      <c r="E743" s="2" t="s">
        <v>26</v>
      </c>
      <c r="F743" s="2" t="s">
        <v>15</v>
      </c>
      <c r="G743" s="7">
        <v>80.45</v>
      </c>
      <c r="H743" s="7">
        <v>137.1</v>
      </c>
      <c r="I743" s="2" t="s">
        <v>15</v>
      </c>
      <c r="J743" s="2" t="s">
        <v>16</v>
      </c>
      <c r="K743" s="2" t="s">
        <v>17</v>
      </c>
      <c r="L743" s="7">
        <v>137.1</v>
      </c>
      <c r="M743" s="2" t="str">
        <f>_xlfn.IFS(TelecomData[[#This Row],[TenureMonths]]&lt;=12, "0-1 Year", TelecomData[[#This Row],[TenureMonths]]&lt;=36, "1-3 Years", TelecomData[[#This Row],[TenureMonths]]&gt;36, "3+ Years")</f>
        <v>0-1 Year</v>
      </c>
      <c r="N743" s="2" t="str">
        <f>IF(TelecomData[[#This Row],[CleanedTotalCharges]]&gt;=2500,"High Spend", "Standard Spend")</f>
        <v>Standard Spend</v>
      </c>
    </row>
    <row r="744" spans="1:14" x14ac:dyDescent="0.3">
      <c r="A744" s="1" t="s">
        <v>768</v>
      </c>
      <c r="B744" s="2" t="s">
        <v>19</v>
      </c>
      <c r="C744" s="2" t="s">
        <v>13</v>
      </c>
      <c r="D744" s="2">
        <v>10</v>
      </c>
      <c r="E744" s="2" t="s">
        <v>26</v>
      </c>
      <c r="F744" s="2" t="s">
        <v>15</v>
      </c>
      <c r="G744" s="7">
        <v>98.55</v>
      </c>
      <c r="H744" s="7">
        <v>1008.55</v>
      </c>
      <c r="I744" s="2" t="s">
        <v>16</v>
      </c>
      <c r="J744" s="2" t="s">
        <v>15</v>
      </c>
      <c r="K744" s="2" t="s">
        <v>17</v>
      </c>
      <c r="L744" s="7">
        <v>1008.55</v>
      </c>
      <c r="M744" s="2" t="str">
        <f>_xlfn.IFS(TelecomData[[#This Row],[TenureMonths]]&lt;=12, "0-1 Year", TelecomData[[#This Row],[TenureMonths]]&lt;=36, "1-3 Years", TelecomData[[#This Row],[TenureMonths]]&gt;36, "3+ Years")</f>
        <v>0-1 Year</v>
      </c>
      <c r="N744" s="2" t="str">
        <f>IF(TelecomData[[#This Row],[CleanedTotalCharges]]&gt;=2500,"High Spend", "Standard Spend")</f>
        <v>Standard Spend</v>
      </c>
    </row>
    <row r="745" spans="1:14" x14ac:dyDescent="0.3">
      <c r="A745" s="1" t="s">
        <v>769</v>
      </c>
      <c r="B745" s="2" t="s">
        <v>12</v>
      </c>
      <c r="C745" s="2" t="s">
        <v>35</v>
      </c>
      <c r="D745" s="2">
        <v>61</v>
      </c>
      <c r="E745" s="2" t="s">
        <v>15</v>
      </c>
      <c r="F745" s="2" t="s">
        <v>36</v>
      </c>
      <c r="G745" s="7">
        <v>24.1</v>
      </c>
      <c r="H745" s="7">
        <v>1551.6</v>
      </c>
      <c r="I745" s="2" t="s">
        <v>15</v>
      </c>
      <c r="J745" s="2" t="s">
        <v>16</v>
      </c>
      <c r="K745" s="2" t="s">
        <v>21</v>
      </c>
      <c r="L745" s="7">
        <v>1551.6</v>
      </c>
      <c r="M745" s="2" t="str">
        <f>_xlfn.IFS(TelecomData[[#This Row],[TenureMonths]]&lt;=12, "0-1 Year", TelecomData[[#This Row],[TenureMonths]]&lt;=36, "1-3 Years", TelecomData[[#This Row],[TenureMonths]]&gt;36, "3+ Years")</f>
        <v>3+ Years</v>
      </c>
      <c r="N745" s="2" t="str">
        <f>IF(TelecomData[[#This Row],[CleanedTotalCharges]]&gt;=2500,"High Spend", "Standard Spend")</f>
        <v>Standard Spend</v>
      </c>
    </row>
    <row r="746" spans="1:14" x14ac:dyDescent="0.3">
      <c r="A746" s="1" t="s">
        <v>770</v>
      </c>
      <c r="B746" s="2" t="s">
        <v>12</v>
      </c>
      <c r="C746" s="2" t="s">
        <v>13</v>
      </c>
      <c r="D746" s="2">
        <v>5</v>
      </c>
      <c r="E746" s="2" t="s">
        <v>14</v>
      </c>
      <c r="F746" s="2" t="s">
        <v>15</v>
      </c>
      <c r="G746" s="7">
        <v>44.05</v>
      </c>
      <c r="H746" s="7">
        <v>202.15</v>
      </c>
      <c r="I746" s="2" t="s">
        <v>15</v>
      </c>
      <c r="J746" s="2" t="s">
        <v>16</v>
      </c>
      <c r="K746" s="2" t="s">
        <v>29</v>
      </c>
      <c r="L746" s="7">
        <v>202.15</v>
      </c>
      <c r="M746" s="2" t="str">
        <f>_xlfn.IFS(TelecomData[[#This Row],[TenureMonths]]&lt;=12, "0-1 Year", TelecomData[[#This Row],[TenureMonths]]&lt;=36, "1-3 Years", TelecomData[[#This Row],[TenureMonths]]&gt;36, "3+ Years")</f>
        <v>0-1 Year</v>
      </c>
      <c r="N746" s="2" t="str">
        <f>IF(TelecomData[[#This Row],[CleanedTotalCharges]]&gt;=2500,"High Spend", "Standard Spend")</f>
        <v>Standard Spend</v>
      </c>
    </row>
    <row r="747" spans="1:14" x14ac:dyDescent="0.3">
      <c r="A747" s="1" t="s">
        <v>771</v>
      </c>
      <c r="B747" s="2" t="s">
        <v>12</v>
      </c>
      <c r="C747" s="2" t="s">
        <v>35</v>
      </c>
      <c r="D747" s="2">
        <v>72</v>
      </c>
      <c r="E747" s="2" t="s">
        <v>26</v>
      </c>
      <c r="F747" s="2" t="s">
        <v>16</v>
      </c>
      <c r="G747" s="7">
        <v>110.8</v>
      </c>
      <c r="H747" s="7">
        <v>7882.25</v>
      </c>
      <c r="I747" s="2" t="s">
        <v>15</v>
      </c>
      <c r="J747" s="2" t="s">
        <v>16</v>
      </c>
      <c r="K747" s="2" t="s">
        <v>29</v>
      </c>
      <c r="L747" s="7">
        <v>7882.25</v>
      </c>
      <c r="M747" s="2" t="str">
        <f>_xlfn.IFS(TelecomData[[#This Row],[TenureMonths]]&lt;=12, "0-1 Year", TelecomData[[#This Row],[TenureMonths]]&lt;=36, "1-3 Years", TelecomData[[#This Row],[TenureMonths]]&gt;36, "3+ Years")</f>
        <v>3+ Years</v>
      </c>
      <c r="N747" s="2" t="str">
        <f>IF(TelecomData[[#This Row],[CleanedTotalCharges]]&gt;=2500,"High Spend", "Standard Spend")</f>
        <v>High Spend</v>
      </c>
    </row>
    <row r="748" spans="1:14" x14ac:dyDescent="0.3">
      <c r="A748" s="1" t="s">
        <v>772</v>
      </c>
      <c r="B748" s="2" t="s">
        <v>19</v>
      </c>
      <c r="C748" s="2" t="s">
        <v>35</v>
      </c>
      <c r="D748" s="2">
        <v>72</v>
      </c>
      <c r="E748" s="2" t="s">
        <v>26</v>
      </c>
      <c r="F748" s="2" t="s">
        <v>16</v>
      </c>
      <c r="G748" s="7">
        <v>114.95</v>
      </c>
      <c r="H748" s="7">
        <v>8196.4</v>
      </c>
      <c r="I748" s="2" t="s">
        <v>15</v>
      </c>
      <c r="J748" s="2" t="s">
        <v>16</v>
      </c>
      <c r="K748" s="2" t="s">
        <v>24</v>
      </c>
      <c r="L748" s="7">
        <v>8196.4</v>
      </c>
      <c r="M748" s="2" t="str">
        <f>_xlfn.IFS(TelecomData[[#This Row],[TenureMonths]]&lt;=12, "0-1 Year", TelecomData[[#This Row],[TenureMonths]]&lt;=36, "1-3 Years", TelecomData[[#This Row],[TenureMonths]]&gt;36, "3+ Years")</f>
        <v>3+ Years</v>
      </c>
      <c r="N748" s="2" t="str">
        <f>IF(TelecomData[[#This Row],[CleanedTotalCharges]]&gt;=2500,"High Spend", "Standard Spend")</f>
        <v>High Spend</v>
      </c>
    </row>
    <row r="749" spans="1:14" x14ac:dyDescent="0.3">
      <c r="A749" s="1" t="s">
        <v>773</v>
      </c>
      <c r="B749" s="2" t="s">
        <v>12</v>
      </c>
      <c r="C749" s="2" t="s">
        <v>13</v>
      </c>
      <c r="D749" s="2">
        <v>3</v>
      </c>
      <c r="E749" s="2" t="s">
        <v>26</v>
      </c>
      <c r="F749" s="2" t="s">
        <v>15</v>
      </c>
      <c r="G749" s="7">
        <v>75.05</v>
      </c>
      <c r="H749" s="7">
        <v>202.9</v>
      </c>
      <c r="I749" s="2" t="s">
        <v>15</v>
      </c>
      <c r="J749" s="2" t="s">
        <v>15</v>
      </c>
      <c r="K749" s="2" t="s">
        <v>21</v>
      </c>
      <c r="L749" s="7">
        <v>202.9</v>
      </c>
      <c r="M749" s="2" t="str">
        <f>_xlfn.IFS(TelecomData[[#This Row],[TenureMonths]]&lt;=12, "0-1 Year", TelecomData[[#This Row],[TenureMonths]]&lt;=36, "1-3 Years", TelecomData[[#This Row],[TenureMonths]]&gt;36, "3+ Years")</f>
        <v>0-1 Year</v>
      </c>
      <c r="N749" s="2" t="str">
        <f>IF(TelecomData[[#This Row],[CleanedTotalCharges]]&gt;=2500,"High Spend", "Standard Spend")</f>
        <v>Standard Spend</v>
      </c>
    </row>
    <row r="750" spans="1:14" x14ac:dyDescent="0.3">
      <c r="A750" s="1" t="s">
        <v>774</v>
      </c>
      <c r="B750" s="2" t="s">
        <v>19</v>
      </c>
      <c r="C750" s="2" t="s">
        <v>35</v>
      </c>
      <c r="D750" s="2">
        <v>48</v>
      </c>
      <c r="E750" s="2" t="s">
        <v>15</v>
      </c>
      <c r="F750" s="2" t="s">
        <v>36</v>
      </c>
      <c r="G750" s="7">
        <v>19.25</v>
      </c>
      <c r="H750" s="7">
        <v>855.1</v>
      </c>
      <c r="I750" s="2" t="s">
        <v>15</v>
      </c>
      <c r="J750" s="2" t="s">
        <v>15</v>
      </c>
      <c r="K750" s="2" t="s">
        <v>21</v>
      </c>
      <c r="L750" s="7">
        <v>855.1</v>
      </c>
      <c r="M750" s="2" t="str">
        <f>_xlfn.IFS(TelecomData[[#This Row],[TenureMonths]]&lt;=12, "0-1 Year", TelecomData[[#This Row],[TenureMonths]]&lt;=36, "1-3 Years", TelecomData[[#This Row],[TenureMonths]]&gt;36, "3+ Years")</f>
        <v>3+ Years</v>
      </c>
      <c r="N750" s="2" t="str">
        <f>IF(TelecomData[[#This Row],[CleanedTotalCharges]]&gt;=2500,"High Spend", "Standard Spend")</f>
        <v>Standard Spend</v>
      </c>
    </row>
    <row r="751" spans="1:14" x14ac:dyDescent="0.3">
      <c r="A751" s="1" t="s">
        <v>775</v>
      </c>
      <c r="B751" s="2" t="s">
        <v>12</v>
      </c>
      <c r="C751" s="2" t="s">
        <v>20</v>
      </c>
      <c r="D751" s="2">
        <v>63</v>
      </c>
      <c r="E751" s="2" t="s">
        <v>26</v>
      </c>
      <c r="F751" s="2" t="s">
        <v>16</v>
      </c>
      <c r="G751" s="7">
        <v>90.05</v>
      </c>
      <c r="H751" s="7">
        <v>5817</v>
      </c>
      <c r="I751" s="2" t="s">
        <v>15</v>
      </c>
      <c r="J751" s="2" t="s">
        <v>16</v>
      </c>
      <c r="K751" s="2" t="s">
        <v>29</v>
      </c>
      <c r="L751" s="7">
        <v>5817</v>
      </c>
      <c r="M751" s="2" t="str">
        <f>_xlfn.IFS(TelecomData[[#This Row],[TenureMonths]]&lt;=12, "0-1 Year", TelecomData[[#This Row],[TenureMonths]]&lt;=36, "1-3 Years", TelecomData[[#This Row],[TenureMonths]]&gt;36, "3+ Years")</f>
        <v>3+ Years</v>
      </c>
      <c r="N751" s="2" t="str">
        <f>IF(TelecomData[[#This Row],[CleanedTotalCharges]]&gt;=2500,"High Spend", "Standard Spend")</f>
        <v>High Spend</v>
      </c>
    </row>
    <row r="752" spans="1:14" x14ac:dyDescent="0.3">
      <c r="A752" s="1" t="s">
        <v>776</v>
      </c>
      <c r="B752" s="2" t="s">
        <v>12</v>
      </c>
      <c r="C752" s="2" t="s">
        <v>13</v>
      </c>
      <c r="D752" s="2">
        <v>27</v>
      </c>
      <c r="E752" s="2" t="s">
        <v>14</v>
      </c>
      <c r="F752" s="2" t="s">
        <v>15</v>
      </c>
      <c r="G752" s="7">
        <v>56.7</v>
      </c>
      <c r="H752" s="7">
        <v>1652.95</v>
      </c>
      <c r="I752" s="2" t="s">
        <v>15</v>
      </c>
      <c r="J752" s="2" t="s">
        <v>16</v>
      </c>
      <c r="K752" s="2" t="s">
        <v>21</v>
      </c>
      <c r="L752" s="7">
        <v>1652.95</v>
      </c>
      <c r="M752" s="2" t="str">
        <f>_xlfn.IFS(TelecomData[[#This Row],[TenureMonths]]&lt;=12, "0-1 Year", TelecomData[[#This Row],[TenureMonths]]&lt;=36, "1-3 Years", TelecomData[[#This Row],[TenureMonths]]&gt;36, "3+ Years")</f>
        <v>1-3 Years</v>
      </c>
      <c r="N752" s="2" t="str">
        <f>IF(TelecomData[[#This Row],[CleanedTotalCharges]]&gt;=2500,"High Spend", "Standard Spend")</f>
        <v>Standard Spend</v>
      </c>
    </row>
    <row r="753" spans="1:14" x14ac:dyDescent="0.3">
      <c r="A753" s="1" t="s">
        <v>777</v>
      </c>
      <c r="B753" s="2" t="s">
        <v>19</v>
      </c>
      <c r="C753" s="2" t="s">
        <v>35</v>
      </c>
      <c r="D753" s="2">
        <v>70</v>
      </c>
      <c r="E753" s="2" t="s">
        <v>14</v>
      </c>
      <c r="F753" s="2" t="s">
        <v>15</v>
      </c>
      <c r="G753" s="7">
        <v>80.150000000000006</v>
      </c>
      <c r="H753" s="7">
        <v>5600.15</v>
      </c>
      <c r="I753" s="2" t="s">
        <v>15</v>
      </c>
      <c r="J753" s="2" t="s">
        <v>16</v>
      </c>
      <c r="K753" s="2" t="s">
        <v>29</v>
      </c>
      <c r="L753" s="7">
        <v>5600.15</v>
      </c>
      <c r="M753" s="2" t="str">
        <f>_xlfn.IFS(TelecomData[[#This Row],[TenureMonths]]&lt;=12, "0-1 Year", TelecomData[[#This Row],[TenureMonths]]&lt;=36, "1-3 Years", TelecomData[[#This Row],[TenureMonths]]&gt;36, "3+ Years")</f>
        <v>3+ Years</v>
      </c>
      <c r="N753" s="2" t="str">
        <f>IF(TelecomData[[#This Row],[CleanedTotalCharges]]&gt;=2500,"High Spend", "Standard Spend")</f>
        <v>High Spend</v>
      </c>
    </row>
    <row r="754" spans="1:14" x14ac:dyDescent="0.3">
      <c r="A754" s="1" t="s">
        <v>778</v>
      </c>
      <c r="B754" s="2" t="s">
        <v>19</v>
      </c>
      <c r="C754" s="2" t="s">
        <v>13</v>
      </c>
      <c r="D754" s="2">
        <v>7</v>
      </c>
      <c r="E754" s="2" t="s">
        <v>14</v>
      </c>
      <c r="F754" s="2" t="s">
        <v>16</v>
      </c>
      <c r="G754" s="7">
        <v>71.349999999999994</v>
      </c>
      <c r="H754" s="7">
        <v>515.75</v>
      </c>
      <c r="I754" s="2" t="s">
        <v>15</v>
      </c>
      <c r="J754" s="2" t="s">
        <v>16</v>
      </c>
      <c r="K754" s="2" t="s">
        <v>29</v>
      </c>
      <c r="L754" s="7">
        <v>515.75</v>
      </c>
      <c r="M754" s="2" t="str">
        <f>_xlfn.IFS(TelecomData[[#This Row],[TenureMonths]]&lt;=12, "0-1 Year", TelecomData[[#This Row],[TenureMonths]]&lt;=36, "1-3 Years", TelecomData[[#This Row],[TenureMonths]]&gt;36, "3+ Years")</f>
        <v>0-1 Year</v>
      </c>
      <c r="N754" s="2" t="str">
        <f>IF(TelecomData[[#This Row],[CleanedTotalCharges]]&gt;=2500,"High Spend", "Standard Spend")</f>
        <v>Standard Spend</v>
      </c>
    </row>
    <row r="755" spans="1:14" x14ac:dyDescent="0.3">
      <c r="A755" s="1" t="s">
        <v>779</v>
      </c>
      <c r="B755" s="2" t="s">
        <v>19</v>
      </c>
      <c r="C755" s="2" t="s">
        <v>35</v>
      </c>
      <c r="D755" s="2">
        <v>0</v>
      </c>
      <c r="E755" s="2" t="s">
        <v>15</v>
      </c>
      <c r="F755" s="2" t="s">
        <v>36</v>
      </c>
      <c r="G755" s="7">
        <v>20.25</v>
      </c>
      <c r="H755" s="7" t="s">
        <v>514</v>
      </c>
      <c r="I755" s="2" t="s">
        <v>15</v>
      </c>
      <c r="J755" s="2" t="s">
        <v>15</v>
      </c>
      <c r="K755" s="2" t="s">
        <v>21</v>
      </c>
      <c r="L755" s="7">
        <v>0</v>
      </c>
      <c r="M755" s="2" t="str">
        <f>_xlfn.IFS(TelecomData[[#This Row],[TenureMonths]]&lt;=12, "0-1 Year", TelecomData[[#This Row],[TenureMonths]]&lt;=36, "1-3 Years", TelecomData[[#This Row],[TenureMonths]]&gt;36, "3+ Years")</f>
        <v>0-1 Year</v>
      </c>
      <c r="N755" s="2" t="str">
        <f>IF(TelecomData[[#This Row],[CleanedTotalCharges]]&gt;=2500,"High Spend", "Standard Spend")</f>
        <v>Standard Spend</v>
      </c>
    </row>
    <row r="756" spans="1:14" x14ac:dyDescent="0.3">
      <c r="A756" s="1" t="s">
        <v>780</v>
      </c>
      <c r="B756" s="2" t="s">
        <v>12</v>
      </c>
      <c r="C756" s="2" t="s">
        <v>13</v>
      </c>
      <c r="D756" s="2">
        <v>2</v>
      </c>
      <c r="E756" s="2" t="s">
        <v>26</v>
      </c>
      <c r="F756" s="2" t="s">
        <v>15</v>
      </c>
      <c r="G756" s="7">
        <v>90.35</v>
      </c>
      <c r="H756" s="7">
        <v>190.5</v>
      </c>
      <c r="I756" s="2" t="s">
        <v>15</v>
      </c>
      <c r="J756" s="2" t="s">
        <v>15</v>
      </c>
      <c r="K756" s="2" t="s">
        <v>17</v>
      </c>
      <c r="L756" s="7">
        <v>190.5</v>
      </c>
      <c r="M756" s="2" t="str">
        <f>_xlfn.IFS(TelecomData[[#This Row],[TenureMonths]]&lt;=12, "0-1 Year", TelecomData[[#This Row],[TenureMonths]]&lt;=36, "1-3 Years", TelecomData[[#This Row],[TenureMonths]]&gt;36, "3+ Years")</f>
        <v>0-1 Year</v>
      </c>
      <c r="N756" s="2" t="str">
        <f>IF(TelecomData[[#This Row],[CleanedTotalCharges]]&gt;=2500,"High Spend", "Standard Spend")</f>
        <v>Standard Spend</v>
      </c>
    </row>
    <row r="757" spans="1:14" x14ac:dyDescent="0.3">
      <c r="A757" s="1" t="s">
        <v>781</v>
      </c>
      <c r="B757" s="2" t="s">
        <v>19</v>
      </c>
      <c r="C757" s="2" t="s">
        <v>13</v>
      </c>
      <c r="D757" s="2">
        <v>20</v>
      </c>
      <c r="E757" s="2" t="s">
        <v>26</v>
      </c>
      <c r="F757" s="2" t="s">
        <v>15</v>
      </c>
      <c r="G757" s="7">
        <v>98.55</v>
      </c>
      <c r="H757" s="7">
        <v>1842.8</v>
      </c>
      <c r="I757" s="2" t="s">
        <v>16</v>
      </c>
      <c r="J757" s="2" t="s">
        <v>16</v>
      </c>
      <c r="K757" s="2" t="s">
        <v>17</v>
      </c>
      <c r="L757" s="7">
        <v>1842.8</v>
      </c>
      <c r="M757" s="2" t="str">
        <f>_xlfn.IFS(TelecomData[[#This Row],[TenureMonths]]&lt;=12, "0-1 Year", TelecomData[[#This Row],[TenureMonths]]&lt;=36, "1-3 Years", TelecomData[[#This Row],[TenureMonths]]&gt;36, "3+ Years")</f>
        <v>1-3 Years</v>
      </c>
      <c r="N757" s="2" t="str">
        <f>IF(TelecomData[[#This Row],[CleanedTotalCharges]]&gt;=2500,"High Spend", "Standard Spend")</f>
        <v>Standard Spend</v>
      </c>
    </row>
    <row r="758" spans="1:14" x14ac:dyDescent="0.3">
      <c r="A758" s="1" t="s">
        <v>782</v>
      </c>
      <c r="B758" s="2" t="s">
        <v>19</v>
      </c>
      <c r="C758" s="2" t="s">
        <v>35</v>
      </c>
      <c r="D758" s="2">
        <v>66</v>
      </c>
      <c r="E758" s="2" t="s">
        <v>15</v>
      </c>
      <c r="F758" s="2" t="s">
        <v>36</v>
      </c>
      <c r="G758" s="7">
        <v>19.7</v>
      </c>
      <c r="H758" s="7">
        <v>1253.8</v>
      </c>
      <c r="I758" s="2" t="s">
        <v>15</v>
      </c>
      <c r="J758" s="2" t="s">
        <v>15</v>
      </c>
      <c r="K758" s="2" t="s">
        <v>24</v>
      </c>
      <c r="L758" s="7">
        <v>1253.8</v>
      </c>
      <c r="M758" s="2" t="str">
        <f>_xlfn.IFS(TelecomData[[#This Row],[TenureMonths]]&lt;=12, "0-1 Year", TelecomData[[#This Row],[TenureMonths]]&lt;=36, "1-3 Years", TelecomData[[#This Row],[TenureMonths]]&gt;36, "3+ Years")</f>
        <v>3+ Years</v>
      </c>
      <c r="N758" s="2" t="str">
        <f>IF(TelecomData[[#This Row],[CleanedTotalCharges]]&gt;=2500,"High Spend", "Standard Spend")</f>
        <v>Standard Spend</v>
      </c>
    </row>
    <row r="759" spans="1:14" x14ac:dyDescent="0.3">
      <c r="A759" s="1" t="s">
        <v>783</v>
      </c>
      <c r="B759" s="2" t="s">
        <v>12</v>
      </c>
      <c r="C759" s="2" t="s">
        <v>13</v>
      </c>
      <c r="D759" s="2">
        <v>3</v>
      </c>
      <c r="E759" s="2" t="s">
        <v>15</v>
      </c>
      <c r="F759" s="2" t="s">
        <v>36</v>
      </c>
      <c r="G759" s="7">
        <v>19.850000000000001</v>
      </c>
      <c r="H759" s="7">
        <v>57.2</v>
      </c>
      <c r="I759" s="2" t="s">
        <v>15</v>
      </c>
      <c r="J759" s="2" t="s">
        <v>15</v>
      </c>
      <c r="K759" s="2" t="s">
        <v>21</v>
      </c>
      <c r="L759" s="7">
        <v>57.2</v>
      </c>
      <c r="M759" s="2" t="str">
        <f>_xlfn.IFS(TelecomData[[#This Row],[TenureMonths]]&lt;=12, "0-1 Year", TelecomData[[#This Row],[TenureMonths]]&lt;=36, "1-3 Years", TelecomData[[#This Row],[TenureMonths]]&gt;36, "3+ Years")</f>
        <v>0-1 Year</v>
      </c>
      <c r="N759" s="2" t="str">
        <f>IF(TelecomData[[#This Row],[CleanedTotalCharges]]&gt;=2500,"High Spend", "Standard Spend")</f>
        <v>Standard Spend</v>
      </c>
    </row>
    <row r="760" spans="1:14" x14ac:dyDescent="0.3">
      <c r="A760" s="1" t="s">
        <v>784</v>
      </c>
      <c r="B760" s="2" t="s">
        <v>12</v>
      </c>
      <c r="C760" s="2" t="s">
        <v>13</v>
      </c>
      <c r="D760" s="2">
        <v>15</v>
      </c>
      <c r="E760" s="2" t="s">
        <v>26</v>
      </c>
      <c r="F760" s="2" t="s">
        <v>15</v>
      </c>
      <c r="G760" s="7">
        <v>85.9</v>
      </c>
      <c r="H760" s="7">
        <v>1269.55</v>
      </c>
      <c r="I760" s="2" t="s">
        <v>16</v>
      </c>
      <c r="J760" s="2" t="s">
        <v>16</v>
      </c>
      <c r="K760" s="2" t="s">
        <v>24</v>
      </c>
      <c r="L760" s="7">
        <v>1269.55</v>
      </c>
      <c r="M760" s="2" t="str">
        <f>_xlfn.IFS(TelecomData[[#This Row],[TenureMonths]]&lt;=12, "0-1 Year", TelecomData[[#This Row],[TenureMonths]]&lt;=36, "1-3 Years", TelecomData[[#This Row],[TenureMonths]]&gt;36, "3+ Years")</f>
        <v>1-3 Years</v>
      </c>
      <c r="N760" s="2" t="str">
        <f>IF(TelecomData[[#This Row],[CleanedTotalCharges]]&gt;=2500,"High Spend", "Standard Spend")</f>
        <v>Standard Spend</v>
      </c>
    </row>
    <row r="761" spans="1:14" x14ac:dyDescent="0.3">
      <c r="A761" s="1" t="s">
        <v>785</v>
      </c>
      <c r="B761" s="2" t="s">
        <v>12</v>
      </c>
      <c r="C761" s="2" t="s">
        <v>35</v>
      </c>
      <c r="D761" s="2">
        <v>72</v>
      </c>
      <c r="E761" s="2" t="s">
        <v>26</v>
      </c>
      <c r="F761" s="2" t="s">
        <v>16</v>
      </c>
      <c r="G761" s="7">
        <v>90.35</v>
      </c>
      <c r="H761" s="7">
        <v>6563.4</v>
      </c>
      <c r="I761" s="2" t="s">
        <v>15</v>
      </c>
      <c r="J761" s="2" t="s">
        <v>16</v>
      </c>
      <c r="K761" s="2" t="s">
        <v>24</v>
      </c>
      <c r="L761" s="7">
        <v>6563.4</v>
      </c>
      <c r="M761" s="2" t="str">
        <f>_xlfn.IFS(TelecomData[[#This Row],[TenureMonths]]&lt;=12, "0-1 Year", TelecomData[[#This Row],[TenureMonths]]&lt;=36, "1-3 Years", TelecomData[[#This Row],[TenureMonths]]&gt;36, "3+ Years")</f>
        <v>3+ Years</v>
      </c>
      <c r="N761" s="2" t="str">
        <f>IF(TelecomData[[#This Row],[CleanedTotalCharges]]&gt;=2500,"High Spend", "Standard Spend")</f>
        <v>High Spend</v>
      </c>
    </row>
    <row r="762" spans="1:14" x14ac:dyDescent="0.3">
      <c r="A762" s="1" t="s">
        <v>786</v>
      </c>
      <c r="B762" s="2" t="s">
        <v>19</v>
      </c>
      <c r="C762" s="2" t="s">
        <v>13</v>
      </c>
      <c r="D762" s="2">
        <v>1</v>
      </c>
      <c r="E762" s="2" t="s">
        <v>15</v>
      </c>
      <c r="F762" s="2" t="s">
        <v>36</v>
      </c>
      <c r="G762" s="7">
        <v>20.8</v>
      </c>
      <c r="H762" s="7">
        <v>20.8</v>
      </c>
      <c r="I762" s="2" t="s">
        <v>15</v>
      </c>
      <c r="J762" s="2" t="s">
        <v>15</v>
      </c>
      <c r="K762" s="2" t="s">
        <v>21</v>
      </c>
      <c r="L762" s="7">
        <v>20.8</v>
      </c>
      <c r="M762" s="2" t="str">
        <f>_xlfn.IFS(TelecomData[[#This Row],[TenureMonths]]&lt;=12, "0-1 Year", TelecomData[[#This Row],[TenureMonths]]&lt;=36, "1-3 Years", TelecomData[[#This Row],[TenureMonths]]&gt;36, "3+ Years")</f>
        <v>0-1 Year</v>
      </c>
      <c r="N762" s="2" t="str">
        <f>IF(TelecomData[[#This Row],[CleanedTotalCharges]]&gt;=2500,"High Spend", "Standard Spend")</f>
        <v>Standard Spend</v>
      </c>
    </row>
    <row r="763" spans="1:14" x14ac:dyDescent="0.3">
      <c r="A763" s="1" t="s">
        <v>787</v>
      </c>
      <c r="B763" s="2" t="s">
        <v>12</v>
      </c>
      <c r="C763" s="2" t="s">
        <v>13</v>
      </c>
      <c r="D763" s="2">
        <v>22</v>
      </c>
      <c r="E763" s="2" t="s">
        <v>26</v>
      </c>
      <c r="F763" s="2" t="s">
        <v>15</v>
      </c>
      <c r="G763" s="7">
        <v>89.25</v>
      </c>
      <c r="H763" s="7">
        <v>1907.85</v>
      </c>
      <c r="I763" s="2" t="s">
        <v>16</v>
      </c>
      <c r="J763" s="2" t="s">
        <v>15</v>
      </c>
      <c r="K763" s="2" t="s">
        <v>17</v>
      </c>
      <c r="L763" s="7">
        <v>1907.85</v>
      </c>
      <c r="M763" s="2" t="str">
        <f>_xlfn.IFS(TelecomData[[#This Row],[TenureMonths]]&lt;=12, "0-1 Year", TelecomData[[#This Row],[TenureMonths]]&lt;=36, "1-3 Years", TelecomData[[#This Row],[TenureMonths]]&gt;36, "3+ Years")</f>
        <v>1-3 Years</v>
      </c>
      <c r="N763" s="2" t="str">
        <f>IF(TelecomData[[#This Row],[CleanedTotalCharges]]&gt;=2500,"High Spend", "Standard Spend")</f>
        <v>Standard Spend</v>
      </c>
    </row>
    <row r="764" spans="1:14" x14ac:dyDescent="0.3">
      <c r="A764" s="1" t="s">
        <v>788</v>
      </c>
      <c r="B764" s="2" t="s">
        <v>19</v>
      </c>
      <c r="C764" s="2" t="s">
        <v>13</v>
      </c>
      <c r="D764" s="2">
        <v>3</v>
      </c>
      <c r="E764" s="2" t="s">
        <v>26</v>
      </c>
      <c r="F764" s="2" t="s">
        <v>15</v>
      </c>
      <c r="G764" s="7">
        <v>70.3</v>
      </c>
      <c r="H764" s="7">
        <v>208.85</v>
      </c>
      <c r="I764" s="2" t="s">
        <v>16</v>
      </c>
      <c r="J764" s="2" t="s">
        <v>16</v>
      </c>
      <c r="K764" s="2" t="s">
        <v>17</v>
      </c>
      <c r="L764" s="7">
        <v>208.85</v>
      </c>
      <c r="M764" s="2" t="str">
        <f>_xlfn.IFS(TelecomData[[#This Row],[TenureMonths]]&lt;=12, "0-1 Year", TelecomData[[#This Row],[TenureMonths]]&lt;=36, "1-3 Years", TelecomData[[#This Row],[TenureMonths]]&gt;36, "3+ Years")</f>
        <v>0-1 Year</v>
      </c>
      <c r="N764" s="2" t="str">
        <f>IF(TelecomData[[#This Row],[CleanedTotalCharges]]&gt;=2500,"High Spend", "Standard Spend")</f>
        <v>Standard Spend</v>
      </c>
    </row>
    <row r="765" spans="1:14" x14ac:dyDescent="0.3">
      <c r="A765" s="1" t="s">
        <v>789</v>
      </c>
      <c r="B765" s="2" t="s">
        <v>12</v>
      </c>
      <c r="C765" s="2" t="s">
        <v>35</v>
      </c>
      <c r="D765" s="2">
        <v>72</v>
      </c>
      <c r="E765" s="2" t="s">
        <v>14</v>
      </c>
      <c r="F765" s="2" t="s">
        <v>16</v>
      </c>
      <c r="G765" s="7">
        <v>66.849999999999994</v>
      </c>
      <c r="H765" s="7">
        <v>4758.8</v>
      </c>
      <c r="I765" s="2" t="s">
        <v>15</v>
      </c>
      <c r="J765" s="2" t="s">
        <v>15</v>
      </c>
      <c r="K765" s="2" t="s">
        <v>24</v>
      </c>
      <c r="L765" s="7">
        <v>4758.8</v>
      </c>
      <c r="M765" s="2" t="str">
        <f>_xlfn.IFS(TelecomData[[#This Row],[TenureMonths]]&lt;=12, "0-1 Year", TelecomData[[#This Row],[TenureMonths]]&lt;=36, "1-3 Years", TelecomData[[#This Row],[TenureMonths]]&gt;36, "3+ Years")</f>
        <v>3+ Years</v>
      </c>
      <c r="N765" s="2" t="str">
        <f>IF(TelecomData[[#This Row],[CleanedTotalCharges]]&gt;=2500,"High Spend", "Standard Spend")</f>
        <v>High Spend</v>
      </c>
    </row>
    <row r="766" spans="1:14" x14ac:dyDescent="0.3">
      <c r="A766" s="1" t="s">
        <v>790</v>
      </c>
      <c r="B766" s="2" t="s">
        <v>19</v>
      </c>
      <c r="C766" s="2" t="s">
        <v>35</v>
      </c>
      <c r="D766" s="2">
        <v>65</v>
      </c>
      <c r="E766" s="2" t="s">
        <v>15</v>
      </c>
      <c r="F766" s="2" t="s">
        <v>36</v>
      </c>
      <c r="G766" s="7">
        <v>19.899999999999999</v>
      </c>
      <c r="H766" s="7">
        <v>1292.5999999999999</v>
      </c>
      <c r="I766" s="2" t="s">
        <v>15</v>
      </c>
      <c r="J766" s="2" t="s">
        <v>15</v>
      </c>
      <c r="K766" s="2" t="s">
        <v>21</v>
      </c>
      <c r="L766" s="7">
        <v>1292.5999999999999</v>
      </c>
      <c r="M766" s="2" t="str">
        <f>_xlfn.IFS(TelecomData[[#This Row],[TenureMonths]]&lt;=12, "0-1 Year", TelecomData[[#This Row],[TenureMonths]]&lt;=36, "1-3 Years", TelecomData[[#This Row],[TenureMonths]]&gt;36, "3+ Years")</f>
        <v>3+ Years</v>
      </c>
      <c r="N766" s="2" t="str">
        <f>IF(TelecomData[[#This Row],[CleanedTotalCharges]]&gt;=2500,"High Spend", "Standard Spend")</f>
        <v>Standard Spend</v>
      </c>
    </row>
    <row r="767" spans="1:14" x14ac:dyDescent="0.3">
      <c r="A767" s="1" t="s">
        <v>791</v>
      </c>
      <c r="B767" s="2" t="s">
        <v>12</v>
      </c>
      <c r="C767" s="2" t="s">
        <v>13</v>
      </c>
      <c r="D767" s="2">
        <v>11</v>
      </c>
      <c r="E767" s="2" t="s">
        <v>14</v>
      </c>
      <c r="F767" s="2" t="s">
        <v>15</v>
      </c>
      <c r="G767" s="7">
        <v>35.799999999999997</v>
      </c>
      <c r="H767" s="7">
        <v>363.15</v>
      </c>
      <c r="I767" s="2" t="s">
        <v>15</v>
      </c>
      <c r="J767" s="2" t="s">
        <v>16</v>
      </c>
      <c r="K767" s="2" t="s">
        <v>21</v>
      </c>
      <c r="L767" s="7">
        <v>363.15</v>
      </c>
      <c r="M767" s="2" t="str">
        <f>_xlfn.IFS(TelecomData[[#This Row],[TenureMonths]]&lt;=12, "0-1 Year", TelecomData[[#This Row],[TenureMonths]]&lt;=36, "1-3 Years", TelecomData[[#This Row],[TenureMonths]]&gt;36, "3+ Years")</f>
        <v>0-1 Year</v>
      </c>
      <c r="N767" s="2" t="str">
        <f>IF(TelecomData[[#This Row],[CleanedTotalCharges]]&gt;=2500,"High Spend", "Standard Spend")</f>
        <v>Standard Spend</v>
      </c>
    </row>
    <row r="768" spans="1:14" x14ac:dyDescent="0.3">
      <c r="A768" s="1" t="s">
        <v>792</v>
      </c>
      <c r="B768" s="2" t="s">
        <v>19</v>
      </c>
      <c r="C768" s="2" t="s">
        <v>13</v>
      </c>
      <c r="D768" s="2">
        <v>22</v>
      </c>
      <c r="E768" s="2" t="s">
        <v>26</v>
      </c>
      <c r="F768" s="2" t="s">
        <v>15</v>
      </c>
      <c r="G768" s="7">
        <v>78.849999999999994</v>
      </c>
      <c r="H768" s="7">
        <v>1600.25</v>
      </c>
      <c r="I768" s="2" t="s">
        <v>15</v>
      </c>
      <c r="J768" s="2" t="s">
        <v>16</v>
      </c>
      <c r="K768" s="2" t="s">
        <v>21</v>
      </c>
      <c r="L768" s="7">
        <v>1600.25</v>
      </c>
      <c r="M768" s="2" t="str">
        <f>_xlfn.IFS(TelecomData[[#This Row],[TenureMonths]]&lt;=12, "0-1 Year", TelecomData[[#This Row],[TenureMonths]]&lt;=36, "1-3 Years", TelecomData[[#This Row],[TenureMonths]]&gt;36, "3+ Years")</f>
        <v>1-3 Years</v>
      </c>
      <c r="N768" s="2" t="str">
        <f>IF(TelecomData[[#This Row],[CleanedTotalCharges]]&gt;=2500,"High Spend", "Standard Spend")</f>
        <v>Standard Spend</v>
      </c>
    </row>
    <row r="769" spans="1:14" x14ac:dyDescent="0.3">
      <c r="A769" s="1" t="s">
        <v>793</v>
      </c>
      <c r="B769" s="2" t="s">
        <v>19</v>
      </c>
      <c r="C769" s="2" t="s">
        <v>20</v>
      </c>
      <c r="D769" s="2">
        <v>14</v>
      </c>
      <c r="E769" s="2" t="s">
        <v>15</v>
      </c>
      <c r="F769" s="2" t="s">
        <v>36</v>
      </c>
      <c r="G769" s="7">
        <v>20.399999999999999</v>
      </c>
      <c r="H769" s="7">
        <v>275.7</v>
      </c>
      <c r="I769" s="2" t="s">
        <v>15</v>
      </c>
      <c r="J769" s="2" t="s">
        <v>15</v>
      </c>
      <c r="K769" s="2" t="s">
        <v>24</v>
      </c>
      <c r="L769" s="7">
        <v>275.7</v>
      </c>
      <c r="M769" s="2" t="str">
        <f>_xlfn.IFS(TelecomData[[#This Row],[TenureMonths]]&lt;=12, "0-1 Year", TelecomData[[#This Row],[TenureMonths]]&lt;=36, "1-3 Years", TelecomData[[#This Row],[TenureMonths]]&gt;36, "3+ Years")</f>
        <v>1-3 Years</v>
      </c>
      <c r="N769" s="2" t="str">
        <f>IF(TelecomData[[#This Row],[CleanedTotalCharges]]&gt;=2500,"High Spend", "Standard Spend")</f>
        <v>Standard Spend</v>
      </c>
    </row>
    <row r="770" spans="1:14" x14ac:dyDescent="0.3">
      <c r="A770" s="1" t="s">
        <v>794</v>
      </c>
      <c r="B770" s="2" t="s">
        <v>19</v>
      </c>
      <c r="C770" s="2" t="s">
        <v>13</v>
      </c>
      <c r="D770" s="2">
        <v>41</v>
      </c>
      <c r="E770" s="2" t="s">
        <v>26</v>
      </c>
      <c r="F770" s="2" t="s">
        <v>16</v>
      </c>
      <c r="G770" s="7">
        <v>74.25</v>
      </c>
      <c r="H770" s="7">
        <v>3089.1</v>
      </c>
      <c r="I770" s="2" t="s">
        <v>15</v>
      </c>
      <c r="J770" s="2" t="s">
        <v>16</v>
      </c>
      <c r="K770" s="2" t="s">
        <v>17</v>
      </c>
      <c r="L770" s="7">
        <v>3089.1</v>
      </c>
      <c r="M770" s="2" t="str">
        <f>_xlfn.IFS(TelecomData[[#This Row],[TenureMonths]]&lt;=12, "0-1 Year", TelecomData[[#This Row],[TenureMonths]]&lt;=36, "1-3 Years", TelecomData[[#This Row],[TenureMonths]]&gt;36, "3+ Years")</f>
        <v>3+ Years</v>
      </c>
      <c r="N770" s="2" t="str">
        <f>IF(TelecomData[[#This Row],[CleanedTotalCharges]]&gt;=2500,"High Spend", "Standard Spend")</f>
        <v>High Spend</v>
      </c>
    </row>
    <row r="771" spans="1:14" x14ac:dyDescent="0.3">
      <c r="A771" s="1" t="s">
        <v>795</v>
      </c>
      <c r="B771" s="2" t="s">
        <v>19</v>
      </c>
      <c r="C771" s="2" t="s">
        <v>20</v>
      </c>
      <c r="D771" s="2">
        <v>17</v>
      </c>
      <c r="E771" s="2" t="s">
        <v>14</v>
      </c>
      <c r="F771" s="2" t="s">
        <v>15</v>
      </c>
      <c r="G771" s="7">
        <v>64.8</v>
      </c>
      <c r="H771" s="7">
        <v>1175.5999999999999</v>
      </c>
      <c r="I771" s="2" t="s">
        <v>15</v>
      </c>
      <c r="J771" s="2" t="s">
        <v>15</v>
      </c>
      <c r="K771" s="2" t="s">
        <v>21</v>
      </c>
      <c r="L771" s="7">
        <v>1175.5999999999999</v>
      </c>
      <c r="M771" s="2" t="str">
        <f>_xlfn.IFS(TelecomData[[#This Row],[TenureMonths]]&lt;=12, "0-1 Year", TelecomData[[#This Row],[TenureMonths]]&lt;=36, "1-3 Years", TelecomData[[#This Row],[TenureMonths]]&gt;36, "3+ Years")</f>
        <v>1-3 Years</v>
      </c>
      <c r="N771" s="2" t="str">
        <f>IF(TelecomData[[#This Row],[CleanedTotalCharges]]&gt;=2500,"High Spend", "Standard Spend")</f>
        <v>Standard Spend</v>
      </c>
    </row>
    <row r="772" spans="1:14" x14ac:dyDescent="0.3">
      <c r="A772" s="1" t="s">
        <v>796</v>
      </c>
      <c r="B772" s="2" t="s">
        <v>19</v>
      </c>
      <c r="C772" s="2" t="s">
        <v>13</v>
      </c>
      <c r="D772" s="2">
        <v>11</v>
      </c>
      <c r="E772" s="2" t="s">
        <v>15</v>
      </c>
      <c r="F772" s="2" t="s">
        <v>36</v>
      </c>
      <c r="G772" s="7">
        <v>20.45</v>
      </c>
      <c r="H772" s="7">
        <v>237.3</v>
      </c>
      <c r="I772" s="2" t="s">
        <v>15</v>
      </c>
      <c r="J772" s="2" t="s">
        <v>16</v>
      </c>
      <c r="K772" s="2" t="s">
        <v>29</v>
      </c>
      <c r="L772" s="7">
        <v>237.3</v>
      </c>
      <c r="M772" s="2" t="str">
        <f>_xlfn.IFS(TelecomData[[#This Row],[TenureMonths]]&lt;=12, "0-1 Year", TelecomData[[#This Row],[TenureMonths]]&lt;=36, "1-3 Years", TelecomData[[#This Row],[TenureMonths]]&gt;36, "3+ Years")</f>
        <v>0-1 Year</v>
      </c>
      <c r="N772" s="2" t="str">
        <f>IF(TelecomData[[#This Row],[CleanedTotalCharges]]&gt;=2500,"High Spend", "Standard Spend")</f>
        <v>Standard Spend</v>
      </c>
    </row>
    <row r="773" spans="1:14" x14ac:dyDescent="0.3">
      <c r="A773" s="1" t="s">
        <v>797</v>
      </c>
      <c r="B773" s="2" t="s">
        <v>19</v>
      </c>
      <c r="C773" s="2" t="s">
        <v>13</v>
      </c>
      <c r="D773" s="2">
        <v>15</v>
      </c>
      <c r="E773" s="2" t="s">
        <v>26</v>
      </c>
      <c r="F773" s="2" t="s">
        <v>15</v>
      </c>
      <c r="G773" s="7">
        <v>93.35</v>
      </c>
      <c r="H773" s="7">
        <v>1444.65</v>
      </c>
      <c r="I773" s="2" t="s">
        <v>16</v>
      </c>
      <c r="J773" s="2" t="s">
        <v>16</v>
      </c>
      <c r="K773" s="2" t="s">
        <v>17</v>
      </c>
      <c r="L773" s="7">
        <v>1444.65</v>
      </c>
      <c r="M773" s="2" t="str">
        <f>_xlfn.IFS(TelecomData[[#This Row],[TenureMonths]]&lt;=12, "0-1 Year", TelecomData[[#This Row],[TenureMonths]]&lt;=36, "1-3 Years", TelecomData[[#This Row],[TenureMonths]]&gt;36, "3+ Years")</f>
        <v>1-3 Years</v>
      </c>
      <c r="N773" s="2" t="str">
        <f>IF(TelecomData[[#This Row],[CleanedTotalCharges]]&gt;=2500,"High Spend", "Standard Spend")</f>
        <v>Standard Spend</v>
      </c>
    </row>
    <row r="774" spans="1:14" x14ac:dyDescent="0.3">
      <c r="A774" s="1" t="s">
        <v>798</v>
      </c>
      <c r="B774" s="2" t="s">
        <v>12</v>
      </c>
      <c r="C774" s="2" t="s">
        <v>13</v>
      </c>
      <c r="D774" s="2">
        <v>1</v>
      </c>
      <c r="E774" s="2" t="s">
        <v>15</v>
      </c>
      <c r="F774" s="2" t="s">
        <v>36</v>
      </c>
      <c r="G774" s="7">
        <v>19.899999999999999</v>
      </c>
      <c r="H774" s="7">
        <v>19.899999999999999</v>
      </c>
      <c r="I774" s="2" t="s">
        <v>16</v>
      </c>
      <c r="J774" s="2" t="s">
        <v>15</v>
      </c>
      <c r="K774" s="2" t="s">
        <v>21</v>
      </c>
      <c r="L774" s="7">
        <v>19.899999999999999</v>
      </c>
      <c r="M774" s="2" t="str">
        <f>_xlfn.IFS(TelecomData[[#This Row],[TenureMonths]]&lt;=12, "0-1 Year", TelecomData[[#This Row],[TenureMonths]]&lt;=36, "1-3 Years", TelecomData[[#This Row],[TenureMonths]]&gt;36, "3+ Years")</f>
        <v>0-1 Year</v>
      </c>
      <c r="N774" s="2" t="str">
        <f>IF(TelecomData[[#This Row],[CleanedTotalCharges]]&gt;=2500,"High Spend", "Standard Spend")</f>
        <v>Standard Spend</v>
      </c>
    </row>
    <row r="775" spans="1:14" x14ac:dyDescent="0.3">
      <c r="A775" s="1" t="s">
        <v>799</v>
      </c>
      <c r="B775" s="2" t="s">
        <v>12</v>
      </c>
      <c r="C775" s="2" t="s">
        <v>13</v>
      </c>
      <c r="D775" s="2">
        <v>5</v>
      </c>
      <c r="E775" s="2" t="s">
        <v>26</v>
      </c>
      <c r="F775" s="2" t="s">
        <v>15</v>
      </c>
      <c r="G775" s="7">
        <v>88.9</v>
      </c>
      <c r="H775" s="7">
        <v>454.15</v>
      </c>
      <c r="I775" s="2" t="s">
        <v>16</v>
      </c>
      <c r="J775" s="2" t="s">
        <v>16</v>
      </c>
      <c r="K775" s="2" t="s">
        <v>21</v>
      </c>
      <c r="L775" s="7">
        <v>454.15</v>
      </c>
      <c r="M775" s="2" t="str">
        <f>_xlfn.IFS(TelecomData[[#This Row],[TenureMonths]]&lt;=12, "0-1 Year", TelecomData[[#This Row],[TenureMonths]]&lt;=36, "1-3 Years", TelecomData[[#This Row],[TenureMonths]]&gt;36, "3+ Years")</f>
        <v>0-1 Year</v>
      </c>
      <c r="N775" s="2" t="str">
        <f>IF(TelecomData[[#This Row],[CleanedTotalCharges]]&gt;=2500,"High Spend", "Standard Spend")</f>
        <v>Standard Spend</v>
      </c>
    </row>
    <row r="776" spans="1:14" x14ac:dyDescent="0.3">
      <c r="A776" s="1" t="s">
        <v>800</v>
      </c>
      <c r="B776" s="2" t="s">
        <v>19</v>
      </c>
      <c r="C776" s="2" t="s">
        <v>20</v>
      </c>
      <c r="D776" s="2">
        <v>33</v>
      </c>
      <c r="E776" s="2" t="s">
        <v>26</v>
      </c>
      <c r="F776" s="2" t="s">
        <v>15</v>
      </c>
      <c r="G776" s="7">
        <v>95.8</v>
      </c>
      <c r="H776" s="7">
        <v>3036.75</v>
      </c>
      <c r="I776" s="2" t="s">
        <v>16</v>
      </c>
      <c r="J776" s="2" t="s">
        <v>16</v>
      </c>
      <c r="K776" s="2" t="s">
        <v>17</v>
      </c>
      <c r="L776" s="7">
        <v>3036.75</v>
      </c>
      <c r="M776" s="2" t="str">
        <f>_xlfn.IFS(TelecomData[[#This Row],[TenureMonths]]&lt;=12, "0-1 Year", TelecomData[[#This Row],[TenureMonths]]&lt;=36, "1-3 Years", TelecomData[[#This Row],[TenureMonths]]&gt;36, "3+ Years")</f>
        <v>1-3 Years</v>
      </c>
      <c r="N776" s="2" t="str">
        <f>IF(TelecomData[[#This Row],[CleanedTotalCharges]]&gt;=2500,"High Spend", "Standard Spend")</f>
        <v>High Spend</v>
      </c>
    </row>
    <row r="777" spans="1:14" x14ac:dyDescent="0.3">
      <c r="A777" s="1" t="s">
        <v>801</v>
      </c>
      <c r="B777" s="2" t="s">
        <v>12</v>
      </c>
      <c r="C777" s="2" t="s">
        <v>35</v>
      </c>
      <c r="D777" s="2">
        <v>72</v>
      </c>
      <c r="E777" s="2" t="s">
        <v>26</v>
      </c>
      <c r="F777" s="2" t="s">
        <v>15</v>
      </c>
      <c r="G777" s="7">
        <v>110.65</v>
      </c>
      <c r="H777" s="7">
        <v>8065.65</v>
      </c>
      <c r="I777" s="2" t="s">
        <v>15</v>
      </c>
      <c r="J777" s="2" t="s">
        <v>16</v>
      </c>
      <c r="K777" s="2" t="s">
        <v>29</v>
      </c>
      <c r="L777" s="7">
        <v>8065.65</v>
      </c>
      <c r="M777" s="2" t="str">
        <f>_xlfn.IFS(TelecomData[[#This Row],[TenureMonths]]&lt;=12, "0-1 Year", TelecomData[[#This Row],[TenureMonths]]&lt;=36, "1-3 Years", TelecomData[[#This Row],[TenureMonths]]&gt;36, "3+ Years")</f>
        <v>3+ Years</v>
      </c>
      <c r="N777" s="2" t="str">
        <f>IF(TelecomData[[#This Row],[CleanedTotalCharges]]&gt;=2500,"High Spend", "Standard Spend")</f>
        <v>High Spend</v>
      </c>
    </row>
    <row r="778" spans="1:14" x14ac:dyDescent="0.3">
      <c r="A778" s="1" t="s">
        <v>802</v>
      </c>
      <c r="B778" s="2" t="s">
        <v>12</v>
      </c>
      <c r="C778" s="2" t="s">
        <v>13</v>
      </c>
      <c r="D778" s="2">
        <v>3</v>
      </c>
      <c r="E778" s="2" t="s">
        <v>14</v>
      </c>
      <c r="F778" s="2" t="s">
        <v>15</v>
      </c>
      <c r="G778" s="7">
        <v>40.299999999999997</v>
      </c>
      <c r="H778" s="7">
        <v>92.5</v>
      </c>
      <c r="I778" s="2" t="s">
        <v>15</v>
      </c>
      <c r="J778" s="2" t="s">
        <v>15</v>
      </c>
      <c r="K778" s="2" t="s">
        <v>21</v>
      </c>
      <c r="L778" s="7">
        <v>92.5</v>
      </c>
      <c r="M778" s="2" t="str">
        <f>_xlfn.IFS(TelecomData[[#This Row],[TenureMonths]]&lt;=12, "0-1 Year", TelecomData[[#This Row],[TenureMonths]]&lt;=36, "1-3 Years", TelecomData[[#This Row],[TenureMonths]]&gt;36, "3+ Years")</f>
        <v>0-1 Year</v>
      </c>
      <c r="N778" s="2" t="str">
        <f>IF(TelecomData[[#This Row],[CleanedTotalCharges]]&gt;=2500,"High Spend", "Standard Spend")</f>
        <v>Standard Spend</v>
      </c>
    </row>
    <row r="779" spans="1:14" x14ac:dyDescent="0.3">
      <c r="A779" s="1" t="s">
        <v>803</v>
      </c>
      <c r="B779" s="2" t="s">
        <v>19</v>
      </c>
      <c r="C779" s="2" t="s">
        <v>13</v>
      </c>
      <c r="D779" s="2">
        <v>2</v>
      </c>
      <c r="E779" s="2" t="s">
        <v>26</v>
      </c>
      <c r="F779" s="2" t="s">
        <v>15</v>
      </c>
      <c r="G779" s="7">
        <v>82</v>
      </c>
      <c r="H779" s="7">
        <v>184.65</v>
      </c>
      <c r="I779" s="2" t="s">
        <v>16</v>
      </c>
      <c r="J779" s="2" t="s">
        <v>16</v>
      </c>
      <c r="K779" s="2" t="s">
        <v>17</v>
      </c>
      <c r="L779" s="7">
        <v>184.65</v>
      </c>
      <c r="M779" s="2" t="str">
        <f>_xlfn.IFS(TelecomData[[#This Row],[TenureMonths]]&lt;=12, "0-1 Year", TelecomData[[#This Row],[TenureMonths]]&lt;=36, "1-3 Years", TelecomData[[#This Row],[TenureMonths]]&gt;36, "3+ Years")</f>
        <v>0-1 Year</v>
      </c>
      <c r="N779" s="2" t="str">
        <f>IF(TelecomData[[#This Row],[CleanedTotalCharges]]&gt;=2500,"High Spend", "Standard Spend")</f>
        <v>Standard Spend</v>
      </c>
    </row>
    <row r="780" spans="1:14" x14ac:dyDescent="0.3">
      <c r="A780" s="1" t="s">
        <v>804</v>
      </c>
      <c r="B780" s="2" t="s">
        <v>12</v>
      </c>
      <c r="C780" s="2" t="s">
        <v>20</v>
      </c>
      <c r="D780" s="2">
        <v>59</v>
      </c>
      <c r="E780" s="2" t="s">
        <v>26</v>
      </c>
      <c r="F780" s="2" t="s">
        <v>16</v>
      </c>
      <c r="G780" s="7">
        <v>107</v>
      </c>
      <c r="H780" s="7">
        <v>6152.3</v>
      </c>
      <c r="I780" s="2" t="s">
        <v>15</v>
      </c>
      <c r="J780" s="2" t="s">
        <v>16</v>
      </c>
      <c r="K780" s="2" t="s">
        <v>29</v>
      </c>
      <c r="L780" s="7">
        <v>6152.3</v>
      </c>
      <c r="M780" s="2" t="str">
        <f>_xlfn.IFS(TelecomData[[#This Row],[TenureMonths]]&lt;=12, "0-1 Year", TelecomData[[#This Row],[TenureMonths]]&lt;=36, "1-3 Years", TelecomData[[#This Row],[TenureMonths]]&gt;36, "3+ Years")</f>
        <v>3+ Years</v>
      </c>
      <c r="N780" s="2" t="str">
        <f>IF(TelecomData[[#This Row],[CleanedTotalCharges]]&gt;=2500,"High Spend", "Standard Spend")</f>
        <v>High Spend</v>
      </c>
    </row>
    <row r="781" spans="1:14" x14ac:dyDescent="0.3">
      <c r="A781" s="1" t="s">
        <v>805</v>
      </c>
      <c r="B781" s="2" t="s">
        <v>19</v>
      </c>
      <c r="C781" s="2" t="s">
        <v>13</v>
      </c>
      <c r="D781" s="2">
        <v>2</v>
      </c>
      <c r="E781" s="2" t="s">
        <v>14</v>
      </c>
      <c r="F781" s="2" t="s">
        <v>15</v>
      </c>
      <c r="G781" s="7">
        <v>45.35</v>
      </c>
      <c r="H781" s="7">
        <v>89.5</v>
      </c>
      <c r="I781" s="2" t="s">
        <v>16</v>
      </c>
      <c r="J781" s="2" t="s">
        <v>15</v>
      </c>
      <c r="K781" s="2" t="s">
        <v>17</v>
      </c>
      <c r="L781" s="7">
        <v>89.5</v>
      </c>
      <c r="M781" s="2" t="str">
        <f>_xlfn.IFS(TelecomData[[#This Row],[TenureMonths]]&lt;=12, "0-1 Year", TelecomData[[#This Row],[TenureMonths]]&lt;=36, "1-3 Years", TelecomData[[#This Row],[TenureMonths]]&gt;36, "3+ Years")</f>
        <v>0-1 Year</v>
      </c>
      <c r="N781" s="2" t="str">
        <f>IF(TelecomData[[#This Row],[CleanedTotalCharges]]&gt;=2500,"High Spend", "Standard Spend")</f>
        <v>Standard Spend</v>
      </c>
    </row>
    <row r="782" spans="1:14" x14ac:dyDescent="0.3">
      <c r="A782" s="1" t="s">
        <v>806</v>
      </c>
      <c r="B782" s="2" t="s">
        <v>19</v>
      </c>
      <c r="C782" s="2" t="s">
        <v>35</v>
      </c>
      <c r="D782" s="2">
        <v>71</v>
      </c>
      <c r="E782" s="2" t="s">
        <v>14</v>
      </c>
      <c r="F782" s="2" t="s">
        <v>16</v>
      </c>
      <c r="G782" s="7">
        <v>73.349999999999994</v>
      </c>
      <c r="H782" s="7">
        <v>5154.5</v>
      </c>
      <c r="I782" s="2" t="s">
        <v>15</v>
      </c>
      <c r="J782" s="2" t="s">
        <v>16</v>
      </c>
      <c r="K782" s="2" t="s">
        <v>29</v>
      </c>
      <c r="L782" s="7">
        <v>5154.5</v>
      </c>
      <c r="M782" s="2" t="str">
        <f>_xlfn.IFS(TelecomData[[#This Row],[TenureMonths]]&lt;=12, "0-1 Year", TelecomData[[#This Row],[TenureMonths]]&lt;=36, "1-3 Years", TelecomData[[#This Row],[TenureMonths]]&gt;36, "3+ Years")</f>
        <v>3+ Years</v>
      </c>
      <c r="N782" s="2" t="str">
        <f>IF(TelecomData[[#This Row],[CleanedTotalCharges]]&gt;=2500,"High Spend", "Standard Spend")</f>
        <v>High Spend</v>
      </c>
    </row>
    <row r="783" spans="1:14" x14ac:dyDescent="0.3">
      <c r="A783" s="1" t="s">
        <v>807</v>
      </c>
      <c r="B783" s="2" t="s">
        <v>12</v>
      </c>
      <c r="C783" s="2" t="s">
        <v>13</v>
      </c>
      <c r="D783" s="2">
        <v>5</v>
      </c>
      <c r="E783" s="2" t="s">
        <v>14</v>
      </c>
      <c r="F783" s="2" t="s">
        <v>15</v>
      </c>
      <c r="G783" s="7">
        <v>44.8</v>
      </c>
      <c r="H783" s="7">
        <v>220.45</v>
      </c>
      <c r="I783" s="2" t="s">
        <v>15</v>
      </c>
      <c r="J783" s="2" t="s">
        <v>15</v>
      </c>
      <c r="K783" s="2" t="s">
        <v>21</v>
      </c>
      <c r="L783" s="7">
        <v>220.45</v>
      </c>
      <c r="M783" s="2" t="str">
        <f>_xlfn.IFS(TelecomData[[#This Row],[TenureMonths]]&lt;=12, "0-1 Year", TelecomData[[#This Row],[TenureMonths]]&lt;=36, "1-3 Years", TelecomData[[#This Row],[TenureMonths]]&gt;36, "3+ Years")</f>
        <v>0-1 Year</v>
      </c>
      <c r="N783" s="2" t="str">
        <f>IF(TelecomData[[#This Row],[CleanedTotalCharges]]&gt;=2500,"High Spend", "Standard Spend")</f>
        <v>Standard Spend</v>
      </c>
    </row>
    <row r="784" spans="1:14" x14ac:dyDescent="0.3">
      <c r="A784" s="1" t="s">
        <v>808</v>
      </c>
      <c r="B784" s="2" t="s">
        <v>19</v>
      </c>
      <c r="C784" s="2" t="s">
        <v>13</v>
      </c>
      <c r="D784" s="2">
        <v>27</v>
      </c>
      <c r="E784" s="2" t="s">
        <v>14</v>
      </c>
      <c r="F784" s="2" t="s">
        <v>15</v>
      </c>
      <c r="G784" s="7">
        <v>54.75</v>
      </c>
      <c r="H784" s="7">
        <v>1510.3</v>
      </c>
      <c r="I784" s="2" t="s">
        <v>15</v>
      </c>
      <c r="J784" s="2" t="s">
        <v>16</v>
      </c>
      <c r="K784" s="2" t="s">
        <v>29</v>
      </c>
      <c r="L784" s="7">
        <v>1510.3</v>
      </c>
      <c r="M784" s="2" t="str">
        <f>_xlfn.IFS(TelecomData[[#This Row],[TenureMonths]]&lt;=12, "0-1 Year", TelecomData[[#This Row],[TenureMonths]]&lt;=36, "1-3 Years", TelecomData[[#This Row],[TenureMonths]]&gt;36, "3+ Years")</f>
        <v>1-3 Years</v>
      </c>
      <c r="N784" s="2" t="str">
        <f>IF(TelecomData[[#This Row],[CleanedTotalCharges]]&gt;=2500,"High Spend", "Standard Spend")</f>
        <v>Standard Spend</v>
      </c>
    </row>
    <row r="785" spans="1:14" x14ac:dyDescent="0.3">
      <c r="A785" s="1" t="s">
        <v>809</v>
      </c>
      <c r="B785" s="2" t="s">
        <v>12</v>
      </c>
      <c r="C785" s="2" t="s">
        <v>13</v>
      </c>
      <c r="D785" s="2">
        <v>1</v>
      </c>
      <c r="E785" s="2" t="s">
        <v>14</v>
      </c>
      <c r="F785" s="2" t="s">
        <v>16</v>
      </c>
      <c r="G785" s="7">
        <v>52.2</v>
      </c>
      <c r="H785" s="7">
        <v>52.2</v>
      </c>
      <c r="I785" s="2" t="s">
        <v>16</v>
      </c>
      <c r="J785" s="2" t="s">
        <v>16</v>
      </c>
      <c r="K785" s="2" t="s">
        <v>17</v>
      </c>
      <c r="L785" s="7">
        <v>52.2</v>
      </c>
      <c r="M785" s="2" t="str">
        <f>_xlfn.IFS(TelecomData[[#This Row],[TenureMonths]]&lt;=12, "0-1 Year", TelecomData[[#This Row],[TenureMonths]]&lt;=36, "1-3 Years", TelecomData[[#This Row],[TenureMonths]]&gt;36, "3+ Years")</f>
        <v>0-1 Year</v>
      </c>
      <c r="N785" s="2" t="str">
        <f>IF(TelecomData[[#This Row],[CleanedTotalCharges]]&gt;=2500,"High Spend", "Standard Spend")</f>
        <v>Standard Spend</v>
      </c>
    </row>
    <row r="786" spans="1:14" x14ac:dyDescent="0.3">
      <c r="A786" s="1" t="s">
        <v>810</v>
      </c>
      <c r="B786" s="2" t="s">
        <v>19</v>
      </c>
      <c r="C786" s="2" t="s">
        <v>20</v>
      </c>
      <c r="D786" s="2">
        <v>63</v>
      </c>
      <c r="E786" s="2" t="s">
        <v>14</v>
      </c>
      <c r="F786" s="2" t="s">
        <v>16</v>
      </c>
      <c r="G786" s="7">
        <v>40.6</v>
      </c>
      <c r="H786" s="7">
        <v>2588.9499999999998</v>
      </c>
      <c r="I786" s="2" t="s">
        <v>15</v>
      </c>
      <c r="J786" s="2" t="s">
        <v>16</v>
      </c>
      <c r="K786" s="2" t="s">
        <v>24</v>
      </c>
      <c r="L786" s="7">
        <v>2588.9499999999998</v>
      </c>
      <c r="M786" s="2" t="str">
        <f>_xlfn.IFS(TelecomData[[#This Row],[TenureMonths]]&lt;=12, "0-1 Year", TelecomData[[#This Row],[TenureMonths]]&lt;=36, "1-3 Years", TelecomData[[#This Row],[TenureMonths]]&gt;36, "3+ Years")</f>
        <v>3+ Years</v>
      </c>
      <c r="N786" s="2" t="str">
        <f>IF(TelecomData[[#This Row],[CleanedTotalCharges]]&gt;=2500,"High Spend", "Standard Spend")</f>
        <v>High Spend</v>
      </c>
    </row>
    <row r="787" spans="1:14" x14ac:dyDescent="0.3">
      <c r="A787" s="1" t="s">
        <v>811</v>
      </c>
      <c r="B787" s="2" t="s">
        <v>12</v>
      </c>
      <c r="C787" s="2" t="s">
        <v>20</v>
      </c>
      <c r="D787" s="2">
        <v>46</v>
      </c>
      <c r="E787" s="2" t="s">
        <v>26</v>
      </c>
      <c r="F787" s="2" t="s">
        <v>15</v>
      </c>
      <c r="G787" s="7">
        <v>110</v>
      </c>
      <c r="H787" s="7">
        <v>4874.8</v>
      </c>
      <c r="I787" s="2" t="s">
        <v>16</v>
      </c>
      <c r="J787" s="2" t="s">
        <v>16</v>
      </c>
      <c r="K787" s="2" t="s">
        <v>17</v>
      </c>
      <c r="L787" s="7">
        <v>4874.8</v>
      </c>
      <c r="M787" s="2" t="str">
        <f>_xlfn.IFS(TelecomData[[#This Row],[TenureMonths]]&lt;=12, "0-1 Year", TelecomData[[#This Row],[TenureMonths]]&lt;=36, "1-3 Years", TelecomData[[#This Row],[TenureMonths]]&gt;36, "3+ Years")</f>
        <v>3+ Years</v>
      </c>
      <c r="N787" s="2" t="str">
        <f>IF(TelecomData[[#This Row],[CleanedTotalCharges]]&gt;=2500,"High Spend", "Standard Spend")</f>
        <v>High Spend</v>
      </c>
    </row>
    <row r="788" spans="1:14" x14ac:dyDescent="0.3">
      <c r="A788" s="1" t="s">
        <v>812</v>
      </c>
      <c r="B788" s="2" t="s">
        <v>19</v>
      </c>
      <c r="C788" s="2" t="s">
        <v>35</v>
      </c>
      <c r="D788" s="2">
        <v>72</v>
      </c>
      <c r="E788" s="2" t="s">
        <v>14</v>
      </c>
      <c r="F788" s="2" t="s">
        <v>15</v>
      </c>
      <c r="G788" s="7">
        <v>55.3</v>
      </c>
      <c r="H788" s="7">
        <v>3983.6</v>
      </c>
      <c r="I788" s="2" t="s">
        <v>15</v>
      </c>
      <c r="J788" s="2" t="s">
        <v>15</v>
      </c>
      <c r="K788" s="2" t="s">
        <v>24</v>
      </c>
      <c r="L788" s="7">
        <v>3983.6</v>
      </c>
      <c r="M788" s="2" t="str">
        <f>_xlfn.IFS(TelecomData[[#This Row],[TenureMonths]]&lt;=12, "0-1 Year", TelecomData[[#This Row],[TenureMonths]]&lt;=36, "1-3 Years", TelecomData[[#This Row],[TenureMonths]]&gt;36, "3+ Years")</f>
        <v>3+ Years</v>
      </c>
      <c r="N788" s="2" t="str">
        <f>IF(TelecomData[[#This Row],[CleanedTotalCharges]]&gt;=2500,"High Spend", "Standard Spend")</f>
        <v>High Spend</v>
      </c>
    </row>
    <row r="789" spans="1:14" x14ac:dyDescent="0.3">
      <c r="A789" s="1" t="s">
        <v>813</v>
      </c>
      <c r="B789" s="2" t="s">
        <v>12</v>
      </c>
      <c r="C789" s="2" t="s">
        <v>13</v>
      </c>
      <c r="D789" s="2">
        <v>34</v>
      </c>
      <c r="E789" s="2" t="s">
        <v>14</v>
      </c>
      <c r="F789" s="2" t="s">
        <v>16</v>
      </c>
      <c r="G789" s="7">
        <v>60.85</v>
      </c>
      <c r="H789" s="7">
        <v>2003.6</v>
      </c>
      <c r="I789" s="2" t="s">
        <v>15</v>
      </c>
      <c r="J789" s="2" t="s">
        <v>16</v>
      </c>
      <c r="K789" s="2" t="s">
        <v>24</v>
      </c>
      <c r="L789" s="7">
        <v>2003.6</v>
      </c>
      <c r="M789" s="2" t="str">
        <f>_xlfn.IFS(TelecomData[[#This Row],[TenureMonths]]&lt;=12, "0-1 Year", TelecomData[[#This Row],[TenureMonths]]&lt;=36, "1-3 Years", TelecomData[[#This Row],[TenureMonths]]&gt;36, "3+ Years")</f>
        <v>1-3 Years</v>
      </c>
      <c r="N789" s="2" t="str">
        <f>IF(TelecomData[[#This Row],[CleanedTotalCharges]]&gt;=2500,"High Spend", "Standard Spend")</f>
        <v>Standard Spend</v>
      </c>
    </row>
    <row r="790" spans="1:14" x14ac:dyDescent="0.3">
      <c r="A790" s="1" t="s">
        <v>814</v>
      </c>
      <c r="B790" s="2" t="s">
        <v>12</v>
      </c>
      <c r="C790" s="2" t="s">
        <v>20</v>
      </c>
      <c r="D790" s="2">
        <v>24</v>
      </c>
      <c r="E790" s="2" t="s">
        <v>14</v>
      </c>
      <c r="F790" s="2" t="s">
        <v>15</v>
      </c>
      <c r="G790" s="7">
        <v>78.400000000000006</v>
      </c>
      <c r="H790" s="7">
        <v>1832.4</v>
      </c>
      <c r="I790" s="2" t="s">
        <v>15</v>
      </c>
      <c r="J790" s="2" t="s">
        <v>15</v>
      </c>
      <c r="K790" s="2" t="s">
        <v>17</v>
      </c>
      <c r="L790" s="7">
        <v>1832.4</v>
      </c>
      <c r="M790" s="2" t="str">
        <f>_xlfn.IFS(TelecomData[[#This Row],[TenureMonths]]&lt;=12, "0-1 Year", TelecomData[[#This Row],[TenureMonths]]&lt;=36, "1-3 Years", TelecomData[[#This Row],[TenureMonths]]&gt;36, "3+ Years")</f>
        <v>1-3 Years</v>
      </c>
      <c r="N790" s="2" t="str">
        <f>IF(TelecomData[[#This Row],[CleanedTotalCharges]]&gt;=2500,"High Spend", "Standard Spend")</f>
        <v>Standard Spend</v>
      </c>
    </row>
    <row r="791" spans="1:14" x14ac:dyDescent="0.3">
      <c r="A791" s="1" t="s">
        <v>815</v>
      </c>
      <c r="B791" s="2" t="s">
        <v>19</v>
      </c>
      <c r="C791" s="2" t="s">
        <v>35</v>
      </c>
      <c r="D791" s="2">
        <v>72</v>
      </c>
      <c r="E791" s="2" t="s">
        <v>14</v>
      </c>
      <c r="F791" s="2" t="s">
        <v>16</v>
      </c>
      <c r="G791" s="7">
        <v>69.650000000000006</v>
      </c>
      <c r="H791" s="7">
        <v>4908.25</v>
      </c>
      <c r="I791" s="2" t="s">
        <v>15</v>
      </c>
      <c r="J791" s="2" t="s">
        <v>15</v>
      </c>
      <c r="K791" s="2" t="s">
        <v>24</v>
      </c>
      <c r="L791" s="7">
        <v>4908.25</v>
      </c>
      <c r="M791" s="2" t="str">
        <f>_xlfn.IFS(TelecomData[[#This Row],[TenureMonths]]&lt;=12, "0-1 Year", TelecomData[[#This Row],[TenureMonths]]&lt;=36, "1-3 Years", TelecomData[[#This Row],[TenureMonths]]&gt;36, "3+ Years")</f>
        <v>3+ Years</v>
      </c>
      <c r="N791" s="2" t="str">
        <f>IF(TelecomData[[#This Row],[CleanedTotalCharges]]&gt;=2500,"High Spend", "Standard Spend")</f>
        <v>High Spend</v>
      </c>
    </row>
    <row r="792" spans="1:14" x14ac:dyDescent="0.3">
      <c r="A792" s="1" t="s">
        <v>816</v>
      </c>
      <c r="B792" s="2" t="s">
        <v>12</v>
      </c>
      <c r="C792" s="2" t="s">
        <v>35</v>
      </c>
      <c r="D792" s="2">
        <v>60</v>
      </c>
      <c r="E792" s="2" t="s">
        <v>14</v>
      </c>
      <c r="F792" s="2" t="s">
        <v>16</v>
      </c>
      <c r="G792" s="7">
        <v>59.85</v>
      </c>
      <c r="H792" s="7">
        <v>3590.2</v>
      </c>
      <c r="I792" s="2" t="s">
        <v>15</v>
      </c>
      <c r="J792" s="2" t="s">
        <v>15</v>
      </c>
      <c r="K792" s="2" t="s">
        <v>29</v>
      </c>
      <c r="L792" s="7">
        <v>3590.2</v>
      </c>
      <c r="M792" s="2" t="str">
        <f>_xlfn.IFS(TelecomData[[#This Row],[TenureMonths]]&lt;=12, "0-1 Year", TelecomData[[#This Row],[TenureMonths]]&lt;=36, "1-3 Years", TelecomData[[#This Row],[TenureMonths]]&gt;36, "3+ Years")</f>
        <v>3+ Years</v>
      </c>
      <c r="N792" s="2" t="str">
        <f>IF(TelecomData[[#This Row],[CleanedTotalCharges]]&gt;=2500,"High Spend", "Standard Spend")</f>
        <v>High Spend</v>
      </c>
    </row>
    <row r="793" spans="1:14" x14ac:dyDescent="0.3">
      <c r="A793" s="1" t="s">
        <v>817</v>
      </c>
      <c r="B793" s="2" t="s">
        <v>19</v>
      </c>
      <c r="C793" s="2" t="s">
        <v>20</v>
      </c>
      <c r="D793" s="2">
        <v>68</v>
      </c>
      <c r="E793" s="2" t="s">
        <v>14</v>
      </c>
      <c r="F793" s="2" t="s">
        <v>15</v>
      </c>
      <c r="G793" s="7">
        <v>76.900000000000006</v>
      </c>
      <c r="H793" s="7">
        <v>5023</v>
      </c>
      <c r="I793" s="2" t="s">
        <v>15</v>
      </c>
      <c r="J793" s="2" t="s">
        <v>16</v>
      </c>
      <c r="K793" s="2" t="s">
        <v>29</v>
      </c>
      <c r="L793" s="7">
        <v>5023</v>
      </c>
      <c r="M793" s="2" t="str">
        <f>_xlfn.IFS(TelecomData[[#This Row],[TenureMonths]]&lt;=12, "0-1 Year", TelecomData[[#This Row],[TenureMonths]]&lt;=36, "1-3 Years", TelecomData[[#This Row],[TenureMonths]]&gt;36, "3+ Years")</f>
        <v>3+ Years</v>
      </c>
      <c r="N793" s="2" t="str">
        <f>IF(TelecomData[[#This Row],[CleanedTotalCharges]]&gt;=2500,"High Spend", "Standard Spend")</f>
        <v>High Spend</v>
      </c>
    </row>
    <row r="794" spans="1:14" x14ac:dyDescent="0.3">
      <c r="A794" s="1" t="s">
        <v>818</v>
      </c>
      <c r="B794" s="2" t="s">
        <v>12</v>
      </c>
      <c r="C794" s="2" t="s">
        <v>35</v>
      </c>
      <c r="D794" s="2">
        <v>8</v>
      </c>
      <c r="E794" s="2" t="s">
        <v>15</v>
      </c>
      <c r="F794" s="2" t="s">
        <v>36</v>
      </c>
      <c r="G794" s="7">
        <v>19.850000000000001</v>
      </c>
      <c r="H794" s="7">
        <v>146.6</v>
      </c>
      <c r="I794" s="2" t="s">
        <v>15</v>
      </c>
      <c r="J794" s="2" t="s">
        <v>16</v>
      </c>
      <c r="K794" s="2" t="s">
        <v>21</v>
      </c>
      <c r="L794" s="7">
        <v>146.6</v>
      </c>
      <c r="M794" s="2" t="str">
        <f>_xlfn.IFS(TelecomData[[#This Row],[TenureMonths]]&lt;=12, "0-1 Year", TelecomData[[#This Row],[TenureMonths]]&lt;=36, "1-3 Years", TelecomData[[#This Row],[TenureMonths]]&gt;36, "3+ Years")</f>
        <v>0-1 Year</v>
      </c>
      <c r="N794" s="2" t="str">
        <f>IF(TelecomData[[#This Row],[CleanedTotalCharges]]&gt;=2500,"High Spend", "Standard Spend")</f>
        <v>Standard Spend</v>
      </c>
    </row>
    <row r="795" spans="1:14" x14ac:dyDescent="0.3">
      <c r="A795" s="1" t="s">
        <v>819</v>
      </c>
      <c r="B795" s="2" t="s">
        <v>12</v>
      </c>
      <c r="C795" s="2" t="s">
        <v>35</v>
      </c>
      <c r="D795" s="2">
        <v>34</v>
      </c>
      <c r="E795" s="2" t="s">
        <v>14</v>
      </c>
      <c r="F795" s="2" t="s">
        <v>16</v>
      </c>
      <c r="G795" s="7">
        <v>67.650000000000006</v>
      </c>
      <c r="H795" s="7">
        <v>2339.3000000000002</v>
      </c>
      <c r="I795" s="2" t="s">
        <v>15</v>
      </c>
      <c r="J795" s="2" t="s">
        <v>15</v>
      </c>
      <c r="K795" s="2" t="s">
        <v>29</v>
      </c>
      <c r="L795" s="7">
        <v>2339.3000000000002</v>
      </c>
      <c r="M795" s="2" t="str">
        <f>_xlfn.IFS(TelecomData[[#This Row],[TenureMonths]]&lt;=12, "0-1 Year", TelecomData[[#This Row],[TenureMonths]]&lt;=36, "1-3 Years", TelecomData[[#This Row],[TenureMonths]]&gt;36, "3+ Years")</f>
        <v>1-3 Years</v>
      </c>
      <c r="N795" s="2" t="str">
        <f>IF(TelecomData[[#This Row],[CleanedTotalCharges]]&gt;=2500,"High Spend", "Standard Spend")</f>
        <v>Standard Spend</v>
      </c>
    </row>
    <row r="796" spans="1:14" x14ac:dyDescent="0.3">
      <c r="A796" s="1" t="s">
        <v>820</v>
      </c>
      <c r="B796" s="2" t="s">
        <v>12</v>
      </c>
      <c r="C796" s="2" t="s">
        <v>13</v>
      </c>
      <c r="D796" s="2">
        <v>6</v>
      </c>
      <c r="E796" s="2" t="s">
        <v>14</v>
      </c>
      <c r="F796" s="2" t="s">
        <v>15</v>
      </c>
      <c r="G796" s="7">
        <v>45</v>
      </c>
      <c r="H796" s="7">
        <v>298.7</v>
      </c>
      <c r="I796" s="2" t="s">
        <v>15</v>
      </c>
      <c r="J796" s="2" t="s">
        <v>15</v>
      </c>
      <c r="K796" s="2" t="s">
        <v>29</v>
      </c>
      <c r="L796" s="7">
        <v>298.7</v>
      </c>
      <c r="M796" s="2" t="str">
        <f>_xlfn.IFS(TelecomData[[#This Row],[TenureMonths]]&lt;=12, "0-1 Year", TelecomData[[#This Row],[TenureMonths]]&lt;=36, "1-3 Years", TelecomData[[#This Row],[TenureMonths]]&gt;36, "3+ Years")</f>
        <v>0-1 Year</v>
      </c>
      <c r="N796" s="2" t="str">
        <f>IF(TelecomData[[#This Row],[CleanedTotalCharges]]&gt;=2500,"High Spend", "Standard Spend")</f>
        <v>Standard Spend</v>
      </c>
    </row>
    <row r="797" spans="1:14" x14ac:dyDescent="0.3">
      <c r="A797" s="1" t="s">
        <v>821</v>
      </c>
      <c r="B797" s="2" t="s">
        <v>19</v>
      </c>
      <c r="C797" s="2" t="s">
        <v>13</v>
      </c>
      <c r="D797" s="2">
        <v>2</v>
      </c>
      <c r="E797" s="2" t="s">
        <v>14</v>
      </c>
      <c r="F797" s="2" t="s">
        <v>16</v>
      </c>
      <c r="G797" s="7">
        <v>64.2</v>
      </c>
      <c r="H797" s="7">
        <v>143.65</v>
      </c>
      <c r="I797" s="2" t="s">
        <v>15</v>
      </c>
      <c r="J797" s="2" t="s">
        <v>16</v>
      </c>
      <c r="K797" s="2" t="s">
        <v>21</v>
      </c>
      <c r="L797" s="7">
        <v>143.65</v>
      </c>
      <c r="M797" s="2" t="str">
        <f>_xlfn.IFS(TelecomData[[#This Row],[TenureMonths]]&lt;=12, "0-1 Year", TelecomData[[#This Row],[TenureMonths]]&lt;=36, "1-3 Years", TelecomData[[#This Row],[TenureMonths]]&gt;36, "3+ Years")</f>
        <v>0-1 Year</v>
      </c>
      <c r="N797" s="2" t="str">
        <f>IF(TelecomData[[#This Row],[CleanedTotalCharges]]&gt;=2500,"High Spend", "Standard Spend")</f>
        <v>Standard Spend</v>
      </c>
    </row>
    <row r="798" spans="1:14" x14ac:dyDescent="0.3">
      <c r="A798" s="1" t="s">
        <v>822</v>
      </c>
      <c r="B798" s="2" t="s">
        <v>19</v>
      </c>
      <c r="C798" s="2" t="s">
        <v>20</v>
      </c>
      <c r="D798" s="2">
        <v>31</v>
      </c>
      <c r="E798" s="2" t="s">
        <v>26</v>
      </c>
      <c r="F798" s="2" t="s">
        <v>16</v>
      </c>
      <c r="G798" s="7">
        <v>81.7</v>
      </c>
      <c r="H798" s="7">
        <v>2548.65</v>
      </c>
      <c r="I798" s="2" t="s">
        <v>15</v>
      </c>
      <c r="J798" s="2" t="s">
        <v>15</v>
      </c>
      <c r="K798" s="2" t="s">
        <v>29</v>
      </c>
      <c r="L798" s="7">
        <v>2548.65</v>
      </c>
      <c r="M798" s="2" t="str">
        <f>_xlfn.IFS(TelecomData[[#This Row],[TenureMonths]]&lt;=12, "0-1 Year", TelecomData[[#This Row],[TenureMonths]]&lt;=36, "1-3 Years", TelecomData[[#This Row],[TenureMonths]]&gt;36, "3+ Years")</f>
        <v>1-3 Years</v>
      </c>
      <c r="N798" s="2" t="str">
        <f>IF(TelecomData[[#This Row],[CleanedTotalCharges]]&gt;=2500,"High Spend", "Standard Spend")</f>
        <v>High Spend</v>
      </c>
    </row>
    <row r="799" spans="1:14" x14ac:dyDescent="0.3">
      <c r="A799" s="1" t="s">
        <v>823</v>
      </c>
      <c r="B799" s="2" t="s">
        <v>12</v>
      </c>
      <c r="C799" s="2" t="s">
        <v>13</v>
      </c>
      <c r="D799" s="2">
        <v>20</v>
      </c>
      <c r="E799" s="2" t="s">
        <v>15</v>
      </c>
      <c r="F799" s="2" t="s">
        <v>36</v>
      </c>
      <c r="G799" s="7">
        <v>25.55</v>
      </c>
      <c r="H799" s="7">
        <v>507.4</v>
      </c>
      <c r="I799" s="2" t="s">
        <v>15</v>
      </c>
      <c r="J799" s="2" t="s">
        <v>16</v>
      </c>
      <c r="K799" s="2" t="s">
        <v>24</v>
      </c>
      <c r="L799" s="7">
        <v>507.4</v>
      </c>
      <c r="M799" s="2" t="str">
        <f>_xlfn.IFS(TelecomData[[#This Row],[TenureMonths]]&lt;=12, "0-1 Year", TelecomData[[#This Row],[TenureMonths]]&lt;=36, "1-3 Years", TelecomData[[#This Row],[TenureMonths]]&gt;36, "3+ Years")</f>
        <v>1-3 Years</v>
      </c>
      <c r="N799" s="2" t="str">
        <f>IF(TelecomData[[#This Row],[CleanedTotalCharges]]&gt;=2500,"High Spend", "Standard Spend")</f>
        <v>Standard Spend</v>
      </c>
    </row>
    <row r="800" spans="1:14" x14ac:dyDescent="0.3">
      <c r="A800" s="1" t="s">
        <v>824</v>
      </c>
      <c r="B800" s="2" t="s">
        <v>12</v>
      </c>
      <c r="C800" s="2" t="s">
        <v>13</v>
      </c>
      <c r="D800" s="2">
        <v>1</v>
      </c>
      <c r="E800" s="2" t="s">
        <v>15</v>
      </c>
      <c r="F800" s="2" t="s">
        <v>36</v>
      </c>
      <c r="G800" s="7">
        <v>20</v>
      </c>
      <c r="H800" s="7">
        <v>20</v>
      </c>
      <c r="I800" s="2" t="s">
        <v>15</v>
      </c>
      <c r="J800" s="2" t="s">
        <v>15</v>
      </c>
      <c r="K800" s="2" t="s">
        <v>17</v>
      </c>
      <c r="L800" s="7">
        <v>20</v>
      </c>
      <c r="M800" s="2" t="str">
        <f>_xlfn.IFS(TelecomData[[#This Row],[TenureMonths]]&lt;=12, "0-1 Year", TelecomData[[#This Row],[TenureMonths]]&lt;=36, "1-3 Years", TelecomData[[#This Row],[TenureMonths]]&gt;36, "3+ Years")</f>
        <v>0-1 Year</v>
      </c>
      <c r="N800" s="2" t="str">
        <f>IF(TelecomData[[#This Row],[CleanedTotalCharges]]&gt;=2500,"High Spend", "Standard Spend")</f>
        <v>Standard Spend</v>
      </c>
    </row>
    <row r="801" spans="1:14" x14ac:dyDescent="0.3">
      <c r="A801" s="1" t="s">
        <v>825</v>
      </c>
      <c r="B801" s="2" t="s">
        <v>19</v>
      </c>
      <c r="C801" s="2" t="s">
        <v>20</v>
      </c>
      <c r="D801" s="2">
        <v>62</v>
      </c>
      <c r="E801" s="2" t="s">
        <v>26</v>
      </c>
      <c r="F801" s="2" t="s">
        <v>15</v>
      </c>
      <c r="G801" s="7">
        <v>96.75</v>
      </c>
      <c r="H801" s="7">
        <v>6125.4</v>
      </c>
      <c r="I801" s="2" t="s">
        <v>16</v>
      </c>
      <c r="J801" s="2" t="s">
        <v>16</v>
      </c>
      <c r="K801" s="2" t="s">
        <v>17</v>
      </c>
      <c r="L801" s="7">
        <v>6125.4</v>
      </c>
      <c r="M801" s="2" t="str">
        <f>_xlfn.IFS(TelecomData[[#This Row],[TenureMonths]]&lt;=12, "0-1 Year", TelecomData[[#This Row],[TenureMonths]]&lt;=36, "1-3 Years", TelecomData[[#This Row],[TenureMonths]]&gt;36, "3+ Years")</f>
        <v>3+ Years</v>
      </c>
      <c r="N801" s="2" t="str">
        <f>IF(TelecomData[[#This Row],[CleanedTotalCharges]]&gt;=2500,"High Spend", "Standard Spend")</f>
        <v>High Spend</v>
      </c>
    </row>
    <row r="802" spans="1:14" x14ac:dyDescent="0.3">
      <c r="A802" s="1" t="s">
        <v>826</v>
      </c>
      <c r="B802" s="2" t="s">
        <v>12</v>
      </c>
      <c r="C802" s="2" t="s">
        <v>35</v>
      </c>
      <c r="D802" s="2">
        <v>70</v>
      </c>
      <c r="E802" s="2" t="s">
        <v>26</v>
      </c>
      <c r="F802" s="2" t="s">
        <v>15</v>
      </c>
      <c r="G802" s="7">
        <v>75.650000000000006</v>
      </c>
      <c r="H802" s="7">
        <v>5411.4</v>
      </c>
      <c r="I802" s="2" t="s">
        <v>15</v>
      </c>
      <c r="J802" s="2" t="s">
        <v>16</v>
      </c>
      <c r="K802" s="2" t="s">
        <v>29</v>
      </c>
      <c r="L802" s="7">
        <v>5411.4</v>
      </c>
      <c r="M802" s="2" t="str">
        <f>_xlfn.IFS(TelecomData[[#This Row],[TenureMonths]]&lt;=12, "0-1 Year", TelecomData[[#This Row],[TenureMonths]]&lt;=36, "1-3 Years", TelecomData[[#This Row],[TenureMonths]]&gt;36, "3+ Years")</f>
        <v>3+ Years</v>
      </c>
      <c r="N802" s="2" t="str">
        <f>IF(TelecomData[[#This Row],[CleanedTotalCharges]]&gt;=2500,"High Spend", "Standard Spend")</f>
        <v>High Spend</v>
      </c>
    </row>
    <row r="803" spans="1:14" x14ac:dyDescent="0.3">
      <c r="A803" s="1" t="s">
        <v>827</v>
      </c>
      <c r="B803" s="2" t="s">
        <v>12</v>
      </c>
      <c r="C803" s="2" t="s">
        <v>13</v>
      </c>
      <c r="D803" s="2">
        <v>10</v>
      </c>
      <c r="E803" s="2" t="s">
        <v>26</v>
      </c>
      <c r="F803" s="2" t="s">
        <v>16</v>
      </c>
      <c r="G803" s="7">
        <v>98.5</v>
      </c>
      <c r="H803" s="7">
        <v>1058.25</v>
      </c>
      <c r="I803" s="2" t="s">
        <v>16</v>
      </c>
      <c r="J803" s="2" t="s">
        <v>16</v>
      </c>
      <c r="K803" s="2" t="s">
        <v>17</v>
      </c>
      <c r="L803" s="7">
        <v>1058.25</v>
      </c>
      <c r="M803" s="2" t="str">
        <f>_xlfn.IFS(TelecomData[[#This Row],[TenureMonths]]&lt;=12, "0-1 Year", TelecomData[[#This Row],[TenureMonths]]&lt;=36, "1-3 Years", TelecomData[[#This Row],[TenureMonths]]&gt;36, "3+ Years")</f>
        <v>0-1 Year</v>
      </c>
      <c r="N803" s="2" t="str">
        <f>IF(TelecomData[[#This Row],[CleanedTotalCharges]]&gt;=2500,"High Spend", "Standard Spend")</f>
        <v>Standard Spend</v>
      </c>
    </row>
    <row r="804" spans="1:14" x14ac:dyDescent="0.3">
      <c r="A804" s="1" t="s">
        <v>828</v>
      </c>
      <c r="B804" s="2" t="s">
        <v>19</v>
      </c>
      <c r="C804" s="2" t="s">
        <v>35</v>
      </c>
      <c r="D804" s="2">
        <v>39</v>
      </c>
      <c r="E804" s="2" t="s">
        <v>15</v>
      </c>
      <c r="F804" s="2" t="s">
        <v>36</v>
      </c>
      <c r="G804" s="7">
        <v>23.8</v>
      </c>
      <c r="H804" s="7">
        <v>903.8</v>
      </c>
      <c r="I804" s="2" t="s">
        <v>15</v>
      </c>
      <c r="J804" s="2" t="s">
        <v>16</v>
      </c>
      <c r="K804" s="2" t="s">
        <v>21</v>
      </c>
      <c r="L804" s="7">
        <v>903.8</v>
      </c>
      <c r="M804" s="2" t="str">
        <f>_xlfn.IFS(TelecomData[[#This Row],[TenureMonths]]&lt;=12, "0-1 Year", TelecomData[[#This Row],[TenureMonths]]&lt;=36, "1-3 Years", TelecomData[[#This Row],[TenureMonths]]&gt;36, "3+ Years")</f>
        <v>3+ Years</v>
      </c>
      <c r="N804" s="2" t="str">
        <f>IF(TelecomData[[#This Row],[CleanedTotalCharges]]&gt;=2500,"High Spend", "Standard Spend")</f>
        <v>Standard Spend</v>
      </c>
    </row>
    <row r="805" spans="1:14" x14ac:dyDescent="0.3">
      <c r="A805" s="1" t="s">
        <v>829</v>
      </c>
      <c r="B805" s="2" t="s">
        <v>12</v>
      </c>
      <c r="C805" s="2" t="s">
        <v>35</v>
      </c>
      <c r="D805" s="2">
        <v>46</v>
      </c>
      <c r="E805" s="2" t="s">
        <v>14</v>
      </c>
      <c r="F805" s="2" t="s">
        <v>16</v>
      </c>
      <c r="G805" s="7">
        <v>64.2</v>
      </c>
      <c r="H805" s="7">
        <v>3009.5</v>
      </c>
      <c r="I805" s="2" t="s">
        <v>15</v>
      </c>
      <c r="J805" s="2" t="s">
        <v>16</v>
      </c>
      <c r="K805" s="2" t="s">
        <v>29</v>
      </c>
      <c r="L805" s="7">
        <v>3009.5</v>
      </c>
      <c r="M805" s="2" t="str">
        <f>_xlfn.IFS(TelecomData[[#This Row],[TenureMonths]]&lt;=12, "0-1 Year", TelecomData[[#This Row],[TenureMonths]]&lt;=36, "1-3 Years", TelecomData[[#This Row],[TenureMonths]]&gt;36, "3+ Years")</f>
        <v>3+ Years</v>
      </c>
      <c r="N805" s="2" t="str">
        <f>IF(TelecomData[[#This Row],[CleanedTotalCharges]]&gt;=2500,"High Spend", "Standard Spend")</f>
        <v>High Spend</v>
      </c>
    </row>
    <row r="806" spans="1:14" x14ac:dyDescent="0.3">
      <c r="A806" s="1" t="s">
        <v>830</v>
      </c>
      <c r="B806" s="2" t="s">
        <v>19</v>
      </c>
      <c r="C806" s="2" t="s">
        <v>13</v>
      </c>
      <c r="D806" s="2">
        <v>6</v>
      </c>
      <c r="E806" s="2" t="s">
        <v>26</v>
      </c>
      <c r="F806" s="2" t="s">
        <v>15</v>
      </c>
      <c r="G806" s="7">
        <v>85.35</v>
      </c>
      <c r="H806" s="7">
        <v>489.45</v>
      </c>
      <c r="I806" s="2" t="s">
        <v>16</v>
      </c>
      <c r="J806" s="2" t="s">
        <v>16</v>
      </c>
      <c r="K806" s="2" t="s">
        <v>17</v>
      </c>
      <c r="L806" s="7">
        <v>489.45</v>
      </c>
      <c r="M806" s="2" t="str">
        <f>_xlfn.IFS(TelecomData[[#This Row],[TenureMonths]]&lt;=12, "0-1 Year", TelecomData[[#This Row],[TenureMonths]]&lt;=36, "1-3 Years", TelecomData[[#This Row],[TenureMonths]]&gt;36, "3+ Years")</f>
        <v>0-1 Year</v>
      </c>
      <c r="N806" s="2" t="str">
        <f>IF(TelecomData[[#This Row],[CleanedTotalCharges]]&gt;=2500,"High Spend", "Standard Spend")</f>
        <v>Standard Spend</v>
      </c>
    </row>
    <row r="807" spans="1:14" x14ac:dyDescent="0.3">
      <c r="A807" s="1" t="s">
        <v>831</v>
      </c>
      <c r="B807" s="2" t="s">
        <v>12</v>
      </c>
      <c r="C807" s="2" t="s">
        <v>35</v>
      </c>
      <c r="D807" s="2">
        <v>72</v>
      </c>
      <c r="E807" s="2" t="s">
        <v>14</v>
      </c>
      <c r="F807" s="2" t="s">
        <v>15</v>
      </c>
      <c r="G807" s="7">
        <v>76.8</v>
      </c>
      <c r="H807" s="7">
        <v>5468.45</v>
      </c>
      <c r="I807" s="2" t="s">
        <v>15</v>
      </c>
      <c r="J807" s="2" t="s">
        <v>16</v>
      </c>
      <c r="K807" s="2" t="s">
        <v>24</v>
      </c>
      <c r="L807" s="7">
        <v>5468.45</v>
      </c>
      <c r="M807" s="2" t="str">
        <f>_xlfn.IFS(TelecomData[[#This Row],[TenureMonths]]&lt;=12, "0-1 Year", TelecomData[[#This Row],[TenureMonths]]&lt;=36, "1-3 Years", TelecomData[[#This Row],[TenureMonths]]&gt;36, "3+ Years")</f>
        <v>3+ Years</v>
      </c>
      <c r="N807" s="2" t="str">
        <f>IF(TelecomData[[#This Row],[CleanedTotalCharges]]&gt;=2500,"High Spend", "Standard Spend")</f>
        <v>High Spend</v>
      </c>
    </row>
    <row r="808" spans="1:14" x14ac:dyDescent="0.3">
      <c r="A808" s="1" t="s">
        <v>832</v>
      </c>
      <c r="B808" s="2" t="s">
        <v>19</v>
      </c>
      <c r="C808" s="2" t="s">
        <v>13</v>
      </c>
      <c r="D808" s="2">
        <v>18</v>
      </c>
      <c r="E808" s="2" t="s">
        <v>14</v>
      </c>
      <c r="F808" s="2" t="s">
        <v>16</v>
      </c>
      <c r="G808" s="7">
        <v>55.2</v>
      </c>
      <c r="H808" s="7">
        <v>1058.0999999999999</v>
      </c>
      <c r="I808" s="2" t="s">
        <v>15</v>
      </c>
      <c r="J808" s="2" t="s">
        <v>15</v>
      </c>
      <c r="K808" s="2" t="s">
        <v>29</v>
      </c>
      <c r="L808" s="7">
        <v>1058.0999999999999</v>
      </c>
      <c r="M808" s="2" t="str">
        <f>_xlfn.IFS(TelecomData[[#This Row],[TenureMonths]]&lt;=12, "0-1 Year", TelecomData[[#This Row],[TenureMonths]]&lt;=36, "1-3 Years", TelecomData[[#This Row],[TenureMonths]]&gt;36, "3+ Years")</f>
        <v>1-3 Years</v>
      </c>
      <c r="N808" s="2" t="str">
        <f>IF(TelecomData[[#This Row],[CleanedTotalCharges]]&gt;=2500,"High Spend", "Standard Spend")</f>
        <v>Standard Spend</v>
      </c>
    </row>
    <row r="809" spans="1:14" x14ac:dyDescent="0.3">
      <c r="A809" s="1" t="s">
        <v>833</v>
      </c>
      <c r="B809" s="2" t="s">
        <v>19</v>
      </c>
      <c r="C809" s="2" t="s">
        <v>35</v>
      </c>
      <c r="D809" s="2">
        <v>71</v>
      </c>
      <c r="E809" s="2" t="s">
        <v>26</v>
      </c>
      <c r="F809" s="2" t="s">
        <v>16</v>
      </c>
      <c r="G809" s="7">
        <v>108.55</v>
      </c>
      <c r="H809" s="7">
        <v>7616</v>
      </c>
      <c r="I809" s="2" t="s">
        <v>15</v>
      </c>
      <c r="J809" s="2" t="s">
        <v>16</v>
      </c>
      <c r="K809" s="2" t="s">
        <v>29</v>
      </c>
      <c r="L809" s="7">
        <v>7616</v>
      </c>
      <c r="M809" s="2" t="str">
        <f>_xlfn.IFS(TelecomData[[#This Row],[TenureMonths]]&lt;=12, "0-1 Year", TelecomData[[#This Row],[TenureMonths]]&lt;=36, "1-3 Years", TelecomData[[#This Row],[TenureMonths]]&gt;36, "3+ Years")</f>
        <v>3+ Years</v>
      </c>
      <c r="N809" s="2" t="str">
        <f>IF(TelecomData[[#This Row],[CleanedTotalCharges]]&gt;=2500,"High Spend", "Standard Spend")</f>
        <v>High Spend</v>
      </c>
    </row>
    <row r="810" spans="1:14" x14ac:dyDescent="0.3">
      <c r="A810" s="1" t="s">
        <v>834</v>
      </c>
      <c r="B810" s="2" t="s">
        <v>19</v>
      </c>
      <c r="C810" s="2" t="s">
        <v>13</v>
      </c>
      <c r="D810" s="2">
        <v>40</v>
      </c>
      <c r="E810" s="2" t="s">
        <v>26</v>
      </c>
      <c r="F810" s="2" t="s">
        <v>15</v>
      </c>
      <c r="G810" s="7">
        <v>101.3</v>
      </c>
      <c r="H810" s="7">
        <v>4113.1000000000004</v>
      </c>
      <c r="I810" s="2" t="s">
        <v>16</v>
      </c>
      <c r="J810" s="2" t="s">
        <v>16</v>
      </c>
      <c r="K810" s="2" t="s">
        <v>17</v>
      </c>
      <c r="L810" s="7">
        <v>4113.1000000000004</v>
      </c>
      <c r="M810" s="2" t="str">
        <f>_xlfn.IFS(TelecomData[[#This Row],[TenureMonths]]&lt;=12, "0-1 Year", TelecomData[[#This Row],[TenureMonths]]&lt;=36, "1-3 Years", TelecomData[[#This Row],[TenureMonths]]&gt;36, "3+ Years")</f>
        <v>3+ Years</v>
      </c>
      <c r="N810" s="2" t="str">
        <f>IF(TelecomData[[#This Row],[CleanedTotalCharges]]&gt;=2500,"High Spend", "Standard Spend")</f>
        <v>High Spend</v>
      </c>
    </row>
    <row r="811" spans="1:14" x14ac:dyDescent="0.3">
      <c r="A811" s="1" t="s">
        <v>835</v>
      </c>
      <c r="B811" s="2" t="s">
        <v>19</v>
      </c>
      <c r="C811" s="2" t="s">
        <v>13</v>
      </c>
      <c r="D811" s="2">
        <v>1</v>
      </c>
      <c r="E811" s="2" t="s">
        <v>26</v>
      </c>
      <c r="F811" s="2" t="s">
        <v>15</v>
      </c>
      <c r="G811" s="7">
        <v>69.55</v>
      </c>
      <c r="H811" s="7">
        <v>69.55</v>
      </c>
      <c r="I811" s="2" t="s">
        <v>16</v>
      </c>
      <c r="J811" s="2" t="s">
        <v>16</v>
      </c>
      <c r="K811" s="2" t="s">
        <v>17</v>
      </c>
      <c r="L811" s="7">
        <v>69.55</v>
      </c>
      <c r="M811" s="2" t="str">
        <f>_xlfn.IFS(TelecomData[[#This Row],[TenureMonths]]&lt;=12, "0-1 Year", TelecomData[[#This Row],[TenureMonths]]&lt;=36, "1-3 Years", TelecomData[[#This Row],[TenureMonths]]&gt;36, "3+ Years")</f>
        <v>0-1 Year</v>
      </c>
      <c r="N811" s="2" t="str">
        <f>IF(TelecomData[[#This Row],[CleanedTotalCharges]]&gt;=2500,"High Spend", "Standard Spend")</f>
        <v>Standard Spend</v>
      </c>
    </row>
    <row r="812" spans="1:14" x14ac:dyDescent="0.3">
      <c r="A812" s="1" t="s">
        <v>836</v>
      </c>
      <c r="B812" s="2" t="s">
        <v>19</v>
      </c>
      <c r="C812" s="2" t="s">
        <v>20</v>
      </c>
      <c r="D812" s="2">
        <v>58</v>
      </c>
      <c r="E812" s="2" t="s">
        <v>26</v>
      </c>
      <c r="F812" s="2" t="s">
        <v>15</v>
      </c>
      <c r="G812" s="7">
        <v>103.25</v>
      </c>
      <c r="H812" s="7">
        <v>6017.65</v>
      </c>
      <c r="I812" s="2" t="s">
        <v>16</v>
      </c>
      <c r="J812" s="2" t="s">
        <v>16</v>
      </c>
      <c r="K812" s="2" t="s">
        <v>24</v>
      </c>
      <c r="L812" s="7">
        <v>6017.65</v>
      </c>
      <c r="M812" s="2" t="str">
        <f>_xlfn.IFS(TelecomData[[#This Row],[TenureMonths]]&lt;=12, "0-1 Year", TelecomData[[#This Row],[TenureMonths]]&lt;=36, "1-3 Years", TelecomData[[#This Row],[TenureMonths]]&gt;36, "3+ Years")</f>
        <v>3+ Years</v>
      </c>
      <c r="N812" s="2" t="str">
        <f>IF(TelecomData[[#This Row],[CleanedTotalCharges]]&gt;=2500,"High Spend", "Standard Spend")</f>
        <v>High Spend</v>
      </c>
    </row>
    <row r="813" spans="1:14" x14ac:dyDescent="0.3">
      <c r="A813" s="1" t="s">
        <v>837</v>
      </c>
      <c r="B813" s="2" t="s">
        <v>19</v>
      </c>
      <c r="C813" s="2" t="s">
        <v>35</v>
      </c>
      <c r="D813" s="2">
        <v>70</v>
      </c>
      <c r="E813" s="2" t="s">
        <v>26</v>
      </c>
      <c r="F813" s="2" t="s">
        <v>16</v>
      </c>
      <c r="G813" s="7">
        <v>104</v>
      </c>
      <c r="H813" s="7">
        <v>7250.15</v>
      </c>
      <c r="I813" s="2" t="s">
        <v>16</v>
      </c>
      <c r="J813" s="2" t="s">
        <v>16</v>
      </c>
      <c r="K813" s="2" t="s">
        <v>29</v>
      </c>
      <c r="L813" s="7">
        <v>7250.15</v>
      </c>
      <c r="M813" s="2" t="str">
        <f>_xlfn.IFS(TelecomData[[#This Row],[TenureMonths]]&lt;=12, "0-1 Year", TelecomData[[#This Row],[TenureMonths]]&lt;=36, "1-3 Years", TelecomData[[#This Row],[TenureMonths]]&gt;36, "3+ Years")</f>
        <v>3+ Years</v>
      </c>
      <c r="N813" s="2" t="str">
        <f>IF(TelecomData[[#This Row],[CleanedTotalCharges]]&gt;=2500,"High Spend", "Standard Spend")</f>
        <v>High Spend</v>
      </c>
    </row>
    <row r="814" spans="1:14" x14ac:dyDescent="0.3">
      <c r="A814" s="1" t="s">
        <v>838</v>
      </c>
      <c r="B814" s="2" t="s">
        <v>12</v>
      </c>
      <c r="C814" s="2" t="s">
        <v>35</v>
      </c>
      <c r="D814" s="2">
        <v>42</v>
      </c>
      <c r="E814" s="2" t="s">
        <v>15</v>
      </c>
      <c r="F814" s="2" t="s">
        <v>36</v>
      </c>
      <c r="G814" s="7">
        <v>25.25</v>
      </c>
      <c r="H814" s="7">
        <v>1108.2</v>
      </c>
      <c r="I814" s="2" t="s">
        <v>15</v>
      </c>
      <c r="J814" s="2" t="s">
        <v>15</v>
      </c>
      <c r="K814" s="2" t="s">
        <v>17</v>
      </c>
      <c r="L814" s="7">
        <v>1108.2</v>
      </c>
      <c r="M814" s="2" t="str">
        <f>_xlfn.IFS(TelecomData[[#This Row],[TenureMonths]]&lt;=12, "0-1 Year", TelecomData[[#This Row],[TenureMonths]]&lt;=36, "1-3 Years", TelecomData[[#This Row],[TenureMonths]]&gt;36, "3+ Years")</f>
        <v>3+ Years</v>
      </c>
      <c r="N814" s="2" t="str">
        <f>IF(TelecomData[[#This Row],[CleanedTotalCharges]]&gt;=2500,"High Spend", "Standard Spend")</f>
        <v>Standard Spend</v>
      </c>
    </row>
    <row r="815" spans="1:14" x14ac:dyDescent="0.3">
      <c r="A815" s="1" t="s">
        <v>839</v>
      </c>
      <c r="B815" s="2" t="s">
        <v>19</v>
      </c>
      <c r="C815" s="2" t="s">
        <v>20</v>
      </c>
      <c r="D815" s="2">
        <v>34</v>
      </c>
      <c r="E815" s="2" t="s">
        <v>14</v>
      </c>
      <c r="F815" s="2" t="s">
        <v>15</v>
      </c>
      <c r="G815" s="7">
        <v>30.4</v>
      </c>
      <c r="H815" s="7">
        <v>938.65</v>
      </c>
      <c r="I815" s="2" t="s">
        <v>15</v>
      </c>
      <c r="J815" s="2" t="s">
        <v>15</v>
      </c>
      <c r="K815" s="2" t="s">
        <v>24</v>
      </c>
      <c r="L815" s="7">
        <v>938.65</v>
      </c>
      <c r="M815" s="2" t="str">
        <f>_xlfn.IFS(TelecomData[[#This Row],[TenureMonths]]&lt;=12, "0-1 Year", TelecomData[[#This Row],[TenureMonths]]&lt;=36, "1-3 Years", TelecomData[[#This Row],[TenureMonths]]&gt;36, "3+ Years")</f>
        <v>1-3 Years</v>
      </c>
      <c r="N815" s="2" t="str">
        <f>IF(TelecomData[[#This Row],[CleanedTotalCharges]]&gt;=2500,"High Spend", "Standard Spend")</f>
        <v>Standard Spend</v>
      </c>
    </row>
    <row r="816" spans="1:14" x14ac:dyDescent="0.3">
      <c r="A816" s="1" t="s">
        <v>840</v>
      </c>
      <c r="B816" s="2" t="s">
        <v>19</v>
      </c>
      <c r="C816" s="2" t="s">
        <v>13</v>
      </c>
      <c r="D816" s="2">
        <v>5</v>
      </c>
      <c r="E816" s="2" t="s">
        <v>15</v>
      </c>
      <c r="F816" s="2" t="s">
        <v>36</v>
      </c>
      <c r="G816" s="7">
        <v>20.05</v>
      </c>
      <c r="H816" s="7">
        <v>94.15</v>
      </c>
      <c r="I816" s="2" t="s">
        <v>15</v>
      </c>
      <c r="J816" s="2" t="s">
        <v>15</v>
      </c>
      <c r="K816" s="2" t="s">
        <v>24</v>
      </c>
      <c r="L816" s="7">
        <v>94.15</v>
      </c>
      <c r="M816" s="2" t="str">
        <f>_xlfn.IFS(TelecomData[[#This Row],[TenureMonths]]&lt;=12, "0-1 Year", TelecomData[[#This Row],[TenureMonths]]&lt;=36, "1-3 Years", TelecomData[[#This Row],[TenureMonths]]&gt;36, "3+ Years")</f>
        <v>0-1 Year</v>
      </c>
      <c r="N816" s="2" t="str">
        <f>IF(TelecomData[[#This Row],[CleanedTotalCharges]]&gt;=2500,"High Spend", "Standard Spend")</f>
        <v>Standard Spend</v>
      </c>
    </row>
    <row r="817" spans="1:14" x14ac:dyDescent="0.3">
      <c r="A817" s="1" t="s">
        <v>841</v>
      </c>
      <c r="B817" s="2" t="s">
        <v>12</v>
      </c>
      <c r="C817" s="2" t="s">
        <v>13</v>
      </c>
      <c r="D817" s="2">
        <v>25</v>
      </c>
      <c r="E817" s="2" t="s">
        <v>26</v>
      </c>
      <c r="F817" s="2" t="s">
        <v>15</v>
      </c>
      <c r="G817" s="7">
        <v>84.6</v>
      </c>
      <c r="H817" s="7">
        <v>2088.0500000000002</v>
      </c>
      <c r="I817" s="2" t="s">
        <v>15</v>
      </c>
      <c r="J817" s="2" t="s">
        <v>16</v>
      </c>
      <c r="K817" s="2" t="s">
        <v>21</v>
      </c>
      <c r="L817" s="7">
        <v>2088.0500000000002</v>
      </c>
      <c r="M817" s="2" t="str">
        <f>_xlfn.IFS(TelecomData[[#This Row],[TenureMonths]]&lt;=12, "0-1 Year", TelecomData[[#This Row],[TenureMonths]]&lt;=36, "1-3 Years", TelecomData[[#This Row],[TenureMonths]]&gt;36, "3+ Years")</f>
        <v>1-3 Years</v>
      </c>
      <c r="N817" s="2" t="str">
        <f>IF(TelecomData[[#This Row],[CleanedTotalCharges]]&gt;=2500,"High Spend", "Standard Spend")</f>
        <v>Standard Spend</v>
      </c>
    </row>
    <row r="818" spans="1:14" x14ac:dyDescent="0.3">
      <c r="A818" s="1" t="s">
        <v>842</v>
      </c>
      <c r="B818" s="2" t="s">
        <v>12</v>
      </c>
      <c r="C818" s="2" t="s">
        <v>13</v>
      </c>
      <c r="D818" s="2">
        <v>2</v>
      </c>
      <c r="E818" s="2" t="s">
        <v>26</v>
      </c>
      <c r="F818" s="2" t="s">
        <v>15</v>
      </c>
      <c r="G818" s="7">
        <v>86.2</v>
      </c>
      <c r="H818" s="7">
        <v>178.7</v>
      </c>
      <c r="I818" s="2" t="s">
        <v>16</v>
      </c>
      <c r="J818" s="2" t="s">
        <v>16</v>
      </c>
      <c r="K818" s="2" t="s">
        <v>21</v>
      </c>
      <c r="L818" s="7">
        <v>178.7</v>
      </c>
      <c r="M818" s="2" t="str">
        <f>_xlfn.IFS(TelecomData[[#This Row],[TenureMonths]]&lt;=12, "0-1 Year", TelecomData[[#This Row],[TenureMonths]]&lt;=36, "1-3 Years", TelecomData[[#This Row],[TenureMonths]]&gt;36, "3+ Years")</f>
        <v>0-1 Year</v>
      </c>
      <c r="N818" s="2" t="str">
        <f>IF(TelecomData[[#This Row],[CleanedTotalCharges]]&gt;=2500,"High Spend", "Standard Spend")</f>
        <v>Standard Spend</v>
      </c>
    </row>
    <row r="819" spans="1:14" x14ac:dyDescent="0.3">
      <c r="A819" s="1" t="s">
        <v>843</v>
      </c>
      <c r="B819" s="2" t="s">
        <v>12</v>
      </c>
      <c r="C819" s="2" t="s">
        <v>20</v>
      </c>
      <c r="D819" s="2">
        <v>55</v>
      </c>
      <c r="E819" s="2" t="s">
        <v>26</v>
      </c>
      <c r="F819" s="2" t="s">
        <v>16</v>
      </c>
      <c r="G819" s="7">
        <v>103.7</v>
      </c>
      <c r="H819" s="7">
        <v>5656.75</v>
      </c>
      <c r="I819" s="2" t="s">
        <v>15</v>
      </c>
      <c r="J819" s="2" t="s">
        <v>16</v>
      </c>
      <c r="K819" s="2" t="s">
        <v>24</v>
      </c>
      <c r="L819" s="7">
        <v>5656.75</v>
      </c>
      <c r="M819" s="2" t="str">
        <f>_xlfn.IFS(TelecomData[[#This Row],[TenureMonths]]&lt;=12, "0-1 Year", TelecomData[[#This Row],[TenureMonths]]&lt;=36, "1-3 Years", TelecomData[[#This Row],[TenureMonths]]&gt;36, "3+ Years")</f>
        <v>3+ Years</v>
      </c>
      <c r="N819" s="2" t="str">
        <f>IF(TelecomData[[#This Row],[CleanedTotalCharges]]&gt;=2500,"High Spend", "Standard Spend")</f>
        <v>High Spend</v>
      </c>
    </row>
    <row r="820" spans="1:14" x14ac:dyDescent="0.3">
      <c r="A820" s="1" t="s">
        <v>844</v>
      </c>
      <c r="B820" s="2" t="s">
        <v>19</v>
      </c>
      <c r="C820" s="2" t="s">
        <v>13</v>
      </c>
      <c r="D820" s="2">
        <v>21</v>
      </c>
      <c r="E820" s="2" t="s">
        <v>26</v>
      </c>
      <c r="F820" s="2" t="s">
        <v>16</v>
      </c>
      <c r="G820" s="7">
        <v>111.2</v>
      </c>
      <c r="H820" s="7">
        <v>2317.1</v>
      </c>
      <c r="I820" s="2" t="s">
        <v>16</v>
      </c>
      <c r="J820" s="2" t="s">
        <v>16</v>
      </c>
      <c r="K820" s="2" t="s">
        <v>17</v>
      </c>
      <c r="L820" s="7">
        <v>2317.1</v>
      </c>
      <c r="M820" s="2" t="str">
        <f>_xlfn.IFS(TelecomData[[#This Row],[TenureMonths]]&lt;=12, "0-1 Year", TelecomData[[#This Row],[TenureMonths]]&lt;=36, "1-3 Years", TelecomData[[#This Row],[TenureMonths]]&gt;36, "3+ Years")</f>
        <v>1-3 Years</v>
      </c>
      <c r="N820" s="2" t="str">
        <f>IF(TelecomData[[#This Row],[CleanedTotalCharges]]&gt;=2500,"High Spend", "Standard Spend")</f>
        <v>Standard Spend</v>
      </c>
    </row>
    <row r="821" spans="1:14" x14ac:dyDescent="0.3">
      <c r="A821" s="1" t="s">
        <v>845</v>
      </c>
      <c r="B821" s="2" t="s">
        <v>19</v>
      </c>
      <c r="C821" s="2" t="s">
        <v>35</v>
      </c>
      <c r="D821" s="2">
        <v>70</v>
      </c>
      <c r="E821" s="2" t="s">
        <v>26</v>
      </c>
      <c r="F821" s="2" t="s">
        <v>16</v>
      </c>
      <c r="G821" s="7">
        <v>88</v>
      </c>
      <c r="H821" s="7">
        <v>5986.45</v>
      </c>
      <c r="I821" s="2" t="s">
        <v>15</v>
      </c>
      <c r="J821" s="2" t="s">
        <v>16</v>
      </c>
      <c r="K821" s="2" t="s">
        <v>29</v>
      </c>
      <c r="L821" s="7">
        <v>5986.45</v>
      </c>
      <c r="M821" s="2" t="str">
        <f>_xlfn.IFS(TelecomData[[#This Row],[TenureMonths]]&lt;=12, "0-1 Year", TelecomData[[#This Row],[TenureMonths]]&lt;=36, "1-3 Years", TelecomData[[#This Row],[TenureMonths]]&gt;36, "3+ Years")</f>
        <v>3+ Years</v>
      </c>
      <c r="N821" s="2" t="str">
        <f>IF(TelecomData[[#This Row],[CleanedTotalCharges]]&gt;=2500,"High Spend", "Standard Spend")</f>
        <v>High Spend</v>
      </c>
    </row>
    <row r="822" spans="1:14" x14ac:dyDescent="0.3">
      <c r="A822" s="1" t="s">
        <v>846</v>
      </c>
      <c r="B822" s="2" t="s">
        <v>12</v>
      </c>
      <c r="C822" s="2" t="s">
        <v>13</v>
      </c>
      <c r="D822" s="2">
        <v>61</v>
      </c>
      <c r="E822" s="2" t="s">
        <v>26</v>
      </c>
      <c r="F822" s="2" t="s">
        <v>16</v>
      </c>
      <c r="G822" s="7">
        <v>106.35</v>
      </c>
      <c r="H822" s="7">
        <v>6751.35</v>
      </c>
      <c r="I822" s="2" t="s">
        <v>15</v>
      </c>
      <c r="J822" s="2" t="s">
        <v>16</v>
      </c>
      <c r="K822" s="2" t="s">
        <v>17</v>
      </c>
      <c r="L822" s="7">
        <v>6751.35</v>
      </c>
      <c r="M822" s="2" t="str">
        <f>_xlfn.IFS(TelecomData[[#This Row],[TenureMonths]]&lt;=12, "0-1 Year", TelecomData[[#This Row],[TenureMonths]]&lt;=36, "1-3 Years", TelecomData[[#This Row],[TenureMonths]]&gt;36, "3+ Years")</f>
        <v>3+ Years</v>
      </c>
      <c r="N822" s="2" t="str">
        <f>IF(TelecomData[[#This Row],[CleanedTotalCharges]]&gt;=2500,"High Spend", "Standard Spend")</f>
        <v>High Spend</v>
      </c>
    </row>
    <row r="823" spans="1:14" x14ac:dyDescent="0.3">
      <c r="A823" s="1" t="s">
        <v>847</v>
      </c>
      <c r="B823" s="2" t="s">
        <v>19</v>
      </c>
      <c r="C823" s="2" t="s">
        <v>35</v>
      </c>
      <c r="D823" s="2">
        <v>43</v>
      </c>
      <c r="E823" s="2" t="s">
        <v>14</v>
      </c>
      <c r="F823" s="2" t="s">
        <v>16</v>
      </c>
      <c r="G823" s="7">
        <v>79.150000000000006</v>
      </c>
      <c r="H823" s="7">
        <v>3566.6</v>
      </c>
      <c r="I823" s="2" t="s">
        <v>15</v>
      </c>
      <c r="J823" s="2" t="s">
        <v>16</v>
      </c>
      <c r="K823" s="2" t="s">
        <v>29</v>
      </c>
      <c r="L823" s="7">
        <v>3566.6</v>
      </c>
      <c r="M823" s="2" t="str">
        <f>_xlfn.IFS(TelecomData[[#This Row],[TenureMonths]]&lt;=12, "0-1 Year", TelecomData[[#This Row],[TenureMonths]]&lt;=36, "1-3 Years", TelecomData[[#This Row],[TenureMonths]]&gt;36, "3+ Years")</f>
        <v>3+ Years</v>
      </c>
      <c r="N823" s="2" t="str">
        <f>IF(TelecomData[[#This Row],[CleanedTotalCharges]]&gt;=2500,"High Spend", "Standard Spend")</f>
        <v>High Spend</v>
      </c>
    </row>
    <row r="824" spans="1:14" x14ac:dyDescent="0.3">
      <c r="A824" s="1" t="s">
        <v>848</v>
      </c>
      <c r="B824" s="2" t="s">
        <v>19</v>
      </c>
      <c r="C824" s="2" t="s">
        <v>20</v>
      </c>
      <c r="D824" s="2">
        <v>47</v>
      </c>
      <c r="E824" s="2" t="s">
        <v>26</v>
      </c>
      <c r="F824" s="2" t="s">
        <v>15</v>
      </c>
      <c r="G824" s="7">
        <v>103.1</v>
      </c>
      <c r="H824" s="7">
        <v>4889.3</v>
      </c>
      <c r="I824" s="2" t="s">
        <v>15</v>
      </c>
      <c r="J824" s="2" t="s">
        <v>16</v>
      </c>
      <c r="K824" s="2" t="s">
        <v>17</v>
      </c>
      <c r="L824" s="7">
        <v>4889.3</v>
      </c>
      <c r="M824" s="2" t="str">
        <f>_xlfn.IFS(TelecomData[[#This Row],[TenureMonths]]&lt;=12, "0-1 Year", TelecomData[[#This Row],[TenureMonths]]&lt;=36, "1-3 Years", TelecomData[[#This Row],[TenureMonths]]&gt;36, "3+ Years")</f>
        <v>3+ Years</v>
      </c>
      <c r="N824" s="2" t="str">
        <f>IF(TelecomData[[#This Row],[CleanedTotalCharges]]&gt;=2500,"High Spend", "Standard Spend")</f>
        <v>High Spend</v>
      </c>
    </row>
    <row r="825" spans="1:14" x14ac:dyDescent="0.3">
      <c r="A825" s="1" t="s">
        <v>849</v>
      </c>
      <c r="B825" s="2" t="s">
        <v>19</v>
      </c>
      <c r="C825" s="2" t="s">
        <v>13</v>
      </c>
      <c r="D825" s="2">
        <v>5</v>
      </c>
      <c r="E825" s="2" t="s">
        <v>14</v>
      </c>
      <c r="F825" s="2" t="s">
        <v>16</v>
      </c>
      <c r="G825" s="7">
        <v>63.95</v>
      </c>
      <c r="H825" s="7">
        <v>318.10000000000002</v>
      </c>
      <c r="I825" s="2" t="s">
        <v>15</v>
      </c>
      <c r="J825" s="2" t="s">
        <v>16</v>
      </c>
      <c r="K825" s="2" t="s">
        <v>29</v>
      </c>
      <c r="L825" s="7">
        <v>318.10000000000002</v>
      </c>
      <c r="M825" s="2" t="str">
        <f>_xlfn.IFS(TelecomData[[#This Row],[TenureMonths]]&lt;=12, "0-1 Year", TelecomData[[#This Row],[TenureMonths]]&lt;=36, "1-3 Years", TelecomData[[#This Row],[TenureMonths]]&gt;36, "3+ Years")</f>
        <v>0-1 Year</v>
      </c>
      <c r="N825" s="2" t="str">
        <f>IF(TelecomData[[#This Row],[CleanedTotalCharges]]&gt;=2500,"High Spend", "Standard Spend")</f>
        <v>Standard Spend</v>
      </c>
    </row>
    <row r="826" spans="1:14" x14ac:dyDescent="0.3">
      <c r="A826" s="1" t="s">
        <v>850</v>
      </c>
      <c r="B826" s="2" t="s">
        <v>12</v>
      </c>
      <c r="C826" s="2" t="s">
        <v>35</v>
      </c>
      <c r="D826" s="2">
        <v>62</v>
      </c>
      <c r="E826" s="2" t="s">
        <v>15</v>
      </c>
      <c r="F826" s="2" t="s">
        <v>36</v>
      </c>
      <c r="G826" s="7">
        <v>25.8</v>
      </c>
      <c r="H826" s="7">
        <v>1563.95</v>
      </c>
      <c r="I826" s="2" t="s">
        <v>15</v>
      </c>
      <c r="J826" s="2" t="s">
        <v>16</v>
      </c>
      <c r="K826" s="2" t="s">
        <v>29</v>
      </c>
      <c r="L826" s="7">
        <v>1563.95</v>
      </c>
      <c r="M826" s="2" t="str">
        <f>_xlfn.IFS(TelecomData[[#This Row],[TenureMonths]]&lt;=12, "0-1 Year", TelecomData[[#This Row],[TenureMonths]]&lt;=36, "1-3 Years", TelecomData[[#This Row],[TenureMonths]]&gt;36, "3+ Years")</f>
        <v>3+ Years</v>
      </c>
      <c r="N826" s="2" t="str">
        <f>IF(TelecomData[[#This Row],[CleanedTotalCharges]]&gt;=2500,"High Spend", "Standard Spend")</f>
        <v>Standard Spend</v>
      </c>
    </row>
    <row r="827" spans="1:14" x14ac:dyDescent="0.3">
      <c r="A827" s="1" t="s">
        <v>851</v>
      </c>
      <c r="B827" s="2" t="s">
        <v>12</v>
      </c>
      <c r="C827" s="2" t="s">
        <v>13</v>
      </c>
      <c r="D827" s="2">
        <v>16</v>
      </c>
      <c r="E827" s="2" t="s">
        <v>26</v>
      </c>
      <c r="F827" s="2" t="s">
        <v>15</v>
      </c>
      <c r="G827" s="7">
        <v>89.45</v>
      </c>
      <c r="H827" s="7">
        <v>1430.25</v>
      </c>
      <c r="I827" s="2" t="s">
        <v>16</v>
      </c>
      <c r="J827" s="2" t="s">
        <v>16</v>
      </c>
      <c r="K827" s="2" t="s">
        <v>29</v>
      </c>
      <c r="L827" s="7">
        <v>1430.25</v>
      </c>
      <c r="M827" s="2" t="str">
        <f>_xlfn.IFS(TelecomData[[#This Row],[TenureMonths]]&lt;=12, "0-1 Year", TelecomData[[#This Row],[TenureMonths]]&lt;=36, "1-3 Years", TelecomData[[#This Row],[TenureMonths]]&gt;36, "3+ Years")</f>
        <v>1-3 Years</v>
      </c>
      <c r="N827" s="2" t="str">
        <f>IF(TelecomData[[#This Row],[CleanedTotalCharges]]&gt;=2500,"High Spend", "Standard Spend")</f>
        <v>Standard Spend</v>
      </c>
    </row>
    <row r="828" spans="1:14" x14ac:dyDescent="0.3">
      <c r="A828" s="1" t="s">
        <v>852</v>
      </c>
      <c r="B828" s="2" t="s">
        <v>19</v>
      </c>
      <c r="C828" s="2" t="s">
        <v>13</v>
      </c>
      <c r="D828" s="2">
        <v>7</v>
      </c>
      <c r="E828" s="2" t="s">
        <v>26</v>
      </c>
      <c r="F828" s="2" t="s">
        <v>15</v>
      </c>
      <c r="G828" s="7">
        <v>95.6</v>
      </c>
      <c r="H828" s="7">
        <v>644.35</v>
      </c>
      <c r="I828" s="2" t="s">
        <v>16</v>
      </c>
      <c r="J828" s="2" t="s">
        <v>16</v>
      </c>
      <c r="K828" s="2" t="s">
        <v>24</v>
      </c>
      <c r="L828" s="7">
        <v>644.35</v>
      </c>
      <c r="M828" s="2" t="str">
        <f>_xlfn.IFS(TelecomData[[#This Row],[TenureMonths]]&lt;=12, "0-1 Year", TelecomData[[#This Row],[TenureMonths]]&lt;=36, "1-3 Years", TelecomData[[#This Row],[TenureMonths]]&gt;36, "3+ Years")</f>
        <v>0-1 Year</v>
      </c>
      <c r="N828" s="2" t="str">
        <f>IF(TelecomData[[#This Row],[CleanedTotalCharges]]&gt;=2500,"High Spend", "Standard Spend")</f>
        <v>Standard Spend</v>
      </c>
    </row>
    <row r="829" spans="1:14" x14ac:dyDescent="0.3">
      <c r="A829" s="1" t="s">
        <v>853</v>
      </c>
      <c r="B829" s="2" t="s">
        <v>12</v>
      </c>
      <c r="C829" s="2" t="s">
        <v>13</v>
      </c>
      <c r="D829" s="2">
        <v>14</v>
      </c>
      <c r="E829" s="2" t="s">
        <v>15</v>
      </c>
      <c r="F829" s="2" t="s">
        <v>36</v>
      </c>
      <c r="G829" s="7">
        <v>25.55</v>
      </c>
      <c r="H829" s="7">
        <v>372.45</v>
      </c>
      <c r="I829" s="2" t="s">
        <v>15</v>
      </c>
      <c r="J829" s="2" t="s">
        <v>15</v>
      </c>
      <c r="K829" s="2" t="s">
        <v>21</v>
      </c>
      <c r="L829" s="7">
        <v>372.45</v>
      </c>
      <c r="M829" s="2" t="str">
        <f>_xlfn.IFS(TelecomData[[#This Row],[TenureMonths]]&lt;=12, "0-1 Year", TelecomData[[#This Row],[TenureMonths]]&lt;=36, "1-3 Years", TelecomData[[#This Row],[TenureMonths]]&gt;36, "3+ Years")</f>
        <v>1-3 Years</v>
      </c>
      <c r="N829" s="2" t="str">
        <f>IF(TelecomData[[#This Row],[CleanedTotalCharges]]&gt;=2500,"High Spend", "Standard Spend")</f>
        <v>Standard Spend</v>
      </c>
    </row>
    <row r="830" spans="1:14" x14ac:dyDescent="0.3">
      <c r="A830" s="1" t="s">
        <v>854</v>
      </c>
      <c r="B830" s="2" t="s">
        <v>19</v>
      </c>
      <c r="C830" s="2" t="s">
        <v>20</v>
      </c>
      <c r="D830" s="2">
        <v>60</v>
      </c>
      <c r="E830" s="2" t="s">
        <v>26</v>
      </c>
      <c r="F830" s="2" t="s">
        <v>15</v>
      </c>
      <c r="G830" s="7">
        <v>90.95</v>
      </c>
      <c r="H830" s="7">
        <v>5453.4</v>
      </c>
      <c r="I830" s="2" t="s">
        <v>16</v>
      </c>
      <c r="J830" s="2" t="s">
        <v>15</v>
      </c>
      <c r="K830" s="2" t="s">
        <v>17</v>
      </c>
      <c r="L830" s="7">
        <v>5453.4</v>
      </c>
      <c r="M830" s="2" t="str">
        <f>_xlfn.IFS(TelecomData[[#This Row],[TenureMonths]]&lt;=12, "0-1 Year", TelecomData[[#This Row],[TenureMonths]]&lt;=36, "1-3 Years", TelecomData[[#This Row],[TenureMonths]]&gt;36, "3+ Years")</f>
        <v>3+ Years</v>
      </c>
      <c r="N830" s="2" t="str">
        <f>IF(TelecomData[[#This Row],[CleanedTotalCharges]]&gt;=2500,"High Spend", "Standard Spend")</f>
        <v>High Spend</v>
      </c>
    </row>
    <row r="831" spans="1:14" x14ac:dyDescent="0.3">
      <c r="A831" s="1" t="s">
        <v>855</v>
      </c>
      <c r="B831" s="2" t="s">
        <v>19</v>
      </c>
      <c r="C831" s="2" t="s">
        <v>13</v>
      </c>
      <c r="D831" s="2">
        <v>34</v>
      </c>
      <c r="E831" s="2" t="s">
        <v>14</v>
      </c>
      <c r="F831" s="2" t="s">
        <v>16</v>
      </c>
      <c r="G831" s="7">
        <v>44.85</v>
      </c>
      <c r="H831" s="7">
        <v>1442.6</v>
      </c>
      <c r="I831" s="2" t="s">
        <v>15</v>
      </c>
      <c r="J831" s="2" t="s">
        <v>16</v>
      </c>
      <c r="K831" s="2" t="s">
        <v>17</v>
      </c>
      <c r="L831" s="7">
        <v>1442.6</v>
      </c>
      <c r="M831" s="2" t="str">
        <f>_xlfn.IFS(TelecomData[[#This Row],[TenureMonths]]&lt;=12, "0-1 Year", TelecomData[[#This Row],[TenureMonths]]&lt;=36, "1-3 Years", TelecomData[[#This Row],[TenureMonths]]&gt;36, "3+ Years")</f>
        <v>1-3 Years</v>
      </c>
      <c r="N831" s="2" t="str">
        <f>IF(TelecomData[[#This Row],[CleanedTotalCharges]]&gt;=2500,"High Spend", "Standard Spend")</f>
        <v>Standard Spend</v>
      </c>
    </row>
    <row r="832" spans="1:14" x14ac:dyDescent="0.3">
      <c r="A832" s="1" t="s">
        <v>856</v>
      </c>
      <c r="B832" s="2" t="s">
        <v>12</v>
      </c>
      <c r="C832" s="2" t="s">
        <v>20</v>
      </c>
      <c r="D832" s="2">
        <v>50</v>
      </c>
      <c r="E832" s="2" t="s">
        <v>26</v>
      </c>
      <c r="F832" s="2" t="s">
        <v>16</v>
      </c>
      <c r="G832" s="7">
        <v>108.55</v>
      </c>
      <c r="H832" s="7">
        <v>5610.7</v>
      </c>
      <c r="I832" s="2" t="s">
        <v>16</v>
      </c>
      <c r="J832" s="2" t="s">
        <v>15</v>
      </c>
      <c r="K832" s="2" t="s">
        <v>17</v>
      </c>
      <c r="L832" s="7">
        <v>5610.7</v>
      </c>
      <c r="M832" s="2" t="str">
        <f>_xlfn.IFS(TelecomData[[#This Row],[TenureMonths]]&lt;=12, "0-1 Year", TelecomData[[#This Row],[TenureMonths]]&lt;=36, "1-3 Years", TelecomData[[#This Row],[TenureMonths]]&gt;36, "3+ Years")</f>
        <v>3+ Years</v>
      </c>
      <c r="N832" s="2" t="str">
        <f>IF(TelecomData[[#This Row],[CleanedTotalCharges]]&gt;=2500,"High Spend", "Standard Spend")</f>
        <v>High Spend</v>
      </c>
    </row>
    <row r="833" spans="1:14" x14ac:dyDescent="0.3">
      <c r="A833" s="1" t="s">
        <v>857</v>
      </c>
      <c r="B833" s="2" t="s">
        <v>19</v>
      </c>
      <c r="C833" s="2" t="s">
        <v>35</v>
      </c>
      <c r="D833" s="2">
        <v>38</v>
      </c>
      <c r="E833" s="2" t="s">
        <v>15</v>
      </c>
      <c r="F833" s="2" t="s">
        <v>36</v>
      </c>
      <c r="G833" s="7">
        <v>25.05</v>
      </c>
      <c r="H833" s="7">
        <v>963.95</v>
      </c>
      <c r="I833" s="2" t="s">
        <v>15</v>
      </c>
      <c r="J833" s="2" t="s">
        <v>15</v>
      </c>
      <c r="K833" s="2" t="s">
        <v>29</v>
      </c>
      <c r="L833" s="7">
        <v>963.95</v>
      </c>
      <c r="M833" s="2" t="str">
        <f>_xlfn.IFS(TelecomData[[#This Row],[TenureMonths]]&lt;=12, "0-1 Year", TelecomData[[#This Row],[TenureMonths]]&lt;=36, "1-3 Years", TelecomData[[#This Row],[TenureMonths]]&gt;36, "3+ Years")</f>
        <v>3+ Years</v>
      </c>
      <c r="N833" s="2" t="str">
        <f>IF(TelecomData[[#This Row],[CleanedTotalCharges]]&gt;=2500,"High Spend", "Standard Spend")</f>
        <v>Standard Spend</v>
      </c>
    </row>
    <row r="834" spans="1:14" x14ac:dyDescent="0.3">
      <c r="A834" s="1" t="s">
        <v>858</v>
      </c>
      <c r="B834" s="2" t="s">
        <v>12</v>
      </c>
      <c r="C834" s="2" t="s">
        <v>20</v>
      </c>
      <c r="D834" s="2">
        <v>70</v>
      </c>
      <c r="E834" s="2" t="s">
        <v>14</v>
      </c>
      <c r="F834" s="2" t="s">
        <v>16</v>
      </c>
      <c r="G834" s="7">
        <v>74.099999999999994</v>
      </c>
      <c r="H834" s="7">
        <v>5222.3</v>
      </c>
      <c r="I834" s="2" t="s">
        <v>15</v>
      </c>
      <c r="J834" s="2" t="s">
        <v>15</v>
      </c>
      <c r="K834" s="2" t="s">
        <v>29</v>
      </c>
      <c r="L834" s="7">
        <v>5222.3</v>
      </c>
      <c r="M834" s="2" t="str">
        <f>_xlfn.IFS(TelecomData[[#This Row],[TenureMonths]]&lt;=12, "0-1 Year", TelecomData[[#This Row],[TenureMonths]]&lt;=36, "1-3 Years", TelecomData[[#This Row],[TenureMonths]]&gt;36, "3+ Years")</f>
        <v>3+ Years</v>
      </c>
      <c r="N834" s="2" t="str">
        <f>IF(TelecomData[[#This Row],[CleanedTotalCharges]]&gt;=2500,"High Spend", "Standard Spend")</f>
        <v>High Spend</v>
      </c>
    </row>
    <row r="835" spans="1:14" x14ac:dyDescent="0.3">
      <c r="A835" s="1" t="s">
        <v>859</v>
      </c>
      <c r="B835" s="2" t="s">
        <v>12</v>
      </c>
      <c r="C835" s="2" t="s">
        <v>13</v>
      </c>
      <c r="D835" s="2">
        <v>37</v>
      </c>
      <c r="E835" s="2" t="s">
        <v>26</v>
      </c>
      <c r="F835" s="2" t="s">
        <v>15</v>
      </c>
      <c r="G835" s="7">
        <v>88.8</v>
      </c>
      <c r="H835" s="7">
        <v>3340.55</v>
      </c>
      <c r="I835" s="2" t="s">
        <v>15</v>
      </c>
      <c r="J835" s="2" t="s">
        <v>16</v>
      </c>
      <c r="K835" s="2" t="s">
        <v>17</v>
      </c>
      <c r="L835" s="7">
        <v>3340.55</v>
      </c>
      <c r="M835" s="2" t="str">
        <f>_xlfn.IFS(TelecomData[[#This Row],[TenureMonths]]&lt;=12, "0-1 Year", TelecomData[[#This Row],[TenureMonths]]&lt;=36, "1-3 Years", TelecomData[[#This Row],[TenureMonths]]&gt;36, "3+ Years")</f>
        <v>3+ Years</v>
      </c>
      <c r="N835" s="2" t="str">
        <f>IF(TelecomData[[#This Row],[CleanedTotalCharges]]&gt;=2500,"High Spend", "Standard Spend")</f>
        <v>High Spend</v>
      </c>
    </row>
    <row r="836" spans="1:14" x14ac:dyDescent="0.3">
      <c r="A836" s="1" t="s">
        <v>860</v>
      </c>
      <c r="B836" s="2" t="s">
        <v>12</v>
      </c>
      <c r="C836" s="2" t="s">
        <v>13</v>
      </c>
      <c r="D836" s="2">
        <v>4</v>
      </c>
      <c r="E836" s="2" t="s">
        <v>26</v>
      </c>
      <c r="F836" s="2" t="s">
        <v>15</v>
      </c>
      <c r="G836" s="7">
        <v>78.849999999999994</v>
      </c>
      <c r="H836" s="7">
        <v>292.8</v>
      </c>
      <c r="I836" s="2" t="s">
        <v>16</v>
      </c>
      <c r="J836" s="2" t="s">
        <v>16</v>
      </c>
      <c r="K836" s="2" t="s">
        <v>17</v>
      </c>
      <c r="L836" s="7">
        <v>292.8</v>
      </c>
      <c r="M836" s="2" t="str">
        <f>_xlfn.IFS(TelecomData[[#This Row],[TenureMonths]]&lt;=12, "0-1 Year", TelecomData[[#This Row],[TenureMonths]]&lt;=36, "1-3 Years", TelecomData[[#This Row],[TenureMonths]]&gt;36, "3+ Years")</f>
        <v>0-1 Year</v>
      </c>
      <c r="N836" s="2" t="str">
        <f>IF(TelecomData[[#This Row],[CleanedTotalCharges]]&gt;=2500,"High Spend", "Standard Spend")</f>
        <v>Standard Spend</v>
      </c>
    </row>
    <row r="837" spans="1:14" x14ac:dyDescent="0.3">
      <c r="A837" s="1" t="s">
        <v>861</v>
      </c>
      <c r="B837" s="2" t="s">
        <v>19</v>
      </c>
      <c r="C837" s="2" t="s">
        <v>13</v>
      </c>
      <c r="D837" s="2">
        <v>60</v>
      </c>
      <c r="E837" s="2" t="s">
        <v>26</v>
      </c>
      <c r="F837" s="2" t="s">
        <v>15</v>
      </c>
      <c r="G837" s="7">
        <v>93.25</v>
      </c>
      <c r="H837" s="7">
        <v>5774.55</v>
      </c>
      <c r="I837" s="2" t="s">
        <v>15</v>
      </c>
      <c r="J837" s="2" t="s">
        <v>16</v>
      </c>
      <c r="K837" s="2" t="s">
        <v>17</v>
      </c>
      <c r="L837" s="7">
        <v>5774.55</v>
      </c>
      <c r="M837" s="2" t="str">
        <f>_xlfn.IFS(TelecomData[[#This Row],[TenureMonths]]&lt;=12, "0-1 Year", TelecomData[[#This Row],[TenureMonths]]&lt;=36, "1-3 Years", TelecomData[[#This Row],[TenureMonths]]&gt;36, "3+ Years")</f>
        <v>3+ Years</v>
      </c>
      <c r="N837" s="2" t="str">
        <f>IF(TelecomData[[#This Row],[CleanedTotalCharges]]&gt;=2500,"High Spend", "Standard Spend")</f>
        <v>High Spend</v>
      </c>
    </row>
    <row r="838" spans="1:14" x14ac:dyDescent="0.3">
      <c r="A838" s="1" t="s">
        <v>862</v>
      </c>
      <c r="B838" s="2" t="s">
        <v>19</v>
      </c>
      <c r="C838" s="2" t="s">
        <v>20</v>
      </c>
      <c r="D838" s="2">
        <v>62</v>
      </c>
      <c r="E838" s="2" t="s">
        <v>14</v>
      </c>
      <c r="F838" s="2" t="s">
        <v>16</v>
      </c>
      <c r="G838" s="7">
        <v>71.400000000000006</v>
      </c>
      <c r="H838" s="7">
        <v>4487.3</v>
      </c>
      <c r="I838" s="2" t="s">
        <v>15</v>
      </c>
      <c r="J838" s="2" t="s">
        <v>15</v>
      </c>
      <c r="K838" s="2" t="s">
        <v>29</v>
      </c>
      <c r="L838" s="7">
        <v>4487.3</v>
      </c>
      <c r="M838" s="2" t="str">
        <f>_xlfn.IFS(TelecomData[[#This Row],[TenureMonths]]&lt;=12, "0-1 Year", TelecomData[[#This Row],[TenureMonths]]&lt;=36, "1-3 Years", TelecomData[[#This Row],[TenureMonths]]&gt;36, "3+ Years")</f>
        <v>3+ Years</v>
      </c>
      <c r="N838" s="2" t="str">
        <f>IF(TelecomData[[#This Row],[CleanedTotalCharges]]&gt;=2500,"High Spend", "Standard Spend")</f>
        <v>High Spend</v>
      </c>
    </row>
    <row r="839" spans="1:14" x14ac:dyDescent="0.3">
      <c r="A839" s="1" t="s">
        <v>863</v>
      </c>
      <c r="B839" s="2" t="s">
        <v>19</v>
      </c>
      <c r="C839" s="2" t="s">
        <v>13</v>
      </c>
      <c r="D839" s="2">
        <v>1</v>
      </c>
      <c r="E839" s="2" t="s">
        <v>14</v>
      </c>
      <c r="F839" s="2" t="s">
        <v>15</v>
      </c>
      <c r="G839" s="7">
        <v>44.4</v>
      </c>
      <c r="H839" s="7">
        <v>44.4</v>
      </c>
      <c r="I839" s="2" t="s">
        <v>16</v>
      </c>
      <c r="J839" s="2" t="s">
        <v>15</v>
      </c>
      <c r="K839" s="2" t="s">
        <v>21</v>
      </c>
      <c r="L839" s="7">
        <v>44.4</v>
      </c>
      <c r="M839" s="2" t="str">
        <f>_xlfn.IFS(TelecomData[[#This Row],[TenureMonths]]&lt;=12, "0-1 Year", TelecomData[[#This Row],[TenureMonths]]&lt;=36, "1-3 Years", TelecomData[[#This Row],[TenureMonths]]&gt;36, "3+ Years")</f>
        <v>0-1 Year</v>
      </c>
      <c r="N839" s="2" t="str">
        <f>IF(TelecomData[[#This Row],[CleanedTotalCharges]]&gt;=2500,"High Spend", "Standard Spend")</f>
        <v>Standard Spend</v>
      </c>
    </row>
    <row r="840" spans="1:14" x14ac:dyDescent="0.3">
      <c r="A840" s="1" t="s">
        <v>864</v>
      </c>
      <c r="B840" s="2" t="s">
        <v>19</v>
      </c>
      <c r="C840" s="2" t="s">
        <v>13</v>
      </c>
      <c r="D840" s="2">
        <v>36</v>
      </c>
      <c r="E840" s="2" t="s">
        <v>14</v>
      </c>
      <c r="F840" s="2" t="s">
        <v>16</v>
      </c>
      <c r="G840" s="7">
        <v>79.2</v>
      </c>
      <c r="H840" s="7">
        <v>2854.95</v>
      </c>
      <c r="I840" s="2" t="s">
        <v>15</v>
      </c>
      <c r="J840" s="2" t="s">
        <v>16</v>
      </c>
      <c r="K840" s="2" t="s">
        <v>29</v>
      </c>
      <c r="L840" s="7">
        <v>2854.95</v>
      </c>
      <c r="M840" s="2" t="str">
        <f>_xlfn.IFS(TelecomData[[#This Row],[TenureMonths]]&lt;=12, "0-1 Year", TelecomData[[#This Row],[TenureMonths]]&lt;=36, "1-3 Years", TelecomData[[#This Row],[TenureMonths]]&gt;36, "3+ Years")</f>
        <v>1-3 Years</v>
      </c>
      <c r="N840" s="2" t="str">
        <f>IF(TelecomData[[#This Row],[CleanedTotalCharges]]&gt;=2500,"High Spend", "Standard Spend")</f>
        <v>High Spend</v>
      </c>
    </row>
    <row r="841" spans="1:14" x14ac:dyDescent="0.3">
      <c r="A841" s="1" t="s">
        <v>865</v>
      </c>
      <c r="B841" s="2" t="s">
        <v>19</v>
      </c>
      <c r="C841" s="2" t="s">
        <v>35</v>
      </c>
      <c r="D841" s="2">
        <v>44</v>
      </c>
      <c r="E841" s="2" t="s">
        <v>15</v>
      </c>
      <c r="F841" s="2" t="s">
        <v>36</v>
      </c>
      <c r="G841" s="7">
        <v>20.399999999999999</v>
      </c>
      <c r="H841" s="7">
        <v>905.55</v>
      </c>
      <c r="I841" s="2" t="s">
        <v>15</v>
      </c>
      <c r="J841" s="2" t="s">
        <v>15</v>
      </c>
      <c r="K841" s="2" t="s">
        <v>29</v>
      </c>
      <c r="L841" s="7">
        <v>905.55</v>
      </c>
      <c r="M841" s="2" t="str">
        <f>_xlfn.IFS(TelecomData[[#This Row],[TenureMonths]]&lt;=12, "0-1 Year", TelecomData[[#This Row],[TenureMonths]]&lt;=36, "1-3 Years", TelecomData[[#This Row],[TenureMonths]]&gt;36, "3+ Years")</f>
        <v>3+ Years</v>
      </c>
      <c r="N841" s="2" t="str">
        <f>IF(TelecomData[[#This Row],[CleanedTotalCharges]]&gt;=2500,"High Spend", "Standard Spend")</f>
        <v>Standard Spend</v>
      </c>
    </row>
    <row r="842" spans="1:14" x14ac:dyDescent="0.3">
      <c r="A842" s="1" t="s">
        <v>866</v>
      </c>
      <c r="B842" s="2" t="s">
        <v>12</v>
      </c>
      <c r="C842" s="2" t="s">
        <v>20</v>
      </c>
      <c r="D842" s="2">
        <v>55</v>
      </c>
      <c r="E842" s="2" t="s">
        <v>26</v>
      </c>
      <c r="F842" s="2" t="s">
        <v>15</v>
      </c>
      <c r="G842" s="7">
        <v>100</v>
      </c>
      <c r="H842" s="7">
        <v>5509.3</v>
      </c>
      <c r="I842" s="2" t="s">
        <v>16</v>
      </c>
      <c r="J842" s="2" t="s">
        <v>16</v>
      </c>
      <c r="K842" s="2" t="s">
        <v>17</v>
      </c>
      <c r="L842" s="7">
        <v>5509.3</v>
      </c>
      <c r="M842" s="2" t="str">
        <f>_xlfn.IFS(TelecomData[[#This Row],[TenureMonths]]&lt;=12, "0-1 Year", TelecomData[[#This Row],[TenureMonths]]&lt;=36, "1-3 Years", TelecomData[[#This Row],[TenureMonths]]&gt;36, "3+ Years")</f>
        <v>3+ Years</v>
      </c>
      <c r="N842" s="2" t="str">
        <f>IF(TelecomData[[#This Row],[CleanedTotalCharges]]&gt;=2500,"High Spend", "Standard Spend")</f>
        <v>High Spend</v>
      </c>
    </row>
    <row r="843" spans="1:14" x14ac:dyDescent="0.3">
      <c r="A843" s="1" t="s">
        <v>867</v>
      </c>
      <c r="B843" s="2" t="s">
        <v>12</v>
      </c>
      <c r="C843" s="2" t="s">
        <v>35</v>
      </c>
      <c r="D843" s="2">
        <v>72</v>
      </c>
      <c r="E843" s="2" t="s">
        <v>26</v>
      </c>
      <c r="F843" s="2" t="s">
        <v>15</v>
      </c>
      <c r="G843" s="7">
        <v>105</v>
      </c>
      <c r="H843" s="7">
        <v>7589.8</v>
      </c>
      <c r="I843" s="2" t="s">
        <v>15</v>
      </c>
      <c r="J843" s="2" t="s">
        <v>16</v>
      </c>
      <c r="K843" s="2" t="s">
        <v>29</v>
      </c>
      <c r="L843" s="7">
        <v>7589.8</v>
      </c>
      <c r="M843" s="2" t="str">
        <f>_xlfn.IFS(TelecomData[[#This Row],[TenureMonths]]&lt;=12, "0-1 Year", TelecomData[[#This Row],[TenureMonths]]&lt;=36, "1-3 Years", TelecomData[[#This Row],[TenureMonths]]&gt;36, "3+ Years")</f>
        <v>3+ Years</v>
      </c>
      <c r="N843" s="2" t="str">
        <f>IF(TelecomData[[#This Row],[CleanedTotalCharges]]&gt;=2500,"High Spend", "Standard Spend")</f>
        <v>High Spend</v>
      </c>
    </row>
    <row r="844" spans="1:14" x14ac:dyDescent="0.3">
      <c r="A844" s="1" t="s">
        <v>868</v>
      </c>
      <c r="B844" s="2" t="s">
        <v>12</v>
      </c>
      <c r="C844" s="2" t="s">
        <v>20</v>
      </c>
      <c r="D844" s="2">
        <v>12</v>
      </c>
      <c r="E844" s="2" t="s">
        <v>15</v>
      </c>
      <c r="F844" s="2" t="s">
        <v>36</v>
      </c>
      <c r="G844" s="7">
        <v>19.8</v>
      </c>
      <c r="H844" s="7">
        <v>229.6</v>
      </c>
      <c r="I844" s="2" t="s">
        <v>16</v>
      </c>
      <c r="J844" s="2" t="s">
        <v>15</v>
      </c>
      <c r="K844" s="2" t="s">
        <v>24</v>
      </c>
      <c r="L844" s="7">
        <v>229.6</v>
      </c>
      <c r="M844" s="2" t="str">
        <f>_xlfn.IFS(TelecomData[[#This Row],[TenureMonths]]&lt;=12, "0-1 Year", TelecomData[[#This Row],[TenureMonths]]&lt;=36, "1-3 Years", TelecomData[[#This Row],[TenureMonths]]&gt;36, "3+ Years")</f>
        <v>0-1 Year</v>
      </c>
      <c r="N844" s="2" t="str">
        <f>IF(TelecomData[[#This Row],[CleanedTotalCharges]]&gt;=2500,"High Spend", "Standard Spend")</f>
        <v>Standard Spend</v>
      </c>
    </row>
    <row r="845" spans="1:14" x14ac:dyDescent="0.3">
      <c r="A845" s="1" t="s">
        <v>869</v>
      </c>
      <c r="B845" s="2" t="s">
        <v>12</v>
      </c>
      <c r="C845" s="2" t="s">
        <v>13</v>
      </c>
      <c r="D845" s="2">
        <v>13</v>
      </c>
      <c r="E845" s="2" t="s">
        <v>14</v>
      </c>
      <c r="F845" s="2" t="s">
        <v>15</v>
      </c>
      <c r="G845" s="7">
        <v>30.85</v>
      </c>
      <c r="H845" s="7">
        <v>394.1</v>
      </c>
      <c r="I845" s="2" t="s">
        <v>15</v>
      </c>
      <c r="J845" s="2" t="s">
        <v>16</v>
      </c>
      <c r="K845" s="2" t="s">
        <v>24</v>
      </c>
      <c r="L845" s="7">
        <v>394.1</v>
      </c>
      <c r="M845" s="2" t="str">
        <f>_xlfn.IFS(TelecomData[[#This Row],[TenureMonths]]&lt;=12, "0-1 Year", TelecomData[[#This Row],[TenureMonths]]&lt;=36, "1-3 Years", TelecomData[[#This Row],[TenureMonths]]&gt;36, "3+ Years")</f>
        <v>1-3 Years</v>
      </c>
      <c r="N845" s="2" t="str">
        <f>IF(TelecomData[[#This Row],[CleanedTotalCharges]]&gt;=2500,"High Spend", "Standard Spend")</f>
        <v>Standard Spend</v>
      </c>
    </row>
    <row r="846" spans="1:14" x14ac:dyDescent="0.3">
      <c r="A846" s="1" t="s">
        <v>870</v>
      </c>
      <c r="B846" s="2" t="s">
        <v>19</v>
      </c>
      <c r="C846" s="2" t="s">
        <v>13</v>
      </c>
      <c r="D846" s="2">
        <v>1</v>
      </c>
      <c r="E846" s="2" t="s">
        <v>26</v>
      </c>
      <c r="F846" s="2" t="s">
        <v>15</v>
      </c>
      <c r="G846" s="7">
        <v>89.9</v>
      </c>
      <c r="H846" s="7">
        <v>89.9</v>
      </c>
      <c r="I846" s="2" t="s">
        <v>16</v>
      </c>
      <c r="J846" s="2" t="s">
        <v>16</v>
      </c>
      <c r="K846" s="2" t="s">
        <v>17</v>
      </c>
      <c r="L846" s="7">
        <v>89.9</v>
      </c>
      <c r="M846" s="2" t="str">
        <f>_xlfn.IFS(TelecomData[[#This Row],[TenureMonths]]&lt;=12, "0-1 Year", TelecomData[[#This Row],[TenureMonths]]&lt;=36, "1-3 Years", TelecomData[[#This Row],[TenureMonths]]&gt;36, "3+ Years")</f>
        <v>0-1 Year</v>
      </c>
      <c r="N846" s="2" t="str">
        <f>IF(TelecomData[[#This Row],[CleanedTotalCharges]]&gt;=2500,"High Spend", "Standard Spend")</f>
        <v>Standard Spend</v>
      </c>
    </row>
    <row r="847" spans="1:14" x14ac:dyDescent="0.3">
      <c r="A847" s="1" t="s">
        <v>871</v>
      </c>
      <c r="B847" s="2" t="s">
        <v>12</v>
      </c>
      <c r="C847" s="2" t="s">
        <v>20</v>
      </c>
      <c r="D847" s="2">
        <v>15</v>
      </c>
      <c r="E847" s="2" t="s">
        <v>15</v>
      </c>
      <c r="F847" s="2" t="s">
        <v>36</v>
      </c>
      <c r="G847" s="7">
        <v>20.55</v>
      </c>
      <c r="H847" s="7">
        <v>295.95</v>
      </c>
      <c r="I847" s="2" t="s">
        <v>15</v>
      </c>
      <c r="J847" s="2" t="s">
        <v>15</v>
      </c>
      <c r="K847" s="2" t="s">
        <v>21</v>
      </c>
      <c r="L847" s="7">
        <v>295.95</v>
      </c>
      <c r="M847" s="2" t="str">
        <f>_xlfn.IFS(TelecomData[[#This Row],[TenureMonths]]&lt;=12, "0-1 Year", TelecomData[[#This Row],[TenureMonths]]&lt;=36, "1-3 Years", TelecomData[[#This Row],[TenureMonths]]&gt;36, "3+ Years")</f>
        <v>1-3 Years</v>
      </c>
      <c r="N847" s="2" t="str">
        <f>IF(TelecomData[[#This Row],[CleanedTotalCharges]]&gt;=2500,"High Spend", "Standard Spend")</f>
        <v>Standard Spend</v>
      </c>
    </row>
    <row r="848" spans="1:14" x14ac:dyDescent="0.3">
      <c r="A848" s="1" t="s">
        <v>872</v>
      </c>
      <c r="B848" s="2" t="s">
        <v>12</v>
      </c>
      <c r="C848" s="2" t="s">
        <v>35</v>
      </c>
      <c r="D848" s="2">
        <v>65</v>
      </c>
      <c r="E848" s="2" t="s">
        <v>14</v>
      </c>
      <c r="F848" s="2" t="s">
        <v>16</v>
      </c>
      <c r="G848" s="7">
        <v>84.85</v>
      </c>
      <c r="H848" s="7">
        <v>5459.2</v>
      </c>
      <c r="I848" s="2" t="s">
        <v>15</v>
      </c>
      <c r="J848" s="2" t="s">
        <v>16</v>
      </c>
      <c r="K848" s="2" t="s">
        <v>24</v>
      </c>
      <c r="L848" s="7">
        <v>5459.2</v>
      </c>
      <c r="M848" s="2" t="str">
        <f>_xlfn.IFS(TelecomData[[#This Row],[TenureMonths]]&lt;=12, "0-1 Year", TelecomData[[#This Row],[TenureMonths]]&lt;=36, "1-3 Years", TelecomData[[#This Row],[TenureMonths]]&gt;36, "3+ Years")</f>
        <v>3+ Years</v>
      </c>
      <c r="N848" s="2" t="str">
        <f>IF(TelecomData[[#This Row],[CleanedTotalCharges]]&gt;=2500,"High Spend", "Standard Spend")</f>
        <v>High Spend</v>
      </c>
    </row>
    <row r="849" spans="1:14" x14ac:dyDescent="0.3">
      <c r="A849" s="1" t="s">
        <v>873</v>
      </c>
      <c r="B849" s="2" t="s">
        <v>12</v>
      </c>
      <c r="C849" s="2" t="s">
        <v>20</v>
      </c>
      <c r="D849" s="2">
        <v>12</v>
      </c>
      <c r="E849" s="2" t="s">
        <v>14</v>
      </c>
      <c r="F849" s="2" t="s">
        <v>16</v>
      </c>
      <c r="G849" s="7">
        <v>33.15</v>
      </c>
      <c r="H849" s="7">
        <v>444.75</v>
      </c>
      <c r="I849" s="2" t="s">
        <v>15</v>
      </c>
      <c r="J849" s="2" t="s">
        <v>15</v>
      </c>
      <c r="K849" s="2" t="s">
        <v>29</v>
      </c>
      <c r="L849" s="7">
        <v>444.75</v>
      </c>
      <c r="M849" s="2" t="str">
        <f>_xlfn.IFS(TelecomData[[#This Row],[TenureMonths]]&lt;=12, "0-1 Year", TelecomData[[#This Row],[TenureMonths]]&lt;=36, "1-3 Years", TelecomData[[#This Row],[TenureMonths]]&gt;36, "3+ Years")</f>
        <v>0-1 Year</v>
      </c>
      <c r="N849" s="2" t="str">
        <f>IF(TelecomData[[#This Row],[CleanedTotalCharges]]&gt;=2500,"High Spend", "Standard Spend")</f>
        <v>Standard Spend</v>
      </c>
    </row>
    <row r="850" spans="1:14" x14ac:dyDescent="0.3">
      <c r="A850" s="1" t="s">
        <v>874</v>
      </c>
      <c r="B850" s="2" t="s">
        <v>19</v>
      </c>
      <c r="C850" s="2" t="s">
        <v>35</v>
      </c>
      <c r="D850" s="2">
        <v>72</v>
      </c>
      <c r="E850" s="2" t="s">
        <v>14</v>
      </c>
      <c r="F850" s="2" t="s">
        <v>16</v>
      </c>
      <c r="G850" s="7">
        <v>92</v>
      </c>
      <c r="H850" s="7">
        <v>6782.15</v>
      </c>
      <c r="I850" s="2" t="s">
        <v>15</v>
      </c>
      <c r="J850" s="2" t="s">
        <v>16</v>
      </c>
      <c r="K850" s="2" t="s">
        <v>29</v>
      </c>
      <c r="L850" s="7">
        <v>6782.15</v>
      </c>
      <c r="M850" s="2" t="str">
        <f>_xlfn.IFS(TelecomData[[#This Row],[TenureMonths]]&lt;=12, "0-1 Year", TelecomData[[#This Row],[TenureMonths]]&lt;=36, "1-3 Years", TelecomData[[#This Row],[TenureMonths]]&gt;36, "3+ Years")</f>
        <v>3+ Years</v>
      </c>
      <c r="N850" s="2" t="str">
        <f>IF(TelecomData[[#This Row],[CleanedTotalCharges]]&gt;=2500,"High Spend", "Standard Spend")</f>
        <v>High Spend</v>
      </c>
    </row>
    <row r="851" spans="1:14" x14ac:dyDescent="0.3">
      <c r="A851" s="1" t="s">
        <v>875</v>
      </c>
      <c r="B851" s="2" t="s">
        <v>12</v>
      </c>
      <c r="C851" s="2" t="s">
        <v>35</v>
      </c>
      <c r="D851" s="2">
        <v>72</v>
      </c>
      <c r="E851" s="2" t="s">
        <v>14</v>
      </c>
      <c r="F851" s="2" t="s">
        <v>16</v>
      </c>
      <c r="G851" s="7">
        <v>89.8</v>
      </c>
      <c r="H851" s="7">
        <v>6510.45</v>
      </c>
      <c r="I851" s="2" t="s">
        <v>15</v>
      </c>
      <c r="J851" s="2" t="s">
        <v>15</v>
      </c>
      <c r="K851" s="2" t="s">
        <v>29</v>
      </c>
      <c r="L851" s="7">
        <v>6510.45</v>
      </c>
      <c r="M851" s="2" t="str">
        <f>_xlfn.IFS(TelecomData[[#This Row],[TenureMonths]]&lt;=12, "0-1 Year", TelecomData[[#This Row],[TenureMonths]]&lt;=36, "1-3 Years", TelecomData[[#This Row],[TenureMonths]]&gt;36, "3+ Years")</f>
        <v>3+ Years</v>
      </c>
      <c r="N851" s="2" t="str">
        <f>IF(TelecomData[[#This Row],[CleanedTotalCharges]]&gt;=2500,"High Spend", "Standard Spend")</f>
        <v>High Spend</v>
      </c>
    </row>
    <row r="852" spans="1:14" x14ac:dyDescent="0.3">
      <c r="A852" s="1" t="s">
        <v>876</v>
      </c>
      <c r="B852" s="2" t="s">
        <v>12</v>
      </c>
      <c r="C852" s="2" t="s">
        <v>35</v>
      </c>
      <c r="D852" s="2">
        <v>72</v>
      </c>
      <c r="E852" s="2" t="s">
        <v>26</v>
      </c>
      <c r="F852" s="2" t="s">
        <v>16</v>
      </c>
      <c r="G852" s="7">
        <v>115.8</v>
      </c>
      <c r="H852" s="7">
        <v>8476.5</v>
      </c>
      <c r="I852" s="2" t="s">
        <v>15</v>
      </c>
      <c r="J852" s="2" t="s">
        <v>16</v>
      </c>
      <c r="K852" s="2" t="s">
        <v>24</v>
      </c>
      <c r="L852" s="7">
        <v>8476.5</v>
      </c>
      <c r="M852" s="2" t="str">
        <f>_xlfn.IFS(TelecomData[[#This Row],[TenureMonths]]&lt;=12, "0-1 Year", TelecomData[[#This Row],[TenureMonths]]&lt;=36, "1-3 Years", TelecomData[[#This Row],[TenureMonths]]&gt;36, "3+ Years")</f>
        <v>3+ Years</v>
      </c>
      <c r="N852" s="2" t="str">
        <f>IF(TelecomData[[#This Row],[CleanedTotalCharges]]&gt;=2500,"High Spend", "Standard Spend")</f>
        <v>High Spend</v>
      </c>
    </row>
    <row r="853" spans="1:14" x14ac:dyDescent="0.3">
      <c r="A853" s="1" t="s">
        <v>877</v>
      </c>
      <c r="B853" s="2" t="s">
        <v>19</v>
      </c>
      <c r="C853" s="2" t="s">
        <v>35</v>
      </c>
      <c r="D853" s="2">
        <v>52</v>
      </c>
      <c r="E853" s="2" t="s">
        <v>14</v>
      </c>
      <c r="F853" s="2" t="s">
        <v>16</v>
      </c>
      <c r="G853" s="7">
        <v>85.15</v>
      </c>
      <c r="H853" s="7">
        <v>4461.8500000000004</v>
      </c>
      <c r="I853" s="2" t="s">
        <v>15</v>
      </c>
      <c r="J853" s="2" t="s">
        <v>16</v>
      </c>
      <c r="K853" s="2" t="s">
        <v>21</v>
      </c>
      <c r="L853" s="7">
        <v>4461.8500000000004</v>
      </c>
      <c r="M853" s="2" t="str">
        <f>_xlfn.IFS(TelecomData[[#This Row],[TenureMonths]]&lt;=12, "0-1 Year", TelecomData[[#This Row],[TenureMonths]]&lt;=36, "1-3 Years", TelecomData[[#This Row],[TenureMonths]]&gt;36, "3+ Years")</f>
        <v>3+ Years</v>
      </c>
      <c r="N853" s="2" t="str">
        <f>IF(TelecomData[[#This Row],[CleanedTotalCharges]]&gt;=2500,"High Spend", "Standard Spend")</f>
        <v>High Spend</v>
      </c>
    </row>
    <row r="854" spans="1:14" x14ac:dyDescent="0.3">
      <c r="A854" s="1" t="s">
        <v>878</v>
      </c>
      <c r="B854" s="2" t="s">
        <v>19</v>
      </c>
      <c r="C854" s="2" t="s">
        <v>13</v>
      </c>
      <c r="D854" s="2">
        <v>2</v>
      </c>
      <c r="E854" s="2" t="s">
        <v>15</v>
      </c>
      <c r="F854" s="2" t="s">
        <v>36</v>
      </c>
      <c r="G854" s="7">
        <v>24.85</v>
      </c>
      <c r="H854" s="7">
        <v>62</v>
      </c>
      <c r="I854" s="2" t="s">
        <v>15</v>
      </c>
      <c r="J854" s="2" t="s">
        <v>15</v>
      </c>
      <c r="K854" s="2" t="s">
        <v>21</v>
      </c>
      <c r="L854" s="7">
        <v>62</v>
      </c>
      <c r="M854" s="2" t="str">
        <f>_xlfn.IFS(TelecomData[[#This Row],[TenureMonths]]&lt;=12, "0-1 Year", TelecomData[[#This Row],[TenureMonths]]&lt;=36, "1-3 Years", TelecomData[[#This Row],[TenureMonths]]&gt;36, "3+ Years")</f>
        <v>0-1 Year</v>
      </c>
      <c r="N854" s="2" t="str">
        <f>IF(TelecomData[[#This Row],[CleanedTotalCharges]]&gt;=2500,"High Spend", "Standard Spend")</f>
        <v>Standard Spend</v>
      </c>
    </row>
    <row r="855" spans="1:14" x14ac:dyDescent="0.3">
      <c r="A855" s="1" t="s">
        <v>879</v>
      </c>
      <c r="B855" s="2" t="s">
        <v>12</v>
      </c>
      <c r="C855" s="2" t="s">
        <v>13</v>
      </c>
      <c r="D855" s="2">
        <v>5</v>
      </c>
      <c r="E855" s="2" t="s">
        <v>14</v>
      </c>
      <c r="F855" s="2" t="s">
        <v>16</v>
      </c>
      <c r="G855" s="7">
        <v>64.349999999999994</v>
      </c>
      <c r="H855" s="7">
        <v>352.65</v>
      </c>
      <c r="I855" s="2" t="s">
        <v>15</v>
      </c>
      <c r="J855" s="2" t="s">
        <v>16</v>
      </c>
      <c r="K855" s="2" t="s">
        <v>17</v>
      </c>
      <c r="L855" s="7">
        <v>352.65</v>
      </c>
      <c r="M855" s="2" t="str">
        <f>_xlfn.IFS(TelecomData[[#This Row],[TenureMonths]]&lt;=12, "0-1 Year", TelecomData[[#This Row],[TenureMonths]]&lt;=36, "1-3 Years", TelecomData[[#This Row],[TenureMonths]]&gt;36, "3+ Years")</f>
        <v>0-1 Year</v>
      </c>
      <c r="N855" s="2" t="str">
        <f>IF(TelecomData[[#This Row],[CleanedTotalCharges]]&gt;=2500,"High Spend", "Standard Spend")</f>
        <v>Standard Spend</v>
      </c>
    </row>
    <row r="856" spans="1:14" x14ac:dyDescent="0.3">
      <c r="A856" s="1" t="s">
        <v>880</v>
      </c>
      <c r="B856" s="2" t="s">
        <v>12</v>
      </c>
      <c r="C856" s="2" t="s">
        <v>35</v>
      </c>
      <c r="D856" s="2">
        <v>68</v>
      </c>
      <c r="E856" s="2" t="s">
        <v>15</v>
      </c>
      <c r="F856" s="2" t="s">
        <v>36</v>
      </c>
      <c r="G856" s="7">
        <v>20.5</v>
      </c>
      <c r="H856" s="7">
        <v>1424.9</v>
      </c>
      <c r="I856" s="2" t="s">
        <v>15</v>
      </c>
      <c r="J856" s="2" t="s">
        <v>15</v>
      </c>
      <c r="K856" s="2" t="s">
        <v>29</v>
      </c>
      <c r="L856" s="7">
        <v>1424.9</v>
      </c>
      <c r="M856" s="2" t="str">
        <f>_xlfn.IFS(TelecomData[[#This Row],[TenureMonths]]&lt;=12, "0-1 Year", TelecomData[[#This Row],[TenureMonths]]&lt;=36, "1-3 Years", TelecomData[[#This Row],[TenureMonths]]&gt;36, "3+ Years")</f>
        <v>3+ Years</v>
      </c>
      <c r="N856" s="2" t="str">
        <f>IF(TelecomData[[#This Row],[CleanedTotalCharges]]&gt;=2500,"High Spend", "Standard Spend")</f>
        <v>Standard Spend</v>
      </c>
    </row>
    <row r="857" spans="1:14" x14ac:dyDescent="0.3">
      <c r="A857" s="1" t="s">
        <v>881</v>
      </c>
      <c r="B857" s="2" t="s">
        <v>12</v>
      </c>
      <c r="C857" s="2" t="s">
        <v>20</v>
      </c>
      <c r="D857" s="2">
        <v>62</v>
      </c>
      <c r="E857" s="2" t="s">
        <v>26</v>
      </c>
      <c r="F857" s="2" t="s">
        <v>15</v>
      </c>
      <c r="G857" s="7">
        <v>100.15</v>
      </c>
      <c r="H857" s="7">
        <v>6413.65</v>
      </c>
      <c r="I857" s="2" t="s">
        <v>16</v>
      </c>
      <c r="J857" s="2" t="s">
        <v>16</v>
      </c>
      <c r="K857" s="2" t="s">
        <v>17</v>
      </c>
      <c r="L857" s="7">
        <v>6413.65</v>
      </c>
      <c r="M857" s="2" t="str">
        <f>_xlfn.IFS(TelecomData[[#This Row],[TenureMonths]]&lt;=12, "0-1 Year", TelecomData[[#This Row],[TenureMonths]]&lt;=36, "1-3 Years", TelecomData[[#This Row],[TenureMonths]]&gt;36, "3+ Years")</f>
        <v>3+ Years</v>
      </c>
      <c r="N857" s="2" t="str">
        <f>IF(TelecomData[[#This Row],[CleanedTotalCharges]]&gt;=2500,"High Spend", "Standard Spend")</f>
        <v>High Spend</v>
      </c>
    </row>
    <row r="858" spans="1:14" x14ac:dyDescent="0.3">
      <c r="A858" s="1" t="s">
        <v>882</v>
      </c>
      <c r="B858" s="2" t="s">
        <v>19</v>
      </c>
      <c r="C858" s="2" t="s">
        <v>35</v>
      </c>
      <c r="D858" s="2">
        <v>72</v>
      </c>
      <c r="E858" s="2" t="s">
        <v>14</v>
      </c>
      <c r="F858" s="2" t="s">
        <v>16</v>
      </c>
      <c r="G858" s="7">
        <v>86.05</v>
      </c>
      <c r="H858" s="7">
        <v>6309.65</v>
      </c>
      <c r="I858" s="2" t="s">
        <v>15</v>
      </c>
      <c r="J858" s="2" t="s">
        <v>15</v>
      </c>
      <c r="K858" s="2" t="s">
        <v>29</v>
      </c>
      <c r="L858" s="7">
        <v>6309.65</v>
      </c>
      <c r="M858" s="2" t="str">
        <f>_xlfn.IFS(TelecomData[[#This Row],[TenureMonths]]&lt;=12, "0-1 Year", TelecomData[[#This Row],[TenureMonths]]&lt;=36, "1-3 Years", TelecomData[[#This Row],[TenureMonths]]&gt;36, "3+ Years")</f>
        <v>3+ Years</v>
      </c>
      <c r="N858" s="2" t="str">
        <f>IF(TelecomData[[#This Row],[CleanedTotalCharges]]&gt;=2500,"High Spend", "Standard Spend")</f>
        <v>High Spend</v>
      </c>
    </row>
    <row r="859" spans="1:14" x14ac:dyDescent="0.3">
      <c r="A859" s="1" t="s">
        <v>883</v>
      </c>
      <c r="B859" s="2" t="s">
        <v>19</v>
      </c>
      <c r="C859" s="2" t="s">
        <v>13</v>
      </c>
      <c r="D859" s="2">
        <v>1</v>
      </c>
      <c r="E859" s="2" t="s">
        <v>14</v>
      </c>
      <c r="F859" s="2" t="s">
        <v>15</v>
      </c>
      <c r="G859" s="7">
        <v>50.8</v>
      </c>
      <c r="H859" s="7">
        <v>50.8</v>
      </c>
      <c r="I859" s="2" t="s">
        <v>16</v>
      </c>
      <c r="J859" s="2" t="s">
        <v>15</v>
      </c>
      <c r="K859" s="2" t="s">
        <v>17</v>
      </c>
      <c r="L859" s="7">
        <v>50.8</v>
      </c>
      <c r="M859" s="2" t="str">
        <f>_xlfn.IFS(TelecomData[[#This Row],[TenureMonths]]&lt;=12, "0-1 Year", TelecomData[[#This Row],[TenureMonths]]&lt;=36, "1-3 Years", TelecomData[[#This Row],[TenureMonths]]&gt;36, "3+ Years")</f>
        <v>0-1 Year</v>
      </c>
      <c r="N859" s="2" t="str">
        <f>IF(TelecomData[[#This Row],[CleanedTotalCharges]]&gt;=2500,"High Spend", "Standard Spend")</f>
        <v>Standard Spend</v>
      </c>
    </row>
    <row r="860" spans="1:14" x14ac:dyDescent="0.3">
      <c r="A860" s="1" t="s">
        <v>884</v>
      </c>
      <c r="B860" s="2" t="s">
        <v>12</v>
      </c>
      <c r="C860" s="2" t="s">
        <v>20</v>
      </c>
      <c r="D860" s="2">
        <v>66</v>
      </c>
      <c r="E860" s="2" t="s">
        <v>26</v>
      </c>
      <c r="F860" s="2" t="s">
        <v>16</v>
      </c>
      <c r="G860" s="7">
        <v>89</v>
      </c>
      <c r="H860" s="7">
        <v>5898.6</v>
      </c>
      <c r="I860" s="2" t="s">
        <v>15</v>
      </c>
      <c r="J860" s="2" t="s">
        <v>15</v>
      </c>
      <c r="K860" s="2" t="s">
        <v>17</v>
      </c>
      <c r="L860" s="7">
        <v>5898.6</v>
      </c>
      <c r="M860" s="2" t="str">
        <f>_xlfn.IFS(TelecomData[[#This Row],[TenureMonths]]&lt;=12, "0-1 Year", TelecomData[[#This Row],[TenureMonths]]&lt;=36, "1-3 Years", TelecomData[[#This Row],[TenureMonths]]&gt;36, "3+ Years")</f>
        <v>3+ Years</v>
      </c>
      <c r="N860" s="2" t="str">
        <f>IF(TelecomData[[#This Row],[CleanedTotalCharges]]&gt;=2500,"High Spend", "Standard Spend")</f>
        <v>High Spend</v>
      </c>
    </row>
    <row r="861" spans="1:14" x14ac:dyDescent="0.3">
      <c r="A861" s="1" t="s">
        <v>885</v>
      </c>
      <c r="B861" s="2" t="s">
        <v>19</v>
      </c>
      <c r="C861" s="2" t="s">
        <v>35</v>
      </c>
      <c r="D861" s="2">
        <v>72</v>
      </c>
      <c r="E861" s="2" t="s">
        <v>14</v>
      </c>
      <c r="F861" s="2" t="s">
        <v>16</v>
      </c>
      <c r="G861" s="7">
        <v>64.8</v>
      </c>
      <c r="H861" s="7">
        <v>4719.75</v>
      </c>
      <c r="I861" s="2" t="s">
        <v>15</v>
      </c>
      <c r="J861" s="2" t="s">
        <v>16</v>
      </c>
      <c r="K861" s="2" t="s">
        <v>29</v>
      </c>
      <c r="L861" s="7">
        <v>4719.75</v>
      </c>
      <c r="M861" s="2" t="str">
        <f>_xlfn.IFS(TelecomData[[#This Row],[TenureMonths]]&lt;=12, "0-1 Year", TelecomData[[#This Row],[TenureMonths]]&lt;=36, "1-3 Years", TelecomData[[#This Row],[TenureMonths]]&gt;36, "3+ Years")</f>
        <v>3+ Years</v>
      </c>
      <c r="N861" s="2" t="str">
        <f>IF(TelecomData[[#This Row],[CleanedTotalCharges]]&gt;=2500,"High Spend", "Standard Spend")</f>
        <v>High Spend</v>
      </c>
    </row>
    <row r="862" spans="1:14" x14ac:dyDescent="0.3">
      <c r="A862" s="1" t="s">
        <v>886</v>
      </c>
      <c r="B862" s="2" t="s">
        <v>19</v>
      </c>
      <c r="C862" s="2" t="s">
        <v>20</v>
      </c>
      <c r="D862" s="2">
        <v>26</v>
      </c>
      <c r="E862" s="2" t="s">
        <v>15</v>
      </c>
      <c r="F862" s="2" t="s">
        <v>36</v>
      </c>
      <c r="G862" s="7">
        <v>19.8</v>
      </c>
      <c r="H862" s="7">
        <v>457.3</v>
      </c>
      <c r="I862" s="2" t="s">
        <v>15</v>
      </c>
      <c r="J862" s="2" t="s">
        <v>15</v>
      </c>
      <c r="K862" s="2" t="s">
        <v>29</v>
      </c>
      <c r="L862" s="7">
        <v>457.3</v>
      </c>
      <c r="M862" s="2" t="str">
        <f>_xlfn.IFS(TelecomData[[#This Row],[TenureMonths]]&lt;=12, "0-1 Year", TelecomData[[#This Row],[TenureMonths]]&lt;=36, "1-3 Years", TelecomData[[#This Row],[TenureMonths]]&gt;36, "3+ Years")</f>
        <v>1-3 Years</v>
      </c>
      <c r="N862" s="2" t="str">
        <f>IF(TelecomData[[#This Row],[CleanedTotalCharges]]&gt;=2500,"High Spend", "Standard Spend")</f>
        <v>Standard Spend</v>
      </c>
    </row>
    <row r="863" spans="1:14" x14ac:dyDescent="0.3">
      <c r="A863" s="1" t="s">
        <v>887</v>
      </c>
      <c r="B863" s="2" t="s">
        <v>19</v>
      </c>
      <c r="C863" s="2" t="s">
        <v>35</v>
      </c>
      <c r="D863" s="2">
        <v>64</v>
      </c>
      <c r="E863" s="2" t="s">
        <v>26</v>
      </c>
      <c r="F863" s="2" t="s">
        <v>15</v>
      </c>
      <c r="G863" s="7">
        <v>93.4</v>
      </c>
      <c r="H863" s="7">
        <v>5822.3</v>
      </c>
      <c r="I863" s="2" t="s">
        <v>15</v>
      </c>
      <c r="J863" s="2" t="s">
        <v>15</v>
      </c>
      <c r="K863" s="2" t="s">
        <v>24</v>
      </c>
      <c r="L863" s="7">
        <v>5822.3</v>
      </c>
      <c r="M863" s="2" t="str">
        <f>_xlfn.IFS(TelecomData[[#This Row],[TenureMonths]]&lt;=12, "0-1 Year", TelecomData[[#This Row],[TenureMonths]]&lt;=36, "1-3 Years", TelecomData[[#This Row],[TenureMonths]]&gt;36, "3+ Years")</f>
        <v>3+ Years</v>
      </c>
      <c r="N863" s="2" t="str">
        <f>IF(TelecomData[[#This Row],[CleanedTotalCharges]]&gt;=2500,"High Spend", "Standard Spend")</f>
        <v>High Spend</v>
      </c>
    </row>
    <row r="864" spans="1:14" x14ac:dyDescent="0.3">
      <c r="A864" s="1" t="s">
        <v>888</v>
      </c>
      <c r="B864" s="2" t="s">
        <v>19</v>
      </c>
      <c r="C864" s="2" t="s">
        <v>13</v>
      </c>
      <c r="D864" s="2">
        <v>20</v>
      </c>
      <c r="E864" s="2" t="s">
        <v>26</v>
      </c>
      <c r="F864" s="2" t="s">
        <v>15</v>
      </c>
      <c r="G864" s="7">
        <v>73.650000000000006</v>
      </c>
      <c r="H864" s="7">
        <v>1463.5</v>
      </c>
      <c r="I864" s="2" t="s">
        <v>16</v>
      </c>
      <c r="J864" s="2" t="s">
        <v>16</v>
      </c>
      <c r="K864" s="2" t="s">
        <v>17</v>
      </c>
      <c r="L864" s="7">
        <v>1463.5</v>
      </c>
      <c r="M864" s="2" t="str">
        <f>_xlfn.IFS(TelecomData[[#This Row],[TenureMonths]]&lt;=12, "0-1 Year", TelecomData[[#This Row],[TenureMonths]]&lt;=36, "1-3 Years", TelecomData[[#This Row],[TenureMonths]]&gt;36, "3+ Years")</f>
        <v>1-3 Years</v>
      </c>
      <c r="N864" s="2" t="str">
        <f>IF(TelecomData[[#This Row],[CleanedTotalCharges]]&gt;=2500,"High Spend", "Standard Spend")</f>
        <v>Standard Spend</v>
      </c>
    </row>
    <row r="865" spans="1:14" x14ac:dyDescent="0.3">
      <c r="A865" s="1" t="s">
        <v>889</v>
      </c>
      <c r="B865" s="2" t="s">
        <v>12</v>
      </c>
      <c r="C865" s="2" t="s">
        <v>13</v>
      </c>
      <c r="D865" s="2">
        <v>3</v>
      </c>
      <c r="E865" s="2" t="s">
        <v>26</v>
      </c>
      <c r="F865" s="2" t="s">
        <v>15</v>
      </c>
      <c r="G865" s="7">
        <v>95.1</v>
      </c>
      <c r="H865" s="7">
        <v>307.39999999999998</v>
      </c>
      <c r="I865" s="2" t="s">
        <v>16</v>
      </c>
      <c r="J865" s="2" t="s">
        <v>16</v>
      </c>
      <c r="K865" s="2" t="s">
        <v>17</v>
      </c>
      <c r="L865" s="7">
        <v>307.39999999999998</v>
      </c>
      <c r="M865" s="2" t="str">
        <f>_xlfn.IFS(TelecomData[[#This Row],[TenureMonths]]&lt;=12, "0-1 Year", TelecomData[[#This Row],[TenureMonths]]&lt;=36, "1-3 Years", TelecomData[[#This Row],[TenureMonths]]&gt;36, "3+ Years")</f>
        <v>0-1 Year</v>
      </c>
      <c r="N865" s="2" t="str">
        <f>IF(TelecomData[[#This Row],[CleanedTotalCharges]]&gt;=2500,"High Spend", "Standard Spend")</f>
        <v>Standard Spend</v>
      </c>
    </row>
    <row r="866" spans="1:14" x14ac:dyDescent="0.3">
      <c r="A866" s="1" t="s">
        <v>890</v>
      </c>
      <c r="B866" s="2" t="s">
        <v>19</v>
      </c>
      <c r="C866" s="2" t="s">
        <v>13</v>
      </c>
      <c r="D866" s="2">
        <v>22</v>
      </c>
      <c r="E866" s="2" t="s">
        <v>26</v>
      </c>
      <c r="F866" s="2" t="s">
        <v>15</v>
      </c>
      <c r="G866" s="7">
        <v>94.65</v>
      </c>
      <c r="H866" s="7">
        <v>2104.5500000000002</v>
      </c>
      <c r="I866" s="2" t="s">
        <v>16</v>
      </c>
      <c r="J866" s="2" t="s">
        <v>16</v>
      </c>
      <c r="K866" s="2" t="s">
        <v>29</v>
      </c>
      <c r="L866" s="7">
        <v>2104.5500000000002</v>
      </c>
      <c r="M866" s="2" t="str">
        <f>_xlfn.IFS(TelecomData[[#This Row],[TenureMonths]]&lt;=12, "0-1 Year", TelecomData[[#This Row],[TenureMonths]]&lt;=36, "1-3 Years", TelecomData[[#This Row],[TenureMonths]]&gt;36, "3+ Years")</f>
        <v>1-3 Years</v>
      </c>
      <c r="N866" s="2" t="str">
        <f>IF(TelecomData[[#This Row],[CleanedTotalCharges]]&gt;=2500,"High Spend", "Standard Spend")</f>
        <v>Standard Spend</v>
      </c>
    </row>
    <row r="867" spans="1:14" x14ac:dyDescent="0.3">
      <c r="A867" s="1" t="s">
        <v>891</v>
      </c>
      <c r="B867" s="2" t="s">
        <v>19</v>
      </c>
      <c r="C867" s="2" t="s">
        <v>13</v>
      </c>
      <c r="D867" s="2">
        <v>4</v>
      </c>
      <c r="E867" s="2" t="s">
        <v>26</v>
      </c>
      <c r="F867" s="2" t="s">
        <v>16</v>
      </c>
      <c r="G867" s="7">
        <v>80.599999999999994</v>
      </c>
      <c r="H867" s="7">
        <v>319.14999999999998</v>
      </c>
      <c r="I867" s="2" t="s">
        <v>16</v>
      </c>
      <c r="J867" s="2" t="s">
        <v>16</v>
      </c>
      <c r="K867" s="2" t="s">
        <v>21</v>
      </c>
      <c r="L867" s="7">
        <v>319.14999999999998</v>
      </c>
      <c r="M867" s="2" t="str">
        <f>_xlfn.IFS(TelecomData[[#This Row],[TenureMonths]]&lt;=12, "0-1 Year", TelecomData[[#This Row],[TenureMonths]]&lt;=36, "1-3 Years", TelecomData[[#This Row],[TenureMonths]]&gt;36, "3+ Years")</f>
        <v>0-1 Year</v>
      </c>
      <c r="N867" s="2" t="str">
        <f>IF(TelecomData[[#This Row],[CleanedTotalCharges]]&gt;=2500,"High Spend", "Standard Spend")</f>
        <v>Standard Spend</v>
      </c>
    </row>
    <row r="868" spans="1:14" x14ac:dyDescent="0.3">
      <c r="A868" s="1" t="s">
        <v>892</v>
      </c>
      <c r="B868" s="2" t="s">
        <v>19</v>
      </c>
      <c r="C868" s="2" t="s">
        <v>35</v>
      </c>
      <c r="D868" s="2">
        <v>62</v>
      </c>
      <c r="E868" s="2" t="s">
        <v>14</v>
      </c>
      <c r="F868" s="2" t="s">
        <v>16</v>
      </c>
      <c r="G868" s="7">
        <v>39</v>
      </c>
      <c r="H868" s="7">
        <v>2337.4499999999998</v>
      </c>
      <c r="I868" s="2" t="s">
        <v>15</v>
      </c>
      <c r="J868" s="2" t="s">
        <v>16</v>
      </c>
      <c r="K868" s="2" t="s">
        <v>24</v>
      </c>
      <c r="L868" s="7">
        <v>2337.4499999999998</v>
      </c>
      <c r="M868" s="2" t="str">
        <f>_xlfn.IFS(TelecomData[[#This Row],[TenureMonths]]&lt;=12, "0-1 Year", TelecomData[[#This Row],[TenureMonths]]&lt;=36, "1-3 Years", TelecomData[[#This Row],[TenureMonths]]&gt;36, "3+ Years")</f>
        <v>3+ Years</v>
      </c>
      <c r="N868" s="2" t="str">
        <f>IF(TelecomData[[#This Row],[CleanedTotalCharges]]&gt;=2500,"High Spend", "Standard Spend")</f>
        <v>Standard Spend</v>
      </c>
    </row>
    <row r="869" spans="1:14" x14ac:dyDescent="0.3">
      <c r="A869" s="1" t="s">
        <v>893</v>
      </c>
      <c r="B869" s="2" t="s">
        <v>12</v>
      </c>
      <c r="C869" s="2" t="s">
        <v>13</v>
      </c>
      <c r="D869" s="2">
        <v>5</v>
      </c>
      <c r="E869" s="2" t="s">
        <v>15</v>
      </c>
      <c r="F869" s="2" t="s">
        <v>36</v>
      </c>
      <c r="G869" s="7">
        <v>20.5</v>
      </c>
      <c r="H869" s="7">
        <v>104.3</v>
      </c>
      <c r="I869" s="2" t="s">
        <v>15</v>
      </c>
      <c r="J869" s="2" t="s">
        <v>16</v>
      </c>
      <c r="K869" s="2" t="s">
        <v>21</v>
      </c>
      <c r="L869" s="7">
        <v>104.3</v>
      </c>
      <c r="M869" s="2" t="str">
        <f>_xlfn.IFS(TelecomData[[#This Row],[TenureMonths]]&lt;=12, "0-1 Year", TelecomData[[#This Row],[TenureMonths]]&lt;=36, "1-3 Years", TelecomData[[#This Row],[TenureMonths]]&gt;36, "3+ Years")</f>
        <v>0-1 Year</v>
      </c>
      <c r="N869" s="2" t="str">
        <f>IF(TelecomData[[#This Row],[CleanedTotalCharges]]&gt;=2500,"High Spend", "Standard Spend")</f>
        <v>Standard Spend</v>
      </c>
    </row>
    <row r="870" spans="1:14" x14ac:dyDescent="0.3">
      <c r="A870" s="1" t="s">
        <v>894</v>
      </c>
      <c r="B870" s="2" t="s">
        <v>19</v>
      </c>
      <c r="C870" s="2" t="s">
        <v>20</v>
      </c>
      <c r="D870" s="2">
        <v>59</v>
      </c>
      <c r="E870" s="2" t="s">
        <v>26</v>
      </c>
      <c r="F870" s="2" t="s">
        <v>15</v>
      </c>
      <c r="G870" s="7">
        <v>85.55</v>
      </c>
      <c r="H870" s="7">
        <v>5084.6499999999996</v>
      </c>
      <c r="I870" s="2" t="s">
        <v>16</v>
      </c>
      <c r="J870" s="2" t="s">
        <v>15</v>
      </c>
      <c r="K870" s="2" t="s">
        <v>17</v>
      </c>
      <c r="L870" s="7">
        <v>5084.6499999999996</v>
      </c>
      <c r="M870" s="2" t="str">
        <f>_xlfn.IFS(TelecomData[[#This Row],[TenureMonths]]&lt;=12, "0-1 Year", TelecomData[[#This Row],[TenureMonths]]&lt;=36, "1-3 Years", TelecomData[[#This Row],[TenureMonths]]&gt;36, "3+ Years")</f>
        <v>3+ Years</v>
      </c>
      <c r="N870" s="2" t="str">
        <f>IF(TelecomData[[#This Row],[CleanedTotalCharges]]&gt;=2500,"High Spend", "Standard Spend")</f>
        <v>High Spend</v>
      </c>
    </row>
    <row r="871" spans="1:14" x14ac:dyDescent="0.3">
      <c r="A871" s="1" t="s">
        <v>895</v>
      </c>
      <c r="B871" s="2" t="s">
        <v>19</v>
      </c>
      <c r="C871" s="2" t="s">
        <v>35</v>
      </c>
      <c r="D871" s="2">
        <v>3</v>
      </c>
      <c r="E871" s="2" t="s">
        <v>15</v>
      </c>
      <c r="F871" s="2" t="s">
        <v>36</v>
      </c>
      <c r="G871" s="7">
        <v>26.4</v>
      </c>
      <c r="H871" s="7">
        <v>121.25</v>
      </c>
      <c r="I871" s="2" t="s">
        <v>15</v>
      </c>
      <c r="J871" s="2" t="s">
        <v>16</v>
      </c>
      <c r="K871" s="2" t="s">
        <v>21</v>
      </c>
      <c r="L871" s="7">
        <v>121.25</v>
      </c>
      <c r="M871" s="2" t="str">
        <f>_xlfn.IFS(TelecomData[[#This Row],[TenureMonths]]&lt;=12, "0-1 Year", TelecomData[[#This Row],[TenureMonths]]&lt;=36, "1-3 Years", TelecomData[[#This Row],[TenureMonths]]&gt;36, "3+ Years")</f>
        <v>0-1 Year</v>
      </c>
      <c r="N871" s="2" t="str">
        <f>IF(TelecomData[[#This Row],[CleanedTotalCharges]]&gt;=2500,"High Spend", "Standard Spend")</f>
        <v>Standard Spend</v>
      </c>
    </row>
    <row r="872" spans="1:14" x14ac:dyDescent="0.3">
      <c r="A872" s="1" t="s">
        <v>896</v>
      </c>
      <c r="B872" s="2" t="s">
        <v>12</v>
      </c>
      <c r="C872" s="2" t="s">
        <v>35</v>
      </c>
      <c r="D872" s="2">
        <v>72</v>
      </c>
      <c r="E872" s="2" t="s">
        <v>26</v>
      </c>
      <c r="F872" s="2" t="s">
        <v>16</v>
      </c>
      <c r="G872" s="7">
        <v>98.2</v>
      </c>
      <c r="H872" s="7">
        <v>7015.9</v>
      </c>
      <c r="I872" s="2" t="s">
        <v>15</v>
      </c>
      <c r="J872" s="2" t="s">
        <v>16</v>
      </c>
      <c r="K872" s="2" t="s">
        <v>24</v>
      </c>
      <c r="L872" s="7">
        <v>7015.9</v>
      </c>
      <c r="M872" s="2" t="str">
        <f>_xlfn.IFS(TelecomData[[#This Row],[TenureMonths]]&lt;=12, "0-1 Year", TelecomData[[#This Row],[TenureMonths]]&lt;=36, "1-3 Years", TelecomData[[#This Row],[TenureMonths]]&gt;36, "3+ Years")</f>
        <v>3+ Years</v>
      </c>
      <c r="N872" s="2" t="str">
        <f>IF(TelecomData[[#This Row],[CleanedTotalCharges]]&gt;=2500,"High Spend", "Standard Spend")</f>
        <v>High Spend</v>
      </c>
    </row>
    <row r="873" spans="1:14" x14ac:dyDescent="0.3">
      <c r="A873" s="1" t="s">
        <v>897</v>
      </c>
      <c r="B873" s="2" t="s">
        <v>19</v>
      </c>
      <c r="C873" s="2" t="s">
        <v>20</v>
      </c>
      <c r="D873" s="2">
        <v>57</v>
      </c>
      <c r="E873" s="2" t="s">
        <v>26</v>
      </c>
      <c r="F873" s="2" t="s">
        <v>15</v>
      </c>
      <c r="G873" s="7">
        <v>97.55</v>
      </c>
      <c r="H873" s="7">
        <v>5598</v>
      </c>
      <c r="I873" s="2" t="s">
        <v>15</v>
      </c>
      <c r="J873" s="2" t="s">
        <v>16</v>
      </c>
      <c r="K873" s="2" t="s">
        <v>29</v>
      </c>
      <c r="L873" s="7">
        <v>5598</v>
      </c>
      <c r="M873" s="2" t="str">
        <f>_xlfn.IFS(TelecomData[[#This Row],[TenureMonths]]&lt;=12, "0-1 Year", TelecomData[[#This Row],[TenureMonths]]&lt;=36, "1-3 Years", TelecomData[[#This Row],[TenureMonths]]&gt;36, "3+ Years")</f>
        <v>3+ Years</v>
      </c>
      <c r="N873" s="2" t="str">
        <f>IF(TelecomData[[#This Row],[CleanedTotalCharges]]&gt;=2500,"High Spend", "Standard Spend")</f>
        <v>High Spend</v>
      </c>
    </row>
    <row r="874" spans="1:14" x14ac:dyDescent="0.3">
      <c r="A874" s="1" t="s">
        <v>898</v>
      </c>
      <c r="B874" s="2" t="s">
        <v>19</v>
      </c>
      <c r="C874" s="2" t="s">
        <v>35</v>
      </c>
      <c r="D874" s="2">
        <v>66</v>
      </c>
      <c r="E874" s="2" t="s">
        <v>15</v>
      </c>
      <c r="F874" s="2" t="s">
        <v>36</v>
      </c>
      <c r="G874" s="7">
        <v>19.95</v>
      </c>
      <c r="H874" s="7">
        <v>1269.0999999999999</v>
      </c>
      <c r="I874" s="2" t="s">
        <v>15</v>
      </c>
      <c r="J874" s="2" t="s">
        <v>15</v>
      </c>
      <c r="K874" s="2" t="s">
        <v>29</v>
      </c>
      <c r="L874" s="7">
        <v>1269.0999999999999</v>
      </c>
      <c r="M874" s="2" t="str">
        <f>_xlfn.IFS(TelecomData[[#This Row],[TenureMonths]]&lt;=12, "0-1 Year", TelecomData[[#This Row],[TenureMonths]]&lt;=36, "1-3 Years", TelecomData[[#This Row],[TenureMonths]]&gt;36, "3+ Years")</f>
        <v>3+ Years</v>
      </c>
      <c r="N874" s="2" t="str">
        <f>IF(TelecomData[[#This Row],[CleanedTotalCharges]]&gt;=2500,"High Spend", "Standard Spend")</f>
        <v>Standard Spend</v>
      </c>
    </row>
    <row r="875" spans="1:14" x14ac:dyDescent="0.3">
      <c r="A875" s="1" t="s">
        <v>899</v>
      </c>
      <c r="B875" s="2" t="s">
        <v>12</v>
      </c>
      <c r="C875" s="2" t="s">
        <v>13</v>
      </c>
      <c r="D875" s="2">
        <v>60</v>
      </c>
      <c r="E875" s="2" t="s">
        <v>14</v>
      </c>
      <c r="F875" s="2" t="s">
        <v>15</v>
      </c>
      <c r="G875" s="7">
        <v>50.8</v>
      </c>
      <c r="H875" s="7">
        <v>3027.4</v>
      </c>
      <c r="I875" s="2" t="s">
        <v>16</v>
      </c>
      <c r="J875" s="2" t="s">
        <v>16</v>
      </c>
      <c r="K875" s="2" t="s">
        <v>17</v>
      </c>
      <c r="L875" s="7">
        <v>3027.4</v>
      </c>
      <c r="M875" s="2" t="str">
        <f>_xlfn.IFS(TelecomData[[#This Row],[TenureMonths]]&lt;=12, "0-1 Year", TelecomData[[#This Row],[TenureMonths]]&lt;=36, "1-3 Years", TelecomData[[#This Row],[TenureMonths]]&gt;36, "3+ Years")</f>
        <v>3+ Years</v>
      </c>
      <c r="N875" s="2" t="str">
        <f>IF(TelecomData[[#This Row],[CleanedTotalCharges]]&gt;=2500,"High Spend", "Standard Spend")</f>
        <v>High Spend</v>
      </c>
    </row>
    <row r="876" spans="1:14" x14ac:dyDescent="0.3">
      <c r="A876" s="1" t="s">
        <v>900</v>
      </c>
      <c r="B876" s="2" t="s">
        <v>19</v>
      </c>
      <c r="C876" s="2" t="s">
        <v>35</v>
      </c>
      <c r="D876" s="2">
        <v>45</v>
      </c>
      <c r="E876" s="2" t="s">
        <v>26</v>
      </c>
      <c r="F876" s="2" t="s">
        <v>15</v>
      </c>
      <c r="G876" s="7">
        <v>99.7</v>
      </c>
      <c r="H876" s="7">
        <v>4634.3500000000004</v>
      </c>
      <c r="I876" s="2" t="s">
        <v>15</v>
      </c>
      <c r="J876" s="2" t="s">
        <v>15</v>
      </c>
      <c r="K876" s="2" t="s">
        <v>24</v>
      </c>
      <c r="L876" s="7">
        <v>4634.3500000000004</v>
      </c>
      <c r="M876" s="2" t="str">
        <f>_xlfn.IFS(TelecomData[[#This Row],[TenureMonths]]&lt;=12, "0-1 Year", TelecomData[[#This Row],[TenureMonths]]&lt;=36, "1-3 Years", TelecomData[[#This Row],[TenureMonths]]&gt;36, "3+ Years")</f>
        <v>3+ Years</v>
      </c>
      <c r="N876" s="2" t="str">
        <f>IF(TelecomData[[#This Row],[CleanedTotalCharges]]&gt;=2500,"High Spend", "Standard Spend")</f>
        <v>High Spend</v>
      </c>
    </row>
    <row r="877" spans="1:14" x14ac:dyDescent="0.3">
      <c r="A877" s="1" t="s">
        <v>901</v>
      </c>
      <c r="B877" s="2" t="s">
        <v>12</v>
      </c>
      <c r="C877" s="2" t="s">
        <v>13</v>
      </c>
      <c r="D877" s="2">
        <v>3</v>
      </c>
      <c r="E877" s="2" t="s">
        <v>14</v>
      </c>
      <c r="F877" s="2" t="s">
        <v>15</v>
      </c>
      <c r="G877" s="7">
        <v>34.799999999999997</v>
      </c>
      <c r="H877" s="7">
        <v>113.95</v>
      </c>
      <c r="I877" s="2" t="s">
        <v>15</v>
      </c>
      <c r="J877" s="2" t="s">
        <v>16</v>
      </c>
      <c r="K877" s="2" t="s">
        <v>29</v>
      </c>
      <c r="L877" s="7">
        <v>113.95</v>
      </c>
      <c r="M877" s="2" t="str">
        <f>_xlfn.IFS(TelecomData[[#This Row],[TenureMonths]]&lt;=12, "0-1 Year", TelecomData[[#This Row],[TenureMonths]]&lt;=36, "1-3 Years", TelecomData[[#This Row],[TenureMonths]]&gt;36, "3+ Years")</f>
        <v>0-1 Year</v>
      </c>
      <c r="N877" s="2" t="str">
        <f>IF(TelecomData[[#This Row],[CleanedTotalCharges]]&gt;=2500,"High Spend", "Standard Spend")</f>
        <v>Standard Spend</v>
      </c>
    </row>
    <row r="878" spans="1:14" x14ac:dyDescent="0.3">
      <c r="A878" s="1" t="s">
        <v>902</v>
      </c>
      <c r="B878" s="2" t="s">
        <v>12</v>
      </c>
      <c r="C878" s="2" t="s">
        <v>13</v>
      </c>
      <c r="D878" s="2">
        <v>15</v>
      </c>
      <c r="E878" s="2" t="s">
        <v>26</v>
      </c>
      <c r="F878" s="2" t="s">
        <v>16</v>
      </c>
      <c r="G878" s="7">
        <v>105.1</v>
      </c>
      <c r="H878" s="7">
        <v>1582.75</v>
      </c>
      <c r="I878" s="2" t="s">
        <v>16</v>
      </c>
      <c r="J878" s="2" t="s">
        <v>15</v>
      </c>
      <c r="K878" s="2" t="s">
        <v>17</v>
      </c>
      <c r="L878" s="7">
        <v>1582.75</v>
      </c>
      <c r="M878" s="2" t="str">
        <f>_xlfn.IFS(TelecomData[[#This Row],[TenureMonths]]&lt;=12, "0-1 Year", TelecomData[[#This Row],[TenureMonths]]&lt;=36, "1-3 Years", TelecomData[[#This Row],[TenureMonths]]&gt;36, "3+ Years")</f>
        <v>1-3 Years</v>
      </c>
      <c r="N878" s="2" t="str">
        <f>IF(TelecomData[[#This Row],[CleanedTotalCharges]]&gt;=2500,"High Spend", "Standard Spend")</f>
        <v>Standard Spend</v>
      </c>
    </row>
    <row r="879" spans="1:14" x14ac:dyDescent="0.3">
      <c r="A879" s="1" t="s">
        <v>903</v>
      </c>
      <c r="B879" s="2" t="s">
        <v>12</v>
      </c>
      <c r="C879" s="2" t="s">
        <v>20</v>
      </c>
      <c r="D879" s="2">
        <v>51</v>
      </c>
      <c r="E879" s="2" t="s">
        <v>14</v>
      </c>
      <c r="F879" s="2" t="s">
        <v>16</v>
      </c>
      <c r="G879" s="7">
        <v>60.15</v>
      </c>
      <c r="H879" s="7">
        <v>3077</v>
      </c>
      <c r="I879" s="2" t="s">
        <v>15</v>
      </c>
      <c r="J879" s="2" t="s">
        <v>15</v>
      </c>
      <c r="K879" s="2" t="s">
        <v>24</v>
      </c>
      <c r="L879" s="7">
        <v>3077</v>
      </c>
      <c r="M879" s="2" t="str">
        <f>_xlfn.IFS(TelecomData[[#This Row],[TenureMonths]]&lt;=12, "0-1 Year", TelecomData[[#This Row],[TenureMonths]]&lt;=36, "1-3 Years", TelecomData[[#This Row],[TenureMonths]]&gt;36, "3+ Years")</f>
        <v>3+ Years</v>
      </c>
      <c r="N879" s="2" t="str">
        <f>IF(TelecomData[[#This Row],[CleanedTotalCharges]]&gt;=2500,"High Spend", "Standard Spend")</f>
        <v>High Spend</v>
      </c>
    </row>
    <row r="880" spans="1:14" x14ac:dyDescent="0.3">
      <c r="A880" s="1" t="s">
        <v>904</v>
      </c>
      <c r="B880" s="2" t="s">
        <v>12</v>
      </c>
      <c r="C880" s="2" t="s">
        <v>20</v>
      </c>
      <c r="D880" s="2">
        <v>60</v>
      </c>
      <c r="E880" s="2" t="s">
        <v>14</v>
      </c>
      <c r="F880" s="2" t="s">
        <v>16</v>
      </c>
      <c r="G880" s="7">
        <v>64.75</v>
      </c>
      <c r="H880" s="7">
        <v>4039.5</v>
      </c>
      <c r="I880" s="2" t="s">
        <v>15</v>
      </c>
      <c r="J880" s="2" t="s">
        <v>15</v>
      </c>
      <c r="K880" s="2" t="s">
        <v>17</v>
      </c>
      <c r="L880" s="7">
        <v>4039.5</v>
      </c>
      <c r="M880" s="2" t="str">
        <f>_xlfn.IFS(TelecomData[[#This Row],[TenureMonths]]&lt;=12, "0-1 Year", TelecomData[[#This Row],[TenureMonths]]&lt;=36, "1-3 Years", TelecomData[[#This Row],[TenureMonths]]&gt;36, "3+ Years")</f>
        <v>3+ Years</v>
      </c>
      <c r="N880" s="2" t="str">
        <f>IF(TelecomData[[#This Row],[CleanedTotalCharges]]&gt;=2500,"High Spend", "Standard Spend")</f>
        <v>High Spend</v>
      </c>
    </row>
    <row r="881" spans="1:14" x14ac:dyDescent="0.3">
      <c r="A881" s="1" t="s">
        <v>905</v>
      </c>
      <c r="B881" s="2" t="s">
        <v>19</v>
      </c>
      <c r="C881" s="2" t="s">
        <v>13</v>
      </c>
      <c r="D881" s="2">
        <v>33</v>
      </c>
      <c r="E881" s="2" t="s">
        <v>14</v>
      </c>
      <c r="F881" s="2" t="s">
        <v>15</v>
      </c>
      <c r="G881" s="7">
        <v>54.65</v>
      </c>
      <c r="H881" s="7">
        <v>1665.2</v>
      </c>
      <c r="I881" s="2" t="s">
        <v>15</v>
      </c>
      <c r="J881" s="2" t="s">
        <v>16</v>
      </c>
      <c r="K881" s="2" t="s">
        <v>24</v>
      </c>
      <c r="L881" s="7">
        <v>1665.2</v>
      </c>
      <c r="M881" s="2" t="str">
        <f>_xlfn.IFS(TelecomData[[#This Row],[TenureMonths]]&lt;=12, "0-1 Year", TelecomData[[#This Row],[TenureMonths]]&lt;=36, "1-3 Years", TelecomData[[#This Row],[TenureMonths]]&gt;36, "3+ Years")</f>
        <v>1-3 Years</v>
      </c>
      <c r="N881" s="2" t="str">
        <f>IF(TelecomData[[#This Row],[CleanedTotalCharges]]&gt;=2500,"High Spend", "Standard Spend")</f>
        <v>Standard Spend</v>
      </c>
    </row>
    <row r="882" spans="1:14" x14ac:dyDescent="0.3">
      <c r="A882" s="1" t="s">
        <v>906</v>
      </c>
      <c r="B882" s="2" t="s">
        <v>19</v>
      </c>
      <c r="C882" s="2" t="s">
        <v>13</v>
      </c>
      <c r="D882" s="2">
        <v>10</v>
      </c>
      <c r="E882" s="2" t="s">
        <v>26</v>
      </c>
      <c r="F882" s="2" t="s">
        <v>16</v>
      </c>
      <c r="G882" s="7">
        <v>110.1</v>
      </c>
      <c r="H882" s="7">
        <v>1043.3</v>
      </c>
      <c r="I882" s="2" t="s">
        <v>16</v>
      </c>
      <c r="J882" s="2" t="s">
        <v>16</v>
      </c>
      <c r="K882" s="2" t="s">
        <v>17</v>
      </c>
      <c r="L882" s="7">
        <v>1043.3</v>
      </c>
      <c r="M882" s="2" t="str">
        <f>_xlfn.IFS(TelecomData[[#This Row],[TenureMonths]]&lt;=12, "0-1 Year", TelecomData[[#This Row],[TenureMonths]]&lt;=36, "1-3 Years", TelecomData[[#This Row],[TenureMonths]]&gt;36, "3+ Years")</f>
        <v>0-1 Year</v>
      </c>
      <c r="N882" s="2" t="str">
        <f>IF(TelecomData[[#This Row],[CleanedTotalCharges]]&gt;=2500,"High Spend", "Standard Spend")</f>
        <v>Standard Spend</v>
      </c>
    </row>
    <row r="883" spans="1:14" x14ac:dyDescent="0.3">
      <c r="A883" s="1" t="s">
        <v>907</v>
      </c>
      <c r="B883" s="2" t="s">
        <v>19</v>
      </c>
      <c r="C883" s="2" t="s">
        <v>20</v>
      </c>
      <c r="D883" s="2">
        <v>26</v>
      </c>
      <c r="E883" s="2" t="s">
        <v>15</v>
      </c>
      <c r="F883" s="2" t="s">
        <v>36</v>
      </c>
      <c r="G883" s="7">
        <v>19.3</v>
      </c>
      <c r="H883" s="7">
        <v>504.2</v>
      </c>
      <c r="I883" s="2" t="s">
        <v>15</v>
      </c>
      <c r="J883" s="2" t="s">
        <v>15</v>
      </c>
      <c r="K883" s="2" t="s">
        <v>29</v>
      </c>
      <c r="L883" s="7">
        <v>504.2</v>
      </c>
      <c r="M883" s="2" t="str">
        <f>_xlfn.IFS(TelecomData[[#This Row],[TenureMonths]]&lt;=12, "0-1 Year", TelecomData[[#This Row],[TenureMonths]]&lt;=36, "1-3 Years", TelecomData[[#This Row],[TenureMonths]]&gt;36, "3+ Years")</f>
        <v>1-3 Years</v>
      </c>
      <c r="N883" s="2" t="str">
        <f>IF(TelecomData[[#This Row],[CleanedTotalCharges]]&gt;=2500,"High Spend", "Standard Spend")</f>
        <v>Standard Spend</v>
      </c>
    </row>
    <row r="884" spans="1:14" x14ac:dyDescent="0.3">
      <c r="A884" s="1" t="s">
        <v>908</v>
      </c>
      <c r="B884" s="2" t="s">
        <v>12</v>
      </c>
      <c r="C884" s="2" t="s">
        <v>13</v>
      </c>
      <c r="D884" s="2">
        <v>6</v>
      </c>
      <c r="E884" s="2" t="s">
        <v>26</v>
      </c>
      <c r="F884" s="2" t="s">
        <v>15</v>
      </c>
      <c r="G884" s="7">
        <v>83.9</v>
      </c>
      <c r="H884" s="7">
        <v>497.55</v>
      </c>
      <c r="I884" s="2" t="s">
        <v>16</v>
      </c>
      <c r="J884" s="2" t="s">
        <v>15</v>
      </c>
      <c r="K884" s="2" t="s">
        <v>17</v>
      </c>
      <c r="L884" s="7">
        <v>497.55</v>
      </c>
      <c r="M884" s="2" t="str">
        <f>_xlfn.IFS(TelecomData[[#This Row],[TenureMonths]]&lt;=12, "0-1 Year", TelecomData[[#This Row],[TenureMonths]]&lt;=36, "1-3 Years", TelecomData[[#This Row],[TenureMonths]]&gt;36, "3+ Years")</f>
        <v>0-1 Year</v>
      </c>
      <c r="N884" s="2" t="str">
        <f>IF(TelecomData[[#This Row],[CleanedTotalCharges]]&gt;=2500,"High Spend", "Standard Spend")</f>
        <v>Standard Spend</v>
      </c>
    </row>
    <row r="885" spans="1:14" x14ac:dyDescent="0.3">
      <c r="A885" s="1" t="s">
        <v>909</v>
      </c>
      <c r="B885" s="2" t="s">
        <v>12</v>
      </c>
      <c r="C885" s="2" t="s">
        <v>20</v>
      </c>
      <c r="D885" s="2">
        <v>67</v>
      </c>
      <c r="E885" s="2" t="s">
        <v>26</v>
      </c>
      <c r="F885" s="2" t="s">
        <v>16</v>
      </c>
      <c r="G885" s="7">
        <v>111.25</v>
      </c>
      <c r="H885" s="7">
        <v>7511.65</v>
      </c>
      <c r="I885" s="2" t="s">
        <v>15</v>
      </c>
      <c r="J885" s="2" t="s">
        <v>16</v>
      </c>
      <c r="K885" s="2" t="s">
        <v>17</v>
      </c>
      <c r="L885" s="7">
        <v>7511.65</v>
      </c>
      <c r="M885" s="2" t="str">
        <f>_xlfn.IFS(TelecomData[[#This Row],[TenureMonths]]&lt;=12, "0-1 Year", TelecomData[[#This Row],[TenureMonths]]&lt;=36, "1-3 Years", TelecomData[[#This Row],[TenureMonths]]&gt;36, "3+ Years")</f>
        <v>3+ Years</v>
      </c>
      <c r="N885" s="2" t="str">
        <f>IF(TelecomData[[#This Row],[CleanedTotalCharges]]&gt;=2500,"High Spend", "Standard Spend")</f>
        <v>High Spend</v>
      </c>
    </row>
    <row r="886" spans="1:14" x14ac:dyDescent="0.3">
      <c r="A886" s="1" t="s">
        <v>910</v>
      </c>
      <c r="B886" s="2" t="s">
        <v>12</v>
      </c>
      <c r="C886" s="2" t="s">
        <v>20</v>
      </c>
      <c r="D886" s="2">
        <v>49</v>
      </c>
      <c r="E886" s="2" t="s">
        <v>14</v>
      </c>
      <c r="F886" s="2" t="s">
        <v>16</v>
      </c>
      <c r="G886" s="7">
        <v>35.799999999999997</v>
      </c>
      <c r="H886" s="7">
        <v>1782</v>
      </c>
      <c r="I886" s="2" t="s">
        <v>15</v>
      </c>
      <c r="J886" s="2" t="s">
        <v>16</v>
      </c>
      <c r="K886" s="2" t="s">
        <v>29</v>
      </c>
      <c r="L886" s="7">
        <v>1782</v>
      </c>
      <c r="M886" s="2" t="str">
        <f>_xlfn.IFS(TelecomData[[#This Row],[TenureMonths]]&lt;=12, "0-1 Year", TelecomData[[#This Row],[TenureMonths]]&lt;=36, "1-3 Years", TelecomData[[#This Row],[TenureMonths]]&gt;36, "3+ Years")</f>
        <v>3+ Years</v>
      </c>
      <c r="N886" s="2" t="str">
        <f>IF(TelecomData[[#This Row],[CleanedTotalCharges]]&gt;=2500,"High Spend", "Standard Spend")</f>
        <v>Standard Spend</v>
      </c>
    </row>
    <row r="887" spans="1:14" x14ac:dyDescent="0.3">
      <c r="A887" s="1" t="s">
        <v>911</v>
      </c>
      <c r="B887" s="2" t="s">
        <v>19</v>
      </c>
      <c r="C887" s="2" t="s">
        <v>13</v>
      </c>
      <c r="D887" s="2">
        <v>1</v>
      </c>
      <c r="E887" s="2" t="s">
        <v>15</v>
      </c>
      <c r="F887" s="2" t="s">
        <v>36</v>
      </c>
      <c r="G887" s="7">
        <v>20.05</v>
      </c>
      <c r="H887" s="7">
        <v>20.05</v>
      </c>
      <c r="I887" s="2" t="s">
        <v>15</v>
      </c>
      <c r="J887" s="2" t="s">
        <v>16</v>
      </c>
      <c r="K887" s="2" t="s">
        <v>21</v>
      </c>
      <c r="L887" s="7">
        <v>20.05</v>
      </c>
      <c r="M887" s="2" t="str">
        <f>_xlfn.IFS(TelecomData[[#This Row],[TenureMonths]]&lt;=12, "0-1 Year", TelecomData[[#This Row],[TenureMonths]]&lt;=36, "1-3 Years", TelecomData[[#This Row],[TenureMonths]]&gt;36, "3+ Years")</f>
        <v>0-1 Year</v>
      </c>
      <c r="N887" s="2" t="str">
        <f>IF(TelecomData[[#This Row],[CleanedTotalCharges]]&gt;=2500,"High Spend", "Standard Spend")</f>
        <v>Standard Spend</v>
      </c>
    </row>
    <row r="888" spans="1:14" x14ac:dyDescent="0.3">
      <c r="A888" s="1" t="s">
        <v>912</v>
      </c>
      <c r="B888" s="2" t="s">
        <v>12</v>
      </c>
      <c r="C888" s="2" t="s">
        <v>13</v>
      </c>
      <c r="D888" s="2">
        <v>7</v>
      </c>
      <c r="E888" s="2" t="s">
        <v>26</v>
      </c>
      <c r="F888" s="2" t="s">
        <v>15</v>
      </c>
      <c r="G888" s="7">
        <v>84.35</v>
      </c>
      <c r="H888" s="7">
        <v>609.65</v>
      </c>
      <c r="I888" s="2" t="s">
        <v>15</v>
      </c>
      <c r="J888" s="2" t="s">
        <v>16</v>
      </c>
      <c r="K888" s="2" t="s">
        <v>17</v>
      </c>
      <c r="L888" s="7">
        <v>609.65</v>
      </c>
      <c r="M888" s="2" t="str">
        <f>_xlfn.IFS(TelecomData[[#This Row],[TenureMonths]]&lt;=12, "0-1 Year", TelecomData[[#This Row],[TenureMonths]]&lt;=36, "1-3 Years", TelecomData[[#This Row],[TenureMonths]]&gt;36, "3+ Years")</f>
        <v>0-1 Year</v>
      </c>
      <c r="N888" s="2" t="str">
        <f>IF(TelecomData[[#This Row],[CleanedTotalCharges]]&gt;=2500,"High Spend", "Standard Spend")</f>
        <v>Standard Spend</v>
      </c>
    </row>
    <row r="889" spans="1:14" x14ac:dyDescent="0.3">
      <c r="A889" s="1" t="s">
        <v>913</v>
      </c>
      <c r="B889" s="2" t="s">
        <v>12</v>
      </c>
      <c r="C889" s="2" t="s">
        <v>20</v>
      </c>
      <c r="D889" s="2">
        <v>27</v>
      </c>
      <c r="E889" s="2" t="s">
        <v>26</v>
      </c>
      <c r="F889" s="2" t="s">
        <v>15</v>
      </c>
      <c r="G889" s="7">
        <v>110.5</v>
      </c>
      <c r="H889" s="7">
        <v>2857.6</v>
      </c>
      <c r="I889" s="2" t="s">
        <v>15</v>
      </c>
      <c r="J889" s="2" t="s">
        <v>16</v>
      </c>
      <c r="K889" s="2" t="s">
        <v>24</v>
      </c>
      <c r="L889" s="7">
        <v>2857.6</v>
      </c>
      <c r="M889" s="2" t="str">
        <f>_xlfn.IFS(TelecomData[[#This Row],[TenureMonths]]&lt;=12, "0-1 Year", TelecomData[[#This Row],[TenureMonths]]&lt;=36, "1-3 Years", TelecomData[[#This Row],[TenureMonths]]&gt;36, "3+ Years")</f>
        <v>1-3 Years</v>
      </c>
      <c r="N889" s="2" t="str">
        <f>IF(TelecomData[[#This Row],[CleanedTotalCharges]]&gt;=2500,"High Spend", "Standard Spend")</f>
        <v>High Spend</v>
      </c>
    </row>
    <row r="890" spans="1:14" x14ac:dyDescent="0.3">
      <c r="A890" s="1" t="s">
        <v>914</v>
      </c>
      <c r="B890" s="2" t="s">
        <v>19</v>
      </c>
      <c r="C890" s="2" t="s">
        <v>20</v>
      </c>
      <c r="D890" s="2">
        <v>37</v>
      </c>
      <c r="E890" s="2" t="s">
        <v>26</v>
      </c>
      <c r="F890" s="2" t="s">
        <v>15</v>
      </c>
      <c r="G890" s="7">
        <v>91.2</v>
      </c>
      <c r="H890" s="7">
        <v>3247.55</v>
      </c>
      <c r="I890" s="2" t="s">
        <v>15</v>
      </c>
      <c r="J890" s="2" t="s">
        <v>15</v>
      </c>
      <c r="K890" s="2" t="s">
        <v>29</v>
      </c>
      <c r="L890" s="7">
        <v>3247.55</v>
      </c>
      <c r="M890" s="2" t="str">
        <f>_xlfn.IFS(TelecomData[[#This Row],[TenureMonths]]&lt;=12, "0-1 Year", TelecomData[[#This Row],[TenureMonths]]&lt;=36, "1-3 Years", TelecomData[[#This Row],[TenureMonths]]&gt;36, "3+ Years")</f>
        <v>3+ Years</v>
      </c>
      <c r="N890" s="2" t="str">
        <f>IF(TelecomData[[#This Row],[CleanedTotalCharges]]&gt;=2500,"High Spend", "Standard Spend")</f>
        <v>High Spend</v>
      </c>
    </row>
    <row r="891" spans="1:14" x14ac:dyDescent="0.3">
      <c r="A891" s="1" t="s">
        <v>915</v>
      </c>
      <c r="B891" s="2" t="s">
        <v>12</v>
      </c>
      <c r="C891" s="2" t="s">
        <v>13</v>
      </c>
      <c r="D891" s="2">
        <v>63</v>
      </c>
      <c r="E891" s="2" t="s">
        <v>26</v>
      </c>
      <c r="F891" s="2" t="s">
        <v>15</v>
      </c>
      <c r="G891" s="7">
        <v>100.55</v>
      </c>
      <c r="H891" s="7">
        <v>6215.35</v>
      </c>
      <c r="I891" s="2" t="s">
        <v>16</v>
      </c>
      <c r="J891" s="2" t="s">
        <v>16</v>
      </c>
      <c r="K891" s="2" t="s">
        <v>17</v>
      </c>
      <c r="L891" s="7">
        <v>6215.35</v>
      </c>
      <c r="M891" s="2" t="str">
        <f>_xlfn.IFS(TelecomData[[#This Row],[TenureMonths]]&lt;=12, "0-1 Year", TelecomData[[#This Row],[TenureMonths]]&lt;=36, "1-3 Years", TelecomData[[#This Row],[TenureMonths]]&gt;36, "3+ Years")</f>
        <v>3+ Years</v>
      </c>
      <c r="N891" s="2" t="str">
        <f>IF(TelecomData[[#This Row],[CleanedTotalCharges]]&gt;=2500,"High Spend", "Standard Spend")</f>
        <v>High Spend</v>
      </c>
    </row>
    <row r="892" spans="1:14" x14ac:dyDescent="0.3">
      <c r="A892" s="1" t="s">
        <v>916</v>
      </c>
      <c r="B892" s="2" t="s">
        <v>19</v>
      </c>
      <c r="C892" s="2" t="s">
        <v>13</v>
      </c>
      <c r="D892" s="2">
        <v>31</v>
      </c>
      <c r="E892" s="2" t="s">
        <v>26</v>
      </c>
      <c r="F892" s="2" t="s">
        <v>16</v>
      </c>
      <c r="G892" s="7">
        <v>89.3</v>
      </c>
      <c r="H892" s="7">
        <v>2823</v>
      </c>
      <c r="I892" s="2" t="s">
        <v>15</v>
      </c>
      <c r="J892" s="2" t="s">
        <v>15</v>
      </c>
      <c r="K892" s="2" t="s">
        <v>17</v>
      </c>
      <c r="L892" s="7">
        <v>2823</v>
      </c>
      <c r="M892" s="2" t="str">
        <f>_xlfn.IFS(TelecomData[[#This Row],[TenureMonths]]&lt;=12, "0-1 Year", TelecomData[[#This Row],[TenureMonths]]&lt;=36, "1-3 Years", TelecomData[[#This Row],[TenureMonths]]&gt;36, "3+ Years")</f>
        <v>1-3 Years</v>
      </c>
      <c r="N892" s="2" t="str">
        <f>IF(TelecomData[[#This Row],[CleanedTotalCharges]]&gt;=2500,"High Spend", "Standard Spend")</f>
        <v>High Spend</v>
      </c>
    </row>
    <row r="893" spans="1:14" x14ac:dyDescent="0.3">
      <c r="A893" s="1" t="s">
        <v>917</v>
      </c>
      <c r="B893" s="2" t="s">
        <v>19</v>
      </c>
      <c r="C893" s="2" t="s">
        <v>13</v>
      </c>
      <c r="D893" s="2">
        <v>50</v>
      </c>
      <c r="E893" s="2" t="s">
        <v>26</v>
      </c>
      <c r="F893" s="2" t="s">
        <v>15</v>
      </c>
      <c r="G893" s="7">
        <v>103.85</v>
      </c>
      <c r="H893" s="7">
        <v>5017.8999999999996</v>
      </c>
      <c r="I893" s="2" t="s">
        <v>16</v>
      </c>
      <c r="J893" s="2" t="s">
        <v>16</v>
      </c>
      <c r="K893" s="2" t="s">
        <v>24</v>
      </c>
      <c r="L893" s="7">
        <v>5017.8999999999996</v>
      </c>
      <c r="M893" s="2" t="str">
        <f>_xlfn.IFS(TelecomData[[#This Row],[TenureMonths]]&lt;=12, "0-1 Year", TelecomData[[#This Row],[TenureMonths]]&lt;=36, "1-3 Years", TelecomData[[#This Row],[TenureMonths]]&gt;36, "3+ Years")</f>
        <v>3+ Years</v>
      </c>
      <c r="N893" s="2" t="str">
        <f>IF(TelecomData[[#This Row],[CleanedTotalCharges]]&gt;=2500,"High Spend", "Standard Spend")</f>
        <v>High Spend</v>
      </c>
    </row>
    <row r="894" spans="1:14" x14ac:dyDescent="0.3">
      <c r="A894" s="1" t="s">
        <v>918</v>
      </c>
      <c r="B894" s="2" t="s">
        <v>19</v>
      </c>
      <c r="C894" s="2" t="s">
        <v>13</v>
      </c>
      <c r="D894" s="2">
        <v>32</v>
      </c>
      <c r="E894" s="2" t="s">
        <v>26</v>
      </c>
      <c r="F894" s="2" t="s">
        <v>15</v>
      </c>
      <c r="G894" s="7">
        <v>81.099999999999994</v>
      </c>
      <c r="H894" s="7">
        <v>2619.25</v>
      </c>
      <c r="I894" s="2" t="s">
        <v>15</v>
      </c>
      <c r="J894" s="2" t="s">
        <v>16</v>
      </c>
      <c r="K894" s="2" t="s">
        <v>29</v>
      </c>
      <c r="L894" s="7">
        <v>2619.25</v>
      </c>
      <c r="M894" s="2" t="str">
        <f>_xlfn.IFS(TelecomData[[#This Row],[TenureMonths]]&lt;=12, "0-1 Year", TelecomData[[#This Row],[TenureMonths]]&lt;=36, "1-3 Years", TelecomData[[#This Row],[TenureMonths]]&gt;36, "3+ Years")</f>
        <v>1-3 Years</v>
      </c>
      <c r="N894" s="2" t="str">
        <f>IF(TelecomData[[#This Row],[CleanedTotalCharges]]&gt;=2500,"High Spend", "Standard Spend")</f>
        <v>High Spend</v>
      </c>
    </row>
    <row r="895" spans="1:14" x14ac:dyDescent="0.3">
      <c r="A895" s="1" t="s">
        <v>919</v>
      </c>
      <c r="B895" s="2" t="s">
        <v>12</v>
      </c>
      <c r="C895" s="2" t="s">
        <v>13</v>
      </c>
      <c r="D895" s="2">
        <v>1</v>
      </c>
      <c r="E895" s="2" t="s">
        <v>14</v>
      </c>
      <c r="F895" s="2" t="s">
        <v>15</v>
      </c>
      <c r="G895" s="7">
        <v>24.6</v>
      </c>
      <c r="H895" s="7">
        <v>24.6</v>
      </c>
      <c r="I895" s="2" t="s">
        <v>16</v>
      </c>
      <c r="J895" s="2" t="s">
        <v>15</v>
      </c>
      <c r="K895" s="2" t="s">
        <v>17</v>
      </c>
      <c r="L895" s="7">
        <v>24.6</v>
      </c>
      <c r="M895" s="2" t="str">
        <f>_xlfn.IFS(TelecomData[[#This Row],[TenureMonths]]&lt;=12, "0-1 Year", TelecomData[[#This Row],[TenureMonths]]&lt;=36, "1-3 Years", TelecomData[[#This Row],[TenureMonths]]&gt;36, "3+ Years")</f>
        <v>0-1 Year</v>
      </c>
      <c r="N895" s="2" t="str">
        <f>IF(TelecomData[[#This Row],[CleanedTotalCharges]]&gt;=2500,"High Spend", "Standard Spend")</f>
        <v>Standard Spend</v>
      </c>
    </row>
    <row r="896" spans="1:14" x14ac:dyDescent="0.3">
      <c r="A896" s="1" t="s">
        <v>920</v>
      </c>
      <c r="B896" s="2" t="s">
        <v>12</v>
      </c>
      <c r="C896" s="2" t="s">
        <v>20</v>
      </c>
      <c r="D896" s="2">
        <v>63</v>
      </c>
      <c r="E896" s="2" t="s">
        <v>26</v>
      </c>
      <c r="F896" s="2" t="s">
        <v>16</v>
      </c>
      <c r="G896" s="7">
        <v>81.2</v>
      </c>
      <c r="H896" s="7">
        <v>4965.1000000000004</v>
      </c>
      <c r="I896" s="2" t="s">
        <v>15</v>
      </c>
      <c r="J896" s="2" t="s">
        <v>16</v>
      </c>
      <c r="K896" s="2" t="s">
        <v>29</v>
      </c>
      <c r="L896" s="7">
        <v>4965.1000000000004</v>
      </c>
      <c r="M896" s="2" t="str">
        <f>_xlfn.IFS(TelecomData[[#This Row],[TenureMonths]]&lt;=12, "0-1 Year", TelecomData[[#This Row],[TenureMonths]]&lt;=36, "1-3 Years", TelecomData[[#This Row],[TenureMonths]]&gt;36, "3+ Years")</f>
        <v>3+ Years</v>
      </c>
      <c r="N896" s="2" t="str">
        <f>IF(TelecomData[[#This Row],[CleanedTotalCharges]]&gt;=2500,"High Spend", "Standard Spend")</f>
        <v>High Spend</v>
      </c>
    </row>
    <row r="897" spans="1:14" x14ac:dyDescent="0.3">
      <c r="A897" s="1" t="s">
        <v>921</v>
      </c>
      <c r="B897" s="2" t="s">
        <v>19</v>
      </c>
      <c r="C897" s="2" t="s">
        <v>13</v>
      </c>
      <c r="D897" s="2">
        <v>30</v>
      </c>
      <c r="E897" s="2" t="s">
        <v>26</v>
      </c>
      <c r="F897" s="2" t="s">
        <v>15</v>
      </c>
      <c r="G897" s="7">
        <v>94.3</v>
      </c>
      <c r="H897" s="7">
        <v>2679.7</v>
      </c>
      <c r="I897" s="2" t="s">
        <v>15</v>
      </c>
      <c r="J897" s="2" t="s">
        <v>16</v>
      </c>
      <c r="K897" s="2" t="s">
        <v>29</v>
      </c>
      <c r="L897" s="7">
        <v>2679.7</v>
      </c>
      <c r="M897" s="2" t="str">
        <f>_xlfn.IFS(TelecomData[[#This Row],[TenureMonths]]&lt;=12, "0-1 Year", TelecomData[[#This Row],[TenureMonths]]&lt;=36, "1-3 Years", TelecomData[[#This Row],[TenureMonths]]&gt;36, "3+ Years")</f>
        <v>1-3 Years</v>
      </c>
      <c r="N897" s="2" t="str">
        <f>IF(TelecomData[[#This Row],[CleanedTotalCharges]]&gt;=2500,"High Spend", "Standard Spend")</f>
        <v>High Spend</v>
      </c>
    </row>
    <row r="898" spans="1:14" x14ac:dyDescent="0.3">
      <c r="A898" s="1" t="s">
        <v>922</v>
      </c>
      <c r="B898" s="2" t="s">
        <v>19</v>
      </c>
      <c r="C898" s="2" t="s">
        <v>35</v>
      </c>
      <c r="D898" s="2">
        <v>71</v>
      </c>
      <c r="E898" s="2" t="s">
        <v>26</v>
      </c>
      <c r="F898" s="2" t="s">
        <v>16</v>
      </c>
      <c r="G898" s="7">
        <v>116.1</v>
      </c>
      <c r="H898" s="7">
        <v>8310.5499999999993</v>
      </c>
      <c r="I898" s="2" t="s">
        <v>15</v>
      </c>
      <c r="J898" s="2" t="s">
        <v>16</v>
      </c>
      <c r="K898" s="2" t="s">
        <v>24</v>
      </c>
      <c r="L898" s="7">
        <v>8310.5499999999993</v>
      </c>
      <c r="M898" s="2" t="str">
        <f>_xlfn.IFS(TelecomData[[#This Row],[TenureMonths]]&lt;=12, "0-1 Year", TelecomData[[#This Row],[TenureMonths]]&lt;=36, "1-3 Years", TelecomData[[#This Row],[TenureMonths]]&gt;36, "3+ Years")</f>
        <v>3+ Years</v>
      </c>
      <c r="N898" s="2" t="str">
        <f>IF(TelecomData[[#This Row],[CleanedTotalCharges]]&gt;=2500,"High Spend", "Standard Spend")</f>
        <v>High Spend</v>
      </c>
    </row>
    <row r="899" spans="1:14" x14ac:dyDescent="0.3">
      <c r="A899" s="1" t="s">
        <v>923</v>
      </c>
      <c r="B899" s="2" t="s">
        <v>12</v>
      </c>
      <c r="C899" s="2" t="s">
        <v>35</v>
      </c>
      <c r="D899" s="2">
        <v>53</v>
      </c>
      <c r="E899" s="2" t="s">
        <v>26</v>
      </c>
      <c r="F899" s="2" t="s">
        <v>15</v>
      </c>
      <c r="G899" s="7">
        <v>105.55</v>
      </c>
      <c r="H899" s="7">
        <v>5682.25</v>
      </c>
      <c r="I899" s="2" t="s">
        <v>15</v>
      </c>
      <c r="J899" s="2" t="s">
        <v>15</v>
      </c>
      <c r="K899" s="2" t="s">
        <v>17</v>
      </c>
      <c r="L899" s="7">
        <v>5682.25</v>
      </c>
      <c r="M899" s="2" t="str">
        <f>_xlfn.IFS(TelecomData[[#This Row],[TenureMonths]]&lt;=12, "0-1 Year", TelecomData[[#This Row],[TenureMonths]]&lt;=36, "1-3 Years", TelecomData[[#This Row],[TenureMonths]]&gt;36, "3+ Years")</f>
        <v>3+ Years</v>
      </c>
      <c r="N899" s="2" t="str">
        <f>IF(TelecomData[[#This Row],[CleanedTotalCharges]]&gt;=2500,"High Spend", "Standard Spend")</f>
        <v>High Spend</v>
      </c>
    </row>
    <row r="900" spans="1:14" x14ac:dyDescent="0.3">
      <c r="A900" s="1" t="s">
        <v>924</v>
      </c>
      <c r="B900" s="2" t="s">
        <v>12</v>
      </c>
      <c r="C900" s="2" t="s">
        <v>13</v>
      </c>
      <c r="D900" s="2">
        <v>12</v>
      </c>
      <c r="E900" s="2" t="s">
        <v>26</v>
      </c>
      <c r="F900" s="2" t="s">
        <v>16</v>
      </c>
      <c r="G900" s="7">
        <v>98.9</v>
      </c>
      <c r="H900" s="7">
        <v>1120.95</v>
      </c>
      <c r="I900" s="2" t="s">
        <v>16</v>
      </c>
      <c r="J900" s="2" t="s">
        <v>16</v>
      </c>
      <c r="K900" s="2" t="s">
        <v>24</v>
      </c>
      <c r="L900" s="7">
        <v>1120.95</v>
      </c>
      <c r="M900" s="2" t="str">
        <f>_xlfn.IFS(TelecomData[[#This Row],[TenureMonths]]&lt;=12, "0-1 Year", TelecomData[[#This Row],[TenureMonths]]&lt;=36, "1-3 Years", TelecomData[[#This Row],[TenureMonths]]&gt;36, "3+ Years")</f>
        <v>0-1 Year</v>
      </c>
      <c r="N900" s="2" t="str">
        <f>IF(TelecomData[[#This Row],[CleanedTotalCharges]]&gt;=2500,"High Spend", "Standard Spend")</f>
        <v>Standard Spend</v>
      </c>
    </row>
    <row r="901" spans="1:14" x14ac:dyDescent="0.3">
      <c r="A901" s="1" t="s">
        <v>925</v>
      </c>
      <c r="B901" s="2" t="s">
        <v>19</v>
      </c>
      <c r="C901" s="2" t="s">
        <v>13</v>
      </c>
      <c r="D901" s="2">
        <v>50</v>
      </c>
      <c r="E901" s="2" t="s">
        <v>26</v>
      </c>
      <c r="F901" s="2" t="s">
        <v>15</v>
      </c>
      <c r="G901" s="7">
        <v>94.4</v>
      </c>
      <c r="H901" s="7">
        <v>4914.8999999999996</v>
      </c>
      <c r="I901" s="2" t="s">
        <v>15</v>
      </c>
      <c r="J901" s="2" t="s">
        <v>16</v>
      </c>
      <c r="K901" s="2" t="s">
        <v>29</v>
      </c>
      <c r="L901" s="7">
        <v>4914.8999999999996</v>
      </c>
      <c r="M901" s="2" t="str">
        <f>_xlfn.IFS(TelecomData[[#This Row],[TenureMonths]]&lt;=12, "0-1 Year", TelecomData[[#This Row],[TenureMonths]]&lt;=36, "1-3 Years", TelecomData[[#This Row],[TenureMonths]]&gt;36, "3+ Years")</f>
        <v>3+ Years</v>
      </c>
      <c r="N901" s="2" t="str">
        <f>IF(TelecomData[[#This Row],[CleanedTotalCharges]]&gt;=2500,"High Spend", "Standard Spend")</f>
        <v>High Spend</v>
      </c>
    </row>
    <row r="902" spans="1:14" x14ac:dyDescent="0.3">
      <c r="A902" s="1" t="s">
        <v>926</v>
      </c>
      <c r="B902" s="2" t="s">
        <v>12</v>
      </c>
      <c r="C902" s="2" t="s">
        <v>13</v>
      </c>
      <c r="D902" s="2">
        <v>2</v>
      </c>
      <c r="E902" s="2" t="s">
        <v>15</v>
      </c>
      <c r="F902" s="2" t="s">
        <v>36</v>
      </c>
      <c r="G902" s="7">
        <v>19.5</v>
      </c>
      <c r="H902" s="7">
        <v>27.55</v>
      </c>
      <c r="I902" s="2" t="s">
        <v>15</v>
      </c>
      <c r="J902" s="2" t="s">
        <v>15</v>
      </c>
      <c r="K902" s="2" t="s">
        <v>21</v>
      </c>
      <c r="L902" s="7">
        <v>27.55</v>
      </c>
      <c r="M902" s="2" t="str">
        <f>_xlfn.IFS(TelecomData[[#This Row],[TenureMonths]]&lt;=12, "0-1 Year", TelecomData[[#This Row],[TenureMonths]]&lt;=36, "1-3 Years", TelecomData[[#This Row],[TenureMonths]]&gt;36, "3+ Years")</f>
        <v>0-1 Year</v>
      </c>
      <c r="N902" s="2" t="str">
        <f>IF(TelecomData[[#This Row],[CleanedTotalCharges]]&gt;=2500,"High Spend", "Standard Spend")</f>
        <v>Standard Spend</v>
      </c>
    </row>
    <row r="903" spans="1:14" x14ac:dyDescent="0.3">
      <c r="A903" s="1" t="s">
        <v>927</v>
      </c>
      <c r="B903" s="2" t="s">
        <v>12</v>
      </c>
      <c r="C903" s="2" t="s">
        <v>13</v>
      </c>
      <c r="D903" s="2">
        <v>9</v>
      </c>
      <c r="E903" s="2" t="s">
        <v>26</v>
      </c>
      <c r="F903" s="2" t="s">
        <v>15</v>
      </c>
      <c r="G903" s="7">
        <v>98.3</v>
      </c>
      <c r="H903" s="7">
        <v>923.5</v>
      </c>
      <c r="I903" s="2" t="s">
        <v>16</v>
      </c>
      <c r="J903" s="2" t="s">
        <v>15</v>
      </c>
      <c r="K903" s="2" t="s">
        <v>29</v>
      </c>
      <c r="L903" s="7">
        <v>923.5</v>
      </c>
      <c r="M903" s="2" t="str">
        <f>_xlfn.IFS(TelecomData[[#This Row],[TenureMonths]]&lt;=12, "0-1 Year", TelecomData[[#This Row],[TenureMonths]]&lt;=36, "1-3 Years", TelecomData[[#This Row],[TenureMonths]]&gt;36, "3+ Years")</f>
        <v>0-1 Year</v>
      </c>
      <c r="N903" s="2" t="str">
        <f>IF(TelecomData[[#This Row],[CleanedTotalCharges]]&gt;=2500,"High Spend", "Standard Spend")</f>
        <v>Standard Spend</v>
      </c>
    </row>
    <row r="904" spans="1:14" x14ac:dyDescent="0.3">
      <c r="A904" s="1" t="s">
        <v>928</v>
      </c>
      <c r="B904" s="2" t="s">
        <v>19</v>
      </c>
      <c r="C904" s="2" t="s">
        <v>13</v>
      </c>
      <c r="D904" s="2">
        <v>17</v>
      </c>
      <c r="E904" s="2" t="s">
        <v>26</v>
      </c>
      <c r="F904" s="2" t="s">
        <v>15</v>
      </c>
      <c r="G904" s="7">
        <v>93.85</v>
      </c>
      <c r="H904" s="7">
        <v>1625.65</v>
      </c>
      <c r="I904" s="2" t="s">
        <v>16</v>
      </c>
      <c r="J904" s="2" t="s">
        <v>15</v>
      </c>
      <c r="K904" s="2" t="s">
        <v>17</v>
      </c>
      <c r="L904" s="7">
        <v>1625.65</v>
      </c>
      <c r="M904" s="2" t="str">
        <f>_xlfn.IFS(TelecomData[[#This Row],[TenureMonths]]&lt;=12, "0-1 Year", TelecomData[[#This Row],[TenureMonths]]&lt;=36, "1-3 Years", TelecomData[[#This Row],[TenureMonths]]&gt;36, "3+ Years")</f>
        <v>1-3 Years</v>
      </c>
      <c r="N904" s="2" t="str">
        <f>IF(TelecomData[[#This Row],[CleanedTotalCharges]]&gt;=2500,"High Spend", "Standard Spend")</f>
        <v>Standard Spend</v>
      </c>
    </row>
    <row r="905" spans="1:14" x14ac:dyDescent="0.3">
      <c r="A905" s="1" t="s">
        <v>929</v>
      </c>
      <c r="B905" s="2" t="s">
        <v>12</v>
      </c>
      <c r="C905" s="2" t="s">
        <v>20</v>
      </c>
      <c r="D905" s="2">
        <v>56</v>
      </c>
      <c r="E905" s="2" t="s">
        <v>26</v>
      </c>
      <c r="F905" s="2" t="s">
        <v>15</v>
      </c>
      <c r="G905" s="7">
        <v>105.6</v>
      </c>
      <c r="H905" s="7">
        <v>6068.65</v>
      </c>
      <c r="I905" s="2" t="s">
        <v>15</v>
      </c>
      <c r="J905" s="2" t="s">
        <v>16</v>
      </c>
      <c r="K905" s="2" t="s">
        <v>29</v>
      </c>
      <c r="L905" s="7">
        <v>6068.65</v>
      </c>
      <c r="M905" s="2" t="str">
        <f>_xlfn.IFS(TelecomData[[#This Row],[TenureMonths]]&lt;=12, "0-1 Year", TelecomData[[#This Row],[TenureMonths]]&lt;=36, "1-3 Years", TelecomData[[#This Row],[TenureMonths]]&gt;36, "3+ Years")</f>
        <v>3+ Years</v>
      </c>
      <c r="N905" s="2" t="str">
        <f>IF(TelecomData[[#This Row],[CleanedTotalCharges]]&gt;=2500,"High Spend", "Standard Spend")</f>
        <v>High Spend</v>
      </c>
    </row>
    <row r="906" spans="1:14" x14ac:dyDescent="0.3">
      <c r="A906" s="1" t="s">
        <v>930</v>
      </c>
      <c r="B906" s="2" t="s">
        <v>19</v>
      </c>
      <c r="C906" s="2" t="s">
        <v>35</v>
      </c>
      <c r="D906" s="2">
        <v>67</v>
      </c>
      <c r="E906" s="2" t="s">
        <v>14</v>
      </c>
      <c r="F906" s="2" t="s">
        <v>15</v>
      </c>
      <c r="G906" s="7">
        <v>81.349999999999994</v>
      </c>
      <c r="H906" s="7">
        <v>5398.6</v>
      </c>
      <c r="I906" s="2" t="s">
        <v>15</v>
      </c>
      <c r="J906" s="2" t="s">
        <v>15</v>
      </c>
      <c r="K906" s="2" t="s">
        <v>29</v>
      </c>
      <c r="L906" s="7">
        <v>5398.6</v>
      </c>
      <c r="M906" s="2" t="str">
        <f>_xlfn.IFS(TelecomData[[#This Row],[TenureMonths]]&lt;=12, "0-1 Year", TelecomData[[#This Row],[TenureMonths]]&lt;=36, "1-3 Years", TelecomData[[#This Row],[TenureMonths]]&gt;36, "3+ Years")</f>
        <v>3+ Years</v>
      </c>
      <c r="N906" s="2" t="str">
        <f>IF(TelecomData[[#This Row],[CleanedTotalCharges]]&gt;=2500,"High Spend", "Standard Spend")</f>
        <v>High Spend</v>
      </c>
    </row>
    <row r="907" spans="1:14" x14ac:dyDescent="0.3">
      <c r="A907" s="1" t="s">
        <v>931</v>
      </c>
      <c r="B907" s="2" t="s">
        <v>19</v>
      </c>
      <c r="C907" s="2" t="s">
        <v>13</v>
      </c>
      <c r="D907" s="2">
        <v>9</v>
      </c>
      <c r="E907" s="2" t="s">
        <v>26</v>
      </c>
      <c r="F907" s="2" t="s">
        <v>15</v>
      </c>
      <c r="G907" s="7">
        <v>100.5</v>
      </c>
      <c r="H907" s="7">
        <v>918.6</v>
      </c>
      <c r="I907" s="2" t="s">
        <v>16</v>
      </c>
      <c r="J907" s="2" t="s">
        <v>16</v>
      </c>
      <c r="K907" s="2" t="s">
        <v>17</v>
      </c>
      <c r="L907" s="7">
        <v>918.6</v>
      </c>
      <c r="M907" s="2" t="str">
        <f>_xlfn.IFS(TelecomData[[#This Row],[TenureMonths]]&lt;=12, "0-1 Year", TelecomData[[#This Row],[TenureMonths]]&lt;=36, "1-3 Years", TelecomData[[#This Row],[TenureMonths]]&gt;36, "3+ Years")</f>
        <v>0-1 Year</v>
      </c>
      <c r="N907" s="2" t="str">
        <f>IF(TelecomData[[#This Row],[CleanedTotalCharges]]&gt;=2500,"High Spend", "Standard Spend")</f>
        <v>Standard Spend</v>
      </c>
    </row>
    <row r="908" spans="1:14" x14ac:dyDescent="0.3">
      <c r="A908" s="1" t="s">
        <v>932</v>
      </c>
      <c r="B908" s="2" t="s">
        <v>19</v>
      </c>
      <c r="C908" s="2" t="s">
        <v>13</v>
      </c>
      <c r="D908" s="2">
        <v>4</v>
      </c>
      <c r="E908" s="2" t="s">
        <v>14</v>
      </c>
      <c r="F908" s="2" t="s">
        <v>15</v>
      </c>
      <c r="G908" s="7">
        <v>56.4</v>
      </c>
      <c r="H908" s="7">
        <v>234.85</v>
      </c>
      <c r="I908" s="2" t="s">
        <v>15</v>
      </c>
      <c r="J908" s="2" t="s">
        <v>16</v>
      </c>
      <c r="K908" s="2" t="s">
        <v>17</v>
      </c>
      <c r="L908" s="7">
        <v>234.85</v>
      </c>
      <c r="M908" s="2" t="str">
        <f>_xlfn.IFS(TelecomData[[#This Row],[TenureMonths]]&lt;=12, "0-1 Year", TelecomData[[#This Row],[TenureMonths]]&lt;=36, "1-3 Years", TelecomData[[#This Row],[TenureMonths]]&gt;36, "3+ Years")</f>
        <v>0-1 Year</v>
      </c>
      <c r="N908" s="2" t="str">
        <f>IF(TelecomData[[#This Row],[CleanedTotalCharges]]&gt;=2500,"High Spend", "Standard Spend")</f>
        <v>Standard Spend</v>
      </c>
    </row>
    <row r="909" spans="1:14" x14ac:dyDescent="0.3">
      <c r="A909" s="1" t="s">
        <v>933</v>
      </c>
      <c r="B909" s="2" t="s">
        <v>19</v>
      </c>
      <c r="C909" s="2" t="s">
        <v>20</v>
      </c>
      <c r="D909" s="2">
        <v>19</v>
      </c>
      <c r="E909" s="2" t="s">
        <v>14</v>
      </c>
      <c r="F909" s="2" t="s">
        <v>16</v>
      </c>
      <c r="G909" s="7">
        <v>65.349999999999994</v>
      </c>
      <c r="H909" s="7">
        <v>1231.8499999999999</v>
      </c>
      <c r="I909" s="2" t="s">
        <v>15</v>
      </c>
      <c r="J909" s="2" t="s">
        <v>16</v>
      </c>
      <c r="K909" s="2" t="s">
        <v>24</v>
      </c>
      <c r="L909" s="7">
        <v>1231.8499999999999</v>
      </c>
      <c r="M909" s="2" t="str">
        <f>_xlfn.IFS(TelecomData[[#This Row],[TenureMonths]]&lt;=12, "0-1 Year", TelecomData[[#This Row],[TenureMonths]]&lt;=36, "1-3 Years", TelecomData[[#This Row],[TenureMonths]]&gt;36, "3+ Years")</f>
        <v>1-3 Years</v>
      </c>
      <c r="N909" s="2" t="str">
        <f>IF(TelecomData[[#This Row],[CleanedTotalCharges]]&gt;=2500,"High Spend", "Standard Spend")</f>
        <v>Standard Spend</v>
      </c>
    </row>
    <row r="910" spans="1:14" x14ac:dyDescent="0.3">
      <c r="A910" s="1" t="s">
        <v>934</v>
      </c>
      <c r="B910" s="2" t="s">
        <v>12</v>
      </c>
      <c r="C910" s="2" t="s">
        <v>13</v>
      </c>
      <c r="D910" s="2">
        <v>8</v>
      </c>
      <c r="E910" s="2" t="s">
        <v>15</v>
      </c>
      <c r="F910" s="2" t="s">
        <v>36</v>
      </c>
      <c r="G910" s="7">
        <v>19.95</v>
      </c>
      <c r="H910" s="7">
        <v>170.9</v>
      </c>
      <c r="I910" s="2" t="s">
        <v>15</v>
      </c>
      <c r="J910" s="2" t="s">
        <v>15</v>
      </c>
      <c r="K910" s="2" t="s">
        <v>21</v>
      </c>
      <c r="L910" s="7">
        <v>170.9</v>
      </c>
      <c r="M910" s="2" t="str">
        <f>_xlfn.IFS(TelecomData[[#This Row],[TenureMonths]]&lt;=12, "0-1 Year", TelecomData[[#This Row],[TenureMonths]]&lt;=36, "1-3 Years", TelecomData[[#This Row],[TenureMonths]]&gt;36, "3+ Years")</f>
        <v>0-1 Year</v>
      </c>
      <c r="N910" s="2" t="str">
        <f>IF(TelecomData[[#This Row],[CleanedTotalCharges]]&gt;=2500,"High Spend", "Standard Spend")</f>
        <v>Standard Spend</v>
      </c>
    </row>
    <row r="911" spans="1:14" x14ac:dyDescent="0.3">
      <c r="A911" s="1" t="s">
        <v>935</v>
      </c>
      <c r="B911" s="2" t="s">
        <v>12</v>
      </c>
      <c r="C911" s="2" t="s">
        <v>35</v>
      </c>
      <c r="D911" s="2">
        <v>71</v>
      </c>
      <c r="E911" s="2" t="s">
        <v>26</v>
      </c>
      <c r="F911" s="2" t="s">
        <v>16</v>
      </c>
      <c r="G911" s="7">
        <v>111.25</v>
      </c>
      <c r="H911" s="7">
        <v>7984.15</v>
      </c>
      <c r="I911" s="2" t="s">
        <v>15</v>
      </c>
      <c r="J911" s="2" t="s">
        <v>16</v>
      </c>
      <c r="K911" s="2" t="s">
        <v>17</v>
      </c>
      <c r="L911" s="7">
        <v>7984.15</v>
      </c>
      <c r="M911" s="2" t="str">
        <f>_xlfn.IFS(TelecomData[[#This Row],[TenureMonths]]&lt;=12, "0-1 Year", TelecomData[[#This Row],[TenureMonths]]&lt;=36, "1-3 Years", TelecomData[[#This Row],[TenureMonths]]&gt;36, "3+ Years")</f>
        <v>3+ Years</v>
      </c>
      <c r="N911" s="2" t="str">
        <f>IF(TelecomData[[#This Row],[CleanedTotalCharges]]&gt;=2500,"High Spend", "Standard Spend")</f>
        <v>High Spend</v>
      </c>
    </row>
    <row r="912" spans="1:14" x14ac:dyDescent="0.3">
      <c r="A912" s="1" t="s">
        <v>936</v>
      </c>
      <c r="B912" s="2" t="s">
        <v>19</v>
      </c>
      <c r="C912" s="2" t="s">
        <v>13</v>
      </c>
      <c r="D912" s="2">
        <v>10</v>
      </c>
      <c r="E912" s="2" t="s">
        <v>26</v>
      </c>
      <c r="F912" s="2" t="s">
        <v>15</v>
      </c>
      <c r="G912" s="7">
        <v>72.849999999999994</v>
      </c>
      <c r="H912" s="7">
        <v>688.65</v>
      </c>
      <c r="I912" s="2" t="s">
        <v>16</v>
      </c>
      <c r="J912" s="2" t="s">
        <v>16</v>
      </c>
      <c r="K912" s="2" t="s">
        <v>17</v>
      </c>
      <c r="L912" s="7">
        <v>688.65</v>
      </c>
      <c r="M912" s="2" t="str">
        <f>_xlfn.IFS(TelecomData[[#This Row],[TenureMonths]]&lt;=12, "0-1 Year", TelecomData[[#This Row],[TenureMonths]]&lt;=36, "1-3 Years", TelecomData[[#This Row],[TenureMonths]]&gt;36, "3+ Years")</f>
        <v>0-1 Year</v>
      </c>
      <c r="N912" s="2" t="str">
        <f>IF(TelecomData[[#This Row],[CleanedTotalCharges]]&gt;=2500,"High Spend", "Standard Spend")</f>
        <v>Standard Spend</v>
      </c>
    </row>
    <row r="913" spans="1:14" x14ac:dyDescent="0.3">
      <c r="A913" s="1" t="s">
        <v>937</v>
      </c>
      <c r="B913" s="2" t="s">
        <v>12</v>
      </c>
      <c r="C913" s="2" t="s">
        <v>13</v>
      </c>
      <c r="D913" s="2">
        <v>15</v>
      </c>
      <c r="E913" s="2" t="s">
        <v>26</v>
      </c>
      <c r="F913" s="2" t="s">
        <v>15</v>
      </c>
      <c r="G913" s="7">
        <v>89</v>
      </c>
      <c r="H913" s="7">
        <v>1288.3</v>
      </c>
      <c r="I913" s="2" t="s">
        <v>15</v>
      </c>
      <c r="J913" s="2" t="s">
        <v>15</v>
      </c>
      <c r="K913" s="2" t="s">
        <v>29</v>
      </c>
      <c r="L913" s="7">
        <v>1288.3</v>
      </c>
      <c r="M913" s="2" t="str">
        <f>_xlfn.IFS(TelecomData[[#This Row],[TenureMonths]]&lt;=12, "0-1 Year", TelecomData[[#This Row],[TenureMonths]]&lt;=36, "1-3 Years", TelecomData[[#This Row],[TenureMonths]]&gt;36, "3+ Years")</f>
        <v>1-3 Years</v>
      </c>
      <c r="N913" s="2" t="str">
        <f>IF(TelecomData[[#This Row],[CleanedTotalCharges]]&gt;=2500,"High Spend", "Standard Spend")</f>
        <v>Standard Spend</v>
      </c>
    </row>
    <row r="914" spans="1:14" x14ac:dyDescent="0.3">
      <c r="A914" s="1" t="s">
        <v>938</v>
      </c>
      <c r="B914" s="2" t="s">
        <v>19</v>
      </c>
      <c r="C914" s="2" t="s">
        <v>20</v>
      </c>
      <c r="D914" s="2">
        <v>72</v>
      </c>
      <c r="E914" s="2" t="s">
        <v>26</v>
      </c>
      <c r="F914" s="2" t="s">
        <v>15</v>
      </c>
      <c r="G914" s="7">
        <v>106.1</v>
      </c>
      <c r="H914" s="7">
        <v>7848.5</v>
      </c>
      <c r="I914" s="2" t="s">
        <v>15</v>
      </c>
      <c r="J914" s="2" t="s">
        <v>16</v>
      </c>
      <c r="K914" s="2" t="s">
        <v>24</v>
      </c>
      <c r="L914" s="7">
        <v>7848.5</v>
      </c>
      <c r="M914" s="2" t="str">
        <f>_xlfn.IFS(TelecomData[[#This Row],[TenureMonths]]&lt;=12, "0-1 Year", TelecomData[[#This Row],[TenureMonths]]&lt;=36, "1-3 Years", TelecomData[[#This Row],[TenureMonths]]&gt;36, "3+ Years")</f>
        <v>3+ Years</v>
      </c>
      <c r="N914" s="2" t="str">
        <f>IF(TelecomData[[#This Row],[CleanedTotalCharges]]&gt;=2500,"High Spend", "Standard Spend")</f>
        <v>High Spend</v>
      </c>
    </row>
    <row r="915" spans="1:14" x14ac:dyDescent="0.3">
      <c r="A915" s="1" t="s">
        <v>939</v>
      </c>
      <c r="B915" s="2" t="s">
        <v>19</v>
      </c>
      <c r="C915" s="2" t="s">
        <v>20</v>
      </c>
      <c r="D915" s="2">
        <v>12</v>
      </c>
      <c r="E915" s="2" t="s">
        <v>15</v>
      </c>
      <c r="F915" s="2" t="s">
        <v>36</v>
      </c>
      <c r="G915" s="7">
        <v>20.05</v>
      </c>
      <c r="H915" s="7">
        <v>267</v>
      </c>
      <c r="I915" s="2" t="s">
        <v>15</v>
      </c>
      <c r="J915" s="2" t="s">
        <v>15</v>
      </c>
      <c r="K915" s="2" t="s">
        <v>29</v>
      </c>
      <c r="L915" s="7">
        <v>267</v>
      </c>
      <c r="M915" s="2" t="str">
        <f>_xlfn.IFS(TelecomData[[#This Row],[TenureMonths]]&lt;=12, "0-1 Year", TelecomData[[#This Row],[TenureMonths]]&lt;=36, "1-3 Years", TelecomData[[#This Row],[TenureMonths]]&gt;36, "3+ Years")</f>
        <v>0-1 Year</v>
      </c>
      <c r="N915" s="2" t="str">
        <f>IF(TelecomData[[#This Row],[CleanedTotalCharges]]&gt;=2500,"High Spend", "Standard Spend")</f>
        <v>Standard Spend</v>
      </c>
    </row>
    <row r="916" spans="1:14" x14ac:dyDescent="0.3">
      <c r="A916" s="1" t="s">
        <v>940</v>
      </c>
      <c r="B916" s="2" t="s">
        <v>19</v>
      </c>
      <c r="C916" s="2" t="s">
        <v>35</v>
      </c>
      <c r="D916" s="2">
        <v>72</v>
      </c>
      <c r="E916" s="2" t="s">
        <v>15</v>
      </c>
      <c r="F916" s="2" t="s">
        <v>36</v>
      </c>
      <c r="G916" s="7">
        <v>25.2</v>
      </c>
      <c r="H916" s="7">
        <v>1798.9</v>
      </c>
      <c r="I916" s="2" t="s">
        <v>15</v>
      </c>
      <c r="J916" s="2" t="s">
        <v>16</v>
      </c>
      <c r="K916" s="2" t="s">
        <v>24</v>
      </c>
      <c r="L916" s="7">
        <v>1798.9</v>
      </c>
      <c r="M916" s="2" t="str">
        <f>_xlfn.IFS(TelecomData[[#This Row],[TenureMonths]]&lt;=12, "0-1 Year", TelecomData[[#This Row],[TenureMonths]]&lt;=36, "1-3 Years", TelecomData[[#This Row],[TenureMonths]]&gt;36, "3+ Years")</f>
        <v>3+ Years</v>
      </c>
      <c r="N916" s="2" t="str">
        <f>IF(TelecomData[[#This Row],[CleanedTotalCharges]]&gt;=2500,"High Spend", "Standard Spend")</f>
        <v>Standard Spend</v>
      </c>
    </row>
    <row r="917" spans="1:14" x14ac:dyDescent="0.3">
      <c r="A917" s="1" t="s">
        <v>941</v>
      </c>
      <c r="B917" s="2" t="s">
        <v>19</v>
      </c>
      <c r="C917" s="2" t="s">
        <v>13</v>
      </c>
      <c r="D917" s="2">
        <v>1</v>
      </c>
      <c r="E917" s="2" t="s">
        <v>26</v>
      </c>
      <c r="F917" s="2" t="s">
        <v>15</v>
      </c>
      <c r="G917" s="7">
        <v>73.55</v>
      </c>
      <c r="H917" s="7">
        <v>73.55</v>
      </c>
      <c r="I917" s="2" t="s">
        <v>16</v>
      </c>
      <c r="J917" s="2" t="s">
        <v>16</v>
      </c>
      <c r="K917" s="2" t="s">
        <v>17</v>
      </c>
      <c r="L917" s="7">
        <v>73.55</v>
      </c>
      <c r="M917" s="2" t="str">
        <f>_xlfn.IFS(TelecomData[[#This Row],[TenureMonths]]&lt;=12, "0-1 Year", TelecomData[[#This Row],[TenureMonths]]&lt;=36, "1-3 Years", TelecomData[[#This Row],[TenureMonths]]&gt;36, "3+ Years")</f>
        <v>0-1 Year</v>
      </c>
      <c r="N917" s="2" t="str">
        <f>IF(TelecomData[[#This Row],[CleanedTotalCharges]]&gt;=2500,"High Spend", "Standard Spend")</f>
        <v>Standard Spend</v>
      </c>
    </row>
    <row r="918" spans="1:14" x14ac:dyDescent="0.3">
      <c r="A918" s="1" t="s">
        <v>942</v>
      </c>
      <c r="B918" s="2" t="s">
        <v>12</v>
      </c>
      <c r="C918" s="2" t="s">
        <v>13</v>
      </c>
      <c r="D918" s="2">
        <v>23</v>
      </c>
      <c r="E918" s="2" t="s">
        <v>26</v>
      </c>
      <c r="F918" s="2" t="s">
        <v>15</v>
      </c>
      <c r="G918" s="7">
        <v>75.400000000000006</v>
      </c>
      <c r="H918" s="7">
        <v>1643.55</v>
      </c>
      <c r="I918" s="2" t="s">
        <v>15</v>
      </c>
      <c r="J918" s="2" t="s">
        <v>16</v>
      </c>
      <c r="K918" s="2" t="s">
        <v>24</v>
      </c>
      <c r="L918" s="7">
        <v>1643.55</v>
      </c>
      <c r="M918" s="2" t="str">
        <f>_xlfn.IFS(TelecomData[[#This Row],[TenureMonths]]&lt;=12, "0-1 Year", TelecomData[[#This Row],[TenureMonths]]&lt;=36, "1-3 Years", TelecomData[[#This Row],[TenureMonths]]&gt;36, "3+ Years")</f>
        <v>1-3 Years</v>
      </c>
      <c r="N918" s="2" t="str">
        <f>IF(TelecomData[[#This Row],[CleanedTotalCharges]]&gt;=2500,"High Spend", "Standard Spend")</f>
        <v>Standard Spend</v>
      </c>
    </row>
    <row r="919" spans="1:14" x14ac:dyDescent="0.3">
      <c r="A919" s="1" t="s">
        <v>943</v>
      </c>
      <c r="B919" s="2" t="s">
        <v>19</v>
      </c>
      <c r="C919" s="2" t="s">
        <v>35</v>
      </c>
      <c r="D919" s="2">
        <v>72</v>
      </c>
      <c r="E919" s="2" t="s">
        <v>14</v>
      </c>
      <c r="F919" s="2" t="s">
        <v>16</v>
      </c>
      <c r="G919" s="7">
        <v>65.55</v>
      </c>
      <c r="H919" s="7">
        <v>4807.45</v>
      </c>
      <c r="I919" s="2" t="s">
        <v>15</v>
      </c>
      <c r="J919" s="2" t="s">
        <v>16</v>
      </c>
      <c r="K919" s="2" t="s">
        <v>24</v>
      </c>
      <c r="L919" s="7">
        <v>4807.45</v>
      </c>
      <c r="M919" s="2" t="str">
        <f>_xlfn.IFS(TelecomData[[#This Row],[TenureMonths]]&lt;=12, "0-1 Year", TelecomData[[#This Row],[TenureMonths]]&lt;=36, "1-3 Years", TelecomData[[#This Row],[TenureMonths]]&gt;36, "3+ Years")</f>
        <v>3+ Years</v>
      </c>
      <c r="N919" s="2" t="str">
        <f>IF(TelecomData[[#This Row],[CleanedTotalCharges]]&gt;=2500,"High Spend", "Standard Spend")</f>
        <v>High Spend</v>
      </c>
    </row>
    <row r="920" spans="1:14" x14ac:dyDescent="0.3">
      <c r="A920" s="1" t="s">
        <v>944</v>
      </c>
      <c r="B920" s="2" t="s">
        <v>12</v>
      </c>
      <c r="C920" s="2" t="s">
        <v>13</v>
      </c>
      <c r="D920" s="2">
        <v>26</v>
      </c>
      <c r="E920" s="2" t="s">
        <v>26</v>
      </c>
      <c r="F920" s="2" t="s">
        <v>15</v>
      </c>
      <c r="G920" s="7">
        <v>80.7</v>
      </c>
      <c r="H920" s="7">
        <v>2193</v>
      </c>
      <c r="I920" s="2" t="s">
        <v>15</v>
      </c>
      <c r="J920" s="2" t="s">
        <v>16</v>
      </c>
      <c r="K920" s="2" t="s">
        <v>17</v>
      </c>
      <c r="L920" s="7">
        <v>2193</v>
      </c>
      <c r="M920" s="2" t="str">
        <f>_xlfn.IFS(TelecomData[[#This Row],[TenureMonths]]&lt;=12, "0-1 Year", TelecomData[[#This Row],[TenureMonths]]&lt;=36, "1-3 Years", TelecomData[[#This Row],[TenureMonths]]&gt;36, "3+ Years")</f>
        <v>1-3 Years</v>
      </c>
      <c r="N920" s="2" t="str">
        <f>IF(TelecomData[[#This Row],[CleanedTotalCharges]]&gt;=2500,"High Spend", "Standard Spend")</f>
        <v>Standard Spend</v>
      </c>
    </row>
    <row r="921" spans="1:14" x14ac:dyDescent="0.3">
      <c r="A921" s="1" t="s">
        <v>945</v>
      </c>
      <c r="B921" s="2" t="s">
        <v>12</v>
      </c>
      <c r="C921" s="2" t="s">
        <v>20</v>
      </c>
      <c r="D921" s="2">
        <v>21</v>
      </c>
      <c r="E921" s="2" t="s">
        <v>26</v>
      </c>
      <c r="F921" s="2" t="s">
        <v>16</v>
      </c>
      <c r="G921" s="7">
        <v>104.55</v>
      </c>
      <c r="H921" s="7">
        <v>2239.4</v>
      </c>
      <c r="I921" s="2" t="s">
        <v>15</v>
      </c>
      <c r="J921" s="2" t="s">
        <v>16</v>
      </c>
      <c r="K921" s="2" t="s">
        <v>21</v>
      </c>
      <c r="L921" s="7">
        <v>2239.4</v>
      </c>
      <c r="M921" s="2" t="str">
        <f>_xlfn.IFS(TelecomData[[#This Row],[TenureMonths]]&lt;=12, "0-1 Year", TelecomData[[#This Row],[TenureMonths]]&lt;=36, "1-3 Years", TelecomData[[#This Row],[TenureMonths]]&gt;36, "3+ Years")</f>
        <v>1-3 Years</v>
      </c>
      <c r="N921" s="2" t="str">
        <f>IF(TelecomData[[#This Row],[CleanedTotalCharges]]&gt;=2500,"High Spend", "Standard Spend")</f>
        <v>Standard Spend</v>
      </c>
    </row>
    <row r="922" spans="1:14" x14ac:dyDescent="0.3">
      <c r="A922" s="1" t="s">
        <v>946</v>
      </c>
      <c r="B922" s="2" t="s">
        <v>19</v>
      </c>
      <c r="C922" s="2" t="s">
        <v>20</v>
      </c>
      <c r="D922" s="2">
        <v>60</v>
      </c>
      <c r="E922" s="2" t="s">
        <v>15</v>
      </c>
      <c r="F922" s="2" t="s">
        <v>36</v>
      </c>
      <c r="G922" s="7">
        <v>24.15</v>
      </c>
      <c r="H922" s="7">
        <v>1505.9</v>
      </c>
      <c r="I922" s="2" t="s">
        <v>15</v>
      </c>
      <c r="J922" s="2" t="s">
        <v>15</v>
      </c>
      <c r="K922" s="2" t="s">
        <v>24</v>
      </c>
      <c r="L922" s="7">
        <v>1505.9</v>
      </c>
      <c r="M922" s="2" t="str">
        <f>_xlfn.IFS(TelecomData[[#This Row],[TenureMonths]]&lt;=12, "0-1 Year", TelecomData[[#This Row],[TenureMonths]]&lt;=36, "1-3 Years", TelecomData[[#This Row],[TenureMonths]]&gt;36, "3+ Years")</f>
        <v>3+ Years</v>
      </c>
      <c r="N922" s="2" t="str">
        <f>IF(TelecomData[[#This Row],[CleanedTotalCharges]]&gt;=2500,"High Spend", "Standard Spend")</f>
        <v>Standard Spend</v>
      </c>
    </row>
    <row r="923" spans="1:14" x14ac:dyDescent="0.3">
      <c r="A923" s="1" t="s">
        <v>947</v>
      </c>
      <c r="B923" s="2" t="s">
        <v>19</v>
      </c>
      <c r="C923" s="2" t="s">
        <v>13</v>
      </c>
      <c r="D923" s="2">
        <v>12</v>
      </c>
      <c r="E923" s="2" t="s">
        <v>15</v>
      </c>
      <c r="F923" s="2" t="s">
        <v>36</v>
      </c>
      <c r="G923" s="7">
        <v>20.45</v>
      </c>
      <c r="H923" s="7">
        <v>255.35</v>
      </c>
      <c r="I923" s="2" t="s">
        <v>15</v>
      </c>
      <c r="J923" s="2" t="s">
        <v>15</v>
      </c>
      <c r="K923" s="2" t="s">
        <v>21</v>
      </c>
      <c r="L923" s="7">
        <v>255.35</v>
      </c>
      <c r="M923" s="2" t="str">
        <f>_xlfn.IFS(TelecomData[[#This Row],[TenureMonths]]&lt;=12, "0-1 Year", TelecomData[[#This Row],[TenureMonths]]&lt;=36, "1-3 Years", TelecomData[[#This Row],[TenureMonths]]&gt;36, "3+ Years")</f>
        <v>0-1 Year</v>
      </c>
      <c r="N923" s="2" t="str">
        <f>IF(TelecomData[[#This Row],[CleanedTotalCharges]]&gt;=2500,"High Spend", "Standard Spend")</f>
        <v>Standard Spend</v>
      </c>
    </row>
    <row r="924" spans="1:14" x14ac:dyDescent="0.3">
      <c r="A924" s="1" t="s">
        <v>948</v>
      </c>
      <c r="B924" s="2" t="s">
        <v>19</v>
      </c>
      <c r="C924" s="2" t="s">
        <v>13</v>
      </c>
      <c r="D924" s="2">
        <v>16</v>
      </c>
      <c r="E924" s="2" t="s">
        <v>26</v>
      </c>
      <c r="F924" s="2" t="s">
        <v>15</v>
      </c>
      <c r="G924" s="7">
        <v>75.400000000000006</v>
      </c>
      <c r="H924" s="7">
        <v>1189.4000000000001</v>
      </c>
      <c r="I924" s="2" t="s">
        <v>15</v>
      </c>
      <c r="J924" s="2" t="s">
        <v>16</v>
      </c>
      <c r="K924" s="2" t="s">
        <v>17</v>
      </c>
      <c r="L924" s="7">
        <v>1189.4000000000001</v>
      </c>
      <c r="M924" s="2" t="str">
        <f>_xlfn.IFS(TelecomData[[#This Row],[TenureMonths]]&lt;=12, "0-1 Year", TelecomData[[#This Row],[TenureMonths]]&lt;=36, "1-3 Years", TelecomData[[#This Row],[TenureMonths]]&gt;36, "3+ Years")</f>
        <v>1-3 Years</v>
      </c>
      <c r="N924" s="2" t="str">
        <f>IF(TelecomData[[#This Row],[CleanedTotalCharges]]&gt;=2500,"High Spend", "Standard Spend")</f>
        <v>Standard Spend</v>
      </c>
    </row>
    <row r="925" spans="1:14" x14ac:dyDescent="0.3">
      <c r="A925" s="1" t="s">
        <v>949</v>
      </c>
      <c r="B925" s="2" t="s">
        <v>12</v>
      </c>
      <c r="C925" s="2" t="s">
        <v>20</v>
      </c>
      <c r="D925" s="2">
        <v>63</v>
      </c>
      <c r="E925" s="2" t="s">
        <v>14</v>
      </c>
      <c r="F925" s="2" t="s">
        <v>15</v>
      </c>
      <c r="G925" s="7">
        <v>79.7</v>
      </c>
      <c r="H925" s="7">
        <v>4786.1499999999996</v>
      </c>
      <c r="I925" s="2" t="s">
        <v>15</v>
      </c>
      <c r="J925" s="2" t="s">
        <v>16</v>
      </c>
      <c r="K925" s="2" t="s">
        <v>29</v>
      </c>
      <c r="L925" s="7">
        <v>4786.1499999999996</v>
      </c>
      <c r="M925" s="2" t="str">
        <f>_xlfn.IFS(TelecomData[[#This Row],[TenureMonths]]&lt;=12, "0-1 Year", TelecomData[[#This Row],[TenureMonths]]&lt;=36, "1-3 Years", TelecomData[[#This Row],[TenureMonths]]&gt;36, "3+ Years")</f>
        <v>3+ Years</v>
      </c>
      <c r="N925" s="2" t="str">
        <f>IF(TelecomData[[#This Row],[CleanedTotalCharges]]&gt;=2500,"High Spend", "Standard Spend")</f>
        <v>High Spend</v>
      </c>
    </row>
    <row r="926" spans="1:14" x14ac:dyDescent="0.3">
      <c r="A926" s="1" t="s">
        <v>950</v>
      </c>
      <c r="B926" s="2" t="s">
        <v>12</v>
      </c>
      <c r="C926" s="2" t="s">
        <v>13</v>
      </c>
      <c r="D926" s="2">
        <v>22</v>
      </c>
      <c r="E926" s="2" t="s">
        <v>26</v>
      </c>
      <c r="F926" s="2" t="s">
        <v>15</v>
      </c>
      <c r="G926" s="7">
        <v>81.7</v>
      </c>
      <c r="H926" s="7">
        <v>1820.9</v>
      </c>
      <c r="I926" s="2" t="s">
        <v>15</v>
      </c>
      <c r="J926" s="2" t="s">
        <v>15</v>
      </c>
      <c r="K926" s="2" t="s">
        <v>17</v>
      </c>
      <c r="L926" s="7">
        <v>1820.9</v>
      </c>
      <c r="M926" s="2" t="str">
        <f>_xlfn.IFS(TelecomData[[#This Row],[TenureMonths]]&lt;=12, "0-1 Year", TelecomData[[#This Row],[TenureMonths]]&lt;=36, "1-3 Years", TelecomData[[#This Row],[TenureMonths]]&gt;36, "3+ Years")</f>
        <v>1-3 Years</v>
      </c>
      <c r="N926" s="2" t="str">
        <f>IF(TelecomData[[#This Row],[CleanedTotalCharges]]&gt;=2500,"High Spend", "Standard Spend")</f>
        <v>Standard Spend</v>
      </c>
    </row>
    <row r="927" spans="1:14" x14ac:dyDescent="0.3">
      <c r="A927" s="1" t="s">
        <v>951</v>
      </c>
      <c r="B927" s="2" t="s">
        <v>12</v>
      </c>
      <c r="C927" s="2" t="s">
        <v>13</v>
      </c>
      <c r="D927" s="2">
        <v>32</v>
      </c>
      <c r="E927" s="2" t="s">
        <v>14</v>
      </c>
      <c r="F927" s="2" t="s">
        <v>16</v>
      </c>
      <c r="G927" s="7">
        <v>76.3</v>
      </c>
      <c r="H927" s="7">
        <v>2404.15</v>
      </c>
      <c r="I927" s="2" t="s">
        <v>15</v>
      </c>
      <c r="J927" s="2" t="s">
        <v>15</v>
      </c>
      <c r="K927" s="2" t="s">
        <v>24</v>
      </c>
      <c r="L927" s="7">
        <v>2404.15</v>
      </c>
      <c r="M927" s="2" t="str">
        <f>_xlfn.IFS(TelecomData[[#This Row],[TenureMonths]]&lt;=12, "0-1 Year", TelecomData[[#This Row],[TenureMonths]]&lt;=36, "1-3 Years", TelecomData[[#This Row],[TenureMonths]]&gt;36, "3+ Years")</f>
        <v>1-3 Years</v>
      </c>
      <c r="N927" s="2" t="str">
        <f>IF(TelecomData[[#This Row],[CleanedTotalCharges]]&gt;=2500,"High Spend", "Standard Spend")</f>
        <v>Standard Spend</v>
      </c>
    </row>
    <row r="928" spans="1:14" x14ac:dyDescent="0.3">
      <c r="A928" s="1" t="s">
        <v>952</v>
      </c>
      <c r="B928" s="2" t="s">
        <v>12</v>
      </c>
      <c r="C928" s="2" t="s">
        <v>13</v>
      </c>
      <c r="D928" s="2">
        <v>3</v>
      </c>
      <c r="E928" s="2" t="s">
        <v>26</v>
      </c>
      <c r="F928" s="2" t="s">
        <v>15</v>
      </c>
      <c r="G928" s="7">
        <v>79.400000000000006</v>
      </c>
      <c r="H928" s="7">
        <v>205.05</v>
      </c>
      <c r="I928" s="2" t="s">
        <v>16</v>
      </c>
      <c r="J928" s="2" t="s">
        <v>16</v>
      </c>
      <c r="K928" s="2" t="s">
        <v>17</v>
      </c>
      <c r="L928" s="7">
        <v>205.05</v>
      </c>
      <c r="M928" s="2" t="str">
        <f>_xlfn.IFS(TelecomData[[#This Row],[TenureMonths]]&lt;=12, "0-1 Year", TelecomData[[#This Row],[TenureMonths]]&lt;=36, "1-3 Years", TelecomData[[#This Row],[TenureMonths]]&gt;36, "3+ Years")</f>
        <v>0-1 Year</v>
      </c>
      <c r="N928" s="2" t="str">
        <f>IF(TelecomData[[#This Row],[CleanedTotalCharges]]&gt;=2500,"High Spend", "Standard Spend")</f>
        <v>Standard Spend</v>
      </c>
    </row>
    <row r="929" spans="1:14" x14ac:dyDescent="0.3">
      <c r="A929" s="1" t="s">
        <v>953</v>
      </c>
      <c r="B929" s="2" t="s">
        <v>12</v>
      </c>
      <c r="C929" s="2" t="s">
        <v>13</v>
      </c>
      <c r="D929" s="2">
        <v>13</v>
      </c>
      <c r="E929" s="2" t="s">
        <v>26</v>
      </c>
      <c r="F929" s="2" t="s">
        <v>15</v>
      </c>
      <c r="G929" s="7">
        <v>81.150000000000006</v>
      </c>
      <c r="H929" s="7">
        <v>952.3</v>
      </c>
      <c r="I929" s="2" t="s">
        <v>16</v>
      </c>
      <c r="J929" s="2" t="s">
        <v>16</v>
      </c>
      <c r="K929" s="2" t="s">
        <v>17</v>
      </c>
      <c r="L929" s="7">
        <v>952.3</v>
      </c>
      <c r="M929" s="2" t="str">
        <f>_xlfn.IFS(TelecomData[[#This Row],[TenureMonths]]&lt;=12, "0-1 Year", TelecomData[[#This Row],[TenureMonths]]&lt;=36, "1-3 Years", TelecomData[[#This Row],[TenureMonths]]&gt;36, "3+ Years")</f>
        <v>1-3 Years</v>
      </c>
      <c r="N929" s="2" t="str">
        <f>IF(TelecomData[[#This Row],[CleanedTotalCharges]]&gt;=2500,"High Spend", "Standard Spend")</f>
        <v>Standard Spend</v>
      </c>
    </row>
    <row r="930" spans="1:14" x14ac:dyDescent="0.3">
      <c r="A930" s="1" t="s">
        <v>954</v>
      </c>
      <c r="B930" s="2" t="s">
        <v>12</v>
      </c>
      <c r="C930" s="2" t="s">
        <v>35</v>
      </c>
      <c r="D930" s="2">
        <v>68</v>
      </c>
      <c r="E930" s="2" t="s">
        <v>26</v>
      </c>
      <c r="F930" s="2" t="s">
        <v>16</v>
      </c>
      <c r="G930" s="7">
        <v>103.75</v>
      </c>
      <c r="H930" s="7">
        <v>7039.45</v>
      </c>
      <c r="I930" s="2" t="s">
        <v>15</v>
      </c>
      <c r="J930" s="2" t="s">
        <v>16</v>
      </c>
      <c r="K930" s="2" t="s">
        <v>29</v>
      </c>
      <c r="L930" s="7">
        <v>7039.45</v>
      </c>
      <c r="M930" s="2" t="str">
        <f>_xlfn.IFS(TelecomData[[#This Row],[TenureMonths]]&lt;=12, "0-1 Year", TelecomData[[#This Row],[TenureMonths]]&lt;=36, "1-3 Years", TelecomData[[#This Row],[TenureMonths]]&gt;36, "3+ Years")</f>
        <v>3+ Years</v>
      </c>
      <c r="N930" s="2" t="str">
        <f>IF(TelecomData[[#This Row],[CleanedTotalCharges]]&gt;=2500,"High Spend", "Standard Spend")</f>
        <v>High Spend</v>
      </c>
    </row>
    <row r="931" spans="1:14" x14ac:dyDescent="0.3">
      <c r="A931" s="1" t="s">
        <v>955</v>
      </c>
      <c r="B931" s="2" t="s">
        <v>12</v>
      </c>
      <c r="C931" s="2" t="s">
        <v>20</v>
      </c>
      <c r="D931" s="2">
        <v>30</v>
      </c>
      <c r="E931" s="2" t="s">
        <v>26</v>
      </c>
      <c r="F931" s="2" t="s">
        <v>15</v>
      </c>
      <c r="G931" s="7">
        <v>86.45</v>
      </c>
      <c r="H931" s="7">
        <v>2538.0500000000002</v>
      </c>
      <c r="I931" s="2" t="s">
        <v>15</v>
      </c>
      <c r="J931" s="2" t="s">
        <v>15</v>
      </c>
      <c r="K931" s="2" t="s">
        <v>17</v>
      </c>
      <c r="L931" s="7">
        <v>2538.0500000000002</v>
      </c>
      <c r="M931" s="2" t="str">
        <f>_xlfn.IFS(TelecomData[[#This Row],[TenureMonths]]&lt;=12, "0-1 Year", TelecomData[[#This Row],[TenureMonths]]&lt;=36, "1-3 Years", TelecomData[[#This Row],[TenureMonths]]&gt;36, "3+ Years")</f>
        <v>1-3 Years</v>
      </c>
      <c r="N931" s="2" t="str">
        <f>IF(TelecomData[[#This Row],[CleanedTotalCharges]]&gt;=2500,"High Spend", "Standard Spend")</f>
        <v>High Spend</v>
      </c>
    </row>
    <row r="932" spans="1:14" x14ac:dyDescent="0.3">
      <c r="A932" s="1" t="s">
        <v>956</v>
      </c>
      <c r="B932" s="2" t="s">
        <v>12</v>
      </c>
      <c r="C932" s="2" t="s">
        <v>13</v>
      </c>
      <c r="D932" s="2">
        <v>16</v>
      </c>
      <c r="E932" s="2" t="s">
        <v>26</v>
      </c>
      <c r="F932" s="2" t="s">
        <v>15</v>
      </c>
      <c r="G932" s="7">
        <v>75.099999999999994</v>
      </c>
      <c r="H932" s="7">
        <v>1212.8499999999999</v>
      </c>
      <c r="I932" s="2" t="s">
        <v>15</v>
      </c>
      <c r="J932" s="2" t="s">
        <v>15</v>
      </c>
      <c r="K932" s="2" t="s">
        <v>24</v>
      </c>
      <c r="L932" s="7">
        <v>1212.8499999999999</v>
      </c>
      <c r="M932" s="2" t="str">
        <f>_xlfn.IFS(TelecomData[[#This Row],[TenureMonths]]&lt;=12, "0-1 Year", TelecomData[[#This Row],[TenureMonths]]&lt;=36, "1-3 Years", TelecomData[[#This Row],[TenureMonths]]&gt;36, "3+ Years")</f>
        <v>1-3 Years</v>
      </c>
      <c r="N932" s="2" t="str">
        <f>IF(TelecomData[[#This Row],[CleanedTotalCharges]]&gt;=2500,"High Spend", "Standard Spend")</f>
        <v>Standard Spend</v>
      </c>
    </row>
    <row r="933" spans="1:14" x14ac:dyDescent="0.3">
      <c r="A933" s="1" t="s">
        <v>957</v>
      </c>
      <c r="B933" s="2" t="s">
        <v>19</v>
      </c>
      <c r="C933" s="2" t="s">
        <v>35</v>
      </c>
      <c r="D933" s="2">
        <v>33</v>
      </c>
      <c r="E933" s="2" t="s">
        <v>26</v>
      </c>
      <c r="F933" s="2" t="s">
        <v>16</v>
      </c>
      <c r="G933" s="7">
        <v>80.599999999999994</v>
      </c>
      <c r="H933" s="7">
        <v>2651.1</v>
      </c>
      <c r="I933" s="2" t="s">
        <v>15</v>
      </c>
      <c r="J933" s="2" t="s">
        <v>15</v>
      </c>
      <c r="K933" s="2" t="s">
        <v>24</v>
      </c>
      <c r="L933" s="7">
        <v>2651.1</v>
      </c>
      <c r="M933" s="2" t="str">
        <f>_xlfn.IFS(TelecomData[[#This Row],[TenureMonths]]&lt;=12, "0-1 Year", TelecomData[[#This Row],[TenureMonths]]&lt;=36, "1-3 Years", TelecomData[[#This Row],[TenureMonths]]&gt;36, "3+ Years")</f>
        <v>1-3 Years</v>
      </c>
      <c r="N933" s="2" t="str">
        <f>IF(TelecomData[[#This Row],[CleanedTotalCharges]]&gt;=2500,"High Spend", "Standard Spend")</f>
        <v>High Spend</v>
      </c>
    </row>
    <row r="934" spans="1:14" x14ac:dyDescent="0.3">
      <c r="A934" s="1" t="s">
        <v>958</v>
      </c>
      <c r="B934" s="2" t="s">
        <v>19</v>
      </c>
      <c r="C934" s="2" t="s">
        <v>35</v>
      </c>
      <c r="D934" s="2">
        <v>72</v>
      </c>
      <c r="E934" s="2" t="s">
        <v>15</v>
      </c>
      <c r="F934" s="2" t="s">
        <v>36</v>
      </c>
      <c r="G934" s="7">
        <v>19.3</v>
      </c>
      <c r="H934" s="7">
        <v>1304.8</v>
      </c>
      <c r="I934" s="2" t="s">
        <v>15</v>
      </c>
      <c r="J934" s="2" t="s">
        <v>15</v>
      </c>
      <c r="K934" s="2" t="s">
        <v>29</v>
      </c>
      <c r="L934" s="7">
        <v>1304.8</v>
      </c>
      <c r="M934" s="2" t="str">
        <f>_xlfn.IFS(TelecomData[[#This Row],[TenureMonths]]&lt;=12, "0-1 Year", TelecomData[[#This Row],[TenureMonths]]&lt;=36, "1-3 Years", TelecomData[[#This Row],[TenureMonths]]&gt;36, "3+ Years")</f>
        <v>3+ Years</v>
      </c>
      <c r="N934" s="2" t="str">
        <f>IF(TelecomData[[#This Row],[CleanedTotalCharges]]&gt;=2500,"High Spend", "Standard Spend")</f>
        <v>Standard Spend</v>
      </c>
    </row>
    <row r="935" spans="1:14" x14ac:dyDescent="0.3">
      <c r="A935" s="1" t="s">
        <v>959</v>
      </c>
      <c r="B935" s="2" t="s">
        <v>12</v>
      </c>
      <c r="C935" s="2" t="s">
        <v>13</v>
      </c>
      <c r="D935" s="2">
        <v>4</v>
      </c>
      <c r="E935" s="2" t="s">
        <v>26</v>
      </c>
      <c r="F935" s="2" t="s">
        <v>15</v>
      </c>
      <c r="G935" s="7">
        <v>84.6</v>
      </c>
      <c r="H935" s="7">
        <v>360.1</v>
      </c>
      <c r="I935" s="2" t="s">
        <v>16</v>
      </c>
      <c r="J935" s="2" t="s">
        <v>16</v>
      </c>
      <c r="K935" s="2" t="s">
        <v>17</v>
      </c>
      <c r="L935" s="7">
        <v>360.1</v>
      </c>
      <c r="M935" s="2" t="str">
        <f>_xlfn.IFS(TelecomData[[#This Row],[TenureMonths]]&lt;=12, "0-1 Year", TelecomData[[#This Row],[TenureMonths]]&lt;=36, "1-3 Years", TelecomData[[#This Row],[TenureMonths]]&gt;36, "3+ Years")</f>
        <v>0-1 Year</v>
      </c>
      <c r="N935" s="2" t="str">
        <f>IF(TelecomData[[#This Row],[CleanedTotalCharges]]&gt;=2500,"High Spend", "Standard Spend")</f>
        <v>Standard Spend</v>
      </c>
    </row>
    <row r="936" spans="1:14" x14ac:dyDescent="0.3">
      <c r="A936" s="1" t="s">
        <v>960</v>
      </c>
      <c r="B936" s="2" t="s">
        <v>12</v>
      </c>
      <c r="C936" s="2" t="s">
        <v>20</v>
      </c>
      <c r="D936" s="2">
        <v>12</v>
      </c>
      <c r="E936" s="2" t="s">
        <v>14</v>
      </c>
      <c r="F936" s="2" t="s">
        <v>16</v>
      </c>
      <c r="G936" s="7">
        <v>33.6</v>
      </c>
      <c r="H936" s="7">
        <v>435.45</v>
      </c>
      <c r="I936" s="2" t="s">
        <v>15</v>
      </c>
      <c r="J936" s="2" t="s">
        <v>16</v>
      </c>
      <c r="K936" s="2" t="s">
        <v>21</v>
      </c>
      <c r="L936" s="7">
        <v>435.45</v>
      </c>
      <c r="M936" s="2" t="str">
        <f>_xlfn.IFS(TelecomData[[#This Row],[TenureMonths]]&lt;=12, "0-1 Year", TelecomData[[#This Row],[TenureMonths]]&lt;=36, "1-3 Years", TelecomData[[#This Row],[TenureMonths]]&gt;36, "3+ Years")</f>
        <v>0-1 Year</v>
      </c>
      <c r="N936" s="2" t="str">
        <f>IF(TelecomData[[#This Row],[CleanedTotalCharges]]&gt;=2500,"High Spend", "Standard Spend")</f>
        <v>Standard Spend</v>
      </c>
    </row>
    <row r="937" spans="1:14" x14ac:dyDescent="0.3">
      <c r="A937" s="1" t="s">
        <v>961</v>
      </c>
      <c r="B937" s="2" t="s">
        <v>12</v>
      </c>
      <c r="C937" s="2" t="s">
        <v>13</v>
      </c>
      <c r="D937" s="2">
        <v>4</v>
      </c>
      <c r="E937" s="2" t="s">
        <v>26</v>
      </c>
      <c r="F937" s="2" t="s">
        <v>15</v>
      </c>
      <c r="G937" s="7">
        <v>83.25</v>
      </c>
      <c r="H937" s="7">
        <v>308.05</v>
      </c>
      <c r="I937" s="2" t="s">
        <v>15</v>
      </c>
      <c r="J937" s="2" t="s">
        <v>16</v>
      </c>
      <c r="K937" s="2" t="s">
        <v>17</v>
      </c>
      <c r="L937" s="7">
        <v>308.05</v>
      </c>
      <c r="M937" s="2" t="str">
        <f>_xlfn.IFS(TelecomData[[#This Row],[TenureMonths]]&lt;=12, "0-1 Year", TelecomData[[#This Row],[TenureMonths]]&lt;=36, "1-3 Years", TelecomData[[#This Row],[TenureMonths]]&gt;36, "3+ Years")</f>
        <v>0-1 Year</v>
      </c>
      <c r="N937" s="2" t="str">
        <f>IF(TelecomData[[#This Row],[CleanedTotalCharges]]&gt;=2500,"High Spend", "Standard Spend")</f>
        <v>Standard Spend</v>
      </c>
    </row>
    <row r="938" spans="1:14" x14ac:dyDescent="0.3">
      <c r="A938" s="1" t="s">
        <v>962</v>
      </c>
      <c r="B938" s="2" t="s">
        <v>12</v>
      </c>
      <c r="C938" s="2" t="s">
        <v>35</v>
      </c>
      <c r="D938" s="2">
        <v>0</v>
      </c>
      <c r="E938" s="2" t="s">
        <v>14</v>
      </c>
      <c r="F938" s="2" t="s">
        <v>15</v>
      </c>
      <c r="G938" s="7">
        <v>80.849999999999994</v>
      </c>
      <c r="H938" s="7" t="s">
        <v>514</v>
      </c>
      <c r="I938" s="2" t="s">
        <v>15</v>
      </c>
      <c r="J938" s="2" t="s">
        <v>15</v>
      </c>
      <c r="K938" s="2" t="s">
        <v>21</v>
      </c>
      <c r="L938" s="7">
        <v>0</v>
      </c>
      <c r="M938" s="2" t="str">
        <f>_xlfn.IFS(TelecomData[[#This Row],[TenureMonths]]&lt;=12, "0-1 Year", TelecomData[[#This Row],[TenureMonths]]&lt;=36, "1-3 Years", TelecomData[[#This Row],[TenureMonths]]&gt;36, "3+ Years")</f>
        <v>0-1 Year</v>
      </c>
      <c r="N938" s="2" t="str">
        <f>IF(TelecomData[[#This Row],[CleanedTotalCharges]]&gt;=2500,"High Spend", "Standard Spend")</f>
        <v>Standard Spend</v>
      </c>
    </row>
    <row r="939" spans="1:14" x14ac:dyDescent="0.3">
      <c r="A939" s="1" t="s">
        <v>963</v>
      </c>
      <c r="B939" s="2" t="s">
        <v>12</v>
      </c>
      <c r="C939" s="2" t="s">
        <v>13</v>
      </c>
      <c r="D939" s="2">
        <v>6</v>
      </c>
      <c r="E939" s="2" t="s">
        <v>26</v>
      </c>
      <c r="F939" s="2" t="s">
        <v>15</v>
      </c>
      <c r="G939" s="7">
        <v>79.05</v>
      </c>
      <c r="H939" s="7">
        <v>434.5</v>
      </c>
      <c r="I939" s="2" t="s">
        <v>16</v>
      </c>
      <c r="J939" s="2" t="s">
        <v>16</v>
      </c>
      <c r="K939" s="2" t="s">
        <v>17</v>
      </c>
      <c r="L939" s="7">
        <v>434.5</v>
      </c>
      <c r="M939" s="2" t="str">
        <f>_xlfn.IFS(TelecomData[[#This Row],[TenureMonths]]&lt;=12, "0-1 Year", TelecomData[[#This Row],[TenureMonths]]&lt;=36, "1-3 Years", TelecomData[[#This Row],[TenureMonths]]&gt;36, "3+ Years")</f>
        <v>0-1 Year</v>
      </c>
      <c r="N939" s="2" t="str">
        <f>IF(TelecomData[[#This Row],[CleanedTotalCharges]]&gt;=2500,"High Spend", "Standard Spend")</f>
        <v>Standard Spend</v>
      </c>
    </row>
    <row r="940" spans="1:14" x14ac:dyDescent="0.3">
      <c r="A940" s="1" t="s">
        <v>964</v>
      </c>
      <c r="B940" s="2" t="s">
        <v>12</v>
      </c>
      <c r="C940" s="2" t="s">
        <v>20</v>
      </c>
      <c r="D940" s="2">
        <v>65</v>
      </c>
      <c r="E940" s="2" t="s">
        <v>26</v>
      </c>
      <c r="F940" s="2" t="s">
        <v>16</v>
      </c>
      <c r="G940" s="7">
        <v>108.05</v>
      </c>
      <c r="H940" s="7">
        <v>7118.9</v>
      </c>
      <c r="I940" s="2" t="s">
        <v>15</v>
      </c>
      <c r="J940" s="2" t="s">
        <v>16</v>
      </c>
      <c r="K940" s="2" t="s">
        <v>29</v>
      </c>
      <c r="L940" s="7">
        <v>7118.9</v>
      </c>
      <c r="M940" s="2" t="str">
        <f>_xlfn.IFS(TelecomData[[#This Row],[TenureMonths]]&lt;=12, "0-1 Year", TelecomData[[#This Row],[TenureMonths]]&lt;=36, "1-3 Years", TelecomData[[#This Row],[TenureMonths]]&gt;36, "3+ Years")</f>
        <v>3+ Years</v>
      </c>
      <c r="N940" s="2" t="str">
        <f>IF(TelecomData[[#This Row],[CleanedTotalCharges]]&gt;=2500,"High Spend", "Standard Spend")</f>
        <v>High Spend</v>
      </c>
    </row>
    <row r="941" spans="1:14" x14ac:dyDescent="0.3">
      <c r="A941" s="1" t="s">
        <v>965</v>
      </c>
      <c r="B941" s="2" t="s">
        <v>12</v>
      </c>
      <c r="C941" s="2" t="s">
        <v>13</v>
      </c>
      <c r="D941" s="2">
        <v>15</v>
      </c>
      <c r="E941" s="2" t="s">
        <v>15</v>
      </c>
      <c r="F941" s="2" t="s">
        <v>36</v>
      </c>
      <c r="G941" s="7">
        <v>19.899999999999999</v>
      </c>
      <c r="H941" s="7">
        <v>320.45</v>
      </c>
      <c r="I941" s="2" t="s">
        <v>15</v>
      </c>
      <c r="J941" s="2" t="s">
        <v>15</v>
      </c>
      <c r="K941" s="2" t="s">
        <v>21</v>
      </c>
      <c r="L941" s="7">
        <v>320.45</v>
      </c>
      <c r="M941" s="2" t="str">
        <f>_xlfn.IFS(TelecomData[[#This Row],[TenureMonths]]&lt;=12, "0-1 Year", TelecomData[[#This Row],[TenureMonths]]&lt;=36, "1-3 Years", TelecomData[[#This Row],[TenureMonths]]&gt;36, "3+ Years")</f>
        <v>1-3 Years</v>
      </c>
      <c r="N941" s="2" t="str">
        <f>IF(TelecomData[[#This Row],[CleanedTotalCharges]]&gt;=2500,"High Spend", "Standard Spend")</f>
        <v>Standard Spend</v>
      </c>
    </row>
    <row r="942" spans="1:14" x14ac:dyDescent="0.3">
      <c r="A942" s="1" t="s">
        <v>966</v>
      </c>
      <c r="B942" s="2" t="s">
        <v>12</v>
      </c>
      <c r="C942" s="2" t="s">
        <v>20</v>
      </c>
      <c r="D942" s="2">
        <v>24</v>
      </c>
      <c r="E942" s="2" t="s">
        <v>15</v>
      </c>
      <c r="F942" s="2" t="s">
        <v>36</v>
      </c>
      <c r="G942" s="7">
        <v>21.05</v>
      </c>
      <c r="H942" s="7">
        <v>531.54999999999995</v>
      </c>
      <c r="I942" s="2" t="s">
        <v>15</v>
      </c>
      <c r="J942" s="2" t="s">
        <v>15</v>
      </c>
      <c r="K942" s="2" t="s">
        <v>24</v>
      </c>
      <c r="L942" s="7">
        <v>531.54999999999995</v>
      </c>
      <c r="M942" s="2" t="str">
        <f>_xlfn.IFS(TelecomData[[#This Row],[TenureMonths]]&lt;=12, "0-1 Year", TelecomData[[#This Row],[TenureMonths]]&lt;=36, "1-3 Years", TelecomData[[#This Row],[TenureMonths]]&gt;36, "3+ Years")</f>
        <v>1-3 Years</v>
      </c>
      <c r="N942" s="2" t="str">
        <f>IF(TelecomData[[#This Row],[CleanedTotalCharges]]&gt;=2500,"High Spend", "Standard Spend")</f>
        <v>Standard Spend</v>
      </c>
    </row>
    <row r="943" spans="1:14" x14ac:dyDescent="0.3">
      <c r="A943" s="1" t="s">
        <v>967</v>
      </c>
      <c r="B943" s="2" t="s">
        <v>12</v>
      </c>
      <c r="C943" s="2" t="s">
        <v>13</v>
      </c>
      <c r="D943" s="2">
        <v>13</v>
      </c>
      <c r="E943" s="2" t="s">
        <v>14</v>
      </c>
      <c r="F943" s="2" t="s">
        <v>15</v>
      </c>
      <c r="G943" s="7">
        <v>30.15</v>
      </c>
      <c r="H943" s="7">
        <v>382.2</v>
      </c>
      <c r="I943" s="2" t="s">
        <v>15</v>
      </c>
      <c r="J943" s="2" t="s">
        <v>15</v>
      </c>
      <c r="K943" s="2" t="s">
        <v>17</v>
      </c>
      <c r="L943" s="7">
        <v>382.2</v>
      </c>
      <c r="M943" s="2" t="str">
        <f>_xlfn.IFS(TelecomData[[#This Row],[TenureMonths]]&lt;=12, "0-1 Year", TelecomData[[#This Row],[TenureMonths]]&lt;=36, "1-3 Years", TelecomData[[#This Row],[TenureMonths]]&gt;36, "3+ Years")</f>
        <v>1-3 Years</v>
      </c>
      <c r="N943" s="2" t="str">
        <f>IF(TelecomData[[#This Row],[CleanedTotalCharges]]&gt;=2500,"High Spend", "Standard Spend")</f>
        <v>Standard Spend</v>
      </c>
    </row>
    <row r="944" spans="1:14" x14ac:dyDescent="0.3">
      <c r="A944" s="1" t="s">
        <v>968</v>
      </c>
      <c r="B944" s="2" t="s">
        <v>19</v>
      </c>
      <c r="C944" s="2" t="s">
        <v>13</v>
      </c>
      <c r="D944" s="2">
        <v>24</v>
      </c>
      <c r="E944" s="2" t="s">
        <v>26</v>
      </c>
      <c r="F944" s="2" t="s">
        <v>15</v>
      </c>
      <c r="G944" s="7">
        <v>79.849999999999994</v>
      </c>
      <c r="H944" s="7">
        <v>2001</v>
      </c>
      <c r="I944" s="2" t="s">
        <v>15</v>
      </c>
      <c r="J944" s="2" t="s">
        <v>16</v>
      </c>
      <c r="K944" s="2" t="s">
        <v>29</v>
      </c>
      <c r="L944" s="7">
        <v>2001</v>
      </c>
      <c r="M944" s="2" t="str">
        <f>_xlfn.IFS(TelecomData[[#This Row],[TenureMonths]]&lt;=12, "0-1 Year", TelecomData[[#This Row],[TenureMonths]]&lt;=36, "1-3 Years", TelecomData[[#This Row],[TenureMonths]]&gt;36, "3+ Years")</f>
        <v>1-3 Years</v>
      </c>
      <c r="N944" s="2" t="str">
        <f>IF(TelecomData[[#This Row],[CleanedTotalCharges]]&gt;=2500,"High Spend", "Standard Spend")</f>
        <v>Standard Spend</v>
      </c>
    </row>
    <row r="945" spans="1:14" x14ac:dyDescent="0.3">
      <c r="A945" s="1" t="s">
        <v>969</v>
      </c>
      <c r="B945" s="2" t="s">
        <v>12</v>
      </c>
      <c r="C945" s="2" t="s">
        <v>35</v>
      </c>
      <c r="D945" s="2">
        <v>72</v>
      </c>
      <c r="E945" s="2" t="s">
        <v>14</v>
      </c>
      <c r="F945" s="2" t="s">
        <v>16</v>
      </c>
      <c r="G945" s="7">
        <v>65.5</v>
      </c>
      <c r="H945" s="7">
        <v>4919.7</v>
      </c>
      <c r="I945" s="2" t="s">
        <v>15</v>
      </c>
      <c r="J945" s="2" t="s">
        <v>15</v>
      </c>
      <c r="K945" s="2" t="s">
        <v>24</v>
      </c>
      <c r="L945" s="7">
        <v>4919.7</v>
      </c>
      <c r="M945" s="2" t="str">
        <f>_xlfn.IFS(TelecomData[[#This Row],[TenureMonths]]&lt;=12, "0-1 Year", TelecomData[[#This Row],[TenureMonths]]&lt;=36, "1-3 Years", TelecomData[[#This Row],[TenureMonths]]&gt;36, "3+ Years")</f>
        <v>3+ Years</v>
      </c>
      <c r="N945" s="2" t="str">
        <f>IF(TelecomData[[#This Row],[CleanedTotalCharges]]&gt;=2500,"High Spend", "Standard Spend")</f>
        <v>High Spend</v>
      </c>
    </row>
    <row r="946" spans="1:14" x14ac:dyDescent="0.3">
      <c r="A946" s="1" t="s">
        <v>970</v>
      </c>
      <c r="B946" s="2" t="s">
        <v>12</v>
      </c>
      <c r="C946" s="2" t="s">
        <v>13</v>
      </c>
      <c r="D946" s="2">
        <v>54</v>
      </c>
      <c r="E946" s="2" t="s">
        <v>26</v>
      </c>
      <c r="F946" s="2" t="s">
        <v>15</v>
      </c>
      <c r="G946" s="7">
        <v>104.1</v>
      </c>
      <c r="H946" s="7">
        <v>5645.8</v>
      </c>
      <c r="I946" s="2" t="s">
        <v>15</v>
      </c>
      <c r="J946" s="2" t="s">
        <v>16</v>
      </c>
      <c r="K946" s="2" t="s">
        <v>24</v>
      </c>
      <c r="L946" s="7">
        <v>5645.8</v>
      </c>
      <c r="M946" s="2" t="str">
        <f>_xlfn.IFS(TelecomData[[#This Row],[TenureMonths]]&lt;=12, "0-1 Year", TelecomData[[#This Row],[TenureMonths]]&lt;=36, "1-3 Years", TelecomData[[#This Row],[TenureMonths]]&gt;36, "3+ Years")</f>
        <v>3+ Years</v>
      </c>
      <c r="N946" s="2" t="str">
        <f>IF(TelecomData[[#This Row],[CleanedTotalCharges]]&gt;=2500,"High Spend", "Standard Spend")</f>
        <v>High Spend</v>
      </c>
    </row>
    <row r="947" spans="1:14" x14ac:dyDescent="0.3">
      <c r="A947" s="1" t="s">
        <v>971</v>
      </c>
      <c r="B947" s="2" t="s">
        <v>12</v>
      </c>
      <c r="C947" s="2" t="s">
        <v>13</v>
      </c>
      <c r="D947" s="2">
        <v>3</v>
      </c>
      <c r="E947" s="2" t="s">
        <v>26</v>
      </c>
      <c r="F947" s="2" t="s">
        <v>15</v>
      </c>
      <c r="G947" s="7">
        <v>74.400000000000006</v>
      </c>
      <c r="H947" s="7">
        <v>215.8</v>
      </c>
      <c r="I947" s="2" t="s">
        <v>16</v>
      </c>
      <c r="J947" s="2" t="s">
        <v>15</v>
      </c>
      <c r="K947" s="2" t="s">
        <v>24</v>
      </c>
      <c r="L947" s="7">
        <v>215.8</v>
      </c>
      <c r="M947" s="2" t="str">
        <f>_xlfn.IFS(TelecomData[[#This Row],[TenureMonths]]&lt;=12, "0-1 Year", TelecomData[[#This Row],[TenureMonths]]&lt;=36, "1-3 Years", TelecomData[[#This Row],[TenureMonths]]&gt;36, "3+ Years")</f>
        <v>0-1 Year</v>
      </c>
      <c r="N947" s="2" t="str">
        <f>IF(TelecomData[[#This Row],[CleanedTotalCharges]]&gt;=2500,"High Spend", "Standard Spend")</f>
        <v>Standard Spend</v>
      </c>
    </row>
    <row r="948" spans="1:14" x14ac:dyDescent="0.3">
      <c r="A948" s="1" t="s">
        <v>972</v>
      </c>
      <c r="B948" s="2" t="s">
        <v>19</v>
      </c>
      <c r="C948" s="2" t="s">
        <v>13</v>
      </c>
      <c r="D948" s="2">
        <v>4</v>
      </c>
      <c r="E948" s="2" t="s">
        <v>15</v>
      </c>
      <c r="F948" s="2" t="s">
        <v>36</v>
      </c>
      <c r="G948" s="7">
        <v>20.5</v>
      </c>
      <c r="H948" s="7">
        <v>77.599999999999994</v>
      </c>
      <c r="I948" s="2" t="s">
        <v>15</v>
      </c>
      <c r="J948" s="2" t="s">
        <v>16</v>
      </c>
      <c r="K948" s="2" t="s">
        <v>21</v>
      </c>
      <c r="L948" s="7">
        <v>77.599999999999994</v>
      </c>
      <c r="M948" s="2" t="str">
        <f>_xlfn.IFS(TelecomData[[#This Row],[TenureMonths]]&lt;=12, "0-1 Year", TelecomData[[#This Row],[TenureMonths]]&lt;=36, "1-3 Years", TelecomData[[#This Row],[TenureMonths]]&gt;36, "3+ Years")</f>
        <v>0-1 Year</v>
      </c>
      <c r="N948" s="2" t="str">
        <f>IF(TelecomData[[#This Row],[CleanedTotalCharges]]&gt;=2500,"High Spend", "Standard Spend")</f>
        <v>Standard Spend</v>
      </c>
    </row>
    <row r="949" spans="1:14" x14ac:dyDescent="0.3">
      <c r="A949" s="1" t="s">
        <v>973</v>
      </c>
      <c r="B949" s="2" t="s">
        <v>12</v>
      </c>
      <c r="C949" s="2" t="s">
        <v>13</v>
      </c>
      <c r="D949" s="2">
        <v>32</v>
      </c>
      <c r="E949" s="2" t="s">
        <v>26</v>
      </c>
      <c r="F949" s="2" t="s">
        <v>15</v>
      </c>
      <c r="G949" s="7">
        <v>91.35</v>
      </c>
      <c r="H949" s="7">
        <v>2896.55</v>
      </c>
      <c r="I949" s="2" t="s">
        <v>15</v>
      </c>
      <c r="J949" s="2" t="s">
        <v>16</v>
      </c>
      <c r="K949" s="2" t="s">
        <v>21</v>
      </c>
      <c r="L949" s="7">
        <v>2896.55</v>
      </c>
      <c r="M949" s="2" t="str">
        <f>_xlfn.IFS(TelecomData[[#This Row],[TenureMonths]]&lt;=12, "0-1 Year", TelecomData[[#This Row],[TenureMonths]]&lt;=36, "1-3 Years", TelecomData[[#This Row],[TenureMonths]]&gt;36, "3+ Years")</f>
        <v>1-3 Years</v>
      </c>
      <c r="N949" s="2" t="str">
        <f>IF(TelecomData[[#This Row],[CleanedTotalCharges]]&gt;=2500,"High Spend", "Standard Spend")</f>
        <v>High Spend</v>
      </c>
    </row>
    <row r="950" spans="1:14" x14ac:dyDescent="0.3">
      <c r="A950" s="1" t="s">
        <v>974</v>
      </c>
      <c r="B950" s="2" t="s">
        <v>19</v>
      </c>
      <c r="C950" s="2" t="s">
        <v>13</v>
      </c>
      <c r="D950" s="2">
        <v>35</v>
      </c>
      <c r="E950" s="2" t="s">
        <v>26</v>
      </c>
      <c r="F950" s="2" t="s">
        <v>15</v>
      </c>
      <c r="G950" s="7">
        <v>99.05</v>
      </c>
      <c r="H950" s="7">
        <v>3395.8</v>
      </c>
      <c r="I950" s="2" t="s">
        <v>16</v>
      </c>
      <c r="J950" s="2" t="s">
        <v>16</v>
      </c>
      <c r="K950" s="2" t="s">
        <v>17</v>
      </c>
      <c r="L950" s="7">
        <v>3395.8</v>
      </c>
      <c r="M950" s="2" t="str">
        <f>_xlfn.IFS(TelecomData[[#This Row],[TenureMonths]]&lt;=12, "0-1 Year", TelecomData[[#This Row],[TenureMonths]]&lt;=36, "1-3 Years", TelecomData[[#This Row],[TenureMonths]]&gt;36, "3+ Years")</f>
        <v>1-3 Years</v>
      </c>
      <c r="N950" s="2" t="str">
        <f>IF(TelecomData[[#This Row],[CleanedTotalCharges]]&gt;=2500,"High Spend", "Standard Spend")</f>
        <v>High Spend</v>
      </c>
    </row>
    <row r="951" spans="1:14" x14ac:dyDescent="0.3">
      <c r="A951" s="1" t="s">
        <v>975</v>
      </c>
      <c r="B951" s="2" t="s">
        <v>19</v>
      </c>
      <c r="C951" s="2" t="s">
        <v>35</v>
      </c>
      <c r="D951" s="2">
        <v>35</v>
      </c>
      <c r="E951" s="2" t="s">
        <v>15</v>
      </c>
      <c r="F951" s="2" t="s">
        <v>36</v>
      </c>
      <c r="G951" s="7">
        <v>20.5</v>
      </c>
      <c r="H951" s="7">
        <v>759.35</v>
      </c>
      <c r="I951" s="2" t="s">
        <v>15</v>
      </c>
      <c r="J951" s="2" t="s">
        <v>15</v>
      </c>
      <c r="K951" s="2" t="s">
        <v>24</v>
      </c>
      <c r="L951" s="7">
        <v>759.35</v>
      </c>
      <c r="M951" s="2" t="str">
        <f>_xlfn.IFS(TelecomData[[#This Row],[TenureMonths]]&lt;=12, "0-1 Year", TelecomData[[#This Row],[TenureMonths]]&lt;=36, "1-3 Years", TelecomData[[#This Row],[TenureMonths]]&gt;36, "3+ Years")</f>
        <v>1-3 Years</v>
      </c>
      <c r="N951" s="2" t="str">
        <f>IF(TelecomData[[#This Row],[CleanedTotalCharges]]&gt;=2500,"High Spend", "Standard Spend")</f>
        <v>Standard Spend</v>
      </c>
    </row>
    <row r="952" spans="1:14" x14ac:dyDescent="0.3">
      <c r="A952" s="1" t="s">
        <v>976</v>
      </c>
      <c r="B952" s="2" t="s">
        <v>19</v>
      </c>
      <c r="C952" s="2" t="s">
        <v>13</v>
      </c>
      <c r="D952" s="2">
        <v>2</v>
      </c>
      <c r="E952" s="2" t="s">
        <v>14</v>
      </c>
      <c r="F952" s="2" t="s">
        <v>15</v>
      </c>
      <c r="G952" s="7">
        <v>44.95</v>
      </c>
      <c r="H952" s="7">
        <v>85.15</v>
      </c>
      <c r="I952" s="2" t="s">
        <v>16</v>
      </c>
      <c r="J952" s="2" t="s">
        <v>15</v>
      </c>
      <c r="K952" s="2" t="s">
        <v>21</v>
      </c>
      <c r="L952" s="7">
        <v>85.15</v>
      </c>
      <c r="M952" s="2" t="str">
        <f>_xlfn.IFS(TelecomData[[#This Row],[TenureMonths]]&lt;=12, "0-1 Year", TelecomData[[#This Row],[TenureMonths]]&lt;=36, "1-3 Years", TelecomData[[#This Row],[TenureMonths]]&gt;36, "3+ Years")</f>
        <v>0-1 Year</v>
      </c>
      <c r="N952" s="2" t="str">
        <f>IF(TelecomData[[#This Row],[CleanedTotalCharges]]&gt;=2500,"High Spend", "Standard Spend")</f>
        <v>Standard Spend</v>
      </c>
    </row>
    <row r="953" spans="1:14" x14ac:dyDescent="0.3">
      <c r="A953" s="1" t="s">
        <v>977</v>
      </c>
      <c r="B953" s="2" t="s">
        <v>12</v>
      </c>
      <c r="C953" s="2" t="s">
        <v>13</v>
      </c>
      <c r="D953" s="2">
        <v>8</v>
      </c>
      <c r="E953" s="2" t="s">
        <v>26</v>
      </c>
      <c r="F953" s="2" t="s">
        <v>15</v>
      </c>
      <c r="G953" s="7">
        <v>75.599999999999994</v>
      </c>
      <c r="H953" s="7">
        <v>535.54999999999995</v>
      </c>
      <c r="I953" s="2" t="s">
        <v>15</v>
      </c>
      <c r="J953" s="2" t="s">
        <v>15</v>
      </c>
      <c r="K953" s="2" t="s">
        <v>17</v>
      </c>
      <c r="L953" s="7">
        <v>535.54999999999995</v>
      </c>
      <c r="M953" s="2" t="str">
        <f>_xlfn.IFS(TelecomData[[#This Row],[TenureMonths]]&lt;=12, "0-1 Year", TelecomData[[#This Row],[TenureMonths]]&lt;=36, "1-3 Years", TelecomData[[#This Row],[TenureMonths]]&gt;36, "3+ Years")</f>
        <v>0-1 Year</v>
      </c>
      <c r="N953" s="2" t="str">
        <f>IF(TelecomData[[#This Row],[CleanedTotalCharges]]&gt;=2500,"High Spend", "Standard Spend")</f>
        <v>Standard Spend</v>
      </c>
    </row>
    <row r="954" spans="1:14" x14ac:dyDescent="0.3">
      <c r="A954" s="1" t="s">
        <v>978</v>
      </c>
      <c r="B954" s="2" t="s">
        <v>19</v>
      </c>
      <c r="C954" s="2" t="s">
        <v>13</v>
      </c>
      <c r="D954" s="2">
        <v>22</v>
      </c>
      <c r="E954" s="2" t="s">
        <v>14</v>
      </c>
      <c r="F954" s="2" t="s">
        <v>16</v>
      </c>
      <c r="G954" s="7">
        <v>55.1</v>
      </c>
      <c r="H954" s="7">
        <v>1253.1500000000001</v>
      </c>
      <c r="I954" s="2" t="s">
        <v>15</v>
      </c>
      <c r="J954" s="2" t="s">
        <v>15</v>
      </c>
      <c r="K954" s="2" t="s">
        <v>21</v>
      </c>
      <c r="L954" s="7">
        <v>1253.1500000000001</v>
      </c>
      <c r="M954" s="2" t="str">
        <f>_xlfn.IFS(TelecomData[[#This Row],[TenureMonths]]&lt;=12, "0-1 Year", TelecomData[[#This Row],[TenureMonths]]&lt;=36, "1-3 Years", TelecomData[[#This Row],[TenureMonths]]&gt;36, "3+ Years")</f>
        <v>1-3 Years</v>
      </c>
      <c r="N954" s="2" t="str">
        <f>IF(TelecomData[[#This Row],[CleanedTotalCharges]]&gt;=2500,"High Spend", "Standard Spend")</f>
        <v>Standard Spend</v>
      </c>
    </row>
    <row r="955" spans="1:14" x14ac:dyDescent="0.3">
      <c r="A955" s="1" t="s">
        <v>979</v>
      </c>
      <c r="B955" s="2" t="s">
        <v>12</v>
      </c>
      <c r="C955" s="2" t="s">
        <v>13</v>
      </c>
      <c r="D955" s="2">
        <v>15</v>
      </c>
      <c r="E955" s="2" t="s">
        <v>14</v>
      </c>
      <c r="F955" s="2" t="s">
        <v>16</v>
      </c>
      <c r="G955" s="7">
        <v>58.95</v>
      </c>
      <c r="H955" s="7">
        <v>955.15</v>
      </c>
      <c r="I955" s="2" t="s">
        <v>15</v>
      </c>
      <c r="J955" s="2" t="s">
        <v>15</v>
      </c>
      <c r="K955" s="2" t="s">
        <v>17</v>
      </c>
      <c r="L955" s="7">
        <v>955.15</v>
      </c>
      <c r="M955" s="2" t="str">
        <f>_xlfn.IFS(TelecomData[[#This Row],[TenureMonths]]&lt;=12, "0-1 Year", TelecomData[[#This Row],[TenureMonths]]&lt;=36, "1-3 Years", TelecomData[[#This Row],[TenureMonths]]&gt;36, "3+ Years")</f>
        <v>1-3 Years</v>
      </c>
      <c r="N955" s="2" t="str">
        <f>IF(TelecomData[[#This Row],[CleanedTotalCharges]]&gt;=2500,"High Spend", "Standard Spend")</f>
        <v>Standard Spend</v>
      </c>
    </row>
    <row r="956" spans="1:14" x14ac:dyDescent="0.3">
      <c r="A956" s="1" t="s">
        <v>980</v>
      </c>
      <c r="B956" s="2" t="s">
        <v>19</v>
      </c>
      <c r="C956" s="2" t="s">
        <v>13</v>
      </c>
      <c r="D956" s="2">
        <v>22</v>
      </c>
      <c r="E956" s="2" t="s">
        <v>26</v>
      </c>
      <c r="F956" s="2" t="s">
        <v>15</v>
      </c>
      <c r="G956" s="7">
        <v>95.1</v>
      </c>
      <c r="H956" s="7">
        <v>2162.6</v>
      </c>
      <c r="I956" s="2" t="s">
        <v>15</v>
      </c>
      <c r="J956" s="2" t="s">
        <v>16</v>
      </c>
      <c r="K956" s="2" t="s">
        <v>17</v>
      </c>
      <c r="L956" s="7">
        <v>2162.6</v>
      </c>
      <c r="M956" s="2" t="str">
        <f>_xlfn.IFS(TelecomData[[#This Row],[TenureMonths]]&lt;=12, "0-1 Year", TelecomData[[#This Row],[TenureMonths]]&lt;=36, "1-3 Years", TelecomData[[#This Row],[TenureMonths]]&gt;36, "3+ Years")</f>
        <v>1-3 Years</v>
      </c>
      <c r="N956" s="2" t="str">
        <f>IF(TelecomData[[#This Row],[CleanedTotalCharges]]&gt;=2500,"High Spend", "Standard Spend")</f>
        <v>Standard Spend</v>
      </c>
    </row>
    <row r="957" spans="1:14" x14ac:dyDescent="0.3">
      <c r="A957" s="1" t="s">
        <v>981</v>
      </c>
      <c r="B957" s="2" t="s">
        <v>19</v>
      </c>
      <c r="C957" s="2" t="s">
        <v>13</v>
      </c>
      <c r="D957" s="2">
        <v>1</v>
      </c>
      <c r="E957" s="2" t="s">
        <v>14</v>
      </c>
      <c r="F957" s="2" t="s">
        <v>15</v>
      </c>
      <c r="G957" s="7">
        <v>44.7</v>
      </c>
      <c r="H957" s="7">
        <v>44.7</v>
      </c>
      <c r="I957" s="2" t="s">
        <v>16</v>
      </c>
      <c r="J957" s="2" t="s">
        <v>15</v>
      </c>
      <c r="K957" s="2" t="s">
        <v>29</v>
      </c>
      <c r="L957" s="7">
        <v>44.7</v>
      </c>
      <c r="M957" s="2" t="str">
        <f>_xlfn.IFS(TelecomData[[#This Row],[TenureMonths]]&lt;=12, "0-1 Year", TelecomData[[#This Row],[TenureMonths]]&lt;=36, "1-3 Years", TelecomData[[#This Row],[TenureMonths]]&gt;36, "3+ Years")</f>
        <v>0-1 Year</v>
      </c>
      <c r="N957" s="2" t="str">
        <f>IF(TelecomData[[#This Row],[CleanedTotalCharges]]&gt;=2500,"High Spend", "Standard Spend")</f>
        <v>Standard Spend</v>
      </c>
    </row>
    <row r="958" spans="1:14" x14ac:dyDescent="0.3">
      <c r="A958" s="1" t="s">
        <v>982</v>
      </c>
      <c r="B958" s="2" t="s">
        <v>12</v>
      </c>
      <c r="C958" s="2" t="s">
        <v>35</v>
      </c>
      <c r="D958" s="2">
        <v>71</v>
      </c>
      <c r="E958" s="2" t="s">
        <v>15</v>
      </c>
      <c r="F958" s="2" t="s">
        <v>36</v>
      </c>
      <c r="G958" s="7">
        <v>25.45</v>
      </c>
      <c r="H958" s="7">
        <v>1813.35</v>
      </c>
      <c r="I958" s="2" t="s">
        <v>15</v>
      </c>
      <c r="J958" s="2" t="s">
        <v>15</v>
      </c>
      <c r="K958" s="2" t="s">
        <v>24</v>
      </c>
      <c r="L958" s="7">
        <v>1813.35</v>
      </c>
      <c r="M958" s="2" t="str">
        <f>_xlfn.IFS(TelecomData[[#This Row],[TenureMonths]]&lt;=12, "0-1 Year", TelecomData[[#This Row],[TenureMonths]]&lt;=36, "1-3 Years", TelecomData[[#This Row],[TenureMonths]]&gt;36, "3+ Years")</f>
        <v>3+ Years</v>
      </c>
      <c r="N958" s="2" t="str">
        <f>IF(TelecomData[[#This Row],[CleanedTotalCharges]]&gt;=2500,"High Spend", "Standard Spend")</f>
        <v>Standard Spend</v>
      </c>
    </row>
    <row r="959" spans="1:14" x14ac:dyDescent="0.3">
      <c r="A959" s="1" t="s">
        <v>983</v>
      </c>
      <c r="B959" s="2" t="s">
        <v>19</v>
      </c>
      <c r="C959" s="2" t="s">
        <v>13</v>
      </c>
      <c r="D959" s="2">
        <v>4</v>
      </c>
      <c r="E959" s="2" t="s">
        <v>14</v>
      </c>
      <c r="F959" s="2" t="s">
        <v>15</v>
      </c>
      <c r="G959" s="7">
        <v>56.75</v>
      </c>
      <c r="H959" s="7">
        <v>245.15</v>
      </c>
      <c r="I959" s="2" t="s">
        <v>15</v>
      </c>
      <c r="J959" s="2" t="s">
        <v>15</v>
      </c>
      <c r="K959" s="2" t="s">
        <v>17</v>
      </c>
      <c r="L959" s="7">
        <v>245.15</v>
      </c>
      <c r="M959" s="2" t="str">
        <f>_xlfn.IFS(TelecomData[[#This Row],[TenureMonths]]&lt;=12, "0-1 Year", TelecomData[[#This Row],[TenureMonths]]&lt;=36, "1-3 Years", TelecomData[[#This Row],[TenureMonths]]&gt;36, "3+ Years")</f>
        <v>0-1 Year</v>
      </c>
      <c r="N959" s="2" t="str">
        <f>IF(TelecomData[[#This Row],[CleanedTotalCharges]]&gt;=2500,"High Spend", "Standard Spend")</f>
        <v>Standard Spend</v>
      </c>
    </row>
    <row r="960" spans="1:14" x14ac:dyDescent="0.3">
      <c r="A960" s="1" t="s">
        <v>984</v>
      </c>
      <c r="B960" s="2" t="s">
        <v>19</v>
      </c>
      <c r="C960" s="2" t="s">
        <v>13</v>
      </c>
      <c r="D960" s="2">
        <v>25</v>
      </c>
      <c r="E960" s="2" t="s">
        <v>14</v>
      </c>
      <c r="F960" s="2" t="s">
        <v>16</v>
      </c>
      <c r="G960" s="7">
        <v>81.75</v>
      </c>
      <c r="H960" s="7">
        <v>2028.8</v>
      </c>
      <c r="I960" s="2" t="s">
        <v>15</v>
      </c>
      <c r="J960" s="2" t="s">
        <v>15</v>
      </c>
      <c r="K960" s="2" t="s">
        <v>24</v>
      </c>
      <c r="L960" s="7">
        <v>2028.8</v>
      </c>
      <c r="M960" s="2" t="str">
        <f>_xlfn.IFS(TelecomData[[#This Row],[TenureMonths]]&lt;=12, "0-1 Year", TelecomData[[#This Row],[TenureMonths]]&lt;=36, "1-3 Years", TelecomData[[#This Row],[TenureMonths]]&gt;36, "3+ Years")</f>
        <v>1-3 Years</v>
      </c>
      <c r="N960" s="2" t="str">
        <f>IF(TelecomData[[#This Row],[CleanedTotalCharges]]&gt;=2500,"High Spend", "Standard Spend")</f>
        <v>Standard Spend</v>
      </c>
    </row>
    <row r="961" spans="1:14" x14ac:dyDescent="0.3">
      <c r="A961" s="1" t="s">
        <v>985</v>
      </c>
      <c r="B961" s="2" t="s">
        <v>12</v>
      </c>
      <c r="C961" s="2" t="s">
        <v>13</v>
      </c>
      <c r="D961" s="2">
        <v>32</v>
      </c>
      <c r="E961" s="2" t="s">
        <v>26</v>
      </c>
      <c r="F961" s="2" t="s">
        <v>15</v>
      </c>
      <c r="G961" s="7">
        <v>86.1</v>
      </c>
      <c r="H961" s="7">
        <v>2723.75</v>
      </c>
      <c r="I961" s="2" t="s">
        <v>15</v>
      </c>
      <c r="J961" s="2" t="s">
        <v>16</v>
      </c>
      <c r="K961" s="2" t="s">
        <v>17</v>
      </c>
      <c r="L961" s="7">
        <v>2723.75</v>
      </c>
      <c r="M961" s="2" t="str">
        <f>_xlfn.IFS(TelecomData[[#This Row],[TenureMonths]]&lt;=12, "0-1 Year", TelecomData[[#This Row],[TenureMonths]]&lt;=36, "1-3 Years", TelecomData[[#This Row],[TenureMonths]]&gt;36, "3+ Years")</f>
        <v>1-3 Years</v>
      </c>
      <c r="N961" s="2" t="str">
        <f>IF(TelecomData[[#This Row],[CleanedTotalCharges]]&gt;=2500,"High Spend", "Standard Spend")</f>
        <v>High Spend</v>
      </c>
    </row>
    <row r="962" spans="1:14" x14ac:dyDescent="0.3">
      <c r="A962" s="1" t="s">
        <v>986</v>
      </c>
      <c r="B962" s="2" t="s">
        <v>19</v>
      </c>
      <c r="C962" s="2" t="s">
        <v>13</v>
      </c>
      <c r="D962" s="2">
        <v>7</v>
      </c>
      <c r="E962" s="2" t="s">
        <v>14</v>
      </c>
      <c r="F962" s="2" t="s">
        <v>15</v>
      </c>
      <c r="G962" s="7">
        <v>29.8</v>
      </c>
      <c r="H962" s="7">
        <v>220.45</v>
      </c>
      <c r="I962" s="2" t="s">
        <v>15</v>
      </c>
      <c r="J962" s="2" t="s">
        <v>15</v>
      </c>
      <c r="K962" s="2" t="s">
        <v>24</v>
      </c>
      <c r="L962" s="7">
        <v>220.45</v>
      </c>
      <c r="M962" s="2" t="str">
        <f>_xlfn.IFS(TelecomData[[#This Row],[TenureMonths]]&lt;=12, "0-1 Year", TelecomData[[#This Row],[TenureMonths]]&lt;=36, "1-3 Years", TelecomData[[#This Row],[TenureMonths]]&gt;36, "3+ Years")</f>
        <v>0-1 Year</v>
      </c>
      <c r="N962" s="2" t="str">
        <f>IF(TelecomData[[#This Row],[CleanedTotalCharges]]&gt;=2500,"High Spend", "Standard Spend")</f>
        <v>Standard Spend</v>
      </c>
    </row>
    <row r="963" spans="1:14" x14ac:dyDescent="0.3">
      <c r="A963" s="1" t="s">
        <v>987</v>
      </c>
      <c r="B963" s="2" t="s">
        <v>19</v>
      </c>
      <c r="C963" s="2" t="s">
        <v>20</v>
      </c>
      <c r="D963" s="2">
        <v>17</v>
      </c>
      <c r="E963" s="2" t="s">
        <v>15</v>
      </c>
      <c r="F963" s="2" t="s">
        <v>36</v>
      </c>
      <c r="G963" s="7">
        <v>20.5</v>
      </c>
      <c r="H963" s="7">
        <v>365.8</v>
      </c>
      <c r="I963" s="2" t="s">
        <v>15</v>
      </c>
      <c r="J963" s="2" t="s">
        <v>16</v>
      </c>
      <c r="K963" s="2" t="s">
        <v>21</v>
      </c>
      <c r="L963" s="7">
        <v>365.8</v>
      </c>
      <c r="M963" s="2" t="str">
        <f>_xlfn.IFS(TelecomData[[#This Row],[TenureMonths]]&lt;=12, "0-1 Year", TelecomData[[#This Row],[TenureMonths]]&lt;=36, "1-3 Years", TelecomData[[#This Row],[TenureMonths]]&gt;36, "3+ Years")</f>
        <v>1-3 Years</v>
      </c>
      <c r="N963" s="2" t="str">
        <f>IF(TelecomData[[#This Row],[CleanedTotalCharges]]&gt;=2500,"High Spend", "Standard Spend")</f>
        <v>Standard Spend</v>
      </c>
    </row>
    <row r="964" spans="1:14" x14ac:dyDescent="0.3">
      <c r="A964" s="1" t="s">
        <v>988</v>
      </c>
      <c r="B964" s="2" t="s">
        <v>19</v>
      </c>
      <c r="C964" s="2" t="s">
        <v>13</v>
      </c>
      <c r="D964" s="2">
        <v>8</v>
      </c>
      <c r="E964" s="2" t="s">
        <v>14</v>
      </c>
      <c r="F964" s="2" t="s">
        <v>15</v>
      </c>
      <c r="G964" s="7">
        <v>60.9</v>
      </c>
      <c r="H964" s="7">
        <v>551.95000000000005</v>
      </c>
      <c r="I964" s="2" t="s">
        <v>15</v>
      </c>
      <c r="J964" s="2" t="s">
        <v>15</v>
      </c>
      <c r="K964" s="2" t="s">
        <v>24</v>
      </c>
      <c r="L964" s="7">
        <v>551.95000000000005</v>
      </c>
      <c r="M964" s="2" t="str">
        <f>_xlfn.IFS(TelecomData[[#This Row],[TenureMonths]]&lt;=12, "0-1 Year", TelecomData[[#This Row],[TenureMonths]]&lt;=36, "1-3 Years", TelecomData[[#This Row],[TenureMonths]]&gt;36, "3+ Years")</f>
        <v>0-1 Year</v>
      </c>
      <c r="N964" s="2" t="str">
        <f>IF(TelecomData[[#This Row],[CleanedTotalCharges]]&gt;=2500,"High Spend", "Standard Spend")</f>
        <v>Standard Spend</v>
      </c>
    </row>
    <row r="965" spans="1:14" x14ac:dyDescent="0.3">
      <c r="A965" s="1" t="s">
        <v>989</v>
      </c>
      <c r="B965" s="2" t="s">
        <v>12</v>
      </c>
      <c r="C965" s="2" t="s">
        <v>35</v>
      </c>
      <c r="D965" s="2">
        <v>56</v>
      </c>
      <c r="E965" s="2" t="s">
        <v>14</v>
      </c>
      <c r="F965" s="2" t="s">
        <v>16</v>
      </c>
      <c r="G965" s="7">
        <v>73.25</v>
      </c>
      <c r="H965" s="7">
        <v>4054.2</v>
      </c>
      <c r="I965" s="2" t="s">
        <v>15</v>
      </c>
      <c r="J965" s="2" t="s">
        <v>15</v>
      </c>
      <c r="K965" s="2" t="s">
        <v>24</v>
      </c>
      <c r="L965" s="7">
        <v>4054.2</v>
      </c>
      <c r="M965" s="2" t="str">
        <f>_xlfn.IFS(TelecomData[[#This Row],[TenureMonths]]&lt;=12, "0-1 Year", TelecomData[[#This Row],[TenureMonths]]&lt;=36, "1-3 Years", TelecomData[[#This Row],[TenureMonths]]&gt;36, "3+ Years")</f>
        <v>3+ Years</v>
      </c>
      <c r="N965" s="2" t="str">
        <f>IF(TelecomData[[#This Row],[CleanedTotalCharges]]&gt;=2500,"High Spend", "Standard Spend")</f>
        <v>High Spend</v>
      </c>
    </row>
    <row r="966" spans="1:14" x14ac:dyDescent="0.3">
      <c r="A966" s="1" t="s">
        <v>990</v>
      </c>
      <c r="B966" s="2" t="s">
        <v>19</v>
      </c>
      <c r="C966" s="2" t="s">
        <v>13</v>
      </c>
      <c r="D966" s="2">
        <v>1</v>
      </c>
      <c r="E966" s="2" t="s">
        <v>14</v>
      </c>
      <c r="F966" s="2" t="s">
        <v>15</v>
      </c>
      <c r="G966" s="7">
        <v>45.7</v>
      </c>
      <c r="H966" s="7">
        <v>45.7</v>
      </c>
      <c r="I966" s="2" t="s">
        <v>16</v>
      </c>
      <c r="J966" s="2" t="s">
        <v>16</v>
      </c>
      <c r="K966" s="2" t="s">
        <v>21</v>
      </c>
      <c r="L966" s="7">
        <v>45.7</v>
      </c>
      <c r="M966" s="2" t="str">
        <f>_xlfn.IFS(TelecomData[[#This Row],[TenureMonths]]&lt;=12, "0-1 Year", TelecomData[[#This Row],[TenureMonths]]&lt;=36, "1-3 Years", TelecomData[[#This Row],[TenureMonths]]&gt;36, "3+ Years")</f>
        <v>0-1 Year</v>
      </c>
      <c r="N966" s="2" t="str">
        <f>IF(TelecomData[[#This Row],[CleanedTotalCharges]]&gt;=2500,"High Spend", "Standard Spend")</f>
        <v>Standard Spend</v>
      </c>
    </row>
    <row r="967" spans="1:14" x14ac:dyDescent="0.3">
      <c r="A967" s="1" t="s">
        <v>991</v>
      </c>
      <c r="B967" s="2" t="s">
        <v>19</v>
      </c>
      <c r="C967" s="2" t="s">
        <v>13</v>
      </c>
      <c r="D967" s="2">
        <v>8</v>
      </c>
      <c r="E967" s="2" t="s">
        <v>26</v>
      </c>
      <c r="F967" s="2" t="s">
        <v>16</v>
      </c>
      <c r="G967" s="7">
        <v>100.3</v>
      </c>
      <c r="H967" s="7">
        <v>832.35</v>
      </c>
      <c r="I967" s="2" t="s">
        <v>16</v>
      </c>
      <c r="J967" s="2" t="s">
        <v>15</v>
      </c>
      <c r="K967" s="2" t="s">
        <v>29</v>
      </c>
      <c r="L967" s="7">
        <v>832.35</v>
      </c>
      <c r="M967" s="2" t="str">
        <f>_xlfn.IFS(TelecomData[[#This Row],[TenureMonths]]&lt;=12, "0-1 Year", TelecomData[[#This Row],[TenureMonths]]&lt;=36, "1-3 Years", TelecomData[[#This Row],[TenureMonths]]&gt;36, "3+ Years")</f>
        <v>0-1 Year</v>
      </c>
      <c r="N967" s="2" t="str">
        <f>IF(TelecomData[[#This Row],[CleanedTotalCharges]]&gt;=2500,"High Spend", "Standard Spend")</f>
        <v>Standard Spend</v>
      </c>
    </row>
    <row r="968" spans="1:14" x14ac:dyDescent="0.3">
      <c r="A968" s="1" t="s">
        <v>992</v>
      </c>
      <c r="B968" s="2" t="s">
        <v>19</v>
      </c>
      <c r="C968" s="2" t="s">
        <v>13</v>
      </c>
      <c r="D968" s="2">
        <v>7</v>
      </c>
      <c r="E968" s="2" t="s">
        <v>15</v>
      </c>
      <c r="F968" s="2" t="s">
        <v>36</v>
      </c>
      <c r="G968" s="7">
        <v>19.25</v>
      </c>
      <c r="H968" s="7">
        <v>112.3</v>
      </c>
      <c r="I968" s="2" t="s">
        <v>16</v>
      </c>
      <c r="J968" s="2" t="s">
        <v>15</v>
      </c>
      <c r="K968" s="2" t="s">
        <v>17</v>
      </c>
      <c r="L968" s="7">
        <v>112.3</v>
      </c>
      <c r="M968" s="2" t="str">
        <f>_xlfn.IFS(TelecomData[[#This Row],[TenureMonths]]&lt;=12, "0-1 Year", TelecomData[[#This Row],[TenureMonths]]&lt;=36, "1-3 Years", TelecomData[[#This Row],[TenureMonths]]&gt;36, "3+ Years")</f>
        <v>0-1 Year</v>
      </c>
      <c r="N968" s="2" t="str">
        <f>IF(TelecomData[[#This Row],[CleanedTotalCharges]]&gt;=2500,"High Spend", "Standard Spend")</f>
        <v>Standard Spend</v>
      </c>
    </row>
    <row r="969" spans="1:14" x14ac:dyDescent="0.3">
      <c r="A969" s="1" t="s">
        <v>993</v>
      </c>
      <c r="B969" s="2" t="s">
        <v>19</v>
      </c>
      <c r="C969" s="2" t="s">
        <v>13</v>
      </c>
      <c r="D969" s="2">
        <v>3</v>
      </c>
      <c r="E969" s="2" t="s">
        <v>15</v>
      </c>
      <c r="F969" s="2" t="s">
        <v>36</v>
      </c>
      <c r="G969" s="7">
        <v>20.85</v>
      </c>
      <c r="H969" s="7">
        <v>60.65</v>
      </c>
      <c r="I969" s="2" t="s">
        <v>15</v>
      </c>
      <c r="J969" s="2" t="s">
        <v>15</v>
      </c>
      <c r="K969" s="2" t="s">
        <v>21</v>
      </c>
      <c r="L969" s="7">
        <v>60.65</v>
      </c>
      <c r="M969" s="2" t="str">
        <f>_xlfn.IFS(TelecomData[[#This Row],[TenureMonths]]&lt;=12, "0-1 Year", TelecomData[[#This Row],[TenureMonths]]&lt;=36, "1-3 Years", TelecomData[[#This Row],[TenureMonths]]&gt;36, "3+ Years")</f>
        <v>0-1 Year</v>
      </c>
      <c r="N969" s="2" t="str">
        <f>IF(TelecomData[[#This Row],[CleanedTotalCharges]]&gt;=2500,"High Spend", "Standard Spend")</f>
        <v>Standard Spend</v>
      </c>
    </row>
    <row r="970" spans="1:14" x14ac:dyDescent="0.3">
      <c r="A970" s="1" t="s">
        <v>994</v>
      </c>
      <c r="B970" s="2" t="s">
        <v>12</v>
      </c>
      <c r="C970" s="2" t="s">
        <v>35</v>
      </c>
      <c r="D970" s="2">
        <v>71</v>
      </c>
      <c r="E970" s="2" t="s">
        <v>14</v>
      </c>
      <c r="F970" s="2" t="s">
        <v>16</v>
      </c>
      <c r="G970" s="7">
        <v>77.349999999999994</v>
      </c>
      <c r="H970" s="7">
        <v>5550.1</v>
      </c>
      <c r="I970" s="2" t="s">
        <v>15</v>
      </c>
      <c r="J970" s="2" t="s">
        <v>15</v>
      </c>
      <c r="K970" s="2" t="s">
        <v>29</v>
      </c>
      <c r="L970" s="7">
        <v>5550.1</v>
      </c>
      <c r="M970" s="2" t="str">
        <f>_xlfn.IFS(TelecomData[[#This Row],[TenureMonths]]&lt;=12, "0-1 Year", TelecomData[[#This Row],[TenureMonths]]&lt;=36, "1-3 Years", TelecomData[[#This Row],[TenureMonths]]&gt;36, "3+ Years")</f>
        <v>3+ Years</v>
      </c>
      <c r="N970" s="2" t="str">
        <f>IF(TelecomData[[#This Row],[CleanedTotalCharges]]&gt;=2500,"High Spend", "Standard Spend")</f>
        <v>High Spend</v>
      </c>
    </row>
    <row r="971" spans="1:14" x14ac:dyDescent="0.3">
      <c r="A971" s="1" t="s">
        <v>995</v>
      </c>
      <c r="B971" s="2" t="s">
        <v>12</v>
      </c>
      <c r="C971" s="2" t="s">
        <v>13</v>
      </c>
      <c r="D971" s="2">
        <v>2</v>
      </c>
      <c r="E971" s="2" t="s">
        <v>26</v>
      </c>
      <c r="F971" s="2" t="s">
        <v>15</v>
      </c>
      <c r="G971" s="7">
        <v>96</v>
      </c>
      <c r="H971" s="7">
        <v>174.8</v>
      </c>
      <c r="I971" s="2" t="s">
        <v>16</v>
      </c>
      <c r="J971" s="2" t="s">
        <v>16</v>
      </c>
      <c r="K971" s="2" t="s">
        <v>17</v>
      </c>
      <c r="L971" s="7">
        <v>174.8</v>
      </c>
      <c r="M971" s="2" t="str">
        <f>_xlfn.IFS(TelecomData[[#This Row],[TenureMonths]]&lt;=12, "0-1 Year", TelecomData[[#This Row],[TenureMonths]]&lt;=36, "1-3 Years", TelecomData[[#This Row],[TenureMonths]]&gt;36, "3+ Years")</f>
        <v>0-1 Year</v>
      </c>
      <c r="N971" s="2" t="str">
        <f>IF(TelecomData[[#This Row],[CleanedTotalCharges]]&gt;=2500,"High Spend", "Standard Spend")</f>
        <v>Standard Spend</v>
      </c>
    </row>
    <row r="972" spans="1:14" x14ac:dyDescent="0.3">
      <c r="A972" s="1" t="s">
        <v>996</v>
      </c>
      <c r="B972" s="2" t="s">
        <v>12</v>
      </c>
      <c r="C972" s="2" t="s">
        <v>13</v>
      </c>
      <c r="D972" s="2">
        <v>1</v>
      </c>
      <c r="E972" s="2" t="s">
        <v>26</v>
      </c>
      <c r="F972" s="2" t="s">
        <v>15</v>
      </c>
      <c r="G972" s="7">
        <v>90.55</v>
      </c>
      <c r="H972" s="7">
        <v>90.55</v>
      </c>
      <c r="I972" s="2" t="s">
        <v>16</v>
      </c>
      <c r="J972" s="2" t="s">
        <v>15</v>
      </c>
      <c r="K972" s="2" t="s">
        <v>17</v>
      </c>
      <c r="L972" s="7">
        <v>90.55</v>
      </c>
      <c r="M972" s="2" t="str">
        <f>_xlfn.IFS(TelecomData[[#This Row],[TenureMonths]]&lt;=12, "0-1 Year", TelecomData[[#This Row],[TenureMonths]]&lt;=36, "1-3 Years", TelecomData[[#This Row],[TenureMonths]]&gt;36, "3+ Years")</f>
        <v>0-1 Year</v>
      </c>
      <c r="N972" s="2" t="str">
        <f>IF(TelecomData[[#This Row],[CleanedTotalCharges]]&gt;=2500,"High Spend", "Standard Spend")</f>
        <v>Standard Spend</v>
      </c>
    </row>
    <row r="973" spans="1:14" x14ac:dyDescent="0.3">
      <c r="A973" s="1" t="s">
        <v>997</v>
      </c>
      <c r="B973" s="2" t="s">
        <v>19</v>
      </c>
      <c r="C973" s="2" t="s">
        <v>13</v>
      </c>
      <c r="D973" s="2">
        <v>49</v>
      </c>
      <c r="E973" s="2" t="s">
        <v>26</v>
      </c>
      <c r="F973" s="2" t="s">
        <v>15</v>
      </c>
      <c r="G973" s="7">
        <v>93.85</v>
      </c>
      <c r="H973" s="7">
        <v>4733.1000000000004</v>
      </c>
      <c r="I973" s="2" t="s">
        <v>15</v>
      </c>
      <c r="J973" s="2" t="s">
        <v>16</v>
      </c>
      <c r="K973" s="2" t="s">
        <v>24</v>
      </c>
      <c r="L973" s="7">
        <v>4733.1000000000004</v>
      </c>
      <c r="M973" s="2" t="str">
        <f>_xlfn.IFS(TelecomData[[#This Row],[TenureMonths]]&lt;=12, "0-1 Year", TelecomData[[#This Row],[TenureMonths]]&lt;=36, "1-3 Years", TelecomData[[#This Row],[TenureMonths]]&gt;36, "3+ Years")</f>
        <v>3+ Years</v>
      </c>
      <c r="N973" s="2" t="str">
        <f>IF(TelecomData[[#This Row],[CleanedTotalCharges]]&gt;=2500,"High Spend", "Standard Spend")</f>
        <v>High Spend</v>
      </c>
    </row>
    <row r="974" spans="1:14" x14ac:dyDescent="0.3">
      <c r="A974" s="1" t="s">
        <v>998</v>
      </c>
      <c r="B974" s="2" t="s">
        <v>19</v>
      </c>
      <c r="C974" s="2" t="s">
        <v>35</v>
      </c>
      <c r="D974" s="2">
        <v>58</v>
      </c>
      <c r="E974" s="2" t="s">
        <v>14</v>
      </c>
      <c r="F974" s="2" t="s">
        <v>16</v>
      </c>
      <c r="G974" s="7">
        <v>70.099999999999994</v>
      </c>
      <c r="H974" s="7">
        <v>4048.95</v>
      </c>
      <c r="I974" s="2" t="s">
        <v>15</v>
      </c>
      <c r="J974" s="2" t="s">
        <v>15</v>
      </c>
      <c r="K974" s="2" t="s">
        <v>24</v>
      </c>
      <c r="L974" s="7">
        <v>4048.95</v>
      </c>
      <c r="M974" s="2" t="str">
        <f>_xlfn.IFS(TelecomData[[#This Row],[TenureMonths]]&lt;=12, "0-1 Year", TelecomData[[#This Row],[TenureMonths]]&lt;=36, "1-3 Years", TelecomData[[#This Row],[TenureMonths]]&gt;36, "3+ Years")</f>
        <v>3+ Years</v>
      </c>
      <c r="N974" s="2" t="str">
        <f>IF(TelecomData[[#This Row],[CleanedTotalCharges]]&gt;=2500,"High Spend", "Standard Spend")</f>
        <v>High Spend</v>
      </c>
    </row>
    <row r="975" spans="1:14" x14ac:dyDescent="0.3">
      <c r="A975" s="1" t="s">
        <v>999</v>
      </c>
      <c r="B975" s="2" t="s">
        <v>19</v>
      </c>
      <c r="C975" s="2" t="s">
        <v>13</v>
      </c>
      <c r="D975" s="2">
        <v>44</v>
      </c>
      <c r="E975" s="2" t="s">
        <v>14</v>
      </c>
      <c r="F975" s="2" t="s">
        <v>15</v>
      </c>
      <c r="G975" s="7">
        <v>30.35</v>
      </c>
      <c r="H975" s="7">
        <v>1359.7</v>
      </c>
      <c r="I975" s="2" t="s">
        <v>16</v>
      </c>
      <c r="J975" s="2" t="s">
        <v>16</v>
      </c>
      <c r="K975" s="2" t="s">
        <v>17</v>
      </c>
      <c r="L975" s="7">
        <v>1359.7</v>
      </c>
      <c r="M975" s="2" t="str">
        <f>_xlfn.IFS(TelecomData[[#This Row],[TenureMonths]]&lt;=12, "0-1 Year", TelecomData[[#This Row],[TenureMonths]]&lt;=36, "1-3 Years", TelecomData[[#This Row],[TenureMonths]]&gt;36, "3+ Years")</f>
        <v>3+ Years</v>
      </c>
      <c r="N975" s="2" t="str">
        <f>IF(TelecomData[[#This Row],[CleanedTotalCharges]]&gt;=2500,"High Spend", "Standard Spend")</f>
        <v>Standard Spend</v>
      </c>
    </row>
    <row r="976" spans="1:14" x14ac:dyDescent="0.3">
      <c r="A976" s="1" t="s">
        <v>1000</v>
      </c>
      <c r="B976" s="2" t="s">
        <v>12</v>
      </c>
      <c r="C976" s="2" t="s">
        <v>35</v>
      </c>
      <c r="D976" s="2">
        <v>59</v>
      </c>
      <c r="E976" s="2" t="s">
        <v>14</v>
      </c>
      <c r="F976" s="2" t="s">
        <v>16</v>
      </c>
      <c r="G976" s="7">
        <v>75.95</v>
      </c>
      <c r="H976" s="7">
        <v>4542.3500000000004</v>
      </c>
      <c r="I976" s="2" t="s">
        <v>15</v>
      </c>
      <c r="J976" s="2" t="s">
        <v>16</v>
      </c>
      <c r="K976" s="2" t="s">
        <v>29</v>
      </c>
      <c r="L976" s="7">
        <v>4542.3500000000004</v>
      </c>
      <c r="M976" s="2" t="str">
        <f>_xlfn.IFS(TelecomData[[#This Row],[TenureMonths]]&lt;=12, "0-1 Year", TelecomData[[#This Row],[TenureMonths]]&lt;=36, "1-3 Years", TelecomData[[#This Row],[TenureMonths]]&gt;36, "3+ Years")</f>
        <v>3+ Years</v>
      </c>
      <c r="N976" s="2" t="str">
        <f>IF(TelecomData[[#This Row],[CleanedTotalCharges]]&gt;=2500,"High Spend", "Standard Spend")</f>
        <v>High Spend</v>
      </c>
    </row>
    <row r="977" spans="1:14" x14ac:dyDescent="0.3">
      <c r="A977" s="1" t="s">
        <v>1001</v>
      </c>
      <c r="B977" s="2" t="s">
        <v>19</v>
      </c>
      <c r="C977" s="2" t="s">
        <v>35</v>
      </c>
      <c r="D977" s="2">
        <v>71</v>
      </c>
      <c r="E977" s="2" t="s">
        <v>26</v>
      </c>
      <c r="F977" s="2" t="s">
        <v>16</v>
      </c>
      <c r="G977" s="7">
        <v>108.05</v>
      </c>
      <c r="H977" s="7">
        <v>7532.15</v>
      </c>
      <c r="I977" s="2" t="s">
        <v>16</v>
      </c>
      <c r="J977" s="2" t="s">
        <v>16</v>
      </c>
      <c r="K977" s="2" t="s">
        <v>17</v>
      </c>
      <c r="L977" s="7">
        <v>7532.15</v>
      </c>
      <c r="M977" s="2" t="str">
        <f>_xlfn.IFS(TelecomData[[#This Row],[TenureMonths]]&lt;=12, "0-1 Year", TelecomData[[#This Row],[TenureMonths]]&lt;=36, "1-3 Years", TelecomData[[#This Row],[TenureMonths]]&gt;36, "3+ Years")</f>
        <v>3+ Years</v>
      </c>
      <c r="N977" s="2" t="str">
        <f>IF(TelecomData[[#This Row],[CleanedTotalCharges]]&gt;=2500,"High Spend", "Standard Spend")</f>
        <v>High Spend</v>
      </c>
    </row>
    <row r="978" spans="1:14" x14ac:dyDescent="0.3">
      <c r="A978" s="1" t="s">
        <v>1002</v>
      </c>
      <c r="B978" s="2" t="s">
        <v>19</v>
      </c>
      <c r="C978" s="2" t="s">
        <v>13</v>
      </c>
      <c r="D978" s="2">
        <v>1</v>
      </c>
      <c r="E978" s="2" t="s">
        <v>26</v>
      </c>
      <c r="F978" s="2" t="s">
        <v>15</v>
      </c>
      <c r="G978" s="7">
        <v>69.900000000000006</v>
      </c>
      <c r="H978" s="7">
        <v>69.900000000000006</v>
      </c>
      <c r="I978" s="2" t="s">
        <v>16</v>
      </c>
      <c r="J978" s="2" t="s">
        <v>16</v>
      </c>
      <c r="K978" s="2" t="s">
        <v>17</v>
      </c>
      <c r="L978" s="7">
        <v>69.900000000000006</v>
      </c>
      <c r="M978" s="2" t="str">
        <f>_xlfn.IFS(TelecomData[[#This Row],[TenureMonths]]&lt;=12, "0-1 Year", TelecomData[[#This Row],[TenureMonths]]&lt;=36, "1-3 Years", TelecomData[[#This Row],[TenureMonths]]&gt;36, "3+ Years")</f>
        <v>0-1 Year</v>
      </c>
      <c r="N978" s="2" t="str">
        <f>IF(TelecomData[[#This Row],[CleanedTotalCharges]]&gt;=2500,"High Spend", "Standard Spend")</f>
        <v>Standard Spend</v>
      </c>
    </row>
    <row r="979" spans="1:14" x14ac:dyDescent="0.3">
      <c r="A979" s="1" t="s">
        <v>1003</v>
      </c>
      <c r="B979" s="2" t="s">
        <v>12</v>
      </c>
      <c r="C979" s="2" t="s">
        <v>13</v>
      </c>
      <c r="D979" s="2">
        <v>11</v>
      </c>
      <c r="E979" s="2" t="s">
        <v>26</v>
      </c>
      <c r="F979" s="2" t="s">
        <v>15</v>
      </c>
      <c r="G979" s="7">
        <v>75.25</v>
      </c>
      <c r="H979" s="7">
        <v>888.65</v>
      </c>
      <c r="I979" s="2" t="s">
        <v>15</v>
      </c>
      <c r="J979" s="2" t="s">
        <v>15</v>
      </c>
      <c r="K979" s="2" t="s">
        <v>17</v>
      </c>
      <c r="L979" s="7">
        <v>888.65</v>
      </c>
      <c r="M979" s="2" t="str">
        <f>_xlfn.IFS(TelecomData[[#This Row],[TenureMonths]]&lt;=12, "0-1 Year", TelecomData[[#This Row],[TenureMonths]]&lt;=36, "1-3 Years", TelecomData[[#This Row],[TenureMonths]]&gt;36, "3+ Years")</f>
        <v>0-1 Year</v>
      </c>
      <c r="N979" s="2" t="str">
        <f>IF(TelecomData[[#This Row],[CleanedTotalCharges]]&gt;=2500,"High Spend", "Standard Spend")</f>
        <v>Standard Spend</v>
      </c>
    </row>
    <row r="980" spans="1:14" x14ac:dyDescent="0.3">
      <c r="A980" s="1" t="s">
        <v>1004</v>
      </c>
      <c r="B980" s="2" t="s">
        <v>19</v>
      </c>
      <c r="C980" s="2" t="s">
        <v>20</v>
      </c>
      <c r="D980" s="2">
        <v>62</v>
      </c>
      <c r="E980" s="2" t="s">
        <v>26</v>
      </c>
      <c r="F980" s="2" t="s">
        <v>15</v>
      </c>
      <c r="G980" s="7">
        <v>103.75</v>
      </c>
      <c r="H980" s="7">
        <v>6383.35</v>
      </c>
      <c r="I980" s="2" t="s">
        <v>16</v>
      </c>
      <c r="J980" s="2" t="s">
        <v>16</v>
      </c>
      <c r="K980" s="2" t="s">
        <v>17</v>
      </c>
      <c r="L980" s="7">
        <v>6383.35</v>
      </c>
      <c r="M980" s="2" t="str">
        <f>_xlfn.IFS(TelecomData[[#This Row],[TenureMonths]]&lt;=12, "0-1 Year", TelecomData[[#This Row],[TenureMonths]]&lt;=36, "1-3 Years", TelecomData[[#This Row],[TenureMonths]]&gt;36, "3+ Years")</f>
        <v>3+ Years</v>
      </c>
      <c r="N980" s="2" t="str">
        <f>IF(TelecomData[[#This Row],[CleanedTotalCharges]]&gt;=2500,"High Spend", "Standard Spend")</f>
        <v>High Spend</v>
      </c>
    </row>
    <row r="981" spans="1:14" x14ac:dyDescent="0.3">
      <c r="A981" s="1" t="s">
        <v>1005</v>
      </c>
      <c r="B981" s="2" t="s">
        <v>12</v>
      </c>
      <c r="C981" s="2" t="s">
        <v>20</v>
      </c>
      <c r="D981" s="2">
        <v>35</v>
      </c>
      <c r="E981" s="2" t="s">
        <v>14</v>
      </c>
      <c r="F981" s="2" t="s">
        <v>16</v>
      </c>
      <c r="G981" s="7">
        <v>54.95</v>
      </c>
      <c r="H981" s="7">
        <v>1916</v>
      </c>
      <c r="I981" s="2" t="s">
        <v>15</v>
      </c>
      <c r="J981" s="2" t="s">
        <v>16</v>
      </c>
      <c r="K981" s="2" t="s">
        <v>24</v>
      </c>
      <c r="L981" s="7">
        <v>1916</v>
      </c>
      <c r="M981" s="2" t="str">
        <f>_xlfn.IFS(TelecomData[[#This Row],[TenureMonths]]&lt;=12, "0-1 Year", TelecomData[[#This Row],[TenureMonths]]&lt;=36, "1-3 Years", TelecomData[[#This Row],[TenureMonths]]&gt;36, "3+ Years")</f>
        <v>1-3 Years</v>
      </c>
      <c r="N981" s="2" t="str">
        <f>IF(TelecomData[[#This Row],[CleanedTotalCharges]]&gt;=2500,"High Spend", "Standard Spend")</f>
        <v>Standard Spend</v>
      </c>
    </row>
    <row r="982" spans="1:14" x14ac:dyDescent="0.3">
      <c r="A982" s="1" t="s">
        <v>1006</v>
      </c>
      <c r="B982" s="2" t="s">
        <v>12</v>
      </c>
      <c r="C982" s="2" t="s">
        <v>13</v>
      </c>
      <c r="D982" s="2">
        <v>20</v>
      </c>
      <c r="E982" s="2" t="s">
        <v>15</v>
      </c>
      <c r="F982" s="2" t="s">
        <v>36</v>
      </c>
      <c r="G982" s="7">
        <v>19.5</v>
      </c>
      <c r="H982" s="7">
        <v>413</v>
      </c>
      <c r="I982" s="2" t="s">
        <v>15</v>
      </c>
      <c r="J982" s="2" t="s">
        <v>16</v>
      </c>
      <c r="K982" s="2" t="s">
        <v>24</v>
      </c>
      <c r="L982" s="7">
        <v>413</v>
      </c>
      <c r="M982" s="2" t="str">
        <f>_xlfn.IFS(TelecomData[[#This Row],[TenureMonths]]&lt;=12, "0-1 Year", TelecomData[[#This Row],[TenureMonths]]&lt;=36, "1-3 Years", TelecomData[[#This Row],[TenureMonths]]&gt;36, "3+ Years")</f>
        <v>1-3 Years</v>
      </c>
      <c r="N982" s="2" t="str">
        <f>IF(TelecomData[[#This Row],[CleanedTotalCharges]]&gt;=2500,"High Spend", "Standard Spend")</f>
        <v>Standard Spend</v>
      </c>
    </row>
    <row r="983" spans="1:14" x14ac:dyDescent="0.3">
      <c r="A983" s="1" t="s">
        <v>1007</v>
      </c>
      <c r="B983" s="2" t="s">
        <v>19</v>
      </c>
      <c r="C983" s="2" t="s">
        <v>35</v>
      </c>
      <c r="D983" s="2">
        <v>40</v>
      </c>
      <c r="E983" s="2" t="s">
        <v>15</v>
      </c>
      <c r="F983" s="2" t="s">
        <v>36</v>
      </c>
      <c r="G983" s="7">
        <v>19.600000000000001</v>
      </c>
      <c r="H983" s="7">
        <v>808.95</v>
      </c>
      <c r="I983" s="2" t="s">
        <v>15</v>
      </c>
      <c r="J983" s="2" t="s">
        <v>15</v>
      </c>
      <c r="K983" s="2" t="s">
        <v>21</v>
      </c>
      <c r="L983" s="7">
        <v>808.95</v>
      </c>
      <c r="M983" s="2" t="str">
        <f>_xlfn.IFS(TelecomData[[#This Row],[TenureMonths]]&lt;=12, "0-1 Year", TelecomData[[#This Row],[TenureMonths]]&lt;=36, "1-3 Years", TelecomData[[#This Row],[TenureMonths]]&gt;36, "3+ Years")</f>
        <v>3+ Years</v>
      </c>
      <c r="N983" s="2" t="str">
        <f>IF(TelecomData[[#This Row],[CleanedTotalCharges]]&gt;=2500,"High Spend", "Standard Spend")</f>
        <v>Standard Spend</v>
      </c>
    </row>
    <row r="984" spans="1:14" x14ac:dyDescent="0.3">
      <c r="A984" s="1" t="s">
        <v>1008</v>
      </c>
      <c r="B984" s="2" t="s">
        <v>12</v>
      </c>
      <c r="C984" s="2" t="s">
        <v>20</v>
      </c>
      <c r="D984" s="2">
        <v>39</v>
      </c>
      <c r="E984" s="2" t="s">
        <v>14</v>
      </c>
      <c r="F984" s="2" t="s">
        <v>15</v>
      </c>
      <c r="G984" s="7">
        <v>47.85</v>
      </c>
      <c r="H984" s="7">
        <v>1886.4</v>
      </c>
      <c r="I984" s="2" t="s">
        <v>15</v>
      </c>
      <c r="J984" s="2" t="s">
        <v>16</v>
      </c>
      <c r="K984" s="2" t="s">
        <v>17</v>
      </c>
      <c r="L984" s="7">
        <v>1886.4</v>
      </c>
      <c r="M984" s="2" t="str">
        <f>_xlfn.IFS(TelecomData[[#This Row],[TenureMonths]]&lt;=12, "0-1 Year", TelecomData[[#This Row],[TenureMonths]]&lt;=36, "1-3 Years", TelecomData[[#This Row],[TenureMonths]]&gt;36, "3+ Years")</f>
        <v>3+ Years</v>
      </c>
      <c r="N984" s="2" t="str">
        <f>IF(TelecomData[[#This Row],[CleanedTotalCharges]]&gt;=2500,"High Spend", "Standard Spend")</f>
        <v>Standard Spend</v>
      </c>
    </row>
    <row r="985" spans="1:14" x14ac:dyDescent="0.3">
      <c r="A985" s="1" t="s">
        <v>1009</v>
      </c>
      <c r="B985" s="2" t="s">
        <v>19</v>
      </c>
      <c r="C985" s="2" t="s">
        <v>13</v>
      </c>
      <c r="D985" s="2">
        <v>1</v>
      </c>
      <c r="E985" s="2" t="s">
        <v>26</v>
      </c>
      <c r="F985" s="2" t="s">
        <v>15</v>
      </c>
      <c r="G985" s="7">
        <v>86.6</v>
      </c>
      <c r="H985" s="7">
        <v>86.6</v>
      </c>
      <c r="I985" s="2" t="s">
        <v>16</v>
      </c>
      <c r="J985" s="2" t="s">
        <v>16</v>
      </c>
      <c r="K985" s="2" t="s">
        <v>17</v>
      </c>
      <c r="L985" s="7">
        <v>86.6</v>
      </c>
      <c r="M985" s="2" t="str">
        <f>_xlfn.IFS(TelecomData[[#This Row],[TenureMonths]]&lt;=12, "0-1 Year", TelecomData[[#This Row],[TenureMonths]]&lt;=36, "1-3 Years", TelecomData[[#This Row],[TenureMonths]]&gt;36, "3+ Years")</f>
        <v>0-1 Year</v>
      </c>
      <c r="N985" s="2" t="str">
        <f>IF(TelecomData[[#This Row],[CleanedTotalCharges]]&gt;=2500,"High Spend", "Standard Spend")</f>
        <v>Standard Spend</v>
      </c>
    </row>
    <row r="986" spans="1:14" x14ac:dyDescent="0.3">
      <c r="A986" s="1" t="s">
        <v>1010</v>
      </c>
      <c r="B986" s="2" t="s">
        <v>12</v>
      </c>
      <c r="C986" s="2" t="s">
        <v>35</v>
      </c>
      <c r="D986" s="2">
        <v>72</v>
      </c>
      <c r="E986" s="2" t="s">
        <v>15</v>
      </c>
      <c r="F986" s="2" t="s">
        <v>36</v>
      </c>
      <c r="G986" s="7">
        <v>23.75</v>
      </c>
      <c r="H986" s="7">
        <v>1679.25</v>
      </c>
      <c r="I986" s="2" t="s">
        <v>15</v>
      </c>
      <c r="J986" s="2" t="s">
        <v>15</v>
      </c>
      <c r="K986" s="2" t="s">
        <v>24</v>
      </c>
      <c r="L986" s="7">
        <v>1679.25</v>
      </c>
      <c r="M986" s="2" t="str">
        <f>_xlfn.IFS(TelecomData[[#This Row],[TenureMonths]]&lt;=12, "0-1 Year", TelecomData[[#This Row],[TenureMonths]]&lt;=36, "1-3 Years", TelecomData[[#This Row],[TenureMonths]]&gt;36, "3+ Years")</f>
        <v>3+ Years</v>
      </c>
      <c r="N986" s="2" t="str">
        <f>IF(TelecomData[[#This Row],[CleanedTotalCharges]]&gt;=2500,"High Spend", "Standard Spend")</f>
        <v>Standard Spend</v>
      </c>
    </row>
    <row r="987" spans="1:14" x14ac:dyDescent="0.3">
      <c r="A987" s="1" t="s">
        <v>1011</v>
      </c>
      <c r="B987" s="2" t="s">
        <v>12</v>
      </c>
      <c r="C987" s="2" t="s">
        <v>13</v>
      </c>
      <c r="D987" s="2">
        <v>33</v>
      </c>
      <c r="E987" s="2" t="s">
        <v>26</v>
      </c>
      <c r="F987" s="2" t="s">
        <v>15</v>
      </c>
      <c r="G987" s="7">
        <v>80.599999999999994</v>
      </c>
      <c r="H987" s="7">
        <v>2656.5</v>
      </c>
      <c r="I987" s="2" t="s">
        <v>16</v>
      </c>
      <c r="J987" s="2" t="s">
        <v>16</v>
      </c>
      <c r="K987" s="2" t="s">
        <v>24</v>
      </c>
      <c r="L987" s="7">
        <v>2656.5</v>
      </c>
      <c r="M987" s="2" t="str">
        <f>_xlfn.IFS(TelecomData[[#This Row],[TenureMonths]]&lt;=12, "0-1 Year", TelecomData[[#This Row],[TenureMonths]]&lt;=36, "1-3 Years", TelecomData[[#This Row],[TenureMonths]]&gt;36, "3+ Years")</f>
        <v>1-3 Years</v>
      </c>
      <c r="N987" s="2" t="str">
        <f>IF(TelecomData[[#This Row],[CleanedTotalCharges]]&gt;=2500,"High Spend", "Standard Spend")</f>
        <v>High Spend</v>
      </c>
    </row>
    <row r="988" spans="1:14" x14ac:dyDescent="0.3">
      <c r="A988" s="1" t="s">
        <v>1012</v>
      </c>
      <c r="B988" s="2" t="s">
        <v>12</v>
      </c>
      <c r="C988" s="2" t="s">
        <v>13</v>
      </c>
      <c r="D988" s="2">
        <v>12</v>
      </c>
      <c r="E988" s="2" t="s">
        <v>14</v>
      </c>
      <c r="F988" s="2" t="s">
        <v>15</v>
      </c>
      <c r="G988" s="7">
        <v>43.8</v>
      </c>
      <c r="H988" s="7">
        <v>540.95000000000005</v>
      </c>
      <c r="I988" s="2" t="s">
        <v>15</v>
      </c>
      <c r="J988" s="2" t="s">
        <v>15</v>
      </c>
      <c r="K988" s="2" t="s">
        <v>24</v>
      </c>
      <c r="L988" s="7">
        <v>540.95000000000005</v>
      </c>
      <c r="M988" s="2" t="str">
        <f>_xlfn.IFS(TelecomData[[#This Row],[TenureMonths]]&lt;=12, "0-1 Year", TelecomData[[#This Row],[TenureMonths]]&lt;=36, "1-3 Years", TelecomData[[#This Row],[TenureMonths]]&gt;36, "3+ Years")</f>
        <v>0-1 Year</v>
      </c>
      <c r="N988" s="2" t="str">
        <f>IF(TelecomData[[#This Row],[CleanedTotalCharges]]&gt;=2500,"High Spend", "Standard Spend")</f>
        <v>Standard Spend</v>
      </c>
    </row>
    <row r="989" spans="1:14" x14ac:dyDescent="0.3">
      <c r="A989" s="1" t="s">
        <v>1013</v>
      </c>
      <c r="B989" s="2" t="s">
        <v>19</v>
      </c>
      <c r="C989" s="2" t="s">
        <v>13</v>
      </c>
      <c r="D989" s="2">
        <v>1</v>
      </c>
      <c r="E989" s="2" t="s">
        <v>15</v>
      </c>
      <c r="F989" s="2" t="s">
        <v>36</v>
      </c>
      <c r="G989" s="7">
        <v>19.75</v>
      </c>
      <c r="H989" s="7">
        <v>19.75</v>
      </c>
      <c r="I989" s="2" t="s">
        <v>15</v>
      </c>
      <c r="J989" s="2" t="s">
        <v>15</v>
      </c>
      <c r="K989" s="2" t="s">
        <v>24</v>
      </c>
      <c r="L989" s="7">
        <v>19.75</v>
      </c>
      <c r="M989" s="2" t="str">
        <f>_xlfn.IFS(TelecomData[[#This Row],[TenureMonths]]&lt;=12, "0-1 Year", TelecomData[[#This Row],[TenureMonths]]&lt;=36, "1-3 Years", TelecomData[[#This Row],[TenureMonths]]&gt;36, "3+ Years")</f>
        <v>0-1 Year</v>
      </c>
      <c r="N989" s="2" t="str">
        <f>IF(TelecomData[[#This Row],[CleanedTotalCharges]]&gt;=2500,"High Spend", "Standard Spend")</f>
        <v>Standard Spend</v>
      </c>
    </row>
    <row r="990" spans="1:14" x14ac:dyDescent="0.3">
      <c r="A990" s="1" t="s">
        <v>1014</v>
      </c>
      <c r="B990" s="2" t="s">
        <v>19</v>
      </c>
      <c r="C990" s="2" t="s">
        <v>13</v>
      </c>
      <c r="D990" s="2">
        <v>27</v>
      </c>
      <c r="E990" s="2" t="s">
        <v>15</v>
      </c>
      <c r="F990" s="2" t="s">
        <v>36</v>
      </c>
      <c r="G990" s="7">
        <v>19.149999999999999</v>
      </c>
      <c r="H990" s="7">
        <v>537.35</v>
      </c>
      <c r="I990" s="2" t="s">
        <v>15</v>
      </c>
      <c r="J990" s="2" t="s">
        <v>15</v>
      </c>
      <c r="K990" s="2" t="s">
        <v>21</v>
      </c>
      <c r="L990" s="7">
        <v>537.35</v>
      </c>
      <c r="M990" s="2" t="str">
        <f>_xlfn.IFS(TelecomData[[#This Row],[TenureMonths]]&lt;=12, "0-1 Year", TelecomData[[#This Row],[TenureMonths]]&lt;=36, "1-3 Years", TelecomData[[#This Row],[TenureMonths]]&gt;36, "3+ Years")</f>
        <v>1-3 Years</v>
      </c>
      <c r="N990" s="2" t="str">
        <f>IF(TelecomData[[#This Row],[CleanedTotalCharges]]&gt;=2500,"High Spend", "Standard Spend")</f>
        <v>Standard Spend</v>
      </c>
    </row>
    <row r="991" spans="1:14" x14ac:dyDescent="0.3">
      <c r="A991" s="1" t="s">
        <v>1015</v>
      </c>
      <c r="B991" s="2" t="s">
        <v>19</v>
      </c>
      <c r="C991" s="2" t="s">
        <v>20</v>
      </c>
      <c r="D991" s="2">
        <v>34</v>
      </c>
      <c r="E991" s="2" t="s">
        <v>15</v>
      </c>
      <c r="F991" s="2" t="s">
        <v>36</v>
      </c>
      <c r="G991" s="7">
        <v>19.600000000000001</v>
      </c>
      <c r="H991" s="7">
        <v>678.8</v>
      </c>
      <c r="I991" s="2" t="s">
        <v>15</v>
      </c>
      <c r="J991" s="2" t="s">
        <v>15</v>
      </c>
      <c r="K991" s="2" t="s">
        <v>29</v>
      </c>
      <c r="L991" s="7">
        <v>678.8</v>
      </c>
      <c r="M991" s="2" t="str">
        <f>_xlfn.IFS(TelecomData[[#This Row],[TenureMonths]]&lt;=12, "0-1 Year", TelecomData[[#This Row],[TenureMonths]]&lt;=36, "1-3 Years", TelecomData[[#This Row],[TenureMonths]]&gt;36, "3+ Years")</f>
        <v>1-3 Years</v>
      </c>
      <c r="N991" s="2" t="str">
        <f>IF(TelecomData[[#This Row],[CleanedTotalCharges]]&gt;=2500,"High Spend", "Standard Spend")</f>
        <v>Standard Spend</v>
      </c>
    </row>
    <row r="992" spans="1:14" x14ac:dyDescent="0.3">
      <c r="A992" s="1" t="s">
        <v>1016</v>
      </c>
      <c r="B992" s="2" t="s">
        <v>12</v>
      </c>
      <c r="C992" s="2" t="s">
        <v>35</v>
      </c>
      <c r="D992" s="2">
        <v>56</v>
      </c>
      <c r="E992" s="2" t="s">
        <v>26</v>
      </c>
      <c r="F992" s="2" t="s">
        <v>15</v>
      </c>
      <c r="G992" s="7">
        <v>80.3</v>
      </c>
      <c r="H992" s="7">
        <v>4513.6499999999996</v>
      </c>
      <c r="I992" s="2" t="s">
        <v>15</v>
      </c>
      <c r="J992" s="2" t="s">
        <v>15</v>
      </c>
      <c r="K992" s="2" t="s">
        <v>24</v>
      </c>
      <c r="L992" s="7">
        <v>4513.6499999999996</v>
      </c>
      <c r="M992" s="2" t="str">
        <f>_xlfn.IFS(TelecomData[[#This Row],[TenureMonths]]&lt;=12, "0-1 Year", TelecomData[[#This Row],[TenureMonths]]&lt;=36, "1-3 Years", TelecomData[[#This Row],[TenureMonths]]&gt;36, "3+ Years")</f>
        <v>3+ Years</v>
      </c>
      <c r="N992" s="2" t="str">
        <f>IF(TelecomData[[#This Row],[CleanedTotalCharges]]&gt;=2500,"High Spend", "Standard Spend")</f>
        <v>High Spend</v>
      </c>
    </row>
    <row r="993" spans="1:14" x14ac:dyDescent="0.3">
      <c r="A993" s="1" t="s">
        <v>1017</v>
      </c>
      <c r="B993" s="2" t="s">
        <v>12</v>
      </c>
      <c r="C993" s="2" t="s">
        <v>35</v>
      </c>
      <c r="D993" s="2">
        <v>58</v>
      </c>
      <c r="E993" s="2" t="s">
        <v>15</v>
      </c>
      <c r="F993" s="2" t="s">
        <v>36</v>
      </c>
      <c r="G993" s="7">
        <v>24.35</v>
      </c>
      <c r="H993" s="7">
        <v>1423.85</v>
      </c>
      <c r="I993" s="2" t="s">
        <v>15</v>
      </c>
      <c r="J993" s="2" t="s">
        <v>15</v>
      </c>
      <c r="K993" s="2" t="s">
        <v>29</v>
      </c>
      <c r="L993" s="7">
        <v>1423.85</v>
      </c>
      <c r="M993" s="2" t="str">
        <f>_xlfn.IFS(TelecomData[[#This Row],[TenureMonths]]&lt;=12, "0-1 Year", TelecomData[[#This Row],[TenureMonths]]&lt;=36, "1-3 Years", TelecomData[[#This Row],[TenureMonths]]&gt;36, "3+ Years")</f>
        <v>3+ Years</v>
      </c>
      <c r="N993" s="2" t="str">
        <f>IF(TelecomData[[#This Row],[CleanedTotalCharges]]&gt;=2500,"High Spend", "Standard Spend")</f>
        <v>Standard Spend</v>
      </c>
    </row>
    <row r="994" spans="1:14" x14ac:dyDescent="0.3">
      <c r="A994" s="1" t="s">
        <v>1018</v>
      </c>
      <c r="B994" s="2" t="s">
        <v>12</v>
      </c>
      <c r="C994" s="2" t="s">
        <v>35</v>
      </c>
      <c r="D994" s="2">
        <v>22</v>
      </c>
      <c r="E994" s="2" t="s">
        <v>15</v>
      </c>
      <c r="F994" s="2" t="s">
        <v>36</v>
      </c>
      <c r="G994" s="7">
        <v>25.25</v>
      </c>
      <c r="H994" s="7">
        <v>555.4</v>
      </c>
      <c r="I994" s="2" t="s">
        <v>15</v>
      </c>
      <c r="J994" s="2" t="s">
        <v>15</v>
      </c>
      <c r="K994" s="2" t="s">
        <v>29</v>
      </c>
      <c r="L994" s="7">
        <v>555.4</v>
      </c>
      <c r="M994" s="2" t="str">
        <f>_xlfn.IFS(TelecomData[[#This Row],[TenureMonths]]&lt;=12, "0-1 Year", TelecomData[[#This Row],[TenureMonths]]&lt;=36, "1-3 Years", TelecomData[[#This Row],[TenureMonths]]&gt;36, "3+ Years")</f>
        <v>1-3 Years</v>
      </c>
      <c r="N994" s="2" t="str">
        <f>IF(TelecomData[[#This Row],[CleanedTotalCharges]]&gt;=2500,"High Spend", "Standard Spend")</f>
        <v>Standard Spend</v>
      </c>
    </row>
    <row r="995" spans="1:14" x14ac:dyDescent="0.3">
      <c r="A995" s="1" t="s">
        <v>1019</v>
      </c>
      <c r="B995" s="2" t="s">
        <v>12</v>
      </c>
      <c r="C995" s="2" t="s">
        <v>35</v>
      </c>
      <c r="D995" s="2">
        <v>10</v>
      </c>
      <c r="E995" s="2" t="s">
        <v>15</v>
      </c>
      <c r="F995" s="2" t="s">
        <v>36</v>
      </c>
      <c r="G995" s="7">
        <v>26.1</v>
      </c>
      <c r="H995" s="7">
        <v>225.55</v>
      </c>
      <c r="I995" s="2" t="s">
        <v>15</v>
      </c>
      <c r="J995" s="2" t="s">
        <v>15</v>
      </c>
      <c r="K995" s="2" t="s">
        <v>29</v>
      </c>
      <c r="L995" s="7">
        <v>225.55</v>
      </c>
      <c r="M995" s="2" t="str">
        <f>_xlfn.IFS(TelecomData[[#This Row],[TenureMonths]]&lt;=12, "0-1 Year", TelecomData[[#This Row],[TenureMonths]]&lt;=36, "1-3 Years", TelecomData[[#This Row],[TenureMonths]]&gt;36, "3+ Years")</f>
        <v>0-1 Year</v>
      </c>
      <c r="N995" s="2" t="str">
        <f>IF(TelecomData[[#This Row],[CleanedTotalCharges]]&gt;=2500,"High Spend", "Standard Spend")</f>
        <v>Standard Spend</v>
      </c>
    </row>
    <row r="996" spans="1:14" x14ac:dyDescent="0.3">
      <c r="A996" s="1" t="s">
        <v>1020</v>
      </c>
      <c r="B996" s="2" t="s">
        <v>19</v>
      </c>
      <c r="C996" s="2" t="s">
        <v>35</v>
      </c>
      <c r="D996" s="2">
        <v>13</v>
      </c>
      <c r="E996" s="2" t="s">
        <v>15</v>
      </c>
      <c r="F996" s="2" t="s">
        <v>36</v>
      </c>
      <c r="G996" s="7">
        <v>20</v>
      </c>
      <c r="H996" s="7">
        <v>268.45</v>
      </c>
      <c r="I996" s="2" t="s">
        <v>15</v>
      </c>
      <c r="J996" s="2" t="s">
        <v>15</v>
      </c>
      <c r="K996" s="2" t="s">
        <v>29</v>
      </c>
      <c r="L996" s="7">
        <v>268.45</v>
      </c>
      <c r="M996" s="2" t="str">
        <f>_xlfn.IFS(TelecomData[[#This Row],[TenureMonths]]&lt;=12, "0-1 Year", TelecomData[[#This Row],[TenureMonths]]&lt;=36, "1-3 Years", TelecomData[[#This Row],[TenureMonths]]&gt;36, "3+ Years")</f>
        <v>1-3 Years</v>
      </c>
      <c r="N996" s="2" t="str">
        <f>IF(TelecomData[[#This Row],[CleanedTotalCharges]]&gt;=2500,"High Spend", "Standard Spend")</f>
        <v>Standard Spend</v>
      </c>
    </row>
    <row r="997" spans="1:14" x14ac:dyDescent="0.3">
      <c r="A997" s="1" t="s">
        <v>1021</v>
      </c>
      <c r="B997" s="2" t="s">
        <v>12</v>
      </c>
      <c r="C997" s="2" t="s">
        <v>13</v>
      </c>
      <c r="D997" s="2">
        <v>35</v>
      </c>
      <c r="E997" s="2" t="s">
        <v>26</v>
      </c>
      <c r="F997" s="2" t="s">
        <v>16</v>
      </c>
      <c r="G997" s="7">
        <v>85.3</v>
      </c>
      <c r="H997" s="7">
        <v>2917.5</v>
      </c>
      <c r="I997" s="2" t="s">
        <v>16</v>
      </c>
      <c r="J997" s="2" t="s">
        <v>15</v>
      </c>
      <c r="K997" s="2" t="s">
        <v>29</v>
      </c>
      <c r="L997" s="7">
        <v>2917.5</v>
      </c>
      <c r="M997" s="2" t="str">
        <f>_xlfn.IFS(TelecomData[[#This Row],[TenureMonths]]&lt;=12, "0-1 Year", TelecomData[[#This Row],[TenureMonths]]&lt;=36, "1-3 Years", TelecomData[[#This Row],[TenureMonths]]&gt;36, "3+ Years")</f>
        <v>1-3 Years</v>
      </c>
      <c r="N997" s="2" t="str">
        <f>IF(TelecomData[[#This Row],[CleanedTotalCharges]]&gt;=2500,"High Spend", "Standard Spend")</f>
        <v>High Spend</v>
      </c>
    </row>
    <row r="998" spans="1:14" x14ac:dyDescent="0.3">
      <c r="A998" s="1" t="s">
        <v>1022</v>
      </c>
      <c r="B998" s="2" t="s">
        <v>12</v>
      </c>
      <c r="C998" s="2" t="s">
        <v>13</v>
      </c>
      <c r="D998" s="2">
        <v>34</v>
      </c>
      <c r="E998" s="2" t="s">
        <v>26</v>
      </c>
      <c r="F998" s="2" t="s">
        <v>15</v>
      </c>
      <c r="G998" s="7">
        <v>70</v>
      </c>
      <c r="H998" s="7">
        <v>2416.1</v>
      </c>
      <c r="I998" s="2" t="s">
        <v>16</v>
      </c>
      <c r="J998" s="2" t="s">
        <v>16</v>
      </c>
      <c r="K998" s="2" t="s">
        <v>29</v>
      </c>
      <c r="L998" s="7">
        <v>2416.1</v>
      </c>
      <c r="M998" s="2" t="str">
        <f>_xlfn.IFS(TelecomData[[#This Row],[TenureMonths]]&lt;=12, "0-1 Year", TelecomData[[#This Row],[TenureMonths]]&lt;=36, "1-3 Years", TelecomData[[#This Row],[TenureMonths]]&gt;36, "3+ Years")</f>
        <v>1-3 Years</v>
      </c>
      <c r="N998" s="2" t="str">
        <f>IF(TelecomData[[#This Row],[CleanedTotalCharges]]&gt;=2500,"High Spend", "Standard Spend")</f>
        <v>Standard Spend</v>
      </c>
    </row>
    <row r="999" spans="1:14" x14ac:dyDescent="0.3">
      <c r="A999" s="1" t="s">
        <v>1023</v>
      </c>
      <c r="B999" s="2" t="s">
        <v>12</v>
      </c>
      <c r="C999" s="2" t="s">
        <v>13</v>
      </c>
      <c r="D999" s="2">
        <v>4</v>
      </c>
      <c r="E999" s="2" t="s">
        <v>26</v>
      </c>
      <c r="F999" s="2" t="s">
        <v>15</v>
      </c>
      <c r="G999" s="7">
        <v>94.3</v>
      </c>
      <c r="H999" s="7">
        <v>424.45</v>
      </c>
      <c r="I999" s="2" t="s">
        <v>16</v>
      </c>
      <c r="J999" s="2" t="s">
        <v>16</v>
      </c>
      <c r="K999" s="2" t="s">
        <v>17</v>
      </c>
      <c r="L999" s="7">
        <v>424.45</v>
      </c>
      <c r="M999" s="2" t="str">
        <f>_xlfn.IFS(TelecomData[[#This Row],[TenureMonths]]&lt;=12, "0-1 Year", TelecomData[[#This Row],[TenureMonths]]&lt;=36, "1-3 Years", TelecomData[[#This Row],[TenureMonths]]&gt;36, "3+ Years")</f>
        <v>0-1 Year</v>
      </c>
      <c r="N999" s="2" t="str">
        <f>IF(TelecomData[[#This Row],[CleanedTotalCharges]]&gt;=2500,"High Spend", "Standard Spend")</f>
        <v>Standard Spend</v>
      </c>
    </row>
    <row r="1000" spans="1:14" x14ac:dyDescent="0.3">
      <c r="A1000" s="1" t="s">
        <v>1024</v>
      </c>
      <c r="B1000" s="2" t="s">
        <v>19</v>
      </c>
      <c r="C1000" s="2" t="s">
        <v>35</v>
      </c>
      <c r="D1000" s="2">
        <v>72</v>
      </c>
      <c r="E1000" s="2" t="s">
        <v>15</v>
      </c>
      <c r="F1000" s="2" t="s">
        <v>36</v>
      </c>
      <c r="G1000" s="7">
        <v>20.7</v>
      </c>
      <c r="H1000" s="7">
        <v>1492.1</v>
      </c>
      <c r="I1000" s="2" t="s">
        <v>15</v>
      </c>
      <c r="J1000" s="2" t="s">
        <v>15</v>
      </c>
      <c r="K1000" s="2" t="s">
        <v>24</v>
      </c>
      <c r="L1000" s="7">
        <v>1492.1</v>
      </c>
      <c r="M1000" s="2" t="str">
        <f>_xlfn.IFS(TelecomData[[#This Row],[TenureMonths]]&lt;=12, "0-1 Year", TelecomData[[#This Row],[TenureMonths]]&lt;=36, "1-3 Years", TelecomData[[#This Row],[TenureMonths]]&gt;36, "3+ Years")</f>
        <v>3+ Years</v>
      </c>
      <c r="N1000" s="2" t="str">
        <f>IF(TelecomData[[#This Row],[CleanedTotalCharges]]&gt;=2500,"High Spend", "Standard Spend")</f>
        <v>Standard Spend</v>
      </c>
    </row>
    <row r="1001" spans="1:14" x14ac:dyDescent="0.3">
      <c r="A1001" s="1" t="s">
        <v>1025</v>
      </c>
      <c r="B1001" s="2" t="s">
        <v>19</v>
      </c>
      <c r="C1001" s="2" t="s">
        <v>13</v>
      </c>
      <c r="D1001" s="2">
        <v>2</v>
      </c>
      <c r="E1001" s="2" t="s">
        <v>14</v>
      </c>
      <c r="F1001" s="2" t="s">
        <v>16</v>
      </c>
      <c r="G1001" s="7">
        <v>70.3</v>
      </c>
      <c r="H1001" s="7">
        <v>132.4</v>
      </c>
      <c r="I1001" s="2" t="s">
        <v>15</v>
      </c>
      <c r="J1001" s="2" t="s">
        <v>15</v>
      </c>
      <c r="K1001" s="2" t="s">
        <v>17</v>
      </c>
      <c r="L1001" s="7">
        <v>132.4</v>
      </c>
      <c r="M1001" s="2" t="str">
        <f>_xlfn.IFS(TelecomData[[#This Row],[TenureMonths]]&lt;=12, "0-1 Year", TelecomData[[#This Row],[TenureMonths]]&lt;=36, "1-3 Years", TelecomData[[#This Row],[TenureMonths]]&gt;36, "3+ Years")</f>
        <v>0-1 Year</v>
      </c>
      <c r="N1001" s="2" t="str">
        <f>IF(TelecomData[[#This Row],[CleanedTotalCharges]]&gt;=2500,"High Spend", "Standard Spend")</f>
        <v>Standard Spend</v>
      </c>
    </row>
    <row r="1002" spans="1:14" x14ac:dyDescent="0.3">
      <c r="A1002" s="1" t="s">
        <v>1026</v>
      </c>
      <c r="B1002" s="2" t="s">
        <v>12</v>
      </c>
      <c r="C1002" s="2" t="s">
        <v>13</v>
      </c>
      <c r="D1002" s="2">
        <v>7</v>
      </c>
      <c r="E1002" s="2" t="s">
        <v>26</v>
      </c>
      <c r="F1002" s="2" t="s">
        <v>15</v>
      </c>
      <c r="G1002" s="7">
        <v>95.35</v>
      </c>
      <c r="H1002" s="7">
        <v>660.9</v>
      </c>
      <c r="I1002" s="2" t="s">
        <v>16</v>
      </c>
      <c r="J1002" s="2" t="s">
        <v>16</v>
      </c>
      <c r="K1002" s="2" t="s">
        <v>17</v>
      </c>
      <c r="L1002" s="7">
        <v>660.9</v>
      </c>
      <c r="M1002" s="2" t="str">
        <f>_xlfn.IFS(TelecomData[[#This Row],[TenureMonths]]&lt;=12, "0-1 Year", TelecomData[[#This Row],[TenureMonths]]&lt;=36, "1-3 Years", TelecomData[[#This Row],[TenureMonths]]&gt;36, "3+ Years")</f>
        <v>0-1 Year</v>
      </c>
      <c r="N1002" s="2" t="str">
        <f>IF(TelecomData[[#This Row],[CleanedTotalCharges]]&gt;=2500,"High Spend", "Standard Spend")</f>
        <v>Standard Spend</v>
      </c>
    </row>
    <row r="1003" spans="1:14" x14ac:dyDescent="0.3">
      <c r="A1003" s="1" t="s">
        <v>1027</v>
      </c>
      <c r="B1003" s="2" t="s">
        <v>19</v>
      </c>
      <c r="C1003" s="2" t="s">
        <v>13</v>
      </c>
      <c r="D1003" s="2">
        <v>27</v>
      </c>
      <c r="E1003" s="2" t="s">
        <v>26</v>
      </c>
      <c r="F1003" s="2" t="s">
        <v>15</v>
      </c>
      <c r="G1003" s="7">
        <v>75.5</v>
      </c>
      <c r="H1003" s="7">
        <v>1893.95</v>
      </c>
      <c r="I1003" s="2" t="s">
        <v>16</v>
      </c>
      <c r="J1003" s="2" t="s">
        <v>16</v>
      </c>
      <c r="K1003" s="2" t="s">
        <v>17</v>
      </c>
      <c r="L1003" s="7">
        <v>1893.95</v>
      </c>
      <c r="M1003" s="2" t="str">
        <f>_xlfn.IFS(TelecomData[[#This Row],[TenureMonths]]&lt;=12, "0-1 Year", TelecomData[[#This Row],[TenureMonths]]&lt;=36, "1-3 Years", TelecomData[[#This Row],[TenureMonths]]&gt;36, "3+ Years")</f>
        <v>1-3 Years</v>
      </c>
      <c r="N1003" s="2" t="str">
        <f>IF(TelecomData[[#This Row],[CleanedTotalCharges]]&gt;=2500,"High Spend", "Standard Spend")</f>
        <v>Standard Spend</v>
      </c>
    </row>
    <row r="1004" spans="1:14" x14ac:dyDescent="0.3">
      <c r="A1004" s="1" t="s">
        <v>1028</v>
      </c>
      <c r="B1004" s="2" t="s">
        <v>19</v>
      </c>
      <c r="C1004" s="2" t="s">
        <v>13</v>
      </c>
      <c r="D1004" s="2">
        <v>4</v>
      </c>
      <c r="E1004" s="2" t="s">
        <v>26</v>
      </c>
      <c r="F1004" s="2" t="s">
        <v>15</v>
      </c>
      <c r="G1004" s="7">
        <v>69.55</v>
      </c>
      <c r="H1004" s="7">
        <v>284.89999999999998</v>
      </c>
      <c r="I1004" s="2" t="s">
        <v>15</v>
      </c>
      <c r="J1004" s="2" t="s">
        <v>16</v>
      </c>
      <c r="K1004" s="2" t="s">
        <v>21</v>
      </c>
      <c r="L1004" s="7">
        <v>284.89999999999998</v>
      </c>
      <c r="M1004" s="2" t="str">
        <f>_xlfn.IFS(TelecomData[[#This Row],[TenureMonths]]&lt;=12, "0-1 Year", TelecomData[[#This Row],[TenureMonths]]&lt;=36, "1-3 Years", TelecomData[[#This Row],[TenureMonths]]&gt;36, "3+ Years")</f>
        <v>0-1 Year</v>
      </c>
      <c r="N1004" s="2" t="str">
        <f>IF(TelecomData[[#This Row],[CleanedTotalCharges]]&gt;=2500,"High Spend", "Standard Spend")</f>
        <v>Standard Spend</v>
      </c>
    </row>
    <row r="1005" spans="1:14" x14ac:dyDescent="0.3">
      <c r="A1005" s="1" t="s">
        <v>1029</v>
      </c>
      <c r="B1005" s="2" t="s">
        <v>12</v>
      </c>
      <c r="C1005" s="2" t="s">
        <v>35</v>
      </c>
      <c r="D1005" s="2">
        <v>37</v>
      </c>
      <c r="E1005" s="2" t="s">
        <v>15</v>
      </c>
      <c r="F1005" s="2" t="s">
        <v>36</v>
      </c>
      <c r="G1005" s="7">
        <v>19.850000000000001</v>
      </c>
      <c r="H1005" s="7">
        <v>784.25</v>
      </c>
      <c r="I1005" s="2" t="s">
        <v>15</v>
      </c>
      <c r="J1005" s="2" t="s">
        <v>15</v>
      </c>
      <c r="K1005" s="2" t="s">
        <v>21</v>
      </c>
      <c r="L1005" s="7">
        <v>784.25</v>
      </c>
      <c r="M1005" s="2" t="str">
        <f>_xlfn.IFS(TelecomData[[#This Row],[TenureMonths]]&lt;=12, "0-1 Year", TelecomData[[#This Row],[TenureMonths]]&lt;=36, "1-3 Years", TelecomData[[#This Row],[TenureMonths]]&gt;36, "3+ Years")</f>
        <v>3+ Years</v>
      </c>
      <c r="N1005" s="2" t="str">
        <f>IF(TelecomData[[#This Row],[CleanedTotalCharges]]&gt;=2500,"High Spend", "Standard Spend")</f>
        <v>Standard Spend</v>
      </c>
    </row>
    <row r="1006" spans="1:14" x14ac:dyDescent="0.3">
      <c r="A1006" s="1" t="s">
        <v>1030</v>
      </c>
      <c r="B1006" s="2" t="s">
        <v>19</v>
      </c>
      <c r="C1006" s="2" t="s">
        <v>13</v>
      </c>
      <c r="D1006" s="2">
        <v>21</v>
      </c>
      <c r="E1006" s="2" t="s">
        <v>15</v>
      </c>
      <c r="F1006" s="2" t="s">
        <v>36</v>
      </c>
      <c r="G1006" s="7">
        <v>20</v>
      </c>
      <c r="H1006" s="7">
        <v>417.7</v>
      </c>
      <c r="I1006" s="2" t="s">
        <v>15</v>
      </c>
      <c r="J1006" s="2" t="s">
        <v>15</v>
      </c>
      <c r="K1006" s="2" t="s">
        <v>21</v>
      </c>
      <c r="L1006" s="7">
        <v>417.7</v>
      </c>
      <c r="M1006" s="2" t="str">
        <f>_xlfn.IFS(TelecomData[[#This Row],[TenureMonths]]&lt;=12, "0-1 Year", TelecomData[[#This Row],[TenureMonths]]&lt;=36, "1-3 Years", TelecomData[[#This Row],[TenureMonths]]&gt;36, "3+ Years")</f>
        <v>1-3 Years</v>
      </c>
      <c r="N1006" s="2" t="str">
        <f>IF(TelecomData[[#This Row],[CleanedTotalCharges]]&gt;=2500,"High Spend", "Standard Spend")</f>
        <v>Standard Spend</v>
      </c>
    </row>
    <row r="1007" spans="1:14" x14ac:dyDescent="0.3">
      <c r="A1007" s="1" t="s">
        <v>1031</v>
      </c>
      <c r="B1007" s="2" t="s">
        <v>12</v>
      </c>
      <c r="C1007" s="2" t="s">
        <v>20</v>
      </c>
      <c r="D1007" s="2">
        <v>53</v>
      </c>
      <c r="E1007" s="2" t="s">
        <v>26</v>
      </c>
      <c r="F1007" s="2" t="s">
        <v>15</v>
      </c>
      <c r="G1007" s="7">
        <v>95.85</v>
      </c>
      <c r="H1007" s="7">
        <v>5016.25</v>
      </c>
      <c r="I1007" s="2" t="s">
        <v>15</v>
      </c>
      <c r="J1007" s="2" t="s">
        <v>16</v>
      </c>
      <c r="K1007" s="2" t="s">
        <v>29</v>
      </c>
      <c r="L1007" s="7">
        <v>5016.25</v>
      </c>
      <c r="M1007" s="2" t="str">
        <f>_xlfn.IFS(TelecomData[[#This Row],[TenureMonths]]&lt;=12, "0-1 Year", TelecomData[[#This Row],[TenureMonths]]&lt;=36, "1-3 Years", TelecomData[[#This Row],[TenureMonths]]&gt;36, "3+ Years")</f>
        <v>3+ Years</v>
      </c>
      <c r="N1007" s="2" t="str">
        <f>IF(TelecomData[[#This Row],[CleanedTotalCharges]]&gt;=2500,"High Spend", "Standard Spend")</f>
        <v>High Spend</v>
      </c>
    </row>
    <row r="1008" spans="1:14" x14ac:dyDescent="0.3">
      <c r="A1008" s="1" t="s">
        <v>1032</v>
      </c>
      <c r="B1008" s="2" t="s">
        <v>12</v>
      </c>
      <c r="C1008" s="2" t="s">
        <v>13</v>
      </c>
      <c r="D1008" s="2">
        <v>18</v>
      </c>
      <c r="E1008" s="2" t="s">
        <v>26</v>
      </c>
      <c r="F1008" s="2" t="s">
        <v>16</v>
      </c>
      <c r="G1008" s="7">
        <v>90.1</v>
      </c>
      <c r="H1008" s="7">
        <v>1612.75</v>
      </c>
      <c r="I1008" s="2" t="s">
        <v>16</v>
      </c>
      <c r="J1008" s="2" t="s">
        <v>16</v>
      </c>
      <c r="K1008" s="2" t="s">
        <v>17</v>
      </c>
      <c r="L1008" s="7">
        <v>1612.75</v>
      </c>
      <c r="M1008" s="2" t="str">
        <f>_xlfn.IFS(TelecomData[[#This Row],[TenureMonths]]&lt;=12, "0-1 Year", TelecomData[[#This Row],[TenureMonths]]&lt;=36, "1-3 Years", TelecomData[[#This Row],[TenureMonths]]&gt;36, "3+ Years")</f>
        <v>1-3 Years</v>
      </c>
      <c r="N1008" s="2" t="str">
        <f>IF(TelecomData[[#This Row],[CleanedTotalCharges]]&gt;=2500,"High Spend", "Standard Spend")</f>
        <v>Standard Spend</v>
      </c>
    </row>
    <row r="1009" spans="1:14" x14ac:dyDescent="0.3">
      <c r="A1009" s="1" t="s">
        <v>1033</v>
      </c>
      <c r="B1009" s="2" t="s">
        <v>12</v>
      </c>
      <c r="C1009" s="2" t="s">
        <v>13</v>
      </c>
      <c r="D1009" s="2">
        <v>2</v>
      </c>
      <c r="E1009" s="2" t="s">
        <v>26</v>
      </c>
      <c r="F1009" s="2" t="s">
        <v>15</v>
      </c>
      <c r="G1009" s="7">
        <v>68.95</v>
      </c>
      <c r="H1009" s="7">
        <v>119.75</v>
      </c>
      <c r="I1009" s="2" t="s">
        <v>16</v>
      </c>
      <c r="J1009" s="2" t="s">
        <v>15</v>
      </c>
      <c r="K1009" s="2" t="s">
        <v>17</v>
      </c>
      <c r="L1009" s="7">
        <v>119.75</v>
      </c>
      <c r="M1009" s="2" t="str">
        <f>_xlfn.IFS(TelecomData[[#This Row],[TenureMonths]]&lt;=12, "0-1 Year", TelecomData[[#This Row],[TenureMonths]]&lt;=36, "1-3 Years", TelecomData[[#This Row],[TenureMonths]]&gt;36, "3+ Years")</f>
        <v>0-1 Year</v>
      </c>
      <c r="N1009" s="2" t="str">
        <f>IF(TelecomData[[#This Row],[CleanedTotalCharges]]&gt;=2500,"High Spend", "Standard Spend")</f>
        <v>Standard Spend</v>
      </c>
    </row>
    <row r="1010" spans="1:14" x14ac:dyDescent="0.3">
      <c r="A1010" s="1" t="s">
        <v>1034</v>
      </c>
      <c r="B1010" s="2" t="s">
        <v>19</v>
      </c>
      <c r="C1010" s="2" t="s">
        <v>13</v>
      </c>
      <c r="D1010" s="2">
        <v>32</v>
      </c>
      <c r="E1010" s="2" t="s">
        <v>26</v>
      </c>
      <c r="F1010" s="2" t="s">
        <v>15</v>
      </c>
      <c r="G1010" s="7">
        <v>99.55</v>
      </c>
      <c r="H1010" s="7">
        <v>3204.65</v>
      </c>
      <c r="I1010" s="2" t="s">
        <v>16</v>
      </c>
      <c r="J1010" s="2" t="s">
        <v>16</v>
      </c>
      <c r="K1010" s="2" t="s">
        <v>29</v>
      </c>
      <c r="L1010" s="7">
        <v>3204.65</v>
      </c>
      <c r="M1010" s="2" t="str">
        <f>_xlfn.IFS(TelecomData[[#This Row],[TenureMonths]]&lt;=12, "0-1 Year", TelecomData[[#This Row],[TenureMonths]]&lt;=36, "1-3 Years", TelecomData[[#This Row],[TenureMonths]]&gt;36, "3+ Years")</f>
        <v>1-3 Years</v>
      </c>
      <c r="N1010" s="2" t="str">
        <f>IF(TelecomData[[#This Row],[CleanedTotalCharges]]&gt;=2500,"High Spend", "Standard Spend")</f>
        <v>High Spend</v>
      </c>
    </row>
    <row r="1011" spans="1:14" x14ac:dyDescent="0.3">
      <c r="A1011" s="1" t="s">
        <v>1035</v>
      </c>
      <c r="B1011" s="2" t="s">
        <v>19</v>
      </c>
      <c r="C1011" s="2" t="s">
        <v>20</v>
      </c>
      <c r="D1011" s="2">
        <v>23</v>
      </c>
      <c r="E1011" s="2" t="s">
        <v>15</v>
      </c>
      <c r="F1011" s="2" t="s">
        <v>36</v>
      </c>
      <c r="G1011" s="7">
        <v>20.75</v>
      </c>
      <c r="H1011" s="7">
        <v>485.2</v>
      </c>
      <c r="I1011" s="2" t="s">
        <v>15</v>
      </c>
      <c r="J1011" s="2" t="s">
        <v>16</v>
      </c>
      <c r="K1011" s="2" t="s">
        <v>17</v>
      </c>
      <c r="L1011" s="7">
        <v>485.2</v>
      </c>
      <c r="M1011" s="2" t="str">
        <f>_xlfn.IFS(TelecomData[[#This Row],[TenureMonths]]&lt;=12, "0-1 Year", TelecomData[[#This Row],[TenureMonths]]&lt;=36, "1-3 Years", TelecomData[[#This Row],[TenureMonths]]&gt;36, "3+ Years")</f>
        <v>1-3 Years</v>
      </c>
      <c r="N1011" s="2" t="str">
        <f>IF(TelecomData[[#This Row],[CleanedTotalCharges]]&gt;=2500,"High Spend", "Standard Spend")</f>
        <v>Standard Spend</v>
      </c>
    </row>
    <row r="1012" spans="1:14" x14ac:dyDescent="0.3">
      <c r="A1012" s="1" t="s">
        <v>1036</v>
      </c>
      <c r="B1012" s="2" t="s">
        <v>19</v>
      </c>
      <c r="C1012" s="2" t="s">
        <v>13</v>
      </c>
      <c r="D1012" s="2">
        <v>3</v>
      </c>
      <c r="E1012" s="2" t="s">
        <v>14</v>
      </c>
      <c r="F1012" s="2" t="s">
        <v>15</v>
      </c>
      <c r="G1012" s="7">
        <v>50.15</v>
      </c>
      <c r="H1012" s="7">
        <v>160.85</v>
      </c>
      <c r="I1012" s="2" t="s">
        <v>15</v>
      </c>
      <c r="J1012" s="2" t="s">
        <v>16</v>
      </c>
      <c r="K1012" s="2" t="s">
        <v>21</v>
      </c>
      <c r="L1012" s="7">
        <v>160.85</v>
      </c>
      <c r="M1012" s="2" t="str">
        <f>_xlfn.IFS(TelecomData[[#This Row],[TenureMonths]]&lt;=12, "0-1 Year", TelecomData[[#This Row],[TenureMonths]]&lt;=36, "1-3 Years", TelecomData[[#This Row],[TenureMonths]]&gt;36, "3+ Years")</f>
        <v>0-1 Year</v>
      </c>
      <c r="N1012" s="2" t="str">
        <f>IF(TelecomData[[#This Row],[CleanedTotalCharges]]&gt;=2500,"High Spend", "Standard Spend")</f>
        <v>Standard Spend</v>
      </c>
    </row>
    <row r="1013" spans="1:14" x14ac:dyDescent="0.3">
      <c r="A1013" s="1" t="s">
        <v>1037</v>
      </c>
      <c r="B1013" s="2" t="s">
        <v>12</v>
      </c>
      <c r="C1013" s="2" t="s">
        <v>35</v>
      </c>
      <c r="D1013" s="2">
        <v>71</v>
      </c>
      <c r="E1013" s="2" t="s">
        <v>14</v>
      </c>
      <c r="F1013" s="2" t="s">
        <v>16</v>
      </c>
      <c r="G1013" s="7">
        <v>58.65</v>
      </c>
      <c r="H1013" s="7">
        <v>4145.25</v>
      </c>
      <c r="I1013" s="2" t="s">
        <v>15</v>
      </c>
      <c r="J1013" s="2" t="s">
        <v>15</v>
      </c>
      <c r="K1013" s="2" t="s">
        <v>21</v>
      </c>
      <c r="L1013" s="7">
        <v>4145.25</v>
      </c>
      <c r="M1013" s="2" t="str">
        <f>_xlfn.IFS(TelecomData[[#This Row],[TenureMonths]]&lt;=12, "0-1 Year", TelecomData[[#This Row],[TenureMonths]]&lt;=36, "1-3 Years", TelecomData[[#This Row],[TenureMonths]]&gt;36, "3+ Years")</f>
        <v>3+ Years</v>
      </c>
      <c r="N1013" s="2" t="str">
        <f>IF(TelecomData[[#This Row],[CleanedTotalCharges]]&gt;=2500,"High Spend", "Standard Spend")</f>
        <v>High Spend</v>
      </c>
    </row>
    <row r="1014" spans="1:14" x14ac:dyDescent="0.3">
      <c r="A1014" s="1" t="s">
        <v>1038</v>
      </c>
      <c r="B1014" s="2" t="s">
        <v>19</v>
      </c>
      <c r="C1014" s="2" t="s">
        <v>13</v>
      </c>
      <c r="D1014" s="2">
        <v>9</v>
      </c>
      <c r="E1014" s="2" t="s">
        <v>26</v>
      </c>
      <c r="F1014" s="2" t="s">
        <v>16</v>
      </c>
      <c r="G1014" s="7">
        <v>95.9</v>
      </c>
      <c r="H1014" s="7">
        <v>827.45</v>
      </c>
      <c r="I1014" s="2" t="s">
        <v>15</v>
      </c>
      <c r="J1014" s="2" t="s">
        <v>16</v>
      </c>
      <c r="K1014" s="2" t="s">
        <v>24</v>
      </c>
      <c r="L1014" s="7">
        <v>827.45</v>
      </c>
      <c r="M1014" s="2" t="str">
        <f>_xlfn.IFS(TelecomData[[#This Row],[TenureMonths]]&lt;=12, "0-1 Year", TelecomData[[#This Row],[TenureMonths]]&lt;=36, "1-3 Years", TelecomData[[#This Row],[TenureMonths]]&gt;36, "3+ Years")</f>
        <v>0-1 Year</v>
      </c>
      <c r="N1014" s="2" t="str">
        <f>IF(TelecomData[[#This Row],[CleanedTotalCharges]]&gt;=2500,"High Spend", "Standard Spend")</f>
        <v>Standard Spend</v>
      </c>
    </row>
    <row r="1015" spans="1:14" x14ac:dyDescent="0.3">
      <c r="A1015" s="1" t="s">
        <v>1039</v>
      </c>
      <c r="B1015" s="2" t="s">
        <v>12</v>
      </c>
      <c r="C1015" s="2" t="s">
        <v>13</v>
      </c>
      <c r="D1015" s="2">
        <v>1</v>
      </c>
      <c r="E1015" s="2" t="s">
        <v>14</v>
      </c>
      <c r="F1015" s="2" t="s">
        <v>15</v>
      </c>
      <c r="G1015" s="7">
        <v>49.5</v>
      </c>
      <c r="H1015" s="7">
        <v>49.5</v>
      </c>
      <c r="I1015" s="2" t="s">
        <v>15</v>
      </c>
      <c r="J1015" s="2" t="s">
        <v>15</v>
      </c>
      <c r="K1015" s="2" t="s">
        <v>17</v>
      </c>
      <c r="L1015" s="7">
        <v>49.5</v>
      </c>
      <c r="M1015" s="2" t="str">
        <f>_xlfn.IFS(TelecomData[[#This Row],[TenureMonths]]&lt;=12, "0-1 Year", TelecomData[[#This Row],[TenureMonths]]&lt;=36, "1-3 Years", TelecomData[[#This Row],[TenureMonths]]&gt;36, "3+ Years")</f>
        <v>0-1 Year</v>
      </c>
      <c r="N1015" s="2" t="str">
        <f>IF(TelecomData[[#This Row],[CleanedTotalCharges]]&gt;=2500,"High Spend", "Standard Spend")</f>
        <v>Standard Spend</v>
      </c>
    </row>
    <row r="1016" spans="1:14" x14ac:dyDescent="0.3">
      <c r="A1016" s="1" t="s">
        <v>1040</v>
      </c>
      <c r="B1016" s="2" t="s">
        <v>19</v>
      </c>
      <c r="C1016" s="2" t="s">
        <v>13</v>
      </c>
      <c r="D1016" s="2">
        <v>18</v>
      </c>
      <c r="E1016" s="2" t="s">
        <v>14</v>
      </c>
      <c r="F1016" s="2" t="s">
        <v>15</v>
      </c>
      <c r="G1016" s="7">
        <v>57.45</v>
      </c>
      <c r="H1016" s="7">
        <v>990.85</v>
      </c>
      <c r="I1016" s="2" t="s">
        <v>16</v>
      </c>
      <c r="J1016" s="2" t="s">
        <v>15</v>
      </c>
      <c r="K1016" s="2" t="s">
        <v>17</v>
      </c>
      <c r="L1016" s="7">
        <v>990.85</v>
      </c>
      <c r="M1016" s="2" t="str">
        <f>_xlfn.IFS(TelecomData[[#This Row],[TenureMonths]]&lt;=12, "0-1 Year", TelecomData[[#This Row],[TenureMonths]]&lt;=36, "1-3 Years", TelecomData[[#This Row],[TenureMonths]]&gt;36, "3+ Years")</f>
        <v>1-3 Years</v>
      </c>
      <c r="N1016" s="2" t="str">
        <f>IF(TelecomData[[#This Row],[CleanedTotalCharges]]&gt;=2500,"High Spend", "Standard Spend")</f>
        <v>Standard Spend</v>
      </c>
    </row>
    <row r="1017" spans="1:14" x14ac:dyDescent="0.3">
      <c r="A1017" s="1" t="s">
        <v>1041</v>
      </c>
      <c r="B1017" s="2" t="s">
        <v>19</v>
      </c>
      <c r="C1017" s="2" t="s">
        <v>20</v>
      </c>
      <c r="D1017" s="2">
        <v>12</v>
      </c>
      <c r="E1017" s="2" t="s">
        <v>14</v>
      </c>
      <c r="F1017" s="2" t="s">
        <v>15</v>
      </c>
      <c r="G1017" s="7">
        <v>53.65</v>
      </c>
      <c r="H1017" s="7">
        <v>696.35</v>
      </c>
      <c r="I1017" s="2" t="s">
        <v>16</v>
      </c>
      <c r="J1017" s="2" t="s">
        <v>15</v>
      </c>
      <c r="K1017" s="2" t="s">
        <v>29</v>
      </c>
      <c r="L1017" s="7">
        <v>696.35</v>
      </c>
      <c r="M1017" s="2" t="str">
        <f>_xlfn.IFS(TelecomData[[#This Row],[TenureMonths]]&lt;=12, "0-1 Year", TelecomData[[#This Row],[TenureMonths]]&lt;=36, "1-3 Years", TelecomData[[#This Row],[TenureMonths]]&gt;36, "3+ Years")</f>
        <v>0-1 Year</v>
      </c>
      <c r="N1017" s="2" t="str">
        <f>IF(TelecomData[[#This Row],[CleanedTotalCharges]]&gt;=2500,"High Spend", "Standard Spend")</f>
        <v>Standard Spend</v>
      </c>
    </row>
    <row r="1018" spans="1:14" x14ac:dyDescent="0.3">
      <c r="A1018" s="1" t="s">
        <v>1042</v>
      </c>
      <c r="B1018" s="2" t="s">
        <v>19</v>
      </c>
      <c r="C1018" s="2" t="s">
        <v>35</v>
      </c>
      <c r="D1018" s="2">
        <v>71</v>
      </c>
      <c r="E1018" s="2" t="s">
        <v>14</v>
      </c>
      <c r="F1018" s="2" t="s">
        <v>16</v>
      </c>
      <c r="G1018" s="7">
        <v>80.099999999999994</v>
      </c>
      <c r="H1018" s="7">
        <v>5585.4</v>
      </c>
      <c r="I1018" s="2" t="s">
        <v>15</v>
      </c>
      <c r="J1018" s="2" t="s">
        <v>16</v>
      </c>
      <c r="K1018" s="2" t="s">
        <v>21</v>
      </c>
      <c r="L1018" s="7">
        <v>5585.4</v>
      </c>
      <c r="M1018" s="2" t="str">
        <f>_xlfn.IFS(TelecomData[[#This Row],[TenureMonths]]&lt;=12, "0-1 Year", TelecomData[[#This Row],[TenureMonths]]&lt;=36, "1-3 Years", TelecomData[[#This Row],[TenureMonths]]&gt;36, "3+ Years")</f>
        <v>3+ Years</v>
      </c>
      <c r="N1018" s="2" t="str">
        <f>IF(TelecomData[[#This Row],[CleanedTotalCharges]]&gt;=2500,"High Spend", "Standard Spend")</f>
        <v>High Spend</v>
      </c>
    </row>
    <row r="1019" spans="1:14" x14ac:dyDescent="0.3">
      <c r="A1019" s="1" t="s">
        <v>1043</v>
      </c>
      <c r="B1019" s="2" t="s">
        <v>12</v>
      </c>
      <c r="C1019" s="2" t="s">
        <v>20</v>
      </c>
      <c r="D1019" s="2">
        <v>64</v>
      </c>
      <c r="E1019" s="2" t="s">
        <v>15</v>
      </c>
      <c r="F1019" s="2" t="s">
        <v>36</v>
      </c>
      <c r="G1019" s="7">
        <v>24.4</v>
      </c>
      <c r="H1019" s="7">
        <v>1601.2</v>
      </c>
      <c r="I1019" s="2" t="s">
        <v>15</v>
      </c>
      <c r="J1019" s="2" t="s">
        <v>16</v>
      </c>
      <c r="K1019" s="2" t="s">
        <v>24</v>
      </c>
      <c r="L1019" s="7">
        <v>1601.2</v>
      </c>
      <c r="M1019" s="2" t="str">
        <f>_xlfn.IFS(TelecomData[[#This Row],[TenureMonths]]&lt;=12, "0-1 Year", TelecomData[[#This Row],[TenureMonths]]&lt;=36, "1-3 Years", TelecomData[[#This Row],[TenureMonths]]&gt;36, "3+ Years")</f>
        <v>3+ Years</v>
      </c>
      <c r="N1019" s="2" t="str">
        <f>IF(TelecomData[[#This Row],[CleanedTotalCharges]]&gt;=2500,"High Spend", "Standard Spend")</f>
        <v>Standard Spend</v>
      </c>
    </row>
    <row r="1020" spans="1:14" x14ac:dyDescent="0.3">
      <c r="A1020" s="1" t="s">
        <v>1044</v>
      </c>
      <c r="B1020" s="2" t="s">
        <v>19</v>
      </c>
      <c r="C1020" s="2" t="s">
        <v>13</v>
      </c>
      <c r="D1020" s="2">
        <v>4</v>
      </c>
      <c r="E1020" s="2" t="s">
        <v>14</v>
      </c>
      <c r="F1020" s="2" t="s">
        <v>16</v>
      </c>
      <c r="G1020" s="7">
        <v>40.049999999999997</v>
      </c>
      <c r="H1020" s="7">
        <v>162.44999999999999</v>
      </c>
      <c r="I1020" s="2" t="s">
        <v>15</v>
      </c>
      <c r="J1020" s="2" t="s">
        <v>16</v>
      </c>
      <c r="K1020" s="2" t="s">
        <v>17</v>
      </c>
      <c r="L1020" s="7">
        <v>162.44999999999999</v>
      </c>
      <c r="M1020" s="2" t="str">
        <f>_xlfn.IFS(TelecomData[[#This Row],[TenureMonths]]&lt;=12, "0-1 Year", TelecomData[[#This Row],[TenureMonths]]&lt;=36, "1-3 Years", TelecomData[[#This Row],[TenureMonths]]&gt;36, "3+ Years")</f>
        <v>0-1 Year</v>
      </c>
      <c r="N1020" s="2" t="str">
        <f>IF(TelecomData[[#This Row],[CleanedTotalCharges]]&gt;=2500,"High Spend", "Standard Spend")</f>
        <v>Standard Spend</v>
      </c>
    </row>
    <row r="1021" spans="1:14" x14ac:dyDescent="0.3">
      <c r="A1021" s="1" t="s">
        <v>1045</v>
      </c>
      <c r="B1021" s="2" t="s">
        <v>12</v>
      </c>
      <c r="C1021" s="2" t="s">
        <v>13</v>
      </c>
      <c r="D1021" s="2">
        <v>23</v>
      </c>
      <c r="E1021" s="2" t="s">
        <v>15</v>
      </c>
      <c r="F1021" s="2" t="s">
        <v>36</v>
      </c>
      <c r="G1021" s="7">
        <v>19.5</v>
      </c>
      <c r="H1021" s="7">
        <v>470.2</v>
      </c>
      <c r="I1021" s="2" t="s">
        <v>15</v>
      </c>
      <c r="J1021" s="2" t="s">
        <v>16</v>
      </c>
      <c r="K1021" s="2" t="s">
        <v>21</v>
      </c>
      <c r="L1021" s="7">
        <v>470.2</v>
      </c>
      <c r="M1021" s="2" t="str">
        <f>_xlfn.IFS(TelecomData[[#This Row],[TenureMonths]]&lt;=12, "0-1 Year", TelecomData[[#This Row],[TenureMonths]]&lt;=36, "1-3 Years", TelecomData[[#This Row],[TenureMonths]]&gt;36, "3+ Years")</f>
        <v>1-3 Years</v>
      </c>
      <c r="N1021" s="2" t="str">
        <f>IF(TelecomData[[#This Row],[CleanedTotalCharges]]&gt;=2500,"High Spend", "Standard Spend")</f>
        <v>Standard Spend</v>
      </c>
    </row>
    <row r="1022" spans="1:14" x14ac:dyDescent="0.3">
      <c r="A1022" s="1" t="s">
        <v>1046</v>
      </c>
      <c r="B1022" s="2" t="s">
        <v>12</v>
      </c>
      <c r="C1022" s="2" t="s">
        <v>13</v>
      </c>
      <c r="D1022" s="2">
        <v>39</v>
      </c>
      <c r="E1022" s="2" t="s">
        <v>14</v>
      </c>
      <c r="F1022" s="2" t="s">
        <v>15</v>
      </c>
      <c r="G1022" s="7">
        <v>51.05</v>
      </c>
      <c r="H1022" s="7">
        <v>2066</v>
      </c>
      <c r="I1022" s="2" t="s">
        <v>15</v>
      </c>
      <c r="J1022" s="2" t="s">
        <v>15</v>
      </c>
      <c r="K1022" s="2" t="s">
        <v>29</v>
      </c>
      <c r="L1022" s="7">
        <v>2066</v>
      </c>
      <c r="M1022" s="2" t="str">
        <f>_xlfn.IFS(TelecomData[[#This Row],[TenureMonths]]&lt;=12, "0-1 Year", TelecomData[[#This Row],[TenureMonths]]&lt;=36, "1-3 Years", TelecomData[[#This Row],[TenureMonths]]&gt;36, "3+ Years")</f>
        <v>3+ Years</v>
      </c>
      <c r="N1022" s="2" t="str">
        <f>IF(TelecomData[[#This Row],[CleanedTotalCharges]]&gt;=2500,"High Spend", "Standard Spend")</f>
        <v>Standard Spend</v>
      </c>
    </row>
    <row r="1023" spans="1:14" x14ac:dyDescent="0.3">
      <c r="A1023" s="1" t="s">
        <v>1047</v>
      </c>
      <c r="B1023" s="2" t="s">
        <v>19</v>
      </c>
      <c r="C1023" s="2" t="s">
        <v>20</v>
      </c>
      <c r="D1023" s="2">
        <v>28</v>
      </c>
      <c r="E1023" s="2" t="s">
        <v>14</v>
      </c>
      <c r="F1023" s="2" t="s">
        <v>16</v>
      </c>
      <c r="G1023" s="7">
        <v>54.35</v>
      </c>
      <c r="H1023" s="7">
        <v>1426.45</v>
      </c>
      <c r="I1023" s="2" t="s">
        <v>15</v>
      </c>
      <c r="J1023" s="2" t="s">
        <v>15</v>
      </c>
      <c r="K1023" s="2" t="s">
        <v>21</v>
      </c>
      <c r="L1023" s="7">
        <v>1426.45</v>
      </c>
      <c r="M1023" s="2" t="str">
        <f>_xlfn.IFS(TelecomData[[#This Row],[TenureMonths]]&lt;=12, "0-1 Year", TelecomData[[#This Row],[TenureMonths]]&lt;=36, "1-3 Years", TelecomData[[#This Row],[TenureMonths]]&gt;36, "3+ Years")</f>
        <v>1-3 Years</v>
      </c>
      <c r="N1023" s="2" t="str">
        <f>IF(TelecomData[[#This Row],[CleanedTotalCharges]]&gt;=2500,"High Spend", "Standard Spend")</f>
        <v>Standard Spend</v>
      </c>
    </row>
    <row r="1024" spans="1:14" x14ac:dyDescent="0.3">
      <c r="A1024" s="1" t="s">
        <v>1048</v>
      </c>
      <c r="B1024" s="2" t="s">
        <v>12</v>
      </c>
      <c r="C1024" s="2" t="s">
        <v>13</v>
      </c>
      <c r="D1024" s="2">
        <v>5</v>
      </c>
      <c r="E1024" s="2" t="s">
        <v>26</v>
      </c>
      <c r="F1024" s="2" t="s">
        <v>15</v>
      </c>
      <c r="G1024" s="7">
        <v>84.7</v>
      </c>
      <c r="H1024" s="7">
        <v>392.5</v>
      </c>
      <c r="I1024" s="2" t="s">
        <v>15</v>
      </c>
      <c r="J1024" s="2" t="s">
        <v>16</v>
      </c>
      <c r="K1024" s="2" t="s">
        <v>17</v>
      </c>
      <c r="L1024" s="7">
        <v>392.5</v>
      </c>
      <c r="M1024" s="2" t="str">
        <f>_xlfn.IFS(TelecomData[[#This Row],[TenureMonths]]&lt;=12, "0-1 Year", TelecomData[[#This Row],[TenureMonths]]&lt;=36, "1-3 Years", TelecomData[[#This Row],[TenureMonths]]&gt;36, "3+ Years")</f>
        <v>0-1 Year</v>
      </c>
      <c r="N1024" s="2" t="str">
        <f>IF(TelecomData[[#This Row],[CleanedTotalCharges]]&gt;=2500,"High Spend", "Standard Spend")</f>
        <v>Standard Spend</v>
      </c>
    </row>
    <row r="1025" spans="1:14" x14ac:dyDescent="0.3">
      <c r="A1025" s="1" t="s">
        <v>1049</v>
      </c>
      <c r="B1025" s="2" t="s">
        <v>12</v>
      </c>
      <c r="C1025" s="2" t="s">
        <v>13</v>
      </c>
      <c r="D1025" s="2">
        <v>45</v>
      </c>
      <c r="E1025" s="2" t="s">
        <v>26</v>
      </c>
      <c r="F1025" s="2" t="s">
        <v>15</v>
      </c>
      <c r="G1025" s="7">
        <v>86.1</v>
      </c>
      <c r="H1025" s="7">
        <v>3861.45</v>
      </c>
      <c r="I1025" s="2" t="s">
        <v>15</v>
      </c>
      <c r="J1025" s="2" t="s">
        <v>16</v>
      </c>
      <c r="K1025" s="2" t="s">
        <v>17</v>
      </c>
      <c r="L1025" s="7">
        <v>3861.45</v>
      </c>
      <c r="M1025" s="2" t="str">
        <f>_xlfn.IFS(TelecomData[[#This Row],[TenureMonths]]&lt;=12, "0-1 Year", TelecomData[[#This Row],[TenureMonths]]&lt;=36, "1-3 Years", TelecomData[[#This Row],[TenureMonths]]&gt;36, "3+ Years")</f>
        <v>3+ Years</v>
      </c>
      <c r="N1025" s="2" t="str">
        <f>IF(TelecomData[[#This Row],[CleanedTotalCharges]]&gt;=2500,"High Spend", "Standard Spend")</f>
        <v>High Spend</v>
      </c>
    </row>
    <row r="1026" spans="1:14" x14ac:dyDescent="0.3">
      <c r="A1026" s="1" t="s">
        <v>1050</v>
      </c>
      <c r="B1026" s="2" t="s">
        <v>19</v>
      </c>
      <c r="C1026" s="2" t="s">
        <v>13</v>
      </c>
      <c r="D1026" s="2">
        <v>37</v>
      </c>
      <c r="E1026" s="2" t="s">
        <v>26</v>
      </c>
      <c r="F1026" s="2" t="s">
        <v>15</v>
      </c>
      <c r="G1026" s="7">
        <v>70.349999999999994</v>
      </c>
      <c r="H1026" s="7">
        <v>2552.9</v>
      </c>
      <c r="I1026" s="2" t="s">
        <v>15</v>
      </c>
      <c r="J1026" s="2" t="s">
        <v>16</v>
      </c>
      <c r="K1026" s="2" t="s">
        <v>21</v>
      </c>
      <c r="L1026" s="7">
        <v>2552.9</v>
      </c>
      <c r="M1026" s="2" t="str">
        <f>_xlfn.IFS(TelecomData[[#This Row],[TenureMonths]]&lt;=12, "0-1 Year", TelecomData[[#This Row],[TenureMonths]]&lt;=36, "1-3 Years", TelecomData[[#This Row],[TenureMonths]]&gt;36, "3+ Years")</f>
        <v>3+ Years</v>
      </c>
      <c r="N1026" s="2" t="str">
        <f>IF(TelecomData[[#This Row],[CleanedTotalCharges]]&gt;=2500,"High Spend", "Standard Spend")</f>
        <v>High Spend</v>
      </c>
    </row>
    <row r="1027" spans="1:14" x14ac:dyDescent="0.3">
      <c r="A1027" s="1" t="s">
        <v>1051</v>
      </c>
      <c r="B1027" s="2" t="s">
        <v>12</v>
      </c>
      <c r="C1027" s="2" t="s">
        <v>35</v>
      </c>
      <c r="D1027" s="2">
        <v>60</v>
      </c>
      <c r="E1027" s="2" t="s">
        <v>26</v>
      </c>
      <c r="F1027" s="2" t="s">
        <v>16</v>
      </c>
      <c r="G1027" s="7">
        <v>110</v>
      </c>
      <c r="H1027" s="7">
        <v>6668.35</v>
      </c>
      <c r="I1027" s="2" t="s">
        <v>15</v>
      </c>
      <c r="J1027" s="2" t="s">
        <v>16</v>
      </c>
      <c r="K1027" s="2" t="s">
        <v>24</v>
      </c>
      <c r="L1027" s="7">
        <v>6668.35</v>
      </c>
      <c r="M1027" s="2" t="str">
        <f>_xlfn.IFS(TelecomData[[#This Row],[TenureMonths]]&lt;=12, "0-1 Year", TelecomData[[#This Row],[TenureMonths]]&lt;=36, "1-3 Years", TelecomData[[#This Row],[TenureMonths]]&gt;36, "3+ Years")</f>
        <v>3+ Years</v>
      </c>
      <c r="N1027" s="2" t="str">
        <f>IF(TelecomData[[#This Row],[CleanedTotalCharges]]&gt;=2500,"High Spend", "Standard Spend")</f>
        <v>High Spend</v>
      </c>
    </row>
    <row r="1028" spans="1:14" x14ac:dyDescent="0.3">
      <c r="A1028" s="1" t="s">
        <v>1052</v>
      </c>
      <c r="B1028" s="2" t="s">
        <v>19</v>
      </c>
      <c r="C1028" s="2" t="s">
        <v>13</v>
      </c>
      <c r="D1028" s="2">
        <v>8</v>
      </c>
      <c r="E1028" s="2" t="s">
        <v>26</v>
      </c>
      <c r="F1028" s="2" t="s">
        <v>15</v>
      </c>
      <c r="G1028" s="7">
        <v>100.6</v>
      </c>
      <c r="H1028" s="7">
        <v>819.4</v>
      </c>
      <c r="I1028" s="2" t="s">
        <v>16</v>
      </c>
      <c r="J1028" s="2" t="s">
        <v>16</v>
      </c>
      <c r="K1028" s="2" t="s">
        <v>17</v>
      </c>
      <c r="L1028" s="7">
        <v>819.4</v>
      </c>
      <c r="M1028" s="2" t="str">
        <f>_xlfn.IFS(TelecomData[[#This Row],[TenureMonths]]&lt;=12, "0-1 Year", TelecomData[[#This Row],[TenureMonths]]&lt;=36, "1-3 Years", TelecomData[[#This Row],[TenureMonths]]&gt;36, "3+ Years")</f>
        <v>0-1 Year</v>
      </c>
      <c r="N1028" s="2" t="str">
        <f>IF(TelecomData[[#This Row],[CleanedTotalCharges]]&gt;=2500,"High Spend", "Standard Spend")</f>
        <v>Standard Spend</v>
      </c>
    </row>
    <row r="1029" spans="1:14" x14ac:dyDescent="0.3">
      <c r="A1029" s="1" t="s">
        <v>1053</v>
      </c>
      <c r="B1029" s="2" t="s">
        <v>12</v>
      </c>
      <c r="C1029" s="2" t="s">
        <v>20</v>
      </c>
      <c r="D1029" s="2">
        <v>47</v>
      </c>
      <c r="E1029" s="2" t="s">
        <v>26</v>
      </c>
      <c r="F1029" s="2" t="s">
        <v>15</v>
      </c>
      <c r="G1029" s="7">
        <v>94.9</v>
      </c>
      <c r="H1029" s="7">
        <v>4615.25</v>
      </c>
      <c r="I1029" s="2" t="s">
        <v>15</v>
      </c>
      <c r="J1029" s="2" t="s">
        <v>15</v>
      </c>
      <c r="K1029" s="2" t="s">
        <v>29</v>
      </c>
      <c r="L1029" s="7">
        <v>4615.25</v>
      </c>
      <c r="M1029" s="2" t="str">
        <f>_xlfn.IFS(TelecomData[[#This Row],[TenureMonths]]&lt;=12, "0-1 Year", TelecomData[[#This Row],[TenureMonths]]&lt;=36, "1-3 Years", TelecomData[[#This Row],[TenureMonths]]&gt;36, "3+ Years")</f>
        <v>3+ Years</v>
      </c>
      <c r="N1029" s="2" t="str">
        <f>IF(TelecomData[[#This Row],[CleanedTotalCharges]]&gt;=2500,"High Spend", "Standard Spend")</f>
        <v>High Spend</v>
      </c>
    </row>
    <row r="1030" spans="1:14" x14ac:dyDescent="0.3">
      <c r="A1030" s="1" t="s">
        <v>1054</v>
      </c>
      <c r="B1030" s="2" t="s">
        <v>19</v>
      </c>
      <c r="C1030" s="2" t="s">
        <v>13</v>
      </c>
      <c r="D1030" s="2">
        <v>26</v>
      </c>
      <c r="E1030" s="2" t="s">
        <v>26</v>
      </c>
      <c r="F1030" s="2" t="s">
        <v>15</v>
      </c>
      <c r="G1030" s="7">
        <v>83.75</v>
      </c>
      <c r="H1030" s="7">
        <v>2070.6</v>
      </c>
      <c r="I1030" s="2" t="s">
        <v>16</v>
      </c>
      <c r="J1030" s="2" t="s">
        <v>16</v>
      </c>
      <c r="K1030" s="2" t="s">
        <v>17</v>
      </c>
      <c r="L1030" s="7">
        <v>2070.6</v>
      </c>
      <c r="M1030" s="2" t="str">
        <f>_xlfn.IFS(TelecomData[[#This Row],[TenureMonths]]&lt;=12, "0-1 Year", TelecomData[[#This Row],[TenureMonths]]&lt;=36, "1-3 Years", TelecomData[[#This Row],[TenureMonths]]&gt;36, "3+ Years")</f>
        <v>1-3 Years</v>
      </c>
      <c r="N1030" s="2" t="str">
        <f>IF(TelecomData[[#This Row],[CleanedTotalCharges]]&gt;=2500,"High Spend", "Standard Spend")</f>
        <v>Standard Spend</v>
      </c>
    </row>
    <row r="1031" spans="1:14" x14ac:dyDescent="0.3">
      <c r="A1031" s="1" t="s">
        <v>1055</v>
      </c>
      <c r="B1031" s="2" t="s">
        <v>12</v>
      </c>
      <c r="C1031" s="2" t="s">
        <v>13</v>
      </c>
      <c r="D1031" s="2">
        <v>3</v>
      </c>
      <c r="E1031" s="2" t="s">
        <v>26</v>
      </c>
      <c r="F1031" s="2" t="s">
        <v>16</v>
      </c>
      <c r="G1031" s="7">
        <v>88.3</v>
      </c>
      <c r="H1031" s="7">
        <v>273.75</v>
      </c>
      <c r="I1031" s="2" t="s">
        <v>16</v>
      </c>
      <c r="J1031" s="2" t="s">
        <v>16</v>
      </c>
      <c r="K1031" s="2" t="s">
        <v>21</v>
      </c>
      <c r="L1031" s="7">
        <v>273.75</v>
      </c>
      <c r="M1031" s="2" t="str">
        <f>_xlfn.IFS(TelecomData[[#This Row],[TenureMonths]]&lt;=12, "0-1 Year", TelecomData[[#This Row],[TenureMonths]]&lt;=36, "1-3 Years", TelecomData[[#This Row],[TenureMonths]]&gt;36, "3+ Years")</f>
        <v>0-1 Year</v>
      </c>
      <c r="N1031" s="2" t="str">
        <f>IF(TelecomData[[#This Row],[CleanedTotalCharges]]&gt;=2500,"High Spend", "Standard Spend")</f>
        <v>Standard Spend</v>
      </c>
    </row>
    <row r="1032" spans="1:14" x14ac:dyDescent="0.3">
      <c r="A1032" s="1" t="s">
        <v>1056</v>
      </c>
      <c r="B1032" s="2" t="s">
        <v>12</v>
      </c>
      <c r="C1032" s="2" t="s">
        <v>13</v>
      </c>
      <c r="D1032" s="2">
        <v>50</v>
      </c>
      <c r="E1032" s="2" t="s">
        <v>26</v>
      </c>
      <c r="F1032" s="2" t="s">
        <v>15</v>
      </c>
      <c r="G1032" s="7">
        <v>69.75</v>
      </c>
      <c r="H1032" s="7">
        <v>3557.7</v>
      </c>
      <c r="I1032" s="2" t="s">
        <v>15</v>
      </c>
      <c r="J1032" s="2" t="s">
        <v>16</v>
      </c>
      <c r="K1032" s="2" t="s">
        <v>24</v>
      </c>
      <c r="L1032" s="7">
        <v>3557.7</v>
      </c>
      <c r="M1032" s="2" t="str">
        <f>_xlfn.IFS(TelecomData[[#This Row],[TenureMonths]]&lt;=12, "0-1 Year", TelecomData[[#This Row],[TenureMonths]]&lt;=36, "1-3 Years", TelecomData[[#This Row],[TenureMonths]]&gt;36, "3+ Years")</f>
        <v>3+ Years</v>
      </c>
      <c r="N1032" s="2" t="str">
        <f>IF(TelecomData[[#This Row],[CleanedTotalCharges]]&gt;=2500,"High Spend", "Standard Spend")</f>
        <v>High Spend</v>
      </c>
    </row>
    <row r="1033" spans="1:14" x14ac:dyDescent="0.3">
      <c r="A1033" s="1" t="s">
        <v>1057</v>
      </c>
      <c r="B1033" s="2" t="s">
        <v>19</v>
      </c>
      <c r="C1033" s="2" t="s">
        <v>13</v>
      </c>
      <c r="D1033" s="2">
        <v>27</v>
      </c>
      <c r="E1033" s="2" t="s">
        <v>14</v>
      </c>
      <c r="F1033" s="2" t="s">
        <v>16</v>
      </c>
      <c r="G1033" s="7">
        <v>71.599999999999994</v>
      </c>
      <c r="H1033" s="7">
        <v>1957.1</v>
      </c>
      <c r="I1033" s="2" t="s">
        <v>15</v>
      </c>
      <c r="J1033" s="2" t="s">
        <v>15</v>
      </c>
      <c r="K1033" s="2" t="s">
        <v>24</v>
      </c>
      <c r="L1033" s="7">
        <v>1957.1</v>
      </c>
      <c r="M1033" s="2" t="str">
        <f>_xlfn.IFS(TelecomData[[#This Row],[TenureMonths]]&lt;=12, "0-1 Year", TelecomData[[#This Row],[TenureMonths]]&lt;=36, "1-3 Years", TelecomData[[#This Row],[TenureMonths]]&gt;36, "3+ Years")</f>
        <v>1-3 Years</v>
      </c>
      <c r="N1033" s="2" t="str">
        <f>IF(TelecomData[[#This Row],[CleanedTotalCharges]]&gt;=2500,"High Spend", "Standard Spend")</f>
        <v>Standard Spend</v>
      </c>
    </row>
    <row r="1034" spans="1:14" x14ac:dyDescent="0.3">
      <c r="A1034" s="1" t="s">
        <v>1058</v>
      </c>
      <c r="B1034" s="2" t="s">
        <v>12</v>
      </c>
      <c r="C1034" s="2" t="s">
        <v>13</v>
      </c>
      <c r="D1034" s="2">
        <v>8</v>
      </c>
      <c r="E1034" s="2" t="s">
        <v>26</v>
      </c>
      <c r="F1034" s="2" t="s">
        <v>15</v>
      </c>
      <c r="G1034" s="7">
        <v>92.1</v>
      </c>
      <c r="H1034" s="7">
        <v>729.95</v>
      </c>
      <c r="I1034" s="2" t="s">
        <v>16</v>
      </c>
      <c r="J1034" s="2" t="s">
        <v>16</v>
      </c>
      <c r="K1034" s="2" t="s">
        <v>17</v>
      </c>
      <c r="L1034" s="7">
        <v>729.95</v>
      </c>
      <c r="M1034" s="2" t="str">
        <f>_xlfn.IFS(TelecomData[[#This Row],[TenureMonths]]&lt;=12, "0-1 Year", TelecomData[[#This Row],[TenureMonths]]&lt;=36, "1-3 Years", TelecomData[[#This Row],[TenureMonths]]&gt;36, "3+ Years")</f>
        <v>0-1 Year</v>
      </c>
      <c r="N1034" s="2" t="str">
        <f>IF(TelecomData[[#This Row],[CleanedTotalCharges]]&gt;=2500,"High Spend", "Standard Spend")</f>
        <v>Standard Spend</v>
      </c>
    </row>
    <row r="1035" spans="1:14" x14ac:dyDescent="0.3">
      <c r="A1035" s="1" t="s">
        <v>1059</v>
      </c>
      <c r="B1035" s="2" t="s">
        <v>12</v>
      </c>
      <c r="C1035" s="2" t="s">
        <v>35</v>
      </c>
      <c r="D1035" s="2">
        <v>62</v>
      </c>
      <c r="E1035" s="2" t="s">
        <v>15</v>
      </c>
      <c r="F1035" s="2" t="s">
        <v>36</v>
      </c>
      <c r="G1035" s="7">
        <v>23.65</v>
      </c>
      <c r="H1035" s="7">
        <v>1416.75</v>
      </c>
      <c r="I1035" s="2" t="s">
        <v>15</v>
      </c>
      <c r="J1035" s="2" t="s">
        <v>15</v>
      </c>
      <c r="K1035" s="2" t="s">
        <v>24</v>
      </c>
      <c r="L1035" s="7">
        <v>1416.75</v>
      </c>
      <c r="M1035" s="2" t="str">
        <f>_xlfn.IFS(TelecomData[[#This Row],[TenureMonths]]&lt;=12, "0-1 Year", TelecomData[[#This Row],[TenureMonths]]&lt;=36, "1-3 Years", TelecomData[[#This Row],[TenureMonths]]&gt;36, "3+ Years")</f>
        <v>3+ Years</v>
      </c>
      <c r="N1035" s="2" t="str">
        <f>IF(TelecomData[[#This Row],[CleanedTotalCharges]]&gt;=2500,"High Spend", "Standard Spend")</f>
        <v>Standard Spend</v>
      </c>
    </row>
    <row r="1036" spans="1:14" x14ac:dyDescent="0.3">
      <c r="A1036" s="1" t="s">
        <v>1060</v>
      </c>
      <c r="B1036" s="2" t="s">
        <v>12</v>
      </c>
      <c r="C1036" s="2" t="s">
        <v>35</v>
      </c>
      <c r="D1036" s="2">
        <v>71</v>
      </c>
      <c r="E1036" s="2" t="s">
        <v>14</v>
      </c>
      <c r="F1036" s="2" t="s">
        <v>16</v>
      </c>
      <c r="G1036" s="7">
        <v>81.849999999999994</v>
      </c>
      <c r="H1036" s="7">
        <v>5924.4</v>
      </c>
      <c r="I1036" s="2" t="s">
        <v>15</v>
      </c>
      <c r="J1036" s="2" t="s">
        <v>15</v>
      </c>
      <c r="K1036" s="2" t="s">
        <v>24</v>
      </c>
      <c r="L1036" s="7">
        <v>5924.4</v>
      </c>
      <c r="M1036" s="2" t="str">
        <f>_xlfn.IFS(TelecomData[[#This Row],[TenureMonths]]&lt;=12, "0-1 Year", TelecomData[[#This Row],[TenureMonths]]&lt;=36, "1-3 Years", TelecomData[[#This Row],[TenureMonths]]&gt;36, "3+ Years")</f>
        <v>3+ Years</v>
      </c>
      <c r="N1036" s="2" t="str">
        <f>IF(TelecomData[[#This Row],[CleanedTotalCharges]]&gt;=2500,"High Spend", "Standard Spend")</f>
        <v>High Spend</v>
      </c>
    </row>
    <row r="1037" spans="1:14" x14ac:dyDescent="0.3">
      <c r="A1037" s="1" t="s">
        <v>1061</v>
      </c>
      <c r="B1037" s="2" t="s">
        <v>19</v>
      </c>
      <c r="C1037" s="2" t="s">
        <v>35</v>
      </c>
      <c r="D1037" s="2">
        <v>66</v>
      </c>
      <c r="E1037" s="2" t="s">
        <v>15</v>
      </c>
      <c r="F1037" s="2" t="s">
        <v>36</v>
      </c>
      <c r="G1037" s="7">
        <v>25.1</v>
      </c>
      <c r="H1037" s="7">
        <v>1697.7</v>
      </c>
      <c r="I1037" s="2" t="s">
        <v>15</v>
      </c>
      <c r="J1037" s="2" t="s">
        <v>15</v>
      </c>
      <c r="K1037" s="2" t="s">
        <v>21</v>
      </c>
      <c r="L1037" s="7">
        <v>1697.7</v>
      </c>
      <c r="M1037" s="2" t="str">
        <f>_xlfn.IFS(TelecomData[[#This Row],[TenureMonths]]&lt;=12, "0-1 Year", TelecomData[[#This Row],[TenureMonths]]&lt;=36, "1-3 Years", TelecomData[[#This Row],[TenureMonths]]&gt;36, "3+ Years")</f>
        <v>3+ Years</v>
      </c>
      <c r="N1037" s="2" t="str">
        <f>IF(TelecomData[[#This Row],[CleanedTotalCharges]]&gt;=2500,"High Spend", "Standard Spend")</f>
        <v>Standard Spend</v>
      </c>
    </row>
    <row r="1038" spans="1:14" x14ac:dyDescent="0.3">
      <c r="A1038" s="1" t="s">
        <v>1062</v>
      </c>
      <c r="B1038" s="2" t="s">
        <v>19</v>
      </c>
      <c r="C1038" s="2" t="s">
        <v>35</v>
      </c>
      <c r="D1038" s="2">
        <v>68</v>
      </c>
      <c r="E1038" s="2" t="s">
        <v>26</v>
      </c>
      <c r="F1038" s="2" t="s">
        <v>16</v>
      </c>
      <c r="G1038" s="7">
        <v>114.7</v>
      </c>
      <c r="H1038" s="7">
        <v>7849.85</v>
      </c>
      <c r="I1038" s="2" t="s">
        <v>15</v>
      </c>
      <c r="J1038" s="2" t="s">
        <v>16</v>
      </c>
      <c r="K1038" s="2" t="s">
        <v>24</v>
      </c>
      <c r="L1038" s="7">
        <v>7849.85</v>
      </c>
      <c r="M1038" s="2" t="str">
        <f>_xlfn.IFS(TelecomData[[#This Row],[TenureMonths]]&lt;=12, "0-1 Year", TelecomData[[#This Row],[TenureMonths]]&lt;=36, "1-3 Years", TelecomData[[#This Row],[TenureMonths]]&gt;36, "3+ Years")</f>
        <v>3+ Years</v>
      </c>
      <c r="N1038" s="2" t="str">
        <f>IF(TelecomData[[#This Row],[CleanedTotalCharges]]&gt;=2500,"High Spend", "Standard Spend")</f>
        <v>High Spend</v>
      </c>
    </row>
    <row r="1039" spans="1:14" x14ac:dyDescent="0.3">
      <c r="A1039" s="1" t="s">
        <v>1063</v>
      </c>
      <c r="B1039" s="2" t="s">
        <v>12</v>
      </c>
      <c r="C1039" s="2" t="s">
        <v>13</v>
      </c>
      <c r="D1039" s="2">
        <v>13</v>
      </c>
      <c r="E1039" s="2" t="s">
        <v>14</v>
      </c>
      <c r="F1039" s="2" t="s">
        <v>15</v>
      </c>
      <c r="G1039" s="7">
        <v>49.15</v>
      </c>
      <c r="H1039" s="7">
        <v>649.4</v>
      </c>
      <c r="I1039" s="2" t="s">
        <v>15</v>
      </c>
      <c r="J1039" s="2" t="s">
        <v>15</v>
      </c>
      <c r="K1039" s="2" t="s">
        <v>17</v>
      </c>
      <c r="L1039" s="7">
        <v>649.4</v>
      </c>
      <c r="M1039" s="2" t="str">
        <f>_xlfn.IFS(TelecomData[[#This Row],[TenureMonths]]&lt;=12, "0-1 Year", TelecomData[[#This Row],[TenureMonths]]&lt;=36, "1-3 Years", TelecomData[[#This Row],[TenureMonths]]&gt;36, "3+ Years")</f>
        <v>1-3 Years</v>
      </c>
      <c r="N1039" s="2" t="str">
        <f>IF(TelecomData[[#This Row],[CleanedTotalCharges]]&gt;=2500,"High Spend", "Standard Spend")</f>
        <v>Standard Spend</v>
      </c>
    </row>
    <row r="1040" spans="1:14" x14ac:dyDescent="0.3">
      <c r="A1040" s="1" t="s">
        <v>1064</v>
      </c>
      <c r="B1040" s="2" t="s">
        <v>19</v>
      </c>
      <c r="C1040" s="2" t="s">
        <v>20</v>
      </c>
      <c r="D1040" s="2">
        <v>56</v>
      </c>
      <c r="E1040" s="2" t="s">
        <v>26</v>
      </c>
      <c r="F1040" s="2" t="s">
        <v>15</v>
      </c>
      <c r="G1040" s="7">
        <v>80.900000000000006</v>
      </c>
      <c r="H1040" s="7">
        <v>4557.5</v>
      </c>
      <c r="I1040" s="2" t="s">
        <v>15</v>
      </c>
      <c r="J1040" s="2" t="s">
        <v>16</v>
      </c>
      <c r="K1040" s="2" t="s">
        <v>17</v>
      </c>
      <c r="L1040" s="7">
        <v>4557.5</v>
      </c>
      <c r="M1040" s="2" t="str">
        <f>_xlfn.IFS(TelecomData[[#This Row],[TenureMonths]]&lt;=12, "0-1 Year", TelecomData[[#This Row],[TenureMonths]]&lt;=36, "1-3 Years", TelecomData[[#This Row],[TenureMonths]]&gt;36, "3+ Years")</f>
        <v>3+ Years</v>
      </c>
      <c r="N1040" s="2" t="str">
        <f>IF(TelecomData[[#This Row],[CleanedTotalCharges]]&gt;=2500,"High Spend", "Standard Spend")</f>
        <v>High Spend</v>
      </c>
    </row>
    <row r="1041" spans="1:14" x14ac:dyDescent="0.3">
      <c r="A1041" s="1" t="s">
        <v>1065</v>
      </c>
      <c r="B1041" s="2" t="s">
        <v>19</v>
      </c>
      <c r="C1041" s="2" t="s">
        <v>13</v>
      </c>
      <c r="D1041" s="2">
        <v>38</v>
      </c>
      <c r="E1041" s="2" t="s">
        <v>26</v>
      </c>
      <c r="F1041" s="2" t="s">
        <v>15</v>
      </c>
      <c r="G1041" s="7">
        <v>79.45</v>
      </c>
      <c r="H1041" s="7">
        <v>3013.05</v>
      </c>
      <c r="I1041" s="2" t="s">
        <v>16</v>
      </c>
      <c r="J1041" s="2" t="s">
        <v>16</v>
      </c>
      <c r="K1041" s="2" t="s">
        <v>17</v>
      </c>
      <c r="L1041" s="7">
        <v>3013.05</v>
      </c>
      <c r="M1041" s="2" t="str">
        <f>_xlfn.IFS(TelecomData[[#This Row],[TenureMonths]]&lt;=12, "0-1 Year", TelecomData[[#This Row],[TenureMonths]]&lt;=36, "1-3 Years", TelecomData[[#This Row],[TenureMonths]]&gt;36, "3+ Years")</f>
        <v>3+ Years</v>
      </c>
      <c r="N1041" s="2" t="str">
        <f>IF(TelecomData[[#This Row],[CleanedTotalCharges]]&gt;=2500,"High Spend", "Standard Spend")</f>
        <v>High Spend</v>
      </c>
    </row>
    <row r="1042" spans="1:14" x14ac:dyDescent="0.3">
      <c r="A1042" s="1" t="s">
        <v>1066</v>
      </c>
      <c r="B1042" s="2" t="s">
        <v>19</v>
      </c>
      <c r="C1042" s="2" t="s">
        <v>13</v>
      </c>
      <c r="D1042" s="2">
        <v>14</v>
      </c>
      <c r="E1042" s="2" t="s">
        <v>26</v>
      </c>
      <c r="F1042" s="2" t="s">
        <v>15</v>
      </c>
      <c r="G1042" s="7">
        <v>90.45</v>
      </c>
      <c r="H1042" s="7">
        <v>1266.0999999999999</v>
      </c>
      <c r="I1042" s="2" t="s">
        <v>16</v>
      </c>
      <c r="J1042" s="2" t="s">
        <v>15</v>
      </c>
      <c r="K1042" s="2" t="s">
        <v>29</v>
      </c>
      <c r="L1042" s="7">
        <v>1266.0999999999999</v>
      </c>
      <c r="M1042" s="2" t="str">
        <f>_xlfn.IFS(TelecomData[[#This Row],[TenureMonths]]&lt;=12, "0-1 Year", TelecomData[[#This Row],[TenureMonths]]&lt;=36, "1-3 Years", TelecomData[[#This Row],[TenureMonths]]&gt;36, "3+ Years")</f>
        <v>1-3 Years</v>
      </c>
      <c r="N1042" s="2" t="str">
        <f>IF(TelecomData[[#This Row],[CleanedTotalCharges]]&gt;=2500,"High Spend", "Standard Spend")</f>
        <v>Standard Spend</v>
      </c>
    </row>
    <row r="1043" spans="1:14" x14ac:dyDescent="0.3">
      <c r="A1043" s="1" t="s">
        <v>1067</v>
      </c>
      <c r="B1043" s="2" t="s">
        <v>12</v>
      </c>
      <c r="C1043" s="2" t="s">
        <v>20</v>
      </c>
      <c r="D1043" s="2">
        <v>16</v>
      </c>
      <c r="E1043" s="2" t="s">
        <v>15</v>
      </c>
      <c r="F1043" s="2" t="s">
        <v>36</v>
      </c>
      <c r="G1043" s="7">
        <v>19.3</v>
      </c>
      <c r="H1043" s="7">
        <v>360.35</v>
      </c>
      <c r="I1043" s="2" t="s">
        <v>15</v>
      </c>
      <c r="J1043" s="2" t="s">
        <v>16</v>
      </c>
      <c r="K1043" s="2" t="s">
        <v>24</v>
      </c>
      <c r="L1043" s="7">
        <v>360.35</v>
      </c>
      <c r="M1043" s="2" t="str">
        <f>_xlfn.IFS(TelecomData[[#This Row],[TenureMonths]]&lt;=12, "0-1 Year", TelecomData[[#This Row],[TenureMonths]]&lt;=36, "1-3 Years", TelecomData[[#This Row],[TenureMonths]]&gt;36, "3+ Years")</f>
        <v>1-3 Years</v>
      </c>
      <c r="N1043" s="2" t="str">
        <f>IF(TelecomData[[#This Row],[CleanedTotalCharges]]&gt;=2500,"High Spend", "Standard Spend")</f>
        <v>Standard Spend</v>
      </c>
    </row>
    <row r="1044" spans="1:14" x14ac:dyDescent="0.3">
      <c r="A1044" s="1" t="s">
        <v>1068</v>
      </c>
      <c r="B1044" s="2" t="s">
        <v>12</v>
      </c>
      <c r="C1044" s="2" t="s">
        <v>13</v>
      </c>
      <c r="D1044" s="2">
        <v>14</v>
      </c>
      <c r="E1044" s="2" t="s">
        <v>26</v>
      </c>
      <c r="F1044" s="2" t="s">
        <v>15</v>
      </c>
      <c r="G1044" s="7">
        <v>70.2</v>
      </c>
      <c r="H1044" s="7">
        <v>1046.5</v>
      </c>
      <c r="I1044" s="2" t="s">
        <v>15</v>
      </c>
      <c r="J1044" s="2" t="s">
        <v>15</v>
      </c>
      <c r="K1044" s="2" t="s">
        <v>17</v>
      </c>
      <c r="L1044" s="7">
        <v>1046.5</v>
      </c>
      <c r="M1044" s="2" t="str">
        <f>_xlfn.IFS(TelecomData[[#This Row],[TenureMonths]]&lt;=12, "0-1 Year", TelecomData[[#This Row],[TenureMonths]]&lt;=36, "1-3 Years", TelecomData[[#This Row],[TenureMonths]]&gt;36, "3+ Years")</f>
        <v>1-3 Years</v>
      </c>
      <c r="N1044" s="2" t="str">
        <f>IF(TelecomData[[#This Row],[CleanedTotalCharges]]&gt;=2500,"High Spend", "Standard Spend")</f>
        <v>Standard Spend</v>
      </c>
    </row>
    <row r="1045" spans="1:14" x14ac:dyDescent="0.3">
      <c r="A1045" s="1" t="s">
        <v>1069</v>
      </c>
      <c r="B1045" s="2" t="s">
        <v>19</v>
      </c>
      <c r="C1045" s="2" t="s">
        <v>13</v>
      </c>
      <c r="D1045" s="2">
        <v>32</v>
      </c>
      <c r="E1045" s="2" t="s">
        <v>26</v>
      </c>
      <c r="F1045" s="2" t="s">
        <v>15</v>
      </c>
      <c r="G1045" s="7">
        <v>69.75</v>
      </c>
      <c r="H1045" s="7">
        <v>2347.9</v>
      </c>
      <c r="I1045" s="2" t="s">
        <v>16</v>
      </c>
      <c r="J1045" s="2" t="s">
        <v>16</v>
      </c>
      <c r="K1045" s="2" t="s">
        <v>24</v>
      </c>
      <c r="L1045" s="7">
        <v>2347.9</v>
      </c>
      <c r="M1045" s="2" t="str">
        <f>_xlfn.IFS(TelecomData[[#This Row],[TenureMonths]]&lt;=12, "0-1 Year", TelecomData[[#This Row],[TenureMonths]]&lt;=36, "1-3 Years", TelecomData[[#This Row],[TenureMonths]]&gt;36, "3+ Years")</f>
        <v>1-3 Years</v>
      </c>
      <c r="N1045" s="2" t="str">
        <f>IF(TelecomData[[#This Row],[CleanedTotalCharges]]&gt;=2500,"High Spend", "Standard Spend")</f>
        <v>Standard Spend</v>
      </c>
    </row>
    <row r="1046" spans="1:14" x14ac:dyDescent="0.3">
      <c r="A1046" s="1" t="s">
        <v>1070</v>
      </c>
      <c r="B1046" s="2" t="s">
        <v>12</v>
      </c>
      <c r="C1046" s="2" t="s">
        <v>20</v>
      </c>
      <c r="D1046" s="2">
        <v>8</v>
      </c>
      <c r="E1046" s="2" t="s">
        <v>14</v>
      </c>
      <c r="F1046" s="2" t="s">
        <v>16</v>
      </c>
      <c r="G1046" s="7">
        <v>54.25</v>
      </c>
      <c r="H1046" s="7">
        <v>447.75</v>
      </c>
      <c r="I1046" s="2" t="s">
        <v>15</v>
      </c>
      <c r="J1046" s="2" t="s">
        <v>15</v>
      </c>
      <c r="K1046" s="2" t="s">
        <v>24</v>
      </c>
      <c r="L1046" s="7">
        <v>447.75</v>
      </c>
      <c r="M1046" s="2" t="str">
        <f>_xlfn.IFS(TelecomData[[#This Row],[TenureMonths]]&lt;=12, "0-1 Year", TelecomData[[#This Row],[TenureMonths]]&lt;=36, "1-3 Years", TelecomData[[#This Row],[TenureMonths]]&gt;36, "3+ Years")</f>
        <v>0-1 Year</v>
      </c>
      <c r="N1046" s="2" t="str">
        <f>IF(TelecomData[[#This Row],[CleanedTotalCharges]]&gt;=2500,"High Spend", "Standard Spend")</f>
        <v>Standard Spend</v>
      </c>
    </row>
    <row r="1047" spans="1:14" x14ac:dyDescent="0.3">
      <c r="A1047" s="1" t="s">
        <v>1071</v>
      </c>
      <c r="B1047" s="2" t="s">
        <v>12</v>
      </c>
      <c r="C1047" s="2" t="s">
        <v>13</v>
      </c>
      <c r="D1047" s="2">
        <v>43</v>
      </c>
      <c r="E1047" s="2" t="s">
        <v>26</v>
      </c>
      <c r="F1047" s="2" t="s">
        <v>15</v>
      </c>
      <c r="G1047" s="7">
        <v>99.3</v>
      </c>
      <c r="H1047" s="7">
        <v>4209.95</v>
      </c>
      <c r="I1047" s="2" t="s">
        <v>15</v>
      </c>
      <c r="J1047" s="2" t="s">
        <v>16</v>
      </c>
      <c r="K1047" s="2" t="s">
        <v>24</v>
      </c>
      <c r="L1047" s="7">
        <v>4209.95</v>
      </c>
      <c r="M1047" s="2" t="str">
        <f>_xlfn.IFS(TelecomData[[#This Row],[TenureMonths]]&lt;=12, "0-1 Year", TelecomData[[#This Row],[TenureMonths]]&lt;=36, "1-3 Years", TelecomData[[#This Row],[TenureMonths]]&gt;36, "3+ Years")</f>
        <v>3+ Years</v>
      </c>
      <c r="N1047" s="2" t="str">
        <f>IF(TelecomData[[#This Row],[CleanedTotalCharges]]&gt;=2500,"High Spend", "Standard Spend")</f>
        <v>High Spend</v>
      </c>
    </row>
    <row r="1048" spans="1:14" x14ac:dyDescent="0.3">
      <c r="A1048" s="1" t="s">
        <v>1072</v>
      </c>
      <c r="B1048" s="2" t="s">
        <v>12</v>
      </c>
      <c r="C1048" s="2" t="s">
        <v>20</v>
      </c>
      <c r="D1048" s="2">
        <v>52</v>
      </c>
      <c r="E1048" s="2" t="s">
        <v>14</v>
      </c>
      <c r="F1048" s="2" t="s">
        <v>16</v>
      </c>
      <c r="G1048" s="7">
        <v>74</v>
      </c>
      <c r="H1048" s="7">
        <v>3877.65</v>
      </c>
      <c r="I1048" s="2" t="s">
        <v>15</v>
      </c>
      <c r="J1048" s="2" t="s">
        <v>15</v>
      </c>
      <c r="K1048" s="2" t="s">
        <v>29</v>
      </c>
      <c r="L1048" s="7">
        <v>3877.65</v>
      </c>
      <c r="M1048" s="2" t="str">
        <f>_xlfn.IFS(TelecomData[[#This Row],[TenureMonths]]&lt;=12, "0-1 Year", TelecomData[[#This Row],[TenureMonths]]&lt;=36, "1-3 Years", TelecomData[[#This Row],[TenureMonths]]&gt;36, "3+ Years")</f>
        <v>3+ Years</v>
      </c>
      <c r="N1048" s="2" t="str">
        <f>IF(TelecomData[[#This Row],[CleanedTotalCharges]]&gt;=2500,"High Spend", "Standard Spend")</f>
        <v>High Spend</v>
      </c>
    </row>
    <row r="1049" spans="1:14" x14ac:dyDescent="0.3">
      <c r="A1049" s="1" t="s">
        <v>1073</v>
      </c>
      <c r="B1049" s="2" t="s">
        <v>19</v>
      </c>
      <c r="C1049" s="2" t="s">
        <v>13</v>
      </c>
      <c r="D1049" s="2">
        <v>3</v>
      </c>
      <c r="E1049" s="2" t="s">
        <v>14</v>
      </c>
      <c r="F1049" s="2" t="s">
        <v>16</v>
      </c>
      <c r="G1049" s="7">
        <v>50.25</v>
      </c>
      <c r="H1049" s="7">
        <v>152.30000000000001</v>
      </c>
      <c r="I1049" s="2" t="s">
        <v>15</v>
      </c>
      <c r="J1049" s="2" t="s">
        <v>16</v>
      </c>
      <c r="K1049" s="2" t="s">
        <v>21</v>
      </c>
      <c r="L1049" s="7">
        <v>152.30000000000001</v>
      </c>
      <c r="M1049" s="2" t="str">
        <f>_xlfn.IFS(TelecomData[[#This Row],[TenureMonths]]&lt;=12, "0-1 Year", TelecomData[[#This Row],[TenureMonths]]&lt;=36, "1-3 Years", TelecomData[[#This Row],[TenureMonths]]&gt;36, "3+ Years")</f>
        <v>0-1 Year</v>
      </c>
      <c r="N1049" s="2" t="str">
        <f>IF(TelecomData[[#This Row],[CleanedTotalCharges]]&gt;=2500,"High Spend", "Standard Spend")</f>
        <v>Standard Spend</v>
      </c>
    </row>
    <row r="1050" spans="1:14" x14ac:dyDescent="0.3">
      <c r="A1050" s="1" t="s">
        <v>1074</v>
      </c>
      <c r="B1050" s="2" t="s">
        <v>19</v>
      </c>
      <c r="C1050" s="2" t="s">
        <v>20</v>
      </c>
      <c r="D1050" s="2">
        <v>29</v>
      </c>
      <c r="E1050" s="2" t="s">
        <v>15</v>
      </c>
      <c r="F1050" s="2" t="s">
        <v>36</v>
      </c>
      <c r="G1050" s="7">
        <v>19.8</v>
      </c>
      <c r="H1050" s="7">
        <v>572.20000000000005</v>
      </c>
      <c r="I1050" s="2" t="s">
        <v>15</v>
      </c>
      <c r="J1050" s="2" t="s">
        <v>16</v>
      </c>
      <c r="K1050" s="2" t="s">
        <v>21</v>
      </c>
      <c r="L1050" s="7">
        <v>572.20000000000005</v>
      </c>
      <c r="M1050" s="2" t="str">
        <f>_xlfn.IFS(TelecomData[[#This Row],[TenureMonths]]&lt;=12, "0-1 Year", TelecomData[[#This Row],[TenureMonths]]&lt;=36, "1-3 Years", TelecomData[[#This Row],[TenureMonths]]&gt;36, "3+ Years")</f>
        <v>1-3 Years</v>
      </c>
      <c r="N1050" s="2" t="str">
        <f>IF(TelecomData[[#This Row],[CleanedTotalCharges]]&gt;=2500,"High Spend", "Standard Spend")</f>
        <v>Standard Spend</v>
      </c>
    </row>
    <row r="1051" spans="1:14" x14ac:dyDescent="0.3">
      <c r="A1051" s="1" t="s">
        <v>1075</v>
      </c>
      <c r="B1051" s="2" t="s">
        <v>12</v>
      </c>
      <c r="C1051" s="2" t="s">
        <v>13</v>
      </c>
      <c r="D1051" s="2">
        <v>1</v>
      </c>
      <c r="E1051" s="2" t="s">
        <v>15</v>
      </c>
      <c r="F1051" s="2" t="s">
        <v>36</v>
      </c>
      <c r="G1051" s="7">
        <v>19.649999999999999</v>
      </c>
      <c r="H1051" s="7">
        <v>19.649999999999999</v>
      </c>
      <c r="I1051" s="2" t="s">
        <v>16</v>
      </c>
      <c r="J1051" s="2" t="s">
        <v>15</v>
      </c>
      <c r="K1051" s="2" t="s">
        <v>21</v>
      </c>
      <c r="L1051" s="7">
        <v>19.649999999999999</v>
      </c>
      <c r="M1051" s="2" t="str">
        <f>_xlfn.IFS(TelecomData[[#This Row],[TenureMonths]]&lt;=12, "0-1 Year", TelecomData[[#This Row],[TenureMonths]]&lt;=36, "1-3 Years", TelecomData[[#This Row],[TenureMonths]]&gt;36, "3+ Years")</f>
        <v>0-1 Year</v>
      </c>
      <c r="N1051" s="2" t="str">
        <f>IF(TelecomData[[#This Row],[CleanedTotalCharges]]&gt;=2500,"High Spend", "Standard Spend")</f>
        <v>Standard Spend</v>
      </c>
    </row>
    <row r="1052" spans="1:14" x14ac:dyDescent="0.3">
      <c r="A1052" s="1" t="s">
        <v>1076</v>
      </c>
      <c r="B1052" s="2" t="s">
        <v>19</v>
      </c>
      <c r="C1052" s="2" t="s">
        <v>13</v>
      </c>
      <c r="D1052" s="2">
        <v>12</v>
      </c>
      <c r="E1052" s="2" t="s">
        <v>14</v>
      </c>
      <c r="F1052" s="2" t="s">
        <v>16</v>
      </c>
      <c r="G1052" s="7">
        <v>43.65</v>
      </c>
      <c r="H1052" s="7">
        <v>526.95000000000005</v>
      </c>
      <c r="I1052" s="2" t="s">
        <v>16</v>
      </c>
      <c r="J1052" s="2" t="s">
        <v>16</v>
      </c>
      <c r="K1052" s="2" t="s">
        <v>17</v>
      </c>
      <c r="L1052" s="7">
        <v>526.95000000000005</v>
      </c>
      <c r="M1052" s="2" t="str">
        <f>_xlfn.IFS(TelecomData[[#This Row],[TenureMonths]]&lt;=12, "0-1 Year", TelecomData[[#This Row],[TenureMonths]]&lt;=36, "1-3 Years", TelecomData[[#This Row],[TenureMonths]]&gt;36, "3+ Years")</f>
        <v>0-1 Year</v>
      </c>
      <c r="N1052" s="2" t="str">
        <f>IF(TelecomData[[#This Row],[CleanedTotalCharges]]&gt;=2500,"High Spend", "Standard Spend")</f>
        <v>Standard Spend</v>
      </c>
    </row>
    <row r="1053" spans="1:14" x14ac:dyDescent="0.3">
      <c r="A1053" s="1" t="s">
        <v>1077</v>
      </c>
      <c r="B1053" s="2" t="s">
        <v>12</v>
      </c>
      <c r="C1053" s="2" t="s">
        <v>13</v>
      </c>
      <c r="D1053" s="2">
        <v>16</v>
      </c>
      <c r="E1053" s="2" t="s">
        <v>14</v>
      </c>
      <c r="F1053" s="2" t="s">
        <v>15</v>
      </c>
      <c r="G1053" s="7">
        <v>35.5</v>
      </c>
      <c r="H1053" s="7">
        <v>552.70000000000005</v>
      </c>
      <c r="I1053" s="2" t="s">
        <v>15</v>
      </c>
      <c r="J1053" s="2" t="s">
        <v>16</v>
      </c>
      <c r="K1053" s="2" t="s">
        <v>29</v>
      </c>
      <c r="L1053" s="7">
        <v>552.70000000000005</v>
      </c>
      <c r="M1053" s="2" t="str">
        <f>_xlfn.IFS(TelecomData[[#This Row],[TenureMonths]]&lt;=12, "0-1 Year", TelecomData[[#This Row],[TenureMonths]]&lt;=36, "1-3 Years", TelecomData[[#This Row],[TenureMonths]]&gt;36, "3+ Years")</f>
        <v>1-3 Years</v>
      </c>
      <c r="N1053" s="2" t="str">
        <f>IF(TelecomData[[#This Row],[CleanedTotalCharges]]&gt;=2500,"High Spend", "Standard Spend")</f>
        <v>Standard Spend</v>
      </c>
    </row>
    <row r="1054" spans="1:14" x14ac:dyDescent="0.3">
      <c r="A1054" s="1" t="s">
        <v>1078</v>
      </c>
      <c r="B1054" s="2" t="s">
        <v>12</v>
      </c>
      <c r="C1054" s="2" t="s">
        <v>20</v>
      </c>
      <c r="D1054" s="2">
        <v>40</v>
      </c>
      <c r="E1054" s="2" t="s">
        <v>14</v>
      </c>
      <c r="F1054" s="2" t="s">
        <v>16</v>
      </c>
      <c r="G1054" s="7">
        <v>80.75</v>
      </c>
      <c r="H1054" s="7">
        <v>3208.65</v>
      </c>
      <c r="I1054" s="2" t="s">
        <v>15</v>
      </c>
      <c r="J1054" s="2" t="s">
        <v>16</v>
      </c>
      <c r="K1054" s="2" t="s">
        <v>21</v>
      </c>
      <c r="L1054" s="7">
        <v>3208.65</v>
      </c>
      <c r="M1054" s="2" t="str">
        <f>_xlfn.IFS(TelecomData[[#This Row],[TenureMonths]]&lt;=12, "0-1 Year", TelecomData[[#This Row],[TenureMonths]]&lt;=36, "1-3 Years", TelecomData[[#This Row],[TenureMonths]]&gt;36, "3+ Years")</f>
        <v>3+ Years</v>
      </c>
      <c r="N1054" s="2" t="str">
        <f>IF(TelecomData[[#This Row],[CleanedTotalCharges]]&gt;=2500,"High Spend", "Standard Spend")</f>
        <v>High Spend</v>
      </c>
    </row>
    <row r="1055" spans="1:14" x14ac:dyDescent="0.3">
      <c r="A1055" s="1" t="s">
        <v>1079</v>
      </c>
      <c r="B1055" s="2" t="s">
        <v>12</v>
      </c>
      <c r="C1055" s="2" t="s">
        <v>13</v>
      </c>
      <c r="D1055" s="2">
        <v>5</v>
      </c>
      <c r="E1055" s="2" t="s">
        <v>14</v>
      </c>
      <c r="F1055" s="2" t="s">
        <v>15</v>
      </c>
      <c r="G1055" s="7">
        <v>39.5</v>
      </c>
      <c r="H1055" s="7">
        <v>210.75</v>
      </c>
      <c r="I1055" s="2" t="s">
        <v>16</v>
      </c>
      <c r="J1055" s="2" t="s">
        <v>15</v>
      </c>
      <c r="K1055" s="2" t="s">
        <v>17</v>
      </c>
      <c r="L1055" s="7">
        <v>210.75</v>
      </c>
      <c r="M1055" s="2" t="str">
        <f>_xlfn.IFS(TelecomData[[#This Row],[TenureMonths]]&lt;=12, "0-1 Year", TelecomData[[#This Row],[TenureMonths]]&lt;=36, "1-3 Years", TelecomData[[#This Row],[TenureMonths]]&gt;36, "3+ Years")</f>
        <v>0-1 Year</v>
      </c>
      <c r="N1055" s="2" t="str">
        <f>IF(TelecomData[[#This Row],[CleanedTotalCharges]]&gt;=2500,"High Spend", "Standard Spend")</f>
        <v>Standard Spend</v>
      </c>
    </row>
    <row r="1056" spans="1:14" x14ac:dyDescent="0.3">
      <c r="A1056" s="1" t="s">
        <v>1080</v>
      </c>
      <c r="B1056" s="2" t="s">
        <v>19</v>
      </c>
      <c r="C1056" s="2" t="s">
        <v>13</v>
      </c>
      <c r="D1056" s="2">
        <v>40</v>
      </c>
      <c r="E1056" s="2" t="s">
        <v>26</v>
      </c>
      <c r="F1056" s="2" t="s">
        <v>15</v>
      </c>
      <c r="G1056" s="7">
        <v>97.1</v>
      </c>
      <c r="H1056" s="7">
        <v>3706.95</v>
      </c>
      <c r="I1056" s="2" t="s">
        <v>16</v>
      </c>
      <c r="J1056" s="2" t="s">
        <v>16</v>
      </c>
      <c r="K1056" s="2" t="s">
        <v>24</v>
      </c>
      <c r="L1056" s="7">
        <v>3706.95</v>
      </c>
      <c r="M1056" s="2" t="str">
        <f>_xlfn.IFS(TelecomData[[#This Row],[TenureMonths]]&lt;=12, "0-1 Year", TelecomData[[#This Row],[TenureMonths]]&lt;=36, "1-3 Years", TelecomData[[#This Row],[TenureMonths]]&gt;36, "3+ Years")</f>
        <v>3+ Years</v>
      </c>
      <c r="N1056" s="2" t="str">
        <f>IF(TelecomData[[#This Row],[CleanedTotalCharges]]&gt;=2500,"High Spend", "Standard Spend")</f>
        <v>High Spend</v>
      </c>
    </row>
    <row r="1057" spans="1:14" x14ac:dyDescent="0.3">
      <c r="A1057" s="1" t="s">
        <v>1081</v>
      </c>
      <c r="B1057" s="2" t="s">
        <v>12</v>
      </c>
      <c r="C1057" s="2" t="s">
        <v>20</v>
      </c>
      <c r="D1057" s="2">
        <v>36</v>
      </c>
      <c r="E1057" s="2" t="s">
        <v>15</v>
      </c>
      <c r="F1057" s="2" t="s">
        <v>36</v>
      </c>
      <c r="G1057" s="7">
        <v>19.55</v>
      </c>
      <c r="H1057" s="7">
        <v>620.75</v>
      </c>
      <c r="I1057" s="2" t="s">
        <v>15</v>
      </c>
      <c r="J1057" s="2" t="s">
        <v>15</v>
      </c>
      <c r="K1057" s="2" t="s">
        <v>21</v>
      </c>
      <c r="L1057" s="7">
        <v>620.75</v>
      </c>
      <c r="M1057" s="2" t="str">
        <f>_xlfn.IFS(TelecomData[[#This Row],[TenureMonths]]&lt;=12, "0-1 Year", TelecomData[[#This Row],[TenureMonths]]&lt;=36, "1-3 Years", TelecomData[[#This Row],[TenureMonths]]&gt;36, "3+ Years")</f>
        <v>1-3 Years</v>
      </c>
      <c r="N1057" s="2" t="str">
        <f>IF(TelecomData[[#This Row],[CleanedTotalCharges]]&gt;=2500,"High Spend", "Standard Spend")</f>
        <v>Standard Spend</v>
      </c>
    </row>
    <row r="1058" spans="1:14" x14ac:dyDescent="0.3">
      <c r="A1058" s="1" t="s">
        <v>1082</v>
      </c>
      <c r="B1058" s="2" t="s">
        <v>12</v>
      </c>
      <c r="C1058" s="2" t="s">
        <v>13</v>
      </c>
      <c r="D1058" s="2">
        <v>5</v>
      </c>
      <c r="E1058" s="2" t="s">
        <v>26</v>
      </c>
      <c r="F1058" s="2" t="s">
        <v>15</v>
      </c>
      <c r="G1058" s="7">
        <v>80</v>
      </c>
      <c r="H1058" s="7">
        <v>412.5</v>
      </c>
      <c r="I1058" s="2" t="s">
        <v>16</v>
      </c>
      <c r="J1058" s="2" t="s">
        <v>16</v>
      </c>
      <c r="K1058" s="2" t="s">
        <v>17</v>
      </c>
      <c r="L1058" s="7">
        <v>412.5</v>
      </c>
      <c r="M1058" s="2" t="str">
        <f>_xlfn.IFS(TelecomData[[#This Row],[TenureMonths]]&lt;=12, "0-1 Year", TelecomData[[#This Row],[TenureMonths]]&lt;=36, "1-3 Years", TelecomData[[#This Row],[TenureMonths]]&gt;36, "3+ Years")</f>
        <v>0-1 Year</v>
      </c>
      <c r="N1058" s="2" t="str">
        <f>IF(TelecomData[[#This Row],[CleanedTotalCharges]]&gt;=2500,"High Spend", "Standard Spend")</f>
        <v>Standard Spend</v>
      </c>
    </row>
    <row r="1059" spans="1:14" x14ac:dyDescent="0.3">
      <c r="A1059" s="1" t="s">
        <v>1083</v>
      </c>
      <c r="B1059" s="2" t="s">
        <v>12</v>
      </c>
      <c r="C1059" s="2" t="s">
        <v>13</v>
      </c>
      <c r="D1059" s="2">
        <v>10</v>
      </c>
      <c r="E1059" s="2" t="s">
        <v>26</v>
      </c>
      <c r="F1059" s="2" t="s">
        <v>15</v>
      </c>
      <c r="G1059" s="7">
        <v>84.7</v>
      </c>
      <c r="H1059" s="7">
        <v>832.05</v>
      </c>
      <c r="I1059" s="2" t="s">
        <v>16</v>
      </c>
      <c r="J1059" s="2" t="s">
        <v>16</v>
      </c>
      <c r="K1059" s="2" t="s">
        <v>21</v>
      </c>
      <c r="L1059" s="7">
        <v>832.05</v>
      </c>
      <c r="M1059" s="2" t="str">
        <f>_xlfn.IFS(TelecomData[[#This Row],[TenureMonths]]&lt;=12, "0-1 Year", TelecomData[[#This Row],[TenureMonths]]&lt;=36, "1-3 Years", TelecomData[[#This Row],[TenureMonths]]&gt;36, "3+ Years")</f>
        <v>0-1 Year</v>
      </c>
      <c r="N1059" s="2" t="str">
        <f>IF(TelecomData[[#This Row],[CleanedTotalCharges]]&gt;=2500,"High Spend", "Standard Spend")</f>
        <v>Standard Spend</v>
      </c>
    </row>
    <row r="1060" spans="1:14" x14ac:dyDescent="0.3">
      <c r="A1060" s="1" t="s">
        <v>1084</v>
      </c>
      <c r="B1060" s="2" t="s">
        <v>19</v>
      </c>
      <c r="C1060" s="2" t="s">
        <v>13</v>
      </c>
      <c r="D1060" s="2">
        <v>2</v>
      </c>
      <c r="E1060" s="2" t="s">
        <v>26</v>
      </c>
      <c r="F1060" s="2" t="s">
        <v>15</v>
      </c>
      <c r="G1060" s="7">
        <v>89.55</v>
      </c>
      <c r="H1060" s="7">
        <v>185.55</v>
      </c>
      <c r="I1060" s="2" t="s">
        <v>16</v>
      </c>
      <c r="J1060" s="2" t="s">
        <v>16</v>
      </c>
      <c r="K1060" s="2" t="s">
        <v>24</v>
      </c>
      <c r="L1060" s="7">
        <v>185.55</v>
      </c>
      <c r="M1060" s="2" t="str">
        <f>_xlfn.IFS(TelecomData[[#This Row],[TenureMonths]]&lt;=12, "0-1 Year", TelecomData[[#This Row],[TenureMonths]]&lt;=36, "1-3 Years", TelecomData[[#This Row],[TenureMonths]]&gt;36, "3+ Years")</f>
        <v>0-1 Year</v>
      </c>
      <c r="N1060" s="2" t="str">
        <f>IF(TelecomData[[#This Row],[CleanedTotalCharges]]&gt;=2500,"High Spend", "Standard Spend")</f>
        <v>Standard Spend</v>
      </c>
    </row>
    <row r="1061" spans="1:14" x14ac:dyDescent="0.3">
      <c r="A1061" s="1" t="s">
        <v>1085</v>
      </c>
      <c r="B1061" s="2" t="s">
        <v>19</v>
      </c>
      <c r="C1061" s="2" t="s">
        <v>13</v>
      </c>
      <c r="D1061" s="2">
        <v>23</v>
      </c>
      <c r="E1061" s="2" t="s">
        <v>26</v>
      </c>
      <c r="F1061" s="2" t="s">
        <v>16</v>
      </c>
      <c r="G1061" s="7">
        <v>90.6</v>
      </c>
      <c r="H1061" s="7">
        <v>1943.2</v>
      </c>
      <c r="I1061" s="2" t="s">
        <v>16</v>
      </c>
      <c r="J1061" s="2" t="s">
        <v>16</v>
      </c>
      <c r="K1061" s="2" t="s">
        <v>17</v>
      </c>
      <c r="L1061" s="7">
        <v>1943.2</v>
      </c>
      <c r="M1061" s="2" t="str">
        <f>_xlfn.IFS(TelecomData[[#This Row],[TenureMonths]]&lt;=12, "0-1 Year", TelecomData[[#This Row],[TenureMonths]]&lt;=36, "1-3 Years", TelecomData[[#This Row],[TenureMonths]]&gt;36, "3+ Years")</f>
        <v>1-3 Years</v>
      </c>
      <c r="N1061" s="2" t="str">
        <f>IF(TelecomData[[#This Row],[CleanedTotalCharges]]&gt;=2500,"High Spend", "Standard Spend")</f>
        <v>Standard Spend</v>
      </c>
    </row>
    <row r="1062" spans="1:14" x14ac:dyDescent="0.3">
      <c r="A1062" s="1" t="s">
        <v>1086</v>
      </c>
      <c r="B1062" s="2" t="s">
        <v>19</v>
      </c>
      <c r="C1062" s="2" t="s">
        <v>20</v>
      </c>
      <c r="D1062" s="2">
        <v>26</v>
      </c>
      <c r="E1062" s="2" t="s">
        <v>15</v>
      </c>
      <c r="F1062" s="2" t="s">
        <v>36</v>
      </c>
      <c r="G1062" s="7">
        <v>20.05</v>
      </c>
      <c r="H1062" s="7">
        <v>505.9</v>
      </c>
      <c r="I1062" s="2" t="s">
        <v>15</v>
      </c>
      <c r="J1062" s="2" t="s">
        <v>16</v>
      </c>
      <c r="K1062" s="2" t="s">
        <v>24</v>
      </c>
      <c r="L1062" s="7">
        <v>505.9</v>
      </c>
      <c r="M1062" s="2" t="str">
        <f>_xlfn.IFS(TelecomData[[#This Row],[TenureMonths]]&lt;=12, "0-1 Year", TelecomData[[#This Row],[TenureMonths]]&lt;=36, "1-3 Years", TelecomData[[#This Row],[TenureMonths]]&gt;36, "3+ Years")</f>
        <v>1-3 Years</v>
      </c>
      <c r="N1062" s="2" t="str">
        <f>IF(TelecomData[[#This Row],[CleanedTotalCharges]]&gt;=2500,"High Spend", "Standard Spend")</f>
        <v>Standard Spend</v>
      </c>
    </row>
    <row r="1063" spans="1:14" x14ac:dyDescent="0.3">
      <c r="A1063" s="1" t="s">
        <v>1087</v>
      </c>
      <c r="B1063" s="2" t="s">
        <v>12</v>
      </c>
      <c r="C1063" s="2" t="s">
        <v>35</v>
      </c>
      <c r="D1063" s="2">
        <v>72</v>
      </c>
      <c r="E1063" s="2" t="s">
        <v>26</v>
      </c>
      <c r="F1063" s="2" t="s">
        <v>15</v>
      </c>
      <c r="G1063" s="7">
        <v>112.4</v>
      </c>
      <c r="H1063" s="7">
        <v>8046.85</v>
      </c>
      <c r="I1063" s="2" t="s">
        <v>15</v>
      </c>
      <c r="J1063" s="2" t="s">
        <v>16</v>
      </c>
      <c r="K1063" s="2" t="s">
        <v>17</v>
      </c>
      <c r="L1063" s="7">
        <v>8046.85</v>
      </c>
      <c r="M1063" s="2" t="str">
        <f>_xlfn.IFS(TelecomData[[#This Row],[TenureMonths]]&lt;=12, "0-1 Year", TelecomData[[#This Row],[TenureMonths]]&lt;=36, "1-3 Years", TelecomData[[#This Row],[TenureMonths]]&gt;36, "3+ Years")</f>
        <v>3+ Years</v>
      </c>
      <c r="N1063" s="2" t="str">
        <f>IF(TelecomData[[#This Row],[CleanedTotalCharges]]&gt;=2500,"High Spend", "Standard Spend")</f>
        <v>High Spend</v>
      </c>
    </row>
    <row r="1064" spans="1:14" x14ac:dyDescent="0.3">
      <c r="A1064" s="1" t="s">
        <v>1088</v>
      </c>
      <c r="B1064" s="2" t="s">
        <v>12</v>
      </c>
      <c r="C1064" s="2" t="s">
        <v>13</v>
      </c>
      <c r="D1064" s="2">
        <v>34</v>
      </c>
      <c r="E1064" s="2" t="s">
        <v>14</v>
      </c>
      <c r="F1064" s="2" t="s">
        <v>16</v>
      </c>
      <c r="G1064" s="7">
        <v>50.2</v>
      </c>
      <c r="H1064" s="7">
        <v>1815.3</v>
      </c>
      <c r="I1064" s="2" t="s">
        <v>15</v>
      </c>
      <c r="J1064" s="2" t="s">
        <v>15</v>
      </c>
      <c r="K1064" s="2" t="s">
        <v>24</v>
      </c>
      <c r="L1064" s="7">
        <v>1815.3</v>
      </c>
      <c r="M1064" s="2" t="str">
        <f>_xlfn.IFS(TelecomData[[#This Row],[TenureMonths]]&lt;=12, "0-1 Year", TelecomData[[#This Row],[TenureMonths]]&lt;=36, "1-3 Years", TelecomData[[#This Row],[TenureMonths]]&gt;36, "3+ Years")</f>
        <v>1-3 Years</v>
      </c>
      <c r="N1064" s="2" t="str">
        <f>IF(TelecomData[[#This Row],[CleanedTotalCharges]]&gt;=2500,"High Spend", "Standard Spend")</f>
        <v>Standard Spend</v>
      </c>
    </row>
    <row r="1065" spans="1:14" x14ac:dyDescent="0.3">
      <c r="A1065" s="1" t="s">
        <v>1089</v>
      </c>
      <c r="B1065" s="2" t="s">
        <v>19</v>
      </c>
      <c r="C1065" s="2" t="s">
        <v>13</v>
      </c>
      <c r="D1065" s="2">
        <v>10</v>
      </c>
      <c r="E1065" s="2" t="s">
        <v>14</v>
      </c>
      <c r="F1065" s="2" t="s">
        <v>16</v>
      </c>
      <c r="G1065" s="7">
        <v>62.25</v>
      </c>
      <c r="H1065" s="7">
        <v>612.95000000000005</v>
      </c>
      <c r="I1065" s="2" t="s">
        <v>15</v>
      </c>
      <c r="J1065" s="2" t="s">
        <v>15</v>
      </c>
      <c r="K1065" s="2" t="s">
        <v>24</v>
      </c>
      <c r="L1065" s="7">
        <v>612.95000000000005</v>
      </c>
      <c r="M1065" s="2" t="str">
        <f>_xlfn.IFS(TelecomData[[#This Row],[TenureMonths]]&lt;=12, "0-1 Year", TelecomData[[#This Row],[TenureMonths]]&lt;=36, "1-3 Years", TelecomData[[#This Row],[TenureMonths]]&gt;36, "3+ Years")</f>
        <v>0-1 Year</v>
      </c>
      <c r="N1065" s="2" t="str">
        <f>IF(TelecomData[[#This Row],[CleanedTotalCharges]]&gt;=2500,"High Spend", "Standard Spend")</f>
        <v>Standard Spend</v>
      </c>
    </row>
    <row r="1066" spans="1:14" x14ac:dyDescent="0.3">
      <c r="A1066" s="1" t="s">
        <v>1090</v>
      </c>
      <c r="B1066" s="2" t="s">
        <v>12</v>
      </c>
      <c r="C1066" s="2" t="s">
        <v>20</v>
      </c>
      <c r="D1066" s="2">
        <v>14</v>
      </c>
      <c r="E1066" s="2" t="s">
        <v>14</v>
      </c>
      <c r="F1066" s="2" t="s">
        <v>16</v>
      </c>
      <c r="G1066" s="7">
        <v>55.7</v>
      </c>
      <c r="H1066" s="7">
        <v>795.15</v>
      </c>
      <c r="I1066" s="2" t="s">
        <v>15</v>
      </c>
      <c r="J1066" s="2" t="s">
        <v>15</v>
      </c>
      <c r="K1066" s="2" t="s">
        <v>21</v>
      </c>
      <c r="L1066" s="7">
        <v>795.15</v>
      </c>
      <c r="M1066" s="2" t="str">
        <f>_xlfn.IFS(TelecomData[[#This Row],[TenureMonths]]&lt;=12, "0-1 Year", TelecomData[[#This Row],[TenureMonths]]&lt;=36, "1-3 Years", TelecomData[[#This Row],[TenureMonths]]&gt;36, "3+ Years")</f>
        <v>1-3 Years</v>
      </c>
      <c r="N1066" s="2" t="str">
        <f>IF(TelecomData[[#This Row],[CleanedTotalCharges]]&gt;=2500,"High Spend", "Standard Spend")</f>
        <v>Standard Spend</v>
      </c>
    </row>
    <row r="1067" spans="1:14" x14ac:dyDescent="0.3">
      <c r="A1067" s="1" t="s">
        <v>1091</v>
      </c>
      <c r="B1067" s="2" t="s">
        <v>12</v>
      </c>
      <c r="C1067" s="2" t="s">
        <v>13</v>
      </c>
      <c r="D1067" s="2">
        <v>23</v>
      </c>
      <c r="E1067" s="2" t="s">
        <v>26</v>
      </c>
      <c r="F1067" s="2" t="s">
        <v>15</v>
      </c>
      <c r="G1067" s="7">
        <v>90.05</v>
      </c>
      <c r="H1067" s="7">
        <v>2169.8000000000002</v>
      </c>
      <c r="I1067" s="2" t="s">
        <v>16</v>
      </c>
      <c r="J1067" s="2" t="s">
        <v>16</v>
      </c>
      <c r="K1067" s="2" t="s">
        <v>24</v>
      </c>
      <c r="L1067" s="7">
        <v>2169.8000000000002</v>
      </c>
      <c r="M1067" s="2" t="str">
        <f>_xlfn.IFS(TelecomData[[#This Row],[TenureMonths]]&lt;=12, "0-1 Year", TelecomData[[#This Row],[TenureMonths]]&lt;=36, "1-3 Years", TelecomData[[#This Row],[TenureMonths]]&gt;36, "3+ Years")</f>
        <v>1-3 Years</v>
      </c>
      <c r="N1067" s="2" t="str">
        <f>IF(TelecomData[[#This Row],[CleanedTotalCharges]]&gt;=2500,"High Spend", "Standard Spend")</f>
        <v>Standard Spend</v>
      </c>
    </row>
    <row r="1068" spans="1:14" x14ac:dyDescent="0.3">
      <c r="A1068" s="1" t="s">
        <v>1092</v>
      </c>
      <c r="B1068" s="2" t="s">
        <v>19</v>
      </c>
      <c r="C1068" s="2" t="s">
        <v>35</v>
      </c>
      <c r="D1068" s="2">
        <v>47</v>
      </c>
      <c r="E1068" s="2" t="s">
        <v>15</v>
      </c>
      <c r="F1068" s="2" t="s">
        <v>36</v>
      </c>
      <c r="G1068" s="7">
        <v>19.649999999999999</v>
      </c>
      <c r="H1068" s="7">
        <v>973.1</v>
      </c>
      <c r="I1068" s="2" t="s">
        <v>15</v>
      </c>
      <c r="J1068" s="2" t="s">
        <v>15</v>
      </c>
      <c r="K1068" s="2" t="s">
        <v>21</v>
      </c>
      <c r="L1068" s="7">
        <v>973.1</v>
      </c>
      <c r="M1068" s="2" t="str">
        <f>_xlfn.IFS(TelecomData[[#This Row],[TenureMonths]]&lt;=12, "0-1 Year", TelecomData[[#This Row],[TenureMonths]]&lt;=36, "1-3 Years", TelecomData[[#This Row],[TenureMonths]]&gt;36, "3+ Years")</f>
        <v>3+ Years</v>
      </c>
      <c r="N1068" s="2" t="str">
        <f>IF(TelecomData[[#This Row],[CleanedTotalCharges]]&gt;=2500,"High Spend", "Standard Spend")</f>
        <v>Standard Spend</v>
      </c>
    </row>
    <row r="1069" spans="1:14" x14ac:dyDescent="0.3">
      <c r="A1069" s="1" t="s">
        <v>1093</v>
      </c>
      <c r="B1069" s="2" t="s">
        <v>19</v>
      </c>
      <c r="C1069" s="2" t="s">
        <v>13</v>
      </c>
      <c r="D1069" s="2">
        <v>24</v>
      </c>
      <c r="E1069" s="2" t="s">
        <v>26</v>
      </c>
      <c r="F1069" s="2" t="s">
        <v>16</v>
      </c>
      <c r="G1069" s="7">
        <v>89.25</v>
      </c>
      <c r="H1069" s="7">
        <v>2210.1999999999998</v>
      </c>
      <c r="I1069" s="2" t="s">
        <v>15</v>
      </c>
      <c r="J1069" s="2" t="s">
        <v>16</v>
      </c>
      <c r="K1069" s="2" t="s">
        <v>17</v>
      </c>
      <c r="L1069" s="7">
        <v>2210.1999999999998</v>
      </c>
      <c r="M1069" s="2" t="str">
        <f>_xlfn.IFS(TelecomData[[#This Row],[TenureMonths]]&lt;=12, "0-1 Year", TelecomData[[#This Row],[TenureMonths]]&lt;=36, "1-3 Years", TelecomData[[#This Row],[TenureMonths]]&gt;36, "3+ Years")</f>
        <v>1-3 Years</v>
      </c>
      <c r="N1069" s="2" t="str">
        <f>IF(TelecomData[[#This Row],[CleanedTotalCharges]]&gt;=2500,"High Spend", "Standard Spend")</f>
        <v>Standard Spend</v>
      </c>
    </row>
    <row r="1070" spans="1:14" x14ac:dyDescent="0.3">
      <c r="A1070" s="1" t="s">
        <v>1094</v>
      </c>
      <c r="B1070" s="2" t="s">
        <v>19</v>
      </c>
      <c r="C1070" s="2" t="s">
        <v>13</v>
      </c>
      <c r="D1070" s="2">
        <v>49</v>
      </c>
      <c r="E1070" s="2" t="s">
        <v>26</v>
      </c>
      <c r="F1070" s="2" t="s">
        <v>15</v>
      </c>
      <c r="G1070" s="7">
        <v>99.05</v>
      </c>
      <c r="H1070" s="7">
        <v>4853.75</v>
      </c>
      <c r="I1070" s="2" t="s">
        <v>16</v>
      </c>
      <c r="J1070" s="2" t="s">
        <v>16</v>
      </c>
      <c r="K1070" s="2" t="s">
        <v>24</v>
      </c>
      <c r="L1070" s="7">
        <v>4853.75</v>
      </c>
      <c r="M1070" s="2" t="str">
        <f>_xlfn.IFS(TelecomData[[#This Row],[TenureMonths]]&lt;=12, "0-1 Year", TelecomData[[#This Row],[TenureMonths]]&lt;=36, "1-3 Years", TelecomData[[#This Row],[TenureMonths]]&gt;36, "3+ Years")</f>
        <v>3+ Years</v>
      </c>
      <c r="N1070" s="2" t="str">
        <f>IF(TelecomData[[#This Row],[CleanedTotalCharges]]&gt;=2500,"High Spend", "Standard Spend")</f>
        <v>High Spend</v>
      </c>
    </row>
    <row r="1071" spans="1:14" x14ac:dyDescent="0.3">
      <c r="A1071" s="1" t="s">
        <v>1095</v>
      </c>
      <c r="B1071" s="2" t="s">
        <v>19</v>
      </c>
      <c r="C1071" s="2" t="s">
        <v>20</v>
      </c>
      <c r="D1071" s="2">
        <v>20</v>
      </c>
      <c r="E1071" s="2" t="s">
        <v>14</v>
      </c>
      <c r="F1071" s="2" t="s">
        <v>16</v>
      </c>
      <c r="G1071" s="7">
        <v>54</v>
      </c>
      <c r="H1071" s="7">
        <v>1055.9000000000001</v>
      </c>
      <c r="I1071" s="2" t="s">
        <v>15</v>
      </c>
      <c r="J1071" s="2" t="s">
        <v>15</v>
      </c>
      <c r="K1071" s="2" t="s">
        <v>21</v>
      </c>
      <c r="L1071" s="7">
        <v>1055.9000000000001</v>
      </c>
      <c r="M1071" s="2" t="str">
        <f>_xlfn.IFS(TelecomData[[#This Row],[TenureMonths]]&lt;=12, "0-1 Year", TelecomData[[#This Row],[TenureMonths]]&lt;=36, "1-3 Years", TelecomData[[#This Row],[TenureMonths]]&gt;36, "3+ Years")</f>
        <v>1-3 Years</v>
      </c>
      <c r="N1071" s="2" t="str">
        <f>IF(TelecomData[[#This Row],[CleanedTotalCharges]]&gt;=2500,"High Spend", "Standard Spend")</f>
        <v>Standard Spend</v>
      </c>
    </row>
    <row r="1072" spans="1:14" x14ac:dyDescent="0.3">
      <c r="A1072" s="1" t="s">
        <v>1096</v>
      </c>
      <c r="B1072" s="2" t="s">
        <v>12</v>
      </c>
      <c r="C1072" s="2" t="s">
        <v>13</v>
      </c>
      <c r="D1072" s="2">
        <v>2</v>
      </c>
      <c r="E1072" s="2" t="s">
        <v>26</v>
      </c>
      <c r="F1072" s="2" t="s">
        <v>15</v>
      </c>
      <c r="G1072" s="7">
        <v>69.75</v>
      </c>
      <c r="H1072" s="7">
        <v>144.55000000000001</v>
      </c>
      <c r="I1072" s="2" t="s">
        <v>16</v>
      </c>
      <c r="J1072" s="2" t="s">
        <v>15</v>
      </c>
      <c r="K1072" s="2" t="s">
        <v>24</v>
      </c>
      <c r="L1072" s="7">
        <v>144.55000000000001</v>
      </c>
      <c r="M1072" s="2" t="str">
        <f>_xlfn.IFS(TelecomData[[#This Row],[TenureMonths]]&lt;=12, "0-1 Year", TelecomData[[#This Row],[TenureMonths]]&lt;=36, "1-3 Years", TelecomData[[#This Row],[TenureMonths]]&gt;36, "3+ Years")</f>
        <v>0-1 Year</v>
      </c>
      <c r="N1072" s="2" t="str">
        <f>IF(TelecomData[[#This Row],[CleanedTotalCharges]]&gt;=2500,"High Spend", "Standard Spend")</f>
        <v>Standard Spend</v>
      </c>
    </row>
    <row r="1073" spans="1:14" x14ac:dyDescent="0.3">
      <c r="A1073" s="1" t="s">
        <v>1097</v>
      </c>
      <c r="B1073" s="2" t="s">
        <v>12</v>
      </c>
      <c r="C1073" s="2" t="s">
        <v>13</v>
      </c>
      <c r="D1073" s="2">
        <v>2</v>
      </c>
      <c r="E1073" s="2" t="s">
        <v>14</v>
      </c>
      <c r="F1073" s="2" t="s">
        <v>15</v>
      </c>
      <c r="G1073" s="7">
        <v>49.05</v>
      </c>
      <c r="H1073" s="7">
        <v>91.1</v>
      </c>
      <c r="I1073" s="2" t="s">
        <v>16</v>
      </c>
      <c r="J1073" s="2" t="s">
        <v>16</v>
      </c>
      <c r="K1073" s="2" t="s">
        <v>29</v>
      </c>
      <c r="L1073" s="7">
        <v>91.1</v>
      </c>
      <c r="M1073" s="2" t="str">
        <f>_xlfn.IFS(TelecomData[[#This Row],[TenureMonths]]&lt;=12, "0-1 Year", TelecomData[[#This Row],[TenureMonths]]&lt;=36, "1-3 Years", TelecomData[[#This Row],[TenureMonths]]&gt;36, "3+ Years")</f>
        <v>0-1 Year</v>
      </c>
      <c r="N1073" s="2" t="str">
        <f>IF(TelecomData[[#This Row],[CleanedTotalCharges]]&gt;=2500,"High Spend", "Standard Spend")</f>
        <v>Standard Spend</v>
      </c>
    </row>
    <row r="1074" spans="1:14" x14ac:dyDescent="0.3">
      <c r="A1074" s="1" t="s">
        <v>1098</v>
      </c>
      <c r="B1074" s="2" t="s">
        <v>19</v>
      </c>
      <c r="C1074" s="2" t="s">
        <v>35</v>
      </c>
      <c r="D1074" s="2">
        <v>22</v>
      </c>
      <c r="E1074" s="2" t="s">
        <v>14</v>
      </c>
      <c r="F1074" s="2" t="s">
        <v>16</v>
      </c>
      <c r="G1074" s="7">
        <v>56.75</v>
      </c>
      <c r="H1074" s="7">
        <v>1304.8499999999999</v>
      </c>
      <c r="I1074" s="2" t="s">
        <v>15</v>
      </c>
      <c r="J1074" s="2" t="s">
        <v>15</v>
      </c>
      <c r="K1074" s="2" t="s">
        <v>24</v>
      </c>
      <c r="L1074" s="7">
        <v>1304.8499999999999</v>
      </c>
      <c r="M1074" s="2" t="str">
        <f>_xlfn.IFS(TelecomData[[#This Row],[TenureMonths]]&lt;=12, "0-1 Year", TelecomData[[#This Row],[TenureMonths]]&lt;=36, "1-3 Years", TelecomData[[#This Row],[TenureMonths]]&gt;36, "3+ Years")</f>
        <v>1-3 Years</v>
      </c>
      <c r="N1074" s="2" t="str">
        <f>IF(TelecomData[[#This Row],[CleanedTotalCharges]]&gt;=2500,"High Spend", "Standard Spend")</f>
        <v>Standard Spend</v>
      </c>
    </row>
    <row r="1075" spans="1:14" x14ac:dyDescent="0.3">
      <c r="A1075" s="1" t="s">
        <v>1099</v>
      </c>
      <c r="B1075" s="2" t="s">
        <v>19</v>
      </c>
      <c r="C1075" s="2" t="s">
        <v>13</v>
      </c>
      <c r="D1075" s="2">
        <v>7</v>
      </c>
      <c r="E1075" s="2" t="s">
        <v>26</v>
      </c>
      <c r="F1075" s="2" t="s">
        <v>15</v>
      </c>
      <c r="G1075" s="7">
        <v>98.05</v>
      </c>
      <c r="H1075" s="7">
        <v>713</v>
      </c>
      <c r="I1075" s="2" t="s">
        <v>16</v>
      </c>
      <c r="J1075" s="2" t="s">
        <v>16</v>
      </c>
      <c r="K1075" s="2" t="s">
        <v>24</v>
      </c>
      <c r="L1075" s="7">
        <v>713</v>
      </c>
      <c r="M1075" s="2" t="str">
        <f>_xlfn.IFS(TelecomData[[#This Row],[TenureMonths]]&lt;=12, "0-1 Year", TelecomData[[#This Row],[TenureMonths]]&lt;=36, "1-3 Years", TelecomData[[#This Row],[TenureMonths]]&gt;36, "3+ Years")</f>
        <v>0-1 Year</v>
      </c>
      <c r="N1075" s="2" t="str">
        <f>IF(TelecomData[[#This Row],[CleanedTotalCharges]]&gt;=2500,"High Spend", "Standard Spend")</f>
        <v>Standard Spend</v>
      </c>
    </row>
    <row r="1076" spans="1:14" x14ac:dyDescent="0.3">
      <c r="A1076" s="1" t="s">
        <v>1100</v>
      </c>
      <c r="B1076" s="2" t="s">
        <v>19</v>
      </c>
      <c r="C1076" s="2" t="s">
        <v>13</v>
      </c>
      <c r="D1076" s="2">
        <v>1</v>
      </c>
      <c r="E1076" s="2" t="s">
        <v>15</v>
      </c>
      <c r="F1076" s="2" t="s">
        <v>36</v>
      </c>
      <c r="G1076" s="7">
        <v>21.1</v>
      </c>
      <c r="H1076" s="7">
        <v>21.1</v>
      </c>
      <c r="I1076" s="2" t="s">
        <v>15</v>
      </c>
      <c r="J1076" s="2" t="s">
        <v>15</v>
      </c>
      <c r="K1076" s="2" t="s">
        <v>21</v>
      </c>
      <c r="L1076" s="7">
        <v>21.1</v>
      </c>
      <c r="M1076" s="2" t="str">
        <f>_xlfn.IFS(TelecomData[[#This Row],[TenureMonths]]&lt;=12, "0-1 Year", TelecomData[[#This Row],[TenureMonths]]&lt;=36, "1-3 Years", TelecomData[[#This Row],[TenureMonths]]&gt;36, "3+ Years")</f>
        <v>0-1 Year</v>
      </c>
      <c r="N1076" s="2" t="str">
        <f>IF(TelecomData[[#This Row],[CleanedTotalCharges]]&gt;=2500,"High Spend", "Standard Spend")</f>
        <v>Standard Spend</v>
      </c>
    </row>
    <row r="1077" spans="1:14" x14ac:dyDescent="0.3">
      <c r="A1077" s="1" t="s">
        <v>1101</v>
      </c>
      <c r="B1077" s="2" t="s">
        <v>12</v>
      </c>
      <c r="C1077" s="2" t="s">
        <v>13</v>
      </c>
      <c r="D1077" s="2">
        <v>59</v>
      </c>
      <c r="E1077" s="2" t="s">
        <v>26</v>
      </c>
      <c r="F1077" s="2" t="s">
        <v>16</v>
      </c>
      <c r="G1077" s="7">
        <v>96.65</v>
      </c>
      <c r="H1077" s="7">
        <v>5580.8</v>
      </c>
      <c r="I1077" s="2" t="s">
        <v>15</v>
      </c>
      <c r="J1077" s="2" t="s">
        <v>16</v>
      </c>
      <c r="K1077" s="2" t="s">
        <v>24</v>
      </c>
      <c r="L1077" s="7">
        <v>5580.8</v>
      </c>
      <c r="M1077" s="2" t="str">
        <f>_xlfn.IFS(TelecomData[[#This Row],[TenureMonths]]&lt;=12, "0-1 Year", TelecomData[[#This Row],[TenureMonths]]&lt;=36, "1-3 Years", TelecomData[[#This Row],[TenureMonths]]&gt;36, "3+ Years")</f>
        <v>3+ Years</v>
      </c>
      <c r="N1077" s="2" t="str">
        <f>IF(TelecomData[[#This Row],[CleanedTotalCharges]]&gt;=2500,"High Spend", "Standard Spend")</f>
        <v>High Spend</v>
      </c>
    </row>
    <row r="1078" spans="1:14" x14ac:dyDescent="0.3">
      <c r="A1078" s="1" t="s">
        <v>1102</v>
      </c>
      <c r="B1078" s="2" t="s">
        <v>12</v>
      </c>
      <c r="C1078" s="2" t="s">
        <v>20</v>
      </c>
      <c r="D1078" s="2">
        <v>58</v>
      </c>
      <c r="E1078" s="2" t="s">
        <v>15</v>
      </c>
      <c r="F1078" s="2" t="s">
        <v>36</v>
      </c>
      <c r="G1078" s="7">
        <v>24.5</v>
      </c>
      <c r="H1078" s="7">
        <v>1497.9</v>
      </c>
      <c r="I1078" s="2" t="s">
        <v>15</v>
      </c>
      <c r="J1078" s="2" t="s">
        <v>16</v>
      </c>
      <c r="K1078" s="2" t="s">
        <v>29</v>
      </c>
      <c r="L1078" s="7">
        <v>1497.9</v>
      </c>
      <c r="M1078" s="2" t="str">
        <f>_xlfn.IFS(TelecomData[[#This Row],[TenureMonths]]&lt;=12, "0-1 Year", TelecomData[[#This Row],[TenureMonths]]&lt;=36, "1-3 Years", TelecomData[[#This Row],[TenureMonths]]&gt;36, "3+ Years")</f>
        <v>3+ Years</v>
      </c>
      <c r="N1078" s="2" t="str">
        <f>IF(TelecomData[[#This Row],[CleanedTotalCharges]]&gt;=2500,"High Spend", "Standard Spend")</f>
        <v>Standard Spend</v>
      </c>
    </row>
    <row r="1079" spans="1:14" x14ac:dyDescent="0.3">
      <c r="A1079" s="1" t="s">
        <v>1103</v>
      </c>
      <c r="B1079" s="2" t="s">
        <v>12</v>
      </c>
      <c r="C1079" s="2" t="s">
        <v>13</v>
      </c>
      <c r="D1079" s="2">
        <v>41</v>
      </c>
      <c r="E1079" s="2" t="s">
        <v>26</v>
      </c>
      <c r="F1079" s="2" t="s">
        <v>16</v>
      </c>
      <c r="G1079" s="7">
        <v>114.5</v>
      </c>
      <c r="H1079" s="7">
        <v>4527.45</v>
      </c>
      <c r="I1079" s="2" t="s">
        <v>16</v>
      </c>
      <c r="J1079" s="2" t="s">
        <v>16</v>
      </c>
      <c r="K1079" s="2" t="s">
        <v>24</v>
      </c>
      <c r="L1079" s="7">
        <v>4527.45</v>
      </c>
      <c r="M1079" s="2" t="str">
        <f>_xlfn.IFS(TelecomData[[#This Row],[TenureMonths]]&lt;=12, "0-1 Year", TelecomData[[#This Row],[TenureMonths]]&lt;=36, "1-3 Years", TelecomData[[#This Row],[TenureMonths]]&gt;36, "3+ Years")</f>
        <v>3+ Years</v>
      </c>
      <c r="N1079" s="2" t="str">
        <f>IF(TelecomData[[#This Row],[CleanedTotalCharges]]&gt;=2500,"High Spend", "Standard Spend")</f>
        <v>High Spend</v>
      </c>
    </row>
    <row r="1080" spans="1:14" x14ac:dyDescent="0.3">
      <c r="A1080" s="1" t="s">
        <v>1104</v>
      </c>
      <c r="B1080" s="2" t="s">
        <v>12</v>
      </c>
      <c r="C1080" s="2" t="s">
        <v>35</v>
      </c>
      <c r="D1080" s="2">
        <v>59</v>
      </c>
      <c r="E1080" s="2" t="s">
        <v>26</v>
      </c>
      <c r="F1080" s="2" t="s">
        <v>15</v>
      </c>
      <c r="G1080" s="7">
        <v>79.2</v>
      </c>
      <c r="H1080" s="7">
        <v>4590.3500000000004</v>
      </c>
      <c r="I1080" s="2" t="s">
        <v>15</v>
      </c>
      <c r="J1080" s="2" t="s">
        <v>16</v>
      </c>
      <c r="K1080" s="2" t="s">
        <v>29</v>
      </c>
      <c r="L1080" s="7">
        <v>4590.3500000000004</v>
      </c>
      <c r="M1080" s="2" t="str">
        <f>_xlfn.IFS(TelecomData[[#This Row],[TenureMonths]]&lt;=12, "0-1 Year", TelecomData[[#This Row],[TenureMonths]]&lt;=36, "1-3 Years", TelecomData[[#This Row],[TenureMonths]]&gt;36, "3+ Years")</f>
        <v>3+ Years</v>
      </c>
      <c r="N1080" s="2" t="str">
        <f>IF(TelecomData[[#This Row],[CleanedTotalCharges]]&gt;=2500,"High Spend", "Standard Spend")</f>
        <v>High Spend</v>
      </c>
    </row>
    <row r="1081" spans="1:14" x14ac:dyDescent="0.3">
      <c r="A1081" s="1" t="s">
        <v>1105</v>
      </c>
      <c r="B1081" s="2" t="s">
        <v>12</v>
      </c>
      <c r="C1081" s="2" t="s">
        <v>13</v>
      </c>
      <c r="D1081" s="2">
        <v>3</v>
      </c>
      <c r="E1081" s="2" t="s">
        <v>26</v>
      </c>
      <c r="F1081" s="2" t="s">
        <v>15</v>
      </c>
      <c r="G1081" s="7">
        <v>69.55</v>
      </c>
      <c r="H1081" s="7">
        <v>200.2</v>
      </c>
      <c r="I1081" s="2" t="s">
        <v>15</v>
      </c>
      <c r="J1081" s="2" t="s">
        <v>16</v>
      </c>
      <c r="K1081" s="2" t="s">
        <v>17</v>
      </c>
      <c r="L1081" s="7">
        <v>200.2</v>
      </c>
      <c r="M1081" s="2" t="str">
        <f>_xlfn.IFS(TelecomData[[#This Row],[TenureMonths]]&lt;=12, "0-1 Year", TelecomData[[#This Row],[TenureMonths]]&lt;=36, "1-3 Years", TelecomData[[#This Row],[TenureMonths]]&gt;36, "3+ Years")</f>
        <v>0-1 Year</v>
      </c>
      <c r="N1081" s="2" t="str">
        <f>IF(TelecomData[[#This Row],[CleanedTotalCharges]]&gt;=2500,"High Spend", "Standard Spend")</f>
        <v>Standard Spend</v>
      </c>
    </row>
    <row r="1082" spans="1:14" x14ac:dyDescent="0.3">
      <c r="A1082" s="1" t="s">
        <v>1106</v>
      </c>
      <c r="B1082" s="2" t="s">
        <v>19</v>
      </c>
      <c r="C1082" s="2" t="s">
        <v>35</v>
      </c>
      <c r="D1082" s="2">
        <v>32</v>
      </c>
      <c r="E1082" s="2" t="s">
        <v>15</v>
      </c>
      <c r="F1082" s="2" t="s">
        <v>36</v>
      </c>
      <c r="G1082" s="7">
        <v>20.05</v>
      </c>
      <c r="H1082" s="7">
        <v>614.45000000000005</v>
      </c>
      <c r="I1082" s="2" t="s">
        <v>15</v>
      </c>
      <c r="J1082" s="2" t="s">
        <v>16</v>
      </c>
      <c r="K1082" s="2" t="s">
        <v>24</v>
      </c>
      <c r="L1082" s="7">
        <v>614.45000000000005</v>
      </c>
      <c r="M1082" s="2" t="str">
        <f>_xlfn.IFS(TelecomData[[#This Row],[TenureMonths]]&lt;=12, "0-1 Year", TelecomData[[#This Row],[TenureMonths]]&lt;=36, "1-3 Years", TelecomData[[#This Row],[TenureMonths]]&gt;36, "3+ Years")</f>
        <v>1-3 Years</v>
      </c>
      <c r="N1082" s="2" t="str">
        <f>IF(TelecomData[[#This Row],[CleanedTotalCharges]]&gt;=2500,"High Spend", "Standard Spend")</f>
        <v>Standard Spend</v>
      </c>
    </row>
    <row r="1083" spans="1:14" x14ac:dyDescent="0.3">
      <c r="A1083" s="1" t="s">
        <v>1107</v>
      </c>
      <c r="B1083" s="2" t="s">
        <v>19</v>
      </c>
      <c r="C1083" s="2" t="s">
        <v>13</v>
      </c>
      <c r="D1083" s="2">
        <v>46</v>
      </c>
      <c r="E1083" s="2" t="s">
        <v>26</v>
      </c>
      <c r="F1083" s="2" t="s">
        <v>15</v>
      </c>
      <c r="G1083" s="7">
        <v>98.85</v>
      </c>
      <c r="H1083" s="7">
        <v>4564.8999999999996</v>
      </c>
      <c r="I1083" s="2" t="s">
        <v>15</v>
      </c>
      <c r="J1083" s="2" t="s">
        <v>16</v>
      </c>
      <c r="K1083" s="2" t="s">
        <v>17</v>
      </c>
      <c r="L1083" s="7">
        <v>4564.8999999999996</v>
      </c>
      <c r="M1083" s="2" t="str">
        <f>_xlfn.IFS(TelecomData[[#This Row],[TenureMonths]]&lt;=12, "0-1 Year", TelecomData[[#This Row],[TenureMonths]]&lt;=36, "1-3 Years", TelecomData[[#This Row],[TenureMonths]]&gt;36, "3+ Years")</f>
        <v>3+ Years</v>
      </c>
      <c r="N1083" s="2" t="str">
        <f>IF(TelecomData[[#This Row],[CleanedTotalCharges]]&gt;=2500,"High Spend", "Standard Spend")</f>
        <v>High Spend</v>
      </c>
    </row>
    <row r="1084" spans="1:14" x14ac:dyDescent="0.3">
      <c r="A1084" s="1" t="s">
        <v>1108</v>
      </c>
      <c r="B1084" s="2" t="s">
        <v>19</v>
      </c>
      <c r="C1084" s="2" t="s">
        <v>35</v>
      </c>
      <c r="D1084" s="2">
        <v>0</v>
      </c>
      <c r="E1084" s="2" t="s">
        <v>15</v>
      </c>
      <c r="F1084" s="2" t="s">
        <v>36</v>
      </c>
      <c r="G1084" s="7">
        <v>25.75</v>
      </c>
      <c r="H1084" s="7" t="s">
        <v>514</v>
      </c>
      <c r="I1084" s="2" t="s">
        <v>15</v>
      </c>
      <c r="J1084" s="2" t="s">
        <v>15</v>
      </c>
      <c r="K1084" s="2" t="s">
        <v>21</v>
      </c>
      <c r="L1084" s="7">
        <v>0</v>
      </c>
      <c r="M1084" s="2" t="str">
        <f>_xlfn.IFS(TelecomData[[#This Row],[TenureMonths]]&lt;=12, "0-1 Year", TelecomData[[#This Row],[TenureMonths]]&lt;=36, "1-3 Years", TelecomData[[#This Row],[TenureMonths]]&gt;36, "3+ Years")</f>
        <v>0-1 Year</v>
      </c>
      <c r="N1084" s="2" t="str">
        <f>IF(TelecomData[[#This Row],[CleanedTotalCharges]]&gt;=2500,"High Spend", "Standard Spend")</f>
        <v>Standard Spend</v>
      </c>
    </row>
    <row r="1085" spans="1:14" x14ac:dyDescent="0.3">
      <c r="A1085" s="1" t="s">
        <v>1109</v>
      </c>
      <c r="B1085" s="2" t="s">
        <v>19</v>
      </c>
      <c r="C1085" s="2" t="s">
        <v>13</v>
      </c>
      <c r="D1085" s="2">
        <v>2</v>
      </c>
      <c r="E1085" s="2" t="s">
        <v>26</v>
      </c>
      <c r="F1085" s="2" t="s">
        <v>15</v>
      </c>
      <c r="G1085" s="7">
        <v>80.95</v>
      </c>
      <c r="H1085" s="7">
        <v>171.15</v>
      </c>
      <c r="I1085" s="2" t="s">
        <v>16</v>
      </c>
      <c r="J1085" s="2" t="s">
        <v>16</v>
      </c>
      <c r="K1085" s="2" t="s">
        <v>17</v>
      </c>
      <c r="L1085" s="7">
        <v>171.15</v>
      </c>
      <c r="M1085" s="2" t="str">
        <f>_xlfn.IFS(TelecomData[[#This Row],[TenureMonths]]&lt;=12, "0-1 Year", TelecomData[[#This Row],[TenureMonths]]&lt;=36, "1-3 Years", TelecomData[[#This Row],[TenureMonths]]&gt;36, "3+ Years")</f>
        <v>0-1 Year</v>
      </c>
      <c r="N1085" s="2" t="str">
        <f>IF(TelecomData[[#This Row],[CleanedTotalCharges]]&gt;=2500,"High Spend", "Standard Spend")</f>
        <v>Standard Spend</v>
      </c>
    </row>
    <row r="1086" spans="1:14" x14ac:dyDescent="0.3">
      <c r="A1086" s="1" t="s">
        <v>1110</v>
      </c>
      <c r="B1086" s="2" t="s">
        <v>12</v>
      </c>
      <c r="C1086" s="2" t="s">
        <v>20</v>
      </c>
      <c r="D1086" s="2">
        <v>52</v>
      </c>
      <c r="E1086" s="2" t="s">
        <v>15</v>
      </c>
      <c r="F1086" s="2" t="s">
        <v>36</v>
      </c>
      <c r="G1086" s="7">
        <v>19.600000000000001</v>
      </c>
      <c r="H1086" s="7">
        <v>1012.4</v>
      </c>
      <c r="I1086" s="2" t="s">
        <v>15</v>
      </c>
      <c r="J1086" s="2" t="s">
        <v>15</v>
      </c>
      <c r="K1086" s="2" t="s">
        <v>29</v>
      </c>
      <c r="L1086" s="7">
        <v>1012.4</v>
      </c>
      <c r="M1086" s="2" t="str">
        <f>_xlfn.IFS(TelecomData[[#This Row],[TenureMonths]]&lt;=12, "0-1 Year", TelecomData[[#This Row],[TenureMonths]]&lt;=36, "1-3 Years", TelecomData[[#This Row],[TenureMonths]]&gt;36, "3+ Years")</f>
        <v>3+ Years</v>
      </c>
      <c r="N1086" s="2" t="str">
        <f>IF(TelecomData[[#This Row],[CleanedTotalCharges]]&gt;=2500,"High Spend", "Standard Spend")</f>
        <v>Standard Spend</v>
      </c>
    </row>
    <row r="1087" spans="1:14" x14ac:dyDescent="0.3">
      <c r="A1087" s="1" t="s">
        <v>1111</v>
      </c>
      <c r="B1087" s="2" t="s">
        <v>12</v>
      </c>
      <c r="C1087" s="2" t="s">
        <v>13</v>
      </c>
      <c r="D1087" s="2">
        <v>13</v>
      </c>
      <c r="E1087" s="2" t="s">
        <v>26</v>
      </c>
      <c r="F1087" s="2" t="s">
        <v>15</v>
      </c>
      <c r="G1087" s="7">
        <v>74.3</v>
      </c>
      <c r="H1087" s="7">
        <v>940.35</v>
      </c>
      <c r="I1087" s="2" t="s">
        <v>16</v>
      </c>
      <c r="J1087" s="2" t="s">
        <v>16</v>
      </c>
      <c r="K1087" s="2" t="s">
        <v>17</v>
      </c>
      <c r="L1087" s="7">
        <v>940.35</v>
      </c>
      <c r="M1087" s="2" t="str">
        <f>_xlfn.IFS(TelecomData[[#This Row],[TenureMonths]]&lt;=12, "0-1 Year", TelecomData[[#This Row],[TenureMonths]]&lt;=36, "1-3 Years", TelecomData[[#This Row],[TenureMonths]]&gt;36, "3+ Years")</f>
        <v>1-3 Years</v>
      </c>
      <c r="N1087" s="2" t="str">
        <f>IF(TelecomData[[#This Row],[CleanedTotalCharges]]&gt;=2500,"High Spend", "Standard Spend")</f>
        <v>Standard Spend</v>
      </c>
    </row>
    <row r="1088" spans="1:14" x14ac:dyDescent="0.3">
      <c r="A1088" s="1" t="s">
        <v>1112</v>
      </c>
      <c r="B1088" s="2" t="s">
        <v>12</v>
      </c>
      <c r="C1088" s="2" t="s">
        <v>13</v>
      </c>
      <c r="D1088" s="2">
        <v>11</v>
      </c>
      <c r="E1088" s="2" t="s">
        <v>26</v>
      </c>
      <c r="F1088" s="2" t="s">
        <v>15</v>
      </c>
      <c r="G1088" s="7">
        <v>89.7</v>
      </c>
      <c r="H1088" s="7">
        <v>1047.7</v>
      </c>
      <c r="I1088" s="2" t="s">
        <v>16</v>
      </c>
      <c r="J1088" s="2" t="s">
        <v>15</v>
      </c>
      <c r="K1088" s="2" t="s">
        <v>24</v>
      </c>
      <c r="L1088" s="7">
        <v>1047.7</v>
      </c>
      <c r="M1088" s="2" t="str">
        <f>_xlfn.IFS(TelecomData[[#This Row],[TenureMonths]]&lt;=12, "0-1 Year", TelecomData[[#This Row],[TenureMonths]]&lt;=36, "1-3 Years", TelecomData[[#This Row],[TenureMonths]]&gt;36, "3+ Years")</f>
        <v>0-1 Year</v>
      </c>
      <c r="N1088" s="2" t="str">
        <f>IF(TelecomData[[#This Row],[CleanedTotalCharges]]&gt;=2500,"High Spend", "Standard Spend")</f>
        <v>Standard Spend</v>
      </c>
    </row>
    <row r="1089" spans="1:14" x14ac:dyDescent="0.3">
      <c r="A1089" s="1" t="s">
        <v>1113</v>
      </c>
      <c r="B1089" s="2" t="s">
        <v>19</v>
      </c>
      <c r="C1089" s="2" t="s">
        <v>13</v>
      </c>
      <c r="D1089" s="2">
        <v>32</v>
      </c>
      <c r="E1089" s="2" t="s">
        <v>26</v>
      </c>
      <c r="F1089" s="2" t="s">
        <v>16</v>
      </c>
      <c r="G1089" s="7">
        <v>87.65</v>
      </c>
      <c r="H1089" s="7">
        <v>2766.4</v>
      </c>
      <c r="I1089" s="2" t="s">
        <v>15</v>
      </c>
      <c r="J1089" s="2" t="s">
        <v>15</v>
      </c>
      <c r="K1089" s="2" t="s">
        <v>24</v>
      </c>
      <c r="L1089" s="7">
        <v>2766.4</v>
      </c>
      <c r="M1089" s="2" t="str">
        <f>_xlfn.IFS(TelecomData[[#This Row],[TenureMonths]]&lt;=12, "0-1 Year", TelecomData[[#This Row],[TenureMonths]]&lt;=36, "1-3 Years", TelecomData[[#This Row],[TenureMonths]]&gt;36, "3+ Years")</f>
        <v>1-3 Years</v>
      </c>
      <c r="N1089" s="2" t="str">
        <f>IF(TelecomData[[#This Row],[CleanedTotalCharges]]&gt;=2500,"High Spend", "Standard Spend")</f>
        <v>High Spend</v>
      </c>
    </row>
    <row r="1090" spans="1:14" x14ac:dyDescent="0.3">
      <c r="A1090" s="1" t="s">
        <v>1114</v>
      </c>
      <c r="B1090" s="2" t="s">
        <v>19</v>
      </c>
      <c r="C1090" s="2" t="s">
        <v>13</v>
      </c>
      <c r="D1090" s="2">
        <v>17</v>
      </c>
      <c r="E1090" s="2" t="s">
        <v>26</v>
      </c>
      <c r="F1090" s="2" t="s">
        <v>15</v>
      </c>
      <c r="G1090" s="7">
        <v>100.45</v>
      </c>
      <c r="H1090" s="7">
        <v>1622.45</v>
      </c>
      <c r="I1090" s="2" t="s">
        <v>16</v>
      </c>
      <c r="J1090" s="2" t="s">
        <v>16</v>
      </c>
      <c r="K1090" s="2" t="s">
        <v>29</v>
      </c>
      <c r="L1090" s="7">
        <v>1622.45</v>
      </c>
      <c r="M1090" s="2" t="str">
        <f>_xlfn.IFS(TelecomData[[#This Row],[TenureMonths]]&lt;=12, "0-1 Year", TelecomData[[#This Row],[TenureMonths]]&lt;=36, "1-3 Years", TelecomData[[#This Row],[TenureMonths]]&gt;36, "3+ Years")</f>
        <v>1-3 Years</v>
      </c>
      <c r="N1090" s="2" t="str">
        <f>IF(TelecomData[[#This Row],[CleanedTotalCharges]]&gt;=2500,"High Spend", "Standard Spend")</f>
        <v>Standard Spend</v>
      </c>
    </row>
    <row r="1091" spans="1:14" x14ac:dyDescent="0.3">
      <c r="A1091" s="1" t="s">
        <v>1115</v>
      </c>
      <c r="B1091" s="2" t="s">
        <v>12</v>
      </c>
      <c r="C1091" s="2" t="s">
        <v>13</v>
      </c>
      <c r="D1091" s="2">
        <v>16</v>
      </c>
      <c r="E1091" s="2" t="s">
        <v>26</v>
      </c>
      <c r="F1091" s="2" t="s">
        <v>15</v>
      </c>
      <c r="G1091" s="7">
        <v>74.75</v>
      </c>
      <c r="H1091" s="7">
        <v>1129.3499999999999</v>
      </c>
      <c r="I1091" s="2" t="s">
        <v>15</v>
      </c>
      <c r="J1091" s="2" t="s">
        <v>16</v>
      </c>
      <c r="K1091" s="2" t="s">
        <v>29</v>
      </c>
      <c r="L1091" s="7">
        <v>1129.3499999999999</v>
      </c>
      <c r="M1091" s="2" t="str">
        <f>_xlfn.IFS(TelecomData[[#This Row],[TenureMonths]]&lt;=12, "0-1 Year", TelecomData[[#This Row],[TenureMonths]]&lt;=36, "1-3 Years", TelecomData[[#This Row],[TenureMonths]]&gt;36, "3+ Years")</f>
        <v>1-3 Years</v>
      </c>
      <c r="N1091" s="2" t="str">
        <f>IF(TelecomData[[#This Row],[CleanedTotalCharges]]&gt;=2500,"High Spend", "Standard Spend")</f>
        <v>Standard Spend</v>
      </c>
    </row>
    <row r="1092" spans="1:14" x14ac:dyDescent="0.3">
      <c r="A1092" s="1" t="s">
        <v>1116</v>
      </c>
      <c r="B1092" s="2" t="s">
        <v>12</v>
      </c>
      <c r="C1092" s="2" t="s">
        <v>20</v>
      </c>
      <c r="D1092" s="2">
        <v>51</v>
      </c>
      <c r="E1092" s="2" t="s">
        <v>26</v>
      </c>
      <c r="F1092" s="2" t="s">
        <v>15</v>
      </c>
      <c r="G1092" s="7">
        <v>107.45</v>
      </c>
      <c r="H1092" s="7">
        <v>5680.9</v>
      </c>
      <c r="I1092" s="2" t="s">
        <v>15</v>
      </c>
      <c r="J1092" s="2" t="s">
        <v>15</v>
      </c>
      <c r="K1092" s="2" t="s">
        <v>24</v>
      </c>
      <c r="L1092" s="7">
        <v>5680.9</v>
      </c>
      <c r="M1092" s="2" t="str">
        <f>_xlfn.IFS(TelecomData[[#This Row],[TenureMonths]]&lt;=12, "0-1 Year", TelecomData[[#This Row],[TenureMonths]]&lt;=36, "1-3 Years", TelecomData[[#This Row],[TenureMonths]]&gt;36, "3+ Years")</f>
        <v>3+ Years</v>
      </c>
      <c r="N1092" s="2" t="str">
        <f>IF(TelecomData[[#This Row],[CleanedTotalCharges]]&gt;=2500,"High Spend", "Standard Spend")</f>
        <v>High Spend</v>
      </c>
    </row>
    <row r="1093" spans="1:14" x14ac:dyDescent="0.3">
      <c r="A1093" s="1" t="s">
        <v>1117</v>
      </c>
      <c r="B1093" s="2" t="s">
        <v>19</v>
      </c>
      <c r="C1093" s="2" t="s">
        <v>20</v>
      </c>
      <c r="D1093" s="2">
        <v>29</v>
      </c>
      <c r="E1093" s="2" t="s">
        <v>14</v>
      </c>
      <c r="F1093" s="2" t="s">
        <v>16</v>
      </c>
      <c r="G1093" s="7">
        <v>75.349999999999994</v>
      </c>
      <c r="H1093" s="7">
        <v>2243.9</v>
      </c>
      <c r="I1093" s="2" t="s">
        <v>15</v>
      </c>
      <c r="J1093" s="2" t="s">
        <v>16</v>
      </c>
      <c r="K1093" s="2" t="s">
        <v>24</v>
      </c>
      <c r="L1093" s="7">
        <v>2243.9</v>
      </c>
      <c r="M1093" s="2" t="str">
        <f>_xlfn.IFS(TelecomData[[#This Row],[TenureMonths]]&lt;=12, "0-1 Year", TelecomData[[#This Row],[TenureMonths]]&lt;=36, "1-3 Years", TelecomData[[#This Row],[TenureMonths]]&gt;36, "3+ Years")</f>
        <v>1-3 Years</v>
      </c>
      <c r="N1093" s="2" t="str">
        <f>IF(TelecomData[[#This Row],[CleanedTotalCharges]]&gt;=2500,"High Spend", "Standard Spend")</f>
        <v>Standard Spend</v>
      </c>
    </row>
    <row r="1094" spans="1:14" x14ac:dyDescent="0.3">
      <c r="A1094" s="1" t="s">
        <v>1118</v>
      </c>
      <c r="B1094" s="2" t="s">
        <v>19</v>
      </c>
      <c r="C1094" s="2" t="s">
        <v>35</v>
      </c>
      <c r="D1094" s="2">
        <v>70</v>
      </c>
      <c r="E1094" s="2" t="s">
        <v>14</v>
      </c>
      <c r="F1094" s="2" t="s">
        <v>16</v>
      </c>
      <c r="G1094" s="7">
        <v>64.95</v>
      </c>
      <c r="H1094" s="7">
        <v>4523.25</v>
      </c>
      <c r="I1094" s="2" t="s">
        <v>15</v>
      </c>
      <c r="J1094" s="2" t="s">
        <v>15</v>
      </c>
      <c r="K1094" s="2" t="s">
        <v>29</v>
      </c>
      <c r="L1094" s="7">
        <v>4523.25</v>
      </c>
      <c r="M1094" s="2" t="str">
        <f>_xlfn.IFS(TelecomData[[#This Row],[TenureMonths]]&lt;=12, "0-1 Year", TelecomData[[#This Row],[TenureMonths]]&lt;=36, "1-3 Years", TelecomData[[#This Row],[TenureMonths]]&gt;36, "3+ Years")</f>
        <v>3+ Years</v>
      </c>
      <c r="N1094" s="2" t="str">
        <f>IF(TelecomData[[#This Row],[CleanedTotalCharges]]&gt;=2500,"High Spend", "Standard Spend")</f>
        <v>High Spend</v>
      </c>
    </row>
    <row r="1095" spans="1:14" x14ac:dyDescent="0.3">
      <c r="A1095" s="1" t="s">
        <v>1119</v>
      </c>
      <c r="B1095" s="2" t="s">
        <v>12</v>
      </c>
      <c r="C1095" s="2" t="s">
        <v>35</v>
      </c>
      <c r="D1095" s="2">
        <v>71</v>
      </c>
      <c r="E1095" s="2" t="s">
        <v>26</v>
      </c>
      <c r="F1095" s="2" t="s">
        <v>16</v>
      </c>
      <c r="G1095" s="7">
        <v>100.45</v>
      </c>
      <c r="H1095" s="7">
        <v>7159.7</v>
      </c>
      <c r="I1095" s="2" t="s">
        <v>15</v>
      </c>
      <c r="J1095" s="2" t="s">
        <v>15</v>
      </c>
      <c r="K1095" s="2" t="s">
        <v>17</v>
      </c>
      <c r="L1095" s="7">
        <v>7159.7</v>
      </c>
      <c r="M1095" s="2" t="str">
        <f>_xlfn.IFS(TelecomData[[#This Row],[TenureMonths]]&lt;=12, "0-1 Year", TelecomData[[#This Row],[TenureMonths]]&lt;=36, "1-3 Years", TelecomData[[#This Row],[TenureMonths]]&gt;36, "3+ Years")</f>
        <v>3+ Years</v>
      </c>
      <c r="N1095" s="2" t="str">
        <f>IF(TelecomData[[#This Row],[CleanedTotalCharges]]&gt;=2500,"High Spend", "Standard Spend")</f>
        <v>High Spend</v>
      </c>
    </row>
    <row r="1096" spans="1:14" x14ac:dyDescent="0.3">
      <c r="A1096" s="1" t="s">
        <v>1120</v>
      </c>
      <c r="B1096" s="2" t="s">
        <v>19</v>
      </c>
      <c r="C1096" s="2" t="s">
        <v>20</v>
      </c>
      <c r="D1096" s="2">
        <v>41</v>
      </c>
      <c r="E1096" s="2" t="s">
        <v>14</v>
      </c>
      <c r="F1096" s="2" t="s">
        <v>15</v>
      </c>
      <c r="G1096" s="7">
        <v>68.5</v>
      </c>
      <c r="H1096" s="7">
        <v>2839.95</v>
      </c>
      <c r="I1096" s="2" t="s">
        <v>15</v>
      </c>
      <c r="J1096" s="2" t="s">
        <v>15</v>
      </c>
      <c r="K1096" s="2" t="s">
        <v>24</v>
      </c>
      <c r="L1096" s="7">
        <v>2839.95</v>
      </c>
      <c r="M1096" s="2" t="str">
        <f>_xlfn.IFS(TelecomData[[#This Row],[TenureMonths]]&lt;=12, "0-1 Year", TelecomData[[#This Row],[TenureMonths]]&lt;=36, "1-3 Years", TelecomData[[#This Row],[TenureMonths]]&gt;36, "3+ Years")</f>
        <v>3+ Years</v>
      </c>
      <c r="N1096" s="2" t="str">
        <f>IF(TelecomData[[#This Row],[CleanedTotalCharges]]&gt;=2500,"High Spend", "Standard Spend")</f>
        <v>High Spend</v>
      </c>
    </row>
    <row r="1097" spans="1:14" x14ac:dyDescent="0.3">
      <c r="A1097" s="1" t="s">
        <v>1121</v>
      </c>
      <c r="B1097" s="2" t="s">
        <v>19</v>
      </c>
      <c r="C1097" s="2" t="s">
        <v>13</v>
      </c>
      <c r="D1097" s="2">
        <v>1</v>
      </c>
      <c r="E1097" s="2" t="s">
        <v>26</v>
      </c>
      <c r="F1097" s="2" t="s">
        <v>15</v>
      </c>
      <c r="G1097" s="7">
        <v>80.55</v>
      </c>
      <c r="H1097" s="7">
        <v>80.55</v>
      </c>
      <c r="I1097" s="2" t="s">
        <v>15</v>
      </c>
      <c r="J1097" s="2" t="s">
        <v>16</v>
      </c>
      <c r="K1097" s="2" t="s">
        <v>17</v>
      </c>
      <c r="L1097" s="7">
        <v>80.55</v>
      </c>
      <c r="M1097" s="2" t="str">
        <f>_xlfn.IFS(TelecomData[[#This Row],[TenureMonths]]&lt;=12, "0-1 Year", TelecomData[[#This Row],[TenureMonths]]&lt;=36, "1-3 Years", TelecomData[[#This Row],[TenureMonths]]&gt;36, "3+ Years")</f>
        <v>0-1 Year</v>
      </c>
      <c r="N1097" s="2" t="str">
        <f>IF(TelecomData[[#This Row],[CleanedTotalCharges]]&gt;=2500,"High Spend", "Standard Spend")</f>
        <v>Standard Spend</v>
      </c>
    </row>
    <row r="1098" spans="1:14" x14ac:dyDescent="0.3">
      <c r="A1098" s="1" t="s">
        <v>1122</v>
      </c>
      <c r="B1098" s="2" t="s">
        <v>12</v>
      </c>
      <c r="C1098" s="2" t="s">
        <v>13</v>
      </c>
      <c r="D1098" s="2">
        <v>7</v>
      </c>
      <c r="E1098" s="2" t="s">
        <v>14</v>
      </c>
      <c r="F1098" s="2" t="s">
        <v>16</v>
      </c>
      <c r="G1098" s="7">
        <v>81.25</v>
      </c>
      <c r="H1098" s="7">
        <v>580.1</v>
      </c>
      <c r="I1098" s="2" t="s">
        <v>15</v>
      </c>
      <c r="J1098" s="2" t="s">
        <v>15</v>
      </c>
      <c r="K1098" s="2" t="s">
        <v>24</v>
      </c>
      <c r="L1098" s="7">
        <v>580.1</v>
      </c>
      <c r="M1098" s="2" t="str">
        <f>_xlfn.IFS(TelecomData[[#This Row],[TenureMonths]]&lt;=12, "0-1 Year", TelecomData[[#This Row],[TenureMonths]]&lt;=36, "1-3 Years", TelecomData[[#This Row],[TenureMonths]]&gt;36, "3+ Years")</f>
        <v>0-1 Year</v>
      </c>
      <c r="N1098" s="2" t="str">
        <f>IF(TelecomData[[#This Row],[CleanedTotalCharges]]&gt;=2500,"High Spend", "Standard Spend")</f>
        <v>Standard Spend</v>
      </c>
    </row>
    <row r="1099" spans="1:14" x14ac:dyDescent="0.3">
      <c r="A1099" s="1" t="s">
        <v>1123</v>
      </c>
      <c r="B1099" s="2" t="s">
        <v>19</v>
      </c>
      <c r="C1099" s="2" t="s">
        <v>20</v>
      </c>
      <c r="D1099" s="2">
        <v>25</v>
      </c>
      <c r="E1099" s="2" t="s">
        <v>26</v>
      </c>
      <c r="F1099" s="2" t="s">
        <v>15</v>
      </c>
      <c r="G1099" s="7">
        <v>90.4</v>
      </c>
      <c r="H1099" s="7">
        <v>2178.6</v>
      </c>
      <c r="I1099" s="2" t="s">
        <v>16</v>
      </c>
      <c r="J1099" s="2" t="s">
        <v>16</v>
      </c>
      <c r="K1099" s="2" t="s">
        <v>17</v>
      </c>
      <c r="L1099" s="7">
        <v>2178.6</v>
      </c>
      <c r="M1099" s="2" t="str">
        <f>_xlfn.IFS(TelecomData[[#This Row],[TenureMonths]]&lt;=12, "0-1 Year", TelecomData[[#This Row],[TenureMonths]]&lt;=36, "1-3 Years", TelecomData[[#This Row],[TenureMonths]]&gt;36, "3+ Years")</f>
        <v>1-3 Years</v>
      </c>
      <c r="N1099" s="2" t="str">
        <f>IF(TelecomData[[#This Row],[CleanedTotalCharges]]&gt;=2500,"High Spend", "Standard Spend")</f>
        <v>Standard Spend</v>
      </c>
    </row>
    <row r="1100" spans="1:14" x14ac:dyDescent="0.3">
      <c r="A1100" s="1" t="s">
        <v>1124</v>
      </c>
      <c r="B1100" s="2" t="s">
        <v>19</v>
      </c>
      <c r="C1100" s="2" t="s">
        <v>20</v>
      </c>
      <c r="D1100" s="2">
        <v>67</v>
      </c>
      <c r="E1100" s="2" t="s">
        <v>26</v>
      </c>
      <c r="F1100" s="2" t="s">
        <v>16</v>
      </c>
      <c r="G1100" s="7">
        <v>89.55</v>
      </c>
      <c r="H1100" s="7">
        <v>6038.55</v>
      </c>
      <c r="I1100" s="2" t="s">
        <v>15</v>
      </c>
      <c r="J1100" s="2" t="s">
        <v>15</v>
      </c>
      <c r="K1100" s="2" t="s">
        <v>17</v>
      </c>
      <c r="L1100" s="7">
        <v>6038.55</v>
      </c>
      <c r="M1100" s="2" t="str">
        <f>_xlfn.IFS(TelecomData[[#This Row],[TenureMonths]]&lt;=12, "0-1 Year", TelecomData[[#This Row],[TenureMonths]]&lt;=36, "1-3 Years", TelecomData[[#This Row],[TenureMonths]]&gt;36, "3+ Years")</f>
        <v>3+ Years</v>
      </c>
      <c r="N1100" s="2" t="str">
        <f>IF(TelecomData[[#This Row],[CleanedTotalCharges]]&gt;=2500,"High Spend", "Standard Spend")</f>
        <v>High Spend</v>
      </c>
    </row>
    <row r="1101" spans="1:14" x14ac:dyDescent="0.3">
      <c r="A1101" s="1" t="s">
        <v>1125</v>
      </c>
      <c r="B1101" s="2" t="s">
        <v>19</v>
      </c>
      <c r="C1101" s="2" t="s">
        <v>13</v>
      </c>
      <c r="D1101" s="2">
        <v>5</v>
      </c>
      <c r="E1101" s="2" t="s">
        <v>14</v>
      </c>
      <c r="F1101" s="2" t="s">
        <v>16</v>
      </c>
      <c r="G1101" s="7">
        <v>55.7</v>
      </c>
      <c r="H1101" s="7">
        <v>259.39999999999998</v>
      </c>
      <c r="I1101" s="2" t="s">
        <v>15</v>
      </c>
      <c r="J1101" s="2" t="s">
        <v>16</v>
      </c>
      <c r="K1101" s="2" t="s">
        <v>21</v>
      </c>
      <c r="L1101" s="7">
        <v>259.39999999999998</v>
      </c>
      <c r="M1101" s="2" t="str">
        <f>_xlfn.IFS(TelecomData[[#This Row],[TenureMonths]]&lt;=12, "0-1 Year", TelecomData[[#This Row],[TenureMonths]]&lt;=36, "1-3 Years", TelecomData[[#This Row],[TenureMonths]]&gt;36, "3+ Years")</f>
        <v>0-1 Year</v>
      </c>
      <c r="N1101" s="2" t="str">
        <f>IF(TelecomData[[#This Row],[CleanedTotalCharges]]&gt;=2500,"High Spend", "Standard Spend")</f>
        <v>Standard Spend</v>
      </c>
    </row>
    <row r="1102" spans="1:14" x14ac:dyDescent="0.3">
      <c r="A1102" s="1" t="s">
        <v>1126</v>
      </c>
      <c r="B1102" s="2" t="s">
        <v>19</v>
      </c>
      <c r="C1102" s="2" t="s">
        <v>13</v>
      </c>
      <c r="D1102" s="2">
        <v>15</v>
      </c>
      <c r="E1102" s="2" t="s">
        <v>15</v>
      </c>
      <c r="F1102" s="2" t="s">
        <v>36</v>
      </c>
      <c r="G1102" s="7">
        <v>24.8</v>
      </c>
      <c r="H1102" s="7">
        <v>324.14999999999998</v>
      </c>
      <c r="I1102" s="2" t="s">
        <v>15</v>
      </c>
      <c r="J1102" s="2" t="s">
        <v>16</v>
      </c>
      <c r="K1102" s="2" t="s">
        <v>17</v>
      </c>
      <c r="L1102" s="7">
        <v>324.14999999999998</v>
      </c>
      <c r="M1102" s="2" t="str">
        <f>_xlfn.IFS(TelecomData[[#This Row],[TenureMonths]]&lt;=12, "0-1 Year", TelecomData[[#This Row],[TenureMonths]]&lt;=36, "1-3 Years", TelecomData[[#This Row],[TenureMonths]]&gt;36, "3+ Years")</f>
        <v>1-3 Years</v>
      </c>
      <c r="N1102" s="2" t="str">
        <f>IF(TelecomData[[#This Row],[CleanedTotalCharges]]&gt;=2500,"High Spend", "Standard Spend")</f>
        <v>Standard Spend</v>
      </c>
    </row>
    <row r="1103" spans="1:14" x14ac:dyDescent="0.3">
      <c r="A1103" s="1" t="s">
        <v>1127</v>
      </c>
      <c r="B1103" s="2" t="s">
        <v>12</v>
      </c>
      <c r="C1103" s="2" t="s">
        <v>13</v>
      </c>
      <c r="D1103" s="2">
        <v>20</v>
      </c>
      <c r="E1103" s="2" t="s">
        <v>15</v>
      </c>
      <c r="F1103" s="2" t="s">
        <v>36</v>
      </c>
      <c r="G1103" s="7">
        <v>20</v>
      </c>
      <c r="H1103" s="7">
        <v>417.65</v>
      </c>
      <c r="I1103" s="2" t="s">
        <v>15</v>
      </c>
      <c r="J1103" s="2" t="s">
        <v>15</v>
      </c>
      <c r="K1103" s="2" t="s">
        <v>17</v>
      </c>
      <c r="L1103" s="7">
        <v>417.65</v>
      </c>
      <c r="M1103" s="2" t="str">
        <f>_xlfn.IFS(TelecomData[[#This Row],[TenureMonths]]&lt;=12, "0-1 Year", TelecomData[[#This Row],[TenureMonths]]&lt;=36, "1-3 Years", TelecomData[[#This Row],[TenureMonths]]&gt;36, "3+ Years")</f>
        <v>1-3 Years</v>
      </c>
      <c r="N1103" s="2" t="str">
        <f>IF(TelecomData[[#This Row],[CleanedTotalCharges]]&gt;=2500,"High Spend", "Standard Spend")</f>
        <v>Standard Spend</v>
      </c>
    </row>
    <row r="1104" spans="1:14" x14ac:dyDescent="0.3">
      <c r="A1104" s="1" t="s">
        <v>1128</v>
      </c>
      <c r="B1104" s="2" t="s">
        <v>19</v>
      </c>
      <c r="C1104" s="2" t="s">
        <v>13</v>
      </c>
      <c r="D1104" s="2">
        <v>3</v>
      </c>
      <c r="E1104" s="2" t="s">
        <v>14</v>
      </c>
      <c r="F1104" s="2" t="s">
        <v>15</v>
      </c>
      <c r="G1104" s="7">
        <v>56.15</v>
      </c>
      <c r="H1104" s="7">
        <v>168.15</v>
      </c>
      <c r="I1104" s="2" t="s">
        <v>16</v>
      </c>
      <c r="J1104" s="2" t="s">
        <v>16</v>
      </c>
      <c r="K1104" s="2" t="s">
        <v>21</v>
      </c>
      <c r="L1104" s="7">
        <v>168.15</v>
      </c>
      <c r="M1104" s="2" t="str">
        <f>_xlfn.IFS(TelecomData[[#This Row],[TenureMonths]]&lt;=12, "0-1 Year", TelecomData[[#This Row],[TenureMonths]]&lt;=36, "1-3 Years", TelecomData[[#This Row],[TenureMonths]]&gt;36, "3+ Years")</f>
        <v>0-1 Year</v>
      </c>
      <c r="N1104" s="2" t="str">
        <f>IF(TelecomData[[#This Row],[CleanedTotalCharges]]&gt;=2500,"High Spend", "Standard Spend")</f>
        <v>Standard Spend</v>
      </c>
    </row>
    <row r="1105" spans="1:14" x14ac:dyDescent="0.3">
      <c r="A1105" s="1" t="s">
        <v>1129</v>
      </c>
      <c r="B1105" s="2" t="s">
        <v>19</v>
      </c>
      <c r="C1105" s="2" t="s">
        <v>20</v>
      </c>
      <c r="D1105" s="2">
        <v>54</v>
      </c>
      <c r="E1105" s="2" t="s">
        <v>26</v>
      </c>
      <c r="F1105" s="2" t="s">
        <v>16</v>
      </c>
      <c r="G1105" s="7">
        <v>105.2</v>
      </c>
      <c r="H1105" s="7">
        <v>5637.85</v>
      </c>
      <c r="I1105" s="2" t="s">
        <v>15</v>
      </c>
      <c r="J1105" s="2" t="s">
        <v>16</v>
      </c>
      <c r="K1105" s="2" t="s">
        <v>17</v>
      </c>
      <c r="L1105" s="7">
        <v>5637.85</v>
      </c>
      <c r="M1105" s="2" t="str">
        <f>_xlfn.IFS(TelecomData[[#This Row],[TenureMonths]]&lt;=12, "0-1 Year", TelecomData[[#This Row],[TenureMonths]]&lt;=36, "1-3 Years", TelecomData[[#This Row],[TenureMonths]]&gt;36, "3+ Years")</f>
        <v>3+ Years</v>
      </c>
      <c r="N1105" s="2" t="str">
        <f>IF(TelecomData[[#This Row],[CleanedTotalCharges]]&gt;=2500,"High Spend", "Standard Spend")</f>
        <v>High Spend</v>
      </c>
    </row>
    <row r="1106" spans="1:14" x14ac:dyDescent="0.3">
      <c r="A1106" s="1" t="s">
        <v>1130</v>
      </c>
      <c r="B1106" s="2" t="s">
        <v>19</v>
      </c>
      <c r="C1106" s="2" t="s">
        <v>20</v>
      </c>
      <c r="D1106" s="2">
        <v>42</v>
      </c>
      <c r="E1106" s="2" t="s">
        <v>15</v>
      </c>
      <c r="F1106" s="2" t="s">
        <v>36</v>
      </c>
      <c r="G1106" s="7">
        <v>19.55</v>
      </c>
      <c r="H1106" s="7">
        <v>839.4</v>
      </c>
      <c r="I1106" s="2" t="s">
        <v>15</v>
      </c>
      <c r="J1106" s="2" t="s">
        <v>16</v>
      </c>
      <c r="K1106" s="2" t="s">
        <v>21</v>
      </c>
      <c r="L1106" s="7">
        <v>839.4</v>
      </c>
      <c r="M1106" s="2" t="str">
        <f>_xlfn.IFS(TelecomData[[#This Row],[TenureMonths]]&lt;=12, "0-1 Year", TelecomData[[#This Row],[TenureMonths]]&lt;=36, "1-3 Years", TelecomData[[#This Row],[TenureMonths]]&gt;36, "3+ Years")</f>
        <v>3+ Years</v>
      </c>
      <c r="N1106" s="2" t="str">
        <f>IF(TelecomData[[#This Row],[CleanedTotalCharges]]&gt;=2500,"High Spend", "Standard Spend")</f>
        <v>Standard Spend</v>
      </c>
    </row>
    <row r="1107" spans="1:14" x14ac:dyDescent="0.3">
      <c r="A1107" s="1" t="s">
        <v>1131</v>
      </c>
      <c r="B1107" s="2" t="s">
        <v>12</v>
      </c>
      <c r="C1107" s="2" t="s">
        <v>13</v>
      </c>
      <c r="D1107" s="2">
        <v>9</v>
      </c>
      <c r="E1107" s="2" t="s">
        <v>26</v>
      </c>
      <c r="F1107" s="2" t="s">
        <v>15</v>
      </c>
      <c r="G1107" s="7">
        <v>79.75</v>
      </c>
      <c r="H1107" s="7">
        <v>769.1</v>
      </c>
      <c r="I1107" s="2" t="s">
        <v>15</v>
      </c>
      <c r="J1107" s="2" t="s">
        <v>16</v>
      </c>
      <c r="K1107" s="2" t="s">
        <v>17</v>
      </c>
      <c r="L1107" s="7">
        <v>769.1</v>
      </c>
      <c r="M1107" s="2" t="str">
        <f>_xlfn.IFS(TelecomData[[#This Row],[TenureMonths]]&lt;=12, "0-1 Year", TelecomData[[#This Row],[TenureMonths]]&lt;=36, "1-3 Years", TelecomData[[#This Row],[TenureMonths]]&gt;36, "3+ Years")</f>
        <v>0-1 Year</v>
      </c>
      <c r="N1107" s="2" t="str">
        <f>IF(TelecomData[[#This Row],[CleanedTotalCharges]]&gt;=2500,"High Spend", "Standard Spend")</f>
        <v>Standard Spend</v>
      </c>
    </row>
    <row r="1108" spans="1:14" x14ac:dyDescent="0.3">
      <c r="A1108" s="1" t="s">
        <v>1132</v>
      </c>
      <c r="B1108" s="2" t="s">
        <v>12</v>
      </c>
      <c r="C1108" s="2" t="s">
        <v>35</v>
      </c>
      <c r="D1108" s="2">
        <v>63</v>
      </c>
      <c r="E1108" s="2" t="s">
        <v>26</v>
      </c>
      <c r="F1108" s="2" t="s">
        <v>15</v>
      </c>
      <c r="G1108" s="7">
        <v>97.45</v>
      </c>
      <c r="H1108" s="7">
        <v>6253</v>
      </c>
      <c r="I1108" s="2" t="s">
        <v>15</v>
      </c>
      <c r="J1108" s="2" t="s">
        <v>15</v>
      </c>
      <c r="K1108" s="2" t="s">
        <v>24</v>
      </c>
      <c r="L1108" s="7">
        <v>6253</v>
      </c>
      <c r="M1108" s="2" t="str">
        <f>_xlfn.IFS(TelecomData[[#This Row],[TenureMonths]]&lt;=12, "0-1 Year", TelecomData[[#This Row],[TenureMonths]]&lt;=36, "1-3 Years", TelecomData[[#This Row],[TenureMonths]]&gt;36, "3+ Years")</f>
        <v>3+ Years</v>
      </c>
      <c r="N1108" s="2" t="str">
        <f>IF(TelecomData[[#This Row],[CleanedTotalCharges]]&gt;=2500,"High Spend", "Standard Spend")</f>
        <v>High Spend</v>
      </c>
    </row>
    <row r="1109" spans="1:14" x14ac:dyDescent="0.3">
      <c r="A1109" s="1" t="s">
        <v>1133</v>
      </c>
      <c r="B1109" s="2" t="s">
        <v>12</v>
      </c>
      <c r="C1109" s="2" t="s">
        <v>35</v>
      </c>
      <c r="D1109" s="2">
        <v>69</v>
      </c>
      <c r="E1109" s="2" t="s">
        <v>15</v>
      </c>
      <c r="F1109" s="2" t="s">
        <v>36</v>
      </c>
      <c r="G1109" s="7">
        <v>24.25</v>
      </c>
      <c r="H1109" s="7">
        <v>1641.8</v>
      </c>
      <c r="I1109" s="2" t="s">
        <v>15</v>
      </c>
      <c r="J1109" s="2" t="s">
        <v>15</v>
      </c>
      <c r="K1109" s="2" t="s">
        <v>24</v>
      </c>
      <c r="L1109" s="7">
        <v>1641.8</v>
      </c>
      <c r="M1109" s="2" t="str">
        <f>_xlfn.IFS(TelecomData[[#This Row],[TenureMonths]]&lt;=12, "0-1 Year", TelecomData[[#This Row],[TenureMonths]]&lt;=36, "1-3 Years", TelecomData[[#This Row],[TenureMonths]]&gt;36, "3+ Years")</f>
        <v>3+ Years</v>
      </c>
      <c r="N1109" s="2" t="str">
        <f>IF(TelecomData[[#This Row],[CleanedTotalCharges]]&gt;=2500,"High Spend", "Standard Spend")</f>
        <v>Standard Spend</v>
      </c>
    </row>
    <row r="1110" spans="1:14" x14ac:dyDescent="0.3">
      <c r="A1110" s="1" t="s">
        <v>1134</v>
      </c>
      <c r="B1110" s="2" t="s">
        <v>12</v>
      </c>
      <c r="C1110" s="2" t="s">
        <v>35</v>
      </c>
      <c r="D1110" s="2">
        <v>69</v>
      </c>
      <c r="E1110" s="2" t="s">
        <v>15</v>
      </c>
      <c r="F1110" s="2" t="s">
        <v>36</v>
      </c>
      <c r="G1110" s="7">
        <v>24.6</v>
      </c>
      <c r="H1110" s="7">
        <v>1678.05</v>
      </c>
      <c r="I1110" s="2" t="s">
        <v>15</v>
      </c>
      <c r="J1110" s="2" t="s">
        <v>15</v>
      </c>
      <c r="K1110" s="2" t="s">
        <v>29</v>
      </c>
      <c r="L1110" s="7">
        <v>1678.05</v>
      </c>
      <c r="M1110" s="2" t="str">
        <f>_xlfn.IFS(TelecomData[[#This Row],[TenureMonths]]&lt;=12, "0-1 Year", TelecomData[[#This Row],[TenureMonths]]&lt;=36, "1-3 Years", TelecomData[[#This Row],[TenureMonths]]&gt;36, "3+ Years")</f>
        <v>3+ Years</v>
      </c>
      <c r="N1110" s="2" t="str">
        <f>IF(TelecomData[[#This Row],[CleanedTotalCharges]]&gt;=2500,"High Spend", "Standard Spend")</f>
        <v>Standard Spend</v>
      </c>
    </row>
    <row r="1111" spans="1:14" x14ac:dyDescent="0.3">
      <c r="A1111" s="1" t="s">
        <v>1135</v>
      </c>
      <c r="B1111" s="2" t="s">
        <v>19</v>
      </c>
      <c r="C1111" s="2" t="s">
        <v>13</v>
      </c>
      <c r="D1111" s="2">
        <v>40</v>
      </c>
      <c r="E1111" s="2" t="s">
        <v>14</v>
      </c>
      <c r="F1111" s="2" t="s">
        <v>15</v>
      </c>
      <c r="G1111" s="7">
        <v>50.15</v>
      </c>
      <c r="H1111" s="7">
        <v>2058.5</v>
      </c>
      <c r="I1111" s="2" t="s">
        <v>15</v>
      </c>
      <c r="J1111" s="2" t="s">
        <v>16</v>
      </c>
      <c r="K1111" s="2" t="s">
        <v>21</v>
      </c>
      <c r="L1111" s="7">
        <v>2058.5</v>
      </c>
      <c r="M1111" s="2" t="str">
        <f>_xlfn.IFS(TelecomData[[#This Row],[TenureMonths]]&lt;=12, "0-1 Year", TelecomData[[#This Row],[TenureMonths]]&lt;=36, "1-3 Years", TelecomData[[#This Row],[TenureMonths]]&gt;36, "3+ Years")</f>
        <v>3+ Years</v>
      </c>
      <c r="N1111" s="2" t="str">
        <f>IF(TelecomData[[#This Row],[CleanedTotalCharges]]&gt;=2500,"High Spend", "Standard Spend")</f>
        <v>Standard Spend</v>
      </c>
    </row>
    <row r="1112" spans="1:14" x14ac:dyDescent="0.3">
      <c r="A1112" s="1" t="s">
        <v>1136</v>
      </c>
      <c r="B1112" s="2" t="s">
        <v>19</v>
      </c>
      <c r="C1112" s="2" t="s">
        <v>35</v>
      </c>
      <c r="D1112" s="2">
        <v>60</v>
      </c>
      <c r="E1112" s="2" t="s">
        <v>14</v>
      </c>
      <c r="F1112" s="2" t="s">
        <v>15</v>
      </c>
      <c r="G1112" s="7">
        <v>39.6</v>
      </c>
      <c r="H1112" s="7">
        <v>2424.5</v>
      </c>
      <c r="I1112" s="2" t="s">
        <v>15</v>
      </c>
      <c r="J1112" s="2" t="s">
        <v>15</v>
      </c>
      <c r="K1112" s="2" t="s">
        <v>24</v>
      </c>
      <c r="L1112" s="7">
        <v>2424.5</v>
      </c>
      <c r="M1112" s="2" t="str">
        <f>_xlfn.IFS(TelecomData[[#This Row],[TenureMonths]]&lt;=12, "0-1 Year", TelecomData[[#This Row],[TenureMonths]]&lt;=36, "1-3 Years", TelecomData[[#This Row],[TenureMonths]]&gt;36, "3+ Years")</f>
        <v>3+ Years</v>
      </c>
      <c r="N1112" s="2" t="str">
        <f>IF(TelecomData[[#This Row],[CleanedTotalCharges]]&gt;=2500,"High Spend", "Standard Spend")</f>
        <v>Standard Spend</v>
      </c>
    </row>
    <row r="1113" spans="1:14" x14ac:dyDescent="0.3">
      <c r="A1113" s="1" t="s">
        <v>1137</v>
      </c>
      <c r="B1113" s="2" t="s">
        <v>12</v>
      </c>
      <c r="C1113" s="2" t="s">
        <v>13</v>
      </c>
      <c r="D1113" s="2">
        <v>4</v>
      </c>
      <c r="E1113" s="2" t="s">
        <v>26</v>
      </c>
      <c r="F1113" s="2" t="s">
        <v>16</v>
      </c>
      <c r="G1113" s="7">
        <v>94.4</v>
      </c>
      <c r="H1113" s="7">
        <v>387.2</v>
      </c>
      <c r="I1113" s="2" t="s">
        <v>16</v>
      </c>
      <c r="J1113" s="2" t="s">
        <v>16</v>
      </c>
      <c r="K1113" s="2" t="s">
        <v>24</v>
      </c>
      <c r="L1113" s="7">
        <v>387.2</v>
      </c>
      <c r="M1113" s="2" t="str">
        <f>_xlfn.IFS(TelecomData[[#This Row],[TenureMonths]]&lt;=12, "0-1 Year", TelecomData[[#This Row],[TenureMonths]]&lt;=36, "1-3 Years", TelecomData[[#This Row],[TenureMonths]]&gt;36, "3+ Years")</f>
        <v>0-1 Year</v>
      </c>
      <c r="N1113" s="2" t="str">
        <f>IF(TelecomData[[#This Row],[CleanedTotalCharges]]&gt;=2500,"High Spend", "Standard Spend")</f>
        <v>Standard Spend</v>
      </c>
    </row>
    <row r="1114" spans="1:14" x14ac:dyDescent="0.3">
      <c r="A1114" s="1" t="s">
        <v>1138</v>
      </c>
      <c r="B1114" s="2" t="s">
        <v>12</v>
      </c>
      <c r="C1114" s="2" t="s">
        <v>35</v>
      </c>
      <c r="D1114" s="2">
        <v>71</v>
      </c>
      <c r="E1114" s="2" t="s">
        <v>14</v>
      </c>
      <c r="F1114" s="2" t="s">
        <v>16</v>
      </c>
      <c r="G1114" s="7">
        <v>89.85</v>
      </c>
      <c r="H1114" s="7">
        <v>6293.45</v>
      </c>
      <c r="I1114" s="2" t="s">
        <v>15</v>
      </c>
      <c r="J1114" s="2" t="s">
        <v>15</v>
      </c>
      <c r="K1114" s="2" t="s">
        <v>21</v>
      </c>
      <c r="L1114" s="7">
        <v>6293.45</v>
      </c>
      <c r="M1114" s="2" t="str">
        <f>_xlfn.IFS(TelecomData[[#This Row],[TenureMonths]]&lt;=12, "0-1 Year", TelecomData[[#This Row],[TenureMonths]]&lt;=36, "1-3 Years", TelecomData[[#This Row],[TenureMonths]]&gt;36, "3+ Years")</f>
        <v>3+ Years</v>
      </c>
      <c r="N1114" s="2" t="str">
        <f>IF(TelecomData[[#This Row],[CleanedTotalCharges]]&gt;=2500,"High Spend", "Standard Spend")</f>
        <v>High Spend</v>
      </c>
    </row>
    <row r="1115" spans="1:14" x14ac:dyDescent="0.3">
      <c r="A1115" s="1" t="s">
        <v>1139</v>
      </c>
      <c r="B1115" s="2" t="s">
        <v>12</v>
      </c>
      <c r="C1115" s="2" t="s">
        <v>13</v>
      </c>
      <c r="D1115" s="2">
        <v>37</v>
      </c>
      <c r="E1115" s="2" t="s">
        <v>26</v>
      </c>
      <c r="F1115" s="2" t="s">
        <v>15</v>
      </c>
      <c r="G1115" s="7">
        <v>78.95</v>
      </c>
      <c r="H1115" s="7">
        <v>2839.65</v>
      </c>
      <c r="I1115" s="2" t="s">
        <v>16</v>
      </c>
      <c r="J1115" s="2" t="s">
        <v>16</v>
      </c>
      <c r="K1115" s="2" t="s">
        <v>29</v>
      </c>
      <c r="L1115" s="7">
        <v>2839.65</v>
      </c>
      <c r="M1115" s="2" t="str">
        <f>_xlfn.IFS(TelecomData[[#This Row],[TenureMonths]]&lt;=12, "0-1 Year", TelecomData[[#This Row],[TenureMonths]]&lt;=36, "1-3 Years", TelecomData[[#This Row],[TenureMonths]]&gt;36, "3+ Years")</f>
        <v>3+ Years</v>
      </c>
      <c r="N1115" s="2" t="str">
        <f>IF(TelecomData[[#This Row],[CleanedTotalCharges]]&gt;=2500,"High Spend", "Standard Spend")</f>
        <v>High Spend</v>
      </c>
    </row>
    <row r="1116" spans="1:14" x14ac:dyDescent="0.3">
      <c r="A1116" s="1" t="s">
        <v>1140</v>
      </c>
      <c r="B1116" s="2" t="s">
        <v>19</v>
      </c>
      <c r="C1116" s="2" t="s">
        <v>13</v>
      </c>
      <c r="D1116" s="2">
        <v>32</v>
      </c>
      <c r="E1116" s="2" t="s">
        <v>26</v>
      </c>
      <c r="F1116" s="2" t="s">
        <v>15</v>
      </c>
      <c r="G1116" s="7">
        <v>98.85</v>
      </c>
      <c r="H1116" s="7">
        <v>3145.9</v>
      </c>
      <c r="I1116" s="2" t="s">
        <v>15</v>
      </c>
      <c r="J1116" s="2" t="s">
        <v>16</v>
      </c>
      <c r="K1116" s="2" t="s">
        <v>29</v>
      </c>
      <c r="L1116" s="7">
        <v>3145.9</v>
      </c>
      <c r="M1116" s="2" t="str">
        <f>_xlfn.IFS(TelecomData[[#This Row],[TenureMonths]]&lt;=12, "0-1 Year", TelecomData[[#This Row],[TenureMonths]]&lt;=36, "1-3 Years", TelecomData[[#This Row],[TenureMonths]]&gt;36, "3+ Years")</f>
        <v>1-3 Years</v>
      </c>
      <c r="N1116" s="2" t="str">
        <f>IF(TelecomData[[#This Row],[CleanedTotalCharges]]&gt;=2500,"High Spend", "Standard Spend")</f>
        <v>High Spend</v>
      </c>
    </row>
    <row r="1117" spans="1:14" x14ac:dyDescent="0.3">
      <c r="A1117" s="1" t="s">
        <v>1141</v>
      </c>
      <c r="B1117" s="2" t="s">
        <v>19</v>
      </c>
      <c r="C1117" s="2" t="s">
        <v>35</v>
      </c>
      <c r="D1117" s="2">
        <v>39</v>
      </c>
      <c r="E1117" s="2" t="s">
        <v>14</v>
      </c>
      <c r="F1117" s="2" t="s">
        <v>16</v>
      </c>
      <c r="G1117" s="7">
        <v>53.85</v>
      </c>
      <c r="H1117" s="7">
        <v>2200.6999999999998</v>
      </c>
      <c r="I1117" s="2" t="s">
        <v>15</v>
      </c>
      <c r="J1117" s="2" t="s">
        <v>16</v>
      </c>
      <c r="K1117" s="2" t="s">
        <v>29</v>
      </c>
      <c r="L1117" s="7">
        <v>2200.6999999999998</v>
      </c>
      <c r="M1117" s="2" t="str">
        <f>_xlfn.IFS(TelecomData[[#This Row],[TenureMonths]]&lt;=12, "0-1 Year", TelecomData[[#This Row],[TenureMonths]]&lt;=36, "1-3 Years", TelecomData[[#This Row],[TenureMonths]]&gt;36, "3+ Years")</f>
        <v>3+ Years</v>
      </c>
      <c r="N1117" s="2" t="str">
        <f>IF(TelecomData[[#This Row],[CleanedTotalCharges]]&gt;=2500,"High Spend", "Standard Spend")</f>
        <v>Standard Spend</v>
      </c>
    </row>
    <row r="1118" spans="1:14" x14ac:dyDescent="0.3">
      <c r="A1118" s="1" t="s">
        <v>1142</v>
      </c>
      <c r="B1118" s="2" t="s">
        <v>12</v>
      </c>
      <c r="C1118" s="2" t="s">
        <v>20</v>
      </c>
      <c r="D1118" s="2">
        <v>38</v>
      </c>
      <c r="E1118" s="2" t="s">
        <v>15</v>
      </c>
      <c r="F1118" s="2" t="s">
        <v>36</v>
      </c>
      <c r="G1118" s="7">
        <v>24.25</v>
      </c>
      <c r="H1118" s="7">
        <v>914.4</v>
      </c>
      <c r="I1118" s="2" t="s">
        <v>15</v>
      </c>
      <c r="J1118" s="2" t="s">
        <v>16</v>
      </c>
      <c r="K1118" s="2" t="s">
        <v>17</v>
      </c>
      <c r="L1118" s="7">
        <v>914.4</v>
      </c>
      <c r="M1118" s="2" t="str">
        <f>_xlfn.IFS(TelecomData[[#This Row],[TenureMonths]]&lt;=12, "0-1 Year", TelecomData[[#This Row],[TenureMonths]]&lt;=36, "1-3 Years", TelecomData[[#This Row],[TenureMonths]]&gt;36, "3+ Years")</f>
        <v>3+ Years</v>
      </c>
      <c r="N1118" s="2" t="str">
        <f>IF(TelecomData[[#This Row],[CleanedTotalCharges]]&gt;=2500,"High Spend", "Standard Spend")</f>
        <v>Standard Spend</v>
      </c>
    </row>
    <row r="1119" spans="1:14" x14ac:dyDescent="0.3">
      <c r="A1119" s="1" t="s">
        <v>1143</v>
      </c>
      <c r="B1119" s="2" t="s">
        <v>19</v>
      </c>
      <c r="C1119" s="2" t="s">
        <v>35</v>
      </c>
      <c r="D1119" s="2">
        <v>52</v>
      </c>
      <c r="E1119" s="2" t="s">
        <v>26</v>
      </c>
      <c r="F1119" s="2" t="s">
        <v>15</v>
      </c>
      <c r="G1119" s="7">
        <v>89.45</v>
      </c>
      <c r="H1119" s="7">
        <v>4577.75</v>
      </c>
      <c r="I1119" s="2" t="s">
        <v>15</v>
      </c>
      <c r="J1119" s="2" t="s">
        <v>16</v>
      </c>
      <c r="K1119" s="2" t="s">
        <v>29</v>
      </c>
      <c r="L1119" s="7">
        <v>4577.75</v>
      </c>
      <c r="M1119" s="2" t="str">
        <f>_xlfn.IFS(TelecomData[[#This Row],[TenureMonths]]&lt;=12, "0-1 Year", TelecomData[[#This Row],[TenureMonths]]&lt;=36, "1-3 Years", TelecomData[[#This Row],[TenureMonths]]&gt;36, "3+ Years")</f>
        <v>3+ Years</v>
      </c>
      <c r="N1119" s="2" t="str">
        <f>IF(TelecomData[[#This Row],[CleanedTotalCharges]]&gt;=2500,"High Spend", "Standard Spend")</f>
        <v>High Spend</v>
      </c>
    </row>
    <row r="1120" spans="1:14" x14ac:dyDescent="0.3">
      <c r="A1120" s="1" t="s">
        <v>1144</v>
      </c>
      <c r="B1120" s="2" t="s">
        <v>12</v>
      </c>
      <c r="C1120" s="2" t="s">
        <v>13</v>
      </c>
      <c r="D1120" s="2">
        <v>48</v>
      </c>
      <c r="E1120" s="2" t="s">
        <v>26</v>
      </c>
      <c r="F1120" s="2" t="s">
        <v>15</v>
      </c>
      <c r="G1120" s="7">
        <v>105.25</v>
      </c>
      <c r="H1120" s="7">
        <v>4997.5</v>
      </c>
      <c r="I1120" s="2" t="s">
        <v>15</v>
      </c>
      <c r="J1120" s="2" t="s">
        <v>16</v>
      </c>
      <c r="K1120" s="2" t="s">
        <v>29</v>
      </c>
      <c r="L1120" s="7">
        <v>4997.5</v>
      </c>
      <c r="M1120" s="2" t="str">
        <f>_xlfn.IFS(TelecomData[[#This Row],[TenureMonths]]&lt;=12, "0-1 Year", TelecomData[[#This Row],[TenureMonths]]&lt;=36, "1-3 Years", TelecomData[[#This Row],[TenureMonths]]&gt;36, "3+ Years")</f>
        <v>3+ Years</v>
      </c>
      <c r="N1120" s="2" t="str">
        <f>IF(TelecomData[[#This Row],[CleanedTotalCharges]]&gt;=2500,"High Spend", "Standard Spend")</f>
        <v>High Spend</v>
      </c>
    </row>
    <row r="1121" spans="1:14" x14ac:dyDescent="0.3">
      <c r="A1121" s="1" t="s">
        <v>1145</v>
      </c>
      <c r="B1121" s="2" t="s">
        <v>19</v>
      </c>
      <c r="C1121" s="2" t="s">
        <v>35</v>
      </c>
      <c r="D1121" s="2">
        <v>70</v>
      </c>
      <c r="E1121" s="2" t="s">
        <v>14</v>
      </c>
      <c r="F1121" s="2" t="s">
        <v>16</v>
      </c>
      <c r="G1121" s="7">
        <v>59.5</v>
      </c>
      <c r="H1121" s="7">
        <v>4144.8</v>
      </c>
      <c r="I1121" s="2" t="s">
        <v>15</v>
      </c>
      <c r="J1121" s="2" t="s">
        <v>15</v>
      </c>
      <c r="K1121" s="2" t="s">
        <v>24</v>
      </c>
      <c r="L1121" s="7">
        <v>4144.8</v>
      </c>
      <c r="M1121" s="2" t="str">
        <f>_xlfn.IFS(TelecomData[[#This Row],[TenureMonths]]&lt;=12, "0-1 Year", TelecomData[[#This Row],[TenureMonths]]&lt;=36, "1-3 Years", TelecomData[[#This Row],[TenureMonths]]&gt;36, "3+ Years")</f>
        <v>3+ Years</v>
      </c>
      <c r="N1121" s="2" t="str">
        <f>IF(TelecomData[[#This Row],[CleanedTotalCharges]]&gt;=2500,"High Spend", "Standard Spend")</f>
        <v>High Spend</v>
      </c>
    </row>
    <row r="1122" spans="1:14" x14ac:dyDescent="0.3">
      <c r="A1122" s="1" t="s">
        <v>1146</v>
      </c>
      <c r="B1122" s="2" t="s">
        <v>19</v>
      </c>
      <c r="C1122" s="2" t="s">
        <v>13</v>
      </c>
      <c r="D1122" s="2">
        <v>20</v>
      </c>
      <c r="E1122" s="2" t="s">
        <v>26</v>
      </c>
      <c r="F1122" s="2" t="s">
        <v>15</v>
      </c>
      <c r="G1122" s="7">
        <v>70.55</v>
      </c>
      <c r="H1122" s="7">
        <v>1493.55</v>
      </c>
      <c r="I1122" s="2" t="s">
        <v>15</v>
      </c>
      <c r="J1122" s="2" t="s">
        <v>15</v>
      </c>
      <c r="K1122" s="2" t="s">
        <v>29</v>
      </c>
      <c r="L1122" s="7">
        <v>1493.55</v>
      </c>
      <c r="M1122" s="2" t="str">
        <f>_xlfn.IFS(TelecomData[[#This Row],[TenureMonths]]&lt;=12, "0-1 Year", TelecomData[[#This Row],[TenureMonths]]&lt;=36, "1-3 Years", TelecomData[[#This Row],[TenureMonths]]&gt;36, "3+ Years")</f>
        <v>1-3 Years</v>
      </c>
      <c r="N1122" s="2" t="str">
        <f>IF(TelecomData[[#This Row],[CleanedTotalCharges]]&gt;=2500,"High Spend", "Standard Spend")</f>
        <v>Standard Spend</v>
      </c>
    </row>
    <row r="1123" spans="1:14" x14ac:dyDescent="0.3">
      <c r="A1123" s="1" t="s">
        <v>1147</v>
      </c>
      <c r="B1123" s="2" t="s">
        <v>12</v>
      </c>
      <c r="C1123" s="2" t="s">
        <v>20</v>
      </c>
      <c r="D1123" s="2">
        <v>50</v>
      </c>
      <c r="E1123" s="2" t="s">
        <v>14</v>
      </c>
      <c r="F1123" s="2" t="s">
        <v>16</v>
      </c>
      <c r="G1123" s="7">
        <v>82.5</v>
      </c>
      <c r="H1123" s="7">
        <v>4179.1000000000004</v>
      </c>
      <c r="I1123" s="2" t="s">
        <v>15</v>
      </c>
      <c r="J1123" s="2" t="s">
        <v>16</v>
      </c>
      <c r="K1123" s="2" t="s">
        <v>29</v>
      </c>
      <c r="L1123" s="7">
        <v>4179.1000000000004</v>
      </c>
      <c r="M1123" s="2" t="str">
        <f>_xlfn.IFS(TelecomData[[#This Row],[TenureMonths]]&lt;=12, "0-1 Year", TelecomData[[#This Row],[TenureMonths]]&lt;=36, "1-3 Years", TelecomData[[#This Row],[TenureMonths]]&gt;36, "3+ Years")</f>
        <v>3+ Years</v>
      </c>
      <c r="N1123" s="2" t="str">
        <f>IF(TelecomData[[#This Row],[CleanedTotalCharges]]&gt;=2500,"High Spend", "Standard Spend")</f>
        <v>High Spend</v>
      </c>
    </row>
    <row r="1124" spans="1:14" x14ac:dyDescent="0.3">
      <c r="A1124" s="1" t="s">
        <v>1148</v>
      </c>
      <c r="B1124" s="2" t="s">
        <v>12</v>
      </c>
      <c r="C1124" s="2" t="s">
        <v>20</v>
      </c>
      <c r="D1124" s="2">
        <v>19</v>
      </c>
      <c r="E1124" s="2" t="s">
        <v>14</v>
      </c>
      <c r="F1124" s="2" t="s">
        <v>15</v>
      </c>
      <c r="G1124" s="7">
        <v>44.85</v>
      </c>
      <c r="H1124" s="7">
        <v>893.55</v>
      </c>
      <c r="I1124" s="2" t="s">
        <v>16</v>
      </c>
      <c r="J1124" s="2" t="s">
        <v>16</v>
      </c>
      <c r="K1124" s="2" t="s">
        <v>29</v>
      </c>
      <c r="L1124" s="7">
        <v>893.55</v>
      </c>
      <c r="M1124" s="2" t="str">
        <f>_xlfn.IFS(TelecomData[[#This Row],[TenureMonths]]&lt;=12, "0-1 Year", TelecomData[[#This Row],[TenureMonths]]&lt;=36, "1-3 Years", TelecomData[[#This Row],[TenureMonths]]&gt;36, "3+ Years")</f>
        <v>1-3 Years</v>
      </c>
      <c r="N1124" s="2" t="str">
        <f>IF(TelecomData[[#This Row],[CleanedTotalCharges]]&gt;=2500,"High Spend", "Standard Spend")</f>
        <v>Standard Spend</v>
      </c>
    </row>
    <row r="1125" spans="1:14" x14ac:dyDescent="0.3">
      <c r="A1125" s="1" t="s">
        <v>1149</v>
      </c>
      <c r="B1125" s="2" t="s">
        <v>19</v>
      </c>
      <c r="C1125" s="2" t="s">
        <v>20</v>
      </c>
      <c r="D1125" s="2">
        <v>25</v>
      </c>
      <c r="E1125" s="2" t="s">
        <v>14</v>
      </c>
      <c r="F1125" s="2" t="s">
        <v>15</v>
      </c>
      <c r="G1125" s="7">
        <v>61.6</v>
      </c>
      <c r="H1125" s="7">
        <v>1611</v>
      </c>
      <c r="I1125" s="2" t="s">
        <v>15</v>
      </c>
      <c r="J1125" s="2" t="s">
        <v>16</v>
      </c>
      <c r="K1125" s="2" t="s">
        <v>24</v>
      </c>
      <c r="L1125" s="7">
        <v>1611</v>
      </c>
      <c r="M1125" s="2" t="str">
        <f>_xlfn.IFS(TelecomData[[#This Row],[TenureMonths]]&lt;=12, "0-1 Year", TelecomData[[#This Row],[TenureMonths]]&lt;=36, "1-3 Years", TelecomData[[#This Row],[TenureMonths]]&gt;36, "3+ Years")</f>
        <v>1-3 Years</v>
      </c>
      <c r="N1125" s="2" t="str">
        <f>IF(TelecomData[[#This Row],[CleanedTotalCharges]]&gt;=2500,"High Spend", "Standard Spend")</f>
        <v>Standard Spend</v>
      </c>
    </row>
    <row r="1126" spans="1:14" x14ac:dyDescent="0.3">
      <c r="A1126" s="1" t="s">
        <v>1150</v>
      </c>
      <c r="B1126" s="2" t="s">
        <v>19</v>
      </c>
      <c r="C1126" s="2" t="s">
        <v>13</v>
      </c>
      <c r="D1126" s="2">
        <v>12</v>
      </c>
      <c r="E1126" s="2" t="s">
        <v>14</v>
      </c>
      <c r="F1126" s="2" t="s">
        <v>15</v>
      </c>
      <c r="G1126" s="7">
        <v>49.05</v>
      </c>
      <c r="H1126" s="7">
        <v>593.04999999999995</v>
      </c>
      <c r="I1126" s="2" t="s">
        <v>15</v>
      </c>
      <c r="J1126" s="2" t="s">
        <v>16</v>
      </c>
      <c r="K1126" s="2" t="s">
        <v>24</v>
      </c>
      <c r="L1126" s="7">
        <v>593.04999999999995</v>
      </c>
      <c r="M1126" s="2" t="str">
        <f>_xlfn.IFS(TelecomData[[#This Row],[TenureMonths]]&lt;=12, "0-1 Year", TelecomData[[#This Row],[TenureMonths]]&lt;=36, "1-3 Years", TelecomData[[#This Row],[TenureMonths]]&gt;36, "3+ Years")</f>
        <v>0-1 Year</v>
      </c>
      <c r="N1126" s="2" t="str">
        <f>IF(TelecomData[[#This Row],[CleanedTotalCharges]]&gt;=2500,"High Spend", "Standard Spend")</f>
        <v>Standard Spend</v>
      </c>
    </row>
    <row r="1127" spans="1:14" x14ac:dyDescent="0.3">
      <c r="A1127" s="1" t="s">
        <v>1151</v>
      </c>
      <c r="B1127" s="2" t="s">
        <v>19</v>
      </c>
      <c r="C1127" s="2" t="s">
        <v>13</v>
      </c>
      <c r="D1127" s="2">
        <v>39</v>
      </c>
      <c r="E1127" s="2" t="s">
        <v>26</v>
      </c>
      <c r="F1127" s="2" t="s">
        <v>15</v>
      </c>
      <c r="G1127" s="7">
        <v>105.65</v>
      </c>
      <c r="H1127" s="7">
        <v>4284.8</v>
      </c>
      <c r="I1127" s="2" t="s">
        <v>16</v>
      </c>
      <c r="J1127" s="2" t="s">
        <v>16</v>
      </c>
      <c r="K1127" s="2" t="s">
        <v>17</v>
      </c>
      <c r="L1127" s="7">
        <v>4284.8</v>
      </c>
      <c r="M1127" s="2" t="str">
        <f>_xlfn.IFS(TelecomData[[#This Row],[TenureMonths]]&lt;=12, "0-1 Year", TelecomData[[#This Row],[TenureMonths]]&lt;=36, "1-3 Years", TelecomData[[#This Row],[TenureMonths]]&gt;36, "3+ Years")</f>
        <v>3+ Years</v>
      </c>
      <c r="N1127" s="2" t="str">
        <f>IF(TelecomData[[#This Row],[CleanedTotalCharges]]&gt;=2500,"High Spend", "Standard Spend")</f>
        <v>High Spend</v>
      </c>
    </row>
    <row r="1128" spans="1:14" x14ac:dyDescent="0.3">
      <c r="A1128" s="1" t="s">
        <v>1152</v>
      </c>
      <c r="B1128" s="2" t="s">
        <v>19</v>
      </c>
      <c r="C1128" s="2" t="s">
        <v>13</v>
      </c>
      <c r="D1128" s="2">
        <v>7</v>
      </c>
      <c r="E1128" s="2" t="s">
        <v>26</v>
      </c>
      <c r="F1128" s="2" t="s">
        <v>15</v>
      </c>
      <c r="G1128" s="7">
        <v>74.650000000000006</v>
      </c>
      <c r="H1128" s="7">
        <v>544.54999999999995</v>
      </c>
      <c r="I1128" s="2" t="s">
        <v>16</v>
      </c>
      <c r="J1128" s="2" t="s">
        <v>15</v>
      </c>
      <c r="K1128" s="2" t="s">
        <v>21</v>
      </c>
      <c r="L1128" s="7">
        <v>544.54999999999995</v>
      </c>
      <c r="M1128" s="2" t="str">
        <f>_xlfn.IFS(TelecomData[[#This Row],[TenureMonths]]&lt;=12, "0-1 Year", TelecomData[[#This Row],[TenureMonths]]&lt;=36, "1-3 Years", TelecomData[[#This Row],[TenureMonths]]&gt;36, "3+ Years")</f>
        <v>0-1 Year</v>
      </c>
      <c r="N1128" s="2" t="str">
        <f>IF(TelecomData[[#This Row],[CleanedTotalCharges]]&gt;=2500,"High Spend", "Standard Spend")</f>
        <v>Standard Spend</v>
      </c>
    </row>
    <row r="1129" spans="1:14" x14ac:dyDescent="0.3">
      <c r="A1129" s="1" t="s">
        <v>1153</v>
      </c>
      <c r="B1129" s="2" t="s">
        <v>12</v>
      </c>
      <c r="C1129" s="2" t="s">
        <v>20</v>
      </c>
      <c r="D1129" s="2">
        <v>23</v>
      </c>
      <c r="E1129" s="2" t="s">
        <v>14</v>
      </c>
      <c r="F1129" s="2" t="s">
        <v>16</v>
      </c>
      <c r="G1129" s="7">
        <v>66.25</v>
      </c>
      <c r="H1129" s="7">
        <v>1533.8</v>
      </c>
      <c r="I1129" s="2" t="s">
        <v>15</v>
      </c>
      <c r="J1129" s="2" t="s">
        <v>16</v>
      </c>
      <c r="K1129" s="2" t="s">
        <v>21</v>
      </c>
      <c r="L1129" s="7">
        <v>1533.8</v>
      </c>
      <c r="M1129" s="2" t="str">
        <f>_xlfn.IFS(TelecomData[[#This Row],[TenureMonths]]&lt;=12, "0-1 Year", TelecomData[[#This Row],[TenureMonths]]&lt;=36, "1-3 Years", TelecomData[[#This Row],[TenureMonths]]&gt;36, "3+ Years")</f>
        <v>1-3 Years</v>
      </c>
      <c r="N1129" s="2" t="str">
        <f>IF(TelecomData[[#This Row],[CleanedTotalCharges]]&gt;=2500,"High Spend", "Standard Spend")</f>
        <v>Standard Spend</v>
      </c>
    </row>
    <row r="1130" spans="1:14" x14ac:dyDescent="0.3">
      <c r="A1130" s="1" t="s">
        <v>1154</v>
      </c>
      <c r="B1130" s="2" t="s">
        <v>19</v>
      </c>
      <c r="C1130" s="2" t="s">
        <v>13</v>
      </c>
      <c r="D1130" s="2">
        <v>27</v>
      </c>
      <c r="E1130" s="2" t="s">
        <v>15</v>
      </c>
      <c r="F1130" s="2" t="s">
        <v>36</v>
      </c>
      <c r="G1130" s="7">
        <v>19.399999999999999</v>
      </c>
      <c r="H1130" s="7">
        <v>529.79999999999995</v>
      </c>
      <c r="I1130" s="2" t="s">
        <v>15</v>
      </c>
      <c r="J1130" s="2" t="s">
        <v>16</v>
      </c>
      <c r="K1130" s="2" t="s">
        <v>17</v>
      </c>
      <c r="L1130" s="7">
        <v>529.79999999999995</v>
      </c>
      <c r="M1130" s="2" t="str">
        <f>_xlfn.IFS(TelecomData[[#This Row],[TenureMonths]]&lt;=12, "0-1 Year", TelecomData[[#This Row],[TenureMonths]]&lt;=36, "1-3 Years", TelecomData[[#This Row],[TenureMonths]]&gt;36, "3+ Years")</f>
        <v>1-3 Years</v>
      </c>
      <c r="N1130" s="2" t="str">
        <f>IF(TelecomData[[#This Row],[CleanedTotalCharges]]&gt;=2500,"High Spend", "Standard Spend")</f>
        <v>Standard Spend</v>
      </c>
    </row>
    <row r="1131" spans="1:14" x14ac:dyDescent="0.3">
      <c r="A1131" s="1" t="s">
        <v>1155</v>
      </c>
      <c r="B1131" s="2" t="s">
        <v>19</v>
      </c>
      <c r="C1131" s="2" t="s">
        <v>13</v>
      </c>
      <c r="D1131" s="2">
        <v>47</v>
      </c>
      <c r="E1131" s="2" t="s">
        <v>26</v>
      </c>
      <c r="F1131" s="2" t="s">
        <v>15</v>
      </c>
      <c r="G1131" s="7">
        <v>86.05</v>
      </c>
      <c r="H1131" s="7">
        <v>3865.6</v>
      </c>
      <c r="I1131" s="2" t="s">
        <v>15</v>
      </c>
      <c r="J1131" s="2" t="s">
        <v>16</v>
      </c>
      <c r="K1131" s="2" t="s">
        <v>29</v>
      </c>
      <c r="L1131" s="7">
        <v>3865.6</v>
      </c>
      <c r="M1131" s="2" t="str">
        <f>_xlfn.IFS(TelecomData[[#This Row],[TenureMonths]]&lt;=12, "0-1 Year", TelecomData[[#This Row],[TenureMonths]]&lt;=36, "1-3 Years", TelecomData[[#This Row],[TenureMonths]]&gt;36, "3+ Years")</f>
        <v>3+ Years</v>
      </c>
      <c r="N1131" s="2" t="str">
        <f>IF(TelecomData[[#This Row],[CleanedTotalCharges]]&gt;=2500,"High Spend", "Standard Spend")</f>
        <v>High Spend</v>
      </c>
    </row>
    <row r="1132" spans="1:14" x14ac:dyDescent="0.3">
      <c r="A1132" s="1" t="s">
        <v>1156</v>
      </c>
      <c r="B1132" s="2" t="s">
        <v>19</v>
      </c>
      <c r="C1132" s="2" t="s">
        <v>35</v>
      </c>
      <c r="D1132" s="2">
        <v>26</v>
      </c>
      <c r="E1132" s="2" t="s">
        <v>15</v>
      </c>
      <c r="F1132" s="2" t="s">
        <v>36</v>
      </c>
      <c r="G1132" s="7">
        <v>19.149999999999999</v>
      </c>
      <c r="H1132" s="7">
        <v>515.75</v>
      </c>
      <c r="I1132" s="2" t="s">
        <v>15</v>
      </c>
      <c r="J1132" s="2" t="s">
        <v>16</v>
      </c>
      <c r="K1132" s="2" t="s">
        <v>29</v>
      </c>
      <c r="L1132" s="7">
        <v>515.75</v>
      </c>
      <c r="M1132" s="2" t="str">
        <f>_xlfn.IFS(TelecomData[[#This Row],[TenureMonths]]&lt;=12, "0-1 Year", TelecomData[[#This Row],[TenureMonths]]&lt;=36, "1-3 Years", TelecomData[[#This Row],[TenureMonths]]&gt;36, "3+ Years")</f>
        <v>1-3 Years</v>
      </c>
      <c r="N1132" s="2" t="str">
        <f>IF(TelecomData[[#This Row],[CleanedTotalCharges]]&gt;=2500,"High Spend", "Standard Spend")</f>
        <v>Standard Spend</v>
      </c>
    </row>
    <row r="1133" spans="1:14" x14ac:dyDescent="0.3">
      <c r="A1133" s="1" t="s">
        <v>1157</v>
      </c>
      <c r="B1133" s="2" t="s">
        <v>12</v>
      </c>
      <c r="C1133" s="2" t="s">
        <v>13</v>
      </c>
      <c r="D1133" s="2">
        <v>14</v>
      </c>
      <c r="E1133" s="2" t="s">
        <v>14</v>
      </c>
      <c r="F1133" s="2" t="s">
        <v>15</v>
      </c>
      <c r="G1133" s="7">
        <v>64.7</v>
      </c>
      <c r="H1133" s="7">
        <v>941</v>
      </c>
      <c r="I1133" s="2" t="s">
        <v>16</v>
      </c>
      <c r="J1133" s="2" t="s">
        <v>16</v>
      </c>
      <c r="K1133" s="2" t="s">
        <v>24</v>
      </c>
      <c r="L1133" s="7">
        <v>941</v>
      </c>
      <c r="M1133" s="2" t="str">
        <f>_xlfn.IFS(TelecomData[[#This Row],[TenureMonths]]&lt;=12, "0-1 Year", TelecomData[[#This Row],[TenureMonths]]&lt;=36, "1-3 Years", TelecomData[[#This Row],[TenureMonths]]&gt;36, "3+ Years")</f>
        <v>1-3 Years</v>
      </c>
      <c r="N1133" s="2" t="str">
        <f>IF(TelecomData[[#This Row],[CleanedTotalCharges]]&gt;=2500,"High Spend", "Standard Spend")</f>
        <v>Standard Spend</v>
      </c>
    </row>
    <row r="1134" spans="1:14" x14ac:dyDescent="0.3">
      <c r="A1134" s="1" t="s">
        <v>1158</v>
      </c>
      <c r="B1134" s="2" t="s">
        <v>12</v>
      </c>
      <c r="C1134" s="2" t="s">
        <v>13</v>
      </c>
      <c r="D1134" s="2">
        <v>11</v>
      </c>
      <c r="E1134" s="2" t="s">
        <v>26</v>
      </c>
      <c r="F1134" s="2" t="s">
        <v>16</v>
      </c>
      <c r="G1134" s="7">
        <v>104.05</v>
      </c>
      <c r="H1134" s="7">
        <v>1133.6500000000001</v>
      </c>
      <c r="I1134" s="2" t="s">
        <v>16</v>
      </c>
      <c r="J1134" s="2" t="s">
        <v>16</v>
      </c>
      <c r="K1134" s="2" t="s">
        <v>24</v>
      </c>
      <c r="L1134" s="7">
        <v>1133.6500000000001</v>
      </c>
      <c r="M1134" s="2" t="str">
        <f>_xlfn.IFS(TelecomData[[#This Row],[TenureMonths]]&lt;=12, "0-1 Year", TelecomData[[#This Row],[TenureMonths]]&lt;=36, "1-3 Years", TelecomData[[#This Row],[TenureMonths]]&gt;36, "3+ Years")</f>
        <v>0-1 Year</v>
      </c>
      <c r="N1134" s="2" t="str">
        <f>IF(TelecomData[[#This Row],[CleanedTotalCharges]]&gt;=2500,"High Spend", "Standard Spend")</f>
        <v>Standard Spend</v>
      </c>
    </row>
    <row r="1135" spans="1:14" x14ac:dyDescent="0.3">
      <c r="A1135" s="1" t="s">
        <v>1159</v>
      </c>
      <c r="B1135" s="2" t="s">
        <v>19</v>
      </c>
      <c r="C1135" s="2" t="s">
        <v>13</v>
      </c>
      <c r="D1135" s="2">
        <v>2</v>
      </c>
      <c r="E1135" s="2" t="s">
        <v>15</v>
      </c>
      <c r="F1135" s="2" t="s">
        <v>36</v>
      </c>
      <c r="G1135" s="7">
        <v>19.25</v>
      </c>
      <c r="H1135" s="7">
        <v>48.35</v>
      </c>
      <c r="I1135" s="2" t="s">
        <v>15</v>
      </c>
      <c r="J1135" s="2" t="s">
        <v>15</v>
      </c>
      <c r="K1135" s="2" t="s">
        <v>21</v>
      </c>
      <c r="L1135" s="7">
        <v>48.35</v>
      </c>
      <c r="M1135" s="2" t="str">
        <f>_xlfn.IFS(TelecomData[[#This Row],[TenureMonths]]&lt;=12, "0-1 Year", TelecomData[[#This Row],[TenureMonths]]&lt;=36, "1-3 Years", TelecomData[[#This Row],[TenureMonths]]&gt;36, "3+ Years")</f>
        <v>0-1 Year</v>
      </c>
      <c r="N1135" s="2" t="str">
        <f>IF(TelecomData[[#This Row],[CleanedTotalCharges]]&gt;=2500,"High Spend", "Standard Spend")</f>
        <v>Standard Spend</v>
      </c>
    </row>
    <row r="1136" spans="1:14" x14ac:dyDescent="0.3">
      <c r="A1136" s="1" t="s">
        <v>1160</v>
      </c>
      <c r="B1136" s="2" t="s">
        <v>12</v>
      </c>
      <c r="C1136" s="2" t="s">
        <v>13</v>
      </c>
      <c r="D1136" s="2">
        <v>26</v>
      </c>
      <c r="E1136" s="2" t="s">
        <v>26</v>
      </c>
      <c r="F1136" s="2" t="s">
        <v>15</v>
      </c>
      <c r="G1136" s="7">
        <v>81.95</v>
      </c>
      <c r="H1136" s="7">
        <v>2070.0500000000002</v>
      </c>
      <c r="I1136" s="2" t="s">
        <v>15</v>
      </c>
      <c r="J1136" s="2" t="s">
        <v>15</v>
      </c>
      <c r="K1136" s="2" t="s">
        <v>17</v>
      </c>
      <c r="L1136" s="7">
        <v>2070.0500000000002</v>
      </c>
      <c r="M1136" s="2" t="str">
        <f>_xlfn.IFS(TelecomData[[#This Row],[TenureMonths]]&lt;=12, "0-1 Year", TelecomData[[#This Row],[TenureMonths]]&lt;=36, "1-3 Years", TelecomData[[#This Row],[TenureMonths]]&gt;36, "3+ Years")</f>
        <v>1-3 Years</v>
      </c>
      <c r="N1136" s="2" t="str">
        <f>IF(TelecomData[[#This Row],[CleanedTotalCharges]]&gt;=2500,"High Spend", "Standard Spend")</f>
        <v>Standard Spend</v>
      </c>
    </row>
    <row r="1137" spans="1:14" x14ac:dyDescent="0.3">
      <c r="A1137" s="1" t="s">
        <v>1161</v>
      </c>
      <c r="B1137" s="2" t="s">
        <v>12</v>
      </c>
      <c r="C1137" s="2" t="s">
        <v>35</v>
      </c>
      <c r="D1137" s="2">
        <v>72</v>
      </c>
      <c r="E1137" s="2" t="s">
        <v>26</v>
      </c>
      <c r="F1137" s="2" t="s">
        <v>16</v>
      </c>
      <c r="G1137" s="7">
        <v>114.65</v>
      </c>
      <c r="H1137" s="7">
        <v>8333.9500000000007</v>
      </c>
      <c r="I1137" s="2" t="s">
        <v>15</v>
      </c>
      <c r="J1137" s="2" t="s">
        <v>16</v>
      </c>
      <c r="K1137" s="2" t="s">
        <v>24</v>
      </c>
      <c r="L1137" s="7">
        <v>8333.9500000000007</v>
      </c>
      <c r="M1137" s="2" t="str">
        <f>_xlfn.IFS(TelecomData[[#This Row],[TenureMonths]]&lt;=12, "0-1 Year", TelecomData[[#This Row],[TenureMonths]]&lt;=36, "1-3 Years", TelecomData[[#This Row],[TenureMonths]]&gt;36, "3+ Years")</f>
        <v>3+ Years</v>
      </c>
      <c r="N1137" s="2" t="str">
        <f>IF(TelecomData[[#This Row],[CleanedTotalCharges]]&gt;=2500,"High Spend", "Standard Spend")</f>
        <v>High Spend</v>
      </c>
    </row>
    <row r="1138" spans="1:14" x14ac:dyDescent="0.3">
      <c r="A1138" s="1" t="s">
        <v>1162</v>
      </c>
      <c r="B1138" s="2" t="s">
        <v>12</v>
      </c>
      <c r="C1138" s="2" t="s">
        <v>35</v>
      </c>
      <c r="D1138" s="2">
        <v>63</v>
      </c>
      <c r="E1138" s="2" t="s">
        <v>15</v>
      </c>
      <c r="F1138" s="2" t="s">
        <v>36</v>
      </c>
      <c r="G1138" s="7">
        <v>20</v>
      </c>
      <c r="H1138" s="7">
        <v>1209.25</v>
      </c>
      <c r="I1138" s="2" t="s">
        <v>15</v>
      </c>
      <c r="J1138" s="2" t="s">
        <v>15</v>
      </c>
      <c r="K1138" s="2" t="s">
        <v>29</v>
      </c>
      <c r="L1138" s="7">
        <v>1209.25</v>
      </c>
      <c r="M1138" s="2" t="str">
        <f>_xlfn.IFS(TelecomData[[#This Row],[TenureMonths]]&lt;=12, "0-1 Year", TelecomData[[#This Row],[TenureMonths]]&lt;=36, "1-3 Years", TelecomData[[#This Row],[TenureMonths]]&gt;36, "3+ Years")</f>
        <v>3+ Years</v>
      </c>
      <c r="N1138" s="2" t="str">
        <f>IF(TelecomData[[#This Row],[CleanedTotalCharges]]&gt;=2500,"High Spend", "Standard Spend")</f>
        <v>Standard Spend</v>
      </c>
    </row>
    <row r="1139" spans="1:14" x14ac:dyDescent="0.3">
      <c r="A1139" s="1" t="s">
        <v>1163</v>
      </c>
      <c r="B1139" s="2" t="s">
        <v>19</v>
      </c>
      <c r="C1139" s="2" t="s">
        <v>35</v>
      </c>
      <c r="D1139" s="2">
        <v>71</v>
      </c>
      <c r="E1139" s="2" t="s">
        <v>15</v>
      </c>
      <c r="F1139" s="2" t="s">
        <v>36</v>
      </c>
      <c r="G1139" s="7">
        <v>19.8</v>
      </c>
      <c r="H1139" s="7">
        <v>1396.25</v>
      </c>
      <c r="I1139" s="2" t="s">
        <v>15</v>
      </c>
      <c r="J1139" s="2" t="s">
        <v>15</v>
      </c>
      <c r="K1139" s="2" t="s">
        <v>21</v>
      </c>
      <c r="L1139" s="7">
        <v>1396.25</v>
      </c>
      <c r="M1139" s="2" t="str">
        <f>_xlfn.IFS(TelecomData[[#This Row],[TenureMonths]]&lt;=12, "0-1 Year", TelecomData[[#This Row],[TenureMonths]]&lt;=36, "1-3 Years", TelecomData[[#This Row],[TenureMonths]]&gt;36, "3+ Years")</f>
        <v>3+ Years</v>
      </c>
      <c r="N1139" s="2" t="str">
        <f>IF(TelecomData[[#This Row],[CleanedTotalCharges]]&gt;=2500,"High Spend", "Standard Spend")</f>
        <v>Standard Spend</v>
      </c>
    </row>
    <row r="1140" spans="1:14" x14ac:dyDescent="0.3">
      <c r="A1140" s="1" t="s">
        <v>1164</v>
      </c>
      <c r="B1140" s="2" t="s">
        <v>19</v>
      </c>
      <c r="C1140" s="2" t="s">
        <v>13</v>
      </c>
      <c r="D1140" s="2">
        <v>11</v>
      </c>
      <c r="E1140" s="2" t="s">
        <v>14</v>
      </c>
      <c r="F1140" s="2" t="s">
        <v>15</v>
      </c>
      <c r="G1140" s="7">
        <v>65.150000000000006</v>
      </c>
      <c r="H1140" s="7">
        <v>723.35</v>
      </c>
      <c r="I1140" s="2" t="s">
        <v>15</v>
      </c>
      <c r="J1140" s="2" t="s">
        <v>16</v>
      </c>
      <c r="K1140" s="2" t="s">
        <v>24</v>
      </c>
      <c r="L1140" s="7">
        <v>723.35</v>
      </c>
      <c r="M1140" s="2" t="str">
        <f>_xlfn.IFS(TelecomData[[#This Row],[TenureMonths]]&lt;=12, "0-1 Year", TelecomData[[#This Row],[TenureMonths]]&lt;=36, "1-3 Years", TelecomData[[#This Row],[TenureMonths]]&gt;36, "3+ Years")</f>
        <v>0-1 Year</v>
      </c>
      <c r="N1140" s="2" t="str">
        <f>IF(TelecomData[[#This Row],[CleanedTotalCharges]]&gt;=2500,"High Spend", "Standard Spend")</f>
        <v>Standard Spend</v>
      </c>
    </row>
    <row r="1141" spans="1:14" x14ac:dyDescent="0.3">
      <c r="A1141" s="1" t="s">
        <v>1165</v>
      </c>
      <c r="B1141" s="2" t="s">
        <v>19</v>
      </c>
      <c r="C1141" s="2" t="s">
        <v>20</v>
      </c>
      <c r="D1141" s="2">
        <v>14</v>
      </c>
      <c r="E1141" s="2" t="s">
        <v>15</v>
      </c>
      <c r="F1141" s="2" t="s">
        <v>36</v>
      </c>
      <c r="G1141" s="7">
        <v>19.649999999999999</v>
      </c>
      <c r="H1141" s="7">
        <v>228.65</v>
      </c>
      <c r="I1141" s="2" t="s">
        <v>15</v>
      </c>
      <c r="J1141" s="2" t="s">
        <v>15</v>
      </c>
      <c r="K1141" s="2" t="s">
        <v>21</v>
      </c>
      <c r="L1141" s="7">
        <v>228.65</v>
      </c>
      <c r="M1141" s="2" t="str">
        <f>_xlfn.IFS(TelecomData[[#This Row],[TenureMonths]]&lt;=12, "0-1 Year", TelecomData[[#This Row],[TenureMonths]]&lt;=36, "1-3 Years", TelecomData[[#This Row],[TenureMonths]]&gt;36, "3+ Years")</f>
        <v>1-3 Years</v>
      </c>
      <c r="N1141" s="2" t="str">
        <f>IF(TelecomData[[#This Row],[CleanedTotalCharges]]&gt;=2500,"High Spend", "Standard Spend")</f>
        <v>Standard Spend</v>
      </c>
    </row>
    <row r="1142" spans="1:14" x14ac:dyDescent="0.3">
      <c r="A1142" s="1" t="s">
        <v>1166</v>
      </c>
      <c r="B1142" s="2" t="s">
        <v>12</v>
      </c>
      <c r="C1142" s="2" t="s">
        <v>35</v>
      </c>
      <c r="D1142" s="2">
        <v>13</v>
      </c>
      <c r="E1142" s="2" t="s">
        <v>14</v>
      </c>
      <c r="F1142" s="2" t="s">
        <v>16</v>
      </c>
      <c r="G1142" s="7">
        <v>88.95</v>
      </c>
      <c r="H1142" s="7">
        <v>1161.75</v>
      </c>
      <c r="I1142" s="2" t="s">
        <v>15</v>
      </c>
      <c r="J1142" s="2" t="s">
        <v>15</v>
      </c>
      <c r="K1142" s="2" t="s">
        <v>29</v>
      </c>
      <c r="L1142" s="7">
        <v>1161.75</v>
      </c>
      <c r="M1142" s="2" t="str">
        <f>_xlfn.IFS(TelecomData[[#This Row],[TenureMonths]]&lt;=12, "0-1 Year", TelecomData[[#This Row],[TenureMonths]]&lt;=36, "1-3 Years", TelecomData[[#This Row],[TenureMonths]]&gt;36, "3+ Years")</f>
        <v>1-3 Years</v>
      </c>
      <c r="N1142" s="2" t="str">
        <f>IF(TelecomData[[#This Row],[CleanedTotalCharges]]&gt;=2500,"High Spend", "Standard Spend")</f>
        <v>Standard Spend</v>
      </c>
    </row>
    <row r="1143" spans="1:14" x14ac:dyDescent="0.3">
      <c r="A1143" s="1" t="s">
        <v>1167</v>
      </c>
      <c r="B1143" s="2" t="s">
        <v>19</v>
      </c>
      <c r="C1143" s="2" t="s">
        <v>13</v>
      </c>
      <c r="D1143" s="2">
        <v>6</v>
      </c>
      <c r="E1143" s="2" t="s">
        <v>15</v>
      </c>
      <c r="F1143" s="2" t="s">
        <v>36</v>
      </c>
      <c r="G1143" s="7">
        <v>20.2</v>
      </c>
      <c r="H1143" s="7">
        <v>98.35</v>
      </c>
      <c r="I1143" s="2" t="s">
        <v>15</v>
      </c>
      <c r="J1143" s="2" t="s">
        <v>16</v>
      </c>
      <c r="K1143" s="2" t="s">
        <v>21</v>
      </c>
      <c r="L1143" s="7">
        <v>98.35</v>
      </c>
      <c r="M1143" s="2" t="str">
        <f>_xlfn.IFS(TelecomData[[#This Row],[TenureMonths]]&lt;=12, "0-1 Year", TelecomData[[#This Row],[TenureMonths]]&lt;=36, "1-3 Years", TelecomData[[#This Row],[TenureMonths]]&gt;36, "3+ Years")</f>
        <v>0-1 Year</v>
      </c>
      <c r="N1143" s="2" t="str">
        <f>IF(TelecomData[[#This Row],[CleanedTotalCharges]]&gt;=2500,"High Spend", "Standard Spend")</f>
        <v>Standard Spend</v>
      </c>
    </row>
    <row r="1144" spans="1:14" x14ac:dyDescent="0.3">
      <c r="A1144" s="1" t="s">
        <v>1168</v>
      </c>
      <c r="B1144" s="2" t="s">
        <v>19</v>
      </c>
      <c r="C1144" s="2" t="s">
        <v>13</v>
      </c>
      <c r="D1144" s="2">
        <v>11</v>
      </c>
      <c r="E1144" s="2" t="s">
        <v>26</v>
      </c>
      <c r="F1144" s="2" t="s">
        <v>15</v>
      </c>
      <c r="G1144" s="7">
        <v>75.2</v>
      </c>
      <c r="H1144" s="7">
        <v>775.3</v>
      </c>
      <c r="I1144" s="2" t="s">
        <v>15</v>
      </c>
      <c r="J1144" s="2" t="s">
        <v>16</v>
      </c>
      <c r="K1144" s="2" t="s">
        <v>29</v>
      </c>
      <c r="L1144" s="7">
        <v>775.3</v>
      </c>
      <c r="M1144" s="2" t="str">
        <f>_xlfn.IFS(TelecomData[[#This Row],[TenureMonths]]&lt;=12, "0-1 Year", TelecomData[[#This Row],[TenureMonths]]&lt;=36, "1-3 Years", TelecomData[[#This Row],[TenureMonths]]&gt;36, "3+ Years")</f>
        <v>0-1 Year</v>
      </c>
      <c r="N1144" s="2" t="str">
        <f>IF(TelecomData[[#This Row],[CleanedTotalCharges]]&gt;=2500,"High Spend", "Standard Spend")</f>
        <v>Standard Spend</v>
      </c>
    </row>
    <row r="1145" spans="1:14" x14ac:dyDescent="0.3">
      <c r="A1145" s="1" t="s">
        <v>1169</v>
      </c>
      <c r="B1145" s="2" t="s">
        <v>19</v>
      </c>
      <c r="C1145" s="2" t="s">
        <v>13</v>
      </c>
      <c r="D1145" s="2">
        <v>18</v>
      </c>
      <c r="E1145" s="2" t="s">
        <v>14</v>
      </c>
      <c r="F1145" s="2" t="s">
        <v>15</v>
      </c>
      <c r="G1145" s="7">
        <v>56.8</v>
      </c>
      <c r="H1145" s="7">
        <v>1074.6500000000001</v>
      </c>
      <c r="I1145" s="2" t="s">
        <v>15</v>
      </c>
      <c r="J1145" s="2" t="s">
        <v>15</v>
      </c>
      <c r="K1145" s="2" t="s">
        <v>29</v>
      </c>
      <c r="L1145" s="7">
        <v>1074.6500000000001</v>
      </c>
      <c r="M1145" s="2" t="str">
        <f>_xlfn.IFS(TelecomData[[#This Row],[TenureMonths]]&lt;=12, "0-1 Year", TelecomData[[#This Row],[TenureMonths]]&lt;=36, "1-3 Years", TelecomData[[#This Row],[TenureMonths]]&gt;36, "3+ Years")</f>
        <v>1-3 Years</v>
      </c>
      <c r="N1145" s="2" t="str">
        <f>IF(TelecomData[[#This Row],[CleanedTotalCharges]]&gt;=2500,"High Spend", "Standard Spend")</f>
        <v>Standard Spend</v>
      </c>
    </row>
    <row r="1146" spans="1:14" x14ac:dyDescent="0.3">
      <c r="A1146" s="1" t="s">
        <v>1170</v>
      </c>
      <c r="B1146" s="2" t="s">
        <v>19</v>
      </c>
      <c r="C1146" s="2" t="s">
        <v>13</v>
      </c>
      <c r="D1146" s="2">
        <v>1</v>
      </c>
      <c r="E1146" s="2" t="s">
        <v>14</v>
      </c>
      <c r="F1146" s="2" t="s">
        <v>15</v>
      </c>
      <c r="G1146" s="7">
        <v>35.549999999999997</v>
      </c>
      <c r="H1146" s="7">
        <v>35.549999999999997</v>
      </c>
      <c r="I1146" s="2" t="s">
        <v>16</v>
      </c>
      <c r="J1146" s="2" t="s">
        <v>16</v>
      </c>
      <c r="K1146" s="2" t="s">
        <v>17</v>
      </c>
      <c r="L1146" s="7">
        <v>35.549999999999997</v>
      </c>
      <c r="M1146" s="2" t="str">
        <f>_xlfn.IFS(TelecomData[[#This Row],[TenureMonths]]&lt;=12, "0-1 Year", TelecomData[[#This Row],[TenureMonths]]&lt;=36, "1-3 Years", TelecomData[[#This Row],[TenureMonths]]&gt;36, "3+ Years")</f>
        <v>0-1 Year</v>
      </c>
      <c r="N1146" s="2" t="str">
        <f>IF(TelecomData[[#This Row],[CleanedTotalCharges]]&gt;=2500,"High Spend", "Standard Spend")</f>
        <v>Standard Spend</v>
      </c>
    </row>
    <row r="1147" spans="1:14" x14ac:dyDescent="0.3">
      <c r="A1147" s="1" t="s">
        <v>1171</v>
      </c>
      <c r="B1147" s="2" t="s">
        <v>12</v>
      </c>
      <c r="C1147" s="2" t="s">
        <v>13</v>
      </c>
      <c r="D1147" s="2">
        <v>32</v>
      </c>
      <c r="E1147" s="2" t="s">
        <v>26</v>
      </c>
      <c r="F1147" s="2" t="s">
        <v>15</v>
      </c>
      <c r="G1147" s="7">
        <v>75.5</v>
      </c>
      <c r="H1147" s="7">
        <v>2324.6999999999998</v>
      </c>
      <c r="I1147" s="2" t="s">
        <v>15</v>
      </c>
      <c r="J1147" s="2" t="s">
        <v>16</v>
      </c>
      <c r="K1147" s="2" t="s">
        <v>24</v>
      </c>
      <c r="L1147" s="7">
        <v>2324.6999999999998</v>
      </c>
      <c r="M1147" s="2" t="str">
        <f>_xlfn.IFS(TelecomData[[#This Row],[TenureMonths]]&lt;=12, "0-1 Year", TelecomData[[#This Row],[TenureMonths]]&lt;=36, "1-3 Years", TelecomData[[#This Row],[TenureMonths]]&gt;36, "3+ Years")</f>
        <v>1-3 Years</v>
      </c>
      <c r="N1147" s="2" t="str">
        <f>IF(TelecomData[[#This Row],[CleanedTotalCharges]]&gt;=2500,"High Spend", "Standard Spend")</f>
        <v>Standard Spend</v>
      </c>
    </row>
    <row r="1148" spans="1:14" x14ac:dyDescent="0.3">
      <c r="A1148" s="1" t="s">
        <v>1172</v>
      </c>
      <c r="B1148" s="2" t="s">
        <v>19</v>
      </c>
      <c r="C1148" s="2" t="s">
        <v>20</v>
      </c>
      <c r="D1148" s="2">
        <v>29</v>
      </c>
      <c r="E1148" s="2" t="s">
        <v>14</v>
      </c>
      <c r="F1148" s="2" t="s">
        <v>16</v>
      </c>
      <c r="G1148" s="7">
        <v>35.6</v>
      </c>
      <c r="H1148" s="7">
        <v>1072.5999999999999</v>
      </c>
      <c r="I1148" s="2" t="s">
        <v>15</v>
      </c>
      <c r="J1148" s="2" t="s">
        <v>15</v>
      </c>
      <c r="K1148" s="2" t="s">
        <v>21</v>
      </c>
      <c r="L1148" s="7">
        <v>1072.5999999999999</v>
      </c>
      <c r="M1148" s="2" t="str">
        <f>_xlfn.IFS(TelecomData[[#This Row],[TenureMonths]]&lt;=12, "0-1 Year", TelecomData[[#This Row],[TenureMonths]]&lt;=36, "1-3 Years", TelecomData[[#This Row],[TenureMonths]]&gt;36, "3+ Years")</f>
        <v>1-3 Years</v>
      </c>
      <c r="N1148" s="2" t="str">
        <f>IF(TelecomData[[#This Row],[CleanedTotalCharges]]&gt;=2500,"High Spend", "Standard Spend")</f>
        <v>Standard Spend</v>
      </c>
    </row>
    <row r="1149" spans="1:14" x14ac:dyDescent="0.3">
      <c r="A1149" s="1" t="s">
        <v>1173</v>
      </c>
      <c r="B1149" s="2" t="s">
        <v>12</v>
      </c>
      <c r="C1149" s="2" t="s">
        <v>13</v>
      </c>
      <c r="D1149" s="2">
        <v>3</v>
      </c>
      <c r="E1149" s="2" t="s">
        <v>14</v>
      </c>
      <c r="F1149" s="2" t="s">
        <v>15</v>
      </c>
      <c r="G1149" s="7">
        <v>60.25</v>
      </c>
      <c r="H1149" s="7">
        <v>170.5</v>
      </c>
      <c r="I1149" s="2" t="s">
        <v>15</v>
      </c>
      <c r="J1149" s="2" t="s">
        <v>16</v>
      </c>
      <c r="K1149" s="2" t="s">
        <v>17</v>
      </c>
      <c r="L1149" s="7">
        <v>170.5</v>
      </c>
      <c r="M1149" s="2" t="str">
        <f>_xlfn.IFS(TelecomData[[#This Row],[TenureMonths]]&lt;=12, "0-1 Year", TelecomData[[#This Row],[TenureMonths]]&lt;=36, "1-3 Years", TelecomData[[#This Row],[TenureMonths]]&gt;36, "3+ Years")</f>
        <v>0-1 Year</v>
      </c>
      <c r="N1149" s="2" t="str">
        <f>IF(TelecomData[[#This Row],[CleanedTotalCharges]]&gt;=2500,"High Spend", "Standard Spend")</f>
        <v>Standard Spend</v>
      </c>
    </row>
    <row r="1150" spans="1:14" x14ac:dyDescent="0.3">
      <c r="A1150" s="1" t="s">
        <v>1174</v>
      </c>
      <c r="B1150" s="2" t="s">
        <v>12</v>
      </c>
      <c r="C1150" s="2" t="s">
        <v>13</v>
      </c>
      <c r="D1150" s="2">
        <v>2</v>
      </c>
      <c r="E1150" s="2" t="s">
        <v>26</v>
      </c>
      <c r="F1150" s="2" t="s">
        <v>15</v>
      </c>
      <c r="G1150" s="7">
        <v>95.15</v>
      </c>
      <c r="H1150" s="7">
        <v>196.9</v>
      </c>
      <c r="I1150" s="2" t="s">
        <v>16</v>
      </c>
      <c r="J1150" s="2" t="s">
        <v>16</v>
      </c>
      <c r="K1150" s="2" t="s">
        <v>17</v>
      </c>
      <c r="L1150" s="7">
        <v>196.9</v>
      </c>
      <c r="M1150" s="2" t="str">
        <f>_xlfn.IFS(TelecomData[[#This Row],[TenureMonths]]&lt;=12, "0-1 Year", TelecomData[[#This Row],[TenureMonths]]&lt;=36, "1-3 Years", TelecomData[[#This Row],[TenureMonths]]&gt;36, "3+ Years")</f>
        <v>0-1 Year</v>
      </c>
      <c r="N1150" s="2" t="str">
        <f>IF(TelecomData[[#This Row],[CleanedTotalCharges]]&gt;=2500,"High Spend", "Standard Spend")</f>
        <v>Standard Spend</v>
      </c>
    </row>
    <row r="1151" spans="1:14" x14ac:dyDescent="0.3">
      <c r="A1151" s="1" t="s">
        <v>1175</v>
      </c>
      <c r="B1151" s="2" t="s">
        <v>19</v>
      </c>
      <c r="C1151" s="2" t="s">
        <v>13</v>
      </c>
      <c r="D1151" s="2">
        <v>13</v>
      </c>
      <c r="E1151" s="2" t="s">
        <v>26</v>
      </c>
      <c r="F1151" s="2" t="s">
        <v>15</v>
      </c>
      <c r="G1151" s="7">
        <v>96.65</v>
      </c>
      <c r="H1151" s="7">
        <v>1162.8499999999999</v>
      </c>
      <c r="I1151" s="2" t="s">
        <v>16</v>
      </c>
      <c r="J1151" s="2" t="s">
        <v>16</v>
      </c>
      <c r="K1151" s="2" t="s">
        <v>21</v>
      </c>
      <c r="L1151" s="7">
        <v>1162.8499999999999</v>
      </c>
      <c r="M1151" s="2" t="str">
        <f>_xlfn.IFS(TelecomData[[#This Row],[TenureMonths]]&lt;=12, "0-1 Year", TelecomData[[#This Row],[TenureMonths]]&lt;=36, "1-3 Years", TelecomData[[#This Row],[TenureMonths]]&gt;36, "3+ Years")</f>
        <v>1-3 Years</v>
      </c>
      <c r="N1151" s="2" t="str">
        <f>IF(TelecomData[[#This Row],[CleanedTotalCharges]]&gt;=2500,"High Spend", "Standard Spend")</f>
        <v>Standard Spend</v>
      </c>
    </row>
    <row r="1152" spans="1:14" x14ac:dyDescent="0.3">
      <c r="A1152" s="1" t="s">
        <v>1176</v>
      </c>
      <c r="B1152" s="2" t="s">
        <v>12</v>
      </c>
      <c r="C1152" s="2" t="s">
        <v>13</v>
      </c>
      <c r="D1152" s="2">
        <v>41</v>
      </c>
      <c r="E1152" s="2" t="s">
        <v>14</v>
      </c>
      <c r="F1152" s="2" t="s">
        <v>15</v>
      </c>
      <c r="G1152" s="7">
        <v>40.35</v>
      </c>
      <c r="H1152" s="7">
        <v>1677.85</v>
      </c>
      <c r="I1152" s="2" t="s">
        <v>15</v>
      </c>
      <c r="J1152" s="2" t="s">
        <v>16</v>
      </c>
      <c r="K1152" s="2" t="s">
        <v>17</v>
      </c>
      <c r="L1152" s="7">
        <v>1677.85</v>
      </c>
      <c r="M1152" s="2" t="str">
        <f>_xlfn.IFS(TelecomData[[#This Row],[TenureMonths]]&lt;=12, "0-1 Year", TelecomData[[#This Row],[TenureMonths]]&lt;=36, "1-3 Years", TelecomData[[#This Row],[TenureMonths]]&gt;36, "3+ Years")</f>
        <v>3+ Years</v>
      </c>
      <c r="N1152" s="2" t="str">
        <f>IF(TelecomData[[#This Row],[CleanedTotalCharges]]&gt;=2500,"High Spend", "Standard Spend")</f>
        <v>Standard Spend</v>
      </c>
    </row>
    <row r="1153" spans="1:14" x14ac:dyDescent="0.3">
      <c r="A1153" s="1" t="s">
        <v>1177</v>
      </c>
      <c r="B1153" s="2" t="s">
        <v>12</v>
      </c>
      <c r="C1153" s="2" t="s">
        <v>13</v>
      </c>
      <c r="D1153" s="2">
        <v>1</v>
      </c>
      <c r="E1153" s="2" t="s">
        <v>15</v>
      </c>
      <c r="F1153" s="2" t="s">
        <v>36</v>
      </c>
      <c r="G1153" s="7">
        <v>18.850000000000001</v>
      </c>
      <c r="H1153" s="7">
        <v>18.850000000000001</v>
      </c>
      <c r="I1153" s="2" t="s">
        <v>15</v>
      </c>
      <c r="J1153" s="2" t="s">
        <v>15</v>
      </c>
      <c r="K1153" s="2" t="s">
        <v>17</v>
      </c>
      <c r="L1153" s="7">
        <v>18.850000000000001</v>
      </c>
      <c r="M1153" s="2" t="str">
        <f>_xlfn.IFS(TelecomData[[#This Row],[TenureMonths]]&lt;=12, "0-1 Year", TelecomData[[#This Row],[TenureMonths]]&lt;=36, "1-3 Years", TelecomData[[#This Row],[TenureMonths]]&gt;36, "3+ Years")</f>
        <v>0-1 Year</v>
      </c>
      <c r="N1153" s="2" t="str">
        <f>IF(TelecomData[[#This Row],[CleanedTotalCharges]]&gt;=2500,"High Spend", "Standard Spend")</f>
        <v>Standard Spend</v>
      </c>
    </row>
    <row r="1154" spans="1:14" x14ac:dyDescent="0.3">
      <c r="A1154" s="1" t="s">
        <v>1178</v>
      </c>
      <c r="B1154" s="2" t="s">
        <v>19</v>
      </c>
      <c r="C1154" s="2" t="s">
        <v>13</v>
      </c>
      <c r="D1154" s="2">
        <v>7</v>
      </c>
      <c r="E1154" s="2" t="s">
        <v>14</v>
      </c>
      <c r="F1154" s="2" t="s">
        <v>15</v>
      </c>
      <c r="G1154" s="7">
        <v>54.85</v>
      </c>
      <c r="H1154" s="7">
        <v>370.4</v>
      </c>
      <c r="I1154" s="2" t="s">
        <v>15</v>
      </c>
      <c r="J1154" s="2" t="s">
        <v>15</v>
      </c>
      <c r="K1154" s="2" t="s">
        <v>21</v>
      </c>
      <c r="L1154" s="7">
        <v>370.4</v>
      </c>
      <c r="M1154" s="2" t="str">
        <f>_xlfn.IFS(TelecomData[[#This Row],[TenureMonths]]&lt;=12, "0-1 Year", TelecomData[[#This Row],[TenureMonths]]&lt;=36, "1-3 Years", TelecomData[[#This Row],[TenureMonths]]&gt;36, "3+ Years")</f>
        <v>0-1 Year</v>
      </c>
      <c r="N1154" s="2" t="str">
        <f>IF(TelecomData[[#This Row],[CleanedTotalCharges]]&gt;=2500,"High Spend", "Standard Spend")</f>
        <v>Standard Spend</v>
      </c>
    </row>
    <row r="1155" spans="1:14" x14ac:dyDescent="0.3">
      <c r="A1155" s="1" t="s">
        <v>1179</v>
      </c>
      <c r="B1155" s="2" t="s">
        <v>12</v>
      </c>
      <c r="C1155" s="2" t="s">
        <v>20</v>
      </c>
      <c r="D1155" s="2">
        <v>52</v>
      </c>
      <c r="E1155" s="2" t="s">
        <v>14</v>
      </c>
      <c r="F1155" s="2" t="s">
        <v>15</v>
      </c>
      <c r="G1155" s="7">
        <v>64.3</v>
      </c>
      <c r="H1155" s="7">
        <v>3410.6</v>
      </c>
      <c r="I1155" s="2" t="s">
        <v>15</v>
      </c>
      <c r="J1155" s="2" t="s">
        <v>16</v>
      </c>
      <c r="K1155" s="2" t="s">
        <v>21</v>
      </c>
      <c r="L1155" s="7">
        <v>3410.6</v>
      </c>
      <c r="M1155" s="2" t="str">
        <f>_xlfn.IFS(TelecomData[[#This Row],[TenureMonths]]&lt;=12, "0-1 Year", TelecomData[[#This Row],[TenureMonths]]&lt;=36, "1-3 Years", TelecomData[[#This Row],[TenureMonths]]&gt;36, "3+ Years")</f>
        <v>3+ Years</v>
      </c>
      <c r="N1155" s="2" t="str">
        <f>IF(TelecomData[[#This Row],[CleanedTotalCharges]]&gt;=2500,"High Spend", "Standard Spend")</f>
        <v>High Spend</v>
      </c>
    </row>
    <row r="1156" spans="1:14" x14ac:dyDescent="0.3">
      <c r="A1156" s="1" t="s">
        <v>1180</v>
      </c>
      <c r="B1156" s="2" t="s">
        <v>12</v>
      </c>
      <c r="C1156" s="2" t="s">
        <v>35</v>
      </c>
      <c r="D1156" s="2">
        <v>45</v>
      </c>
      <c r="E1156" s="2" t="s">
        <v>15</v>
      </c>
      <c r="F1156" s="2" t="s">
        <v>36</v>
      </c>
      <c r="G1156" s="7">
        <v>24.65</v>
      </c>
      <c r="H1156" s="7">
        <v>1138.8</v>
      </c>
      <c r="I1156" s="2" t="s">
        <v>15</v>
      </c>
      <c r="J1156" s="2" t="s">
        <v>16</v>
      </c>
      <c r="K1156" s="2" t="s">
        <v>24</v>
      </c>
      <c r="L1156" s="7">
        <v>1138.8</v>
      </c>
      <c r="M1156" s="2" t="str">
        <f>_xlfn.IFS(TelecomData[[#This Row],[TenureMonths]]&lt;=12, "0-1 Year", TelecomData[[#This Row],[TenureMonths]]&lt;=36, "1-3 Years", TelecomData[[#This Row],[TenureMonths]]&gt;36, "3+ Years")</f>
        <v>3+ Years</v>
      </c>
      <c r="N1156" s="2" t="str">
        <f>IF(TelecomData[[#This Row],[CleanedTotalCharges]]&gt;=2500,"High Spend", "Standard Spend")</f>
        <v>Standard Spend</v>
      </c>
    </row>
    <row r="1157" spans="1:14" x14ac:dyDescent="0.3">
      <c r="A1157" s="1" t="s">
        <v>1181</v>
      </c>
      <c r="B1157" s="2" t="s">
        <v>19</v>
      </c>
      <c r="C1157" s="2" t="s">
        <v>35</v>
      </c>
      <c r="D1157" s="2">
        <v>70</v>
      </c>
      <c r="E1157" s="2" t="s">
        <v>14</v>
      </c>
      <c r="F1157" s="2" t="s">
        <v>16</v>
      </c>
      <c r="G1157" s="7">
        <v>76.099999999999994</v>
      </c>
      <c r="H1157" s="7">
        <v>5264.25</v>
      </c>
      <c r="I1157" s="2" t="s">
        <v>15</v>
      </c>
      <c r="J1157" s="2" t="s">
        <v>15</v>
      </c>
      <c r="K1157" s="2" t="s">
        <v>29</v>
      </c>
      <c r="L1157" s="7">
        <v>5264.25</v>
      </c>
      <c r="M1157" s="2" t="str">
        <f>_xlfn.IFS(TelecomData[[#This Row],[TenureMonths]]&lt;=12, "0-1 Year", TelecomData[[#This Row],[TenureMonths]]&lt;=36, "1-3 Years", TelecomData[[#This Row],[TenureMonths]]&gt;36, "3+ Years")</f>
        <v>3+ Years</v>
      </c>
      <c r="N1157" s="2" t="str">
        <f>IF(TelecomData[[#This Row],[CleanedTotalCharges]]&gt;=2500,"High Spend", "Standard Spend")</f>
        <v>High Spend</v>
      </c>
    </row>
    <row r="1158" spans="1:14" x14ac:dyDescent="0.3">
      <c r="A1158" s="1" t="s">
        <v>1182</v>
      </c>
      <c r="B1158" s="2" t="s">
        <v>12</v>
      </c>
      <c r="C1158" s="2" t="s">
        <v>35</v>
      </c>
      <c r="D1158" s="2">
        <v>53</v>
      </c>
      <c r="E1158" s="2" t="s">
        <v>15</v>
      </c>
      <c r="F1158" s="2" t="s">
        <v>36</v>
      </c>
      <c r="G1158" s="7">
        <v>18.7</v>
      </c>
      <c r="H1158" s="7">
        <v>1005.7</v>
      </c>
      <c r="I1158" s="2" t="s">
        <v>15</v>
      </c>
      <c r="J1158" s="2" t="s">
        <v>15</v>
      </c>
      <c r="K1158" s="2" t="s">
        <v>21</v>
      </c>
      <c r="L1158" s="7">
        <v>1005.7</v>
      </c>
      <c r="M1158" s="2" t="str">
        <f>_xlfn.IFS(TelecomData[[#This Row],[TenureMonths]]&lt;=12, "0-1 Year", TelecomData[[#This Row],[TenureMonths]]&lt;=36, "1-3 Years", TelecomData[[#This Row],[TenureMonths]]&gt;36, "3+ Years")</f>
        <v>3+ Years</v>
      </c>
      <c r="N1158" s="2" t="str">
        <f>IF(TelecomData[[#This Row],[CleanedTotalCharges]]&gt;=2500,"High Spend", "Standard Spend")</f>
        <v>Standard Spend</v>
      </c>
    </row>
    <row r="1159" spans="1:14" x14ac:dyDescent="0.3">
      <c r="A1159" s="1" t="s">
        <v>1183</v>
      </c>
      <c r="B1159" s="2" t="s">
        <v>12</v>
      </c>
      <c r="C1159" s="2" t="s">
        <v>20</v>
      </c>
      <c r="D1159" s="2">
        <v>62</v>
      </c>
      <c r="E1159" s="2" t="s">
        <v>26</v>
      </c>
      <c r="F1159" s="2" t="s">
        <v>15</v>
      </c>
      <c r="G1159" s="7">
        <v>97.95</v>
      </c>
      <c r="H1159" s="7">
        <v>5936.55</v>
      </c>
      <c r="I1159" s="2" t="s">
        <v>15</v>
      </c>
      <c r="J1159" s="2" t="s">
        <v>16</v>
      </c>
      <c r="K1159" s="2" t="s">
        <v>29</v>
      </c>
      <c r="L1159" s="7">
        <v>5936.55</v>
      </c>
      <c r="M1159" s="2" t="str">
        <f>_xlfn.IFS(TelecomData[[#This Row],[TenureMonths]]&lt;=12, "0-1 Year", TelecomData[[#This Row],[TenureMonths]]&lt;=36, "1-3 Years", TelecomData[[#This Row],[TenureMonths]]&gt;36, "3+ Years")</f>
        <v>3+ Years</v>
      </c>
      <c r="N1159" s="2" t="str">
        <f>IF(TelecomData[[#This Row],[CleanedTotalCharges]]&gt;=2500,"High Spend", "Standard Spend")</f>
        <v>High Spend</v>
      </c>
    </row>
    <row r="1160" spans="1:14" x14ac:dyDescent="0.3">
      <c r="A1160" s="1" t="s">
        <v>1184</v>
      </c>
      <c r="B1160" s="2" t="s">
        <v>12</v>
      </c>
      <c r="C1160" s="2" t="s">
        <v>13</v>
      </c>
      <c r="D1160" s="2">
        <v>60</v>
      </c>
      <c r="E1160" s="2" t="s">
        <v>26</v>
      </c>
      <c r="F1160" s="2" t="s">
        <v>15</v>
      </c>
      <c r="G1160" s="7">
        <v>94.1</v>
      </c>
      <c r="H1160" s="7">
        <v>5475.9</v>
      </c>
      <c r="I1160" s="2" t="s">
        <v>15</v>
      </c>
      <c r="J1160" s="2" t="s">
        <v>16</v>
      </c>
      <c r="K1160" s="2" t="s">
        <v>29</v>
      </c>
      <c r="L1160" s="7">
        <v>5475.9</v>
      </c>
      <c r="M1160" s="2" t="str">
        <f>_xlfn.IFS(TelecomData[[#This Row],[TenureMonths]]&lt;=12, "0-1 Year", TelecomData[[#This Row],[TenureMonths]]&lt;=36, "1-3 Years", TelecomData[[#This Row],[TenureMonths]]&gt;36, "3+ Years")</f>
        <v>3+ Years</v>
      </c>
      <c r="N1160" s="2" t="str">
        <f>IF(TelecomData[[#This Row],[CleanedTotalCharges]]&gt;=2500,"High Spend", "Standard Spend")</f>
        <v>High Spend</v>
      </c>
    </row>
    <row r="1161" spans="1:14" x14ac:dyDescent="0.3">
      <c r="A1161" s="1" t="s">
        <v>1185</v>
      </c>
      <c r="B1161" s="2" t="s">
        <v>12</v>
      </c>
      <c r="C1161" s="2" t="s">
        <v>13</v>
      </c>
      <c r="D1161" s="2">
        <v>3</v>
      </c>
      <c r="E1161" s="2" t="s">
        <v>26</v>
      </c>
      <c r="F1161" s="2" t="s">
        <v>15</v>
      </c>
      <c r="G1161" s="7">
        <v>80.400000000000006</v>
      </c>
      <c r="H1161" s="7">
        <v>224.05</v>
      </c>
      <c r="I1161" s="2" t="s">
        <v>16</v>
      </c>
      <c r="J1161" s="2" t="s">
        <v>16</v>
      </c>
      <c r="K1161" s="2" t="s">
        <v>17</v>
      </c>
      <c r="L1161" s="7">
        <v>224.05</v>
      </c>
      <c r="M1161" s="2" t="str">
        <f>_xlfn.IFS(TelecomData[[#This Row],[TenureMonths]]&lt;=12, "0-1 Year", TelecomData[[#This Row],[TenureMonths]]&lt;=36, "1-3 Years", TelecomData[[#This Row],[TenureMonths]]&gt;36, "3+ Years")</f>
        <v>0-1 Year</v>
      </c>
      <c r="N1161" s="2" t="str">
        <f>IF(TelecomData[[#This Row],[CleanedTotalCharges]]&gt;=2500,"High Spend", "Standard Spend")</f>
        <v>Standard Spend</v>
      </c>
    </row>
    <row r="1162" spans="1:14" x14ac:dyDescent="0.3">
      <c r="A1162" s="1" t="s">
        <v>1186</v>
      </c>
      <c r="B1162" s="2" t="s">
        <v>12</v>
      </c>
      <c r="C1162" s="2" t="s">
        <v>13</v>
      </c>
      <c r="D1162" s="2">
        <v>23</v>
      </c>
      <c r="E1162" s="2" t="s">
        <v>26</v>
      </c>
      <c r="F1162" s="2" t="s">
        <v>15</v>
      </c>
      <c r="G1162" s="7">
        <v>95.1</v>
      </c>
      <c r="H1162" s="7">
        <v>2326.0500000000002</v>
      </c>
      <c r="I1162" s="2" t="s">
        <v>15</v>
      </c>
      <c r="J1162" s="2" t="s">
        <v>16</v>
      </c>
      <c r="K1162" s="2" t="s">
        <v>17</v>
      </c>
      <c r="L1162" s="7">
        <v>2326.0500000000002</v>
      </c>
      <c r="M1162" s="2" t="str">
        <f>_xlfn.IFS(TelecomData[[#This Row],[TenureMonths]]&lt;=12, "0-1 Year", TelecomData[[#This Row],[TenureMonths]]&lt;=36, "1-3 Years", TelecomData[[#This Row],[TenureMonths]]&gt;36, "3+ Years")</f>
        <v>1-3 Years</v>
      </c>
      <c r="N1162" s="2" t="str">
        <f>IF(TelecomData[[#This Row],[CleanedTotalCharges]]&gt;=2500,"High Spend", "Standard Spend")</f>
        <v>Standard Spend</v>
      </c>
    </row>
    <row r="1163" spans="1:14" x14ac:dyDescent="0.3">
      <c r="A1163" s="1" t="s">
        <v>1187</v>
      </c>
      <c r="B1163" s="2" t="s">
        <v>19</v>
      </c>
      <c r="C1163" s="2" t="s">
        <v>13</v>
      </c>
      <c r="D1163" s="2">
        <v>1</v>
      </c>
      <c r="E1163" s="2" t="s">
        <v>14</v>
      </c>
      <c r="F1163" s="2" t="s">
        <v>15</v>
      </c>
      <c r="G1163" s="7">
        <v>31.35</v>
      </c>
      <c r="H1163" s="7">
        <v>31.35</v>
      </c>
      <c r="I1163" s="2" t="s">
        <v>16</v>
      </c>
      <c r="J1163" s="2" t="s">
        <v>16</v>
      </c>
      <c r="K1163" s="2" t="s">
        <v>21</v>
      </c>
      <c r="L1163" s="7">
        <v>31.35</v>
      </c>
      <c r="M1163" s="2" t="str">
        <f>_xlfn.IFS(TelecomData[[#This Row],[TenureMonths]]&lt;=12, "0-1 Year", TelecomData[[#This Row],[TenureMonths]]&lt;=36, "1-3 Years", TelecomData[[#This Row],[TenureMonths]]&gt;36, "3+ Years")</f>
        <v>0-1 Year</v>
      </c>
      <c r="N1163" s="2" t="str">
        <f>IF(TelecomData[[#This Row],[CleanedTotalCharges]]&gt;=2500,"High Spend", "Standard Spend")</f>
        <v>Standard Spend</v>
      </c>
    </row>
    <row r="1164" spans="1:14" x14ac:dyDescent="0.3">
      <c r="A1164" s="1" t="s">
        <v>1188</v>
      </c>
      <c r="B1164" s="2" t="s">
        <v>12</v>
      </c>
      <c r="C1164" s="2" t="s">
        <v>20</v>
      </c>
      <c r="D1164" s="2">
        <v>67</v>
      </c>
      <c r="E1164" s="2" t="s">
        <v>14</v>
      </c>
      <c r="F1164" s="2" t="s">
        <v>16</v>
      </c>
      <c r="G1164" s="7">
        <v>72.349999999999994</v>
      </c>
      <c r="H1164" s="7">
        <v>4991.5</v>
      </c>
      <c r="I1164" s="2" t="s">
        <v>15</v>
      </c>
      <c r="J1164" s="2" t="s">
        <v>16</v>
      </c>
      <c r="K1164" s="2" t="s">
        <v>24</v>
      </c>
      <c r="L1164" s="7">
        <v>4991.5</v>
      </c>
      <c r="M1164" s="2" t="str">
        <f>_xlfn.IFS(TelecomData[[#This Row],[TenureMonths]]&lt;=12, "0-1 Year", TelecomData[[#This Row],[TenureMonths]]&lt;=36, "1-3 Years", TelecomData[[#This Row],[TenureMonths]]&gt;36, "3+ Years")</f>
        <v>3+ Years</v>
      </c>
      <c r="N1164" s="2" t="str">
        <f>IF(TelecomData[[#This Row],[CleanedTotalCharges]]&gt;=2500,"High Spend", "Standard Spend")</f>
        <v>High Spend</v>
      </c>
    </row>
    <row r="1165" spans="1:14" x14ac:dyDescent="0.3">
      <c r="A1165" s="1" t="s">
        <v>1189</v>
      </c>
      <c r="B1165" s="2" t="s">
        <v>12</v>
      </c>
      <c r="C1165" s="2" t="s">
        <v>13</v>
      </c>
      <c r="D1165" s="2">
        <v>12</v>
      </c>
      <c r="E1165" s="2" t="s">
        <v>26</v>
      </c>
      <c r="F1165" s="2" t="s">
        <v>15</v>
      </c>
      <c r="G1165" s="7">
        <v>89.75</v>
      </c>
      <c r="H1165" s="7">
        <v>1052.4000000000001</v>
      </c>
      <c r="I1165" s="2" t="s">
        <v>16</v>
      </c>
      <c r="J1165" s="2" t="s">
        <v>16</v>
      </c>
      <c r="K1165" s="2" t="s">
        <v>24</v>
      </c>
      <c r="L1165" s="7">
        <v>1052.4000000000001</v>
      </c>
      <c r="M1165" s="2" t="str">
        <f>_xlfn.IFS(TelecomData[[#This Row],[TenureMonths]]&lt;=12, "0-1 Year", TelecomData[[#This Row],[TenureMonths]]&lt;=36, "1-3 Years", TelecomData[[#This Row],[TenureMonths]]&gt;36, "3+ Years")</f>
        <v>0-1 Year</v>
      </c>
      <c r="N1165" s="2" t="str">
        <f>IF(TelecomData[[#This Row],[CleanedTotalCharges]]&gt;=2500,"High Spend", "Standard Spend")</f>
        <v>Standard Spend</v>
      </c>
    </row>
    <row r="1166" spans="1:14" x14ac:dyDescent="0.3">
      <c r="A1166" s="1" t="s">
        <v>1190</v>
      </c>
      <c r="B1166" s="2" t="s">
        <v>12</v>
      </c>
      <c r="C1166" s="2" t="s">
        <v>35</v>
      </c>
      <c r="D1166" s="2">
        <v>71</v>
      </c>
      <c r="E1166" s="2" t="s">
        <v>14</v>
      </c>
      <c r="F1166" s="2" t="s">
        <v>16</v>
      </c>
      <c r="G1166" s="7">
        <v>82.7</v>
      </c>
      <c r="H1166" s="7">
        <v>5831.2</v>
      </c>
      <c r="I1166" s="2" t="s">
        <v>15</v>
      </c>
      <c r="J1166" s="2" t="s">
        <v>16</v>
      </c>
      <c r="K1166" s="2" t="s">
        <v>24</v>
      </c>
      <c r="L1166" s="7">
        <v>5831.2</v>
      </c>
      <c r="M1166" s="2" t="str">
        <f>_xlfn.IFS(TelecomData[[#This Row],[TenureMonths]]&lt;=12, "0-1 Year", TelecomData[[#This Row],[TenureMonths]]&lt;=36, "1-3 Years", TelecomData[[#This Row],[TenureMonths]]&gt;36, "3+ Years")</f>
        <v>3+ Years</v>
      </c>
      <c r="N1166" s="2" t="str">
        <f>IF(TelecomData[[#This Row],[CleanedTotalCharges]]&gt;=2500,"High Spend", "Standard Spend")</f>
        <v>High Spend</v>
      </c>
    </row>
    <row r="1167" spans="1:14" x14ac:dyDescent="0.3">
      <c r="A1167" s="1" t="s">
        <v>1191</v>
      </c>
      <c r="B1167" s="2" t="s">
        <v>19</v>
      </c>
      <c r="C1167" s="2" t="s">
        <v>20</v>
      </c>
      <c r="D1167" s="2">
        <v>25</v>
      </c>
      <c r="E1167" s="2" t="s">
        <v>15</v>
      </c>
      <c r="F1167" s="2" t="s">
        <v>36</v>
      </c>
      <c r="G1167" s="7">
        <v>19.899999999999999</v>
      </c>
      <c r="H1167" s="7">
        <v>510.8</v>
      </c>
      <c r="I1167" s="2" t="s">
        <v>15</v>
      </c>
      <c r="J1167" s="2" t="s">
        <v>15</v>
      </c>
      <c r="K1167" s="2" t="s">
        <v>29</v>
      </c>
      <c r="L1167" s="7">
        <v>510.8</v>
      </c>
      <c r="M1167" s="2" t="str">
        <f>_xlfn.IFS(TelecomData[[#This Row],[TenureMonths]]&lt;=12, "0-1 Year", TelecomData[[#This Row],[TenureMonths]]&lt;=36, "1-3 Years", TelecomData[[#This Row],[TenureMonths]]&gt;36, "3+ Years")</f>
        <v>1-3 Years</v>
      </c>
      <c r="N1167" s="2" t="str">
        <f>IF(TelecomData[[#This Row],[CleanedTotalCharges]]&gt;=2500,"High Spend", "Standard Spend")</f>
        <v>Standard Spend</v>
      </c>
    </row>
    <row r="1168" spans="1:14" x14ac:dyDescent="0.3">
      <c r="A1168" s="1" t="s">
        <v>1192</v>
      </c>
      <c r="B1168" s="2" t="s">
        <v>12</v>
      </c>
      <c r="C1168" s="2" t="s">
        <v>13</v>
      </c>
      <c r="D1168" s="2">
        <v>5</v>
      </c>
      <c r="E1168" s="2" t="s">
        <v>14</v>
      </c>
      <c r="F1168" s="2" t="s">
        <v>15</v>
      </c>
      <c r="G1168" s="7">
        <v>53.8</v>
      </c>
      <c r="H1168" s="7">
        <v>283.95</v>
      </c>
      <c r="I1168" s="2" t="s">
        <v>15</v>
      </c>
      <c r="J1168" s="2" t="s">
        <v>16</v>
      </c>
      <c r="K1168" s="2" t="s">
        <v>17</v>
      </c>
      <c r="L1168" s="7">
        <v>283.95</v>
      </c>
      <c r="M1168" s="2" t="str">
        <f>_xlfn.IFS(TelecomData[[#This Row],[TenureMonths]]&lt;=12, "0-1 Year", TelecomData[[#This Row],[TenureMonths]]&lt;=36, "1-3 Years", TelecomData[[#This Row],[TenureMonths]]&gt;36, "3+ Years")</f>
        <v>0-1 Year</v>
      </c>
      <c r="N1168" s="2" t="str">
        <f>IF(TelecomData[[#This Row],[CleanedTotalCharges]]&gt;=2500,"High Spend", "Standard Spend")</f>
        <v>Standard Spend</v>
      </c>
    </row>
    <row r="1169" spans="1:14" x14ac:dyDescent="0.3">
      <c r="A1169" s="1" t="s">
        <v>1193</v>
      </c>
      <c r="B1169" s="2" t="s">
        <v>19</v>
      </c>
      <c r="C1169" s="2" t="s">
        <v>20</v>
      </c>
      <c r="D1169" s="2">
        <v>26</v>
      </c>
      <c r="E1169" s="2" t="s">
        <v>14</v>
      </c>
      <c r="F1169" s="2" t="s">
        <v>15</v>
      </c>
      <c r="G1169" s="7">
        <v>51.55</v>
      </c>
      <c r="H1169" s="7">
        <v>1295.4000000000001</v>
      </c>
      <c r="I1169" s="2" t="s">
        <v>15</v>
      </c>
      <c r="J1169" s="2" t="s">
        <v>16</v>
      </c>
      <c r="K1169" s="2" t="s">
        <v>29</v>
      </c>
      <c r="L1169" s="7">
        <v>1295.4000000000001</v>
      </c>
      <c r="M1169" s="2" t="str">
        <f>_xlfn.IFS(TelecomData[[#This Row],[TenureMonths]]&lt;=12, "0-1 Year", TelecomData[[#This Row],[TenureMonths]]&lt;=36, "1-3 Years", TelecomData[[#This Row],[TenureMonths]]&gt;36, "3+ Years")</f>
        <v>1-3 Years</v>
      </c>
      <c r="N1169" s="2" t="str">
        <f>IF(TelecomData[[#This Row],[CleanedTotalCharges]]&gt;=2500,"High Spend", "Standard Spend")</f>
        <v>Standard Spend</v>
      </c>
    </row>
    <row r="1170" spans="1:14" x14ac:dyDescent="0.3">
      <c r="A1170" s="1" t="s">
        <v>1194</v>
      </c>
      <c r="B1170" s="2" t="s">
        <v>19</v>
      </c>
      <c r="C1170" s="2" t="s">
        <v>20</v>
      </c>
      <c r="D1170" s="2">
        <v>1</v>
      </c>
      <c r="E1170" s="2" t="s">
        <v>15</v>
      </c>
      <c r="F1170" s="2" t="s">
        <v>36</v>
      </c>
      <c r="G1170" s="7">
        <v>19.649999999999999</v>
      </c>
      <c r="H1170" s="7">
        <v>19.649999999999999</v>
      </c>
      <c r="I1170" s="2" t="s">
        <v>15</v>
      </c>
      <c r="J1170" s="2" t="s">
        <v>15</v>
      </c>
      <c r="K1170" s="2" t="s">
        <v>21</v>
      </c>
      <c r="L1170" s="7">
        <v>19.649999999999999</v>
      </c>
      <c r="M1170" s="2" t="str">
        <f>_xlfn.IFS(TelecomData[[#This Row],[TenureMonths]]&lt;=12, "0-1 Year", TelecomData[[#This Row],[TenureMonths]]&lt;=36, "1-3 Years", TelecomData[[#This Row],[TenureMonths]]&gt;36, "3+ Years")</f>
        <v>0-1 Year</v>
      </c>
      <c r="N1170" s="2" t="str">
        <f>IF(TelecomData[[#This Row],[CleanedTotalCharges]]&gt;=2500,"High Spend", "Standard Spend")</f>
        <v>Standard Spend</v>
      </c>
    </row>
    <row r="1171" spans="1:14" x14ac:dyDescent="0.3">
      <c r="A1171" s="1" t="s">
        <v>1195</v>
      </c>
      <c r="B1171" s="2" t="s">
        <v>19</v>
      </c>
      <c r="C1171" s="2" t="s">
        <v>20</v>
      </c>
      <c r="D1171" s="2">
        <v>70</v>
      </c>
      <c r="E1171" s="2" t="s">
        <v>14</v>
      </c>
      <c r="F1171" s="2" t="s">
        <v>15</v>
      </c>
      <c r="G1171" s="7">
        <v>44.05</v>
      </c>
      <c r="H1171" s="7">
        <v>3011.65</v>
      </c>
      <c r="I1171" s="2" t="s">
        <v>15</v>
      </c>
      <c r="J1171" s="2" t="s">
        <v>16</v>
      </c>
      <c r="K1171" s="2" t="s">
        <v>29</v>
      </c>
      <c r="L1171" s="7">
        <v>3011.65</v>
      </c>
      <c r="M1171" s="2" t="str">
        <f>_xlfn.IFS(TelecomData[[#This Row],[TenureMonths]]&lt;=12, "0-1 Year", TelecomData[[#This Row],[TenureMonths]]&lt;=36, "1-3 Years", TelecomData[[#This Row],[TenureMonths]]&gt;36, "3+ Years")</f>
        <v>3+ Years</v>
      </c>
      <c r="N1171" s="2" t="str">
        <f>IF(TelecomData[[#This Row],[CleanedTotalCharges]]&gt;=2500,"High Spend", "Standard Spend")</f>
        <v>High Spend</v>
      </c>
    </row>
    <row r="1172" spans="1:14" x14ac:dyDescent="0.3">
      <c r="A1172" s="1" t="s">
        <v>1196</v>
      </c>
      <c r="B1172" s="2" t="s">
        <v>19</v>
      </c>
      <c r="C1172" s="2" t="s">
        <v>35</v>
      </c>
      <c r="D1172" s="2">
        <v>72</v>
      </c>
      <c r="E1172" s="2" t="s">
        <v>26</v>
      </c>
      <c r="F1172" s="2" t="s">
        <v>16</v>
      </c>
      <c r="G1172" s="7">
        <v>114</v>
      </c>
      <c r="H1172" s="7">
        <v>8093.15</v>
      </c>
      <c r="I1172" s="2" t="s">
        <v>15</v>
      </c>
      <c r="J1172" s="2" t="s">
        <v>16</v>
      </c>
      <c r="K1172" s="2" t="s">
        <v>17</v>
      </c>
      <c r="L1172" s="7">
        <v>8093.15</v>
      </c>
      <c r="M1172" s="2" t="str">
        <f>_xlfn.IFS(TelecomData[[#This Row],[TenureMonths]]&lt;=12, "0-1 Year", TelecomData[[#This Row],[TenureMonths]]&lt;=36, "1-3 Years", TelecomData[[#This Row],[TenureMonths]]&gt;36, "3+ Years")</f>
        <v>3+ Years</v>
      </c>
      <c r="N1172" s="2" t="str">
        <f>IF(TelecomData[[#This Row],[CleanedTotalCharges]]&gt;=2500,"High Spend", "Standard Spend")</f>
        <v>High Spend</v>
      </c>
    </row>
    <row r="1173" spans="1:14" x14ac:dyDescent="0.3">
      <c r="A1173" s="1" t="s">
        <v>1197</v>
      </c>
      <c r="B1173" s="2" t="s">
        <v>19</v>
      </c>
      <c r="C1173" s="2" t="s">
        <v>20</v>
      </c>
      <c r="D1173" s="2">
        <v>60</v>
      </c>
      <c r="E1173" s="2" t="s">
        <v>26</v>
      </c>
      <c r="F1173" s="2" t="s">
        <v>15</v>
      </c>
      <c r="G1173" s="7">
        <v>94.4</v>
      </c>
      <c r="H1173" s="7">
        <v>5610.25</v>
      </c>
      <c r="I1173" s="2" t="s">
        <v>16</v>
      </c>
      <c r="J1173" s="2" t="s">
        <v>16</v>
      </c>
      <c r="K1173" s="2" t="s">
        <v>17</v>
      </c>
      <c r="L1173" s="7">
        <v>5610.25</v>
      </c>
      <c r="M1173" s="2" t="str">
        <f>_xlfn.IFS(TelecomData[[#This Row],[TenureMonths]]&lt;=12, "0-1 Year", TelecomData[[#This Row],[TenureMonths]]&lt;=36, "1-3 Years", TelecomData[[#This Row],[TenureMonths]]&gt;36, "3+ Years")</f>
        <v>3+ Years</v>
      </c>
      <c r="N1173" s="2" t="str">
        <f>IF(TelecomData[[#This Row],[CleanedTotalCharges]]&gt;=2500,"High Spend", "Standard Spend")</f>
        <v>High Spend</v>
      </c>
    </row>
    <row r="1174" spans="1:14" x14ac:dyDescent="0.3">
      <c r="A1174" s="1" t="s">
        <v>1198</v>
      </c>
      <c r="B1174" s="2" t="s">
        <v>12</v>
      </c>
      <c r="C1174" s="2" t="s">
        <v>13</v>
      </c>
      <c r="D1174" s="2">
        <v>32</v>
      </c>
      <c r="E1174" s="2" t="s">
        <v>26</v>
      </c>
      <c r="F1174" s="2" t="s">
        <v>15</v>
      </c>
      <c r="G1174" s="7">
        <v>100.4</v>
      </c>
      <c r="H1174" s="7">
        <v>3217.65</v>
      </c>
      <c r="I1174" s="2" t="s">
        <v>15</v>
      </c>
      <c r="J1174" s="2" t="s">
        <v>16</v>
      </c>
      <c r="K1174" s="2" t="s">
        <v>17</v>
      </c>
      <c r="L1174" s="7">
        <v>3217.65</v>
      </c>
      <c r="M1174" s="2" t="str">
        <f>_xlfn.IFS(TelecomData[[#This Row],[TenureMonths]]&lt;=12, "0-1 Year", TelecomData[[#This Row],[TenureMonths]]&lt;=36, "1-3 Years", TelecomData[[#This Row],[TenureMonths]]&gt;36, "3+ Years")</f>
        <v>1-3 Years</v>
      </c>
      <c r="N1174" s="2" t="str">
        <f>IF(TelecomData[[#This Row],[CleanedTotalCharges]]&gt;=2500,"High Spend", "Standard Spend")</f>
        <v>High Spend</v>
      </c>
    </row>
    <row r="1175" spans="1:14" x14ac:dyDescent="0.3">
      <c r="A1175" s="1" t="s">
        <v>1199</v>
      </c>
      <c r="B1175" s="2" t="s">
        <v>19</v>
      </c>
      <c r="C1175" s="2" t="s">
        <v>13</v>
      </c>
      <c r="D1175" s="2">
        <v>1</v>
      </c>
      <c r="E1175" s="2" t="s">
        <v>15</v>
      </c>
      <c r="F1175" s="2" t="s">
        <v>36</v>
      </c>
      <c r="G1175" s="7">
        <v>19.850000000000001</v>
      </c>
      <c r="H1175" s="7">
        <v>19.850000000000001</v>
      </c>
      <c r="I1175" s="2" t="s">
        <v>16</v>
      </c>
      <c r="J1175" s="2" t="s">
        <v>16</v>
      </c>
      <c r="K1175" s="2" t="s">
        <v>17</v>
      </c>
      <c r="L1175" s="7">
        <v>19.850000000000001</v>
      </c>
      <c r="M1175" s="2" t="str">
        <f>_xlfn.IFS(TelecomData[[#This Row],[TenureMonths]]&lt;=12, "0-1 Year", TelecomData[[#This Row],[TenureMonths]]&lt;=36, "1-3 Years", TelecomData[[#This Row],[TenureMonths]]&gt;36, "3+ Years")</f>
        <v>0-1 Year</v>
      </c>
      <c r="N1175" s="2" t="str">
        <f>IF(TelecomData[[#This Row],[CleanedTotalCharges]]&gt;=2500,"High Spend", "Standard Spend")</f>
        <v>Standard Spend</v>
      </c>
    </row>
    <row r="1176" spans="1:14" x14ac:dyDescent="0.3">
      <c r="A1176" s="1" t="s">
        <v>1200</v>
      </c>
      <c r="B1176" s="2" t="s">
        <v>12</v>
      </c>
      <c r="C1176" s="2" t="s">
        <v>20</v>
      </c>
      <c r="D1176" s="2">
        <v>14</v>
      </c>
      <c r="E1176" s="2" t="s">
        <v>14</v>
      </c>
      <c r="F1176" s="2" t="s">
        <v>15</v>
      </c>
      <c r="G1176" s="7">
        <v>54.25</v>
      </c>
      <c r="H1176" s="7">
        <v>773.2</v>
      </c>
      <c r="I1176" s="2" t="s">
        <v>15</v>
      </c>
      <c r="J1176" s="2" t="s">
        <v>16</v>
      </c>
      <c r="K1176" s="2" t="s">
        <v>21</v>
      </c>
      <c r="L1176" s="7">
        <v>773.2</v>
      </c>
      <c r="M1176" s="2" t="str">
        <f>_xlfn.IFS(TelecomData[[#This Row],[TenureMonths]]&lt;=12, "0-1 Year", TelecomData[[#This Row],[TenureMonths]]&lt;=36, "1-3 Years", TelecomData[[#This Row],[TenureMonths]]&gt;36, "3+ Years")</f>
        <v>1-3 Years</v>
      </c>
      <c r="N1176" s="2" t="str">
        <f>IF(TelecomData[[#This Row],[CleanedTotalCharges]]&gt;=2500,"High Spend", "Standard Spend")</f>
        <v>Standard Spend</v>
      </c>
    </row>
    <row r="1177" spans="1:14" x14ac:dyDescent="0.3">
      <c r="A1177" s="1" t="s">
        <v>1201</v>
      </c>
      <c r="B1177" s="2" t="s">
        <v>12</v>
      </c>
      <c r="C1177" s="2" t="s">
        <v>13</v>
      </c>
      <c r="D1177" s="2">
        <v>13</v>
      </c>
      <c r="E1177" s="2" t="s">
        <v>26</v>
      </c>
      <c r="F1177" s="2" t="s">
        <v>15</v>
      </c>
      <c r="G1177" s="7">
        <v>80</v>
      </c>
      <c r="H1177" s="7">
        <v>1029.3499999999999</v>
      </c>
      <c r="I1177" s="2" t="s">
        <v>15</v>
      </c>
      <c r="J1177" s="2" t="s">
        <v>16</v>
      </c>
      <c r="K1177" s="2" t="s">
        <v>29</v>
      </c>
      <c r="L1177" s="7">
        <v>1029.3499999999999</v>
      </c>
      <c r="M1177" s="2" t="str">
        <f>_xlfn.IFS(TelecomData[[#This Row],[TenureMonths]]&lt;=12, "0-1 Year", TelecomData[[#This Row],[TenureMonths]]&lt;=36, "1-3 Years", TelecomData[[#This Row],[TenureMonths]]&gt;36, "3+ Years")</f>
        <v>1-3 Years</v>
      </c>
      <c r="N1177" s="2" t="str">
        <f>IF(TelecomData[[#This Row],[CleanedTotalCharges]]&gt;=2500,"High Spend", "Standard Spend")</f>
        <v>Standard Spend</v>
      </c>
    </row>
    <row r="1178" spans="1:14" x14ac:dyDescent="0.3">
      <c r="A1178" s="1" t="s">
        <v>1202</v>
      </c>
      <c r="B1178" s="2" t="s">
        <v>12</v>
      </c>
      <c r="C1178" s="2" t="s">
        <v>13</v>
      </c>
      <c r="D1178" s="2">
        <v>6</v>
      </c>
      <c r="E1178" s="2" t="s">
        <v>26</v>
      </c>
      <c r="F1178" s="2" t="s">
        <v>16</v>
      </c>
      <c r="G1178" s="7">
        <v>109.9</v>
      </c>
      <c r="H1178" s="7">
        <v>669.45</v>
      </c>
      <c r="I1178" s="2" t="s">
        <v>16</v>
      </c>
      <c r="J1178" s="2" t="s">
        <v>16</v>
      </c>
      <c r="K1178" s="2" t="s">
        <v>29</v>
      </c>
      <c r="L1178" s="7">
        <v>669.45</v>
      </c>
      <c r="M1178" s="2" t="str">
        <f>_xlfn.IFS(TelecomData[[#This Row],[TenureMonths]]&lt;=12, "0-1 Year", TelecomData[[#This Row],[TenureMonths]]&lt;=36, "1-3 Years", TelecomData[[#This Row],[TenureMonths]]&gt;36, "3+ Years")</f>
        <v>0-1 Year</v>
      </c>
      <c r="N1178" s="2" t="str">
        <f>IF(TelecomData[[#This Row],[CleanedTotalCharges]]&gt;=2500,"High Spend", "Standard Spend")</f>
        <v>Standard Spend</v>
      </c>
    </row>
    <row r="1179" spans="1:14" x14ac:dyDescent="0.3">
      <c r="A1179" s="1" t="s">
        <v>1203</v>
      </c>
      <c r="B1179" s="2" t="s">
        <v>12</v>
      </c>
      <c r="C1179" s="2" t="s">
        <v>35</v>
      </c>
      <c r="D1179" s="2">
        <v>46</v>
      </c>
      <c r="E1179" s="2" t="s">
        <v>14</v>
      </c>
      <c r="F1179" s="2" t="s">
        <v>15</v>
      </c>
      <c r="G1179" s="7">
        <v>79.2</v>
      </c>
      <c r="H1179" s="7">
        <v>3593.8</v>
      </c>
      <c r="I1179" s="2" t="s">
        <v>15</v>
      </c>
      <c r="J1179" s="2" t="s">
        <v>15</v>
      </c>
      <c r="K1179" s="2" t="s">
        <v>21</v>
      </c>
      <c r="L1179" s="7">
        <v>3593.8</v>
      </c>
      <c r="M1179" s="2" t="str">
        <f>_xlfn.IFS(TelecomData[[#This Row],[TenureMonths]]&lt;=12, "0-1 Year", TelecomData[[#This Row],[TenureMonths]]&lt;=36, "1-3 Years", TelecomData[[#This Row],[TenureMonths]]&gt;36, "3+ Years")</f>
        <v>3+ Years</v>
      </c>
      <c r="N1179" s="2" t="str">
        <f>IF(TelecomData[[#This Row],[CleanedTotalCharges]]&gt;=2500,"High Spend", "Standard Spend")</f>
        <v>High Spend</v>
      </c>
    </row>
    <row r="1180" spans="1:14" x14ac:dyDescent="0.3">
      <c r="A1180" s="1" t="s">
        <v>1204</v>
      </c>
      <c r="B1180" s="2" t="s">
        <v>19</v>
      </c>
      <c r="C1180" s="2" t="s">
        <v>13</v>
      </c>
      <c r="D1180" s="2">
        <v>15</v>
      </c>
      <c r="E1180" s="2" t="s">
        <v>26</v>
      </c>
      <c r="F1180" s="2" t="s">
        <v>16</v>
      </c>
      <c r="G1180" s="7">
        <v>101.35</v>
      </c>
      <c r="H1180" s="7">
        <v>1553.95</v>
      </c>
      <c r="I1180" s="2" t="s">
        <v>16</v>
      </c>
      <c r="J1180" s="2" t="s">
        <v>16</v>
      </c>
      <c r="K1180" s="2" t="s">
        <v>17</v>
      </c>
      <c r="L1180" s="7">
        <v>1553.95</v>
      </c>
      <c r="M1180" s="2" t="str">
        <f>_xlfn.IFS(TelecomData[[#This Row],[TenureMonths]]&lt;=12, "0-1 Year", TelecomData[[#This Row],[TenureMonths]]&lt;=36, "1-3 Years", TelecomData[[#This Row],[TenureMonths]]&gt;36, "3+ Years")</f>
        <v>1-3 Years</v>
      </c>
      <c r="N1180" s="2" t="str">
        <f>IF(TelecomData[[#This Row],[CleanedTotalCharges]]&gt;=2500,"High Spend", "Standard Spend")</f>
        <v>Standard Spend</v>
      </c>
    </row>
    <row r="1181" spans="1:14" x14ac:dyDescent="0.3">
      <c r="A1181" s="1" t="s">
        <v>1205</v>
      </c>
      <c r="B1181" s="2" t="s">
        <v>19</v>
      </c>
      <c r="C1181" s="2" t="s">
        <v>13</v>
      </c>
      <c r="D1181" s="2">
        <v>43</v>
      </c>
      <c r="E1181" s="2" t="s">
        <v>26</v>
      </c>
      <c r="F1181" s="2" t="s">
        <v>16</v>
      </c>
      <c r="G1181" s="7">
        <v>94.3</v>
      </c>
      <c r="H1181" s="7">
        <v>3953.15</v>
      </c>
      <c r="I1181" s="2" t="s">
        <v>15</v>
      </c>
      <c r="J1181" s="2" t="s">
        <v>16</v>
      </c>
      <c r="K1181" s="2" t="s">
        <v>17</v>
      </c>
      <c r="L1181" s="7">
        <v>3953.15</v>
      </c>
      <c r="M1181" s="2" t="str">
        <f>_xlfn.IFS(TelecomData[[#This Row],[TenureMonths]]&lt;=12, "0-1 Year", TelecomData[[#This Row],[TenureMonths]]&lt;=36, "1-3 Years", TelecomData[[#This Row],[TenureMonths]]&gt;36, "3+ Years")</f>
        <v>3+ Years</v>
      </c>
      <c r="N1181" s="2" t="str">
        <f>IF(TelecomData[[#This Row],[CleanedTotalCharges]]&gt;=2500,"High Spend", "Standard Spend")</f>
        <v>High Spend</v>
      </c>
    </row>
    <row r="1182" spans="1:14" x14ac:dyDescent="0.3">
      <c r="A1182" s="1" t="s">
        <v>1206</v>
      </c>
      <c r="B1182" s="2" t="s">
        <v>19</v>
      </c>
      <c r="C1182" s="2" t="s">
        <v>35</v>
      </c>
      <c r="D1182" s="2">
        <v>39</v>
      </c>
      <c r="E1182" s="2" t="s">
        <v>14</v>
      </c>
      <c r="F1182" s="2" t="s">
        <v>16</v>
      </c>
      <c r="G1182" s="7">
        <v>49.8</v>
      </c>
      <c r="H1182" s="7">
        <v>1971.15</v>
      </c>
      <c r="I1182" s="2" t="s">
        <v>15</v>
      </c>
      <c r="J1182" s="2" t="s">
        <v>16</v>
      </c>
      <c r="K1182" s="2" t="s">
        <v>24</v>
      </c>
      <c r="L1182" s="7">
        <v>1971.15</v>
      </c>
      <c r="M1182" s="2" t="str">
        <f>_xlfn.IFS(TelecomData[[#This Row],[TenureMonths]]&lt;=12, "0-1 Year", TelecomData[[#This Row],[TenureMonths]]&lt;=36, "1-3 Years", TelecomData[[#This Row],[TenureMonths]]&gt;36, "3+ Years")</f>
        <v>3+ Years</v>
      </c>
      <c r="N1182" s="2" t="str">
        <f>IF(TelecomData[[#This Row],[CleanedTotalCharges]]&gt;=2500,"High Spend", "Standard Spend")</f>
        <v>Standard Spend</v>
      </c>
    </row>
    <row r="1183" spans="1:14" x14ac:dyDescent="0.3">
      <c r="A1183" s="1" t="s">
        <v>1207</v>
      </c>
      <c r="B1183" s="2" t="s">
        <v>19</v>
      </c>
      <c r="C1183" s="2" t="s">
        <v>13</v>
      </c>
      <c r="D1183" s="2">
        <v>21</v>
      </c>
      <c r="E1183" s="2" t="s">
        <v>14</v>
      </c>
      <c r="F1183" s="2" t="s">
        <v>15</v>
      </c>
      <c r="G1183" s="7">
        <v>60.05</v>
      </c>
      <c r="H1183" s="7">
        <v>1236.1500000000001</v>
      </c>
      <c r="I1183" s="2" t="s">
        <v>16</v>
      </c>
      <c r="J1183" s="2" t="s">
        <v>16</v>
      </c>
      <c r="K1183" s="2" t="s">
        <v>24</v>
      </c>
      <c r="L1183" s="7">
        <v>1236.1500000000001</v>
      </c>
      <c r="M1183" s="2" t="str">
        <f>_xlfn.IFS(TelecomData[[#This Row],[TenureMonths]]&lt;=12, "0-1 Year", TelecomData[[#This Row],[TenureMonths]]&lt;=36, "1-3 Years", TelecomData[[#This Row],[TenureMonths]]&gt;36, "3+ Years")</f>
        <v>1-3 Years</v>
      </c>
      <c r="N1183" s="2" t="str">
        <f>IF(TelecomData[[#This Row],[CleanedTotalCharges]]&gt;=2500,"High Spend", "Standard Spend")</f>
        <v>Standard Spend</v>
      </c>
    </row>
    <row r="1184" spans="1:14" x14ac:dyDescent="0.3">
      <c r="A1184" s="1" t="s">
        <v>1208</v>
      </c>
      <c r="B1184" s="2" t="s">
        <v>19</v>
      </c>
      <c r="C1184" s="2" t="s">
        <v>13</v>
      </c>
      <c r="D1184" s="2">
        <v>57</v>
      </c>
      <c r="E1184" s="2" t="s">
        <v>14</v>
      </c>
      <c r="F1184" s="2" t="s">
        <v>15</v>
      </c>
      <c r="G1184" s="7">
        <v>53.75</v>
      </c>
      <c r="H1184" s="7">
        <v>3196</v>
      </c>
      <c r="I1184" s="2" t="s">
        <v>15</v>
      </c>
      <c r="J1184" s="2" t="s">
        <v>16</v>
      </c>
      <c r="K1184" s="2" t="s">
        <v>17</v>
      </c>
      <c r="L1184" s="7">
        <v>3196</v>
      </c>
      <c r="M1184" s="2" t="str">
        <f>_xlfn.IFS(TelecomData[[#This Row],[TenureMonths]]&lt;=12, "0-1 Year", TelecomData[[#This Row],[TenureMonths]]&lt;=36, "1-3 Years", TelecomData[[#This Row],[TenureMonths]]&gt;36, "3+ Years")</f>
        <v>3+ Years</v>
      </c>
      <c r="N1184" s="2" t="str">
        <f>IF(TelecomData[[#This Row],[CleanedTotalCharges]]&gt;=2500,"High Spend", "Standard Spend")</f>
        <v>High Spend</v>
      </c>
    </row>
    <row r="1185" spans="1:14" x14ac:dyDescent="0.3">
      <c r="A1185" s="1" t="s">
        <v>1209</v>
      </c>
      <c r="B1185" s="2" t="s">
        <v>12</v>
      </c>
      <c r="C1185" s="2" t="s">
        <v>20</v>
      </c>
      <c r="D1185" s="2">
        <v>53</v>
      </c>
      <c r="E1185" s="2" t="s">
        <v>26</v>
      </c>
      <c r="F1185" s="2" t="s">
        <v>16</v>
      </c>
      <c r="G1185" s="7">
        <v>93.45</v>
      </c>
      <c r="H1185" s="7">
        <v>4872.2</v>
      </c>
      <c r="I1185" s="2" t="s">
        <v>15</v>
      </c>
      <c r="J1185" s="2" t="s">
        <v>16</v>
      </c>
      <c r="K1185" s="2" t="s">
        <v>17</v>
      </c>
      <c r="L1185" s="7">
        <v>4872.2</v>
      </c>
      <c r="M1185" s="2" t="str">
        <f>_xlfn.IFS(TelecomData[[#This Row],[TenureMonths]]&lt;=12, "0-1 Year", TelecomData[[#This Row],[TenureMonths]]&lt;=36, "1-3 Years", TelecomData[[#This Row],[TenureMonths]]&gt;36, "3+ Years")</f>
        <v>3+ Years</v>
      </c>
      <c r="N1185" s="2" t="str">
        <f>IF(TelecomData[[#This Row],[CleanedTotalCharges]]&gt;=2500,"High Spend", "Standard Spend")</f>
        <v>High Spend</v>
      </c>
    </row>
    <row r="1186" spans="1:14" x14ac:dyDescent="0.3">
      <c r="A1186" s="1" t="s">
        <v>1210</v>
      </c>
      <c r="B1186" s="2" t="s">
        <v>19</v>
      </c>
      <c r="C1186" s="2" t="s">
        <v>13</v>
      </c>
      <c r="D1186" s="2">
        <v>18</v>
      </c>
      <c r="E1186" s="2" t="s">
        <v>26</v>
      </c>
      <c r="F1186" s="2" t="s">
        <v>15</v>
      </c>
      <c r="G1186" s="7">
        <v>87.9</v>
      </c>
      <c r="H1186" s="7">
        <v>1500.5</v>
      </c>
      <c r="I1186" s="2" t="s">
        <v>15</v>
      </c>
      <c r="J1186" s="2" t="s">
        <v>16</v>
      </c>
      <c r="K1186" s="2" t="s">
        <v>21</v>
      </c>
      <c r="L1186" s="7">
        <v>1500.5</v>
      </c>
      <c r="M1186" s="2" t="str">
        <f>_xlfn.IFS(TelecomData[[#This Row],[TenureMonths]]&lt;=12, "0-1 Year", TelecomData[[#This Row],[TenureMonths]]&lt;=36, "1-3 Years", TelecomData[[#This Row],[TenureMonths]]&gt;36, "3+ Years")</f>
        <v>1-3 Years</v>
      </c>
      <c r="N1186" s="2" t="str">
        <f>IF(TelecomData[[#This Row],[CleanedTotalCharges]]&gt;=2500,"High Spend", "Standard Spend")</f>
        <v>Standard Spend</v>
      </c>
    </row>
    <row r="1187" spans="1:14" x14ac:dyDescent="0.3">
      <c r="A1187" s="1" t="s">
        <v>1211</v>
      </c>
      <c r="B1187" s="2" t="s">
        <v>12</v>
      </c>
      <c r="C1187" s="2" t="s">
        <v>13</v>
      </c>
      <c r="D1187" s="2">
        <v>1</v>
      </c>
      <c r="E1187" s="2" t="s">
        <v>14</v>
      </c>
      <c r="F1187" s="2" t="s">
        <v>15</v>
      </c>
      <c r="G1187" s="7">
        <v>60.15</v>
      </c>
      <c r="H1187" s="7">
        <v>60.15</v>
      </c>
      <c r="I1187" s="2" t="s">
        <v>16</v>
      </c>
      <c r="J1187" s="2" t="s">
        <v>16</v>
      </c>
      <c r="K1187" s="2" t="s">
        <v>17</v>
      </c>
      <c r="L1187" s="7">
        <v>60.15</v>
      </c>
      <c r="M1187" s="2" t="str">
        <f>_xlfn.IFS(TelecomData[[#This Row],[TenureMonths]]&lt;=12, "0-1 Year", TelecomData[[#This Row],[TenureMonths]]&lt;=36, "1-3 Years", TelecomData[[#This Row],[TenureMonths]]&gt;36, "3+ Years")</f>
        <v>0-1 Year</v>
      </c>
      <c r="N1187" s="2" t="str">
        <f>IF(TelecomData[[#This Row],[CleanedTotalCharges]]&gt;=2500,"High Spend", "Standard Spend")</f>
        <v>Standard Spend</v>
      </c>
    </row>
    <row r="1188" spans="1:14" x14ac:dyDescent="0.3">
      <c r="A1188" s="1" t="s">
        <v>1212</v>
      </c>
      <c r="B1188" s="2" t="s">
        <v>12</v>
      </c>
      <c r="C1188" s="2" t="s">
        <v>20</v>
      </c>
      <c r="D1188" s="2">
        <v>58</v>
      </c>
      <c r="E1188" s="2" t="s">
        <v>14</v>
      </c>
      <c r="F1188" s="2" t="s">
        <v>16</v>
      </c>
      <c r="G1188" s="7">
        <v>61.05</v>
      </c>
      <c r="H1188" s="7">
        <v>3478.75</v>
      </c>
      <c r="I1188" s="2" t="s">
        <v>15</v>
      </c>
      <c r="J1188" s="2" t="s">
        <v>16</v>
      </c>
      <c r="K1188" s="2" t="s">
        <v>24</v>
      </c>
      <c r="L1188" s="7">
        <v>3478.75</v>
      </c>
      <c r="M1188" s="2" t="str">
        <f>_xlfn.IFS(TelecomData[[#This Row],[TenureMonths]]&lt;=12, "0-1 Year", TelecomData[[#This Row],[TenureMonths]]&lt;=36, "1-3 Years", TelecomData[[#This Row],[TenureMonths]]&gt;36, "3+ Years")</f>
        <v>3+ Years</v>
      </c>
      <c r="N1188" s="2" t="str">
        <f>IF(TelecomData[[#This Row],[CleanedTotalCharges]]&gt;=2500,"High Spend", "Standard Spend")</f>
        <v>High Spend</v>
      </c>
    </row>
    <row r="1189" spans="1:14" x14ac:dyDescent="0.3">
      <c r="A1189" s="1" t="s">
        <v>1213</v>
      </c>
      <c r="B1189" s="2" t="s">
        <v>12</v>
      </c>
      <c r="C1189" s="2" t="s">
        <v>35</v>
      </c>
      <c r="D1189" s="2">
        <v>71</v>
      </c>
      <c r="E1189" s="2" t="s">
        <v>26</v>
      </c>
      <c r="F1189" s="2" t="s">
        <v>15</v>
      </c>
      <c r="G1189" s="7">
        <v>104.05</v>
      </c>
      <c r="H1189" s="7">
        <v>7413.55</v>
      </c>
      <c r="I1189" s="2" t="s">
        <v>15</v>
      </c>
      <c r="J1189" s="2" t="s">
        <v>15</v>
      </c>
      <c r="K1189" s="2" t="s">
        <v>24</v>
      </c>
      <c r="L1189" s="7">
        <v>7413.55</v>
      </c>
      <c r="M1189" s="2" t="str">
        <f>_xlfn.IFS(TelecomData[[#This Row],[TenureMonths]]&lt;=12, "0-1 Year", TelecomData[[#This Row],[TenureMonths]]&lt;=36, "1-3 Years", TelecomData[[#This Row],[TenureMonths]]&gt;36, "3+ Years")</f>
        <v>3+ Years</v>
      </c>
      <c r="N1189" s="2" t="str">
        <f>IF(TelecomData[[#This Row],[CleanedTotalCharges]]&gt;=2500,"High Spend", "Standard Spend")</f>
        <v>High Spend</v>
      </c>
    </row>
    <row r="1190" spans="1:14" x14ac:dyDescent="0.3">
      <c r="A1190" s="1" t="s">
        <v>1214</v>
      </c>
      <c r="B1190" s="2" t="s">
        <v>12</v>
      </c>
      <c r="C1190" s="2" t="s">
        <v>20</v>
      </c>
      <c r="D1190" s="2">
        <v>35</v>
      </c>
      <c r="E1190" s="2" t="s">
        <v>26</v>
      </c>
      <c r="F1190" s="2" t="s">
        <v>16</v>
      </c>
      <c r="G1190" s="7">
        <v>99.25</v>
      </c>
      <c r="H1190" s="7">
        <v>3532</v>
      </c>
      <c r="I1190" s="2" t="s">
        <v>15</v>
      </c>
      <c r="J1190" s="2" t="s">
        <v>16</v>
      </c>
      <c r="K1190" s="2" t="s">
        <v>17</v>
      </c>
      <c r="L1190" s="7">
        <v>3532</v>
      </c>
      <c r="M1190" s="2" t="str">
        <f>_xlfn.IFS(TelecomData[[#This Row],[TenureMonths]]&lt;=12, "0-1 Year", TelecomData[[#This Row],[TenureMonths]]&lt;=36, "1-3 Years", TelecomData[[#This Row],[TenureMonths]]&gt;36, "3+ Years")</f>
        <v>1-3 Years</v>
      </c>
      <c r="N1190" s="2" t="str">
        <f>IF(TelecomData[[#This Row],[CleanedTotalCharges]]&gt;=2500,"High Spend", "Standard Spend")</f>
        <v>High Spend</v>
      </c>
    </row>
    <row r="1191" spans="1:14" x14ac:dyDescent="0.3">
      <c r="A1191" s="1" t="s">
        <v>1215</v>
      </c>
      <c r="B1191" s="2" t="s">
        <v>19</v>
      </c>
      <c r="C1191" s="2" t="s">
        <v>13</v>
      </c>
      <c r="D1191" s="2">
        <v>3</v>
      </c>
      <c r="E1191" s="2" t="s">
        <v>26</v>
      </c>
      <c r="F1191" s="2" t="s">
        <v>15</v>
      </c>
      <c r="G1191" s="7">
        <v>85.7</v>
      </c>
      <c r="H1191" s="7">
        <v>256.75</v>
      </c>
      <c r="I1191" s="2" t="s">
        <v>15</v>
      </c>
      <c r="J1191" s="2" t="s">
        <v>15</v>
      </c>
      <c r="K1191" s="2" t="s">
        <v>29</v>
      </c>
      <c r="L1191" s="7">
        <v>256.75</v>
      </c>
      <c r="M1191" s="2" t="str">
        <f>_xlfn.IFS(TelecomData[[#This Row],[TenureMonths]]&lt;=12, "0-1 Year", TelecomData[[#This Row],[TenureMonths]]&lt;=36, "1-3 Years", TelecomData[[#This Row],[TenureMonths]]&gt;36, "3+ Years")</f>
        <v>0-1 Year</v>
      </c>
      <c r="N1191" s="2" t="str">
        <f>IF(TelecomData[[#This Row],[CleanedTotalCharges]]&gt;=2500,"High Spend", "Standard Spend")</f>
        <v>Standard Spend</v>
      </c>
    </row>
    <row r="1192" spans="1:14" x14ac:dyDescent="0.3">
      <c r="A1192" s="1" t="s">
        <v>1216</v>
      </c>
      <c r="B1192" s="2" t="s">
        <v>19</v>
      </c>
      <c r="C1192" s="2" t="s">
        <v>20</v>
      </c>
      <c r="D1192" s="2">
        <v>38</v>
      </c>
      <c r="E1192" s="2" t="s">
        <v>26</v>
      </c>
      <c r="F1192" s="2" t="s">
        <v>15</v>
      </c>
      <c r="G1192" s="7">
        <v>104.85</v>
      </c>
      <c r="H1192" s="7">
        <v>3887.25</v>
      </c>
      <c r="I1192" s="2" t="s">
        <v>15</v>
      </c>
      <c r="J1192" s="2" t="s">
        <v>16</v>
      </c>
      <c r="K1192" s="2" t="s">
        <v>17</v>
      </c>
      <c r="L1192" s="7">
        <v>3887.25</v>
      </c>
      <c r="M1192" s="2" t="str">
        <f>_xlfn.IFS(TelecomData[[#This Row],[TenureMonths]]&lt;=12, "0-1 Year", TelecomData[[#This Row],[TenureMonths]]&lt;=36, "1-3 Years", TelecomData[[#This Row],[TenureMonths]]&gt;36, "3+ Years")</f>
        <v>3+ Years</v>
      </c>
      <c r="N1192" s="2" t="str">
        <f>IF(TelecomData[[#This Row],[CleanedTotalCharges]]&gt;=2500,"High Spend", "Standard Spend")</f>
        <v>High Spend</v>
      </c>
    </row>
    <row r="1193" spans="1:14" x14ac:dyDescent="0.3">
      <c r="A1193" s="1" t="s">
        <v>1217</v>
      </c>
      <c r="B1193" s="2" t="s">
        <v>19</v>
      </c>
      <c r="C1193" s="2" t="s">
        <v>35</v>
      </c>
      <c r="D1193" s="2">
        <v>35</v>
      </c>
      <c r="E1193" s="2" t="s">
        <v>14</v>
      </c>
      <c r="F1193" s="2" t="s">
        <v>16</v>
      </c>
      <c r="G1193" s="7">
        <v>69.150000000000006</v>
      </c>
      <c r="H1193" s="7">
        <v>2490.15</v>
      </c>
      <c r="I1193" s="2" t="s">
        <v>15</v>
      </c>
      <c r="J1193" s="2" t="s">
        <v>16</v>
      </c>
      <c r="K1193" s="2" t="s">
        <v>29</v>
      </c>
      <c r="L1193" s="7">
        <v>2490.15</v>
      </c>
      <c r="M1193" s="2" t="str">
        <f>_xlfn.IFS(TelecomData[[#This Row],[TenureMonths]]&lt;=12, "0-1 Year", TelecomData[[#This Row],[TenureMonths]]&lt;=36, "1-3 Years", TelecomData[[#This Row],[TenureMonths]]&gt;36, "3+ Years")</f>
        <v>1-3 Years</v>
      </c>
      <c r="N1193" s="2" t="str">
        <f>IF(TelecomData[[#This Row],[CleanedTotalCharges]]&gt;=2500,"High Spend", "Standard Spend")</f>
        <v>Standard Spend</v>
      </c>
    </row>
    <row r="1194" spans="1:14" x14ac:dyDescent="0.3">
      <c r="A1194" s="1" t="s">
        <v>1218</v>
      </c>
      <c r="B1194" s="2" t="s">
        <v>19</v>
      </c>
      <c r="C1194" s="2" t="s">
        <v>13</v>
      </c>
      <c r="D1194" s="2">
        <v>7</v>
      </c>
      <c r="E1194" s="2" t="s">
        <v>26</v>
      </c>
      <c r="F1194" s="2" t="s">
        <v>15</v>
      </c>
      <c r="G1194" s="7">
        <v>90.45</v>
      </c>
      <c r="H1194" s="7">
        <v>593.45000000000005</v>
      </c>
      <c r="I1194" s="2" t="s">
        <v>16</v>
      </c>
      <c r="J1194" s="2" t="s">
        <v>16</v>
      </c>
      <c r="K1194" s="2" t="s">
        <v>17</v>
      </c>
      <c r="L1194" s="7">
        <v>593.45000000000005</v>
      </c>
      <c r="M1194" s="2" t="str">
        <f>_xlfn.IFS(TelecomData[[#This Row],[TenureMonths]]&lt;=12, "0-1 Year", TelecomData[[#This Row],[TenureMonths]]&lt;=36, "1-3 Years", TelecomData[[#This Row],[TenureMonths]]&gt;36, "3+ Years")</f>
        <v>0-1 Year</v>
      </c>
      <c r="N1194" s="2" t="str">
        <f>IF(TelecomData[[#This Row],[CleanedTotalCharges]]&gt;=2500,"High Spend", "Standard Spend")</f>
        <v>Standard Spend</v>
      </c>
    </row>
    <row r="1195" spans="1:14" x14ac:dyDescent="0.3">
      <c r="A1195" s="1" t="s">
        <v>1219</v>
      </c>
      <c r="B1195" s="2" t="s">
        <v>12</v>
      </c>
      <c r="C1195" s="2" t="s">
        <v>35</v>
      </c>
      <c r="D1195" s="2">
        <v>47</v>
      </c>
      <c r="E1195" s="2" t="s">
        <v>14</v>
      </c>
      <c r="F1195" s="2" t="s">
        <v>16</v>
      </c>
      <c r="G1195" s="7">
        <v>74.45</v>
      </c>
      <c r="H1195" s="7">
        <v>3510.3</v>
      </c>
      <c r="I1195" s="2" t="s">
        <v>15</v>
      </c>
      <c r="J1195" s="2" t="s">
        <v>15</v>
      </c>
      <c r="K1195" s="2" t="s">
        <v>21</v>
      </c>
      <c r="L1195" s="7">
        <v>3510.3</v>
      </c>
      <c r="M1195" s="2" t="str">
        <f>_xlfn.IFS(TelecomData[[#This Row],[TenureMonths]]&lt;=12, "0-1 Year", TelecomData[[#This Row],[TenureMonths]]&lt;=36, "1-3 Years", TelecomData[[#This Row],[TenureMonths]]&gt;36, "3+ Years")</f>
        <v>3+ Years</v>
      </c>
      <c r="N1195" s="2" t="str">
        <f>IF(TelecomData[[#This Row],[CleanedTotalCharges]]&gt;=2500,"High Spend", "Standard Spend")</f>
        <v>High Spend</v>
      </c>
    </row>
    <row r="1196" spans="1:14" x14ac:dyDescent="0.3">
      <c r="A1196" s="1" t="s">
        <v>1220</v>
      </c>
      <c r="B1196" s="2" t="s">
        <v>12</v>
      </c>
      <c r="C1196" s="2" t="s">
        <v>13</v>
      </c>
      <c r="D1196" s="2">
        <v>14</v>
      </c>
      <c r="E1196" s="2" t="s">
        <v>14</v>
      </c>
      <c r="F1196" s="2" t="s">
        <v>15</v>
      </c>
      <c r="G1196" s="7">
        <v>50.45</v>
      </c>
      <c r="H1196" s="7">
        <v>765.45</v>
      </c>
      <c r="I1196" s="2" t="s">
        <v>15</v>
      </c>
      <c r="J1196" s="2" t="s">
        <v>15</v>
      </c>
      <c r="K1196" s="2" t="s">
        <v>17</v>
      </c>
      <c r="L1196" s="7">
        <v>765.45</v>
      </c>
      <c r="M1196" s="2" t="str">
        <f>_xlfn.IFS(TelecomData[[#This Row],[TenureMonths]]&lt;=12, "0-1 Year", TelecomData[[#This Row],[TenureMonths]]&lt;=36, "1-3 Years", TelecomData[[#This Row],[TenureMonths]]&gt;36, "3+ Years")</f>
        <v>1-3 Years</v>
      </c>
      <c r="N1196" s="2" t="str">
        <f>IF(TelecomData[[#This Row],[CleanedTotalCharges]]&gt;=2500,"High Spend", "Standard Spend")</f>
        <v>Standard Spend</v>
      </c>
    </row>
    <row r="1197" spans="1:14" x14ac:dyDescent="0.3">
      <c r="A1197" s="1" t="s">
        <v>1221</v>
      </c>
      <c r="B1197" s="2" t="s">
        <v>12</v>
      </c>
      <c r="C1197" s="2" t="s">
        <v>13</v>
      </c>
      <c r="D1197" s="2">
        <v>20</v>
      </c>
      <c r="E1197" s="2" t="s">
        <v>14</v>
      </c>
      <c r="F1197" s="2" t="s">
        <v>15</v>
      </c>
      <c r="G1197" s="7">
        <v>60</v>
      </c>
      <c r="H1197" s="7">
        <v>1259.3499999999999</v>
      </c>
      <c r="I1197" s="2" t="s">
        <v>15</v>
      </c>
      <c r="J1197" s="2" t="s">
        <v>16</v>
      </c>
      <c r="K1197" s="2" t="s">
        <v>17</v>
      </c>
      <c r="L1197" s="7">
        <v>1259.3499999999999</v>
      </c>
      <c r="M1197" s="2" t="str">
        <f>_xlfn.IFS(TelecomData[[#This Row],[TenureMonths]]&lt;=12, "0-1 Year", TelecomData[[#This Row],[TenureMonths]]&lt;=36, "1-3 Years", TelecomData[[#This Row],[TenureMonths]]&gt;36, "3+ Years")</f>
        <v>1-3 Years</v>
      </c>
      <c r="N1197" s="2" t="str">
        <f>IF(TelecomData[[#This Row],[CleanedTotalCharges]]&gt;=2500,"High Spend", "Standard Spend")</f>
        <v>Standard Spend</v>
      </c>
    </row>
    <row r="1198" spans="1:14" x14ac:dyDescent="0.3">
      <c r="A1198" s="1" t="s">
        <v>1222</v>
      </c>
      <c r="B1198" s="2" t="s">
        <v>19</v>
      </c>
      <c r="C1198" s="2" t="s">
        <v>35</v>
      </c>
      <c r="D1198" s="2">
        <v>66</v>
      </c>
      <c r="E1198" s="2" t="s">
        <v>14</v>
      </c>
      <c r="F1198" s="2" t="s">
        <v>16</v>
      </c>
      <c r="G1198" s="7">
        <v>85.25</v>
      </c>
      <c r="H1198" s="7">
        <v>5538.35</v>
      </c>
      <c r="I1198" s="2" t="s">
        <v>15</v>
      </c>
      <c r="J1198" s="2" t="s">
        <v>15</v>
      </c>
      <c r="K1198" s="2" t="s">
        <v>17</v>
      </c>
      <c r="L1198" s="7">
        <v>5538.35</v>
      </c>
      <c r="M1198" s="2" t="str">
        <f>_xlfn.IFS(TelecomData[[#This Row],[TenureMonths]]&lt;=12, "0-1 Year", TelecomData[[#This Row],[TenureMonths]]&lt;=36, "1-3 Years", TelecomData[[#This Row],[TenureMonths]]&gt;36, "3+ Years")</f>
        <v>3+ Years</v>
      </c>
      <c r="N1198" s="2" t="str">
        <f>IF(TelecomData[[#This Row],[CleanedTotalCharges]]&gt;=2500,"High Spend", "Standard Spend")</f>
        <v>High Spend</v>
      </c>
    </row>
    <row r="1199" spans="1:14" x14ac:dyDescent="0.3">
      <c r="A1199" s="1" t="s">
        <v>1223</v>
      </c>
      <c r="B1199" s="2" t="s">
        <v>19</v>
      </c>
      <c r="C1199" s="2" t="s">
        <v>13</v>
      </c>
      <c r="D1199" s="2">
        <v>15</v>
      </c>
      <c r="E1199" s="2" t="s">
        <v>15</v>
      </c>
      <c r="F1199" s="2" t="s">
        <v>36</v>
      </c>
      <c r="G1199" s="7">
        <v>19.45</v>
      </c>
      <c r="H1199" s="7">
        <v>340.85</v>
      </c>
      <c r="I1199" s="2" t="s">
        <v>15</v>
      </c>
      <c r="J1199" s="2" t="s">
        <v>16</v>
      </c>
      <c r="K1199" s="2" t="s">
        <v>29</v>
      </c>
      <c r="L1199" s="7">
        <v>340.85</v>
      </c>
      <c r="M1199" s="2" t="str">
        <f>_xlfn.IFS(TelecomData[[#This Row],[TenureMonths]]&lt;=12, "0-1 Year", TelecomData[[#This Row],[TenureMonths]]&lt;=36, "1-3 Years", TelecomData[[#This Row],[TenureMonths]]&gt;36, "3+ Years")</f>
        <v>1-3 Years</v>
      </c>
      <c r="N1199" s="2" t="str">
        <f>IF(TelecomData[[#This Row],[CleanedTotalCharges]]&gt;=2500,"High Spend", "Standard Spend")</f>
        <v>Standard Spend</v>
      </c>
    </row>
    <row r="1200" spans="1:14" x14ac:dyDescent="0.3">
      <c r="A1200" s="1" t="s">
        <v>1224</v>
      </c>
      <c r="B1200" s="2" t="s">
        <v>12</v>
      </c>
      <c r="C1200" s="2" t="s">
        <v>35</v>
      </c>
      <c r="D1200" s="2">
        <v>42</v>
      </c>
      <c r="E1200" s="2" t="s">
        <v>15</v>
      </c>
      <c r="F1200" s="2" t="s">
        <v>36</v>
      </c>
      <c r="G1200" s="7">
        <v>20.75</v>
      </c>
      <c r="H1200" s="7">
        <v>844.45</v>
      </c>
      <c r="I1200" s="2" t="s">
        <v>15</v>
      </c>
      <c r="J1200" s="2" t="s">
        <v>16</v>
      </c>
      <c r="K1200" s="2" t="s">
        <v>24</v>
      </c>
      <c r="L1200" s="7">
        <v>844.45</v>
      </c>
      <c r="M1200" s="2" t="str">
        <f>_xlfn.IFS(TelecomData[[#This Row],[TenureMonths]]&lt;=12, "0-1 Year", TelecomData[[#This Row],[TenureMonths]]&lt;=36, "1-3 Years", TelecomData[[#This Row],[TenureMonths]]&gt;36, "3+ Years")</f>
        <v>3+ Years</v>
      </c>
      <c r="N1200" s="2" t="str">
        <f>IF(TelecomData[[#This Row],[CleanedTotalCharges]]&gt;=2500,"High Spend", "Standard Spend")</f>
        <v>Standard Spend</v>
      </c>
    </row>
    <row r="1201" spans="1:14" x14ac:dyDescent="0.3">
      <c r="A1201" s="1" t="s">
        <v>1225</v>
      </c>
      <c r="B1201" s="2" t="s">
        <v>12</v>
      </c>
      <c r="C1201" s="2" t="s">
        <v>13</v>
      </c>
      <c r="D1201" s="2">
        <v>17</v>
      </c>
      <c r="E1201" s="2" t="s">
        <v>26</v>
      </c>
      <c r="F1201" s="2" t="s">
        <v>15</v>
      </c>
      <c r="G1201" s="7">
        <v>78.900000000000006</v>
      </c>
      <c r="H1201" s="7">
        <v>1348.95</v>
      </c>
      <c r="I1201" s="2" t="s">
        <v>15</v>
      </c>
      <c r="J1201" s="2" t="s">
        <v>15</v>
      </c>
      <c r="K1201" s="2" t="s">
        <v>17</v>
      </c>
      <c r="L1201" s="7">
        <v>1348.95</v>
      </c>
      <c r="M1201" s="2" t="str">
        <f>_xlfn.IFS(TelecomData[[#This Row],[TenureMonths]]&lt;=12, "0-1 Year", TelecomData[[#This Row],[TenureMonths]]&lt;=36, "1-3 Years", TelecomData[[#This Row],[TenureMonths]]&gt;36, "3+ Years")</f>
        <v>1-3 Years</v>
      </c>
      <c r="N1201" s="2" t="str">
        <f>IF(TelecomData[[#This Row],[CleanedTotalCharges]]&gt;=2500,"High Spend", "Standard Spend")</f>
        <v>Standard Spend</v>
      </c>
    </row>
    <row r="1202" spans="1:14" x14ac:dyDescent="0.3">
      <c r="A1202" s="1" t="s">
        <v>1226</v>
      </c>
      <c r="B1202" s="2" t="s">
        <v>19</v>
      </c>
      <c r="C1202" s="2" t="s">
        <v>20</v>
      </c>
      <c r="D1202" s="2">
        <v>37</v>
      </c>
      <c r="E1202" s="2" t="s">
        <v>26</v>
      </c>
      <c r="F1202" s="2" t="s">
        <v>16</v>
      </c>
      <c r="G1202" s="7">
        <v>104.5</v>
      </c>
      <c r="H1202" s="7">
        <v>3778</v>
      </c>
      <c r="I1202" s="2" t="s">
        <v>15</v>
      </c>
      <c r="J1202" s="2" t="s">
        <v>16</v>
      </c>
      <c r="K1202" s="2" t="s">
        <v>29</v>
      </c>
      <c r="L1202" s="7">
        <v>3778</v>
      </c>
      <c r="M1202" s="2" t="str">
        <f>_xlfn.IFS(TelecomData[[#This Row],[TenureMonths]]&lt;=12, "0-1 Year", TelecomData[[#This Row],[TenureMonths]]&lt;=36, "1-3 Years", TelecomData[[#This Row],[TenureMonths]]&gt;36, "3+ Years")</f>
        <v>3+ Years</v>
      </c>
      <c r="N1202" s="2" t="str">
        <f>IF(TelecomData[[#This Row],[CleanedTotalCharges]]&gt;=2500,"High Spend", "Standard Spend")</f>
        <v>High Spend</v>
      </c>
    </row>
    <row r="1203" spans="1:14" x14ac:dyDescent="0.3">
      <c r="A1203" s="1" t="s">
        <v>1227</v>
      </c>
      <c r="B1203" s="2" t="s">
        <v>12</v>
      </c>
      <c r="C1203" s="2" t="s">
        <v>13</v>
      </c>
      <c r="D1203" s="2">
        <v>12</v>
      </c>
      <c r="E1203" s="2" t="s">
        <v>14</v>
      </c>
      <c r="F1203" s="2" t="s">
        <v>15</v>
      </c>
      <c r="G1203" s="7">
        <v>49.4</v>
      </c>
      <c r="H1203" s="7">
        <v>611.65</v>
      </c>
      <c r="I1203" s="2" t="s">
        <v>15</v>
      </c>
      <c r="J1203" s="2" t="s">
        <v>16</v>
      </c>
      <c r="K1203" s="2" t="s">
        <v>17</v>
      </c>
      <c r="L1203" s="7">
        <v>611.65</v>
      </c>
      <c r="M1203" s="2" t="str">
        <f>_xlfn.IFS(TelecomData[[#This Row],[TenureMonths]]&lt;=12, "0-1 Year", TelecomData[[#This Row],[TenureMonths]]&lt;=36, "1-3 Years", TelecomData[[#This Row],[TenureMonths]]&gt;36, "3+ Years")</f>
        <v>0-1 Year</v>
      </c>
      <c r="N1203" s="2" t="str">
        <f>IF(TelecomData[[#This Row],[CleanedTotalCharges]]&gt;=2500,"High Spend", "Standard Spend")</f>
        <v>Standard Spend</v>
      </c>
    </row>
    <row r="1204" spans="1:14" x14ac:dyDescent="0.3">
      <c r="A1204" s="1" t="s">
        <v>1228</v>
      </c>
      <c r="B1204" s="2" t="s">
        <v>19</v>
      </c>
      <c r="C1204" s="2" t="s">
        <v>20</v>
      </c>
      <c r="D1204" s="2">
        <v>53</v>
      </c>
      <c r="E1204" s="2" t="s">
        <v>26</v>
      </c>
      <c r="F1204" s="2" t="s">
        <v>15</v>
      </c>
      <c r="G1204" s="7">
        <v>94.25</v>
      </c>
      <c r="H1204" s="7">
        <v>4867.95</v>
      </c>
      <c r="I1204" s="2" t="s">
        <v>16</v>
      </c>
      <c r="J1204" s="2" t="s">
        <v>16</v>
      </c>
      <c r="K1204" s="2" t="s">
        <v>24</v>
      </c>
      <c r="L1204" s="7">
        <v>4867.95</v>
      </c>
      <c r="M1204" s="2" t="str">
        <f>_xlfn.IFS(TelecomData[[#This Row],[TenureMonths]]&lt;=12, "0-1 Year", TelecomData[[#This Row],[TenureMonths]]&lt;=36, "1-3 Years", TelecomData[[#This Row],[TenureMonths]]&gt;36, "3+ Years")</f>
        <v>3+ Years</v>
      </c>
      <c r="N1204" s="2" t="str">
        <f>IF(TelecomData[[#This Row],[CleanedTotalCharges]]&gt;=2500,"High Spend", "Standard Spend")</f>
        <v>High Spend</v>
      </c>
    </row>
    <row r="1205" spans="1:14" x14ac:dyDescent="0.3">
      <c r="A1205" s="1" t="s">
        <v>1229</v>
      </c>
      <c r="B1205" s="2" t="s">
        <v>12</v>
      </c>
      <c r="C1205" s="2" t="s">
        <v>35</v>
      </c>
      <c r="D1205" s="2">
        <v>60</v>
      </c>
      <c r="E1205" s="2" t="s">
        <v>15</v>
      </c>
      <c r="F1205" s="2" t="s">
        <v>36</v>
      </c>
      <c r="G1205" s="7">
        <v>25</v>
      </c>
      <c r="H1205" s="7">
        <v>1505.05</v>
      </c>
      <c r="I1205" s="2" t="s">
        <v>15</v>
      </c>
      <c r="J1205" s="2" t="s">
        <v>15</v>
      </c>
      <c r="K1205" s="2" t="s">
        <v>21</v>
      </c>
      <c r="L1205" s="7">
        <v>1505.05</v>
      </c>
      <c r="M1205" s="2" t="str">
        <f>_xlfn.IFS(TelecomData[[#This Row],[TenureMonths]]&lt;=12, "0-1 Year", TelecomData[[#This Row],[TenureMonths]]&lt;=36, "1-3 Years", TelecomData[[#This Row],[TenureMonths]]&gt;36, "3+ Years")</f>
        <v>3+ Years</v>
      </c>
      <c r="N1205" s="2" t="str">
        <f>IF(TelecomData[[#This Row],[CleanedTotalCharges]]&gt;=2500,"High Spend", "Standard Spend")</f>
        <v>Standard Spend</v>
      </c>
    </row>
    <row r="1206" spans="1:14" x14ac:dyDescent="0.3">
      <c r="A1206" s="1" t="s">
        <v>1230</v>
      </c>
      <c r="B1206" s="2" t="s">
        <v>19</v>
      </c>
      <c r="C1206" s="2" t="s">
        <v>13</v>
      </c>
      <c r="D1206" s="2">
        <v>18</v>
      </c>
      <c r="E1206" s="2" t="s">
        <v>14</v>
      </c>
      <c r="F1206" s="2" t="s">
        <v>15</v>
      </c>
      <c r="G1206" s="7">
        <v>25.55</v>
      </c>
      <c r="H1206" s="7">
        <v>467.85</v>
      </c>
      <c r="I1206" s="2" t="s">
        <v>15</v>
      </c>
      <c r="J1206" s="2" t="s">
        <v>15</v>
      </c>
      <c r="K1206" s="2" t="s">
        <v>29</v>
      </c>
      <c r="L1206" s="7">
        <v>467.85</v>
      </c>
      <c r="M1206" s="2" t="str">
        <f>_xlfn.IFS(TelecomData[[#This Row],[TenureMonths]]&lt;=12, "0-1 Year", TelecomData[[#This Row],[TenureMonths]]&lt;=36, "1-3 Years", TelecomData[[#This Row],[TenureMonths]]&gt;36, "3+ Years")</f>
        <v>1-3 Years</v>
      </c>
      <c r="N1206" s="2" t="str">
        <f>IF(TelecomData[[#This Row],[CleanedTotalCharges]]&gt;=2500,"High Spend", "Standard Spend")</f>
        <v>Standard Spend</v>
      </c>
    </row>
    <row r="1207" spans="1:14" x14ac:dyDescent="0.3">
      <c r="A1207" s="1" t="s">
        <v>1231</v>
      </c>
      <c r="B1207" s="2" t="s">
        <v>19</v>
      </c>
      <c r="C1207" s="2" t="s">
        <v>13</v>
      </c>
      <c r="D1207" s="2">
        <v>1</v>
      </c>
      <c r="E1207" s="2" t="s">
        <v>26</v>
      </c>
      <c r="F1207" s="2" t="s">
        <v>15</v>
      </c>
      <c r="G1207" s="7">
        <v>74.900000000000006</v>
      </c>
      <c r="H1207" s="7">
        <v>74.900000000000006</v>
      </c>
      <c r="I1207" s="2" t="s">
        <v>16</v>
      </c>
      <c r="J1207" s="2" t="s">
        <v>16</v>
      </c>
      <c r="K1207" s="2" t="s">
        <v>17</v>
      </c>
      <c r="L1207" s="7">
        <v>74.900000000000006</v>
      </c>
      <c r="M1207" s="2" t="str">
        <f>_xlfn.IFS(TelecomData[[#This Row],[TenureMonths]]&lt;=12, "0-1 Year", TelecomData[[#This Row],[TenureMonths]]&lt;=36, "1-3 Years", TelecomData[[#This Row],[TenureMonths]]&gt;36, "3+ Years")</f>
        <v>0-1 Year</v>
      </c>
      <c r="N1207" s="2" t="str">
        <f>IF(TelecomData[[#This Row],[CleanedTotalCharges]]&gt;=2500,"High Spend", "Standard Spend")</f>
        <v>Standard Spend</v>
      </c>
    </row>
    <row r="1208" spans="1:14" x14ac:dyDescent="0.3">
      <c r="A1208" s="1" t="s">
        <v>1232</v>
      </c>
      <c r="B1208" s="2" t="s">
        <v>12</v>
      </c>
      <c r="C1208" s="2" t="s">
        <v>13</v>
      </c>
      <c r="D1208" s="2">
        <v>3</v>
      </c>
      <c r="E1208" s="2" t="s">
        <v>26</v>
      </c>
      <c r="F1208" s="2" t="s">
        <v>15</v>
      </c>
      <c r="G1208" s="7">
        <v>70.150000000000006</v>
      </c>
      <c r="H1208" s="7">
        <v>194.2</v>
      </c>
      <c r="I1208" s="2" t="s">
        <v>15</v>
      </c>
      <c r="J1208" s="2" t="s">
        <v>16</v>
      </c>
      <c r="K1208" s="2" t="s">
        <v>17</v>
      </c>
      <c r="L1208" s="7">
        <v>194.2</v>
      </c>
      <c r="M1208" s="2" t="str">
        <f>_xlfn.IFS(TelecomData[[#This Row],[TenureMonths]]&lt;=12, "0-1 Year", TelecomData[[#This Row],[TenureMonths]]&lt;=36, "1-3 Years", TelecomData[[#This Row],[TenureMonths]]&gt;36, "3+ Years")</f>
        <v>0-1 Year</v>
      </c>
      <c r="N1208" s="2" t="str">
        <f>IF(TelecomData[[#This Row],[CleanedTotalCharges]]&gt;=2500,"High Spend", "Standard Spend")</f>
        <v>Standard Spend</v>
      </c>
    </row>
    <row r="1209" spans="1:14" x14ac:dyDescent="0.3">
      <c r="A1209" s="1" t="s">
        <v>1233</v>
      </c>
      <c r="B1209" s="2" t="s">
        <v>12</v>
      </c>
      <c r="C1209" s="2" t="s">
        <v>13</v>
      </c>
      <c r="D1209" s="2">
        <v>9</v>
      </c>
      <c r="E1209" s="2" t="s">
        <v>14</v>
      </c>
      <c r="F1209" s="2" t="s">
        <v>16</v>
      </c>
      <c r="G1209" s="7">
        <v>69.400000000000006</v>
      </c>
      <c r="H1209" s="7">
        <v>571.45000000000005</v>
      </c>
      <c r="I1209" s="2" t="s">
        <v>15</v>
      </c>
      <c r="J1209" s="2" t="s">
        <v>16</v>
      </c>
      <c r="K1209" s="2" t="s">
        <v>29</v>
      </c>
      <c r="L1209" s="7">
        <v>571.45000000000005</v>
      </c>
      <c r="M1209" s="2" t="str">
        <f>_xlfn.IFS(TelecomData[[#This Row],[TenureMonths]]&lt;=12, "0-1 Year", TelecomData[[#This Row],[TenureMonths]]&lt;=36, "1-3 Years", TelecomData[[#This Row],[TenureMonths]]&gt;36, "3+ Years")</f>
        <v>0-1 Year</v>
      </c>
      <c r="N1209" s="2" t="str">
        <f>IF(TelecomData[[#This Row],[CleanedTotalCharges]]&gt;=2500,"High Spend", "Standard Spend")</f>
        <v>Standard Spend</v>
      </c>
    </row>
    <row r="1210" spans="1:14" x14ac:dyDescent="0.3">
      <c r="A1210" s="1" t="s">
        <v>1234</v>
      </c>
      <c r="B1210" s="2" t="s">
        <v>12</v>
      </c>
      <c r="C1210" s="2" t="s">
        <v>13</v>
      </c>
      <c r="D1210" s="2">
        <v>1</v>
      </c>
      <c r="E1210" s="2" t="s">
        <v>26</v>
      </c>
      <c r="F1210" s="2" t="s">
        <v>15</v>
      </c>
      <c r="G1210" s="7">
        <v>80.25</v>
      </c>
      <c r="H1210" s="7">
        <v>80.25</v>
      </c>
      <c r="I1210" s="2" t="s">
        <v>16</v>
      </c>
      <c r="J1210" s="2" t="s">
        <v>16</v>
      </c>
      <c r="K1210" s="2" t="s">
        <v>17</v>
      </c>
      <c r="L1210" s="7">
        <v>80.25</v>
      </c>
      <c r="M1210" s="2" t="str">
        <f>_xlfn.IFS(TelecomData[[#This Row],[TenureMonths]]&lt;=12, "0-1 Year", TelecomData[[#This Row],[TenureMonths]]&lt;=36, "1-3 Years", TelecomData[[#This Row],[TenureMonths]]&gt;36, "3+ Years")</f>
        <v>0-1 Year</v>
      </c>
      <c r="N1210" s="2" t="str">
        <f>IF(TelecomData[[#This Row],[CleanedTotalCharges]]&gt;=2500,"High Spend", "Standard Spend")</f>
        <v>Standard Spend</v>
      </c>
    </row>
    <row r="1211" spans="1:14" x14ac:dyDescent="0.3">
      <c r="A1211" s="1" t="s">
        <v>1235</v>
      </c>
      <c r="B1211" s="2" t="s">
        <v>19</v>
      </c>
      <c r="C1211" s="2" t="s">
        <v>20</v>
      </c>
      <c r="D1211" s="2">
        <v>56</v>
      </c>
      <c r="E1211" s="2" t="s">
        <v>26</v>
      </c>
      <c r="F1211" s="2" t="s">
        <v>15</v>
      </c>
      <c r="G1211" s="7">
        <v>93.15</v>
      </c>
      <c r="H1211" s="7">
        <v>5253.95</v>
      </c>
      <c r="I1211" s="2" t="s">
        <v>15</v>
      </c>
      <c r="J1211" s="2" t="s">
        <v>16</v>
      </c>
      <c r="K1211" s="2" t="s">
        <v>17</v>
      </c>
      <c r="L1211" s="7">
        <v>5253.95</v>
      </c>
      <c r="M1211" s="2" t="str">
        <f>_xlfn.IFS(TelecomData[[#This Row],[TenureMonths]]&lt;=12, "0-1 Year", TelecomData[[#This Row],[TenureMonths]]&lt;=36, "1-3 Years", TelecomData[[#This Row],[TenureMonths]]&gt;36, "3+ Years")</f>
        <v>3+ Years</v>
      </c>
      <c r="N1211" s="2" t="str">
        <f>IF(TelecomData[[#This Row],[CleanedTotalCharges]]&gt;=2500,"High Spend", "Standard Spend")</f>
        <v>High Spend</v>
      </c>
    </row>
    <row r="1212" spans="1:14" x14ac:dyDescent="0.3">
      <c r="A1212" s="1" t="s">
        <v>1236</v>
      </c>
      <c r="B1212" s="2" t="s">
        <v>19</v>
      </c>
      <c r="C1212" s="2" t="s">
        <v>13</v>
      </c>
      <c r="D1212" s="2">
        <v>17</v>
      </c>
      <c r="E1212" s="2" t="s">
        <v>26</v>
      </c>
      <c r="F1212" s="2" t="s">
        <v>15</v>
      </c>
      <c r="G1212" s="7">
        <v>69</v>
      </c>
      <c r="H1212" s="7">
        <v>1149.6500000000001</v>
      </c>
      <c r="I1212" s="2" t="s">
        <v>16</v>
      </c>
      <c r="J1212" s="2" t="s">
        <v>16</v>
      </c>
      <c r="K1212" s="2" t="s">
        <v>17</v>
      </c>
      <c r="L1212" s="7">
        <v>1149.6500000000001</v>
      </c>
      <c r="M1212" s="2" t="str">
        <f>_xlfn.IFS(TelecomData[[#This Row],[TenureMonths]]&lt;=12, "0-1 Year", TelecomData[[#This Row],[TenureMonths]]&lt;=36, "1-3 Years", TelecomData[[#This Row],[TenureMonths]]&gt;36, "3+ Years")</f>
        <v>1-3 Years</v>
      </c>
      <c r="N1212" s="2" t="str">
        <f>IF(TelecomData[[#This Row],[CleanedTotalCharges]]&gt;=2500,"High Spend", "Standard Spend")</f>
        <v>Standard Spend</v>
      </c>
    </row>
    <row r="1213" spans="1:14" x14ac:dyDescent="0.3">
      <c r="A1213" s="1" t="s">
        <v>1237</v>
      </c>
      <c r="B1213" s="2" t="s">
        <v>12</v>
      </c>
      <c r="C1213" s="2" t="s">
        <v>13</v>
      </c>
      <c r="D1213" s="2">
        <v>11</v>
      </c>
      <c r="E1213" s="2" t="s">
        <v>14</v>
      </c>
      <c r="F1213" s="2" t="s">
        <v>16</v>
      </c>
      <c r="G1213" s="7">
        <v>66.349999999999994</v>
      </c>
      <c r="H1213" s="7">
        <v>740.8</v>
      </c>
      <c r="I1213" s="2" t="s">
        <v>16</v>
      </c>
      <c r="J1213" s="2" t="s">
        <v>16</v>
      </c>
      <c r="K1213" s="2" t="s">
        <v>17</v>
      </c>
      <c r="L1213" s="7">
        <v>740.8</v>
      </c>
      <c r="M1213" s="2" t="str">
        <f>_xlfn.IFS(TelecomData[[#This Row],[TenureMonths]]&lt;=12, "0-1 Year", TelecomData[[#This Row],[TenureMonths]]&lt;=36, "1-3 Years", TelecomData[[#This Row],[TenureMonths]]&gt;36, "3+ Years")</f>
        <v>0-1 Year</v>
      </c>
      <c r="N1213" s="2" t="str">
        <f>IF(TelecomData[[#This Row],[CleanedTotalCharges]]&gt;=2500,"High Spend", "Standard Spend")</f>
        <v>Standard Spend</v>
      </c>
    </row>
    <row r="1214" spans="1:14" x14ac:dyDescent="0.3">
      <c r="A1214" s="1" t="s">
        <v>1238</v>
      </c>
      <c r="B1214" s="2" t="s">
        <v>19</v>
      </c>
      <c r="C1214" s="2" t="s">
        <v>13</v>
      </c>
      <c r="D1214" s="2">
        <v>7</v>
      </c>
      <c r="E1214" s="2" t="s">
        <v>26</v>
      </c>
      <c r="F1214" s="2" t="s">
        <v>15</v>
      </c>
      <c r="G1214" s="7">
        <v>69.55</v>
      </c>
      <c r="H1214" s="7">
        <v>521.35</v>
      </c>
      <c r="I1214" s="2" t="s">
        <v>15</v>
      </c>
      <c r="J1214" s="2" t="s">
        <v>16</v>
      </c>
      <c r="K1214" s="2" t="s">
        <v>17</v>
      </c>
      <c r="L1214" s="7">
        <v>521.35</v>
      </c>
      <c r="M1214" s="2" t="str">
        <f>_xlfn.IFS(TelecomData[[#This Row],[TenureMonths]]&lt;=12, "0-1 Year", TelecomData[[#This Row],[TenureMonths]]&lt;=36, "1-3 Years", TelecomData[[#This Row],[TenureMonths]]&gt;36, "3+ Years")</f>
        <v>0-1 Year</v>
      </c>
      <c r="N1214" s="2" t="str">
        <f>IF(TelecomData[[#This Row],[CleanedTotalCharges]]&gt;=2500,"High Spend", "Standard Spend")</f>
        <v>Standard Spend</v>
      </c>
    </row>
    <row r="1215" spans="1:14" x14ac:dyDescent="0.3">
      <c r="A1215" s="1" t="s">
        <v>1239</v>
      </c>
      <c r="B1215" s="2" t="s">
        <v>12</v>
      </c>
      <c r="C1215" s="2" t="s">
        <v>35</v>
      </c>
      <c r="D1215" s="2">
        <v>69</v>
      </c>
      <c r="E1215" s="2" t="s">
        <v>15</v>
      </c>
      <c r="F1215" s="2" t="s">
        <v>36</v>
      </c>
      <c r="G1215" s="7">
        <v>20.2</v>
      </c>
      <c r="H1215" s="7">
        <v>1412.65</v>
      </c>
      <c r="I1215" s="2" t="s">
        <v>15</v>
      </c>
      <c r="J1215" s="2" t="s">
        <v>15</v>
      </c>
      <c r="K1215" s="2" t="s">
        <v>24</v>
      </c>
      <c r="L1215" s="7">
        <v>1412.65</v>
      </c>
      <c r="M1215" s="2" t="str">
        <f>_xlfn.IFS(TelecomData[[#This Row],[TenureMonths]]&lt;=12, "0-1 Year", TelecomData[[#This Row],[TenureMonths]]&lt;=36, "1-3 Years", TelecomData[[#This Row],[TenureMonths]]&gt;36, "3+ Years")</f>
        <v>3+ Years</v>
      </c>
      <c r="N1215" s="2" t="str">
        <f>IF(TelecomData[[#This Row],[CleanedTotalCharges]]&gt;=2500,"High Spend", "Standard Spend")</f>
        <v>Standard Spend</v>
      </c>
    </row>
    <row r="1216" spans="1:14" x14ac:dyDescent="0.3">
      <c r="A1216" s="1" t="s">
        <v>1240</v>
      </c>
      <c r="B1216" s="2" t="s">
        <v>19</v>
      </c>
      <c r="C1216" s="2" t="s">
        <v>13</v>
      </c>
      <c r="D1216" s="2">
        <v>19</v>
      </c>
      <c r="E1216" s="2" t="s">
        <v>26</v>
      </c>
      <c r="F1216" s="2" t="s">
        <v>15</v>
      </c>
      <c r="G1216" s="7">
        <v>86</v>
      </c>
      <c r="H1216" s="7">
        <v>1532.45</v>
      </c>
      <c r="I1216" s="2" t="s">
        <v>16</v>
      </c>
      <c r="J1216" s="2" t="s">
        <v>16</v>
      </c>
      <c r="K1216" s="2" t="s">
        <v>24</v>
      </c>
      <c r="L1216" s="7">
        <v>1532.45</v>
      </c>
      <c r="M1216" s="2" t="str">
        <f>_xlfn.IFS(TelecomData[[#This Row],[TenureMonths]]&lt;=12, "0-1 Year", TelecomData[[#This Row],[TenureMonths]]&lt;=36, "1-3 Years", TelecomData[[#This Row],[TenureMonths]]&gt;36, "3+ Years")</f>
        <v>1-3 Years</v>
      </c>
      <c r="N1216" s="2" t="str">
        <f>IF(TelecomData[[#This Row],[CleanedTotalCharges]]&gt;=2500,"High Spend", "Standard Spend")</f>
        <v>Standard Spend</v>
      </c>
    </row>
    <row r="1217" spans="1:14" x14ac:dyDescent="0.3">
      <c r="A1217" s="1" t="s">
        <v>1241</v>
      </c>
      <c r="B1217" s="2" t="s">
        <v>12</v>
      </c>
      <c r="C1217" s="2" t="s">
        <v>13</v>
      </c>
      <c r="D1217" s="2">
        <v>3</v>
      </c>
      <c r="E1217" s="2" t="s">
        <v>26</v>
      </c>
      <c r="F1217" s="2" t="s">
        <v>15</v>
      </c>
      <c r="G1217" s="7">
        <v>80.3</v>
      </c>
      <c r="H1217" s="7">
        <v>250.05</v>
      </c>
      <c r="I1217" s="2" t="s">
        <v>16</v>
      </c>
      <c r="J1217" s="2" t="s">
        <v>16</v>
      </c>
      <c r="K1217" s="2" t="s">
        <v>17</v>
      </c>
      <c r="L1217" s="7">
        <v>250.05</v>
      </c>
      <c r="M1217" s="2" t="str">
        <f>_xlfn.IFS(TelecomData[[#This Row],[TenureMonths]]&lt;=12, "0-1 Year", TelecomData[[#This Row],[TenureMonths]]&lt;=36, "1-3 Years", TelecomData[[#This Row],[TenureMonths]]&gt;36, "3+ Years")</f>
        <v>0-1 Year</v>
      </c>
      <c r="N1217" s="2" t="str">
        <f>IF(TelecomData[[#This Row],[CleanedTotalCharges]]&gt;=2500,"High Spend", "Standard Spend")</f>
        <v>Standard Spend</v>
      </c>
    </row>
    <row r="1218" spans="1:14" x14ac:dyDescent="0.3">
      <c r="A1218" s="1" t="s">
        <v>1242</v>
      </c>
      <c r="B1218" s="2" t="s">
        <v>19</v>
      </c>
      <c r="C1218" s="2" t="s">
        <v>35</v>
      </c>
      <c r="D1218" s="2">
        <v>54</v>
      </c>
      <c r="E1218" s="2" t="s">
        <v>15</v>
      </c>
      <c r="F1218" s="2" t="s">
        <v>36</v>
      </c>
      <c r="G1218" s="7">
        <v>20.399999999999999</v>
      </c>
      <c r="H1218" s="7">
        <v>1090.5999999999999</v>
      </c>
      <c r="I1218" s="2" t="s">
        <v>15</v>
      </c>
      <c r="J1218" s="2" t="s">
        <v>15</v>
      </c>
      <c r="K1218" s="2" t="s">
        <v>29</v>
      </c>
      <c r="L1218" s="7">
        <v>1090.5999999999999</v>
      </c>
      <c r="M1218" s="2" t="str">
        <f>_xlfn.IFS(TelecomData[[#This Row],[TenureMonths]]&lt;=12, "0-1 Year", TelecomData[[#This Row],[TenureMonths]]&lt;=36, "1-3 Years", TelecomData[[#This Row],[TenureMonths]]&gt;36, "3+ Years")</f>
        <v>3+ Years</v>
      </c>
      <c r="N1218" s="2" t="str">
        <f>IF(TelecomData[[#This Row],[CleanedTotalCharges]]&gt;=2500,"High Spend", "Standard Spend")</f>
        <v>Standard Spend</v>
      </c>
    </row>
    <row r="1219" spans="1:14" x14ac:dyDescent="0.3">
      <c r="A1219" s="1" t="s">
        <v>1243</v>
      </c>
      <c r="B1219" s="2" t="s">
        <v>19</v>
      </c>
      <c r="C1219" s="2" t="s">
        <v>20</v>
      </c>
      <c r="D1219" s="2">
        <v>62</v>
      </c>
      <c r="E1219" s="2" t="s">
        <v>15</v>
      </c>
      <c r="F1219" s="2" t="s">
        <v>36</v>
      </c>
      <c r="G1219" s="7">
        <v>23.75</v>
      </c>
      <c r="H1219" s="7">
        <v>1446.8</v>
      </c>
      <c r="I1219" s="2" t="s">
        <v>15</v>
      </c>
      <c r="J1219" s="2" t="s">
        <v>16</v>
      </c>
      <c r="K1219" s="2" t="s">
        <v>29</v>
      </c>
      <c r="L1219" s="7">
        <v>1446.8</v>
      </c>
      <c r="M1219" s="2" t="str">
        <f>_xlfn.IFS(TelecomData[[#This Row],[TenureMonths]]&lt;=12, "0-1 Year", TelecomData[[#This Row],[TenureMonths]]&lt;=36, "1-3 Years", TelecomData[[#This Row],[TenureMonths]]&gt;36, "3+ Years")</f>
        <v>3+ Years</v>
      </c>
      <c r="N1219" s="2" t="str">
        <f>IF(TelecomData[[#This Row],[CleanedTotalCharges]]&gt;=2500,"High Spend", "Standard Spend")</f>
        <v>Standard Spend</v>
      </c>
    </row>
    <row r="1220" spans="1:14" x14ac:dyDescent="0.3">
      <c r="A1220" s="1" t="s">
        <v>1244</v>
      </c>
      <c r="B1220" s="2" t="s">
        <v>19</v>
      </c>
      <c r="C1220" s="2" t="s">
        <v>13</v>
      </c>
      <c r="D1220" s="2">
        <v>24</v>
      </c>
      <c r="E1220" s="2" t="s">
        <v>26</v>
      </c>
      <c r="F1220" s="2" t="s">
        <v>15</v>
      </c>
      <c r="G1220" s="7">
        <v>90.55</v>
      </c>
      <c r="H1220" s="7">
        <v>2282.5500000000002</v>
      </c>
      <c r="I1220" s="2" t="s">
        <v>16</v>
      </c>
      <c r="J1220" s="2" t="s">
        <v>16</v>
      </c>
      <c r="K1220" s="2" t="s">
        <v>29</v>
      </c>
      <c r="L1220" s="7">
        <v>2282.5500000000002</v>
      </c>
      <c r="M1220" s="2" t="str">
        <f>_xlfn.IFS(TelecomData[[#This Row],[TenureMonths]]&lt;=12, "0-1 Year", TelecomData[[#This Row],[TenureMonths]]&lt;=36, "1-3 Years", TelecomData[[#This Row],[TenureMonths]]&gt;36, "3+ Years")</f>
        <v>1-3 Years</v>
      </c>
      <c r="N1220" s="2" t="str">
        <f>IF(TelecomData[[#This Row],[CleanedTotalCharges]]&gt;=2500,"High Spend", "Standard Spend")</f>
        <v>Standard Spend</v>
      </c>
    </row>
    <row r="1221" spans="1:14" x14ac:dyDescent="0.3">
      <c r="A1221" s="1" t="s">
        <v>1245</v>
      </c>
      <c r="B1221" s="2" t="s">
        <v>12</v>
      </c>
      <c r="C1221" s="2" t="s">
        <v>13</v>
      </c>
      <c r="D1221" s="2">
        <v>62</v>
      </c>
      <c r="E1221" s="2" t="s">
        <v>14</v>
      </c>
      <c r="F1221" s="2" t="s">
        <v>15</v>
      </c>
      <c r="G1221" s="7">
        <v>70.45</v>
      </c>
      <c r="H1221" s="7">
        <v>4300.45</v>
      </c>
      <c r="I1221" s="2" t="s">
        <v>15</v>
      </c>
      <c r="J1221" s="2" t="s">
        <v>16</v>
      </c>
      <c r="K1221" s="2" t="s">
        <v>29</v>
      </c>
      <c r="L1221" s="7">
        <v>4300.45</v>
      </c>
      <c r="M1221" s="2" t="str">
        <f>_xlfn.IFS(TelecomData[[#This Row],[TenureMonths]]&lt;=12, "0-1 Year", TelecomData[[#This Row],[TenureMonths]]&lt;=36, "1-3 Years", TelecomData[[#This Row],[TenureMonths]]&gt;36, "3+ Years")</f>
        <v>3+ Years</v>
      </c>
      <c r="N1221" s="2" t="str">
        <f>IF(TelecomData[[#This Row],[CleanedTotalCharges]]&gt;=2500,"High Spend", "Standard Spend")</f>
        <v>High Spend</v>
      </c>
    </row>
    <row r="1222" spans="1:14" x14ac:dyDescent="0.3">
      <c r="A1222" s="1" t="s">
        <v>1246</v>
      </c>
      <c r="B1222" s="2" t="s">
        <v>19</v>
      </c>
      <c r="C1222" s="2" t="s">
        <v>13</v>
      </c>
      <c r="D1222" s="2">
        <v>17</v>
      </c>
      <c r="E1222" s="2" t="s">
        <v>14</v>
      </c>
      <c r="F1222" s="2" t="s">
        <v>15</v>
      </c>
      <c r="G1222" s="7">
        <v>65.75</v>
      </c>
      <c r="H1222" s="7">
        <v>1111.2</v>
      </c>
      <c r="I1222" s="2" t="s">
        <v>15</v>
      </c>
      <c r="J1222" s="2" t="s">
        <v>15</v>
      </c>
      <c r="K1222" s="2" t="s">
        <v>24</v>
      </c>
      <c r="L1222" s="7">
        <v>1111.2</v>
      </c>
      <c r="M1222" s="2" t="str">
        <f>_xlfn.IFS(TelecomData[[#This Row],[TenureMonths]]&lt;=12, "0-1 Year", TelecomData[[#This Row],[TenureMonths]]&lt;=36, "1-3 Years", TelecomData[[#This Row],[TenureMonths]]&gt;36, "3+ Years")</f>
        <v>1-3 Years</v>
      </c>
      <c r="N1222" s="2" t="str">
        <f>IF(TelecomData[[#This Row],[CleanedTotalCharges]]&gt;=2500,"High Spend", "Standard Spend")</f>
        <v>Standard Spend</v>
      </c>
    </row>
    <row r="1223" spans="1:14" x14ac:dyDescent="0.3">
      <c r="A1223" s="1" t="s">
        <v>1247</v>
      </c>
      <c r="B1223" s="2" t="s">
        <v>19</v>
      </c>
      <c r="C1223" s="2" t="s">
        <v>13</v>
      </c>
      <c r="D1223" s="2">
        <v>9</v>
      </c>
      <c r="E1223" s="2" t="s">
        <v>14</v>
      </c>
      <c r="F1223" s="2" t="s">
        <v>15</v>
      </c>
      <c r="G1223" s="7">
        <v>24.6</v>
      </c>
      <c r="H1223" s="7">
        <v>190.1</v>
      </c>
      <c r="I1223" s="2" t="s">
        <v>15</v>
      </c>
      <c r="J1223" s="2" t="s">
        <v>16</v>
      </c>
      <c r="K1223" s="2" t="s">
        <v>21</v>
      </c>
      <c r="L1223" s="7">
        <v>190.1</v>
      </c>
      <c r="M1223" s="2" t="str">
        <f>_xlfn.IFS(TelecomData[[#This Row],[TenureMonths]]&lt;=12, "0-1 Year", TelecomData[[#This Row],[TenureMonths]]&lt;=36, "1-3 Years", TelecomData[[#This Row],[TenureMonths]]&gt;36, "3+ Years")</f>
        <v>0-1 Year</v>
      </c>
      <c r="N1223" s="2" t="str">
        <f>IF(TelecomData[[#This Row],[CleanedTotalCharges]]&gt;=2500,"High Spend", "Standard Spend")</f>
        <v>Standard Spend</v>
      </c>
    </row>
    <row r="1224" spans="1:14" x14ac:dyDescent="0.3">
      <c r="A1224" s="1" t="s">
        <v>1248</v>
      </c>
      <c r="B1224" s="2" t="s">
        <v>19</v>
      </c>
      <c r="C1224" s="2" t="s">
        <v>35</v>
      </c>
      <c r="D1224" s="2">
        <v>64</v>
      </c>
      <c r="E1224" s="2" t="s">
        <v>14</v>
      </c>
      <c r="F1224" s="2" t="s">
        <v>16</v>
      </c>
      <c r="G1224" s="7">
        <v>69.25</v>
      </c>
      <c r="H1224" s="7">
        <v>4447.75</v>
      </c>
      <c r="I1224" s="2" t="s">
        <v>15</v>
      </c>
      <c r="J1224" s="2" t="s">
        <v>15</v>
      </c>
      <c r="K1224" s="2" t="s">
        <v>21</v>
      </c>
      <c r="L1224" s="7">
        <v>4447.75</v>
      </c>
      <c r="M1224" s="2" t="str">
        <f>_xlfn.IFS(TelecomData[[#This Row],[TenureMonths]]&lt;=12, "0-1 Year", TelecomData[[#This Row],[TenureMonths]]&lt;=36, "1-3 Years", TelecomData[[#This Row],[TenureMonths]]&gt;36, "3+ Years")</f>
        <v>3+ Years</v>
      </c>
      <c r="N1224" s="2" t="str">
        <f>IF(TelecomData[[#This Row],[CleanedTotalCharges]]&gt;=2500,"High Spend", "Standard Spend")</f>
        <v>High Spend</v>
      </c>
    </row>
    <row r="1225" spans="1:14" x14ac:dyDescent="0.3">
      <c r="A1225" s="1" t="s">
        <v>1249</v>
      </c>
      <c r="B1225" s="2" t="s">
        <v>12</v>
      </c>
      <c r="C1225" s="2" t="s">
        <v>13</v>
      </c>
      <c r="D1225" s="2">
        <v>2</v>
      </c>
      <c r="E1225" s="2" t="s">
        <v>26</v>
      </c>
      <c r="F1225" s="2" t="s">
        <v>15</v>
      </c>
      <c r="G1225" s="7">
        <v>75.900000000000006</v>
      </c>
      <c r="H1225" s="7">
        <v>143.35</v>
      </c>
      <c r="I1225" s="2" t="s">
        <v>16</v>
      </c>
      <c r="J1225" s="2" t="s">
        <v>16</v>
      </c>
      <c r="K1225" s="2" t="s">
        <v>17</v>
      </c>
      <c r="L1225" s="7">
        <v>143.35</v>
      </c>
      <c r="M1225" s="2" t="str">
        <f>_xlfn.IFS(TelecomData[[#This Row],[TenureMonths]]&lt;=12, "0-1 Year", TelecomData[[#This Row],[TenureMonths]]&lt;=36, "1-3 Years", TelecomData[[#This Row],[TenureMonths]]&gt;36, "3+ Years")</f>
        <v>0-1 Year</v>
      </c>
      <c r="N1225" s="2" t="str">
        <f>IF(TelecomData[[#This Row],[CleanedTotalCharges]]&gt;=2500,"High Spend", "Standard Spend")</f>
        <v>Standard Spend</v>
      </c>
    </row>
    <row r="1226" spans="1:14" x14ac:dyDescent="0.3">
      <c r="A1226" s="1" t="s">
        <v>1250</v>
      </c>
      <c r="B1226" s="2" t="s">
        <v>19</v>
      </c>
      <c r="C1226" s="2" t="s">
        <v>13</v>
      </c>
      <c r="D1226" s="2">
        <v>1</v>
      </c>
      <c r="E1226" s="2" t="s">
        <v>14</v>
      </c>
      <c r="F1226" s="2" t="s">
        <v>15</v>
      </c>
      <c r="G1226" s="7">
        <v>45.85</v>
      </c>
      <c r="H1226" s="7">
        <v>45.85</v>
      </c>
      <c r="I1226" s="2" t="s">
        <v>16</v>
      </c>
      <c r="J1226" s="2" t="s">
        <v>16</v>
      </c>
      <c r="K1226" s="2" t="s">
        <v>21</v>
      </c>
      <c r="L1226" s="7">
        <v>45.85</v>
      </c>
      <c r="M1226" s="2" t="str">
        <f>_xlfn.IFS(TelecomData[[#This Row],[TenureMonths]]&lt;=12, "0-1 Year", TelecomData[[#This Row],[TenureMonths]]&lt;=36, "1-3 Years", TelecomData[[#This Row],[TenureMonths]]&gt;36, "3+ Years")</f>
        <v>0-1 Year</v>
      </c>
      <c r="N1226" s="2" t="str">
        <f>IF(TelecomData[[#This Row],[CleanedTotalCharges]]&gt;=2500,"High Spend", "Standard Spend")</f>
        <v>Standard Spend</v>
      </c>
    </row>
    <row r="1227" spans="1:14" x14ac:dyDescent="0.3">
      <c r="A1227" s="1" t="s">
        <v>1251</v>
      </c>
      <c r="B1227" s="2" t="s">
        <v>12</v>
      </c>
      <c r="C1227" s="2" t="s">
        <v>13</v>
      </c>
      <c r="D1227" s="2">
        <v>16</v>
      </c>
      <c r="E1227" s="2" t="s">
        <v>14</v>
      </c>
      <c r="F1227" s="2" t="s">
        <v>16</v>
      </c>
      <c r="G1227" s="7">
        <v>49.95</v>
      </c>
      <c r="H1227" s="7">
        <v>810.2</v>
      </c>
      <c r="I1227" s="2" t="s">
        <v>16</v>
      </c>
      <c r="J1227" s="2" t="s">
        <v>16</v>
      </c>
      <c r="K1227" s="2" t="s">
        <v>17</v>
      </c>
      <c r="L1227" s="7">
        <v>810.2</v>
      </c>
      <c r="M1227" s="2" t="str">
        <f>_xlfn.IFS(TelecomData[[#This Row],[TenureMonths]]&lt;=12, "0-1 Year", TelecomData[[#This Row],[TenureMonths]]&lt;=36, "1-3 Years", TelecomData[[#This Row],[TenureMonths]]&gt;36, "3+ Years")</f>
        <v>1-3 Years</v>
      </c>
      <c r="N1227" s="2" t="str">
        <f>IF(TelecomData[[#This Row],[CleanedTotalCharges]]&gt;=2500,"High Spend", "Standard Spend")</f>
        <v>Standard Spend</v>
      </c>
    </row>
    <row r="1228" spans="1:14" x14ac:dyDescent="0.3">
      <c r="A1228" s="1" t="s">
        <v>1252</v>
      </c>
      <c r="B1228" s="2" t="s">
        <v>12</v>
      </c>
      <c r="C1228" s="2" t="s">
        <v>35</v>
      </c>
      <c r="D1228" s="2">
        <v>72</v>
      </c>
      <c r="E1228" s="2" t="s">
        <v>15</v>
      </c>
      <c r="F1228" s="2" t="s">
        <v>36</v>
      </c>
      <c r="G1228" s="7">
        <v>24.65</v>
      </c>
      <c r="H1228" s="7">
        <v>1830.05</v>
      </c>
      <c r="I1228" s="2" t="s">
        <v>15</v>
      </c>
      <c r="J1228" s="2" t="s">
        <v>15</v>
      </c>
      <c r="K1228" s="2" t="s">
        <v>24</v>
      </c>
      <c r="L1228" s="7">
        <v>1830.05</v>
      </c>
      <c r="M1228" s="2" t="str">
        <f>_xlfn.IFS(TelecomData[[#This Row],[TenureMonths]]&lt;=12, "0-1 Year", TelecomData[[#This Row],[TenureMonths]]&lt;=36, "1-3 Years", TelecomData[[#This Row],[TenureMonths]]&gt;36, "3+ Years")</f>
        <v>3+ Years</v>
      </c>
      <c r="N1228" s="2" t="str">
        <f>IF(TelecomData[[#This Row],[CleanedTotalCharges]]&gt;=2500,"High Spend", "Standard Spend")</f>
        <v>Standard Spend</v>
      </c>
    </row>
    <row r="1229" spans="1:14" x14ac:dyDescent="0.3">
      <c r="A1229" s="1" t="s">
        <v>1253</v>
      </c>
      <c r="B1229" s="2" t="s">
        <v>19</v>
      </c>
      <c r="C1229" s="2" t="s">
        <v>20</v>
      </c>
      <c r="D1229" s="2">
        <v>30</v>
      </c>
      <c r="E1229" s="2" t="s">
        <v>26</v>
      </c>
      <c r="F1229" s="2" t="s">
        <v>15</v>
      </c>
      <c r="G1229" s="7">
        <v>90.4</v>
      </c>
      <c r="H1229" s="7">
        <v>2820.65</v>
      </c>
      <c r="I1229" s="2" t="s">
        <v>15</v>
      </c>
      <c r="J1229" s="2" t="s">
        <v>15</v>
      </c>
      <c r="K1229" s="2" t="s">
        <v>24</v>
      </c>
      <c r="L1229" s="7">
        <v>2820.65</v>
      </c>
      <c r="M1229" s="2" t="str">
        <f>_xlfn.IFS(TelecomData[[#This Row],[TenureMonths]]&lt;=12, "0-1 Year", TelecomData[[#This Row],[TenureMonths]]&lt;=36, "1-3 Years", TelecomData[[#This Row],[TenureMonths]]&gt;36, "3+ Years")</f>
        <v>1-3 Years</v>
      </c>
      <c r="N1229" s="2" t="str">
        <f>IF(TelecomData[[#This Row],[CleanedTotalCharges]]&gt;=2500,"High Spend", "Standard Spend")</f>
        <v>High Spend</v>
      </c>
    </row>
    <row r="1230" spans="1:14" x14ac:dyDescent="0.3">
      <c r="A1230" s="1" t="s">
        <v>1254</v>
      </c>
      <c r="B1230" s="2" t="s">
        <v>12</v>
      </c>
      <c r="C1230" s="2" t="s">
        <v>13</v>
      </c>
      <c r="D1230" s="2">
        <v>49</v>
      </c>
      <c r="E1230" s="2" t="s">
        <v>26</v>
      </c>
      <c r="F1230" s="2" t="s">
        <v>15</v>
      </c>
      <c r="G1230" s="7">
        <v>100.85</v>
      </c>
      <c r="H1230" s="7">
        <v>4847.3500000000004</v>
      </c>
      <c r="I1230" s="2" t="s">
        <v>15</v>
      </c>
      <c r="J1230" s="2" t="s">
        <v>16</v>
      </c>
      <c r="K1230" s="2" t="s">
        <v>21</v>
      </c>
      <c r="L1230" s="7">
        <v>4847.3500000000004</v>
      </c>
      <c r="M1230" s="2" t="str">
        <f>_xlfn.IFS(TelecomData[[#This Row],[TenureMonths]]&lt;=12, "0-1 Year", TelecomData[[#This Row],[TenureMonths]]&lt;=36, "1-3 Years", TelecomData[[#This Row],[TenureMonths]]&gt;36, "3+ Years")</f>
        <v>3+ Years</v>
      </c>
      <c r="N1230" s="2" t="str">
        <f>IF(TelecomData[[#This Row],[CleanedTotalCharges]]&gt;=2500,"High Spend", "Standard Spend")</f>
        <v>High Spend</v>
      </c>
    </row>
    <row r="1231" spans="1:14" x14ac:dyDescent="0.3">
      <c r="A1231" s="1" t="s">
        <v>1255</v>
      </c>
      <c r="B1231" s="2" t="s">
        <v>19</v>
      </c>
      <c r="C1231" s="2" t="s">
        <v>35</v>
      </c>
      <c r="D1231" s="2">
        <v>61</v>
      </c>
      <c r="E1231" s="2" t="s">
        <v>14</v>
      </c>
      <c r="F1231" s="2" t="s">
        <v>16</v>
      </c>
      <c r="G1231" s="7">
        <v>75.349999999999994</v>
      </c>
      <c r="H1231" s="7">
        <v>4729.3</v>
      </c>
      <c r="I1231" s="2" t="s">
        <v>15</v>
      </c>
      <c r="J1231" s="2" t="s">
        <v>15</v>
      </c>
      <c r="K1231" s="2" t="s">
        <v>29</v>
      </c>
      <c r="L1231" s="7">
        <v>4729.3</v>
      </c>
      <c r="M1231" s="2" t="str">
        <f>_xlfn.IFS(TelecomData[[#This Row],[TenureMonths]]&lt;=12, "0-1 Year", TelecomData[[#This Row],[TenureMonths]]&lt;=36, "1-3 Years", TelecomData[[#This Row],[TenureMonths]]&gt;36, "3+ Years")</f>
        <v>3+ Years</v>
      </c>
      <c r="N1231" s="2" t="str">
        <f>IF(TelecomData[[#This Row],[CleanedTotalCharges]]&gt;=2500,"High Spend", "Standard Spend")</f>
        <v>High Spend</v>
      </c>
    </row>
    <row r="1232" spans="1:14" x14ac:dyDescent="0.3">
      <c r="A1232" s="1" t="s">
        <v>1256</v>
      </c>
      <c r="B1232" s="2" t="s">
        <v>19</v>
      </c>
      <c r="C1232" s="2" t="s">
        <v>13</v>
      </c>
      <c r="D1232" s="2">
        <v>47</v>
      </c>
      <c r="E1232" s="2" t="s">
        <v>26</v>
      </c>
      <c r="F1232" s="2" t="s">
        <v>15</v>
      </c>
      <c r="G1232" s="7">
        <v>87.2</v>
      </c>
      <c r="H1232" s="7">
        <v>4017.45</v>
      </c>
      <c r="I1232" s="2" t="s">
        <v>15</v>
      </c>
      <c r="J1232" s="2" t="s">
        <v>15</v>
      </c>
      <c r="K1232" s="2" t="s">
        <v>17</v>
      </c>
      <c r="L1232" s="7">
        <v>4017.45</v>
      </c>
      <c r="M1232" s="2" t="str">
        <f>_xlfn.IFS(TelecomData[[#This Row],[TenureMonths]]&lt;=12, "0-1 Year", TelecomData[[#This Row],[TenureMonths]]&lt;=36, "1-3 Years", TelecomData[[#This Row],[TenureMonths]]&gt;36, "3+ Years")</f>
        <v>3+ Years</v>
      </c>
      <c r="N1232" s="2" t="str">
        <f>IF(TelecomData[[#This Row],[CleanedTotalCharges]]&gt;=2500,"High Spend", "Standard Spend")</f>
        <v>High Spend</v>
      </c>
    </row>
    <row r="1233" spans="1:14" x14ac:dyDescent="0.3">
      <c r="A1233" s="1" t="s">
        <v>1257</v>
      </c>
      <c r="B1233" s="2" t="s">
        <v>19</v>
      </c>
      <c r="C1233" s="2" t="s">
        <v>13</v>
      </c>
      <c r="D1233" s="2">
        <v>20</v>
      </c>
      <c r="E1233" s="2" t="s">
        <v>14</v>
      </c>
      <c r="F1233" s="2" t="s">
        <v>15</v>
      </c>
      <c r="G1233" s="7">
        <v>64.400000000000006</v>
      </c>
      <c r="H1233" s="7">
        <v>1398.6</v>
      </c>
      <c r="I1233" s="2" t="s">
        <v>15</v>
      </c>
      <c r="J1233" s="2" t="s">
        <v>15</v>
      </c>
      <c r="K1233" s="2" t="s">
        <v>29</v>
      </c>
      <c r="L1233" s="7">
        <v>1398.6</v>
      </c>
      <c r="M1233" s="2" t="str">
        <f>_xlfn.IFS(TelecomData[[#This Row],[TenureMonths]]&lt;=12, "0-1 Year", TelecomData[[#This Row],[TenureMonths]]&lt;=36, "1-3 Years", TelecomData[[#This Row],[TenureMonths]]&gt;36, "3+ Years")</f>
        <v>1-3 Years</v>
      </c>
      <c r="N1233" s="2" t="str">
        <f>IF(TelecomData[[#This Row],[CleanedTotalCharges]]&gt;=2500,"High Spend", "Standard Spend")</f>
        <v>Standard Spend</v>
      </c>
    </row>
    <row r="1234" spans="1:14" x14ac:dyDescent="0.3">
      <c r="A1234" s="1" t="s">
        <v>1258</v>
      </c>
      <c r="B1234" s="2" t="s">
        <v>19</v>
      </c>
      <c r="C1234" s="2" t="s">
        <v>13</v>
      </c>
      <c r="D1234" s="2">
        <v>34</v>
      </c>
      <c r="E1234" s="2" t="s">
        <v>26</v>
      </c>
      <c r="F1234" s="2" t="s">
        <v>15</v>
      </c>
      <c r="G1234" s="7">
        <v>78.3</v>
      </c>
      <c r="H1234" s="7">
        <v>2564.3000000000002</v>
      </c>
      <c r="I1234" s="2" t="s">
        <v>16</v>
      </c>
      <c r="J1234" s="2" t="s">
        <v>15</v>
      </c>
      <c r="K1234" s="2" t="s">
        <v>17</v>
      </c>
      <c r="L1234" s="7">
        <v>2564.3000000000002</v>
      </c>
      <c r="M1234" s="2" t="str">
        <f>_xlfn.IFS(TelecomData[[#This Row],[TenureMonths]]&lt;=12, "0-1 Year", TelecomData[[#This Row],[TenureMonths]]&lt;=36, "1-3 Years", TelecomData[[#This Row],[TenureMonths]]&gt;36, "3+ Years")</f>
        <v>1-3 Years</v>
      </c>
      <c r="N1234" s="2" t="str">
        <f>IF(TelecomData[[#This Row],[CleanedTotalCharges]]&gt;=2500,"High Spend", "Standard Spend")</f>
        <v>High Spend</v>
      </c>
    </row>
    <row r="1235" spans="1:14" x14ac:dyDescent="0.3">
      <c r="A1235" s="1" t="s">
        <v>1259</v>
      </c>
      <c r="B1235" s="2" t="s">
        <v>12</v>
      </c>
      <c r="C1235" s="2" t="s">
        <v>35</v>
      </c>
      <c r="D1235" s="2">
        <v>70</v>
      </c>
      <c r="E1235" s="2" t="s">
        <v>15</v>
      </c>
      <c r="F1235" s="2" t="s">
        <v>36</v>
      </c>
      <c r="G1235" s="7">
        <v>24.7</v>
      </c>
      <c r="H1235" s="7">
        <v>1685.9</v>
      </c>
      <c r="I1235" s="2" t="s">
        <v>15</v>
      </c>
      <c r="J1235" s="2" t="s">
        <v>15</v>
      </c>
      <c r="K1235" s="2" t="s">
        <v>24</v>
      </c>
      <c r="L1235" s="7">
        <v>1685.9</v>
      </c>
      <c r="M1235" s="2" t="str">
        <f>_xlfn.IFS(TelecomData[[#This Row],[TenureMonths]]&lt;=12, "0-1 Year", TelecomData[[#This Row],[TenureMonths]]&lt;=36, "1-3 Years", TelecomData[[#This Row],[TenureMonths]]&gt;36, "3+ Years")</f>
        <v>3+ Years</v>
      </c>
      <c r="N1235" s="2" t="str">
        <f>IF(TelecomData[[#This Row],[CleanedTotalCharges]]&gt;=2500,"High Spend", "Standard Spend")</f>
        <v>Standard Spend</v>
      </c>
    </row>
    <row r="1236" spans="1:14" x14ac:dyDescent="0.3">
      <c r="A1236" s="1" t="s">
        <v>1260</v>
      </c>
      <c r="B1236" s="2" t="s">
        <v>19</v>
      </c>
      <c r="C1236" s="2" t="s">
        <v>20</v>
      </c>
      <c r="D1236" s="2">
        <v>54</v>
      </c>
      <c r="E1236" s="2" t="s">
        <v>26</v>
      </c>
      <c r="F1236" s="2" t="s">
        <v>16</v>
      </c>
      <c r="G1236" s="7">
        <v>105.85</v>
      </c>
      <c r="H1236" s="7">
        <v>5826.65</v>
      </c>
      <c r="I1236" s="2" t="s">
        <v>15</v>
      </c>
      <c r="J1236" s="2" t="s">
        <v>16</v>
      </c>
      <c r="K1236" s="2" t="s">
        <v>17</v>
      </c>
      <c r="L1236" s="7">
        <v>5826.65</v>
      </c>
      <c r="M1236" s="2" t="str">
        <f>_xlfn.IFS(TelecomData[[#This Row],[TenureMonths]]&lt;=12, "0-1 Year", TelecomData[[#This Row],[TenureMonths]]&lt;=36, "1-3 Years", TelecomData[[#This Row],[TenureMonths]]&gt;36, "3+ Years")</f>
        <v>3+ Years</v>
      </c>
      <c r="N1236" s="2" t="str">
        <f>IF(TelecomData[[#This Row],[CleanedTotalCharges]]&gt;=2500,"High Spend", "Standard Spend")</f>
        <v>High Spend</v>
      </c>
    </row>
    <row r="1237" spans="1:14" x14ac:dyDescent="0.3">
      <c r="A1237" s="1" t="s">
        <v>1261</v>
      </c>
      <c r="B1237" s="2" t="s">
        <v>19</v>
      </c>
      <c r="C1237" s="2" t="s">
        <v>20</v>
      </c>
      <c r="D1237" s="2">
        <v>61</v>
      </c>
      <c r="E1237" s="2" t="s">
        <v>26</v>
      </c>
      <c r="F1237" s="2" t="s">
        <v>16</v>
      </c>
      <c r="G1237" s="7">
        <v>98.3</v>
      </c>
      <c r="H1237" s="7">
        <v>6066.55</v>
      </c>
      <c r="I1237" s="2" t="s">
        <v>15</v>
      </c>
      <c r="J1237" s="2" t="s">
        <v>16</v>
      </c>
      <c r="K1237" s="2" t="s">
        <v>21</v>
      </c>
      <c r="L1237" s="7">
        <v>6066.55</v>
      </c>
      <c r="M1237" s="2" t="str">
        <f>_xlfn.IFS(TelecomData[[#This Row],[TenureMonths]]&lt;=12, "0-1 Year", TelecomData[[#This Row],[TenureMonths]]&lt;=36, "1-3 Years", TelecomData[[#This Row],[TenureMonths]]&gt;36, "3+ Years")</f>
        <v>3+ Years</v>
      </c>
      <c r="N1237" s="2" t="str">
        <f>IF(TelecomData[[#This Row],[CleanedTotalCharges]]&gt;=2500,"High Spend", "Standard Spend")</f>
        <v>High Spend</v>
      </c>
    </row>
    <row r="1238" spans="1:14" x14ac:dyDescent="0.3">
      <c r="A1238" s="1" t="s">
        <v>1262</v>
      </c>
      <c r="B1238" s="2" t="s">
        <v>19</v>
      </c>
      <c r="C1238" s="2" t="s">
        <v>13</v>
      </c>
      <c r="D1238" s="2">
        <v>3</v>
      </c>
      <c r="E1238" s="2" t="s">
        <v>26</v>
      </c>
      <c r="F1238" s="2" t="s">
        <v>15</v>
      </c>
      <c r="G1238" s="7">
        <v>76.95</v>
      </c>
      <c r="H1238" s="7">
        <v>228.4</v>
      </c>
      <c r="I1238" s="2" t="s">
        <v>16</v>
      </c>
      <c r="J1238" s="2" t="s">
        <v>16</v>
      </c>
      <c r="K1238" s="2" t="s">
        <v>17</v>
      </c>
      <c r="L1238" s="7">
        <v>228.4</v>
      </c>
      <c r="M1238" s="2" t="str">
        <f>_xlfn.IFS(TelecomData[[#This Row],[TenureMonths]]&lt;=12, "0-1 Year", TelecomData[[#This Row],[TenureMonths]]&lt;=36, "1-3 Years", TelecomData[[#This Row],[TenureMonths]]&gt;36, "3+ Years")</f>
        <v>0-1 Year</v>
      </c>
      <c r="N1238" s="2" t="str">
        <f>IF(TelecomData[[#This Row],[CleanedTotalCharges]]&gt;=2500,"High Spend", "Standard Spend")</f>
        <v>Standard Spend</v>
      </c>
    </row>
    <row r="1239" spans="1:14" x14ac:dyDescent="0.3">
      <c r="A1239" s="1" t="s">
        <v>1263</v>
      </c>
      <c r="B1239" s="2" t="s">
        <v>19</v>
      </c>
      <c r="C1239" s="2" t="s">
        <v>20</v>
      </c>
      <c r="D1239" s="2">
        <v>13</v>
      </c>
      <c r="E1239" s="2" t="s">
        <v>15</v>
      </c>
      <c r="F1239" s="2" t="s">
        <v>36</v>
      </c>
      <c r="G1239" s="7">
        <v>19.45</v>
      </c>
      <c r="H1239" s="7">
        <v>270.2</v>
      </c>
      <c r="I1239" s="2" t="s">
        <v>15</v>
      </c>
      <c r="J1239" s="2" t="s">
        <v>15</v>
      </c>
      <c r="K1239" s="2" t="s">
        <v>21</v>
      </c>
      <c r="L1239" s="7">
        <v>270.2</v>
      </c>
      <c r="M1239" s="2" t="str">
        <f>_xlfn.IFS(TelecomData[[#This Row],[TenureMonths]]&lt;=12, "0-1 Year", TelecomData[[#This Row],[TenureMonths]]&lt;=36, "1-3 Years", TelecomData[[#This Row],[TenureMonths]]&gt;36, "3+ Years")</f>
        <v>1-3 Years</v>
      </c>
      <c r="N1239" s="2" t="str">
        <f>IF(TelecomData[[#This Row],[CleanedTotalCharges]]&gt;=2500,"High Spend", "Standard Spend")</f>
        <v>Standard Spend</v>
      </c>
    </row>
    <row r="1240" spans="1:14" x14ac:dyDescent="0.3">
      <c r="A1240" s="1" t="s">
        <v>1264</v>
      </c>
      <c r="B1240" s="2" t="s">
        <v>12</v>
      </c>
      <c r="C1240" s="2" t="s">
        <v>13</v>
      </c>
      <c r="D1240" s="2">
        <v>16</v>
      </c>
      <c r="E1240" s="2" t="s">
        <v>26</v>
      </c>
      <c r="F1240" s="2" t="s">
        <v>15</v>
      </c>
      <c r="G1240" s="7">
        <v>96.15</v>
      </c>
      <c r="H1240" s="7">
        <v>1529.2</v>
      </c>
      <c r="I1240" s="2" t="s">
        <v>16</v>
      </c>
      <c r="J1240" s="2" t="s">
        <v>16</v>
      </c>
      <c r="K1240" s="2" t="s">
        <v>17</v>
      </c>
      <c r="L1240" s="7">
        <v>1529.2</v>
      </c>
      <c r="M1240" s="2" t="str">
        <f>_xlfn.IFS(TelecomData[[#This Row],[TenureMonths]]&lt;=12, "0-1 Year", TelecomData[[#This Row],[TenureMonths]]&lt;=36, "1-3 Years", TelecomData[[#This Row],[TenureMonths]]&gt;36, "3+ Years")</f>
        <v>1-3 Years</v>
      </c>
      <c r="N1240" s="2" t="str">
        <f>IF(TelecomData[[#This Row],[CleanedTotalCharges]]&gt;=2500,"High Spend", "Standard Spend")</f>
        <v>Standard Spend</v>
      </c>
    </row>
    <row r="1241" spans="1:14" x14ac:dyDescent="0.3">
      <c r="A1241" s="1" t="s">
        <v>1265</v>
      </c>
      <c r="B1241" s="2" t="s">
        <v>12</v>
      </c>
      <c r="C1241" s="2" t="s">
        <v>13</v>
      </c>
      <c r="D1241" s="2">
        <v>3</v>
      </c>
      <c r="E1241" s="2" t="s">
        <v>14</v>
      </c>
      <c r="F1241" s="2" t="s">
        <v>15</v>
      </c>
      <c r="G1241" s="7">
        <v>58.7</v>
      </c>
      <c r="H1241" s="7">
        <v>168.6</v>
      </c>
      <c r="I1241" s="2" t="s">
        <v>15</v>
      </c>
      <c r="J1241" s="2" t="s">
        <v>16</v>
      </c>
      <c r="K1241" s="2" t="s">
        <v>29</v>
      </c>
      <c r="L1241" s="7">
        <v>168.6</v>
      </c>
      <c r="M1241" s="2" t="str">
        <f>_xlfn.IFS(TelecomData[[#This Row],[TenureMonths]]&lt;=12, "0-1 Year", TelecomData[[#This Row],[TenureMonths]]&lt;=36, "1-3 Years", TelecomData[[#This Row],[TenureMonths]]&gt;36, "3+ Years")</f>
        <v>0-1 Year</v>
      </c>
      <c r="N1241" s="2" t="str">
        <f>IF(TelecomData[[#This Row],[CleanedTotalCharges]]&gt;=2500,"High Spend", "Standard Spend")</f>
        <v>Standard Spend</v>
      </c>
    </row>
    <row r="1242" spans="1:14" x14ac:dyDescent="0.3">
      <c r="A1242" s="1" t="s">
        <v>1266</v>
      </c>
      <c r="B1242" s="2" t="s">
        <v>19</v>
      </c>
      <c r="C1242" s="2" t="s">
        <v>13</v>
      </c>
      <c r="D1242" s="2">
        <v>25</v>
      </c>
      <c r="E1242" s="2" t="s">
        <v>15</v>
      </c>
      <c r="F1242" s="2" t="s">
        <v>36</v>
      </c>
      <c r="G1242" s="7">
        <v>20.149999999999999</v>
      </c>
      <c r="H1242" s="7">
        <v>536.35</v>
      </c>
      <c r="I1242" s="2" t="s">
        <v>15</v>
      </c>
      <c r="J1242" s="2" t="s">
        <v>16</v>
      </c>
      <c r="K1242" s="2" t="s">
        <v>21</v>
      </c>
      <c r="L1242" s="7">
        <v>536.35</v>
      </c>
      <c r="M1242" s="2" t="str">
        <f>_xlfn.IFS(TelecomData[[#This Row],[TenureMonths]]&lt;=12, "0-1 Year", TelecomData[[#This Row],[TenureMonths]]&lt;=36, "1-3 Years", TelecomData[[#This Row],[TenureMonths]]&gt;36, "3+ Years")</f>
        <v>1-3 Years</v>
      </c>
      <c r="N1242" s="2" t="str">
        <f>IF(TelecomData[[#This Row],[CleanedTotalCharges]]&gt;=2500,"High Spend", "Standard Spend")</f>
        <v>Standard Spend</v>
      </c>
    </row>
    <row r="1243" spans="1:14" x14ac:dyDescent="0.3">
      <c r="A1243" s="1" t="s">
        <v>1267</v>
      </c>
      <c r="B1243" s="2" t="s">
        <v>19</v>
      </c>
      <c r="C1243" s="2" t="s">
        <v>13</v>
      </c>
      <c r="D1243" s="2">
        <v>30</v>
      </c>
      <c r="E1243" s="2" t="s">
        <v>14</v>
      </c>
      <c r="F1243" s="2" t="s">
        <v>15</v>
      </c>
      <c r="G1243" s="7">
        <v>64.5</v>
      </c>
      <c r="H1243" s="7">
        <v>1888.45</v>
      </c>
      <c r="I1243" s="2" t="s">
        <v>15</v>
      </c>
      <c r="J1243" s="2" t="s">
        <v>16</v>
      </c>
      <c r="K1243" s="2" t="s">
        <v>21</v>
      </c>
      <c r="L1243" s="7">
        <v>1888.45</v>
      </c>
      <c r="M1243" s="2" t="str">
        <f>_xlfn.IFS(TelecomData[[#This Row],[TenureMonths]]&lt;=12, "0-1 Year", TelecomData[[#This Row],[TenureMonths]]&lt;=36, "1-3 Years", TelecomData[[#This Row],[TenureMonths]]&gt;36, "3+ Years")</f>
        <v>1-3 Years</v>
      </c>
      <c r="N1243" s="2" t="str">
        <f>IF(TelecomData[[#This Row],[CleanedTotalCharges]]&gt;=2500,"High Spend", "Standard Spend")</f>
        <v>Standard Spend</v>
      </c>
    </row>
    <row r="1244" spans="1:14" x14ac:dyDescent="0.3">
      <c r="A1244" s="1" t="s">
        <v>1268</v>
      </c>
      <c r="B1244" s="2" t="s">
        <v>12</v>
      </c>
      <c r="C1244" s="2" t="s">
        <v>13</v>
      </c>
      <c r="D1244" s="2">
        <v>21</v>
      </c>
      <c r="E1244" s="2" t="s">
        <v>14</v>
      </c>
      <c r="F1244" s="2" t="s">
        <v>15</v>
      </c>
      <c r="G1244" s="7">
        <v>28.5</v>
      </c>
      <c r="H1244" s="7">
        <v>629.35</v>
      </c>
      <c r="I1244" s="2" t="s">
        <v>15</v>
      </c>
      <c r="J1244" s="2" t="s">
        <v>15</v>
      </c>
      <c r="K1244" s="2" t="s">
        <v>17</v>
      </c>
      <c r="L1244" s="7">
        <v>629.35</v>
      </c>
      <c r="M1244" s="2" t="str">
        <f>_xlfn.IFS(TelecomData[[#This Row],[TenureMonths]]&lt;=12, "0-1 Year", TelecomData[[#This Row],[TenureMonths]]&lt;=36, "1-3 Years", TelecomData[[#This Row],[TenureMonths]]&gt;36, "3+ Years")</f>
        <v>1-3 Years</v>
      </c>
      <c r="N1244" s="2" t="str">
        <f>IF(TelecomData[[#This Row],[CleanedTotalCharges]]&gt;=2500,"High Spend", "Standard Spend")</f>
        <v>Standard Spend</v>
      </c>
    </row>
    <row r="1245" spans="1:14" x14ac:dyDescent="0.3">
      <c r="A1245" s="1" t="s">
        <v>1269</v>
      </c>
      <c r="B1245" s="2" t="s">
        <v>19</v>
      </c>
      <c r="C1245" s="2" t="s">
        <v>13</v>
      </c>
      <c r="D1245" s="2">
        <v>1</v>
      </c>
      <c r="E1245" s="2" t="s">
        <v>14</v>
      </c>
      <c r="F1245" s="2" t="s">
        <v>15</v>
      </c>
      <c r="G1245" s="7">
        <v>45.3</v>
      </c>
      <c r="H1245" s="7">
        <v>45.3</v>
      </c>
      <c r="I1245" s="2" t="s">
        <v>16</v>
      </c>
      <c r="J1245" s="2" t="s">
        <v>15</v>
      </c>
      <c r="K1245" s="2" t="s">
        <v>17</v>
      </c>
      <c r="L1245" s="7">
        <v>45.3</v>
      </c>
      <c r="M1245" s="2" t="str">
        <f>_xlfn.IFS(TelecomData[[#This Row],[TenureMonths]]&lt;=12, "0-1 Year", TelecomData[[#This Row],[TenureMonths]]&lt;=36, "1-3 Years", TelecomData[[#This Row],[TenureMonths]]&gt;36, "3+ Years")</f>
        <v>0-1 Year</v>
      </c>
      <c r="N1245" s="2" t="str">
        <f>IF(TelecomData[[#This Row],[CleanedTotalCharges]]&gt;=2500,"High Spend", "Standard Spend")</f>
        <v>Standard Spend</v>
      </c>
    </row>
    <row r="1246" spans="1:14" x14ac:dyDescent="0.3">
      <c r="A1246" s="1" t="s">
        <v>1270</v>
      </c>
      <c r="B1246" s="2" t="s">
        <v>12</v>
      </c>
      <c r="C1246" s="2" t="s">
        <v>13</v>
      </c>
      <c r="D1246" s="2">
        <v>15</v>
      </c>
      <c r="E1246" s="2" t="s">
        <v>15</v>
      </c>
      <c r="F1246" s="2" t="s">
        <v>36</v>
      </c>
      <c r="G1246" s="7">
        <v>19.399999999999999</v>
      </c>
      <c r="H1246" s="7">
        <v>289.3</v>
      </c>
      <c r="I1246" s="2" t="s">
        <v>16</v>
      </c>
      <c r="J1246" s="2" t="s">
        <v>15</v>
      </c>
      <c r="K1246" s="2" t="s">
        <v>24</v>
      </c>
      <c r="L1246" s="7">
        <v>289.3</v>
      </c>
      <c r="M1246" s="2" t="str">
        <f>_xlfn.IFS(TelecomData[[#This Row],[TenureMonths]]&lt;=12, "0-1 Year", TelecomData[[#This Row],[TenureMonths]]&lt;=36, "1-3 Years", TelecomData[[#This Row],[TenureMonths]]&gt;36, "3+ Years")</f>
        <v>1-3 Years</v>
      </c>
      <c r="N1246" s="2" t="str">
        <f>IF(TelecomData[[#This Row],[CleanedTotalCharges]]&gt;=2500,"High Spend", "Standard Spend")</f>
        <v>Standard Spend</v>
      </c>
    </row>
    <row r="1247" spans="1:14" x14ac:dyDescent="0.3">
      <c r="A1247" s="1" t="s">
        <v>1271</v>
      </c>
      <c r="B1247" s="2" t="s">
        <v>19</v>
      </c>
      <c r="C1247" s="2" t="s">
        <v>13</v>
      </c>
      <c r="D1247" s="2">
        <v>23</v>
      </c>
      <c r="E1247" s="2" t="s">
        <v>26</v>
      </c>
      <c r="F1247" s="2" t="s">
        <v>15</v>
      </c>
      <c r="G1247" s="7">
        <v>90.45</v>
      </c>
      <c r="H1247" s="7">
        <v>2117.25</v>
      </c>
      <c r="I1247" s="2" t="s">
        <v>15</v>
      </c>
      <c r="J1247" s="2" t="s">
        <v>16</v>
      </c>
      <c r="K1247" s="2" t="s">
        <v>17</v>
      </c>
      <c r="L1247" s="7">
        <v>2117.25</v>
      </c>
      <c r="M1247" s="2" t="str">
        <f>_xlfn.IFS(TelecomData[[#This Row],[TenureMonths]]&lt;=12, "0-1 Year", TelecomData[[#This Row],[TenureMonths]]&lt;=36, "1-3 Years", TelecomData[[#This Row],[TenureMonths]]&gt;36, "3+ Years")</f>
        <v>1-3 Years</v>
      </c>
      <c r="N1247" s="2" t="str">
        <f>IF(TelecomData[[#This Row],[CleanedTotalCharges]]&gt;=2500,"High Spend", "Standard Spend")</f>
        <v>Standard Spend</v>
      </c>
    </row>
    <row r="1248" spans="1:14" x14ac:dyDescent="0.3">
      <c r="A1248" s="1" t="s">
        <v>1272</v>
      </c>
      <c r="B1248" s="2" t="s">
        <v>12</v>
      </c>
      <c r="C1248" s="2" t="s">
        <v>13</v>
      </c>
      <c r="D1248" s="2">
        <v>45</v>
      </c>
      <c r="E1248" s="2" t="s">
        <v>26</v>
      </c>
      <c r="F1248" s="2" t="s">
        <v>15</v>
      </c>
      <c r="G1248" s="7">
        <v>105.15</v>
      </c>
      <c r="H1248" s="7">
        <v>4730.8999999999996</v>
      </c>
      <c r="I1248" s="2" t="s">
        <v>15</v>
      </c>
      <c r="J1248" s="2" t="s">
        <v>16</v>
      </c>
      <c r="K1248" s="2" t="s">
        <v>17</v>
      </c>
      <c r="L1248" s="7">
        <v>4730.8999999999996</v>
      </c>
      <c r="M1248" s="2" t="str">
        <f>_xlfn.IFS(TelecomData[[#This Row],[TenureMonths]]&lt;=12, "0-1 Year", TelecomData[[#This Row],[TenureMonths]]&lt;=36, "1-3 Years", TelecomData[[#This Row],[TenureMonths]]&gt;36, "3+ Years")</f>
        <v>3+ Years</v>
      </c>
      <c r="N1248" s="2" t="str">
        <f>IF(TelecomData[[#This Row],[CleanedTotalCharges]]&gt;=2500,"High Spend", "Standard Spend")</f>
        <v>High Spend</v>
      </c>
    </row>
    <row r="1249" spans="1:14" x14ac:dyDescent="0.3">
      <c r="A1249" s="1" t="s">
        <v>1273</v>
      </c>
      <c r="B1249" s="2" t="s">
        <v>12</v>
      </c>
      <c r="C1249" s="2" t="s">
        <v>20</v>
      </c>
      <c r="D1249" s="2">
        <v>24</v>
      </c>
      <c r="E1249" s="2" t="s">
        <v>26</v>
      </c>
      <c r="F1249" s="2" t="s">
        <v>15</v>
      </c>
      <c r="G1249" s="7">
        <v>83.15</v>
      </c>
      <c r="H1249" s="7">
        <v>2033.05</v>
      </c>
      <c r="I1249" s="2" t="s">
        <v>15</v>
      </c>
      <c r="J1249" s="2" t="s">
        <v>15</v>
      </c>
      <c r="K1249" s="2" t="s">
        <v>24</v>
      </c>
      <c r="L1249" s="7">
        <v>2033.05</v>
      </c>
      <c r="M1249" s="2" t="str">
        <f>_xlfn.IFS(TelecomData[[#This Row],[TenureMonths]]&lt;=12, "0-1 Year", TelecomData[[#This Row],[TenureMonths]]&lt;=36, "1-3 Years", TelecomData[[#This Row],[TenureMonths]]&gt;36, "3+ Years")</f>
        <v>1-3 Years</v>
      </c>
      <c r="N1249" s="2" t="str">
        <f>IF(TelecomData[[#This Row],[CleanedTotalCharges]]&gt;=2500,"High Spend", "Standard Spend")</f>
        <v>Standard Spend</v>
      </c>
    </row>
    <row r="1250" spans="1:14" x14ac:dyDescent="0.3">
      <c r="A1250" s="1" t="s">
        <v>1274</v>
      </c>
      <c r="B1250" s="2" t="s">
        <v>12</v>
      </c>
      <c r="C1250" s="2" t="s">
        <v>13</v>
      </c>
      <c r="D1250" s="2">
        <v>11</v>
      </c>
      <c r="E1250" s="2" t="s">
        <v>26</v>
      </c>
      <c r="F1250" s="2" t="s">
        <v>16</v>
      </c>
      <c r="G1250" s="7">
        <v>90.15</v>
      </c>
      <c r="H1250" s="7">
        <v>987.95</v>
      </c>
      <c r="I1250" s="2" t="s">
        <v>16</v>
      </c>
      <c r="J1250" s="2" t="s">
        <v>15</v>
      </c>
      <c r="K1250" s="2" t="s">
        <v>17</v>
      </c>
      <c r="L1250" s="7">
        <v>987.95</v>
      </c>
      <c r="M1250" s="2" t="str">
        <f>_xlfn.IFS(TelecomData[[#This Row],[TenureMonths]]&lt;=12, "0-1 Year", TelecomData[[#This Row],[TenureMonths]]&lt;=36, "1-3 Years", TelecomData[[#This Row],[TenureMonths]]&gt;36, "3+ Years")</f>
        <v>0-1 Year</v>
      </c>
      <c r="N1250" s="2" t="str">
        <f>IF(TelecomData[[#This Row],[CleanedTotalCharges]]&gt;=2500,"High Spend", "Standard Spend")</f>
        <v>Standard Spend</v>
      </c>
    </row>
    <row r="1251" spans="1:14" x14ac:dyDescent="0.3">
      <c r="A1251" s="1" t="s">
        <v>1275</v>
      </c>
      <c r="B1251" s="2" t="s">
        <v>19</v>
      </c>
      <c r="C1251" s="2" t="s">
        <v>13</v>
      </c>
      <c r="D1251" s="2">
        <v>1</v>
      </c>
      <c r="E1251" s="2" t="s">
        <v>14</v>
      </c>
      <c r="F1251" s="2" t="s">
        <v>15</v>
      </c>
      <c r="G1251" s="7">
        <v>45.05</v>
      </c>
      <c r="H1251" s="7">
        <v>45.05</v>
      </c>
      <c r="I1251" s="2" t="s">
        <v>16</v>
      </c>
      <c r="J1251" s="2" t="s">
        <v>15</v>
      </c>
      <c r="K1251" s="2" t="s">
        <v>21</v>
      </c>
      <c r="L1251" s="7">
        <v>45.05</v>
      </c>
      <c r="M1251" s="2" t="str">
        <f>_xlfn.IFS(TelecomData[[#This Row],[TenureMonths]]&lt;=12, "0-1 Year", TelecomData[[#This Row],[TenureMonths]]&lt;=36, "1-3 Years", TelecomData[[#This Row],[TenureMonths]]&gt;36, "3+ Years")</f>
        <v>0-1 Year</v>
      </c>
      <c r="N1251" s="2" t="str">
        <f>IF(TelecomData[[#This Row],[CleanedTotalCharges]]&gt;=2500,"High Spend", "Standard Spend")</f>
        <v>Standard Spend</v>
      </c>
    </row>
    <row r="1252" spans="1:14" x14ac:dyDescent="0.3">
      <c r="A1252" s="1" t="s">
        <v>1276</v>
      </c>
      <c r="B1252" s="2" t="s">
        <v>12</v>
      </c>
      <c r="C1252" s="2" t="s">
        <v>35</v>
      </c>
      <c r="D1252" s="2">
        <v>56</v>
      </c>
      <c r="E1252" s="2" t="s">
        <v>26</v>
      </c>
      <c r="F1252" s="2" t="s">
        <v>16</v>
      </c>
      <c r="G1252" s="7">
        <v>103.2</v>
      </c>
      <c r="H1252" s="7">
        <v>5744.35</v>
      </c>
      <c r="I1252" s="2" t="s">
        <v>15</v>
      </c>
      <c r="J1252" s="2" t="s">
        <v>15</v>
      </c>
      <c r="K1252" s="2" t="s">
        <v>24</v>
      </c>
      <c r="L1252" s="7">
        <v>5744.35</v>
      </c>
      <c r="M1252" s="2" t="str">
        <f>_xlfn.IFS(TelecomData[[#This Row],[TenureMonths]]&lt;=12, "0-1 Year", TelecomData[[#This Row],[TenureMonths]]&lt;=36, "1-3 Years", TelecomData[[#This Row],[TenureMonths]]&gt;36, "3+ Years")</f>
        <v>3+ Years</v>
      </c>
      <c r="N1252" s="2" t="str">
        <f>IF(TelecomData[[#This Row],[CleanedTotalCharges]]&gt;=2500,"High Spend", "Standard Spend")</f>
        <v>High Spend</v>
      </c>
    </row>
    <row r="1253" spans="1:14" x14ac:dyDescent="0.3">
      <c r="A1253" s="1" t="s">
        <v>1277</v>
      </c>
      <c r="B1253" s="2" t="s">
        <v>12</v>
      </c>
      <c r="C1253" s="2" t="s">
        <v>13</v>
      </c>
      <c r="D1253" s="2">
        <v>1</v>
      </c>
      <c r="E1253" s="2" t="s">
        <v>26</v>
      </c>
      <c r="F1253" s="2" t="s">
        <v>15</v>
      </c>
      <c r="G1253" s="7">
        <v>75.8</v>
      </c>
      <c r="H1253" s="7">
        <v>75.8</v>
      </c>
      <c r="I1253" s="2" t="s">
        <v>16</v>
      </c>
      <c r="J1253" s="2" t="s">
        <v>15</v>
      </c>
      <c r="K1253" s="2" t="s">
        <v>17</v>
      </c>
      <c r="L1253" s="7">
        <v>75.8</v>
      </c>
      <c r="M1253" s="2" t="str">
        <f>_xlfn.IFS(TelecomData[[#This Row],[TenureMonths]]&lt;=12, "0-1 Year", TelecomData[[#This Row],[TenureMonths]]&lt;=36, "1-3 Years", TelecomData[[#This Row],[TenureMonths]]&gt;36, "3+ Years")</f>
        <v>0-1 Year</v>
      </c>
      <c r="N1253" s="2" t="str">
        <f>IF(TelecomData[[#This Row],[CleanedTotalCharges]]&gt;=2500,"High Spend", "Standard Spend")</f>
        <v>Standard Spend</v>
      </c>
    </row>
    <row r="1254" spans="1:14" x14ac:dyDescent="0.3">
      <c r="A1254" s="1" t="s">
        <v>1278</v>
      </c>
      <c r="B1254" s="2" t="s">
        <v>19</v>
      </c>
      <c r="C1254" s="2" t="s">
        <v>13</v>
      </c>
      <c r="D1254" s="2">
        <v>1</v>
      </c>
      <c r="E1254" s="2" t="s">
        <v>15</v>
      </c>
      <c r="F1254" s="2" t="s">
        <v>36</v>
      </c>
      <c r="G1254" s="7">
        <v>19.45</v>
      </c>
      <c r="H1254" s="7">
        <v>19.45</v>
      </c>
      <c r="I1254" s="2" t="s">
        <v>15</v>
      </c>
      <c r="J1254" s="2" t="s">
        <v>15</v>
      </c>
      <c r="K1254" s="2" t="s">
        <v>17</v>
      </c>
      <c r="L1254" s="7">
        <v>19.45</v>
      </c>
      <c r="M1254" s="2" t="str">
        <f>_xlfn.IFS(TelecomData[[#This Row],[TenureMonths]]&lt;=12, "0-1 Year", TelecomData[[#This Row],[TenureMonths]]&lt;=36, "1-3 Years", TelecomData[[#This Row],[TenureMonths]]&gt;36, "3+ Years")</f>
        <v>0-1 Year</v>
      </c>
      <c r="N1254" s="2" t="str">
        <f>IF(TelecomData[[#This Row],[CleanedTotalCharges]]&gt;=2500,"High Spend", "Standard Spend")</f>
        <v>Standard Spend</v>
      </c>
    </row>
    <row r="1255" spans="1:14" x14ac:dyDescent="0.3">
      <c r="A1255" s="1" t="s">
        <v>1279</v>
      </c>
      <c r="B1255" s="2" t="s">
        <v>12</v>
      </c>
      <c r="C1255" s="2" t="s">
        <v>13</v>
      </c>
      <c r="D1255" s="2">
        <v>7</v>
      </c>
      <c r="E1255" s="2" t="s">
        <v>26</v>
      </c>
      <c r="F1255" s="2" t="s">
        <v>15</v>
      </c>
      <c r="G1255" s="7">
        <v>79.3</v>
      </c>
      <c r="H1255" s="7">
        <v>523.15</v>
      </c>
      <c r="I1255" s="2" t="s">
        <v>16</v>
      </c>
      <c r="J1255" s="2" t="s">
        <v>16</v>
      </c>
      <c r="K1255" s="2" t="s">
        <v>17</v>
      </c>
      <c r="L1255" s="7">
        <v>523.15</v>
      </c>
      <c r="M1255" s="2" t="str">
        <f>_xlfn.IFS(TelecomData[[#This Row],[TenureMonths]]&lt;=12, "0-1 Year", TelecomData[[#This Row],[TenureMonths]]&lt;=36, "1-3 Years", TelecomData[[#This Row],[TenureMonths]]&gt;36, "3+ Years")</f>
        <v>0-1 Year</v>
      </c>
      <c r="N1255" s="2" t="str">
        <f>IF(TelecomData[[#This Row],[CleanedTotalCharges]]&gt;=2500,"High Spend", "Standard Spend")</f>
        <v>Standard Spend</v>
      </c>
    </row>
    <row r="1256" spans="1:14" x14ac:dyDescent="0.3">
      <c r="A1256" s="1" t="s">
        <v>1280</v>
      </c>
      <c r="B1256" s="2" t="s">
        <v>12</v>
      </c>
      <c r="C1256" s="2" t="s">
        <v>35</v>
      </c>
      <c r="D1256" s="2">
        <v>55</v>
      </c>
      <c r="E1256" s="2" t="s">
        <v>26</v>
      </c>
      <c r="F1256" s="2" t="s">
        <v>16</v>
      </c>
      <c r="G1256" s="7">
        <v>88.8</v>
      </c>
      <c r="H1256" s="7">
        <v>4805.3</v>
      </c>
      <c r="I1256" s="2" t="s">
        <v>15</v>
      </c>
      <c r="J1256" s="2" t="s">
        <v>15</v>
      </c>
      <c r="K1256" s="2" t="s">
        <v>29</v>
      </c>
      <c r="L1256" s="7">
        <v>4805.3</v>
      </c>
      <c r="M1256" s="2" t="str">
        <f>_xlfn.IFS(TelecomData[[#This Row],[TenureMonths]]&lt;=12, "0-1 Year", TelecomData[[#This Row],[TenureMonths]]&lt;=36, "1-3 Years", TelecomData[[#This Row],[TenureMonths]]&gt;36, "3+ Years")</f>
        <v>3+ Years</v>
      </c>
      <c r="N1256" s="2" t="str">
        <f>IF(TelecomData[[#This Row],[CleanedTotalCharges]]&gt;=2500,"High Spend", "Standard Spend")</f>
        <v>High Spend</v>
      </c>
    </row>
    <row r="1257" spans="1:14" x14ac:dyDescent="0.3">
      <c r="A1257" s="1" t="s">
        <v>1281</v>
      </c>
      <c r="B1257" s="2" t="s">
        <v>12</v>
      </c>
      <c r="C1257" s="2" t="s">
        <v>13</v>
      </c>
      <c r="D1257" s="2">
        <v>2</v>
      </c>
      <c r="E1257" s="2" t="s">
        <v>14</v>
      </c>
      <c r="F1257" s="2" t="s">
        <v>16</v>
      </c>
      <c r="G1257" s="7">
        <v>30.9</v>
      </c>
      <c r="H1257" s="7">
        <v>59.05</v>
      </c>
      <c r="I1257" s="2" t="s">
        <v>16</v>
      </c>
      <c r="J1257" s="2" t="s">
        <v>16</v>
      </c>
      <c r="K1257" s="2" t="s">
        <v>17</v>
      </c>
      <c r="L1257" s="7">
        <v>59.05</v>
      </c>
      <c r="M1257" s="2" t="str">
        <f>_xlfn.IFS(TelecomData[[#This Row],[TenureMonths]]&lt;=12, "0-1 Year", TelecomData[[#This Row],[TenureMonths]]&lt;=36, "1-3 Years", TelecomData[[#This Row],[TenureMonths]]&gt;36, "3+ Years")</f>
        <v>0-1 Year</v>
      </c>
      <c r="N1257" s="2" t="str">
        <f>IF(TelecomData[[#This Row],[CleanedTotalCharges]]&gt;=2500,"High Spend", "Standard Spend")</f>
        <v>Standard Spend</v>
      </c>
    </row>
    <row r="1258" spans="1:14" x14ac:dyDescent="0.3">
      <c r="A1258" s="1" t="s">
        <v>1282</v>
      </c>
      <c r="B1258" s="2" t="s">
        <v>12</v>
      </c>
      <c r="C1258" s="2" t="s">
        <v>35</v>
      </c>
      <c r="D1258" s="2">
        <v>72</v>
      </c>
      <c r="E1258" s="2" t="s">
        <v>14</v>
      </c>
      <c r="F1258" s="2" t="s">
        <v>16</v>
      </c>
      <c r="G1258" s="7">
        <v>85.9</v>
      </c>
      <c r="H1258" s="7">
        <v>6110.75</v>
      </c>
      <c r="I1258" s="2" t="s">
        <v>15</v>
      </c>
      <c r="J1258" s="2" t="s">
        <v>16</v>
      </c>
      <c r="K1258" s="2" t="s">
        <v>29</v>
      </c>
      <c r="L1258" s="7">
        <v>6110.75</v>
      </c>
      <c r="M1258" s="2" t="str">
        <f>_xlfn.IFS(TelecomData[[#This Row],[TenureMonths]]&lt;=12, "0-1 Year", TelecomData[[#This Row],[TenureMonths]]&lt;=36, "1-3 Years", TelecomData[[#This Row],[TenureMonths]]&gt;36, "3+ Years")</f>
        <v>3+ Years</v>
      </c>
      <c r="N1258" s="2" t="str">
        <f>IF(TelecomData[[#This Row],[CleanedTotalCharges]]&gt;=2500,"High Spend", "Standard Spend")</f>
        <v>High Spend</v>
      </c>
    </row>
    <row r="1259" spans="1:14" x14ac:dyDescent="0.3">
      <c r="A1259" s="1" t="s">
        <v>1283</v>
      </c>
      <c r="B1259" s="2" t="s">
        <v>12</v>
      </c>
      <c r="C1259" s="2" t="s">
        <v>20</v>
      </c>
      <c r="D1259" s="2">
        <v>45</v>
      </c>
      <c r="E1259" s="2" t="s">
        <v>14</v>
      </c>
      <c r="F1259" s="2" t="s">
        <v>15</v>
      </c>
      <c r="G1259" s="7">
        <v>34.200000000000003</v>
      </c>
      <c r="H1259" s="7">
        <v>1596.6</v>
      </c>
      <c r="I1259" s="2" t="s">
        <v>15</v>
      </c>
      <c r="J1259" s="2" t="s">
        <v>15</v>
      </c>
      <c r="K1259" s="2" t="s">
        <v>17</v>
      </c>
      <c r="L1259" s="7">
        <v>1596.6</v>
      </c>
      <c r="M1259" s="2" t="str">
        <f>_xlfn.IFS(TelecomData[[#This Row],[TenureMonths]]&lt;=12, "0-1 Year", TelecomData[[#This Row],[TenureMonths]]&lt;=36, "1-3 Years", TelecomData[[#This Row],[TenureMonths]]&gt;36, "3+ Years")</f>
        <v>3+ Years</v>
      </c>
      <c r="N1259" s="2" t="str">
        <f>IF(TelecomData[[#This Row],[CleanedTotalCharges]]&gt;=2500,"High Spend", "Standard Spend")</f>
        <v>Standard Spend</v>
      </c>
    </row>
    <row r="1260" spans="1:14" x14ac:dyDescent="0.3">
      <c r="A1260" s="1" t="s">
        <v>1284</v>
      </c>
      <c r="B1260" s="2" t="s">
        <v>12</v>
      </c>
      <c r="C1260" s="2" t="s">
        <v>35</v>
      </c>
      <c r="D1260" s="2">
        <v>47</v>
      </c>
      <c r="E1260" s="2" t="s">
        <v>15</v>
      </c>
      <c r="F1260" s="2" t="s">
        <v>36</v>
      </c>
      <c r="G1260" s="7">
        <v>20.149999999999999</v>
      </c>
      <c r="H1260" s="7">
        <v>1046.2</v>
      </c>
      <c r="I1260" s="2" t="s">
        <v>15</v>
      </c>
      <c r="J1260" s="2" t="s">
        <v>15</v>
      </c>
      <c r="K1260" s="2" t="s">
        <v>21</v>
      </c>
      <c r="L1260" s="7">
        <v>1046.2</v>
      </c>
      <c r="M1260" s="2" t="str">
        <f>_xlfn.IFS(TelecomData[[#This Row],[TenureMonths]]&lt;=12, "0-1 Year", TelecomData[[#This Row],[TenureMonths]]&lt;=36, "1-3 Years", TelecomData[[#This Row],[TenureMonths]]&gt;36, "3+ Years")</f>
        <v>3+ Years</v>
      </c>
      <c r="N1260" s="2" t="str">
        <f>IF(TelecomData[[#This Row],[CleanedTotalCharges]]&gt;=2500,"High Spend", "Standard Spend")</f>
        <v>Standard Spend</v>
      </c>
    </row>
    <row r="1261" spans="1:14" x14ac:dyDescent="0.3">
      <c r="A1261" s="1" t="s">
        <v>1285</v>
      </c>
      <c r="B1261" s="2" t="s">
        <v>12</v>
      </c>
      <c r="C1261" s="2" t="s">
        <v>20</v>
      </c>
      <c r="D1261" s="2">
        <v>46</v>
      </c>
      <c r="E1261" s="2" t="s">
        <v>26</v>
      </c>
      <c r="F1261" s="2" t="s">
        <v>15</v>
      </c>
      <c r="G1261" s="7">
        <v>95.25</v>
      </c>
      <c r="H1261" s="7">
        <v>4424.2</v>
      </c>
      <c r="I1261" s="2" t="s">
        <v>16</v>
      </c>
      <c r="J1261" s="2" t="s">
        <v>15</v>
      </c>
      <c r="K1261" s="2" t="s">
        <v>29</v>
      </c>
      <c r="L1261" s="7">
        <v>4424.2</v>
      </c>
      <c r="M1261" s="2" t="str">
        <f>_xlfn.IFS(TelecomData[[#This Row],[TenureMonths]]&lt;=12, "0-1 Year", TelecomData[[#This Row],[TenureMonths]]&lt;=36, "1-3 Years", TelecomData[[#This Row],[TenureMonths]]&gt;36, "3+ Years")</f>
        <v>3+ Years</v>
      </c>
      <c r="N1261" s="2" t="str">
        <f>IF(TelecomData[[#This Row],[CleanedTotalCharges]]&gt;=2500,"High Spend", "Standard Spend")</f>
        <v>High Spend</v>
      </c>
    </row>
    <row r="1262" spans="1:14" x14ac:dyDescent="0.3">
      <c r="A1262" s="1" t="s">
        <v>1286</v>
      </c>
      <c r="B1262" s="2" t="s">
        <v>19</v>
      </c>
      <c r="C1262" s="2" t="s">
        <v>13</v>
      </c>
      <c r="D1262" s="2">
        <v>2</v>
      </c>
      <c r="E1262" s="2" t="s">
        <v>14</v>
      </c>
      <c r="F1262" s="2" t="s">
        <v>15</v>
      </c>
      <c r="G1262" s="7">
        <v>50.3</v>
      </c>
      <c r="H1262" s="7">
        <v>92.75</v>
      </c>
      <c r="I1262" s="2" t="s">
        <v>15</v>
      </c>
      <c r="J1262" s="2" t="s">
        <v>16</v>
      </c>
      <c r="K1262" s="2" t="s">
        <v>21</v>
      </c>
      <c r="L1262" s="7">
        <v>92.75</v>
      </c>
      <c r="M1262" s="2" t="str">
        <f>_xlfn.IFS(TelecomData[[#This Row],[TenureMonths]]&lt;=12, "0-1 Year", TelecomData[[#This Row],[TenureMonths]]&lt;=36, "1-3 Years", TelecomData[[#This Row],[TenureMonths]]&gt;36, "3+ Years")</f>
        <v>0-1 Year</v>
      </c>
      <c r="N1262" s="2" t="str">
        <f>IF(TelecomData[[#This Row],[CleanedTotalCharges]]&gt;=2500,"High Spend", "Standard Spend")</f>
        <v>Standard Spend</v>
      </c>
    </row>
    <row r="1263" spans="1:14" x14ac:dyDescent="0.3">
      <c r="A1263" s="1" t="s">
        <v>1287</v>
      </c>
      <c r="B1263" s="2" t="s">
        <v>12</v>
      </c>
      <c r="C1263" s="2" t="s">
        <v>13</v>
      </c>
      <c r="D1263" s="2">
        <v>2</v>
      </c>
      <c r="E1263" s="2" t="s">
        <v>26</v>
      </c>
      <c r="F1263" s="2" t="s">
        <v>16</v>
      </c>
      <c r="G1263" s="7">
        <v>80.150000000000006</v>
      </c>
      <c r="H1263" s="7">
        <v>194.55</v>
      </c>
      <c r="I1263" s="2" t="s">
        <v>15</v>
      </c>
      <c r="J1263" s="2" t="s">
        <v>16</v>
      </c>
      <c r="K1263" s="2" t="s">
        <v>17</v>
      </c>
      <c r="L1263" s="7">
        <v>194.55</v>
      </c>
      <c r="M1263" s="2" t="str">
        <f>_xlfn.IFS(TelecomData[[#This Row],[TenureMonths]]&lt;=12, "0-1 Year", TelecomData[[#This Row],[TenureMonths]]&lt;=36, "1-3 Years", TelecomData[[#This Row],[TenureMonths]]&gt;36, "3+ Years")</f>
        <v>0-1 Year</v>
      </c>
      <c r="N1263" s="2" t="str">
        <f>IF(TelecomData[[#This Row],[CleanedTotalCharges]]&gt;=2500,"High Spend", "Standard Spend")</f>
        <v>Standard Spend</v>
      </c>
    </row>
    <row r="1264" spans="1:14" x14ac:dyDescent="0.3">
      <c r="A1264" s="1" t="s">
        <v>1288</v>
      </c>
      <c r="B1264" s="2" t="s">
        <v>12</v>
      </c>
      <c r="C1264" s="2" t="s">
        <v>13</v>
      </c>
      <c r="D1264" s="2">
        <v>12</v>
      </c>
      <c r="E1264" s="2" t="s">
        <v>14</v>
      </c>
      <c r="F1264" s="2" t="s">
        <v>15</v>
      </c>
      <c r="G1264" s="7">
        <v>51.25</v>
      </c>
      <c r="H1264" s="7">
        <v>612.1</v>
      </c>
      <c r="I1264" s="2" t="s">
        <v>15</v>
      </c>
      <c r="J1264" s="2" t="s">
        <v>16</v>
      </c>
      <c r="K1264" s="2" t="s">
        <v>17</v>
      </c>
      <c r="L1264" s="7">
        <v>612.1</v>
      </c>
      <c r="M1264" s="2" t="str">
        <f>_xlfn.IFS(TelecomData[[#This Row],[TenureMonths]]&lt;=12, "0-1 Year", TelecomData[[#This Row],[TenureMonths]]&lt;=36, "1-3 Years", TelecomData[[#This Row],[TenureMonths]]&gt;36, "3+ Years")</f>
        <v>0-1 Year</v>
      </c>
      <c r="N1264" s="2" t="str">
        <f>IF(TelecomData[[#This Row],[CleanedTotalCharges]]&gt;=2500,"High Spend", "Standard Spend")</f>
        <v>Standard Spend</v>
      </c>
    </row>
    <row r="1265" spans="1:14" x14ac:dyDescent="0.3">
      <c r="A1265" s="1" t="s">
        <v>1289</v>
      </c>
      <c r="B1265" s="2" t="s">
        <v>12</v>
      </c>
      <c r="C1265" s="2" t="s">
        <v>13</v>
      </c>
      <c r="D1265" s="2">
        <v>68</v>
      </c>
      <c r="E1265" s="2" t="s">
        <v>26</v>
      </c>
      <c r="F1265" s="2" t="s">
        <v>15</v>
      </c>
      <c r="G1265" s="7">
        <v>89.6</v>
      </c>
      <c r="H1265" s="7">
        <v>6127.6</v>
      </c>
      <c r="I1265" s="2" t="s">
        <v>16</v>
      </c>
      <c r="J1265" s="2" t="s">
        <v>16</v>
      </c>
      <c r="K1265" s="2" t="s">
        <v>24</v>
      </c>
      <c r="L1265" s="7">
        <v>6127.6</v>
      </c>
      <c r="M1265" s="2" t="str">
        <f>_xlfn.IFS(TelecomData[[#This Row],[TenureMonths]]&lt;=12, "0-1 Year", TelecomData[[#This Row],[TenureMonths]]&lt;=36, "1-3 Years", TelecomData[[#This Row],[TenureMonths]]&gt;36, "3+ Years")</f>
        <v>3+ Years</v>
      </c>
      <c r="N1265" s="2" t="str">
        <f>IF(TelecomData[[#This Row],[CleanedTotalCharges]]&gt;=2500,"High Spend", "Standard Spend")</f>
        <v>High Spend</v>
      </c>
    </row>
    <row r="1266" spans="1:14" x14ac:dyDescent="0.3">
      <c r="A1266" s="1" t="s">
        <v>1290</v>
      </c>
      <c r="B1266" s="2" t="s">
        <v>19</v>
      </c>
      <c r="C1266" s="2" t="s">
        <v>35</v>
      </c>
      <c r="D1266" s="2">
        <v>69</v>
      </c>
      <c r="E1266" s="2" t="s">
        <v>26</v>
      </c>
      <c r="F1266" s="2" t="s">
        <v>16</v>
      </c>
      <c r="G1266" s="7">
        <v>95.2</v>
      </c>
      <c r="H1266" s="7">
        <v>6671.7</v>
      </c>
      <c r="I1266" s="2" t="s">
        <v>15</v>
      </c>
      <c r="J1266" s="2" t="s">
        <v>16</v>
      </c>
      <c r="K1266" s="2" t="s">
        <v>29</v>
      </c>
      <c r="L1266" s="7">
        <v>6671.7</v>
      </c>
      <c r="M1266" s="2" t="str">
        <f>_xlfn.IFS(TelecomData[[#This Row],[TenureMonths]]&lt;=12, "0-1 Year", TelecomData[[#This Row],[TenureMonths]]&lt;=36, "1-3 Years", TelecomData[[#This Row],[TenureMonths]]&gt;36, "3+ Years")</f>
        <v>3+ Years</v>
      </c>
      <c r="N1266" s="2" t="str">
        <f>IF(TelecomData[[#This Row],[CleanedTotalCharges]]&gt;=2500,"High Spend", "Standard Spend")</f>
        <v>High Spend</v>
      </c>
    </row>
    <row r="1267" spans="1:14" x14ac:dyDescent="0.3">
      <c r="A1267" s="1" t="s">
        <v>1291</v>
      </c>
      <c r="B1267" s="2" t="s">
        <v>19</v>
      </c>
      <c r="C1267" s="2" t="s">
        <v>20</v>
      </c>
      <c r="D1267" s="2">
        <v>56</v>
      </c>
      <c r="E1267" s="2" t="s">
        <v>26</v>
      </c>
      <c r="F1267" s="2" t="s">
        <v>15</v>
      </c>
      <c r="G1267" s="7">
        <v>94.8</v>
      </c>
      <c r="H1267" s="7">
        <v>5264.3</v>
      </c>
      <c r="I1267" s="2" t="s">
        <v>15</v>
      </c>
      <c r="J1267" s="2" t="s">
        <v>15</v>
      </c>
      <c r="K1267" s="2" t="s">
        <v>29</v>
      </c>
      <c r="L1267" s="7">
        <v>5264.3</v>
      </c>
      <c r="M1267" s="2" t="str">
        <f>_xlfn.IFS(TelecomData[[#This Row],[TenureMonths]]&lt;=12, "0-1 Year", TelecomData[[#This Row],[TenureMonths]]&lt;=36, "1-3 Years", TelecomData[[#This Row],[TenureMonths]]&gt;36, "3+ Years")</f>
        <v>3+ Years</v>
      </c>
      <c r="N1267" s="2" t="str">
        <f>IF(TelecomData[[#This Row],[CleanedTotalCharges]]&gt;=2500,"High Spend", "Standard Spend")</f>
        <v>High Spend</v>
      </c>
    </row>
    <row r="1268" spans="1:14" x14ac:dyDescent="0.3">
      <c r="A1268" s="1" t="s">
        <v>1292</v>
      </c>
      <c r="B1268" s="2" t="s">
        <v>12</v>
      </c>
      <c r="C1268" s="2" t="s">
        <v>13</v>
      </c>
      <c r="D1268" s="2">
        <v>4</v>
      </c>
      <c r="E1268" s="2" t="s">
        <v>26</v>
      </c>
      <c r="F1268" s="2" t="s">
        <v>15</v>
      </c>
      <c r="G1268" s="7">
        <v>80.25</v>
      </c>
      <c r="H1268" s="7">
        <v>303.7</v>
      </c>
      <c r="I1268" s="2" t="s">
        <v>15</v>
      </c>
      <c r="J1268" s="2" t="s">
        <v>16</v>
      </c>
      <c r="K1268" s="2" t="s">
        <v>17</v>
      </c>
      <c r="L1268" s="7">
        <v>303.7</v>
      </c>
      <c r="M1268" s="2" t="str">
        <f>_xlfn.IFS(TelecomData[[#This Row],[TenureMonths]]&lt;=12, "0-1 Year", TelecomData[[#This Row],[TenureMonths]]&lt;=36, "1-3 Years", TelecomData[[#This Row],[TenureMonths]]&gt;36, "3+ Years")</f>
        <v>0-1 Year</v>
      </c>
      <c r="N1268" s="2" t="str">
        <f>IF(TelecomData[[#This Row],[CleanedTotalCharges]]&gt;=2500,"High Spend", "Standard Spend")</f>
        <v>Standard Spend</v>
      </c>
    </row>
    <row r="1269" spans="1:14" x14ac:dyDescent="0.3">
      <c r="A1269" s="1" t="s">
        <v>1293</v>
      </c>
      <c r="B1269" s="2" t="s">
        <v>19</v>
      </c>
      <c r="C1269" s="2" t="s">
        <v>35</v>
      </c>
      <c r="D1269" s="2">
        <v>64</v>
      </c>
      <c r="E1269" s="2" t="s">
        <v>14</v>
      </c>
      <c r="F1269" s="2" t="s">
        <v>16</v>
      </c>
      <c r="G1269" s="7">
        <v>76.099999999999994</v>
      </c>
      <c r="H1269" s="7">
        <v>4818.8</v>
      </c>
      <c r="I1269" s="2" t="s">
        <v>15</v>
      </c>
      <c r="J1269" s="2" t="s">
        <v>16</v>
      </c>
      <c r="K1269" s="2" t="s">
        <v>24</v>
      </c>
      <c r="L1269" s="7">
        <v>4818.8</v>
      </c>
      <c r="M1269" s="2" t="str">
        <f>_xlfn.IFS(TelecomData[[#This Row],[TenureMonths]]&lt;=12, "0-1 Year", TelecomData[[#This Row],[TenureMonths]]&lt;=36, "1-3 Years", TelecomData[[#This Row],[TenureMonths]]&gt;36, "3+ Years")</f>
        <v>3+ Years</v>
      </c>
      <c r="N1269" s="2" t="str">
        <f>IF(TelecomData[[#This Row],[CleanedTotalCharges]]&gt;=2500,"High Spend", "Standard Spend")</f>
        <v>High Spend</v>
      </c>
    </row>
    <row r="1270" spans="1:14" x14ac:dyDescent="0.3">
      <c r="A1270" s="1" t="s">
        <v>1294</v>
      </c>
      <c r="B1270" s="2" t="s">
        <v>19</v>
      </c>
      <c r="C1270" s="2" t="s">
        <v>20</v>
      </c>
      <c r="D1270" s="2">
        <v>59</v>
      </c>
      <c r="E1270" s="2" t="s">
        <v>26</v>
      </c>
      <c r="F1270" s="2" t="s">
        <v>15</v>
      </c>
      <c r="G1270" s="7">
        <v>110.15</v>
      </c>
      <c r="H1270" s="7">
        <v>6448.05</v>
      </c>
      <c r="I1270" s="2" t="s">
        <v>16</v>
      </c>
      <c r="J1270" s="2" t="s">
        <v>16</v>
      </c>
      <c r="K1270" s="2" t="s">
        <v>17</v>
      </c>
      <c r="L1270" s="7">
        <v>6448.05</v>
      </c>
      <c r="M1270" s="2" t="str">
        <f>_xlfn.IFS(TelecomData[[#This Row],[TenureMonths]]&lt;=12, "0-1 Year", TelecomData[[#This Row],[TenureMonths]]&lt;=36, "1-3 Years", TelecomData[[#This Row],[TenureMonths]]&gt;36, "3+ Years")</f>
        <v>3+ Years</v>
      </c>
      <c r="N1270" s="2" t="str">
        <f>IF(TelecomData[[#This Row],[CleanedTotalCharges]]&gt;=2500,"High Spend", "Standard Spend")</f>
        <v>High Spend</v>
      </c>
    </row>
    <row r="1271" spans="1:14" x14ac:dyDescent="0.3">
      <c r="A1271" s="1" t="s">
        <v>1295</v>
      </c>
      <c r="B1271" s="2" t="s">
        <v>19</v>
      </c>
      <c r="C1271" s="2" t="s">
        <v>35</v>
      </c>
      <c r="D1271" s="2">
        <v>62</v>
      </c>
      <c r="E1271" s="2" t="s">
        <v>26</v>
      </c>
      <c r="F1271" s="2" t="s">
        <v>16</v>
      </c>
      <c r="G1271" s="7">
        <v>115.55</v>
      </c>
      <c r="H1271" s="7">
        <v>7159.05</v>
      </c>
      <c r="I1271" s="2" t="s">
        <v>15</v>
      </c>
      <c r="J1271" s="2" t="s">
        <v>15</v>
      </c>
      <c r="K1271" s="2" t="s">
        <v>24</v>
      </c>
      <c r="L1271" s="7">
        <v>7159.05</v>
      </c>
      <c r="M1271" s="2" t="str">
        <f>_xlfn.IFS(TelecomData[[#This Row],[TenureMonths]]&lt;=12, "0-1 Year", TelecomData[[#This Row],[TenureMonths]]&lt;=36, "1-3 Years", TelecomData[[#This Row],[TenureMonths]]&gt;36, "3+ Years")</f>
        <v>3+ Years</v>
      </c>
      <c r="N1271" s="2" t="str">
        <f>IF(TelecomData[[#This Row],[CleanedTotalCharges]]&gt;=2500,"High Spend", "Standard Spend")</f>
        <v>High Spend</v>
      </c>
    </row>
    <row r="1272" spans="1:14" x14ac:dyDescent="0.3">
      <c r="A1272" s="1" t="s">
        <v>1296</v>
      </c>
      <c r="B1272" s="2" t="s">
        <v>19</v>
      </c>
      <c r="C1272" s="2" t="s">
        <v>35</v>
      </c>
      <c r="D1272" s="2">
        <v>63</v>
      </c>
      <c r="E1272" s="2" t="s">
        <v>15</v>
      </c>
      <c r="F1272" s="2" t="s">
        <v>36</v>
      </c>
      <c r="G1272" s="7">
        <v>24.65</v>
      </c>
      <c r="H1272" s="7">
        <v>1574.5</v>
      </c>
      <c r="I1272" s="2" t="s">
        <v>15</v>
      </c>
      <c r="J1272" s="2" t="s">
        <v>15</v>
      </c>
      <c r="K1272" s="2" t="s">
        <v>29</v>
      </c>
      <c r="L1272" s="7">
        <v>1574.5</v>
      </c>
      <c r="M1272" s="2" t="str">
        <f>_xlfn.IFS(TelecomData[[#This Row],[TenureMonths]]&lt;=12, "0-1 Year", TelecomData[[#This Row],[TenureMonths]]&lt;=36, "1-3 Years", TelecomData[[#This Row],[TenureMonths]]&gt;36, "3+ Years")</f>
        <v>3+ Years</v>
      </c>
      <c r="N1272" s="2" t="str">
        <f>IF(TelecomData[[#This Row],[CleanedTotalCharges]]&gt;=2500,"High Spend", "Standard Spend")</f>
        <v>Standard Spend</v>
      </c>
    </row>
    <row r="1273" spans="1:14" x14ac:dyDescent="0.3">
      <c r="A1273" s="1" t="s">
        <v>1297</v>
      </c>
      <c r="B1273" s="2" t="s">
        <v>12</v>
      </c>
      <c r="C1273" s="2" t="s">
        <v>20</v>
      </c>
      <c r="D1273" s="2">
        <v>53</v>
      </c>
      <c r="E1273" s="2" t="s">
        <v>14</v>
      </c>
      <c r="F1273" s="2" t="s">
        <v>16</v>
      </c>
      <c r="G1273" s="7">
        <v>53.6</v>
      </c>
      <c r="H1273" s="7">
        <v>2879.2</v>
      </c>
      <c r="I1273" s="2" t="s">
        <v>15</v>
      </c>
      <c r="J1273" s="2" t="s">
        <v>16</v>
      </c>
      <c r="K1273" s="2" t="s">
        <v>17</v>
      </c>
      <c r="L1273" s="7">
        <v>2879.2</v>
      </c>
      <c r="M1273" s="2" t="str">
        <f>_xlfn.IFS(TelecomData[[#This Row],[TenureMonths]]&lt;=12, "0-1 Year", TelecomData[[#This Row],[TenureMonths]]&lt;=36, "1-3 Years", TelecomData[[#This Row],[TenureMonths]]&gt;36, "3+ Years")</f>
        <v>3+ Years</v>
      </c>
      <c r="N1273" s="2" t="str">
        <f>IF(TelecomData[[#This Row],[CleanedTotalCharges]]&gt;=2500,"High Spend", "Standard Spend")</f>
        <v>High Spend</v>
      </c>
    </row>
    <row r="1274" spans="1:14" x14ac:dyDescent="0.3">
      <c r="A1274" s="1" t="s">
        <v>1298</v>
      </c>
      <c r="B1274" s="2" t="s">
        <v>19</v>
      </c>
      <c r="C1274" s="2" t="s">
        <v>13</v>
      </c>
      <c r="D1274" s="2">
        <v>5</v>
      </c>
      <c r="E1274" s="2" t="s">
        <v>15</v>
      </c>
      <c r="F1274" s="2" t="s">
        <v>36</v>
      </c>
      <c r="G1274" s="7">
        <v>19.45</v>
      </c>
      <c r="H1274" s="7">
        <v>86.05</v>
      </c>
      <c r="I1274" s="2" t="s">
        <v>15</v>
      </c>
      <c r="J1274" s="2" t="s">
        <v>15</v>
      </c>
      <c r="K1274" s="2" t="s">
        <v>21</v>
      </c>
      <c r="L1274" s="7">
        <v>86.05</v>
      </c>
      <c r="M1274" s="2" t="str">
        <f>_xlfn.IFS(TelecomData[[#This Row],[TenureMonths]]&lt;=12, "0-1 Year", TelecomData[[#This Row],[TenureMonths]]&lt;=36, "1-3 Years", TelecomData[[#This Row],[TenureMonths]]&gt;36, "3+ Years")</f>
        <v>0-1 Year</v>
      </c>
      <c r="N1274" s="2" t="str">
        <f>IF(TelecomData[[#This Row],[CleanedTotalCharges]]&gt;=2500,"High Spend", "Standard Spend")</f>
        <v>Standard Spend</v>
      </c>
    </row>
    <row r="1275" spans="1:14" x14ac:dyDescent="0.3">
      <c r="A1275" s="1" t="s">
        <v>1299</v>
      </c>
      <c r="B1275" s="2" t="s">
        <v>19</v>
      </c>
      <c r="C1275" s="2" t="s">
        <v>13</v>
      </c>
      <c r="D1275" s="2">
        <v>49</v>
      </c>
      <c r="E1275" s="2" t="s">
        <v>26</v>
      </c>
      <c r="F1275" s="2" t="s">
        <v>15</v>
      </c>
      <c r="G1275" s="7">
        <v>88.2</v>
      </c>
      <c r="H1275" s="7">
        <v>4159.45</v>
      </c>
      <c r="I1275" s="2" t="s">
        <v>15</v>
      </c>
      <c r="J1275" s="2" t="s">
        <v>16</v>
      </c>
      <c r="K1275" s="2" t="s">
        <v>17</v>
      </c>
      <c r="L1275" s="7">
        <v>4159.45</v>
      </c>
      <c r="M1275" s="2" t="str">
        <f>_xlfn.IFS(TelecomData[[#This Row],[TenureMonths]]&lt;=12, "0-1 Year", TelecomData[[#This Row],[TenureMonths]]&lt;=36, "1-3 Years", TelecomData[[#This Row],[TenureMonths]]&gt;36, "3+ Years")</f>
        <v>3+ Years</v>
      </c>
      <c r="N1275" s="2" t="str">
        <f>IF(TelecomData[[#This Row],[CleanedTotalCharges]]&gt;=2500,"High Spend", "Standard Spend")</f>
        <v>High Spend</v>
      </c>
    </row>
    <row r="1276" spans="1:14" x14ac:dyDescent="0.3">
      <c r="A1276" s="1" t="s">
        <v>1300</v>
      </c>
      <c r="B1276" s="2" t="s">
        <v>12</v>
      </c>
      <c r="C1276" s="2" t="s">
        <v>35</v>
      </c>
      <c r="D1276" s="2">
        <v>62</v>
      </c>
      <c r="E1276" s="2" t="s">
        <v>26</v>
      </c>
      <c r="F1276" s="2" t="s">
        <v>15</v>
      </c>
      <c r="G1276" s="7">
        <v>101.15</v>
      </c>
      <c r="H1276" s="7">
        <v>6638.35</v>
      </c>
      <c r="I1276" s="2" t="s">
        <v>15</v>
      </c>
      <c r="J1276" s="2" t="s">
        <v>16</v>
      </c>
      <c r="K1276" s="2" t="s">
        <v>24</v>
      </c>
      <c r="L1276" s="7">
        <v>6638.35</v>
      </c>
      <c r="M1276" s="2" t="str">
        <f>_xlfn.IFS(TelecomData[[#This Row],[TenureMonths]]&lt;=12, "0-1 Year", TelecomData[[#This Row],[TenureMonths]]&lt;=36, "1-3 Years", TelecomData[[#This Row],[TenureMonths]]&gt;36, "3+ Years")</f>
        <v>3+ Years</v>
      </c>
      <c r="N1276" s="2" t="str">
        <f>IF(TelecomData[[#This Row],[CleanedTotalCharges]]&gt;=2500,"High Spend", "Standard Spend")</f>
        <v>High Spend</v>
      </c>
    </row>
    <row r="1277" spans="1:14" x14ac:dyDescent="0.3">
      <c r="A1277" s="1" t="s">
        <v>1301</v>
      </c>
      <c r="B1277" s="2" t="s">
        <v>12</v>
      </c>
      <c r="C1277" s="2" t="s">
        <v>35</v>
      </c>
      <c r="D1277" s="2">
        <v>55</v>
      </c>
      <c r="E1277" s="2" t="s">
        <v>14</v>
      </c>
      <c r="F1277" s="2" t="s">
        <v>16</v>
      </c>
      <c r="G1277" s="7">
        <v>56.8</v>
      </c>
      <c r="H1277" s="7">
        <v>3112.05</v>
      </c>
      <c r="I1277" s="2" t="s">
        <v>15</v>
      </c>
      <c r="J1277" s="2" t="s">
        <v>15</v>
      </c>
      <c r="K1277" s="2" t="s">
        <v>21</v>
      </c>
      <c r="L1277" s="7">
        <v>3112.05</v>
      </c>
      <c r="M1277" s="2" t="str">
        <f>_xlfn.IFS(TelecomData[[#This Row],[TenureMonths]]&lt;=12, "0-1 Year", TelecomData[[#This Row],[TenureMonths]]&lt;=36, "1-3 Years", TelecomData[[#This Row],[TenureMonths]]&gt;36, "3+ Years")</f>
        <v>3+ Years</v>
      </c>
      <c r="N1277" s="2" t="str">
        <f>IF(TelecomData[[#This Row],[CleanedTotalCharges]]&gt;=2500,"High Spend", "Standard Spend")</f>
        <v>High Spend</v>
      </c>
    </row>
    <row r="1278" spans="1:14" x14ac:dyDescent="0.3">
      <c r="A1278" s="1" t="s">
        <v>1302</v>
      </c>
      <c r="B1278" s="2" t="s">
        <v>12</v>
      </c>
      <c r="C1278" s="2" t="s">
        <v>35</v>
      </c>
      <c r="D1278" s="2">
        <v>71</v>
      </c>
      <c r="E1278" s="2" t="s">
        <v>26</v>
      </c>
      <c r="F1278" s="2" t="s">
        <v>16</v>
      </c>
      <c r="G1278" s="7">
        <v>99.4</v>
      </c>
      <c r="H1278" s="7">
        <v>7168.25</v>
      </c>
      <c r="I1278" s="2" t="s">
        <v>15</v>
      </c>
      <c r="J1278" s="2" t="s">
        <v>16</v>
      </c>
      <c r="K1278" s="2" t="s">
        <v>17</v>
      </c>
      <c r="L1278" s="7">
        <v>7168.25</v>
      </c>
      <c r="M1278" s="2" t="str">
        <f>_xlfn.IFS(TelecomData[[#This Row],[TenureMonths]]&lt;=12, "0-1 Year", TelecomData[[#This Row],[TenureMonths]]&lt;=36, "1-3 Years", TelecomData[[#This Row],[TenureMonths]]&gt;36, "3+ Years")</f>
        <v>3+ Years</v>
      </c>
      <c r="N1278" s="2" t="str">
        <f>IF(TelecomData[[#This Row],[CleanedTotalCharges]]&gt;=2500,"High Spend", "Standard Spend")</f>
        <v>High Spend</v>
      </c>
    </row>
    <row r="1279" spans="1:14" x14ac:dyDescent="0.3">
      <c r="A1279" s="1" t="s">
        <v>1303</v>
      </c>
      <c r="B1279" s="2" t="s">
        <v>12</v>
      </c>
      <c r="C1279" s="2" t="s">
        <v>35</v>
      </c>
      <c r="D1279" s="2">
        <v>72</v>
      </c>
      <c r="E1279" s="2" t="s">
        <v>15</v>
      </c>
      <c r="F1279" s="2" t="s">
        <v>36</v>
      </c>
      <c r="G1279" s="7">
        <v>20.100000000000001</v>
      </c>
      <c r="H1279" s="7">
        <v>1326.25</v>
      </c>
      <c r="I1279" s="2" t="s">
        <v>15</v>
      </c>
      <c r="J1279" s="2" t="s">
        <v>16</v>
      </c>
      <c r="K1279" s="2" t="s">
        <v>29</v>
      </c>
      <c r="L1279" s="7">
        <v>1326.25</v>
      </c>
      <c r="M1279" s="2" t="str">
        <f>_xlfn.IFS(TelecomData[[#This Row],[TenureMonths]]&lt;=12, "0-1 Year", TelecomData[[#This Row],[TenureMonths]]&lt;=36, "1-3 Years", TelecomData[[#This Row],[TenureMonths]]&gt;36, "3+ Years")</f>
        <v>3+ Years</v>
      </c>
      <c r="N1279" s="2" t="str">
        <f>IF(TelecomData[[#This Row],[CleanedTotalCharges]]&gt;=2500,"High Spend", "Standard Spend")</f>
        <v>Standard Spend</v>
      </c>
    </row>
    <row r="1280" spans="1:14" x14ac:dyDescent="0.3">
      <c r="A1280" s="1" t="s">
        <v>1304</v>
      </c>
      <c r="B1280" s="2" t="s">
        <v>19</v>
      </c>
      <c r="C1280" s="2" t="s">
        <v>20</v>
      </c>
      <c r="D1280" s="2">
        <v>36</v>
      </c>
      <c r="E1280" s="2" t="s">
        <v>14</v>
      </c>
      <c r="F1280" s="2" t="s">
        <v>16</v>
      </c>
      <c r="G1280" s="7">
        <v>60.7</v>
      </c>
      <c r="H1280" s="7">
        <v>2234.5500000000002</v>
      </c>
      <c r="I1280" s="2" t="s">
        <v>15</v>
      </c>
      <c r="J1280" s="2" t="s">
        <v>15</v>
      </c>
      <c r="K1280" s="2" t="s">
        <v>29</v>
      </c>
      <c r="L1280" s="7">
        <v>2234.5500000000002</v>
      </c>
      <c r="M1280" s="2" t="str">
        <f>_xlfn.IFS(TelecomData[[#This Row],[TenureMonths]]&lt;=12, "0-1 Year", TelecomData[[#This Row],[TenureMonths]]&lt;=36, "1-3 Years", TelecomData[[#This Row],[TenureMonths]]&gt;36, "3+ Years")</f>
        <v>1-3 Years</v>
      </c>
      <c r="N1280" s="2" t="str">
        <f>IF(TelecomData[[#This Row],[CleanedTotalCharges]]&gt;=2500,"High Spend", "Standard Spend")</f>
        <v>Standard Spend</v>
      </c>
    </row>
    <row r="1281" spans="1:14" x14ac:dyDescent="0.3">
      <c r="A1281" s="1" t="s">
        <v>1305</v>
      </c>
      <c r="B1281" s="2" t="s">
        <v>19</v>
      </c>
      <c r="C1281" s="2" t="s">
        <v>20</v>
      </c>
      <c r="D1281" s="2">
        <v>25</v>
      </c>
      <c r="E1281" s="2" t="s">
        <v>15</v>
      </c>
      <c r="F1281" s="2" t="s">
        <v>36</v>
      </c>
      <c r="G1281" s="7">
        <v>20.95</v>
      </c>
      <c r="H1281" s="7">
        <v>495.15</v>
      </c>
      <c r="I1281" s="2" t="s">
        <v>15</v>
      </c>
      <c r="J1281" s="2" t="s">
        <v>16</v>
      </c>
      <c r="K1281" s="2" t="s">
        <v>24</v>
      </c>
      <c r="L1281" s="7">
        <v>495.15</v>
      </c>
      <c r="M1281" s="2" t="str">
        <f>_xlfn.IFS(TelecomData[[#This Row],[TenureMonths]]&lt;=12, "0-1 Year", TelecomData[[#This Row],[TenureMonths]]&lt;=36, "1-3 Years", TelecomData[[#This Row],[TenureMonths]]&gt;36, "3+ Years")</f>
        <v>1-3 Years</v>
      </c>
      <c r="N1281" s="2" t="str">
        <f>IF(TelecomData[[#This Row],[CleanedTotalCharges]]&gt;=2500,"High Spend", "Standard Spend")</f>
        <v>Standard Spend</v>
      </c>
    </row>
    <row r="1282" spans="1:14" x14ac:dyDescent="0.3">
      <c r="A1282" s="1" t="s">
        <v>1306</v>
      </c>
      <c r="B1282" s="2" t="s">
        <v>12</v>
      </c>
      <c r="C1282" s="2" t="s">
        <v>35</v>
      </c>
      <c r="D1282" s="2">
        <v>72</v>
      </c>
      <c r="E1282" s="2" t="s">
        <v>26</v>
      </c>
      <c r="F1282" s="2" t="s">
        <v>16</v>
      </c>
      <c r="G1282" s="7">
        <v>114.85</v>
      </c>
      <c r="H1282" s="7">
        <v>8317.9500000000007</v>
      </c>
      <c r="I1282" s="2" t="s">
        <v>15</v>
      </c>
      <c r="J1282" s="2" t="s">
        <v>16</v>
      </c>
      <c r="K1282" s="2" t="s">
        <v>24</v>
      </c>
      <c r="L1282" s="7">
        <v>8317.9500000000007</v>
      </c>
      <c r="M1282" s="2" t="str">
        <f>_xlfn.IFS(TelecomData[[#This Row],[TenureMonths]]&lt;=12, "0-1 Year", TelecomData[[#This Row],[TenureMonths]]&lt;=36, "1-3 Years", TelecomData[[#This Row],[TenureMonths]]&gt;36, "3+ Years")</f>
        <v>3+ Years</v>
      </c>
      <c r="N1282" s="2" t="str">
        <f>IF(TelecomData[[#This Row],[CleanedTotalCharges]]&gt;=2500,"High Spend", "Standard Spend")</f>
        <v>High Spend</v>
      </c>
    </row>
    <row r="1283" spans="1:14" x14ac:dyDescent="0.3">
      <c r="A1283" s="1" t="s">
        <v>1307</v>
      </c>
      <c r="B1283" s="2" t="s">
        <v>12</v>
      </c>
      <c r="C1283" s="2" t="s">
        <v>20</v>
      </c>
      <c r="D1283" s="2">
        <v>36</v>
      </c>
      <c r="E1283" s="2" t="s">
        <v>15</v>
      </c>
      <c r="F1283" s="2" t="s">
        <v>36</v>
      </c>
      <c r="G1283" s="7">
        <v>19.25</v>
      </c>
      <c r="H1283" s="7">
        <v>679.8</v>
      </c>
      <c r="I1283" s="2" t="s">
        <v>15</v>
      </c>
      <c r="J1283" s="2" t="s">
        <v>16</v>
      </c>
      <c r="K1283" s="2" t="s">
        <v>24</v>
      </c>
      <c r="L1283" s="7">
        <v>679.8</v>
      </c>
      <c r="M1283" s="2" t="str">
        <f>_xlfn.IFS(TelecomData[[#This Row],[TenureMonths]]&lt;=12, "0-1 Year", TelecomData[[#This Row],[TenureMonths]]&lt;=36, "1-3 Years", TelecomData[[#This Row],[TenureMonths]]&gt;36, "3+ Years")</f>
        <v>1-3 Years</v>
      </c>
      <c r="N1283" s="2" t="str">
        <f>IF(TelecomData[[#This Row],[CleanedTotalCharges]]&gt;=2500,"High Spend", "Standard Spend")</f>
        <v>Standard Spend</v>
      </c>
    </row>
    <row r="1284" spans="1:14" x14ac:dyDescent="0.3">
      <c r="A1284" s="1" t="s">
        <v>1308</v>
      </c>
      <c r="B1284" s="2" t="s">
        <v>19</v>
      </c>
      <c r="C1284" s="2" t="s">
        <v>13</v>
      </c>
      <c r="D1284" s="2">
        <v>1</v>
      </c>
      <c r="E1284" s="2" t="s">
        <v>14</v>
      </c>
      <c r="F1284" s="2" t="s">
        <v>15</v>
      </c>
      <c r="G1284" s="7">
        <v>62.8</v>
      </c>
      <c r="H1284" s="7">
        <v>62.8</v>
      </c>
      <c r="I1284" s="2" t="s">
        <v>15</v>
      </c>
      <c r="J1284" s="2" t="s">
        <v>16</v>
      </c>
      <c r="K1284" s="2" t="s">
        <v>21</v>
      </c>
      <c r="L1284" s="7">
        <v>62.8</v>
      </c>
      <c r="M1284" s="2" t="str">
        <f>_xlfn.IFS(TelecomData[[#This Row],[TenureMonths]]&lt;=12, "0-1 Year", TelecomData[[#This Row],[TenureMonths]]&lt;=36, "1-3 Years", TelecomData[[#This Row],[TenureMonths]]&gt;36, "3+ Years")</f>
        <v>0-1 Year</v>
      </c>
      <c r="N1284" s="2" t="str">
        <f>IF(TelecomData[[#This Row],[CleanedTotalCharges]]&gt;=2500,"High Spend", "Standard Spend")</f>
        <v>Standard Spend</v>
      </c>
    </row>
    <row r="1285" spans="1:14" x14ac:dyDescent="0.3">
      <c r="A1285" s="1" t="s">
        <v>1309</v>
      </c>
      <c r="B1285" s="2" t="s">
        <v>12</v>
      </c>
      <c r="C1285" s="2" t="s">
        <v>35</v>
      </c>
      <c r="D1285" s="2">
        <v>72</v>
      </c>
      <c r="E1285" s="2" t="s">
        <v>26</v>
      </c>
      <c r="F1285" s="2" t="s">
        <v>15</v>
      </c>
      <c r="G1285" s="7">
        <v>105.5</v>
      </c>
      <c r="H1285" s="7">
        <v>7544</v>
      </c>
      <c r="I1285" s="2" t="s">
        <v>15</v>
      </c>
      <c r="J1285" s="2" t="s">
        <v>16</v>
      </c>
      <c r="K1285" s="2" t="s">
        <v>17</v>
      </c>
      <c r="L1285" s="7">
        <v>7544</v>
      </c>
      <c r="M1285" s="2" t="str">
        <f>_xlfn.IFS(TelecomData[[#This Row],[TenureMonths]]&lt;=12, "0-1 Year", TelecomData[[#This Row],[TenureMonths]]&lt;=36, "1-3 Years", TelecomData[[#This Row],[TenureMonths]]&gt;36, "3+ Years")</f>
        <v>3+ Years</v>
      </c>
      <c r="N1285" s="2" t="str">
        <f>IF(TelecomData[[#This Row],[CleanedTotalCharges]]&gt;=2500,"High Spend", "Standard Spend")</f>
        <v>High Spend</v>
      </c>
    </row>
    <row r="1286" spans="1:14" x14ac:dyDescent="0.3">
      <c r="A1286" s="1" t="s">
        <v>1310</v>
      </c>
      <c r="B1286" s="2" t="s">
        <v>19</v>
      </c>
      <c r="C1286" s="2" t="s">
        <v>35</v>
      </c>
      <c r="D1286" s="2">
        <v>59</v>
      </c>
      <c r="E1286" s="2" t="s">
        <v>15</v>
      </c>
      <c r="F1286" s="2" t="s">
        <v>36</v>
      </c>
      <c r="G1286" s="7">
        <v>19.850000000000001</v>
      </c>
      <c r="H1286" s="7">
        <v>1188.25</v>
      </c>
      <c r="I1286" s="2" t="s">
        <v>15</v>
      </c>
      <c r="J1286" s="2" t="s">
        <v>15</v>
      </c>
      <c r="K1286" s="2" t="s">
        <v>21</v>
      </c>
      <c r="L1286" s="7">
        <v>1188.25</v>
      </c>
      <c r="M1286" s="2" t="str">
        <f>_xlfn.IFS(TelecomData[[#This Row],[TenureMonths]]&lt;=12, "0-1 Year", TelecomData[[#This Row],[TenureMonths]]&lt;=36, "1-3 Years", TelecomData[[#This Row],[TenureMonths]]&gt;36, "3+ Years")</f>
        <v>3+ Years</v>
      </c>
      <c r="N1286" s="2" t="str">
        <f>IF(TelecomData[[#This Row],[CleanedTotalCharges]]&gt;=2500,"High Spend", "Standard Spend")</f>
        <v>Standard Spend</v>
      </c>
    </row>
    <row r="1287" spans="1:14" x14ac:dyDescent="0.3">
      <c r="A1287" s="1" t="s">
        <v>1311</v>
      </c>
      <c r="B1287" s="2" t="s">
        <v>19</v>
      </c>
      <c r="C1287" s="2" t="s">
        <v>13</v>
      </c>
      <c r="D1287" s="2">
        <v>7</v>
      </c>
      <c r="E1287" s="2" t="s">
        <v>26</v>
      </c>
      <c r="F1287" s="2" t="s">
        <v>15</v>
      </c>
      <c r="G1287" s="7">
        <v>89.5</v>
      </c>
      <c r="H1287" s="7">
        <v>676.7</v>
      </c>
      <c r="I1287" s="2" t="s">
        <v>16</v>
      </c>
      <c r="J1287" s="2" t="s">
        <v>16</v>
      </c>
      <c r="K1287" s="2" t="s">
        <v>17</v>
      </c>
      <c r="L1287" s="7">
        <v>676.7</v>
      </c>
      <c r="M1287" s="2" t="str">
        <f>_xlfn.IFS(TelecomData[[#This Row],[TenureMonths]]&lt;=12, "0-1 Year", TelecomData[[#This Row],[TenureMonths]]&lt;=36, "1-3 Years", TelecomData[[#This Row],[TenureMonths]]&gt;36, "3+ Years")</f>
        <v>0-1 Year</v>
      </c>
      <c r="N1287" s="2" t="str">
        <f>IF(TelecomData[[#This Row],[CleanedTotalCharges]]&gt;=2500,"High Spend", "Standard Spend")</f>
        <v>Standard Spend</v>
      </c>
    </row>
    <row r="1288" spans="1:14" x14ac:dyDescent="0.3">
      <c r="A1288" s="1" t="s">
        <v>1312</v>
      </c>
      <c r="B1288" s="2" t="s">
        <v>12</v>
      </c>
      <c r="C1288" s="2" t="s">
        <v>20</v>
      </c>
      <c r="D1288" s="2">
        <v>1</v>
      </c>
      <c r="E1288" s="2" t="s">
        <v>14</v>
      </c>
      <c r="F1288" s="2" t="s">
        <v>16</v>
      </c>
      <c r="G1288" s="7">
        <v>74.099999999999994</v>
      </c>
      <c r="H1288" s="7">
        <v>74.099999999999994</v>
      </c>
      <c r="I1288" s="2" t="s">
        <v>15</v>
      </c>
      <c r="J1288" s="2" t="s">
        <v>15</v>
      </c>
      <c r="K1288" s="2" t="s">
        <v>29</v>
      </c>
      <c r="L1288" s="7">
        <v>74.099999999999994</v>
      </c>
      <c r="M1288" s="2" t="str">
        <f>_xlfn.IFS(TelecomData[[#This Row],[TenureMonths]]&lt;=12, "0-1 Year", TelecomData[[#This Row],[TenureMonths]]&lt;=36, "1-3 Years", TelecomData[[#This Row],[TenureMonths]]&gt;36, "3+ Years")</f>
        <v>0-1 Year</v>
      </c>
      <c r="N1288" s="2" t="str">
        <f>IF(TelecomData[[#This Row],[CleanedTotalCharges]]&gt;=2500,"High Spend", "Standard Spend")</f>
        <v>Standard Spend</v>
      </c>
    </row>
    <row r="1289" spans="1:14" x14ac:dyDescent="0.3">
      <c r="A1289" s="1" t="s">
        <v>1313</v>
      </c>
      <c r="B1289" s="2" t="s">
        <v>12</v>
      </c>
      <c r="C1289" s="2" t="s">
        <v>13</v>
      </c>
      <c r="D1289" s="2">
        <v>30</v>
      </c>
      <c r="E1289" s="2" t="s">
        <v>26</v>
      </c>
      <c r="F1289" s="2" t="s">
        <v>16</v>
      </c>
      <c r="G1289" s="7">
        <v>107.5</v>
      </c>
      <c r="H1289" s="7">
        <v>3242.5</v>
      </c>
      <c r="I1289" s="2" t="s">
        <v>15</v>
      </c>
      <c r="J1289" s="2" t="s">
        <v>16</v>
      </c>
      <c r="K1289" s="2" t="s">
        <v>17</v>
      </c>
      <c r="L1289" s="7">
        <v>3242.5</v>
      </c>
      <c r="M1289" s="2" t="str">
        <f>_xlfn.IFS(TelecomData[[#This Row],[TenureMonths]]&lt;=12, "0-1 Year", TelecomData[[#This Row],[TenureMonths]]&lt;=36, "1-3 Years", TelecomData[[#This Row],[TenureMonths]]&gt;36, "3+ Years")</f>
        <v>1-3 Years</v>
      </c>
      <c r="N1289" s="2" t="str">
        <f>IF(TelecomData[[#This Row],[CleanedTotalCharges]]&gt;=2500,"High Spend", "Standard Spend")</f>
        <v>High Spend</v>
      </c>
    </row>
    <row r="1290" spans="1:14" x14ac:dyDescent="0.3">
      <c r="A1290" s="1" t="s">
        <v>1314</v>
      </c>
      <c r="B1290" s="2" t="s">
        <v>19</v>
      </c>
      <c r="C1290" s="2" t="s">
        <v>35</v>
      </c>
      <c r="D1290" s="2">
        <v>64</v>
      </c>
      <c r="E1290" s="2" t="s">
        <v>15</v>
      </c>
      <c r="F1290" s="2" t="s">
        <v>36</v>
      </c>
      <c r="G1290" s="7">
        <v>19.55</v>
      </c>
      <c r="H1290" s="7">
        <v>1240.1500000000001</v>
      </c>
      <c r="I1290" s="2" t="s">
        <v>15</v>
      </c>
      <c r="J1290" s="2" t="s">
        <v>15</v>
      </c>
      <c r="K1290" s="2" t="s">
        <v>21</v>
      </c>
      <c r="L1290" s="7">
        <v>1240.1500000000001</v>
      </c>
      <c r="M1290" s="2" t="str">
        <f>_xlfn.IFS(TelecomData[[#This Row],[TenureMonths]]&lt;=12, "0-1 Year", TelecomData[[#This Row],[TenureMonths]]&lt;=36, "1-3 Years", TelecomData[[#This Row],[TenureMonths]]&gt;36, "3+ Years")</f>
        <v>3+ Years</v>
      </c>
      <c r="N1290" s="2" t="str">
        <f>IF(TelecomData[[#This Row],[CleanedTotalCharges]]&gt;=2500,"High Spend", "Standard Spend")</f>
        <v>Standard Spend</v>
      </c>
    </row>
    <row r="1291" spans="1:14" x14ac:dyDescent="0.3">
      <c r="A1291" s="1" t="s">
        <v>1315</v>
      </c>
      <c r="B1291" s="2" t="s">
        <v>19</v>
      </c>
      <c r="C1291" s="2" t="s">
        <v>20</v>
      </c>
      <c r="D1291" s="2">
        <v>63</v>
      </c>
      <c r="E1291" s="2" t="s">
        <v>14</v>
      </c>
      <c r="F1291" s="2" t="s">
        <v>16</v>
      </c>
      <c r="G1291" s="7">
        <v>68.8</v>
      </c>
      <c r="H1291" s="7">
        <v>4111.3500000000004</v>
      </c>
      <c r="I1291" s="2" t="s">
        <v>15</v>
      </c>
      <c r="J1291" s="2" t="s">
        <v>15</v>
      </c>
      <c r="K1291" s="2" t="s">
        <v>24</v>
      </c>
      <c r="L1291" s="7">
        <v>4111.3500000000004</v>
      </c>
      <c r="M1291" s="2" t="str">
        <f>_xlfn.IFS(TelecomData[[#This Row],[TenureMonths]]&lt;=12, "0-1 Year", TelecomData[[#This Row],[TenureMonths]]&lt;=36, "1-3 Years", TelecomData[[#This Row],[TenureMonths]]&gt;36, "3+ Years")</f>
        <v>3+ Years</v>
      </c>
      <c r="N1291" s="2" t="str">
        <f>IF(TelecomData[[#This Row],[CleanedTotalCharges]]&gt;=2500,"High Spend", "Standard Spend")</f>
        <v>High Spend</v>
      </c>
    </row>
    <row r="1292" spans="1:14" x14ac:dyDescent="0.3">
      <c r="A1292" s="1" t="s">
        <v>1316</v>
      </c>
      <c r="B1292" s="2" t="s">
        <v>19</v>
      </c>
      <c r="C1292" s="2" t="s">
        <v>35</v>
      </c>
      <c r="D1292" s="2">
        <v>72</v>
      </c>
      <c r="E1292" s="2" t="s">
        <v>14</v>
      </c>
      <c r="F1292" s="2" t="s">
        <v>15</v>
      </c>
      <c r="G1292" s="7">
        <v>84.45</v>
      </c>
      <c r="H1292" s="7">
        <v>5899.85</v>
      </c>
      <c r="I1292" s="2" t="s">
        <v>15</v>
      </c>
      <c r="J1292" s="2" t="s">
        <v>15</v>
      </c>
      <c r="K1292" s="2" t="s">
        <v>29</v>
      </c>
      <c r="L1292" s="7">
        <v>5899.85</v>
      </c>
      <c r="M1292" s="2" t="str">
        <f>_xlfn.IFS(TelecomData[[#This Row],[TenureMonths]]&lt;=12, "0-1 Year", TelecomData[[#This Row],[TenureMonths]]&lt;=36, "1-3 Years", TelecomData[[#This Row],[TenureMonths]]&gt;36, "3+ Years")</f>
        <v>3+ Years</v>
      </c>
      <c r="N1292" s="2" t="str">
        <f>IF(TelecomData[[#This Row],[CleanedTotalCharges]]&gt;=2500,"High Spend", "Standard Spend")</f>
        <v>High Spend</v>
      </c>
    </row>
    <row r="1293" spans="1:14" x14ac:dyDescent="0.3">
      <c r="A1293" s="1" t="s">
        <v>1317</v>
      </c>
      <c r="B1293" s="2" t="s">
        <v>19</v>
      </c>
      <c r="C1293" s="2" t="s">
        <v>13</v>
      </c>
      <c r="D1293" s="2">
        <v>8</v>
      </c>
      <c r="E1293" s="2" t="s">
        <v>26</v>
      </c>
      <c r="F1293" s="2" t="s">
        <v>15</v>
      </c>
      <c r="G1293" s="7">
        <v>75</v>
      </c>
      <c r="H1293" s="7">
        <v>632.95000000000005</v>
      </c>
      <c r="I1293" s="2" t="s">
        <v>16</v>
      </c>
      <c r="J1293" s="2" t="s">
        <v>15</v>
      </c>
      <c r="K1293" s="2" t="s">
        <v>17</v>
      </c>
      <c r="L1293" s="7">
        <v>632.95000000000005</v>
      </c>
      <c r="M1293" s="2" t="str">
        <f>_xlfn.IFS(TelecomData[[#This Row],[TenureMonths]]&lt;=12, "0-1 Year", TelecomData[[#This Row],[TenureMonths]]&lt;=36, "1-3 Years", TelecomData[[#This Row],[TenureMonths]]&gt;36, "3+ Years")</f>
        <v>0-1 Year</v>
      </c>
      <c r="N1293" s="2" t="str">
        <f>IF(TelecomData[[#This Row],[CleanedTotalCharges]]&gt;=2500,"High Spend", "Standard Spend")</f>
        <v>Standard Spend</v>
      </c>
    </row>
    <row r="1294" spans="1:14" x14ac:dyDescent="0.3">
      <c r="A1294" s="1" t="s">
        <v>1318</v>
      </c>
      <c r="B1294" s="2" t="s">
        <v>12</v>
      </c>
      <c r="C1294" s="2" t="s">
        <v>35</v>
      </c>
      <c r="D1294" s="2">
        <v>62</v>
      </c>
      <c r="E1294" s="2" t="s">
        <v>14</v>
      </c>
      <c r="F1294" s="2" t="s">
        <v>16</v>
      </c>
      <c r="G1294" s="7">
        <v>84.5</v>
      </c>
      <c r="H1294" s="7">
        <v>5193.2</v>
      </c>
      <c r="I1294" s="2" t="s">
        <v>15</v>
      </c>
      <c r="J1294" s="2" t="s">
        <v>15</v>
      </c>
      <c r="K1294" s="2" t="s">
        <v>24</v>
      </c>
      <c r="L1294" s="7">
        <v>5193.2</v>
      </c>
      <c r="M1294" s="2" t="str">
        <f>_xlfn.IFS(TelecomData[[#This Row],[TenureMonths]]&lt;=12, "0-1 Year", TelecomData[[#This Row],[TenureMonths]]&lt;=36, "1-3 Years", TelecomData[[#This Row],[TenureMonths]]&gt;36, "3+ Years")</f>
        <v>3+ Years</v>
      </c>
      <c r="N1294" s="2" t="str">
        <f>IF(TelecomData[[#This Row],[CleanedTotalCharges]]&gt;=2500,"High Spend", "Standard Spend")</f>
        <v>High Spend</v>
      </c>
    </row>
    <row r="1295" spans="1:14" x14ac:dyDescent="0.3">
      <c r="A1295" s="1" t="s">
        <v>1319</v>
      </c>
      <c r="B1295" s="2" t="s">
        <v>19</v>
      </c>
      <c r="C1295" s="2" t="s">
        <v>35</v>
      </c>
      <c r="D1295" s="2">
        <v>67</v>
      </c>
      <c r="E1295" s="2" t="s">
        <v>26</v>
      </c>
      <c r="F1295" s="2" t="s">
        <v>16</v>
      </c>
      <c r="G1295" s="7">
        <v>111.2</v>
      </c>
      <c r="H1295" s="7">
        <v>7530.8</v>
      </c>
      <c r="I1295" s="2" t="s">
        <v>15</v>
      </c>
      <c r="J1295" s="2" t="s">
        <v>16</v>
      </c>
      <c r="K1295" s="2" t="s">
        <v>24</v>
      </c>
      <c r="L1295" s="7">
        <v>7530.8</v>
      </c>
      <c r="M1295" s="2" t="str">
        <f>_xlfn.IFS(TelecomData[[#This Row],[TenureMonths]]&lt;=12, "0-1 Year", TelecomData[[#This Row],[TenureMonths]]&lt;=36, "1-3 Years", TelecomData[[#This Row],[TenureMonths]]&gt;36, "3+ Years")</f>
        <v>3+ Years</v>
      </c>
      <c r="N1295" s="2" t="str">
        <f>IF(TelecomData[[#This Row],[CleanedTotalCharges]]&gt;=2500,"High Spend", "Standard Spend")</f>
        <v>High Spend</v>
      </c>
    </row>
    <row r="1296" spans="1:14" x14ac:dyDescent="0.3">
      <c r="A1296" s="1" t="s">
        <v>1320</v>
      </c>
      <c r="B1296" s="2" t="s">
        <v>19</v>
      </c>
      <c r="C1296" s="2" t="s">
        <v>13</v>
      </c>
      <c r="D1296" s="2">
        <v>6</v>
      </c>
      <c r="E1296" s="2" t="s">
        <v>14</v>
      </c>
      <c r="F1296" s="2" t="s">
        <v>15</v>
      </c>
      <c r="G1296" s="7">
        <v>44.75</v>
      </c>
      <c r="H1296" s="7">
        <v>270.95</v>
      </c>
      <c r="I1296" s="2" t="s">
        <v>16</v>
      </c>
      <c r="J1296" s="2" t="s">
        <v>15</v>
      </c>
      <c r="K1296" s="2" t="s">
        <v>17</v>
      </c>
      <c r="L1296" s="7">
        <v>270.95</v>
      </c>
      <c r="M1296" s="2" t="str">
        <f>_xlfn.IFS(TelecomData[[#This Row],[TenureMonths]]&lt;=12, "0-1 Year", TelecomData[[#This Row],[TenureMonths]]&lt;=36, "1-3 Years", TelecomData[[#This Row],[TenureMonths]]&gt;36, "3+ Years")</f>
        <v>0-1 Year</v>
      </c>
      <c r="N1296" s="2" t="str">
        <f>IF(TelecomData[[#This Row],[CleanedTotalCharges]]&gt;=2500,"High Spend", "Standard Spend")</f>
        <v>Standard Spend</v>
      </c>
    </row>
    <row r="1297" spans="1:14" x14ac:dyDescent="0.3">
      <c r="A1297" s="1" t="s">
        <v>1321</v>
      </c>
      <c r="B1297" s="2" t="s">
        <v>12</v>
      </c>
      <c r="C1297" s="2" t="s">
        <v>35</v>
      </c>
      <c r="D1297" s="2">
        <v>70</v>
      </c>
      <c r="E1297" s="2" t="s">
        <v>14</v>
      </c>
      <c r="F1297" s="2" t="s">
        <v>16</v>
      </c>
      <c r="G1297" s="7">
        <v>80.599999999999994</v>
      </c>
      <c r="H1297" s="7">
        <v>5460.2</v>
      </c>
      <c r="I1297" s="2" t="s">
        <v>15</v>
      </c>
      <c r="J1297" s="2" t="s">
        <v>16</v>
      </c>
      <c r="K1297" s="2" t="s">
        <v>24</v>
      </c>
      <c r="L1297" s="7">
        <v>5460.2</v>
      </c>
      <c r="M1297" s="2" t="str">
        <f>_xlfn.IFS(TelecomData[[#This Row],[TenureMonths]]&lt;=12, "0-1 Year", TelecomData[[#This Row],[TenureMonths]]&lt;=36, "1-3 Years", TelecomData[[#This Row],[TenureMonths]]&gt;36, "3+ Years")</f>
        <v>3+ Years</v>
      </c>
      <c r="N1297" s="2" t="str">
        <f>IF(TelecomData[[#This Row],[CleanedTotalCharges]]&gt;=2500,"High Spend", "Standard Spend")</f>
        <v>High Spend</v>
      </c>
    </row>
    <row r="1298" spans="1:14" x14ac:dyDescent="0.3">
      <c r="A1298" s="1" t="s">
        <v>1322</v>
      </c>
      <c r="B1298" s="2" t="s">
        <v>12</v>
      </c>
      <c r="C1298" s="2" t="s">
        <v>13</v>
      </c>
      <c r="D1298" s="2">
        <v>20</v>
      </c>
      <c r="E1298" s="2" t="s">
        <v>26</v>
      </c>
      <c r="F1298" s="2" t="s">
        <v>15</v>
      </c>
      <c r="G1298" s="7">
        <v>80.7</v>
      </c>
      <c r="H1298" s="7">
        <v>1614.2</v>
      </c>
      <c r="I1298" s="2" t="s">
        <v>15</v>
      </c>
      <c r="J1298" s="2" t="s">
        <v>15</v>
      </c>
      <c r="K1298" s="2" t="s">
        <v>24</v>
      </c>
      <c r="L1298" s="7">
        <v>1614.2</v>
      </c>
      <c r="M1298" s="2" t="str">
        <f>_xlfn.IFS(TelecomData[[#This Row],[TenureMonths]]&lt;=12, "0-1 Year", TelecomData[[#This Row],[TenureMonths]]&lt;=36, "1-3 Years", TelecomData[[#This Row],[TenureMonths]]&gt;36, "3+ Years")</f>
        <v>1-3 Years</v>
      </c>
      <c r="N1298" s="2" t="str">
        <f>IF(TelecomData[[#This Row],[CleanedTotalCharges]]&gt;=2500,"High Spend", "Standard Spend")</f>
        <v>Standard Spend</v>
      </c>
    </row>
    <row r="1299" spans="1:14" x14ac:dyDescent="0.3">
      <c r="A1299" s="1" t="s">
        <v>1323</v>
      </c>
      <c r="B1299" s="2" t="s">
        <v>12</v>
      </c>
      <c r="C1299" s="2" t="s">
        <v>13</v>
      </c>
      <c r="D1299" s="2">
        <v>5</v>
      </c>
      <c r="E1299" s="2" t="s">
        <v>26</v>
      </c>
      <c r="F1299" s="2" t="s">
        <v>15</v>
      </c>
      <c r="G1299" s="7">
        <v>75.599999999999994</v>
      </c>
      <c r="H1299" s="7">
        <v>402.5</v>
      </c>
      <c r="I1299" s="2" t="s">
        <v>15</v>
      </c>
      <c r="J1299" s="2" t="s">
        <v>15</v>
      </c>
      <c r="K1299" s="2" t="s">
        <v>17</v>
      </c>
      <c r="L1299" s="7">
        <v>402.5</v>
      </c>
      <c r="M1299" s="2" t="str">
        <f>_xlfn.IFS(TelecomData[[#This Row],[TenureMonths]]&lt;=12, "0-1 Year", TelecomData[[#This Row],[TenureMonths]]&lt;=36, "1-3 Years", TelecomData[[#This Row],[TenureMonths]]&gt;36, "3+ Years")</f>
        <v>0-1 Year</v>
      </c>
      <c r="N1299" s="2" t="str">
        <f>IF(TelecomData[[#This Row],[CleanedTotalCharges]]&gt;=2500,"High Spend", "Standard Spend")</f>
        <v>Standard Spend</v>
      </c>
    </row>
    <row r="1300" spans="1:14" x14ac:dyDescent="0.3">
      <c r="A1300" s="1" t="s">
        <v>1324</v>
      </c>
      <c r="B1300" s="2" t="s">
        <v>12</v>
      </c>
      <c r="C1300" s="2" t="s">
        <v>20</v>
      </c>
      <c r="D1300" s="2">
        <v>24</v>
      </c>
      <c r="E1300" s="2" t="s">
        <v>14</v>
      </c>
      <c r="F1300" s="2" t="s">
        <v>15</v>
      </c>
      <c r="G1300" s="7">
        <v>57.6</v>
      </c>
      <c r="H1300" s="7">
        <v>1367.75</v>
      </c>
      <c r="I1300" s="2" t="s">
        <v>15</v>
      </c>
      <c r="J1300" s="2" t="s">
        <v>15</v>
      </c>
      <c r="K1300" s="2" t="s">
        <v>17</v>
      </c>
      <c r="L1300" s="7">
        <v>1367.75</v>
      </c>
      <c r="M1300" s="2" t="str">
        <f>_xlfn.IFS(TelecomData[[#This Row],[TenureMonths]]&lt;=12, "0-1 Year", TelecomData[[#This Row],[TenureMonths]]&lt;=36, "1-3 Years", TelecomData[[#This Row],[TenureMonths]]&gt;36, "3+ Years")</f>
        <v>1-3 Years</v>
      </c>
      <c r="N1300" s="2" t="str">
        <f>IF(TelecomData[[#This Row],[CleanedTotalCharges]]&gt;=2500,"High Spend", "Standard Spend")</f>
        <v>Standard Spend</v>
      </c>
    </row>
    <row r="1301" spans="1:14" x14ac:dyDescent="0.3">
      <c r="A1301" s="1" t="s">
        <v>1325</v>
      </c>
      <c r="B1301" s="2" t="s">
        <v>12</v>
      </c>
      <c r="C1301" s="2" t="s">
        <v>13</v>
      </c>
      <c r="D1301" s="2">
        <v>11</v>
      </c>
      <c r="E1301" s="2" t="s">
        <v>14</v>
      </c>
      <c r="F1301" s="2" t="s">
        <v>15</v>
      </c>
      <c r="G1301" s="7">
        <v>44.05</v>
      </c>
      <c r="H1301" s="7">
        <v>483.7</v>
      </c>
      <c r="I1301" s="2" t="s">
        <v>16</v>
      </c>
      <c r="J1301" s="2" t="s">
        <v>16</v>
      </c>
      <c r="K1301" s="2" t="s">
        <v>17</v>
      </c>
      <c r="L1301" s="7">
        <v>483.7</v>
      </c>
      <c r="M1301" s="2" t="str">
        <f>_xlfn.IFS(TelecomData[[#This Row],[TenureMonths]]&lt;=12, "0-1 Year", TelecomData[[#This Row],[TenureMonths]]&lt;=36, "1-3 Years", TelecomData[[#This Row],[TenureMonths]]&gt;36, "3+ Years")</f>
        <v>0-1 Year</v>
      </c>
      <c r="N1301" s="2" t="str">
        <f>IF(TelecomData[[#This Row],[CleanedTotalCharges]]&gt;=2500,"High Spend", "Standard Spend")</f>
        <v>Standard Spend</v>
      </c>
    </row>
    <row r="1302" spans="1:14" x14ac:dyDescent="0.3">
      <c r="A1302" s="1" t="s">
        <v>1326</v>
      </c>
      <c r="B1302" s="2" t="s">
        <v>19</v>
      </c>
      <c r="C1302" s="2" t="s">
        <v>35</v>
      </c>
      <c r="D1302" s="2">
        <v>72</v>
      </c>
      <c r="E1302" s="2" t="s">
        <v>26</v>
      </c>
      <c r="F1302" s="2" t="s">
        <v>16</v>
      </c>
      <c r="G1302" s="7">
        <v>110.6</v>
      </c>
      <c r="H1302" s="7">
        <v>7962.2</v>
      </c>
      <c r="I1302" s="2" t="s">
        <v>15</v>
      </c>
      <c r="J1302" s="2" t="s">
        <v>16</v>
      </c>
      <c r="K1302" s="2" t="s">
        <v>29</v>
      </c>
      <c r="L1302" s="7">
        <v>7962.2</v>
      </c>
      <c r="M1302" s="2" t="str">
        <f>_xlfn.IFS(TelecomData[[#This Row],[TenureMonths]]&lt;=12, "0-1 Year", TelecomData[[#This Row],[TenureMonths]]&lt;=36, "1-3 Years", TelecomData[[#This Row],[TenureMonths]]&gt;36, "3+ Years")</f>
        <v>3+ Years</v>
      </c>
      <c r="N1302" s="2" t="str">
        <f>IF(TelecomData[[#This Row],[CleanedTotalCharges]]&gt;=2500,"High Spend", "Standard Spend")</f>
        <v>High Spend</v>
      </c>
    </row>
    <row r="1303" spans="1:14" x14ac:dyDescent="0.3">
      <c r="A1303" s="1" t="s">
        <v>1327</v>
      </c>
      <c r="B1303" s="2" t="s">
        <v>12</v>
      </c>
      <c r="C1303" s="2" t="s">
        <v>35</v>
      </c>
      <c r="D1303" s="2">
        <v>66</v>
      </c>
      <c r="E1303" s="2" t="s">
        <v>14</v>
      </c>
      <c r="F1303" s="2" t="s">
        <v>16</v>
      </c>
      <c r="G1303" s="7">
        <v>58.2</v>
      </c>
      <c r="H1303" s="7">
        <v>3810.8</v>
      </c>
      <c r="I1303" s="2" t="s">
        <v>15</v>
      </c>
      <c r="J1303" s="2" t="s">
        <v>16</v>
      </c>
      <c r="K1303" s="2" t="s">
        <v>29</v>
      </c>
      <c r="L1303" s="7">
        <v>3810.8</v>
      </c>
      <c r="M1303" s="2" t="str">
        <f>_xlfn.IFS(TelecomData[[#This Row],[TenureMonths]]&lt;=12, "0-1 Year", TelecomData[[#This Row],[TenureMonths]]&lt;=36, "1-3 Years", TelecomData[[#This Row],[TenureMonths]]&gt;36, "3+ Years")</f>
        <v>3+ Years</v>
      </c>
      <c r="N1303" s="2" t="str">
        <f>IF(TelecomData[[#This Row],[CleanedTotalCharges]]&gt;=2500,"High Spend", "Standard Spend")</f>
        <v>High Spend</v>
      </c>
    </row>
    <row r="1304" spans="1:14" x14ac:dyDescent="0.3">
      <c r="A1304" s="1" t="s">
        <v>1328</v>
      </c>
      <c r="B1304" s="2" t="s">
        <v>12</v>
      </c>
      <c r="C1304" s="2" t="s">
        <v>35</v>
      </c>
      <c r="D1304" s="2">
        <v>45</v>
      </c>
      <c r="E1304" s="2" t="s">
        <v>14</v>
      </c>
      <c r="F1304" s="2" t="s">
        <v>16</v>
      </c>
      <c r="G1304" s="7">
        <v>81</v>
      </c>
      <c r="H1304" s="7">
        <v>3533.6</v>
      </c>
      <c r="I1304" s="2" t="s">
        <v>15</v>
      </c>
      <c r="J1304" s="2" t="s">
        <v>16</v>
      </c>
      <c r="K1304" s="2" t="s">
        <v>21</v>
      </c>
      <c r="L1304" s="7">
        <v>3533.6</v>
      </c>
      <c r="M1304" s="2" t="str">
        <f>_xlfn.IFS(TelecomData[[#This Row],[TenureMonths]]&lt;=12, "0-1 Year", TelecomData[[#This Row],[TenureMonths]]&lt;=36, "1-3 Years", TelecomData[[#This Row],[TenureMonths]]&gt;36, "3+ Years")</f>
        <v>3+ Years</v>
      </c>
      <c r="N1304" s="2" t="str">
        <f>IF(TelecomData[[#This Row],[CleanedTotalCharges]]&gt;=2500,"High Spend", "Standard Spend")</f>
        <v>High Spend</v>
      </c>
    </row>
    <row r="1305" spans="1:14" x14ac:dyDescent="0.3">
      <c r="A1305" s="1" t="s">
        <v>1329</v>
      </c>
      <c r="B1305" s="2" t="s">
        <v>12</v>
      </c>
      <c r="C1305" s="2" t="s">
        <v>35</v>
      </c>
      <c r="D1305" s="2">
        <v>69</v>
      </c>
      <c r="E1305" s="2" t="s">
        <v>15</v>
      </c>
      <c r="F1305" s="2" t="s">
        <v>36</v>
      </c>
      <c r="G1305" s="7">
        <v>19.7</v>
      </c>
      <c r="H1305" s="7">
        <v>1396.9</v>
      </c>
      <c r="I1305" s="2" t="s">
        <v>15</v>
      </c>
      <c r="J1305" s="2" t="s">
        <v>15</v>
      </c>
      <c r="K1305" s="2" t="s">
        <v>24</v>
      </c>
      <c r="L1305" s="7">
        <v>1396.9</v>
      </c>
      <c r="M1305" s="2" t="str">
        <f>_xlfn.IFS(TelecomData[[#This Row],[TenureMonths]]&lt;=12, "0-1 Year", TelecomData[[#This Row],[TenureMonths]]&lt;=36, "1-3 Years", TelecomData[[#This Row],[TenureMonths]]&gt;36, "3+ Years")</f>
        <v>3+ Years</v>
      </c>
      <c r="N1305" s="2" t="str">
        <f>IF(TelecomData[[#This Row],[CleanedTotalCharges]]&gt;=2500,"High Spend", "Standard Spend")</f>
        <v>Standard Spend</v>
      </c>
    </row>
    <row r="1306" spans="1:14" x14ac:dyDescent="0.3">
      <c r="A1306" s="1" t="s">
        <v>1330</v>
      </c>
      <c r="B1306" s="2" t="s">
        <v>19</v>
      </c>
      <c r="C1306" s="2" t="s">
        <v>13</v>
      </c>
      <c r="D1306" s="2">
        <v>15</v>
      </c>
      <c r="E1306" s="2" t="s">
        <v>26</v>
      </c>
      <c r="F1306" s="2" t="s">
        <v>15</v>
      </c>
      <c r="G1306" s="7">
        <v>85.6</v>
      </c>
      <c r="H1306" s="7">
        <v>1345.55</v>
      </c>
      <c r="I1306" s="2" t="s">
        <v>16</v>
      </c>
      <c r="J1306" s="2" t="s">
        <v>16</v>
      </c>
      <c r="K1306" s="2" t="s">
        <v>24</v>
      </c>
      <c r="L1306" s="7">
        <v>1345.55</v>
      </c>
      <c r="M1306" s="2" t="str">
        <f>_xlfn.IFS(TelecomData[[#This Row],[TenureMonths]]&lt;=12, "0-1 Year", TelecomData[[#This Row],[TenureMonths]]&lt;=36, "1-3 Years", TelecomData[[#This Row],[TenureMonths]]&gt;36, "3+ Years")</f>
        <v>1-3 Years</v>
      </c>
      <c r="N1306" s="2" t="str">
        <f>IF(TelecomData[[#This Row],[CleanedTotalCharges]]&gt;=2500,"High Spend", "Standard Spend")</f>
        <v>Standard Spend</v>
      </c>
    </row>
    <row r="1307" spans="1:14" x14ac:dyDescent="0.3">
      <c r="A1307" s="1" t="s">
        <v>1331</v>
      </c>
      <c r="B1307" s="2" t="s">
        <v>12</v>
      </c>
      <c r="C1307" s="2" t="s">
        <v>13</v>
      </c>
      <c r="D1307" s="2">
        <v>28</v>
      </c>
      <c r="E1307" s="2" t="s">
        <v>14</v>
      </c>
      <c r="F1307" s="2" t="s">
        <v>15</v>
      </c>
      <c r="G1307" s="7">
        <v>59.55</v>
      </c>
      <c r="H1307" s="7">
        <v>1646.45</v>
      </c>
      <c r="I1307" s="2" t="s">
        <v>15</v>
      </c>
      <c r="J1307" s="2" t="s">
        <v>16</v>
      </c>
      <c r="K1307" s="2" t="s">
        <v>24</v>
      </c>
      <c r="L1307" s="7">
        <v>1646.45</v>
      </c>
      <c r="M1307" s="2" t="str">
        <f>_xlfn.IFS(TelecomData[[#This Row],[TenureMonths]]&lt;=12, "0-1 Year", TelecomData[[#This Row],[TenureMonths]]&lt;=36, "1-3 Years", TelecomData[[#This Row],[TenureMonths]]&gt;36, "3+ Years")</f>
        <v>1-3 Years</v>
      </c>
      <c r="N1307" s="2" t="str">
        <f>IF(TelecomData[[#This Row],[CleanedTotalCharges]]&gt;=2500,"High Spend", "Standard Spend")</f>
        <v>Standard Spend</v>
      </c>
    </row>
    <row r="1308" spans="1:14" x14ac:dyDescent="0.3">
      <c r="A1308" s="1" t="s">
        <v>1332</v>
      </c>
      <c r="B1308" s="2" t="s">
        <v>12</v>
      </c>
      <c r="C1308" s="2" t="s">
        <v>20</v>
      </c>
      <c r="D1308" s="2">
        <v>70</v>
      </c>
      <c r="E1308" s="2" t="s">
        <v>26</v>
      </c>
      <c r="F1308" s="2" t="s">
        <v>16</v>
      </c>
      <c r="G1308" s="7">
        <v>115.55</v>
      </c>
      <c r="H1308" s="7">
        <v>8127.6</v>
      </c>
      <c r="I1308" s="2" t="s">
        <v>16</v>
      </c>
      <c r="J1308" s="2" t="s">
        <v>15</v>
      </c>
      <c r="K1308" s="2" t="s">
        <v>29</v>
      </c>
      <c r="L1308" s="7">
        <v>8127.6</v>
      </c>
      <c r="M1308" s="2" t="str">
        <f>_xlfn.IFS(TelecomData[[#This Row],[TenureMonths]]&lt;=12, "0-1 Year", TelecomData[[#This Row],[TenureMonths]]&lt;=36, "1-3 Years", TelecomData[[#This Row],[TenureMonths]]&gt;36, "3+ Years")</f>
        <v>3+ Years</v>
      </c>
      <c r="N1308" s="2" t="str">
        <f>IF(TelecomData[[#This Row],[CleanedTotalCharges]]&gt;=2500,"High Spend", "Standard Spend")</f>
        <v>High Spend</v>
      </c>
    </row>
    <row r="1309" spans="1:14" x14ac:dyDescent="0.3">
      <c r="A1309" s="1" t="s">
        <v>1333</v>
      </c>
      <c r="B1309" s="2" t="s">
        <v>12</v>
      </c>
      <c r="C1309" s="2" t="s">
        <v>20</v>
      </c>
      <c r="D1309" s="2">
        <v>36</v>
      </c>
      <c r="E1309" s="2" t="s">
        <v>14</v>
      </c>
      <c r="F1309" s="2" t="s">
        <v>16</v>
      </c>
      <c r="G1309" s="7">
        <v>75.55</v>
      </c>
      <c r="H1309" s="7">
        <v>2680.15</v>
      </c>
      <c r="I1309" s="2" t="s">
        <v>15</v>
      </c>
      <c r="J1309" s="2" t="s">
        <v>16</v>
      </c>
      <c r="K1309" s="2" t="s">
        <v>21</v>
      </c>
      <c r="L1309" s="7">
        <v>2680.15</v>
      </c>
      <c r="M1309" s="2" t="str">
        <f>_xlfn.IFS(TelecomData[[#This Row],[TenureMonths]]&lt;=12, "0-1 Year", TelecomData[[#This Row],[TenureMonths]]&lt;=36, "1-3 Years", TelecomData[[#This Row],[TenureMonths]]&gt;36, "3+ Years")</f>
        <v>1-3 Years</v>
      </c>
      <c r="N1309" s="2" t="str">
        <f>IF(TelecomData[[#This Row],[CleanedTotalCharges]]&gt;=2500,"High Spend", "Standard Spend")</f>
        <v>High Spend</v>
      </c>
    </row>
    <row r="1310" spans="1:14" x14ac:dyDescent="0.3">
      <c r="A1310" s="1" t="s">
        <v>1334</v>
      </c>
      <c r="B1310" s="2" t="s">
        <v>19</v>
      </c>
      <c r="C1310" s="2" t="s">
        <v>13</v>
      </c>
      <c r="D1310" s="2">
        <v>16</v>
      </c>
      <c r="E1310" s="2" t="s">
        <v>26</v>
      </c>
      <c r="F1310" s="2" t="s">
        <v>15</v>
      </c>
      <c r="G1310" s="7">
        <v>86.6</v>
      </c>
      <c r="H1310" s="7">
        <v>1281</v>
      </c>
      <c r="I1310" s="2" t="s">
        <v>16</v>
      </c>
      <c r="J1310" s="2" t="s">
        <v>16</v>
      </c>
      <c r="K1310" s="2" t="s">
        <v>17</v>
      </c>
      <c r="L1310" s="7">
        <v>1281</v>
      </c>
      <c r="M1310" s="2" t="str">
        <f>_xlfn.IFS(TelecomData[[#This Row],[TenureMonths]]&lt;=12, "0-1 Year", TelecomData[[#This Row],[TenureMonths]]&lt;=36, "1-3 Years", TelecomData[[#This Row],[TenureMonths]]&gt;36, "3+ Years")</f>
        <v>1-3 Years</v>
      </c>
      <c r="N1310" s="2" t="str">
        <f>IF(TelecomData[[#This Row],[CleanedTotalCharges]]&gt;=2500,"High Spend", "Standard Spend")</f>
        <v>Standard Spend</v>
      </c>
    </row>
    <row r="1311" spans="1:14" x14ac:dyDescent="0.3">
      <c r="A1311" s="1" t="s">
        <v>1335</v>
      </c>
      <c r="B1311" s="2" t="s">
        <v>12</v>
      </c>
      <c r="C1311" s="2" t="s">
        <v>13</v>
      </c>
      <c r="D1311" s="2">
        <v>18</v>
      </c>
      <c r="E1311" s="2" t="s">
        <v>26</v>
      </c>
      <c r="F1311" s="2" t="s">
        <v>15</v>
      </c>
      <c r="G1311" s="7">
        <v>85.2</v>
      </c>
      <c r="H1311" s="7">
        <v>1553.9</v>
      </c>
      <c r="I1311" s="2" t="s">
        <v>16</v>
      </c>
      <c r="J1311" s="2" t="s">
        <v>16</v>
      </c>
      <c r="K1311" s="2" t="s">
        <v>17</v>
      </c>
      <c r="L1311" s="7">
        <v>1553.9</v>
      </c>
      <c r="M1311" s="2" t="str">
        <f>_xlfn.IFS(TelecomData[[#This Row],[TenureMonths]]&lt;=12, "0-1 Year", TelecomData[[#This Row],[TenureMonths]]&lt;=36, "1-3 Years", TelecomData[[#This Row],[TenureMonths]]&gt;36, "3+ Years")</f>
        <v>1-3 Years</v>
      </c>
      <c r="N1311" s="2" t="str">
        <f>IF(TelecomData[[#This Row],[CleanedTotalCharges]]&gt;=2500,"High Spend", "Standard Spend")</f>
        <v>Standard Spend</v>
      </c>
    </row>
    <row r="1312" spans="1:14" x14ac:dyDescent="0.3">
      <c r="A1312" s="1" t="s">
        <v>1336</v>
      </c>
      <c r="B1312" s="2" t="s">
        <v>12</v>
      </c>
      <c r="C1312" s="2" t="s">
        <v>13</v>
      </c>
      <c r="D1312" s="2">
        <v>34</v>
      </c>
      <c r="E1312" s="2" t="s">
        <v>26</v>
      </c>
      <c r="F1312" s="2" t="s">
        <v>15</v>
      </c>
      <c r="G1312" s="7">
        <v>97.65</v>
      </c>
      <c r="H1312" s="7">
        <v>3207.55</v>
      </c>
      <c r="I1312" s="2" t="s">
        <v>16</v>
      </c>
      <c r="J1312" s="2" t="s">
        <v>16</v>
      </c>
      <c r="K1312" s="2" t="s">
        <v>17</v>
      </c>
      <c r="L1312" s="7">
        <v>3207.55</v>
      </c>
      <c r="M1312" s="2" t="str">
        <f>_xlfn.IFS(TelecomData[[#This Row],[TenureMonths]]&lt;=12, "0-1 Year", TelecomData[[#This Row],[TenureMonths]]&lt;=36, "1-3 Years", TelecomData[[#This Row],[TenureMonths]]&gt;36, "3+ Years")</f>
        <v>1-3 Years</v>
      </c>
      <c r="N1312" s="2" t="str">
        <f>IF(TelecomData[[#This Row],[CleanedTotalCharges]]&gt;=2500,"High Spend", "Standard Spend")</f>
        <v>High Spend</v>
      </c>
    </row>
    <row r="1313" spans="1:14" x14ac:dyDescent="0.3">
      <c r="A1313" s="1" t="s">
        <v>1337</v>
      </c>
      <c r="B1313" s="2" t="s">
        <v>19</v>
      </c>
      <c r="C1313" s="2" t="s">
        <v>20</v>
      </c>
      <c r="D1313" s="2">
        <v>42</v>
      </c>
      <c r="E1313" s="2" t="s">
        <v>14</v>
      </c>
      <c r="F1313" s="2" t="s">
        <v>15</v>
      </c>
      <c r="G1313" s="7">
        <v>45.1</v>
      </c>
      <c r="H1313" s="7">
        <v>2049.0500000000002</v>
      </c>
      <c r="I1313" s="2" t="s">
        <v>15</v>
      </c>
      <c r="J1313" s="2" t="s">
        <v>16</v>
      </c>
      <c r="K1313" s="2" t="s">
        <v>29</v>
      </c>
      <c r="L1313" s="7">
        <v>2049.0500000000002</v>
      </c>
      <c r="M1313" s="2" t="str">
        <f>_xlfn.IFS(TelecomData[[#This Row],[TenureMonths]]&lt;=12, "0-1 Year", TelecomData[[#This Row],[TenureMonths]]&lt;=36, "1-3 Years", TelecomData[[#This Row],[TenureMonths]]&gt;36, "3+ Years")</f>
        <v>3+ Years</v>
      </c>
      <c r="N1313" s="2" t="str">
        <f>IF(TelecomData[[#This Row],[CleanedTotalCharges]]&gt;=2500,"High Spend", "Standard Spend")</f>
        <v>Standard Spend</v>
      </c>
    </row>
    <row r="1314" spans="1:14" x14ac:dyDescent="0.3">
      <c r="A1314" s="1" t="s">
        <v>1338</v>
      </c>
      <c r="B1314" s="2" t="s">
        <v>19</v>
      </c>
      <c r="C1314" s="2" t="s">
        <v>20</v>
      </c>
      <c r="D1314" s="2">
        <v>48</v>
      </c>
      <c r="E1314" s="2" t="s">
        <v>14</v>
      </c>
      <c r="F1314" s="2" t="s">
        <v>16</v>
      </c>
      <c r="G1314" s="7">
        <v>70.95</v>
      </c>
      <c r="H1314" s="7">
        <v>3629.2</v>
      </c>
      <c r="I1314" s="2" t="s">
        <v>15</v>
      </c>
      <c r="J1314" s="2" t="s">
        <v>16</v>
      </c>
      <c r="K1314" s="2" t="s">
        <v>24</v>
      </c>
      <c r="L1314" s="7">
        <v>3629.2</v>
      </c>
      <c r="M1314" s="2" t="str">
        <f>_xlfn.IFS(TelecomData[[#This Row],[TenureMonths]]&lt;=12, "0-1 Year", TelecomData[[#This Row],[TenureMonths]]&lt;=36, "1-3 Years", TelecomData[[#This Row],[TenureMonths]]&gt;36, "3+ Years")</f>
        <v>3+ Years</v>
      </c>
      <c r="N1314" s="2" t="str">
        <f>IF(TelecomData[[#This Row],[CleanedTotalCharges]]&gt;=2500,"High Spend", "Standard Spend")</f>
        <v>High Spend</v>
      </c>
    </row>
    <row r="1315" spans="1:14" x14ac:dyDescent="0.3">
      <c r="A1315" s="1" t="s">
        <v>1339</v>
      </c>
      <c r="B1315" s="2" t="s">
        <v>19</v>
      </c>
      <c r="C1315" s="2" t="s">
        <v>13</v>
      </c>
      <c r="D1315" s="2">
        <v>47</v>
      </c>
      <c r="E1315" s="2" t="s">
        <v>26</v>
      </c>
      <c r="F1315" s="2" t="s">
        <v>16</v>
      </c>
      <c r="G1315" s="7">
        <v>109.55</v>
      </c>
      <c r="H1315" s="7">
        <v>5124.55</v>
      </c>
      <c r="I1315" s="2" t="s">
        <v>16</v>
      </c>
      <c r="J1315" s="2" t="s">
        <v>16</v>
      </c>
      <c r="K1315" s="2" t="s">
        <v>17</v>
      </c>
      <c r="L1315" s="7">
        <v>5124.55</v>
      </c>
      <c r="M1315" s="2" t="str">
        <f>_xlfn.IFS(TelecomData[[#This Row],[TenureMonths]]&lt;=12, "0-1 Year", TelecomData[[#This Row],[TenureMonths]]&lt;=36, "1-3 Years", TelecomData[[#This Row],[TenureMonths]]&gt;36, "3+ Years")</f>
        <v>3+ Years</v>
      </c>
      <c r="N1315" s="2" t="str">
        <f>IF(TelecomData[[#This Row],[CleanedTotalCharges]]&gt;=2500,"High Spend", "Standard Spend")</f>
        <v>High Spend</v>
      </c>
    </row>
    <row r="1316" spans="1:14" x14ac:dyDescent="0.3">
      <c r="A1316" s="1" t="s">
        <v>1340</v>
      </c>
      <c r="B1316" s="2" t="s">
        <v>12</v>
      </c>
      <c r="C1316" s="2" t="s">
        <v>20</v>
      </c>
      <c r="D1316" s="2">
        <v>39</v>
      </c>
      <c r="E1316" s="2" t="s">
        <v>26</v>
      </c>
      <c r="F1316" s="2" t="s">
        <v>16</v>
      </c>
      <c r="G1316" s="7">
        <v>89.55</v>
      </c>
      <c r="H1316" s="7">
        <v>3474.45</v>
      </c>
      <c r="I1316" s="2" t="s">
        <v>16</v>
      </c>
      <c r="J1316" s="2" t="s">
        <v>16</v>
      </c>
      <c r="K1316" s="2" t="s">
        <v>17</v>
      </c>
      <c r="L1316" s="7">
        <v>3474.45</v>
      </c>
      <c r="M1316" s="2" t="str">
        <f>_xlfn.IFS(TelecomData[[#This Row],[TenureMonths]]&lt;=12, "0-1 Year", TelecomData[[#This Row],[TenureMonths]]&lt;=36, "1-3 Years", TelecomData[[#This Row],[TenureMonths]]&gt;36, "3+ Years")</f>
        <v>3+ Years</v>
      </c>
      <c r="N1316" s="2" t="str">
        <f>IF(TelecomData[[#This Row],[CleanedTotalCharges]]&gt;=2500,"High Spend", "Standard Spend")</f>
        <v>High Spend</v>
      </c>
    </row>
    <row r="1317" spans="1:14" x14ac:dyDescent="0.3">
      <c r="A1317" s="1" t="s">
        <v>1341</v>
      </c>
      <c r="B1317" s="2" t="s">
        <v>12</v>
      </c>
      <c r="C1317" s="2" t="s">
        <v>35</v>
      </c>
      <c r="D1317" s="2">
        <v>11</v>
      </c>
      <c r="E1317" s="2" t="s">
        <v>15</v>
      </c>
      <c r="F1317" s="2" t="s">
        <v>36</v>
      </c>
      <c r="G1317" s="7">
        <v>20.9</v>
      </c>
      <c r="H1317" s="7">
        <v>202.3</v>
      </c>
      <c r="I1317" s="2" t="s">
        <v>15</v>
      </c>
      <c r="J1317" s="2" t="s">
        <v>15</v>
      </c>
      <c r="K1317" s="2" t="s">
        <v>29</v>
      </c>
      <c r="L1317" s="7">
        <v>202.3</v>
      </c>
      <c r="M1317" s="2" t="str">
        <f>_xlfn.IFS(TelecomData[[#This Row],[TenureMonths]]&lt;=12, "0-1 Year", TelecomData[[#This Row],[TenureMonths]]&lt;=36, "1-3 Years", TelecomData[[#This Row],[TenureMonths]]&gt;36, "3+ Years")</f>
        <v>0-1 Year</v>
      </c>
      <c r="N1317" s="2" t="str">
        <f>IF(TelecomData[[#This Row],[CleanedTotalCharges]]&gt;=2500,"High Spend", "Standard Spend")</f>
        <v>Standard Spend</v>
      </c>
    </row>
    <row r="1318" spans="1:14" x14ac:dyDescent="0.3">
      <c r="A1318" s="1" t="s">
        <v>1342</v>
      </c>
      <c r="B1318" s="2" t="s">
        <v>19</v>
      </c>
      <c r="C1318" s="2" t="s">
        <v>13</v>
      </c>
      <c r="D1318" s="2">
        <v>7</v>
      </c>
      <c r="E1318" s="2" t="s">
        <v>15</v>
      </c>
      <c r="F1318" s="2" t="s">
        <v>36</v>
      </c>
      <c r="G1318" s="7">
        <v>19.95</v>
      </c>
      <c r="H1318" s="7">
        <v>147.5</v>
      </c>
      <c r="I1318" s="2" t="s">
        <v>15</v>
      </c>
      <c r="J1318" s="2" t="s">
        <v>16</v>
      </c>
      <c r="K1318" s="2" t="s">
        <v>21</v>
      </c>
      <c r="L1318" s="7">
        <v>147.5</v>
      </c>
      <c r="M1318" s="2" t="str">
        <f>_xlfn.IFS(TelecomData[[#This Row],[TenureMonths]]&lt;=12, "0-1 Year", TelecomData[[#This Row],[TenureMonths]]&lt;=36, "1-3 Years", TelecomData[[#This Row],[TenureMonths]]&gt;36, "3+ Years")</f>
        <v>0-1 Year</v>
      </c>
      <c r="N1318" s="2" t="str">
        <f>IF(TelecomData[[#This Row],[CleanedTotalCharges]]&gt;=2500,"High Spend", "Standard Spend")</f>
        <v>Standard Spend</v>
      </c>
    </row>
    <row r="1319" spans="1:14" x14ac:dyDescent="0.3">
      <c r="A1319" s="1" t="s">
        <v>1343</v>
      </c>
      <c r="B1319" s="2" t="s">
        <v>12</v>
      </c>
      <c r="C1319" s="2" t="s">
        <v>13</v>
      </c>
      <c r="D1319" s="2">
        <v>3</v>
      </c>
      <c r="E1319" s="2" t="s">
        <v>15</v>
      </c>
      <c r="F1319" s="2" t="s">
        <v>36</v>
      </c>
      <c r="G1319" s="7">
        <v>24.6</v>
      </c>
      <c r="H1319" s="7">
        <v>86.35</v>
      </c>
      <c r="I1319" s="2" t="s">
        <v>15</v>
      </c>
      <c r="J1319" s="2" t="s">
        <v>15</v>
      </c>
      <c r="K1319" s="2" t="s">
        <v>21</v>
      </c>
      <c r="L1319" s="7">
        <v>86.35</v>
      </c>
      <c r="M1319" s="2" t="str">
        <f>_xlfn.IFS(TelecomData[[#This Row],[TenureMonths]]&lt;=12, "0-1 Year", TelecomData[[#This Row],[TenureMonths]]&lt;=36, "1-3 Years", TelecomData[[#This Row],[TenureMonths]]&gt;36, "3+ Years")</f>
        <v>0-1 Year</v>
      </c>
      <c r="N1319" s="2" t="str">
        <f>IF(TelecomData[[#This Row],[CleanedTotalCharges]]&gt;=2500,"High Spend", "Standard Spend")</f>
        <v>Standard Spend</v>
      </c>
    </row>
    <row r="1320" spans="1:14" x14ac:dyDescent="0.3">
      <c r="A1320" s="1" t="s">
        <v>1344</v>
      </c>
      <c r="B1320" s="2" t="s">
        <v>19</v>
      </c>
      <c r="C1320" s="2" t="s">
        <v>13</v>
      </c>
      <c r="D1320" s="2">
        <v>8</v>
      </c>
      <c r="E1320" s="2" t="s">
        <v>14</v>
      </c>
      <c r="F1320" s="2" t="s">
        <v>15</v>
      </c>
      <c r="G1320" s="7">
        <v>66.7</v>
      </c>
      <c r="H1320" s="7">
        <v>579</v>
      </c>
      <c r="I1320" s="2" t="s">
        <v>15</v>
      </c>
      <c r="J1320" s="2" t="s">
        <v>16</v>
      </c>
      <c r="K1320" s="2" t="s">
        <v>17</v>
      </c>
      <c r="L1320" s="7">
        <v>579</v>
      </c>
      <c r="M1320" s="2" t="str">
        <f>_xlfn.IFS(TelecomData[[#This Row],[TenureMonths]]&lt;=12, "0-1 Year", TelecomData[[#This Row],[TenureMonths]]&lt;=36, "1-3 Years", TelecomData[[#This Row],[TenureMonths]]&gt;36, "3+ Years")</f>
        <v>0-1 Year</v>
      </c>
      <c r="N1320" s="2" t="str">
        <f>IF(TelecomData[[#This Row],[CleanedTotalCharges]]&gt;=2500,"High Spend", "Standard Spend")</f>
        <v>Standard Spend</v>
      </c>
    </row>
    <row r="1321" spans="1:14" x14ac:dyDescent="0.3">
      <c r="A1321" s="1" t="s">
        <v>1345</v>
      </c>
      <c r="B1321" s="2" t="s">
        <v>19</v>
      </c>
      <c r="C1321" s="2" t="s">
        <v>13</v>
      </c>
      <c r="D1321" s="2">
        <v>1</v>
      </c>
      <c r="E1321" s="2" t="s">
        <v>15</v>
      </c>
      <c r="F1321" s="2" t="s">
        <v>36</v>
      </c>
      <c r="G1321" s="7">
        <v>19.45</v>
      </c>
      <c r="H1321" s="7">
        <v>19.45</v>
      </c>
      <c r="I1321" s="2" t="s">
        <v>16</v>
      </c>
      <c r="J1321" s="2" t="s">
        <v>16</v>
      </c>
      <c r="K1321" s="2" t="s">
        <v>21</v>
      </c>
      <c r="L1321" s="7">
        <v>19.45</v>
      </c>
      <c r="M1321" s="2" t="str">
        <f>_xlfn.IFS(TelecomData[[#This Row],[TenureMonths]]&lt;=12, "0-1 Year", TelecomData[[#This Row],[TenureMonths]]&lt;=36, "1-3 Years", TelecomData[[#This Row],[TenureMonths]]&gt;36, "3+ Years")</f>
        <v>0-1 Year</v>
      </c>
      <c r="N1321" s="2" t="str">
        <f>IF(TelecomData[[#This Row],[CleanedTotalCharges]]&gt;=2500,"High Spend", "Standard Spend")</f>
        <v>Standard Spend</v>
      </c>
    </row>
    <row r="1322" spans="1:14" x14ac:dyDescent="0.3">
      <c r="A1322" s="1" t="s">
        <v>1346</v>
      </c>
      <c r="B1322" s="2" t="s">
        <v>19</v>
      </c>
      <c r="C1322" s="2" t="s">
        <v>20</v>
      </c>
      <c r="D1322" s="2">
        <v>32</v>
      </c>
      <c r="E1322" s="2" t="s">
        <v>26</v>
      </c>
      <c r="F1322" s="2" t="s">
        <v>15</v>
      </c>
      <c r="G1322" s="7">
        <v>94.8</v>
      </c>
      <c r="H1322" s="7">
        <v>3131.55</v>
      </c>
      <c r="I1322" s="2" t="s">
        <v>15</v>
      </c>
      <c r="J1322" s="2" t="s">
        <v>15</v>
      </c>
      <c r="K1322" s="2" t="s">
        <v>21</v>
      </c>
      <c r="L1322" s="7">
        <v>3131.55</v>
      </c>
      <c r="M1322" s="2" t="str">
        <f>_xlfn.IFS(TelecomData[[#This Row],[TenureMonths]]&lt;=12, "0-1 Year", TelecomData[[#This Row],[TenureMonths]]&lt;=36, "1-3 Years", TelecomData[[#This Row],[TenureMonths]]&gt;36, "3+ Years")</f>
        <v>1-3 Years</v>
      </c>
      <c r="N1322" s="2" t="str">
        <f>IF(TelecomData[[#This Row],[CleanedTotalCharges]]&gt;=2500,"High Spend", "Standard Spend")</f>
        <v>High Spend</v>
      </c>
    </row>
    <row r="1323" spans="1:14" x14ac:dyDescent="0.3">
      <c r="A1323" s="1" t="s">
        <v>1347</v>
      </c>
      <c r="B1323" s="2" t="s">
        <v>19</v>
      </c>
      <c r="C1323" s="2" t="s">
        <v>20</v>
      </c>
      <c r="D1323" s="2">
        <v>60</v>
      </c>
      <c r="E1323" s="2" t="s">
        <v>14</v>
      </c>
      <c r="F1323" s="2" t="s">
        <v>16</v>
      </c>
      <c r="G1323" s="7">
        <v>65.849999999999994</v>
      </c>
      <c r="H1323" s="7">
        <v>3928.3</v>
      </c>
      <c r="I1323" s="2" t="s">
        <v>15</v>
      </c>
      <c r="J1323" s="2" t="s">
        <v>16</v>
      </c>
      <c r="K1323" s="2" t="s">
        <v>24</v>
      </c>
      <c r="L1323" s="7">
        <v>3928.3</v>
      </c>
      <c r="M1323" s="2" t="str">
        <f>_xlfn.IFS(TelecomData[[#This Row],[TenureMonths]]&lt;=12, "0-1 Year", TelecomData[[#This Row],[TenureMonths]]&lt;=36, "1-3 Years", TelecomData[[#This Row],[TenureMonths]]&gt;36, "3+ Years")</f>
        <v>3+ Years</v>
      </c>
      <c r="N1323" s="2" t="str">
        <f>IF(TelecomData[[#This Row],[CleanedTotalCharges]]&gt;=2500,"High Spend", "Standard Spend")</f>
        <v>High Spend</v>
      </c>
    </row>
    <row r="1324" spans="1:14" x14ac:dyDescent="0.3">
      <c r="A1324" s="1" t="s">
        <v>1348</v>
      </c>
      <c r="B1324" s="2" t="s">
        <v>12</v>
      </c>
      <c r="C1324" s="2" t="s">
        <v>13</v>
      </c>
      <c r="D1324" s="2">
        <v>10</v>
      </c>
      <c r="E1324" s="2" t="s">
        <v>15</v>
      </c>
      <c r="F1324" s="2" t="s">
        <v>36</v>
      </c>
      <c r="G1324" s="7">
        <v>19.95</v>
      </c>
      <c r="H1324" s="7">
        <v>187.75</v>
      </c>
      <c r="I1324" s="2" t="s">
        <v>15</v>
      </c>
      <c r="J1324" s="2" t="s">
        <v>16</v>
      </c>
      <c r="K1324" s="2" t="s">
        <v>24</v>
      </c>
      <c r="L1324" s="7">
        <v>187.75</v>
      </c>
      <c r="M1324" s="2" t="str">
        <f>_xlfn.IFS(TelecomData[[#This Row],[TenureMonths]]&lt;=12, "0-1 Year", TelecomData[[#This Row],[TenureMonths]]&lt;=36, "1-3 Years", TelecomData[[#This Row],[TenureMonths]]&gt;36, "3+ Years")</f>
        <v>0-1 Year</v>
      </c>
      <c r="N1324" s="2" t="str">
        <f>IF(TelecomData[[#This Row],[CleanedTotalCharges]]&gt;=2500,"High Spend", "Standard Spend")</f>
        <v>Standard Spend</v>
      </c>
    </row>
    <row r="1325" spans="1:14" x14ac:dyDescent="0.3">
      <c r="A1325" s="1" t="s">
        <v>1349</v>
      </c>
      <c r="B1325" s="2" t="s">
        <v>12</v>
      </c>
      <c r="C1325" s="2" t="s">
        <v>35</v>
      </c>
      <c r="D1325" s="2">
        <v>71</v>
      </c>
      <c r="E1325" s="2" t="s">
        <v>15</v>
      </c>
      <c r="F1325" s="2" t="s">
        <v>36</v>
      </c>
      <c r="G1325" s="7">
        <v>24.65</v>
      </c>
      <c r="H1325" s="7">
        <v>1710.15</v>
      </c>
      <c r="I1325" s="2" t="s">
        <v>15</v>
      </c>
      <c r="J1325" s="2" t="s">
        <v>16</v>
      </c>
      <c r="K1325" s="2" t="s">
        <v>24</v>
      </c>
      <c r="L1325" s="7">
        <v>1710.15</v>
      </c>
      <c r="M1325" s="2" t="str">
        <f>_xlfn.IFS(TelecomData[[#This Row],[TenureMonths]]&lt;=12, "0-1 Year", TelecomData[[#This Row],[TenureMonths]]&lt;=36, "1-3 Years", TelecomData[[#This Row],[TenureMonths]]&gt;36, "3+ Years")</f>
        <v>3+ Years</v>
      </c>
      <c r="N1325" s="2" t="str">
        <f>IF(TelecomData[[#This Row],[CleanedTotalCharges]]&gt;=2500,"High Spend", "Standard Spend")</f>
        <v>Standard Spend</v>
      </c>
    </row>
    <row r="1326" spans="1:14" x14ac:dyDescent="0.3">
      <c r="A1326" s="1" t="s">
        <v>1350</v>
      </c>
      <c r="B1326" s="2" t="s">
        <v>12</v>
      </c>
      <c r="C1326" s="2" t="s">
        <v>13</v>
      </c>
      <c r="D1326" s="2">
        <v>4</v>
      </c>
      <c r="E1326" s="2" t="s">
        <v>15</v>
      </c>
      <c r="F1326" s="2" t="s">
        <v>36</v>
      </c>
      <c r="G1326" s="7">
        <v>20.350000000000001</v>
      </c>
      <c r="H1326" s="7">
        <v>76.349999999999994</v>
      </c>
      <c r="I1326" s="2" t="s">
        <v>16</v>
      </c>
      <c r="J1326" s="2" t="s">
        <v>15</v>
      </c>
      <c r="K1326" s="2" t="s">
        <v>21</v>
      </c>
      <c r="L1326" s="7">
        <v>76.349999999999994</v>
      </c>
      <c r="M1326" s="2" t="str">
        <f>_xlfn.IFS(TelecomData[[#This Row],[TenureMonths]]&lt;=12, "0-1 Year", TelecomData[[#This Row],[TenureMonths]]&lt;=36, "1-3 Years", TelecomData[[#This Row],[TenureMonths]]&gt;36, "3+ Years")</f>
        <v>0-1 Year</v>
      </c>
      <c r="N1326" s="2" t="str">
        <f>IF(TelecomData[[#This Row],[CleanedTotalCharges]]&gt;=2500,"High Spend", "Standard Spend")</f>
        <v>Standard Spend</v>
      </c>
    </row>
    <row r="1327" spans="1:14" x14ac:dyDescent="0.3">
      <c r="A1327" s="1" t="s">
        <v>1351</v>
      </c>
      <c r="B1327" s="2" t="s">
        <v>12</v>
      </c>
      <c r="C1327" s="2" t="s">
        <v>13</v>
      </c>
      <c r="D1327" s="2">
        <v>1</v>
      </c>
      <c r="E1327" s="2" t="s">
        <v>26</v>
      </c>
      <c r="F1327" s="2" t="s">
        <v>15</v>
      </c>
      <c r="G1327" s="7">
        <v>69.25</v>
      </c>
      <c r="H1327" s="7">
        <v>69.25</v>
      </c>
      <c r="I1327" s="2" t="s">
        <v>16</v>
      </c>
      <c r="J1327" s="2" t="s">
        <v>16</v>
      </c>
      <c r="K1327" s="2" t="s">
        <v>17</v>
      </c>
      <c r="L1327" s="7">
        <v>69.25</v>
      </c>
      <c r="M1327" s="2" t="str">
        <f>_xlfn.IFS(TelecomData[[#This Row],[TenureMonths]]&lt;=12, "0-1 Year", TelecomData[[#This Row],[TenureMonths]]&lt;=36, "1-3 Years", TelecomData[[#This Row],[TenureMonths]]&gt;36, "3+ Years")</f>
        <v>0-1 Year</v>
      </c>
      <c r="N1327" s="2" t="str">
        <f>IF(TelecomData[[#This Row],[CleanedTotalCharges]]&gt;=2500,"High Spend", "Standard Spend")</f>
        <v>Standard Spend</v>
      </c>
    </row>
    <row r="1328" spans="1:14" x14ac:dyDescent="0.3">
      <c r="A1328" s="1" t="s">
        <v>1352</v>
      </c>
      <c r="B1328" s="2" t="s">
        <v>12</v>
      </c>
      <c r="C1328" s="2" t="s">
        <v>20</v>
      </c>
      <c r="D1328" s="2">
        <v>43</v>
      </c>
      <c r="E1328" s="2" t="s">
        <v>14</v>
      </c>
      <c r="F1328" s="2" t="s">
        <v>16</v>
      </c>
      <c r="G1328" s="7">
        <v>51.25</v>
      </c>
      <c r="H1328" s="7">
        <v>2151.6</v>
      </c>
      <c r="I1328" s="2" t="s">
        <v>15</v>
      </c>
      <c r="J1328" s="2" t="s">
        <v>16</v>
      </c>
      <c r="K1328" s="2" t="s">
        <v>24</v>
      </c>
      <c r="L1328" s="7">
        <v>2151.6</v>
      </c>
      <c r="M1328" s="2" t="str">
        <f>_xlfn.IFS(TelecomData[[#This Row],[TenureMonths]]&lt;=12, "0-1 Year", TelecomData[[#This Row],[TenureMonths]]&lt;=36, "1-3 Years", TelecomData[[#This Row],[TenureMonths]]&gt;36, "3+ Years")</f>
        <v>3+ Years</v>
      </c>
      <c r="N1328" s="2" t="str">
        <f>IF(TelecomData[[#This Row],[CleanedTotalCharges]]&gt;=2500,"High Spend", "Standard Spend")</f>
        <v>Standard Spend</v>
      </c>
    </row>
    <row r="1329" spans="1:14" x14ac:dyDescent="0.3">
      <c r="A1329" s="1" t="s">
        <v>1353</v>
      </c>
      <c r="B1329" s="2" t="s">
        <v>19</v>
      </c>
      <c r="C1329" s="2" t="s">
        <v>20</v>
      </c>
      <c r="D1329" s="2">
        <v>59</v>
      </c>
      <c r="E1329" s="2" t="s">
        <v>26</v>
      </c>
      <c r="F1329" s="2" t="s">
        <v>15</v>
      </c>
      <c r="G1329" s="7">
        <v>99.5</v>
      </c>
      <c r="H1329" s="7">
        <v>5961.1</v>
      </c>
      <c r="I1329" s="2" t="s">
        <v>16</v>
      </c>
      <c r="J1329" s="2" t="s">
        <v>16</v>
      </c>
      <c r="K1329" s="2" t="s">
        <v>24</v>
      </c>
      <c r="L1329" s="7">
        <v>5961.1</v>
      </c>
      <c r="M1329" s="2" t="str">
        <f>_xlfn.IFS(TelecomData[[#This Row],[TenureMonths]]&lt;=12, "0-1 Year", TelecomData[[#This Row],[TenureMonths]]&lt;=36, "1-3 Years", TelecomData[[#This Row],[TenureMonths]]&gt;36, "3+ Years")</f>
        <v>3+ Years</v>
      </c>
      <c r="N1329" s="2" t="str">
        <f>IF(TelecomData[[#This Row],[CleanedTotalCharges]]&gt;=2500,"High Spend", "Standard Spend")</f>
        <v>High Spend</v>
      </c>
    </row>
    <row r="1330" spans="1:14" x14ac:dyDescent="0.3">
      <c r="A1330" s="1" t="s">
        <v>1354</v>
      </c>
      <c r="B1330" s="2" t="s">
        <v>12</v>
      </c>
      <c r="C1330" s="2" t="s">
        <v>13</v>
      </c>
      <c r="D1330" s="2">
        <v>23</v>
      </c>
      <c r="E1330" s="2" t="s">
        <v>14</v>
      </c>
      <c r="F1330" s="2" t="s">
        <v>16</v>
      </c>
      <c r="G1330" s="7">
        <v>54.25</v>
      </c>
      <c r="H1330" s="7">
        <v>1221.55</v>
      </c>
      <c r="I1330" s="2" t="s">
        <v>15</v>
      </c>
      <c r="J1330" s="2" t="s">
        <v>15</v>
      </c>
      <c r="K1330" s="2" t="s">
        <v>17</v>
      </c>
      <c r="L1330" s="7">
        <v>1221.55</v>
      </c>
      <c r="M1330" s="2" t="str">
        <f>_xlfn.IFS(TelecomData[[#This Row],[TenureMonths]]&lt;=12, "0-1 Year", TelecomData[[#This Row],[TenureMonths]]&lt;=36, "1-3 Years", TelecomData[[#This Row],[TenureMonths]]&gt;36, "3+ Years")</f>
        <v>1-3 Years</v>
      </c>
      <c r="N1330" s="2" t="str">
        <f>IF(TelecomData[[#This Row],[CleanedTotalCharges]]&gt;=2500,"High Spend", "Standard Spend")</f>
        <v>Standard Spend</v>
      </c>
    </row>
    <row r="1331" spans="1:14" x14ac:dyDescent="0.3">
      <c r="A1331" s="1" t="s">
        <v>1355</v>
      </c>
      <c r="B1331" s="2" t="s">
        <v>12</v>
      </c>
      <c r="C1331" s="2" t="s">
        <v>35</v>
      </c>
      <c r="D1331" s="2">
        <v>72</v>
      </c>
      <c r="E1331" s="2" t="s">
        <v>15</v>
      </c>
      <c r="F1331" s="2" t="s">
        <v>36</v>
      </c>
      <c r="G1331" s="7">
        <v>19.399999999999999</v>
      </c>
      <c r="H1331" s="7">
        <v>1496.45</v>
      </c>
      <c r="I1331" s="2" t="s">
        <v>15</v>
      </c>
      <c r="J1331" s="2" t="s">
        <v>15</v>
      </c>
      <c r="K1331" s="2" t="s">
        <v>24</v>
      </c>
      <c r="L1331" s="7">
        <v>1496.45</v>
      </c>
      <c r="M1331" s="2" t="str">
        <f>_xlfn.IFS(TelecomData[[#This Row],[TenureMonths]]&lt;=12, "0-1 Year", TelecomData[[#This Row],[TenureMonths]]&lt;=36, "1-3 Years", TelecomData[[#This Row],[TenureMonths]]&gt;36, "3+ Years")</f>
        <v>3+ Years</v>
      </c>
      <c r="N1331" s="2" t="str">
        <f>IF(TelecomData[[#This Row],[CleanedTotalCharges]]&gt;=2500,"High Spend", "Standard Spend")</f>
        <v>Standard Spend</v>
      </c>
    </row>
    <row r="1332" spans="1:14" x14ac:dyDescent="0.3">
      <c r="A1332" s="1" t="s">
        <v>1356</v>
      </c>
      <c r="B1332" s="2" t="s">
        <v>19</v>
      </c>
      <c r="C1332" s="2" t="s">
        <v>20</v>
      </c>
      <c r="D1332" s="2">
        <v>22</v>
      </c>
      <c r="E1332" s="2" t="s">
        <v>14</v>
      </c>
      <c r="F1332" s="2" t="s">
        <v>16</v>
      </c>
      <c r="G1332" s="7">
        <v>56.25</v>
      </c>
      <c r="H1332" s="7">
        <v>1292.2</v>
      </c>
      <c r="I1332" s="2" t="s">
        <v>15</v>
      </c>
      <c r="J1332" s="2" t="s">
        <v>16</v>
      </c>
      <c r="K1332" s="2" t="s">
        <v>29</v>
      </c>
      <c r="L1332" s="7">
        <v>1292.2</v>
      </c>
      <c r="M1332" s="2" t="str">
        <f>_xlfn.IFS(TelecomData[[#This Row],[TenureMonths]]&lt;=12, "0-1 Year", TelecomData[[#This Row],[TenureMonths]]&lt;=36, "1-3 Years", TelecomData[[#This Row],[TenureMonths]]&gt;36, "3+ Years")</f>
        <v>1-3 Years</v>
      </c>
      <c r="N1332" s="2" t="str">
        <f>IF(TelecomData[[#This Row],[CleanedTotalCharges]]&gt;=2500,"High Spend", "Standard Spend")</f>
        <v>Standard Spend</v>
      </c>
    </row>
    <row r="1333" spans="1:14" x14ac:dyDescent="0.3">
      <c r="A1333" s="1" t="s">
        <v>1357</v>
      </c>
      <c r="B1333" s="2" t="s">
        <v>12</v>
      </c>
      <c r="C1333" s="2" t="s">
        <v>13</v>
      </c>
      <c r="D1333" s="2">
        <v>1</v>
      </c>
      <c r="E1333" s="2" t="s">
        <v>14</v>
      </c>
      <c r="F1333" s="2" t="s">
        <v>15</v>
      </c>
      <c r="G1333" s="7">
        <v>25.15</v>
      </c>
      <c r="H1333" s="7">
        <v>25.15</v>
      </c>
      <c r="I1333" s="2" t="s">
        <v>15</v>
      </c>
      <c r="J1333" s="2" t="s">
        <v>16</v>
      </c>
      <c r="K1333" s="2" t="s">
        <v>21</v>
      </c>
      <c r="L1333" s="7">
        <v>25.15</v>
      </c>
      <c r="M1333" s="2" t="str">
        <f>_xlfn.IFS(TelecomData[[#This Row],[TenureMonths]]&lt;=12, "0-1 Year", TelecomData[[#This Row],[TenureMonths]]&lt;=36, "1-3 Years", TelecomData[[#This Row],[TenureMonths]]&gt;36, "3+ Years")</f>
        <v>0-1 Year</v>
      </c>
      <c r="N1333" s="2" t="str">
        <f>IF(TelecomData[[#This Row],[CleanedTotalCharges]]&gt;=2500,"High Spend", "Standard Spend")</f>
        <v>Standard Spend</v>
      </c>
    </row>
    <row r="1334" spans="1:14" x14ac:dyDescent="0.3">
      <c r="A1334" s="1" t="s">
        <v>1358</v>
      </c>
      <c r="B1334" s="2" t="s">
        <v>19</v>
      </c>
      <c r="C1334" s="2" t="s">
        <v>35</v>
      </c>
      <c r="D1334" s="2">
        <v>69</v>
      </c>
      <c r="E1334" s="2" t="s">
        <v>15</v>
      </c>
      <c r="F1334" s="2" t="s">
        <v>36</v>
      </c>
      <c r="G1334" s="7">
        <v>23.95</v>
      </c>
      <c r="H1334" s="7">
        <v>1713.1</v>
      </c>
      <c r="I1334" s="2" t="s">
        <v>15</v>
      </c>
      <c r="J1334" s="2" t="s">
        <v>15</v>
      </c>
      <c r="K1334" s="2" t="s">
        <v>24</v>
      </c>
      <c r="L1334" s="7">
        <v>1713.1</v>
      </c>
      <c r="M1334" s="2" t="str">
        <f>_xlfn.IFS(TelecomData[[#This Row],[TenureMonths]]&lt;=12, "0-1 Year", TelecomData[[#This Row],[TenureMonths]]&lt;=36, "1-3 Years", TelecomData[[#This Row],[TenureMonths]]&gt;36, "3+ Years")</f>
        <v>3+ Years</v>
      </c>
      <c r="N1334" s="2" t="str">
        <f>IF(TelecomData[[#This Row],[CleanedTotalCharges]]&gt;=2500,"High Spend", "Standard Spend")</f>
        <v>Standard Spend</v>
      </c>
    </row>
    <row r="1335" spans="1:14" x14ac:dyDescent="0.3">
      <c r="A1335" s="1" t="s">
        <v>1359</v>
      </c>
      <c r="B1335" s="2" t="s">
        <v>19</v>
      </c>
      <c r="C1335" s="2" t="s">
        <v>20</v>
      </c>
      <c r="D1335" s="2">
        <v>50</v>
      </c>
      <c r="E1335" s="2" t="s">
        <v>14</v>
      </c>
      <c r="F1335" s="2" t="s">
        <v>16</v>
      </c>
      <c r="G1335" s="7">
        <v>35.4</v>
      </c>
      <c r="H1335" s="7">
        <v>1748.9</v>
      </c>
      <c r="I1335" s="2" t="s">
        <v>15</v>
      </c>
      <c r="J1335" s="2" t="s">
        <v>16</v>
      </c>
      <c r="K1335" s="2" t="s">
        <v>21</v>
      </c>
      <c r="L1335" s="7">
        <v>1748.9</v>
      </c>
      <c r="M1335" s="2" t="str">
        <f>_xlfn.IFS(TelecomData[[#This Row],[TenureMonths]]&lt;=12, "0-1 Year", TelecomData[[#This Row],[TenureMonths]]&lt;=36, "1-3 Years", TelecomData[[#This Row],[TenureMonths]]&gt;36, "3+ Years")</f>
        <v>3+ Years</v>
      </c>
      <c r="N1335" s="2" t="str">
        <f>IF(TelecomData[[#This Row],[CleanedTotalCharges]]&gt;=2500,"High Spend", "Standard Spend")</f>
        <v>Standard Spend</v>
      </c>
    </row>
    <row r="1336" spans="1:14" x14ac:dyDescent="0.3">
      <c r="A1336" s="1" t="s">
        <v>1360</v>
      </c>
      <c r="B1336" s="2" t="s">
        <v>12</v>
      </c>
      <c r="C1336" s="2" t="s">
        <v>13</v>
      </c>
      <c r="D1336" s="2">
        <v>1</v>
      </c>
      <c r="E1336" s="2" t="s">
        <v>14</v>
      </c>
      <c r="F1336" s="2" t="s">
        <v>15</v>
      </c>
      <c r="G1336" s="7">
        <v>25.2</v>
      </c>
      <c r="H1336" s="7">
        <v>25.2</v>
      </c>
      <c r="I1336" s="2" t="s">
        <v>16</v>
      </c>
      <c r="J1336" s="2" t="s">
        <v>16</v>
      </c>
      <c r="K1336" s="2" t="s">
        <v>17</v>
      </c>
      <c r="L1336" s="7">
        <v>25.2</v>
      </c>
      <c r="M1336" s="2" t="str">
        <f>_xlfn.IFS(TelecomData[[#This Row],[TenureMonths]]&lt;=12, "0-1 Year", TelecomData[[#This Row],[TenureMonths]]&lt;=36, "1-3 Years", TelecomData[[#This Row],[TenureMonths]]&gt;36, "3+ Years")</f>
        <v>0-1 Year</v>
      </c>
      <c r="N1336" s="2" t="str">
        <f>IF(TelecomData[[#This Row],[CleanedTotalCharges]]&gt;=2500,"High Spend", "Standard Spend")</f>
        <v>Standard Spend</v>
      </c>
    </row>
    <row r="1337" spans="1:14" x14ac:dyDescent="0.3">
      <c r="A1337" s="1" t="s">
        <v>1361</v>
      </c>
      <c r="B1337" s="2" t="s">
        <v>19</v>
      </c>
      <c r="C1337" s="2" t="s">
        <v>13</v>
      </c>
      <c r="D1337" s="2">
        <v>2</v>
      </c>
      <c r="E1337" s="2" t="s">
        <v>14</v>
      </c>
      <c r="F1337" s="2" t="s">
        <v>15</v>
      </c>
      <c r="G1337" s="7">
        <v>45</v>
      </c>
      <c r="H1337" s="7">
        <v>96.45</v>
      </c>
      <c r="I1337" s="2" t="s">
        <v>16</v>
      </c>
      <c r="J1337" s="2" t="s">
        <v>16</v>
      </c>
      <c r="K1337" s="2" t="s">
        <v>21</v>
      </c>
      <c r="L1337" s="7">
        <v>96.45</v>
      </c>
      <c r="M1337" s="2" t="str">
        <f>_xlfn.IFS(TelecomData[[#This Row],[TenureMonths]]&lt;=12, "0-1 Year", TelecomData[[#This Row],[TenureMonths]]&lt;=36, "1-3 Years", TelecomData[[#This Row],[TenureMonths]]&gt;36, "3+ Years")</f>
        <v>0-1 Year</v>
      </c>
      <c r="N1337" s="2" t="str">
        <f>IF(TelecomData[[#This Row],[CleanedTotalCharges]]&gt;=2500,"High Spend", "Standard Spend")</f>
        <v>Standard Spend</v>
      </c>
    </row>
    <row r="1338" spans="1:14" x14ac:dyDescent="0.3">
      <c r="A1338" s="1" t="s">
        <v>1362</v>
      </c>
      <c r="B1338" s="2" t="s">
        <v>12</v>
      </c>
      <c r="C1338" s="2" t="s">
        <v>13</v>
      </c>
      <c r="D1338" s="2">
        <v>15</v>
      </c>
      <c r="E1338" s="2" t="s">
        <v>26</v>
      </c>
      <c r="F1338" s="2" t="s">
        <v>15</v>
      </c>
      <c r="G1338" s="7">
        <v>75.349999999999994</v>
      </c>
      <c r="H1338" s="7">
        <v>1114.55</v>
      </c>
      <c r="I1338" s="2" t="s">
        <v>15</v>
      </c>
      <c r="J1338" s="2" t="s">
        <v>15</v>
      </c>
      <c r="K1338" s="2" t="s">
        <v>24</v>
      </c>
      <c r="L1338" s="7">
        <v>1114.55</v>
      </c>
      <c r="M1338" s="2" t="str">
        <f>_xlfn.IFS(TelecomData[[#This Row],[TenureMonths]]&lt;=12, "0-1 Year", TelecomData[[#This Row],[TenureMonths]]&lt;=36, "1-3 Years", TelecomData[[#This Row],[TenureMonths]]&gt;36, "3+ Years")</f>
        <v>1-3 Years</v>
      </c>
      <c r="N1338" s="2" t="str">
        <f>IF(TelecomData[[#This Row],[CleanedTotalCharges]]&gt;=2500,"High Spend", "Standard Spend")</f>
        <v>Standard Spend</v>
      </c>
    </row>
    <row r="1339" spans="1:14" x14ac:dyDescent="0.3">
      <c r="A1339" s="1" t="s">
        <v>1363</v>
      </c>
      <c r="B1339" s="2" t="s">
        <v>19</v>
      </c>
      <c r="C1339" s="2" t="s">
        <v>35</v>
      </c>
      <c r="D1339" s="2">
        <v>31</v>
      </c>
      <c r="E1339" s="2" t="s">
        <v>15</v>
      </c>
      <c r="F1339" s="2" t="s">
        <v>36</v>
      </c>
      <c r="G1339" s="7">
        <v>20.399999999999999</v>
      </c>
      <c r="H1339" s="7">
        <v>609.1</v>
      </c>
      <c r="I1339" s="2" t="s">
        <v>15</v>
      </c>
      <c r="J1339" s="2" t="s">
        <v>15</v>
      </c>
      <c r="K1339" s="2" t="s">
        <v>24</v>
      </c>
      <c r="L1339" s="7">
        <v>609.1</v>
      </c>
      <c r="M1339" s="2" t="str">
        <f>_xlfn.IFS(TelecomData[[#This Row],[TenureMonths]]&lt;=12, "0-1 Year", TelecomData[[#This Row],[TenureMonths]]&lt;=36, "1-3 Years", TelecomData[[#This Row],[TenureMonths]]&gt;36, "3+ Years")</f>
        <v>1-3 Years</v>
      </c>
      <c r="N1339" s="2" t="str">
        <f>IF(TelecomData[[#This Row],[CleanedTotalCharges]]&gt;=2500,"High Spend", "Standard Spend")</f>
        <v>Standard Spend</v>
      </c>
    </row>
    <row r="1340" spans="1:14" x14ac:dyDescent="0.3">
      <c r="A1340" s="1" t="s">
        <v>1364</v>
      </c>
      <c r="B1340" s="2" t="s">
        <v>19</v>
      </c>
      <c r="C1340" s="2" t="s">
        <v>13</v>
      </c>
      <c r="D1340" s="2">
        <v>1</v>
      </c>
      <c r="E1340" s="2" t="s">
        <v>15</v>
      </c>
      <c r="F1340" s="2" t="s">
        <v>36</v>
      </c>
      <c r="G1340" s="7">
        <v>20.149999999999999</v>
      </c>
      <c r="H1340" s="7">
        <v>20.149999999999999</v>
      </c>
      <c r="I1340" s="2" t="s">
        <v>16</v>
      </c>
      <c r="J1340" s="2" t="s">
        <v>15</v>
      </c>
      <c r="K1340" s="2" t="s">
        <v>21</v>
      </c>
      <c r="L1340" s="7">
        <v>20.149999999999999</v>
      </c>
      <c r="M1340" s="2" t="str">
        <f>_xlfn.IFS(TelecomData[[#This Row],[TenureMonths]]&lt;=12, "0-1 Year", TelecomData[[#This Row],[TenureMonths]]&lt;=36, "1-3 Years", TelecomData[[#This Row],[TenureMonths]]&gt;36, "3+ Years")</f>
        <v>0-1 Year</v>
      </c>
      <c r="N1340" s="2" t="str">
        <f>IF(TelecomData[[#This Row],[CleanedTotalCharges]]&gt;=2500,"High Spend", "Standard Spend")</f>
        <v>Standard Spend</v>
      </c>
    </row>
    <row r="1341" spans="1:14" x14ac:dyDescent="0.3">
      <c r="A1341" s="1" t="s">
        <v>1365</v>
      </c>
      <c r="B1341" s="2" t="s">
        <v>19</v>
      </c>
      <c r="C1341" s="2" t="s">
        <v>13</v>
      </c>
      <c r="D1341" s="2">
        <v>66</v>
      </c>
      <c r="E1341" s="2" t="s">
        <v>26</v>
      </c>
      <c r="F1341" s="2" t="s">
        <v>15</v>
      </c>
      <c r="G1341" s="7">
        <v>105</v>
      </c>
      <c r="H1341" s="7">
        <v>7133.25</v>
      </c>
      <c r="I1341" s="2" t="s">
        <v>16</v>
      </c>
      <c r="J1341" s="2" t="s">
        <v>16</v>
      </c>
      <c r="K1341" s="2" t="s">
        <v>29</v>
      </c>
      <c r="L1341" s="7">
        <v>7133.25</v>
      </c>
      <c r="M1341" s="2" t="str">
        <f>_xlfn.IFS(TelecomData[[#This Row],[TenureMonths]]&lt;=12, "0-1 Year", TelecomData[[#This Row],[TenureMonths]]&lt;=36, "1-3 Years", TelecomData[[#This Row],[TenureMonths]]&gt;36, "3+ Years")</f>
        <v>3+ Years</v>
      </c>
      <c r="N1341" s="2" t="str">
        <f>IF(TelecomData[[#This Row],[CleanedTotalCharges]]&gt;=2500,"High Spend", "Standard Spend")</f>
        <v>High Spend</v>
      </c>
    </row>
    <row r="1342" spans="1:14" x14ac:dyDescent="0.3">
      <c r="A1342" s="1" t="s">
        <v>1366</v>
      </c>
      <c r="B1342" s="2" t="s">
        <v>12</v>
      </c>
      <c r="C1342" s="2" t="s">
        <v>35</v>
      </c>
      <c r="D1342" s="2">
        <v>0</v>
      </c>
      <c r="E1342" s="2" t="s">
        <v>14</v>
      </c>
      <c r="F1342" s="2" t="s">
        <v>16</v>
      </c>
      <c r="G1342" s="7">
        <v>56.05</v>
      </c>
      <c r="H1342" s="7" t="s">
        <v>514</v>
      </c>
      <c r="I1342" s="2" t="s">
        <v>15</v>
      </c>
      <c r="J1342" s="2" t="s">
        <v>15</v>
      </c>
      <c r="K1342" s="2" t="s">
        <v>29</v>
      </c>
      <c r="L1342" s="7">
        <v>0</v>
      </c>
      <c r="M1342" s="2" t="str">
        <f>_xlfn.IFS(TelecomData[[#This Row],[TenureMonths]]&lt;=12, "0-1 Year", TelecomData[[#This Row],[TenureMonths]]&lt;=36, "1-3 Years", TelecomData[[#This Row],[TenureMonths]]&gt;36, "3+ Years")</f>
        <v>0-1 Year</v>
      </c>
      <c r="N1342" s="2" t="str">
        <f>IF(TelecomData[[#This Row],[CleanedTotalCharges]]&gt;=2500,"High Spend", "Standard Spend")</f>
        <v>Standard Spend</v>
      </c>
    </row>
    <row r="1343" spans="1:14" x14ac:dyDescent="0.3">
      <c r="A1343" s="1" t="s">
        <v>1367</v>
      </c>
      <c r="B1343" s="2" t="s">
        <v>19</v>
      </c>
      <c r="C1343" s="2" t="s">
        <v>13</v>
      </c>
      <c r="D1343" s="2">
        <v>3</v>
      </c>
      <c r="E1343" s="2" t="s">
        <v>14</v>
      </c>
      <c r="F1343" s="2" t="s">
        <v>15</v>
      </c>
      <c r="G1343" s="7">
        <v>54.7</v>
      </c>
      <c r="H1343" s="7">
        <v>169.45</v>
      </c>
      <c r="I1343" s="2" t="s">
        <v>16</v>
      </c>
      <c r="J1343" s="2" t="s">
        <v>16</v>
      </c>
      <c r="K1343" s="2" t="s">
        <v>29</v>
      </c>
      <c r="L1343" s="7">
        <v>169.45</v>
      </c>
      <c r="M1343" s="2" t="str">
        <f>_xlfn.IFS(TelecomData[[#This Row],[TenureMonths]]&lt;=12, "0-1 Year", TelecomData[[#This Row],[TenureMonths]]&lt;=36, "1-3 Years", TelecomData[[#This Row],[TenureMonths]]&gt;36, "3+ Years")</f>
        <v>0-1 Year</v>
      </c>
      <c r="N1343" s="2" t="str">
        <f>IF(TelecomData[[#This Row],[CleanedTotalCharges]]&gt;=2500,"High Spend", "Standard Spend")</f>
        <v>Standard Spend</v>
      </c>
    </row>
    <row r="1344" spans="1:14" x14ac:dyDescent="0.3">
      <c r="A1344" s="1" t="s">
        <v>1368</v>
      </c>
      <c r="B1344" s="2" t="s">
        <v>12</v>
      </c>
      <c r="C1344" s="2" t="s">
        <v>35</v>
      </c>
      <c r="D1344" s="2">
        <v>8</v>
      </c>
      <c r="E1344" s="2" t="s">
        <v>15</v>
      </c>
      <c r="F1344" s="2" t="s">
        <v>36</v>
      </c>
      <c r="G1344" s="7">
        <v>20</v>
      </c>
      <c r="H1344" s="7">
        <v>141.6</v>
      </c>
      <c r="I1344" s="2" t="s">
        <v>15</v>
      </c>
      <c r="J1344" s="2" t="s">
        <v>15</v>
      </c>
      <c r="K1344" s="2" t="s">
        <v>21</v>
      </c>
      <c r="L1344" s="7">
        <v>141.6</v>
      </c>
      <c r="M1344" s="2" t="str">
        <f>_xlfn.IFS(TelecomData[[#This Row],[TenureMonths]]&lt;=12, "0-1 Year", TelecomData[[#This Row],[TenureMonths]]&lt;=36, "1-3 Years", TelecomData[[#This Row],[TenureMonths]]&gt;36, "3+ Years")</f>
        <v>0-1 Year</v>
      </c>
      <c r="N1344" s="2" t="str">
        <f>IF(TelecomData[[#This Row],[CleanedTotalCharges]]&gt;=2500,"High Spend", "Standard Spend")</f>
        <v>Standard Spend</v>
      </c>
    </row>
    <row r="1345" spans="1:14" x14ac:dyDescent="0.3">
      <c r="A1345" s="1" t="s">
        <v>1369</v>
      </c>
      <c r="B1345" s="2" t="s">
        <v>19</v>
      </c>
      <c r="C1345" s="2" t="s">
        <v>20</v>
      </c>
      <c r="D1345" s="2">
        <v>64</v>
      </c>
      <c r="E1345" s="2" t="s">
        <v>14</v>
      </c>
      <c r="F1345" s="2" t="s">
        <v>15</v>
      </c>
      <c r="G1345" s="7">
        <v>73.05</v>
      </c>
      <c r="H1345" s="7">
        <v>4688.6499999999996</v>
      </c>
      <c r="I1345" s="2" t="s">
        <v>15</v>
      </c>
      <c r="J1345" s="2" t="s">
        <v>16</v>
      </c>
      <c r="K1345" s="2" t="s">
        <v>29</v>
      </c>
      <c r="L1345" s="7">
        <v>4688.6499999999996</v>
      </c>
      <c r="M1345" s="2" t="str">
        <f>_xlfn.IFS(TelecomData[[#This Row],[TenureMonths]]&lt;=12, "0-1 Year", TelecomData[[#This Row],[TenureMonths]]&lt;=36, "1-3 Years", TelecomData[[#This Row],[TenureMonths]]&gt;36, "3+ Years")</f>
        <v>3+ Years</v>
      </c>
      <c r="N1345" s="2" t="str">
        <f>IF(TelecomData[[#This Row],[CleanedTotalCharges]]&gt;=2500,"High Spend", "Standard Spend")</f>
        <v>High Spend</v>
      </c>
    </row>
    <row r="1346" spans="1:14" x14ac:dyDescent="0.3">
      <c r="A1346" s="1" t="s">
        <v>1370</v>
      </c>
      <c r="B1346" s="2" t="s">
        <v>12</v>
      </c>
      <c r="C1346" s="2" t="s">
        <v>13</v>
      </c>
      <c r="D1346" s="2">
        <v>28</v>
      </c>
      <c r="E1346" s="2" t="s">
        <v>15</v>
      </c>
      <c r="F1346" s="2" t="s">
        <v>36</v>
      </c>
      <c r="G1346" s="7">
        <v>20.5</v>
      </c>
      <c r="H1346" s="7">
        <v>563.04999999999995</v>
      </c>
      <c r="I1346" s="2" t="s">
        <v>15</v>
      </c>
      <c r="J1346" s="2" t="s">
        <v>15</v>
      </c>
      <c r="K1346" s="2" t="s">
        <v>21</v>
      </c>
      <c r="L1346" s="7">
        <v>563.04999999999995</v>
      </c>
      <c r="M1346" s="2" t="str">
        <f>_xlfn.IFS(TelecomData[[#This Row],[TenureMonths]]&lt;=12, "0-1 Year", TelecomData[[#This Row],[TenureMonths]]&lt;=36, "1-3 Years", TelecomData[[#This Row],[TenureMonths]]&gt;36, "3+ Years")</f>
        <v>1-3 Years</v>
      </c>
      <c r="N1346" s="2" t="str">
        <f>IF(TelecomData[[#This Row],[CleanedTotalCharges]]&gt;=2500,"High Spend", "Standard Spend")</f>
        <v>Standard Spend</v>
      </c>
    </row>
    <row r="1347" spans="1:14" x14ac:dyDescent="0.3">
      <c r="A1347" s="1" t="s">
        <v>1371</v>
      </c>
      <c r="B1347" s="2" t="s">
        <v>12</v>
      </c>
      <c r="C1347" s="2" t="s">
        <v>20</v>
      </c>
      <c r="D1347" s="2">
        <v>57</v>
      </c>
      <c r="E1347" s="2" t="s">
        <v>26</v>
      </c>
      <c r="F1347" s="2" t="s">
        <v>15</v>
      </c>
      <c r="G1347" s="7">
        <v>100.75</v>
      </c>
      <c r="H1347" s="7">
        <v>5985</v>
      </c>
      <c r="I1347" s="2" t="s">
        <v>15</v>
      </c>
      <c r="J1347" s="2" t="s">
        <v>16</v>
      </c>
      <c r="K1347" s="2" t="s">
        <v>29</v>
      </c>
      <c r="L1347" s="7">
        <v>5985</v>
      </c>
      <c r="M1347" s="2" t="str">
        <f>_xlfn.IFS(TelecomData[[#This Row],[TenureMonths]]&lt;=12, "0-1 Year", TelecomData[[#This Row],[TenureMonths]]&lt;=36, "1-3 Years", TelecomData[[#This Row],[TenureMonths]]&gt;36, "3+ Years")</f>
        <v>3+ Years</v>
      </c>
      <c r="N1347" s="2" t="str">
        <f>IF(TelecomData[[#This Row],[CleanedTotalCharges]]&gt;=2500,"High Spend", "Standard Spend")</f>
        <v>High Spend</v>
      </c>
    </row>
    <row r="1348" spans="1:14" x14ac:dyDescent="0.3">
      <c r="A1348" s="1" t="s">
        <v>1372</v>
      </c>
      <c r="B1348" s="2" t="s">
        <v>12</v>
      </c>
      <c r="C1348" s="2" t="s">
        <v>13</v>
      </c>
      <c r="D1348" s="2">
        <v>14</v>
      </c>
      <c r="E1348" s="2" t="s">
        <v>26</v>
      </c>
      <c r="F1348" s="2" t="s">
        <v>15</v>
      </c>
      <c r="G1348" s="7">
        <v>87.25</v>
      </c>
      <c r="H1348" s="7">
        <v>1258.5999999999999</v>
      </c>
      <c r="I1348" s="2" t="s">
        <v>16</v>
      </c>
      <c r="J1348" s="2" t="s">
        <v>16</v>
      </c>
      <c r="K1348" s="2" t="s">
        <v>17</v>
      </c>
      <c r="L1348" s="7">
        <v>1258.5999999999999</v>
      </c>
      <c r="M1348" s="2" t="str">
        <f>_xlfn.IFS(TelecomData[[#This Row],[TenureMonths]]&lt;=12, "0-1 Year", TelecomData[[#This Row],[TenureMonths]]&lt;=36, "1-3 Years", TelecomData[[#This Row],[TenureMonths]]&gt;36, "3+ Years")</f>
        <v>1-3 Years</v>
      </c>
      <c r="N1348" s="2" t="str">
        <f>IF(TelecomData[[#This Row],[CleanedTotalCharges]]&gt;=2500,"High Spend", "Standard Spend")</f>
        <v>Standard Spend</v>
      </c>
    </row>
    <row r="1349" spans="1:14" x14ac:dyDescent="0.3">
      <c r="A1349" s="1" t="s">
        <v>1373</v>
      </c>
      <c r="B1349" s="2" t="s">
        <v>19</v>
      </c>
      <c r="C1349" s="2" t="s">
        <v>35</v>
      </c>
      <c r="D1349" s="2">
        <v>19</v>
      </c>
      <c r="E1349" s="2" t="s">
        <v>15</v>
      </c>
      <c r="F1349" s="2" t="s">
        <v>36</v>
      </c>
      <c r="G1349" s="7">
        <v>19.95</v>
      </c>
      <c r="H1349" s="7">
        <v>373.5</v>
      </c>
      <c r="I1349" s="2" t="s">
        <v>15</v>
      </c>
      <c r="J1349" s="2" t="s">
        <v>16</v>
      </c>
      <c r="K1349" s="2" t="s">
        <v>21</v>
      </c>
      <c r="L1349" s="7">
        <v>373.5</v>
      </c>
      <c r="M1349" s="2" t="str">
        <f>_xlfn.IFS(TelecomData[[#This Row],[TenureMonths]]&lt;=12, "0-1 Year", TelecomData[[#This Row],[TenureMonths]]&lt;=36, "1-3 Years", TelecomData[[#This Row],[TenureMonths]]&gt;36, "3+ Years")</f>
        <v>1-3 Years</v>
      </c>
      <c r="N1349" s="2" t="str">
        <f>IF(TelecomData[[#This Row],[CleanedTotalCharges]]&gt;=2500,"High Spend", "Standard Spend")</f>
        <v>Standard Spend</v>
      </c>
    </row>
    <row r="1350" spans="1:14" x14ac:dyDescent="0.3">
      <c r="A1350" s="1" t="s">
        <v>1374</v>
      </c>
      <c r="B1350" s="2" t="s">
        <v>19</v>
      </c>
      <c r="C1350" s="2" t="s">
        <v>13</v>
      </c>
      <c r="D1350" s="2">
        <v>10</v>
      </c>
      <c r="E1350" s="2" t="s">
        <v>26</v>
      </c>
      <c r="F1350" s="2" t="s">
        <v>15</v>
      </c>
      <c r="G1350" s="7">
        <v>79.95</v>
      </c>
      <c r="H1350" s="7">
        <v>857.2</v>
      </c>
      <c r="I1350" s="2" t="s">
        <v>16</v>
      </c>
      <c r="J1350" s="2" t="s">
        <v>16</v>
      </c>
      <c r="K1350" s="2" t="s">
        <v>17</v>
      </c>
      <c r="L1350" s="7">
        <v>857.2</v>
      </c>
      <c r="M1350" s="2" t="str">
        <f>_xlfn.IFS(TelecomData[[#This Row],[TenureMonths]]&lt;=12, "0-1 Year", TelecomData[[#This Row],[TenureMonths]]&lt;=36, "1-3 Years", TelecomData[[#This Row],[TenureMonths]]&gt;36, "3+ Years")</f>
        <v>0-1 Year</v>
      </c>
      <c r="N1350" s="2" t="str">
        <f>IF(TelecomData[[#This Row],[CleanedTotalCharges]]&gt;=2500,"High Spend", "Standard Spend")</f>
        <v>Standard Spend</v>
      </c>
    </row>
    <row r="1351" spans="1:14" x14ac:dyDescent="0.3">
      <c r="A1351" s="1" t="s">
        <v>1375</v>
      </c>
      <c r="B1351" s="2" t="s">
        <v>12</v>
      </c>
      <c r="C1351" s="2" t="s">
        <v>13</v>
      </c>
      <c r="D1351" s="2">
        <v>51</v>
      </c>
      <c r="E1351" s="2" t="s">
        <v>14</v>
      </c>
      <c r="F1351" s="2" t="s">
        <v>15</v>
      </c>
      <c r="G1351" s="7">
        <v>49.65</v>
      </c>
      <c r="H1351" s="7">
        <v>2553.35</v>
      </c>
      <c r="I1351" s="2" t="s">
        <v>15</v>
      </c>
      <c r="J1351" s="2" t="s">
        <v>16</v>
      </c>
      <c r="K1351" s="2" t="s">
        <v>17</v>
      </c>
      <c r="L1351" s="7">
        <v>2553.35</v>
      </c>
      <c r="M1351" s="2" t="str">
        <f>_xlfn.IFS(TelecomData[[#This Row],[TenureMonths]]&lt;=12, "0-1 Year", TelecomData[[#This Row],[TenureMonths]]&lt;=36, "1-3 Years", TelecomData[[#This Row],[TenureMonths]]&gt;36, "3+ Years")</f>
        <v>3+ Years</v>
      </c>
      <c r="N1351" s="2" t="str">
        <f>IF(TelecomData[[#This Row],[CleanedTotalCharges]]&gt;=2500,"High Spend", "Standard Spend")</f>
        <v>High Spend</v>
      </c>
    </row>
    <row r="1352" spans="1:14" x14ac:dyDescent="0.3">
      <c r="A1352" s="1" t="s">
        <v>1376</v>
      </c>
      <c r="B1352" s="2" t="s">
        <v>12</v>
      </c>
      <c r="C1352" s="2" t="s">
        <v>35</v>
      </c>
      <c r="D1352" s="2">
        <v>67</v>
      </c>
      <c r="E1352" s="2" t="s">
        <v>14</v>
      </c>
      <c r="F1352" s="2" t="s">
        <v>15</v>
      </c>
      <c r="G1352" s="7">
        <v>65.650000000000006</v>
      </c>
      <c r="H1352" s="7">
        <v>4322.8500000000004</v>
      </c>
      <c r="I1352" s="2" t="s">
        <v>15</v>
      </c>
      <c r="J1352" s="2" t="s">
        <v>15</v>
      </c>
      <c r="K1352" s="2" t="s">
        <v>21</v>
      </c>
      <c r="L1352" s="7">
        <v>4322.8500000000004</v>
      </c>
      <c r="M1352" s="2" t="str">
        <f>_xlfn.IFS(TelecomData[[#This Row],[TenureMonths]]&lt;=12, "0-1 Year", TelecomData[[#This Row],[TenureMonths]]&lt;=36, "1-3 Years", TelecomData[[#This Row],[TenureMonths]]&gt;36, "3+ Years")</f>
        <v>3+ Years</v>
      </c>
      <c r="N1352" s="2" t="str">
        <f>IF(TelecomData[[#This Row],[CleanedTotalCharges]]&gt;=2500,"High Spend", "Standard Spend")</f>
        <v>High Spend</v>
      </c>
    </row>
    <row r="1353" spans="1:14" x14ac:dyDescent="0.3">
      <c r="A1353" s="1" t="s">
        <v>1377</v>
      </c>
      <c r="B1353" s="2" t="s">
        <v>19</v>
      </c>
      <c r="C1353" s="2" t="s">
        <v>13</v>
      </c>
      <c r="D1353" s="2">
        <v>11</v>
      </c>
      <c r="E1353" s="2" t="s">
        <v>15</v>
      </c>
      <c r="F1353" s="2" t="s">
        <v>36</v>
      </c>
      <c r="G1353" s="7">
        <v>20.45</v>
      </c>
      <c r="H1353" s="7">
        <v>250.8</v>
      </c>
      <c r="I1353" s="2" t="s">
        <v>15</v>
      </c>
      <c r="J1353" s="2" t="s">
        <v>16</v>
      </c>
      <c r="K1353" s="2" t="s">
        <v>17</v>
      </c>
      <c r="L1353" s="7">
        <v>250.8</v>
      </c>
      <c r="M1353" s="2" t="str">
        <f>_xlfn.IFS(TelecomData[[#This Row],[TenureMonths]]&lt;=12, "0-1 Year", TelecomData[[#This Row],[TenureMonths]]&lt;=36, "1-3 Years", TelecomData[[#This Row],[TenureMonths]]&gt;36, "3+ Years")</f>
        <v>0-1 Year</v>
      </c>
      <c r="N1353" s="2" t="str">
        <f>IF(TelecomData[[#This Row],[CleanedTotalCharges]]&gt;=2500,"High Spend", "Standard Spend")</f>
        <v>Standard Spend</v>
      </c>
    </row>
    <row r="1354" spans="1:14" x14ac:dyDescent="0.3">
      <c r="A1354" s="1" t="s">
        <v>1378</v>
      </c>
      <c r="B1354" s="2" t="s">
        <v>19</v>
      </c>
      <c r="C1354" s="2" t="s">
        <v>35</v>
      </c>
      <c r="D1354" s="2">
        <v>72</v>
      </c>
      <c r="E1354" s="2" t="s">
        <v>14</v>
      </c>
      <c r="F1354" s="2" t="s">
        <v>16</v>
      </c>
      <c r="G1354" s="7">
        <v>60.95</v>
      </c>
      <c r="H1354" s="7">
        <v>4549.05</v>
      </c>
      <c r="I1354" s="2" t="s">
        <v>15</v>
      </c>
      <c r="J1354" s="2" t="s">
        <v>15</v>
      </c>
      <c r="K1354" s="2" t="s">
        <v>24</v>
      </c>
      <c r="L1354" s="7">
        <v>4549.05</v>
      </c>
      <c r="M1354" s="2" t="str">
        <f>_xlfn.IFS(TelecomData[[#This Row],[TenureMonths]]&lt;=12, "0-1 Year", TelecomData[[#This Row],[TenureMonths]]&lt;=36, "1-3 Years", TelecomData[[#This Row],[TenureMonths]]&gt;36, "3+ Years")</f>
        <v>3+ Years</v>
      </c>
      <c r="N1354" s="2" t="str">
        <f>IF(TelecomData[[#This Row],[CleanedTotalCharges]]&gt;=2500,"High Spend", "Standard Spend")</f>
        <v>High Spend</v>
      </c>
    </row>
    <row r="1355" spans="1:14" x14ac:dyDescent="0.3">
      <c r="A1355" s="1" t="s">
        <v>1379</v>
      </c>
      <c r="B1355" s="2" t="s">
        <v>19</v>
      </c>
      <c r="C1355" s="2" t="s">
        <v>20</v>
      </c>
      <c r="D1355" s="2">
        <v>66</v>
      </c>
      <c r="E1355" s="2" t="s">
        <v>15</v>
      </c>
      <c r="F1355" s="2" t="s">
        <v>36</v>
      </c>
      <c r="G1355" s="7">
        <v>20.350000000000001</v>
      </c>
      <c r="H1355" s="7">
        <v>1359.5</v>
      </c>
      <c r="I1355" s="2" t="s">
        <v>15</v>
      </c>
      <c r="J1355" s="2" t="s">
        <v>16</v>
      </c>
      <c r="K1355" s="2" t="s">
        <v>17</v>
      </c>
      <c r="L1355" s="7">
        <v>1359.5</v>
      </c>
      <c r="M1355" s="2" t="str">
        <f>_xlfn.IFS(TelecomData[[#This Row],[TenureMonths]]&lt;=12, "0-1 Year", TelecomData[[#This Row],[TenureMonths]]&lt;=36, "1-3 Years", TelecomData[[#This Row],[TenureMonths]]&gt;36, "3+ Years")</f>
        <v>3+ Years</v>
      </c>
      <c r="N1355" s="2" t="str">
        <f>IF(TelecomData[[#This Row],[CleanedTotalCharges]]&gt;=2500,"High Spend", "Standard Spend")</f>
        <v>Standard Spend</v>
      </c>
    </row>
    <row r="1356" spans="1:14" x14ac:dyDescent="0.3">
      <c r="A1356" s="1" t="s">
        <v>1380</v>
      </c>
      <c r="B1356" s="2" t="s">
        <v>12</v>
      </c>
      <c r="C1356" s="2" t="s">
        <v>13</v>
      </c>
      <c r="D1356" s="2">
        <v>18</v>
      </c>
      <c r="E1356" s="2" t="s">
        <v>26</v>
      </c>
      <c r="F1356" s="2" t="s">
        <v>16</v>
      </c>
      <c r="G1356" s="7">
        <v>88.35</v>
      </c>
      <c r="H1356" s="7">
        <v>1639.3</v>
      </c>
      <c r="I1356" s="2" t="s">
        <v>16</v>
      </c>
      <c r="J1356" s="2" t="s">
        <v>16</v>
      </c>
      <c r="K1356" s="2" t="s">
        <v>17</v>
      </c>
      <c r="L1356" s="7">
        <v>1639.3</v>
      </c>
      <c r="M1356" s="2" t="str">
        <f>_xlfn.IFS(TelecomData[[#This Row],[TenureMonths]]&lt;=12, "0-1 Year", TelecomData[[#This Row],[TenureMonths]]&lt;=36, "1-3 Years", TelecomData[[#This Row],[TenureMonths]]&gt;36, "3+ Years")</f>
        <v>1-3 Years</v>
      </c>
      <c r="N1356" s="2" t="str">
        <f>IF(TelecomData[[#This Row],[CleanedTotalCharges]]&gt;=2500,"High Spend", "Standard Spend")</f>
        <v>Standard Spend</v>
      </c>
    </row>
    <row r="1357" spans="1:14" x14ac:dyDescent="0.3">
      <c r="A1357" s="1" t="s">
        <v>1381</v>
      </c>
      <c r="B1357" s="2" t="s">
        <v>12</v>
      </c>
      <c r="C1357" s="2" t="s">
        <v>13</v>
      </c>
      <c r="D1357" s="2">
        <v>9</v>
      </c>
      <c r="E1357" s="2" t="s">
        <v>15</v>
      </c>
      <c r="F1357" s="2" t="s">
        <v>36</v>
      </c>
      <c r="G1357" s="7">
        <v>19.5</v>
      </c>
      <c r="H1357" s="7">
        <v>178.85</v>
      </c>
      <c r="I1357" s="2" t="s">
        <v>15</v>
      </c>
      <c r="J1357" s="2" t="s">
        <v>16</v>
      </c>
      <c r="K1357" s="2" t="s">
        <v>17</v>
      </c>
      <c r="L1357" s="7">
        <v>178.85</v>
      </c>
      <c r="M1357" s="2" t="str">
        <f>_xlfn.IFS(TelecomData[[#This Row],[TenureMonths]]&lt;=12, "0-1 Year", TelecomData[[#This Row],[TenureMonths]]&lt;=36, "1-3 Years", TelecomData[[#This Row],[TenureMonths]]&gt;36, "3+ Years")</f>
        <v>0-1 Year</v>
      </c>
      <c r="N1357" s="2" t="str">
        <f>IF(TelecomData[[#This Row],[CleanedTotalCharges]]&gt;=2500,"High Spend", "Standard Spend")</f>
        <v>Standard Spend</v>
      </c>
    </row>
    <row r="1358" spans="1:14" x14ac:dyDescent="0.3">
      <c r="A1358" s="1" t="s">
        <v>1382</v>
      </c>
      <c r="B1358" s="2" t="s">
        <v>12</v>
      </c>
      <c r="C1358" s="2" t="s">
        <v>13</v>
      </c>
      <c r="D1358" s="2">
        <v>9</v>
      </c>
      <c r="E1358" s="2" t="s">
        <v>26</v>
      </c>
      <c r="F1358" s="2" t="s">
        <v>15</v>
      </c>
      <c r="G1358" s="7">
        <v>75.2</v>
      </c>
      <c r="H1358" s="7">
        <v>633.85</v>
      </c>
      <c r="I1358" s="2" t="s">
        <v>15</v>
      </c>
      <c r="J1358" s="2" t="s">
        <v>16</v>
      </c>
      <c r="K1358" s="2" t="s">
        <v>29</v>
      </c>
      <c r="L1358" s="7">
        <v>633.85</v>
      </c>
      <c r="M1358" s="2" t="str">
        <f>_xlfn.IFS(TelecomData[[#This Row],[TenureMonths]]&lt;=12, "0-1 Year", TelecomData[[#This Row],[TenureMonths]]&lt;=36, "1-3 Years", TelecomData[[#This Row],[TenureMonths]]&gt;36, "3+ Years")</f>
        <v>0-1 Year</v>
      </c>
      <c r="N1358" s="2" t="str">
        <f>IF(TelecomData[[#This Row],[CleanedTotalCharges]]&gt;=2500,"High Spend", "Standard Spend")</f>
        <v>Standard Spend</v>
      </c>
    </row>
    <row r="1359" spans="1:14" x14ac:dyDescent="0.3">
      <c r="A1359" s="1" t="s">
        <v>1383</v>
      </c>
      <c r="B1359" s="2" t="s">
        <v>19</v>
      </c>
      <c r="C1359" s="2" t="s">
        <v>13</v>
      </c>
      <c r="D1359" s="2">
        <v>48</v>
      </c>
      <c r="E1359" s="2" t="s">
        <v>26</v>
      </c>
      <c r="F1359" s="2" t="s">
        <v>15</v>
      </c>
      <c r="G1359" s="7">
        <v>111.45</v>
      </c>
      <c r="H1359" s="7">
        <v>5315.1</v>
      </c>
      <c r="I1359" s="2" t="s">
        <v>15</v>
      </c>
      <c r="J1359" s="2" t="s">
        <v>16</v>
      </c>
      <c r="K1359" s="2" t="s">
        <v>24</v>
      </c>
      <c r="L1359" s="7">
        <v>5315.1</v>
      </c>
      <c r="M1359" s="2" t="str">
        <f>_xlfn.IFS(TelecomData[[#This Row],[TenureMonths]]&lt;=12, "0-1 Year", TelecomData[[#This Row],[TenureMonths]]&lt;=36, "1-3 Years", TelecomData[[#This Row],[TenureMonths]]&gt;36, "3+ Years")</f>
        <v>3+ Years</v>
      </c>
      <c r="N1359" s="2" t="str">
        <f>IF(TelecomData[[#This Row],[CleanedTotalCharges]]&gt;=2500,"High Spend", "Standard Spend")</f>
        <v>High Spend</v>
      </c>
    </row>
    <row r="1360" spans="1:14" x14ac:dyDescent="0.3">
      <c r="A1360" s="1" t="s">
        <v>1384</v>
      </c>
      <c r="B1360" s="2" t="s">
        <v>19</v>
      </c>
      <c r="C1360" s="2" t="s">
        <v>13</v>
      </c>
      <c r="D1360" s="2">
        <v>10</v>
      </c>
      <c r="E1360" s="2" t="s">
        <v>26</v>
      </c>
      <c r="F1360" s="2" t="s">
        <v>15</v>
      </c>
      <c r="G1360" s="7">
        <v>70.150000000000006</v>
      </c>
      <c r="H1360" s="7">
        <v>735.5</v>
      </c>
      <c r="I1360" s="2" t="s">
        <v>15</v>
      </c>
      <c r="J1360" s="2" t="s">
        <v>15</v>
      </c>
      <c r="K1360" s="2" t="s">
        <v>21</v>
      </c>
      <c r="L1360" s="7">
        <v>735.5</v>
      </c>
      <c r="M1360" s="2" t="str">
        <f>_xlfn.IFS(TelecomData[[#This Row],[TenureMonths]]&lt;=12, "0-1 Year", TelecomData[[#This Row],[TenureMonths]]&lt;=36, "1-3 Years", TelecomData[[#This Row],[TenureMonths]]&gt;36, "3+ Years")</f>
        <v>0-1 Year</v>
      </c>
      <c r="N1360" s="2" t="str">
        <f>IF(TelecomData[[#This Row],[CleanedTotalCharges]]&gt;=2500,"High Spend", "Standard Spend")</f>
        <v>Standard Spend</v>
      </c>
    </row>
    <row r="1361" spans="1:14" x14ac:dyDescent="0.3">
      <c r="A1361" s="1" t="s">
        <v>1385</v>
      </c>
      <c r="B1361" s="2" t="s">
        <v>12</v>
      </c>
      <c r="C1361" s="2" t="s">
        <v>13</v>
      </c>
      <c r="D1361" s="2">
        <v>9</v>
      </c>
      <c r="E1361" s="2" t="s">
        <v>26</v>
      </c>
      <c r="F1361" s="2" t="s">
        <v>15</v>
      </c>
      <c r="G1361" s="7">
        <v>94.75</v>
      </c>
      <c r="H1361" s="7">
        <v>889.9</v>
      </c>
      <c r="I1361" s="2" t="s">
        <v>16</v>
      </c>
      <c r="J1361" s="2" t="s">
        <v>16</v>
      </c>
      <c r="K1361" s="2" t="s">
        <v>17</v>
      </c>
      <c r="L1361" s="7">
        <v>889.9</v>
      </c>
      <c r="M1361" s="2" t="str">
        <f>_xlfn.IFS(TelecomData[[#This Row],[TenureMonths]]&lt;=12, "0-1 Year", TelecomData[[#This Row],[TenureMonths]]&lt;=36, "1-3 Years", TelecomData[[#This Row],[TenureMonths]]&gt;36, "3+ Years")</f>
        <v>0-1 Year</v>
      </c>
      <c r="N1361" s="2" t="str">
        <f>IF(TelecomData[[#This Row],[CleanedTotalCharges]]&gt;=2500,"High Spend", "Standard Spend")</f>
        <v>Standard Spend</v>
      </c>
    </row>
    <row r="1362" spans="1:14" x14ac:dyDescent="0.3">
      <c r="A1362" s="1" t="s">
        <v>1386</v>
      </c>
      <c r="B1362" s="2" t="s">
        <v>12</v>
      </c>
      <c r="C1362" s="2" t="s">
        <v>13</v>
      </c>
      <c r="D1362" s="2">
        <v>13</v>
      </c>
      <c r="E1362" s="2" t="s">
        <v>26</v>
      </c>
      <c r="F1362" s="2" t="s">
        <v>15</v>
      </c>
      <c r="G1362" s="7">
        <v>95.05</v>
      </c>
      <c r="H1362" s="7">
        <v>1290</v>
      </c>
      <c r="I1362" s="2" t="s">
        <v>16</v>
      </c>
      <c r="J1362" s="2" t="s">
        <v>16</v>
      </c>
      <c r="K1362" s="2" t="s">
        <v>17</v>
      </c>
      <c r="L1362" s="7">
        <v>1290</v>
      </c>
      <c r="M1362" s="2" t="str">
        <f>_xlfn.IFS(TelecomData[[#This Row],[TenureMonths]]&lt;=12, "0-1 Year", TelecomData[[#This Row],[TenureMonths]]&lt;=36, "1-3 Years", TelecomData[[#This Row],[TenureMonths]]&gt;36, "3+ Years")</f>
        <v>1-3 Years</v>
      </c>
      <c r="N1362" s="2" t="str">
        <f>IF(TelecomData[[#This Row],[CleanedTotalCharges]]&gt;=2500,"High Spend", "Standard Spend")</f>
        <v>Standard Spend</v>
      </c>
    </row>
    <row r="1363" spans="1:14" x14ac:dyDescent="0.3">
      <c r="A1363" s="1" t="s">
        <v>1387</v>
      </c>
      <c r="B1363" s="2" t="s">
        <v>19</v>
      </c>
      <c r="C1363" s="2" t="s">
        <v>13</v>
      </c>
      <c r="D1363" s="2">
        <v>4</v>
      </c>
      <c r="E1363" s="2" t="s">
        <v>26</v>
      </c>
      <c r="F1363" s="2" t="s">
        <v>15</v>
      </c>
      <c r="G1363" s="7">
        <v>78.45</v>
      </c>
      <c r="H1363" s="7">
        <v>330.05</v>
      </c>
      <c r="I1363" s="2" t="s">
        <v>16</v>
      </c>
      <c r="J1363" s="2" t="s">
        <v>15</v>
      </c>
      <c r="K1363" s="2" t="s">
        <v>17</v>
      </c>
      <c r="L1363" s="7">
        <v>330.05</v>
      </c>
      <c r="M1363" s="2" t="str">
        <f>_xlfn.IFS(TelecomData[[#This Row],[TenureMonths]]&lt;=12, "0-1 Year", TelecomData[[#This Row],[TenureMonths]]&lt;=36, "1-3 Years", TelecomData[[#This Row],[TenureMonths]]&gt;36, "3+ Years")</f>
        <v>0-1 Year</v>
      </c>
      <c r="N1363" s="2" t="str">
        <f>IF(TelecomData[[#This Row],[CleanedTotalCharges]]&gt;=2500,"High Spend", "Standard Spend")</f>
        <v>Standard Spend</v>
      </c>
    </row>
    <row r="1364" spans="1:14" x14ac:dyDescent="0.3">
      <c r="A1364" s="1" t="s">
        <v>1388</v>
      </c>
      <c r="B1364" s="2" t="s">
        <v>19</v>
      </c>
      <c r="C1364" s="2" t="s">
        <v>13</v>
      </c>
      <c r="D1364" s="2">
        <v>4</v>
      </c>
      <c r="E1364" s="2" t="s">
        <v>26</v>
      </c>
      <c r="F1364" s="2" t="s">
        <v>15</v>
      </c>
      <c r="G1364" s="7">
        <v>70.2</v>
      </c>
      <c r="H1364" s="7">
        <v>237.95</v>
      </c>
      <c r="I1364" s="2" t="s">
        <v>16</v>
      </c>
      <c r="J1364" s="2" t="s">
        <v>16</v>
      </c>
      <c r="K1364" s="2" t="s">
        <v>17</v>
      </c>
      <c r="L1364" s="7">
        <v>237.95</v>
      </c>
      <c r="M1364" s="2" t="str">
        <f>_xlfn.IFS(TelecomData[[#This Row],[TenureMonths]]&lt;=12, "0-1 Year", TelecomData[[#This Row],[TenureMonths]]&lt;=36, "1-3 Years", TelecomData[[#This Row],[TenureMonths]]&gt;36, "3+ Years")</f>
        <v>0-1 Year</v>
      </c>
      <c r="N1364" s="2" t="str">
        <f>IF(TelecomData[[#This Row],[CleanedTotalCharges]]&gt;=2500,"High Spend", "Standard Spend")</f>
        <v>Standard Spend</v>
      </c>
    </row>
    <row r="1365" spans="1:14" x14ac:dyDescent="0.3">
      <c r="A1365" s="1" t="s">
        <v>1389</v>
      </c>
      <c r="B1365" s="2" t="s">
        <v>12</v>
      </c>
      <c r="C1365" s="2" t="s">
        <v>35</v>
      </c>
      <c r="D1365" s="2">
        <v>72</v>
      </c>
      <c r="E1365" s="2" t="s">
        <v>14</v>
      </c>
      <c r="F1365" s="2" t="s">
        <v>16</v>
      </c>
      <c r="G1365" s="7">
        <v>92</v>
      </c>
      <c r="H1365" s="7">
        <v>6474.4</v>
      </c>
      <c r="I1365" s="2" t="s">
        <v>15</v>
      </c>
      <c r="J1365" s="2" t="s">
        <v>15</v>
      </c>
      <c r="K1365" s="2" t="s">
        <v>24</v>
      </c>
      <c r="L1365" s="7">
        <v>6474.4</v>
      </c>
      <c r="M1365" s="2" t="str">
        <f>_xlfn.IFS(TelecomData[[#This Row],[TenureMonths]]&lt;=12, "0-1 Year", TelecomData[[#This Row],[TenureMonths]]&lt;=36, "1-3 Years", TelecomData[[#This Row],[TenureMonths]]&gt;36, "3+ Years")</f>
        <v>3+ Years</v>
      </c>
      <c r="N1365" s="2" t="str">
        <f>IF(TelecomData[[#This Row],[CleanedTotalCharges]]&gt;=2500,"High Spend", "Standard Spend")</f>
        <v>High Spend</v>
      </c>
    </row>
    <row r="1366" spans="1:14" x14ac:dyDescent="0.3">
      <c r="A1366" s="1" t="s">
        <v>1390</v>
      </c>
      <c r="B1366" s="2" t="s">
        <v>12</v>
      </c>
      <c r="C1366" s="2" t="s">
        <v>35</v>
      </c>
      <c r="D1366" s="2">
        <v>51</v>
      </c>
      <c r="E1366" s="2" t="s">
        <v>14</v>
      </c>
      <c r="F1366" s="2" t="s">
        <v>16</v>
      </c>
      <c r="G1366" s="7">
        <v>85.5</v>
      </c>
      <c r="H1366" s="7">
        <v>4421.95</v>
      </c>
      <c r="I1366" s="2" t="s">
        <v>15</v>
      </c>
      <c r="J1366" s="2" t="s">
        <v>15</v>
      </c>
      <c r="K1366" s="2" t="s">
        <v>29</v>
      </c>
      <c r="L1366" s="7">
        <v>4421.95</v>
      </c>
      <c r="M1366" s="2" t="str">
        <f>_xlfn.IFS(TelecomData[[#This Row],[TenureMonths]]&lt;=12, "0-1 Year", TelecomData[[#This Row],[TenureMonths]]&lt;=36, "1-3 Years", TelecomData[[#This Row],[TenureMonths]]&gt;36, "3+ Years")</f>
        <v>3+ Years</v>
      </c>
      <c r="N1366" s="2" t="str">
        <f>IF(TelecomData[[#This Row],[CleanedTotalCharges]]&gt;=2500,"High Spend", "Standard Spend")</f>
        <v>High Spend</v>
      </c>
    </row>
    <row r="1367" spans="1:14" x14ac:dyDescent="0.3">
      <c r="A1367" s="1" t="s">
        <v>1391</v>
      </c>
      <c r="B1367" s="2" t="s">
        <v>19</v>
      </c>
      <c r="C1367" s="2" t="s">
        <v>13</v>
      </c>
      <c r="D1367" s="2">
        <v>59</v>
      </c>
      <c r="E1367" s="2" t="s">
        <v>14</v>
      </c>
      <c r="F1367" s="2" t="s">
        <v>15</v>
      </c>
      <c r="G1367" s="7">
        <v>41.05</v>
      </c>
      <c r="H1367" s="7">
        <v>2452.6999999999998</v>
      </c>
      <c r="I1367" s="2" t="s">
        <v>16</v>
      </c>
      <c r="J1367" s="2" t="s">
        <v>16</v>
      </c>
      <c r="K1367" s="2" t="s">
        <v>24</v>
      </c>
      <c r="L1367" s="7">
        <v>2452.6999999999998</v>
      </c>
      <c r="M1367" s="2" t="str">
        <f>_xlfn.IFS(TelecomData[[#This Row],[TenureMonths]]&lt;=12, "0-1 Year", TelecomData[[#This Row],[TenureMonths]]&lt;=36, "1-3 Years", TelecomData[[#This Row],[TenureMonths]]&gt;36, "3+ Years")</f>
        <v>3+ Years</v>
      </c>
      <c r="N1367" s="2" t="str">
        <f>IF(TelecomData[[#This Row],[CleanedTotalCharges]]&gt;=2500,"High Spend", "Standard Spend")</f>
        <v>Standard Spend</v>
      </c>
    </row>
    <row r="1368" spans="1:14" x14ac:dyDescent="0.3">
      <c r="A1368" s="1" t="s">
        <v>1392</v>
      </c>
      <c r="B1368" s="2" t="s">
        <v>19</v>
      </c>
      <c r="C1368" s="2" t="s">
        <v>13</v>
      </c>
      <c r="D1368" s="2">
        <v>10</v>
      </c>
      <c r="E1368" s="2" t="s">
        <v>26</v>
      </c>
      <c r="F1368" s="2" t="s">
        <v>15</v>
      </c>
      <c r="G1368" s="7">
        <v>85.6</v>
      </c>
      <c r="H1368" s="7">
        <v>813.85</v>
      </c>
      <c r="I1368" s="2" t="s">
        <v>16</v>
      </c>
      <c r="J1368" s="2" t="s">
        <v>16</v>
      </c>
      <c r="K1368" s="2" t="s">
        <v>17</v>
      </c>
      <c r="L1368" s="7">
        <v>813.85</v>
      </c>
      <c r="M1368" s="2" t="str">
        <f>_xlfn.IFS(TelecomData[[#This Row],[TenureMonths]]&lt;=12, "0-1 Year", TelecomData[[#This Row],[TenureMonths]]&lt;=36, "1-3 Years", TelecomData[[#This Row],[TenureMonths]]&gt;36, "3+ Years")</f>
        <v>0-1 Year</v>
      </c>
      <c r="N1368" s="2" t="str">
        <f>IF(TelecomData[[#This Row],[CleanedTotalCharges]]&gt;=2500,"High Spend", "Standard Spend")</f>
        <v>Standard Spend</v>
      </c>
    </row>
    <row r="1369" spans="1:14" x14ac:dyDescent="0.3">
      <c r="A1369" s="1" t="s">
        <v>1393</v>
      </c>
      <c r="B1369" s="2" t="s">
        <v>19</v>
      </c>
      <c r="C1369" s="2" t="s">
        <v>13</v>
      </c>
      <c r="D1369" s="2">
        <v>61</v>
      </c>
      <c r="E1369" s="2" t="s">
        <v>26</v>
      </c>
      <c r="F1369" s="2" t="s">
        <v>15</v>
      </c>
      <c r="G1369" s="7">
        <v>82.15</v>
      </c>
      <c r="H1369" s="7">
        <v>4904.8500000000004</v>
      </c>
      <c r="I1369" s="2" t="s">
        <v>15</v>
      </c>
      <c r="J1369" s="2" t="s">
        <v>16</v>
      </c>
      <c r="K1369" s="2" t="s">
        <v>17</v>
      </c>
      <c r="L1369" s="7">
        <v>4904.8500000000004</v>
      </c>
      <c r="M1369" s="2" t="str">
        <f>_xlfn.IFS(TelecomData[[#This Row],[TenureMonths]]&lt;=12, "0-1 Year", TelecomData[[#This Row],[TenureMonths]]&lt;=36, "1-3 Years", TelecomData[[#This Row],[TenureMonths]]&gt;36, "3+ Years")</f>
        <v>3+ Years</v>
      </c>
      <c r="N1369" s="2" t="str">
        <f>IF(TelecomData[[#This Row],[CleanedTotalCharges]]&gt;=2500,"High Spend", "Standard Spend")</f>
        <v>High Spend</v>
      </c>
    </row>
    <row r="1370" spans="1:14" x14ac:dyDescent="0.3">
      <c r="A1370" s="1" t="s">
        <v>1394</v>
      </c>
      <c r="B1370" s="2" t="s">
        <v>19</v>
      </c>
      <c r="C1370" s="2" t="s">
        <v>20</v>
      </c>
      <c r="D1370" s="2">
        <v>54</v>
      </c>
      <c r="E1370" s="2" t="s">
        <v>26</v>
      </c>
      <c r="F1370" s="2" t="s">
        <v>16</v>
      </c>
      <c r="G1370" s="7">
        <v>84.4</v>
      </c>
      <c r="H1370" s="7">
        <v>4484.05</v>
      </c>
      <c r="I1370" s="2" t="s">
        <v>15</v>
      </c>
      <c r="J1370" s="2" t="s">
        <v>15</v>
      </c>
      <c r="K1370" s="2" t="s">
        <v>17</v>
      </c>
      <c r="L1370" s="7">
        <v>4484.05</v>
      </c>
      <c r="M1370" s="2" t="str">
        <f>_xlfn.IFS(TelecomData[[#This Row],[TenureMonths]]&lt;=12, "0-1 Year", TelecomData[[#This Row],[TenureMonths]]&lt;=36, "1-3 Years", TelecomData[[#This Row],[TenureMonths]]&gt;36, "3+ Years")</f>
        <v>3+ Years</v>
      </c>
      <c r="N1370" s="2" t="str">
        <f>IF(TelecomData[[#This Row],[CleanedTotalCharges]]&gt;=2500,"High Spend", "Standard Spend")</f>
        <v>High Spend</v>
      </c>
    </row>
    <row r="1371" spans="1:14" x14ac:dyDescent="0.3">
      <c r="A1371" s="1" t="s">
        <v>1395</v>
      </c>
      <c r="B1371" s="2" t="s">
        <v>12</v>
      </c>
      <c r="C1371" s="2" t="s">
        <v>13</v>
      </c>
      <c r="D1371" s="2">
        <v>33</v>
      </c>
      <c r="E1371" s="2" t="s">
        <v>14</v>
      </c>
      <c r="F1371" s="2" t="s">
        <v>15</v>
      </c>
      <c r="G1371" s="7">
        <v>60.9</v>
      </c>
      <c r="H1371" s="7">
        <v>2033.85</v>
      </c>
      <c r="I1371" s="2" t="s">
        <v>15</v>
      </c>
      <c r="J1371" s="2" t="s">
        <v>16</v>
      </c>
      <c r="K1371" s="2" t="s">
        <v>21</v>
      </c>
      <c r="L1371" s="7">
        <v>2033.85</v>
      </c>
      <c r="M1371" s="2" t="str">
        <f>_xlfn.IFS(TelecomData[[#This Row],[TenureMonths]]&lt;=12, "0-1 Year", TelecomData[[#This Row],[TenureMonths]]&lt;=36, "1-3 Years", TelecomData[[#This Row],[TenureMonths]]&gt;36, "3+ Years")</f>
        <v>1-3 Years</v>
      </c>
      <c r="N1371" s="2" t="str">
        <f>IF(TelecomData[[#This Row],[CleanedTotalCharges]]&gt;=2500,"High Spend", "Standard Spend")</f>
        <v>Standard Spend</v>
      </c>
    </row>
    <row r="1372" spans="1:14" x14ac:dyDescent="0.3">
      <c r="A1372" s="1" t="s">
        <v>1396</v>
      </c>
      <c r="B1372" s="2" t="s">
        <v>12</v>
      </c>
      <c r="C1372" s="2" t="s">
        <v>35</v>
      </c>
      <c r="D1372" s="2">
        <v>27</v>
      </c>
      <c r="E1372" s="2" t="s">
        <v>15</v>
      </c>
      <c r="F1372" s="2" t="s">
        <v>36</v>
      </c>
      <c r="G1372" s="7">
        <v>20.25</v>
      </c>
      <c r="H1372" s="7">
        <v>538.20000000000005</v>
      </c>
      <c r="I1372" s="2" t="s">
        <v>15</v>
      </c>
      <c r="J1372" s="2" t="s">
        <v>16</v>
      </c>
      <c r="K1372" s="2" t="s">
        <v>24</v>
      </c>
      <c r="L1372" s="7">
        <v>538.20000000000005</v>
      </c>
      <c r="M1372" s="2" t="str">
        <f>_xlfn.IFS(TelecomData[[#This Row],[TenureMonths]]&lt;=12, "0-1 Year", TelecomData[[#This Row],[TenureMonths]]&lt;=36, "1-3 Years", TelecomData[[#This Row],[TenureMonths]]&gt;36, "3+ Years")</f>
        <v>1-3 Years</v>
      </c>
      <c r="N1372" s="2" t="str">
        <f>IF(TelecomData[[#This Row],[CleanedTotalCharges]]&gt;=2500,"High Spend", "Standard Spend")</f>
        <v>Standard Spend</v>
      </c>
    </row>
    <row r="1373" spans="1:14" x14ac:dyDescent="0.3">
      <c r="A1373" s="1" t="s">
        <v>1397</v>
      </c>
      <c r="B1373" s="2" t="s">
        <v>12</v>
      </c>
      <c r="C1373" s="2" t="s">
        <v>13</v>
      </c>
      <c r="D1373" s="2">
        <v>1</v>
      </c>
      <c r="E1373" s="2" t="s">
        <v>26</v>
      </c>
      <c r="F1373" s="2" t="s">
        <v>15</v>
      </c>
      <c r="G1373" s="7">
        <v>79.2</v>
      </c>
      <c r="H1373" s="7">
        <v>79.2</v>
      </c>
      <c r="I1373" s="2" t="s">
        <v>16</v>
      </c>
      <c r="J1373" s="2" t="s">
        <v>16</v>
      </c>
      <c r="K1373" s="2" t="s">
        <v>17</v>
      </c>
      <c r="L1373" s="7">
        <v>79.2</v>
      </c>
      <c r="M1373" s="2" t="str">
        <f>_xlfn.IFS(TelecomData[[#This Row],[TenureMonths]]&lt;=12, "0-1 Year", TelecomData[[#This Row],[TenureMonths]]&lt;=36, "1-3 Years", TelecomData[[#This Row],[TenureMonths]]&gt;36, "3+ Years")</f>
        <v>0-1 Year</v>
      </c>
      <c r="N1373" s="2" t="str">
        <f>IF(TelecomData[[#This Row],[CleanedTotalCharges]]&gt;=2500,"High Spend", "Standard Spend")</f>
        <v>Standard Spend</v>
      </c>
    </row>
    <row r="1374" spans="1:14" x14ac:dyDescent="0.3">
      <c r="A1374" s="1" t="s">
        <v>1398</v>
      </c>
      <c r="B1374" s="2" t="s">
        <v>19</v>
      </c>
      <c r="C1374" s="2" t="s">
        <v>13</v>
      </c>
      <c r="D1374" s="2">
        <v>23</v>
      </c>
      <c r="E1374" s="2" t="s">
        <v>26</v>
      </c>
      <c r="F1374" s="2" t="s">
        <v>15</v>
      </c>
      <c r="G1374" s="7">
        <v>95.3</v>
      </c>
      <c r="H1374" s="7">
        <v>2192.9</v>
      </c>
      <c r="I1374" s="2" t="s">
        <v>15</v>
      </c>
      <c r="J1374" s="2" t="s">
        <v>15</v>
      </c>
      <c r="K1374" s="2" t="s">
        <v>21</v>
      </c>
      <c r="L1374" s="7">
        <v>2192.9</v>
      </c>
      <c r="M1374" s="2" t="str">
        <f>_xlfn.IFS(TelecomData[[#This Row],[TenureMonths]]&lt;=12, "0-1 Year", TelecomData[[#This Row],[TenureMonths]]&lt;=36, "1-3 Years", TelecomData[[#This Row],[TenureMonths]]&gt;36, "3+ Years")</f>
        <v>1-3 Years</v>
      </c>
      <c r="N1374" s="2" t="str">
        <f>IF(TelecomData[[#This Row],[CleanedTotalCharges]]&gt;=2500,"High Spend", "Standard Spend")</f>
        <v>Standard Spend</v>
      </c>
    </row>
    <row r="1375" spans="1:14" x14ac:dyDescent="0.3">
      <c r="A1375" s="1" t="s">
        <v>1399</v>
      </c>
      <c r="B1375" s="2" t="s">
        <v>19</v>
      </c>
      <c r="C1375" s="2" t="s">
        <v>13</v>
      </c>
      <c r="D1375" s="2">
        <v>1</v>
      </c>
      <c r="E1375" s="2" t="s">
        <v>15</v>
      </c>
      <c r="F1375" s="2" t="s">
        <v>36</v>
      </c>
      <c r="G1375" s="7">
        <v>19.850000000000001</v>
      </c>
      <c r="H1375" s="7">
        <v>19.850000000000001</v>
      </c>
      <c r="I1375" s="2" t="s">
        <v>15</v>
      </c>
      <c r="J1375" s="2" t="s">
        <v>15</v>
      </c>
      <c r="K1375" s="2" t="s">
        <v>21</v>
      </c>
      <c r="L1375" s="7">
        <v>19.850000000000001</v>
      </c>
      <c r="M1375" s="2" t="str">
        <f>_xlfn.IFS(TelecomData[[#This Row],[TenureMonths]]&lt;=12, "0-1 Year", TelecomData[[#This Row],[TenureMonths]]&lt;=36, "1-3 Years", TelecomData[[#This Row],[TenureMonths]]&gt;36, "3+ Years")</f>
        <v>0-1 Year</v>
      </c>
      <c r="N1375" s="2" t="str">
        <f>IF(TelecomData[[#This Row],[CleanedTotalCharges]]&gt;=2500,"High Spend", "Standard Spend")</f>
        <v>Standard Spend</v>
      </c>
    </row>
    <row r="1376" spans="1:14" x14ac:dyDescent="0.3">
      <c r="A1376" s="1" t="s">
        <v>1400</v>
      </c>
      <c r="B1376" s="2" t="s">
        <v>19</v>
      </c>
      <c r="C1376" s="2" t="s">
        <v>35</v>
      </c>
      <c r="D1376" s="2">
        <v>45</v>
      </c>
      <c r="E1376" s="2" t="s">
        <v>14</v>
      </c>
      <c r="F1376" s="2" t="s">
        <v>16</v>
      </c>
      <c r="G1376" s="7">
        <v>84.35</v>
      </c>
      <c r="H1376" s="7">
        <v>3858.05</v>
      </c>
      <c r="I1376" s="2" t="s">
        <v>15</v>
      </c>
      <c r="J1376" s="2" t="s">
        <v>16</v>
      </c>
      <c r="K1376" s="2" t="s">
        <v>21</v>
      </c>
      <c r="L1376" s="7">
        <v>3858.05</v>
      </c>
      <c r="M1376" s="2" t="str">
        <f>_xlfn.IFS(TelecomData[[#This Row],[TenureMonths]]&lt;=12, "0-1 Year", TelecomData[[#This Row],[TenureMonths]]&lt;=36, "1-3 Years", TelecomData[[#This Row],[TenureMonths]]&gt;36, "3+ Years")</f>
        <v>3+ Years</v>
      </c>
      <c r="N1376" s="2" t="str">
        <f>IF(TelecomData[[#This Row],[CleanedTotalCharges]]&gt;=2500,"High Spend", "Standard Spend")</f>
        <v>High Spend</v>
      </c>
    </row>
    <row r="1377" spans="1:14" x14ac:dyDescent="0.3">
      <c r="A1377" s="1" t="s">
        <v>1401</v>
      </c>
      <c r="B1377" s="2" t="s">
        <v>12</v>
      </c>
      <c r="C1377" s="2" t="s">
        <v>35</v>
      </c>
      <c r="D1377" s="2">
        <v>39</v>
      </c>
      <c r="E1377" s="2" t="s">
        <v>15</v>
      </c>
      <c r="F1377" s="2" t="s">
        <v>36</v>
      </c>
      <c r="G1377" s="7">
        <v>19.850000000000001</v>
      </c>
      <c r="H1377" s="7">
        <v>854.8</v>
      </c>
      <c r="I1377" s="2" t="s">
        <v>15</v>
      </c>
      <c r="J1377" s="2" t="s">
        <v>16</v>
      </c>
      <c r="K1377" s="2" t="s">
        <v>24</v>
      </c>
      <c r="L1377" s="7">
        <v>854.8</v>
      </c>
      <c r="M1377" s="2" t="str">
        <f>_xlfn.IFS(TelecomData[[#This Row],[TenureMonths]]&lt;=12, "0-1 Year", TelecomData[[#This Row],[TenureMonths]]&lt;=36, "1-3 Years", TelecomData[[#This Row],[TenureMonths]]&gt;36, "3+ Years")</f>
        <v>3+ Years</v>
      </c>
      <c r="N1377" s="2" t="str">
        <f>IF(TelecomData[[#This Row],[CleanedTotalCharges]]&gt;=2500,"High Spend", "Standard Spend")</f>
        <v>Standard Spend</v>
      </c>
    </row>
    <row r="1378" spans="1:14" x14ac:dyDescent="0.3">
      <c r="A1378" s="1" t="s">
        <v>1402</v>
      </c>
      <c r="B1378" s="2" t="s">
        <v>19</v>
      </c>
      <c r="C1378" s="2" t="s">
        <v>20</v>
      </c>
      <c r="D1378" s="2">
        <v>5</v>
      </c>
      <c r="E1378" s="2" t="s">
        <v>14</v>
      </c>
      <c r="F1378" s="2" t="s">
        <v>15</v>
      </c>
      <c r="G1378" s="7">
        <v>70</v>
      </c>
      <c r="H1378" s="7">
        <v>347.4</v>
      </c>
      <c r="I1378" s="2" t="s">
        <v>16</v>
      </c>
      <c r="J1378" s="2" t="s">
        <v>16</v>
      </c>
      <c r="K1378" s="2" t="s">
        <v>21</v>
      </c>
      <c r="L1378" s="7">
        <v>347.4</v>
      </c>
      <c r="M1378" s="2" t="str">
        <f>_xlfn.IFS(TelecomData[[#This Row],[TenureMonths]]&lt;=12, "0-1 Year", TelecomData[[#This Row],[TenureMonths]]&lt;=36, "1-3 Years", TelecomData[[#This Row],[TenureMonths]]&gt;36, "3+ Years")</f>
        <v>0-1 Year</v>
      </c>
      <c r="N1378" s="2" t="str">
        <f>IF(TelecomData[[#This Row],[CleanedTotalCharges]]&gt;=2500,"High Spend", "Standard Spend")</f>
        <v>Standard Spend</v>
      </c>
    </row>
    <row r="1379" spans="1:14" x14ac:dyDescent="0.3">
      <c r="A1379" s="1" t="s">
        <v>1403</v>
      </c>
      <c r="B1379" s="2" t="s">
        <v>19</v>
      </c>
      <c r="C1379" s="2" t="s">
        <v>35</v>
      </c>
      <c r="D1379" s="2">
        <v>72</v>
      </c>
      <c r="E1379" s="2" t="s">
        <v>14</v>
      </c>
      <c r="F1379" s="2" t="s">
        <v>16</v>
      </c>
      <c r="G1379" s="7">
        <v>82.3</v>
      </c>
      <c r="H1379" s="7">
        <v>5815.15</v>
      </c>
      <c r="I1379" s="2" t="s">
        <v>15</v>
      </c>
      <c r="J1379" s="2" t="s">
        <v>15</v>
      </c>
      <c r="K1379" s="2" t="s">
        <v>24</v>
      </c>
      <c r="L1379" s="7">
        <v>5815.15</v>
      </c>
      <c r="M1379" s="2" t="str">
        <f>_xlfn.IFS(TelecomData[[#This Row],[TenureMonths]]&lt;=12, "0-1 Year", TelecomData[[#This Row],[TenureMonths]]&lt;=36, "1-3 Years", TelecomData[[#This Row],[TenureMonths]]&gt;36, "3+ Years")</f>
        <v>3+ Years</v>
      </c>
      <c r="N1379" s="2" t="str">
        <f>IF(TelecomData[[#This Row],[CleanedTotalCharges]]&gt;=2500,"High Spend", "Standard Spend")</f>
        <v>High Spend</v>
      </c>
    </row>
    <row r="1380" spans="1:14" x14ac:dyDescent="0.3">
      <c r="A1380" s="1" t="s">
        <v>1404</v>
      </c>
      <c r="B1380" s="2" t="s">
        <v>12</v>
      </c>
      <c r="C1380" s="2" t="s">
        <v>13</v>
      </c>
      <c r="D1380" s="2">
        <v>58</v>
      </c>
      <c r="E1380" s="2" t="s">
        <v>14</v>
      </c>
      <c r="F1380" s="2" t="s">
        <v>15</v>
      </c>
      <c r="G1380" s="7">
        <v>66.8</v>
      </c>
      <c r="H1380" s="7">
        <v>3970.4</v>
      </c>
      <c r="I1380" s="2" t="s">
        <v>15</v>
      </c>
      <c r="J1380" s="2" t="s">
        <v>16</v>
      </c>
      <c r="K1380" s="2" t="s">
        <v>24</v>
      </c>
      <c r="L1380" s="7">
        <v>3970.4</v>
      </c>
      <c r="M1380" s="2" t="str">
        <f>_xlfn.IFS(TelecomData[[#This Row],[TenureMonths]]&lt;=12, "0-1 Year", TelecomData[[#This Row],[TenureMonths]]&lt;=36, "1-3 Years", TelecomData[[#This Row],[TenureMonths]]&gt;36, "3+ Years")</f>
        <v>3+ Years</v>
      </c>
      <c r="N1380" s="2" t="str">
        <f>IF(TelecomData[[#This Row],[CleanedTotalCharges]]&gt;=2500,"High Spend", "Standard Spend")</f>
        <v>High Spend</v>
      </c>
    </row>
    <row r="1381" spans="1:14" x14ac:dyDescent="0.3">
      <c r="A1381" s="1" t="s">
        <v>1405</v>
      </c>
      <c r="B1381" s="2" t="s">
        <v>12</v>
      </c>
      <c r="C1381" s="2" t="s">
        <v>35</v>
      </c>
      <c r="D1381" s="2">
        <v>70</v>
      </c>
      <c r="E1381" s="2" t="s">
        <v>14</v>
      </c>
      <c r="F1381" s="2" t="s">
        <v>16</v>
      </c>
      <c r="G1381" s="7">
        <v>44.6</v>
      </c>
      <c r="H1381" s="7">
        <v>3058.15</v>
      </c>
      <c r="I1381" s="2" t="s">
        <v>15</v>
      </c>
      <c r="J1381" s="2" t="s">
        <v>16</v>
      </c>
      <c r="K1381" s="2" t="s">
        <v>24</v>
      </c>
      <c r="L1381" s="7">
        <v>3058.15</v>
      </c>
      <c r="M1381" s="2" t="str">
        <f>_xlfn.IFS(TelecomData[[#This Row],[TenureMonths]]&lt;=12, "0-1 Year", TelecomData[[#This Row],[TenureMonths]]&lt;=36, "1-3 Years", TelecomData[[#This Row],[TenureMonths]]&gt;36, "3+ Years")</f>
        <v>3+ Years</v>
      </c>
      <c r="N1381" s="2" t="str">
        <f>IF(TelecomData[[#This Row],[CleanedTotalCharges]]&gt;=2500,"High Spend", "Standard Spend")</f>
        <v>High Spend</v>
      </c>
    </row>
    <row r="1382" spans="1:14" x14ac:dyDescent="0.3">
      <c r="A1382" s="1" t="s">
        <v>1406</v>
      </c>
      <c r="B1382" s="2" t="s">
        <v>19</v>
      </c>
      <c r="C1382" s="2" t="s">
        <v>20</v>
      </c>
      <c r="D1382" s="2">
        <v>61</v>
      </c>
      <c r="E1382" s="2" t="s">
        <v>26</v>
      </c>
      <c r="F1382" s="2" t="s">
        <v>16</v>
      </c>
      <c r="G1382" s="7">
        <v>98.45</v>
      </c>
      <c r="H1382" s="7">
        <v>6145.2</v>
      </c>
      <c r="I1382" s="2" t="s">
        <v>15</v>
      </c>
      <c r="J1382" s="2" t="s">
        <v>16</v>
      </c>
      <c r="K1382" s="2" t="s">
        <v>24</v>
      </c>
      <c r="L1382" s="7">
        <v>6145.2</v>
      </c>
      <c r="M1382" s="2" t="str">
        <f>_xlfn.IFS(TelecomData[[#This Row],[TenureMonths]]&lt;=12, "0-1 Year", TelecomData[[#This Row],[TenureMonths]]&lt;=36, "1-3 Years", TelecomData[[#This Row],[TenureMonths]]&gt;36, "3+ Years")</f>
        <v>3+ Years</v>
      </c>
      <c r="N1382" s="2" t="str">
        <f>IF(TelecomData[[#This Row],[CleanedTotalCharges]]&gt;=2500,"High Spend", "Standard Spend")</f>
        <v>High Spend</v>
      </c>
    </row>
    <row r="1383" spans="1:14" x14ac:dyDescent="0.3">
      <c r="A1383" s="1" t="s">
        <v>1407</v>
      </c>
      <c r="B1383" s="2" t="s">
        <v>19</v>
      </c>
      <c r="C1383" s="2" t="s">
        <v>13</v>
      </c>
      <c r="D1383" s="2">
        <v>2</v>
      </c>
      <c r="E1383" s="2" t="s">
        <v>26</v>
      </c>
      <c r="F1383" s="2" t="s">
        <v>15</v>
      </c>
      <c r="G1383" s="7">
        <v>70.7</v>
      </c>
      <c r="H1383" s="7">
        <v>129.19999999999999</v>
      </c>
      <c r="I1383" s="2" t="s">
        <v>15</v>
      </c>
      <c r="J1383" s="2" t="s">
        <v>15</v>
      </c>
      <c r="K1383" s="2" t="s">
        <v>21</v>
      </c>
      <c r="L1383" s="7">
        <v>129.19999999999999</v>
      </c>
      <c r="M1383" s="2" t="str">
        <f>_xlfn.IFS(TelecomData[[#This Row],[TenureMonths]]&lt;=12, "0-1 Year", TelecomData[[#This Row],[TenureMonths]]&lt;=36, "1-3 Years", TelecomData[[#This Row],[TenureMonths]]&gt;36, "3+ Years")</f>
        <v>0-1 Year</v>
      </c>
      <c r="N1383" s="2" t="str">
        <f>IF(TelecomData[[#This Row],[CleanedTotalCharges]]&gt;=2500,"High Spend", "Standard Spend")</f>
        <v>Standard Spend</v>
      </c>
    </row>
    <row r="1384" spans="1:14" x14ac:dyDescent="0.3">
      <c r="A1384" s="1" t="s">
        <v>1408</v>
      </c>
      <c r="B1384" s="2" t="s">
        <v>12</v>
      </c>
      <c r="C1384" s="2" t="s">
        <v>20</v>
      </c>
      <c r="D1384" s="2">
        <v>46</v>
      </c>
      <c r="E1384" s="2" t="s">
        <v>15</v>
      </c>
      <c r="F1384" s="2" t="s">
        <v>36</v>
      </c>
      <c r="G1384" s="7">
        <v>24.95</v>
      </c>
      <c r="H1384" s="7">
        <v>1165.9000000000001</v>
      </c>
      <c r="I1384" s="2" t="s">
        <v>15</v>
      </c>
      <c r="J1384" s="2" t="s">
        <v>15</v>
      </c>
      <c r="K1384" s="2" t="s">
        <v>21</v>
      </c>
      <c r="L1384" s="7">
        <v>1165.9000000000001</v>
      </c>
      <c r="M1384" s="2" t="str">
        <f>_xlfn.IFS(TelecomData[[#This Row],[TenureMonths]]&lt;=12, "0-1 Year", TelecomData[[#This Row],[TenureMonths]]&lt;=36, "1-3 Years", TelecomData[[#This Row],[TenureMonths]]&gt;36, "3+ Years")</f>
        <v>3+ Years</v>
      </c>
      <c r="N1384" s="2" t="str">
        <f>IF(TelecomData[[#This Row],[CleanedTotalCharges]]&gt;=2500,"High Spend", "Standard Spend")</f>
        <v>Standard Spend</v>
      </c>
    </row>
    <row r="1385" spans="1:14" x14ac:dyDescent="0.3">
      <c r="A1385" s="1" t="s">
        <v>1409</v>
      </c>
      <c r="B1385" s="2" t="s">
        <v>12</v>
      </c>
      <c r="C1385" s="2" t="s">
        <v>13</v>
      </c>
      <c r="D1385" s="2">
        <v>1</v>
      </c>
      <c r="E1385" s="2" t="s">
        <v>14</v>
      </c>
      <c r="F1385" s="2" t="s">
        <v>15</v>
      </c>
      <c r="G1385" s="7">
        <v>49.95</v>
      </c>
      <c r="H1385" s="7">
        <v>49.95</v>
      </c>
      <c r="I1385" s="2" t="s">
        <v>16</v>
      </c>
      <c r="J1385" s="2" t="s">
        <v>16</v>
      </c>
      <c r="K1385" s="2" t="s">
        <v>24</v>
      </c>
      <c r="L1385" s="7">
        <v>49.95</v>
      </c>
      <c r="M1385" s="2" t="str">
        <f>_xlfn.IFS(TelecomData[[#This Row],[TenureMonths]]&lt;=12, "0-1 Year", TelecomData[[#This Row],[TenureMonths]]&lt;=36, "1-3 Years", TelecomData[[#This Row],[TenureMonths]]&gt;36, "3+ Years")</f>
        <v>0-1 Year</v>
      </c>
      <c r="N1385" s="2" t="str">
        <f>IF(TelecomData[[#This Row],[CleanedTotalCharges]]&gt;=2500,"High Spend", "Standard Spend")</f>
        <v>Standard Spend</v>
      </c>
    </row>
    <row r="1386" spans="1:14" x14ac:dyDescent="0.3">
      <c r="A1386" s="1" t="s">
        <v>1410</v>
      </c>
      <c r="B1386" s="2" t="s">
        <v>12</v>
      </c>
      <c r="C1386" s="2" t="s">
        <v>13</v>
      </c>
      <c r="D1386" s="2">
        <v>22</v>
      </c>
      <c r="E1386" s="2" t="s">
        <v>26</v>
      </c>
      <c r="F1386" s="2" t="s">
        <v>15</v>
      </c>
      <c r="G1386" s="7">
        <v>69.25</v>
      </c>
      <c r="H1386" s="7">
        <v>1554</v>
      </c>
      <c r="I1386" s="2" t="s">
        <v>16</v>
      </c>
      <c r="J1386" s="2" t="s">
        <v>16</v>
      </c>
      <c r="K1386" s="2" t="s">
        <v>17</v>
      </c>
      <c r="L1386" s="7">
        <v>1554</v>
      </c>
      <c r="M1386" s="2" t="str">
        <f>_xlfn.IFS(TelecomData[[#This Row],[TenureMonths]]&lt;=12, "0-1 Year", TelecomData[[#This Row],[TenureMonths]]&lt;=36, "1-3 Years", TelecomData[[#This Row],[TenureMonths]]&gt;36, "3+ Years")</f>
        <v>1-3 Years</v>
      </c>
      <c r="N1386" s="2" t="str">
        <f>IF(TelecomData[[#This Row],[CleanedTotalCharges]]&gt;=2500,"High Spend", "Standard Spend")</f>
        <v>Standard Spend</v>
      </c>
    </row>
    <row r="1387" spans="1:14" x14ac:dyDescent="0.3">
      <c r="A1387" s="1" t="s">
        <v>1411</v>
      </c>
      <c r="B1387" s="2" t="s">
        <v>12</v>
      </c>
      <c r="C1387" s="2" t="s">
        <v>35</v>
      </c>
      <c r="D1387" s="2">
        <v>48</v>
      </c>
      <c r="E1387" s="2" t="s">
        <v>26</v>
      </c>
      <c r="F1387" s="2" t="s">
        <v>16</v>
      </c>
      <c r="G1387" s="7">
        <v>102.5</v>
      </c>
      <c r="H1387" s="7">
        <v>4904.25</v>
      </c>
      <c r="I1387" s="2" t="s">
        <v>15</v>
      </c>
      <c r="J1387" s="2" t="s">
        <v>16</v>
      </c>
      <c r="K1387" s="2" t="s">
        <v>29</v>
      </c>
      <c r="L1387" s="7">
        <v>4904.25</v>
      </c>
      <c r="M1387" s="2" t="str">
        <f>_xlfn.IFS(TelecomData[[#This Row],[TenureMonths]]&lt;=12, "0-1 Year", TelecomData[[#This Row],[TenureMonths]]&lt;=36, "1-3 Years", TelecomData[[#This Row],[TenureMonths]]&gt;36, "3+ Years")</f>
        <v>3+ Years</v>
      </c>
      <c r="N1387" s="2" t="str">
        <f>IF(TelecomData[[#This Row],[CleanedTotalCharges]]&gt;=2500,"High Spend", "Standard Spend")</f>
        <v>High Spend</v>
      </c>
    </row>
    <row r="1388" spans="1:14" x14ac:dyDescent="0.3">
      <c r="A1388" s="1" t="s">
        <v>1412</v>
      </c>
      <c r="B1388" s="2" t="s">
        <v>19</v>
      </c>
      <c r="C1388" s="2" t="s">
        <v>35</v>
      </c>
      <c r="D1388" s="2">
        <v>64</v>
      </c>
      <c r="E1388" s="2" t="s">
        <v>14</v>
      </c>
      <c r="F1388" s="2" t="s">
        <v>16</v>
      </c>
      <c r="G1388" s="7">
        <v>86.55</v>
      </c>
      <c r="H1388" s="7">
        <v>5632.55</v>
      </c>
      <c r="I1388" s="2" t="s">
        <v>15</v>
      </c>
      <c r="J1388" s="2" t="s">
        <v>15</v>
      </c>
      <c r="K1388" s="2" t="s">
        <v>29</v>
      </c>
      <c r="L1388" s="7">
        <v>5632.55</v>
      </c>
      <c r="M1388" s="2" t="str">
        <f>_xlfn.IFS(TelecomData[[#This Row],[TenureMonths]]&lt;=12, "0-1 Year", TelecomData[[#This Row],[TenureMonths]]&lt;=36, "1-3 Years", TelecomData[[#This Row],[TenureMonths]]&gt;36, "3+ Years")</f>
        <v>3+ Years</v>
      </c>
      <c r="N1388" s="2" t="str">
        <f>IF(TelecomData[[#This Row],[CleanedTotalCharges]]&gt;=2500,"High Spend", "Standard Spend")</f>
        <v>High Spend</v>
      </c>
    </row>
    <row r="1389" spans="1:14" x14ac:dyDescent="0.3">
      <c r="A1389" s="1" t="s">
        <v>1413</v>
      </c>
      <c r="B1389" s="2" t="s">
        <v>19</v>
      </c>
      <c r="C1389" s="2" t="s">
        <v>35</v>
      </c>
      <c r="D1389" s="2">
        <v>72</v>
      </c>
      <c r="E1389" s="2" t="s">
        <v>15</v>
      </c>
      <c r="F1389" s="2" t="s">
        <v>36</v>
      </c>
      <c r="G1389" s="7">
        <v>24.3</v>
      </c>
      <c r="H1389" s="7">
        <v>1643.25</v>
      </c>
      <c r="I1389" s="2" t="s">
        <v>15</v>
      </c>
      <c r="J1389" s="2" t="s">
        <v>15</v>
      </c>
      <c r="K1389" s="2" t="s">
        <v>24</v>
      </c>
      <c r="L1389" s="7">
        <v>1643.25</v>
      </c>
      <c r="M1389" s="2" t="str">
        <f>_xlfn.IFS(TelecomData[[#This Row],[TenureMonths]]&lt;=12, "0-1 Year", TelecomData[[#This Row],[TenureMonths]]&lt;=36, "1-3 Years", TelecomData[[#This Row],[TenureMonths]]&gt;36, "3+ Years")</f>
        <v>3+ Years</v>
      </c>
      <c r="N1389" s="2" t="str">
        <f>IF(TelecomData[[#This Row],[CleanedTotalCharges]]&gt;=2500,"High Spend", "Standard Spend")</f>
        <v>Standard Spend</v>
      </c>
    </row>
    <row r="1390" spans="1:14" x14ac:dyDescent="0.3">
      <c r="A1390" s="1" t="s">
        <v>1414</v>
      </c>
      <c r="B1390" s="2" t="s">
        <v>12</v>
      </c>
      <c r="C1390" s="2" t="s">
        <v>13</v>
      </c>
      <c r="D1390" s="2">
        <v>12</v>
      </c>
      <c r="E1390" s="2" t="s">
        <v>14</v>
      </c>
      <c r="F1390" s="2" t="s">
        <v>15</v>
      </c>
      <c r="G1390" s="7">
        <v>58.35</v>
      </c>
      <c r="H1390" s="7">
        <v>740.55</v>
      </c>
      <c r="I1390" s="2" t="s">
        <v>15</v>
      </c>
      <c r="J1390" s="2" t="s">
        <v>16</v>
      </c>
      <c r="K1390" s="2" t="s">
        <v>29</v>
      </c>
      <c r="L1390" s="7">
        <v>740.55</v>
      </c>
      <c r="M1390" s="2" t="str">
        <f>_xlfn.IFS(TelecomData[[#This Row],[TenureMonths]]&lt;=12, "0-1 Year", TelecomData[[#This Row],[TenureMonths]]&lt;=36, "1-3 Years", TelecomData[[#This Row],[TenureMonths]]&gt;36, "3+ Years")</f>
        <v>0-1 Year</v>
      </c>
      <c r="N1390" s="2" t="str">
        <f>IF(TelecomData[[#This Row],[CleanedTotalCharges]]&gt;=2500,"High Spend", "Standard Spend")</f>
        <v>Standard Spend</v>
      </c>
    </row>
    <row r="1391" spans="1:14" x14ac:dyDescent="0.3">
      <c r="A1391" s="1" t="s">
        <v>1415</v>
      </c>
      <c r="B1391" s="2" t="s">
        <v>12</v>
      </c>
      <c r="C1391" s="2" t="s">
        <v>13</v>
      </c>
      <c r="D1391" s="2">
        <v>34</v>
      </c>
      <c r="E1391" s="2" t="s">
        <v>26</v>
      </c>
      <c r="F1391" s="2" t="s">
        <v>15</v>
      </c>
      <c r="G1391" s="7">
        <v>94.25</v>
      </c>
      <c r="H1391" s="7">
        <v>3217.55</v>
      </c>
      <c r="I1391" s="2" t="s">
        <v>16</v>
      </c>
      <c r="J1391" s="2" t="s">
        <v>16</v>
      </c>
      <c r="K1391" s="2" t="s">
        <v>17</v>
      </c>
      <c r="L1391" s="7">
        <v>3217.55</v>
      </c>
      <c r="M1391" s="2" t="str">
        <f>_xlfn.IFS(TelecomData[[#This Row],[TenureMonths]]&lt;=12, "0-1 Year", TelecomData[[#This Row],[TenureMonths]]&lt;=36, "1-3 Years", TelecomData[[#This Row],[TenureMonths]]&gt;36, "3+ Years")</f>
        <v>1-3 Years</v>
      </c>
      <c r="N1391" s="2" t="str">
        <f>IF(TelecomData[[#This Row],[CleanedTotalCharges]]&gt;=2500,"High Spend", "Standard Spend")</f>
        <v>High Spend</v>
      </c>
    </row>
    <row r="1392" spans="1:14" x14ac:dyDescent="0.3">
      <c r="A1392" s="1" t="s">
        <v>1416</v>
      </c>
      <c r="B1392" s="2" t="s">
        <v>12</v>
      </c>
      <c r="C1392" s="2" t="s">
        <v>35</v>
      </c>
      <c r="D1392" s="2">
        <v>72</v>
      </c>
      <c r="E1392" s="2" t="s">
        <v>14</v>
      </c>
      <c r="F1392" s="2" t="s">
        <v>15</v>
      </c>
      <c r="G1392" s="7">
        <v>68.75</v>
      </c>
      <c r="H1392" s="7">
        <v>4888.2</v>
      </c>
      <c r="I1392" s="2" t="s">
        <v>15</v>
      </c>
      <c r="J1392" s="2" t="s">
        <v>15</v>
      </c>
      <c r="K1392" s="2" t="s">
        <v>29</v>
      </c>
      <c r="L1392" s="7">
        <v>4888.2</v>
      </c>
      <c r="M1392" s="2" t="str">
        <f>_xlfn.IFS(TelecomData[[#This Row],[TenureMonths]]&lt;=12, "0-1 Year", TelecomData[[#This Row],[TenureMonths]]&lt;=36, "1-3 Years", TelecomData[[#This Row],[TenureMonths]]&gt;36, "3+ Years")</f>
        <v>3+ Years</v>
      </c>
      <c r="N1392" s="2" t="str">
        <f>IF(TelecomData[[#This Row],[CleanedTotalCharges]]&gt;=2500,"High Spend", "Standard Spend")</f>
        <v>High Spend</v>
      </c>
    </row>
    <row r="1393" spans="1:14" x14ac:dyDescent="0.3">
      <c r="A1393" s="1" t="s">
        <v>1417</v>
      </c>
      <c r="B1393" s="2" t="s">
        <v>19</v>
      </c>
      <c r="C1393" s="2" t="s">
        <v>13</v>
      </c>
      <c r="D1393" s="2">
        <v>29</v>
      </c>
      <c r="E1393" s="2" t="s">
        <v>26</v>
      </c>
      <c r="F1393" s="2" t="s">
        <v>15</v>
      </c>
      <c r="G1393" s="7">
        <v>85.8</v>
      </c>
      <c r="H1393" s="7">
        <v>2440.25</v>
      </c>
      <c r="I1393" s="2" t="s">
        <v>15</v>
      </c>
      <c r="J1393" s="2" t="s">
        <v>16</v>
      </c>
      <c r="K1393" s="2" t="s">
        <v>17</v>
      </c>
      <c r="L1393" s="7">
        <v>2440.25</v>
      </c>
      <c r="M1393" s="2" t="str">
        <f>_xlfn.IFS(TelecomData[[#This Row],[TenureMonths]]&lt;=12, "0-1 Year", TelecomData[[#This Row],[TenureMonths]]&lt;=36, "1-3 Years", TelecomData[[#This Row],[TenureMonths]]&gt;36, "3+ Years")</f>
        <v>1-3 Years</v>
      </c>
      <c r="N1393" s="2" t="str">
        <f>IF(TelecomData[[#This Row],[CleanedTotalCharges]]&gt;=2500,"High Spend", "Standard Spend")</f>
        <v>Standard Spend</v>
      </c>
    </row>
    <row r="1394" spans="1:14" x14ac:dyDescent="0.3">
      <c r="A1394" s="1" t="s">
        <v>1418</v>
      </c>
      <c r="B1394" s="2" t="s">
        <v>19</v>
      </c>
      <c r="C1394" s="2" t="s">
        <v>20</v>
      </c>
      <c r="D1394" s="2">
        <v>33</v>
      </c>
      <c r="E1394" s="2" t="s">
        <v>15</v>
      </c>
      <c r="F1394" s="2" t="s">
        <v>36</v>
      </c>
      <c r="G1394" s="7">
        <v>20.100000000000001</v>
      </c>
      <c r="H1394" s="7">
        <v>620.54999999999995</v>
      </c>
      <c r="I1394" s="2" t="s">
        <v>15</v>
      </c>
      <c r="J1394" s="2" t="s">
        <v>15</v>
      </c>
      <c r="K1394" s="2" t="s">
        <v>29</v>
      </c>
      <c r="L1394" s="7">
        <v>620.54999999999995</v>
      </c>
      <c r="M1394" s="2" t="str">
        <f>_xlfn.IFS(TelecomData[[#This Row],[TenureMonths]]&lt;=12, "0-1 Year", TelecomData[[#This Row],[TenureMonths]]&lt;=36, "1-3 Years", TelecomData[[#This Row],[TenureMonths]]&gt;36, "3+ Years")</f>
        <v>1-3 Years</v>
      </c>
      <c r="N1394" s="2" t="str">
        <f>IF(TelecomData[[#This Row],[CleanedTotalCharges]]&gt;=2500,"High Spend", "Standard Spend")</f>
        <v>Standard Spend</v>
      </c>
    </row>
    <row r="1395" spans="1:14" x14ac:dyDescent="0.3">
      <c r="A1395" s="1" t="s">
        <v>1419</v>
      </c>
      <c r="B1395" s="2" t="s">
        <v>12</v>
      </c>
      <c r="C1395" s="2" t="s">
        <v>13</v>
      </c>
      <c r="D1395" s="2">
        <v>1</v>
      </c>
      <c r="E1395" s="2" t="s">
        <v>15</v>
      </c>
      <c r="F1395" s="2" t="s">
        <v>36</v>
      </c>
      <c r="G1395" s="7">
        <v>20.350000000000001</v>
      </c>
      <c r="H1395" s="7">
        <v>20.350000000000001</v>
      </c>
      <c r="I1395" s="2" t="s">
        <v>15</v>
      </c>
      <c r="J1395" s="2" t="s">
        <v>15</v>
      </c>
      <c r="K1395" s="2" t="s">
        <v>21</v>
      </c>
      <c r="L1395" s="7">
        <v>20.350000000000001</v>
      </c>
      <c r="M1395" s="2" t="str">
        <f>_xlfn.IFS(TelecomData[[#This Row],[TenureMonths]]&lt;=12, "0-1 Year", TelecomData[[#This Row],[TenureMonths]]&lt;=36, "1-3 Years", TelecomData[[#This Row],[TenureMonths]]&gt;36, "3+ Years")</f>
        <v>0-1 Year</v>
      </c>
      <c r="N1395" s="2" t="str">
        <f>IF(TelecomData[[#This Row],[CleanedTotalCharges]]&gt;=2500,"High Spend", "Standard Spend")</f>
        <v>Standard Spend</v>
      </c>
    </row>
    <row r="1396" spans="1:14" x14ac:dyDescent="0.3">
      <c r="A1396" s="1" t="s">
        <v>1420</v>
      </c>
      <c r="B1396" s="2" t="s">
        <v>12</v>
      </c>
      <c r="C1396" s="2" t="s">
        <v>20</v>
      </c>
      <c r="D1396" s="2">
        <v>62</v>
      </c>
      <c r="E1396" s="2" t="s">
        <v>26</v>
      </c>
      <c r="F1396" s="2" t="s">
        <v>16</v>
      </c>
      <c r="G1396" s="7">
        <v>110.8</v>
      </c>
      <c r="H1396" s="7">
        <v>6840.95</v>
      </c>
      <c r="I1396" s="2" t="s">
        <v>15</v>
      </c>
      <c r="J1396" s="2" t="s">
        <v>16</v>
      </c>
      <c r="K1396" s="2" t="s">
        <v>17</v>
      </c>
      <c r="L1396" s="7">
        <v>6840.95</v>
      </c>
      <c r="M1396" s="2" t="str">
        <f>_xlfn.IFS(TelecomData[[#This Row],[TenureMonths]]&lt;=12, "0-1 Year", TelecomData[[#This Row],[TenureMonths]]&lt;=36, "1-3 Years", TelecomData[[#This Row],[TenureMonths]]&gt;36, "3+ Years")</f>
        <v>3+ Years</v>
      </c>
      <c r="N1396" s="2" t="str">
        <f>IF(TelecomData[[#This Row],[CleanedTotalCharges]]&gt;=2500,"High Spend", "Standard Spend")</f>
        <v>High Spend</v>
      </c>
    </row>
    <row r="1397" spans="1:14" x14ac:dyDescent="0.3">
      <c r="A1397" s="1" t="s">
        <v>1421</v>
      </c>
      <c r="B1397" s="2" t="s">
        <v>19</v>
      </c>
      <c r="C1397" s="2" t="s">
        <v>20</v>
      </c>
      <c r="D1397" s="2">
        <v>41</v>
      </c>
      <c r="E1397" s="2" t="s">
        <v>14</v>
      </c>
      <c r="F1397" s="2" t="s">
        <v>15</v>
      </c>
      <c r="G1397" s="7">
        <v>73</v>
      </c>
      <c r="H1397" s="7">
        <v>3001.2</v>
      </c>
      <c r="I1397" s="2" t="s">
        <v>16</v>
      </c>
      <c r="J1397" s="2" t="s">
        <v>16</v>
      </c>
      <c r="K1397" s="2" t="s">
        <v>17</v>
      </c>
      <c r="L1397" s="7">
        <v>3001.2</v>
      </c>
      <c r="M1397" s="2" t="str">
        <f>_xlfn.IFS(TelecomData[[#This Row],[TenureMonths]]&lt;=12, "0-1 Year", TelecomData[[#This Row],[TenureMonths]]&lt;=36, "1-3 Years", TelecomData[[#This Row],[TenureMonths]]&gt;36, "3+ Years")</f>
        <v>3+ Years</v>
      </c>
      <c r="N1397" s="2" t="str">
        <f>IF(TelecomData[[#This Row],[CleanedTotalCharges]]&gt;=2500,"High Spend", "Standard Spend")</f>
        <v>High Spend</v>
      </c>
    </row>
    <row r="1398" spans="1:14" x14ac:dyDescent="0.3">
      <c r="A1398" s="1" t="s">
        <v>1422</v>
      </c>
      <c r="B1398" s="2" t="s">
        <v>12</v>
      </c>
      <c r="C1398" s="2" t="s">
        <v>20</v>
      </c>
      <c r="D1398" s="2">
        <v>64</v>
      </c>
      <c r="E1398" s="2" t="s">
        <v>26</v>
      </c>
      <c r="F1398" s="2" t="s">
        <v>15</v>
      </c>
      <c r="G1398" s="7">
        <v>100.05</v>
      </c>
      <c r="H1398" s="7">
        <v>6254.2</v>
      </c>
      <c r="I1398" s="2" t="s">
        <v>16</v>
      </c>
      <c r="J1398" s="2" t="s">
        <v>16</v>
      </c>
      <c r="K1398" s="2" t="s">
        <v>29</v>
      </c>
      <c r="L1398" s="7">
        <v>6254.2</v>
      </c>
      <c r="M1398" s="2" t="str">
        <f>_xlfn.IFS(TelecomData[[#This Row],[TenureMonths]]&lt;=12, "0-1 Year", TelecomData[[#This Row],[TenureMonths]]&lt;=36, "1-3 Years", TelecomData[[#This Row],[TenureMonths]]&gt;36, "3+ Years")</f>
        <v>3+ Years</v>
      </c>
      <c r="N1398" s="2" t="str">
        <f>IF(TelecomData[[#This Row],[CleanedTotalCharges]]&gt;=2500,"High Spend", "Standard Spend")</f>
        <v>High Spend</v>
      </c>
    </row>
    <row r="1399" spans="1:14" x14ac:dyDescent="0.3">
      <c r="A1399" s="1" t="s">
        <v>1423</v>
      </c>
      <c r="B1399" s="2" t="s">
        <v>12</v>
      </c>
      <c r="C1399" s="2" t="s">
        <v>13</v>
      </c>
      <c r="D1399" s="2">
        <v>4</v>
      </c>
      <c r="E1399" s="2" t="s">
        <v>26</v>
      </c>
      <c r="F1399" s="2" t="s">
        <v>15</v>
      </c>
      <c r="G1399" s="7">
        <v>82.85</v>
      </c>
      <c r="H1399" s="7">
        <v>319.60000000000002</v>
      </c>
      <c r="I1399" s="2" t="s">
        <v>15</v>
      </c>
      <c r="J1399" s="2" t="s">
        <v>16</v>
      </c>
      <c r="K1399" s="2" t="s">
        <v>29</v>
      </c>
      <c r="L1399" s="7">
        <v>319.60000000000002</v>
      </c>
      <c r="M1399" s="2" t="str">
        <f>_xlfn.IFS(TelecomData[[#This Row],[TenureMonths]]&lt;=12, "0-1 Year", TelecomData[[#This Row],[TenureMonths]]&lt;=36, "1-3 Years", TelecomData[[#This Row],[TenureMonths]]&gt;36, "3+ Years")</f>
        <v>0-1 Year</v>
      </c>
      <c r="N1399" s="2" t="str">
        <f>IF(TelecomData[[#This Row],[CleanedTotalCharges]]&gt;=2500,"High Spend", "Standard Spend")</f>
        <v>Standard Spend</v>
      </c>
    </row>
    <row r="1400" spans="1:14" x14ac:dyDescent="0.3">
      <c r="A1400" s="1" t="s">
        <v>1424</v>
      </c>
      <c r="B1400" s="2" t="s">
        <v>12</v>
      </c>
      <c r="C1400" s="2" t="s">
        <v>13</v>
      </c>
      <c r="D1400" s="2">
        <v>24</v>
      </c>
      <c r="E1400" s="2" t="s">
        <v>26</v>
      </c>
      <c r="F1400" s="2" t="s">
        <v>16</v>
      </c>
      <c r="G1400" s="7">
        <v>84.35</v>
      </c>
      <c r="H1400" s="7">
        <v>1938.05</v>
      </c>
      <c r="I1400" s="2" t="s">
        <v>15</v>
      </c>
      <c r="J1400" s="2" t="s">
        <v>16</v>
      </c>
      <c r="K1400" s="2" t="s">
        <v>17</v>
      </c>
      <c r="L1400" s="7">
        <v>1938.05</v>
      </c>
      <c r="M1400" s="2" t="str">
        <f>_xlfn.IFS(TelecomData[[#This Row],[TenureMonths]]&lt;=12, "0-1 Year", TelecomData[[#This Row],[TenureMonths]]&lt;=36, "1-3 Years", TelecomData[[#This Row],[TenureMonths]]&gt;36, "3+ Years")</f>
        <v>1-3 Years</v>
      </c>
      <c r="N1400" s="2" t="str">
        <f>IF(TelecomData[[#This Row],[CleanedTotalCharges]]&gt;=2500,"High Spend", "Standard Spend")</f>
        <v>Standard Spend</v>
      </c>
    </row>
    <row r="1401" spans="1:14" x14ac:dyDescent="0.3">
      <c r="A1401" s="1" t="s">
        <v>1425</v>
      </c>
      <c r="B1401" s="2" t="s">
        <v>12</v>
      </c>
      <c r="C1401" s="2" t="s">
        <v>20</v>
      </c>
      <c r="D1401" s="2">
        <v>14</v>
      </c>
      <c r="E1401" s="2" t="s">
        <v>15</v>
      </c>
      <c r="F1401" s="2" t="s">
        <v>36</v>
      </c>
      <c r="G1401" s="7">
        <v>19.55</v>
      </c>
      <c r="H1401" s="7">
        <v>294.5</v>
      </c>
      <c r="I1401" s="2" t="s">
        <v>15</v>
      </c>
      <c r="J1401" s="2" t="s">
        <v>15</v>
      </c>
      <c r="K1401" s="2" t="s">
        <v>21</v>
      </c>
      <c r="L1401" s="7">
        <v>294.5</v>
      </c>
      <c r="M1401" s="2" t="str">
        <f>_xlfn.IFS(TelecomData[[#This Row],[TenureMonths]]&lt;=12, "0-1 Year", TelecomData[[#This Row],[TenureMonths]]&lt;=36, "1-3 Years", TelecomData[[#This Row],[TenureMonths]]&gt;36, "3+ Years")</f>
        <v>1-3 Years</v>
      </c>
      <c r="N1401" s="2" t="str">
        <f>IF(TelecomData[[#This Row],[CleanedTotalCharges]]&gt;=2500,"High Spend", "Standard Spend")</f>
        <v>Standard Spend</v>
      </c>
    </row>
    <row r="1402" spans="1:14" x14ac:dyDescent="0.3">
      <c r="A1402" s="1" t="s">
        <v>1426</v>
      </c>
      <c r="B1402" s="2" t="s">
        <v>19</v>
      </c>
      <c r="C1402" s="2" t="s">
        <v>13</v>
      </c>
      <c r="D1402" s="2">
        <v>3</v>
      </c>
      <c r="E1402" s="2" t="s">
        <v>15</v>
      </c>
      <c r="F1402" s="2" t="s">
        <v>36</v>
      </c>
      <c r="G1402" s="7">
        <v>19.95</v>
      </c>
      <c r="H1402" s="7">
        <v>58.3</v>
      </c>
      <c r="I1402" s="2" t="s">
        <v>15</v>
      </c>
      <c r="J1402" s="2" t="s">
        <v>15</v>
      </c>
      <c r="K1402" s="2" t="s">
        <v>21</v>
      </c>
      <c r="L1402" s="7">
        <v>58.3</v>
      </c>
      <c r="M1402" s="2" t="str">
        <f>_xlfn.IFS(TelecomData[[#This Row],[TenureMonths]]&lt;=12, "0-1 Year", TelecomData[[#This Row],[TenureMonths]]&lt;=36, "1-3 Years", TelecomData[[#This Row],[TenureMonths]]&gt;36, "3+ Years")</f>
        <v>0-1 Year</v>
      </c>
      <c r="N1402" s="2" t="str">
        <f>IF(TelecomData[[#This Row],[CleanedTotalCharges]]&gt;=2500,"High Spend", "Standard Spend")</f>
        <v>Standard Spend</v>
      </c>
    </row>
    <row r="1403" spans="1:14" x14ac:dyDescent="0.3">
      <c r="A1403" s="1" t="s">
        <v>1427</v>
      </c>
      <c r="B1403" s="2" t="s">
        <v>12</v>
      </c>
      <c r="C1403" s="2" t="s">
        <v>13</v>
      </c>
      <c r="D1403" s="2">
        <v>4</v>
      </c>
      <c r="E1403" s="2" t="s">
        <v>26</v>
      </c>
      <c r="F1403" s="2" t="s">
        <v>15</v>
      </c>
      <c r="G1403" s="7">
        <v>99.8</v>
      </c>
      <c r="H1403" s="7">
        <v>442.85</v>
      </c>
      <c r="I1403" s="2" t="s">
        <v>16</v>
      </c>
      <c r="J1403" s="2" t="s">
        <v>16</v>
      </c>
      <c r="K1403" s="2" t="s">
        <v>29</v>
      </c>
      <c r="L1403" s="7">
        <v>442.85</v>
      </c>
      <c r="M1403" s="2" t="str">
        <f>_xlfn.IFS(TelecomData[[#This Row],[TenureMonths]]&lt;=12, "0-1 Year", TelecomData[[#This Row],[TenureMonths]]&lt;=36, "1-3 Years", TelecomData[[#This Row],[TenureMonths]]&gt;36, "3+ Years")</f>
        <v>0-1 Year</v>
      </c>
      <c r="N1403" s="2" t="str">
        <f>IF(TelecomData[[#This Row],[CleanedTotalCharges]]&gt;=2500,"High Spend", "Standard Spend")</f>
        <v>Standard Spend</v>
      </c>
    </row>
    <row r="1404" spans="1:14" x14ac:dyDescent="0.3">
      <c r="A1404" s="1" t="s">
        <v>1428</v>
      </c>
      <c r="B1404" s="2" t="s">
        <v>12</v>
      </c>
      <c r="C1404" s="2" t="s">
        <v>13</v>
      </c>
      <c r="D1404" s="2">
        <v>18</v>
      </c>
      <c r="E1404" s="2" t="s">
        <v>14</v>
      </c>
      <c r="F1404" s="2" t="s">
        <v>15</v>
      </c>
      <c r="G1404" s="7">
        <v>35</v>
      </c>
      <c r="H1404" s="7">
        <v>553</v>
      </c>
      <c r="I1404" s="2" t="s">
        <v>16</v>
      </c>
      <c r="J1404" s="2" t="s">
        <v>16</v>
      </c>
      <c r="K1404" s="2" t="s">
        <v>17</v>
      </c>
      <c r="L1404" s="7">
        <v>553</v>
      </c>
      <c r="M1404" s="2" t="str">
        <f>_xlfn.IFS(TelecomData[[#This Row],[TenureMonths]]&lt;=12, "0-1 Year", TelecomData[[#This Row],[TenureMonths]]&lt;=36, "1-3 Years", TelecomData[[#This Row],[TenureMonths]]&gt;36, "3+ Years")</f>
        <v>1-3 Years</v>
      </c>
      <c r="N1404" s="2" t="str">
        <f>IF(TelecomData[[#This Row],[CleanedTotalCharges]]&gt;=2500,"High Spend", "Standard Spend")</f>
        <v>Standard Spend</v>
      </c>
    </row>
    <row r="1405" spans="1:14" x14ac:dyDescent="0.3">
      <c r="A1405" s="1" t="s">
        <v>1429</v>
      </c>
      <c r="B1405" s="2" t="s">
        <v>19</v>
      </c>
      <c r="C1405" s="2" t="s">
        <v>13</v>
      </c>
      <c r="D1405" s="2">
        <v>8</v>
      </c>
      <c r="E1405" s="2" t="s">
        <v>14</v>
      </c>
      <c r="F1405" s="2" t="s">
        <v>15</v>
      </c>
      <c r="G1405" s="7">
        <v>66.25</v>
      </c>
      <c r="H1405" s="7">
        <v>546.45000000000005</v>
      </c>
      <c r="I1405" s="2" t="s">
        <v>15</v>
      </c>
      <c r="J1405" s="2" t="s">
        <v>16</v>
      </c>
      <c r="K1405" s="2" t="s">
        <v>17</v>
      </c>
      <c r="L1405" s="7">
        <v>546.45000000000005</v>
      </c>
      <c r="M1405" s="2" t="str">
        <f>_xlfn.IFS(TelecomData[[#This Row],[TenureMonths]]&lt;=12, "0-1 Year", TelecomData[[#This Row],[TenureMonths]]&lt;=36, "1-3 Years", TelecomData[[#This Row],[TenureMonths]]&gt;36, "3+ Years")</f>
        <v>0-1 Year</v>
      </c>
      <c r="N1405" s="2" t="str">
        <f>IF(TelecomData[[#This Row],[CleanedTotalCharges]]&gt;=2500,"High Spend", "Standard Spend")</f>
        <v>Standard Spend</v>
      </c>
    </row>
    <row r="1406" spans="1:14" x14ac:dyDescent="0.3">
      <c r="A1406" s="1" t="s">
        <v>1430</v>
      </c>
      <c r="B1406" s="2" t="s">
        <v>12</v>
      </c>
      <c r="C1406" s="2" t="s">
        <v>35</v>
      </c>
      <c r="D1406" s="2">
        <v>35</v>
      </c>
      <c r="E1406" s="2" t="s">
        <v>15</v>
      </c>
      <c r="F1406" s="2" t="s">
        <v>36</v>
      </c>
      <c r="G1406" s="7">
        <v>23.3</v>
      </c>
      <c r="H1406" s="7">
        <v>797.1</v>
      </c>
      <c r="I1406" s="2" t="s">
        <v>15</v>
      </c>
      <c r="J1406" s="2" t="s">
        <v>15</v>
      </c>
      <c r="K1406" s="2" t="s">
        <v>24</v>
      </c>
      <c r="L1406" s="7">
        <v>797.1</v>
      </c>
      <c r="M1406" s="2" t="str">
        <f>_xlfn.IFS(TelecomData[[#This Row],[TenureMonths]]&lt;=12, "0-1 Year", TelecomData[[#This Row],[TenureMonths]]&lt;=36, "1-3 Years", TelecomData[[#This Row],[TenureMonths]]&gt;36, "3+ Years")</f>
        <v>1-3 Years</v>
      </c>
      <c r="N1406" s="2" t="str">
        <f>IF(TelecomData[[#This Row],[CleanedTotalCharges]]&gt;=2500,"High Spend", "Standard Spend")</f>
        <v>Standard Spend</v>
      </c>
    </row>
    <row r="1407" spans="1:14" x14ac:dyDescent="0.3">
      <c r="A1407" s="1" t="s">
        <v>1431</v>
      </c>
      <c r="B1407" s="2" t="s">
        <v>12</v>
      </c>
      <c r="C1407" s="2" t="s">
        <v>13</v>
      </c>
      <c r="D1407" s="2">
        <v>1</v>
      </c>
      <c r="E1407" s="2" t="s">
        <v>26</v>
      </c>
      <c r="F1407" s="2" t="s">
        <v>15</v>
      </c>
      <c r="G1407" s="7">
        <v>76</v>
      </c>
      <c r="H1407" s="7">
        <v>76</v>
      </c>
      <c r="I1407" s="2" t="s">
        <v>16</v>
      </c>
      <c r="J1407" s="2" t="s">
        <v>15</v>
      </c>
      <c r="K1407" s="2" t="s">
        <v>17</v>
      </c>
      <c r="L1407" s="7">
        <v>76</v>
      </c>
      <c r="M1407" s="2" t="str">
        <f>_xlfn.IFS(TelecomData[[#This Row],[TenureMonths]]&lt;=12, "0-1 Year", TelecomData[[#This Row],[TenureMonths]]&lt;=36, "1-3 Years", TelecomData[[#This Row],[TenureMonths]]&gt;36, "3+ Years")</f>
        <v>0-1 Year</v>
      </c>
      <c r="N1407" s="2" t="str">
        <f>IF(TelecomData[[#This Row],[CleanedTotalCharges]]&gt;=2500,"High Spend", "Standard Spend")</f>
        <v>Standard Spend</v>
      </c>
    </row>
    <row r="1408" spans="1:14" x14ac:dyDescent="0.3">
      <c r="A1408" s="1" t="s">
        <v>1432</v>
      </c>
      <c r="B1408" s="2" t="s">
        <v>19</v>
      </c>
      <c r="C1408" s="2" t="s">
        <v>35</v>
      </c>
      <c r="D1408" s="2">
        <v>66</v>
      </c>
      <c r="E1408" s="2" t="s">
        <v>15</v>
      </c>
      <c r="F1408" s="2" t="s">
        <v>36</v>
      </c>
      <c r="G1408" s="7">
        <v>25.3</v>
      </c>
      <c r="H1408" s="7">
        <v>1673.8</v>
      </c>
      <c r="I1408" s="2" t="s">
        <v>15</v>
      </c>
      <c r="J1408" s="2" t="s">
        <v>16</v>
      </c>
      <c r="K1408" s="2" t="s">
        <v>29</v>
      </c>
      <c r="L1408" s="7">
        <v>1673.8</v>
      </c>
      <c r="M1408" s="2" t="str">
        <f>_xlfn.IFS(TelecomData[[#This Row],[TenureMonths]]&lt;=12, "0-1 Year", TelecomData[[#This Row],[TenureMonths]]&lt;=36, "1-3 Years", TelecomData[[#This Row],[TenureMonths]]&gt;36, "3+ Years")</f>
        <v>3+ Years</v>
      </c>
      <c r="N1408" s="2" t="str">
        <f>IF(TelecomData[[#This Row],[CleanedTotalCharges]]&gt;=2500,"High Spend", "Standard Spend")</f>
        <v>Standard Spend</v>
      </c>
    </row>
    <row r="1409" spans="1:14" x14ac:dyDescent="0.3">
      <c r="A1409" s="1" t="s">
        <v>1433</v>
      </c>
      <c r="B1409" s="2" t="s">
        <v>19</v>
      </c>
      <c r="C1409" s="2" t="s">
        <v>35</v>
      </c>
      <c r="D1409" s="2">
        <v>8</v>
      </c>
      <c r="E1409" s="2" t="s">
        <v>14</v>
      </c>
      <c r="F1409" s="2" t="s">
        <v>16</v>
      </c>
      <c r="G1409" s="7">
        <v>44.55</v>
      </c>
      <c r="H1409" s="7">
        <v>343.45</v>
      </c>
      <c r="I1409" s="2" t="s">
        <v>15</v>
      </c>
      <c r="J1409" s="2" t="s">
        <v>16</v>
      </c>
      <c r="K1409" s="2" t="s">
        <v>21</v>
      </c>
      <c r="L1409" s="7">
        <v>343.45</v>
      </c>
      <c r="M1409" s="2" t="str">
        <f>_xlfn.IFS(TelecomData[[#This Row],[TenureMonths]]&lt;=12, "0-1 Year", TelecomData[[#This Row],[TenureMonths]]&lt;=36, "1-3 Years", TelecomData[[#This Row],[TenureMonths]]&gt;36, "3+ Years")</f>
        <v>0-1 Year</v>
      </c>
      <c r="N1409" s="2" t="str">
        <f>IF(TelecomData[[#This Row],[CleanedTotalCharges]]&gt;=2500,"High Spend", "Standard Spend")</f>
        <v>Standard Spend</v>
      </c>
    </row>
    <row r="1410" spans="1:14" x14ac:dyDescent="0.3">
      <c r="A1410" s="1" t="s">
        <v>1434</v>
      </c>
      <c r="B1410" s="2" t="s">
        <v>12</v>
      </c>
      <c r="C1410" s="2" t="s">
        <v>20</v>
      </c>
      <c r="D1410" s="2">
        <v>71</v>
      </c>
      <c r="E1410" s="2" t="s">
        <v>26</v>
      </c>
      <c r="F1410" s="2" t="s">
        <v>15</v>
      </c>
      <c r="G1410" s="7">
        <v>104.1</v>
      </c>
      <c r="H1410" s="7">
        <v>7412.25</v>
      </c>
      <c r="I1410" s="2" t="s">
        <v>15</v>
      </c>
      <c r="J1410" s="2" t="s">
        <v>16</v>
      </c>
      <c r="K1410" s="2" t="s">
        <v>29</v>
      </c>
      <c r="L1410" s="7">
        <v>7412.25</v>
      </c>
      <c r="M1410" s="2" t="str">
        <f>_xlfn.IFS(TelecomData[[#This Row],[TenureMonths]]&lt;=12, "0-1 Year", TelecomData[[#This Row],[TenureMonths]]&lt;=36, "1-3 Years", TelecomData[[#This Row],[TenureMonths]]&gt;36, "3+ Years")</f>
        <v>3+ Years</v>
      </c>
      <c r="N1410" s="2" t="str">
        <f>IF(TelecomData[[#This Row],[CleanedTotalCharges]]&gt;=2500,"High Spend", "Standard Spend")</f>
        <v>High Spend</v>
      </c>
    </row>
    <row r="1411" spans="1:14" x14ac:dyDescent="0.3">
      <c r="A1411" s="1" t="s">
        <v>1435</v>
      </c>
      <c r="B1411" s="2" t="s">
        <v>12</v>
      </c>
      <c r="C1411" s="2" t="s">
        <v>13</v>
      </c>
      <c r="D1411" s="2">
        <v>43</v>
      </c>
      <c r="E1411" s="2" t="s">
        <v>26</v>
      </c>
      <c r="F1411" s="2" t="s">
        <v>15</v>
      </c>
      <c r="G1411" s="7">
        <v>92.55</v>
      </c>
      <c r="H1411" s="7">
        <v>4039</v>
      </c>
      <c r="I1411" s="2" t="s">
        <v>15</v>
      </c>
      <c r="J1411" s="2" t="s">
        <v>16</v>
      </c>
      <c r="K1411" s="2" t="s">
        <v>24</v>
      </c>
      <c r="L1411" s="7">
        <v>4039</v>
      </c>
      <c r="M1411" s="2" t="str">
        <f>_xlfn.IFS(TelecomData[[#This Row],[TenureMonths]]&lt;=12, "0-1 Year", TelecomData[[#This Row],[TenureMonths]]&lt;=36, "1-3 Years", TelecomData[[#This Row],[TenureMonths]]&gt;36, "3+ Years")</f>
        <v>3+ Years</v>
      </c>
      <c r="N1411" s="2" t="str">
        <f>IF(TelecomData[[#This Row],[CleanedTotalCharges]]&gt;=2500,"High Spend", "Standard Spend")</f>
        <v>High Spend</v>
      </c>
    </row>
    <row r="1412" spans="1:14" x14ac:dyDescent="0.3">
      <c r="A1412" s="1" t="s">
        <v>1436</v>
      </c>
      <c r="B1412" s="2" t="s">
        <v>12</v>
      </c>
      <c r="C1412" s="2" t="s">
        <v>13</v>
      </c>
      <c r="D1412" s="2">
        <v>2</v>
      </c>
      <c r="E1412" s="2" t="s">
        <v>26</v>
      </c>
      <c r="F1412" s="2" t="s">
        <v>15</v>
      </c>
      <c r="G1412" s="7">
        <v>93.85</v>
      </c>
      <c r="H1412" s="7">
        <v>170.85</v>
      </c>
      <c r="I1412" s="2" t="s">
        <v>16</v>
      </c>
      <c r="J1412" s="2" t="s">
        <v>16</v>
      </c>
      <c r="K1412" s="2" t="s">
        <v>17</v>
      </c>
      <c r="L1412" s="7">
        <v>170.85</v>
      </c>
      <c r="M1412" s="2" t="str">
        <f>_xlfn.IFS(TelecomData[[#This Row],[TenureMonths]]&lt;=12, "0-1 Year", TelecomData[[#This Row],[TenureMonths]]&lt;=36, "1-3 Years", TelecomData[[#This Row],[TenureMonths]]&gt;36, "3+ Years")</f>
        <v>0-1 Year</v>
      </c>
      <c r="N1412" s="2" t="str">
        <f>IF(TelecomData[[#This Row],[CleanedTotalCharges]]&gt;=2500,"High Spend", "Standard Spend")</f>
        <v>Standard Spend</v>
      </c>
    </row>
    <row r="1413" spans="1:14" x14ac:dyDescent="0.3">
      <c r="A1413" s="1" t="s">
        <v>1437</v>
      </c>
      <c r="B1413" s="2" t="s">
        <v>19</v>
      </c>
      <c r="C1413" s="2" t="s">
        <v>13</v>
      </c>
      <c r="D1413" s="2">
        <v>29</v>
      </c>
      <c r="E1413" s="2" t="s">
        <v>26</v>
      </c>
      <c r="F1413" s="2" t="s">
        <v>15</v>
      </c>
      <c r="G1413" s="7">
        <v>101.45</v>
      </c>
      <c r="H1413" s="7">
        <v>2948.6</v>
      </c>
      <c r="I1413" s="2" t="s">
        <v>15</v>
      </c>
      <c r="J1413" s="2" t="s">
        <v>16</v>
      </c>
      <c r="K1413" s="2" t="s">
        <v>24</v>
      </c>
      <c r="L1413" s="7">
        <v>2948.6</v>
      </c>
      <c r="M1413" s="2" t="str">
        <f>_xlfn.IFS(TelecomData[[#This Row],[TenureMonths]]&lt;=12, "0-1 Year", TelecomData[[#This Row],[TenureMonths]]&lt;=36, "1-3 Years", TelecomData[[#This Row],[TenureMonths]]&gt;36, "3+ Years")</f>
        <v>1-3 Years</v>
      </c>
      <c r="N1413" s="2" t="str">
        <f>IF(TelecomData[[#This Row],[CleanedTotalCharges]]&gt;=2500,"High Spend", "Standard Spend")</f>
        <v>High Spend</v>
      </c>
    </row>
    <row r="1414" spans="1:14" x14ac:dyDescent="0.3">
      <c r="A1414" s="1" t="s">
        <v>1438</v>
      </c>
      <c r="B1414" s="2" t="s">
        <v>12</v>
      </c>
      <c r="C1414" s="2" t="s">
        <v>13</v>
      </c>
      <c r="D1414" s="2">
        <v>15</v>
      </c>
      <c r="E1414" s="2" t="s">
        <v>26</v>
      </c>
      <c r="F1414" s="2" t="s">
        <v>15</v>
      </c>
      <c r="G1414" s="7">
        <v>84.3</v>
      </c>
      <c r="H1414" s="7">
        <v>1308.4000000000001</v>
      </c>
      <c r="I1414" s="2" t="s">
        <v>16</v>
      </c>
      <c r="J1414" s="2" t="s">
        <v>16</v>
      </c>
      <c r="K1414" s="2" t="s">
        <v>17</v>
      </c>
      <c r="L1414" s="7">
        <v>1308.4000000000001</v>
      </c>
      <c r="M1414" s="2" t="str">
        <f>_xlfn.IFS(TelecomData[[#This Row],[TenureMonths]]&lt;=12, "0-1 Year", TelecomData[[#This Row],[TenureMonths]]&lt;=36, "1-3 Years", TelecomData[[#This Row],[TenureMonths]]&gt;36, "3+ Years")</f>
        <v>1-3 Years</v>
      </c>
      <c r="N1414" s="2" t="str">
        <f>IF(TelecomData[[#This Row],[CleanedTotalCharges]]&gt;=2500,"High Spend", "Standard Spend")</f>
        <v>Standard Spend</v>
      </c>
    </row>
    <row r="1415" spans="1:14" x14ac:dyDescent="0.3">
      <c r="A1415" s="1" t="s">
        <v>1439</v>
      </c>
      <c r="B1415" s="2" t="s">
        <v>19</v>
      </c>
      <c r="C1415" s="2" t="s">
        <v>35</v>
      </c>
      <c r="D1415" s="2">
        <v>65</v>
      </c>
      <c r="E1415" s="2" t="s">
        <v>26</v>
      </c>
      <c r="F1415" s="2" t="s">
        <v>16</v>
      </c>
      <c r="G1415" s="7">
        <v>94.55</v>
      </c>
      <c r="H1415" s="7">
        <v>6078.75</v>
      </c>
      <c r="I1415" s="2" t="s">
        <v>15</v>
      </c>
      <c r="J1415" s="2" t="s">
        <v>15</v>
      </c>
      <c r="K1415" s="2" t="s">
        <v>29</v>
      </c>
      <c r="L1415" s="7">
        <v>6078.75</v>
      </c>
      <c r="M1415" s="2" t="str">
        <f>_xlfn.IFS(TelecomData[[#This Row],[TenureMonths]]&lt;=12, "0-1 Year", TelecomData[[#This Row],[TenureMonths]]&lt;=36, "1-3 Years", TelecomData[[#This Row],[TenureMonths]]&gt;36, "3+ Years")</f>
        <v>3+ Years</v>
      </c>
      <c r="N1415" s="2" t="str">
        <f>IF(TelecomData[[#This Row],[CleanedTotalCharges]]&gt;=2500,"High Spend", "Standard Spend")</f>
        <v>High Spend</v>
      </c>
    </row>
    <row r="1416" spans="1:14" x14ac:dyDescent="0.3">
      <c r="A1416" s="1" t="s">
        <v>1440</v>
      </c>
      <c r="B1416" s="2" t="s">
        <v>19</v>
      </c>
      <c r="C1416" s="2" t="s">
        <v>13</v>
      </c>
      <c r="D1416" s="2">
        <v>35</v>
      </c>
      <c r="E1416" s="2" t="s">
        <v>26</v>
      </c>
      <c r="F1416" s="2" t="s">
        <v>16</v>
      </c>
      <c r="G1416" s="7">
        <v>95.5</v>
      </c>
      <c r="H1416" s="7">
        <v>3418.2</v>
      </c>
      <c r="I1416" s="2" t="s">
        <v>15</v>
      </c>
      <c r="J1416" s="2" t="s">
        <v>15</v>
      </c>
      <c r="K1416" s="2" t="s">
        <v>17</v>
      </c>
      <c r="L1416" s="7">
        <v>3418.2</v>
      </c>
      <c r="M1416" s="2" t="str">
        <f>_xlfn.IFS(TelecomData[[#This Row],[TenureMonths]]&lt;=12, "0-1 Year", TelecomData[[#This Row],[TenureMonths]]&lt;=36, "1-3 Years", TelecomData[[#This Row],[TenureMonths]]&gt;36, "3+ Years")</f>
        <v>1-3 Years</v>
      </c>
      <c r="N1416" s="2" t="str">
        <f>IF(TelecomData[[#This Row],[CleanedTotalCharges]]&gt;=2500,"High Spend", "Standard Spend")</f>
        <v>High Spend</v>
      </c>
    </row>
    <row r="1417" spans="1:14" x14ac:dyDescent="0.3">
      <c r="A1417" s="1" t="s">
        <v>1441</v>
      </c>
      <c r="B1417" s="2" t="s">
        <v>19</v>
      </c>
      <c r="C1417" s="2" t="s">
        <v>20</v>
      </c>
      <c r="D1417" s="2">
        <v>64</v>
      </c>
      <c r="E1417" s="2" t="s">
        <v>26</v>
      </c>
      <c r="F1417" s="2" t="s">
        <v>15</v>
      </c>
      <c r="G1417" s="7">
        <v>100.3</v>
      </c>
      <c r="H1417" s="7">
        <v>6603.8</v>
      </c>
      <c r="I1417" s="2" t="s">
        <v>15</v>
      </c>
      <c r="J1417" s="2" t="s">
        <v>16</v>
      </c>
      <c r="K1417" s="2" t="s">
        <v>29</v>
      </c>
      <c r="L1417" s="7">
        <v>6603.8</v>
      </c>
      <c r="M1417" s="2" t="str">
        <f>_xlfn.IFS(TelecomData[[#This Row],[TenureMonths]]&lt;=12, "0-1 Year", TelecomData[[#This Row],[TenureMonths]]&lt;=36, "1-3 Years", TelecomData[[#This Row],[TenureMonths]]&gt;36, "3+ Years")</f>
        <v>3+ Years</v>
      </c>
      <c r="N1417" s="2" t="str">
        <f>IF(TelecomData[[#This Row],[CleanedTotalCharges]]&gt;=2500,"High Spend", "Standard Spend")</f>
        <v>High Spend</v>
      </c>
    </row>
    <row r="1418" spans="1:14" x14ac:dyDescent="0.3">
      <c r="A1418" s="1" t="s">
        <v>1442</v>
      </c>
      <c r="B1418" s="2" t="s">
        <v>12</v>
      </c>
      <c r="C1418" s="2" t="s">
        <v>35</v>
      </c>
      <c r="D1418" s="2">
        <v>58</v>
      </c>
      <c r="E1418" s="2" t="s">
        <v>14</v>
      </c>
      <c r="F1418" s="2" t="s">
        <v>16</v>
      </c>
      <c r="G1418" s="7">
        <v>55.5</v>
      </c>
      <c r="H1418" s="7">
        <v>3166.9</v>
      </c>
      <c r="I1418" s="2" t="s">
        <v>15</v>
      </c>
      <c r="J1418" s="2" t="s">
        <v>16</v>
      </c>
      <c r="K1418" s="2" t="s">
        <v>29</v>
      </c>
      <c r="L1418" s="7">
        <v>3166.9</v>
      </c>
      <c r="M1418" s="2" t="str">
        <f>_xlfn.IFS(TelecomData[[#This Row],[TenureMonths]]&lt;=12, "0-1 Year", TelecomData[[#This Row],[TenureMonths]]&lt;=36, "1-3 Years", TelecomData[[#This Row],[TenureMonths]]&gt;36, "3+ Years")</f>
        <v>3+ Years</v>
      </c>
      <c r="N1418" s="2" t="str">
        <f>IF(TelecomData[[#This Row],[CleanedTotalCharges]]&gt;=2500,"High Spend", "Standard Spend")</f>
        <v>High Spend</v>
      </c>
    </row>
    <row r="1419" spans="1:14" x14ac:dyDescent="0.3">
      <c r="A1419" s="1" t="s">
        <v>1443</v>
      </c>
      <c r="B1419" s="2" t="s">
        <v>12</v>
      </c>
      <c r="C1419" s="2" t="s">
        <v>13</v>
      </c>
      <c r="D1419" s="2">
        <v>18</v>
      </c>
      <c r="E1419" s="2" t="s">
        <v>14</v>
      </c>
      <c r="F1419" s="2" t="s">
        <v>15</v>
      </c>
      <c r="G1419" s="7">
        <v>49.85</v>
      </c>
      <c r="H1419" s="7">
        <v>865.75</v>
      </c>
      <c r="I1419" s="2" t="s">
        <v>15</v>
      </c>
      <c r="J1419" s="2" t="s">
        <v>16</v>
      </c>
      <c r="K1419" s="2" t="s">
        <v>29</v>
      </c>
      <c r="L1419" s="7">
        <v>865.75</v>
      </c>
      <c r="M1419" s="2" t="str">
        <f>_xlfn.IFS(TelecomData[[#This Row],[TenureMonths]]&lt;=12, "0-1 Year", TelecomData[[#This Row],[TenureMonths]]&lt;=36, "1-3 Years", TelecomData[[#This Row],[TenureMonths]]&gt;36, "3+ Years")</f>
        <v>1-3 Years</v>
      </c>
      <c r="N1419" s="2" t="str">
        <f>IF(TelecomData[[#This Row],[CleanedTotalCharges]]&gt;=2500,"High Spend", "Standard Spend")</f>
        <v>Standard Spend</v>
      </c>
    </row>
    <row r="1420" spans="1:14" x14ac:dyDescent="0.3">
      <c r="A1420" s="1" t="s">
        <v>1444</v>
      </c>
      <c r="B1420" s="2" t="s">
        <v>19</v>
      </c>
      <c r="C1420" s="2" t="s">
        <v>13</v>
      </c>
      <c r="D1420" s="2">
        <v>67</v>
      </c>
      <c r="E1420" s="2" t="s">
        <v>26</v>
      </c>
      <c r="F1420" s="2" t="s">
        <v>15</v>
      </c>
      <c r="G1420" s="7">
        <v>89.55</v>
      </c>
      <c r="H1420" s="7">
        <v>6373.1</v>
      </c>
      <c r="I1420" s="2" t="s">
        <v>15</v>
      </c>
      <c r="J1420" s="2" t="s">
        <v>16</v>
      </c>
      <c r="K1420" s="2" t="s">
        <v>24</v>
      </c>
      <c r="L1420" s="7">
        <v>6373.1</v>
      </c>
      <c r="M1420" s="2" t="str">
        <f>_xlfn.IFS(TelecomData[[#This Row],[TenureMonths]]&lt;=12, "0-1 Year", TelecomData[[#This Row],[TenureMonths]]&lt;=36, "1-3 Years", TelecomData[[#This Row],[TenureMonths]]&gt;36, "3+ Years")</f>
        <v>3+ Years</v>
      </c>
      <c r="N1420" s="2" t="str">
        <f>IF(TelecomData[[#This Row],[CleanedTotalCharges]]&gt;=2500,"High Spend", "Standard Spend")</f>
        <v>High Spend</v>
      </c>
    </row>
    <row r="1421" spans="1:14" x14ac:dyDescent="0.3">
      <c r="A1421" s="1" t="s">
        <v>1445</v>
      </c>
      <c r="B1421" s="2" t="s">
        <v>19</v>
      </c>
      <c r="C1421" s="2" t="s">
        <v>35</v>
      </c>
      <c r="D1421" s="2">
        <v>63</v>
      </c>
      <c r="E1421" s="2" t="s">
        <v>15</v>
      </c>
      <c r="F1421" s="2" t="s">
        <v>36</v>
      </c>
      <c r="G1421" s="7">
        <v>19.149999999999999</v>
      </c>
      <c r="H1421" s="7">
        <v>1177.05</v>
      </c>
      <c r="I1421" s="2" t="s">
        <v>15</v>
      </c>
      <c r="J1421" s="2" t="s">
        <v>16</v>
      </c>
      <c r="K1421" s="2" t="s">
        <v>21</v>
      </c>
      <c r="L1421" s="7">
        <v>1177.05</v>
      </c>
      <c r="M1421" s="2" t="str">
        <f>_xlfn.IFS(TelecomData[[#This Row],[TenureMonths]]&lt;=12, "0-1 Year", TelecomData[[#This Row],[TenureMonths]]&lt;=36, "1-3 Years", TelecomData[[#This Row],[TenureMonths]]&gt;36, "3+ Years")</f>
        <v>3+ Years</v>
      </c>
      <c r="N1421" s="2" t="str">
        <f>IF(TelecomData[[#This Row],[CleanedTotalCharges]]&gt;=2500,"High Spend", "Standard Spend")</f>
        <v>Standard Spend</v>
      </c>
    </row>
    <row r="1422" spans="1:14" x14ac:dyDescent="0.3">
      <c r="A1422" s="1" t="s">
        <v>1446</v>
      </c>
      <c r="B1422" s="2" t="s">
        <v>12</v>
      </c>
      <c r="C1422" s="2" t="s">
        <v>13</v>
      </c>
      <c r="D1422" s="2">
        <v>60</v>
      </c>
      <c r="E1422" s="2" t="s">
        <v>26</v>
      </c>
      <c r="F1422" s="2" t="s">
        <v>15</v>
      </c>
      <c r="G1422" s="7">
        <v>99.8</v>
      </c>
      <c r="H1422" s="7">
        <v>5985.75</v>
      </c>
      <c r="I1422" s="2" t="s">
        <v>15</v>
      </c>
      <c r="J1422" s="2" t="s">
        <v>16</v>
      </c>
      <c r="K1422" s="2" t="s">
        <v>17</v>
      </c>
      <c r="L1422" s="7">
        <v>5985.75</v>
      </c>
      <c r="M1422" s="2" t="str">
        <f>_xlfn.IFS(TelecomData[[#This Row],[TenureMonths]]&lt;=12, "0-1 Year", TelecomData[[#This Row],[TenureMonths]]&lt;=36, "1-3 Years", TelecomData[[#This Row],[TenureMonths]]&gt;36, "3+ Years")</f>
        <v>3+ Years</v>
      </c>
      <c r="N1422" s="2" t="str">
        <f>IF(TelecomData[[#This Row],[CleanedTotalCharges]]&gt;=2500,"High Spend", "Standard Spend")</f>
        <v>High Spend</v>
      </c>
    </row>
    <row r="1423" spans="1:14" x14ac:dyDescent="0.3">
      <c r="A1423" s="1" t="s">
        <v>1447</v>
      </c>
      <c r="B1423" s="2" t="s">
        <v>19</v>
      </c>
      <c r="C1423" s="2" t="s">
        <v>13</v>
      </c>
      <c r="D1423" s="2">
        <v>9</v>
      </c>
      <c r="E1423" s="2" t="s">
        <v>26</v>
      </c>
      <c r="F1423" s="2" t="s">
        <v>15</v>
      </c>
      <c r="G1423" s="7">
        <v>84.4</v>
      </c>
      <c r="H1423" s="7">
        <v>732.5</v>
      </c>
      <c r="I1423" s="2" t="s">
        <v>16</v>
      </c>
      <c r="J1423" s="2" t="s">
        <v>16</v>
      </c>
      <c r="K1423" s="2" t="s">
        <v>29</v>
      </c>
      <c r="L1423" s="7">
        <v>732.5</v>
      </c>
      <c r="M1423" s="2" t="str">
        <f>_xlfn.IFS(TelecomData[[#This Row],[TenureMonths]]&lt;=12, "0-1 Year", TelecomData[[#This Row],[TenureMonths]]&lt;=36, "1-3 Years", TelecomData[[#This Row],[TenureMonths]]&gt;36, "3+ Years")</f>
        <v>0-1 Year</v>
      </c>
      <c r="N1423" s="2" t="str">
        <f>IF(TelecomData[[#This Row],[CleanedTotalCharges]]&gt;=2500,"High Spend", "Standard Spend")</f>
        <v>Standard Spend</v>
      </c>
    </row>
    <row r="1424" spans="1:14" x14ac:dyDescent="0.3">
      <c r="A1424" s="1" t="s">
        <v>1448</v>
      </c>
      <c r="B1424" s="2" t="s">
        <v>12</v>
      </c>
      <c r="C1424" s="2" t="s">
        <v>35</v>
      </c>
      <c r="D1424" s="2">
        <v>70</v>
      </c>
      <c r="E1424" s="2" t="s">
        <v>26</v>
      </c>
      <c r="F1424" s="2" t="s">
        <v>16</v>
      </c>
      <c r="G1424" s="7">
        <v>113.05</v>
      </c>
      <c r="H1424" s="7">
        <v>7869.05</v>
      </c>
      <c r="I1424" s="2" t="s">
        <v>15</v>
      </c>
      <c r="J1424" s="2" t="s">
        <v>16</v>
      </c>
      <c r="K1424" s="2" t="s">
        <v>29</v>
      </c>
      <c r="L1424" s="7">
        <v>7869.05</v>
      </c>
      <c r="M1424" s="2" t="str">
        <f>_xlfn.IFS(TelecomData[[#This Row],[TenureMonths]]&lt;=12, "0-1 Year", TelecomData[[#This Row],[TenureMonths]]&lt;=36, "1-3 Years", TelecomData[[#This Row],[TenureMonths]]&gt;36, "3+ Years")</f>
        <v>3+ Years</v>
      </c>
      <c r="N1424" s="2" t="str">
        <f>IF(TelecomData[[#This Row],[CleanedTotalCharges]]&gt;=2500,"High Spend", "Standard Spend")</f>
        <v>High Spend</v>
      </c>
    </row>
    <row r="1425" spans="1:14" x14ac:dyDescent="0.3">
      <c r="A1425" s="1" t="s">
        <v>1449</v>
      </c>
      <c r="B1425" s="2" t="s">
        <v>19</v>
      </c>
      <c r="C1425" s="2" t="s">
        <v>13</v>
      </c>
      <c r="D1425" s="2">
        <v>15</v>
      </c>
      <c r="E1425" s="2" t="s">
        <v>26</v>
      </c>
      <c r="F1425" s="2" t="s">
        <v>15</v>
      </c>
      <c r="G1425" s="7">
        <v>101.1</v>
      </c>
      <c r="H1425" s="7">
        <v>1504.05</v>
      </c>
      <c r="I1425" s="2" t="s">
        <v>16</v>
      </c>
      <c r="J1425" s="2" t="s">
        <v>16</v>
      </c>
      <c r="K1425" s="2" t="s">
        <v>17</v>
      </c>
      <c r="L1425" s="7">
        <v>1504.05</v>
      </c>
      <c r="M1425" s="2" t="str">
        <f>_xlfn.IFS(TelecomData[[#This Row],[TenureMonths]]&lt;=12, "0-1 Year", TelecomData[[#This Row],[TenureMonths]]&lt;=36, "1-3 Years", TelecomData[[#This Row],[TenureMonths]]&gt;36, "3+ Years")</f>
        <v>1-3 Years</v>
      </c>
      <c r="N1425" s="2" t="str">
        <f>IF(TelecomData[[#This Row],[CleanedTotalCharges]]&gt;=2500,"High Spend", "Standard Spend")</f>
        <v>Standard Spend</v>
      </c>
    </row>
    <row r="1426" spans="1:14" x14ac:dyDescent="0.3">
      <c r="A1426" s="1" t="s">
        <v>1450</v>
      </c>
      <c r="B1426" s="2" t="s">
        <v>12</v>
      </c>
      <c r="C1426" s="2" t="s">
        <v>20</v>
      </c>
      <c r="D1426" s="2">
        <v>48</v>
      </c>
      <c r="E1426" s="2" t="s">
        <v>15</v>
      </c>
      <c r="F1426" s="2" t="s">
        <v>36</v>
      </c>
      <c r="G1426" s="7">
        <v>19.95</v>
      </c>
      <c r="H1426" s="7">
        <v>936.7</v>
      </c>
      <c r="I1426" s="2" t="s">
        <v>15</v>
      </c>
      <c r="J1426" s="2" t="s">
        <v>15</v>
      </c>
      <c r="K1426" s="2" t="s">
        <v>21</v>
      </c>
      <c r="L1426" s="7">
        <v>936.7</v>
      </c>
      <c r="M1426" s="2" t="str">
        <f>_xlfn.IFS(TelecomData[[#This Row],[TenureMonths]]&lt;=12, "0-1 Year", TelecomData[[#This Row],[TenureMonths]]&lt;=36, "1-3 Years", TelecomData[[#This Row],[TenureMonths]]&gt;36, "3+ Years")</f>
        <v>3+ Years</v>
      </c>
      <c r="N1426" s="2" t="str">
        <f>IF(TelecomData[[#This Row],[CleanedTotalCharges]]&gt;=2500,"High Spend", "Standard Spend")</f>
        <v>Standard Spend</v>
      </c>
    </row>
    <row r="1427" spans="1:14" x14ac:dyDescent="0.3">
      <c r="A1427" s="1" t="s">
        <v>1451</v>
      </c>
      <c r="B1427" s="2" t="s">
        <v>19</v>
      </c>
      <c r="C1427" s="2" t="s">
        <v>13</v>
      </c>
      <c r="D1427" s="2">
        <v>12</v>
      </c>
      <c r="E1427" s="2" t="s">
        <v>14</v>
      </c>
      <c r="F1427" s="2" t="s">
        <v>16</v>
      </c>
      <c r="G1427" s="7">
        <v>74.150000000000006</v>
      </c>
      <c r="H1427" s="7">
        <v>741.4</v>
      </c>
      <c r="I1427" s="2" t="s">
        <v>15</v>
      </c>
      <c r="J1427" s="2" t="s">
        <v>16</v>
      </c>
      <c r="K1427" s="2" t="s">
        <v>17</v>
      </c>
      <c r="L1427" s="7">
        <v>741.4</v>
      </c>
      <c r="M1427" s="2" t="str">
        <f>_xlfn.IFS(TelecomData[[#This Row],[TenureMonths]]&lt;=12, "0-1 Year", TelecomData[[#This Row],[TenureMonths]]&lt;=36, "1-3 Years", TelecomData[[#This Row],[TenureMonths]]&gt;36, "3+ Years")</f>
        <v>0-1 Year</v>
      </c>
      <c r="N1427" s="2" t="str">
        <f>IF(TelecomData[[#This Row],[CleanedTotalCharges]]&gt;=2500,"High Spend", "Standard Spend")</f>
        <v>Standard Spend</v>
      </c>
    </row>
    <row r="1428" spans="1:14" x14ac:dyDescent="0.3">
      <c r="A1428" s="1" t="s">
        <v>1452</v>
      </c>
      <c r="B1428" s="2" t="s">
        <v>19</v>
      </c>
      <c r="C1428" s="2" t="s">
        <v>20</v>
      </c>
      <c r="D1428" s="2">
        <v>71</v>
      </c>
      <c r="E1428" s="2" t="s">
        <v>26</v>
      </c>
      <c r="F1428" s="2" t="s">
        <v>16</v>
      </c>
      <c r="G1428" s="7">
        <v>92</v>
      </c>
      <c r="H1428" s="7">
        <v>6585.2</v>
      </c>
      <c r="I1428" s="2" t="s">
        <v>15</v>
      </c>
      <c r="J1428" s="2" t="s">
        <v>16</v>
      </c>
      <c r="K1428" s="2" t="s">
        <v>17</v>
      </c>
      <c r="L1428" s="7">
        <v>6585.2</v>
      </c>
      <c r="M1428" s="2" t="str">
        <f>_xlfn.IFS(TelecomData[[#This Row],[TenureMonths]]&lt;=12, "0-1 Year", TelecomData[[#This Row],[TenureMonths]]&lt;=36, "1-3 Years", TelecomData[[#This Row],[TenureMonths]]&gt;36, "3+ Years")</f>
        <v>3+ Years</v>
      </c>
      <c r="N1428" s="2" t="str">
        <f>IF(TelecomData[[#This Row],[CleanedTotalCharges]]&gt;=2500,"High Spend", "Standard Spend")</f>
        <v>High Spend</v>
      </c>
    </row>
    <row r="1429" spans="1:14" x14ac:dyDescent="0.3">
      <c r="A1429" s="1" t="s">
        <v>1453</v>
      </c>
      <c r="B1429" s="2" t="s">
        <v>19</v>
      </c>
      <c r="C1429" s="2" t="s">
        <v>13</v>
      </c>
      <c r="D1429" s="2">
        <v>44</v>
      </c>
      <c r="E1429" s="2" t="s">
        <v>26</v>
      </c>
      <c r="F1429" s="2" t="s">
        <v>15</v>
      </c>
      <c r="G1429" s="7">
        <v>73.849999999999994</v>
      </c>
      <c r="H1429" s="7">
        <v>3122.4</v>
      </c>
      <c r="I1429" s="2" t="s">
        <v>15</v>
      </c>
      <c r="J1429" s="2" t="s">
        <v>15</v>
      </c>
      <c r="K1429" s="2" t="s">
        <v>17</v>
      </c>
      <c r="L1429" s="7">
        <v>3122.4</v>
      </c>
      <c r="M1429" s="2" t="str">
        <f>_xlfn.IFS(TelecomData[[#This Row],[TenureMonths]]&lt;=12, "0-1 Year", TelecomData[[#This Row],[TenureMonths]]&lt;=36, "1-3 Years", TelecomData[[#This Row],[TenureMonths]]&gt;36, "3+ Years")</f>
        <v>3+ Years</v>
      </c>
      <c r="N1429" s="2" t="str">
        <f>IF(TelecomData[[#This Row],[CleanedTotalCharges]]&gt;=2500,"High Spend", "Standard Spend")</f>
        <v>High Spend</v>
      </c>
    </row>
    <row r="1430" spans="1:14" x14ac:dyDescent="0.3">
      <c r="A1430" s="1" t="s">
        <v>1454</v>
      </c>
      <c r="B1430" s="2" t="s">
        <v>19</v>
      </c>
      <c r="C1430" s="2" t="s">
        <v>13</v>
      </c>
      <c r="D1430" s="2">
        <v>1</v>
      </c>
      <c r="E1430" s="2" t="s">
        <v>14</v>
      </c>
      <c r="F1430" s="2" t="s">
        <v>15</v>
      </c>
      <c r="G1430" s="7">
        <v>50.45</v>
      </c>
      <c r="H1430" s="7">
        <v>50.45</v>
      </c>
      <c r="I1430" s="2" t="s">
        <v>16</v>
      </c>
      <c r="J1430" s="2" t="s">
        <v>16</v>
      </c>
      <c r="K1430" s="2" t="s">
        <v>17</v>
      </c>
      <c r="L1430" s="7">
        <v>50.45</v>
      </c>
      <c r="M1430" s="2" t="str">
        <f>_xlfn.IFS(TelecomData[[#This Row],[TenureMonths]]&lt;=12, "0-1 Year", TelecomData[[#This Row],[TenureMonths]]&lt;=36, "1-3 Years", TelecomData[[#This Row],[TenureMonths]]&gt;36, "3+ Years")</f>
        <v>0-1 Year</v>
      </c>
      <c r="N1430" s="2" t="str">
        <f>IF(TelecomData[[#This Row],[CleanedTotalCharges]]&gt;=2500,"High Spend", "Standard Spend")</f>
        <v>Standard Spend</v>
      </c>
    </row>
    <row r="1431" spans="1:14" x14ac:dyDescent="0.3">
      <c r="A1431" s="1" t="s">
        <v>1455</v>
      </c>
      <c r="B1431" s="2" t="s">
        <v>19</v>
      </c>
      <c r="C1431" s="2" t="s">
        <v>35</v>
      </c>
      <c r="D1431" s="2">
        <v>45</v>
      </c>
      <c r="E1431" s="2" t="s">
        <v>15</v>
      </c>
      <c r="F1431" s="2" t="s">
        <v>36</v>
      </c>
      <c r="G1431" s="7">
        <v>24.45</v>
      </c>
      <c r="H1431" s="7">
        <v>1088.25</v>
      </c>
      <c r="I1431" s="2" t="s">
        <v>15</v>
      </c>
      <c r="J1431" s="2" t="s">
        <v>15</v>
      </c>
      <c r="K1431" s="2" t="s">
        <v>21</v>
      </c>
      <c r="L1431" s="7">
        <v>1088.25</v>
      </c>
      <c r="M1431" s="2" t="str">
        <f>_xlfn.IFS(TelecomData[[#This Row],[TenureMonths]]&lt;=12, "0-1 Year", TelecomData[[#This Row],[TenureMonths]]&lt;=36, "1-3 Years", TelecomData[[#This Row],[TenureMonths]]&gt;36, "3+ Years")</f>
        <v>3+ Years</v>
      </c>
      <c r="N1431" s="2" t="str">
        <f>IF(TelecomData[[#This Row],[CleanedTotalCharges]]&gt;=2500,"High Spend", "Standard Spend")</f>
        <v>Standard Spend</v>
      </c>
    </row>
    <row r="1432" spans="1:14" x14ac:dyDescent="0.3">
      <c r="A1432" s="1" t="s">
        <v>1456</v>
      </c>
      <c r="B1432" s="2" t="s">
        <v>12</v>
      </c>
      <c r="C1432" s="2" t="s">
        <v>20</v>
      </c>
      <c r="D1432" s="2">
        <v>23</v>
      </c>
      <c r="E1432" s="2" t="s">
        <v>15</v>
      </c>
      <c r="F1432" s="2" t="s">
        <v>36</v>
      </c>
      <c r="G1432" s="7">
        <v>24.8</v>
      </c>
      <c r="H1432" s="7">
        <v>615.35</v>
      </c>
      <c r="I1432" s="2" t="s">
        <v>15</v>
      </c>
      <c r="J1432" s="2" t="s">
        <v>15</v>
      </c>
      <c r="K1432" s="2" t="s">
        <v>29</v>
      </c>
      <c r="L1432" s="7">
        <v>615.35</v>
      </c>
      <c r="M1432" s="2" t="str">
        <f>_xlfn.IFS(TelecomData[[#This Row],[TenureMonths]]&lt;=12, "0-1 Year", TelecomData[[#This Row],[TenureMonths]]&lt;=36, "1-3 Years", TelecomData[[#This Row],[TenureMonths]]&gt;36, "3+ Years")</f>
        <v>1-3 Years</v>
      </c>
      <c r="N1432" s="2" t="str">
        <f>IF(TelecomData[[#This Row],[CleanedTotalCharges]]&gt;=2500,"High Spend", "Standard Spend")</f>
        <v>Standard Spend</v>
      </c>
    </row>
    <row r="1433" spans="1:14" x14ac:dyDescent="0.3">
      <c r="A1433" s="1" t="s">
        <v>1457</v>
      </c>
      <c r="B1433" s="2" t="s">
        <v>12</v>
      </c>
      <c r="C1433" s="2" t="s">
        <v>20</v>
      </c>
      <c r="D1433" s="2">
        <v>43</v>
      </c>
      <c r="E1433" s="2" t="s">
        <v>14</v>
      </c>
      <c r="F1433" s="2" t="s">
        <v>16</v>
      </c>
      <c r="G1433" s="7">
        <v>64.849999999999994</v>
      </c>
      <c r="H1433" s="7">
        <v>2908.2</v>
      </c>
      <c r="I1433" s="2" t="s">
        <v>15</v>
      </c>
      <c r="J1433" s="2" t="s">
        <v>16</v>
      </c>
      <c r="K1433" s="2" t="s">
        <v>24</v>
      </c>
      <c r="L1433" s="7">
        <v>2908.2</v>
      </c>
      <c r="M1433" s="2" t="str">
        <f>_xlfn.IFS(TelecomData[[#This Row],[TenureMonths]]&lt;=12, "0-1 Year", TelecomData[[#This Row],[TenureMonths]]&lt;=36, "1-3 Years", TelecomData[[#This Row],[TenureMonths]]&gt;36, "3+ Years")</f>
        <v>3+ Years</v>
      </c>
      <c r="N1433" s="2" t="str">
        <f>IF(TelecomData[[#This Row],[CleanedTotalCharges]]&gt;=2500,"High Spend", "Standard Spend")</f>
        <v>High Spend</v>
      </c>
    </row>
    <row r="1434" spans="1:14" x14ac:dyDescent="0.3">
      <c r="A1434" s="1" t="s">
        <v>1458</v>
      </c>
      <c r="B1434" s="2" t="s">
        <v>19</v>
      </c>
      <c r="C1434" s="2" t="s">
        <v>13</v>
      </c>
      <c r="D1434" s="2">
        <v>35</v>
      </c>
      <c r="E1434" s="2" t="s">
        <v>15</v>
      </c>
      <c r="F1434" s="2" t="s">
        <v>36</v>
      </c>
      <c r="G1434" s="7">
        <v>20.75</v>
      </c>
      <c r="H1434" s="7">
        <v>739.9</v>
      </c>
      <c r="I1434" s="2" t="s">
        <v>15</v>
      </c>
      <c r="J1434" s="2" t="s">
        <v>15</v>
      </c>
      <c r="K1434" s="2" t="s">
        <v>24</v>
      </c>
      <c r="L1434" s="7">
        <v>739.9</v>
      </c>
      <c r="M1434" s="2" t="str">
        <f>_xlfn.IFS(TelecomData[[#This Row],[TenureMonths]]&lt;=12, "0-1 Year", TelecomData[[#This Row],[TenureMonths]]&lt;=36, "1-3 Years", TelecomData[[#This Row],[TenureMonths]]&gt;36, "3+ Years")</f>
        <v>1-3 Years</v>
      </c>
      <c r="N1434" s="2" t="str">
        <f>IF(TelecomData[[#This Row],[CleanedTotalCharges]]&gt;=2500,"High Spend", "Standard Spend")</f>
        <v>Standard Spend</v>
      </c>
    </row>
    <row r="1435" spans="1:14" x14ac:dyDescent="0.3">
      <c r="A1435" s="1" t="s">
        <v>1459</v>
      </c>
      <c r="B1435" s="2" t="s">
        <v>19</v>
      </c>
      <c r="C1435" s="2" t="s">
        <v>13</v>
      </c>
      <c r="D1435" s="2">
        <v>9</v>
      </c>
      <c r="E1435" s="2" t="s">
        <v>14</v>
      </c>
      <c r="F1435" s="2" t="s">
        <v>16</v>
      </c>
      <c r="G1435" s="7">
        <v>68.95</v>
      </c>
      <c r="H1435" s="7">
        <v>593.85</v>
      </c>
      <c r="I1435" s="2" t="s">
        <v>15</v>
      </c>
      <c r="J1435" s="2" t="s">
        <v>16</v>
      </c>
      <c r="K1435" s="2" t="s">
        <v>21</v>
      </c>
      <c r="L1435" s="7">
        <v>593.85</v>
      </c>
      <c r="M1435" s="2" t="str">
        <f>_xlfn.IFS(TelecomData[[#This Row],[TenureMonths]]&lt;=12, "0-1 Year", TelecomData[[#This Row],[TenureMonths]]&lt;=36, "1-3 Years", TelecomData[[#This Row],[TenureMonths]]&gt;36, "3+ Years")</f>
        <v>0-1 Year</v>
      </c>
      <c r="N1435" s="2" t="str">
        <f>IF(TelecomData[[#This Row],[CleanedTotalCharges]]&gt;=2500,"High Spend", "Standard Spend")</f>
        <v>Standard Spend</v>
      </c>
    </row>
    <row r="1436" spans="1:14" x14ac:dyDescent="0.3">
      <c r="A1436" s="1" t="s">
        <v>1460</v>
      </c>
      <c r="B1436" s="2" t="s">
        <v>19</v>
      </c>
      <c r="C1436" s="2" t="s">
        <v>13</v>
      </c>
      <c r="D1436" s="2">
        <v>12</v>
      </c>
      <c r="E1436" s="2" t="s">
        <v>26</v>
      </c>
      <c r="F1436" s="2" t="s">
        <v>16</v>
      </c>
      <c r="G1436" s="7">
        <v>99.95</v>
      </c>
      <c r="H1436" s="7">
        <v>1132.75</v>
      </c>
      <c r="I1436" s="2" t="s">
        <v>16</v>
      </c>
      <c r="J1436" s="2" t="s">
        <v>16</v>
      </c>
      <c r="K1436" s="2" t="s">
        <v>21</v>
      </c>
      <c r="L1436" s="7">
        <v>1132.75</v>
      </c>
      <c r="M1436" s="2" t="str">
        <f>_xlfn.IFS(TelecomData[[#This Row],[TenureMonths]]&lt;=12, "0-1 Year", TelecomData[[#This Row],[TenureMonths]]&lt;=36, "1-3 Years", TelecomData[[#This Row],[TenureMonths]]&gt;36, "3+ Years")</f>
        <v>0-1 Year</v>
      </c>
      <c r="N1436" s="2" t="str">
        <f>IF(TelecomData[[#This Row],[CleanedTotalCharges]]&gt;=2500,"High Spend", "Standard Spend")</f>
        <v>Standard Spend</v>
      </c>
    </row>
    <row r="1437" spans="1:14" x14ac:dyDescent="0.3">
      <c r="A1437" s="1" t="s">
        <v>1461</v>
      </c>
      <c r="B1437" s="2" t="s">
        <v>12</v>
      </c>
      <c r="C1437" s="2" t="s">
        <v>13</v>
      </c>
      <c r="D1437" s="2">
        <v>65</v>
      </c>
      <c r="E1437" s="2" t="s">
        <v>26</v>
      </c>
      <c r="F1437" s="2" t="s">
        <v>15</v>
      </c>
      <c r="G1437" s="7">
        <v>109.4</v>
      </c>
      <c r="H1437" s="7">
        <v>7227.45</v>
      </c>
      <c r="I1437" s="2" t="s">
        <v>15</v>
      </c>
      <c r="J1437" s="2" t="s">
        <v>16</v>
      </c>
      <c r="K1437" s="2" t="s">
        <v>29</v>
      </c>
      <c r="L1437" s="7">
        <v>7227.45</v>
      </c>
      <c r="M1437" s="2" t="str">
        <f>_xlfn.IFS(TelecomData[[#This Row],[TenureMonths]]&lt;=12, "0-1 Year", TelecomData[[#This Row],[TenureMonths]]&lt;=36, "1-3 Years", TelecomData[[#This Row],[TenureMonths]]&gt;36, "3+ Years")</f>
        <v>3+ Years</v>
      </c>
      <c r="N1437" s="2" t="str">
        <f>IF(TelecomData[[#This Row],[CleanedTotalCharges]]&gt;=2500,"High Spend", "Standard Spend")</f>
        <v>High Spend</v>
      </c>
    </row>
    <row r="1438" spans="1:14" x14ac:dyDescent="0.3">
      <c r="A1438" s="1" t="s">
        <v>1462</v>
      </c>
      <c r="B1438" s="2" t="s">
        <v>12</v>
      </c>
      <c r="C1438" s="2" t="s">
        <v>13</v>
      </c>
      <c r="D1438" s="2">
        <v>2</v>
      </c>
      <c r="E1438" s="2" t="s">
        <v>26</v>
      </c>
      <c r="F1438" s="2" t="s">
        <v>15</v>
      </c>
      <c r="G1438" s="7">
        <v>91.4</v>
      </c>
      <c r="H1438" s="7">
        <v>193.6</v>
      </c>
      <c r="I1438" s="2" t="s">
        <v>16</v>
      </c>
      <c r="J1438" s="2" t="s">
        <v>16</v>
      </c>
      <c r="K1438" s="2" t="s">
        <v>17</v>
      </c>
      <c r="L1438" s="7">
        <v>193.6</v>
      </c>
      <c r="M1438" s="2" t="str">
        <f>_xlfn.IFS(TelecomData[[#This Row],[TenureMonths]]&lt;=12, "0-1 Year", TelecomData[[#This Row],[TenureMonths]]&lt;=36, "1-3 Years", TelecomData[[#This Row],[TenureMonths]]&gt;36, "3+ Years")</f>
        <v>0-1 Year</v>
      </c>
      <c r="N1438" s="2" t="str">
        <f>IF(TelecomData[[#This Row],[CleanedTotalCharges]]&gt;=2500,"High Spend", "Standard Spend")</f>
        <v>Standard Spend</v>
      </c>
    </row>
    <row r="1439" spans="1:14" x14ac:dyDescent="0.3">
      <c r="A1439" s="1" t="s">
        <v>1463</v>
      </c>
      <c r="B1439" s="2" t="s">
        <v>19</v>
      </c>
      <c r="C1439" s="2" t="s">
        <v>13</v>
      </c>
      <c r="D1439" s="2">
        <v>27</v>
      </c>
      <c r="E1439" s="2" t="s">
        <v>14</v>
      </c>
      <c r="F1439" s="2" t="s">
        <v>15</v>
      </c>
      <c r="G1439" s="7">
        <v>49</v>
      </c>
      <c r="H1439" s="7">
        <v>1291.3499999999999</v>
      </c>
      <c r="I1439" s="2" t="s">
        <v>15</v>
      </c>
      <c r="J1439" s="2" t="s">
        <v>15</v>
      </c>
      <c r="K1439" s="2" t="s">
        <v>21</v>
      </c>
      <c r="L1439" s="7">
        <v>1291.3499999999999</v>
      </c>
      <c r="M1439" s="2" t="str">
        <f>_xlfn.IFS(TelecomData[[#This Row],[TenureMonths]]&lt;=12, "0-1 Year", TelecomData[[#This Row],[TenureMonths]]&lt;=36, "1-3 Years", TelecomData[[#This Row],[TenureMonths]]&gt;36, "3+ Years")</f>
        <v>1-3 Years</v>
      </c>
      <c r="N1439" s="2" t="str">
        <f>IF(TelecomData[[#This Row],[CleanedTotalCharges]]&gt;=2500,"High Spend", "Standard Spend")</f>
        <v>Standard Spend</v>
      </c>
    </row>
    <row r="1440" spans="1:14" x14ac:dyDescent="0.3">
      <c r="A1440" s="1" t="s">
        <v>1464</v>
      </c>
      <c r="B1440" s="2" t="s">
        <v>12</v>
      </c>
      <c r="C1440" s="2" t="s">
        <v>20</v>
      </c>
      <c r="D1440" s="2">
        <v>40</v>
      </c>
      <c r="E1440" s="2" t="s">
        <v>14</v>
      </c>
      <c r="F1440" s="2" t="s">
        <v>15</v>
      </c>
      <c r="G1440" s="7">
        <v>50.25</v>
      </c>
      <c r="H1440" s="7">
        <v>2023.55</v>
      </c>
      <c r="I1440" s="2" t="s">
        <v>15</v>
      </c>
      <c r="J1440" s="2" t="s">
        <v>16</v>
      </c>
      <c r="K1440" s="2" t="s">
        <v>21</v>
      </c>
      <c r="L1440" s="7">
        <v>2023.55</v>
      </c>
      <c r="M1440" s="2" t="str">
        <f>_xlfn.IFS(TelecomData[[#This Row],[TenureMonths]]&lt;=12, "0-1 Year", TelecomData[[#This Row],[TenureMonths]]&lt;=36, "1-3 Years", TelecomData[[#This Row],[TenureMonths]]&gt;36, "3+ Years")</f>
        <v>3+ Years</v>
      </c>
      <c r="N1440" s="2" t="str">
        <f>IF(TelecomData[[#This Row],[CleanedTotalCharges]]&gt;=2500,"High Spend", "Standard Spend")</f>
        <v>Standard Spend</v>
      </c>
    </row>
    <row r="1441" spans="1:14" x14ac:dyDescent="0.3">
      <c r="A1441" s="1" t="s">
        <v>1465</v>
      </c>
      <c r="B1441" s="2" t="s">
        <v>12</v>
      </c>
      <c r="C1441" s="2" t="s">
        <v>13</v>
      </c>
      <c r="D1441" s="2">
        <v>5</v>
      </c>
      <c r="E1441" s="2" t="s">
        <v>26</v>
      </c>
      <c r="F1441" s="2" t="s">
        <v>15</v>
      </c>
      <c r="G1441" s="7">
        <v>75.55</v>
      </c>
      <c r="H1441" s="7">
        <v>349.65</v>
      </c>
      <c r="I1441" s="2" t="s">
        <v>16</v>
      </c>
      <c r="J1441" s="2" t="s">
        <v>16</v>
      </c>
      <c r="K1441" s="2" t="s">
        <v>29</v>
      </c>
      <c r="L1441" s="7">
        <v>349.65</v>
      </c>
      <c r="M1441" s="2" t="str">
        <f>_xlfn.IFS(TelecomData[[#This Row],[TenureMonths]]&lt;=12, "0-1 Year", TelecomData[[#This Row],[TenureMonths]]&lt;=36, "1-3 Years", TelecomData[[#This Row],[TenureMonths]]&gt;36, "3+ Years")</f>
        <v>0-1 Year</v>
      </c>
      <c r="N1441" s="2" t="str">
        <f>IF(TelecomData[[#This Row],[CleanedTotalCharges]]&gt;=2500,"High Spend", "Standard Spend")</f>
        <v>Standard Spend</v>
      </c>
    </row>
    <row r="1442" spans="1:14" x14ac:dyDescent="0.3">
      <c r="A1442" s="1" t="s">
        <v>1466</v>
      </c>
      <c r="B1442" s="2" t="s">
        <v>19</v>
      </c>
      <c r="C1442" s="2" t="s">
        <v>20</v>
      </c>
      <c r="D1442" s="2">
        <v>8</v>
      </c>
      <c r="E1442" s="2" t="s">
        <v>15</v>
      </c>
      <c r="F1442" s="2" t="s">
        <v>36</v>
      </c>
      <c r="G1442" s="7">
        <v>19.899999999999999</v>
      </c>
      <c r="H1442" s="7">
        <v>153.94999999999999</v>
      </c>
      <c r="I1442" s="2" t="s">
        <v>15</v>
      </c>
      <c r="J1442" s="2" t="s">
        <v>15</v>
      </c>
      <c r="K1442" s="2" t="s">
        <v>29</v>
      </c>
      <c r="L1442" s="7">
        <v>153.94999999999999</v>
      </c>
      <c r="M1442" s="2" t="str">
        <f>_xlfn.IFS(TelecomData[[#This Row],[TenureMonths]]&lt;=12, "0-1 Year", TelecomData[[#This Row],[TenureMonths]]&lt;=36, "1-3 Years", TelecomData[[#This Row],[TenureMonths]]&gt;36, "3+ Years")</f>
        <v>0-1 Year</v>
      </c>
      <c r="N1442" s="2" t="str">
        <f>IF(TelecomData[[#This Row],[CleanedTotalCharges]]&gt;=2500,"High Spend", "Standard Spend")</f>
        <v>Standard Spend</v>
      </c>
    </row>
    <row r="1443" spans="1:14" x14ac:dyDescent="0.3">
      <c r="A1443" s="1" t="s">
        <v>1467</v>
      </c>
      <c r="B1443" s="2" t="s">
        <v>12</v>
      </c>
      <c r="C1443" s="2" t="s">
        <v>20</v>
      </c>
      <c r="D1443" s="2">
        <v>58</v>
      </c>
      <c r="E1443" s="2" t="s">
        <v>26</v>
      </c>
      <c r="F1443" s="2" t="s">
        <v>15</v>
      </c>
      <c r="G1443" s="7">
        <v>97.8</v>
      </c>
      <c r="H1443" s="7">
        <v>5458.8</v>
      </c>
      <c r="I1443" s="2" t="s">
        <v>15</v>
      </c>
      <c r="J1443" s="2" t="s">
        <v>16</v>
      </c>
      <c r="K1443" s="2" t="s">
        <v>24</v>
      </c>
      <c r="L1443" s="7">
        <v>5458.8</v>
      </c>
      <c r="M1443" s="2" t="str">
        <f>_xlfn.IFS(TelecomData[[#This Row],[TenureMonths]]&lt;=12, "0-1 Year", TelecomData[[#This Row],[TenureMonths]]&lt;=36, "1-3 Years", TelecomData[[#This Row],[TenureMonths]]&gt;36, "3+ Years")</f>
        <v>3+ Years</v>
      </c>
      <c r="N1443" s="2" t="str">
        <f>IF(TelecomData[[#This Row],[CleanedTotalCharges]]&gt;=2500,"High Spend", "Standard Spend")</f>
        <v>High Spend</v>
      </c>
    </row>
    <row r="1444" spans="1:14" x14ac:dyDescent="0.3">
      <c r="A1444" s="1" t="s">
        <v>1468</v>
      </c>
      <c r="B1444" s="2" t="s">
        <v>12</v>
      </c>
      <c r="C1444" s="2" t="s">
        <v>20</v>
      </c>
      <c r="D1444" s="2">
        <v>52</v>
      </c>
      <c r="E1444" s="2" t="s">
        <v>26</v>
      </c>
      <c r="F1444" s="2" t="s">
        <v>15</v>
      </c>
      <c r="G1444" s="7">
        <v>100.3</v>
      </c>
      <c r="H1444" s="7">
        <v>5244.45</v>
      </c>
      <c r="I1444" s="2" t="s">
        <v>15</v>
      </c>
      <c r="J1444" s="2" t="s">
        <v>15</v>
      </c>
      <c r="K1444" s="2" t="s">
        <v>17</v>
      </c>
      <c r="L1444" s="7">
        <v>5244.45</v>
      </c>
      <c r="M1444" s="2" t="str">
        <f>_xlfn.IFS(TelecomData[[#This Row],[TenureMonths]]&lt;=12, "0-1 Year", TelecomData[[#This Row],[TenureMonths]]&lt;=36, "1-3 Years", TelecomData[[#This Row],[TenureMonths]]&gt;36, "3+ Years")</f>
        <v>3+ Years</v>
      </c>
      <c r="N1444" s="2" t="str">
        <f>IF(TelecomData[[#This Row],[CleanedTotalCharges]]&gt;=2500,"High Spend", "Standard Spend")</f>
        <v>High Spend</v>
      </c>
    </row>
    <row r="1445" spans="1:14" x14ac:dyDescent="0.3">
      <c r="A1445" s="1" t="s">
        <v>1469</v>
      </c>
      <c r="B1445" s="2" t="s">
        <v>19</v>
      </c>
      <c r="C1445" s="2" t="s">
        <v>13</v>
      </c>
      <c r="D1445" s="2">
        <v>3</v>
      </c>
      <c r="E1445" s="2" t="s">
        <v>14</v>
      </c>
      <c r="F1445" s="2" t="s">
        <v>16</v>
      </c>
      <c r="G1445" s="7">
        <v>55.8</v>
      </c>
      <c r="H1445" s="7">
        <v>154.55000000000001</v>
      </c>
      <c r="I1445" s="2" t="s">
        <v>15</v>
      </c>
      <c r="J1445" s="2" t="s">
        <v>16</v>
      </c>
      <c r="K1445" s="2" t="s">
        <v>21</v>
      </c>
      <c r="L1445" s="7">
        <v>154.55000000000001</v>
      </c>
      <c r="M1445" s="2" t="str">
        <f>_xlfn.IFS(TelecomData[[#This Row],[TenureMonths]]&lt;=12, "0-1 Year", TelecomData[[#This Row],[TenureMonths]]&lt;=36, "1-3 Years", TelecomData[[#This Row],[TenureMonths]]&gt;36, "3+ Years")</f>
        <v>0-1 Year</v>
      </c>
      <c r="N1445" s="2" t="str">
        <f>IF(TelecomData[[#This Row],[CleanedTotalCharges]]&gt;=2500,"High Spend", "Standard Spend")</f>
        <v>Standard Spend</v>
      </c>
    </row>
    <row r="1446" spans="1:14" x14ac:dyDescent="0.3">
      <c r="A1446" s="1" t="s">
        <v>1470</v>
      </c>
      <c r="B1446" s="2" t="s">
        <v>19</v>
      </c>
      <c r="C1446" s="2" t="s">
        <v>35</v>
      </c>
      <c r="D1446" s="2">
        <v>41</v>
      </c>
      <c r="E1446" s="2" t="s">
        <v>26</v>
      </c>
      <c r="F1446" s="2" t="s">
        <v>16</v>
      </c>
      <c r="G1446" s="7">
        <v>111.15</v>
      </c>
      <c r="H1446" s="7">
        <v>4507.1499999999996</v>
      </c>
      <c r="I1446" s="2" t="s">
        <v>15</v>
      </c>
      <c r="J1446" s="2" t="s">
        <v>16</v>
      </c>
      <c r="K1446" s="2" t="s">
        <v>17</v>
      </c>
      <c r="L1446" s="7">
        <v>4507.1499999999996</v>
      </c>
      <c r="M1446" s="2" t="str">
        <f>_xlfn.IFS(TelecomData[[#This Row],[TenureMonths]]&lt;=12, "0-1 Year", TelecomData[[#This Row],[TenureMonths]]&lt;=36, "1-3 Years", TelecomData[[#This Row],[TenureMonths]]&gt;36, "3+ Years")</f>
        <v>3+ Years</v>
      </c>
      <c r="N1446" s="2" t="str">
        <f>IF(TelecomData[[#This Row],[CleanedTotalCharges]]&gt;=2500,"High Spend", "Standard Spend")</f>
        <v>High Spend</v>
      </c>
    </row>
    <row r="1447" spans="1:14" x14ac:dyDescent="0.3">
      <c r="A1447" s="1" t="s">
        <v>1471</v>
      </c>
      <c r="B1447" s="2" t="s">
        <v>19</v>
      </c>
      <c r="C1447" s="2" t="s">
        <v>13</v>
      </c>
      <c r="D1447" s="2">
        <v>20</v>
      </c>
      <c r="E1447" s="2" t="s">
        <v>26</v>
      </c>
      <c r="F1447" s="2" t="s">
        <v>16</v>
      </c>
      <c r="G1447" s="7">
        <v>98.55</v>
      </c>
      <c r="H1447" s="7">
        <v>2031.95</v>
      </c>
      <c r="I1447" s="2" t="s">
        <v>15</v>
      </c>
      <c r="J1447" s="2" t="s">
        <v>16</v>
      </c>
      <c r="K1447" s="2" t="s">
        <v>21</v>
      </c>
      <c r="L1447" s="7">
        <v>2031.95</v>
      </c>
      <c r="M1447" s="2" t="str">
        <f>_xlfn.IFS(TelecomData[[#This Row],[TenureMonths]]&lt;=12, "0-1 Year", TelecomData[[#This Row],[TenureMonths]]&lt;=36, "1-3 Years", TelecomData[[#This Row],[TenureMonths]]&gt;36, "3+ Years")</f>
        <v>1-3 Years</v>
      </c>
      <c r="N1447" s="2" t="str">
        <f>IF(TelecomData[[#This Row],[CleanedTotalCharges]]&gt;=2500,"High Spend", "Standard Spend")</f>
        <v>Standard Spend</v>
      </c>
    </row>
    <row r="1448" spans="1:14" x14ac:dyDescent="0.3">
      <c r="A1448" s="1" t="s">
        <v>1472</v>
      </c>
      <c r="B1448" s="2" t="s">
        <v>19</v>
      </c>
      <c r="C1448" s="2" t="s">
        <v>13</v>
      </c>
      <c r="D1448" s="2">
        <v>1</v>
      </c>
      <c r="E1448" s="2" t="s">
        <v>14</v>
      </c>
      <c r="F1448" s="2" t="s">
        <v>15</v>
      </c>
      <c r="G1448" s="7">
        <v>50.05</v>
      </c>
      <c r="H1448" s="7">
        <v>50.05</v>
      </c>
      <c r="I1448" s="2" t="s">
        <v>15</v>
      </c>
      <c r="J1448" s="2" t="s">
        <v>16</v>
      </c>
      <c r="K1448" s="2" t="s">
        <v>17</v>
      </c>
      <c r="L1448" s="7">
        <v>50.05</v>
      </c>
      <c r="M1448" s="2" t="str">
        <f>_xlfn.IFS(TelecomData[[#This Row],[TenureMonths]]&lt;=12, "0-1 Year", TelecomData[[#This Row],[TenureMonths]]&lt;=36, "1-3 Years", TelecomData[[#This Row],[TenureMonths]]&gt;36, "3+ Years")</f>
        <v>0-1 Year</v>
      </c>
      <c r="N1448" s="2" t="str">
        <f>IF(TelecomData[[#This Row],[CleanedTotalCharges]]&gt;=2500,"High Spend", "Standard Spend")</f>
        <v>Standard Spend</v>
      </c>
    </row>
    <row r="1449" spans="1:14" x14ac:dyDescent="0.3">
      <c r="A1449" s="1" t="s">
        <v>1473</v>
      </c>
      <c r="B1449" s="2" t="s">
        <v>19</v>
      </c>
      <c r="C1449" s="2" t="s">
        <v>13</v>
      </c>
      <c r="D1449" s="2">
        <v>4</v>
      </c>
      <c r="E1449" s="2" t="s">
        <v>26</v>
      </c>
      <c r="F1449" s="2" t="s">
        <v>16</v>
      </c>
      <c r="G1449" s="7">
        <v>80.8</v>
      </c>
      <c r="H1449" s="7">
        <v>332.45</v>
      </c>
      <c r="I1449" s="2" t="s">
        <v>16</v>
      </c>
      <c r="J1449" s="2" t="s">
        <v>15</v>
      </c>
      <c r="K1449" s="2" t="s">
        <v>29</v>
      </c>
      <c r="L1449" s="7">
        <v>332.45</v>
      </c>
      <c r="M1449" s="2" t="str">
        <f>_xlfn.IFS(TelecomData[[#This Row],[TenureMonths]]&lt;=12, "0-1 Year", TelecomData[[#This Row],[TenureMonths]]&lt;=36, "1-3 Years", TelecomData[[#This Row],[TenureMonths]]&gt;36, "3+ Years")</f>
        <v>0-1 Year</v>
      </c>
      <c r="N1449" s="2" t="str">
        <f>IF(TelecomData[[#This Row],[CleanedTotalCharges]]&gt;=2500,"High Spend", "Standard Spend")</f>
        <v>Standard Spend</v>
      </c>
    </row>
    <row r="1450" spans="1:14" x14ac:dyDescent="0.3">
      <c r="A1450" s="1" t="s">
        <v>1474</v>
      </c>
      <c r="B1450" s="2" t="s">
        <v>19</v>
      </c>
      <c r="C1450" s="2" t="s">
        <v>13</v>
      </c>
      <c r="D1450" s="2">
        <v>23</v>
      </c>
      <c r="E1450" s="2" t="s">
        <v>15</v>
      </c>
      <c r="F1450" s="2" t="s">
        <v>36</v>
      </c>
      <c r="G1450" s="7">
        <v>20.85</v>
      </c>
      <c r="H1450" s="7">
        <v>473.9</v>
      </c>
      <c r="I1450" s="2" t="s">
        <v>15</v>
      </c>
      <c r="J1450" s="2" t="s">
        <v>15</v>
      </c>
      <c r="K1450" s="2" t="s">
        <v>17</v>
      </c>
      <c r="L1450" s="7">
        <v>473.9</v>
      </c>
      <c r="M1450" s="2" t="str">
        <f>_xlfn.IFS(TelecomData[[#This Row],[TenureMonths]]&lt;=12, "0-1 Year", TelecomData[[#This Row],[TenureMonths]]&lt;=36, "1-3 Years", TelecomData[[#This Row],[TenureMonths]]&gt;36, "3+ Years")</f>
        <v>1-3 Years</v>
      </c>
      <c r="N1450" s="2" t="str">
        <f>IF(TelecomData[[#This Row],[CleanedTotalCharges]]&gt;=2500,"High Spend", "Standard Spend")</f>
        <v>Standard Spend</v>
      </c>
    </row>
    <row r="1451" spans="1:14" x14ac:dyDescent="0.3">
      <c r="A1451" s="1" t="s">
        <v>1475</v>
      </c>
      <c r="B1451" s="2" t="s">
        <v>12</v>
      </c>
      <c r="C1451" s="2" t="s">
        <v>13</v>
      </c>
      <c r="D1451" s="2">
        <v>6</v>
      </c>
      <c r="E1451" s="2" t="s">
        <v>15</v>
      </c>
      <c r="F1451" s="2" t="s">
        <v>36</v>
      </c>
      <c r="G1451" s="7">
        <v>19.5</v>
      </c>
      <c r="H1451" s="7">
        <v>106.8</v>
      </c>
      <c r="I1451" s="2" t="s">
        <v>15</v>
      </c>
      <c r="J1451" s="2" t="s">
        <v>15</v>
      </c>
      <c r="K1451" s="2" t="s">
        <v>24</v>
      </c>
      <c r="L1451" s="7">
        <v>106.8</v>
      </c>
      <c r="M1451" s="2" t="str">
        <f>_xlfn.IFS(TelecomData[[#This Row],[TenureMonths]]&lt;=12, "0-1 Year", TelecomData[[#This Row],[TenureMonths]]&lt;=36, "1-3 Years", TelecomData[[#This Row],[TenureMonths]]&gt;36, "3+ Years")</f>
        <v>0-1 Year</v>
      </c>
      <c r="N1451" s="2" t="str">
        <f>IF(TelecomData[[#This Row],[CleanedTotalCharges]]&gt;=2500,"High Spend", "Standard Spend")</f>
        <v>Standard Spend</v>
      </c>
    </row>
    <row r="1452" spans="1:14" x14ac:dyDescent="0.3">
      <c r="A1452" s="1" t="s">
        <v>1476</v>
      </c>
      <c r="B1452" s="2" t="s">
        <v>19</v>
      </c>
      <c r="C1452" s="2" t="s">
        <v>13</v>
      </c>
      <c r="D1452" s="2">
        <v>8</v>
      </c>
      <c r="E1452" s="2" t="s">
        <v>15</v>
      </c>
      <c r="F1452" s="2" t="s">
        <v>36</v>
      </c>
      <c r="G1452" s="7">
        <v>19.350000000000001</v>
      </c>
      <c r="H1452" s="7">
        <v>152.6</v>
      </c>
      <c r="I1452" s="2" t="s">
        <v>15</v>
      </c>
      <c r="J1452" s="2" t="s">
        <v>16</v>
      </c>
      <c r="K1452" s="2" t="s">
        <v>21</v>
      </c>
      <c r="L1452" s="7">
        <v>152.6</v>
      </c>
      <c r="M1452" s="2" t="str">
        <f>_xlfn.IFS(TelecomData[[#This Row],[TenureMonths]]&lt;=12, "0-1 Year", TelecomData[[#This Row],[TenureMonths]]&lt;=36, "1-3 Years", TelecomData[[#This Row],[TenureMonths]]&gt;36, "3+ Years")</f>
        <v>0-1 Year</v>
      </c>
      <c r="N1452" s="2" t="str">
        <f>IF(TelecomData[[#This Row],[CleanedTotalCharges]]&gt;=2500,"High Spend", "Standard Spend")</f>
        <v>Standard Spend</v>
      </c>
    </row>
    <row r="1453" spans="1:14" x14ac:dyDescent="0.3">
      <c r="A1453" s="1" t="s">
        <v>1477</v>
      </c>
      <c r="B1453" s="2" t="s">
        <v>19</v>
      </c>
      <c r="C1453" s="2" t="s">
        <v>13</v>
      </c>
      <c r="D1453" s="2">
        <v>18</v>
      </c>
      <c r="E1453" s="2" t="s">
        <v>14</v>
      </c>
      <c r="F1453" s="2" t="s">
        <v>15</v>
      </c>
      <c r="G1453" s="7">
        <v>69.5</v>
      </c>
      <c r="H1453" s="7">
        <v>1199.4000000000001</v>
      </c>
      <c r="I1453" s="2" t="s">
        <v>15</v>
      </c>
      <c r="J1453" s="2" t="s">
        <v>15</v>
      </c>
      <c r="K1453" s="2" t="s">
        <v>21</v>
      </c>
      <c r="L1453" s="7">
        <v>1199.4000000000001</v>
      </c>
      <c r="M1453" s="2" t="str">
        <f>_xlfn.IFS(TelecomData[[#This Row],[TenureMonths]]&lt;=12, "0-1 Year", TelecomData[[#This Row],[TenureMonths]]&lt;=36, "1-3 Years", TelecomData[[#This Row],[TenureMonths]]&gt;36, "3+ Years")</f>
        <v>1-3 Years</v>
      </c>
      <c r="N1453" s="2" t="str">
        <f>IF(TelecomData[[#This Row],[CleanedTotalCharges]]&gt;=2500,"High Spend", "Standard Spend")</f>
        <v>Standard Spend</v>
      </c>
    </row>
    <row r="1454" spans="1:14" x14ac:dyDescent="0.3">
      <c r="A1454" s="1" t="s">
        <v>1478</v>
      </c>
      <c r="B1454" s="2" t="s">
        <v>19</v>
      </c>
      <c r="C1454" s="2" t="s">
        <v>13</v>
      </c>
      <c r="D1454" s="2">
        <v>52</v>
      </c>
      <c r="E1454" s="2" t="s">
        <v>14</v>
      </c>
      <c r="F1454" s="2" t="s">
        <v>15</v>
      </c>
      <c r="G1454" s="7">
        <v>48.8</v>
      </c>
      <c r="H1454" s="7">
        <v>2555.0500000000002</v>
      </c>
      <c r="I1454" s="2" t="s">
        <v>15</v>
      </c>
      <c r="J1454" s="2" t="s">
        <v>16</v>
      </c>
      <c r="K1454" s="2" t="s">
        <v>29</v>
      </c>
      <c r="L1454" s="7">
        <v>2555.0500000000002</v>
      </c>
      <c r="M1454" s="2" t="str">
        <f>_xlfn.IFS(TelecomData[[#This Row],[TenureMonths]]&lt;=12, "0-1 Year", TelecomData[[#This Row],[TenureMonths]]&lt;=36, "1-3 Years", TelecomData[[#This Row],[TenureMonths]]&gt;36, "3+ Years")</f>
        <v>3+ Years</v>
      </c>
      <c r="N1454" s="2" t="str">
        <f>IF(TelecomData[[#This Row],[CleanedTotalCharges]]&gt;=2500,"High Spend", "Standard Spend")</f>
        <v>High Spend</v>
      </c>
    </row>
    <row r="1455" spans="1:14" x14ac:dyDescent="0.3">
      <c r="A1455" s="1" t="s">
        <v>1479</v>
      </c>
      <c r="B1455" s="2" t="s">
        <v>19</v>
      </c>
      <c r="C1455" s="2" t="s">
        <v>13</v>
      </c>
      <c r="D1455" s="2">
        <v>31</v>
      </c>
      <c r="E1455" s="2" t="s">
        <v>26</v>
      </c>
      <c r="F1455" s="2" t="s">
        <v>15</v>
      </c>
      <c r="G1455" s="7">
        <v>94.5</v>
      </c>
      <c r="H1455" s="7">
        <v>2979.2</v>
      </c>
      <c r="I1455" s="2" t="s">
        <v>15</v>
      </c>
      <c r="J1455" s="2" t="s">
        <v>16</v>
      </c>
      <c r="K1455" s="2" t="s">
        <v>17</v>
      </c>
      <c r="L1455" s="7">
        <v>2979.2</v>
      </c>
      <c r="M1455" s="2" t="str">
        <f>_xlfn.IFS(TelecomData[[#This Row],[TenureMonths]]&lt;=12, "0-1 Year", TelecomData[[#This Row],[TenureMonths]]&lt;=36, "1-3 Years", TelecomData[[#This Row],[TenureMonths]]&gt;36, "3+ Years")</f>
        <v>1-3 Years</v>
      </c>
      <c r="N1455" s="2" t="str">
        <f>IF(TelecomData[[#This Row],[CleanedTotalCharges]]&gt;=2500,"High Spend", "Standard Spend")</f>
        <v>High Spend</v>
      </c>
    </row>
    <row r="1456" spans="1:14" x14ac:dyDescent="0.3">
      <c r="A1456" s="1" t="s">
        <v>1480</v>
      </c>
      <c r="B1456" s="2" t="s">
        <v>19</v>
      </c>
      <c r="C1456" s="2" t="s">
        <v>13</v>
      </c>
      <c r="D1456" s="2">
        <v>29</v>
      </c>
      <c r="E1456" s="2" t="s">
        <v>15</v>
      </c>
      <c r="F1456" s="2" t="s">
        <v>36</v>
      </c>
      <c r="G1456" s="7">
        <v>20.65</v>
      </c>
      <c r="H1456" s="7">
        <v>654.85</v>
      </c>
      <c r="I1456" s="2" t="s">
        <v>15</v>
      </c>
      <c r="J1456" s="2" t="s">
        <v>16</v>
      </c>
      <c r="K1456" s="2" t="s">
        <v>21</v>
      </c>
      <c r="L1456" s="7">
        <v>654.85</v>
      </c>
      <c r="M1456" s="2" t="str">
        <f>_xlfn.IFS(TelecomData[[#This Row],[TenureMonths]]&lt;=12, "0-1 Year", TelecomData[[#This Row],[TenureMonths]]&lt;=36, "1-3 Years", TelecomData[[#This Row],[TenureMonths]]&gt;36, "3+ Years")</f>
        <v>1-3 Years</v>
      </c>
      <c r="N1456" s="2" t="str">
        <f>IF(TelecomData[[#This Row],[CleanedTotalCharges]]&gt;=2500,"High Spend", "Standard Spend")</f>
        <v>Standard Spend</v>
      </c>
    </row>
    <row r="1457" spans="1:14" x14ac:dyDescent="0.3">
      <c r="A1457" s="1" t="s">
        <v>1481</v>
      </c>
      <c r="B1457" s="2" t="s">
        <v>12</v>
      </c>
      <c r="C1457" s="2" t="s">
        <v>35</v>
      </c>
      <c r="D1457" s="2">
        <v>36</v>
      </c>
      <c r="E1457" s="2" t="s">
        <v>26</v>
      </c>
      <c r="F1457" s="2" t="s">
        <v>16</v>
      </c>
      <c r="G1457" s="7">
        <v>106.05</v>
      </c>
      <c r="H1457" s="7">
        <v>3834.4</v>
      </c>
      <c r="I1457" s="2" t="s">
        <v>15</v>
      </c>
      <c r="J1457" s="2" t="s">
        <v>16</v>
      </c>
      <c r="K1457" s="2" t="s">
        <v>29</v>
      </c>
      <c r="L1457" s="7">
        <v>3834.4</v>
      </c>
      <c r="M1457" s="2" t="str">
        <f>_xlfn.IFS(TelecomData[[#This Row],[TenureMonths]]&lt;=12, "0-1 Year", TelecomData[[#This Row],[TenureMonths]]&lt;=36, "1-3 Years", TelecomData[[#This Row],[TenureMonths]]&gt;36, "3+ Years")</f>
        <v>1-3 Years</v>
      </c>
      <c r="N1457" s="2" t="str">
        <f>IF(TelecomData[[#This Row],[CleanedTotalCharges]]&gt;=2500,"High Spend", "Standard Spend")</f>
        <v>High Spend</v>
      </c>
    </row>
    <row r="1458" spans="1:14" x14ac:dyDescent="0.3">
      <c r="A1458" s="1" t="s">
        <v>1482</v>
      </c>
      <c r="B1458" s="2" t="s">
        <v>12</v>
      </c>
      <c r="C1458" s="2" t="s">
        <v>13</v>
      </c>
      <c r="D1458" s="2">
        <v>16</v>
      </c>
      <c r="E1458" s="2" t="s">
        <v>26</v>
      </c>
      <c r="F1458" s="2" t="s">
        <v>15</v>
      </c>
      <c r="G1458" s="7">
        <v>100</v>
      </c>
      <c r="H1458" s="7">
        <v>1534.75</v>
      </c>
      <c r="I1458" s="2" t="s">
        <v>16</v>
      </c>
      <c r="J1458" s="2" t="s">
        <v>16</v>
      </c>
      <c r="K1458" s="2" t="s">
        <v>17</v>
      </c>
      <c r="L1458" s="7">
        <v>1534.75</v>
      </c>
      <c r="M1458" s="2" t="str">
        <f>_xlfn.IFS(TelecomData[[#This Row],[TenureMonths]]&lt;=12, "0-1 Year", TelecomData[[#This Row],[TenureMonths]]&lt;=36, "1-3 Years", TelecomData[[#This Row],[TenureMonths]]&gt;36, "3+ Years")</f>
        <v>1-3 Years</v>
      </c>
      <c r="N1458" s="2" t="str">
        <f>IF(TelecomData[[#This Row],[CleanedTotalCharges]]&gt;=2500,"High Spend", "Standard Spend")</f>
        <v>Standard Spend</v>
      </c>
    </row>
    <row r="1459" spans="1:14" x14ac:dyDescent="0.3">
      <c r="A1459" s="1" t="s">
        <v>1483</v>
      </c>
      <c r="B1459" s="2" t="s">
        <v>19</v>
      </c>
      <c r="C1459" s="2" t="s">
        <v>20</v>
      </c>
      <c r="D1459" s="2">
        <v>42</v>
      </c>
      <c r="E1459" s="2" t="s">
        <v>26</v>
      </c>
      <c r="F1459" s="2" t="s">
        <v>16</v>
      </c>
      <c r="G1459" s="7">
        <v>108.3</v>
      </c>
      <c r="H1459" s="7">
        <v>4586.1499999999996</v>
      </c>
      <c r="I1459" s="2" t="s">
        <v>15</v>
      </c>
      <c r="J1459" s="2" t="s">
        <v>16</v>
      </c>
      <c r="K1459" s="2" t="s">
        <v>17</v>
      </c>
      <c r="L1459" s="7">
        <v>4586.1499999999996</v>
      </c>
      <c r="M1459" s="2" t="str">
        <f>_xlfn.IFS(TelecomData[[#This Row],[TenureMonths]]&lt;=12, "0-1 Year", TelecomData[[#This Row],[TenureMonths]]&lt;=36, "1-3 Years", TelecomData[[#This Row],[TenureMonths]]&gt;36, "3+ Years")</f>
        <v>3+ Years</v>
      </c>
      <c r="N1459" s="2" t="str">
        <f>IF(TelecomData[[#This Row],[CleanedTotalCharges]]&gt;=2500,"High Spend", "Standard Spend")</f>
        <v>High Spend</v>
      </c>
    </row>
    <row r="1460" spans="1:14" x14ac:dyDescent="0.3">
      <c r="A1460" s="1" t="s">
        <v>1484</v>
      </c>
      <c r="B1460" s="2" t="s">
        <v>19</v>
      </c>
      <c r="C1460" s="2" t="s">
        <v>13</v>
      </c>
      <c r="D1460" s="2">
        <v>1</v>
      </c>
      <c r="E1460" s="2" t="s">
        <v>15</v>
      </c>
      <c r="F1460" s="2" t="s">
        <v>36</v>
      </c>
      <c r="G1460" s="7">
        <v>20.55</v>
      </c>
      <c r="H1460" s="7">
        <v>20.55</v>
      </c>
      <c r="I1460" s="2" t="s">
        <v>16</v>
      </c>
      <c r="J1460" s="2" t="s">
        <v>15</v>
      </c>
      <c r="K1460" s="2" t="s">
        <v>17</v>
      </c>
      <c r="L1460" s="7">
        <v>20.55</v>
      </c>
      <c r="M1460" s="2" t="str">
        <f>_xlfn.IFS(TelecomData[[#This Row],[TenureMonths]]&lt;=12, "0-1 Year", TelecomData[[#This Row],[TenureMonths]]&lt;=36, "1-3 Years", TelecomData[[#This Row],[TenureMonths]]&gt;36, "3+ Years")</f>
        <v>0-1 Year</v>
      </c>
      <c r="N1460" s="2" t="str">
        <f>IF(TelecomData[[#This Row],[CleanedTotalCharges]]&gt;=2500,"High Spend", "Standard Spend")</f>
        <v>Standard Spend</v>
      </c>
    </row>
    <row r="1461" spans="1:14" x14ac:dyDescent="0.3">
      <c r="A1461" s="1" t="s">
        <v>1485</v>
      </c>
      <c r="B1461" s="2" t="s">
        <v>12</v>
      </c>
      <c r="C1461" s="2" t="s">
        <v>35</v>
      </c>
      <c r="D1461" s="2">
        <v>60</v>
      </c>
      <c r="E1461" s="2" t="s">
        <v>26</v>
      </c>
      <c r="F1461" s="2" t="s">
        <v>15</v>
      </c>
      <c r="G1461" s="7">
        <v>99.65</v>
      </c>
      <c r="H1461" s="7">
        <v>5941.05</v>
      </c>
      <c r="I1461" s="2" t="s">
        <v>15</v>
      </c>
      <c r="J1461" s="2" t="s">
        <v>16</v>
      </c>
      <c r="K1461" s="2" t="s">
        <v>17</v>
      </c>
      <c r="L1461" s="7">
        <v>5941.05</v>
      </c>
      <c r="M1461" s="2" t="str">
        <f>_xlfn.IFS(TelecomData[[#This Row],[TenureMonths]]&lt;=12, "0-1 Year", TelecomData[[#This Row],[TenureMonths]]&lt;=36, "1-3 Years", TelecomData[[#This Row],[TenureMonths]]&gt;36, "3+ Years")</f>
        <v>3+ Years</v>
      </c>
      <c r="N1461" s="2" t="str">
        <f>IF(TelecomData[[#This Row],[CleanedTotalCharges]]&gt;=2500,"High Spend", "Standard Spend")</f>
        <v>High Spend</v>
      </c>
    </row>
    <row r="1462" spans="1:14" x14ac:dyDescent="0.3">
      <c r="A1462" s="1" t="s">
        <v>1486</v>
      </c>
      <c r="B1462" s="2" t="s">
        <v>19</v>
      </c>
      <c r="C1462" s="2" t="s">
        <v>13</v>
      </c>
      <c r="D1462" s="2">
        <v>5</v>
      </c>
      <c r="E1462" s="2" t="s">
        <v>26</v>
      </c>
      <c r="F1462" s="2" t="s">
        <v>15</v>
      </c>
      <c r="G1462" s="7">
        <v>85.3</v>
      </c>
      <c r="H1462" s="7">
        <v>424.15</v>
      </c>
      <c r="I1462" s="2" t="s">
        <v>16</v>
      </c>
      <c r="J1462" s="2" t="s">
        <v>16</v>
      </c>
      <c r="K1462" s="2" t="s">
        <v>17</v>
      </c>
      <c r="L1462" s="7">
        <v>424.15</v>
      </c>
      <c r="M1462" s="2" t="str">
        <f>_xlfn.IFS(TelecomData[[#This Row],[TenureMonths]]&lt;=12, "0-1 Year", TelecomData[[#This Row],[TenureMonths]]&lt;=36, "1-3 Years", TelecomData[[#This Row],[TenureMonths]]&gt;36, "3+ Years")</f>
        <v>0-1 Year</v>
      </c>
      <c r="N1462" s="2" t="str">
        <f>IF(TelecomData[[#This Row],[CleanedTotalCharges]]&gt;=2500,"High Spend", "Standard Spend")</f>
        <v>Standard Spend</v>
      </c>
    </row>
    <row r="1463" spans="1:14" x14ac:dyDescent="0.3">
      <c r="A1463" s="1" t="s">
        <v>1487</v>
      </c>
      <c r="B1463" s="2" t="s">
        <v>19</v>
      </c>
      <c r="C1463" s="2" t="s">
        <v>13</v>
      </c>
      <c r="D1463" s="2">
        <v>22</v>
      </c>
      <c r="E1463" s="2" t="s">
        <v>26</v>
      </c>
      <c r="F1463" s="2" t="s">
        <v>16</v>
      </c>
      <c r="G1463" s="7">
        <v>95.9</v>
      </c>
      <c r="H1463" s="7">
        <v>2234.9499999999998</v>
      </c>
      <c r="I1463" s="2" t="s">
        <v>15</v>
      </c>
      <c r="J1463" s="2" t="s">
        <v>15</v>
      </c>
      <c r="K1463" s="2" t="s">
        <v>29</v>
      </c>
      <c r="L1463" s="7">
        <v>2234.9499999999998</v>
      </c>
      <c r="M1463" s="2" t="str">
        <f>_xlfn.IFS(TelecomData[[#This Row],[TenureMonths]]&lt;=12, "0-1 Year", TelecomData[[#This Row],[TenureMonths]]&lt;=36, "1-3 Years", TelecomData[[#This Row],[TenureMonths]]&gt;36, "3+ Years")</f>
        <v>1-3 Years</v>
      </c>
      <c r="N1463" s="2" t="str">
        <f>IF(TelecomData[[#This Row],[CleanedTotalCharges]]&gt;=2500,"High Spend", "Standard Spend")</f>
        <v>Standard Spend</v>
      </c>
    </row>
    <row r="1464" spans="1:14" x14ac:dyDescent="0.3">
      <c r="A1464" s="1" t="s">
        <v>1488</v>
      </c>
      <c r="B1464" s="2" t="s">
        <v>19</v>
      </c>
      <c r="C1464" s="2" t="s">
        <v>20</v>
      </c>
      <c r="D1464" s="2">
        <v>36</v>
      </c>
      <c r="E1464" s="2" t="s">
        <v>15</v>
      </c>
      <c r="F1464" s="2" t="s">
        <v>36</v>
      </c>
      <c r="G1464" s="7">
        <v>20</v>
      </c>
      <c r="H1464" s="7">
        <v>666.75</v>
      </c>
      <c r="I1464" s="2" t="s">
        <v>15</v>
      </c>
      <c r="J1464" s="2" t="s">
        <v>15</v>
      </c>
      <c r="K1464" s="2" t="s">
        <v>21</v>
      </c>
      <c r="L1464" s="7">
        <v>666.75</v>
      </c>
      <c r="M1464" s="2" t="str">
        <f>_xlfn.IFS(TelecomData[[#This Row],[TenureMonths]]&lt;=12, "0-1 Year", TelecomData[[#This Row],[TenureMonths]]&lt;=36, "1-3 Years", TelecomData[[#This Row],[TenureMonths]]&gt;36, "3+ Years")</f>
        <v>1-3 Years</v>
      </c>
      <c r="N1464" s="2" t="str">
        <f>IF(TelecomData[[#This Row],[CleanedTotalCharges]]&gt;=2500,"High Spend", "Standard Spend")</f>
        <v>Standard Spend</v>
      </c>
    </row>
    <row r="1465" spans="1:14" x14ac:dyDescent="0.3">
      <c r="A1465" s="1" t="s">
        <v>1489</v>
      </c>
      <c r="B1465" s="2" t="s">
        <v>12</v>
      </c>
      <c r="C1465" s="2" t="s">
        <v>13</v>
      </c>
      <c r="D1465" s="2">
        <v>4</v>
      </c>
      <c r="E1465" s="2" t="s">
        <v>26</v>
      </c>
      <c r="F1465" s="2" t="s">
        <v>15</v>
      </c>
      <c r="G1465" s="7">
        <v>70.400000000000006</v>
      </c>
      <c r="H1465" s="7">
        <v>281</v>
      </c>
      <c r="I1465" s="2" t="s">
        <v>16</v>
      </c>
      <c r="J1465" s="2" t="s">
        <v>15</v>
      </c>
      <c r="K1465" s="2" t="s">
        <v>17</v>
      </c>
      <c r="L1465" s="7">
        <v>281</v>
      </c>
      <c r="M1465" s="2" t="str">
        <f>_xlfn.IFS(TelecomData[[#This Row],[TenureMonths]]&lt;=12, "0-1 Year", TelecomData[[#This Row],[TenureMonths]]&lt;=36, "1-3 Years", TelecomData[[#This Row],[TenureMonths]]&gt;36, "3+ Years")</f>
        <v>0-1 Year</v>
      </c>
      <c r="N1465" s="2" t="str">
        <f>IF(TelecomData[[#This Row],[CleanedTotalCharges]]&gt;=2500,"High Spend", "Standard Spend")</f>
        <v>Standard Spend</v>
      </c>
    </row>
    <row r="1466" spans="1:14" x14ac:dyDescent="0.3">
      <c r="A1466" s="1" t="s">
        <v>1490</v>
      </c>
      <c r="B1466" s="2" t="s">
        <v>19</v>
      </c>
      <c r="C1466" s="2" t="s">
        <v>13</v>
      </c>
      <c r="D1466" s="2">
        <v>9</v>
      </c>
      <c r="E1466" s="2" t="s">
        <v>14</v>
      </c>
      <c r="F1466" s="2" t="s">
        <v>16</v>
      </c>
      <c r="G1466" s="7">
        <v>64.95</v>
      </c>
      <c r="H1466" s="7">
        <v>547.79999999999995</v>
      </c>
      <c r="I1466" s="2" t="s">
        <v>15</v>
      </c>
      <c r="J1466" s="2" t="s">
        <v>15</v>
      </c>
      <c r="K1466" s="2" t="s">
        <v>21</v>
      </c>
      <c r="L1466" s="7">
        <v>547.79999999999995</v>
      </c>
      <c r="M1466" s="2" t="str">
        <f>_xlfn.IFS(TelecomData[[#This Row],[TenureMonths]]&lt;=12, "0-1 Year", TelecomData[[#This Row],[TenureMonths]]&lt;=36, "1-3 Years", TelecomData[[#This Row],[TenureMonths]]&gt;36, "3+ Years")</f>
        <v>0-1 Year</v>
      </c>
      <c r="N1466" s="2" t="str">
        <f>IF(TelecomData[[#This Row],[CleanedTotalCharges]]&gt;=2500,"High Spend", "Standard Spend")</f>
        <v>Standard Spend</v>
      </c>
    </row>
    <row r="1467" spans="1:14" x14ac:dyDescent="0.3">
      <c r="A1467" s="1" t="s">
        <v>1491</v>
      </c>
      <c r="B1467" s="2" t="s">
        <v>19</v>
      </c>
      <c r="C1467" s="2" t="s">
        <v>13</v>
      </c>
      <c r="D1467" s="2">
        <v>1</v>
      </c>
      <c r="E1467" s="2" t="s">
        <v>26</v>
      </c>
      <c r="F1467" s="2" t="s">
        <v>15</v>
      </c>
      <c r="G1467" s="7">
        <v>74.599999999999994</v>
      </c>
      <c r="H1467" s="7">
        <v>74.599999999999994</v>
      </c>
      <c r="I1467" s="2" t="s">
        <v>15</v>
      </c>
      <c r="J1467" s="2" t="s">
        <v>15</v>
      </c>
      <c r="K1467" s="2" t="s">
        <v>29</v>
      </c>
      <c r="L1467" s="7">
        <v>74.599999999999994</v>
      </c>
      <c r="M1467" s="2" t="str">
        <f>_xlfn.IFS(TelecomData[[#This Row],[TenureMonths]]&lt;=12, "0-1 Year", TelecomData[[#This Row],[TenureMonths]]&lt;=36, "1-3 Years", TelecomData[[#This Row],[TenureMonths]]&gt;36, "3+ Years")</f>
        <v>0-1 Year</v>
      </c>
      <c r="N1467" s="2" t="str">
        <f>IF(TelecomData[[#This Row],[CleanedTotalCharges]]&gt;=2500,"High Spend", "Standard Spend")</f>
        <v>Standard Spend</v>
      </c>
    </row>
    <row r="1468" spans="1:14" x14ac:dyDescent="0.3">
      <c r="A1468" s="1" t="s">
        <v>1492</v>
      </c>
      <c r="B1468" s="2" t="s">
        <v>19</v>
      </c>
      <c r="C1468" s="2" t="s">
        <v>13</v>
      </c>
      <c r="D1468" s="2">
        <v>12</v>
      </c>
      <c r="E1468" s="2" t="s">
        <v>14</v>
      </c>
      <c r="F1468" s="2" t="s">
        <v>15</v>
      </c>
      <c r="G1468" s="7">
        <v>49.2</v>
      </c>
      <c r="H1468" s="7">
        <v>571.15</v>
      </c>
      <c r="I1468" s="2" t="s">
        <v>15</v>
      </c>
      <c r="J1468" s="2" t="s">
        <v>16</v>
      </c>
      <c r="K1468" s="2" t="s">
        <v>17</v>
      </c>
      <c r="L1468" s="7">
        <v>571.15</v>
      </c>
      <c r="M1468" s="2" t="str">
        <f>_xlfn.IFS(TelecomData[[#This Row],[TenureMonths]]&lt;=12, "0-1 Year", TelecomData[[#This Row],[TenureMonths]]&lt;=36, "1-3 Years", TelecomData[[#This Row],[TenureMonths]]&gt;36, "3+ Years")</f>
        <v>0-1 Year</v>
      </c>
      <c r="N1468" s="2" t="str">
        <f>IF(TelecomData[[#This Row],[CleanedTotalCharges]]&gt;=2500,"High Spend", "Standard Spend")</f>
        <v>Standard Spend</v>
      </c>
    </row>
    <row r="1469" spans="1:14" x14ac:dyDescent="0.3">
      <c r="A1469" s="1" t="s">
        <v>1493</v>
      </c>
      <c r="B1469" s="2" t="s">
        <v>12</v>
      </c>
      <c r="C1469" s="2" t="s">
        <v>20</v>
      </c>
      <c r="D1469" s="2">
        <v>23</v>
      </c>
      <c r="E1469" s="2" t="s">
        <v>14</v>
      </c>
      <c r="F1469" s="2" t="s">
        <v>16</v>
      </c>
      <c r="G1469" s="7">
        <v>73.75</v>
      </c>
      <c r="H1469" s="7">
        <v>1756.6</v>
      </c>
      <c r="I1469" s="2" t="s">
        <v>15</v>
      </c>
      <c r="J1469" s="2" t="s">
        <v>16</v>
      </c>
      <c r="K1469" s="2" t="s">
        <v>21</v>
      </c>
      <c r="L1469" s="7">
        <v>1756.6</v>
      </c>
      <c r="M1469" s="2" t="str">
        <f>_xlfn.IFS(TelecomData[[#This Row],[TenureMonths]]&lt;=12, "0-1 Year", TelecomData[[#This Row],[TenureMonths]]&lt;=36, "1-3 Years", TelecomData[[#This Row],[TenureMonths]]&gt;36, "3+ Years")</f>
        <v>1-3 Years</v>
      </c>
      <c r="N1469" s="2" t="str">
        <f>IF(TelecomData[[#This Row],[CleanedTotalCharges]]&gt;=2500,"High Spend", "Standard Spend")</f>
        <v>Standard Spend</v>
      </c>
    </row>
    <row r="1470" spans="1:14" x14ac:dyDescent="0.3">
      <c r="A1470" s="1" t="s">
        <v>1494</v>
      </c>
      <c r="B1470" s="2" t="s">
        <v>19</v>
      </c>
      <c r="C1470" s="2" t="s">
        <v>20</v>
      </c>
      <c r="D1470" s="2">
        <v>62</v>
      </c>
      <c r="E1470" s="2" t="s">
        <v>26</v>
      </c>
      <c r="F1470" s="2" t="s">
        <v>15</v>
      </c>
      <c r="G1470" s="7">
        <v>92.3</v>
      </c>
      <c r="H1470" s="7">
        <v>5731.45</v>
      </c>
      <c r="I1470" s="2" t="s">
        <v>15</v>
      </c>
      <c r="J1470" s="2" t="s">
        <v>16</v>
      </c>
      <c r="K1470" s="2" t="s">
        <v>24</v>
      </c>
      <c r="L1470" s="7">
        <v>5731.45</v>
      </c>
      <c r="M1470" s="2" t="str">
        <f>_xlfn.IFS(TelecomData[[#This Row],[TenureMonths]]&lt;=12, "0-1 Year", TelecomData[[#This Row],[TenureMonths]]&lt;=36, "1-3 Years", TelecomData[[#This Row],[TenureMonths]]&gt;36, "3+ Years")</f>
        <v>3+ Years</v>
      </c>
      <c r="N1470" s="2" t="str">
        <f>IF(TelecomData[[#This Row],[CleanedTotalCharges]]&gt;=2500,"High Spend", "Standard Spend")</f>
        <v>High Spend</v>
      </c>
    </row>
    <row r="1471" spans="1:14" x14ac:dyDescent="0.3">
      <c r="A1471" s="1" t="s">
        <v>1495</v>
      </c>
      <c r="B1471" s="2" t="s">
        <v>19</v>
      </c>
      <c r="C1471" s="2" t="s">
        <v>13</v>
      </c>
      <c r="D1471" s="2">
        <v>37</v>
      </c>
      <c r="E1471" s="2" t="s">
        <v>26</v>
      </c>
      <c r="F1471" s="2" t="s">
        <v>16</v>
      </c>
      <c r="G1471" s="7">
        <v>98.8</v>
      </c>
      <c r="H1471" s="7">
        <v>3475.55</v>
      </c>
      <c r="I1471" s="2" t="s">
        <v>16</v>
      </c>
      <c r="J1471" s="2" t="s">
        <v>15</v>
      </c>
      <c r="K1471" s="2" t="s">
        <v>24</v>
      </c>
      <c r="L1471" s="7">
        <v>3475.55</v>
      </c>
      <c r="M1471" s="2" t="str">
        <f>_xlfn.IFS(TelecomData[[#This Row],[TenureMonths]]&lt;=12, "0-1 Year", TelecomData[[#This Row],[TenureMonths]]&lt;=36, "1-3 Years", TelecomData[[#This Row],[TenureMonths]]&gt;36, "3+ Years")</f>
        <v>3+ Years</v>
      </c>
      <c r="N1471" s="2" t="str">
        <f>IF(TelecomData[[#This Row],[CleanedTotalCharges]]&gt;=2500,"High Spend", "Standard Spend")</f>
        <v>High Spend</v>
      </c>
    </row>
    <row r="1472" spans="1:14" x14ac:dyDescent="0.3">
      <c r="A1472" s="1" t="s">
        <v>1496</v>
      </c>
      <c r="B1472" s="2" t="s">
        <v>12</v>
      </c>
      <c r="C1472" s="2" t="s">
        <v>13</v>
      </c>
      <c r="D1472" s="2">
        <v>8</v>
      </c>
      <c r="E1472" s="2" t="s">
        <v>15</v>
      </c>
      <c r="F1472" s="2" t="s">
        <v>36</v>
      </c>
      <c r="G1472" s="7">
        <v>19.2</v>
      </c>
      <c r="H1472" s="7">
        <v>156.85</v>
      </c>
      <c r="I1472" s="2" t="s">
        <v>15</v>
      </c>
      <c r="J1472" s="2" t="s">
        <v>15</v>
      </c>
      <c r="K1472" s="2" t="s">
        <v>21</v>
      </c>
      <c r="L1472" s="7">
        <v>156.85</v>
      </c>
      <c r="M1472" s="2" t="str">
        <f>_xlfn.IFS(TelecomData[[#This Row],[TenureMonths]]&lt;=12, "0-1 Year", TelecomData[[#This Row],[TenureMonths]]&lt;=36, "1-3 Years", TelecomData[[#This Row],[TenureMonths]]&gt;36, "3+ Years")</f>
        <v>0-1 Year</v>
      </c>
      <c r="N1472" s="2" t="str">
        <f>IF(TelecomData[[#This Row],[CleanedTotalCharges]]&gt;=2500,"High Spend", "Standard Spend")</f>
        <v>Standard Spend</v>
      </c>
    </row>
    <row r="1473" spans="1:14" x14ac:dyDescent="0.3">
      <c r="A1473" s="1" t="s">
        <v>1497</v>
      </c>
      <c r="B1473" s="2" t="s">
        <v>19</v>
      </c>
      <c r="C1473" s="2" t="s">
        <v>13</v>
      </c>
      <c r="D1473" s="2">
        <v>31</v>
      </c>
      <c r="E1473" s="2" t="s">
        <v>26</v>
      </c>
      <c r="F1473" s="2" t="s">
        <v>15</v>
      </c>
      <c r="G1473" s="7">
        <v>88.65</v>
      </c>
      <c r="H1473" s="7">
        <v>2683.2</v>
      </c>
      <c r="I1473" s="2" t="s">
        <v>15</v>
      </c>
      <c r="J1473" s="2" t="s">
        <v>15</v>
      </c>
      <c r="K1473" s="2" t="s">
        <v>29</v>
      </c>
      <c r="L1473" s="7">
        <v>2683.2</v>
      </c>
      <c r="M1473" s="2" t="str">
        <f>_xlfn.IFS(TelecomData[[#This Row],[TenureMonths]]&lt;=12, "0-1 Year", TelecomData[[#This Row],[TenureMonths]]&lt;=36, "1-3 Years", TelecomData[[#This Row],[TenureMonths]]&gt;36, "3+ Years")</f>
        <v>1-3 Years</v>
      </c>
      <c r="N1473" s="2" t="str">
        <f>IF(TelecomData[[#This Row],[CleanedTotalCharges]]&gt;=2500,"High Spend", "Standard Spend")</f>
        <v>High Spend</v>
      </c>
    </row>
    <row r="1474" spans="1:14" x14ac:dyDescent="0.3">
      <c r="A1474" s="1" t="s">
        <v>1498</v>
      </c>
      <c r="B1474" s="2" t="s">
        <v>19</v>
      </c>
      <c r="C1474" s="2" t="s">
        <v>13</v>
      </c>
      <c r="D1474" s="2">
        <v>13</v>
      </c>
      <c r="E1474" s="2" t="s">
        <v>26</v>
      </c>
      <c r="F1474" s="2" t="s">
        <v>15</v>
      </c>
      <c r="G1474" s="7">
        <v>74.400000000000006</v>
      </c>
      <c r="H1474" s="7">
        <v>896.75</v>
      </c>
      <c r="I1474" s="2" t="s">
        <v>16</v>
      </c>
      <c r="J1474" s="2" t="s">
        <v>16</v>
      </c>
      <c r="K1474" s="2" t="s">
        <v>29</v>
      </c>
      <c r="L1474" s="7">
        <v>896.75</v>
      </c>
      <c r="M1474" s="2" t="str">
        <f>_xlfn.IFS(TelecomData[[#This Row],[TenureMonths]]&lt;=12, "0-1 Year", TelecomData[[#This Row],[TenureMonths]]&lt;=36, "1-3 Years", TelecomData[[#This Row],[TenureMonths]]&gt;36, "3+ Years")</f>
        <v>1-3 Years</v>
      </c>
      <c r="N1474" s="2" t="str">
        <f>IF(TelecomData[[#This Row],[CleanedTotalCharges]]&gt;=2500,"High Spend", "Standard Spend")</f>
        <v>Standard Spend</v>
      </c>
    </row>
    <row r="1475" spans="1:14" x14ac:dyDescent="0.3">
      <c r="A1475" s="1" t="s">
        <v>1499</v>
      </c>
      <c r="B1475" s="2" t="s">
        <v>12</v>
      </c>
      <c r="C1475" s="2" t="s">
        <v>13</v>
      </c>
      <c r="D1475" s="2">
        <v>24</v>
      </c>
      <c r="E1475" s="2" t="s">
        <v>26</v>
      </c>
      <c r="F1475" s="2" t="s">
        <v>15</v>
      </c>
      <c r="G1475" s="7">
        <v>98.75</v>
      </c>
      <c r="H1475" s="7">
        <v>2407.3000000000002</v>
      </c>
      <c r="I1475" s="2" t="s">
        <v>16</v>
      </c>
      <c r="J1475" s="2" t="s">
        <v>16</v>
      </c>
      <c r="K1475" s="2" t="s">
        <v>17</v>
      </c>
      <c r="L1475" s="7">
        <v>2407.3000000000002</v>
      </c>
      <c r="M1475" s="2" t="str">
        <f>_xlfn.IFS(TelecomData[[#This Row],[TenureMonths]]&lt;=12, "0-1 Year", TelecomData[[#This Row],[TenureMonths]]&lt;=36, "1-3 Years", TelecomData[[#This Row],[TenureMonths]]&gt;36, "3+ Years")</f>
        <v>1-3 Years</v>
      </c>
      <c r="N1475" s="2" t="str">
        <f>IF(TelecomData[[#This Row],[CleanedTotalCharges]]&gt;=2500,"High Spend", "Standard Spend")</f>
        <v>Standard Spend</v>
      </c>
    </row>
    <row r="1476" spans="1:14" x14ac:dyDescent="0.3">
      <c r="A1476" s="1" t="s">
        <v>1500</v>
      </c>
      <c r="B1476" s="2" t="s">
        <v>19</v>
      </c>
      <c r="C1476" s="2" t="s">
        <v>13</v>
      </c>
      <c r="D1476" s="2">
        <v>45</v>
      </c>
      <c r="E1476" s="2" t="s">
        <v>26</v>
      </c>
      <c r="F1476" s="2" t="s">
        <v>15</v>
      </c>
      <c r="G1476" s="7">
        <v>95.95</v>
      </c>
      <c r="H1476" s="7">
        <v>4456.6499999999996</v>
      </c>
      <c r="I1476" s="2" t="s">
        <v>15</v>
      </c>
      <c r="J1476" s="2" t="s">
        <v>16</v>
      </c>
      <c r="K1476" s="2" t="s">
        <v>24</v>
      </c>
      <c r="L1476" s="7">
        <v>4456.6499999999996</v>
      </c>
      <c r="M1476" s="2" t="str">
        <f>_xlfn.IFS(TelecomData[[#This Row],[TenureMonths]]&lt;=12, "0-1 Year", TelecomData[[#This Row],[TenureMonths]]&lt;=36, "1-3 Years", TelecomData[[#This Row],[TenureMonths]]&gt;36, "3+ Years")</f>
        <v>3+ Years</v>
      </c>
      <c r="N1476" s="2" t="str">
        <f>IF(TelecomData[[#This Row],[CleanedTotalCharges]]&gt;=2500,"High Spend", "Standard Spend")</f>
        <v>High Spend</v>
      </c>
    </row>
    <row r="1477" spans="1:14" x14ac:dyDescent="0.3">
      <c r="A1477" s="1" t="s">
        <v>1501</v>
      </c>
      <c r="B1477" s="2" t="s">
        <v>12</v>
      </c>
      <c r="C1477" s="2" t="s">
        <v>35</v>
      </c>
      <c r="D1477" s="2">
        <v>69</v>
      </c>
      <c r="E1477" s="2" t="s">
        <v>26</v>
      </c>
      <c r="F1477" s="2" t="s">
        <v>16</v>
      </c>
      <c r="G1477" s="7">
        <v>105.4</v>
      </c>
      <c r="H1477" s="7">
        <v>6998.95</v>
      </c>
      <c r="I1477" s="2" t="s">
        <v>15</v>
      </c>
      <c r="J1477" s="2" t="s">
        <v>15</v>
      </c>
      <c r="K1477" s="2" t="s">
        <v>29</v>
      </c>
      <c r="L1477" s="7">
        <v>6998.95</v>
      </c>
      <c r="M1477" s="2" t="str">
        <f>_xlfn.IFS(TelecomData[[#This Row],[TenureMonths]]&lt;=12, "0-1 Year", TelecomData[[#This Row],[TenureMonths]]&lt;=36, "1-3 Years", TelecomData[[#This Row],[TenureMonths]]&gt;36, "3+ Years")</f>
        <v>3+ Years</v>
      </c>
      <c r="N1477" s="2" t="str">
        <f>IF(TelecomData[[#This Row],[CleanedTotalCharges]]&gt;=2500,"High Spend", "Standard Spend")</f>
        <v>High Spend</v>
      </c>
    </row>
    <row r="1478" spans="1:14" x14ac:dyDescent="0.3">
      <c r="A1478" s="1" t="s">
        <v>1502</v>
      </c>
      <c r="B1478" s="2" t="s">
        <v>19</v>
      </c>
      <c r="C1478" s="2" t="s">
        <v>13</v>
      </c>
      <c r="D1478" s="2">
        <v>2</v>
      </c>
      <c r="E1478" s="2" t="s">
        <v>15</v>
      </c>
      <c r="F1478" s="2" t="s">
        <v>36</v>
      </c>
      <c r="G1478" s="7">
        <v>20.25</v>
      </c>
      <c r="H1478" s="7">
        <v>36.799999999999997</v>
      </c>
      <c r="I1478" s="2" t="s">
        <v>15</v>
      </c>
      <c r="J1478" s="2" t="s">
        <v>15</v>
      </c>
      <c r="K1478" s="2" t="s">
        <v>21</v>
      </c>
      <c r="L1478" s="7">
        <v>36.799999999999997</v>
      </c>
      <c r="M1478" s="2" t="str">
        <f>_xlfn.IFS(TelecomData[[#This Row],[TenureMonths]]&lt;=12, "0-1 Year", TelecomData[[#This Row],[TenureMonths]]&lt;=36, "1-3 Years", TelecomData[[#This Row],[TenureMonths]]&gt;36, "3+ Years")</f>
        <v>0-1 Year</v>
      </c>
      <c r="N1478" s="2" t="str">
        <f>IF(TelecomData[[#This Row],[CleanedTotalCharges]]&gt;=2500,"High Spend", "Standard Spend")</f>
        <v>Standard Spend</v>
      </c>
    </row>
    <row r="1479" spans="1:14" x14ac:dyDescent="0.3">
      <c r="A1479" s="1" t="s">
        <v>1503</v>
      </c>
      <c r="B1479" s="2" t="s">
        <v>19</v>
      </c>
      <c r="C1479" s="2" t="s">
        <v>20</v>
      </c>
      <c r="D1479" s="2">
        <v>61</v>
      </c>
      <c r="E1479" s="2" t="s">
        <v>26</v>
      </c>
      <c r="F1479" s="2" t="s">
        <v>15</v>
      </c>
      <c r="G1479" s="7">
        <v>106</v>
      </c>
      <c r="H1479" s="7">
        <v>6547.7</v>
      </c>
      <c r="I1479" s="2" t="s">
        <v>16</v>
      </c>
      <c r="J1479" s="2" t="s">
        <v>16</v>
      </c>
      <c r="K1479" s="2" t="s">
        <v>17</v>
      </c>
      <c r="L1479" s="7">
        <v>6547.7</v>
      </c>
      <c r="M1479" s="2" t="str">
        <f>_xlfn.IFS(TelecomData[[#This Row],[TenureMonths]]&lt;=12, "0-1 Year", TelecomData[[#This Row],[TenureMonths]]&lt;=36, "1-3 Years", TelecomData[[#This Row],[TenureMonths]]&gt;36, "3+ Years")</f>
        <v>3+ Years</v>
      </c>
      <c r="N1479" s="2" t="str">
        <f>IF(TelecomData[[#This Row],[CleanedTotalCharges]]&gt;=2500,"High Spend", "Standard Spend")</f>
        <v>High Spend</v>
      </c>
    </row>
    <row r="1480" spans="1:14" x14ac:dyDescent="0.3">
      <c r="A1480" s="1" t="s">
        <v>1504</v>
      </c>
      <c r="B1480" s="2" t="s">
        <v>19</v>
      </c>
      <c r="C1480" s="2" t="s">
        <v>13</v>
      </c>
      <c r="D1480" s="2">
        <v>41</v>
      </c>
      <c r="E1480" s="2" t="s">
        <v>26</v>
      </c>
      <c r="F1480" s="2" t="s">
        <v>15</v>
      </c>
      <c r="G1480" s="7">
        <v>104.7</v>
      </c>
      <c r="H1480" s="7">
        <v>4346.3999999999996</v>
      </c>
      <c r="I1480" s="2" t="s">
        <v>16</v>
      </c>
      <c r="J1480" s="2" t="s">
        <v>16</v>
      </c>
      <c r="K1480" s="2" t="s">
        <v>17</v>
      </c>
      <c r="L1480" s="7">
        <v>4346.3999999999996</v>
      </c>
      <c r="M1480" s="2" t="str">
        <f>_xlfn.IFS(TelecomData[[#This Row],[TenureMonths]]&lt;=12, "0-1 Year", TelecomData[[#This Row],[TenureMonths]]&lt;=36, "1-3 Years", TelecomData[[#This Row],[TenureMonths]]&gt;36, "3+ Years")</f>
        <v>3+ Years</v>
      </c>
      <c r="N1480" s="2" t="str">
        <f>IF(TelecomData[[#This Row],[CleanedTotalCharges]]&gt;=2500,"High Spend", "Standard Spend")</f>
        <v>High Spend</v>
      </c>
    </row>
    <row r="1481" spans="1:14" x14ac:dyDescent="0.3">
      <c r="A1481" s="1" t="s">
        <v>1505</v>
      </c>
      <c r="B1481" s="2" t="s">
        <v>12</v>
      </c>
      <c r="C1481" s="2" t="s">
        <v>20</v>
      </c>
      <c r="D1481" s="2">
        <v>44</v>
      </c>
      <c r="E1481" s="2" t="s">
        <v>14</v>
      </c>
      <c r="F1481" s="2" t="s">
        <v>15</v>
      </c>
      <c r="G1481" s="7">
        <v>49.05</v>
      </c>
      <c r="H1481" s="7">
        <v>2265</v>
      </c>
      <c r="I1481" s="2" t="s">
        <v>15</v>
      </c>
      <c r="J1481" s="2" t="s">
        <v>16</v>
      </c>
      <c r="K1481" s="2" t="s">
        <v>17</v>
      </c>
      <c r="L1481" s="7">
        <v>2265</v>
      </c>
      <c r="M1481" s="2" t="str">
        <f>_xlfn.IFS(TelecomData[[#This Row],[TenureMonths]]&lt;=12, "0-1 Year", TelecomData[[#This Row],[TenureMonths]]&lt;=36, "1-3 Years", TelecomData[[#This Row],[TenureMonths]]&gt;36, "3+ Years")</f>
        <v>3+ Years</v>
      </c>
      <c r="N1481" s="2" t="str">
        <f>IF(TelecomData[[#This Row],[CleanedTotalCharges]]&gt;=2500,"High Spend", "Standard Spend")</f>
        <v>Standard Spend</v>
      </c>
    </row>
    <row r="1482" spans="1:14" x14ac:dyDescent="0.3">
      <c r="A1482" s="1" t="s">
        <v>1506</v>
      </c>
      <c r="B1482" s="2" t="s">
        <v>19</v>
      </c>
      <c r="C1482" s="2" t="s">
        <v>20</v>
      </c>
      <c r="D1482" s="2">
        <v>39</v>
      </c>
      <c r="E1482" s="2" t="s">
        <v>14</v>
      </c>
      <c r="F1482" s="2" t="s">
        <v>16</v>
      </c>
      <c r="G1482" s="7">
        <v>35.549999999999997</v>
      </c>
      <c r="H1482" s="7">
        <v>1309.1500000000001</v>
      </c>
      <c r="I1482" s="2" t="s">
        <v>15</v>
      </c>
      <c r="J1482" s="2" t="s">
        <v>15</v>
      </c>
      <c r="K1482" s="2" t="s">
        <v>21</v>
      </c>
      <c r="L1482" s="7">
        <v>1309.1500000000001</v>
      </c>
      <c r="M1482" s="2" t="str">
        <f>_xlfn.IFS(TelecomData[[#This Row],[TenureMonths]]&lt;=12, "0-1 Year", TelecomData[[#This Row],[TenureMonths]]&lt;=36, "1-3 Years", TelecomData[[#This Row],[TenureMonths]]&gt;36, "3+ Years")</f>
        <v>3+ Years</v>
      </c>
      <c r="N1482" s="2" t="str">
        <f>IF(TelecomData[[#This Row],[CleanedTotalCharges]]&gt;=2500,"High Spend", "Standard Spend")</f>
        <v>Standard Spend</v>
      </c>
    </row>
    <row r="1483" spans="1:14" x14ac:dyDescent="0.3">
      <c r="A1483" s="1" t="s">
        <v>1507</v>
      </c>
      <c r="B1483" s="2" t="s">
        <v>19</v>
      </c>
      <c r="C1483" s="2" t="s">
        <v>35</v>
      </c>
      <c r="D1483" s="2">
        <v>72</v>
      </c>
      <c r="E1483" s="2" t="s">
        <v>14</v>
      </c>
      <c r="F1483" s="2" t="s">
        <v>16</v>
      </c>
      <c r="G1483" s="7">
        <v>65.099999999999994</v>
      </c>
      <c r="H1483" s="7">
        <v>4754.3</v>
      </c>
      <c r="I1483" s="2" t="s">
        <v>15</v>
      </c>
      <c r="J1483" s="2" t="s">
        <v>16</v>
      </c>
      <c r="K1483" s="2" t="s">
        <v>29</v>
      </c>
      <c r="L1483" s="7">
        <v>4754.3</v>
      </c>
      <c r="M1483" s="2" t="str">
        <f>_xlfn.IFS(TelecomData[[#This Row],[TenureMonths]]&lt;=12, "0-1 Year", TelecomData[[#This Row],[TenureMonths]]&lt;=36, "1-3 Years", TelecomData[[#This Row],[TenureMonths]]&gt;36, "3+ Years")</f>
        <v>3+ Years</v>
      </c>
      <c r="N1483" s="2" t="str">
        <f>IF(TelecomData[[#This Row],[CleanedTotalCharges]]&gt;=2500,"High Spend", "Standard Spend")</f>
        <v>High Spend</v>
      </c>
    </row>
    <row r="1484" spans="1:14" x14ac:dyDescent="0.3">
      <c r="A1484" s="1" t="s">
        <v>1508</v>
      </c>
      <c r="B1484" s="2" t="s">
        <v>12</v>
      </c>
      <c r="C1484" s="2" t="s">
        <v>13</v>
      </c>
      <c r="D1484" s="2">
        <v>13</v>
      </c>
      <c r="E1484" s="2" t="s">
        <v>26</v>
      </c>
      <c r="F1484" s="2" t="s">
        <v>15</v>
      </c>
      <c r="G1484" s="7">
        <v>96.85</v>
      </c>
      <c r="H1484" s="7">
        <v>1235.55</v>
      </c>
      <c r="I1484" s="2" t="s">
        <v>15</v>
      </c>
      <c r="J1484" s="2" t="s">
        <v>16</v>
      </c>
      <c r="K1484" s="2" t="s">
        <v>17</v>
      </c>
      <c r="L1484" s="7">
        <v>1235.55</v>
      </c>
      <c r="M1484" s="2" t="str">
        <f>_xlfn.IFS(TelecomData[[#This Row],[TenureMonths]]&lt;=12, "0-1 Year", TelecomData[[#This Row],[TenureMonths]]&lt;=36, "1-3 Years", TelecomData[[#This Row],[TenureMonths]]&gt;36, "3+ Years")</f>
        <v>1-3 Years</v>
      </c>
      <c r="N1484" s="2" t="str">
        <f>IF(TelecomData[[#This Row],[CleanedTotalCharges]]&gt;=2500,"High Spend", "Standard Spend")</f>
        <v>Standard Spend</v>
      </c>
    </row>
    <row r="1485" spans="1:14" x14ac:dyDescent="0.3">
      <c r="A1485" s="1" t="s">
        <v>1509</v>
      </c>
      <c r="B1485" s="2" t="s">
        <v>12</v>
      </c>
      <c r="C1485" s="2" t="s">
        <v>20</v>
      </c>
      <c r="D1485" s="2">
        <v>51</v>
      </c>
      <c r="E1485" s="2" t="s">
        <v>14</v>
      </c>
      <c r="F1485" s="2" t="s">
        <v>16</v>
      </c>
      <c r="G1485" s="7">
        <v>69.75</v>
      </c>
      <c r="H1485" s="7">
        <v>3562.5</v>
      </c>
      <c r="I1485" s="2" t="s">
        <v>15</v>
      </c>
      <c r="J1485" s="2" t="s">
        <v>16</v>
      </c>
      <c r="K1485" s="2" t="s">
        <v>29</v>
      </c>
      <c r="L1485" s="7">
        <v>3562.5</v>
      </c>
      <c r="M1485" s="2" t="str">
        <f>_xlfn.IFS(TelecomData[[#This Row],[TenureMonths]]&lt;=12, "0-1 Year", TelecomData[[#This Row],[TenureMonths]]&lt;=36, "1-3 Years", TelecomData[[#This Row],[TenureMonths]]&gt;36, "3+ Years")</f>
        <v>3+ Years</v>
      </c>
      <c r="N1485" s="2" t="str">
        <f>IF(TelecomData[[#This Row],[CleanedTotalCharges]]&gt;=2500,"High Spend", "Standard Spend")</f>
        <v>High Spend</v>
      </c>
    </row>
    <row r="1486" spans="1:14" x14ac:dyDescent="0.3">
      <c r="A1486" s="1" t="s">
        <v>1510</v>
      </c>
      <c r="B1486" s="2" t="s">
        <v>12</v>
      </c>
      <c r="C1486" s="2" t="s">
        <v>35</v>
      </c>
      <c r="D1486" s="2">
        <v>71</v>
      </c>
      <c r="E1486" s="2" t="s">
        <v>26</v>
      </c>
      <c r="F1486" s="2" t="s">
        <v>15</v>
      </c>
      <c r="G1486" s="7">
        <v>99.2</v>
      </c>
      <c r="H1486" s="7">
        <v>7213.75</v>
      </c>
      <c r="I1486" s="2" t="s">
        <v>15</v>
      </c>
      <c r="J1486" s="2" t="s">
        <v>16</v>
      </c>
      <c r="K1486" s="2" t="s">
        <v>17</v>
      </c>
      <c r="L1486" s="7">
        <v>7213.75</v>
      </c>
      <c r="M1486" s="2" t="str">
        <f>_xlfn.IFS(TelecomData[[#This Row],[TenureMonths]]&lt;=12, "0-1 Year", TelecomData[[#This Row],[TenureMonths]]&lt;=36, "1-3 Years", TelecomData[[#This Row],[TenureMonths]]&gt;36, "3+ Years")</f>
        <v>3+ Years</v>
      </c>
      <c r="N1486" s="2" t="str">
        <f>IF(TelecomData[[#This Row],[CleanedTotalCharges]]&gt;=2500,"High Spend", "Standard Spend")</f>
        <v>High Spend</v>
      </c>
    </row>
    <row r="1487" spans="1:14" x14ac:dyDescent="0.3">
      <c r="A1487" s="1" t="s">
        <v>1511</v>
      </c>
      <c r="B1487" s="2" t="s">
        <v>19</v>
      </c>
      <c r="C1487" s="2" t="s">
        <v>13</v>
      </c>
      <c r="D1487" s="2">
        <v>22</v>
      </c>
      <c r="E1487" s="2" t="s">
        <v>26</v>
      </c>
      <c r="F1487" s="2" t="s">
        <v>15</v>
      </c>
      <c r="G1487" s="7">
        <v>96.7</v>
      </c>
      <c r="H1487" s="7">
        <v>2082.9499999999998</v>
      </c>
      <c r="I1487" s="2" t="s">
        <v>16</v>
      </c>
      <c r="J1487" s="2" t="s">
        <v>16</v>
      </c>
      <c r="K1487" s="2" t="s">
        <v>17</v>
      </c>
      <c r="L1487" s="7">
        <v>2082.9499999999998</v>
      </c>
      <c r="M1487" s="2" t="str">
        <f>_xlfn.IFS(TelecomData[[#This Row],[TenureMonths]]&lt;=12, "0-1 Year", TelecomData[[#This Row],[TenureMonths]]&lt;=36, "1-3 Years", TelecomData[[#This Row],[TenureMonths]]&gt;36, "3+ Years")</f>
        <v>1-3 Years</v>
      </c>
      <c r="N1487" s="2" t="str">
        <f>IF(TelecomData[[#This Row],[CleanedTotalCharges]]&gt;=2500,"High Spend", "Standard Spend")</f>
        <v>Standard Spend</v>
      </c>
    </row>
    <row r="1488" spans="1:14" x14ac:dyDescent="0.3">
      <c r="A1488" s="1" t="s">
        <v>1512</v>
      </c>
      <c r="B1488" s="2" t="s">
        <v>12</v>
      </c>
      <c r="C1488" s="2" t="s">
        <v>13</v>
      </c>
      <c r="D1488" s="2">
        <v>2</v>
      </c>
      <c r="E1488" s="2" t="s">
        <v>14</v>
      </c>
      <c r="F1488" s="2" t="s">
        <v>16</v>
      </c>
      <c r="G1488" s="7">
        <v>55.05</v>
      </c>
      <c r="H1488" s="7">
        <v>102.75</v>
      </c>
      <c r="I1488" s="2" t="s">
        <v>16</v>
      </c>
      <c r="J1488" s="2" t="s">
        <v>16</v>
      </c>
      <c r="K1488" s="2" t="s">
        <v>29</v>
      </c>
      <c r="L1488" s="7">
        <v>102.75</v>
      </c>
      <c r="M1488" s="2" t="str">
        <f>_xlfn.IFS(TelecomData[[#This Row],[TenureMonths]]&lt;=12, "0-1 Year", TelecomData[[#This Row],[TenureMonths]]&lt;=36, "1-3 Years", TelecomData[[#This Row],[TenureMonths]]&gt;36, "3+ Years")</f>
        <v>0-1 Year</v>
      </c>
      <c r="N1488" s="2" t="str">
        <f>IF(TelecomData[[#This Row],[CleanedTotalCharges]]&gt;=2500,"High Spend", "Standard Spend")</f>
        <v>Standard Spend</v>
      </c>
    </row>
    <row r="1489" spans="1:14" x14ac:dyDescent="0.3">
      <c r="A1489" s="1" t="s">
        <v>1513</v>
      </c>
      <c r="B1489" s="2" t="s">
        <v>12</v>
      </c>
      <c r="C1489" s="2" t="s">
        <v>20</v>
      </c>
      <c r="D1489" s="2">
        <v>56</v>
      </c>
      <c r="E1489" s="2" t="s">
        <v>26</v>
      </c>
      <c r="F1489" s="2" t="s">
        <v>15</v>
      </c>
      <c r="G1489" s="7">
        <v>106.8</v>
      </c>
      <c r="H1489" s="7">
        <v>5914.4</v>
      </c>
      <c r="I1489" s="2" t="s">
        <v>15</v>
      </c>
      <c r="J1489" s="2" t="s">
        <v>16</v>
      </c>
      <c r="K1489" s="2" t="s">
        <v>17</v>
      </c>
      <c r="L1489" s="7">
        <v>5914.4</v>
      </c>
      <c r="M1489" s="2" t="str">
        <f>_xlfn.IFS(TelecomData[[#This Row],[TenureMonths]]&lt;=12, "0-1 Year", TelecomData[[#This Row],[TenureMonths]]&lt;=36, "1-3 Years", TelecomData[[#This Row],[TenureMonths]]&gt;36, "3+ Years")</f>
        <v>3+ Years</v>
      </c>
      <c r="N1489" s="2" t="str">
        <f>IF(TelecomData[[#This Row],[CleanedTotalCharges]]&gt;=2500,"High Spend", "Standard Spend")</f>
        <v>High Spend</v>
      </c>
    </row>
    <row r="1490" spans="1:14" x14ac:dyDescent="0.3">
      <c r="A1490" s="1" t="s">
        <v>1514</v>
      </c>
      <c r="B1490" s="2" t="s">
        <v>19</v>
      </c>
      <c r="C1490" s="2" t="s">
        <v>13</v>
      </c>
      <c r="D1490" s="2">
        <v>1</v>
      </c>
      <c r="E1490" s="2" t="s">
        <v>14</v>
      </c>
      <c r="F1490" s="2" t="s">
        <v>15</v>
      </c>
      <c r="G1490" s="7">
        <v>51.25</v>
      </c>
      <c r="H1490" s="7">
        <v>51.25</v>
      </c>
      <c r="I1490" s="2" t="s">
        <v>15</v>
      </c>
      <c r="J1490" s="2" t="s">
        <v>15</v>
      </c>
      <c r="K1490" s="2" t="s">
        <v>21</v>
      </c>
      <c r="L1490" s="7">
        <v>51.25</v>
      </c>
      <c r="M1490" s="2" t="str">
        <f>_xlfn.IFS(TelecomData[[#This Row],[TenureMonths]]&lt;=12, "0-1 Year", TelecomData[[#This Row],[TenureMonths]]&lt;=36, "1-3 Years", TelecomData[[#This Row],[TenureMonths]]&gt;36, "3+ Years")</f>
        <v>0-1 Year</v>
      </c>
      <c r="N1490" s="2" t="str">
        <f>IF(TelecomData[[#This Row],[CleanedTotalCharges]]&gt;=2500,"High Spend", "Standard Spend")</f>
        <v>Standard Spend</v>
      </c>
    </row>
    <row r="1491" spans="1:14" x14ac:dyDescent="0.3">
      <c r="A1491" s="1" t="s">
        <v>1515</v>
      </c>
      <c r="B1491" s="2" t="s">
        <v>12</v>
      </c>
      <c r="C1491" s="2" t="s">
        <v>20</v>
      </c>
      <c r="D1491" s="2">
        <v>23</v>
      </c>
      <c r="E1491" s="2" t="s">
        <v>14</v>
      </c>
      <c r="F1491" s="2" t="s">
        <v>16</v>
      </c>
      <c r="G1491" s="7">
        <v>57.75</v>
      </c>
      <c r="H1491" s="7">
        <v>1282.8499999999999</v>
      </c>
      <c r="I1491" s="2" t="s">
        <v>15</v>
      </c>
      <c r="J1491" s="2" t="s">
        <v>16</v>
      </c>
      <c r="K1491" s="2" t="s">
        <v>21</v>
      </c>
      <c r="L1491" s="7">
        <v>1282.8499999999999</v>
      </c>
      <c r="M1491" s="2" t="str">
        <f>_xlfn.IFS(TelecomData[[#This Row],[TenureMonths]]&lt;=12, "0-1 Year", TelecomData[[#This Row],[TenureMonths]]&lt;=36, "1-3 Years", TelecomData[[#This Row],[TenureMonths]]&gt;36, "3+ Years")</f>
        <v>1-3 Years</v>
      </c>
      <c r="N1491" s="2" t="str">
        <f>IF(TelecomData[[#This Row],[CleanedTotalCharges]]&gt;=2500,"High Spend", "Standard Spend")</f>
        <v>Standard Spend</v>
      </c>
    </row>
    <row r="1492" spans="1:14" x14ac:dyDescent="0.3">
      <c r="A1492" s="1" t="s">
        <v>1516</v>
      </c>
      <c r="B1492" s="2" t="s">
        <v>12</v>
      </c>
      <c r="C1492" s="2" t="s">
        <v>20</v>
      </c>
      <c r="D1492" s="2">
        <v>66</v>
      </c>
      <c r="E1492" s="2" t="s">
        <v>14</v>
      </c>
      <c r="F1492" s="2" t="s">
        <v>15</v>
      </c>
      <c r="G1492" s="7">
        <v>70.849999999999994</v>
      </c>
      <c r="H1492" s="7">
        <v>4738.8500000000004</v>
      </c>
      <c r="I1492" s="2" t="s">
        <v>15</v>
      </c>
      <c r="J1492" s="2" t="s">
        <v>16</v>
      </c>
      <c r="K1492" s="2" t="s">
        <v>24</v>
      </c>
      <c r="L1492" s="7">
        <v>4738.8500000000004</v>
      </c>
      <c r="M1492" s="2" t="str">
        <f>_xlfn.IFS(TelecomData[[#This Row],[TenureMonths]]&lt;=12, "0-1 Year", TelecomData[[#This Row],[TenureMonths]]&lt;=36, "1-3 Years", TelecomData[[#This Row],[TenureMonths]]&gt;36, "3+ Years")</f>
        <v>3+ Years</v>
      </c>
      <c r="N1492" s="2" t="str">
        <f>IF(TelecomData[[#This Row],[CleanedTotalCharges]]&gt;=2500,"High Spend", "Standard Spend")</f>
        <v>High Spend</v>
      </c>
    </row>
    <row r="1493" spans="1:14" x14ac:dyDescent="0.3">
      <c r="A1493" s="1" t="s">
        <v>1517</v>
      </c>
      <c r="B1493" s="2" t="s">
        <v>12</v>
      </c>
      <c r="C1493" s="2" t="s">
        <v>13</v>
      </c>
      <c r="D1493" s="2">
        <v>1</v>
      </c>
      <c r="E1493" s="2" t="s">
        <v>15</v>
      </c>
      <c r="F1493" s="2" t="s">
        <v>36</v>
      </c>
      <c r="G1493" s="7">
        <v>19.55</v>
      </c>
      <c r="H1493" s="7">
        <v>19.55</v>
      </c>
      <c r="I1493" s="2" t="s">
        <v>15</v>
      </c>
      <c r="J1493" s="2" t="s">
        <v>15</v>
      </c>
      <c r="K1493" s="2" t="s">
        <v>21</v>
      </c>
      <c r="L1493" s="7">
        <v>19.55</v>
      </c>
      <c r="M1493" s="2" t="str">
        <f>_xlfn.IFS(TelecomData[[#This Row],[TenureMonths]]&lt;=12, "0-1 Year", TelecomData[[#This Row],[TenureMonths]]&lt;=36, "1-3 Years", TelecomData[[#This Row],[TenureMonths]]&gt;36, "3+ Years")</f>
        <v>0-1 Year</v>
      </c>
      <c r="N1493" s="2" t="str">
        <f>IF(TelecomData[[#This Row],[CleanedTotalCharges]]&gt;=2500,"High Spend", "Standard Spend")</f>
        <v>Standard Spend</v>
      </c>
    </row>
    <row r="1494" spans="1:14" x14ac:dyDescent="0.3">
      <c r="A1494" s="1" t="s">
        <v>1518</v>
      </c>
      <c r="B1494" s="2" t="s">
        <v>19</v>
      </c>
      <c r="C1494" s="2" t="s">
        <v>13</v>
      </c>
      <c r="D1494" s="2">
        <v>19</v>
      </c>
      <c r="E1494" s="2" t="s">
        <v>26</v>
      </c>
      <c r="F1494" s="2" t="s">
        <v>15</v>
      </c>
      <c r="G1494" s="7">
        <v>88.2</v>
      </c>
      <c r="H1494" s="7">
        <v>1775.8</v>
      </c>
      <c r="I1494" s="2" t="s">
        <v>16</v>
      </c>
      <c r="J1494" s="2" t="s">
        <v>16</v>
      </c>
      <c r="K1494" s="2" t="s">
        <v>17</v>
      </c>
      <c r="L1494" s="7">
        <v>1775.8</v>
      </c>
      <c r="M1494" s="2" t="str">
        <f>_xlfn.IFS(TelecomData[[#This Row],[TenureMonths]]&lt;=12, "0-1 Year", TelecomData[[#This Row],[TenureMonths]]&lt;=36, "1-3 Years", TelecomData[[#This Row],[TenureMonths]]&gt;36, "3+ Years")</f>
        <v>1-3 Years</v>
      </c>
      <c r="N1494" s="2" t="str">
        <f>IF(TelecomData[[#This Row],[CleanedTotalCharges]]&gt;=2500,"High Spend", "Standard Spend")</f>
        <v>Standard Spend</v>
      </c>
    </row>
    <row r="1495" spans="1:14" x14ac:dyDescent="0.3">
      <c r="A1495" s="1" t="s">
        <v>1519</v>
      </c>
      <c r="B1495" s="2" t="s">
        <v>19</v>
      </c>
      <c r="C1495" s="2" t="s">
        <v>13</v>
      </c>
      <c r="D1495" s="2">
        <v>11</v>
      </c>
      <c r="E1495" s="2" t="s">
        <v>26</v>
      </c>
      <c r="F1495" s="2" t="s">
        <v>15</v>
      </c>
      <c r="G1495" s="7">
        <v>79.5</v>
      </c>
      <c r="H1495" s="7">
        <v>795.65</v>
      </c>
      <c r="I1495" s="2" t="s">
        <v>15</v>
      </c>
      <c r="J1495" s="2" t="s">
        <v>16</v>
      </c>
      <c r="K1495" s="2" t="s">
        <v>24</v>
      </c>
      <c r="L1495" s="7">
        <v>795.65</v>
      </c>
      <c r="M1495" s="2" t="str">
        <f>_xlfn.IFS(TelecomData[[#This Row],[TenureMonths]]&lt;=12, "0-1 Year", TelecomData[[#This Row],[TenureMonths]]&lt;=36, "1-3 Years", TelecomData[[#This Row],[TenureMonths]]&gt;36, "3+ Years")</f>
        <v>0-1 Year</v>
      </c>
      <c r="N1495" s="2" t="str">
        <f>IF(TelecomData[[#This Row],[CleanedTotalCharges]]&gt;=2500,"High Spend", "Standard Spend")</f>
        <v>Standard Spend</v>
      </c>
    </row>
    <row r="1496" spans="1:14" x14ac:dyDescent="0.3">
      <c r="A1496" s="1" t="s">
        <v>1520</v>
      </c>
      <c r="B1496" s="2" t="s">
        <v>12</v>
      </c>
      <c r="C1496" s="2" t="s">
        <v>20</v>
      </c>
      <c r="D1496" s="2">
        <v>8</v>
      </c>
      <c r="E1496" s="2" t="s">
        <v>15</v>
      </c>
      <c r="F1496" s="2" t="s">
        <v>36</v>
      </c>
      <c r="G1496" s="7">
        <v>19.75</v>
      </c>
      <c r="H1496" s="7">
        <v>145</v>
      </c>
      <c r="I1496" s="2" t="s">
        <v>16</v>
      </c>
      <c r="J1496" s="2" t="s">
        <v>16</v>
      </c>
      <c r="K1496" s="2" t="s">
        <v>21</v>
      </c>
      <c r="L1496" s="7">
        <v>145</v>
      </c>
      <c r="M1496" s="2" t="str">
        <f>_xlfn.IFS(TelecomData[[#This Row],[TenureMonths]]&lt;=12, "0-1 Year", TelecomData[[#This Row],[TenureMonths]]&lt;=36, "1-3 Years", TelecomData[[#This Row],[TenureMonths]]&gt;36, "3+ Years")</f>
        <v>0-1 Year</v>
      </c>
      <c r="N1496" s="2" t="str">
        <f>IF(TelecomData[[#This Row],[CleanedTotalCharges]]&gt;=2500,"High Spend", "Standard Spend")</f>
        <v>Standard Spend</v>
      </c>
    </row>
    <row r="1497" spans="1:14" x14ac:dyDescent="0.3">
      <c r="A1497" s="1" t="s">
        <v>1521</v>
      </c>
      <c r="B1497" s="2" t="s">
        <v>12</v>
      </c>
      <c r="C1497" s="2" t="s">
        <v>13</v>
      </c>
      <c r="D1497" s="2">
        <v>52</v>
      </c>
      <c r="E1497" s="2" t="s">
        <v>26</v>
      </c>
      <c r="F1497" s="2" t="s">
        <v>15</v>
      </c>
      <c r="G1497" s="7">
        <v>98.15</v>
      </c>
      <c r="H1497" s="7">
        <v>4993.3999999999996</v>
      </c>
      <c r="I1497" s="2" t="s">
        <v>15</v>
      </c>
      <c r="J1497" s="2" t="s">
        <v>15</v>
      </c>
      <c r="K1497" s="2" t="s">
        <v>24</v>
      </c>
      <c r="L1497" s="7">
        <v>4993.3999999999996</v>
      </c>
      <c r="M1497" s="2" t="str">
        <f>_xlfn.IFS(TelecomData[[#This Row],[TenureMonths]]&lt;=12, "0-1 Year", TelecomData[[#This Row],[TenureMonths]]&lt;=36, "1-3 Years", TelecomData[[#This Row],[TenureMonths]]&gt;36, "3+ Years")</f>
        <v>3+ Years</v>
      </c>
      <c r="N1497" s="2" t="str">
        <f>IF(TelecomData[[#This Row],[CleanedTotalCharges]]&gt;=2500,"High Spend", "Standard Spend")</f>
        <v>High Spend</v>
      </c>
    </row>
    <row r="1498" spans="1:14" x14ac:dyDescent="0.3">
      <c r="A1498" s="1" t="s">
        <v>1522</v>
      </c>
      <c r="B1498" s="2" t="s">
        <v>19</v>
      </c>
      <c r="C1498" s="2" t="s">
        <v>13</v>
      </c>
      <c r="D1498" s="2">
        <v>3</v>
      </c>
      <c r="E1498" s="2" t="s">
        <v>15</v>
      </c>
      <c r="F1498" s="2" t="s">
        <v>36</v>
      </c>
      <c r="G1498" s="7">
        <v>20.25</v>
      </c>
      <c r="H1498" s="7">
        <v>61.45</v>
      </c>
      <c r="I1498" s="2" t="s">
        <v>15</v>
      </c>
      <c r="J1498" s="2" t="s">
        <v>16</v>
      </c>
      <c r="K1498" s="2" t="s">
        <v>17</v>
      </c>
      <c r="L1498" s="7">
        <v>61.45</v>
      </c>
      <c r="M1498" s="2" t="str">
        <f>_xlfn.IFS(TelecomData[[#This Row],[TenureMonths]]&lt;=12, "0-1 Year", TelecomData[[#This Row],[TenureMonths]]&lt;=36, "1-3 Years", TelecomData[[#This Row],[TenureMonths]]&gt;36, "3+ Years")</f>
        <v>0-1 Year</v>
      </c>
      <c r="N1498" s="2" t="str">
        <f>IF(TelecomData[[#This Row],[CleanedTotalCharges]]&gt;=2500,"High Spend", "Standard Spend")</f>
        <v>Standard Spend</v>
      </c>
    </row>
    <row r="1499" spans="1:14" x14ac:dyDescent="0.3">
      <c r="A1499" s="1" t="s">
        <v>1523</v>
      </c>
      <c r="B1499" s="2" t="s">
        <v>12</v>
      </c>
      <c r="C1499" s="2" t="s">
        <v>13</v>
      </c>
      <c r="D1499" s="2">
        <v>51</v>
      </c>
      <c r="E1499" s="2" t="s">
        <v>26</v>
      </c>
      <c r="F1499" s="2" t="s">
        <v>15</v>
      </c>
      <c r="G1499" s="7">
        <v>79.150000000000006</v>
      </c>
      <c r="H1499" s="7">
        <v>4018.55</v>
      </c>
      <c r="I1499" s="2" t="s">
        <v>15</v>
      </c>
      <c r="J1499" s="2" t="s">
        <v>16</v>
      </c>
      <c r="K1499" s="2" t="s">
        <v>24</v>
      </c>
      <c r="L1499" s="7">
        <v>4018.55</v>
      </c>
      <c r="M1499" s="2" t="str">
        <f>_xlfn.IFS(TelecomData[[#This Row],[TenureMonths]]&lt;=12, "0-1 Year", TelecomData[[#This Row],[TenureMonths]]&lt;=36, "1-3 Years", TelecomData[[#This Row],[TenureMonths]]&gt;36, "3+ Years")</f>
        <v>3+ Years</v>
      </c>
      <c r="N1499" s="2" t="str">
        <f>IF(TelecomData[[#This Row],[CleanedTotalCharges]]&gt;=2500,"High Spend", "Standard Spend")</f>
        <v>High Spend</v>
      </c>
    </row>
    <row r="1500" spans="1:14" x14ac:dyDescent="0.3">
      <c r="A1500" s="1" t="s">
        <v>1524</v>
      </c>
      <c r="B1500" s="2" t="s">
        <v>19</v>
      </c>
      <c r="C1500" s="2" t="s">
        <v>13</v>
      </c>
      <c r="D1500" s="2">
        <v>15</v>
      </c>
      <c r="E1500" s="2" t="s">
        <v>26</v>
      </c>
      <c r="F1500" s="2" t="s">
        <v>15</v>
      </c>
      <c r="G1500" s="7">
        <v>75.650000000000006</v>
      </c>
      <c r="H1500" s="7">
        <v>1146.6500000000001</v>
      </c>
      <c r="I1500" s="2" t="s">
        <v>16</v>
      </c>
      <c r="J1500" s="2" t="s">
        <v>15</v>
      </c>
      <c r="K1500" s="2" t="s">
        <v>17</v>
      </c>
      <c r="L1500" s="7">
        <v>1146.6500000000001</v>
      </c>
      <c r="M1500" s="2" t="str">
        <f>_xlfn.IFS(TelecomData[[#This Row],[TenureMonths]]&lt;=12, "0-1 Year", TelecomData[[#This Row],[TenureMonths]]&lt;=36, "1-3 Years", TelecomData[[#This Row],[TenureMonths]]&gt;36, "3+ Years")</f>
        <v>1-3 Years</v>
      </c>
      <c r="N1500" s="2" t="str">
        <f>IF(TelecomData[[#This Row],[CleanedTotalCharges]]&gt;=2500,"High Spend", "Standard Spend")</f>
        <v>Standard Spend</v>
      </c>
    </row>
    <row r="1501" spans="1:14" x14ac:dyDescent="0.3">
      <c r="A1501" s="1" t="s">
        <v>1525</v>
      </c>
      <c r="B1501" s="2" t="s">
        <v>19</v>
      </c>
      <c r="C1501" s="2" t="s">
        <v>13</v>
      </c>
      <c r="D1501" s="2">
        <v>64</v>
      </c>
      <c r="E1501" s="2" t="s">
        <v>26</v>
      </c>
      <c r="F1501" s="2" t="s">
        <v>15</v>
      </c>
      <c r="G1501" s="7">
        <v>94.25</v>
      </c>
      <c r="H1501" s="7">
        <v>6081.4</v>
      </c>
      <c r="I1501" s="2" t="s">
        <v>15</v>
      </c>
      <c r="J1501" s="2" t="s">
        <v>16</v>
      </c>
      <c r="K1501" s="2" t="s">
        <v>17</v>
      </c>
      <c r="L1501" s="7">
        <v>6081.4</v>
      </c>
      <c r="M1501" s="2" t="str">
        <f>_xlfn.IFS(TelecomData[[#This Row],[TenureMonths]]&lt;=12, "0-1 Year", TelecomData[[#This Row],[TenureMonths]]&lt;=36, "1-3 Years", TelecomData[[#This Row],[TenureMonths]]&gt;36, "3+ Years")</f>
        <v>3+ Years</v>
      </c>
      <c r="N1501" s="2" t="str">
        <f>IF(TelecomData[[#This Row],[CleanedTotalCharges]]&gt;=2500,"High Spend", "Standard Spend")</f>
        <v>High Spend</v>
      </c>
    </row>
    <row r="1502" spans="1:14" x14ac:dyDescent="0.3">
      <c r="A1502" s="1" t="s">
        <v>1526</v>
      </c>
      <c r="B1502" s="2" t="s">
        <v>12</v>
      </c>
      <c r="C1502" s="2" t="s">
        <v>13</v>
      </c>
      <c r="D1502" s="2">
        <v>37</v>
      </c>
      <c r="E1502" s="2" t="s">
        <v>14</v>
      </c>
      <c r="F1502" s="2" t="s">
        <v>15</v>
      </c>
      <c r="G1502" s="7">
        <v>40.200000000000003</v>
      </c>
      <c r="H1502" s="7">
        <v>1478.85</v>
      </c>
      <c r="I1502" s="2" t="s">
        <v>15</v>
      </c>
      <c r="J1502" s="2" t="s">
        <v>16</v>
      </c>
      <c r="K1502" s="2" t="s">
        <v>29</v>
      </c>
      <c r="L1502" s="7">
        <v>1478.85</v>
      </c>
      <c r="M1502" s="2" t="str">
        <f>_xlfn.IFS(TelecomData[[#This Row],[TenureMonths]]&lt;=12, "0-1 Year", TelecomData[[#This Row],[TenureMonths]]&lt;=36, "1-3 Years", TelecomData[[#This Row],[TenureMonths]]&gt;36, "3+ Years")</f>
        <v>3+ Years</v>
      </c>
      <c r="N1502" s="2" t="str">
        <f>IF(TelecomData[[#This Row],[CleanedTotalCharges]]&gt;=2500,"High Spend", "Standard Spend")</f>
        <v>Standard Spend</v>
      </c>
    </row>
    <row r="1503" spans="1:14" x14ac:dyDescent="0.3">
      <c r="A1503" s="1" t="s">
        <v>1527</v>
      </c>
      <c r="B1503" s="2" t="s">
        <v>19</v>
      </c>
      <c r="C1503" s="2" t="s">
        <v>35</v>
      </c>
      <c r="D1503" s="2">
        <v>13</v>
      </c>
      <c r="E1503" s="2" t="s">
        <v>15</v>
      </c>
      <c r="F1503" s="2" t="s">
        <v>36</v>
      </c>
      <c r="G1503" s="7">
        <v>19.95</v>
      </c>
      <c r="H1503" s="7">
        <v>243.65</v>
      </c>
      <c r="I1503" s="2" t="s">
        <v>15</v>
      </c>
      <c r="J1503" s="2" t="s">
        <v>15</v>
      </c>
      <c r="K1503" s="2" t="s">
        <v>21</v>
      </c>
      <c r="L1503" s="7">
        <v>243.65</v>
      </c>
      <c r="M1503" s="2" t="str">
        <f>_xlfn.IFS(TelecomData[[#This Row],[TenureMonths]]&lt;=12, "0-1 Year", TelecomData[[#This Row],[TenureMonths]]&lt;=36, "1-3 Years", TelecomData[[#This Row],[TenureMonths]]&gt;36, "3+ Years")</f>
        <v>1-3 Years</v>
      </c>
      <c r="N1503" s="2" t="str">
        <f>IF(TelecomData[[#This Row],[CleanedTotalCharges]]&gt;=2500,"High Spend", "Standard Spend")</f>
        <v>Standard Spend</v>
      </c>
    </row>
    <row r="1504" spans="1:14" x14ac:dyDescent="0.3">
      <c r="A1504" s="1" t="s">
        <v>1528</v>
      </c>
      <c r="B1504" s="2" t="s">
        <v>19</v>
      </c>
      <c r="C1504" s="2" t="s">
        <v>20</v>
      </c>
      <c r="D1504" s="2">
        <v>49</v>
      </c>
      <c r="E1504" s="2" t="s">
        <v>14</v>
      </c>
      <c r="F1504" s="2" t="s">
        <v>15</v>
      </c>
      <c r="G1504" s="7">
        <v>55.35</v>
      </c>
      <c r="H1504" s="7">
        <v>2633.95</v>
      </c>
      <c r="I1504" s="2" t="s">
        <v>15</v>
      </c>
      <c r="J1504" s="2" t="s">
        <v>16</v>
      </c>
      <c r="K1504" s="2" t="s">
        <v>17</v>
      </c>
      <c r="L1504" s="7">
        <v>2633.95</v>
      </c>
      <c r="M1504" s="2" t="str">
        <f>_xlfn.IFS(TelecomData[[#This Row],[TenureMonths]]&lt;=12, "0-1 Year", TelecomData[[#This Row],[TenureMonths]]&lt;=36, "1-3 Years", TelecomData[[#This Row],[TenureMonths]]&gt;36, "3+ Years")</f>
        <v>3+ Years</v>
      </c>
      <c r="N1504" s="2" t="str">
        <f>IF(TelecomData[[#This Row],[CleanedTotalCharges]]&gt;=2500,"High Spend", "Standard Spend")</f>
        <v>High Spend</v>
      </c>
    </row>
    <row r="1505" spans="1:14" x14ac:dyDescent="0.3">
      <c r="A1505" s="1" t="s">
        <v>1529</v>
      </c>
      <c r="B1505" s="2" t="s">
        <v>12</v>
      </c>
      <c r="C1505" s="2" t="s">
        <v>20</v>
      </c>
      <c r="D1505" s="2">
        <v>45</v>
      </c>
      <c r="E1505" s="2" t="s">
        <v>26</v>
      </c>
      <c r="F1505" s="2" t="s">
        <v>15</v>
      </c>
      <c r="G1505" s="7">
        <v>102.15</v>
      </c>
      <c r="H1505" s="7">
        <v>4735.3500000000004</v>
      </c>
      <c r="I1505" s="2" t="s">
        <v>15</v>
      </c>
      <c r="J1505" s="2" t="s">
        <v>16</v>
      </c>
      <c r="K1505" s="2" t="s">
        <v>24</v>
      </c>
      <c r="L1505" s="7">
        <v>4735.3500000000004</v>
      </c>
      <c r="M1505" s="2" t="str">
        <f>_xlfn.IFS(TelecomData[[#This Row],[TenureMonths]]&lt;=12, "0-1 Year", TelecomData[[#This Row],[TenureMonths]]&lt;=36, "1-3 Years", TelecomData[[#This Row],[TenureMonths]]&gt;36, "3+ Years")</f>
        <v>3+ Years</v>
      </c>
      <c r="N1505" s="2" t="str">
        <f>IF(TelecomData[[#This Row],[CleanedTotalCharges]]&gt;=2500,"High Spend", "Standard Spend")</f>
        <v>High Spend</v>
      </c>
    </row>
    <row r="1506" spans="1:14" x14ac:dyDescent="0.3">
      <c r="A1506" s="1" t="s">
        <v>1530</v>
      </c>
      <c r="B1506" s="2" t="s">
        <v>12</v>
      </c>
      <c r="C1506" s="2" t="s">
        <v>13</v>
      </c>
      <c r="D1506" s="2">
        <v>18</v>
      </c>
      <c r="E1506" s="2" t="s">
        <v>26</v>
      </c>
      <c r="F1506" s="2" t="s">
        <v>15</v>
      </c>
      <c r="G1506" s="7">
        <v>71.099999999999994</v>
      </c>
      <c r="H1506" s="7">
        <v>1247.75</v>
      </c>
      <c r="I1506" s="2" t="s">
        <v>15</v>
      </c>
      <c r="J1506" s="2" t="s">
        <v>16</v>
      </c>
      <c r="K1506" s="2" t="s">
        <v>17</v>
      </c>
      <c r="L1506" s="7">
        <v>1247.75</v>
      </c>
      <c r="M1506" s="2" t="str">
        <f>_xlfn.IFS(TelecomData[[#This Row],[TenureMonths]]&lt;=12, "0-1 Year", TelecomData[[#This Row],[TenureMonths]]&lt;=36, "1-3 Years", TelecomData[[#This Row],[TenureMonths]]&gt;36, "3+ Years")</f>
        <v>1-3 Years</v>
      </c>
      <c r="N1506" s="2" t="str">
        <f>IF(TelecomData[[#This Row],[CleanedTotalCharges]]&gt;=2500,"High Spend", "Standard Spend")</f>
        <v>Standard Spend</v>
      </c>
    </row>
    <row r="1507" spans="1:14" x14ac:dyDescent="0.3">
      <c r="A1507" s="1" t="s">
        <v>1531</v>
      </c>
      <c r="B1507" s="2" t="s">
        <v>19</v>
      </c>
      <c r="C1507" s="2" t="s">
        <v>13</v>
      </c>
      <c r="D1507" s="2">
        <v>1</v>
      </c>
      <c r="E1507" s="2" t="s">
        <v>26</v>
      </c>
      <c r="F1507" s="2" t="s">
        <v>15</v>
      </c>
      <c r="G1507" s="7">
        <v>74.7</v>
      </c>
      <c r="H1507" s="7">
        <v>74.7</v>
      </c>
      <c r="I1507" s="2" t="s">
        <v>16</v>
      </c>
      <c r="J1507" s="2" t="s">
        <v>16</v>
      </c>
      <c r="K1507" s="2" t="s">
        <v>17</v>
      </c>
      <c r="L1507" s="7">
        <v>74.7</v>
      </c>
      <c r="M1507" s="2" t="str">
        <f>_xlfn.IFS(TelecomData[[#This Row],[TenureMonths]]&lt;=12, "0-1 Year", TelecomData[[#This Row],[TenureMonths]]&lt;=36, "1-3 Years", TelecomData[[#This Row],[TenureMonths]]&gt;36, "3+ Years")</f>
        <v>0-1 Year</v>
      </c>
      <c r="N1507" s="2" t="str">
        <f>IF(TelecomData[[#This Row],[CleanedTotalCharges]]&gt;=2500,"High Spend", "Standard Spend")</f>
        <v>Standard Spend</v>
      </c>
    </row>
    <row r="1508" spans="1:14" x14ac:dyDescent="0.3">
      <c r="A1508" s="1" t="s">
        <v>1532</v>
      </c>
      <c r="B1508" s="2" t="s">
        <v>19</v>
      </c>
      <c r="C1508" s="2" t="s">
        <v>35</v>
      </c>
      <c r="D1508" s="2">
        <v>68</v>
      </c>
      <c r="E1508" s="2" t="s">
        <v>14</v>
      </c>
      <c r="F1508" s="2" t="s">
        <v>15</v>
      </c>
      <c r="G1508" s="7">
        <v>54.1</v>
      </c>
      <c r="H1508" s="7">
        <v>3794.5</v>
      </c>
      <c r="I1508" s="2" t="s">
        <v>15</v>
      </c>
      <c r="J1508" s="2" t="s">
        <v>16</v>
      </c>
      <c r="K1508" s="2" t="s">
        <v>24</v>
      </c>
      <c r="L1508" s="7">
        <v>3794.5</v>
      </c>
      <c r="M1508" s="2" t="str">
        <f>_xlfn.IFS(TelecomData[[#This Row],[TenureMonths]]&lt;=12, "0-1 Year", TelecomData[[#This Row],[TenureMonths]]&lt;=36, "1-3 Years", TelecomData[[#This Row],[TenureMonths]]&gt;36, "3+ Years")</f>
        <v>3+ Years</v>
      </c>
      <c r="N1508" s="2" t="str">
        <f>IF(TelecomData[[#This Row],[CleanedTotalCharges]]&gt;=2500,"High Spend", "Standard Spend")</f>
        <v>High Spend</v>
      </c>
    </row>
    <row r="1509" spans="1:14" x14ac:dyDescent="0.3">
      <c r="A1509" s="1" t="s">
        <v>1533</v>
      </c>
      <c r="B1509" s="2" t="s">
        <v>19</v>
      </c>
      <c r="C1509" s="2" t="s">
        <v>35</v>
      </c>
      <c r="D1509" s="2">
        <v>54</v>
      </c>
      <c r="E1509" s="2" t="s">
        <v>15</v>
      </c>
      <c r="F1509" s="2" t="s">
        <v>36</v>
      </c>
      <c r="G1509" s="7">
        <v>19.649999999999999</v>
      </c>
      <c r="H1509" s="7">
        <v>1008.7</v>
      </c>
      <c r="I1509" s="2" t="s">
        <v>15</v>
      </c>
      <c r="J1509" s="2" t="s">
        <v>15</v>
      </c>
      <c r="K1509" s="2" t="s">
        <v>29</v>
      </c>
      <c r="L1509" s="7">
        <v>1008.7</v>
      </c>
      <c r="M1509" s="2" t="str">
        <f>_xlfn.IFS(TelecomData[[#This Row],[TenureMonths]]&lt;=12, "0-1 Year", TelecomData[[#This Row],[TenureMonths]]&lt;=36, "1-3 Years", TelecomData[[#This Row],[TenureMonths]]&gt;36, "3+ Years")</f>
        <v>3+ Years</v>
      </c>
      <c r="N1509" s="2" t="str">
        <f>IF(TelecomData[[#This Row],[CleanedTotalCharges]]&gt;=2500,"High Spend", "Standard Spend")</f>
        <v>Standard Spend</v>
      </c>
    </row>
    <row r="1510" spans="1:14" x14ac:dyDescent="0.3">
      <c r="A1510" s="1" t="s">
        <v>1534</v>
      </c>
      <c r="B1510" s="2" t="s">
        <v>12</v>
      </c>
      <c r="C1510" s="2" t="s">
        <v>13</v>
      </c>
      <c r="D1510" s="2">
        <v>23</v>
      </c>
      <c r="E1510" s="2" t="s">
        <v>26</v>
      </c>
      <c r="F1510" s="2" t="s">
        <v>15</v>
      </c>
      <c r="G1510" s="7">
        <v>88.45</v>
      </c>
      <c r="H1510" s="7">
        <v>2130.5500000000002</v>
      </c>
      <c r="I1510" s="2" t="s">
        <v>15</v>
      </c>
      <c r="J1510" s="2" t="s">
        <v>16</v>
      </c>
      <c r="K1510" s="2" t="s">
        <v>24</v>
      </c>
      <c r="L1510" s="7">
        <v>2130.5500000000002</v>
      </c>
      <c r="M1510" s="2" t="str">
        <f>_xlfn.IFS(TelecomData[[#This Row],[TenureMonths]]&lt;=12, "0-1 Year", TelecomData[[#This Row],[TenureMonths]]&lt;=36, "1-3 Years", TelecomData[[#This Row],[TenureMonths]]&gt;36, "3+ Years")</f>
        <v>1-3 Years</v>
      </c>
      <c r="N1510" s="2" t="str">
        <f>IF(TelecomData[[#This Row],[CleanedTotalCharges]]&gt;=2500,"High Spend", "Standard Spend")</f>
        <v>Standard Spend</v>
      </c>
    </row>
    <row r="1511" spans="1:14" x14ac:dyDescent="0.3">
      <c r="A1511" s="1" t="s">
        <v>1535</v>
      </c>
      <c r="B1511" s="2" t="s">
        <v>19</v>
      </c>
      <c r="C1511" s="2" t="s">
        <v>13</v>
      </c>
      <c r="D1511" s="2">
        <v>17</v>
      </c>
      <c r="E1511" s="2" t="s">
        <v>26</v>
      </c>
      <c r="F1511" s="2" t="s">
        <v>15</v>
      </c>
      <c r="G1511" s="7">
        <v>76.650000000000006</v>
      </c>
      <c r="H1511" s="7">
        <v>1313.55</v>
      </c>
      <c r="I1511" s="2" t="s">
        <v>16</v>
      </c>
      <c r="J1511" s="2" t="s">
        <v>16</v>
      </c>
      <c r="K1511" s="2" t="s">
        <v>17</v>
      </c>
      <c r="L1511" s="7">
        <v>1313.55</v>
      </c>
      <c r="M1511" s="2" t="str">
        <f>_xlfn.IFS(TelecomData[[#This Row],[TenureMonths]]&lt;=12, "0-1 Year", TelecomData[[#This Row],[TenureMonths]]&lt;=36, "1-3 Years", TelecomData[[#This Row],[TenureMonths]]&gt;36, "3+ Years")</f>
        <v>1-3 Years</v>
      </c>
      <c r="N1511" s="2" t="str">
        <f>IF(TelecomData[[#This Row],[CleanedTotalCharges]]&gt;=2500,"High Spend", "Standard Spend")</f>
        <v>Standard Spend</v>
      </c>
    </row>
    <row r="1512" spans="1:14" x14ac:dyDescent="0.3">
      <c r="A1512" s="1" t="s">
        <v>1536</v>
      </c>
      <c r="B1512" s="2" t="s">
        <v>19</v>
      </c>
      <c r="C1512" s="2" t="s">
        <v>35</v>
      </c>
      <c r="D1512" s="2">
        <v>71</v>
      </c>
      <c r="E1512" s="2" t="s">
        <v>14</v>
      </c>
      <c r="F1512" s="2" t="s">
        <v>16</v>
      </c>
      <c r="G1512" s="7">
        <v>80.400000000000006</v>
      </c>
      <c r="H1512" s="7">
        <v>5727.15</v>
      </c>
      <c r="I1512" s="2" t="s">
        <v>15</v>
      </c>
      <c r="J1512" s="2" t="s">
        <v>15</v>
      </c>
      <c r="K1512" s="2" t="s">
        <v>29</v>
      </c>
      <c r="L1512" s="7">
        <v>5727.15</v>
      </c>
      <c r="M1512" s="2" t="str">
        <f>_xlfn.IFS(TelecomData[[#This Row],[TenureMonths]]&lt;=12, "0-1 Year", TelecomData[[#This Row],[TenureMonths]]&lt;=36, "1-3 Years", TelecomData[[#This Row],[TenureMonths]]&gt;36, "3+ Years")</f>
        <v>3+ Years</v>
      </c>
      <c r="N1512" s="2" t="str">
        <f>IF(TelecomData[[#This Row],[CleanedTotalCharges]]&gt;=2500,"High Spend", "Standard Spend")</f>
        <v>High Spend</v>
      </c>
    </row>
    <row r="1513" spans="1:14" x14ac:dyDescent="0.3">
      <c r="A1513" s="1" t="s">
        <v>1537</v>
      </c>
      <c r="B1513" s="2" t="s">
        <v>12</v>
      </c>
      <c r="C1513" s="2" t="s">
        <v>35</v>
      </c>
      <c r="D1513" s="2">
        <v>67</v>
      </c>
      <c r="E1513" s="2" t="s">
        <v>15</v>
      </c>
      <c r="F1513" s="2" t="s">
        <v>36</v>
      </c>
      <c r="G1513" s="7">
        <v>19.25</v>
      </c>
      <c r="H1513" s="7">
        <v>1372.9</v>
      </c>
      <c r="I1513" s="2" t="s">
        <v>15</v>
      </c>
      <c r="J1513" s="2" t="s">
        <v>16</v>
      </c>
      <c r="K1513" s="2" t="s">
        <v>24</v>
      </c>
      <c r="L1513" s="7">
        <v>1372.9</v>
      </c>
      <c r="M1513" s="2" t="str">
        <f>_xlfn.IFS(TelecomData[[#This Row],[TenureMonths]]&lt;=12, "0-1 Year", TelecomData[[#This Row],[TenureMonths]]&lt;=36, "1-3 Years", TelecomData[[#This Row],[TenureMonths]]&gt;36, "3+ Years")</f>
        <v>3+ Years</v>
      </c>
      <c r="N1513" s="2" t="str">
        <f>IF(TelecomData[[#This Row],[CleanedTotalCharges]]&gt;=2500,"High Spend", "Standard Spend")</f>
        <v>Standard Spend</v>
      </c>
    </row>
    <row r="1514" spans="1:14" x14ac:dyDescent="0.3">
      <c r="A1514" s="1" t="s">
        <v>1538</v>
      </c>
      <c r="B1514" s="2" t="s">
        <v>12</v>
      </c>
      <c r="C1514" s="2" t="s">
        <v>13</v>
      </c>
      <c r="D1514" s="2">
        <v>14</v>
      </c>
      <c r="E1514" s="2" t="s">
        <v>26</v>
      </c>
      <c r="F1514" s="2" t="s">
        <v>15</v>
      </c>
      <c r="G1514" s="7">
        <v>84.8</v>
      </c>
      <c r="H1514" s="7">
        <v>1203.9000000000001</v>
      </c>
      <c r="I1514" s="2" t="s">
        <v>15</v>
      </c>
      <c r="J1514" s="2" t="s">
        <v>16</v>
      </c>
      <c r="K1514" s="2" t="s">
        <v>17</v>
      </c>
      <c r="L1514" s="7">
        <v>1203.9000000000001</v>
      </c>
      <c r="M1514" s="2" t="str">
        <f>_xlfn.IFS(TelecomData[[#This Row],[TenureMonths]]&lt;=12, "0-1 Year", TelecomData[[#This Row],[TenureMonths]]&lt;=36, "1-3 Years", TelecomData[[#This Row],[TenureMonths]]&gt;36, "3+ Years")</f>
        <v>1-3 Years</v>
      </c>
      <c r="N1514" s="2" t="str">
        <f>IF(TelecomData[[#This Row],[CleanedTotalCharges]]&gt;=2500,"High Spend", "Standard Spend")</f>
        <v>Standard Spend</v>
      </c>
    </row>
    <row r="1515" spans="1:14" x14ac:dyDescent="0.3">
      <c r="A1515" s="1" t="s">
        <v>1539</v>
      </c>
      <c r="B1515" s="2" t="s">
        <v>12</v>
      </c>
      <c r="C1515" s="2" t="s">
        <v>13</v>
      </c>
      <c r="D1515" s="2">
        <v>1</v>
      </c>
      <c r="E1515" s="2" t="s">
        <v>14</v>
      </c>
      <c r="F1515" s="2" t="s">
        <v>15</v>
      </c>
      <c r="G1515" s="7">
        <v>25.8</v>
      </c>
      <c r="H1515" s="7">
        <v>25.8</v>
      </c>
      <c r="I1515" s="2" t="s">
        <v>16</v>
      </c>
      <c r="J1515" s="2" t="s">
        <v>16</v>
      </c>
      <c r="K1515" s="2" t="s">
        <v>21</v>
      </c>
      <c r="L1515" s="7">
        <v>25.8</v>
      </c>
      <c r="M1515" s="2" t="str">
        <f>_xlfn.IFS(TelecomData[[#This Row],[TenureMonths]]&lt;=12, "0-1 Year", TelecomData[[#This Row],[TenureMonths]]&lt;=36, "1-3 Years", TelecomData[[#This Row],[TenureMonths]]&gt;36, "3+ Years")</f>
        <v>0-1 Year</v>
      </c>
      <c r="N1515" s="2" t="str">
        <f>IF(TelecomData[[#This Row],[CleanedTotalCharges]]&gt;=2500,"High Spend", "Standard Spend")</f>
        <v>Standard Spend</v>
      </c>
    </row>
    <row r="1516" spans="1:14" x14ac:dyDescent="0.3">
      <c r="A1516" s="1" t="s">
        <v>1540</v>
      </c>
      <c r="B1516" s="2" t="s">
        <v>12</v>
      </c>
      <c r="C1516" s="2" t="s">
        <v>35</v>
      </c>
      <c r="D1516" s="2">
        <v>63</v>
      </c>
      <c r="E1516" s="2" t="s">
        <v>15</v>
      </c>
      <c r="F1516" s="2" t="s">
        <v>36</v>
      </c>
      <c r="G1516" s="7">
        <v>19.5</v>
      </c>
      <c r="H1516" s="7">
        <v>1215.0999999999999</v>
      </c>
      <c r="I1516" s="2" t="s">
        <v>15</v>
      </c>
      <c r="J1516" s="2" t="s">
        <v>15</v>
      </c>
      <c r="K1516" s="2" t="s">
        <v>29</v>
      </c>
      <c r="L1516" s="7">
        <v>1215.0999999999999</v>
      </c>
      <c r="M1516" s="2" t="str">
        <f>_xlfn.IFS(TelecomData[[#This Row],[TenureMonths]]&lt;=12, "0-1 Year", TelecomData[[#This Row],[TenureMonths]]&lt;=36, "1-3 Years", TelecomData[[#This Row],[TenureMonths]]&gt;36, "3+ Years")</f>
        <v>3+ Years</v>
      </c>
      <c r="N1516" s="2" t="str">
        <f>IF(TelecomData[[#This Row],[CleanedTotalCharges]]&gt;=2500,"High Spend", "Standard Spend")</f>
        <v>Standard Spend</v>
      </c>
    </row>
    <row r="1517" spans="1:14" x14ac:dyDescent="0.3">
      <c r="A1517" s="1" t="s">
        <v>1541</v>
      </c>
      <c r="B1517" s="2" t="s">
        <v>12</v>
      </c>
      <c r="C1517" s="2" t="s">
        <v>20</v>
      </c>
      <c r="D1517" s="2">
        <v>41</v>
      </c>
      <c r="E1517" s="2" t="s">
        <v>14</v>
      </c>
      <c r="F1517" s="2" t="s">
        <v>16</v>
      </c>
      <c r="G1517" s="7">
        <v>68.599999999999994</v>
      </c>
      <c r="H1517" s="7">
        <v>2877.05</v>
      </c>
      <c r="I1517" s="2" t="s">
        <v>15</v>
      </c>
      <c r="J1517" s="2" t="s">
        <v>16</v>
      </c>
      <c r="K1517" s="2" t="s">
        <v>17</v>
      </c>
      <c r="L1517" s="7">
        <v>2877.05</v>
      </c>
      <c r="M1517" s="2" t="str">
        <f>_xlfn.IFS(TelecomData[[#This Row],[TenureMonths]]&lt;=12, "0-1 Year", TelecomData[[#This Row],[TenureMonths]]&lt;=36, "1-3 Years", TelecomData[[#This Row],[TenureMonths]]&gt;36, "3+ Years")</f>
        <v>3+ Years</v>
      </c>
      <c r="N1517" s="2" t="str">
        <f>IF(TelecomData[[#This Row],[CleanedTotalCharges]]&gt;=2500,"High Spend", "Standard Spend")</f>
        <v>High Spend</v>
      </c>
    </row>
    <row r="1518" spans="1:14" x14ac:dyDescent="0.3">
      <c r="A1518" s="1" t="s">
        <v>1542</v>
      </c>
      <c r="B1518" s="2" t="s">
        <v>12</v>
      </c>
      <c r="C1518" s="2" t="s">
        <v>13</v>
      </c>
      <c r="D1518" s="2">
        <v>17</v>
      </c>
      <c r="E1518" s="2" t="s">
        <v>26</v>
      </c>
      <c r="F1518" s="2" t="s">
        <v>15</v>
      </c>
      <c r="G1518" s="7">
        <v>92.6</v>
      </c>
      <c r="H1518" s="7">
        <v>1579.7</v>
      </c>
      <c r="I1518" s="2" t="s">
        <v>15</v>
      </c>
      <c r="J1518" s="2" t="s">
        <v>15</v>
      </c>
      <c r="K1518" s="2" t="s">
        <v>17</v>
      </c>
      <c r="L1518" s="7">
        <v>1579.7</v>
      </c>
      <c r="M1518" s="2" t="str">
        <f>_xlfn.IFS(TelecomData[[#This Row],[TenureMonths]]&lt;=12, "0-1 Year", TelecomData[[#This Row],[TenureMonths]]&lt;=36, "1-3 Years", TelecomData[[#This Row],[TenureMonths]]&gt;36, "3+ Years")</f>
        <v>1-3 Years</v>
      </c>
      <c r="N1518" s="2" t="str">
        <f>IF(TelecomData[[#This Row],[CleanedTotalCharges]]&gt;=2500,"High Spend", "Standard Spend")</f>
        <v>Standard Spend</v>
      </c>
    </row>
    <row r="1519" spans="1:14" x14ac:dyDescent="0.3">
      <c r="A1519" s="1" t="s">
        <v>1543</v>
      </c>
      <c r="B1519" s="2" t="s">
        <v>19</v>
      </c>
      <c r="C1519" s="2" t="s">
        <v>20</v>
      </c>
      <c r="D1519" s="2">
        <v>56</v>
      </c>
      <c r="E1519" s="2" t="s">
        <v>26</v>
      </c>
      <c r="F1519" s="2" t="s">
        <v>15</v>
      </c>
      <c r="G1519" s="7">
        <v>100.55</v>
      </c>
      <c r="H1519" s="7">
        <v>5514.95</v>
      </c>
      <c r="I1519" s="2" t="s">
        <v>15</v>
      </c>
      <c r="J1519" s="2" t="s">
        <v>16</v>
      </c>
      <c r="K1519" s="2" t="s">
        <v>17</v>
      </c>
      <c r="L1519" s="7">
        <v>5514.95</v>
      </c>
      <c r="M1519" s="2" t="str">
        <f>_xlfn.IFS(TelecomData[[#This Row],[TenureMonths]]&lt;=12, "0-1 Year", TelecomData[[#This Row],[TenureMonths]]&lt;=36, "1-3 Years", TelecomData[[#This Row],[TenureMonths]]&gt;36, "3+ Years")</f>
        <v>3+ Years</v>
      </c>
      <c r="N1519" s="2" t="str">
        <f>IF(TelecomData[[#This Row],[CleanedTotalCharges]]&gt;=2500,"High Spend", "Standard Spend")</f>
        <v>High Spend</v>
      </c>
    </row>
    <row r="1520" spans="1:14" x14ac:dyDescent="0.3">
      <c r="A1520" s="1" t="s">
        <v>1544</v>
      </c>
      <c r="B1520" s="2" t="s">
        <v>12</v>
      </c>
      <c r="C1520" s="2" t="s">
        <v>13</v>
      </c>
      <c r="D1520" s="2">
        <v>5</v>
      </c>
      <c r="E1520" s="2" t="s">
        <v>15</v>
      </c>
      <c r="F1520" s="2" t="s">
        <v>36</v>
      </c>
      <c r="G1520" s="7">
        <v>20.55</v>
      </c>
      <c r="H1520" s="7">
        <v>96.1</v>
      </c>
      <c r="I1520" s="2" t="s">
        <v>15</v>
      </c>
      <c r="J1520" s="2" t="s">
        <v>15</v>
      </c>
      <c r="K1520" s="2" t="s">
        <v>29</v>
      </c>
      <c r="L1520" s="7">
        <v>96.1</v>
      </c>
      <c r="M1520" s="2" t="str">
        <f>_xlfn.IFS(TelecomData[[#This Row],[TenureMonths]]&lt;=12, "0-1 Year", TelecomData[[#This Row],[TenureMonths]]&lt;=36, "1-3 Years", TelecomData[[#This Row],[TenureMonths]]&gt;36, "3+ Years")</f>
        <v>0-1 Year</v>
      </c>
      <c r="N1520" s="2" t="str">
        <f>IF(TelecomData[[#This Row],[CleanedTotalCharges]]&gt;=2500,"High Spend", "Standard Spend")</f>
        <v>Standard Spend</v>
      </c>
    </row>
    <row r="1521" spans="1:14" x14ac:dyDescent="0.3">
      <c r="A1521" s="1" t="s">
        <v>1545</v>
      </c>
      <c r="B1521" s="2" t="s">
        <v>12</v>
      </c>
      <c r="C1521" s="2" t="s">
        <v>13</v>
      </c>
      <c r="D1521" s="2">
        <v>2</v>
      </c>
      <c r="E1521" s="2" t="s">
        <v>14</v>
      </c>
      <c r="F1521" s="2" t="s">
        <v>15</v>
      </c>
      <c r="G1521" s="7">
        <v>42.6</v>
      </c>
      <c r="H1521" s="7">
        <v>72.400000000000006</v>
      </c>
      <c r="I1521" s="2" t="s">
        <v>16</v>
      </c>
      <c r="J1521" s="2" t="s">
        <v>16</v>
      </c>
      <c r="K1521" s="2" t="s">
        <v>17</v>
      </c>
      <c r="L1521" s="7">
        <v>72.400000000000006</v>
      </c>
      <c r="M1521" s="2" t="str">
        <f>_xlfn.IFS(TelecomData[[#This Row],[TenureMonths]]&lt;=12, "0-1 Year", TelecomData[[#This Row],[TenureMonths]]&lt;=36, "1-3 Years", TelecomData[[#This Row],[TenureMonths]]&gt;36, "3+ Years")</f>
        <v>0-1 Year</v>
      </c>
      <c r="N1521" s="2" t="str">
        <f>IF(TelecomData[[#This Row],[CleanedTotalCharges]]&gt;=2500,"High Spend", "Standard Spend")</f>
        <v>Standard Spend</v>
      </c>
    </row>
    <row r="1522" spans="1:14" x14ac:dyDescent="0.3">
      <c r="A1522" s="1" t="s">
        <v>1546</v>
      </c>
      <c r="B1522" s="2" t="s">
        <v>12</v>
      </c>
      <c r="C1522" s="2" t="s">
        <v>13</v>
      </c>
      <c r="D1522" s="2">
        <v>3</v>
      </c>
      <c r="E1522" s="2" t="s">
        <v>15</v>
      </c>
      <c r="F1522" s="2" t="s">
        <v>36</v>
      </c>
      <c r="G1522" s="7">
        <v>19.600000000000001</v>
      </c>
      <c r="H1522" s="7">
        <v>55.25</v>
      </c>
      <c r="I1522" s="2" t="s">
        <v>15</v>
      </c>
      <c r="J1522" s="2" t="s">
        <v>16</v>
      </c>
      <c r="K1522" s="2" t="s">
        <v>21</v>
      </c>
      <c r="L1522" s="7">
        <v>55.25</v>
      </c>
      <c r="M1522" s="2" t="str">
        <f>_xlfn.IFS(TelecomData[[#This Row],[TenureMonths]]&lt;=12, "0-1 Year", TelecomData[[#This Row],[TenureMonths]]&lt;=36, "1-3 Years", TelecomData[[#This Row],[TenureMonths]]&gt;36, "3+ Years")</f>
        <v>0-1 Year</v>
      </c>
      <c r="N1522" s="2" t="str">
        <f>IF(TelecomData[[#This Row],[CleanedTotalCharges]]&gt;=2500,"High Spend", "Standard Spend")</f>
        <v>Standard Spend</v>
      </c>
    </row>
    <row r="1523" spans="1:14" x14ac:dyDescent="0.3">
      <c r="A1523" s="1" t="s">
        <v>1547</v>
      </c>
      <c r="B1523" s="2" t="s">
        <v>19</v>
      </c>
      <c r="C1523" s="2" t="s">
        <v>20</v>
      </c>
      <c r="D1523" s="2">
        <v>37</v>
      </c>
      <c r="E1523" s="2" t="s">
        <v>14</v>
      </c>
      <c r="F1523" s="2" t="s">
        <v>16</v>
      </c>
      <c r="G1523" s="7">
        <v>67.45</v>
      </c>
      <c r="H1523" s="7">
        <v>2443.3000000000002</v>
      </c>
      <c r="I1523" s="2" t="s">
        <v>15</v>
      </c>
      <c r="J1523" s="2" t="s">
        <v>15</v>
      </c>
      <c r="K1523" s="2" t="s">
        <v>17</v>
      </c>
      <c r="L1523" s="7">
        <v>2443.3000000000002</v>
      </c>
      <c r="M1523" s="2" t="str">
        <f>_xlfn.IFS(TelecomData[[#This Row],[TenureMonths]]&lt;=12, "0-1 Year", TelecomData[[#This Row],[TenureMonths]]&lt;=36, "1-3 Years", TelecomData[[#This Row],[TenureMonths]]&gt;36, "3+ Years")</f>
        <v>3+ Years</v>
      </c>
      <c r="N1523" s="2" t="str">
        <f>IF(TelecomData[[#This Row],[CleanedTotalCharges]]&gt;=2500,"High Spend", "Standard Spend")</f>
        <v>Standard Spend</v>
      </c>
    </row>
    <row r="1524" spans="1:14" x14ac:dyDescent="0.3">
      <c r="A1524" s="1" t="s">
        <v>1548</v>
      </c>
      <c r="B1524" s="2" t="s">
        <v>12</v>
      </c>
      <c r="C1524" s="2" t="s">
        <v>13</v>
      </c>
      <c r="D1524" s="2">
        <v>29</v>
      </c>
      <c r="E1524" s="2" t="s">
        <v>14</v>
      </c>
      <c r="F1524" s="2" t="s">
        <v>15</v>
      </c>
      <c r="G1524" s="7">
        <v>68.849999999999994</v>
      </c>
      <c r="H1524" s="7">
        <v>1970.5</v>
      </c>
      <c r="I1524" s="2" t="s">
        <v>16</v>
      </c>
      <c r="J1524" s="2" t="s">
        <v>16</v>
      </c>
      <c r="K1524" s="2" t="s">
        <v>24</v>
      </c>
      <c r="L1524" s="7">
        <v>1970.5</v>
      </c>
      <c r="M1524" s="2" t="str">
        <f>_xlfn.IFS(TelecomData[[#This Row],[TenureMonths]]&lt;=12, "0-1 Year", TelecomData[[#This Row],[TenureMonths]]&lt;=36, "1-3 Years", TelecomData[[#This Row],[TenureMonths]]&gt;36, "3+ Years")</f>
        <v>1-3 Years</v>
      </c>
      <c r="N1524" s="2" t="str">
        <f>IF(TelecomData[[#This Row],[CleanedTotalCharges]]&gt;=2500,"High Spend", "Standard Spend")</f>
        <v>Standard Spend</v>
      </c>
    </row>
    <row r="1525" spans="1:14" x14ac:dyDescent="0.3">
      <c r="A1525" s="1" t="s">
        <v>1549</v>
      </c>
      <c r="B1525" s="2" t="s">
        <v>19</v>
      </c>
      <c r="C1525" s="2" t="s">
        <v>13</v>
      </c>
      <c r="D1525" s="2">
        <v>8</v>
      </c>
      <c r="E1525" s="2" t="s">
        <v>14</v>
      </c>
      <c r="F1525" s="2" t="s">
        <v>15</v>
      </c>
      <c r="G1525" s="7">
        <v>43.55</v>
      </c>
      <c r="H1525" s="7">
        <v>335.4</v>
      </c>
      <c r="I1525" s="2" t="s">
        <v>15</v>
      </c>
      <c r="J1525" s="2" t="s">
        <v>15</v>
      </c>
      <c r="K1525" s="2" t="s">
        <v>21</v>
      </c>
      <c r="L1525" s="7">
        <v>335.4</v>
      </c>
      <c r="M1525" s="2" t="str">
        <f>_xlfn.IFS(TelecomData[[#This Row],[TenureMonths]]&lt;=12, "0-1 Year", TelecomData[[#This Row],[TenureMonths]]&lt;=36, "1-3 Years", TelecomData[[#This Row],[TenureMonths]]&gt;36, "3+ Years")</f>
        <v>0-1 Year</v>
      </c>
      <c r="N1525" s="2" t="str">
        <f>IF(TelecomData[[#This Row],[CleanedTotalCharges]]&gt;=2500,"High Spend", "Standard Spend")</f>
        <v>Standard Spend</v>
      </c>
    </row>
    <row r="1526" spans="1:14" x14ac:dyDescent="0.3">
      <c r="A1526" s="1" t="s">
        <v>1550</v>
      </c>
      <c r="B1526" s="2" t="s">
        <v>12</v>
      </c>
      <c r="C1526" s="2" t="s">
        <v>13</v>
      </c>
      <c r="D1526" s="2">
        <v>63</v>
      </c>
      <c r="E1526" s="2" t="s">
        <v>26</v>
      </c>
      <c r="F1526" s="2" t="s">
        <v>16</v>
      </c>
      <c r="G1526" s="7">
        <v>109.85</v>
      </c>
      <c r="H1526" s="7">
        <v>7002.95</v>
      </c>
      <c r="I1526" s="2" t="s">
        <v>15</v>
      </c>
      <c r="J1526" s="2" t="s">
        <v>16</v>
      </c>
      <c r="K1526" s="2" t="s">
        <v>29</v>
      </c>
      <c r="L1526" s="7">
        <v>7002.95</v>
      </c>
      <c r="M1526" s="2" t="str">
        <f>_xlfn.IFS(TelecomData[[#This Row],[TenureMonths]]&lt;=12, "0-1 Year", TelecomData[[#This Row],[TenureMonths]]&lt;=36, "1-3 Years", TelecomData[[#This Row],[TenureMonths]]&gt;36, "3+ Years")</f>
        <v>3+ Years</v>
      </c>
      <c r="N1526" s="2" t="str">
        <f>IF(TelecomData[[#This Row],[CleanedTotalCharges]]&gt;=2500,"High Spend", "Standard Spend")</f>
        <v>High Spend</v>
      </c>
    </row>
    <row r="1527" spans="1:14" x14ac:dyDescent="0.3">
      <c r="A1527" s="1" t="s">
        <v>1551</v>
      </c>
      <c r="B1527" s="2" t="s">
        <v>12</v>
      </c>
      <c r="C1527" s="2" t="s">
        <v>13</v>
      </c>
      <c r="D1527" s="2">
        <v>7</v>
      </c>
      <c r="E1527" s="2" t="s">
        <v>15</v>
      </c>
      <c r="F1527" s="2" t="s">
        <v>36</v>
      </c>
      <c r="G1527" s="7">
        <v>20.65</v>
      </c>
      <c r="H1527" s="7">
        <v>158.94999999999999</v>
      </c>
      <c r="I1527" s="2" t="s">
        <v>15</v>
      </c>
      <c r="J1527" s="2" t="s">
        <v>15</v>
      </c>
      <c r="K1527" s="2" t="s">
        <v>21</v>
      </c>
      <c r="L1527" s="7">
        <v>158.94999999999999</v>
      </c>
      <c r="M1527" s="2" t="str">
        <f>_xlfn.IFS(TelecomData[[#This Row],[TenureMonths]]&lt;=12, "0-1 Year", TelecomData[[#This Row],[TenureMonths]]&lt;=36, "1-3 Years", TelecomData[[#This Row],[TenureMonths]]&gt;36, "3+ Years")</f>
        <v>0-1 Year</v>
      </c>
      <c r="N1527" s="2" t="str">
        <f>IF(TelecomData[[#This Row],[CleanedTotalCharges]]&gt;=2500,"High Spend", "Standard Spend")</f>
        <v>Standard Spend</v>
      </c>
    </row>
    <row r="1528" spans="1:14" x14ac:dyDescent="0.3">
      <c r="A1528" s="1" t="s">
        <v>1552</v>
      </c>
      <c r="B1528" s="2" t="s">
        <v>12</v>
      </c>
      <c r="C1528" s="2" t="s">
        <v>13</v>
      </c>
      <c r="D1528" s="2">
        <v>3</v>
      </c>
      <c r="E1528" s="2" t="s">
        <v>26</v>
      </c>
      <c r="F1528" s="2" t="s">
        <v>15</v>
      </c>
      <c r="G1528" s="7">
        <v>95.4</v>
      </c>
      <c r="H1528" s="7">
        <v>293.14999999999998</v>
      </c>
      <c r="I1528" s="2" t="s">
        <v>15</v>
      </c>
      <c r="J1528" s="2" t="s">
        <v>15</v>
      </c>
      <c r="K1528" s="2" t="s">
        <v>17</v>
      </c>
      <c r="L1528" s="7">
        <v>293.14999999999998</v>
      </c>
      <c r="M1528" s="2" t="str">
        <f>_xlfn.IFS(TelecomData[[#This Row],[TenureMonths]]&lt;=12, "0-1 Year", TelecomData[[#This Row],[TenureMonths]]&lt;=36, "1-3 Years", TelecomData[[#This Row],[TenureMonths]]&gt;36, "3+ Years")</f>
        <v>0-1 Year</v>
      </c>
      <c r="N1528" s="2" t="str">
        <f>IF(TelecomData[[#This Row],[CleanedTotalCharges]]&gt;=2500,"High Spend", "Standard Spend")</f>
        <v>Standard Spend</v>
      </c>
    </row>
    <row r="1529" spans="1:14" x14ac:dyDescent="0.3">
      <c r="A1529" s="1" t="s">
        <v>1553</v>
      </c>
      <c r="B1529" s="2" t="s">
        <v>19</v>
      </c>
      <c r="C1529" s="2" t="s">
        <v>35</v>
      </c>
      <c r="D1529" s="2">
        <v>72</v>
      </c>
      <c r="E1529" s="2" t="s">
        <v>15</v>
      </c>
      <c r="F1529" s="2" t="s">
        <v>36</v>
      </c>
      <c r="G1529" s="7">
        <v>21</v>
      </c>
      <c r="H1529" s="7">
        <v>1493.75</v>
      </c>
      <c r="I1529" s="2" t="s">
        <v>15</v>
      </c>
      <c r="J1529" s="2" t="s">
        <v>15</v>
      </c>
      <c r="K1529" s="2" t="s">
        <v>24</v>
      </c>
      <c r="L1529" s="7">
        <v>1493.75</v>
      </c>
      <c r="M1529" s="2" t="str">
        <f>_xlfn.IFS(TelecomData[[#This Row],[TenureMonths]]&lt;=12, "0-1 Year", TelecomData[[#This Row],[TenureMonths]]&lt;=36, "1-3 Years", TelecomData[[#This Row],[TenureMonths]]&gt;36, "3+ Years")</f>
        <v>3+ Years</v>
      </c>
      <c r="N1529" s="2" t="str">
        <f>IF(TelecomData[[#This Row],[CleanedTotalCharges]]&gt;=2500,"High Spend", "Standard Spend")</f>
        <v>Standard Spend</v>
      </c>
    </row>
    <row r="1530" spans="1:14" x14ac:dyDescent="0.3">
      <c r="A1530" s="1" t="s">
        <v>1554</v>
      </c>
      <c r="B1530" s="2" t="s">
        <v>12</v>
      </c>
      <c r="C1530" s="2" t="s">
        <v>13</v>
      </c>
      <c r="D1530" s="2">
        <v>19</v>
      </c>
      <c r="E1530" s="2" t="s">
        <v>14</v>
      </c>
      <c r="F1530" s="2" t="s">
        <v>15</v>
      </c>
      <c r="G1530" s="7">
        <v>56.2</v>
      </c>
      <c r="H1530" s="7">
        <v>1093.4000000000001</v>
      </c>
      <c r="I1530" s="2" t="s">
        <v>15</v>
      </c>
      <c r="J1530" s="2" t="s">
        <v>16</v>
      </c>
      <c r="K1530" s="2" t="s">
        <v>17</v>
      </c>
      <c r="L1530" s="7">
        <v>1093.4000000000001</v>
      </c>
      <c r="M1530" s="2" t="str">
        <f>_xlfn.IFS(TelecomData[[#This Row],[TenureMonths]]&lt;=12, "0-1 Year", TelecomData[[#This Row],[TenureMonths]]&lt;=36, "1-3 Years", TelecomData[[#This Row],[TenureMonths]]&gt;36, "3+ Years")</f>
        <v>1-3 Years</v>
      </c>
      <c r="N1530" s="2" t="str">
        <f>IF(TelecomData[[#This Row],[CleanedTotalCharges]]&gt;=2500,"High Spend", "Standard Spend")</f>
        <v>Standard Spend</v>
      </c>
    </row>
    <row r="1531" spans="1:14" x14ac:dyDescent="0.3">
      <c r="A1531" s="1" t="s">
        <v>1555</v>
      </c>
      <c r="B1531" s="2" t="s">
        <v>12</v>
      </c>
      <c r="C1531" s="2" t="s">
        <v>35</v>
      </c>
      <c r="D1531" s="2">
        <v>59</v>
      </c>
      <c r="E1531" s="2" t="s">
        <v>15</v>
      </c>
      <c r="F1531" s="2" t="s">
        <v>36</v>
      </c>
      <c r="G1531" s="7">
        <v>18.399999999999999</v>
      </c>
      <c r="H1531" s="7">
        <v>1057.8499999999999</v>
      </c>
      <c r="I1531" s="2" t="s">
        <v>15</v>
      </c>
      <c r="J1531" s="2" t="s">
        <v>15</v>
      </c>
      <c r="K1531" s="2" t="s">
        <v>24</v>
      </c>
      <c r="L1531" s="7">
        <v>1057.8499999999999</v>
      </c>
      <c r="M1531" s="2" t="str">
        <f>_xlfn.IFS(TelecomData[[#This Row],[TenureMonths]]&lt;=12, "0-1 Year", TelecomData[[#This Row],[TenureMonths]]&lt;=36, "1-3 Years", TelecomData[[#This Row],[TenureMonths]]&gt;36, "3+ Years")</f>
        <v>3+ Years</v>
      </c>
      <c r="N1531" s="2" t="str">
        <f>IF(TelecomData[[#This Row],[CleanedTotalCharges]]&gt;=2500,"High Spend", "Standard Spend")</f>
        <v>Standard Spend</v>
      </c>
    </row>
    <row r="1532" spans="1:14" x14ac:dyDescent="0.3">
      <c r="A1532" s="1" t="s">
        <v>1556</v>
      </c>
      <c r="B1532" s="2" t="s">
        <v>19</v>
      </c>
      <c r="C1532" s="2" t="s">
        <v>13</v>
      </c>
      <c r="D1532" s="2">
        <v>2</v>
      </c>
      <c r="E1532" s="2" t="s">
        <v>26</v>
      </c>
      <c r="F1532" s="2" t="s">
        <v>16</v>
      </c>
      <c r="G1532" s="7">
        <v>90</v>
      </c>
      <c r="H1532" s="7">
        <v>190.05</v>
      </c>
      <c r="I1532" s="2" t="s">
        <v>16</v>
      </c>
      <c r="J1532" s="2" t="s">
        <v>15</v>
      </c>
      <c r="K1532" s="2" t="s">
        <v>29</v>
      </c>
      <c r="L1532" s="7">
        <v>190.05</v>
      </c>
      <c r="M1532" s="2" t="str">
        <f>_xlfn.IFS(TelecomData[[#This Row],[TenureMonths]]&lt;=12, "0-1 Year", TelecomData[[#This Row],[TenureMonths]]&lt;=36, "1-3 Years", TelecomData[[#This Row],[TenureMonths]]&gt;36, "3+ Years")</f>
        <v>0-1 Year</v>
      </c>
      <c r="N1532" s="2" t="str">
        <f>IF(TelecomData[[#This Row],[CleanedTotalCharges]]&gt;=2500,"High Spend", "Standard Spend")</f>
        <v>Standard Spend</v>
      </c>
    </row>
    <row r="1533" spans="1:14" x14ac:dyDescent="0.3">
      <c r="A1533" s="1" t="s">
        <v>1557</v>
      </c>
      <c r="B1533" s="2" t="s">
        <v>12</v>
      </c>
      <c r="C1533" s="2" t="s">
        <v>13</v>
      </c>
      <c r="D1533" s="2">
        <v>35</v>
      </c>
      <c r="E1533" s="2" t="s">
        <v>15</v>
      </c>
      <c r="F1533" s="2" t="s">
        <v>36</v>
      </c>
      <c r="G1533" s="7">
        <v>25.75</v>
      </c>
      <c r="H1533" s="7">
        <v>882.55</v>
      </c>
      <c r="I1533" s="2" t="s">
        <v>15</v>
      </c>
      <c r="J1533" s="2" t="s">
        <v>16</v>
      </c>
      <c r="K1533" s="2" t="s">
        <v>17</v>
      </c>
      <c r="L1533" s="7">
        <v>882.55</v>
      </c>
      <c r="M1533" s="2" t="str">
        <f>_xlfn.IFS(TelecomData[[#This Row],[TenureMonths]]&lt;=12, "0-1 Year", TelecomData[[#This Row],[TenureMonths]]&lt;=36, "1-3 Years", TelecomData[[#This Row],[TenureMonths]]&gt;36, "3+ Years")</f>
        <v>1-3 Years</v>
      </c>
      <c r="N1533" s="2" t="str">
        <f>IF(TelecomData[[#This Row],[CleanedTotalCharges]]&gt;=2500,"High Spend", "Standard Spend")</f>
        <v>Standard Spend</v>
      </c>
    </row>
    <row r="1534" spans="1:14" x14ac:dyDescent="0.3">
      <c r="A1534" s="1" t="s">
        <v>1558</v>
      </c>
      <c r="B1534" s="2" t="s">
        <v>19</v>
      </c>
      <c r="C1534" s="2" t="s">
        <v>13</v>
      </c>
      <c r="D1534" s="2">
        <v>14</v>
      </c>
      <c r="E1534" s="2" t="s">
        <v>15</v>
      </c>
      <c r="F1534" s="2" t="s">
        <v>36</v>
      </c>
      <c r="G1534" s="7">
        <v>19.600000000000001</v>
      </c>
      <c r="H1534" s="7">
        <v>300.39999999999998</v>
      </c>
      <c r="I1534" s="2" t="s">
        <v>15</v>
      </c>
      <c r="J1534" s="2" t="s">
        <v>15</v>
      </c>
      <c r="K1534" s="2" t="s">
        <v>29</v>
      </c>
      <c r="L1534" s="7">
        <v>300.39999999999998</v>
      </c>
      <c r="M1534" s="2" t="str">
        <f>_xlfn.IFS(TelecomData[[#This Row],[TenureMonths]]&lt;=12, "0-1 Year", TelecomData[[#This Row],[TenureMonths]]&lt;=36, "1-3 Years", TelecomData[[#This Row],[TenureMonths]]&gt;36, "3+ Years")</f>
        <v>1-3 Years</v>
      </c>
      <c r="N1534" s="2" t="str">
        <f>IF(TelecomData[[#This Row],[CleanedTotalCharges]]&gt;=2500,"High Spend", "Standard Spend")</f>
        <v>Standard Spend</v>
      </c>
    </row>
    <row r="1535" spans="1:14" x14ac:dyDescent="0.3">
      <c r="A1535" s="1" t="s">
        <v>1559</v>
      </c>
      <c r="B1535" s="2" t="s">
        <v>12</v>
      </c>
      <c r="C1535" s="2" t="s">
        <v>13</v>
      </c>
      <c r="D1535" s="2">
        <v>14</v>
      </c>
      <c r="E1535" s="2" t="s">
        <v>26</v>
      </c>
      <c r="F1535" s="2" t="s">
        <v>15</v>
      </c>
      <c r="G1535" s="7">
        <v>75.349999999999994</v>
      </c>
      <c r="H1535" s="7">
        <v>1025.95</v>
      </c>
      <c r="I1535" s="2" t="s">
        <v>16</v>
      </c>
      <c r="J1535" s="2" t="s">
        <v>15</v>
      </c>
      <c r="K1535" s="2" t="s">
        <v>17</v>
      </c>
      <c r="L1535" s="7">
        <v>1025.95</v>
      </c>
      <c r="M1535" s="2" t="str">
        <f>_xlfn.IFS(TelecomData[[#This Row],[TenureMonths]]&lt;=12, "0-1 Year", TelecomData[[#This Row],[TenureMonths]]&lt;=36, "1-3 Years", TelecomData[[#This Row],[TenureMonths]]&gt;36, "3+ Years")</f>
        <v>1-3 Years</v>
      </c>
      <c r="N1535" s="2" t="str">
        <f>IF(TelecomData[[#This Row],[CleanedTotalCharges]]&gt;=2500,"High Spend", "Standard Spend")</f>
        <v>Standard Spend</v>
      </c>
    </row>
    <row r="1536" spans="1:14" x14ac:dyDescent="0.3">
      <c r="A1536" s="1" t="s">
        <v>1560</v>
      </c>
      <c r="B1536" s="2" t="s">
        <v>12</v>
      </c>
      <c r="C1536" s="2" t="s">
        <v>35</v>
      </c>
      <c r="D1536" s="2">
        <v>69</v>
      </c>
      <c r="E1536" s="2" t="s">
        <v>15</v>
      </c>
      <c r="F1536" s="2" t="s">
        <v>36</v>
      </c>
      <c r="G1536" s="7">
        <v>19.8</v>
      </c>
      <c r="H1536" s="7">
        <v>1436.95</v>
      </c>
      <c r="I1536" s="2" t="s">
        <v>15</v>
      </c>
      <c r="J1536" s="2" t="s">
        <v>15</v>
      </c>
      <c r="K1536" s="2" t="s">
        <v>29</v>
      </c>
      <c r="L1536" s="7">
        <v>1436.95</v>
      </c>
      <c r="M1536" s="2" t="str">
        <f>_xlfn.IFS(TelecomData[[#This Row],[TenureMonths]]&lt;=12, "0-1 Year", TelecomData[[#This Row],[TenureMonths]]&lt;=36, "1-3 Years", TelecomData[[#This Row],[TenureMonths]]&gt;36, "3+ Years")</f>
        <v>3+ Years</v>
      </c>
      <c r="N1536" s="2" t="str">
        <f>IF(TelecomData[[#This Row],[CleanedTotalCharges]]&gt;=2500,"High Spend", "Standard Spend")</f>
        <v>Standard Spend</v>
      </c>
    </row>
    <row r="1537" spans="1:14" x14ac:dyDescent="0.3">
      <c r="A1537" s="1" t="s">
        <v>1561</v>
      </c>
      <c r="B1537" s="2" t="s">
        <v>19</v>
      </c>
      <c r="C1537" s="2" t="s">
        <v>13</v>
      </c>
      <c r="D1537" s="2">
        <v>7</v>
      </c>
      <c r="E1537" s="2" t="s">
        <v>14</v>
      </c>
      <c r="F1537" s="2" t="s">
        <v>16</v>
      </c>
      <c r="G1537" s="7">
        <v>64.2</v>
      </c>
      <c r="H1537" s="7">
        <v>475</v>
      </c>
      <c r="I1537" s="2" t="s">
        <v>15</v>
      </c>
      <c r="J1537" s="2" t="s">
        <v>15</v>
      </c>
      <c r="K1537" s="2" t="s">
        <v>17</v>
      </c>
      <c r="L1537" s="7">
        <v>475</v>
      </c>
      <c r="M1537" s="2" t="str">
        <f>_xlfn.IFS(TelecomData[[#This Row],[TenureMonths]]&lt;=12, "0-1 Year", TelecomData[[#This Row],[TenureMonths]]&lt;=36, "1-3 Years", TelecomData[[#This Row],[TenureMonths]]&gt;36, "3+ Years")</f>
        <v>0-1 Year</v>
      </c>
      <c r="N1537" s="2" t="str">
        <f>IF(TelecomData[[#This Row],[CleanedTotalCharges]]&gt;=2500,"High Spend", "Standard Spend")</f>
        <v>Standard Spend</v>
      </c>
    </row>
    <row r="1538" spans="1:14" x14ac:dyDescent="0.3">
      <c r="A1538" s="1" t="s">
        <v>1562</v>
      </c>
      <c r="B1538" s="2" t="s">
        <v>19</v>
      </c>
      <c r="C1538" s="2" t="s">
        <v>35</v>
      </c>
      <c r="D1538" s="2">
        <v>69</v>
      </c>
      <c r="E1538" s="2" t="s">
        <v>14</v>
      </c>
      <c r="F1538" s="2" t="s">
        <v>16</v>
      </c>
      <c r="G1538" s="7">
        <v>75.75</v>
      </c>
      <c r="H1538" s="7">
        <v>5388.15</v>
      </c>
      <c r="I1538" s="2" t="s">
        <v>15</v>
      </c>
      <c r="J1538" s="2" t="s">
        <v>16</v>
      </c>
      <c r="K1538" s="2" t="s">
        <v>24</v>
      </c>
      <c r="L1538" s="7">
        <v>5388.15</v>
      </c>
      <c r="M1538" s="2" t="str">
        <f>_xlfn.IFS(TelecomData[[#This Row],[TenureMonths]]&lt;=12, "0-1 Year", TelecomData[[#This Row],[TenureMonths]]&lt;=36, "1-3 Years", TelecomData[[#This Row],[TenureMonths]]&gt;36, "3+ Years")</f>
        <v>3+ Years</v>
      </c>
      <c r="N1538" s="2" t="str">
        <f>IF(TelecomData[[#This Row],[CleanedTotalCharges]]&gt;=2500,"High Spend", "Standard Spend")</f>
        <v>High Spend</v>
      </c>
    </row>
    <row r="1539" spans="1:14" x14ac:dyDescent="0.3">
      <c r="A1539" s="1" t="s">
        <v>1563</v>
      </c>
      <c r="B1539" s="2" t="s">
        <v>12</v>
      </c>
      <c r="C1539" s="2" t="s">
        <v>35</v>
      </c>
      <c r="D1539" s="2">
        <v>72</v>
      </c>
      <c r="E1539" s="2" t="s">
        <v>14</v>
      </c>
      <c r="F1539" s="2" t="s">
        <v>16</v>
      </c>
      <c r="G1539" s="7">
        <v>78.95</v>
      </c>
      <c r="H1539" s="7">
        <v>5730.15</v>
      </c>
      <c r="I1539" s="2" t="s">
        <v>15</v>
      </c>
      <c r="J1539" s="2" t="s">
        <v>16</v>
      </c>
      <c r="K1539" s="2" t="s">
        <v>17</v>
      </c>
      <c r="L1539" s="7">
        <v>5730.15</v>
      </c>
      <c r="M1539" s="2" t="str">
        <f>_xlfn.IFS(TelecomData[[#This Row],[TenureMonths]]&lt;=12, "0-1 Year", TelecomData[[#This Row],[TenureMonths]]&lt;=36, "1-3 Years", TelecomData[[#This Row],[TenureMonths]]&gt;36, "3+ Years")</f>
        <v>3+ Years</v>
      </c>
      <c r="N1539" s="2" t="str">
        <f>IF(TelecomData[[#This Row],[CleanedTotalCharges]]&gt;=2500,"High Spend", "Standard Spend")</f>
        <v>High Spend</v>
      </c>
    </row>
    <row r="1540" spans="1:14" x14ac:dyDescent="0.3">
      <c r="A1540" s="1" t="s">
        <v>1564</v>
      </c>
      <c r="B1540" s="2" t="s">
        <v>19</v>
      </c>
      <c r="C1540" s="2" t="s">
        <v>13</v>
      </c>
      <c r="D1540" s="2">
        <v>8</v>
      </c>
      <c r="E1540" s="2" t="s">
        <v>26</v>
      </c>
      <c r="F1540" s="2" t="s">
        <v>15</v>
      </c>
      <c r="G1540" s="7">
        <v>100.85</v>
      </c>
      <c r="H1540" s="7">
        <v>819.55</v>
      </c>
      <c r="I1540" s="2" t="s">
        <v>16</v>
      </c>
      <c r="J1540" s="2" t="s">
        <v>15</v>
      </c>
      <c r="K1540" s="2" t="s">
        <v>17</v>
      </c>
      <c r="L1540" s="7">
        <v>819.55</v>
      </c>
      <c r="M1540" s="2" t="str">
        <f>_xlfn.IFS(TelecomData[[#This Row],[TenureMonths]]&lt;=12, "0-1 Year", TelecomData[[#This Row],[TenureMonths]]&lt;=36, "1-3 Years", TelecomData[[#This Row],[TenureMonths]]&gt;36, "3+ Years")</f>
        <v>0-1 Year</v>
      </c>
      <c r="N1540" s="2" t="str">
        <f>IF(TelecomData[[#This Row],[CleanedTotalCharges]]&gt;=2500,"High Spend", "Standard Spend")</f>
        <v>Standard Spend</v>
      </c>
    </row>
    <row r="1541" spans="1:14" x14ac:dyDescent="0.3">
      <c r="A1541" s="1" t="s">
        <v>1565</v>
      </c>
      <c r="B1541" s="2" t="s">
        <v>12</v>
      </c>
      <c r="C1541" s="2" t="s">
        <v>13</v>
      </c>
      <c r="D1541" s="2">
        <v>4</v>
      </c>
      <c r="E1541" s="2" t="s">
        <v>14</v>
      </c>
      <c r="F1541" s="2" t="s">
        <v>15</v>
      </c>
      <c r="G1541" s="7">
        <v>50.3</v>
      </c>
      <c r="H1541" s="7">
        <v>217.1</v>
      </c>
      <c r="I1541" s="2" t="s">
        <v>15</v>
      </c>
      <c r="J1541" s="2" t="s">
        <v>15</v>
      </c>
      <c r="K1541" s="2" t="s">
        <v>17</v>
      </c>
      <c r="L1541" s="7">
        <v>217.1</v>
      </c>
      <c r="M1541" s="2" t="str">
        <f>_xlfn.IFS(TelecomData[[#This Row],[TenureMonths]]&lt;=12, "0-1 Year", TelecomData[[#This Row],[TenureMonths]]&lt;=36, "1-3 Years", TelecomData[[#This Row],[TenureMonths]]&gt;36, "3+ Years")</f>
        <v>0-1 Year</v>
      </c>
      <c r="N1541" s="2" t="str">
        <f>IF(TelecomData[[#This Row],[CleanedTotalCharges]]&gt;=2500,"High Spend", "Standard Spend")</f>
        <v>Standard Spend</v>
      </c>
    </row>
    <row r="1542" spans="1:14" x14ac:dyDescent="0.3">
      <c r="A1542" s="1" t="s">
        <v>1566</v>
      </c>
      <c r="B1542" s="2" t="s">
        <v>19</v>
      </c>
      <c r="C1542" s="2" t="s">
        <v>13</v>
      </c>
      <c r="D1542" s="2">
        <v>63</v>
      </c>
      <c r="E1542" s="2" t="s">
        <v>26</v>
      </c>
      <c r="F1542" s="2" t="s">
        <v>15</v>
      </c>
      <c r="G1542" s="7">
        <v>80.3</v>
      </c>
      <c r="H1542" s="7">
        <v>4896.3500000000004</v>
      </c>
      <c r="I1542" s="2" t="s">
        <v>15</v>
      </c>
      <c r="J1542" s="2" t="s">
        <v>16</v>
      </c>
      <c r="K1542" s="2" t="s">
        <v>29</v>
      </c>
      <c r="L1542" s="7">
        <v>4896.3500000000004</v>
      </c>
      <c r="M1542" s="2" t="str">
        <f>_xlfn.IFS(TelecomData[[#This Row],[TenureMonths]]&lt;=12, "0-1 Year", TelecomData[[#This Row],[TenureMonths]]&lt;=36, "1-3 Years", TelecomData[[#This Row],[TenureMonths]]&gt;36, "3+ Years")</f>
        <v>3+ Years</v>
      </c>
      <c r="N1542" s="2" t="str">
        <f>IF(TelecomData[[#This Row],[CleanedTotalCharges]]&gt;=2500,"High Spend", "Standard Spend")</f>
        <v>High Spend</v>
      </c>
    </row>
    <row r="1543" spans="1:14" x14ac:dyDescent="0.3">
      <c r="A1543" s="1" t="s">
        <v>1567</v>
      </c>
      <c r="B1543" s="2" t="s">
        <v>19</v>
      </c>
      <c r="C1543" s="2" t="s">
        <v>35</v>
      </c>
      <c r="D1543" s="2">
        <v>72</v>
      </c>
      <c r="E1543" s="2" t="s">
        <v>15</v>
      </c>
      <c r="F1543" s="2" t="s">
        <v>36</v>
      </c>
      <c r="G1543" s="7">
        <v>19.850000000000001</v>
      </c>
      <c r="H1543" s="7">
        <v>1434.1</v>
      </c>
      <c r="I1543" s="2" t="s">
        <v>15</v>
      </c>
      <c r="J1543" s="2" t="s">
        <v>15</v>
      </c>
      <c r="K1543" s="2" t="s">
        <v>24</v>
      </c>
      <c r="L1543" s="7">
        <v>1434.1</v>
      </c>
      <c r="M1543" s="2" t="str">
        <f>_xlfn.IFS(TelecomData[[#This Row],[TenureMonths]]&lt;=12, "0-1 Year", TelecomData[[#This Row],[TenureMonths]]&lt;=36, "1-3 Years", TelecomData[[#This Row],[TenureMonths]]&gt;36, "3+ Years")</f>
        <v>3+ Years</v>
      </c>
      <c r="N1543" s="2" t="str">
        <f>IF(TelecomData[[#This Row],[CleanedTotalCharges]]&gt;=2500,"High Spend", "Standard Spend")</f>
        <v>Standard Spend</v>
      </c>
    </row>
    <row r="1544" spans="1:14" x14ac:dyDescent="0.3">
      <c r="A1544" s="1" t="s">
        <v>1568</v>
      </c>
      <c r="B1544" s="2" t="s">
        <v>12</v>
      </c>
      <c r="C1544" s="2" t="s">
        <v>35</v>
      </c>
      <c r="D1544" s="2">
        <v>46</v>
      </c>
      <c r="E1544" s="2" t="s">
        <v>15</v>
      </c>
      <c r="F1544" s="2" t="s">
        <v>36</v>
      </c>
      <c r="G1544" s="7">
        <v>21.1</v>
      </c>
      <c r="H1544" s="7">
        <v>937.1</v>
      </c>
      <c r="I1544" s="2" t="s">
        <v>15</v>
      </c>
      <c r="J1544" s="2" t="s">
        <v>16</v>
      </c>
      <c r="K1544" s="2" t="s">
        <v>17</v>
      </c>
      <c r="L1544" s="7">
        <v>937.1</v>
      </c>
      <c r="M1544" s="2" t="str">
        <f>_xlfn.IFS(TelecomData[[#This Row],[TenureMonths]]&lt;=12, "0-1 Year", TelecomData[[#This Row],[TenureMonths]]&lt;=36, "1-3 Years", TelecomData[[#This Row],[TenureMonths]]&gt;36, "3+ Years")</f>
        <v>3+ Years</v>
      </c>
      <c r="N1544" s="2" t="str">
        <f>IF(TelecomData[[#This Row],[CleanedTotalCharges]]&gt;=2500,"High Spend", "Standard Spend")</f>
        <v>Standard Spend</v>
      </c>
    </row>
    <row r="1545" spans="1:14" x14ac:dyDescent="0.3">
      <c r="A1545" s="1" t="s">
        <v>1569</v>
      </c>
      <c r="B1545" s="2" t="s">
        <v>12</v>
      </c>
      <c r="C1545" s="2" t="s">
        <v>13</v>
      </c>
      <c r="D1545" s="2">
        <v>5</v>
      </c>
      <c r="E1545" s="2" t="s">
        <v>26</v>
      </c>
      <c r="F1545" s="2" t="s">
        <v>15</v>
      </c>
      <c r="G1545" s="7">
        <v>69.95</v>
      </c>
      <c r="H1545" s="7">
        <v>330.15</v>
      </c>
      <c r="I1545" s="2" t="s">
        <v>16</v>
      </c>
      <c r="J1545" s="2" t="s">
        <v>15</v>
      </c>
      <c r="K1545" s="2" t="s">
        <v>17</v>
      </c>
      <c r="L1545" s="7">
        <v>330.15</v>
      </c>
      <c r="M1545" s="2" t="str">
        <f>_xlfn.IFS(TelecomData[[#This Row],[TenureMonths]]&lt;=12, "0-1 Year", TelecomData[[#This Row],[TenureMonths]]&lt;=36, "1-3 Years", TelecomData[[#This Row],[TenureMonths]]&gt;36, "3+ Years")</f>
        <v>0-1 Year</v>
      </c>
      <c r="N1545" s="2" t="str">
        <f>IF(TelecomData[[#This Row],[CleanedTotalCharges]]&gt;=2500,"High Spend", "Standard Spend")</f>
        <v>Standard Spend</v>
      </c>
    </row>
    <row r="1546" spans="1:14" x14ac:dyDescent="0.3">
      <c r="A1546" s="1" t="s">
        <v>1570</v>
      </c>
      <c r="B1546" s="2" t="s">
        <v>19</v>
      </c>
      <c r="C1546" s="2" t="s">
        <v>13</v>
      </c>
      <c r="D1546" s="2">
        <v>30</v>
      </c>
      <c r="E1546" s="2" t="s">
        <v>14</v>
      </c>
      <c r="F1546" s="2" t="s">
        <v>15</v>
      </c>
      <c r="G1546" s="7">
        <v>50</v>
      </c>
      <c r="H1546" s="7">
        <v>1474.9</v>
      </c>
      <c r="I1546" s="2" t="s">
        <v>15</v>
      </c>
      <c r="J1546" s="2" t="s">
        <v>16</v>
      </c>
      <c r="K1546" s="2" t="s">
        <v>21</v>
      </c>
      <c r="L1546" s="7">
        <v>1474.9</v>
      </c>
      <c r="M1546" s="2" t="str">
        <f>_xlfn.IFS(TelecomData[[#This Row],[TenureMonths]]&lt;=12, "0-1 Year", TelecomData[[#This Row],[TenureMonths]]&lt;=36, "1-3 Years", TelecomData[[#This Row],[TenureMonths]]&gt;36, "3+ Years")</f>
        <v>1-3 Years</v>
      </c>
      <c r="N1546" s="2" t="str">
        <f>IF(TelecomData[[#This Row],[CleanedTotalCharges]]&gt;=2500,"High Spend", "Standard Spend")</f>
        <v>Standard Spend</v>
      </c>
    </row>
    <row r="1547" spans="1:14" x14ac:dyDescent="0.3">
      <c r="A1547" s="1" t="s">
        <v>1571</v>
      </c>
      <c r="B1547" s="2" t="s">
        <v>19</v>
      </c>
      <c r="C1547" s="2" t="s">
        <v>35</v>
      </c>
      <c r="D1547" s="2">
        <v>63</v>
      </c>
      <c r="E1547" s="2" t="s">
        <v>26</v>
      </c>
      <c r="F1547" s="2" t="s">
        <v>15</v>
      </c>
      <c r="G1547" s="7">
        <v>104.75</v>
      </c>
      <c r="H1547" s="7">
        <v>6536.5</v>
      </c>
      <c r="I1547" s="2" t="s">
        <v>15</v>
      </c>
      <c r="J1547" s="2" t="s">
        <v>16</v>
      </c>
      <c r="K1547" s="2" t="s">
        <v>24</v>
      </c>
      <c r="L1547" s="7">
        <v>6536.5</v>
      </c>
      <c r="M1547" s="2" t="str">
        <f>_xlfn.IFS(TelecomData[[#This Row],[TenureMonths]]&lt;=12, "0-1 Year", TelecomData[[#This Row],[TenureMonths]]&lt;=36, "1-3 Years", TelecomData[[#This Row],[TenureMonths]]&gt;36, "3+ Years")</f>
        <v>3+ Years</v>
      </c>
      <c r="N1547" s="2" t="str">
        <f>IF(TelecomData[[#This Row],[CleanedTotalCharges]]&gt;=2500,"High Spend", "Standard Spend")</f>
        <v>High Spend</v>
      </c>
    </row>
    <row r="1548" spans="1:14" x14ac:dyDescent="0.3">
      <c r="A1548" s="1" t="s">
        <v>1572</v>
      </c>
      <c r="B1548" s="2" t="s">
        <v>12</v>
      </c>
      <c r="C1548" s="2" t="s">
        <v>35</v>
      </c>
      <c r="D1548" s="2">
        <v>60</v>
      </c>
      <c r="E1548" s="2" t="s">
        <v>15</v>
      </c>
      <c r="F1548" s="2" t="s">
        <v>36</v>
      </c>
      <c r="G1548" s="7">
        <v>19.850000000000001</v>
      </c>
      <c r="H1548" s="7">
        <v>1128.0999999999999</v>
      </c>
      <c r="I1548" s="2" t="s">
        <v>15</v>
      </c>
      <c r="J1548" s="2" t="s">
        <v>15</v>
      </c>
      <c r="K1548" s="2" t="s">
        <v>24</v>
      </c>
      <c r="L1548" s="7">
        <v>1128.0999999999999</v>
      </c>
      <c r="M1548" s="2" t="str">
        <f>_xlfn.IFS(TelecomData[[#This Row],[TenureMonths]]&lt;=12, "0-1 Year", TelecomData[[#This Row],[TenureMonths]]&lt;=36, "1-3 Years", TelecomData[[#This Row],[TenureMonths]]&gt;36, "3+ Years")</f>
        <v>3+ Years</v>
      </c>
      <c r="N1548" s="2" t="str">
        <f>IF(TelecomData[[#This Row],[CleanedTotalCharges]]&gt;=2500,"High Spend", "Standard Spend")</f>
        <v>Standard Spend</v>
      </c>
    </row>
    <row r="1549" spans="1:14" x14ac:dyDescent="0.3">
      <c r="A1549" s="1" t="s">
        <v>1573</v>
      </c>
      <c r="B1549" s="2" t="s">
        <v>12</v>
      </c>
      <c r="C1549" s="2" t="s">
        <v>20</v>
      </c>
      <c r="D1549" s="2">
        <v>63</v>
      </c>
      <c r="E1549" s="2" t="s">
        <v>26</v>
      </c>
      <c r="F1549" s="2" t="s">
        <v>15</v>
      </c>
      <c r="G1549" s="7">
        <v>107.5</v>
      </c>
      <c r="H1549" s="7">
        <v>6873.75</v>
      </c>
      <c r="I1549" s="2" t="s">
        <v>16</v>
      </c>
      <c r="J1549" s="2" t="s">
        <v>16</v>
      </c>
      <c r="K1549" s="2" t="s">
        <v>17</v>
      </c>
      <c r="L1549" s="7">
        <v>6873.75</v>
      </c>
      <c r="M1549" s="2" t="str">
        <f>_xlfn.IFS(TelecomData[[#This Row],[TenureMonths]]&lt;=12, "0-1 Year", TelecomData[[#This Row],[TenureMonths]]&lt;=36, "1-3 Years", TelecomData[[#This Row],[TenureMonths]]&gt;36, "3+ Years")</f>
        <v>3+ Years</v>
      </c>
      <c r="N1549" s="2" t="str">
        <f>IF(TelecomData[[#This Row],[CleanedTotalCharges]]&gt;=2500,"High Spend", "Standard Spend")</f>
        <v>High Spend</v>
      </c>
    </row>
    <row r="1550" spans="1:14" x14ac:dyDescent="0.3">
      <c r="A1550" s="1" t="s">
        <v>1574</v>
      </c>
      <c r="B1550" s="2" t="s">
        <v>19</v>
      </c>
      <c r="C1550" s="2" t="s">
        <v>13</v>
      </c>
      <c r="D1550" s="2">
        <v>25</v>
      </c>
      <c r="E1550" s="2" t="s">
        <v>26</v>
      </c>
      <c r="F1550" s="2" t="s">
        <v>16</v>
      </c>
      <c r="G1550" s="7">
        <v>85.9</v>
      </c>
      <c r="H1550" s="7">
        <v>2199.0500000000002</v>
      </c>
      <c r="I1550" s="2" t="s">
        <v>15</v>
      </c>
      <c r="J1550" s="2" t="s">
        <v>15</v>
      </c>
      <c r="K1550" s="2" t="s">
        <v>17</v>
      </c>
      <c r="L1550" s="7">
        <v>2199.0500000000002</v>
      </c>
      <c r="M1550" s="2" t="str">
        <f>_xlfn.IFS(TelecomData[[#This Row],[TenureMonths]]&lt;=12, "0-1 Year", TelecomData[[#This Row],[TenureMonths]]&lt;=36, "1-3 Years", TelecomData[[#This Row],[TenureMonths]]&gt;36, "3+ Years")</f>
        <v>1-3 Years</v>
      </c>
      <c r="N1550" s="2" t="str">
        <f>IF(TelecomData[[#This Row],[CleanedTotalCharges]]&gt;=2500,"High Spend", "Standard Spend")</f>
        <v>Standard Spend</v>
      </c>
    </row>
    <row r="1551" spans="1:14" x14ac:dyDescent="0.3">
      <c r="A1551" s="1" t="s">
        <v>1575</v>
      </c>
      <c r="B1551" s="2" t="s">
        <v>19</v>
      </c>
      <c r="C1551" s="2" t="s">
        <v>13</v>
      </c>
      <c r="D1551" s="2">
        <v>1</v>
      </c>
      <c r="E1551" s="2" t="s">
        <v>14</v>
      </c>
      <c r="F1551" s="2" t="s">
        <v>15</v>
      </c>
      <c r="G1551" s="7">
        <v>45.85</v>
      </c>
      <c r="H1551" s="7">
        <v>45.85</v>
      </c>
      <c r="I1551" s="2" t="s">
        <v>16</v>
      </c>
      <c r="J1551" s="2" t="s">
        <v>16</v>
      </c>
      <c r="K1551" s="2" t="s">
        <v>21</v>
      </c>
      <c r="L1551" s="7">
        <v>45.85</v>
      </c>
      <c r="M1551" s="2" t="str">
        <f>_xlfn.IFS(TelecomData[[#This Row],[TenureMonths]]&lt;=12, "0-1 Year", TelecomData[[#This Row],[TenureMonths]]&lt;=36, "1-3 Years", TelecomData[[#This Row],[TenureMonths]]&gt;36, "3+ Years")</f>
        <v>0-1 Year</v>
      </c>
      <c r="N1551" s="2" t="str">
        <f>IF(TelecomData[[#This Row],[CleanedTotalCharges]]&gt;=2500,"High Spend", "Standard Spend")</f>
        <v>Standard Spend</v>
      </c>
    </row>
    <row r="1552" spans="1:14" x14ac:dyDescent="0.3">
      <c r="A1552" s="1" t="s">
        <v>1576</v>
      </c>
      <c r="B1552" s="2" t="s">
        <v>19</v>
      </c>
      <c r="C1552" s="2" t="s">
        <v>13</v>
      </c>
      <c r="D1552" s="2">
        <v>6</v>
      </c>
      <c r="E1552" s="2" t="s">
        <v>26</v>
      </c>
      <c r="F1552" s="2" t="s">
        <v>15</v>
      </c>
      <c r="G1552" s="7">
        <v>80.8</v>
      </c>
      <c r="H1552" s="7">
        <v>457.1</v>
      </c>
      <c r="I1552" s="2" t="s">
        <v>15</v>
      </c>
      <c r="J1552" s="2" t="s">
        <v>16</v>
      </c>
      <c r="K1552" s="2" t="s">
        <v>17</v>
      </c>
      <c r="L1552" s="7">
        <v>457.1</v>
      </c>
      <c r="M1552" s="2" t="str">
        <f>_xlfn.IFS(TelecomData[[#This Row],[TenureMonths]]&lt;=12, "0-1 Year", TelecomData[[#This Row],[TenureMonths]]&lt;=36, "1-3 Years", TelecomData[[#This Row],[TenureMonths]]&gt;36, "3+ Years")</f>
        <v>0-1 Year</v>
      </c>
      <c r="N1552" s="2" t="str">
        <f>IF(TelecomData[[#This Row],[CleanedTotalCharges]]&gt;=2500,"High Spend", "Standard Spend")</f>
        <v>Standard Spend</v>
      </c>
    </row>
    <row r="1553" spans="1:14" x14ac:dyDescent="0.3">
      <c r="A1553" s="1" t="s">
        <v>1577</v>
      </c>
      <c r="B1553" s="2" t="s">
        <v>19</v>
      </c>
      <c r="C1553" s="2" t="s">
        <v>35</v>
      </c>
      <c r="D1553" s="2">
        <v>22</v>
      </c>
      <c r="E1553" s="2" t="s">
        <v>15</v>
      </c>
      <c r="F1553" s="2" t="s">
        <v>36</v>
      </c>
      <c r="G1553" s="7">
        <v>25.25</v>
      </c>
      <c r="H1553" s="7">
        <v>566.5</v>
      </c>
      <c r="I1553" s="2" t="s">
        <v>15</v>
      </c>
      <c r="J1553" s="2" t="s">
        <v>15</v>
      </c>
      <c r="K1553" s="2" t="s">
        <v>21</v>
      </c>
      <c r="L1553" s="7">
        <v>566.5</v>
      </c>
      <c r="M1553" s="2" t="str">
        <f>_xlfn.IFS(TelecomData[[#This Row],[TenureMonths]]&lt;=12, "0-1 Year", TelecomData[[#This Row],[TenureMonths]]&lt;=36, "1-3 Years", TelecomData[[#This Row],[TenureMonths]]&gt;36, "3+ Years")</f>
        <v>1-3 Years</v>
      </c>
      <c r="N1553" s="2" t="str">
        <f>IF(TelecomData[[#This Row],[CleanedTotalCharges]]&gt;=2500,"High Spend", "Standard Spend")</f>
        <v>Standard Spend</v>
      </c>
    </row>
    <row r="1554" spans="1:14" x14ac:dyDescent="0.3">
      <c r="A1554" s="1" t="s">
        <v>1578</v>
      </c>
      <c r="B1554" s="2" t="s">
        <v>12</v>
      </c>
      <c r="C1554" s="2" t="s">
        <v>35</v>
      </c>
      <c r="D1554" s="2">
        <v>31</v>
      </c>
      <c r="E1554" s="2" t="s">
        <v>14</v>
      </c>
      <c r="F1554" s="2" t="s">
        <v>16</v>
      </c>
      <c r="G1554" s="7">
        <v>80.55</v>
      </c>
      <c r="H1554" s="7">
        <v>2471.6</v>
      </c>
      <c r="I1554" s="2" t="s">
        <v>15</v>
      </c>
      <c r="J1554" s="2" t="s">
        <v>15</v>
      </c>
      <c r="K1554" s="2" t="s">
        <v>24</v>
      </c>
      <c r="L1554" s="7">
        <v>2471.6</v>
      </c>
      <c r="M1554" s="2" t="str">
        <f>_xlfn.IFS(TelecomData[[#This Row],[TenureMonths]]&lt;=12, "0-1 Year", TelecomData[[#This Row],[TenureMonths]]&lt;=36, "1-3 Years", TelecomData[[#This Row],[TenureMonths]]&gt;36, "3+ Years")</f>
        <v>1-3 Years</v>
      </c>
      <c r="N1554" s="2" t="str">
        <f>IF(TelecomData[[#This Row],[CleanedTotalCharges]]&gt;=2500,"High Spend", "Standard Spend")</f>
        <v>Standard Spend</v>
      </c>
    </row>
    <row r="1555" spans="1:14" x14ac:dyDescent="0.3">
      <c r="A1555" s="1" t="s">
        <v>1579</v>
      </c>
      <c r="B1555" s="2" t="s">
        <v>12</v>
      </c>
      <c r="C1555" s="2" t="s">
        <v>13</v>
      </c>
      <c r="D1555" s="2">
        <v>39</v>
      </c>
      <c r="E1555" s="2" t="s">
        <v>26</v>
      </c>
      <c r="F1555" s="2" t="s">
        <v>16</v>
      </c>
      <c r="G1555" s="7">
        <v>81.5</v>
      </c>
      <c r="H1555" s="7">
        <v>3107.3</v>
      </c>
      <c r="I1555" s="2" t="s">
        <v>15</v>
      </c>
      <c r="J1555" s="2" t="s">
        <v>16</v>
      </c>
      <c r="K1555" s="2" t="s">
        <v>24</v>
      </c>
      <c r="L1555" s="7">
        <v>3107.3</v>
      </c>
      <c r="M1555" s="2" t="str">
        <f>_xlfn.IFS(TelecomData[[#This Row],[TenureMonths]]&lt;=12, "0-1 Year", TelecomData[[#This Row],[TenureMonths]]&lt;=36, "1-3 Years", TelecomData[[#This Row],[TenureMonths]]&gt;36, "3+ Years")</f>
        <v>3+ Years</v>
      </c>
      <c r="N1555" s="2" t="str">
        <f>IF(TelecomData[[#This Row],[CleanedTotalCharges]]&gt;=2500,"High Spend", "Standard Spend")</f>
        <v>High Spend</v>
      </c>
    </row>
    <row r="1556" spans="1:14" x14ac:dyDescent="0.3">
      <c r="A1556" s="1" t="s">
        <v>1580</v>
      </c>
      <c r="B1556" s="2" t="s">
        <v>19</v>
      </c>
      <c r="C1556" s="2" t="s">
        <v>13</v>
      </c>
      <c r="D1556" s="2">
        <v>26</v>
      </c>
      <c r="E1556" s="2" t="s">
        <v>15</v>
      </c>
      <c r="F1556" s="2" t="s">
        <v>36</v>
      </c>
      <c r="G1556" s="7">
        <v>20.9</v>
      </c>
      <c r="H1556" s="7">
        <v>518.29999999999995</v>
      </c>
      <c r="I1556" s="2" t="s">
        <v>15</v>
      </c>
      <c r="J1556" s="2" t="s">
        <v>15</v>
      </c>
      <c r="K1556" s="2" t="s">
        <v>21</v>
      </c>
      <c r="L1556" s="7">
        <v>518.29999999999995</v>
      </c>
      <c r="M1556" s="2" t="str">
        <f>_xlfn.IFS(TelecomData[[#This Row],[TenureMonths]]&lt;=12, "0-1 Year", TelecomData[[#This Row],[TenureMonths]]&lt;=36, "1-3 Years", TelecomData[[#This Row],[TenureMonths]]&gt;36, "3+ Years")</f>
        <v>1-3 Years</v>
      </c>
      <c r="N1556" s="2" t="str">
        <f>IF(TelecomData[[#This Row],[CleanedTotalCharges]]&gt;=2500,"High Spend", "Standard Spend")</f>
        <v>Standard Spend</v>
      </c>
    </row>
    <row r="1557" spans="1:14" x14ac:dyDescent="0.3">
      <c r="A1557" s="1" t="s">
        <v>1581</v>
      </c>
      <c r="B1557" s="2" t="s">
        <v>12</v>
      </c>
      <c r="C1557" s="2" t="s">
        <v>20</v>
      </c>
      <c r="D1557" s="2">
        <v>53</v>
      </c>
      <c r="E1557" s="2" t="s">
        <v>26</v>
      </c>
      <c r="F1557" s="2" t="s">
        <v>15</v>
      </c>
      <c r="G1557" s="7">
        <v>106.1</v>
      </c>
      <c r="H1557" s="7">
        <v>5769.75</v>
      </c>
      <c r="I1557" s="2" t="s">
        <v>16</v>
      </c>
      <c r="J1557" s="2" t="s">
        <v>16</v>
      </c>
      <c r="K1557" s="2" t="s">
        <v>24</v>
      </c>
      <c r="L1557" s="7">
        <v>5769.75</v>
      </c>
      <c r="M1557" s="2" t="str">
        <f>_xlfn.IFS(TelecomData[[#This Row],[TenureMonths]]&lt;=12, "0-1 Year", TelecomData[[#This Row],[TenureMonths]]&lt;=36, "1-3 Years", TelecomData[[#This Row],[TenureMonths]]&gt;36, "3+ Years")</f>
        <v>3+ Years</v>
      </c>
      <c r="N1557" s="2" t="str">
        <f>IF(TelecomData[[#This Row],[CleanedTotalCharges]]&gt;=2500,"High Spend", "Standard Spend")</f>
        <v>High Spend</v>
      </c>
    </row>
    <row r="1558" spans="1:14" x14ac:dyDescent="0.3">
      <c r="A1558" s="1" t="s">
        <v>1582</v>
      </c>
      <c r="B1558" s="2" t="s">
        <v>12</v>
      </c>
      <c r="C1558" s="2" t="s">
        <v>13</v>
      </c>
      <c r="D1558" s="2">
        <v>1</v>
      </c>
      <c r="E1558" s="2" t="s">
        <v>26</v>
      </c>
      <c r="F1558" s="2" t="s">
        <v>16</v>
      </c>
      <c r="G1558" s="7">
        <v>91.7</v>
      </c>
      <c r="H1558" s="7">
        <v>91.7</v>
      </c>
      <c r="I1558" s="2" t="s">
        <v>16</v>
      </c>
      <c r="J1558" s="2" t="s">
        <v>15</v>
      </c>
      <c r="K1558" s="2" t="s">
        <v>17</v>
      </c>
      <c r="L1558" s="7">
        <v>91.7</v>
      </c>
      <c r="M1558" s="2" t="str">
        <f>_xlfn.IFS(TelecomData[[#This Row],[TenureMonths]]&lt;=12, "0-1 Year", TelecomData[[#This Row],[TenureMonths]]&lt;=36, "1-3 Years", TelecomData[[#This Row],[TenureMonths]]&gt;36, "3+ Years")</f>
        <v>0-1 Year</v>
      </c>
      <c r="N1558" s="2" t="str">
        <f>IF(TelecomData[[#This Row],[CleanedTotalCharges]]&gt;=2500,"High Spend", "Standard Spend")</f>
        <v>Standard Spend</v>
      </c>
    </row>
    <row r="1559" spans="1:14" x14ac:dyDescent="0.3">
      <c r="A1559" s="1" t="s">
        <v>1583</v>
      </c>
      <c r="B1559" s="2" t="s">
        <v>19</v>
      </c>
      <c r="C1559" s="2" t="s">
        <v>13</v>
      </c>
      <c r="D1559" s="2">
        <v>12</v>
      </c>
      <c r="E1559" s="2" t="s">
        <v>14</v>
      </c>
      <c r="F1559" s="2" t="s">
        <v>16</v>
      </c>
      <c r="G1559" s="7">
        <v>67.25</v>
      </c>
      <c r="H1559" s="7">
        <v>832.3</v>
      </c>
      <c r="I1559" s="2" t="s">
        <v>15</v>
      </c>
      <c r="J1559" s="2" t="s">
        <v>16</v>
      </c>
      <c r="K1559" s="2" t="s">
        <v>17</v>
      </c>
      <c r="L1559" s="7">
        <v>832.3</v>
      </c>
      <c r="M1559" s="2" t="str">
        <f>_xlfn.IFS(TelecomData[[#This Row],[TenureMonths]]&lt;=12, "0-1 Year", TelecomData[[#This Row],[TenureMonths]]&lt;=36, "1-3 Years", TelecomData[[#This Row],[TenureMonths]]&gt;36, "3+ Years")</f>
        <v>0-1 Year</v>
      </c>
      <c r="N1559" s="2" t="str">
        <f>IF(TelecomData[[#This Row],[CleanedTotalCharges]]&gt;=2500,"High Spend", "Standard Spend")</f>
        <v>Standard Spend</v>
      </c>
    </row>
    <row r="1560" spans="1:14" x14ac:dyDescent="0.3">
      <c r="A1560" s="1" t="s">
        <v>1584</v>
      </c>
      <c r="B1560" s="2" t="s">
        <v>12</v>
      </c>
      <c r="C1560" s="2" t="s">
        <v>13</v>
      </c>
      <c r="D1560" s="2">
        <v>16</v>
      </c>
      <c r="E1560" s="2" t="s">
        <v>26</v>
      </c>
      <c r="F1560" s="2" t="s">
        <v>15</v>
      </c>
      <c r="G1560" s="7">
        <v>95.6</v>
      </c>
      <c r="H1560" s="7">
        <v>1555.65</v>
      </c>
      <c r="I1560" s="2" t="s">
        <v>16</v>
      </c>
      <c r="J1560" s="2" t="s">
        <v>16</v>
      </c>
      <c r="K1560" s="2" t="s">
        <v>29</v>
      </c>
      <c r="L1560" s="7">
        <v>1555.65</v>
      </c>
      <c r="M1560" s="2" t="str">
        <f>_xlfn.IFS(TelecomData[[#This Row],[TenureMonths]]&lt;=12, "0-1 Year", TelecomData[[#This Row],[TenureMonths]]&lt;=36, "1-3 Years", TelecomData[[#This Row],[TenureMonths]]&gt;36, "3+ Years")</f>
        <v>1-3 Years</v>
      </c>
      <c r="N1560" s="2" t="str">
        <f>IF(TelecomData[[#This Row],[CleanedTotalCharges]]&gt;=2500,"High Spend", "Standard Spend")</f>
        <v>Standard Spend</v>
      </c>
    </row>
    <row r="1561" spans="1:14" x14ac:dyDescent="0.3">
      <c r="A1561" s="1" t="s">
        <v>1585</v>
      </c>
      <c r="B1561" s="2" t="s">
        <v>12</v>
      </c>
      <c r="C1561" s="2" t="s">
        <v>13</v>
      </c>
      <c r="D1561" s="2">
        <v>2</v>
      </c>
      <c r="E1561" s="2" t="s">
        <v>15</v>
      </c>
      <c r="F1561" s="2" t="s">
        <v>36</v>
      </c>
      <c r="G1561" s="7">
        <v>20.350000000000001</v>
      </c>
      <c r="H1561" s="7">
        <v>45.3</v>
      </c>
      <c r="I1561" s="2" t="s">
        <v>15</v>
      </c>
      <c r="J1561" s="2" t="s">
        <v>15</v>
      </c>
      <c r="K1561" s="2" t="s">
        <v>21</v>
      </c>
      <c r="L1561" s="7">
        <v>45.3</v>
      </c>
      <c r="M1561" s="2" t="str">
        <f>_xlfn.IFS(TelecomData[[#This Row],[TenureMonths]]&lt;=12, "0-1 Year", TelecomData[[#This Row],[TenureMonths]]&lt;=36, "1-3 Years", TelecomData[[#This Row],[TenureMonths]]&gt;36, "3+ Years")</f>
        <v>0-1 Year</v>
      </c>
      <c r="N1561" s="2" t="str">
        <f>IF(TelecomData[[#This Row],[CleanedTotalCharges]]&gt;=2500,"High Spend", "Standard Spend")</f>
        <v>Standard Spend</v>
      </c>
    </row>
    <row r="1562" spans="1:14" x14ac:dyDescent="0.3">
      <c r="A1562" s="1" t="s">
        <v>1586</v>
      </c>
      <c r="B1562" s="2" t="s">
        <v>19</v>
      </c>
      <c r="C1562" s="2" t="s">
        <v>20</v>
      </c>
      <c r="D1562" s="2">
        <v>39</v>
      </c>
      <c r="E1562" s="2" t="s">
        <v>14</v>
      </c>
      <c r="F1562" s="2" t="s">
        <v>16</v>
      </c>
      <c r="G1562" s="7">
        <v>45.05</v>
      </c>
      <c r="H1562" s="7">
        <v>1790.6</v>
      </c>
      <c r="I1562" s="2" t="s">
        <v>15</v>
      </c>
      <c r="J1562" s="2" t="s">
        <v>15</v>
      </c>
      <c r="K1562" s="2" t="s">
        <v>24</v>
      </c>
      <c r="L1562" s="7">
        <v>1790.6</v>
      </c>
      <c r="M1562" s="2" t="str">
        <f>_xlfn.IFS(TelecomData[[#This Row],[TenureMonths]]&lt;=12, "0-1 Year", TelecomData[[#This Row],[TenureMonths]]&lt;=36, "1-3 Years", TelecomData[[#This Row],[TenureMonths]]&gt;36, "3+ Years")</f>
        <v>3+ Years</v>
      </c>
      <c r="N1562" s="2" t="str">
        <f>IF(TelecomData[[#This Row],[CleanedTotalCharges]]&gt;=2500,"High Spend", "Standard Spend")</f>
        <v>Standard Spend</v>
      </c>
    </row>
    <row r="1563" spans="1:14" x14ac:dyDescent="0.3">
      <c r="A1563" s="1" t="s">
        <v>1587</v>
      </c>
      <c r="B1563" s="2" t="s">
        <v>19</v>
      </c>
      <c r="C1563" s="2" t="s">
        <v>13</v>
      </c>
      <c r="D1563" s="2">
        <v>1</v>
      </c>
      <c r="E1563" s="2" t="s">
        <v>26</v>
      </c>
      <c r="F1563" s="2" t="s">
        <v>15</v>
      </c>
      <c r="G1563" s="7">
        <v>74.95</v>
      </c>
      <c r="H1563" s="7">
        <v>74.95</v>
      </c>
      <c r="I1563" s="2" t="s">
        <v>16</v>
      </c>
      <c r="J1563" s="2" t="s">
        <v>16</v>
      </c>
      <c r="K1563" s="2" t="s">
        <v>17</v>
      </c>
      <c r="L1563" s="7">
        <v>74.95</v>
      </c>
      <c r="M1563" s="2" t="str">
        <f>_xlfn.IFS(TelecomData[[#This Row],[TenureMonths]]&lt;=12, "0-1 Year", TelecomData[[#This Row],[TenureMonths]]&lt;=36, "1-3 Years", TelecomData[[#This Row],[TenureMonths]]&gt;36, "3+ Years")</f>
        <v>0-1 Year</v>
      </c>
      <c r="N1563" s="2" t="str">
        <f>IF(TelecomData[[#This Row],[CleanedTotalCharges]]&gt;=2500,"High Spend", "Standard Spend")</f>
        <v>Standard Spend</v>
      </c>
    </row>
    <row r="1564" spans="1:14" x14ac:dyDescent="0.3">
      <c r="A1564" s="1" t="s">
        <v>1588</v>
      </c>
      <c r="B1564" s="2" t="s">
        <v>12</v>
      </c>
      <c r="C1564" s="2" t="s">
        <v>13</v>
      </c>
      <c r="D1564" s="2">
        <v>7</v>
      </c>
      <c r="E1564" s="2" t="s">
        <v>14</v>
      </c>
      <c r="F1564" s="2" t="s">
        <v>16</v>
      </c>
      <c r="G1564" s="7">
        <v>34.65</v>
      </c>
      <c r="H1564" s="7">
        <v>246.6</v>
      </c>
      <c r="I1564" s="2" t="s">
        <v>15</v>
      </c>
      <c r="J1564" s="2" t="s">
        <v>15</v>
      </c>
      <c r="K1564" s="2" t="s">
        <v>21</v>
      </c>
      <c r="L1564" s="7">
        <v>246.6</v>
      </c>
      <c r="M1564" s="2" t="str">
        <f>_xlfn.IFS(TelecomData[[#This Row],[TenureMonths]]&lt;=12, "0-1 Year", TelecomData[[#This Row],[TenureMonths]]&lt;=36, "1-3 Years", TelecomData[[#This Row],[TenureMonths]]&gt;36, "3+ Years")</f>
        <v>0-1 Year</v>
      </c>
      <c r="N1564" s="2" t="str">
        <f>IF(TelecomData[[#This Row],[CleanedTotalCharges]]&gt;=2500,"High Spend", "Standard Spend")</f>
        <v>Standard Spend</v>
      </c>
    </row>
    <row r="1565" spans="1:14" x14ac:dyDescent="0.3">
      <c r="A1565" s="1" t="s">
        <v>1589</v>
      </c>
      <c r="B1565" s="2" t="s">
        <v>19</v>
      </c>
      <c r="C1565" s="2" t="s">
        <v>13</v>
      </c>
      <c r="D1565" s="2">
        <v>4</v>
      </c>
      <c r="E1565" s="2" t="s">
        <v>26</v>
      </c>
      <c r="F1565" s="2" t="s">
        <v>15</v>
      </c>
      <c r="G1565" s="7">
        <v>69.349999999999994</v>
      </c>
      <c r="H1565" s="7">
        <v>261.64999999999998</v>
      </c>
      <c r="I1565" s="2" t="s">
        <v>15</v>
      </c>
      <c r="J1565" s="2" t="s">
        <v>15</v>
      </c>
      <c r="K1565" s="2" t="s">
        <v>17</v>
      </c>
      <c r="L1565" s="7">
        <v>261.64999999999998</v>
      </c>
      <c r="M1565" s="2" t="str">
        <f>_xlfn.IFS(TelecomData[[#This Row],[TenureMonths]]&lt;=12, "0-1 Year", TelecomData[[#This Row],[TenureMonths]]&lt;=36, "1-3 Years", TelecomData[[#This Row],[TenureMonths]]&gt;36, "3+ Years")</f>
        <v>0-1 Year</v>
      </c>
      <c r="N1565" s="2" t="str">
        <f>IF(TelecomData[[#This Row],[CleanedTotalCharges]]&gt;=2500,"High Spend", "Standard Spend")</f>
        <v>Standard Spend</v>
      </c>
    </row>
    <row r="1566" spans="1:14" x14ac:dyDescent="0.3">
      <c r="A1566" s="1" t="s">
        <v>1590</v>
      </c>
      <c r="B1566" s="2" t="s">
        <v>19</v>
      </c>
      <c r="C1566" s="2" t="s">
        <v>13</v>
      </c>
      <c r="D1566" s="2">
        <v>10</v>
      </c>
      <c r="E1566" s="2" t="s">
        <v>26</v>
      </c>
      <c r="F1566" s="2" t="s">
        <v>15</v>
      </c>
      <c r="G1566" s="7">
        <v>95.35</v>
      </c>
      <c r="H1566" s="7">
        <v>898.35</v>
      </c>
      <c r="I1566" s="2" t="s">
        <v>16</v>
      </c>
      <c r="J1566" s="2" t="s">
        <v>16</v>
      </c>
      <c r="K1566" s="2" t="s">
        <v>17</v>
      </c>
      <c r="L1566" s="7">
        <v>898.35</v>
      </c>
      <c r="M1566" s="2" t="str">
        <f>_xlfn.IFS(TelecomData[[#This Row],[TenureMonths]]&lt;=12, "0-1 Year", TelecomData[[#This Row],[TenureMonths]]&lt;=36, "1-3 Years", TelecomData[[#This Row],[TenureMonths]]&gt;36, "3+ Years")</f>
        <v>0-1 Year</v>
      </c>
      <c r="N1566" s="2" t="str">
        <f>IF(TelecomData[[#This Row],[CleanedTotalCharges]]&gt;=2500,"High Spend", "Standard Spend")</f>
        <v>Standard Spend</v>
      </c>
    </row>
    <row r="1567" spans="1:14" x14ac:dyDescent="0.3">
      <c r="A1567" s="1" t="s">
        <v>1591</v>
      </c>
      <c r="B1567" s="2" t="s">
        <v>12</v>
      </c>
      <c r="C1567" s="2" t="s">
        <v>13</v>
      </c>
      <c r="D1567" s="2">
        <v>55</v>
      </c>
      <c r="E1567" s="2" t="s">
        <v>26</v>
      </c>
      <c r="F1567" s="2" t="s">
        <v>15</v>
      </c>
      <c r="G1567" s="7">
        <v>81.55</v>
      </c>
      <c r="H1567" s="7">
        <v>4509.5</v>
      </c>
      <c r="I1567" s="2" t="s">
        <v>15</v>
      </c>
      <c r="J1567" s="2" t="s">
        <v>16</v>
      </c>
      <c r="K1567" s="2" t="s">
        <v>17</v>
      </c>
      <c r="L1567" s="7">
        <v>4509.5</v>
      </c>
      <c r="M1567" s="2" t="str">
        <f>_xlfn.IFS(TelecomData[[#This Row],[TenureMonths]]&lt;=12, "0-1 Year", TelecomData[[#This Row],[TenureMonths]]&lt;=36, "1-3 Years", TelecomData[[#This Row],[TenureMonths]]&gt;36, "3+ Years")</f>
        <v>3+ Years</v>
      </c>
      <c r="N1567" s="2" t="str">
        <f>IF(TelecomData[[#This Row],[CleanedTotalCharges]]&gt;=2500,"High Spend", "Standard Spend")</f>
        <v>High Spend</v>
      </c>
    </row>
    <row r="1568" spans="1:14" x14ac:dyDescent="0.3">
      <c r="A1568" s="1" t="s">
        <v>1592</v>
      </c>
      <c r="B1568" s="2" t="s">
        <v>19</v>
      </c>
      <c r="C1568" s="2" t="s">
        <v>35</v>
      </c>
      <c r="D1568" s="2">
        <v>72</v>
      </c>
      <c r="E1568" s="2" t="s">
        <v>14</v>
      </c>
      <c r="F1568" s="2" t="s">
        <v>15</v>
      </c>
      <c r="G1568" s="7">
        <v>75.400000000000006</v>
      </c>
      <c r="H1568" s="7">
        <v>5480.25</v>
      </c>
      <c r="I1568" s="2" t="s">
        <v>15</v>
      </c>
      <c r="J1568" s="2" t="s">
        <v>16</v>
      </c>
      <c r="K1568" s="2" t="s">
        <v>24</v>
      </c>
      <c r="L1568" s="7">
        <v>5480.25</v>
      </c>
      <c r="M1568" s="2" t="str">
        <f>_xlfn.IFS(TelecomData[[#This Row],[TenureMonths]]&lt;=12, "0-1 Year", TelecomData[[#This Row],[TenureMonths]]&lt;=36, "1-3 Years", TelecomData[[#This Row],[TenureMonths]]&gt;36, "3+ Years")</f>
        <v>3+ Years</v>
      </c>
      <c r="N1568" s="2" t="str">
        <f>IF(TelecomData[[#This Row],[CleanedTotalCharges]]&gt;=2500,"High Spend", "Standard Spend")</f>
        <v>High Spend</v>
      </c>
    </row>
    <row r="1569" spans="1:14" x14ac:dyDescent="0.3">
      <c r="A1569" s="1" t="s">
        <v>1593</v>
      </c>
      <c r="B1569" s="2" t="s">
        <v>12</v>
      </c>
      <c r="C1569" s="2" t="s">
        <v>13</v>
      </c>
      <c r="D1569" s="2">
        <v>10</v>
      </c>
      <c r="E1569" s="2" t="s">
        <v>14</v>
      </c>
      <c r="F1569" s="2" t="s">
        <v>15</v>
      </c>
      <c r="G1569" s="7">
        <v>67.8</v>
      </c>
      <c r="H1569" s="7">
        <v>653.15</v>
      </c>
      <c r="I1569" s="2" t="s">
        <v>15</v>
      </c>
      <c r="J1569" s="2" t="s">
        <v>16</v>
      </c>
      <c r="K1569" s="2" t="s">
        <v>29</v>
      </c>
      <c r="L1569" s="7">
        <v>653.15</v>
      </c>
      <c r="M1569" s="2" t="str">
        <f>_xlfn.IFS(TelecomData[[#This Row],[TenureMonths]]&lt;=12, "0-1 Year", TelecomData[[#This Row],[TenureMonths]]&lt;=36, "1-3 Years", TelecomData[[#This Row],[TenureMonths]]&gt;36, "3+ Years")</f>
        <v>0-1 Year</v>
      </c>
      <c r="N1569" s="2" t="str">
        <f>IF(TelecomData[[#This Row],[CleanedTotalCharges]]&gt;=2500,"High Spend", "Standard Spend")</f>
        <v>Standard Spend</v>
      </c>
    </row>
    <row r="1570" spans="1:14" x14ac:dyDescent="0.3">
      <c r="A1570" s="1" t="s">
        <v>1594</v>
      </c>
      <c r="B1570" s="2" t="s">
        <v>19</v>
      </c>
      <c r="C1570" s="2" t="s">
        <v>13</v>
      </c>
      <c r="D1570" s="2">
        <v>11</v>
      </c>
      <c r="E1570" s="2" t="s">
        <v>26</v>
      </c>
      <c r="F1570" s="2" t="s">
        <v>16</v>
      </c>
      <c r="G1570" s="7">
        <v>111.4</v>
      </c>
      <c r="H1570" s="7">
        <v>1183.05</v>
      </c>
      <c r="I1570" s="2" t="s">
        <v>15</v>
      </c>
      <c r="J1570" s="2" t="s">
        <v>16</v>
      </c>
      <c r="K1570" s="2" t="s">
        <v>17</v>
      </c>
      <c r="L1570" s="7">
        <v>1183.05</v>
      </c>
      <c r="M1570" s="2" t="str">
        <f>_xlfn.IFS(TelecomData[[#This Row],[TenureMonths]]&lt;=12, "0-1 Year", TelecomData[[#This Row],[TenureMonths]]&lt;=36, "1-3 Years", TelecomData[[#This Row],[TenureMonths]]&gt;36, "3+ Years")</f>
        <v>0-1 Year</v>
      </c>
      <c r="N1570" s="2" t="str">
        <f>IF(TelecomData[[#This Row],[CleanedTotalCharges]]&gt;=2500,"High Spend", "Standard Spend")</f>
        <v>Standard Spend</v>
      </c>
    </row>
    <row r="1571" spans="1:14" x14ac:dyDescent="0.3">
      <c r="A1571" s="1" t="s">
        <v>1595</v>
      </c>
      <c r="B1571" s="2" t="s">
        <v>12</v>
      </c>
      <c r="C1571" s="2" t="s">
        <v>13</v>
      </c>
      <c r="D1571" s="2">
        <v>15</v>
      </c>
      <c r="E1571" s="2" t="s">
        <v>14</v>
      </c>
      <c r="F1571" s="2" t="s">
        <v>15</v>
      </c>
      <c r="G1571" s="7">
        <v>46.3</v>
      </c>
      <c r="H1571" s="7">
        <v>639.45000000000005</v>
      </c>
      <c r="I1571" s="2" t="s">
        <v>15</v>
      </c>
      <c r="J1571" s="2" t="s">
        <v>15</v>
      </c>
      <c r="K1571" s="2" t="s">
        <v>17</v>
      </c>
      <c r="L1571" s="7">
        <v>639.45000000000005</v>
      </c>
      <c r="M1571" s="2" t="str">
        <f>_xlfn.IFS(TelecomData[[#This Row],[TenureMonths]]&lt;=12, "0-1 Year", TelecomData[[#This Row],[TenureMonths]]&lt;=36, "1-3 Years", TelecomData[[#This Row],[TenureMonths]]&gt;36, "3+ Years")</f>
        <v>1-3 Years</v>
      </c>
      <c r="N1571" s="2" t="str">
        <f>IF(TelecomData[[#This Row],[CleanedTotalCharges]]&gt;=2500,"High Spend", "Standard Spend")</f>
        <v>Standard Spend</v>
      </c>
    </row>
    <row r="1572" spans="1:14" x14ac:dyDescent="0.3">
      <c r="A1572" s="1" t="s">
        <v>1596</v>
      </c>
      <c r="B1572" s="2" t="s">
        <v>12</v>
      </c>
      <c r="C1572" s="2" t="s">
        <v>35</v>
      </c>
      <c r="D1572" s="2">
        <v>23</v>
      </c>
      <c r="E1572" s="2" t="s">
        <v>15</v>
      </c>
      <c r="F1572" s="2" t="s">
        <v>36</v>
      </c>
      <c r="G1572" s="7">
        <v>20.399999999999999</v>
      </c>
      <c r="H1572" s="7">
        <v>478.75</v>
      </c>
      <c r="I1572" s="2" t="s">
        <v>15</v>
      </c>
      <c r="J1572" s="2" t="s">
        <v>15</v>
      </c>
      <c r="K1572" s="2" t="s">
        <v>24</v>
      </c>
      <c r="L1572" s="7">
        <v>478.75</v>
      </c>
      <c r="M1572" s="2" t="str">
        <f>_xlfn.IFS(TelecomData[[#This Row],[TenureMonths]]&lt;=12, "0-1 Year", TelecomData[[#This Row],[TenureMonths]]&lt;=36, "1-3 Years", TelecomData[[#This Row],[TenureMonths]]&gt;36, "3+ Years")</f>
        <v>1-3 Years</v>
      </c>
      <c r="N1572" s="2" t="str">
        <f>IF(TelecomData[[#This Row],[CleanedTotalCharges]]&gt;=2500,"High Spend", "Standard Spend")</f>
        <v>Standard Spend</v>
      </c>
    </row>
    <row r="1573" spans="1:14" x14ac:dyDescent="0.3">
      <c r="A1573" s="1" t="s">
        <v>1597</v>
      </c>
      <c r="B1573" s="2" t="s">
        <v>19</v>
      </c>
      <c r="C1573" s="2" t="s">
        <v>13</v>
      </c>
      <c r="D1573" s="2">
        <v>1</v>
      </c>
      <c r="E1573" s="2" t="s">
        <v>15</v>
      </c>
      <c r="F1573" s="2" t="s">
        <v>36</v>
      </c>
      <c r="G1573" s="7">
        <v>20.05</v>
      </c>
      <c r="H1573" s="7">
        <v>20.05</v>
      </c>
      <c r="I1573" s="2" t="s">
        <v>15</v>
      </c>
      <c r="J1573" s="2" t="s">
        <v>15</v>
      </c>
      <c r="K1573" s="2" t="s">
        <v>21</v>
      </c>
      <c r="L1573" s="7">
        <v>20.05</v>
      </c>
      <c r="M1573" s="2" t="str">
        <f>_xlfn.IFS(TelecomData[[#This Row],[TenureMonths]]&lt;=12, "0-1 Year", TelecomData[[#This Row],[TenureMonths]]&lt;=36, "1-3 Years", TelecomData[[#This Row],[TenureMonths]]&gt;36, "3+ Years")</f>
        <v>0-1 Year</v>
      </c>
      <c r="N1573" s="2" t="str">
        <f>IF(TelecomData[[#This Row],[CleanedTotalCharges]]&gt;=2500,"High Spend", "Standard Spend")</f>
        <v>Standard Spend</v>
      </c>
    </row>
    <row r="1574" spans="1:14" x14ac:dyDescent="0.3">
      <c r="A1574" s="1" t="s">
        <v>1598</v>
      </c>
      <c r="B1574" s="2" t="s">
        <v>12</v>
      </c>
      <c r="C1574" s="2" t="s">
        <v>13</v>
      </c>
      <c r="D1574" s="2">
        <v>3</v>
      </c>
      <c r="E1574" s="2" t="s">
        <v>14</v>
      </c>
      <c r="F1574" s="2" t="s">
        <v>15</v>
      </c>
      <c r="G1574" s="7">
        <v>45</v>
      </c>
      <c r="H1574" s="7">
        <v>127.1</v>
      </c>
      <c r="I1574" s="2" t="s">
        <v>16</v>
      </c>
      <c r="J1574" s="2" t="s">
        <v>15</v>
      </c>
      <c r="K1574" s="2" t="s">
        <v>17</v>
      </c>
      <c r="L1574" s="7">
        <v>127.1</v>
      </c>
      <c r="M1574" s="2" t="str">
        <f>_xlfn.IFS(TelecomData[[#This Row],[TenureMonths]]&lt;=12, "0-1 Year", TelecomData[[#This Row],[TenureMonths]]&lt;=36, "1-3 Years", TelecomData[[#This Row],[TenureMonths]]&gt;36, "3+ Years")</f>
        <v>0-1 Year</v>
      </c>
      <c r="N1574" s="2" t="str">
        <f>IF(TelecomData[[#This Row],[CleanedTotalCharges]]&gt;=2500,"High Spend", "Standard Spend")</f>
        <v>Standard Spend</v>
      </c>
    </row>
    <row r="1575" spans="1:14" x14ac:dyDescent="0.3">
      <c r="A1575" s="1" t="s">
        <v>1599</v>
      </c>
      <c r="B1575" s="2" t="s">
        <v>19</v>
      </c>
      <c r="C1575" s="2" t="s">
        <v>20</v>
      </c>
      <c r="D1575" s="2">
        <v>47</v>
      </c>
      <c r="E1575" s="2" t="s">
        <v>26</v>
      </c>
      <c r="F1575" s="2" t="s">
        <v>15</v>
      </c>
      <c r="G1575" s="7">
        <v>96.1</v>
      </c>
      <c r="H1575" s="7">
        <v>4391.45</v>
      </c>
      <c r="I1575" s="2" t="s">
        <v>15</v>
      </c>
      <c r="J1575" s="2" t="s">
        <v>16</v>
      </c>
      <c r="K1575" s="2" t="s">
        <v>17</v>
      </c>
      <c r="L1575" s="7">
        <v>4391.45</v>
      </c>
      <c r="M1575" s="2" t="str">
        <f>_xlfn.IFS(TelecomData[[#This Row],[TenureMonths]]&lt;=12, "0-1 Year", TelecomData[[#This Row],[TenureMonths]]&lt;=36, "1-3 Years", TelecomData[[#This Row],[TenureMonths]]&gt;36, "3+ Years")</f>
        <v>3+ Years</v>
      </c>
      <c r="N1575" s="2" t="str">
        <f>IF(TelecomData[[#This Row],[CleanedTotalCharges]]&gt;=2500,"High Spend", "Standard Spend")</f>
        <v>High Spend</v>
      </c>
    </row>
    <row r="1576" spans="1:14" x14ac:dyDescent="0.3">
      <c r="A1576" s="1" t="s">
        <v>1600</v>
      </c>
      <c r="B1576" s="2" t="s">
        <v>12</v>
      </c>
      <c r="C1576" s="2" t="s">
        <v>20</v>
      </c>
      <c r="D1576" s="2">
        <v>15</v>
      </c>
      <c r="E1576" s="2" t="s">
        <v>15</v>
      </c>
      <c r="F1576" s="2" t="s">
        <v>36</v>
      </c>
      <c r="G1576" s="7">
        <v>19.649999999999999</v>
      </c>
      <c r="H1576" s="7">
        <v>270.60000000000002</v>
      </c>
      <c r="I1576" s="2" t="s">
        <v>15</v>
      </c>
      <c r="J1576" s="2" t="s">
        <v>15</v>
      </c>
      <c r="K1576" s="2" t="s">
        <v>21</v>
      </c>
      <c r="L1576" s="7">
        <v>270.60000000000002</v>
      </c>
      <c r="M1576" s="2" t="str">
        <f>_xlfn.IFS(TelecomData[[#This Row],[TenureMonths]]&lt;=12, "0-1 Year", TelecomData[[#This Row],[TenureMonths]]&lt;=36, "1-3 Years", TelecomData[[#This Row],[TenureMonths]]&gt;36, "3+ Years")</f>
        <v>1-3 Years</v>
      </c>
      <c r="N1576" s="2" t="str">
        <f>IF(TelecomData[[#This Row],[CleanedTotalCharges]]&gt;=2500,"High Spend", "Standard Spend")</f>
        <v>Standard Spend</v>
      </c>
    </row>
    <row r="1577" spans="1:14" x14ac:dyDescent="0.3">
      <c r="A1577" s="1" t="s">
        <v>1601</v>
      </c>
      <c r="B1577" s="2" t="s">
        <v>19</v>
      </c>
      <c r="C1577" s="2" t="s">
        <v>13</v>
      </c>
      <c r="D1577" s="2">
        <v>66</v>
      </c>
      <c r="E1577" s="2" t="s">
        <v>26</v>
      </c>
      <c r="F1577" s="2" t="s">
        <v>15</v>
      </c>
      <c r="G1577" s="7">
        <v>99.5</v>
      </c>
      <c r="H1577" s="7">
        <v>6710.5</v>
      </c>
      <c r="I1577" s="2" t="s">
        <v>16</v>
      </c>
      <c r="J1577" s="2" t="s">
        <v>15</v>
      </c>
      <c r="K1577" s="2" t="s">
        <v>17</v>
      </c>
      <c r="L1577" s="7">
        <v>6710.5</v>
      </c>
      <c r="M1577" s="2" t="str">
        <f>_xlfn.IFS(TelecomData[[#This Row],[TenureMonths]]&lt;=12, "0-1 Year", TelecomData[[#This Row],[TenureMonths]]&lt;=36, "1-3 Years", TelecomData[[#This Row],[TenureMonths]]&gt;36, "3+ Years")</f>
        <v>3+ Years</v>
      </c>
      <c r="N1577" s="2" t="str">
        <f>IF(TelecomData[[#This Row],[CleanedTotalCharges]]&gt;=2500,"High Spend", "Standard Spend")</f>
        <v>High Spend</v>
      </c>
    </row>
    <row r="1578" spans="1:14" x14ac:dyDescent="0.3">
      <c r="A1578" s="1" t="s">
        <v>1602</v>
      </c>
      <c r="B1578" s="2" t="s">
        <v>12</v>
      </c>
      <c r="C1578" s="2" t="s">
        <v>20</v>
      </c>
      <c r="D1578" s="2">
        <v>68</v>
      </c>
      <c r="E1578" s="2" t="s">
        <v>14</v>
      </c>
      <c r="F1578" s="2" t="s">
        <v>16</v>
      </c>
      <c r="G1578" s="7">
        <v>60.65</v>
      </c>
      <c r="H1578" s="7">
        <v>3975.9</v>
      </c>
      <c r="I1578" s="2" t="s">
        <v>15</v>
      </c>
      <c r="J1578" s="2" t="s">
        <v>16</v>
      </c>
      <c r="K1578" s="2" t="s">
        <v>24</v>
      </c>
      <c r="L1578" s="7">
        <v>3975.9</v>
      </c>
      <c r="M1578" s="2" t="str">
        <f>_xlfn.IFS(TelecomData[[#This Row],[TenureMonths]]&lt;=12, "0-1 Year", TelecomData[[#This Row],[TenureMonths]]&lt;=36, "1-3 Years", TelecomData[[#This Row],[TenureMonths]]&gt;36, "3+ Years")</f>
        <v>3+ Years</v>
      </c>
      <c r="N1578" s="2" t="str">
        <f>IF(TelecomData[[#This Row],[CleanedTotalCharges]]&gt;=2500,"High Spend", "Standard Spend")</f>
        <v>High Spend</v>
      </c>
    </row>
    <row r="1579" spans="1:14" x14ac:dyDescent="0.3">
      <c r="A1579" s="1" t="s">
        <v>1603</v>
      </c>
      <c r="B1579" s="2" t="s">
        <v>12</v>
      </c>
      <c r="C1579" s="2" t="s">
        <v>20</v>
      </c>
      <c r="D1579" s="2">
        <v>17</v>
      </c>
      <c r="E1579" s="2" t="s">
        <v>26</v>
      </c>
      <c r="F1579" s="2" t="s">
        <v>16</v>
      </c>
      <c r="G1579" s="7">
        <v>98.6</v>
      </c>
      <c r="H1579" s="7">
        <v>1704.95</v>
      </c>
      <c r="I1579" s="2" t="s">
        <v>16</v>
      </c>
      <c r="J1579" s="2" t="s">
        <v>15</v>
      </c>
      <c r="K1579" s="2" t="s">
        <v>24</v>
      </c>
      <c r="L1579" s="7">
        <v>1704.95</v>
      </c>
      <c r="M1579" s="2" t="str">
        <f>_xlfn.IFS(TelecomData[[#This Row],[TenureMonths]]&lt;=12, "0-1 Year", TelecomData[[#This Row],[TenureMonths]]&lt;=36, "1-3 Years", TelecomData[[#This Row],[TenureMonths]]&gt;36, "3+ Years")</f>
        <v>1-3 Years</v>
      </c>
      <c r="N1579" s="2" t="str">
        <f>IF(TelecomData[[#This Row],[CleanedTotalCharges]]&gt;=2500,"High Spend", "Standard Spend")</f>
        <v>Standard Spend</v>
      </c>
    </row>
    <row r="1580" spans="1:14" x14ac:dyDescent="0.3">
      <c r="A1580" s="1" t="s">
        <v>1604</v>
      </c>
      <c r="B1580" s="2" t="s">
        <v>12</v>
      </c>
      <c r="C1580" s="2" t="s">
        <v>13</v>
      </c>
      <c r="D1580" s="2">
        <v>7</v>
      </c>
      <c r="E1580" s="2" t="s">
        <v>14</v>
      </c>
      <c r="F1580" s="2" t="s">
        <v>16</v>
      </c>
      <c r="G1580" s="7">
        <v>59.5</v>
      </c>
      <c r="H1580" s="7">
        <v>415.95</v>
      </c>
      <c r="I1580" s="2" t="s">
        <v>16</v>
      </c>
      <c r="J1580" s="2" t="s">
        <v>16</v>
      </c>
      <c r="K1580" s="2" t="s">
        <v>21</v>
      </c>
      <c r="L1580" s="7">
        <v>415.95</v>
      </c>
      <c r="M1580" s="2" t="str">
        <f>_xlfn.IFS(TelecomData[[#This Row],[TenureMonths]]&lt;=12, "0-1 Year", TelecomData[[#This Row],[TenureMonths]]&lt;=36, "1-3 Years", TelecomData[[#This Row],[TenureMonths]]&gt;36, "3+ Years")</f>
        <v>0-1 Year</v>
      </c>
      <c r="N1580" s="2" t="str">
        <f>IF(TelecomData[[#This Row],[CleanedTotalCharges]]&gt;=2500,"High Spend", "Standard Spend")</f>
        <v>Standard Spend</v>
      </c>
    </row>
    <row r="1581" spans="1:14" x14ac:dyDescent="0.3">
      <c r="A1581" s="1" t="s">
        <v>1605</v>
      </c>
      <c r="B1581" s="2" t="s">
        <v>19</v>
      </c>
      <c r="C1581" s="2" t="s">
        <v>13</v>
      </c>
      <c r="D1581" s="2">
        <v>12</v>
      </c>
      <c r="E1581" s="2" t="s">
        <v>26</v>
      </c>
      <c r="F1581" s="2" t="s">
        <v>15</v>
      </c>
      <c r="G1581" s="7">
        <v>80.45</v>
      </c>
      <c r="H1581" s="7">
        <v>950.2</v>
      </c>
      <c r="I1581" s="2" t="s">
        <v>16</v>
      </c>
      <c r="J1581" s="2" t="s">
        <v>16</v>
      </c>
      <c r="K1581" s="2" t="s">
        <v>17</v>
      </c>
      <c r="L1581" s="7">
        <v>950.2</v>
      </c>
      <c r="M1581" s="2" t="str">
        <f>_xlfn.IFS(TelecomData[[#This Row],[TenureMonths]]&lt;=12, "0-1 Year", TelecomData[[#This Row],[TenureMonths]]&lt;=36, "1-3 Years", TelecomData[[#This Row],[TenureMonths]]&gt;36, "3+ Years")</f>
        <v>0-1 Year</v>
      </c>
      <c r="N1581" s="2" t="str">
        <f>IF(TelecomData[[#This Row],[CleanedTotalCharges]]&gt;=2500,"High Spend", "Standard Spend")</f>
        <v>Standard Spend</v>
      </c>
    </row>
    <row r="1582" spans="1:14" x14ac:dyDescent="0.3">
      <c r="A1582" s="1" t="s">
        <v>1606</v>
      </c>
      <c r="B1582" s="2" t="s">
        <v>12</v>
      </c>
      <c r="C1582" s="2" t="s">
        <v>20</v>
      </c>
      <c r="D1582" s="2">
        <v>21</v>
      </c>
      <c r="E1582" s="2" t="s">
        <v>14</v>
      </c>
      <c r="F1582" s="2" t="s">
        <v>15</v>
      </c>
      <c r="G1582" s="7">
        <v>71.7</v>
      </c>
      <c r="H1582" s="7">
        <v>1497.05</v>
      </c>
      <c r="I1582" s="2" t="s">
        <v>15</v>
      </c>
      <c r="J1582" s="2" t="s">
        <v>15</v>
      </c>
      <c r="K1582" s="2" t="s">
        <v>24</v>
      </c>
      <c r="L1582" s="7">
        <v>1497.05</v>
      </c>
      <c r="M1582" s="2" t="str">
        <f>_xlfn.IFS(TelecomData[[#This Row],[TenureMonths]]&lt;=12, "0-1 Year", TelecomData[[#This Row],[TenureMonths]]&lt;=36, "1-3 Years", TelecomData[[#This Row],[TenureMonths]]&gt;36, "3+ Years")</f>
        <v>1-3 Years</v>
      </c>
      <c r="N1582" s="2" t="str">
        <f>IF(TelecomData[[#This Row],[CleanedTotalCharges]]&gt;=2500,"High Spend", "Standard Spend")</f>
        <v>Standard Spend</v>
      </c>
    </row>
    <row r="1583" spans="1:14" x14ac:dyDescent="0.3">
      <c r="A1583" s="1" t="s">
        <v>1607</v>
      </c>
      <c r="B1583" s="2" t="s">
        <v>19</v>
      </c>
      <c r="C1583" s="2" t="s">
        <v>13</v>
      </c>
      <c r="D1583" s="2">
        <v>21</v>
      </c>
      <c r="E1583" s="2" t="s">
        <v>14</v>
      </c>
      <c r="F1583" s="2" t="s">
        <v>16</v>
      </c>
      <c r="G1583" s="7">
        <v>36</v>
      </c>
      <c r="H1583" s="7">
        <v>780.15</v>
      </c>
      <c r="I1583" s="2" t="s">
        <v>15</v>
      </c>
      <c r="J1583" s="2" t="s">
        <v>16</v>
      </c>
      <c r="K1583" s="2" t="s">
        <v>21</v>
      </c>
      <c r="L1583" s="7">
        <v>780.15</v>
      </c>
      <c r="M1583" s="2" t="str">
        <f>_xlfn.IFS(TelecomData[[#This Row],[TenureMonths]]&lt;=12, "0-1 Year", TelecomData[[#This Row],[TenureMonths]]&lt;=36, "1-3 Years", TelecomData[[#This Row],[TenureMonths]]&gt;36, "3+ Years")</f>
        <v>1-3 Years</v>
      </c>
      <c r="N1583" s="2" t="str">
        <f>IF(TelecomData[[#This Row],[CleanedTotalCharges]]&gt;=2500,"High Spend", "Standard Spend")</f>
        <v>Standard Spend</v>
      </c>
    </row>
    <row r="1584" spans="1:14" x14ac:dyDescent="0.3">
      <c r="A1584" s="1" t="s">
        <v>1608</v>
      </c>
      <c r="B1584" s="2" t="s">
        <v>12</v>
      </c>
      <c r="C1584" s="2" t="s">
        <v>20</v>
      </c>
      <c r="D1584" s="2">
        <v>56</v>
      </c>
      <c r="E1584" s="2" t="s">
        <v>14</v>
      </c>
      <c r="F1584" s="2" t="s">
        <v>15</v>
      </c>
      <c r="G1584" s="7">
        <v>65.2</v>
      </c>
      <c r="H1584" s="7">
        <v>3512.15</v>
      </c>
      <c r="I1584" s="2" t="s">
        <v>15</v>
      </c>
      <c r="J1584" s="2" t="s">
        <v>15</v>
      </c>
      <c r="K1584" s="2" t="s">
        <v>24</v>
      </c>
      <c r="L1584" s="7">
        <v>3512.15</v>
      </c>
      <c r="M1584" s="2" t="str">
        <f>_xlfn.IFS(TelecomData[[#This Row],[TenureMonths]]&lt;=12, "0-1 Year", TelecomData[[#This Row],[TenureMonths]]&lt;=36, "1-3 Years", TelecomData[[#This Row],[TenureMonths]]&gt;36, "3+ Years")</f>
        <v>3+ Years</v>
      </c>
      <c r="N1584" s="2" t="str">
        <f>IF(TelecomData[[#This Row],[CleanedTotalCharges]]&gt;=2500,"High Spend", "Standard Spend")</f>
        <v>High Spend</v>
      </c>
    </row>
    <row r="1585" spans="1:14" x14ac:dyDescent="0.3">
      <c r="A1585" s="1" t="s">
        <v>1609</v>
      </c>
      <c r="B1585" s="2" t="s">
        <v>12</v>
      </c>
      <c r="C1585" s="2" t="s">
        <v>13</v>
      </c>
      <c r="D1585" s="2">
        <v>6</v>
      </c>
      <c r="E1585" s="2" t="s">
        <v>14</v>
      </c>
      <c r="F1585" s="2" t="s">
        <v>15</v>
      </c>
      <c r="G1585" s="7">
        <v>48.95</v>
      </c>
      <c r="H1585" s="7">
        <v>273.25</v>
      </c>
      <c r="I1585" s="2" t="s">
        <v>15</v>
      </c>
      <c r="J1585" s="2" t="s">
        <v>16</v>
      </c>
      <c r="K1585" s="2" t="s">
        <v>29</v>
      </c>
      <c r="L1585" s="7">
        <v>273.25</v>
      </c>
      <c r="M1585" s="2" t="str">
        <f>_xlfn.IFS(TelecomData[[#This Row],[TenureMonths]]&lt;=12, "0-1 Year", TelecomData[[#This Row],[TenureMonths]]&lt;=36, "1-3 Years", TelecomData[[#This Row],[TenureMonths]]&gt;36, "3+ Years")</f>
        <v>0-1 Year</v>
      </c>
      <c r="N1585" s="2" t="str">
        <f>IF(TelecomData[[#This Row],[CleanedTotalCharges]]&gt;=2500,"High Spend", "Standard Spend")</f>
        <v>Standard Spend</v>
      </c>
    </row>
    <row r="1586" spans="1:14" x14ac:dyDescent="0.3">
      <c r="A1586" s="1" t="s">
        <v>1610</v>
      </c>
      <c r="B1586" s="2" t="s">
        <v>12</v>
      </c>
      <c r="C1586" s="2" t="s">
        <v>35</v>
      </c>
      <c r="D1586" s="2">
        <v>65</v>
      </c>
      <c r="E1586" s="2" t="s">
        <v>14</v>
      </c>
      <c r="F1586" s="2" t="s">
        <v>15</v>
      </c>
      <c r="G1586" s="7">
        <v>53.5</v>
      </c>
      <c r="H1586" s="7">
        <v>3517.9</v>
      </c>
      <c r="I1586" s="2" t="s">
        <v>15</v>
      </c>
      <c r="J1586" s="2" t="s">
        <v>16</v>
      </c>
      <c r="K1586" s="2" t="s">
        <v>24</v>
      </c>
      <c r="L1586" s="7">
        <v>3517.9</v>
      </c>
      <c r="M1586" s="2" t="str">
        <f>_xlfn.IFS(TelecomData[[#This Row],[TenureMonths]]&lt;=12, "0-1 Year", TelecomData[[#This Row],[TenureMonths]]&lt;=36, "1-3 Years", TelecomData[[#This Row],[TenureMonths]]&gt;36, "3+ Years")</f>
        <v>3+ Years</v>
      </c>
      <c r="N1586" s="2" t="str">
        <f>IF(TelecomData[[#This Row],[CleanedTotalCharges]]&gt;=2500,"High Spend", "Standard Spend")</f>
        <v>High Spend</v>
      </c>
    </row>
    <row r="1587" spans="1:14" x14ac:dyDescent="0.3">
      <c r="A1587" s="1" t="s">
        <v>1611</v>
      </c>
      <c r="B1587" s="2" t="s">
        <v>19</v>
      </c>
      <c r="C1587" s="2" t="s">
        <v>20</v>
      </c>
      <c r="D1587" s="2">
        <v>42</v>
      </c>
      <c r="E1587" s="2" t="s">
        <v>14</v>
      </c>
      <c r="F1587" s="2" t="s">
        <v>16</v>
      </c>
      <c r="G1587" s="7">
        <v>80.45</v>
      </c>
      <c r="H1587" s="7">
        <v>3375.9</v>
      </c>
      <c r="I1587" s="2" t="s">
        <v>15</v>
      </c>
      <c r="J1587" s="2" t="s">
        <v>15</v>
      </c>
      <c r="K1587" s="2" t="s">
        <v>29</v>
      </c>
      <c r="L1587" s="7">
        <v>3375.9</v>
      </c>
      <c r="M1587" s="2" t="str">
        <f>_xlfn.IFS(TelecomData[[#This Row],[TenureMonths]]&lt;=12, "0-1 Year", TelecomData[[#This Row],[TenureMonths]]&lt;=36, "1-3 Years", TelecomData[[#This Row],[TenureMonths]]&gt;36, "3+ Years")</f>
        <v>3+ Years</v>
      </c>
      <c r="N1587" s="2" t="str">
        <f>IF(TelecomData[[#This Row],[CleanedTotalCharges]]&gt;=2500,"High Spend", "Standard Spend")</f>
        <v>High Spend</v>
      </c>
    </row>
    <row r="1588" spans="1:14" x14ac:dyDescent="0.3">
      <c r="A1588" s="1" t="s">
        <v>1612</v>
      </c>
      <c r="B1588" s="2" t="s">
        <v>12</v>
      </c>
      <c r="C1588" s="2" t="s">
        <v>35</v>
      </c>
      <c r="D1588" s="2">
        <v>68</v>
      </c>
      <c r="E1588" s="2" t="s">
        <v>26</v>
      </c>
      <c r="F1588" s="2" t="s">
        <v>16</v>
      </c>
      <c r="G1588" s="7">
        <v>109.05</v>
      </c>
      <c r="H1588" s="7">
        <v>7508.55</v>
      </c>
      <c r="I1588" s="2" t="s">
        <v>15</v>
      </c>
      <c r="J1588" s="2" t="s">
        <v>16</v>
      </c>
      <c r="K1588" s="2" t="s">
        <v>24</v>
      </c>
      <c r="L1588" s="7">
        <v>7508.55</v>
      </c>
      <c r="M1588" s="2" t="str">
        <f>_xlfn.IFS(TelecomData[[#This Row],[TenureMonths]]&lt;=12, "0-1 Year", TelecomData[[#This Row],[TenureMonths]]&lt;=36, "1-3 Years", TelecomData[[#This Row],[TenureMonths]]&gt;36, "3+ Years")</f>
        <v>3+ Years</v>
      </c>
      <c r="N1588" s="2" t="str">
        <f>IF(TelecomData[[#This Row],[CleanedTotalCharges]]&gt;=2500,"High Spend", "Standard Spend")</f>
        <v>High Spend</v>
      </c>
    </row>
    <row r="1589" spans="1:14" x14ac:dyDescent="0.3">
      <c r="A1589" s="1" t="s">
        <v>1613</v>
      </c>
      <c r="B1589" s="2" t="s">
        <v>19</v>
      </c>
      <c r="C1589" s="2" t="s">
        <v>35</v>
      </c>
      <c r="D1589" s="2">
        <v>48</v>
      </c>
      <c r="E1589" s="2" t="s">
        <v>15</v>
      </c>
      <c r="F1589" s="2" t="s">
        <v>36</v>
      </c>
      <c r="G1589" s="7">
        <v>26.3</v>
      </c>
      <c r="H1589" s="7">
        <v>1245.05</v>
      </c>
      <c r="I1589" s="2" t="s">
        <v>15</v>
      </c>
      <c r="J1589" s="2" t="s">
        <v>15</v>
      </c>
      <c r="K1589" s="2" t="s">
        <v>24</v>
      </c>
      <c r="L1589" s="7">
        <v>1245.05</v>
      </c>
      <c r="M1589" s="2" t="str">
        <f>_xlfn.IFS(TelecomData[[#This Row],[TenureMonths]]&lt;=12, "0-1 Year", TelecomData[[#This Row],[TenureMonths]]&lt;=36, "1-3 Years", TelecomData[[#This Row],[TenureMonths]]&gt;36, "3+ Years")</f>
        <v>3+ Years</v>
      </c>
      <c r="N1589" s="2" t="str">
        <f>IF(TelecomData[[#This Row],[CleanedTotalCharges]]&gt;=2500,"High Spend", "Standard Spend")</f>
        <v>Standard Spend</v>
      </c>
    </row>
    <row r="1590" spans="1:14" x14ac:dyDescent="0.3">
      <c r="A1590" s="1" t="s">
        <v>1614</v>
      </c>
      <c r="B1590" s="2" t="s">
        <v>12</v>
      </c>
      <c r="C1590" s="2" t="s">
        <v>20</v>
      </c>
      <c r="D1590" s="2">
        <v>50</v>
      </c>
      <c r="E1590" s="2" t="s">
        <v>26</v>
      </c>
      <c r="F1590" s="2" t="s">
        <v>16</v>
      </c>
      <c r="G1590" s="7">
        <v>106.8</v>
      </c>
      <c r="H1590" s="7">
        <v>5347.95</v>
      </c>
      <c r="I1590" s="2" t="s">
        <v>15</v>
      </c>
      <c r="J1590" s="2" t="s">
        <v>16</v>
      </c>
      <c r="K1590" s="2" t="s">
        <v>17</v>
      </c>
      <c r="L1590" s="7">
        <v>5347.95</v>
      </c>
      <c r="M1590" s="2" t="str">
        <f>_xlfn.IFS(TelecomData[[#This Row],[TenureMonths]]&lt;=12, "0-1 Year", TelecomData[[#This Row],[TenureMonths]]&lt;=36, "1-3 Years", TelecomData[[#This Row],[TenureMonths]]&gt;36, "3+ Years")</f>
        <v>3+ Years</v>
      </c>
      <c r="N1590" s="2" t="str">
        <f>IF(TelecomData[[#This Row],[CleanedTotalCharges]]&gt;=2500,"High Spend", "Standard Spend")</f>
        <v>High Spend</v>
      </c>
    </row>
    <row r="1591" spans="1:14" x14ac:dyDescent="0.3">
      <c r="A1591" s="1" t="s">
        <v>1615</v>
      </c>
      <c r="B1591" s="2" t="s">
        <v>12</v>
      </c>
      <c r="C1591" s="2" t="s">
        <v>13</v>
      </c>
      <c r="D1591" s="2">
        <v>7</v>
      </c>
      <c r="E1591" s="2" t="s">
        <v>14</v>
      </c>
      <c r="F1591" s="2" t="s">
        <v>15</v>
      </c>
      <c r="G1591" s="7">
        <v>64.95</v>
      </c>
      <c r="H1591" s="7">
        <v>493.65</v>
      </c>
      <c r="I1591" s="2" t="s">
        <v>15</v>
      </c>
      <c r="J1591" s="2" t="s">
        <v>16</v>
      </c>
      <c r="K1591" s="2" t="s">
        <v>17</v>
      </c>
      <c r="L1591" s="7">
        <v>493.65</v>
      </c>
      <c r="M1591" s="2" t="str">
        <f>_xlfn.IFS(TelecomData[[#This Row],[TenureMonths]]&lt;=12, "0-1 Year", TelecomData[[#This Row],[TenureMonths]]&lt;=36, "1-3 Years", TelecomData[[#This Row],[TenureMonths]]&gt;36, "3+ Years")</f>
        <v>0-1 Year</v>
      </c>
      <c r="N1591" s="2" t="str">
        <f>IF(TelecomData[[#This Row],[CleanedTotalCharges]]&gt;=2500,"High Spend", "Standard Spend")</f>
        <v>Standard Spend</v>
      </c>
    </row>
    <row r="1592" spans="1:14" x14ac:dyDescent="0.3">
      <c r="A1592" s="1" t="s">
        <v>1616</v>
      </c>
      <c r="B1592" s="2" t="s">
        <v>12</v>
      </c>
      <c r="C1592" s="2" t="s">
        <v>35</v>
      </c>
      <c r="D1592" s="2">
        <v>63</v>
      </c>
      <c r="E1592" s="2" t="s">
        <v>15</v>
      </c>
      <c r="F1592" s="2" t="s">
        <v>36</v>
      </c>
      <c r="G1592" s="7">
        <v>19.350000000000001</v>
      </c>
      <c r="H1592" s="7">
        <v>1263.8499999999999</v>
      </c>
      <c r="I1592" s="2" t="s">
        <v>15</v>
      </c>
      <c r="J1592" s="2" t="s">
        <v>15</v>
      </c>
      <c r="K1592" s="2" t="s">
        <v>17</v>
      </c>
      <c r="L1592" s="7">
        <v>1263.8499999999999</v>
      </c>
      <c r="M1592" s="2" t="str">
        <f>_xlfn.IFS(TelecomData[[#This Row],[TenureMonths]]&lt;=12, "0-1 Year", TelecomData[[#This Row],[TenureMonths]]&lt;=36, "1-3 Years", TelecomData[[#This Row],[TenureMonths]]&gt;36, "3+ Years")</f>
        <v>3+ Years</v>
      </c>
      <c r="N1592" s="2" t="str">
        <f>IF(TelecomData[[#This Row],[CleanedTotalCharges]]&gt;=2500,"High Spend", "Standard Spend")</f>
        <v>Standard Spend</v>
      </c>
    </row>
    <row r="1593" spans="1:14" x14ac:dyDescent="0.3">
      <c r="A1593" s="1" t="s">
        <v>1617</v>
      </c>
      <c r="B1593" s="2" t="s">
        <v>19</v>
      </c>
      <c r="C1593" s="2" t="s">
        <v>13</v>
      </c>
      <c r="D1593" s="2">
        <v>17</v>
      </c>
      <c r="E1593" s="2" t="s">
        <v>15</v>
      </c>
      <c r="F1593" s="2" t="s">
        <v>36</v>
      </c>
      <c r="G1593" s="7">
        <v>21.1</v>
      </c>
      <c r="H1593" s="7">
        <v>385.55</v>
      </c>
      <c r="I1593" s="2" t="s">
        <v>15</v>
      </c>
      <c r="J1593" s="2" t="s">
        <v>15</v>
      </c>
      <c r="K1593" s="2" t="s">
        <v>29</v>
      </c>
      <c r="L1593" s="7">
        <v>385.55</v>
      </c>
      <c r="M1593" s="2" t="str">
        <f>_xlfn.IFS(TelecomData[[#This Row],[TenureMonths]]&lt;=12, "0-1 Year", TelecomData[[#This Row],[TenureMonths]]&lt;=36, "1-3 Years", TelecomData[[#This Row],[TenureMonths]]&gt;36, "3+ Years")</f>
        <v>1-3 Years</v>
      </c>
      <c r="N1593" s="2" t="str">
        <f>IF(TelecomData[[#This Row],[CleanedTotalCharges]]&gt;=2500,"High Spend", "Standard Spend")</f>
        <v>Standard Spend</v>
      </c>
    </row>
    <row r="1594" spans="1:14" x14ac:dyDescent="0.3">
      <c r="A1594" s="1" t="s">
        <v>1618</v>
      </c>
      <c r="B1594" s="2" t="s">
        <v>12</v>
      </c>
      <c r="C1594" s="2" t="s">
        <v>13</v>
      </c>
      <c r="D1594" s="2">
        <v>42</v>
      </c>
      <c r="E1594" s="2" t="s">
        <v>26</v>
      </c>
      <c r="F1594" s="2" t="s">
        <v>15</v>
      </c>
      <c r="G1594" s="7">
        <v>77.95</v>
      </c>
      <c r="H1594" s="7">
        <v>3384</v>
      </c>
      <c r="I1594" s="2" t="s">
        <v>16</v>
      </c>
      <c r="J1594" s="2" t="s">
        <v>16</v>
      </c>
      <c r="K1594" s="2" t="s">
        <v>29</v>
      </c>
      <c r="L1594" s="7">
        <v>3384</v>
      </c>
      <c r="M1594" s="2" t="str">
        <f>_xlfn.IFS(TelecomData[[#This Row],[TenureMonths]]&lt;=12, "0-1 Year", TelecomData[[#This Row],[TenureMonths]]&lt;=36, "1-3 Years", TelecomData[[#This Row],[TenureMonths]]&gt;36, "3+ Years")</f>
        <v>3+ Years</v>
      </c>
      <c r="N1594" s="2" t="str">
        <f>IF(TelecomData[[#This Row],[CleanedTotalCharges]]&gt;=2500,"High Spend", "Standard Spend")</f>
        <v>High Spend</v>
      </c>
    </row>
    <row r="1595" spans="1:14" x14ac:dyDescent="0.3">
      <c r="A1595" s="1" t="s">
        <v>1619</v>
      </c>
      <c r="B1595" s="2" t="s">
        <v>19</v>
      </c>
      <c r="C1595" s="2" t="s">
        <v>13</v>
      </c>
      <c r="D1595" s="2">
        <v>4</v>
      </c>
      <c r="E1595" s="2" t="s">
        <v>15</v>
      </c>
      <c r="F1595" s="2" t="s">
        <v>36</v>
      </c>
      <c r="G1595" s="7">
        <v>18.850000000000001</v>
      </c>
      <c r="H1595" s="7">
        <v>84.2</v>
      </c>
      <c r="I1595" s="2" t="s">
        <v>15</v>
      </c>
      <c r="J1595" s="2" t="s">
        <v>15</v>
      </c>
      <c r="K1595" s="2" t="s">
        <v>21</v>
      </c>
      <c r="L1595" s="7">
        <v>84.2</v>
      </c>
      <c r="M1595" s="2" t="str">
        <f>_xlfn.IFS(TelecomData[[#This Row],[TenureMonths]]&lt;=12, "0-1 Year", TelecomData[[#This Row],[TenureMonths]]&lt;=36, "1-3 Years", TelecomData[[#This Row],[TenureMonths]]&gt;36, "3+ Years")</f>
        <v>0-1 Year</v>
      </c>
      <c r="N1595" s="2" t="str">
        <f>IF(TelecomData[[#This Row],[CleanedTotalCharges]]&gt;=2500,"High Spend", "Standard Spend")</f>
        <v>Standard Spend</v>
      </c>
    </row>
    <row r="1596" spans="1:14" x14ac:dyDescent="0.3">
      <c r="A1596" s="1" t="s">
        <v>1620</v>
      </c>
      <c r="B1596" s="2" t="s">
        <v>12</v>
      </c>
      <c r="C1596" s="2" t="s">
        <v>35</v>
      </c>
      <c r="D1596" s="2">
        <v>62</v>
      </c>
      <c r="E1596" s="2" t="s">
        <v>15</v>
      </c>
      <c r="F1596" s="2" t="s">
        <v>36</v>
      </c>
      <c r="G1596" s="7">
        <v>26</v>
      </c>
      <c r="H1596" s="7">
        <v>1638.7</v>
      </c>
      <c r="I1596" s="2" t="s">
        <v>15</v>
      </c>
      <c r="J1596" s="2" t="s">
        <v>15</v>
      </c>
      <c r="K1596" s="2" t="s">
        <v>24</v>
      </c>
      <c r="L1596" s="7">
        <v>1638.7</v>
      </c>
      <c r="M1596" s="2" t="str">
        <f>_xlfn.IFS(TelecomData[[#This Row],[TenureMonths]]&lt;=12, "0-1 Year", TelecomData[[#This Row],[TenureMonths]]&lt;=36, "1-3 Years", TelecomData[[#This Row],[TenureMonths]]&gt;36, "3+ Years")</f>
        <v>3+ Years</v>
      </c>
      <c r="N1596" s="2" t="str">
        <f>IF(TelecomData[[#This Row],[CleanedTotalCharges]]&gt;=2500,"High Spend", "Standard Spend")</f>
        <v>Standard Spend</v>
      </c>
    </row>
    <row r="1597" spans="1:14" x14ac:dyDescent="0.3">
      <c r="A1597" s="1" t="s">
        <v>1621</v>
      </c>
      <c r="B1597" s="2" t="s">
        <v>19</v>
      </c>
      <c r="C1597" s="2" t="s">
        <v>13</v>
      </c>
      <c r="D1597" s="2">
        <v>2</v>
      </c>
      <c r="E1597" s="2" t="s">
        <v>26</v>
      </c>
      <c r="F1597" s="2" t="s">
        <v>15</v>
      </c>
      <c r="G1597" s="7">
        <v>74.7</v>
      </c>
      <c r="H1597" s="7">
        <v>165.4</v>
      </c>
      <c r="I1597" s="2" t="s">
        <v>16</v>
      </c>
      <c r="J1597" s="2" t="s">
        <v>16</v>
      </c>
      <c r="K1597" s="2" t="s">
        <v>17</v>
      </c>
      <c r="L1597" s="7">
        <v>165.4</v>
      </c>
      <c r="M1597" s="2" t="str">
        <f>_xlfn.IFS(TelecomData[[#This Row],[TenureMonths]]&lt;=12, "0-1 Year", TelecomData[[#This Row],[TenureMonths]]&lt;=36, "1-3 Years", TelecomData[[#This Row],[TenureMonths]]&gt;36, "3+ Years")</f>
        <v>0-1 Year</v>
      </c>
      <c r="N1597" s="2" t="str">
        <f>IF(TelecomData[[#This Row],[CleanedTotalCharges]]&gt;=2500,"High Spend", "Standard Spend")</f>
        <v>Standard Spend</v>
      </c>
    </row>
    <row r="1598" spans="1:14" x14ac:dyDescent="0.3">
      <c r="A1598" s="1" t="s">
        <v>1622</v>
      </c>
      <c r="B1598" s="2" t="s">
        <v>12</v>
      </c>
      <c r="C1598" s="2" t="s">
        <v>13</v>
      </c>
      <c r="D1598" s="2">
        <v>2</v>
      </c>
      <c r="E1598" s="2" t="s">
        <v>26</v>
      </c>
      <c r="F1598" s="2" t="s">
        <v>15</v>
      </c>
      <c r="G1598" s="7">
        <v>70.349999999999994</v>
      </c>
      <c r="H1598" s="7">
        <v>120.25</v>
      </c>
      <c r="I1598" s="2" t="s">
        <v>15</v>
      </c>
      <c r="J1598" s="2" t="s">
        <v>16</v>
      </c>
      <c r="K1598" s="2" t="s">
        <v>17</v>
      </c>
      <c r="L1598" s="7">
        <v>120.25</v>
      </c>
      <c r="M1598" s="2" t="str">
        <f>_xlfn.IFS(TelecomData[[#This Row],[TenureMonths]]&lt;=12, "0-1 Year", TelecomData[[#This Row],[TenureMonths]]&lt;=36, "1-3 Years", TelecomData[[#This Row],[TenureMonths]]&gt;36, "3+ Years")</f>
        <v>0-1 Year</v>
      </c>
      <c r="N1598" s="2" t="str">
        <f>IF(TelecomData[[#This Row],[CleanedTotalCharges]]&gt;=2500,"High Spend", "Standard Spend")</f>
        <v>Standard Spend</v>
      </c>
    </row>
    <row r="1599" spans="1:14" x14ac:dyDescent="0.3">
      <c r="A1599" s="1" t="s">
        <v>1623</v>
      </c>
      <c r="B1599" s="2" t="s">
        <v>19</v>
      </c>
      <c r="C1599" s="2" t="s">
        <v>35</v>
      </c>
      <c r="D1599" s="2">
        <v>48</v>
      </c>
      <c r="E1599" s="2" t="s">
        <v>26</v>
      </c>
      <c r="F1599" s="2" t="s">
        <v>15</v>
      </c>
      <c r="G1599" s="7">
        <v>96.9</v>
      </c>
      <c r="H1599" s="7">
        <v>4473.45</v>
      </c>
      <c r="I1599" s="2" t="s">
        <v>15</v>
      </c>
      <c r="J1599" s="2" t="s">
        <v>16</v>
      </c>
      <c r="K1599" s="2" t="s">
        <v>24</v>
      </c>
      <c r="L1599" s="7">
        <v>4473.45</v>
      </c>
      <c r="M1599" s="2" t="str">
        <f>_xlfn.IFS(TelecomData[[#This Row],[TenureMonths]]&lt;=12, "0-1 Year", TelecomData[[#This Row],[TenureMonths]]&lt;=36, "1-3 Years", TelecomData[[#This Row],[TenureMonths]]&gt;36, "3+ Years")</f>
        <v>3+ Years</v>
      </c>
      <c r="N1599" s="2" t="str">
        <f>IF(TelecomData[[#This Row],[CleanedTotalCharges]]&gt;=2500,"High Spend", "Standard Spend")</f>
        <v>High Spend</v>
      </c>
    </row>
    <row r="1600" spans="1:14" x14ac:dyDescent="0.3">
      <c r="A1600" s="1" t="s">
        <v>1624</v>
      </c>
      <c r="B1600" s="2" t="s">
        <v>19</v>
      </c>
      <c r="C1600" s="2" t="s">
        <v>35</v>
      </c>
      <c r="D1600" s="2">
        <v>27</v>
      </c>
      <c r="E1600" s="2" t="s">
        <v>15</v>
      </c>
      <c r="F1600" s="2" t="s">
        <v>36</v>
      </c>
      <c r="G1600" s="7">
        <v>19.55</v>
      </c>
      <c r="H1600" s="7">
        <v>520.54999999999995</v>
      </c>
      <c r="I1600" s="2" t="s">
        <v>15</v>
      </c>
      <c r="J1600" s="2" t="s">
        <v>15</v>
      </c>
      <c r="K1600" s="2" t="s">
        <v>24</v>
      </c>
      <c r="L1600" s="7">
        <v>520.54999999999995</v>
      </c>
      <c r="M1600" s="2" t="str">
        <f>_xlfn.IFS(TelecomData[[#This Row],[TenureMonths]]&lt;=12, "0-1 Year", TelecomData[[#This Row],[TenureMonths]]&lt;=36, "1-3 Years", TelecomData[[#This Row],[TenureMonths]]&gt;36, "3+ Years")</f>
        <v>1-3 Years</v>
      </c>
      <c r="N1600" s="2" t="str">
        <f>IF(TelecomData[[#This Row],[CleanedTotalCharges]]&gt;=2500,"High Spend", "Standard Spend")</f>
        <v>Standard Spend</v>
      </c>
    </row>
    <row r="1601" spans="1:14" x14ac:dyDescent="0.3">
      <c r="A1601" s="1" t="s">
        <v>1625</v>
      </c>
      <c r="B1601" s="2" t="s">
        <v>12</v>
      </c>
      <c r="C1601" s="2" t="s">
        <v>35</v>
      </c>
      <c r="D1601" s="2">
        <v>70</v>
      </c>
      <c r="E1601" s="2" t="s">
        <v>14</v>
      </c>
      <c r="F1601" s="2" t="s">
        <v>16</v>
      </c>
      <c r="G1601" s="7">
        <v>80.400000000000006</v>
      </c>
      <c r="H1601" s="7">
        <v>5717.85</v>
      </c>
      <c r="I1601" s="2" t="s">
        <v>15</v>
      </c>
      <c r="J1601" s="2" t="s">
        <v>16</v>
      </c>
      <c r="K1601" s="2" t="s">
        <v>24</v>
      </c>
      <c r="L1601" s="7">
        <v>5717.85</v>
      </c>
      <c r="M1601" s="2" t="str">
        <f>_xlfn.IFS(TelecomData[[#This Row],[TenureMonths]]&lt;=12, "0-1 Year", TelecomData[[#This Row],[TenureMonths]]&lt;=36, "1-3 Years", TelecomData[[#This Row],[TenureMonths]]&gt;36, "3+ Years")</f>
        <v>3+ Years</v>
      </c>
      <c r="N1601" s="2" t="str">
        <f>IF(TelecomData[[#This Row],[CleanedTotalCharges]]&gt;=2500,"High Spend", "Standard Spend")</f>
        <v>High Spend</v>
      </c>
    </row>
    <row r="1602" spans="1:14" x14ac:dyDescent="0.3">
      <c r="A1602" s="1" t="s">
        <v>1626</v>
      </c>
      <c r="B1602" s="2" t="s">
        <v>19</v>
      </c>
      <c r="C1602" s="2" t="s">
        <v>13</v>
      </c>
      <c r="D1602" s="2">
        <v>1</v>
      </c>
      <c r="E1602" s="2" t="s">
        <v>26</v>
      </c>
      <c r="F1602" s="2" t="s">
        <v>15</v>
      </c>
      <c r="G1602" s="7">
        <v>88.8</v>
      </c>
      <c r="H1602" s="7">
        <v>88.8</v>
      </c>
      <c r="I1602" s="2" t="s">
        <v>16</v>
      </c>
      <c r="J1602" s="2" t="s">
        <v>16</v>
      </c>
      <c r="K1602" s="2" t="s">
        <v>17</v>
      </c>
      <c r="L1602" s="7">
        <v>88.8</v>
      </c>
      <c r="M1602" s="2" t="str">
        <f>_xlfn.IFS(TelecomData[[#This Row],[TenureMonths]]&lt;=12, "0-1 Year", TelecomData[[#This Row],[TenureMonths]]&lt;=36, "1-3 Years", TelecomData[[#This Row],[TenureMonths]]&gt;36, "3+ Years")</f>
        <v>0-1 Year</v>
      </c>
      <c r="N1602" s="2" t="str">
        <f>IF(TelecomData[[#This Row],[CleanedTotalCharges]]&gt;=2500,"High Spend", "Standard Spend")</f>
        <v>Standard Spend</v>
      </c>
    </row>
    <row r="1603" spans="1:14" x14ac:dyDescent="0.3">
      <c r="A1603" s="1" t="s">
        <v>1627</v>
      </c>
      <c r="B1603" s="2" t="s">
        <v>19</v>
      </c>
      <c r="C1603" s="2" t="s">
        <v>20</v>
      </c>
      <c r="D1603" s="2">
        <v>46</v>
      </c>
      <c r="E1603" s="2" t="s">
        <v>26</v>
      </c>
      <c r="F1603" s="2" t="s">
        <v>15</v>
      </c>
      <c r="G1603" s="7">
        <v>94.65</v>
      </c>
      <c r="H1603" s="7">
        <v>4312.5</v>
      </c>
      <c r="I1603" s="2" t="s">
        <v>15</v>
      </c>
      <c r="J1603" s="2" t="s">
        <v>16</v>
      </c>
      <c r="K1603" s="2" t="s">
        <v>17</v>
      </c>
      <c r="L1603" s="7">
        <v>4312.5</v>
      </c>
      <c r="M1603" s="2" t="str">
        <f>_xlfn.IFS(TelecomData[[#This Row],[TenureMonths]]&lt;=12, "0-1 Year", TelecomData[[#This Row],[TenureMonths]]&lt;=36, "1-3 Years", TelecomData[[#This Row],[TenureMonths]]&gt;36, "3+ Years")</f>
        <v>3+ Years</v>
      </c>
      <c r="N1603" s="2" t="str">
        <f>IF(TelecomData[[#This Row],[CleanedTotalCharges]]&gt;=2500,"High Spend", "Standard Spend")</f>
        <v>High Spend</v>
      </c>
    </row>
    <row r="1604" spans="1:14" x14ac:dyDescent="0.3">
      <c r="A1604" s="1" t="s">
        <v>1628</v>
      </c>
      <c r="B1604" s="2" t="s">
        <v>19</v>
      </c>
      <c r="C1604" s="2" t="s">
        <v>13</v>
      </c>
      <c r="D1604" s="2">
        <v>30</v>
      </c>
      <c r="E1604" s="2" t="s">
        <v>26</v>
      </c>
      <c r="F1604" s="2" t="s">
        <v>15</v>
      </c>
      <c r="G1604" s="7">
        <v>90.25</v>
      </c>
      <c r="H1604" s="7">
        <v>2755.35</v>
      </c>
      <c r="I1604" s="2" t="s">
        <v>16</v>
      </c>
      <c r="J1604" s="2" t="s">
        <v>16</v>
      </c>
      <c r="K1604" s="2" t="s">
        <v>17</v>
      </c>
      <c r="L1604" s="7">
        <v>2755.35</v>
      </c>
      <c r="M1604" s="2" t="str">
        <f>_xlfn.IFS(TelecomData[[#This Row],[TenureMonths]]&lt;=12, "0-1 Year", TelecomData[[#This Row],[TenureMonths]]&lt;=36, "1-3 Years", TelecomData[[#This Row],[TenureMonths]]&gt;36, "3+ Years")</f>
        <v>1-3 Years</v>
      </c>
      <c r="N1604" s="2" t="str">
        <f>IF(TelecomData[[#This Row],[CleanedTotalCharges]]&gt;=2500,"High Spend", "Standard Spend")</f>
        <v>High Spend</v>
      </c>
    </row>
    <row r="1605" spans="1:14" x14ac:dyDescent="0.3">
      <c r="A1605" s="1" t="s">
        <v>1629</v>
      </c>
      <c r="B1605" s="2" t="s">
        <v>12</v>
      </c>
      <c r="C1605" s="2" t="s">
        <v>13</v>
      </c>
      <c r="D1605" s="2">
        <v>15</v>
      </c>
      <c r="E1605" s="2" t="s">
        <v>14</v>
      </c>
      <c r="F1605" s="2" t="s">
        <v>15</v>
      </c>
      <c r="G1605" s="7">
        <v>64.650000000000006</v>
      </c>
      <c r="H1605" s="7">
        <v>994.55</v>
      </c>
      <c r="I1605" s="2" t="s">
        <v>16</v>
      </c>
      <c r="J1605" s="2" t="s">
        <v>16</v>
      </c>
      <c r="K1605" s="2" t="s">
        <v>24</v>
      </c>
      <c r="L1605" s="7">
        <v>994.55</v>
      </c>
      <c r="M1605" s="2" t="str">
        <f>_xlfn.IFS(TelecomData[[#This Row],[TenureMonths]]&lt;=12, "0-1 Year", TelecomData[[#This Row],[TenureMonths]]&lt;=36, "1-3 Years", TelecomData[[#This Row],[TenureMonths]]&gt;36, "3+ Years")</f>
        <v>1-3 Years</v>
      </c>
      <c r="N1605" s="2" t="str">
        <f>IF(TelecomData[[#This Row],[CleanedTotalCharges]]&gt;=2500,"High Spend", "Standard Spend")</f>
        <v>Standard Spend</v>
      </c>
    </row>
    <row r="1606" spans="1:14" x14ac:dyDescent="0.3">
      <c r="A1606" s="1" t="s">
        <v>1630</v>
      </c>
      <c r="B1606" s="2" t="s">
        <v>19</v>
      </c>
      <c r="C1606" s="2" t="s">
        <v>20</v>
      </c>
      <c r="D1606" s="2">
        <v>69</v>
      </c>
      <c r="E1606" s="2" t="s">
        <v>26</v>
      </c>
      <c r="F1606" s="2" t="s">
        <v>15</v>
      </c>
      <c r="G1606" s="7">
        <v>95.75</v>
      </c>
      <c r="H1606" s="7">
        <v>6511.25</v>
      </c>
      <c r="I1606" s="2" t="s">
        <v>15</v>
      </c>
      <c r="J1606" s="2" t="s">
        <v>15</v>
      </c>
      <c r="K1606" s="2" t="s">
        <v>29</v>
      </c>
      <c r="L1606" s="7">
        <v>6511.25</v>
      </c>
      <c r="M1606" s="2" t="str">
        <f>_xlfn.IFS(TelecomData[[#This Row],[TenureMonths]]&lt;=12, "0-1 Year", TelecomData[[#This Row],[TenureMonths]]&lt;=36, "1-3 Years", TelecomData[[#This Row],[TenureMonths]]&gt;36, "3+ Years")</f>
        <v>3+ Years</v>
      </c>
      <c r="N1606" s="2" t="str">
        <f>IF(TelecomData[[#This Row],[CleanedTotalCharges]]&gt;=2500,"High Spend", "Standard Spend")</f>
        <v>High Spend</v>
      </c>
    </row>
    <row r="1607" spans="1:14" x14ac:dyDescent="0.3">
      <c r="A1607" s="1" t="s">
        <v>1631</v>
      </c>
      <c r="B1607" s="2" t="s">
        <v>19</v>
      </c>
      <c r="C1607" s="2" t="s">
        <v>35</v>
      </c>
      <c r="D1607" s="2">
        <v>65</v>
      </c>
      <c r="E1607" s="2" t="s">
        <v>15</v>
      </c>
      <c r="F1607" s="2" t="s">
        <v>36</v>
      </c>
      <c r="G1607" s="7">
        <v>19.55</v>
      </c>
      <c r="H1607" s="7">
        <v>1218.6500000000001</v>
      </c>
      <c r="I1607" s="2" t="s">
        <v>15</v>
      </c>
      <c r="J1607" s="2" t="s">
        <v>16</v>
      </c>
      <c r="K1607" s="2" t="s">
        <v>29</v>
      </c>
      <c r="L1607" s="7">
        <v>1218.6500000000001</v>
      </c>
      <c r="M1607" s="2" t="str">
        <f>_xlfn.IFS(TelecomData[[#This Row],[TenureMonths]]&lt;=12, "0-1 Year", TelecomData[[#This Row],[TenureMonths]]&lt;=36, "1-3 Years", TelecomData[[#This Row],[TenureMonths]]&gt;36, "3+ Years")</f>
        <v>3+ Years</v>
      </c>
      <c r="N1607" s="2" t="str">
        <f>IF(TelecomData[[#This Row],[CleanedTotalCharges]]&gt;=2500,"High Spend", "Standard Spend")</f>
        <v>Standard Spend</v>
      </c>
    </row>
    <row r="1608" spans="1:14" x14ac:dyDescent="0.3">
      <c r="A1608" s="1" t="s">
        <v>1632</v>
      </c>
      <c r="B1608" s="2" t="s">
        <v>19</v>
      </c>
      <c r="C1608" s="2" t="s">
        <v>35</v>
      </c>
      <c r="D1608" s="2">
        <v>72</v>
      </c>
      <c r="E1608" s="2" t="s">
        <v>26</v>
      </c>
      <c r="F1608" s="2" t="s">
        <v>16</v>
      </c>
      <c r="G1608" s="7">
        <v>104.1</v>
      </c>
      <c r="H1608" s="7">
        <v>7447.7</v>
      </c>
      <c r="I1608" s="2" t="s">
        <v>15</v>
      </c>
      <c r="J1608" s="2" t="s">
        <v>16</v>
      </c>
      <c r="K1608" s="2" t="s">
        <v>29</v>
      </c>
      <c r="L1608" s="7">
        <v>7447.7</v>
      </c>
      <c r="M1608" s="2" t="str">
        <f>_xlfn.IFS(TelecomData[[#This Row],[TenureMonths]]&lt;=12, "0-1 Year", TelecomData[[#This Row],[TenureMonths]]&lt;=36, "1-3 Years", TelecomData[[#This Row],[TenureMonths]]&gt;36, "3+ Years")</f>
        <v>3+ Years</v>
      </c>
      <c r="N1608" s="2" t="str">
        <f>IF(TelecomData[[#This Row],[CleanedTotalCharges]]&gt;=2500,"High Spend", "Standard Spend")</f>
        <v>High Spend</v>
      </c>
    </row>
    <row r="1609" spans="1:14" x14ac:dyDescent="0.3">
      <c r="A1609" s="1" t="s">
        <v>1633</v>
      </c>
      <c r="B1609" s="2" t="s">
        <v>19</v>
      </c>
      <c r="C1609" s="2" t="s">
        <v>13</v>
      </c>
      <c r="D1609" s="2">
        <v>13</v>
      </c>
      <c r="E1609" s="2" t="s">
        <v>26</v>
      </c>
      <c r="F1609" s="2" t="s">
        <v>16</v>
      </c>
      <c r="G1609" s="7">
        <v>89.05</v>
      </c>
      <c r="H1609" s="7">
        <v>1169.3499999999999</v>
      </c>
      <c r="I1609" s="2" t="s">
        <v>16</v>
      </c>
      <c r="J1609" s="2" t="s">
        <v>16</v>
      </c>
      <c r="K1609" s="2" t="s">
        <v>24</v>
      </c>
      <c r="L1609" s="7">
        <v>1169.3499999999999</v>
      </c>
      <c r="M1609" s="2" t="str">
        <f>_xlfn.IFS(TelecomData[[#This Row],[TenureMonths]]&lt;=12, "0-1 Year", TelecomData[[#This Row],[TenureMonths]]&lt;=36, "1-3 Years", TelecomData[[#This Row],[TenureMonths]]&gt;36, "3+ Years")</f>
        <v>1-3 Years</v>
      </c>
      <c r="N1609" s="2" t="str">
        <f>IF(TelecomData[[#This Row],[CleanedTotalCharges]]&gt;=2500,"High Spend", "Standard Spend")</f>
        <v>Standard Spend</v>
      </c>
    </row>
    <row r="1610" spans="1:14" x14ac:dyDescent="0.3">
      <c r="A1610" s="1" t="s">
        <v>1634</v>
      </c>
      <c r="B1610" s="2" t="s">
        <v>19</v>
      </c>
      <c r="C1610" s="2" t="s">
        <v>20</v>
      </c>
      <c r="D1610" s="2">
        <v>17</v>
      </c>
      <c r="E1610" s="2" t="s">
        <v>15</v>
      </c>
      <c r="F1610" s="2" t="s">
        <v>36</v>
      </c>
      <c r="G1610" s="7">
        <v>20.100000000000001</v>
      </c>
      <c r="H1610" s="7">
        <v>279.5</v>
      </c>
      <c r="I1610" s="2" t="s">
        <v>15</v>
      </c>
      <c r="J1610" s="2" t="s">
        <v>16</v>
      </c>
      <c r="K1610" s="2" t="s">
        <v>21</v>
      </c>
      <c r="L1610" s="7">
        <v>279.5</v>
      </c>
      <c r="M1610" s="2" t="str">
        <f>_xlfn.IFS(TelecomData[[#This Row],[TenureMonths]]&lt;=12, "0-1 Year", TelecomData[[#This Row],[TenureMonths]]&lt;=36, "1-3 Years", TelecomData[[#This Row],[TenureMonths]]&gt;36, "3+ Years")</f>
        <v>1-3 Years</v>
      </c>
      <c r="N1610" s="2" t="str">
        <f>IF(TelecomData[[#This Row],[CleanedTotalCharges]]&gt;=2500,"High Spend", "Standard Spend")</f>
        <v>Standard Spend</v>
      </c>
    </row>
    <row r="1611" spans="1:14" x14ac:dyDescent="0.3">
      <c r="A1611" s="1" t="s">
        <v>1635</v>
      </c>
      <c r="B1611" s="2" t="s">
        <v>19</v>
      </c>
      <c r="C1611" s="2" t="s">
        <v>20</v>
      </c>
      <c r="D1611" s="2">
        <v>51</v>
      </c>
      <c r="E1611" s="2" t="s">
        <v>26</v>
      </c>
      <c r="F1611" s="2" t="s">
        <v>16</v>
      </c>
      <c r="G1611" s="7">
        <v>111.55</v>
      </c>
      <c r="H1611" s="7">
        <v>5720.35</v>
      </c>
      <c r="I1611" s="2" t="s">
        <v>15</v>
      </c>
      <c r="J1611" s="2" t="s">
        <v>16</v>
      </c>
      <c r="K1611" s="2" t="s">
        <v>17</v>
      </c>
      <c r="L1611" s="7">
        <v>5720.35</v>
      </c>
      <c r="M1611" s="2" t="str">
        <f>_xlfn.IFS(TelecomData[[#This Row],[TenureMonths]]&lt;=12, "0-1 Year", TelecomData[[#This Row],[TenureMonths]]&lt;=36, "1-3 Years", TelecomData[[#This Row],[TenureMonths]]&gt;36, "3+ Years")</f>
        <v>3+ Years</v>
      </c>
      <c r="N1611" s="2" t="str">
        <f>IF(TelecomData[[#This Row],[CleanedTotalCharges]]&gt;=2500,"High Spend", "Standard Spend")</f>
        <v>High Spend</v>
      </c>
    </row>
    <row r="1612" spans="1:14" x14ac:dyDescent="0.3">
      <c r="A1612" s="1" t="s">
        <v>1636</v>
      </c>
      <c r="B1612" s="2" t="s">
        <v>19</v>
      </c>
      <c r="C1612" s="2" t="s">
        <v>35</v>
      </c>
      <c r="D1612" s="2">
        <v>51</v>
      </c>
      <c r="E1612" s="2" t="s">
        <v>14</v>
      </c>
      <c r="F1612" s="2" t="s">
        <v>16</v>
      </c>
      <c r="G1612" s="7">
        <v>60.5</v>
      </c>
      <c r="H1612" s="7">
        <v>3121.45</v>
      </c>
      <c r="I1612" s="2" t="s">
        <v>15</v>
      </c>
      <c r="J1612" s="2" t="s">
        <v>15</v>
      </c>
      <c r="K1612" s="2" t="s">
        <v>29</v>
      </c>
      <c r="L1612" s="7">
        <v>3121.45</v>
      </c>
      <c r="M1612" s="2" t="str">
        <f>_xlfn.IFS(TelecomData[[#This Row],[TenureMonths]]&lt;=12, "0-1 Year", TelecomData[[#This Row],[TenureMonths]]&lt;=36, "1-3 Years", TelecomData[[#This Row],[TenureMonths]]&gt;36, "3+ Years")</f>
        <v>3+ Years</v>
      </c>
      <c r="N1612" s="2" t="str">
        <f>IF(TelecomData[[#This Row],[CleanedTotalCharges]]&gt;=2500,"High Spend", "Standard Spend")</f>
        <v>High Spend</v>
      </c>
    </row>
    <row r="1613" spans="1:14" x14ac:dyDescent="0.3">
      <c r="A1613" s="1" t="s">
        <v>1637</v>
      </c>
      <c r="B1613" s="2" t="s">
        <v>12</v>
      </c>
      <c r="C1613" s="2" t="s">
        <v>35</v>
      </c>
      <c r="D1613" s="2">
        <v>72</v>
      </c>
      <c r="E1613" s="2" t="s">
        <v>14</v>
      </c>
      <c r="F1613" s="2" t="s">
        <v>16</v>
      </c>
      <c r="G1613" s="7">
        <v>90.95</v>
      </c>
      <c r="H1613" s="7">
        <v>6468.6</v>
      </c>
      <c r="I1613" s="2" t="s">
        <v>15</v>
      </c>
      <c r="J1613" s="2" t="s">
        <v>16</v>
      </c>
      <c r="K1613" s="2" t="s">
        <v>24</v>
      </c>
      <c r="L1613" s="7">
        <v>6468.6</v>
      </c>
      <c r="M1613" s="2" t="str">
        <f>_xlfn.IFS(TelecomData[[#This Row],[TenureMonths]]&lt;=12, "0-1 Year", TelecomData[[#This Row],[TenureMonths]]&lt;=36, "1-3 Years", TelecomData[[#This Row],[TenureMonths]]&gt;36, "3+ Years")</f>
        <v>3+ Years</v>
      </c>
      <c r="N1613" s="2" t="str">
        <f>IF(TelecomData[[#This Row],[CleanedTotalCharges]]&gt;=2500,"High Spend", "Standard Spend")</f>
        <v>High Spend</v>
      </c>
    </row>
    <row r="1614" spans="1:14" x14ac:dyDescent="0.3">
      <c r="A1614" s="1" t="s">
        <v>1638</v>
      </c>
      <c r="B1614" s="2" t="s">
        <v>19</v>
      </c>
      <c r="C1614" s="2" t="s">
        <v>20</v>
      </c>
      <c r="D1614" s="2">
        <v>67</v>
      </c>
      <c r="E1614" s="2" t="s">
        <v>26</v>
      </c>
      <c r="F1614" s="2" t="s">
        <v>15</v>
      </c>
      <c r="G1614" s="7">
        <v>87.4</v>
      </c>
      <c r="H1614" s="7">
        <v>5918.8</v>
      </c>
      <c r="I1614" s="2" t="s">
        <v>16</v>
      </c>
      <c r="J1614" s="2" t="s">
        <v>15</v>
      </c>
      <c r="K1614" s="2" t="s">
        <v>17</v>
      </c>
      <c r="L1614" s="7">
        <v>5918.8</v>
      </c>
      <c r="M1614" s="2" t="str">
        <f>_xlfn.IFS(TelecomData[[#This Row],[TenureMonths]]&lt;=12, "0-1 Year", TelecomData[[#This Row],[TenureMonths]]&lt;=36, "1-3 Years", TelecomData[[#This Row],[TenureMonths]]&gt;36, "3+ Years")</f>
        <v>3+ Years</v>
      </c>
      <c r="N1614" s="2" t="str">
        <f>IF(TelecomData[[#This Row],[CleanedTotalCharges]]&gt;=2500,"High Spend", "Standard Spend")</f>
        <v>High Spend</v>
      </c>
    </row>
    <row r="1615" spans="1:14" x14ac:dyDescent="0.3">
      <c r="A1615" s="1" t="s">
        <v>1639</v>
      </c>
      <c r="B1615" s="2" t="s">
        <v>19</v>
      </c>
      <c r="C1615" s="2" t="s">
        <v>13</v>
      </c>
      <c r="D1615" s="2">
        <v>34</v>
      </c>
      <c r="E1615" s="2" t="s">
        <v>15</v>
      </c>
      <c r="F1615" s="2" t="s">
        <v>36</v>
      </c>
      <c r="G1615" s="7">
        <v>19.7</v>
      </c>
      <c r="H1615" s="7">
        <v>675.6</v>
      </c>
      <c r="I1615" s="2" t="s">
        <v>15</v>
      </c>
      <c r="J1615" s="2" t="s">
        <v>15</v>
      </c>
      <c r="K1615" s="2" t="s">
        <v>21</v>
      </c>
      <c r="L1615" s="7">
        <v>675.6</v>
      </c>
      <c r="M1615" s="2" t="str">
        <f>_xlfn.IFS(TelecomData[[#This Row],[TenureMonths]]&lt;=12, "0-1 Year", TelecomData[[#This Row],[TenureMonths]]&lt;=36, "1-3 Years", TelecomData[[#This Row],[TenureMonths]]&gt;36, "3+ Years")</f>
        <v>1-3 Years</v>
      </c>
      <c r="N1615" s="2" t="str">
        <f>IF(TelecomData[[#This Row],[CleanedTotalCharges]]&gt;=2500,"High Spend", "Standard Spend")</f>
        <v>Standard Spend</v>
      </c>
    </row>
    <row r="1616" spans="1:14" x14ac:dyDescent="0.3">
      <c r="A1616" s="1" t="s">
        <v>1640</v>
      </c>
      <c r="B1616" s="2" t="s">
        <v>19</v>
      </c>
      <c r="C1616" s="2" t="s">
        <v>35</v>
      </c>
      <c r="D1616" s="2">
        <v>67</v>
      </c>
      <c r="E1616" s="2" t="s">
        <v>14</v>
      </c>
      <c r="F1616" s="2" t="s">
        <v>16</v>
      </c>
      <c r="G1616" s="7">
        <v>50.95</v>
      </c>
      <c r="H1616" s="7">
        <v>3521.7</v>
      </c>
      <c r="I1616" s="2" t="s">
        <v>15</v>
      </c>
      <c r="J1616" s="2" t="s">
        <v>16</v>
      </c>
      <c r="K1616" s="2" t="s">
        <v>24</v>
      </c>
      <c r="L1616" s="7">
        <v>3521.7</v>
      </c>
      <c r="M1616" s="2" t="str">
        <f>_xlfn.IFS(TelecomData[[#This Row],[TenureMonths]]&lt;=12, "0-1 Year", TelecomData[[#This Row],[TenureMonths]]&lt;=36, "1-3 Years", TelecomData[[#This Row],[TenureMonths]]&gt;36, "3+ Years")</f>
        <v>3+ Years</v>
      </c>
      <c r="N1616" s="2" t="str">
        <f>IF(TelecomData[[#This Row],[CleanedTotalCharges]]&gt;=2500,"High Spend", "Standard Spend")</f>
        <v>High Spend</v>
      </c>
    </row>
    <row r="1617" spans="1:14" x14ac:dyDescent="0.3">
      <c r="A1617" s="1" t="s">
        <v>1641</v>
      </c>
      <c r="B1617" s="2" t="s">
        <v>12</v>
      </c>
      <c r="C1617" s="2" t="s">
        <v>20</v>
      </c>
      <c r="D1617" s="2">
        <v>49</v>
      </c>
      <c r="E1617" s="2" t="s">
        <v>15</v>
      </c>
      <c r="F1617" s="2" t="s">
        <v>36</v>
      </c>
      <c r="G1617" s="7">
        <v>20.05</v>
      </c>
      <c r="H1617" s="7">
        <v>923.1</v>
      </c>
      <c r="I1617" s="2" t="s">
        <v>15</v>
      </c>
      <c r="J1617" s="2" t="s">
        <v>16</v>
      </c>
      <c r="K1617" s="2" t="s">
        <v>24</v>
      </c>
      <c r="L1617" s="7">
        <v>923.1</v>
      </c>
      <c r="M1617" s="2" t="str">
        <f>_xlfn.IFS(TelecomData[[#This Row],[TenureMonths]]&lt;=12, "0-1 Year", TelecomData[[#This Row],[TenureMonths]]&lt;=36, "1-3 Years", TelecomData[[#This Row],[TenureMonths]]&gt;36, "3+ Years")</f>
        <v>3+ Years</v>
      </c>
      <c r="N1617" s="2" t="str">
        <f>IF(TelecomData[[#This Row],[CleanedTotalCharges]]&gt;=2500,"High Spend", "Standard Spend")</f>
        <v>Standard Spend</v>
      </c>
    </row>
    <row r="1618" spans="1:14" x14ac:dyDescent="0.3">
      <c r="A1618" s="1" t="s">
        <v>1642</v>
      </c>
      <c r="B1618" s="2" t="s">
        <v>19</v>
      </c>
      <c r="C1618" s="2" t="s">
        <v>35</v>
      </c>
      <c r="D1618" s="2">
        <v>53</v>
      </c>
      <c r="E1618" s="2" t="s">
        <v>15</v>
      </c>
      <c r="F1618" s="2" t="s">
        <v>36</v>
      </c>
      <c r="G1618" s="7">
        <v>19.399999999999999</v>
      </c>
      <c r="H1618" s="7">
        <v>1110.3499999999999</v>
      </c>
      <c r="I1618" s="2" t="s">
        <v>15</v>
      </c>
      <c r="J1618" s="2" t="s">
        <v>16</v>
      </c>
      <c r="K1618" s="2" t="s">
        <v>21</v>
      </c>
      <c r="L1618" s="7">
        <v>1110.3499999999999</v>
      </c>
      <c r="M1618" s="2" t="str">
        <f>_xlfn.IFS(TelecomData[[#This Row],[TenureMonths]]&lt;=12, "0-1 Year", TelecomData[[#This Row],[TenureMonths]]&lt;=36, "1-3 Years", TelecomData[[#This Row],[TenureMonths]]&gt;36, "3+ Years")</f>
        <v>3+ Years</v>
      </c>
      <c r="N1618" s="2" t="str">
        <f>IF(TelecomData[[#This Row],[CleanedTotalCharges]]&gt;=2500,"High Spend", "Standard Spend")</f>
        <v>Standard Spend</v>
      </c>
    </row>
    <row r="1619" spans="1:14" x14ac:dyDescent="0.3">
      <c r="A1619" s="1" t="s">
        <v>1643</v>
      </c>
      <c r="B1619" s="2" t="s">
        <v>19</v>
      </c>
      <c r="C1619" s="2" t="s">
        <v>13</v>
      </c>
      <c r="D1619" s="2">
        <v>27</v>
      </c>
      <c r="E1619" s="2" t="s">
        <v>14</v>
      </c>
      <c r="F1619" s="2" t="s">
        <v>16</v>
      </c>
      <c r="G1619" s="7">
        <v>59.45</v>
      </c>
      <c r="H1619" s="7">
        <v>1611.65</v>
      </c>
      <c r="I1619" s="2" t="s">
        <v>15</v>
      </c>
      <c r="J1619" s="2" t="s">
        <v>15</v>
      </c>
      <c r="K1619" s="2" t="s">
        <v>17</v>
      </c>
      <c r="L1619" s="7">
        <v>1611.65</v>
      </c>
      <c r="M1619" s="2" t="str">
        <f>_xlfn.IFS(TelecomData[[#This Row],[TenureMonths]]&lt;=12, "0-1 Year", TelecomData[[#This Row],[TenureMonths]]&lt;=36, "1-3 Years", TelecomData[[#This Row],[TenureMonths]]&gt;36, "3+ Years")</f>
        <v>1-3 Years</v>
      </c>
      <c r="N1619" s="2" t="str">
        <f>IF(TelecomData[[#This Row],[CleanedTotalCharges]]&gt;=2500,"High Spend", "Standard Spend")</f>
        <v>Standard Spend</v>
      </c>
    </row>
    <row r="1620" spans="1:14" x14ac:dyDescent="0.3">
      <c r="A1620" s="1" t="s">
        <v>1644</v>
      </c>
      <c r="B1620" s="2" t="s">
        <v>12</v>
      </c>
      <c r="C1620" s="2" t="s">
        <v>13</v>
      </c>
      <c r="D1620" s="2">
        <v>23</v>
      </c>
      <c r="E1620" s="2" t="s">
        <v>26</v>
      </c>
      <c r="F1620" s="2" t="s">
        <v>15</v>
      </c>
      <c r="G1620" s="7">
        <v>94.75</v>
      </c>
      <c r="H1620" s="7">
        <v>2293.6</v>
      </c>
      <c r="I1620" s="2" t="s">
        <v>16</v>
      </c>
      <c r="J1620" s="2" t="s">
        <v>16</v>
      </c>
      <c r="K1620" s="2" t="s">
        <v>17</v>
      </c>
      <c r="L1620" s="7">
        <v>2293.6</v>
      </c>
      <c r="M1620" s="2" t="str">
        <f>_xlfn.IFS(TelecomData[[#This Row],[TenureMonths]]&lt;=12, "0-1 Year", TelecomData[[#This Row],[TenureMonths]]&lt;=36, "1-3 Years", TelecomData[[#This Row],[TenureMonths]]&gt;36, "3+ Years")</f>
        <v>1-3 Years</v>
      </c>
      <c r="N1620" s="2" t="str">
        <f>IF(TelecomData[[#This Row],[CleanedTotalCharges]]&gt;=2500,"High Spend", "Standard Spend")</f>
        <v>Standard Spend</v>
      </c>
    </row>
    <row r="1621" spans="1:14" x14ac:dyDescent="0.3">
      <c r="A1621" s="1" t="s">
        <v>1645</v>
      </c>
      <c r="B1621" s="2" t="s">
        <v>19</v>
      </c>
      <c r="C1621" s="2" t="s">
        <v>35</v>
      </c>
      <c r="D1621" s="2">
        <v>69</v>
      </c>
      <c r="E1621" s="2" t="s">
        <v>14</v>
      </c>
      <c r="F1621" s="2" t="s">
        <v>16</v>
      </c>
      <c r="G1621" s="7">
        <v>81.5</v>
      </c>
      <c r="H1621" s="7">
        <v>5553.25</v>
      </c>
      <c r="I1621" s="2" t="s">
        <v>15</v>
      </c>
      <c r="J1621" s="2" t="s">
        <v>16</v>
      </c>
      <c r="K1621" s="2" t="s">
        <v>29</v>
      </c>
      <c r="L1621" s="7">
        <v>5553.25</v>
      </c>
      <c r="M1621" s="2" t="str">
        <f>_xlfn.IFS(TelecomData[[#This Row],[TenureMonths]]&lt;=12, "0-1 Year", TelecomData[[#This Row],[TenureMonths]]&lt;=36, "1-3 Years", TelecomData[[#This Row],[TenureMonths]]&gt;36, "3+ Years")</f>
        <v>3+ Years</v>
      </c>
      <c r="N1621" s="2" t="str">
        <f>IF(TelecomData[[#This Row],[CleanedTotalCharges]]&gt;=2500,"High Spend", "Standard Spend")</f>
        <v>High Spend</v>
      </c>
    </row>
    <row r="1622" spans="1:14" x14ac:dyDescent="0.3">
      <c r="A1622" s="1" t="s">
        <v>1646</v>
      </c>
      <c r="B1622" s="2" t="s">
        <v>12</v>
      </c>
      <c r="C1622" s="2" t="s">
        <v>13</v>
      </c>
      <c r="D1622" s="2">
        <v>2</v>
      </c>
      <c r="E1622" s="2" t="s">
        <v>14</v>
      </c>
      <c r="F1622" s="2" t="s">
        <v>16</v>
      </c>
      <c r="G1622" s="7">
        <v>29.05</v>
      </c>
      <c r="H1622" s="7">
        <v>44.75</v>
      </c>
      <c r="I1622" s="2" t="s">
        <v>15</v>
      </c>
      <c r="J1622" s="2" t="s">
        <v>15</v>
      </c>
      <c r="K1622" s="2" t="s">
        <v>24</v>
      </c>
      <c r="L1622" s="7">
        <v>44.75</v>
      </c>
      <c r="M1622" s="2" t="str">
        <f>_xlfn.IFS(TelecomData[[#This Row],[TenureMonths]]&lt;=12, "0-1 Year", TelecomData[[#This Row],[TenureMonths]]&lt;=36, "1-3 Years", TelecomData[[#This Row],[TenureMonths]]&gt;36, "3+ Years")</f>
        <v>0-1 Year</v>
      </c>
      <c r="N1622" s="2" t="str">
        <f>IF(TelecomData[[#This Row],[CleanedTotalCharges]]&gt;=2500,"High Spend", "Standard Spend")</f>
        <v>Standard Spend</v>
      </c>
    </row>
    <row r="1623" spans="1:14" x14ac:dyDescent="0.3">
      <c r="A1623" s="1" t="s">
        <v>1647</v>
      </c>
      <c r="B1623" s="2" t="s">
        <v>12</v>
      </c>
      <c r="C1623" s="2" t="s">
        <v>13</v>
      </c>
      <c r="D1623" s="2">
        <v>35</v>
      </c>
      <c r="E1623" s="2" t="s">
        <v>26</v>
      </c>
      <c r="F1623" s="2" t="s">
        <v>15</v>
      </c>
      <c r="G1623" s="7">
        <v>86.45</v>
      </c>
      <c r="H1623" s="7">
        <v>3029.1</v>
      </c>
      <c r="I1623" s="2" t="s">
        <v>16</v>
      </c>
      <c r="J1623" s="2" t="s">
        <v>16</v>
      </c>
      <c r="K1623" s="2" t="s">
        <v>17</v>
      </c>
      <c r="L1623" s="7">
        <v>3029.1</v>
      </c>
      <c r="M1623" s="2" t="str">
        <f>_xlfn.IFS(TelecomData[[#This Row],[TenureMonths]]&lt;=12, "0-1 Year", TelecomData[[#This Row],[TenureMonths]]&lt;=36, "1-3 Years", TelecomData[[#This Row],[TenureMonths]]&gt;36, "3+ Years")</f>
        <v>1-3 Years</v>
      </c>
      <c r="N1623" s="2" t="str">
        <f>IF(TelecomData[[#This Row],[CleanedTotalCharges]]&gt;=2500,"High Spend", "Standard Spend")</f>
        <v>High Spend</v>
      </c>
    </row>
    <row r="1624" spans="1:14" x14ac:dyDescent="0.3">
      <c r="A1624" s="1" t="s">
        <v>1648</v>
      </c>
      <c r="B1624" s="2" t="s">
        <v>12</v>
      </c>
      <c r="C1624" s="2" t="s">
        <v>20</v>
      </c>
      <c r="D1624" s="2">
        <v>46</v>
      </c>
      <c r="E1624" s="2" t="s">
        <v>14</v>
      </c>
      <c r="F1624" s="2" t="s">
        <v>16</v>
      </c>
      <c r="G1624" s="7">
        <v>70.599999999999994</v>
      </c>
      <c r="H1624" s="7">
        <v>3231.05</v>
      </c>
      <c r="I1624" s="2" t="s">
        <v>15</v>
      </c>
      <c r="J1624" s="2" t="s">
        <v>15</v>
      </c>
      <c r="K1624" s="2" t="s">
        <v>21</v>
      </c>
      <c r="L1624" s="7">
        <v>3231.05</v>
      </c>
      <c r="M1624" s="2" t="str">
        <f>_xlfn.IFS(TelecomData[[#This Row],[TenureMonths]]&lt;=12, "0-1 Year", TelecomData[[#This Row],[TenureMonths]]&lt;=36, "1-3 Years", TelecomData[[#This Row],[TenureMonths]]&gt;36, "3+ Years")</f>
        <v>3+ Years</v>
      </c>
      <c r="N1624" s="2" t="str">
        <f>IF(TelecomData[[#This Row],[CleanedTotalCharges]]&gt;=2500,"High Spend", "Standard Spend")</f>
        <v>High Spend</v>
      </c>
    </row>
    <row r="1625" spans="1:14" x14ac:dyDescent="0.3">
      <c r="A1625" s="1" t="s">
        <v>1649</v>
      </c>
      <c r="B1625" s="2" t="s">
        <v>12</v>
      </c>
      <c r="C1625" s="2" t="s">
        <v>35</v>
      </c>
      <c r="D1625" s="2">
        <v>54</v>
      </c>
      <c r="E1625" s="2" t="s">
        <v>26</v>
      </c>
      <c r="F1625" s="2" t="s">
        <v>15</v>
      </c>
      <c r="G1625" s="7">
        <v>97.2</v>
      </c>
      <c r="H1625" s="7">
        <v>5129.45</v>
      </c>
      <c r="I1625" s="2" t="s">
        <v>15</v>
      </c>
      <c r="J1625" s="2" t="s">
        <v>16</v>
      </c>
      <c r="K1625" s="2" t="s">
        <v>24</v>
      </c>
      <c r="L1625" s="7">
        <v>5129.45</v>
      </c>
      <c r="M1625" s="2" t="str">
        <f>_xlfn.IFS(TelecomData[[#This Row],[TenureMonths]]&lt;=12, "0-1 Year", TelecomData[[#This Row],[TenureMonths]]&lt;=36, "1-3 Years", TelecomData[[#This Row],[TenureMonths]]&gt;36, "3+ Years")</f>
        <v>3+ Years</v>
      </c>
      <c r="N1625" s="2" t="str">
        <f>IF(TelecomData[[#This Row],[CleanedTotalCharges]]&gt;=2500,"High Spend", "Standard Spend")</f>
        <v>High Spend</v>
      </c>
    </row>
    <row r="1626" spans="1:14" x14ac:dyDescent="0.3">
      <c r="A1626" s="1" t="s">
        <v>1650</v>
      </c>
      <c r="B1626" s="2" t="s">
        <v>12</v>
      </c>
      <c r="C1626" s="2" t="s">
        <v>20</v>
      </c>
      <c r="D1626" s="2">
        <v>56</v>
      </c>
      <c r="E1626" s="2" t="s">
        <v>26</v>
      </c>
      <c r="F1626" s="2" t="s">
        <v>15</v>
      </c>
      <c r="G1626" s="7">
        <v>98.25</v>
      </c>
      <c r="H1626" s="7">
        <v>5508.35</v>
      </c>
      <c r="I1626" s="2" t="s">
        <v>16</v>
      </c>
      <c r="J1626" s="2" t="s">
        <v>16</v>
      </c>
      <c r="K1626" s="2" t="s">
        <v>17</v>
      </c>
      <c r="L1626" s="7">
        <v>5508.35</v>
      </c>
      <c r="M1626" s="2" t="str">
        <f>_xlfn.IFS(TelecomData[[#This Row],[TenureMonths]]&lt;=12, "0-1 Year", TelecomData[[#This Row],[TenureMonths]]&lt;=36, "1-3 Years", TelecomData[[#This Row],[TenureMonths]]&gt;36, "3+ Years")</f>
        <v>3+ Years</v>
      </c>
      <c r="N1626" s="2" t="str">
        <f>IF(TelecomData[[#This Row],[CleanedTotalCharges]]&gt;=2500,"High Spend", "Standard Spend")</f>
        <v>High Spend</v>
      </c>
    </row>
    <row r="1627" spans="1:14" x14ac:dyDescent="0.3">
      <c r="A1627" s="1" t="s">
        <v>1651</v>
      </c>
      <c r="B1627" s="2" t="s">
        <v>12</v>
      </c>
      <c r="C1627" s="2" t="s">
        <v>13</v>
      </c>
      <c r="D1627" s="2">
        <v>9</v>
      </c>
      <c r="E1627" s="2" t="s">
        <v>26</v>
      </c>
      <c r="F1627" s="2" t="s">
        <v>15</v>
      </c>
      <c r="G1627" s="7">
        <v>75.75</v>
      </c>
      <c r="H1627" s="7">
        <v>655.9</v>
      </c>
      <c r="I1627" s="2" t="s">
        <v>16</v>
      </c>
      <c r="J1627" s="2" t="s">
        <v>16</v>
      </c>
      <c r="K1627" s="2" t="s">
        <v>24</v>
      </c>
      <c r="L1627" s="7">
        <v>655.9</v>
      </c>
      <c r="M1627" s="2" t="str">
        <f>_xlfn.IFS(TelecomData[[#This Row],[TenureMonths]]&lt;=12, "0-1 Year", TelecomData[[#This Row],[TenureMonths]]&lt;=36, "1-3 Years", TelecomData[[#This Row],[TenureMonths]]&gt;36, "3+ Years")</f>
        <v>0-1 Year</v>
      </c>
      <c r="N1627" s="2" t="str">
        <f>IF(TelecomData[[#This Row],[CleanedTotalCharges]]&gt;=2500,"High Spend", "Standard Spend")</f>
        <v>Standard Spend</v>
      </c>
    </row>
    <row r="1628" spans="1:14" x14ac:dyDescent="0.3">
      <c r="A1628" s="1" t="s">
        <v>1652</v>
      </c>
      <c r="B1628" s="2" t="s">
        <v>19</v>
      </c>
      <c r="C1628" s="2" t="s">
        <v>13</v>
      </c>
      <c r="D1628" s="2">
        <v>20</v>
      </c>
      <c r="E1628" s="2" t="s">
        <v>14</v>
      </c>
      <c r="F1628" s="2" t="s">
        <v>16</v>
      </c>
      <c r="G1628" s="7">
        <v>59.2</v>
      </c>
      <c r="H1628" s="7">
        <v>1191.2</v>
      </c>
      <c r="I1628" s="2" t="s">
        <v>15</v>
      </c>
      <c r="J1628" s="2" t="s">
        <v>15</v>
      </c>
      <c r="K1628" s="2" t="s">
        <v>24</v>
      </c>
      <c r="L1628" s="7">
        <v>1191.2</v>
      </c>
      <c r="M1628" s="2" t="str">
        <f>_xlfn.IFS(TelecomData[[#This Row],[TenureMonths]]&lt;=12, "0-1 Year", TelecomData[[#This Row],[TenureMonths]]&lt;=36, "1-3 Years", TelecomData[[#This Row],[TenureMonths]]&gt;36, "3+ Years")</f>
        <v>1-3 Years</v>
      </c>
      <c r="N1628" s="2" t="str">
        <f>IF(TelecomData[[#This Row],[CleanedTotalCharges]]&gt;=2500,"High Spend", "Standard Spend")</f>
        <v>Standard Spend</v>
      </c>
    </row>
    <row r="1629" spans="1:14" x14ac:dyDescent="0.3">
      <c r="A1629" s="1" t="s">
        <v>1653</v>
      </c>
      <c r="B1629" s="2" t="s">
        <v>19</v>
      </c>
      <c r="C1629" s="2" t="s">
        <v>13</v>
      </c>
      <c r="D1629" s="2">
        <v>11</v>
      </c>
      <c r="E1629" s="2" t="s">
        <v>26</v>
      </c>
      <c r="F1629" s="2" t="s">
        <v>15</v>
      </c>
      <c r="G1629" s="7">
        <v>75.900000000000006</v>
      </c>
      <c r="H1629" s="7">
        <v>866.4</v>
      </c>
      <c r="I1629" s="2" t="s">
        <v>15</v>
      </c>
      <c r="J1629" s="2" t="s">
        <v>16</v>
      </c>
      <c r="K1629" s="2" t="s">
        <v>21</v>
      </c>
      <c r="L1629" s="7">
        <v>866.4</v>
      </c>
      <c r="M1629" s="2" t="str">
        <f>_xlfn.IFS(TelecomData[[#This Row],[TenureMonths]]&lt;=12, "0-1 Year", TelecomData[[#This Row],[TenureMonths]]&lt;=36, "1-3 Years", TelecomData[[#This Row],[TenureMonths]]&gt;36, "3+ Years")</f>
        <v>0-1 Year</v>
      </c>
      <c r="N1629" s="2" t="str">
        <f>IF(TelecomData[[#This Row],[CleanedTotalCharges]]&gt;=2500,"High Spend", "Standard Spend")</f>
        <v>Standard Spend</v>
      </c>
    </row>
    <row r="1630" spans="1:14" x14ac:dyDescent="0.3">
      <c r="A1630" s="1" t="s">
        <v>1654</v>
      </c>
      <c r="B1630" s="2" t="s">
        <v>12</v>
      </c>
      <c r="C1630" s="2" t="s">
        <v>13</v>
      </c>
      <c r="D1630" s="2">
        <v>30</v>
      </c>
      <c r="E1630" s="2" t="s">
        <v>26</v>
      </c>
      <c r="F1630" s="2" t="s">
        <v>15</v>
      </c>
      <c r="G1630" s="7">
        <v>90.05</v>
      </c>
      <c r="H1630" s="7">
        <v>2627.2</v>
      </c>
      <c r="I1630" s="2" t="s">
        <v>15</v>
      </c>
      <c r="J1630" s="2" t="s">
        <v>16</v>
      </c>
      <c r="K1630" s="2" t="s">
        <v>17</v>
      </c>
      <c r="L1630" s="7">
        <v>2627.2</v>
      </c>
      <c r="M1630" s="2" t="str">
        <f>_xlfn.IFS(TelecomData[[#This Row],[TenureMonths]]&lt;=12, "0-1 Year", TelecomData[[#This Row],[TenureMonths]]&lt;=36, "1-3 Years", TelecomData[[#This Row],[TenureMonths]]&gt;36, "3+ Years")</f>
        <v>1-3 Years</v>
      </c>
      <c r="N1630" s="2" t="str">
        <f>IF(TelecomData[[#This Row],[CleanedTotalCharges]]&gt;=2500,"High Spend", "Standard Spend")</f>
        <v>High Spend</v>
      </c>
    </row>
    <row r="1631" spans="1:14" x14ac:dyDescent="0.3">
      <c r="A1631" s="1" t="s">
        <v>1655</v>
      </c>
      <c r="B1631" s="2" t="s">
        <v>19</v>
      </c>
      <c r="C1631" s="2" t="s">
        <v>35</v>
      </c>
      <c r="D1631" s="2">
        <v>68</v>
      </c>
      <c r="E1631" s="2" t="s">
        <v>14</v>
      </c>
      <c r="F1631" s="2" t="s">
        <v>15</v>
      </c>
      <c r="G1631" s="7">
        <v>70.95</v>
      </c>
      <c r="H1631" s="7">
        <v>4741.45</v>
      </c>
      <c r="I1631" s="2" t="s">
        <v>15</v>
      </c>
      <c r="J1631" s="2" t="s">
        <v>15</v>
      </c>
      <c r="K1631" s="2" t="s">
        <v>24</v>
      </c>
      <c r="L1631" s="7">
        <v>4741.45</v>
      </c>
      <c r="M1631" s="2" t="str">
        <f>_xlfn.IFS(TelecomData[[#This Row],[TenureMonths]]&lt;=12, "0-1 Year", TelecomData[[#This Row],[TenureMonths]]&lt;=36, "1-3 Years", TelecomData[[#This Row],[TenureMonths]]&gt;36, "3+ Years")</f>
        <v>3+ Years</v>
      </c>
      <c r="N1631" s="2" t="str">
        <f>IF(TelecomData[[#This Row],[CleanedTotalCharges]]&gt;=2500,"High Spend", "Standard Spend")</f>
        <v>High Spend</v>
      </c>
    </row>
    <row r="1632" spans="1:14" x14ac:dyDescent="0.3">
      <c r="A1632" s="1" t="s">
        <v>1656</v>
      </c>
      <c r="B1632" s="2" t="s">
        <v>19</v>
      </c>
      <c r="C1632" s="2" t="s">
        <v>13</v>
      </c>
      <c r="D1632" s="2">
        <v>38</v>
      </c>
      <c r="E1632" s="2" t="s">
        <v>26</v>
      </c>
      <c r="F1632" s="2" t="s">
        <v>15</v>
      </c>
      <c r="G1632" s="7">
        <v>102.6</v>
      </c>
      <c r="H1632" s="7">
        <v>4009.2</v>
      </c>
      <c r="I1632" s="2" t="s">
        <v>15</v>
      </c>
      <c r="J1632" s="2" t="s">
        <v>16</v>
      </c>
      <c r="K1632" s="2" t="s">
        <v>17</v>
      </c>
      <c r="L1632" s="7">
        <v>4009.2</v>
      </c>
      <c r="M1632" s="2" t="str">
        <f>_xlfn.IFS(TelecomData[[#This Row],[TenureMonths]]&lt;=12, "0-1 Year", TelecomData[[#This Row],[TenureMonths]]&lt;=36, "1-3 Years", TelecomData[[#This Row],[TenureMonths]]&gt;36, "3+ Years")</f>
        <v>3+ Years</v>
      </c>
      <c r="N1632" s="2" t="str">
        <f>IF(TelecomData[[#This Row],[CleanedTotalCharges]]&gt;=2500,"High Spend", "Standard Spend")</f>
        <v>High Spend</v>
      </c>
    </row>
    <row r="1633" spans="1:14" x14ac:dyDescent="0.3">
      <c r="A1633" s="1" t="s">
        <v>1657</v>
      </c>
      <c r="B1633" s="2" t="s">
        <v>12</v>
      </c>
      <c r="C1633" s="2" t="s">
        <v>13</v>
      </c>
      <c r="D1633" s="2">
        <v>17</v>
      </c>
      <c r="E1633" s="2" t="s">
        <v>26</v>
      </c>
      <c r="F1633" s="2" t="s">
        <v>15</v>
      </c>
      <c r="G1633" s="7">
        <v>85.35</v>
      </c>
      <c r="H1633" s="7">
        <v>1463.45</v>
      </c>
      <c r="I1633" s="2" t="s">
        <v>16</v>
      </c>
      <c r="J1633" s="2" t="s">
        <v>16</v>
      </c>
      <c r="K1633" s="2" t="s">
        <v>24</v>
      </c>
      <c r="L1633" s="7">
        <v>1463.45</v>
      </c>
      <c r="M1633" s="2" t="str">
        <f>_xlfn.IFS(TelecomData[[#This Row],[TenureMonths]]&lt;=12, "0-1 Year", TelecomData[[#This Row],[TenureMonths]]&lt;=36, "1-3 Years", TelecomData[[#This Row],[TenureMonths]]&gt;36, "3+ Years")</f>
        <v>1-3 Years</v>
      </c>
      <c r="N1633" s="2" t="str">
        <f>IF(TelecomData[[#This Row],[CleanedTotalCharges]]&gt;=2500,"High Spend", "Standard Spend")</f>
        <v>Standard Spend</v>
      </c>
    </row>
    <row r="1634" spans="1:14" x14ac:dyDescent="0.3">
      <c r="A1634" s="1" t="s">
        <v>1658</v>
      </c>
      <c r="B1634" s="2" t="s">
        <v>19</v>
      </c>
      <c r="C1634" s="2" t="s">
        <v>20</v>
      </c>
      <c r="D1634" s="2">
        <v>48</v>
      </c>
      <c r="E1634" s="2" t="s">
        <v>26</v>
      </c>
      <c r="F1634" s="2" t="s">
        <v>15</v>
      </c>
      <c r="G1634" s="7">
        <v>106.1</v>
      </c>
      <c r="H1634" s="7">
        <v>5082.8</v>
      </c>
      <c r="I1634" s="2" t="s">
        <v>16</v>
      </c>
      <c r="J1634" s="2" t="s">
        <v>16</v>
      </c>
      <c r="K1634" s="2" t="s">
        <v>29</v>
      </c>
      <c r="L1634" s="7">
        <v>5082.8</v>
      </c>
      <c r="M1634" s="2" t="str">
        <f>_xlfn.IFS(TelecomData[[#This Row],[TenureMonths]]&lt;=12, "0-1 Year", TelecomData[[#This Row],[TenureMonths]]&lt;=36, "1-3 Years", TelecomData[[#This Row],[TenureMonths]]&gt;36, "3+ Years")</f>
        <v>3+ Years</v>
      </c>
      <c r="N1634" s="2" t="str">
        <f>IF(TelecomData[[#This Row],[CleanedTotalCharges]]&gt;=2500,"High Spend", "Standard Spend")</f>
        <v>High Spend</v>
      </c>
    </row>
    <row r="1635" spans="1:14" x14ac:dyDescent="0.3">
      <c r="A1635" s="1" t="s">
        <v>1659</v>
      </c>
      <c r="B1635" s="2" t="s">
        <v>12</v>
      </c>
      <c r="C1635" s="2" t="s">
        <v>13</v>
      </c>
      <c r="D1635" s="2">
        <v>1</v>
      </c>
      <c r="E1635" s="2" t="s">
        <v>14</v>
      </c>
      <c r="F1635" s="2" t="s">
        <v>15</v>
      </c>
      <c r="G1635" s="7">
        <v>43.8</v>
      </c>
      <c r="H1635" s="7">
        <v>43.8</v>
      </c>
      <c r="I1635" s="2" t="s">
        <v>15</v>
      </c>
      <c r="J1635" s="2" t="s">
        <v>15</v>
      </c>
      <c r="K1635" s="2" t="s">
        <v>17</v>
      </c>
      <c r="L1635" s="7">
        <v>43.8</v>
      </c>
      <c r="M1635" s="2" t="str">
        <f>_xlfn.IFS(TelecomData[[#This Row],[TenureMonths]]&lt;=12, "0-1 Year", TelecomData[[#This Row],[TenureMonths]]&lt;=36, "1-3 Years", TelecomData[[#This Row],[TenureMonths]]&gt;36, "3+ Years")</f>
        <v>0-1 Year</v>
      </c>
      <c r="N1635" s="2" t="str">
        <f>IF(TelecomData[[#This Row],[CleanedTotalCharges]]&gt;=2500,"High Spend", "Standard Spend")</f>
        <v>Standard Spend</v>
      </c>
    </row>
    <row r="1636" spans="1:14" x14ac:dyDescent="0.3">
      <c r="A1636" s="1" t="s">
        <v>1660</v>
      </c>
      <c r="B1636" s="2" t="s">
        <v>19</v>
      </c>
      <c r="C1636" s="2" t="s">
        <v>35</v>
      </c>
      <c r="D1636" s="2">
        <v>63</v>
      </c>
      <c r="E1636" s="2" t="s">
        <v>14</v>
      </c>
      <c r="F1636" s="2" t="s">
        <v>15</v>
      </c>
      <c r="G1636" s="7">
        <v>59</v>
      </c>
      <c r="H1636" s="7">
        <v>3707.6</v>
      </c>
      <c r="I1636" s="2" t="s">
        <v>15</v>
      </c>
      <c r="J1636" s="2" t="s">
        <v>15</v>
      </c>
      <c r="K1636" s="2" t="s">
        <v>17</v>
      </c>
      <c r="L1636" s="7">
        <v>3707.6</v>
      </c>
      <c r="M1636" s="2" t="str">
        <f>_xlfn.IFS(TelecomData[[#This Row],[TenureMonths]]&lt;=12, "0-1 Year", TelecomData[[#This Row],[TenureMonths]]&lt;=36, "1-3 Years", TelecomData[[#This Row],[TenureMonths]]&gt;36, "3+ Years")</f>
        <v>3+ Years</v>
      </c>
      <c r="N1636" s="2" t="str">
        <f>IF(TelecomData[[#This Row],[CleanedTotalCharges]]&gt;=2500,"High Spend", "Standard Spend")</f>
        <v>High Spend</v>
      </c>
    </row>
    <row r="1637" spans="1:14" x14ac:dyDescent="0.3">
      <c r="A1637" s="1" t="s">
        <v>1661</v>
      </c>
      <c r="B1637" s="2" t="s">
        <v>12</v>
      </c>
      <c r="C1637" s="2" t="s">
        <v>20</v>
      </c>
      <c r="D1637" s="2">
        <v>3</v>
      </c>
      <c r="E1637" s="2" t="s">
        <v>14</v>
      </c>
      <c r="F1637" s="2" t="s">
        <v>15</v>
      </c>
      <c r="G1637" s="7">
        <v>69.95</v>
      </c>
      <c r="H1637" s="7">
        <v>220.45</v>
      </c>
      <c r="I1637" s="2" t="s">
        <v>15</v>
      </c>
      <c r="J1637" s="2" t="s">
        <v>16</v>
      </c>
      <c r="K1637" s="2" t="s">
        <v>17</v>
      </c>
      <c r="L1637" s="7">
        <v>220.45</v>
      </c>
      <c r="M1637" s="2" t="str">
        <f>_xlfn.IFS(TelecomData[[#This Row],[TenureMonths]]&lt;=12, "0-1 Year", TelecomData[[#This Row],[TenureMonths]]&lt;=36, "1-3 Years", TelecomData[[#This Row],[TenureMonths]]&gt;36, "3+ Years")</f>
        <v>0-1 Year</v>
      </c>
      <c r="N1637" s="2" t="str">
        <f>IF(TelecomData[[#This Row],[CleanedTotalCharges]]&gt;=2500,"High Spend", "Standard Spend")</f>
        <v>Standard Spend</v>
      </c>
    </row>
    <row r="1638" spans="1:14" x14ac:dyDescent="0.3">
      <c r="A1638" s="1" t="s">
        <v>1662</v>
      </c>
      <c r="B1638" s="2" t="s">
        <v>12</v>
      </c>
      <c r="C1638" s="2" t="s">
        <v>20</v>
      </c>
      <c r="D1638" s="2">
        <v>48</v>
      </c>
      <c r="E1638" s="2" t="s">
        <v>15</v>
      </c>
      <c r="F1638" s="2" t="s">
        <v>36</v>
      </c>
      <c r="G1638" s="7">
        <v>24.35</v>
      </c>
      <c r="H1638" s="7">
        <v>1133.7</v>
      </c>
      <c r="I1638" s="2" t="s">
        <v>15</v>
      </c>
      <c r="J1638" s="2" t="s">
        <v>15</v>
      </c>
      <c r="K1638" s="2" t="s">
        <v>24</v>
      </c>
      <c r="L1638" s="7">
        <v>1133.7</v>
      </c>
      <c r="M1638" s="2" t="str">
        <f>_xlfn.IFS(TelecomData[[#This Row],[TenureMonths]]&lt;=12, "0-1 Year", TelecomData[[#This Row],[TenureMonths]]&lt;=36, "1-3 Years", TelecomData[[#This Row],[TenureMonths]]&gt;36, "3+ Years")</f>
        <v>3+ Years</v>
      </c>
      <c r="N1638" s="2" t="str">
        <f>IF(TelecomData[[#This Row],[CleanedTotalCharges]]&gt;=2500,"High Spend", "Standard Spend")</f>
        <v>Standard Spend</v>
      </c>
    </row>
    <row r="1639" spans="1:14" x14ac:dyDescent="0.3">
      <c r="A1639" s="1" t="s">
        <v>1663</v>
      </c>
      <c r="B1639" s="2" t="s">
        <v>19</v>
      </c>
      <c r="C1639" s="2" t="s">
        <v>20</v>
      </c>
      <c r="D1639" s="2">
        <v>66</v>
      </c>
      <c r="E1639" s="2" t="s">
        <v>14</v>
      </c>
      <c r="F1639" s="2" t="s">
        <v>16</v>
      </c>
      <c r="G1639" s="7">
        <v>29.45</v>
      </c>
      <c r="H1639" s="7">
        <v>1983.15</v>
      </c>
      <c r="I1639" s="2" t="s">
        <v>15</v>
      </c>
      <c r="J1639" s="2" t="s">
        <v>15</v>
      </c>
      <c r="K1639" s="2" t="s">
        <v>29</v>
      </c>
      <c r="L1639" s="7">
        <v>1983.15</v>
      </c>
      <c r="M1639" s="2" t="str">
        <f>_xlfn.IFS(TelecomData[[#This Row],[TenureMonths]]&lt;=12, "0-1 Year", TelecomData[[#This Row],[TenureMonths]]&lt;=36, "1-3 Years", TelecomData[[#This Row],[TenureMonths]]&gt;36, "3+ Years")</f>
        <v>3+ Years</v>
      </c>
      <c r="N1639" s="2" t="str">
        <f>IF(TelecomData[[#This Row],[CleanedTotalCharges]]&gt;=2500,"High Spend", "Standard Spend")</f>
        <v>Standard Spend</v>
      </c>
    </row>
    <row r="1640" spans="1:14" x14ac:dyDescent="0.3">
      <c r="A1640" s="1" t="s">
        <v>1664</v>
      </c>
      <c r="B1640" s="2" t="s">
        <v>12</v>
      </c>
      <c r="C1640" s="2" t="s">
        <v>35</v>
      </c>
      <c r="D1640" s="2">
        <v>68</v>
      </c>
      <c r="E1640" s="2" t="s">
        <v>26</v>
      </c>
      <c r="F1640" s="2" t="s">
        <v>15</v>
      </c>
      <c r="G1640" s="7">
        <v>84.4</v>
      </c>
      <c r="H1640" s="7">
        <v>5746.75</v>
      </c>
      <c r="I1640" s="2" t="s">
        <v>15</v>
      </c>
      <c r="J1640" s="2" t="s">
        <v>16</v>
      </c>
      <c r="K1640" s="2" t="s">
        <v>29</v>
      </c>
      <c r="L1640" s="7">
        <v>5746.75</v>
      </c>
      <c r="M1640" s="2" t="str">
        <f>_xlfn.IFS(TelecomData[[#This Row],[TenureMonths]]&lt;=12, "0-1 Year", TelecomData[[#This Row],[TenureMonths]]&lt;=36, "1-3 Years", TelecomData[[#This Row],[TenureMonths]]&gt;36, "3+ Years")</f>
        <v>3+ Years</v>
      </c>
      <c r="N1640" s="2" t="str">
        <f>IF(TelecomData[[#This Row],[CleanedTotalCharges]]&gt;=2500,"High Spend", "Standard Spend")</f>
        <v>High Spend</v>
      </c>
    </row>
    <row r="1641" spans="1:14" x14ac:dyDescent="0.3">
      <c r="A1641" s="1" t="s">
        <v>1665</v>
      </c>
      <c r="B1641" s="2" t="s">
        <v>19</v>
      </c>
      <c r="C1641" s="2" t="s">
        <v>13</v>
      </c>
      <c r="D1641" s="2">
        <v>17</v>
      </c>
      <c r="E1641" s="2" t="s">
        <v>14</v>
      </c>
      <c r="F1641" s="2" t="s">
        <v>15</v>
      </c>
      <c r="G1641" s="7">
        <v>45.05</v>
      </c>
      <c r="H1641" s="7">
        <v>770.6</v>
      </c>
      <c r="I1641" s="2" t="s">
        <v>16</v>
      </c>
      <c r="J1641" s="2" t="s">
        <v>16</v>
      </c>
      <c r="K1641" s="2" t="s">
        <v>17</v>
      </c>
      <c r="L1641" s="7">
        <v>770.6</v>
      </c>
      <c r="M1641" s="2" t="str">
        <f>_xlfn.IFS(TelecomData[[#This Row],[TenureMonths]]&lt;=12, "0-1 Year", TelecomData[[#This Row],[TenureMonths]]&lt;=36, "1-3 Years", TelecomData[[#This Row],[TenureMonths]]&gt;36, "3+ Years")</f>
        <v>1-3 Years</v>
      </c>
      <c r="N1641" s="2" t="str">
        <f>IF(TelecomData[[#This Row],[CleanedTotalCharges]]&gt;=2500,"High Spend", "Standard Spend")</f>
        <v>Standard Spend</v>
      </c>
    </row>
    <row r="1642" spans="1:14" x14ac:dyDescent="0.3">
      <c r="A1642" s="1" t="s">
        <v>1666</v>
      </c>
      <c r="B1642" s="2" t="s">
        <v>12</v>
      </c>
      <c r="C1642" s="2" t="s">
        <v>20</v>
      </c>
      <c r="D1642" s="2">
        <v>7</v>
      </c>
      <c r="E1642" s="2" t="s">
        <v>15</v>
      </c>
      <c r="F1642" s="2" t="s">
        <v>36</v>
      </c>
      <c r="G1642" s="7">
        <v>20.65</v>
      </c>
      <c r="H1642" s="7">
        <v>134.05000000000001</v>
      </c>
      <c r="I1642" s="2" t="s">
        <v>15</v>
      </c>
      <c r="J1642" s="2" t="s">
        <v>15</v>
      </c>
      <c r="K1642" s="2" t="s">
        <v>21</v>
      </c>
      <c r="L1642" s="7">
        <v>134.05000000000001</v>
      </c>
      <c r="M1642" s="2" t="str">
        <f>_xlfn.IFS(TelecomData[[#This Row],[TenureMonths]]&lt;=12, "0-1 Year", TelecomData[[#This Row],[TenureMonths]]&lt;=36, "1-3 Years", TelecomData[[#This Row],[TenureMonths]]&gt;36, "3+ Years")</f>
        <v>0-1 Year</v>
      </c>
      <c r="N1642" s="2" t="str">
        <f>IF(TelecomData[[#This Row],[CleanedTotalCharges]]&gt;=2500,"High Spend", "Standard Spend")</f>
        <v>Standard Spend</v>
      </c>
    </row>
    <row r="1643" spans="1:14" x14ac:dyDescent="0.3">
      <c r="A1643" s="1" t="s">
        <v>1667</v>
      </c>
      <c r="B1643" s="2" t="s">
        <v>19</v>
      </c>
      <c r="C1643" s="2" t="s">
        <v>35</v>
      </c>
      <c r="D1643" s="2">
        <v>72</v>
      </c>
      <c r="E1643" s="2" t="s">
        <v>14</v>
      </c>
      <c r="F1643" s="2" t="s">
        <v>16</v>
      </c>
      <c r="G1643" s="7">
        <v>87.1</v>
      </c>
      <c r="H1643" s="7">
        <v>6230.1</v>
      </c>
      <c r="I1643" s="2" t="s">
        <v>15</v>
      </c>
      <c r="J1643" s="2" t="s">
        <v>16</v>
      </c>
      <c r="K1643" s="2" t="s">
        <v>24</v>
      </c>
      <c r="L1643" s="7">
        <v>6230.1</v>
      </c>
      <c r="M1643" s="2" t="str">
        <f>_xlfn.IFS(TelecomData[[#This Row],[TenureMonths]]&lt;=12, "0-1 Year", TelecomData[[#This Row],[TenureMonths]]&lt;=36, "1-3 Years", TelecomData[[#This Row],[TenureMonths]]&gt;36, "3+ Years")</f>
        <v>3+ Years</v>
      </c>
      <c r="N1643" s="2" t="str">
        <f>IF(TelecomData[[#This Row],[CleanedTotalCharges]]&gt;=2500,"High Spend", "Standard Spend")</f>
        <v>High Spend</v>
      </c>
    </row>
    <row r="1644" spans="1:14" x14ac:dyDescent="0.3">
      <c r="A1644" s="1" t="s">
        <v>1668</v>
      </c>
      <c r="B1644" s="2" t="s">
        <v>12</v>
      </c>
      <c r="C1644" s="2" t="s">
        <v>13</v>
      </c>
      <c r="D1644" s="2">
        <v>29</v>
      </c>
      <c r="E1644" s="2" t="s">
        <v>15</v>
      </c>
      <c r="F1644" s="2" t="s">
        <v>36</v>
      </c>
      <c r="G1644" s="7">
        <v>19.850000000000001</v>
      </c>
      <c r="H1644" s="7">
        <v>573.04999999999995</v>
      </c>
      <c r="I1644" s="2" t="s">
        <v>15</v>
      </c>
      <c r="J1644" s="2" t="s">
        <v>15</v>
      </c>
      <c r="K1644" s="2" t="s">
        <v>21</v>
      </c>
      <c r="L1644" s="7">
        <v>573.04999999999995</v>
      </c>
      <c r="M1644" s="2" t="str">
        <f>_xlfn.IFS(TelecomData[[#This Row],[TenureMonths]]&lt;=12, "0-1 Year", TelecomData[[#This Row],[TenureMonths]]&lt;=36, "1-3 Years", TelecomData[[#This Row],[TenureMonths]]&gt;36, "3+ Years")</f>
        <v>1-3 Years</v>
      </c>
      <c r="N1644" s="2" t="str">
        <f>IF(TelecomData[[#This Row],[CleanedTotalCharges]]&gt;=2500,"High Spend", "Standard Spend")</f>
        <v>Standard Spend</v>
      </c>
    </row>
    <row r="1645" spans="1:14" x14ac:dyDescent="0.3">
      <c r="A1645" s="1" t="s">
        <v>1669</v>
      </c>
      <c r="B1645" s="2" t="s">
        <v>19</v>
      </c>
      <c r="C1645" s="2" t="s">
        <v>13</v>
      </c>
      <c r="D1645" s="2">
        <v>37</v>
      </c>
      <c r="E1645" s="2" t="s">
        <v>26</v>
      </c>
      <c r="F1645" s="2" t="s">
        <v>16</v>
      </c>
      <c r="G1645" s="7">
        <v>90.35</v>
      </c>
      <c r="H1645" s="7">
        <v>3419.3</v>
      </c>
      <c r="I1645" s="2" t="s">
        <v>15</v>
      </c>
      <c r="J1645" s="2" t="s">
        <v>16</v>
      </c>
      <c r="K1645" s="2" t="s">
        <v>17</v>
      </c>
      <c r="L1645" s="7">
        <v>3419.3</v>
      </c>
      <c r="M1645" s="2" t="str">
        <f>_xlfn.IFS(TelecomData[[#This Row],[TenureMonths]]&lt;=12, "0-1 Year", TelecomData[[#This Row],[TenureMonths]]&lt;=36, "1-3 Years", TelecomData[[#This Row],[TenureMonths]]&gt;36, "3+ Years")</f>
        <v>3+ Years</v>
      </c>
      <c r="N1645" s="2" t="str">
        <f>IF(TelecomData[[#This Row],[CleanedTotalCharges]]&gt;=2500,"High Spend", "Standard Spend")</f>
        <v>High Spend</v>
      </c>
    </row>
    <row r="1646" spans="1:14" x14ac:dyDescent="0.3">
      <c r="A1646" s="1" t="s">
        <v>1670</v>
      </c>
      <c r="B1646" s="2" t="s">
        <v>12</v>
      </c>
      <c r="C1646" s="2" t="s">
        <v>13</v>
      </c>
      <c r="D1646" s="2">
        <v>34</v>
      </c>
      <c r="E1646" s="2" t="s">
        <v>26</v>
      </c>
      <c r="F1646" s="2" t="s">
        <v>15</v>
      </c>
      <c r="G1646" s="7">
        <v>109.8</v>
      </c>
      <c r="H1646" s="7">
        <v>3587.25</v>
      </c>
      <c r="I1646" s="2" t="s">
        <v>16</v>
      </c>
      <c r="J1646" s="2" t="s">
        <v>16</v>
      </c>
      <c r="K1646" s="2" t="s">
        <v>21</v>
      </c>
      <c r="L1646" s="7">
        <v>3587.25</v>
      </c>
      <c r="M1646" s="2" t="str">
        <f>_xlfn.IFS(TelecomData[[#This Row],[TenureMonths]]&lt;=12, "0-1 Year", TelecomData[[#This Row],[TenureMonths]]&lt;=36, "1-3 Years", TelecomData[[#This Row],[TenureMonths]]&gt;36, "3+ Years")</f>
        <v>1-3 Years</v>
      </c>
      <c r="N1646" s="2" t="str">
        <f>IF(TelecomData[[#This Row],[CleanedTotalCharges]]&gt;=2500,"High Spend", "Standard Spend")</f>
        <v>High Spend</v>
      </c>
    </row>
    <row r="1647" spans="1:14" x14ac:dyDescent="0.3">
      <c r="A1647" s="1" t="s">
        <v>1671</v>
      </c>
      <c r="B1647" s="2" t="s">
        <v>12</v>
      </c>
      <c r="C1647" s="2" t="s">
        <v>13</v>
      </c>
      <c r="D1647" s="2">
        <v>42</v>
      </c>
      <c r="E1647" s="2" t="s">
        <v>26</v>
      </c>
      <c r="F1647" s="2" t="s">
        <v>15</v>
      </c>
      <c r="G1647" s="7">
        <v>84.65</v>
      </c>
      <c r="H1647" s="7">
        <v>3541.35</v>
      </c>
      <c r="I1647" s="2" t="s">
        <v>16</v>
      </c>
      <c r="J1647" s="2" t="s">
        <v>16</v>
      </c>
      <c r="K1647" s="2" t="s">
        <v>17</v>
      </c>
      <c r="L1647" s="7">
        <v>3541.35</v>
      </c>
      <c r="M1647" s="2" t="str">
        <f>_xlfn.IFS(TelecomData[[#This Row],[TenureMonths]]&lt;=12, "0-1 Year", TelecomData[[#This Row],[TenureMonths]]&lt;=36, "1-3 Years", TelecomData[[#This Row],[TenureMonths]]&gt;36, "3+ Years")</f>
        <v>3+ Years</v>
      </c>
      <c r="N1647" s="2" t="str">
        <f>IF(TelecomData[[#This Row],[CleanedTotalCharges]]&gt;=2500,"High Spend", "Standard Spend")</f>
        <v>High Spend</v>
      </c>
    </row>
    <row r="1648" spans="1:14" x14ac:dyDescent="0.3">
      <c r="A1648" s="1" t="s">
        <v>1672</v>
      </c>
      <c r="B1648" s="2" t="s">
        <v>12</v>
      </c>
      <c r="C1648" s="2" t="s">
        <v>20</v>
      </c>
      <c r="D1648" s="2">
        <v>59</v>
      </c>
      <c r="E1648" s="2" t="s">
        <v>14</v>
      </c>
      <c r="F1648" s="2" t="s">
        <v>16</v>
      </c>
      <c r="G1648" s="7">
        <v>65.5</v>
      </c>
      <c r="H1648" s="7">
        <v>3801.3</v>
      </c>
      <c r="I1648" s="2" t="s">
        <v>15</v>
      </c>
      <c r="J1648" s="2" t="s">
        <v>15</v>
      </c>
      <c r="K1648" s="2" t="s">
        <v>21</v>
      </c>
      <c r="L1648" s="7">
        <v>3801.3</v>
      </c>
      <c r="M1648" s="2" t="str">
        <f>_xlfn.IFS(TelecomData[[#This Row],[TenureMonths]]&lt;=12, "0-1 Year", TelecomData[[#This Row],[TenureMonths]]&lt;=36, "1-3 Years", TelecomData[[#This Row],[TenureMonths]]&gt;36, "3+ Years")</f>
        <v>3+ Years</v>
      </c>
      <c r="N1648" s="2" t="str">
        <f>IF(TelecomData[[#This Row],[CleanedTotalCharges]]&gt;=2500,"High Spend", "Standard Spend")</f>
        <v>High Spend</v>
      </c>
    </row>
    <row r="1649" spans="1:14" x14ac:dyDescent="0.3">
      <c r="A1649" s="1" t="s">
        <v>1673</v>
      </c>
      <c r="B1649" s="2" t="s">
        <v>19</v>
      </c>
      <c r="C1649" s="2" t="s">
        <v>13</v>
      </c>
      <c r="D1649" s="2">
        <v>11</v>
      </c>
      <c r="E1649" s="2" t="s">
        <v>26</v>
      </c>
      <c r="F1649" s="2" t="s">
        <v>15</v>
      </c>
      <c r="G1649" s="7">
        <v>79.5</v>
      </c>
      <c r="H1649" s="7">
        <v>868.5</v>
      </c>
      <c r="I1649" s="2" t="s">
        <v>16</v>
      </c>
      <c r="J1649" s="2" t="s">
        <v>16</v>
      </c>
      <c r="K1649" s="2" t="s">
        <v>24</v>
      </c>
      <c r="L1649" s="7">
        <v>868.5</v>
      </c>
      <c r="M1649" s="2" t="str">
        <f>_xlfn.IFS(TelecomData[[#This Row],[TenureMonths]]&lt;=12, "0-1 Year", TelecomData[[#This Row],[TenureMonths]]&lt;=36, "1-3 Years", TelecomData[[#This Row],[TenureMonths]]&gt;36, "3+ Years")</f>
        <v>0-1 Year</v>
      </c>
      <c r="N1649" s="2" t="str">
        <f>IF(TelecomData[[#This Row],[CleanedTotalCharges]]&gt;=2500,"High Spend", "Standard Spend")</f>
        <v>Standard Spend</v>
      </c>
    </row>
    <row r="1650" spans="1:14" x14ac:dyDescent="0.3">
      <c r="A1650" s="1" t="s">
        <v>1674</v>
      </c>
      <c r="B1650" s="2" t="s">
        <v>19</v>
      </c>
      <c r="C1650" s="2" t="s">
        <v>13</v>
      </c>
      <c r="D1650" s="2">
        <v>60</v>
      </c>
      <c r="E1650" s="2" t="s">
        <v>26</v>
      </c>
      <c r="F1650" s="2" t="s">
        <v>15</v>
      </c>
      <c r="G1650" s="7">
        <v>80.95</v>
      </c>
      <c r="H1650" s="7">
        <v>4859.1000000000004</v>
      </c>
      <c r="I1650" s="2" t="s">
        <v>15</v>
      </c>
      <c r="J1650" s="2" t="s">
        <v>16</v>
      </c>
      <c r="K1650" s="2" t="s">
        <v>17</v>
      </c>
      <c r="L1650" s="7">
        <v>4859.1000000000004</v>
      </c>
      <c r="M1650" s="2" t="str">
        <f>_xlfn.IFS(TelecomData[[#This Row],[TenureMonths]]&lt;=12, "0-1 Year", TelecomData[[#This Row],[TenureMonths]]&lt;=36, "1-3 Years", TelecomData[[#This Row],[TenureMonths]]&gt;36, "3+ Years")</f>
        <v>3+ Years</v>
      </c>
      <c r="N1650" s="2" t="str">
        <f>IF(TelecomData[[#This Row],[CleanedTotalCharges]]&gt;=2500,"High Spend", "Standard Spend")</f>
        <v>High Spend</v>
      </c>
    </row>
    <row r="1651" spans="1:14" x14ac:dyDescent="0.3">
      <c r="A1651" s="1" t="s">
        <v>1675</v>
      </c>
      <c r="B1651" s="2" t="s">
        <v>12</v>
      </c>
      <c r="C1651" s="2" t="s">
        <v>13</v>
      </c>
      <c r="D1651" s="2">
        <v>27</v>
      </c>
      <c r="E1651" s="2" t="s">
        <v>14</v>
      </c>
      <c r="F1651" s="2" t="s">
        <v>16</v>
      </c>
      <c r="G1651" s="7">
        <v>56.15</v>
      </c>
      <c r="H1651" s="7">
        <v>1439.35</v>
      </c>
      <c r="I1651" s="2" t="s">
        <v>15</v>
      </c>
      <c r="J1651" s="2" t="s">
        <v>16</v>
      </c>
      <c r="K1651" s="2" t="s">
        <v>21</v>
      </c>
      <c r="L1651" s="7">
        <v>1439.35</v>
      </c>
      <c r="M1651" s="2" t="str">
        <f>_xlfn.IFS(TelecomData[[#This Row],[TenureMonths]]&lt;=12, "0-1 Year", TelecomData[[#This Row],[TenureMonths]]&lt;=36, "1-3 Years", TelecomData[[#This Row],[TenureMonths]]&gt;36, "3+ Years")</f>
        <v>1-3 Years</v>
      </c>
      <c r="N1651" s="2" t="str">
        <f>IF(TelecomData[[#This Row],[CleanedTotalCharges]]&gt;=2500,"High Spend", "Standard Spend")</f>
        <v>Standard Spend</v>
      </c>
    </row>
    <row r="1652" spans="1:14" x14ac:dyDescent="0.3">
      <c r="A1652" s="1" t="s">
        <v>1676</v>
      </c>
      <c r="B1652" s="2" t="s">
        <v>12</v>
      </c>
      <c r="C1652" s="2" t="s">
        <v>13</v>
      </c>
      <c r="D1652" s="2">
        <v>1</v>
      </c>
      <c r="E1652" s="2" t="s">
        <v>26</v>
      </c>
      <c r="F1652" s="2" t="s">
        <v>15</v>
      </c>
      <c r="G1652" s="7">
        <v>85.8</v>
      </c>
      <c r="H1652" s="7">
        <v>85.8</v>
      </c>
      <c r="I1652" s="2" t="s">
        <v>16</v>
      </c>
      <c r="J1652" s="2" t="s">
        <v>15</v>
      </c>
      <c r="K1652" s="2" t="s">
        <v>21</v>
      </c>
      <c r="L1652" s="7">
        <v>85.8</v>
      </c>
      <c r="M1652" s="2" t="str">
        <f>_xlfn.IFS(TelecomData[[#This Row],[TenureMonths]]&lt;=12, "0-1 Year", TelecomData[[#This Row],[TenureMonths]]&lt;=36, "1-3 Years", TelecomData[[#This Row],[TenureMonths]]&gt;36, "3+ Years")</f>
        <v>0-1 Year</v>
      </c>
      <c r="N1652" s="2" t="str">
        <f>IF(TelecomData[[#This Row],[CleanedTotalCharges]]&gt;=2500,"High Spend", "Standard Spend")</f>
        <v>Standard Spend</v>
      </c>
    </row>
    <row r="1653" spans="1:14" x14ac:dyDescent="0.3">
      <c r="A1653" s="1" t="s">
        <v>1677</v>
      </c>
      <c r="B1653" s="2" t="s">
        <v>19</v>
      </c>
      <c r="C1653" s="2" t="s">
        <v>13</v>
      </c>
      <c r="D1653" s="2">
        <v>1</v>
      </c>
      <c r="E1653" s="2" t="s">
        <v>26</v>
      </c>
      <c r="F1653" s="2" t="s">
        <v>15</v>
      </c>
      <c r="G1653" s="7">
        <v>79.099999999999994</v>
      </c>
      <c r="H1653" s="7">
        <v>79.099999999999994</v>
      </c>
      <c r="I1653" s="2" t="s">
        <v>16</v>
      </c>
      <c r="J1653" s="2" t="s">
        <v>16</v>
      </c>
      <c r="K1653" s="2" t="s">
        <v>17</v>
      </c>
      <c r="L1653" s="7">
        <v>79.099999999999994</v>
      </c>
      <c r="M1653" s="2" t="str">
        <f>_xlfn.IFS(TelecomData[[#This Row],[TenureMonths]]&lt;=12, "0-1 Year", TelecomData[[#This Row],[TenureMonths]]&lt;=36, "1-3 Years", TelecomData[[#This Row],[TenureMonths]]&gt;36, "3+ Years")</f>
        <v>0-1 Year</v>
      </c>
      <c r="N1653" s="2" t="str">
        <f>IF(TelecomData[[#This Row],[CleanedTotalCharges]]&gt;=2500,"High Spend", "Standard Spend")</f>
        <v>Standard Spend</v>
      </c>
    </row>
    <row r="1654" spans="1:14" x14ac:dyDescent="0.3">
      <c r="A1654" s="1" t="s">
        <v>1678</v>
      </c>
      <c r="B1654" s="2" t="s">
        <v>19</v>
      </c>
      <c r="C1654" s="2" t="s">
        <v>13</v>
      </c>
      <c r="D1654" s="2">
        <v>17</v>
      </c>
      <c r="E1654" s="2" t="s">
        <v>14</v>
      </c>
      <c r="F1654" s="2" t="s">
        <v>15</v>
      </c>
      <c r="G1654" s="7">
        <v>34.4</v>
      </c>
      <c r="H1654" s="7">
        <v>592.75</v>
      </c>
      <c r="I1654" s="2" t="s">
        <v>15</v>
      </c>
      <c r="J1654" s="2" t="s">
        <v>15</v>
      </c>
      <c r="K1654" s="2" t="s">
        <v>21</v>
      </c>
      <c r="L1654" s="7">
        <v>592.75</v>
      </c>
      <c r="M1654" s="2" t="str">
        <f>_xlfn.IFS(TelecomData[[#This Row],[TenureMonths]]&lt;=12, "0-1 Year", TelecomData[[#This Row],[TenureMonths]]&lt;=36, "1-3 Years", TelecomData[[#This Row],[TenureMonths]]&gt;36, "3+ Years")</f>
        <v>1-3 Years</v>
      </c>
      <c r="N1654" s="2" t="str">
        <f>IF(TelecomData[[#This Row],[CleanedTotalCharges]]&gt;=2500,"High Spend", "Standard Spend")</f>
        <v>Standard Spend</v>
      </c>
    </row>
    <row r="1655" spans="1:14" x14ac:dyDescent="0.3">
      <c r="A1655" s="1" t="s">
        <v>1679</v>
      </c>
      <c r="B1655" s="2" t="s">
        <v>19</v>
      </c>
      <c r="C1655" s="2" t="s">
        <v>35</v>
      </c>
      <c r="D1655" s="2">
        <v>58</v>
      </c>
      <c r="E1655" s="2" t="s">
        <v>15</v>
      </c>
      <c r="F1655" s="2" t="s">
        <v>36</v>
      </c>
      <c r="G1655" s="7">
        <v>20.75</v>
      </c>
      <c r="H1655" s="7">
        <v>1185.95</v>
      </c>
      <c r="I1655" s="2" t="s">
        <v>15</v>
      </c>
      <c r="J1655" s="2" t="s">
        <v>15</v>
      </c>
      <c r="K1655" s="2" t="s">
        <v>21</v>
      </c>
      <c r="L1655" s="7">
        <v>1185.95</v>
      </c>
      <c r="M1655" s="2" t="str">
        <f>_xlfn.IFS(TelecomData[[#This Row],[TenureMonths]]&lt;=12, "0-1 Year", TelecomData[[#This Row],[TenureMonths]]&lt;=36, "1-3 Years", TelecomData[[#This Row],[TenureMonths]]&gt;36, "3+ Years")</f>
        <v>3+ Years</v>
      </c>
      <c r="N1655" s="2" t="str">
        <f>IF(TelecomData[[#This Row],[CleanedTotalCharges]]&gt;=2500,"High Spend", "Standard Spend")</f>
        <v>Standard Spend</v>
      </c>
    </row>
    <row r="1656" spans="1:14" x14ac:dyDescent="0.3">
      <c r="A1656" s="1" t="s">
        <v>1680</v>
      </c>
      <c r="B1656" s="2" t="s">
        <v>19</v>
      </c>
      <c r="C1656" s="2" t="s">
        <v>20</v>
      </c>
      <c r="D1656" s="2">
        <v>1</v>
      </c>
      <c r="E1656" s="2" t="s">
        <v>15</v>
      </c>
      <c r="F1656" s="2" t="s">
        <v>36</v>
      </c>
      <c r="G1656" s="7">
        <v>18.8</v>
      </c>
      <c r="H1656" s="7">
        <v>18.8</v>
      </c>
      <c r="I1656" s="2" t="s">
        <v>15</v>
      </c>
      <c r="J1656" s="2" t="s">
        <v>15</v>
      </c>
      <c r="K1656" s="2" t="s">
        <v>21</v>
      </c>
      <c r="L1656" s="7">
        <v>18.8</v>
      </c>
      <c r="M1656" s="2" t="str">
        <f>_xlfn.IFS(TelecomData[[#This Row],[TenureMonths]]&lt;=12, "0-1 Year", TelecomData[[#This Row],[TenureMonths]]&lt;=36, "1-3 Years", TelecomData[[#This Row],[TenureMonths]]&gt;36, "3+ Years")</f>
        <v>0-1 Year</v>
      </c>
      <c r="N1656" s="2" t="str">
        <f>IF(TelecomData[[#This Row],[CleanedTotalCharges]]&gt;=2500,"High Spend", "Standard Spend")</f>
        <v>Standard Spend</v>
      </c>
    </row>
    <row r="1657" spans="1:14" x14ac:dyDescent="0.3">
      <c r="A1657" s="1" t="s">
        <v>1681</v>
      </c>
      <c r="B1657" s="2" t="s">
        <v>12</v>
      </c>
      <c r="C1657" s="2" t="s">
        <v>13</v>
      </c>
      <c r="D1657" s="2">
        <v>3</v>
      </c>
      <c r="E1657" s="2" t="s">
        <v>14</v>
      </c>
      <c r="F1657" s="2" t="s">
        <v>15</v>
      </c>
      <c r="G1657" s="7">
        <v>44.3</v>
      </c>
      <c r="H1657" s="7">
        <v>134.5</v>
      </c>
      <c r="I1657" s="2" t="s">
        <v>16</v>
      </c>
      <c r="J1657" s="2" t="s">
        <v>15</v>
      </c>
      <c r="K1657" s="2" t="s">
        <v>21</v>
      </c>
      <c r="L1657" s="7">
        <v>134.5</v>
      </c>
      <c r="M1657" s="2" t="str">
        <f>_xlfn.IFS(TelecomData[[#This Row],[TenureMonths]]&lt;=12, "0-1 Year", TelecomData[[#This Row],[TenureMonths]]&lt;=36, "1-3 Years", TelecomData[[#This Row],[TenureMonths]]&gt;36, "3+ Years")</f>
        <v>0-1 Year</v>
      </c>
      <c r="N1657" s="2" t="str">
        <f>IF(TelecomData[[#This Row],[CleanedTotalCharges]]&gt;=2500,"High Spend", "Standard Spend")</f>
        <v>Standard Spend</v>
      </c>
    </row>
    <row r="1658" spans="1:14" x14ac:dyDescent="0.3">
      <c r="A1658" s="1" t="s">
        <v>1682</v>
      </c>
      <c r="B1658" s="2" t="s">
        <v>12</v>
      </c>
      <c r="C1658" s="2" t="s">
        <v>13</v>
      </c>
      <c r="D1658" s="2">
        <v>53</v>
      </c>
      <c r="E1658" s="2" t="s">
        <v>26</v>
      </c>
      <c r="F1658" s="2" t="s">
        <v>15</v>
      </c>
      <c r="G1658" s="7">
        <v>90.8</v>
      </c>
      <c r="H1658" s="7">
        <v>4921.2</v>
      </c>
      <c r="I1658" s="2" t="s">
        <v>15</v>
      </c>
      <c r="J1658" s="2" t="s">
        <v>15</v>
      </c>
      <c r="K1658" s="2" t="s">
        <v>17</v>
      </c>
      <c r="L1658" s="7">
        <v>4921.2</v>
      </c>
      <c r="M1658" s="2" t="str">
        <f>_xlfn.IFS(TelecomData[[#This Row],[TenureMonths]]&lt;=12, "0-1 Year", TelecomData[[#This Row],[TenureMonths]]&lt;=36, "1-3 Years", TelecomData[[#This Row],[TenureMonths]]&gt;36, "3+ Years")</f>
        <v>3+ Years</v>
      </c>
      <c r="N1658" s="2" t="str">
        <f>IF(TelecomData[[#This Row],[CleanedTotalCharges]]&gt;=2500,"High Spend", "Standard Spend")</f>
        <v>High Spend</v>
      </c>
    </row>
    <row r="1659" spans="1:14" x14ac:dyDescent="0.3">
      <c r="A1659" s="1" t="s">
        <v>1683</v>
      </c>
      <c r="B1659" s="2" t="s">
        <v>19</v>
      </c>
      <c r="C1659" s="2" t="s">
        <v>13</v>
      </c>
      <c r="D1659" s="2">
        <v>35</v>
      </c>
      <c r="E1659" s="2" t="s">
        <v>15</v>
      </c>
      <c r="F1659" s="2" t="s">
        <v>36</v>
      </c>
      <c r="G1659" s="7">
        <v>25.6</v>
      </c>
      <c r="H1659" s="7">
        <v>901.25</v>
      </c>
      <c r="I1659" s="2" t="s">
        <v>15</v>
      </c>
      <c r="J1659" s="2" t="s">
        <v>16</v>
      </c>
      <c r="K1659" s="2" t="s">
        <v>17</v>
      </c>
      <c r="L1659" s="7">
        <v>901.25</v>
      </c>
      <c r="M1659" s="2" t="str">
        <f>_xlfn.IFS(TelecomData[[#This Row],[TenureMonths]]&lt;=12, "0-1 Year", TelecomData[[#This Row],[TenureMonths]]&lt;=36, "1-3 Years", TelecomData[[#This Row],[TenureMonths]]&gt;36, "3+ Years")</f>
        <v>1-3 Years</v>
      </c>
      <c r="N1659" s="2" t="str">
        <f>IF(TelecomData[[#This Row],[CleanedTotalCharges]]&gt;=2500,"High Spend", "Standard Spend")</f>
        <v>Standard Spend</v>
      </c>
    </row>
    <row r="1660" spans="1:14" x14ac:dyDescent="0.3">
      <c r="A1660" s="1" t="s">
        <v>1684</v>
      </c>
      <c r="B1660" s="2" t="s">
        <v>19</v>
      </c>
      <c r="C1660" s="2" t="s">
        <v>13</v>
      </c>
      <c r="D1660" s="2">
        <v>50</v>
      </c>
      <c r="E1660" s="2" t="s">
        <v>26</v>
      </c>
      <c r="F1660" s="2" t="s">
        <v>15</v>
      </c>
      <c r="G1660" s="7">
        <v>105.95</v>
      </c>
      <c r="H1660" s="7">
        <v>5341.8</v>
      </c>
      <c r="I1660" s="2" t="s">
        <v>16</v>
      </c>
      <c r="J1660" s="2" t="s">
        <v>15</v>
      </c>
      <c r="K1660" s="2" t="s">
        <v>29</v>
      </c>
      <c r="L1660" s="7">
        <v>5341.8</v>
      </c>
      <c r="M1660" s="2" t="str">
        <f>_xlfn.IFS(TelecomData[[#This Row],[TenureMonths]]&lt;=12, "0-1 Year", TelecomData[[#This Row],[TenureMonths]]&lt;=36, "1-3 Years", TelecomData[[#This Row],[TenureMonths]]&gt;36, "3+ Years")</f>
        <v>3+ Years</v>
      </c>
      <c r="N1660" s="2" t="str">
        <f>IF(TelecomData[[#This Row],[CleanedTotalCharges]]&gt;=2500,"High Spend", "Standard Spend")</f>
        <v>High Spend</v>
      </c>
    </row>
    <row r="1661" spans="1:14" x14ac:dyDescent="0.3">
      <c r="A1661" s="1" t="s">
        <v>1685</v>
      </c>
      <c r="B1661" s="2" t="s">
        <v>19</v>
      </c>
      <c r="C1661" s="2" t="s">
        <v>35</v>
      </c>
      <c r="D1661" s="2">
        <v>68</v>
      </c>
      <c r="E1661" s="2" t="s">
        <v>14</v>
      </c>
      <c r="F1661" s="2" t="s">
        <v>16</v>
      </c>
      <c r="G1661" s="7">
        <v>70.8</v>
      </c>
      <c r="H1661" s="7">
        <v>4859.95</v>
      </c>
      <c r="I1661" s="2" t="s">
        <v>15</v>
      </c>
      <c r="J1661" s="2" t="s">
        <v>15</v>
      </c>
      <c r="K1661" s="2" t="s">
        <v>29</v>
      </c>
      <c r="L1661" s="7">
        <v>4859.95</v>
      </c>
      <c r="M1661" s="2" t="str">
        <f>_xlfn.IFS(TelecomData[[#This Row],[TenureMonths]]&lt;=12, "0-1 Year", TelecomData[[#This Row],[TenureMonths]]&lt;=36, "1-3 Years", TelecomData[[#This Row],[TenureMonths]]&gt;36, "3+ Years")</f>
        <v>3+ Years</v>
      </c>
      <c r="N1661" s="2" t="str">
        <f>IF(TelecomData[[#This Row],[CleanedTotalCharges]]&gt;=2500,"High Spend", "Standard Spend")</f>
        <v>High Spend</v>
      </c>
    </row>
    <row r="1662" spans="1:14" x14ac:dyDescent="0.3">
      <c r="A1662" s="1" t="s">
        <v>1686</v>
      </c>
      <c r="B1662" s="2" t="s">
        <v>19</v>
      </c>
      <c r="C1662" s="2" t="s">
        <v>13</v>
      </c>
      <c r="D1662" s="2">
        <v>47</v>
      </c>
      <c r="E1662" s="2" t="s">
        <v>15</v>
      </c>
      <c r="F1662" s="2" t="s">
        <v>36</v>
      </c>
      <c r="G1662" s="7">
        <v>25.4</v>
      </c>
      <c r="H1662" s="7">
        <v>1139.2</v>
      </c>
      <c r="I1662" s="2" t="s">
        <v>15</v>
      </c>
      <c r="J1662" s="2" t="s">
        <v>15</v>
      </c>
      <c r="K1662" s="2" t="s">
        <v>17</v>
      </c>
      <c r="L1662" s="7">
        <v>1139.2</v>
      </c>
      <c r="M1662" s="2" t="str">
        <f>_xlfn.IFS(TelecomData[[#This Row],[TenureMonths]]&lt;=12, "0-1 Year", TelecomData[[#This Row],[TenureMonths]]&lt;=36, "1-3 Years", TelecomData[[#This Row],[TenureMonths]]&gt;36, "3+ Years")</f>
        <v>3+ Years</v>
      </c>
      <c r="N1662" s="2" t="str">
        <f>IF(TelecomData[[#This Row],[CleanedTotalCharges]]&gt;=2500,"High Spend", "Standard Spend")</f>
        <v>Standard Spend</v>
      </c>
    </row>
    <row r="1663" spans="1:14" x14ac:dyDescent="0.3">
      <c r="A1663" s="1" t="s">
        <v>1687</v>
      </c>
      <c r="B1663" s="2" t="s">
        <v>12</v>
      </c>
      <c r="C1663" s="2" t="s">
        <v>13</v>
      </c>
      <c r="D1663" s="2">
        <v>65</v>
      </c>
      <c r="E1663" s="2" t="s">
        <v>26</v>
      </c>
      <c r="F1663" s="2" t="s">
        <v>15</v>
      </c>
      <c r="G1663" s="7">
        <v>108.8</v>
      </c>
      <c r="H1663" s="7">
        <v>7082.45</v>
      </c>
      <c r="I1663" s="2" t="s">
        <v>15</v>
      </c>
      <c r="J1663" s="2" t="s">
        <v>16</v>
      </c>
      <c r="K1663" s="2" t="s">
        <v>24</v>
      </c>
      <c r="L1663" s="7">
        <v>7082.45</v>
      </c>
      <c r="M1663" s="2" t="str">
        <f>_xlfn.IFS(TelecomData[[#This Row],[TenureMonths]]&lt;=12, "0-1 Year", TelecomData[[#This Row],[TenureMonths]]&lt;=36, "1-3 Years", TelecomData[[#This Row],[TenureMonths]]&gt;36, "3+ Years")</f>
        <v>3+ Years</v>
      </c>
      <c r="N1663" s="2" t="str">
        <f>IF(TelecomData[[#This Row],[CleanedTotalCharges]]&gt;=2500,"High Spend", "Standard Spend")</f>
        <v>High Spend</v>
      </c>
    </row>
    <row r="1664" spans="1:14" x14ac:dyDescent="0.3">
      <c r="A1664" s="1" t="s">
        <v>1688</v>
      </c>
      <c r="B1664" s="2" t="s">
        <v>19</v>
      </c>
      <c r="C1664" s="2" t="s">
        <v>13</v>
      </c>
      <c r="D1664" s="2">
        <v>5</v>
      </c>
      <c r="E1664" s="2" t="s">
        <v>26</v>
      </c>
      <c r="F1664" s="2" t="s">
        <v>15</v>
      </c>
      <c r="G1664" s="7">
        <v>69.75</v>
      </c>
      <c r="H1664" s="7">
        <v>324.60000000000002</v>
      </c>
      <c r="I1664" s="2" t="s">
        <v>16</v>
      </c>
      <c r="J1664" s="2" t="s">
        <v>16</v>
      </c>
      <c r="K1664" s="2" t="s">
        <v>17</v>
      </c>
      <c r="L1664" s="7">
        <v>324.60000000000002</v>
      </c>
      <c r="M1664" s="2" t="str">
        <f>_xlfn.IFS(TelecomData[[#This Row],[TenureMonths]]&lt;=12, "0-1 Year", TelecomData[[#This Row],[TenureMonths]]&lt;=36, "1-3 Years", TelecomData[[#This Row],[TenureMonths]]&gt;36, "3+ Years")</f>
        <v>0-1 Year</v>
      </c>
      <c r="N1664" s="2" t="str">
        <f>IF(TelecomData[[#This Row],[CleanedTotalCharges]]&gt;=2500,"High Spend", "Standard Spend")</f>
        <v>Standard Spend</v>
      </c>
    </row>
    <row r="1665" spans="1:14" x14ac:dyDescent="0.3">
      <c r="A1665" s="1" t="s">
        <v>1689</v>
      </c>
      <c r="B1665" s="2" t="s">
        <v>19</v>
      </c>
      <c r="C1665" s="2" t="s">
        <v>13</v>
      </c>
      <c r="D1665" s="2">
        <v>51</v>
      </c>
      <c r="E1665" s="2" t="s">
        <v>26</v>
      </c>
      <c r="F1665" s="2" t="s">
        <v>15</v>
      </c>
      <c r="G1665" s="7">
        <v>94.65</v>
      </c>
      <c r="H1665" s="7">
        <v>4812.75</v>
      </c>
      <c r="I1665" s="2" t="s">
        <v>16</v>
      </c>
      <c r="J1665" s="2" t="s">
        <v>16</v>
      </c>
      <c r="K1665" s="2" t="s">
        <v>17</v>
      </c>
      <c r="L1665" s="7">
        <v>4812.75</v>
      </c>
      <c r="M1665" s="2" t="str">
        <f>_xlfn.IFS(TelecomData[[#This Row],[TenureMonths]]&lt;=12, "0-1 Year", TelecomData[[#This Row],[TenureMonths]]&lt;=36, "1-3 Years", TelecomData[[#This Row],[TenureMonths]]&gt;36, "3+ Years")</f>
        <v>3+ Years</v>
      </c>
      <c r="N1665" s="2" t="str">
        <f>IF(TelecomData[[#This Row],[CleanedTotalCharges]]&gt;=2500,"High Spend", "Standard Spend")</f>
        <v>High Spend</v>
      </c>
    </row>
    <row r="1666" spans="1:14" x14ac:dyDescent="0.3">
      <c r="A1666" s="1" t="s">
        <v>1690</v>
      </c>
      <c r="B1666" s="2" t="s">
        <v>12</v>
      </c>
      <c r="C1666" s="2" t="s">
        <v>13</v>
      </c>
      <c r="D1666" s="2">
        <v>46</v>
      </c>
      <c r="E1666" s="2" t="s">
        <v>26</v>
      </c>
      <c r="F1666" s="2" t="s">
        <v>15</v>
      </c>
      <c r="G1666" s="7">
        <v>96.05</v>
      </c>
      <c r="H1666" s="7">
        <v>4399.5</v>
      </c>
      <c r="I1666" s="2" t="s">
        <v>16</v>
      </c>
      <c r="J1666" s="2" t="s">
        <v>15</v>
      </c>
      <c r="K1666" s="2" t="s">
        <v>24</v>
      </c>
      <c r="L1666" s="7">
        <v>4399.5</v>
      </c>
      <c r="M1666" s="2" t="str">
        <f>_xlfn.IFS(TelecomData[[#This Row],[TenureMonths]]&lt;=12, "0-1 Year", TelecomData[[#This Row],[TenureMonths]]&lt;=36, "1-3 Years", TelecomData[[#This Row],[TenureMonths]]&gt;36, "3+ Years")</f>
        <v>3+ Years</v>
      </c>
      <c r="N1666" s="2" t="str">
        <f>IF(TelecomData[[#This Row],[CleanedTotalCharges]]&gt;=2500,"High Spend", "Standard Spend")</f>
        <v>High Spend</v>
      </c>
    </row>
    <row r="1667" spans="1:14" x14ac:dyDescent="0.3">
      <c r="A1667" s="1" t="s">
        <v>1691</v>
      </c>
      <c r="B1667" s="2" t="s">
        <v>12</v>
      </c>
      <c r="C1667" s="2" t="s">
        <v>13</v>
      </c>
      <c r="D1667" s="2">
        <v>9</v>
      </c>
      <c r="E1667" s="2" t="s">
        <v>26</v>
      </c>
      <c r="F1667" s="2" t="s">
        <v>15</v>
      </c>
      <c r="G1667" s="7">
        <v>76.849999999999994</v>
      </c>
      <c r="H1667" s="7">
        <v>663.55</v>
      </c>
      <c r="I1667" s="2" t="s">
        <v>15</v>
      </c>
      <c r="J1667" s="2" t="s">
        <v>16</v>
      </c>
      <c r="K1667" s="2" t="s">
        <v>17</v>
      </c>
      <c r="L1667" s="7">
        <v>663.55</v>
      </c>
      <c r="M1667" s="2" t="str">
        <f>_xlfn.IFS(TelecomData[[#This Row],[TenureMonths]]&lt;=12, "0-1 Year", TelecomData[[#This Row],[TenureMonths]]&lt;=36, "1-3 Years", TelecomData[[#This Row],[TenureMonths]]&gt;36, "3+ Years")</f>
        <v>0-1 Year</v>
      </c>
      <c r="N1667" s="2" t="str">
        <f>IF(TelecomData[[#This Row],[CleanedTotalCharges]]&gt;=2500,"High Spend", "Standard Spend")</f>
        <v>Standard Spend</v>
      </c>
    </row>
    <row r="1668" spans="1:14" x14ac:dyDescent="0.3">
      <c r="A1668" s="1" t="s">
        <v>1692</v>
      </c>
      <c r="B1668" s="2" t="s">
        <v>12</v>
      </c>
      <c r="C1668" s="2" t="s">
        <v>35</v>
      </c>
      <c r="D1668" s="2">
        <v>8</v>
      </c>
      <c r="E1668" s="2" t="s">
        <v>15</v>
      </c>
      <c r="F1668" s="2" t="s">
        <v>36</v>
      </c>
      <c r="G1668" s="7">
        <v>20.25</v>
      </c>
      <c r="H1668" s="7">
        <v>174.65</v>
      </c>
      <c r="I1668" s="2" t="s">
        <v>15</v>
      </c>
      <c r="J1668" s="2" t="s">
        <v>15</v>
      </c>
      <c r="K1668" s="2" t="s">
        <v>21</v>
      </c>
      <c r="L1668" s="7">
        <v>174.65</v>
      </c>
      <c r="M1668" s="2" t="str">
        <f>_xlfn.IFS(TelecomData[[#This Row],[TenureMonths]]&lt;=12, "0-1 Year", TelecomData[[#This Row],[TenureMonths]]&lt;=36, "1-3 Years", TelecomData[[#This Row],[TenureMonths]]&gt;36, "3+ Years")</f>
        <v>0-1 Year</v>
      </c>
      <c r="N1668" s="2" t="str">
        <f>IF(TelecomData[[#This Row],[CleanedTotalCharges]]&gt;=2500,"High Spend", "Standard Spend")</f>
        <v>Standard Spend</v>
      </c>
    </row>
    <row r="1669" spans="1:14" x14ac:dyDescent="0.3">
      <c r="A1669" s="1" t="s">
        <v>1693</v>
      </c>
      <c r="B1669" s="2" t="s">
        <v>19</v>
      </c>
      <c r="C1669" s="2" t="s">
        <v>20</v>
      </c>
      <c r="D1669" s="2">
        <v>14</v>
      </c>
      <c r="E1669" s="2" t="s">
        <v>15</v>
      </c>
      <c r="F1669" s="2" t="s">
        <v>36</v>
      </c>
      <c r="G1669" s="7">
        <v>24.8</v>
      </c>
      <c r="H1669" s="7">
        <v>321.7</v>
      </c>
      <c r="I1669" s="2" t="s">
        <v>15</v>
      </c>
      <c r="J1669" s="2" t="s">
        <v>16</v>
      </c>
      <c r="K1669" s="2" t="s">
        <v>29</v>
      </c>
      <c r="L1669" s="7">
        <v>321.7</v>
      </c>
      <c r="M1669" s="2" t="str">
        <f>_xlfn.IFS(TelecomData[[#This Row],[TenureMonths]]&lt;=12, "0-1 Year", TelecomData[[#This Row],[TenureMonths]]&lt;=36, "1-3 Years", TelecomData[[#This Row],[TenureMonths]]&gt;36, "3+ Years")</f>
        <v>1-3 Years</v>
      </c>
      <c r="N1669" s="2" t="str">
        <f>IF(TelecomData[[#This Row],[CleanedTotalCharges]]&gt;=2500,"High Spend", "Standard Spend")</f>
        <v>Standard Spend</v>
      </c>
    </row>
    <row r="1670" spans="1:14" x14ac:dyDescent="0.3">
      <c r="A1670" s="1" t="s">
        <v>1694</v>
      </c>
      <c r="B1670" s="2" t="s">
        <v>12</v>
      </c>
      <c r="C1670" s="2" t="s">
        <v>13</v>
      </c>
      <c r="D1670" s="2">
        <v>45</v>
      </c>
      <c r="E1670" s="2" t="s">
        <v>26</v>
      </c>
      <c r="F1670" s="2" t="s">
        <v>16</v>
      </c>
      <c r="G1670" s="7">
        <v>115.65</v>
      </c>
      <c r="H1670" s="7">
        <v>5125.5</v>
      </c>
      <c r="I1670" s="2" t="s">
        <v>15</v>
      </c>
      <c r="J1670" s="2" t="s">
        <v>16</v>
      </c>
      <c r="K1670" s="2" t="s">
        <v>17</v>
      </c>
      <c r="L1670" s="7">
        <v>5125.5</v>
      </c>
      <c r="M1670" s="2" t="str">
        <f>_xlfn.IFS(TelecomData[[#This Row],[TenureMonths]]&lt;=12, "0-1 Year", TelecomData[[#This Row],[TenureMonths]]&lt;=36, "1-3 Years", TelecomData[[#This Row],[TenureMonths]]&gt;36, "3+ Years")</f>
        <v>3+ Years</v>
      </c>
      <c r="N1670" s="2" t="str">
        <f>IF(TelecomData[[#This Row],[CleanedTotalCharges]]&gt;=2500,"High Spend", "Standard Spend")</f>
        <v>High Spend</v>
      </c>
    </row>
    <row r="1671" spans="1:14" x14ac:dyDescent="0.3">
      <c r="A1671" s="1" t="s">
        <v>1695</v>
      </c>
      <c r="B1671" s="2" t="s">
        <v>12</v>
      </c>
      <c r="C1671" s="2" t="s">
        <v>13</v>
      </c>
      <c r="D1671" s="2">
        <v>8</v>
      </c>
      <c r="E1671" s="2" t="s">
        <v>26</v>
      </c>
      <c r="F1671" s="2" t="s">
        <v>15</v>
      </c>
      <c r="G1671" s="7">
        <v>74.599999999999994</v>
      </c>
      <c r="H1671" s="7">
        <v>548.9</v>
      </c>
      <c r="I1671" s="2" t="s">
        <v>15</v>
      </c>
      <c r="J1671" s="2" t="s">
        <v>16</v>
      </c>
      <c r="K1671" s="2" t="s">
        <v>29</v>
      </c>
      <c r="L1671" s="7">
        <v>548.9</v>
      </c>
      <c r="M1671" s="2" t="str">
        <f>_xlfn.IFS(TelecomData[[#This Row],[TenureMonths]]&lt;=12, "0-1 Year", TelecomData[[#This Row],[TenureMonths]]&lt;=36, "1-3 Years", TelecomData[[#This Row],[TenureMonths]]&gt;36, "3+ Years")</f>
        <v>0-1 Year</v>
      </c>
      <c r="N1671" s="2" t="str">
        <f>IF(TelecomData[[#This Row],[CleanedTotalCharges]]&gt;=2500,"High Spend", "Standard Spend")</f>
        <v>Standard Spend</v>
      </c>
    </row>
    <row r="1672" spans="1:14" x14ac:dyDescent="0.3">
      <c r="A1672" s="1" t="s">
        <v>1696</v>
      </c>
      <c r="B1672" s="2" t="s">
        <v>19</v>
      </c>
      <c r="C1672" s="2" t="s">
        <v>13</v>
      </c>
      <c r="D1672" s="2">
        <v>1</v>
      </c>
      <c r="E1672" s="2" t="s">
        <v>14</v>
      </c>
      <c r="F1672" s="2" t="s">
        <v>15</v>
      </c>
      <c r="G1672" s="7">
        <v>50.15</v>
      </c>
      <c r="H1672" s="7">
        <v>50.15</v>
      </c>
      <c r="I1672" s="2" t="s">
        <v>16</v>
      </c>
      <c r="J1672" s="2" t="s">
        <v>16</v>
      </c>
      <c r="K1672" s="2" t="s">
        <v>21</v>
      </c>
      <c r="L1672" s="7">
        <v>50.15</v>
      </c>
      <c r="M1672" s="2" t="str">
        <f>_xlfn.IFS(TelecomData[[#This Row],[TenureMonths]]&lt;=12, "0-1 Year", TelecomData[[#This Row],[TenureMonths]]&lt;=36, "1-3 Years", TelecomData[[#This Row],[TenureMonths]]&gt;36, "3+ Years")</f>
        <v>0-1 Year</v>
      </c>
      <c r="N1672" s="2" t="str">
        <f>IF(TelecomData[[#This Row],[CleanedTotalCharges]]&gt;=2500,"High Spend", "Standard Spend")</f>
        <v>Standard Spend</v>
      </c>
    </row>
    <row r="1673" spans="1:14" x14ac:dyDescent="0.3">
      <c r="A1673" s="1" t="s">
        <v>1697</v>
      </c>
      <c r="B1673" s="2" t="s">
        <v>19</v>
      </c>
      <c r="C1673" s="2" t="s">
        <v>20</v>
      </c>
      <c r="D1673" s="2">
        <v>66</v>
      </c>
      <c r="E1673" s="2" t="s">
        <v>26</v>
      </c>
      <c r="F1673" s="2" t="s">
        <v>15</v>
      </c>
      <c r="G1673" s="7">
        <v>103.15</v>
      </c>
      <c r="H1673" s="7">
        <v>7031.3</v>
      </c>
      <c r="I1673" s="2" t="s">
        <v>15</v>
      </c>
      <c r="J1673" s="2" t="s">
        <v>16</v>
      </c>
      <c r="K1673" s="2" t="s">
        <v>24</v>
      </c>
      <c r="L1673" s="7">
        <v>7031.3</v>
      </c>
      <c r="M1673" s="2" t="str">
        <f>_xlfn.IFS(TelecomData[[#This Row],[TenureMonths]]&lt;=12, "0-1 Year", TelecomData[[#This Row],[TenureMonths]]&lt;=36, "1-3 Years", TelecomData[[#This Row],[TenureMonths]]&gt;36, "3+ Years")</f>
        <v>3+ Years</v>
      </c>
      <c r="N1673" s="2" t="str">
        <f>IF(TelecomData[[#This Row],[CleanedTotalCharges]]&gt;=2500,"High Spend", "Standard Spend")</f>
        <v>High Spend</v>
      </c>
    </row>
    <row r="1674" spans="1:14" x14ac:dyDescent="0.3">
      <c r="A1674" s="1" t="s">
        <v>1698</v>
      </c>
      <c r="B1674" s="2" t="s">
        <v>19</v>
      </c>
      <c r="C1674" s="2" t="s">
        <v>35</v>
      </c>
      <c r="D1674" s="2">
        <v>72</v>
      </c>
      <c r="E1674" s="2" t="s">
        <v>14</v>
      </c>
      <c r="F1674" s="2" t="s">
        <v>16</v>
      </c>
      <c r="G1674" s="7">
        <v>72.099999999999994</v>
      </c>
      <c r="H1674" s="7">
        <v>5016.6499999999996</v>
      </c>
      <c r="I1674" s="2" t="s">
        <v>15</v>
      </c>
      <c r="J1674" s="2" t="s">
        <v>15</v>
      </c>
      <c r="K1674" s="2" t="s">
        <v>29</v>
      </c>
      <c r="L1674" s="7">
        <v>5016.6499999999996</v>
      </c>
      <c r="M1674" s="2" t="str">
        <f>_xlfn.IFS(TelecomData[[#This Row],[TenureMonths]]&lt;=12, "0-1 Year", TelecomData[[#This Row],[TenureMonths]]&lt;=36, "1-3 Years", TelecomData[[#This Row],[TenureMonths]]&gt;36, "3+ Years")</f>
        <v>3+ Years</v>
      </c>
      <c r="N1674" s="2" t="str">
        <f>IF(TelecomData[[#This Row],[CleanedTotalCharges]]&gt;=2500,"High Spend", "Standard Spend")</f>
        <v>High Spend</v>
      </c>
    </row>
    <row r="1675" spans="1:14" x14ac:dyDescent="0.3">
      <c r="A1675" s="1" t="s">
        <v>1699</v>
      </c>
      <c r="B1675" s="2" t="s">
        <v>12</v>
      </c>
      <c r="C1675" s="2" t="s">
        <v>13</v>
      </c>
      <c r="D1675" s="2">
        <v>41</v>
      </c>
      <c r="E1675" s="2" t="s">
        <v>26</v>
      </c>
      <c r="F1675" s="2" t="s">
        <v>16</v>
      </c>
      <c r="G1675" s="7">
        <v>113.6</v>
      </c>
      <c r="H1675" s="7">
        <v>4594.95</v>
      </c>
      <c r="I1675" s="2" t="s">
        <v>16</v>
      </c>
      <c r="J1675" s="2" t="s">
        <v>16</v>
      </c>
      <c r="K1675" s="2" t="s">
        <v>24</v>
      </c>
      <c r="L1675" s="7">
        <v>4594.95</v>
      </c>
      <c r="M1675" s="2" t="str">
        <f>_xlfn.IFS(TelecomData[[#This Row],[TenureMonths]]&lt;=12, "0-1 Year", TelecomData[[#This Row],[TenureMonths]]&lt;=36, "1-3 Years", TelecomData[[#This Row],[TenureMonths]]&gt;36, "3+ Years")</f>
        <v>3+ Years</v>
      </c>
      <c r="N1675" s="2" t="str">
        <f>IF(TelecomData[[#This Row],[CleanedTotalCharges]]&gt;=2500,"High Spend", "Standard Spend")</f>
        <v>High Spend</v>
      </c>
    </row>
    <row r="1676" spans="1:14" x14ac:dyDescent="0.3">
      <c r="A1676" s="1" t="s">
        <v>1700</v>
      </c>
      <c r="B1676" s="2" t="s">
        <v>12</v>
      </c>
      <c r="C1676" s="2" t="s">
        <v>35</v>
      </c>
      <c r="D1676" s="2">
        <v>23</v>
      </c>
      <c r="E1676" s="2" t="s">
        <v>15</v>
      </c>
      <c r="F1676" s="2" t="s">
        <v>36</v>
      </c>
      <c r="G1676" s="7">
        <v>25.1</v>
      </c>
      <c r="H1676" s="7">
        <v>611.45000000000005</v>
      </c>
      <c r="I1676" s="2" t="s">
        <v>15</v>
      </c>
      <c r="J1676" s="2" t="s">
        <v>15</v>
      </c>
      <c r="K1676" s="2" t="s">
        <v>21</v>
      </c>
      <c r="L1676" s="7">
        <v>611.45000000000005</v>
      </c>
      <c r="M1676" s="2" t="str">
        <f>_xlfn.IFS(TelecomData[[#This Row],[TenureMonths]]&lt;=12, "0-1 Year", TelecomData[[#This Row],[TenureMonths]]&lt;=36, "1-3 Years", TelecomData[[#This Row],[TenureMonths]]&gt;36, "3+ Years")</f>
        <v>1-3 Years</v>
      </c>
      <c r="N1676" s="2" t="str">
        <f>IF(TelecomData[[#This Row],[CleanedTotalCharges]]&gt;=2500,"High Spend", "Standard Spend")</f>
        <v>Standard Spend</v>
      </c>
    </row>
    <row r="1677" spans="1:14" x14ac:dyDescent="0.3">
      <c r="A1677" s="1" t="s">
        <v>1701</v>
      </c>
      <c r="B1677" s="2" t="s">
        <v>12</v>
      </c>
      <c r="C1677" s="2" t="s">
        <v>13</v>
      </c>
      <c r="D1677" s="2">
        <v>29</v>
      </c>
      <c r="E1677" s="2" t="s">
        <v>26</v>
      </c>
      <c r="F1677" s="2" t="s">
        <v>15</v>
      </c>
      <c r="G1677" s="7">
        <v>78.900000000000006</v>
      </c>
      <c r="H1677" s="7">
        <v>2384.15</v>
      </c>
      <c r="I1677" s="2" t="s">
        <v>16</v>
      </c>
      <c r="J1677" s="2" t="s">
        <v>16</v>
      </c>
      <c r="K1677" s="2" t="s">
        <v>17</v>
      </c>
      <c r="L1677" s="7">
        <v>2384.15</v>
      </c>
      <c r="M1677" s="2" t="str">
        <f>_xlfn.IFS(TelecomData[[#This Row],[TenureMonths]]&lt;=12, "0-1 Year", TelecomData[[#This Row],[TenureMonths]]&lt;=36, "1-3 Years", TelecomData[[#This Row],[TenureMonths]]&gt;36, "3+ Years")</f>
        <v>1-3 Years</v>
      </c>
      <c r="N1677" s="2" t="str">
        <f>IF(TelecomData[[#This Row],[CleanedTotalCharges]]&gt;=2500,"High Spend", "Standard Spend")</f>
        <v>Standard Spend</v>
      </c>
    </row>
    <row r="1678" spans="1:14" x14ac:dyDescent="0.3">
      <c r="A1678" s="1" t="s">
        <v>1702</v>
      </c>
      <c r="B1678" s="2" t="s">
        <v>12</v>
      </c>
      <c r="C1678" s="2" t="s">
        <v>13</v>
      </c>
      <c r="D1678" s="2">
        <v>4</v>
      </c>
      <c r="E1678" s="2" t="s">
        <v>26</v>
      </c>
      <c r="F1678" s="2" t="s">
        <v>15</v>
      </c>
      <c r="G1678" s="7">
        <v>80.150000000000006</v>
      </c>
      <c r="H1678" s="7">
        <v>319.85000000000002</v>
      </c>
      <c r="I1678" s="2" t="s">
        <v>15</v>
      </c>
      <c r="J1678" s="2" t="s">
        <v>16</v>
      </c>
      <c r="K1678" s="2" t="s">
        <v>17</v>
      </c>
      <c r="L1678" s="7">
        <v>319.85000000000002</v>
      </c>
      <c r="M1678" s="2" t="str">
        <f>_xlfn.IFS(TelecomData[[#This Row],[TenureMonths]]&lt;=12, "0-1 Year", TelecomData[[#This Row],[TenureMonths]]&lt;=36, "1-3 Years", TelecomData[[#This Row],[TenureMonths]]&gt;36, "3+ Years")</f>
        <v>0-1 Year</v>
      </c>
      <c r="N1678" s="2" t="str">
        <f>IF(TelecomData[[#This Row],[CleanedTotalCharges]]&gt;=2500,"High Spend", "Standard Spend")</f>
        <v>Standard Spend</v>
      </c>
    </row>
    <row r="1679" spans="1:14" x14ac:dyDescent="0.3">
      <c r="A1679" s="1" t="s">
        <v>1703</v>
      </c>
      <c r="B1679" s="2" t="s">
        <v>19</v>
      </c>
      <c r="C1679" s="2" t="s">
        <v>35</v>
      </c>
      <c r="D1679" s="2">
        <v>6</v>
      </c>
      <c r="E1679" s="2" t="s">
        <v>15</v>
      </c>
      <c r="F1679" s="2" t="s">
        <v>36</v>
      </c>
      <c r="G1679" s="7">
        <v>25.4</v>
      </c>
      <c r="H1679" s="7">
        <v>153.30000000000001</v>
      </c>
      <c r="I1679" s="2" t="s">
        <v>15</v>
      </c>
      <c r="J1679" s="2" t="s">
        <v>15</v>
      </c>
      <c r="K1679" s="2" t="s">
        <v>21</v>
      </c>
      <c r="L1679" s="7">
        <v>153.30000000000001</v>
      </c>
      <c r="M1679" s="2" t="str">
        <f>_xlfn.IFS(TelecomData[[#This Row],[TenureMonths]]&lt;=12, "0-1 Year", TelecomData[[#This Row],[TenureMonths]]&lt;=36, "1-3 Years", TelecomData[[#This Row],[TenureMonths]]&gt;36, "3+ Years")</f>
        <v>0-1 Year</v>
      </c>
      <c r="N1679" s="2" t="str">
        <f>IF(TelecomData[[#This Row],[CleanedTotalCharges]]&gt;=2500,"High Spend", "Standard Spend")</f>
        <v>Standard Spend</v>
      </c>
    </row>
    <row r="1680" spans="1:14" x14ac:dyDescent="0.3">
      <c r="A1680" s="1" t="s">
        <v>1704</v>
      </c>
      <c r="B1680" s="2" t="s">
        <v>12</v>
      </c>
      <c r="C1680" s="2" t="s">
        <v>20</v>
      </c>
      <c r="D1680" s="2">
        <v>67</v>
      </c>
      <c r="E1680" s="2" t="s">
        <v>26</v>
      </c>
      <c r="F1680" s="2" t="s">
        <v>16</v>
      </c>
      <c r="G1680" s="7">
        <v>105.4</v>
      </c>
      <c r="H1680" s="7">
        <v>7035.6</v>
      </c>
      <c r="I1680" s="2" t="s">
        <v>15</v>
      </c>
      <c r="J1680" s="2" t="s">
        <v>16</v>
      </c>
      <c r="K1680" s="2" t="s">
        <v>29</v>
      </c>
      <c r="L1680" s="7">
        <v>7035.6</v>
      </c>
      <c r="M1680" s="2" t="str">
        <f>_xlfn.IFS(TelecomData[[#This Row],[TenureMonths]]&lt;=12, "0-1 Year", TelecomData[[#This Row],[TenureMonths]]&lt;=36, "1-3 Years", TelecomData[[#This Row],[TenureMonths]]&gt;36, "3+ Years")</f>
        <v>3+ Years</v>
      </c>
      <c r="N1680" s="2" t="str">
        <f>IF(TelecomData[[#This Row],[CleanedTotalCharges]]&gt;=2500,"High Spend", "Standard Spend")</f>
        <v>High Spend</v>
      </c>
    </row>
    <row r="1681" spans="1:14" x14ac:dyDescent="0.3">
      <c r="A1681" s="1" t="s">
        <v>1705</v>
      </c>
      <c r="B1681" s="2" t="s">
        <v>19</v>
      </c>
      <c r="C1681" s="2" t="s">
        <v>13</v>
      </c>
      <c r="D1681" s="2">
        <v>7</v>
      </c>
      <c r="E1681" s="2" t="s">
        <v>14</v>
      </c>
      <c r="F1681" s="2" t="s">
        <v>15</v>
      </c>
      <c r="G1681" s="7">
        <v>45.75</v>
      </c>
      <c r="H1681" s="7">
        <v>344.2</v>
      </c>
      <c r="I1681" s="2" t="s">
        <v>15</v>
      </c>
      <c r="J1681" s="2" t="s">
        <v>16</v>
      </c>
      <c r="K1681" s="2" t="s">
        <v>21</v>
      </c>
      <c r="L1681" s="7">
        <v>344.2</v>
      </c>
      <c r="M1681" s="2" t="str">
        <f>_xlfn.IFS(TelecomData[[#This Row],[TenureMonths]]&lt;=12, "0-1 Year", TelecomData[[#This Row],[TenureMonths]]&lt;=36, "1-3 Years", TelecomData[[#This Row],[TenureMonths]]&gt;36, "3+ Years")</f>
        <v>0-1 Year</v>
      </c>
      <c r="N1681" s="2" t="str">
        <f>IF(TelecomData[[#This Row],[CleanedTotalCharges]]&gt;=2500,"High Spend", "Standard Spend")</f>
        <v>Standard Spend</v>
      </c>
    </row>
    <row r="1682" spans="1:14" x14ac:dyDescent="0.3">
      <c r="A1682" s="1" t="s">
        <v>1706</v>
      </c>
      <c r="B1682" s="2" t="s">
        <v>19</v>
      </c>
      <c r="C1682" s="2" t="s">
        <v>20</v>
      </c>
      <c r="D1682" s="2">
        <v>56</v>
      </c>
      <c r="E1682" s="2" t="s">
        <v>15</v>
      </c>
      <c r="F1682" s="2" t="s">
        <v>36</v>
      </c>
      <c r="G1682" s="7">
        <v>24.45</v>
      </c>
      <c r="H1682" s="7">
        <v>1431.65</v>
      </c>
      <c r="I1682" s="2" t="s">
        <v>15</v>
      </c>
      <c r="J1682" s="2" t="s">
        <v>16</v>
      </c>
      <c r="K1682" s="2" t="s">
        <v>21</v>
      </c>
      <c r="L1682" s="7">
        <v>1431.65</v>
      </c>
      <c r="M1682" s="2" t="str">
        <f>_xlfn.IFS(TelecomData[[#This Row],[TenureMonths]]&lt;=12, "0-1 Year", TelecomData[[#This Row],[TenureMonths]]&lt;=36, "1-3 Years", TelecomData[[#This Row],[TenureMonths]]&gt;36, "3+ Years")</f>
        <v>3+ Years</v>
      </c>
      <c r="N1682" s="2" t="str">
        <f>IF(TelecomData[[#This Row],[CleanedTotalCharges]]&gt;=2500,"High Spend", "Standard Spend")</f>
        <v>Standard Spend</v>
      </c>
    </row>
    <row r="1683" spans="1:14" x14ac:dyDescent="0.3">
      <c r="A1683" s="1" t="s">
        <v>1707</v>
      </c>
      <c r="B1683" s="2" t="s">
        <v>12</v>
      </c>
      <c r="C1683" s="2" t="s">
        <v>35</v>
      </c>
      <c r="D1683" s="2">
        <v>72</v>
      </c>
      <c r="E1683" s="2" t="s">
        <v>15</v>
      </c>
      <c r="F1683" s="2" t="s">
        <v>36</v>
      </c>
      <c r="G1683" s="7">
        <v>25</v>
      </c>
      <c r="H1683" s="7">
        <v>1849.2</v>
      </c>
      <c r="I1683" s="2" t="s">
        <v>15</v>
      </c>
      <c r="J1683" s="2" t="s">
        <v>15</v>
      </c>
      <c r="K1683" s="2" t="s">
        <v>29</v>
      </c>
      <c r="L1683" s="7">
        <v>1849.2</v>
      </c>
      <c r="M1683" s="2" t="str">
        <f>_xlfn.IFS(TelecomData[[#This Row],[TenureMonths]]&lt;=12, "0-1 Year", TelecomData[[#This Row],[TenureMonths]]&lt;=36, "1-3 Years", TelecomData[[#This Row],[TenureMonths]]&gt;36, "3+ Years")</f>
        <v>3+ Years</v>
      </c>
      <c r="N1683" s="2" t="str">
        <f>IF(TelecomData[[#This Row],[CleanedTotalCharges]]&gt;=2500,"High Spend", "Standard Spend")</f>
        <v>Standard Spend</v>
      </c>
    </row>
    <row r="1684" spans="1:14" x14ac:dyDescent="0.3">
      <c r="A1684" s="1" t="s">
        <v>1708</v>
      </c>
      <c r="B1684" s="2" t="s">
        <v>19</v>
      </c>
      <c r="C1684" s="2" t="s">
        <v>35</v>
      </c>
      <c r="D1684" s="2">
        <v>72</v>
      </c>
      <c r="E1684" s="2" t="s">
        <v>14</v>
      </c>
      <c r="F1684" s="2" t="s">
        <v>15</v>
      </c>
      <c r="G1684" s="7">
        <v>85.25</v>
      </c>
      <c r="H1684" s="7">
        <v>6083.1</v>
      </c>
      <c r="I1684" s="2" t="s">
        <v>15</v>
      </c>
      <c r="J1684" s="2" t="s">
        <v>16</v>
      </c>
      <c r="K1684" s="2" t="s">
        <v>17</v>
      </c>
      <c r="L1684" s="7">
        <v>6083.1</v>
      </c>
      <c r="M1684" s="2" t="str">
        <f>_xlfn.IFS(TelecomData[[#This Row],[TenureMonths]]&lt;=12, "0-1 Year", TelecomData[[#This Row],[TenureMonths]]&lt;=36, "1-3 Years", TelecomData[[#This Row],[TenureMonths]]&gt;36, "3+ Years")</f>
        <v>3+ Years</v>
      </c>
      <c r="N1684" s="2" t="str">
        <f>IF(TelecomData[[#This Row],[CleanedTotalCharges]]&gt;=2500,"High Spend", "Standard Spend")</f>
        <v>High Spend</v>
      </c>
    </row>
    <row r="1685" spans="1:14" x14ac:dyDescent="0.3">
      <c r="A1685" s="1" t="s">
        <v>1709</v>
      </c>
      <c r="B1685" s="2" t="s">
        <v>19</v>
      </c>
      <c r="C1685" s="2" t="s">
        <v>35</v>
      </c>
      <c r="D1685" s="2">
        <v>23</v>
      </c>
      <c r="E1685" s="2" t="s">
        <v>15</v>
      </c>
      <c r="F1685" s="2" t="s">
        <v>36</v>
      </c>
      <c r="G1685" s="7">
        <v>19.600000000000001</v>
      </c>
      <c r="H1685" s="7">
        <v>426.65</v>
      </c>
      <c r="I1685" s="2" t="s">
        <v>15</v>
      </c>
      <c r="J1685" s="2" t="s">
        <v>15</v>
      </c>
      <c r="K1685" s="2" t="s">
        <v>29</v>
      </c>
      <c r="L1685" s="7">
        <v>426.65</v>
      </c>
      <c r="M1685" s="2" t="str">
        <f>_xlfn.IFS(TelecomData[[#This Row],[TenureMonths]]&lt;=12, "0-1 Year", TelecomData[[#This Row],[TenureMonths]]&lt;=36, "1-3 Years", TelecomData[[#This Row],[TenureMonths]]&gt;36, "3+ Years")</f>
        <v>1-3 Years</v>
      </c>
      <c r="N1685" s="2" t="str">
        <f>IF(TelecomData[[#This Row],[CleanedTotalCharges]]&gt;=2500,"High Spend", "Standard Spend")</f>
        <v>Standard Spend</v>
      </c>
    </row>
    <row r="1686" spans="1:14" x14ac:dyDescent="0.3">
      <c r="A1686" s="1" t="s">
        <v>1710</v>
      </c>
      <c r="B1686" s="2" t="s">
        <v>12</v>
      </c>
      <c r="C1686" s="2" t="s">
        <v>13</v>
      </c>
      <c r="D1686" s="2">
        <v>35</v>
      </c>
      <c r="E1686" s="2" t="s">
        <v>14</v>
      </c>
      <c r="F1686" s="2" t="s">
        <v>15</v>
      </c>
      <c r="G1686" s="7">
        <v>50.15</v>
      </c>
      <c r="H1686" s="7">
        <v>1655.35</v>
      </c>
      <c r="I1686" s="2" t="s">
        <v>15</v>
      </c>
      <c r="J1686" s="2" t="s">
        <v>15</v>
      </c>
      <c r="K1686" s="2" t="s">
        <v>21</v>
      </c>
      <c r="L1686" s="7">
        <v>1655.35</v>
      </c>
      <c r="M1686" s="2" t="str">
        <f>_xlfn.IFS(TelecomData[[#This Row],[TenureMonths]]&lt;=12, "0-1 Year", TelecomData[[#This Row],[TenureMonths]]&lt;=36, "1-3 Years", TelecomData[[#This Row],[TenureMonths]]&gt;36, "3+ Years")</f>
        <v>1-3 Years</v>
      </c>
      <c r="N1686" s="2" t="str">
        <f>IF(TelecomData[[#This Row],[CleanedTotalCharges]]&gt;=2500,"High Spend", "Standard Spend")</f>
        <v>Standard Spend</v>
      </c>
    </row>
    <row r="1687" spans="1:14" x14ac:dyDescent="0.3">
      <c r="A1687" s="1" t="s">
        <v>1711</v>
      </c>
      <c r="B1687" s="2" t="s">
        <v>19</v>
      </c>
      <c r="C1687" s="2" t="s">
        <v>13</v>
      </c>
      <c r="D1687" s="2">
        <v>27</v>
      </c>
      <c r="E1687" s="2" t="s">
        <v>26</v>
      </c>
      <c r="F1687" s="2" t="s">
        <v>15</v>
      </c>
      <c r="G1687" s="7">
        <v>70.55</v>
      </c>
      <c r="H1687" s="7">
        <v>1943.9</v>
      </c>
      <c r="I1687" s="2" t="s">
        <v>15</v>
      </c>
      <c r="J1687" s="2" t="s">
        <v>16</v>
      </c>
      <c r="K1687" s="2" t="s">
        <v>17</v>
      </c>
      <c r="L1687" s="7">
        <v>1943.9</v>
      </c>
      <c r="M1687" s="2" t="str">
        <f>_xlfn.IFS(TelecomData[[#This Row],[TenureMonths]]&lt;=12, "0-1 Year", TelecomData[[#This Row],[TenureMonths]]&lt;=36, "1-3 Years", TelecomData[[#This Row],[TenureMonths]]&gt;36, "3+ Years")</f>
        <v>1-3 Years</v>
      </c>
      <c r="N1687" s="2" t="str">
        <f>IF(TelecomData[[#This Row],[CleanedTotalCharges]]&gt;=2500,"High Spend", "Standard Spend")</f>
        <v>Standard Spend</v>
      </c>
    </row>
    <row r="1688" spans="1:14" x14ac:dyDescent="0.3">
      <c r="A1688" s="1" t="s">
        <v>1712</v>
      </c>
      <c r="B1688" s="2" t="s">
        <v>12</v>
      </c>
      <c r="C1688" s="2" t="s">
        <v>13</v>
      </c>
      <c r="D1688" s="2">
        <v>26</v>
      </c>
      <c r="E1688" s="2" t="s">
        <v>14</v>
      </c>
      <c r="F1688" s="2" t="s">
        <v>16</v>
      </c>
      <c r="G1688" s="7">
        <v>60.05</v>
      </c>
      <c r="H1688" s="7">
        <v>1616.15</v>
      </c>
      <c r="I1688" s="2" t="s">
        <v>16</v>
      </c>
      <c r="J1688" s="2" t="s">
        <v>16</v>
      </c>
      <c r="K1688" s="2" t="s">
        <v>17</v>
      </c>
      <c r="L1688" s="7">
        <v>1616.15</v>
      </c>
      <c r="M1688" s="2" t="str">
        <f>_xlfn.IFS(TelecomData[[#This Row],[TenureMonths]]&lt;=12, "0-1 Year", TelecomData[[#This Row],[TenureMonths]]&lt;=36, "1-3 Years", TelecomData[[#This Row],[TenureMonths]]&gt;36, "3+ Years")</f>
        <v>1-3 Years</v>
      </c>
      <c r="N1688" s="2" t="str">
        <f>IF(TelecomData[[#This Row],[CleanedTotalCharges]]&gt;=2500,"High Spend", "Standard Spend")</f>
        <v>Standard Spend</v>
      </c>
    </row>
    <row r="1689" spans="1:14" x14ac:dyDescent="0.3">
      <c r="A1689" s="1" t="s">
        <v>1713</v>
      </c>
      <c r="B1689" s="2" t="s">
        <v>19</v>
      </c>
      <c r="C1689" s="2" t="s">
        <v>20</v>
      </c>
      <c r="D1689" s="2">
        <v>12</v>
      </c>
      <c r="E1689" s="2" t="s">
        <v>15</v>
      </c>
      <c r="F1689" s="2" t="s">
        <v>36</v>
      </c>
      <c r="G1689" s="7">
        <v>26.4</v>
      </c>
      <c r="H1689" s="7">
        <v>314.95</v>
      </c>
      <c r="I1689" s="2" t="s">
        <v>15</v>
      </c>
      <c r="J1689" s="2" t="s">
        <v>15</v>
      </c>
      <c r="K1689" s="2" t="s">
        <v>21</v>
      </c>
      <c r="L1689" s="7">
        <v>314.95</v>
      </c>
      <c r="M1689" s="2" t="str">
        <f>_xlfn.IFS(TelecomData[[#This Row],[TenureMonths]]&lt;=12, "0-1 Year", TelecomData[[#This Row],[TenureMonths]]&lt;=36, "1-3 Years", TelecomData[[#This Row],[TenureMonths]]&gt;36, "3+ Years")</f>
        <v>0-1 Year</v>
      </c>
      <c r="N1689" s="2" t="str">
        <f>IF(TelecomData[[#This Row],[CleanedTotalCharges]]&gt;=2500,"High Spend", "Standard Spend")</f>
        <v>Standard Spend</v>
      </c>
    </row>
    <row r="1690" spans="1:14" x14ac:dyDescent="0.3">
      <c r="A1690" s="1" t="s">
        <v>1714</v>
      </c>
      <c r="B1690" s="2" t="s">
        <v>12</v>
      </c>
      <c r="C1690" s="2" t="s">
        <v>35</v>
      </c>
      <c r="D1690" s="2">
        <v>40</v>
      </c>
      <c r="E1690" s="2" t="s">
        <v>15</v>
      </c>
      <c r="F1690" s="2" t="s">
        <v>36</v>
      </c>
      <c r="G1690" s="7">
        <v>20.149999999999999</v>
      </c>
      <c r="H1690" s="7">
        <v>804.85</v>
      </c>
      <c r="I1690" s="2" t="s">
        <v>15</v>
      </c>
      <c r="J1690" s="2" t="s">
        <v>15</v>
      </c>
      <c r="K1690" s="2" t="s">
        <v>21</v>
      </c>
      <c r="L1690" s="7">
        <v>804.85</v>
      </c>
      <c r="M1690" s="2" t="str">
        <f>_xlfn.IFS(TelecomData[[#This Row],[TenureMonths]]&lt;=12, "0-1 Year", TelecomData[[#This Row],[TenureMonths]]&lt;=36, "1-3 Years", TelecomData[[#This Row],[TenureMonths]]&gt;36, "3+ Years")</f>
        <v>3+ Years</v>
      </c>
      <c r="N1690" s="2" t="str">
        <f>IF(TelecomData[[#This Row],[CleanedTotalCharges]]&gt;=2500,"High Spend", "Standard Spend")</f>
        <v>Standard Spend</v>
      </c>
    </row>
    <row r="1691" spans="1:14" x14ac:dyDescent="0.3">
      <c r="A1691" s="1" t="s">
        <v>1715</v>
      </c>
      <c r="B1691" s="2" t="s">
        <v>19</v>
      </c>
      <c r="C1691" s="2" t="s">
        <v>13</v>
      </c>
      <c r="D1691" s="2">
        <v>7</v>
      </c>
      <c r="E1691" s="2" t="s">
        <v>14</v>
      </c>
      <c r="F1691" s="2" t="s">
        <v>15</v>
      </c>
      <c r="G1691" s="7">
        <v>58.85</v>
      </c>
      <c r="H1691" s="7">
        <v>465.7</v>
      </c>
      <c r="I1691" s="2" t="s">
        <v>15</v>
      </c>
      <c r="J1691" s="2" t="s">
        <v>15</v>
      </c>
      <c r="K1691" s="2" t="s">
        <v>21</v>
      </c>
      <c r="L1691" s="7">
        <v>465.7</v>
      </c>
      <c r="M1691" s="2" t="str">
        <f>_xlfn.IFS(TelecomData[[#This Row],[TenureMonths]]&lt;=12, "0-1 Year", TelecomData[[#This Row],[TenureMonths]]&lt;=36, "1-3 Years", TelecomData[[#This Row],[TenureMonths]]&gt;36, "3+ Years")</f>
        <v>0-1 Year</v>
      </c>
      <c r="N1691" s="2" t="str">
        <f>IF(TelecomData[[#This Row],[CleanedTotalCharges]]&gt;=2500,"High Spend", "Standard Spend")</f>
        <v>Standard Spend</v>
      </c>
    </row>
    <row r="1692" spans="1:14" x14ac:dyDescent="0.3">
      <c r="A1692" s="1" t="s">
        <v>1716</v>
      </c>
      <c r="B1692" s="2" t="s">
        <v>19</v>
      </c>
      <c r="C1692" s="2" t="s">
        <v>13</v>
      </c>
      <c r="D1692" s="2">
        <v>70</v>
      </c>
      <c r="E1692" s="2" t="s">
        <v>26</v>
      </c>
      <c r="F1692" s="2" t="s">
        <v>15</v>
      </c>
      <c r="G1692" s="7">
        <v>97.55</v>
      </c>
      <c r="H1692" s="7">
        <v>6669.05</v>
      </c>
      <c r="I1692" s="2" t="s">
        <v>15</v>
      </c>
      <c r="J1692" s="2" t="s">
        <v>16</v>
      </c>
      <c r="K1692" s="2" t="s">
        <v>29</v>
      </c>
      <c r="L1692" s="7">
        <v>6669.05</v>
      </c>
      <c r="M1692" s="2" t="str">
        <f>_xlfn.IFS(TelecomData[[#This Row],[TenureMonths]]&lt;=12, "0-1 Year", TelecomData[[#This Row],[TenureMonths]]&lt;=36, "1-3 Years", TelecomData[[#This Row],[TenureMonths]]&gt;36, "3+ Years")</f>
        <v>3+ Years</v>
      </c>
      <c r="N1692" s="2" t="str">
        <f>IF(TelecomData[[#This Row],[CleanedTotalCharges]]&gt;=2500,"High Spend", "Standard Spend")</f>
        <v>High Spend</v>
      </c>
    </row>
    <row r="1693" spans="1:14" x14ac:dyDescent="0.3">
      <c r="A1693" s="1" t="s">
        <v>1717</v>
      </c>
      <c r="B1693" s="2" t="s">
        <v>19</v>
      </c>
      <c r="C1693" s="2" t="s">
        <v>35</v>
      </c>
      <c r="D1693" s="2">
        <v>60</v>
      </c>
      <c r="E1693" s="2" t="s">
        <v>15</v>
      </c>
      <c r="F1693" s="2" t="s">
        <v>36</v>
      </c>
      <c r="G1693" s="7">
        <v>19.649999999999999</v>
      </c>
      <c r="H1693" s="7">
        <v>1161.75</v>
      </c>
      <c r="I1693" s="2" t="s">
        <v>15</v>
      </c>
      <c r="J1693" s="2" t="s">
        <v>15</v>
      </c>
      <c r="K1693" s="2" t="s">
        <v>29</v>
      </c>
      <c r="L1693" s="7">
        <v>1161.75</v>
      </c>
      <c r="M1693" s="2" t="str">
        <f>_xlfn.IFS(TelecomData[[#This Row],[TenureMonths]]&lt;=12, "0-1 Year", TelecomData[[#This Row],[TenureMonths]]&lt;=36, "1-3 Years", TelecomData[[#This Row],[TenureMonths]]&gt;36, "3+ Years")</f>
        <v>3+ Years</v>
      </c>
      <c r="N1693" s="2" t="str">
        <f>IF(TelecomData[[#This Row],[CleanedTotalCharges]]&gt;=2500,"High Spend", "Standard Spend")</f>
        <v>Standard Spend</v>
      </c>
    </row>
    <row r="1694" spans="1:14" x14ac:dyDescent="0.3">
      <c r="A1694" s="1" t="s">
        <v>1718</v>
      </c>
      <c r="B1694" s="2" t="s">
        <v>19</v>
      </c>
      <c r="C1694" s="2" t="s">
        <v>20</v>
      </c>
      <c r="D1694" s="2">
        <v>39</v>
      </c>
      <c r="E1694" s="2" t="s">
        <v>14</v>
      </c>
      <c r="F1694" s="2" t="s">
        <v>15</v>
      </c>
      <c r="G1694" s="7">
        <v>25.25</v>
      </c>
      <c r="H1694" s="7">
        <v>947.75</v>
      </c>
      <c r="I1694" s="2" t="s">
        <v>15</v>
      </c>
      <c r="J1694" s="2" t="s">
        <v>16</v>
      </c>
      <c r="K1694" s="2" t="s">
        <v>29</v>
      </c>
      <c r="L1694" s="7">
        <v>947.75</v>
      </c>
      <c r="M1694" s="2" t="str">
        <f>_xlfn.IFS(TelecomData[[#This Row],[TenureMonths]]&lt;=12, "0-1 Year", TelecomData[[#This Row],[TenureMonths]]&lt;=36, "1-3 Years", TelecomData[[#This Row],[TenureMonths]]&gt;36, "3+ Years")</f>
        <v>3+ Years</v>
      </c>
      <c r="N1694" s="2" t="str">
        <f>IF(TelecomData[[#This Row],[CleanedTotalCharges]]&gt;=2500,"High Spend", "Standard Spend")</f>
        <v>Standard Spend</v>
      </c>
    </row>
    <row r="1695" spans="1:14" x14ac:dyDescent="0.3">
      <c r="A1695" s="1" t="s">
        <v>1719</v>
      </c>
      <c r="B1695" s="2" t="s">
        <v>19</v>
      </c>
      <c r="C1695" s="2" t="s">
        <v>35</v>
      </c>
      <c r="D1695" s="2">
        <v>72</v>
      </c>
      <c r="E1695" s="2" t="s">
        <v>26</v>
      </c>
      <c r="F1695" s="2" t="s">
        <v>16</v>
      </c>
      <c r="G1695" s="7">
        <v>114.45</v>
      </c>
      <c r="H1695" s="7">
        <v>8375.0499999999993</v>
      </c>
      <c r="I1695" s="2" t="s">
        <v>15</v>
      </c>
      <c r="J1695" s="2" t="s">
        <v>15</v>
      </c>
      <c r="K1695" s="2" t="s">
        <v>29</v>
      </c>
      <c r="L1695" s="7">
        <v>8375.0499999999993</v>
      </c>
      <c r="M1695" s="2" t="str">
        <f>_xlfn.IFS(TelecomData[[#This Row],[TenureMonths]]&lt;=12, "0-1 Year", TelecomData[[#This Row],[TenureMonths]]&lt;=36, "1-3 Years", TelecomData[[#This Row],[TenureMonths]]&gt;36, "3+ Years")</f>
        <v>3+ Years</v>
      </c>
      <c r="N1695" s="2" t="str">
        <f>IF(TelecomData[[#This Row],[CleanedTotalCharges]]&gt;=2500,"High Spend", "Standard Spend")</f>
        <v>High Spend</v>
      </c>
    </row>
    <row r="1696" spans="1:14" x14ac:dyDescent="0.3">
      <c r="A1696" s="1" t="s">
        <v>1720</v>
      </c>
      <c r="B1696" s="2" t="s">
        <v>12</v>
      </c>
      <c r="C1696" s="2" t="s">
        <v>13</v>
      </c>
      <c r="D1696" s="2">
        <v>1</v>
      </c>
      <c r="E1696" s="2" t="s">
        <v>14</v>
      </c>
      <c r="F1696" s="2" t="s">
        <v>15</v>
      </c>
      <c r="G1696" s="7">
        <v>34.700000000000003</v>
      </c>
      <c r="H1696" s="7">
        <v>34.700000000000003</v>
      </c>
      <c r="I1696" s="2" t="s">
        <v>16</v>
      </c>
      <c r="J1696" s="2" t="s">
        <v>16</v>
      </c>
      <c r="K1696" s="2" t="s">
        <v>17</v>
      </c>
      <c r="L1696" s="7">
        <v>34.700000000000003</v>
      </c>
      <c r="M1696" s="2" t="str">
        <f>_xlfn.IFS(TelecomData[[#This Row],[TenureMonths]]&lt;=12, "0-1 Year", TelecomData[[#This Row],[TenureMonths]]&lt;=36, "1-3 Years", TelecomData[[#This Row],[TenureMonths]]&gt;36, "3+ Years")</f>
        <v>0-1 Year</v>
      </c>
      <c r="N1696" s="2" t="str">
        <f>IF(TelecomData[[#This Row],[CleanedTotalCharges]]&gt;=2500,"High Spend", "Standard Spend")</f>
        <v>Standard Spend</v>
      </c>
    </row>
    <row r="1697" spans="1:14" x14ac:dyDescent="0.3">
      <c r="A1697" s="1" t="s">
        <v>1721</v>
      </c>
      <c r="B1697" s="2" t="s">
        <v>19</v>
      </c>
      <c r="C1697" s="2" t="s">
        <v>20</v>
      </c>
      <c r="D1697" s="2">
        <v>54</v>
      </c>
      <c r="E1697" s="2" t="s">
        <v>14</v>
      </c>
      <c r="F1697" s="2" t="s">
        <v>16</v>
      </c>
      <c r="G1697" s="7">
        <v>70.7</v>
      </c>
      <c r="H1697" s="7">
        <v>3770</v>
      </c>
      <c r="I1697" s="2" t="s">
        <v>15</v>
      </c>
      <c r="J1697" s="2" t="s">
        <v>16</v>
      </c>
      <c r="K1697" s="2" t="s">
        <v>17</v>
      </c>
      <c r="L1697" s="7">
        <v>3770</v>
      </c>
      <c r="M1697" s="2" t="str">
        <f>_xlfn.IFS(TelecomData[[#This Row],[TenureMonths]]&lt;=12, "0-1 Year", TelecomData[[#This Row],[TenureMonths]]&lt;=36, "1-3 Years", TelecomData[[#This Row],[TenureMonths]]&gt;36, "3+ Years")</f>
        <v>3+ Years</v>
      </c>
      <c r="N1697" s="2" t="str">
        <f>IF(TelecomData[[#This Row],[CleanedTotalCharges]]&gt;=2500,"High Spend", "Standard Spend")</f>
        <v>High Spend</v>
      </c>
    </row>
    <row r="1698" spans="1:14" x14ac:dyDescent="0.3">
      <c r="A1698" s="1" t="s">
        <v>1722</v>
      </c>
      <c r="B1698" s="2" t="s">
        <v>19</v>
      </c>
      <c r="C1698" s="2" t="s">
        <v>13</v>
      </c>
      <c r="D1698" s="2">
        <v>3</v>
      </c>
      <c r="E1698" s="2" t="s">
        <v>26</v>
      </c>
      <c r="F1698" s="2" t="s">
        <v>15</v>
      </c>
      <c r="G1698" s="7">
        <v>85.3</v>
      </c>
      <c r="H1698" s="7">
        <v>264.8</v>
      </c>
      <c r="I1698" s="2" t="s">
        <v>16</v>
      </c>
      <c r="J1698" s="2" t="s">
        <v>16</v>
      </c>
      <c r="K1698" s="2" t="s">
        <v>17</v>
      </c>
      <c r="L1698" s="7">
        <v>264.8</v>
      </c>
      <c r="M1698" s="2" t="str">
        <f>_xlfn.IFS(TelecomData[[#This Row],[TenureMonths]]&lt;=12, "0-1 Year", TelecomData[[#This Row],[TenureMonths]]&lt;=36, "1-3 Years", TelecomData[[#This Row],[TenureMonths]]&gt;36, "3+ Years")</f>
        <v>0-1 Year</v>
      </c>
      <c r="N1698" s="2" t="str">
        <f>IF(TelecomData[[#This Row],[CleanedTotalCharges]]&gt;=2500,"High Spend", "Standard Spend")</f>
        <v>Standard Spend</v>
      </c>
    </row>
    <row r="1699" spans="1:14" x14ac:dyDescent="0.3">
      <c r="A1699" s="1" t="s">
        <v>1723</v>
      </c>
      <c r="B1699" s="2" t="s">
        <v>12</v>
      </c>
      <c r="C1699" s="2" t="s">
        <v>35</v>
      </c>
      <c r="D1699" s="2">
        <v>63</v>
      </c>
      <c r="E1699" s="2" t="s">
        <v>14</v>
      </c>
      <c r="F1699" s="2" t="s">
        <v>16</v>
      </c>
      <c r="G1699" s="7">
        <v>75.55</v>
      </c>
      <c r="H1699" s="7">
        <v>4707.8500000000004</v>
      </c>
      <c r="I1699" s="2" t="s">
        <v>15</v>
      </c>
      <c r="J1699" s="2" t="s">
        <v>15</v>
      </c>
      <c r="K1699" s="2" t="s">
        <v>29</v>
      </c>
      <c r="L1699" s="7">
        <v>4707.8500000000004</v>
      </c>
      <c r="M1699" s="2" t="str">
        <f>_xlfn.IFS(TelecomData[[#This Row],[TenureMonths]]&lt;=12, "0-1 Year", TelecomData[[#This Row],[TenureMonths]]&lt;=36, "1-3 Years", TelecomData[[#This Row],[TenureMonths]]&gt;36, "3+ Years")</f>
        <v>3+ Years</v>
      </c>
      <c r="N1699" s="2" t="str">
        <f>IF(TelecomData[[#This Row],[CleanedTotalCharges]]&gt;=2500,"High Spend", "Standard Spend")</f>
        <v>High Spend</v>
      </c>
    </row>
    <row r="1700" spans="1:14" x14ac:dyDescent="0.3">
      <c r="A1700" s="1" t="s">
        <v>1724</v>
      </c>
      <c r="B1700" s="2" t="s">
        <v>19</v>
      </c>
      <c r="C1700" s="2" t="s">
        <v>35</v>
      </c>
      <c r="D1700" s="2">
        <v>71</v>
      </c>
      <c r="E1700" s="2" t="s">
        <v>26</v>
      </c>
      <c r="F1700" s="2" t="s">
        <v>16</v>
      </c>
      <c r="G1700" s="7">
        <v>84.8</v>
      </c>
      <c r="H1700" s="7">
        <v>6152.4</v>
      </c>
      <c r="I1700" s="2" t="s">
        <v>15</v>
      </c>
      <c r="J1700" s="2" t="s">
        <v>16</v>
      </c>
      <c r="K1700" s="2" t="s">
        <v>17</v>
      </c>
      <c r="L1700" s="7">
        <v>6152.4</v>
      </c>
      <c r="M1700" s="2" t="str">
        <f>_xlfn.IFS(TelecomData[[#This Row],[TenureMonths]]&lt;=12, "0-1 Year", TelecomData[[#This Row],[TenureMonths]]&lt;=36, "1-3 Years", TelecomData[[#This Row],[TenureMonths]]&gt;36, "3+ Years")</f>
        <v>3+ Years</v>
      </c>
      <c r="N1700" s="2" t="str">
        <f>IF(TelecomData[[#This Row],[CleanedTotalCharges]]&gt;=2500,"High Spend", "Standard Spend")</f>
        <v>High Spend</v>
      </c>
    </row>
    <row r="1701" spans="1:14" x14ac:dyDescent="0.3">
      <c r="A1701" s="1" t="s">
        <v>1725</v>
      </c>
      <c r="B1701" s="2" t="s">
        <v>12</v>
      </c>
      <c r="C1701" s="2" t="s">
        <v>20</v>
      </c>
      <c r="D1701" s="2">
        <v>42</v>
      </c>
      <c r="E1701" s="2" t="s">
        <v>15</v>
      </c>
      <c r="F1701" s="2" t="s">
        <v>36</v>
      </c>
      <c r="G1701" s="7">
        <v>20.65</v>
      </c>
      <c r="H1701" s="7">
        <v>958.1</v>
      </c>
      <c r="I1701" s="2" t="s">
        <v>15</v>
      </c>
      <c r="J1701" s="2" t="s">
        <v>16</v>
      </c>
      <c r="K1701" s="2" t="s">
        <v>21</v>
      </c>
      <c r="L1701" s="7">
        <v>958.1</v>
      </c>
      <c r="M1701" s="2" t="str">
        <f>_xlfn.IFS(TelecomData[[#This Row],[TenureMonths]]&lt;=12, "0-1 Year", TelecomData[[#This Row],[TenureMonths]]&lt;=36, "1-3 Years", TelecomData[[#This Row],[TenureMonths]]&gt;36, "3+ Years")</f>
        <v>3+ Years</v>
      </c>
      <c r="N1701" s="2" t="str">
        <f>IF(TelecomData[[#This Row],[CleanedTotalCharges]]&gt;=2500,"High Spend", "Standard Spend")</f>
        <v>Standard Spend</v>
      </c>
    </row>
    <row r="1702" spans="1:14" x14ac:dyDescent="0.3">
      <c r="A1702" s="1" t="s">
        <v>1726</v>
      </c>
      <c r="B1702" s="2" t="s">
        <v>19</v>
      </c>
      <c r="C1702" s="2" t="s">
        <v>35</v>
      </c>
      <c r="D1702" s="2">
        <v>47</v>
      </c>
      <c r="E1702" s="2" t="s">
        <v>15</v>
      </c>
      <c r="F1702" s="2" t="s">
        <v>36</v>
      </c>
      <c r="G1702" s="7">
        <v>20.45</v>
      </c>
      <c r="H1702" s="7">
        <v>943</v>
      </c>
      <c r="I1702" s="2" t="s">
        <v>15</v>
      </c>
      <c r="J1702" s="2" t="s">
        <v>15</v>
      </c>
      <c r="K1702" s="2" t="s">
        <v>24</v>
      </c>
      <c r="L1702" s="7">
        <v>943</v>
      </c>
      <c r="M1702" s="2" t="str">
        <f>_xlfn.IFS(TelecomData[[#This Row],[TenureMonths]]&lt;=12, "0-1 Year", TelecomData[[#This Row],[TenureMonths]]&lt;=36, "1-3 Years", TelecomData[[#This Row],[TenureMonths]]&gt;36, "3+ Years")</f>
        <v>3+ Years</v>
      </c>
      <c r="N1702" s="2" t="str">
        <f>IF(TelecomData[[#This Row],[CleanedTotalCharges]]&gt;=2500,"High Spend", "Standard Spend")</f>
        <v>Standard Spend</v>
      </c>
    </row>
    <row r="1703" spans="1:14" x14ac:dyDescent="0.3">
      <c r="A1703" s="1" t="s">
        <v>1727</v>
      </c>
      <c r="B1703" s="2" t="s">
        <v>12</v>
      </c>
      <c r="C1703" s="2" t="s">
        <v>20</v>
      </c>
      <c r="D1703" s="2">
        <v>66</v>
      </c>
      <c r="E1703" s="2" t="s">
        <v>26</v>
      </c>
      <c r="F1703" s="2" t="s">
        <v>15</v>
      </c>
      <c r="G1703" s="7">
        <v>102.45</v>
      </c>
      <c r="H1703" s="7">
        <v>6615.15</v>
      </c>
      <c r="I1703" s="2" t="s">
        <v>16</v>
      </c>
      <c r="J1703" s="2" t="s">
        <v>16</v>
      </c>
      <c r="K1703" s="2" t="s">
        <v>29</v>
      </c>
      <c r="L1703" s="7">
        <v>6615.15</v>
      </c>
      <c r="M1703" s="2" t="str">
        <f>_xlfn.IFS(TelecomData[[#This Row],[TenureMonths]]&lt;=12, "0-1 Year", TelecomData[[#This Row],[TenureMonths]]&lt;=36, "1-3 Years", TelecomData[[#This Row],[TenureMonths]]&gt;36, "3+ Years")</f>
        <v>3+ Years</v>
      </c>
      <c r="N1703" s="2" t="str">
        <f>IF(TelecomData[[#This Row],[CleanedTotalCharges]]&gt;=2500,"High Spend", "Standard Spend")</f>
        <v>High Spend</v>
      </c>
    </row>
    <row r="1704" spans="1:14" x14ac:dyDescent="0.3">
      <c r="A1704" s="1" t="s">
        <v>1728</v>
      </c>
      <c r="B1704" s="2" t="s">
        <v>12</v>
      </c>
      <c r="C1704" s="2" t="s">
        <v>13</v>
      </c>
      <c r="D1704" s="2">
        <v>21</v>
      </c>
      <c r="E1704" s="2" t="s">
        <v>26</v>
      </c>
      <c r="F1704" s="2" t="s">
        <v>15</v>
      </c>
      <c r="G1704" s="7">
        <v>104.4</v>
      </c>
      <c r="H1704" s="7">
        <v>2200.25</v>
      </c>
      <c r="I1704" s="2" t="s">
        <v>16</v>
      </c>
      <c r="J1704" s="2" t="s">
        <v>16</v>
      </c>
      <c r="K1704" s="2" t="s">
        <v>24</v>
      </c>
      <c r="L1704" s="7">
        <v>2200.25</v>
      </c>
      <c r="M1704" s="2" t="str">
        <f>_xlfn.IFS(TelecomData[[#This Row],[TenureMonths]]&lt;=12, "0-1 Year", TelecomData[[#This Row],[TenureMonths]]&lt;=36, "1-3 Years", TelecomData[[#This Row],[TenureMonths]]&gt;36, "3+ Years")</f>
        <v>1-3 Years</v>
      </c>
      <c r="N1704" s="2" t="str">
        <f>IF(TelecomData[[#This Row],[CleanedTotalCharges]]&gt;=2500,"High Spend", "Standard Spend")</f>
        <v>Standard Spend</v>
      </c>
    </row>
    <row r="1705" spans="1:14" x14ac:dyDescent="0.3">
      <c r="A1705" s="1" t="s">
        <v>1729</v>
      </c>
      <c r="B1705" s="2" t="s">
        <v>19</v>
      </c>
      <c r="C1705" s="2" t="s">
        <v>13</v>
      </c>
      <c r="D1705" s="2">
        <v>11</v>
      </c>
      <c r="E1705" s="2" t="s">
        <v>14</v>
      </c>
      <c r="F1705" s="2" t="s">
        <v>16</v>
      </c>
      <c r="G1705" s="7">
        <v>35.65</v>
      </c>
      <c r="H1705" s="7">
        <v>425.1</v>
      </c>
      <c r="I1705" s="2" t="s">
        <v>15</v>
      </c>
      <c r="J1705" s="2" t="s">
        <v>16</v>
      </c>
      <c r="K1705" s="2" t="s">
        <v>17</v>
      </c>
      <c r="L1705" s="7">
        <v>425.1</v>
      </c>
      <c r="M1705" s="2" t="str">
        <f>_xlfn.IFS(TelecomData[[#This Row],[TenureMonths]]&lt;=12, "0-1 Year", TelecomData[[#This Row],[TenureMonths]]&lt;=36, "1-3 Years", TelecomData[[#This Row],[TenureMonths]]&gt;36, "3+ Years")</f>
        <v>0-1 Year</v>
      </c>
      <c r="N1705" s="2" t="str">
        <f>IF(TelecomData[[#This Row],[CleanedTotalCharges]]&gt;=2500,"High Spend", "Standard Spend")</f>
        <v>Standard Spend</v>
      </c>
    </row>
    <row r="1706" spans="1:14" x14ac:dyDescent="0.3">
      <c r="A1706" s="1" t="s">
        <v>1730</v>
      </c>
      <c r="B1706" s="2" t="s">
        <v>19</v>
      </c>
      <c r="C1706" s="2" t="s">
        <v>13</v>
      </c>
      <c r="D1706" s="2">
        <v>1</v>
      </c>
      <c r="E1706" s="2" t="s">
        <v>26</v>
      </c>
      <c r="F1706" s="2" t="s">
        <v>15</v>
      </c>
      <c r="G1706" s="7">
        <v>99.75</v>
      </c>
      <c r="H1706" s="7">
        <v>99.75</v>
      </c>
      <c r="I1706" s="2" t="s">
        <v>16</v>
      </c>
      <c r="J1706" s="2" t="s">
        <v>16</v>
      </c>
      <c r="K1706" s="2" t="s">
        <v>17</v>
      </c>
      <c r="L1706" s="7">
        <v>99.75</v>
      </c>
      <c r="M1706" s="2" t="str">
        <f>_xlfn.IFS(TelecomData[[#This Row],[TenureMonths]]&lt;=12, "0-1 Year", TelecomData[[#This Row],[TenureMonths]]&lt;=36, "1-3 Years", TelecomData[[#This Row],[TenureMonths]]&gt;36, "3+ Years")</f>
        <v>0-1 Year</v>
      </c>
      <c r="N1706" s="2" t="str">
        <f>IF(TelecomData[[#This Row],[CleanedTotalCharges]]&gt;=2500,"High Spend", "Standard Spend")</f>
        <v>Standard Spend</v>
      </c>
    </row>
    <row r="1707" spans="1:14" x14ac:dyDescent="0.3">
      <c r="A1707" s="1" t="s">
        <v>1731</v>
      </c>
      <c r="B1707" s="2" t="s">
        <v>12</v>
      </c>
      <c r="C1707" s="2" t="s">
        <v>13</v>
      </c>
      <c r="D1707" s="2">
        <v>55</v>
      </c>
      <c r="E1707" s="2" t="s">
        <v>26</v>
      </c>
      <c r="F1707" s="2" t="s">
        <v>16</v>
      </c>
      <c r="G1707" s="7">
        <v>90.45</v>
      </c>
      <c r="H1707" s="7">
        <v>5044.8</v>
      </c>
      <c r="I1707" s="2" t="s">
        <v>15</v>
      </c>
      <c r="J1707" s="2" t="s">
        <v>15</v>
      </c>
      <c r="K1707" s="2" t="s">
        <v>17</v>
      </c>
      <c r="L1707" s="7">
        <v>5044.8</v>
      </c>
      <c r="M1707" s="2" t="str">
        <f>_xlfn.IFS(TelecomData[[#This Row],[TenureMonths]]&lt;=12, "0-1 Year", TelecomData[[#This Row],[TenureMonths]]&lt;=36, "1-3 Years", TelecomData[[#This Row],[TenureMonths]]&gt;36, "3+ Years")</f>
        <v>3+ Years</v>
      </c>
      <c r="N1707" s="2" t="str">
        <f>IF(TelecomData[[#This Row],[CleanedTotalCharges]]&gt;=2500,"High Spend", "Standard Spend")</f>
        <v>High Spend</v>
      </c>
    </row>
    <row r="1708" spans="1:14" x14ac:dyDescent="0.3">
      <c r="A1708" s="1" t="s">
        <v>1732</v>
      </c>
      <c r="B1708" s="2" t="s">
        <v>19</v>
      </c>
      <c r="C1708" s="2" t="s">
        <v>35</v>
      </c>
      <c r="D1708" s="2">
        <v>69</v>
      </c>
      <c r="E1708" s="2" t="s">
        <v>26</v>
      </c>
      <c r="F1708" s="2" t="s">
        <v>16</v>
      </c>
      <c r="G1708" s="7">
        <v>97.65</v>
      </c>
      <c r="H1708" s="7">
        <v>6743.55</v>
      </c>
      <c r="I1708" s="2" t="s">
        <v>15</v>
      </c>
      <c r="J1708" s="2" t="s">
        <v>16</v>
      </c>
      <c r="K1708" s="2" t="s">
        <v>29</v>
      </c>
      <c r="L1708" s="7">
        <v>6743.55</v>
      </c>
      <c r="M1708" s="2" t="str">
        <f>_xlfn.IFS(TelecomData[[#This Row],[TenureMonths]]&lt;=12, "0-1 Year", TelecomData[[#This Row],[TenureMonths]]&lt;=36, "1-3 Years", TelecomData[[#This Row],[TenureMonths]]&gt;36, "3+ Years")</f>
        <v>3+ Years</v>
      </c>
      <c r="N1708" s="2" t="str">
        <f>IF(TelecomData[[#This Row],[CleanedTotalCharges]]&gt;=2500,"High Spend", "Standard Spend")</f>
        <v>High Spend</v>
      </c>
    </row>
    <row r="1709" spans="1:14" x14ac:dyDescent="0.3">
      <c r="A1709" s="1" t="s">
        <v>1733</v>
      </c>
      <c r="B1709" s="2" t="s">
        <v>12</v>
      </c>
      <c r="C1709" s="2" t="s">
        <v>13</v>
      </c>
      <c r="D1709" s="2">
        <v>3</v>
      </c>
      <c r="E1709" s="2" t="s">
        <v>26</v>
      </c>
      <c r="F1709" s="2" t="s">
        <v>15</v>
      </c>
      <c r="G1709" s="7">
        <v>73.849999999999994</v>
      </c>
      <c r="H1709" s="7">
        <v>196.4</v>
      </c>
      <c r="I1709" s="2" t="s">
        <v>15</v>
      </c>
      <c r="J1709" s="2" t="s">
        <v>15</v>
      </c>
      <c r="K1709" s="2" t="s">
        <v>17</v>
      </c>
      <c r="L1709" s="7">
        <v>196.4</v>
      </c>
      <c r="M1709" s="2" t="str">
        <f>_xlfn.IFS(TelecomData[[#This Row],[TenureMonths]]&lt;=12, "0-1 Year", TelecomData[[#This Row],[TenureMonths]]&lt;=36, "1-3 Years", TelecomData[[#This Row],[TenureMonths]]&gt;36, "3+ Years")</f>
        <v>0-1 Year</v>
      </c>
      <c r="N1709" s="2" t="str">
        <f>IF(TelecomData[[#This Row],[CleanedTotalCharges]]&gt;=2500,"High Spend", "Standard Spend")</f>
        <v>Standard Spend</v>
      </c>
    </row>
    <row r="1710" spans="1:14" x14ac:dyDescent="0.3">
      <c r="A1710" s="1" t="s">
        <v>1734</v>
      </c>
      <c r="B1710" s="2" t="s">
        <v>19</v>
      </c>
      <c r="C1710" s="2" t="s">
        <v>13</v>
      </c>
      <c r="D1710" s="2">
        <v>4</v>
      </c>
      <c r="E1710" s="2" t="s">
        <v>14</v>
      </c>
      <c r="F1710" s="2" t="s">
        <v>16</v>
      </c>
      <c r="G1710" s="7">
        <v>74.400000000000006</v>
      </c>
      <c r="H1710" s="7">
        <v>299.7</v>
      </c>
      <c r="I1710" s="2" t="s">
        <v>16</v>
      </c>
      <c r="J1710" s="2" t="s">
        <v>16</v>
      </c>
      <c r="K1710" s="2" t="s">
        <v>17</v>
      </c>
      <c r="L1710" s="7">
        <v>299.7</v>
      </c>
      <c r="M1710" s="2" t="str">
        <f>_xlfn.IFS(TelecomData[[#This Row],[TenureMonths]]&lt;=12, "0-1 Year", TelecomData[[#This Row],[TenureMonths]]&lt;=36, "1-3 Years", TelecomData[[#This Row],[TenureMonths]]&gt;36, "3+ Years")</f>
        <v>0-1 Year</v>
      </c>
      <c r="N1710" s="2" t="str">
        <f>IF(TelecomData[[#This Row],[CleanedTotalCharges]]&gt;=2500,"High Spend", "Standard Spend")</f>
        <v>Standard Spend</v>
      </c>
    </row>
    <row r="1711" spans="1:14" x14ac:dyDescent="0.3">
      <c r="A1711" s="1" t="s">
        <v>1735</v>
      </c>
      <c r="B1711" s="2" t="s">
        <v>19</v>
      </c>
      <c r="C1711" s="2" t="s">
        <v>35</v>
      </c>
      <c r="D1711" s="2">
        <v>30</v>
      </c>
      <c r="E1711" s="2" t="s">
        <v>14</v>
      </c>
      <c r="F1711" s="2" t="s">
        <v>16</v>
      </c>
      <c r="G1711" s="7">
        <v>69.099999999999994</v>
      </c>
      <c r="H1711" s="7">
        <v>2093.9</v>
      </c>
      <c r="I1711" s="2" t="s">
        <v>15</v>
      </c>
      <c r="J1711" s="2" t="s">
        <v>16</v>
      </c>
      <c r="K1711" s="2" t="s">
        <v>29</v>
      </c>
      <c r="L1711" s="7">
        <v>2093.9</v>
      </c>
      <c r="M1711" s="2" t="str">
        <f>_xlfn.IFS(TelecomData[[#This Row],[TenureMonths]]&lt;=12, "0-1 Year", TelecomData[[#This Row],[TenureMonths]]&lt;=36, "1-3 Years", TelecomData[[#This Row],[TenureMonths]]&gt;36, "3+ Years")</f>
        <v>1-3 Years</v>
      </c>
      <c r="N1711" s="2" t="str">
        <f>IF(TelecomData[[#This Row],[CleanedTotalCharges]]&gt;=2500,"High Spend", "Standard Spend")</f>
        <v>Standard Spend</v>
      </c>
    </row>
    <row r="1712" spans="1:14" x14ac:dyDescent="0.3">
      <c r="A1712" s="1" t="s">
        <v>1736</v>
      </c>
      <c r="B1712" s="2" t="s">
        <v>12</v>
      </c>
      <c r="C1712" s="2" t="s">
        <v>13</v>
      </c>
      <c r="D1712" s="2">
        <v>5</v>
      </c>
      <c r="E1712" s="2" t="s">
        <v>26</v>
      </c>
      <c r="F1712" s="2" t="s">
        <v>16</v>
      </c>
      <c r="G1712" s="7">
        <v>82.75</v>
      </c>
      <c r="H1712" s="7">
        <v>417.75</v>
      </c>
      <c r="I1712" s="2" t="s">
        <v>15</v>
      </c>
      <c r="J1712" s="2" t="s">
        <v>16</v>
      </c>
      <c r="K1712" s="2" t="s">
        <v>17</v>
      </c>
      <c r="L1712" s="7">
        <v>417.75</v>
      </c>
      <c r="M1712" s="2" t="str">
        <f>_xlfn.IFS(TelecomData[[#This Row],[TenureMonths]]&lt;=12, "0-1 Year", TelecomData[[#This Row],[TenureMonths]]&lt;=36, "1-3 Years", TelecomData[[#This Row],[TenureMonths]]&gt;36, "3+ Years")</f>
        <v>0-1 Year</v>
      </c>
      <c r="N1712" s="2" t="str">
        <f>IF(TelecomData[[#This Row],[CleanedTotalCharges]]&gt;=2500,"High Spend", "Standard Spend")</f>
        <v>Standard Spend</v>
      </c>
    </row>
    <row r="1713" spans="1:14" x14ac:dyDescent="0.3">
      <c r="A1713" s="1" t="s">
        <v>1737</v>
      </c>
      <c r="B1713" s="2" t="s">
        <v>12</v>
      </c>
      <c r="C1713" s="2" t="s">
        <v>35</v>
      </c>
      <c r="D1713" s="2">
        <v>71</v>
      </c>
      <c r="E1713" s="2" t="s">
        <v>15</v>
      </c>
      <c r="F1713" s="2" t="s">
        <v>36</v>
      </c>
      <c r="G1713" s="7">
        <v>24.4</v>
      </c>
      <c r="H1713" s="7">
        <v>1725.4</v>
      </c>
      <c r="I1713" s="2" t="s">
        <v>15</v>
      </c>
      <c r="J1713" s="2" t="s">
        <v>16</v>
      </c>
      <c r="K1713" s="2" t="s">
        <v>29</v>
      </c>
      <c r="L1713" s="7">
        <v>1725.4</v>
      </c>
      <c r="M1713" s="2" t="str">
        <f>_xlfn.IFS(TelecomData[[#This Row],[TenureMonths]]&lt;=12, "0-1 Year", TelecomData[[#This Row],[TenureMonths]]&lt;=36, "1-3 Years", TelecomData[[#This Row],[TenureMonths]]&gt;36, "3+ Years")</f>
        <v>3+ Years</v>
      </c>
      <c r="N1713" s="2" t="str">
        <f>IF(TelecomData[[#This Row],[CleanedTotalCharges]]&gt;=2500,"High Spend", "Standard Spend")</f>
        <v>Standard Spend</v>
      </c>
    </row>
    <row r="1714" spans="1:14" x14ac:dyDescent="0.3">
      <c r="A1714" s="1" t="s">
        <v>1738</v>
      </c>
      <c r="B1714" s="2" t="s">
        <v>12</v>
      </c>
      <c r="C1714" s="2" t="s">
        <v>20</v>
      </c>
      <c r="D1714" s="2">
        <v>29</v>
      </c>
      <c r="E1714" s="2" t="s">
        <v>14</v>
      </c>
      <c r="F1714" s="2" t="s">
        <v>15</v>
      </c>
      <c r="G1714" s="7">
        <v>55.25</v>
      </c>
      <c r="H1714" s="7">
        <v>1620.2</v>
      </c>
      <c r="I1714" s="2" t="s">
        <v>15</v>
      </c>
      <c r="J1714" s="2" t="s">
        <v>16</v>
      </c>
      <c r="K1714" s="2" t="s">
        <v>17</v>
      </c>
      <c r="L1714" s="7">
        <v>1620.2</v>
      </c>
      <c r="M1714" s="2" t="str">
        <f>_xlfn.IFS(TelecomData[[#This Row],[TenureMonths]]&lt;=12, "0-1 Year", TelecomData[[#This Row],[TenureMonths]]&lt;=36, "1-3 Years", TelecomData[[#This Row],[TenureMonths]]&gt;36, "3+ Years")</f>
        <v>1-3 Years</v>
      </c>
      <c r="N1714" s="2" t="str">
        <f>IF(TelecomData[[#This Row],[CleanedTotalCharges]]&gt;=2500,"High Spend", "Standard Spend")</f>
        <v>Standard Spend</v>
      </c>
    </row>
    <row r="1715" spans="1:14" x14ac:dyDescent="0.3">
      <c r="A1715" s="1" t="s">
        <v>1739</v>
      </c>
      <c r="B1715" s="2" t="s">
        <v>19</v>
      </c>
      <c r="C1715" s="2" t="s">
        <v>13</v>
      </c>
      <c r="D1715" s="2">
        <v>52</v>
      </c>
      <c r="E1715" s="2" t="s">
        <v>14</v>
      </c>
      <c r="F1715" s="2" t="s">
        <v>16</v>
      </c>
      <c r="G1715" s="7">
        <v>61.35</v>
      </c>
      <c r="H1715" s="7">
        <v>3169.55</v>
      </c>
      <c r="I1715" s="2" t="s">
        <v>15</v>
      </c>
      <c r="J1715" s="2" t="s">
        <v>15</v>
      </c>
      <c r="K1715" s="2" t="s">
        <v>24</v>
      </c>
      <c r="L1715" s="7">
        <v>3169.55</v>
      </c>
      <c r="M1715" s="2" t="str">
        <f>_xlfn.IFS(TelecomData[[#This Row],[TenureMonths]]&lt;=12, "0-1 Year", TelecomData[[#This Row],[TenureMonths]]&lt;=36, "1-3 Years", TelecomData[[#This Row],[TenureMonths]]&gt;36, "3+ Years")</f>
        <v>3+ Years</v>
      </c>
      <c r="N1715" s="2" t="str">
        <f>IF(TelecomData[[#This Row],[CleanedTotalCharges]]&gt;=2500,"High Spend", "Standard Spend")</f>
        <v>High Spend</v>
      </c>
    </row>
    <row r="1716" spans="1:14" x14ac:dyDescent="0.3">
      <c r="A1716" s="1" t="s">
        <v>1740</v>
      </c>
      <c r="B1716" s="2" t="s">
        <v>19</v>
      </c>
      <c r="C1716" s="2" t="s">
        <v>20</v>
      </c>
      <c r="D1716" s="2">
        <v>68</v>
      </c>
      <c r="E1716" s="2" t="s">
        <v>14</v>
      </c>
      <c r="F1716" s="2" t="s">
        <v>15</v>
      </c>
      <c r="G1716" s="7">
        <v>76.75</v>
      </c>
      <c r="H1716" s="7">
        <v>5233.25</v>
      </c>
      <c r="I1716" s="2" t="s">
        <v>15</v>
      </c>
      <c r="J1716" s="2" t="s">
        <v>15</v>
      </c>
      <c r="K1716" s="2" t="s">
        <v>29</v>
      </c>
      <c r="L1716" s="7">
        <v>5233.25</v>
      </c>
      <c r="M1716" s="2" t="str">
        <f>_xlfn.IFS(TelecomData[[#This Row],[TenureMonths]]&lt;=12, "0-1 Year", TelecomData[[#This Row],[TenureMonths]]&lt;=36, "1-3 Years", TelecomData[[#This Row],[TenureMonths]]&gt;36, "3+ Years")</f>
        <v>3+ Years</v>
      </c>
      <c r="N1716" s="2" t="str">
        <f>IF(TelecomData[[#This Row],[CleanedTotalCharges]]&gt;=2500,"High Spend", "Standard Spend")</f>
        <v>High Spend</v>
      </c>
    </row>
    <row r="1717" spans="1:14" x14ac:dyDescent="0.3">
      <c r="A1717" s="1" t="s">
        <v>1741</v>
      </c>
      <c r="B1717" s="2" t="s">
        <v>12</v>
      </c>
      <c r="C1717" s="2" t="s">
        <v>35</v>
      </c>
      <c r="D1717" s="2">
        <v>46</v>
      </c>
      <c r="E1717" s="2" t="s">
        <v>15</v>
      </c>
      <c r="F1717" s="2" t="s">
        <v>36</v>
      </c>
      <c r="G1717" s="7">
        <v>19.399999999999999</v>
      </c>
      <c r="H1717" s="7">
        <v>967.85</v>
      </c>
      <c r="I1717" s="2" t="s">
        <v>15</v>
      </c>
      <c r="J1717" s="2" t="s">
        <v>15</v>
      </c>
      <c r="K1717" s="2" t="s">
        <v>21</v>
      </c>
      <c r="L1717" s="7">
        <v>967.85</v>
      </c>
      <c r="M1717" s="2" t="str">
        <f>_xlfn.IFS(TelecomData[[#This Row],[TenureMonths]]&lt;=12, "0-1 Year", TelecomData[[#This Row],[TenureMonths]]&lt;=36, "1-3 Years", TelecomData[[#This Row],[TenureMonths]]&gt;36, "3+ Years")</f>
        <v>3+ Years</v>
      </c>
      <c r="N1717" s="2" t="str">
        <f>IF(TelecomData[[#This Row],[CleanedTotalCharges]]&gt;=2500,"High Spend", "Standard Spend")</f>
        <v>Standard Spend</v>
      </c>
    </row>
    <row r="1718" spans="1:14" x14ac:dyDescent="0.3">
      <c r="A1718" s="1" t="s">
        <v>1742</v>
      </c>
      <c r="B1718" s="2" t="s">
        <v>19</v>
      </c>
      <c r="C1718" s="2" t="s">
        <v>13</v>
      </c>
      <c r="D1718" s="2">
        <v>8</v>
      </c>
      <c r="E1718" s="2" t="s">
        <v>14</v>
      </c>
      <c r="F1718" s="2" t="s">
        <v>15</v>
      </c>
      <c r="G1718" s="7">
        <v>54.75</v>
      </c>
      <c r="H1718" s="7">
        <v>438.05</v>
      </c>
      <c r="I1718" s="2" t="s">
        <v>15</v>
      </c>
      <c r="J1718" s="2" t="s">
        <v>16</v>
      </c>
      <c r="K1718" s="2" t="s">
        <v>29</v>
      </c>
      <c r="L1718" s="7">
        <v>438.05</v>
      </c>
      <c r="M1718" s="2" t="str">
        <f>_xlfn.IFS(TelecomData[[#This Row],[TenureMonths]]&lt;=12, "0-1 Year", TelecomData[[#This Row],[TenureMonths]]&lt;=36, "1-3 Years", TelecomData[[#This Row],[TenureMonths]]&gt;36, "3+ Years")</f>
        <v>0-1 Year</v>
      </c>
      <c r="N1718" s="2" t="str">
        <f>IF(TelecomData[[#This Row],[CleanedTotalCharges]]&gt;=2500,"High Spend", "Standard Spend")</f>
        <v>Standard Spend</v>
      </c>
    </row>
    <row r="1719" spans="1:14" x14ac:dyDescent="0.3">
      <c r="A1719" s="1" t="s">
        <v>1743</v>
      </c>
      <c r="B1719" s="2" t="s">
        <v>19</v>
      </c>
      <c r="C1719" s="2" t="s">
        <v>35</v>
      </c>
      <c r="D1719" s="2">
        <v>72</v>
      </c>
      <c r="E1719" s="2" t="s">
        <v>15</v>
      </c>
      <c r="F1719" s="2" t="s">
        <v>36</v>
      </c>
      <c r="G1719" s="7">
        <v>19.7</v>
      </c>
      <c r="H1719" s="7">
        <v>1421.9</v>
      </c>
      <c r="I1719" s="2" t="s">
        <v>15</v>
      </c>
      <c r="J1719" s="2" t="s">
        <v>15</v>
      </c>
      <c r="K1719" s="2" t="s">
        <v>29</v>
      </c>
      <c r="L1719" s="7">
        <v>1421.9</v>
      </c>
      <c r="M1719" s="2" t="str">
        <f>_xlfn.IFS(TelecomData[[#This Row],[TenureMonths]]&lt;=12, "0-1 Year", TelecomData[[#This Row],[TenureMonths]]&lt;=36, "1-3 Years", TelecomData[[#This Row],[TenureMonths]]&gt;36, "3+ Years")</f>
        <v>3+ Years</v>
      </c>
      <c r="N1719" s="2" t="str">
        <f>IF(TelecomData[[#This Row],[CleanedTotalCharges]]&gt;=2500,"High Spend", "Standard Spend")</f>
        <v>Standard Spend</v>
      </c>
    </row>
    <row r="1720" spans="1:14" x14ac:dyDescent="0.3">
      <c r="A1720" s="1" t="s">
        <v>1744</v>
      </c>
      <c r="B1720" s="2" t="s">
        <v>12</v>
      </c>
      <c r="C1720" s="2" t="s">
        <v>20</v>
      </c>
      <c r="D1720" s="2">
        <v>17</v>
      </c>
      <c r="E1720" s="2" t="s">
        <v>15</v>
      </c>
      <c r="F1720" s="2" t="s">
        <v>36</v>
      </c>
      <c r="G1720" s="7">
        <v>19.899999999999999</v>
      </c>
      <c r="H1720" s="7">
        <v>323.14999999999998</v>
      </c>
      <c r="I1720" s="2" t="s">
        <v>15</v>
      </c>
      <c r="J1720" s="2" t="s">
        <v>15</v>
      </c>
      <c r="K1720" s="2" t="s">
        <v>24</v>
      </c>
      <c r="L1720" s="7">
        <v>323.14999999999998</v>
      </c>
      <c r="M1720" s="2" t="str">
        <f>_xlfn.IFS(TelecomData[[#This Row],[TenureMonths]]&lt;=12, "0-1 Year", TelecomData[[#This Row],[TenureMonths]]&lt;=36, "1-3 Years", TelecomData[[#This Row],[TenureMonths]]&gt;36, "3+ Years")</f>
        <v>1-3 Years</v>
      </c>
      <c r="N1720" s="2" t="str">
        <f>IF(TelecomData[[#This Row],[CleanedTotalCharges]]&gt;=2500,"High Spend", "Standard Spend")</f>
        <v>Standard Spend</v>
      </c>
    </row>
    <row r="1721" spans="1:14" x14ac:dyDescent="0.3">
      <c r="A1721" s="1" t="s">
        <v>1745</v>
      </c>
      <c r="B1721" s="2" t="s">
        <v>19</v>
      </c>
      <c r="C1721" s="2" t="s">
        <v>13</v>
      </c>
      <c r="D1721" s="2">
        <v>3</v>
      </c>
      <c r="E1721" s="2" t="s">
        <v>26</v>
      </c>
      <c r="F1721" s="2" t="s">
        <v>16</v>
      </c>
      <c r="G1721" s="7">
        <v>107.95</v>
      </c>
      <c r="H1721" s="7">
        <v>318.60000000000002</v>
      </c>
      <c r="I1721" s="2" t="s">
        <v>15</v>
      </c>
      <c r="J1721" s="2" t="s">
        <v>16</v>
      </c>
      <c r="K1721" s="2" t="s">
        <v>17</v>
      </c>
      <c r="L1721" s="7">
        <v>318.60000000000002</v>
      </c>
      <c r="M1721" s="2" t="str">
        <f>_xlfn.IFS(TelecomData[[#This Row],[TenureMonths]]&lt;=12, "0-1 Year", TelecomData[[#This Row],[TenureMonths]]&lt;=36, "1-3 Years", TelecomData[[#This Row],[TenureMonths]]&gt;36, "3+ Years")</f>
        <v>0-1 Year</v>
      </c>
      <c r="N1721" s="2" t="str">
        <f>IF(TelecomData[[#This Row],[CleanedTotalCharges]]&gt;=2500,"High Spend", "Standard Spend")</f>
        <v>Standard Spend</v>
      </c>
    </row>
    <row r="1722" spans="1:14" x14ac:dyDescent="0.3">
      <c r="A1722" s="1" t="s">
        <v>1746</v>
      </c>
      <c r="B1722" s="2" t="s">
        <v>12</v>
      </c>
      <c r="C1722" s="2" t="s">
        <v>13</v>
      </c>
      <c r="D1722" s="2">
        <v>2</v>
      </c>
      <c r="E1722" s="2" t="s">
        <v>26</v>
      </c>
      <c r="F1722" s="2" t="s">
        <v>15</v>
      </c>
      <c r="G1722" s="7">
        <v>83.8</v>
      </c>
      <c r="H1722" s="7">
        <v>163.69999999999999</v>
      </c>
      <c r="I1722" s="2" t="s">
        <v>15</v>
      </c>
      <c r="J1722" s="2" t="s">
        <v>16</v>
      </c>
      <c r="K1722" s="2" t="s">
        <v>24</v>
      </c>
      <c r="L1722" s="7">
        <v>163.69999999999999</v>
      </c>
      <c r="M1722" s="2" t="str">
        <f>_xlfn.IFS(TelecomData[[#This Row],[TenureMonths]]&lt;=12, "0-1 Year", TelecomData[[#This Row],[TenureMonths]]&lt;=36, "1-3 Years", TelecomData[[#This Row],[TenureMonths]]&gt;36, "3+ Years")</f>
        <v>0-1 Year</v>
      </c>
      <c r="N1722" s="2" t="str">
        <f>IF(TelecomData[[#This Row],[CleanedTotalCharges]]&gt;=2500,"High Spend", "Standard Spend")</f>
        <v>Standard Spend</v>
      </c>
    </row>
    <row r="1723" spans="1:14" x14ac:dyDescent="0.3">
      <c r="A1723" s="1" t="s">
        <v>1747</v>
      </c>
      <c r="B1723" s="2" t="s">
        <v>12</v>
      </c>
      <c r="C1723" s="2" t="s">
        <v>13</v>
      </c>
      <c r="D1723" s="2">
        <v>9</v>
      </c>
      <c r="E1723" s="2" t="s">
        <v>26</v>
      </c>
      <c r="F1723" s="2" t="s">
        <v>15</v>
      </c>
      <c r="G1723" s="7">
        <v>74.25</v>
      </c>
      <c r="H1723" s="7">
        <v>639.65</v>
      </c>
      <c r="I1723" s="2" t="s">
        <v>16</v>
      </c>
      <c r="J1723" s="2" t="s">
        <v>16</v>
      </c>
      <c r="K1723" s="2" t="s">
        <v>29</v>
      </c>
      <c r="L1723" s="7">
        <v>639.65</v>
      </c>
      <c r="M1723" s="2" t="str">
        <f>_xlfn.IFS(TelecomData[[#This Row],[TenureMonths]]&lt;=12, "0-1 Year", TelecomData[[#This Row],[TenureMonths]]&lt;=36, "1-3 Years", TelecomData[[#This Row],[TenureMonths]]&gt;36, "3+ Years")</f>
        <v>0-1 Year</v>
      </c>
      <c r="N1723" s="2" t="str">
        <f>IF(TelecomData[[#This Row],[CleanedTotalCharges]]&gt;=2500,"High Spend", "Standard Spend")</f>
        <v>Standard Spend</v>
      </c>
    </row>
    <row r="1724" spans="1:14" x14ac:dyDescent="0.3">
      <c r="A1724" s="1" t="s">
        <v>1748</v>
      </c>
      <c r="B1724" s="2" t="s">
        <v>12</v>
      </c>
      <c r="C1724" s="2" t="s">
        <v>20</v>
      </c>
      <c r="D1724" s="2">
        <v>51</v>
      </c>
      <c r="E1724" s="2" t="s">
        <v>14</v>
      </c>
      <c r="F1724" s="2" t="s">
        <v>15</v>
      </c>
      <c r="G1724" s="7">
        <v>56.4</v>
      </c>
      <c r="H1724" s="7">
        <v>2928.5</v>
      </c>
      <c r="I1724" s="2" t="s">
        <v>15</v>
      </c>
      <c r="J1724" s="2" t="s">
        <v>16</v>
      </c>
      <c r="K1724" s="2" t="s">
        <v>29</v>
      </c>
      <c r="L1724" s="7">
        <v>2928.5</v>
      </c>
      <c r="M1724" s="2" t="str">
        <f>_xlfn.IFS(TelecomData[[#This Row],[TenureMonths]]&lt;=12, "0-1 Year", TelecomData[[#This Row],[TenureMonths]]&lt;=36, "1-3 Years", TelecomData[[#This Row],[TenureMonths]]&gt;36, "3+ Years")</f>
        <v>3+ Years</v>
      </c>
      <c r="N1724" s="2" t="str">
        <f>IF(TelecomData[[#This Row],[CleanedTotalCharges]]&gt;=2500,"High Spend", "Standard Spend")</f>
        <v>High Spend</v>
      </c>
    </row>
    <row r="1725" spans="1:14" x14ac:dyDescent="0.3">
      <c r="A1725" s="1" t="s">
        <v>1749</v>
      </c>
      <c r="B1725" s="2" t="s">
        <v>12</v>
      </c>
      <c r="C1725" s="2" t="s">
        <v>35</v>
      </c>
      <c r="D1725" s="2">
        <v>6</v>
      </c>
      <c r="E1725" s="2" t="s">
        <v>15</v>
      </c>
      <c r="F1725" s="2" t="s">
        <v>36</v>
      </c>
      <c r="G1725" s="7">
        <v>20.100000000000001</v>
      </c>
      <c r="H1725" s="7">
        <v>100.35</v>
      </c>
      <c r="I1725" s="2" t="s">
        <v>15</v>
      </c>
      <c r="J1725" s="2" t="s">
        <v>15</v>
      </c>
      <c r="K1725" s="2" t="s">
        <v>21</v>
      </c>
      <c r="L1725" s="7">
        <v>100.35</v>
      </c>
      <c r="M1725" s="2" t="str">
        <f>_xlfn.IFS(TelecomData[[#This Row],[TenureMonths]]&lt;=12, "0-1 Year", TelecomData[[#This Row],[TenureMonths]]&lt;=36, "1-3 Years", TelecomData[[#This Row],[TenureMonths]]&gt;36, "3+ Years")</f>
        <v>0-1 Year</v>
      </c>
      <c r="N1725" s="2" t="str">
        <f>IF(TelecomData[[#This Row],[CleanedTotalCharges]]&gt;=2500,"High Spend", "Standard Spend")</f>
        <v>Standard Spend</v>
      </c>
    </row>
    <row r="1726" spans="1:14" x14ac:dyDescent="0.3">
      <c r="A1726" s="1" t="s">
        <v>1750</v>
      </c>
      <c r="B1726" s="2" t="s">
        <v>12</v>
      </c>
      <c r="C1726" s="2" t="s">
        <v>13</v>
      </c>
      <c r="D1726" s="2">
        <v>3</v>
      </c>
      <c r="E1726" s="2" t="s">
        <v>26</v>
      </c>
      <c r="F1726" s="2" t="s">
        <v>15</v>
      </c>
      <c r="G1726" s="7">
        <v>94.9</v>
      </c>
      <c r="H1726" s="7">
        <v>273.2</v>
      </c>
      <c r="I1726" s="2" t="s">
        <v>15</v>
      </c>
      <c r="J1726" s="2" t="s">
        <v>15</v>
      </c>
      <c r="K1726" s="2" t="s">
        <v>17</v>
      </c>
      <c r="L1726" s="7">
        <v>273.2</v>
      </c>
      <c r="M1726" s="2" t="str">
        <f>_xlfn.IFS(TelecomData[[#This Row],[TenureMonths]]&lt;=12, "0-1 Year", TelecomData[[#This Row],[TenureMonths]]&lt;=36, "1-3 Years", TelecomData[[#This Row],[TenureMonths]]&gt;36, "3+ Years")</f>
        <v>0-1 Year</v>
      </c>
      <c r="N1726" s="2" t="str">
        <f>IF(TelecomData[[#This Row],[CleanedTotalCharges]]&gt;=2500,"High Spend", "Standard Spend")</f>
        <v>Standard Spend</v>
      </c>
    </row>
    <row r="1727" spans="1:14" x14ac:dyDescent="0.3">
      <c r="A1727" s="1" t="s">
        <v>1751</v>
      </c>
      <c r="B1727" s="2" t="s">
        <v>12</v>
      </c>
      <c r="C1727" s="2" t="s">
        <v>13</v>
      </c>
      <c r="D1727" s="2">
        <v>17</v>
      </c>
      <c r="E1727" s="2" t="s">
        <v>26</v>
      </c>
      <c r="F1727" s="2" t="s">
        <v>15</v>
      </c>
      <c r="G1727" s="7">
        <v>94.2</v>
      </c>
      <c r="H1727" s="7">
        <v>1608.15</v>
      </c>
      <c r="I1727" s="2" t="s">
        <v>15</v>
      </c>
      <c r="J1727" s="2" t="s">
        <v>16</v>
      </c>
      <c r="K1727" s="2" t="s">
        <v>17</v>
      </c>
      <c r="L1727" s="7">
        <v>1608.15</v>
      </c>
      <c r="M1727" s="2" t="str">
        <f>_xlfn.IFS(TelecomData[[#This Row],[TenureMonths]]&lt;=12, "0-1 Year", TelecomData[[#This Row],[TenureMonths]]&lt;=36, "1-3 Years", TelecomData[[#This Row],[TenureMonths]]&gt;36, "3+ Years")</f>
        <v>1-3 Years</v>
      </c>
      <c r="N1727" s="2" t="str">
        <f>IF(TelecomData[[#This Row],[CleanedTotalCharges]]&gt;=2500,"High Spend", "Standard Spend")</f>
        <v>Standard Spend</v>
      </c>
    </row>
    <row r="1728" spans="1:14" x14ac:dyDescent="0.3">
      <c r="A1728" s="1" t="s">
        <v>1752</v>
      </c>
      <c r="B1728" s="2" t="s">
        <v>19</v>
      </c>
      <c r="C1728" s="2" t="s">
        <v>13</v>
      </c>
      <c r="D1728" s="2">
        <v>30</v>
      </c>
      <c r="E1728" s="2" t="s">
        <v>14</v>
      </c>
      <c r="F1728" s="2" t="s">
        <v>15</v>
      </c>
      <c r="G1728" s="7">
        <v>49.9</v>
      </c>
      <c r="H1728" s="7">
        <v>1441.95</v>
      </c>
      <c r="I1728" s="2" t="s">
        <v>15</v>
      </c>
      <c r="J1728" s="2" t="s">
        <v>15</v>
      </c>
      <c r="K1728" s="2" t="s">
        <v>17</v>
      </c>
      <c r="L1728" s="7">
        <v>1441.95</v>
      </c>
      <c r="M1728" s="2" t="str">
        <f>_xlfn.IFS(TelecomData[[#This Row],[TenureMonths]]&lt;=12, "0-1 Year", TelecomData[[#This Row],[TenureMonths]]&lt;=36, "1-3 Years", TelecomData[[#This Row],[TenureMonths]]&gt;36, "3+ Years")</f>
        <v>1-3 Years</v>
      </c>
      <c r="N1728" s="2" t="str">
        <f>IF(TelecomData[[#This Row],[CleanedTotalCharges]]&gt;=2500,"High Spend", "Standard Spend")</f>
        <v>Standard Spend</v>
      </c>
    </row>
    <row r="1729" spans="1:14" x14ac:dyDescent="0.3">
      <c r="A1729" s="1" t="s">
        <v>1753</v>
      </c>
      <c r="B1729" s="2" t="s">
        <v>19</v>
      </c>
      <c r="C1729" s="2" t="s">
        <v>13</v>
      </c>
      <c r="D1729" s="2">
        <v>31</v>
      </c>
      <c r="E1729" s="2" t="s">
        <v>14</v>
      </c>
      <c r="F1729" s="2" t="s">
        <v>16</v>
      </c>
      <c r="G1729" s="7">
        <v>71.05</v>
      </c>
      <c r="H1729" s="7">
        <v>2168.15</v>
      </c>
      <c r="I1729" s="2" t="s">
        <v>15</v>
      </c>
      <c r="J1729" s="2" t="s">
        <v>16</v>
      </c>
      <c r="K1729" s="2" t="s">
        <v>17</v>
      </c>
      <c r="L1729" s="7">
        <v>2168.15</v>
      </c>
      <c r="M1729" s="2" t="str">
        <f>_xlfn.IFS(TelecomData[[#This Row],[TenureMonths]]&lt;=12, "0-1 Year", TelecomData[[#This Row],[TenureMonths]]&lt;=36, "1-3 Years", TelecomData[[#This Row],[TenureMonths]]&gt;36, "3+ Years")</f>
        <v>1-3 Years</v>
      </c>
      <c r="N1729" s="2" t="str">
        <f>IF(TelecomData[[#This Row],[CleanedTotalCharges]]&gt;=2500,"High Spend", "Standard Spend")</f>
        <v>Standard Spend</v>
      </c>
    </row>
    <row r="1730" spans="1:14" x14ac:dyDescent="0.3">
      <c r="A1730" s="1" t="s">
        <v>1754</v>
      </c>
      <c r="B1730" s="2" t="s">
        <v>12</v>
      </c>
      <c r="C1730" s="2" t="s">
        <v>35</v>
      </c>
      <c r="D1730" s="2">
        <v>45</v>
      </c>
      <c r="E1730" s="2" t="s">
        <v>14</v>
      </c>
      <c r="F1730" s="2" t="s">
        <v>16</v>
      </c>
      <c r="G1730" s="7">
        <v>81.650000000000006</v>
      </c>
      <c r="H1730" s="7">
        <v>3618.7</v>
      </c>
      <c r="I1730" s="2" t="s">
        <v>15</v>
      </c>
      <c r="J1730" s="2" t="s">
        <v>15</v>
      </c>
      <c r="K1730" s="2" t="s">
        <v>24</v>
      </c>
      <c r="L1730" s="7">
        <v>3618.7</v>
      </c>
      <c r="M1730" s="2" t="str">
        <f>_xlfn.IFS(TelecomData[[#This Row],[TenureMonths]]&lt;=12, "0-1 Year", TelecomData[[#This Row],[TenureMonths]]&lt;=36, "1-3 Years", TelecomData[[#This Row],[TenureMonths]]&gt;36, "3+ Years")</f>
        <v>3+ Years</v>
      </c>
      <c r="N1730" s="2" t="str">
        <f>IF(TelecomData[[#This Row],[CleanedTotalCharges]]&gt;=2500,"High Spend", "Standard Spend")</f>
        <v>High Spend</v>
      </c>
    </row>
    <row r="1731" spans="1:14" x14ac:dyDescent="0.3">
      <c r="A1731" s="1" t="s">
        <v>1755</v>
      </c>
      <c r="B1731" s="2" t="s">
        <v>19</v>
      </c>
      <c r="C1731" s="2" t="s">
        <v>20</v>
      </c>
      <c r="D1731" s="2">
        <v>64</v>
      </c>
      <c r="E1731" s="2" t="s">
        <v>26</v>
      </c>
      <c r="F1731" s="2" t="s">
        <v>15</v>
      </c>
      <c r="G1731" s="7">
        <v>89.45</v>
      </c>
      <c r="H1731" s="7">
        <v>5692.65</v>
      </c>
      <c r="I1731" s="2" t="s">
        <v>15</v>
      </c>
      <c r="J1731" s="2" t="s">
        <v>15</v>
      </c>
      <c r="K1731" s="2" t="s">
        <v>24</v>
      </c>
      <c r="L1731" s="7">
        <v>5692.65</v>
      </c>
      <c r="M1731" s="2" t="str">
        <f>_xlfn.IFS(TelecomData[[#This Row],[TenureMonths]]&lt;=12, "0-1 Year", TelecomData[[#This Row],[TenureMonths]]&lt;=36, "1-3 Years", TelecomData[[#This Row],[TenureMonths]]&gt;36, "3+ Years")</f>
        <v>3+ Years</v>
      </c>
      <c r="N1731" s="2" t="str">
        <f>IF(TelecomData[[#This Row],[CleanedTotalCharges]]&gt;=2500,"High Spend", "Standard Spend")</f>
        <v>High Spend</v>
      </c>
    </row>
    <row r="1732" spans="1:14" x14ac:dyDescent="0.3">
      <c r="A1732" s="1" t="s">
        <v>1756</v>
      </c>
      <c r="B1732" s="2" t="s">
        <v>19</v>
      </c>
      <c r="C1732" s="2" t="s">
        <v>13</v>
      </c>
      <c r="D1732" s="2">
        <v>1</v>
      </c>
      <c r="E1732" s="2" t="s">
        <v>14</v>
      </c>
      <c r="F1732" s="2" t="s">
        <v>15</v>
      </c>
      <c r="G1732" s="7">
        <v>59.85</v>
      </c>
      <c r="H1732" s="7">
        <v>59.85</v>
      </c>
      <c r="I1732" s="2" t="s">
        <v>16</v>
      </c>
      <c r="J1732" s="2" t="s">
        <v>16</v>
      </c>
      <c r="K1732" s="2" t="s">
        <v>17</v>
      </c>
      <c r="L1732" s="7">
        <v>59.85</v>
      </c>
      <c r="M1732" s="2" t="str">
        <f>_xlfn.IFS(TelecomData[[#This Row],[TenureMonths]]&lt;=12, "0-1 Year", TelecomData[[#This Row],[TenureMonths]]&lt;=36, "1-3 Years", TelecomData[[#This Row],[TenureMonths]]&gt;36, "3+ Years")</f>
        <v>0-1 Year</v>
      </c>
      <c r="N1732" s="2" t="str">
        <f>IF(TelecomData[[#This Row],[CleanedTotalCharges]]&gt;=2500,"High Spend", "Standard Spend")</f>
        <v>Standard Spend</v>
      </c>
    </row>
    <row r="1733" spans="1:14" x14ac:dyDescent="0.3">
      <c r="A1733" s="1" t="s">
        <v>1757</v>
      </c>
      <c r="B1733" s="2" t="s">
        <v>12</v>
      </c>
      <c r="C1733" s="2" t="s">
        <v>13</v>
      </c>
      <c r="D1733" s="2">
        <v>1</v>
      </c>
      <c r="E1733" s="2" t="s">
        <v>26</v>
      </c>
      <c r="F1733" s="2" t="s">
        <v>15</v>
      </c>
      <c r="G1733" s="7">
        <v>69.599999999999994</v>
      </c>
      <c r="H1733" s="7">
        <v>69.599999999999994</v>
      </c>
      <c r="I1733" s="2" t="s">
        <v>16</v>
      </c>
      <c r="J1733" s="2" t="s">
        <v>16</v>
      </c>
      <c r="K1733" s="2" t="s">
        <v>17</v>
      </c>
      <c r="L1733" s="7">
        <v>69.599999999999994</v>
      </c>
      <c r="M1733" s="2" t="str">
        <f>_xlfn.IFS(TelecomData[[#This Row],[TenureMonths]]&lt;=12, "0-1 Year", TelecomData[[#This Row],[TenureMonths]]&lt;=36, "1-3 Years", TelecomData[[#This Row],[TenureMonths]]&gt;36, "3+ Years")</f>
        <v>0-1 Year</v>
      </c>
      <c r="N1733" s="2" t="str">
        <f>IF(TelecomData[[#This Row],[CleanedTotalCharges]]&gt;=2500,"High Spend", "Standard Spend")</f>
        <v>Standard Spend</v>
      </c>
    </row>
    <row r="1734" spans="1:14" x14ac:dyDescent="0.3">
      <c r="A1734" s="1" t="s">
        <v>1758</v>
      </c>
      <c r="B1734" s="2" t="s">
        <v>19</v>
      </c>
      <c r="C1734" s="2" t="s">
        <v>20</v>
      </c>
      <c r="D1734" s="2">
        <v>61</v>
      </c>
      <c r="E1734" s="2" t="s">
        <v>26</v>
      </c>
      <c r="F1734" s="2" t="s">
        <v>15</v>
      </c>
      <c r="G1734" s="7">
        <v>99</v>
      </c>
      <c r="H1734" s="7">
        <v>5969.3</v>
      </c>
      <c r="I1734" s="2" t="s">
        <v>15</v>
      </c>
      <c r="J1734" s="2" t="s">
        <v>15</v>
      </c>
      <c r="K1734" s="2" t="s">
        <v>17</v>
      </c>
      <c r="L1734" s="7">
        <v>5969.3</v>
      </c>
      <c r="M1734" s="2" t="str">
        <f>_xlfn.IFS(TelecomData[[#This Row],[TenureMonths]]&lt;=12, "0-1 Year", TelecomData[[#This Row],[TenureMonths]]&lt;=36, "1-3 Years", TelecomData[[#This Row],[TenureMonths]]&gt;36, "3+ Years")</f>
        <v>3+ Years</v>
      </c>
      <c r="N1734" s="2" t="str">
        <f>IF(TelecomData[[#This Row],[CleanedTotalCharges]]&gt;=2500,"High Spend", "Standard Spend")</f>
        <v>High Spend</v>
      </c>
    </row>
    <row r="1735" spans="1:14" x14ac:dyDescent="0.3">
      <c r="A1735" s="1" t="s">
        <v>1759</v>
      </c>
      <c r="B1735" s="2" t="s">
        <v>19</v>
      </c>
      <c r="C1735" s="2" t="s">
        <v>13</v>
      </c>
      <c r="D1735" s="2">
        <v>1</v>
      </c>
      <c r="E1735" s="2" t="s">
        <v>15</v>
      </c>
      <c r="F1735" s="2" t="s">
        <v>36</v>
      </c>
      <c r="G1735" s="7">
        <v>19.05</v>
      </c>
      <c r="H1735" s="7">
        <v>19.05</v>
      </c>
      <c r="I1735" s="2" t="s">
        <v>15</v>
      </c>
      <c r="J1735" s="2" t="s">
        <v>15</v>
      </c>
      <c r="K1735" s="2" t="s">
        <v>21</v>
      </c>
      <c r="L1735" s="7">
        <v>19.05</v>
      </c>
      <c r="M1735" s="2" t="str">
        <f>_xlfn.IFS(TelecomData[[#This Row],[TenureMonths]]&lt;=12, "0-1 Year", TelecomData[[#This Row],[TenureMonths]]&lt;=36, "1-3 Years", TelecomData[[#This Row],[TenureMonths]]&gt;36, "3+ Years")</f>
        <v>0-1 Year</v>
      </c>
      <c r="N1735" s="2" t="str">
        <f>IF(TelecomData[[#This Row],[CleanedTotalCharges]]&gt;=2500,"High Spend", "Standard Spend")</f>
        <v>Standard Spend</v>
      </c>
    </row>
    <row r="1736" spans="1:14" x14ac:dyDescent="0.3">
      <c r="A1736" s="1" t="s">
        <v>1760</v>
      </c>
      <c r="B1736" s="2" t="s">
        <v>19</v>
      </c>
      <c r="C1736" s="2" t="s">
        <v>13</v>
      </c>
      <c r="D1736" s="2">
        <v>9</v>
      </c>
      <c r="E1736" s="2" t="s">
        <v>14</v>
      </c>
      <c r="F1736" s="2" t="s">
        <v>15</v>
      </c>
      <c r="G1736" s="7">
        <v>45.4</v>
      </c>
      <c r="H1736" s="7">
        <v>418.8</v>
      </c>
      <c r="I1736" s="2" t="s">
        <v>16</v>
      </c>
      <c r="J1736" s="2" t="s">
        <v>16</v>
      </c>
      <c r="K1736" s="2" t="s">
        <v>17</v>
      </c>
      <c r="L1736" s="7">
        <v>418.8</v>
      </c>
      <c r="M1736" s="2" t="str">
        <f>_xlfn.IFS(TelecomData[[#This Row],[TenureMonths]]&lt;=12, "0-1 Year", TelecomData[[#This Row],[TenureMonths]]&lt;=36, "1-3 Years", TelecomData[[#This Row],[TenureMonths]]&gt;36, "3+ Years")</f>
        <v>0-1 Year</v>
      </c>
      <c r="N1736" s="2" t="str">
        <f>IF(TelecomData[[#This Row],[CleanedTotalCharges]]&gt;=2500,"High Spend", "Standard Spend")</f>
        <v>Standard Spend</v>
      </c>
    </row>
    <row r="1737" spans="1:14" x14ac:dyDescent="0.3">
      <c r="A1737" s="1" t="s">
        <v>1761</v>
      </c>
      <c r="B1737" s="2" t="s">
        <v>19</v>
      </c>
      <c r="C1737" s="2" t="s">
        <v>35</v>
      </c>
      <c r="D1737" s="2">
        <v>72</v>
      </c>
      <c r="E1737" s="2" t="s">
        <v>26</v>
      </c>
      <c r="F1737" s="2" t="s">
        <v>16</v>
      </c>
      <c r="G1737" s="7">
        <v>114.45</v>
      </c>
      <c r="H1737" s="7">
        <v>8100.55</v>
      </c>
      <c r="I1737" s="2" t="s">
        <v>15</v>
      </c>
      <c r="J1737" s="2" t="s">
        <v>15</v>
      </c>
      <c r="K1737" s="2" t="s">
        <v>24</v>
      </c>
      <c r="L1737" s="7">
        <v>8100.55</v>
      </c>
      <c r="M1737" s="2" t="str">
        <f>_xlfn.IFS(TelecomData[[#This Row],[TenureMonths]]&lt;=12, "0-1 Year", TelecomData[[#This Row],[TenureMonths]]&lt;=36, "1-3 Years", TelecomData[[#This Row],[TenureMonths]]&gt;36, "3+ Years")</f>
        <v>3+ Years</v>
      </c>
      <c r="N1737" s="2" t="str">
        <f>IF(TelecomData[[#This Row],[CleanedTotalCharges]]&gt;=2500,"High Spend", "Standard Spend")</f>
        <v>High Spend</v>
      </c>
    </row>
    <row r="1738" spans="1:14" x14ac:dyDescent="0.3">
      <c r="A1738" s="1" t="s">
        <v>1762</v>
      </c>
      <c r="B1738" s="2" t="s">
        <v>12</v>
      </c>
      <c r="C1738" s="2" t="s">
        <v>13</v>
      </c>
      <c r="D1738" s="2">
        <v>1</v>
      </c>
      <c r="E1738" s="2" t="s">
        <v>15</v>
      </c>
      <c r="F1738" s="2" t="s">
        <v>36</v>
      </c>
      <c r="G1738" s="7">
        <v>19.5</v>
      </c>
      <c r="H1738" s="7">
        <v>19.5</v>
      </c>
      <c r="I1738" s="2" t="s">
        <v>16</v>
      </c>
      <c r="J1738" s="2" t="s">
        <v>15</v>
      </c>
      <c r="K1738" s="2" t="s">
        <v>21</v>
      </c>
      <c r="L1738" s="7">
        <v>19.5</v>
      </c>
      <c r="M1738" s="2" t="str">
        <f>_xlfn.IFS(TelecomData[[#This Row],[TenureMonths]]&lt;=12, "0-1 Year", TelecomData[[#This Row],[TenureMonths]]&lt;=36, "1-3 Years", TelecomData[[#This Row],[TenureMonths]]&gt;36, "3+ Years")</f>
        <v>0-1 Year</v>
      </c>
      <c r="N1738" s="2" t="str">
        <f>IF(TelecomData[[#This Row],[CleanedTotalCharges]]&gt;=2500,"High Spend", "Standard Spend")</f>
        <v>Standard Spend</v>
      </c>
    </row>
    <row r="1739" spans="1:14" x14ac:dyDescent="0.3">
      <c r="A1739" s="1" t="s">
        <v>1763</v>
      </c>
      <c r="B1739" s="2" t="s">
        <v>12</v>
      </c>
      <c r="C1739" s="2" t="s">
        <v>13</v>
      </c>
      <c r="D1739" s="2">
        <v>7</v>
      </c>
      <c r="E1739" s="2" t="s">
        <v>14</v>
      </c>
      <c r="F1739" s="2" t="s">
        <v>15</v>
      </c>
      <c r="G1739" s="7">
        <v>44.25</v>
      </c>
      <c r="H1739" s="7">
        <v>313.45</v>
      </c>
      <c r="I1739" s="2" t="s">
        <v>15</v>
      </c>
      <c r="J1739" s="2" t="s">
        <v>16</v>
      </c>
      <c r="K1739" s="2" t="s">
        <v>21</v>
      </c>
      <c r="L1739" s="7">
        <v>313.45</v>
      </c>
      <c r="M1739" s="2" t="str">
        <f>_xlfn.IFS(TelecomData[[#This Row],[TenureMonths]]&lt;=12, "0-1 Year", TelecomData[[#This Row],[TenureMonths]]&lt;=36, "1-3 Years", TelecomData[[#This Row],[TenureMonths]]&gt;36, "3+ Years")</f>
        <v>0-1 Year</v>
      </c>
      <c r="N1739" s="2" t="str">
        <f>IF(TelecomData[[#This Row],[CleanedTotalCharges]]&gt;=2500,"High Spend", "Standard Spend")</f>
        <v>Standard Spend</v>
      </c>
    </row>
    <row r="1740" spans="1:14" x14ac:dyDescent="0.3">
      <c r="A1740" s="1" t="s">
        <v>1764</v>
      </c>
      <c r="B1740" s="2" t="s">
        <v>12</v>
      </c>
      <c r="C1740" s="2" t="s">
        <v>20</v>
      </c>
      <c r="D1740" s="2">
        <v>66</v>
      </c>
      <c r="E1740" s="2" t="s">
        <v>26</v>
      </c>
      <c r="F1740" s="2" t="s">
        <v>16</v>
      </c>
      <c r="G1740" s="7">
        <v>90.55</v>
      </c>
      <c r="H1740" s="7">
        <v>6130.95</v>
      </c>
      <c r="I1740" s="2" t="s">
        <v>15</v>
      </c>
      <c r="J1740" s="2" t="s">
        <v>16</v>
      </c>
      <c r="K1740" s="2" t="s">
        <v>24</v>
      </c>
      <c r="L1740" s="7">
        <v>6130.95</v>
      </c>
      <c r="M1740" s="2" t="str">
        <f>_xlfn.IFS(TelecomData[[#This Row],[TenureMonths]]&lt;=12, "0-1 Year", TelecomData[[#This Row],[TenureMonths]]&lt;=36, "1-3 Years", TelecomData[[#This Row],[TenureMonths]]&gt;36, "3+ Years")</f>
        <v>3+ Years</v>
      </c>
      <c r="N1740" s="2" t="str">
        <f>IF(TelecomData[[#This Row],[CleanedTotalCharges]]&gt;=2500,"High Spend", "Standard Spend")</f>
        <v>High Spend</v>
      </c>
    </row>
    <row r="1741" spans="1:14" x14ac:dyDescent="0.3">
      <c r="A1741" s="1" t="s">
        <v>1765</v>
      </c>
      <c r="B1741" s="2" t="s">
        <v>19</v>
      </c>
      <c r="C1741" s="2" t="s">
        <v>13</v>
      </c>
      <c r="D1741" s="2">
        <v>1</v>
      </c>
      <c r="E1741" s="2" t="s">
        <v>26</v>
      </c>
      <c r="F1741" s="2" t="s">
        <v>15</v>
      </c>
      <c r="G1741" s="7">
        <v>69.900000000000006</v>
      </c>
      <c r="H1741" s="7">
        <v>69.900000000000006</v>
      </c>
      <c r="I1741" s="2" t="s">
        <v>16</v>
      </c>
      <c r="J1741" s="2" t="s">
        <v>16</v>
      </c>
      <c r="K1741" s="2" t="s">
        <v>17</v>
      </c>
      <c r="L1741" s="7">
        <v>69.900000000000006</v>
      </c>
      <c r="M1741" s="2" t="str">
        <f>_xlfn.IFS(TelecomData[[#This Row],[TenureMonths]]&lt;=12, "0-1 Year", TelecomData[[#This Row],[TenureMonths]]&lt;=36, "1-3 Years", TelecomData[[#This Row],[TenureMonths]]&gt;36, "3+ Years")</f>
        <v>0-1 Year</v>
      </c>
      <c r="N1741" s="2" t="str">
        <f>IF(TelecomData[[#This Row],[CleanedTotalCharges]]&gt;=2500,"High Spend", "Standard Spend")</f>
        <v>Standard Spend</v>
      </c>
    </row>
    <row r="1742" spans="1:14" x14ac:dyDescent="0.3">
      <c r="A1742" s="1" t="s">
        <v>1766</v>
      </c>
      <c r="B1742" s="2" t="s">
        <v>19</v>
      </c>
      <c r="C1742" s="2" t="s">
        <v>13</v>
      </c>
      <c r="D1742" s="2">
        <v>40</v>
      </c>
      <c r="E1742" s="2" t="s">
        <v>15</v>
      </c>
      <c r="F1742" s="2" t="s">
        <v>36</v>
      </c>
      <c r="G1742" s="7">
        <v>20.399999999999999</v>
      </c>
      <c r="H1742" s="7">
        <v>745.3</v>
      </c>
      <c r="I1742" s="2" t="s">
        <v>15</v>
      </c>
      <c r="J1742" s="2" t="s">
        <v>16</v>
      </c>
      <c r="K1742" s="2" t="s">
        <v>24</v>
      </c>
      <c r="L1742" s="7">
        <v>745.3</v>
      </c>
      <c r="M1742" s="2" t="str">
        <f>_xlfn.IFS(TelecomData[[#This Row],[TenureMonths]]&lt;=12, "0-1 Year", TelecomData[[#This Row],[TenureMonths]]&lt;=36, "1-3 Years", TelecomData[[#This Row],[TenureMonths]]&gt;36, "3+ Years")</f>
        <v>3+ Years</v>
      </c>
      <c r="N1742" s="2" t="str">
        <f>IF(TelecomData[[#This Row],[CleanedTotalCharges]]&gt;=2500,"High Spend", "Standard Spend")</f>
        <v>Standard Spend</v>
      </c>
    </row>
    <row r="1743" spans="1:14" x14ac:dyDescent="0.3">
      <c r="A1743" s="1" t="s">
        <v>1767</v>
      </c>
      <c r="B1743" s="2" t="s">
        <v>19</v>
      </c>
      <c r="C1743" s="2" t="s">
        <v>13</v>
      </c>
      <c r="D1743" s="2">
        <v>16</v>
      </c>
      <c r="E1743" s="2" t="s">
        <v>14</v>
      </c>
      <c r="F1743" s="2" t="s">
        <v>15</v>
      </c>
      <c r="G1743" s="7">
        <v>71.400000000000006</v>
      </c>
      <c r="H1743" s="7">
        <v>1212.0999999999999</v>
      </c>
      <c r="I1743" s="2" t="s">
        <v>15</v>
      </c>
      <c r="J1743" s="2" t="s">
        <v>16</v>
      </c>
      <c r="K1743" s="2" t="s">
        <v>24</v>
      </c>
      <c r="L1743" s="7">
        <v>1212.0999999999999</v>
      </c>
      <c r="M1743" s="2" t="str">
        <f>_xlfn.IFS(TelecomData[[#This Row],[TenureMonths]]&lt;=12, "0-1 Year", TelecomData[[#This Row],[TenureMonths]]&lt;=36, "1-3 Years", TelecomData[[#This Row],[TenureMonths]]&gt;36, "3+ Years")</f>
        <v>1-3 Years</v>
      </c>
      <c r="N1743" s="2" t="str">
        <f>IF(TelecomData[[#This Row],[CleanedTotalCharges]]&gt;=2500,"High Spend", "Standard Spend")</f>
        <v>Standard Spend</v>
      </c>
    </row>
    <row r="1744" spans="1:14" x14ac:dyDescent="0.3">
      <c r="A1744" s="1" t="s">
        <v>1768</v>
      </c>
      <c r="B1744" s="2" t="s">
        <v>12</v>
      </c>
      <c r="C1744" s="2" t="s">
        <v>13</v>
      </c>
      <c r="D1744" s="2">
        <v>2</v>
      </c>
      <c r="E1744" s="2" t="s">
        <v>26</v>
      </c>
      <c r="F1744" s="2" t="s">
        <v>15</v>
      </c>
      <c r="G1744" s="7">
        <v>87.15</v>
      </c>
      <c r="H1744" s="7">
        <v>183.75</v>
      </c>
      <c r="I1744" s="2" t="s">
        <v>16</v>
      </c>
      <c r="J1744" s="2" t="s">
        <v>16</v>
      </c>
      <c r="K1744" s="2" t="s">
        <v>24</v>
      </c>
      <c r="L1744" s="7">
        <v>183.75</v>
      </c>
      <c r="M1744" s="2" t="str">
        <f>_xlfn.IFS(TelecomData[[#This Row],[TenureMonths]]&lt;=12, "0-1 Year", TelecomData[[#This Row],[TenureMonths]]&lt;=36, "1-3 Years", TelecomData[[#This Row],[TenureMonths]]&gt;36, "3+ Years")</f>
        <v>0-1 Year</v>
      </c>
      <c r="N1744" s="2" t="str">
        <f>IF(TelecomData[[#This Row],[CleanedTotalCharges]]&gt;=2500,"High Spend", "Standard Spend")</f>
        <v>Standard Spend</v>
      </c>
    </row>
    <row r="1745" spans="1:14" x14ac:dyDescent="0.3">
      <c r="A1745" s="1" t="s">
        <v>1769</v>
      </c>
      <c r="B1745" s="2" t="s">
        <v>19</v>
      </c>
      <c r="C1745" s="2" t="s">
        <v>35</v>
      </c>
      <c r="D1745" s="2">
        <v>67</v>
      </c>
      <c r="E1745" s="2" t="s">
        <v>15</v>
      </c>
      <c r="F1745" s="2" t="s">
        <v>36</v>
      </c>
      <c r="G1745" s="7">
        <v>24.85</v>
      </c>
      <c r="H1745" s="7">
        <v>1583.5</v>
      </c>
      <c r="I1745" s="2" t="s">
        <v>15</v>
      </c>
      <c r="J1745" s="2" t="s">
        <v>15</v>
      </c>
      <c r="K1745" s="2" t="s">
        <v>29</v>
      </c>
      <c r="L1745" s="7">
        <v>1583.5</v>
      </c>
      <c r="M1745" s="2" t="str">
        <f>_xlfn.IFS(TelecomData[[#This Row],[TenureMonths]]&lt;=12, "0-1 Year", TelecomData[[#This Row],[TenureMonths]]&lt;=36, "1-3 Years", TelecomData[[#This Row],[TenureMonths]]&gt;36, "3+ Years")</f>
        <v>3+ Years</v>
      </c>
      <c r="N1745" s="2" t="str">
        <f>IF(TelecomData[[#This Row],[CleanedTotalCharges]]&gt;=2500,"High Spend", "Standard Spend")</f>
        <v>Standard Spend</v>
      </c>
    </row>
    <row r="1746" spans="1:14" x14ac:dyDescent="0.3">
      <c r="A1746" s="1" t="s">
        <v>1770</v>
      </c>
      <c r="B1746" s="2" t="s">
        <v>12</v>
      </c>
      <c r="C1746" s="2" t="s">
        <v>20</v>
      </c>
      <c r="D1746" s="2">
        <v>41</v>
      </c>
      <c r="E1746" s="2" t="s">
        <v>26</v>
      </c>
      <c r="F1746" s="2" t="s">
        <v>15</v>
      </c>
      <c r="G1746" s="7">
        <v>104.45</v>
      </c>
      <c r="H1746" s="7">
        <v>4162.05</v>
      </c>
      <c r="I1746" s="2" t="s">
        <v>15</v>
      </c>
      <c r="J1746" s="2" t="s">
        <v>16</v>
      </c>
      <c r="K1746" s="2" t="s">
        <v>24</v>
      </c>
      <c r="L1746" s="7">
        <v>4162.05</v>
      </c>
      <c r="M1746" s="2" t="str">
        <f>_xlfn.IFS(TelecomData[[#This Row],[TenureMonths]]&lt;=12, "0-1 Year", TelecomData[[#This Row],[TenureMonths]]&lt;=36, "1-3 Years", TelecomData[[#This Row],[TenureMonths]]&gt;36, "3+ Years")</f>
        <v>3+ Years</v>
      </c>
      <c r="N1746" s="2" t="str">
        <f>IF(TelecomData[[#This Row],[CleanedTotalCharges]]&gt;=2500,"High Spend", "Standard Spend")</f>
        <v>High Spend</v>
      </c>
    </row>
    <row r="1747" spans="1:14" x14ac:dyDescent="0.3">
      <c r="A1747" s="1" t="s">
        <v>1771</v>
      </c>
      <c r="B1747" s="2" t="s">
        <v>12</v>
      </c>
      <c r="C1747" s="2" t="s">
        <v>35</v>
      </c>
      <c r="D1747" s="2">
        <v>56</v>
      </c>
      <c r="E1747" s="2" t="s">
        <v>15</v>
      </c>
      <c r="F1747" s="2" t="s">
        <v>36</v>
      </c>
      <c r="G1747" s="7">
        <v>19.8</v>
      </c>
      <c r="H1747" s="7">
        <v>1119.9000000000001</v>
      </c>
      <c r="I1747" s="2" t="s">
        <v>15</v>
      </c>
      <c r="J1747" s="2" t="s">
        <v>16</v>
      </c>
      <c r="K1747" s="2" t="s">
        <v>29</v>
      </c>
      <c r="L1747" s="7">
        <v>1119.9000000000001</v>
      </c>
      <c r="M1747" s="2" t="str">
        <f>_xlfn.IFS(TelecomData[[#This Row],[TenureMonths]]&lt;=12, "0-1 Year", TelecomData[[#This Row],[TenureMonths]]&lt;=36, "1-3 Years", TelecomData[[#This Row],[TenureMonths]]&gt;36, "3+ Years")</f>
        <v>3+ Years</v>
      </c>
      <c r="N1747" s="2" t="str">
        <f>IF(TelecomData[[#This Row],[CleanedTotalCharges]]&gt;=2500,"High Spend", "Standard Spend")</f>
        <v>Standard Spend</v>
      </c>
    </row>
    <row r="1748" spans="1:14" x14ac:dyDescent="0.3">
      <c r="A1748" s="1" t="s">
        <v>1772</v>
      </c>
      <c r="B1748" s="2" t="s">
        <v>12</v>
      </c>
      <c r="C1748" s="2" t="s">
        <v>35</v>
      </c>
      <c r="D1748" s="2">
        <v>72</v>
      </c>
      <c r="E1748" s="2" t="s">
        <v>26</v>
      </c>
      <c r="F1748" s="2" t="s">
        <v>16</v>
      </c>
      <c r="G1748" s="7">
        <v>116.45</v>
      </c>
      <c r="H1748" s="7">
        <v>8013.55</v>
      </c>
      <c r="I1748" s="2" t="s">
        <v>15</v>
      </c>
      <c r="J1748" s="2" t="s">
        <v>16</v>
      </c>
      <c r="K1748" s="2" t="s">
        <v>24</v>
      </c>
      <c r="L1748" s="7">
        <v>8013.55</v>
      </c>
      <c r="M1748" s="2" t="str">
        <f>_xlfn.IFS(TelecomData[[#This Row],[TenureMonths]]&lt;=12, "0-1 Year", TelecomData[[#This Row],[TenureMonths]]&lt;=36, "1-3 Years", TelecomData[[#This Row],[TenureMonths]]&gt;36, "3+ Years")</f>
        <v>3+ Years</v>
      </c>
      <c r="N1748" s="2" t="str">
        <f>IF(TelecomData[[#This Row],[CleanedTotalCharges]]&gt;=2500,"High Spend", "Standard Spend")</f>
        <v>High Spend</v>
      </c>
    </row>
    <row r="1749" spans="1:14" x14ac:dyDescent="0.3">
      <c r="A1749" s="1" t="s">
        <v>1773</v>
      </c>
      <c r="B1749" s="2" t="s">
        <v>12</v>
      </c>
      <c r="C1749" s="2" t="s">
        <v>13</v>
      </c>
      <c r="D1749" s="2">
        <v>3</v>
      </c>
      <c r="E1749" s="2" t="s">
        <v>26</v>
      </c>
      <c r="F1749" s="2" t="s">
        <v>15</v>
      </c>
      <c r="G1749" s="7">
        <v>84.75</v>
      </c>
      <c r="H1749" s="7">
        <v>264.85000000000002</v>
      </c>
      <c r="I1749" s="2" t="s">
        <v>16</v>
      </c>
      <c r="J1749" s="2" t="s">
        <v>16</v>
      </c>
      <c r="K1749" s="2" t="s">
        <v>24</v>
      </c>
      <c r="L1749" s="7">
        <v>264.85000000000002</v>
      </c>
      <c r="M1749" s="2" t="str">
        <f>_xlfn.IFS(TelecomData[[#This Row],[TenureMonths]]&lt;=12, "0-1 Year", TelecomData[[#This Row],[TenureMonths]]&lt;=36, "1-3 Years", TelecomData[[#This Row],[TenureMonths]]&gt;36, "3+ Years")</f>
        <v>0-1 Year</v>
      </c>
      <c r="N1749" s="2" t="str">
        <f>IF(TelecomData[[#This Row],[CleanedTotalCharges]]&gt;=2500,"High Spend", "Standard Spend")</f>
        <v>Standard Spend</v>
      </c>
    </row>
    <row r="1750" spans="1:14" x14ac:dyDescent="0.3">
      <c r="A1750" s="1" t="s">
        <v>1774</v>
      </c>
      <c r="B1750" s="2" t="s">
        <v>12</v>
      </c>
      <c r="C1750" s="2" t="s">
        <v>35</v>
      </c>
      <c r="D1750" s="2">
        <v>54</v>
      </c>
      <c r="E1750" s="2" t="s">
        <v>15</v>
      </c>
      <c r="F1750" s="2" t="s">
        <v>36</v>
      </c>
      <c r="G1750" s="7">
        <v>20.05</v>
      </c>
      <c r="H1750" s="7">
        <v>1102.4000000000001</v>
      </c>
      <c r="I1750" s="2" t="s">
        <v>15</v>
      </c>
      <c r="J1750" s="2" t="s">
        <v>15</v>
      </c>
      <c r="K1750" s="2" t="s">
        <v>29</v>
      </c>
      <c r="L1750" s="7">
        <v>1102.4000000000001</v>
      </c>
      <c r="M1750" s="2" t="str">
        <f>_xlfn.IFS(TelecomData[[#This Row],[TenureMonths]]&lt;=12, "0-1 Year", TelecomData[[#This Row],[TenureMonths]]&lt;=36, "1-3 Years", TelecomData[[#This Row],[TenureMonths]]&gt;36, "3+ Years")</f>
        <v>3+ Years</v>
      </c>
      <c r="N1750" s="2" t="str">
        <f>IF(TelecomData[[#This Row],[CleanedTotalCharges]]&gt;=2500,"High Spend", "Standard Spend")</f>
        <v>Standard Spend</v>
      </c>
    </row>
    <row r="1751" spans="1:14" x14ac:dyDescent="0.3">
      <c r="A1751" s="1" t="s">
        <v>1775</v>
      </c>
      <c r="B1751" s="2" t="s">
        <v>19</v>
      </c>
      <c r="C1751" s="2" t="s">
        <v>13</v>
      </c>
      <c r="D1751" s="2">
        <v>52</v>
      </c>
      <c r="E1751" s="2" t="s">
        <v>26</v>
      </c>
      <c r="F1751" s="2" t="s">
        <v>16</v>
      </c>
      <c r="G1751" s="7">
        <v>110.75</v>
      </c>
      <c r="H1751" s="7">
        <v>5832</v>
      </c>
      <c r="I1751" s="2" t="s">
        <v>15</v>
      </c>
      <c r="J1751" s="2" t="s">
        <v>16</v>
      </c>
      <c r="K1751" s="2" t="s">
        <v>17</v>
      </c>
      <c r="L1751" s="7">
        <v>5832</v>
      </c>
      <c r="M1751" s="2" t="str">
        <f>_xlfn.IFS(TelecomData[[#This Row],[TenureMonths]]&lt;=12, "0-1 Year", TelecomData[[#This Row],[TenureMonths]]&lt;=36, "1-3 Years", TelecomData[[#This Row],[TenureMonths]]&gt;36, "3+ Years")</f>
        <v>3+ Years</v>
      </c>
      <c r="N1751" s="2" t="str">
        <f>IF(TelecomData[[#This Row],[CleanedTotalCharges]]&gt;=2500,"High Spend", "Standard Spend")</f>
        <v>High Spend</v>
      </c>
    </row>
    <row r="1752" spans="1:14" x14ac:dyDescent="0.3">
      <c r="A1752" s="1" t="s">
        <v>1776</v>
      </c>
      <c r="B1752" s="2" t="s">
        <v>12</v>
      </c>
      <c r="C1752" s="2" t="s">
        <v>35</v>
      </c>
      <c r="D1752" s="2">
        <v>50</v>
      </c>
      <c r="E1752" s="2" t="s">
        <v>26</v>
      </c>
      <c r="F1752" s="2" t="s">
        <v>16</v>
      </c>
      <c r="G1752" s="7">
        <v>89.7</v>
      </c>
      <c r="H1752" s="7">
        <v>4304.5</v>
      </c>
      <c r="I1752" s="2" t="s">
        <v>15</v>
      </c>
      <c r="J1752" s="2" t="s">
        <v>16</v>
      </c>
      <c r="K1752" s="2" t="s">
        <v>24</v>
      </c>
      <c r="L1752" s="7">
        <v>4304.5</v>
      </c>
      <c r="M1752" s="2" t="str">
        <f>_xlfn.IFS(TelecomData[[#This Row],[TenureMonths]]&lt;=12, "0-1 Year", TelecomData[[#This Row],[TenureMonths]]&lt;=36, "1-3 Years", TelecomData[[#This Row],[TenureMonths]]&gt;36, "3+ Years")</f>
        <v>3+ Years</v>
      </c>
      <c r="N1752" s="2" t="str">
        <f>IF(TelecomData[[#This Row],[CleanedTotalCharges]]&gt;=2500,"High Spend", "Standard Spend")</f>
        <v>High Spend</v>
      </c>
    </row>
    <row r="1753" spans="1:14" x14ac:dyDescent="0.3">
      <c r="A1753" s="1" t="s">
        <v>1777</v>
      </c>
      <c r="B1753" s="2" t="s">
        <v>19</v>
      </c>
      <c r="C1753" s="2" t="s">
        <v>13</v>
      </c>
      <c r="D1753" s="2">
        <v>14</v>
      </c>
      <c r="E1753" s="2" t="s">
        <v>26</v>
      </c>
      <c r="F1753" s="2" t="s">
        <v>16</v>
      </c>
      <c r="G1753" s="7">
        <v>89.95</v>
      </c>
      <c r="H1753" s="7">
        <v>1178.4000000000001</v>
      </c>
      <c r="I1753" s="2" t="s">
        <v>16</v>
      </c>
      <c r="J1753" s="2" t="s">
        <v>16</v>
      </c>
      <c r="K1753" s="2" t="s">
        <v>17</v>
      </c>
      <c r="L1753" s="7">
        <v>1178.4000000000001</v>
      </c>
      <c r="M1753" s="2" t="str">
        <f>_xlfn.IFS(TelecomData[[#This Row],[TenureMonths]]&lt;=12, "0-1 Year", TelecomData[[#This Row],[TenureMonths]]&lt;=36, "1-3 Years", TelecomData[[#This Row],[TenureMonths]]&gt;36, "3+ Years")</f>
        <v>1-3 Years</v>
      </c>
      <c r="N1753" s="2" t="str">
        <f>IF(TelecomData[[#This Row],[CleanedTotalCharges]]&gt;=2500,"High Spend", "Standard Spend")</f>
        <v>Standard Spend</v>
      </c>
    </row>
    <row r="1754" spans="1:14" x14ac:dyDescent="0.3">
      <c r="A1754" s="1" t="s">
        <v>1778</v>
      </c>
      <c r="B1754" s="2" t="s">
        <v>19</v>
      </c>
      <c r="C1754" s="2" t="s">
        <v>20</v>
      </c>
      <c r="D1754" s="2">
        <v>27</v>
      </c>
      <c r="E1754" s="2" t="s">
        <v>14</v>
      </c>
      <c r="F1754" s="2" t="s">
        <v>15</v>
      </c>
      <c r="G1754" s="7">
        <v>48.7</v>
      </c>
      <c r="H1754" s="7">
        <v>1421.75</v>
      </c>
      <c r="I1754" s="2" t="s">
        <v>15</v>
      </c>
      <c r="J1754" s="2" t="s">
        <v>15</v>
      </c>
      <c r="K1754" s="2" t="s">
        <v>29</v>
      </c>
      <c r="L1754" s="7">
        <v>1421.75</v>
      </c>
      <c r="M1754" s="2" t="str">
        <f>_xlfn.IFS(TelecomData[[#This Row],[TenureMonths]]&lt;=12, "0-1 Year", TelecomData[[#This Row],[TenureMonths]]&lt;=36, "1-3 Years", TelecomData[[#This Row],[TenureMonths]]&gt;36, "3+ Years")</f>
        <v>1-3 Years</v>
      </c>
      <c r="N1754" s="2" t="str">
        <f>IF(TelecomData[[#This Row],[CleanedTotalCharges]]&gt;=2500,"High Spend", "Standard Spend")</f>
        <v>Standard Spend</v>
      </c>
    </row>
    <row r="1755" spans="1:14" x14ac:dyDescent="0.3">
      <c r="A1755" s="1" t="s">
        <v>1779</v>
      </c>
      <c r="B1755" s="2" t="s">
        <v>12</v>
      </c>
      <c r="C1755" s="2" t="s">
        <v>35</v>
      </c>
      <c r="D1755" s="2">
        <v>72</v>
      </c>
      <c r="E1755" s="2" t="s">
        <v>26</v>
      </c>
      <c r="F1755" s="2" t="s">
        <v>16</v>
      </c>
      <c r="G1755" s="7">
        <v>96.6</v>
      </c>
      <c r="H1755" s="7">
        <v>6827.5</v>
      </c>
      <c r="I1755" s="2" t="s">
        <v>15</v>
      </c>
      <c r="J1755" s="2" t="s">
        <v>16</v>
      </c>
      <c r="K1755" s="2" t="s">
        <v>24</v>
      </c>
      <c r="L1755" s="7">
        <v>6827.5</v>
      </c>
      <c r="M1755" s="2" t="str">
        <f>_xlfn.IFS(TelecomData[[#This Row],[TenureMonths]]&lt;=12, "0-1 Year", TelecomData[[#This Row],[TenureMonths]]&lt;=36, "1-3 Years", TelecomData[[#This Row],[TenureMonths]]&gt;36, "3+ Years")</f>
        <v>3+ Years</v>
      </c>
      <c r="N1755" s="2" t="str">
        <f>IF(TelecomData[[#This Row],[CleanedTotalCharges]]&gt;=2500,"High Spend", "Standard Spend")</f>
        <v>High Spend</v>
      </c>
    </row>
    <row r="1756" spans="1:14" x14ac:dyDescent="0.3">
      <c r="A1756" s="1" t="s">
        <v>1780</v>
      </c>
      <c r="B1756" s="2" t="s">
        <v>19</v>
      </c>
      <c r="C1756" s="2" t="s">
        <v>20</v>
      </c>
      <c r="D1756" s="2">
        <v>62</v>
      </c>
      <c r="E1756" s="2" t="s">
        <v>14</v>
      </c>
      <c r="F1756" s="2" t="s">
        <v>15</v>
      </c>
      <c r="G1756" s="7">
        <v>74.3</v>
      </c>
      <c r="H1756" s="7">
        <v>4698.05</v>
      </c>
      <c r="I1756" s="2" t="s">
        <v>15</v>
      </c>
      <c r="J1756" s="2" t="s">
        <v>16</v>
      </c>
      <c r="K1756" s="2" t="s">
        <v>29</v>
      </c>
      <c r="L1756" s="7">
        <v>4698.05</v>
      </c>
      <c r="M1756" s="2" t="str">
        <f>_xlfn.IFS(TelecomData[[#This Row],[TenureMonths]]&lt;=12, "0-1 Year", TelecomData[[#This Row],[TenureMonths]]&lt;=36, "1-3 Years", TelecomData[[#This Row],[TenureMonths]]&gt;36, "3+ Years")</f>
        <v>3+ Years</v>
      </c>
      <c r="N1756" s="2" t="str">
        <f>IF(TelecomData[[#This Row],[CleanedTotalCharges]]&gt;=2500,"High Spend", "Standard Spend")</f>
        <v>High Spend</v>
      </c>
    </row>
    <row r="1757" spans="1:14" x14ac:dyDescent="0.3">
      <c r="A1757" s="1" t="s">
        <v>1781</v>
      </c>
      <c r="B1757" s="2" t="s">
        <v>12</v>
      </c>
      <c r="C1757" s="2" t="s">
        <v>13</v>
      </c>
      <c r="D1757" s="2">
        <v>12</v>
      </c>
      <c r="E1757" s="2" t="s">
        <v>14</v>
      </c>
      <c r="F1757" s="2" t="s">
        <v>16</v>
      </c>
      <c r="G1757" s="7">
        <v>54.3</v>
      </c>
      <c r="H1757" s="7">
        <v>654.5</v>
      </c>
      <c r="I1757" s="2" t="s">
        <v>15</v>
      </c>
      <c r="J1757" s="2" t="s">
        <v>16</v>
      </c>
      <c r="K1757" s="2" t="s">
        <v>17</v>
      </c>
      <c r="L1757" s="7">
        <v>654.5</v>
      </c>
      <c r="M1757" s="2" t="str">
        <f>_xlfn.IFS(TelecomData[[#This Row],[TenureMonths]]&lt;=12, "0-1 Year", TelecomData[[#This Row],[TenureMonths]]&lt;=36, "1-3 Years", TelecomData[[#This Row],[TenureMonths]]&gt;36, "3+ Years")</f>
        <v>0-1 Year</v>
      </c>
      <c r="N1757" s="2" t="str">
        <f>IF(TelecomData[[#This Row],[CleanedTotalCharges]]&gt;=2500,"High Spend", "Standard Spend")</f>
        <v>Standard Spend</v>
      </c>
    </row>
    <row r="1758" spans="1:14" x14ac:dyDescent="0.3">
      <c r="A1758" s="1" t="s">
        <v>1782</v>
      </c>
      <c r="B1758" s="2" t="s">
        <v>12</v>
      </c>
      <c r="C1758" s="2" t="s">
        <v>20</v>
      </c>
      <c r="D1758" s="2">
        <v>44</v>
      </c>
      <c r="E1758" s="2" t="s">
        <v>14</v>
      </c>
      <c r="F1758" s="2" t="s">
        <v>16</v>
      </c>
      <c r="G1758" s="7">
        <v>74.849999999999994</v>
      </c>
      <c r="H1758" s="7">
        <v>3268.05</v>
      </c>
      <c r="I1758" s="2" t="s">
        <v>15</v>
      </c>
      <c r="J1758" s="2" t="s">
        <v>15</v>
      </c>
      <c r="K1758" s="2" t="s">
        <v>24</v>
      </c>
      <c r="L1758" s="7">
        <v>3268.05</v>
      </c>
      <c r="M1758" s="2" t="str">
        <f>_xlfn.IFS(TelecomData[[#This Row],[TenureMonths]]&lt;=12, "0-1 Year", TelecomData[[#This Row],[TenureMonths]]&lt;=36, "1-3 Years", TelecomData[[#This Row],[TenureMonths]]&gt;36, "3+ Years")</f>
        <v>3+ Years</v>
      </c>
      <c r="N1758" s="2" t="str">
        <f>IF(TelecomData[[#This Row],[CleanedTotalCharges]]&gt;=2500,"High Spend", "Standard Spend")</f>
        <v>High Spend</v>
      </c>
    </row>
    <row r="1759" spans="1:14" x14ac:dyDescent="0.3">
      <c r="A1759" s="1" t="s">
        <v>1783</v>
      </c>
      <c r="B1759" s="2" t="s">
        <v>19</v>
      </c>
      <c r="C1759" s="2" t="s">
        <v>35</v>
      </c>
      <c r="D1759" s="2">
        <v>54</v>
      </c>
      <c r="E1759" s="2" t="s">
        <v>26</v>
      </c>
      <c r="F1759" s="2" t="s">
        <v>16</v>
      </c>
      <c r="G1759" s="7">
        <v>79.95</v>
      </c>
      <c r="H1759" s="7">
        <v>4362.05</v>
      </c>
      <c r="I1759" s="2" t="s">
        <v>15</v>
      </c>
      <c r="J1759" s="2" t="s">
        <v>16</v>
      </c>
      <c r="K1759" s="2" t="s">
        <v>24</v>
      </c>
      <c r="L1759" s="7">
        <v>4362.05</v>
      </c>
      <c r="M1759" s="2" t="str">
        <f>_xlfn.IFS(TelecomData[[#This Row],[TenureMonths]]&lt;=12, "0-1 Year", TelecomData[[#This Row],[TenureMonths]]&lt;=36, "1-3 Years", TelecomData[[#This Row],[TenureMonths]]&gt;36, "3+ Years")</f>
        <v>3+ Years</v>
      </c>
      <c r="N1759" s="2" t="str">
        <f>IF(TelecomData[[#This Row],[CleanedTotalCharges]]&gt;=2500,"High Spend", "Standard Spend")</f>
        <v>High Spend</v>
      </c>
    </row>
    <row r="1760" spans="1:14" x14ac:dyDescent="0.3">
      <c r="A1760" s="1" t="s">
        <v>1784</v>
      </c>
      <c r="B1760" s="2" t="s">
        <v>12</v>
      </c>
      <c r="C1760" s="2" t="s">
        <v>35</v>
      </c>
      <c r="D1760" s="2">
        <v>68</v>
      </c>
      <c r="E1760" s="2" t="s">
        <v>15</v>
      </c>
      <c r="F1760" s="2" t="s">
        <v>36</v>
      </c>
      <c r="G1760" s="7">
        <v>20.05</v>
      </c>
      <c r="H1760" s="7">
        <v>1386.9</v>
      </c>
      <c r="I1760" s="2" t="s">
        <v>15</v>
      </c>
      <c r="J1760" s="2" t="s">
        <v>15</v>
      </c>
      <c r="K1760" s="2" t="s">
        <v>24</v>
      </c>
      <c r="L1760" s="7">
        <v>1386.9</v>
      </c>
      <c r="M1760" s="2" t="str">
        <f>_xlfn.IFS(TelecomData[[#This Row],[TenureMonths]]&lt;=12, "0-1 Year", TelecomData[[#This Row],[TenureMonths]]&lt;=36, "1-3 Years", TelecomData[[#This Row],[TenureMonths]]&gt;36, "3+ Years")</f>
        <v>3+ Years</v>
      </c>
      <c r="N1760" s="2" t="str">
        <f>IF(TelecomData[[#This Row],[CleanedTotalCharges]]&gt;=2500,"High Spend", "Standard Spend")</f>
        <v>Standard Spend</v>
      </c>
    </row>
    <row r="1761" spans="1:14" x14ac:dyDescent="0.3">
      <c r="A1761" s="1" t="s">
        <v>1785</v>
      </c>
      <c r="B1761" s="2" t="s">
        <v>19</v>
      </c>
      <c r="C1761" s="2" t="s">
        <v>13</v>
      </c>
      <c r="D1761" s="2">
        <v>20</v>
      </c>
      <c r="E1761" s="2" t="s">
        <v>15</v>
      </c>
      <c r="F1761" s="2" t="s">
        <v>36</v>
      </c>
      <c r="G1761" s="7">
        <v>19.399999999999999</v>
      </c>
      <c r="H1761" s="7">
        <v>415.4</v>
      </c>
      <c r="I1761" s="2" t="s">
        <v>15</v>
      </c>
      <c r="J1761" s="2" t="s">
        <v>15</v>
      </c>
      <c r="K1761" s="2" t="s">
        <v>21</v>
      </c>
      <c r="L1761" s="7">
        <v>415.4</v>
      </c>
      <c r="M1761" s="2" t="str">
        <f>_xlfn.IFS(TelecomData[[#This Row],[TenureMonths]]&lt;=12, "0-1 Year", TelecomData[[#This Row],[TenureMonths]]&lt;=36, "1-3 Years", TelecomData[[#This Row],[TenureMonths]]&gt;36, "3+ Years")</f>
        <v>1-3 Years</v>
      </c>
      <c r="N1761" s="2" t="str">
        <f>IF(TelecomData[[#This Row],[CleanedTotalCharges]]&gt;=2500,"High Spend", "Standard Spend")</f>
        <v>Standard Spend</v>
      </c>
    </row>
    <row r="1762" spans="1:14" x14ac:dyDescent="0.3">
      <c r="A1762" s="1" t="s">
        <v>1786</v>
      </c>
      <c r="B1762" s="2" t="s">
        <v>19</v>
      </c>
      <c r="C1762" s="2" t="s">
        <v>20</v>
      </c>
      <c r="D1762" s="2">
        <v>50</v>
      </c>
      <c r="E1762" s="2" t="s">
        <v>14</v>
      </c>
      <c r="F1762" s="2" t="s">
        <v>15</v>
      </c>
      <c r="G1762" s="7">
        <v>54.9</v>
      </c>
      <c r="H1762" s="7">
        <v>2614.1</v>
      </c>
      <c r="I1762" s="2" t="s">
        <v>15</v>
      </c>
      <c r="J1762" s="2" t="s">
        <v>15</v>
      </c>
      <c r="K1762" s="2" t="s">
        <v>24</v>
      </c>
      <c r="L1762" s="7">
        <v>2614.1</v>
      </c>
      <c r="M1762" s="2" t="str">
        <f>_xlfn.IFS(TelecomData[[#This Row],[TenureMonths]]&lt;=12, "0-1 Year", TelecomData[[#This Row],[TenureMonths]]&lt;=36, "1-3 Years", TelecomData[[#This Row],[TenureMonths]]&gt;36, "3+ Years")</f>
        <v>3+ Years</v>
      </c>
      <c r="N1762" s="2" t="str">
        <f>IF(TelecomData[[#This Row],[CleanedTotalCharges]]&gt;=2500,"High Spend", "Standard Spend")</f>
        <v>High Spend</v>
      </c>
    </row>
    <row r="1763" spans="1:14" x14ac:dyDescent="0.3">
      <c r="A1763" s="1" t="s">
        <v>1787</v>
      </c>
      <c r="B1763" s="2" t="s">
        <v>19</v>
      </c>
      <c r="C1763" s="2" t="s">
        <v>35</v>
      </c>
      <c r="D1763" s="2">
        <v>58</v>
      </c>
      <c r="E1763" s="2" t="s">
        <v>15</v>
      </c>
      <c r="F1763" s="2" t="s">
        <v>36</v>
      </c>
      <c r="G1763" s="7">
        <v>24.45</v>
      </c>
      <c r="H1763" s="7">
        <v>1513.6</v>
      </c>
      <c r="I1763" s="2" t="s">
        <v>15</v>
      </c>
      <c r="J1763" s="2" t="s">
        <v>16</v>
      </c>
      <c r="K1763" s="2" t="s">
        <v>29</v>
      </c>
      <c r="L1763" s="7">
        <v>1513.6</v>
      </c>
      <c r="M1763" s="2" t="str">
        <f>_xlfn.IFS(TelecomData[[#This Row],[TenureMonths]]&lt;=12, "0-1 Year", TelecomData[[#This Row],[TenureMonths]]&lt;=36, "1-3 Years", TelecomData[[#This Row],[TenureMonths]]&gt;36, "3+ Years")</f>
        <v>3+ Years</v>
      </c>
      <c r="N1763" s="2" t="str">
        <f>IF(TelecomData[[#This Row],[CleanedTotalCharges]]&gt;=2500,"High Spend", "Standard Spend")</f>
        <v>Standard Spend</v>
      </c>
    </row>
    <row r="1764" spans="1:14" x14ac:dyDescent="0.3">
      <c r="A1764" s="1" t="s">
        <v>1788</v>
      </c>
      <c r="B1764" s="2" t="s">
        <v>19</v>
      </c>
      <c r="C1764" s="2" t="s">
        <v>13</v>
      </c>
      <c r="D1764" s="2">
        <v>35</v>
      </c>
      <c r="E1764" s="2" t="s">
        <v>26</v>
      </c>
      <c r="F1764" s="2" t="s">
        <v>15</v>
      </c>
      <c r="G1764" s="7">
        <v>89.65</v>
      </c>
      <c r="H1764" s="7">
        <v>3161.6</v>
      </c>
      <c r="I1764" s="2" t="s">
        <v>15</v>
      </c>
      <c r="J1764" s="2" t="s">
        <v>16</v>
      </c>
      <c r="K1764" s="2" t="s">
        <v>24</v>
      </c>
      <c r="L1764" s="7">
        <v>3161.6</v>
      </c>
      <c r="M1764" s="2" t="str">
        <f>_xlfn.IFS(TelecomData[[#This Row],[TenureMonths]]&lt;=12, "0-1 Year", TelecomData[[#This Row],[TenureMonths]]&lt;=36, "1-3 Years", TelecomData[[#This Row],[TenureMonths]]&gt;36, "3+ Years")</f>
        <v>1-3 Years</v>
      </c>
      <c r="N1764" s="2" t="str">
        <f>IF(TelecomData[[#This Row],[CleanedTotalCharges]]&gt;=2500,"High Spend", "Standard Spend")</f>
        <v>High Spend</v>
      </c>
    </row>
    <row r="1765" spans="1:14" x14ac:dyDescent="0.3">
      <c r="A1765" s="1" t="s">
        <v>1789</v>
      </c>
      <c r="B1765" s="2" t="s">
        <v>12</v>
      </c>
      <c r="C1765" s="2" t="s">
        <v>13</v>
      </c>
      <c r="D1765" s="2">
        <v>2</v>
      </c>
      <c r="E1765" s="2" t="s">
        <v>14</v>
      </c>
      <c r="F1765" s="2" t="s">
        <v>15</v>
      </c>
      <c r="G1765" s="7">
        <v>45.4</v>
      </c>
      <c r="H1765" s="7">
        <v>80.95</v>
      </c>
      <c r="I1765" s="2" t="s">
        <v>15</v>
      </c>
      <c r="J1765" s="2" t="s">
        <v>16</v>
      </c>
      <c r="K1765" s="2" t="s">
        <v>17</v>
      </c>
      <c r="L1765" s="7">
        <v>80.95</v>
      </c>
      <c r="M1765" s="2" t="str">
        <f>_xlfn.IFS(TelecomData[[#This Row],[TenureMonths]]&lt;=12, "0-1 Year", TelecomData[[#This Row],[TenureMonths]]&lt;=36, "1-3 Years", TelecomData[[#This Row],[TenureMonths]]&gt;36, "3+ Years")</f>
        <v>0-1 Year</v>
      </c>
      <c r="N1765" s="2" t="str">
        <f>IF(TelecomData[[#This Row],[CleanedTotalCharges]]&gt;=2500,"High Spend", "Standard Spend")</f>
        <v>Standard Spend</v>
      </c>
    </row>
    <row r="1766" spans="1:14" x14ac:dyDescent="0.3">
      <c r="A1766" s="1" t="s">
        <v>1790</v>
      </c>
      <c r="B1766" s="2" t="s">
        <v>19</v>
      </c>
      <c r="C1766" s="2" t="s">
        <v>35</v>
      </c>
      <c r="D1766" s="2">
        <v>63</v>
      </c>
      <c r="E1766" s="2" t="s">
        <v>14</v>
      </c>
      <c r="F1766" s="2" t="s">
        <v>16</v>
      </c>
      <c r="G1766" s="7">
        <v>75.7</v>
      </c>
      <c r="H1766" s="7">
        <v>4676.7</v>
      </c>
      <c r="I1766" s="2" t="s">
        <v>15</v>
      </c>
      <c r="J1766" s="2" t="s">
        <v>15</v>
      </c>
      <c r="K1766" s="2" t="s">
        <v>21</v>
      </c>
      <c r="L1766" s="7">
        <v>4676.7</v>
      </c>
      <c r="M1766" s="2" t="str">
        <f>_xlfn.IFS(TelecomData[[#This Row],[TenureMonths]]&lt;=12, "0-1 Year", TelecomData[[#This Row],[TenureMonths]]&lt;=36, "1-3 Years", TelecomData[[#This Row],[TenureMonths]]&gt;36, "3+ Years")</f>
        <v>3+ Years</v>
      </c>
      <c r="N1766" s="2" t="str">
        <f>IF(TelecomData[[#This Row],[CleanedTotalCharges]]&gt;=2500,"High Spend", "Standard Spend")</f>
        <v>High Spend</v>
      </c>
    </row>
    <row r="1767" spans="1:14" x14ac:dyDescent="0.3">
      <c r="A1767" s="1" t="s">
        <v>1791</v>
      </c>
      <c r="B1767" s="2" t="s">
        <v>12</v>
      </c>
      <c r="C1767" s="2" t="s">
        <v>20</v>
      </c>
      <c r="D1767" s="2">
        <v>58</v>
      </c>
      <c r="E1767" s="2" t="s">
        <v>26</v>
      </c>
      <c r="F1767" s="2" t="s">
        <v>15</v>
      </c>
      <c r="G1767" s="7">
        <v>110.65</v>
      </c>
      <c r="H1767" s="7">
        <v>6526.65</v>
      </c>
      <c r="I1767" s="2" t="s">
        <v>15</v>
      </c>
      <c r="J1767" s="2" t="s">
        <v>16</v>
      </c>
      <c r="K1767" s="2" t="s">
        <v>29</v>
      </c>
      <c r="L1767" s="7">
        <v>6526.65</v>
      </c>
      <c r="M1767" s="2" t="str">
        <f>_xlfn.IFS(TelecomData[[#This Row],[TenureMonths]]&lt;=12, "0-1 Year", TelecomData[[#This Row],[TenureMonths]]&lt;=36, "1-3 Years", TelecomData[[#This Row],[TenureMonths]]&gt;36, "3+ Years")</f>
        <v>3+ Years</v>
      </c>
      <c r="N1767" s="2" t="str">
        <f>IF(TelecomData[[#This Row],[CleanedTotalCharges]]&gt;=2500,"High Spend", "Standard Spend")</f>
        <v>High Spend</v>
      </c>
    </row>
    <row r="1768" spans="1:14" x14ac:dyDescent="0.3">
      <c r="A1768" s="1" t="s">
        <v>1792</v>
      </c>
      <c r="B1768" s="2" t="s">
        <v>12</v>
      </c>
      <c r="C1768" s="2" t="s">
        <v>20</v>
      </c>
      <c r="D1768" s="2">
        <v>27</v>
      </c>
      <c r="E1768" s="2" t="s">
        <v>15</v>
      </c>
      <c r="F1768" s="2" t="s">
        <v>36</v>
      </c>
      <c r="G1768" s="7">
        <v>20.55</v>
      </c>
      <c r="H1768" s="7">
        <v>583.29999999999995</v>
      </c>
      <c r="I1768" s="2" t="s">
        <v>15</v>
      </c>
      <c r="J1768" s="2" t="s">
        <v>16</v>
      </c>
      <c r="K1768" s="2" t="s">
        <v>21</v>
      </c>
      <c r="L1768" s="7">
        <v>583.29999999999995</v>
      </c>
      <c r="M1768" s="2" t="str">
        <f>_xlfn.IFS(TelecomData[[#This Row],[TenureMonths]]&lt;=12, "0-1 Year", TelecomData[[#This Row],[TenureMonths]]&lt;=36, "1-3 Years", TelecomData[[#This Row],[TenureMonths]]&gt;36, "3+ Years")</f>
        <v>1-3 Years</v>
      </c>
      <c r="N1768" s="2" t="str">
        <f>IF(TelecomData[[#This Row],[CleanedTotalCharges]]&gt;=2500,"High Spend", "Standard Spend")</f>
        <v>Standard Spend</v>
      </c>
    </row>
    <row r="1769" spans="1:14" x14ac:dyDescent="0.3">
      <c r="A1769" s="1" t="s">
        <v>1793</v>
      </c>
      <c r="B1769" s="2" t="s">
        <v>12</v>
      </c>
      <c r="C1769" s="2" t="s">
        <v>35</v>
      </c>
      <c r="D1769" s="2">
        <v>71</v>
      </c>
      <c r="E1769" s="2" t="s">
        <v>26</v>
      </c>
      <c r="F1769" s="2" t="s">
        <v>16</v>
      </c>
      <c r="G1769" s="7">
        <v>115.15</v>
      </c>
      <c r="H1769" s="7">
        <v>8078.1</v>
      </c>
      <c r="I1769" s="2" t="s">
        <v>15</v>
      </c>
      <c r="J1769" s="2" t="s">
        <v>16</v>
      </c>
      <c r="K1769" s="2" t="s">
        <v>29</v>
      </c>
      <c r="L1769" s="7">
        <v>8078.1</v>
      </c>
      <c r="M1769" s="2" t="str">
        <f>_xlfn.IFS(TelecomData[[#This Row],[TenureMonths]]&lt;=12, "0-1 Year", TelecomData[[#This Row],[TenureMonths]]&lt;=36, "1-3 Years", TelecomData[[#This Row],[TenureMonths]]&gt;36, "3+ Years")</f>
        <v>3+ Years</v>
      </c>
      <c r="N1769" s="2" t="str">
        <f>IF(TelecomData[[#This Row],[CleanedTotalCharges]]&gt;=2500,"High Spend", "Standard Spend")</f>
        <v>High Spend</v>
      </c>
    </row>
    <row r="1770" spans="1:14" x14ac:dyDescent="0.3">
      <c r="A1770" s="1" t="s">
        <v>1794</v>
      </c>
      <c r="B1770" s="2" t="s">
        <v>12</v>
      </c>
      <c r="C1770" s="2" t="s">
        <v>20</v>
      </c>
      <c r="D1770" s="2">
        <v>63</v>
      </c>
      <c r="E1770" s="2" t="s">
        <v>14</v>
      </c>
      <c r="F1770" s="2" t="s">
        <v>15</v>
      </c>
      <c r="G1770" s="7">
        <v>58.55</v>
      </c>
      <c r="H1770" s="7">
        <v>3503.5</v>
      </c>
      <c r="I1770" s="2" t="s">
        <v>15</v>
      </c>
      <c r="J1770" s="2" t="s">
        <v>15</v>
      </c>
      <c r="K1770" s="2" t="s">
        <v>29</v>
      </c>
      <c r="L1770" s="7">
        <v>3503.5</v>
      </c>
      <c r="M1770" s="2" t="str">
        <f>_xlfn.IFS(TelecomData[[#This Row],[TenureMonths]]&lt;=12, "0-1 Year", TelecomData[[#This Row],[TenureMonths]]&lt;=36, "1-3 Years", TelecomData[[#This Row],[TenureMonths]]&gt;36, "3+ Years")</f>
        <v>3+ Years</v>
      </c>
      <c r="N1770" s="2" t="str">
        <f>IF(TelecomData[[#This Row],[CleanedTotalCharges]]&gt;=2500,"High Spend", "Standard Spend")</f>
        <v>High Spend</v>
      </c>
    </row>
    <row r="1771" spans="1:14" x14ac:dyDescent="0.3">
      <c r="A1771" s="1" t="s">
        <v>1795</v>
      </c>
      <c r="B1771" s="2" t="s">
        <v>19</v>
      </c>
      <c r="C1771" s="2" t="s">
        <v>13</v>
      </c>
      <c r="D1771" s="2">
        <v>71</v>
      </c>
      <c r="E1771" s="2" t="s">
        <v>26</v>
      </c>
      <c r="F1771" s="2" t="s">
        <v>15</v>
      </c>
      <c r="G1771" s="7">
        <v>93.25</v>
      </c>
      <c r="H1771" s="7">
        <v>6669.45</v>
      </c>
      <c r="I1771" s="2" t="s">
        <v>15</v>
      </c>
      <c r="J1771" s="2" t="s">
        <v>16</v>
      </c>
      <c r="K1771" s="2" t="s">
        <v>24</v>
      </c>
      <c r="L1771" s="7">
        <v>6669.45</v>
      </c>
      <c r="M1771" s="2" t="str">
        <f>_xlfn.IFS(TelecomData[[#This Row],[TenureMonths]]&lt;=12, "0-1 Year", TelecomData[[#This Row],[TenureMonths]]&lt;=36, "1-3 Years", TelecomData[[#This Row],[TenureMonths]]&gt;36, "3+ Years")</f>
        <v>3+ Years</v>
      </c>
      <c r="N1771" s="2" t="str">
        <f>IF(TelecomData[[#This Row],[CleanedTotalCharges]]&gt;=2500,"High Spend", "Standard Spend")</f>
        <v>High Spend</v>
      </c>
    </row>
    <row r="1772" spans="1:14" x14ac:dyDescent="0.3">
      <c r="A1772" s="1" t="s">
        <v>1796</v>
      </c>
      <c r="B1772" s="2" t="s">
        <v>12</v>
      </c>
      <c r="C1772" s="2" t="s">
        <v>13</v>
      </c>
      <c r="D1772" s="2">
        <v>41</v>
      </c>
      <c r="E1772" s="2" t="s">
        <v>26</v>
      </c>
      <c r="F1772" s="2" t="s">
        <v>15</v>
      </c>
      <c r="G1772" s="7">
        <v>113.2</v>
      </c>
      <c r="H1772" s="7">
        <v>4689.5</v>
      </c>
      <c r="I1772" s="2" t="s">
        <v>16</v>
      </c>
      <c r="J1772" s="2" t="s">
        <v>16</v>
      </c>
      <c r="K1772" s="2" t="s">
        <v>17</v>
      </c>
      <c r="L1772" s="7">
        <v>4689.5</v>
      </c>
      <c r="M1772" s="2" t="str">
        <f>_xlfn.IFS(TelecomData[[#This Row],[TenureMonths]]&lt;=12, "0-1 Year", TelecomData[[#This Row],[TenureMonths]]&lt;=36, "1-3 Years", TelecomData[[#This Row],[TenureMonths]]&gt;36, "3+ Years")</f>
        <v>3+ Years</v>
      </c>
      <c r="N1772" s="2" t="str">
        <f>IF(TelecomData[[#This Row],[CleanedTotalCharges]]&gt;=2500,"High Spend", "Standard Spend")</f>
        <v>High Spend</v>
      </c>
    </row>
    <row r="1773" spans="1:14" x14ac:dyDescent="0.3">
      <c r="A1773" s="1" t="s">
        <v>1797</v>
      </c>
      <c r="B1773" s="2" t="s">
        <v>19</v>
      </c>
      <c r="C1773" s="2" t="s">
        <v>13</v>
      </c>
      <c r="D1773" s="2">
        <v>13</v>
      </c>
      <c r="E1773" s="2" t="s">
        <v>26</v>
      </c>
      <c r="F1773" s="2" t="s">
        <v>15</v>
      </c>
      <c r="G1773" s="7">
        <v>90.5</v>
      </c>
      <c r="H1773" s="7">
        <v>1201.1500000000001</v>
      </c>
      <c r="I1773" s="2" t="s">
        <v>16</v>
      </c>
      <c r="J1773" s="2" t="s">
        <v>16</v>
      </c>
      <c r="K1773" s="2" t="s">
        <v>17</v>
      </c>
      <c r="L1773" s="7">
        <v>1201.1500000000001</v>
      </c>
      <c r="M1773" s="2" t="str">
        <f>_xlfn.IFS(TelecomData[[#This Row],[TenureMonths]]&lt;=12, "0-1 Year", TelecomData[[#This Row],[TenureMonths]]&lt;=36, "1-3 Years", TelecomData[[#This Row],[TenureMonths]]&gt;36, "3+ Years")</f>
        <v>1-3 Years</v>
      </c>
      <c r="N1773" s="2" t="str">
        <f>IF(TelecomData[[#This Row],[CleanedTotalCharges]]&gt;=2500,"High Spend", "Standard Spend")</f>
        <v>Standard Spend</v>
      </c>
    </row>
    <row r="1774" spans="1:14" x14ac:dyDescent="0.3">
      <c r="A1774" s="1" t="s">
        <v>1798</v>
      </c>
      <c r="B1774" s="2" t="s">
        <v>19</v>
      </c>
      <c r="C1774" s="2" t="s">
        <v>13</v>
      </c>
      <c r="D1774" s="2">
        <v>2</v>
      </c>
      <c r="E1774" s="2" t="s">
        <v>26</v>
      </c>
      <c r="F1774" s="2" t="s">
        <v>15</v>
      </c>
      <c r="G1774" s="7">
        <v>79</v>
      </c>
      <c r="H1774" s="7">
        <v>143.65</v>
      </c>
      <c r="I1774" s="2" t="s">
        <v>16</v>
      </c>
      <c r="J1774" s="2" t="s">
        <v>15</v>
      </c>
      <c r="K1774" s="2" t="s">
        <v>17</v>
      </c>
      <c r="L1774" s="7">
        <v>143.65</v>
      </c>
      <c r="M1774" s="2" t="str">
        <f>_xlfn.IFS(TelecomData[[#This Row],[TenureMonths]]&lt;=12, "0-1 Year", TelecomData[[#This Row],[TenureMonths]]&lt;=36, "1-3 Years", TelecomData[[#This Row],[TenureMonths]]&gt;36, "3+ Years")</f>
        <v>0-1 Year</v>
      </c>
      <c r="N1774" s="2" t="str">
        <f>IF(TelecomData[[#This Row],[CleanedTotalCharges]]&gt;=2500,"High Spend", "Standard Spend")</f>
        <v>Standard Spend</v>
      </c>
    </row>
    <row r="1775" spans="1:14" x14ac:dyDescent="0.3">
      <c r="A1775" s="1" t="s">
        <v>1799</v>
      </c>
      <c r="B1775" s="2" t="s">
        <v>12</v>
      </c>
      <c r="C1775" s="2" t="s">
        <v>35</v>
      </c>
      <c r="D1775" s="2">
        <v>68</v>
      </c>
      <c r="E1775" s="2" t="s">
        <v>15</v>
      </c>
      <c r="F1775" s="2" t="s">
        <v>36</v>
      </c>
      <c r="G1775" s="7">
        <v>19.350000000000001</v>
      </c>
      <c r="H1775" s="7">
        <v>1292.6500000000001</v>
      </c>
      <c r="I1775" s="2" t="s">
        <v>15</v>
      </c>
      <c r="J1775" s="2" t="s">
        <v>16</v>
      </c>
      <c r="K1775" s="2" t="s">
        <v>24</v>
      </c>
      <c r="L1775" s="7">
        <v>1292.6500000000001</v>
      </c>
      <c r="M1775" s="2" t="str">
        <f>_xlfn.IFS(TelecomData[[#This Row],[TenureMonths]]&lt;=12, "0-1 Year", TelecomData[[#This Row],[TenureMonths]]&lt;=36, "1-3 Years", TelecomData[[#This Row],[TenureMonths]]&gt;36, "3+ Years")</f>
        <v>3+ Years</v>
      </c>
      <c r="N1775" s="2" t="str">
        <f>IF(TelecomData[[#This Row],[CleanedTotalCharges]]&gt;=2500,"High Spend", "Standard Spend")</f>
        <v>Standard Spend</v>
      </c>
    </row>
    <row r="1776" spans="1:14" x14ac:dyDescent="0.3">
      <c r="A1776" s="1" t="s">
        <v>1800</v>
      </c>
      <c r="B1776" s="2" t="s">
        <v>19</v>
      </c>
      <c r="C1776" s="2" t="s">
        <v>13</v>
      </c>
      <c r="D1776" s="2">
        <v>1</v>
      </c>
      <c r="E1776" s="2" t="s">
        <v>14</v>
      </c>
      <c r="F1776" s="2" t="s">
        <v>15</v>
      </c>
      <c r="G1776" s="7">
        <v>48.75</v>
      </c>
      <c r="H1776" s="7">
        <v>48.75</v>
      </c>
      <c r="I1776" s="2" t="s">
        <v>15</v>
      </c>
      <c r="J1776" s="2" t="s">
        <v>16</v>
      </c>
      <c r="K1776" s="2" t="s">
        <v>21</v>
      </c>
      <c r="L1776" s="7">
        <v>48.75</v>
      </c>
      <c r="M1776" s="2" t="str">
        <f>_xlfn.IFS(TelecomData[[#This Row],[TenureMonths]]&lt;=12, "0-1 Year", TelecomData[[#This Row],[TenureMonths]]&lt;=36, "1-3 Years", TelecomData[[#This Row],[TenureMonths]]&gt;36, "3+ Years")</f>
        <v>0-1 Year</v>
      </c>
      <c r="N1776" s="2" t="str">
        <f>IF(TelecomData[[#This Row],[CleanedTotalCharges]]&gt;=2500,"High Spend", "Standard Spend")</f>
        <v>Standard Spend</v>
      </c>
    </row>
    <row r="1777" spans="1:14" x14ac:dyDescent="0.3">
      <c r="A1777" s="1" t="s">
        <v>1801</v>
      </c>
      <c r="B1777" s="2" t="s">
        <v>19</v>
      </c>
      <c r="C1777" s="2" t="s">
        <v>35</v>
      </c>
      <c r="D1777" s="2">
        <v>65</v>
      </c>
      <c r="E1777" s="2" t="s">
        <v>26</v>
      </c>
      <c r="F1777" s="2" t="s">
        <v>16</v>
      </c>
      <c r="G1777" s="7">
        <v>109.05</v>
      </c>
      <c r="H1777" s="7">
        <v>7108.2</v>
      </c>
      <c r="I1777" s="2" t="s">
        <v>15</v>
      </c>
      <c r="J1777" s="2" t="s">
        <v>16</v>
      </c>
      <c r="K1777" s="2" t="s">
        <v>17</v>
      </c>
      <c r="L1777" s="7">
        <v>7108.2</v>
      </c>
      <c r="M1777" s="2" t="str">
        <f>_xlfn.IFS(TelecomData[[#This Row],[TenureMonths]]&lt;=12, "0-1 Year", TelecomData[[#This Row],[TenureMonths]]&lt;=36, "1-3 Years", TelecomData[[#This Row],[TenureMonths]]&gt;36, "3+ Years")</f>
        <v>3+ Years</v>
      </c>
      <c r="N1777" s="2" t="str">
        <f>IF(TelecomData[[#This Row],[CleanedTotalCharges]]&gt;=2500,"High Spend", "Standard Spend")</f>
        <v>High Spend</v>
      </c>
    </row>
    <row r="1778" spans="1:14" x14ac:dyDescent="0.3">
      <c r="A1778" s="1" t="s">
        <v>1802</v>
      </c>
      <c r="B1778" s="2" t="s">
        <v>19</v>
      </c>
      <c r="C1778" s="2" t="s">
        <v>35</v>
      </c>
      <c r="D1778" s="2">
        <v>72</v>
      </c>
      <c r="E1778" s="2" t="s">
        <v>15</v>
      </c>
      <c r="F1778" s="2" t="s">
        <v>36</v>
      </c>
      <c r="G1778" s="7">
        <v>25</v>
      </c>
      <c r="H1778" s="7">
        <v>1802.55</v>
      </c>
      <c r="I1778" s="2" t="s">
        <v>15</v>
      </c>
      <c r="J1778" s="2" t="s">
        <v>16</v>
      </c>
      <c r="K1778" s="2" t="s">
        <v>24</v>
      </c>
      <c r="L1778" s="7">
        <v>1802.55</v>
      </c>
      <c r="M1778" s="2" t="str">
        <f>_xlfn.IFS(TelecomData[[#This Row],[TenureMonths]]&lt;=12, "0-1 Year", TelecomData[[#This Row],[TenureMonths]]&lt;=36, "1-3 Years", TelecomData[[#This Row],[TenureMonths]]&gt;36, "3+ Years")</f>
        <v>3+ Years</v>
      </c>
      <c r="N1778" s="2" t="str">
        <f>IF(TelecomData[[#This Row],[CleanedTotalCharges]]&gt;=2500,"High Spend", "Standard Spend")</f>
        <v>Standard Spend</v>
      </c>
    </row>
    <row r="1779" spans="1:14" x14ac:dyDescent="0.3">
      <c r="A1779" s="1" t="s">
        <v>1803</v>
      </c>
      <c r="B1779" s="2" t="s">
        <v>12</v>
      </c>
      <c r="C1779" s="2" t="s">
        <v>13</v>
      </c>
      <c r="D1779" s="2">
        <v>28</v>
      </c>
      <c r="E1779" s="2" t="s">
        <v>14</v>
      </c>
      <c r="F1779" s="2" t="s">
        <v>16</v>
      </c>
      <c r="G1779" s="7">
        <v>54.9</v>
      </c>
      <c r="H1779" s="7">
        <v>1505.15</v>
      </c>
      <c r="I1779" s="2" t="s">
        <v>15</v>
      </c>
      <c r="J1779" s="2" t="s">
        <v>16</v>
      </c>
      <c r="K1779" s="2" t="s">
        <v>29</v>
      </c>
      <c r="L1779" s="7">
        <v>1505.15</v>
      </c>
      <c r="M1779" s="2" t="str">
        <f>_xlfn.IFS(TelecomData[[#This Row],[TenureMonths]]&lt;=12, "0-1 Year", TelecomData[[#This Row],[TenureMonths]]&lt;=36, "1-3 Years", TelecomData[[#This Row],[TenureMonths]]&gt;36, "3+ Years")</f>
        <v>1-3 Years</v>
      </c>
      <c r="N1779" s="2" t="str">
        <f>IF(TelecomData[[#This Row],[CleanedTotalCharges]]&gt;=2500,"High Spend", "Standard Spend")</f>
        <v>Standard Spend</v>
      </c>
    </row>
    <row r="1780" spans="1:14" x14ac:dyDescent="0.3">
      <c r="A1780" s="1" t="s">
        <v>1804</v>
      </c>
      <c r="B1780" s="2" t="s">
        <v>19</v>
      </c>
      <c r="C1780" s="2" t="s">
        <v>35</v>
      </c>
      <c r="D1780" s="2">
        <v>72</v>
      </c>
      <c r="E1780" s="2" t="s">
        <v>15</v>
      </c>
      <c r="F1780" s="2" t="s">
        <v>36</v>
      </c>
      <c r="G1780" s="7">
        <v>24.75</v>
      </c>
      <c r="H1780" s="7">
        <v>1859.1</v>
      </c>
      <c r="I1780" s="2" t="s">
        <v>15</v>
      </c>
      <c r="J1780" s="2" t="s">
        <v>15</v>
      </c>
      <c r="K1780" s="2" t="s">
        <v>29</v>
      </c>
      <c r="L1780" s="7">
        <v>1859.1</v>
      </c>
      <c r="M1780" s="2" t="str">
        <f>_xlfn.IFS(TelecomData[[#This Row],[TenureMonths]]&lt;=12, "0-1 Year", TelecomData[[#This Row],[TenureMonths]]&lt;=36, "1-3 Years", TelecomData[[#This Row],[TenureMonths]]&gt;36, "3+ Years")</f>
        <v>3+ Years</v>
      </c>
      <c r="N1780" s="2" t="str">
        <f>IF(TelecomData[[#This Row],[CleanedTotalCharges]]&gt;=2500,"High Spend", "Standard Spend")</f>
        <v>Standard Spend</v>
      </c>
    </row>
    <row r="1781" spans="1:14" x14ac:dyDescent="0.3">
      <c r="A1781" s="1" t="s">
        <v>1805</v>
      </c>
      <c r="B1781" s="2" t="s">
        <v>12</v>
      </c>
      <c r="C1781" s="2" t="s">
        <v>13</v>
      </c>
      <c r="D1781" s="2">
        <v>2</v>
      </c>
      <c r="E1781" s="2" t="s">
        <v>26</v>
      </c>
      <c r="F1781" s="2" t="s">
        <v>15</v>
      </c>
      <c r="G1781" s="7">
        <v>91.15</v>
      </c>
      <c r="H1781" s="7">
        <v>168.5</v>
      </c>
      <c r="I1781" s="2" t="s">
        <v>15</v>
      </c>
      <c r="J1781" s="2" t="s">
        <v>16</v>
      </c>
      <c r="K1781" s="2" t="s">
        <v>17</v>
      </c>
      <c r="L1781" s="7">
        <v>168.5</v>
      </c>
      <c r="M1781" s="2" t="str">
        <f>_xlfn.IFS(TelecomData[[#This Row],[TenureMonths]]&lt;=12, "0-1 Year", TelecomData[[#This Row],[TenureMonths]]&lt;=36, "1-3 Years", TelecomData[[#This Row],[TenureMonths]]&gt;36, "3+ Years")</f>
        <v>0-1 Year</v>
      </c>
      <c r="N1781" s="2" t="str">
        <f>IF(TelecomData[[#This Row],[CleanedTotalCharges]]&gt;=2500,"High Spend", "Standard Spend")</f>
        <v>Standard Spend</v>
      </c>
    </row>
    <row r="1782" spans="1:14" x14ac:dyDescent="0.3">
      <c r="A1782" s="1" t="s">
        <v>1806</v>
      </c>
      <c r="B1782" s="2" t="s">
        <v>12</v>
      </c>
      <c r="C1782" s="2" t="s">
        <v>20</v>
      </c>
      <c r="D1782" s="2">
        <v>18</v>
      </c>
      <c r="E1782" s="2" t="s">
        <v>15</v>
      </c>
      <c r="F1782" s="2" t="s">
        <v>36</v>
      </c>
      <c r="G1782" s="7">
        <v>20.149999999999999</v>
      </c>
      <c r="H1782" s="7">
        <v>390.85</v>
      </c>
      <c r="I1782" s="2" t="s">
        <v>16</v>
      </c>
      <c r="J1782" s="2" t="s">
        <v>15</v>
      </c>
      <c r="K1782" s="2" t="s">
        <v>24</v>
      </c>
      <c r="L1782" s="7">
        <v>390.85</v>
      </c>
      <c r="M1782" s="2" t="str">
        <f>_xlfn.IFS(TelecomData[[#This Row],[TenureMonths]]&lt;=12, "0-1 Year", TelecomData[[#This Row],[TenureMonths]]&lt;=36, "1-3 Years", TelecomData[[#This Row],[TenureMonths]]&gt;36, "3+ Years")</f>
        <v>1-3 Years</v>
      </c>
      <c r="N1782" s="2" t="str">
        <f>IF(TelecomData[[#This Row],[CleanedTotalCharges]]&gt;=2500,"High Spend", "Standard Spend")</f>
        <v>Standard Spend</v>
      </c>
    </row>
    <row r="1783" spans="1:14" x14ac:dyDescent="0.3">
      <c r="A1783" s="1" t="s">
        <v>1807</v>
      </c>
      <c r="B1783" s="2" t="s">
        <v>19</v>
      </c>
      <c r="C1783" s="2" t="s">
        <v>20</v>
      </c>
      <c r="D1783" s="2">
        <v>60</v>
      </c>
      <c r="E1783" s="2" t="s">
        <v>26</v>
      </c>
      <c r="F1783" s="2" t="s">
        <v>15</v>
      </c>
      <c r="G1783" s="7">
        <v>104.35</v>
      </c>
      <c r="H1783" s="7">
        <v>6339.45</v>
      </c>
      <c r="I1783" s="2" t="s">
        <v>15</v>
      </c>
      <c r="J1783" s="2" t="s">
        <v>16</v>
      </c>
      <c r="K1783" s="2" t="s">
        <v>17</v>
      </c>
      <c r="L1783" s="7">
        <v>6339.45</v>
      </c>
      <c r="M1783" s="2" t="str">
        <f>_xlfn.IFS(TelecomData[[#This Row],[TenureMonths]]&lt;=12, "0-1 Year", TelecomData[[#This Row],[TenureMonths]]&lt;=36, "1-3 Years", TelecomData[[#This Row],[TenureMonths]]&gt;36, "3+ Years")</f>
        <v>3+ Years</v>
      </c>
      <c r="N1783" s="2" t="str">
        <f>IF(TelecomData[[#This Row],[CleanedTotalCharges]]&gt;=2500,"High Spend", "Standard Spend")</f>
        <v>High Spend</v>
      </c>
    </row>
    <row r="1784" spans="1:14" x14ac:dyDescent="0.3">
      <c r="A1784" s="1" t="s">
        <v>1808</v>
      </c>
      <c r="B1784" s="2" t="s">
        <v>12</v>
      </c>
      <c r="C1784" s="2" t="s">
        <v>13</v>
      </c>
      <c r="D1784" s="2">
        <v>26</v>
      </c>
      <c r="E1784" s="2" t="s">
        <v>14</v>
      </c>
      <c r="F1784" s="2" t="s">
        <v>16</v>
      </c>
      <c r="G1784" s="7">
        <v>66.05</v>
      </c>
      <c r="H1784" s="7">
        <v>1652.4</v>
      </c>
      <c r="I1784" s="2" t="s">
        <v>15</v>
      </c>
      <c r="J1784" s="2" t="s">
        <v>16</v>
      </c>
      <c r="K1784" s="2" t="s">
        <v>17</v>
      </c>
      <c r="L1784" s="7">
        <v>1652.4</v>
      </c>
      <c r="M1784" s="2" t="str">
        <f>_xlfn.IFS(TelecomData[[#This Row],[TenureMonths]]&lt;=12, "0-1 Year", TelecomData[[#This Row],[TenureMonths]]&lt;=36, "1-3 Years", TelecomData[[#This Row],[TenureMonths]]&gt;36, "3+ Years")</f>
        <v>1-3 Years</v>
      </c>
      <c r="N1784" s="2" t="str">
        <f>IF(TelecomData[[#This Row],[CleanedTotalCharges]]&gt;=2500,"High Spend", "Standard Spend")</f>
        <v>Standard Spend</v>
      </c>
    </row>
    <row r="1785" spans="1:14" x14ac:dyDescent="0.3">
      <c r="A1785" s="1" t="s">
        <v>1809</v>
      </c>
      <c r="B1785" s="2" t="s">
        <v>19</v>
      </c>
      <c r="C1785" s="2" t="s">
        <v>13</v>
      </c>
      <c r="D1785" s="2">
        <v>1</v>
      </c>
      <c r="E1785" s="2" t="s">
        <v>26</v>
      </c>
      <c r="F1785" s="2" t="s">
        <v>15</v>
      </c>
      <c r="G1785" s="7">
        <v>71.650000000000006</v>
      </c>
      <c r="H1785" s="7">
        <v>71.650000000000006</v>
      </c>
      <c r="I1785" s="2" t="s">
        <v>16</v>
      </c>
      <c r="J1785" s="2" t="s">
        <v>16</v>
      </c>
      <c r="K1785" s="2" t="s">
        <v>17</v>
      </c>
      <c r="L1785" s="7">
        <v>71.650000000000006</v>
      </c>
      <c r="M1785" s="2" t="str">
        <f>_xlfn.IFS(TelecomData[[#This Row],[TenureMonths]]&lt;=12, "0-1 Year", TelecomData[[#This Row],[TenureMonths]]&lt;=36, "1-3 Years", TelecomData[[#This Row],[TenureMonths]]&gt;36, "3+ Years")</f>
        <v>0-1 Year</v>
      </c>
      <c r="N1785" s="2" t="str">
        <f>IF(TelecomData[[#This Row],[CleanedTotalCharges]]&gt;=2500,"High Spend", "Standard Spend")</f>
        <v>Standard Spend</v>
      </c>
    </row>
    <row r="1786" spans="1:14" x14ac:dyDescent="0.3">
      <c r="A1786" s="1" t="s">
        <v>1810</v>
      </c>
      <c r="B1786" s="2" t="s">
        <v>12</v>
      </c>
      <c r="C1786" s="2" t="s">
        <v>13</v>
      </c>
      <c r="D1786" s="2">
        <v>4</v>
      </c>
      <c r="E1786" s="2" t="s">
        <v>15</v>
      </c>
      <c r="F1786" s="2" t="s">
        <v>36</v>
      </c>
      <c r="G1786" s="7">
        <v>20.350000000000001</v>
      </c>
      <c r="H1786" s="7">
        <v>77.5</v>
      </c>
      <c r="I1786" s="2" t="s">
        <v>16</v>
      </c>
      <c r="J1786" s="2" t="s">
        <v>15</v>
      </c>
      <c r="K1786" s="2" t="s">
        <v>21</v>
      </c>
      <c r="L1786" s="7">
        <v>77.5</v>
      </c>
      <c r="M1786" s="2" t="str">
        <f>_xlfn.IFS(TelecomData[[#This Row],[TenureMonths]]&lt;=12, "0-1 Year", TelecomData[[#This Row],[TenureMonths]]&lt;=36, "1-3 Years", TelecomData[[#This Row],[TenureMonths]]&gt;36, "3+ Years")</f>
        <v>0-1 Year</v>
      </c>
      <c r="N1786" s="2" t="str">
        <f>IF(TelecomData[[#This Row],[CleanedTotalCharges]]&gt;=2500,"High Spend", "Standard Spend")</f>
        <v>Standard Spend</v>
      </c>
    </row>
    <row r="1787" spans="1:14" x14ac:dyDescent="0.3">
      <c r="A1787" s="1" t="s">
        <v>1811</v>
      </c>
      <c r="B1787" s="2" t="s">
        <v>19</v>
      </c>
      <c r="C1787" s="2" t="s">
        <v>35</v>
      </c>
      <c r="D1787" s="2">
        <v>68</v>
      </c>
      <c r="E1787" s="2" t="s">
        <v>14</v>
      </c>
      <c r="F1787" s="2" t="s">
        <v>16</v>
      </c>
      <c r="G1787" s="7">
        <v>92.2</v>
      </c>
      <c r="H1787" s="7">
        <v>6392.85</v>
      </c>
      <c r="I1787" s="2" t="s">
        <v>15</v>
      </c>
      <c r="J1787" s="2" t="s">
        <v>16</v>
      </c>
      <c r="K1787" s="2" t="s">
        <v>29</v>
      </c>
      <c r="L1787" s="7">
        <v>6392.85</v>
      </c>
      <c r="M1787" s="2" t="str">
        <f>_xlfn.IFS(TelecomData[[#This Row],[TenureMonths]]&lt;=12, "0-1 Year", TelecomData[[#This Row],[TenureMonths]]&lt;=36, "1-3 Years", TelecomData[[#This Row],[TenureMonths]]&gt;36, "3+ Years")</f>
        <v>3+ Years</v>
      </c>
      <c r="N1787" s="2" t="str">
        <f>IF(TelecomData[[#This Row],[CleanedTotalCharges]]&gt;=2500,"High Spend", "Standard Spend")</f>
        <v>High Spend</v>
      </c>
    </row>
    <row r="1788" spans="1:14" x14ac:dyDescent="0.3">
      <c r="A1788" s="1" t="s">
        <v>1812</v>
      </c>
      <c r="B1788" s="2" t="s">
        <v>12</v>
      </c>
      <c r="C1788" s="2" t="s">
        <v>13</v>
      </c>
      <c r="D1788" s="2">
        <v>38</v>
      </c>
      <c r="E1788" s="2" t="s">
        <v>26</v>
      </c>
      <c r="F1788" s="2" t="s">
        <v>16</v>
      </c>
      <c r="G1788" s="7">
        <v>84.25</v>
      </c>
      <c r="H1788" s="7">
        <v>3264.5</v>
      </c>
      <c r="I1788" s="2" t="s">
        <v>16</v>
      </c>
      <c r="J1788" s="2" t="s">
        <v>16</v>
      </c>
      <c r="K1788" s="2" t="s">
        <v>29</v>
      </c>
      <c r="L1788" s="7">
        <v>3264.5</v>
      </c>
      <c r="M1788" s="2" t="str">
        <f>_xlfn.IFS(TelecomData[[#This Row],[TenureMonths]]&lt;=12, "0-1 Year", TelecomData[[#This Row],[TenureMonths]]&lt;=36, "1-3 Years", TelecomData[[#This Row],[TenureMonths]]&gt;36, "3+ Years")</f>
        <v>3+ Years</v>
      </c>
      <c r="N1788" s="2" t="str">
        <f>IF(TelecomData[[#This Row],[CleanedTotalCharges]]&gt;=2500,"High Spend", "Standard Spend")</f>
        <v>High Spend</v>
      </c>
    </row>
    <row r="1789" spans="1:14" x14ac:dyDescent="0.3">
      <c r="A1789" s="1" t="s">
        <v>1813</v>
      </c>
      <c r="B1789" s="2" t="s">
        <v>12</v>
      </c>
      <c r="C1789" s="2" t="s">
        <v>20</v>
      </c>
      <c r="D1789" s="2">
        <v>42</v>
      </c>
      <c r="E1789" s="2" t="s">
        <v>26</v>
      </c>
      <c r="F1789" s="2" t="s">
        <v>15</v>
      </c>
      <c r="G1789" s="7">
        <v>105.2</v>
      </c>
      <c r="H1789" s="7">
        <v>4599.1499999999996</v>
      </c>
      <c r="I1789" s="2" t="s">
        <v>15</v>
      </c>
      <c r="J1789" s="2" t="s">
        <v>16</v>
      </c>
      <c r="K1789" s="2" t="s">
        <v>24</v>
      </c>
      <c r="L1789" s="7">
        <v>4599.1499999999996</v>
      </c>
      <c r="M1789" s="2" t="str">
        <f>_xlfn.IFS(TelecomData[[#This Row],[TenureMonths]]&lt;=12, "0-1 Year", TelecomData[[#This Row],[TenureMonths]]&lt;=36, "1-3 Years", TelecomData[[#This Row],[TenureMonths]]&gt;36, "3+ Years")</f>
        <v>3+ Years</v>
      </c>
      <c r="N1789" s="2" t="str">
        <f>IF(TelecomData[[#This Row],[CleanedTotalCharges]]&gt;=2500,"High Spend", "Standard Spend")</f>
        <v>High Spend</v>
      </c>
    </row>
    <row r="1790" spans="1:14" x14ac:dyDescent="0.3">
      <c r="A1790" s="1" t="s">
        <v>1814</v>
      </c>
      <c r="B1790" s="2" t="s">
        <v>12</v>
      </c>
      <c r="C1790" s="2" t="s">
        <v>35</v>
      </c>
      <c r="D1790" s="2">
        <v>57</v>
      </c>
      <c r="E1790" s="2" t="s">
        <v>15</v>
      </c>
      <c r="F1790" s="2" t="s">
        <v>36</v>
      </c>
      <c r="G1790" s="7">
        <v>19.600000000000001</v>
      </c>
      <c r="H1790" s="7">
        <v>1134.25</v>
      </c>
      <c r="I1790" s="2" t="s">
        <v>15</v>
      </c>
      <c r="J1790" s="2" t="s">
        <v>16</v>
      </c>
      <c r="K1790" s="2" t="s">
        <v>24</v>
      </c>
      <c r="L1790" s="7">
        <v>1134.25</v>
      </c>
      <c r="M1790" s="2" t="str">
        <f>_xlfn.IFS(TelecomData[[#This Row],[TenureMonths]]&lt;=12, "0-1 Year", TelecomData[[#This Row],[TenureMonths]]&lt;=36, "1-3 Years", TelecomData[[#This Row],[TenureMonths]]&gt;36, "3+ Years")</f>
        <v>3+ Years</v>
      </c>
      <c r="N1790" s="2" t="str">
        <f>IF(TelecomData[[#This Row],[CleanedTotalCharges]]&gt;=2500,"High Spend", "Standard Spend")</f>
        <v>Standard Spend</v>
      </c>
    </row>
    <row r="1791" spans="1:14" x14ac:dyDescent="0.3">
      <c r="A1791" s="1" t="s">
        <v>1815</v>
      </c>
      <c r="B1791" s="2" t="s">
        <v>19</v>
      </c>
      <c r="C1791" s="2" t="s">
        <v>13</v>
      </c>
      <c r="D1791" s="2">
        <v>54</v>
      </c>
      <c r="E1791" s="2" t="s">
        <v>14</v>
      </c>
      <c r="F1791" s="2" t="s">
        <v>15</v>
      </c>
      <c r="G1791" s="7">
        <v>30.4</v>
      </c>
      <c r="H1791" s="7">
        <v>1621.35</v>
      </c>
      <c r="I1791" s="2" t="s">
        <v>15</v>
      </c>
      <c r="J1791" s="2" t="s">
        <v>15</v>
      </c>
      <c r="K1791" s="2" t="s">
        <v>17</v>
      </c>
      <c r="L1791" s="7">
        <v>1621.35</v>
      </c>
      <c r="M1791" s="2" t="str">
        <f>_xlfn.IFS(TelecomData[[#This Row],[TenureMonths]]&lt;=12, "0-1 Year", TelecomData[[#This Row],[TenureMonths]]&lt;=36, "1-3 Years", TelecomData[[#This Row],[TenureMonths]]&gt;36, "3+ Years")</f>
        <v>3+ Years</v>
      </c>
      <c r="N1791" s="2" t="str">
        <f>IF(TelecomData[[#This Row],[CleanedTotalCharges]]&gt;=2500,"High Spend", "Standard Spend")</f>
        <v>Standard Spend</v>
      </c>
    </row>
    <row r="1792" spans="1:14" x14ac:dyDescent="0.3">
      <c r="A1792" s="1" t="s">
        <v>1816</v>
      </c>
      <c r="B1792" s="2" t="s">
        <v>12</v>
      </c>
      <c r="C1792" s="2" t="s">
        <v>13</v>
      </c>
      <c r="D1792" s="2">
        <v>12</v>
      </c>
      <c r="E1792" s="2" t="s">
        <v>26</v>
      </c>
      <c r="F1792" s="2" t="s">
        <v>15</v>
      </c>
      <c r="G1792" s="7">
        <v>78.099999999999994</v>
      </c>
      <c r="H1792" s="7">
        <v>947.3</v>
      </c>
      <c r="I1792" s="2" t="s">
        <v>16</v>
      </c>
      <c r="J1792" s="2" t="s">
        <v>15</v>
      </c>
      <c r="K1792" s="2" t="s">
        <v>24</v>
      </c>
      <c r="L1792" s="7">
        <v>947.3</v>
      </c>
      <c r="M1792" s="2" t="str">
        <f>_xlfn.IFS(TelecomData[[#This Row],[TenureMonths]]&lt;=12, "0-1 Year", TelecomData[[#This Row],[TenureMonths]]&lt;=36, "1-3 Years", TelecomData[[#This Row],[TenureMonths]]&gt;36, "3+ Years")</f>
        <v>0-1 Year</v>
      </c>
      <c r="N1792" s="2" t="str">
        <f>IF(TelecomData[[#This Row],[CleanedTotalCharges]]&gt;=2500,"High Spend", "Standard Spend")</f>
        <v>Standard Spend</v>
      </c>
    </row>
    <row r="1793" spans="1:14" x14ac:dyDescent="0.3">
      <c r="A1793" s="1" t="s">
        <v>1817</v>
      </c>
      <c r="B1793" s="2" t="s">
        <v>12</v>
      </c>
      <c r="C1793" s="2" t="s">
        <v>20</v>
      </c>
      <c r="D1793" s="2">
        <v>44</v>
      </c>
      <c r="E1793" s="2" t="s">
        <v>14</v>
      </c>
      <c r="F1793" s="2" t="s">
        <v>15</v>
      </c>
      <c r="G1793" s="7">
        <v>61.5</v>
      </c>
      <c r="H1793" s="7">
        <v>2722.2</v>
      </c>
      <c r="I1793" s="2" t="s">
        <v>15</v>
      </c>
      <c r="J1793" s="2" t="s">
        <v>16</v>
      </c>
      <c r="K1793" s="2" t="s">
        <v>21</v>
      </c>
      <c r="L1793" s="7">
        <v>2722.2</v>
      </c>
      <c r="M1793" s="2" t="str">
        <f>_xlfn.IFS(TelecomData[[#This Row],[TenureMonths]]&lt;=12, "0-1 Year", TelecomData[[#This Row],[TenureMonths]]&lt;=36, "1-3 Years", TelecomData[[#This Row],[TenureMonths]]&gt;36, "3+ Years")</f>
        <v>3+ Years</v>
      </c>
      <c r="N1793" s="2" t="str">
        <f>IF(TelecomData[[#This Row],[CleanedTotalCharges]]&gt;=2500,"High Spend", "Standard Spend")</f>
        <v>High Spend</v>
      </c>
    </row>
    <row r="1794" spans="1:14" x14ac:dyDescent="0.3">
      <c r="A1794" s="1" t="s">
        <v>1818</v>
      </c>
      <c r="B1794" s="2" t="s">
        <v>19</v>
      </c>
      <c r="C1794" s="2" t="s">
        <v>13</v>
      </c>
      <c r="D1794" s="2">
        <v>42</v>
      </c>
      <c r="E1794" s="2" t="s">
        <v>14</v>
      </c>
      <c r="F1794" s="2" t="s">
        <v>15</v>
      </c>
      <c r="G1794" s="7">
        <v>69.400000000000006</v>
      </c>
      <c r="H1794" s="7">
        <v>3058.3</v>
      </c>
      <c r="I1794" s="2" t="s">
        <v>15</v>
      </c>
      <c r="J1794" s="2" t="s">
        <v>16</v>
      </c>
      <c r="K1794" s="2" t="s">
        <v>24</v>
      </c>
      <c r="L1794" s="7">
        <v>3058.3</v>
      </c>
      <c r="M1794" s="2" t="str">
        <f>_xlfn.IFS(TelecomData[[#This Row],[TenureMonths]]&lt;=12, "0-1 Year", TelecomData[[#This Row],[TenureMonths]]&lt;=36, "1-3 Years", TelecomData[[#This Row],[TenureMonths]]&gt;36, "3+ Years")</f>
        <v>3+ Years</v>
      </c>
      <c r="N1794" s="2" t="str">
        <f>IF(TelecomData[[#This Row],[CleanedTotalCharges]]&gt;=2500,"High Spend", "Standard Spend")</f>
        <v>High Spend</v>
      </c>
    </row>
    <row r="1795" spans="1:14" x14ac:dyDescent="0.3">
      <c r="A1795" s="1" t="s">
        <v>1819</v>
      </c>
      <c r="B1795" s="2" t="s">
        <v>19</v>
      </c>
      <c r="C1795" s="2" t="s">
        <v>35</v>
      </c>
      <c r="D1795" s="2">
        <v>72</v>
      </c>
      <c r="E1795" s="2" t="s">
        <v>15</v>
      </c>
      <c r="F1795" s="2" t="s">
        <v>36</v>
      </c>
      <c r="G1795" s="7">
        <v>24.75</v>
      </c>
      <c r="H1795" s="7">
        <v>1769.6</v>
      </c>
      <c r="I1795" s="2" t="s">
        <v>15</v>
      </c>
      <c r="J1795" s="2" t="s">
        <v>15</v>
      </c>
      <c r="K1795" s="2" t="s">
        <v>24</v>
      </c>
      <c r="L1795" s="7">
        <v>1769.6</v>
      </c>
      <c r="M1795" s="2" t="str">
        <f>_xlfn.IFS(TelecomData[[#This Row],[TenureMonths]]&lt;=12, "0-1 Year", TelecomData[[#This Row],[TenureMonths]]&lt;=36, "1-3 Years", TelecomData[[#This Row],[TenureMonths]]&gt;36, "3+ Years")</f>
        <v>3+ Years</v>
      </c>
      <c r="N1795" s="2" t="str">
        <f>IF(TelecomData[[#This Row],[CleanedTotalCharges]]&gt;=2500,"High Spend", "Standard Spend")</f>
        <v>Standard Spend</v>
      </c>
    </row>
    <row r="1796" spans="1:14" x14ac:dyDescent="0.3">
      <c r="A1796" s="1" t="s">
        <v>1820</v>
      </c>
      <c r="B1796" s="2" t="s">
        <v>12</v>
      </c>
      <c r="C1796" s="2" t="s">
        <v>35</v>
      </c>
      <c r="D1796" s="2">
        <v>71</v>
      </c>
      <c r="E1796" s="2" t="s">
        <v>14</v>
      </c>
      <c r="F1796" s="2" t="s">
        <v>16</v>
      </c>
      <c r="G1796" s="7">
        <v>91.05</v>
      </c>
      <c r="H1796" s="7">
        <v>6293.75</v>
      </c>
      <c r="I1796" s="2" t="s">
        <v>15</v>
      </c>
      <c r="J1796" s="2" t="s">
        <v>15</v>
      </c>
      <c r="K1796" s="2" t="s">
        <v>21</v>
      </c>
      <c r="L1796" s="7">
        <v>6293.75</v>
      </c>
      <c r="M1796" s="2" t="str">
        <f>_xlfn.IFS(TelecomData[[#This Row],[TenureMonths]]&lt;=12, "0-1 Year", TelecomData[[#This Row],[TenureMonths]]&lt;=36, "1-3 Years", TelecomData[[#This Row],[TenureMonths]]&gt;36, "3+ Years")</f>
        <v>3+ Years</v>
      </c>
      <c r="N1796" s="2" t="str">
        <f>IF(TelecomData[[#This Row],[CleanedTotalCharges]]&gt;=2500,"High Spend", "Standard Spend")</f>
        <v>High Spend</v>
      </c>
    </row>
    <row r="1797" spans="1:14" x14ac:dyDescent="0.3">
      <c r="A1797" s="1" t="s">
        <v>1821</v>
      </c>
      <c r="B1797" s="2" t="s">
        <v>12</v>
      </c>
      <c r="C1797" s="2" t="s">
        <v>13</v>
      </c>
      <c r="D1797" s="2">
        <v>19</v>
      </c>
      <c r="E1797" s="2" t="s">
        <v>26</v>
      </c>
      <c r="F1797" s="2" t="s">
        <v>15</v>
      </c>
      <c r="G1797" s="7">
        <v>89.65</v>
      </c>
      <c r="H1797" s="7">
        <v>1761.05</v>
      </c>
      <c r="I1797" s="2" t="s">
        <v>16</v>
      </c>
      <c r="J1797" s="2" t="s">
        <v>15</v>
      </c>
      <c r="K1797" s="2" t="s">
        <v>21</v>
      </c>
      <c r="L1797" s="7">
        <v>1761.05</v>
      </c>
      <c r="M1797" s="2" t="str">
        <f>_xlfn.IFS(TelecomData[[#This Row],[TenureMonths]]&lt;=12, "0-1 Year", TelecomData[[#This Row],[TenureMonths]]&lt;=36, "1-3 Years", TelecomData[[#This Row],[TenureMonths]]&gt;36, "3+ Years")</f>
        <v>1-3 Years</v>
      </c>
      <c r="N1797" s="2" t="str">
        <f>IF(TelecomData[[#This Row],[CleanedTotalCharges]]&gt;=2500,"High Spend", "Standard Spend")</f>
        <v>Standard Spend</v>
      </c>
    </row>
    <row r="1798" spans="1:14" x14ac:dyDescent="0.3">
      <c r="A1798" s="1" t="s">
        <v>1822</v>
      </c>
      <c r="B1798" s="2" t="s">
        <v>12</v>
      </c>
      <c r="C1798" s="2" t="s">
        <v>13</v>
      </c>
      <c r="D1798" s="2">
        <v>23</v>
      </c>
      <c r="E1798" s="2" t="s">
        <v>14</v>
      </c>
      <c r="F1798" s="2" t="s">
        <v>16</v>
      </c>
      <c r="G1798" s="7">
        <v>73.650000000000006</v>
      </c>
      <c r="H1798" s="7">
        <v>1642.75</v>
      </c>
      <c r="I1798" s="2" t="s">
        <v>15</v>
      </c>
      <c r="J1798" s="2" t="s">
        <v>16</v>
      </c>
      <c r="K1798" s="2" t="s">
        <v>29</v>
      </c>
      <c r="L1798" s="7">
        <v>1642.75</v>
      </c>
      <c r="M1798" s="2" t="str">
        <f>_xlfn.IFS(TelecomData[[#This Row],[TenureMonths]]&lt;=12, "0-1 Year", TelecomData[[#This Row],[TenureMonths]]&lt;=36, "1-3 Years", TelecomData[[#This Row],[TenureMonths]]&gt;36, "3+ Years")</f>
        <v>1-3 Years</v>
      </c>
      <c r="N1798" s="2" t="str">
        <f>IF(TelecomData[[#This Row],[CleanedTotalCharges]]&gt;=2500,"High Spend", "Standard Spend")</f>
        <v>Standard Spend</v>
      </c>
    </row>
    <row r="1799" spans="1:14" x14ac:dyDescent="0.3">
      <c r="A1799" s="1" t="s">
        <v>1823</v>
      </c>
      <c r="B1799" s="2" t="s">
        <v>12</v>
      </c>
      <c r="C1799" s="2" t="s">
        <v>35</v>
      </c>
      <c r="D1799" s="2">
        <v>30</v>
      </c>
      <c r="E1799" s="2" t="s">
        <v>15</v>
      </c>
      <c r="F1799" s="2" t="s">
        <v>36</v>
      </c>
      <c r="G1799" s="7">
        <v>19.399999999999999</v>
      </c>
      <c r="H1799" s="7">
        <v>578.5</v>
      </c>
      <c r="I1799" s="2" t="s">
        <v>15</v>
      </c>
      <c r="J1799" s="2" t="s">
        <v>15</v>
      </c>
      <c r="K1799" s="2" t="s">
        <v>29</v>
      </c>
      <c r="L1799" s="7">
        <v>578.5</v>
      </c>
      <c r="M1799" s="2" t="str">
        <f>_xlfn.IFS(TelecomData[[#This Row],[TenureMonths]]&lt;=12, "0-1 Year", TelecomData[[#This Row],[TenureMonths]]&lt;=36, "1-3 Years", TelecomData[[#This Row],[TenureMonths]]&gt;36, "3+ Years")</f>
        <v>1-3 Years</v>
      </c>
      <c r="N1799" s="2" t="str">
        <f>IF(TelecomData[[#This Row],[CleanedTotalCharges]]&gt;=2500,"High Spend", "Standard Spend")</f>
        <v>Standard Spend</v>
      </c>
    </row>
    <row r="1800" spans="1:14" x14ac:dyDescent="0.3">
      <c r="A1800" s="1" t="s">
        <v>1824</v>
      </c>
      <c r="B1800" s="2" t="s">
        <v>19</v>
      </c>
      <c r="C1800" s="2" t="s">
        <v>20</v>
      </c>
      <c r="D1800" s="2">
        <v>35</v>
      </c>
      <c r="E1800" s="2" t="s">
        <v>15</v>
      </c>
      <c r="F1800" s="2" t="s">
        <v>36</v>
      </c>
      <c r="G1800" s="7">
        <v>26.2</v>
      </c>
      <c r="H1800" s="7">
        <v>954.9</v>
      </c>
      <c r="I1800" s="2" t="s">
        <v>15</v>
      </c>
      <c r="J1800" s="2" t="s">
        <v>15</v>
      </c>
      <c r="K1800" s="2" t="s">
        <v>24</v>
      </c>
      <c r="L1800" s="7">
        <v>954.9</v>
      </c>
      <c r="M1800" s="2" t="str">
        <f>_xlfn.IFS(TelecomData[[#This Row],[TenureMonths]]&lt;=12, "0-1 Year", TelecomData[[#This Row],[TenureMonths]]&lt;=36, "1-3 Years", TelecomData[[#This Row],[TenureMonths]]&gt;36, "3+ Years")</f>
        <v>1-3 Years</v>
      </c>
      <c r="N1800" s="2" t="str">
        <f>IF(TelecomData[[#This Row],[CleanedTotalCharges]]&gt;=2500,"High Spend", "Standard Spend")</f>
        <v>Standard Spend</v>
      </c>
    </row>
    <row r="1801" spans="1:14" x14ac:dyDescent="0.3">
      <c r="A1801" s="1" t="s">
        <v>1825</v>
      </c>
      <c r="B1801" s="2" t="s">
        <v>12</v>
      </c>
      <c r="C1801" s="2" t="s">
        <v>13</v>
      </c>
      <c r="D1801" s="2">
        <v>10</v>
      </c>
      <c r="E1801" s="2" t="s">
        <v>26</v>
      </c>
      <c r="F1801" s="2" t="s">
        <v>15</v>
      </c>
      <c r="G1801" s="7">
        <v>98.7</v>
      </c>
      <c r="H1801" s="7">
        <v>973.25</v>
      </c>
      <c r="I1801" s="2" t="s">
        <v>16</v>
      </c>
      <c r="J1801" s="2" t="s">
        <v>16</v>
      </c>
      <c r="K1801" s="2" t="s">
        <v>17</v>
      </c>
      <c r="L1801" s="7">
        <v>973.25</v>
      </c>
      <c r="M1801" s="2" t="str">
        <f>_xlfn.IFS(TelecomData[[#This Row],[TenureMonths]]&lt;=12, "0-1 Year", TelecomData[[#This Row],[TenureMonths]]&lt;=36, "1-3 Years", TelecomData[[#This Row],[TenureMonths]]&gt;36, "3+ Years")</f>
        <v>0-1 Year</v>
      </c>
      <c r="N1801" s="2" t="str">
        <f>IF(TelecomData[[#This Row],[CleanedTotalCharges]]&gt;=2500,"High Spend", "Standard Spend")</f>
        <v>Standard Spend</v>
      </c>
    </row>
    <row r="1802" spans="1:14" x14ac:dyDescent="0.3">
      <c r="A1802" s="1" t="s">
        <v>1826</v>
      </c>
      <c r="B1802" s="2" t="s">
        <v>19</v>
      </c>
      <c r="C1802" s="2" t="s">
        <v>13</v>
      </c>
      <c r="D1802" s="2">
        <v>1</v>
      </c>
      <c r="E1802" s="2" t="s">
        <v>14</v>
      </c>
      <c r="F1802" s="2" t="s">
        <v>15</v>
      </c>
      <c r="G1802" s="7">
        <v>43.85</v>
      </c>
      <c r="H1802" s="7">
        <v>43.85</v>
      </c>
      <c r="I1802" s="2" t="s">
        <v>15</v>
      </c>
      <c r="J1802" s="2" t="s">
        <v>16</v>
      </c>
      <c r="K1802" s="2" t="s">
        <v>24</v>
      </c>
      <c r="L1802" s="7">
        <v>43.85</v>
      </c>
      <c r="M1802" s="2" t="str">
        <f>_xlfn.IFS(TelecomData[[#This Row],[TenureMonths]]&lt;=12, "0-1 Year", TelecomData[[#This Row],[TenureMonths]]&lt;=36, "1-3 Years", TelecomData[[#This Row],[TenureMonths]]&gt;36, "3+ Years")</f>
        <v>0-1 Year</v>
      </c>
      <c r="N1802" s="2" t="str">
        <f>IF(TelecomData[[#This Row],[CleanedTotalCharges]]&gt;=2500,"High Spend", "Standard Spend")</f>
        <v>Standard Spend</v>
      </c>
    </row>
    <row r="1803" spans="1:14" x14ac:dyDescent="0.3">
      <c r="A1803" s="1" t="s">
        <v>1827</v>
      </c>
      <c r="B1803" s="2" t="s">
        <v>19</v>
      </c>
      <c r="C1803" s="2" t="s">
        <v>13</v>
      </c>
      <c r="D1803" s="2">
        <v>22</v>
      </c>
      <c r="E1803" s="2" t="s">
        <v>26</v>
      </c>
      <c r="F1803" s="2" t="s">
        <v>15</v>
      </c>
      <c r="G1803" s="7">
        <v>69.7</v>
      </c>
      <c r="H1803" s="7">
        <v>1490.4</v>
      </c>
      <c r="I1803" s="2" t="s">
        <v>15</v>
      </c>
      <c r="J1803" s="2" t="s">
        <v>16</v>
      </c>
      <c r="K1803" s="2" t="s">
        <v>21</v>
      </c>
      <c r="L1803" s="7">
        <v>1490.4</v>
      </c>
      <c r="M1803" s="2" t="str">
        <f>_xlfn.IFS(TelecomData[[#This Row],[TenureMonths]]&lt;=12, "0-1 Year", TelecomData[[#This Row],[TenureMonths]]&lt;=36, "1-3 Years", TelecomData[[#This Row],[TenureMonths]]&gt;36, "3+ Years")</f>
        <v>1-3 Years</v>
      </c>
      <c r="N1803" s="2" t="str">
        <f>IF(TelecomData[[#This Row],[CleanedTotalCharges]]&gt;=2500,"High Spend", "Standard Spend")</f>
        <v>Standard Spend</v>
      </c>
    </row>
    <row r="1804" spans="1:14" x14ac:dyDescent="0.3">
      <c r="A1804" s="1" t="s">
        <v>1828</v>
      </c>
      <c r="B1804" s="2" t="s">
        <v>19</v>
      </c>
      <c r="C1804" s="2" t="s">
        <v>35</v>
      </c>
      <c r="D1804" s="2">
        <v>7</v>
      </c>
      <c r="E1804" s="2" t="s">
        <v>14</v>
      </c>
      <c r="F1804" s="2" t="s">
        <v>15</v>
      </c>
      <c r="G1804" s="7">
        <v>38.549999999999997</v>
      </c>
      <c r="H1804" s="7">
        <v>280</v>
      </c>
      <c r="I1804" s="2" t="s">
        <v>15</v>
      </c>
      <c r="J1804" s="2" t="s">
        <v>15</v>
      </c>
      <c r="K1804" s="2" t="s">
        <v>21</v>
      </c>
      <c r="L1804" s="7">
        <v>280</v>
      </c>
      <c r="M1804" s="2" t="str">
        <f>_xlfn.IFS(TelecomData[[#This Row],[TenureMonths]]&lt;=12, "0-1 Year", TelecomData[[#This Row],[TenureMonths]]&lt;=36, "1-3 Years", TelecomData[[#This Row],[TenureMonths]]&gt;36, "3+ Years")</f>
        <v>0-1 Year</v>
      </c>
      <c r="N1804" s="2" t="str">
        <f>IF(TelecomData[[#This Row],[CleanedTotalCharges]]&gt;=2500,"High Spend", "Standard Spend")</f>
        <v>Standard Spend</v>
      </c>
    </row>
    <row r="1805" spans="1:14" x14ac:dyDescent="0.3">
      <c r="A1805" s="1" t="s">
        <v>1829</v>
      </c>
      <c r="B1805" s="2" t="s">
        <v>12</v>
      </c>
      <c r="C1805" s="2" t="s">
        <v>35</v>
      </c>
      <c r="D1805" s="2">
        <v>36</v>
      </c>
      <c r="E1805" s="2" t="s">
        <v>14</v>
      </c>
      <c r="F1805" s="2" t="s">
        <v>16</v>
      </c>
      <c r="G1805" s="7">
        <v>53.1</v>
      </c>
      <c r="H1805" s="7">
        <v>1901.25</v>
      </c>
      <c r="I1805" s="2" t="s">
        <v>15</v>
      </c>
      <c r="J1805" s="2" t="s">
        <v>16</v>
      </c>
      <c r="K1805" s="2" t="s">
        <v>21</v>
      </c>
      <c r="L1805" s="7">
        <v>1901.25</v>
      </c>
      <c r="M1805" s="2" t="str">
        <f>_xlfn.IFS(TelecomData[[#This Row],[TenureMonths]]&lt;=12, "0-1 Year", TelecomData[[#This Row],[TenureMonths]]&lt;=36, "1-3 Years", TelecomData[[#This Row],[TenureMonths]]&gt;36, "3+ Years")</f>
        <v>1-3 Years</v>
      </c>
      <c r="N1805" s="2" t="str">
        <f>IF(TelecomData[[#This Row],[CleanedTotalCharges]]&gt;=2500,"High Spend", "Standard Spend")</f>
        <v>Standard Spend</v>
      </c>
    </row>
    <row r="1806" spans="1:14" x14ac:dyDescent="0.3">
      <c r="A1806" s="1" t="s">
        <v>1830</v>
      </c>
      <c r="B1806" s="2" t="s">
        <v>12</v>
      </c>
      <c r="C1806" s="2" t="s">
        <v>13</v>
      </c>
      <c r="D1806" s="2">
        <v>34</v>
      </c>
      <c r="E1806" s="2" t="s">
        <v>15</v>
      </c>
      <c r="F1806" s="2" t="s">
        <v>36</v>
      </c>
      <c r="G1806" s="7">
        <v>20.65</v>
      </c>
      <c r="H1806" s="7">
        <v>716.4</v>
      </c>
      <c r="I1806" s="2" t="s">
        <v>15</v>
      </c>
      <c r="J1806" s="2" t="s">
        <v>15</v>
      </c>
      <c r="K1806" s="2" t="s">
        <v>21</v>
      </c>
      <c r="L1806" s="7">
        <v>716.4</v>
      </c>
      <c r="M1806" s="2" t="str">
        <f>_xlfn.IFS(TelecomData[[#This Row],[TenureMonths]]&lt;=12, "0-1 Year", TelecomData[[#This Row],[TenureMonths]]&lt;=36, "1-3 Years", TelecomData[[#This Row],[TenureMonths]]&gt;36, "3+ Years")</f>
        <v>1-3 Years</v>
      </c>
      <c r="N1806" s="2" t="str">
        <f>IF(TelecomData[[#This Row],[CleanedTotalCharges]]&gt;=2500,"High Spend", "Standard Spend")</f>
        <v>Standard Spend</v>
      </c>
    </row>
    <row r="1807" spans="1:14" x14ac:dyDescent="0.3">
      <c r="A1807" s="1" t="s">
        <v>1831</v>
      </c>
      <c r="B1807" s="2" t="s">
        <v>19</v>
      </c>
      <c r="C1807" s="2" t="s">
        <v>35</v>
      </c>
      <c r="D1807" s="2">
        <v>72</v>
      </c>
      <c r="E1807" s="2" t="s">
        <v>14</v>
      </c>
      <c r="F1807" s="2" t="s">
        <v>15</v>
      </c>
      <c r="G1807" s="7">
        <v>64.45</v>
      </c>
      <c r="H1807" s="7">
        <v>4720</v>
      </c>
      <c r="I1807" s="2" t="s">
        <v>15</v>
      </c>
      <c r="J1807" s="2" t="s">
        <v>15</v>
      </c>
      <c r="K1807" s="2" t="s">
        <v>29</v>
      </c>
      <c r="L1807" s="7">
        <v>4720</v>
      </c>
      <c r="M1807" s="2" t="str">
        <f>_xlfn.IFS(TelecomData[[#This Row],[TenureMonths]]&lt;=12, "0-1 Year", TelecomData[[#This Row],[TenureMonths]]&lt;=36, "1-3 Years", TelecomData[[#This Row],[TenureMonths]]&gt;36, "3+ Years")</f>
        <v>3+ Years</v>
      </c>
      <c r="N1807" s="2" t="str">
        <f>IF(TelecomData[[#This Row],[CleanedTotalCharges]]&gt;=2500,"High Spend", "Standard Spend")</f>
        <v>High Spend</v>
      </c>
    </row>
    <row r="1808" spans="1:14" x14ac:dyDescent="0.3">
      <c r="A1808" s="1" t="s">
        <v>1832</v>
      </c>
      <c r="B1808" s="2" t="s">
        <v>19</v>
      </c>
      <c r="C1808" s="2" t="s">
        <v>35</v>
      </c>
      <c r="D1808" s="2">
        <v>36</v>
      </c>
      <c r="E1808" s="2" t="s">
        <v>15</v>
      </c>
      <c r="F1808" s="2" t="s">
        <v>36</v>
      </c>
      <c r="G1808" s="7">
        <v>25.1</v>
      </c>
      <c r="H1808" s="7">
        <v>930.95</v>
      </c>
      <c r="I1808" s="2" t="s">
        <v>15</v>
      </c>
      <c r="J1808" s="2" t="s">
        <v>15</v>
      </c>
      <c r="K1808" s="2" t="s">
        <v>29</v>
      </c>
      <c r="L1808" s="7">
        <v>930.95</v>
      </c>
      <c r="M1808" s="2" t="str">
        <f>_xlfn.IFS(TelecomData[[#This Row],[TenureMonths]]&lt;=12, "0-1 Year", TelecomData[[#This Row],[TenureMonths]]&lt;=36, "1-3 Years", TelecomData[[#This Row],[TenureMonths]]&gt;36, "3+ Years")</f>
        <v>1-3 Years</v>
      </c>
      <c r="N1808" s="2" t="str">
        <f>IF(TelecomData[[#This Row],[CleanedTotalCharges]]&gt;=2500,"High Spend", "Standard Spend")</f>
        <v>Standard Spend</v>
      </c>
    </row>
    <row r="1809" spans="1:14" x14ac:dyDescent="0.3">
      <c r="A1809" s="1" t="s">
        <v>1833</v>
      </c>
      <c r="B1809" s="2" t="s">
        <v>12</v>
      </c>
      <c r="C1809" s="2" t="s">
        <v>13</v>
      </c>
      <c r="D1809" s="2">
        <v>1</v>
      </c>
      <c r="E1809" s="2" t="s">
        <v>26</v>
      </c>
      <c r="F1809" s="2" t="s">
        <v>15</v>
      </c>
      <c r="G1809" s="7">
        <v>76.349999999999994</v>
      </c>
      <c r="H1809" s="7">
        <v>76.349999999999994</v>
      </c>
      <c r="I1809" s="2" t="s">
        <v>16</v>
      </c>
      <c r="J1809" s="2" t="s">
        <v>15</v>
      </c>
      <c r="K1809" s="2" t="s">
        <v>17</v>
      </c>
      <c r="L1809" s="7">
        <v>76.349999999999994</v>
      </c>
      <c r="M1809" s="2" t="str">
        <f>_xlfn.IFS(TelecomData[[#This Row],[TenureMonths]]&lt;=12, "0-1 Year", TelecomData[[#This Row],[TenureMonths]]&lt;=36, "1-3 Years", TelecomData[[#This Row],[TenureMonths]]&gt;36, "3+ Years")</f>
        <v>0-1 Year</v>
      </c>
      <c r="N1809" s="2" t="str">
        <f>IF(TelecomData[[#This Row],[CleanedTotalCharges]]&gt;=2500,"High Spend", "Standard Spend")</f>
        <v>Standard Spend</v>
      </c>
    </row>
    <row r="1810" spans="1:14" x14ac:dyDescent="0.3">
      <c r="A1810" s="1" t="s">
        <v>1834</v>
      </c>
      <c r="B1810" s="2" t="s">
        <v>12</v>
      </c>
      <c r="C1810" s="2" t="s">
        <v>13</v>
      </c>
      <c r="D1810" s="2">
        <v>23</v>
      </c>
      <c r="E1810" s="2" t="s">
        <v>26</v>
      </c>
      <c r="F1810" s="2" t="s">
        <v>15</v>
      </c>
      <c r="G1810" s="7">
        <v>79.150000000000006</v>
      </c>
      <c r="H1810" s="7">
        <v>1676.95</v>
      </c>
      <c r="I1810" s="2" t="s">
        <v>16</v>
      </c>
      <c r="J1810" s="2" t="s">
        <v>16</v>
      </c>
      <c r="K1810" s="2" t="s">
        <v>17</v>
      </c>
      <c r="L1810" s="7">
        <v>1676.95</v>
      </c>
      <c r="M1810" s="2" t="str">
        <f>_xlfn.IFS(TelecomData[[#This Row],[TenureMonths]]&lt;=12, "0-1 Year", TelecomData[[#This Row],[TenureMonths]]&lt;=36, "1-3 Years", TelecomData[[#This Row],[TenureMonths]]&gt;36, "3+ Years")</f>
        <v>1-3 Years</v>
      </c>
      <c r="N1810" s="2" t="str">
        <f>IF(TelecomData[[#This Row],[CleanedTotalCharges]]&gt;=2500,"High Spend", "Standard Spend")</f>
        <v>Standard Spend</v>
      </c>
    </row>
    <row r="1811" spans="1:14" x14ac:dyDescent="0.3">
      <c r="A1811" s="1" t="s">
        <v>1835</v>
      </c>
      <c r="B1811" s="2" t="s">
        <v>19</v>
      </c>
      <c r="C1811" s="2" t="s">
        <v>13</v>
      </c>
      <c r="D1811" s="2">
        <v>32</v>
      </c>
      <c r="E1811" s="2" t="s">
        <v>26</v>
      </c>
      <c r="F1811" s="2" t="s">
        <v>15</v>
      </c>
      <c r="G1811" s="7">
        <v>85</v>
      </c>
      <c r="H1811" s="7">
        <v>2642.05</v>
      </c>
      <c r="I1811" s="2" t="s">
        <v>16</v>
      </c>
      <c r="J1811" s="2" t="s">
        <v>16</v>
      </c>
      <c r="K1811" s="2" t="s">
        <v>17</v>
      </c>
      <c r="L1811" s="7">
        <v>2642.05</v>
      </c>
      <c r="M1811" s="2" t="str">
        <f>_xlfn.IFS(TelecomData[[#This Row],[TenureMonths]]&lt;=12, "0-1 Year", TelecomData[[#This Row],[TenureMonths]]&lt;=36, "1-3 Years", TelecomData[[#This Row],[TenureMonths]]&gt;36, "3+ Years")</f>
        <v>1-3 Years</v>
      </c>
      <c r="N1811" s="2" t="str">
        <f>IF(TelecomData[[#This Row],[CleanedTotalCharges]]&gt;=2500,"High Spend", "Standard Spend")</f>
        <v>High Spend</v>
      </c>
    </row>
    <row r="1812" spans="1:14" x14ac:dyDescent="0.3">
      <c r="A1812" s="1" t="s">
        <v>1836</v>
      </c>
      <c r="B1812" s="2" t="s">
        <v>12</v>
      </c>
      <c r="C1812" s="2" t="s">
        <v>20</v>
      </c>
      <c r="D1812" s="2">
        <v>71</v>
      </c>
      <c r="E1812" s="2" t="s">
        <v>26</v>
      </c>
      <c r="F1812" s="2" t="s">
        <v>16</v>
      </c>
      <c r="G1812" s="7">
        <v>95.15</v>
      </c>
      <c r="H1812" s="7">
        <v>6770.85</v>
      </c>
      <c r="I1812" s="2" t="s">
        <v>15</v>
      </c>
      <c r="J1812" s="2" t="s">
        <v>16</v>
      </c>
      <c r="K1812" s="2" t="s">
        <v>29</v>
      </c>
      <c r="L1812" s="7">
        <v>6770.85</v>
      </c>
      <c r="M1812" s="2" t="str">
        <f>_xlfn.IFS(TelecomData[[#This Row],[TenureMonths]]&lt;=12, "0-1 Year", TelecomData[[#This Row],[TenureMonths]]&lt;=36, "1-3 Years", TelecomData[[#This Row],[TenureMonths]]&gt;36, "3+ Years")</f>
        <v>3+ Years</v>
      </c>
      <c r="N1812" s="2" t="str">
        <f>IF(TelecomData[[#This Row],[CleanedTotalCharges]]&gt;=2500,"High Spend", "Standard Spend")</f>
        <v>High Spend</v>
      </c>
    </row>
    <row r="1813" spans="1:14" x14ac:dyDescent="0.3">
      <c r="A1813" s="1" t="s">
        <v>1837</v>
      </c>
      <c r="B1813" s="2" t="s">
        <v>12</v>
      </c>
      <c r="C1813" s="2" t="s">
        <v>13</v>
      </c>
      <c r="D1813" s="2">
        <v>23</v>
      </c>
      <c r="E1813" s="2" t="s">
        <v>26</v>
      </c>
      <c r="F1813" s="2" t="s">
        <v>15</v>
      </c>
      <c r="G1813" s="7">
        <v>79.349999999999994</v>
      </c>
      <c r="H1813" s="7">
        <v>1835.3</v>
      </c>
      <c r="I1813" s="2" t="s">
        <v>15</v>
      </c>
      <c r="J1813" s="2" t="s">
        <v>16</v>
      </c>
      <c r="K1813" s="2" t="s">
        <v>21</v>
      </c>
      <c r="L1813" s="7">
        <v>1835.3</v>
      </c>
      <c r="M1813" s="2" t="str">
        <f>_xlfn.IFS(TelecomData[[#This Row],[TenureMonths]]&lt;=12, "0-1 Year", TelecomData[[#This Row],[TenureMonths]]&lt;=36, "1-3 Years", TelecomData[[#This Row],[TenureMonths]]&gt;36, "3+ Years")</f>
        <v>1-3 Years</v>
      </c>
      <c r="N1813" s="2" t="str">
        <f>IF(TelecomData[[#This Row],[CleanedTotalCharges]]&gt;=2500,"High Spend", "Standard Spend")</f>
        <v>Standard Spend</v>
      </c>
    </row>
    <row r="1814" spans="1:14" x14ac:dyDescent="0.3">
      <c r="A1814" s="1" t="s">
        <v>1838</v>
      </c>
      <c r="B1814" s="2" t="s">
        <v>19</v>
      </c>
      <c r="C1814" s="2" t="s">
        <v>20</v>
      </c>
      <c r="D1814" s="2">
        <v>17</v>
      </c>
      <c r="E1814" s="2" t="s">
        <v>26</v>
      </c>
      <c r="F1814" s="2" t="s">
        <v>15</v>
      </c>
      <c r="G1814" s="7">
        <v>96.65</v>
      </c>
      <c r="H1814" s="7">
        <v>1588.25</v>
      </c>
      <c r="I1814" s="2" t="s">
        <v>15</v>
      </c>
      <c r="J1814" s="2" t="s">
        <v>16</v>
      </c>
      <c r="K1814" s="2" t="s">
        <v>24</v>
      </c>
      <c r="L1814" s="7">
        <v>1588.25</v>
      </c>
      <c r="M1814" s="2" t="str">
        <f>_xlfn.IFS(TelecomData[[#This Row],[TenureMonths]]&lt;=12, "0-1 Year", TelecomData[[#This Row],[TenureMonths]]&lt;=36, "1-3 Years", TelecomData[[#This Row],[TenureMonths]]&gt;36, "3+ Years")</f>
        <v>1-3 Years</v>
      </c>
      <c r="N1814" s="2" t="str">
        <f>IF(TelecomData[[#This Row],[CleanedTotalCharges]]&gt;=2500,"High Spend", "Standard Spend")</f>
        <v>Standard Spend</v>
      </c>
    </row>
    <row r="1815" spans="1:14" x14ac:dyDescent="0.3">
      <c r="A1815" s="1" t="s">
        <v>1839</v>
      </c>
      <c r="B1815" s="2" t="s">
        <v>19</v>
      </c>
      <c r="C1815" s="2" t="s">
        <v>13</v>
      </c>
      <c r="D1815" s="2">
        <v>1</v>
      </c>
      <c r="E1815" s="2" t="s">
        <v>14</v>
      </c>
      <c r="F1815" s="2" t="s">
        <v>16</v>
      </c>
      <c r="G1815" s="7">
        <v>75.5</v>
      </c>
      <c r="H1815" s="7">
        <v>75.5</v>
      </c>
      <c r="I1815" s="2" t="s">
        <v>15</v>
      </c>
      <c r="J1815" s="2" t="s">
        <v>16</v>
      </c>
      <c r="K1815" s="2" t="s">
        <v>17</v>
      </c>
      <c r="L1815" s="7">
        <v>75.5</v>
      </c>
      <c r="M1815" s="2" t="str">
        <f>_xlfn.IFS(TelecomData[[#This Row],[TenureMonths]]&lt;=12, "0-1 Year", TelecomData[[#This Row],[TenureMonths]]&lt;=36, "1-3 Years", TelecomData[[#This Row],[TenureMonths]]&gt;36, "3+ Years")</f>
        <v>0-1 Year</v>
      </c>
      <c r="N1815" s="2" t="str">
        <f>IF(TelecomData[[#This Row],[CleanedTotalCharges]]&gt;=2500,"High Spend", "Standard Spend")</f>
        <v>Standard Spend</v>
      </c>
    </row>
    <row r="1816" spans="1:14" x14ac:dyDescent="0.3">
      <c r="A1816" s="1" t="s">
        <v>1840</v>
      </c>
      <c r="B1816" s="2" t="s">
        <v>19</v>
      </c>
      <c r="C1816" s="2" t="s">
        <v>35</v>
      </c>
      <c r="D1816" s="2">
        <v>12</v>
      </c>
      <c r="E1816" s="2" t="s">
        <v>15</v>
      </c>
      <c r="F1816" s="2" t="s">
        <v>36</v>
      </c>
      <c r="G1816" s="7">
        <v>19.7</v>
      </c>
      <c r="H1816" s="7">
        <v>258.35000000000002</v>
      </c>
      <c r="I1816" s="2" t="s">
        <v>15</v>
      </c>
      <c r="J1816" s="2" t="s">
        <v>15</v>
      </c>
      <c r="K1816" s="2" t="s">
        <v>21</v>
      </c>
      <c r="L1816" s="7">
        <v>258.35000000000002</v>
      </c>
      <c r="M1816" s="2" t="str">
        <f>_xlfn.IFS(TelecomData[[#This Row],[TenureMonths]]&lt;=12, "0-1 Year", TelecomData[[#This Row],[TenureMonths]]&lt;=36, "1-3 Years", TelecomData[[#This Row],[TenureMonths]]&gt;36, "3+ Years")</f>
        <v>0-1 Year</v>
      </c>
      <c r="N1816" s="2" t="str">
        <f>IF(TelecomData[[#This Row],[CleanedTotalCharges]]&gt;=2500,"High Spend", "Standard Spend")</f>
        <v>Standard Spend</v>
      </c>
    </row>
    <row r="1817" spans="1:14" x14ac:dyDescent="0.3">
      <c r="A1817" s="1" t="s">
        <v>1841</v>
      </c>
      <c r="B1817" s="2" t="s">
        <v>12</v>
      </c>
      <c r="C1817" s="2" t="s">
        <v>35</v>
      </c>
      <c r="D1817" s="2">
        <v>72</v>
      </c>
      <c r="E1817" s="2" t="s">
        <v>15</v>
      </c>
      <c r="F1817" s="2" t="s">
        <v>36</v>
      </c>
      <c r="G1817" s="7">
        <v>20.5</v>
      </c>
      <c r="H1817" s="7">
        <v>1502.25</v>
      </c>
      <c r="I1817" s="2" t="s">
        <v>15</v>
      </c>
      <c r="J1817" s="2" t="s">
        <v>15</v>
      </c>
      <c r="K1817" s="2" t="s">
        <v>29</v>
      </c>
      <c r="L1817" s="7">
        <v>1502.25</v>
      </c>
      <c r="M1817" s="2" t="str">
        <f>_xlfn.IFS(TelecomData[[#This Row],[TenureMonths]]&lt;=12, "0-1 Year", TelecomData[[#This Row],[TenureMonths]]&lt;=36, "1-3 Years", TelecomData[[#This Row],[TenureMonths]]&gt;36, "3+ Years")</f>
        <v>3+ Years</v>
      </c>
      <c r="N1817" s="2" t="str">
        <f>IF(TelecomData[[#This Row],[CleanedTotalCharges]]&gt;=2500,"High Spend", "Standard Spend")</f>
        <v>Standard Spend</v>
      </c>
    </row>
    <row r="1818" spans="1:14" x14ac:dyDescent="0.3">
      <c r="A1818" s="1" t="s">
        <v>1842</v>
      </c>
      <c r="B1818" s="2" t="s">
        <v>19</v>
      </c>
      <c r="C1818" s="2" t="s">
        <v>13</v>
      </c>
      <c r="D1818" s="2">
        <v>1</v>
      </c>
      <c r="E1818" s="2" t="s">
        <v>15</v>
      </c>
      <c r="F1818" s="2" t="s">
        <v>36</v>
      </c>
      <c r="G1818" s="7">
        <v>19.2</v>
      </c>
      <c r="H1818" s="7">
        <v>19.2</v>
      </c>
      <c r="I1818" s="2" t="s">
        <v>15</v>
      </c>
      <c r="J1818" s="2" t="s">
        <v>15</v>
      </c>
      <c r="K1818" s="2" t="s">
        <v>21</v>
      </c>
      <c r="L1818" s="7">
        <v>19.2</v>
      </c>
      <c r="M1818" s="2" t="str">
        <f>_xlfn.IFS(TelecomData[[#This Row],[TenureMonths]]&lt;=12, "0-1 Year", TelecomData[[#This Row],[TenureMonths]]&lt;=36, "1-3 Years", TelecomData[[#This Row],[TenureMonths]]&gt;36, "3+ Years")</f>
        <v>0-1 Year</v>
      </c>
      <c r="N1818" s="2" t="str">
        <f>IF(TelecomData[[#This Row],[CleanedTotalCharges]]&gt;=2500,"High Spend", "Standard Spend")</f>
        <v>Standard Spend</v>
      </c>
    </row>
    <row r="1819" spans="1:14" x14ac:dyDescent="0.3">
      <c r="A1819" s="1" t="s">
        <v>1843</v>
      </c>
      <c r="B1819" s="2" t="s">
        <v>19</v>
      </c>
      <c r="C1819" s="2" t="s">
        <v>35</v>
      </c>
      <c r="D1819" s="2">
        <v>72</v>
      </c>
      <c r="E1819" s="2" t="s">
        <v>26</v>
      </c>
      <c r="F1819" s="2" t="s">
        <v>15</v>
      </c>
      <c r="G1819" s="7">
        <v>98.35</v>
      </c>
      <c r="H1819" s="7">
        <v>6929.4</v>
      </c>
      <c r="I1819" s="2" t="s">
        <v>15</v>
      </c>
      <c r="J1819" s="2" t="s">
        <v>15</v>
      </c>
      <c r="K1819" s="2" t="s">
        <v>24</v>
      </c>
      <c r="L1819" s="7">
        <v>6929.4</v>
      </c>
      <c r="M1819" s="2" t="str">
        <f>_xlfn.IFS(TelecomData[[#This Row],[TenureMonths]]&lt;=12, "0-1 Year", TelecomData[[#This Row],[TenureMonths]]&lt;=36, "1-3 Years", TelecomData[[#This Row],[TenureMonths]]&gt;36, "3+ Years")</f>
        <v>3+ Years</v>
      </c>
      <c r="N1819" s="2" t="str">
        <f>IF(TelecomData[[#This Row],[CleanedTotalCharges]]&gt;=2500,"High Spend", "Standard Spend")</f>
        <v>High Spend</v>
      </c>
    </row>
    <row r="1820" spans="1:14" x14ac:dyDescent="0.3">
      <c r="A1820" s="1" t="s">
        <v>1844</v>
      </c>
      <c r="B1820" s="2" t="s">
        <v>19</v>
      </c>
      <c r="C1820" s="2" t="s">
        <v>13</v>
      </c>
      <c r="D1820" s="2">
        <v>60</v>
      </c>
      <c r="E1820" s="2" t="s">
        <v>26</v>
      </c>
      <c r="F1820" s="2" t="s">
        <v>15</v>
      </c>
      <c r="G1820" s="7">
        <v>74.349999999999994</v>
      </c>
      <c r="H1820" s="7">
        <v>4453.3</v>
      </c>
      <c r="I1820" s="2" t="s">
        <v>15</v>
      </c>
      <c r="J1820" s="2" t="s">
        <v>15</v>
      </c>
      <c r="K1820" s="2" t="s">
        <v>24</v>
      </c>
      <c r="L1820" s="7">
        <v>4453.3</v>
      </c>
      <c r="M1820" s="2" t="str">
        <f>_xlfn.IFS(TelecomData[[#This Row],[TenureMonths]]&lt;=12, "0-1 Year", TelecomData[[#This Row],[TenureMonths]]&lt;=36, "1-3 Years", TelecomData[[#This Row],[TenureMonths]]&gt;36, "3+ Years")</f>
        <v>3+ Years</v>
      </c>
      <c r="N1820" s="2" t="str">
        <f>IF(TelecomData[[#This Row],[CleanedTotalCharges]]&gt;=2500,"High Spend", "Standard Spend")</f>
        <v>High Spend</v>
      </c>
    </row>
    <row r="1821" spans="1:14" x14ac:dyDescent="0.3">
      <c r="A1821" s="1" t="s">
        <v>1845</v>
      </c>
      <c r="B1821" s="2" t="s">
        <v>12</v>
      </c>
      <c r="C1821" s="2" t="s">
        <v>35</v>
      </c>
      <c r="D1821" s="2">
        <v>61</v>
      </c>
      <c r="E1821" s="2" t="s">
        <v>14</v>
      </c>
      <c r="F1821" s="2" t="s">
        <v>16</v>
      </c>
      <c r="G1821" s="7">
        <v>51.35</v>
      </c>
      <c r="H1821" s="7">
        <v>3244.4</v>
      </c>
      <c r="I1821" s="2" t="s">
        <v>15</v>
      </c>
      <c r="J1821" s="2" t="s">
        <v>15</v>
      </c>
      <c r="K1821" s="2" t="s">
        <v>29</v>
      </c>
      <c r="L1821" s="7">
        <v>3244.4</v>
      </c>
      <c r="M1821" s="2" t="str">
        <f>_xlfn.IFS(TelecomData[[#This Row],[TenureMonths]]&lt;=12, "0-1 Year", TelecomData[[#This Row],[TenureMonths]]&lt;=36, "1-3 Years", TelecomData[[#This Row],[TenureMonths]]&gt;36, "3+ Years")</f>
        <v>3+ Years</v>
      </c>
      <c r="N1821" s="2" t="str">
        <f>IF(TelecomData[[#This Row],[CleanedTotalCharges]]&gt;=2500,"High Spend", "Standard Spend")</f>
        <v>High Spend</v>
      </c>
    </row>
    <row r="1822" spans="1:14" x14ac:dyDescent="0.3">
      <c r="A1822" s="1" t="s">
        <v>1846</v>
      </c>
      <c r="B1822" s="2" t="s">
        <v>12</v>
      </c>
      <c r="C1822" s="2" t="s">
        <v>13</v>
      </c>
      <c r="D1822" s="2">
        <v>6</v>
      </c>
      <c r="E1822" s="2" t="s">
        <v>14</v>
      </c>
      <c r="F1822" s="2" t="s">
        <v>15</v>
      </c>
      <c r="G1822" s="7">
        <v>45.65</v>
      </c>
      <c r="H1822" s="7">
        <v>323.45</v>
      </c>
      <c r="I1822" s="2" t="s">
        <v>15</v>
      </c>
      <c r="J1822" s="2" t="s">
        <v>15</v>
      </c>
      <c r="K1822" s="2" t="s">
        <v>21</v>
      </c>
      <c r="L1822" s="7">
        <v>323.45</v>
      </c>
      <c r="M1822" s="2" t="str">
        <f>_xlfn.IFS(TelecomData[[#This Row],[TenureMonths]]&lt;=12, "0-1 Year", TelecomData[[#This Row],[TenureMonths]]&lt;=36, "1-3 Years", TelecomData[[#This Row],[TenureMonths]]&gt;36, "3+ Years")</f>
        <v>0-1 Year</v>
      </c>
      <c r="N1822" s="2" t="str">
        <f>IF(TelecomData[[#This Row],[CleanedTotalCharges]]&gt;=2500,"High Spend", "Standard Spend")</f>
        <v>Standard Spend</v>
      </c>
    </row>
    <row r="1823" spans="1:14" x14ac:dyDescent="0.3">
      <c r="A1823" s="1" t="s">
        <v>1847</v>
      </c>
      <c r="B1823" s="2" t="s">
        <v>19</v>
      </c>
      <c r="C1823" s="2" t="s">
        <v>13</v>
      </c>
      <c r="D1823" s="2">
        <v>32</v>
      </c>
      <c r="E1823" s="2" t="s">
        <v>26</v>
      </c>
      <c r="F1823" s="2" t="s">
        <v>15</v>
      </c>
      <c r="G1823" s="7">
        <v>85.3</v>
      </c>
      <c r="H1823" s="7">
        <v>2661.1</v>
      </c>
      <c r="I1823" s="2" t="s">
        <v>16</v>
      </c>
      <c r="J1823" s="2" t="s">
        <v>15</v>
      </c>
      <c r="K1823" s="2" t="s">
        <v>17</v>
      </c>
      <c r="L1823" s="7">
        <v>2661.1</v>
      </c>
      <c r="M1823" s="2" t="str">
        <f>_xlfn.IFS(TelecomData[[#This Row],[TenureMonths]]&lt;=12, "0-1 Year", TelecomData[[#This Row],[TenureMonths]]&lt;=36, "1-3 Years", TelecomData[[#This Row],[TenureMonths]]&gt;36, "3+ Years")</f>
        <v>1-3 Years</v>
      </c>
      <c r="N1823" s="2" t="str">
        <f>IF(TelecomData[[#This Row],[CleanedTotalCharges]]&gt;=2500,"High Spend", "Standard Spend")</f>
        <v>High Spend</v>
      </c>
    </row>
    <row r="1824" spans="1:14" x14ac:dyDescent="0.3">
      <c r="A1824" s="1" t="s">
        <v>1848</v>
      </c>
      <c r="B1824" s="2" t="s">
        <v>12</v>
      </c>
      <c r="C1824" s="2" t="s">
        <v>13</v>
      </c>
      <c r="D1824" s="2">
        <v>31</v>
      </c>
      <c r="E1824" s="2" t="s">
        <v>26</v>
      </c>
      <c r="F1824" s="2" t="s">
        <v>15</v>
      </c>
      <c r="G1824" s="7">
        <v>86.55</v>
      </c>
      <c r="H1824" s="7">
        <v>2697.4</v>
      </c>
      <c r="I1824" s="2" t="s">
        <v>16</v>
      </c>
      <c r="J1824" s="2" t="s">
        <v>16</v>
      </c>
      <c r="K1824" s="2" t="s">
        <v>29</v>
      </c>
      <c r="L1824" s="7">
        <v>2697.4</v>
      </c>
      <c r="M1824" s="2" t="str">
        <f>_xlfn.IFS(TelecomData[[#This Row],[TenureMonths]]&lt;=12, "0-1 Year", TelecomData[[#This Row],[TenureMonths]]&lt;=36, "1-3 Years", TelecomData[[#This Row],[TenureMonths]]&gt;36, "3+ Years")</f>
        <v>1-3 Years</v>
      </c>
      <c r="N1824" s="2" t="str">
        <f>IF(TelecomData[[#This Row],[CleanedTotalCharges]]&gt;=2500,"High Spend", "Standard Spend")</f>
        <v>High Spend</v>
      </c>
    </row>
    <row r="1825" spans="1:14" x14ac:dyDescent="0.3">
      <c r="A1825" s="1" t="s">
        <v>1849</v>
      </c>
      <c r="B1825" s="2" t="s">
        <v>19</v>
      </c>
      <c r="C1825" s="2" t="s">
        <v>13</v>
      </c>
      <c r="D1825" s="2">
        <v>19</v>
      </c>
      <c r="E1825" s="2" t="s">
        <v>26</v>
      </c>
      <c r="F1825" s="2" t="s">
        <v>15</v>
      </c>
      <c r="G1825" s="7">
        <v>73.849999999999994</v>
      </c>
      <c r="H1825" s="7">
        <v>1424.5</v>
      </c>
      <c r="I1825" s="2" t="s">
        <v>16</v>
      </c>
      <c r="J1825" s="2" t="s">
        <v>16</v>
      </c>
      <c r="K1825" s="2" t="s">
        <v>29</v>
      </c>
      <c r="L1825" s="7">
        <v>1424.5</v>
      </c>
      <c r="M1825" s="2" t="str">
        <f>_xlfn.IFS(TelecomData[[#This Row],[TenureMonths]]&lt;=12, "0-1 Year", TelecomData[[#This Row],[TenureMonths]]&lt;=36, "1-3 Years", TelecomData[[#This Row],[TenureMonths]]&gt;36, "3+ Years")</f>
        <v>1-3 Years</v>
      </c>
      <c r="N1825" s="2" t="str">
        <f>IF(TelecomData[[#This Row],[CleanedTotalCharges]]&gt;=2500,"High Spend", "Standard Spend")</f>
        <v>Standard Spend</v>
      </c>
    </row>
    <row r="1826" spans="1:14" x14ac:dyDescent="0.3">
      <c r="A1826" s="1" t="s">
        <v>1850</v>
      </c>
      <c r="B1826" s="2" t="s">
        <v>19</v>
      </c>
      <c r="C1826" s="2" t="s">
        <v>35</v>
      </c>
      <c r="D1826" s="2">
        <v>72</v>
      </c>
      <c r="E1826" s="2" t="s">
        <v>15</v>
      </c>
      <c r="F1826" s="2" t="s">
        <v>36</v>
      </c>
      <c r="G1826" s="7">
        <v>20.3</v>
      </c>
      <c r="H1826" s="7">
        <v>1401.15</v>
      </c>
      <c r="I1826" s="2" t="s">
        <v>15</v>
      </c>
      <c r="J1826" s="2" t="s">
        <v>15</v>
      </c>
      <c r="K1826" s="2" t="s">
        <v>24</v>
      </c>
      <c r="L1826" s="7">
        <v>1401.15</v>
      </c>
      <c r="M1826" s="2" t="str">
        <f>_xlfn.IFS(TelecomData[[#This Row],[TenureMonths]]&lt;=12, "0-1 Year", TelecomData[[#This Row],[TenureMonths]]&lt;=36, "1-3 Years", TelecomData[[#This Row],[TenureMonths]]&gt;36, "3+ Years")</f>
        <v>3+ Years</v>
      </c>
      <c r="N1826" s="2" t="str">
        <f>IF(TelecomData[[#This Row],[CleanedTotalCharges]]&gt;=2500,"High Spend", "Standard Spend")</f>
        <v>Standard Spend</v>
      </c>
    </row>
    <row r="1827" spans="1:14" x14ac:dyDescent="0.3">
      <c r="A1827" s="1" t="s">
        <v>1851</v>
      </c>
      <c r="B1827" s="2" t="s">
        <v>12</v>
      </c>
      <c r="C1827" s="2" t="s">
        <v>13</v>
      </c>
      <c r="D1827" s="2">
        <v>32</v>
      </c>
      <c r="E1827" s="2" t="s">
        <v>14</v>
      </c>
      <c r="F1827" s="2" t="s">
        <v>15</v>
      </c>
      <c r="G1827" s="7">
        <v>54.2</v>
      </c>
      <c r="H1827" s="7">
        <v>1739.6</v>
      </c>
      <c r="I1827" s="2" t="s">
        <v>15</v>
      </c>
      <c r="J1827" s="2" t="s">
        <v>16</v>
      </c>
      <c r="K1827" s="2" t="s">
        <v>17</v>
      </c>
      <c r="L1827" s="7">
        <v>1739.6</v>
      </c>
      <c r="M1827" s="2" t="str">
        <f>_xlfn.IFS(TelecomData[[#This Row],[TenureMonths]]&lt;=12, "0-1 Year", TelecomData[[#This Row],[TenureMonths]]&lt;=36, "1-3 Years", TelecomData[[#This Row],[TenureMonths]]&gt;36, "3+ Years")</f>
        <v>1-3 Years</v>
      </c>
      <c r="N1827" s="2" t="str">
        <f>IF(TelecomData[[#This Row],[CleanedTotalCharges]]&gt;=2500,"High Spend", "Standard Spend")</f>
        <v>Standard Spend</v>
      </c>
    </row>
    <row r="1828" spans="1:14" x14ac:dyDescent="0.3">
      <c r="A1828" s="1" t="s">
        <v>1852</v>
      </c>
      <c r="B1828" s="2" t="s">
        <v>19</v>
      </c>
      <c r="C1828" s="2" t="s">
        <v>13</v>
      </c>
      <c r="D1828" s="2">
        <v>65</v>
      </c>
      <c r="E1828" s="2" t="s">
        <v>26</v>
      </c>
      <c r="F1828" s="2" t="s">
        <v>15</v>
      </c>
      <c r="G1828" s="7">
        <v>90.65</v>
      </c>
      <c r="H1828" s="7">
        <v>5931</v>
      </c>
      <c r="I1828" s="2" t="s">
        <v>15</v>
      </c>
      <c r="J1828" s="2" t="s">
        <v>16</v>
      </c>
      <c r="K1828" s="2" t="s">
        <v>17</v>
      </c>
      <c r="L1828" s="7">
        <v>5931</v>
      </c>
      <c r="M1828" s="2" t="str">
        <f>_xlfn.IFS(TelecomData[[#This Row],[TenureMonths]]&lt;=12, "0-1 Year", TelecomData[[#This Row],[TenureMonths]]&lt;=36, "1-3 Years", TelecomData[[#This Row],[TenureMonths]]&gt;36, "3+ Years")</f>
        <v>3+ Years</v>
      </c>
      <c r="N1828" s="2" t="str">
        <f>IF(TelecomData[[#This Row],[CleanedTotalCharges]]&gt;=2500,"High Spend", "Standard Spend")</f>
        <v>High Spend</v>
      </c>
    </row>
    <row r="1829" spans="1:14" x14ac:dyDescent="0.3">
      <c r="A1829" s="1" t="s">
        <v>1853</v>
      </c>
      <c r="B1829" s="2" t="s">
        <v>12</v>
      </c>
      <c r="C1829" s="2" t="s">
        <v>13</v>
      </c>
      <c r="D1829" s="2">
        <v>45</v>
      </c>
      <c r="E1829" s="2" t="s">
        <v>14</v>
      </c>
      <c r="F1829" s="2" t="s">
        <v>15</v>
      </c>
      <c r="G1829" s="7">
        <v>50.9</v>
      </c>
      <c r="H1829" s="7">
        <v>2333.85</v>
      </c>
      <c r="I1829" s="2" t="s">
        <v>15</v>
      </c>
      <c r="J1829" s="2" t="s">
        <v>16</v>
      </c>
      <c r="K1829" s="2" t="s">
        <v>24</v>
      </c>
      <c r="L1829" s="7">
        <v>2333.85</v>
      </c>
      <c r="M1829" s="2" t="str">
        <f>_xlfn.IFS(TelecomData[[#This Row],[TenureMonths]]&lt;=12, "0-1 Year", TelecomData[[#This Row],[TenureMonths]]&lt;=36, "1-3 Years", TelecomData[[#This Row],[TenureMonths]]&gt;36, "3+ Years")</f>
        <v>3+ Years</v>
      </c>
      <c r="N1829" s="2" t="str">
        <f>IF(TelecomData[[#This Row],[CleanedTotalCharges]]&gt;=2500,"High Spend", "Standard Spend")</f>
        <v>Standard Spend</v>
      </c>
    </row>
    <row r="1830" spans="1:14" x14ac:dyDescent="0.3">
      <c r="A1830" s="1" t="s">
        <v>1854</v>
      </c>
      <c r="B1830" s="2" t="s">
        <v>19</v>
      </c>
      <c r="C1830" s="2" t="s">
        <v>20</v>
      </c>
      <c r="D1830" s="2">
        <v>42</v>
      </c>
      <c r="E1830" s="2" t="s">
        <v>15</v>
      </c>
      <c r="F1830" s="2" t="s">
        <v>36</v>
      </c>
      <c r="G1830" s="7">
        <v>25.05</v>
      </c>
      <c r="H1830" s="7">
        <v>949.85</v>
      </c>
      <c r="I1830" s="2" t="s">
        <v>15</v>
      </c>
      <c r="J1830" s="2" t="s">
        <v>15</v>
      </c>
      <c r="K1830" s="2" t="s">
        <v>17</v>
      </c>
      <c r="L1830" s="7">
        <v>949.85</v>
      </c>
      <c r="M1830" s="2" t="str">
        <f>_xlfn.IFS(TelecomData[[#This Row],[TenureMonths]]&lt;=12, "0-1 Year", TelecomData[[#This Row],[TenureMonths]]&lt;=36, "1-3 Years", TelecomData[[#This Row],[TenureMonths]]&gt;36, "3+ Years")</f>
        <v>3+ Years</v>
      </c>
      <c r="N1830" s="2" t="str">
        <f>IF(TelecomData[[#This Row],[CleanedTotalCharges]]&gt;=2500,"High Spend", "Standard Spend")</f>
        <v>Standard Spend</v>
      </c>
    </row>
    <row r="1831" spans="1:14" x14ac:dyDescent="0.3">
      <c r="A1831" s="1" t="s">
        <v>1855</v>
      </c>
      <c r="B1831" s="2" t="s">
        <v>19</v>
      </c>
      <c r="C1831" s="2" t="s">
        <v>13</v>
      </c>
      <c r="D1831" s="2">
        <v>8</v>
      </c>
      <c r="E1831" s="2" t="s">
        <v>26</v>
      </c>
      <c r="F1831" s="2" t="s">
        <v>15</v>
      </c>
      <c r="G1831" s="7">
        <v>74.849999999999994</v>
      </c>
      <c r="H1831" s="7">
        <v>572.45000000000005</v>
      </c>
      <c r="I1831" s="2" t="s">
        <v>15</v>
      </c>
      <c r="J1831" s="2" t="s">
        <v>16</v>
      </c>
      <c r="K1831" s="2" t="s">
        <v>17</v>
      </c>
      <c r="L1831" s="7">
        <v>572.45000000000005</v>
      </c>
      <c r="M1831" s="2" t="str">
        <f>_xlfn.IFS(TelecomData[[#This Row],[TenureMonths]]&lt;=12, "0-1 Year", TelecomData[[#This Row],[TenureMonths]]&lt;=36, "1-3 Years", TelecomData[[#This Row],[TenureMonths]]&gt;36, "3+ Years")</f>
        <v>0-1 Year</v>
      </c>
      <c r="N1831" s="2" t="str">
        <f>IF(TelecomData[[#This Row],[CleanedTotalCharges]]&gt;=2500,"High Spend", "Standard Spend")</f>
        <v>Standard Spend</v>
      </c>
    </row>
    <row r="1832" spans="1:14" x14ac:dyDescent="0.3">
      <c r="A1832" s="1" t="s">
        <v>1856</v>
      </c>
      <c r="B1832" s="2" t="s">
        <v>19</v>
      </c>
      <c r="C1832" s="2" t="s">
        <v>35</v>
      </c>
      <c r="D1832" s="2">
        <v>32</v>
      </c>
      <c r="E1832" s="2" t="s">
        <v>15</v>
      </c>
      <c r="F1832" s="2" t="s">
        <v>36</v>
      </c>
      <c r="G1832" s="7">
        <v>20.5</v>
      </c>
      <c r="H1832" s="7">
        <v>696.8</v>
      </c>
      <c r="I1832" s="2" t="s">
        <v>15</v>
      </c>
      <c r="J1832" s="2" t="s">
        <v>15</v>
      </c>
      <c r="K1832" s="2" t="s">
        <v>21</v>
      </c>
      <c r="L1832" s="7">
        <v>696.8</v>
      </c>
      <c r="M1832" s="2" t="str">
        <f>_xlfn.IFS(TelecomData[[#This Row],[TenureMonths]]&lt;=12, "0-1 Year", TelecomData[[#This Row],[TenureMonths]]&lt;=36, "1-3 Years", TelecomData[[#This Row],[TenureMonths]]&gt;36, "3+ Years")</f>
        <v>1-3 Years</v>
      </c>
      <c r="N1832" s="2" t="str">
        <f>IF(TelecomData[[#This Row],[CleanedTotalCharges]]&gt;=2500,"High Spend", "Standard Spend")</f>
        <v>Standard Spend</v>
      </c>
    </row>
    <row r="1833" spans="1:14" x14ac:dyDescent="0.3">
      <c r="A1833" s="1" t="s">
        <v>1857</v>
      </c>
      <c r="B1833" s="2" t="s">
        <v>12</v>
      </c>
      <c r="C1833" s="2" t="s">
        <v>13</v>
      </c>
      <c r="D1833" s="2">
        <v>22</v>
      </c>
      <c r="E1833" s="2" t="s">
        <v>14</v>
      </c>
      <c r="F1833" s="2" t="s">
        <v>16</v>
      </c>
      <c r="G1833" s="7">
        <v>63.55</v>
      </c>
      <c r="H1833" s="7">
        <v>1381.8</v>
      </c>
      <c r="I1833" s="2" t="s">
        <v>15</v>
      </c>
      <c r="J1833" s="2" t="s">
        <v>16</v>
      </c>
      <c r="K1833" s="2" t="s">
        <v>21</v>
      </c>
      <c r="L1833" s="7">
        <v>1381.8</v>
      </c>
      <c r="M1833" s="2" t="str">
        <f>_xlfn.IFS(TelecomData[[#This Row],[TenureMonths]]&lt;=12, "0-1 Year", TelecomData[[#This Row],[TenureMonths]]&lt;=36, "1-3 Years", TelecomData[[#This Row],[TenureMonths]]&gt;36, "3+ Years")</f>
        <v>1-3 Years</v>
      </c>
      <c r="N1833" s="2" t="str">
        <f>IF(TelecomData[[#This Row],[CleanedTotalCharges]]&gt;=2500,"High Spend", "Standard Spend")</f>
        <v>Standard Spend</v>
      </c>
    </row>
    <row r="1834" spans="1:14" x14ac:dyDescent="0.3">
      <c r="A1834" s="1" t="s">
        <v>1858</v>
      </c>
      <c r="B1834" s="2" t="s">
        <v>19</v>
      </c>
      <c r="C1834" s="2" t="s">
        <v>13</v>
      </c>
      <c r="D1834" s="2">
        <v>57</v>
      </c>
      <c r="E1834" s="2" t="s">
        <v>14</v>
      </c>
      <c r="F1834" s="2" t="s">
        <v>15</v>
      </c>
      <c r="G1834" s="7">
        <v>44.85</v>
      </c>
      <c r="H1834" s="7">
        <v>2572.9499999999998</v>
      </c>
      <c r="I1834" s="2" t="s">
        <v>16</v>
      </c>
      <c r="J1834" s="2" t="s">
        <v>16</v>
      </c>
      <c r="K1834" s="2" t="s">
        <v>17</v>
      </c>
      <c r="L1834" s="7">
        <v>2572.9499999999998</v>
      </c>
      <c r="M1834" s="2" t="str">
        <f>_xlfn.IFS(TelecomData[[#This Row],[TenureMonths]]&lt;=12, "0-1 Year", TelecomData[[#This Row],[TenureMonths]]&lt;=36, "1-3 Years", TelecomData[[#This Row],[TenureMonths]]&gt;36, "3+ Years")</f>
        <v>3+ Years</v>
      </c>
      <c r="N1834" s="2" t="str">
        <f>IF(TelecomData[[#This Row],[CleanedTotalCharges]]&gt;=2500,"High Spend", "Standard Spend")</f>
        <v>High Spend</v>
      </c>
    </row>
    <row r="1835" spans="1:14" x14ac:dyDescent="0.3">
      <c r="A1835" s="1" t="s">
        <v>1859</v>
      </c>
      <c r="B1835" s="2" t="s">
        <v>19</v>
      </c>
      <c r="C1835" s="2" t="s">
        <v>13</v>
      </c>
      <c r="D1835" s="2">
        <v>1</v>
      </c>
      <c r="E1835" s="2" t="s">
        <v>14</v>
      </c>
      <c r="F1835" s="2" t="s">
        <v>15</v>
      </c>
      <c r="G1835" s="7">
        <v>47.95</v>
      </c>
      <c r="H1835" s="7">
        <v>47.95</v>
      </c>
      <c r="I1835" s="2" t="s">
        <v>15</v>
      </c>
      <c r="J1835" s="2" t="s">
        <v>15</v>
      </c>
      <c r="K1835" s="2" t="s">
        <v>17</v>
      </c>
      <c r="L1835" s="7">
        <v>47.95</v>
      </c>
      <c r="M1835" s="2" t="str">
        <f>_xlfn.IFS(TelecomData[[#This Row],[TenureMonths]]&lt;=12, "0-1 Year", TelecomData[[#This Row],[TenureMonths]]&lt;=36, "1-3 Years", TelecomData[[#This Row],[TenureMonths]]&gt;36, "3+ Years")</f>
        <v>0-1 Year</v>
      </c>
      <c r="N1835" s="2" t="str">
        <f>IF(TelecomData[[#This Row],[CleanedTotalCharges]]&gt;=2500,"High Spend", "Standard Spend")</f>
        <v>Standard Spend</v>
      </c>
    </row>
    <row r="1836" spans="1:14" x14ac:dyDescent="0.3">
      <c r="A1836" s="1" t="s">
        <v>1860</v>
      </c>
      <c r="B1836" s="2" t="s">
        <v>19</v>
      </c>
      <c r="C1836" s="2" t="s">
        <v>13</v>
      </c>
      <c r="D1836" s="2">
        <v>1</v>
      </c>
      <c r="E1836" s="2" t="s">
        <v>14</v>
      </c>
      <c r="F1836" s="2" t="s">
        <v>15</v>
      </c>
      <c r="G1836" s="7">
        <v>45.1</v>
      </c>
      <c r="H1836" s="7">
        <v>45.1</v>
      </c>
      <c r="I1836" s="2" t="s">
        <v>16</v>
      </c>
      <c r="J1836" s="2" t="s">
        <v>15</v>
      </c>
      <c r="K1836" s="2" t="s">
        <v>17</v>
      </c>
      <c r="L1836" s="7">
        <v>45.1</v>
      </c>
      <c r="M1836" s="2" t="str">
        <f>_xlfn.IFS(TelecomData[[#This Row],[TenureMonths]]&lt;=12, "0-1 Year", TelecomData[[#This Row],[TenureMonths]]&lt;=36, "1-3 Years", TelecomData[[#This Row],[TenureMonths]]&gt;36, "3+ Years")</f>
        <v>0-1 Year</v>
      </c>
      <c r="N1836" s="2" t="str">
        <f>IF(TelecomData[[#This Row],[CleanedTotalCharges]]&gt;=2500,"High Spend", "Standard Spend")</f>
        <v>Standard Spend</v>
      </c>
    </row>
    <row r="1837" spans="1:14" x14ac:dyDescent="0.3">
      <c r="A1837" s="1" t="s">
        <v>1861</v>
      </c>
      <c r="B1837" s="2" t="s">
        <v>12</v>
      </c>
      <c r="C1837" s="2" t="s">
        <v>13</v>
      </c>
      <c r="D1837" s="2">
        <v>1</v>
      </c>
      <c r="E1837" s="2" t="s">
        <v>14</v>
      </c>
      <c r="F1837" s="2" t="s">
        <v>15</v>
      </c>
      <c r="G1837" s="7">
        <v>45</v>
      </c>
      <c r="H1837" s="7">
        <v>45</v>
      </c>
      <c r="I1837" s="2" t="s">
        <v>15</v>
      </c>
      <c r="J1837" s="2" t="s">
        <v>16</v>
      </c>
      <c r="K1837" s="2" t="s">
        <v>17</v>
      </c>
      <c r="L1837" s="7">
        <v>45</v>
      </c>
      <c r="M1837" s="2" t="str">
        <f>_xlfn.IFS(TelecomData[[#This Row],[TenureMonths]]&lt;=12, "0-1 Year", TelecomData[[#This Row],[TenureMonths]]&lt;=36, "1-3 Years", TelecomData[[#This Row],[TenureMonths]]&gt;36, "3+ Years")</f>
        <v>0-1 Year</v>
      </c>
      <c r="N1837" s="2" t="str">
        <f>IF(TelecomData[[#This Row],[CleanedTotalCharges]]&gt;=2500,"High Spend", "Standard Spend")</f>
        <v>Standard Spend</v>
      </c>
    </row>
    <row r="1838" spans="1:14" x14ac:dyDescent="0.3">
      <c r="A1838" s="1" t="s">
        <v>1862</v>
      </c>
      <c r="B1838" s="2" t="s">
        <v>19</v>
      </c>
      <c r="C1838" s="2" t="s">
        <v>13</v>
      </c>
      <c r="D1838" s="2">
        <v>24</v>
      </c>
      <c r="E1838" s="2" t="s">
        <v>26</v>
      </c>
      <c r="F1838" s="2" t="s">
        <v>16</v>
      </c>
      <c r="G1838" s="7">
        <v>96</v>
      </c>
      <c r="H1838" s="7">
        <v>2122.4499999999998</v>
      </c>
      <c r="I1838" s="2" t="s">
        <v>16</v>
      </c>
      <c r="J1838" s="2" t="s">
        <v>16</v>
      </c>
      <c r="K1838" s="2" t="s">
        <v>17</v>
      </c>
      <c r="L1838" s="7">
        <v>2122.4499999999998</v>
      </c>
      <c r="M1838" s="2" t="str">
        <f>_xlfn.IFS(TelecomData[[#This Row],[TenureMonths]]&lt;=12, "0-1 Year", TelecomData[[#This Row],[TenureMonths]]&lt;=36, "1-3 Years", TelecomData[[#This Row],[TenureMonths]]&gt;36, "3+ Years")</f>
        <v>1-3 Years</v>
      </c>
      <c r="N1838" s="2" t="str">
        <f>IF(TelecomData[[#This Row],[CleanedTotalCharges]]&gt;=2500,"High Spend", "Standard Spend")</f>
        <v>Standard Spend</v>
      </c>
    </row>
    <row r="1839" spans="1:14" x14ac:dyDescent="0.3">
      <c r="A1839" s="1" t="s">
        <v>1863</v>
      </c>
      <c r="B1839" s="2" t="s">
        <v>19</v>
      </c>
      <c r="C1839" s="2" t="s">
        <v>13</v>
      </c>
      <c r="D1839" s="2">
        <v>1</v>
      </c>
      <c r="E1839" s="2" t="s">
        <v>15</v>
      </c>
      <c r="F1839" s="2" t="s">
        <v>36</v>
      </c>
      <c r="G1839" s="7">
        <v>20.05</v>
      </c>
      <c r="H1839" s="7">
        <v>20.05</v>
      </c>
      <c r="I1839" s="2" t="s">
        <v>16</v>
      </c>
      <c r="J1839" s="2" t="s">
        <v>15</v>
      </c>
      <c r="K1839" s="2" t="s">
        <v>24</v>
      </c>
      <c r="L1839" s="7">
        <v>20.05</v>
      </c>
      <c r="M1839" s="2" t="str">
        <f>_xlfn.IFS(TelecomData[[#This Row],[TenureMonths]]&lt;=12, "0-1 Year", TelecomData[[#This Row],[TenureMonths]]&lt;=36, "1-3 Years", TelecomData[[#This Row],[TenureMonths]]&gt;36, "3+ Years")</f>
        <v>0-1 Year</v>
      </c>
      <c r="N1839" s="2" t="str">
        <f>IF(TelecomData[[#This Row],[CleanedTotalCharges]]&gt;=2500,"High Spend", "Standard Spend")</f>
        <v>Standard Spend</v>
      </c>
    </row>
    <row r="1840" spans="1:14" x14ac:dyDescent="0.3">
      <c r="A1840" s="1" t="s">
        <v>1864</v>
      </c>
      <c r="B1840" s="2" t="s">
        <v>19</v>
      </c>
      <c r="C1840" s="2" t="s">
        <v>13</v>
      </c>
      <c r="D1840" s="2">
        <v>54</v>
      </c>
      <c r="E1840" s="2" t="s">
        <v>26</v>
      </c>
      <c r="F1840" s="2" t="s">
        <v>15</v>
      </c>
      <c r="G1840" s="7">
        <v>90.05</v>
      </c>
      <c r="H1840" s="7">
        <v>4931.8</v>
      </c>
      <c r="I1840" s="2" t="s">
        <v>15</v>
      </c>
      <c r="J1840" s="2" t="s">
        <v>16</v>
      </c>
      <c r="K1840" s="2" t="s">
        <v>17</v>
      </c>
      <c r="L1840" s="7">
        <v>4931.8</v>
      </c>
      <c r="M1840" s="2" t="str">
        <f>_xlfn.IFS(TelecomData[[#This Row],[TenureMonths]]&lt;=12, "0-1 Year", TelecomData[[#This Row],[TenureMonths]]&lt;=36, "1-3 Years", TelecomData[[#This Row],[TenureMonths]]&gt;36, "3+ Years")</f>
        <v>3+ Years</v>
      </c>
      <c r="N1840" s="2" t="str">
        <f>IF(TelecomData[[#This Row],[CleanedTotalCharges]]&gt;=2500,"High Spend", "Standard Spend")</f>
        <v>High Spend</v>
      </c>
    </row>
    <row r="1841" spans="1:14" x14ac:dyDescent="0.3">
      <c r="A1841" s="1" t="s">
        <v>1865</v>
      </c>
      <c r="B1841" s="2" t="s">
        <v>12</v>
      </c>
      <c r="C1841" s="2" t="s">
        <v>35</v>
      </c>
      <c r="D1841" s="2">
        <v>4</v>
      </c>
      <c r="E1841" s="2" t="s">
        <v>15</v>
      </c>
      <c r="F1841" s="2" t="s">
        <v>36</v>
      </c>
      <c r="G1841" s="7">
        <v>25.3</v>
      </c>
      <c r="H1841" s="7">
        <v>116.95</v>
      </c>
      <c r="I1841" s="2" t="s">
        <v>15</v>
      </c>
      <c r="J1841" s="2" t="s">
        <v>16</v>
      </c>
      <c r="K1841" s="2" t="s">
        <v>29</v>
      </c>
      <c r="L1841" s="7">
        <v>116.95</v>
      </c>
      <c r="M1841" s="2" t="str">
        <f>_xlfn.IFS(TelecomData[[#This Row],[TenureMonths]]&lt;=12, "0-1 Year", TelecomData[[#This Row],[TenureMonths]]&lt;=36, "1-3 Years", TelecomData[[#This Row],[TenureMonths]]&gt;36, "3+ Years")</f>
        <v>0-1 Year</v>
      </c>
      <c r="N1841" s="2" t="str">
        <f>IF(TelecomData[[#This Row],[CleanedTotalCharges]]&gt;=2500,"High Spend", "Standard Spend")</f>
        <v>Standard Spend</v>
      </c>
    </row>
    <row r="1842" spans="1:14" x14ac:dyDescent="0.3">
      <c r="A1842" s="1" t="s">
        <v>1866</v>
      </c>
      <c r="B1842" s="2" t="s">
        <v>19</v>
      </c>
      <c r="C1842" s="2" t="s">
        <v>35</v>
      </c>
      <c r="D1842" s="2">
        <v>65</v>
      </c>
      <c r="E1842" s="2" t="s">
        <v>26</v>
      </c>
      <c r="F1842" s="2" t="s">
        <v>16</v>
      </c>
      <c r="G1842" s="7">
        <v>108.65</v>
      </c>
      <c r="H1842" s="7">
        <v>6937.95</v>
      </c>
      <c r="I1842" s="2" t="s">
        <v>16</v>
      </c>
      <c r="J1842" s="2" t="s">
        <v>15</v>
      </c>
      <c r="K1842" s="2" t="s">
        <v>24</v>
      </c>
      <c r="L1842" s="7">
        <v>6937.95</v>
      </c>
      <c r="M1842" s="2" t="str">
        <f>_xlfn.IFS(TelecomData[[#This Row],[TenureMonths]]&lt;=12, "0-1 Year", TelecomData[[#This Row],[TenureMonths]]&lt;=36, "1-3 Years", TelecomData[[#This Row],[TenureMonths]]&gt;36, "3+ Years")</f>
        <v>3+ Years</v>
      </c>
      <c r="N1842" s="2" t="str">
        <f>IF(TelecomData[[#This Row],[CleanedTotalCharges]]&gt;=2500,"High Spend", "Standard Spend")</f>
        <v>High Spend</v>
      </c>
    </row>
    <row r="1843" spans="1:14" x14ac:dyDescent="0.3">
      <c r="A1843" s="1" t="s">
        <v>1867</v>
      </c>
      <c r="B1843" s="2" t="s">
        <v>12</v>
      </c>
      <c r="C1843" s="2" t="s">
        <v>20</v>
      </c>
      <c r="D1843" s="2">
        <v>56</v>
      </c>
      <c r="E1843" s="2" t="s">
        <v>15</v>
      </c>
      <c r="F1843" s="2" t="s">
        <v>36</v>
      </c>
      <c r="G1843" s="7">
        <v>24.3</v>
      </c>
      <c r="H1843" s="7">
        <v>1261.7</v>
      </c>
      <c r="I1843" s="2" t="s">
        <v>15</v>
      </c>
      <c r="J1843" s="2" t="s">
        <v>15</v>
      </c>
      <c r="K1843" s="2" t="s">
        <v>17</v>
      </c>
      <c r="L1843" s="7">
        <v>1261.7</v>
      </c>
      <c r="M1843" s="2" t="str">
        <f>_xlfn.IFS(TelecomData[[#This Row],[TenureMonths]]&lt;=12, "0-1 Year", TelecomData[[#This Row],[TenureMonths]]&lt;=36, "1-3 Years", TelecomData[[#This Row],[TenureMonths]]&gt;36, "3+ Years")</f>
        <v>3+ Years</v>
      </c>
      <c r="N1843" s="2" t="str">
        <f>IF(TelecomData[[#This Row],[CleanedTotalCharges]]&gt;=2500,"High Spend", "Standard Spend")</f>
        <v>Standard Spend</v>
      </c>
    </row>
    <row r="1844" spans="1:14" x14ac:dyDescent="0.3">
      <c r="A1844" s="1" t="s">
        <v>1868</v>
      </c>
      <c r="B1844" s="2" t="s">
        <v>19</v>
      </c>
      <c r="C1844" s="2" t="s">
        <v>13</v>
      </c>
      <c r="D1844" s="2">
        <v>45</v>
      </c>
      <c r="E1844" s="2" t="s">
        <v>14</v>
      </c>
      <c r="F1844" s="2" t="s">
        <v>15</v>
      </c>
      <c r="G1844" s="7">
        <v>75.95</v>
      </c>
      <c r="H1844" s="7">
        <v>3273.8</v>
      </c>
      <c r="I1844" s="2" t="s">
        <v>15</v>
      </c>
      <c r="J1844" s="2" t="s">
        <v>16</v>
      </c>
      <c r="K1844" s="2" t="s">
        <v>17</v>
      </c>
      <c r="L1844" s="7">
        <v>3273.8</v>
      </c>
      <c r="M1844" s="2" t="str">
        <f>_xlfn.IFS(TelecomData[[#This Row],[TenureMonths]]&lt;=12, "0-1 Year", TelecomData[[#This Row],[TenureMonths]]&lt;=36, "1-3 Years", TelecomData[[#This Row],[TenureMonths]]&gt;36, "3+ Years")</f>
        <v>3+ Years</v>
      </c>
      <c r="N1844" s="2" t="str">
        <f>IF(TelecomData[[#This Row],[CleanedTotalCharges]]&gt;=2500,"High Spend", "Standard Spend")</f>
        <v>High Spend</v>
      </c>
    </row>
    <row r="1845" spans="1:14" x14ac:dyDescent="0.3">
      <c r="A1845" s="1" t="s">
        <v>1869</v>
      </c>
      <c r="B1845" s="2" t="s">
        <v>12</v>
      </c>
      <c r="C1845" s="2" t="s">
        <v>35</v>
      </c>
      <c r="D1845" s="2">
        <v>71</v>
      </c>
      <c r="E1845" s="2" t="s">
        <v>15</v>
      </c>
      <c r="F1845" s="2" t="s">
        <v>36</v>
      </c>
      <c r="G1845" s="7">
        <v>19.7</v>
      </c>
      <c r="H1845" s="7">
        <v>1415.85</v>
      </c>
      <c r="I1845" s="2" t="s">
        <v>15</v>
      </c>
      <c r="J1845" s="2" t="s">
        <v>15</v>
      </c>
      <c r="K1845" s="2" t="s">
        <v>29</v>
      </c>
      <c r="L1845" s="7">
        <v>1415.85</v>
      </c>
      <c r="M1845" s="2" t="str">
        <f>_xlfn.IFS(TelecomData[[#This Row],[TenureMonths]]&lt;=12, "0-1 Year", TelecomData[[#This Row],[TenureMonths]]&lt;=36, "1-3 Years", TelecomData[[#This Row],[TenureMonths]]&gt;36, "3+ Years")</f>
        <v>3+ Years</v>
      </c>
      <c r="N1845" s="2" t="str">
        <f>IF(TelecomData[[#This Row],[CleanedTotalCharges]]&gt;=2500,"High Spend", "Standard Spend")</f>
        <v>Standard Spend</v>
      </c>
    </row>
    <row r="1846" spans="1:14" x14ac:dyDescent="0.3">
      <c r="A1846" s="1" t="s">
        <v>1870</v>
      </c>
      <c r="B1846" s="2" t="s">
        <v>19</v>
      </c>
      <c r="C1846" s="2" t="s">
        <v>20</v>
      </c>
      <c r="D1846" s="2">
        <v>59</v>
      </c>
      <c r="E1846" s="2" t="s">
        <v>14</v>
      </c>
      <c r="F1846" s="2" t="s">
        <v>15</v>
      </c>
      <c r="G1846" s="7">
        <v>66.400000000000006</v>
      </c>
      <c r="H1846" s="7">
        <v>3958.2</v>
      </c>
      <c r="I1846" s="2" t="s">
        <v>15</v>
      </c>
      <c r="J1846" s="2" t="s">
        <v>15</v>
      </c>
      <c r="K1846" s="2" t="s">
        <v>29</v>
      </c>
      <c r="L1846" s="7">
        <v>3958.2</v>
      </c>
      <c r="M1846" s="2" t="str">
        <f>_xlfn.IFS(TelecomData[[#This Row],[TenureMonths]]&lt;=12, "0-1 Year", TelecomData[[#This Row],[TenureMonths]]&lt;=36, "1-3 Years", TelecomData[[#This Row],[TenureMonths]]&gt;36, "3+ Years")</f>
        <v>3+ Years</v>
      </c>
      <c r="N1846" s="2" t="str">
        <f>IF(TelecomData[[#This Row],[CleanedTotalCharges]]&gt;=2500,"High Spend", "Standard Spend")</f>
        <v>High Spend</v>
      </c>
    </row>
    <row r="1847" spans="1:14" x14ac:dyDescent="0.3">
      <c r="A1847" s="1" t="s">
        <v>1871</v>
      </c>
      <c r="B1847" s="2" t="s">
        <v>19</v>
      </c>
      <c r="C1847" s="2" t="s">
        <v>20</v>
      </c>
      <c r="D1847" s="2">
        <v>69</v>
      </c>
      <c r="E1847" s="2" t="s">
        <v>14</v>
      </c>
      <c r="F1847" s="2" t="s">
        <v>15</v>
      </c>
      <c r="G1847" s="7">
        <v>35.75</v>
      </c>
      <c r="H1847" s="7">
        <v>2492.25</v>
      </c>
      <c r="I1847" s="2" t="s">
        <v>15</v>
      </c>
      <c r="J1847" s="2" t="s">
        <v>16</v>
      </c>
      <c r="K1847" s="2" t="s">
        <v>24</v>
      </c>
      <c r="L1847" s="7">
        <v>2492.25</v>
      </c>
      <c r="M1847" s="2" t="str">
        <f>_xlfn.IFS(TelecomData[[#This Row],[TenureMonths]]&lt;=12, "0-1 Year", TelecomData[[#This Row],[TenureMonths]]&lt;=36, "1-3 Years", TelecomData[[#This Row],[TenureMonths]]&gt;36, "3+ Years")</f>
        <v>3+ Years</v>
      </c>
      <c r="N1847" s="2" t="str">
        <f>IF(TelecomData[[#This Row],[CleanedTotalCharges]]&gt;=2500,"High Spend", "Standard Spend")</f>
        <v>Standard Spend</v>
      </c>
    </row>
    <row r="1848" spans="1:14" x14ac:dyDescent="0.3">
      <c r="A1848" s="1" t="s">
        <v>1872</v>
      </c>
      <c r="B1848" s="2" t="s">
        <v>19</v>
      </c>
      <c r="C1848" s="2" t="s">
        <v>20</v>
      </c>
      <c r="D1848" s="2">
        <v>19</v>
      </c>
      <c r="E1848" s="2" t="s">
        <v>15</v>
      </c>
      <c r="F1848" s="2" t="s">
        <v>36</v>
      </c>
      <c r="G1848" s="7">
        <v>18.8</v>
      </c>
      <c r="H1848" s="7">
        <v>279.2</v>
      </c>
      <c r="I1848" s="2" t="s">
        <v>15</v>
      </c>
      <c r="J1848" s="2" t="s">
        <v>15</v>
      </c>
      <c r="K1848" s="2" t="s">
        <v>21</v>
      </c>
      <c r="L1848" s="7">
        <v>279.2</v>
      </c>
      <c r="M1848" s="2" t="str">
        <f>_xlfn.IFS(TelecomData[[#This Row],[TenureMonths]]&lt;=12, "0-1 Year", TelecomData[[#This Row],[TenureMonths]]&lt;=36, "1-3 Years", TelecomData[[#This Row],[TenureMonths]]&gt;36, "3+ Years")</f>
        <v>1-3 Years</v>
      </c>
      <c r="N1848" s="2" t="str">
        <f>IF(TelecomData[[#This Row],[CleanedTotalCharges]]&gt;=2500,"High Spend", "Standard Spend")</f>
        <v>Standard Spend</v>
      </c>
    </row>
    <row r="1849" spans="1:14" x14ac:dyDescent="0.3">
      <c r="A1849" s="1" t="s">
        <v>1873</v>
      </c>
      <c r="B1849" s="2" t="s">
        <v>12</v>
      </c>
      <c r="C1849" s="2" t="s">
        <v>35</v>
      </c>
      <c r="D1849" s="2">
        <v>55</v>
      </c>
      <c r="E1849" s="2" t="s">
        <v>15</v>
      </c>
      <c r="F1849" s="2" t="s">
        <v>36</v>
      </c>
      <c r="G1849" s="7">
        <v>19.399999999999999</v>
      </c>
      <c r="H1849" s="7">
        <v>1083</v>
      </c>
      <c r="I1849" s="2" t="s">
        <v>15</v>
      </c>
      <c r="J1849" s="2" t="s">
        <v>15</v>
      </c>
      <c r="K1849" s="2" t="s">
        <v>29</v>
      </c>
      <c r="L1849" s="7">
        <v>1083</v>
      </c>
      <c r="M1849" s="2" t="str">
        <f>_xlfn.IFS(TelecomData[[#This Row],[TenureMonths]]&lt;=12, "0-1 Year", TelecomData[[#This Row],[TenureMonths]]&lt;=36, "1-3 Years", TelecomData[[#This Row],[TenureMonths]]&gt;36, "3+ Years")</f>
        <v>3+ Years</v>
      </c>
      <c r="N1849" s="2" t="str">
        <f>IF(TelecomData[[#This Row],[CleanedTotalCharges]]&gt;=2500,"High Spend", "Standard Spend")</f>
        <v>Standard Spend</v>
      </c>
    </row>
    <row r="1850" spans="1:14" x14ac:dyDescent="0.3">
      <c r="A1850" s="1" t="s">
        <v>1874</v>
      </c>
      <c r="B1850" s="2" t="s">
        <v>12</v>
      </c>
      <c r="C1850" s="2" t="s">
        <v>20</v>
      </c>
      <c r="D1850" s="2">
        <v>38</v>
      </c>
      <c r="E1850" s="2" t="s">
        <v>15</v>
      </c>
      <c r="F1850" s="2" t="s">
        <v>36</v>
      </c>
      <c r="G1850" s="7">
        <v>19.3</v>
      </c>
      <c r="H1850" s="7">
        <v>755.5</v>
      </c>
      <c r="I1850" s="2" t="s">
        <v>15</v>
      </c>
      <c r="J1850" s="2" t="s">
        <v>15</v>
      </c>
      <c r="K1850" s="2" t="s">
        <v>21</v>
      </c>
      <c r="L1850" s="7">
        <v>755.5</v>
      </c>
      <c r="M1850" s="2" t="str">
        <f>_xlfn.IFS(TelecomData[[#This Row],[TenureMonths]]&lt;=12, "0-1 Year", TelecomData[[#This Row],[TenureMonths]]&lt;=36, "1-3 Years", TelecomData[[#This Row],[TenureMonths]]&gt;36, "3+ Years")</f>
        <v>3+ Years</v>
      </c>
      <c r="N1850" s="2" t="str">
        <f>IF(TelecomData[[#This Row],[CleanedTotalCharges]]&gt;=2500,"High Spend", "Standard Spend")</f>
        <v>Standard Spend</v>
      </c>
    </row>
    <row r="1851" spans="1:14" x14ac:dyDescent="0.3">
      <c r="A1851" s="1" t="s">
        <v>1875</v>
      </c>
      <c r="B1851" s="2" t="s">
        <v>19</v>
      </c>
      <c r="C1851" s="2" t="s">
        <v>13</v>
      </c>
      <c r="D1851" s="2">
        <v>10</v>
      </c>
      <c r="E1851" s="2" t="s">
        <v>14</v>
      </c>
      <c r="F1851" s="2" t="s">
        <v>15</v>
      </c>
      <c r="G1851" s="7">
        <v>45.55</v>
      </c>
      <c r="H1851" s="7">
        <v>402.6</v>
      </c>
      <c r="I1851" s="2" t="s">
        <v>16</v>
      </c>
      <c r="J1851" s="2" t="s">
        <v>16</v>
      </c>
      <c r="K1851" s="2" t="s">
        <v>17</v>
      </c>
      <c r="L1851" s="7">
        <v>402.6</v>
      </c>
      <c r="M1851" s="2" t="str">
        <f>_xlfn.IFS(TelecomData[[#This Row],[TenureMonths]]&lt;=12, "0-1 Year", TelecomData[[#This Row],[TenureMonths]]&lt;=36, "1-3 Years", TelecomData[[#This Row],[TenureMonths]]&gt;36, "3+ Years")</f>
        <v>0-1 Year</v>
      </c>
      <c r="N1851" s="2" t="str">
        <f>IF(TelecomData[[#This Row],[CleanedTotalCharges]]&gt;=2500,"High Spend", "Standard Spend")</f>
        <v>Standard Spend</v>
      </c>
    </row>
    <row r="1852" spans="1:14" x14ac:dyDescent="0.3">
      <c r="A1852" s="1" t="s">
        <v>1876</v>
      </c>
      <c r="B1852" s="2" t="s">
        <v>12</v>
      </c>
      <c r="C1852" s="2" t="s">
        <v>13</v>
      </c>
      <c r="D1852" s="2">
        <v>47</v>
      </c>
      <c r="E1852" s="2" t="s">
        <v>14</v>
      </c>
      <c r="F1852" s="2" t="s">
        <v>15</v>
      </c>
      <c r="G1852" s="7">
        <v>67.45</v>
      </c>
      <c r="H1852" s="7">
        <v>3252</v>
      </c>
      <c r="I1852" s="2" t="s">
        <v>15</v>
      </c>
      <c r="J1852" s="2" t="s">
        <v>16</v>
      </c>
      <c r="K1852" s="2" t="s">
        <v>29</v>
      </c>
      <c r="L1852" s="7">
        <v>3252</v>
      </c>
      <c r="M1852" s="2" t="str">
        <f>_xlfn.IFS(TelecomData[[#This Row],[TenureMonths]]&lt;=12, "0-1 Year", TelecomData[[#This Row],[TenureMonths]]&lt;=36, "1-3 Years", TelecomData[[#This Row],[TenureMonths]]&gt;36, "3+ Years")</f>
        <v>3+ Years</v>
      </c>
      <c r="N1852" s="2" t="str">
        <f>IF(TelecomData[[#This Row],[CleanedTotalCharges]]&gt;=2500,"High Spend", "Standard Spend")</f>
        <v>High Spend</v>
      </c>
    </row>
    <row r="1853" spans="1:14" x14ac:dyDescent="0.3">
      <c r="A1853" s="1" t="s">
        <v>1877</v>
      </c>
      <c r="B1853" s="2" t="s">
        <v>12</v>
      </c>
      <c r="C1853" s="2" t="s">
        <v>13</v>
      </c>
      <c r="D1853" s="2">
        <v>2</v>
      </c>
      <c r="E1853" s="2" t="s">
        <v>14</v>
      </c>
      <c r="F1853" s="2" t="s">
        <v>15</v>
      </c>
      <c r="G1853" s="7">
        <v>35.1</v>
      </c>
      <c r="H1853" s="7">
        <v>68.75</v>
      </c>
      <c r="I1853" s="2" t="s">
        <v>16</v>
      </c>
      <c r="J1853" s="2" t="s">
        <v>16</v>
      </c>
      <c r="K1853" s="2" t="s">
        <v>17</v>
      </c>
      <c r="L1853" s="7">
        <v>68.75</v>
      </c>
      <c r="M1853" s="2" t="str">
        <f>_xlfn.IFS(TelecomData[[#This Row],[TenureMonths]]&lt;=12, "0-1 Year", TelecomData[[#This Row],[TenureMonths]]&lt;=36, "1-3 Years", TelecomData[[#This Row],[TenureMonths]]&gt;36, "3+ Years")</f>
        <v>0-1 Year</v>
      </c>
      <c r="N1853" s="2" t="str">
        <f>IF(TelecomData[[#This Row],[CleanedTotalCharges]]&gt;=2500,"High Spend", "Standard Spend")</f>
        <v>Standard Spend</v>
      </c>
    </row>
    <row r="1854" spans="1:14" x14ac:dyDescent="0.3">
      <c r="A1854" s="1" t="s">
        <v>1878</v>
      </c>
      <c r="B1854" s="2" t="s">
        <v>19</v>
      </c>
      <c r="C1854" s="2" t="s">
        <v>13</v>
      </c>
      <c r="D1854" s="2">
        <v>1</v>
      </c>
      <c r="E1854" s="2" t="s">
        <v>14</v>
      </c>
      <c r="F1854" s="2" t="s">
        <v>15</v>
      </c>
      <c r="G1854" s="7">
        <v>46.2</v>
      </c>
      <c r="H1854" s="7">
        <v>46.2</v>
      </c>
      <c r="I1854" s="2" t="s">
        <v>16</v>
      </c>
      <c r="J1854" s="2" t="s">
        <v>15</v>
      </c>
      <c r="K1854" s="2" t="s">
        <v>29</v>
      </c>
      <c r="L1854" s="7">
        <v>46.2</v>
      </c>
      <c r="M1854" s="2" t="str">
        <f>_xlfn.IFS(TelecomData[[#This Row],[TenureMonths]]&lt;=12, "0-1 Year", TelecomData[[#This Row],[TenureMonths]]&lt;=36, "1-3 Years", TelecomData[[#This Row],[TenureMonths]]&gt;36, "3+ Years")</f>
        <v>0-1 Year</v>
      </c>
      <c r="N1854" s="2" t="str">
        <f>IF(TelecomData[[#This Row],[CleanedTotalCharges]]&gt;=2500,"High Spend", "Standard Spend")</f>
        <v>Standard Spend</v>
      </c>
    </row>
    <row r="1855" spans="1:14" x14ac:dyDescent="0.3">
      <c r="A1855" s="1" t="s">
        <v>1879</v>
      </c>
      <c r="B1855" s="2" t="s">
        <v>12</v>
      </c>
      <c r="C1855" s="2" t="s">
        <v>13</v>
      </c>
      <c r="D1855" s="2">
        <v>1</v>
      </c>
      <c r="E1855" s="2" t="s">
        <v>14</v>
      </c>
      <c r="F1855" s="2" t="s">
        <v>15</v>
      </c>
      <c r="G1855" s="7">
        <v>45.15</v>
      </c>
      <c r="H1855" s="7">
        <v>45.15</v>
      </c>
      <c r="I1855" s="2" t="s">
        <v>16</v>
      </c>
      <c r="J1855" s="2" t="s">
        <v>15</v>
      </c>
      <c r="K1855" s="2" t="s">
        <v>17</v>
      </c>
      <c r="L1855" s="7">
        <v>45.15</v>
      </c>
      <c r="M1855" s="2" t="str">
        <f>_xlfn.IFS(TelecomData[[#This Row],[TenureMonths]]&lt;=12, "0-1 Year", TelecomData[[#This Row],[TenureMonths]]&lt;=36, "1-3 Years", TelecomData[[#This Row],[TenureMonths]]&gt;36, "3+ Years")</f>
        <v>0-1 Year</v>
      </c>
      <c r="N1855" s="2" t="str">
        <f>IF(TelecomData[[#This Row],[CleanedTotalCharges]]&gt;=2500,"High Spend", "Standard Spend")</f>
        <v>Standard Spend</v>
      </c>
    </row>
    <row r="1856" spans="1:14" x14ac:dyDescent="0.3">
      <c r="A1856" s="1" t="s">
        <v>1880</v>
      </c>
      <c r="B1856" s="2" t="s">
        <v>19</v>
      </c>
      <c r="C1856" s="2" t="s">
        <v>13</v>
      </c>
      <c r="D1856" s="2">
        <v>1</v>
      </c>
      <c r="E1856" s="2" t="s">
        <v>14</v>
      </c>
      <c r="F1856" s="2" t="s">
        <v>15</v>
      </c>
      <c r="G1856" s="7">
        <v>43.3</v>
      </c>
      <c r="H1856" s="7">
        <v>43.3</v>
      </c>
      <c r="I1856" s="2" t="s">
        <v>16</v>
      </c>
      <c r="J1856" s="2" t="s">
        <v>16</v>
      </c>
      <c r="K1856" s="2" t="s">
        <v>17</v>
      </c>
      <c r="L1856" s="7">
        <v>43.3</v>
      </c>
      <c r="M1856" s="2" t="str">
        <f>_xlfn.IFS(TelecomData[[#This Row],[TenureMonths]]&lt;=12, "0-1 Year", TelecomData[[#This Row],[TenureMonths]]&lt;=36, "1-3 Years", TelecomData[[#This Row],[TenureMonths]]&gt;36, "3+ Years")</f>
        <v>0-1 Year</v>
      </c>
      <c r="N1856" s="2" t="str">
        <f>IF(TelecomData[[#This Row],[CleanedTotalCharges]]&gt;=2500,"High Spend", "Standard Spend")</f>
        <v>Standard Spend</v>
      </c>
    </row>
    <row r="1857" spans="1:14" x14ac:dyDescent="0.3">
      <c r="A1857" s="1" t="s">
        <v>1881</v>
      </c>
      <c r="B1857" s="2" t="s">
        <v>19</v>
      </c>
      <c r="C1857" s="2" t="s">
        <v>35</v>
      </c>
      <c r="D1857" s="2">
        <v>46</v>
      </c>
      <c r="E1857" s="2" t="s">
        <v>15</v>
      </c>
      <c r="F1857" s="2" t="s">
        <v>36</v>
      </c>
      <c r="G1857" s="7">
        <v>20.100000000000001</v>
      </c>
      <c r="H1857" s="7">
        <v>936.85</v>
      </c>
      <c r="I1857" s="2" t="s">
        <v>15</v>
      </c>
      <c r="J1857" s="2" t="s">
        <v>16</v>
      </c>
      <c r="K1857" s="2" t="s">
        <v>21</v>
      </c>
      <c r="L1857" s="7">
        <v>936.85</v>
      </c>
      <c r="M1857" s="2" t="str">
        <f>_xlfn.IFS(TelecomData[[#This Row],[TenureMonths]]&lt;=12, "0-1 Year", TelecomData[[#This Row],[TenureMonths]]&lt;=36, "1-3 Years", TelecomData[[#This Row],[TenureMonths]]&gt;36, "3+ Years")</f>
        <v>3+ Years</v>
      </c>
      <c r="N1857" s="2" t="str">
        <f>IF(TelecomData[[#This Row],[CleanedTotalCharges]]&gt;=2500,"High Spend", "Standard Spend")</f>
        <v>Standard Spend</v>
      </c>
    </row>
    <row r="1858" spans="1:14" x14ac:dyDescent="0.3">
      <c r="A1858" s="1" t="s">
        <v>1882</v>
      </c>
      <c r="B1858" s="2" t="s">
        <v>12</v>
      </c>
      <c r="C1858" s="2" t="s">
        <v>13</v>
      </c>
      <c r="D1858" s="2">
        <v>38</v>
      </c>
      <c r="E1858" s="2" t="s">
        <v>14</v>
      </c>
      <c r="F1858" s="2" t="s">
        <v>15</v>
      </c>
      <c r="G1858" s="7">
        <v>57.15</v>
      </c>
      <c r="H1858" s="7">
        <v>2250.65</v>
      </c>
      <c r="I1858" s="2" t="s">
        <v>16</v>
      </c>
      <c r="J1858" s="2" t="s">
        <v>16</v>
      </c>
      <c r="K1858" s="2" t="s">
        <v>29</v>
      </c>
      <c r="L1858" s="7">
        <v>2250.65</v>
      </c>
      <c r="M1858" s="2" t="str">
        <f>_xlfn.IFS(TelecomData[[#This Row],[TenureMonths]]&lt;=12, "0-1 Year", TelecomData[[#This Row],[TenureMonths]]&lt;=36, "1-3 Years", TelecomData[[#This Row],[TenureMonths]]&gt;36, "3+ Years")</f>
        <v>3+ Years</v>
      </c>
      <c r="N1858" s="2" t="str">
        <f>IF(TelecomData[[#This Row],[CleanedTotalCharges]]&gt;=2500,"High Spend", "Standard Spend")</f>
        <v>Standard Spend</v>
      </c>
    </row>
    <row r="1859" spans="1:14" x14ac:dyDescent="0.3">
      <c r="A1859" s="1" t="s">
        <v>1883</v>
      </c>
      <c r="B1859" s="2" t="s">
        <v>12</v>
      </c>
      <c r="C1859" s="2" t="s">
        <v>35</v>
      </c>
      <c r="D1859" s="2">
        <v>65</v>
      </c>
      <c r="E1859" s="2" t="s">
        <v>14</v>
      </c>
      <c r="F1859" s="2" t="s">
        <v>16</v>
      </c>
      <c r="G1859" s="7">
        <v>58.9</v>
      </c>
      <c r="H1859" s="7">
        <v>3857.1</v>
      </c>
      <c r="I1859" s="2" t="s">
        <v>15</v>
      </c>
      <c r="J1859" s="2" t="s">
        <v>15</v>
      </c>
      <c r="K1859" s="2" t="s">
        <v>29</v>
      </c>
      <c r="L1859" s="7">
        <v>3857.1</v>
      </c>
      <c r="M1859" s="2" t="str">
        <f>_xlfn.IFS(TelecomData[[#This Row],[TenureMonths]]&lt;=12, "0-1 Year", TelecomData[[#This Row],[TenureMonths]]&lt;=36, "1-3 Years", TelecomData[[#This Row],[TenureMonths]]&gt;36, "3+ Years")</f>
        <v>3+ Years</v>
      </c>
      <c r="N1859" s="2" t="str">
        <f>IF(TelecomData[[#This Row],[CleanedTotalCharges]]&gt;=2500,"High Spend", "Standard Spend")</f>
        <v>High Spend</v>
      </c>
    </row>
    <row r="1860" spans="1:14" x14ac:dyDescent="0.3">
      <c r="A1860" s="1" t="s">
        <v>1884</v>
      </c>
      <c r="B1860" s="2" t="s">
        <v>12</v>
      </c>
      <c r="C1860" s="2" t="s">
        <v>13</v>
      </c>
      <c r="D1860" s="2">
        <v>19</v>
      </c>
      <c r="E1860" s="2" t="s">
        <v>26</v>
      </c>
      <c r="F1860" s="2" t="s">
        <v>15</v>
      </c>
      <c r="G1860" s="7">
        <v>73.2</v>
      </c>
      <c r="H1860" s="7">
        <v>1441.1</v>
      </c>
      <c r="I1860" s="2" t="s">
        <v>16</v>
      </c>
      <c r="J1860" s="2" t="s">
        <v>16</v>
      </c>
      <c r="K1860" s="2" t="s">
        <v>17</v>
      </c>
      <c r="L1860" s="7">
        <v>1441.1</v>
      </c>
      <c r="M1860" s="2" t="str">
        <f>_xlfn.IFS(TelecomData[[#This Row],[TenureMonths]]&lt;=12, "0-1 Year", TelecomData[[#This Row],[TenureMonths]]&lt;=36, "1-3 Years", TelecomData[[#This Row],[TenureMonths]]&gt;36, "3+ Years")</f>
        <v>1-3 Years</v>
      </c>
      <c r="N1860" s="2" t="str">
        <f>IF(TelecomData[[#This Row],[CleanedTotalCharges]]&gt;=2500,"High Spend", "Standard Spend")</f>
        <v>Standard Spend</v>
      </c>
    </row>
    <row r="1861" spans="1:14" x14ac:dyDescent="0.3">
      <c r="A1861" s="1" t="s">
        <v>1885</v>
      </c>
      <c r="B1861" s="2" t="s">
        <v>19</v>
      </c>
      <c r="C1861" s="2" t="s">
        <v>13</v>
      </c>
      <c r="D1861" s="2">
        <v>52</v>
      </c>
      <c r="E1861" s="2" t="s">
        <v>26</v>
      </c>
      <c r="F1861" s="2" t="s">
        <v>15</v>
      </c>
      <c r="G1861" s="7">
        <v>85.35</v>
      </c>
      <c r="H1861" s="7">
        <v>4338.6000000000004</v>
      </c>
      <c r="I1861" s="2" t="s">
        <v>16</v>
      </c>
      <c r="J1861" s="2" t="s">
        <v>16</v>
      </c>
      <c r="K1861" s="2" t="s">
        <v>17</v>
      </c>
      <c r="L1861" s="7">
        <v>4338.6000000000004</v>
      </c>
      <c r="M1861" s="2" t="str">
        <f>_xlfn.IFS(TelecomData[[#This Row],[TenureMonths]]&lt;=12, "0-1 Year", TelecomData[[#This Row],[TenureMonths]]&lt;=36, "1-3 Years", TelecomData[[#This Row],[TenureMonths]]&gt;36, "3+ Years")</f>
        <v>3+ Years</v>
      </c>
      <c r="N1861" s="2" t="str">
        <f>IF(TelecomData[[#This Row],[CleanedTotalCharges]]&gt;=2500,"High Spend", "Standard Spend")</f>
        <v>High Spend</v>
      </c>
    </row>
    <row r="1862" spans="1:14" x14ac:dyDescent="0.3">
      <c r="A1862" s="1" t="s">
        <v>1886</v>
      </c>
      <c r="B1862" s="2" t="s">
        <v>19</v>
      </c>
      <c r="C1862" s="2" t="s">
        <v>35</v>
      </c>
      <c r="D1862" s="2">
        <v>71</v>
      </c>
      <c r="E1862" s="2" t="s">
        <v>15</v>
      </c>
      <c r="F1862" s="2" t="s">
        <v>36</v>
      </c>
      <c r="G1862" s="7">
        <v>19.45</v>
      </c>
      <c r="H1862" s="7">
        <v>1378.45</v>
      </c>
      <c r="I1862" s="2" t="s">
        <v>15</v>
      </c>
      <c r="J1862" s="2" t="s">
        <v>15</v>
      </c>
      <c r="K1862" s="2" t="s">
        <v>21</v>
      </c>
      <c r="L1862" s="7">
        <v>1378.45</v>
      </c>
      <c r="M1862" s="2" t="str">
        <f>_xlfn.IFS(TelecomData[[#This Row],[TenureMonths]]&lt;=12, "0-1 Year", TelecomData[[#This Row],[TenureMonths]]&lt;=36, "1-3 Years", TelecomData[[#This Row],[TenureMonths]]&gt;36, "3+ Years")</f>
        <v>3+ Years</v>
      </c>
      <c r="N1862" s="2" t="str">
        <f>IF(TelecomData[[#This Row],[CleanedTotalCharges]]&gt;=2500,"High Spend", "Standard Spend")</f>
        <v>Standard Spend</v>
      </c>
    </row>
    <row r="1863" spans="1:14" x14ac:dyDescent="0.3">
      <c r="A1863" s="1" t="s">
        <v>1887</v>
      </c>
      <c r="B1863" s="2" t="s">
        <v>12</v>
      </c>
      <c r="C1863" s="2" t="s">
        <v>13</v>
      </c>
      <c r="D1863" s="2">
        <v>1</v>
      </c>
      <c r="E1863" s="2" t="s">
        <v>14</v>
      </c>
      <c r="F1863" s="2" t="s">
        <v>15</v>
      </c>
      <c r="G1863" s="7">
        <v>45.95</v>
      </c>
      <c r="H1863" s="7">
        <v>45.95</v>
      </c>
      <c r="I1863" s="2" t="s">
        <v>16</v>
      </c>
      <c r="J1863" s="2" t="s">
        <v>15</v>
      </c>
      <c r="K1863" s="2" t="s">
        <v>21</v>
      </c>
      <c r="L1863" s="7">
        <v>45.95</v>
      </c>
      <c r="M1863" s="2" t="str">
        <f>_xlfn.IFS(TelecomData[[#This Row],[TenureMonths]]&lt;=12, "0-1 Year", TelecomData[[#This Row],[TenureMonths]]&lt;=36, "1-3 Years", TelecomData[[#This Row],[TenureMonths]]&gt;36, "3+ Years")</f>
        <v>0-1 Year</v>
      </c>
      <c r="N1863" s="2" t="str">
        <f>IF(TelecomData[[#This Row],[CleanedTotalCharges]]&gt;=2500,"High Spend", "Standard Spend")</f>
        <v>Standard Spend</v>
      </c>
    </row>
    <row r="1864" spans="1:14" x14ac:dyDescent="0.3">
      <c r="A1864" s="1" t="s">
        <v>1888</v>
      </c>
      <c r="B1864" s="2" t="s">
        <v>12</v>
      </c>
      <c r="C1864" s="2" t="s">
        <v>13</v>
      </c>
      <c r="D1864" s="2">
        <v>52</v>
      </c>
      <c r="E1864" s="2" t="s">
        <v>14</v>
      </c>
      <c r="F1864" s="2" t="s">
        <v>16</v>
      </c>
      <c r="G1864" s="7">
        <v>50.5</v>
      </c>
      <c r="H1864" s="7">
        <v>2566.3000000000002</v>
      </c>
      <c r="I1864" s="2" t="s">
        <v>15</v>
      </c>
      <c r="J1864" s="2" t="s">
        <v>16</v>
      </c>
      <c r="K1864" s="2" t="s">
        <v>17</v>
      </c>
      <c r="L1864" s="7">
        <v>2566.3000000000002</v>
      </c>
      <c r="M1864" s="2" t="str">
        <f>_xlfn.IFS(TelecomData[[#This Row],[TenureMonths]]&lt;=12, "0-1 Year", TelecomData[[#This Row],[TenureMonths]]&lt;=36, "1-3 Years", TelecomData[[#This Row],[TenureMonths]]&gt;36, "3+ Years")</f>
        <v>3+ Years</v>
      </c>
      <c r="N1864" s="2" t="str">
        <f>IF(TelecomData[[#This Row],[CleanedTotalCharges]]&gt;=2500,"High Spend", "Standard Spend")</f>
        <v>High Spend</v>
      </c>
    </row>
    <row r="1865" spans="1:14" x14ac:dyDescent="0.3">
      <c r="A1865" s="1" t="s">
        <v>1889</v>
      </c>
      <c r="B1865" s="2" t="s">
        <v>19</v>
      </c>
      <c r="C1865" s="2" t="s">
        <v>20</v>
      </c>
      <c r="D1865" s="2">
        <v>6</v>
      </c>
      <c r="E1865" s="2" t="s">
        <v>15</v>
      </c>
      <c r="F1865" s="2" t="s">
        <v>36</v>
      </c>
      <c r="G1865" s="7">
        <v>25.1</v>
      </c>
      <c r="H1865" s="7">
        <v>171</v>
      </c>
      <c r="I1865" s="2" t="s">
        <v>15</v>
      </c>
      <c r="J1865" s="2" t="s">
        <v>15</v>
      </c>
      <c r="K1865" s="2" t="s">
        <v>21</v>
      </c>
      <c r="L1865" s="7">
        <v>171</v>
      </c>
      <c r="M1865" s="2" t="str">
        <f>_xlfn.IFS(TelecomData[[#This Row],[TenureMonths]]&lt;=12, "0-1 Year", TelecomData[[#This Row],[TenureMonths]]&lt;=36, "1-3 Years", TelecomData[[#This Row],[TenureMonths]]&gt;36, "3+ Years")</f>
        <v>0-1 Year</v>
      </c>
      <c r="N1865" s="2" t="str">
        <f>IF(TelecomData[[#This Row],[CleanedTotalCharges]]&gt;=2500,"High Spend", "Standard Spend")</f>
        <v>Standard Spend</v>
      </c>
    </row>
    <row r="1866" spans="1:14" x14ac:dyDescent="0.3">
      <c r="A1866" s="1" t="s">
        <v>1890</v>
      </c>
      <c r="B1866" s="2" t="s">
        <v>12</v>
      </c>
      <c r="C1866" s="2" t="s">
        <v>20</v>
      </c>
      <c r="D1866" s="2">
        <v>26</v>
      </c>
      <c r="E1866" s="2" t="s">
        <v>14</v>
      </c>
      <c r="F1866" s="2" t="s">
        <v>15</v>
      </c>
      <c r="G1866" s="7">
        <v>60.7</v>
      </c>
      <c r="H1866" s="7">
        <v>1597.4</v>
      </c>
      <c r="I1866" s="2" t="s">
        <v>15</v>
      </c>
      <c r="J1866" s="2" t="s">
        <v>15</v>
      </c>
      <c r="K1866" s="2" t="s">
        <v>21</v>
      </c>
      <c r="L1866" s="7">
        <v>1597.4</v>
      </c>
      <c r="M1866" s="2" t="str">
        <f>_xlfn.IFS(TelecomData[[#This Row],[TenureMonths]]&lt;=12, "0-1 Year", TelecomData[[#This Row],[TenureMonths]]&lt;=36, "1-3 Years", TelecomData[[#This Row],[TenureMonths]]&gt;36, "3+ Years")</f>
        <v>1-3 Years</v>
      </c>
      <c r="N1866" s="2" t="str">
        <f>IF(TelecomData[[#This Row],[CleanedTotalCharges]]&gt;=2500,"High Spend", "Standard Spend")</f>
        <v>Standard Spend</v>
      </c>
    </row>
    <row r="1867" spans="1:14" x14ac:dyDescent="0.3">
      <c r="A1867" s="1" t="s">
        <v>1891</v>
      </c>
      <c r="B1867" s="2" t="s">
        <v>19</v>
      </c>
      <c r="C1867" s="2" t="s">
        <v>20</v>
      </c>
      <c r="D1867" s="2">
        <v>48</v>
      </c>
      <c r="E1867" s="2" t="s">
        <v>26</v>
      </c>
      <c r="F1867" s="2" t="s">
        <v>15</v>
      </c>
      <c r="G1867" s="7">
        <v>99</v>
      </c>
      <c r="H1867" s="7">
        <v>4744.3500000000004</v>
      </c>
      <c r="I1867" s="2" t="s">
        <v>15</v>
      </c>
      <c r="J1867" s="2" t="s">
        <v>16</v>
      </c>
      <c r="K1867" s="2" t="s">
        <v>17</v>
      </c>
      <c r="L1867" s="7">
        <v>4744.3500000000004</v>
      </c>
      <c r="M1867" s="2" t="str">
        <f>_xlfn.IFS(TelecomData[[#This Row],[TenureMonths]]&lt;=12, "0-1 Year", TelecomData[[#This Row],[TenureMonths]]&lt;=36, "1-3 Years", TelecomData[[#This Row],[TenureMonths]]&gt;36, "3+ Years")</f>
        <v>3+ Years</v>
      </c>
      <c r="N1867" s="2" t="str">
        <f>IF(TelecomData[[#This Row],[CleanedTotalCharges]]&gt;=2500,"High Spend", "Standard Spend")</f>
        <v>High Spend</v>
      </c>
    </row>
    <row r="1868" spans="1:14" x14ac:dyDescent="0.3">
      <c r="A1868" s="1" t="s">
        <v>1892</v>
      </c>
      <c r="B1868" s="2" t="s">
        <v>12</v>
      </c>
      <c r="C1868" s="2" t="s">
        <v>20</v>
      </c>
      <c r="D1868" s="2">
        <v>64</v>
      </c>
      <c r="E1868" s="2" t="s">
        <v>26</v>
      </c>
      <c r="F1868" s="2" t="s">
        <v>16</v>
      </c>
      <c r="G1868" s="7">
        <v>104.4</v>
      </c>
      <c r="H1868" s="7">
        <v>6721.6</v>
      </c>
      <c r="I1868" s="2" t="s">
        <v>15</v>
      </c>
      <c r="J1868" s="2" t="s">
        <v>16</v>
      </c>
      <c r="K1868" s="2" t="s">
        <v>24</v>
      </c>
      <c r="L1868" s="7">
        <v>6721.6</v>
      </c>
      <c r="M1868" s="2" t="str">
        <f>_xlfn.IFS(TelecomData[[#This Row],[TenureMonths]]&lt;=12, "0-1 Year", TelecomData[[#This Row],[TenureMonths]]&lt;=36, "1-3 Years", TelecomData[[#This Row],[TenureMonths]]&gt;36, "3+ Years")</f>
        <v>3+ Years</v>
      </c>
      <c r="N1868" s="2" t="str">
        <f>IF(TelecomData[[#This Row],[CleanedTotalCharges]]&gt;=2500,"High Spend", "Standard Spend")</f>
        <v>High Spend</v>
      </c>
    </row>
    <row r="1869" spans="1:14" x14ac:dyDescent="0.3">
      <c r="A1869" s="1" t="s">
        <v>1893</v>
      </c>
      <c r="B1869" s="2" t="s">
        <v>12</v>
      </c>
      <c r="C1869" s="2" t="s">
        <v>13</v>
      </c>
      <c r="D1869" s="2">
        <v>3</v>
      </c>
      <c r="E1869" s="2" t="s">
        <v>26</v>
      </c>
      <c r="F1869" s="2" t="s">
        <v>15</v>
      </c>
      <c r="G1869" s="7">
        <v>83.75</v>
      </c>
      <c r="H1869" s="7">
        <v>247.25</v>
      </c>
      <c r="I1869" s="2" t="s">
        <v>16</v>
      </c>
      <c r="J1869" s="2" t="s">
        <v>15</v>
      </c>
      <c r="K1869" s="2" t="s">
        <v>17</v>
      </c>
      <c r="L1869" s="7">
        <v>247.25</v>
      </c>
      <c r="M1869" s="2" t="str">
        <f>_xlfn.IFS(TelecomData[[#This Row],[TenureMonths]]&lt;=12, "0-1 Year", TelecomData[[#This Row],[TenureMonths]]&lt;=36, "1-3 Years", TelecomData[[#This Row],[TenureMonths]]&gt;36, "3+ Years")</f>
        <v>0-1 Year</v>
      </c>
      <c r="N1869" s="2" t="str">
        <f>IF(TelecomData[[#This Row],[CleanedTotalCharges]]&gt;=2500,"High Spend", "Standard Spend")</f>
        <v>Standard Spend</v>
      </c>
    </row>
    <row r="1870" spans="1:14" x14ac:dyDescent="0.3">
      <c r="A1870" s="1" t="s">
        <v>1894</v>
      </c>
      <c r="B1870" s="2" t="s">
        <v>19</v>
      </c>
      <c r="C1870" s="2" t="s">
        <v>13</v>
      </c>
      <c r="D1870" s="2">
        <v>1</v>
      </c>
      <c r="E1870" s="2" t="s">
        <v>14</v>
      </c>
      <c r="F1870" s="2" t="s">
        <v>15</v>
      </c>
      <c r="G1870" s="7">
        <v>44.05</v>
      </c>
      <c r="H1870" s="7">
        <v>44.05</v>
      </c>
      <c r="I1870" s="2" t="s">
        <v>15</v>
      </c>
      <c r="J1870" s="2" t="s">
        <v>16</v>
      </c>
      <c r="K1870" s="2" t="s">
        <v>24</v>
      </c>
      <c r="L1870" s="7">
        <v>44.05</v>
      </c>
      <c r="M1870" s="2" t="str">
        <f>_xlfn.IFS(TelecomData[[#This Row],[TenureMonths]]&lt;=12, "0-1 Year", TelecomData[[#This Row],[TenureMonths]]&lt;=36, "1-3 Years", TelecomData[[#This Row],[TenureMonths]]&gt;36, "3+ Years")</f>
        <v>0-1 Year</v>
      </c>
      <c r="N1870" s="2" t="str">
        <f>IF(TelecomData[[#This Row],[CleanedTotalCharges]]&gt;=2500,"High Spend", "Standard Spend")</f>
        <v>Standard Spend</v>
      </c>
    </row>
    <row r="1871" spans="1:14" x14ac:dyDescent="0.3">
      <c r="A1871" s="1" t="s">
        <v>1895</v>
      </c>
      <c r="B1871" s="2" t="s">
        <v>19</v>
      </c>
      <c r="C1871" s="2" t="s">
        <v>35</v>
      </c>
      <c r="D1871" s="2">
        <v>72</v>
      </c>
      <c r="E1871" s="2" t="s">
        <v>15</v>
      </c>
      <c r="F1871" s="2" t="s">
        <v>36</v>
      </c>
      <c r="G1871" s="7">
        <v>24.1</v>
      </c>
      <c r="H1871" s="7">
        <v>1734.65</v>
      </c>
      <c r="I1871" s="2" t="s">
        <v>15</v>
      </c>
      <c r="J1871" s="2" t="s">
        <v>15</v>
      </c>
      <c r="K1871" s="2" t="s">
        <v>29</v>
      </c>
      <c r="L1871" s="7">
        <v>1734.65</v>
      </c>
      <c r="M1871" s="2" t="str">
        <f>_xlfn.IFS(TelecomData[[#This Row],[TenureMonths]]&lt;=12, "0-1 Year", TelecomData[[#This Row],[TenureMonths]]&lt;=36, "1-3 Years", TelecomData[[#This Row],[TenureMonths]]&gt;36, "3+ Years")</f>
        <v>3+ Years</v>
      </c>
      <c r="N1871" s="2" t="str">
        <f>IF(TelecomData[[#This Row],[CleanedTotalCharges]]&gt;=2500,"High Spend", "Standard Spend")</f>
        <v>Standard Spend</v>
      </c>
    </row>
    <row r="1872" spans="1:14" x14ac:dyDescent="0.3">
      <c r="A1872" s="1" t="s">
        <v>1896</v>
      </c>
      <c r="B1872" s="2" t="s">
        <v>19</v>
      </c>
      <c r="C1872" s="2" t="s">
        <v>13</v>
      </c>
      <c r="D1872" s="2">
        <v>1</v>
      </c>
      <c r="E1872" s="2" t="s">
        <v>14</v>
      </c>
      <c r="F1872" s="2" t="s">
        <v>15</v>
      </c>
      <c r="G1872" s="7">
        <v>45.55</v>
      </c>
      <c r="H1872" s="7">
        <v>45.55</v>
      </c>
      <c r="I1872" s="2" t="s">
        <v>15</v>
      </c>
      <c r="J1872" s="2" t="s">
        <v>16</v>
      </c>
      <c r="K1872" s="2" t="s">
        <v>21</v>
      </c>
      <c r="L1872" s="7">
        <v>45.55</v>
      </c>
      <c r="M1872" s="2" t="str">
        <f>_xlfn.IFS(TelecomData[[#This Row],[TenureMonths]]&lt;=12, "0-1 Year", TelecomData[[#This Row],[TenureMonths]]&lt;=36, "1-3 Years", TelecomData[[#This Row],[TenureMonths]]&gt;36, "3+ Years")</f>
        <v>0-1 Year</v>
      </c>
      <c r="N1872" s="2" t="str">
        <f>IF(TelecomData[[#This Row],[CleanedTotalCharges]]&gt;=2500,"High Spend", "Standard Spend")</f>
        <v>Standard Spend</v>
      </c>
    </row>
    <row r="1873" spans="1:14" x14ac:dyDescent="0.3">
      <c r="A1873" s="1" t="s">
        <v>1897</v>
      </c>
      <c r="B1873" s="2" t="s">
        <v>12</v>
      </c>
      <c r="C1873" s="2" t="s">
        <v>13</v>
      </c>
      <c r="D1873" s="2">
        <v>51</v>
      </c>
      <c r="E1873" s="2" t="s">
        <v>26</v>
      </c>
      <c r="F1873" s="2" t="s">
        <v>15</v>
      </c>
      <c r="G1873" s="7">
        <v>93.8</v>
      </c>
      <c r="H1873" s="7">
        <v>4539.3500000000004</v>
      </c>
      <c r="I1873" s="2" t="s">
        <v>15</v>
      </c>
      <c r="J1873" s="2" t="s">
        <v>16</v>
      </c>
      <c r="K1873" s="2" t="s">
        <v>17</v>
      </c>
      <c r="L1873" s="7">
        <v>4539.3500000000004</v>
      </c>
      <c r="M1873" s="2" t="str">
        <f>_xlfn.IFS(TelecomData[[#This Row],[TenureMonths]]&lt;=12, "0-1 Year", TelecomData[[#This Row],[TenureMonths]]&lt;=36, "1-3 Years", TelecomData[[#This Row],[TenureMonths]]&gt;36, "3+ Years")</f>
        <v>3+ Years</v>
      </c>
      <c r="N1873" s="2" t="str">
        <f>IF(TelecomData[[#This Row],[CleanedTotalCharges]]&gt;=2500,"High Spend", "Standard Spend")</f>
        <v>High Spend</v>
      </c>
    </row>
    <row r="1874" spans="1:14" x14ac:dyDescent="0.3">
      <c r="A1874" s="1" t="s">
        <v>1898</v>
      </c>
      <c r="B1874" s="2" t="s">
        <v>12</v>
      </c>
      <c r="C1874" s="2" t="s">
        <v>35</v>
      </c>
      <c r="D1874" s="2">
        <v>41</v>
      </c>
      <c r="E1874" s="2" t="s">
        <v>15</v>
      </c>
      <c r="F1874" s="2" t="s">
        <v>36</v>
      </c>
      <c r="G1874" s="7">
        <v>19.7</v>
      </c>
      <c r="H1874" s="7">
        <v>804.25</v>
      </c>
      <c r="I1874" s="2" t="s">
        <v>15</v>
      </c>
      <c r="J1874" s="2" t="s">
        <v>15</v>
      </c>
      <c r="K1874" s="2" t="s">
        <v>24</v>
      </c>
      <c r="L1874" s="7">
        <v>804.25</v>
      </c>
      <c r="M1874" s="2" t="str">
        <f>_xlfn.IFS(TelecomData[[#This Row],[TenureMonths]]&lt;=12, "0-1 Year", TelecomData[[#This Row],[TenureMonths]]&lt;=36, "1-3 Years", TelecomData[[#This Row],[TenureMonths]]&gt;36, "3+ Years")</f>
        <v>3+ Years</v>
      </c>
      <c r="N1874" s="2" t="str">
        <f>IF(TelecomData[[#This Row],[CleanedTotalCharges]]&gt;=2500,"High Spend", "Standard Spend")</f>
        <v>Standard Spend</v>
      </c>
    </row>
    <row r="1875" spans="1:14" x14ac:dyDescent="0.3">
      <c r="A1875" s="1" t="s">
        <v>1899</v>
      </c>
      <c r="B1875" s="2" t="s">
        <v>12</v>
      </c>
      <c r="C1875" s="2" t="s">
        <v>35</v>
      </c>
      <c r="D1875" s="2">
        <v>72</v>
      </c>
      <c r="E1875" s="2" t="s">
        <v>14</v>
      </c>
      <c r="F1875" s="2" t="s">
        <v>15</v>
      </c>
      <c r="G1875" s="7">
        <v>70.650000000000006</v>
      </c>
      <c r="H1875" s="7">
        <v>5011.1499999999996</v>
      </c>
      <c r="I1875" s="2" t="s">
        <v>15</v>
      </c>
      <c r="J1875" s="2" t="s">
        <v>16</v>
      </c>
      <c r="K1875" s="2" t="s">
        <v>29</v>
      </c>
      <c r="L1875" s="7">
        <v>5011.1499999999996</v>
      </c>
      <c r="M1875" s="2" t="str">
        <f>_xlfn.IFS(TelecomData[[#This Row],[TenureMonths]]&lt;=12, "0-1 Year", TelecomData[[#This Row],[TenureMonths]]&lt;=36, "1-3 Years", TelecomData[[#This Row],[TenureMonths]]&gt;36, "3+ Years")</f>
        <v>3+ Years</v>
      </c>
      <c r="N1875" s="2" t="str">
        <f>IF(TelecomData[[#This Row],[CleanedTotalCharges]]&gt;=2500,"High Spend", "Standard Spend")</f>
        <v>High Spend</v>
      </c>
    </row>
    <row r="1876" spans="1:14" x14ac:dyDescent="0.3">
      <c r="A1876" s="1" t="s">
        <v>1900</v>
      </c>
      <c r="B1876" s="2" t="s">
        <v>12</v>
      </c>
      <c r="C1876" s="2" t="s">
        <v>35</v>
      </c>
      <c r="D1876" s="2">
        <v>43</v>
      </c>
      <c r="E1876" s="2" t="s">
        <v>14</v>
      </c>
      <c r="F1876" s="2" t="s">
        <v>16</v>
      </c>
      <c r="G1876" s="7">
        <v>86.45</v>
      </c>
      <c r="H1876" s="7">
        <v>3574.5</v>
      </c>
      <c r="I1876" s="2" t="s">
        <v>15</v>
      </c>
      <c r="J1876" s="2" t="s">
        <v>15</v>
      </c>
      <c r="K1876" s="2" t="s">
        <v>29</v>
      </c>
      <c r="L1876" s="7">
        <v>3574.5</v>
      </c>
      <c r="M1876" s="2" t="str">
        <f>_xlfn.IFS(TelecomData[[#This Row],[TenureMonths]]&lt;=12, "0-1 Year", TelecomData[[#This Row],[TenureMonths]]&lt;=36, "1-3 Years", TelecomData[[#This Row],[TenureMonths]]&gt;36, "3+ Years")</f>
        <v>3+ Years</v>
      </c>
      <c r="N1876" s="2" t="str">
        <f>IF(TelecomData[[#This Row],[CleanedTotalCharges]]&gt;=2500,"High Spend", "Standard Spend")</f>
        <v>High Spend</v>
      </c>
    </row>
    <row r="1877" spans="1:14" x14ac:dyDescent="0.3">
      <c r="A1877" s="1" t="s">
        <v>1901</v>
      </c>
      <c r="B1877" s="2" t="s">
        <v>19</v>
      </c>
      <c r="C1877" s="2" t="s">
        <v>35</v>
      </c>
      <c r="D1877" s="2">
        <v>72</v>
      </c>
      <c r="E1877" s="2" t="s">
        <v>26</v>
      </c>
      <c r="F1877" s="2" t="s">
        <v>16</v>
      </c>
      <c r="G1877" s="7">
        <v>114.1</v>
      </c>
      <c r="H1877" s="7">
        <v>8086.4</v>
      </c>
      <c r="I1877" s="2" t="s">
        <v>15</v>
      </c>
      <c r="J1877" s="2" t="s">
        <v>16</v>
      </c>
      <c r="K1877" s="2" t="s">
        <v>29</v>
      </c>
      <c r="L1877" s="7">
        <v>8086.4</v>
      </c>
      <c r="M1877" s="2" t="str">
        <f>_xlfn.IFS(TelecomData[[#This Row],[TenureMonths]]&lt;=12, "0-1 Year", TelecomData[[#This Row],[TenureMonths]]&lt;=36, "1-3 Years", TelecomData[[#This Row],[TenureMonths]]&gt;36, "3+ Years")</f>
        <v>3+ Years</v>
      </c>
      <c r="N1877" s="2" t="str">
        <f>IF(TelecomData[[#This Row],[CleanedTotalCharges]]&gt;=2500,"High Spend", "Standard Spend")</f>
        <v>High Spend</v>
      </c>
    </row>
    <row r="1878" spans="1:14" x14ac:dyDescent="0.3">
      <c r="A1878" s="1" t="s">
        <v>1902</v>
      </c>
      <c r="B1878" s="2" t="s">
        <v>19</v>
      </c>
      <c r="C1878" s="2" t="s">
        <v>20</v>
      </c>
      <c r="D1878" s="2">
        <v>47</v>
      </c>
      <c r="E1878" s="2" t="s">
        <v>26</v>
      </c>
      <c r="F1878" s="2" t="s">
        <v>15</v>
      </c>
      <c r="G1878" s="7">
        <v>95.2</v>
      </c>
      <c r="H1878" s="7">
        <v>4563</v>
      </c>
      <c r="I1878" s="2" t="s">
        <v>15</v>
      </c>
      <c r="J1878" s="2" t="s">
        <v>16</v>
      </c>
      <c r="K1878" s="2" t="s">
        <v>29</v>
      </c>
      <c r="L1878" s="7">
        <v>4563</v>
      </c>
      <c r="M1878" s="2" t="str">
        <f>_xlfn.IFS(TelecomData[[#This Row],[TenureMonths]]&lt;=12, "0-1 Year", TelecomData[[#This Row],[TenureMonths]]&lt;=36, "1-3 Years", TelecomData[[#This Row],[TenureMonths]]&gt;36, "3+ Years")</f>
        <v>3+ Years</v>
      </c>
      <c r="N1878" s="2" t="str">
        <f>IF(TelecomData[[#This Row],[CleanedTotalCharges]]&gt;=2500,"High Spend", "Standard Spend")</f>
        <v>High Spend</v>
      </c>
    </row>
    <row r="1879" spans="1:14" x14ac:dyDescent="0.3">
      <c r="A1879" s="1" t="s">
        <v>1903</v>
      </c>
      <c r="B1879" s="2" t="s">
        <v>19</v>
      </c>
      <c r="C1879" s="2" t="s">
        <v>35</v>
      </c>
      <c r="D1879" s="2">
        <v>72</v>
      </c>
      <c r="E1879" s="2" t="s">
        <v>14</v>
      </c>
      <c r="F1879" s="2" t="s">
        <v>16</v>
      </c>
      <c r="G1879" s="7">
        <v>88.55</v>
      </c>
      <c r="H1879" s="7">
        <v>6362.35</v>
      </c>
      <c r="I1879" s="2" t="s">
        <v>15</v>
      </c>
      <c r="J1879" s="2" t="s">
        <v>15</v>
      </c>
      <c r="K1879" s="2" t="s">
        <v>29</v>
      </c>
      <c r="L1879" s="7">
        <v>6362.35</v>
      </c>
      <c r="M1879" s="2" t="str">
        <f>_xlfn.IFS(TelecomData[[#This Row],[TenureMonths]]&lt;=12, "0-1 Year", TelecomData[[#This Row],[TenureMonths]]&lt;=36, "1-3 Years", TelecomData[[#This Row],[TenureMonths]]&gt;36, "3+ Years")</f>
        <v>3+ Years</v>
      </c>
      <c r="N1879" s="2" t="str">
        <f>IF(TelecomData[[#This Row],[CleanedTotalCharges]]&gt;=2500,"High Spend", "Standard Spend")</f>
        <v>High Spend</v>
      </c>
    </row>
    <row r="1880" spans="1:14" x14ac:dyDescent="0.3">
      <c r="A1880" s="1" t="s">
        <v>1904</v>
      </c>
      <c r="B1880" s="2" t="s">
        <v>19</v>
      </c>
      <c r="C1880" s="2" t="s">
        <v>13</v>
      </c>
      <c r="D1880" s="2">
        <v>3</v>
      </c>
      <c r="E1880" s="2" t="s">
        <v>15</v>
      </c>
      <c r="F1880" s="2" t="s">
        <v>36</v>
      </c>
      <c r="G1880" s="7">
        <v>20.75</v>
      </c>
      <c r="H1880" s="7">
        <v>67.099999999999994</v>
      </c>
      <c r="I1880" s="2" t="s">
        <v>15</v>
      </c>
      <c r="J1880" s="2" t="s">
        <v>16</v>
      </c>
      <c r="K1880" s="2" t="s">
        <v>29</v>
      </c>
      <c r="L1880" s="7">
        <v>67.099999999999994</v>
      </c>
      <c r="M1880" s="2" t="str">
        <f>_xlfn.IFS(TelecomData[[#This Row],[TenureMonths]]&lt;=12, "0-1 Year", TelecomData[[#This Row],[TenureMonths]]&lt;=36, "1-3 Years", TelecomData[[#This Row],[TenureMonths]]&gt;36, "3+ Years")</f>
        <v>0-1 Year</v>
      </c>
      <c r="N1880" s="2" t="str">
        <f>IF(TelecomData[[#This Row],[CleanedTotalCharges]]&gt;=2500,"High Spend", "Standard Spend")</f>
        <v>Standard Spend</v>
      </c>
    </row>
    <row r="1881" spans="1:14" x14ac:dyDescent="0.3">
      <c r="A1881" s="1" t="s">
        <v>1905</v>
      </c>
      <c r="B1881" s="2" t="s">
        <v>19</v>
      </c>
      <c r="C1881" s="2" t="s">
        <v>13</v>
      </c>
      <c r="D1881" s="2">
        <v>1</v>
      </c>
      <c r="E1881" s="2" t="s">
        <v>26</v>
      </c>
      <c r="F1881" s="2" t="s">
        <v>15</v>
      </c>
      <c r="G1881" s="7">
        <v>70.05</v>
      </c>
      <c r="H1881" s="7">
        <v>70.05</v>
      </c>
      <c r="I1881" s="2" t="s">
        <v>16</v>
      </c>
      <c r="J1881" s="2" t="s">
        <v>16</v>
      </c>
      <c r="K1881" s="2" t="s">
        <v>17</v>
      </c>
      <c r="L1881" s="7">
        <v>70.05</v>
      </c>
      <c r="M1881" s="2" t="str">
        <f>_xlfn.IFS(TelecomData[[#This Row],[TenureMonths]]&lt;=12, "0-1 Year", TelecomData[[#This Row],[TenureMonths]]&lt;=36, "1-3 Years", TelecomData[[#This Row],[TenureMonths]]&gt;36, "3+ Years")</f>
        <v>0-1 Year</v>
      </c>
      <c r="N1881" s="2" t="str">
        <f>IF(TelecomData[[#This Row],[CleanedTotalCharges]]&gt;=2500,"High Spend", "Standard Spend")</f>
        <v>Standard Spend</v>
      </c>
    </row>
    <row r="1882" spans="1:14" x14ac:dyDescent="0.3">
      <c r="A1882" s="1" t="s">
        <v>1906</v>
      </c>
      <c r="B1882" s="2" t="s">
        <v>19</v>
      </c>
      <c r="C1882" s="2" t="s">
        <v>13</v>
      </c>
      <c r="D1882" s="2">
        <v>2</v>
      </c>
      <c r="E1882" s="2" t="s">
        <v>26</v>
      </c>
      <c r="F1882" s="2" t="s">
        <v>15</v>
      </c>
      <c r="G1882" s="7">
        <v>86</v>
      </c>
      <c r="H1882" s="7">
        <v>165.45</v>
      </c>
      <c r="I1882" s="2" t="s">
        <v>16</v>
      </c>
      <c r="J1882" s="2" t="s">
        <v>16</v>
      </c>
      <c r="K1882" s="2" t="s">
        <v>17</v>
      </c>
      <c r="L1882" s="7">
        <v>165.45</v>
      </c>
      <c r="M1882" s="2" t="str">
        <f>_xlfn.IFS(TelecomData[[#This Row],[TenureMonths]]&lt;=12, "0-1 Year", TelecomData[[#This Row],[TenureMonths]]&lt;=36, "1-3 Years", TelecomData[[#This Row],[TenureMonths]]&gt;36, "3+ Years")</f>
        <v>0-1 Year</v>
      </c>
      <c r="N1882" s="2" t="str">
        <f>IF(TelecomData[[#This Row],[CleanedTotalCharges]]&gt;=2500,"High Spend", "Standard Spend")</f>
        <v>Standard Spend</v>
      </c>
    </row>
    <row r="1883" spans="1:14" x14ac:dyDescent="0.3">
      <c r="A1883" s="1" t="s">
        <v>1907</v>
      </c>
      <c r="B1883" s="2" t="s">
        <v>19</v>
      </c>
      <c r="C1883" s="2" t="s">
        <v>13</v>
      </c>
      <c r="D1883" s="2">
        <v>26</v>
      </c>
      <c r="E1883" s="2" t="s">
        <v>14</v>
      </c>
      <c r="F1883" s="2" t="s">
        <v>15</v>
      </c>
      <c r="G1883" s="7">
        <v>44.65</v>
      </c>
      <c r="H1883" s="7">
        <v>1156.55</v>
      </c>
      <c r="I1883" s="2" t="s">
        <v>15</v>
      </c>
      <c r="J1883" s="2" t="s">
        <v>16</v>
      </c>
      <c r="K1883" s="2" t="s">
        <v>24</v>
      </c>
      <c r="L1883" s="7">
        <v>1156.55</v>
      </c>
      <c r="M1883" s="2" t="str">
        <f>_xlfn.IFS(TelecomData[[#This Row],[TenureMonths]]&lt;=12, "0-1 Year", TelecomData[[#This Row],[TenureMonths]]&lt;=36, "1-3 Years", TelecomData[[#This Row],[TenureMonths]]&gt;36, "3+ Years")</f>
        <v>1-3 Years</v>
      </c>
      <c r="N1883" s="2" t="str">
        <f>IF(TelecomData[[#This Row],[CleanedTotalCharges]]&gt;=2500,"High Spend", "Standard Spend")</f>
        <v>Standard Spend</v>
      </c>
    </row>
    <row r="1884" spans="1:14" x14ac:dyDescent="0.3">
      <c r="A1884" s="1" t="s">
        <v>1908</v>
      </c>
      <c r="B1884" s="2" t="s">
        <v>19</v>
      </c>
      <c r="C1884" s="2" t="s">
        <v>13</v>
      </c>
      <c r="D1884" s="2">
        <v>29</v>
      </c>
      <c r="E1884" s="2" t="s">
        <v>14</v>
      </c>
      <c r="F1884" s="2" t="s">
        <v>15</v>
      </c>
      <c r="G1884" s="7">
        <v>60.2</v>
      </c>
      <c r="H1884" s="7">
        <v>1834.15</v>
      </c>
      <c r="I1884" s="2" t="s">
        <v>15</v>
      </c>
      <c r="J1884" s="2" t="s">
        <v>16</v>
      </c>
      <c r="K1884" s="2" t="s">
        <v>21</v>
      </c>
      <c r="L1884" s="7">
        <v>1834.15</v>
      </c>
      <c r="M1884" s="2" t="str">
        <f>_xlfn.IFS(TelecomData[[#This Row],[TenureMonths]]&lt;=12, "0-1 Year", TelecomData[[#This Row],[TenureMonths]]&lt;=36, "1-3 Years", TelecomData[[#This Row],[TenureMonths]]&gt;36, "3+ Years")</f>
        <v>1-3 Years</v>
      </c>
      <c r="N1884" s="2" t="str">
        <f>IF(TelecomData[[#This Row],[CleanedTotalCharges]]&gt;=2500,"High Spend", "Standard Spend")</f>
        <v>Standard Spend</v>
      </c>
    </row>
    <row r="1885" spans="1:14" x14ac:dyDescent="0.3">
      <c r="A1885" s="1" t="s">
        <v>1909</v>
      </c>
      <c r="B1885" s="2" t="s">
        <v>12</v>
      </c>
      <c r="C1885" s="2" t="s">
        <v>13</v>
      </c>
      <c r="D1885" s="2">
        <v>35</v>
      </c>
      <c r="E1885" s="2" t="s">
        <v>26</v>
      </c>
      <c r="F1885" s="2" t="s">
        <v>16</v>
      </c>
      <c r="G1885" s="7">
        <v>100.5</v>
      </c>
      <c r="H1885" s="7">
        <v>3653.35</v>
      </c>
      <c r="I1885" s="2" t="s">
        <v>16</v>
      </c>
      <c r="J1885" s="2" t="s">
        <v>16</v>
      </c>
      <c r="K1885" s="2" t="s">
        <v>24</v>
      </c>
      <c r="L1885" s="7">
        <v>3653.35</v>
      </c>
      <c r="M1885" s="2" t="str">
        <f>_xlfn.IFS(TelecomData[[#This Row],[TenureMonths]]&lt;=12, "0-1 Year", TelecomData[[#This Row],[TenureMonths]]&lt;=36, "1-3 Years", TelecomData[[#This Row],[TenureMonths]]&gt;36, "3+ Years")</f>
        <v>1-3 Years</v>
      </c>
      <c r="N1885" s="2" t="str">
        <f>IF(TelecomData[[#This Row],[CleanedTotalCharges]]&gt;=2500,"High Spend", "Standard Spend")</f>
        <v>High Spend</v>
      </c>
    </row>
    <row r="1886" spans="1:14" x14ac:dyDescent="0.3">
      <c r="A1886" s="1" t="s">
        <v>1910</v>
      </c>
      <c r="B1886" s="2" t="s">
        <v>19</v>
      </c>
      <c r="C1886" s="2" t="s">
        <v>20</v>
      </c>
      <c r="D1886" s="2">
        <v>27</v>
      </c>
      <c r="E1886" s="2" t="s">
        <v>14</v>
      </c>
      <c r="F1886" s="2" t="s">
        <v>15</v>
      </c>
      <c r="G1886" s="7">
        <v>55.45</v>
      </c>
      <c r="H1886" s="7">
        <v>1477.65</v>
      </c>
      <c r="I1886" s="2" t="s">
        <v>15</v>
      </c>
      <c r="J1886" s="2" t="s">
        <v>15</v>
      </c>
      <c r="K1886" s="2" t="s">
        <v>24</v>
      </c>
      <c r="L1886" s="7">
        <v>1477.65</v>
      </c>
      <c r="M1886" s="2" t="str">
        <f>_xlfn.IFS(TelecomData[[#This Row],[TenureMonths]]&lt;=12, "0-1 Year", TelecomData[[#This Row],[TenureMonths]]&lt;=36, "1-3 Years", TelecomData[[#This Row],[TenureMonths]]&gt;36, "3+ Years")</f>
        <v>1-3 Years</v>
      </c>
      <c r="N1886" s="2" t="str">
        <f>IF(TelecomData[[#This Row],[CleanedTotalCharges]]&gt;=2500,"High Spend", "Standard Spend")</f>
        <v>Standard Spend</v>
      </c>
    </row>
    <row r="1887" spans="1:14" x14ac:dyDescent="0.3">
      <c r="A1887" s="1" t="s">
        <v>1911</v>
      </c>
      <c r="B1887" s="2" t="s">
        <v>19</v>
      </c>
      <c r="C1887" s="2" t="s">
        <v>13</v>
      </c>
      <c r="D1887" s="2">
        <v>24</v>
      </c>
      <c r="E1887" s="2" t="s">
        <v>14</v>
      </c>
      <c r="F1887" s="2" t="s">
        <v>16</v>
      </c>
      <c r="G1887" s="7">
        <v>70.3</v>
      </c>
      <c r="H1887" s="7">
        <v>1706.45</v>
      </c>
      <c r="I1887" s="2" t="s">
        <v>15</v>
      </c>
      <c r="J1887" s="2" t="s">
        <v>16</v>
      </c>
      <c r="K1887" s="2" t="s">
        <v>29</v>
      </c>
      <c r="L1887" s="7">
        <v>1706.45</v>
      </c>
      <c r="M1887" s="2" t="str">
        <f>_xlfn.IFS(TelecomData[[#This Row],[TenureMonths]]&lt;=12, "0-1 Year", TelecomData[[#This Row],[TenureMonths]]&lt;=36, "1-3 Years", TelecomData[[#This Row],[TenureMonths]]&gt;36, "3+ Years")</f>
        <v>1-3 Years</v>
      </c>
      <c r="N1887" s="2" t="str">
        <f>IF(TelecomData[[#This Row],[CleanedTotalCharges]]&gt;=2500,"High Spend", "Standard Spend")</f>
        <v>Standard Spend</v>
      </c>
    </row>
    <row r="1888" spans="1:14" x14ac:dyDescent="0.3">
      <c r="A1888" s="1" t="s">
        <v>1912</v>
      </c>
      <c r="B1888" s="2" t="s">
        <v>19</v>
      </c>
      <c r="C1888" s="2" t="s">
        <v>35</v>
      </c>
      <c r="D1888" s="2">
        <v>67</v>
      </c>
      <c r="E1888" s="2" t="s">
        <v>14</v>
      </c>
      <c r="F1888" s="2" t="s">
        <v>16</v>
      </c>
      <c r="G1888" s="7">
        <v>60.4</v>
      </c>
      <c r="H1888" s="7">
        <v>3953.7</v>
      </c>
      <c r="I1888" s="2" t="s">
        <v>15</v>
      </c>
      <c r="J1888" s="2" t="s">
        <v>16</v>
      </c>
      <c r="K1888" s="2" t="s">
        <v>24</v>
      </c>
      <c r="L1888" s="7">
        <v>3953.7</v>
      </c>
      <c r="M1888" s="2" t="str">
        <f>_xlfn.IFS(TelecomData[[#This Row],[TenureMonths]]&lt;=12, "0-1 Year", TelecomData[[#This Row],[TenureMonths]]&lt;=36, "1-3 Years", TelecomData[[#This Row],[TenureMonths]]&gt;36, "3+ Years")</f>
        <v>3+ Years</v>
      </c>
      <c r="N1888" s="2" t="str">
        <f>IF(TelecomData[[#This Row],[CleanedTotalCharges]]&gt;=2500,"High Spend", "Standard Spend")</f>
        <v>High Spend</v>
      </c>
    </row>
    <row r="1889" spans="1:14" x14ac:dyDescent="0.3">
      <c r="A1889" s="1" t="s">
        <v>1913</v>
      </c>
      <c r="B1889" s="2" t="s">
        <v>12</v>
      </c>
      <c r="C1889" s="2" t="s">
        <v>13</v>
      </c>
      <c r="D1889" s="2">
        <v>16</v>
      </c>
      <c r="E1889" s="2" t="s">
        <v>26</v>
      </c>
      <c r="F1889" s="2" t="s">
        <v>15</v>
      </c>
      <c r="G1889" s="7">
        <v>72.650000000000006</v>
      </c>
      <c r="H1889" s="7">
        <v>1194.3</v>
      </c>
      <c r="I1889" s="2" t="s">
        <v>16</v>
      </c>
      <c r="J1889" s="2" t="s">
        <v>15</v>
      </c>
      <c r="K1889" s="2" t="s">
        <v>17</v>
      </c>
      <c r="L1889" s="7">
        <v>1194.3</v>
      </c>
      <c r="M1889" s="2" t="str">
        <f>_xlfn.IFS(TelecomData[[#This Row],[TenureMonths]]&lt;=12, "0-1 Year", TelecomData[[#This Row],[TenureMonths]]&lt;=36, "1-3 Years", TelecomData[[#This Row],[TenureMonths]]&gt;36, "3+ Years")</f>
        <v>1-3 Years</v>
      </c>
      <c r="N1889" s="2" t="str">
        <f>IF(TelecomData[[#This Row],[CleanedTotalCharges]]&gt;=2500,"High Spend", "Standard Spend")</f>
        <v>Standard Spend</v>
      </c>
    </row>
    <row r="1890" spans="1:14" x14ac:dyDescent="0.3">
      <c r="A1890" s="1" t="s">
        <v>1914</v>
      </c>
      <c r="B1890" s="2" t="s">
        <v>12</v>
      </c>
      <c r="C1890" s="2" t="s">
        <v>20</v>
      </c>
      <c r="D1890" s="2">
        <v>23</v>
      </c>
      <c r="E1890" s="2" t="s">
        <v>14</v>
      </c>
      <c r="F1890" s="2" t="s">
        <v>15</v>
      </c>
      <c r="G1890" s="7">
        <v>55.8</v>
      </c>
      <c r="H1890" s="7">
        <v>1327.85</v>
      </c>
      <c r="I1890" s="2" t="s">
        <v>15</v>
      </c>
      <c r="J1890" s="2" t="s">
        <v>15</v>
      </c>
      <c r="K1890" s="2" t="s">
        <v>24</v>
      </c>
      <c r="L1890" s="7">
        <v>1327.85</v>
      </c>
      <c r="M1890" s="2" t="str">
        <f>_xlfn.IFS(TelecomData[[#This Row],[TenureMonths]]&lt;=12, "0-1 Year", TelecomData[[#This Row],[TenureMonths]]&lt;=36, "1-3 Years", TelecomData[[#This Row],[TenureMonths]]&gt;36, "3+ Years")</f>
        <v>1-3 Years</v>
      </c>
      <c r="N1890" s="2" t="str">
        <f>IF(TelecomData[[#This Row],[CleanedTotalCharges]]&gt;=2500,"High Spend", "Standard Spend")</f>
        <v>Standard Spend</v>
      </c>
    </row>
    <row r="1891" spans="1:14" x14ac:dyDescent="0.3">
      <c r="A1891" s="1" t="s">
        <v>1915</v>
      </c>
      <c r="B1891" s="2" t="s">
        <v>19</v>
      </c>
      <c r="C1891" s="2" t="s">
        <v>13</v>
      </c>
      <c r="D1891" s="2">
        <v>14</v>
      </c>
      <c r="E1891" s="2" t="s">
        <v>14</v>
      </c>
      <c r="F1891" s="2" t="s">
        <v>15</v>
      </c>
      <c r="G1891" s="7">
        <v>31.1</v>
      </c>
      <c r="H1891" s="7">
        <v>419.7</v>
      </c>
      <c r="I1891" s="2" t="s">
        <v>15</v>
      </c>
      <c r="J1891" s="2" t="s">
        <v>16</v>
      </c>
      <c r="K1891" s="2" t="s">
        <v>21</v>
      </c>
      <c r="L1891" s="7">
        <v>419.7</v>
      </c>
      <c r="M1891" s="2" t="str">
        <f>_xlfn.IFS(TelecomData[[#This Row],[TenureMonths]]&lt;=12, "0-1 Year", TelecomData[[#This Row],[TenureMonths]]&lt;=36, "1-3 Years", TelecomData[[#This Row],[TenureMonths]]&gt;36, "3+ Years")</f>
        <v>1-3 Years</v>
      </c>
      <c r="N1891" s="2" t="str">
        <f>IF(TelecomData[[#This Row],[CleanedTotalCharges]]&gt;=2500,"High Spend", "Standard Spend")</f>
        <v>Standard Spend</v>
      </c>
    </row>
    <row r="1892" spans="1:14" x14ac:dyDescent="0.3">
      <c r="A1892" s="1" t="s">
        <v>1916</v>
      </c>
      <c r="B1892" s="2" t="s">
        <v>12</v>
      </c>
      <c r="C1892" s="2" t="s">
        <v>13</v>
      </c>
      <c r="D1892" s="2">
        <v>1</v>
      </c>
      <c r="E1892" s="2" t="s">
        <v>15</v>
      </c>
      <c r="F1892" s="2" t="s">
        <v>36</v>
      </c>
      <c r="G1892" s="7">
        <v>21</v>
      </c>
      <c r="H1892" s="7">
        <v>21</v>
      </c>
      <c r="I1892" s="2" t="s">
        <v>16</v>
      </c>
      <c r="J1892" s="2" t="s">
        <v>16</v>
      </c>
      <c r="K1892" s="2" t="s">
        <v>17</v>
      </c>
      <c r="L1892" s="7">
        <v>21</v>
      </c>
      <c r="M1892" s="2" t="str">
        <f>_xlfn.IFS(TelecomData[[#This Row],[TenureMonths]]&lt;=12, "0-1 Year", TelecomData[[#This Row],[TenureMonths]]&lt;=36, "1-3 Years", TelecomData[[#This Row],[TenureMonths]]&gt;36, "3+ Years")</f>
        <v>0-1 Year</v>
      </c>
      <c r="N1892" s="2" t="str">
        <f>IF(TelecomData[[#This Row],[CleanedTotalCharges]]&gt;=2500,"High Spend", "Standard Spend")</f>
        <v>Standard Spend</v>
      </c>
    </row>
    <row r="1893" spans="1:14" x14ac:dyDescent="0.3">
      <c r="A1893" s="1" t="s">
        <v>1917</v>
      </c>
      <c r="B1893" s="2" t="s">
        <v>12</v>
      </c>
      <c r="C1893" s="2" t="s">
        <v>13</v>
      </c>
      <c r="D1893" s="2">
        <v>1</v>
      </c>
      <c r="E1893" s="2" t="s">
        <v>14</v>
      </c>
      <c r="F1893" s="2" t="s">
        <v>15</v>
      </c>
      <c r="G1893" s="7">
        <v>45.1</v>
      </c>
      <c r="H1893" s="7">
        <v>45.1</v>
      </c>
      <c r="I1893" s="2" t="s">
        <v>16</v>
      </c>
      <c r="J1893" s="2" t="s">
        <v>15</v>
      </c>
      <c r="K1893" s="2" t="s">
        <v>21</v>
      </c>
      <c r="L1893" s="7">
        <v>45.1</v>
      </c>
      <c r="M1893" s="2" t="str">
        <f>_xlfn.IFS(TelecomData[[#This Row],[TenureMonths]]&lt;=12, "0-1 Year", TelecomData[[#This Row],[TenureMonths]]&lt;=36, "1-3 Years", TelecomData[[#This Row],[TenureMonths]]&gt;36, "3+ Years")</f>
        <v>0-1 Year</v>
      </c>
      <c r="N1893" s="2" t="str">
        <f>IF(TelecomData[[#This Row],[CleanedTotalCharges]]&gt;=2500,"High Spend", "Standard Spend")</f>
        <v>Standard Spend</v>
      </c>
    </row>
    <row r="1894" spans="1:14" x14ac:dyDescent="0.3">
      <c r="A1894" s="1" t="s">
        <v>1918</v>
      </c>
      <c r="B1894" s="2" t="s">
        <v>19</v>
      </c>
      <c r="C1894" s="2" t="s">
        <v>13</v>
      </c>
      <c r="D1894" s="2">
        <v>4</v>
      </c>
      <c r="E1894" s="2" t="s">
        <v>14</v>
      </c>
      <c r="F1894" s="2" t="s">
        <v>15</v>
      </c>
      <c r="G1894" s="7">
        <v>50.95</v>
      </c>
      <c r="H1894" s="7">
        <v>207.35</v>
      </c>
      <c r="I1894" s="2" t="s">
        <v>15</v>
      </c>
      <c r="J1894" s="2" t="s">
        <v>16</v>
      </c>
      <c r="K1894" s="2" t="s">
        <v>29</v>
      </c>
      <c r="L1894" s="7">
        <v>207.35</v>
      </c>
      <c r="M1894" s="2" t="str">
        <f>_xlfn.IFS(TelecomData[[#This Row],[TenureMonths]]&lt;=12, "0-1 Year", TelecomData[[#This Row],[TenureMonths]]&lt;=36, "1-3 Years", TelecomData[[#This Row],[TenureMonths]]&gt;36, "3+ Years")</f>
        <v>0-1 Year</v>
      </c>
      <c r="N1894" s="2" t="str">
        <f>IF(TelecomData[[#This Row],[CleanedTotalCharges]]&gt;=2500,"High Spend", "Standard Spend")</f>
        <v>Standard Spend</v>
      </c>
    </row>
    <row r="1895" spans="1:14" x14ac:dyDescent="0.3">
      <c r="A1895" s="1" t="s">
        <v>1919</v>
      </c>
      <c r="B1895" s="2" t="s">
        <v>19</v>
      </c>
      <c r="C1895" s="2" t="s">
        <v>13</v>
      </c>
      <c r="D1895" s="2">
        <v>16</v>
      </c>
      <c r="E1895" s="2" t="s">
        <v>14</v>
      </c>
      <c r="F1895" s="2" t="s">
        <v>15</v>
      </c>
      <c r="G1895" s="7">
        <v>69.099999999999994</v>
      </c>
      <c r="H1895" s="7">
        <v>1083.7</v>
      </c>
      <c r="I1895" s="2" t="s">
        <v>15</v>
      </c>
      <c r="J1895" s="2" t="s">
        <v>16</v>
      </c>
      <c r="K1895" s="2" t="s">
        <v>17</v>
      </c>
      <c r="L1895" s="7">
        <v>1083.7</v>
      </c>
      <c r="M1895" s="2" t="str">
        <f>_xlfn.IFS(TelecomData[[#This Row],[TenureMonths]]&lt;=12, "0-1 Year", TelecomData[[#This Row],[TenureMonths]]&lt;=36, "1-3 Years", TelecomData[[#This Row],[TenureMonths]]&gt;36, "3+ Years")</f>
        <v>1-3 Years</v>
      </c>
      <c r="N1895" s="2" t="str">
        <f>IF(TelecomData[[#This Row],[CleanedTotalCharges]]&gt;=2500,"High Spend", "Standard Spend")</f>
        <v>Standard Spend</v>
      </c>
    </row>
    <row r="1896" spans="1:14" x14ac:dyDescent="0.3">
      <c r="A1896" s="1" t="s">
        <v>1920</v>
      </c>
      <c r="B1896" s="2" t="s">
        <v>12</v>
      </c>
      <c r="C1896" s="2" t="s">
        <v>13</v>
      </c>
      <c r="D1896" s="2">
        <v>46</v>
      </c>
      <c r="E1896" s="2" t="s">
        <v>14</v>
      </c>
      <c r="F1896" s="2" t="s">
        <v>15</v>
      </c>
      <c r="G1896" s="7">
        <v>43.95</v>
      </c>
      <c r="H1896" s="7">
        <v>2007.85</v>
      </c>
      <c r="I1896" s="2" t="s">
        <v>15</v>
      </c>
      <c r="J1896" s="2" t="s">
        <v>16</v>
      </c>
      <c r="K1896" s="2" t="s">
        <v>17</v>
      </c>
      <c r="L1896" s="7">
        <v>2007.85</v>
      </c>
      <c r="M1896" s="2" t="str">
        <f>_xlfn.IFS(TelecomData[[#This Row],[TenureMonths]]&lt;=12, "0-1 Year", TelecomData[[#This Row],[TenureMonths]]&lt;=36, "1-3 Years", TelecomData[[#This Row],[TenureMonths]]&gt;36, "3+ Years")</f>
        <v>3+ Years</v>
      </c>
      <c r="N1896" s="2" t="str">
        <f>IF(TelecomData[[#This Row],[CleanedTotalCharges]]&gt;=2500,"High Spend", "Standard Spend")</f>
        <v>Standard Spend</v>
      </c>
    </row>
    <row r="1897" spans="1:14" x14ac:dyDescent="0.3">
      <c r="A1897" s="1" t="s">
        <v>1921</v>
      </c>
      <c r="B1897" s="2" t="s">
        <v>19</v>
      </c>
      <c r="C1897" s="2" t="s">
        <v>35</v>
      </c>
      <c r="D1897" s="2">
        <v>68</v>
      </c>
      <c r="E1897" s="2" t="s">
        <v>14</v>
      </c>
      <c r="F1897" s="2" t="s">
        <v>16</v>
      </c>
      <c r="G1897" s="7">
        <v>86.5</v>
      </c>
      <c r="H1897" s="7">
        <v>5882.75</v>
      </c>
      <c r="I1897" s="2" t="s">
        <v>15</v>
      </c>
      <c r="J1897" s="2" t="s">
        <v>16</v>
      </c>
      <c r="K1897" s="2" t="s">
        <v>24</v>
      </c>
      <c r="L1897" s="7">
        <v>5882.75</v>
      </c>
      <c r="M1897" s="2" t="str">
        <f>_xlfn.IFS(TelecomData[[#This Row],[TenureMonths]]&lt;=12, "0-1 Year", TelecomData[[#This Row],[TenureMonths]]&lt;=36, "1-3 Years", TelecomData[[#This Row],[TenureMonths]]&gt;36, "3+ Years")</f>
        <v>3+ Years</v>
      </c>
      <c r="N1897" s="2" t="str">
        <f>IF(TelecomData[[#This Row],[CleanedTotalCharges]]&gt;=2500,"High Spend", "Standard Spend")</f>
        <v>High Spend</v>
      </c>
    </row>
    <row r="1898" spans="1:14" x14ac:dyDescent="0.3">
      <c r="A1898" s="1" t="s">
        <v>1922</v>
      </c>
      <c r="B1898" s="2" t="s">
        <v>19</v>
      </c>
      <c r="C1898" s="2" t="s">
        <v>13</v>
      </c>
      <c r="D1898" s="2">
        <v>38</v>
      </c>
      <c r="E1898" s="2" t="s">
        <v>14</v>
      </c>
      <c r="F1898" s="2" t="s">
        <v>16</v>
      </c>
      <c r="G1898" s="7">
        <v>69.95</v>
      </c>
      <c r="H1898" s="7">
        <v>2657.55</v>
      </c>
      <c r="I1898" s="2" t="s">
        <v>15</v>
      </c>
      <c r="J1898" s="2" t="s">
        <v>15</v>
      </c>
      <c r="K1898" s="2" t="s">
        <v>17</v>
      </c>
      <c r="L1898" s="7">
        <v>2657.55</v>
      </c>
      <c r="M1898" s="2" t="str">
        <f>_xlfn.IFS(TelecomData[[#This Row],[TenureMonths]]&lt;=12, "0-1 Year", TelecomData[[#This Row],[TenureMonths]]&lt;=36, "1-3 Years", TelecomData[[#This Row],[TenureMonths]]&gt;36, "3+ Years")</f>
        <v>3+ Years</v>
      </c>
      <c r="N1898" s="2" t="str">
        <f>IF(TelecomData[[#This Row],[CleanedTotalCharges]]&gt;=2500,"High Spend", "Standard Spend")</f>
        <v>High Spend</v>
      </c>
    </row>
    <row r="1899" spans="1:14" x14ac:dyDescent="0.3">
      <c r="A1899" s="1" t="s">
        <v>1923</v>
      </c>
      <c r="B1899" s="2" t="s">
        <v>19</v>
      </c>
      <c r="C1899" s="2" t="s">
        <v>13</v>
      </c>
      <c r="D1899" s="2">
        <v>30</v>
      </c>
      <c r="E1899" s="2" t="s">
        <v>14</v>
      </c>
      <c r="F1899" s="2" t="s">
        <v>15</v>
      </c>
      <c r="G1899" s="7">
        <v>50.4</v>
      </c>
      <c r="H1899" s="7">
        <v>1527.5</v>
      </c>
      <c r="I1899" s="2" t="s">
        <v>16</v>
      </c>
      <c r="J1899" s="2" t="s">
        <v>16</v>
      </c>
      <c r="K1899" s="2" t="s">
        <v>24</v>
      </c>
      <c r="L1899" s="7">
        <v>1527.5</v>
      </c>
      <c r="M1899" s="2" t="str">
        <f>_xlfn.IFS(TelecomData[[#This Row],[TenureMonths]]&lt;=12, "0-1 Year", TelecomData[[#This Row],[TenureMonths]]&lt;=36, "1-3 Years", TelecomData[[#This Row],[TenureMonths]]&gt;36, "3+ Years")</f>
        <v>1-3 Years</v>
      </c>
      <c r="N1899" s="2" t="str">
        <f>IF(TelecomData[[#This Row],[CleanedTotalCharges]]&gt;=2500,"High Spend", "Standard Spend")</f>
        <v>Standard Spend</v>
      </c>
    </row>
    <row r="1900" spans="1:14" x14ac:dyDescent="0.3">
      <c r="A1900" s="1" t="s">
        <v>1924</v>
      </c>
      <c r="B1900" s="2" t="s">
        <v>12</v>
      </c>
      <c r="C1900" s="2" t="s">
        <v>13</v>
      </c>
      <c r="D1900" s="2">
        <v>5</v>
      </c>
      <c r="E1900" s="2" t="s">
        <v>26</v>
      </c>
      <c r="F1900" s="2" t="s">
        <v>15</v>
      </c>
      <c r="G1900" s="7">
        <v>78.95</v>
      </c>
      <c r="H1900" s="7">
        <v>378.4</v>
      </c>
      <c r="I1900" s="2" t="s">
        <v>16</v>
      </c>
      <c r="J1900" s="2" t="s">
        <v>15</v>
      </c>
      <c r="K1900" s="2" t="s">
        <v>17</v>
      </c>
      <c r="L1900" s="7">
        <v>378.4</v>
      </c>
      <c r="M1900" s="2" t="str">
        <f>_xlfn.IFS(TelecomData[[#This Row],[TenureMonths]]&lt;=12, "0-1 Year", TelecomData[[#This Row],[TenureMonths]]&lt;=36, "1-3 Years", TelecomData[[#This Row],[TenureMonths]]&gt;36, "3+ Years")</f>
        <v>0-1 Year</v>
      </c>
      <c r="N1900" s="2" t="str">
        <f>IF(TelecomData[[#This Row],[CleanedTotalCharges]]&gt;=2500,"High Spend", "Standard Spend")</f>
        <v>Standard Spend</v>
      </c>
    </row>
    <row r="1901" spans="1:14" x14ac:dyDescent="0.3">
      <c r="A1901" s="1" t="s">
        <v>1925</v>
      </c>
      <c r="B1901" s="2" t="s">
        <v>19</v>
      </c>
      <c r="C1901" s="2" t="s">
        <v>13</v>
      </c>
      <c r="D1901" s="2">
        <v>17</v>
      </c>
      <c r="E1901" s="2" t="s">
        <v>26</v>
      </c>
      <c r="F1901" s="2" t="s">
        <v>15</v>
      </c>
      <c r="G1901" s="7">
        <v>90.95</v>
      </c>
      <c r="H1901" s="7">
        <v>1612.2</v>
      </c>
      <c r="I1901" s="2" t="s">
        <v>15</v>
      </c>
      <c r="J1901" s="2" t="s">
        <v>16</v>
      </c>
      <c r="K1901" s="2" t="s">
        <v>29</v>
      </c>
      <c r="L1901" s="7">
        <v>1612.2</v>
      </c>
      <c r="M1901" s="2" t="str">
        <f>_xlfn.IFS(TelecomData[[#This Row],[TenureMonths]]&lt;=12, "0-1 Year", TelecomData[[#This Row],[TenureMonths]]&lt;=36, "1-3 Years", TelecomData[[#This Row],[TenureMonths]]&gt;36, "3+ Years")</f>
        <v>1-3 Years</v>
      </c>
      <c r="N1901" s="2" t="str">
        <f>IF(TelecomData[[#This Row],[CleanedTotalCharges]]&gt;=2500,"High Spend", "Standard Spend")</f>
        <v>Standard Spend</v>
      </c>
    </row>
    <row r="1902" spans="1:14" x14ac:dyDescent="0.3">
      <c r="A1902" s="1" t="s">
        <v>1926</v>
      </c>
      <c r="B1902" s="2" t="s">
        <v>19</v>
      </c>
      <c r="C1902" s="2" t="s">
        <v>35</v>
      </c>
      <c r="D1902" s="2">
        <v>4</v>
      </c>
      <c r="E1902" s="2" t="s">
        <v>15</v>
      </c>
      <c r="F1902" s="2" t="s">
        <v>36</v>
      </c>
      <c r="G1902" s="7">
        <v>19.899999999999999</v>
      </c>
      <c r="H1902" s="7">
        <v>76.650000000000006</v>
      </c>
      <c r="I1902" s="2" t="s">
        <v>15</v>
      </c>
      <c r="J1902" s="2" t="s">
        <v>15</v>
      </c>
      <c r="K1902" s="2" t="s">
        <v>21</v>
      </c>
      <c r="L1902" s="7">
        <v>76.650000000000006</v>
      </c>
      <c r="M1902" s="2" t="str">
        <f>_xlfn.IFS(TelecomData[[#This Row],[TenureMonths]]&lt;=12, "0-1 Year", TelecomData[[#This Row],[TenureMonths]]&lt;=36, "1-3 Years", TelecomData[[#This Row],[TenureMonths]]&gt;36, "3+ Years")</f>
        <v>0-1 Year</v>
      </c>
      <c r="N1902" s="2" t="str">
        <f>IF(TelecomData[[#This Row],[CleanedTotalCharges]]&gt;=2500,"High Spend", "Standard Spend")</f>
        <v>Standard Spend</v>
      </c>
    </row>
    <row r="1903" spans="1:14" x14ac:dyDescent="0.3">
      <c r="A1903" s="1" t="s">
        <v>1927</v>
      </c>
      <c r="B1903" s="2" t="s">
        <v>12</v>
      </c>
      <c r="C1903" s="2" t="s">
        <v>20</v>
      </c>
      <c r="D1903" s="2">
        <v>12</v>
      </c>
      <c r="E1903" s="2" t="s">
        <v>15</v>
      </c>
      <c r="F1903" s="2" t="s">
        <v>36</v>
      </c>
      <c r="G1903" s="7">
        <v>20.149999999999999</v>
      </c>
      <c r="H1903" s="7">
        <v>260.7</v>
      </c>
      <c r="I1903" s="2" t="s">
        <v>15</v>
      </c>
      <c r="J1903" s="2" t="s">
        <v>15</v>
      </c>
      <c r="K1903" s="2" t="s">
        <v>17</v>
      </c>
      <c r="L1903" s="7">
        <v>260.7</v>
      </c>
      <c r="M1903" s="2" t="str">
        <f>_xlfn.IFS(TelecomData[[#This Row],[TenureMonths]]&lt;=12, "0-1 Year", TelecomData[[#This Row],[TenureMonths]]&lt;=36, "1-3 Years", TelecomData[[#This Row],[TenureMonths]]&gt;36, "3+ Years")</f>
        <v>0-1 Year</v>
      </c>
      <c r="N1903" s="2" t="str">
        <f>IF(TelecomData[[#This Row],[CleanedTotalCharges]]&gt;=2500,"High Spend", "Standard Spend")</f>
        <v>Standard Spend</v>
      </c>
    </row>
    <row r="1904" spans="1:14" x14ac:dyDescent="0.3">
      <c r="A1904" s="1" t="s">
        <v>1928</v>
      </c>
      <c r="B1904" s="2" t="s">
        <v>19</v>
      </c>
      <c r="C1904" s="2" t="s">
        <v>35</v>
      </c>
      <c r="D1904" s="2">
        <v>72</v>
      </c>
      <c r="E1904" s="2" t="s">
        <v>14</v>
      </c>
      <c r="F1904" s="2" t="s">
        <v>16</v>
      </c>
      <c r="G1904" s="7">
        <v>90.6</v>
      </c>
      <c r="H1904" s="7">
        <v>6441.85</v>
      </c>
      <c r="I1904" s="2" t="s">
        <v>15</v>
      </c>
      <c r="J1904" s="2" t="s">
        <v>16</v>
      </c>
      <c r="K1904" s="2" t="s">
        <v>29</v>
      </c>
      <c r="L1904" s="7">
        <v>6441.85</v>
      </c>
      <c r="M1904" s="2" t="str">
        <f>_xlfn.IFS(TelecomData[[#This Row],[TenureMonths]]&lt;=12, "0-1 Year", TelecomData[[#This Row],[TenureMonths]]&lt;=36, "1-3 Years", TelecomData[[#This Row],[TenureMonths]]&gt;36, "3+ Years")</f>
        <v>3+ Years</v>
      </c>
      <c r="N1904" s="2" t="str">
        <f>IF(TelecomData[[#This Row],[CleanedTotalCharges]]&gt;=2500,"High Spend", "Standard Spend")</f>
        <v>High Spend</v>
      </c>
    </row>
    <row r="1905" spans="1:14" x14ac:dyDescent="0.3">
      <c r="A1905" s="1" t="s">
        <v>1929</v>
      </c>
      <c r="B1905" s="2" t="s">
        <v>19</v>
      </c>
      <c r="C1905" s="2" t="s">
        <v>13</v>
      </c>
      <c r="D1905" s="2">
        <v>3</v>
      </c>
      <c r="E1905" s="2" t="s">
        <v>26</v>
      </c>
      <c r="F1905" s="2" t="s">
        <v>15</v>
      </c>
      <c r="G1905" s="7">
        <v>92</v>
      </c>
      <c r="H1905" s="7">
        <v>266.8</v>
      </c>
      <c r="I1905" s="2" t="s">
        <v>15</v>
      </c>
      <c r="J1905" s="2" t="s">
        <v>16</v>
      </c>
      <c r="K1905" s="2" t="s">
        <v>17</v>
      </c>
      <c r="L1905" s="7">
        <v>266.8</v>
      </c>
      <c r="M1905" s="2" t="str">
        <f>_xlfn.IFS(TelecomData[[#This Row],[TenureMonths]]&lt;=12, "0-1 Year", TelecomData[[#This Row],[TenureMonths]]&lt;=36, "1-3 Years", TelecomData[[#This Row],[TenureMonths]]&gt;36, "3+ Years")</f>
        <v>0-1 Year</v>
      </c>
      <c r="N1905" s="2" t="str">
        <f>IF(TelecomData[[#This Row],[CleanedTotalCharges]]&gt;=2500,"High Spend", "Standard Spend")</f>
        <v>Standard Spend</v>
      </c>
    </row>
    <row r="1906" spans="1:14" x14ac:dyDescent="0.3">
      <c r="A1906" s="1" t="s">
        <v>1930</v>
      </c>
      <c r="B1906" s="2" t="s">
        <v>19</v>
      </c>
      <c r="C1906" s="2" t="s">
        <v>13</v>
      </c>
      <c r="D1906" s="2">
        <v>56</v>
      </c>
      <c r="E1906" s="2" t="s">
        <v>26</v>
      </c>
      <c r="F1906" s="2" t="s">
        <v>16</v>
      </c>
      <c r="G1906" s="7">
        <v>94.45</v>
      </c>
      <c r="H1906" s="7">
        <v>5124.6000000000004</v>
      </c>
      <c r="I1906" s="2" t="s">
        <v>16</v>
      </c>
      <c r="J1906" s="2" t="s">
        <v>16</v>
      </c>
      <c r="K1906" s="2" t="s">
        <v>17</v>
      </c>
      <c r="L1906" s="7">
        <v>5124.6000000000004</v>
      </c>
      <c r="M1906" s="2" t="str">
        <f>_xlfn.IFS(TelecomData[[#This Row],[TenureMonths]]&lt;=12, "0-1 Year", TelecomData[[#This Row],[TenureMonths]]&lt;=36, "1-3 Years", TelecomData[[#This Row],[TenureMonths]]&gt;36, "3+ Years")</f>
        <v>3+ Years</v>
      </c>
      <c r="N1906" s="2" t="str">
        <f>IF(TelecomData[[#This Row],[CleanedTotalCharges]]&gt;=2500,"High Spend", "Standard Spend")</f>
        <v>High Spend</v>
      </c>
    </row>
    <row r="1907" spans="1:14" x14ac:dyDescent="0.3">
      <c r="A1907" s="1" t="s">
        <v>1931</v>
      </c>
      <c r="B1907" s="2" t="s">
        <v>12</v>
      </c>
      <c r="C1907" s="2" t="s">
        <v>20</v>
      </c>
      <c r="D1907" s="2">
        <v>41</v>
      </c>
      <c r="E1907" s="2" t="s">
        <v>15</v>
      </c>
      <c r="F1907" s="2" t="s">
        <v>36</v>
      </c>
      <c r="G1907" s="7">
        <v>24.85</v>
      </c>
      <c r="H1907" s="7">
        <v>962.25</v>
      </c>
      <c r="I1907" s="2" t="s">
        <v>15</v>
      </c>
      <c r="J1907" s="2" t="s">
        <v>16</v>
      </c>
      <c r="K1907" s="2" t="s">
        <v>21</v>
      </c>
      <c r="L1907" s="7">
        <v>962.25</v>
      </c>
      <c r="M1907" s="2" t="str">
        <f>_xlfn.IFS(TelecomData[[#This Row],[TenureMonths]]&lt;=12, "0-1 Year", TelecomData[[#This Row],[TenureMonths]]&lt;=36, "1-3 Years", TelecomData[[#This Row],[TenureMonths]]&gt;36, "3+ Years")</f>
        <v>3+ Years</v>
      </c>
      <c r="N1907" s="2" t="str">
        <f>IF(TelecomData[[#This Row],[CleanedTotalCharges]]&gt;=2500,"High Spend", "Standard Spend")</f>
        <v>Standard Spend</v>
      </c>
    </row>
    <row r="1908" spans="1:14" x14ac:dyDescent="0.3">
      <c r="A1908" s="1" t="s">
        <v>1932</v>
      </c>
      <c r="B1908" s="2" t="s">
        <v>19</v>
      </c>
      <c r="C1908" s="2" t="s">
        <v>20</v>
      </c>
      <c r="D1908" s="2">
        <v>40</v>
      </c>
      <c r="E1908" s="2" t="s">
        <v>14</v>
      </c>
      <c r="F1908" s="2" t="s">
        <v>16</v>
      </c>
      <c r="G1908" s="7">
        <v>36</v>
      </c>
      <c r="H1908" s="7">
        <v>1382.9</v>
      </c>
      <c r="I1908" s="2" t="s">
        <v>15</v>
      </c>
      <c r="J1908" s="2" t="s">
        <v>15</v>
      </c>
      <c r="K1908" s="2" t="s">
        <v>29</v>
      </c>
      <c r="L1908" s="7">
        <v>1382.9</v>
      </c>
      <c r="M1908" s="2" t="str">
        <f>_xlfn.IFS(TelecomData[[#This Row],[TenureMonths]]&lt;=12, "0-1 Year", TelecomData[[#This Row],[TenureMonths]]&lt;=36, "1-3 Years", TelecomData[[#This Row],[TenureMonths]]&gt;36, "3+ Years")</f>
        <v>3+ Years</v>
      </c>
      <c r="N1908" s="2" t="str">
        <f>IF(TelecomData[[#This Row],[CleanedTotalCharges]]&gt;=2500,"High Spend", "Standard Spend")</f>
        <v>Standard Spend</v>
      </c>
    </row>
    <row r="1909" spans="1:14" x14ac:dyDescent="0.3">
      <c r="A1909" s="1" t="s">
        <v>1933</v>
      </c>
      <c r="B1909" s="2" t="s">
        <v>12</v>
      </c>
      <c r="C1909" s="2" t="s">
        <v>13</v>
      </c>
      <c r="D1909" s="2">
        <v>7</v>
      </c>
      <c r="E1909" s="2" t="s">
        <v>14</v>
      </c>
      <c r="F1909" s="2" t="s">
        <v>16</v>
      </c>
      <c r="G1909" s="7">
        <v>78.5</v>
      </c>
      <c r="H1909" s="7">
        <v>571.04999999999995</v>
      </c>
      <c r="I1909" s="2" t="s">
        <v>15</v>
      </c>
      <c r="J1909" s="2" t="s">
        <v>16</v>
      </c>
      <c r="K1909" s="2" t="s">
        <v>17</v>
      </c>
      <c r="L1909" s="7">
        <v>571.04999999999995</v>
      </c>
      <c r="M1909" s="2" t="str">
        <f>_xlfn.IFS(TelecomData[[#This Row],[TenureMonths]]&lt;=12, "0-1 Year", TelecomData[[#This Row],[TenureMonths]]&lt;=36, "1-3 Years", TelecomData[[#This Row],[TenureMonths]]&gt;36, "3+ Years")</f>
        <v>0-1 Year</v>
      </c>
      <c r="N1909" s="2" t="str">
        <f>IF(TelecomData[[#This Row],[CleanedTotalCharges]]&gt;=2500,"High Spend", "Standard Spend")</f>
        <v>Standard Spend</v>
      </c>
    </row>
    <row r="1910" spans="1:14" x14ac:dyDescent="0.3">
      <c r="A1910" s="1" t="s">
        <v>1934</v>
      </c>
      <c r="B1910" s="2" t="s">
        <v>19</v>
      </c>
      <c r="C1910" s="2" t="s">
        <v>35</v>
      </c>
      <c r="D1910" s="2">
        <v>69</v>
      </c>
      <c r="E1910" s="2" t="s">
        <v>15</v>
      </c>
      <c r="F1910" s="2" t="s">
        <v>36</v>
      </c>
      <c r="G1910" s="7">
        <v>19.95</v>
      </c>
      <c r="H1910" s="7">
        <v>1399.35</v>
      </c>
      <c r="I1910" s="2" t="s">
        <v>15</v>
      </c>
      <c r="J1910" s="2" t="s">
        <v>15</v>
      </c>
      <c r="K1910" s="2" t="s">
        <v>29</v>
      </c>
      <c r="L1910" s="7">
        <v>1399.35</v>
      </c>
      <c r="M1910" s="2" t="str">
        <f>_xlfn.IFS(TelecomData[[#This Row],[TenureMonths]]&lt;=12, "0-1 Year", TelecomData[[#This Row],[TenureMonths]]&lt;=36, "1-3 Years", TelecomData[[#This Row],[TenureMonths]]&gt;36, "3+ Years")</f>
        <v>3+ Years</v>
      </c>
      <c r="N1910" s="2" t="str">
        <f>IF(TelecomData[[#This Row],[CleanedTotalCharges]]&gt;=2500,"High Spend", "Standard Spend")</f>
        <v>Standard Spend</v>
      </c>
    </row>
    <row r="1911" spans="1:14" x14ac:dyDescent="0.3">
      <c r="A1911" s="1" t="s">
        <v>1935</v>
      </c>
      <c r="B1911" s="2" t="s">
        <v>19</v>
      </c>
      <c r="C1911" s="2" t="s">
        <v>20</v>
      </c>
      <c r="D1911" s="2">
        <v>7</v>
      </c>
      <c r="E1911" s="2" t="s">
        <v>15</v>
      </c>
      <c r="F1911" s="2" t="s">
        <v>36</v>
      </c>
      <c r="G1911" s="7">
        <v>20.65</v>
      </c>
      <c r="H1911" s="7">
        <v>150</v>
      </c>
      <c r="I1911" s="2" t="s">
        <v>15</v>
      </c>
      <c r="J1911" s="2" t="s">
        <v>15</v>
      </c>
      <c r="K1911" s="2" t="s">
        <v>21</v>
      </c>
      <c r="L1911" s="7">
        <v>150</v>
      </c>
      <c r="M1911" s="2" t="str">
        <f>_xlfn.IFS(TelecomData[[#This Row],[TenureMonths]]&lt;=12, "0-1 Year", TelecomData[[#This Row],[TenureMonths]]&lt;=36, "1-3 Years", TelecomData[[#This Row],[TenureMonths]]&gt;36, "3+ Years")</f>
        <v>0-1 Year</v>
      </c>
      <c r="N1911" s="2" t="str">
        <f>IF(TelecomData[[#This Row],[CleanedTotalCharges]]&gt;=2500,"High Spend", "Standard Spend")</f>
        <v>Standard Spend</v>
      </c>
    </row>
    <row r="1912" spans="1:14" x14ac:dyDescent="0.3">
      <c r="A1912" s="1" t="s">
        <v>1936</v>
      </c>
      <c r="B1912" s="2" t="s">
        <v>12</v>
      </c>
      <c r="C1912" s="2" t="s">
        <v>13</v>
      </c>
      <c r="D1912" s="2">
        <v>5</v>
      </c>
      <c r="E1912" s="2" t="s">
        <v>14</v>
      </c>
      <c r="F1912" s="2" t="s">
        <v>15</v>
      </c>
      <c r="G1912" s="7">
        <v>30.5</v>
      </c>
      <c r="H1912" s="7">
        <v>167.2</v>
      </c>
      <c r="I1912" s="2" t="s">
        <v>15</v>
      </c>
      <c r="J1912" s="2" t="s">
        <v>16</v>
      </c>
      <c r="K1912" s="2" t="s">
        <v>17</v>
      </c>
      <c r="L1912" s="7">
        <v>167.2</v>
      </c>
      <c r="M1912" s="2" t="str">
        <f>_xlfn.IFS(TelecomData[[#This Row],[TenureMonths]]&lt;=12, "0-1 Year", TelecomData[[#This Row],[TenureMonths]]&lt;=36, "1-3 Years", TelecomData[[#This Row],[TenureMonths]]&gt;36, "3+ Years")</f>
        <v>0-1 Year</v>
      </c>
      <c r="N1912" s="2" t="str">
        <f>IF(TelecomData[[#This Row],[CleanedTotalCharges]]&gt;=2500,"High Spend", "Standard Spend")</f>
        <v>Standard Spend</v>
      </c>
    </row>
    <row r="1913" spans="1:14" x14ac:dyDescent="0.3">
      <c r="A1913" s="1" t="s">
        <v>1937</v>
      </c>
      <c r="B1913" s="2" t="s">
        <v>12</v>
      </c>
      <c r="C1913" s="2" t="s">
        <v>35</v>
      </c>
      <c r="D1913" s="2">
        <v>72</v>
      </c>
      <c r="E1913" s="2" t="s">
        <v>26</v>
      </c>
      <c r="F1913" s="2" t="s">
        <v>16</v>
      </c>
      <c r="G1913" s="7">
        <v>106.1</v>
      </c>
      <c r="H1913" s="7">
        <v>7657.4</v>
      </c>
      <c r="I1913" s="2" t="s">
        <v>15</v>
      </c>
      <c r="J1913" s="2" t="s">
        <v>15</v>
      </c>
      <c r="K1913" s="2" t="s">
        <v>29</v>
      </c>
      <c r="L1913" s="7">
        <v>7657.4</v>
      </c>
      <c r="M1913" s="2" t="str">
        <f>_xlfn.IFS(TelecomData[[#This Row],[TenureMonths]]&lt;=12, "0-1 Year", TelecomData[[#This Row],[TenureMonths]]&lt;=36, "1-3 Years", TelecomData[[#This Row],[TenureMonths]]&gt;36, "3+ Years")</f>
        <v>3+ Years</v>
      </c>
      <c r="N1913" s="2" t="str">
        <f>IF(TelecomData[[#This Row],[CleanedTotalCharges]]&gt;=2500,"High Spend", "Standard Spend")</f>
        <v>High Spend</v>
      </c>
    </row>
    <row r="1914" spans="1:14" x14ac:dyDescent="0.3">
      <c r="A1914" s="1" t="s">
        <v>1938</v>
      </c>
      <c r="B1914" s="2" t="s">
        <v>19</v>
      </c>
      <c r="C1914" s="2" t="s">
        <v>20</v>
      </c>
      <c r="D1914" s="2">
        <v>44</v>
      </c>
      <c r="E1914" s="2" t="s">
        <v>15</v>
      </c>
      <c r="F1914" s="2" t="s">
        <v>36</v>
      </c>
      <c r="G1914" s="7">
        <v>20.5</v>
      </c>
      <c r="H1914" s="7">
        <v>865.05</v>
      </c>
      <c r="I1914" s="2" t="s">
        <v>15</v>
      </c>
      <c r="J1914" s="2" t="s">
        <v>16</v>
      </c>
      <c r="K1914" s="2" t="s">
        <v>24</v>
      </c>
      <c r="L1914" s="7">
        <v>865.05</v>
      </c>
      <c r="M1914" s="2" t="str">
        <f>_xlfn.IFS(TelecomData[[#This Row],[TenureMonths]]&lt;=12, "0-1 Year", TelecomData[[#This Row],[TenureMonths]]&lt;=36, "1-3 Years", TelecomData[[#This Row],[TenureMonths]]&gt;36, "3+ Years")</f>
        <v>3+ Years</v>
      </c>
      <c r="N1914" s="2" t="str">
        <f>IF(TelecomData[[#This Row],[CleanedTotalCharges]]&gt;=2500,"High Spend", "Standard Spend")</f>
        <v>Standard Spend</v>
      </c>
    </row>
    <row r="1915" spans="1:14" x14ac:dyDescent="0.3">
      <c r="A1915" s="1" t="s">
        <v>1939</v>
      </c>
      <c r="B1915" s="2" t="s">
        <v>12</v>
      </c>
      <c r="C1915" s="2" t="s">
        <v>20</v>
      </c>
      <c r="D1915" s="2">
        <v>65</v>
      </c>
      <c r="E1915" s="2" t="s">
        <v>26</v>
      </c>
      <c r="F1915" s="2" t="s">
        <v>15</v>
      </c>
      <c r="G1915" s="7">
        <v>95.5</v>
      </c>
      <c r="H1915" s="7">
        <v>6153.85</v>
      </c>
      <c r="I1915" s="2" t="s">
        <v>15</v>
      </c>
      <c r="J1915" s="2" t="s">
        <v>16</v>
      </c>
      <c r="K1915" s="2" t="s">
        <v>17</v>
      </c>
      <c r="L1915" s="7">
        <v>6153.85</v>
      </c>
      <c r="M1915" s="2" t="str">
        <f>_xlfn.IFS(TelecomData[[#This Row],[TenureMonths]]&lt;=12, "0-1 Year", TelecomData[[#This Row],[TenureMonths]]&lt;=36, "1-3 Years", TelecomData[[#This Row],[TenureMonths]]&gt;36, "3+ Years")</f>
        <v>3+ Years</v>
      </c>
      <c r="N1915" s="2" t="str">
        <f>IF(TelecomData[[#This Row],[CleanedTotalCharges]]&gt;=2500,"High Spend", "Standard Spend")</f>
        <v>High Spend</v>
      </c>
    </row>
    <row r="1916" spans="1:14" x14ac:dyDescent="0.3">
      <c r="A1916" s="1" t="s">
        <v>1940</v>
      </c>
      <c r="B1916" s="2" t="s">
        <v>12</v>
      </c>
      <c r="C1916" s="2" t="s">
        <v>13</v>
      </c>
      <c r="D1916" s="2">
        <v>3</v>
      </c>
      <c r="E1916" s="2" t="s">
        <v>14</v>
      </c>
      <c r="F1916" s="2" t="s">
        <v>16</v>
      </c>
      <c r="G1916" s="7">
        <v>64.599999999999994</v>
      </c>
      <c r="H1916" s="7">
        <v>174.2</v>
      </c>
      <c r="I1916" s="2" t="s">
        <v>15</v>
      </c>
      <c r="J1916" s="2" t="s">
        <v>15</v>
      </c>
      <c r="K1916" s="2" t="s">
        <v>17</v>
      </c>
      <c r="L1916" s="7">
        <v>174.2</v>
      </c>
      <c r="M1916" s="2" t="str">
        <f>_xlfn.IFS(TelecomData[[#This Row],[TenureMonths]]&lt;=12, "0-1 Year", TelecomData[[#This Row],[TenureMonths]]&lt;=36, "1-3 Years", TelecomData[[#This Row],[TenureMonths]]&gt;36, "3+ Years")</f>
        <v>0-1 Year</v>
      </c>
      <c r="N1916" s="2" t="str">
        <f>IF(TelecomData[[#This Row],[CleanedTotalCharges]]&gt;=2500,"High Spend", "Standard Spend")</f>
        <v>Standard Spend</v>
      </c>
    </row>
    <row r="1917" spans="1:14" x14ac:dyDescent="0.3">
      <c r="A1917" s="1" t="s">
        <v>1941</v>
      </c>
      <c r="B1917" s="2" t="s">
        <v>19</v>
      </c>
      <c r="C1917" s="2" t="s">
        <v>13</v>
      </c>
      <c r="D1917" s="2">
        <v>24</v>
      </c>
      <c r="E1917" s="2" t="s">
        <v>14</v>
      </c>
      <c r="F1917" s="2" t="s">
        <v>16</v>
      </c>
      <c r="G1917" s="7">
        <v>51.1</v>
      </c>
      <c r="H1917" s="7">
        <v>1269.5999999999999</v>
      </c>
      <c r="I1917" s="2" t="s">
        <v>15</v>
      </c>
      <c r="J1917" s="2" t="s">
        <v>16</v>
      </c>
      <c r="K1917" s="2" t="s">
        <v>29</v>
      </c>
      <c r="L1917" s="7">
        <v>1269.5999999999999</v>
      </c>
      <c r="M1917" s="2" t="str">
        <f>_xlfn.IFS(TelecomData[[#This Row],[TenureMonths]]&lt;=12, "0-1 Year", TelecomData[[#This Row],[TenureMonths]]&lt;=36, "1-3 Years", TelecomData[[#This Row],[TenureMonths]]&gt;36, "3+ Years")</f>
        <v>1-3 Years</v>
      </c>
      <c r="N1917" s="2" t="str">
        <f>IF(TelecomData[[#This Row],[CleanedTotalCharges]]&gt;=2500,"High Spend", "Standard Spend")</f>
        <v>Standard Spend</v>
      </c>
    </row>
    <row r="1918" spans="1:14" x14ac:dyDescent="0.3">
      <c r="A1918" s="1" t="s">
        <v>1942</v>
      </c>
      <c r="B1918" s="2" t="s">
        <v>12</v>
      </c>
      <c r="C1918" s="2" t="s">
        <v>13</v>
      </c>
      <c r="D1918" s="2">
        <v>44</v>
      </c>
      <c r="E1918" s="2" t="s">
        <v>26</v>
      </c>
      <c r="F1918" s="2" t="s">
        <v>15</v>
      </c>
      <c r="G1918" s="7">
        <v>84.8</v>
      </c>
      <c r="H1918" s="7">
        <v>3862.55</v>
      </c>
      <c r="I1918" s="2" t="s">
        <v>16</v>
      </c>
      <c r="J1918" s="2" t="s">
        <v>16</v>
      </c>
      <c r="K1918" s="2" t="s">
        <v>24</v>
      </c>
      <c r="L1918" s="7">
        <v>3862.55</v>
      </c>
      <c r="M1918" s="2" t="str">
        <f>_xlfn.IFS(TelecomData[[#This Row],[TenureMonths]]&lt;=12, "0-1 Year", TelecomData[[#This Row],[TenureMonths]]&lt;=36, "1-3 Years", TelecomData[[#This Row],[TenureMonths]]&gt;36, "3+ Years")</f>
        <v>3+ Years</v>
      </c>
      <c r="N1918" s="2" t="str">
        <f>IF(TelecomData[[#This Row],[CleanedTotalCharges]]&gt;=2500,"High Spend", "Standard Spend")</f>
        <v>High Spend</v>
      </c>
    </row>
    <row r="1919" spans="1:14" x14ac:dyDescent="0.3">
      <c r="A1919" s="1" t="s">
        <v>1943</v>
      </c>
      <c r="B1919" s="2" t="s">
        <v>12</v>
      </c>
      <c r="C1919" s="2" t="s">
        <v>35</v>
      </c>
      <c r="D1919" s="2">
        <v>72</v>
      </c>
      <c r="E1919" s="2" t="s">
        <v>14</v>
      </c>
      <c r="F1919" s="2" t="s">
        <v>16</v>
      </c>
      <c r="G1919" s="7">
        <v>89.1</v>
      </c>
      <c r="H1919" s="7">
        <v>6352.4</v>
      </c>
      <c r="I1919" s="2" t="s">
        <v>15</v>
      </c>
      <c r="J1919" s="2" t="s">
        <v>15</v>
      </c>
      <c r="K1919" s="2" t="s">
        <v>29</v>
      </c>
      <c r="L1919" s="7">
        <v>6352.4</v>
      </c>
      <c r="M1919" s="2" t="str">
        <f>_xlfn.IFS(TelecomData[[#This Row],[TenureMonths]]&lt;=12, "0-1 Year", TelecomData[[#This Row],[TenureMonths]]&lt;=36, "1-3 Years", TelecomData[[#This Row],[TenureMonths]]&gt;36, "3+ Years")</f>
        <v>3+ Years</v>
      </c>
      <c r="N1919" s="2" t="str">
        <f>IF(TelecomData[[#This Row],[CleanedTotalCharges]]&gt;=2500,"High Spend", "Standard Spend")</f>
        <v>High Spend</v>
      </c>
    </row>
    <row r="1920" spans="1:14" x14ac:dyDescent="0.3">
      <c r="A1920" s="1" t="s">
        <v>1944</v>
      </c>
      <c r="B1920" s="2" t="s">
        <v>19</v>
      </c>
      <c r="C1920" s="2" t="s">
        <v>13</v>
      </c>
      <c r="D1920" s="2">
        <v>24</v>
      </c>
      <c r="E1920" s="2" t="s">
        <v>14</v>
      </c>
      <c r="F1920" s="2" t="s">
        <v>16</v>
      </c>
      <c r="G1920" s="7">
        <v>54.95</v>
      </c>
      <c r="H1920" s="7">
        <v>1348.5</v>
      </c>
      <c r="I1920" s="2" t="s">
        <v>15</v>
      </c>
      <c r="J1920" s="2" t="s">
        <v>15</v>
      </c>
      <c r="K1920" s="2" t="s">
        <v>17</v>
      </c>
      <c r="L1920" s="7">
        <v>1348.5</v>
      </c>
      <c r="M1920" s="2" t="str">
        <f>_xlfn.IFS(TelecomData[[#This Row],[TenureMonths]]&lt;=12, "0-1 Year", TelecomData[[#This Row],[TenureMonths]]&lt;=36, "1-3 Years", TelecomData[[#This Row],[TenureMonths]]&gt;36, "3+ Years")</f>
        <v>1-3 Years</v>
      </c>
      <c r="N1920" s="2" t="str">
        <f>IF(TelecomData[[#This Row],[CleanedTotalCharges]]&gt;=2500,"High Spend", "Standard Spend")</f>
        <v>Standard Spend</v>
      </c>
    </row>
    <row r="1921" spans="1:14" x14ac:dyDescent="0.3">
      <c r="A1921" s="1" t="s">
        <v>1945</v>
      </c>
      <c r="B1921" s="2" t="s">
        <v>19</v>
      </c>
      <c r="C1921" s="2" t="s">
        <v>13</v>
      </c>
      <c r="D1921" s="2">
        <v>1</v>
      </c>
      <c r="E1921" s="2" t="s">
        <v>14</v>
      </c>
      <c r="F1921" s="2" t="s">
        <v>15</v>
      </c>
      <c r="G1921" s="7">
        <v>50.9</v>
      </c>
      <c r="H1921" s="7">
        <v>50.9</v>
      </c>
      <c r="I1921" s="2" t="s">
        <v>16</v>
      </c>
      <c r="J1921" s="2" t="s">
        <v>15</v>
      </c>
      <c r="K1921" s="2" t="s">
        <v>21</v>
      </c>
      <c r="L1921" s="7">
        <v>50.9</v>
      </c>
      <c r="M1921" s="2" t="str">
        <f>_xlfn.IFS(TelecomData[[#This Row],[TenureMonths]]&lt;=12, "0-1 Year", TelecomData[[#This Row],[TenureMonths]]&lt;=36, "1-3 Years", TelecomData[[#This Row],[TenureMonths]]&gt;36, "3+ Years")</f>
        <v>0-1 Year</v>
      </c>
      <c r="N1921" s="2" t="str">
        <f>IF(TelecomData[[#This Row],[CleanedTotalCharges]]&gt;=2500,"High Spend", "Standard Spend")</f>
        <v>Standard Spend</v>
      </c>
    </row>
    <row r="1922" spans="1:14" x14ac:dyDescent="0.3">
      <c r="A1922" s="1" t="s">
        <v>1946</v>
      </c>
      <c r="B1922" s="2" t="s">
        <v>19</v>
      </c>
      <c r="C1922" s="2" t="s">
        <v>13</v>
      </c>
      <c r="D1922" s="2">
        <v>22</v>
      </c>
      <c r="E1922" s="2" t="s">
        <v>15</v>
      </c>
      <c r="F1922" s="2" t="s">
        <v>36</v>
      </c>
      <c r="G1922" s="7">
        <v>20.45</v>
      </c>
      <c r="H1922" s="7">
        <v>471.55</v>
      </c>
      <c r="I1922" s="2" t="s">
        <v>15</v>
      </c>
      <c r="J1922" s="2" t="s">
        <v>16</v>
      </c>
      <c r="K1922" s="2" t="s">
        <v>24</v>
      </c>
      <c r="L1922" s="7">
        <v>471.55</v>
      </c>
      <c r="M1922" s="2" t="str">
        <f>_xlfn.IFS(TelecomData[[#This Row],[TenureMonths]]&lt;=12, "0-1 Year", TelecomData[[#This Row],[TenureMonths]]&lt;=36, "1-3 Years", TelecomData[[#This Row],[TenureMonths]]&gt;36, "3+ Years")</f>
        <v>1-3 Years</v>
      </c>
      <c r="N1922" s="2" t="str">
        <f>IF(TelecomData[[#This Row],[CleanedTotalCharges]]&gt;=2500,"High Spend", "Standard Spend")</f>
        <v>Standard Spend</v>
      </c>
    </row>
    <row r="1923" spans="1:14" x14ac:dyDescent="0.3">
      <c r="A1923" s="1" t="s">
        <v>1947</v>
      </c>
      <c r="B1923" s="2" t="s">
        <v>19</v>
      </c>
      <c r="C1923" s="2" t="s">
        <v>35</v>
      </c>
      <c r="D1923" s="2">
        <v>70</v>
      </c>
      <c r="E1923" s="2" t="s">
        <v>14</v>
      </c>
      <c r="F1923" s="2" t="s">
        <v>16</v>
      </c>
      <c r="G1923" s="7">
        <v>85.95</v>
      </c>
      <c r="H1923" s="7">
        <v>5931.75</v>
      </c>
      <c r="I1923" s="2" t="s">
        <v>15</v>
      </c>
      <c r="J1923" s="2" t="s">
        <v>16</v>
      </c>
      <c r="K1923" s="2" t="s">
        <v>29</v>
      </c>
      <c r="L1923" s="7">
        <v>5931.75</v>
      </c>
      <c r="M1923" s="2" t="str">
        <f>_xlfn.IFS(TelecomData[[#This Row],[TenureMonths]]&lt;=12, "0-1 Year", TelecomData[[#This Row],[TenureMonths]]&lt;=36, "1-3 Years", TelecomData[[#This Row],[TenureMonths]]&gt;36, "3+ Years")</f>
        <v>3+ Years</v>
      </c>
      <c r="N1923" s="2" t="str">
        <f>IF(TelecomData[[#This Row],[CleanedTotalCharges]]&gt;=2500,"High Spend", "Standard Spend")</f>
        <v>High Spend</v>
      </c>
    </row>
    <row r="1924" spans="1:14" x14ac:dyDescent="0.3">
      <c r="A1924" s="1" t="s">
        <v>1948</v>
      </c>
      <c r="B1924" s="2" t="s">
        <v>19</v>
      </c>
      <c r="C1924" s="2" t="s">
        <v>13</v>
      </c>
      <c r="D1924" s="2">
        <v>25</v>
      </c>
      <c r="E1924" s="2" t="s">
        <v>14</v>
      </c>
      <c r="F1924" s="2" t="s">
        <v>15</v>
      </c>
      <c r="G1924" s="7">
        <v>60.35</v>
      </c>
      <c r="H1924" s="7">
        <v>1404.65</v>
      </c>
      <c r="I1924" s="2" t="s">
        <v>15</v>
      </c>
      <c r="J1924" s="2" t="s">
        <v>15</v>
      </c>
      <c r="K1924" s="2" t="s">
        <v>17</v>
      </c>
      <c r="L1924" s="7">
        <v>1404.65</v>
      </c>
      <c r="M1924" s="2" t="str">
        <f>_xlfn.IFS(TelecomData[[#This Row],[TenureMonths]]&lt;=12, "0-1 Year", TelecomData[[#This Row],[TenureMonths]]&lt;=36, "1-3 Years", TelecomData[[#This Row],[TenureMonths]]&gt;36, "3+ Years")</f>
        <v>1-3 Years</v>
      </c>
      <c r="N1924" s="2" t="str">
        <f>IF(TelecomData[[#This Row],[CleanedTotalCharges]]&gt;=2500,"High Spend", "Standard Spend")</f>
        <v>Standard Spend</v>
      </c>
    </row>
    <row r="1925" spans="1:14" x14ac:dyDescent="0.3">
      <c r="A1925" s="1" t="s">
        <v>1949</v>
      </c>
      <c r="B1925" s="2" t="s">
        <v>19</v>
      </c>
      <c r="C1925" s="2" t="s">
        <v>35</v>
      </c>
      <c r="D1925" s="2">
        <v>37</v>
      </c>
      <c r="E1925" s="2" t="s">
        <v>15</v>
      </c>
      <c r="F1925" s="2" t="s">
        <v>36</v>
      </c>
      <c r="G1925" s="7">
        <v>19.8</v>
      </c>
      <c r="H1925" s="7">
        <v>726.1</v>
      </c>
      <c r="I1925" s="2" t="s">
        <v>15</v>
      </c>
      <c r="J1925" s="2" t="s">
        <v>15</v>
      </c>
      <c r="K1925" s="2" t="s">
        <v>24</v>
      </c>
      <c r="L1925" s="7">
        <v>726.1</v>
      </c>
      <c r="M1925" s="2" t="str">
        <f>_xlfn.IFS(TelecomData[[#This Row],[TenureMonths]]&lt;=12, "0-1 Year", TelecomData[[#This Row],[TenureMonths]]&lt;=36, "1-3 Years", TelecomData[[#This Row],[TenureMonths]]&gt;36, "3+ Years")</f>
        <v>3+ Years</v>
      </c>
      <c r="N1925" s="2" t="str">
        <f>IF(TelecomData[[#This Row],[CleanedTotalCharges]]&gt;=2500,"High Spend", "Standard Spend")</f>
        <v>Standard Spend</v>
      </c>
    </row>
    <row r="1926" spans="1:14" x14ac:dyDescent="0.3">
      <c r="A1926" s="1" t="s">
        <v>1950</v>
      </c>
      <c r="B1926" s="2" t="s">
        <v>12</v>
      </c>
      <c r="C1926" s="2" t="s">
        <v>13</v>
      </c>
      <c r="D1926" s="2">
        <v>22</v>
      </c>
      <c r="E1926" s="2" t="s">
        <v>26</v>
      </c>
      <c r="F1926" s="2" t="s">
        <v>15</v>
      </c>
      <c r="G1926" s="7">
        <v>85.35</v>
      </c>
      <c r="H1926" s="7">
        <v>1961.6</v>
      </c>
      <c r="I1926" s="2" t="s">
        <v>15</v>
      </c>
      <c r="J1926" s="2" t="s">
        <v>15</v>
      </c>
      <c r="K1926" s="2" t="s">
        <v>24</v>
      </c>
      <c r="L1926" s="7">
        <v>1961.6</v>
      </c>
      <c r="M1926" s="2" t="str">
        <f>_xlfn.IFS(TelecomData[[#This Row],[TenureMonths]]&lt;=12, "0-1 Year", TelecomData[[#This Row],[TenureMonths]]&lt;=36, "1-3 Years", TelecomData[[#This Row],[TenureMonths]]&gt;36, "3+ Years")</f>
        <v>1-3 Years</v>
      </c>
      <c r="N1926" s="2" t="str">
        <f>IF(TelecomData[[#This Row],[CleanedTotalCharges]]&gt;=2500,"High Spend", "Standard Spend")</f>
        <v>Standard Spend</v>
      </c>
    </row>
    <row r="1927" spans="1:14" x14ac:dyDescent="0.3">
      <c r="A1927" s="1" t="s">
        <v>1951</v>
      </c>
      <c r="B1927" s="2" t="s">
        <v>12</v>
      </c>
      <c r="C1927" s="2" t="s">
        <v>35</v>
      </c>
      <c r="D1927" s="2">
        <v>59</v>
      </c>
      <c r="E1927" s="2" t="s">
        <v>14</v>
      </c>
      <c r="F1927" s="2" t="s">
        <v>16</v>
      </c>
      <c r="G1927" s="7">
        <v>72.099999999999994</v>
      </c>
      <c r="H1927" s="7">
        <v>4194.8500000000004</v>
      </c>
      <c r="I1927" s="2" t="s">
        <v>15</v>
      </c>
      <c r="J1927" s="2" t="s">
        <v>16</v>
      </c>
      <c r="K1927" s="2" t="s">
        <v>24</v>
      </c>
      <c r="L1927" s="7">
        <v>4194.8500000000004</v>
      </c>
      <c r="M1927" s="2" t="str">
        <f>_xlfn.IFS(TelecomData[[#This Row],[TenureMonths]]&lt;=12, "0-1 Year", TelecomData[[#This Row],[TenureMonths]]&lt;=36, "1-3 Years", TelecomData[[#This Row],[TenureMonths]]&gt;36, "3+ Years")</f>
        <v>3+ Years</v>
      </c>
      <c r="N1927" s="2" t="str">
        <f>IF(TelecomData[[#This Row],[CleanedTotalCharges]]&gt;=2500,"High Spend", "Standard Spend")</f>
        <v>High Spend</v>
      </c>
    </row>
    <row r="1928" spans="1:14" x14ac:dyDescent="0.3">
      <c r="A1928" s="1" t="s">
        <v>1952</v>
      </c>
      <c r="B1928" s="2" t="s">
        <v>19</v>
      </c>
      <c r="C1928" s="2" t="s">
        <v>13</v>
      </c>
      <c r="D1928" s="2">
        <v>49</v>
      </c>
      <c r="E1928" s="2" t="s">
        <v>26</v>
      </c>
      <c r="F1928" s="2" t="s">
        <v>15</v>
      </c>
      <c r="G1928" s="7">
        <v>99.8</v>
      </c>
      <c r="H1928" s="7">
        <v>4872.45</v>
      </c>
      <c r="I1928" s="2" t="s">
        <v>16</v>
      </c>
      <c r="J1928" s="2" t="s">
        <v>16</v>
      </c>
      <c r="K1928" s="2" t="s">
        <v>17</v>
      </c>
      <c r="L1928" s="7">
        <v>4872.45</v>
      </c>
      <c r="M1928" s="2" t="str">
        <f>_xlfn.IFS(TelecomData[[#This Row],[TenureMonths]]&lt;=12, "0-1 Year", TelecomData[[#This Row],[TenureMonths]]&lt;=36, "1-3 Years", TelecomData[[#This Row],[TenureMonths]]&gt;36, "3+ Years")</f>
        <v>3+ Years</v>
      </c>
      <c r="N1928" s="2" t="str">
        <f>IF(TelecomData[[#This Row],[CleanedTotalCharges]]&gt;=2500,"High Spend", "Standard Spend")</f>
        <v>High Spend</v>
      </c>
    </row>
    <row r="1929" spans="1:14" x14ac:dyDescent="0.3">
      <c r="A1929" s="1" t="s">
        <v>1953</v>
      </c>
      <c r="B1929" s="2" t="s">
        <v>19</v>
      </c>
      <c r="C1929" s="2" t="s">
        <v>13</v>
      </c>
      <c r="D1929" s="2">
        <v>47</v>
      </c>
      <c r="E1929" s="2" t="s">
        <v>26</v>
      </c>
      <c r="F1929" s="2" t="s">
        <v>16</v>
      </c>
      <c r="G1929" s="7">
        <v>107.35</v>
      </c>
      <c r="H1929" s="7">
        <v>5118.95</v>
      </c>
      <c r="I1929" s="2" t="s">
        <v>16</v>
      </c>
      <c r="J1929" s="2" t="s">
        <v>16</v>
      </c>
      <c r="K1929" s="2" t="s">
        <v>24</v>
      </c>
      <c r="L1929" s="7">
        <v>5118.95</v>
      </c>
      <c r="M1929" s="2" t="str">
        <f>_xlfn.IFS(TelecomData[[#This Row],[TenureMonths]]&lt;=12, "0-1 Year", TelecomData[[#This Row],[TenureMonths]]&lt;=36, "1-3 Years", TelecomData[[#This Row],[TenureMonths]]&gt;36, "3+ Years")</f>
        <v>3+ Years</v>
      </c>
      <c r="N1929" s="2" t="str">
        <f>IF(TelecomData[[#This Row],[CleanedTotalCharges]]&gt;=2500,"High Spend", "Standard Spend")</f>
        <v>High Spend</v>
      </c>
    </row>
    <row r="1930" spans="1:14" x14ac:dyDescent="0.3">
      <c r="A1930" s="1" t="s">
        <v>1954</v>
      </c>
      <c r="B1930" s="2" t="s">
        <v>12</v>
      </c>
      <c r="C1930" s="2" t="s">
        <v>13</v>
      </c>
      <c r="D1930" s="2">
        <v>31</v>
      </c>
      <c r="E1930" s="2" t="s">
        <v>15</v>
      </c>
      <c r="F1930" s="2" t="s">
        <v>36</v>
      </c>
      <c r="G1930" s="7">
        <v>19.55</v>
      </c>
      <c r="H1930" s="7">
        <v>658.95</v>
      </c>
      <c r="I1930" s="2" t="s">
        <v>16</v>
      </c>
      <c r="J1930" s="2" t="s">
        <v>16</v>
      </c>
      <c r="K1930" s="2" t="s">
        <v>21</v>
      </c>
      <c r="L1930" s="7">
        <v>658.95</v>
      </c>
      <c r="M1930" s="2" t="str">
        <f>_xlfn.IFS(TelecomData[[#This Row],[TenureMonths]]&lt;=12, "0-1 Year", TelecomData[[#This Row],[TenureMonths]]&lt;=36, "1-3 Years", TelecomData[[#This Row],[TenureMonths]]&gt;36, "3+ Years")</f>
        <v>1-3 Years</v>
      </c>
      <c r="N1930" s="2" t="str">
        <f>IF(TelecomData[[#This Row],[CleanedTotalCharges]]&gt;=2500,"High Spend", "Standard Spend")</f>
        <v>Standard Spend</v>
      </c>
    </row>
    <row r="1931" spans="1:14" x14ac:dyDescent="0.3">
      <c r="A1931" s="1" t="s">
        <v>1955</v>
      </c>
      <c r="B1931" s="2" t="s">
        <v>19</v>
      </c>
      <c r="C1931" s="2" t="s">
        <v>13</v>
      </c>
      <c r="D1931" s="2">
        <v>1</v>
      </c>
      <c r="E1931" s="2" t="s">
        <v>26</v>
      </c>
      <c r="F1931" s="2" t="s">
        <v>15</v>
      </c>
      <c r="G1931" s="7">
        <v>81.05</v>
      </c>
      <c r="H1931" s="7">
        <v>81.05</v>
      </c>
      <c r="I1931" s="2" t="s">
        <v>15</v>
      </c>
      <c r="J1931" s="2" t="s">
        <v>16</v>
      </c>
      <c r="K1931" s="2" t="s">
        <v>17</v>
      </c>
      <c r="L1931" s="7">
        <v>81.05</v>
      </c>
      <c r="M1931" s="2" t="str">
        <f>_xlfn.IFS(TelecomData[[#This Row],[TenureMonths]]&lt;=12, "0-1 Year", TelecomData[[#This Row],[TenureMonths]]&lt;=36, "1-3 Years", TelecomData[[#This Row],[TenureMonths]]&gt;36, "3+ Years")</f>
        <v>0-1 Year</v>
      </c>
      <c r="N1931" s="2" t="str">
        <f>IF(TelecomData[[#This Row],[CleanedTotalCharges]]&gt;=2500,"High Spend", "Standard Spend")</f>
        <v>Standard Spend</v>
      </c>
    </row>
    <row r="1932" spans="1:14" x14ac:dyDescent="0.3">
      <c r="A1932" s="1" t="s">
        <v>1956</v>
      </c>
      <c r="B1932" s="2" t="s">
        <v>19</v>
      </c>
      <c r="C1932" s="2" t="s">
        <v>13</v>
      </c>
      <c r="D1932" s="2">
        <v>3</v>
      </c>
      <c r="E1932" s="2" t="s">
        <v>15</v>
      </c>
      <c r="F1932" s="2" t="s">
        <v>36</v>
      </c>
      <c r="G1932" s="7">
        <v>20.5</v>
      </c>
      <c r="H1932" s="7">
        <v>76.95</v>
      </c>
      <c r="I1932" s="2" t="s">
        <v>15</v>
      </c>
      <c r="J1932" s="2" t="s">
        <v>16</v>
      </c>
      <c r="K1932" s="2" t="s">
        <v>17</v>
      </c>
      <c r="L1932" s="7">
        <v>76.95</v>
      </c>
      <c r="M1932" s="2" t="str">
        <f>_xlfn.IFS(TelecomData[[#This Row],[TenureMonths]]&lt;=12, "0-1 Year", TelecomData[[#This Row],[TenureMonths]]&lt;=36, "1-3 Years", TelecomData[[#This Row],[TenureMonths]]&gt;36, "3+ Years")</f>
        <v>0-1 Year</v>
      </c>
      <c r="N1932" s="2" t="str">
        <f>IF(TelecomData[[#This Row],[CleanedTotalCharges]]&gt;=2500,"High Spend", "Standard Spend")</f>
        <v>Standard Spend</v>
      </c>
    </row>
    <row r="1933" spans="1:14" x14ac:dyDescent="0.3">
      <c r="A1933" s="1" t="s">
        <v>1957</v>
      </c>
      <c r="B1933" s="2" t="s">
        <v>12</v>
      </c>
      <c r="C1933" s="2" t="s">
        <v>20</v>
      </c>
      <c r="D1933" s="2">
        <v>53</v>
      </c>
      <c r="E1933" s="2" t="s">
        <v>26</v>
      </c>
      <c r="F1933" s="2" t="s">
        <v>16</v>
      </c>
      <c r="G1933" s="7">
        <v>111.8</v>
      </c>
      <c r="H1933" s="7">
        <v>5809.75</v>
      </c>
      <c r="I1933" s="2" t="s">
        <v>15</v>
      </c>
      <c r="J1933" s="2" t="s">
        <v>16</v>
      </c>
      <c r="K1933" s="2" t="s">
        <v>24</v>
      </c>
      <c r="L1933" s="7">
        <v>5809.75</v>
      </c>
      <c r="M1933" s="2" t="str">
        <f>_xlfn.IFS(TelecomData[[#This Row],[TenureMonths]]&lt;=12, "0-1 Year", TelecomData[[#This Row],[TenureMonths]]&lt;=36, "1-3 Years", TelecomData[[#This Row],[TenureMonths]]&gt;36, "3+ Years")</f>
        <v>3+ Years</v>
      </c>
      <c r="N1933" s="2" t="str">
        <f>IF(TelecomData[[#This Row],[CleanedTotalCharges]]&gt;=2500,"High Spend", "Standard Spend")</f>
        <v>High Spend</v>
      </c>
    </row>
    <row r="1934" spans="1:14" x14ac:dyDescent="0.3">
      <c r="A1934" s="1" t="s">
        <v>1958</v>
      </c>
      <c r="B1934" s="2" t="s">
        <v>19</v>
      </c>
      <c r="C1934" s="2" t="s">
        <v>13</v>
      </c>
      <c r="D1934" s="2">
        <v>1</v>
      </c>
      <c r="E1934" s="2" t="s">
        <v>15</v>
      </c>
      <c r="F1934" s="2" t="s">
        <v>36</v>
      </c>
      <c r="G1934" s="7">
        <v>20.2</v>
      </c>
      <c r="H1934" s="7">
        <v>20.2</v>
      </c>
      <c r="I1934" s="2" t="s">
        <v>15</v>
      </c>
      <c r="J1934" s="2" t="s">
        <v>15</v>
      </c>
      <c r="K1934" s="2" t="s">
        <v>21</v>
      </c>
      <c r="L1934" s="7">
        <v>20.2</v>
      </c>
      <c r="M1934" s="2" t="str">
        <f>_xlfn.IFS(TelecomData[[#This Row],[TenureMonths]]&lt;=12, "0-1 Year", TelecomData[[#This Row],[TenureMonths]]&lt;=36, "1-3 Years", TelecomData[[#This Row],[TenureMonths]]&gt;36, "3+ Years")</f>
        <v>0-1 Year</v>
      </c>
      <c r="N1934" s="2" t="str">
        <f>IF(TelecomData[[#This Row],[CleanedTotalCharges]]&gt;=2500,"High Spend", "Standard Spend")</f>
        <v>Standard Spend</v>
      </c>
    </row>
    <row r="1935" spans="1:14" x14ac:dyDescent="0.3">
      <c r="A1935" s="1" t="s">
        <v>1959</v>
      </c>
      <c r="B1935" s="2" t="s">
        <v>19</v>
      </c>
      <c r="C1935" s="2" t="s">
        <v>20</v>
      </c>
      <c r="D1935" s="2">
        <v>20</v>
      </c>
      <c r="E1935" s="2" t="s">
        <v>15</v>
      </c>
      <c r="F1935" s="2" t="s">
        <v>36</v>
      </c>
      <c r="G1935" s="7">
        <v>19.7</v>
      </c>
      <c r="H1935" s="7">
        <v>415.9</v>
      </c>
      <c r="I1935" s="2" t="s">
        <v>15</v>
      </c>
      <c r="J1935" s="2" t="s">
        <v>16</v>
      </c>
      <c r="K1935" s="2" t="s">
        <v>21</v>
      </c>
      <c r="L1935" s="7">
        <v>415.9</v>
      </c>
      <c r="M1935" s="2" t="str">
        <f>_xlfn.IFS(TelecomData[[#This Row],[TenureMonths]]&lt;=12, "0-1 Year", TelecomData[[#This Row],[TenureMonths]]&lt;=36, "1-3 Years", TelecomData[[#This Row],[TenureMonths]]&gt;36, "3+ Years")</f>
        <v>1-3 Years</v>
      </c>
      <c r="N1935" s="2" t="str">
        <f>IF(TelecomData[[#This Row],[CleanedTotalCharges]]&gt;=2500,"High Spend", "Standard Spend")</f>
        <v>Standard Spend</v>
      </c>
    </row>
    <row r="1936" spans="1:14" x14ac:dyDescent="0.3">
      <c r="A1936" s="1" t="s">
        <v>1960</v>
      </c>
      <c r="B1936" s="2" t="s">
        <v>12</v>
      </c>
      <c r="C1936" s="2" t="s">
        <v>13</v>
      </c>
      <c r="D1936" s="2">
        <v>3</v>
      </c>
      <c r="E1936" s="2" t="s">
        <v>26</v>
      </c>
      <c r="F1936" s="2" t="s">
        <v>15</v>
      </c>
      <c r="G1936" s="7">
        <v>79.099999999999994</v>
      </c>
      <c r="H1936" s="7">
        <v>246.5</v>
      </c>
      <c r="I1936" s="2" t="s">
        <v>16</v>
      </c>
      <c r="J1936" s="2" t="s">
        <v>16</v>
      </c>
      <c r="K1936" s="2" t="s">
        <v>17</v>
      </c>
      <c r="L1936" s="7">
        <v>246.5</v>
      </c>
      <c r="M1936" s="2" t="str">
        <f>_xlfn.IFS(TelecomData[[#This Row],[TenureMonths]]&lt;=12, "0-1 Year", TelecomData[[#This Row],[TenureMonths]]&lt;=36, "1-3 Years", TelecomData[[#This Row],[TenureMonths]]&gt;36, "3+ Years")</f>
        <v>0-1 Year</v>
      </c>
      <c r="N1936" s="2" t="str">
        <f>IF(TelecomData[[#This Row],[CleanedTotalCharges]]&gt;=2500,"High Spend", "Standard Spend")</f>
        <v>Standard Spend</v>
      </c>
    </row>
    <row r="1937" spans="1:14" x14ac:dyDescent="0.3">
      <c r="A1937" s="1" t="s">
        <v>1961</v>
      </c>
      <c r="B1937" s="2" t="s">
        <v>12</v>
      </c>
      <c r="C1937" s="2" t="s">
        <v>20</v>
      </c>
      <c r="D1937" s="2">
        <v>51</v>
      </c>
      <c r="E1937" s="2" t="s">
        <v>15</v>
      </c>
      <c r="F1937" s="2" t="s">
        <v>36</v>
      </c>
      <c r="G1937" s="7">
        <v>19.850000000000001</v>
      </c>
      <c r="H1937" s="7">
        <v>996.95</v>
      </c>
      <c r="I1937" s="2" t="s">
        <v>15</v>
      </c>
      <c r="J1937" s="2" t="s">
        <v>16</v>
      </c>
      <c r="K1937" s="2" t="s">
        <v>24</v>
      </c>
      <c r="L1937" s="7">
        <v>996.95</v>
      </c>
      <c r="M1937" s="2" t="str">
        <f>_xlfn.IFS(TelecomData[[#This Row],[TenureMonths]]&lt;=12, "0-1 Year", TelecomData[[#This Row],[TenureMonths]]&lt;=36, "1-3 Years", TelecomData[[#This Row],[TenureMonths]]&gt;36, "3+ Years")</f>
        <v>3+ Years</v>
      </c>
      <c r="N1937" s="2" t="str">
        <f>IF(TelecomData[[#This Row],[CleanedTotalCharges]]&gt;=2500,"High Spend", "Standard Spend")</f>
        <v>Standard Spend</v>
      </c>
    </row>
    <row r="1938" spans="1:14" x14ac:dyDescent="0.3">
      <c r="A1938" s="1" t="s">
        <v>1962</v>
      </c>
      <c r="B1938" s="2" t="s">
        <v>12</v>
      </c>
      <c r="C1938" s="2" t="s">
        <v>20</v>
      </c>
      <c r="D1938" s="2">
        <v>51</v>
      </c>
      <c r="E1938" s="2" t="s">
        <v>14</v>
      </c>
      <c r="F1938" s="2" t="s">
        <v>16</v>
      </c>
      <c r="G1938" s="7">
        <v>60.5</v>
      </c>
      <c r="H1938" s="7">
        <v>3145.15</v>
      </c>
      <c r="I1938" s="2" t="s">
        <v>15</v>
      </c>
      <c r="J1938" s="2" t="s">
        <v>16</v>
      </c>
      <c r="K1938" s="2" t="s">
        <v>24</v>
      </c>
      <c r="L1938" s="7">
        <v>3145.15</v>
      </c>
      <c r="M1938" s="2" t="str">
        <f>_xlfn.IFS(TelecomData[[#This Row],[TenureMonths]]&lt;=12, "0-1 Year", TelecomData[[#This Row],[TenureMonths]]&lt;=36, "1-3 Years", TelecomData[[#This Row],[TenureMonths]]&gt;36, "3+ Years")</f>
        <v>3+ Years</v>
      </c>
      <c r="N1938" s="2" t="str">
        <f>IF(TelecomData[[#This Row],[CleanedTotalCharges]]&gt;=2500,"High Spend", "Standard Spend")</f>
        <v>High Spend</v>
      </c>
    </row>
    <row r="1939" spans="1:14" x14ac:dyDescent="0.3">
      <c r="A1939" s="1" t="s">
        <v>1963</v>
      </c>
      <c r="B1939" s="2" t="s">
        <v>12</v>
      </c>
      <c r="C1939" s="2" t="s">
        <v>35</v>
      </c>
      <c r="D1939" s="2">
        <v>13</v>
      </c>
      <c r="E1939" s="2" t="s">
        <v>15</v>
      </c>
      <c r="F1939" s="2" t="s">
        <v>36</v>
      </c>
      <c r="G1939" s="7">
        <v>19.55</v>
      </c>
      <c r="H1939" s="7">
        <v>265.3</v>
      </c>
      <c r="I1939" s="2" t="s">
        <v>15</v>
      </c>
      <c r="J1939" s="2" t="s">
        <v>15</v>
      </c>
      <c r="K1939" s="2" t="s">
        <v>21</v>
      </c>
      <c r="L1939" s="7">
        <v>265.3</v>
      </c>
      <c r="M1939" s="2" t="str">
        <f>_xlfn.IFS(TelecomData[[#This Row],[TenureMonths]]&lt;=12, "0-1 Year", TelecomData[[#This Row],[TenureMonths]]&lt;=36, "1-3 Years", TelecomData[[#This Row],[TenureMonths]]&gt;36, "3+ Years")</f>
        <v>1-3 Years</v>
      </c>
      <c r="N1939" s="2" t="str">
        <f>IF(TelecomData[[#This Row],[CleanedTotalCharges]]&gt;=2500,"High Spend", "Standard Spend")</f>
        <v>Standard Spend</v>
      </c>
    </row>
    <row r="1940" spans="1:14" x14ac:dyDescent="0.3">
      <c r="A1940" s="1" t="s">
        <v>1964</v>
      </c>
      <c r="B1940" s="2" t="s">
        <v>12</v>
      </c>
      <c r="C1940" s="2" t="s">
        <v>13</v>
      </c>
      <c r="D1940" s="2">
        <v>1</v>
      </c>
      <c r="E1940" s="2" t="s">
        <v>15</v>
      </c>
      <c r="F1940" s="2" t="s">
        <v>36</v>
      </c>
      <c r="G1940" s="7">
        <v>20.9</v>
      </c>
      <c r="H1940" s="7">
        <v>20.9</v>
      </c>
      <c r="I1940" s="2" t="s">
        <v>15</v>
      </c>
      <c r="J1940" s="2" t="s">
        <v>15</v>
      </c>
      <c r="K1940" s="2" t="s">
        <v>21</v>
      </c>
      <c r="L1940" s="7">
        <v>20.9</v>
      </c>
      <c r="M1940" s="2" t="str">
        <f>_xlfn.IFS(TelecomData[[#This Row],[TenureMonths]]&lt;=12, "0-1 Year", TelecomData[[#This Row],[TenureMonths]]&lt;=36, "1-3 Years", TelecomData[[#This Row],[TenureMonths]]&gt;36, "3+ Years")</f>
        <v>0-1 Year</v>
      </c>
      <c r="N1940" s="2" t="str">
        <f>IF(TelecomData[[#This Row],[CleanedTotalCharges]]&gt;=2500,"High Spend", "Standard Spend")</f>
        <v>Standard Spend</v>
      </c>
    </row>
    <row r="1941" spans="1:14" x14ac:dyDescent="0.3">
      <c r="A1941" s="1" t="s">
        <v>1965</v>
      </c>
      <c r="B1941" s="2" t="s">
        <v>19</v>
      </c>
      <c r="C1941" s="2" t="s">
        <v>13</v>
      </c>
      <c r="D1941" s="2">
        <v>1</v>
      </c>
      <c r="E1941" s="2" t="s">
        <v>15</v>
      </c>
      <c r="F1941" s="2" t="s">
        <v>36</v>
      </c>
      <c r="G1941" s="7">
        <v>21.05</v>
      </c>
      <c r="H1941" s="7">
        <v>21.05</v>
      </c>
      <c r="I1941" s="2" t="s">
        <v>15</v>
      </c>
      <c r="J1941" s="2" t="s">
        <v>16</v>
      </c>
      <c r="K1941" s="2" t="s">
        <v>21</v>
      </c>
      <c r="L1941" s="7">
        <v>21.05</v>
      </c>
      <c r="M1941" s="2" t="str">
        <f>_xlfn.IFS(TelecomData[[#This Row],[TenureMonths]]&lt;=12, "0-1 Year", TelecomData[[#This Row],[TenureMonths]]&lt;=36, "1-3 Years", TelecomData[[#This Row],[TenureMonths]]&gt;36, "3+ Years")</f>
        <v>0-1 Year</v>
      </c>
      <c r="N1941" s="2" t="str">
        <f>IF(TelecomData[[#This Row],[CleanedTotalCharges]]&gt;=2500,"High Spend", "Standard Spend")</f>
        <v>Standard Spend</v>
      </c>
    </row>
    <row r="1942" spans="1:14" x14ac:dyDescent="0.3">
      <c r="A1942" s="1" t="s">
        <v>1966</v>
      </c>
      <c r="B1942" s="2" t="s">
        <v>19</v>
      </c>
      <c r="C1942" s="2" t="s">
        <v>20</v>
      </c>
      <c r="D1942" s="2">
        <v>63</v>
      </c>
      <c r="E1942" s="2" t="s">
        <v>14</v>
      </c>
      <c r="F1942" s="2" t="s">
        <v>16</v>
      </c>
      <c r="G1942" s="7">
        <v>71.5</v>
      </c>
      <c r="H1942" s="7">
        <v>4576.3</v>
      </c>
      <c r="I1942" s="2" t="s">
        <v>15</v>
      </c>
      <c r="J1942" s="2" t="s">
        <v>15</v>
      </c>
      <c r="K1942" s="2" t="s">
        <v>17</v>
      </c>
      <c r="L1942" s="7">
        <v>4576.3</v>
      </c>
      <c r="M1942" s="2" t="str">
        <f>_xlfn.IFS(TelecomData[[#This Row],[TenureMonths]]&lt;=12, "0-1 Year", TelecomData[[#This Row],[TenureMonths]]&lt;=36, "1-3 Years", TelecomData[[#This Row],[TenureMonths]]&gt;36, "3+ Years")</f>
        <v>3+ Years</v>
      </c>
      <c r="N1942" s="2" t="str">
        <f>IF(TelecomData[[#This Row],[CleanedTotalCharges]]&gt;=2500,"High Spend", "Standard Spend")</f>
        <v>High Spend</v>
      </c>
    </row>
    <row r="1943" spans="1:14" x14ac:dyDescent="0.3">
      <c r="A1943" s="1" t="s">
        <v>1967</v>
      </c>
      <c r="B1943" s="2" t="s">
        <v>19</v>
      </c>
      <c r="C1943" s="2" t="s">
        <v>13</v>
      </c>
      <c r="D1943" s="2">
        <v>3</v>
      </c>
      <c r="E1943" s="2" t="s">
        <v>14</v>
      </c>
      <c r="F1943" s="2" t="s">
        <v>15</v>
      </c>
      <c r="G1943" s="7">
        <v>54.65</v>
      </c>
      <c r="H1943" s="7">
        <v>189.1</v>
      </c>
      <c r="I1943" s="2" t="s">
        <v>15</v>
      </c>
      <c r="J1943" s="2" t="s">
        <v>15</v>
      </c>
      <c r="K1943" s="2" t="s">
        <v>21</v>
      </c>
      <c r="L1943" s="7">
        <v>189.1</v>
      </c>
      <c r="M1943" s="2" t="str">
        <f>_xlfn.IFS(TelecomData[[#This Row],[TenureMonths]]&lt;=12, "0-1 Year", TelecomData[[#This Row],[TenureMonths]]&lt;=36, "1-3 Years", TelecomData[[#This Row],[TenureMonths]]&gt;36, "3+ Years")</f>
        <v>0-1 Year</v>
      </c>
      <c r="N1943" s="2" t="str">
        <f>IF(TelecomData[[#This Row],[CleanedTotalCharges]]&gt;=2500,"High Spend", "Standard Spend")</f>
        <v>Standard Spend</v>
      </c>
    </row>
    <row r="1944" spans="1:14" x14ac:dyDescent="0.3">
      <c r="A1944" s="1" t="s">
        <v>1968</v>
      </c>
      <c r="B1944" s="2" t="s">
        <v>19</v>
      </c>
      <c r="C1944" s="2" t="s">
        <v>35</v>
      </c>
      <c r="D1944" s="2">
        <v>46</v>
      </c>
      <c r="E1944" s="2" t="s">
        <v>15</v>
      </c>
      <c r="F1944" s="2" t="s">
        <v>36</v>
      </c>
      <c r="G1944" s="7">
        <v>19.2</v>
      </c>
      <c r="H1944" s="7">
        <v>908.15</v>
      </c>
      <c r="I1944" s="2" t="s">
        <v>15</v>
      </c>
      <c r="J1944" s="2" t="s">
        <v>15</v>
      </c>
      <c r="K1944" s="2" t="s">
        <v>29</v>
      </c>
      <c r="L1944" s="7">
        <v>908.15</v>
      </c>
      <c r="M1944" s="2" t="str">
        <f>_xlfn.IFS(TelecomData[[#This Row],[TenureMonths]]&lt;=12, "0-1 Year", TelecomData[[#This Row],[TenureMonths]]&lt;=36, "1-3 Years", TelecomData[[#This Row],[TenureMonths]]&gt;36, "3+ Years")</f>
        <v>3+ Years</v>
      </c>
      <c r="N1944" s="2" t="str">
        <f>IF(TelecomData[[#This Row],[CleanedTotalCharges]]&gt;=2500,"High Spend", "Standard Spend")</f>
        <v>Standard Spend</v>
      </c>
    </row>
    <row r="1945" spans="1:14" x14ac:dyDescent="0.3">
      <c r="A1945" s="1" t="s">
        <v>1969</v>
      </c>
      <c r="B1945" s="2" t="s">
        <v>19</v>
      </c>
      <c r="C1945" s="2" t="s">
        <v>13</v>
      </c>
      <c r="D1945" s="2">
        <v>1</v>
      </c>
      <c r="E1945" s="2" t="s">
        <v>14</v>
      </c>
      <c r="F1945" s="2" t="s">
        <v>15</v>
      </c>
      <c r="G1945" s="7">
        <v>49.8</v>
      </c>
      <c r="H1945" s="7">
        <v>49.8</v>
      </c>
      <c r="I1945" s="2" t="s">
        <v>15</v>
      </c>
      <c r="J1945" s="2" t="s">
        <v>16</v>
      </c>
      <c r="K1945" s="2" t="s">
        <v>29</v>
      </c>
      <c r="L1945" s="7">
        <v>49.8</v>
      </c>
      <c r="M1945" s="2" t="str">
        <f>_xlfn.IFS(TelecomData[[#This Row],[TenureMonths]]&lt;=12, "0-1 Year", TelecomData[[#This Row],[TenureMonths]]&lt;=36, "1-3 Years", TelecomData[[#This Row],[TenureMonths]]&gt;36, "3+ Years")</f>
        <v>0-1 Year</v>
      </c>
      <c r="N1945" s="2" t="str">
        <f>IF(TelecomData[[#This Row],[CleanedTotalCharges]]&gt;=2500,"High Spend", "Standard Spend")</f>
        <v>Standard Spend</v>
      </c>
    </row>
    <row r="1946" spans="1:14" x14ac:dyDescent="0.3">
      <c r="A1946" s="1" t="s">
        <v>1970</v>
      </c>
      <c r="B1946" s="2" t="s">
        <v>19</v>
      </c>
      <c r="C1946" s="2" t="s">
        <v>13</v>
      </c>
      <c r="D1946" s="2">
        <v>8</v>
      </c>
      <c r="E1946" s="2" t="s">
        <v>14</v>
      </c>
      <c r="F1946" s="2" t="s">
        <v>15</v>
      </c>
      <c r="G1946" s="7">
        <v>25.5</v>
      </c>
      <c r="H1946" s="7">
        <v>215.2</v>
      </c>
      <c r="I1946" s="2" t="s">
        <v>16</v>
      </c>
      <c r="J1946" s="2" t="s">
        <v>15</v>
      </c>
      <c r="K1946" s="2" t="s">
        <v>21</v>
      </c>
      <c r="L1946" s="7">
        <v>215.2</v>
      </c>
      <c r="M1946" s="2" t="str">
        <f>_xlfn.IFS(TelecomData[[#This Row],[TenureMonths]]&lt;=12, "0-1 Year", TelecomData[[#This Row],[TenureMonths]]&lt;=36, "1-3 Years", TelecomData[[#This Row],[TenureMonths]]&gt;36, "3+ Years")</f>
        <v>0-1 Year</v>
      </c>
      <c r="N1946" s="2" t="str">
        <f>IF(TelecomData[[#This Row],[CleanedTotalCharges]]&gt;=2500,"High Spend", "Standard Spend")</f>
        <v>Standard Spend</v>
      </c>
    </row>
    <row r="1947" spans="1:14" x14ac:dyDescent="0.3">
      <c r="A1947" s="1" t="s">
        <v>1971</v>
      </c>
      <c r="B1947" s="2" t="s">
        <v>12</v>
      </c>
      <c r="C1947" s="2" t="s">
        <v>35</v>
      </c>
      <c r="D1947" s="2">
        <v>71</v>
      </c>
      <c r="E1947" s="2" t="s">
        <v>15</v>
      </c>
      <c r="F1947" s="2" t="s">
        <v>36</v>
      </c>
      <c r="G1947" s="7">
        <v>20.5</v>
      </c>
      <c r="H1947" s="7">
        <v>1500.95</v>
      </c>
      <c r="I1947" s="2" t="s">
        <v>15</v>
      </c>
      <c r="J1947" s="2" t="s">
        <v>15</v>
      </c>
      <c r="K1947" s="2" t="s">
        <v>24</v>
      </c>
      <c r="L1947" s="7">
        <v>1500.95</v>
      </c>
      <c r="M1947" s="2" t="str">
        <f>_xlfn.IFS(TelecomData[[#This Row],[TenureMonths]]&lt;=12, "0-1 Year", TelecomData[[#This Row],[TenureMonths]]&lt;=36, "1-3 Years", TelecomData[[#This Row],[TenureMonths]]&gt;36, "3+ Years")</f>
        <v>3+ Years</v>
      </c>
      <c r="N1947" s="2" t="str">
        <f>IF(TelecomData[[#This Row],[CleanedTotalCharges]]&gt;=2500,"High Spend", "Standard Spend")</f>
        <v>Standard Spend</v>
      </c>
    </row>
    <row r="1948" spans="1:14" x14ac:dyDescent="0.3">
      <c r="A1948" s="1" t="s">
        <v>1972</v>
      </c>
      <c r="B1948" s="2" t="s">
        <v>19</v>
      </c>
      <c r="C1948" s="2" t="s">
        <v>13</v>
      </c>
      <c r="D1948" s="2">
        <v>55</v>
      </c>
      <c r="E1948" s="2" t="s">
        <v>26</v>
      </c>
      <c r="F1948" s="2" t="s">
        <v>15</v>
      </c>
      <c r="G1948" s="7">
        <v>90.4</v>
      </c>
      <c r="H1948" s="7">
        <v>5099.1499999999996</v>
      </c>
      <c r="I1948" s="2" t="s">
        <v>15</v>
      </c>
      <c r="J1948" s="2" t="s">
        <v>16</v>
      </c>
      <c r="K1948" s="2" t="s">
        <v>29</v>
      </c>
      <c r="L1948" s="7">
        <v>5099.1499999999996</v>
      </c>
      <c r="M1948" s="2" t="str">
        <f>_xlfn.IFS(TelecomData[[#This Row],[TenureMonths]]&lt;=12, "0-1 Year", TelecomData[[#This Row],[TenureMonths]]&lt;=36, "1-3 Years", TelecomData[[#This Row],[TenureMonths]]&gt;36, "3+ Years")</f>
        <v>3+ Years</v>
      </c>
      <c r="N1948" s="2" t="str">
        <f>IF(TelecomData[[#This Row],[CleanedTotalCharges]]&gt;=2500,"High Spend", "Standard Spend")</f>
        <v>High Spend</v>
      </c>
    </row>
    <row r="1949" spans="1:14" x14ac:dyDescent="0.3">
      <c r="A1949" s="1" t="s">
        <v>1973</v>
      </c>
      <c r="B1949" s="2" t="s">
        <v>12</v>
      </c>
      <c r="C1949" s="2" t="s">
        <v>20</v>
      </c>
      <c r="D1949" s="2">
        <v>70</v>
      </c>
      <c r="E1949" s="2" t="s">
        <v>26</v>
      </c>
      <c r="F1949" s="2" t="s">
        <v>16</v>
      </c>
      <c r="G1949" s="7">
        <v>90.25</v>
      </c>
      <c r="H1949" s="7">
        <v>6385.95</v>
      </c>
      <c r="I1949" s="2" t="s">
        <v>15</v>
      </c>
      <c r="J1949" s="2" t="s">
        <v>16</v>
      </c>
      <c r="K1949" s="2" t="s">
        <v>24</v>
      </c>
      <c r="L1949" s="7">
        <v>6385.95</v>
      </c>
      <c r="M1949" s="2" t="str">
        <f>_xlfn.IFS(TelecomData[[#This Row],[TenureMonths]]&lt;=12, "0-1 Year", TelecomData[[#This Row],[TenureMonths]]&lt;=36, "1-3 Years", TelecomData[[#This Row],[TenureMonths]]&gt;36, "3+ Years")</f>
        <v>3+ Years</v>
      </c>
      <c r="N1949" s="2" t="str">
        <f>IF(TelecomData[[#This Row],[CleanedTotalCharges]]&gt;=2500,"High Spend", "Standard Spend")</f>
        <v>High Spend</v>
      </c>
    </row>
    <row r="1950" spans="1:14" x14ac:dyDescent="0.3">
      <c r="A1950" s="1" t="s">
        <v>1974</v>
      </c>
      <c r="B1950" s="2" t="s">
        <v>12</v>
      </c>
      <c r="C1950" s="2" t="s">
        <v>13</v>
      </c>
      <c r="D1950" s="2">
        <v>2</v>
      </c>
      <c r="E1950" s="2" t="s">
        <v>26</v>
      </c>
      <c r="F1950" s="2" t="s">
        <v>15</v>
      </c>
      <c r="G1950" s="7">
        <v>80.75</v>
      </c>
      <c r="H1950" s="7">
        <v>159.44999999999999</v>
      </c>
      <c r="I1950" s="2" t="s">
        <v>16</v>
      </c>
      <c r="J1950" s="2" t="s">
        <v>15</v>
      </c>
      <c r="K1950" s="2" t="s">
        <v>17</v>
      </c>
      <c r="L1950" s="7">
        <v>159.44999999999999</v>
      </c>
      <c r="M1950" s="2" t="str">
        <f>_xlfn.IFS(TelecomData[[#This Row],[TenureMonths]]&lt;=12, "0-1 Year", TelecomData[[#This Row],[TenureMonths]]&lt;=36, "1-3 Years", TelecomData[[#This Row],[TenureMonths]]&gt;36, "3+ Years")</f>
        <v>0-1 Year</v>
      </c>
      <c r="N1950" s="2" t="str">
        <f>IF(TelecomData[[#This Row],[CleanedTotalCharges]]&gt;=2500,"High Spend", "Standard Spend")</f>
        <v>Standard Spend</v>
      </c>
    </row>
    <row r="1951" spans="1:14" x14ac:dyDescent="0.3">
      <c r="A1951" s="1" t="s">
        <v>1975</v>
      </c>
      <c r="B1951" s="2" t="s">
        <v>19</v>
      </c>
      <c r="C1951" s="2" t="s">
        <v>35</v>
      </c>
      <c r="D1951" s="2">
        <v>67</v>
      </c>
      <c r="E1951" s="2" t="s">
        <v>26</v>
      </c>
      <c r="F1951" s="2" t="s">
        <v>16</v>
      </c>
      <c r="G1951" s="7">
        <v>104.6</v>
      </c>
      <c r="H1951" s="7">
        <v>6885.75</v>
      </c>
      <c r="I1951" s="2" t="s">
        <v>15</v>
      </c>
      <c r="J1951" s="2" t="s">
        <v>15</v>
      </c>
      <c r="K1951" s="2" t="s">
        <v>24</v>
      </c>
      <c r="L1951" s="7">
        <v>6885.75</v>
      </c>
      <c r="M1951" s="2" t="str">
        <f>_xlfn.IFS(TelecomData[[#This Row],[TenureMonths]]&lt;=12, "0-1 Year", TelecomData[[#This Row],[TenureMonths]]&lt;=36, "1-3 Years", TelecomData[[#This Row],[TenureMonths]]&gt;36, "3+ Years")</f>
        <v>3+ Years</v>
      </c>
      <c r="N1951" s="2" t="str">
        <f>IF(TelecomData[[#This Row],[CleanedTotalCharges]]&gt;=2500,"High Spend", "Standard Spend")</f>
        <v>High Spend</v>
      </c>
    </row>
    <row r="1952" spans="1:14" x14ac:dyDescent="0.3">
      <c r="A1952" s="1" t="s">
        <v>1976</v>
      </c>
      <c r="B1952" s="2" t="s">
        <v>19</v>
      </c>
      <c r="C1952" s="2" t="s">
        <v>13</v>
      </c>
      <c r="D1952" s="2">
        <v>65</v>
      </c>
      <c r="E1952" s="2" t="s">
        <v>26</v>
      </c>
      <c r="F1952" s="2" t="s">
        <v>15</v>
      </c>
      <c r="G1952" s="7">
        <v>91.85</v>
      </c>
      <c r="H1952" s="7">
        <v>5940.85</v>
      </c>
      <c r="I1952" s="2" t="s">
        <v>16</v>
      </c>
      <c r="J1952" s="2" t="s">
        <v>16</v>
      </c>
      <c r="K1952" s="2" t="s">
        <v>24</v>
      </c>
      <c r="L1952" s="7">
        <v>5940.85</v>
      </c>
      <c r="M1952" s="2" t="str">
        <f>_xlfn.IFS(TelecomData[[#This Row],[TenureMonths]]&lt;=12, "0-1 Year", TelecomData[[#This Row],[TenureMonths]]&lt;=36, "1-3 Years", TelecomData[[#This Row],[TenureMonths]]&gt;36, "3+ Years")</f>
        <v>3+ Years</v>
      </c>
      <c r="N1952" s="2" t="str">
        <f>IF(TelecomData[[#This Row],[CleanedTotalCharges]]&gt;=2500,"High Spend", "Standard Spend")</f>
        <v>High Spend</v>
      </c>
    </row>
    <row r="1953" spans="1:14" x14ac:dyDescent="0.3">
      <c r="A1953" s="1" t="s">
        <v>1977</v>
      </c>
      <c r="B1953" s="2" t="s">
        <v>19</v>
      </c>
      <c r="C1953" s="2" t="s">
        <v>13</v>
      </c>
      <c r="D1953" s="2">
        <v>14</v>
      </c>
      <c r="E1953" s="2" t="s">
        <v>14</v>
      </c>
      <c r="F1953" s="2" t="s">
        <v>15</v>
      </c>
      <c r="G1953" s="7">
        <v>50.2</v>
      </c>
      <c r="H1953" s="7">
        <v>668.85</v>
      </c>
      <c r="I1953" s="2" t="s">
        <v>15</v>
      </c>
      <c r="J1953" s="2" t="s">
        <v>15</v>
      </c>
      <c r="K1953" s="2" t="s">
        <v>29</v>
      </c>
      <c r="L1953" s="7">
        <v>668.85</v>
      </c>
      <c r="M1953" s="2" t="str">
        <f>_xlfn.IFS(TelecomData[[#This Row],[TenureMonths]]&lt;=12, "0-1 Year", TelecomData[[#This Row],[TenureMonths]]&lt;=36, "1-3 Years", TelecomData[[#This Row],[TenureMonths]]&gt;36, "3+ Years")</f>
        <v>1-3 Years</v>
      </c>
      <c r="N1953" s="2" t="str">
        <f>IF(TelecomData[[#This Row],[CleanedTotalCharges]]&gt;=2500,"High Spend", "Standard Spend")</f>
        <v>Standard Spend</v>
      </c>
    </row>
    <row r="1954" spans="1:14" x14ac:dyDescent="0.3">
      <c r="A1954" s="1" t="s">
        <v>1978</v>
      </c>
      <c r="B1954" s="2" t="s">
        <v>12</v>
      </c>
      <c r="C1954" s="2" t="s">
        <v>13</v>
      </c>
      <c r="D1954" s="2">
        <v>20</v>
      </c>
      <c r="E1954" s="2" t="s">
        <v>26</v>
      </c>
      <c r="F1954" s="2" t="s">
        <v>16</v>
      </c>
      <c r="G1954" s="7">
        <v>95.5</v>
      </c>
      <c r="H1954" s="7">
        <v>1916.2</v>
      </c>
      <c r="I1954" s="2" t="s">
        <v>15</v>
      </c>
      <c r="J1954" s="2" t="s">
        <v>16</v>
      </c>
      <c r="K1954" s="2" t="s">
        <v>24</v>
      </c>
      <c r="L1954" s="7">
        <v>1916.2</v>
      </c>
      <c r="M1954" s="2" t="str">
        <f>_xlfn.IFS(TelecomData[[#This Row],[TenureMonths]]&lt;=12, "0-1 Year", TelecomData[[#This Row],[TenureMonths]]&lt;=36, "1-3 Years", TelecomData[[#This Row],[TenureMonths]]&gt;36, "3+ Years")</f>
        <v>1-3 Years</v>
      </c>
      <c r="N1954" s="2" t="str">
        <f>IF(TelecomData[[#This Row],[CleanedTotalCharges]]&gt;=2500,"High Spend", "Standard Spend")</f>
        <v>Standard Spend</v>
      </c>
    </row>
    <row r="1955" spans="1:14" x14ac:dyDescent="0.3">
      <c r="A1955" s="1" t="s">
        <v>1979</v>
      </c>
      <c r="B1955" s="2" t="s">
        <v>19</v>
      </c>
      <c r="C1955" s="2" t="s">
        <v>13</v>
      </c>
      <c r="D1955" s="2">
        <v>1</v>
      </c>
      <c r="E1955" s="2" t="s">
        <v>26</v>
      </c>
      <c r="F1955" s="2" t="s">
        <v>15</v>
      </c>
      <c r="G1955" s="7">
        <v>75.349999999999994</v>
      </c>
      <c r="H1955" s="7">
        <v>75.349999999999994</v>
      </c>
      <c r="I1955" s="2" t="s">
        <v>16</v>
      </c>
      <c r="J1955" s="2" t="s">
        <v>16</v>
      </c>
      <c r="K1955" s="2" t="s">
        <v>17</v>
      </c>
      <c r="L1955" s="7">
        <v>75.349999999999994</v>
      </c>
      <c r="M1955" s="2" t="str">
        <f>_xlfn.IFS(TelecomData[[#This Row],[TenureMonths]]&lt;=12, "0-1 Year", TelecomData[[#This Row],[TenureMonths]]&lt;=36, "1-3 Years", TelecomData[[#This Row],[TenureMonths]]&gt;36, "3+ Years")</f>
        <v>0-1 Year</v>
      </c>
      <c r="N1955" s="2" t="str">
        <f>IF(TelecomData[[#This Row],[CleanedTotalCharges]]&gt;=2500,"High Spend", "Standard Spend")</f>
        <v>Standard Spend</v>
      </c>
    </row>
    <row r="1956" spans="1:14" x14ac:dyDescent="0.3">
      <c r="A1956" s="1" t="s">
        <v>1980</v>
      </c>
      <c r="B1956" s="2" t="s">
        <v>19</v>
      </c>
      <c r="C1956" s="2" t="s">
        <v>13</v>
      </c>
      <c r="D1956" s="2">
        <v>1</v>
      </c>
      <c r="E1956" s="2" t="s">
        <v>26</v>
      </c>
      <c r="F1956" s="2" t="s">
        <v>15</v>
      </c>
      <c r="G1956" s="7">
        <v>75.45</v>
      </c>
      <c r="H1956" s="7">
        <v>75.45</v>
      </c>
      <c r="I1956" s="2" t="s">
        <v>16</v>
      </c>
      <c r="J1956" s="2" t="s">
        <v>16</v>
      </c>
      <c r="K1956" s="2" t="s">
        <v>17</v>
      </c>
      <c r="L1956" s="7">
        <v>75.45</v>
      </c>
      <c r="M1956" s="2" t="str">
        <f>_xlfn.IFS(TelecomData[[#This Row],[TenureMonths]]&lt;=12, "0-1 Year", TelecomData[[#This Row],[TenureMonths]]&lt;=36, "1-3 Years", TelecomData[[#This Row],[TenureMonths]]&gt;36, "3+ Years")</f>
        <v>0-1 Year</v>
      </c>
      <c r="N1956" s="2" t="str">
        <f>IF(TelecomData[[#This Row],[CleanedTotalCharges]]&gt;=2500,"High Spend", "Standard Spend")</f>
        <v>Standard Spend</v>
      </c>
    </row>
    <row r="1957" spans="1:14" x14ac:dyDescent="0.3">
      <c r="A1957" s="1" t="s">
        <v>1981</v>
      </c>
      <c r="B1957" s="2" t="s">
        <v>12</v>
      </c>
      <c r="C1957" s="2" t="s">
        <v>13</v>
      </c>
      <c r="D1957" s="2">
        <v>49</v>
      </c>
      <c r="E1957" s="2" t="s">
        <v>26</v>
      </c>
      <c r="F1957" s="2" t="s">
        <v>15</v>
      </c>
      <c r="G1957" s="7">
        <v>95.4</v>
      </c>
      <c r="H1957" s="7">
        <v>4613.95</v>
      </c>
      <c r="I1957" s="2" t="s">
        <v>15</v>
      </c>
      <c r="J1957" s="2" t="s">
        <v>16</v>
      </c>
      <c r="K1957" s="2" t="s">
        <v>24</v>
      </c>
      <c r="L1957" s="7">
        <v>4613.95</v>
      </c>
      <c r="M1957" s="2" t="str">
        <f>_xlfn.IFS(TelecomData[[#This Row],[TenureMonths]]&lt;=12, "0-1 Year", TelecomData[[#This Row],[TenureMonths]]&lt;=36, "1-3 Years", TelecomData[[#This Row],[TenureMonths]]&gt;36, "3+ Years")</f>
        <v>3+ Years</v>
      </c>
      <c r="N1957" s="2" t="str">
        <f>IF(TelecomData[[#This Row],[CleanedTotalCharges]]&gt;=2500,"High Spend", "Standard Spend")</f>
        <v>High Spend</v>
      </c>
    </row>
    <row r="1958" spans="1:14" x14ac:dyDescent="0.3">
      <c r="A1958" s="1" t="s">
        <v>1982</v>
      </c>
      <c r="B1958" s="2" t="s">
        <v>12</v>
      </c>
      <c r="C1958" s="2" t="s">
        <v>35</v>
      </c>
      <c r="D1958" s="2">
        <v>72</v>
      </c>
      <c r="E1958" s="2" t="s">
        <v>26</v>
      </c>
      <c r="F1958" s="2" t="s">
        <v>15</v>
      </c>
      <c r="G1958" s="7">
        <v>101.3</v>
      </c>
      <c r="H1958" s="7">
        <v>7261.25</v>
      </c>
      <c r="I1958" s="2" t="s">
        <v>15</v>
      </c>
      <c r="J1958" s="2" t="s">
        <v>16</v>
      </c>
      <c r="K1958" s="2" t="s">
        <v>24</v>
      </c>
      <c r="L1958" s="7">
        <v>7261.25</v>
      </c>
      <c r="M1958" s="2" t="str">
        <f>_xlfn.IFS(TelecomData[[#This Row],[TenureMonths]]&lt;=12, "0-1 Year", TelecomData[[#This Row],[TenureMonths]]&lt;=36, "1-3 Years", TelecomData[[#This Row],[TenureMonths]]&gt;36, "3+ Years")</f>
        <v>3+ Years</v>
      </c>
      <c r="N1958" s="2" t="str">
        <f>IF(TelecomData[[#This Row],[CleanedTotalCharges]]&gt;=2500,"High Spend", "Standard Spend")</f>
        <v>High Spend</v>
      </c>
    </row>
    <row r="1959" spans="1:14" x14ac:dyDescent="0.3">
      <c r="A1959" s="1" t="s">
        <v>1983</v>
      </c>
      <c r="B1959" s="2" t="s">
        <v>12</v>
      </c>
      <c r="C1959" s="2" t="s">
        <v>13</v>
      </c>
      <c r="D1959" s="2">
        <v>46</v>
      </c>
      <c r="E1959" s="2" t="s">
        <v>14</v>
      </c>
      <c r="F1959" s="2" t="s">
        <v>15</v>
      </c>
      <c r="G1959" s="7">
        <v>53.1</v>
      </c>
      <c r="H1959" s="7">
        <v>2459.8000000000002</v>
      </c>
      <c r="I1959" s="2" t="s">
        <v>15</v>
      </c>
      <c r="J1959" s="2" t="s">
        <v>15</v>
      </c>
      <c r="K1959" s="2" t="s">
        <v>17</v>
      </c>
      <c r="L1959" s="7">
        <v>2459.8000000000002</v>
      </c>
      <c r="M1959" s="2" t="str">
        <f>_xlfn.IFS(TelecomData[[#This Row],[TenureMonths]]&lt;=12, "0-1 Year", TelecomData[[#This Row],[TenureMonths]]&lt;=36, "1-3 Years", TelecomData[[#This Row],[TenureMonths]]&gt;36, "3+ Years")</f>
        <v>3+ Years</v>
      </c>
      <c r="N1959" s="2" t="str">
        <f>IF(TelecomData[[#This Row],[CleanedTotalCharges]]&gt;=2500,"High Spend", "Standard Spend")</f>
        <v>Standard Spend</v>
      </c>
    </row>
    <row r="1960" spans="1:14" x14ac:dyDescent="0.3">
      <c r="A1960" s="1" t="s">
        <v>1984</v>
      </c>
      <c r="B1960" s="2" t="s">
        <v>19</v>
      </c>
      <c r="C1960" s="2" t="s">
        <v>13</v>
      </c>
      <c r="D1960" s="2">
        <v>24</v>
      </c>
      <c r="E1960" s="2" t="s">
        <v>26</v>
      </c>
      <c r="F1960" s="2" t="s">
        <v>15</v>
      </c>
      <c r="G1960" s="7">
        <v>84.85</v>
      </c>
      <c r="H1960" s="7">
        <v>2048.8000000000002</v>
      </c>
      <c r="I1960" s="2" t="s">
        <v>15</v>
      </c>
      <c r="J1960" s="2" t="s">
        <v>16</v>
      </c>
      <c r="K1960" s="2" t="s">
        <v>24</v>
      </c>
      <c r="L1960" s="7">
        <v>2048.8000000000002</v>
      </c>
      <c r="M1960" s="2" t="str">
        <f>_xlfn.IFS(TelecomData[[#This Row],[TenureMonths]]&lt;=12, "0-1 Year", TelecomData[[#This Row],[TenureMonths]]&lt;=36, "1-3 Years", TelecomData[[#This Row],[TenureMonths]]&gt;36, "3+ Years")</f>
        <v>1-3 Years</v>
      </c>
      <c r="N1960" s="2" t="str">
        <f>IF(TelecomData[[#This Row],[CleanedTotalCharges]]&gt;=2500,"High Spend", "Standard Spend")</f>
        <v>Standard Spend</v>
      </c>
    </row>
    <row r="1961" spans="1:14" x14ac:dyDescent="0.3">
      <c r="A1961" s="1" t="s">
        <v>1985</v>
      </c>
      <c r="B1961" s="2" t="s">
        <v>12</v>
      </c>
      <c r="C1961" s="2" t="s">
        <v>13</v>
      </c>
      <c r="D1961" s="2">
        <v>5</v>
      </c>
      <c r="E1961" s="2" t="s">
        <v>14</v>
      </c>
      <c r="F1961" s="2" t="s">
        <v>16</v>
      </c>
      <c r="G1961" s="7">
        <v>34.25</v>
      </c>
      <c r="H1961" s="7">
        <v>163.55000000000001</v>
      </c>
      <c r="I1961" s="2" t="s">
        <v>15</v>
      </c>
      <c r="J1961" s="2" t="s">
        <v>15</v>
      </c>
      <c r="K1961" s="2" t="s">
        <v>17</v>
      </c>
      <c r="L1961" s="7">
        <v>163.55000000000001</v>
      </c>
      <c r="M1961" s="2" t="str">
        <f>_xlfn.IFS(TelecomData[[#This Row],[TenureMonths]]&lt;=12, "0-1 Year", TelecomData[[#This Row],[TenureMonths]]&lt;=36, "1-3 Years", TelecomData[[#This Row],[TenureMonths]]&gt;36, "3+ Years")</f>
        <v>0-1 Year</v>
      </c>
      <c r="N1961" s="2" t="str">
        <f>IF(TelecomData[[#This Row],[CleanedTotalCharges]]&gt;=2500,"High Spend", "Standard Spend")</f>
        <v>Standard Spend</v>
      </c>
    </row>
    <row r="1962" spans="1:14" x14ac:dyDescent="0.3">
      <c r="A1962" s="1" t="s">
        <v>1986</v>
      </c>
      <c r="B1962" s="2" t="s">
        <v>12</v>
      </c>
      <c r="C1962" s="2" t="s">
        <v>13</v>
      </c>
      <c r="D1962" s="2">
        <v>33</v>
      </c>
      <c r="E1962" s="2" t="s">
        <v>26</v>
      </c>
      <c r="F1962" s="2" t="s">
        <v>16</v>
      </c>
      <c r="G1962" s="7">
        <v>88.6</v>
      </c>
      <c r="H1962" s="7">
        <v>2888.7</v>
      </c>
      <c r="I1962" s="2" t="s">
        <v>15</v>
      </c>
      <c r="J1962" s="2" t="s">
        <v>15</v>
      </c>
      <c r="K1962" s="2" t="s">
        <v>29</v>
      </c>
      <c r="L1962" s="7">
        <v>2888.7</v>
      </c>
      <c r="M1962" s="2" t="str">
        <f>_xlfn.IFS(TelecomData[[#This Row],[TenureMonths]]&lt;=12, "0-1 Year", TelecomData[[#This Row],[TenureMonths]]&lt;=36, "1-3 Years", TelecomData[[#This Row],[TenureMonths]]&gt;36, "3+ Years")</f>
        <v>1-3 Years</v>
      </c>
      <c r="N1962" s="2" t="str">
        <f>IF(TelecomData[[#This Row],[CleanedTotalCharges]]&gt;=2500,"High Spend", "Standard Spend")</f>
        <v>High Spend</v>
      </c>
    </row>
    <row r="1963" spans="1:14" x14ac:dyDescent="0.3">
      <c r="A1963" s="1" t="s">
        <v>1987</v>
      </c>
      <c r="B1963" s="2" t="s">
        <v>12</v>
      </c>
      <c r="C1963" s="2" t="s">
        <v>20</v>
      </c>
      <c r="D1963" s="2">
        <v>42</v>
      </c>
      <c r="E1963" s="2" t="s">
        <v>14</v>
      </c>
      <c r="F1963" s="2" t="s">
        <v>15</v>
      </c>
      <c r="G1963" s="7">
        <v>60.15</v>
      </c>
      <c r="H1963" s="7">
        <v>2421.6</v>
      </c>
      <c r="I1963" s="2" t="s">
        <v>15</v>
      </c>
      <c r="J1963" s="2" t="s">
        <v>16</v>
      </c>
      <c r="K1963" s="2" t="s">
        <v>24</v>
      </c>
      <c r="L1963" s="7">
        <v>2421.6</v>
      </c>
      <c r="M1963" s="2" t="str">
        <f>_xlfn.IFS(TelecomData[[#This Row],[TenureMonths]]&lt;=12, "0-1 Year", TelecomData[[#This Row],[TenureMonths]]&lt;=36, "1-3 Years", TelecomData[[#This Row],[TenureMonths]]&gt;36, "3+ Years")</f>
        <v>3+ Years</v>
      </c>
      <c r="N1963" s="2" t="str">
        <f>IF(TelecomData[[#This Row],[CleanedTotalCharges]]&gt;=2500,"High Spend", "Standard Spend")</f>
        <v>Standard Spend</v>
      </c>
    </row>
    <row r="1964" spans="1:14" x14ac:dyDescent="0.3">
      <c r="A1964" s="1" t="s">
        <v>1988</v>
      </c>
      <c r="B1964" s="2" t="s">
        <v>19</v>
      </c>
      <c r="C1964" s="2" t="s">
        <v>20</v>
      </c>
      <c r="D1964" s="2">
        <v>23</v>
      </c>
      <c r="E1964" s="2" t="s">
        <v>26</v>
      </c>
      <c r="F1964" s="2" t="s">
        <v>15</v>
      </c>
      <c r="G1964" s="7">
        <v>99.95</v>
      </c>
      <c r="H1964" s="7">
        <v>2292.75</v>
      </c>
      <c r="I1964" s="2" t="s">
        <v>15</v>
      </c>
      <c r="J1964" s="2" t="s">
        <v>16</v>
      </c>
      <c r="K1964" s="2" t="s">
        <v>29</v>
      </c>
      <c r="L1964" s="7">
        <v>2292.75</v>
      </c>
      <c r="M1964" s="2" t="str">
        <f>_xlfn.IFS(TelecomData[[#This Row],[TenureMonths]]&lt;=12, "0-1 Year", TelecomData[[#This Row],[TenureMonths]]&lt;=36, "1-3 Years", TelecomData[[#This Row],[TenureMonths]]&gt;36, "3+ Years")</f>
        <v>1-3 Years</v>
      </c>
      <c r="N1964" s="2" t="str">
        <f>IF(TelecomData[[#This Row],[CleanedTotalCharges]]&gt;=2500,"High Spend", "Standard Spend")</f>
        <v>Standard Spend</v>
      </c>
    </row>
    <row r="1965" spans="1:14" x14ac:dyDescent="0.3">
      <c r="A1965" s="1" t="s">
        <v>1989</v>
      </c>
      <c r="B1965" s="2" t="s">
        <v>19</v>
      </c>
      <c r="C1965" s="2" t="s">
        <v>13</v>
      </c>
      <c r="D1965" s="2">
        <v>8</v>
      </c>
      <c r="E1965" s="2" t="s">
        <v>26</v>
      </c>
      <c r="F1965" s="2" t="s">
        <v>15</v>
      </c>
      <c r="G1965" s="7">
        <v>70.7</v>
      </c>
      <c r="H1965" s="7">
        <v>553.4</v>
      </c>
      <c r="I1965" s="2" t="s">
        <v>15</v>
      </c>
      <c r="J1965" s="2" t="s">
        <v>15</v>
      </c>
      <c r="K1965" s="2" t="s">
        <v>24</v>
      </c>
      <c r="L1965" s="7">
        <v>553.4</v>
      </c>
      <c r="M1965" s="2" t="str">
        <f>_xlfn.IFS(TelecomData[[#This Row],[TenureMonths]]&lt;=12, "0-1 Year", TelecomData[[#This Row],[TenureMonths]]&lt;=36, "1-3 Years", TelecomData[[#This Row],[TenureMonths]]&gt;36, "3+ Years")</f>
        <v>0-1 Year</v>
      </c>
      <c r="N1965" s="2" t="str">
        <f>IF(TelecomData[[#This Row],[CleanedTotalCharges]]&gt;=2500,"High Spend", "Standard Spend")</f>
        <v>Standard Spend</v>
      </c>
    </row>
    <row r="1966" spans="1:14" x14ac:dyDescent="0.3">
      <c r="A1966" s="1" t="s">
        <v>1990</v>
      </c>
      <c r="B1966" s="2" t="s">
        <v>19</v>
      </c>
      <c r="C1966" s="2" t="s">
        <v>20</v>
      </c>
      <c r="D1966" s="2">
        <v>66</v>
      </c>
      <c r="E1966" s="2" t="s">
        <v>14</v>
      </c>
      <c r="F1966" s="2" t="s">
        <v>15</v>
      </c>
      <c r="G1966" s="7">
        <v>54.8</v>
      </c>
      <c r="H1966" s="7">
        <v>3465.7</v>
      </c>
      <c r="I1966" s="2" t="s">
        <v>15</v>
      </c>
      <c r="J1966" s="2" t="s">
        <v>16</v>
      </c>
      <c r="K1966" s="2" t="s">
        <v>21</v>
      </c>
      <c r="L1966" s="7">
        <v>3465.7</v>
      </c>
      <c r="M1966" s="2" t="str">
        <f>_xlfn.IFS(TelecomData[[#This Row],[TenureMonths]]&lt;=12, "0-1 Year", TelecomData[[#This Row],[TenureMonths]]&lt;=36, "1-3 Years", TelecomData[[#This Row],[TenureMonths]]&gt;36, "3+ Years")</f>
        <v>3+ Years</v>
      </c>
      <c r="N1966" s="2" t="str">
        <f>IF(TelecomData[[#This Row],[CleanedTotalCharges]]&gt;=2500,"High Spend", "Standard Spend")</f>
        <v>High Spend</v>
      </c>
    </row>
    <row r="1967" spans="1:14" x14ac:dyDescent="0.3">
      <c r="A1967" s="1" t="s">
        <v>1991</v>
      </c>
      <c r="B1967" s="2" t="s">
        <v>19</v>
      </c>
      <c r="C1967" s="2" t="s">
        <v>13</v>
      </c>
      <c r="D1967" s="2">
        <v>24</v>
      </c>
      <c r="E1967" s="2" t="s">
        <v>14</v>
      </c>
      <c r="F1967" s="2" t="s">
        <v>15</v>
      </c>
      <c r="G1967" s="7">
        <v>49.55</v>
      </c>
      <c r="H1967" s="7">
        <v>1210.4000000000001</v>
      </c>
      <c r="I1967" s="2" t="s">
        <v>16</v>
      </c>
      <c r="J1967" s="2" t="s">
        <v>16</v>
      </c>
      <c r="K1967" s="2" t="s">
        <v>24</v>
      </c>
      <c r="L1967" s="7">
        <v>1210.4000000000001</v>
      </c>
      <c r="M1967" s="2" t="str">
        <f>_xlfn.IFS(TelecomData[[#This Row],[TenureMonths]]&lt;=12, "0-1 Year", TelecomData[[#This Row],[TenureMonths]]&lt;=36, "1-3 Years", TelecomData[[#This Row],[TenureMonths]]&gt;36, "3+ Years")</f>
        <v>1-3 Years</v>
      </c>
      <c r="N1967" s="2" t="str">
        <f>IF(TelecomData[[#This Row],[CleanedTotalCharges]]&gt;=2500,"High Spend", "Standard Spend")</f>
        <v>Standard Spend</v>
      </c>
    </row>
    <row r="1968" spans="1:14" x14ac:dyDescent="0.3">
      <c r="A1968" s="1" t="s">
        <v>1992</v>
      </c>
      <c r="B1968" s="2" t="s">
        <v>19</v>
      </c>
      <c r="C1968" s="2" t="s">
        <v>13</v>
      </c>
      <c r="D1968" s="2">
        <v>24</v>
      </c>
      <c r="E1968" s="2" t="s">
        <v>14</v>
      </c>
      <c r="F1968" s="2" t="s">
        <v>15</v>
      </c>
      <c r="G1968" s="7">
        <v>54.8</v>
      </c>
      <c r="H1968" s="7">
        <v>1291.3</v>
      </c>
      <c r="I1968" s="2" t="s">
        <v>15</v>
      </c>
      <c r="J1968" s="2" t="s">
        <v>15</v>
      </c>
      <c r="K1968" s="2" t="s">
        <v>29</v>
      </c>
      <c r="L1968" s="7">
        <v>1291.3</v>
      </c>
      <c r="M1968" s="2" t="str">
        <f>_xlfn.IFS(TelecomData[[#This Row],[TenureMonths]]&lt;=12, "0-1 Year", TelecomData[[#This Row],[TenureMonths]]&lt;=36, "1-3 Years", TelecomData[[#This Row],[TenureMonths]]&gt;36, "3+ Years")</f>
        <v>1-3 Years</v>
      </c>
      <c r="N1968" s="2" t="str">
        <f>IF(TelecomData[[#This Row],[CleanedTotalCharges]]&gt;=2500,"High Spend", "Standard Spend")</f>
        <v>Standard Spend</v>
      </c>
    </row>
    <row r="1969" spans="1:14" x14ac:dyDescent="0.3">
      <c r="A1969" s="1" t="s">
        <v>1993</v>
      </c>
      <c r="B1969" s="2" t="s">
        <v>19</v>
      </c>
      <c r="C1969" s="2" t="s">
        <v>20</v>
      </c>
      <c r="D1969" s="2">
        <v>69</v>
      </c>
      <c r="E1969" s="2" t="s">
        <v>14</v>
      </c>
      <c r="F1969" s="2" t="s">
        <v>16</v>
      </c>
      <c r="G1969" s="7">
        <v>78.599999999999994</v>
      </c>
      <c r="H1969" s="7">
        <v>5356.45</v>
      </c>
      <c r="I1969" s="2" t="s">
        <v>16</v>
      </c>
      <c r="J1969" s="2" t="s">
        <v>16</v>
      </c>
      <c r="K1969" s="2" t="s">
        <v>29</v>
      </c>
      <c r="L1969" s="7">
        <v>5356.45</v>
      </c>
      <c r="M1969" s="2" t="str">
        <f>_xlfn.IFS(TelecomData[[#This Row],[TenureMonths]]&lt;=12, "0-1 Year", TelecomData[[#This Row],[TenureMonths]]&lt;=36, "1-3 Years", TelecomData[[#This Row],[TenureMonths]]&gt;36, "3+ Years")</f>
        <v>3+ Years</v>
      </c>
      <c r="N1969" s="2" t="str">
        <f>IF(TelecomData[[#This Row],[CleanedTotalCharges]]&gt;=2500,"High Spend", "Standard Spend")</f>
        <v>High Spend</v>
      </c>
    </row>
    <row r="1970" spans="1:14" x14ac:dyDescent="0.3">
      <c r="A1970" s="1" t="s">
        <v>1994</v>
      </c>
      <c r="B1970" s="2" t="s">
        <v>12</v>
      </c>
      <c r="C1970" s="2" t="s">
        <v>20</v>
      </c>
      <c r="D1970" s="2">
        <v>53</v>
      </c>
      <c r="E1970" s="2" t="s">
        <v>26</v>
      </c>
      <c r="F1970" s="2" t="s">
        <v>15</v>
      </c>
      <c r="G1970" s="7">
        <v>100.3</v>
      </c>
      <c r="H1970" s="7">
        <v>5200.8</v>
      </c>
      <c r="I1970" s="2" t="s">
        <v>15</v>
      </c>
      <c r="J1970" s="2" t="s">
        <v>16</v>
      </c>
      <c r="K1970" s="2" t="s">
        <v>21</v>
      </c>
      <c r="L1970" s="7">
        <v>5200.8</v>
      </c>
      <c r="M1970" s="2" t="str">
        <f>_xlfn.IFS(TelecomData[[#This Row],[TenureMonths]]&lt;=12, "0-1 Year", TelecomData[[#This Row],[TenureMonths]]&lt;=36, "1-3 Years", TelecomData[[#This Row],[TenureMonths]]&gt;36, "3+ Years")</f>
        <v>3+ Years</v>
      </c>
      <c r="N1970" s="2" t="str">
        <f>IF(TelecomData[[#This Row],[CleanedTotalCharges]]&gt;=2500,"High Spend", "Standard Spend")</f>
        <v>High Spend</v>
      </c>
    </row>
    <row r="1971" spans="1:14" x14ac:dyDescent="0.3">
      <c r="A1971" s="1" t="s">
        <v>1995</v>
      </c>
      <c r="B1971" s="2" t="s">
        <v>12</v>
      </c>
      <c r="C1971" s="2" t="s">
        <v>35</v>
      </c>
      <c r="D1971" s="2">
        <v>60</v>
      </c>
      <c r="E1971" s="2" t="s">
        <v>14</v>
      </c>
      <c r="F1971" s="2" t="s">
        <v>15</v>
      </c>
      <c r="G1971" s="7">
        <v>53.6</v>
      </c>
      <c r="H1971" s="7">
        <v>3237.05</v>
      </c>
      <c r="I1971" s="2" t="s">
        <v>15</v>
      </c>
      <c r="J1971" s="2" t="s">
        <v>15</v>
      </c>
      <c r="K1971" s="2" t="s">
        <v>17</v>
      </c>
      <c r="L1971" s="7">
        <v>3237.05</v>
      </c>
      <c r="M1971" s="2" t="str">
        <f>_xlfn.IFS(TelecomData[[#This Row],[TenureMonths]]&lt;=12, "0-1 Year", TelecomData[[#This Row],[TenureMonths]]&lt;=36, "1-3 Years", TelecomData[[#This Row],[TenureMonths]]&gt;36, "3+ Years")</f>
        <v>3+ Years</v>
      </c>
      <c r="N1971" s="2" t="str">
        <f>IF(TelecomData[[#This Row],[CleanedTotalCharges]]&gt;=2500,"High Spend", "Standard Spend")</f>
        <v>High Spend</v>
      </c>
    </row>
    <row r="1972" spans="1:14" x14ac:dyDescent="0.3">
      <c r="A1972" s="1" t="s">
        <v>1996</v>
      </c>
      <c r="B1972" s="2" t="s">
        <v>12</v>
      </c>
      <c r="C1972" s="2" t="s">
        <v>13</v>
      </c>
      <c r="D1972" s="2">
        <v>7</v>
      </c>
      <c r="E1972" s="2" t="s">
        <v>26</v>
      </c>
      <c r="F1972" s="2" t="s">
        <v>15</v>
      </c>
      <c r="G1972" s="7">
        <v>81.099999999999994</v>
      </c>
      <c r="H1972" s="7">
        <v>576.65</v>
      </c>
      <c r="I1972" s="2" t="s">
        <v>16</v>
      </c>
      <c r="J1972" s="2" t="s">
        <v>16</v>
      </c>
      <c r="K1972" s="2" t="s">
        <v>17</v>
      </c>
      <c r="L1972" s="7">
        <v>576.65</v>
      </c>
      <c r="M1972" s="2" t="str">
        <f>_xlfn.IFS(TelecomData[[#This Row],[TenureMonths]]&lt;=12, "0-1 Year", TelecomData[[#This Row],[TenureMonths]]&lt;=36, "1-3 Years", TelecomData[[#This Row],[TenureMonths]]&gt;36, "3+ Years")</f>
        <v>0-1 Year</v>
      </c>
      <c r="N1972" s="2" t="str">
        <f>IF(TelecomData[[#This Row],[CleanedTotalCharges]]&gt;=2500,"High Spend", "Standard Spend")</f>
        <v>Standard Spend</v>
      </c>
    </row>
    <row r="1973" spans="1:14" x14ac:dyDescent="0.3">
      <c r="A1973" s="1" t="s">
        <v>1997</v>
      </c>
      <c r="B1973" s="2" t="s">
        <v>12</v>
      </c>
      <c r="C1973" s="2" t="s">
        <v>20</v>
      </c>
      <c r="D1973" s="2">
        <v>20</v>
      </c>
      <c r="E1973" s="2" t="s">
        <v>15</v>
      </c>
      <c r="F1973" s="2" t="s">
        <v>36</v>
      </c>
      <c r="G1973" s="7">
        <v>19.350000000000001</v>
      </c>
      <c r="H1973" s="7">
        <v>433.75</v>
      </c>
      <c r="I1973" s="2" t="s">
        <v>15</v>
      </c>
      <c r="J1973" s="2" t="s">
        <v>16</v>
      </c>
      <c r="K1973" s="2" t="s">
        <v>29</v>
      </c>
      <c r="L1973" s="7">
        <v>433.75</v>
      </c>
      <c r="M1973" s="2" t="str">
        <f>_xlfn.IFS(TelecomData[[#This Row],[TenureMonths]]&lt;=12, "0-1 Year", TelecomData[[#This Row],[TenureMonths]]&lt;=36, "1-3 Years", TelecomData[[#This Row],[TenureMonths]]&gt;36, "3+ Years")</f>
        <v>1-3 Years</v>
      </c>
      <c r="N1973" s="2" t="str">
        <f>IF(TelecomData[[#This Row],[CleanedTotalCharges]]&gt;=2500,"High Spend", "Standard Spend")</f>
        <v>Standard Spend</v>
      </c>
    </row>
    <row r="1974" spans="1:14" x14ac:dyDescent="0.3">
      <c r="A1974" s="1" t="s">
        <v>1998</v>
      </c>
      <c r="B1974" s="2" t="s">
        <v>12</v>
      </c>
      <c r="C1974" s="2" t="s">
        <v>13</v>
      </c>
      <c r="D1974" s="2">
        <v>23</v>
      </c>
      <c r="E1974" s="2" t="s">
        <v>26</v>
      </c>
      <c r="F1974" s="2" t="s">
        <v>15</v>
      </c>
      <c r="G1974" s="7">
        <v>85.6</v>
      </c>
      <c r="H1974" s="7">
        <v>1868.4</v>
      </c>
      <c r="I1974" s="2" t="s">
        <v>15</v>
      </c>
      <c r="J1974" s="2" t="s">
        <v>15</v>
      </c>
      <c r="K1974" s="2" t="s">
        <v>17</v>
      </c>
      <c r="L1974" s="7">
        <v>1868.4</v>
      </c>
      <c r="M1974" s="2" t="str">
        <f>_xlfn.IFS(TelecomData[[#This Row],[TenureMonths]]&lt;=12, "0-1 Year", TelecomData[[#This Row],[TenureMonths]]&lt;=36, "1-3 Years", TelecomData[[#This Row],[TenureMonths]]&gt;36, "3+ Years")</f>
        <v>1-3 Years</v>
      </c>
      <c r="N1974" s="2" t="str">
        <f>IF(TelecomData[[#This Row],[CleanedTotalCharges]]&gt;=2500,"High Spend", "Standard Spend")</f>
        <v>Standard Spend</v>
      </c>
    </row>
    <row r="1975" spans="1:14" x14ac:dyDescent="0.3">
      <c r="A1975" s="1" t="s">
        <v>1999</v>
      </c>
      <c r="B1975" s="2" t="s">
        <v>19</v>
      </c>
      <c r="C1975" s="2" t="s">
        <v>35</v>
      </c>
      <c r="D1975" s="2">
        <v>72</v>
      </c>
      <c r="E1975" s="2" t="s">
        <v>14</v>
      </c>
      <c r="F1975" s="2" t="s">
        <v>16</v>
      </c>
      <c r="G1975" s="7">
        <v>80.8</v>
      </c>
      <c r="H1975" s="7">
        <v>5728.55</v>
      </c>
      <c r="I1975" s="2" t="s">
        <v>15</v>
      </c>
      <c r="J1975" s="2" t="s">
        <v>16</v>
      </c>
      <c r="K1975" s="2" t="s">
        <v>17</v>
      </c>
      <c r="L1975" s="7">
        <v>5728.55</v>
      </c>
      <c r="M1975" s="2" t="str">
        <f>_xlfn.IFS(TelecomData[[#This Row],[TenureMonths]]&lt;=12, "0-1 Year", TelecomData[[#This Row],[TenureMonths]]&lt;=36, "1-3 Years", TelecomData[[#This Row],[TenureMonths]]&gt;36, "3+ Years")</f>
        <v>3+ Years</v>
      </c>
      <c r="N1975" s="2" t="str">
        <f>IF(TelecomData[[#This Row],[CleanedTotalCharges]]&gt;=2500,"High Spend", "Standard Spend")</f>
        <v>High Spend</v>
      </c>
    </row>
    <row r="1976" spans="1:14" x14ac:dyDescent="0.3">
      <c r="A1976" s="1" t="s">
        <v>2000</v>
      </c>
      <c r="B1976" s="2" t="s">
        <v>19</v>
      </c>
      <c r="C1976" s="2" t="s">
        <v>13</v>
      </c>
      <c r="D1976" s="2">
        <v>11</v>
      </c>
      <c r="E1976" s="2" t="s">
        <v>26</v>
      </c>
      <c r="F1976" s="2" t="s">
        <v>15</v>
      </c>
      <c r="G1976" s="7">
        <v>74.95</v>
      </c>
      <c r="H1976" s="7">
        <v>825.7</v>
      </c>
      <c r="I1976" s="2" t="s">
        <v>16</v>
      </c>
      <c r="J1976" s="2" t="s">
        <v>16</v>
      </c>
      <c r="K1976" s="2" t="s">
        <v>17</v>
      </c>
      <c r="L1976" s="7">
        <v>825.7</v>
      </c>
      <c r="M1976" s="2" t="str">
        <f>_xlfn.IFS(TelecomData[[#This Row],[TenureMonths]]&lt;=12, "0-1 Year", TelecomData[[#This Row],[TenureMonths]]&lt;=36, "1-3 Years", TelecomData[[#This Row],[TenureMonths]]&gt;36, "3+ Years")</f>
        <v>0-1 Year</v>
      </c>
      <c r="N1976" s="2" t="str">
        <f>IF(TelecomData[[#This Row],[CleanedTotalCharges]]&gt;=2500,"High Spend", "Standard Spend")</f>
        <v>Standard Spend</v>
      </c>
    </row>
    <row r="1977" spans="1:14" x14ac:dyDescent="0.3">
      <c r="A1977" s="1" t="s">
        <v>2001</v>
      </c>
      <c r="B1977" s="2" t="s">
        <v>19</v>
      </c>
      <c r="C1977" s="2" t="s">
        <v>35</v>
      </c>
      <c r="D1977" s="2">
        <v>21</v>
      </c>
      <c r="E1977" s="2" t="s">
        <v>15</v>
      </c>
      <c r="F1977" s="2" t="s">
        <v>36</v>
      </c>
      <c r="G1977" s="7">
        <v>19.600000000000001</v>
      </c>
      <c r="H1977" s="7">
        <v>390.4</v>
      </c>
      <c r="I1977" s="2" t="s">
        <v>15</v>
      </c>
      <c r="J1977" s="2" t="s">
        <v>15</v>
      </c>
      <c r="K1977" s="2" t="s">
        <v>21</v>
      </c>
      <c r="L1977" s="7">
        <v>390.4</v>
      </c>
      <c r="M1977" s="2" t="str">
        <f>_xlfn.IFS(TelecomData[[#This Row],[TenureMonths]]&lt;=12, "0-1 Year", TelecomData[[#This Row],[TenureMonths]]&lt;=36, "1-3 Years", TelecomData[[#This Row],[TenureMonths]]&gt;36, "3+ Years")</f>
        <v>1-3 Years</v>
      </c>
      <c r="N1977" s="2" t="str">
        <f>IF(TelecomData[[#This Row],[CleanedTotalCharges]]&gt;=2500,"High Spend", "Standard Spend")</f>
        <v>Standard Spend</v>
      </c>
    </row>
    <row r="1978" spans="1:14" x14ac:dyDescent="0.3">
      <c r="A1978" s="1" t="s">
        <v>2002</v>
      </c>
      <c r="B1978" s="2" t="s">
        <v>19</v>
      </c>
      <c r="C1978" s="2" t="s">
        <v>13</v>
      </c>
      <c r="D1978" s="2">
        <v>1</v>
      </c>
      <c r="E1978" s="2" t="s">
        <v>26</v>
      </c>
      <c r="F1978" s="2" t="s">
        <v>15</v>
      </c>
      <c r="G1978" s="7">
        <v>93.55</v>
      </c>
      <c r="H1978" s="7">
        <v>93.55</v>
      </c>
      <c r="I1978" s="2" t="s">
        <v>16</v>
      </c>
      <c r="J1978" s="2" t="s">
        <v>16</v>
      </c>
      <c r="K1978" s="2" t="s">
        <v>17</v>
      </c>
      <c r="L1978" s="7">
        <v>93.55</v>
      </c>
      <c r="M1978" s="2" t="str">
        <f>_xlfn.IFS(TelecomData[[#This Row],[TenureMonths]]&lt;=12, "0-1 Year", TelecomData[[#This Row],[TenureMonths]]&lt;=36, "1-3 Years", TelecomData[[#This Row],[TenureMonths]]&gt;36, "3+ Years")</f>
        <v>0-1 Year</v>
      </c>
      <c r="N1978" s="2" t="str">
        <f>IF(TelecomData[[#This Row],[CleanedTotalCharges]]&gt;=2500,"High Spend", "Standard Spend")</f>
        <v>Standard Spend</v>
      </c>
    </row>
    <row r="1979" spans="1:14" x14ac:dyDescent="0.3">
      <c r="A1979" s="1" t="s">
        <v>2003</v>
      </c>
      <c r="B1979" s="2" t="s">
        <v>19</v>
      </c>
      <c r="C1979" s="2" t="s">
        <v>13</v>
      </c>
      <c r="D1979" s="2">
        <v>31</v>
      </c>
      <c r="E1979" s="2" t="s">
        <v>26</v>
      </c>
      <c r="F1979" s="2" t="s">
        <v>15</v>
      </c>
      <c r="G1979" s="7">
        <v>90.7</v>
      </c>
      <c r="H1979" s="7">
        <v>2845.15</v>
      </c>
      <c r="I1979" s="2" t="s">
        <v>15</v>
      </c>
      <c r="J1979" s="2" t="s">
        <v>16</v>
      </c>
      <c r="K1979" s="2" t="s">
        <v>17</v>
      </c>
      <c r="L1979" s="7">
        <v>2845.15</v>
      </c>
      <c r="M1979" s="2" t="str">
        <f>_xlfn.IFS(TelecomData[[#This Row],[TenureMonths]]&lt;=12, "0-1 Year", TelecomData[[#This Row],[TenureMonths]]&lt;=36, "1-3 Years", TelecomData[[#This Row],[TenureMonths]]&gt;36, "3+ Years")</f>
        <v>1-3 Years</v>
      </c>
      <c r="N1979" s="2" t="str">
        <f>IF(TelecomData[[#This Row],[CleanedTotalCharges]]&gt;=2500,"High Spend", "Standard Spend")</f>
        <v>High Spend</v>
      </c>
    </row>
    <row r="1980" spans="1:14" x14ac:dyDescent="0.3">
      <c r="A1980" s="1" t="s">
        <v>2004</v>
      </c>
      <c r="B1980" s="2" t="s">
        <v>12</v>
      </c>
      <c r="C1980" s="2" t="s">
        <v>35</v>
      </c>
      <c r="D1980" s="2">
        <v>57</v>
      </c>
      <c r="E1980" s="2" t="s">
        <v>14</v>
      </c>
      <c r="F1980" s="2" t="s">
        <v>16</v>
      </c>
      <c r="G1980" s="7">
        <v>69.75</v>
      </c>
      <c r="H1980" s="7">
        <v>3894.4</v>
      </c>
      <c r="I1980" s="2" t="s">
        <v>15</v>
      </c>
      <c r="J1980" s="2" t="s">
        <v>15</v>
      </c>
      <c r="K1980" s="2" t="s">
        <v>21</v>
      </c>
      <c r="L1980" s="7">
        <v>3894.4</v>
      </c>
      <c r="M1980" s="2" t="str">
        <f>_xlfn.IFS(TelecomData[[#This Row],[TenureMonths]]&lt;=12, "0-1 Year", TelecomData[[#This Row],[TenureMonths]]&lt;=36, "1-3 Years", TelecomData[[#This Row],[TenureMonths]]&gt;36, "3+ Years")</f>
        <v>3+ Years</v>
      </c>
      <c r="N1980" s="2" t="str">
        <f>IF(TelecomData[[#This Row],[CleanedTotalCharges]]&gt;=2500,"High Spend", "Standard Spend")</f>
        <v>High Spend</v>
      </c>
    </row>
    <row r="1981" spans="1:14" x14ac:dyDescent="0.3">
      <c r="A1981" s="1" t="s">
        <v>2005</v>
      </c>
      <c r="B1981" s="2" t="s">
        <v>12</v>
      </c>
      <c r="C1981" s="2" t="s">
        <v>35</v>
      </c>
      <c r="D1981" s="2">
        <v>45</v>
      </c>
      <c r="E1981" s="2" t="s">
        <v>15</v>
      </c>
      <c r="F1981" s="2" t="s">
        <v>36</v>
      </c>
      <c r="G1981" s="7">
        <v>20</v>
      </c>
      <c r="H1981" s="7">
        <v>886.4</v>
      </c>
      <c r="I1981" s="2" t="s">
        <v>15</v>
      </c>
      <c r="J1981" s="2" t="s">
        <v>16</v>
      </c>
      <c r="K1981" s="2" t="s">
        <v>24</v>
      </c>
      <c r="L1981" s="7">
        <v>886.4</v>
      </c>
      <c r="M1981" s="2" t="str">
        <f>_xlfn.IFS(TelecomData[[#This Row],[TenureMonths]]&lt;=12, "0-1 Year", TelecomData[[#This Row],[TenureMonths]]&lt;=36, "1-3 Years", TelecomData[[#This Row],[TenureMonths]]&gt;36, "3+ Years")</f>
        <v>3+ Years</v>
      </c>
      <c r="N1981" s="2" t="str">
        <f>IF(TelecomData[[#This Row],[CleanedTotalCharges]]&gt;=2500,"High Spend", "Standard Spend")</f>
        <v>Standard Spend</v>
      </c>
    </row>
    <row r="1982" spans="1:14" x14ac:dyDescent="0.3">
      <c r="A1982" s="1" t="s">
        <v>2006</v>
      </c>
      <c r="B1982" s="2" t="s">
        <v>19</v>
      </c>
      <c r="C1982" s="2" t="s">
        <v>13</v>
      </c>
      <c r="D1982" s="2">
        <v>10</v>
      </c>
      <c r="E1982" s="2" t="s">
        <v>26</v>
      </c>
      <c r="F1982" s="2" t="s">
        <v>15</v>
      </c>
      <c r="G1982" s="7">
        <v>95.25</v>
      </c>
      <c r="H1982" s="7">
        <v>1021.55</v>
      </c>
      <c r="I1982" s="2" t="s">
        <v>15</v>
      </c>
      <c r="J1982" s="2" t="s">
        <v>16</v>
      </c>
      <c r="K1982" s="2" t="s">
        <v>17</v>
      </c>
      <c r="L1982" s="7">
        <v>1021.55</v>
      </c>
      <c r="M1982" s="2" t="str">
        <f>_xlfn.IFS(TelecomData[[#This Row],[TenureMonths]]&lt;=12, "0-1 Year", TelecomData[[#This Row],[TenureMonths]]&lt;=36, "1-3 Years", TelecomData[[#This Row],[TenureMonths]]&gt;36, "3+ Years")</f>
        <v>0-1 Year</v>
      </c>
      <c r="N1982" s="2" t="str">
        <f>IF(TelecomData[[#This Row],[CleanedTotalCharges]]&gt;=2500,"High Spend", "Standard Spend")</f>
        <v>Standard Spend</v>
      </c>
    </row>
    <row r="1983" spans="1:14" x14ac:dyDescent="0.3">
      <c r="A1983" s="1" t="s">
        <v>2007</v>
      </c>
      <c r="B1983" s="2" t="s">
        <v>12</v>
      </c>
      <c r="C1983" s="2" t="s">
        <v>13</v>
      </c>
      <c r="D1983" s="2">
        <v>58</v>
      </c>
      <c r="E1983" s="2" t="s">
        <v>26</v>
      </c>
      <c r="F1983" s="2" t="s">
        <v>16</v>
      </c>
      <c r="G1983" s="7">
        <v>102.1</v>
      </c>
      <c r="H1983" s="7">
        <v>5885.4</v>
      </c>
      <c r="I1983" s="2" t="s">
        <v>16</v>
      </c>
      <c r="J1983" s="2" t="s">
        <v>16</v>
      </c>
      <c r="K1983" s="2" t="s">
        <v>29</v>
      </c>
      <c r="L1983" s="7">
        <v>5885.4</v>
      </c>
      <c r="M1983" s="2" t="str">
        <f>_xlfn.IFS(TelecomData[[#This Row],[TenureMonths]]&lt;=12, "0-1 Year", TelecomData[[#This Row],[TenureMonths]]&lt;=36, "1-3 Years", TelecomData[[#This Row],[TenureMonths]]&gt;36, "3+ Years")</f>
        <v>3+ Years</v>
      </c>
      <c r="N1983" s="2" t="str">
        <f>IF(TelecomData[[#This Row],[CleanedTotalCharges]]&gt;=2500,"High Spend", "Standard Spend")</f>
        <v>High Spend</v>
      </c>
    </row>
    <row r="1984" spans="1:14" x14ac:dyDescent="0.3">
      <c r="A1984" s="1" t="s">
        <v>2008</v>
      </c>
      <c r="B1984" s="2" t="s">
        <v>19</v>
      </c>
      <c r="C1984" s="2" t="s">
        <v>13</v>
      </c>
      <c r="D1984" s="2">
        <v>14</v>
      </c>
      <c r="E1984" s="2" t="s">
        <v>15</v>
      </c>
      <c r="F1984" s="2" t="s">
        <v>36</v>
      </c>
      <c r="G1984" s="7">
        <v>19.95</v>
      </c>
      <c r="H1984" s="7">
        <v>268.39999999999998</v>
      </c>
      <c r="I1984" s="2" t="s">
        <v>15</v>
      </c>
      <c r="J1984" s="2" t="s">
        <v>15</v>
      </c>
      <c r="K1984" s="2" t="s">
        <v>21</v>
      </c>
      <c r="L1984" s="7">
        <v>268.39999999999998</v>
      </c>
      <c r="M1984" s="2" t="str">
        <f>_xlfn.IFS(TelecomData[[#This Row],[TenureMonths]]&lt;=12, "0-1 Year", TelecomData[[#This Row],[TenureMonths]]&lt;=36, "1-3 Years", TelecomData[[#This Row],[TenureMonths]]&gt;36, "3+ Years")</f>
        <v>1-3 Years</v>
      </c>
      <c r="N1984" s="2" t="str">
        <f>IF(TelecomData[[#This Row],[CleanedTotalCharges]]&gt;=2500,"High Spend", "Standard Spend")</f>
        <v>Standard Spend</v>
      </c>
    </row>
    <row r="1985" spans="1:14" x14ac:dyDescent="0.3">
      <c r="A1985" s="1" t="s">
        <v>2009</v>
      </c>
      <c r="B1985" s="2" t="s">
        <v>19</v>
      </c>
      <c r="C1985" s="2" t="s">
        <v>20</v>
      </c>
      <c r="D1985" s="2">
        <v>27</v>
      </c>
      <c r="E1985" s="2" t="s">
        <v>14</v>
      </c>
      <c r="F1985" s="2" t="s">
        <v>16</v>
      </c>
      <c r="G1985" s="7">
        <v>80.849999999999994</v>
      </c>
      <c r="H1985" s="7">
        <v>2204.35</v>
      </c>
      <c r="I1985" s="2" t="s">
        <v>15</v>
      </c>
      <c r="J1985" s="2" t="s">
        <v>15</v>
      </c>
      <c r="K1985" s="2" t="s">
        <v>21</v>
      </c>
      <c r="L1985" s="7">
        <v>2204.35</v>
      </c>
      <c r="M1985" s="2" t="str">
        <f>_xlfn.IFS(TelecomData[[#This Row],[TenureMonths]]&lt;=12, "0-1 Year", TelecomData[[#This Row],[TenureMonths]]&lt;=36, "1-3 Years", TelecomData[[#This Row],[TenureMonths]]&gt;36, "3+ Years")</f>
        <v>1-3 Years</v>
      </c>
      <c r="N1985" s="2" t="str">
        <f>IF(TelecomData[[#This Row],[CleanedTotalCharges]]&gt;=2500,"High Spend", "Standard Spend")</f>
        <v>Standard Spend</v>
      </c>
    </row>
    <row r="1986" spans="1:14" x14ac:dyDescent="0.3">
      <c r="A1986" s="1" t="s">
        <v>2010</v>
      </c>
      <c r="B1986" s="2" t="s">
        <v>12</v>
      </c>
      <c r="C1986" s="2" t="s">
        <v>13</v>
      </c>
      <c r="D1986" s="2">
        <v>14</v>
      </c>
      <c r="E1986" s="2" t="s">
        <v>26</v>
      </c>
      <c r="F1986" s="2" t="s">
        <v>15</v>
      </c>
      <c r="G1986" s="7">
        <v>90.9</v>
      </c>
      <c r="H1986" s="7">
        <v>1259</v>
      </c>
      <c r="I1986" s="2" t="s">
        <v>16</v>
      </c>
      <c r="J1986" s="2" t="s">
        <v>16</v>
      </c>
      <c r="K1986" s="2" t="s">
        <v>24</v>
      </c>
      <c r="L1986" s="7">
        <v>1259</v>
      </c>
      <c r="M1986" s="2" t="str">
        <f>_xlfn.IFS(TelecomData[[#This Row],[TenureMonths]]&lt;=12, "0-1 Year", TelecomData[[#This Row],[TenureMonths]]&lt;=36, "1-3 Years", TelecomData[[#This Row],[TenureMonths]]&gt;36, "3+ Years")</f>
        <v>1-3 Years</v>
      </c>
      <c r="N1986" s="2" t="str">
        <f>IF(TelecomData[[#This Row],[CleanedTotalCharges]]&gt;=2500,"High Spend", "Standard Spend")</f>
        <v>Standard Spend</v>
      </c>
    </row>
    <row r="1987" spans="1:14" x14ac:dyDescent="0.3">
      <c r="A1987" s="1" t="s">
        <v>2011</v>
      </c>
      <c r="B1987" s="2" t="s">
        <v>12</v>
      </c>
      <c r="C1987" s="2" t="s">
        <v>13</v>
      </c>
      <c r="D1987" s="2">
        <v>12</v>
      </c>
      <c r="E1987" s="2" t="s">
        <v>14</v>
      </c>
      <c r="F1987" s="2" t="s">
        <v>15</v>
      </c>
      <c r="G1987" s="7">
        <v>29.2</v>
      </c>
      <c r="H1987" s="7">
        <v>309.10000000000002</v>
      </c>
      <c r="I1987" s="2" t="s">
        <v>16</v>
      </c>
      <c r="J1987" s="2" t="s">
        <v>15</v>
      </c>
      <c r="K1987" s="2" t="s">
        <v>21</v>
      </c>
      <c r="L1987" s="7">
        <v>309.10000000000002</v>
      </c>
      <c r="M1987" s="2" t="str">
        <f>_xlfn.IFS(TelecomData[[#This Row],[TenureMonths]]&lt;=12, "0-1 Year", TelecomData[[#This Row],[TenureMonths]]&lt;=36, "1-3 Years", TelecomData[[#This Row],[TenureMonths]]&gt;36, "3+ Years")</f>
        <v>0-1 Year</v>
      </c>
      <c r="N1987" s="2" t="str">
        <f>IF(TelecomData[[#This Row],[CleanedTotalCharges]]&gt;=2500,"High Spend", "Standard Spend")</f>
        <v>Standard Spend</v>
      </c>
    </row>
    <row r="1988" spans="1:14" x14ac:dyDescent="0.3">
      <c r="A1988" s="1" t="s">
        <v>2012</v>
      </c>
      <c r="B1988" s="2" t="s">
        <v>12</v>
      </c>
      <c r="C1988" s="2" t="s">
        <v>35</v>
      </c>
      <c r="D1988" s="2">
        <v>69</v>
      </c>
      <c r="E1988" s="2" t="s">
        <v>26</v>
      </c>
      <c r="F1988" s="2" t="s">
        <v>16</v>
      </c>
      <c r="G1988" s="7">
        <v>93.3</v>
      </c>
      <c r="H1988" s="7">
        <v>6398.05</v>
      </c>
      <c r="I1988" s="2" t="s">
        <v>15</v>
      </c>
      <c r="J1988" s="2" t="s">
        <v>16</v>
      </c>
      <c r="K1988" s="2" t="s">
        <v>24</v>
      </c>
      <c r="L1988" s="7">
        <v>6398.05</v>
      </c>
      <c r="M1988" s="2" t="str">
        <f>_xlfn.IFS(TelecomData[[#This Row],[TenureMonths]]&lt;=12, "0-1 Year", TelecomData[[#This Row],[TenureMonths]]&lt;=36, "1-3 Years", TelecomData[[#This Row],[TenureMonths]]&gt;36, "3+ Years")</f>
        <v>3+ Years</v>
      </c>
      <c r="N1988" s="2" t="str">
        <f>IF(TelecomData[[#This Row],[CleanedTotalCharges]]&gt;=2500,"High Spend", "Standard Spend")</f>
        <v>High Spend</v>
      </c>
    </row>
    <row r="1989" spans="1:14" x14ac:dyDescent="0.3">
      <c r="A1989" s="1" t="s">
        <v>2013</v>
      </c>
      <c r="B1989" s="2" t="s">
        <v>12</v>
      </c>
      <c r="C1989" s="2" t="s">
        <v>13</v>
      </c>
      <c r="D1989" s="2">
        <v>25</v>
      </c>
      <c r="E1989" s="2" t="s">
        <v>26</v>
      </c>
      <c r="F1989" s="2" t="s">
        <v>15</v>
      </c>
      <c r="G1989" s="7">
        <v>89.15</v>
      </c>
      <c r="H1989" s="7">
        <v>2257.75</v>
      </c>
      <c r="I1989" s="2" t="s">
        <v>16</v>
      </c>
      <c r="J1989" s="2" t="s">
        <v>16</v>
      </c>
      <c r="K1989" s="2" t="s">
        <v>24</v>
      </c>
      <c r="L1989" s="7">
        <v>2257.75</v>
      </c>
      <c r="M1989" s="2" t="str">
        <f>_xlfn.IFS(TelecomData[[#This Row],[TenureMonths]]&lt;=12, "0-1 Year", TelecomData[[#This Row],[TenureMonths]]&lt;=36, "1-3 Years", TelecomData[[#This Row],[TenureMonths]]&gt;36, "3+ Years")</f>
        <v>1-3 Years</v>
      </c>
      <c r="N1989" s="2" t="str">
        <f>IF(TelecomData[[#This Row],[CleanedTotalCharges]]&gt;=2500,"High Spend", "Standard Spend")</f>
        <v>Standard Spend</v>
      </c>
    </row>
    <row r="1990" spans="1:14" x14ac:dyDescent="0.3">
      <c r="A1990" s="1" t="s">
        <v>2014</v>
      </c>
      <c r="B1990" s="2" t="s">
        <v>19</v>
      </c>
      <c r="C1990" s="2" t="s">
        <v>20</v>
      </c>
      <c r="D1990" s="2">
        <v>58</v>
      </c>
      <c r="E1990" s="2" t="s">
        <v>26</v>
      </c>
      <c r="F1990" s="2" t="s">
        <v>15</v>
      </c>
      <c r="G1990" s="7">
        <v>108.85</v>
      </c>
      <c r="H1990" s="7">
        <v>6287.25</v>
      </c>
      <c r="I1990" s="2" t="s">
        <v>16</v>
      </c>
      <c r="J1990" s="2" t="s">
        <v>16</v>
      </c>
      <c r="K1990" s="2" t="s">
        <v>17</v>
      </c>
      <c r="L1990" s="7">
        <v>6287.25</v>
      </c>
      <c r="M1990" s="2" t="str">
        <f>_xlfn.IFS(TelecomData[[#This Row],[TenureMonths]]&lt;=12, "0-1 Year", TelecomData[[#This Row],[TenureMonths]]&lt;=36, "1-3 Years", TelecomData[[#This Row],[TenureMonths]]&gt;36, "3+ Years")</f>
        <v>3+ Years</v>
      </c>
      <c r="N1990" s="2" t="str">
        <f>IF(TelecomData[[#This Row],[CleanedTotalCharges]]&gt;=2500,"High Spend", "Standard Spend")</f>
        <v>High Spend</v>
      </c>
    </row>
    <row r="1991" spans="1:14" x14ac:dyDescent="0.3">
      <c r="A1991" s="1" t="s">
        <v>2015</v>
      </c>
      <c r="B1991" s="2" t="s">
        <v>12</v>
      </c>
      <c r="C1991" s="2" t="s">
        <v>35</v>
      </c>
      <c r="D1991" s="2">
        <v>35</v>
      </c>
      <c r="E1991" s="2" t="s">
        <v>14</v>
      </c>
      <c r="F1991" s="2" t="s">
        <v>16</v>
      </c>
      <c r="G1991" s="7">
        <v>46.35</v>
      </c>
      <c r="H1991" s="7">
        <v>1662.05</v>
      </c>
      <c r="I1991" s="2" t="s">
        <v>15</v>
      </c>
      <c r="J1991" s="2" t="s">
        <v>16</v>
      </c>
      <c r="K1991" s="2" t="s">
        <v>29</v>
      </c>
      <c r="L1991" s="7">
        <v>1662.05</v>
      </c>
      <c r="M1991" s="2" t="str">
        <f>_xlfn.IFS(TelecomData[[#This Row],[TenureMonths]]&lt;=12, "0-1 Year", TelecomData[[#This Row],[TenureMonths]]&lt;=36, "1-3 Years", TelecomData[[#This Row],[TenureMonths]]&gt;36, "3+ Years")</f>
        <v>1-3 Years</v>
      </c>
      <c r="N1991" s="2" t="str">
        <f>IF(TelecomData[[#This Row],[CleanedTotalCharges]]&gt;=2500,"High Spend", "Standard Spend")</f>
        <v>Standard Spend</v>
      </c>
    </row>
    <row r="1992" spans="1:14" x14ac:dyDescent="0.3">
      <c r="A1992" s="1" t="s">
        <v>2016</v>
      </c>
      <c r="B1992" s="2" t="s">
        <v>12</v>
      </c>
      <c r="C1992" s="2" t="s">
        <v>13</v>
      </c>
      <c r="D1992" s="2">
        <v>16</v>
      </c>
      <c r="E1992" s="2" t="s">
        <v>26</v>
      </c>
      <c r="F1992" s="2" t="s">
        <v>15</v>
      </c>
      <c r="G1992" s="7">
        <v>84.75</v>
      </c>
      <c r="H1992" s="7">
        <v>1350.15</v>
      </c>
      <c r="I1992" s="2" t="s">
        <v>16</v>
      </c>
      <c r="J1992" s="2" t="s">
        <v>16</v>
      </c>
      <c r="K1992" s="2" t="s">
        <v>17</v>
      </c>
      <c r="L1992" s="7">
        <v>1350.15</v>
      </c>
      <c r="M1992" s="2" t="str">
        <f>_xlfn.IFS(TelecomData[[#This Row],[TenureMonths]]&lt;=12, "0-1 Year", TelecomData[[#This Row],[TenureMonths]]&lt;=36, "1-3 Years", TelecomData[[#This Row],[TenureMonths]]&gt;36, "3+ Years")</f>
        <v>1-3 Years</v>
      </c>
      <c r="N1992" s="2" t="str">
        <f>IF(TelecomData[[#This Row],[CleanedTotalCharges]]&gt;=2500,"High Spend", "Standard Spend")</f>
        <v>Standard Spend</v>
      </c>
    </row>
    <row r="1993" spans="1:14" x14ac:dyDescent="0.3">
      <c r="A1993" s="1" t="s">
        <v>2017</v>
      </c>
      <c r="B1993" s="2" t="s">
        <v>19</v>
      </c>
      <c r="C1993" s="2" t="s">
        <v>20</v>
      </c>
      <c r="D1993" s="2">
        <v>45</v>
      </c>
      <c r="E1993" s="2" t="s">
        <v>14</v>
      </c>
      <c r="F1993" s="2" t="s">
        <v>15</v>
      </c>
      <c r="G1993" s="7">
        <v>78.75</v>
      </c>
      <c r="H1993" s="7">
        <v>3600.65</v>
      </c>
      <c r="I1993" s="2" t="s">
        <v>15</v>
      </c>
      <c r="J1993" s="2" t="s">
        <v>15</v>
      </c>
      <c r="K1993" s="2" t="s">
        <v>29</v>
      </c>
      <c r="L1993" s="7">
        <v>3600.65</v>
      </c>
      <c r="M1993" s="2" t="str">
        <f>_xlfn.IFS(TelecomData[[#This Row],[TenureMonths]]&lt;=12, "0-1 Year", TelecomData[[#This Row],[TenureMonths]]&lt;=36, "1-3 Years", TelecomData[[#This Row],[TenureMonths]]&gt;36, "3+ Years")</f>
        <v>3+ Years</v>
      </c>
      <c r="N1993" s="2" t="str">
        <f>IF(TelecomData[[#This Row],[CleanedTotalCharges]]&gt;=2500,"High Spend", "Standard Spend")</f>
        <v>High Spend</v>
      </c>
    </row>
    <row r="1994" spans="1:14" x14ac:dyDescent="0.3">
      <c r="A1994" s="1" t="s">
        <v>2018</v>
      </c>
      <c r="B1994" s="2" t="s">
        <v>12</v>
      </c>
      <c r="C1994" s="2" t="s">
        <v>13</v>
      </c>
      <c r="D1994" s="2">
        <v>17</v>
      </c>
      <c r="E1994" s="2" t="s">
        <v>26</v>
      </c>
      <c r="F1994" s="2" t="s">
        <v>15</v>
      </c>
      <c r="G1994" s="7">
        <v>83.55</v>
      </c>
      <c r="H1994" s="7">
        <v>1329.15</v>
      </c>
      <c r="I1994" s="2" t="s">
        <v>15</v>
      </c>
      <c r="J1994" s="2" t="s">
        <v>16</v>
      </c>
      <c r="K1994" s="2" t="s">
        <v>17</v>
      </c>
      <c r="L1994" s="7">
        <v>1329.15</v>
      </c>
      <c r="M1994" s="2" t="str">
        <f>_xlfn.IFS(TelecomData[[#This Row],[TenureMonths]]&lt;=12, "0-1 Year", TelecomData[[#This Row],[TenureMonths]]&lt;=36, "1-3 Years", TelecomData[[#This Row],[TenureMonths]]&gt;36, "3+ Years")</f>
        <v>1-3 Years</v>
      </c>
      <c r="N1994" s="2" t="str">
        <f>IF(TelecomData[[#This Row],[CleanedTotalCharges]]&gt;=2500,"High Spend", "Standard Spend")</f>
        <v>Standard Spend</v>
      </c>
    </row>
    <row r="1995" spans="1:14" x14ac:dyDescent="0.3">
      <c r="A1995" s="1" t="s">
        <v>2019</v>
      </c>
      <c r="B1995" s="2" t="s">
        <v>12</v>
      </c>
      <c r="C1995" s="2" t="s">
        <v>13</v>
      </c>
      <c r="D1995" s="2">
        <v>1</v>
      </c>
      <c r="E1995" s="2" t="s">
        <v>14</v>
      </c>
      <c r="F1995" s="2" t="s">
        <v>15</v>
      </c>
      <c r="G1995" s="7">
        <v>45.7</v>
      </c>
      <c r="H1995" s="7">
        <v>45.7</v>
      </c>
      <c r="I1995" s="2" t="s">
        <v>16</v>
      </c>
      <c r="J1995" s="2" t="s">
        <v>16</v>
      </c>
      <c r="K1995" s="2" t="s">
        <v>17</v>
      </c>
      <c r="L1995" s="7">
        <v>45.7</v>
      </c>
      <c r="M1995" s="2" t="str">
        <f>_xlfn.IFS(TelecomData[[#This Row],[TenureMonths]]&lt;=12, "0-1 Year", TelecomData[[#This Row],[TenureMonths]]&lt;=36, "1-3 Years", TelecomData[[#This Row],[TenureMonths]]&gt;36, "3+ Years")</f>
        <v>0-1 Year</v>
      </c>
      <c r="N1995" s="2" t="str">
        <f>IF(TelecomData[[#This Row],[CleanedTotalCharges]]&gt;=2500,"High Spend", "Standard Spend")</f>
        <v>Standard Spend</v>
      </c>
    </row>
    <row r="1996" spans="1:14" x14ac:dyDescent="0.3">
      <c r="A1996" s="1" t="s">
        <v>2020</v>
      </c>
      <c r="B1996" s="2" t="s">
        <v>19</v>
      </c>
      <c r="C1996" s="2" t="s">
        <v>20</v>
      </c>
      <c r="D1996" s="2">
        <v>22</v>
      </c>
      <c r="E1996" s="2" t="s">
        <v>15</v>
      </c>
      <c r="F1996" s="2" t="s">
        <v>36</v>
      </c>
      <c r="G1996" s="7">
        <v>19.600000000000001</v>
      </c>
      <c r="H1996" s="7">
        <v>422.5</v>
      </c>
      <c r="I1996" s="2" t="s">
        <v>15</v>
      </c>
      <c r="J1996" s="2" t="s">
        <v>15</v>
      </c>
      <c r="K1996" s="2" t="s">
        <v>21</v>
      </c>
      <c r="L1996" s="7">
        <v>422.5</v>
      </c>
      <c r="M1996" s="2" t="str">
        <f>_xlfn.IFS(TelecomData[[#This Row],[TenureMonths]]&lt;=12, "0-1 Year", TelecomData[[#This Row],[TenureMonths]]&lt;=36, "1-3 Years", TelecomData[[#This Row],[TenureMonths]]&gt;36, "3+ Years")</f>
        <v>1-3 Years</v>
      </c>
      <c r="N1996" s="2" t="str">
        <f>IF(TelecomData[[#This Row],[CleanedTotalCharges]]&gt;=2500,"High Spend", "Standard Spend")</f>
        <v>Standard Spend</v>
      </c>
    </row>
    <row r="1997" spans="1:14" x14ac:dyDescent="0.3">
      <c r="A1997" s="1" t="s">
        <v>2021</v>
      </c>
      <c r="B1997" s="2" t="s">
        <v>12</v>
      </c>
      <c r="C1997" s="2" t="s">
        <v>13</v>
      </c>
      <c r="D1997" s="2">
        <v>1</v>
      </c>
      <c r="E1997" s="2" t="s">
        <v>26</v>
      </c>
      <c r="F1997" s="2" t="s">
        <v>15</v>
      </c>
      <c r="G1997" s="7">
        <v>69.95</v>
      </c>
      <c r="H1997" s="7">
        <v>69.95</v>
      </c>
      <c r="I1997" s="2" t="s">
        <v>16</v>
      </c>
      <c r="J1997" s="2" t="s">
        <v>16</v>
      </c>
      <c r="K1997" s="2" t="s">
        <v>17</v>
      </c>
      <c r="L1997" s="7">
        <v>69.95</v>
      </c>
      <c r="M1997" s="2" t="str">
        <f>_xlfn.IFS(TelecomData[[#This Row],[TenureMonths]]&lt;=12, "0-1 Year", TelecomData[[#This Row],[TenureMonths]]&lt;=36, "1-3 Years", TelecomData[[#This Row],[TenureMonths]]&gt;36, "3+ Years")</f>
        <v>0-1 Year</v>
      </c>
      <c r="N1997" s="2" t="str">
        <f>IF(TelecomData[[#This Row],[CleanedTotalCharges]]&gt;=2500,"High Spend", "Standard Spend")</f>
        <v>Standard Spend</v>
      </c>
    </row>
    <row r="1998" spans="1:14" x14ac:dyDescent="0.3">
      <c r="A1998" s="1" t="s">
        <v>2022</v>
      </c>
      <c r="B1998" s="2" t="s">
        <v>19</v>
      </c>
      <c r="C1998" s="2" t="s">
        <v>35</v>
      </c>
      <c r="D1998" s="2">
        <v>67</v>
      </c>
      <c r="E1998" s="2" t="s">
        <v>14</v>
      </c>
      <c r="F1998" s="2" t="s">
        <v>16</v>
      </c>
      <c r="G1998" s="7">
        <v>67.849999999999994</v>
      </c>
      <c r="H1998" s="7">
        <v>4627.6499999999996</v>
      </c>
      <c r="I1998" s="2" t="s">
        <v>15</v>
      </c>
      <c r="J1998" s="2" t="s">
        <v>15</v>
      </c>
      <c r="K1998" s="2" t="s">
        <v>21</v>
      </c>
      <c r="L1998" s="7">
        <v>4627.6499999999996</v>
      </c>
      <c r="M1998" s="2" t="str">
        <f>_xlfn.IFS(TelecomData[[#This Row],[TenureMonths]]&lt;=12, "0-1 Year", TelecomData[[#This Row],[TenureMonths]]&lt;=36, "1-3 Years", TelecomData[[#This Row],[TenureMonths]]&gt;36, "3+ Years")</f>
        <v>3+ Years</v>
      </c>
      <c r="N1998" s="2" t="str">
        <f>IF(TelecomData[[#This Row],[CleanedTotalCharges]]&gt;=2500,"High Spend", "Standard Spend")</f>
        <v>High Spend</v>
      </c>
    </row>
    <row r="1999" spans="1:14" x14ac:dyDescent="0.3">
      <c r="A1999" s="1" t="s">
        <v>2023</v>
      </c>
      <c r="B1999" s="2" t="s">
        <v>12</v>
      </c>
      <c r="C1999" s="2" t="s">
        <v>35</v>
      </c>
      <c r="D1999" s="2">
        <v>67</v>
      </c>
      <c r="E1999" s="2" t="s">
        <v>26</v>
      </c>
      <c r="F1999" s="2" t="s">
        <v>16</v>
      </c>
      <c r="G1999" s="7">
        <v>105.65</v>
      </c>
      <c r="H1999" s="7">
        <v>6717.9</v>
      </c>
      <c r="I1999" s="2" t="s">
        <v>15</v>
      </c>
      <c r="J1999" s="2" t="s">
        <v>16</v>
      </c>
      <c r="K1999" s="2" t="s">
        <v>24</v>
      </c>
      <c r="L1999" s="7">
        <v>6717.9</v>
      </c>
      <c r="M1999" s="2" t="str">
        <f>_xlfn.IFS(TelecomData[[#This Row],[TenureMonths]]&lt;=12, "0-1 Year", TelecomData[[#This Row],[TenureMonths]]&lt;=36, "1-3 Years", TelecomData[[#This Row],[TenureMonths]]&gt;36, "3+ Years")</f>
        <v>3+ Years</v>
      </c>
      <c r="N1999" s="2" t="str">
        <f>IF(TelecomData[[#This Row],[CleanedTotalCharges]]&gt;=2500,"High Spend", "Standard Spend")</f>
        <v>High Spend</v>
      </c>
    </row>
    <row r="2000" spans="1:14" x14ac:dyDescent="0.3">
      <c r="A2000" s="1" t="s">
        <v>2024</v>
      </c>
      <c r="B2000" s="2" t="s">
        <v>12</v>
      </c>
      <c r="C2000" s="2" t="s">
        <v>13</v>
      </c>
      <c r="D2000" s="2">
        <v>2</v>
      </c>
      <c r="E2000" s="2" t="s">
        <v>14</v>
      </c>
      <c r="F2000" s="2" t="s">
        <v>15</v>
      </c>
      <c r="G2000" s="7">
        <v>44.6</v>
      </c>
      <c r="H2000" s="7">
        <v>97.1</v>
      </c>
      <c r="I2000" s="2" t="s">
        <v>16</v>
      </c>
      <c r="J2000" s="2" t="s">
        <v>15</v>
      </c>
      <c r="K2000" s="2" t="s">
        <v>17</v>
      </c>
      <c r="L2000" s="7">
        <v>97.1</v>
      </c>
      <c r="M2000" s="2" t="str">
        <f>_xlfn.IFS(TelecomData[[#This Row],[TenureMonths]]&lt;=12, "0-1 Year", TelecomData[[#This Row],[TenureMonths]]&lt;=36, "1-3 Years", TelecomData[[#This Row],[TenureMonths]]&gt;36, "3+ Years")</f>
        <v>0-1 Year</v>
      </c>
      <c r="N2000" s="2" t="str">
        <f>IF(TelecomData[[#This Row],[CleanedTotalCharges]]&gt;=2500,"High Spend", "Standard Spend")</f>
        <v>Standard Spend</v>
      </c>
    </row>
    <row r="2001" spans="1:14" x14ac:dyDescent="0.3">
      <c r="A2001" s="1" t="s">
        <v>2025</v>
      </c>
      <c r="B2001" s="2" t="s">
        <v>19</v>
      </c>
      <c r="C2001" s="2" t="s">
        <v>13</v>
      </c>
      <c r="D2001" s="2">
        <v>23</v>
      </c>
      <c r="E2001" s="2" t="s">
        <v>26</v>
      </c>
      <c r="F2001" s="2" t="s">
        <v>15</v>
      </c>
      <c r="G2001" s="7">
        <v>74.95</v>
      </c>
      <c r="H2001" s="7">
        <v>1710.45</v>
      </c>
      <c r="I2001" s="2" t="s">
        <v>16</v>
      </c>
      <c r="J2001" s="2" t="s">
        <v>16</v>
      </c>
      <c r="K2001" s="2" t="s">
        <v>17</v>
      </c>
      <c r="L2001" s="7">
        <v>1710.45</v>
      </c>
      <c r="M2001" s="2" t="str">
        <f>_xlfn.IFS(TelecomData[[#This Row],[TenureMonths]]&lt;=12, "0-1 Year", TelecomData[[#This Row],[TenureMonths]]&lt;=36, "1-3 Years", TelecomData[[#This Row],[TenureMonths]]&gt;36, "3+ Years")</f>
        <v>1-3 Years</v>
      </c>
      <c r="N2001" s="2" t="str">
        <f>IF(TelecomData[[#This Row],[CleanedTotalCharges]]&gt;=2500,"High Spend", "Standard Spend")</f>
        <v>Standard Spend</v>
      </c>
    </row>
    <row r="2002" spans="1:14" x14ac:dyDescent="0.3">
      <c r="A2002" s="1" t="s">
        <v>2026</v>
      </c>
      <c r="B2002" s="2" t="s">
        <v>12</v>
      </c>
      <c r="C2002" s="2" t="s">
        <v>13</v>
      </c>
      <c r="D2002" s="2">
        <v>9</v>
      </c>
      <c r="E2002" s="2" t="s">
        <v>26</v>
      </c>
      <c r="F2002" s="2" t="s">
        <v>15</v>
      </c>
      <c r="G2002" s="7">
        <v>75.5</v>
      </c>
      <c r="H2002" s="7">
        <v>637.4</v>
      </c>
      <c r="I2002" s="2" t="s">
        <v>15</v>
      </c>
      <c r="J2002" s="2" t="s">
        <v>15</v>
      </c>
      <c r="K2002" s="2" t="s">
        <v>29</v>
      </c>
      <c r="L2002" s="7">
        <v>637.4</v>
      </c>
      <c r="M2002" s="2" t="str">
        <f>_xlfn.IFS(TelecomData[[#This Row],[TenureMonths]]&lt;=12, "0-1 Year", TelecomData[[#This Row],[TenureMonths]]&lt;=36, "1-3 Years", TelecomData[[#This Row],[TenureMonths]]&gt;36, "3+ Years")</f>
        <v>0-1 Year</v>
      </c>
      <c r="N2002" s="2" t="str">
        <f>IF(TelecomData[[#This Row],[CleanedTotalCharges]]&gt;=2500,"High Spend", "Standard Spend")</f>
        <v>Standard Spend</v>
      </c>
    </row>
    <row r="2003" spans="1:14" x14ac:dyDescent="0.3">
      <c r="A2003" s="1" t="s">
        <v>2027</v>
      </c>
      <c r="B2003" s="2" t="s">
        <v>12</v>
      </c>
      <c r="C2003" s="2" t="s">
        <v>13</v>
      </c>
      <c r="D2003" s="2">
        <v>5</v>
      </c>
      <c r="E2003" s="2" t="s">
        <v>15</v>
      </c>
      <c r="F2003" s="2" t="s">
        <v>36</v>
      </c>
      <c r="G2003" s="7">
        <v>20.149999999999999</v>
      </c>
      <c r="H2003" s="7">
        <v>117.95</v>
      </c>
      <c r="I2003" s="2" t="s">
        <v>15</v>
      </c>
      <c r="J2003" s="2" t="s">
        <v>15</v>
      </c>
      <c r="K2003" s="2" t="s">
        <v>21</v>
      </c>
      <c r="L2003" s="7">
        <v>117.95</v>
      </c>
      <c r="M2003" s="2" t="str">
        <f>_xlfn.IFS(TelecomData[[#This Row],[TenureMonths]]&lt;=12, "0-1 Year", TelecomData[[#This Row],[TenureMonths]]&lt;=36, "1-3 Years", TelecomData[[#This Row],[TenureMonths]]&gt;36, "3+ Years")</f>
        <v>0-1 Year</v>
      </c>
      <c r="N2003" s="2" t="str">
        <f>IF(TelecomData[[#This Row],[CleanedTotalCharges]]&gt;=2500,"High Spend", "Standard Spend")</f>
        <v>Standard Spend</v>
      </c>
    </row>
    <row r="2004" spans="1:14" x14ac:dyDescent="0.3">
      <c r="A2004" s="1" t="s">
        <v>2028</v>
      </c>
      <c r="B2004" s="2" t="s">
        <v>19</v>
      </c>
      <c r="C2004" s="2" t="s">
        <v>35</v>
      </c>
      <c r="D2004" s="2">
        <v>54</v>
      </c>
      <c r="E2004" s="2" t="s">
        <v>14</v>
      </c>
      <c r="F2004" s="2" t="s">
        <v>16</v>
      </c>
      <c r="G2004" s="7">
        <v>45.2</v>
      </c>
      <c r="H2004" s="7">
        <v>2460.5500000000002</v>
      </c>
      <c r="I2004" s="2" t="s">
        <v>15</v>
      </c>
      <c r="J2004" s="2" t="s">
        <v>15</v>
      </c>
      <c r="K2004" s="2" t="s">
        <v>29</v>
      </c>
      <c r="L2004" s="7">
        <v>2460.5500000000002</v>
      </c>
      <c r="M2004" s="2" t="str">
        <f>_xlfn.IFS(TelecomData[[#This Row],[TenureMonths]]&lt;=12, "0-1 Year", TelecomData[[#This Row],[TenureMonths]]&lt;=36, "1-3 Years", TelecomData[[#This Row],[TenureMonths]]&gt;36, "3+ Years")</f>
        <v>3+ Years</v>
      </c>
      <c r="N2004" s="2" t="str">
        <f>IF(TelecomData[[#This Row],[CleanedTotalCharges]]&gt;=2500,"High Spend", "Standard Spend")</f>
        <v>Standard Spend</v>
      </c>
    </row>
    <row r="2005" spans="1:14" x14ac:dyDescent="0.3">
      <c r="A2005" s="1" t="s">
        <v>2029</v>
      </c>
      <c r="B2005" s="2" t="s">
        <v>12</v>
      </c>
      <c r="C2005" s="2" t="s">
        <v>35</v>
      </c>
      <c r="D2005" s="2">
        <v>57</v>
      </c>
      <c r="E2005" s="2" t="s">
        <v>26</v>
      </c>
      <c r="F2005" s="2" t="s">
        <v>15</v>
      </c>
      <c r="G2005" s="7">
        <v>95.25</v>
      </c>
      <c r="H2005" s="7">
        <v>5464.65</v>
      </c>
      <c r="I2005" s="2" t="s">
        <v>16</v>
      </c>
      <c r="J2005" s="2" t="s">
        <v>16</v>
      </c>
      <c r="K2005" s="2" t="s">
        <v>17</v>
      </c>
      <c r="L2005" s="7">
        <v>5464.65</v>
      </c>
      <c r="M2005" s="2" t="str">
        <f>_xlfn.IFS(TelecomData[[#This Row],[TenureMonths]]&lt;=12, "0-1 Year", TelecomData[[#This Row],[TenureMonths]]&lt;=36, "1-3 Years", TelecomData[[#This Row],[TenureMonths]]&gt;36, "3+ Years")</f>
        <v>3+ Years</v>
      </c>
      <c r="N2005" s="2" t="str">
        <f>IF(TelecomData[[#This Row],[CleanedTotalCharges]]&gt;=2500,"High Spend", "Standard Spend")</f>
        <v>High Spend</v>
      </c>
    </row>
    <row r="2006" spans="1:14" x14ac:dyDescent="0.3">
      <c r="A2006" s="1" t="s">
        <v>2030</v>
      </c>
      <c r="B2006" s="2" t="s">
        <v>19</v>
      </c>
      <c r="C2006" s="2" t="s">
        <v>13</v>
      </c>
      <c r="D2006" s="2">
        <v>24</v>
      </c>
      <c r="E2006" s="2" t="s">
        <v>26</v>
      </c>
      <c r="F2006" s="2" t="s">
        <v>15</v>
      </c>
      <c r="G2006" s="7">
        <v>89.85</v>
      </c>
      <c r="H2006" s="7">
        <v>2165.0500000000002</v>
      </c>
      <c r="I2006" s="2" t="s">
        <v>16</v>
      </c>
      <c r="J2006" s="2" t="s">
        <v>16</v>
      </c>
      <c r="K2006" s="2" t="s">
        <v>21</v>
      </c>
      <c r="L2006" s="7">
        <v>2165.0500000000002</v>
      </c>
      <c r="M2006" s="2" t="str">
        <f>_xlfn.IFS(TelecomData[[#This Row],[TenureMonths]]&lt;=12, "0-1 Year", TelecomData[[#This Row],[TenureMonths]]&lt;=36, "1-3 Years", TelecomData[[#This Row],[TenureMonths]]&gt;36, "3+ Years")</f>
        <v>1-3 Years</v>
      </c>
      <c r="N2006" s="2" t="str">
        <f>IF(TelecomData[[#This Row],[CleanedTotalCharges]]&gt;=2500,"High Spend", "Standard Spend")</f>
        <v>Standard Spend</v>
      </c>
    </row>
    <row r="2007" spans="1:14" x14ac:dyDescent="0.3">
      <c r="A2007" s="1" t="s">
        <v>2031</v>
      </c>
      <c r="B2007" s="2" t="s">
        <v>12</v>
      </c>
      <c r="C2007" s="2" t="s">
        <v>20</v>
      </c>
      <c r="D2007" s="2">
        <v>49</v>
      </c>
      <c r="E2007" s="2" t="s">
        <v>26</v>
      </c>
      <c r="F2007" s="2" t="s">
        <v>15</v>
      </c>
      <c r="G2007" s="7">
        <v>100.45</v>
      </c>
      <c r="H2007" s="7">
        <v>4941.8</v>
      </c>
      <c r="I2007" s="2" t="s">
        <v>16</v>
      </c>
      <c r="J2007" s="2" t="s">
        <v>15</v>
      </c>
      <c r="K2007" s="2" t="s">
        <v>21</v>
      </c>
      <c r="L2007" s="7">
        <v>4941.8</v>
      </c>
      <c r="M2007" s="2" t="str">
        <f>_xlfn.IFS(TelecomData[[#This Row],[TenureMonths]]&lt;=12, "0-1 Year", TelecomData[[#This Row],[TenureMonths]]&lt;=36, "1-3 Years", TelecomData[[#This Row],[TenureMonths]]&gt;36, "3+ Years")</f>
        <v>3+ Years</v>
      </c>
      <c r="N2007" s="2" t="str">
        <f>IF(TelecomData[[#This Row],[CleanedTotalCharges]]&gt;=2500,"High Spend", "Standard Spend")</f>
        <v>High Spend</v>
      </c>
    </row>
    <row r="2008" spans="1:14" x14ac:dyDescent="0.3">
      <c r="A2008" s="1" t="s">
        <v>2032</v>
      </c>
      <c r="B2008" s="2" t="s">
        <v>19</v>
      </c>
      <c r="C2008" s="2" t="s">
        <v>13</v>
      </c>
      <c r="D2008" s="2">
        <v>5</v>
      </c>
      <c r="E2008" s="2" t="s">
        <v>14</v>
      </c>
      <c r="F2008" s="2" t="s">
        <v>15</v>
      </c>
      <c r="G2008" s="7">
        <v>47.15</v>
      </c>
      <c r="H2008" s="7">
        <v>223.15</v>
      </c>
      <c r="I2008" s="2" t="s">
        <v>16</v>
      </c>
      <c r="J2008" s="2" t="s">
        <v>15</v>
      </c>
      <c r="K2008" s="2" t="s">
        <v>17</v>
      </c>
      <c r="L2008" s="7">
        <v>223.15</v>
      </c>
      <c r="M2008" s="2" t="str">
        <f>_xlfn.IFS(TelecomData[[#This Row],[TenureMonths]]&lt;=12, "0-1 Year", TelecomData[[#This Row],[TenureMonths]]&lt;=36, "1-3 Years", TelecomData[[#This Row],[TenureMonths]]&gt;36, "3+ Years")</f>
        <v>0-1 Year</v>
      </c>
      <c r="N2008" s="2" t="str">
        <f>IF(TelecomData[[#This Row],[CleanedTotalCharges]]&gt;=2500,"High Spend", "Standard Spend")</f>
        <v>Standard Spend</v>
      </c>
    </row>
    <row r="2009" spans="1:14" x14ac:dyDescent="0.3">
      <c r="A2009" s="1" t="s">
        <v>2033</v>
      </c>
      <c r="B2009" s="2" t="s">
        <v>19</v>
      </c>
      <c r="C2009" s="2" t="s">
        <v>13</v>
      </c>
      <c r="D2009" s="2">
        <v>2</v>
      </c>
      <c r="E2009" s="2" t="s">
        <v>26</v>
      </c>
      <c r="F2009" s="2" t="s">
        <v>15</v>
      </c>
      <c r="G2009" s="7">
        <v>80.2</v>
      </c>
      <c r="H2009" s="7">
        <v>181.1</v>
      </c>
      <c r="I2009" s="2" t="s">
        <v>16</v>
      </c>
      <c r="J2009" s="2" t="s">
        <v>16</v>
      </c>
      <c r="K2009" s="2" t="s">
        <v>17</v>
      </c>
      <c r="L2009" s="7">
        <v>181.1</v>
      </c>
      <c r="M2009" s="2" t="str">
        <f>_xlfn.IFS(TelecomData[[#This Row],[TenureMonths]]&lt;=12, "0-1 Year", TelecomData[[#This Row],[TenureMonths]]&lt;=36, "1-3 Years", TelecomData[[#This Row],[TenureMonths]]&gt;36, "3+ Years")</f>
        <v>0-1 Year</v>
      </c>
      <c r="N2009" s="2" t="str">
        <f>IF(TelecomData[[#This Row],[CleanedTotalCharges]]&gt;=2500,"High Spend", "Standard Spend")</f>
        <v>Standard Spend</v>
      </c>
    </row>
    <row r="2010" spans="1:14" x14ac:dyDescent="0.3">
      <c r="A2010" s="1" t="s">
        <v>2034</v>
      </c>
      <c r="B2010" s="2" t="s">
        <v>12</v>
      </c>
      <c r="C2010" s="2" t="s">
        <v>13</v>
      </c>
      <c r="D2010" s="2">
        <v>4</v>
      </c>
      <c r="E2010" s="2" t="s">
        <v>26</v>
      </c>
      <c r="F2010" s="2" t="s">
        <v>16</v>
      </c>
      <c r="G2010" s="7">
        <v>87.1</v>
      </c>
      <c r="H2010" s="7">
        <v>341.45</v>
      </c>
      <c r="I2010" s="2" t="s">
        <v>16</v>
      </c>
      <c r="J2010" s="2" t="s">
        <v>16</v>
      </c>
      <c r="K2010" s="2" t="s">
        <v>21</v>
      </c>
      <c r="L2010" s="7">
        <v>341.45</v>
      </c>
      <c r="M2010" s="2" t="str">
        <f>_xlfn.IFS(TelecomData[[#This Row],[TenureMonths]]&lt;=12, "0-1 Year", TelecomData[[#This Row],[TenureMonths]]&lt;=36, "1-3 Years", TelecomData[[#This Row],[TenureMonths]]&gt;36, "3+ Years")</f>
        <v>0-1 Year</v>
      </c>
      <c r="N2010" s="2" t="str">
        <f>IF(TelecomData[[#This Row],[CleanedTotalCharges]]&gt;=2500,"High Spend", "Standard Spend")</f>
        <v>Standard Spend</v>
      </c>
    </row>
    <row r="2011" spans="1:14" x14ac:dyDescent="0.3">
      <c r="A2011" s="1" t="s">
        <v>2035</v>
      </c>
      <c r="B2011" s="2" t="s">
        <v>19</v>
      </c>
      <c r="C2011" s="2" t="s">
        <v>35</v>
      </c>
      <c r="D2011" s="2">
        <v>70</v>
      </c>
      <c r="E2011" s="2" t="s">
        <v>14</v>
      </c>
      <c r="F2011" s="2" t="s">
        <v>16</v>
      </c>
      <c r="G2011" s="7">
        <v>79.25</v>
      </c>
      <c r="H2011" s="7">
        <v>5731.85</v>
      </c>
      <c r="I2011" s="2" t="s">
        <v>15</v>
      </c>
      <c r="J2011" s="2" t="s">
        <v>16</v>
      </c>
      <c r="K2011" s="2" t="s">
        <v>24</v>
      </c>
      <c r="L2011" s="7">
        <v>5731.85</v>
      </c>
      <c r="M2011" s="2" t="str">
        <f>_xlfn.IFS(TelecomData[[#This Row],[TenureMonths]]&lt;=12, "0-1 Year", TelecomData[[#This Row],[TenureMonths]]&lt;=36, "1-3 Years", TelecomData[[#This Row],[TenureMonths]]&gt;36, "3+ Years")</f>
        <v>3+ Years</v>
      </c>
      <c r="N2011" s="2" t="str">
        <f>IF(TelecomData[[#This Row],[CleanedTotalCharges]]&gt;=2500,"High Spend", "Standard Spend")</f>
        <v>High Spend</v>
      </c>
    </row>
    <row r="2012" spans="1:14" x14ac:dyDescent="0.3">
      <c r="A2012" s="1" t="s">
        <v>2036</v>
      </c>
      <c r="B2012" s="2" t="s">
        <v>19</v>
      </c>
      <c r="C2012" s="2" t="s">
        <v>13</v>
      </c>
      <c r="D2012" s="2">
        <v>5</v>
      </c>
      <c r="E2012" s="2" t="s">
        <v>26</v>
      </c>
      <c r="F2012" s="2" t="s">
        <v>15</v>
      </c>
      <c r="G2012" s="7">
        <v>75.900000000000006</v>
      </c>
      <c r="H2012" s="7">
        <v>357.75</v>
      </c>
      <c r="I2012" s="2" t="s">
        <v>16</v>
      </c>
      <c r="J2012" s="2" t="s">
        <v>16</v>
      </c>
      <c r="K2012" s="2" t="s">
        <v>24</v>
      </c>
      <c r="L2012" s="7">
        <v>357.75</v>
      </c>
      <c r="M2012" s="2" t="str">
        <f>_xlfn.IFS(TelecomData[[#This Row],[TenureMonths]]&lt;=12, "0-1 Year", TelecomData[[#This Row],[TenureMonths]]&lt;=36, "1-3 Years", TelecomData[[#This Row],[TenureMonths]]&gt;36, "3+ Years")</f>
        <v>0-1 Year</v>
      </c>
      <c r="N2012" s="2" t="str">
        <f>IF(TelecomData[[#This Row],[CleanedTotalCharges]]&gt;=2500,"High Spend", "Standard Spend")</f>
        <v>Standard Spend</v>
      </c>
    </row>
    <row r="2013" spans="1:14" x14ac:dyDescent="0.3">
      <c r="A2013" s="1" t="s">
        <v>2037</v>
      </c>
      <c r="B2013" s="2" t="s">
        <v>19</v>
      </c>
      <c r="C2013" s="2" t="s">
        <v>13</v>
      </c>
      <c r="D2013" s="2">
        <v>53</v>
      </c>
      <c r="E2013" s="2" t="s">
        <v>14</v>
      </c>
      <c r="F2013" s="2" t="s">
        <v>16</v>
      </c>
      <c r="G2013" s="7">
        <v>85.7</v>
      </c>
      <c r="H2013" s="7">
        <v>4616.1000000000004</v>
      </c>
      <c r="I2013" s="2" t="s">
        <v>15</v>
      </c>
      <c r="J2013" s="2" t="s">
        <v>15</v>
      </c>
      <c r="K2013" s="2" t="s">
        <v>17</v>
      </c>
      <c r="L2013" s="7">
        <v>4616.1000000000004</v>
      </c>
      <c r="M2013" s="2" t="str">
        <f>_xlfn.IFS(TelecomData[[#This Row],[TenureMonths]]&lt;=12, "0-1 Year", TelecomData[[#This Row],[TenureMonths]]&lt;=36, "1-3 Years", TelecomData[[#This Row],[TenureMonths]]&gt;36, "3+ Years")</f>
        <v>3+ Years</v>
      </c>
      <c r="N2013" s="2" t="str">
        <f>IF(TelecomData[[#This Row],[CleanedTotalCharges]]&gt;=2500,"High Spend", "Standard Spend")</f>
        <v>High Spend</v>
      </c>
    </row>
    <row r="2014" spans="1:14" x14ac:dyDescent="0.3">
      <c r="A2014" s="1" t="s">
        <v>2038</v>
      </c>
      <c r="B2014" s="2" t="s">
        <v>12</v>
      </c>
      <c r="C2014" s="2" t="s">
        <v>13</v>
      </c>
      <c r="D2014" s="2">
        <v>47</v>
      </c>
      <c r="E2014" s="2" t="s">
        <v>26</v>
      </c>
      <c r="F2014" s="2" t="s">
        <v>15</v>
      </c>
      <c r="G2014" s="7">
        <v>98.75</v>
      </c>
      <c r="H2014" s="7">
        <v>4533.7</v>
      </c>
      <c r="I2014" s="2" t="s">
        <v>16</v>
      </c>
      <c r="J2014" s="2" t="s">
        <v>16</v>
      </c>
      <c r="K2014" s="2" t="s">
        <v>17</v>
      </c>
      <c r="L2014" s="7">
        <v>4533.7</v>
      </c>
      <c r="M2014" s="2" t="str">
        <f>_xlfn.IFS(TelecomData[[#This Row],[TenureMonths]]&lt;=12, "0-1 Year", TelecomData[[#This Row],[TenureMonths]]&lt;=36, "1-3 Years", TelecomData[[#This Row],[TenureMonths]]&gt;36, "3+ Years")</f>
        <v>3+ Years</v>
      </c>
      <c r="N2014" s="2" t="str">
        <f>IF(TelecomData[[#This Row],[CleanedTotalCharges]]&gt;=2500,"High Spend", "Standard Spend")</f>
        <v>High Spend</v>
      </c>
    </row>
    <row r="2015" spans="1:14" x14ac:dyDescent="0.3">
      <c r="A2015" s="1" t="s">
        <v>2039</v>
      </c>
      <c r="B2015" s="2" t="s">
        <v>12</v>
      </c>
      <c r="C2015" s="2" t="s">
        <v>20</v>
      </c>
      <c r="D2015" s="2">
        <v>31</v>
      </c>
      <c r="E2015" s="2" t="s">
        <v>15</v>
      </c>
      <c r="F2015" s="2" t="s">
        <v>36</v>
      </c>
      <c r="G2015" s="7">
        <v>20.100000000000001</v>
      </c>
      <c r="H2015" s="7">
        <v>589.25</v>
      </c>
      <c r="I2015" s="2" t="s">
        <v>15</v>
      </c>
      <c r="J2015" s="2" t="s">
        <v>15</v>
      </c>
      <c r="K2015" s="2" t="s">
        <v>29</v>
      </c>
      <c r="L2015" s="7">
        <v>589.25</v>
      </c>
      <c r="M2015" s="2" t="str">
        <f>_xlfn.IFS(TelecomData[[#This Row],[TenureMonths]]&lt;=12, "0-1 Year", TelecomData[[#This Row],[TenureMonths]]&lt;=36, "1-3 Years", TelecomData[[#This Row],[TenureMonths]]&gt;36, "3+ Years")</f>
        <v>1-3 Years</v>
      </c>
      <c r="N2015" s="2" t="str">
        <f>IF(TelecomData[[#This Row],[CleanedTotalCharges]]&gt;=2500,"High Spend", "Standard Spend")</f>
        <v>Standard Spend</v>
      </c>
    </row>
    <row r="2016" spans="1:14" x14ac:dyDescent="0.3">
      <c r="A2016" s="1" t="s">
        <v>2040</v>
      </c>
      <c r="B2016" s="2" t="s">
        <v>19</v>
      </c>
      <c r="C2016" s="2" t="s">
        <v>13</v>
      </c>
      <c r="D2016" s="2">
        <v>13</v>
      </c>
      <c r="E2016" s="2" t="s">
        <v>14</v>
      </c>
      <c r="F2016" s="2" t="s">
        <v>16</v>
      </c>
      <c r="G2016" s="7">
        <v>61.8</v>
      </c>
      <c r="H2016" s="7">
        <v>750.1</v>
      </c>
      <c r="I2016" s="2" t="s">
        <v>15</v>
      </c>
      <c r="J2016" s="2" t="s">
        <v>15</v>
      </c>
      <c r="K2016" s="2" t="s">
        <v>24</v>
      </c>
      <c r="L2016" s="7">
        <v>750.1</v>
      </c>
      <c r="M2016" s="2" t="str">
        <f>_xlfn.IFS(TelecomData[[#This Row],[TenureMonths]]&lt;=12, "0-1 Year", TelecomData[[#This Row],[TenureMonths]]&lt;=36, "1-3 Years", TelecomData[[#This Row],[TenureMonths]]&gt;36, "3+ Years")</f>
        <v>1-3 Years</v>
      </c>
      <c r="N2016" s="2" t="str">
        <f>IF(TelecomData[[#This Row],[CleanedTotalCharges]]&gt;=2500,"High Spend", "Standard Spend")</f>
        <v>Standard Spend</v>
      </c>
    </row>
    <row r="2017" spans="1:14" x14ac:dyDescent="0.3">
      <c r="A2017" s="1" t="s">
        <v>2041</v>
      </c>
      <c r="B2017" s="2" t="s">
        <v>12</v>
      </c>
      <c r="C2017" s="2" t="s">
        <v>13</v>
      </c>
      <c r="D2017" s="2">
        <v>28</v>
      </c>
      <c r="E2017" s="2" t="s">
        <v>14</v>
      </c>
      <c r="F2017" s="2" t="s">
        <v>15</v>
      </c>
      <c r="G2017" s="7">
        <v>49.9</v>
      </c>
      <c r="H2017" s="7">
        <v>1410.25</v>
      </c>
      <c r="I2017" s="2" t="s">
        <v>15</v>
      </c>
      <c r="J2017" s="2" t="s">
        <v>15</v>
      </c>
      <c r="K2017" s="2" t="s">
        <v>21</v>
      </c>
      <c r="L2017" s="7">
        <v>1410.25</v>
      </c>
      <c r="M2017" s="2" t="str">
        <f>_xlfn.IFS(TelecomData[[#This Row],[TenureMonths]]&lt;=12, "0-1 Year", TelecomData[[#This Row],[TenureMonths]]&lt;=36, "1-3 Years", TelecomData[[#This Row],[TenureMonths]]&gt;36, "3+ Years")</f>
        <v>1-3 Years</v>
      </c>
      <c r="N2017" s="2" t="str">
        <f>IF(TelecomData[[#This Row],[CleanedTotalCharges]]&gt;=2500,"High Spend", "Standard Spend")</f>
        <v>Standard Spend</v>
      </c>
    </row>
    <row r="2018" spans="1:14" x14ac:dyDescent="0.3">
      <c r="A2018" s="1" t="s">
        <v>2042</v>
      </c>
      <c r="B2018" s="2" t="s">
        <v>12</v>
      </c>
      <c r="C2018" s="2" t="s">
        <v>13</v>
      </c>
      <c r="D2018" s="2">
        <v>10</v>
      </c>
      <c r="E2018" s="2" t="s">
        <v>26</v>
      </c>
      <c r="F2018" s="2" t="s">
        <v>15</v>
      </c>
      <c r="G2018" s="7">
        <v>86.45</v>
      </c>
      <c r="H2018" s="7">
        <v>830.85</v>
      </c>
      <c r="I2018" s="2" t="s">
        <v>16</v>
      </c>
      <c r="J2018" s="2" t="s">
        <v>15</v>
      </c>
      <c r="K2018" s="2" t="s">
        <v>17</v>
      </c>
      <c r="L2018" s="7">
        <v>830.85</v>
      </c>
      <c r="M2018" s="2" t="str">
        <f>_xlfn.IFS(TelecomData[[#This Row],[TenureMonths]]&lt;=12, "0-1 Year", TelecomData[[#This Row],[TenureMonths]]&lt;=36, "1-3 Years", TelecomData[[#This Row],[TenureMonths]]&gt;36, "3+ Years")</f>
        <v>0-1 Year</v>
      </c>
      <c r="N2018" s="2" t="str">
        <f>IF(TelecomData[[#This Row],[CleanedTotalCharges]]&gt;=2500,"High Spend", "Standard Spend")</f>
        <v>Standard Spend</v>
      </c>
    </row>
    <row r="2019" spans="1:14" x14ac:dyDescent="0.3">
      <c r="A2019" s="1" t="s">
        <v>2043</v>
      </c>
      <c r="B2019" s="2" t="s">
        <v>19</v>
      </c>
      <c r="C2019" s="2" t="s">
        <v>35</v>
      </c>
      <c r="D2019" s="2">
        <v>38</v>
      </c>
      <c r="E2019" s="2" t="s">
        <v>15</v>
      </c>
      <c r="F2019" s="2" t="s">
        <v>36</v>
      </c>
      <c r="G2019" s="7">
        <v>20.399999999999999</v>
      </c>
      <c r="H2019" s="7">
        <v>743.5</v>
      </c>
      <c r="I2019" s="2" t="s">
        <v>15</v>
      </c>
      <c r="J2019" s="2" t="s">
        <v>15</v>
      </c>
      <c r="K2019" s="2" t="s">
        <v>24</v>
      </c>
      <c r="L2019" s="7">
        <v>743.5</v>
      </c>
      <c r="M2019" s="2" t="str">
        <f>_xlfn.IFS(TelecomData[[#This Row],[TenureMonths]]&lt;=12, "0-1 Year", TelecomData[[#This Row],[TenureMonths]]&lt;=36, "1-3 Years", TelecomData[[#This Row],[TenureMonths]]&gt;36, "3+ Years")</f>
        <v>3+ Years</v>
      </c>
      <c r="N2019" s="2" t="str">
        <f>IF(TelecomData[[#This Row],[CleanedTotalCharges]]&gt;=2500,"High Spend", "Standard Spend")</f>
        <v>Standard Spend</v>
      </c>
    </row>
    <row r="2020" spans="1:14" x14ac:dyDescent="0.3">
      <c r="A2020" s="1" t="s">
        <v>2044</v>
      </c>
      <c r="B2020" s="2" t="s">
        <v>12</v>
      </c>
      <c r="C2020" s="2" t="s">
        <v>13</v>
      </c>
      <c r="D2020" s="2">
        <v>1</v>
      </c>
      <c r="E2020" s="2" t="s">
        <v>14</v>
      </c>
      <c r="F2020" s="2" t="s">
        <v>15</v>
      </c>
      <c r="G2020" s="7">
        <v>45.3</v>
      </c>
      <c r="H2020" s="7">
        <v>45.3</v>
      </c>
      <c r="I2020" s="2" t="s">
        <v>16</v>
      </c>
      <c r="J2020" s="2" t="s">
        <v>16</v>
      </c>
      <c r="K2020" s="2" t="s">
        <v>21</v>
      </c>
      <c r="L2020" s="7">
        <v>45.3</v>
      </c>
      <c r="M2020" s="2" t="str">
        <f>_xlfn.IFS(TelecomData[[#This Row],[TenureMonths]]&lt;=12, "0-1 Year", TelecomData[[#This Row],[TenureMonths]]&lt;=36, "1-3 Years", TelecomData[[#This Row],[TenureMonths]]&gt;36, "3+ Years")</f>
        <v>0-1 Year</v>
      </c>
      <c r="N2020" s="2" t="str">
        <f>IF(TelecomData[[#This Row],[CleanedTotalCharges]]&gt;=2500,"High Spend", "Standard Spend")</f>
        <v>Standard Spend</v>
      </c>
    </row>
    <row r="2021" spans="1:14" x14ac:dyDescent="0.3">
      <c r="A2021" s="1" t="s">
        <v>2045</v>
      </c>
      <c r="B2021" s="2" t="s">
        <v>19</v>
      </c>
      <c r="C2021" s="2" t="s">
        <v>20</v>
      </c>
      <c r="D2021" s="2">
        <v>67</v>
      </c>
      <c r="E2021" s="2" t="s">
        <v>26</v>
      </c>
      <c r="F2021" s="2" t="s">
        <v>15</v>
      </c>
      <c r="G2021" s="7">
        <v>104.1</v>
      </c>
      <c r="H2021" s="7">
        <v>7040.85</v>
      </c>
      <c r="I2021" s="2" t="s">
        <v>16</v>
      </c>
      <c r="J2021" s="2" t="s">
        <v>15</v>
      </c>
      <c r="K2021" s="2" t="s">
        <v>17</v>
      </c>
      <c r="L2021" s="7">
        <v>7040.85</v>
      </c>
      <c r="M2021" s="2" t="str">
        <f>_xlfn.IFS(TelecomData[[#This Row],[TenureMonths]]&lt;=12, "0-1 Year", TelecomData[[#This Row],[TenureMonths]]&lt;=36, "1-3 Years", TelecomData[[#This Row],[TenureMonths]]&gt;36, "3+ Years")</f>
        <v>3+ Years</v>
      </c>
      <c r="N2021" s="2" t="str">
        <f>IF(TelecomData[[#This Row],[CleanedTotalCharges]]&gt;=2500,"High Spend", "Standard Spend")</f>
        <v>High Spend</v>
      </c>
    </row>
    <row r="2022" spans="1:14" x14ac:dyDescent="0.3">
      <c r="A2022" s="1" t="s">
        <v>2046</v>
      </c>
      <c r="B2022" s="2" t="s">
        <v>19</v>
      </c>
      <c r="C2022" s="2" t="s">
        <v>20</v>
      </c>
      <c r="D2022" s="2">
        <v>52</v>
      </c>
      <c r="E2022" s="2" t="s">
        <v>14</v>
      </c>
      <c r="F2022" s="2" t="s">
        <v>15</v>
      </c>
      <c r="G2022" s="7">
        <v>75.400000000000006</v>
      </c>
      <c r="H2022" s="7">
        <v>3865.45</v>
      </c>
      <c r="I2022" s="2" t="s">
        <v>15</v>
      </c>
      <c r="J2022" s="2" t="s">
        <v>16</v>
      </c>
      <c r="K2022" s="2" t="s">
        <v>21</v>
      </c>
      <c r="L2022" s="7">
        <v>3865.45</v>
      </c>
      <c r="M2022" s="2" t="str">
        <f>_xlfn.IFS(TelecomData[[#This Row],[TenureMonths]]&lt;=12, "0-1 Year", TelecomData[[#This Row],[TenureMonths]]&lt;=36, "1-3 Years", TelecomData[[#This Row],[TenureMonths]]&gt;36, "3+ Years")</f>
        <v>3+ Years</v>
      </c>
      <c r="N2022" s="2" t="str">
        <f>IF(TelecomData[[#This Row],[CleanedTotalCharges]]&gt;=2500,"High Spend", "Standard Spend")</f>
        <v>High Spend</v>
      </c>
    </row>
    <row r="2023" spans="1:14" x14ac:dyDescent="0.3">
      <c r="A2023" s="1" t="s">
        <v>2047</v>
      </c>
      <c r="B2023" s="2" t="s">
        <v>19</v>
      </c>
      <c r="C2023" s="2" t="s">
        <v>35</v>
      </c>
      <c r="D2023" s="2">
        <v>62</v>
      </c>
      <c r="E2023" s="2" t="s">
        <v>26</v>
      </c>
      <c r="F2023" s="2" t="s">
        <v>16</v>
      </c>
      <c r="G2023" s="7">
        <v>108.15</v>
      </c>
      <c r="H2023" s="7">
        <v>6825.65</v>
      </c>
      <c r="I2023" s="2" t="s">
        <v>15</v>
      </c>
      <c r="J2023" s="2" t="s">
        <v>15</v>
      </c>
      <c r="K2023" s="2" t="s">
        <v>21</v>
      </c>
      <c r="L2023" s="7">
        <v>6825.65</v>
      </c>
      <c r="M2023" s="2" t="str">
        <f>_xlfn.IFS(TelecomData[[#This Row],[TenureMonths]]&lt;=12, "0-1 Year", TelecomData[[#This Row],[TenureMonths]]&lt;=36, "1-3 Years", TelecomData[[#This Row],[TenureMonths]]&gt;36, "3+ Years")</f>
        <v>3+ Years</v>
      </c>
      <c r="N2023" s="2" t="str">
        <f>IF(TelecomData[[#This Row],[CleanedTotalCharges]]&gt;=2500,"High Spend", "Standard Spend")</f>
        <v>High Spend</v>
      </c>
    </row>
    <row r="2024" spans="1:14" x14ac:dyDescent="0.3">
      <c r="A2024" s="1" t="s">
        <v>2048</v>
      </c>
      <c r="B2024" s="2" t="s">
        <v>12</v>
      </c>
      <c r="C2024" s="2" t="s">
        <v>13</v>
      </c>
      <c r="D2024" s="2">
        <v>16</v>
      </c>
      <c r="E2024" s="2" t="s">
        <v>26</v>
      </c>
      <c r="F2024" s="2" t="s">
        <v>15</v>
      </c>
      <c r="G2024" s="7">
        <v>86.25</v>
      </c>
      <c r="H2024" s="7">
        <v>1340.1</v>
      </c>
      <c r="I2024" s="2" t="s">
        <v>15</v>
      </c>
      <c r="J2024" s="2" t="s">
        <v>16</v>
      </c>
      <c r="K2024" s="2" t="s">
        <v>17</v>
      </c>
      <c r="L2024" s="7">
        <v>1340.1</v>
      </c>
      <c r="M2024" s="2" t="str">
        <f>_xlfn.IFS(TelecomData[[#This Row],[TenureMonths]]&lt;=12, "0-1 Year", TelecomData[[#This Row],[TenureMonths]]&lt;=36, "1-3 Years", TelecomData[[#This Row],[TenureMonths]]&gt;36, "3+ Years")</f>
        <v>1-3 Years</v>
      </c>
      <c r="N2024" s="2" t="str">
        <f>IF(TelecomData[[#This Row],[CleanedTotalCharges]]&gt;=2500,"High Spend", "Standard Spend")</f>
        <v>Standard Spend</v>
      </c>
    </row>
    <row r="2025" spans="1:14" x14ac:dyDescent="0.3">
      <c r="A2025" s="1" t="s">
        <v>2049</v>
      </c>
      <c r="B2025" s="2" t="s">
        <v>12</v>
      </c>
      <c r="C2025" s="2" t="s">
        <v>13</v>
      </c>
      <c r="D2025" s="2">
        <v>5</v>
      </c>
      <c r="E2025" s="2" t="s">
        <v>26</v>
      </c>
      <c r="F2025" s="2" t="s">
        <v>15</v>
      </c>
      <c r="G2025" s="7">
        <v>81</v>
      </c>
      <c r="H2025" s="7">
        <v>371.65</v>
      </c>
      <c r="I2025" s="2" t="s">
        <v>16</v>
      </c>
      <c r="J2025" s="2" t="s">
        <v>16</v>
      </c>
      <c r="K2025" s="2" t="s">
        <v>17</v>
      </c>
      <c r="L2025" s="7">
        <v>371.65</v>
      </c>
      <c r="M2025" s="2" t="str">
        <f>_xlfn.IFS(TelecomData[[#This Row],[TenureMonths]]&lt;=12, "0-1 Year", TelecomData[[#This Row],[TenureMonths]]&lt;=36, "1-3 Years", TelecomData[[#This Row],[TenureMonths]]&gt;36, "3+ Years")</f>
        <v>0-1 Year</v>
      </c>
      <c r="N2025" s="2" t="str">
        <f>IF(TelecomData[[#This Row],[CleanedTotalCharges]]&gt;=2500,"High Spend", "Standard Spend")</f>
        <v>Standard Spend</v>
      </c>
    </row>
    <row r="2026" spans="1:14" x14ac:dyDescent="0.3">
      <c r="A2026" s="1" t="s">
        <v>2050</v>
      </c>
      <c r="B2026" s="2" t="s">
        <v>19</v>
      </c>
      <c r="C2026" s="2" t="s">
        <v>20</v>
      </c>
      <c r="D2026" s="2">
        <v>12</v>
      </c>
      <c r="E2026" s="2" t="s">
        <v>26</v>
      </c>
      <c r="F2026" s="2" t="s">
        <v>15</v>
      </c>
      <c r="G2026" s="7">
        <v>95.7</v>
      </c>
      <c r="H2026" s="7">
        <v>1184</v>
      </c>
      <c r="I2026" s="2" t="s">
        <v>15</v>
      </c>
      <c r="J2026" s="2" t="s">
        <v>15</v>
      </c>
      <c r="K2026" s="2" t="s">
        <v>17</v>
      </c>
      <c r="L2026" s="7">
        <v>1184</v>
      </c>
      <c r="M2026" s="2" t="str">
        <f>_xlfn.IFS(TelecomData[[#This Row],[TenureMonths]]&lt;=12, "0-1 Year", TelecomData[[#This Row],[TenureMonths]]&lt;=36, "1-3 Years", TelecomData[[#This Row],[TenureMonths]]&gt;36, "3+ Years")</f>
        <v>0-1 Year</v>
      </c>
      <c r="N2026" s="2" t="str">
        <f>IF(TelecomData[[#This Row],[CleanedTotalCharges]]&gt;=2500,"High Spend", "Standard Spend")</f>
        <v>Standard Spend</v>
      </c>
    </row>
    <row r="2027" spans="1:14" x14ac:dyDescent="0.3">
      <c r="A2027" s="1" t="s">
        <v>2051</v>
      </c>
      <c r="B2027" s="2" t="s">
        <v>12</v>
      </c>
      <c r="C2027" s="2" t="s">
        <v>35</v>
      </c>
      <c r="D2027" s="2">
        <v>72</v>
      </c>
      <c r="E2027" s="2" t="s">
        <v>26</v>
      </c>
      <c r="F2027" s="2" t="s">
        <v>16</v>
      </c>
      <c r="G2027" s="7">
        <v>116.85</v>
      </c>
      <c r="H2027" s="7">
        <v>8477.7000000000007</v>
      </c>
      <c r="I2027" s="2" t="s">
        <v>15</v>
      </c>
      <c r="J2027" s="2" t="s">
        <v>16</v>
      </c>
      <c r="K2027" s="2" t="s">
        <v>24</v>
      </c>
      <c r="L2027" s="7">
        <v>8477.7000000000007</v>
      </c>
      <c r="M2027" s="2" t="str">
        <f>_xlfn.IFS(TelecomData[[#This Row],[TenureMonths]]&lt;=12, "0-1 Year", TelecomData[[#This Row],[TenureMonths]]&lt;=36, "1-3 Years", TelecomData[[#This Row],[TenureMonths]]&gt;36, "3+ Years")</f>
        <v>3+ Years</v>
      </c>
      <c r="N2027" s="2" t="str">
        <f>IF(TelecomData[[#This Row],[CleanedTotalCharges]]&gt;=2500,"High Spend", "Standard Spend")</f>
        <v>High Spend</v>
      </c>
    </row>
    <row r="2028" spans="1:14" x14ac:dyDescent="0.3">
      <c r="A2028" s="1" t="s">
        <v>2052</v>
      </c>
      <c r="B2028" s="2" t="s">
        <v>19</v>
      </c>
      <c r="C2028" s="2" t="s">
        <v>20</v>
      </c>
      <c r="D2028" s="2">
        <v>71</v>
      </c>
      <c r="E2028" s="2" t="s">
        <v>26</v>
      </c>
      <c r="F2028" s="2" t="s">
        <v>16</v>
      </c>
      <c r="G2028" s="7">
        <v>105.75</v>
      </c>
      <c r="H2028" s="7">
        <v>7382.85</v>
      </c>
      <c r="I2028" s="2" t="s">
        <v>15</v>
      </c>
      <c r="J2028" s="2" t="s">
        <v>15</v>
      </c>
      <c r="K2028" s="2" t="s">
        <v>24</v>
      </c>
      <c r="L2028" s="7">
        <v>7382.85</v>
      </c>
      <c r="M2028" s="2" t="str">
        <f>_xlfn.IFS(TelecomData[[#This Row],[TenureMonths]]&lt;=12, "0-1 Year", TelecomData[[#This Row],[TenureMonths]]&lt;=36, "1-3 Years", TelecomData[[#This Row],[TenureMonths]]&gt;36, "3+ Years")</f>
        <v>3+ Years</v>
      </c>
      <c r="N2028" s="2" t="str">
        <f>IF(TelecomData[[#This Row],[CleanedTotalCharges]]&gt;=2500,"High Spend", "Standard Spend")</f>
        <v>High Spend</v>
      </c>
    </row>
    <row r="2029" spans="1:14" x14ac:dyDescent="0.3">
      <c r="A2029" s="1" t="s">
        <v>2053</v>
      </c>
      <c r="B2029" s="2" t="s">
        <v>12</v>
      </c>
      <c r="C2029" s="2" t="s">
        <v>20</v>
      </c>
      <c r="D2029" s="2">
        <v>24</v>
      </c>
      <c r="E2029" s="2" t="s">
        <v>15</v>
      </c>
      <c r="F2029" s="2" t="s">
        <v>36</v>
      </c>
      <c r="G2029" s="7">
        <v>20.149999999999999</v>
      </c>
      <c r="H2029" s="7">
        <v>456.85</v>
      </c>
      <c r="I2029" s="2" t="s">
        <v>15</v>
      </c>
      <c r="J2029" s="2" t="s">
        <v>15</v>
      </c>
      <c r="K2029" s="2" t="s">
        <v>21</v>
      </c>
      <c r="L2029" s="7">
        <v>456.85</v>
      </c>
      <c r="M2029" s="2" t="str">
        <f>_xlfn.IFS(TelecomData[[#This Row],[TenureMonths]]&lt;=12, "0-1 Year", TelecomData[[#This Row],[TenureMonths]]&lt;=36, "1-3 Years", TelecomData[[#This Row],[TenureMonths]]&gt;36, "3+ Years")</f>
        <v>1-3 Years</v>
      </c>
      <c r="N2029" s="2" t="str">
        <f>IF(TelecomData[[#This Row],[CleanedTotalCharges]]&gt;=2500,"High Spend", "Standard Spend")</f>
        <v>Standard Spend</v>
      </c>
    </row>
    <row r="2030" spans="1:14" x14ac:dyDescent="0.3">
      <c r="A2030" s="1" t="s">
        <v>2054</v>
      </c>
      <c r="B2030" s="2" t="s">
        <v>12</v>
      </c>
      <c r="C2030" s="2" t="s">
        <v>35</v>
      </c>
      <c r="D2030" s="2">
        <v>15</v>
      </c>
      <c r="E2030" s="2" t="s">
        <v>15</v>
      </c>
      <c r="F2030" s="2" t="s">
        <v>36</v>
      </c>
      <c r="G2030" s="7">
        <v>19.600000000000001</v>
      </c>
      <c r="H2030" s="7">
        <v>331.6</v>
      </c>
      <c r="I2030" s="2" t="s">
        <v>15</v>
      </c>
      <c r="J2030" s="2" t="s">
        <v>15</v>
      </c>
      <c r="K2030" s="2" t="s">
        <v>21</v>
      </c>
      <c r="L2030" s="7">
        <v>331.6</v>
      </c>
      <c r="M2030" s="2" t="str">
        <f>_xlfn.IFS(TelecomData[[#This Row],[TenureMonths]]&lt;=12, "0-1 Year", TelecomData[[#This Row],[TenureMonths]]&lt;=36, "1-3 Years", TelecomData[[#This Row],[TenureMonths]]&gt;36, "3+ Years")</f>
        <v>1-3 Years</v>
      </c>
      <c r="N2030" s="2" t="str">
        <f>IF(TelecomData[[#This Row],[CleanedTotalCharges]]&gt;=2500,"High Spend", "Standard Spend")</f>
        <v>Standard Spend</v>
      </c>
    </row>
    <row r="2031" spans="1:14" x14ac:dyDescent="0.3">
      <c r="A2031" s="1" t="s">
        <v>2055</v>
      </c>
      <c r="B2031" s="2" t="s">
        <v>19</v>
      </c>
      <c r="C2031" s="2" t="s">
        <v>20</v>
      </c>
      <c r="D2031" s="2">
        <v>67</v>
      </c>
      <c r="E2031" s="2" t="s">
        <v>26</v>
      </c>
      <c r="F2031" s="2" t="s">
        <v>15</v>
      </c>
      <c r="G2031" s="7">
        <v>90.6</v>
      </c>
      <c r="H2031" s="7">
        <v>6056.15</v>
      </c>
      <c r="I2031" s="2" t="s">
        <v>16</v>
      </c>
      <c r="J2031" s="2" t="s">
        <v>16</v>
      </c>
      <c r="K2031" s="2" t="s">
        <v>29</v>
      </c>
      <c r="L2031" s="7">
        <v>6056.15</v>
      </c>
      <c r="M2031" s="2" t="str">
        <f>_xlfn.IFS(TelecomData[[#This Row],[TenureMonths]]&lt;=12, "0-1 Year", TelecomData[[#This Row],[TenureMonths]]&lt;=36, "1-3 Years", TelecomData[[#This Row],[TenureMonths]]&gt;36, "3+ Years")</f>
        <v>3+ Years</v>
      </c>
      <c r="N2031" s="2" t="str">
        <f>IF(TelecomData[[#This Row],[CleanedTotalCharges]]&gt;=2500,"High Spend", "Standard Spend")</f>
        <v>High Spend</v>
      </c>
    </row>
    <row r="2032" spans="1:14" x14ac:dyDescent="0.3">
      <c r="A2032" s="1" t="s">
        <v>2056</v>
      </c>
      <c r="B2032" s="2" t="s">
        <v>19</v>
      </c>
      <c r="C2032" s="2" t="s">
        <v>13</v>
      </c>
      <c r="D2032" s="2">
        <v>2</v>
      </c>
      <c r="E2032" s="2" t="s">
        <v>14</v>
      </c>
      <c r="F2032" s="2" t="s">
        <v>15</v>
      </c>
      <c r="G2032" s="7">
        <v>60.95</v>
      </c>
      <c r="H2032" s="7">
        <v>134.6</v>
      </c>
      <c r="I2032" s="2" t="s">
        <v>15</v>
      </c>
      <c r="J2032" s="2" t="s">
        <v>15</v>
      </c>
      <c r="K2032" s="2" t="s">
        <v>24</v>
      </c>
      <c r="L2032" s="7">
        <v>134.6</v>
      </c>
      <c r="M2032" s="2" t="str">
        <f>_xlfn.IFS(TelecomData[[#This Row],[TenureMonths]]&lt;=12, "0-1 Year", TelecomData[[#This Row],[TenureMonths]]&lt;=36, "1-3 Years", TelecomData[[#This Row],[TenureMonths]]&gt;36, "3+ Years")</f>
        <v>0-1 Year</v>
      </c>
      <c r="N2032" s="2" t="str">
        <f>IF(TelecomData[[#This Row],[CleanedTotalCharges]]&gt;=2500,"High Spend", "Standard Spend")</f>
        <v>Standard Spend</v>
      </c>
    </row>
    <row r="2033" spans="1:14" x14ac:dyDescent="0.3">
      <c r="A2033" s="1" t="s">
        <v>2057</v>
      </c>
      <c r="B2033" s="2" t="s">
        <v>12</v>
      </c>
      <c r="C2033" s="2" t="s">
        <v>13</v>
      </c>
      <c r="D2033" s="2">
        <v>5</v>
      </c>
      <c r="E2033" s="2" t="s">
        <v>14</v>
      </c>
      <c r="F2033" s="2" t="s">
        <v>15</v>
      </c>
      <c r="G2033" s="7">
        <v>25.05</v>
      </c>
      <c r="H2033" s="7">
        <v>125.5</v>
      </c>
      <c r="I2033" s="2" t="s">
        <v>15</v>
      </c>
      <c r="J2033" s="2" t="s">
        <v>15</v>
      </c>
      <c r="K2033" s="2" t="s">
        <v>21</v>
      </c>
      <c r="L2033" s="7">
        <v>125.5</v>
      </c>
      <c r="M2033" s="2" t="str">
        <f>_xlfn.IFS(TelecomData[[#This Row],[TenureMonths]]&lt;=12, "0-1 Year", TelecomData[[#This Row],[TenureMonths]]&lt;=36, "1-3 Years", TelecomData[[#This Row],[TenureMonths]]&gt;36, "3+ Years")</f>
        <v>0-1 Year</v>
      </c>
      <c r="N2033" s="2" t="str">
        <f>IF(TelecomData[[#This Row],[CleanedTotalCharges]]&gt;=2500,"High Spend", "Standard Spend")</f>
        <v>Standard Spend</v>
      </c>
    </row>
    <row r="2034" spans="1:14" x14ac:dyDescent="0.3">
      <c r="A2034" s="1" t="s">
        <v>2058</v>
      </c>
      <c r="B2034" s="2" t="s">
        <v>12</v>
      </c>
      <c r="C2034" s="2" t="s">
        <v>13</v>
      </c>
      <c r="D2034" s="2">
        <v>15</v>
      </c>
      <c r="E2034" s="2" t="s">
        <v>26</v>
      </c>
      <c r="F2034" s="2" t="s">
        <v>15</v>
      </c>
      <c r="G2034" s="7">
        <v>88.15</v>
      </c>
      <c r="H2034" s="7">
        <v>1390.6</v>
      </c>
      <c r="I2034" s="2" t="s">
        <v>16</v>
      </c>
      <c r="J2034" s="2" t="s">
        <v>15</v>
      </c>
      <c r="K2034" s="2" t="s">
        <v>17</v>
      </c>
      <c r="L2034" s="7">
        <v>1390.6</v>
      </c>
      <c r="M2034" s="2" t="str">
        <f>_xlfn.IFS(TelecomData[[#This Row],[TenureMonths]]&lt;=12, "0-1 Year", TelecomData[[#This Row],[TenureMonths]]&lt;=36, "1-3 Years", TelecomData[[#This Row],[TenureMonths]]&gt;36, "3+ Years")</f>
        <v>1-3 Years</v>
      </c>
      <c r="N2034" s="2" t="str">
        <f>IF(TelecomData[[#This Row],[CleanedTotalCharges]]&gt;=2500,"High Spend", "Standard Spend")</f>
        <v>Standard Spend</v>
      </c>
    </row>
    <row r="2035" spans="1:14" x14ac:dyDescent="0.3">
      <c r="A2035" s="1" t="s">
        <v>2059</v>
      </c>
      <c r="B2035" s="2" t="s">
        <v>19</v>
      </c>
      <c r="C2035" s="2" t="s">
        <v>13</v>
      </c>
      <c r="D2035" s="2">
        <v>1</v>
      </c>
      <c r="E2035" s="2" t="s">
        <v>15</v>
      </c>
      <c r="F2035" s="2" t="s">
        <v>36</v>
      </c>
      <c r="G2035" s="7">
        <v>20.2</v>
      </c>
      <c r="H2035" s="7">
        <v>20.2</v>
      </c>
      <c r="I2035" s="2" t="s">
        <v>16</v>
      </c>
      <c r="J2035" s="2" t="s">
        <v>16</v>
      </c>
      <c r="K2035" s="2" t="s">
        <v>21</v>
      </c>
      <c r="L2035" s="7">
        <v>20.2</v>
      </c>
      <c r="M2035" s="2" t="str">
        <f>_xlfn.IFS(TelecomData[[#This Row],[TenureMonths]]&lt;=12, "0-1 Year", TelecomData[[#This Row],[TenureMonths]]&lt;=36, "1-3 Years", TelecomData[[#This Row],[TenureMonths]]&gt;36, "3+ Years")</f>
        <v>0-1 Year</v>
      </c>
      <c r="N2035" s="2" t="str">
        <f>IF(TelecomData[[#This Row],[CleanedTotalCharges]]&gt;=2500,"High Spend", "Standard Spend")</f>
        <v>Standard Spend</v>
      </c>
    </row>
    <row r="2036" spans="1:14" x14ac:dyDescent="0.3">
      <c r="A2036" s="1" t="s">
        <v>2060</v>
      </c>
      <c r="B2036" s="2" t="s">
        <v>19</v>
      </c>
      <c r="C2036" s="2" t="s">
        <v>20</v>
      </c>
      <c r="D2036" s="2">
        <v>41</v>
      </c>
      <c r="E2036" s="2" t="s">
        <v>14</v>
      </c>
      <c r="F2036" s="2" t="s">
        <v>15</v>
      </c>
      <c r="G2036" s="7">
        <v>60.3</v>
      </c>
      <c r="H2036" s="7">
        <v>2511.3000000000002</v>
      </c>
      <c r="I2036" s="2" t="s">
        <v>15</v>
      </c>
      <c r="J2036" s="2" t="s">
        <v>16</v>
      </c>
      <c r="K2036" s="2" t="s">
        <v>24</v>
      </c>
      <c r="L2036" s="7">
        <v>2511.3000000000002</v>
      </c>
      <c r="M2036" s="2" t="str">
        <f>_xlfn.IFS(TelecomData[[#This Row],[TenureMonths]]&lt;=12, "0-1 Year", TelecomData[[#This Row],[TenureMonths]]&lt;=36, "1-3 Years", TelecomData[[#This Row],[TenureMonths]]&gt;36, "3+ Years")</f>
        <v>3+ Years</v>
      </c>
      <c r="N2036" s="2" t="str">
        <f>IF(TelecomData[[#This Row],[CleanedTotalCharges]]&gt;=2500,"High Spend", "Standard Spend")</f>
        <v>High Spend</v>
      </c>
    </row>
    <row r="2037" spans="1:14" x14ac:dyDescent="0.3">
      <c r="A2037" s="1" t="s">
        <v>2061</v>
      </c>
      <c r="B2037" s="2" t="s">
        <v>12</v>
      </c>
      <c r="C2037" s="2" t="s">
        <v>13</v>
      </c>
      <c r="D2037" s="2">
        <v>43</v>
      </c>
      <c r="E2037" s="2" t="s">
        <v>14</v>
      </c>
      <c r="F2037" s="2" t="s">
        <v>15</v>
      </c>
      <c r="G2037" s="7">
        <v>63.95</v>
      </c>
      <c r="H2037" s="7">
        <v>2737.05</v>
      </c>
      <c r="I2037" s="2" t="s">
        <v>15</v>
      </c>
      <c r="J2037" s="2" t="s">
        <v>16</v>
      </c>
      <c r="K2037" s="2" t="s">
        <v>17</v>
      </c>
      <c r="L2037" s="7">
        <v>2737.05</v>
      </c>
      <c r="M2037" s="2" t="str">
        <f>_xlfn.IFS(TelecomData[[#This Row],[TenureMonths]]&lt;=12, "0-1 Year", TelecomData[[#This Row],[TenureMonths]]&lt;=36, "1-3 Years", TelecomData[[#This Row],[TenureMonths]]&gt;36, "3+ Years")</f>
        <v>3+ Years</v>
      </c>
      <c r="N2037" s="2" t="str">
        <f>IF(TelecomData[[#This Row],[CleanedTotalCharges]]&gt;=2500,"High Spend", "Standard Spend")</f>
        <v>High Spend</v>
      </c>
    </row>
    <row r="2038" spans="1:14" x14ac:dyDescent="0.3">
      <c r="A2038" s="1" t="s">
        <v>2062</v>
      </c>
      <c r="B2038" s="2" t="s">
        <v>19</v>
      </c>
      <c r="C2038" s="2" t="s">
        <v>13</v>
      </c>
      <c r="D2038" s="2">
        <v>1</v>
      </c>
      <c r="E2038" s="2" t="s">
        <v>26</v>
      </c>
      <c r="F2038" s="2" t="s">
        <v>15</v>
      </c>
      <c r="G2038" s="7">
        <v>74.3</v>
      </c>
      <c r="H2038" s="7">
        <v>74.3</v>
      </c>
      <c r="I2038" s="2" t="s">
        <v>15</v>
      </c>
      <c r="J2038" s="2" t="s">
        <v>15</v>
      </c>
      <c r="K2038" s="2" t="s">
        <v>17</v>
      </c>
      <c r="L2038" s="7">
        <v>74.3</v>
      </c>
      <c r="M2038" s="2" t="str">
        <f>_xlfn.IFS(TelecomData[[#This Row],[TenureMonths]]&lt;=12, "0-1 Year", TelecomData[[#This Row],[TenureMonths]]&lt;=36, "1-3 Years", TelecomData[[#This Row],[TenureMonths]]&gt;36, "3+ Years")</f>
        <v>0-1 Year</v>
      </c>
      <c r="N2038" s="2" t="str">
        <f>IF(TelecomData[[#This Row],[CleanedTotalCharges]]&gt;=2500,"High Spend", "Standard Spend")</f>
        <v>Standard Spend</v>
      </c>
    </row>
    <row r="2039" spans="1:14" x14ac:dyDescent="0.3">
      <c r="A2039" s="1" t="s">
        <v>2063</v>
      </c>
      <c r="B2039" s="2" t="s">
        <v>12</v>
      </c>
      <c r="C2039" s="2" t="s">
        <v>13</v>
      </c>
      <c r="D2039" s="2">
        <v>1</v>
      </c>
      <c r="E2039" s="2" t="s">
        <v>26</v>
      </c>
      <c r="F2039" s="2" t="s">
        <v>15</v>
      </c>
      <c r="G2039" s="7">
        <v>70.599999999999994</v>
      </c>
      <c r="H2039" s="7">
        <v>70.599999999999994</v>
      </c>
      <c r="I2039" s="2" t="s">
        <v>15</v>
      </c>
      <c r="J2039" s="2" t="s">
        <v>16</v>
      </c>
      <c r="K2039" s="2" t="s">
        <v>21</v>
      </c>
      <c r="L2039" s="7">
        <v>70.599999999999994</v>
      </c>
      <c r="M2039" s="2" t="str">
        <f>_xlfn.IFS(TelecomData[[#This Row],[TenureMonths]]&lt;=12, "0-1 Year", TelecomData[[#This Row],[TenureMonths]]&lt;=36, "1-3 Years", TelecomData[[#This Row],[TenureMonths]]&gt;36, "3+ Years")</f>
        <v>0-1 Year</v>
      </c>
      <c r="N2039" s="2" t="str">
        <f>IF(TelecomData[[#This Row],[CleanedTotalCharges]]&gt;=2500,"High Spend", "Standard Spend")</f>
        <v>Standard Spend</v>
      </c>
    </row>
    <row r="2040" spans="1:14" x14ac:dyDescent="0.3">
      <c r="A2040" s="1" t="s">
        <v>2064</v>
      </c>
      <c r="B2040" s="2" t="s">
        <v>12</v>
      </c>
      <c r="C2040" s="2" t="s">
        <v>13</v>
      </c>
      <c r="D2040" s="2">
        <v>26</v>
      </c>
      <c r="E2040" s="2" t="s">
        <v>26</v>
      </c>
      <c r="F2040" s="2" t="s">
        <v>15</v>
      </c>
      <c r="G2040" s="7">
        <v>90.8</v>
      </c>
      <c r="H2040" s="7">
        <v>2361.8000000000002</v>
      </c>
      <c r="I2040" s="2" t="s">
        <v>16</v>
      </c>
      <c r="J2040" s="2" t="s">
        <v>16</v>
      </c>
      <c r="K2040" s="2" t="s">
        <v>17</v>
      </c>
      <c r="L2040" s="7">
        <v>2361.8000000000002</v>
      </c>
      <c r="M2040" s="2" t="str">
        <f>_xlfn.IFS(TelecomData[[#This Row],[TenureMonths]]&lt;=12, "0-1 Year", TelecomData[[#This Row],[TenureMonths]]&lt;=36, "1-3 Years", TelecomData[[#This Row],[TenureMonths]]&gt;36, "3+ Years")</f>
        <v>1-3 Years</v>
      </c>
      <c r="N2040" s="2" t="str">
        <f>IF(TelecomData[[#This Row],[CleanedTotalCharges]]&gt;=2500,"High Spend", "Standard Spend")</f>
        <v>Standard Spend</v>
      </c>
    </row>
    <row r="2041" spans="1:14" x14ac:dyDescent="0.3">
      <c r="A2041" s="1" t="s">
        <v>2065</v>
      </c>
      <c r="B2041" s="2" t="s">
        <v>19</v>
      </c>
      <c r="C2041" s="2" t="s">
        <v>13</v>
      </c>
      <c r="D2041" s="2">
        <v>22</v>
      </c>
      <c r="E2041" s="2" t="s">
        <v>26</v>
      </c>
      <c r="F2041" s="2" t="s">
        <v>15</v>
      </c>
      <c r="G2041" s="7">
        <v>79.349999999999994</v>
      </c>
      <c r="H2041" s="7">
        <v>1730.35</v>
      </c>
      <c r="I2041" s="2" t="s">
        <v>16</v>
      </c>
      <c r="J2041" s="2" t="s">
        <v>16</v>
      </c>
      <c r="K2041" s="2" t="s">
        <v>17</v>
      </c>
      <c r="L2041" s="7">
        <v>1730.35</v>
      </c>
      <c r="M2041" s="2" t="str">
        <f>_xlfn.IFS(TelecomData[[#This Row],[TenureMonths]]&lt;=12, "0-1 Year", TelecomData[[#This Row],[TenureMonths]]&lt;=36, "1-3 Years", TelecomData[[#This Row],[TenureMonths]]&gt;36, "3+ Years")</f>
        <v>1-3 Years</v>
      </c>
      <c r="N2041" s="2" t="str">
        <f>IF(TelecomData[[#This Row],[CleanedTotalCharges]]&gt;=2500,"High Spend", "Standard Spend")</f>
        <v>Standard Spend</v>
      </c>
    </row>
    <row r="2042" spans="1:14" x14ac:dyDescent="0.3">
      <c r="A2042" s="1" t="s">
        <v>2066</v>
      </c>
      <c r="B2042" s="2" t="s">
        <v>19</v>
      </c>
      <c r="C2042" s="2" t="s">
        <v>35</v>
      </c>
      <c r="D2042" s="2">
        <v>71</v>
      </c>
      <c r="E2042" s="2" t="s">
        <v>14</v>
      </c>
      <c r="F2042" s="2" t="s">
        <v>16</v>
      </c>
      <c r="G2042" s="7">
        <v>90.55</v>
      </c>
      <c r="H2042" s="7">
        <v>6404</v>
      </c>
      <c r="I2042" s="2" t="s">
        <v>15</v>
      </c>
      <c r="J2042" s="2" t="s">
        <v>15</v>
      </c>
      <c r="K2042" s="2" t="s">
        <v>24</v>
      </c>
      <c r="L2042" s="7">
        <v>6404</v>
      </c>
      <c r="M2042" s="2" t="str">
        <f>_xlfn.IFS(TelecomData[[#This Row],[TenureMonths]]&lt;=12, "0-1 Year", TelecomData[[#This Row],[TenureMonths]]&lt;=36, "1-3 Years", TelecomData[[#This Row],[TenureMonths]]&gt;36, "3+ Years")</f>
        <v>3+ Years</v>
      </c>
      <c r="N2042" s="2" t="str">
        <f>IF(TelecomData[[#This Row],[CleanedTotalCharges]]&gt;=2500,"High Spend", "Standard Spend")</f>
        <v>High Spend</v>
      </c>
    </row>
    <row r="2043" spans="1:14" x14ac:dyDescent="0.3">
      <c r="A2043" s="1" t="s">
        <v>2067</v>
      </c>
      <c r="B2043" s="2" t="s">
        <v>19</v>
      </c>
      <c r="C2043" s="2" t="s">
        <v>35</v>
      </c>
      <c r="D2043" s="2">
        <v>7</v>
      </c>
      <c r="E2043" s="2" t="s">
        <v>15</v>
      </c>
      <c r="F2043" s="2" t="s">
        <v>36</v>
      </c>
      <c r="G2043" s="7">
        <v>19.45</v>
      </c>
      <c r="H2043" s="7">
        <v>165.35</v>
      </c>
      <c r="I2043" s="2" t="s">
        <v>15</v>
      </c>
      <c r="J2043" s="2" t="s">
        <v>15</v>
      </c>
      <c r="K2043" s="2" t="s">
        <v>21</v>
      </c>
      <c r="L2043" s="7">
        <v>165.35</v>
      </c>
      <c r="M2043" s="2" t="str">
        <f>_xlfn.IFS(TelecomData[[#This Row],[TenureMonths]]&lt;=12, "0-1 Year", TelecomData[[#This Row],[TenureMonths]]&lt;=36, "1-3 Years", TelecomData[[#This Row],[TenureMonths]]&gt;36, "3+ Years")</f>
        <v>0-1 Year</v>
      </c>
      <c r="N2043" s="2" t="str">
        <f>IF(TelecomData[[#This Row],[CleanedTotalCharges]]&gt;=2500,"High Spend", "Standard Spend")</f>
        <v>Standard Spend</v>
      </c>
    </row>
    <row r="2044" spans="1:14" x14ac:dyDescent="0.3">
      <c r="A2044" s="1" t="s">
        <v>2068</v>
      </c>
      <c r="B2044" s="2" t="s">
        <v>12</v>
      </c>
      <c r="C2044" s="2" t="s">
        <v>13</v>
      </c>
      <c r="D2044" s="2">
        <v>28</v>
      </c>
      <c r="E2044" s="2" t="s">
        <v>14</v>
      </c>
      <c r="F2044" s="2" t="s">
        <v>16</v>
      </c>
      <c r="G2044" s="7">
        <v>64.45</v>
      </c>
      <c r="H2044" s="7">
        <v>1867.6</v>
      </c>
      <c r="I2044" s="2" t="s">
        <v>15</v>
      </c>
      <c r="J2044" s="2" t="s">
        <v>15</v>
      </c>
      <c r="K2044" s="2" t="s">
        <v>24</v>
      </c>
      <c r="L2044" s="7">
        <v>1867.6</v>
      </c>
      <c r="M2044" s="2" t="str">
        <f>_xlfn.IFS(TelecomData[[#This Row],[TenureMonths]]&lt;=12, "0-1 Year", TelecomData[[#This Row],[TenureMonths]]&lt;=36, "1-3 Years", TelecomData[[#This Row],[TenureMonths]]&gt;36, "3+ Years")</f>
        <v>1-3 Years</v>
      </c>
      <c r="N2044" s="2" t="str">
        <f>IF(TelecomData[[#This Row],[CleanedTotalCharges]]&gt;=2500,"High Spend", "Standard Spend")</f>
        <v>Standard Spend</v>
      </c>
    </row>
    <row r="2045" spans="1:14" x14ac:dyDescent="0.3">
      <c r="A2045" s="1" t="s">
        <v>2069</v>
      </c>
      <c r="B2045" s="2" t="s">
        <v>19</v>
      </c>
      <c r="C2045" s="2" t="s">
        <v>13</v>
      </c>
      <c r="D2045" s="2">
        <v>16</v>
      </c>
      <c r="E2045" s="2" t="s">
        <v>26</v>
      </c>
      <c r="F2045" s="2" t="s">
        <v>15</v>
      </c>
      <c r="G2045" s="7">
        <v>69.650000000000006</v>
      </c>
      <c r="H2045" s="7">
        <v>1043.3</v>
      </c>
      <c r="I2045" s="2" t="s">
        <v>15</v>
      </c>
      <c r="J2045" s="2" t="s">
        <v>15</v>
      </c>
      <c r="K2045" s="2" t="s">
        <v>17</v>
      </c>
      <c r="L2045" s="7">
        <v>1043.3</v>
      </c>
      <c r="M2045" s="2" t="str">
        <f>_xlfn.IFS(TelecomData[[#This Row],[TenureMonths]]&lt;=12, "0-1 Year", TelecomData[[#This Row],[TenureMonths]]&lt;=36, "1-3 Years", TelecomData[[#This Row],[TenureMonths]]&gt;36, "3+ Years")</f>
        <v>1-3 Years</v>
      </c>
      <c r="N2045" s="2" t="str">
        <f>IF(TelecomData[[#This Row],[CleanedTotalCharges]]&gt;=2500,"High Spend", "Standard Spend")</f>
        <v>Standard Spend</v>
      </c>
    </row>
    <row r="2046" spans="1:14" x14ac:dyDescent="0.3">
      <c r="A2046" s="1" t="s">
        <v>2070</v>
      </c>
      <c r="B2046" s="2" t="s">
        <v>19</v>
      </c>
      <c r="C2046" s="2" t="s">
        <v>20</v>
      </c>
      <c r="D2046" s="2">
        <v>7</v>
      </c>
      <c r="E2046" s="2" t="s">
        <v>15</v>
      </c>
      <c r="F2046" s="2" t="s">
        <v>36</v>
      </c>
      <c r="G2046" s="7">
        <v>19.5</v>
      </c>
      <c r="H2046" s="7">
        <v>128.6</v>
      </c>
      <c r="I2046" s="2" t="s">
        <v>15</v>
      </c>
      <c r="J2046" s="2" t="s">
        <v>15</v>
      </c>
      <c r="K2046" s="2" t="s">
        <v>21</v>
      </c>
      <c r="L2046" s="7">
        <v>128.6</v>
      </c>
      <c r="M2046" s="2" t="str">
        <f>_xlfn.IFS(TelecomData[[#This Row],[TenureMonths]]&lt;=12, "0-1 Year", TelecomData[[#This Row],[TenureMonths]]&lt;=36, "1-3 Years", TelecomData[[#This Row],[TenureMonths]]&gt;36, "3+ Years")</f>
        <v>0-1 Year</v>
      </c>
      <c r="N2046" s="2" t="str">
        <f>IF(TelecomData[[#This Row],[CleanedTotalCharges]]&gt;=2500,"High Spend", "Standard Spend")</f>
        <v>Standard Spend</v>
      </c>
    </row>
    <row r="2047" spans="1:14" x14ac:dyDescent="0.3">
      <c r="A2047" s="1" t="s">
        <v>2071</v>
      </c>
      <c r="B2047" s="2" t="s">
        <v>12</v>
      </c>
      <c r="C2047" s="2" t="s">
        <v>35</v>
      </c>
      <c r="D2047" s="2">
        <v>69</v>
      </c>
      <c r="E2047" s="2" t="s">
        <v>26</v>
      </c>
      <c r="F2047" s="2" t="s">
        <v>16</v>
      </c>
      <c r="G2047" s="7">
        <v>110.5</v>
      </c>
      <c r="H2047" s="7">
        <v>7455.45</v>
      </c>
      <c r="I2047" s="2" t="s">
        <v>15</v>
      </c>
      <c r="J2047" s="2" t="s">
        <v>16</v>
      </c>
      <c r="K2047" s="2" t="s">
        <v>24</v>
      </c>
      <c r="L2047" s="7">
        <v>7455.45</v>
      </c>
      <c r="M2047" s="2" t="str">
        <f>_xlfn.IFS(TelecomData[[#This Row],[TenureMonths]]&lt;=12, "0-1 Year", TelecomData[[#This Row],[TenureMonths]]&lt;=36, "1-3 Years", TelecomData[[#This Row],[TenureMonths]]&gt;36, "3+ Years")</f>
        <v>3+ Years</v>
      </c>
      <c r="N2047" s="2" t="str">
        <f>IF(TelecomData[[#This Row],[CleanedTotalCharges]]&gt;=2500,"High Spend", "Standard Spend")</f>
        <v>High Spend</v>
      </c>
    </row>
    <row r="2048" spans="1:14" x14ac:dyDescent="0.3">
      <c r="A2048" s="1" t="s">
        <v>2072</v>
      </c>
      <c r="B2048" s="2" t="s">
        <v>12</v>
      </c>
      <c r="C2048" s="2" t="s">
        <v>13</v>
      </c>
      <c r="D2048" s="2">
        <v>1</v>
      </c>
      <c r="E2048" s="2" t="s">
        <v>14</v>
      </c>
      <c r="F2048" s="2" t="s">
        <v>15</v>
      </c>
      <c r="G2048" s="7">
        <v>24.7</v>
      </c>
      <c r="H2048" s="7">
        <v>24.7</v>
      </c>
      <c r="I2048" s="2" t="s">
        <v>15</v>
      </c>
      <c r="J2048" s="2" t="s">
        <v>15</v>
      </c>
      <c r="K2048" s="2" t="s">
        <v>21</v>
      </c>
      <c r="L2048" s="7">
        <v>24.7</v>
      </c>
      <c r="M2048" s="2" t="str">
        <f>_xlfn.IFS(TelecomData[[#This Row],[TenureMonths]]&lt;=12, "0-1 Year", TelecomData[[#This Row],[TenureMonths]]&lt;=36, "1-3 Years", TelecomData[[#This Row],[TenureMonths]]&gt;36, "3+ Years")</f>
        <v>0-1 Year</v>
      </c>
      <c r="N2048" s="2" t="str">
        <f>IF(TelecomData[[#This Row],[CleanedTotalCharges]]&gt;=2500,"High Spend", "Standard Spend")</f>
        <v>Standard Spend</v>
      </c>
    </row>
    <row r="2049" spans="1:14" x14ac:dyDescent="0.3">
      <c r="A2049" s="1" t="s">
        <v>2073</v>
      </c>
      <c r="B2049" s="2" t="s">
        <v>19</v>
      </c>
      <c r="C2049" s="2" t="s">
        <v>13</v>
      </c>
      <c r="D2049" s="2">
        <v>3</v>
      </c>
      <c r="E2049" s="2" t="s">
        <v>14</v>
      </c>
      <c r="F2049" s="2" t="s">
        <v>15</v>
      </c>
      <c r="G2049" s="7">
        <v>77.400000000000006</v>
      </c>
      <c r="H2049" s="7">
        <v>206.15</v>
      </c>
      <c r="I2049" s="2" t="s">
        <v>15</v>
      </c>
      <c r="J2049" s="2" t="s">
        <v>16</v>
      </c>
      <c r="K2049" s="2" t="s">
        <v>17</v>
      </c>
      <c r="L2049" s="7">
        <v>206.15</v>
      </c>
      <c r="M2049" s="2" t="str">
        <f>_xlfn.IFS(TelecomData[[#This Row],[TenureMonths]]&lt;=12, "0-1 Year", TelecomData[[#This Row],[TenureMonths]]&lt;=36, "1-3 Years", TelecomData[[#This Row],[TenureMonths]]&gt;36, "3+ Years")</f>
        <v>0-1 Year</v>
      </c>
      <c r="N2049" s="2" t="str">
        <f>IF(TelecomData[[#This Row],[CleanedTotalCharges]]&gt;=2500,"High Spend", "Standard Spend")</f>
        <v>Standard Spend</v>
      </c>
    </row>
    <row r="2050" spans="1:14" x14ac:dyDescent="0.3">
      <c r="A2050" s="1" t="s">
        <v>2074</v>
      </c>
      <c r="B2050" s="2" t="s">
        <v>19</v>
      </c>
      <c r="C2050" s="2" t="s">
        <v>13</v>
      </c>
      <c r="D2050" s="2">
        <v>21</v>
      </c>
      <c r="E2050" s="2" t="s">
        <v>26</v>
      </c>
      <c r="F2050" s="2" t="s">
        <v>15</v>
      </c>
      <c r="G2050" s="7">
        <v>96.8</v>
      </c>
      <c r="H2050" s="7">
        <v>2030.3</v>
      </c>
      <c r="I2050" s="2" t="s">
        <v>16</v>
      </c>
      <c r="J2050" s="2" t="s">
        <v>16</v>
      </c>
      <c r="K2050" s="2" t="s">
        <v>24</v>
      </c>
      <c r="L2050" s="7">
        <v>2030.3</v>
      </c>
      <c r="M2050" s="2" t="str">
        <f>_xlfn.IFS(TelecomData[[#This Row],[TenureMonths]]&lt;=12, "0-1 Year", TelecomData[[#This Row],[TenureMonths]]&lt;=36, "1-3 Years", TelecomData[[#This Row],[TenureMonths]]&gt;36, "3+ Years")</f>
        <v>1-3 Years</v>
      </c>
      <c r="N2050" s="2" t="str">
        <f>IF(TelecomData[[#This Row],[CleanedTotalCharges]]&gt;=2500,"High Spend", "Standard Spend")</f>
        <v>Standard Spend</v>
      </c>
    </row>
    <row r="2051" spans="1:14" x14ac:dyDescent="0.3">
      <c r="A2051" s="1" t="s">
        <v>2075</v>
      </c>
      <c r="B2051" s="2" t="s">
        <v>12</v>
      </c>
      <c r="C2051" s="2" t="s">
        <v>13</v>
      </c>
      <c r="D2051" s="2">
        <v>69</v>
      </c>
      <c r="E2051" s="2" t="s">
        <v>26</v>
      </c>
      <c r="F2051" s="2" t="s">
        <v>15</v>
      </c>
      <c r="G2051" s="7">
        <v>85.4</v>
      </c>
      <c r="H2051" s="7">
        <v>5869.4</v>
      </c>
      <c r="I2051" s="2" t="s">
        <v>15</v>
      </c>
      <c r="J2051" s="2" t="s">
        <v>16</v>
      </c>
      <c r="K2051" s="2" t="s">
        <v>24</v>
      </c>
      <c r="L2051" s="7">
        <v>5869.4</v>
      </c>
      <c r="M2051" s="2" t="str">
        <f>_xlfn.IFS(TelecomData[[#This Row],[TenureMonths]]&lt;=12, "0-1 Year", TelecomData[[#This Row],[TenureMonths]]&lt;=36, "1-3 Years", TelecomData[[#This Row],[TenureMonths]]&gt;36, "3+ Years")</f>
        <v>3+ Years</v>
      </c>
      <c r="N2051" s="2" t="str">
        <f>IF(TelecomData[[#This Row],[CleanedTotalCharges]]&gt;=2500,"High Spend", "Standard Spend")</f>
        <v>High Spend</v>
      </c>
    </row>
    <row r="2052" spans="1:14" x14ac:dyDescent="0.3">
      <c r="A2052" s="1" t="s">
        <v>2076</v>
      </c>
      <c r="B2052" s="2" t="s">
        <v>12</v>
      </c>
      <c r="C2052" s="2" t="s">
        <v>35</v>
      </c>
      <c r="D2052" s="2">
        <v>71</v>
      </c>
      <c r="E2052" s="2" t="s">
        <v>14</v>
      </c>
      <c r="F2052" s="2" t="s">
        <v>16</v>
      </c>
      <c r="G2052" s="7">
        <v>47.6</v>
      </c>
      <c r="H2052" s="7">
        <v>3377.8</v>
      </c>
      <c r="I2052" s="2" t="s">
        <v>15</v>
      </c>
      <c r="J2052" s="2" t="s">
        <v>16</v>
      </c>
      <c r="K2052" s="2" t="s">
        <v>24</v>
      </c>
      <c r="L2052" s="7">
        <v>3377.8</v>
      </c>
      <c r="M2052" s="2" t="str">
        <f>_xlfn.IFS(TelecomData[[#This Row],[TenureMonths]]&lt;=12, "0-1 Year", TelecomData[[#This Row],[TenureMonths]]&lt;=36, "1-3 Years", TelecomData[[#This Row],[TenureMonths]]&gt;36, "3+ Years")</f>
        <v>3+ Years</v>
      </c>
      <c r="N2052" s="2" t="str">
        <f>IF(TelecomData[[#This Row],[CleanedTotalCharges]]&gt;=2500,"High Spend", "Standard Spend")</f>
        <v>High Spend</v>
      </c>
    </row>
    <row r="2053" spans="1:14" x14ac:dyDescent="0.3">
      <c r="A2053" s="1" t="s">
        <v>2077</v>
      </c>
      <c r="B2053" s="2" t="s">
        <v>12</v>
      </c>
      <c r="C2053" s="2" t="s">
        <v>35</v>
      </c>
      <c r="D2053" s="2">
        <v>69</v>
      </c>
      <c r="E2053" s="2" t="s">
        <v>15</v>
      </c>
      <c r="F2053" s="2" t="s">
        <v>36</v>
      </c>
      <c r="G2053" s="7">
        <v>19.399999999999999</v>
      </c>
      <c r="H2053" s="7">
        <v>1346.2</v>
      </c>
      <c r="I2053" s="2" t="s">
        <v>15</v>
      </c>
      <c r="J2053" s="2" t="s">
        <v>15</v>
      </c>
      <c r="K2053" s="2" t="s">
        <v>21</v>
      </c>
      <c r="L2053" s="7">
        <v>1346.2</v>
      </c>
      <c r="M2053" s="2" t="str">
        <f>_xlfn.IFS(TelecomData[[#This Row],[TenureMonths]]&lt;=12, "0-1 Year", TelecomData[[#This Row],[TenureMonths]]&lt;=36, "1-3 Years", TelecomData[[#This Row],[TenureMonths]]&gt;36, "3+ Years")</f>
        <v>3+ Years</v>
      </c>
      <c r="N2053" s="2" t="str">
        <f>IF(TelecomData[[#This Row],[CleanedTotalCharges]]&gt;=2500,"High Spend", "Standard Spend")</f>
        <v>Standard Spend</v>
      </c>
    </row>
    <row r="2054" spans="1:14" x14ac:dyDescent="0.3">
      <c r="A2054" s="1" t="s">
        <v>2078</v>
      </c>
      <c r="B2054" s="2" t="s">
        <v>12</v>
      </c>
      <c r="C2054" s="2" t="s">
        <v>13</v>
      </c>
      <c r="D2054" s="2">
        <v>48</v>
      </c>
      <c r="E2054" s="2" t="s">
        <v>26</v>
      </c>
      <c r="F2054" s="2" t="s">
        <v>16</v>
      </c>
      <c r="G2054" s="7">
        <v>103.85</v>
      </c>
      <c r="H2054" s="7">
        <v>4946.05</v>
      </c>
      <c r="I2054" s="2" t="s">
        <v>15</v>
      </c>
      <c r="J2054" s="2" t="s">
        <v>16</v>
      </c>
      <c r="K2054" s="2" t="s">
        <v>17</v>
      </c>
      <c r="L2054" s="7">
        <v>4946.05</v>
      </c>
      <c r="M2054" s="2" t="str">
        <f>_xlfn.IFS(TelecomData[[#This Row],[TenureMonths]]&lt;=12, "0-1 Year", TelecomData[[#This Row],[TenureMonths]]&lt;=36, "1-3 Years", TelecomData[[#This Row],[TenureMonths]]&gt;36, "3+ Years")</f>
        <v>3+ Years</v>
      </c>
      <c r="N2054" s="2" t="str">
        <f>IF(TelecomData[[#This Row],[CleanedTotalCharges]]&gt;=2500,"High Spend", "Standard Spend")</f>
        <v>High Spend</v>
      </c>
    </row>
    <row r="2055" spans="1:14" x14ac:dyDescent="0.3">
      <c r="A2055" s="1" t="s">
        <v>2079</v>
      </c>
      <c r="B2055" s="2" t="s">
        <v>19</v>
      </c>
      <c r="C2055" s="2" t="s">
        <v>13</v>
      </c>
      <c r="D2055" s="2">
        <v>47</v>
      </c>
      <c r="E2055" s="2" t="s">
        <v>26</v>
      </c>
      <c r="F2055" s="2" t="s">
        <v>15</v>
      </c>
      <c r="G2055" s="7">
        <v>83.35</v>
      </c>
      <c r="H2055" s="7">
        <v>4065</v>
      </c>
      <c r="I2055" s="2" t="s">
        <v>16</v>
      </c>
      <c r="J2055" s="2" t="s">
        <v>16</v>
      </c>
      <c r="K2055" s="2" t="s">
        <v>24</v>
      </c>
      <c r="L2055" s="7">
        <v>4065</v>
      </c>
      <c r="M2055" s="2" t="str">
        <f>_xlfn.IFS(TelecomData[[#This Row],[TenureMonths]]&lt;=12, "0-1 Year", TelecomData[[#This Row],[TenureMonths]]&lt;=36, "1-3 Years", TelecomData[[#This Row],[TenureMonths]]&gt;36, "3+ Years")</f>
        <v>3+ Years</v>
      </c>
      <c r="N2055" s="2" t="str">
        <f>IF(TelecomData[[#This Row],[CleanedTotalCharges]]&gt;=2500,"High Spend", "Standard Spend")</f>
        <v>High Spend</v>
      </c>
    </row>
    <row r="2056" spans="1:14" x14ac:dyDescent="0.3">
      <c r="A2056" s="1" t="s">
        <v>2080</v>
      </c>
      <c r="B2056" s="2" t="s">
        <v>12</v>
      </c>
      <c r="C2056" s="2" t="s">
        <v>13</v>
      </c>
      <c r="D2056" s="2">
        <v>2</v>
      </c>
      <c r="E2056" s="2" t="s">
        <v>14</v>
      </c>
      <c r="F2056" s="2" t="s">
        <v>15</v>
      </c>
      <c r="G2056" s="7">
        <v>49.4</v>
      </c>
      <c r="H2056" s="7">
        <v>106.55</v>
      </c>
      <c r="I2056" s="2" t="s">
        <v>16</v>
      </c>
      <c r="J2056" s="2" t="s">
        <v>16</v>
      </c>
      <c r="K2056" s="2" t="s">
        <v>17</v>
      </c>
      <c r="L2056" s="7">
        <v>106.55</v>
      </c>
      <c r="M2056" s="2" t="str">
        <f>_xlfn.IFS(TelecomData[[#This Row],[TenureMonths]]&lt;=12, "0-1 Year", TelecomData[[#This Row],[TenureMonths]]&lt;=36, "1-3 Years", TelecomData[[#This Row],[TenureMonths]]&gt;36, "3+ Years")</f>
        <v>0-1 Year</v>
      </c>
      <c r="N2056" s="2" t="str">
        <f>IF(TelecomData[[#This Row],[CleanedTotalCharges]]&gt;=2500,"High Spend", "Standard Spend")</f>
        <v>Standard Spend</v>
      </c>
    </row>
    <row r="2057" spans="1:14" x14ac:dyDescent="0.3">
      <c r="A2057" s="1" t="s">
        <v>2081</v>
      </c>
      <c r="B2057" s="2" t="s">
        <v>19</v>
      </c>
      <c r="C2057" s="2" t="s">
        <v>13</v>
      </c>
      <c r="D2057" s="2">
        <v>45</v>
      </c>
      <c r="E2057" s="2" t="s">
        <v>26</v>
      </c>
      <c r="F2057" s="2" t="s">
        <v>16</v>
      </c>
      <c r="G2057" s="7">
        <v>108.45</v>
      </c>
      <c r="H2057" s="7">
        <v>4964.7</v>
      </c>
      <c r="I2057" s="2" t="s">
        <v>15</v>
      </c>
      <c r="J2057" s="2" t="s">
        <v>16</v>
      </c>
      <c r="K2057" s="2" t="s">
        <v>29</v>
      </c>
      <c r="L2057" s="7">
        <v>4964.7</v>
      </c>
      <c r="M2057" s="2" t="str">
        <f>_xlfn.IFS(TelecomData[[#This Row],[TenureMonths]]&lt;=12, "0-1 Year", TelecomData[[#This Row],[TenureMonths]]&lt;=36, "1-3 Years", TelecomData[[#This Row],[TenureMonths]]&gt;36, "3+ Years")</f>
        <v>3+ Years</v>
      </c>
      <c r="N2057" s="2" t="str">
        <f>IF(TelecomData[[#This Row],[CleanedTotalCharges]]&gt;=2500,"High Spend", "Standard Spend")</f>
        <v>High Spend</v>
      </c>
    </row>
    <row r="2058" spans="1:14" x14ac:dyDescent="0.3">
      <c r="A2058" s="1" t="s">
        <v>2082</v>
      </c>
      <c r="B2058" s="2" t="s">
        <v>19</v>
      </c>
      <c r="C2058" s="2" t="s">
        <v>13</v>
      </c>
      <c r="D2058" s="2">
        <v>51</v>
      </c>
      <c r="E2058" s="2" t="s">
        <v>26</v>
      </c>
      <c r="F2058" s="2" t="s">
        <v>15</v>
      </c>
      <c r="G2058" s="7">
        <v>81</v>
      </c>
      <c r="H2058" s="7">
        <v>4085.75</v>
      </c>
      <c r="I2058" s="2" t="s">
        <v>15</v>
      </c>
      <c r="J2058" s="2" t="s">
        <v>15</v>
      </c>
      <c r="K2058" s="2" t="s">
        <v>24</v>
      </c>
      <c r="L2058" s="7">
        <v>4085.75</v>
      </c>
      <c r="M2058" s="2" t="str">
        <f>_xlfn.IFS(TelecomData[[#This Row],[TenureMonths]]&lt;=12, "0-1 Year", TelecomData[[#This Row],[TenureMonths]]&lt;=36, "1-3 Years", TelecomData[[#This Row],[TenureMonths]]&gt;36, "3+ Years")</f>
        <v>3+ Years</v>
      </c>
      <c r="N2058" s="2" t="str">
        <f>IF(TelecomData[[#This Row],[CleanedTotalCharges]]&gt;=2500,"High Spend", "Standard Spend")</f>
        <v>High Spend</v>
      </c>
    </row>
    <row r="2059" spans="1:14" x14ac:dyDescent="0.3">
      <c r="A2059" s="1" t="s">
        <v>2083</v>
      </c>
      <c r="B2059" s="2" t="s">
        <v>12</v>
      </c>
      <c r="C2059" s="2" t="s">
        <v>13</v>
      </c>
      <c r="D2059" s="2">
        <v>22</v>
      </c>
      <c r="E2059" s="2" t="s">
        <v>14</v>
      </c>
      <c r="F2059" s="2" t="s">
        <v>16</v>
      </c>
      <c r="G2059" s="7">
        <v>79.2</v>
      </c>
      <c r="H2059" s="7">
        <v>1742.75</v>
      </c>
      <c r="I2059" s="2" t="s">
        <v>16</v>
      </c>
      <c r="J2059" s="2" t="s">
        <v>16</v>
      </c>
      <c r="K2059" s="2" t="s">
        <v>17</v>
      </c>
      <c r="L2059" s="7">
        <v>1742.75</v>
      </c>
      <c r="M2059" s="2" t="str">
        <f>_xlfn.IFS(TelecomData[[#This Row],[TenureMonths]]&lt;=12, "0-1 Year", TelecomData[[#This Row],[TenureMonths]]&lt;=36, "1-3 Years", TelecomData[[#This Row],[TenureMonths]]&gt;36, "3+ Years")</f>
        <v>1-3 Years</v>
      </c>
      <c r="N2059" s="2" t="str">
        <f>IF(TelecomData[[#This Row],[CleanedTotalCharges]]&gt;=2500,"High Spend", "Standard Spend")</f>
        <v>Standard Spend</v>
      </c>
    </row>
    <row r="2060" spans="1:14" x14ac:dyDescent="0.3">
      <c r="A2060" s="1" t="s">
        <v>2084</v>
      </c>
      <c r="B2060" s="2" t="s">
        <v>19</v>
      </c>
      <c r="C2060" s="2" t="s">
        <v>35</v>
      </c>
      <c r="D2060" s="2">
        <v>72</v>
      </c>
      <c r="E2060" s="2" t="s">
        <v>14</v>
      </c>
      <c r="F2060" s="2" t="s">
        <v>16</v>
      </c>
      <c r="G2060" s="7">
        <v>86.65</v>
      </c>
      <c r="H2060" s="7">
        <v>6224.8</v>
      </c>
      <c r="I2060" s="2" t="s">
        <v>15</v>
      </c>
      <c r="J2060" s="2" t="s">
        <v>15</v>
      </c>
      <c r="K2060" s="2" t="s">
        <v>24</v>
      </c>
      <c r="L2060" s="7">
        <v>6224.8</v>
      </c>
      <c r="M2060" s="2" t="str">
        <f>_xlfn.IFS(TelecomData[[#This Row],[TenureMonths]]&lt;=12, "0-1 Year", TelecomData[[#This Row],[TenureMonths]]&lt;=36, "1-3 Years", TelecomData[[#This Row],[TenureMonths]]&gt;36, "3+ Years")</f>
        <v>3+ Years</v>
      </c>
      <c r="N2060" s="2" t="str">
        <f>IF(TelecomData[[#This Row],[CleanedTotalCharges]]&gt;=2500,"High Spend", "Standard Spend")</f>
        <v>High Spend</v>
      </c>
    </row>
    <row r="2061" spans="1:14" x14ac:dyDescent="0.3">
      <c r="A2061" s="1" t="s">
        <v>2085</v>
      </c>
      <c r="B2061" s="2" t="s">
        <v>19</v>
      </c>
      <c r="C2061" s="2" t="s">
        <v>13</v>
      </c>
      <c r="D2061" s="2">
        <v>37</v>
      </c>
      <c r="E2061" s="2" t="s">
        <v>26</v>
      </c>
      <c r="F2061" s="2" t="s">
        <v>15</v>
      </c>
      <c r="G2061" s="7">
        <v>92.95</v>
      </c>
      <c r="H2061" s="7">
        <v>3415.25</v>
      </c>
      <c r="I2061" s="2" t="s">
        <v>15</v>
      </c>
      <c r="J2061" s="2" t="s">
        <v>16</v>
      </c>
      <c r="K2061" s="2" t="s">
        <v>17</v>
      </c>
      <c r="L2061" s="7">
        <v>3415.25</v>
      </c>
      <c r="M2061" s="2" t="str">
        <f>_xlfn.IFS(TelecomData[[#This Row],[TenureMonths]]&lt;=12, "0-1 Year", TelecomData[[#This Row],[TenureMonths]]&lt;=36, "1-3 Years", TelecomData[[#This Row],[TenureMonths]]&gt;36, "3+ Years")</f>
        <v>3+ Years</v>
      </c>
      <c r="N2061" s="2" t="str">
        <f>IF(TelecomData[[#This Row],[CleanedTotalCharges]]&gt;=2500,"High Spend", "Standard Spend")</f>
        <v>High Spend</v>
      </c>
    </row>
    <row r="2062" spans="1:14" x14ac:dyDescent="0.3">
      <c r="A2062" s="1" t="s">
        <v>2086</v>
      </c>
      <c r="B2062" s="2" t="s">
        <v>19</v>
      </c>
      <c r="C2062" s="2" t="s">
        <v>35</v>
      </c>
      <c r="D2062" s="2">
        <v>71</v>
      </c>
      <c r="E2062" s="2" t="s">
        <v>14</v>
      </c>
      <c r="F2062" s="2" t="s">
        <v>16</v>
      </c>
      <c r="G2062" s="7">
        <v>90.35</v>
      </c>
      <c r="H2062" s="7">
        <v>6325.25</v>
      </c>
      <c r="I2062" s="2" t="s">
        <v>15</v>
      </c>
      <c r="J2062" s="2" t="s">
        <v>15</v>
      </c>
      <c r="K2062" s="2" t="s">
        <v>17</v>
      </c>
      <c r="L2062" s="7">
        <v>6325.25</v>
      </c>
      <c r="M2062" s="2" t="str">
        <f>_xlfn.IFS(TelecomData[[#This Row],[TenureMonths]]&lt;=12, "0-1 Year", TelecomData[[#This Row],[TenureMonths]]&lt;=36, "1-3 Years", TelecomData[[#This Row],[TenureMonths]]&gt;36, "3+ Years")</f>
        <v>3+ Years</v>
      </c>
      <c r="N2062" s="2" t="str">
        <f>IF(TelecomData[[#This Row],[CleanedTotalCharges]]&gt;=2500,"High Spend", "Standard Spend")</f>
        <v>High Spend</v>
      </c>
    </row>
    <row r="2063" spans="1:14" x14ac:dyDescent="0.3">
      <c r="A2063" s="1" t="s">
        <v>2087</v>
      </c>
      <c r="B2063" s="2" t="s">
        <v>19</v>
      </c>
      <c r="C2063" s="2" t="s">
        <v>13</v>
      </c>
      <c r="D2063" s="2">
        <v>7</v>
      </c>
      <c r="E2063" s="2" t="s">
        <v>14</v>
      </c>
      <c r="F2063" s="2" t="s">
        <v>15</v>
      </c>
      <c r="G2063" s="7">
        <v>48.7</v>
      </c>
      <c r="H2063" s="7">
        <v>340.25</v>
      </c>
      <c r="I2063" s="2" t="s">
        <v>16</v>
      </c>
      <c r="J2063" s="2" t="s">
        <v>15</v>
      </c>
      <c r="K2063" s="2" t="s">
        <v>17</v>
      </c>
      <c r="L2063" s="7">
        <v>340.25</v>
      </c>
      <c r="M2063" s="2" t="str">
        <f>_xlfn.IFS(TelecomData[[#This Row],[TenureMonths]]&lt;=12, "0-1 Year", TelecomData[[#This Row],[TenureMonths]]&lt;=36, "1-3 Years", TelecomData[[#This Row],[TenureMonths]]&gt;36, "3+ Years")</f>
        <v>0-1 Year</v>
      </c>
      <c r="N2063" s="2" t="str">
        <f>IF(TelecomData[[#This Row],[CleanedTotalCharges]]&gt;=2500,"High Spend", "Standard Spend")</f>
        <v>Standard Spend</v>
      </c>
    </row>
    <row r="2064" spans="1:14" x14ac:dyDescent="0.3">
      <c r="A2064" s="1" t="s">
        <v>2088</v>
      </c>
      <c r="B2064" s="2" t="s">
        <v>12</v>
      </c>
      <c r="C2064" s="2" t="s">
        <v>35</v>
      </c>
      <c r="D2064" s="2">
        <v>66</v>
      </c>
      <c r="E2064" s="2" t="s">
        <v>15</v>
      </c>
      <c r="F2064" s="2" t="s">
        <v>36</v>
      </c>
      <c r="G2064" s="7">
        <v>25.15</v>
      </c>
      <c r="H2064" s="7">
        <v>1683.6</v>
      </c>
      <c r="I2064" s="2" t="s">
        <v>15</v>
      </c>
      <c r="J2064" s="2" t="s">
        <v>16</v>
      </c>
      <c r="K2064" s="2" t="s">
        <v>29</v>
      </c>
      <c r="L2064" s="7">
        <v>1683.6</v>
      </c>
      <c r="M2064" s="2" t="str">
        <f>_xlfn.IFS(TelecomData[[#This Row],[TenureMonths]]&lt;=12, "0-1 Year", TelecomData[[#This Row],[TenureMonths]]&lt;=36, "1-3 Years", TelecomData[[#This Row],[TenureMonths]]&gt;36, "3+ Years")</f>
        <v>3+ Years</v>
      </c>
      <c r="N2064" s="2" t="str">
        <f>IF(TelecomData[[#This Row],[CleanedTotalCharges]]&gt;=2500,"High Spend", "Standard Spend")</f>
        <v>Standard Spend</v>
      </c>
    </row>
    <row r="2065" spans="1:14" x14ac:dyDescent="0.3">
      <c r="A2065" s="1" t="s">
        <v>2089</v>
      </c>
      <c r="B2065" s="2" t="s">
        <v>19</v>
      </c>
      <c r="C2065" s="2" t="s">
        <v>20</v>
      </c>
      <c r="D2065" s="2">
        <v>51</v>
      </c>
      <c r="E2065" s="2" t="s">
        <v>14</v>
      </c>
      <c r="F2065" s="2" t="s">
        <v>16</v>
      </c>
      <c r="G2065" s="7">
        <v>76.400000000000006</v>
      </c>
      <c r="H2065" s="7">
        <v>3966.3</v>
      </c>
      <c r="I2065" s="2" t="s">
        <v>15</v>
      </c>
      <c r="J2065" s="2" t="s">
        <v>16</v>
      </c>
      <c r="K2065" s="2" t="s">
        <v>24</v>
      </c>
      <c r="L2065" s="7">
        <v>3966.3</v>
      </c>
      <c r="M2065" s="2" t="str">
        <f>_xlfn.IFS(TelecomData[[#This Row],[TenureMonths]]&lt;=12, "0-1 Year", TelecomData[[#This Row],[TenureMonths]]&lt;=36, "1-3 Years", TelecomData[[#This Row],[TenureMonths]]&gt;36, "3+ Years")</f>
        <v>3+ Years</v>
      </c>
      <c r="N2065" s="2" t="str">
        <f>IF(TelecomData[[#This Row],[CleanedTotalCharges]]&gt;=2500,"High Spend", "Standard Spend")</f>
        <v>High Spend</v>
      </c>
    </row>
    <row r="2066" spans="1:14" x14ac:dyDescent="0.3">
      <c r="A2066" s="1" t="s">
        <v>2090</v>
      </c>
      <c r="B2066" s="2" t="s">
        <v>12</v>
      </c>
      <c r="C2066" s="2" t="s">
        <v>20</v>
      </c>
      <c r="D2066" s="2">
        <v>30</v>
      </c>
      <c r="E2066" s="2" t="s">
        <v>15</v>
      </c>
      <c r="F2066" s="2" t="s">
        <v>36</v>
      </c>
      <c r="G2066" s="7">
        <v>19.55</v>
      </c>
      <c r="H2066" s="7">
        <v>608.5</v>
      </c>
      <c r="I2066" s="2" t="s">
        <v>15</v>
      </c>
      <c r="J2066" s="2" t="s">
        <v>15</v>
      </c>
      <c r="K2066" s="2" t="s">
        <v>24</v>
      </c>
      <c r="L2066" s="7">
        <v>608.5</v>
      </c>
      <c r="M2066" s="2" t="str">
        <f>_xlfn.IFS(TelecomData[[#This Row],[TenureMonths]]&lt;=12, "0-1 Year", TelecomData[[#This Row],[TenureMonths]]&lt;=36, "1-3 Years", TelecomData[[#This Row],[TenureMonths]]&gt;36, "3+ Years")</f>
        <v>1-3 Years</v>
      </c>
      <c r="N2066" s="2" t="str">
        <f>IF(TelecomData[[#This Row],[CleanedTotalCharges]]&gt;=2500,"High Spend", "Standard Spend")</f>
        <v>Standard Spend</v>
      </c>
    </row>
    <row r="2067" spans="1:14" x14ac:dyDescent="0.3">
      <c r="A2067" s="1" t="s">
        <v>2091</v>
      </c>
      <c r="B2067" s="2" t="s">
        <v>12</v>
      </c>
      <c r="C2067" s="2" t="s">
        <v>13</v>
      </c>
      <c r="D2067" s="2">
        <v>34</v>
      </c>
      <c r="E2067" s="2" t="s">
        <v>26</v>
      </c>
      <c r="F2067" s="2" t="s">
        <v>15</v>
      </c>
      <c r="G2067" s="7">
        <v>85.35</v>
      </c>
      <c r="H2067" s="7">
        <v>2896.6</v>
      </c>
      <c r="I2067" s="2" t="s">
        <v>15</v>
      </c>
      <c r="J2067" s="2" t="s">
        <v>15</v>
      </c>
      <c r="K2067" s="2" t="s">
        <v>17</v>
      </c>
      <c r="L2067" s="7">
        <v>2896.6</v>
      </c>
      <c r="M2067" s="2" t="str">
        <f>_xlfn.IFS(TelecomData[[#This Row],[TenureMonths]]&lt;=12, "0-1 Year", TelecomData[[#This Row],[TenureMonths]]&lt;=36, "1-3 Years", TelecomData[[#This Row],[TenureMonths]]&gt;36, "3+ Years")</f>
        <v>1-3 Years</v>
      </c>
      <c r="N2067" s="2" t="str">
        <f>IF(TelecomData[[#This Row],[CleanedTotalCharges]]&gt;=2500,"High Spend", "Standard Spend")</f>
        <v>High Spend</v>
      </c>
    </row>
    <row r="2068" spans="1:14" x14ac:dyDescent="0.3">
      <c r="A2068" s="1" t="s">
        <v>2092</v>
      </c>
      <c r="B2068" s="2" t="s">
        <v>19</v>
      </c>
      <c r="C2068" s="2" t="s">
        <v>35</v>
      </c>
      <c r="D2068" s="2">
        <v>64</v>
      </c>
      <c r="E2068" s="2" t="s">
        <v>15</v>
      </c>
      <c r="F2068" s="2" t="s">
        <v>36</v>
      </c>
      <c r="G2068" s="7">
        <v>24.8</v>
      </c>
      <c r="H2068" s="7">
        <v>1514.85</v>
      </c>
      <c r="I2068" s="2" t="s">
        <v>15</v>
      </c>
      <c r="J2068" s="2" t="s">
        <v>16</v>
      </c>
      <c r="K2068" s="2" t="s">
        <v>21</v>
      </c>
      <c r="L2068" s="7">
        <v>1514.85</v>
      </c>
      <c r="M2068" s="2" t="str">
        <f>_xlfn.IFS(TelecomData[[#This Row],[TenureMonths]]&lt;=12, "0-1 Year", TelecomData[[#This Row],[TenureMonths]]&lt;=36, "1-3 Years", TelecomData[[#This Row],[TenureMonths]]&gt;36, "3+ Years")</f>
        <v>3+ Years</v>
      </c>
      <c r="N2068" s="2" t="str">
        <f>IF(TelecomData[[#This Row],[CleanedTotalCharges]]&gt;=2500,"High Spend", "Standard Spend")</f>
        <v>Standard Spend</v>
      </c>
    </row>
    <row r="2069" spans="1:14" x14ac:dyDescent="0.3">
      <c r="A2069" s="1" t="s">
        <v>2093</v>
      </c>
      <c r="B2069" s="2" t="s">
        <v>19</v>
      </c>
      <c r="C2069" s="2" t="s">
        <v>20</v>
      </c>
      <c r="D2069" s="2">
        <v>65</v>
      </c>
      <c r="E2069" s="2" t="s">
        <v>26</v>
      </c>
      <c r="F2069" s="2" t="s">
        <v>15</v>
      </c>
      <c r="G2069" s="7">
        <v>103.15</v>
      </c>
      <c r="H2069" s="7">
        <v>6792.45</v>
      </c>
      <c r="I2069" s="2" t="s">
        <v>15</v>
      </c>
      <c r="J2069" s="2" t="s">
        <v>16</v>
      </c>
      <c r="K2069" s="2" t="s">
        <v>24</v>
      </c>
      <c r="L2069" s="7">
        <v>6792.45</v>
      </c>
      <c r="M2069" s="2" t="str">
        <f>_xlfn.IFS(TelecomData[[#This Row],[TenureMonths]]&lt;=12, "0-1 Year", TelecomData[[#This Row],[TenureMonths]]&lt;=36, "1-3 Years", TelecomData[[#This Row],[TenureMonths]]&gt;36, "3+ Years")</f>
        <v>3+ Years</v>
      </c>
      <c r="N2069" s="2" t="str">
        <f>IF(TelecomData[[#This Row],[CleanedTotalCharges]]&gt;=2500,"High Spend", "Standard Spend")</f>
        <v>High Spend</v>
      </c>
    </row>
    <row r="2070" spans="1:14" x14ac:dyDescent="0.3">
      <c r="A2070" s="1" t="s">
        <v>2094</v>
      </c>
      <c r="B2070" s="2" t="s">
        <v>19</v>
      </c>
      <c r="C2070" s="2" t="s">
        <v>13</v>
      </c>
      <c r="D2070" s="2">
        <v>47</v>
      </c>
      <c r="E2070" s="2" t="s">
        <v>26</v>
      </c>
      <c r="F2070" s="2" t="s">
        <v>16</v>
      </c>
      <c r="G2070" s="7">
        <v>100.75</v>
      </c>
      <c r="H2070" s="7">
        <v>4669.2</v>
      </c>
      <c r="I2070" s="2" t="s">
        <v>15</v>
      </c>
      <c r="J2070" s="2" t="s">
        <v>15</v>
      </c>
      <c r="K2070" s="2" t="s">
        <v>21</v>
      </c>
      <c r="L2070" s="7">
        <v>4669.2</v>
      </c>
      <c r="M2070" s="2" t="str">
        <f>_xlfn.IFS(TelecomData[[#This Row],[TenureMonths]]&lt;=12, "0-1 Year", TelecomData[[#This Row],[TenureMonths]]&lt;=36, "1-3 Years", TelecomData[[#This Row],[TenureMonths]]&gt;36, "3+ Years")</f>
        <v>3+ Years</v>
      </c>
      <c r="N2070" s="2" t="str">
        <f>IF(TelecomData[[#This Row],[CleanedTotalCharges]]&gt;=2500,"High Spend", "Standard Spend")</f>
        <v>High Spend</v>
      </c>
    </row>
    <row r="2071" spans="1:14" x14ac:dyDescent="0.3">
      <c r="A2071" s="1" t="s">
        <v>2095</v>
      </c>
      <c r="B2071" s="2" t="s">
        <v>12</v>
      </c>
      <c r="C2071" s="2" t="s">
        <v>13</v>
      </c>
      <c r="D2071" s="2">
        <v>1</v>
      </c>
      <c r="E2071" s="2" t="s">
        <v>26</v>
      </c>
      <c r="F2071" s="2" t="s">
        <v>15</v>
      </c>
      <c r="G2071" s="7">
        <v>95.6</v>
      </c>
      <c r="H2071" s="7">
        <v>95.6</v>
      </c>
      <c r="I2071" s="2" t="s">
        <v>16</v>
      </c>
      <c r="J2071" s="2" t="s">
        <v>16</v>
      </c>
      <c r="K2071" s="2" t="s">
        <v>17</v>
      </c>
      <c r="L2071" s="7">
        <v>95.6</v>
      </c>
      <c r="M2071" s="2" t="str">
        <f>_xlfn.IFS(TelecomData[[#This Row],[TenureMonths]]&lt;=12, "0-1 Year", TelecomData[[#This Row],[TenureMonths]]&lt;=36, "1-3 Years", TelecomData[[#This Row],[TenureMonths]]&gt;36, "3+ Years")</f>
        <v>0-1 Year</v>
      </c>
      <c r="N2071" s="2" t="str">
        <f>IF(TelecomData[[#This Row],[CleanedTotalCharges]]&gt;=2500,"High Spend", "Standard Spend")</f>
        <v>Standard Spend</v>
      </c>
    </row>
    <row r="2072" spans="1:14" x14ac:dyDescent="0.3">
      <c r="A2072" s="1" t="s">
        <v>2096</v>
      </c>
      <c r="B2072" s="2" t="s">
        <v>12</v>
      </c>
      <c r="C2072" s="2" t="s">
        <v>13</v>
      </c>
      <c r="D2072" s="2">
        <v>49</v>
      </c>
      <c r="E2072" s="2" t="s">
        <v>14</v>
      </c>
      <c r="F2072" s="2" t="s">
        <v>15</v>
      </c>
      <c r="G2072" s="7">
        <v>59.75</v>
      </c>
      <c r="H2072" s="7">
        <v>2934.3</v>
      </c>
      <c r="I2072" s="2" t="s">
        <v>16</v>
      </c>
      <c r="J2072" s="2" t="s">
        <v>16</v>
      </c>
      <c r="K2072" s="2" t="s">
        <v>29</v>
      </c>
      <c r="L2072" s="7">
        <v>2934.3</v>
      </c>
      <c r="M2072" s="2" t="str">
        <f>_xlfn.IFS(TelecomData[[#This Row],[TenureMonths]]&lt;=12, "0-1 Year", TelecomData[[#This Row],[TenureMonths]]&lt;=36, "1-3 Years", TelecomData[[#This Row],[TenureMonths]]&gt;36, "3+ Years")</f>
        <v>3+ Years</v>
      </c>
      <c r="N2072" s="2" t="str">
        <f>IF(TelecomData[[#This Row],[CleanedTotalCharges]]&gt;=2500,"High Spend", "Standard Spend")</f>
        <v>High Spend</v>
      </c>
    </row>
    <row r="2073" spans="1:14" x14ac:dyDescent="0.3">
      <c r="A2073" s="1" t="s">
        <v>2097</v>
      </c>
      <c r="B2073" s="2" t="s">
        <v>12</v>
      </c>
      <c r="C2073" s="2" t="s">
        <v>35</v>
      </c>
      <c r="D2073" s="2">
        <v>67</v>
      </c>
      <c r="E2073" s="2" t="s">
        <v>26</v>
      </c>
      <c r="F2073" s="2" t="s">
        <v>16</v>
      </c>
      <c r="G2073" s="7">
        <v>94.1</v>
      </c>
      <c r="H2073" s="7">
        <v>6302.8</v>
      </c>
      <c r="I2073" s="2" t="s">
        <v>15</v>
      </c>
      <c r="J2073" s="2" t="s">
        <v>15</v>
      </c>
      <c r="K2073" s="2" t="s">
        <v>29</v>
      </c>
      <c r="L2073" s="7">
        <v>6302.8</v>
      </c>
      <c r="M2073" s="2" t="str">
        <f>_xlfn.IFS(TelecomData[[#This Row],[TenureMonths]]&lt;=12, "0-1 Year", TelecomData[[#This Row],[TenureMonths]]&lt;=36, "1-3 Years", TelecomData[[#This Row],[TenureMonths]]&gt;36, "3+ Years")</f>
        <v>3+ Years</v>
      </c>
      <c r="N2073" s="2" t="str">
        <f>IF(TelecomData[[#This Row],[CleanedTotalCharges]]&gt;=2500,"High Spend", "Standard Spend")</f>
        <v>High Spend</v>
      </c>
    </row>
    <row r="2074" spans="1:14" x14ac:dyDescent="0.3">
      <c r="A2074" s="1" t="s">
        <v>2098</v>
      </c>
      <c r="B2074" s="2" t="s">
        <v>19</v>
      </c>
      <c r="C2074" s="2" t="s">
        <v>20</v>
      </c>
      <c r="D2074" s="2">
        <v>39</v>
      </c>
      <c r="E2074" s="2" t="s">
        <v>15</v>
      </c>
      <c r="F2074" s="2" t="s">
        <v>36</v>
      </c>
      <c r="G2074" s="7">
        <v>19.350000000000001</v>
      </c>
      <c r="H2074" s="7">
        <v>779.2</v>
      </c>
      <c r="I2074" s="2" t="s">
        <v>15</v>
      </c>
      <c r="J2074" s="2" t="s">
        <v>15</v>
      </c>
      <c r="K2074" s="2" t="s">
        <v>24</v>
      </c>
      <c r="L2074" s="7">
        <v>779.2</v>
      </c>
      <c r="M2074" s="2" t="str">
        <f>_xlfn.IFS(TelecomData[[#This Row],[TenureMonths]]&lt;=12, "0-1 Year", TelecomData[[#This Row],[TenureMonths]]&lt;=36, "1-3 Years", TelecomData[[#This Row],[TenureMonths]]&gt;36, "3+ Years")</f>
        <v>3+ Years</v>
      </c>
      <c r="N2074" s="2" t="str">
        <f>IF(TelecomData[[#This Row],[CleanedTotalCharges]]&gt;=2500,"High Spend", "Standard Spend")</f>
        <v>Standard Spend</v>
      </c>
    </row>
    <row r="2075" spans="1:14" x14ac:dyDescent="0.3">
      <c r="A2075" s="1" t="s">
        <v>2099</v>
      </c>
      <c r="B2075" s="2" t="s">
        <v>19</v>
      </c>
      <c r="C2075" s="2" t="s">
        <v>13</v>
      </c>
      <c r="D2075" s="2">
        <v>14</v>
      </c>
      <c r="E2075" s="2" t="s">
        <v>15</v>
      </c>
      <c r="F2075" s="2" t="s">
        <v>36</v>
      </c>
      <c r="G2075" s="7">
        <v>19.899999999999999</v>
      </c>
      <c r="H2075" s="7">
        <v>283.75</v>
      </c>
      <c r="I2075" s="2" t="s">
        <v>15</v>
      </c>
      <c r="J2075" s="2" t="s">
        <v>15</v>
      </c>
      <c r="K2075" s="2" t="s">
        <v>21</v>
      </c>
      <c r="L2075" s="7">
        <v>283.75</v>
      </c>
      <c r="M2075" s="2" t="str">
        <f>_xlfn.IFS(TelecomData[[#This Row],[TenureMonths]]&lt;=12, "0-1 Year", TelecomData[[#This Row],[TenureMonths]]&lt;=36, "1-3 Years", TelecomData[[#This Row],[TenureMonths]]&gt;36, "3+ Years")</f>
        <v>1-3 Years</v>
      </c>
      <c r="N2075" s="2" t="str">
        <f>IF(TelecomData[[#This Row],[CleanedTotalCharges]]&gt;=2500,"High Spend", "Standard Spend")</f>
        <v>Standard Spend</v>
      </c>
    </row>
    <row r="2076" spans="1:14" x14ac:dyDescent="0.3">
      <c r="A2076" s="1" t="s">
        <v>2100</v>
      </c>
      <c r="B2076" s="2" t="s">
        <v>12</v>
      </c>
      <c r="C2076" s="2" t="s">
        <v>13</v>
      </c>
      <c r="D2076" s="2">
        <v>43</v>
      </c>
      <c r="E2076" s="2" t="s">
        <v>26</v>
      </c>
      <c r="F2076" s="2" t="s">
        <v>16</v>
      </c>
      <c r="G2076" s="7">
        <v>108.15</v>
      </c>
      <c r="H2076" s="7">
        <v>4600.7</v>
      </c>
      <c r="I2076" s="2" t="s">
        <v>16</v>
      </c>
      <c r="J2076" s="2" t="s">
        <v>16</v>
      </c>
      <c r="K2076" s="2" t="s">
        <v>29</v>
      </c>
      <c r="L2076" s="7">
        <v>4600.7</v>
      </c>
      <c r="M2076" s="2" t="str">
        <f>_xlfn.IFS(TelecomData[[#This Row],[TenureMonths]]&lt;=12, "0-1 Year", TelecomData[[#This Row],[TenureMonths]]&lt;=36, "1-3 Years", TelecomData[[#This Row],[TenureMonths]]&gt;36, "3+ Years")</f>
        <v>3+ Years</v>
      </c>
      <c r="N2076" s="2" t="str">
        <f>IF(TelecomData[[#This Row],[CleanedTotalCharges]]&gt;=2500,"High Spend", "Standard Spend")</f>
        <v>High Spend</v>
      </c>
    </row>
    <row r="2077" spans="1:14" x14ac:dyDescent="0.3">
      <c r="A2077" s="1" t="s">
        <v>2101</v>
      </c>
      <c r="B2077" s="2" t="s">
        <v>19</v>
      </c>
      <c r="C2077" s="2" t="s">
        <v>13</v>
      </c>
      <c r="D2077" s="2">
        <v>56</v>
      </c>
      <c r="E2077" s="2" t="s">
        <v>26</v>
      </c>
      <c r="F2077" s="2" t="s">
        <v>15</v>
      </c>
      <c r="G2077" s="7">
        <v>101.05</v>
      </c>
      <c r="H2077" s="7">
        <v>5594</v>
      </c>
      <c r="I2077" s="2" t="s">
        <v>15</v>
      </c>
      <c r="J2077" s="2" t="s">
        <v>16</v>
      </c>
      <c r="K2077" s="2" t="s">
        <v>17</v>
      </c>
      <c r="L2077" s="7">
        <v>5594</v>
      </c>
      <c r="M2077" s="2" t="str">
        <f>_xlfn.IFS(TelecomData[[#This Row],[TenureMonths]]&lt;=12, "0-1 Year", TelecomData[[#This Row],[TenureMonths]]&lt;=36, "1-3 Years", TelecomData[[#This Row],[TenureMonths]]&gt;36, "3+ Years")</f>
        <v>3+ Years</v>
      </c>
      <c r="N2077" s="2" t="str">
        <f>IF(TelecomData[[#This Row],[CleanedTotalCharges]]&gt;=2500,"High Spend", "Standard Spend")</f>
        <v>High Spend</v>
      </c>
    </row>
    <row r="2078" spans="1:14" x14ac:dyDescent="0.3">
      <c r="A2078" s="1" t="s">
        <v>2102</v>
      </c>
      <c r="B2078" s="2" t="s">
        <v>12</v>
      </c>
      <c r="C2078" s="2" t="s">
        <v>20</v>
      </c>
      <c r="D2078" s="2">
        <v>14</v>
      </c>
      <c r="E2078" s="2" t="s">
        <v>14</v>
      </c>
      <c r="F2078" s="2" t="s">
        <v>16</v>
      </c>
      <c r="G2078" s="7">
        <v>59.1</v>
      </c>
      <c r="H2078" s="7">
        <v>772.85</v>
      </c>
      <c r="I2078" s="2" t="s">
        <v>15</v>
      </c>
      <c r="J2078" s="2" t="s">
        <v>15</v>
      </c>
      <c r="K2078" s="2" t="s">
        <v>29</v>
      </c>
      <c r="L2078" s="7">
        <v>772.85</v>
      </c>
      <c r="M2078" s="2" t="str">
        <f>_xlfn.IFS(TelecomData[[#This Row],[TenureMonths]]&lt;=12, "0-1 Year", TelecomData[[#This Row],[TenureMonths]]&lt;=36, "1-3 Years", TelecomData[[#This Row],[TenureMonths]]&gt;36, "3+ Years")</f>
        <v>1-3 Years</v>
      </c>
      <c r="N2078" s="2" t="str">
        <f>IF(TelecomData[[#This Row],[CleanedTotalCharges]]&gt;=2500,"High Spend", "Standard Spend")</f>
        <v>Standard Spend</v>
      </c>
    </row>
    <row r="2079" spans="1:14" x14ac:dyDescent="0.3">
      <c r="A2079" s="1" t="s">
        <v>2103</v>
      </c>
      <c r="B2079" s="2" t="s">
        <v>12</v>
      </c>
      <c r="C2079" s="2" t="s">
        <v>13</v>
      </c>
      <c r="D2079" s="2">
        <v>1</v>
      </c>
      <c r="E2079" s="2" t="s">
        <v>26</v>
      </c>
      <c r="F2079" s="2" t="s">
        <v>15</v>
      </c>
      <c r="G2079" s="7">
        <v>71.349999999999994</v>
      </c>
      <c r="H2079" s="7">
        <v>71.349999999999994</v>
      </c>
      <c r="I2079" s="2" t="s">
        <v>16</v>
      </c>
      <c r="J2079" s="2" t="s">
        <v>15</v>
      </c>
      <c r="K2079" s="2" t="s">
        <v>17</v>
      </c>
      <c r="L2079" s="7">
        <v>71.349999999999994</v>
      </c>
      <c r="M2079" s="2" t="str">
        <f>_xlfn.IFS(TelecomData[[#This Row],[TenureMonths]]&lt;=12, "0-1 Year", TelecomData[[#This Row],[TenureMonths]]&lt;=36, "1-3 Years", TelecomData[[#This Row],[TenureMonths]]&gt;36, "3+ Years")</f>
        <v>0-1 Year</v>
      </c>
      <c r="N2079" s="2" t="str">
        <f>IF(TelecomData[[#This Row],[CleanedTotalCharges]]&gt;=2500,"High Spend", "Standard Spend")</f>
        <v>Standard Spend</v>
      </c>
    </row>
    <row r="2080" spans="1:14" x14ac:dyDescent="0.3">
      <c r="A2080" s="1" t="s">
        <v>2104</v>
      </c>
      <c r="B2080" s="2" t="s">
        <v>19</v>
      </c>
      <c r="C2080" s="2" t="s">
        <v>20</v>
      </c>
      <c r="D2080" s="2">
        <v>16</v>
      </c>
      <c r="E2080" s="2" t="s">
        <v>14</v>
      </c>
      <c r="F2080" s="2" t="s">
        <v>15</v>
      </c>
      <c r="G2080" s="7">
        <v>55.85</v>
      </c>
      <c r="H2080" s="7">
        <v>857.8</v>
      </c>
      <c r="I2080" s="2" t="s">
        <v>15</v>
      </c>
      <c r="J2080" s="2" t="s">
        <v>16</v>
      </c>
      <c r="K2080" s="2" t="s">
        <v>21</v>
      </c>
      <c r="L2080" s="7">
        <v>857.8</v>
      </c>
      <c r="M2080" s="2" t="str">
        <f>_xlfn.IFS(TelecomData[[#This Row],[TenureMonths]]&lt;=12, "0-1 Year", TelecomData[[#This Row],[TenureMonths]]&lt;=36, "1-3 Years", TelecomData[[#This Row],[TenureMonths]]&gt;36, "3+ Years")</f>
        <v>1-3 Years</v>
      </c>
      <c r="N2080" s="2" t="str">
        <f>IF(TelecomData[[#This Row],[CleanedTotalCharges]]&gt;=2500,"High Spend", "Standard Spend")</f>
        <v>Standard Spend</v>
      </c>
    </row>
    <row r="2081" spans="1:14" x14ac:dyDescent="0.3">
      <c r="A2081" s="1" t="s">
        <v>2105</v>
      </c>
      <c r="B2081" s="2" t="s">
        <v>19</v>
      </c>
      <c r="C2081" s="2" t="s">
        <v>13</v>
      </c>
      <c r="D2081" s="2">
        <v>70</v>
      </c>
      <c r="E2081" s="2" t="s">
        <v>26</v>
      </c>
      <c r="F2081" s="2" t="s">
        <v>15</v>
      </c>
      <c r="G2081" s="7">
        <v>106.05</v>
      </c>
      <c r="H2081" s="7">
        <v>7554.05</v>
      </c>
      <c r="I2081" s="2" t="s">
        <v>15</v>
      </c>
      <c r="J2081" s="2" t="s">
        <v>16</v>
      </c>
      <c r="K2081" s="2" t="s">
        <v>17</v>
      </c>
      <c r="L2081" s="7">
        <v>7554.05</v>
      </c>
      <c r="M2081" s="2" t="str">
        <f>_xlfn.IFS(TelecomData[[#This Row],[TenureMonths]]&lt;=12, "0-1 Year", TelecomData[[#This Row],[TenureMonths]]&lt;=36, "1-3 Years", TelecomData[[#This Row],[TenureMonths]]&gt;36, "3+ Years")</f>
        <v>3+ Years</v>
      </c>
      <c r="N2081" s="2" t="str">
        <f>IF(TelecomData[[#This Row],[CleanedTotalCharges]]&gt;=2500,"High Spend", "Standard Spend")</f>
        <v>High Spend</v>
      </c>
    </row>
    <row r="2082" spans="1:14" x14ac:dyDescent="0.3">
      <c r="A2082" s="1" t="s">
        <v>2106</v>
      </c>
      <c r="B2082" s="2" t="s">
        <v>19</v>
      </c>
      <c r="C2082" s="2" t="s">
        <v>35</v>
      </c>
      <c r="D2082" s="2">
        <v>72</v>
      </c>
      <c r="E2082" s="2" t="s">
        <v>14</v>
      </c>
      <c r="F2082" s="2" t="s">
        <v>15</v>
      </c>
      <c r="G2082" s="7">
        <v>84.1</v>
      </c>
      <c r="H2082" s="7">
        <v>5981.65</v>
      </c>
      <c r="I2082" s="2" t="s">
        <v>15</v>
      </c>
      <c r="J2082" s="2" t="s">
        <v>16</v>
      </c>
      <c r="K2082" s="2" t="s">
        <v>29</v>
      </c>
      <c r="L2082" s="7">
        <v>5981.65</v>
      </c>
      <c r="M2082" s="2" t="str">
        <f>_xlfn.IFS(TelecomData[[#This Row],[TenureMonths]]&lt;=12, "0-1 Year", TelecomData[[#This Row],[TenureMonths]]&lt;=36, "1-3 Years", TelecomData[[#This Row],[TenureMonths]]&gt;36, "3+ Years")</f>
        <v>3+ Years</v>
      </c>
      <c r="N2082" s="2" t="str">
        <f>IF(TelecomData[[#This Row],[CleanedTotalCharges]]&gt;=2500,"High Spend", "Standard Spend")</f>
        <v>High Spend</v>
      </c>
    </row>
    <row r="2083" spans="1:14" x14ac:dyDescent="0.3">
      <c r="A2083" s="1" t="s">
        <v>2107</v>
      </c>
      <c r="B2083" s="2" t="s">
        <v>12</v>
      </c>
      <c r="C2083" s="2" t="s">
        <v>13</v>
      </c>
      <c r="D2083" s="2">
        <v>23</v>
      </c>
      <c r="E2083" s="2" t="s">
        <v>26</v>
      </c>
      <c r="F2083" s="2" t="s">
        <v>15</v>
      </c>
      <c r="G2083" s="7">
        <v>75.3</v>
      </c>
      <c r="H2083" s="7">
        <v>1702.9</v>
      </c>
      <c r="I2083" s="2" t="s">
        <v>15</v>
      </c>
      <c r="J2083" s="2" t="s">
        <v>16</v>
      </c>
      <c r="K2083" s="2" t="s">
        <v>29</v>
      </c>
      <c r="L2083" s="7">
        <v>1702.9</v>
      </c>
      <c r="M2083" s="2" t="str">
        <f>_xlfn.IFS(TelecomData[[#This Row],[TenureMonths]]&lt;=12, "0-1 Year", TelecomData[[#This Row],[TenureMonths]]&lt;=36, "1-3 Years", TelecomData[[#This Row],[TenureMonths]]&gt;36, "3+ Years")</f>
        <v>1-3 Years</v>
      </c>
      <c r="N2083" s="2" t="str">
        <f>IF(TelecomData[[#This Row],[CleanedTotalCharges]]&gt;=2500,"High Spend", "Standard Spend")</f>
        <v>Standard Spend</v>
      </c>
    </row>
    <row r="2084" spans="1:14" x14ac:dyDescent="0.3">
      <c r="A2084" s="1" t="s">
        <v>2108</v>
      </c>
      <c r="B2084" s="2" t="s">
        <v>19</v>
      </c>
      <c r="C2084" s="2" t="s">
        <v>13</v>
      </c>
      <c r="D2084" s="2">
        <v>21</v>
      </c>
      <c r="E2084" s="2" t="s">
        <v>15</v>
      </c>
      <c r="F2084" s="2" t="s">
        <v>36</v>
      </c>
      <c r="G2084" s="7">
        <v>24.7</v>
      </c>
      <c r="H2084" s="7">
        <v>467.15</v>
      </c>
      <c r="I2084" s="2" t="s">
        <v>15</v>
      </c>
      <c r="J2084" s="2" t="s">
        <v>15</v>
      </c>
      <c r="K2084" s="2" t="s">
        <v>21</v>
      </c>
      <c r="L2084" s="7">
        <v>467.15</v>
      </c>
      <c r="M2084" s="2" t="str">
        <f>_xlfn.IFS(TelecomData[[#This Row],[TenureMonths]]&lt;=12, "0-1 Year", TelecomData[[#This Row],[TenureMonths]]&lt;=36, "1-3 Years", TelecomData[[#This Row],[TenureMonths]]&gt;36, "3+ Years")</f>
        <v>1-3 Years</v>
      </c>
      <c r="N2084" s="2" t="str">
        <f>IF(TelecomData[[#This Row],[CleanedTotalCharges]]&gt;=2500,"High Spend", "Standard Spend")</f>
        <v>Standard Spend</v>
      </c>
    </row>
    <row r="2085" spans="1:14" x14ac:dyDescent="0.3">
      <c r="A2085" s="1" t="s">
        <v>2109</v>
      </c>
      <c r="B2085" s="2" t="s">
        <v>12</v>
      </c>
      <c r="C2085" s="2" t="s">
        <v>13</v>
      </c>
      <c r="D2085" s="2">
        <v>1</v>
      </c>
      <c r="E2085" s="2" t="s">
        <v>15</v>
      </c>
      <c r="F2085" s="2" t="s">
        <v>36</v>
      </c>
      <c r="G2085" s="7">
        <v>20.149999999999999</v>
      </c>
      <c r="H2085" s="7">
        <v>20.149999999999999</v>
      </c>
      <c r="I2085" s="2" t="s">
        <v>16</v>
      </c>
      <c r="J2085" s="2" t="s">
        <v>16</v>
      </c>
      <c r="K2085" s="2" t="s">
        <v>21</v>
      </c>
      <c r="L2085" s="7">
        <v>20.149999999999999</v>
      </c>
      <c r="M2085" s="2" t="str">
        <f>_xlfn.IFS(TelecomData[[#This Row],[TenureMonths]]&lt;=12, "0-1 Year", TelecomData[[#This Row],[TenureMonths]]&lt;=36, "1-3 Years", TelecomData[[#This Row],[TenureMonths]]&gt;36, "3+ Years")</f>
        <v>0-1 Year</v>
      </c>
      <c r="N2085" s="2" t="str">
        <f>IF(TelecomData[[#This Row],[CleanedTotalCharges]]&gt;=2500,"High Spend", "Standard Spend")</f>
        <v>Standard Spend</v>
      </c>
    </row>
    <row r="2086" spans="1:14" x14ac:dyDescent="0.3">
      <c r="A2086" s="1" t="s">
        <v>2110</v>
      </c>
      <c r="B2086" s="2" t="s">
        <v>19</v>
      </c>
      <c r="C2086" s="2" t="s">
        <v>13</v>
      </c>
      <c r="D2086" s="2">
        <v>1</v>
      </c>
      <c r="E2086" s="2" t="s">
        <v>26</v>
      </c>
      <c r="F2086" s="2" t="s">
        <v>15</v>
      </c>
      <c r="G2086" s="7">
        <v>69.75</v>
      </c>
      <c r="H2086" s="7">
        <v>69.75</v>
      </c>
      <c r="I2086" s="2" t="s">
        <v>16</v>
      </c>
      <c r="J2086" s="2" t="s">
        <v>15</v>
      </c>
      <c r="K2086" s="2" t="s">
        <v>24</v>
      </c>
      <c r="L2086" s="7">
        <v>69.75</v>
      </c>
      <c r="M2086" s="2" t="str">
        <f>_xlfn.IFS(TelecomData[[#This Row],[TenureMonths]]&lt;=12, "0-1 Year", TelecomData[[#This Row],[TenureMonths]]&lt;=36, "1-3 Years", TelecomData[[#This Row],[TenureMonths]]&gt;36, "3+ Years")</f>
        <v>0-1 Year</v>
      </c>
      <c r="N2086" s="2" t="str">
        <f>IF(TelecomData[[#This Row],[CleanedTotalCharges]]&gt;=2500,"High Spend", "Standard Spend")</f>
        <v>Standard Spend</v>
      </c>
    </row>
    <row r="2087" spans="1:14" x14ac:dyDescent="0.3">
      <c r="A2087" s="1" t="s">
        <v>2111</v>
      </c>
      <c r="B2087" s="2" t="s">
        <v>12</v>
      </c>
      <c r="C2087" s="2" t="s">
        <v>13</v>
      </c>
      <c r="D2087" s="2">
        <v>32</v>
      </c>
      <c r="E2087" s="2" t="s">
        <v>26</v>
      </c>
      <c r="F2087" s="2" t="s">
        <v>15</v>
      </c>
      <c r="G2087" s="7">
        <v>93.2</v>
      </c>
      <c r="H2087" s="7">
        <v>2931</v>
      </c>
      <c r="I2087" s="2" t="s">
        <v>16</v>
      </c>
      <c r="J2087" s="2" t="s">
        <v>16</v>
      </c>
      <c r="K2087" s="2" t="s">
        <v>17</v>
      </c>
      <c r="L2087" s="7">
        <v>2931</v>
      </c>
      <c r="M2087" s="2" t="str">
        <f>_xlfn.IFS(TelecomData[[#This Row],[TenureMonths]]&lt;=12, "0-1 Year", TelecomData[[#This Row],[TenureMonths]]&lt;=36, "1-3 Years", TelecomData[[#This Row],[TenureMonths]]&gt;36, "3+ Years")</f>
        <v>1-3 Years</v>
      </c>
      <c r="N2087" s="2" t="str">
        <f>IF(TelecomData[[#This Row],[CleanedTotalCharges]]&gt;=2500,"High Spend", "Standard Spend")</f>
        <v>High Spend</v>
      </c>
    </row>
    <row r="2088" spans="1:14" x14ac:dyDescent="0.3">
      <c r="A2088" s="1" t="s">
        <v>2112</v>
      </c>
      <c r="B2088" s="2" t="s">
        <v>19</v>
      </c>
      <c r="C2088" s="2" t="s">
        <v>13</v>
      </c>
      <c r="D2088" s="2">
        <v>17</v>
      </c>
      <c r="E2088" s="2" t="s">
        <v>26</v>
      </c>
      <c r="F2088" s="2" t="s">
        <v>15</v>
      </c>
      <c r="G2088" s="7">
        <v>80.849999999999994</v>
      </c>
      <c r="H2088" s="7">
        <v>1400.85</v>
      </c>
      <c r="I2088" s="2" t="s">
        <v>16</v>
      </c>
      <c r="J2088" s="2" t="s">
        <v>15</v>
      </c>
      <c r="K2088" s="2" t="s">
        <v>17</v>
      </c>
      <c r="L2088" s="7">
        <v>1400.85</v>
      </c>
      <c r="M2088" s="2" t="str">
        <f>_xlfn.IFS(TelecomData[[#This Row],[TenureMonths]]&lt;=12, "0-1 Year", TelecomData[[#This Row],[TenureMonths]]&lt;=36, "1-3 Years", TelecomData[[#This Row],[TenureMonths]]&gt;36, "3+ Years")</f>
        <v>1-3 Years</v>
      </c>
      <c r="N2088" s="2" t="str">
        <f>IF(TelecomData[[#This Row],[CleanedTotalCharges]]&gt;=2500,"High Spend", "Standard Spend")</f>
        <v>Standard Spend</v>
      </c>
    </row>
    <row r="2089" spans="1:14" x14ac:dyDescent="0.3">
      <c r="A2089" s="1" t="s">
        <v>2113</v>
      </c>
      <c r="B2089" s="2" t="s">
        <v>12</v>
      </c>
      <c r="C2089" s="2" t="s">
        <v>13</v>
      </c>
      <c r="D2089" s="2">
        <v>4</v>
      </c>
      <c r="E2089" s="2" t="s">
        <v>14</v>
      </c>
      <c r="F2089" s="2" t="s">
        <v>15</v>
      </c>
      <c r="G2089" s="7">
        <v>33.65</v>
      </c>
      <c r="H2089" s="7">
        <v>137.85</v>
      </c>
      <c r="I2089" s="2" t="s">
        <v>16</v>
      </c>
      <c r="J2089" s="2" t="s">
        <v>16</v>
      </c>
      <c r="K2089" s="2" t="s">
        <v>17</v>
      </c>
      <c r="L2089" s="7">
        <v>137.85</v>
      </c>
      <c r="M2089" s="2" t="str">
        <f>_xlfn.IFS(TelecomData[[#This Row],[TenureMonths]]&lt;=12, "0-1 Year", TelecomData[[#This Row],[TenureMonths]]&lt;=36, "1-3 Years", TelecomData[[#This Row],[TenureMonths]]&gt;36, "3+ Years")</f>
        <v>0-1 Year</v>
      </c>
      <c r="N2089" s="2" t="str">
        <f>IF(TelecomData[[#This Row],[CleanedTotalCharges]]&gt;=2500,"High Spend", "Standard Spend")</f>
        <v>Standard Spend</v>
      </c>
    </row>
    <row r="2090" spans="1:14" x14ac:dyDescent="0.3">
      <c r="A2090" s="1" t="s">
        <v>2114</v>
      </c>
      <c r="B2090" s="2" t="s">
        <v>12</v>
      </c>
      <c r="C2090" s="2" t="s">
        <v>20</v>
      </c>
      <c r="D2090" s="2">
        <v>36</v>
      </c>
      <c r="E2090" s="2" t="s">
        <v>14</v>
      </c>
      <c r="F2090" s="2" t="s">
        <v>15</v>
      </c>
      <c r="G2090" s="7">
        <v>55.8</v>
      </c>
      <c r="H2090" s="7">
        <v>1941.5</v>
      </c>
      <c r="I2090" s="2" t="s">
        <v>15</v>
      </c>
      <c r="J2090" s="2" t="s">
        <v>15</v>
      </c>
      <c r="K2090" s="2" t="s">
        <v>17</v>
      </c>
      <c r="L2090" s="7">
        <v>1941.5</v>
      </c>
      <c r="M2090" s="2" t="str">
        <f>_xlfn.IFS(TelecomData[[#This Row],[TenureMonths]]&lt;=12, "0-1 Year", TelecomData[[#This Row],[TenureMonths]]&lt;=36, "1-3 Years", TelecomData[[#This Row],[TenureMonths]]&gt;36, "3+ Years")</f>
        <v>1-3 Years</v>
      </c>
      <c r="N2090" s="2" t="str">
        <f>IF(TelecomData[[#This Row],[CleanedTotalCharges]]&gt;=2500,"High Spend", "Standard Spend")</f>
        <v>Standard Spend</v>
      </c>
    </row>
    <row r="2091" spans="1:14" x14ac:dyDescent="0.3">
      <c r="A2091" s="1" t="s">
        <v>2115</v>
      </c>
      <c r="B2091" s="2" t="s">
        <v>12</v>
      </c>
      <c r="C2091" s="2" t="s">
        <v>35</v>
      </c>
      <c r="D2091" s="2">
        <v>50</v>
      </c>
      <c r="E2091" s="2" t="s">
        <v>14</v>
      </c>
      <c r="F2091" s="2" t="s">
        <v>16</v>
      </c>
      <c r="G2091" s="7">
        <v>39.700000000000003</v>
      </c>
      <c r="H2091" s="7">
        <v>1932.75</v>
      </c>
      <c r="I2091" s="2" t="s">
        <v>15</v>
      </c>
      <c r="J2091" s="2" t="s">
        <v>15</v>
      </c>
      <c r="K2091" s="2" t="s">
        <v>29</v>
      </c>
      <c r="L2091" s="7">
        <v>1932.75</v>
      </c>
      <c r="M2091" s="2" t="str">
        <f>_xlfn.IFS(TelecomData[[#This Row],[TenureMonths]]&lt;=12, "0-1 Year", TelecomData[[#This Row],[TenureMonths]]&lt;=36, "1-3 Years", TelecomData[[#This Row],[TenureMonths]]&gt;36, "3+ Years")</f>
        <v>3+ Years</v>
      </c>
      <c r="N2091" s="2" t="str">
        <f>IF(TelecomData[[#This Row],[CleanedTotalCharges]]&gt;=2500,"High Spend", "Standard Spend")</f>
        <v>Standard Spend</v>
      </c>
    </row>
    <row r="2092" spans="1:14" x14ac:dyDescent="0.3">
      <c r="A2092" s="1" t="s">
        <v>2116</v>
      </c>
      <c r="B2092" s="2" t="s">
        <v>12</v>
      </c>
      <c r="C2092" s="2" t="s">
        <v>13</v>
      </c>
      <c r="D2092" s="2">
        <v>48</v>
      </c>
      <c r="E2092" s="2" t="s">
        <v>14</v>
      </c>
      <c r="F2092" s="2" t="s">
        <v>16</v>
      </c>
      <c r="G2092" s="7">
        <v>29.5</v>
      </c>
      <c r="H2092" s="7">
        <v>1423.05</v>
      </c>
      <c r="I2092" s="2" t="s">
        <v>15</v>
      </c>
      <c r="J2092" s="2" t="s">
        <v>16</v>
      </c>
      <c r="K2092" s="2" t="s">
        <v>29</v>
      </c>
      <c r="L2092" s="7">
        <v>1423.05</v>
      </c>
      <c r="M2092" s="2" t="str">
        <f>_xlfn.IFS(TelecomData[[#This Row],[TenureMonths]]&lt;=12, "0-1 Year", TelecomData[[#This Row],[TenureMonths]]&lt;=36, "1-3 Years", TelecomData[[#This Row],[TenureMonths]]&gt;36, "3+ Years")</f>
        <v>3+ Years</v>
      </c>
      <c r="N2092" s="2" t="str">
        <f>IF(TelecomData[[#This Row],[CleanedTotalCharges]]&gt;=2500,"High Spend", "Standard Spend")</f>
        <v>Standard Spend</v>
      </c>
    </row>
    <row r="2093" spans="1:14" x14ac:dyDescent="0.3">
      <c r="A2093" s="1" t="s">
        <v>2117</v>
      </c>
      <c r="B2093" s="2" t="s">
        <v>12</v>
      </c>
      <c r="C2093" s="2" t="s">
        <v>35</v>
      </c>
      <c r="D2093" s="2">
        <v>50</v>
      </c>
      <c r="E2093" s="2" t="s">
        <v>15</v>
      </c>
      <c r="F2093" s="2" t="s">
        <v>36</v>
      </c>
      <c r="G2093" s="7">
        <v>20.149999999999999</v>
      </c>
      <c r="H2093" s="7">
        <v>970.85</v>
      </c>
      <c r="I2093" s="2" t="s">
        <v>15</v>
      </c>
      <c r="J2093" s="2" t="s">
        <v>15</v>
      </c>
      <c r="K2093" s="2" t="s">
        <v>29</v>
      </c>
      <c r="L2093" s="7">
        <v>970.85</v>
      </c>
      <c r="M2093" s="2" t="str">
        <f>_xlfn.IFS(TelecomData[[#This Row],[TenureMonths]]&lt;=12, "0-1 Year", TelecomData[[#This Row],[TenureMonths]]&lt;=36, "1-3 Years", TelecomData[[#This Row],[TenureMonths]]&gt;36, "3+ Years")</f>
        <v>3+ Years</v>
      </c>
      <c r="N2093" s="2" t="str">
        <f>IF(TelecomData[[#This Row],[CleanedTotalCharges]]&gt;=2500,"High Spend", "Standard Spend")</f>
        <v>Standard Spend</v>
      </c>
    </row>
    <row r="2094" spans="1:14" x14ac:dyDescent="0.3">
      <c r="A2094" s="1" t="s">
        <v>2118</v>
      </c>
      <c r="B2094" s="2" t="s">
        <v>19</v>
      </c>
      <c r="C2094" s="2" t="s">
        <v>35</v>
      </c>
      <c r="D2094" s="2">
        <v>72</v>
      </c>
      <c r="E2094" s="2" t="s">
        <v>14</v>
      </c>
      <c r="F2094" s="2" t="s">
        <v>16</v>
      </c>
      <c r="G2094" s="7">
        <v>79.55</v>
      </c>
      <c r="H2094" s="7">
        <v>5810.9</v>
      </c>
      <c r="I2094" s="2" t="s">
        <v>15</v>
      </c>
      <c r="J2094" s="2" t="s">
        <v>15</v>
      </c>
      <c r="K2094" s="2" t="s">
        <v>29</v>
      </c>
      <c r="L2094" s="7">
        <v>5810.9</v>
      </c>
      <c r="M2094" s="2" t="str">
        <f>_xlfn.IFS(TelecomData[[#This Row],[TenureMonths]]&lt;=12, "0-1 Year", TelecomData[[#This Row],[TenureMonths]]&lt;=36, "1-3 Years", TelecomData[[#This Row],[TenureMonths]]&gt;36, "3+ Years")</f>
        <v>3+ Years</v>
      </c>
      <c r="N2094" s="2" t="str">
        <f>IF(TelecomData[[#This Row],[CleanedTotalCharges]]&gt;=2500,"High Spend", "Standard Spend")</f>
        <v>High Spend</v>
      </c>
    </row>
    <row r="2095" spans="1:14" x14ac:dyDescent="0.3">
      <c r="A2095" s="1" t="s">
        <v>2119</v>
      </c>
      <c r="B2095" s="2" t="s">
        <v>19</v>
      </c>
      <c r="C2095" s="2" t="s">
        <v>13</v>
      </c>
      <c r="D2095" s="2">
        <v>10</v>
      </c>
      <c r="E2095" s="2" t="s">
        <v>15</v>
      </c>
      <c r="F2095" s="2" t="s">
        <v>36</v>
      </c>
      <c r="G2095" s="7">
        <v>24.8</v>
      </c>
      <c r="H2095" s="7">
        <v>223.9</v>
      </c>
      <c r="I2095" s="2" t="s">
        <v>15</v>
      </c>
      <c r="J2095" s="2" t="s">
        <v>15</v>
      </c>
      <c r="K2095" s="2" t="s">
        <v>29</v>
      </c>
      <c r="L2095" s="7">
        <v>223.9</v>
      </c>
      <c r="M2095" s="2" t="str">
        <f>_xlfn.IFS(TelecomData[[#This Row],[TenureMonths]]&lt;=12, "0-1 Year", TelecomData[[#This Row],[TenureMonths]]&lt;=36, "1-3 Years", TelecomData[[#This Row],[TenureMonths]]&gt;36, "3+ Years")</f>
        <v>0-1 Year</v>
      </c>
      <c r="N2095" s="2" t="str">
        <f>IF(TelecomData[[#This Row],[CleanedTotalCharges]]&gt;=2500,"High Spend", "Standard Spend")</f>
        <v>Standard Spend</v>
      </c>
    </row>
    <row r="2096" spans="1:14" x14ac:dyDescent="0.3">
      <c r="A2096" s="1" t="s">
        <v>2120</v>
      </c>
      <c r="B2096" s="2" t="s">
        <v>12</v>
      </c>
      <c r="C2096" s="2" t="s">
        <v>13</v>
      </c>
      <c r="D2096" s="2">
        <v>18</v>
      </c>
      <c r="E2096" s="2" t="s">
        <v>15</v>
      </c>
      <c r="F2096" s="2" t="s">
        <v>36</v>
      </c>
      <c r="G2096" s="7">
        <v>19.649999999999999</v>
      </c>
      <c r="H2096" s="7">
        <v>391.7</v>
      </c>
      <c r="I2096" s="2" t="s">
        <v>15</v>
      </c>
      <c r="J2096" s="2" t="s">
        <v>15</v>
      </c>
      <c r="K2096" s="2" t="s">
        <v>21</v>
      </c>
      <c r="L2096" s="7">
        <v>391.7</v>
      </c>
      <c r="M2096" s="2" t="str">
        <f>_xlfn.IFS(TelecomData[[#This Row],[TenureMonths]]&lt;=12, "0-1 Year", TelecomData[[#This Row],[TenureMonths]]&lt;=36, "1-3 Years", TelecomData[[#This Row],[TenureMonths]]&gt;36, "3+ Years")</f>
        <v>1-3 Years</v>
      </c>
      <c r="N2096" s="2" t="str">
        <f>IF(TelecomData[[#This Row],[CleanedTotalCharges]]&gt;=2500,"High Spend", "Standard Spend")</f>
        <v>Standard Spend</v>
      </c>
    </row>
    <row r="2097" spans="1:14" x14ac:dyDescent="0.3">
      <c r="A2097" s="1" t="s">
        <v>2121</v>
      </c>
      <c r="B2097" s="2" t="s">
        <v>19</v>
      </c>
      <c r="C2097" s="2" t="s">
        <v>13</v>
      </c>
      <c r="D2097" s="2">
        <v>1</v>
      </c>
      <c r="E2097" s="2" t="s">
        <v>26</v>
      </c>
      <c r="F2097" s="2" t="s">
        <v>15</v>
      </c>
      <c r="G2097" s="7">
        <v>79.95</v>
      </c>
      <c r="H2097" s="7">
        <v>79.95</v>
      </c>
      <c r="I2097" s="2" t="s">
        <v>16</v>
      </c>
      <c r="J2097" s="2" t="s">
        <v>16</v>
      </c>
      <c r="K2097" s="2" t="s">
        <v>17</v>
      </c>
      <c r="L2097" s="7">
        <v>79.95</v>
      </c>
      <c r="M2097" s="2" t="str">
        <f>_xlfn.IFS(TelecomData[[#This Row],[TenureMonths]]&lt;=12, "0-1 Year", TelecomData[[#This Row],[TenureMonths]]&lt;=36, "1-3 Years", TelecomData[[#This Row],[TenureMonths]]&gt;36, "3+ Years")</f>
        <v>0-1 Year</v>
      </c>
      <c r="N2097" s="2" t="str">
        <f>IF(TelecomData[[#This Row],[CleanedTotalCharges]]&gt;=2500,"High Spend", "Standard Spend")</f>
        <v>Standard Spend</v>
      </c>
    </row>
    <row r="2098" spans="1:14" x14ac:dyDescent="0.3">
      <c r="A2098" s="1" t="s">
        <v>2122</v>
      </c>
      <c r="B2098" s="2" t="s">
        <v>12</v>
      </c>
      <c r="C2098" s="2" t="s">
        <v>13</v>
      </c>
      <c r="D2098" s="2">
        <v>1</v>
      </c>
      <c r="E2098" s="2" t="s">
        <v>15</v>
      </c>
      <c r="F2098" s="2" t="s">
        <v>36</v>
      </c>
      <c r="G2098" s="7">
        <v>19.3</v>
      </c>
      <c r="H2098" s="7">
        <v>19.3</v>
      </c>
      <c r="I2098" s="2" t="s">
        <v>16</v>
      </c>
      <c r="J2098" s="2" t="s">
        <v>15</v>
      </c>
      <c r="K2098" s="2" t="s">
        <v>17</v>
      </c>
      <c r="L2098" s="7">
        <v>19.3</v>
      </c>
      <c r="M2098" s="2" t="str">
        <f>_xlfn.IFS(TelecomData[[#This Row],[TenureMonths]]&lt;=12, "0-1 Year", TelecomData[[#This Row],[TenureMonths]]&lt;=36, "1-3 Years", TelecomData[[#This Row],[TenureMonths]]&gt;36, "3+ Years")</f>
        <v>0-1 Year</v>
      </c>
      <c r="N2098" s="2" t="str">
        <f>IF(TelecomData[[#This Row],[CleanedTotalCharges]]&gt;=2500,"High Spend", "Standard Spend")</f>
        <v>Standard Spend</v>
      </c>
    </row>
    <row r="2099" spans="1:14" x14ac:dyDescent="0.3">
      <c r="A2099" s="1" t="s">
        <v>2123</v>
      </c>
      <c r="B2099" s="2" t="s">
        <v>19</v>
      </c>
      <c r="C2099" s="2" t="s">
        <v>13</v>
      </c>
      <c r="D2099" s="2">
        <v>9</v>
      </c>
      <c r="E2099" s="2" t="s">
        <v>26</v>
      </c>
      <c r="F2099" s="2" t="s">
        <v>15</v>
      </c>
      <c r="G2099" s="7">
        <v>94.05</v>
      </c>
      <c r="H2099" s="7">
        <v>811.65</v>
      </c>
      <c r="I2099" s="2" t="s">
        <v>15</v>
      </c>
      <c r="J2099" s="2" t="s">
        <v>16</v>
      </c>
      <c r="K2099" s="2" t="s">
        <v>17</v>
      </c>
      <c r="L2099" s="7">
        <v>811.65</v>
      </c>
      <c r="M2099" s="2" t="str">
        <f>_xlfn.IFS(TelecomData[[#This Row],[TenureMonths]]&lt;=12, "0-1 Year", TelecomData[[#This Row],[TenureMonths]]&lt;=36, "1-3 Years", TelecomData[[#This Row],[TenureMonths]]&gt;36, "3+ Years")</f>
        <v>0-1 Year</v>
      </c>
      <c r="N2099" s="2" t="str">
        <f>IF(TelecomData[[#This Row],[CleanedTotalCharges]]&gt;=2500,"High Spend", "Standard Spend")</f>
        <v>Standard Spend</v>
      </c>
    </row>
    <row r="2100" spans="1:14" x14ac:dyDescent="0.3">
      <c r="A2100" s="1" t="s">
        <v>2124</v>
      </c>
      <c r="B2100" s="2" t="s">
        <v>19</v>
      </c>
      <c r="C2100" s="2" t="s">
        <v>13</v>
      </c>
      <c r="D2100" s="2">
        <v>2</v>
      </c>
      <c r="E2100" s="2" t="s">
        <v>26</v>
      </c>
      <c r="F2100" s="2" t="s">
        <v>15</v>
      </c>
      <c r="G2100" s="7">
        <v>90.75</v>
      </c>
      <c r="H2100" s="7">
        <v>174.75</v>
      </c>
      <c r="I2100" s="2" t="s">
        <v>15</v>
      </c>
      <c r="J2100" s="2" t="s">
        <v>15</v>
      </c>
      <c r="K2100" s="2" t="s">
        <v>21</v>
      </c>
      <c r="L2100" s="7">
        <v>174.75</v>
      </c>
      <c r="M2100" s="2" t="str">
        <f>_xlfn.IFS(TelecomData[[#This Row],[TenureMonths]]&lt;=12, "0-1 Year", TelecomData[[#This Row],[TenureMonths]]&lt;=36, "1-3 Years", TelecomData[[#This Row],[TenureMonths]]&gt;36, "3+ Years")</f>
        <v>0-1 Year</v>
      </c>
      <c r="N2100" s="2" t="str">
        <f>IF(TelecomData[[#This Row],[CleanedTotalCharges]]&gt;=2500,"High Spend", "Standard Spend")</f>
        <v>Standard Spend</v>
      </c>
    </row>
    <row r="2101" spans="1:14" x14ac:dyDescent="0.3">
      <c r="A2101" s="1" t="s">
        <v>2125</v>
      </c>
      <c r="B2101" s="2" t="s">
        <v>12</v>
      </c>
      <c r="C2101" s="2" t="s">
        <v>13</v>
      </c>
      <c r="D2101" s="2">
        <v>40</v>
      </c>
      <c r="E2101" s="2" t="s">
        <v>26</v>
      </c>
      <c r="F2101" s="2" t="s">
        <v>16</v>
      </c>
      <c r="G2101" s="7">
        <v>78.849999999999994</v>
      </c>
      <c r="H2101" s="7">
        <v>3126.85</v>
      </c>
      <c r="I2101" s="2" t="s">
        <v>15</v>
      </c>
      <c r="J2101" s="2" t="s">
        <v>16</v>
      </c>
      <c r="K2101" s="2" t="s">
        <v>29</v>
      </c>
      <c r="L2101" s="7">
        <v>3126.85</v>
      </c>
      <c r="M2101" s="2" t="str">
        <f>_xlfn.IFS(TelecomData[[#This Row],[TenureMonths]]&lt;=12, "0-1 Year", TelecomData[[#This Row],[TenureMonths]]&lt;=36, "1-3 Years", TelecomData[[#This Row],[TenureMonths]]&gt;36, "3+ Years")</f>
        <v>3+ Years</v>
      </c>
      <c r="N2101" s="2" t="str">
        <f>IF(TelecomData[[#This Row],[CleanedTotalCharges]]&gt;=2500,"High Spend", "Standard Spend")</f>
        <v>High Spend</v>
      </c>
    </row>
    <row r="2102" spans="1:14" x14ac:dyDescent="0.3">
      <c r="A2102" s="1" t="s">
        <v>2126</v>
      </c>
      <c r="B2102" s="2" t="s">
        <v>19</v>
      </c>
      <c r="C2102" s="2" t="s">
        <v>20</v>
      </c>
      <c r="D2102" s="2">
        <v>69</v>
      </c>
      <c r="E2102" s="2" t="s">
        <v>26</v>
      </c>
      <c r="F2102" s="2" t="s">
        <v>15</v>
      </c>
      <c r="G2102" s="7">
        <v>99.5</v>
      </c>
      <c r="H2102" s="7">
        <v>6841.45</v>
      </c>
      <c r="I2102" s="2" t="s">
        <v>15</v>
      </c>
      <c r="J2102" s="2" t="s">
        <v>15</v>
      </c>
      <c r="K2102" s="2" t="s">
        <v>24</v>
      </c>
      <c r="L2102" s="7">
        <v>6841.45</v>
      </c>
      <c r="M2102" s="2" t="str">
        <f>_xlfn.IFS(TelecomData[[#This Row],[TenureMonths]]&lt;=12, "0-1 Year", TelecomData[[#This Row],[TenureMonths]]&lt;=36, "1-3 Years", TelecomData[[#This Row],[TenureMonths]]&gt;36, "3+ Years")</f>
        <v>3+ Years</v>
      </c>
      <c r="N2102" s="2" t="str">
        <f>IF(TelecomData[[#This Row],[CleanedTotalCharges]]&gt;=2500,"High Spend", "Standard Spend")</f>
        <v>High Spend</v>
      </c>
    </row>
    <row r="2103" spans="1:14" x14ac:dyDescent="0.3">
      <c r="A2103" s="1" t="s">
        <v>2127</v>
      </c>
      <c r="B2103" s="2" t="s">
        <v>12</v>
      </c>
      <c r="C2103" s="2" t="s">
        <v>20</v>
      </c>
      <c r="D2103" s="2">
        <v>37</v>
      </c>
      <c r="E2103" s="2" t="s">
        <v>26</v>
      </c>
      <c r="F2103" s="2" t="s">
        <v>16</v>
      </c>
      <c r="G2103" s="7">
        <v>99.2</v>
      </c>
      <c r="H2103" s="7">
        <v>3754.6</v>
      </c>
      <c r="I2103" s="2" t="s">
        <v>16</v>
      </c>
      <c r="J2103" s="2" t="s">
        <v>16</v>
      </c>
      <c r="K2103" s="2" t="s">
        <v>17</v>
      </c>
      <c r="L2103" s="7">
        <v>3754.6</v>
      </c>
      <c r="M2103" s="2" t="str">
        <f>_xlfn.IFS(TelecomData[[#This Row],[TenureMonths]]&lt;=12, "0-1 Year", TelecomData[[#This Row],[TenureMonths]]&lt;=36, "1-3 Years", TelecomData[[#This Row],[TenureMonths]]&gt;36, "3+ Years")</f>
        <v>3+ Years</v>
      </c>
      <c r="N2103" s="2" t="str">
        <f>IF(TelecomData[[#This Row],[CleanedTotalCharges]]&gt;=2500,"High Spend", "Standard Spend")</f>
        <v>High Spend</v>
      </c>
    </row>
    <row r="2104" spans="1:14" x14ac:dyDescent="0.3">
      <c r="A2104" s="1" t="s">
        <v>2128</v>
      </c>
      <c r="B2104" s="2" t="s">
        <v>19</v>
      </c>
      <c r="C2104" s="2" t="s">
        <v>13</v>
      </c>
      <c r="D2104" s="2">
        <v>18</v>
      </c>
      <c r="E2104" s="2" t="s">
        <v>26</v>
      </c>
      <c r="F2104" s="2" t="s">
        <v>15</v>
      </c>
      <c r="G2104" s="7">
        <v>80.55</v>
      </c>
      <c r="H2104" s="7">
        <v>1406.65</v>
      </c>
      <c r="I2104" s="2" t="s">
        <v>15</v>
      </c>
      <c r="J2104" s="2" t="s">
        <v>16</v>
      </c>
      <c r="K2104" s="2" t="s">
        <v>29</v>
      </c>
      <c r="L2104" s="7">
        <v>1406.65</v>
      </c>
      <c r="M2104" s="2" t="str">
        <f>_xlfn.IFS(TelecomData[[#This Row],[TenureMonths]]&lt;=12, "0-1 Year", TelecomData[[#This Row],[TenureMonths]]&lt;=36, "1-3 Years", TelecomData[[#This Row],[TenureMonths]]&gt;36, "3+ Years")</f>
        <v>1-3 Years</v>
      </c>
      <c r="N2104" s="2" t="str">
        <f>IF(TelecomData[[#This Row],[CleanedTotalCharges]]&gt;=2500,"High Spend", "Standard Spend")</f>
        <v>Standard Spend</v>
      </c>
    </row>
    <row r="2105" spans="1:14" x14ac:dyDescent="0.3">
      <c r="A2105" s="1" t="s">
        <v>2129</v>
      </c>
      <c r="B2105" s="2" t="s">
        <v>19</v>
      </c>
      <c r="C2105" s="2" t="s">
        <v>13</v>
      </c>
      <c r="D2105" s="2">
        <v>11</v>
      </c>
      <c r="E2105" s="2" t="s">
        <v>26</v>
      </c>
      <c r="F2105" s="2" t="s">
        <v>15</v>
      </c>
      <c r="G2105" s="7">
        <v>70.2</v>
      </c>
      <c r="H2105" s="7">
        <v>834.7</v>
      </c>
      <c r="I2105" s="2" t="s">
        <v>15</v>
      </c>
      <c r="J2105" s="2" t="s">
        <v>16</v>
      </c>
      <c r="K2105" s="2" t="s">
        <v>17</v>
      </c>
      <c r="L2105" s="7">
        <v>834.7</v>
      </c>
      <c r="M2105" s="2" t="str">
        <f>_xlfn.IFS(TelecomData[[#This Row],[TenureMonths]]&lt;=12, "0-1 Year", TelecomData[[#This Row],[TenureMonths]]&lt;=36, "1-3 Years", TelecomData[[#This Row],[TenureMonths]]&gt;36, "3+ Years")</f>
        <v>0-1 Year</v>
      </c>
      <c r="N2105" s="2" t="str">
        <f>IF(TelecomData[[#This Row],[CleanedTotalCharges]]&gt;=2500,"High Spend", "Standard Spend")</f>
        <v>Standard Spend</v>
      </c>
    </row>
    <row r="2106" spans="1:14" x14ac:dyDescent="0.3">
      <c r="A2106" s="1" t="s">
        <v>2130</v>
      </c>
      <c r="B2106" s="2" t="s">
        <v>12</v>
      </c>
      <c r="C2106" s="2" t="s">
        <v>13</v>
      </c>
      <c r="D2106" s="2">
        <v>8</v>
      </c>
      <c r="E2106" s="2" t="s">
        <v>26</v>
      </c>
      <c r="F2106" s="2" t="s">
        <v>15</v>
      </c>
      <c r="G2106" s="7">
        <v>85.2</v>
      </c>
      <c r="H2106" s="7">
        <v>627.4</v>
      </c>
      <c r="I2106" s="2" t="s">
        <v>16</v>
      </c>
      <c r="J2106" s="2" t="s">
        <v>16</v>
      </c>
      <c r="K2106" s="2" t="s">
        <v>29</v>
      </c>
      <c r="L2106" s="7">
        <v>627.4</v>
      </c>
      <c r="M2106" s="2" t="str">
        <f>_xlfn.IFS(TelecomData[[#This Row],[TenureMonths]]&lt;=12, "0-1 Year", TelecomData[[#This Row],[TenureMonths]]&lt;=36, "1-3 Years", TelecomData[[#This Row],[TenureMonths]]&gt;36, "3+ Years")</f>
        <v>0-1 Year</v>
      </c>
      <c r="N2106" s="2" t="str">
        <f>IF(TelecomData[[#This Row],[CleanedTotalCharges]]&gt;=2500,"High Spend", "Standard Spend")</f>
        <v>Standard Spend</v>
      </c>
    </row>
    <row r="2107" spans="1:14" x14ac:dyDescent="0.3">
      <c r="A2107" s="1" t="s">
        <v>2131</v>
      </c>
      <c r="B2107" s="2" t="s">
        <v>12</v>
      </c>
      <c r="C2107" s="2" t="s">
        <v>13</v>
      </c>
      <c r="D2107" s="2">
        <v>3</v>
      </c>
      <c r="E2107" s="2" t="s">
        <v>26</v>
      </c>
      <c r="F2107" s="2" t="s">
        <v>15</v>
      </c>
      <c r="G2107" s="7">
        <v>75.25</v>
      </c>
      <c r="H2107" s="7">
        <v>242</v>
      </c>
      <c r="I2107" s="2" t="s">
        <v>16</v>
      </c>
      <c r="J2107" s="2" t="s">
        <v>15</v>
      </c>
      <c r="K2107" s="2" t="s">
        <v>17</v>
      </c>
      <c r="L2107" s="7">
        <v>242</v>
      </c>
      <c r="M2107" s="2" t="str">
        <f>_xlfn.IFS(TelecomData[[#This Row],[TenureMonths]]&lt;=12, "0-1 Year", TelecomData[[#This Row],[TenureMonths]]&lt;=36, "1-3 Years", TelecomData[[#This Row],[TenureMonths]]&gt;36, "3+ Years")</f>
        <v>0-1 Year</v>
      </c>
      <c r="N2107" s="2" t="str">
        <f>IF(TelecomData[[#This Row],[CleanedTotalCharges]]&gt;=2500,"High Spend", "Standard Spend")</f>
        <v>Standard Spend</v>
      </c>
    </row>
    <row r="2108" spans="1:14" x14ac:dyDescent="0.3">
      <c r="A2108" s="1" t="s">
        <v>2132</v>
      </c>
      <c r="B2108" s="2" t="s">
        <v>19</v>
      </c>
      <c r="C2108" s="2" t="s">
        <v>20</v>
      </c>
      <c r="D2108" s="2">
        <v>55</v>
      </c>
      <c r="E2108" s="2" t="s">
        <v>14</v>
      </c>
      <c r="F2108" s="2" t="s">
        <v>15</v>
      </c>
      <c r="G2108" s="7">
        <v>59.45</v>
      </c>
      <c r="H2108" s="7">
        <v>3157</v>
      </c>
      <c r="I2108" s="2" t="s">
        <v>15</v>
      </c>
      <c r="J2108" s="2" t="s">
        <v>15</v>
      </c>
      <c r="K2108" s="2" t="s">
        <v>29</v>
      </c>
      <c r="L2108" s="7">
        <v>3157</v>
      </c>
      <c r="M2108" s="2" t="str">
        <f>_xlfn.IFS(TelecomData[[#This Row],[TenureMonths]]&lt;=12, "0-1 Year", TelecomData[[#This Row],[TenureMonths]]&lt;=36, "1-3 Years", TelecomData[[#This Row],[TenureMonths]]&gt;36, "3+ Years")</f>
        <v>3+ Years</v>
      </c>
      <c r="N2108" s="2" t="str">
        <f>IF(TelecomData[[#This Row],[CleanedTotalCharges]]&gt;=2500,"High Spend", "Standard Spend")</f>
        <v>High Spend</v>
      </c>
    </row>
    <row r="2109" spans="1:14" x14ac:dyDescent="0.3">
      <c r="A2109" s="1" t="s">
        <v>2133</v>
      </c>
      <c r="B2109" s="2" t="s">
        <v>19</v>
      </c>
      <c r="C2109" s="2" t="s">
        <v>13</v>
      </c>
      <c r="D2109" s="2">
        <v>33</v>
      </c>
      <c r="E2109" s="2" t="s">
        <v>26</v>
      </c>
      <c r="F2109" s="2" t="s">
        <v>15</v>
      </c>
      <c r="G2109" s="7">
        <v>93.35</v>
      </c>
      <c r="H2109" s="7">
        <v>3092</v>
      </c>
      <c r="I2109" s="2" t="s">
        <v>15</v>
      </c>
      <c r="J2109" s="2" t="s">
        <v>16</v>
      </c>
      <c r="K2109" s="2" t="s">
        <v>17</v>
      </c>
      <c r="L2109" s="7">
        <v>3092</v>
      </c>
      <c r="M2109" s="2" t="str">
        <f>_xlfn.IFS(TelecomData[[#This Row],[TenureMonths]]&lt;=12, "0-1 Year", TelecomData[[#This Row],[TenureMonths]]&lt;=36, "1-3 Years", TelecomData[[#This Row],[TenureMonths]]&gt;36, "3+ Years")</f>
        <v>1-3 Years</v>
      </c>
      <c r="N2109" s="2" t="str">
        <f>IF(TelecomData[[#This Row],[CleanedTotalCharges]]&gt;=2500,"High Spend", "Standard Spend")</f>
        <v>High Spend</v>
      </c>
    </row>
    <row r="2110" spans="1:14" x14ac:dyDescent="0.3">
      <c r="A2110" s="1" t="s">
        <v>2134</v>
      </c>
      <c r="B2110" s="2" t="s">
        <v>12</v>
      </c>
      <c r="C2110" s="2" t="s">
        <v>13</v>
      </c>
      <c r="D2110" s="2">
        <v>46</v>
      </c>
      <c r="E2110" s="2" t="s">
        <v>14</v>
      </c>
      <c r="F2110" s="2" t="s">
        <v>15</v>
      </c>
      <c r="G2110" s="7">
        <v>44.95</v>
      </c>
      <c r="H2110" s="7">
        <v>2168.9</v>
      </c>
      <c r="I2110" s="2" t="s">
        <v>15</v>
      </c>
      <c r="J2110" s="2" t="s">
        <v>15</v>
      </c>
      <c r="K2110" s="2" t="s">
        <v>24</v>
      </c>
      <c r="L2110" s="7">
        <v>2168.9</v>
      </c>
      <c r="M2110" s="2" t="str">
        <f>_xlfn.IFS(TelecomData[[#This Row],[TenureMonths]]&lt;=12, "0-1 Year", TelecomData[[#This Row],[TenureMonths]]&lt;=36, "1-3 Years", TelecomData[[#This Row],[TenureMonths]]&gt;36, "3+ Years")</f>
        <v>3+ Years</v>
      </c>
      <c r="N2110" s="2" t="str">
        <f>IF(TelecomData[[#This Row],[CleanedTotalCharges]]&gt;=2500,"High Spend", "Standard Spend")</f>
        <v>Standard Spend</v>
      </c>
    </row>
    <row r="2111" spans="1:14" x14ac:dyDescent="0.3">
      <c r="A2111" s="1" t="s">
        <v>2135</v>
      </c>
      <c r="B2111" s="2" t="s">
        <v>19</v>
      </c>
      <c r="C2111" s="2" t="s">
        <v>35</v>
      </c>
      <c r="D2111" s="2">
        <v>34</v>
      </c>
      <c r="E2111" s="2" t="s">
        <v>15</v>
      </c>
      <c r="F2111" s="2" t="s">
        <v>36</v>
      </c>
      <c r="G2111" s="7">
        <v>26.1</v>
      </c>
      <c r="H2111" s="7">
        <v>980.35</v>
      </c>
      <c r="I2111" s="2" t="s">
        <v>15</v>
      </c>
      <c r="J2111" s="2" t="s">
        <v>15</v>
      </c>
      <c r="K2111" s="2" t="s">
        <v>24</v>
      </c>
      <c r="L2111" s="7">
        <v>980.35</v>
      </c>
      <c r="M2111" s="2" t="str">
        <f>_xlfn.IFS(TelecomData[[#This Row],[TenureMonths]]&lt;=12, "0-1 Year", TelecomData[[#This Row],[TenureMonths]]&lt;=36, "1-3 Years", TelecomData[[#This Row],[TenureMonths]]&gt;36, "3+ Years")</f>
        <v>1-3 Years</v>
      </c>
      <c r="N2111" s="2" t="str">
        <f>IF(TelecomData[[#This Row],[CleanedTotalCharges]]&gt;=2500,"High Spend", "Standard Spend")</f>
        <v>Standard Spend</v>
      </c>
    </row>
    <row r="2112" spans="1:14" x14ac:dyDescent="0.3">
      <c r="A2112" s="1" t="s">
        <v>2136</v>
      </c>
      <c r="B2112" s="2" t="s">
        <v>12</v>
      </c>
      <c r="C2112" s="2" t="s">
        <v>13</v>
      </c>
      <c r="D2112" s="2">
        <v>3</v>
      </c>
      <c r="E2112" s="2" t="s">
        <v>15</v>
      </c>
      <c r="F2112" s="2" t="s">
        <v>36</v>
      </c>
      <c r="G2112" s="7">
        <v>20.2</v>
      </c>
      <c r="H2112" s="7">
        <v>65.95</v>
      </c>
      <c r="I2112" s="2" t="s">
        <v>15</v>
      </c>
      <c r="J2112" s="2" t="s">
        <v>15</v>
      </c>
      <c r="K2112" s="2" t="s">
        <v>17</v>
      </c>
      <c r="L2112" s="7">
        <v>65.95</v>
      </c>
      <c r="M2112" s="2" t="str">
        <f>_xlfn.IFS(TelecomData[[#This Row],[TenureMonths]]&lt;=12, "0-1 Year", TelecomData[[#This Row],[TenureMonths]]&lt;=36, "1-3 Years", TelecomData[[#This Row],[TenureMonths]]&gt;36, "3+ Years")</f>
        <v>0-1 Year</v>
      </c>
      <c r="N2112" s="2" t="str">
        <f>IF(TelecomData[[#This Row],[CleanedTotalCharges]]&gt;=2500,"High Spend", "Standard Spend")</f>
        <v>Standard Spend</v>
      </c>
    </row>
    <row r="2113" spans="1:14" x14ac:dyDescent="0.3">
      <c r="A2113" s="1" t="s">
        <v>2137</v>
      </c>
      <c r="B2113" s="2" t="s">
        <v>19</v>
      </c>
      <c r="C2113" s="2" t="s">
        <v>35</v>
      </c>
      <c r="D2113" s="2">
        <v>30</v>
      </c>
      <c r="E2113" s="2" t="s">
        <v>15</v>
      </c>
      <c r="F2113" s="2" t="s">
        <v>36</v>
      </c>
      <c r="G2113" s="7">
        <v>21.25</v>
      </c>
      <c r="H2113" s="7">
        <v>711.9</v>
      </c>
      <c r="I2113" s="2" t="s">
        <v>15</v>
      </c>
      <c r="J2113" s="2" t="s">
        <v>15</v>
      </c>
      <c r="K2113" s="2" t="s">
        <v>21</v>
      </c>
      <c r="L2113" s="7">
        <v>711.9</v>
      </c>
      <c r="M2113" s="2" t="str">
        <f>_xlfn.IFS(TelecomData[[#This Row],[TenureMonths]]&lt;=12, "0-1 Year", TelecomData[[#This Row],[TenureMonths]]&lt;=36, "1-3 Years", TelecomData[[#This Row],[TenureMonths]]&gt;36, "3+ Years")</f>
        <v>1-3 Years</v>
      </c>
      <c r="N2113" s="2" t="str">
        <f>IF(TelecomData[[#This Row],[CleanedTotalCharges]]&gt;=2500,"High Spend", "Standard Spend")</f>
        <v>Standard Spend</v>
      </c>
    </row>
    <row r="2114" spans="1:14" x14ac:dyDescent="0.3">
      <c r="A2114" s="1" t="s">
        <v>2138</v>
      </c>
      <c r="B2114" s="2" t="s">
        <v>12</v>
      </c>
      <c r="C2114" s="2" t="s">
        <v>20</v>
      </c>
      <c r="D2114" s="2">
        <v>33</v>
      </c>
      <c r="E2114" s="2" t="s">
        <v>14</v>
      </c>
      <c r="F2114" s="2" t="s">
        <v>16</v>
      </c>
      <c r="G2114" s="7">
        <v>59.4</v>
      </c>
      <c r="H2114" s="7">
        <v>1952.8</v>
      </c>
      <c r="I2114" s="2" t="s">
        <v>15</v>
      </c>
      <c r="J2114" s="2" t="s">
        <v>15</v>
      </c>
      <c r="K2114" s="2" t="s">
        <v>17</v>
      </c>
      <c r="L2114" s="7">
        <v>1952.8</v>
      </c>
      <c r="M2114" s="2" t="str">
        <f>_xlfn.IFS(TelecomData[[#This Row],[TenureMonths]]&lt;=12, "0-1 Year", TelecomData[[#This Row],[TenureMonths]]&lt;=36, "1-3 Years", TelecomData[[#This Row],[TenureMonths]]&gt;36, "3+ Years")</f>
        <v>1-3 Years</v>
      </c>
      <c r="N2114" s="2" t="str">
        <f>IF(TelecomData[[#This Row],[CleanedTotalCharges]]&gt;=2500,"High Spend", "Standard Spend")</f>
        <v>Standard Spend</v>
      </c>
    </row>
    <row r="2115" spans="1:14" x14ac:dyDescent="0.3">
      <c r="A2115" s="1" t="s">
        <v>2139</v>
      </c>
      <c r="B2115" s="2" t="s">
        <v>19</v>
      </c>
      <c r="C2115" s="2" t="s">
        <v>20</v>
      </c>
      <c r="D2115" s="2">
        <v>45</v>
      </c>
      <c r="E2115" s="2" t="s">
        <v>26</v>
      </c>
      <c r="F2115" s="2" t="s">
        <v>15</v>
      </c>
      <c r="G2115" s="7">
        <v>95</v>
      </c>
      <c r="H2115" s="7">
        <v>4368.8500000000004</v>
      </c>
      <c r="I2115" s="2" t="s">
        <v>15</v>
      </c>
      <c r="J2115" s="2" t="s">
        <v>16</v>
      </c>
      <c r="K2115" s="2" t="s">
        <v>29</v>
      </c>
      <c r="L2115" s="7">
        <v>4368.8500000000004</v>
      </c>
      <c r="M2115" s="2" t="str">
        <f>_xlfn.IFS(TelecomData[[#This Row],[TenureMonths]]&lt;=12, "0-1 Year", TelecomData[[#This Row],[TenureMonths]]&lt;=36, "1-3 Years", TelecomData[[#This Row],[TenureMonths]]&gt;36, "3+ Years")</f>
        <v>3+ Years</v>
      </c>
      <c r="N2115" s="2" t="str">
        <f>IF(TelecomData[[#This Row],[CleanedTotalCharges]]&gt;=2500,"High Spend", "Standard Spend")</f>
        <v>High Spend</v>
      </c>
    </row>
    <row r="2116" spans="1:14" x14ac:dyDescent="0.3">
      <c r="A2116" s="1" t="s">
        <v>2140</v>
      </c>
      <c r="B2116" s="2" t="s">
        <v>19</v>
      </c>
      <c r="C2116" s="2" t="s">
        <v>13</v>
      </c>
      <c r="D2116" s="2">
        <v>40</v>
      </c>
      <c r="E2116" s="2" t="s">
        <v>14</v>
      </c>
      <c r="F2116" s="2" t="s">
        <v>16</v>
      </c>
      <c r="G2116" s="7">
        <v>61.9</v>
      </c>
      <c r="H2116" s="7">
        <v>2647.1</v>
      </c>
      <c r="I2116" s="2" t="s">
        <v>15</v>
      </c>
      <c r="J2116" s="2" t="s">
        <v>16</v>
      </c>
      <c r="K2116" s="2" t="s">
        <v>21</v>
      </c>
      <c r="L2116" s="7">
        <v>2647.1</v>
      </c>
      <c r="M2116" s="2" t="str">
        <f>_xlfn.IFS(TelecomData[[#This Row],[TenureMonths]]&lt;=12, "0-1 Year", TelecomData[[#This Row],[TenureMonths]]&lt;=36, "1-3 Years", TelecomData[[#This Row],[TenureMonths]]&gt;36, "3+ Years")</f>
        <v>3+ Years</v>
      </c>
      <c r="N2116" s="2" t="str">
        <f>IF(TelecomData[[#This Row],[CleanedTotalCharges]]&gt;=2500,"High Spend", "Standard Spend")</f>
        <v>High Spend</v>
      </c>
    </row>
    <row r="2117" spans="1:14" x14ac:dyDescent="0.3">
      <c r="A2117" s="1" t="s">
        <v>2141</v>
      </c>
      <c r="B2117" s="2" t="s">
        <v>12</v>
      </c>
      <c r="C2117" s="2" t="s">
        <v>35</v>
      </c>
      <c r="D2117" s="2">
        <v>71</v>
      </c>
      <c r="E2117" s="2" t="s">
        <v>26</v>
      </c>
      <c r="F2117" s="2" t="s">
        <v>16</v>
      </c>
      <c r="G2117" s="7">
        <v>118.65</v>
      </c>
      <c r="H2117" s="7">
        <v>8477.6</v>
      </c>
      <c r="I2117" s="2" t="s">
        <v>15</v>
      </c>
      <c r="J2117" s="2" t="s">
        <v>16</v>
      </c>
      <c r="K2117" s="2" t="s">
        <v>17</v>
      </c>
      <c r="L2117" s="7">
        <v>8477.6</v>
      </c>
      <c r="M2117" s="2" t="str">
        <f>_xlfn.IFS(TelecomData[[#This Row],[TenureMonths]]&lt;=12, "0-1 Year", TelecomData[[#This Row],[TenureMonths]]&lt;=36, "1-3 Years", TelecomData[[#This Row],[TenureMonths]]&gt;36, "3+ Years")</f>
        <v>3+ Years</v>
      </c>
      <c r="N2117" s="2" t="str">
        <f>IF(TelecomData[[#This Row],[CleanedTotalCharges]]&gt;=2500,"High Spend", "Standard Spend")</f>
        <v>High Spend</v>
      </c>
    </row>
    <row r="2118" spans="1:14" x14ac:dyDescent="0.3">
      <c r="A2118" s="1" t="s">
        <v>2142</v>
      </c>
      <c r="B2118" s="2" t="s">
        <v>19</v>
      </c>
      <c r="C2118" s="2" t="s">
        <v>13</v>
      </c>
      <c r="D2118" s="2">
        <v>1</v>
      </c>
      <c r="E2118" s="2" t="s">
        <v>14</v>
      </c>
      <c r="F2118" s="2" t="s">
        <v>15</v>
      </c>
      <c r="G2118" s="7">
        <v>54.35</v>
      </c>
      <c r="H2118" s="7">
        <v>54.35</v>
      </c>
      <c r="I2118" s="2" t="s">
        <v>16</v>
      </c>
      <c r="J2118" s="2" t="s">
        <v>15</v>
      </c>
      <c r="K2118" s="2" t="s">
        <v>17</v>
      </c>
      <c r="L2118" s="7">
        <v>54.35</v>
      </c>
      <c r="M2118" s="2" t="str">
        <f>_xlfn.IFS(TelecomData[[#This Row],[TenureMonths]]&lt;=12, "0-1 Year", TelecomData[[#This Row],[TenureMonths]]&lt;=36, "1-3 Years", TelecomData[[#This Row],[TenureMonths]]&gt;36, "3+ Years")</f>
        <v>0-1 Year</v>
      </c>
      <c r="N2118" s="2" t="str">
        <f>IF(TelecomData[[#This Row],[CleanedTotalCharges]]&gt;=2500,"High Spend", "Standard Spend")</f>
        <v>Standard Spend</v>
      </c>
    </row>
    <row r="2119" spans="1:14" x14ac:dyDescent="0.3">
      <c r="A2119" s="1" t="s">
        <v>2143</v>
      </c>
      <c r="B2119" s="2" t="s">
        <v>12</v>
      </c>
      <c r="C2119" s="2" t="s">
        <v>35</v>
      </c>
      <c r="D2119" s="2">
        <v>72</v>
      </c>
      <c r="E2119" s="2" t="s">
        <v>14</v>
      </c>
      <c r="F2119" s="2" t="s">
        <v>16</v>
      </c>
      <c r="G2119" s="7">
        <v>64.45</v>
      </c>
      <c r="H2119" s="7">
        <v>4528</v>
      </c>
      <c r="I2119" s="2" t="s">
        <v>15</v>
      </c>
      <c r="J2119" s="2" t="s">
        <v>15</v>
      </c>
      <c r="K2119" s="2" t="s">
        <v>24</v>
      </c>
      <c r="L2119" s="7">
        <v>4528</v>
      </c>
      <c r="M2119" s="2" t="str">
        <f>_xlfn.IFS(TelecomData[[#This Row],[TenureMonths]]&lt;=12, "0-1 Year", TelecomData[[#This Row],[TenureMonths]]&lt;=36, "1-3 Years", TelecomData[[#This Row],[TenureMonths]]&gt;36, "3+ Years")</f>
        <v>3+ Years</v>
      </c>
      <c r="N2119" s="2" t="str">
        <f>IF(TelecomData[[#This Row],[CleanedTotalCharges]]&gt;=2500,"High Spend", "Standard Spend")</f>
        <v>High Spend</v>
      </c>
    </row>
    <row r="2120" spans="1:14" x14ac:dyDescent="0.3">
      <c r="A2120" s="1" t="s">
        <v>2144</v>
      </c>
      <c r="B2120" s="2" t="s">
        <v>12</v>
      </c>
      <c r="C2120" s="2" t="s">
        <v>13</v>
      </c>
      <c r="D2120" s="2">
        <v>22</v>
      </c>
      <c r="E2120" s="2" t="s">
        <v>26</v>
      </c>
      <c r="F2120" s="2" t="s">
        <v>15</v>
      </c>
      <c r="G2120" s="7">
        <v>80.150000000000006</v>
      </c>
      <c r="H2120" s="7">
        <v>1790.65</v>
      </c>
      <c r="I2120" s="2" t="s">
        <v>15</v>
      </c>
      <c r="J2120" s="2" t="s">
        <v>16</v>
      </c>
      <c r="K2120" s="2" t="s">
        <v>17</v>
      </c>
      <c r="L2120" s="7">
        <v>1790.65</v>
      </c>
      <c r="M2120" s="2" t="str">
        <f>_xlfn.IFS(TelecomData[[#This Row],[TenureMonths]]&lt;=12, "0-1 Year", TelecomData[[#This Row],[TenureMonths]]&lt;=36, "1-3 Years", TelecomData[[#This Row],[TenureMonths]]&gt;36, "3+ Years")</f>
        <v>1-3 Years</v>
      </c>
      <c r="N2120" s="2" t="str">
        <f>IF(TelecomData[[#This Row],[CleanedTotalCharges]]&gt;=2500,"High Spend", "Standard Spend")</f>
        <v>Standard Spend</v>
      </c>
    </row>
    <row r="2121" spans="1:14" x14ac:dyDescent="0.3">
      <c r="A2121" s="1" t="s">
        <v>2145</v>
      </c>
      <c r="B2121" s="2" t="s">
        <v>19</v>
      </c>
      <c r="C2121" s="2" t="s">
        <v>20</v>
      </c>
      <c r="D2121" s="2">
        <v>46</v>
      </c>
      <c r="E2121" s="2" t="s">
        <v>15</v>
      </c>
      <c r="F2121" s="2" t="s">
        <v>36</v>
      </c>
      <c r="G2121" s="7">
        <v>20.2</v>
      </c>
      <c r="H2121" s="7">
        <v>845.6</v>
      </c>
      <c r="I2121" s="2" t="s">
        <v>15</v>
      </c>
      <c r="J2121" s="2" t="s">
        <v>16</v>
      </c>
      <c r="K2121" s="2" t="s">
        <v>24</v>
      </c>
      <c r="L2121" s="7">
        <v>845.6</v>
      </c>
      <c r="M2121" s="2" t="str">
        <f>_xlfn.IFS(TelecomData[[#This Row],[TenureMonths]]&lt;=12, "0-1 Year", TelecomData[[#This Row],[TenureMonths]]&lt;=36, "1-3 Years", TelecomData[[#This Row],[TenureMonths]]&gt;36, "3+ Years")</f>
        <v>3+ Years</v>
      </c>
      <c r="N2121" s="2" t="str">
        <f>IF(TelecomData[[#This Row],[CleanedTotalCharges]]&gt;=2500,"High Spend", "Standard Spend")</f>
        <v>Standard Spend</v>
      </c>
    </row>
    <row r="2122" spans="1:14" x14ac:dyDescent="0.3">
      <c r="A2122" s="1" t="s">
        <v>2146</v>
      </c>
      <c r="B2122" s="2" t="s">
        <v>12</v>
      </c>
      <c r="C2122" s="2" t="s">
        <v>35</v>
      </c>
      <c r="D2122" s="2">
        <v>55</v>
      </c>
      <c r="E2122" s="2" t="s">
        <v>15</v>
      </c>
      <c r="F2122" s="2" t="s">
        <v>36</v>
      </c>
      <c r="G2122" s="7">
        <v>21</v>
      </c>
      <c r="H2122" s="7">
        <v>1210.3</v>
      </c>
      <c r="I2122" s="2" t="s">
        <v>15</v>
      </c>
      <c r="J2122" s="2" t="s">
        <v>15</v>
      </c>
      <c r="K2122" s="2" t="s">
        <v>21</v>
      </c>
      <c r="L2122" s="7">
        <v>1210.3</v>
      </c>
      <c r="M2122" s="2" t="str">
        <f>_xlfn.IFS(TelecomData[[#This Row],[TenureMonths]]&lt;=12, "0-1 Year", TelecomData[[#This Row],[TenureMonths]]&lt;=36, "1-3 Years", TelecomData[[#This Row],[TenureMonths]]&gt;36, "3+ Years")</f>
        <v>3+ Years</v>
      </c>
      <c r="N2122" s="2" t="str">
        <f>IF(TelecomData[[#This Row],[CleanedTotalCharges]]&gt;=2500,"High Spend", "Standard Spend")</f>
        <v>Standard Spend</v>
      </c>
    </row>
    <row r="2123" spans="1:14" x14ac:dyDescent="0.3">
      <c r="A2123" s="1" t="s">
        <v>2147</v>
      </c>
      <c r="B2123" s="2" t="s">
        <v>19</v>
      </c>
      <c r="C2123" s="2" t="s">
        <v>13</v>
      </c>
      <c r="D2123" s="2">
        <v>1</v>
      </c>
      <c r="E2123" s="2" t="s">
        <v>15</v>
      </c>
      <c r="F2123" s="2" t="s">
        <v>36</v>
      </c>
      <c r="G2123" s="7">
        <v>20.45</v>
      </c>
      <c r="H2123" s="7">
        <v>20.45</v>
      </c>
      <c r="I2123" s="2" t="s">
        <v>15</v>
      </c>
      <c r="J2123" s="2" t="s">
        <v>15</v>
      </c>
      <c r="K2123" s="2" t="s">
        <v>21</v>
      </c>
      <c r="L2123" s="7">
        <v>20.45</v>
      </c>
      <c r="M2123" s="2" t="str">
        <f>_xlfn.IFS(TelecomData[[#This Row],[TenureMonths]]&lt;=12, "0-1 Year", TelecomData[[#This Row],[TenureMonths]]&lt;=36, "1-3 Years", TelecomData[[#This Row],[TenureMonths]]&gt;36, "3+ Years")</f>
        <v>0-1 Year</v>
      </c>
      <c r="N2123" s="2" t="str">
        <f>IF(TelecomData[[#This Row],[CleanedTotalCharges]]&gt;=2500,"High Spend", "Standard Spend")</f>
        <v>Standard Spend</v>
      </c>
    </row>
    <row r="2124" spans="1:14" x14ac:dyDescent="0.3">
      <c r="A2124" s="1" t="s">
        <v>2148</v>
      </c>
      <c r="B2124" s="2" t="s">
        <v>12</v>
      </c>
      <c r="C2124" s="2" t="s">
        <v>20</v>
      </c>
      <c r="D2124" s="2">
        <v>12</v>
      </c>
      <c r="E2124" s="2" t="s">
        <v>14</v>
      </c>
      <c r="F2124" s="2" t="s">
        <v>16</v>
      </c>
      <c r="G2124" s="7">
        <v>75.849999999999994</v>
      </c>
      <c r="H2124" s="7">
        <v>854.45</v>
      </c>
      <c r="I2124" s="2" t="s">
        <v>15</v>
      </c>
      <c r="J2124" s="2" t="s">
        <v>16</v>
      </c>
      <c r="K2124" s="2" t="s">
        <v>21</v>
      </c>
      <c r="L2124" s="7">
        <v>854.45</v>
      </c>
      <c r="M2124" s="2" t="str">
        <f>_xlfn.IFS(TelecomData[[#This Row],[TenureMonths]]&lt;=12, "0-1 Year", TelecomData[[#This Row],[TenureMonths]]&lt;=36, "1-3 Years", TelecomData[[#This Row],[TenureMonths]]&gt;36, "3+ Years")</f>
        <v>0-1 Year</v>
      </c>
      <c r="N2124" s="2" t="str">
        <f>IF(TelecomData[[#This Row],[CleanedTotalCharges]]&gt;=2500,"High Spend", "Standard Spend")</f>
        <v>Standard Spend</v>
      </c>
    </row>
    <row r="2125" spans="1:14" x14ac:dyDescent="0.3">
      <c r="A2125" s="1" t="s">
        <v>2149</v>
      </c>
      <c r="B2125" s="2" t="s">
        <v>19</v>
      </c>
      <c r="C2125" s="2" t="s">
        <v>13</v>
      </c>
      <c r="D2125" s="2">
        <v>31</v>
      </c>
      <c r="E2125" s="2" t="s">
        <v>26</v>
      </c>
      <c r="F2125" s="2" t="s">
        <v>15</v>
      </c>
      <c r="G2125" s="7">
        <v>80.45</v>
      </c>
      <c r="H2125" s="7">
        <v>2429.1</v>
      </c>
      <c r="I2125" s="2" t="s">
        <v>15</v>
      </c>
      <c r="J2125" s="2" t="s">
        <v>16</v>
      </c>
      <c r="K2125" s="2" t="s">
        <v>17</v>
      </c>
      <c r="L2125" s="7">
        <v>2429.1</v>
      </c>
      <c r="M2125" s="2" t="str">
        <f>_xlfn.IFS(TelecomData[[#This Row],[TenureMonths]]&lt;=12, "0-1 Year", TelecomData[[#This Row],[TenureMonths]]&lt;=36, "1-3 Years", TelecomData[[#This Row],[TenureMonths]]&gt;36, "3+ Years")</f>
        <v>1-3 Years</v>
      </c>
      <c r="N2125" s="2" t="str">
        <f>IF(TelecomData[[#This Row],[CleanedTotalCharges]]&gt;=2500,"High Spend", "Standard Spend")</f>
        <v>Standard Spend</v>
      </c>
    </row>
    <row r="2126" spans="1:14" x14ac:dyDescent="0.3">
      <c r="A2126" s="1" t="s">
        <v>2150</v>
      </c>
      <c r="B2126" s="2" t="s">
        <v>19</v>
      </c>
      <c r="C2126" s="2" t="s">
        <v>13</v>
      </c>
      <c r="D2126" s="2">
        <v>5</v>
      </c>
      <c r="E2126" s="2" t="s">
        <v>14</v>
      </c>
      <c r="F2126" s="2" t="s">
        <v>15</v>
      </c>
      <c r="G2126" s="7">
        <v>24.95</v>
      </c>
      <c r="H2126" s="7">
        <v>100.4</v>
      </c>
      <c r="I2126" s="2" t="s">
        <v>16</v>
      </c>
      <c r="J2126" s="2" t="s">
        <v>16</v>
      </c>
      <c r="K2126" s="2" t="s">
        <v>17</v>
      </c>
      <c r="L2126" s="7">
        <v>100.4</v>
      </c>
      <c r="M2126" s="2" t="str">
        <f>_xlfn.IFS(TelecomData[[#This Row],[TenureMonths]]&lt;=12, "0-1 Year", TelecomData[[#This Row],[TenureMonths]]&lt;=36, "1-3 Years", TelecomData[[#This Row],[TenureMonths]]&gt;36, "3+ Years")</f>
        <v>0-1 Year</v>
      </c>
      <c r="N2126" s="2" t="str">
        <f>IF(TelecomData[[#This Row],[CleanedTotalCharges]]&gt;=2500,"High Spend", "Standard Spend")</f>
        <v>Standard Spend</v>
      </c>
    </row>
    <row r="2127" spans="1:14" x14ac:dyDescent="0.3">
      <c r="A2127" s="1" t="s">
        <v>2151</v>
      </c>
      <c r="B2127" s="2" t="s">
        <v>12</v>
      </c>
      <c r="C2127" s="2" t="s">
        <v>35</v>
      </c>
      <c r="D2127" s="2">
        <v>67</v>
      </c>
      <c r="E2127" s="2" t="s">
        <v>14</v>
      </c>
      <c r="F2127" s="2" t="s">
        <v>15</v>
      </c>
      <c r="G2127" s="7">
        <v>75.5</v>
      </c>
      <c r="H2127" s="7">
        <v>5229.45</v>
      </c>
      <c r="I2127" s="2" t="s">
        <v>15</v>
      </c>
      <c r="J2127" s="2" t="s">
        <v>16</v>
      </c>
      <c r="K2127" s="2" t="s">
        <v>17</v>
      </c>
      <c r="L2127" s="7">
        <v>5229.45</v>
      </c>
      <c r="M2127" s="2" t="str">
        <f>_xlfn.IFS(TelecomData[[#This Row],[TenureMonths]]&lt;=12, "0-1 Year", TelecomData[[#This Row],[TenureMonths]]&lt;=36, "1-3 Years", TelecomData[[#This Row],[TenureMonths]]&gt;36, "3+ Years")</f>
        <v>3+ Years</v>
      </c>
      <c r="N2127" s="2" t="str">
        <f>IF(TelecomData[[#This Row],[CleanedTotalCharges]]&gt;=2500,"High Spend", "Standard Spend")</f>
        <v>High Spend</v>
      </c>
    </row>
    <row r="2128" spans="1:14" x14ac:dyDescent="0.3">
      <c r="A2128" s="1" t="s">
        <v>2152</v>
      </c>
      <c r="B2128" s="2" t="s">
        <v>19</v>
      </c>
      <c r="C2128" s="2" t="s">
        <v>13</v>
      </c>
      <c r="D2128" s="2">
        <v>1</v>
      </c>
      <c r="E2128" s="2" t="s">
        <v>14</v>
      </c>
      <c r="F2128" s="2" t="s">
        <v>15</v>
      </c>
      <c r="G2128" s="7">
        <v>44.45</v>
      </c>
      <c r="H2128" s="7">
        <v>44.45</v>
      </c>
      <c r="I2128" s="2" t="s">
        <v>15</v>
      </c>
      <c r="J2128" s="2" t="s">
        <v>15</v>
      </c>
      <c r="K2128" s="2" t="s">
        <v>21</v>
      </c>
      <c r="L2128" s="7">
        <v>44.45</v>
      </c>
      <c r="M2128" s="2" t="str">
        <f>_xlfn.IFS(TelecomData[[#This Row],[TenureMonths]]&lt;=12, "0-1 Year", TelecomData[[#This Row],[TenureMonths]]&lt;=36, "1-3 Years", TelecomData[[#This Row],[TenureMonths]]&gt;36, "3+ Years")</f>
        <v>0-1 Year</v>
      </c>
      <c r="N2128" s="2" t="str">
        <f>IF(TelecomData[[#This Row],[CleanedTotalCharges]]&gt;=2500,"High Spend", "Standard Spend")</f>
        <v>Standard Spend</v>
      </c>
    </row>
    <row r="2129" spans="1:14" x14ac:dyDescent="0.3">
      <c r="A2129" s="1" t="s">
        <v>2153</v>
      </c>
      <c r="B2129" s="2" t="s">
        <v>19</v>
      </c>
      <c r="C2129" s="2" t="s">
        <v>20</v>
      </c>
      <c r="D2129" s="2">
        <v>40</v>
      </c>
      <c r="E2129" s="2" t="s">
        <v>14</v>
      </c>
      <c r="F2129" s="2" t="s">
        <v>15</v>
      </c>
      <c r="G2129" s="7">
        <v>42.35</v>
      </c>
      <c r="H2129" s="7">
        <v>1716.45</v>
      </c>
      <c r="I2129" s="2" t="s">
        <v>16</v>
      </c>
      <c r="J2129" s="2" t="s">
        <v>16</v>
      </c>
      <c r="K2129" s="2" t="s">
        <v>17</v>
      </c>
      <c r="L2129" s="7">
        <v>1716.45</v>
      </c>
      <c r="M2129" s="2" t="str">
        <f>_xlfn.IFS(TelecomData[[#This Row],[TenureMonths]]&lt;=12, "0-1 Year", TelecomData[[#This Row],[TenureMonths]]&lt;=36, "1-3 Years", TelecomData[[#This Row],[TenureMonths]]&gt;36, "3+ Years")</f>
        <v>3+ Years</v>
      </c>
      <c r="N2129" s="2" t="str">
        <f>IF(TelecomData[[#This Row],[CleanedTotalCharges]]&gt;=2500,"High Spend", "Standard Spend")</f>
        <v>Standard Spend</v>
      </c>
    </row>
    <row r="2130" spans="1:14" x14ac:dyDescent="0.3">
      <c r="A2130" s="1" t="s">
        <v>2154</v>
      </c>
      <c r="B2130" s="2" t="s">
        <v>19</v>
      </c>
      <c r="C2130" s="2" t="s">
        <v>13</v>
      </c>
      <c r="D2130" s="2">
        <v>41</v>
      </c>
      <c r="E2130" s="2" t="s">
        <v>14</v>
      </c>
      <c r="F2130" s="2" t="s">
        <v>15</v>
      </c>
      <c r="G2130" s="7">
        <v>74.55</v>
      </c>
      <c r="H2130" s="7">
        <v>3023.55</v>
      </c>
      <c r="I2130" s="2" t="s">
        <v>15</v>
      </c>
      <c r="J2130" s="2" t="s">
        <v>16</v>
      </c>
      <c r="K2130" s="2" t="s">
        <v>29</v>
      </c>
      <c r="L2130" s="7">
        <v>3023.55</v>
      </c>
      <c r="M2130" s="2" t="str">
        <f>_xlfn.IFS(TelecomData[[#This Row],[TenureMonths]]&lt;=12, "0-1 Year", TelecomData[[#This Row],[TenureMonths]]&lt;=36, "1-3 Years", TelecomData[[#This Row],[TenureMonths]]&gt;36, "3+ Years")</f>
        <v>3+ Years</v>
      </c>
      <c r="N2130" s="2" t="str">
        <f>IF(TelecomData[[#This Row],[CleanedTotalCharges]]&gt;=2500,"High Spend", "Standard Spend")</f>
        <v>High Spend</v>
      </c>
    </row>
    <row r="2131" spans="1:14" x14ac:dyDescent="0.3">
      <c r="A2131" s="1" t="s">
        <v>2155</v>
      </c>
      <c r="B2131" s="2" t="s">
        <v>19</v>
      </c>
      <c r="C2131" s="2" t="s">
        <v>13</v>
      </c>
      <c r="D2131" s="2">
        <v>1</v>
      </c>
      <c r="E2131" s="2" t="s">
        <v>26</v>
      </c>
      <c r="F2131" s="2" t="s">
        <v>15</v>
      </c>
      <c r="G2131" s="7">
        <v>75.3</v>
      </c>
      <c r="H2131" s="7">
        <v>75.3</v>
      </c>
      <c r="I2131" s="2" t="s">
        <v>16</v>
      </c>
      <c r="J2131" s="2" t="s">
        <v>16</v>
      </c>
      <c r="K2131" s="2" t="s">
        <v>17</v>
      </c>
      <c r="L2131" s="7">
        <v>75.3</v>
      </c>
      <c r="M2131" s="2" t="str">
        <f>_xlfn.IFS(TelecomData[[#This Row],[TenureMonths]]&lt;=12, "0-1 Year", TelecomData[[#This Row],[TenureMonths]]&lt;=36, "1-3 Years", TelecomData[[#This Row],[TenureMonths]]&gt;36, "3+ Years")</f>
        <v>0-1 Year</v>
      </c>
      <c r="N2131" s="2" t="str">
        <f>IF(TelecomData[[#This Row],[CleanedTotalCharges]]&gt;=2500,"High Spend", "Standard Spend")</f>
        <v>Standard Spend</v>
      </c>
    </row>
    <row r="2132" spans="1:14" x14ac:dyDescent="0.3">
      <c r="A2132" s="1" t="s">
        <v>2156</v>
      </c>
      <c r="B2132" s="2" t="s">
        <v>19</v>
      </c>
      <c r="C2132" s="2" t="s">
        <v>20</v>
      </c>
      <c r="D2132" s="2">
        <v>51</v>
      </c>
      <c r="E2132" s="2" t="s">
        <v>26</v>
      </c>
      <c r="F2132" s="2" t="s">
        <v>15</v>
      </c>
      <c r="G2132" s="7">
        <v>94.8</v>
      </c>
      <c r="H2132" s="7">
        <v>4837.6000000000004</v>
      </c>
      <c r="I2132" s="2" t="s">
        <v>16</v>
      </c>
      <c r="J2132" s="2" t="s">
        <v>16</v>
      </c>
      <c r="K2132" s="2" t="s">
        <v>17</v>
      </c>
      <c r="L2132" s="7">
        <v>4837.6000000000004</v>
      </c>
      <c r="M2132" s="2" t="str">
        <f>_xlfn.IFS(TelecomData[[#This Row],[TenureMonths]]&lt;=12, "0-1 Year", TelecomData[[#This Row],[TenureMonths]]&lt;=36, "1-3 Years", TelecomData[[#This Row],[TenureMonths]]&gt;36, "3+ Years")</f>
        <v>3+ Years</v>
      </c>
      <c r="N2132" s="2" t="str">
        <f>IF(TelecomData[[#This Row],[CleanedTotalCharges]]&gt;=2500,"High Spend", "Standard Spend")</f>
        <v>High Spend</v>
      </c>
    </row>
    <row r="2133" spans="1:14" x14ac:dyDescent="0.3">
      <c r="A2133" s="1" t="s">
        <v>2157</v>
      </c>
      <c r="B2133" s="2" t="s">
        <v>19</v>
      </c>
      <c r="C2133" s="2" t="s">
        <v>35</v>
      </c>
      <c r="D2133" s="2">
        <v>42</v>
      </c>
      <c r="E2133" s="2" t="s">
        <v>14</v>
      </c>
      <c r="F2133" s="2" t="s">
        <v>16</v>
      </c>
      <c r="G2133" s="7">
        <v>48.15</v>
      </c>
      <c r="H2133" s="7">
        <v>2032.3</v>
      </c>
      <c r="I2133" s="2" t="s">
        <v>15</v>
      </c>
      <c r="J2133" s="2" t="s">
        <v>15</v>
      </c>
      <c r="K2133" s="2" t="s">
        <v>29</v>
      </c>
      <c r="L2133" s="7">
        <v>2032.3</v>
      </c>
      <c r="M2133" s="2" t="str">
        <f>_xlfn.IFS(TelecomData[[#This Row],[TenureMonths]]&lt;=12, "0-1 Year", TelecomData[[#This Row],[TenureMonths]]&lt;=36, "1-3 Years", TelecomData[[#This Row],[TenureMonths]]&gt;36, "3+ Years")</f>
        <v>3+ Years</v>
      </c>
      <c r="N2133" s="2" t="str">
        <f>IF(TelecomData[[#This Row],[CleanedTotalCharges]]&gt;=2500,"High Spend", "Standard Spend")</f>
        <v>Standard Spend</v>
      </c>
    </row>
    <row r="2134" spans="1:14" x14ac:dyDescent="0.3">
      <c r="A2134" s="1" t="s">
        <v>2158</v>
      </c>
      <c r="B2134" s="2" t="s">
        <v>19</v>
      </c>
      <c r="C2134" s="2" t="s">
        <v>20</v>
      </c>
      <c r="D2134" s="2">
        <v>23</v>
      </c>
      <c r="E2134" s="2" t="s">
        <v>15</v>
      </c>
      <c r="F2134" s="2" t="s">
        <v>36</v>
      </c>
      <c r="G2134" s="7">
        <v>19.649999999999999</v>
      </c>
      <c r="H2134" s="7">
        <v>436.9</v>
      </c>
      <c r="I2134" s="2" t="s">
        <v>15</v>
      </c>
      <c r="J2134" s="2" t="s">
        <v>15</v>
      </c>
      <c r="K2134" s="2" t="s">
        <v>21</v>
      </c>
      <c r="L2134" s="7">
        <v>436.9</v>
      </c>
      <c r="M2134" s="2" t="str">
        <f>_xlfn.IFS(TelecomData[[#This Row],[TenureMonths]]&lt;=12, "0-1 Year", TelecomData[[#This Row],[TenureMonths]]&lt;=36, "1-3 Years", TelecomData[[#This Row],[TenureMonths]]&gt;36, "3+ Years")</f>
        <v>1-3 Years</v>
      </c>
      <c r="N2134" s="2" t="str">
        <f>IF(TelecomData[[#This Row],[CleanedTotalCharges]]&gt;=2500,"High Spend", "Standard Spend")</f>
        <v>Standard Spend</v>
      </c>
    </row>
    <row r="2135" spans="1:14" x14ac:dyDescent="0.3">
      <c r="A2135" s="1" t="s">
        <v>2159</v>
      </c>
      <c r="B2135" s="2" t="s">
        <v>12</v>
      </c>
      <c r="C2135" s="2" t="s">
        <v>13</v>
      </c>
      <c r="D2135" s="2">
        <v>1</v>
      </c>
      <c r="E2135" s="2" t="s">
        <v>26</v>
      </c>
      <c r="F2135" s="2" t="s">
        <v>15</v>
      </c>
      <c r="G2135" s="7">
        <v>70.55</v>
      </c>
      <c r="H2135" s="7">
        <v>70.55</v>
      </c>
      <c r="I2135" s="2" t="s">
        <v>16</v>
      </c>
      <c r="J2135" s="2" t="s">
        <v>16</v>
      </c>
      <c r="K2135" s="2" t="s">
        <v>17</v>
      </c>
      <c r="L2135" s="7">
        <v>70.55</v>
      </c>
      <c r="M2135" s="2" t="str">
        <f>_xlfn.IFS(TelecomData[[#This Row],[TenureMonths]]&lt;=12, "0-1 Year", TelecomData[[#This Row],[TenureMonths]]&lt;=36, "1-3 Years", TelecomData[[#This Row],[TenureMonths]]&gt;36, "3+ Years")</f>
        <v>0-1 Year</v>
      </c>
      <c r="N2135" s="2" t="str">
        <f>IF(TelecomData[[#This Row],[CleanedTotalCharges]]&gt;=2500,"High Spend", "Standard Spend")</f>
        <v>Standard Spend</v>
      </c>
    </row>
    <row r="2136" spans="1:14" x14ac:dyDescent="0.3">
      <c r="A2136" s="1" t="s">
        <v>2160</v>
      </c>
      <c r="B2136" s="2" t="s">
        <v>12</v>
      </c>
      <c r="C2136" s="2" t="s">
        <v>13</v>
      </c>
      <c r="D2136" s="2">
        <v>1</v>
      </c>
      <c r="E2136" s="2" t="s">
        <v>15</v>
      </c>
      <c r="F2136" s="2" t="s">
        <v>36</v>
      </c>
      <c r="G2136" s="7">
        <v>20.149999999999999</v>
      </c>
      <c r="H2136" s="7">
        <v>20.149999999999999</v>
      </c>
      <c r="I2136" s="2" t="s">
        <v>15</v>
      </c>
      <c r="J2136" s="2" t="s">
        <v>15</v>
      </c>
      <c r="K2136" s="2" t="s">
        <v>21</v>
      </c>
      <c r="L2136" s="7">
        <v>20.149999999999999</v>
      </c>
      <c r="M2136" s="2" t="str">
        <f>_xlfn.IFS(TelecomData[[#This Row],[TenureMonths]]&lt;=12, "0-1 Year", TelecomData[[#This Row],[TenureMonths]]&lt;=36, "1-3 Years", TelecomData[[#This Row],[TenureMonths]]&gt;36, "3+ Years")</f>
        <v>0-1 Year</v>
      </c>
      <c r="N2136" s="2" t="str">
        <f>IF(TelecomData[[#This Row],[CleanedTotalCharges]]&gt;=2500,"High Spend", "Standard Spend")</f>
        <v>Standard Spend</v>
      </c>
    </row>
    <row r="2137" spans="1:14" x14ac:dyDescent="0.3">
      <c r="A2137" s="1" t="s">
        <v>2161</v>
      </c>
      <c r="B2137" s="2" t="s">
        <v>12</v>
      </c>
      <c r="C2137" s="2" t="s">
        <v>13</v>
      </c>
      <c r="D2137" s="2">
        <v>56</v>
      </c>
      <c r="E2137" s="2" t="s">
        <v>26</v>
      </c>
      <c r="F2137" s="2" t="s">
        <v>15</v>
      </c>
      <c r="G2137" s="7">
        <v>106.6</v>
      </c>
      <c r="H2137" s="7">
        <v>5893.95</v>
      </c>
      <c r="I2137" s="2" t="s">
        <v>15</v>
      </c>
      <c r="J2137" s="2" t="s">
        <v>16</v>
      </c>
      <c r="K2137" s="2" t="s">
        <v>29</v>
      </c>
      <c r="L2137" s="7">
        <v>5893.95</v>
      </c>
      <c r="M2137" s="2" t="str">
        <f>_xlfn.IFS(TelecomData[[#This Row],[TenureMonths]]&lt;=12, "0-1 Year", TelecomData[[#This Row],[TenureMonths]]&lt;=36, "1-3 Years", TelecomData[[#This Row],[TenureMonths]]&gt;36, "3+ Years")</f>
        <v>3+ Years</v>
      </c>
      <c r="N2137" s="2" t="str">
        <f>IF(TelecomData[[#This Row],[CleanedTotalCharges]]&gt;=2500,"High Spend", "Standard Spend")</f>
        <v>High Spend</v>
      </c>
    </row>
    <row r="2138" spans="1:14" x14ac:dyDescent="0.3">
      <c r="A2138" s="1" t="s">
        <v>2162</v>
      </c>
      <c r="B2138" s="2" t="s">
        <v>19</v>
      </c>
      <c r="C2138" s="2" t="s">
        <v>13</v>
      </c>
      <c r="D2138" s="2">
        <v>15</v>
      </c>
      <c r="E2138" s="2" t="s">
        <v>26</v>
      </c>
      <c r="F2138" s="2" t="s">
        <v>15</v>
      </c>
      <c r="G2138" s="7">
        <v>91</v>
      </c>
      <c r="H2138" s="7">
        <v>1430.05</v>
      </c>
      <c r="I2138" s="2" t="s">
        <v>15</v>
      </c>
      <c r="J2138" s="2" t="s">
        <v>16</v>
      </c>
      <c r="K2138" s="2" t="s">
        <v>17</v>
      </c>
      <c r="L2138" s="7">
        <v>1430.05</v>
      </c>
      <c r="M2138" s="2" t="str">
        <f>_xlfn.IFS(TelecomData[[#This Row],[TenureMonths]]&lt;=12, "0-1 Year", TelecomData[[#This Row],[TenureMonths]]&lt;=36, "1-3 Years", TelecomData[[#This Row],[TenureMonths]]&gt;36, "3+ Years")</f>
        <v>1-3 Years</v>
      </c>
      <c r="N2138" s="2" t="str">
        <f>IF(TelecomData[[#This Row],[CleanedTotalCharges]]&gt;=2500,"High Spend", "Standard Spend")</f>
        <v>Standard Spend</v>
      </c>
    </row>
    <row r="2139" spans="1:14" x14ac:dyDescent="0.3">
      <c r="A2139" s="1" t="s">
        <v>2163</v>
      </c>
      <c r="B2139" s="2" t="s">
        <v>19</v>
      </c>
      <c r="C2139" s="2" t="s">
        <v>35</v>
      </c>
      <c r="D2139" s="2">
        <v>12</v>
      </c>
      <c r="E2139" s="2" t="s">
        <v>15</v>
      </c>
      <c r="F2139" s="2" t="s">
        <v>36</v>
      </c>
      <c r="G2139" s="7">
        <v>25.4</v>
      </c>
      <c r="H2139" s="7">
        <v>313</v>
      </c>
      <c r="I2139" s="2" t="s">
        <v>15</v>
      </c>
      <c r="J2139" s="2" t="s">
        <v>16</v>
      </c>
      <c r="K2139" s="2" t="s">
        <v>24</v>
      </c>
      <c r="L2139" s="7">
        <v>313</v>
      </c>
      <c r="M2139" s="2" t="str">
        <f>_xlfn.IFS(TelecomData[[#This Row],[TenureMonths]]&lt;=12, "0-1 Year", TelecomData[[#This Row],[TenureMonths]]&lt;=36, "1-3 Years", TelecomData[[#This Row],[TenureMonths]]&gt;36, "3+ Years")</f>
        <v>0-1 Year</v>
      </c>
      <c r="N2139" s="2" t="str">
        <f>IF(TelecomData[[#This Row],[CleanedTotalCharges]]&gt;=2500,"High Spend", "Standard Spend")</f>
        <v>Standard Spend</v>
      </c>
    </row>
    <row r="2140" spans="1:14" x14ac:dyDescent="0.3">
      <c r="A2140" s="1" t="s">
        <v>2164</v>
      </c>
      <c r="B2140" s="2" t="s">
        <v>12</v>
      </c>
      <c r="C2140" s="2" t="s">
        <v>35</v>
      </c>
      <c r="D2140" s="2">
        <v>54</v>
      </c>
      <c r="E2140" s="2" t="s">
        <v>14</v>
      </c>
      <c r="F2140" s="2" t="s">
        <v>16</v>
      </c>
      <c r="G2140" s="7">
        <v>69.95</v>
      </c>
      <c r="H2140" s="7">
        <v>3871.85</v>
      </c>
      <c r="I2140" s="2" t="s">
        <v>15</v>
      </c>
      <c r="J2140" s="2" t="s">
        <v>15</v>
      </c>
      <c r="K2140" s="2" t="s">
        <v>24</v>
      </c>
      <c r="L2140" s="7">
        <v>3871.85</v>
      </c>
      <c r="M2140" s="2" t="str">
        <f>_xlfn.IFS(TelecomData[[#This Row],[TenureMonths]]&lt;=12, "0-1 Year", TelecomData[[#This Row],[TenureMonths]]&lt;=36, "1-3 Years", TelecomData[[#This Row],[TenureMonths]]&gt;36, "3+ Years")</f>
        <v>3+ Years</v>
      </c>
      <c r="N2140" s="2" t="str">
        <f>IF(TelecomData[[#This Row],[CleanedTotalCharges]]&gt;=2500,"High Spend", "Standard Spend")</f>
        <v>High Spend</v>
      </c>
    </row>
    <row r="2141" spans="1:14" x14ac:dyDescent="0.3">
      <c r="A2141" s="1" t="s">
        <v>2165</v>
      </c>
      <c r="B2141" s="2" t="s">
        <v>12</v>
      </c>
      <c r="C2141" s="2" t="s">
        <v>13</v>
      </c>
      <c r="D2141" s="2">
        <v>7</v>
      </c>
      <c r="E2141" s="2" t="s">
        <v>14</v>
      </c>
      <c r="F2141" s="2" t="s">
        <v>15</v>
      </c>
      <c r="G2141" s="7">
        <v>66.849999999999994</v>
      </c>
      <c r="H2141" s="7">
        <v>458.1</v>
      </c>
      <c r="I2141" s="2" t="s">
        <v>15</v>
      </c>
      <c r="J2141" s="2" t="s">
        <v>16</v>
      </c>
      <c r="K2141" s="2" t="s">
        <v>17</v>
      </c>
      <c r="L2141" s="7">
        <v>458.1</v>
      </c>
      <c r="M2141" s="2" t="str">
        <f>_xlfn.IFS(TelecomData[[#This Row],[TenureMonths]]&lt;=12, "0-1 Year", TelecomData[[#This Row],[TenureMonths]]&lt;=36, "1-3 Years", TelecomData[[#This Row],[TenureMonths]]&gt;36, "3+ Years")</f>
        <v>0-1 Year</v>
      </c>
      <c r="N2141" s="2" t="str">
        <f>IF(TelecomData[[#This Row],[CleanedTotalCharges]]&gt;=2500,"High Spend", "Standard Spend")</f>
        <v>Standard Spend</v>
      </c>
    </row>
    <row r="2142" spans="1:14" x14ac:dyDescent="0.3">
      <c r="A2142" s="1" t="s">
        <v>2166</v>
      </c>
      <c r="B2142" s="2" t="s">
        <v>12</v>
      </c>
      <c r="C2142" s="2" t="s">
        <v>13</v>
      </c>
      <c r="D2142" s="2">
        <v>33</v>
      </c>
      <c r="E2142" s="2" t="s">
        <v>26</v>
      </c>
      <c r="F2142" s="2" t="s">
        <v>15</v>
      </c>
      <c r="G2142" s="7">
        <v>86.15</v>
      </c>
      <c r="H2142" s="7">
        <v>2745.7</v>
      </c>
      <c r="I2142" s="2" t="s">
        <v>16</v>
      </c>
      <c r="J2142" s="2" t="s">
        <v>15</v>
      </c>
      <c r="K2142" s="2" t="s">
        <v>29</v>
      </c>
      <c r="L2142" s="7">
        <v>2745.7</v>
      </c>
      <c r="M2142" s="2" t="str">
        <f>_xlfn.IFS(TelecomData[[#This Row],[TenureMonths]]&lt;=12, "0-1 Year", TelecomData[[#This Row],[TenureMonths]]&lt;=36, "1-3 Years", TelecomData[[#This Row],[TenureMonths]]&gt;36, "3+ Years")</f>
        <v>1-3 Years</v>
      </c>
      <c r="N2142" s="2" t="str">
        <f>IF(TelecomData[[#This Row],[CleanedTotalCharges]]&gt;=2500,"High Spend", "Standard Spend")</f>
        <v>High Spend</v>
      </c>
    </row>
    <row r="2143" spans="1:14" x14ac:dyDescent="0.3">
      <c r="A2143" s="1" t="s">
        <v>2167</v>
      </c>
      <c r="B2143" s="2" t="s">
        <v>19</v>
      </c>
      <c r="C2143" s="2" t="s">
        <v>13</v>
      </c>
      <c r="D2143" s="2">
        <v>16</v>
      </c>
      <c r="E2143" s="2" t="s">
        <v>15</v>
      </c>
      <c r="F2143" s="2" t="s">
        <v>36</v>
      </c>
      <c r="G2143" s="7">
        <v>20.149999999999999</v>
      </c>
      <c r="H2143" s="7">
        <v>341.35</v>
      </c>
      <c r="I2143" s="2" t="s">
        <v>15</v>
      </c>
      <c r="J2143" s="2" t="s">
        <v>15</v>
      </c>
      <c r="K2143" s="2" t="s">
        <v>17</v>
      </c>
      <c r="L2143" s="7">
        <v>341.35</v>
      </c>
      <c r="M2143" s="2" t="str">
        <f>_xlfn.IFS(TelecomData[[#This Row],[TenureMonths]]&lt;=12, "0-1 Year", TelecomData[[#This Row],[TenureMonths]]&lt;=36, "1-3 Years", TelecomData[[#This Row],[TenureMonths]]&gt;36, "3+ Years")</f>
        <v>1-3 Years</v>
      </c>
      <c r="N2143" s="2" t="str">
        <f>IF(TelecomData[[#This Row],[CleanedTotalCharges]]&gt;=2500,"High Spend", "Standard Spend")</f>
        <v>Standard Spend</v>
      </c>
    </row>
    <row r="2144" spans="1:14" x14ac:dyDescent="0.3">
      <c r="A2144" s="1" t="s">
        <v>2168</v>
      </c>
      <c r="B2144" s="2" t="s">
        <v>12</v>
      </c>
      <c r="C2144" s="2" t="s">
        <v>20</v>
      </c>
      <c r="D2144" s="2">
        <v>21</v>
      </c>
      <c r="E2144" s="2" t="s">
        <v>14</v>
      </c>
      <c r="F2144" s="2" t="s">
        <v>15</v>
      </c>
      <c r="G2144" s="7">
        <v>64.849999999999994</v>
      </c>
      <c r="H2144" s="7">
        <v>1336.8</v>
      </c>
      <c r="I2144" s="2" t="s">
        <v>15</v>
      </c>
      <c r="J2144" s="2" t="s">
        <v>15</v>
      </c>
      <c r="K2144" s="2" t="s">
        <v>21</v>
      </c>
      <c r="L2144" s="7">
        <v>1336.8</v>
      </c>
      <c r="M2144" s="2" t="str">
        <f>_xlfn.IFS(TelecomData[[#This Row],[TenureMonths]]&lt;=12, "0-1 Year", TelecomData[[#This Row],[TenureMonths]]&lt;=36, "1-3 Years", TelecomData[[#This Row],[TenureMonths]]&gt;36, "3+ Years")</f>
        <v>1-3 Years</v>
      </c>
      <c r="N2144" s="2" t="str">
        <f>IF(TelecomData[[#This Row],[CleanedTotalCharges]]&gt;=2500,"High Spend", "Standard Spend")</f>
        <v>Standard Spend</v>
      </c>
    </row>
    <row r="2145" spans="1:14" x14ac:dyDescent="0.3">
      <c r="A2145" s="1" t="s">
        <v>2169</v>
      </c>
      <c r="B2145" s="2" t="s">
        <v>19</v>
      </c>
      <c r="C2145" s="2" t="s">
        <v>35</v>
      </c>
      <c r="D2145" s="2">
        <v>30</v>
      </c>
      <c r="E2145" s="2" t="s">
        <v>14</v>
      </c>
      <c r="F2145" s="2" t="s">
        <v>15</v>
      </c>
      <c r="G2145" s="7">
        <v>74.849999999999994</v>
      </c>
      <c r="H2145" s="7">
        <v>2181.75</v>
      </c>
      <c r="I2145" s="2" t="s">
        <v>15</v>
      </c>
      <c r="J2145" s="2" t="s">
        <v>15</v>
      </c>
      <c r="K2145" s="2" t="s">
        <v>17</v>
      </c>
      <c r="L2145" s="7">
        <v>2181.75</v>
      </c>
      <c r="M2145" s="2" t="str">
        <f>_xlfn.IFS(TelecomData[[#This Row],[TenureMonths]]&lt;=12, "0-1 Year", TelecomData[[#This Row],[TenureMonths]]&lt;=36, "1-3 Years", TelecomData[[#This Row],[TenureMonths]]&gt;36, "3+ Years")</f>
        <v>1-3 Years</v>
      </c>
      <c r="N2145" s="2" t="str">
        <f>IF(TelecomData[[#This Row],[CleanedTotalCharges]]&gt;=2500,"High Spend", "Standard Spend")</f>
        <v>Standard Spend</v>
      </c>
    </row>
    <row r="2146" spans="1:14" x14ac:dyDescent="0.3">
      <c r="A2146" s="1" t="s">
        <v>2170</v>
      </c>
      <c r="B2146" s="2" t="s">
        <v>19</v>
      </c>
      <c r="C2146" s="2" t="s">
        <v>13</v>
      </c>
      <c r="D2146" s="2">
        <v>3</v>
      </c>
      <c r="E2146" s="2" t="s">
        <v>14</v>
      </c>
      <c r="F2146" s="2" t="s">
        <v>16</v>
      </c>
      <c r="G2146" s="7">
        <v>50.5</v>
      </c>
      <c r="H2146" s="7">
        <v>147.75</v>
      </c>
      <c r="I2146" s="2" t="s">
        <v>15</v>
      </c>
      <c r="J2146" s="2" t="s">
        <v>16</v>
      </c>
      <c r="K2146" s="2" t="s">
        <v>21</v>
      </c>
      <c r="L2146" s="7">
        <v>147.75</v>
      </c>
      <c r="M2146" s="2" t="str">
        <f>_xlfn.IFS(TelecomData[[#This Row],[TenureMonths]]&lt;=12, "0-1 Year", TelecomData[[#This Row],[TenureMonths]]&lt;=36, "1-3 Years", TelecomData[[#This Row],[TenureMonths]]&gt;36, "3+ Years")</f>
        <v>0-1 Year</v>
      </c>
      <c r="N2146" s="2" t="str">
        <f>IF(TelecomData[[#This Row],[CleanedTotalCharges]]&gt;=2500,"High Spend", "Standard Spend")</f>
        <v>Standard Spend</v>
      </c>
    </row>
    <row r="2147" spans="1:14" x14ac:dyDescent="0.3">
      <c r="A2147" s="1" t="s">
        <v>2171</v>
      </c>
      <c r="B2147" s="2" t="s">
        <v>19</v>
      </c>
      <c r="C2147" s="2" t="s">
        <v>13</v>
      </c>
      <c r="D2147" s="2">
        <v>11</v>
      </c>
      <c r="E2147" s="2" t="s">
        <v>26</v>
      </c>
      <c r="F2147" s="2" t="s">
        <v>15</v>
      </c>
      <c r="G2147" s="7">
        <v>72.900000000000006</v>
      </c>
      <c r="H2147" s="7">
        <v>818.45</v>
      </c>
      <c r="I2147" s="2" t="s">
        <v>15</v>
      </c>
      <c r="J2147" s="2" t="s">
        <v>15</v>
      </c>
      <c r="K2147" s="2" t="s">
        <v>17</v>
      </c>
      <c r="L2147" s="7">
        <v>818.45</v>
      </c>
      <c r="M2147" s="2" t="str">
        <f>_xlfn.IFS(TelecomData[[#This Row],[TenureMonths]]&lt;=12, "0-1 Year", TelecomData[[#This Row],[TenureMonths]]&lt;=36, "1-3 Years", TelecomData[[#This Row],[TenureMonths]]&gt;36, "3+ Years")</f>
        <v>0-1 Year</v>
      </c>
      <c r="N2147" s="2" t="str">
        <f>IF(TelecomData[[#This Row],[CleanedTotalCharges]]&gt;=2500,"High Spend", "Standard Spend")</f>
        <v>Standard Spend</v>
      </c>
    </row>
    <row r="2148" spans="1:14" x14ac:dyDescent="0.3">
      <c r="A2148" s="1" t="s">
        <v>2172</v>
      </c>
      <c r="B2148" s="2" t="s">
        <v>12</v>
      </c>
      <c r="C2148" s="2" t="s">
        <v>20</v>
      </c>
      <c r="D2148" s="2">
        <v>62</v>
      </c>
      <c r="E2148" s="2" t="s">
        <v>26</v>
      </c>
      <c r="F2148" s="2" t="s">
        <v>16</v>
      </c>
      <c r="G2148" s="7">
        <v>115.05</v>
      </c>
      <c r="H2148" s="7">
        <v>7133.45</v>
      </c>
      <c r="I2148" s="2" t="s">
        <v>15</v>
      </c>
      <c r="J2148" s="2" t="s">
        <v>16</v>
      </c>
      <c r="K2148" s="2" t="s">
        <v>29</v>
      </c>
      <c r="L2148" s="7">
        <v>7133.45</v>
      </c>
      <c r="M2148" s="2" t="str">
        <f>_xlfn.IFS(TelecomData[[#This Row],[TenureMonths]]&lt;=12, "0-1 Year", TelecomData[[#This Row],[TenureMonths]]&lt;=36, "1-3 Years", TelecomData[[#This Row],[TenureMonths]]&gt;36, "3+ Years")</f>
        <v>3+ Years</v>
      </c>
      <c r="N2148" s="2" t="str">
        <f>IF(TelecomData[[#This Row],[CleanedTotalCharges]]&gt;=2500,"High Spend", "Standard Spend")</f>
        <v>High Spend</v>
      </c>
    </row>
    <row r="2149" spans="1:14" x14ac:dyDescent="0.3">
      <c r="A2149" s="1" t="s">
        <v>2173</v>
      </c>
      <c r="B2149" s="2" t="s">
        <v>19</v>
      </c>
      <c r="C2149" s="2" t="s">
        <v>13</v>
      </c>
      <c r="D2149" s="2">
        <v>18</v>
      </c>
      <c r="E2149" s="2" t="s">
        <v>15</v>
      </c>
      <c r="F2149" s="2" t="s">
        <v>36</v>
      </c>
      <c r="G2149" s="7">
        <v>19</v>
      </c>
      <c r="H2149" s="7">
        <v>348.8</v>
      </c>
      <c r="I2149" s="2" t="s">
        <v>15</v>
      </c>
      <c r="J2149" s="2" t="s">
        <v>15</v>
      </c>
      <c r="K2149" s="2" t="s">
        <v>17</v>
      </c>
      <c r="L2149" s="7">
        <v>348.8</v>
      </c>
      <c r="M2149" s="2" t="str">
        <f>_xlfn.IFS(TelecomData[[#This Row],[TenureMonths]]&lt;=12, "0-1 Year", TelecomData[[#This Row],[TenureMonths]]&lt;=36, "1-3 Years", TelecomData[[#This Row],[TenureMonths]]&gt;36, "3+ Years")</f>
        <v>1-3 Years</v>
      </c>
      <c r="N2149" s="2" t="str">
        <f>IF(TelecomData[[#This Row],[CleanedTotalCharges]]&gt;=2500,"High Spend", "Standard Spend")</f>
        <v>Standard Spend</v>
      </c>
    </row>
    <row r="2150" spans="1:14" x14ac:dyDescent="0.3">
      <c r="A2150" s="1" t="s">
        <v>2174</v>
      </c>
      <c r="B2150" s="2" t="s">
        <v>19</v>
      </c>
      <c r="C2150" s="2" t="s">
        <v>13</v>
      </c>
      <c r="D2150" s="2">
        <v>6</v>
      </c>
      <c r="E2150" s="2" t="s">
        <v>15</v>
      </c>
      <c r="F2150" s="2" t="s">
        <v>36</v>
      </c>
      <c r="G2150" s="7">
        <v>19.55</v>
      </c>
      <c r="H2150" s="7">
        <v>128.6</v>
      </c>
      <c r="I2150" s="2" t="s">
        <v>15</v>
      </c>
      <c r="J2150" s="2" t="s">
        <v>15</v>
      </c>
      <c r="K2150" s="2" t="s">
        <v>21</v>
      </c>
      <c r="L2150" s="7">
        <v>128.6</v>
      </c>
      <c r="M2150" s="2" t="str">
        <f>_xlfn.IFS(TelecomData[[#This Row],[TenureMonths]]&lt;=12, "0-1 Year", TelecomData[[#This Row],[TenureMonths]]&lt;=36, "1-3 Years", TelecomData[[#This Row],[TenureMonths]]&gt;36, "3+ Years")</f>
        <v>0-1 Year</v>
      </c>
      <c r="N2150" s="2" t="str">
        <f>IF(TelecomData[[#This Row],[CleanedTotalCharges]]&gt;=2500,"High Spend", "Standard Spend")</f>
        <v>Standard Spend</v>
      </c>
    </row>
    <row r="2151" spans="1:14" x14ac:dyDescent="0.3">
      <c r="A2151" s="1" t="s">
        <v>2175</v>
      </c>
      <c r="B2151" s="2" t="s">
        <v>12</v>
      </c>
      <c r="C2151" s="2" t="s">
        <v>20</v>
      </c>
      <c r="D2151" s="2">
        <v>46</v>
      </c>
      <c r="E2151" s="2" t="s">
        <v>26</v>
      </c>
      <c r="F2151" s="2" t="s">
        <v>15</v>
      </c>
      <c r="G2151" s="7">
        <v>101.1</v>
      </c>
      <c r="H2151" s="7">
        <v>4674.3999999999996</v>
      </c>
      <c r="I2151" s="2" t="s">
        <v>15</v>
      </c>
      <c r="J2151" s="2" t="s">
        <v>16</v>
      </c>
      <c r="K2151" s="2" t="s">
        <v>17</v>
      </c>
      <c r="L2151" s="7">
        <v>4674.3999999999996</v>
      </c>
      <c r="M2151" s="2" t="str">
        <f>_xlfn.IFS(TelecomData[[#This Row],[TenureMonths]]&lt;=12, "0-1 Year", TelecomData[[#This Row],[TenureMonths]]&lt;=36, "1-3 Years", TelecomData[[#This Row],[TenureMonths]]&gt;36, "3+ Years")</f>
        <v>3+ Years</v>
      </c>
      <c r="N2151" s="2" t="str">
        <f>IF(TelecomData[[#This Row],[CleanedTotalCharges]]&gt;=2500,"High Spend", "Standard Spend")</f>
        <v>High Spend</v>
      </c>
    </row>
    <row r="2152" spans="1:14" x14ac:dyDescent="0.3">
      <c r="A2152" s="1" t="s">
        <v>2176</v>
      </c>
      <c r="B2152" s="2" t="s">
        <v>19</v>
      </c>
      <c r="C2152" s="2" t="s">
        <v>13</v>
      </c>
      <c r="D2152" s="2">
        <v>21</v>
      </c>
      <c r="E2152" s="2" t="s">
        <v>26</v>
      </c>
      <c r="F2152" s="2" t="s">
        <v>15</v>
      </c>
      <c r="G2152" s="7">
        <v>84.1</v>
      </c>
      <c r="H2152" s="7">
        <v>1737.45</v>
      </c>
      <c r="I2152" s="2" t="s">
        <v>15</v>
      </c>
      <c r="J2152" s="2" t="s">
        <v>16</v>
      </c>
      <c r="K2152" s="2" t="s">
        <v>17</v>
      </c>
      <c r="L2152" s="7">
        <v>1737.45</v>
      </c>
      <c r="M2152" s="2" t="str">
        <f>_xlfn.IFS(TelecomData[[#This Row],[TenureMonths]]&lt;=12, "0-1 Year", TelecomData[[#This Row],[TenureMonths]]&lt;=36, "1-3 Years", TelecomData[[#This Row],[TenureMonths]]&gt;36, "3+ Years")</f>
        <v>1-3 Years</v>
      </c>
      <c r="N2152" s="2" t="str">
        <f>IF(TelecomData[[#This Row],[CleanedTotalCharges]]&gt;=2500,"High Spend", "Standard Spend")</f>
        <v>Standard Spend</v>
      </c>
    </row>
    <row r="2153" spans="1:14" x14ac:dyDescent="0.3">
      <c r="A2153" s="1" t="s">
        <v>2177</v>
      </c>
      <c r="B2153" s="2" t="s">
        <v>19</v>
      </c>
      <c r="C2153" s="2" t="s">
        <v>35</v>
      </c>
      <c r="D2153" s="2">
        <v>68</v>
      </c>
      <c r="E2153" s="2" t="s">
        <v>15</v>
      </c>
      <c r="F2153" s="2" t="s">
        <v>36</v>
      </c>
      <c r="G2153" s="7">
        <v>24.15</v>
      </c>
      <c r="H2153" s="7">
        <v>1498.85</v>
      </c>
      <c r="I2153" s="2" t="s">
        <v>15</v>
      </c>
      <c r="J2153" s="2" t="s">
        <v>16</v>
      </c>
      <c r="K2153" s="2" t="s">
        <v>24</v>
      </c>
      <c r="L2153" s="7">
        <v>1498.85</v>
      </c>
      <c r="M2153" s="2" t="str">
        <f>_xlfn.IFS(TelecomData[[#This Row],[TenureMonths]]&lt;=12, "0-1 Year", TelecomData[[#This Row],[TenureMonths]]&lt;=36, "1-3 Years", TelecomData[[#This Row],[TenureMonths]]&gt;36, "3+ Years")</f>
        <v>3+ Years</v>
      </c>
      <c r="N2153" s="2" t="str">
        <f>IF(TelecomData[[#This Row],[CleanedTotalCharges]]&gt;=2500,"High Spend", "Standard Spend")</f>
        <v>Standard Spend</v>
      </c>
    </row>
    <row r="2154" spans="1:14" x14ac:dyDescent="0.3">
      <c r="A2154" s="1" t="s">
        <v>2178</v>
      </c>
      <c r="B2154" s="2" t="s">
        <v>12</v>
      </c>
      <c r="C2154" s="2" t="s">
        <v>13</v>
      </c>
      <c r="D2154" s="2">
        <v>1</v>
      </c>
      <c r="E2154" s="2" t="s">
        <v>14</v>
      </c>
      <c r="F2154" s="2" t="s">
        <v>15</v>
      </c>
      <c r="G2154" s="7">
        <v>50.1</v>
      </c>
      <c r="H2154" s="7">
        <v>50.1</v>
      </c>
      <c r="I2154" s="2" t="s">
        <v>15</v>
      </c>
      <c r="J2154" s="2" t="s">
        <v>16</v>
      </c>
      <c r="K2154" s="2" t="s">
        <v>17</v>
      </c>
      <c r="L2154" s="7">
        <v>50.1</v>
      </c>
      <c r="M2154" s="2" t="str">
        <f>_xlfn.IFS(TelecomData[[#This Row],[TenureMonths]]&lt;=12, "0-1 Year", TelecomData[[#This Row],[TenureMonths]]&lt;=36, "1-3 Years", TelecomData[[#This Row],[TenureMonths]]&gt;36, "3+ Years")</f>
        <v>0-1 Year</v>
      </c>
      <c r="N2154" s="2" t="str">
        <f>IF(TelecomData[[#This Row],[CleanedTotalCharges]]&gt;=2500,"High Spend", "Standard Spend")</f>
        <v>Standard Spend</v>
      </c>
    </row>
    <row r="2155" spans="1:14" x14ac:dyDescent="0.3">
      <c r="A2155" s="1" t="s">
        <v>2179</v>
      </c>
      <c r="B2155" s="2" t="s">
        <v>12</v>
      </c>
      <c r="C2155" s="2" t="s">
        <v>13</v>
      </c>
      <c r="D2155" s="2">
        <v>25</v>
      </c>
      <c r="E2155" s="2" t="s">
        <v>26</v>
      </c>
      <c r="F2155" s="2" t="s">
        <v>15</v>
      </c>
      <c r="G2155" s="7">
        <v>74.599999999999994</v>
      </c>
      <c r="H2155" s="7">
        <v>1797.75</v>
      </c>
      <c r="I2155" s="2" t="s">
        <v>15</v>
      </c>
      <c r="J2155" s="2" t="s">
        <v>16</v>
      </c>
      <c r="K2155" s="2" t="s">
        <v>17</v>
      </c>
      <c r="L2155" s="7">
        <v>1797.75</v>
      </c>
      <c r="M2155" s="2" t="str">
        <f>_xlfn.IFS(TelecomData[[#This Row],[TenureMonths]]&lt;=12, "0-1 Year", TelecomData[[#This Row],[TenureMonths]]&lt;=36, "1-3 Years", TelecomData[[#This Row],[TenureMonths]]&gt;36, "3+ Years")</f>
        <v>1-3 Years</v>
      </c>
      <c r="N2155" s="2" t="str">
        <f>IF(TelecomData[[#This Row],[CleanedTotalCharges]]&gt;=2500,"High Spend", "Standard Spend")</f>
        <v>Standard Spend</v>
      </c>
    </row>
    <row r="2156" spans="1:14" x14ac:dyDescent="0.3">
      <c r="A2156" s="1" t="s">
        <v>2180</v>
      </c>
      <c r="B2156" s="2" t="s">
        <v>12</v>
      </c>
      <c r="C2156" s="2" t="s">
        <v>35</v>
      </c>
      <c r="D2156" s="2">
        <v>24</v>
      </c>
      <c r="E2156" s="2" t="s">
        <v>15</v>
      </c>
      <c r="F2156" s="2" t="s">
        <v>36</v>
      </c>
      <c r="G2156" s="7">
        <v>19.75</v>
      </c>
      <c r="H2156" s="7">
        <v>498.1</v>
      </c>
      <c r="I2156" s="2" t="s">
        <v>15</v>
      </c>
      <c r="J2156" s="2" t="s">
        <v>15</v>
      </c>
      <c r="K2156" s="2" t="s">
        <v>21</v>
      </c>
      <c r="L2156" s="7">
        <v>498.1</v>
      </c>
      <c r="M2156" s="2" t="str">
        <f>_xlfn.IFS(TelecomData[[#This Row],[TenureMonths]]&lt;=12, "0-1 Year", TelecomData[[#This Row],[TenureMonths]]&lt;=36, "1-3 Years", TelecomData[[#This Row],[TenureMonths]]&gt;36, "3+ Years")</f>
        <v>1-3 Years</v>
      </c>
      <c r="N2156" s="2" t="str">
        <f>IF(TelecomData[[#This Row],[CleanedTotalCharges]]&gt;=2500,"High Spend", "Standard Spend")</f>
        <v>Standard Spend</v>
      </c>
    </row>
    <row r="2157" spans="1:14" x14ac:dyDescent="0.3">
      <c r="A2157" s="1" t="s">
        <v>2181</v>
      </c>
      <c r="B2157" s="2" t="s">
        <v>12</v>
      </c>
      <c r="C2157" s="2" t="s">
        <v>13</v>
      </c>
      <c r="D2157" s="2">
        <v>30</v>
      </c>
      <c r="E2157" s="2" t="s">
        <v>26</v>
      </c>
      <c r="F2157" s="2" t="s">
        <v>15</v>
      </c>
      <c r="G2157" s="7">
        <v>85</v>
      </c>
      <c r="H2157" s="7">
        <v>2624.25</v>
      </c>
      <c r="I2157" s="2" t="s">
        <v>16</v>
      </c>
      <c r="J2157" s="2" t="s">
        <v>16</v>
      </c>
      <c r="K2157" s="2" t="s">
        <v>17</v>
      </c>
      <c r="L2157" s="7">
        <v>2624.25</v>
      </c>
      <c r="M2157" s="2" t="str">
        <f>_xlfn.IFS(TelecomData[[#This Row],[TenureMonths]]&lt;=12, "0-1 Year", TelecomData[[#This Row],[TenureMonths]]&lt;=36, "1-3 Years", TelecomData[[#This Row],[TenureMonths]]&gt;36, "3+ Years")</f>
        <v>1-3 Years</v>
      </c>
      <c r="N2157" s="2" t="str">
        <f>IF(TelecomData[[#This Row],[CleanedTotalCharges]]&gt;=2500,"High Spend", "Standard Spend")</f>
        <v>High Spend</v>
      </c>
    </row>
    <row r="2158" spans="1:14" x14ac:dyDescent="0.3">
      <c r="A2158" s="1" t="s">
        <v>2182</v>
      </c>
      <c r="B2158" s="2" t="s">
        <v>12</v>
      </c>
      <c r="C2158" s="2" t="s">
        <v>13</v>
      </c>
      <c r="D2158" s="2">
        <v>2</v>
      </c>
      <c r="E2158" s="2" t="s">
        <v>26</v>
      </c>
      <c r="F2158" s="2" t="s">
        <v>15</v>
      </c>
      <c r="G2158" s="7">
        <v>80.55</v>
      </c>
      <c r="H2158" s="7">
        <v>184.1</v>
      </c>
      <c r="I2158" s="2" t="s">
        <v>16</v>
      </c>
      <c r="J2158" s="2" t="s">
        <v>15</v>
      </c>
      <c r="K2158" s="2" t="s">
        <v>17</v>
      </c>
      <c r="L2158" s="7">
        <v>184.1</v>
      </c>
      <c r="M2158" s="2" t="str">
        <f>_xlfn.IFS(TelecomData[[#This Row],[TenureMonths]]&lt;=12, "0-1 Year", TelecomData[[#This Row],[TenureMonths]]&lt;=36, "1-3 Years", TelecomData[[#This Row],[TenureMonths]]&gt;36, "3+ Years")</f>
        <v>0-1 Year</v>
      </c>
      <c r="N2158" s="2" t="str">
        <f>IF(TelecomData[[#This Row],[CleanedTotalCharges]]&gt;=2500,"High Spend", "Standard Spend")</f>
        <v>Standard Spend</v>
      </c>
    </row>
    <row r="2159" spans="1:14" x14ac:dyDescent="0.3">
      <c r="A2159" s="1" t="s">
        <v>2183</v>
      </c>
      <c r="B2159" s="2" t="s">
        <v>19</v>
      </c>
      <c r="C2159" s="2" t="s">
        <v>20</v>
      </c>
      <c r="D2159" s="2">
        <v>51</v>
      </c>
      <c r="E2159" s="2" t="s">
        <v>26</v>
      </c>
      <c r="F2159" s="2" t="s">
        <v>15</v>
      </c>
      <c r="G2159" s="7">
        <v>106.8</v>
      </c>
      <c r="H2159" s="7">
        <v>5498.8</v>
      </c>
      <c r="I2159" s="2" t="s">
        <v>15</v>
      </c>
      <c r="J2159" s="2" t="s">
        <v>16</v>
      </c>
      <c r="K2159" s="2" t="s">
        <v>24</v>
      </c>
      <c r="L2159" s="7">
        <v>5498.8</v>
      </c>
      <c r="M2159" s="2" t="str">
        <f>_xlfn.IFS(TelecomData[[#This Row],[TenureMonths]]&lt;=12, "0-1 Year", TelecomData[[#This Row],[TenureMonths]]&lt;=36, "1-3 Years", TelecomData[[#This Row],[TenureMonths]]&gt;36, "3+ Years")</f>
        <v>3+ Years</v>
      </c>
      <c r="N2159" s="2" t="str">
        <f>IF(TelecomData[[#This Row],[CleanedTotalCharges]]&gt;=2500,"High Spend", "Standard Spend")</f>
        <v>High Spend</v>
      </c>
    </row>
    <row r="2160" spans="1:14" x14ac:dyDescent="0.3">
      <c r="A2160" s="1" t="s">
        <v>2184</v>
      </c>
      <c r="B2160" s="2" t="s">
        <v>12</v>
      </c>
      <c r="C2160" s="2" t="s">
        <v>35</v>
      </c>
      <c r="D2160" s="2">
        <v>57</v>
      </c>
      <c r="E2160" s="2" t="s">
        <v>14</v>
      </c>
      <c r="F2160" s="2" t="s">
        <v>16</v>
      </c>
      <c r="G2160" s="7">
        <v>84.5</v>
      </c>
      <c r="H2160" s="7">
        <v>4845.3999999999996</v>
      </c>
      <c r="I2160" s="2" t="s">
        <v>15</v>
      </c>
      <c r="J2160" s="2" t="s">
        <v>16</v>
      </c>
      <c r="K2160" s="2" t="s">
        <v>17</v>
      </c>
      <c r="L2160" s="7">
        <v>4845.3999999999996</v>
      </c>
      <c r="M2160" s="2" t="str">
        <f>_xlfn.IFS(TelecomData[[#This Row],[TenureMonths]]&lt;=12, "0-1 Year", TelecomData[[#This Row],[TenureMonths]]&lt;=36, "1-3 Years", TelecomData[[#This Row],[TenureMonths]]&gt;36, "3+ Years")</f>
        <v>3+ Years</v>
      </c>
      <c r="N2160" s="2" t="str">
        <f>IF(TelecomData[[#This Row],[CleanedTotalCharges]]&gt;=2500,"High Spend", "Standard Spend")</f>
        <v>High Spend</v>
      </c>
    </row>
    <row r="2161" spans="1:14" x14ac:dyDescent="0.3">
      <c r="A2161" s="1" t="s">
        <v>2185</v>
      </c>
      <c r="B2161" s="2" t="s">
        <v>12</v>
      </c>
      <c r="C2161" s="2" t="s">
        <v>35</v>
      </c>
      <c r="D2161" s="2">
        <v>15</v>
      </c>
      <c r="E2161" s="2" t="s">
        <v>15</v>
      </c>
      <c r="F2161" s="2" t="s">
        <v>36</v>
      </c>
      <c r="G2161" s="7">
        <v>25.05</v>
      </c>
      <c r="H2161" s="7">
        <v>369.1</v>
      </c>
      <c r="I2161" s="2" t="s">
        <v>15</v>
      </c>
      <c r="J2161" s="2" t="s">
        <v>15</v>
      </c>
      <c r="K2161" s="2" t="s">
        <v>24</v>
      </c>
      <c r="L2161" s="7">
        <v>369.1</v>
      </c>
      <c r="M2161" s="2" t="str">
        <f>_xlfn.IFS(TelecomData[[#This Row],[TenureMonths]]&lt;=12, "0-1 Year", TelecomData[[#This Row],[TenureMonths]]&lt;=36, "1-3 Years", TelecomData[[#This Row],[TenureMonths]]&gt;36, "3+ Years")</f>
        <v>1-3 Years</v>
      </c>
      <c r="N2161" s="2" t="str">
        <f>IF(TelecomData[[#This Row],[CleanedTotalCharges]]&gt;=2500,"High Spend", "Standard Spend")</f>
        <v>Standard Spend</v>
      </c>
    </row>
    <row r="2162" spans="1:14" x14ac:dyDescent="0.3">
      <c r="A2162" s="1" t="s">
        <v>2186</v>
      </c>
      <c r="B2162" s="2" t="s">
        <v>12</v>
      </c>
      <c r="C2162" s="2" t="s">
        <v>35</v>
      </c>
      <c r="D2162" s="2">
        <v>72</v>
      </c>
      <c r="E2162" s="2" t="s">
        <v>14</v>
      </c>
      <c r="F2162" s="2" t="s">
        <v>16</v>
      </c>
      <c r="G2162" s="7">
        <v>83.7</v>
      </c>
      <c r="H2162" s="7">
        <v>6096.9</v>
      </c>
      <c r="I2162" s="2" t="s">
        <v>15</v>
      </c>
      <c r="J2162" s="2" t="s">
        <v>16</v>
      </c>
      <c r="K2162" s="2" t="s">
        <v>24</v>
      </c>
      <c r="L2162" s="7">
        <v>6096.9</v>
      </c>
      <c r="M2162" s="2" t="str">
        <f>_xlfn.IFS(TelecomData[[#This Row],[TenureMonths]]&lt;=12, "0-1 Year", TelecomData[[#This Row],[TenureMonths]]&lt;=36, "1-3 Years", TelecomData[[#This Row],[TenureMonths]]&gt;36, "3+ Years")</f>
        <v>3+ Years</v>
      </c>
      <c r="N2162" s="2" t="str">
        <f>IF(TelecomData[[#This Row],[CleanedTotalCharges]]&gt;=2500,"High Spend", "Standard Spend")</f>
        <v>High Spend</v>
      </c>
    </row>
    <row r="2163" spans="1:14" x14ac:dyDescent="0.3">
      <c r="A2163" s="1" t="s">
        <v>2187</v>
      </c>
      <c r="B2163" s="2" t="s">
        <v>12</v>
      </c>
      <c r="C2163" s="2" t="s">
        <v>13</v>
      </c>
      <c r="D2163" s="2">
        <v>2</v>
      </c>
      <c r="E2163" s="2" t="s">
        <v>26</v>
      </c>
      <c r="F2163" s="2" t="s">
        <v>15</v>
      </c>
      <c r="G2163" s="7">
        <v>75.8</v>
      </c>
      <c r="H2163" s="7">
        <v>160.75</v>
      </c>
      <c r="I2163" s="2" t="s">
        <v>16</v>
      </c>
      <c r="J2163" s="2" t="s">
        <v>16</v>
      </c>
      <c r="K2163" s="2" t="s">
        <v>17</v>
      </c>
      <c r="L2163" s="7">
        <v>160.75</v>
      </c>
      <c r="M2163" s="2" t="str">
        <f>_xlfn.IFS(TelecomData[[#This Row],[TenureMonths]]&lt;=12, "0-1 Year", TelecomData[[#This Row],[TenureMonths]]&lt;=36, "1-3 Years", TelecomData[[#This Row],[TenureMonths]]&gt;36, "3+ Years")</f>
        <v>0-1 Year</v>
      </c>
      <c r="N2163" s="2" t="str">
        <f>IF(TelecomData[[#This Row],[CleanedTotalCharges]]&gt;=2500,"High Spend", "Standard Spend")</f>
        <v>Standard Spend</v>
      </c>
    </row>
    <row r="2164" spans="1:14" x14ac:dyDescent="0.3">
      <c r="A2164" s="1" t="s">
        <v>2188</v>
      </c>
      <c r="B2164" s="2" t="s">
        <v>19</v>
      </c>
      <c r="C2164" s="2" t="s">
        <v>13</v>
      </c>
      <c r="D2164" s="2">
        <v>28</v>
      </c>
      <c r="E2164" s="2" t="s">
        <v>26</v>
      </c>
      <c r="F2164" s="2" t="s">
        <v>15</v>
      </c>
      <c r="G2164" s="7">
        <v>96.6</v>
      </c>
      <c r="H2164" s="7">
        <v>2684.35</v>
      </c>
      <c r="I2164" s="2" t="s">
        <v>15</v>
      </c>
      <c r="J2164" s="2" t="s">
        <v>15</v>
      </c>
      <c r="K2164" s="2" t="s">
        <v>29</v>
      </c>
      <c r="L2164" s="7">
        <v>2684.35</v>
      </c>
      <c r="M2164" s="2" t="str">
        <f>_xlfn.IFS(TelecomData[[#This Row],[TenureMonths]]&lt;=12, "0-1 Year", TelecomData[[#This Row],[TenureMonths]]&lt;=36, "1-3 Years", TelecomData[[#This Row],[TenureMonths]]&gt;36, "3+ Years")</f>
        <v>1-3 Years</v>
      </c>
      <c r="N2164" s="2" t="str">
        <f>IF(TelecomData[[#This Row],[CleanedTotalCharges]]&gt;=2500,"High Spend", "Standard Spend")</f>
        <v>High Spend</v>
      </c>
    </row>
    <row r="2165" spans="1:14" x14ac:dyDescent="0.3">
      <c r="A2165" s="1" t="s">
        <v>2189</v>
      </c>
      <c r="B2165" s="2" t="s">
        <v>19</v>
      </c>
      <c r="C2165" s="2" t="s">
        <v>13</v>
      </c>
      <c r="D2165" s="2">
        <v>29</v>
      </c>
      <c r="E2165" s="2" t="s">
        <v>26</v>
      </c>
      <c r="F2165" s="2" t="s">
        <v>15</v>
      </c>
      <c r="G2165" s="7">
        <v>98.5</v>
      </c>
      <c r="H2165" s="7">
        <v>3004.15</v>
      </c>
      <c r="I2165" s="2" t="s">
        <v>16</v>
      </c>
      <c r="J2165" s="2" t="s">
        <v>16</v>
      </c>
      <c r="K2165" s="2" t="s">
        <v>17</v>
      </c>
      <c r="L2165" s="7">
        <v>3004.15</v>
      </c>
      <c r="M2165" s="2" t="str">
        <f>_xlfn.IFS(TelecomData[[#This Row],[TenureMonths]]&lt;=12, "0-1 Year", TelecomData[[#This Row],[TenureMonths]]&lt;=36, "1-3 Years", TelecomData[[#This Row],[TenureMonths]]&gt;36, "3+ Years")</f>
        <v>1-3 Years</v>
      </c>
      <c r="N2165" s="2" t="str">
        <f>IF(TelecomData[[#This Row],[CleanedTotalCharges]]&gt;=2500,"High Spend", "Standard Spend")</f>
        <v>High Spend</v>
      </c>
    </row>
    <row r="2166" spans="1:14" x14ac:dyDescent="0.3">
      <c r="A2166" s="1" t="s">
        <v>2190</v>
      </c>
      <c r="B2166" s="2" t="s">
        <v>19</v>
      </c>
      <c r="C2166" s="2" t="s">
        <v>35</v>
      </c>
      <c r="D2166" s="2">
        <v>70</v>
      </c>
      <c r="E2166" s="2" t="s">
        <v>26</v>
      </c>
      <c r="F2166" s="2" t="s">
        <v>16</v>
      </c>
      <c r="G2166" s="7">
        <v>101.1</v>
      </c>
      <c r="H2166" s="7">
        <v>6994.8</v>
      </c>
      <c r="I2166" s="2" t="s">
        <v>15</v>
      </c>
      <c r="J2166" s="2" t="s">
        <v>16</v>
      </c>
      <c r="K2166" s="2" t="s">
        <v>29</v>
      </c>
      <c r="L2166" s="7">
        <v>6994.8</v>
      </c>
      <c r="M2166" s="2" t="str">
        <f>_xlfn.IFS(TelecomData[[#This Row],[TenureMonths]]&lt;=12, "0-1 Year", TelecomData[[#This Row],[TenureMonths]]&lt;=36, "1-3 Years", TelecomData[[#This Row],[TenureMonths]]&gt;36, "3+ Years")</f>
        <v>3+ Years</v>
      </c>
      <c r="N2166" s="2" t="str">
        <f>IF(TelecomData[[#This Row],[CleanedTotalCharges]]&gt;=2500,"High Spend", "Standard Spend")</f>
        <v>High Spend</v>
      </c>
    </row>
    <row r="2167" spans="1:14" x14ac:dyDescent="0.3">
      <c r="A2167" s="1" t="s">
        <v>2191</v>
      </c>
      <c r="B2167" s="2" t="s">
        <v>12</v>
      </c>
      <c r="C2167" s="2" t="s">
        <v>20</v>
      </c>
      <c r="D2167" s="2">
        <v>13</v>
      </c>
      <c r="E2167" s="2" t="s">
        <v>15</v>
      </c>
      <c r="F2167" s="2" t="s">
        <v>36</v>
      </c>
      <c r="G2167" s="7">
        <v>20.2</v>
      </c>
      <c r="H2167" s="7">
        <v>273.25</v>
      </c>
      <c r="I2167" s="2" t="s">
        <v>15</v>
      </c>
      <c r="J2167" s="2" t="s">
        <v>15</v>
      </c>
      <c r="K2167" s="2" t="s">
        <v>21</v>
      </c>
      <c r="L2167" s="7">
        <v>273.25</v>
      </c>
      <c r="M2167" s="2" t="str">
        <f>_xlfn.IFS(TelecomData[[#This Row],[TenureMonths]]&lt;=12, "0-1 Year", TelecomData[[#This Row],[TenureMonths]]&lt;=36, "1-3 Years", TelecomData[[#This Row],[TenureMonths]]&gt;36, "3+ Years")</f>
        <v>1-3 Years</v>
      </c>
      <c r="N2167" s="2" t="str">
        <f>IF(TelecomData[[#This Row],[CleanedTotalCharges]]&gt;=2500,"High Spend", "Standard Spend")</f>
        <v>Standard Spend</v>
      </c>
    </row>
    <row r="2168" spans="1:14" x14ac:dyDescent="0.3">
      <c r="A2168" s="1" t="s">
        <v>2192</v>
      </c>
      <c r="B2168" s="2" t="s">
        <v>12</v>
      </c>
      <c r="C2168" s="2" t="s">
        <v>20</v>
      </c>
      <c r="D2168" s="2">
        <v>59</v>
      </c>
      <c r="E2168" s="2" t="s">
        <v>26</v>
      </c>
      <c r="F2168" s="2" t="s">
        <v>16</v>
      </c>
      <c r="G2168" s="7">
        <v>94.05</v>
      </c>
      <c r="H2168" s="7">
        <v>5483.9</v>
      </c>
      <c r="I2168" s="2" t="s">
        <v>15</v>
      </c>
      <c r="J2168" s="2" t="s">
        <v>16</v>
      </c>
      <c r="K2168" s="2" t="s">
        <v>17</v>
      </c>
      <c r="L2168" s="7">
        <v>5483.9</v>
      </c>
      <c r="M2168" s="2" t="str">
        <f>_xlfn.IFS(TelecomData[[#This Row],[TenureMonths]]&lt;=12, "0-1 Year", TelecomData[[#This Row],[TenureMonths]]&lt;=36, "1-3 Years", TelecomData[[#This Row],[TenureMonths]]&gt;36, "3+ Years")</f>
        <v>3+ Years</v>
      </c>
      <c r="N2168" s="2" t="str">
        <f>IF(TelecomData[[#This Row],[CleanedTotalCharges]]&gt;=2500,"High Spend", "Standard Spend")</f>
        <v>High Spend</v>
      </c>
    </row>
    <row r="2169" spans="1:14" x14ac:dyDescent="0.3">
      <c r="A2169" s="1" t="s">
        <v>2193</v>
      </c>
      <c r="B2169" s="2" t="s">
        <v>19</v>
      </c>
      <c r="C2169" s="2" t="s">
        <v>13</v>
      </c>
      <c r="D2169" s="2">
        <v>13</v>
      </c>
      <c r="E2169" s="2" t="s">
        <v>26</v>
      </c>
      <c r="F2169" s="2" t="s">
        <v>15</v>
      </c>
      <c r="G2169" s="7">
        <v>95.25</v>
      </c>
      <c r="H2169" s="7">
        <v>1233.6500000000001</v>
      </c>
      <c r="I2169" s="2" t="s">
        <v>16</v>
      </c>
      <c r="J2169" s="2" t="s">
        <v>16</v>
      </c>
      <c r="K2169" s="2" t="s">
        <v>17</v>
      </c>
      <c r="L2169" s="7">
        <v>1233.6500000000001</v>
      </c>
      <c r="M2169" s="2" t="str">
        <f>_xlfn.IFS(TelecomData[[#This Row],[TenureMonths]]&lt;=12, "0-1 Year", TelecomData[[#This Row],[TenureMonths]]&lt;=36, "1-3 Years", TelecomData[[#This Row],[TenureMonths]]&gt;36, "3+ Years")</f>
        <v>1-3 Years</v>
      </c>
      <c r="N2169" s="2" t="str">
        <f>IF(TelecomData[[#This Row],[CleanedTotalCharges]]&gt;=2500,"High Spend", "Standard Spend")</f>
        <v>Standard Spend</v>
      </c>
    </row>
    <row r="2170" spans="1:14" x14ac:dyDescent="0.3">
      <c r="A2170" s="1" t="s">
        <v>2194</v>
      </c>
      <c r="B2170" s="2" t="s">
        <v>19</v>
      </c>
      <c r="C2170" s="2" t="s">
        <v>13</v>
      </c>
      <c r="D2170" s="2">
        <v>7</v>
      </c>
      <c r="E2170" s="2" t="s">
        <v>26</v>
      </c>
      <c r="F2170" s="2" t="s">
        <v>15</v>
      </c>
      <c r="G2170" s="7">
        <v>74.400000000000006</v>
      </c>
      <c r="H2170" s="7">
        <v>527.9</v>
      </c>
      <c r="I2170" s="2" t="s">
        <v>16</v>
      </c>
      <c r="J2170" s="2" t="s">
        <v>16</v>
      </c>
      <c r="K2170" s="2" t="s">
        <v>21</v>
      </c>
      <c r="L2170" s="7">
        <v>527.9</v>
      </c>
      <c r="M2170" s="2" t="str">
        <f>_xlfn.IFS(TelecomData[[#This Row],[TenureMonths]]&lt;=12, "0-1 Year", TelecomData[[#This Row],[TenureMonths]]&lt;=36, "1-3 Years", TelecomData[[#This Row],[TenureMonths]]&gt;36, "3+ Years")</f>
        <v>0-1 Year</v>
      </c>
      <c r="N2170" s="2" t="str">
        <f>IF(TelecomData[[#This Row],[CleanedTotalCharges]]&gt;=2500,"High Spend", "Standard Spend")</f>
        <v>Standard Spend</v>
      </c>
    </row>
    <row r="2171" spans="1:14" x14ac:dyDescent="0.3">
      <c r="A2171" s="1" t="s">
        <v>2195</v>
      </c>
      <c r="B2171" s="2" t="s">
        <v>12</v>
      </c>
      <c r="C2171" s="2" t="s">
        <v>35</v>
      </c>
      <c r="D2171" s="2">
        <v>62</v>
      </c>
      <c r="E2171" s="2" t="s">
        <v>14</v>
      </c>
      <c r="F2171" s="2" t="s">
        <v>16</v>
      </c>
      <c r="G2171" s="7">
        <v>81</v>
      </c>
      <c r="H2171" s="7">
        <v>4985.8999999999996</v>
      </c>
      <c r="I2171" s="2" t="s">
        <v>15</v>
      </c>
      <c r="J2171" s="2" t="s">
        <v>15</v>
      </c>
      <c r="K2171" s="2" t="s">
        <v>21</v>
      </c>
      <c r="L2171" s="7">
        <v>4985.8999999999996</v>
      </c>
      <c r="M2171" s="2" t="str">
        <f>_xlfn.IFS(TelecomData[[#This Row],[TenureMonths]]&lt;=12, "0-1 Year", TelecomData[[#This Row],[TenureMonths]]&lt;=36, "1-3 Years", TelecomData[[#This Row],[TenureMonths]]&gt;36, "3+ Years")</f>
        <v>3+ Years</v>
      </c>
      <c r="N2171" s="2" t="str">
        <f>IF(TelecomData[[#This Row],[CleanedTotalCharges]]&gt;=2500,"High Spend", "Standard Spend")</f>
        <v>High Spend</v>
      </c>
    </row>
    <row r="2172" spans="1:14" x14ac:dyDescent="0.3">
      <c r="A2172" s="1" t="s">
        <v>2196</v>
      </c>
      <c r="B2172" s="2" t="s">
        <v>12</v>
      </c>
      <c r="C2172" s="2" t="s">
        <v>20</v>
      </c>
      <c r="D2172" s="2">
        <v>21</v>
      </c>
      <c r="E2172" s="2" t="s">
        <v>14</v>
      </c>
      <c r="F2172" s="2" t="s">
        <v>16</v>
      </c>
      <c r="G2172" s="7">
        <v>60.25</v>
      </c>
      <c r="H2172" s="7">
        <v>1258.3499999999999</v>
      </c>
      <c r="I2172" s="2" t="s">
        <v>15</v>
      </c>
      <c r="J2172" s="2" t="s">
        <v>16</v>
      </c>
      <c r="K2172" s="2" t="s">
        <v>17</v>
      </c>
      <c r="L2172" s="7">
        <v>1258.3499999999999</v>
      </c>
      <c r="M2172" s="2" t="str">
        <f>_xlfn.IFS(TelecomData[[#This Row],[TenureMonths]]&lt;=12, "0-1 Year", TelecomData[[#This Row],[TenureMonths]]&lt;=36, "1-3 Years", TelecomData[[#This Row],[TenureMonths]]&gt;36, "3+ Years")</f>
        <v>1-3 Years</v>
      </c>
      <c r="N2172" s="2" t="str">
        <f>IF(TelecomData[[#This Row],[CleanedTotalCharges]]&gt;=2500,"High Spend", "Standard Spend")</f>
        <v>Standard Spend</v>
      </c>
    </row>
    <row r="2173" spans="1:14" x14ac:dyDescent="0.3">
      <c r="A2173" s="1" t="s">
        <v>2197</v>
      </c>
      <c r="B2173" s="2" t="s">
        <v>12</v>
      </c>
      <c r="C2173" s="2" t="s">
        <v>13</v>
      </c>
      <c r="D2173" s="2">
        <v>2</v>
      </c>
      <c r="E2173" s="2" t="s">
        <v>14</v>
      </c>
      <c r="F2173" s="2" t="s">
        <v>15</v>
      </c>
      <c r="G2173" s="7">
        <v>60.85</v>
      </c>
      <c r="H2173" s="7">
        <v>111.4</v>
      </c>
      <c r="I2173" s="2" t="s">
        <v>15</v>
      </c>
      <c r="J2173" s="2" t="s">
        <v>15</v>
      </c>
      <c r="K2173" s="2" t="s">
        <v>17</v>
      </c>
      <c r="L2173" s="7">
        <v>111.4</v>
      </c>
      <c r="M2173" s="2" t="str">
        <f>_xlfn.IFS(TelecomData[[#This Row],[TenureMonths]]&lt;=12, "0-1 Year", TelecomData[[#This Row],[TenureMonths]]&lt;=36, "1-3 Years", TelecomData[[#This Row],[TenureMonths]]&gt;36, "3+ Years")</f>
        <v>0-1 Year</v>
      </c>
      <c r="N2173" s="2" t="str">
        <f>IF(TelecomData[[#This Row],[CleanedTotalCharges]]&gt;=2500,"High Spend", "Standard Spend")</f>
        <v>Standard Spend</v>
      </c>
    </row>
    <row r="2174" spans="1:14" x14ac:dyDescent="0.3">
      <c r="A2174" s="1" t="s">
        <v>2198</v>
      </c>
      <c r="B2174" s="2" t="s">
        <v>12</v>
      </c>
      <c r="C2174" s="2" t="s">
        <v>13</v>
      </c>
      <c r="D2174" s="2">
        <v>1</v>
      </c>
      <c r="E2174" s="2" t="s">
        <v>14</v>
      </c>
      <c r="F2174" s="2" t="s">
        <v>15</v>
      </c>
      <c r="G2174" s="7">
        <v>43.95</v>
      </c>
      <c r="H2174" s="7">
        <v>43.95</v>
      </c>
      <c r="I2174" s="2" t="s">
        <v>15</v>
      </c>
      <c r="J2174" s="2" t="s">
        <v>15</v>
      </c>
      <c r="K2174" s="2" t="s">
        <v>29</v>
      </c>
      <c r="L2174" s="7">
        <v>43.95</v>
      </c>
      <c r="M2174" s="2" t="str">
        <f>_xlfn.IFS(TelecomData[[#This Row],[TenureMonths]]&lt;=12, "0-1 Year", TelecomData[[#This Row],[TenureMonths]]&lt;=36, "1-3 Years", TelecomData[[#This Row],[TenureMonths]]&gt;36, "3+ Years")</f>
        <v>0-1 Year</v>
      </c>
      <c r="N2174" s="2" t="str">
        <f>IF(TelecomData[[#This Row],[CleanedTotalCharges]]&gt;=2500,"High Spend", "Standard Spend")</f>
        <v>Standard Spend</v>
      </c>
    </row>
    <row r="2175" spans="1:14" x14ac:dyDescent="0.3">
      <c r="A2175" s="1" t="s">
        <v>2199</v>
      </c>
      <c r="B2175" s="2" t="s">
        <v>19</v>
      </c>
      <c r="C2175" s="2" t="s">
        <v>13</v>
      </c>
      <c r="D2175" s="2">
        <v>4</v>
      </c>
      <c r="E2175" s="2" t="s">
        <v>26</v>
      </c>
      <c r="F2175" s="2" t="s">
        <v>15</v>
      </c>
      <c r="G2175" s="7">
        <v>86.05</v>
      </c>
      <c r="H2175" s="7">
        <v>308.10000000000002</v>
      </c>
      <c r="I2175" s="2" t="s">
        <v>15</v>
      </c>
      <c r="J2175" s="2" t="s">
        <v>15</v>
      </c>
      <c r="K2175" s="2" t="s">
        <v>17</v>
      </c>
      <c r="L2175" s="7">
        <v>308.10000000000002</v>
      </c>
      <c r="M2175" s="2" t="str">
        <f>_xlfn.IFS(TelecomData[[#This Row],[TenureMonths]]&lt;=12, "0-1 Year", TelecomData[[#This Row],[TenureMonths]]&lt;=36, "1-3 Years", TelecomData[[#This Row],[TenureMonths]]&gt;36, "3+ Years")</f>
        <v>0-1 Year</v>
      </c>
      <c r="N2175" s="2" t="str">
        <f>IF(TelecomData[[#This Row],[CleanedTotalCharges]]&gt;=2500,"High Spend", "Standard Spend")</f>
        <v>Standard Spend</v>
      </c>
    </row>
    <row r="2176" spans="1:14" x14ac:dyDescent="0.3">
      <c r="A2176" s="1" t="s">
        <v>2200</v>
      </c>
      <c r="B2176" s="2" t="s">
        <v>12</v>
      </c>
      <c r="C2176" s="2" t="s">
        <v>20</v>
      </c>
      <c r="D2176" s="2">
        <v>19</v>
      </c>
      <c r="E2176" s="2" t="s">
        <v>15</v>
      </c>
      <c r="F2176" s="2" t="s">
        <v>36</v>
      </c>
      <c r="G2176" s="7">
        <v>20.25</v>
      </c>
      <c r="H2176" s="7">
        <v>383.65</v>
      </c>
      <c r="I2176" s="2" t="s">
        <v>15</v>
      </c>
      <c r="J2176" s="2" t="s">
        <v>15</v>
      </c>
      <c r="K2176" s="2" t="s">
        <v>29</v>
      </c>
      <c r="L2176" s="7">
        <v>383.65</v>
      </c>
      <c r="M2176" s="2" t="str">
        <f>_xlfn.IFS(TelecomData[[#This Row],[TenureMonths]]&lt;=12, "0-1 Year", TelecomData[[#This Row],[TenureMonths]]&lt;=36, "1-3 Years", TelecomData[[#This Row],[TenureMonths]]&gt;36, "3+ Years")</f>
        <v>1-3 Years</v>
      </c>
      <c r="N2176" s="2" t="str">
        <f>IF(TelecomData[[#This Row],[CleanedTotalCharges]]&gt;=2500,"High Spend", "Standard Spend")</f>
        <v>Standard Spend</v>
      </c>
    </row>
    <row r="2177" spans="1:14" x14ac:dyDescent="0.3">
      <c r="A2177" s="1" t="s">
        <v>2201</v>
      </c>
      <c r="B2177" s="2" t="s">
        <v>12</v>
      </c>
      <c r="C2177" s="2" t="s">
        <v>13</v>
      </c>
      <c r="D2177" s="2">
        <v>30</v>
      </c>
      <c r="E2177" s="2" t="s">
        <v>26</v>
      </c>
      <c r="F2177" s="2" t="s">
        <v>16</v>
      </c>
      <c r="G2177" s="7">
        <v>85.15</v>
      </c>
      <c r="H2177" s="7">
        <v>2555.9</v>
      </c>
      <c r="I2177" s="2" t="s">
        <v>16</v>
      </c>
      <c r="J2177" s="2" t="s">
        <v>15</v>
      </c>
      <c r="K2177" s="2" t="s">
        <v>17</v>
      </c>
      <c r="L2177" s="7">
        <v>2555.9</v>
      </c>
      <c r="M2177" s="2" t="str">
        <f>_xlfn.IFS(TelecomData[[#This Row],[TenureMonths]]&lt;=12, "0-1 Year", TelecomData[[#This Row],[TenureMonths]]&lt;=36, "1-3 Years", TelecomData[[#This Row],[TenureMonths]]&gt;36, "3+ Years")</f>
        <v>1-3 Years</v>
      </c>
      <c r="N2177" s="2" t="str">
        <f>IF(TelecomData[[#This Row],[CleanedTotalCharges]]&gt;=2500,"High Spend", "Standard Spend")</f>
        <v>High Spend</v>
      </c>
    </row>
    <row r="2178" spans="1:14" x14ac:dyDescent="0.3">
      <c r="A2178" s="1" t="s">
        <v>2202</v>
      </c>
      <c r="B2178" s="2" t="s">
        <v>19</v>
      </c>
      <c r="C2178" s="2" t="s">
        <v>35</v>
      </c>
      <c r="D2178" s="2">
        <v>67</v>
      </c>
      <c r="E2178" s="2" t="s">
        <v>15</v>
      </c>
      <c r="F2178" s="2" t="s">
        <v>36</v>
      </c>
      <c r="G2178" s="7">
        <v>19.399999999999999</v>
      </c>
      <c r="H2178" s="7">
        <v>1284.2</v>
      </c>
      <c r="I2178" s="2" t="s">
        <v>15</v>
      </c>
      <c r="J2178" s="2" t="s">
        <v>16</v>
      </c>
      <c r="K2178" s="2" t="s">
        <v>29</v>
      </c>
      <c r="L2178" s="7">
        <v>1284.2</v>
      </c>
      <c r="M2178" s="2" t="str">
        <f>_xlfn.IFS(TelecomData[[#This Row],[TenureMonths]]&lt;=12, "0-1 Year", TelecomData[[#This Row],[TenureMonths]]&lt;=36, "1-3 Years", TelecomData[[#This Row],[TenureMonths]]&gt;36, "3+ Years")</f>
        <v>3+ Years</v>
      </c>
      <c r="N2178" s="2" t="str">
        <f>IF(TelecomData[[#This Row],[CleanedTotalCharges]]&gt;=2500,"High Spend", "Standard Spend")</f>
        <v>Standard Spend</v>
      </c>
    </row>
    <row r="2179" spans="1:14" x14ac:dyDescent="0.3">
      <c r="A2179" s="1" t="s">
        <v>2203</v>
      </c>
      <c r="B2179" s="2" t="s">
        <v>19</v>
      </c>
      <c r="C2179" s="2" t="s">
        <v>35</v>
      </c>
      <c r="D2179" s="2">
        <v>72</v>
      </c>
      <c r="E2179" s="2" t="s">
        <v>26</v>
      </c>
      <c r="F2179" s="2" t="s">
        <v>15</v>
      </c>
      <c r="G2179" s="7">
        <v>102.65</v>
      </c>
      <c r="H2179" s="7">
        <v>7550.3</v>
      </c>
      <c r="I2179" s="2" t="s">
        <v>15</v>
      </c>
      <c r="J2179" s="2" t="s">
        <v>16</v>
      </c>
      <c r="K2179" s="2" t="s">
        <v>29</v>
      </c>
      <c r="L2179" s="7">
        <v>7550.3</v>
      </c>
      <c r="M2179" s="2" t="str">
        <f>_xlfn.IFS(TelecomData[[#This Row],[TenureMonths]]&lt;=12, "0-1 Year", TelecomData[[#This Row],[TenureMonths]]&lt;=36, "1-3 Years", TelecomData[[#This Row],[TenureMonths]]&gt;36, "3+ Years")</f>
        <v>3+ Years</v>
      </c>
      <c r="N2179" s="2" t="str">
        <f>IF(TelecomData[[#This Row],[CleanedTotalCharges]]&gt;=2500,"High Spend", "Standard Spend")</f>
        <v>High Spend</v>
      </c>
    </row>
    <row r="2180" spans="1:14" x14ac:dyDescent="0.3">
      <c r="A2180" s="1" t="s">
        <v>2204</v>
      </c>
      <c r="B2180" s="2" t="s">
        <v>19</v>
      </c>
      <c r="C2180" s="2" t="s">
        <v>35</v>
      </c>
      <c r="D2180" s="2">
        <v>53</v>
      </c>
      <c r="E2180" s="2" t="s">
        <v>15</v>
      </c>
      <c r="F2180" s="2" t="s">
        <v>36</v>
      </c>
      <c r="G2180" s="7">
        <v>19.899999999999999</v>
      </c>
      <c r="H2180" s="7">
        <v>1110.05</v>
      </c>
      <c r="I2180" s="2" t="s">
        <v>15</v>
      </c>
      <c r="J2180" s="2" t="s">
        <v>15</v>
      </c>
      <c r="K2180" s="2" t="s">
        <v>29</v>
      </c>
      <c r="L2180" s="7">
        <v>1110.05</v>
      </c>
      <c r="M2180" s="2" t="str">
        <f>_xlfn.IFS(TelecomData[[#This Row],[TenureMonths]]&lt;=12, "0-1 Year", TelecomData[[#This Row],[TenureMonths]]&lt;=36, "1-3 Years", TelecomData[[#This Row],[TenureMonths]]&gt;36, "3+ Years")</f>
        <v>3+ Years</v>
      </c>
      <c r="N2180" s="2" t="str">
        <f>IF(TelecomData[[#This Row],[CleanedTotalCharges]]&gt;=2500,"High Spend", "Standard Spend")</f>
        <v>Standard Spend</v>
      </c>
    </row>
    <row r="2181" spans="1:14" x14ac:dyDescent="0.3">
      <c r="A2181" s="1" t="s">
        <v>2205</v>
      </c>
      <c r="B2181" s="2" t="s">
        <v>12</v>
      </c>
      <c r="C2181" s="2" t="s">
        <v>20</v>
      </c>
      <c r="D2181" s="2">
        <v>5</v>
      </c>
      <c r="E2181" s="2" t="s">
        <v>15</v>
      </c>
      <c r="F2181" s="2" t="s">
        <v>36</v>
      </c>
      <c r="G2181" s="7">
        <v>19.55</v>
      </c>
      <c r="H2181" s="7">
        <v>99.6</v>
      </c>
      <c r="I2181" s="2" t="s">
        <v>15</v>
      </c>
      <c r="J2181" s="2" t="s">
        <v>15</v>
      </c>
      <c r="K2181" s="2" t="s">
        <v>17</v>
      </c>
      <c r="L2181" s="7">
        <v>99.6</v>
      </c>
      <c r="M2181" s="2" t="str">
        <f>_xlfn.IFS(TelecomData[[#This Row],[TenureMonths]]&lt;=12, "0-1 Year", TelecomData[[#This Row],[TenureMonths]]&lt;=36, "1-3 Years", TelecomData[[#This Row],[TenureMonths]]&gt;36, "3+ Years")</f>
        <v>0-1 Year</v>
      </c>
      <c r="N2181" s="2" t="str">
        <f>IF(TelecomData[[#This Row],[CleanedTotalCharges]]&gt;=2500,"High Spend", "Standard Spend")</f>
        <v>Standard Spend</v>
      </c>
    </row>
    <row r="2182" spans="1:14" x14ac:dyDescent="0.3">
      <c r="A2182" s="1" t="s">
        <v>2206</v>
      </c>
      <c r="B2182" s="2" t="s">
        <v>19</v>
      </c>
      <c r="C2182" s="2" t="s">
        <v>35</v>
      </c>
      <c r="D2182" s="2">
        <v>71</v>
      </c>
      <c r="E2182" s="2" t="s">
        <v>26</v>
      </c>
      <c r="F2182" s="2" t="s">
        <v>16</v>
      </c>
      <c r="G2182" s="7">
        <v>95.5</v>
      </c>
      <c r="H2182" s="7">
        <v>6707.15</v>
      </c>
      <c r="I2182" s="2" t="s">
        <v>15</v>
      </c>
      <c r="J2182" s="2" t="s">
        <v>16</v>
      </c>
      <c r="K2182" s="2" t="s">
        <v>29</v>
      </c>
      <c r="L2182" s="7">
        <v>6707.15</v>
      </c>
      <c r="M2182" s="2" t="str">
        <f>_xlfn.IFS(TelecomData[[#This Row],[TenureMonths]]&lt;=12, "0-1 Year", TelecomData[[#This Row],[TenureMonths]]&lt;=36, "1-3 Years", TelecomData[[#This Row],[TenureMonths]]&gt;36, "3+ Years")</f>
        <v>3+ Years</v>
      </c>
      <c r="N2182" s="2" t="str">
        <f>IF(TelecomData[[#This Row],[CleanedTotalCharges]]&gt;=2500,"High Spend", "Standard Spend")</f>
        <v>High Spend</v>
      </c>
    </row>
    <row r="2183" spans="1:14" x14ac:dyDescent="0.3">
      <c r="A2183" s="1" t="s">
        <v>2207</v>
      </c>
      <c r="B2183" s="2" t="s">
        <v>12</v>
      </c>
      <c r="C2183" s="2" t="s">
        <v>20</v>
      </c>
      <c r="D2183" s="2">
        <v>50</v>
      </c>
      <c r="E2183" s="2" t="s">
        <v>14</v>
      </c>
      <c r="F2183" s="2" t="s">
        <v>16</v>
      </c>
      <c r="G2183" s="7">
        <v>84.15</v>
      </c>
      <c r="H2183" s="7">
        <v>4164.3999999999996</v>
      </c>
      <c r="I2183" s="2" t="s">
        <v>15</v>
      </c>
      <c r="J2183" s="2" t="s">
        <v>16</v>
      </c>
      <c r="K2183" s="2" t="s">
        <v>29</v>
      </c>
      <c r="L2183" s="7">
        <v>4164.3999999999996</v>
      </c>
      <c r="M2183" s="2" t="str">
        <f>_xlfn.IFS(TelecomData[[#This Row],[TenureMonths]]&lt;=12, "0-1 Year", TelecomData[[#This Row],[TenureMonths]]&lt;=36, "1-3 Years", TelecomData[[#This Row],[TenureMonths]]&gt;36, "3+ Years")</f>
        <v>3+ Years</v>
      </c>
      <c r="N2183" s="2" t="str">
        <f>IF(TelecomData[[#This Row],[CleanedTotalCharges]]&gt;=2500,"High Spend", "Standard Spend")</f>
        <v>High Spend</v>
      </c>
    </row>
    <row r="2184" spans="1:14" x14ac:dyDescent="0.3">
      <c r="A2184" s="1" t="s">
        <v>2208</v>
      </c>
      <c r="B2184" s="2" t="s">
        <v>19</v>
      </c>
      <c r="C2184" s="2" t="s">
        <v>35</v>
      </c>
      <c r="D2184" s="2">
        <v>56</v>
      </c>
      <c r="E2184" s="2" t="s">
        <v>26</v>
      </c>
      <c r="F2184" s="2" t="s">
        <v>16</v>
      </c>
      <c r="G2184" s="7">
        <v>103.2</v>
      </c>
      <c r="H2184" s="7">
        <v>5873.75</v>
      </c>
      <c r="I2184" s="2" t="s">
        <v>15</v>
      </c>
      <c r="J2184" s="2" t="s">
        <v>16</v>
      </c>
      <c r="K2184" s="2" t="s">
        <v>17</v>
      </c>
      <c r="L2184" s="7">
        <v>5873.75</v>
      </c>
      <c r="M2184" s="2" t="str">
        <f>_xlfn.IFS(TelecomData[[#This Row],[TenureMonths]]&lt;=12, "0-1 Year", TelecomData[[#This Row],[TenureMonths]]&lt;=36, "1-3 Years", TelecomData[[#This Row],[TenureMonths]]&gt;36, "3+ Years")</f>
        <v>3+ Years</v>
      </c>
      <c r="N2184" s="2" t="str">
        <f>IF(TelecomData[[#This Row],[CleanedTotalCharges]]&gt;=2500,"High Spend", "Standard Spend")</f>
        <v>High Spend</v>
      </c>
    </row>
    <row r="2185" spans="1:14" x14ac:dyDescent="0.3">
      <c r="A2185" s="1" t="s">
        <v>2209</v>
      </c>
      <c r="B2185" s="2" t="s">
        <v>19</v>
      </c>
      <c r="C2185" s="2" t="s">
        <v>13</v>
      </c>
      <c r="D2185" s="2">
        <v>2</v>
      </c>
      <c r="E2185" s="2" t="s">
        <v>14</v>
      </c>
      <c r="F2185" s="2" t="s">
        <v>16</v>
      </c>
      <c r="G2185" s="7">
        <v>50.2</v>
      </c>
      <c r="H2185" s="7">
        <v>109.25</v>
      </c>
      <c r="I2185" s="2" t="s">
        <v>15</v>
      </c>
      <c r="J2185" s="2" t="s">
        <v>16</v>
      </c>
      <c r="K2185" s="2" t="s">
        <v>29</v>
      </c>
      <c r="L2185" s="7">
        <v>109.25</v>
      </c>
      <c r="M2185" s="2" t="str">
        <f>_xlfn.IFS(TelecomData[[#This Row],[TenureMonths]]&lt;=12, "0-1 Year", TelecomData[[#This Row],[TenureMonths]]&lt;=36, "1-3 Years", TelecomData[[#This Row],[TenureMonths]]&gt;36, "3+ Years")</f>
        <v>0-1 Year</v>
      </c>
      <c r="N2185" s="2" t="str">
        <f>IF(TelecomData[[#This Row],[CleanedTotalCharges]]&gt;=2500,"High Spend", "Standard Spend")</f>
        <v>Standard Spend</v>
      </c>
    </row>
    <row r="2186" spans="1:14" x14ac:dyDescent="0.3">
      <c r="A2186" s="1" t="s">
        <v>2210</v>
      </c>
      <c r="B2186" s="2" t="s">
        <v>12</v>
      </c>
      <c r="C2186" s="2" t="s">
        <v>13</v>
      </c>
      <c r="D2186" s="2">
        <v>2</v>
      </c>
      <c r="E2186" s="2" t="s">
        <v>26</v>
      </c>
      <c r="F2186" s="2" t="s">
        <v>15</v>
      </c>
      <c r="G2186" s="7">
        <v>88.55</v>
      </c>
      <c r="H2186" s="7">
        <v>179.25</v>
      </c>
      <c r="I2186" s="2" t="s">
        <v>16</v>
      </c>
      <c r="J2186" s="2" t="s">
        <v>16</v>
      </c>
      <c r="K2186" s="2" t="s">
        <v>17</v>
      </c>
      <c r="L2186" s="7">
        <v>179.25</v>
      </c>
      <c r="M2186" s="2" t="str">
        <f>_xlfn.IFS(TelecomData[[#This Row],[TenureMonths]]&lt;=12, "0-1 Year", TelecomData[[#This Row],[TenureMonths]]&lt;=36, "1-3 Years", TelecomData[[#This Row],[TenureMonths]]&gt;36, "3+ Years")</f>
        <v>0-1 Year</v>
      </c>
      <c r="N2186" s="2" t="str">
        <f>IF(TelecomData[[#This Row],[CleanedTotalCharges]]&gt;=2500,"High Spend", "Standard Spend")</f>
        <v>Standard Spend</v>
      </c>
    </row>
    <row r="2187" spans="1:14" x14ac:dyDescent="0.3">
      <c r="A2187" s="1" t="s">
        <v>2211</v>
      </c>
      <c r="B2187" s="2" t="s">
        <v>19</v>
      </c>
      <c r="C2187" s="2" t="s">
        <v>13</v>
      </c>
      <c r="D2187" s="2">
        <v>24</v>
      </c>
      <c r="E2187" s="2" t="s">
        <v>14</v>
      </c>
      <c r="F2187" s="2" t="s">
        <v>15</v>
      </c>
      <c r="G2187" s="7">
        <v>54.75</v>
      </c>
      <c r="H2187" s="7">
        <v>1338.15</v>
      </c>
      <c r="I2187" s="2" t="s">
        <v>16</v>
      </c>
      <c r="J2187" s="2" t="s">
        <v>15</v>
      </c>
      <c r="K2187" s="2" t="s">
        <v>17</v>
      </c>
      <c r="L2187" s="7">
        <v>1338.15</v>
      </c>
      <c r="M2187" s="2" t="str">
        <f>_xlfn.IFS(TelecomData[[#This Row],[TenureMonths]]&lt;=12, "0-1 Year", TelecomData[[#This Row],[TenureMonths]]&lt;=36, "1-3 Years", TelecomData[[#This Row],[TenureMonths]]&gt;36, "3+ Years")</f>
        <v>1-3 Years</v>
      </c>
      <c r="N2187" s="2" t="str">
        <f>IF(TelecomData[[#This Row],[CleanedTotalCharges]]&gt;=2500,"High Spend", "Standard Spend")</f>
        <v>Standard Spend</v>
      </c>
    </row>
    <row r="2188" spans="1:14" x14ac:dyDescent="0.3">
      <c r="A2188" s="1" t="s">
        <v>2212</v>
      </c>
      <c r="B2188" s="2" t="s">
        <v>19</v>
      </c>
      <c r="C2188" s="2" t="s">
        <v>35</v>
      </c>
      <c r="D2188" s="2">
        <v>46</v>
      </c>
      <c r="E2188" s="2" t="s">
        <v>15</v>
      </c>
      <c r="F2188" s="2" t="s">
        <v>36</v>
      </c>
      <c r="G2188" s="7">
        <v>19.95</v>
      </c>
      <c r="H2188" s="7">
        <v>862.4</v>
      </c>
      <c r="I2188" s="2" t="s">
        <v>15</v>
      </c>
      <c r="J2188" s="2" t="s">
        <v>15</v>
      </c>
      <c r="K2188" s="2" t="s">
        <v>29</v>
      </c>
      <c r="L2188" s="7">
        <v>862.4</v>
      </c>
      <c r="M2188" s="2" t="str">
        <f>_xlfn.IFS(TelecomData[[#This Row],[TenureMonths]]&lt;=12, "0-1 Year", TelecomData[[#This Row],[TenureMonths]]&lt;=36, "1-3 Years", TelecomData[[#This Row],[TenureMonths]]&gt;36, "3+ Years")</f>
        <v>3+ Years</v>
      </c>
      <c r="N2188" s="2" t="str">
        <f>IF(TelecomData[[#This Row],[CleanedTotalCharges]]&gt;=2500,"High Spend", "Standard Spend")</f>
        <v>Standard Spend</v>
      </c>
    </row>
    <row r="2189" spans="1:14" x14ac:dyDescent="0.3">
      <c r="A2189" s="1" t="s">
        <v>2213</v>
      </c>
      <c r="B2189" s="2" t="s">
        <v>19</v>
      </c>
      <c r="C2189" s="2" t="s">
        <v>35</v>
      </c>
      <c r="D2189" s="2">
        <v>71</v>
      </c>
      <c r="E2189" s="2" t="s">
        <v>26</v>
      </c>
      <c r="F2189" s="2" t="s">
        <v>16</v>
      </c>
      <c r="G2189" s="7">
        <v>116.25</v>
      </c>
      <c r="H2189" s="7">
        <v>8564.75</v>
      </c>
      <c r="I2189" s="2" t="s">
        <v>15</v>
      </c>
      <c r="J2189" s="2" t="s">
        <v>16</v>
      </c>
      <c r="K2189" s="2" t="s">
        <v>17</v>
      </c>
      <c r="L2189" s="7">
        <v>8564.75</v>
      </c>
      <c r="M2189" s="2" t="str">
        <f>_xlfn.IFS(TelecomData[[#This Row],[TenureMonths]]&lt;=12, "0-1 Year", TelecomData[[#This Row],[TenureMonths]]&lt;=36, "1-3 Years", TelecomData[[#This Row],[TenureMonths]]&gt;36, "3+ Years")</f>
        <v>3+ Years</v>
      </c>
      <c r="N2189" s="2" t="str">
        <f>IF(TelecomData[[#This Row],[CleanedTotalCharges]]&gt;=2500,"High Spend", "Standard Spend")</f>
        <v>High Spend</v>
      </c>
    </row>
    <row r="2190" spans="1:14" x14ac:dyDescent="0.3">
      <c r="A2190" s="1" t="s">
        <v>2214</v>
      </c>
      <c r="B2190" s="2" t="s">
        <v>12</v>
      </c>
      <c r="C2190" s="2" t="s">
        <v>13</v>
      </c>
      <c r="D2190" s="2">
        <v>29</v>
      </c>
      <c r="E2190" s="2" t="s">
        <v>14</v>
      </c>
      <c r="F2190" s="2" t="s">
        <v>16</v>
      </c>
      <c r="G2190" s="7">
        <v>31.2</v>
      </c>
      <c r="H2190" s="7">
        <v>926.2</v>
      </c>
      <c r="I2190" s="2" t="s">
        <v>15</v>
      </c>
      <c r="J2190" s="2" t="s">
        <v>16</v>
      </c>
      <c r="K2190" s="2" t="s">
        <v>17</v>
      </c>
      <c r="L2190" s="7">
        <v>926.2</v>
      </c>
      <c r="M2190" s="2" t="str">
        <f>_xlfn.IFS(TelecomData[[#This Row],[TenureMonths]]&lt;=12, "0-1 Year", TelecomData[[#This Row],[TenureMonths]]&lt;=36, "1-3 Years", TelecomData[[#This Row],[TenureMonths]]&gt;36, "3+ Years")</f>
        <v>1-3 Years</v>
      </c>
      <c r="N2190" s="2" t="str">
        <f>IF(TelecomData[[#This Row],[CleanedTotalCharges]]&gt;=2500,"High Spend", "Standard Spend")</f>
        <v>Standard Spend</v>
      </c>
    </row>
    <row r="2191" spans="1:14" x14ac:dyDescent="0.3">
      <c r="A2191" s="1" t="s">
        <v>2215</v>
      </c>
      <c r="B2191" s="2" t="s">
        <v>19</v>
      </c>
      <c r="C2191" s="2" t="s">
        <v>35</v>
      </c>
      <c r="D2191" s="2">
        <v>69</v>
      </c>
      <c r="E2191" s="2" t="s">
        <v>15</v>
      </c>
      <c r="F2191" s="2" t="s">
        <v>36</v>
      </c>
      <c r="G2191" s="7">
        <v>24.45</v>
      </c>
      <c r="H2191" s="7">
        <v>1718.2</v>
      </c>
      <c r="I2191" s="2" t="s">
        <v>15</v>
      </c>
      <c r="J2191" s="2" t="s">
        <v>15</v>
      </c>
      <c r="K2191" s="2" t="s">
        <v>24</v>
      </c>
      <c r="L2191" s="7">
        <v>1718.2</v>
      </c>
      <c r="M2191" s="2" t="str">
        <f>_xlfn.IFS(TelecomData[[#This Row],[TenureMonths]]&lt;=12, "0-1 Year", TelecomData[[#This Row],[TenureMonths]]&lt;=36, "1-3 Years", TelecomData[[#This Row],[TenureMonths]]&gt;36, "3+ Years")</f>
        <v>3+ Years</v>
      </c>
      <c r="N2191" s="2" t="str">
        <f>IF(TelecomData[[#This Row],[CleanedTotalCharges]]&gt;=2500,"High Spend", "Standard Spend")</f>
        <v>Standard Spend</v>
      </c>
    </row>
    <row r="2192" spans="1:14" x14ac:dyDescent="0.3">
      <c r="A2192" s="1" t="s">
        <v>2216</v>
      </c>
      <c r="B2192" s="2" t="s">
        <v>19</v>
      </c>
      <c r="C2192" s="2" t="s">
        <v>35</v>
      </c>
      <c r="D2192" s="2">
        <v>71</v>
      </c>
      <c r="E2192" s="2" t="s">
        <v>14</v>
      </c>
      <c r="F2192" s="2" t="s">
        <v>16</v>
      </c>
      <c r="G2192" s="7">
        <v>84.2</v>
      </c>
      <c r="H2192" s="7">
        <v>5956.85</v>
      </c>
      <c r="I2192" s="2" t="s">
        <v>15</v>
      </c>
      <c r="J2192" s="2" t="s">
        <v>15</v>
      </c>
      <c r="K2192" s="2" t="s">
        <v>29</v>
      </c>
      <c r="L2192" s="7">
        <v>5956.85</v>
      </c>
      <c r="M2192" s="2" t="str">
        <f>_xlfn.IFS(TelecomData[[#This Row],[TenureMonths]]&lt;=12, "0-1 Year", TelecomData[[#This Row],[TenureMonths]]&lt;=36, "1-3 Years", TelecomData[[#This Row],[TenureMonths]]&gt;36, "3+ Years")</f>
        <v>3+ Years</v>
      </c>
      <c r="N2192" s="2" t="str">
        <f>IF(TelecomData[[#This Row],[CleanedTotalCharges]]&gt;=2500,"High Spend", "Standard Spend")</f>
        <v>High Spend</v>
      </c>
    </row>
    <row r="2193" spans="1:14" x14ac:dyDescent="0.3">
      <c r="A2193" s="1" t="s">
        <v>2217</v>
      </c>
      <c r="B2193" s="2" t="s">
        <v>12</v>
      </c>
      <c r="C2193" s="2" t="s">
        <v>13</v>
      </c>
      <c r="D2193" s="2">
        <v>1</v>
      </c>
      <c r="E2193" s="2" t="s">
        <v>26</v>
      </c>
      <c r="F2193" s="2" t="s">
        <v>15</v>
      </c>
      <c r="G2193" s="7">
        <v>91.3</v>
      </c>
      <c r="H2193" s="7">
        <v>91.3</v>
      </c>
      <c r="I2193" s="2" t="s">
        <v>16</v>
      </c>
      <c r="J2193" s="2" t="s">
        <v>16</v>
      </c>
      <c r="K2193" s="2" t="s">
        <v>17</v>
      </c>
      <c r="L2193" s="7">
        <v>91.3</v>
      </c>
      <c r="M2193" s="2" t="str">
        <f>_xlfn.IFS(TelecomData[[#This Row],[TenureMonths]]&lt;=12, "0-1 Year", TelecomData[[#This Row],[TenureMonths]]&lt;=36, "1-3 Years", TelecomData[[#This Row],[TenureMonths]]&gt;36, "3+ Years")</f>
        <v>0-1 Year</v>
      </c>
      <c r="N2193" s="2" t="str">
        <f>IF(TelecomData[[#This Row],[CleanedTotalCharges]]&gt;=2500,"High Spend", "Standard Spend")</f>
        <v>Standard Spend</v>
      </c>
    </row>
    <row r="2194" spans="1:14" x14ac:dyDescent="0.3">
      <c r="A2194" s="1" t="s">
        <v>2218</v>
      </c>
      <c r="B2194" s="2" t="s">
        <v>19</v>
      </c>
      <c r="C2194" s="2" t="s">
        <v>35</v>
      </c>
      <c r="D2194" s="2">
        <v>56</v>
      </c>
      <c r="E2194" s="2" t="s">
        <v>14</v>
      </c>
      <c r="F2194" s="2" t="s">
        <v>16</v>
      </c>
      <c r="G2194" s="7">
        <v>85.65</v>
      </c>
      <c r="H2194" s="7">
        <v>4824.45</v>
      </c>
      <c r="I2194" s="2" t="s">
        <v>15</v>
      </c>
      <c r="J2194" s="2" t="s">
        <v>16</v>
      </c>
      <c r="K2194" s="2" t="s">
        <v>24</v>
      </c>
      <c r="L2194" s="7">
        <v>4824.45</v>
      </c>
      <c r="M2194" s="2" t="str">
        <f>_xlfn.IFS(TelecomData[[#This Row],[TenureMonths]]&lt;=12, "0-1 Year", TelecomData[[#This Row],[TenureMonths]]&lt;=36, "1-3 Years", TelecomData[[#This Row],[TenureMonths]]&gt;36, "3+ Years")</f>
        <v>3+ Years</v>
      </c>
      <c r="N2194" s="2" t="str">
        <f>IF(TelecomData[[#This Row],[CleanedTotalCharges]]&gt;=2500,"High Spend", "Standard Spend")</f>
        <v>High Spend</v>
      </c>
    </row>
    <row r="2195" spans="1:14" x14ac:dyDescent="0.3">
      <c r="A2195" s="1" t="s">
        <v>2219</v>
      </c>
      <c r="B2195" s="2" t="s">
        <v>19</v>
      </c>
      <c r="C2195" s="2" t="s">
        <v>20</v>
      </c>
      <c r="D2195" s="2">
        <v>56</v>
      </c>
      <c r="E2195" s="2" t="s">
        <v>15</v>
      </c>
      <c r="F2195" s="2" t="s">
        <v>36</v>
      </c>
      <c r="G2195" s="7">
        <v>21.2</v>
      </c>
      <c r="H2195" s="7">
        <v>1238.6500000000001</v>
      </c>
      <c r="I2195" s="2" t="s">
        <v>15</v>
      </c>
      <c r="J2195" s="2" t="s">
        <v>16</v>
      </c>
      <c r="K2195" s="2" t="s">
        <v>21</v>
      </c>
      <c r="L2195" s="7">
        <v>1238.6500000000001</v>
      </c>
      <c r="M2195" s="2" t="str">
        <f>_xlfn.IFS(TelecomData[[#This Row],[TenureMonths]]&lt;=12, "0-1 Year", TelecomData[[#This Row],[TenureMonths]]&lt;=36, "1-3 Years", TelecomData[[#This Row],[TenureMonths]]&gt;36, "3+ Years")</f>
        <v>3+ Years</v>
      </c>
      <c r="N2195" s="2" t="str">
        <f>IF(TelecomData[[#This Row],[CleanedTotalCharges]]&gt;=2500,"High Spend", "Standard Spend")</f>
        <v>Standard Spend</v>
      </c>
    </row>
    <row r="2196" spans="1:14" x14ac:dyDescent="0.3">
      <c r="A2196" s="1" t="s">
        <v>2220</v>
      </c>
      <c r="B2196" s="2" t="s">
        <v>19</v>
      </c>
      <c r="C2196" s="2" t="s">
        <v>13</v>
      </c>
      <c r="D2196" s="2">
        <v>1</v>
      </c>
      <c r="E2196" s="2" t="s">
        <v>26</v>
      </c>
      <c r="F2196" s="2" t="s">
        <v>15</v>
      </c>
      <c r="G2196" s="7">
        <v>79.5</v>
      </c>
      <c r="H2196" s="7">
        <v>79.5</v>
      </c>
      <c r="I2196" s="2" t="s">
        <v>16</v>
      </c>
      <c r="J2196" s="2" t="s">
        <v>16</v>
      </c>
      <c r="K2196" s="2" t="s">
        <v>17</v>
      </c>
      <c r="L2196" s="7">
        <v>79.5</v>
      </c>
      <c r="M2196" s="2" t="str">
        <f>_xlfn.IFS(TelecomData[[#This Row],[TenureMonths]]&lt;=12, "0-1 Year", TelecomData[[#This Row],[TenureMonths]]&lt;=36, "1-3 Years", TelecomData[[#This Row],[TenureMonths]]&gt;36, "3+ Years")</f>
        <v>0-1 Year</v>
      </c>
      <c r="N2196" s="2" t="str">
        <f>IF(TelecomData[[#This Row],[CleanedTotalCharges]]&gt;=2500,"High Spend", "Standard Spend")</f>
        <v>Standard Spend</v>
      </c>
    </row>
    <row r="2197" spans="1:14" x14ac:dyDescent="0.3">
      <c r="A2197" s="1" t="s">
        <v>2221</v>
      </c>
      <c r="B2197" s="2" t="s">
        <v>12</v>
      </c>
      <c r="C2197" s="2" t="s">
        <v>20</v>
      </c>
      <c r="D2197" s="2">
        <v>28</v>
      </c>
      <c r="E2197" s="2" t="s">
        <v>15</v>
      </c>
      <c r="F2197" s="2" t="s">
        <v>36</v>
      </c>
      <c r="G2197" s="7">
        <v>25.55</v>
      </c>
      <c r="H2197" s="7">
        <v>672.2</v>
      </c>
      <c r="I2197" s="2" t="s">
        <v>15</v>
      </c>
      <c r="J2197" s="2" t="s">
        <v>15</v>
      </c>
      <c r="K2197" s="2" t="s">
        <v>21</v>
      </c>
      <c r="L2197" s="7">
        <v>672.2</v>
      </c>
      <c r="M2197" s="2" t="str">
        <f>_xlfn.IFS(TelecomData[[#This Row],[TenureMonths]]&lt;=12, "0-1 Year", TelecomData[[#This Row],[TenureMonths]]&lt;=36, "1-3 Years", TelecomData[[#This Row],[TenureMonths]]&gt;36, "3+ Years")</f>
        <v>1-3 Years</v>
      </c>
      <c r="N2197" s="2" t="str">
        <f>IF(TelecomData[[#This Row],[CleanedTotalCharges]]&gt;=2500,"High Spend", "Standard Spend")</f>
        <v>Standard Spend</v>
      </c>
    </row>
    <row r="2198" spans="1:14" x14ac:dyDescent="0.3">
      <c r="A2198" s="1" t="s">
        <v>2222</v>
      </c>
      <c r="B2198" s="2" t="s">
        <v>12</v>
      </c>
      <c r="C2198" s="2" t="s">
        <v>13</v>
      </c>
      <c r="D2198" s="2">
        <v>19</v>
      </c>
      <c r="E2198" s="2" t="s">
        <v>15</v>
      </c>
      <c r="F2198" s="2" t="s">
        <v>36</v>
      </c>
      <c r="G2198" s="7">
        <v>20.2</v>
      </c>
      <c r="H2198" s="7">
        <v>382.2</v>
      </c>
      <c r="I2198" s="2" t="s">
        <v>15</v>
      </c>
      <c r="J2198" s="2" t="s">
        <v>15</v>
      </c>
      <c r="K2198" s="2" t="s">
        <v>21</v>
      </c>
      <c r="L2198" s="7">
        <v>382.2</v>
      </c>
      <c r="M2198" s="2" t="str">
        <f>_xlfn.IFS(TelecomData[[#This Row],[TenureMonths]]&lt;=12, "0-1 Year", TelecomData[[#This Row],[TenureMonths]]&lt;=36, "1-3 Years", TelecomData[[#This Row],[TenureMonths]]&gt;36, "3+ Years")</f>
        <v>1-3 Years</v>
      </c>
      <c r="N2198" s="2" t="str">
        <f>IF(TelecomData[[#This Row],[CleanedTotalCharges]]&gt;=2500,"High Spend", "Standard Spend")</f>
        <v>Standard Spend</v>
      </c>
    </row>
    <row r="2199" spans="1:14" x14ac:dyDescent="0.3">
      <c r="A2199" s="1" t="s">
        <v>2223</v>
      </c>
      <c r="B2199" s="2" t="s">
        <v>19</v>
      </c>
      <c r="C2199" s="2" t="s">
        <v>13</v>
      </c>
      <c r="D2199" s="2">
        <v>66</v>
      </c>
      <c r="E2199" s="2" t="s">
        <v>14</v>
      </c>
      <c r="F2199" s="2" t="s">
        <v>16</v>
      </c>
      <c r="G2199" s="7">
        <v>63.85</v>
      </c>
      <c r="H2199" s="7">
        <v>4264.6000000000004</v>
      </c>
      <c r="I2199" s="2" t="s">
        <v>15</v>
      </c>
      <c r="J2199" s="2" t="s">
        <v>15</v>
      </c>
      <c r="K2199" s="2" t="s">
        <v>17</v>
      </c>
      <c r="L2199" s="7">
        <v>4264.6000000000004</v>
      </c>
      <c r="M2199" s="2" t="str">
        <f>_xlfn.IFS(TelecomData[[#This Row],[TenureMonths]]&lt;=12, "0-1 Year", TelecomData[[#This Row],[TenureMonths]]&lt;=36, "1-3 Years", TelecomData[[#This Row],[TenureMonths]]&gt;36, "3+ Years")</f>
        <v>3+ Years</v>
      </c>
      <c r="N2199" s="2" t="str">
        <f>IF(TelecomData[[#This Row],[CleanedTotalCharges]]&gt;=2500,"High Spend", "Standard Spend")</f>
        <v>High Spend</v>
      </c>
    </row>
    <row r="2200" spans="1:14" x14ac:dyDescent="0.3">
      <c r="A2200" s="1" t="s">
        <v>2224</v>
      </c>
      <c r="B2200" s="2" t="s">
        <v>12</v>
      </c>
      <c r="C2200" s="2" t="s">
        <v>20</v>
      </c>
      <c r="D2200" s="2">
        <v>17</v>
      </c>
      <c r="E2200" s="2" t="s">
        <v>14</v>
      </c>
      <c r="F2200" s="2" t="s">
        <v>16</v>
      </c>
      <c r="G2200" s="7">
        <v>61.95</v>
      </c>
      <c r="H2200" s="7">
        <v>1070.7</v>
      </c>
      <c r="I2200" s="2" t="s">
        <v>15</v>
      </c>
      <c r="J2200" s="2" t="s">
        <v>16</v>
      </c>
      <c r="K2200" s="2" t="s">
        <v>21</v>
      </c>
      <c r="L2200" s="7">
        <v>1070.7</v>
      </c>
      <c r="M2200" s="2" t="str">
        <f>_xlfn.IFS(TelecomData[[#This Row],[TenureMonths]]&lt;=12, "0-1 Year", TelecomData[[#This Row],[TenureMonths]]&lt;=36, "1-3 Years", TelecomData[[#This Row],[TenureMonths]]&gt;36, "3+ Years")</f>
        <v>1-3 Years</v>
      </c>
      <c r="N2200" s="2" t="str">
        <f>IF(TelecomData[[#This Row],[CleanedTotalCharges]]&gt;=2500,"High Spend", "Standard Spend")</f>
        <v>Standard Spend</v>
      </c>
    </row>
    <row r="2201" spans="1:14" x14ac:dyDescent="0.3">
      <c r="A2201" s="1" t="s">
        <v>2225</v>
      </c>
      <c r="B2201" s="2" t="s">
        <v>19</v>
      </c>
      <c r="C2201" s="2" t="s">
        <v>35</v>
      </c>
      <c r="D2201" s="2">
        <v>52</v>
      </c>
      <c r="E2201" s="2" t="s">
        <v>15</v>
      </c>
      <c r="F2201" s="2" t="s">
        <v>36</v>
      </c>
      <c r="G2201" s="7">
        <v>25.75</v>
      </c>
      <c r="H2201" s="7">
        <v>1345.85</v>
      </c>
      <c r="I2201" s="2" t="s">
        <v>15</v>
      </c>
      <c r="J2201" s="2" t="s">
        <v>15</v>
      </c>
      <c r="K2201" s="2" t="s">
        <v>21</v>
      </c>
      <c r="L2201" s="7">
        <v>1345.85</v>
      </c>
      <c r="M2201" s="2" t="str">
        <f>_xlfn.IFS(TelecomData[[#This Row],[TenureMonths]]&lt;=12, "0-1 Year", TelecomData[[#This Row],[TenureMonths]]&lt;=36, "1-3 Years", TelecomData[[#This Row],[TenureMonths]]&gt;36, "3+ Years")</f>
        <v>3+ Years</v>
      </c>
      <c r="N2201" s="2" t="str">
        <f>IF(TelecomData[[#This Row],[CleanedTotalCharges]]&gt;=2500,"High Spend", "Standard Spend")</f>
        <v>Standard Spend</v>
      </c>
    </row>
    <row r="2202" spans="1:14" x14ac:dyDescent="0.3">
      <c r="A2202" s="1" t="s">
        <v>2226</v>
      </c>
      <c r="B2202" s="2" t="s">
        <v>12</v>
      </c>
      <c r="C2202" s="2" t="s">
        <v>20</v>
      </c>
      <c r="D2202" s="2">
        <v>19</v>
      </c>
      <c r="E2202" s="2" t="s">
        <v>14</v>
      </c>
      <c r="F2202" s="2" t="s">
        <v>15</v>
      </c>
      <c r="G2202" s="7">
        <v>58.2</v>
      </c>
      <c r="H2202" s="7">
        <v>1045.25</v>
      </c>
      <c r="I2202" s="2" t="s">
        <v>15</v>
      </c>
      <c r="J2202" s="2" t="s">
        <v>15</v>
      </c>
      <c r="K2202" s="2" t="s">
        <v>17</v>
      </c>
      <c r="L2202" s="7">
        <v>1045.25</v>
      </c>
      <c r="M2202" s="2" t="str">
        <f>_xlfn.IFS(TelecomData[[#This Row],[TenureMonths]]&lt;=12, "0-1 Year", TelecomData[[#This Row],[TenureMonths]]&lt;=36, "1-3 Years", TelecomData[[#This Row],[TenureMonths]]&gt;36, "3+ Years")</f>
        <v>1-3 Years</v>
      </c>
      <c r="N2202" s="2" t="str">
        <f>IF(TelecomData[[#This Row],[CleanedTotalCharges]]&gt;=2500,"High Spend", "Standard Spend")</f>
        <v>Standard Spend</v>
      </c>
    </row>
    <row r="2203" spans="1:14" x14ac:dyDescent="0.3">
      <c r="A2203" s="1" t="s">
        <v>2227</v>
      </c>
      <c r="B2203" s="2" t="s">
        <v>12</v>
      </c>
      <c r="C2203" s="2" t="s">
        <v>20</v>
      </c>
      <c r="D2203" s="2">
        <v>36</v>
      </c>
      <c r="E2203" s="2" t="s">
        <v>14</v>
      </c>
      <c r="F2203" s="2" t="s">
        <v>16</v>
      </c>
      <c r="G2203" s="7">
        <v>85.85</v>
      </c>
      <c r="H2203" s="7">
        <v>3003.55</v>
      </c>
      <c r="I2203" s="2" t="s">
        <v>15</v>
      </c>
      <c r="J2203" s="2" t="s">
        <v>15</v>
      </c>
      <c r="K2203" s="2" t="s">
        <v>24</v>
      </c>
      <c r="L2203" s="7">
        <v>3003.55</v>
      </c>
      <c r="M2203" s="2" t="str">
        <f>_xlfn.IFS(TelecomData[[#This Row],[TenureMonths]]&lt;=12, "0-1 Year", TelecomData[[#This Row],[TenureMonths]]&lt;=36, "1-3 Years", TelecomData[[#This Row],[TenureMonths]]&gt;36, "3+ Years")</f>
        <v>1-3 Years</v>
      </c>
      <c r="N2203" s="2" t="str">
        <f>IF(TelecomData[[#This Row],[CleanedTotalCharges]]&gt;=2500,"High Spend", "Standard Spend")</f>
        <v>High Spend</v>
      </c>
    </row>
    <row r="2204" spans="1:14" x14ac:dyDescent="0.3">
      <c r="A2204" s="1" t="s">
        <v>2228</v>
      </c>
      <c r="B2204" s="2" t="s">
        <v>19</v>
      </c>
      <c r="C2204" s="2" t="s">
        <v>13</v>
      </c>
      <c r="D2204" s="2">
        <v>7</v>
      </c>
      <c r="E2204" s="2" t="s">
        <v>26</v>
      </c>
      <c r="F2204" s="2" t="s">
        <v>15</v>
      </c>
      <c r="G2204" s="7">
        <v>70.099999999999994</v>
      </c>
      <c r="H2204" s="7">
        <v>467.55</v>
      </c>
      <c r="I2204" s="2" t="s">
        <v>16</v>
      </c>
      <c r="J2204" s="2" t="s">
        <v>16</v>
      </c>
      <c r="K2204" s="2" t="s">
        <v>21</v>
      </c>
      <c r="L2204" s="7">
        <v>467.55</v>
      </c>
      <c r="M2204" s="2" t="str">
        <f>_xlfn.IFS(TelecomData[[#This Row],[TenureMonths]]&lt;=12, "0-1 Year", TelecomData[[#This Row],[TenureMonths]]&lt;=36, "1-3 Years", TelecomData[[#This Row],[TenureMonths]]&gt;36, "3+ Years")</f>
        <v>0-1 Year</v>
      </c>
      <c r="N2204" s="2" t="str">
        <f>IF(TelecomData[[#This Row],[CleanedTotalCharges]]&gt;=2500,"High Spend", "Standard Spend")</f>
        <v>Standard Spend</v>
      </c>
    </row>
    <row r="2205" spans="1:14" x14ac:dyDescent="0.3">
      <c r="A2205" s="1" t="s">
        <v>2229</v>
      </c>
      <c r="B2205" s="2" t="s">
        <v>19</v>
      </c>
      <c r="C2205" s="2" t="s">
        <v>20</v>
      </c>
      <c r="D2205" s="2">
        <v>72</v>
      </c>
      <c r="E2205" s="2" t="s">
        <v>26</v>
      </c>
      <c r="F2205" s="2" t="s">
        <v>16</v>
      </c>
      <c r="G2205" s="7">
        <v>104.9</v>
      </c>
      <c r="H2205" s="7">
        <v>7537.5</v>
      </c>
      <c r="I2205" s="2" t="s">
        <v>15</v>
      </c>
      <c r="J2205" s="2" t="s">
        <v>16</v>
      </c>
      <c r="K2205" s="2" t="s">
        <v>29</v>
      </c>
      <c r="L2205" s="7">
        <v>7537.5</v>
      </c>
      <c r="M2205" s="2" t="str">
        <f>_xlfn.IFS(TelecomData[[#This Row],[TenureMonths]]&lt;=12, "0-1 Year", TelecomData[[#This Row],[TenureMonths]]&lt;=36, "1-3 Years", TelecomData[[#This Row],[TenureMonths]]&gt;36, "3+ Years")</f>
        <v>3+ Years</v>
      </c>
      <c r="N2205" s="2" t="str">
        <f>IF(TelecomData[[#This Row],[CleanedTotalCharges]]&gt;=2500,"High Spend", "Standard Spend")</f>
        <v>High Spend</v>
      </c>
    </row>
    <row r="2206" spans="1:14" x14ac:dyDescent="0.3">
      <c r="A2206" s="1" t="s">
        <v>2230</v>
      </c>
      <c r="B2206" s="2" t="s">
        <v>19</v>
      </c>
      <c r="C2206" s="2" t="s">
        <v>20</v>
      </c>
      <c r="D2206" s="2">
        <v>67</v>
      </c>
      <c r="E2206" s="2" t="s">
        <v>26</v>
      </c>
      <c r="F2206" s="2" t="s">
        <v>15</v>
      </c>
      <c r="G2206" s="7">
        <v>111.3</v>
      </c>
      <c r="H2206" s="7">
        <v>7482.1</v>
      </c>
      <c r="I2206" s="2" t="s">
        <v>16</v>
      </c>
      <c r="J2206" s="2" t="s">
        <v>16</v>
      </c>
      <c r="K2206" s="2" t="s">
        <v>17</v>
      </c>
      <c r="L2206" s="7">
        <v>7482.1</v>
      </c>
      <c r="M2206" s="2" t="str">
        <f>_xlfn.IFS(TelecomData[[#This Row],[TenureMonths]]&lt;=12, "0-1 Year", TelecomData[[#This Row],[TenureMonths]]&lt;=36, "1-3 Years", TelecomData[[#This Row],[TenureMonths]]&gt;36, "3+ Years")</f>
        <v>3+ Years</v>
      </c>
      <c r="N2206" s="2" t="str">
        <f>IF(TelecomData[[#This Row],[CleanedTotalCharges]]&gt;=2500,"High Spend", "Standard Spend")</f>
        <v>High Spend</v>
      </c>
    </row>
    <row r="2207" spans="1:14" x14ac:dyDescent="0.3">
      <c r="A2207" s="1" t="s">
        <v>2231</v>
      </c>
      <c r="B2207" s="2" t="s">
        <v>19</v>
      </c>
      <c r="C2207" s="2" t="s">
        <v>20</v>
      </c>
      <c r="D2207" s="2">
        <v>34</v>
      </c>
      <c r="E2207" s="2" t="s">
        <v>26</v>
      </c>
      <c r="F2207" s="2" t="s">
        <v>15</v>
      </c>
      <c r="G2207" s="7">
        <v>99.85</v>
      </c>
      <c r="H2207" s="7">
        <v>3343.15</v>
      </c>
      <c r="I2207" s="2" t="s">
        <v>15</v>
      </c>
      <c r="J2207" s="2" t="s">
        <v>16</v>
      </c>
      <c r="K2207" s="2" t="s">
        <v>17</v>
      </c>
      <c r="L2207" s="7">
        <v>3343.15</v>
      </c>
      <c r="M2207" s="2" t="str">
        <f>_xlfn.IFS(TelecomData[[#This Row],[TenureMonths]]&lt;=12, "0-1 Year", TelecomData[[#This Row],[TenureMonths]]&lt;=36, "1-3 Years", TelecomData[[#This Row],[TenureMonths]]&gt;36, "3+ Years")</f>
        <v>1-3 Years</v>
      </c>
      <c r="N2207" s="2" t="str">
        <f>IF(TelecomData[[#This Row],[CleanedTotalCharges]]&gt;=2500,"High Spend", "Standard Spend")</f>
        <v>High Spend</v>
      </c>
    </row>
    <row r="2208" spans="1:14" x14ac:dyDescent="0.3">
      <c r="A2208" s="1" t="s">
        <v>2232</v>
      </c>
      <c r="B2208" s="2" t="s">
        <v>19</v>
      </c>
      <c r="C2208" s="2" t="s">
        <v>13</v>
      </c>
      <c r="D2208" s="2">
        <v>57</v>
      </c>
      <c r="E2208" s="2" t="s">
        <v>26</v>
      </c>
      <c r="F2208" s="2" t="s">
        <v>15</v>
      </c>
      <c r="G2208" s="7">
        <v>95.25</v>
      </c>
      <c r="H2208" s="7">
        <v>5427.05</v>
      </c>
      <c r="I2208" s="2" t="s">
        <v>16</v>
      </c>
      <c r="J2208" s="2" t="s">
        <v>16</v>
      </c>
      <c r="K2208" s="2" t="s">
        <v>24</v>
      </c>
      <c r="L2208" s="7">
        <v>5427.05</v>
      </c>
      <c r="M2208" s="2" t="str">
        <f>_xlfn.IFS(TelecomData[[#This Row],[TenureMonths]]&lt;=12, "0-1 Year", TelecomData[[#This Row],[TenureMonths]]&lt;=36, "1-3 Years", TelecomData[[#This Row],[TenureMonths]]&gt;36, "3+ Years")</f>
        <v>3+ Years</v>
      </c>
      <c r="N2208" s="2" t="str">
        <f>IF(TelecomData[[#This Row],[CleanedTotalCharges]]&gt;=2500,"High Spend", "Standard Spend")</f>
        <v>High Spend</v>
      </c>
    </row>
    <row r="2209" spans="1:14" x14ac:dyDescent="0.3">
      <c r="A2209" s="1" t="s">
        <v>2233</v>
      </c>
      <c r="B2209" s="2" t="s">
        <v>12</v>
      </c>
      <c r="C2209" s="2" t="s">
        <v>13</v>
      </c>
      <c r="D2209" s="2">
        <v>7</v>
      </c>
      <c r="E2209" s="2" t="s">
        <v>26</v>
      </c>
      <c r="F2209" s="2" t="s">
        <v>15</v>
      </c>
      <c r="G2209" s="7">
        <v>86.25</v>
      </c>
      <c r="H2209" s="7">
        <v>587.1</v>
      </c>
      <c r="I2209" s="2" t="s">
        <v>16</v>
      </c>
      <c r="J2209" s="2" t="s">
        <v>16</v>
      </c>
      <c r="K2209" s="2" t="s">
        <v>17</v>
      </c>
      <c r="L2209" s="7">
        <v>587.1</v>
      </c>
      <c r="M2209" s="2" t="str">
        <f>_xlfn.IFS(TelecomData[[#This Row],[TenureMonths]]&lt;=12, "0-1 Year", TelecomData[[#This Row],[TenureMonths]]&lt;=36, "1-3 Years", TelecomData[[#This Row],[TenureMonths]]&gt;36, "3+ Years")</f>
        <v>0-1 Year</v>
      </c>
      <c r="N2209" s="2" t="str">
        <f>IF(TelecomData[[#This Row],[CleanedTotalCharges]]&gt;=2500,"High Spend", "Standard Spend")</f>
        <v>Standard Spend</v>
      </c>
    </row>
    <row r="2210" spans="1:14" x14ac:dyDescent="0.3">
      <c r="A2210" s="1" t="s">
        <v>2234</v>
      </c>
      <c r="B2210" s="2" t="s">
        <v>12</v>
      </c>
      <c r="C2210" s="2" t="s">
        <v>13</v>
      </c>
      <c r="D2210" s="2">
        <v>1</v>
      </c>
      <c r="E2210" s="2" t="s">
        <v>26</v>
      </c>
      <c r="F2210" s="2" t="s">
        <v>15</v>
      </c>
      <c r="G2210" s="7">
        <v>100.8</v>
      </c>
      <c r="H2210" s="7">
        <v>100.8</v>
      </c>
      <c r="I2210" s="2" t="s">
        <v>16</v>
      </c>
      <c r="J2210" s="2" t="s">
        <v>16</v>
      </c>
      <c r="K2210" s="2" t="s">
        <v>17</v>
      </c>
      <c r="L2210" s="7">
        <v>100.8</v>
      </c>
      <c r="M2210" s="2" t="str">
        <f>_xlfn.IFS(TelecomData[[#This Row],[TenureMonths]]&lt;=12, "0-1 Year", TelecomData[[#This Row],[TenureMonths]]&lt;=36, "1-3 Years", TelecomData[[#This Row],[TenureMonths]]&gt;36, "3+ Years")</f>
        <v>0-1 Year</v>
      </c>
      <c r="N2210" s="2" t="str">
        <f>IF(TelecomData[[#This Row],[CleanedTotalCharges]]&gt;=2500,"High Spend", "Standard Spend")</f>
        <v>Standard Spend</v>
      </c>
    </row>
    <row r="2211" spans="1:14" x14ac:dyDescent="0.3">
      <c r="A2211" s="1" t="s">
        <v>2235</v>
      </c>
      <c r="B2211" s="2" t="s">
        <v>19</v>
      </c>
      <c r="C2211" s="2" t="s">
        <v>13</v>
      </c>
      <c r="D2211" s="2">
        <v>8</v>
      </c>
      <c r="E2211" s="2" t="s">
        <v>15</v>
      </c>
      <c r="F2211" s="2" t="s">
        <v>36</v>
      </c>
      <c r="G2211" s="7">
        <v>19.55</v>
      </c>
      <c r="H2211" s="7">
        <v>161.15</v>
      </c>
      <c r="I2211" s="2" t="s">
        <v>15</v>
      </c>
      <c r="J2211" s="2" t="s">
        <v>16</v>
      </c>
      <c r="K2211" s="2" t="s">
        <v>24</v>
      </c>
      <c r="L2211" s="7">
        <v>161.15</v>
      </c>
      <c r="M2211" s="2" t="str">
        <f>_xlfn.IFS(TelecomData[[#This Row],[TenureMonths]]&lt;=12, "0-1 Year", TelecomData[[#This Row],[TenureMonths]]&lt;=36, "1-3 Years", TelecomData[[#This Row],[TenureMonths]]&gt;36, "3+ Years")</f>
        <v>0-1 Year</v>
      </c>
      <c r="N2211" s="2" t="str">
        <f>IF(TelecomData[[#This Row],[CleanedTotalCharges]]&gt;=2500,"High Spend", "Standard Spend")</f>
        <v>Standard Spend</v>
      </c>
    </row>
    <row r="2212" spans="1:14" x14ac:dyDescent="0.3">
      <c r="A2212" s="1" t="s">
        <v>2236</v>
      </c>
      <c r="B2212" s="2" t="s">
        <v>12</v>
      </c>
      <c r="C2212" s="2" t="s">
        <v>35</v>
      </c>
      <c r="D2212" s="2">
        <v>69</v>
      </c>
      <c r="E2212" s="2" t="s">
        <v>26</v>
      </c>
      <c r="F2212" s="2" t="s">
        <v>16</v>
      </c>
      <c r="G2212" s="7">
        <v>104</v>
      </c>
      <c r="H2212" s="7">
        <v>7028.5</v>
      </c>
      <c r="I2212" s="2" t="s">
        <v>15</v>
      </c>
      <c r="J2212" s="2" t="s">
        <v>15</v>
      </c>
      <c r="K2212" s="2" t="s">
        <v>17</v>
      </c>
      <c r="L2212" s="7">
        <v>7028.5</v>
      </c>
      <c r="M2212" s="2" t="str">
        <f>_xlfn.IFS(TelecomData[[#This Row],[TenureMonths]]&lt;=12, "0-1 Year", TelecomData[[#This Row],[TenureMonths]]&lt;=36, "1-3 Years", TelecomData[[#This Row],[TenureMonths]]&gt;36, "3+ Years")</f>
        <v>3+ Years</v>
      </c>
      <c r="N2212" s="2" t="str">
        <f>IF(TelecomData[[#This Row],[CleanedTotalCharges]]&gt;=2500,"High Spend", "Standard Spend")</f>
        <v>High Spend</v>
      </c>
    </row>
    <row r="2213" spans="1:14" x14ac:dyDescent="0.3">
      <c r="A2213" s="1" t="s">
        <v>2237</v>
      </c>
      <c r="B2213" s="2" t="s">
        <v>12</v>
      </c>
      <c r="C2213" s="2" t="s">
        <v>20</v>
      </c>
      <c r="D2213" s="2">
        <v>50</v>
      </c>
      <c r="E2213" s="2" t="s">
        <v>26</v>
      </c>
      <c r="F2213" s="2" t="s">
        <v>15</v>
      </c>
      <c r="G2213" s="7">
        <v>104.4</v>
      </c>
      <c r="H2213" s="7">
        <v>5232.8999999999996</v>
      </c>
      <c r="I2213" s="2" t="s">
        <v>15</v>
      </c>
      <c r="J2213" s="2" t="s">
        <v>16</v>
      </c>
      <c r="K2213" s="2" t="s">
        <v>21</v>
      </c>
      <c r="L2213" s="7">
        <v>5232.8999999999996</v>
      </c>
      <c r="M2213" s="2" t="str">
        <f>_xlfn.IFS(TelecomData[[#This Row],[TenureMonths]]&lt;=12, "0-1 Year", TelecomData[[#This Row],[TenureMonths]]&lt;=36, "1-3 Years", TelecomData[[#This Row],[TenureMonths]]&gt;36, "3+ Years")</f>
        <v>3+ Years</v>
      </c>
      <c r="N2213" s="2" t="str">
        <f>IF(TelecomData[[#This Row],[CleanedTotalCharges]]&gt;=2500,"High Spend", "Standard Spend")</f>
        <v>High Spend</v>
      </c>
    </row>
    <row r="2214" spans="1:14" x14ac:dyDescent="0.3">
      <c r="A2214" s="1" t="s">
        <v>2238</v>
      </c>
      <c r="B2214" s="2" t="s">
        <v>19</v>
      </c>
      <c r="C2214" s="2" t="s">
        <v>20</v>
      </c>
      <c r="D2214" s="2">
        <v>10</v>
      </c>
      <c r="E2214" s="2" t="s">
        <v>15</v>
      </c>
      <c r="F2214" s="2" t="s">
        <v>36</v>
      </c>
      <c r="G2214" s="7">
        <v>19.5</v>
      </c>
      <c r="H2214" s="7">
        <v>225.85</v>
      </c>
      <c r="I2214" s="2" t="s">
        <v>15</v>
      </c>
      <c r="J2214" s="2" t="s">
        <v>15</v>
      </c>
      <c r="K2214" s="2" t="s">
        <v>21</v>
      </c>
      <c r="L2214" s="7">
        <v>225.85</v>
      </c>
      <c r="M2214" s="2" t="str">
        <f>_xlfn.IFS(TelecomData[[#This Row],[TenureMonths]]&lt;=12, "0-1 Year", TelecomData[[#This Row],[TenureMonths]]&lt;=36, "1-3 Years", TelecomData[[#This Row],[TenureMonths]]&gt;36, "3+ Years")</f>
        <v>0-1 Year</v>
      </c>
      <c r="N2214" s="2" t="str">
        <f>IF(TelecomData[[#This Row],[CleanedTotalCharges]]&gt;=2500,"High Spend", "Standard Spend")</f>
        <v>Standard Spend</v>
      </c>
    </row>
    <row r="2215" spans="1:14" x14ac:dyDescent="0.3">
      <c r="A2215" s="1" t="s">
        <v>2239</v>
      </c>
      <c r="B2215" s="2" t="s">
        <v>12</v>
      </c>
      <c r="C2215" s="2" t="s">
        <v>35</v>
      </c>
      <c r="D2215" s="2">
        <v>12</v>
      </c>
      <c r="E2215" s="2" t="s">
        <v>15</v>
      </c>
      <c r="F2215" s="2" t="s">
        <v>36</v>
      </c>
      <c r="G2215" s="7">
        <v>25.25</v>
      </c>
      <c r="H2215" s="7">
        <v>274.7</v>
      </c>
      <c r="I2215" s="2" t="s">
        <v>15</v>
      </c>
      <c r="J2215" s="2" t="s">
        <v>15</v>
      </c>
      <c r="K2215" s="2" t="s">
        <v>29</v>
      </c>
      <c r="L2215" s="7">
        <v>274.7</v>
      </c>
      <c r="M2215" s="2" t="str">
        <f>_xlfn.IFS(TelecomData[[#This Row],[TenureMonths]]&lt;=12, "0-1 Year", TelecomData[[#This Row],[TenureMonths]]&lt;=36, "1-3 Years", TelecomData[[#This Row],[TenureMonths]]&gt;36, "3+ Years")</f>
        <v>0-1 Year</v>
      </c>
      <c r="N2215" s="2" t="str">
        <f>IF(TelecomData[[#This Row],[CleanedTotalCharges]]&gt;=2500,"High Spend", "Standard Spend")</f>
        <v>Standard Spend</v>
      </c>
    </row>
    <row r="2216" spans="1:14" x14ac:dyDescent="0.3">
      <c r="A2216" s="1" t="s">
        <v>2240</v>
      </c>
      <c r="B2216" s="2" t="s">
        <v>12</v>
      </c>
      <c r="C2216" s="2" t="s">
        <v>13</v>
      </c>
      <c r="D2216" s="2">
        <v>14</v>
      </c>
      <c r="E2216" s="2" t="s">
        <v>26</v>
      </c>
      <c r="F2216" s="2" t="s">
        <v>15</v>
      </c>
      <c r="G2216" s="7">
        <v>86.3</v>
      </c>
      <c r="H2216" s="7">
        <v>1180.95</v>
      </c>
      <c r="I2216" s="2" t="s">
        <v>16</v>
      </c>
      <c r="J2216" s="2" t="s">
        <v>16</v>
      </c>
      <c r="K2216" s="2" t="s">
        <v>17</v>
      </c>
      <c r="L2216" s="7">
        <v>1180.95</v>
      </c>
      <c r="M2216" s="2" t="str">
        <f>_xlfn.IFS(TelecomData[[#This Row],[TenureMonths]]&lt;=12, "0-1 Year", TelecomData[[#This Row],[TenureMonths]]&lt;=36, "1-3 Years", TelecomData[[#This Row],[TenureMonths]]&gt;36, "3+ Years")</f>
        <v>1-3 Years</v>
      </c>
      <c r="N2216" s="2" t="str">
        <f>IF(TelecomData[[#This Row],[CleanedTotalCharges]]&gt;=2500,"High Spend", "Standard Spend")</f>
        <v>Standard Spend</v>
      </c>
    </row>
    <row r="2217" spans="1:14" x14ac:dyDescent="0.3">
      <c r="A2217" s="1" t="s">
        <v>2241</v>
      </c>
      <c r="B2217" s="2" t="s">
        <v>12</v>
      </c>
      <c r="C2217" s="2" t="s">
        <v>35</v>
      </c>
      <c r="D2217" s="2">
        <v>70</v>
      </c>
      <c r="E2217" s="2" t="s">
        <v>14</v>
      </c>
      <c r="F2217" s="2" t="s">
        <v>16</v>
      </c>
      <c r="G2217" s="7">
        <v>49.85</v>
      </c>
      <c r="H2217" s="7">
        <v>3370.2</v>
      </c>
      <c r="I2217" s="2" t="s">
        <v>15</v>
      </c>
      <c r="J2217" s="2" t="s">
        <v>16</v>
      </c>
      <c r="K2217" s="2" t="s">
        <v>24</v>
      </c>
      <c r="L2217" s="7">
        <v>3370.2</v>
      </c>
      <c r="M2217" s="2" t="str">
        <f>_xlfn.IFS(TelecomData[[#This Row],[TenureMonths]]&lt;=12, "0-1 Year", TelecomData[[#This Row],[TenureMonths]]&lt;=36, "1-3 Years", TelecomData[[#This Row],[TenureMonths]]&gt;36, "3+ Years")</f>
        <v>3+ Years</v>
      </c>
      <c r="N2217" s="2" t="str">
        <f>IF(TelecomData[[#This Row],[CleanedTotalCharges]]&gt;=2500,"High Spend", "Standard Spend")</f>
        <v>High Spend</v>
      </c>
    </row>
    <row r="2218" spans="1:14" x14ac:dyDescent="0.3">
      <c r="A2218" s="1" t="s">
        <v>2242</v>
      </c>
      <c r="B2218" s="2" t="s">
        <v>12</v>
      </c>
      <c r="C2218" s="2" t="s">
        <v>13</v>
      </c>
      <c r="D2218" s="2">
        <v>64</v>
      </c>
      <c r="E2218" s="2" t="s">
        <v>26</v>
      </c>
      <c r="F2218" s="2" t="s">
        <v>16</v>
      </c>
      <c r="G2218" s="7">
        <v>108.95</v>
      </c>
      <c r="H2218" s="7">
        <v>7111.3</v>
      </c>
      <c r="I2218" s="2" t="s">
        <v>15</v>
      </c>
      <c r="J2218" s="2" t="s">
        <v>16</v>
      </c>
      <c r="K2218" s="2" t="s">
        <v>24</v>
      </c>
      <c r="L2218" s="7">
        <v>7111.3</v>
      </c>
      <c r="M2218" s="2" t="str">
        <f>_xlfn.IFS(TelecomData[[#This Row],[TenureMonths]]&lt;=12, "0-1 Year", TelecomData[[#This Row],[TenureMonths]]&lt;=36, "1-3 Years", TelecomData[[#This Row],[TenureMonths]]&gt;36, "3+ Years")</f>
        <v>3+ Years</v>
      </c>
      <c r="N2218" s="2" t="str">
        <f>IF(TelecomData[[#This Row],[CleanedTotalCharges]]&gt;=2500,"High Spend", "Standard Spend")</f>
        <v>High Spend</v>
      </c>
    </row>
    <row r="2219" spans="1:14" x14ac:dyDescent="0.3">
      <c r="A2219" s="1" t="s">
        <v>2243</v>
      </c>
      <c r="B2219" s="2" t="s">
        <v>12</v>
      </c>
      <c r="C2219" s="2" t="s">
        <v>35</v>
      </c>
      <c r="D2219" s="2">
        <v>66</v>
      </c>
      <c r="E2219" s="2" t="s">
        <v>14</v>
      </c>
      <c r="F2219" s="2" t="s">
        <v>16</v>
      </c>
      <c r="G2219" s="7">
        <v>89.9</v>
      </c>
      <c r="H2219" s="7">
        <v>5958.85</v>
      </c>
      <c r="I2219" s="2" t="s">
        <v>15</v>
      </c>
      <c r="J2219" s="2" t="s">
        <v>15</v>
      </c>
      <c r="K2219" s="2" t="s">
        <v>29</v>
      </c>
      <c r="L2219" s="7">
        <v>5958.85</v>
      </c>
      <c r="M2219" s="2" t="str">
        <f>_xlfn.IFS(TelecomData[[#This Row],[TenureMonths]]&lt;=12, "0-1 Year", TelecomData[[#This Row],[TenureMonths]]&lt;=36, "1-3 Years", TelecomData[[#This Row],[TenureMonths]]&gt;36, "3+ Years")</f>
        <v>3+ Years</v>
      </c>
      <c r="N2219" s="2" t="str">
        <f>IF(TelecomData[[#This Row],[CleanedTotalCharges]]&gt;=2500,"High Spend", "Standard Spend")</f>
        <v>High Spend</v>
      </c>
    </row>
    <row r="2220" spans="1:14" x14ac:dyDescent="0.3">
      <c r="A2220" s="1" t="s">
        <v>2244</v>
      </c>
      <c r="B2220" s="2" t="s">
        <v>12</v>
      </c>
      <c r="C2220" s="2" t="s">
        <v>35</v>
      </c>
      <c r="D2220" s="2">
        <v>71</v>
      </c>
      <c r="E2220" s="2" t="s">
        <v>14</v>
      </c>
      <c r="F2220" s="2" t="s">
        <v>16</v>
      </c>
      <c r="G2220" s="7">
        <v>82</v>
      </c>
      <c r="H2220" s="7">
        <v>5999.85</v>
      </c>
      <c r="I2220" s="2" t="s">
        <v>15</v>
      </c>
      <c r="J2220" s="2" t="s">
        <v>16</v>
      </c>
      <c r="K2220" s="2" t="s">
        <v>29</v>
      </c>
      <c r="L2220" s="7">
        <v>5999.85</v>
      </c>
      <c r="M2220" s="2" t="str">
        <f>_xlfn.IFS(TelecomData[[#This Row],[TenureMonths]]&lt;=12, "0-1 Year", TelecomData[[#This Row],[TenureMonths]]&lt;=36, "1-3 Years", TelecomData[[#This Row],[TenureMonths]]&gt;36, "3+ Years")</f>
        <v>3+ Years</v>
      </c>
      <c r="N2220" s="2" t="str">
        <f>IF(TelecomData[[#This Row],[CleanedTotalCharges]]&gt;=2500,"High Spend", "Standard Spend")</f>
        <v>High Spend</v>
      </c>
    </row>
    <row r="2221" spans="1:14" x14ac:dyDescent="0.3">
      <c r="A2221" s="1" t="s">
        <v>2245</v>
      </c>
      <c r="B2221" s="2" t="s">
        <v>19</v>
      </c>
      <c r="C2221" s="2" t="s">
        <v>13</v>
      </c>
      <c r="D2221" s="2">
        <v>20</v>
      </c>
      <c r="E2221" s="2" t="s">
        <v>26</v>
      </c>
      <c r="F2221" s="2" t="s">
        <v>15</v>
      </c>
      <c r="G2221" s="7">
        <v>89.95</v>
      </c>
      <c r="H2221" s="7">
        <v>1648.45</v>
      </c>
      <c r="I2221" s="2" t="s">
        <v>15</v>
      </c>
      <c r="J2221" s="2" t="s">
        <v>15</v>
      </c>
      <c r="K2221" s="2" t="s">
        <v>17</v>
      </c>
      <c r="L2221" s="7">
        <v>1648.45</v>
      </c>
      <c r="M2221" s="2" t="str">
        <f>_xlfn.IFS(TelecomData[[#This Row],[TenureMonths]]&lt;=12, "0-1 Year", TelecomData[[#This Row],[TenureMonths]]&lt;=36, "1-3 Years", TelecomData[[#This Row],[TenureMonths]]&gt;36, "3+ Years")</f>
        <v>1-3 Years</v>
      </c>
      <c r="N2221" s="2" t="str">
        <f>IF(TelecomData[[#This Row],[CleanedTotalCharges]]&gt;=2500,"High Spend", "Standard Spend")</f>
        <v>Standard Spend</v>
      </c>
    </row>
    <row r="2222" spans="1:14" x14ac:dyDescent="0.3">
      <c r="A2222" s="1" t="s">
        <v>2246</v>
      </c>
      <c r="B2222" s="2" t="s">
        <v>19</v>
      </c>
      <c r="C2222" s="2" t="s">
        <v>35</v>
      </c>
      <c r="D2222" s="2">
        <v>72</v>
      </c>
      <c r="E2222" s="2" t="s">
        <v>14</v>
      </c>
      <c r="F2222" s="2" t="s">
        <v>16</v>
      </c>
      <c r="G2222" s="7">
        <v>79.349999999999994</v>
      </c>
      <c r="H2222" s="7">
        <v>5753.25</v>
      </c>
      <c r="I2222" s="2" t="s">
        <v>15</v>
      </c>
      <c r="J2222" s="2" t="s">
        <v>16</v>
      </c>
      <c r="K2222" s="2" t="s">
        <v>24</v>
      </c>
      <c r="L2222" s="7">
        <v>5753.25</v>
      </c>
      <c r="M2222" s="2" t="str">
        <f>_xlfn.IFS(TelecomData[[#This Row],[TenureMonths]]&lt;=12, "0-1 Year", TelecomData[[#This Row],[TenureMonths]]&lt;=36, "1-3 Years", TelecomData[[#This Row],[TenureMonths]]&gt;36, "3+ Years")</f>
        <v>3+ Years</v>
      </c>
      <c r="N2222" s="2" t="str">
        <f>IF(TelecomData[[#This Row],[CleanedTotalCharges]]&gt;=2500,"High Spend", "Standard Spend")</f>
        <v>High Spend</v>
      </c>
    </row>
    <row r="2223" spans="1:14" x14ac:dyDescent="0.3">
      <c r="A2223" s="1" t="s">
        <v>2247</v>
      </c>
      <c r="B2223" s="2" t="s">
        <v>12</v>
      </c>
      <c r="C2223" s="2" t="s">
        <v>35</v>
      </c>
      <c r="D2223" s="2">
        <v>71</v>
      </c>
      <c r="E2223" s="2" t="s">
        <v>14</v>
      </c>
      <c r="F2223" s="2" t="s">
        <v>16</v>
      </c>
      <c r="G2223" s="7">
        <v>64.05</v>
      </c>
      <c r="H2223" s="7">
        <v>4492.8999999999996</v>
      </c>
      <c r="I2223" s="2" t="s">
        <v>15</v>
      </c>
      <c r="J2223" s="2" t="s">
        <v>15</v>
      </c>
      <c r="K2223" s="2" t="s">
        <v>29</v>
      </c>
      <c r="L2223" s="7">
        <v>4492.8999999999996</v>
      </c>
      <c r="M2223" s="2" t="str">
        <f>_xlfn.IFS(TelecomData[[#This Row],[TenureMonths]]&lt;=12, "0-1 Year", TelecomData[[#This Row],[TenureMonths]]&lt;=36, "1-3 Years", TelecomData[[#This Row],[TenureMonths]]&gt;36, "3+ Years")</f>
        <v>3+ Years</v>
      </c>
      <c r="N2223" s="2" t="str">
        <f>IF(TelecomData[[#This Row],[CleanedTotalCharges]]&gt;=2500,"High Spend", "Standard Spend")</f>
        <v>High Spend</v>
      </c>
    </row>
    <row r="2224" spans="1:14" x14ac:dyDescent="0.3">
      <c r="A2224" s="1" t="s">
        <v>2248</v>
      </c>
      <c r="B2224" s="2" t="s">
        <v>19</v>
      </c>
      <c r="C2224" s="2" t="s">
        <v>13</v>
      </c>
      <c r="D2224" s="2">
        <v>38</v>
      </c>
      <c r="E2224" s="2" t="s">
        <v>26</v>
      </c>
      <c r="F2224" s="2" t="s">
        <v>15</v>
      </c>
      <c r="G2224" s="7">
        <v>101.15</v>
      </c>
      <c r="H2224" s="7">
        <v>3956.7</v>
      </c>
      <c r="I2224" s="2" t="s">
        <v>15</v>
      </c>
      <c r="J2224" s="2" t="s">
        <v>16</v>
      </c>
      <c r="K2224" s="2" t="s">
        <v>29</v>
      </c>
      <c r="L2224" s="7">
        <v>3956.7</v>
      </c>
      <c r="M2224" s="2" t="str">
        <f>_xlfn.IFS(TelecomData[[#This Row],[TenureMonths]]&lt;=12, "0-1 Year", TelecomData[[#This Row],[TenureMonths]]&lt;=36, "1-3 Years", TelecomData[[#This Row],[TenureMonths]]&gt;36, "3+ Years")</f>
        <v>3+ Years</v>
      </c>
      <c r="N2224" s="2" t="str">
        <f>IF(TelecomData[[#This Row],[CleanedTotalCharges]]&gt;=2500,"High Spend", "Standard Spend")</f>
        <v>High Spend</v>
      </c>
    </row>
    <row r="2225" spans="1:14" x14ac:dyDescent="0.3">
      <c r="A2225" s="1" t="s">
        <v>2249</v>
      </c>
      <c r="B2225" s="2" t="s">
        <v>12</v>
      </c>
      <c r="C2225" s="2" t="s">
        <v>13</v>
      </c>
      <c r="D2225" s="2">
        <v>28</v>
      </c>
      <c r="E2225" s="2" t="s">
        <v>26</v>
      </c>
      <c r="F2225" s="2" t="s">
        <v>15</v>
      </c>
      <c r="G2225" s="7">
        <v>89.95</v>
      </c>
      <c r="H2225" s="7">
        <v>2625.55</v>
      </c>
      <c r="I2225" s="2" t="s">
        <v>16</v>
      </c>
      <c r="J2225" s="2" t="s">
        <v>16</v>
      </c>
      <c r="K2225" s="2" t="s">
        <v>17</v>
      </c>
      <c r="L2225" s="7">
        <v>2625.55</v>
      </c>
      <c r="M2225" s="2" t="str">
        <f>_xlfn.IFS(TelecomData[[#This Row],[TenureMonths]]&lt;=12, "0-1 Year", TelecomData[[#This Row],[TenureMonths]]&lt;=36, "1-3 Years", TelecomData[[#This Row],[TenureMonths]]&gt;36, "3+ Years")</f>
        <v>1-3 Years</v>
      </c>
      <c r="N2225" s="2" t="str">
        <f>IF(TelecomData[[#This Row],[CleanedTotalCharges]]&gt;=2500,"High Spend", "Standard Spend")</f>
        <v>High Spend</v>
      </c>
    </row>
    <row r="2226" spans="1:14" x14ac:dyDescent="0.3">
      <c r="A2226" s="1" t="s">
        <v>2250</v>
      </c>
      <c r="B2226" s="2" t="s">
        <v>19</v>
      </c>
      <c r="C2226" s="2" t="s">
        <v>13</v>
      </c>
      <c r="D2226" s="2">
        <v>17</v>
      </c>
      <c r="E2226" s="2" t="s">
        <v>26</v>
      </c>
      <c r="F2226" s="2" t="s">
        <v>15</v>
      </c>
      <c r="G2226" s="7">
        <v>76.45</v>
      </c>
      <c r="H2226" s="7">
        <v>1233.4000000000001</v>
      </c>
      <c r="I2226" s="2" t="s">
        <v>16</v>
      </c>
      <c r="J2226" s="2" t="s">
        <v>16</v>
      </c>
      <c r="K2226" s="2" t="s">
        <v>17</v>
      </c>
      <c r="L2226" s="7">
        <v>1233.4000000000001</v>
      </c>
      <c r="M2226" s="2" t="str">
        <f>_xlfn.IFS(TelecomData[[#This Row],[TenureMonths]]&lt;=12, "0-1 Year", TelecomData[[#This Row],[TenureMonths]]&lt;=36, "1-3 Years", TelecomData[[#This Row],[TenureMonths]]&gt;36, "3+ Years")</f>
        <v>1-3 Years</v>
      </c>
      <c r="N2226" s="2" t="str">
        <f>IF(TelecomData[[#This Row],[CleanedTotalCharges]]&gt;=2500,"High Spend", "Standard Spend")</f>
        <v>Standard Spend</v>
      </c>
    </row>
    <row r="2227" spans="1:14" x14ac:dyDescent="0.3">
      <c r="A2227" s="1" t="s">
        <v>2251</v>
      </c>
      <c r="B2227" s="2" t="s">
        <v>19</v>
      </c>
      <c r="C2227" s="2" t="s">
        <v>20</v>
      </c>
      <c r="D2227" s="2">
        <v>33</v>
      </c>
      <c r="E2227" s="2" t="s">
        <v>14</v>
      </c>
      <c r="F2227" s="2" t="s">
        <v>15</v>
      </c>
      <c r="G2227" s="7">
        <v>39.1</v>
      </c>
      <c r="H2227" s="7">
        <v>1309</v>
      </c>
      <c r="I2227" s="2" t="s">
        <v>15</v>
      </c>
      <c r="J2227" s="2" t="s">
        <v>16</v>
      </c>
      <c r="K2227" s="2" t="s">
        <v>17</v>
      </c>
      <c r="L2227" s="7">
        <v>1309</v>
      </c>
      <c r="M2227" s="2" t="str">
        <f>_xlfn.IFS(TelecomData[[#This Row],[TenureMonths]]&lt;=12, "0-1 Year", TelecomData[[#This Row],[TenureMonths]]&lt;=36, "1-3 Years", TelecomData[[#This Row],[TenureMonths]]&gt;36, "3+ Years")</f>
        <v>1-3 Years</v>
      </c>
      <c r="N2227" s="2" t="str">
        <f>IF(TelecomData[[#This Row],[CleanedTotalCharges]]&gt;=2500,"High Spend", "Standard Spend")</f>
        <v>Standard Spend</v>
      </c>
    </row>
    <row r="2228" spans="1:14" x14ac:dyDescent="0.3">
      <c r="A2228" s="1" t="s">
        <v>2252</v>
      </c>
      <c r="B2228" s="2" t="s">
        <v>12</v>
      </c>
      <c r="C2228" s="2" t="s">
        <v>35</v>
      </c>
      <c r="D2228" s="2">
        <v>23</v>
      </c>
      <c r="E2228" s="2" t="s">
        <v>14</v>
      </c>
      <c r="F2228" s="2" t="s">
        <v>16</v>
      </c>
      <c r="G2228" s="7">
        <v>34.6</v>
      </c>
      <c r="H2228" s="7">
        <v>813.45</v>
      </c>
      <c r="I2228" s="2" t="s">
        <v>15</v>
      </c>
      <c r="J2228" s="2" t="s">
        <v>15</v>
      </c>
      <c r="K2228" s="2" t="s">
        <v>21</v>
      </c>
      <c r="L2228" s="7">
        <v>813.45</v>
      </c>
      <c r="M2228" s="2" t="str">
        <f>_xlfn.IFS(TelecomData[[#This Row],[TenureMonths]]&lt;=12, "0-1 Year", TelecomData[[#This Row],[TenureMonths]]&lt;=36, "1-3 Years", TelecomData[[#This Row],[TenureMonths]]&gt;36, "3+ Years")</f>
        <v>1-3 Years</v>
      </c>
      <c r="N2228" s="2" t="str">
        <f>IF(TelecomData[[#This Row],[CleanedTotalCharges]]&gt;=2500,"High Spend", "Standard Spend")</f>
        <v>Standard Spend</v>
      </c>
    </row>
    <row r="2229" spans="1:14" x14ac:dyDescent="0.3">
      <c r="A2229" s="1" t="s">
        <v>2253</v>
      </c>
      <c r="B2229" s="2" t="s">
        <v>19</v>
      </c>
      <c r="C2229" s="2" t="s">
        <v>20</v>
      </c>
      <c r="D2229" s="2">
        <v>58</v>
      </c>
      <c r="E2229" s="2" t="s">
        <v>15</v>
      </c>
      <c r="F2229" s="2" t="s">
        <v>36</v>
      </c>
      <c r="G2229" s="7">
        <v>19.55</v>
      </c>
      <c r="H2229" s="7">
        <v>1108.8</v>
      </c>
      <c r="I2229" s="2" t="s">
        <v>15</v>
      </c>
      <c r="J2229" s="2" t="s">
        <v>16</v>
      </c>
      <c r="K2229" s="2" t="s">
        <v>17</v>
      </c>
      <c r="L2229" s="7">
        <v>1108.8</v>
      </c>
      <c r="M2229" s="2" t="str">
        <f>_xlfn.IFS(TelecomData[[#This Row],[TenureMonths]]&lt;=12, "0-1 Year", TelecomData[[#This Row],[TenureMonths]]&lt;=36, "1-3 Years", TelecomData[[#This Row],[TenureMonths]]&gt;36, "3+ Years")</f>
        <v>3+ Years</v>
      </c>
      <c r="N2229" s="2" t="str">
        <f>IF(TelecomData[[#This Row],[CleanedTotalCharges]]&gt;=2500,"High Spend", "Standard Spend")</f>
        <v>Standard Spend</v>
      </c>
    </row>
    <row r="2230" spans="1:14" x14ac:dyDescent="0.3">
      <c r="A2230" s="1" t="s">
        <v>2254</v>
      </c>
      <c r="B2230" s="2" t="s">
        <v>12</v>
      </c>
      <c r="C2230" s="2" t="s">
        <v>35</v>
      </c>
      <c r="D2230" s="2">
        <v>70</v>
      </c>
      <c r="E2230" s="2" t="s">
        <v>26</v>
      </c>
      <c r="F2230" s="2" t="s">
        <v>16</v>
      </c>
      <c r="G2230" s="7">
        <v>104.45</v>
      </c>
      <c r="H2230" s="7">
        <v>7349.35</v>
      </c>
      <c r="I2230" s="2" t="s">
        <v>15</v>
      </c>
      <c r="J2230" s="2" t="s">
        <v>16</v>
      </c>
      <c r="K2230" s="2" t="s">
        <v>24</v>
      </c>
      <c r="L2230" s="7">
        <v>7349.35</v>
      </c>
      <c r="M2230" s="2" t="str">
        <f>_xlfn.IFS(TelecomData[[#This Row],[TenureMonths]]&lt;=12, "0-1 Year", TelecomData[[#This Row],[TenureMonths]]&lt;=36, "1-3 Years", TelecomData[[#This Row],[TenureMonths]]&gt;36, "3+ Years")</f>
        <v>3+ Years</v>
      </c>
      <c r="N2230" s="2" t="str">
        <f>IF(TelecomData[[#This Row],[CleanedTotalCharges]]&gt;=2500,"High Spend", "Standard Spend")</f>
        <v>High Spend</v>
      </c>
    </row>
    <row r="2231" spans="1:14" x14ac:dyDescent="0.3">
      <c r="A2231" s="1" t="s">
        <v>2255</v>
      </c>
      <c r="B2231" s="2" t="s">
        <v>19</v>
      </c>
      <c r="C2231" s="2" t="s">
        <v>13</v>
      </c>
      <c r="D2231" s="2">
        <v>4</v>
      </c>
      <c r="E2231" s="2" t="s">
        <v>26</v>
      </c>
      <c r="F2231" s="2" t="s">
        <v>15</v>
      </c>
      <c r="G2231" s="7">
        <v>70.5</v>
      </c>
      <c r="H2231" s="7">
        <v>294.2</v>
      </c>
      <c r="I2231" s="2" t="s">
        <v>15</v>
      </c>
      <c r="J2231" s="2" t="s">
        <v>15</v>
      </c>
      <c r="K2231" s="2" t="s">
        <v>17</v>
      </c>
      <c r="L2231" s="7">
        <v>294.2</v>
      </c>
      <c r="M2231" s="2" t="str">
        <f>_xlfn.IFS(TelecomData[[#This Row],[TenureMonths]]&lt;=12, "0-1 Year", TelecomData[[#This Row],[TenureMonths]]&lt;=36, "1-3 Years", TelecomData[[#This Row],[TenureMonths]]&gt;36, "3+ Years")</f>
        <v>0-1 Year</v>
      </c>
      <c r="N2231" s="2" t="str">
        <f>IF(TelecomData[[#This Row],[CleanedTotalCharges]]&gt;=2500,"High Spend", "Standard Spend")</f>
        <v>Standard Spend</v>
      </c>
    </row>
    <row r="2232" spans="1:14" x14ac:dyDescent="0.3">
      <c r="A2232" s="1" t="s">
        <v>2256</v>
      </c>
      <c r="B2232" s="2" t="s">
        <v>19</v>
      </c>
      <c r="C2232" s="2" t="s">
        <v>35</v>
      </c>
      <c r="D2232" s="2">
        <v>45</v>
      </c>
      <c r="E2232" s="2" t="s">
        <v>15</v>
      </c>
      <c r="F2232" s="2" t="s">
        <v>36</v>
      </c>
      <c r="G2232" s="7">
        <v>20.350000000000001</v>
      </c>
      <c r="H2232" s="7">
        <v>929.2</v>
      </c>
      <c r="I2232" s="2" t="s">
        <v>15</v>
      </c>
      <c r="J2232" s="2" t="s">
        <v>15</v>
      </c>
      <c r="K2232" s="2" t="s">
        <v>21</v>
      </c>
      <c r="L2232" s="7">
        <v>929.2</v>
      </c>
      <c r="M2232" s="2" t="str">
        <f>_xlfn.IFS(TelecomData[[#This Row],[TenureMonths]]&lt;=12, "0-1 Year", TelecomData[[#This Row],[TenureMonths]]&lt;=36, "1-3 Years", TelecomData[[#This Row],[TenureMonths]]&gt;36, "3+ Years")</f>
        <v>3+ Years</v>
      </c>
      <c r="N2232" s="2" t="str">
        <f>IF(TelecomData[[#This Row],[CleanedTotalCharges]]&gt;=2500,"High Spend", "Standard Spend")</f>
        <v>Standard Spend</v>
      </c>
    </row>
    <row r="2233" spans="1:14" x14ac:dyDescent="0.3">
      <c r="A2233" s="1" t="s">
        <v>2257</v>
      </c>
      <c r="B2233" s="2" t="s">
        <v>19</v>
      </c>
      <c r="C2233" s="2" t="s">
        <v>13</v>
      </c>
      <c r="D2233" s="2">
        <v>10</v>
      </c>
      <c r="E2233" s="2" t="s">
        <v>26</v>
      </c>
      <c r="F2233" s="2" t="s">
        <v>15</v>
      </c>
      <c r="G2233" s="7">
        <v>70</v>
      </c>
      <c r="H2233" s="7">
        <v>740</v>
      </c>
      <c r="I2233" s="2" t="s">
        <v>16</v>
      </c>
      <c r="J2233" s="2" t="s">
        <v>16</v>
      </c>
      <c r="K2233" s="2" t="s">
        <v>17</v>
      </c>
      <c r="L2233" s="7">
        <v>740</v>
      </c>
      <c r="M2233" s="2" t="str">
        <f>_xlfn.IFS(TelecomData[[#This Row],[TenureMonths]]&lt;=12, "0-1 Year", TelecomData[[#This Row],[TenureMonths]]&lt;=36, "1-3 Years", TelecomData[[#This Row],[TenureMonths]]&gt;36, "3+ Years")</f>
        <v>0-1 Year</v>
      </c>
      <c r="N2233" s="2" t="str">
        <f>IF(TelecomData[[#This Row],[CleanedTotalCharges]]&gt;=2500,"High Spend", "Standard Spend")</f>
        <v>Standard Spend</v>
      </c>
    </row>
    <row r="2234" spans="1:14" x14ac:dyDescent="0.3">
      <c r="A2234" s="1" t="s">
        <v>2258</v>
      </c>
      <c r="B2234" s="2" t="s">
        <v>19</v>
      </c>
      <c r="C2234" s="2" t="s">
        <v>35</v>
      </c>
      <c r="D2234" s="2">
        <v>36</v>
      </c>
      <c r="E2234" s="2" t="s">
        <v>15</v>
      </c>
      <c r="F2234" s="2" t="s">
        <v>36</v>
      </c>
      <c r="G2234" s="7">
        <v>19.45</v>
      </c>
      <c r="H2234" s="7">
        <v>754.5</v>
      </c>
      <c r="I2234" s="2" t="s">
        <v>15</v>
      </c>
      <c r="J2234" s="2" t="s">
        <v>15</v>
      </c>
      <c r="K2234" s="2" t="s">
        <v>29</v>
      </c>
      <c r="L2234" s="7">
        <v>754.5</v>
      </c>
      <c r="M2234" s="2" t="str">
        <f>_xlfn.IFS(TelecomData[[#This Row],[TenureMonths]]&lt;=12, "0-1 Year", TelecomData[[#This Row],[TenureMonths]]&lt;=36, "1-3 Years", TelecomData[[#This Row],[TenureMonths]]&gt;36, "3+ Years")</f>
        <v>1-3 Years</v>
      </c>
      <c r="N2234" s="2" t="str">
        <f>IF(TelecomData[[#This Row],[CleanedTotalCharges]]&gt;=2500,"High Spend", "Standard Spend")</f>
        <v>Standard Spend</v>
      </c>
    </row>
    <row r="2235" spans="1:14" x14ac:dyDescent="0.3">
      <c r="A2235" s="1" t="s">
        <v>2259</v>
      </c>
      <c r="B2235" s="2" t="s">
        <v>19</v>
      </c>
      <c r="C2235" s="2" t="s">
        <v>13</v>
      </c>
      <c r="D2235" s="2">
        <v>54</v>
      </c>
      <c r="E2235" s="2" t="s">
        <v>14</v>
      </c>
      <c r="F2235" s="2" t="s">
        <v>16</v>
      </c>
      <c r="G2235" s="7">
        <v>69.900000000000006</v>
      </c>
      <c r="H2235" s="7">
        <v>3883.3</v>
      </c>
      <c r="I2235" s="2" t="s">
        <v>15</v>
      </c>
      <c r="J2235" s="2" t="s">
        <v>16</v>
      </c>
      <c r="K2235" s="2" t="s">
        <v>21</v>
      </c>
      <c r="L2235" s="7">
        <v>3883.3</v>
      </c>
      <c r="M2235" s="2" t="str">
        <f>_xlfn.IFS(TelecomData[[#This Row],[TenureMonths]]&lt;=12, "0-1 Year", TelecomData[[#This Row],[TenureMonths]]&lt;=36, "1-3 Years", TelecomData[[#This Row],[TenureMonths]]&gt;36, "3+ Years")</f>
        <v>3+ Years</v>
      </c>
      <c r="N2235" s="2" t="str">
        <f>IF(TelecomData[[#This Row],[CleanedTotalCharges]]&gt;=2500,"High Spend", "Standard Spend")</f>
        <v>High Spend</v>
      </c>
    </row>
    <row r="2236" spans="1:14" x14ac:dyDescent="0.3">
      <c r="A2236" s="1" t="s">
        <v>2260</v>
      </c>
      <c r="B2236" s="2" t="s">
        <v>19</v>
      </c>
      <c r="C2236" s="2" t="s">
        <v>35</v>
      </c>
      <c r="D2236" s="2">
        <v>23</v>
      </c>
      <c r="E2236" s="2" t="s">
        <v>14</v>
      </c>
      <c r="F2236" s="2" t="s">
        <v>16</v>
      </c>
      <c r="G2236" s="7">
        <v>59.7</v>
      </c>
      <c r="H2236" s="7">
        <v>1414.2</v>
      </c>
      <c r="I2236" s="2" t="s">
        <v>15</v>
      </c>
      <c r="J2236" s="2" t="s">
        <v>15</v>
      </c>
      <c r="K2236" s="2" t="s">
        <v>21</v>
      </c>
      <c r="L2236" s="7">
        <v>1414.2</v>
      </c>
      <c r="M2236" s="2" t="str">
        <f>_xlfn.IFS(TelecomData[[#This Row],[TenureMonths]]&lt;=12, "0-1 Year", TelecomData[[#This Row],[TenureMonths]]&lt;=36, "1-3 Years", TelecomData[[#This Row],[TenureMonths]]&gt;36, "3+ Years")</f>
        <v>1-3 Years</v>
      </c>
      <c r="N2236" s="2" t="str">
        <f>IF(TelecomData[[#This Row],[CleanedTotalCharges]]&gt;=2500,"High Spend", "Standard Spend")</f>
        <v>Standard Spend</v>
      </c>
    </row>
    <row r="2237" spans="1:14" x14ac:dyDescent="0.3">
      <c r="A2237" s="1" t="s">
        <v>2261</v>
      </c>
      <c r="B2237" s="2" t="s">
        <v>12</v>
      </c>
      <c r="C2237" s="2" t="s">
        <v>20</v>
      </c>
      <c r="D2237" s="2">
        <v>41</v>
      </c>
      <c r="E2237" s="2" t="s">
        <v>14</v>
      </c>
      <c r="F2237" s="2" t="s">
        <v>15</v>
      </c>
      <c r="G2237" s="7">
        <v>78.349999999999994</v>
      </c>
      <c r="H2237" s="7">
        <v>3211.2</v>
      </c>
      <c r="I2237" s="2" t="s">
        <v>15</v>
      </c>
      <c r="J2237" s="2" t="s">
        <v>16</v>
      </c>
      <c r="K2237" s="2" t="s">
        <v>29</v>
      </c>
      <c r="L2237" s="7">
        <v>3211.2</v>
      </c>
      <c r="M2237" s="2" t="str">
        <f>_xlfn.IFS(TelecomData[[#This Row],[TenureMonths]]&lt;=12, "0-1 Year", TelecomData[[#This Row],[TenureMonths]]&lt;=36, "1-3 Years", TelecomData[[#This Row],[TenureMonths]]&gt;36, "3+ Years")</f>
        <v>3+ Years</v>
      </c>
      <c r="N2237" s="2" t="str">
        <f>IF(TelecomData[[#This Row],[CleanedTotalCharges]]&gt;=2500,"High Spend", "Standard Spend")</f>
        <v>High Spend</v>
      </c>
    </row>
    <row r="2238" spans="1:14" x14ac:dyDescent="0.3">
      <c r="A2238" s="1" t="s">
        <v>2262</v>
      </c>
      <c r="B2238" s="2" t="s">
        <v>19</v>
      </c>
      <c r="C2238" s="2" t="s">
        <v>13</v>
      </c>
      <c r="D2238" s="2">
        <v>5</v>
      </c>
      <c r="E2238" s="2" t="s">
        <v>26</v>
      </c>
      <c r="F2238" s="2" t="s">
        <v>15</v>
      </c>
      <c r="G2238" s="7">
        <v>71.45</v>
      </c>
      <c r="H2238" s="7">
        <v>371.6</v>
      </c>
      <c r="I2238" s="2" t="s">
        <v>15</v>
      </c>
      <c r="J2238" s="2" t="s">
        <v>16</v>
      </c>
      <c r="K2238" s="2" t="s">
        <v>21</v>
      </c>
      <c r="L2238" s="7">
        <v>371.6</v>
      </c>
      <c r="M2238" s="2" t="str">
        <f>_xlfn.IFS(TelecomData[[#This Row],[TenureMonths]]&lt;=12, "0-1 Year", TelecomData[[#This Row],[TenureMonths]]&lt;=36, "1-3 Years", TelecomData[[#This Row],[TenureMonths]]&gt;36, "3+ Years")</f>
        <v>0-1 Year</v>
      </c>
      <c r="N2238" s="2" t="str">
        <f>IF(TelecomData[[#This Row],[CleanedTotalCharges]]&gt;=2500,"High Spend", "Standard Spend")</f>
        <v>Standard Spend</v>
      </c>
    </row>
    <row r="2239" spans="1:14" x14ac:dyDescent="0.3">
      <c r="A2239" s="1" t="s">
        <v>2263</v>
      </c>
      <c r="B2239" s="2" t="s">
        <v>19</v>
      </c>
      <c r="C2239" s="2" t="s">
        <v>20</v>
      </c>
      <c r="D2239" s="2">
        <v>27</v>
      </c>
      <c r="E2239" s="2" t="s">
        <v>14</v>
      </c>
      <c r="F2239" s="2" t="s">
        <v>15</v>
      </c>
      <c r="G2239" s="7">
        <v>45.85</v>
      </c>
      <c r="H2239" s="7">
        <v>1246.4000000000001</v>
      </c>
      <c r="I2239" s="2" t="s">
        <v>15</v>
      </c>
      <c r="J2239" s="2" t="s">
        <v>16</v>
      </c>
      <c r="K2239" s="2" t="s">
        <v>29</v>
      </c>
      <c r="L2239" s="7">
        <v>1246.4000000000001</v>
      </c>
      <c r="M2239" s="2" t="str">
        <f>_xlfn.IFS(TelecomData[[#This Row],[TenureMonths]]&lt;=12, "0-1 Year", TelecomData[[#This Row],[TenureMonths]]&lt;=36, "1-3 Years", TelecomData[[#This Row],[TenureMonths]]&gt;36, "3+ Years")</f>
        <v>1-3 Years</v>
      </c>
      <c r="N2239" s="2" t="str">
        <f>IF(TelecomData[[#This Row],[CleanedTotalCharges]]&gt;=2500,"High Spend", "Standard Spend")</f>
        <v>Standard Spend</v>
      </c>
    </row>
    <row r="2240" spans="1:14" x14ac:dyDescent="0.3">
      <c r="A2240" s="1" t="s">
        <v>2264</v>
      </c>
      <c r="B2240" s="2" t="s">
        <v>12</v>
      </c>
      <c r="C2240" s="2" t="s">
        <v>13</v>
      </c>
      <c r="D2240" s="2">
        <v>1</v>
      </c>
      <c r="E2240" s="2" t="s">
        <v>26</v>
      </c>
      <c r="F2240" s="2" t="s">
        <v>16</v>
      </c>
      <c r="G2240" s="7">
        <v>95.85</v>
      </c>
      <c r="H2240" s="7">
        <v>95.85</v>
      </c>
      <c r="I2240" s="2" t="s">
        <v>15</v>
      </c>
      <c r="J2240" s="2" t="s">
        <v>16</v>
      </c>
      <c r="K2240" s="2" t="s">
        <v>17</v>
      </c>
      <c r="L2240" s="7">
        <v>95.85</v>
      </c>
      <c r="M2240" s="2" t="str">
        <f>_xlfn.IFS(TelecomData[[#This Row],[TenureMonths]]&lt;=12, "0-1 Year", TelecomData[[#This Row],[TenureMonths]]&lt;=36, "1-3 Years", TelecomData[[#This Row],[TenureMonths]]&gt;36, "3+ Years")</f>
        <v>0-1 Year</v>
      </c>
      <c r="N2240" s="2" t="str">
        <f>IF(TelecomData[[#This Row],[CleanedTotalCharges]]&gt;=2500,"High Spend", "Standard Spend")</f>
        <v>Standard Spend</v>
      </c>
    </row>
    <row r="2241" spans="1:14" x14ac:dyDescent="0.3">
      <c r="A2241" s="1" t="s">
        <v>2265</v>
      </c>
      <c r="B2241" s="2" t="s">
        <v>12</v>
      </c>
      <c r="C2241" s="2" t="s">
        <v>35</v>
      </c>
      <c r="D2241" s="2">
        <v>67</v>
      </c>
      <c r="E2241" s="2" t="s">
        <v>14</v>
      </c>
      <c r="F2241" s="2" t="s">
        <v>16</v>
      </c>
      <c r="G2241" s="7">
        <v>35.700000000000003</v>
      </c>
      <c r="H2241" s="7">
        <v>2545.6999999999998</v>
      </c>
      <c r="I2241" s="2" t="s">
        <v>15</v>
      </c>
      <c r="J2241" s="2" t="s">
        <v>15</v>
      </c>
      <c r="K2241" s="2" t="s">
        <v>29</v>
      </c>
      <c r="L2241" s="7">
        <v>2545.6999999999998</v>
      </c>
      <c r="M2241" s="2" t="str">
        <f>_xlfn.IFS(TelecomData[[#This Row],[TenureMonths]]&lt;=12, "0-1 Year", TelecomData[[#This Row],[TenureMonths]]&lt;=36, "1-3 Years", TelecomData[[#This Row],[TenureMonths]]&gt;36, "3+ Years")</f>
        <v>3+ Years</v>
      </c>
      <c r="N2241" s="2" t="str">
        <f>IF(TelecomData[[#This Row],[CleanedTotalCharges]]&gt;=2500,"High Spend", "Standard Spend")</f>
        <v>High Spend</v>
      </c>
    </row>
    <row r="2242" spans="1:14" x14ac:dyDescent="0.3">
      <c r="A2242" s="1" t="s">
        <v>2266</v>
      </c>
      <c r="B2242" s="2" t="s">
        <v>12</v>
      </c>
      <c r="C2242" s="2" t="s">
        <v>35</v>
      </c>
      <c r="D2242" s="2">
        <v>72</v>
      </c>
      <c r="E2242" s="2" t="s">
        <v>14</v>
      </c>
      <c r="F2242" s="2" t="s">
        <v>16</v>
      </c>
      <c r="G2242" s="7">
        <v>89.55</v>
      </c>
      <c r="H2242" s="7">
        <v>6448.85</v>
      </c>
      <c r="I2242" s="2" t="s">
        <v>15</v>
      </c>
      <c r="J2242" s="2" t="s">
        <v>16</v>
      </c>
      <c r="K2242" s="2" t="s">
        <v>29</v>
      </c>
      <c r="L2242" s="7">
        <v>6448.85</v>
      </c>
      <c r="M2242" s="2" t="str">
        <f>_xlfn.IFS(TelecomData[[#This Row],[TenureMonths]]&lt;=12, "0-1 Year", TelecomData[[#This Row],[TenureMonths]]&lt;=36, "1-3 Years", TelecomData[[#This Row],[TenureMonths]]&gt;36, "3+ Years")</f>
        <v>3+ Years</v>
      </c>
      <c r="N2242" s="2" t="str">
        <f>IF(TelecomData[[#This Row],[CleanedTotalCharges]]&gt;=2500,"High Spend", "Standard Spend")</f>
        <v>High Spend</v>
      </c>
    </row>
    <row r="2243" spans="1:14" x14ac:dyDescent="0.3">
      <c r="A2243" s="1" t="s">
        <v>2267</v>
      </c>
      <c r="B2243" s="2" t="s">
        <v>12</v>
      </c>
      <c r="C2243" s="2" t="s">
        <v>35</v>
      </c>
      <c r="D2243" s="2">
        <v>56</v>
      </c>
      <c r="E2243" s="2" t="s">
        <v>15</v>
      </c>
      <c r="F2243" s="2" t="s">
        <v>36</v>
      </c>
      <c r="G2243" s="7">
        <v>24.95</v>
      </c>
      <c r="H2243" s="7">
        <v>1468.9</v>
      </c>
      <c r="I2243" s="2" t="s">
        <v>15</v>
      </c>
      <c r="J2243" s="2" t="s">
        <v>16</v>
      </c>
      <c r="K2243" s="2" t="s">
        <v>29</v>
      </c>
      <c r="L2243" s="7">
        <v>1468.9</v>
      </c>
      <c r="M2243" s="2" t="str">
        <f>_xlfn.IFS(TelecomData[[#This Row],[TenureMonths]]&lt;=12, "0-1 Year", TelecomData[[#This Row],[TenureMonths]]&lt;=36, "1-3 Years", TelecomData[[#This Row],[TenureMonths]]&gt;36, "3+ Years")</f>
        <v>3+ Years</v>
      </c>
      <c r="N2243" s="2" t="str">
        <f>IF(TelecomData[[#This Row],[CleanedTotalCharges]]&gt;=2500,"High Spend", "Standard Spend")</f>
        <v>Standard Spend</v>
      </c>
    </row>
    <row r="2244" spans="1:14" x14ac:dyDescent="0.3">
      <c r="A2244" s="1" t="s">
        <v>2268</v>
      </c>
      <c r="B2244" s="2" t="s">
        <v>19</v>
      </c>
      <c r="C2244" s="2" t="s">
        <v>20</v>
      </c>
      <c r="D2244" s="2">
        <v>44</v>
      </c>
      <c r="E2244" s="2" t="s">
        <v>15</v>
      </c>
      <c r="F2244" s="2" t="s">
        <v>36</v>
      </c>
      <c r="G2244" s="7">
        <v>24.85</v>
      </c>
      <c r="H2244" s="7">
        <v>1013.6</v>
      </c>
      <c r="I2244" s="2" t="s">
        <v>15</v>
      </c>
      <c r="J2244" s="2" t="s">
        <v>15</v>
      </c>
      <c r="K2244" s="2" t="s">
        <v>17</v>
      </c>
      <c r="L2244" s="7">
        <v>1013.6</v>
      </c>
      <c r="M2244" s="2" t="str">
        <f>_xlfn.IFS(TelecomData[[#This Row],[TenureMonths]]&lt;=12, "0-1 Year", TelecomData[[#This Row],[TenureMonths]]&lt;=36, "1-3 Years", TelecomData[[#This Row],[TenureMonths]]&gt;36, "3+ Years")</f>
        <v>3+ Years</v>
      </c>
      <c r="N2244" s="2" t="str">
        <f>IF(TelecomData[[#This Row],[CleanedTotalCharges]]&gt;=2500,"High Spend", "Standard Spend")</f>
        <v>Standard Spend</v>
      </c>
    </row>
    <row r="2245" spans="1:14" x14ac:dyDescent="0.3">
      <c r="A2245" s="1" t="s">
        <v>2269</v>
      </c>
      <c r="B2245" s="2" t="s">
        <v>12</v>
      </c>
      <c r="C2245" s="2" t="s">
        <v>13</v>
      </c>
      <c r="D2245" s="2">
        <v>66</v>
      </c>
      <c r="E2245" s="2" t="s">
        <v>26</v>
      </c>
      <c r="F2245" s="2" t="s">
        <v>15</v>
      </c>
      <c r="G2245" s="7">
        <v>100.8</v>
      </c>
      <c r="H2245" s="7">
        <v>6690.75</v>
      </c>
      <c r="I2245" s="2" t="s">
        <v>15</v>
      </c>
      <c r="J2245" s="2" t="s">
        <v>16</v>
      </c>
      <c r="K2245" s="2" t="s">
        <v>17</v>
      </c>
      <c r="L2245" s="7">
        <v>6690.75</v>
      </c>
      <c r="M2245" s="2" t="str">
        <f>_xlfn.IFS(TelecomData[[#This Row],[TenureMonths]]&lt;=12, "0-1 Year", TelecomData[[#This Row],[TenureMonths]]&lt;=36, "1-3 Years", TelecomData[[#This Row],[TenureMonths]]&gt;36, "3+ Years")</f>
        <v>3+ Years</v>
      </c>
      <c r="N2245" s="2" t="str">
        <f>IF(TelecomData[[#This Row],[CleanedTotalCharges]]&gt;=2500,"High Spend", "Standard Spend")</f>
        <v>High Spend</v>
      </c>
    </row>
    <row r="2246" spans="1:14" x14ac:dyDescent="0.3">
      <c r="A2246" s="1" t="s">
        <v>2270</v>
      </c>
      <c r="B2246" s="2" t="s">
        <v>12</v>
      </c>
      <c r="C2246" s="2" t="s">
        <v>20</v>
      </c>
      <c r="D2246" s="2">
        <v>34</v>
      </c>
      <c r="E2246" s="2" t="s">
        <v>14</v>
      </c>
      <c r="F2246" s="2" t="s">
        <v>16</v>
      </c>
      <c r="G2246" s="7">
        <v>64.400000000000006</v>
      </c>
      <c r="H2246" s="7">
        <v>2088.75</v>
      </c>
      <c r="I2246" s="2" t="s">
        <v>16</v>
      </c>
      <c r="J2246" s="2" t="s">
        <v>16</v>
      </c>
      <c r="K2246" s="2" t="s">
        <v>21</v>
      </c>
      <c r="L2246" s="7">
        <v>2088.75</v>
      </c>
      <c r="M2246" s="2" t="str">
        <f>_xlfn.IFS(TelecomData[[#This Row],[TenureMonths]]&lt;=12, "0-1 Year", TelecomData[[#This Row],[TenureMonths]]&lt;=36, "1-3 Years", TelecomData[[#This Row],[TenureMonths]]&gt;36, "3+ Years")</f>
        <v>1-3 Years</v>
      </c>
      <c r="N2246" s="2" t="str">
        <f>IF(TelecomData[[#This Row],[CleanedTotalCharges]]&gt;=2500,"High Spend", "Standard Spend")</f>
        <v>Standard Spend</v>
      </c>
    </row>
    <row r="2247" spans="1:14" x14ac:dyDescent="0.3">
      <c r="A2247" s="1" t="s">
        <v>2271</v>
      </c>
      <c r="B2247" s="2" t="s">
        <v>12</v>
      </c>
      <c r="C2247" s="2" t="s">
        <v>35</v>
      </c>
      <c r="D2247" s="2">
        <v>69</v>
      </c>
      <c r="E2247" s="2" t="s">
        <v>26</v>
      </c>
      <c r="F2247" s="2" t="s">
        <v>16</v>
      </c>
      <c r="G2247" s="7">
        <v>105.35</v>
      </c>
      <c r="H2247" s="7">
        <v>7240.65</v>
      </c>
      <c r="I2247" s="2" t="s">
        <v>15</v>
      </c>
      <c r="J2247" s="2" t="s">
        <v>15</v>
      </c>
      <c r="K2247" s="2" t="s">
        <v>24</v>
      </c>
      <c r="L2247" s="7">
        <v>7240.65</v>
      </c>
      <c r="M2247" s="2" t="str">
        <f>_xlfn.IFS(TelecomData[[#This Row],[TenureMonths]]&lt;=12, "0-1 Year", TelecomData[[#This Row],[TenureMonths]]&lt;=36, "1-3 Years", TelecomData[[#This Row],[TenureMonths]]&gt;36, "3+ Years")</f>
        <v>3+ Years</v>
      </c>
      <c r="N2247" s="2" t="str">
        <f>IF(TelecomData[[#This Row],[CleanedTotalCharges]]&gt;=2500,"High Spend", "Standard Spend")</f>
        <v>High Spend</v>
      </c>
    </row>
    <row r="2248" spans="1:14" x14ac:dyDescent="0.3">
      <c r="A2248" s="1" t="s">
        <v>2272</v>
      </c>
      <c r="B2248" s="2" t="s">
        <v>12</v>
      </c>
      <c r="C2248" s="2" t="s">
        <v>13</v>
      </c>
      <c r="D2248" s="2">
        <v>1</v>
      </c>
      <c r="E2248" s="2" t="s">
        <v>26</v>
      </c>
      <c r="F2248" s="2" t="s">
        <v>15</v>
      </c>
      <c r="G2248" s="7">
        <v>102.45</v>
      </c>
      <c r="H2248" s="7">
        <v>102.45</v>
      </c>
      <c r="I2248" s="2" t="s">
        <v>16</v>
      </c>
      <c r="J2248" s="2" t="s">
        <v>16</v>
      </c>
      <c r="K2248" s="2" t="s">
        <v>17</v>
      </c>
      <c r="L2248" s="7">
        <v>102.45</v>
      </c>
      <c r="M2248" s="2" t="str">
        <f>_xlfn.IFS(TelecomData[[#This Row],[TenureMonths]]&lt;=12, "0-1 Year", TelecomData[[#This Row],[TenureMonths]]&lt;=36, "1-3 Years", TelecomData[[#This Row],[TenureMonths]]&gt;36, "3+ Years")</f>
        <v>0-1 Year</v>
      </c>
      <c r="N2248" s="2" t="str">
        <f>IF(TelecomData[[#This Row],[CleanedTotalCharges]]&gt;=2500,"High Spend", "Standard Spend")</f>
        <v>Standard Spend</v>
      </c>
    </row>
    <row r="2249" spans="1:14" x14ac:dyDescent="0.3">
      <c r="A2249" s="1" t="s">
        <v>2273</v>
      </c>
      <c r="B2249" s="2" t="s">
        <v>12</v>
      </c>
      <c r="C2249" s="2" t="s">
        <v>35</v>
      </c>
      <c r="D2249" s="2">
        <v>40</v>
      </c>
      <c r="E2249" s="2" t="s">
        <v>15</v>
      </c>
      <c r="F2249" s="2" t="s">
        <v>36</v>
      </c>
      <c r="G2249" s="7">
        <v>19.649999999999999</v>
      </c>
      <c r="H2249" s="7">
        <v>830.25</v>
      </c>
      <c r="I2249" s="2" t="s">
        <v>15</v>
      </c>
      <c r="J2249" s="2" t="s">
        <v>15</v>
      </c>
      <c r="K2249" s="2" t="s">
        <v>29</v>
      </c>
      <c r="L2249" s="7">
        <v>830.25</v>
      </c>
      <c r="M2249" s="2" t="str">
        <f>_xlfn.IFS(TelecomData[[#This Row],[TenureMonths]]&lt;=12, "0-1 Year", TelecomData[[#This Row],[TenureMonths]]&lt;=36, "1-3 Years", TelecomData[[#This Row],[TenureMonths]]&gt;36, "3+ Years")</f>
        <v>3+ Years</v>
      </c>
      <c r="N2249" s="2" t="str">
        <f>IF(TelecomData[[#This Row],[CleanedTotalCharges]]&gt;=2500,"High Spend", "Standard Spend")</f>
        <v>Standard Spend</v>
      </c>
    </row>
    <row r="2250" spans="1:14" x14ac:dyDescent="0.3">
      <c r="A2250" s="1" t="s">
        <v>2274</v>
      </c>
      <c r="B2250" s="2" t="s">
        <v>19</v>
      </c>
      <c r="C2250" s="2" t="s">
        <v>13</v>
      </c>
      <c r="D2250" s="2">
        <v>30</v>
      </c>
      <c r="E2250" s="2" t="s">
        <v>14</v>
      </c>
      <c r="F2250" s="2" t="s">
        <v>15</v>
      </c>
      <c r="G2250" s="7">
        <v>54.45</v>
      </c>
      <c r="H2250" s="7">
        <v>1588.7</v>
      </c>
      <c r="I2250" s="2" t="s">
        <v>15</v>
      </c>
      <c r="J2250" s="2" t="s">
        <v>16</v>
      </c>
      <c r="K2250" s="2" t="s">
        <v>24</v>
      </c>
      <c r="L2250" s="7">
        <v>1588.7</v>
      </c>
      <c r="M2250" s="2" t="str">
        <f>_xlfn.IFS(TelecomData[[#This Row],[TenureMonths]]&lt;=12, "0-1 Year", TelecomData[[#This Row],[TenureMonths]]&lt;=36, "1-3 Years", TelecomData[[#This Row],[TenureMonths]]&gt;36, "3+ Years")</f>
        <v>1-3 Years</v>
      </c>
      <c r="N2250" s="2" t="str">
        <f>IF(TelecomData[[#This Row],[CleanedTotalCharges]]&gt;=2500,"High Spend", "Standard Spend")</f>
        <v>Standard Spend</v>
      </c>
    </row>
    <row r="2251" spans="1:14" x14ac:dyDescent="0.3">
      <c r="A2251" s="1" t="s">
        <v>2275</v>
      </c>
      <c r="B2251" s="2" t="s">
        <v>12</v>
      </c>
      <c r="C2251" s="2" t="s">
        <v>13</v>
      </c>
      <c r="D2251" s="2">
        <v>11</v>
      </c>
      <c r="E2251" s="2" t="s">
        <v>14</v>
      </c>
      <c r="F2251" s="2" t="s">
        <v>16</v>
      </c>
      <c r="G2251" s="7">
        <v>70.5</v>
      </c>
      <c r="H2251" s="7">
        <v>829.3</v>
      </c>
      <c r="I2251" s="2" t="s">
        <v>15</v>
      </c>
      <c r="J2251" s="2" t="s">
        <v>15</v>
      </c>
      <c r="K2251" s="2" t="s">
        <v>21</v>
      </c>
      <c r="L2251" s="7">
        <v>829.3</v>
      </c>
      <c r="M2251" s="2" t="str">
        <f>_xlfn.IFS(TelecomData[[#This Row],[TenureMonths]]&lt;=12, "0-1 Year", TelecomData[[#This Row],[TenureMonths]]&lt;=36, "1-3 Years", TelecomData[[#This Row],[TenureMonths]]&gt;36, "3+ Years")</f>
        <v>0-1 Year</v>
      </c>
      <c r="N2251" s="2" t="str">
        <f>IF(TelecomData[[#This Row],[CleanedTotalCharges]]&gt;=2500,"High Spend", "Standard Spend")</f>
        <v>Standard Spend</v>
      </c>
    </row>
    <row r="2252" spans="1:14" x14ac:dyDescent="0.3">
      <c r="A2252" s="1" t="s">
        <v>2276</v>
      </c>
      <c r="B2252" s="2" t="s">
        <v>12</v>
      </c>
      <c r="C2252" s="2" t="s">
        <v>20</v>
      </c>
      <c r="D2252" s="2">
        <v>15</v>
      </c>
      <c r="E2252" s="2" t="s">
        <v>15</v>
      </c>
      <c r="F2252" s="2" t="s">
        <v>36</v>
      </c>
      <c r="G2252" s="7">
        <v>20.100000000000001</v>
      </c>
      <c r="H2252" s="7">
        <v>302.45</v>
      </c>
      <c r="I2252" s="2" t="s">
        <v>15</v>
      </c>
      <c r="J2252" s="2" t="s">
        <v>15</v>
      </c>
      <c r="K2252" s="2" t="s">
        <v>29</v>
      </c>
      <c r="L2252" s="7">
        <v>302.45</v>
      </c>
      <c r="M2252" s="2" t="str">
        <f>_xlfn.IFS(TelecomData[[#This Row],[TenureMonths]]&lt;=12, "0-1 Year", TelecomData[[#This Row],[TenureMonths]]&lt;=36, "1-3 Years", TelecomData[[#This Row],[TenureMonths]]&gt;36, "3+ Years")</f>
        <v>1-3 Years</v>
      </c>
      <c r="N2252" s="2" t="str">
        <f>IF(TelecomData[[#This Row],[CleanedTotalCharges]]&gt;=2500,"High Spend", "Standard Spend")</f>
        <v>Standard Spend</v>
      </c>
    </row>
    <row r="2253" spans="1:14" x14ac:dyDescent="0.3">
      <c r="A2253" s="1" t="s">
        <v>2277</v>
      </c>
      <c r="B2253" s="2" t="s">
        <v>19</v>
      </c>
      <c r="C2253" s="2" t="s">
        <v>13</v>
      </c>
      <c r="D2253" s="2">
        <v>11</v>
      </c>
      <c r="E2253" s="2" t="s">
        <v>14</v>
      </c>
      <c r="F2253" s="2" t="s">
        <v>15</v>
      </c>
      <c r="G2253" s="7">
        <v>69.349999999999994</v>
      </c>
      <c r="H2253" s="7">
        <v>712.25</v>
      </c>
      <c r="I2253" s="2" t="s">
        <v>15</v>
      </c>
      <c r="J2253" s="2" t="s">
        <v>16</v>
      </c>
      <c r="K2253" s="2" t="s">
        <v>17</v>
      </c>
      <c r="L2253" s="7">
        <v>712.25</v>
      </c>
      <c r="M2253" s="2" t="str">
        <f>_xlfn.IFS(TelecomData[[#This Row],[TenureMonths]]&lt;=12, "0-1 Year", TelecomData[[#This Row],[TenureMonths]]&lt;=36, "1-3 Years", TelecomData[[#This Row],[TenureMonths]]&gt;36, "3+ Years")</f>
        <v>0-1 Year</v>
      </c>
      <c r="N2253" s="2" t="str">
        <f>IF(TelecomData[[#This Row],[CleanedTotalCharges]]&gt;=2500,"High Spend", "Standard Spend")</f>
        <v>Standard Spend</v>
      </c>
    </row>
    <row r="2254" spans="1:14" x14ac:dyDescent="0.3">
      <c r="A2254" s="1" t="s">
        <v>2278</v>
      </c>
      <c r="B2254" s="2" t="s">
        <v>12</v>
      </c>
      <c r="C2254" s="2" t="s">
        <v>20</v>
      </c>
      <c r="D2254" s="2">
        <v>64</v>
      </c>
      <c r="E2254" s="2" t="s">
        <v>15</v>
      </c>
      <c r="F2254" s="2" t="s">
        <v>36</v>
      </c>
      <c r="G2254" s="7">
        <v>19.8</v>
      </c>
      <c r="H2254" s="7">
        <v>1336.65</v>
      </c>
      <c r="I2254" s="2" t="s">
        <v>15</v>
      </c>
      <c r="J2254" s="2" t="s">
        <v>15</v>
      </c>
      <c r="K2254" s="2" t="s">
        <v>24</v>
      </c>
      <c r="L2254" s="7">
        <v>1336.65</v>
      </c>
      <c r="M2254" s="2" t="str">
        <f>_xlfn.IFS(TelecomData[[#This Row],[TenureMonths]]&lt;=12, "0-1 Year", TelecomData[[#This Row],[TenureMonths]]&lt;=36, "1-3 Years", TelecomData[[#This Row],[TenureMonths]]&gt;36, "3+ Years")</f>
        <v>3+ Years</v>
      </c>
      <c r="N2254" s="2" t="str">
        <f>IF(TelecomData[[#This Row],[CleanedTotalCharges]]&gt;=2500,"High Spend", "Standard Spend")</f>
        <v>Standard Spend</v>
      </c>
    </row>
    <row r="2255" spans="1:14" x14ac:dyDescent="0.3">
      <c r="A2255" s="1" t="s">
        <v>2279</v>
      </c>
      <c r="B2255" s="2" t="s">
        <v>19</v>
      </c>
      <c r="C2255" s="2" t="s">
        <v>35</v>
      </c>
      <c r="D2255" s="2">
        <v>72</v>
      </c>
      <c r="E2255" s="2" t="s">
        <v>14</v>
      </c>
      <c r="F2255" s="2" t="s">
        <v>16</v>
      </c>
      <c r="G2255" s="7">
        <v>74.400000000000006</v>
      </c>
      <c r="H2255" s="7">
        <v>5360.75</v>
      </c>
      <c r="I2255" s="2" t="s">
        <v>15</v>
      </c>
      <c r="J2255" s="2" t="s">
        <v>15</v>
      </c>
      <c r="K2255" s="2" t="s">
        <v>24</v>
      </c>
      <c r="L2255" s="7">
        <v>5360.75</v>
      </c>
      <c r="M2255" s="2" t="str">
        <f>_xlfn.IFS(TelecomData[[#This Row],[TenureMonths]]&lt;=12, "0-1 Year", TelecomData[[#This Row],[TenureMonths]]&lt;=36, "1-3 Years", TelecomData[[#This Row],[TenureMonths]]&gt;36, "3+ Years")</f>
        <v>3+ Years</v>
      </c>
      <c r="N2255" s="2" t="str">
        <f>IF(TelecomData[[#This Row],[CleanedTotalCharges]]&gt;=2500,"High Spend", "Standard Spend")</f>
        <v>High Spend</v>
      </c>
    </row>
    <row r="2256" spans="1:14" x14ac:dyDescent="0.3">
      <c r="A2256" s="1" t="s">
        <v>2280</v>
      </c>
      <c r="B2256" s="2" t="s">
        <v>19</v>
      </c>
      <c r="C2256" s="2" t="s">
        <v>35</v>
      </c>
      <c r="D2256" s="2">
        <v>72</v>
      </c>
      <c r="E2256" s="2" t="s">
        <v>26</v>
      </c>
      <c r="F2256" s="2" t="s">
        <v>16</v>
      </c>
      <c r="G2256" s="7">
        <v>93.05</v>
      </c>
      <c r="H2256" s="7">
        <v>6735.05</v>
      </c>
      <c r="I2256" s="2" t="s">
        <v>15</v>
      </c>
      <c r="J2256" s="2" t="s">
        <v>16</v>
      </c>
      <c r="K2256" s="2" t="s">
        <v>24</v>
      </c>
      <c r="L2256" s="7">
        <v>6735.05</v>
      </c>
      <c r="M2256" s="2" t="str">
        <f>_xlfn.IFS(TelecomData[[#This Row],[TenureMonths]]&lt;=12, "0-1 Year", TelecomData[[#This Row],[TenureMonths]]&lt;=36, "1-3 Years", TelecomData[[#This Row],[TenureMonths]]&gt;36, "3+ Years")</f>
        <v>3+ Years</v>
      </c>
      <c r="N2256" s="2" t="str">
        <f>IF(TelecomData[[#This Row],[CleanedTotalCharges]]&gt;=2500,"High Spend", "Standard Spend")</f>
        <v>High Spend</v>
      </c>
    </row>
    <row r="2257" spans="1:14" x14ac:dyDescent="0.3">
      <c r="A2257" s="1" t="s">
        <v>2281</v>
      </c>
      <c r="B2257" s="2" t="s">
        <v>12</v>
      </c>
      <c r="C2257" s="2" t="s">
        <v>13</v>
      </c>
      <c r="D2257" s="2">
        <v>1</v>
      </c>
      <c r="E2257" s="2" t="s">
        <v>14</v>
      </c>
      <c r="F2257" s="2" t="s">
        <v>15</v>
      </c>
      <c r="G2257" s="7">
        <v>51.2</v>
      </c>
      <c r="H2257" s="7">
        <v>51.2</v>
      </c>
      <c r="I2257" s="2" t="s">
        <v>15</v>
      </c>
      <c r="J2257" s="2" t="s">
        <v>15</v>
      </c>
      <c r="K2257" s="2" t="s">
        <v>21</v>
      </c>
      <c r="L2257" s="7">
        <v>51.2</v>
      </c>
      <c r="M2257" s="2" t="str">
        <f>_xlfn.IFS(TelecomData[[#This Row],[TenureMonths]]&lt;=12, "0-1 Year", TelecomData[[#This Row],[TenureMonths]]&lt;=36, "1-3 Years", TelecomData[[#This Row],[TenureMonths]]&gt;36, "3+ Years")</f>
        <v>0-1 Year</v>
      </c>
      <c r="N2257" s="2" t="str">
        <f>IF(TelecomData[[#This Row],[CleanedTotalCharges]]&gt;=2500,"High Spend", "Standard Spend")</f>
        <v>Standard Spend</v>
      </c>
    </row>
    <row r="2258" spans="1:14" x14ac:dyDescent="0.3">
      <c r="A2258" s="1" t="s">
        <v>2282</v>
      </c>
      <c r="B2258" s="2" t="s">
        <v>12</v>
      </c>
      <c r="C2258" s="2" t="s">
        <v>20</v>
      </c>
      <c r="D2258" s="2">
        <v>15</v>
      </c>
      <c r="E2258" s="2" t="s">
        <v>14</v>
      </c>
      <c r="F2258" s="2" t="s">
        <v>16</v>
      </c>
      <c r="G2258" s="7">
        <v>65.599999999999994</v>
      </c>
      <c r="H2258" s="7">
        <v>1010</v>
      </c>
      <c r="I2258" s="2" t="s">
        <v>15</v>
      </c>
      <c r="J2258" s="2" t="s">
        <v>15</v>
      </c>
      <c r="K2258" s="2" t="s">
        <v>29</v>
      </c>
      <c r="L2258" s="7">
        <v>1010</v>
      </c>
      <c r="M2258" s="2" t="str">
        <f>_xlfn.IFS(TelecomData[[#This Row],[TenureMonths]]&lt;=12, "0-1 Year", TelecomData[[#This Row],[TenureMonths]]&lt;=36, "1-3 Years", TelecomData[[#This Row],[TenureMonths]]&gt;36, "3+ Years")</f>
        <v>1-3 Years</v>
      </c>
      <c r="N2258" s="2" t="str">
        <f>IF(TelecomData[[#This Row],[CleanedTotalCharges]]&gt;=2500,"High Spend", "Standard Spend")</f>
        <v>Standard Spend</v>
      </c>
    </row>
    <row r="2259" spans="1:14" x14ac:dyDescent="0.3">
      <c r="A2259" s="1" t="s">
        <v>2283</v>
      </c>
      <c r="B2259" s="2" t="s">
        <v>12</v>
      </c>
      <c r="C2259" s="2" t="s">
        <v>20</v>
      </c>
      <c r="D2259" s="2">
        <v>60</v>
      </c>
      <c r="E2259" s="2" t="s">
        <v>14</v>
      </c>
      <c r="F2259" s="2" t="s">
        <v>16</v>
      </c>
      <c r="G2259" s="7">
        <v>80.55</v>
      </c>
      <c r="H2259" s="7">
        <v>4847.05</v>
      </c>
      <c r="I2259" s="2" t="s">
        <v>15</v>
      </c>
      <c r="J2259" s="2" t="s">
        <v>15</v>
      </c>
      <c r="K2259" s="2" t="s">
        <v>29</v>
      </c>
      <c r="L2259" s="7">
        <v>4847.05</v>
      </c>
      <c r="M2259" s="2" t="str">
        <f>_xlfn.IFS(TelecomData[[#This Row],[TenureMonths]]&lt;=12, "0-1 Year", TelecomData[[#This Row],[TenureMonths]]&lt;=36, "1-3 Years", TelecomData[[#This Row],[TenureMonths]]&gt;36, "3+ Years")</f>
        <v>3+ Years</v>
      </c>
      <c r="N2259" s="2" t="str">
        <f>IF(TelecomData[[#This Row],[CleanedTotalCharges]]&gt;=2500,"High Spend", "Standard Spend")</f>
        <v>High Spend</v>
      </c>
    </row>
    <row r="2260" spans="1:14" x14ac:dyDescent="0.3">
      <c r="A2260" s="1" t="s">
        <v>2284</v>
      </c>
      <c r="B2260" s="2" t="s">
        <v>19</v>
      </c>
      <c r="C2260" s="2" t="s">
        <v>20</v>
      </c>
      <c r="D2260" s="2">
        <v>56</v>
      </c>
      <c r="E2260" s="2" t="s">
        <v>14</v>
      </c>
      <c r="F2260" s="2" t="s">
        <v>15</v>
      </c>
      <c r="G2260" s="7">
        <v>52.7</v>
      </c>
      <c r="H2260" s="7">
        <v>3019.7</v>
      </c>
      <c r="I2260" s="2" t="s">
        <v>15</v>
      </c>
      <c r="J2260" s="2" t="s">
        <v>15</v>
      </c>
      <c r="K2260" s="2" t="s">
        <v>21</v>
      </c>
      <c r="L2260" s="7">
        <v>3019.7</v>
      </c>
      <c r="M2260" s="2" t="str">
        <f>_xlfn.IFS(TelecomData[[#This Row],[TenureMonths]]&lt;=12, "0-1 Year", TelecomData[[#This Row],[TenureMonths]]&lt;=36, "1-3 Years", TelecomData[[#This Row],[TenureMonths]]&gt;36, "3+ Years")</f>
        <v>3+ Years</v>
      </c>
      <c r="N2260" s="2" t="str">
        <f>IF(TelecomData[[#This Row],[CleanedTotalCharges]]&gt;=2500,"High Spend", "Standard Spend")</f>
        <v>High Spend</v>
      </c>
    </row>
    <row r="2261" spans="1:14" x14ac:dyDescent="0.3">
      <c r="A2261" s="1" t="s">
        <v>2285</v>
      </c>
      <c r="B2261" s="2" t="s">
        <v>12</v>
      </c>
      <c r="C2261" s="2" t="s">
        <v>35</v>
      </c>
      <c r="D2261" s="2">
        <v>8</v>
      </c>
      <c r="E2261" s="2" t="s">
        <v>15</v>
      </c>
      <c r="F2261" s="2" t="s">
        <v>36</v>
      </c>
      <c r="G2261" s="7">
        <v>20.85</v>
      </c>
      <c r="H2261" s="7">
        <v>161.65</v>
      </c>
      <c r="I2261" s="2" t="s">
        <v>15</v>
      </c>
      <c r="J2261" s="2" t="s">
        <v>15</v>
      </c>
      <c r="K2261" s="2" t="s">
        <v>21</v>
      </c>
      <c r="L2261" s="7">
        <v>161.65</v>
      </c>
      <c r="M2261" s="2" t="str">
        <f>_xlfn.IFS(TelecomData[[#This Row],[TenureMonths]]&lt;=12, "0-1 Year", TelecomData[[#This Row],[TenureMonths]]&lt;=36, "1-3 Years", TelecomData[[#This Row],[TenureMonths]]&gt;36, "3+ Years")</f>
        <v>0-1 Year</v>
      </c>
      <c r="N2261" s="2" t="str">
        <f>IF(TelecomData[[#This Row],[CleanedTotalCharges]]&gt;=2500,"High Spend", "Standard Spend")</f>
        <v>Standard Spend</v>
      </c>
    </row>
    <row r="2262" spans="1:14" x14ac:dyDescent="0.3">
      <c r="A2262" s="1" t="s">
        <v>2286</v>
      </c>
      <c r="B2262" s="2" t="s">
        <v>12</v>
      </c>
      <c r="C2262" s="2" t="s">
        <v>13</v>
      </c>
      <c r="D2262" s="2">
        <v>3</v>
      </c>
      <c r="E2262" s="2" t="s">
        <v>26</v>
      </c>
      <c r="F2262" s="2" t="s">
        <v>16</v>
      </c>
      <c r="G2262" s="7">
        <v>80.099999999999994</v>
      </c>
      <c r="H2262" s="7">
        <v>217.55</v>
      </c>
      <c r="I2262" s="2" t="s">
        <v>16</v>
      </c>
      <c r="J2262" s="2" t="s">
        <v>15</v>
      </c>
      <c r="K2262" s="2" t="s">
        <v>29</v>
      </c>
      <c r="L2262" s="7">
        <v>217.55</v>
      </c>
      <c r="M2262" s="2" t="str">
        <f>_xlfn.IFS(TelecomData[[#This Row],[TenureMonths]]&lt;=12, "0-1 Year", TelecomData[[#This Row],[TenureMonths]]&lt;=36, "1-3 Years", TelecomData[[#This Row],[TenureMonths]]&gt;36, "3+ Years")</f>
        <v>0-1 Year</v>
      </c>
      <c r="N2262" s="2" t="str">
        <f>IF(TelecomData[[#This Row],[CleanedTotalCharges]]&gt;=2500,"High Spend", "Standard Spend")</f>
        <v>Standard Spend</v>
      </c>
    </row>
    <row r="2263" spans="1:14" x14ac:dyDescent="0.3">
      <c r="A2263" s="1" t="s">
        <v>2287</v>
      </c>
      <c r="B2263" s="2" t="s">
        <v>12</v>
      </c>
      <c r="C2263" s="2" t="s">
        <v>13</v>
      </c>
      <c r="D2263" s="2">
        <v>49</v>
      </c>
      <c r="E2263" s="2" t="s">
        <v>14</v>
      </c>
      <c r="F2263" s="2" t="s">
        <v>15</v>
      </c>
      <c r="G2263" s="7">
        <v>52.15</v>
      </c>
      <c r="H2263" s="7">
        <v>2583.75</v>
      </c>
      <c r="I2263" s="2" t="s">
        <v>15</v>
      </c>
      <c r="J2263" s="2" t="s">
        <v>16</v>
      </c>
      <c r="K2263" s="2" t="s">
        <v>29</v>
      </c>
      <c r="L2263" s="7">
        <v>2583.75</v>
      </c>
      <c r="M2263" s="2" t="str">
        <f>_xlfn.IFS(TelecomData[[#This Row],[TenureMonths]]&lt;=12, "0-1 Year", TelecomData[[#This Row],[TenureMonths]]&lt;=36, "1-3 Years", TelecomData[[#This Row],[TenureMonths]]&gt;36, "3+ Years")</f>
        <v>3+ Years</v>
      </c>
      <c r="N2263" s="2" t="str">
        <f>IF(TelecomData[[#This Row],[CleanedTotalCharges]]&gt;=2500,"High Spend", "Standard Spend")</f>
        <v>High Spend</v>
      </c>
    </row>
    <row r="2264" spans="1:14" x14ac:dyDescent="0.3">
      <c r="A2264" s="1" t="s">
        <v>2288</v>
      </c>
      <c r="B2264" s="2" t="s">
        <v>12</v>
      </c>
      <c r="C2264" s="2" t="s">
        <v>13</v>
      </c>
      <c r="D2264" s="2">
        <v>2</v>
      </c>
      <c r="E2264" s="2" t="s">
        <v>26</v>
      </c>
      <c r="F2264" s="2" t="s">
        <v>15</v>
      </c>
      <c r="G2264" s="7">
        <v>80.2</v>
      </c>
      <c r="H2264" s="7">
        <v>146.05000000000001</v>
      </c>
      <c r="I2264" s="2" t="s">
        <v>16</v>
      </c>
      <c r="J2264" s="2" t="s">
        <v>16</v>
      </c>
      <c r="K2264" s="2" t="s">
        <v>17</v>
      </c>
      <c r="L2264" s="7">
        <v>146.05000000000001</v>
      </c>
      <c r="M2264" s="2" t="str">
        <f>_xlfn.IFS(TelecomData[[#This Row],[TenureMonths]]&lt;=12, "0-1 Year", TelecomData[[#This Row],[TenureMonths]]&lt;=36, "1-3 Years", TelecomData[[#This Row],[TenureMonths]]&gt;36, "3+ Years")</f>
        <v>0-1 Year</v>
      </c>
      <c r="N2264" s="2" t="str">
        <f>IF(TelecomData[[#This Row],[CleanedTotalCharges]]&gt;=2500,"High Spend", "Standard Spend")</f>
        <v>Standard Spend</v>
      </c>
    </row>
    <row r="2265" spans="1:14" x14ac:dyDescent="0.3">
      <c r="A2265" s="1" t="s">
        <v>2289</v>
      </c>
      <c r="B2265" s="2" t="s">
        <v>12</v>
      </c>
      <c r="C2265" s="2" t="s">
        <v>13</v>
      </c>
      <c r="D2265" s="2">
        <v>6</v>
      </c>
      <c r="E2265" s="2" t="s">
        <v>26</v>
      </c>
      <c r="F2265" s="2" t="s">
        <v>16</v>
      </c>
      <c r="G2265" s="7">
        <v>98.15</v>
      </c>
      <c r="H2265" s="7">
        <v>567.45000000000005</v>
      </c>
      <c r="I2265" s="2" t="s">
        <v>16</v>
      </c>
      <c r="J2265" s="2" t="s">
        <v>16</v>
      </c>
      <c r="K2265" s="2" t="s">
        <v>24</v>
      </c>
      <c r="L2265" s="7">
        <v>567.45000000000005</v>
      </c>
      <c r="M2265" s="2" t="str">
        <f>_xlfn.IFS(TelecomData[[#This Row],[TenureMonths]]&lt;=12, "0-1 Year", TelecomData[[#This Row],[TenureMonths]]&lt;=36, "1-3 Years", TelecomData[[#This Row],[TenureMonths]]&gt;36, "3+ Years")</f>
        <v>0-1 Year</v>
      </c>
      <c r="N2265" s="2" t="str">
        <f>IF(TelecomData[[#This Row],[CleanedTotalCharges]]&gt;=2500,"High Spend", "Standard Spend")</f>
        <v>Standard Spend</v>
      </c>
    </row>
    <row r="2266" spans="1:14" x14ac:dyDescent="0.3">
      <c r="A2266" s="1" t="s">
        <v>2290</v>
      </c>
      <c r="B2266" s="2" t="s">
        <v>19</v>
      </c>
      <c r="C2266" s="2" t="s">
        <v>35</v>
      </c>
      <c r="D2266" s="2">
        <v>70</v>
      </c>
      <c r="E2266" s="2" t="s">
        <v>26</v>
      </c>
      <c r="F2266" s="2" t="s">
        <v>16</v>
      </c>
      <c r="G2266" s="7">
        <v>114.95</v>
      </c>
      <c r="H2266" s="7">
        <v>7711.25</v>
      </c>
      <c r="I2266" s="2" t="s">
        <v>15</v>
      </c>
      <c r="J2266" s="2" t="s">
        <v>16</v>
      </c>
      <c r="K2266" s="2" t="s">
        <v>24</v>
      </c>
      <c r="L2266" s="7">
        <v>7711.25</v>
      </c>
      <c r="M2266" s="2" t="str">
        <f>_xlfn.IFS(TelecomData[[#This Row],[TenureMonths]]&lt;=12, "0-1 Year", TelecomData[[#This Row],[TenureMonths]]&lt;=36, "1-3 Years", TelecomData[[#This Row],[TenureMonths]]&gt;36, "3+ Years")</f>
        <v>3+ Years</v>
      </c>
      <c r="N2266" s="2" t="str">
        <f>IF(TelecomData[[#This Row],[CleanedTotalCharges]]&gt;=2500,"High Spend", "Standard Spend")</f>
        <v>High Spend</v>
      </c>
    </row>
    <row r="2267" spans="1:14" x14ac:dyDescent="0.3">
      <c r="A2267" s="1" t="s">
        <v>2291</v>
      </c>
      <c r="B2267" s="2" t="s">
        <v>19</v>
      </c>
      <c r="C2267" s="2" t="s">
        <v>13</v>
      </c>
      <c r="D2267" s="2">
        <v>12</v>
      </c>
      <c r="E2267" s="2" t="s">
        <v>26</v>
      </c>
      <c r="F2267" s="2" t="s">
        <v>16</v>
      </c>
      <c r="G2267" s="7">
        <v>112.95</v>
      </c>
      <c r="H2267" s="7">
        <v>1384.75</v>
      </c>
      <c r="I2267" s="2" t="s">
        <v>16</v>
      </c>
      <c r="J2267" s="2" t="s">
        <v>16</v>
      </c>
      <c r="K2267" s="2" t="s">
        <v>21</v>
      </c>
      <c r="L2267" s="7">
        <v>1384.75</v>
      </c>
      <c r="M2267" s="2" t="str">
        <f>_xlfn.IFS(TelecomData[[#This Row],[TenureMonths]]&lt;=12, "0-1 Year", TelecomData[[#This Row],[TenureMonths]]&lt;=36, "1-3 Years", TelecomData[[#This Row],[TenureMonths]]&gt;36, "3+ Years")</f>
        <v>0-1 Year</v>
      </c>
      <c r="N2267" s="2" t="str">
        <f>IF(TelecomData[[#This Row],[CleanedTotalCharges]]&gt;=2500,"High Spend", "Standard Spend")</f>
        <v>Standard Spend</v>
      </c>
    </row>
    <row r="2268" spans="1:14" x14ac:dyDescent="0.3">
      <c r="A2268" s="1" t="s">
        <v>2292</v>
      </c>
      <c r="B2268" s="2" t="s">
        <v>19</v>
      </c>
      <c r="C2268" s="2" t="s">
        <v>20</v>
      </c>
      <c r="D2268" s="2">
        <v>52</v>
      </c>
      <c r="E2268" s="2" t="s">
        <v>26</v>
      </c>
      <c r="F2268" s="2" t="s">
        <v>16</v>
      </c>
      <c r="G2268" s="7">
        <v>104.45</v>
      </c>
      <c r="H2268" s="7">
        <v>5481.25</v>
      </c>
      <c r="I2268" s="2" t="s">
        <v>15</v>
      </c>
      <c r="J2268" s="2" t="s">
        <v>16</v>
      </c>
      <c r="K2268" s="2" t="s">
        <v>24</v>
      </c>
      <c r="L2268" s="7">
        <v>5481.25</v>
      </c>
      <c r="M2268" s="2" t="str">
        <f>_xlfn.IFS(TelecomData[[#This Row],[TenureMonths]]&lt;=12, "0-1 Year", TelecomData[[#This Row],[TenureMonths]]&lt;=36, "1-3 Years", TelecomData[[#This Row],[TenureMonths]]&gt;36, "3+ Years")</f>
        <v>3+ Years</v>
      </c>
      <c r="N2268" s="2" t="str">
        <f>IF(TelecomData[[#This Row],[CleanedTotalCharges]]&gt;=2500,"High Spend", "Standard Spend")</f>
        <v>High Spend</v>
      </c>
    </row>
    <row r="2269" spans="1:14" x14ac:dyDescent="0.3">
      <c r="A2269" s="1" t="s">
        <v>2293</v>
      </c>
      <c r="B2269" s="2" t="s">
        <v>12</v>
      </c>
      <c r="C2269" s="2" t="s">
        <v>35</v>
      </c>
      <c r="D2269" s="2">
        <v>72</v>
      </c>
      <c r="E2269" s="2" t="s">
        <v>26</v>
      </c>
      <c r="F2269" s="2" t="s">
        <v>16</v>
      </c>
      <c r="G2269" s="7">
        <v>113.65</v>
      </c>
      <c r="H2269" s="7">
        <v>8124.2</v>
      </c>
      <c r="I2269" s="2" t="s">
        <v>15</v>
      </c>
      <c r="J2269" s="2" t="s">
        <v>16</v>
      </c>
      <c r="K2269" s="2" t="s">
        <v>29</v>
      </c>
      <c r="L2269" s="7">
        <v>8124.2</v>
      </c>
      <c r="M2269" s="2" t="str">
        <f>_xlfn.IFS(TelecomData[[#This Row],[TenureMonths]]&lt;=12, "0-1 Year", TelecomData[[#This Row],[TenureMonths]]&lt;=36, "1-3 Years", TelecomData[[#This Row],[TenureMonths]]&gt;36, "3+ Years")</f>
        <v>3+ Years</v>
      </c>
      <c r="N2269" s="2" t="str">
        <f>IF(TelecomData[[#This Row],[CleanedTotalCharges]]&gt;=2500,"High Spend", "Standard Spend")</f>
        <v>High Spend</v>
      </c>
    </row>
    <row r="2270" spans="1:14" x14ac:dyDescent="0.3">
      <c r="A2270" s="1" t="s">
        <v>2294</v>
      </c>
      <c r="B2270" s="2" t="s">
        <v>12</v>
      </c>
      <c r="C2270" s="2" t="s">
        <v>35</v>
      </c>
      <c r="D2270" s="2">
        <v>40</v>
      </c>
      <c r="E2270" s="2" t="s">
        <v>15</v>
      </c>
      <c r="F2270" s="2" t="s">
        <v>36</v>
      </c>
      <c r="G2270" s="7">
        <v>20.6</v>
      </c>
      <c r="H2270" s="7">
        <v>827.3</v>
      </c>
      <c r="I2270" s="2" t="s">
        <v>15</v>
      </c>
      <c r="J2270" s="2" t="s">
        <v>16</v>
      </c>
      <c r="K2270" s="2" t="s">
        <v>24</v>
      </c>
      <c r="L2270" s="7">
        <v>827.3</v>
      </c>
      <c r="M2270" s="2" t="str">
        <f>_xlfn.IFS(TelecomData[[#This Row],[TenureMonths]]&lt;=12, "0-1 Year", TelecomData[[#This Row],[TenureMonths]]&lt;=36, "1-3 Years", TelecomData[[#This Row],[TenureMonths]]&gt;36, "3+ Years")</f>
        <v>3+ Years</v>
      </c>
      <c r="N2270" s="2" t="str">
        <f>IF(TelecomData[[#This Row],[CleanedTotalCharges]]&gt;=2500,"High Spend", "Standard Spend")</f>
        <v>Standard Spend</v>
      </c>
    </row>
    <row r="2271" spans="1:14" x14ac:dyDescent="0.3">
      <c r="A2271" s="1" t="s">
        <v>2295</v>
      </c>
      <c r="B2271" s="2" t="s">
        <v>12</v>
      </c>
      <c r="C2271" s="2" t="s">
        <v>13</v>
      </c>
      <c r="D2271" s="2">
        <v>1</v>
      </c>
      <c r="E2271" s="2" t="s">
        <v>26</v>
      </c>
      <c r="F2271" s="2" t="s">
        <v>15</v>
      </c>
      <c r="G2271" s="7">
        <v>70.900000000000006</v>
      </c>
      <c r="H2271" s="7">
        <v>70.900000000000006</v>
      </c>
      <c r="I2271" s="2" t="s">
        <v>16</v>
      </c>
      <c r="J2271" s="2" t="s">
        <v>15</v>
      </c>
      <c r="K2271" s="2" t="s">
        <v>21</v>
      </c>
      <c r="L2271" s="7">
        <v>70.900000000000006</v>
      </c>
      <c r="M2271" s="2" t="str">
        <f>_xlfn.IFS(TelecomData[[#This Row],[TenureMonths]]&lt;=12, "0-1 Year", TelecomData[[#This Row],[TenureMonths]]&lt;=36, "1-3 Years", TelecomData[[#This Row],[TenureMonths]]&gt;36, "3+ Years")</f>
        <v>0-1 Year</v>
      </c>
      <c r="N2271" s="2" t="str">
        <f>IF(TelecomData[[#This Row],[CleanedTotalCharges]]&gt;=2500,"High Spend", "Standard Spend")</f>
        <v>Standard Spend</v>
      </c>
    </row>
    <row r="2272" spans="1:14" x14ac:dyDescent="0.3">
      <c r="A2272" s="1" t="s">
        <v>2296</v>
      </c>
      <c r="B2272" s="2" t="s">
        <v>12</v>
      </c>
      <c r="C2272" s="2" t="s">
        <v>13</v>
      </c>
      <c r="D2272" s="2">
        <v>3</v>
      </c>
      <c r="E2272" s="2" t="s">
        <v>26</v>
      </c>
      <c r="F2272" s="2" t="s">
        <v>15</v>
      </c>
      <c r="G2272" s="7">
        <v>86.85</v>
      </c>
      <c r="H2272" s="7">
        <v>220.95</v>
      </c>
      <c r="I2272" s="2" t="s">
        <v>16</v>
      </c>
      <c r="J2272" s="2" t="s">
        <v>16</v>
      </c>
      <c r="K2272" s="2" t="s">
        <v>17</v>
      </c>
      <c r="L2272" s="7">
        <v>220.95</v>
      </c>
      <c r="M2272" s="2" t="str">
        <f>_xlfn.IFS(TelecomData[[#This Row],[TenureMonths]]&lt;=12, "0-1 Year", TelecomData[[#This Row],[TenureMonths]]&lt;=36, "1-3 Years", TelecomData[[#This Row],[TenureMonths]]&gt;36, "3+ Years")</f>
        <v>0-1 Year</v>
      </c>
      <c r="N2272" s="2" t="str">
        <f>IF(TelecomData[[#This Row],[CleanedTotalCharges]]&gt;=2500,"High Spend", "Standard Spend")</f>
        <v>Standard Spend</v>
      </c>
    </row>
    <row r="2273" spans="1:14" x14ac:dyDescent="0.3">
      <c r="A2273" s="1" t="s">
        <v>2297</v>
      </c>
      <c r="B2273" s="2" t="s">
        <v>12</v>
      </c>
      <c r="C2273" s="2" t="s">
        <v>13</v>
      </c>
      <c r="D2273" s="2">
        <v>40</v>
      </c>
      <c r="E2273" s="2" t="s">
        <v>26</v>
      </c>
      <c r="F2273" s="2" t="s">
        <v>15</v>
      </c>
      <c r="G2273" s="7">
        <v>91.55</v>
      </c>
      <c r="H2273" s="7">
        <v>3673.6</v>
      </c>
      <c r="I2273" s="2" t="s">
        <v>15</v>
      </c>
      <c r="J2273" s="2" t="s">
        <v>16</v>
      </c>
      <c r="K2273" s="2" t="s">
        <v>17</v>
      </c>
      <c r="L2273" s="7">
        <v>3673.6</v>
      </c>
      <c r="M2273" s="2" t="str">
        <f>_xlfn.IFS(TelecomData[[#This Row],[TenureMonths]]&lt;=12, "0-1 Year", TelecomData[[#This Row],[TenureMonths]]&lt;=36, "1-3 Years", TelecomData[[#This Row],[TenureMonths]]&gt;36, "3+ Years")</f>
        <v>3+ Years</v>
      </c>
      <c r="N2273" s="2" t="str">
        <f>IF(TelecomData[[#This Row],[CleanedTotalCharges]]&gt;=2500,"High Spend", "Standard Spend")</f>
        <v>High Spend</v>
      </c>
    </row>
    <row r="2274" spans="1:14" x14ac:dyDescent="0.3">
      <c r="A2274" s="1" t="s">
        <v>2298</v>
      </c>
      <c r="B2274" s="2" t="s">
        <v>19</v>
      </c>
      <c r="C2274" s="2" t="s">
        <v>13</v>
      </c>
      <c r="D2274" s="2">
        <v>1</v>
      </c>
      <c r="E2274" s="2" t="s">
        <v>14</v>
      </c>
      <c r="F2274" s="2" t="s">
        <v>15</v>
      </c>
      <c r="G2274" s="7">
        <v>49.85</v>
      </c>
      <c r="H2274" s="7">
        <v>49.85</v>
      </c>
      <c r="I2274" s="2" t="s">
        <v>15</v>
      </c>
      <c r="J2274" s="2" t="s">
        <v>16</v>
      </c>
      <c r="K2274" s="2" t="s">
        <v>17</v>
      </c>
      <c r="L2274" s="7">
        <v>49.85</v>
      </c>
      <c r="M2274" s="2" t="str">
        <f>_xlfn.IFS(TelecomData[[#This Row],[TenureMonths]]&lt;=12, "0-1 Year", TelecomData[[#This Row],[TenureMonths]]&lt;=36, "1-3 Years", TelecomData[[#This Row],[TenureMonths]]&gt;36, "3+ Years")</f>
        <v>0-1 Year</v>
      </c>
      <c r="N2274" s="2" t="str">
        <f>IF(TelecomData[[#This Row],[CleanedTotalCharges]]&gt;=2500,"High Spend", "Standard Spend")</f>
        <v>Standard Spend</v>
      </c>
    </row>
    <row r="2275" spans="1:14" x14ac:dyDescent="0.3">
      <c r="A2275" s="1" t="s">
        <v>2299</v>
      </c>
      <c r="B2275" s="2" t="s">
        <v>19</v>
      </c>
      <c r="C2275" s="2" t="s">
        <v>20</v>
      </c>
      <c r="D2275" s="2">
        <v>30</v>
      </c>
      <c r="E2275" s="2" t="s">
        <v>15</v>
      </c>
      <c r="F2275" s="2" t="s">
        <v>36</v>
      </c>
      <c r="G2275" s="7">
        <v>19.8</v>
      </c>
      <c r="H2275" s="7">
        <v>576.65</v>
      </c>
      <c r="I2275" s="2" t="s">
        <v>15</v>
      </c>
      <c r="J2275" s="2" t="s">
        <v>15</v>
      </c>
      <c r="K2275" s="2" t="s">
        <v>29</v>
      </c>
      <c r="L2275" s="7">
        <v>576.65</v>
      </c>
      <c r="M2275" s="2" t="str">
        <f>_xlfn.IFS(TelecomData[[#This Row],[TenureMonths]]&lt;=12, "0-1 Year", TelecomData[[#This Row],[TenureMonths]]&lt;=36, "1-3 Years", TelecomData[[#This Row],[TenureMonths]]&gt;36, "3+ Years")</f>
        <v>1-3 Years</v>
      </c>
      <c r="N2275" s="2" t="str">
        <f>IF(TelecomData[[#This Row],[CleanedTotalCharges]]&gt;=2500,"High Spend", "Standard Spend")</f>
        <v>Standard Spend</v>
      </c>
    </row>
    <row r="2276" spans="1:14" x14ac:dyDescent="0.3">
      <c r="A2276" s="1" t="s">
        <v>2300</v>
      </c>
      <c r="B2276" s="2" t="s">
        <v>19</v>
      </c>
      <c r="C2276" s="2" t="s">
        <v>13</v>
      </c>
      <c r="D2276" s="2">
        <v>23</v>
      </c>
      <c r="E2276" s="2" t="s">
        <v>26</v>
      </c>
      <c r="F2276" s="2" t="s">
        <v>16</v>
      </c>
      <c r="G2276" s="7">
        <v>99.85</v>
      </c>
      <c r="H2276" s="7">
        <v>2331.3000000000002</v>
      </c>
      <c r="I2276" s="2" t="s">
        <v>16</v>
      </c>
      <c r="J2276" s="2" t="s">
        <v>16</v>
      </c>
      <c r="K2276" s="2" t="s">
        <v>17</v>
      </c>
      <c r="L2276" s="7">
        <v>2331.3000000000002</v>
      </c>
      <c r="M2276" s="2" t="str">
        <f>_xlfn.IFS(TelecomData[[#This Row],[TenureMonths]]&lt;=12, "0-1 Year", TelecomData[[#This Row],[TenureMonths]]&lt;=36, "1-3 Years", TelecomData[[#This Row],[TenureMonths]]&gt;36, "3+ Years")</f>
        <v>1-3 Years</v>
      </c>
      <c r="N2276" s="2" t="str">
        <f>IF(TelecomData[[#This Row],[CleanedTotalCharges]]&gt;=2500,"High Spend", "Standard Spend")</f>
        <v>Standard Spend</v>
      </c>
    </row>
    <row r="2277" spans="1:14" x14ac:dyDescent="0.3">
      <c r="A2277" s="1" t="s">
        <v>2301</v>
      </c>
      <c r="B2277" s="2" t="s">
        <v>19</v>
      </c>
      <c r="C2277" s="2" t="s">
        <v>13</v>
      </c>
      <c r="D2277" s="2">
        <v>1</v>
      </c>
      <c r="E2277" s="2" t="s">
        <v>26</v>
      </c>
      <c r="F2277" s="2" t="s">
        <v>15</v>
      </c>
      <c r="G2277" s="7">
        <v>74.5</v>
      </c>
      <c r="H2277" s="7">
        <v>74.5</v>
      </c>
      <c r="I2277" s="2" t="s">
        <v>16</v>
      </c>
      <c r="J2277" s="2" t="s">
        <v>16</v>
      </c>
      <c r="K2277" s="2" t="s">
        <v>17</v>
      </c>
      <c r="L2277" s="7">
        <v>74.5</v>
      </c>
      <c r="M2277" s="2" t="str">
        <f>_xlfn.IFS(TelecomData[[#This Row],[TenureMonths]]&lt;=12, "0-1 Year", TelecomData[[#This Row],[TenureMonths]]&lt;=36, "1-3 Years", TelecomData[[#This Row],[TenureMonths]]&gt;36, "3+ Years")</f>
        <v>0-1 Year</v>
      </c>
      <c r="N2277" s="2" t="str">
        <f>IF(TelecomData[[#This Row],[CleanedTotalCharges]]&gt;=2500,"High Spend", "Standard Spend")</f>
        <v>Standard Spend</v>
      </c>
    </row>
    <row r="2278" spans="1:14" x14ac:dyDescent="0.3">
      <c r="A2278" s="1" t="s">
        <v>2302</v>
      </c>
      <c r="B2278" s="2" t="s">
        <v>12</v>
      </c>
      <c r="C2278" s="2" t="s">
        <v>13</v>
      </c>
      <c r="D2278" s="2">
        <v>44</v>
      </c>
      <c r="E2278" s="2" t="s">
        <v>26</v>
      </c>
      <c r="F2278" s="2" t="s">
        <v>16</v>
      </c>
      <c r="G2278" s="7">
        <v>104.15</v>
      </c>
      <c r="H2278" s="7">
        <v>4495.6499999999996</v>
      </c>
      <c r="I2278" s="2" t="s">
        <v>15</v>
      </c>
      <c r="J2278" s="2" t="s">
        <v>15</v>
      </c>
      <c r="K2278" s="2" t="s">
        <v>17</v>
      </c>
      <c r="L2278" s="7">
        <v>4495.6499999999996</v>
      </c>
      <c r="M2278" s="2" t="str">
        <f>_xlfn.IFS(TelecomData[[#This Row],[TenureMonths]]&lt;=12, "0-1 Year", TelecomData[[#This Row],[TenureMonths]]&lt;=36, "1-3 Years", TelecomData[[#This Row],[TenureMonths]]&gt;36, "3+ Years")</f>
        <v>3+ Years</v>
      </c>
      <c r="N2278" s="2" t="str">
        <f>IF(TelecomData[[#This Row],[CleanedTotalCharges]]&gt;=2500,"High Spend", "Standard Spend")</f>
        <v>High Spend</v>
      </c>
    </row>
    <row r="2279" spans="1:14" x14ac:dyDescent="0.3">
      <c r="A2279" s="1" t="s">
        <v>2303</v>
      </c>
      <c r="B2279" s="2" t="s">
        <v>19</v>
      </c>
      <c r="C2279" s="2" t="s">
        <v>13</v>
      </c>
      <c r="D2279" s="2">
        <v>65</v>
      </c>
      <c r="E2279" s="2" t="s">
        <v>26</v>
      </c>
      <c r="F2279" s="2" t="s">
        <v>16</v>
      </c>
      <c r="G2279" s="7">
        <v>109.15</v>
      </c>
      <c r="H2279" s="7">
        <v>6941.2</v>
      </c>
      <c r="I2279" s="2" t="s">
        <v>16</v>
      </c>
      <c r="J2279" s="2" t="s">
        <v>16</v>
      </c>
      <c r="K2279" s="2" t="s">
        <v>17</v>
      </c>
      <c r="L2279" s="7">
        <v>6941.2</v>
      </c>
      <c r="M2279" s="2" t="str">
        <f>_xlfn.IFS(TelecomData[[#This Row],[TenureMonths]]&lt;=12, "0-1 Year", TelecomData[[#This Row],[TenureMonths]]&lt;=36, "1-3 Years", TelecomData[[#This Row],[TenureMonths]]&gt;36, "3+ Years")</f>
        <v>3+ Years</v>
      </c>
      <c r="N2279" s="2" t="str">
        <f>IF(TelecomData[[#This Row],[CleanedTotalCharges]]&gt;=2500,"High Spend", "Standard Spend")</f>
        <v>High Spend</v>
      </c>
    </row>
    <row r="2280" spans="1:14" x14ac:dyDescent="0.3">
      <c r="A2280" s="1" t="s">
        <v>2304</v>
      </c>
      <c r="B2280" s="2" t="s">
        <v>12</v>
      </c>
      <c r="C2280" s="2" t="s">
        <v>13</v>
      </c>
      <c r="D2280" s="2">
        <v>7</v>
      </c>
      <c r="E2280" s="2" t="s">
        <v>14</v>
      </c>
      <c r="F2280" s="2" t="s">
        <v>15</v>
      </c>
      <c r="G2280" s="7">
        <v>48.2</v>
      </c>
      <c r="H2280" s="7">
        <v>340.35</v>
      </c>
      <c r="I2280" s="2" t="s">
        <v>15</v>
      </c>
      <c r="J2280" s="2" t="s">
        <v>16</v>
      </c>
      <c r="K2280" s="2" t="s">
        <v>17</v>
      </c>
      <c r="L2280" s="7">
        <v>340.35</v>
      </c>
      <c r="M2280" s="2" t="str">
        <f>_xlfn.IFS(TelecomData[[#This Row],[TenureMonths]]&lt;=12, "0-1 Year", TelecomData[[#This Row],[TenureMonths]]&lt;=36, "1-3 Years", TelecomData[[#This Row],[TenureMonths]]&gt;36, "3+ Years")</f>
        <v>0-1 Year</v>
      </c>
      <c r="N2280" s="2" t="str">
        <f>IF(TelecomData[[#This Row],[CleanedTotalCharges]]&gt;=2500,"High Spend", "Standard Spend")</f>
        <v>Standard Spend</v>
      </c>
    </row>
    <row r="2281" spans="1:14" x14ac:dyDescent="0.3">
      <c r="A2281" s="1" t="s">
        <v>2305</v>
      </c>
      <c r="B2281" s="2" t="s">
        <v>19</v>
      </c>
      <c r="C2281" s="2" t="s">
        <v>35</v>
      </c>
      <c r="D2281" s="2">
        <v>72</v>
      </c>
      <c r="E2281" s="2" t="s">
        <v>15</v>
      </c>
      <c r="F2281" s="2" t="s">
        <v>36</v>
      </c>
      <c r="G2281" s="7">
        <v>25.1</v>
      </c>
      <c r="H2281" s="7">
        <v>1789.9</v>
      </c>
      <c r="I2281" s="2" t="s">
        <v>15</v>
      </c>
      <c r="J2281" s="2" t="s">
        <v>16</v>
      </c>
      <c r="K2281" s="2" t="s">
        <v>29</v>
      </c>
      <c r="L2281" s="7">
        <v>1789.9</v>
      </c>
      <c r="M2281" s="2" t="str">
        <f>_xlfn.IFS(TelecomData[[#This Row],[TenureMonths]]&lt;=12, "0-1 Year", TelecomData[[#This Row],[TenureMonths]]&lt;=36, "1-3 Years", TelecomData[[#This Row],[TenureMonths]]&gt;36, "3+ Years")</f>
        <v>3+ Years</v>
      </c>
      <c r="N2281" s="2" t="str">
        <f>IF(TelecomData[[#This Row],[CleanedTotalCharges]]&gt;=2500,"High Spend", "Standard Spend")</f>
        <v>Standard Spend</v>
      </c>
    </row>
    <row r="2282" spans="1:14" x14ac:dyDescent="0.3">
      <c r="A2282" s="1" t="s">
        <v>2306</v>
      </c>
      <c r="B2282" s="2" t="s">
        <v>12</v>
      </c>
      <c r="C2282" s="2" t="s">
        <v>13</v>
      </c>
      <c r="D2282" s="2">
        <v>8</v>
      </c>
      <c r="E2282" s="2" t="s">
        <v>26</v>
      </c>
      <c r="F2282" s="2" t="s">
        <v>16</v>
      </c>
      <c r="G2282" s="7">
        <v>100.15</v>
      </c>
      <c r="H2282" s="7">
        <v>908.55</v>
      </c>
      <c r="I2282" s="2" t="s">
        <v>15</v>
      </c>
      <c r="J2282" s="2" t="s">
        <v>16</v>
      </c>
      <c r="K2282" s="2" t="s">
        <v>29</v>
      </c>
      <c r="L2282" s="7">
        <v>908.55</v>
      </c>
      <c r="M2282" s="2" t="str">
        <f>_xlfn.IFS(TelecomData[[#This Row],[TenureMonths]]&lt;=12, "0-1 Year", TelecomData[[#This Row],[TenureMonths]]&lt;=36, "1-3 Years", TelecomData[[#This Row],[TenureMonths]]&gt;36, "3+ Years")</f>
        <v>0-1 Year</v>
      </c>
      <c r="N2282" s="2" t="str">
        <f>IF(TelecomData[[#This Row],[CleanedTotalCharges]]&gt;=2500,"High Spend", "Standard Spend")</f>
        <v>Standard Spend</v>
      </c>
    </row>
    <row r="2283" spans="1:14" x14ac:dyDescent="0.3">
      <c r="A2283" s="1" t="s">
        <v>2307</v>
      </c>
      <c r="B2283" s="2" t="s">
        <v>12</v>
      </c>
      <c r="C2283" s="2" t="s">
        <v>13</v>
      </c>
      <c r="D2283" s="2">
        <v>16</v>
      </c>
      <c r="E2283" s="2" t="s">
        <v>14</v>
      </c>
      <c r="F2283" s="2" t="s">
        <v>15</v>
      </c>
      <c r="G2283" s="7">
        <v>65.2</v>
      </c>
      <c r="H2283" s="7">
        <v>1043.3499999999999</v>
      </c>
      <c r="I2283" s="2" t="s">
        <v>16</v>
      </c>
      <c r="J2283" s="2" t="s">
        <v>16</v>
      </c>
      <c r="K2283" s="2" t="s">
        <v>29</v>
      </c>
      <c r="L2283" s="7">
        <v>1043.3499999999999</v>
      </c>
      <c r="M2283" s="2" t="str">
        <f>_xlfn.IFS(TelecomData[[#This Row],[TenureMonths]]&lt;=12, "0-1 Year", TelecomData[[#This Row],[TenureMonths]]&lt;=36, "1-3 Years", TelecomData[[#This Row],[TenureMonths]]&gt;36, "3+ Years")</f>
        <v>1-3 Years</v>
      </c>
      <c r="N2283" s="2" t="str">
        <f>IF(TelecomData[[#This Row],[CleanedTotalCharges]]&gt;=2500,"High Spend", "Standard Spend")</f>
        <v>Standard Spend</v>
      </c>
    </row>
    <row r="2284" spans="1:14" x14ac:dyDescent="0.3">
      <c r="A2284" s="1" t="s">
        <v>2308</v>
      </c>
      <c r="B2284" s="2" t="s">
        <v>19</v>
      </c>
      <c r="C2284" s="2" t="s">
        <v>13</v>
      </c>
      <c r="D2284" s="2">
        <v>66</v>
      </c>
      <c r="E2284" s="2" t="s">
        <v>26</v>
      </c>
      <c r="F2284" s="2" t="s">
        <v>15</v>
      </c>
      <c r="G2284" s="7">
        <v>99.5</v>
      </c>
      <c r="H2284" s="7">
        <v>6822.15</v>
      </c>
      <c r="I2284" s="2" t="s">
        <v>16</v>
      </c>
      <c r="J2284" s="2" t="s">
        <v>16</v>
      </c>
      <c r="K2284" s="2" t="s">
        <v>29</v>
      </c>
      <c r="L2284" s="7">
        <v>6822.15</v>
      </c>
      <c r="M2284" s="2" t="str">
        <f>_xlfn.IFS(TelecomData[[#This Row],[TenureMonths]]&lt;=12, "0-1 Year", TelecomData[[#This Row],[TenureMonths]]&lt;=36, "1-3 Years", TelecomData[[#This Row],[TenureMonths]]&gt;36, "3+ Years")</f>
        <v>3+ Years</v>
      </c>
      <c r="N2284" s="2" t="str">
        <f>IF(TelecomData[[#This Row],[CleanedTotalCharges]]&gt;=2500,"High Spend", "Standard Spend")</f>
        <v>High Spend</v>
      </c>
    </row>
    <row r="2285" spans="1:14" x14ac:dyDescent="0.3">
      <c r="A2285" s="1" t="s">
        <v>2309</v>
      </c>
      <c r="B2285" s="2" t="s">
        <v>19</v>
      </c>
      <c r="C2285" s="2" t="s">
        <v>13</v>
      </c>
      <c r="D2285" s="2">
        <v>1</v>
      </c>
      <c r="E2285" s="2" t="s">
        <v>26</v>
      </c>
      <c r="F2285" s="2" t="s">
        <v>15</v>
      </c>
      <c r="G2285" s="7">
        <v>71.55</v>
      </c>
      <c r="H2285" s="7">
        <v>71.55</v>
      </c>
      <c r="I2285" s="2" t="s">
        <v>16</v>
      </c>
      <c r="J2285" s="2" t="s">
        <v>16</v>
      </c>
      <c r="K2285" s="2" t="s">
        <v>21</v>
      </c>
      <c r="L2285" s="7">
        <v>71.55</v>
      </c>
      <c r="M2285" s="2" t="str">
        <f>_xlfn.IFS(TelecomData[[#This Row],[TenureMonths]]&lt;=12, "0-1 Year", TelecomData[[#This Row],[TenureMonths]]&lt;=36, "1-3 Years", TelecomData[[#This Row],[TenureMonths]]&gt;36, "3+ Years")</f>
        <v>0-1 Year</v>
      </c>
      <c r="N2285" s="2" t="str">
        <f>IF(TelecomData[[#This Row],[CleanedTotalCharges]]&gt;=2500,"High Spend", "Standard Spend")</f>
        <v>Standard Spend</v>
      </c>
    </row>
    <row r="2286" spans="1:14" x14ac:dyDescent="0.3">
      <c r="A2286" s="1" t="s">
        <v>2310</v>
      </c>
      <c r="B2286" s="2" t="s">
        <v>19</v>
      </c>
      <c r="C2286" s="2" t="s">
        <v>13</v>
      </c>
      <c r="D2286" s="2">
        <v>3</v>
      </c>
      <c r="E2286" s="2" t="s">
        <v>14</v>
      </c>
      <c r="F2286" s="2" t="s">
        <v>15</v>
      </c>
      <c r="G2286" s="7">
        <v>55.9</v>
      </c>
      <c r="H2286" s="7">
        <v>157.55000000000001</v>
      </c>
      <c r="I2286" s="2" t="s">
        <v>15</v>
      </c>
      <c r="J2286" s="2" t="s">
        <v>15</v>
      </c>
      <c r="K2286" s="2" t="s">
        <v>21</v>
      </c>
      <c r="L2286" s="7">
        <v>157.55000000000001</v>
      </c>
      <c r="M2286" s="2" t="str">
        <f>_xlfn.IFS(TelecomData[[#This Row],[TenureMonths]]&lt;=12, "0-1 Year", TelecomData[[#This Row],[TenureMonths]]&lt;=36, "1-3 Years", TelecomData[[#This Row],[TenureMonths]]&gt;36, "3+ Years")</f>
        <v>0-1 Year</v>
      </c>
      <c r="N2286" s="2" t="str">
        <f>IF(TelecomData[[#This Row],[CleanedTotalCharges]]&gt;=2500,"High Spend", "Standard Spend")</f>
        <v>Standard Spend</v>
      </c>
    </row>
    <row r="2287" spans="1:14" x14ac:dyDescent="0.3">
      <c r="A2287" s="1" t="s">
        <v>2311</v>
      </c>
      <c r="B2287" s="2" t="s">
        <v>19</v>
      </c>
      <c r="C2287" s="2" t="s">
        <v>13</v>
      </c>
      <c r="D2287" s="2">
        <v>53</v>
      </c>
      <c r="E2287" s="2" t="s">
        <v>26</v>
      </c>
      <c r="F2287" s="2" t="s">
        <v>15</v>
      </c>
      <c r="G2287" s="7">
        <v>93.9</v>
      </c>
      <c r="H2287" s="7">
        <v>5029.2</v>
      </c>
      <c r="I2287" s="2" t="s">
        <v>16</v>
      </c>
      <c r="J2287" s="2" t="s">
        <v>15</v>
      </c>
      <c r="K2287" s="2" t="s">
        <v>17</v>
      </c>
      <c r="L2287" s="7">
        <v>5029.2</v>
      </c>
      <c r="M2287" s="2" t="str">
        <f>_xlfn.IFS(TelecomData[[#This Row],[TenureMonths]]&lt;=12, "0-1 Year", TelecomData[[#This Row],[TenureMonths]]&lt;=36, "1-3 Years", TelecomData[[#This Row],[TenureMonths]]&gt;36, "3+ Years")</f>
        <v>3+ Years</v>
      </c>
      <c r="N2287" s="2" t="str">
        <f>IF(TelecomData[[#This Row],[CleanedTotalCharges]]&gt;=2500,"High Spend", "Standard Spend")</f>
        <v>High Spend</v>
      </c>
    </row>
    <row r="2288" spans="1:14" x14ac:dyDescent="0.3">
      <c r="A2288" s="1" t="s">
        <v>2312</v>
      </c>
      <c r="B2288" s="2" t="s">
        <v>19</v>
      </c>
      <c r="C2288" s="2" t="s">
        <v>13</v>
      </c>
      <c r="D2288" s="2">
        <v>8</v>
      </c>
      <c r="E2288" s="2" t="s">
        <v>14</v>
      </c>
      <c r="F2288" s="2" t="s">
        <v>16</v>
      </c>
      <c r="G2288" s="7">
        <v>64.400000000000006</v>
      </c>
      <c r="H2288" s="7">
        <v>581.70000000000005</v>
      </c>
      <c r="I2288" s="2" t="s">
        <v>15</v>
      </c>
      <c r="J2288" s="2" t="s">
        <v>16</v>
      </c>
      <c r="K2288" s="2" t="s">
        <v>29</v>
      </c>
      <c r="L2288" s="7">
        <v>581.70000000000005</v>
      </c>
      <c r="M2288" s="2" t="str">
        <f>_xlfn.IFS(TelecomData[[#This Row],[TenureMonths]]&lt;=12, "0-1 Year", TelecomData[[#This Row],[TenureMonths]]&lt;=36, "1-3 Years", TelecomData[[#This Row],[TenureMonths]]&gt;36, "3+ Years")</f>
        <v>0-1 Year</v>
      </c>
      <c r="N2288" s="2" t="str">
        <f>IF(TelecomData[[#This Row],[CleanedTotalCharges]]&gt;=2500,"High Spend", "Standard Spend")</f>
        <v>Standard Spend</v>
      </c>
    </row>
    <row r="2289" spans="1:14" x14ac:dyDescent="0.3">
      <c r="A2289" s="1" t="s">
        <v>2313</v>
      </c>
      <c r="B2289" s="2" t="s">
        <v>19</v>
      </c>
      <c r="C2289" s="2" t="s">
        <v>35</v>
      </c>
      <c r="D2289" s="2">
        <v>69</v>
      </c>
      <c r="E2289" s="2" t="s">
        <v>26</v>
      </c>
      <c r="F2289" s="2" t="s">
        <v>16</v>
      </c>
      <c r="G2289" s="7">
        <v>108.4</v>
      </c>
      <c r="H2289" s="7">
        <v>7318.2</v>
      </c>
      <c r="I2289" s="2" t="s">
        <v>16</v>
      </c>
      <c r="J2289" s="2" t="s">
        <v>16</v>
      </c>
      <c r="K2289" s="2" t="s">
        <v>24</v>
      </c>
      <c r="L2289" s="7">
        <v>7318.2</v>
      </c>
      <c r="M2289" s="2" t="str">
        <f>_xlfn.IFS(TelecomData[[#This Row],[TenureMonths]]&lt;=12, "0-1 Year", TelecomData[[#This Row],[TenureMonths]]&lt;=36, "1-3 Years", TelecomData[[#This Row],[TenureMonths]]&gt;36, "3+ Years")</f>
        <v>3+ Years</v>
      </c>
      <c r="N2289" s="2" t="str">
        <f>IF(TelecomData[[#This Row],[CleanedTotalCharges]]&gt;=2500,"High Spend", "Standard Spend")</f>
        <v>High Spend</v>
      </c>
    </row>
    <row r="2290" spans="1:14" x14ac:dyDescent="0.3">
      <c r="A2290" s="1" t="s">
        <v>2314</v>
      </c>
      <c r="B2290" s="2" t="s">
        <v>12</v>
      </c>
      <c r="C2290" s="2" t="s">
        <v>13</v>
      </c>
      <c r="D2290" s="2">
        <v>5</v>
      </c>
      <c r="E2290" s="2" t="s">
        <v>26</v>
      </c>
      <c r="F2290" s="2" t="s">
        <v>15</v>
      </c>
      <c r="G2290" s="7">
        <v>85.3</v>
      </c>
      <c r="H2290" s="7">
        <v>420.45</v>
      </c>
      <c r="I2290" s="2" t="s">
        <v>15</v>
      </c>
      <c r="J2290" s="2" t="s">
        <v>16</v>
      </c>
      <c r="K2290" s="2" t="s">
        <v>21</v>
      </c>
      <c r="L2290" s="7">
        <v>420.45</v>
      </c>
      <c r="M2290" s="2" t="str">
        <f>_xlfn.IFS(TelecomData[[#This Row],[TenureMonths]]&lt;=12, "0-1 Year", TelecomData[[#This Row],[TenureMonths]]&lt;=36, "1-3 Years", TelecomData[[#This Row],[TenureMonths]]&gt;36, "3+ Years")</f>
        <v>0-1 Year</v>
      </c>
      <c r="N2290" s="2" t="str">
        <f>IF(TelecomData[[#This Row],[CleanedTotalCharges]]&gt;=2500,"High Spend", "Standard Spend")</f>
        <v>Standard Spend</v>
      </c>
    </row>
    <row r="2291" spans="1:14" x14ac:dyDescent="0.3">
      <c r="A2291" s="1" t="s">
        <v>2315</v>
      </c>
      <c r="B2291" s="2" t="s">
        <v>12</v>
      </c>
      <c r="C2291" s="2" t="s">
        <v>35</v>
      </c>
      <c r="D2291" s="2">
        <v>72</v>
      </c>
      <c r="E2291" s="2" t="s">
        <v>26</v>
      </c>
      <c r="F2291" s="2" t="s">
        <v>16</v>
      </c>
      <c r="G2291" s="7">
        <v>107.45</v>
      </c>
      <c r="H2291" s="7">
        <v>7576.7</v>
      </c>
      <c r="I2291" s="2" t="s">
        <v>15</v>
      </c>
      <c r="J2291" s="2" t="s">
        <v>15</v>
      </c>
      <c r="K2291" s="2" t="s">
        <v>21</v>
      </c>
      <c r="L2291" s="7">
        <v>7576.7</v>
      </c>
      <c r="M2291" s="2" t="str">
        <f>_xlfn.IFS(TelecomData[[#This Row],[TenureMonths]]&lt;=12, "0-1 Year", TelecomData[[#This Row],[TenureMonths]]&lt;=36, "1-3 Years", TelecomData[[#This Row],[TenureMonths]]&gt;36, "3+ Years")</f>
        <v>3+ Years</v>
      </c>
      <c r="N2291" s="2" t="str">
        <f>IF(TelecomData[[#This Row],[CleanedTotalCharges]]&gt;=2500,"High Spend", "Standard Spend")</f>
        <v>High Spend</v>
      </c>
    </row>
    <row r="2292" spans="1:14" x14ac:dyDescent="0.3">
      <c r="A2292" s="1" t="s">
        <v>2316</v>
      </c>
      <c r="B2292" s="2" t="s">
        <v>12</v>
      </c>
      <c r="C2292" s="2" t="s">
        <v>13</v>
      </c>
      <c r="D2292" s="2">
        <v>13</v>
      </c>
      <c r="E2292" s="2" t="s">
        <v>14</v>
      </c>
      <c r="F2292" s="2" t="s">
        <v>15</v>
      </c>
      <c r="G2292" s="7">
        <v>48.75</v>
      </c>
      <c r="H2292" s="7">
        <v>633.4</v>
      </c>
      <c r="I2292" s="2" t="s">
        <v>16</v>
      </c>
      <c r="J2292" s="2" t="s">
        <v>16</v>
      </c>
      <c r="K2292" s="2" t="s">
        <v>24</v>
      </c>
      <c r="L2292" s="7">
        <v>633.4</v>
      </c>
      <c r="M2292" s="2" t="str">
        <f>_xlfn.IFS(TelecomData[[#This Row],[TenureMonths]]&lt;=12, "0-1 Year", TelecomData[[#This Row],[TenureMonths]]&lt;=36, "1-3 Years", TelecomData[[#This Row],[TenureMonths]]&gt;36, "3+ Years")</f>
        <v>1-3 Years</v>
      </c>
      <c r="N2292" s="2" t="str">
        <f>IF(TelecomData[[#This Row],[CleanedTotalCharges]]&gt;=2500,"High Spend", "Standard Spend")</f>
        <v>Standard Spend</v>
      </c>
    </row>
    <row r="2293" spans="1:14" x14ac:dyDescent="0.3">
      <c r="A2293" s="1" t="s">
        <v>2317</v>
      </c>
      <c r="B2293" s="2" t="s">
        <v>12</v>
      </c>
      <c r="C2293" s="2" t="s">
        <v>13</v>
      </c>
      <c r="D2293" s="2">
        <v>4</v>
      </c>
      <c r="E2293" s="2" t="s">
        <v>26</v>
      </c>
      <c r="F2293" s="2" t="s">
        <v>15</v>
      </c>
      <c r="G2293" s="7">
        <v>85.65</v>
      </c>
      <c r="H2293" s="7">
        <v>321.64999999999998</v>
      </c>
      <c r="I2293" s="2" t="s">
        <v>16</v>
      </c>
      <c r="J2293" s="2" t="s">
        <v>16</v>
      </c>
      <c r="K2293" s="2" t="s">
        <v>17</v>
      </c>
      <c r="L2293" s="7">
        <v>321.64999999999998</v>
      </c>
      <c r="M2293" s="2" t="str">
        <f>_xlfn.IFS(TelecomData[[#This Row],[TenureMonths]]&lt;=12, "0-1 Year", TelecomData[[#This Row],[TenureMonths]]&lt;=36, "1-3 Years", TelecomData[[#This Row],[TenureMonths]]&gt;36, "3+ Years")</f>
        <v>0-1 Year</v>
      </c>
      <c r="N2293" s="2" t="str">
        <f>IF(TelecomData[[#This Row],[CleanedTotalCharges]]&gt;=2500,"High Spend", "Standard Spend")</f>
        <v>Standard Spend</v>
      </c>
    </row>
    <row r="2294" spans="1:14" x14ac:dyDescent="0.3">
      <c r="A2294" s="1" t="s">
        <v>2318</v>
      </c>
      <c r="B2294" s="2" t="s">
        <v>12</v>
      </c>
      <c r="C2294" s="2" t="s">
        <v>35</v>
      </c>
      <c r="D2294" s="2">
        <v>54</v>
      </c>
      <c r="E2294" s="2" t="s">
        <v>14</v>
      </c>
      <c r="F2294" s="2" t="s">
        <v>16</v>
      </c>
      <c r="G2294" s="7">
        <v>91.3</v>
      </c>
      <c r="H2294" s="7">
        <v>4965</v>
      </c>
      <c r="I2294" s="2" t="s">
        <v>15</v>
      </c>
      <c r="J2294" s="2" t="s">
        <v>15</v>
      </c>
      <c r="K2294" s="2" t="s">
        <v>29</v>
      </c>
      <c r="L2294" s="7">
        <v>4965</v>
      </c>
      <c r="M2294" s="2" t="str">
        <f>_xlfn.IFS(TelecomData[[#This Row],[TenureMonths]]&lt;=12, "0-1 Year", TelecomData[[#This Row],[TenureMonths]]&lt;=36, "1-3 Years", TelecomData[[#This Row],[TenureMonths]]&gt;36, "3+ Years")</f>
        <v>3+ Years</v>
      </c>
      <c r="N2294" s="2" t="str">
        <f>IF(TelecomData[[#This Row],[CleanedTotalCharges]]&gt;=2500,"High Spend", "Standard Spend")</f>
        <v>High Spend</v>
      </c>
    </row>
    <row r="2295" spans="1:14" x14ac:dyDescent="0.3">
      <c r="A2295" s="1" t="s">
        <v>2319</v>
      </c>
      <c r="B2295" s="2" t="s">
        <v>19</v>
      </c>
      <c r="C2295" s="2" t="s">
        <v>35</v>
      </c>
      <c r="D2295" s="2">
        <v>72</v>
      </c>
      <c r="E2295" s="2" t="s">
        <v>14</v>
      </c>
      <c r="F2295" s="2" t="s">
        <v>16</v>
      </c>
      <c r="G2295" s="7">
        <v>85.95</v>
      </c>
      <c r="H2295" s="7">
        <v>6151.9</v>
      </c>
      <c r="I2295" s="2" t="s">
        <v>15</v>
      </c>
      <c r="J2295" s="2" t="s">
        <v>15</v>
      </c>
      <c r="K2295" s="2" t="s">
        <v>24</v>
      </c>
      <c r="L2295" s="7">
        <v>6151.9</v>
      </c>
      <c r="M2295" s="2" t="str">
        <f>_xlfn.IFS(TelecomData[[#This Row],[TenureMonths]]&lt;=12, "0-1 Year", TelecomData[[#This Row],[TenureMonths]]&lt;=36, "1-3 Years", TelecomData[[#This Row],[TenureMonths]]&gt;36, "3+ Years")</f>
        <v>3+ Years</v>
      </c>
      <c r="N2295" s="2" t="str">
        <f>IF(TelecomData[[#This Row],[CleanedTotalCharges]]&gt;=2500,"High Spend", "Standard Spend")</f>
        <v>High Spend</v>
      </c>
    </row>
    <row r="2296" spans="1:14" x14ac:dyDescent="0.3">
      <c r="A2296" s="1" t="s">
        <v>2320</v>
      </c>
      <c r="B2296" s="2" t="s">
        <v>19</v>
      </c>
      <c r="C2296" s="2" t="s">
        <v>13</v>
      </c>
      <c r="D2296" s="2">
        <v>12</v>
      </c>
      <c r="E2296" s="2" t="s">
        <v>26</v>
      </c>
      <c r="F2296" s="2" t="s">
        <v>15</v>
      </c>
      <c r="G2296" s="7">
        <v>106.7</v>
      </c>
      <c r="H2296" s="7">
        <v>1253.9000000000001</v>
      </c>
      <c r="I2296" s="2" t="s">
        <v>16</v>
      </c>
      <c r="J2296" s="2" t="s">
        <v>16</v>
      </c>
      <c r="K2296" s="2" t="s">
        <v>17</v>
      </c>
      <c r="L2296" s="7">
        <v>1253.9000000000001</v>
      </c>
      <c r="M2296" s="2" t="str">
        <f>_xlfn.IFS(TelecomData[[#This Row],[TenureMonths]]&lt;=12, "0-1 Year", TelecomData[[#This Row],[TenureMonths]]&lt;=36, "1-3 Years", TelecomData[[#This Row],[TenureMonths]]&gt;36, "3+ Years")</f>
        <v>0-1 Year</v>
      </c>
      <c r="N2296" s="2" t="str">
        <f>IF(TelecomData[[#This Row],[CleanedTotalCharges]]&gt;=2500,"High Spend", "Standard Spend")</f>
        <v>Standard Spend</v>
      </c>
    </row>
    <row r="2297" spans="1:14" x14ac:dyDescent="0.3">
      <c r="A2297" s="1" t="s">
        <v>2321</v>
      </c>
      <c r="B2297" s="2" t="s">
        <v>19</v>
      </c>
      <c r="C2297" s="2" t="s">
        <v>13</v>
      </c>
      <c r="D2297" s="2">
        <v>1</v>
      </c>
      <c r="E2297" s="2" t="s">
        <v>14</v>
      </c>
      <c r="F2297" s="2" t="s">
        <v>15</v>
      </c>
      <c r="G2297" s="7">
        <v>25.15</v>
      </c>
      <c r="H2297" s="7">
        <v>25.15</v>
      </c>
      <c r="I2297" s="2" t="s">
        <v>16</v>
      </c>
      <c r="J2297" s="2" t="s">
        <v>16</v>
      </c>
      <c r="K2297" s="2" t="s">
        <v>17</v>
      </c>
      <c r="L2297" s="7">
        <v>25.15</v>
      </c>
      <c r="M2297" s="2" t="str">
        <f>_xlfn.IFS(TelecomData[[#This Row],[TenureMonths]]&lt;=12, "0-1 Year", TelecomData[[#This Row],[TenureMonths]]&lt;=36, "1-3 Years", TelecomData[[#This Row],[TenureMonths]]&gt;36, "3+ Years")</f>
        <v>0-1 Year</v>
      </c>
      <c r="N2297" s="2" t="str">
        <f>IF(TelecomData[[#This Row],[CleanedTotalCharges]]&gt;=2500,"High Spend", "Standard Spend")</f>
        <v>Standard Spend</v>
      </c>
    </row>
    <row r="2298" spans="1:14" x14ac:dyDescent="0.3">
      <c r="A2298" s="1" t="s">
        <v>2322</v>
      </c>
      <c r="B2298" s="2" t="s">
        <v>19</v>
      </c>
      <c r="C2298" s="2" t="s">
        <v>13</v>
      </c>
      <c r="D2298" s="2">
        <v>1</v>
      </c>
      <c r="E2298" s="2" t="s">
        <v>14</v>
      </c>
      <c r="F2298" s="2" t="s">
        <v>15</v>
      </c>
      <c r="G2298" s="7">
        <v>45.2</v>
      </c>
      <c r="H2298" s="7">
        <v>45.2</v>
      </c>
      <c r="I2298" s="2" t="s">
        <v>15</v>
      </c>
      <c r="J2298" s="2" t="s">
        <v>15</v>
      </c>
      <c r="K2298" s="2" t="s">
        <v>17</v>
      </c>
      <c r="L2298" s="7">
        <v>45.2</v>
      </c>
      <c r="M2298" s="2" t="str">
        <f>_xlfn.IFS(TelecomData[[#This Row],[TenureMonths]]&lt;=12, "0-1 Year", TelecomData[[#This Row],[TenureMonths]]&lt;=36, "1-3 Years", TelecomData[[#This Row],[TenureMonths]]&gt;36, "3+ Years")</f>
        <v>0-1 Year</v>
      </c>
      <c r="N2298" s="2" t="str">
        <f>IF(TelecomData[[#This Row],[CleanedTotalCharges]]&gt;=2500,"High Spend", "Standard Spend")</f>
        <v>Standard Spend</v>
      </c>
    </row>
    <row r="2299" spans="1:14" x14ac:dyDescent="0.3">
      <c r="A2299" s="1" t="s">
        <v>2323</v>
      </c>
      <c r="B2299" s="2" t="s">
        <v>12</v>
      </c>
      <c r="C2299" s="2" t="s">
        <v>20</v>
      </c>
      <c r="D2299" s="2">
        <v>54</v>
      </c>
      <c r="E2299" s="2" t="s">
        <v>26</v>
      </c>
      <c r="F2299" s="2" t="s">
        <v>16</v>
      </c>
      <c r="G2299" s="7">
        <v>110.35</v>
      </c>
      <c r="H2299" s="7">
        <v>5893.15</v>
      </c>
      <c r="I2299" s="2" t="s">
        <v>16</v>
      </c>
      <c r="J2299" s="2" t="s">
        <v>15</v>
      </c>
      <c r="K2299" s="2" t="s">
        <v>17</v>
      </c>
      <c r="L2299" s="7">
        <v>5893.15</v>
      </c>
      <c r="M2299" s="2" t="str">
        <f>_xlfn.IFS(TelecomData[[#This Row],[TenureMonths]]&lt;=12, "0-1 Year", TelecomData[[#This Row],[TenureMonths]]&lt;=36, "1-3 Years", TelecomData[[#This Row],[TenureMonths]]&gt;36, "3+ Years")</f>
        <v>3+ Years</v>
      </c>
      <c r="N2299" s="2" t="str">
        <f>IF(TelecomData[[#This Row],[CleanedTotalCharges]]&gt;=2500,"High Spend", "Standard Spend")</f>
        <v>High Spend</v>
      </c>
    </row>
    <row r="2300" spans="1:14" x14ac:dyDescent="0.3">
      <c r="A2300" s="1" t="s">
        <v>2324</v>
      </c>
      <c r="B2300" s="2" t="s">
        <v>19</v>
      </c>
      <c r="C2300" s="2" t="s">
        <v>35</v>
      </c>
      <c r="D2300" s="2">
        <v>69</v>
      </c>
      <c r="E2300" s="2" t="s">
        <v>26</v>
      </c>
      <c r="F2300" s="2" t="s">
        <v>15</v>
      </c>
      <c r="G2300" s="7">
        <v>79.2</v>
      </c>
      <c r="H2300" s="7">
        <v>5420.65</v>
      </c>
      <c r="I2300" s="2" t="s">
        <v>15</v>
      </c>
      <c r="J2300" s="2" t="s">
        <v>16</v>
      </c>
      <c r="K2300" s="2" t="s">
        <v>29</v>
      </c>
      <c r="L2300" s="7">
        <v>5420.65</v>
      </c>
      <c r="M2300" s="2" t="str">
        <f>_xlfn.IFS(TelecomData[[#This Row],[TenureMonths]]&lt;=12, "0-1 Year", TelecomData[[#This Row],[TenureMonths]]&lt;=36, "1-3 Years", TelecomData[[#This Row],[TenureMonths]]&gt;36, "3+ Years")</f>
        <v>3+ Years</v>
      </c>
      <c r="N2300" s="2" t="str">
        <f>IF(TelecomData[[#This Row],[CleanedTotalCharges]]&gt;=2500,"High Spend", "Standard Spend")</f>
        <v>High Spend</v>
      </c>
    </row>
    <row r="2301" spans="1:14" x14ac:dyDescent="0.3">
      <c r="A2301" s="1" t="s">
        <v>2325</v>
      </c>
      <c r="B2301" s="2" t="s">
        <v>12</v>
      </c>
      <c r="C2301" s="2" t="s">
        <v>35</v>
      </c>
      <c r="D2301" s="2">
        <v>48</v>
      </c>
      <c r="E2301" s="2" t="s">
        <v>14</v>
      </c>
      <c r="F2301" s="2" t="s">
        <v>15</v>
      </c>
      <c r="G2301" s="7">
        <v>55.5</v>
      </c>
      <c r="H2301" s="7">
        <v>2627.35</v>
      </c>
      <c r="I2301" s="2" t="s">
        <v>15</v>
      </c>
      <c r="J2301" s="2" t="s">
        <v>15</v>
      </c>
      <c r="K2301" s="2" t="s">
        <v>29</v>
      </c>
      <c r="L2301" s="7">
        <v>2627.35</v>
      </c>
      <c r="M2301" s="2" t="str">
        <f>_xlfn.IFS(TelecomData[[#This Row],[TenureMonths]]&lt;=12, "0-1 Year", TelecomData[[#This Row],[TenureMonths]]&lt;=36, "1-3 Years", TelecomData[[#This Row],[TenureMonths]]&gt;36, "3+ Years")</f>
        <v>3+ Years</v>
      </c>
      <c r="N2301" s="2" t="str">
        <f>IF(TelecomData[[#This Row],[CleanedTotalCharges]]&gt;=2500,"High Spend", "Standard Spend")</f>
        <v>High Spend</v>
      </c>
    </row>
    <row r="2302" spans="1:14" x14ac:dyDescent="0.3">
      <c r="A2302" s="1" t="s">
        <v>2326</v>
      </c>
      <c r="B2302" s="2" t="s">
        <v>12</v>
      </c>
      <c r="C2302" s="2" t="s">
        <v>20</v>
      </c>
      <c r="D2302" s="2">
        <v>48</v>
      </c>
      <c r="E2302" s="2" t="s">
        <v>26</v>
      </c>
      <c r="F2302" s="2" t="s">
        <v>15</v>
      </c>
      <c r="G2302" s="7">
        <v>103.25</v>
      </c>
      <c r="H2302" s="7">
        <v>5037.55</v>
      </c>
      <c r="I2302" s="2" t="s">
        <v>16</v>
      </c>
      <c r="J2302" s="2" t="s">
        <v>16</v>
      </c>
      <c r="K2302" s="2" t="s">
        <v>29</v>
      </c>
      <c r="L2302" s="7">
        <v>5037.55</v>
      </c>
      <c r="M2302" s="2" t="str">
        <f>_xlfn.IFS(TelecomData[[#This Row],[TenureMonths]]&lt;=12, "0-1 Year", TelecomData[[#This Row],[TenureMonths]]&lt;=36, "1-3 Years", TelecomData[[#This Row],[TenureMonths]]&gt;36, "3+ Years")</f>
        <v>3+ Years</v>
      </c>
      <c r="N2302" s="2" t="str">
        <f>IF(TelecomData[[#This Row],[CleanedTotalCharges]]&gt;=2500,"High Spend", "Standard Spend")</f>
        <v>High Spend</v>
      </c>
    </row>
    <row r="2303" spans="1:14" x14ac:dyDescent="0.3">
      <c r="A2303" s="1" t="s">
        <v>2327</v>
      </c>
      <c r="B2303" s="2" t="s">
        <v>12</v>
      </c>
      <c r="C2303" s="2" t="s">
        <v>13</v>
      </c>
      <c r="D2303" s="2">
        <v>8</v>
      </c>
      <c r="E2303" s="2" t="s">
        <v>26</v>
      </c>
      <c r="F2303" s="2" t="s">
        <v>16</v>
      </c>
      <c r="G2303" s="7">
        <v>90.25</v>
      </c>
      <c r="H2303" s="7">
        <v>743.75</v>
      </c>
      <c r="I2303" s="2" t="s">
        <v>15</v>
      </c>
      <c r="J2303" s="2" t="s">
        <v>16</v>
      </c>
      <c r="K2303" s="2" t="s">
        <v>17</v>
      </c>
      <c r="L2303" s="7">
        <v>743.75</v>
      </c>
      <c r="M2303" s="2" t="str">
        <f>_xlfn.IFS(TelecomData[[#This Row],[TenureMonths]]&lt;=12, "0-1 Year", TelecomData[[#This Row],[TenureMonths]]&lt;=36, "1-3 Years", TelecomData[[#This Row],[TenureMonths]]&gt;36, "3+ Years")</f>
        <v>0-1 Year</v>
      </c>
      <c r="N2303" s="2" t="str">
        <f>IF(TelecomData[[#This Row],[CleanedTotalCharges]]&gt;=2500,"High Spend", "Standard Spend")</f>
        <v>Standard Spend</v>
      </c>
    </row>
    <row r="2304" spans="1:14" x14ac:dyDescent="0.3">
      <c r="A2304" s="1" t="s">
        <v>2328</v>
      </c>
      <c r="B2304" s="2" t="s">
        <v>19</v>
      </c>
      <c r="C2304" s="2" t="s">
        <v>35</v>
      </c>
      <c r="D2304" s="2">
        <v>71</v>
      </c>
      <c r="E2304" s="2" t="s">
        <v>14</v>
      </c>
      <c r="F2304" s="2" t="s">
        <v>16</v>
      </c>
      <c r="G2304" s="7">
        <v>91.25</v>
      </c>
      <c r="H2304" s="7">
        <v>6589.6</v>
      </c>
      <c r="I2304" s="2" t="s">
        <v>15</v>
      </c>
      <c r="J2304" s="2" t="s">
        <v>16</v>
      </c>
      <c r="K2304" s="2" t="s">
        <v>21</v>
      </c>
      <c r="L2304" s="7">
        <v>6589.6</v>
      </c>
      <c r="M2304" s="2" t="str">
        <f>_xlfn.IFS(TelecomData[[#This Row],[TenureMonths]]&lt;=12, "0-1 Year", TelecomData[[#This Row],[TenureMonths]]&lt;=36, "1-3 Years", TelecomData[[#This Row],[TenureMonths]]&gt;36, "3+ Years")</f>
        <v>3+ Years</v>
      </c>
      <c r="N2304" s="2" t="str">
        <f>IF(TelecomData[[#This Row],[CleanedTotalCharges]]&gt;=2500,"High Spend", "Standard Spend")</f>
        <v>High Spend</v>
      </c>
    </row>
    <row r="2305" spans="1:14" x14ac:dyDescent="0.3">
      <c r="A2305" s="1" t="s">
        <v>2329</v>
      </c>
      <c r="B2305" s="2" t="s">
        <v>19</v>
      </c>
      <c r="C2305" s="2" t="s">
        <v>13</v>
      </c>
      <c r="D2305" s="2">
        <v>2</v>
      </c>
      <c r="E2305" s="2" t="s">
        <v>14</v>
      </c>
      <c r="F2305" s="2" t="s">
        <v>15</v>
      </c>
      <c r="G2305" s="7">
        <v>47.8</v>
      </c>
      <c r="H2305" s="7">
        <v>92.45</v>
      </c>
      <c r="I2305" s="2" t="s">
        <v>16</v>
      </c>
      <c r="J2305" s="2" t="s">
        <v>16</v>
      </c>
      <c r="K2305" s="2" t="s">
        <v>17</v>
      </c>
      <c r="L2305" s="7">
        <v>92.45</v>
      </c>
      <c r="M2305" s="2" t="str">
        <f>_xlfn.IFS(TelecomData[[#This Row],[TenureMonths]]&lt;=12, "0-1 Year", TelecomData[[#This Row],[TenureMonths]]&lt;=36, "1-3 Years", TelecomData[[#This Row],[TenureMonths]]&gt;36, "3+ Years")</f>
        <v>0-1 Year</v>
      </c>
      <c r="N2305" s="2" t="str">
        <f>IF(TelecomData[[#This Row],[CleanedTotalCharges]]&gt;=2500,"High Spend", "Standard Spend")</f>
        <v>Standard Spend</v>
      </c>
    </row>
    <row r="2306" spans="1:14" x14ac:dyDescent="0.3">
      <c r="A2306" s="1" t="s">
        <v>2330</v>
      </c>
      <c r="B2306" s="2" t="s">
        <v>19</v>
      </c>
      <c r="C2306" s="2" t="s">
        <v>20</v>
      </c>
      <c r="D2306" s="2">
        <v>67</v>
      </c>
      <c r="E2306" s="2" t="s">
        <v>26</v>
      </c>
      <c r="F2306" s="2" t="s">
        <v>15</v>
      </c>
      <c r="G2306" s="7">
        <v>100.9</v>
      </c>
      <c r="H2306" s="7">
        <v>6733.15</v>
      </c>
      <c r="I2306" s="2" t="s">
        <v>15</v>
      </c>
      <c r="J2306" s="2" t="s">
        <v>16</v>
      </c>
      <c r="K2306" s="2" t="s">
        <v>29</v>
      </c>
      <c r="L2306" s="7">
        <v>6733.15</v>
      </c>
      <c r="M2306" s="2" t="str">
        <f>_xlfn.IFS(TelecomData[[#This Row],[TenureMonths]]&lt;=12, "0-1 Year", TelecomData[[#This Row],[TenureMonths]]&lt;=36, "1-3 Years", TelecomData[[#This Row],[TenureMonths]]&gt;36, "3+ Years")</f>
        <v>3+ Years</v>
      </c>
      <c r="N2306" s="2" t="str">
        <f>IF(TelecomData[[#This Row],[CleanedTotalCharges]]&gt;=2500,"High Spend", "Standard Spend")</f>
        <v>High Spend</v>
      </c>
    </row>
    <row r="2307" spans="1:14" x14ac:dyDescent="0.3">
      <c r="A2307" s="1" t="s">
        <v>2331</v>
      </c>
      <c r="B2307" s="2" t="s">
        <v>19</v>
      </c>
      <c r="C2307" s="2" t="s">
        <v>13</v>
      </c>
      <c r="D2307" s="2">
        <v>34</v>
      </c>
      <c r="E2307" s="2" t="s">
        <v>26</v>
      </c>
      <c r="F2307" s="2" t="s">
        <v>15</v>
      </c>
      <c r="G2307" s="7">
        <v>97.7</v>
      </c>
      <c r="H2307" s="7">
        <v>3410</v>
      </c>
      <c r="I2307" s="2" t="s">
        <v>15</v>
      </c>
      <c r="J2307" s="2" t="s">
        <v>16</v>
      </c>
      <c r="K2307" s="2" t="s">
        <v>24</v>
      </c>
      <c r="L2307" s="7">
        <v>3410</v>
      </c>
      <c r="M2307" s="2" t="str">
        <f>_xlfn.IFS(TelecomData[[#This Row],[TenureMonths]]&lt;=12, "0-1 Year", TelecomData[[#This Row],[TenureMonths]]&lt;=36, "1-3 Years", TelecomData[[#This Row],[TenureMonths]]&gt;36, "3+ Years")</f>
        <v>1-3 Years</v>
      </c>
      <c r="N2307" s="2" t="str">
        <f>IF(TelecomData[[#This Row],[CleanedTotalCharges]]&gt;=2500,"High Spend", "Standard Spend")</f>
        <v>High Spend</v>
      </c>
    </row>
    <row r="2308" spans="1:14" x14ac:dyDescent="0.3">
      <c r="A2308" s="1" t="s">
        <v>2332</v>
      </c>
      <c r="B2308" s="2" t="s">
        <v>12</v>
      </c>
      <c r="C2308" s="2" t="s">
        <v>13</v>
      </c>
      <c r="D2308" s="2">
        <v>3</v>
      </c>
      <c r="E2308" s="2" t="s">
        <v>26</v>
      </c>
      <c r="F2308" s="2" t="s">
        <v>15</v>
      </c>
      <c r="G2308" s="7">
        <v>69.849999999999994</v>
      </c>
      <c r="H2308" s="7">
        <v>199.85</v>
      </c>
      <c r="I2308" s="2" t="s">
        <v>15</v>
      </c>
      <c r="J2308" s="2" t="s">
        <v>16</v>
      </c>
      <c r="K2308" s="2" t="s">
        <v>17</v>
      </c>
      <c r="L2308" s="7">
        <v>199.85</v>
      </c>
      <c r="M2308" s="2" t="str">
        <f>_xlfn.IFS(TelecomData[[#This Row],[TenureMonths]]&lt;=12, "0-1 Year", TelecomData[[#This Row],[TenureMonths]]&lt;=36, "1-3 Years", TelecomData[[#This Row],[TenureMonths]]&gt;36, "3+ Years")</f>
        <v>0-1 Year</v>
      </c>
      <c r="N2308" s="2" t="str">
        <f>IF(TelecomData[[#This Row],[CleanedTotalCharges]]&gt;=2500,"High Spend", "Standard Spend")</f>
        <v>Standard Spend</v>
      </c>
    </row>
    <row r="2309" spans="1:14" x14ac:dyDescent="0.3">
      <c r="A2309" s="1" t="s">
        <v>2333</v>
      </c>
      <c r="B2309" s="2" t="s">
        <v>12</v>
      </c>
      <c r="C2309" s="2" t="s">
        <v>20</v>
      </c>
      <c r="D2309" s="2">
        <v>9</v>
      </c>
      <c r="E2309" s="2" t="s">
        <v>14</v>
      </c>
      <c r="F2309" s="2" t="s">
        <v>16</v>
      </c>
      <c r="G2309" s="7">
        <v>65.599999999999994</v>
      </c>
      <c r="H2309" s="7">
        <v>593.29999999999995</v>
      </c>
      <c r="I2309" s="2" t="s">
        <v>15</v>
      </c>
      <c r="J2309" s="2" t="s">
        <v>16</v>
      </c>
      <c r="K2309" s="2" t="s">
        <v>21</v>
      </c>
      <c r="L2309" s="7">
        <v>593.29999999999995</v>
      </c>
      <c r="M2309" s="2" t="str">
        <f>_xlfn.IFS(TelecomData[[#This Row],[TenureMonths]]&lt;=12, "0-1 Year", TelecomData[[#This Row],[TenureMonths]]&lt;=36, "1-3 Years", TelecomData[[#This Row],[TenureMonths]]&gt;36, "3+ Years")</f>
        <v>0-1 Year</v>
      </c>
      <c r="N2309" s="2" t="str">
        <f>IF(TelecomData[[#This Row],[CleanedTotalCharges]]&gt;=2500,"High Spend", "Standard Spend")</f>
        <v>Standard Spend</v>
      </c>
    </row>
    <row r="2310" spans="1:14" x14ac:dyDescent="0.3">
      <c r="A2310" s="1" t="s">
        <v>2334</v>
      </c>
      <c r="B2310" s="2" t="s">
        <v>19</v>
      </c>
      <c r="C2310" s="2" t="s">
        <v>20</v>
      </c>
      <c r="D2310" s="2">
        <v>71</v>
      </c>
      <c r="E2310" s="2" t="s">
        <v>26</v>
      </c>
      <c r="F2310" s="2" t="s">
        <v>15</v>
      </c>
      <c r="G2310" s="7">
        <v>104.65</v>
      </c>
      <c r="H2310" s="7">
        <v>7288.4</v>
      </c>
      <c r="I2310" s="2" t="s">
        <v>15</v>
      </c>
      <c r="J2310" s="2" t="s">
        <v>16</v>
      </c>
      <c r="K2310" s="2" t="s">
        <v>24</v>
      </c>
      <c r="L2310" s="7">
        <v>7288.4</v>
      </c>
      <c r="M2310" s="2" t="str">
        <f>_xlfn.IFS(TelecomData[[#This Row],[TenureMonths]]&lt;=12, "0-1 Year", TelecomData[[#This Row],[TenureMonths]]&lt;=36, "1-3 Years", TelecomData[[#This Row],[TenureMonths]]&gt;36, "3+ Years")</f>
        <v>3+ Years</v>
      </c>
      <c r="N2310" s="2" t="str">
        <f>IF(TelecomData[[#This Row],[CleanedTotalCharges]]&gt;=2500,"High Spend", "Standard Spend")</f>
        <v>High Spend</v>
      </c>
    </row>
    <row r="2311" spans="1:14" x14ac:dyDescent="0.3">
      <c r="A2311" s="1" t="s">
        <v>2335</v>
      </c>
      <c r="B2311" s="2" t="s">
        <v>19</v>
      </c>
      <c r="C2311" s="2" t="s">
        <v>35</v>
      </c>
      <c r="D2311" s="2">
        <v>57</v>
      </c>
      <c r="E2311" s="2" t="s">
        <v>26</v>
      </c>
      <c r="F2311" s="2" t="s">
        <v>16</v>
      </c>
      <c r="G2311" s="7">
        <v>90.45</v>
      </c>
      <c r="H2311" s="7">
        <v>5229.8</v>
      </c>
      <c r="I2311" s="2" t="s">
        <v>15</v>
      </c>
      <c r="J2311" s="2" t="s">
        <v>16</v>
      </c>
      <c r="K2311" s="2" t="s">
        <v>29</v>
      </c>
      <c r="L2311" s="7">
        <v>5229.8</v>
      </c>
      <c r="M2311" s="2" t="str">
        <f>_xlfn.IFS(TelecomData[[#This Row],[TenureMonths]]&lt;=12, "0-1 Year", TelecomData[[#This Row],[TenureMonths]]&lt;=36, "1-3 Years", TelecomData[[#This Row],[TenureMonths]]&gt;36, "3+ Years")</f>
        <v>3+ Years</v>
      </c>
      <c r="N2311" s="2" t="str">
        <f>IF(TelecomData[[#This Row],[CleanedTotalCharges]]&gt;=2500,"High Spend", "Standard Spend")</f>
        <v>High Spend</v>
      </c>
    </row>
    <row r="2312" spans="1:14" x14ac:dyDescent="0.3">
      <c r="A2312" s="1" t="s">
        <v>2336</v>
      </c>
      <c r="B2312" s="2" t="s">
        <v>19</v>
      </c>
      <c r="C2312" s="2" t="s">
        <v>35</v>
      </c>
      <c r="D2312" s="2">
        <v>72</v>
      </c>
      <c r="E2312" s="2" t="s">
        <v>14</v>
      </c>
      <c r="F2312" s="2" t="s">
        <v>16</v>
      </c>
      <c r="G2312" s="7">
        <v>63.7</v>
      </c>
      <c r="H2312" s="7">
        <v>4464.8</v>
      </c>
      <c r="I2312" s="2" t="s">
        <v>15</v>
      </c>
      <c r="J2312" s="2" t="s">
        <v>16</v>
      </c>
      <c r="K2312" s="2" t="s">
        <v>24</v>
      </c>
      <c r="L2312" s="7">
        <v>4464.8</v>
      </c>
      <c r="M2312" s="2" t="str">
        <f>_xlfn.IFS(TelecomData[[#This Row],[TenureMonths]]&lt;=12, "0-1 Year", TelecomData[[#This Row],[TenureMonths]]&lt;=36, "1-3 Years", TelecomData[[#This Row],[TenureMonths]]&gt;36, "3+ Years")</f>
        <v>3+ Years</v>
      </c>
      <c r="N2312" s="2" t="str">
        <f>IF(TelecomData[[#This Row],[CleanedTotalCharges]]&gt;=2500,"High Spend", "Standard Spend")</f>
        <v>High Spend</v>
      </c>
    </row>
    <row r="2313" spans="1:14" x14ac:dyDescent="0.3">
      <c r="A2313" s="1" t="s">
        <v>2337</v>
      </c>
      <c r="B2313" s="2" t="s">
        <v>12</v>
      </c>
      <c r="C2313" s="2" t="s">
        <v>13</v>
      </c>
      <c r="D2313" s="2">
        <v>48</v>
      </c>
      <c r="E2313" s="2" t="s">
        <v>26</v>
      </c>
      <c r="F2313" s="2" t="s">
        <v>16</v>
      </c>
      <c r="G2313" s="7">
        <v>104.5</v>
      </c>
      <c r="H2313" s="7">
        <v>5068.05</v>
      </c>
      <c r="I2313" s="2" t="s">
        <v>15</v>
      </c>
      <c r="J2313" s="2" t="s">
        <v>16</v>
      </c>
      <c r="K2313" s="2" t="s">
        <v>17</v>
      </c>
      <c r="L2313" s="7">
        <v>5068.05</v>
      </c>
      <c r="M2313" s="2" t="str">
        <f>_xlfn.IFS(TelecomData[[#This Row],[TenureMonths]]&lt;=12, "0-1 Year", TelecomData[[#This Row],[TenureMonths]]&lt;=36, "1-3 Years", TelecomData[[#This Row],[TenureMonths]]&gt;36, "3+ Years")</f>
        <v>3+ Years</v>
      </c>
      <c r="N2313" s="2" t="str">
        <f>IF(TelecomData[[#This Row],[CleanedTotalCharges]]&gt;=2500,"High Spend", "Standard Spend")</f>
        <v>High Spend</v>
      </c>
    </row>
    <row r="2314" spans="1:14" x14ac:dyDescent="0.3">
      <c r="A2314" s="1" t="s">
        <v>2338</v>
      </c>
      <c r="B2314" s="2" t="s">
        <v>19</v>
      </c>
      <c r="C2314" s="2" t="s">
        <v>20</v>
      </c>
      <c r="D2314" s="2">
        <v>18</v>
      </c>
      <c r="E2314" s="2" t="s">
        <v>15</v>
      </c>
      <c r="F2314" s="2" t="s">
        <v>36</v>
      </c>
      <c r="G2314" s="7">
        <v>20.100000000000001</v>
      </c>
      <c r="H2314" s="7">
        <v>401.85</v>
      </c>
      <c r="I2314" s="2" t="s">
        <v>15</v>
      </c>
      <c r="J2314" s="2" t="s">
        <v>15</v>
      </c>
      <c r="K2314" s="2" t="s">
        <v>21</v>
      </c>
      <c r="L2314" s="7">
        <v>401.85</v>
      </c>
      <c r="M2314" s="2" t="str">
        <f>_xlfn.IFS(TelecomData[[#This Row],[TenureMonths]]&lt;=12, "0-1 Year", TelecomData[[#This Row],[TenureMonths]]&lt;=36, "1-3 Years", TelecomData[[#This Row],[TenureMonths]]&gt;36, "3+ Years")</f>
        <v>1-3 Years</v>
      </c>
      <c r="N2314" s="2" t="str">
        <f>IF(TelecomData[[#This Row],[CleanedTotalCharges]]&gt;=2500,"High Spend", "Standard Spend")</f>
        <v>Standard Spend</v>
      </c>
    </row>
    <row r="2315" spans="1:14" x14ac:dyDescent="0.3">
      <c r="A2315" s="1" t="s">
        <v>2339</v>
      </c>
      <c r="B2315" s="2" t="s">
        <v>19</v>
      </c>
      <c r="C2315" s="2" t="s">
        <v>20</v>
      </c>
      <c r="D2315" s="2">
        <v>43</v>
      </c>
      <c r="E2315" s="2" t="s">
        <v>26</v>
      </c>
      <c r="F2315" s="2" t="s">
        <v>16</v>
      </c>
      <c r="G2315" s="7">
        <v>104.3</v>
      </c>
      <c r="H2315" s="7">
        <v>4451.8500000000004</v>
      </c>
      <c r="I2315" s="2" t="s">
        <v>15</v>
      </c>
      <c r="J2315" s="2" t="s">
        <v>16</v>
      </c>
      <c r="K2315" s="2" t="s">
        <v>29</v>
      </c>
      <c r="L2315" s="7">
        <v>4451.8500000000004</v>
      </c>
      <c r="M2315" s="2" t="str">
        <f>_xlfn.IFS(TelecomData[[#This Row],[TenureMonths]]&lt;=12, "0-1 Year", TelecomData[[#This Row],[TenureMonths]]&lt;=36, "1-3 Years", TelecomData[[#This Row],[TenureMonths]]&gt;36, "3+ Years")</f>
        <v>3+ Years</v>
      </c>
      <c r="N2315" s="2" t="str">
        <f>IF(TelecomData[[#This Row],[CleanedTotalCharges]]&gt;=2500,"High Spend", "Standard Spend")</f>
        <v>High Spend</v>
      </c>
    </row>
    <row r="2316" spans="1:14" x14ac:dyDescent="0.3">
      <c r="A2316" s="1" t="s">
        <v>2340</v>
      </c>
      <c r="B2316" s="2" t="s">
        <v>12</v>
      </c>
      <c r="C2316" s="2" t="s">
        <v>35</v>
      </c>
      <c r="D2316" s="2">
        <v>72</v>
      </c>
      <c r="E2316" s="2" t="s">
        <v>14</v>
      </c>
      <c r="F2316" s="2" t="s">
        <v>16</v>
      </c>
      <c r="G2316" s="7">
        <v>93.25</v>
      </c>
      <c r="H2316" s="7">
        <v>6688.95</v>
      </c>
      <c r="I2316" s="2" t="s">
        <v>15</v>
      </c>
      <c r="J2316" s="2" t="s">
        <v>16</v>
      </c>
      <c r="K2316" s="2" t="s">
        <v>24</v>
      </c>
      <c r="L2316" s="7">
        <v>6688.95</v>
      </c>
      <c r="M2316" s="2" t="str">
        <f>_xlfn.IFS(TelecomData[[#This Row],[TenureMonths]]&lt;=12, "0-1 Year", TelecomData[[#This Row],[TenureMonths]]&lt;=36, "1-3 Years", TelecomData[[#This Row],[TenureMonths]]&gt;36, "3+ Years")</f>
        <v>3+ Years</v>
      </c>
      <c r="N2316" s="2" t="str">
        <f>IF(TelecomData[[#This Row],[CleanedTotalCharges]]&gt;=2500,"High Spend", "Standard Spend")</f>
        <v>High Spend</v>
      </c>
    </row>
    <row r="2317" spans="1:14" x14ac:dyDescent="0.3">
      <c r="A2317" s="1" t="s">
        <v>2341</v>
      </c>
      <c r="B2317" s="2" t="s">
        <v>19</v>
      </c>
      <c r="C2317" s="2" t="s">
        <v>20</v>
      </c>
      <c r="D2317" s="2">
        <v>35</v>
      </c>
      <c r="E2317" s="2" t="s">
        <v>14</v>
      </c>
      <c r="F2317" s="2" t="s">
        <v>16</v>
      </c>
      <c r="G2317" s="7">
        <v>73.45</v>
      </c>
      <c r="H2317" s="7">
        <v>2661.1</v>
      </c>
      <c r="I2317" s="2" t="s">
        <v>15</v>
      </c>
      <c r="J2317" s="2" t="s">
        <v>16</v>
      </c>
      <c r="K2317" s="2" t="s">
        <v>24</v>
      </c>
      <c r="L2317" s="7">
        <v>2661.1</v>
      </c>
      <c r="M2317" s="2" t="str">
        <f>_xlfn.IFS(TelecomData[[#This Row],[TenureMonths]]&lt;=12, "0-1 Year", TelecomData[[#This Row],[TenureMonths]]&lt;=36, "1-3 Years", TelecomData[[#This Row],[TenureMonths]]&gt;36, "3+ Years")</f>
        <v>1-3 Years</v>
      </c>
      <c r="N2317" s="2" t="str">
        <f>IF(TelecomData[[#This Row],[CleanedTotalCharges]]&gt;=2500,"High Spend", "Standard Spend")</f>
        <v>High Spend</v>
      </c>
    </row>
    <row r="2318" spans="1:14" x14ac:dyDescent="0.3">
      <c r="A2318" s="1" t="s">
        <v>2342</v>
      </c>
      <c r="B2318" s="2" t="s">
        <v>19</v>
      </c>
      <c r="C2318" s="2" t="s">
        <v>13</v>
      </c>
      <c r="D2318" s="2">
        <v>4</v>
      </c>
      <c r="E2318" s="2" t="s">
        <v>15</v>
      </c>
      <c r="F2318" s="2" t="s">
        <v>36</v>
      </c>
      <c r="G2318" s="7">
        <v>20.7</v>
      </c>
      <c r="H2318" s="7">
        <v>73.05</v>
      </c>
      <c r="I2318" s="2" t="s">
        <v>15</v>
      </c>
      <c r="J2318" s="2" t="s">
        <v>15</v>
      </c>
      <c r="K2318" s="2" t="s">
        <v>21</v>
      </c>
      <c r="L2318" s="7">
        <v>73.05</v>
      </c>
      <c r="M2318" s="2" t="str">
        <f>_xlfn.IFS(TelecomData[[#This Row],[TenureMonths]]&lt;=12, "0-1 Year", TelecomData[[#This Row],[TenureMonths]]&lt;=36, "1-3 Years", TelecomData[[#This Row],[TenureMonths]]&gt;36, "3+ Years")</f>
        <v>0-1 Year</v>
      </c>
      <c r="N2318" s="2" t="str">
        <f>IF(TelecomData[[#This Row],[CleanedTotalCharges]]&gt;=2500,"High Spend", "Standard Spend")</f>
        <v>Standard Spend</v>
      </c>
    </row>
    <row r="2319" spans="1:14" x14ac:dyDescent="0.3">
      <c r="A2319" s="1" t="s">
        <v>2343</v>
      </c>
      <c r="B2319" s="2" t="s">
        <v>12</v>
      </c>
      <c r="C2319" s="2" t="s">
        <v>35</v>
      </c>
      <c r="D2319" s="2">
        <v>49</v>
      </c>
      <c r="E2319" s="2" t="s">
        <v>15</v>
      </c>
      <c r="F2319" s="2" t="s">
        <v>36</v>
      </c>
      <c r="G2319" s="7">
        <v>25.25</v>
      </c>
      <c r="H2319" s="7">
        <v>1211.6500000000001</v>
      </c>
      <c r="I2319" s="2" t="s">
        <v>15</v>
      </c>
      <c r="J2319" s="2" t="s">
        <v>15</v>
      </c>
      <c r="K2319" s="2" t="s">
        <v>21</v>
      </c>
      <c r="L2319" s="7">
        <v>1211.6500000000001</v>
      </c>
      <c r="M2319" s="2" t="str">
        <f>_xlfn.IFS(TelecomData[[#This Row],[TenureMonths]]&lt;=12, "0-1 Year", TelecomData[[#This Row],[TenureMonths]]&lt;=36, "1-3 Years", TelecomData[[#This Row],[TenureMonths]]&gt;36, "3+ Years")</f>
        <v>3+ Years</v>
      </c>
      <c r="N2319" s="2" t="str">
        <f>IF(TelecomData[[#This Row],[CleanedTotalCharges]]&gt;=2500,"High Spend", "Standard Spend")</f>
        <v>Standard Spend</v>
      </c>
    </row>
    <row r="2320" spans="1:14" x14ac:dyDescent="0.3">
      <c r="A2320" s="1" t="s">
        <v>2344</v>
      </c>
      <c r="B2320" s="2" t="s">
        <v>12</v>
      </c>
      <c r="C2320" s="2" t="s">
        <v>35</v>
      </c>
      <c r="D2320" s="2">
        <v>71</v>
      </c>
      <c r="E2320" s="2" t="s">
        <v>26</v>
      </c>
      <c r="F2320" s="2" t="s">
        <v>15</v>
      </c>
      <c r="G2320" s="7">
        <v>100.5</v>
      </c>
      <c r="H2320" s="7">
        <v>7030.65</v>
      </c>
      <c r="I2320" s="2" t="s">
        <v>15</v>
      </c>
      <c r="J2320" s="2" t="s">
        <v>15</v>
      </c>
      <c r="K2320" s="2" t="s">
        <v>24</v>
      </c>
      <c r="L2320" s="7">
        <v>7030.65</v>
      </c>
      <c r="M2320" s="2" t="str">
        <f>_xlfn.IFS(TelecomData[[#This Row],[TenureMonths]]&lt;=12, "0-1 Year", TelecomData[[#This Row],[TenureMonths]]&lt;=36, "1-3 Years", TelecomData[[#This Row],[TenureMonths]]&gt;36, "3+ Years")</f>
        <v>3+ Years</v>
      </c>
      <c r="N2320" s="2" t="str">
        <f>IF(TelecomData[[#This Row],[CleanedTotalCharges]]&gt;=2500,"High Spend", "Standard Spend")</f>
        <v>High Spend</v>
      </c>
    </row>
    <row r="2321" spans="1:14" x14ac:dyDescent="0.3">
      <c r="A2321" s="1" t="s">
        <v>2345</v>
      </c>
      <c r="B2321" s="2" t="s">
        <v>19</v>
      </c>
      <c r="C2321" s="2" t="s">
        <v>13</v>
      </c>
      <c r="D2321" s="2">
        <v>11</v>
      </c>
      <c r="E2321" s="2" t="s">
        <v>26</v>
      </c>
      <c r="F2321" s="2" t="s">
        <v>15</v>
      </c>
      <c r="G2321" s="7">
        <v>90.6</v>
      </c>
      <c r="H2321" s="7">
        <v>1020.2</v>
      </c>
      <c r="I2321" s="2" t="s">
        <v>15</v>
      </c>
      <c r="J2321" s="2" t="s">
        <v>15</v>
      </c>
      <c r="K2321" s="2" t="s">
        <v>17</v>
      </c>
      <c r="L2321" s="7">
        <v>1020.2</v>
      </c>
      <c r="M2321" s="2" t="str">
        <f>_xlfn.IFS(TelecomData[[#This Row],[TenureMonths]]&lt;=12, "0-1 Year", TelecomData[[#This Row],[TenureMonths]]&lt;=36, "1-3 Years", TelecomData[[#This Row],[TenureMonths]]&gt;36, "3+ Years")</f>
        <v>0-1 Year</v>
      </c>
      <c r="N2321" s="2" t="str">
        <f>IF(TelecomData[[#This Row],[CleanedTotalCharges]]&gt;=2500,"High Spend", "Standard Spend")</f>
        <v>Standard Spend</v>
      </c>
    </row>
    <row r="2322" spans="1:14" x14ac:dyDescent="0.3">
      <c r="A2322" s="1" t="s">
        <v>2346</v>
      </c>
      <c r="B2322" s="2" t="s">
        <v>19</v>
      </c>
      <c r="C2322" s="2" t="s">
        <v>35</v>
      </c>
      <c r="D2322" s="2">
        <v>63</v>
      </c>
      <c r="E2322" s="2" t="s">
        <v>14</v>
      </c>
      <c r="F2322" s="2" t="s">
        <v>16</v>
      </c>
      <c r="G2322" s="7">
        <v>89.4</v>
      </c>
      <c r="H2322" s="7">
        <v>5597.65</v>
      </c>
      <c r="I2322" s="2" t="s">
        <v>15</v>
      </c>
      <c r="J2322" s="2" t="s">
        <v>16</v>
      </c>
      <c r="K2322" s="2" t="s">
        <v>29</v>
      </c>
      <c r="L2322" s="7">
        <v>5597.65</v>
      </c>
      <c r="M2322" s="2" t="str">
        <f>_xlfn.IFS(TelecomData[[#This Row],[TenureMonths]]&lt;=12, "0-1 Year", TelecomData[[#This Row],[TenureMonths]]&lt;=36, "1-3 Years", TelecomData[[#This Row],[TenureMonths]]&gt;36, "3+ Years")</f>
        <v>3+ Years</v>
      </c>
      <c r="N2322" s="2" t="str">
        <f>IF(TelecomData[[#This Row],[CleanedTotalCharges]]&gt;=2500,"High Spend", "Standard Spend")</f>
        <v>High Spend</v>
      </c>
    </row>
    <row r="2323" spans="1:14" x14ac:dyDescent="0.3">
      <c r="A2323" s="1" t="s">
        <v>2347</v>
      </c>
      <c r="B2323" s="2" t="s">
        <v>12</v>
      </c>
      <c r="C2323" s="2" t="s">
        <v>13</v>
      </c>
      <c r="D2323" s="2">
        <v>65</v>
      </c>
      <c r="E2323" s="2" t="s">
        <v>26</v>
      </c>
      <c r="F2323" s="2" t="s">
        <v>15</v>
      </c>
      <c r="G2323" s="7">
        <v>95.45</v>
      </c>
      <c r="H2323" s="7">
        <v>6223.3</v>
      </c>
      <c r="I2323" s="2" t="s">
        <v>15</v>
      </c>
      <c r="J2323" s="2" t="s">
        <v>16</v>
      </c>
      <c r="K2323" s="2" t="s">
        <v>24</v>
      </c>
      <c r="L2323" s="7">
        <v>6223.3</v>
      </c>
      <c r="M2323" s="2" t="str">
        <f>_xlfn.IFS(TelecomData[[#This Row],[TenureMonths]]&lt;=12, "0-1 Year", TelecomData[[#This Row],[TenureMonths]]&lt;=36, "1-3 Years", TelecomData[[#This Row],[TenureMonths]]&gt;36, "3+ Years")</f>
        <v>3+ Years</v>
      </c>
      <c r="N2323" s="2" t="str">
        <f>IF(TelecomData[[#This Row],[CleanedTotalCharges]]&gt;=2500,"High Spend", "Standard Spend")</f>
        <v>High Spend</v>
      </c>
    </row>
    <row r="2324" spans="1:14" x14ac:dyDescent="0.3">
      <c r="A2324" s="1" t="s">
        <v>2348</v>
      </c>
      <c r="B2324" s="2" t="s">
        <v>12</v>
      </c>
      <c r="C2324" s="2" t="s">
        <v>35</v>
      </c>
      <c r="D2324" s="2">
        <v>49</v>
      </c>
      <c r="E2324" s="2" t="s">
        <v>15</v>
      </c>
      <c r="F2324" s="2" t="s">
        <v>36</v>
      </c>
      <c r="G2324" s="7">
        <v>20.45</v>
      </c>
      <c r="H2324" s="7">
        <v>1024.6500000000001</v>
      </c>
      <c r="I2324" s="2" t="s">
        <v>15</v>
      </c>
      <c r="J2324" s="2" t="s">
        <v>15</v>
      </c>
      <c r="K2324" s="2" t="s">
        <v>29</v>
      </c>
      <c r="L2324" s="7">
        <v>1024.6500000000001</v>
      </c>
      <c r="M2324" s="2" t="str">
        <f>_xlfn.IFS(TelecomData[[#This Row],[TenureMonths]]&lt;=12, "0-1 Year", TelecomData[[#This Row],[TenureMonths]]&lt;=36, "1-3 Years", TelecomData[[#This Row],[TenureMonths]]&gt;36, "3+ Years")</f>
        <v>3+ Years</v>
      </c>
      <c r="N2324" s="2" t="str">
        <f>IF(TelecomData[[#This Row],[CleanedTotalCharges]]&gt;=2500,"High Spend", "Standard Spend")</f>
        <v>Standard Spend</v>
      </c>
    </row>
    <row r="2325" spans="1:14" x14ac:dyDescent="0.3">
      <c r="A2325" s="1" t="s">
        <v>2349</v>
      </c>
      <c r="B2325" s="2" t="s">
        <v>12</v>
      </c>
      <c r="C2325" s="2" t="s">
        <v>13</v>
      </c>
      <c r="D2325" s="2">
        <v>29</v>
      </c>
      <c r="E2325" s="2" t="s">
        <v>26</v>
      </c>
      <c r="F2325" s="2" t="s">
        <v>15</v>
      </c>
      <c r="G2325" s="7">
        <v>98.6</v>
      </c>
      <c r="H2325" s="7">
        <v>2933.2</v>
      </c>
      <c r="I2325" s="2" t="s">
        <v>16</v>
      </c>
      <c r="J2325" s="2" t="s">
        <v>16</v>
      </c>
      <c r="K2325" s="2" t="s">
        <v>29</v>
      </c>
      <c r="L2325" s="7">
        <v>2933.2</v>
      </c>
      <c r="M2325" s="2" t="str">
        <f>_xlfn.IFS(TelecomData[[#This Row],[TenureMonths]]&lt;=12, "0-1 Year", TelecomData[[#This Row],[TenureMonths]]&lt;=36, "1-3 Years", TelecomData[[#This Row],[TenureMonths]]&gt;36, "3+ Years")</f>
        <v>1-3 Years</v>
      </c>
      <c r="N2325" s="2" t="str">
        <f>IF(TelecomData[[#This Row],[CleanedTotalCharges]]&gt;=2500,"High Spend", "Standard Spend")</f>
        <v>High Spend</v>
      </c>
    </row>
    <row r="2326" spans="1:14" x14ac:dyDescent="0.3">
      <c r="A2326" s="1" t="s">
        <v>2350</v>
      </c>
      <c r="B2326" s="2" t="s">
        <v>12</v>
      </c>
      <c r="C2326" s="2" t="s">
        <v>13</v>
      </c>
      <c r="D2326" s="2">
        <v>15</v>
      </c>
      <c r="E2326" s="2" t="s">
        <v>26</v>
      </c>
      <c r="F2326" s="2" t="s">
        <v>16</v>
      </c>
      <c r="G2326" s="7">
        <v>83.05</v>
      </c>
      <c r="H2326" s="7">
        <v>1258.3</v>
      </c>
      <c r="I2326" s="2" t="s">
        <v>16</v>
      </c>
      <c r="J2326" s="2" t="s">
        <v>16</v>
      </c>
      <c r="K2326" s="2" t="s">
        <v>17</v>
      </c>
      <c r="L2326" s="7">
        <v>1258.3</v>
      </c>
      <c r="M2326" s="2" t="str">
        <f>_xlfn.IFS(TelecomData[[#This Row],[TenureMonths]]&lt;=12, "0-1 Year", TelecomData[[#This Row],[TenureMonths]]&lt;=36, "1-3 Years", TelecomData[[#This Row],[TenureMonths]]&gt;36, "3+ Years")</f>
        <v>1-3 Years</v>
      </c>
      <c r="N2326" s="2" t="str">
        <f>IF(TelecomData[[#This Row],[CleanedTotalCharges]]&gt;=2500,"High Spend", "Standard Spend")</f>
        <v>Standard Spend</v>
      </c>
    </row>
    <row r="2327" spans="1:14" x14ac:dyDescent="0.3">
      <c r="A2327" s="1" t="s">
        <v>2351</v>
      </c>
      <c r="B2327" s="2" t="s">
        <v>12</v>
      </c>
      <c r="C2327" s="2" t="s">
        <v>13</v>
      </c>
      <c r="D2327" s="2">
        <v>4</v>
      </c>
      <c r="E2327" s="2" t="s">
        <v>15</v>
      </c>
      <c r="F2327" s="2" t="s">
        <v>36</v>
      </c>
      <c r="G2327" s="7">
        <v>19.95</v>
      </c>
      <c r="H2327" s="7">
        <v>82.9</v>
      </c>
      <c r="I2327" s="2" t="s">
        <v>15</v>
      </c>
      <c r="J2327" s="2" t="s">
        <v>16</v>
      </c>
      <c r="K2327" s="2" t="s">
        <v>17</v>
      </c>
      <c r="L2327" s="7">
        <v>82.9</v>
      </c>
      <c r="M2327" s="2" t="str">
        <f>_xlfn.IFS(TelecomData[[#This Row],[TenureMonths]]&lt;=12, "0-1 Year", TelecomData[[#This Row],[TenureMonths]]&lt;=36, "1-3 Years", TelecomData[[#This Row],[TenureMonths]]&gt;36, "3+ Years")</f>
        <v>0-1 Year</v>
      </c>
      <c r="N2327" s="2" t="str">
        <f>IF(TelecomData[[#This Row],[CleanedTotalCharges]]&gt;=2500,"High Spend", "Standard Spend")</f>
        <v>Standard Spend</v>
      </c>
    </row>
    <row r="2328" spans="1:14" x14ac:dyDescent="0.3">
      <c r="A2328" s="1" t="s">
        <v>2352</v>
      </c>
      <c r="B2328" s="2" t="s">
        <v>12</v>
      </c>
      <c r="C2328" s="2" t="s">
        <v>20</v>
      </c>
      <c r="D2328" s="2">
        <v>72</v>
      </c>
      <c r="E2328" s="2" t="s">
        <v>26</v>
      </c>
      <c r="F2328" s="2" t="s">
        <v>16</v>
      </c>
      <c r="G2328" s="7">
        <v>109.15</v>
      </c>
      <c r="H2328" s="7">
        <v>7789.6</v>
      </c>
      <c r="I2328" s="2" t="s">
        <v>15</v>
      </c>
      <c r="J2328" s="2" t="s">
        <v>15</v>
      </c>
      <c r="K2328" s="2" t="s">
        <v>29</v>
      </c>
      <c r="L2328" s="7">
        <v>7789.6</v>
      </c>
      <c r="M2328" s="2" t="str">
        <f>_xlfn.IFS(TelecomData[[#This Row],[TenureMonths]]&lt;=12, "0-1 Year", TelecomData[[#This Row],[TenureMonths]]&lt;=36, "1-3 Years", TelecomData[[#This Row],[TenureMonths]]&gt;36, "3+ Years")</f>
        <v>3+ Years</v>
      </c>
      <c r="N2328" s="2" t="str">
        <f>IF(TelecomData[[#This Row],[CleanedTotalCharges]]&gt;=2500,"High Spend", "Standard Spend")</f>
        <v>High Spend</v>
      </c>
    </row>
    <row r="2329" spans="1:14" x14ac:dyDescent="0.3">
      <c r="A2329" s="1" t="s">
        <v>2353</v>
      </c>
      <c r="B2329" s="2" t="s">
        <v>12</v>
      </c>
      <c r="C2329" s="2" t="s">
        <v>13</v>
      </c>
      <c r="D2329" s="2">
        <v>26</v>
      </c>
      <c r="E2329" s="2" t="s">
        <v>26</v>
      </c>
      <c r="F2329" s="2" t="s">
        <v>15</v>
      </c>
      <c r="G2329" s="7">
        <v>85.7</v>
      </c>
      <c r="H2329" s="7">
        <v>2067</v>
      </c>
      <c r="I2329" s="2" t="s">
        <v>15</v>
      </c>
      <c r="J2329" s="2" t="s">
        <v>16</v>
      </c>
      <c r="K2329" s="2" t="s">
        <v>29</v>
      </c>
      <c r="L2329" s="7">
        <v>2067</v>
      </c>
      <c r="M2329" s="2" t="str">
        <f>_xlfn.IFS(TelecomData[[#This Row],[TenureMonths]]&lt;=12, "0-1 Year", TelecomData[[#This Row],[TenureMonths]]&lt;=36, "1-3 Years", TelecomData[[#This Row],[TenureMonths]]&gt;36, "3+ Years")</f>
        <v>1-3 Years</v>
      </c>
      <c r="N2329" s="2" t="str">
        <f>IF(TelecomData[[#This Row],[CleanedTotalCharges]]&gt;=2500,"High Spend", "Standard Spend")</f>
        <v>Standard Spend</v>
      </c>
    </row>
    <row r="2330" spans="1:14" x14ac:dyDescent="0.3">
      <c r="A2330" s="1" t="s">
        <v>2354</v>
      </c>
      <c r="B2330" s="2" t="s">
        <v>12</v>
      </c>
      <c r="C2330" s="2" t="s">
        <v>13</v>
      </c>
      <c r="D2330" s="2">
        <v>35</v>
      </c>
      <c r="E2330" s="2" t="s">
        <v>26</v>
      </c>
      <c r="F2330" s="2" t="s">
        <v>15</v>
      </c>
      <c r="G2330" s="7">
        <v>102.05</v>
      </c>
      <c r="H2330" s="7">
        <v>3452.55</v>
      </c>
      <c r="I2330" s="2" t="s">
        <v>15</v>
      </c>
      <c r="J2330" s="2" t="s">
        <v>15</v>
      </c>
      <c r="K2330" s="2" t="s">
        <v>24</v>
      </c>
      <c r="L2330" s="7">
        <v>3452.55</v>
      </c>
      <c r="M2330" s="2" t="str">
        <f>_xlfn.IFS(TelecomData[[#This Row],[TenureMonths]]&lt;=12, "0-1 Year", TelecomData[[#This Row],[TenureMonths]]&lt;=36, "1-3 Years", TelecomData[[#This Row],[TenureMonths]]&gt;36, "3+ Years")</f>
        <v>1-3 Years</v>
      </c>
      <c r="N2330" s="2" t="str">
        <f>IF(TelecomData[[#This Row],[CleanedTotalCharges]]&gt;=2500,"High Spend", "Standard Spend")</f>
        <v>High Spend</v>
      </c>
    </row>
    <row r="2331" spans="1:14" x14ac:dyDescent="0.3">
      <c r="A2331" s="1" t="s">
        <v>2355</v>
      </c>
      <c r="B2331" s="2" t="s">
        <v>12</v>
      </c>
      <c r="C2331" s="2" t="s">
        <v>20</v>
      </c>
      <c r="D2331" s="2">
        <v>57</v>
      </c>
      <c r="E2331" s="2" t="s">
        <v>26</v>
      </c>
      <c r="F2331" s="2" t="s">
        <v>16</v>
      </c>
      <c r="G2331" s="7">
        <v>94.7</v>
      </c>
      <c r="H2331" s="7">
        <v>5468.95</v>
      </c>
      <c r="I2331" s="2" t="s">
        <v>15</v>
      </c>
      <c r="J2331" s="2" t="s">
        <v>15</v>
      </c>
      <c r="K2331" s="2" t="s">
        <v>17</v>
      </c>
      <c r="L2331" s="7">
        <v>5468.95</v>
      </c>
      <c r="M2331" s="2" t="str">
        <f>_xlfn.IFS(TelecomData[[#This Row],[TenureMonths]]&lt;=12, "0-1 Year", TelecomData[[#This Row],[TenureMonths]]&lt;=36, "1-3 Years", TelecomData[[#This Row],[TenureMonths]]&gt;36, "3+ Years")</f>
        <v>3+ Years</v>
      </c>
      <c r="N2331" s="2" t="str">
        <f>IF(TelecomData[[#This Row],[CleanedTotalCharges]]&gt;=2500,"High Spend", "Standard Spend")</f>
        <v>High Spend</v>
      </c>
    </row>
    <row r="2332" spans="1:14" x14ac:dyDescent="0.3">
      <c r="A2332" s="1" t="s">
        <v>2356</v>
      </c>
      <c r="B2332" s="2" t="s">
        <v>19</v>
      </c>
      <c r="C2332" s="2" t="s">
        <v>13</v>
      </c>
      <c r="D2332" s="2">
        <v>28</v>
      </c>
      <c r="E2332" s="2" t="s">
        <v>14</v>
      </c>
      <c r="F2332" s="2" t="s">
        <v>15</v>
      </c>
      <c r="G2332" s="7">
        <v>64.400000000000006</v>
      </c>
      <c r="H2332" s="7">
        <v>1802.15</v>
      </c>
      <c r="I2332" s="2" t="s">
        <v>15</v>
      </c>
      <c r="J2332" s="2" t="s">
        <v>15</v>
      </c>
      <c r="K2332" s="2" t="s">
        <v>17</v>
      </c>
      <c r="L2332" s="7">
        <v>1802.15</v>
      </c>
      <c r="M2332" s="2" t="str">
        <f>_xlfn.IFS(TelecomData[[#This Row],[TenureMonths]]&lt;=12, "0-1 Year", TelecomData[[#This Row],[TenureMonths]]&lt;=36, "1-3 Years", TelecomData[[#This Row],[TenureMonths]]&gt;36, "3+ Years")</f>
        <v>1-3 Years</v>
      </c>
      <c r="N2332" s="2" t="str">
        <f>IF(TelecomData[[#This Row],[CleanedTotalCharges]]&gt;=2500,"High Spend", "Standard Spend")</f>
        <v>Standard Spend</v>
      </c>
    </row>
    <row r="2333" spans="1:14" x14ac:dyDescent="0.3">
      <c r="A2333" s="1" t="s">
        <v>2357</v>
      </c>
      <c r="B2333" s="2" t="s">
        <v>12</v>
      </c>
      <c r="C2333" s="2" t="s">
        <v>20</v>
      </c>
      <c r="D2333" s="2">
        <v>25</v>
      </c>
      <c r="E2333" s="2" t="s">
        <v>15</v>
      </c>
      <c r="F2333" s="2" t="s">
        <v>36</v>
      </c>
      <c r="G2333" s="7">
        <v>26.8</v>
      </c>
      <c r="H2333" s="7">
        <v>733.55</v>
      </c>
      <c r="I2333" s="2" t="s">
        <v>15</v>
      </c>
      <c r="J2333" s="2" t="s">
        <v>16</v>
      </c>
      <c r="K2333" s="2" t="s">
        <v>21</v>
      </c>
      <c r="L2333" s="7">
        <v>733.55</v>
      </c>
      <c r="M2333" s="2" t="str">
        <f>_xlfn.IFS(TelecomData[[#This Row],[TenureMonths]]&lt;=12, "0-1 Year", TelecomData[[#This Row],[TenureMonths]]&lt;=36, "1-3 Years", TelecomData[[#This Row],[TenureMonths]]&gt;36, "3+ Years")</f>
        <v>1-3 Years</v>
      </c>
      <c r="N2333" s="2" t="str">
        <f>IF(TelecomData[[#This Row],[CleanedTotalCharges]]&gt;=2500,"High Spend", "Standard Spend")</f>
        <v>Standard Spend</v>
      </c>
    </row>
    <row r="2334" spans="1:14" x14ac:dyDescent="0.3">
      <c r="A2334" s="1" t="s">
        <v>2358</v>
      </c>
      <c r="B2334" s="2" t="s">
        <v>12</v>
      </c>
      <c r="C2334" s="2" t="s">
        <v>20</v>
      </c>
      <c r="D2334" s="2">
        <v>47</v>
      </c>
      <c r="E2334" s="2" t="s">
        <v>14</v>
      </c>
      <c r="F2334" s="2" t="s">
        <v>15</v>
      </c>
      <c r="G2334" s="7">
        <v>66.05</v>
      </c>
      <c r="H2334" s="7">
        <v>3021.45</v>
      </c>
      <c r="I2334" s="2" t="s">
        <v>15</v>
      </c>
      <c r="J2334" s="2" t="s">
        <v>16</v>
      </c>
      <c r="K2334" s="2" t="s">
        <v>29</v>
      </c>
      <c r="L2334" s="7">
        <v>3021.45</v>
      </c>
      <c r="M2334" s="2" t="str">
        <f>_xlfn.IFS(TelecomData[[#This Row],[TenureMonths]]&lt;=12, "0-1 Year", TelecomData[[#This Row],[TenureMonths]]&lt;=36, "1-3 Years", TelecomData[[#This Row],[TenureMonths]]&gt;36, "3+ Years")</f>
        <v>3+ Years</v>
      </c>
      <c r="N2334" s="2" t="str">
        <f>IF(TelecomData[[#This Row],[CleanedTotalCharges]]&gt;=2500,"High Spend", "Standard Spend")</f>
        <v>High Spend</v>
      </c>
    </row>
    <row r="2335" spans="1:14" x14ac:dyDescent="0.3">
      <c r="A2335" s="1" t="s">
        <v>2359</v>
      </c>
      <c r="B2335" s="2" t="s">
        <v>12</v>
      </c>
      <c r="C2335" s="2" t="s">
        <v>13</v>
      </c>
      <c r="D2335" s="2">
        <v>57</v>
      </c>
      <c r="E2335" s="2" t="s">
        <v>14</v>
      </c>
      <c r="F2335" s="2" t="s">
        <v>16</v>
      </c>
      <c r="G2335" s="7">
        <v>65.2</v>
      </c>
      <c r="H2335" s="7">
        <v>3687.85</v>
      </c>
      <c r="I2335" s="2" t="s">
        <v>15</v>
      </c>
      <c r="J2335" s="2" t="s">
        <v>15</v>
      </c>
      <c r="K2335" s="2" t="s">
        <v>24</v>
      </c>
      <c r="L2335" s="7">
        <v>3687.85</v>
      </c>
      <c r="M2335" s="2" t="str">
        <f>_xlfn.IFS(TelecomData[[#This Row],[TenureMonths]]&lt;=12, "0-1 Year", TelecomData[[#This Row],[TenureMonths]]&lt;=36, "1-3 Years", TelecomData[[#This Row],[TenureMonths]]&gt;36, "3+ Years")</f>
        <v>3+ Years</v>
      </c>
      <c r="N2335" s="2" t="str">
        <f>IF(TelecomData[[#This Row],[CleanedTotalCharges]]&gt;=2500,"High Spend", "Standard Spend")</f>
        <v>High Spend</v>
      </c>
    </row>
    <row r="2336" spans="1:14" x14ac:dyDescent="0.3">
      <c r="A2336" s="1" t="s">
        <v>2360</v>
      </c>
      <c r="B2336" s="2" t="s">
        <v>19</v>
      </c>
      <c r="C2336" s="2" t="s">
        <v>13</v>
      </c>
      <c r="D2336" s="2">
        <v>16</v>
      </c>
      <c r="E2336" s="2" t="s">
        <v>26</v>
      </c>
      <c r="F2336" s="2" t="s">
        <v>15</v>
      </c>
      <c r="G2336" s="7">
        <v>85.05</v>
      </c>
      <c r="H2336" s="7">
        <v>1391.15</v>
      </c>
      <c r="I2336" s="2" t="s">
        <v>15</v>
      </c>
      <c r="J2336" s="2" t="s">
        <v>16</v>
      </c>
      <c r="K2336" s="2" t="s">
        <v>29</v>
      </c>
      <c r="L2336" s="7">
        <v>1391.15</v>
      </c>
      <c r="M2336" s="2" t="str">
        <f>_xlfn.IFS(TelecomData[[#This Row],[TenureMonths]]&lt;=12, "0-1 Year", TelecomData[[#This Row],[TenureMonths]]&lt;=36, "1-3 Years", TelecomData[[#This Row],[TenureMonths]]&gt;36, "3+ Years")</f>
        <v>1-3 Years</v>
      </c>
      <c r="N2336" s="2" t="str">
        <f>IF(TelecomData[[#This Row],[CleanedTotalCharges]]&gt;=2500,"High Spend", "Standard Spend")</f>
        <v>Standard Spend</v>
      </c>
    </row>
    <row r="2337" spans="1:14" x14ac:dyDescent="0.3">
      <c r="A2337" s="1" t="s">
        <v>2361</v>
      </c>
      <c r="B2337" s="2" t="s">
        <v>19</v>
      </c>
      <c r="C2337" s="2" t="s">
        <v>13</v>
      </c>
      <c r="D2337" s="2">
        <v>5</v>
      </c>
      <c r="E2337" s="2" t="s">
        <v>14</v>
      </c>
      <c r="F2337" s="2" t="s">
        <v>15</v>
      </c>
      <c r="G2337" s="7">
        <v>55.8</v>
      </c>
      <c r="H2337" s="7">
        <v>274.35000000000002</v>
      </c>
      <c r="I2337" s="2" t="s">
        <v>15</v>
      </c>
      <c r="J2337" s="2" t="s">
        <v>16</v>
      </c>
      <c r="K2337" s="2" t="s">
        <v>21</v>
      </c>
      <c r="L2337" s="7">
        <v>274.35000000000002</v>
      </c>
      <c r="M2337" s="2" t="str">
        <f>_xlfn.IFS(TelecomData[[#This Row],[TenureMonths]]&lt;=12, "0-1 Year", TelecomData[[#This Row],[TenureMonths]]&lt;=36, "1-3 Years", TelecomData[[#This Row],[TenureMonths]]&gt;36, "3+ Years")</f>
        <v>0-1 Year</v>
      </c>
      <c r="N2337" s="2" t="str">
        <f>IF(TelecomData[[#This Row],[CleanedTotalCharges]]&gt;=2500,"High Spend", "Standard Spend")</f>
        <v>Standard Spend</v>
      </c>
    </row>
    <row r="2338" spans="1:14" x14ac:dyDescent="0.3">
      <c r="A2338" s="1" t="s">
        <v>2362</v>
      </c>
      <c r="B2338" s="2" t="s">
        <v>19</v>
      </c>
      <c r="C2338" s="2" t="s">
        <v>13</v>
      </c>
      <c r="D2338" s="2">
        <v>17</v>
      </c>
      <c r="E2338" s="2" t="s">
        <v>26</v>
      </c>
      <c r="F2338" s="2" t="s">
        <v>15</v>
      </c>
      <c r="G2338" s="7">
        <v>70.400000000000006</v>
      </c>
      <c r="H2338" s="7">
        <v>1214.05</v>
      </c>
      <c r="I2338" s="2" t="s">
        <v>16</v>
      </c>
      <c r="J2338" s="2" t="s">
        <v>16</v>
      </c>
      <c r="K2338" s="2" t="s">
        <v>24</v>
      </c>
      <c r="L2338" s="7">
        <v>1214.05</v>
      </c>
      <c r="M2338" s="2" t="str">
        <f>_xlfn.IFS(TelecomData[[#This Row],[TenureMonths]]&lt;=12, "0-1 Year", TelecomData[[#This Row],[TenureMonths]]&lt;=36, "1-3 Years", TelecomData[[#This Row],[TenureMonths]]&gt;36, "3+ Years")</f>
        <v>1-3 Years</v>
      </c>
      <c r="N2338" s="2" t="str">
        <f>IF(TelecomData[[#This Row],[CleanedTotalCharges]]&gt;=2500,"High Spend", "Standard Spend")</f>
        <v>Standard Spend</v>
      </c>
    </row>
    <row r="2339" spans="1:14" x14ac:dyDescent="0.3">
      <c r="A2339" s="1" t="s">
        <v>2363</v>
      </c>
      <c r="B2339" s="2" t="s">
        <v>12</v>
      </c>
      <c r="C2339" s="2" t="s">
        <v>20</v>
      </c>
      <c r="D2339" s="2">
        <v>56</v>
      </c>
      <c r="E2339" s="2" t="s">
        <v>26</v>
      </c>
      <c r="F2339" s="2" t="s">
        <v>15</v>
      </c>
      <c r="G2339" s="7">
        <v>104.75</v>
      </c>
      <c r="H2339" s="7">
        <v>5510.65</v>
      </c>
      <c r="I2339" s="2" t="s">
        <v>16</v>
      </c>
      <c r="J2339" s="2" t="s">
        <v>16</v>
      </c>
      <c r="K2339" s="2" t="s">
        <v>24</v>
      </c>
      <c r="L2339" s="7">
        <v>5510.65</v>
      </c>
      <c r="M2339" s="2" t="str">
        <f>_xlfn.IFS(TelecomData[[#This Row],[TenureMonths]]&lt;=12, "0-1 Year", TelecomData[[#This Row],[TenureMonths]]&lt;=36, "1-3 Years", TelecomData[[#This Row],[TenureMonths]]&gt;36, "3+ Years")</f>
        <v>3+ Years</v>
      </c>
      <c r="N2339" s="2" t="str">
        <f>IF(TelecomData[[#This Row],[CleanedTotalCharges]]&gt;=2500,"High Spend", "Standard Spend")</f>
        <v>High Spend</v>
      </c>
    </row>
    <row r="2340" spans="1:14" x14ac:dyDescent="0.3">
      <c r="A2340" s="1" t="s">
        <v>2364</v>
      </c>
      <c r="B2340" s="2" t="s">
        <v>19</v>
      </c>
      <c r="C2340" s="2" t="s">
        <v>35</v>
      </c>
      <c r="D2340" s="2">
        <v>72</v>
      </c>
      <c r="E2340" s="2" t="s">
        <v>15</v>
      </c>
      <c r="F2340" s="2" t="s">
        <v>36</v>
      </c>
      <c r="G2340" s="7">
        <v>19.95</v>
      </c>
      <c r="H2340" s="7">
        <v>1322.85</v>
      </c>
      <c r="I2340" s="2" t="s">
        <v>15</v>
      </c>
      <c r="J2340" s="2" t="s">
        <v>15</v>
      </c>
      <c r="K2340" s="2" t="s">
        <v>24</v>
      </c>
      <c r="L2340" s="7">
        <v>1322.85</v>
      </c>
      <c r="M2340" s="2" t="str">
        <f>_xlfn.IFS(TelecomData[[#This Row],[TenureMonths]]&lt;=12, "0-1 Year", TelecomData[[#This Row],[TenureMonths]]&lt;=36, "1-3 Years", TelecomData[[#This Row],[TenureMonths]]&gt;36, "3+ Years")</f>
        <v>3+ Years</v>
      </c>
      <c r="N2340" s="2" t="str">
        <f>IF(TelecomData[[#This Row],[CleanedTotalCharges]]&gt;=2500,"High Spend", "Standard Spend")</f>
        <v>Standard Spend</v>
      </c>
    </row>
    <row r="2341" spans="1:14" x14ac:dyDescent="0.3">
      <c r="A2341" s="1" t="s">
        <v>2365</v>
      </c>
      <c r="B2341" s="2" t="s">
        <v>12</v>
      </c>
      <c r="C2341" s="2" t="s">
        <v>13</v>
      </c>
      <c r="D2341" s="2">
        <v>21</v>
      </c>
      <c r="E2341" s="2" t="s">
        <v>26</v>
      </c>
      <c r="F2341" s="2" t="s">
        <v>15</v>
      </c>
      <c r="G2341" s="7">
        <v>94.25</v>
      </c>
      <c r="H2341" s="7">
        <v>1973.75</v>
      </c>
      <c r="I2341" s="2" t="s">
        <v>16</v>
      </c>
      <c r="J2341" s="2" t="s">
        <v>16</v>
      </c>
      <c r="K2341" s="2" t="s">
        <v>17</v>
      </c>
      <c r="L2341" s="7">
        <v>1973.75</v>
      </c>
      <c r="M2341" s="2" t="str">
        <f>_xlfn.IFS(TelecomData[[#This Row],[TenureMonths]]&lt;=12, "0-1 Year", TelecomData[[#This Row],[TenureMonths]]&lt;=36, "1-3 Years", TelecomData[[#This Row],[TenureMonths]]&gt;36, "3+ Years")</f>
        <v>1-3 Years</v>
      </c>
      <c r="N2341" s="2" t="str">
        <f>IF(TelecomData[[#This Row],[CleanedTotalCharges]]&gt;=2500,"High Spend", "Standard Spend")</f>
        <v>Standard Spend</v>
      </c>
    </row>
    <row r="2342" spans="1:14" x14ac:dyDescent="0.3">
      <c r="A2342" s="1" t="s">
        <v>2366</v>
      </c>
      <c r="B2342" s="2" t="s">
        <v>12</v>
      </c>
      <c r="C2342" s="2" t="s">
        <v>20</v>
      </c>
      <c r="D2342" s="2">
        <v>48</v>
      </c>
      <c r="E2342" s="2" t="s">
        <v>14</v>
      </c>
      <c r="F2342" s="2" t="s">
        <v>15</v>
      </c>
      <c r="G2342" s="7">
        <v>45</v>
      </c>
      <c r="H2342" s="7">
        <v>2196.3000000000002</v>
      </c>
      <c r="I2342" s="2" t="s">
        <v>15</v>
      </c>
      <c r="J2342" s="2" t="s">
        <v>15</v>
      </c>
      <c r="K2342" s="2" t="s">
        <v>29</v>
      </c>
      <c r="L2342" s="7">
        <v>2196.3000000000002</v>
      </c>
      <c r="M2342" s="2" t="str">
        <f>_xlfn.IFS(TelecomData[[#This Row],[TenureMonths]]&lt;=12, "0-1 Year", TelecomData[[#This Row],[TenureMonths]]&lt;=36, "1-3 Years", TelecomData[[#This Row],[TenureMonths]]&gt;36, "3+ Years")</f>
        <v>3+ Years</v>
      </c>
      <c r="N2342" s="2" t="str">
        <f>IF(TelecomData[[#This Row],[CleanedTotalCharges]]&gt;=2500,"High Spend", "Standard Spend")</f>
        <v>Standard Spend</v>
      </c>
    </row>
    <row r="2343" spans="1:14" x14ac:dyDescent="0.3">
      <c r="A2343" s="1" t="s">
        <v>2367</v>
      </c>
      <c r="B2343" s="2" t="s">
        <v>12</v>
      </c>
      <c r="C2343" s="2" t="s">
        <v>35</v>
      </c>
      <c r="D2343" s="2">
        <v>68</v>
      </c>
      <c r="E2343" s="2" t="s">
        <v>26</v>
      </c>
      <c r="F2343" s="2" t="s">
        <v>16</v>
      </c>
      <c r="G2343" s="7">
        <v>114.9</v>
      </c>
      <c r="H2343" s="7">
        <v>7843.55</v>
      </c>
      <c r="I2343" s="2" t="s">
        <v>15</v>
      </c>
      <c r="J2343" s="2" t="s">
        <v>15</v>
      </c>
      <c r="K2343" s="2" t="s">
        <v>24</v>
      </c>
      <c r="L2343" s="7">
        <v>7843.55</v>
      </c>
      <c r="M2343" s="2" t="str">
        <f>_xlfn.IFS(TelecomData[[#This Row],[TenureMonths]]&lt;=12, "0-1 Year", TelecomData[[#This Row],[TenureMonths]]&lt;=36, "1-3 Years", TelecomData[[#This Row],[TenureMonths]]&gt;36, "3+ Years")</f>
        <v>3+ Years</v>
      </c>
      <c r="N2343" s="2" t="str">
        <f>IF(TelecomData[[#This Row],[CleanedTotalCharges]]&gt;=2500,"High Spend", "Standard Spend")</f>
        <v>High Spend</v>
      </c>
    </row>
    <row r="2344" spans="1:14" x14ac:dyDescent="0.3">
      <c r="A2344" s="1" t="s">
        <v>2368</v>
      </c>
      <c r="B2344" s="2" t="s">
        <v>12</v>
      </c>
      <c r="C2344" s="2" t="s">
        <v>13</v>
      </c>
      <c r="D2344" s="2">
        <v>30</v>
      </c>
      <c r="E2344" s="2" t="s">
        <v>26</v>
      </c>
      <c r="F2344" s="2" t="s">
        <v>16</v>
      </c>
      <c r="G2344" s="7">
        <v>106.4</v>
      </c>
      <c r="H2344" s="7">
        <v>3211.9</v>
      </c>
      <c r="I2344" s="2" t="s">
        <v>15</v>
      </c>
      <c r="J2344" s="2" t="s">
        <v>15</v>
      </c>
      <c r="K2344" s="2" t="s">
        <v>24</v>
      </c>
      <c r="L2344" s="7">
        <v>3211.9</v>
      </c>
      <c r="M2344" s="2" t="str">
        <f>_xlfn.IFS(TelecomData[[#This Row],[TenureMonths]]&lt;=12, "0-1 Year", TelecomData[[#This Row],[TenureMonths]]&lt;=36, "1-3 Years", TelecomData[[#This Row],[TenureMonths]]&gt;36, "3+ Years")</f>
        <v>1-3 Years</v>
      </c>
      <c r="N2344" s="2" t="str">
        <f>IF(TelecomData[[#This Row],[CleanedTotalCharges]]&gt;=2500,"High Spend", "Standard Spend")</f>
        <v>High Spend</v>
      </c>
    </row>
    <row r="2345" spans="1:14" x14ac:dyDescent="0.3">
      <c r="A2345" s="1" t="s">
        <v>2369</v>
      </c>
      <c r="B2345" s="2" t="s">
        <v>12</v>
      </c>
      <c r="C2345" s="2" t="s">
        <v>13</v>
      </c>
      <c r="D2345" s="2">
        <v>3</v>
      </c>
      <c r="E2345" s="2" t="s">
        <v>14</v>
      </c>
      <c r="F2345" s="2" t="s">
        <v>15</v>
      </c>
      <c r="G2345" s="7">
        <v>46.1</v>
      </c>
      <c r="H2345" s="7">
        <v>130.15</v>
      </c>
      <c r="I2345" s="2" t="s">
        <v>15</v>
      </c>
      <c r="J2345" s="2" t="s">
        <v>16</v>
      </c>
      <c r="K2345" s="2" t="s">
        <v>21</v>
      </c>
      <c r="L2345" s="7">
        <v>130.15</v>
      </c>
      <c r="M2345" s="2" t="str">
        <f>_xlfn.IFS(TelecomData[[#This Row],[TenureMonths]]&lt;=12, "0-1 Year", TelecomData[[#This Row],[TenureMonths]]&lt;=36, "1-3 Years", TelecomData[[#This Row],[TenureMonths]]&gt;36, "3+ Years")</f>
        <v>0-1 Year</v>
      </c>
      <c r="N2345" s="2" t="str">
        <f>IF(TelecomData[[#This Row],[CleanedTotalCharges]]&gt;=2500,"High Spend", "Standard Spend")</f>
        <v>Standard Spend</v>
      </c>
    </row>
    <row r="2346" spans="1:14" x14ac:dyDescent="0.3">
      <c r="A2346" s="1" t="s">
        <v>2370</v>
      </c>
      <c r="B2346" s="2" t="s">
        <v>12</v>
      </c>
      <c r="C2346" s="2" t="s">
        <v>35</v>
      </c>
      <c r="D2346" s="2">
        <v>14</v>
      </c>
      <c r="E2346" s="2" t="s">
        <v>14</v>
      </c>
      <c r="F2346" s="2" t="s">
        <v>16</v>
      </c>
      <c r="G2346" s="7">
        <v>39.700000000000003</v>
      </c>
      <c r="H2346" s="7">
        <v>692.35</v>
      </c>
      <c r="I2346" s="2" t="s">
        <v>15</v>
      </c>
      <c r="J2346" s="2" t="s">
        <v>15</v>
      </c>
      <c r="K2346" s="2" t="s">
        <v>21</v>
      </c>
      <c r="L2346" s="7">
        <v>692.35</v>
      </c>
      <c r="M2346" s="2" t="str">
        <f>_xlfn.IFS(TelecomData[[#This Row],[TenureMonths]]&lt;=12, "0-1 Year", TelecomData[[#This Row],[TenureMonths]]&lt;=36, "1-3 Years", TelecomData[[#This Row],[TenureMonths]]&gt;36, "3+ Years")</f>
        <v>1-3 Years</v>
      </c>
      <c r="N2346" s="2" t="str">
        <f>IF(TelecomData[[#This Row],[CleanedTotalCharges]]&gt;=2500,"High Spend", "Standard Spend")</f>
        <v>Standard Spend</v>
      </c>
    </row>
    <row r="2347" spans="1:14" x14ac:dyDescent="0.3">
      <c r="A2347" s="1" t="s">
        <v>2371</v>
      </c>
      <c r="B2347" s="2" t="s">
        <v>12</v>
      </c>
      <c r="C2347" s="2" t="s">
        <v>13</v>
      </c>
      <c r="D2347" s="2">
        <v>4</v>
      </c>
      <c r="E2347" s="2" t="s">
        <v>15</v>
      </c>
      <c r="F2347" s="2" t="s">
        <v>36</v>
      </c>
      <c r="G2347" s="7">
        <v>20.05</v>
      </c>
      <c r="H2347" s="7">
        <v>85.5</v>
      </c>
      <c r="I2347" s="2" t="s">
        <v>15</v>
      </c>
      <c r="J2347" s="2" t="s">
        <v>16</v>
      </c>
      <c r="K2347" s="2" t="s">
        <v>24</v>
      </c>
      <c r="L2347" s="7">
        <v>85.5</v>
      </c>
      <c r="M2347" s="2" t="str">
        <f>_xlfn.IFS(TelecomData[[#This Row],[TenureMonths]]&lt;=12, "0-1 Year", TelecomData[[#This Row],[TenureMonths]]&lt;=36, "1-3 Years", TelecomData[[#This Row],[TenureMonths]]&gt;36, "3+ Years")</f>
        <v>0-1 Year</v>
      </c>
      <c r="N2347" s="2" t="str">
        <f>IF(TelecomData[[#This Row],[CleanedTotalCharges]]&gt;=2500,"High Spend", "Standard Spend")</f>
        <v>Standard Spend</v>
      </c>
    </row>
    <row r="2348" spans="1:14" x14ac:dyDescent="0.3">
      <c r="A2348" s="1" t="s">
        <v>2372</v>
      </c>
      <c r="B2348" s="2" t="s">
        <v>12</v>
      </c>
      <c r="C2348" s="2" t="s">
        <v>35</v>
      </c>
      <c r="D2348" s="2">
        <v>71</v>
      </c>
      <c r="E2348" s="2" t="s">
        <v>26</v>
      </c>
      <c r="F2348" s="2" t="s">
        <v>15</v>
      </c>
      <c r="G2348" s="7">
        <v>95.75</v>
      </c>
      <c r="H2348" s="7">
        <v>6849.4</v>
      </c>
      <c r="I2348" s="2" t="s">
        <v>15</v>
      </c>
      <c r="J2348" s="2" t="s">
        <v>16</v>
      </c>
      <c r="K2348" s="2" t="s">
        <v>29</v>
      </c>
      <c r="L2348" s="7">
        <v>6849.4</v>
      </c>
      <c r="M2348" s="2" t="str">
        <f>_xlfn.IFS(TelecomData[[#This Row],[TenureMonths]]&lt;=12, "0-1 Year", TelecomData[[#This Row],[TenureMonths]]&lt;=36, "1-3 Years", TelecomData[[#This Row],[TenureMonths]]&gt;36, "3+ Years")</f>
        <v>3+ Years</v>
      </c>
      <c r="N2348" s="2" t="str">
        <f>IF(TelecomData[[#This Row],[CleanedTotalCharges]]&gt;=2500,"High Spend", "Standard Spend")</f>
        <v>High Spend</v>
      </c>
    </row>
    <row r="2349" spans="1:14" x14ac:dyDescent="0.3">
      <c r="A2349" s="1" t="s">
        <v>2373</v>
      </c>
      <c r="B2349" s="2" t="s">
        <v>19</v>
      </c>
      <c r="C2349" s="2" t="s">
        <v>20</v>
      </c>
      <c r="D2349" s="2">
        <v>8</v>
      </c>
      <c r="E2349" s="2" t="s">
        <v>15</v>
      </c>
      <c r="F2349" s="2" t="s">
        <v>36</v>
      </c>
      <c r="G2349" s="7">
        <v>24.4</v>
      </c>
      <c r="H2349" s="7">
        <v>203.95</v>
      </c>
      <c r="I2349" s="2" t="s">
        <v>15</v>
      </c>
      <c r="J2349" s="2" t="s">
        <v>15</v>
      </c>
      <c r="K2349" s="2" t="s">
        <v>21</v>
      </c>
      <c r="L2349" s="7">
        <v>203.95</v>
      </c>
      <c r="M2349" s="2" t="str">
        <f>_xlfn.IFS(TelecomData[[#This Row],[TenureMonths]]&lt;=12, "0-1 Year", TelecomData[[#This Row],[TenureMonths]]&lt;=36, "1-3 Years", TelecomData[[#This Row],[TenureMonths]]&gt;36, "3+ Years")</f>
        <v>0-1 Year</v>
      </c>
      <c r="N2349" s="2" t="str">
        <f>IF(TelecomData[[#This Row],[CleanedTotalCharges]]&gt;=2500,"High Spend", "Standard Spend")</f>
        <v>Standard Spend</v>
      </c>
    </row>
    <row r="2350" spans="1:14" x14ac:dyDescent="0.3">
      <c r="A2350" s="1" t="s">
        <v>2374</v>
      </c>
      <c r="B2350" s="2" t="s">
        <v>19</v>
      </c>
      <c r="C2350" s="2" t="s">
        <v>13</v>
      </c>
      <c r="D2350" s="2">
        <v>61</v>
      </c>
      <c r="E2350" s="2" t="s">
        <v>14</v>
      </c>
      <c r="F2350" s="2" t="s">
        <v>15</v>
      </c>
      <c r="G2350" s="7">
        <v>33.6</v>
      </c>
      <c r="H2350" s="7">
        <v>2117.1999999999998</v>
      </c>
      <c r="I2350" s="2" t="s">
        <v>15</v>
      </c>
      <c r="J2350" s="2" t="s">
        <v>15</v>
      </c>
      <c r="K2350" s="2" t="s">
        <v>24</v>
      </c>
      <c r="L2350" s="7">
        <v>2117.1999999999998</v>
      </c>
      <c r="M2350" s="2" t="str">
        <f>_xlfn.IFS(TelecomData[[#This Row],[TenureMonths]]&lt;=12, "0-1 Year", TelecomData[[#This Row],[TenureMonths]]&lt;=36, "1-3 Years", TelecomData[[#This Row],[TenureMonths]]&gt;36, "3+ Years")</f>
        <v>3+ Years</v>
      </c>
      <c r="N2350" s="2" t="str">
        <f>IF(TelecomData[[#This Row],[CleanedTotalCharges]]&gt;=2500,"High Spend", "Standard Spend")</f>
        <v>Standard Spend</v>
      </c>
    </row>
    <row r="2351" spans="1:14" x14ac:dyDescent="0.3">
      <c r="A2351" s="1" t="s">
        <v>2375</v>
      </c>
      <c r="B2351" s="2" t="s">
        <v>19</v>
      </c>
      <c r="C2351" s="2" t="s">
        <v>35</v>
      </c>
      <c r="D2351" s="2">
        <v>72</v>
      </c>
      <c r="E2351" s="2" t="s">
        <v>26</v>
      </c>
      <c r="F2351" s="2" t="s">
        <v>16</v>
      </c>
      <c r="G2351" s="7">
        <v>90.45</v>
      </c>
      <c r="H2351" s="7">
        <v>6565.85</v>
      </c>
      <c r="I2351" s="2" t="s">
        <v>15</v>
      </c>
      <c r="J2351" s="2" t="s">
        <v>15</v>
      </c>
      <c r="K2351" s="2" t="s">
        <v>24</v>
      </c>
      <c r="L2351" s="7">
        <v>6565.85</v>
      </c>
      <c r="M2351" s="2" t="str">
        <f>_xlfn.IFS(TelecomData[[#This Row],[TenureMonths]]&lt;=12, "0-1 Year", TelecomData[[#This Row],[TenureMonths]]&lt;=36, "1-3 Years", TelecomData[[#This Row],[TenureMonths]]&gt;36, "3+ Years")</f>
        <v>3+ Years</v>
      </c>
      <c r="N2351" s="2" t="str">
        <f>IF(TelecomData[[#This Row],[CleanedTotalCharges]]&gt;=2500,"High Spend", "Standard Spend")</f>
        <v>High Spend</v>
      </c>
    </row>
    <row r="2352" spans="1:14" x14ac:dyDescent="0.3">
      <c r="A2352" s="1" t="s">
        <v>2376</v>
      </c>
      <c r="B2352" s="2" t="s">
        <v>12</v>
      </c>
      <c r="C2352" s="2" t="s">
        <v>13</v>
      </c>
      <c r="D2352" s="2">
        <v>5</v>
      </c>
      <c r="E2352" s="2" t="s">
        <v>26</v>
      </c>
      <c r="F2352" s="2" t="s">
        <v>15</v>
      </c>
      <c r="G2352" s="7">
        <v>84</v>
      </c>
      <c r="H2352" s="7">
        <v>424.75</v>
      </c>
      <c r="I2352" s="2" t="s">
        <v>15</v>
      </c>
      <c r="J2352" s="2" t="s">
        <v>16</v>
      </c>
      <c r="K2352" s="2" t="s">
        <v>17</v>
      </c>
      <c r="L2352" s="7">
        <v>424.75</v>
      </c>
      <c r="M2352" s="2" t="str">
        <f>_xlfn.IFS(TelecomData[[#This Row],[TenureMonths]]&lt;=12, "0-1 Year", TelecomData[[#This Row],[TenureMonths]]&lt;=36, "1-3 Years", TelecomData[[#This Row],[TenureMonths]]&gt;36, "3+ Years")</f>
        <v>0-1 Year</v>
      </c>
      <c r="N2352" s="2" t="str">
        <f>IF(TelecomData[[#This Row],[CleanedTotalCharges]]&gt;=2500,"High Spend", "Standard Spend")</f>
        <v>Standard Spend</v>
      </c>
    </row>
    <row r="2353" spans="1:14" x14ac:dyDescent="0.3">
      <c r="A2353" s="1" t="s">
        <v>2377</v>
      </c>
      <c r="B2353" s="2" t="s">
        <v>12</v>
      </c>
      <c r="C2353" s="2" t="s">
        <v>35</v>
      </c>
      <c r="D2353" s="2">
        <v>49</v>
      </c>
      <c r="E2353" s="2" t="s">
        <v>14</v>
      </c>
      <c r="F2353" s="2" t="s">
        <v>16</v>
      </c>
      <c r="G2353" s="7">
        <v>67.400000000000006</v>
      </c>
      <c r="H2353" s="7">
        <v>3306.85</v>
      </c>
      <c r="I2353" s="2" t="s">
        <v>15</v>
      </c>
      <c r="J2353" s="2" t="s">
        <v>15</v>
      </c>
      <c r="K2353" s="2" t="s">
        <v>24</v>
      </c>
      <c r="L2353" s="7">
        <v>3306.85</v>
      </c>
      <c r="M2353" s="2" t="str">
        <f>_xlfn.IFS(TelecomData[[#This Row],[TenureMonths]]&lt;=12, "0-1 Year", TelecomData[[#This Row],[TenureMonths]]&lt;=36, "1-3 Years", TelecomData[[#This Row],[TenureMonths]]&gt;36, "3+ Years")</f>
        <v>3+ Years</v>
      </c>
      <c r="N2353" s="2" t="str">
        <f>IF(TelecomData[[#This Row],[CleanedTotalCharges]]&gt;=2500,"High Spend", "Standard Spend")</f>
        <v>High Spend</v>
      </c>
    </row>
    <row r="2354" spans="1:14" x14ac:dyDescent="0.3">
      <c r="A2354" s="1" t="s">
        <v>2378</v>
      </c>
      <c r="B2354" s="2" t="s">
        <v>19</v>
      </c>
      <c r="C2354" s="2" t="s">
        <v>13</v>
      </c>
      <c r="D2354" s="2">
        <v>8</v>
      </c>
      <c r="E2354" s="2" t="s">
        <v>15</v>
      </c>
      <c r="F2354" s="2" t="s">
        <v>36</v>
      </c>
      <c r="G2354" s="7">
        <v>19.7</v>
      </c>
      <c r="H2354" s="7">
        <v>168.9</v>
      </c>
      <c r="I2354" s="2" t="s">
        <v>15</v>
      </c>
      <c r="J2354" s="2" t="s">
        <v>16</v>
      </c>
      <c r="K2354" s="2" t="s">
        <v>24</v>
      </c>
      <c r="L2354" s="7">
        <v>168.9</v>
      </c>
      <c r="M2354" s="2" t="str">
        <f>_xlfn.IFS(TelecomData[[#This Row],[TenureMonths]]&lt;=12, "0-1 Year", TelecomData[[#This Row],[TenureMonths]]&lt;=36, "1-3 Years", TelecomData[[#This Row],[TenureMonths]]&gt;36, "3+ Years")</f>
        <v>0-1 Year</v>
      </c>
      <c r="N2354" s="2" t="str">
        <f>IF(TelecomData[[#This Row],[CleanedTotalCharges]]&gt;=2500,"High Spend", "Standard Spend")</f>
        <v>Standard Spend</v>
      </c>
    </row>
    <row r="2355" spans="1:14" x14ac:dyDescent="0.3">
      <c r="A2355" s="1" t="s">
        <v>2379</v>
      </c>
      <c r="B2355" s="2" t="s">
        <v>19</v>
      </c>
      <c r="C2355" s="2" t="s">
        <v>13</v>
      </c>
      <c r="D2355" s="2">
        <v>3</v>
      </c>
      <c r="E2355" s="2" t="s">
        <v>26</v>
      </c>
      <c r="F2355" s="2" t="s">
        <v>15</v>
      </c>
      <c r="G2355" s="7">
        <v>80.349999999999994</v>
      </c>
      <c r="H2355" s="7">
        <v>253.8</v>
      </c>
      <c r="I2355" s="2" t="s">
        <v>15</v>
      </c>
      <c r="J2355" s="2" t="s">
        <v>16</v>
      </c>
      <c r="K2355" s="2" t="s">
        <v>17</v>
      </c>
      <c r="L2355" s="7">
        <v>253.8</v>
      </c>
      <c r="M2355" s="2" t="str">
        <f>_xlfn.IFS(TelecomData[[#This Row],[TenureMonths]]&lt;=12, "0-1 Year", TelecomData[[#This Row],[TenureMonths]]&lt;=36, "1-3 Years", TelecomData[[#This Row],[TenureMonths]]&gt;36, "3+ Years")</f>
        <v>0-1 Year</v>
      </c>
      <c r="N2355" s="2" t="str">
        <f>IF(TelecomData[[#This Row],[CleanedTotalCharges]]&gt;=2500,"High Spend", "Standard Spend")</f>
        <v>Standard Spend</v>
      </c>
    </row>
    <row r="2356" spans="1:14" x14ac:dyDescent="0.3">
      <c r="A2356" s="1" t="s">
        <v>2380</v>
      </c>
      <c r="B2356" s="2" t="s">
        <v>19</v>
      </c>
      <c r="C2356" s="2" t="s">
        <v>35</v>
      </c>
      <c r="D2356" s="2">
        <v>9</v>
      </c>
      <c r="E2356" s="2" t="s">
        <v>15</v>
      </c>
      <c r="F2356" s="2" t="s">
        <v>36</v>
      </c>
      <c r="G2356" s="7">
        <v>19.600000000000001</v>
      </c>
      <c r="H2356" s="7">
        <v>197.4</v>
      </c>
      <c r="I2356" s="2" t="s">
        <v>15</v>
      </c>
      <c r="J2356" s="2" t="s">
        <v>15</v>
      </c>
      <c r="K2356" s="2" t="s">
        <v>21</v>
      </c>
      <c r="L2356" s="7">
        <v>197.4</v>
      </c>
      <c r="M2356" s="2" t="str">
        <f>_xlfn.IFS(TelecomData[[#This Row],[TenureMonths]]&lt;=12, "0-1 Year", TelecomData[[#This Row],[TenureMonths]]&lt;=36, "1-3 Years", TelecomData[[#This Row],[TenureMonths]]&gt;36, "3+ Years")</f>
        <v>0-1 Year</v>
      </c>
      <c r="N2356" s="2" t="str">
        <f>IF(TelecomData[[#This Row],[CleanedTotalCharges]]&gt;=2500,"High Spend", "Standard Spend")</f>
        <v>Standard Spend</v>
      </c>
    </row>
    <row r="2357" spans="1:14" x14ac:dyDescent="0.3">
      <c r="A2357" s="1" t="s">
        <v>2381</v>
      </c>
      <c r="B2357" s="2" t="s">
        <v>19</v>
      </c>
      <c r="C2357" s="2" t="s">
        <v>35</v>
      </c>
      <c r="D2357" s="2">
        <v>67</v>
      </c>
      <c r="E2357" s="2" t="s">
        <v>14</v>
      </c>
      <c r="F2357" s="2" t="s">
        <v>15</v>
      </c>
      <c r="G2357" s="7">
        <v>54.2</v>
      </c>
      <c r="H2357" s="7">
        <v>3838.2</v>
      </c>
      <c r="I2357" s="2" t="s">
        <v>15</v>
      </c>
      <c r="J2357" s="2" t="s">
        <v>16</v>
      </c>
      <c r="K2357" s="2" t="s">
        <v>24</v>
      </c>
      <c r="L2357" s="7">
        <v>3838.2</v>
      </c>
      <c r="M2357" s="2" t="str">
        <f>_xlfn.IFS(TelecomData[[#This Row],[TenureMonths]]&lt;=12, "0-1 Year", TelecomData[[#This Row],[TenureMonths]]&lt;=36, "1-3 Years", TelecomData[[#This Row],[TenureMonths]]&gt;36, "3+ Years")</f>
        <v>3+ Years</v>
      </c>
      <c r="N2357" s="2" t="str">
        <f>IF(TelecomData[[#This Row],[CleanedTotalCharges]]&gt;=2500,"High Spend", "Standard Spend")</f>
        <v>High Spend</v>
      </c>
    </row>
    <row r="2358" spans="1:14" x14ac:dyDescent="0.3">
      <c r="A2358" s="1" t="s">
        <v>2382</v>
      </c>
      <c r="B2358" s="2" t="s">
        <v>19</v>
      </c>
      <c r="C2358" s="2" t="s">
        <v>13</v>
      </c>
      <c r="D2358" s="2">
        <v>46</v>
      </c>
      <c r="E2358" s="2" t="s">
        <v>14</v>
      </c>
      <c r="F2358" s="2" t="s">
        <v>15</v>
      </c>
      <c r="G2358" s="7">
        <v>45.2</v>
      </c>
      <c r="H2358" s="7">
        <v>2065.15</v>
      </c>
      <c r="I2358" s="2" t="s">
        <v>15</v>
      </c>
      <c r="J2358" s="2" t="s">
        <v>16</v>
      </c>
      <c r="K2358" s="2" t="s">
        <v>29</v>
      </c>
      <c r="L2358" s="7">
        <v>2065.15</v>
      </c>
      <c r="M2358" s="2" t="str">
        <f>_xlfn.IFS(TelecomData[[#This Row],[TenureMonths]]&lt;=12, "0-1 Year", TelecomData[[#This Row],[TenureMonths]]&lt;=36, "1-3 Years", TelecomData[[#This Row],[TenureMonths]]&gt;36, "3+ Years")</f>
        <v>3+ Years</v>
      </c>
      <c r="N2358" s="2" t="str">
        <f>IF(TelecomData[[#This Row],[CleanedTotalCharges]]&gt;=2500,"High Spend", "Standard Spend")</f>
        <v>Standard Spend</v>
      </c>
    </row>
    <row r="2359" spans="1:14" x14ac:dyDescent="0.3">
      <c r="A2359" s="1" t="s">
        <v>2383</v>
      </c>
      <c r="B2359" s="2" t="s">
        <v>12</v>
      </c>
      <c r="C2359" s="2" t="s">
        <v>20</v>
      </c>
      <c r="D2359" s="2">
        <v>67</v>
      </c>
      <c r="E2359" s="2" t="s">
        <v>14</v>
      </c>
      <c r="F2359" s="2" t="s">
        <v>15</v>
      </c>
      <c r="G2359" s="7">
        <v>75.099999999999994</v>
      </c>
      <c r="H2359" s="7">
        <v>5064.45</v>
      </c>
      <c r="I2359" s="2" t="s">
        <v>15</v>
      </c>
      <c r="J2359" s="2" t="s">
        <v>15</v>
      </c>
      <c r="K2359" s="2" t="s">
        <v>21</v>
      </c>
      <c r="L2359" s="7">
        <v>5064.45</v>
      </c>
      <c r="M2359" s="2" t="str">
        <f>_xlfn.IFS(TelecomData[[#This Row],[TenureMonths]]&lt;=12, "0-1 Year", TelecomData[[#This Row],[TenureMonths]]&lt;=36, "1-3 Years", TelecomData[[#This Row],[TenureMonths]]&gt;36, "3+ Years")</f>
        <v>3+ Years</v>
      </c>
      <c r="N2359" s="2" t="str">
        <f>IF(TelecomData[[#This Row],[CleanedTotalCharges]]&gt;=2500,"High Spend", "Standard Spend")</f>
        <v>High Spend</v>
      </c>
    </row>
    <row r="2360" spans="1:14" x14ac:dyDescent="0.3">
      <c r="A2360" s="1" t="s">
        <v>2384</v>
      </c>
      <c r="B2360" s="2" t="s">
        <v>12</v>
      </c>
      <c r="C2360" s="2" t="s">
        <v>20</v>
      </c>
      <c r="D2360" s="2">
        <v>55</v>
      </c>
      <c r="E2360" s="2" t="s">
        <v>15</v>
      </c>
      <c r="F2360" s="2" t="s">
        <v>36</v>
      </c>
      <c r="G2360" s="7">
        <v>19.7</v>
      </c>
      <c r="H2360" s="7">
        <v>1140.05</v>
      </c>
      <c r="I2360" s="2" t="s">
        <v>15</v>
      </c>
      <c r="J2360" s="2" t="s">
        <v>15</v>
      </c>
      <c r="K2360" s="2" t="s">
        <v>17</v>
      </c>
      <c r="L2360" s="7">
        <v>1140.05</v>
      </c>
      <c r="M2360" s="2" t="str">
        <f>_xlfn.IFS(TelecomData[[#This Row],[TenureMonths]]&lt;=12, "0-1 Year", TelecomData[[#This Row],[TenureMonths]]&lt;=36, "1-3 Years", TelecomData[[#This Row],[TenureMonths]]&gt;36, "3+ Years")</f>
        <v>3+ Years</v>
      </c>
      <c r="N2360" s="2" t="str">
        <f>IF(TelecomData[[#This Row],[CleanedTotalCharges]]&gt;=2500,"High Spend", "Standard Spend")</f>
        <v>Standard Spend</v>
      </c>
    </row>
    <row r="2361" spans="1:14" x14ac:dyDescent="0.3">
      <c r="A2361" s="1" t="s">
        <v>2385</v>
      </c>
      <c r="B2361" s="2" t="s">
        <v>19</v>
      </c>
      <c r="C2361" s="2" t="s">
        <v>13</v>
      </c>
      <c r="D2361" s="2">
        <v>33</v>
      </c>
      <c r="E2361" s="2" t="s">
        <v>14</v>
      </c>
      <c r="F2361" s="2" t="s">
        <v>15</v>
      </c>
      <c r="G2361" s="7">
        <v>72.75</v>
      </c>
      <c r="H2361" s="7">
        <v>2447.4499999999998</v>
      </c>
      <c r="I2361" s="2" t="s">
        <v>15</v>
      </c>
      <c r="J2361" s="2" t="s">
        <v>16</v>
      </c>
      <c r="K2361" s="2" t="s">
        <v>24</v>
      </c>
      <c r="L2361" s="7">
        <v>2447.4499999999998</v>
      </c>
      <c r="M2361" s="2" t="str">
        <f>_xlfn.IFS(TelecomData[[#This Row],[TenureMonths]]&lt;=12, "0-1 Year", TelecomData[[#This Row],[TenureMonths]]&lt;=36, "1-3 Years", TelecomData[[#This Row],[TenureMonths]]&gt;36, "3+ Years")</f>
        <v>1-3 Years</v>
      </c>
      <c r="N2361" s="2" t="str">
        <f>IF(TelecomData[[#This Row],[CleanedTotalCharges]]&gt;=2500,"High Spend", "Standard Spend")</f>
        <v>Standard Spend</v>
      </c>
    </row>
    <row r="2362" spans="1:14" x14ac:dyDescent="0.3">
      <c r="A2362" s="1" t="s">
        <v>2386</v>
      </c>
      <c r="B2362" s="2" t="s">
        <v>19</v>
      </c>
      <c r="C2362" s="2" t="s">
        <v>35</v>
      </c>
      <c r="D2362" s="2">
        <v>62</v>
      </c>
      <c r="E2362" s="2" t="s">
        <v>15</v>
      </c>
      <c r="F2362" s="2" t="s">
        <v>36</v>
      </c>
      <c r="G2362" s="7">
        <v>20.05</v>
      </c>
      <c r="H2362" s="7">
        <v>1263.9000000000001</v>
      </c>
      <c r="I2362" s="2" t="s">
        <v>15</v>
      </c>
      <c r="J2362" s="2" t="s">
        <v>15</v>
      </c>
      <c r="K2362" s="2" t="s">
        <v>29</v>
      </c>
      <c r="L2362" s="7">
        <v>1263.9000000000001</v>
      </c>
      <c r="M2362" s="2" t="str">
        <f>_xlfn.IFS(TelecomData[[#This Row],[TenureMonths]]&lt;=12, "0-1 Year", TelecomData[[#This Row],[TenureMonths]]&lt;=36, "1-3 Years", TelecomData[[#This Row],[TenureMonths]]&gt;36, "3+ Years")</f>
        <v>3+ Years</v>
      </c>
      <c r="N2362" s="2" t="str">
        <f>IF(TelecomData[[#This Row],[CleanedTotalCharges]]&gt;=2500,"High Spend", "Standard Spend")</f>
        <v>Standard Spend</v>
      </c>
    </row>
    <row r="2363" spans="1:14" x14ac:dyDescent="0.3">
      <c r="A2363" s="1" t="s">
        <v>2387</v>
      </c>
      <c r="B2363" s="2" t="s">
        <v>12</v>
      </c>
      <c r="C2363" s="2" t="s">
        <v>13</v>
      </c>
      <c r="D2363" s="2">
        <v>1</v>
      </c>
      <c r="E2363" s="2" t="s">
        <v>14</v>
      </c>
      <c r="F2363" s="2" t="s">
        <v>15</v>
      </c>
      <c r="G2363" s="7">
        <v>45.95</v>
      </c>
      <c r="H2363" s="7">
        <v>45.95</v>
      </c>
      <c r="I2363" s="2" t="s">
        <v>16</v>
      </c>
      <c r="J2363" s="2" t="s">
        <v>15</v>
      </c>
      <c r="K2363" s="2" t="s">
        <v>21</v>
      </c>
      <c r="L2363" s="7">
        <v>45.95</v>
      </c>
      <c r="M2363" s="2" t="str">
        <f>_xlfn.IFS(TelecomData[[#This Row],[TenureMonths]]&lt;=12, "0-1 Year", TelecomData[[#This Row],[TenureMonths]]&lt;=36, "1-3 Years", TelecomData[[#This Row],[TenureMonths]]&gt;36, "3+ Years")</f>
        <v>0-1 Year</v>
      </c>
      <c r="N2363" s="2" t="str">
        <f>IF(TelecomData[[#This Row],[CleanedTotalCharges]]&gt;=2500,"High Spend", "Standard Spend")</f>
        <v>Standard Spend</v>
      </c>
    </row>
    <row r="2364" spans="1:14" x14ac:dyDescent="0.3">
      <c r="A2364" s="1" t="s">
        <v>2388</v>
      </c>
      <c r="B2364" s="2" t="s">
        <v>19</v>
      </c>
      <c r="C2364" s="2" t="s">
        <v>13</v>
      </c>
      <c r="D2364" s="2">
        <v>49</v>
      </c>
      <c r="E2364" s="2" t="s">
        <v>14</v>
      </c>
      <c r="F2364" s="2" t="s">
        <v>15</v>
      </c>
      <c r="G2364" s="7">
        <v>39.200000000000003</v>
      </c>
      <c r="H2364" s="7">
        <v>1838.15</v>
      </c>
      <c r="I2364" s="2" t="s">
        <v>15</v>
      </c>
      <c r="J2364" s="2" t="s">
        <v>16</v>
      </c>
      <c r="K2364" s="2" t="s">
        <v>17</v>
      </c>
      <c r="L2364" s="7">
        <v>1838.15</v>
      </c>
      <c r="M2364" s="2" t="str">
        <f>_xlfn.IFS(TelecomData[[#This Row],[TenureMonths]]&lt;=12, "0-1 Year", TelecomData[[#This Row],[TenureMonths]]&lt;=36, "1-3 Years", TelecomData[[#This Row],[TenureMonths]]&gt;36, "3+ Years")</f>
        <v>3+ Years</v>
      </c>
      <c r="N2364" s="2" t="str">
        <f>IF(TelecomData[[#This Row],[CleanedTotalCharges]]&gt;=2500,"High Spend", "Standard Spend")</f>
        <v>Standard Spend</v>
      </c>
    </row>
    <row r="2365" spans="1:14" x14ac:dyDescent="0.3">
      <c r="A2365" s="1" t="s">
        <v>2389</v>
      </c>
      <c r="B2365" s="2" t="s">
        <v>19</v>
      </c>
      <c r="C2365" s="2" t="s">
        <v>13</v>
      </c>
      <c r="D2365" s="2">
        <v>1</v>
      </c>
      <c r="E2365" s="2" t="s">
        <v>14</v>
      </c>
      <c r="F2365" s="2" t="s">
        <v>15</v>
      </c>
      <c r="G2365" s="7">
        <v>44.75</v>
      </c>
      <c r="H2365" s="7">
        <v>44.75</v>
      </c>
      <c r="I2365" s="2" t="s">
        <v>15</v>
      </c>
      <c r="J2365" s="2" t="s">
        <v>16</v>
      </c>
      <c r="K2365" s="2" t="s">
        <v>17</v>
      </c>
      <c r="L2365" s="7">
        <v>44.75</v>
      </c>
      <c r="M2365" s="2" t="str">
        <f>_xlfn.IFS(TelecomData[[#This Row],[TenureMonths]]&lt;=12, "0-1 Year", TelecomData[[#This Row],[TenureMonths]]&lt;=36, "1-3 Years", TelecomData[[#This Row],[TenureMonths]]&gt;36, "3+ Years")</f>
        <v>0-1 Year</v>
      </c>
      <c r="N2365" s="2" t="str">
        <f>IF(TelecomData[[#This Row],[CleanedTotalCharges]]&gt;=2500,"High Spend", "Standard Spend")</f>
        <v>Standard Spend</v>
      </c>
    </row>
    <row r="2366" spans="1:14" x14ac:dyDescent="0.3">
      <c r="A2366" s="1" t="s">
        <v>2390</v>
      </c>
      <c r="B2366" s="2" t="s">
        <v>19</v>
      </c>
      <c r="C2366" s="2" t="s">
        <v>13</v>
      </c>
      <c r="D2366" s="2">
        <v>14</v>
      </c>
      <c r="E2366" s="2" t="s">
        <v>26</v>
      </c>
      <c r="F2366" s="2" t="s">
        <v>15</v>
      </c>
      <c r="G2366" s="7">
        <v>82.65</v>
      </c>
      <c r="H2366" s="7">
        <v>1185</v>
      </c>
      <c r="I2366" s="2" t="s">
        <v>15</v>
      </c>
      <c r="J2366" s="2" t="s">
        <v>16</v>
      </c>
      <c r="K2366" s="2" t="s">
        <v>17</v>
      </c>
      <c r="L2366" s="7">
        <v>1185</v>
      </c>
      <c r="M2366" s="2" t="str">
        <f>_xlfn.IFS(TelecomData[[#This Row],[TenureMonths]]&lt;=12, "0-1 Year", TelecomData[[#This Row],[TenureMonths]]&lt;=36, "1-3 Years", TelecomData[[#This Row],[TenureMonths]]&gt;36, "3+ Years")</f>
        <v>1-3 Years</v>
      </c>
      <c r="N2366" s="2" t="str">
        <f>IF(TelecomData[[#This Row],[CleanedTotalCharges]]&gt;=2500,"High Spend", "Standard Spend")</f>
        <v>Standard Spend</v>
      </c>
    </row>
    <row r="2367" spans="1:14" x14ac:dyDescent="0.3">
      <c r="A2367" s="1" t="s">
        <v>2391</v>
      </c>
      <c r="B2367" s="2" t="s">
        <v>19</v>
      </c>
      <c r="C2367" s="2" t="s">
        <v>13</v>
      </c>
      <c r="D2367" s="2">
        <v>18</v>
      </c>
      <c r="E2367" s="2" t="s">
        <v>26</v>
      </c>
      <c r="F2367" s="2" t="s">
        <v>16</v>
      </c>
      <c r="G2367" s="7">
        <v>93.9</v>
      </c>
      <c r="H2367" s="7">
        <v>1743.9</v>
      </c>
      <c r="I2367" s="2" t="s">
        <v>15</v>
      </c>
      <c r="J2367" s="2" t="s">
        <v>15</v>
      </c>
      <c r="K2367" s="2" t="s">
        <v>24</v>
      </c>
      <c r="L2367" s="7">
        <v>1743.9</v>
      </c>
      <c r="M2367" s="2" t="str">
        <f>_xlfn.IFS(TelecomData[[#This Row],[TenureMonths]]&lt;=12, "0-1 Year", TelecomData[[#This Row],[TenureMonths]]&lt;=36, "1-3 Years", TelecomData[[#This Row],[TenureMonths]]&gt;36, "3+ Years")</f>
        <v>1-3 Years</v>
      </c>
      <c r="N2367" s="2" t="str">
        <f>IF(TelecomData[[#This Row],[CleanedTotalCharges]]&gt;=2500,"High Spend", "Standard Spend")</f>
        <v>Standard Spend</v>
      </c>
    </row>
    <row r="2368" spans="1:14" x14ac:dyDescent="0.3">
      <c r="A2368" s="1" t="s">
        <v>2392</v>
      </c>
      <c r="B2368" s="2" t="s">
        <v>12</v>
      </c>
      <c r="C2368" s="2" t="s">
        <v>13</v>
      </c>
      <c r="D2368" s="2">
        <v>1</v>
      </c>
      <c r="E2368" s="2" t="s">
        <v>26</v>
      </c>
      <c r="F2368" s="2" t="s">
        <v>15</v>
      </c>
      <c r="G2368" s="7">
        <v>70.150000000000006</v>
      </c>
      <c r="H2368" s="7">
        <v>70.150000000000006</v>
      </c>
      <c r="I2368" s="2" t="s">
        <v>16</v>
      </c>
      <c r="J2368" s="2" t="s">
        <v>16</v>
      </c>
      <c r="K2368" s="2" t="s">
        <v>17</v>
      </c>
      <c r="L2368" s="7">
        <v>70.150000000000006</v>
      </c>
      <c r="M2368" s="2" t="str">
        <f>_xlfn.IFS(TelecomData[[#This Row],[TenureMonths]]&lt;=12, "0-1 Year", TelecomData[[#This Row],[TenureMonths]]&lt;=36, "1-3 Years", TelecomData[[#This Row],[TenureMonths]]&gt;36, "3+ Years")</f>
        <v>0-1 Year</v>
      </c>
      <c r="N2368" s="2" t="str">
        <f>IF(TelecomData[[#This Row],[CleanedTotalCharges]]&gt;=2500,"High Spend", "Standard Spend")</f>
        <v>Standard Spend</v>
      </c>
    </row>
    <row r="2369" spans="1:14" x14ac:dyDescent="0.3">
      <c r="A2369" s="1" t="s">
        <v>2393</v>
      </c>
      <c r="B2369" s="2" t="s">
        <v>12</v>
      </c>
      <c r="C2369" s="2" t="s">
        <v>13</v>
      </c>
      <c r="D2369" s="2">
        <v>1</v>
      </c>
      <c r="E2369" s="2" t="s">
        <v>26</v>
      </c>
      <c r="F2369" s="2" t="s">
        <v>15</v>
      </c>
      <c r="G2369" s="7">
        <v>85.55</v>
      </c>
      <c r="H2369" s="7">
        <v>85.55</v>
      </c>
      <c r="I2369" s="2" t="s">
        <v>16</v>
      </c>
      <c r="J2369" s="2" t="s">
        <v>16</v>
      </c>
      <c r="K2369" s="2" t="s">
        <v>29</v>
      </c>
      <c r="L2369" s="7">
        <v>85.55</v>
      </c>
      <c r="M2369" s="2" t="str">
        <f>_xlfn.IFS(TelecomData[[#This Row],[TenureMonths]]&lt;=12, "0-1 Year", TelecomData[[#This Row],[TenureMonths]]&lt;=36, "1-3 Years", TelecomData[[#This Row],[TenureMonths]]&gt;36, "3+ Years")</f>
        <v>0-1 Year</v>
      </c>
      <c r="N2369" s="2" t="str">
        <f>IF(TelecomData[[#This Row],[CleanedTotalCharges]]&gt;=2500,"High Spend", "Standard Spend")</f>
        <v>Standard Spend</v>
      </c>
    </row>
    <row r="2370" spans="1:14" x14ac:dyDescent="0.3">
      <c r="A2370" s="1" t="s">
        <v>2394</v>
      </c>
      <c r="B2370" s="2" t="s">
        <v>12</v>
      </c>
      <c r="C2370" s="2" t="s">
        <v>35</v>
      </c>
      <c r="D2370" s="2">
        <v>72</v>
      </c>
      <c r="E2370" s="2" t="s">
        <v>26</v>
      </c>
      <c r="F2370" s="2" t="s">
        <v>16</v>
      </c>
      <c r="G2370" s="7">
        <v>117.15</v>
      </c>
      <c r="H2370" s="7">
        <v>8529.5</v>
      </c>
      <c r="I2370" s="2" t="s">
        <v>15</v>
      </c>
      <c r="J2370" s="2" t="s">
        <v>16</v>
      </c>
      <c r="K2370" s="2" t="s">
        <v>29</v>
      </c>
      <c r="L2370" s="7">
        <v>8529.5</v>
      </c>
      <c r="M2370" s="2" t="str">
        <f>_xlfn.IFS(TelecomData[[#This Row],[TenureMonths]]&lt;=12, "0-1 Year", TelecomData[[#This Row],[TenureMonths]]&lt;=36, "1-3 Years", TelecomData[[#This Row],[TenureMonths]]&gt;36, "3+ Years")</f>
        <v>3+ Years</v>
      </c>
      <c r="N2370" s="2" t="str">
        <f>IF(TelecomData[[#This Row],[CleanedTotalCharges]]&gt;=2500,"High Spend", "Standard Spend")</f>
        <v>High Spend</v>
      </c>
    </row>
    <row r="2371" spans="1:14" x14ac:dyDescent="0.3">
      <c r="A2371" s="1" t="s">
        <v>2395</v>
      </c>
      <c r="B2371" s="2" t="s">
        <v>19</v>
      </c>
      <c r="C2371" s="2" t="s">
        <v>35</v>
      </c>
      <c r="D2371" s="2">
        <v>64</v>
      </c>
      <c r="E2371" s="2" t="s">
        <v>26</v>
      </c>
      <c r="F2371" s="2" t="s">
        <v>16</v>
      </c>
      <c r="G2371" s="7">
        <v>99.25</v>
      </c>
      <c r="H2371" s="7">
        <v>6549.45</v>
      </c>
      <c r="I2371" s="2" t="s">
        <v>15</v>
      </c>
      <c r="J2371" s="2" t="s">
        <v>15</v>
      </c>
      <c r="K2371" s="2" t="s">
        <v>29</v>
      </c>
      <c r="L2371" s="7">
        <v>6549.45</v>
      </c>
      <c r="M2371" s="2" t="str">
        <f>_xlfn.IFS(TelecomData[[#This Row],[TenureMonths]]&lt;=12, "0-1 Year", TelecomData[[#This Row],[TenureMonths]]&lt;=36, "1-3 Years", TelecomData[[#This Row],[TenureMonths]]&gt;36, "3+ Years")</f>
        <v>3+ Years</v>
      </c>
      <c r="N2371" s="2" t="str">
        <f>IF(TelecomData[[#This Row],[CleanedTotalCharges]]&gt;=2500,"High Spend", "Standard Spend")</f>
        <v>High Spend</v>
      </c>
    </row>
    <row r="2372" spans="1:14" x14ac:dyDescent="0.3">
      <c r="A2372" s="1" t="s">
        <v>2396</v>
      </c>
      <c r="B2372" s="2" t="s">
        <v>19</v>
      </c>
      <c r="C2372" s="2" t="s">
        <v>35</v>
      </c>
      <c r="D2372" s="2">
        <v>69</v>
      </c>
      <c r="E2372" s="2" t="s">
        <v>26</v>
      </c>
      <c r="F2372" s="2" t="s">
        <v>16</v>
      </c>
      <c r="G2372" s="7">
        <v>112.55</v>
      </c>
      <c r="H2372" s="7">
        <v>7806.5</v>
      </c>
      <c r="I2372" s="2" t="s">
        <v>15</v>
      </c>
      <c r="J2372" s="2" t="s">
        <v>16</v>
      </c>
      <c r="K2372" s="2" t="s">
        <v>24</v>
      </c>
      <c r="L2372" s="7">
        <v>7806.5</v>
      </c>
      <c r="M2372" s="2" t="str">
        <f>_xlfn.IFS(TelecomData[[#This Row],[TenureMonths]]&lt;=12, "0-1 Year", TelecomData[[#This Row],[TenureMonths]]&lt;=36, "1-3 Years", TelecomData[[#This Row],[TenureMonths]]&gt;36, "3+ Years")</f>
        <v>3+ Years</v>
      </c>
      <c r="N2372" s="2" t="str">
        <f>IF(TelecomData[[#This Row],[CleanedTotalCharges]]&gt;=2500,"High Spend", "Standard Spend")</f>
        <v>High Spend</v>
      </c>
    </row>
    <row r="2373" spans="1:14" x14ac:dyDescent="0.3">
      <c r="A2373" s="1" t="s">
        <v>2397</v>
      </c>
      <c r="B2373" s="2" t="s">
        <v>12</v>
      </c>
      <c r="C2373" s="2" t="s">
        <v>13</v>
      </c>
      <c r="D2373" s="2">
        <v>1</v>
      </c>
      <c r="E2373" s="2" t="s">
        <v>15</v>
      </c>
      <c r="F2373" s="2" t="s">
        <v>36</v>
      </c>
      <c r="G2373" s="7">
        <v>25.7</v>
      </c>
      <c r="H2373" s="7">
        <v>25.7</v>
      </c>
      <c r="I2373" s="2" t="s">
        <v>15</v>
      </c>
      <c r="J2373" s="2" t="s">
        <v>16</v>
      </c>
      <c r="K2373" s="2" t="s">
        <v>17</v>
      </c>
      <c r="L2373" s="7">
        <v>25.7</v>
      </c>
      <c r="M2373" s="2" t="str">
        <f>_xlfn.IFS(TelecomData[[#This Row],[TenureMonths]]&lt;=12, "0-1 Year", TelecomData[[#This Row],[TenureMonths]]&lt;=36, "1-3 Years", TelecomData[[#This Row],[TenureMonths]]&gt;36, "3+ Years")</f>
        <v>0-1 Year</v>
      </c>
      <c r="N2373" s="2" t="str">
        <f>IF(TelecomData[[#This Row],[CleanedTotalCharges]]&gt;=2500,"High Spend", "Standard Spend")</f>
        <v>Standard Spend</v>
      </c>
    </row>
    <row r="2374" spans="1:14" x14ac:dyDescent="0.3">
      <c r="A2374" s="1" t="s">
        <v>2398</v>
      </c>
      <c r="B2374" s="2" t="s">
        <v>19</v>
      </c>
      <c r="C2374" s="2" t="s">
        <v>35</v>
      </c>
      <c r="D2374" s="2">
        <v>71</v>
      </c>
      <c r="E2374" s="2" t="s">
        <v>14</v>
      </c>
      <c r="F2374" s="2" t="s">
        <v>16</v>
      </c>
      <c r="G2374" s="7">
        <v>90.3</v>
      </c>
      <c r="H2374" s="7">
        <v>6287.3</v>
      </c>
      <c r="I2374" s="2" t="s">
        <v>15</v>
      </c>
      <c r="J2374" s="2" t="s">
        <v>15</v>
      </c>
      <c r="K2374" s="2" t="s">
        <v>29</v>
      </c>
      <c r="L2374" s="7">
        <v>6287.3</v>
      </c>
      <c r="M2374" s="2" t="str">
        <f>_xlfn.IFS(TelecomData[[#This Row],[TenureMonths]]&lt;=12, "0-1 Year", TelecomData[[#This Row],[TenureMonths]]&lt;=36, "1-3 Years", TelecomData[[#This Row],[TenureMonths]]&gt;36, "3+ Years")</f>
        <v>3+ Years</v>
      </c>
      <c r="N2374" s="2" t="str">
        <f>IF(TelecomData[[#This Row],[CleanedTotalCharges]]&gt;=2500,"High Spend", "Standard Spend")</f>
        <v>High Spend</v>
      </c>
    </row>
    <row r="2375" spans="1:14" x14ac:dyDescent="0.3">
      <c r="A2375" s="1" t="s">
        <v>2399</v>
      </c>
      <c r="B2375" s="2" t="s">
        <v>12</v>
      </c>
      <c r="C2375" s="2" t="s">
        <v>20</v>
      </c>
      <c r="D2375" s="2">
        <v>66</v>
      </c>
      <c r="E2375" s="2" t="s">
        <v>14</v>
      </c>
      <c r="F2375" s="2" t="s">
        <v>16</v>
      </c>
      <c r="G2375" s="7">
        <v>49.4</v>
      </c>
      <c r="H2375" s="7">
        <v>3251.85</v>
      </c>
      <c r="I2375" s="2" t="s">
        <v>15</v>
      </c>
      <c r="J2375" s="2" t="s">
        <v>16</v>
      </c>
      <c r="K2375" s="2" t="s">
        <v>29</v>
      </c>
      <c r="L2375" s="7">
        <v>3251.85</v>
      </c>
      <c r="M2375" s="2" t="str">
        <f>_xlfn.IFS(TelecomData[[#This Row],[TenureMonths]]&lt;=12, "0-1 Year", TelecomData[[#This Row],[TenureMonths]]&lt;=36, "1-3 Years", TelecomData[[#This Row],[TenureMonths]]&gt;36, "3+ Years")</f>
        <v>3+ Years</v>
      </c>
      <c r="N2375" s="2" t="str">
        <f>IF(TelecomData[[#This Row],[CleanedTotalCharges]]&gt;=2500,"High Spend", "Standard Spend")</f>
        <v>High Spend</v>
      </c>
    </row>
    <row r="2376" spans="1:14" x14ac:dyDescent="0.3">
      <c r="A2376" s="1" t="s">
        <v>2400</v>
      </c>
      <c r="B2376" s="2" t="s">
        <v>19</v>
      </c>
      <c r="C2376" s="2" t="s">
        <v>13</v>
      </c>
      <c r="D2376" s="2">
        <v>2</v>
      </c>
      <c r="E2376" s="2" t="s">
        <v>15</v>
      </c>
      <c r="F2376" s="2" t="s">
        <v>36</v>
      </c>
      <c r="G2376" s="7">
        <v>19.399999999999999</v>
      </c>
      <c r="H2376" s="7">
        <v>50.6</v>
      </c>
      <c r="I2376" s="2" t="s">
        <v>15</v>
      </c>
      <c r="J2376" s="2" t="s">
        <v>15</v>
      </c>
      <c r="K2376" s="2" t="s">
        <v>21</v>
      </c>
      <c r="L2376" s="7">
        <v>50.6</v>
      </c>
      <c r="M2376" s="2" t="str">
        <f>_xlfn.IFS(TelecomData[[#This Row],[TenureMonths]]&lt;=12, "0-1 Year", TelecomData[[#This Row],[TenureMonths]]&lt;=36, "1-3 Years", TelecomData[[#This Row],[TenureMonths]]&gt;36, "3+ Years")</f>
        <v>0-1 Year</v>
      </c>
      <c r="N2376" s="2" t="str">
        <f>IF(TelecomData[[#This Row],[CleanedTotalCharges]]&gt;=2500,"High Spend", "Standard Spend")</f>
        <v>Standard Spend</v>
      </c>
    </row>
    <row r="2377" spans="1:14" x14ac:dyDescent="0.3">
      <c r="A2377" s="1" t="s">
        <v>2401</v>
      </c>
      <c r="B2377" s="2" t="s">
        <v>12</v>
      </c>
      <c r="C2377" s="2" t="s">
        <v>35</v>
      </c>
      <c r="D2377" s="2">
        <v>71</v>
      </c>
      <c r="E2377" s="2" t="s">
        <v>26</v>
      </c>
      <c r="F2377" s="2" t="s">
        <v>16</v>
      </c>
      <c r="G2377" s="7">
        <v>109.7</v>
      </c>
      <c r="H2377" s="7">
        <v>7904.25</v>
      </c>
      <c r="I2377" s="2" t="s">
        <v>15</v>
      </c>
      <c r="J2377" s="2" t="s">
        <v>16</v>
      </c>
      <c r="K2377" s="2" t="s">
        <v>24</v>
      </c>
      <c r="L2377" s="7">
        <v>7904.25</v>
      </c>
      <c r="M2377" s="2" t="str">
        <f>_xlfn.IFS(TelecomData[[#This Row],[TenureMonths]]&lt;=12, "0-1 Year", TelecomData[[#This Row],[TenureMonths]]&lt;=36, "1-3 Years", TelecomData[[#This Row],[TenureMonths]]&gt;36, "3+ Years")</f>
        <v>3+ Years</v>
      </c>
      <c r="N2377" s="2" t="str">
        <f>IF(TelecomData[[#This Row],[CleanedTotalCharges]]&gt;=2500,"High Spend", "Standard Spend")</f>
        <v>High Spend</v>
      </c>
    </row>
    <row r="2378" spans="1:14" x14ac:dyDescent="0.3">
      <c r="A2378" s="1" t="s">
        <v>2402</v>
      </c>
      <c r="B2378" s="2" t="s">
        <v>19</v>
      </c>
      <c r="C2378" s="2" t="s">
        <v>20</v>
      </c>
      <c r="D2378" s="2">
        <v>11</v>
      </c>
      <c r="E2378" s="2" t="s">
        <v>14</v>
      </c>
      <c r="F2378" s="2" t="s">
        <v>15</v>
      </c>
      <c r="G2378" s="7">
        <v>61.25</v>
      </c>
      <c r="H2378" s="7">
        <v>729.95</v>
      </c>
      <c r="I2378" s="2" t="s">
        <v>15</v>
      </c>
      <c r="J2378" s="2" t="s">
        <v>16</v>
      </c>
      <c r="K2378" s="2" t="s">
        <v>17</v>
      </c>
      <c r="L2378" s="7">
        <v>729.95</v>
      </c>
      <c r="M2378" s="2" t="str">
        <f>_xlfn.IFS(TelecomData[[#This Row],[TenureMonths]]&lt;=12, "0-1 Year", TelecomData[[#This Row],[TenureMonths]]&lt;=36, "1-3 Years", TelecomData[[#This Row],[TenureMonths]]&gt;36, "3+ Years")</f>
        <v>0-1 Year</v>
      </c>
      <c r="N2378" s="2" t="str">
        <f>IF(TelecomData[[#This Row],[CleanedTotalCharges]]&gt;=2500,"High Spend", "Standard Spend")</f>
        <v>Standard Spend</v>
      </c>
    </row>
    <row r="2379" spans="1:14" x14ac:dyDescent="0.3">
      <c r="A2379" s="1" t="s">
        <v>2403</v>
      </c>
      <c r="B2379" s="2" t="s">
        <v>19</v>
      </c>
      <c r="C2379" s="2" t="s">
        <v>13</v>
      </c>
      <c r="D2379" s="2">
        <v>47</v>
      </c>
      <c r="E2379" s="2" t="s">
        <v>14</v>
      </c>
      <c r="F2379" s="2" t="s">
        <v>15</v>
      </c>
      <c r="G2379" s="7">
        <v>55.3</v>
      </c>
      <c r="H2379" s="7">
        <v>2654.05</v>
      </c>
      <c r="I2379" s="2" t="s">
        <v>15</v>
      </c>
      <c r="J2379" s="2" t="s">
        <v>16</v>
      </c>
      <c r="K2379" s="2" t="s">
        <v>17</v>
      </c>
      <c r="L2379" s="7">
        <v>2654.05</v>
      </c>
      <c r="M2379" s="2" t="str">
        <f>_xlfn.IFS(TelecomData[[#This Row],[TenureMonths]]&lt;=12, "0-1 Year", TelecomData[[#This Row],[TenureMonths]]&lt;=36, "1-3 Years", TelecomData[[#This Row],[TenureMonths]]&gt;36, "3+ Years")</f>
        <v>3+ Years</v>
      </c>
      <c r="N2379" s="2" t="str">
        <f>IF(TelecomData[[#This Row],[CleanedTotalCharges]]&gt;=2500,"High Spend", "Standard Spend")</f>
        <v>High Spend</v>
      </c>
    </row>
    <row r="2380" spans="1:14" x14ac:dyDescent="0.3">
      <c r="A2380" s="1" t="s">
        <v>2404</v>
      </c>
      <c r="B2380" s="2" t="s">
        <v>12</v>
      </c>
      <c r="C2380" s="2" t="s">
        <v>13</v>
      </c>
      <c r="D2380" s="2">
        <v>35</v>
      </c>
      <c r="E2380" s="2" t="s">
        <v>26</v>
      </c>
      <c r="F2380" s="2" t="s">
        <v>15</v>
      </c>
      <c r="G2380" s="7">
        <v>70.3</v>
      </c>
      <c r="H2380" s="7">
        <v>2416.5500000000002</v>
      </c>
      <c r="I2380" s="2" t="s">
        <v>16</v>
      </c>
      <c r="J2380" s="2" t="s">
        <v>16</v>
      </c>
      <c r="K2380" s="2" t="s">
        <v>17</v>
      </c>
      <c r="L2380" s="7">
        <v>2416.5500000000002</v>
      </c>
      <c r="M2380" s="2" t="str">
        <f>_xlfn.IFS(TelecomData[[#This Row],[TenureMonths]]&lt;=12, "0-1 Year", TelecomData[[#This Row],[TenureMonths]]&lt;=36, "1-3 Years", TelecomData[[#This Row],[TenureMonths]]&gt;36, "3+ Years")</f>
        <v>1-3 Years</v>
      </c>
      <c r="N2380" s="2" t="str">
        <f>IF(TelecomData[[#This Row],[CleanedTotalCharges]]&gt;=2500,"High Spend", "Standard Spend")</f>
        <v>Standard Spend</v>
      </c>
    </row>
    <row r="2381" spans="1:14" x14ac:dyDescent="0.3">
      <c r="A2381" s="1" t="s">
        <v>2405</v>
      </c>
      <c r="B2381" s="2" t="s">
        <v>19</v>
      </c>
      <c r="C2381" s="2" t="s">
        <v>13</v>
      </c>
      <c r="D2381" s="2">
        <v>32</v>
      </c>
      <c r="E2381" s="2" t="s">
        <v>26</v>
      </c>
      <c r="F2381" s="2" t="s">
        <v>15</v>
      </c>
      <c r="G2381" s="7">
        <v>106.35</v>
      </c>
      <c r="H2381" s="7">
        <v>3520.75</v>
      </c>
      <c r="I2381" s="2" t="s">
        <v>16</v>
      </c>
      <c r="J2381" s="2" t="s">
        <v>15</v>
      </c>
      <c r="K2381" s="2" t="s">
        <v>24</v>
      </c>
      <c r="L2381" s="7">
        <v>3520.75</v>
      </c>
      <c r="M2381" s="2" t="str">
        <f>_xlfn.IFS(TelecomData[[#This Row],[TenureMonths]]&lt;=12, "0-1 Year", TelecomData[[#This Row],[TenureMonths]]&lt;=36, "1-3 Years", TelecomData[[#This Row],[TenureMonths]]&gt;36, "3+ Years")</f>
        <v>1-3 Years</v>
      </c>
      <c r="N2381" s="2" t="str">
        <f>IF(TelecomData[[#This Row],[CleanedTotalCharges]]&gt;=2500,"High Spend", "Standard Spend")</f>
        <v>High Spend</v>
      </c>
    </row>
    <row r="2382" spans="1:14" x14ac:dyDescent="0.3">
      <c r="A2382" s="1" t="s">
        <v>2406</v>
      </c>
      <c r="B2382" s="2" t="s">
        <v>19</v>
      </c>
      <c r="C2382" s="2" t="s">
        <v>13</v>
      </c>
      <c r="D2382" s="2">
        <v>60</v>
      </c>
      <c r="E2382" s="2" t="s">
        <v>26</v>
      </c>
      <c r="F2382" s="2" t="s">
        <v>16</v>
      </c>
      <c r="G2382" s="7">
        <v>103.75</v>
      </c>
      <c r="H2382" s="7">
        <v>5969.95</v>
      </c>
      <c r="I2382" s="2" t="s">
        <v>15</v>
      </c>
      <c r="J2382" s="2" t="s">
        <v>16</v>
      </c>
      <c r="K2382" s="2" t="s">
        <v>24</v>
      </c>
      <c r="L2382" s="7">
        <v>5969.95</v>
      </c>
      <c r="M2382" s="2" t="str">
        <f>_xlfn.IFS(TelecomData[[#This Row],[TenureMonths]]&lt;=12, "0-1 Year", TelecomData[[#This Row],[TenureMonths]]&lt;=36, "1-3 Years", TelecomData[[#This Row],[TenureMonths]]&gt;36, "3+ Years")</f>
        <v>3+ Years</v>
      </c>
      <c r="N2382" s="2" t="str">
        <f>IF(TelecomData[[#This Row],[CleanedTotalCharges]]&gt;=2500,"High Spend", "Standard Spend")</f>
        <v>High Spend</v>
      </c>
    </row>
    <row r="2383" spans="1:14" x14ac:dyDescent="0.3">
      <c r="A2383" s="1" t="s">
        <v>2407</v>
      </c>
      <c r="B2383" s="2" t="s">
        <v>19</v>
      </c>
      <c r="C2383" s="2" t="s">
        <v>20</v>
      </c>
      <c r="D2383" s="2">
        <v>11</v>
      </c>
      <c r="E2383" s="2" t="s">
        <v>15</v>
      </c>
      <c r="F2383" s="2" t="s">
        <v>36</v>
      </c>
      <c r="G2383" s="7">
        <v>19.5</v>
      </c>
      <c r="H2383" s="7">
        <v>226.8</v>
      </c>
      <c r="I2383" s="2" t="s">
        <v>15</v>
      </c>
      <c r="J2383" s="2" t="s">
        <v>15</v>
      </c>
      <c r="K2383" s="2" t="s">
        <v>21</v>
      </c>
      <c r="L2383" s="7">
        <v>226.8</v>
      </c>
      <c r="M2383" s="2" t="str">
        <f>_xlfn.IFS(TelecomData[[#This Row],[TenureMonths]]&lt;=12, "0-1 Year", TelecomData[[#This Row],[TenureMonths]]&lt;=36, "1-3 Years", TelecomData[[#This Row],[TenureMonths]]&gt;36, "3+ Years")</f>
        <v>0-1 Year</v>
      </c>
      <c r="N2383" s="2" t="str">
        <f>IF(TelecomData[[#This Row],[CleanedTotalCharges]]&gt;=2500,"High Spend", "Standard Spend")</f>
        <v>Standard Spend</v>
      </c>
    </row>
    <row r="2384" spans="1:14" x14ac:dyDescent="0.3">
      <c r="A2384" s="1" t="s">
        <v>2408</v>
      </c>
      <c r="B2384" s="2" t="s">
        <v>12</v>
      </c>
      <c r="C2384" s="2" t="s">
        <v>20</v>
      </c>
      <c r="D2384" s="2">
        <v>29</v>
      </c>
      <c r="E2384" s="2" t="s">
        <v>14</v>
      </c>
      <c r="F2384" s="2" t="s">
        <v>16</v>
      </c>
      <c r="G2384" s="7">
        <v>39.5</v>
      </c>
      <c r="H2384" s="7">
        <v>1082.75</v>
      </c>
      <c r="I2384" s="2" t="s">
        <v>15</v>
      </c>
      <c r="J2384" s="2" t="s">
        <v>15</v>
      </c>
      <c r="K2384" s="2" t="s">
        <v>29</v>
      </c>
      <c r="L2384" s="7">
        <v>1082.75</v>
      </c>
      <c r="M2384" s="2" t="str">
        <f>_xlfn.IFS(TelecomData[[#This Row],[TenureMonths]]&lt;=12, "0-1 Year", TelecomData[[#This Row],[TenureMonths]]&lt;=36, "1-3 Years", TelecomData[[#This Row],[TenureMonths]]&gt;36, "3+ Years")</f>
        <v>1-3 Years</v>
      </c>
      <c r="N2384" s="2" t="str">
        <f>IF(TelecomData[[#This Row],[CleanedTotalCharges]]&gt;=2500,"High Spend", "Standard Spend")</f>
        <v>Standard Spend</v>
      </c>
    </row>
    <row r="2385" spans="1:14" x14ac:dyDescent="0.3">
      <c r="A2385" s="1" t="s">
        <v>2409</v>
      </c>
      <c r="B2385" s="2" t="s">
        <v>19</v>
      </c>
      <c r="C2385" s="2" t="s">
        <v>13</v>
      </c>
      <c r="D2385" s="2">
        <v>21</v>
      </c>
      <c r="E2385" s="2" t="s">
        <v>14</v>
      </c>
      <c r="F2385" s="2" t="s">
        <v>15</v>
      </c>
      <c r="G2385" s="7">
        <v>26.05</v>
      </c>
      <c r="H2385" s="7">
        <v>565.75</v>
      </c>
      <c r="I2385" s="2" t="s">
        <v>15</v>
      </c>
      <c r="J2385" s="2" t="s">
        <v>16</v>
      </c>
      <c r="K2385" s="2" t="s">
        <v>17</v>
      </c>
      <c r="L2385" s="7">
        <v>565.75</v>
      </c>
      <c r="M2385" s="2" t="str">
        <f>_xlfn.IFS(TelecomData[[#This Row],[TenureMonths]]&lt;=12, "0-1 Year", TelecomData[[#This Row],[TenureMonths]]&lt;=36, "1-3 Years", TelecomData[[#This Row],[TenureMonths]]&gt;36, "3+ Years")</f>
        <v>1-3 Years</v>
      </c>
      <c r="N2385" s="2" t="str">
        <f>IF(TelecomData[[#This Row],[CleanedTotalCharges]]&gt;=2500,"High Spend", "Standard Spend")</f>
        <v>Standard Spend</v>
      </c>
    </row>
    <row r="2386" spans="1:14" x14ac:dyDescent="0.3">
      <c r="A2386" s="1" t="s">
        <v>2410</v>
      </c>
      <c r="B2386" s="2" t="s">
        <v>19</v>
      </c>
      <c r="C2386" s="2" t="s">
        <v>13</v>
      </c>
      <c r="D2386" s="2">
        <v>48</v>
      </c>
      <c r="E2386" s="2" t="s">
        <v>26</v>
      </c>
      <c r="F2386" s="2" t="s">
        <v>15</v>
      </c>
      <c r="G2386" s="7">
        <v>91.05</v>
      </c>
      <c r="H2386" s="7">
        <v>4370.75</v>
      </c>
      <c r="I2386" s="2" t="s">
        <v>15</v>
      </c>
      <c r="J2386" s="2" t="s">
        <v>16</v>
      </c>
      <c r="K2386" s="2" t="s">
        <v>29</v>
      </c>
      <c r="L2386" s="7">
        <v>4370.75</v>
      </c>
      <c r="M2386" s="2" t="str">
        <f>_xlfn.IFS(TelecomData[[#This Row],[TenureMonths]]&lt;=12, "0-1 Year", TelecomData[[#This Row],[TenureMonths]]&lt;=36, "1-3 Years", TelecomData[[#This Row],[TenureMonths]]&gt;36, "3+ Years")</f>
        <v>3+ Years</v>
      </c>
      <c r="N2386" s="2" t="str">
        <f>IF(TelecomData[[#This Row],[CleanedTotalCharges]]&gt;=2500,"High Spend", "Standard Spend")</f>
        <v>High Spend</v>
      </c>
    </row>
    <row r="2387" spans="1:14" x14ac:dyDescent="0.3">
      <c r="A2387" s="1" t="s">
        <v>2411</v>
      </c>
      <c r="B2387" s="2" t="s">
        <v>12</v>
      </c>
      <c r="C2387" s="2" t="s">
        <v>13</v>
      </c>
      <c r="D2387" s="2">
        <v>3</v>
      </c>
      <c r="E2387" s="2" t="s">
        <v>14</v>
      </c>
      <c r="F2387" s="2" t="s">
        <v>15</v>
      </c>
      <c r="G2387" s="7">
        <v>29.65</v>
      </c>
      <c r="H2387" s="7">
        <v>90.05</v>
      </c>
      <c r="I2387" s="2" t="s">
        <v>15</v>
      </c>
      <c r="J2387" s="2" t="s">
        <v>15</v>
      </c>
      <c r="K2387" s="2" t="s">
        <v>21</v>
      </c>
      <c r="L2387" s="7">
        <v>90.05</v>
      </c>
      <c r="M2387" s="2" t="str">
        <f>_xlfn.IFS(TelecomData[[#This Row],[TenureMonths]]&lt;=12, "0-1 Year", TelecomData[[#This Row],[TenureMonths]]&lt;=36, "1-3 Years", TelecomData[[#This Row],[TenureMonths]]&gt;36, "3+ Years")</f>
        <v>0-1 Year</v>
      </c>
      <c r="N2387" s="2" t="str">
        <f>IF(TelecomData[[#This Row],[CleanedTotalCharges]]&gt;=2500,"High Spend", "Standard Spend")</f>
        <v>Standard Spend</v>
      </c>
    </row>
    <row r="2388" spans="1:14" x14ac:dyDescent="0.3">
      <c r="A2388" s="1" t="s">
        <v>2412</v>
      </c>
      <c r="B2388" s="2" t="s">
        <v>12</v>
      </c>
      <c r="C2388" s="2" t="s">
        <v>13</v>
      </c>
      <c r="D2388" s="2">
        <v>43</v>
      </c>
      <c r="E2388" s="2" t="s">
        <v>14</v>
      </c>
      <c r="F2388" s="2" t="s">
        <v>15</v>
      </c>
      <c r="G2388" s="7">
        <v>50.2</v>
      </c>
      <c r="H2388" s="7">
        <v>2169.4</v>
      </c>
      <c r="I2388" s="2" t="s">
        <v>15</v>
      </c>
      <c r="J2388" s="2" t="s">
        <v>15</v>
      </c>
      <c r="K2388" s="2" t="s">
        <v>21</v>
      </c>
      <c r="L2388" s="7">
        <v>2169.4</v>
      </c>
      <c r="M2388" s="2" t="str">
        <f>_xlfn.IFS(TelecomData[[#This Row],[TenureMonths]]&lt;=12, "0-1 Year", TelecomData[[#This Row],[TenureMonths]]&lt;=36, "1-3 Years", TelecomData[[#This Row],[TenureMonths]]&gt;36, "3+ Years")</f>
        <v>3+ Years</v>
      </c>
      <c r="N2388" s="2" t="str">
        <f>IF(TelecomData[[#This Row],[CleanedTotalCharges]]&gt;=2500,"High Spend", "Standard Spend")</f>
        <v>Standard Spend</v>
      </c>
    </row>
    <row r="2389" spans="1:14" x14ac:dyDescent="0.3">
      <c r="A2389" s="1" t="s">
        <v>2413</v>
      </c>
      <c r="B2389" s="2" t="s">
        <v>19</v>
      </c>
      <c r="C2389" s="2" t="s">
        <v>13</v>
      </c>
      <c r="D2389" s="2">
        <v>5</v>
      </c>
      <c r="E2389" s="2" t="s">
        <v>26</v>
      </c>
      <c r="F2389" s="2" t="s">
        <v>15</v>
      </c>
      <c r="G2389" s="7">
        <v>105.3</v>
      </c>
      <c r="H2389" s="7">
        <v>550.6</v>
      </c>
      <c r="I2389" s="2" t="s">
        <v>15</v>
      </c>
      <c r="J2389" s="2" t="s">
        <v>15</v>
      </c>
      <c r="K2389" s="2" t="s">
        <v>17</v>
      </c>
      <c r="L2389" s="7">
        <v>550.6</v>
      </c>
      <c r="M2389" s="2" t="str">
        <f>_xlfn.IFS(TelecomData[[#This Row],[TenureMonths]]&lt;=12, "0-1 Year", TelecomData[[#This Row],[TenureMonths]]&lt;=36, "1-3 Years", TelecomData[[#This Row],[TenureMonths]]&gt;36, "3+ Years")</f>
        <v>0-1 Year</v>
      </c>
      <c r="N2389" s="2" t="str">
        <f>IF(TelecomData[[#This Row],[CleanedTotalCharges]]&gt;=2500,"High Spend", "Standard Spend")</f>
        <v>Standard Spend</v>
      </c>
    </row>
    <row r="2390" spans="1:14" x14ac:dyDescent="0.3">
      <c r="A2390" s="1" t="s">
        <v>2414</v>
      </c>
      <c r="B2390" s="2" t="s">
        <v>12</v>
      </c>
      <c r="C2390" s="2" t="s">
        <v>13</v>
      </c>
      <c r="D2390" s="2">
        <v>1</v>
      </c>
      <c r="E2390" s="2" t="s">
        <v>14</v>
      </c>
      <c r="F2390" s="2" t="s">
        <v>15</v>
      </c>
      <c r="G2390" s="7">
        <v>55.45</v>
      </c>
      <c r="H2390" s="7">
        <v>55.45</v>
      </c>
      <c r="I2390" s="2" t="s">
        <v>15</v>
      </c>
      <c r="J2390" s="2" t="s">
        <v>16</v>
      </c>
      <c r="K2390" s="2" t="s">
        <v>17</v>
      </c>
      <c r="L2390" s="7">
        <v>55.45</v>
      </c>
      <c r="M2390" s="2" t="str">
        <f>_xlfn.IFS(TelecomData[[#This Row],[TenureMonths]]&lt;=12, "0-1 Year", TelecomData[[#This Row],[TenureMonths]]&lt;=36, "1-3 Years", TelecomData[[#This Row],[TenureMonths]]&gt;36, "3+ Years")</f>
        <v>0-1 Year</v>
      </c>
      <c r="N2390" s="2" t="str">
        <f>IF(TelecomData[[#This Row],[CleanedTotalCharges]]&gt;=2500,"High Spend", "Standard Spend")</f>
        <v>Standard Spend</v>
      </c>
    </row>
    <row r="2391" spans="1:14" x14ac:dyDescent="0.3">
      <c r="A2391" s="1" t="s">
        <v>2415</v>
      </c>
      <c r="B2391" s="2" t="s">
        <v>19</v>
      </c>
      <c r="C2391" s="2" t="s">
        <v>20</v>
      </c>
      <c r="D2391" s="2">
        <v>71</v>
      </c>
      <c r="E2391" s="2" t="s">
        <v>14</v>
      </c>
      <c r="F2391" s="2" t="s">
        <v>16</v>
      </c>
      <c r="G2391" s="7">
        <v>85.45</v>
      </c>
      <c r="H2391" s="7">
        <v>6300.85</v>
      </c>
      <c r="I2391" s="2" t="s">
        <v>15</v>
      </c>
      <c r="J2391" s="2" t="s">
        <v>15</v>
      </c>
      <c r="K2391" s="2" t="s">
        <v>17</v>
      </c>
      <c r="L2391" s="7">
        <v>6300.85</v>
      </c>
      <c r="M2391" s="2" t="str">
        <f>_xlfn.IFS(TelecomData[[#This Row],[TenureMonths]]&lt;=12, "0-1 Year", TelecomData[[#This Row],[TenureMonths]]&lt;=36, "1-3 Years", TelecomData[[#This Row],[TenureMonths]]&gt;36, "3+ Years")</f>
        <v>3+ Years</v>
      </c>
      <c r="N2391" s="2" t="str">
        <f>IF(TelecomData[[#This Row],[CleanedTotalCharges]]&gt;=2500,"High Spend", "Standard Spend")</f>
        <v>High Spend</v>
      </c>
    </row>
    <row r="2392" spans="1:14" x14ac:dyDescent="0.3">
      <c r="A2392" s="1" t="s">
        <v>2416</v>
      </c>
      <c r="B2392" s="2" t="s">
        <v>12</v>
      </c>
      <c r="C2392" s="2" t="s">
        <v>20</v>
      </c>
      <c r="D2392" s="2">
        <v>8</v>
      </c>
      <c r="E2392" s="2" t="s">
        <v>15</v>
      </c>
      <c r="F2392" s="2" t="s">
        <v>36</v>
      </c>
      <c r="G2392" s="7">
        <v>19.8</v>
      </c>
      <c r="H2392" s="7">
        <v>160.05000000000001</v>
      </c>
      <c r="I2392" s="2" t="s">
        <v>15</v>
      </c>
      <c r="J2392" s="2" t="s">
        <v>15</v>
      </c>
      <c r="K2392" s="2" t="s">
        <v>17</v>
      </c>
      <c r="L2392" s="7">
        <v>160.05000000000001</v>
      </c>
      <c r="M2392" s="2" t="str">
        <f>_xlfn.IFS(TelecomData[[#This Row],[TenureMonths]]&lt;=12, "0-1 Year", TelecomData[[#This Row],[TenureMonths]]&lt;=36, "1-3 Years", TelecomData[[#This Row],[TenureMonths]]&gt;36, "3+ Years")</f>
        <v>0-1 Year</v>
      </c>
      <c r="N2392" s="2" t="str">
        <f>IF(TelecomData[[#This Row],[CleanedTotalCharges]]&gt;=2500,"High Spend", "Standard Spend")</f>
        <v>Standard Spend</v>
      </c>
    </row>
    <row r="2393" spans="1:14" x14ac:dyDescent="0.3">
      <c r="A2393" s="1" t="s">
        <v>2417</v>
      </c>
      <c r="B2393" s="2" t="s">
        <v>19</v>
      </c>
      <c r="C2393" s="2" t="s">
        <v>13</v>
      </c>
      <c r="D2393" s="2">
        <v>8</v>
      </c>
      <c r="E2393" s="2" t="s">
        <v>14</v>
      </c>
      <c r="F2393" s="2" t="s">
        <v>15</v>
      </c>
      <c r="G2393" s="7">
        <v>59.25</v>
      </c>
      <c r="H2393" s="7">
        <v>436.6</v>
      </c>
      <c r="I2393" s="2" t="s">
        <v>15</v>
      </c>
      <c r="J2393" s="2" t="s">
        <v>16</v>
      </c>
      <c r="K2393" s="2" t="s">
        <v>17</v>
      </c>
      <c r="L2393" s="7">
        <v>436.6</v>
      </c>
      <c r="M2393" s="2" t="str">
        <f>_xlfn.IFS(TelecomData[[#This Row],[TenureMonths]]&lt;=12, "0-1 Year", TelecomData[[#This Row],[TenureMonths]]&lt;=36, "1-3 Years", TelecomData[[#This Row],[TenureMonths]]&gt;36, "3+ Years")</f>
        <v>0-1 Year</v>
      </c>
      <c r="N2393" s="2" t="str">
        <f>IF(TelecomData[[#This Row],[CleanedTotalCharges]]&gt;=2500,"High Spend", "Standard Spend")</f>
        <v>Standard Spend</v>
      </c>
    </row>
    <row r="2394" spans="1:14" x14ac:dyDescent="0.3">
      <c r="A2394" s="1" t="s">
        <v>2418</v>
      </c>
      <c r="B2394" s="2" t="s">
        <v>19</v>
      </c>
      <c r="C2394" s="2" t="s">
        <v>13</v>
      </c>
      <c r="D2394" s="2">
        <v>20</v>
      </c>
      <c r="E2394" s="2" t="s">
        <v>26</v>
      </c>
      <c r="F2394" s="2" t="s">
        <v>15</v>
      </c>
      <c r="G2394" s="7">
        <v>90.7</v>
      </c>
      <c r="H2394" s="7">
        <v>1781.35</v>
      </c>
      <c r="I2394" s="2" t="s">
        <v>15</v>
      </c>
      <c r="J2394" s="2" t="s">
        <v>16</v>
      </c>
      <c r="K2394" s="2" t="s">
        <v>29</v>
      </c>
      <c r="L2394" s="7">
        <v>1781.35</v>
      </c>
      <c r="M2394" s="2" t="str">
        <f>_xlfn.IFS(TelecomData[[#This Row],[TenureMonths]]&lt;=12, "0-1 Year", TelecomData[[#This Row],[TenureMonths]]&lt;=36, "1-3 Years", TelecomData[[#This Row],[TenureMonths]]&gt;36, "3+ Years")</f>
        <v>1-3 Years</v>
      </c>
      <c r="N2394" s="2" t="str">
        <f>IF(TelecomData[[#This Row],[CleanedTotalCharges]]&gt;=2500,"High Spend", "Standard Spend")</f>
        <v>Standard Spend</v>
      </c>
    </row>
    <row r="2395" spans="1:14" x14ac:dyDescent="0.3">
      <c r="A2395" s="1" t="s">
        <v>2419</v>
      </c>
      <c r="B2395" s="2" t="s">
        <v>12</v>
      </c>
      <c r="C2395" s="2" t="s">
        <v>20</v>
      </c>
      <c r="D2395" s="2">
        <v>33</v>
      </c>
      <c r="E2395" s="2" t="s">
        <v>26</v>
      </c>
      <c r="F2395" s="2" t="s">
        <v>15</v>
      </c>
      <c r="G2395" s="7">
        <v>103.7</v>
      </c>
      <c r="H2395" s="7">
        <v>3467</v>
      </c>
      <c r="I2395" s="2" t="s">
        <v>16</v>
      </c>
      <c r="J2395" s="2" t="s">
        <v>16</v>
      </c>
      <c r="K2395" s="2" t="s">
        <v>21</v>
      </c>
      <c r="L2395" s="7">
        <v>3467</v>
      </c>
      <c r="M2395" s="2" t="str">
        <f>_xlfn.IFS(TelecomData[[#This Row],[TenureMonths]]&lt;=12, "0-1 Year", TelecomData[[#This Row],[TenureMonths]]&lt;=36, "1-3 Years", TelecomData[[#This Row],[TenureMonths]]&gt;36, "3+ Years")</f>
        <v>1-3 Years</v>
      </c>
      <c r="N2395" s="2" t="str">
        <f>IF(TelecomData[[#This Row],[CleanedTotalCharges]]&gt;=2500,"High Spend", "Standard Spend")</f>
        <v>High Spend</v>
      </c>
    </row>
    <row r="2396" spans="1:14" x14ac:dyDescent="0.3">
      <c r="A2396" s="1" t="s">
        <v>2420</v>
      </c>
      <c r="B2396" s="2" t="s">
        <v>19</v>
      </c>
      <c r="C2396" s="2" t="s">
        <v>20</v>
      </c>
      <c r="D2396" s="2">
        <v>71</v>
      </c>
      <c r="E2396" s="2" t="s">
        <v>26</v>
      </c>
      <c r="F2396" s="2" t="s">
        <v>15</v>
      </c>
      <c r="G2396" s="7">
        <v>79.05</v>
      </c>
      <c r="H2396" s="7">
        <v>5552.5</v>
      </c>
      <c r="I2396" s="2" t="s">
        <v>15</v>
      </c>
      <c r="J2396" s="2" t="s">
        <v>16</v>
      </c>
      <c r="K2396" s="2" t="s">
        <v>29</v>
      </c>
      <c r="L2396" s="7">
        <v>5552.5</v>
      </c>
      <c r="M2396" s="2" t="str">
        <f>_xlfn.IFS(TelecomData[[#This Row],[TenureMonths]]&lt;=12, "0-1 Year", TelecomData[[#This Row],[TenureMonths]]&lt;=36, "1-3 Years", TelecomData[[#This Row],[TenureMonths]]&gt;36, "3+ Years")</f>
        <v>3+ Years</v>
      </c>
      <c r="N2396" s="2" t="str">
        <f>IF(TelecomData[[#This Row],[CleanedTotalCharges]]&gt;=2500,"High Spend", "Standard Spend")</f>
        <v>High Spend</v>
      </c>
    </row>
    <row r="2397" spans="1:14" x14ac:dyDescent="0.3">
      <c r="A2397" s="1" t="s">
        <v>2421</v>
      </c>
      <c r="B2397" s="2" t="s">
        <v>12</v>
      </c>
      <c r="C2397" s="2" t="s">
        <v>20</v>
      </c>
      <c r="D2397" s="2">
        <v>31</v>
      </c>
      <c r="E2397" s="2" t="s">
        <v>26</v>
      </c>
      <c r="F2397" s="2" t="s">
        <v>15</v>
      </c>
      <c r="G2397" s="7">
        <v>90.7</v>
      </c>
      <c r="H2397" s="7">
        <v>2835.5</v>
      </c>
      <c r="I2397" s="2" t="s">
        <v>15</v>
      </c>
      <c r="J2397" s="2" t="s">
        <v>16</v>
      </c>
      <c r="K2397" s="2" t="s">
        <v>17</v>
      </c>
      <c r="L2397" s="7">
        <v>2835.5</v>
      </c>
      <c r="M2397" s="2" t="str">
        <f>_xlfn.IFS(TelecomData[[#This Row],[TenureMonths]]&lt;=12, "0-1 Year", TelecomData[[#This Row],[TenureMonths]]&lt;=36, "1-3 Years", TelecomData[[#This Row],[TenureMonths]]&gt;36, "3+ Years")</f>
        <v>1-3 Years</v>
      </c>
      <c r="N2397" s="2" t="str">
        <f>IF(TelecomData[[#This Row],[CleanedTotalCharges]]&gt;=2500,"High Spend", "Standard Spend")</f>
        <v>High Spend</v>
      </c>
    </row>
    <row r="2398" spans="1:14" x14ac:dyDescent="0.3">
      <c r="A2398" s="1" t="s">
        <v>2422</v>
      </c>
      <c r="B2398" s="2" t="s">
        <v>12</v>
      </c>
      <c r="C2398" s="2" t="s">
        <v>20</v>
      </c>
      <c r="D2398" s="2">
        <v>38</v>
      </c>
      <c r="E2398" s="2" t="s">
        <v>26</v>
      </c>
      <c r="F2398" s="2" t="s">
        <v>15</v>
      </c>
      <c r="G2398" s="7">
        <v>95</v>
      </c>
      <c r="H2398" s="7">
        <v>3591.25</v>
      </c>
      <c r="I2398" s="2" t="s">
        <v>15</v>
      </c>
      <c r="J2398" s="2" t="s">
        <v>15</v>
      </c>
      <c r="K2398" s="2" t="s">
        <v>29</v>
      </c>
      <c r="L2398" s="7">
        <v>3591.25</v>
      </c>
      <c r="M2398" s="2" t="str">
        <f>_xlfn.IFS(TelecomData[[#This Row],[TenureMonths]]&lt;=12, "0-1 Year", TelecomData[[#This Row],[TenureMonths]]&lt;=36, "1-3 Years", TelecomData[[#This Row],[TenureMonths]]&gt;36, "3+ Years")</f>
        <v>3+ Years</v>
      </c>
      <c r="N2398" s="2" t="str">
        <f>IF(TelecomData[[#This Row],[CleanedTotalCharges]]&gt;=2500,"High Spend", "Standard Spend")</f>
        <v>High Spend</v>
      </c>
    </row>
    <row r="2399" spans="1:14" x14ac:dyDescent="0.3">
      <c r="A2399" s="1" t="s">
        <v>2423</v>
      </c>
      <c r="B2399" s="2" t="s">
        <v>19</v>
      </c>
      <c r="C2399" s="2" t="s">
        <v>13</v>
      </c>
      <c r="D2399" s="2">
        <v>1</v>
      </c>
      <c r="E2399" s="2" t="s">
        <v>26</v>
      </c>
      <c r="F2399" s="2" t="s">
        <v>15</v>
      </c>
      <c r="G2399" s="7">
        <v>88.35</v>
      </c>
      <c r="H2399" s="7">
        <v>88.35</v>
      </c>
      <c r="I2399" s="2" t="s">
        <v>16</v>
      </c>
      <c r="J2399" s="2" t="s">
        <v>16</v>
      </c>
      <c r="K2399" s="2" t="s">
        <v>17</v>
      </c>
      <c r="L2399" s="7">
        <v>88.35</v>
      </c>
      <c r="M2399" s="2" t="str">
        <f>_xlfn.IFS(TelecomData[[#This Row],[TenureMonths]]&lt;=12, "0-1 Year", TelecomData[[#This Row],[TenureMonths]]&lt;=36, "1-3 Years", TelecomData[[#This Row],[TenureMonths]]&gt;36, "3+ Years")</f>
        <v>0-1 Year</v>
      </c>
      <c r="N2399" s="2" t="str">
        <f>IF(TelecomData[[#This Row],[CleanedTotalCharges]]&gt;=2500,"High Spend", "Standard Spend")</f>
        <v>Standard Spend</v>
      </c>
    </row>
    <row r="2400" spans="1:14" x14ac:dyDescent="0.3">
      <c r="A2400" s="1" t="s">
        <v>2424</v>
      </c>
      <c r="B2400" s="2" t="s">
        <v>12</v>
      </c>
      <c r="C2400" s="2" t="s">
        <v>13</v>
      </c>
      <c r="D2400" s="2">
        <v>2</v>
      </c>
      <c r="E2400" s="2" t="s">
        <v>14</v>
      </c>
      <c r="F2400" s="2" t="s">
        <v>15</v>
      </c>
      <c r="G2400" s="7">
        <v>30.25</v>
      </c>
      <c r="H2400" s="7">
        <v>63.75</v>
      </c>
      <c r="I2400" s="2" t="s">
        <v>15</v>
      </c>
      <c r="J2400" s="2" t="s">
        <v>16</v>
      </c>
      <c r="K2400" s="2" t="s">
        <v>21</v>
      </c>
      <c r="L2400" s="7">
        <v>63.75</v>
      </c>
      <c r="M2400" s="2" t="str">
        <f>_xlfn.IFS(TelecomData[[#This Row],[TenureMonths]]&lt;=12, "0-1 Year", TelecomData[[#This Row],[TenureMonths]]&lt;=36, "1-3 Years", TelecomData[[#This Row],[TenureMonths]]&gt;36, "3+ Years")</f>
        <v>0-1 Year</v>
      </c>
      <c r="N2400" s="2" t="str">
        <f>IF(TelecomData[[#This Row],[CleanedTotalCharges]]&gt;=2500,"High Spend", "Standard Spend")</f>
        <v>Standard Spend</v>
      </c>
    </row>
    <row r="2401" spans="1:14" x14ac:dyDescent="0.3">
      <c r="A2401" s="1" t="s">
        <v>2425</v>
      </c>
      <c r="B2401" s="2" t="s">
        <v>12</v>
      </c>
      <c r="C2401" s="2" t="s">
        <v>13</v>
      </c>
      <c r="D2401" s="2">
        <v>12</v>
      </c>
      <c r="E2401" s="2" t="s">
        <v>14</v>
      </c>
      <c r="F2401" s="2" t="s">
        <v>15</v>
      </c>
      <c r="G2401" s="7">
        <v>49.85</v>
      </c>
      <c r="H2401" s="7">
        <v>617.15</v>
      </c>
      <c r="I2401" s="2" t="s">
        <v>15</v>
      </c>
      <c r="J2401" s="2" t="s">
        <v>16</v>
      </c>
      <c r="K2401" s="2" t="s">
        <v>24</v>
      </c>
      <c r="L2401" s="7">
        <v>617.15</v>
      </c>
      <c r="M2401" s="2" t="str">
        <f>_xlfn.IFS(TelecomData[[#This Row],[TenureMonths]]&lt;=12, "0-1 Year", TelecomData[[#This Row],[TenureMonths]]&lt;=36, "1-3 Years", TelecomData[[#This Row],[TenureMonths]]&gt;36, "3+ Years")</f>
        <v>0-1 Year</v>
      </c>
      <c r="N2401" s="2" t="str">
        <f>IF(TelecomData[[#This Row],[CleanedTotalCharges]]&gt;=2500,"High Spend", "Standard Spend")</f>
        <v>Standard Spend</v>
      </c>
    </row>
    <row r="2402" spans="1:14" x14ac:dyDescent="0.3">
      <c r="A2402" s="1" t="s">
        <v>2426</v>
      </c>
      <c r="B2402" s="2" t="s">
        <v>12</v>
      </c>
      <c r="C2402" s="2" t="s">
        <v>13</v>
      </c>
      <c r="D2402" s="2">
        <v>9</v>
      </c>
      <c r="E2402" s="2" t="s">
        <v>26</v>
      </c>
      <c r="F2402" s="2" t="s">
        <v>16</v>
      </c>
      <c r="G2402" s="7">
        <v>93</v>
      </c>
      <c r="H2402" s="7">
        <v>870.25</v>
      </c>
      <c r="I2402" s="2" t="s">
        <v>15</v>
      </c>
      <c r="J2402" s="2" t="s">
        <v>15</v>
      </c>
      <c r="K2402" s="2" t="s">
        <v>24</v>
      </c>
      <c r="L2402" s="7">
        <v>870.25</v>
      </c>
      <c r="M2402" s="2" t="str">
        <f>_xlfn.IFS(TelecomData[[#This Row],[TenureMonths]]&lt;=12, "0-1 Year", TelecomData[[#This Row],[TenureMonths]]&lt;=36, "1-3 Years", TelecomData[[#This Row],[TenureMonths]]&gt;36, "3+ Years")</f>
        <v>0-1 Year</v>
      </c>
      <c r="N2402" s="2" t="str">
        <f>IF(TelecomData[[#This Row],[CleanedTotalCharges]]&gt;=2500,"High Spend", "Standard Spend")</f>
        <v>Standard Spend</v>
      </c>
    </row>
    <row r="2403" spans="1:14" x14ac:dyDescent="0.3">
      <c r="A2403" s="1" t="s">
        <v>2427</v>
      </c>
      <c r="B2403" s="2" t="s">
        <v>19</v>
      </c>
      <c r="C2403" s="2" t="s">
        <v>13</v>
      </c>
      <c r="D2403" s="2">
        <v>11</v>
      </c>
      <c r="E2403" s="2" t="s">
        <v>14</v>
      </c>
      <c r="F2403" s="2" t="s">
        <v>16</v>
      </c>
      <c r="G2403" s="7">
        <v>54.55</v>
      </c>
      <c r="H2403" s="7">
        <v>601.25</v>
      </c>
      <c r="I2403" s="2" t="s">
        <v>15</v>
      </c>
      <c r="J2403" s="2" t="s">
        <v>16</v>
      </c>
      <c r="K2403" s="2" t="s">
        <v>17</v>
      </c>
      <c r="L2403" s="7">
        <v>601.25</v>
      </c>
      <c r="M2403" s="2" t="str">
        <f>_xlfn.IFS(TelecomData[[#This Row],[TenureMonths]]&lt;=12, "0-1 Year", TelecomData[[#This Row],[TenureMonths]]&lt;=36, "1-3 Years", TelecomData[[#This Row],[TenureMonths]]&gt;36, "3+ Years")</f>
        <v>0-1 Year</v>
      </c>
      <c r="N2403" s="2" t="str">
        <f>IF(TelecomData[[#This Row],[CleanedTotalCharges]]&gt;=2500,"High Spend", "Standard Spend")</f>
        <v>Standard Spend</v>
      </c>
    </row>
    <row r="2404" spans="1:14" x14ac:dyDescent="0.3">
      <c r="A2404" s="1" t="s">
        <v>2428</v>
      </c>
      <c r="B2404" s="2" t="s">
        <v>19</v>
      </c>
      <c r="C2404" s="2" t="s">
        <v>13</v>
      </c>
      <c r="D2404" s="2">
        <v>6</v>
      </c>
      <c r="E2404" s="2" t="s">
        <v>15</v>
      </c>
      <c r="F2404" s="2" t="s">
        <v>36</v>
      </c>
      <c r="G2404" s="7">
        <v>19.7</v>
      </c>
      <c r="H2404" s="7">
        <v>111.65</v>
      </c>
      <c r="I2404" s="2" t="s">
        <v>15</v>
      </c>
      <c r="J2404" s="2" t="s">
        <v>15</v>
      </c>
      <c r="K2404" s="2" t="s">
        <v>21</v>
      </c>
      <c r="L2404" s="7">
        <v>111.65</v>
      </c>
      <c r="M2404" s="2" t="str">
        <f>_xlfn.IFS(TelecomData[[#This Row],[TenureMonths]]&lt;=12, "0-1 Year", TelecomData[[#This Row],[TenureMonths]]&lt;=36, "1-3 Years", TelecomData[[#This Row],[TenureMonths]]&gt;36, "3+ Years")</f>
        <v>0-1 Year</v>
      </c>
      <c r="N2404" s="2" t="str">
        <f>IF(TelecomData[[#This Row],[CleanedTotalCharges]]&gt;=2500,"High Spend", "Standard Spend")</f>
        <v>Standard Spend</v>
      </c>
    </row>
    <row r="2405" spans="1:14" x14ac:dyDescent="0.3">
      <c r="A2405" s="1" t="s">
        <v>2429</v>
      </c>
      <c r="B2405" s="2" t="s">
        <v>12</v>
      </c>
      <c r="C2405" s="2" t="s">
        <v>20</v>
      </c>
      <c r="D2405" s="2">
        <v>71</v>
      </c>
      <c r="E2405" s="2" t="s">
        <v>14</v>
      </c>
      <c r="F2405" s="2" t="s">
        <v>16</v>
      </c>
      <c r="G2405" s="7">
        <v>84.8</v>
      </c>
      <c r="H2405" s="7">
        <v>6046.1</v>
      </c>
      <c r="I2405" s="2" t="s">
        <v>15</v>
      </c>
      <c r="J2405" s="2" t="s">
        <v>16</v>
      </c>
      <c r="K2405" s="2" t="s">
        <v>24</v>
      </c>
      <c r="L2405" s="7">
        <v>6046.1</v>
      </c>
      <c r="M2405" s="2" t="str">
        <f>_xlfn.IFS(TelecomData[[#This Row],[TenureMonths]]&lt;=12, "0-1 Year", TelecomData[[#This Row],[TenureMonths]]&lt;=36, "1-3 Years", TelecomData[[#This Row],[TenureMonths]]&gt;36, "3+ Years")</f>
        <v>3+ Years</v>
      </c>
      <c r="N2405" s="2" t="str">
        <f>IF(TelecomData[[#This Row],[CleanedTotalCharges]]&gt;=2500,"High Spend", "Standard Spend")</f>
        <v>High Spend</v>
      </c>
    </row>
    <row r="2406" spans="1:14" x14ac:dyDescent="0.3">
      <c r="A2406" s="1" t="s">
        <v>2430</v>
      </c>
      <c r="B2406" s="2" t="s">
        <v>12</v>
      </c>
      <c r="C2406" s="2" t="s">
        <v>20</v>
      </c>
      <c r="D2406" s="2">
        <v>42</v>
      </c>
      <c r="E2406" s="2" t="s">
        <v>26</v>
      </c>
      <c r="F2406" s="2" t="s">
        <v>15</v>
      </c>
      <c r="G2406" s="7">
        <v>94.45</v>
      </c>
      <c r="H2406" s="7">
        <v>3923.8</v>
      </c>
      <c r="I2406" s="2" t="s">
        <v>15</v>
      </c>
      <c r="J2406" s="2" t="s">
        <v>16</v>
      </c>
      <c r="K2406" s="2" t="s">
        <v>29</v>
      </c>
      <c r="L2406" s="7">
        <v>3923.8</v>
      </c>
      <c r="M2406" s="2" t="str">
        <f>_xlfn.IFS(TelecomData[[#This Row],[TenureMonths]]&lt;=12, "0-1 Year", TelecomData[[#This Row],[TenureMonths]]&lt;=36, "1-3 Years", TelecomData[[#This Row],[TenureMonths]]&gt;36, "3+ Years")</f>
        <v>3+ Years</v>
      </c>
      <c r="N2406" s="2" t="str">
        <f>IF(TelecomData[[#This Row],[CleanedTotalCharges]]&gt;=2500,"High Spend", "Standard Spend")</f>
        <v>High Spend</v>
      </c>
    </row>
    <row r="2407" spans="1:14" x14ac:dyDescent="0.3">
      <c r="A2407" s="1" t="s">
        <v>2431</v>
      </c>
      <c r="B2407" s="2" t="s">
        <v>12</v>
      </c>
      <c r="C2407" s="2" t="s">
        <v>13</v>
      </c>
      <c r="D2407" s="2">
        <v>8</v>
      </c>
      <c r="E2407" s="2" t="s">
        <v>26</v>
      </c>
      <c r="F2407" s="2" t="s">
        <v>15</v>
      </c>
      <c r="G2407" s="7">
        <v>94.2</v>
      </c>
      <c r="H2407" s="7">
        <v>777.3</v>
      </c>
      <c r="I2407" s="2" t="s">
        <v>16</v>
      </c>
      <c r="J2407" s="2" t="s">
        <v>16</v>
      </c>
      <c r="K2407" s="2" t="s">
        <v>17</v>
      </c>
      <c r="L2407" s="7">
        <v>777.3</v>
      </c>
      <c r="M2407" s="2" t="str">
        <f>_xlfn.IFS(TelecomData[[#This Row],[TenureMonths]]&lt;=12, "0-1 Year", TelecomData[[#This Row],[TenureMonths]]&lt;=36, "1-3 Years", TelecomData[[#This Row],[TenureMonths]]&gt;36, "3+ Years")</f>
        <v>0-1 Year</v>
      </c>
      <c r="N2407" s="2" t="str">
        <f>IF(TelecomData[[#This Row],[CleanedTotalCharges]]&gt;=2500,"High Spend", "Standard Spend")</f>
        <v>Standard Spend</v>
      </c>
    </row>
    <row r="2408" spans="1:14" x14ac:dyDescent="0.3">
      <c r="A2408" s="1" t="s">
        <v>2432</v>
      </c>
      <c r="B2408" s="2" t="s">
        <v>12</v>
      </c>
      <c r="C2408" s="2" t="s">
        <v>13</v>
      </c>
      <c r="D2408" s="2">
        <v>5</v>
      </c>
      <c r="E2408" s="2" t="s">
        <v>26</v>
      </c>
      <c r="F2408" s="2" t="s">
        <v>15</v>
      </c>
      <c r="G2408" s="7">
        <v>96.25</v>
      </c>
      <c r="H2408" s="7">
        <v>512.45000000000005</v>
      </c>
      <c r="I2408" s="2" t="s">
        <v>16</v>
      </c>
      <c r="J2408" s="2" t="s">
        <v>16</v>
      </c>
      <c r="K2408" s="2" t="s">
        <v>17</v>
      </c>
      <c r="L2408" s="7">
        <v>512.45000000000005</v>
      </c>
      <c r="M2408" s="2" t="str">
        <f>_xlfn.IFS(TelecomData[[#This Row],[TenureMonths]]&lt;=12, "0-1 Year", TelecomData[[#This Row],[TenureMonths]]&lt;=36, "1-3 Years", TelecomData[[#This Row],[TenureMonths]]&gt;36, "3+ Years")</f>
        <v>0-1 Year</v>
      </c>
      <c r="N2408" s="2" t="str">
        <f>IF(TelecomData[[#This Row],[CleanedTotalCharges]]&gt;=2500,"High Spend", "Standard Spend")</f>
        <v>Standard Spend</v>
      </c>
    </row>
    <row r="2409" spans="1:14" x14ac:dyDescent="0.3">
      <c r="A2409" s="1" t="s">
        <v>2433</v>
      </c>
      <c r="B2409" s="2" t="s">
        <v>12</v>
      </c>
      <c r="C2409" s="2" t="s">
        <v>13</v>
      </c>
      <c r="D2409" s="2">
        <v>2</v>
      </c>
      <c r="E2409" s="2" t="s">
        <v>26</v>
      </c>
      <c r="F2409" s="2" t="s">
        <v>15</v>
      </c>
      <c r="G2409" s="7">
        <v>70.7</v>
      </c>
      <c r="H2409" s="7">
        <v>141.44999999999999</v>
      </c>
      <c r="I2409" s="2" t="s">
        <v>16</v>
      </c>
      <c r="J2409" s="2" t="s">
        <v>16</v>
      </c>
      <c r="K2409" s="2" t="s">
        <v>17</v>
      </c>
      <c r="L2409" s="7">
        <v>141.44999999999999</v>
      </c>
      <c r="M2409" s="2" t="str">
        <f>_xlfn.IFS(TelecomData[[#This Row],[TenureMonths]]&lt;=12, "0-1 Year", TelecomData[[#This Row],[TenureMonths]]&lt;=36, "1-3 Years", TelecomData[[#This Row],[TenureMonths]]&gt;36, "3+ Years")</f>
        <v>0-1 Year</v>
      </c>
      <c r="N2409" s="2" t="str">
        <f>IF(TelecomData[[#This Row],[CleanedTotalCharges]]&gt;=2500,"High Spend", "Standard Spend")</f>
        <v>Standard Spend</v>
      </c>
    </row>
    <row r="2410" spans="1:14" x14ac:dyDescent="0.3">
      <c r="A2410" s="1" t="s">
        <v>2434</v>
      </c>
      <c r="B2410" s="2" t="s">
        <v>12</v>
      </c>
      <c r="C2410" s="2" t="s">
        <v>35</v>
      </c>
      <c r="D2410" s="2">
        <v>45</v>
      </c>
      <c r="E2410" s="2" t="s">
        <v>15</v>
      </c>
      <c r="F2410" s="2" t="s">
        <v>36</v>
      </c>
      <c r="G2410" s="7">
        <v>20.85</v>
      </c>
      <c r="H2410" s="7">
        <v>892.15</v>
      </c>
      <c r="I2410" s="2" t="s">
        <v>15</v>
      </c>
      <c r="J2410" s="2" t="s">
        <v>15</v>
      </c>
      <c r="K2410" s="2" t="s">
        <v>21</v>
      </c>
      <c r="L2410" s="7">
        <v>892.15</v>
      </c>
      <c r="M2410" s="2" t="str">
        <f>_xlfn.IFS(TelecomData[[#This Row],[TenureMonths]]&lt;=12, "0-1 Year", TelecomData[[#This Row],[TenureMonths]]&lt;=36, "1-3 Years", TelecomData[[#This Row],[TenureMonths]]&gt;36, "3+ Years")</f>
        <v>3+ Years</v>
      </c>
      <c r="N2410" s="2" t="str">
        <f>IF(TelecomData[[#This Row],[CleanedTotalCharges]]&gt;=2500,"High Spend", "Standard Spend")</f>
        <v>Standard Spend</v>
      </c>
    </row>
    <row r="2411" spans="1:14" x14ac:dyDescent="0.3">
      <c r="A2411" s="1" t="s">
        <v>2435</v>
      </c>
      <c r="B2411" s="2" t="s">
        <v>19</v>
      </c>
      <c r="C2411" s="2" t="s">
        <v>20</v>
      </c>
      <c r="D2411" s="2">
        <v>28</v>
      </c>
      <c r="E2411" s="2" t="s">
        <v>14</v>
      </c>
      <c r="F2411" s="2" t="s">
        <v>16</v>
      </c>
      <c r="G2411" s="7">
        <v>60</v>
      </c>
      <c r="H2411" s="7">
        <v>1682.05</v>
      </c>
      <c r="I2411" s="2" t="s">
        <v>15</v>
      </c>
      <c r="J2411" s="2" t="s">
        <v>16</v>
      </c>
      <c r="K2411" s="2" t="s">
        <v>29</v>
      </c>
      <c r="L2411" s="7">
        <v>1682.05</v>
      </c>
      <c r="M2411" s="2" t="str">
        <f>_xlfn.IFS(TelecomData[[#This Row],[TenureMonths]]&lt;=12, "0-1 Year", TelecomData[[#This Row],[TenureMonths]]&lt;=36, "1-3 Years", TelecomData[[#This Row],[TenureMonths]]&gt;36, "3+ Years")</f>
        <v>1-3 Years</v>
      </c>
      <c r="N2411" s="2" t="str">
        <f>IF(TelecomData[[#This Row],[CleanedTotalCharges]]&gt;=2500,"High Spend", "Standard Spend")</f>
        <v>Standard Spend</v>
      </c>
    </row>
    <row r="2412" spans="1:14" x14ac:dyDescent="0.3">
      <c r="A2412" s="1" t="s">
        <v>2436</v>
      </c>
      <c r="B2412" s="2" t="s">
        <v>12</v>
      </c>
      <c r="C2412" s="2" t="s">
        <v>13</v>
      </c>
      <c r="D2412" s="2">
        <v>43</v>
      </c>
      <c r="E2412" s="2" t="s">
        <v>26</v>
      </c>
      <c r="F2412" s="2" t="s">
        <v>15</v>
      </c>
      <c r="G2412" s="7">
        <v>80.45</v>
      </c>
      <c r="H2412" s="7">
        <v>3398.9</v>
      </c>
      <c r="I2412" s="2" t="s">
        <v>15</v>
      </c>
      <c r="J2412" s="2" t="s">
        <v>15</v>
      </c>
      <c r="K2412" s="2" t="s">
        <v>17</v>
      </c>
      <c r="L2412" s="7">
        <v>3398.9</v>
      </c>
      <c r="M2412" s="2" t="str">
        <f>_xlfn.IFS(TelecomData[[#This Row],[TenureMonths]]&lt;=12, "0-1 Year", TelecomData[[#This Row],[TenureMonths]]&lt;=36, "1-3 Years", TelecomData[[#This Row],[TenureMonths]]&gt;36, "3+ Years")</f>
        <v>3+ Years</v>
      </c>
      <c r="N2412" s="2" t="str">
        <f>IF(TelecomData[[#This Row],[CleanedTotalCharges]]&gt;=2500,"High Spend", "Standard Spend")</f>
        <v>High Spend</v>
      </c>
    </row>
    <row r="2413" spans="1:14" x14ac:dyDescent="0.3">
      <c r="A2413" s="1" t="s">
        <v>2437</v>
      </c>
      <c r="B2413" s="2" t="s">
        <v>19</v>
      </c>
      <c r="C2413" s="2" t="s">
        <v>35</v>
      </c>
      <c r="D2413" s="2">
        <v>60</v>
      </c>
      <c r="E2413" s="2" t="s">
        <v>14</v>
      </c>
      <c r="F2413" s="2" t="s">
        <v>16</v>
      </c>
      <c r="G2413" s="7">
        <v>84.95</v>
      </c>
      <c r="H2413" s="7">
        <v>4984.8500000000004</v>
      </c>
      <c r="I2413" s="2" t="s">
        <v>15</v>
      </c>
      <c r="J2413" s="2" t="s">
        <v>16</v>
      </c>
      <c r="K2413" s="2" t="s">
        <v>17</v>
      </c>
      <c r="L2413" s="7">
        <v>4984.8500000000004</v>
      </c>
      <c r="M2413" s="2" t="str">
        <f>_xlfn.IFS(TelecomData[[#This Row],[TenureMonths]]&lt;=12, "0-1 Year", TelecomData[[#This Row],[TenureMonths]]&lt;=36, "1-3 Years", TelecomData[[#This Row],[TenureMonths]]&gt;36, "3+ Years")</f>
        <v>3+ Years</v>
      </c>
      <c r="N2413" s="2" t="str">
        <f>IF(TelecomData[[#This Row],[CleanedTotalCharges]]&gt;=2500,"High Spend", "Standard Spend")</f>
        <v>High Spend</v>
      </c>
    </row>
    <row r="2414" spans="1:14" x14ac:dyDescent="0.3">
      <c r="A2414" s="1" t="s">
        <v>2438</v>
      </c>
      <c r="B2414" s="2" t="s">
        <v>12</v>
      </c>
      <c r="C2414" s="2" t="s">
        <v>20</v>
      </c>
      <c r="D2414" s="2">
        <v>42</v>
      </c>
      <c r="E2414" s="2" t="s">
        <v>14</v>
      </c>
      <c r="F2414" s="2" t="s">
        <v>16</v>
      </c>
      <c r="G2414" s="7">
        <v>33.549999999999997</v>
      </c>
      <c r="H2414" s="7">
        <v>1445.3</v>
      </c>
      <c r="I2414" s="2" t="s">
        <v>16</v>
      </c>
      <c r="J2414" s="2" t="s">
        <v>15</v>
      </c>
      <c r="K2414" s="2" t="s">
        <v>21</v>
      </c>
      <c r="L2414" s="7">
        <v>1445.3</v>
      </c>
      <c r="M2414" s="2" t="str">
        <f>_xlfn.IFS(TelecomData[[#This Row],[TenureMonths]]&lt;=12, "0-1 Year", TelecomData[[#This Row],[TenureMonths]]&lt;=36, "1-3 Years", TelecomData[[#This Row],[TenureMonths]]&gt;36, "3+ Years")</f>
        <v>3+ Years</v>
      </c>
      <c r="N2414" s="2" t="str">
        <f>IF(TelecomData[[#This Row],[CleanedTotalCharges]]&gt;=2500,"High Spend", "Standard Spend")</f>
        <v>Standard Spend</v>
      </c>
    </row>
    <row r="2415" spans="1:14" x14ac:dyDescent="0.3">
      <c r="A2415" s="1" t="s">
        <v>2439</v>
      </c>
      <c r="B2415" s="2" t="s">
        <v>19</v>
      </c>
      <c r="C2415" s="2" t="s">
        <v>35</v>
      </c>
      <c r="D2415" s="2">
        <v>7</v>
      </c>
      <c r="E2415" s="2" t="s">
        <v>14</v>
      </c>
      <c r="F2415" s="2" t="s">
        <v>16</v>
      </c>
      <c r="G2415" s="7">
        <v>49.65</v>
      </c>
      <c r="H2415" s="7">
        <v>305.55</v>
      </c>
      <c r="I2415" s="2" t="s">
        <v>15</v>
      </c>
      <c r="J2415" s="2" t="s">
        <v>15</v>
      </c>
      <c r="K2415" s="2" t="s">
        <v>29</v>
      </c>
      <c r="L2415" s="7">
        <v>305.55</v>
      </c>
      <c r="M2415" s="2" t="str">
        <f>_xlfn.IFS(TelecomData[[#This Row],[TenureMonths]]&lt;=12, "0-1 Year", TelecomData[[#This Row],[TenureMonths]]&lt;=36, "1-3 Years", TelecomData[[#This Row],[TenureMonths]]&gt;36, "3+ Years")</f>
        <v>0-1 Year</v>
      </c>
      <c r="N2415" s="2" t="str">
        <f>IF(TelecomData[[#This Row],[CleanedTotalCharges]]&gt;=2500,"High Spend", "Standard Spend")</f>
        <v>Standard Spend</v>
      </c>
    </row>
    <row r="2416" spans="1:14" x14ac:dyDescent="0.3">
      <c r="A2416" s="1" t="s">
        <v>2440</v>
      </c>
      <c r="B2416" s="2" t="s">
        <v>12</v>
      </c>
      <c r="C2416" s="2" t="s">
        <v>20</v>
      </c>
      <c r="D2416" s="2">
        <v>25</v>
      </c>
      <c r="E2416" s="2" t="s">
        <v>15</v>
      </c>
      <c r="F2416" s="2" t="s">
        <v>36</v>
      </c>
      <c r="G2416" s="7">
        <v>20.2</v>
      </c>
      <c r="H2416" s="7">
        <v>507.9</v>
      </c>
      <c r="I2416" s="2" t="s">
        <v>15</v>
      </c>
      <c r="J2416" s="2" t="s">
        <v>16</v>
      </c>
      <c r="K2416" s="2" t="s">
        <v>24</v>
      </c>
      <c r="L2416" s="7">
        <v>507.9</v>
      </c>
      <c r="M2416" s="2" t="str">
        <f>_xlfn.IFS(TelecomData[[#This Row],[TenureMonths]]&lt;=12, "0-1 Year", TelecomData[[#This Row],[TenureMonths]]&lt;=36, "1-3 Years", TelecomData[[#This Row],[TenureMonths]]&gt;36, "3+ Years")</f>
        <v>1-3 Years</v>
      </c>
      <c r="N2416" s="2" t="str">
        <f>IF(TelecomData[[#This Row],[CleanedTotalCharges]]&gt;=2500,"High Spend", "Standard Spend")</f>
        <v>Standard Spend</v>
      </c>
    </row>
    <row r="2417" spans="1:14" x14ac:dyDescent="0.3">
      <c r="A2417" s="1" t="s">
        <v>2441</v>
      </c>
      <c r="B2417" s="2" t="s">
        <v>12</v>
      </c>
      <c r="C2417" s="2" t="s">
        <v>13</v>
      </c>
      <c r="D2417" s="2">
        <v>40</v>
      </c>
      <c r="E2417" s="2" t="s">
        <v>26</v>
      </c>
      <c r="F2417" s="2" t="s">
        <v>15</v>
      </c>
      <c r="G2417" s="7">
        <v>94.55</v>
      </c>
      <c r="H2417" s="7">
        <v>3640.45</v>
      </c>
      <c r="I2417" s="2" t="s">
        <v>16</v>
      </c>
      <c r="J2417" s="2" t="s">
        <v>16</v>
      </c>
      <c r="K2417" s="2" t="s">
        <v>29</v>
      </c>
      <c r="L2417" s="7">
        <v>3640.45</v>
      </c>
      <c r="M2417" s="2" t="str">
        <f>_xlfn.IFS(TelecomData[[#This Row],[TenureMonths]]&lt;=12, "0-1 Year", TelecomData[[#This Row],[TenureMonths]]&lt;=36, "1-3 Years", TelecomData[[#This Row],[TenureMonths]]&gt;36, "3+ Years")</f>
        <v>3+ Years</v>
      </c>
      <c r="N2417" s="2" t="str">
        <f>IF(TelecomData[[#This Row],[CleanedTotalCharges]]&gt;=2500,"High Spend", "Standard Spend")</f>
        <v>High Spend</v>
      </c>
    </row>
    <row r="2418" spans="1:14" x14ac:dyDescent="0.3">
      <c r="A2418" s="1" t="s">
        <v>2442</v>
      </c>
      <c r="B2418" s="2" t="s">
        <v>19</v>
      </c>
      <c r="C2418" s="2" t="s">
        <v>20</v>
      </c>
      <c r="D2418" s="2">
        <v>27</v>
      </c>
      <c r="E2418" s="2" t="s">
        <v>26</v>
      </c>
      <c r="F2418" s="2" t="s">
        <v>15</v>
      </c>
      <c r="G2418" s="7">
        <v>100.5</v>
      </c>
      <c r="H2418" s="7">
        <v>2673.45</v>
      </c>
      <c r="I2418" s="2" t="s">
        <v>15</v>
      </c>
      <c r="J2418" s="2" t="s">
        <v>16</v>
      </c>
      <c r="K2418" s="2" t="s">
        <v>24</v>
      </c>
      <c r="L2418" s="7">
        <v>2673.45</v>
      </c>
      <c r="M2418" s="2" t="str">
        <f>_xlfn.IFS(TelecomData[[#This Row],[TenureMonths]]&lt;=12, "0-1 Year", TelecomData[[#This Row],[TenureMonths]]&lt;=36, "1-3 Years", TelecomData[[#This Row],[TenureMonths]]&gt;36, "3+ Years")</f>
        <v>1-3 Years</v>
      </c>
      <c r="N2418" s="2" t="str">
        <f>IF(TelecomData[[#This Row],[CleanedTotalCharges]]&gt;=2500,"High Spend", "Standard Spend")</f>
        <v>High Spend</v>
      </c>
    </row>
    <row r="2419" spans="1:14" x14ac:dyDescent="0.3">
      <c r="A2419" s="1" t="s">
        <v>2443</v>
      </c>
      <c r="B2419" s="2" t="s">
        <v>19</v>
      </c>
      <c r="C2419" s="2" t="s">
        <v>13</v>
      </c>
      <c r="D2419" s="2">
        <v>10</v>
      </c>
      <c r="E2419" s="2" t="s">
        <v>14</v>
      </c>
      <c r="F2419" s="2" t="s">
        <v>16</v>
      </c>
      <c r="G2419" s="7">
        <v>35.75</v>
      </c>
      <c r="H2419" s="7">
        <v>389.8</v>
      </c>
      <c r="I2419" s="2" t="s">
        <v>15</v>
      </c>
      <c r="J2419" s="2" t="s">
        <v>15</v>
      </c>
      <c r="K2419" s="2" t="s">
        <v>17</v>
      </c>
      <c r="L2419" s="7">
        <v>389.8</v>
      </c>
      <c r="M2419" s="2" t="str">
        <f>_xlfn.IFS(TelecomData[[#This Row],[TenureMonths]]&lt;=12, "0-1 Year", TelecomData[[#This Row],[TenureMonths]]&lt;=36, "1-3 Years", TelecomData[[#This Row],[TenureMonths]]&gt;36, "3+ Years")</f>
        <v>0-1 Year</v>
      </c>
      <c r="N2419" s="2" t="str">
        <f>IF(TelecomData[[#This Row],[CleanedTotalCharges]]&gt;=2500,"High Spend", "Standard Spend")</f>
        <v>Standard Spend</v>
      </c>
    </row>
    <row r="2420" spans="1:14" x14ac:dyDescent="0.3">
      <c r="A2420" s="1" t="s">
        <v>2444</v>
      </c>
      <c r="B2420" s="2" t="s">
        <v>12</v>
      </c>
      <c r="C2420" s="2" t="s">
        <v>13</v>
      </c>
      <c r="D2420" s="2">
        <v>27</v>
      </c>
      <c r="E2420" s="2" t="s">
        <v>26</v>
      </c>
      <c r="F2420" s="2" t="s">
        <v>15</v>
      </c>
      <c r="G2420" s="7">
        <v>86.45</v>
      </c>
      <c r="H2420" s="7">
        <v>2401.0500000000002</v>
      </c>
      <c r="I2420" s="2" t="s">
        <v>15</v>
      </c>
      <c r="J2420" s="2" t="s">
        <v>16</v>
      </c>
      <c r="K2420" s="2" t="s">
        <v>24</v>
      </c>
      <c r="L2420" s="7">
        <v>2401.0500000000002</v>
      </c>
      <c r="M2420" s="2" t="str">
        <f>_xlfn.IFS(TelecomData[[#This Row],[TenureMonths]]&lt;=12, "0-1 Year", TelecomData[[#This Row],[TenureMonths]]&lt;=36, "1-3 Years", TelecomData[[#This Row],[TenureMonths]]&gt;36, "3+ Years")</f>
        <v>1-3 Years</v>
      </c>
      <c r="N2420" s="2" t="str">
        <f>IF(TelecomData[[#This Row],[CleanedTotalCharges]]&gt;=2500,"High Spend", "Standard Spend")</f>
        <v>Standard Spend</v>
      </c>
    </row>
    <row r="2421" spans="1:14" x14ac:dyDescent="0.3">
      <c r="A2421" s="1" t="s">
        <v>2445</v>
      </c>
      <c r="B2421" s="2" t="s">
        <v>12</v>
      </c>
      <c r="C2421" s="2" t="s">
        <v>20</v>
      </c>
      <c r="D2421" s="2">
        <v>11</v>
      </c>
      <c r="E2421" s="2" t="s">
        <v>14</v>
      </c>
      <c r="F2421" s="2" t="s">
        <v>16</v>
      </c>
      <c r="G2421" s="7">
        <v>53.8</v>
      </c>
      <c r="H2421" s="7">
        <v>651.54999999999995</v>
      </c>
      <c r="I2421" s="2" t="s">
        <v>15</v>
      </c>
      <c r="J2421" s="2" t="s">
        <v>15</v>
      </c>
      <c r="K2421" s="2" t="s">
        <v>24</v>
      </c>
      <c r="L2421" s="7">
        <v>651.54999999999995</v>
      </c>
      <c r="M2421" s="2" t="str">
        <f>_xlfn.IFS(TelecomData[[#This Row],[TenureMonths]]&lt;=12, "0-1 Year", TelecomData[[#This Row],[TenureMonths]]&lt;=36, "1-3 Years", TelecomData[[#This Row],[TenureMonths]]&gt;36, "3+ Years")</f>
        <v>0-1 Year</v>
      </c>
      <c r="N2421" s="2" t="str">
        <f>IF(TelecomData[[#This Row],[CleanedTotalCharges]]&gt;=2500,"High Spend", "Standard Spend")</f>
        <v>Standard Spend</v>
      </c>
    </row>
    <row r="2422" spans="1:14" x14ac:dyDescent="0.3">
      <c r="A2422" s="1" t="s">
        <v>2446</v>
      </c>
      <c r="B2422" s="2" t="s">
        <v>19</v>
      </c>
      <c r="C2422" s="2" t="s">
        <v>13</v>
      </c>
      <c r="D2422" s="2">
        <v>4</v>
      </c>
      <c r="E2422" s="2" t="s">
        <v>14</v>
      </c>
      <c r="F2422" s="2" t="s">
        <v>15</v>
      </c>
      <c r="G2422" s="7">
        <v>38.549999999999997</v>
      </c>
      <c r="H2422" s="7">
        <v>156.1</v>
      </c>
      <c r="I2422" s="2" t="s">
        <v>15</v>
      </c>
      <c r="J2422" s="2" t="s">
        <v>15</v>
      </c>
      <c r="K2422" s="2" t="s">
        <v>29</v>
      </c>
      <c r="L2422" s="7">
        <v>156.1</v>
      </c>
      <c r="M2422" s="2" t="str">
        <f>_xlfn.IFS(TelecomData[[#This Row],[TenureMonths]]&lt;=12, "0-1 Year", TelecomData[[#This Row],[TenureMonths]]&lt;=36, "1-3 Years", TelecomData[[#This Row],[TenureMonths]]&gt;36, "3+ Years")</f>
        <v>0-1 Year</v>
      </c>
      <c r="N2422" s="2" t="str">
        <f>IF(TelecomData[[#This Row],[CleanedTotalCharges]]&gt;=2500,"High Spend", "Standard Spend")</f>
        <v>Standard Spend</v>
      </c>
    </row>
    <row r="2423" spans="1:14" x14ac:dyDescent="0.3">
      <c r="A2423" s="1" t="s">
        <v>2447</v>
      </c>
      <c r="B2423" s="2" t="s">
        <v>19</v>
      </c>
      <c r="C2423" s="2" t="s">
        <v>13</v>
      </c>
      <c r="D2423" s="2">
        <v>68</v>
      </c>
      <c r="E2423" s="2" t="s">
        <v>14</v>
      </c>
      <c r="F2423" s="2" t="s">
        <v>15</v>
      </c>
      <c r="G2423" s="7">
        <v>39.9</v>
      </c>
      <c r="H2423" s="7">
        <v>2796.35</v>
      </c>
      <c r="I2423" s="2" t="s">
        <v>15</v>
      </c>
      <c r="J2423" s="2" t="s">
        <v>16</v>
      </c>
      <c r="K2423" s="2" t="s">
        <v>24</v>
      </c>
      <c r="L2423" s="7">
        <v>2796.35</v>
      </c>
      <c r="M2423" s="2" t="str">
        <f>_xlfn.IFS(TelecomData[[#This Row],[TenureMonths]]&lt;=12, "0-1 Year", TelecomData[[#This Row],[TenureMonths]]&lt;=36, "1-3 Years", TelecomData[[#This Row],[TenureMonths]]&gt;36, "3+ Years")</f>
        <v>3+ Years</v>
      </c>
      <c r="N2423" s="2" t="str">
        <f>IF(TelecomData[[#This Row],[CleanedTotalCharges]]&gt;=2500,"High Spend", "Standard Spend")</f>
        <v>High Spend</v>
      </c>
    </row>
    <row r="2424" spans="1:14" x14ac:dyDescent="0.3">
      <c r="A2424" s="1" t="s">
        <v>2448</v>
      </c>
      <c r="B2424" s="2" t="s">
        <v>19</v>
      </c>
      <c r="C2424" s="2" t="s">
        <v>13</v>
      </c>
      <c r="D2424" s="2">
        <v>1</v>
      </c>
      <c r="E2424" s="2" t="s">
        <v>26</v>
      </c>
      <c r="F2424" s="2" t="s">
        <v>15</v>
      </c>
      <c r="G2424" s="7">
        <v>70.05</v>
      </c>
      <c r="H2424" s="7">
        <v>70.05</v>
      </c>
      <c r="I2424" s="2" t="s">
        <v>15</v>
      </c>
      <c r="J2424" s="2" t="s">
        <v>16</v>
      </c>
      <c r="K2424" s="2" t="s">
        <v>17</v>
      </c>
      <c r="L2424" s="7">
        <v>70.05</v>
      </c>
      <c r="M2424" s="2" t="str">
        <f>_xlfn.IFS(TelecomData[[#This Row],[TenureMonths]]&lt;=12, "0-1 Year", TelecomData[[#This Row],[TenureMonths]]&lt;=36, "1-3 Years", TelecomData[[#This Row],[TenureMonths]]&gt;36, "3+ Years")</f>
        <v>0-1 Year</v>
      </c>
      <c r="N2424" s="2" t="str">
        <f>IF(TelecomData[[#This Row],[CleanedTotalCharges]]&gt;=2500,"High Spend", "Standard Spend")</f>
        <v>Standard Spend</v>
      </c>
    </row>
    <row r="2425" spans="1:14" x14ac:dyDescent="0.3">
      <c r="A2425" s="1" t="s">
        <v>2449</v>
      </c>
      <c r="B2425" s="2" t="s">
        <v>12</v>
      </c>
      <c r="C2425" s="2" t="s">
        <v>20</v>
      </c>
      <c r="D2425" s="2">
        <v>18</v>
      </c>
      <c r="E2425" s="2" t="s">
        <v>15</v>
      </c>
      <c r="F2425" s="2" t="s">
        <v>36</v>
      </c>
      <c r="G2425" s="7">
        <v>20.100000000000001</v>
      </c>
      <c r="H2425" s="7">
        <v>407.05</v>
      </c>
      <c r="I2425" s="2" t="s">
        <v>15</v>
      </c>
      <c r="J2425" s="2" t="s">
        <v>15</v>
      </c>
      <c r="K2425" s="2" t="s">
        <v>21</v>
      </c>
      <c r="L2425" s="7">
        <v>407.05</v>
      </c>
      <c r="M2425" s="2" t="str">
        <f>_xlfn.IFS(TelecomData[[#This Row],[TenureMonths]]&lt;=12, "0-1 Year", TelecomData[[#This Row],[TenureMonths]]&lt;=36, "1-3 Years", TelecomData[[#This Row],[TenureMonths]]&gt;36, "3+ Years")</f>
        <v>1-3 Years</v>
      </c>
      <c r="N2425" s="2" t="str">
        <f>IF(TelecomData[[#This Row],[CleanedTotalCharges]]&gt;=2500,"High Spend", "Standard Spend")</f>
        <v>Standard Spend</v>
      </c>
    </row>
    <row r="2426" spans="1:14" x14ac:dyDescent="0.3">
      <c r="A2426" s="1" t="s">
        <v>2450</v>
      </c>
      <c r="B2426" s="2" t="s">
        <v>12</v>
      </c>
      <c r="C2426" s="2" t="s">
        <v>35</v>
      </c>
      <c r="D2426" s="2">
        <v>57</v>
      </c>
      <c r="E2426" s="2" t="s">
        <v>26</v>
      </c>
      <c r="F2426" s="2" t="s">
        <v>15</v>
      </c>
      <c r="G2426" s="7">
        <v>112.95</v>
      </c>
      <c r="H2426" s="7">
        <v>6465</v>
      </c>
      <c r="I2426" s="2" t="s">
        <v>16</v>
      </c>
      <c r="J2426" s="2" t="s">
        <v>16</v>
      </c>
      <c r="K2426" s="2" t="s">
        <v>24</v>
      </c>
      <c r="L2426" s="7">
        <v>6465</v>
      </c>
      <c r="M2426" s="2" t="str">
        <f>_xlfn.IFS(TelecomData[[#This Row],[TenureMonths]]&lt;=12, "0-1 Year", TelecomData[[#This Row],[TenureMonths]]&lt;=36, "1-3 Years", TelecomData[[#This Row],[TenureMonths]]&gt;36, "3+ Years")</f>
        <v>3+ Years</v>
      </c>
      <c r="N2426" s="2" t="str">
        <f>IF(TelecomData[[#This Row],[CleanedTotalCharges]]&gt;=2500,"High Spend", "Standard Spend")</f>
        <v>High Spend</v>
      </c>
    </row>
    <row r="2427" spans="1:14" x14ac:dyDescent="0.3">
      <c r="A2427" s="1" t="s">
        <v>2451</v>
      </c>
      <c r="B2427" s="2" t="s">
        <v>19</v>
      </c>
      <c r="C2427" s="2" t="s">
        <v>13</v>
      </c>
      <c r="D2427" s="2">
        <v>26</v>
      </c>
      <c r="E2427" s="2" t="s">
        <v>15</v>
      </c>
      <c r="F2427" s="2" t="s">
        <v>36</v>
      </c>
      <c r="G2427" s="7">
        <v>20.3</v>
      </c>
      <c r="H2427" s="7">
        <v>511.25</v>
      </c>
      <c r="I2427" s="2" t="s">
        <v>15</v>
      </c>
      <c r="J2427" s="2" t="s">
        <v>16</v>
      </c>
      <c r="K2427" s="2" t="s">
        <v>17</v>
      </c>
      <c r="L2427" s="7">
        <v>511.25</v>
      </c>
      <c r="M2427" s="2" t="str">
        <f>_xlfn.IFS(TelecomData[[#This Row],[TenureMonths]]&lt;=12, "0-1 Year", TelecomData[[#This Row],[TenureMonths]]&lt;=36, "1-3 Years", TelecomData[[#This Row],[TenureMonths]]&gt;36, "3+ Years")</f>
        <v>1-3 Years</v>
      </c>
      <c r="N2427" s="2" t="str">
        <f>IF(TelecomData[[#This Row],[CleanedTotalCharges]]&gt;=2500,"High Spend", "Standard Spend")</f>
        <v>Standard Spend</v>
      </c>
    </row>
    <row r="2428" spans="1:14" x14ac:dyDescent="0.3">
      <c r="A2428" s="1" t="s">
        <v>2452</v>
      </c>
      <c r="B2428" s="2" t="s">
        <v>12</v>
      </c>
      <c r="C2428" s="2" t="s">
        <v>13</v>
      </c>
      <c r="D2428" s="2">
        <v>17</v>
      </c>
      <c r="E2428" s="2" t="s">
        <v>14</v>
      </c>
      <c r="F2428" s="2" t="s">
        <v>15</v>
      </c>
      <c r="G2428" s="7">
        <v>35.65</v>
      </c>
      <c r="H2428" s="7">
        <v>646.04999999999995</v>
      </c>
      <c r="I2428" s="2" t="s">
        <v>15</v>
      </c>
      <c r="J2428" s="2" t="s">
        <v>16</v>
      </c>
      <c r="K2428" s="2" t="s">
        <v>29</v>
      </c>
      <c r="L2428" s="7">
        <v>646.04999999999995</v>
      </c>
      <c r="M2428" s="2" t="str">
        <f>_xlfn.IFS(TelecomData[[#This Row],[TenureMonths]]&lt;=12, "0-1 Year", TelecomData[[#This Row],[TenureMonths]]&lt;=36, "1-3 Years", TelecomData[[#This Row],[TenureMonths]]&gt;36, "3+ Years")</f>
        <v>1-3 Years</v>
      </c>
      <c r="N2428" s="2" t="str">
        <f>IF(TelecomData[[#This Row],[CleanedTotalCharges]]&gt;=2500,"High Spend", "Standard Spend")</f>
        <v>Standard Spend</v>
      </c>
    </row>
    <row r="2429" spans="1:14" x14ac:dyDescent="0.3">
      <c r="A2429" s="1" t="s">
        <v>2453</v>
      </c>
      <c r="B2429" s="2" t="s">
        <v>19</v>
      </c>
      <c r="C2429" s="2" t="s">
        <v>13</v>
      </c>
      <c r="D2429" s="2">
        <v>1</v>
      </c>
      <c r="E2429" s="2" t="s">
        <v>14</v>
      </c>
      <c r="F2429" s="2" t="s">
        <v>15</v>
      </c>
      <c r="G2429" s="7">
        <v>35.9</v>
      </c>
      <c r="H2429" s="7">
        <v>35.9</v>
      </c>
      <c r="I2429" s="2" t="s">
        <v>16</v>
      </c>
      <c r="J2429" s="2" t="s">
        <v>15</v>
      </c>
      <c r="K2429" s="2" t="s">
        <v>17</v>
      </c>
      <c r="L2429" s="7">
        <v>35.9</v>
      </c>
      <c r="M2429" s="2" t="str">
        <f>_xlfn.IFS(TelecomData[[#This Row],[TenureMonths]]&lt;=12, "0-1 Year", TelecomData[[#This Row],[TenureMonths]]&lt;=36, "1-3 Years", TelecomData[[#This Row],[TenureMonths]]&gt;36, "3+ Years")</f>
        <v>0-1 Year</v>
      </c>
      <c r="N2429" s="2" t="str">
        <f>IF(TelecomData[[#This Row],[CleanedTotalCharges]]&gt;=2500,"High Spend", "Standard Spend")</f>
        <v>Standard Spend</v>
      </c>
    </row>
    <row r="2430" spans="1:14" x14ac:dyDescent="0.3">
      <c r="A2430" s="1" t="s">
        <v>2454</v>
      </c>
      <c r="B2430" s="2" t="s">
        <v>19</v>
      </c>
      <c r="C2430" s="2" t="s">
        <v>13</v>
      </c>
      <c r="D2430" s="2">
        <v>38</v>
      </c>
      <c r="E2430" s="2" t="s">
        <v>26</v>
      </c>
      <c r="F2430" s="2" t="s">
        <v>15</v>
      </c>
      <c r="G2430" s="7">
        <v>99.25</v>
      </c>
      <c r="H2430" s="7">
        <v>3777.15</v>
      </c>
      <c r="I2430" s="2" t="s">
        <v>16</v>
      </c>
      <c r="J2430" s="2" t="s">
        <v>16</v>
      </c>
      <c r="K2430" s="2" t="s">
        <v>24</v>
      </c>
      <c r="L2430" s="7">
        <v>3777.15</v>
      </c>
      <c r="M2430" s="2" t="str">
        <f>_xlfn.IFS(TelecomData[[#This Row],[TenureMonths]]&lt;=12, "0-1 Year", TelecomData[[#This Row],[TenureMonths]]&lt;=36, "1-3 Years", TelecomData[[#This Row],[TenureMonths]]&gt;36, "3+ Years")</f>
        <v>3+ Years</v>
      </c>
      <c r="N2430" s="2" t="str">
        <f>IF(TelecomData[[#This Row],[CleanedTotalCharges]]&gt;=2500,"High Spend", "Standard Spend")</f>
        <v>High Spend</v>
      </c>
    </row>
    <row r="2431" spans="1:14" x14ac:dyDescent="0.3">
      <c r="A2431" s="1" t="s">
        <v>2455</v>
      </c>
      <c r="B2431" s="2" t="s">
        <v>19</v>
      </c>
      <c r="C2431" s="2" t="s">
        <v>20</v>
      </c>
      <c r="D2431" s="2">
        <v>59</v>
      </c>
      <c r="E2431" s="2" t="s">
        <v>26</v>
      </c>
      <c r="F2431" s="2" t="s">
        <v>15</v>
      </c>
      <c r="G2431" s="7">
        <v>82.95</v>
      </c>
      <c r="H2431" s="7">
        <v>4903.1499999999996</v>
      </c>
      <c r="I2431" s="2" t="s">
        <v>15</v>
      </c>
      <c r="J2431" s="2" t="s">
        <v>16</v>
      </c>
      <c r="K2431" s="2" t="s">
        <v>29</v>
      </c>
      <c r="L2431" s="7">
        <v>4903.1499999999996</v>
      </c>
      <c r="M2431" s="2" t="str">
        <f>_xlfn.IFS(TelecomData[[#This Row],[TenureMonths]]&lt;=12, "0-1 Year", TelecomData[[#This Row],[TenureMonths]]&lt;=36, "1-3 Years", TelecomData[[#This Row],[TenureMonths]]&gt;36, "3+ Years")</f>
        <v>3+ Years</v>
      </c>
      <c r="N2431" s="2" t="str">
        <f>IF(TelecomData[[#This Row],[CleanedTotalCharges]]&gt;=2500,"High Spend", "Standard Spend")</f>
        <v>High Spend</v>
      </c>
    </row>
    <row r="2432" spans="1:14" x14ac:dyDescent="0.3">
      <c r="A2432" s="1" t="s">
        <v>2456</v>
      </c>
      <c r="B2432" s="2" t="s">
        <v>19</v>
      </c>
      <c r="C2432" s="2" t="s">
        <v>35</v>
      </c>
      <c r="D2432" s="2">
        <v>30</v>
      </c>
      <c r="E2432" s="2" t="s">
        <v>14</v>
      </c>
      <c r="F2432" s="2" t="s">
        <v>15</v>
      </c>
      <c r="G2432" s="7">
        <v>55.65</v>
      </c>
      <c r="H2432" s="7">
        <v>1653.85</v>
      </c>
      <c r="I2432" s="2" t="s">
        <v>15</v>
      </c>
      <c r="J2432" s="2" t="s">
        <v>16</v>
      </c>
      <c r="K2432" s="2" t="s">
        <v>21</v>
      </c>
      <c r="L2432" s="7">
        <v>1653.85</v>
      </c>
      <c r="M2432" s="2" t="str">
        <f>_xlfn.IFS(TelecomData[[#This Row],[TenureMonths]]&lt;=12, "0-1 Year", TelecomData[[#This Row],[TenureMonths]]&lt;=36, "1-3 Years", TelecomData[[#This Row],[TenureMonths]]&gt;36, "3+ Years")</f>
        <v>1-3 Years</v>
      </c>
      <c r="N2432" s="2" t="str">
        <f>IF(TelecomData[[#This Row],[CleanedTotalCharges]]&gt;=2500,"High Spend", "Standard Spend")</f>
        <v>Standard Spend</v>
      </c>
    </row>
    <row r="2433" spans="1:14" x14ac:dyDescent="0.3">
      <c r="A2433" s="1" t="s">
        <v>2457</v>
      </c>
      <c r="B2433" s="2" t="s">
        <v>19</v>
      </c>
      <c r="C2433" s="2" t="s">
        <v>13</v>
      </c>
      <c r="D2433" s="2">
        <v>2</v>
      </c>
      <c r="E2433" s="2" t="s">
        <v>14</v>
      </c>
      <c r="F2433" s="2" t="s">
        <v>15</v>
      </c>
      <c r="G2433" s="7">
        <v>24.45</v>
      </c>
      <c r="H2433" s="7">
        <v>47.5</v>
      </c>
      <c r="I2433" s="2" t="s">
        <v>16</v>
      </c>
      <c r="J2433" s="2" t="s">
        <v>16</v>
      </c>
      <c r="K2433" s="2" t="s">
        <v>21</v>
      </c>
      <c r="L2433" s="7">
        <v>47.5</v>
      </c>
      <c r="M2433" s="2" t="str">
        <f>_xlfn.IFS(TelecomData[[#This Row],[TenureMonths]]&lt;=12, "0-1 Year", TelecomData[[#This Row],[TenureMonths]]&lt;=36, "1-3 Years", TelecomData[[#This Row],[TenureMonths]]&gt;36, "3+ Years")</f>
        <v>0-1 Year</v>
      </c>
      <c r="N2433" s="2" t="str">
        <f>IF(TelecomData[[#This Row],[CleanedTotalCharges]]&gt;=2500,"High Spend", "Standard Spend")</f>
        <v>Standard Spend</v>
      </c>
    </row>
    <row r="2434" spans="1:14" x14ac:dyDescent="0.3">
      <c r="A2434" s="1" t="s">
        <v>2458</v>
      </c>
      <c r="B2434" s="2" t="s">
        <v>12</v>
      </c>
      <c r="C2434" s="2" t="s">
        <v>20</v>
      </c>
      <c r="D2434" s="2">
        <v>50</v>
      </c>
      <c r="E2434" s="2" t="s">
        <v>15</v>
      </c>
      <c r="F2434" s="2" t="s">
        <v>36</v>
      </c>
      <c r="G2434" s="7">
        <v>25.2</v>
      </c>
      <c r="H2434" s="7">
        <v>1306.3</v>
      </c>
      <c r="I2434" s="2" t="s">
        <v>15</v>
      </c>
      <c r="J2434" s="2" t="s">
        <v>15</v>
      </c>
      <c r="K2434" s="2" t="s">
        <v>17</v>
      </c>
      <c r="L2434" s="7">
        <v>1306.3</v>
      </c>
      <c r="M2434" s="2" t="str">
        <f>_xlfn.IFS(TelecomData[[#This Row],[TenureMonths]]&lt;=12, "0-1 Year", TelecomData[[#This Row],[TenureMonths]]&lt;=36, "1-3 Years", TelecomData[[#This Row],[TenureMonths]]&gt;36, "3+ Years")</f>
        <v>3+ Years</v>
      </c>
      <c r="N2434" s="2" t="str">
        <f>IF(TelecomData[[#This Row],[CleanedTotalCharges]]&gt;=2500,"High Spend", "Standard Spend")</f>
        <v>Standard Spend</v>
      </c>
    </row>
    <row r="2435" spans="1:14" x14ac:dyDescent="0.3">
      <c r="A2435" s="1" t="s">
        <v>2459</v>
      </c>
      <c r="B2435" s="2" t="s">
        <v>19</v>
      </c>
      <c r="C2435" s="2" t="s">
        <v>20</v>
      </c>
      <c r="D2435" s="2">
        <v>9</v>
      </c>
      <c r="E2435" s="2" t="s">
        <v>14</v>
      </c>
      <c r="F2435" s="2" t="s">
        <v>16</v>
      </c>
      <c r="G2435" s="7">
        <v>50.8</v>
      </c>
      <c r="H2435" s="7">
        <v>463.6</v>
      </c>
      <c r="I2435" s="2" t="s">
        <v>15</v>
      </c>
      <c r="J2435" s="2" t="s">
        <v>15</v>
      </c>
      <c r="K2435" s="2" t="s">
        <v>21</v>
      </c>
      <c r="L2435" s="7">
        <v>463.6</v>
      </c>
      <c r="M2435" s="2" t="str">
        <f>_xlfn.IFS(TelecomData[[#This Row],[TenureMonths]]&lt;=12, "0-1 Year", TelecomData[[#This Row],[TenureMonths]]&lt;=36, "1-3 Years", TelecomData[[#This Row],[TenureMonths]]&gt;36, "3+ Years")</f>
        <v>0-1 Year</v>
      </c>
      <c r="N2435" s="2" t="str">
        <f>IF(TelecomData[[#This Row],[CleanedTotalCharges]]&gt;=2500,"High Spend", "Standard Spend")</f>
        <v>Standard Spend</v>
      </c>
    </row>
    <row r="2436" spans="1:14" x14ac:dyDescent="0.3">
      <c r="A2436" s="1" t="s">
        <v>2460</v>
      </c>
      <c r="B2436" s="2" t="s">
        <v>12</v>
      </c>
      <c r="C2436" s="2" t="s">
        <v>13</v>
      </c>
      <c r="D2436" s="2">
        <v>3</v>
      </c>
      <c r="E2436" s="2" t="s">
        <v>15</v>
      </c>
      <c r="F2436" s="2" t="s">
        <v>36</v>
      </c>
      <c r="G2436" s="7">
        <v>19.649999999999999</v>
      </c>
      <c r="H2436" s="7">
        <v>60.65</v>
      </c>
      <c r="I2436" s="2" t="s">
        <v>15</v>
      </c>
      <c r="J2436" s="2" t="s">
        <v>15</v>
      </c>
      <c r="K2436" s="2" t="s">
        <v>21</v>
      </c>
      <c r="L2436" s="7">
        <v>60.65</v>
      </c>
      <c r="M2436" s="2" t="str">
        <f>_xlfn.IFS(TelecomData[[#This Row],[TenureMonths]]&lt;=12, "0-1 Year", TelecomData[[#This Row],[TenureMonths]]&lt;=36, "1-3 Years", TelecomData[[#This Row],[TenureMonths]]&gt;36, "3+ Years")</f>
        <v>0-1 Year</v>
      </c>
      <c r="N2436" s="2" t="str">
        <f>IF(TelecomData[[#This Row],[CleanedTotalCharges]]&gt;=2500,"High Spend", "Standard Spend")</f>
        <v>Standard Spend</v>
      </c>
    </row>
    <row r="2437" spans="1:14" x14ac:dyDescent="0.3">
      <c r="A2437" s="1" t="s">
        <v>2461</v>
      </c>
      <c r="B2437" s="2" t="s">
        <v>12</v>
      </c>
      <c r="C2437" s="2" t="s">
        <v>13</v>
      </c>
      <c r="D2437" s="2">
        <v>14</v>
      </c>
      <c r="E2437" s="2" t="s">
        <v>14</v>
      </c>
      <c r="F2437" s="2" t="s">
        <v>15</v>
      </c>
      <c r="G2437" s="7">
        <v>59.8</v>
      </c>
      <c r="H2437" s="7">
        <v>824.85</v>
      </c>
      <c r="I2437" s="2" t="s">
        <v>15</v>
      </c>
      <c r="J2437" s="2" t="s">
        <v>16</v>
      </c>
      <c r="K2437" s="2" t="s">
        <v>29</v>
      </c>
      <c r="L2437" s="7">
        <v>824.85</v>
      </c>
      <c r="M2437" s="2" t="str">
        <f>_xlfn.IFS(TelecomData[[#This Row],[TenureMonths]]&lt;=12, "0-1 Year", TelecomData[[#This Row],[TenureMonths]]&lt;=36, "1-3 Years", TelecomData[[#This Row],[TenureMonths]]&gt;36, "3+ Years")</f>
        <v>1-3 Years</v>
      </c>
      <c r="N2437" s="2" t="str">
        <f>IF(TelecomData[[#This Row],[CleanedTotalCharges]]&gt;=2500,"High Spend", "Standard Spend")</f>
        <v>Standard Spend</v>
      </c>
    </row>
    <row r="2438" spans="1:14" x14ac:dyDescent="0.3">
      <c r="A2438" s="1" t="s">
        <v>2462</v>
      </c>
      <c r="B2438" s="2" t="s">
        <v>12</v>
      </c>
      <c r="C2438" s="2" t="s">
        <v>13</v>
      </c>
      <c r="D2438" s="2">
        <v>31</v>
      </c>
      <c r="E2438" s="2" t="s">
        <v>26</v>
      </c>
      <c r="F2438" s="2" t="s">
        <v>15</v>
      </c>
      <c r="G2438" s="7">
        <v>73.55</v>
      </c>
      <c r="H2438" s="7">
        <v>2094.65</v>
      </c>
      <c r="I2438" s="2" t="s">
        <v>15</v>
      </c>
      <c r="J2438" s="2" t="s">
        <v>16</v>
      </c>
      <c r="K2438" s="2" t="s">
        <v>29</v>
      </c>
      <c r="L2438" s="7">
        <v>2094.65</v>
      </c>
      <c r="M2438" s="2" t="str">
        <f>_xlfn.IFS(TelecomData[[#This Row],[TenureMonths]]&lt;=12, "0-1 Year", TelecomData[[#This Row],[TenureMonths]]&lt;=36, "1-3 Years", TelecomData[[#This Row],[TenureMonths]]&gt;36, "3+ Years")</f>
        <v>1-3 Years</v>
      </c>
      <c r="N2438" s="2" t="str">
        <f>IF(TelecomData[[#This Row],[CleanedTotalCharges]]&gt;=2500,"High Spend", "Standard Spend")</f>
        <v>Standard Spend</v>
      </c>
    </row>
    <row r="2439" spans="1:14" x14ac:dyDescent="0.3">
      <c r="A2439" s="1" t="s">
        <v>2463</v>
      </c>
      <c r="B2439" s="2" t="s">
        <v>12</v>
      </c>
      <c r="C2439" s="2" t="s">
        <v>13</v>
      </c>
      <c r="D2439" s="2">
        <v>7</v>
      </c>
      <c r="E2439" s="2" t="s">
        <v>14</v>
      </c>
      <c r="F2439" s="2" t="s">
        <v>15</v>
      </c>
      <c r="G2439" s="7">
        <v>61.4</v>
      </c>
      <c r="H2439" s="7">
        <v>438.9</v>
      </c>
      <c r="I2439" s="2" t="s">
        <v>15</v>
      </c>
      <c r="J2439" s="2" t="s">
        <v>15</v>
      </c>
      <c r="K2439" s="2" t="s">
        <v>17</v>
      </c>
      <c r="L2439" s="7">
        <v>438.9</v>
      </c>
      <c r="M2439" s="2" t="str">
        <f>_xlfn.IFS(TelecomData[[#This Row],[TenureMonths]]&lt;=12, "0-1 Year", TelecomData[[#This Row],[TenureMonths]]&lt;=36, "1-3 Years", TelecomData[[#This Row],[TenureMonths]]&gt;36, "3+ Years")</f>
        <v>0-1 Year</v>
      </c>
      <c r="N2439" s="2" t="str">
        <f>IF(TelecomData[[#This Row],[CleanedTotalCharges]]&gt;=2500,"High Spend", "Standard Spend")</f>
        <v>Standard Spend</v>
      </c>
    </row>
    <row r="2440" spans="1:14" x14ac:dyDescent="0.3">
      <c r="A2440" s="1" t="s">
        <v>2464</v>
      </c>
      <c r="B2440" s="2" t="s">
        <v>12</v>
      </c>
      <c r="C2440" s="2" t="s">
        <v>13</v>
      </c>
      <c r="D2440" s="2">
        <v>8</v>
      </c>
      <c r="E2440" s="2" t="s">
        <v>26</v>
      </c>
      <c r="F2440" s="2" t="s">
        <v>16</v>
      </c>
      <c r="G2440" s="7">
        <v>103.35</v>
      </c>
      <c r="H2440" s="7">
        <v>847.3</v>
      </c>
      <c r="I2440" s="2" t="s">
        <v>16</v>
      </c>
      <c r="J2440" s="2" t="s">
        <v>16</v>
      </c>
      <c r="K2440" s="2" t="s">
        <v>24</v>
      </c>
      <c r="L2440" s="7">
        <v>847.3</v>
      </c>
      <c r="M2440" s="2" t="str">
        <f>_xlfn.IFS(TelecomData[[#This Row],[TenureMonths]]&lt;=12, "0-1 Year", TelecomData[[#This Row],[TenureMonths]]&lt;=36, "1-3 Years", TelecomData[[#This Row],[TenureMonths]]&gt;36, "3+ Years")</f>
        <v>0-1 Year</v>
      </c>
      <c r="N2440" s="2" t="str">
        <f>IF(TelecomData[[#This Row],[CleanedTotalCharges]]&gt;=2500,"High Spend", "Standard Spend")</f>
        <v>Standard Spend</v>
      </c>
    </row>
    <row r="2441" spans="1:14" x14ac:dyDescent="0.3">
      <c r="A2441" s="1" t="s">
        <v>2465</v>
      </c>
      <c r="B2441" s="2" t="s">
        <v>19</v>
      </c>
      <c r="C2441" s="2" t="s">
        <v>20</v>
      </c>
      <c r="D2441" s="2">
        <v>17</v>
      </c>
      <c r="E2441" s="2" t="s">
        <v>15</v>
      </c>
      <c r="F2441" s="2" t="s">
        <v>36</v>
      </c>
      <c r="G2441" s="7">
        <v>19.899999999999999</v>
      </c>
      <c r="H2441" s="7">
        <v>329.75</v>
      </c>
      <c r="I2441" s="2" t="s">
        <v>15</v>
      </c>
      <c r="J2441" s="2" t="s">
        <v>15</v>
      </c>
      <c r="K2441" s="2" t="s">
        <v>24</v>
      </c>
      <c r="L2441" s="7">
        <v>329.75</v>
      </c>
      <c r="M2441" s="2" t="str">
        <f>_xlfn.IFS(TelecomData[[#This Row],[TenureMonths]]&lt;=12, "0-1 Year", TelecomData[[#This Row],[TenureMonths]]&lt;=36, "1-3 Years", TelecomData[[#This Row],[TenureMonths]]&gt;36, "3+ Years")</f>
        <v>1-3 Years</v>
      </c>
      <c r="N2441" s="2" t="str">
        <f>IF(TelecomData[[#This Row],[CleanedTotalCharges]]&gt;=2500,"High Spend", "Standard Spend")</f>
        <v>Standard Spend</v>
      </c>
    </row>
    <row r="2442" spans="1:14" x14ac:dyDescent="0.3">
      <c r="A2442" s="1" t="s">
        <v>2466</v>
      </c>
      <c r="B2442" s="2" t="s">
        <v>19</v>
      </c>
      <c r="C2442" s="2" t="s">
        <v>13</v>
      </c>
      <c r="D2442" s="2">
        <v>32</v>
      </c>
      <c r="E2442" s="2" t="s">
        <v>15</v>
      </c>
      <c r="F2442" s="2" t="s">
        <v>36</v>
      </c>
      <c r="G2442" s="7">
        <v>19.45</v>
      </c>
      <c r="H2442" s="7">
        <v>674.55</v>
      </c>
      <c r="I2442" s="2" t="s">
        <v>15</v>
      </c>
      <c r="J2442" s="2" t="s">
        <v>16</v>
      </c>
      <c r="K2442" s="2" t="s">
        <v>29</v>
      </c>
      <c r="L2442" s="7">
        <v>674.55</v>
      </c>
      <c r="M2442" s="2" t="str">
        <f>_xlfn.IFS(TelecomData[[#This Row],[TenureMonths]]&lt;=12, "0-1 Year", TelecomData[[#This Row],[TenureMonths]]&lt;=36, "1-3 Years", TelecomData[[#This Row],[TenureMonths]]&gt;36, "3+ Years")</f>
        <v>1-3 Years</v>
      </c>
      <c r="N2442" s="2" t="str">
        <f>IF(TelecomData[[#This Row],[CleanedTotalCharges]]&gt;=2500,"High Spend", "Standard Spend")</f>
        <v>Standard Spend</v>
      </c>
    </row>
    <row r="2443" spans="1:14" x14ac:dyDescent="0.3">
      <c r="A2443" s="1" t="s">
        <v>2467</v>
      </c>
      <c r="B2443" s="2" t="s">
        <v>12</v>
      </c>
      <c r="C2443" s="2" t="s">
        <v>13</v>
      </c>
      <c r="D2443" s="2">
        <v>2</v>
      </c>
      <c r="E2443" s="2" t="s">
        <v>26</v>
      </c>
      <c r="F2443" s="2" t="s">
        <v>15</v>
      </c>
      <c r="G2443" s="7">
        <v>81.5</v>
      </c>
      <c r="H2443" s="7">
        <v>162.55000000000001</v>
      </c>
      <c r="I2443" s="2" t="s">
        <v>15</v>
      </c>
      <c r="J2443" s="2" t="s">
        <v>15</v>
      </c>
      <c r="K2443" s="2" t="s">
        <v>21</v>
      </c>
      <c r="L2443" s="7">
        <v>162.55000000000001</v>
      </c>
      <c r="M2443" s="2" t="str">
        <f>_xlfn.IFS(TelecomData[[#This Row],[TenureMonths]]&lt;=12, "0-1 Year", TelecomData[[#This Row],[TenureMonths]]&lt;=36, "1-3 Years", TelecomData[[#This Row],[TenureMonths]]&gt;36, "3+ Years")</f>
        <v>0-1 Year</v>
      </c>
      <c r="N2443" s="2" t="str">
        <f>IF(TelecomData[[#This Row],[CleanedTotalCharges]]&gt;=2500,"High Spend", "Standard Spend")</f>
        <v>Standard Spend</v>
      </c>
    </row>
    <row r="2444" spans="1:14" x14ac:dyDescent="0.3">
      <c r="A2444" s="1" t="s">
        <v>2468</v>
      </c>
      <c r="B2444" s="2" t="s">
        <v>19</v>
      </c>
      <c r="C2444" s="2" t="s">
        <v>13</v>
      </c>
      <c r="D2444" s="2">
        <v>7</v>
      </c>
      <c r="E2444" s="2" t="s">
        <v>26</v>
      </c>
      <c r="F2444" s="2" t="s">
        <v>15</v>
      </c>
      <c r="G2444" s="7">
        <v>84.8</v>
      </c>
      <c r="H2444" s="7">
        <v>546.95000000000005</v>
      </c>
      <c r="I2444" s="2" t="s">
        <v>16</v>
      </c>
      <c r="J2444" s="2" t="s">
        <v>16</v>
      </c>
      <c r="K2444" s="2" t="s">
        <v>17</v>
      </c>
      <c r="L2444" s="7">
        <v>546.95000000000005</v>
      </c>
      <c r="M2444" s="2" t="str">
        <f>_xlfn.IFS(TelecomData[[#This Row],[TenureMonths]]&lt;=12, "0-1 Year", TelecomData[[#This Row],[TenureMonths]]&lt;=36, "1-3 Years", TelecomData[[#This Row],[TenureMonths]]&gt;36, "3+ Years")</f>
        <v>0-1 Year</v>
      </c>
      <c r="N2444" s="2" t="str">
        <f>IF(TelecomData[[#This Row],[CleanedTotalCharges]]&gt;=2500,"High Spend", "Standard Spend")</f>
        <v>Standard Spend</v>
      </c>
    </row>
    <row r="2445" spans="1:14" x14ac:dyDescent="0.3">
      <c r="A2445" s="1" t="s">
        <v>2469</v>
      </c>
      <c r="B2445" s="2" t="s">
        <v>12</v>
      </c>
      <c r="C2445" s="2" t="s">
        <v>35</v>
      </c>
      <c r="D2445" s="2">
        <v>72</v>
      </c>
      <c r="E2445" s="2" t="s">
        <v>26</v>
      </c>
      <c r="F2445" s="2" t="s">
        <v>15</v>
      </c>
      <c r="G2445" s="7">
        <v>109.55</v>
      </c>
      <c r="H2445" s="7">
        <v>7887.25</v>
      </c>
      <c r="I2445" s="2" t="s">
        <v>15</v>
      </c>
      <c r="J2445" s="2" t="s">
        <v>15</v>
      </c>
      <c r="K2445" s="2" t="s">
        <v>29</v>
      </c>
      <c r="L2445" s="7">
        <v>7887.25</v>
      </c>
      <c r="M2445" s="2" t="str">
        <f>_xlfn.IFS(TelecomData[[#This Row],[TenureMonths]]&lt;=12, "0-1 Year", TelecomData[[#This Row],[TenureMonths]]&lt;=36, "1-3 Years", TelecomData[[#This Row],[TenureMonths]]&gt;36, "3+ Years")</f>
        <v>3+ Years</v>
      </c>
      <c r="N2445" s="2" t="str">
        <f>IF(TelecomData[[#This Row],[CleanedTotalCharges]]&gt;=2500,"High Spend", "Standard Spend")</f>
        <v>High Spend</v>
      </c>
    </row>
    <row r="2446" spans="1:14" x14ac:dyDescent="0.3">
      <c r="A2446" s="1" t="s">
        <v>2470</v>
      </c>
      <c r="B2446" s="2" t="s">
        <v>12</v>
      </c>
      <c r="C2446" s="2" t="s">
        <v>13</v>
      </c>
      <c r="D2446" s="2">
        <v>31</v>
      </c>
      <c r="E2446" s="2" t="s">
        <v>26</v>
      </c>
      <c r="F2446" s="2" t="s">
        <v>15</v>
      </c>
      <c r="G2446" s="7">
        <v>99.95</v>
      </c>
      <c r="H2446" s="7">
        <v>3186.65</v>
      </c>
      <c r="I2446" s="2" t="s">
        <v>16</v>
      </c>
      <c r="J2446" s="2" t="s">
        <v>16</v>
      </c>
      <c r="K2446" s="2" t="s">
        <v>17</v>
      </c>
      <c r="L2446" s="7">
        <v>3186.65</v>
      </c>
      <c r="M2446" s="2" t="str">
        <f>_xlfn.IFS(TelecomData[[#This Row],[TenureMonths]]&lt;=12, "0-1 Year", TelecomData[[#This Row],[TenureMonths]]&lt;=36, "1-3 Years", TelecomData[[#This Row],[TenureMonths]]&gt;36, "3+ Years")</f>
        <v>1-3 Years</v>
      </c>
      <c r="N2446" s="2" t="str">
        <f>IF(TelecomData[[#This Row],[CleanedTotalCharges]]&gt;=2500,"High Spend", "Standard Spend")</f>
        <v>High Spend</v>
      </c>
    </row>
    <row r="2447" spans="1:14" x14ac:dyDescent="0.3">
      <c r="A2447" s="1" t="s">
        <v>2471</v>
      </c>
      <c r="B2447" s="2" t="s">
        <v>12</v>
      </c>
      <c r="C2447" s="2" t="s">
        <v>13</v>
      </c>
      <c r="D2447" s="2">
        <v>27</v>
      </c>
      <c r="E2447" s="2" t="s">
        <v>26</v>
      </c>
      <c r="F2447" s="2" t="s">
        <v>15</v>
      </c>
      <c r="G2447" s="7">
        <v>74.400000000000006</v>
      </c>
      <c r="H2447" s="7">
        <v>1972.35</v>
      </c>
      <c r="I2447" s="2" t="s">
        <v>15</v>
      </c>
      <c r="J2447" s="2" t="s">
        <v>15</v>
      </c>
      <c r="K2447" s="2" t="s">
        <v>21</v>
      </c>
      <c r="L2447" s="7">
        <v>1972.35</v>
      </c>
      <c r="M2447" s="2" t="str">
        <f>_xlfn.IFS(TelecomData[[#This Row],[TenureMonths]]&lt;=12, "0-1 Year", TelecomData[[#This Row],[TenureMonths]]&lt;=36, "1-3 Years", TelecomData[[#This Row],[TenureMonths]]&gt;36, "3+ Years")</f>
        <v>1-3 Years</v>
      </c>
      <c r="N2447" s="2" t="str">
        <f>IF(TelecomData[[#This Row],[CleanedTotalCharges]]&gt;=2500,"High Spend", "Standard Spend")</f>
        <v>Standard Spend</v>
      </c>
    </row>
    <row r="2448" spans="1:14" x14ac:dyDescent="0.3">
      <c r="A2448" s="1" t="s">
        <v>2472</v>
      </c>
      <c r="B2448" s="2" t="s">
        <v>12</v>
      </c>
      <c r="C2448" s="2" t="s">
        <v>13</v>
      </c>
      <c r="D2448" s="2">
        <v>18</v>
      </c>
      <c r="E2448" s="2" t="s">
        <v>26</v>
      </c>
      <c r="F2448" s="2" t="s">
        <v>15</v>
      </c>
      <c r="G2448" s="7">
        <v>90</v>
      </c>
      <c r="H2448" s="7">
        <v>1527.35</v>
      </c>
      <c r="I2448" s="2" t="s">
        <v>16</v>
      </c>
      <c r="J2448" s="2" t="s">
        <v>16</v>
      </c>
      <c r="K2448" s="2" t="s">
        <v>29</v>
      </c>
      <c r="L2448" s="7">
        <v>1527.35</v>
      </c>
      <c r="M2448" s="2" t="str">
        <f>_xlfn.IFS(TelecomData[[#This Row],[TenureMonths]]&lt;=12, "0-1 Year", TelecomData[[#This Row],[TenureMonths]]&lt;=36, "1-3 Years", TelecomData[[#This Row],[TenureMonths]]&gt;36, "3+ Years")</f>
        <v>1-3 Years</v>
      </c>
      <c r="N2448" s="2" t="str">
        <f>IF(TelecomData[[#This Row],[CleanedTotalCharges]]&gt;=2500,"High Spend", "Standard Spend")</f>
        <v>Standard Spend</v>
      </c>
    </row>
    <row r="2449" spans="1:14" x14ac:dyDescent="0.3">
      <c r="A2449" s="1" t="s">
        <v>2473</v>
      </c>
      <c r="B2449" s="2" t="s">
        <v>19</v>
      </c>
      <c r="C2449" s="2" t="s">
        <v>13</v>
      </c>
      <c r="D2449" s="2">
        <v>7</v>
      </c>
      <c r="E2449" s="2" t="s">
        <v>26</v>
      </c>
      <c r="F2449" s="2" t="s">
        <v>15</v>
      </c>
      <c r="G2449" s="7">
        <v>74.900000000000006</v>
      </c>
      <c r="H2449" s="7">
        <v>490.55</v>
      </c>
      <c r="I2449" s="2" t="s">
        <v>15</v>
      </c>
      <c r="J2449" s="2" t="s">
        <v>16</v>
      </c>
      <c r="K2449" s="2" t="s">
        <v>17</v>
      </c>
      <c r="L2449" s="7">
        <v>490.55</v>
      </c>
      <c r="M2449" s="2" t="str">
        <f>_xlfn.IFS(TelecomData[[#This Row],[TenureMonths]]&lt;=12, "0-1 Year", TelecomData[[#This Row],[TenureMonths]]&lt;=36, "1-3 Years", TelecomData[[#This Row],[TenureMonths]]&gt;36, "3+ Years")</f>
        <v>0-1 Year</v>
      </c>
      <c r="N2449" s="2" t="str">
        <f>IF(TelecomData[[#This Row],[CleanedTotalCharges]]&gt;=2500,"High Spend", "Standard Spend")</f>
        <v>Standard Spend</v>
      </c>
    </row>
    <row r="2450" spans="1:14" x14ac:dyDescent="0.3">
      <c r="A2450" s="1" t="s">
        <v>2474</v>
      </c>
      <c r="B2450" s="2" t="s">
        <v>12</v>
      </c>
      <c r="C2450" s="2" t="s">
        <v>13</v>
      </c>
      <c r="D2450" s="2">
        <v>14</v>
      </c>
      <c r="E2450" s="2" t="s">
        <v>26</v>
      </c>
      <c r="F2450" s="2" t="s">
        <v>15</v>
      </c>
      <c r="G2450" s="7">
        <v>104.85</v>
      </c>
      <c r="H2450" s="7">
        <v>1531.4</v>
      </c>
      <c r="I2450" s="2" t="s">
        <v>16</v>
      </c>
      <c r="J2450" s="2" t="s">
        <v>16</v>
      </c>
      <c r="K2450" s="2" t="s">
        <v>17</v>
      </c>
      <c r="L2450" s="7">
        <v>1531.4</v>
      </c>
      <c r="M2450" s="2" t="str">
        <f>_xlfn.IFS(TelecomData[[#This Row],[TenureMonths]]&lt;=12, "0-1 Year", TelecomData[[#This Row],[TenureMonths]]&lt;=36, "1-3 Years", TelecomData[[#This Row],[TenureMonths]]&gt;36, "3+ Years")</f>
        <v>1-3 Years</v>
      </c>
      <c r="N2450" s="2" t="str">
        <f>IF(TelecomData[[#This Row],[CleanedTotalCharges]]&gt;=2500,"High Spend", "Standard Spend")</f>
        <v>Standard Spend</v>
      </c>
    </row>
    <row r="2451" spans="1:14" x14ac:dyDescent="0.3">
      <c r="A2451" s="1" t="s">
        <v>2475</v>
      </c>
      <c r="B2451" s="2" t="s">
        <v>19</v>
      </c>
      <c r="C2451" s="2" t="s">
        <v>13</v>
      </c>
      <c r="D2451" s="2">
        <v>11</v>
      </c>
      <c r="E2451" s="2" t="s">
        <v>14</v>
      </c>
      <c r="F2451" s="2" t="s">
        <v>15</v>
      </c>
      <c r="G2451" s="7">
        <v>59.65</v>
      </c>
      <c r="H2451" s="7">
        <v>683.25</v>
      </c>
      <c r="I2451" s="2" t="s">
        <v>15</v>
      </c>
      <c r="J2451" s="2" t="s">
        <v>16</v>
      </c>
      <c r="K2451" s="2" t="s">
        <v>24</v>
      </c>
      <c r="L2451" s="7">
        <v>683.25</v>
      </c>
      <c r="M2451" s="2" t="str">
        <f>_xlfn.IFS(TelecomData[[#This Row],[TenureMonths]]&lt;=12, "0-1 Year", TelecomData[[#This Row],[TenureMonths]]&lt;=36, "1-3 Years", TelecomData[[#This Row],[TenureMonths]]&gt;36, "3+ Years")</f>
        <v>0-1 Year</v>
      </c>
      <c r="N2451" s="2" t="str">
        <f>IF(TelecomData[[#This Row],[CleanedTotalCharges]]&gt;=2500,"High Spend", "Standard Spend")</f>
        <v>Standard Spend</v>
      </c>
    </row>
    <row r="2452" spans="1:14" x14ac:dyDescent="0.3">
      <c r="A2452" s="1" t="s">
        <v>2476</v>
      </c>
      <c r="B2452" s="2" t="s">
        <v>12</v>
      </c>
      <c r="C2452" s="2" t="s">
        <v>35</v>
      </c>
      <c r="D2452" s="2">
        <v>72</v>
      </c>
      <c r="E2452" s="2" t="s">
        <v>26</v>
      </c>
      <c r="F2452" s="2" t="s">
        <v>16</v>
      </c>
      <c r="G2452" s="7">
        <v>110.45</v>
      </c>
      <c r="H2452" s="7">
        <v>8058.85</v>
      </c>
      <c r="I2452" s="2" t="s">
        <v>15</v>
      </c>
      <c r="J2452" s="2" t="s">
        <v>16</v>
      </c>
      <c r="K2452" s="2" t="s">
        <v>24</v>
      </c>
      <c r="L2452" s="7">
        <v>8058.85</v>
      </c>
      <c r="M2452" s="2" t="str">
        <f>_xlfn.IFS(TelecomData[[#This Row],[TenureMonths]]&lt;=12, "0-1 Year", TelecomData[[#This Row],[TenureMonths]]&lt;=36, "1-3 Years", TelecomData[[#This Row],[TenureMonths]]&gt;36, "3+ Years")</f>
        <v>3+ Years</v>
      </c>
      <c r="N2452" s="2" t="str">
        <f>IF(TelecomData[[#This Row],[CleanedTotalCharges]]&gt;=2500,"High Spend", "Standard Spend")</f>
        <v>High Spend</v>
      </c>
    </row>
    <row r="2453" spans="1:14" x14ac:dyDescent="0.3">
      <c r="A2453" s="1" t="s">
        <v>2477</v>
      </c>
      <c r="B2453" s="2" t="s">
        <v>19</v>
      </c>
      <c r="C2453" s="2" t="s">
        <v>20</v>
      </c>
      <c r="D2453" s="2">
        <v>28</v>
      </c>
      <c r="E2453" s="2" t="s">
        <v>26</v>
      </c>
      <c r="F2453" s="2" t="s">
        <v>15</v>
      </c>
      <c r="G2453" s="7">
        <v>106.1</v>
      </c>
      <c r="H2453" s="7">
        <v>2847.4</v>
      </c>
      <c r="I2453" s="2" t="s">
        <v>16</v>
      </c>
      <c r="J2453" s="2" t="s">
        <v>15</v>
      </c>
      <c r="K2453" s="2" t="s">
        <v>17</v>
      </c>
      <c r="L2453" s="7">
        <v>2847.4</v>
      </c>
      <c r="M2453" s="2" t="str">
        <f>_xlfn.IFS(TelecomData[[#This Row],[TenureMonths]]&lt;=12, "0-1 Year", TelecomData[[#This Row],[TenureMonths]]&lt;=36, "1-3 Years", TelecomData[[#This Row],[TenureMonths]]&gt;36, "3+ Years")</f>
        <v>1-3 Years</v>
      </c>
      <c r="N2453" s="2" t="str">
        <f>IF(TelecomData[[#This Row],[CleanedTotalCharges]]&gt;=2500,"High Spend", "Standard Spend")</f>
        <v>High Spend</v>
      </c>
    </row>
    <row r="2454" spans="1:14" x14ac:dyDescent="0.3">
      <c r="A2454" s="1" t="s">
        <v>2478</v>
      </c>
      <c r="B2454" s="2" t="s">
        <v>19</v>
      </c>
      <c r="C2454" s="2" t="s">
        <v>13</v>
      </c>
      <c r="D2454" s="2">
        <v>15</v>
      </c>
      <c r="E2454" s="2" t="s">
        <v>26</v>
      </c>
      <c r="F2454" s="2" t="s">
        <v>15</v>
      </c>
      <c r="G2454" s="7">
        <v>74.2</v>
      </c>
      <c r="H2454" s="7">
        <v>1133.9000000000001</v>
      </c>
      <c r="I2454" s="2" t="s">
        <v>16</v>
      </c>
      <c r="J2454" s="2" t="s">
        <v>16</v>
      </c>
      <c r="K2454" s="2" t="s">
        <v>29</v>
      </c>
      <c r="L2454" s="7">
        <v>1133.9000000000001</v>
      </c>
      <c r="M2454" s="2" t="str">
        <f>_xlfn.IFS(TelecomData[[#This Row],[TenureMonths]]&lt;=12, "0-1 Year", TelecomData[[#This Row],[TenureMonths]]&lt;=36, "1-3 Years", TelecomData[[#This Row],[TenureMonths]]&gt;36, "3+ Years")</f>
        <v>1-3 Years</v>
      </c>
      <c r="N2454" s="2" t="str">
        <f>IF(TelecomData[[#This Row],[CleanedTotalCharges]]&gt;=2500,"High Spend", "Standard Spend")</f>
        <v>Standard Spend</v>
      </c>
    </row>
    <row r="2455" spans="1:14" x14ac:dyDescent="0.3">
      <c r="A2455" s="1" t="s">
        <v>2479</v>
      </c>
      <c r="B2455" s="2" t="s">
        <v>12</v>
      </c>
      <c r="C2455" s="2" t="s">
        <v>13</v>
      </c>
      <c r="D2455" s="2">
        <v>4</v>
      </c>
      <c r="E2455" s="2" t="s">
        <v>26</v>
      </c>
      <c r="F2455" s="2" t="s">
        <v>15</v>
      </c>
      <c r="G2455" s="7">
        <v>74.45</v>
      </c>
      <c r="H2455" s="7">
        <v>294.45</v>
      </c>
      <c r="I2455" s="2" t="s">
        <v>15</v>
      </c>
      <c r="J2455" s="2" t="s">
        <v>16</v>
      </c>
      <c r="K2455" s="2" t="s">
        <v>17</v>
      </c>
      <c r="L2455" s="7">
        <v>294.45</v>
      </c>
      <c r="M2455" s="2" t="str">
        <f>_xlfn.IFS(TelecomData[[#This Row],[TenureMonths]]&lt;=12, "0-1 Year", TelecomData[[#This Row],[TenureMonths]]&lt;=36, "1-3 Years", TelecomData[[#This Row],[TenureMonths]]&gt;36, "3+ Years")</f>
        <v>0-1 Year</v>
      </c>
      <c r="N2455" s="2" t="str">
        <f>IF(TelecomData[[#This Row],[CleanedTotalCharges]]&gt;=2500,"High Spend", "Standard Spend")</f>
        <v>Standard Spend</v>
      </c>
    </row>
    <row r="2456" spans="1:14" x14ac:dyDescent="0.3">
      <c r="A2456" s="1" t="s">
        <v>2480</v>
      </c>
      <c r="B2456" s="2" t="s">
        <v>12</v>
      </c>
      <c r="C2456" s="2" t="s">
        <v>35</v>
      </c>
      <c r="D2456" s="2">
        <v>71</v>
      </c>
      <c r="E2456" s="2" t="s">
        <v>15</v>
      </c>
      <c r="F2456" s="2" t="s">
        <v>36</v>
      </c>
      <c r="G2456" s="7">
        <v>24.55</v>
      </c>
      <c r="H2456" s="7">
        <v>1719.15</v>
      </c>
      <c r="I2456" s="2" t="s">
        <v>15</v>
      </c>
      <c r="J2456" s="2" t="s">
        <v>15</v>
      </c>
      <c r="K2456" s="2" t="s">
        <v>17</v>
      </c>
      <c r="L2456" s="7">
        <v>1719.15</v>
      </c>
      <c r="M2456" s="2" t="str">
        <f>_xlfn.IFS(TelecomData[[#This Row],[TenureMonths]]&lt;=12, "0-1 Year", TelecomData[[#This Row],[TenureMonths]]&lt;=36, "1-3 Years", TelecomData[[#This Row],[TenureMonths]]&gt;36, "3+ Years")</f>
        <v>3+ Years</v>
      </c>
      <c r="N2456" s="2" t="str">
        <f>IF(TelecomData[[#This Row],[CleanedTotalCharges]]&gt;=2500,"High Spend", "Standard Spend")</f>
        <v>Standard Spend</v>
      </c>
    </row>
    <row r="2457" spans="1:14" x14ac:dyDescent="0.3">
      <c r="A2457" s="1" t="s">
        <v>2481</v>
      </c>
      <c r="B2457" s="2" t="s">
        <v>12</v>
      </c>
      <c r="C2457" s="2" t="s">
        <v>13</v>
      </c>
      <c r="D2457" s="2">
        <v>5</v>
      </c>
      <c r="E2457" s="2" t="s">
        <v>26</v>
      </c>
      <c r="F2457" s="2" t="s">
        <v>16</v>
      </c>
      <c r="G2457" s="7">
        <v>89.35</v>
      </c>
      <c r="H2457" s="7">
        <v>461.7</v>
      </c>
      <c r="I2457" s="2" t="s">
        <v>16</v>
      </c>
      <c r="J2457" s="2" t="s">
        <v>16</v>
      </c>
      <c r="K2457" s="2" t="s">
        <v>17</v>
      </c>
      <c r="L2457" s="7">
        <v>461.7</v>
      </c>
      <c r="M2457" s="2" t="str">
        <f>_xlfn.IFS(TelecomData[[#This Row],[TenureMonths]]&lt;=12, "0-1 Year", TelecomData[[#This Row],[TenureMonths]]&lt;=36, "1-3 Years", TelecomData[[#This Row],[TenureMonths]]&gt;36, "3+ Years")</f>
        <v>0-1 Year</v>
      </c>
      <c r="N2457" s="2" t="str">
        <f>IF(TelecomData[[#This Row],[CleanedTotalCharges]]&gt;=2500,"High Spend", "Standard Spend")</f>
        <v>Standard Spend</v>
      </c>
    </row>
    <row r="2458" spans="1:14" x14ac:dyDescent="0.3">
      <c r="A2458" s="1" t="s">
        <v>2482</v>
      </c>
      <c r="B2458" s="2" t="s">
        <v>19</v>
      </c>
      <c r="C2458" s="2" t="s">
        <v>35</v>
      </c>
      <c r="D2458" s="2">
        <v>47</v>
      </c>
      <c r="E2458" s="2" t="s">
        <v>15</v>
      </c>
      <c r="F2458" s="2" t="s">
        <v>36</v>
      </c>
      <c r="G2458" s="7">
        <v>24.55</v>
      </c>
      <c r="H2458" s="7">
        <v>1160.45</v>
      </c>
      <c r="I2458" s="2" t="s">
        <v>15</v>
      </c>
      <c r="J2458" s="2" t="s">
        <v>15</v>
      </c>
      <c r="K2458" s="2" t="s">
        <v>21</v>
      </c>
      <c r="L2458" s="7">
        <v>1160.45</v>
      </c>
      <c r="M2458" s="2" t="str">
        <f>_xlfn.IFS(TelecomData[[#This Row],[TenureMonths]]&lt;=12, "0-1 Year", TelecomData[[#This Row],[TenureMonths]]&lt;=36, "1-3 Years", TelecomData[[#This Row],[TenureMonths]]&gt;36, "3+ Years")</f>
        <v>3+ Years</v>
      </c>
      <c r="N2458" s="2" t="str">
        <f>IF(TelecomData[[#This Row],[CleanedTotalCharges]]&gt;=2500,"High Spend", "Standard Spend")</f>
        <v>Standard Spend</v>
      </c>
    </row>
    <row r="2459" spans="1:14" x14ac:dyDescent="0.3">
      <c r="A2459" s="1" t="s">
        <v>2483</v>
      </c>
      <c r="B2459" s="2" t="s">
        <v>19</v>
      </c>
      <c r="C2459" s="2" t="s">
        <v>20</v>
      </c>
      <c r="D2459" s="2">
        <v>57</v>
      </c>
      <c r="E2459" s="2" t="s">
        <v>26</v>
      </c>
      <c r="F2459" s="2" t="s">
        <v>15</v>
      </c>
      <c r="G2459" s="7">
        <v>90.65</v>
      </c>
      <c r="H2459" s="7">
        <v>5199.8</v>
      </c>
      <c r="I2459" s="2" t="s">
        <v>15</v>
      </c>
      <c r="J2459" s="2" t="s">
        <v>16</v>
      </c>
      <c r="K2459" s="2" t="s">
        <v>17</v>
      </c>
      <c r="L2459" s="7">
        <v>5199.8</v>
      </c>
      <c r="M2459" s="2" t="str">
        <f>_xlfn.IFS(TelecomData[[#This Row],[TenureMonths]]&lt;=12, "0-1 Year", TelecomData[[#This Row],[TenureMonths]]&lt;=36, "1-3 Years", TelecomData[[#This Row],[TenureMonths]]&gt;36, "3+ Years")</f>
        <v>3+ Years</v>
      </c>
      <c r="N2459" s="2" t="str">
        <f>IF(TelecomData[[#This Row],[CleanedTotalCharges]]&gt;=2500,"High Spend", "Standard Spend")</f>
        <v>High Spend</v>
      </c>
    </row>
    <row r="2460" spans="1:14" x14ac:dyDescent="0.3">
      <c r="A2460" s="1" t="s">
        <v>2484</v>
      </c>
      <c r="B2460" s="2" t="s">
        <v>19</v>
      </c>
      <c r="C2460" s="2" t="s">
        <v>35</v>
      </c>
      <c r="D2460" s="2">
        <v>50</v>
      </c>
      <c r="E2460" s="2" t="s">
        <v>26</v>
      </c>
      <c r="F2460" s="2" t="s">
        <v>15</v>
      </c>
      <c r="G2460" s="7">
        <v>105.05</v>
      </c>
      <c r="H2460" s="7">
        <v>5163.3</v>
      </c>
      <c r="I2460" s="2" t="s">
        <v>15</v>
      </c>
      <c r="J2460" s="2" t="s">
        <v>16</v>
      </c>
      <c r="K2460" s="2" t="s">
        <v>29</v>
      </c>
      <c r="L2460" s="7">
        <v>5163.3</v>
      </c>
      <c r="M2460" s="2" t="str">
        <f>_xlfn.IFS(TelecomData[[#This Row],[TenureMonths]]&lt;=12, "0-1 Year", TelecomData[[#This Row],[TenureMonths]]&lt;=36, "1-3 Years", TelecomData[[#This Row],[TenureMonths]]&gt;36, "3+ Years")</f>
        <v>3+ Years</v>
      </c>
      <c r="N2460" s="2" t="str">
        <f>IF(TelecomData[[#This Row],[CleanedTotalCharges]]&gt;=2500,"High Spend", "Standard Spend")</f>
        <v>High Spend</v>
      </c>
    </row>
    <row r="2461" spans="1:14" x14ac:dyDescent="0.3">
      <c r="A2461" s="1" t="s">
        <v>2485</v>
      </c>
      <c r="B2461" s="2" t="s">
        <v>19</v>
      </c>
      <c r="C2461" s="2" t="s">
        <v>13</v>
      </c>
      <c r="D2461" s="2">
        <v>8</v>
      </c>
      <c r="E2461" s="2" t="s">
        <v>15</v>
      </c>
      <c r="F2461" s="2" t="s">
        <v>36</v>
      </c>
      <c r="G2461" s="7">
        <v>20.45</v>
      </c>
      <c r="H2461" s="7">
        <v>162.30000000000001</v>
      </c>
      <c r="I2461" s="2" t="s">
        <v>15</v>
      </c>
      <c r="J2461" s="2" t="s">
        <v>16</v>
      </c>
      <c r="K2461" s="2" t="s">
        <v>29</v>
      </c>
      <c r="L2461" s="7">
        <v>162.30000000000001</v>
      </c>
      <c r="M2461" s="2" t="str">
        <f>_xlfn.IFS(TelecomData[[#This Row],[TenureMonths]]&lt;=12, "0-1 Year", TelecomData[[#This Row],[TenureMonths]]&lt;=36, "1-3 Years", TelecomData[[#This Row],[TenureMonths]]&gt;36, "3+ Years")</f>
        <v>0-1 Year</v>
      </c>
      <c r="N2461" s="2" t="str">
        <f>IF(TelecomData[[#This Row],[CleanedTotalCharges]]&gt;=2500,"High Spend", "Standard Spend")</f>
        <v>Standard Spend</v>
      </c>
    </row>
    <row r="2462" spans="1:14" x14ac:dyDescent="0.3">
      <c r="A2462" s="1" t="s">
        <v>2486</v>
      </c>
      <c r="B2462" s="2" t="s">
        <v>12</v>
      </c>
      <c r="C2462" s="2" t="s">
        <v>35</v>
      </c>
      <c r="D2462" s="2">
        <v>48</v>
      </c>
      <c r="E2462" s="2" t="s">
        <v>15</v>
      </c>
      <c r="F2462" s="2" t="s">
        <v>36</v>
      </c>
      <c r="G2462" s="7">
        <v>19.55</v>
      </c>
      <c r="H2462" s="7">
        <v>883.35</v>
      </c>
      <c r="I2462" s="2" t="s">
        <v>15</v>
      </c>
      <c r="J2462" s="2" t="s">
        <v>15</v>
      </c>
      <c r="K2462" s="2" t="s">
        <v>21</v>
      </c>
      <c r="L2462" s="7">
        <v>883.35</v>
      </c>
      <c r="M2462" s="2" t="str">
        <f>_xlfn.IFS(TelecomData[[#This Row],[TenureMonths]]&lt;=12, "0-1 Year", TelecomData[[#This Row],[TenureMonths]]&lt;=36, "1-3 Years", TelecomData[[#This Row],[TenureMonths]]&gt;36, "3+ Years")</f>
        <v>3+ Years</v>
      </c>
      <c r="N2462" s="2" t="str">
        <f>IF(TelecomData[[#This Row],[CleanedTotalCharges]]&gt;=2500,"High Spend", "Standard Spend")</f>
        <v>Standard Spend</v>
      </c>
    </row>
    <row r="2463" spans="1:14" x14ac:dyDescent="0.3">
      <c r="A2463" s="1" t="s">
        <v>2487</v>
      </c>
      <c r="B2463" s="2" t="s">
        <v>12</v>
      </c>
      <c r="C2463" s="2" t="s">
        <v>20</v>
      </c>
      <c r="D2463" s="2">
        <v>70</v>
      </c>
      <c r="E2463" s="2" t="s">
        <v>15</v>
      </c>
      <c r="F2463" s="2" t="s">
        <v>36</v>
      </c>
      <c r="G2463" s="7">
        <v>19.7</v>
      </c>
      <c r="H2463" s="7">
        <v>1341.5</v>
      </c>
      <c r="I2463" s="2" t="s">
        <v>15</v>
      </c>
      <c r="J2463" s="2" t="s">
        <v>15</v>
      </c>
      <c r="K2463" s="2" t="s">
        <v>24</v>
      </c>
      <c r="L2463" s="7">
        <v>1341.5</v>
      </c>
      <c r="M2463" s="2" t="str">
        <f>_xlfn.IFS(TelecomData[[#This Row],[TenureMonths]]&lt;=12, "0-1 Year", TelecomData[[#This Row],[TenureMonths]]&lt;=36, "1-3 Years", TelecomData[[#This Row],[TenureMonths]]&gt;36, "3+ Years")</f>
        <v>3+ Years</v>
      </c>
      <c r="N2463" s="2" t="str">
        <f>IF(TelecomData[[#This Row],[CleanedTotalCharges]]&gt;=2500,"High Spend", "Standard Spend")</f>
        <v>Standard Spend</v>
      </c>
    </row>
    <row r="2464" spans="1:14" x14ac:dyDescent="0.3">
      <c r="A2464" s="1" t="s">
        <v>2488</v>
      </c>
      <c r="B2464" s="2" t="s">
        <v>19</v>
      </c>
      <c r="C2464" s="2" t="s">
        <v>13</v>
      </c>
      <c r="D2464" s="2">
        <v>1</v>
      </c>
      <c r="E2464" s="2" t="s">
        <v>14</v>
      </c>
      <c r="F2464" s="2" t="s">
        <v>16</v>
      </c>
      <c r="G2464" s="7">
        <v>70.45</v>
      </c>
      <c r="H2464" s="7">
        <v>70.45</v>
      </c>
      <c r="I2464" s="2" t="s">
        <v>15</v>
      </c>
      <c r="J2464" s="2" t="s">
        <v>16</v>
      </c>
      <c r="K2464" s="2" t="s">
        <v>24</v>
      </c>
      <c r="L2464" s="7">
        <v>70.45</v>
      </c>
      <c r="M2464" s="2" t="str">
        <f>_xlfn.IFS(TelecomData[[#This Row],[TenureMonths]]&lt;=12, "0-1 Year", TelecomData[[#This Row],[TenureMonths]]&lt;=36, "1-3 Years", TelecomData[[#This Row],[TenureMonths]]&gt;36, "3+ Years")</f>
        <v>0-1 Year</v>
      </c>
      <c r="N2464" s="2" t="str">
        <f>IF(TelecomData[[#This Row],[CleanedTotalCharges]]&gt;=2500,"High Spend", "Standard Spend")</f>
        <v>Standard Spend</v>
      </c>
    </row>
    <row r="2465" spans="1:14" x14ac:dyDescent="0.3">
      <c r="A2465" s="1" t="s">
        <v>2489</v>
      </c>
      <c r="B2465" s="2" t="s">
        <v>19</v>
      </c>
      <c r="C2465" s="2" t="s">
        <v>13</v>
      </c>
      <c r="D2465" s="2">
        <v>8</v>
      </c>
      <c r="E2465" s="2" t="s">
        <v>26</v>
      </c>
      <c r="F2465" s="2" t="s">
        <v>15</v>
      </c>
      <c r="G2465" s="7">
        <v>85.65</v>
      </c>
      <c r="H2465" s="7">
        <v>659.45</v>
      </c>
      <c r="I2465" s="2" t="s">
        <v>15</v>
      </c>
      <c r="J2465" s="2" t="s">
        <v>16</v>
      </c>
      <c r="K2465" s="2" t="s">
        <v>24</v>
      </c>
      <c r="L2465" s="7">
        <v>659.45</v>
      </c>
      <c r="M2465" s="2" t="str">
        <f>_xlfn.IFS(TelecomData[[#This Row],[TenureMonths]]&lt;=12, "0-1 Year", TelecomData[[#This Row],[TenureMonths]]&lt;=36, "1-3 Years", TelecomData[[#This Row],[TenureMonths]]&gt;36, "3+ Years")</f>
        <v>0-1 Year</v>
      </c>
      <c r="N2465" s="2" t="str">
        <f>IF(TelecomData[[#This Row],[CleanedTotalCharges]]&gt;=2500,"High Spend", "Standard Spend")</f>
        <v>Standard Spend</v>
      </c>
    </row>
    <row r="2466" spans="1:14" x14ac:dyDescent="0.3">
      <c r="A2466" s="1" t="s">
        <v>2490</v>
      </c>
      <c r="B2466" s="2" t="s">
        <v>12</v>
      </c>
      <c r="C2466" s="2" t="s">
        <v>13</v>
      </c>
      <c r="D2466" s="2">
        <v>1</v>
      </c>
      <c r="E2466" s="2" t="s">
        <v>26</v>
      </c>
      <c r="F2466" s="2" t="s">
        <v>15</v>
      </c>
      <c r="G2466" s="7">
        <v>77.150000000000006</v>
      </c>
      <c r="H2466" s="7">
        <v>77.150000000000006</v>
      </c>
      <c r="I2466" s="2" t="s">
        <v>16</v>
      </c>
      <c r="J2466" s="2" t="s">
        <v>16</v>
      </c>
      <c r="K2466" s="2" t="s">
        <v>17</v>
      </c>
      <c r="L2466" s="7">
        <v>77.150000000000006</v>
      </c>
      <c r="M2466" s="2" t="str">
        <f>_xlfn.IFS(TelecomData[[#This Row],[TenureMonths]]&lt;=12, "0-1 Year", TelecomData[[#This Row],[TenureMonths]]&lt;=36, "1-3 Years", TelecomData[[#This Row],[TenureMonths]]&gt;36, "3+ Years")</f>
        <v>0-1 Year</v>
      </c>
      <c r="N2466" s="2" t="str">
        <f>IF(TelecomData[[#This Row],[CleanedTotalCharges]]&gt;=2500,"High Spend", "Standard Spend")</f>
        <v>Standard Spend</v>
      </c>
    </row>
    <row r="2467" spans="1:14" x14ac:dyDescent="0.3">
      <c r="A2467" s="1" t="s">
        <v>2491</v>
      </c>
      <c r="B2467" s="2" t="s">
        <v>19</v>
      </c>
      <c r="C2467" s="2" t="s">
        <v>13</v>
      </c>
      <c r="D2467" s="2">
        <v>1</v>
      </c>
      <c r="E2467" s="2" t="s">
        <v>14</v>
      </c>
      <c r="F2467" s="2" t="s">
        <v>15</v>
      </c>
      <c r="G2467" s="7">
        <v>35.25</v>
      </c>
      <c r="H2467" s="7">
        <v>35.25</v>
      </c>
      <c r="I2467" s="2" t="s">
        <v>16</v>
      </c>
      <c r="J2467" s="2" t="s">
        <v>16</v>
      </c>
      <c r="K2467" s="2" t="s">
        <v>24</v>
      </c>
      <c r="L2467" s="7">
        <v>35.25</v>
      </c>
      <c r="M2467" s="2" t="str">
        <f>_xlfn.IFS(TelecomData[[#This Row],[TenureMonths]]&lt;=12, "0-1 Year", TelecomData[[#This Row],[TenureMonths]]&lt;=36, "1-3 Years", TelecomData[[#This Row],[TenureMonths]]&gt;36, "3+ Years")</f>
        <v>0-1 Year</v>
      </c>
      <c r="N2467" s="2" t="str">
        <f>IF(TelecomData[[#This Row],[CleanedTotalCharges]]&gt;=2500,"High Spend", "Standard Spend")</f>
        <v>Standard Spend</v>
      </c>
    </row>
    <row r="2468" spans="1:14" x14ac:dyDescent="0.3">
      <c r="A2468" s="1" t="s">
        <v>2492</v>
      </c>
      <c r="B2468" s="2" t="s">
        <v>19</v>
      </c>
      <c r="C2468" s="2" t="s">
        <v>35</v>
      </c>
      <c r="D2468" s="2">
        <v>60</v>
      </c>
      <c r="E2468" s="2" t="s">
        <v>15</v>
      </c>
      <c r="F2468" s="2" t="s">
        <v>36</v>
      </c>
      <c r="G2468" s="7">
        <v>20.55</v>
      </c>
      <c r="H2468" s="7">
        <v>1205.05</v>
      </c>
      <c r="I2468" s="2" t="s">
        <v>15</v>
      </c>
      <c r="J2468" s="2" t="s">
        <v>15</v>
      </c>
      <c r="K2468" s="2" t="s">
        <v>21</v>
      </c>
      <c r="L2468" s="7">
        <v>1205.05</v>
      </c>
      <c r="M2468" s="2" t="str">
        <f>_xlfn.IFS(TelecomData[[#This Row],[TenureMonths]]&lt;=12, "0-1 Year", TelecomData[[#This Row],[TenureMonths]]&lt;=36, "1-3 Years", TelecomData[[#This Row],[TenureMonths]]&gt;36, "3+ Years")</f>
        <v>3+ Years</v>
      </c>
      <c r="N2468" s="2" t="str">
        <f>IF(TelecomData[[#This Row],[CleanedTotalCharges]]&gt;=2500,"High Spend", "Standard Spend")</f>
        <v>Standard Spend</v>
      </c>
    </row>
    <row r="2469" spans="1:14" x14ac:dyDescent="0.3">
      <c r="A2469" s="1" t="s">
        <v>2493</v>
      </c>
      <c r="B2469" s="2" t="s">
        <v>19</v>
      </c>
      <c r="C2469" s="2" t="s">
        <v>20</v>
      </c>
      <c r="D2469" s="2">
        <v>49</v>
      </c>
      <c r="E2469" s="2" t="s">
        <v>26</v>
      </c>
      <c r="F2469" s="2" t="s">
        <v>16</v>
      </c>
      <c r="G2469" s="7">
        <v>97.95</v>
      </c>
      <c r="H2469" s="7">
        <v>4917.8999999999996</v>
      </c>
      <c r="I2469" s="2" t="s">
        <v>15</v>
      </c>
      <c r="J2469" s="2" t="s">
        <v>16</v>
      </c>
      <c r="K2469" s="2" t="s">
        <v>17</v>
      </c>
      <c r="L2469" s="7">
        <v>4917.8999999999996</v>
      </c>
      <c r="M2469" s="2" t="str">
        <f>_xlfn.IFS(TelecomData[[#This Row],[TenureMonths]]&lt;=12, "0-1 Year", TelecomData[[#This Row],[TenureMonths]]&lt;=36, "1-3 Years", TelecomData[[#This Row],[TenureMonths]]&gt;36, "3+ Years")</f>
        <v>3+ Years</v>
      </c>
      <c r="N2469" s="2" t="str">
        <f>IF(TelecomData[[#This Row],[CleanedTotalCharges]]&gt;=2500,"High Spend", "Standard Spend")</f>
        <v>High Spend</v>
      </c>
    </row>
    <row r="2470" spans="1:14" x14ac:dyDescent="0.3">
      <c r="A2470" s="1" t="s">
        <v>2494</v>
      </c>
      <c r="B2470" s="2" t="s">
        <v>19</v>
      </c>
      <c r="C2470" s="2" t="s">
        <v>13</v>
      </c>
      <c r="D2470" s="2">
        <v>4</v>
      </c>
      <c r="E2470" s="2" t="s">
        <v>14</v>
      </c>
      <c r="F2470" s="2" t="s">
        <v>15</v>
      </c>
      <c r="G2470" s="7">
        <v>48.55</v>
      </c>
      <c r="H2470" s="7">
        <v>201</v>
      </c>
      <c r="I2470" s="2" t="s">
        <v>16</v>
      </c>
      <c r="J2470" s="2" t="s">
        <v>16</v>
      </c>
      <c r="K2470" s="2" t="s">
        <v>17</v>
      </c>
      <c r="L2470" s="7">
        <v>201</v>
      </c>
      <c r="M2470" s="2" t="str">
        <f>_xlfn.IFS(TelecomData[[#This Row],[TenureMonths]]&lt;=12, "0-1 Year", TelecomData[[#This Row],[TenureMonths]]&lt;=36, "1-3 Years", TelecomData[[#This Row],[TenureMonths]]&gt;36, "3+ Years")</f>
        <v>0-1 Year</v>
      </c>
      <c r="N2470" s="2" t="str">
        <f>IF(TelecomData[[#This Row],[CleanedTotalCharges]]&gt;=2500,"High Spend", "Standard Spend")</f>
        <v>Standard Spend</v>
      </c>
    </row>
    <row r="2471" spans="1:14" x14ac:dyDescent="0.3">
      <c r="A2471" s="1" t="s">
        <v>2495</v>
      </c>
      <c r="B2471" s="2" t="s">
        <v>12</v>
      </c>
      <c r="C2471" s="2" t="s">
        <v>20</v>
      </c>
      <c r="D2471" s="2">
        <v>29</v>
      </c>
      <c r="E2471" s="2" t="s">
        <v>15</v>
      </c>
      <c r="F2471" s="2" t="s">
        <v>36</v>
      </c>
      <c r="G2471" s="7">
        <v>20</v>
      </c>
      <c r="H2471" s="7">
        <v>599.29999999999995</v>
      </c>
      <c r="I2471" s="2" t="s">
        <v>15</v>
      </c>
      <c r="J2471" s="2" t="s">
        <v>15</v>
      </c>
      <c r="K2471" s="2" t="s">
        <v>21</v>
      </c>
      <c r="L2471" s="7">
        <v>599.29999999999995</v>
      </c>
      <c r="M2471" s="2" t="str">
        <f>_xlfn.IFS(TelecomData[[#This Row],[TenureMonths]]&lt;=12, "0-1 Year", TelecomData[[#This Row],[TenureMonths]]&lt;=36, "1-3 Years", TelecomData[[#This Row],[TenureMonths]]&gt;36, "3+ Years")</f>
        <v>1-3 Years</v>
      </c>
      <c r="N2471" s="2" t="str">
        <f>IF(TelecomData[[#This Row],[CleanedTotalCharges]]&gt;=2500,"High Spend", "Standard Spend")</f>
        <v>Standard Spend</v>
      </c>
    </row>
    <row r="2472" spans="1:14" x14ac:dyDescent="0.3">
      <c r="A2472" s="1" t="s">
        <v>2496</v>
      </c>
      <c r="B2472" s="2" t="s">
        <v>12</v>
      </c>
      <c r="C2472" s="2" t="s">
        <v>35</v>
      </c>
      <c r="D2472" s="2">
        <v>67</v>
      </c>
      <c r="E2472" s="2" t="s">
        <v>15</v>
      </c>
      <c r="F2472" s="2" t="s">
        <v>36</v>
      </c>
      <c r="G2472" s="7">
        <v>25.25</v>
      </c>
      <c r="H2472" s="7">
        <v>1733.15</v>
      </c>
      <c r="I2472" s="2" t="s">
        <v>15</v>
      </c>
      <c r="J2472" s="2" t="s">
        <v>16</v>
      </c>
      <c r="K2472" s="2" t="s">
        <v>29</v>
      </c>
      <c r="L2472" s="7">
        <v>1733.15</v>
      </c>
      <c r="M2472" s="2" t="str">
        <f>_xlfn.IFS(TelecomData[[#This Row],[TenureMonths]]&lt;=12, "0-1 Year", TelecomData[[#This Row],[TenureMonths]]&lt;=36, "1-3 Years", TelecomData[[#This Row],[TenureMonths]]&gt;36, "3+ Years")</f>
        <v>3+ Years</v>
      </c>
      <c r="N2472" s="2" t="str">
        <f>IF(TelecomData[[#This Row],[CleanedTotalCharges]]&gt;=2500,"High Spend", "Standard Spend")</f>
        <v>Standard Spend</v>
      </c>
    </row>
    <row r="2473" spans="1:14" x14ac:dyDescent="0.3">
      <c r="A2473" s="1" t="s">
        <v>2497</v>
      </c>
      <c r="B2473" s="2" t="s">
        <v>12</v>
      </c>
      <c r="C2473" s="2" t="s">
        <v>13</v>
      </c>
      <c r="D2473" s="2">
        <v>53</v>
      </c>
      <c r="E2473" s="2" t="s">
        <v>26</v>
      </c>
      <c r="F2473" s="2" t="s">
        <v>15</v>
      </c>
      <c r="G2473" s="7">
        <v>98.4</v>
      </c>
      <c r="H2473" s="7">
        <v>5149.5</v>
      </c>
      <c r="I2473" s="2" t="s">
        <v>16</v>
      </c>
      <c r="J2473" s="2" t="s">
        <v>16</v>
      </c>
      <c r="K2473" s="2" t="s">
        <v>29</v>
      </c>
      <c r="L2473" s="7">
        <v>5149.5</v>
      </c>
      <c r="M2473" s="2" t="str">
        <f>_xlfn.IFS(TelecomData[[#This Row],[TenureMonths]]&lt;=12, "0-1 Year", TelecomData[[#This Row],[TenureMonths]]&lt;=36, "1-3 Years", TelecomData[[#This Row],[TenureMonths]]&gt;36, "3+ Years")</f>
        <v>3+ Years</v>
      </c>
      <c r="N2473" s="2" t="str">
        <f>IF(TelecomData[[#This Row],[CleanedTotalCharges]]&gt;=2500,"High Spend", "Standard Spend")</f>
        <v>High Spend</v>
      </c>
    </row>
    <row r="2474" spans="1:14" x14ac:dyDescent="0.3">
      <c r="A2474" s="1" t="s">
        <v>2498</v>
      </c>
      <c r="B2474" s="2" t="s">
        <v>19</v>
      </c>
      <c r="C2474" s="2" t="s">
        <v>35</v>
      </c>
      <c r="D2474" s="2">
        <v>67</v>
      </c>
      <c r="E2474" s="2" t="s">
        <v>14</v>
      </c>
      <c r="F2474" s="2" t="s">
        <v>16</v>
      </c>
      <c r="G2474" s="7">
        <v>70.900000000000006</v>
      </c>
      <c r="H2474" s="7">
        <v>4677.1000000000004</v>
      </c>
      <c r="I2474" s="2" t="s">
        <v>15</v>
      </c>
      <c r="J2474" s="2" t="s">
        <v>15</v>
      </c>
      <c r="K2474" s="2" t="s">
        <v>29</v>
      </c>
      <c r="L2474" s="7">
        <v>4677.1000000000004</v>
      </c>
      <c r="M2474" s="2" t="str">
        <f>_xlfn.IFS(TelecomData[[#This Row],[TenureMonths]]&lt;=12, "0-1 Year", TelecomData[[#This Row],[TenureMonths]]&lt;=36, "1-3 Years", TelecomData[[#This Row],[TenureMonths]]&gt;36, "3+ Years")</f>
        <v>3+ Years</v>
      </c>
      <c r="N2474" s="2" t="str">
        <f>IF(TelecomData[[#This Row],[CleanedTotalCharges]]&gt;=2500,"High Spend", "Standard Spend")</f>
        <v>High Spend</v>
      </c>
    </row>
    <row r="2475" spans="1:14" x14ac:dyDescent="0.3">
      <c r="A2475" s="1" t="s">
        <v>2499</v>
      </c>
      <c r="B2475" s="2" t="s">
        <v>12</v>
      </c>
      <c r="C2475" s="2" t="s">
        <v>13</v>
      </c>
      <c r="D2475" s="2">
        <v>6</v>
      </c>
      <c r="E2475" s="2" t="s">
        <v>15</v>
      </c>
      <c r="F2475" s="2" t="s">
        <v>36</v>
      </c>
      <c r="G2475" s="7">
        <v>19.850000000000001</v>
      </c>
      <c r="H2475" s="7">
        <v>119.3</v>
      </c>
      <c r="I2475" s="2" t="s">
        <v>15</v>
      </c>
      <c r="J2475" s="2" t="s">
        <v>15</v>
      </c>
      <c r="K2475" s="2" t="s">
        <v>21</v>
      </c>
      <c r="L2475" s="7">
        <v>119.3</v>
      </c>
      <c r="M2475" s="2" t="str">
        <f>_xlfn.IFS(TelecomData[[#This Row],[TenureMonths]]&lt;=12, "0-1 Year", TelecomData[[#This Row],[TenureMonths]]&lt;=36, "1-3 Years", TelecomData[[#This Row],[TenureMonths]]&gt;36, "3+ Years")</f>
        <v>0-1 Year</v>
      </c>
      <c r="N2475" s="2" t="str">
        <f>IF(TelecomData[[#This Row],[CleanedTotalCharges]]&gt;=2500,"High Spend", "Standard Spend")</f>
        <v>Standard Spend</v>
      </c>
    </row>
    <row r="2476" spans="1:14" x14ac:dyDescent="0.3">
      <c r="A2476" s="1" t="s">
        <v>2500</v>
      </c>
      <c r="B2476" s="2" t="s">
        <v>12</v>
      </c>
      <c r="C2476" s="2" t="s">
        <v>13</v>
      </c>
      <c r="D2476" s="2">
        <v>47</v>
      </c>
      <c r="E2476" s="2" t="s">
        <v>26</v>
      </c>
      <c r="F2476" s="2" t="s">
        <v>15</v>
      </c>
      <c r="G2476" s="7">
        <v>106.35</v>
      </c>
      <c r="H2476" s="7">
        <v>4849.1000000000004</v>
      </c>
      <c r="I2476" s="2" t="s">
        <v>15</v>
      </c>
      <c r="J2476" s="2" t="s">
        <v>16</v>
      </c>
      <c r="K2476" s="2" t="s">
        <v>17</v>
      </c>
      <c r="L2476" s="7">
        <v>4849.1000000000004</v>
      </c>
      <c r="M2476" s="2" t="str">
        <f>_xlfn.IFS(TelecomData[[#This Row],[TenureMonths]]&lt;=12, "0-1 Year", TelecomData[[#This Row],[TenureMonths]]&lt;=36, "1-3 Years", TelecomData[[#This Row],[TenureMonths]]&gt;36, "3+ Years")</f>
        <v>3+ Years</v>
      </c>
      <c r="N2476" s="2" t="str">
        <f>IF(TelecomData[[#This Row],[CleanedTotalCharges]]&gt;=2500,"High Spend", "Standard Spend")</f>
        <v>High Spend</v>
      </c>
    </row>
    <row r="2477" spans="1:14" x14ac:dyDescent="0.3">
      <c r="A2477" s="1" t="s">
        <v>2501</v>
      </c>
      <c r="B2477" s="2" t="s">
        <v>12</v>
      </c>
      <c r="C2477" s="2" t="s">
        <v>35</v>
      </c>
      <c r="D2477" s="2">
        <v>53</v>
      </c>
      <c r="E2477" s="2" t="s">
        <v>26</v>
      </c>
      <c r="F2477" s="2" t="s">
        <v>16</v>
      </c>
      <c r="G2477" s="7">
        <v>99.5</v>
      </c>
      <c r="H2477" s="7">
        <v>5424.25</v>
      </c>
      <c r="I2477" s="2" t="s">
        <v>15</v>
      </c>
      <c r="J2477" s="2" t="s">
        <v>15</v>
      </c>
      <c r="K2477" s="2" t="s">
        <v>21</v>
      </c>
      <c r="L2477" s="7">
        <v>5424.25</v>
      </c>
      <c r="M2477" s="2" t="str">
        <f>_xlfn.IFS(TelecomData[[#This Row],[TenureMonths]]&lt;=12, "0-1 Year", TelecomData[[#This Row],[TenureMonths]]&lt;=36, "1-3 Years", TelecomData[[#This Row],[TenureMonths]]&gt;36, "3+ Years")</f>
        <v>3+ Years</v>
      </c>
      <c r="N2477" s="2" t="str">
        <f>IF(TelecomData[[#This Row],[CleanedTotalCharges]]&gt;=2500,"High Spend", "Standard Spend")</f>
        <v>High Spend</v>
      </c>
    </row>
    <row r="2478" spans="1:14" x14ac:dyDescent="0.3">
      <c r="A2478" s="1" t="s">
        <v>2502</v>
      </c>
      <c r="B2478" s="2" t="s">
        <v>19</v>
      </c>
      <c r="C2478" s="2" t="s">
        <v>35</v>
      </c>
      <c r="D2478" s="2">
        <v>69</v>
      </c>
      <c r="E2478" s="2" t="s">
        <v>14</v>
      </c>
      <c r="F2478" s="2" t="s">
        <v>16</v>
      </c>
      <c r="G2478" s="7">
        <v>84.7</v>
      </c>
      <c r="H2478" s="7">
        <v>5878.9</v>
      </c>
      <c r="I2478" s="2" t="s">
        <v>15</v>
      </c>
      <c r="J2478" s="2" t="s">
        <v>16</v>
      </c>
      <c r="K2478" s="2" t="s">
        <v>21</v>
      </c>
      <c r="L2478" s="7">
        <v>5878.9</v>
      </c>
      <c r="M2478" s="2" t="str">
        <f>_xlfn.IFS(TelecomData[[#This Row],[TenureMonths]]&lt;=12, "0-1 Year", TelecomData[[#This Row],[TenureMonths]]&lt;=36, "1-3 Years", TelecomData[[#This Row],[TenureMonths]]&gt;36, "3+ Years")</f>
        <v>3+ Years</v>
      </c>
      <c r="N2478" s="2" t="str">
        <f>IF(TelecomData[[#This Row],[CleanedTotalCharges]]&gt;=2500,"High Spend", "Standard Spend")</f>
        <v>High Spend</v>
      </c>
    </row>
    <row r="2479" spans="1:14" x14ac:dyDescent="0.3">
      <c r="A2479" s="1" t="s">
        <v>2503</v>
      </c>
      <c r="B2479" s="2" t="s">
        <v>19</v>
      </c>
      <c r="C2479" s="2" t="s">
        <v>13</v>
      </c>
      <c r="D2479" s="2">
        <v>3</v>
      </c>
      <c r="E2479" s="2" t="s">
        <v>26</v>
      </c>
      <c r="F2479" s="2" t="s">
        <v>15</v>
      </c>
      <c r="G2479" s="7">
        <v>86.05</v>
      </c>
      <c r="H2479" s="7">
        <v>244.85</v>
      </c>
      <c r="I2479" s="2" t="s">
        <v>15</v>
      </c>
      <c r="J2479" s="2" t="s">
        <v>16</v>
      </c>
      <c r="K2479" s="2" t="s">
        <v>21</v>
      </c>
      <c r="L2479" s="7">
        <v>244.85</v>
      </c>
      <c r="M2479" s="2" t="str">
        <f>_xlfn.IFS(TelecomData[[#This Row],[TenureMonths]]&lt;=12, "0-1 Year", TelecomData[[#This Row],[TenureMonths]]&lt;=36, "1-3 Years", TelecomData[[#This Row],[TenureMonths]]&gt;36, "3+ Years")</f>
        <v>0-1 Year</v>
      </c>
      <c r="N2479" s="2" t="str">
        <f>IF(TelecomData[[#This Row],[CleanedTotalCharges]]&gt;=2500,"High Spend", "Standard Spend")</f>
        <v>Standard Spend</v>
      </c>
    </row>
    <row r="2480" spans="1:14" x14ac:dyDescent="0.3">
      <c r="A2480" s="1" t="s">
        <v>2504</v>
      </c>
      <c r="B2480" s="2" t="s">
        <v>19</v>
      </c>
      <c r="C2480" s="2" t="s">
        <v>13</v>
      </c>
      <c r="D2480" s="2">
        <v>4</v>
      </c>
      <c r="E2480" s="2" t="s">
        <v>14</v>
      </c>
      <c r="F2480" s="2" t="s">
        <v>15</v>
      </c>
      <c r="G2480" s="7">
        <v>44.55</v>
      </c>
      <c r="H2480" s="7">
        <v>220.75</v>
      </c>
      <c r="I2480" s="2" t="s">
        <v>15</v>
      </c>
      <c r="J2480" s="2" t="s">
        <v>15</v>
      </c>
      <c r="K2480" s="2" t="s">
        <v>21</v>
      </c>
      <c r="L2480" s="7">
        <v>220.75</v>
      </c>
      <c r="M2480" s="2" t="str">
        <f>_xlfn.IFS(TelecomData[[#This Row],[TenureMonths]]&lt;=12, "0-1 Year", TelecomData[[#This Row],[TenureMonths]]&lt;=36, "1-3 Years", TelecomData[[#This Row],[TenureMonths]]&gt;36, "3+ Years")</f>
        <v>0-1 Year</v>
      </c>
      <c r="N2480" s="2" t="str">
        <f>IF(TelecomData[[#This Row],[CleanedTotalCharges]]&gt;=2500,"High Spend", "Standard Spend")</f>
        <v>Standard Spend</v>
      </c>
    </row>
    <row r="2481" spans="1:14" x14ac:dyDescent="0.3">
      <c r="A2481" s="1" t="s">
        <v>2505</v>
      </c>
      <c r="B2481" s="2" t="s">
        <v>19</v>
      </c>
      <c r="C2481" s="2" t="s">
        <v>35</v>
      </c>
      <c r="D2481" s="2">
        <v>56</v>
      </c>
      <c r="E2481" s="2" t="s">
        <v>14</v>
      </c>
      <c r="F2481" s="2" t="s">
        <v>16</v>
      </c>
      <c r="G2481" s="7">
        <v>75.849999999999994</v>
      </c>
      <c r="H2481" s="7">
        <v>4261.2</v>
      </c>
      <c r="I2481" s="2" t="s">
        <v>15</v>
      </c>
      <c r="J2481" s="2" t="s">
        <v>16</v>
      </c>
      <c r="K2481" s="2" t="s">
        <v>29</v>
      </c>
      <c r="L2481" s="7">
        <v>4261.2</v>
      </c>
      <c r="M2481" s="2" t="str">
        <f>_xlfn.IFS(TelecomData[[#This Row],[TenureMonths]]&lt;=12, "0-1 Year", TelecomData[[#This Row],[TenureMonths]]&lt;=36, "1-3 Years", TelecomData[[#This Row],[TenureMonths]]&gt;36, "3+ Years")</f>
        <v>3+ Years</v>
      </c>
      <c r="N2481" s="2" t="str">
        <f>IF(TelecomData[[#This Row],[CleanedTotalCharges]]&gt;=2500,"High Spend", "Standard Spend")</f>
        <v>High Spend</v>
      </c>
    </row>
    <row r="2482" spans="1:14" x14ac:dyDescent="0.3">
      <c r="A2482" s="1" t="s">
        <v>2506</v>
      </c>
      <c r="B2482" s="2" t="s">
        <v>19</v>
      </c>
      <c r="C2482" s="2" t="s">
        <v>13</v>
      </c>
      <c r="D2482" s="2">
        <v>59</v>
      </c>
      <c r="E2482" s="2" t="s">
        <v>26</v>
      </c>
      <c r="F2482" s="2" t="s">
        <v>15</v>
      </c>
      <c r="G2482" s="7">
        <v>93.85</v>
      </c>
      <c r="H2482" s="7">
        <v>5574.75</v>
      </c>
      <c r="I2482" s="2" t="s">
        <v>16</v>
      </c>
      <c r="J2482" s="2" t="s">
        <v>16</v>
      </c>
      <c r="K2482" s="2" t="s">
        <v>24</v>
      </c>
      <c r="L2482" s="7">
        <v>5574.75</v>
      </c>
      <c r="M2482" s="2" t="str">
        <f>_xlfn.IFS(TelecomData[[#This Row],[TenureMonths]]&lt;=12, "0-1 Year", TelecomData[[#This Row],[TenureMonths]]&lt;=36, "1-3 Years", TelecomData[[#This Row],[TenureMonths]]&gt;36, "3+ Years")</f>
        <v>3+ Years</v>
      </c>
      <c r="N2482" s="2" t="str">
        <f>IF(TelecomData[[#This Row],[CleanedTotalCharges]]&gt;=2500,"High Spend", "Standard Spend")</f>
        <v>High Spend</v>
      </c>
    </row>
    <row r="2483" spans="1:14" x14ac:dyDescent="0.3">
      <c r="A2483" s="1" t="s">
        <v>2507</v>
      </c>
      <c r="B2483" s="2" t="s">
        <v>19</v>
      </c>
      <c r="C2483" s="2" t="s">
        <v>35</v>
      </c>
      <c r="D2483" s="2">
        <v>61</v>
      </c>
      <c r="E2483" s="2" t="s">
        <v>15</v>
      </c>
      <c r="F2483" s="2" t="s">
        <v>36</v>
      </c>
      <c r="G2483" s="7">
        <v>25</v>
      </c>
      <c r="H2483" s="7">
        <v>1501.75</v>
      </c>
      <c r="I2483" s="2" t="s">
        <v>15</v>
      </c>
      <c r="J2483" s="2" t="s">
        <v>15</v>
      </c>
      <c r="K2483" s="2" t="s">
        <v>24</v>
      </c>
      <c r="L2483" s="7">
        <v>1501.75</v>
      </c>
      <c r="M2483" s="2" t="str">
        <f>_xlfn.IFS(TelecomData[[#This Row],[TenureMonths]]&lt;=12, "0-1 Year", TelecomData[[#This Row],[TenureMonths]]&lt;=36, "1-3 Years", TelecomData[[#This Row],[TenureMonths]]&gt;36, "3+ Years")</f>
        <v>3+ Years</v>
      </c>
      <c r="N2483" s="2" t="str">
        <f>IF(TelecomData[[#This Row],[CleanedTotalCharges]]&gt;=2500,"High Spend", "Standard Spend")</f>
        <v>Standard Spend</v>
      </c>
    </row>
    <row r="2484" spans="1:14" x14ac:dyDescent="0.3">
      <c r="A2484" s="1" t="s">
        <v>2508</v>
      </c>
      <c r="B2484" s="2" t="s">
        <v>12</v>
      </c>
      <c r="C2484" s="2" t="s">
        <v>13</v>
      </c>
      <c r="D2484" s="2">
        <v>2</v>
      </c>
      <c r="E2484" s="2" t="s">
        <v>14</v>
      </c>
      <c r="F2484" s="2" t="s">
        <v>15</v>
      </c>
      <c r="G2484" s="7">
        <v>45</v>
      </c>
      <c r="H2484" s="7">
        <v>89.75</v>
      </c>
      <c r="I2484" s="2" t="s">
        <v>15</v>
      </c>
      <c r="J2484" s="2" t="s">
        <v>16</v>
      </c>
      <c r="K2484" s="2" t="s">
        <v>17</v>
      </c>
      <c r="L2484" s="7">
        <v>89.75</v>
      </c>
      <c r="M2484" s="2" t="str">
        <f>_xlfn.IFS(TelecomData[[#This Row],[TenureMonths]]&lt;=12, "0-1 Year", TelecomData[[#This Row],[TenureMonths]]&lt;=36, "1-3 Years", TelecomData[[#This Row],[TenureMonths]]&gt;36, "3+ Years")</f>
        <v>0-1 Year</v>
      </c>
      <c r="N2484" s="2" t="str">
        <f>IF(TelecomData[[#This Row],[CleanedTotalCharges]]&gt;=2500,"High Spend", "Standard Spend")</f>
        <v>Standard Spend</v>
      </c>
    </row>
    <row r="2485" spans="1:14" x14ac:dyDescent="0.3">
      <c r="A2485" s="1" t="s">
        <v>2509</v>
      </c>
      <c r="B2485" s="2" t="s">
        <v>19</v>
      </c>
      <c r="C2485" s="2" t="s">
        <v>13</v>
      </c>
      <c r="D2485" s="2">
        <v>46</v>
      </c>
      <c r="E2485" s="2" t="s">
        <v>26</v>
      </c>
      <c r="F2485" s="2" t="s">
        <v>15</v>
      </c>
      <c r="G2485" s="7">
        <v>100.7</v>
      </c>
      <c r="H2485" s="7">
        <v>4541.2</v>
      </c>
      <c r="I2485" s="2" t="s">
        <v>16</v>
      </c>
      <c r="J2485" s="2" t="s">
        <v>16</v>
      </c>
      <c r="K2485" s="2" t="s">
        <v>17</v>
      </c>
      <c r="L2485" s="7">
        <v>4541.2</v>
      </c>
      <c r="M2485" s="2" t="str">
        <f>_xlfn.IFS(TelecomData[[#This Row],[TenureMonths]]&lt;=12, "0-1 Year", TelecomData[[#This Row],[TenureMonths]]&lt;=36, "1-3 Years", TelecomData[[#This Row],[TenureMonths]]&gt;36, "3+ Years")</f>
        <v>3+ Years</v>
      </c>
      <c r="N2485" s="2" t="str">
        <f>IF(TelecomData[[#This Row],[CleanedTotalCharges]]&gt;=2500,"High Spend", "Standard Spend")</f>
        <v>High Spend</v>
      </c>
    </row>
    <row r="2486" spans="1:14" x14ac:dyDescent="0.3">
      <c r="A2486" s="1" t="s">
        <v>2510</v>
      </c>
      <c r="B2486" s="2" t="s">
        <v>19</v>
      </c>
      <c r="C2486" s="2" t="s">
        <v>13</v>
      </c>
      <c r="D2486" s="2">
        <v>12</v>
      </c>
      <c r="E2486" s="2" t="s">
        <v>15</v>
      </c>
      <c r="F2486" s="2" t="s">
        <v>36</v>
      </c>
      <c r="G2486" s="7">
        <v>20.5</v>
      </c>
      <c r="H2486" s="7">
        <v>255.5</v>
      </c>
      <c r="I2486" s="2" t="s">
        <v>15</v>
      </c>
      <c r="J2486" s="2" t="s">
        <v>15</v>
      </c>
      <c r="K2486" s="2" t="s">
        <v>21</v>
      </c>
      <c r="L2486" s="7">
        <v>255.5</v>
      </c>
      <c r="M2486" s="2" t="str">
        <f>_xlfn.IFS(TelecomData[[#This Row],[TenureMonths]]&lt;=12, "0-1 Year", TelecomData[[#This Row],[TenureMonths]]&lt;=36, "1-3 Years", TelecomData[[#This Row],[TenureMonths]]&gt;36, "3+ Years")</f>
        <v>0-1 Year</v>
      </c>
      <c r="N2486" s="2" t="str">
        <f>IF(TelecomData[[#This Row],[CleanedTotalCharges]]&gt;=2500,"High Spend", "Standard Spend")</f>
        <v>Standard Spend</v>
      </c>
    </row>
    <row r="2487" spans="1:14" x14ac:dyDescent="0.3">
      <c r="A2487" s="1" t="s">
        <v>2511</v>
      </c>
      <c r="B2487" s="2" t="s">
        <v>12</v>
      </c>
      <c r="C2487" s="2" t="s">
        <v>13</v>
      </c>
      <c r="D2487" s="2">
        <v>14</v>
      </c>
      <c r="E2487" s="2" t="s">
        <v>26</v>
      </c>
      <c r="F2487" s="2" t="s">
        <v>15</v>
      </c>
      <c r="G2487" s="7">
        <v>80.45</v>
      </c>
      <c r="H2487" s="7">
        <v>1072</v>
      </c>
      <c r="I2487" s="2" t="s">
        <v>16</v>
      </c>
      <c r="J2487" s="2" t="s">
        <v>16</v>
      </c>
      <c r="K2487" s="2" t="s">
        <v>17</v>
      </c>
      <c r="L2487" s="7">
        <v>1072</v>
      </c>
      <c r="M2487" s="2" t="str">
        <f>_xlfn.IFS(TelecomData[[#This Row],[TenureMonths]]&lt;=12, "0-1 Year", TelecomData[[#This Row],[TenureMonths]]&lt;=36, "1-3 Years", TelecomData[[#This Row],[TenureMonths]]&gt;36, "3+ Years")</f>
        <v>1-3 Years</v>
      </c>
      <c r="N2487" s="2" t="str">
        <f>IF(TelecomData[[#This Row],[CleanedTotalCharges]]&gt;=2500,"High Spend", "Standard Spend")</f>
        <v>Standard Spend</v>
      </c>
    </row>
    <row r="2488" spans="1:14" x14ac:dyDescent="0.3">
      <c r="A2488" s="1" t="s">
        <v>2512</v>
      </c>
      <c r="B2488" s="2" t="s">
        <v>12</v>
      </c>
      <c r="C2488" s="2" t="s">
        <v>20</v>
      </c>
      <c r="D2488" s="2">
        <v>28</v>
      </c>
      <c r="E2488" s="2" t="s">
        <v>26</v>
      </c>
      <c r="F2488" s="2" t="s">
        <v>16</v>
      </c>
      <c r="G2488" s="7">
        <v>90.45</v>
      </c>
      <c r="H2488" s="7">
        <v>2509.25</v>
      </c>
      <c r="I2488" s="2" t="s">
        <v>15</v>
      </c>
      <c r="J2488" s="2" t="s">
        <v>16</v>
      </c>
      <c r="K2488" s="2" t="s">
        <v>17</v>
      </c>
      <c r="L2488" s="7">
        <v>2509.25</v>
      </c>
      <c r="M2488" s="2" t="str">
        <f>_xlfn.IFS(TelecomData[[#This Row],[TenureMonths]]&lt;=12, "0-1 Year", TelecomData[[#This Row],[TenureMonths]]&lt;=36, "1-3 Years", TelecomData[[#This Row],[TenureMonths]]&gt;36, "3+ Years")</f>
        <v>1-3 Years</v>
      </c>
      <c r="N2488" s="2" t="str">
        <f>IF(TelecomData[[#This Row],[CleanedTotalCharges]]&gt;=2500,"High Spend", "Standard Spend")</f>
        <v>High Spend</v>
      </c>
    </row>
    <row r="2489" spans="1:14" x14ac:dyDescent="0.3">
      <c r="A2489" s="1" t="s">
        <v>2513</v>
      </c>
      <c r="B2489" s="2" t="s">
        <v>19</v>
      </c>
      <c r="C2489" s="2" t="s">
        <v>13</v>
      </c>
      <c r="D2489" s="2">
        <v>24</v>
      </c>
      <c r="E2489" s="2" t="s">
        <v>14</v>
      </c>
      <c r="F2489" s="2" t="s">
        <v>16</v>
      </c>
      <c r="G2489" s="7">
        <v>60.45</v>
      </c>
      <c r="H2489" s="7">
        <v>1440.75</v>
      </c>
      <c r="I2489" s="2" t="s">
        <v>15</v>
      </c>
      <c r="J2489" s="2" t="s">
        <v>15</v>
      </c>
      <c r="K2489" s="2" t="s">
        <v>24</v>
      </c>
      <c r="L2489" s="7">
        <v>1440.75</v>
      </c>
      <c r="M2489" s="2" t="str">
        <f>_xlfn.IFS(TelecomData[[#This Row],[TenureMonths]]&lt;=12, "0-1 Year", TelecomData[[#This Row],[TenureMonths]]&lt;=36, "1-3 Years", TelecomData[[#This Row],[TenureMonths]]&gt;36, "3+ Years")</f>
        <v>1-3 Years</v>
      </c>
      <c r="N2489" s="2" t="str">
        <f>IF(TelecomData[[#This Row],[CleanedTotalCharges]]&gt;=2500,"High Spend", "Standard Spend")</f>
        <v>Standard Spend</v>
      </c>
    </row>
    <row r="2490" spans="1:14" x14ac:dyDescent="0.3">
      <c r="A2490" s="1" t="s">
        <v>2514</v>
      </c>
      <c r="B2490" s="2" t="s">
        <v>19</v>
      </c>
      <c r="C2490" s="2" t="s">
        <v>13</v>
      </c>
      <c r="D2490" s="2">
        <v>31</v>
      </c>
      <c r="E2490" s="2" t="s">
        <v>14</v>
      </c>
      <c r="F2490" s="2" t="s">
        <v>16</v>
      </c>
      <c r="G2490" s="7">
        <v>55.25</v>
      </c>
      <c r="H2490" s="7">
        <v>1715.65</v>
      </c>
      <c r="I2490" s="2" t="s">
        <v>16</v>
      </c>
      <c r="J2490" s="2" t="s">
        <v>16</v>
      </c>
      <c r="K2490" s="2" t="s">
        <v>17</v>
      </c>
      <c r="L2490" s="7">
        <v>1715.65</v>
      </c>
      <c r="M2490" s="2" t="str">
        <f>_xlfn.IFS(TelecomData[[#This Row],[TenureMonths]]&lt;=12, "0-1 Year", TelecomData[[#This Row],[TenureMonths]]&lt;=36, "1-3 Years", TelecomData[[#This Row],[TenureMonths]]&gt;36, "3+ Years")</f>
        <v>1-3 Years</v>
      </c>
      <c r="N2490" s="2" t="str">
        <f>IF(TelecomData[[#This Row],[CleanedTotalCharges]]&gt;=2500,"High Spend", "Standard Spend")</f>
        <v>Standard Spend</v>
      </c>
    </row>
    <row r="2491" spans="1:14" x14ac:dyDescent="0.3">
      <c r="A2491" s="1" t="s">
        <v>2515</v>
      </c>
      <c r="B2491" s="2" t="s">
        <v>12</v>
      </c>
      <c r="C2491" s="2" t="s">
        <v>20</v>
      </c>
      <c r="D2491" s="2">
        <v>68</v>
      </c>
      <c r="E2491" s="2" t="s">
        <v>14</v>
      </c>
      <c r="F2491" s="2" t="s">
        <v>16</v>
      </c>
      <c r="G2491" s="7">
        <v>78.45</v>
      </c>
      <c r="H2491" s="7">
        <v>5333.35</v>
      </c>
      <c r="I2491" s="2" t="s">
        <v>15</v>
      </c>
      <c r="J2491" s="2" t="s">
        <v>16</v>
      </c>
      <c r="K2491" s="2" t="s">
        <v>17</v>
      </c>
      <c r="L2491" s="7">
        <v>5333.35</v>
      </c>
      <c r="M2491" s="2" t="str">
        <f>_xlfn.IFS(TelecomData[[#This Row],[TenureMonths]]&lt;=12, "0-1 Year", TelecomData[[#This Row],[TenureMonths]]&lt;=36, "1-3 Years", TelecomData[[#This Row],[TenureMonths]]&gt;36, "3+ Years")</f>
        <v>3+ Years</v>
      </c>
      <c r="N2491" s="2" t="str">
        <f>IF(TelecomData[[#This Row],[CleanedTotalCharges]]&gt;=2500,"High Spend", "Standard Spend")</f>
        <v>High Spend</v>
      </c>
    </row>
    <row r="2492" spans="1:14" x14ac:dyDescent="0.3">
      <c r="A2492" s="1" t="s">
        <v>2516</v>
      </c>
      <c r="B2492" s="2" t="s">
        <v>19</v>
      </c>
      <c r="C2492" s="2" t="s">
        <v>35</v>
      </c>
      <c r="D2492" s="2">
        <v>39</v>
      </c>
      <c r="E2492" s="2" t="s">
        <v>26</v>
      </c>
      <c r="F2492" s="2" t="s">
        <v>16</v>
      </c>
      <c r="G2492" s="7">
        <v>100.55</v>
      </c>
      <c r="H2492" s="7">
        <v>3895.35</v>
      </c>
      <c r="I2492" s="2" t="s">
        <v>15</v>
      </c>
      <c r="J2492" s="2" t="s">
        <v>15</v>
      </c>
      <c r="K2492" s="2" t="s">
        <v>21</v>
      </c>
      <c r="L2492" s="7">
        <v>3895.35</v>
      </c>
      <c r="M2492" s="2" t="str">
        <f>_xlfn.IFS(TelecomData[[#This Row],[TenureMonths]]&lt;=12, "0-1 Year", TelecomData[[#This Row],[TenureMonths]]&lt;=36, "1-3 Years", TelecomData[[#This Row],[TenureMonths]]&gt;36, "3+ Years")</f>
        <v>3+ Years</v>
      </c>
      <c r="N2492" s="2" t="str">
        <f>IF(TelecomData[[#This Row],[CleanedTotalCharges]]&gt;=2500,"High Spend", "Standard Spend")</f>
        <v>High Spend</v>
      </c>
    </row>
    <row r="2493" spans="1:14" x14ac:dyDescent="0.3">
      <c r="A2493" s="1" t="s">
        <v>2517</v>
      </c>
      <c r="B2493" s="2" t="s">
        <v>12</v>
      </c>
      <c r="C2493" s="2" t="s">
        <v>13</v>
      </c>
      <c r="D2493" s="2">
        <v>42</v>
      </c>
      <c r="E2493" s="2" t="s">
        <v>15</v>
      </c>
      <c r="F2493" s="2" t="s">
        <v>36</v>
      </c>
      <c r="G2493" s="7">
        <v>20.350000000000001</v>
      </c>
      <c r="H2493" s="7">
        <v>869.9</v>
      </c>
      <c r="I2493" s="2" t="s">
        <v>15</v>
      </c>
      <c r="J2493" s="2" t="s">
        <v>15</v>
      </c>
      <c r="K2493" s="2" t="s">
        <v>29</v>
      </c>
      <c r="L2493" s="7">
        <v>869.9</v>
      </c>
      <c r="M2493" s="2" t="str">
        <f>_xlfn.IFS(TelecomData[[#This Row],[TenureMonths]]&lt;=12, "0-1 Year", TelecomData[[#This Row],[TenureMonths]]&lt;=36, "1-3 Years", TelecomData[[#This Row],[TenureMonths]]&gt;36, "3+ Years")</f>
        <v>3+ Years</v>
      </c>
      <c r="N2493" s="2" t="str">
        <f>IF(TelecomData[[#This Row],[CleanedTotalCharges]]&gt;=2500,"High Spend", "Standard Spend")</f>
        <v>Standard Spend</v>
      </c>
    </row>
    <row r="2494" spans="1:14" x14ac:dyDescent="0.3">
      <c r="A2494" s="1" t="s">
        <v>2518</v>
      </c>
      <c r="B2494" s="2" t="s">
        <v>19</v>
      </c>
      <c r="C2494" s="2" t="s">
        <v>13</v>
      </c>
      <c r="D2494" s="2">
        <v>13</v>
      </c>
      <c r="E2494" s="2" t="s">
        <v>14</v>
      </c>
      <c r="F2494" s="2" t="s">
        <v>16</v>
      </c>
      <c r="G2494" s="7">
        <v>54.45</v>
      </c>
      <c r="H2494" s="7">
        <v>706.85</v>
      </c>
      <c r="I2494" s="2" t="s">
        <v>16</v>
      </c>
      <c r="J2494" s="2" t="s">
        <v>16</v>
      </c>
      <c r="K2494" s="2" t="s">
        <v>17</v>
      </c>
      <c r="L2494" s="7">
        <v>706.85</v>
      </c>
      <c r="M2494" s="2" t="str">
        <f>_xlfn.IFS(TelecomData[[#This Row],[TenureMonths]]&lt;=12, "0-1 Year", TelecomData[[#This Row],[TenureMonths]]&lt;=36, "1-3 Years", TelecomData[[#This Row],[TenureMonths]]&gt;36, "3+ Years")</f>
        <v>1-3 Years</v>
      </c>
      <c r="N2494" s="2" t="str">
        <f>IF(TelecomData[[#This Row],[CleanedTotalCharges]]&gt;=2500,"High Spend", "Standard Spend")</f>
        <v>Standard Spend</v>
      </c>
    </row>
    <row r="2495" spans="1:14" x14ac:dyDescent="0.3">
      <c r="A2495" s="1" t="s">
        <v>2519</v>
      </c>
      <c r="B2495" s="2" t="s">
        <v>12</v>
      </c>
      <c r="C2495" s="2" t="s">
        <v>13</v>
      </c>
      <c r="D2495" s="2">
        <v>6</v>
      </c>
      <c r="E2495" s="2" t="s">
        <v>26</v>
      </c>
      <c r="F2495" s="2" t="s">
        <v>15</v>
      </c>
      <c r="G2495" s="7">
        <v>90.75</v>
      </c>
      <c r="H2495" s="7">
        <v>512.25</v>
      </c>
      <c r="I2495" s="2" t="s">
        <v>15</v>
      </c>
      <c r="J2495" s="2" t="s">
        <v>16</v>
      </c>
      <c r="K2495" s="2" t="s">
        <v>17</v>
      </c>
      <c r="L2495" s="7">
        <v>512.25</v>
      </c>
      <c r="M2495" s="2" t="str">
        <f>_xlfn.IFS(TelecomData[[#This Row],[TenureMonths]]&lt;=12, "0-1 Year", TelecomData[[#This Row],[TenureMonths]]&lt;=36, "1-3 Years", TelecomData[[#This Row],[TenureMonths]]&gt;36, "3+ Years")</f>
        <v>0-1 Year</v>
      </c>
      <c r="N2495" s="2" t="str">
        <f>IF(TelecomData[[#This Row],[CleanedTotalCharges]]&gt;=2500,"High Spend", "Standard Spend")</f>
        <v>Standard Spend</v>
      </c>
    </row>
    <row r="2496" spans="1:14" x14ac:dyDescent="0.3">
      <c r="A2496" s="1" t="s">
        <v>2520</v>
      </c>
      <c r="B2496" s="2" t="s">
        <v>19</v>
      </c>
      <c r="C2496" s="2" t="s">
        <v>13</v>
      </c>
      <c r="D2496" s="2">
        <v>35</v>
      </c>
      <c r="E2496" s="2" t="s">
        <v>26</v>
      </c>
      <c r="F2496" s="2" t="s">
        <v>15</v>
      </c>
      <c r="G2496" s="7">
        <v>75.349999999999994</v>
      </c>
      <c r="H2496" s="7">
        <v>2636.05</v>
      </c>
      <c r="I2496" s="2" t="s">
        <v>16</v>
      </c>
      <c r="J2496" s="2" t="s">
        <v>15</v>
      </c>
      <c r="K2496" s="2" t="s">
        <v>29</v>
      </c>
      <c r="L2496" s="7">
        <v>2636.05</v>
      </c>
      <c r="M2496" s="2" t="str">
        <f>_xlfn.IFS(TelecomData[[#This Row],[TenureMonths]]&lt;=12, "0-1 Year", TelecomData[[#This Row],[TenureMonths]]&lt;=36, "1-3 Years", TelecomData[[#This Row],[TenureMonths]]&gt;36, "3+ Years")</f>
        <v>1-3 Years</v>
      </c>
      <c r="N2496" s="2" t="str">
        <f>IF(TelecomData[[#This Row],[CleanedTotalCharges]]&gt;=2500,"High Spend", "Standard Spend")</f>
        <v>High Spend</v>
      </c>
    </row>
    <row r="2497" spans="1:14" x14ac:dyDescent="0.3">
      <c r="A2497" s="1" t="s">
        <v>2521</v>
      </c>
      <c r="B2497" s="2" t="s">
        <v>12</v>
      </c>
      <c r="C2497" s="2" t="s">
        <v>20</v>
      </c>
      <c r="D2497" s="2">
        <v>38</v>
      </c>
      <c r="E2497" s="2" t="s">
        <v>15</v>
      </c>
      <c r="F2497" s="2" t="s">
        <v>36</v>
      </c>
      <c r="G2497" s="7">
        <v>20.25</v>
      </c>
      <c r="H2497" s="7">
        <v>814.75</v>
      </c>
      <c r="I2497" s="2" t="s">
        <v>15</v>
      </c>
      <c r="J2497" s="2" t="s">
        <v>16</v>
      </c>
      <c r="K2497" s="2" t="s">
        <v>29</v>
      </c>
      <c r="L2497" s="7">
        <v>814.75</v>
      </c>
      <c r="M2497" s="2" t="str">
        <f>_xlfn.IFS(TelecomData[[#This Row],[TenureMonths]]&lt;=12, "0-1 Year", TelecomData[[#This Row],[TenureMonths]]&lt;=36, "1-3 Years", TelecomData[[#This Row],[TenureMonths]]&gt;36, "3+ Years")</f>
        <v>3+ Years</v>
      </c>
      <c r="N2497" s="2" t="str">
        <f>IF(TelecomData[[#This Row],[CleanedTotalCharges]]&gt;=2500,"High Spend", "Standard Spend")</f>
        <v>Standard Spend</v>
      </c>
    </row>
    <row r="2498" spans="1:14" x14ac:dyDescent="0.3">
      <c r="A2498" s="1" t="s">
        <v>2522</v>
      </c>
      <c r="B2498" s="2" t="s">
        <v>19</v>
      </c>
      <c r="C2498" s="2" t="s">
        <v>35</v>
      </c>
      <c r="D2498" s="2">
        <v>18</v>
      </c>
      <c r="E2498" s="2" t="s">
        <v>15</v>
      </c>
      <c r="F2498" s="2" t="s">
        <v>36</v>
      </c>
      <c r="G2498" s="7">
        <v>20.05</v>
      </c>
      <c r="H2498" s="7">
        <v>388.6</v>
      </c>
      <c r="I2498" s="2" t="s">
        <v>15</v>
      </c>
      <c r="J2498" s="2" t="s">
        <v>15</v>
      </c>
      <c r="K2498" s="2" t="s">
        <v>29</v>
      </c>
      <c r="L2498" s="7">
        <v>388.6</v>
      </c>
      <c r="M2498" s="2" t="str">
        <f>_xlfn.IFS(TelecomData[[#This Row],[TenureMonths]]&lt;=12, "0-1 Year", TelecomData[[#This Row],[TenureMonths]]&lt;=36, "1-3 Years", TelecomData[[#This Row],[TenureMonths]]&gt;36, "3+ Years")</f>
        <v>1-3 Years</v>
      </c>
      <c r="N2498" s="2" t="str">
        <f>IF(TelecomData[[#This Row],[CleanedTotalCharges]]&gt;=2500,"High Spend", "Standard Spend")</f>
        <v>Standard Spend</v>
      </c>
    </row>
    <row r="2499" spans="1:14" x14ac:dyDescent="0.3">
      <c r="A2499" s="1" t="s">
        <v>2523</v>
      </c>
      <c r="B2499" s="2" t="s">
        <v>12</v>
      </c>
      <c r="C2499" s="2" t="s">
        <v>13</v>
      </c>
      <c r="D2499" s="2">
        <v>4</v>
      </c>
      <c r="E2499" s="2" t="s">
        <v>15</v>
      </c>
      <c r="F2499" s="2" t="s">
        <v>36</v>
      </c>
      <c r="G2499" s="7">
        <v>19.600000000000001</v>
      </c>
      <c r="H2499" s="7">
        <v>93.45</v>
      </c>
      <c r="I2499" s="2" t="s">
        <v>15</v>
      </c>
      <c r="J2499" s="2" t="s">
        <v>15</v>
      </c>
      <c r="K2499" s="2" t="s">
        <v>21</v>
      </c>
      <c r="L2499" s="7">
        <v>93.45</v>
      </c>
      <c r="M2499" s="2" t="str">
        <f>_xlfn.IFS(TelecomData[[#This Row],[TenureMonths]]&lt;=12, "0-1 Year", TelecomData[[#This Row],[TenureMonths]]&lt;=36, "1-3 Years", TelecomData[[#This Row],[TenureMonths]]&gt;36, "3+ Years")</f>
        <v>0-1 Year</v>
      </c>
      <c r="N2499" s="2" t="str">
        <f>IF(TelecomData[[#This Row],[CleanedTotalCharges]]&gt;=2500,"High Spend", "Standard Spend")</f>
        <v>Standard Spend</v>
      </c>
    </row>
    <row r="2500" spans="1:14" x14ac:dyDescent="0.3">
      <c r="A2500" s="1" t="s">
        <v>2524</v>
      </c>
      <c r="B2500" s="2" t="s">
        <v>19</v>
      </c>
      <c r="C2500" s="2" t="s">
        <v>13</v>
      </c>
      <c r="D2500" s="2">
        <v>27</v>
      </c>
      <c r="E2500" s="2" t="s">
        <v>14</v>
      </c>
      <c r="F2500" s="2" t="s">
        <v>16</v>
      </c>
      <c r="G2500" s="7">
        <v>53.8</v>
      </c>
      <c r="H2500" s="7">
        <v>1389.85</v>
      </c>
      <c r="I2500" s="2" t="s">
        <v>15</v>
      </c>
      <c r="J2500" s="2" t="s">
        <v>16</v>
      </c>
      <c r="K2500" s="2" t="s">
        <v>17</v>
      </c>
      <c r="L2500" s="7">
        <v>1389.85</v>
      </c>
      <c r="M2500" s="2" t="str">
        <f>_xlfn.IFS(TelecomData[[#This Row],[TenureMonths]]&lt;=12, "0-1 Year", TelecomData[[#This Row],[TenureMonths]]&lt;=36, "1-3 Years", TelecomData[[#This Row],[TenureMonths]]&gt;36, "3+ Years")</f>
        <v>1-3 Years</v>
      </c>
      <c r="N2500" s="2" t="str">
        <f>IF(TelecomData[[#This Row],[CleanedTotalCharges]]&gt;=2500,"High Spend", "Standard Spend")</f>
        <v>Standard Spend</v>
      </c>
    </row>
    <row r="2501" spans="1:14" x14ac:dyDescent="0.3">
      <c r="A2501" s="1" t="s">
        <v>2525</v>
      </c>
      <c r="B2501" s="2" t="s">
        <v>19</v>
      </c>
      <c r="C2501" s="2" t="s">
        <v>20</v>
      </c>
      <c r="D2501" s="2">
        <v>41</v>
      </c>
      <c r="E2501" s="2" t="s">
        <v>14</v>
      </c>
      <c r="F2501" s="2" t="s">
        <v>15</v>
      </c>
      <c r="G2501" s="7">
        <v>70.2</v>
      </c>
      <c r="H2501" s="7">
        <v>2894.55</v>
      </c>
      <c r="I2501" s="2" t="s">
        <v>15</v>
      </c>
      <c r="J2501" s="2" t="s">
        <v>15</v>
      </c>
      <c r="K2501" s="2" t="s">
        <v>21</v>
      </c>
      <c r="L2501" s="7">
        <v>2894.55</v>
      </c>
      <c r="M2501" s="2" t="str">
        <f>_xlfn.IFS(TelecomData[[#This Row],[TenureMonths]]&lt;=12, "0-1 Year", TelecomData[[#This Row],[TenureMonths]]&lt;=36, "1-3 Years", TelecomData[[#This Row],[TenureMonths]]&gt;36, "3+ Years")</f>
        <v>3+ Years</v>
      </c>
      <c r="N2501" s="2" t="str">
        <f>IF(TelecomData[[#This Row],[CleanedTotalCharges]]&gt;=2500,"High Spend", "Standard Spend")</f>
        <v>High Spend</v>
      </c>
    </row>
    <row r="2502" spans="1:14" x14ac:dyDescent="0.3">
      <c r="A2502" s="1" t="s">
        <v>2526</v>
      </c>
      <c r="B2502" s="2" t="s">
        <v>19</v>
      </c>
      <c r="C2502" s="2" t="s">
        <v>20</v>
      </c>
      <c r="D2502" s="2">
        <v>50</v>
      </c>
      <c r="E2502" s="2" t="s">
        <v>14</v>
      </c>
      <c r="F2502" s="2" t="s">
        <v>16</v>
      </c>
      <c r="G2502" s="7">
        <v>75.5</v>
      </c>
      <c r="H2502" s="7">
        <v>4025.6</v>
      </c>
      <c r="I2502" s="2" t="s">
        <v>15</v>
      </c>
      <c r="J2502" s="2" t="s">
        <v>15</v>
      </c>
      <c r="K2502" s="2" t="s">
        <v>17</v>
      </c>
      <c r="L2502" s="7">
        <v>4025.6</v>
      </c>
      <c r="M2502" s="2" t="str">
        <f>_xlfn.IFS(TelecomData[[#This Row],[TenureMonths]]&lt;=12, "0-1 Year", TelecomData[[#This Row],[TenureMonths]]&lt;=36, "1-3 Years", TelecomData[[#This Row],[TenureMonths]]&gt;36, "3+ Years")</f>
        <v>3+ Years</v>
      </c>
      <c r="N2502" s="2" t="str">
        <f>IF(TelecomData[[#This Row],[CleanedTotalCharges]]&gt;=2500,"High Spend", "Standard Spend")</f>
        <v>High Spend</v>
      </c>
    </row>
    <row r="2503" spans="1:14" x14ac:dyDescent="0.3">
      <c r="A2503" s="1" t="s">
        <v>2527</v>
      </c>
      <c r="B2503" s="2" t="s">
        <v>19</v>
      </c>
      <c r="C2503" s="2" t="s">
        <v>35</v>
      </c>
      <c r="D2503" s="2">
        <v>72</v>
      </c>
      <c r="E2503" s="2" t="s">
        <v>15</v>
      </c>
      <c r="F2503" s="2" t="s">
        <v>36</v>
      </c>
      <c r="G2503" s="7">
        <v>20.350000000000001</v>
      </c>
      <c r="H2503" s="7">
        <v>1354.4</v>
      </c>
      <c r="I2503" s="2" t="s">
        <v>15</v>
      </c>
      <c r="J2503" s="2" t="s">
        <v>15</v>
      </c>
      <c r="K2503" s="2" t="s">
        <v>17</v>
      </c>
      <c r="L2503" s="7">
        <v>1354.4</v>
      </c>
      <c r="M2503" s="2" t="str">
        <f>_xlfn.IFS(TelecomData[[#This Row],[TenureMonths]]&lt;=12, "0-1 Year", TelecomData[[#This Row],[TenureMonths]]&lt;=36, "1-3 Years", TelecomData[[#This Row],[TenureMonths]]&gt;36, "3+ Years")</f>
        <v>3+ Years</v>
      </c>
      <c r="N2503" s="2" t="str">
        <f>IF(TelecomData[[#This Row],[CleanedTotalCharges]]&gt;=2500,"High Spend", "Standard Spend")</f>
        <v>Standard Spend</v>
      </c>
    </row>
    <row r="2504" spans="1:14" x14ac:dyDescent="0.3">
      <c r="A2504" s="1" t="s">
        <v>2528</v>
      </c>
      <c r="B2504" s="2" t="s">
        <v>12</v>
      </c>
      <c r="C2504" s="2" t="s">
        <v>20</v>
      </c>
      <c r="D2504" s="2">
        <v>70</v>
      </c>
      <c r="E2504" s="2" t="s">
        <v>15</v>
      </c>
      <c r="F2504" s="2" t="s">
        <v>36</v>
      </c>
      <c r="G2504" s="7">
        <v>26.05</v>
      </c>
      <c r="H2504" s="7">
        <v>1856.4</v>
      </c>
      <c r="I2504" s="2" t="s">
        <v>15</v>
      </c>
      <c r="J2504" s="2" t="s">
        <v>15</v>
      </c>
      <c r="K2504" s="2" t="s">
        <v>29</v>
      </c>
      <c r="L2504" s="7">
        <v>1856.4</v>
      </c>
      <c r="M2504" s="2" t="str">
        <f>_xlfn.IFS(TelecomData[[#This Row],[TenureMonths]]&lt;=12, "0-1 Year", TelecomData[[#This Row],[TenureMonths]]&lt;=36, "1-3 Years", TelecomData[[#This Row],[TenureMonths]]&gt;36, "3+ Years")</f>
        <v>3+ Years</v>
      </c>
      <c r="N2504" s="2" t="str">
        <f>IF(TelecomData[[#This Row],[CleanedTotalCharges]]&gt;=2500,"High Spend", "Standard Spend")</f>
        <v>Standard Spend</v>
      </c>
    </row>
    <row r="2505" spans="1:14" x14ac:dyDescent="0.3">
      <c r="A2505" s="1" t="s">
        <v>2529</v>
      </c>
      <c r="B2505" s="2" t="s">
        <v>19</v>
      </c>
      <c r="C2505" s="2" t="s">
        <v>20</v>
      </c>
      <c r="D2505" s="2">
        <v>44</v>
      </c>
      <c r="E2505" s="2" t="s">
        <v>15</v>
      </c>
      <c r="F2505" s="2" t="s">
        <v>36</v>
      </c>
      <c r="G2505" s="7">
        <v>20.6</v>
      </c>
      <c r="H2505" s="7">
        <v>926</v>
      </c>
      <c r="I2505" s="2" t="s">
        <v>15</v>
      </c>
      <c r="J2505" s="2" t="s">
        <v>15</v>
      </c>
      <c r="K2505" s="2" t="s">
        <v>24</v>
      </c>
      <c r="L2505" s="7">
        <v>926</v>
      </c>
      <c r="M2505" s="2" t="str">
        <f>_xlfn.IFS(TelecomData[[#This Row],[TenureMonths]]&lt;=12, "0-1 Year", TelecomData[[#This Row],[TenureMonths]]&lt;=36, "1-3 Years", TelecomData[[#This Row],[TenureMonths]]&gt;36, "3+ Years")</f>
        <v>3+ Years</v>
      </c>
      <c r="N2505" s="2" t="str">
        <f>IF(TelecomData[[#This Row],[CleanedTotalCharges]]&gt;=2500,"High Spend", "Standard Spend")</f>
        <v>Standard Spend</v>
      </c>
    </row>
    <row r="2506" spans="1:14" x14ac:dyDescent="0.3">
      <c r="A2506" s="1" t="s">
        <v>2530</v>
      </c>
      <c r="B2506" s="2" t="s">
        <v>19</v>
      </c>
      <c r="C2506" s="2" t="s">
        <v>13</v>
      </c>
      <c r="D2506" s="2">
        <v>2</v>
      </c>
      <c r="E2506" s="2" t="s">
        <v>26</v>
      </c>
      <c r="F2506" s="2" t="s">
        <v>15</v>
      </c>
      <c r="G2506" s="7">
        <v>75.7</v>
      </c>
      <c r="H2506" s="7">
        <v>189.2</v>
      </c>
      <c r="I2506" s="2" t="s">
        <v>16</v>
      </c>
      <c r="J2506" s="2" t="s">
        <v>16</v>
      </c>
      <c r="K2506" s="2" t="s">
        <v>17</v>
      </c>
      <c r="L2506" s="7">
        <v>189.2</v>
      </c>
      <c r="M2506" s="2" t="str">
        <f>_xlfn.IFS(TelecomData[[#This Row],[TenureMonths]]&lt;=12, "0-1 Year", TelecomData[[#This Row],[TenureMonths]]&lt;=36, "1-3 Years", TelecomData[[#This Row],[TenureMonths]]&gt;36, "3+ Years")</f>
        <v>0-1 Year</v>
      </c>
      <c r="N2506" s="2" t="str">
        <f>IF(TelecomData[[#This Row],[CleanedTotalCharges]]&gt;=2500,"High Spend", "Standard Spend")</f>
        <v>Standard Spend</v>
      </c>
    </row>
    <row r="2507" spans="1:14" x14ac:dyDescent="0.3">
      <c r="A2507" s="1" t="s">
        <v>2531</v>
      </c>
      <c r="B2507" s="2" t="s">
        <v>12</v>
      </c>
      <c r="C2507" s="2" t="s">
        <v>20</v>
      </c>
      <c r="D2507" s="2">
        <v>34</v>
      </c>
      <c r="E2507" s="2" t="s">
        <v>15</v>
      </c>
      <c r="F2507" s="2" t="s">
        <v>36</v>
      </c>
      <c r="G2507" s="7">
        <v>20.100000000000001</v>
      </c>
      <c r="H2507" s="7">
        <v>682.1</v>
      </c>
      <c r="I2507" s="2" t="s">
        <v>15</v>
      </c>
      <c r="J2507" s="2" t="s">
        <v>16</v>
      </c>
      <c r="K2507" s="2" t="s">
        <v>24</v>
      </c>
      <c r="L2507" s="7">
        <v>682.1</v>
      </c>
      <c r="M2507" s="2" t="str">
        <f>_xlfn.IFS(TelecomData[[#This Row],[TenureMonths]]&lt;=12, "0-1 Year", TelecomData[[#This Row],[TenureMonths]]&lt;=36, "1-3 Years", TelecomData[[#This Row],[TenureMonths]]&gt;36, "3+ Years")</f>
        <v>1-3 Years</v>
      </c>
      <c r="N2507" s="2" t="str">
        <f>IF(TelecomData[[#This Row],[CleanedTotalCharges]]&gt;=2500,"High Spend", "Standard Spend")</f>
        <v>Standard Spend</v>
      </c>
    </row>
    <row r="2508" spans="1:14" x14ac:dyDescent="0.3">
      <c r="A2508" s="1" t="s">
        <v>2532</v>
      </c>
      <c r="B2508" s="2" t="s">
        <v>12</v>
      </c>
      <c r="C2508" s="2" t="s">
        <v>35</v>
      </c>
      <c r="D2508" s="2">
        <v>72</v>
      </c>
      <c r="E2508" s="2" t="s">
        <v>15</v>
      </c>
      <c r="F2508" s="2" t="s">
        <v>36</v>
      </c>
      <c r="G2508" s="7">
        <v>24.3</v>
      </c>
      <c r="H2508" s="7">
        <v>1778.7</v>
      </c>
      <c r="I2508" s="2" t="s">
        <v>15</v>
      </c>
      <c r="J2508" s="2" t="s">
        <v>15</v>
      </c>
      <c r="K2508" s="2" t="s">
        <v>24</v>
      </c>
      <c r="L2508" s="7">
        <v>1778.7</v>
      </c>
      <c r="M2508" s="2" t="str">
        <f>_xlfn.IFS(TelecomData[[#This Row],[TenureMonths]]&lt;=12, "0-1 Year", TelecomData[[#This Row],[TenureMonths]]&lt;=36, "1-3 Years", TelecomData[[#This Row],[TenureMonths]]&gt;36, "3+ Years")</f>
        <v>3+ Years</v>
      </c>
      <c r="N2508" s="2" t="str">
        <f>IF(TelecomData[[#This Row],[CleanedTotalCharges]]&gt;=2500,"High Spend", "Standard Spend")</f>
        <v>Standard Spend</v>
      </c>
    </row>
    <row r="2509" spans="1:14" x14ac:dyDescent="0.3">
      <c r="A2509" s="1" t="s">
        <v>2533</v>
      </c>
      <c r="B2509" s="2" t="s">
        <v>19</v>
      </c>
      <c r="C2509" s="2" t="s">
        <v>35</v>
      </c>
      <c r="D2509" s="2">
        <v>71</v>
      </c>
      <c r="E2509" s="2" t="s">
        <v>15</v>
      </c>
      <c r="F2509" s="2" t="s">
        <v>36</v>
      </c>
      <c r="G2509" s="7">
        <v>24.5</v>
      </c>
      <c r="H2509" s="7">
        <v>1816.2</v>
      </c>
      <c r="I2509" s="2" t="s">
        <v>15</v>
      </c>
      <c r="J2509" s="2" t="s">
        <v>16</v>
      </c>
      <c r="K2509" s="2" t="s">
        <v>17</v>
      </c>
      <c r="L2509" s="7">
        <v>1816.2</v>
      </c>
      <c r="M2509" s="2" t="str">
        <f>_xlfn.IFS(TelecomData[[#This Row],[TenureMonths]]&lt;=12, "0-1 Year", TelecomData[[#This Row],[TenureMonths]]&lt;=36, "1-3 Years", TelecomData[[#This Row],[TenureMonths]]&gt;36, "3+ Years")</f>
        <v>3+ Years</v>
      </c>
      <c r="N2509" s="2" t="str">
        <f>IF(TelecomData[[#This Row],[CleanedTotalCharges]]&gt;=2500,"High Spend", "Standard Spend")</f>
        <v>Standard Spend</v>
      </c>
    </row>
    <row r="2510" spans="1:14" x14ac:dyDescent="0.3">
      <c r="A2510" s="1" t="s">
        <v>2534</v>
      </c>
      <c r="B2510" s="2" t="s">
        <v>12</v>
      </c>
      <c r="C2510" s="2" t="s">
        <v>35</v>
      </c>
      <c r="D2510" s="2">
        <v>64</v>
      </c>
      <c r="E2510" s="2" t="s">
        <v>26</v>
      </c>
      <c r="F2510" s="2" t="s">
        <v>16</v>
      </c>
      <c r="G2510" s="7">
        <v>110.5</v>
      </c>
      <c r="H2510" s="7">
        <v>7069.25</v>
      </c>
      <c r="I2510" s="2" t="s">
        <v>15</v>
      </c>
      <c r="J2510" s="2" t="s">
        <v>16</v>
      </c>
      <c r="K2510" s="2" t="s">
        <v>29</v>
      </c>
      <c r="L2510" s="7">
        <v>7069.25</v>
      </c>
      <c r="M2510" s="2" t="str">
        <f>_xlfn.IFS(TelecomData[[#This Row],[TenureMonths]]&lt;=12, "0-1 Year", TelecomData[[#This Row],[TenureMonths]]&lt;=36, "1-3 Years", TelecomData[[#This Row],[TenureMonths]]&gt;36, "3+ Years")</f>
        <v>3+ Years</v>
      </c>
      <c r="N2510" s="2" t="str">
        <f>IF(TelecomData[[#This Row],[CleanedTotalCharges]]&gt;=2500,"High Spend", "Standard Spend")</f>
        <v>High Spend</v>
      </c>
    </row>
    <row r="2511" spans="1:14" x14ac:dyDescent="0.3">
      <c r="A2511" s="1" t="s">
        <v>2535</v>
      </c>
      <c r="B2511" s="2" t="s">
        <v>12</v>
      </c>
      <c r="C2511" s="2" t="s">
        <v>35</v>
      </c>
      <c r="D2511" s="2">
        <v>72</v>
      </c>
      <c r="E2511" s="2" t="s">
        <v>15</v>
      </c>
      <c r="F2511" s="2" t="s">
        <v>36</v>
      </c>
      <c r="G2511" s="7">
        <v>25.25</v>
      </c>
      <c r="H2511" s="7">
        <v>1841.2</v>
      </c>
      <c r="I2511" s="2" t="s">
        <v>15</v>
      </c>
      <c r="J2511" s="2" t="s">
        <v>16</v>
      </c>
      <c r="K2511" s="2" t="s">
        <v>24</v>
      </c>
      <c r="L2511" s="7">
        <v>1841.2</v>
      </c>
      <c r="M2511" s="2" t="str">
        <f>_xlfn.IFS(TelecomData[[#This Row],[TenureMonths]]&lt;=12, "0-1 Year", TelecomData[[#This Row],[TenureMonths]]&lt;=36, "1-3 Years", TelecomData[[#This Row],[TenureMonths]]&gt;36, "3+ Years")</f>
        <v>3+ Years</v>
      </c>
      <c r="N2511" s="2" t="str">
        <f>IF(TelecomData[[#This Row],[CleanedTotalCharges]]&gt;=2500,"High Spend", "Standard Spend")</f>
        <v>Standard Spend</v>
      </c>
    </row>
    <row r="2512" spans="1:14" x14ac:dyDescent="0.3">
      <c r="A2512" s="1" t="s">
        <v>2536</v>
      </c>
      <c r="B2512" s="2" t="s">
        <v>19</v>
      </c>
      <c r="C2512" s="2" t="s">
        <v>13</v>
      </c>
      <c r="D2512" s="2">
        <v>1</v>
      </c>
      <c r="E2512" s="2" t="s">
        <v>26</v>
      </c>
      <c r="F2512" s="2" t="s">
        <v>15</v>
      </c>
      <c r="G2512" s="7">
        <v>74.25</v>
      </c>
      <c r="H2512" s="7">
        <v>74.25</v>
      </c>
      <c r="I2512" s="2" t="s">
        <v>16</v>
      </c>
      <c r="J2512" s="2" t="s">
        <v>16</v>
      </c>
      <c r="K2512" s="2" t="s">
        <v>21</v>
      </c>
      <c r="L2512" s="7">
        <v>74.25</v>
      </c>
      <c r="M2512" s="2" t="str">
        <f>_xlfn.IFS(TelecomData[[#This Row],[TenureMonths]]&lt;=12, "0-1 Year", TelecomData[[#This Row],[TenureMonths]]&lt;=36, "1-3 Years", TelecomData[[#This Row],[TenureMonths]]&gt;36, "3+ Years")</f>
        <v>0-1 Year</v>
      </c>
      <c r="N2512" s="2" t="str">
        <f>IF(TelecomData[[#This Row],[CleanedTotalCharges]]&gt;=2500,"High Spend", "Standard Spend")</f>
        <v>Standard Spend</v>
      </c>
    </row>
    <row r="2513" spans="1:14" x14ac:dyDescent="0.3">
      <c r="A2513" s="1" t="s">
        <v>2537</v>
      </c>
      <c r="B2513" s="2" t="s">
        <v>19</v>
      </c>
      <c r="C2513" s="2" t="s">
        <v>20</v>
      </c>
      <c r="D2513" s="2">
        <v>29</v>
      </c>
      <c r="E2513" s="2" t="s">
        <v>26</v>
      </c>
      <c r="F2513" s="2" t="s">
        <v>15</v>
      </c>
      <c r="G2513" s="7">
        <v>90.1</v>
      </c>
      <c r="H2513" s="7">
        <v>2656.7</v>
      </c>
      <c r="I2513" s="2" t="s">
        <v>15</v>
      </c>
      <c r="J2513" s="2" t="s">
        <v>15</v>
      </c>
      <c r="K2513" s="2" t="s">
        <v>24</v>
      </c>
      <c r="L2513" s="7">
        <v>2656.7</v>
      </c>
      <c r="M2513" s="2" t="str">
        <f>_xlfn.IFS(TelecomData[[#This Row],[TenureMonths]]&lt;=12, "0-1 Year", TelecomData[[#This Row],[TenureMonths]]&lt;=36, "1-3 Years", TelecomData[[#This Row],[TenureMonths]]&gt;36, "3+ Years")</f>
        <v>1-3 Years</v>
      </c>
      <c r="N2513" s="2" t="str">
        <f>IF(TelecomData[[#This Row],[CleanedTotalCharges]]&gt;=2500,"High Spend", "Standard Spend")</f>
        <v>High Spend</v>
      </c>
    </row>
    <row r="2514" spans="1:14" x14ac:dyDescent="0.3">
      <c r="A2514" s="1" t="s">
        <v>2538</v>
      </c>
      <c r="B2514" s="2" t="s">
        <v>12</v>
      </c>
      <c r="C2514" s="2" t="s">
        <v>20</v>
      </c>
      <c r="D2514" s="2">
        <v>23</v>
      </c>
      <c r="E2514" s="2" t="s">
        <v>14</v>
      </c>
      <c r="F2514" s="2" t="s">
        <v>16</v>
      </c>
      <c r="G2514" s="7">
        <v>68.75</v>
      </c>
      <c r="H2514" s="7">
        <v>1689.45</v>
      </c>
      <c r="I2514" s="2" t="s">
        <v>15</v>
      </c>
      <c r="J2514" s="2" t="s">
        <v>16</v>
      </c>
      <c r="K2514" s="2" t="s">
        <v>24</v>
      </c>
      <c r="L2514" s="7">
        <v>1689.45</v>
      </c>
      <c r="M2514" s="2" t="str">
        <f>_xlfn.IFS(TelecomData[[#This Row],[TenureMonths]]&lt;=12, "0-1 Year", TelecomData[[#This Row],[TenureMonths]]&lt;=36, "1-3 Years", TelecomData[[#This Row],[TenureMonths]]&gt;36, "3+ Years")</f>
        <v>1-3 Years</v>
      </c>
      <c r="N2514" s="2" t="str">
        <f>IF(TelecomData[[#This Row],[CleanedTotalCharges]]&gt;=2500,"High Spend", "Standard Spend")</f>
        <v>Standard Spend</v>
      </c>
    </row>
    <row r="2515" spans="1:14" x14ac:dyDescent="0.3">
      <c r="A2515" s="1" t="s">
        <v>2539</v>
      </c>
      <c r="B2515" s="2" t="s">
        <v>19</v>
      </c>
      <c r="C2515" s="2" t="s">
        <v>35</v>
      </c>
      <c r="D2515" s="2">
        <v>52</v>
      </c>
      <c r="E2515" s="2" t="s">
        <v>15</v>
      </c>
      <c r="F2515" s="2" t="s">
        <v>36</v>
      </c>
      <c r="G2515" s="7">
        <v>19.2</v>
      </c>
      <c r="H2515" s="7">
        <v>1054.75</v>
      </c>
      <c r="I2515" s="2" t="s">
        <v>15</v>
      </c>
      <c r="J2515" s="2" t="s">
        <v>15</v>
      </c>
      <c r="K2515" s="2" t="s">
        <v>21</v>
      </c>
      <c r="L2515" s="7">
        <v>1054.75</v>
      </c>
      <c r="M2515" s="2" t="str">
        <f>_xlfn.IFS(TelecomData[[#This Row],[TenureMonths]]&lt;=12, "0-1 Year", TelecomData[[#This Row],[TenureMonths]]&lt;=36, "1-3 Years", TelecomData[[#This Row],[TenureMonths]]&gt;36, "3+ Years")</f>
        <v>3+ Years</v>
      </c>
      <c r="N2515" s="2" t="str">
        <f>IF(TelecomData[[#This Row],[CleanedTotalCharges]]&gt;=2500,"High Spend", "Standard Spend")</f>
        <v>Standard Spend</v>
      </c>
    </row>
    <row r="2516" spans="1:14" x14ac:dyDescent="0.3">
      <c r="A2516" s="1" t="s">
        <v>2540</v>
      </c>
      <c r="B2516" s="2" t="s">
        <v>12</v>
      </c>
      <c r="C2516" s="2" t="s">
        <v>13</v>
      </c>
      <c r="D2516" s="2">
        <v>25</v>
      </c>
      <c r="E2516" s="2" t="s">
        <v>26</v>
      </c>
      <c r="F2516" s="2" t="s">
        <v>15</v>
      </c>
      <c r="G2516" s="7">
        <v>89.7</v>
      </c>
      <c r="H2516" s="7">
        <v>2187.5500000000002</v>
      </c>
      <c r="I2516" s="2" t="s">
        <v>16</v>
      </c>
      <c r="J2516" s="2" t="s">
        <v>16</v>
      </c>
      <c r="K2516" s="2" t="s">
        <v>17</v>
      </c>
      <c r="L2516" s="7">
        <v>2187.5500000000002</v>
      </c>
      <c r="M2516" s="2" t="str">
        <f>_xlfn.IFS(TelecomData[[#This Row],[TenureMonths]]&lt;=12, "0-1 Year", TelecomData[[#This Row],[TenureMonths]]&lt;=36, "1-3 Years", TelecomData[[#This Row],[TenureMonths]]&gt;36, "3+ Years")</f>
        <v>1-3 Years</v>
      </c>
      <c r="N2516" s="2" t="str">
        <f>IF(TelecomData[[#This Row],[CleanedTotalCharges]]&gt;=2500,"High Spend", "Standard Spend")</f>
        <v>Standard Spend</v>
      </c>
    </row>
    <row r="2517" spans="1:14" x14ac:dyDescent="0.3">
      <c r="A2517" s="1" t="s">
        <v>2541</v>
      </c>
      <c r="B2517" s="2" t="s">
        <v>12</v>
      </c>
      <c r="C2517" s="2" t="s">
        <v>35</v>
      </c>
      <c r="D2517" s="2">
        <v>64</v>
      </c>
      <c r="E2517" s="2" t="s">
        <v>26</v>
      </c>
      <c r="F2517" s="2" t="s">
        <v>16</v>
      </c>
      <c r="G2517" s="7">
        <v>115.1</v>
      </c>
      <c r="H2517" s="7">
        <v>7334.05</v>
      </c>
      <c r="I2517" s="2" t="s">
        <v>15</v>
      </c>
      <c r="J2517" s="2" t="s">
        <v>16</v>
      </c>
      <c r="K2517" s="2" t="s">
        <v>24</v>
      </c>
      <c r="L2517" s="7">
        <v>7334.05</v>
      </c>
      <c r="M2517" s="2" t="str">
        <f>_xlfn.IFS(TelecomData[[#This Row],[TenureMonths]]&lt;=12, "0-1 Year", TelecomData[[#This Row],[TenureMonths]]&lt;=36, "1-3 Years", TelecomData[[#This Row],[TenureMonths]]&gt;36, "3+ Years")</f>
        <v>3+ Years</v>
      </c>
      <c r="N2517" s="2" t="str">
        <f>IF(TelecomData[[#This Row],[CleanedTotalCharges]]&gt;=2500,"High Spend", "Standard Spend")</f>
        <v>High Spend</v>
      </c>
    </row>
    <row r="2518" spans="1:14" x14ac:dyDescent="0.3">
      <c r="A2518" s="1" t="s">
        <v>2542</v>
      </c>
      <c r="B2518" s="2" t="s">
        <v>12</v>
      </c>
      <c r="C2518" s="2" t="s">
        <v>13</v>
      </c>
      <c r="D2518" s="2">
        <v>16</v>
      </c>
      <c r="E2518" s="2" t="s">
        <v>26</v>
      </c>
      <c r="F2518" s="2" t="s">
        <v>15</v>
      </c>
      <c r="G2518" s="7">
        <v>96.4</v>
      </c>
      <c r="H2518" s="7">
        <v>1581.2</v>
      </c>
      <c r="I2518" s="2" t="s">
        <v>16</v>
      </c>
      <c r="J2518" s="2" t="s">
        <v>16</v>
      </c>
      <c r="K2518" s="2" t="s">
        <v>17</v>
      </c>
      <c r="L2518" s="7">
        <v>1581.2</v>
      </c>
      <c r="M2518" s="2" t="str">
        <f>_xlfn.IFS(TelecomData[[#This Row],[TenureMonths]]&lt;=12, "0-1 Year", TelecomData[[#This Row],[TenureMonths]]&lt;=36, "1-3 Years", TelecomData[[#This Row],[TenureMonths]]&gt;36, "3+ Years")</f>
        <v>1-3 Years</v>
      </c>
      <c r="N2518" s="2" t="str">
        <f>IF(TelecomData[[#This Row],[CleanedTotalCharges]]&gt;=2500,"High Spend", "Standard Spend")</f>
        <v>Standard Spend</v>
      </c>
    </row>
    <row r="2519" spans="1:14" x14ac:dyDescent="0.3">
      <c r="A2519" s="1" t="s">
        <v>2543</v>
      </c>
      <c r="B2519" s="2" t="s">
        <v>19</v>
      </c>
      <c r="C2519" s="2" t="s">
        <v>13</v>
      </c>
      <c r="D2519" s="2">
        <v>1</v>
      </c>
      <c r="E2519" s="2" t="s">
        <v>26</v>
      </c>
      <c r="F2519" s="2" t="s">
        <v>15</v>
      </c>
      <c r="G2519" s="7">
        <v>69.5</v>
      </c>
      <c r="H2519" s="7">
        <v>69.5</v>
      </c>
      <c r="I2519" s="2" t="s">
        <v>16</v>
      </c>
      <c r="J2519" s="2" t="s">
        <v>16</v>
      </c>
      <c r="K2519" s="2" t="s">
        <v>24</v>
      </c>
      <c r="L2519" s="7">
        <v>69.5</v>
      </c>
      <c r="M2519" s="2" t="str">
        <f>_xlfn.IFS(TelecomData[[#This Row],[TenureMonths]]&lt;=12, "0-1 Year", TelecomData[[#This Row],[TenureMonths]]&lt;=36, "1-3 Years", TelecomData[[#This Row],[TenureMonths]]&gt;36, "3+ Years")</f>
        <v>0-1 Year</v>
      </c>
      <c r="N2519" s="2" t="str">
        <f>IF(TelecomData[[#This Row],[CleanedTotalCharges]]&gt;=2500,"High Spend", "Standard Spend")</f>
        <v>Standard Spend</v>
      </c>
    </row>
    <row r="2520" spans="1:14" x14ac:dyDescent="0.3">
      <c r="A2520" s="1" t="s">
        <v>2544</v>
      </c>
      <c r="B2520" s="2" t="s">
        <v>19</v>
      </c>
      <c r="C2520" s="2" t="s">
        <v>13</v>
      </c>
      <c r="D2520" s="2">
        <v>24</v>
      </c>
      <c r="E2520" s="2" t="s">
        <v>26</v>
      </c>
      <c r="F2520" s="2" t="s">
        <v>15</v>
      </c>
      <c r="G2520" s="7">
        <v>99.65</v>
      </c>
      <c r="H2520" s="7">
        <v>2404.85</v>
      </c>
      <c r="I2520" s="2" t="s">
        <v>15</v>
      </c>
      <c r="J2520" s="2" t="s">
        <v>16</v>
      </c>
      <c r="K2520" s="2" t="s">
        <v>24</v>
      </c>
      <c r="L2520" s="7">
        <v>2404.85</v>
      </c>
      <c r="M2520" s="2" t="str">
        <f>_xlfn.IFS(TelecomData[[#This Row],[TenureMonths]]&lt;=12, "0-1 Year", TelecomData[[#This Row],[TenureMonths]]&lt;=36, "1-3 Years", TelecomData[[#This Row],[TenureMonths]]&gt;36, "3+ Years")</f>
        <v>1-3 Years</v>
      </c>
      <c r="N2520" s="2" t="str">
        <f>IF(TelecomData[[#This Row],[CleanedTotalCharges]]&gt;=2500,"High Spend", "Standard Spend")</f>
        <v>Standard Spend</v>
      </c>
    </row>
    <row r="2521" spans="1:14" x14ac:dyDescent="0.3">
      <c r="A2521" s="1" t="s">
        <v>2545</v>
      </c>
      <c r="B2521" s="2" t="s">
        <v>19</v>
      </c>
      <c r="C2521" s="2" t="s">
        <v>13</v>
      </c>
      <c r="D2521" s="2">
        <v>2</v>
      </c>
      <c r="E2521" s="2" t="s">
        <v>26</v>
      </c>
      <c r="F2521" s="2" t="s">
        <v>15</v>
      </c>
      <c r="G2521" s="7">
        <v>91.45</v>
      </c>
      <c r="H2521" s="7">
        <v>171.45</v>
      </c>
      <c r="I2521" s="2" t="s">
        <v>15</v>
      </c>
      <c r="J2521" s="2" t="s">
        <v>16</v>
      </c>
      <c r="K2521" s="2" t="s">
        <v>17</v>
      </c>
      <c r="L2521" s="7">
        <v>171.45</v>
      </c>
      <c r="M2521" s="2" t="str">
        <f>_xlfn.IFS(TelecomData[[#This Row],[TenureMonths]]&lt;=12, "0-1 Year", TelecomData[[#This Row],[TenureMonths]]&lt;=36, "1-3 Years", TelecomData[[#This Row],[TenureMonths]]&gt;36, "3+ Years")</f>
        <v>0-1 Year</v>
      </c>
      <c r="N2521" s="2" t="str">
        <f>IF(TelecomData[[#This Row],[CleanedTotalCharges]]&gt;=2500,"High Spend", "Standard Spend")</f>
        <v>Standard Spend</v>
      </c>
    </row>
    <row r="2522" spans="1:14" x14ac:dyDescent="0.3">
      <c r="A2522" s="1" t="s">
        <v>2546</v>
      </c>
      <c r="B2522" s="2" t="s">
        <v>12</v>
      </c>
      <c r="C2522" s="2" t="s">
        <v>35</v>
      </c>
      <c r="D2522" s="2">
        <v>34</v>
      </c>
      <c r="E2522" s="2" t="s">
        <v>14</v>
      </c>
      <c r="F2522" s="2" t="s">
        <v>16</v>
      </c>
      <c r="G2522" s="7">
        <v>84.75</v>
      </c>
      <c r="H2522" s="7">
        <v>2839.45</v>
      </c>
      <c r="I2522" s="2" t="s">
        <v>15</v>
      </c>
      <c r="J2522" s="2" t="s">
        <v>15</v>
      </c>
      <c r="K2522" s="2" t="s">
        <v>21</v>
      </c>
      <c r="L2522" s="7">
        <v>2839.45</v>
      </c>
      <c r="M2522" s="2" t="str">
        <f>_xlfn.IFS(TelecomData[[#This Row],[TenureMonths]]&lt;=12, "0-1 Year", TelecomData[[#This Row],[TenureMonths]]&lt;=36, "1-3 Years", TelecomData[[#This Row],[TenureMonths]]&gt;36, "3+ Years")</f>
        <v>1-3 Years</v>
      </c>
      <c r="N2522" s="2" t="str">
        <f>IF(TelecomData[[#This Row],[CleanedTotalCharges]]&gt;=2500,"High Spend", "Standard Spend")</f>
        <v>High Spend</v>
      </c>
    </row>
    <row r="2523" spans="1:14" x14ac:dyDescent="0.3">
      <c r="A2523" s="1" t="s">
        <v>2547</v>
      </c>
      <c r="B2523" s="2" t="s">
        <v>19</v>
      </c>
      <c r="C2523" s="2" t="s">
        <v>13</v>
      </c>
      <c r="D2523" s="2">
        <v>36</v>
      </c>
      <c r="E2523" s="2" t="s">
        <v>26</v>
      </c>
      <c r="F2523" s="2" t="s">
        <v>15</v>
      </c>
      <c r="G2523" s="7">
        <v>85.25</v>
      </c>
      <c r="H2523" s="7">
        <v>3132.75</v>
      </c>
      <c r="I2523" s="2" t="s">
        <v>16</v>
      </c>
      <c r="J2523" s="2" t="s">
        <v>16</v>
      </c>
      <c r="K2523" s="2" t="s">
        <v>29</v>
      </c>
      <c r="L2523" s="7">
        <v>3132.75</v>
      </c>
      <c r="M2523" s="2" t="str">
        <f>_xlfn.IFS(TelecomData[[#This Row],[TenureMonths]]&lt;=12, "0-1 Year", TelecomData[[#This Row],[TenureMonths]]&lt;=36, "1-3 Years", TelecomData[[#This Row],[TenureMonths]]&gt;36, "3+ Years")</f>
        <v>1-3 Years</v>
      </c>
      <c r="N2523" s="2" t="str">
        <f>IF(TelecomData[[#This Row],[CleanedTotalCharges]]&gt;=2500,"High Spend", "Standard Spend")</f>
        <v>High Spend</v>
      </c>
    </row>
    <row r="2524" spans="1:14" x14ac:dyDescent="0.3">
      <c r="A2524" s="1" t="s">
        <v>2548</v>
      </c>
      <c r="B2524" s="2" t="s">
        <v>19</v>
      </c>
      <c r="C2524" s="2" t="s">
        <v>20</v>
      </c>
      <c r="D2524" s="2">
        <v>53</v>
      </c>
      <c r="E2524" s="2" t="s">
        <v>14</v>
      </c>
      <c r="F2524" s="2" t="s">
        <v>16</v>
      </c>
      <c r="G2524" s="7">
        <v>78.75</v>
      </c>
      <c r="H2524" s="7">
        <v>3942.45</v>
      </c>
      <c r="I2524" s="2" t="s">
        <v>15</v>
      </c>
      <c r="J2524" s="2" t="s">
        <v>16</v>
      </c>
      <c r="K2524" s="2" t="s">
        <v>21</v>
      </c>
      <c r="L2524" s="7">
        <v>3942.45</v>
      </c>
      <c r="M2524" s="2" t="str">
        <f>_xlfn.IFS(TelecomData[[#This Row],[TenureMonths]]&lt;=12, "0-1 Year", TelecomData[[#This Row],[TenureMonths]]&lt;=36, "1-3 Years", TelecomData[[#This Row],[TenureMonths]]&gt;36, "3+ Years")</f>
        <v>3+ Years</v>
      </c>
      <c r="N2524" s="2" t="str">
        <f>IF(TelecomData[[#This Row],[CleanedTotalCharges]]&gt;=2500,"High Spend", "Standard Spend")</f>
        <v>High Spend</v>
      </c>
    </row>
    <row r="2525" spans="1:14" x14ac:dyDescent="0.3">
      <c r="A2525" s="1" t="s">
        <v>2549</v>
      </c>
      <c r="B2525" s="2" t="s">
        <v>12</v>
      </c>
      <c r="C2525" s="2" t="s">
        <v>35</v>
      </c>
      <c r="D2525" s="2">
        <v>47</v>
      </c>
      <c r="E2525" s="2" t="s">
        <v>15</v>
      </c>
      <c r="F2525" s="2" t="s">
        <v>36</v>
      </c>
      <c r="G2525" s="7">
        <v>20.25</v>
      </c>
      <c r="H2525" s="7">
        <v>873.4</v>
      </c>
      <c r="I2525" s="2" t="s">
        <v>15</v>
      </c>
      <c r="J2525" s="2" t="s">
        <v>15</v>
      </c>
      <c r="K2525" s="2" t="s">
        <v>29</v>
      </c>
      <c r="L2525" s="7">
        <v>873.4</v>
      </c>
      <c r="M2525" s="2" t="str">
        <f>_xlfn.IFS(TelecomData[[#This Row],[TenureMonths]]&lt;=12, "0-1 Year", TelecomData[[#This Row],[TenureMonths]]&lt;=36, "1-3 Years", TelecomData[[#This Row],[TenureMonths]]&gt;36, "3+ Years")</f>
        <v>3+ Years</v>
      </c>
      <c r="N2525" s="2" t="str">
        <f>IF(TelecomData[[#This Row],[CleanedTotalCharges]]&gt;=2500,"High Spend", "Standard Spend")</f>
        <v>Standard Spend</v>
      </c>
    </row>
    <row r="2526" spans="1:14" x14ac:dyDescent="0.3">
      <c r="A2526" s="1" t="s">
        <v>2550</v>
      </c>
      <c r="B2526" s="2" t="s">
        <v>19</v>
      </c>
      <c r="C2526" s="2" t="s">
        <v>35</v>
      </c>
      <c r="D2526" s="2">
        <v>72</v>
      </c>
      <c r="E2526" s="2" t="s">
        <v>15</v>
      </c>
      <c r="F2526" s="2" t="s">
        <v>36</v>
      </c>
      <c r="G2526" s="7">
        <v>19.899999999999999</v>
      </c>
      <c r="H2526" s="7">
        <v>1529.65</v>
      </c>
      <c r="I2526" s="2" t="s">
        <v>15</v>
      </c>
      <c r="J2526" s="2" t="s">
        <v>15</v>
      </c>
      <c r="K2526" s="2" t="s">
        <v>29</v>
      </c>
      <c r="L2526" s="7">
        <v>1529.65</v>
      </c>
      <c r="M2526" s="2" t="str">
        <f>_xlfn.IFS(TelecomData[[#This Row],[TenureMonths]]&lt;=12, "0-1 Year", TelecomData[[#This Row],[TenureMonths]]&lt;=36, "1-3 Years", TelecomData[[#This Row],[TenureMonths]]&gt;36, "3+ Years")</f>
        <v>3+ Years</v>
      </c>
      <c r="N2526" s="2" t="str">
        <f>IF(TelecomData[[#This Row],[CleanedTotalCharges]]&gt;=2500,"High Spend", "Standard Spend")</f>
        <v>Standard Spend</v>
      </c>
    </row>
    <row r="2527" spans="1:14" x14ac:dyDescent="0.3">
      <c r="A2527" s="1" t="s">
        <v>2551</v>
      </c>
      <c r="B2527" s="2" t="s">
        <v>19</v>
      </c>
      <c r="C2527" s="2" t="s">
        <v>35</v>
      </c>
      <c r="D2527" s="2">
        <v>72</v>
      </c>
      <c r="E2527" s="2" t="s">
        <v>26</v>
      </c>
      <c r="F2527" s="2" t="s">
        <v>16</v>
      </c>
      <c r="G2527" s="7">
        <v>97.75</v>
      </c>
      <c r="H2527" s="7">
        <v>6991.6</v>
      </c>
      <c r="I2527" s="2" t="s">
        <v>15</v>
      </c>
      <c r="J2527" s="2" t="s">
        <v>16</v>
      </c>
      <c r="K2527" s="2" t="s">
        <v>29</v>
      </c>
      <c r="L2527" s="7">
        <v>6991.6</v>
      </c>
      <c r="M2527" s="2" t="str">
        <f>_xlfn.IFS(TelecomData[[#This Row],[TenureMonths]]&lt;=12, "0-1 Year", TelecomData[[#This Row],[TenureMonths]]&lt;=36, "1-3 Years", TelecomData[[#This Row],[TenureMonths]]&gt;36, "3+ Years")</f>
        <v>3+ Years</v>
      </c>
      <c r="N2527" s="2" t="str">
        <f>IF(TelecomData[[#This Row],[CleanedTotalCharges]]&gt;=2500,"High Spend", "Standard Spend")</f>
        <v>High Spend</v>
      </c>
    </row>
    <row r="2528" spans="1:14" x14ac:dyDescent="0.3">
      <c r="A2528" s="1" t="s">
        <v>2552</v>
      </c>
      <c r="B2528" s="2" t="s">
        <v>19</v>
      </c>
      <c r="C2528" s="2" t="s">
        <v>13</v>
      </c>
      <c r="D2528" s="2">
        <v>1</v>
      </c>
      <c r="E2528" s="2" t="s">
        <v>15</v>
      </c>
      <c r="F2528" s="2" t="s">
        <v>36</v>
      </c>
      <c r="G2528" s="7">
        <v>19.399999999999999</v>
      </c>
      <c r="H2528" s="7">
        <v>19.399999999999999</v>
      </c>
      <c r="I2528" s="2" t="s">
        <v>16</v>
      </c>
      <c r="J2528" s="2" t="s">
        <v>15</v>
      </c>
      <c r="K2528" s="2" t="s">
        <v>21</v>
      </c>
      <c r="L2528" s="7">
        <v>19.399999999999999</v>
      </c>
      <c r="M2528" s="2" t="str">
        <f>_xlfn.IFS(TelecomData[[#This Row],[TenureMonths]]&lt;=12, "0-1 Year", TelecomData[[#This Row],[TenureMonths]]&lt;=36, "1-3 Years", TelecomData[[#This Row],[TenureMonths]]&gt;36, "3+ Years")</f>
        <v>0-1 Year</v>
      </c>
      <c r="N2528" s="2" t="str">
        <f>IF(TelecomData[[#This Row],[CleanedTotalCharges]]&gt;=2500,"High Spend", "Standard Spend")</f>
        <v>Standard Spend</v>
      </c>
    </row>
    <row r="2529" spans="1:14" x14ac:dyDescent="0.3">
      <c r="A2529" s="1" t="s">
        <v>2553</v>
      </c>
      <c r="B2529" s="2" t="s">
        <v>12</v>
      </c>
      <c r="C2529" s="2" t="s">
        <v>13</v>
      </c>
      <c r="D2529" s="2">
        <v>9</v>
      </c>
      <c r="E2529" s="2" t="s">
        <v>26</v>
      </c>
      <c r="F2529" s="2" t="s">
        <v>15</v>
      </c>
      <c r="G2529" s="7">
        <v>83.3</v>
      </c>
      <c r="H2529" s="7">
        <v>803.3</v>
      </c>
      <c r="I2529" s="2" t="s">
        <v>16</v>
      </c>
      <c r="J2529" s="2" t="s">
        <v>16</v>
      </c>
      <c r="K2529" s="2" t="s">
        <v>17</v>
      </c>
      <c r="L2529" s="7">
        <v>803.3</v>
      </c>
      <c r="M2529" s="2" t="str">
        <f>_xlfn.IFS(TelecomData[[#This Row],[TenureMonths]]&lt;=12, "0-1 Year", TelecomData[[#This Row],[TenureMonths]]&lt;=36, "1-3 Years", TelecomData[[#This Row],[TenureMonths]]&gt;36, "3+ Years")</f>
        <v>0-1 Year</v>
      </c>
      <c r="N2529" s="2" t="str">
        <f>IF(TelecomData[[#This Row],[CleanedTotalCharges]]&gt;=2500,"High Spend", "Standard Spend")</f>
        <v>Standard Spend</v>
      </c>
    </row>
    <row r="2530" spans="1:14" x14ac:dyDescent="0.3">
      <c r="A2530" s="1" t="s">
        <v>2554</v>
      </c>
      <c r="B2530" s="2" t="s">
        <v>12</v>
      </c>
      <c r="C2530" s="2" t="s">
        <v>13</v>
      </c>
      <c r="D2530" s="2">
        <v>8</v>
      </c>
      <c r="E2530" s="2" t="s">
        <v>26</v>
      </c>
      <c r="F2530" s="2" t="s">
        <v>15</v>
      </c>
      <c r="G2530" s="7">
        <v>80.099999999999994</v>
      </c>
      <c r="H2530" s="7">
        <v>679.3</v>
      </c>
      <c r="I2530" s="2" t="s">
        <v>16</v>
      </c>
      <c r="J2530" s="2" t="s">
        <v>16</v>
      </c>
      <c r="K2530" s="2" t="s">
        <v>24</v>
      </c>
      <c r="L2530" s="7">
        <v>679.3</v>
      </c>
      <c r="M2530" s="2" t="str">
        <f>_xlfn.IFS(TelecomData[[#This Row],[TenureMonths]]&lt;=12, "0-1 Year", TelecomData[[#This Row],[TenureMonths]]&lt;=36, "1-3 Years", TelecomData[[#This Row],[TenureMonths]]&gt;36, "3+ Years")</f>
        <v>0-1 Year</v>
      </c>
      <c r="N2530" s="2" t="str">
        <f>IF(TelecomData[[#This Row],[CleanedTotalCharges]]&gt;=2500,"High Spend", "Standard Spend")</f>
        <v>Standard Spend</v>
      </c>
    </row>
    <row r="2531" spans="1:14" x14ac:dyDescent="0.3">
      <c r="A2531" s="1" t="s">
        <v>2555</v>
      </c>
      <c r="B2531" s="2" t="s">
        <v>19</v>
      </c>
      <c r="C2531" s="2" t="s">
        <v>20</v>
      </c>
      <c r="D2531" s="2">
        <v>45</v>
      </c>
      <c r="E2531" s="2" t="s">
        <v>14</v>
      </c>
      <c r="F2531" s="2" t="s">
        <v>15</v>
      </c>
      <c r="G2531" s="7">
        <v>62.7</v>
      </c>
      <c r="H2531" s="7">
        <v>2791.5</v>
      </c>
      <c r="I2531" s="2" t="s">
        <v>16</v>
      </c>
      <c r="J2531" s="2" t="s">
        <v>15</v>
      </c>
      <c r="K2531" s="2" t="s">
        <v>29</v>
      </c>
      <c r="L2531" s="7">
        <v>2791.5</v>
      </c>
      <c r="M2531" s="2" t="str">
        <f>_xlfn.IFS(TelecomData[[#This Row],[TenureMonths]]&lt;=12, "0-1 Year", TelecomData[[#This Row],[TenureMonths]]&lt;=36, "1-3 Years", TelecomData[[#This Row],[TenureMonths]]&gt;36, "3+ Years")</f>
        <v>3+ Years</v>
      </c>
      <c r="N2531" s="2" t="str">
        <f>IF(TelecomData[[#This Row],[CleanedTotalCharges]]&gt;=2500,"High Spend", "Standard Spend")</f>
        <v>High Spend</v>
      </c>
    </row>
    <row r="2532" spans="1:14" x14ac:dyDescent="0.3">
      <c r="A2532" s="1" t="s">
        <v>2556</v>
      </c>
      <c r="B2532" s="2" t="s">
        <v>12</v>
      </c>
      <c r="C2532" s="2" t="s">
        <v>13</v>
      </c>
      <c r="D2532" s="2">
        <v>7</v>
      </c>
      <c r="E2532" s="2" t="s">
        <v>26</v>
      </c>
      <c r="F2532" s="2" t="s">
        <v>16</v>
      </c>
      <c r="G2532" s="7">
        <v>100.4</v>
      </c>
      <c r="H2532" s="7">
        <v>715</v>
      </c>
      <c r="I2532" s="2" t="s">
        <v>15</v>
      </c>
      <c r="J2532" s="2" t="s">
        <v>16</v>
      </c>
      <c r="K2532" s="2" t="s">
        <v>17</v>
      </c>
      <c r="L2532" s="7">
        <v>715</v>
      </c>
      <c r="M2532" s="2" t="str">
        <f>_xlfn.IFS(TelecomData[[#This Row],[TenureMonths]]&lt;=12, "0-1 Year", TelecomData[[#This Row],[TenureMonths]]&lt;=36, "1-3 Years", TelecomData[[#This Row],[TenureMonths]]&gt;36, "3+ Years")</f>
        <v>0-1 Year</v>
      </c>
      <c r="N2532" s="2" t="str">
        <f>IF(TelecomData[[#This Row],[CleanedTotalCharges]]&gt;=2500,"High Spend", "Standard Spend")</f>
        <v>Standard Spend</v>
      </c>
    </row>
    <row r="2533" spans="1:14" x14ac:dyDescent="0.3">
      <c r="A2533" s="1" t="s">
        <v>2557</v>
      </c>
      <c r="B2533" s="2" t="s">
        <v>12</v>
      </c>
      <c r="C2533" s="2" t="s">
        <v>35</v>
      </c>
      <c r="D2533" s="2">
        <v>71</v>
      </c>
      <c r="E2533" s="2" t="s">
        <v>15</v>
      </c>
      <c r="F2533" s="2" t="s">
        <v>36</v>
      </c>
      <c r="G2533" s="7">
        <v>24.45</v>
      </c>
      <c r="H2533" s="7">
        <v>1681.6</v>
      </c>
      <c r="I2533" s="2" t="s">
        <v>15</v>
      </c>
      <c r="J2533" s="2" t="s">
        <v>16</v>
      </c>
      <c r="K2533" s="2" t="s">
        <v>29</v>
      </c>
      <c r="L2533" s="7">
        <v>1681.6</v>
      </c>
      <c r="M2533" s="2" t="str">
        <f>_xlfn.IFS(TelecomData[[#This Row],[TenureMonths]]&lt;=12, "0-1 Year", TelecomData[[#This Row],[TenureMonths]]&lt;=36, "1-3 Years", TelecomData[[#This Row],[TenureMonths]]&gt;36, "3+ Years")</f>
        <v>3+ Years</v>
      </c>
      <c r="N2533" s="2" t="str">
        <f>IF(TelecomData[[#This Row],[CleanedTotalCharges]]&gt;=2500,"High Spend", "Standard Spend")</f>
        <v>Standard Spend</v>
      </c>
    </row>
    <row r="2534" spans="1:14" x14ac:dyDescent="0.3">
      <c r="A2534" s="1" t="s">
        <v>2558</v>
      </c>
      <c r="B2534" s="2" t="s">
        <v>12</v>
      </c>
      <c r="C2534" s="2" t="s">
        <v>20</v>
      </c>
      <c r="D2534" s="2">
        <v>41</v>
      </c>
      <c r="E2534" s="2" t="s">
        <v>26</v>
      </c>
      <c r="F2534" s="2" t="s">
        <v>16</v>
      </c>
      <c r="G2534" s="7">
        <v>101.1</v>
      </c>
      <c r="H2534" s="7">
        <v>4016.2</v>
      </c>
      <c r="I2534" s="2" t="s">
        <v>15</v>
      </c>
      <c r="J2534" s="2" t="s">
        <v>16</v>
      </c>
      <c r="K2534" s="2" t="s">
        <v>24</v>
      </c>
      <c r="L2534" s="7">
        <v>4016.2</v>
      </c>
      <c r="M2534" s="2" t="str">
        <f>_xlfn.IFS(TelecomData[[#This Row],[TenureMonths]]&lt;=12, "0-1 Year", TelecomData[[#This Row],[TenureMonths]]&lt;=36, "1-3 Years", TelecomData[[#This Row],[TenureMonths]]&gt;36, "3+ Years")</f>
        <v>3+ Years</v>
      </c>
      <c r="N2534" s="2" t="str">
        <f>IF(TelecomData[[#This Row],[CleanedTotalCharges]]&gt;=2500,"High Spend", "Standard Spend")</f>
        <v>High Spend</v>
      </c>
    </row>
    <row r="2535" spans="1:14" x14ac:dyDescent="0.3">
      <c r="A2535" s="1" t="s">
        <v>2559</v>
      </c>
      <c r="B2535" s="2" t="s">
        <v>19</v>
      </c>
      <c r="C2535" s="2" t="s">
        <v>35</v>
      </c>
      <c r="D2535" s="2">
        <v>67</v>
      </c>
      <c r="E2535" s="2" t="s">
        <v>14</v>
      </c>
      <c r="F2535" s="2" t="s">
        <v>15</v>
      </c>
      <c r="G2535" s="7">
        <v>50.9</v>
      </c>
      <c r="H2535" s="7">
        <v>3281.65</v>
      </c>
      <c r="I2535" s="2" t="s">
        <v>15</v>
      </c>
      <c r="J2535" s="2" t="s">
        <v>15</v>
      </c>
      <c r="K2535" s="2" t="s">
        <v>29</v>
      </c>
      <c r="L2535" s="7">
        <v>3281.65</v>
      </c>
      <c r="M2535" s="2" t="str">
        <f>_xlfn.IFS(TelecomData[[#This Row],[TenureMonths]]&lt;=12, "0-1 Year", TelecomData[[#This Row],[TenureMonths]]&lt;=36, "1-3 Years", TelecomData[[#This Row],[TenureMonths]]&gt;36, "3+ Years")</f>
        <v>3+ Years</v>
      </c>
      <c r="N2535" s="2" t="str">
        <f>IF(TelecomData[[#This Row],[CleanedTotalCharges]]&gt;=2500,"High Spend", "Standard Spend")</f>
        <v>High Spend</v>
      </c>
    </row>
    <row r="2536" spans="1:14" x14ac:dyDescent="0.3">
      <c r="A2536" s="1" t="s">
        <v>2560</v>
      </c>
      <c r="B2536" s="2" t="s">
        <v>19</v>
      </c>
      <c r="C2536" s="2" t="s">
        <v>20</v>
      </c>
      <c r="D2536" s="2">
        <v>69</v>
      </c>
      <c r="E2536" s="2" t="s">
        <v>26</v>
      </c>
      <c r="F2536" s="2" t="s">
        <v>16</v>
      </c>
      <c r="G2536" s="7">
        <v>107.2</v>
      </c>
      <c r="H2536" s="7">
        <v>7317.1</v>
      </c>
      <c r="I2536" s="2" t="s">
        <v>15</v>
      </c>
      <c r="J2536" s="2" t="s">
        <v>16</v>
      </c>
      <c r="K2536" s="2" t="s">
        <v>29</v>
      </c>
      <c r="L2536" s="7">
        <v>7317.1</v>
      </c>
      <c r="M2536" s="2" t="str">
        <f>_xlfn.IFS(TelecomData[[#This Row],[TenureMonths]]&lt;=12, "0-1 Year", TelecomData[[#This Row],[TenureMonths]]&lt;=36, "1-3 Years", TelecomData[[#This Row],[TenureMonths]]&gt;36, "3+ Years")</f>
        <v>3+ Years</v>
      </c>
      <c r="N2536" s="2" t="str">
        <f>IF(TelecomData[[#This Row],[CleanedTotalCharges]]&gt;=2500,"High Spend", "Standard Spend")</f>
        <v>High Spend</v>
      </c>
    </row>
    <row r="2537" spans="1:14" x14ac:dyDescent="0.3">
      <c r="A2537" s="1" t="s">
        <v>2561</v>
      </c>
      <c r="B2537" s="2" t="s">
        <v>12</v>
      </c>
      <c r="C2537" s="2" t="s">
        <v>35</v>
      </c>
      <c r="D2537" s="2">
        <v>70</v>
      </c>
      <c r="E2537" s="2" t="s">
        <v>14</v>
      </c>
      <c r="F2537" s="2" t="s">
        <v>16</v>
      </c>
      <c r="G2537" s="7">
        <v>92.2</v>
      </c>
      <c r="H2537" s="7">
        <v>6474.45</v>
      </c>
      <c r="I2537" s="2" t="s">
        <v>15</v>
      </c>
      <c r="J2537" s="2" t="s">
        <v>16</v>
      </c>
      <c r="K2537" s="2" t="s">
        <v>24</v>
      </c>
      <c r="L2537" s="7">
        <v>6474.45</v>
      </c>
      <c r="M2537" s="2" t="str">
        <f>_xlfn.IFS(TelecomData[[#This Row],[TenureMonths]]&lt;=12, "0-1 Year", TelecomData[[#This Row],[TenureMonths]]&lt;=36, "1-3 Years", TelecomData[[#This Row],[TenureMonths]]&gt;36, "3+ Years")</f>
        <v>3+ Years</v>
      </c>
      <c r="N2537" s="2" t="str">
        <f>IF(TelecomData[[#This Row],[CleanedTotalCharges]]&gt;=2500,"High Spend", "Standard Spend")</f>
        <v>High Spend</v>
      </c>
    </row>
    <row r="2538" spans="1:14" x14ac:dyDescent="0.3">
      <c r="A2538" s="1" t="s">
        <v>2562</v>
      </c>
      <c r="B2538" s="2" t="s">
        <v>19</v>
      </c>
      <c r="C2538" s="2" t="s">
        <v>20</v>
      </c>
      <c r="D2538" s="2">
        <v>25</v>
      </c>
      <c r="E2538" s="2" t="s">
        <v>15</v>
      </c>
      <c r="F2538" s="2" t="s">
        <v>36</v>
      </c>
      <c r="G2538" s="7">
        <v>25.3</v>
      </c>
      <c r="H2538" s="7">
        <v>676.35</v>
      </c>
      <c r="I2538" s="2" t="s">
        <v>16</v>
      </c>
      <c r="J2538" s="2" t="s">
        <v>15</v>
      </c>
      <c r="K2538" s="2" t="s">
        <v>24</v>
      </c>
      <c r="L2538" s="7">
        <v>676.35</v>
      </c>
      <c r="M2538" s="2" t="str">
        <f>_xlfn.IFS(TelecomData[[#This Row],[TenureMonths]]&lt;=12, "0-1 Year", TelecomData[[#This Row],[TenureMonths]]&lt;=36, "1-3 Years", TelecomData[[#This Row],[TenureMonths]]&gt;36, "3+ Years")</f>
        <v>1-3 Years</v>
      </c>
      <c r="N2538" s="2" t="str">
        <f>IF(TelecomData[[#This Row],[CleanedTotalCharges]]&gt;=2500,"High Spend", "Standard Spend")</f>
        <v>Standard Spend</v>
      </c>
    </row>
    <row r="2539" spans="1:14" x14ac:dyDescent="0.3">
      <c r="A2539" s="1" t="s">
        <v>2563</v>
      </c>
      <c r="B2539" s="2" t="s">
        <v>19</v>
      </c>
      <c r="C2539" s="2" t="s">
        <v>35</v>
      </c>
      <c r="D2539" s="2">
        <v>72</v>
      </c>
      <c r="E2539" s="2" t="s">
        <v>26</v>
      </c>
      <c r="F2539" s="2" t="s">
        <v>16</v>
      </c>
      <c r="G2539" s="7">
        <v>113.4</v>
      </c>
      <c r="H2539" s="7">
        <v>8164.1</v>
      </c>
      <c r="I2539" s="2" t="s">
        <v>15</v>
      </c>
      <c r="J2539" s="2" t="s">
        <v>15</v>
      </c>
      <c r="K2539" s="2" t="s">
        <v>24</v>
      </c>
      <c r="L2539" s="7">
        <v>8164.1</v>
      </c>
      <c r="M2539" s="2" t="str">
        <f>_xlfn.IFS(TelecomData[[#This Row],[TenureMonths]]&lt;=12, "0-1 Year", TelecomData[[#This Row],[TenureMonths]]&lt;=36, "1-3 Years", TelecomData[[#This Row],[TenureMonths]]&gt;36, "3+ Years")</f>
        <v>3+ Years</v>
      </c>
      <c r="N2539" s="2" t="str">
        <f>IF(TelecomData[[#This Row],[CleanedTotalCharges]]&gt;=2500,"High Spend", "Standard Spend")</f>
        <v>High Spend</v>
      </c>
    </row>
    <row r="2540" spans="1:14" x14ac:dyDescent="0.3">
      <c r="A2540" s="1" t="s">
        <v>2564</v>
      </c>
      <c r="B2540" s="2" t="s">
        <v>19</v>
      </c>
      <c r="C2540" s="2" t="s">
        <v>35</v>
      </c>
      <c r="D2540" s="2">
        <v>34</v>
      </c>
      <c r="E2540" s="2" t="s">
        <v>14</v>
      </c>
      <c r="F2540" s="2" t="s">
        <v>16</v>
      </c>
      <c r="G2540" s="7">
        <v>40.549999999999997</v>
      </c>
      <c r="H2540" s="7">
        <v>1325.85</v>
      </c>
      <c r="I2540" s="2" t="s">
        <v>15</v>
      </c>
      <c r="J2540" s="2" t="s">
        <v>16</v>
      </c>
      <c r="K2540" s="2" t="s">
        <v>17</v>
      </c>
      <c r="L2540" s="7">
        <v>1325.85</v>
      </c>
      <c r="M2540" s="2" t="str">
        <f>_xlfn.IFS(TelecomData[[#This Row],[TenureMonths]]&lt;=12, "0-1 Year", TelecomData[[#This Row],[TenureMonths]]&lt;=36, "1-3 Years", TelecomData[[#This Row],[TenureMonths]]&gt;36, "3+ Years")</f>
        <v>1-3 Years</v>
      </c>
      <c r="N2540" s="2" t="str">
        <f>IF(TelecomData[[#This Row],[CleanedTotalCharges]]&gt;=2500,"High Spend", "Standard Spend")</f>
        <v>Standard Spend</v>
      </c>
    </row>
    <row r="2541" spans="1:14" x14ac:dyDescent="0.3">
      <c r="A2541" s="1" t="s">
        <v>2565</v>
      </c>
      <c r="B2541" s="2" t="s">
        <v>12</v>
      </c>
      <c r="C2541" s="2" t="s">
        <v>35</v>
      </c>
      <c r="D2541" s="2">
        <v>65</v>
      </c>
      <c r="E2541" s="2" t="s">
        <v>15</v>
      </c>
      <c r="F2541" s="2" t="s">
        <v>36</v>
      </c>
      <c r="G2541" s="7">
        <v>26</v>
      </c>
      <c r="H2541" s="7">
        <v>1654.85</v>
      </c>
      <c r="I2541" s="2" t="s">
        <v>15</v>
      </c>
      <c r="J2541" s="2" t="s">
        <v>15</v>
      </c>
      <c r="K2541" s="2" t="s">
        <v>29</v>
      </c>
      <c r="L2541" s="7">
        <v>1654.85</v>
      </c>
      <c r="M2541" s="2" t="str">
        <f>_xlfn.IFS(TelecomData[[#This Row],[TenureMonths]]&lt;=12, "0-1 Year", TelecomData[[#This Row],[TenureMonths]]&lt;=36, "1-3 Years", TelecomData[[#This Row],[TenureMonths]]&gt;36, "3+ Years")</f>
        <v>3+ Years</v>
      </c>
      <c r="N2541" s="2" t="str">
        <f>IF(TelecomData[[#This Row],[CleanedTotalCharges]]&gt;=2500,"High Spend", "Standard Spend")</f>
        <v>Standard Spend</v>
      </c>
    </row>
    <row r="2542" spans="1:14" x14ac:dyDescent="0.3">
      <c r="A2542" s="1" t="s">
        <v>2566</v>
      </c>
      <c r="B2542" s="2" t="s">
        <v>12</v>
      </c>
      <c r="C2542" s="2" t="s">
        <v>35</v>
      </c>
      <c r="D2542" s="2">
        <v>70</v>
      </c>
      <c r="E2542" s="2" t="s">
        <v>26</v>
      </c>
      <c r="F2542" s="2" t="s">
        <v>16</v>
      </c>
      <c r="G2542" s="7">
        <v>111.95</v>
      </c>
      <c r="H2542" s="7">
        <v>7795.95</v>
      </c>
      <c r="I2542" s="2" t="s">
        <v>15</v>
      </c>
      <c r="J2542" s="2" t="s">
        <v>16</v>
      </c>
      <c r="K2542" s="2" t="s">
        <v>29</v>
      </c>
      <c r="L2542" s="7">
        <v>7795.95</v>
      </c>
      <c r="M2542" s="2" t="str">
        <f>_xlfn.IFS(TelecomData[[#This Row],[TenureMonths]]&lt;=12, "0-1 Year", TelecomData[[#This Row],[TenureMonths]]&lt;=36, "1-3 Years", TelecomData[[#This Row],[TenureMonths]]&gt;36, "3+ Years")</f>
        <v>3+ Years</v>
      </c>
      <c r="N2542" s="2" t="str">
        <f>IF(TelecomData[[#This Row],[CleanedTotalCharges]]&gt;=2500,"High Spend", "Standard Spend")</f>
        <v>High Spend</v>
      </c>
    </row>
    <row r="2543" spans="1:14" x14ac:dyDescent="0.3">
      <c r="A2543" s="1" t="s">
        <v>2567</v>
      </c>
      <c r="B2543" s="2" t="s">
        <v>12</v>
      </c>
      <c r="C2543" s="2" t="s">
        <v>35</v>
      </c>
      <c r="D2543" s="2">
        <v>72</v>
      </c>
      <c r="E2543" s="2" t="s">
        <v>14</v>
      </c>
      <c r="F2543" s="2" t="s">
        <v>15</v>
      </c>
      <c r="G2543" s="7">
        <v>53.8</v>
      </c>
      <c r="H2543" s="7">
        <v>3952.45</v>
      </c>
      <c r="I2543" s="2" t="s">
        <v>15</v>
      </c>
      <c r="J2543" s="2" t="s">
        <v>16</v>
      </c>
      <c r="K2543" s="2" t="s">
        <v>29</v>
      </c>
      <c r="L2543" s="7">
        <v>3952.45</v>
      </c>
      <c r="M2543" s="2" t="str">
        <f>_xlfn.IFS(TelecomData[[#This Row],[TenureMonths]]&lt;=12, "0-1 Year", TelecomData[[#This Row],[TenureMonths]]&lt;=36, "1-3 Years", TelecomData[[#This Row],[TenureMonths]]&gt;36, "3+ Years")</f>
        <v>3+ Years</v>
      </c>
      <c r="N2543" s="2" t="str">
        <f>IF(TelecomData[[#This Row],[CleanedTotalCharges]]&gt;=2500,"High Spend", "Standard Spend")</f>
        <v>High Spend</v>
      </c>
    </row>
    <row r="2544" spans="1:14" x14ac:dyDescent="0.3">
      <c r="A2544" s="1" t="s">
        <v>2568</v>
      </c>
      <c r="B2544" s="2" t="s">
        <v>19</v>
      </c>
      <c r="C2544" s="2" t="s">
        <v>20</v>
      </c>
      <c r="D2544" s="2">
        <v>35</v>
      </c>
      <c r="E2544" s="2" t="s">
        <v>14</v>
      </c>
      <c r="F2544" s="2" t="s">
        <v>16</v>
      </c>
      <c r="G2544" s="7">
        <v>72.099999999999994</v>
      </c>
      <c r="H2544" s="7">
        <v>2495.15</v>
      </c>
      <c r="I2544" s="2" t="s">
        <v>15</v>
      </c>
      <c r="J2544" s="2" t="s">
        <v>16</v>
      </c>
      <c r="K2544" s="2" t="s">
        <v>21</v>
      </c>
      <c r="L2544" s="7">
        <v>2495.15</v>
      </c>
      <c r="M2544" s="2" t="str">
        <f>_xlfn.IFS(TelecomData[[#This Row],[TenureMonths]]&lt;=12, "0-1 Year", TelecomData[[#This Row],[TenureMonths]]&lt;=36, "1-3 Years", TelecomData[[#This Row],[TenureMonths]]&gt;36, "3+ Years")</f>
        <v>1-3 Years</v>
      </c>
      <c r="N2544" s="2" t="str">
        <f>IF(TelecomData[[#This Row],[CleanedTotalCharges]]&gt;=2500,"High Spend", "Standard Spend")</f>
        <v>Standard Spend</v>
      </c>
    </row>
    <row r="2545" spans="1:14" x14ac:dyDescent="0.3">
      <c r="A2545" s="1" t="s">
        <v>2569</v>
      </c>
      <c r="B2545" s="2" t="s">
        <v>19</v>
      </c>
      <c r="C2545" s="2" t="s">
        <v>13</v>
      </c>
      <c r="D2545" s="2">
        <v>13</v>
      </c>
      <c r="E2545" s="2" t="s">
        <v>26</v>
      </c>
      <c r="F2545" s="2" t="s">
        <v>15</v>
      </c>
      <c r="G2545" s="7">
        <v>98.15</v>
      </c>
      <c r="H2545" s="7">
        <v>1230.25</v>
      </c>
      <c r="I2545" s="2" t="s">
        <v>16</v>
      </c>
      <c r="J2545" s="2" t="s">
        <v>15</v>
      </c>
      <c r="K2545" s="2" t="s">
        <v>21</v>
      </c>
      <c r="L2545" s="7">
        <v>1230.25</v>
      </c>
      <c r="M2545" s="2" t="str">
        <f>_xlfn.IFS(TelecomData[[#This Row],[TenureMonths]]&lt;=12, "0-1 Year", TelecomData[[#This Row],[TenureMonths]]&lt;=36, "1-3 Years", TelecomData[[#This Row],[TenureMonths]]&gt;36, "3+ Years")</f>
        <v>1-3 Years</v>
      </c>
      <c r="N2545" s="2" t="str">
        <f>IF(TelecomData[[#This Row],[CleanedTotalCharges]]&gt;=2500,"High Spend", "Standard Spend")</f>
        <v>Standard Spend</v>
      </c>
    </row>
    <row r="2546" spans="1:14" x14ac:dyDescent="0.3">
      <c r="A2546" s="1" t="s">
        <v>2570</v>
      </c>
      <c r="B2546" s="2" t="s">
        <v>12</v>
      </c>
      <c r="C2546" s="2" t="s">
        <v>20</v>
      </c>
      <c r="D2546" s="2">
        <v>12</v>
      </c>
      <c r="E2546" s="2" t="s">
        <v>14</v>
      </c>
      <c r="F2546" s="2" t="s">
        <v>15</v>
      </c>
      <c r="G2546" s="7">
        <v>78.849999999999994</v>
      </c>
      <c r="H2546" s="7">
        <v>876.75</v>
      </c>
      <c r="I2546" s="2" t="s">
        <v>15</v>
      </c>
      <c r="J2546" s="2" t="s">
        <v>15</v>
      </c>
      <c r="K2546" s="2" t="s">
        <v>17</v>
      </c>
      <c r="L2546" s="7">
        <v>876.75</v>
      </c>
      <c r="M2546" s="2" t="str">
        <f>_xlfn.IFS(TelecomData[[#This Row],[TenureMonths]]&lt;=12, "0-1 Year", TelecomData[[#This Row],[TenureMonths]]&lt;=36, "1-3 Years", TelecomData[[#This Row],[TenureMonths]]&gt;36, "3+ Years")</f>
        <v>0-1 Year</v>
      </c>
      <c r="N2546" s="2" t="str">
        <f>IF(TelecomData[[#This Row],[CleanedTotalCharges]]&gt;=2500,"High Spend", "Standard Spend")</f>
        <v>Standard Spend</v>
      </c>
    </row>
    <row r="2547" spans="1:14" x14ac:dyDescent="0.3">
      <c r="A2547" s="1" t="s">
        <v>2571</v>
      </c>
      <c r="B2547" s="2" t="s">
        <v>12</v>
      </c>
      <c r="C2547" s="2" t="s">
        <v>20</v>
      </c>
      <c r="D2547" s="2">
        <v>62</v>
      </c>
      <c r="E2547" s="2" t="s">
        <v>14</v>
      </c>
      <c r="F2547" s="2" t="s">
        <v>16</v>
      </c>
      <c r="G2547" s="7">
        <v>70.75</v>
      </c>
      <c r="H2547" s="7">
        <v>4263.45</v>
      </c>
      <c r="I2547" s="2" t="s">
        <v>15</v>
      </c>
      <c r="J2547" s="2" t="s">
        <v>16</v>
      </c>
      <c r="K2547" s="2" t="s">
        <v>24</v>
      </c>
      <c r="L2547" s="7">
        <v>4263.45</v>
      </c>
      <c r="M2547" s="2" t="str">
        <f>_xlfn.IFS(TelecomData[[#This Row],[TenureMonths]]&lt;=12, "0-1 Year", TelecomData[[#This Row],[TenureMonths]]&lt;=36, "1-3 Years", TelecomData[[#This Row],[TenureMonths]]&gt;36, "3+ Years")</f>
        <v>3+ Years</v>
      </c>
      <c r="N2547" s="2" t="str">
        <f>IF(TelecomData[[#This Row],[CleanedTotalCharges]]&gt;=2500,"High Spend", "Standard Spend")</f>
        <v>High Spend</v>
      </c>
    </row>
    <row r="2548" spans="1:14" x14ac:dyDescent="0.3">
      <c r="A2548" s="1" t="s">
        <v>2572</v>
      </c>
      <c r="B2548" s="2" t="s">
        <v>12</v>
      </c>
      <c r="C2548" s="2" t="s">
        <v>13</v>
      </c>
      <c r="D2548" s="2">
        <v>25</v>
      </c>
      <c r="E2548" s="2" t="s">
        <v>14</v>
      </c>
      <c r="F2548" s="2" t="s">
        <v>16</v>
      </c>
      <c r="G2548" s="7">
        <v>76.150000000000006</v>
      </c>
      <c r="H2548" s="7">
        <v>1992.95</v>
      </c>
      <c r="I2548" s="2" t="s">
        <v>15</v>
      </c>
      <c r="J2548" s="2" t="s">
        <v>16</v>
      </c>
      <c r="K2548" s="2" t="s">
        <v>29</v>
      </c>
      <c r="L2548" s="7">
        <v>1992.95</v>
      </c>
      <c r="M2548" s="2" t="str">
        <f>_xlfn.IFS(TelecomData[[#This Row],[TenureMonths]]&lt;=12, "0-1 Year", TelecomData[[#This Row],[TenureMonths]]&lt;=36, "1-3 Years", TelecomData[[#This Row],[TenureMonths]]&gt;36, "3+ Years")</f>
        <v>1-3 Years</v>
      </c>
      <c r="N2548" s="2" t="str">
        <f>IF(TelecomData[[#This Row],[CleanedTotalCharges]]&gt;=2500,"High Spend", "Standard Spend")</f>
        <v>Standard Spend</v>
      </c>
    </row>
    <row r="2549" spans="1:14" x14ac:dyDescent="0.3">
      <c r="A2549" s="1" t="s">
        <v>2573</v>
      </c>
      <c r="B2549" s="2" t="s">
        <v>12</v>
      </c>
      <c r="C2549" s="2" t="s">
        <v>35</v>
      </c>
      <c r="D2549" s="2">
        <v>52</v>
      </c>
      <c r="E2549" s="2" t="s">
        <v>14</v>
      </c>
      <c r="F2549" s="2" t="s">
        <v>16</v>
      </c>
      <c r="G2549" s="7">
        <v>39.1</v>
      </c>
      <c r="H2549" s="7">
        <v>1982.1</v>
      </c>
      <c r="I2549" s="2" t="s">
        <v>15</v>
      </c>
      <c r="J2549" s="2" t="s">
        <v>15</v>
      </c>
      <c r="K2549" s="2" t="s">
        <v>21</v>
      </c>
      <c r="L2549" s="7">
        <v>1982.1</v>
      </c>
      <c r="M2549" s="2" t="str">
        <f>_xlfn.IFS(TelecomData[[#This Row],[TenureMonths]]&lt;=12, "0-1 Year", TelecomData[[#This Row],[TenureMonths]]&lt;=36, "1-3 Years", TelecomData[[#This Row],[TenureMonths]]&gt;36, "3+ Years")</f>
        <v>3+ Years</v>
      </c>
      <c r="N2549" s="2" t="str">
        <f>IF(TelecomData[[#This Row],[CleanedTotalCharges]]&gt;=2500,"High Spend", "Standard Spend")</f>
        <v>Standard Spend</v>
      </c>
    </row>
    <row r="2550" spans="1:14" x14ac:dyDescent="0.3">
      <c r="A2550" s="1" t="s">
        <v>2574</v>
      </c>
      <c r="B2550" s="2" t="s">
        <v>19</v>
      </c>
      <c r="C2550" s="2" t="s">
        <v>13</v>
      </c>
      <c r="D2550" s="2">
        <v>8</v>
      </c>
      <c r="E2550" s="2" t="s">
        <v>26</v>
      </c>
      <c r="F2550" s="2" t="s">
        <v>15</v>
      </c>
      <c r="G2550" s="7">
        <v>69.95</v>
      </c>
      <c r="H2550" s="7">
        <v>562.70000000000005</v>
      </c>
      <c r="I2550" s="2" t="s">
        <v>15</v>
      </c>
      <c r="J2550" s="2" t="s">
        <v>16</v>
      </c>
      <c r="K2550" s="2" t="s">
        <v>29</v>
      </c>
      <c r="L2550" s="7">
        <v>562.70000000000005</v>
      </c>
      <c r="M2550" s="2" t="str">
        <f>_xlfn.IFS(TelecomData[[#This Row],[TenureMonths]]&lt;=12, "0-1 Year", TelecomData[[#This Row],[TenureMonths]]&lt;=36, "1-3 Years", TelecomData[[#This Row],[TenureMonths]]&gt;36, "3+ Years")</f>
        <v>0-1 Year</v>
      </c>
      <c r="N2550" s="2" t="str">
        <f>IF(TelecomData[[#This Row],[CleanedTotalCharges]]&gt;=2500,"High Spend", "Standard Spend")</f>
        <v>Standard Spend</v>
      </c>
    </row>
    <row r="2551" spans="1:14" x14ac:dyDescent="0.3">
      <c r="A2551" s="1" t="s">
        <v>2575</v>
      </c>
      <c r="B2551" s="2" t="s">
        <v>19</v>
      </c>
      <c r="C2551" s="2" t="s">
        <v>13</v>
      </c>
      <c r="D2551" s="2">
        <v>2</v>
      </c>
      <c r="E2551" s="2" t="s">
        <v>15</v>
      </c>
      <c r="F2551" s="2" t="s">
        <v>36</v>
      </c>
      <c r="G2551" s="7">
        <v>20.05</v>
      </c>
      <c r="H2551" s="7">
        <v>33.700000000000003</v>
      </c>
      <c r="I2551" s="2" t="s">
        <v>15</v>
      </c>
      <c r="J2551" s="2" t="s">
        <v>15</v>
      </c>
      <c r="K2551" s="2" t="s">
        <v>21</v>
      </c>
      <c r="L2551" s="7">
        <v>33.700000000000003</v>
      </c>
      <c r="M2551" s="2" t="str">
        <f>_xlfn.IFS(TelecomData[[#This Row],[TenureMonths]]&lt;=12, "0-1 Year", TelecomData[[#This Row],[TenureMonths]]&lt;=36, "1-3 Years", TelecomData[[#This Row],[TenureMonths]]&gt;36, "3+ Years")</f>
        <v>0-1 Year</v>
      </c>
      <c r="N2551" s="2" t="str">
        <f>IF(TelecomData[[#This Row],[CleanedTotalCharges]]&gt;=2500,"High Spend", "Standard Spend")</f>
        <v>Standard Spend</v>
      </c>
    </row>
    <row r="2552" spans="1:14" x14ac:dyDescent="0.3">
      <c r="A2552" s="1" t="s">
        <v>2576</v>
      </c>
      <c r="B2552" s="2" t="s">
        <v>12</v>
      </c>
      <c r="C2552" s="2" t="s">
        <v>35</v>
      </c>
      <c r="D2552" s="2">
        <v>56</v>
      </c>
      <c r="E2552" s="2" t="s">
        <v>15</v>
      </c>
      <c r="F2552" s="2" t="s">
        <v>36</v>
      </c>
      <c r="G2552" s="7">
        <v>20.05</v>
      </c>
      <c r="H2552" s="7">
        <v>1090.0999999999999</v>
      </c>
      <c r="I2552" s="2" t="s">
        <v>15</v>
      </c>
      <c r="J2552" s="2" t="s">
        <v>15</v>
      </c>
      <c r="K2552" s="2" t="s">
        <v>21</v>
      </c>
      <c r="L2552" s="7">
        <v>1090.0999999999999</v>
      </c>
      <c r="M2552" s="2" t="str">
        <f>_xlfn.IFS(TelecomData[[#This Row],[TenureMonths]]&lt;=12, "0-1 Year", TelecomData[[#This Row],[TenureMonths]]&lt;=36, "1-3 Years", TelecomData[[#This Row],[TenureMonths]]&gt;36, "3+ Years")</f>
        <v>3+ Years</v>
      </c>
      <c r="N2552" s="2" t="str">
        <f>IF(TelecomData[[#This Row],[CleanedTotalCharges]]&gt;=2500,"High Spend", "Standard Spend")</f>
        <v>Standard Spend</v>
      </c>
    </row>
    <row r="2553" spans="1:14" x14ac:dyDescent="0.3">
      <c r="A2553" s="1" t="s">
        <v>2577</v>
      </c>
      <c r="B2553" s="2" t="s">
        <v>12</v>
      </c>
      <c r="C2553" s="2" t="s">
        <v>13</v>
      </c>
      <c r="D2553" s="2">
        <v>12</v>
      </c>
      <c r="E2553" s="2" t="s">
        <v>15</v>
      </c>
      <c r="F2553" s="2" t="s">
        <v>36</v>
      </c>
      <c r="G2553" s="7">
        <v>19.45</v>
      </c>
      <c r="H2553" s="7">
        <v>227.45</v>
      </c>
      <c r="I2553" s="2" t="s">
        <v>15</v>
      </c>
      <c r="J2553" s="2" t="s">
        <v>15</v>
      </c>
      <c r="K2553" s="2" t="s">
        <v>24</v>
      </c>
      <c r="L2553" s="7">
        <v>227.45</v>
      </c>
      <c r="M2553" s="2" t="str">
        <f>_xlfn.IFS(TelecomData[[#This Row],[TenureMonths]]&lt;=12, "0-1 Year", TelecomData[[#This Row],[TenureMonths]]&lt;=36, "1-3 Years", TelecomData[[#This Row],[TenureMonths]]&gt;36, "3+ Years")</f>
        <v>0-1 Year</v>
      </c>
      <c r="N2553" s="2" t="str">
        <f>IF(TelecomData[[#This Row],[CleanedTotalCharges]]&gt;=2500,"High Spend", "Standard Spend")</f>
        <v>Standard Spend</v>
      </c>
    </row>
    <row r="2554" spans="1:14" x14ac:dyDescent="0.3">
      <c r="A2554" s="1" t="s">
        <v>2578</v>
      </c>
      <c r="B2554" s="2" t="s">
        <v>12</v>
      </c>
      <c r="C2554" s="2" t="s">
        <v>20</v>
      </c>
      <c r="D2554" s="2">
        <v>47</v>
      </c>
      <c r="E2554" s="2" t="s">
        <v>15</v>
      </c>
      <c r="F2554" s="2" t="s">
        <v>36</v>
      </c>
      <c r="G2554" s="7">
        <v>26.9</v>
      </c>
      <c r="H2554" s="7">
        <v>1250.8499999999999</v>
      </c>
      <c r="I2554" s="2" t="s">
        <v>15</v>
      </c>
      <c r="J2554" s="2" t="s">
        <v>15</v>
      </c>
      <c r="K2554" s="2" t="s">
        <v>17</v>
      </c>
      <c r="L2554" s="7">
        <v>1250.8499999999999</v>
      </c>
      <c r="M2554" s="2" t="str">
        <f>_xlfn.IFS(TelecomData[[#This Row],[TenureMonths]]&lt;=12, "0-1 Year", TelecomData[[#This Row],[TenureMonths]]&lt;=36, "1-3 Years", TelecomData[[#This Row],[TenureMonths]]&gt;36, "3+ Years")</f>
        <v>3+ Years</v>
      </c>
      <c r="N2554" s="2" t="str">
        <f>IF(TelecomData[[#This Row],[CleanedTotalCharges]]&gt;=2500,"High Spend", "Standard Spend")</f>
        <v>Standard Spend</v>
      </c>
    </row>
    <row r="2555" spans="1:14" x14ac:dyDescent="0.3">
      <c r="A2555" s="1" t="s">
        <v>2579</v>
      </c>
      <c r="B2555" s="2" t="s">
        <v>19</v>
      </c>
      <c r="C2555" s="2" t="s">
        <v>13</v>
      </c>
      <c r="D2555" s="2">
        <v>2</v>
      </c>
      <c r="E2555" s="2" t="s">
        <v>15</v>
      </c>
      <c r="F2555" s="2" t="s">
        <v>36</v>
      </c>
      <c r="G2555" s="7">
        <v>19.2</v>
      </c>
      <c r="H2555" s="7">
        <v>37.200000000000003</v>
      </c>
      <c r="I2555" s="2" t="s">
        <v>15</v>
      </c>
      <c r="J2555" s="2" t="s">
        <v>15</v>
      </c>
      <c r="K2555" s="2" t="s">
        <v>17</v>
      </c>
      <c r="L2555" s="7">
        <v>37.200000000000003</v>
      </c>
      <c r="M2555" s="2" t="str">
        <f>_xlfn.IFS(TelecomData[[#This Row],[TenureMonths]]&lt;=12, "0-1 Year", TelecomData[[#This Row],[TenureMonths]]&lt;=36, "1-3 Years", TelecomData[[#This Row],[TenureMonths]]&gt;36, "3+ Years")</f>
        <v>0-1 Year</v>
      </c>
      <c r="N2555" s="2" t="str">
        <f>IF(TelecomData[[#This Row],[CleanedTotalCharges]]&gt;=2500,"High Spend", "Standard Spend")</f>
        <v>Standard Spend</v>
      </c>
    </row>
    <row r="2556" spans="1:14" x14ac:dyDescent="0.3">
      <c r="A2556" s="1" t="s">
        <v>2580</v>
      </c>
      <c r="B2556" s="2" t="s">
        <v>12</v>
      </c>
      <c r="C2556" s="2" t="s">
        <v>13</v>
      </c>
      <c r="D2556" s="2">
        <v>18</v>
      </c>
      <c r="E2556" s="2" t="s">
        <v>14</v>
      </c>
      <c r="F2556" s="2" t="s">
        <v>15</v>
      </c>
      <c r="G2556" s="7">
        <v>50</v>
      </c>
      <c r="H2556" s="7">
        <v>892.7</v>
      </c>
      <c r="I2556" s="2" t="s">
        <v>15</v>
      </c>
      <c r="J2556" s="2" t="s">
        <v>16</v>
      </c>
      <c r="K2556" s="2" t="s">
        <v>21</v>
      </c>
      <c r="L2556" s="7">
        <v>892.7</v>
      </c>
      <c r="M2556" s="2" t="str">
        <f>_xlfn.IFS(TelecomData[[#This Row],[TenureMonths]]&lt;=12, "0-1 Year", TelecomData[[#This Row],[TenureMonths]]&lt;=36, "1-3 Years", TelecomData[[#This Row],[TenureMonths]]&gt;36, "3+ Years")</f>
        <v>1-3 Years</v>
      </c>
      <c r="N2556" s="2" t="str">
        <f>IF(TelecomData[[#This Row],[CleanedTotalCharges]]&gt;=2500,"High Spend", "Standard Spend")</f>
        <v>Standard Spend</v>
      </c>
    </row>
    <row r="2557" spans="1:14" x14ac:dyDescent="0.3">
      <c r="A2557" s="1" t="s">
        <v>2581</v>
      </c>
      <c r="B2557" s="2" t="s">
        <v>12</v>
      </c>
      <c r="C2557" s="2" t="s">
        <v>13</v>
      </c>
      <c r="D2557" s="2">
        <v>8</v>
      </c>
      <c r="E2557" s="2" t="s">
        <v>14</v>
      </c>
      <c r="F2557" s="2" t="s">
        <v>15</v>
      </c>
      <c r="G2557" s="7">
        <v>60</v>
      </c>
      <c r="H2557" s="7">
        <v>487.75</v>
      </c>
      <c r="I2557" s="2" t="s">
        <v>15</v>
      </c>
      <c r="J2557" s="2" t="s">
        <v>16</v>
      </c>
      <c r="K2557" s="2" t="s">
        <v>17</v>
      </c>
      <c r="L2557" s="7">
        <v>487.75</v>
      </c>
      <c r="M2557" s="2" t="str">
        <f>_xlfn.IFS(TelecomData[[#This Row],[TenureMonths]]&lt;=12, "0-1 Year", TelecomData[[#This Row],[TenureMonths]]&lt;=36, "1-3 Years", TelecomData[[#This Row],[TenureMonths]]&gt;36, "3+ Years")</f>
        <v>0-1 Year</v>
      </c>
      <c r="N2557" s="2" t="str">
        <f>IF(TelecomData[[#This Row],[CleanedTotalCharges]]&gt;=2500,"High Spend", "Standard Spend")</f>
        <v>Standard Spend</v>
      </c>
    </row>
    <row r="2558" spans="1:14" x14ac:dyDescent="0.3">
      <c r="A2558" s="1" t="s">
        <v>2582</v>
      </c>
      <c r="B2558" s="2" t="s">
        <v>19</v>
      </c>
      <c r="C2558" s="2" t="s">
        <v>13</v>
      </c>
      <c r="D2558" s="2">
        <v>45</v>
      </c>
      <c r="E2558" s="2" t="s">
        <v>26</v>
      </c>
      <c r="F2558" s="2" t="s">
        <v>15</v>
      </c>
      <c r="G2558" s="7">
        <v>84.55</v>
      </c>
      <c r="H2558" s="7">
        <v>3713.95</v>
      </c>
      <c r="I2558" s="2" t="s">
        <v>15</v>
      </c>
      <c r="J2558" s="2" t="s">
        <v>16</v>
      </c>
      <c r="K2558" s="2" t="s">
        <v>21</v>
      </c>
      <c r="L2558" s="7">
        <v>3713.95</v>
      </c>
      <c r="M2558" s="2" t="str">
        <f>_xlfn.IFS(TelecomData[[#This Row],[TenureMonths]]&lt;=12, "0-1 Year", TelecomData[[#This Row],[TenureMonths]]&lt;=36, "1-3 Years", TelecomData[[#This Row],[TenureMonths]]&gt;36, "3+ Years")</f>
        <v>3+ Years</v>
      </c>
      <c r="N2558" s="2" t="str">
        <f>IF(TelecomData[[#This Row],[CleanedTotalCharges]]&gt;=2500,"High Spend", "Standard Spend")</f>
        <v>High Spend</v>
      </c>
    </row>
    <row r="2559" spans="1:14" x14ac:dyDescent="0.3">
      <c r="A2559" s="1" t="s">
        <v>2583</v>
      </c>
      <c r="B2559" s="2" t="s">
        <v>19</v>
      </c>
      <c r="C2559" s="2" t="s">
        <v>13</v>
      </c>
      <c r="D2559" s="2">
        <v>3</v>
      </c>
      <c r="E2559" s="2" t="s">
        <v>14</v>
      </c>
      <c r="F2559" s="2" t="s">
        <v>15</v>
      </c>
      <c r="G2559" s="7">
        <v>45.45</v>
      </c>
      <c r="H2559" s="7">
        <v>141.69999999999999</v>
      </c>
      <c r="I2559" s="2" t="s">
        <v>15</v>
      </c>
      <c r="J2559" s="2" t="s">
        <v>15</v>
      </c>
      <c r="K2559" s="2" t="s">
        <v>21</v>
      </c>
      <c r="L2559" s="7">
        <v>141.69999999999999</v>
      </c>
      <c r="M2559" s="2" t="str">
        <f>_xlfn.IFS(TelecomData[[#This Row],[TenureMonths]]&lt;=12, "0-1 Year", TelecomData[[#This Row],[TenureMonths]]&lt;=36, "1-3 Years", TelecomData[[#This Row],[TenureMonths]]&gt;36, "3+ Years")</f>
        <v>0-1 Year</v>
      </c>
      <c r="N2559" s="2" t="str">
        <f>IF(TelecomData[[#This Row],[CleanedTotalCharges]]&gt;=2500,"High Spend", "Standard Spend")</f>
        <v>Standard Spend</v>
      </c>
    </row>
    <row r="2560" spans="1:14" x14ac:dyDescent="0.3">
      <c r="A2560" s="1" t="s">
        <v>2584</v>
      </c>
      <c r="B2560" s="2" t="s">
        <v>12</v>
      </c>
      <c r="C2560" s="2" t="s">
        <v>20</v>
      </c>
      <c r="D2560" s="2">
        <v>38</v>
      </c>
      <c r="E2560" s="2" t="s">
        <v>15</v>
      </c>
      <c r="F2560" s="2" t="s">
        <v>36</v>
      </c>
      <c r="G2560" s="7">
        <v>20.05</v>
      </c>
      <c r="H2560" s="7">
        <v>678.2</v>
      </c>
      <c r="I2560" s="2" t="s">
        <v>15</v>
      </c>
      <c r="J2560" s="2" t="s">
        <v>15</v>
      </c>
      <c r="K2560" s="2" t="s">
        <v>21</v>
      </c>
      <c r="L2560" s="7">
        <v>678.2</v>
      </c>
      <c r="M2560" s="2" t="str">
        <f>_xlfn.IFS(TelecomData[[#This Row],[TenureMonths]]&lt;=12, "0-1 Year", TelecomData[[#This Row],[TenureMonths]]&lt;=36, "1-3 Years", TelecomData[[#This Row],[TenureMonths]]&gt;36, "3+ Years")</f>
        <v>3+ Years</v>
      </c>
      <c r="N2560" s="2" t="str">
        <f>IF(TelecomData[[#This Row],[CleanedTotalCharges]]&gt;=2500,"High Spend", "Standard Spend")</f>
        <v>Standard Spend</v>
      </c>
    </row>
    <row r="2561" spans="1:14" x14ac:dyDescent="0.3">
      <c r="A2561" s="1" t="s">
        <v>2585</v>
      </c>
      <c r="B2561" s="2" t="s">
        <v>19</v>
      </c>
      <c r="C2561" s="2" t="s">
        <v>35</v>
      </c>
      <c r="D2561" s="2">
        <v>72</v>
      </c>
      <c r="E2561" s="2" t="s">
        <v>26</v>
      </c>
      <c r="F2561" s="2" t="s">
        <v>16</v>
      </c>
      <c r="G2561" s="7">
        <v>115.55</v>
      </c>
      <c r="H2561" s="7">
        <v>8425.2999999999993</v>
      </c>
      <c r="I2561" s="2" t="s">
        <v>15</v>
      </c>
      <c r="J2561" s="2" t="s">
        <v>16</v>
      </c>
      <c r="K2561" s="2" t="s">
        <v>17</v>
      </c>
      <c r="L2561" s="7">
        <v>8425.2999999999993</v>
      </c>
      <c r="M2561" s="2" t="str">
        <f>_xlfn.IFS(TelecomData[[#This Row],[TenureMonths]]&lt;=12, "0-1 Year", TelecomData[[#This Row],[TenureMonths]]&lt;=36, "1-3 Years", TelecomData[[#This Row],[TenureMonths]]&gt;36, "3+ Years")</f>
        <v>3+ Years</v>
      </c>
      <c r="N2561" s="2" t="str">
        <f>IF(TelecomData[[#This Row],[CleanedTotalCharges]]&gt;=2500,"High Spend", "Standard Spend")</f>
        <v>High Spend</v>
      </c>
    </row>
    <row r="2562" spans="1:14" x14ac:dyDescent="0.3">
      <c r="A2562" s="1" t="s">
        <v>2586</v>
      </c>
      <c r="B2562" s="2" t="s">
        <v>19</v>
      </c>
      <c r="C2562" s="2" t="s">
        <v>13</v>
      </c>
      <c r="D2562" s="2">
        <v>46</v>
      </c>
      <c r="E2562" s="2" t="s">
        <v>26</v>
      </c>
      <c r="F2562" s="2" t="s">
        <v>15</v>
      </c>
      <c r="G2562" s="7">
        <v>93.7</v>
      </c>
      <c r="H2562" s="7">
        <v>4154.8</v>
      </c>
      <c r="I2562" s="2" t="s">
        <v>16</v>
      </c>
      <c r="J2562" s="2" t="s">
        <v>16</v>
      </c>
      <c r="K2562" s="2" t="s">
        <v>17</v>
      </c>
      <c r="L2562" s="7">
        <v>4154.8</v>
      </c>
      <c r="M2562" s="2" t="str">
        <f>_xlfn.IFS(TelecomData[[#This Row],[TenureMonths]]&lt;=12, "0-1 Year", TelecomData[[#This Row],[TenureMonths]]&lt;=36, "1-3 Years", TelecomData[[#This Row],[TenureMonths]]&gt;36, "3+ Years")</f>
        <v>3+ Years</v>
      </c>
      <c r="N2562" s="2" t="str">
        <f>IF(TelecomData[[#This Row],[CleanedTotalCharges]]&gt;=2500,"High Spend", "Standard Spend")</f>
        <v>High Spend</v>
      </c>
    </row>
    <row r="2563" spans="1:14" x14ac:dyDescent="0.3">
      <c r="A2563" s="1" t="s">
        <v>2587</v>
      </c>
      <c r="B2563" s="2" t="s">
        <v>12</v>
      </c>
      <c r="C2563" s="2" t="s">
        <v>35</v>
      </c>
      <c r="D2563" s="2">
        <v>71</v>
      </c>
      <c r="E2563" s="2" t="s">
        <v>26</v>
      </c>
      <c r="F2563" s="2" t="s">
        <v>15</v>
      </c>
      <c r="G2563" s="7">
        <v>99</v>
      </c>
      <c r="H2563" s="7">
        <v>7061.65</v>
      </c>
      <c r="I2563" s="2" t="s">
        <v>15</v>
      </c>
      <c r="J2563" s="2" t="s">
        <v>16</v>
      </c>
      <c r="K2563" s="2" t="s">
        <v>29</v>
      </c>
      <c r="L2563" s="7">
        <v>7061.65</v>
      </c>
      <c r="M2563" s="2" t="str">
        <f>_xlfn.IFS(TelecomData[[#This Row],[TenureMonths]]&lt;=12, "0-1 Year", TelecomData[[#This Row],[TenureMonths]]&lt;=36, "1-3 Years", TelecomData[[#This Row],[TenureMonths]]&gt;36, "3+ Years")</f>
        <v>3+ Years</v>
      </c>
      <c r="N2563" s="2" t="str">
        <f>IF(TelecomData[[#This Row],[CleanedTotalCharges]]&gt;=2500,"High Spend", "Standard Spend")</f>
        <v>High Spend</v>
      </c>
    </row>
    <row r="2564" spans="1:14" x14ac:dyDescent="0.3">
      <c r="A2564" s="1" t="s">
        <v>2588</v>
      </c>
      <c r="B2564" s="2" t="s">
        <v>19</v>
      </c>
      <c r="C2564" s="2" t="s">
        <v>35</v>
      </c>
      <c r="D2564" s="2">
        <v>66</v>
      </c>
      <c r="E2564" s="2" t="s">
        <v>14</v>
      </c>
      <c r="F2564" s="2" t="s">
        <v>16</v>
      </c>
      <c r="G2564" s="7">
        <v>50.55</v>
      </c>
      <c r="H2564" s="7">
        <v>3364.55</v>
      </c>
      <c r="I2564" s="2" t="s">
        <v>15</v>
      </c>
      <c r="J2564" s="2" t="s">
        <v>15</v>
      </c>
      <c r="K2564" s="2" t="s">
        <v>24</v>
      </c>
      <c r="L2564" s="7">
        <v>3364.55</v>
      </c>
      <c r="M2564" s="2" t="str">
        <f>_xlfn.IFS(TelecomData[[#This Row],[TenureMonths]]&lt;=12, "0-1 Year", TelecomData[[#This Row],[TenureMonths]]&lt;=36, "1-3 Years", TelecomData[[#This Row],[TenureMonths]]&gt;36, "3+ Years")</f>
        <v>3+ Years</v>
      </c>
      <c r="N2564" s="2" t="str">
        <f>IF(TelecomData[[#This Row],[CleanedTotalCharges]]&gt;=2500,"High Spend", "Standard Spend")</f>
        <v>High Spend</v>
      </c>
    </row>
    <row r="2565" spans="1:14" x14ac:dyDescent="0.3">
      <c r="A2565" s="1" t="s">
        <v>2589</v>
      </c>
      <c r="B2565" s="2" t="s">
        <v>19</v>
      </c>
      <c r="C2565" s="2" t="s">
        <v>13</v>
      </c>
      <c r="D2565" s="2">
        <v>25</v>
      </c>
      <c r="E2565" s="2" t="s">
        <v>26</v>
      </c>
      <c r="F2565" s="2" t="s">
        <v>15</v>
      </c>
      <c r="G2565" s="7">
        <v>105.95</v>
      </c>
      <c r="H2565" s="7">
        <v>2655.25</v>
      </c>
      <c r="I2565" s="2" t="s">
        <v>16</v>
      </c>
      <c r="J2565" s="2" t="s">
        <v>15</v>
      </c>
      <c r="K2565" s="2" t="s">
        <v>21</v>
      </c>
      <c r="L2565" s="7">
        <v>2655.25</v>
      </c>
      <c r="M2565" s="2" t="str">
        <f>_xlfn.IFS(TelecomData[[#This Row],[TenureMonths]]&lt;=12, "0-1 Year", TelecomData[[#This Row],[TenureMonths]]&lt;=36, "1-3 Years", TelecomData[[#This Row],[TenureMonths]]&gt;36, "3+ Years")</f>
        <v>1-3 Years</v>
      </c>
      <c r="N2565" s="2" t="str">
        <f>IF(TelecomData[[#This Row],[CleanedTotalCharges]]&gt;=2500,"High Spend", "Standard Spend")</f>
        <v>High Spend</v>
      </c>
    </row>
    <row r="2566" spans="1:14" x14ac:dyDescent="0.3">
      <c r="A2566" s="1" t="s">
        <v>2590</v>
      </c>
      <c r="B2566" s="2" t="s">
        <v>19</v>
      </c>
      <c r="C2566" s="2" t="s">
        <v>20</v>
      </c>
      <c r="D2566" s="2">
        <v>18</v>
      </c>
      <c r="E2566" s="2" t="s">
        <v>14</v>
      </c>
      <c r="F2566" s="2" t="s">
        <v>16</v>
      </c>
      <c r="G2566" s="7">
        <v>82</v>
      </c>
      <c r="H2566" s="7">
        <v>1425.45</v>
      </c>
      <c r="I2566" s="2" t="s">
        <v>16</v>
      </c>
      <c r="J2566" s="2" t="s">
        <v>16</v>
      </c>
      <c r="K2566" s="2" t="s">
        <v>29</v>
      </c>
      <c r="L2566" s="7">
        <v>1425.45</v>
      </c>
      <c r="M2566" s="2" t="str">
        <f>_xlfn.IFS(TelecomData[[#This Row],[TenureMonths]]&lt;=12, "0-1 Year", TelecomData[[#This Row],[TenureMonths]]&lt;=36, "1-3 Years", TelecomData[[#This Row],[TenureMonths]]&gt;36, "3+ Years")</f>
        <v>1-3 Years</v>
      </c>
      <c r="N2566" s="2" t="str">
        <f>IF(TelecomData[[#This Row],[CleanedTotalCharges]]&gt;=2500,"High Spend", "Standard Spend")</f>
        <v>Standard Spend</v>
      </c>
    </row>
    <row r="2567" spans="1:14" x14ac:dyDescent="0.3">
      <c r="A2567" s="1" t="s">
        <v>2591</v>
      </c>
      <c r="B2567" s="2" t="s">
        <v>12</v>
      </c>
      <c r="C2567" s="2" t="s">
        <v>35</v>
      </c>
      <c r="D2567" s="2">
        <v>13</v>
      </c>
      <c r="E2567" s="2" t="s">
        <v>15</v>
      </c>
      <c r="F2567" s="2" t="s">
        <v>36</v>
      </c>
      <c r="G2567" s="7">
        <v>25</v>
      </c>
      <c r="H2567" s="7">
        <v>332.5</v>
      </c>
      <c r="I2567" s="2" t="s">
        <v>15</v>
      </c>
      <c r="J2567" s="2" t="s">
        <v>16</v>
      </c>
      <c r="K2567" s="2" t="s">
        <v>24</v>
      </c>
      <c r="L2567" s="7">
        <v>332.5</v>
      </c>
      <c r="M2567" s="2" t="str">
        <f>_xlfn.IFS(TelecomData[[#This Row],[TenureMonths]]&lt;=12, "0-1 Year", TelecomData[[#This Row],[TenureMonths]]&lt;=36, "1-3 Years", TelecomData[[#This Row],[TenureMonths]]&gt;36, "3+ Years")</f>
        <v>1-3 Years</v>
      </c>
      <c r="N2567" s="2" t="str">
        <f>IF(TelecomData[[#This Row],[CleanedTotalCharges]]&gt;=2500,"High Spend", "Standard Spend")</f>
        <v>Standard Spend</v>
      </c>
    </row>
    <row r="2568" spans="1:14" x14ac:dyDescent="0.3">
      <c r="A2568" s="1" t="s">
        <v>2592</v>
      </c>
      <c r="B2568" s="2" t="s">
        <v>12</v>
      </c>
      <c r="C2568" s="2" t="s">
        <v>35</v>
      </c>
      <c r="D2568" s="2">
        <v>65</v>
      </c>
      <c r="E2568" s="2" t="s">
        <v>14</v>
      </c>
      <c r="F2568" s="2" t="s">
        <v>16</v>
      </c>
      <c r="G2568" s="7">
        <v>91.55</v>
      </c>
      <c r="H2568" s="7">
        <v>5963.95</v>
      </c>
      <c r="I2568" s="2" t="s">
        <v>15</v>
      </c>
      <c r="J2568" s="2" t="s">
        <v>15</v>
      </c>
      <c r="K2568" s="2" t="s">
        <v>24</v>
      </c>
      <c r="L2568" s="7">
        <v>5963.95</v>
      </c>
      <c r="M2568" s="2" t="str">
        <f>_xlfn.IFS(TelecomData[[#This Row],[TenureMonths]]&lt;=12, "0-1 Year", TelecomData[[#This Row],[TenureMonths]]&lt;=36, "1-3 Years", TelecomData[[#This Row],[TenureMonths]]&gt;36, "3+ Years")</f>
        <v>3+ Years</v>
      </c>
      <c r="N2568" s="2" t="str">
        <f>IF(TelecomData[[#This Row],[CleanedTotalCharges]]&gt;=2500,"High Spend", "Standard Spend")</f>
        <v>High Spend</v>
      </c>
    </row>
    <row r="2569" spans="1:14" x14ac:dyDescent="0.3">
      <c r="A2569" s="1" t="s">
        <v>2593</v>
      </c>
      <c r="B2569" s="2" t="s">
        <v>19</v>
      </c>
      <c r="C2569" s="2" t="s">
        <v>13</v>
      </c>
      <c r="D2569" s="2">
        <v>60</v>
      </c>
      <c r="E2569" s="2" t="s">
        <v>26</v>
      </c>
      <c r="F2569" s="2" t="s">
        <v>15</v>
      </c>
      <c r="G2569" s="7">
        <v>95.75</v>
      </c>
      <c r="H2569" s="7">
        <v>5742.9</v>
      </c>
      <c r="I2569" s="2" t="s">
        <v>16</v>
      </c>
      <c r="J2569" s="2" t="s">
        <v>16</v>
      </c>
      <c r="K2569" s="2" t="s">
        <v>17</v>
      </c>
      <c r="L2569" s="7">
        <v>5742.9</v>
      </c>
      <c r="M2569" s="2" t="str">
        <f>_xlfn.IFS(TelecomData[[#This Row],[TenureMonths]]&lt;=12, "0-1 Year", TelecomData[[#This Row],[TenureMonths]]&lt;=36, "1-3 Years", TelecomData[[#This Row],[TenureMonths]]&gt;36, "3+ Years")</f>
        <v>3+ Years</v>
      </c>
      <c r="N2569" s="2" t="str">
        <f>IF(TelecomData[[#This Row],[CleanedTotalCharges]]&gt;=2500,"High Spend", "Standard Spend")</f>
        <v>High Spend</v>
      </c>
    </row>
    <row r="2570" spans="1:14" x14ac:dyDescent="0.3">
      <c r="A2570" s="1" t="s">
        <v>2594</v>
      </c>
      <c r="B2570" s="2" t="s">
        <v>19</v>
      </c>
      <c r="C2570" s="2" t="s">
        <v>35</v>
      </c>
      <c r="D2570" s="2">
        <v>15</v>
      </c>
      <c r="E2570" s="2" t="s">
        <v>15</v>
      </c>
      <c r="F2570" s="2" t="s">
        <v>36</v>
      </c>
      <c r="G2570" s="7">
        <v>19.350000000000001</v>
      </c>
      <c r="H2570" s="7">
        <v>278.85000000000002</v>
      </c>
      <c r="I2570" s="2" t="s">
        <v>15</v>
      </c>
      <c r="J2570" s="2" t="s">
        <v>15</v>
      </c>
      <c r="K2570" s="2" t="s">
        <v>21</v>
      </c>
      <c r="L2570" s="7">
        <v>278.85000000000002</v>
      </c>
      <c r="M2570" s="2" t="str">
        <f>_xlfn.IFS(TelecomData[[#This Row],[TenureMonths]]&lt;=12, "0-1 Year", TelecomData[[#This Row],[TenureMonths]]&lt;=36, "1-3 Years", TelecomData[[#This Row],[TenureMonths]]&gt;36, "3+ Years")</f>
        <v>1-3 Years</v>
      </c>
      <c r="N2570" s="2" t="str">
        <f>IF(TelecomData[[#This Row],[CleanedTotalCharges]]&gt;=2500,"High Spend", "Standard Spend")</f>
        <v>Standard Spend</v>
      </c>
    </row>
    <row r="2571" spans="1:14" x14ac:dyDescent="0.3">
      <c r="A2571" s="1" t="s">
        <v>2595</v>
      </c>
      <c r="B2571" s="2" t="s">
        <v>12</v>
      </c>
      <c r="C2571" s="2" t="s">
        <v>35</v>
      </c>
      <c r="D2571" s="2">
        <v>72</v>
      </c>
      <c r="E2571" s="2" t="s">
        <v>15</v>
      </c>
      <c r="F2571" s="2" t="s">
        <v>36</v>
      </c>
      <c r="G2571" s="7">
        <v>24.85</v>
      </c>
      <c r="H2571" s="7">
        <v>1871.85</v>
      </c>
      <c r="I2571" s="2" t="s">
        <v>15</v>
      </c>
      <c r="J2571" s="2" t="s">
        <v>15</v>
      </c>
      <c r="K2571" s="2" t="s">
        <v>29</v>
      </c>
      <c r="L2571" s="7">
        <v>1871.85</v>
      </c>
      <c r="M2571" s="2" t="str">
        <f>_xlfn.IFS(TelecomData[[#This Row],[TenureMonths]]&lt;=12, "0-1 Year", TelecomData[[#This Row],[TenureMonths]]&lt;=36, "1-3 Years", TelecomData[[#This Row],[TenureMonths]]&gt;36, "3+ Years")</f>
        <v>3+ Years</v>
      </c>
      <c r="N2571" s="2" t="str">
        <f>IF(TelecomData[[#This Row],[CleanedTotalCharges]]&gt;=2500,"High Spend", "Standard Spend")</f>
        <v>Standard Spend</v>
      </c>
    </row>
    <row r="2572" spans="1:14" x14ac:dyDescent="0.3">
      <c r="A2572" s="1" t="s">
        <v>2596</v>
      </c>
      <c r="B2572" s="2" t="s">
        <v>19</v>
      </c>
      <c r="C2572" s="2" t="s">
        <v>13</v>
      </c>
      <c r="D2572" s="2">
        <v>30</v>
      </c>
      <c r="E2572" s="2" t="s">
        <v>26</v>
      </c>
      <c r="F2572" s="2" t="s">
        <v>15</v>
      </c>
      <c r="G2572" s="7">
        <v>94.05</v>
      </c>
      <c r="H2572" s="7">
        <v>2866.45</v>
      </c>
      <c r="I2572" s="2" t="s">
        <v>16</v>
      </c>
      <c r="J2572" s="2" t="s">
        <v>16</v>
      </c>
      <c r="K2572" s="2" t="s">
        <v>29</v>
      </c>
      <c r="L2572" s="7">
        <v>2866.45</v>
      </c>
      <c r="M2572" s="2" t="str">
        <f>_xlfn.IFS(TelecomData[[#This Row],[TenureMonths]]&lt;=12, "0-1 Year", TelecomData[[#This Row],[TenureMonths]]&lt;=36, "1-3 Years", TelecomData[[#This Row],[TenureMonths]]&gt;36, "3+ Years")</f>
        <v>1-3 Years</v>
      </c>
      <c r="N2572" s="2" t="str">
        <f>IF(TelecomData[[#This Row],[CleanedTotalCharges]]&gt;=2500,"High Spend", "Standard Spend")</f>
        <v>High Spend</v>
      </c>
    </row>
    <row r="2573" spans="1:14" x14ac:dyDescent="0.3">
      <c r="A2573" s="1" t="s">
        <v>2597</v>
      </c>
      <c r="B2573" s="2" t="s">
        <v>12</v>
      </c>
      <c r="C2573" s="2" t="s">
        <v>35</v>
      </c>
      <c r="D2573" s="2">
        <v>42</v>
      </c>
      <c r="E2573" s="2" t="s">
        <v>26</v>
      </c>
      <c r="F2573" s="2" t="s">
        <v>16</v>
      </c>
      <c r="G2573" s="7">
        <v>100.4</v>
      </c>
      <c r="H2573" s="7">
        <v>4303.6499999999996</v>
      </c>
      <c r="I2573" s="2" t="s">
        <v>15</v>
      </c>
      <c r="J2573" s="2" t="s">
        <v>16</v>
      </c>
      <c r="K2573" s="2" t="s">
        <v>17</v>
      </c>
      <c r="L2573" s="7">
        <v>4303.6499999999996</v>
      </c>
      <c r="M2573" s="2" t="str">
        <f>_xlfn.IFS(TelecomData[[#This Row],[TenureMonths]]&lt;=12, "0-1 Year", TelecomData[[#This Row],[TenureMonths]]&lt;=36, "1-3 Years", TelecomData[[#This Row],[TenureMonths]]&gt;36, "3+ Years")</f>
        <v>3+ Years</v>
      </c>
      <c r="N2573" s="2" t="str">
        <f>IF(TelecomData[[#This Row],[CleanedTotalCharges]]&gt;=2500,"High Spend", "Standard Spend")</f>
        <v>High Spend</v>
      </c>
    </row>
    <row r="2574" spans="1:14" x14ac:dyDescent="0.3">
      <c r="A2574" s="1" t="s">
        <v>2598</v>
      </c>
      <c r="B2574" s="2" t="s">
        <v>12</v>
      </c>
      <c r="C2574" s="2" t="s">
        <v>35</v>
      </c>
      <c r="D2574" s="2">
        <v>71</v>
      </c>
      <c r="E2574" s="2" t="s">
        <v>15</v>
      </c>
      <c r="F2574" s="2" t="s">
        <v>36</v>
      </c>
      <c r="G2574" s="7">
        <v>25</v>
      </c>
      <c r="H2574" s="7">
        <v>1753</v>
      </c>
      <c r="I2574" s="2" t="s">
        <v>15</v>
      </c>
      <c r="J2574" s="2" t="s">
        <v>15</v>
      </c>
      <c r="K2574" s="2" t="s">
        <v>24</v>
      </c>
      <c r="L2574" s="7">
        <v>1753</v>
      </c>
      <c r="M2574" s="2" t="str">
        <f>_xlfn.IFS(TelecomData[[#This Row],[TenureMonths]]&lt;=12, "0-1 Year", TelecomData[[#This Row],[TenureMonths]]&lt;=36, "1-3 Years", TelecomData[[#This Row],[TenureMonths]]&gt;36, "3+ Years")</f>
        <v>3+ Years</v>
      </c>
      <c r="N2574" s="2" t="str">
        <f>IF(TelecomData[[#This Row],[CleanedTotalCharges]]&gt;=2500,"High Spend", "Standard Spend")</f>
        <v>Standard Spend</v>
      </c>
    </row>
    <row r="2575" spans="1:14" x14ac:dyDescent="0.3">
      <c r="A2575" s="1" t="s">
        <v>2599</v>
      </c>
      <c r="B2575" s="2" t="s">
        <v>12</v>
      </c>
      <c r="C2575" s="2" t="s">
        <v>13</v>
      </c>
      <c r="D2575" s="2">
        <v>1</v>
      </c>
      <c r="E2575" s="2" t="s">
        <v>14</v>
      </c>
      <c r="F2575" s="2" t="s">
        <v>15</v>
      </c>
      <c r="G2575" s="7">
        <v>54.75</v>
      </c>
      <c r="H2575" s="7">
        <v>54.75</v>
      </c>
      <c r="I2575" s="2" t="s">
        <v>16</v>
      </c>
      <c r="J2575" s="2" t="s">
        <v>16</v>
      </c>
      <c r="K2575" s="2" t="s">
        <v>21</v>
      </c>
      <c r="L2575" s="7">
        <v>54.75</v>
      </c>
      <c r="M2575" s="2" t="str">
        <f>_xlfn.IFS(TelecomData[[#This Row],[TenureMonths]]&lt;=12, "0-1 Year", TelecomData[[#This Row],[TenureMonths]]&lt;=36, "1-3 Years", TelecomData[[#This Row],[TenureMonths]]&gt;36, "3+ Years")</f>
        <v>0-1 Year</v>
      </c>
      <c r="N2575" s="2" t="str">
        <f>IF(TelecomData[[#This Row],[CleanedTotalCharges]]&gt;=2500,"High Spend", "Standard Spend")</f>
        <v>Standard Spend</v>
      </c>
    </row>
    <row r="2576" spans="1:14" x14ac:dyDescent="0.3">
      <c r="A2576" s="1" t="s">
        <v>2600</v>
      </c>
      <c r="B2576" s="2" t="s">
        <v>19</v>
      </c>
      <c r="C2576" s="2" t="s">
        <v>13</v>
      </c>
      <c r="D2576" s="2">
        <v>39</v>
      </c>
      <c r="E2576" s="2" t="s">
        <v>26</v>
      </c>
      <c r="F2576" s="2" t="s">
        <v>15</v>
      </c>
      <c r="G2576" s="7">
        <v>95.65</v>
      </c>
      <c r="H2576" s="7">
        <v>3759.05</v>
      </c>
      <c r="I2576" s="2" t="s">
        <v>16</v>
      </c>
      <c r="J2576" s="2" t="s">
        <v>16</v>
      </c>
      <c r="K2576" s="2" t="s">
        <v>24</v>
      </c>
      <c r="L2576" s="7">
        <v>3759.05</v>
      </c>
      <c r="M2576" s="2" t="str">
        <f>_xlfn.IFS(TelecomData[[#This Row],[TenureMonths]]&lt;=12, "0-1 Year", TelecomData[[#This Row],[TenureMonths]]&lt;=36, "1-3 Years", TelecomData[[#This Row],[TenureMonths]]&gt;36, "3+ Years")</f>
        <v>3+ Years</v>
      </c>
      <c r="N2576" s="2" t="str">
        <f>IF(TelecomData[[#This Row],[CleanedTotalCharges]]&gt;=2500,"High Spend", "Standard Spend")</f>
        <v>High Spend</v>
      </c>
    </row>
    <row r="2577" spans="1:14" x14ac:dyDescent="0.3">
      <c r="A2577" s="1" t="s">
        <v>2601</v>
      </c>
      <c r="B2577" s="2" t="s">
        <v>12</v>
      </c>
      <c r="C2577" s="2" t="s">
        <v>13</v>
      </c>
      <c r="D2577" s="2">
        <v>35</v>
      </c>
      <c r="E2577" s="2" t="s">
        <v>15</v>
      </c>
      <c r="F2577" s="2" t="s">
        <v>36</v>
      </c>
      <c r="G2577" s="7">
        <v>19.25</v>
      </c>
      <c r="H2577" s="7">
        <v>617.65</v>
      </c>
      <c r="I2577" s="2" t="s">
        <v>15</v>
      </c>
      <c r="J2577" s="2" t="s">
        <v>15</v>
      </c>
      <c r="K2577" s="2" t="s">
        <v>24</v>
      </c>
      <c r="L2577" s="7">
        <v>617.65</v>
      </c>
      <c r="M2577" s="2" t="str">
        <f>_xlfn.IFS(TelecomData[[#This Row],[TenureMonths]]&lt;=12, "0-1 Year", TelecomData[[#This Row],[TenureMonths]]&lt;=36, "1-3 Years", TelecomData[[#This Row],[TenureMonths]]&gt;36, "3+ Years")</f>
        <v>1-3 Years</v>
      </c>
      <c r="N2577" s="2" t="str">
        <f>IF(TelecomData[[#This Row],[CleanedTotalCharges]]&gt;=2500,"High Spend", "Standard Spend")</f>
        <v>Standard Spend</v>
      </c>
    </row>
    <row r="2578" spans="1:14" x14ac:dyDescent="0.3">
      <c r="A2578" s="1" t="s">
        <v>2602</v>
      </c>
      <c r="B2578" s="2" t="s">
        <v>12</v>
      </c>
      <c r="C2578" s="2" t="s">
        <v>13</v>
      </c>
      <c r="D2578" s="2">
        <v>53</v>
      </c>
      <c r="E2578" s="2" t="s">
        <v>26</v>
      </c>
      <c r="F2578" s="2" t="s">
        <v>16</v>
      </c>
      <c r="G2578" s="7">
        <v>108.25</v>
      </c>
      <c r="H2578" s="7">
        <v>5935.1</v>
      </c>
      <c r="I2578" s="2" t="s">
        <v>15</v>
      </c>
      <c r="J2578" s="2" t="s">
        <v>16</v>
      </c>
      <c r="K2578" s="2" t="s">
        <v>24</v>
      </c>
      <c r="L2578" s="7">
        <v>5935.1</v>
      </c>
      <c r="M2578" s="2" t="str">
        <f>_xlfn.IFS(TelecomData[[#This Row],[TenureMonths]]&lt;=12, "0-1 Year", TelecomData[[#This Row],[TenureMonths]]&lt;=36, "1-3 Years", TelecomData[[#This Row],[TenureMonths]]&gt;36, "3+ Years")</f>
        <v>3+ Years</v>
      </c>
      <c r="N2578" s="2" t="str">
        <f>IF(TelecomData[[#This Row],[CleanedTotalCharges]]&gt;=2500,"High Spend", "Standard Spend")</f>
        <v>High Spend</v>
      </c>
    </row>
    <row r="2579" spans="1:14" x14ac:dyDescent="0.3">
      <c r="A2579" s="1" t="s">
        <v>2603</v>
      </c>
      <c r="B2579" s="2" t="s">
        <v>12</v>
      </c>
      <c r="C2579" s="2" t="s">
        <v>13</v>
      </c>
      <c r="D2579" s="2">
        <v>1</v>
      </c>
      <c r="E2579" s="2" t="s">
        <v>26</v>
      </c>
      <c r="F2579" s="2" t="s">
        <v>15</v>
      </c>
      <c r="G2579" s="7">
        <v>94.6</v>
      </c>
      <c r="H2579" s="7">
        <v>94.6</v>
      </c>
      <c r="I2579" s="2" t="s">
        <v>16</v>
      </c>
      <c r="J2579" s="2" t="s">
        <v>16</v>
      </c>
      <c r="K2579" s="2" t="s">
        <v>17</v>
      </c>
      <c r="L2579" s="7">
        <v>94.6</v>
      </c>
      <c r="M2579" s="2" t="str">
        <f>_xlfn.IFS(TelecomData[[#This Row],[TenureMonths]]&lt;=12, "0-1 Year", TelecomData[[#This Row],[TenureMonths]]&lt;=36, "1-3 Years", TelecomData[[#This Row],[TenureMonths]]&gt;36, "3+ Years")</f>
        <v>0-1 Year</v>
      </c>
      <c r="N2579" s="2" t="str">
        <f>IF(TelecomData[[#This Row],[CleanedTotalCharges]]&gt;=2500,"High Spend", "Standard Spend")</f>
        <v>Standard Spend</v>
      </c>
    </row>
    <row r="2580" spans="1:14" x14ac:dyDescent="0.3">
      <c r="A2580" s="1" t="s">
        <v>2604</v>
      </c>
      <c r="B2580" s="2" t="s">
        <v>12</v>
      </c>
      <c r="C2580" s="2" t="s">
        <v>13</v>
      </c>
      <c r="D2580" s="2">
        <v>31</v>
      </c>
      <c r="E2580" s="2" t="s">
        <v>26</v>
      </c>
      <c r="F2580" s="2" t="s">
        <v>16</v>
      </c>
      <c r="G2580" s="7">
        <v>98.9</v>
      </c>
      <c r="H2580" s="7">
        <v>2911.3</v>
      </c>
      <c r="I2580" s="2" t="s">
        <v>16</v>
      </c>
      <c r="J2580" s="2" t="s">
        <v>16</v>
      </c>
      <c r="K2580" s="2" t="s">
        <v>17</v>
      </c>
      <c r="L2580" s="7">
        <v>2911.3</v>
      </c>
      <c r="M2580" s="2" t="str">
        <f>_xlfn.IFS(TelecomData[[#This Row],[TenureMonths]]&lt;=12, "0-1 Year", TelecomData[[#This Row],[TenureMonths]]&lt;=36, "1-3 Years", TelecomData[[#This Row],[TenureMonths]]&gt;36, "3+ Years")</f>
        <v>1-3 Years</v>
      </c>
      <c r="N2580" s="2" t="str">
        <f>IF(TelecomData[[#This Row],[CleanedTotalCharges]]&gt;=2500,"High Spend", "Standard Spend")</f>
        <v>High Spend</v>
      </c>
    </row>
    <row r="2581" spans="1:14" x14ac:dyDescent="0.3">
      <c r="A2581" s="1" t="s">
        <v>2605</v>
      </c>
      <c r="B2581" s="2" t="s">
        <v>19</v>
      </c>
      <c r="C2581" s="2" t="s">
        <v>35</v>
      </c>
      <c r="D2581" s="2">
        <v>48</v>
      </c>
      <c r="E2581" s="2" t="s">
        <v>15</v>
      </c>
      <c r="F2581" s="2" t="s">
        <v>36</v>
      </c>
      <c r="G2581" s="7">
        <v>20.149999999999999</v>
      </c>
      <c r="H2581" s="7">
        <v>982.95</v>
      </c>
      <c r="I2581" s="2" t="s">
        <v>15</v>
      </c>
      <c r="J2581" s="2" t="s">
        <v>15</v>
      </c>
      <c r="K2581" s="2" t="s">
        <v>29</v>
      </c>
      <c r="L2581" s="7">
        <v>982.95</v>
      </c>
      <c r="M2581" s="2" t="str">
        <f>_xlfn.IFS(TelecomData[[#This Row],[TenureMonths]]&lt;=12, "0-1 Year", TelecomData[[#This Row],[TenureMonths]]&lt;=36, "1-3 Years", TelecomData[[#This Row],[TenureMonths]]&gt;36, "3+ Years")</f>
        <v>3+ Years</v>
      </c>
      <c r="N2581" s="2" t="str">
        <f>IF(TelecomData[[#This Row],[CleanedTotalCharges]]&gt;=2500,"High Spend", "Standard Spend")</f>
        <v>Standard Spend</v>
      </c>
    </row>
    <row r="2582" spans="1:14" x14ac:dyDescent="0.3">
      <c r="A2582" s="1" t="s">
        <v>2606</v>
      </c>
      <c r="B2582" s="2" t="s">
        <v>12</v>
      </c>
      <c r="C2582" s="2" t="s">
        <v>13</v>
      </c>
      <c r="D2582" s="2">
        <v>30</v>
      </c>
      <c r="E2582" s="2" t="s">
        <v>26</v>
      </c>
      <c r="F2582" s="2" t="s">
        <v>16</v>
      </c>
      <c r="G2582" s="7">
        <v>101.3</v>
      </c>
      <c r="H2582" s="7">
        <v>2974.5</v>
      </c>
      <c r="I2582" s="2" t="s">
        <v>15</v>
      </c>
      <c r="J2582" s="2" t="s">
        <v>16</v>
      </c>
      <c r="K2582" s="2" t="s">
        <v>17</v>
      </c>
      <c r="L2582" s="7">
        <v>2974.5</v>
      </c>
      <c r="M2582" s="2" t="str">
        <f>_xlfn.IFS(TelecomData[[#This Row],[TenureMonths]]&lt;=12, "0-1 Year", TelecomData[[#This Row],[TenureMonths]]&lt;=36, "1-3 Years", TelecomData[[#This Row],[TenureMonths]]&gt;36, "3+ Years")</f>
        <v>1-3 Years</v>
      </c>
      <c r="N2582" s="2" t="str">
        <f>IF(TelecomData[[#This Row],[CleanedTotalCharges]]&gt;=2500,"High Spend", "Standard Spend")</f>
        <v>High Spend</v>
      </c>
    </row>
    <row r="2583" spans="1:14" x14ac:dyDescent="0.3">
      <c r="A2583" s="1" t="s">
        <v>2607</v>
      </c>
      <c r="B2583" s="2" t="s">
        <v>19</v>
      </c>
      <c r="C2583" s="2" t="s">
        <v>13</v>
      </c>
      <c r="D2583" s="2">
        <v>10</v>
      </c>
      <c r="E2583" s="2" t="s">
        <v>15</v>
      </c>
      <c r="F2583" s="2" t="s">
        <v>36</v>
      </c>
      <c r="G2583" s="7">
        <v>20</v>
      </c>
      <c r="H2583" s="7">
        <v>198.7</v>
      </c>
      <c r="I2583" s="2" t="s">
        <v>15</v>
      </c>
      <c r="J2583" s="2" t="s">
        <v>15</v>
      </c>
      <c r="K2583" s="2" t="s">
        <v>29</v>
      </c>
      <c r="L2583" s="7">
        <v>198.7</v>
      </c>
      <c r="M2583" s="2" t="str">
        <f>_xlfn.IFS(TelecomData[[#This Row],[TenureMonths]]&lt;=12, "0-1 Year", TelecomData[[#This Row],[TenureMonths]]&lt;=36, "1-3 Years", TelecomData[[#This Row],[TenureMonths]]&gt;36, "3+ Years")</f>
        <v>0-1 Year</v>
      </c>
      <c r="N2583" s="2" t="str">
        <f>IF(TelecomData[[#This Row],[CleanedTotalCharges]]&gt;=2500,"High Spend", "Standard Spend")</f>
        <v>Standard Spend</v>
      </c>
    </row>
    <row r="2584" spans="1:14" x14ac:dyDescent="0.3">
      <c r="A2584" s="1" t="s">
        <v>2608</v>
      </c>
      <c r="B2584" s="2" t="s">
        <v>12</v>
      </c>
      <c r="C2584" s="2" t="s">
        <v>13</v>
      </c>
      <c r="D2584" s="2">
        <v>12</v>
      </c>
      <c r="E2584" s="2" t="s">
        <v>26</v>
      </c>
      <c r="F2584" s="2" t="s">
        <v>15</v>
      </c>
      <c r="G2584" s="7">
        <v>105.3</v>
      </c>
      <c r="H2584" s="7">
        <v>1275.6500000000001</v>
      </c>
      <c r="I2584" s="2" t="s">
        <v>15</v>
      </c>
      <c r="J2584" s="2" t="s">
        <v>16</v>
      </c>
      <c r="K2584" s="2" t="s">
        <v>17</v>
      </c>
      <c r="L2584" s="7">
        <v>1275.6500000000001</v>
      </c>
      <c r="M2584" s="2" t="str">
        <f>_xlfn.IFS(TelecomData[[#This Row],[TenureMonths]]&lt;=12, "0-1 Year", TelecomData[[#This Row],[TenureMonths]]&lt;=36, "1-3 Years", TelecomData[[#This Row],[TenureMonths]]&gt;36, "3+ Years")</f>
        <v>0-1 Year</v>
      </c>
      <c r="N2584" s="2" t="str">
        <f>IF(TelecomData[[#This Row],[CleanedTotalCharges]]&gt;=2500,"High Spend", "Standard Spend")</f>
        <v>Standard Spend</v>
      </c>
    </row>
    <row r="2585" spans="1:14" x14ac:dyDescent="0.3">
      <c r="A2585" s="1" t="s">
        <v>2609</v>
      </c>
      <c r="B2585" s="2" t="s">
        <v>12</v>
      </c>
      <c r="C2585" s="2" t="s">
        <v>35</v>
      </c>
      <c r="D2585" s="2">
        <v>57</v>
      </c>
      <c r="E2585" s="2" t="s">
        <v>14</v>
      </c>
      <c r="F2585" s="2" t="s">
        <v>16</v>
      </c>
      <c r="G2585" s="7">
        <v>69.849999999999994</v>
      </c>
      <c r="H2585" s="7">
        <v>4003</v>
      </c>
      <c r="I2585" s="2" t="s">
        <v>15</v>
      </c>
      <c r="J2585" s="2" t="s">
        <v>15</v>
      </c>
      <c r="K2585" s="2" t="s">
        <v>24</v>
      </c>
      <c r="L2585" s="7">
        <v>4003</v>
      </c>
      <c r="M2585" s="2" t="str">
        <f>_xlfn.IFS(TelecomData[[#This Row],[TenureMonths]]&lt;=12, "0-1 Year", TelecomData[[#This Row],[TenureMonths]]&lt;=36, "1-3 Years", TelecomData[[#This Row],[TenureMonths]]&gt;36, "3+ Years")</f>
        <v>3+ Years</v>
      </c>
      <c r="N2585" s="2" t="str">
        <f>IF(TelecomData[[#This Row],[CleanedTotalCharges]]&gt;=2500,"High Spend", "Standard Spend")</f>
        <v>High Spend</v>
      </c>
    </row>
    <row r="2586" spans="1:14" x14ac:dyDescent="0.3">
      <c r="A2586" s="1" t="s">
        <v>2610</v>
      </c>
      <c r="B2586" s="2" t="s">
        <v>12</v>
      </c>
      <c r="C2586" s="2" t="s">
        <v>13</v>
      </c>
      <c r="D2586" s="2">
        <v>58</v>
      </c>
      <c r="E2586" s="2" t="s">
        <v>14</v>
      </c>
      <c r="F2586" s="2" t="s">
        <v>15</v>
      </c>
      <c r="G2586" s="7">
        <v>65.25</v>
      </c>
      <c r="H2586" s="7">
        <v>3791.6</v>
      </c>
      <c r="I2586" s="2" t="s">
        <v>15</v>
      </c>
      <c r="J2586" s="2" t="s">
        <v>16</v>
      </c>
      <c r="K2586" s="2" t="s">
        <v>29</v>
      </c>
      <c r="L2586" s="7">
        <v>3791.6</v>
      </c>
      <c r="M2586" s="2" t="str">
        <f>_xlfn.IFS(TelecomData[[#This Row],[TenureMonths]]&lt;=12, "0-1 Year", TelecomData[[#This Row],[TenureMonths]]&lt;=36, "1-3 Years", TelecomData[[#This Row],[TenureMonths]]&gt;36, "3+ Years")</f>
        <v>3+ Years</v>
      </c>
      <c r="N2586" s="2" t="str">
        <f>IF(TelecomData[[#This Row],[CleanedTotalCharges]]&gt;=2500,"High Spend", "Standard Spend")</f>
        <v>High Spend</v>
      </c>
    </row>
    <row r="2587" spans="1:14" x14ac:dyDescent="0.3">
      <c r="A2587" s="1" t="s">
        <v>2611</v>
      </c>
      <c r="B2587" s="2" t="s">
        <v>12</v>
      </c>
      <c r="C2587" s="2" t="s">
        <v>35</v>
      </c>
      <c r="D2587" s="2">
        <v>37</v>
      </c>
      <c r="E2587" s="2" t="s">
        <v>15</v>
      </c>
      <c r="F2587" s="2" t="s">
        <v>36</v>
      </c>
      <c r="G2587" s="7">
        <v>19.8</v>
      </c>
      <c r="H2587" s="7">
        <v>813.3</v>
      </c>
      <c r="I2587" s="2" t="s">
        <v>15</v>
      </c>
      <c r="J2587" s="2" t="s">
        <v>15</v>
      </c>
      <c r="K2587" s="2" t="s">
        <v>21</v>
      </c>
      <c r="L2587" s="7">
        <v>813.3</v>
      </c>
      <c r="M2587" s="2" t="str">
        <f>_xlfn.IFS(TelecomData[[#This Row],[TenureMonths]]&lt;=12, "0-1 Year", TelecomData[[#This Row],[TenureMonths]]&lt;=36, "1-3 Years", TelecomData[[#This Row],[TenureMonths]]&gt;36, "3+ Years")</f>
        <v>3+ Years</v>
      </c>
      <c r="N2587" s="2" t="str">
        <f>IF(TelecomData[[#This Row],[CleanedTotalCharges]]&gt;=2500,"High Spend", "Standard Spend")</f>
        <v>Standard Spend</v>
      </c>
    </row>
    <row r="2588" spans="1:14" x14ac:dyDescent="0.3">
      <c r="A2588" s="1" t="s">
        <v>2612</v>
      </c>
      <c r="B2588" s="2" t="s">
        <v>12</v>
      </c>
      <c r="C2588" s="2" t="s">
        <v>13</v>
      </c>
      <c r="D2588" s="2">
        <v>44</v>
      </c>
      <c r="E2588" s="2" t="s">
        <v>15</v>
      </c>
      <c r="F2588" s="2" t="s">
        <v>36</v>
      </c>
      <c r="G2588" s="7">
        <v>19.600000000000001</v>
      </c>
      <c r="H2588" s="7">
        <v>780.25</v>
      </c>
      <c r="I2588" s="2" t="s">
        <v>15</v>
      </c>
      <c r="J2588" s="2" t="s">
        <v>15</v>
      </c>
      <c r="K2588" s="2" t="s">
        <v>21</v>
      </c>
      <c r="L2588" s="7">
        <v>780.25</v>
      </c>
      <c r="M2588" s="2" t="str">
        <f>_xlfn.IFS(TelecomData[[#This Row],[TenureMonths]]&lt;=12, "0-1 Year", TelecomData[[#This Row],[TenureMonths]]&lt;=36, "1-3 Years", TelecomData[[#This Row],[TenureMonths]]&gt;36, "3+ Years")</f>
        <v>3+ Years</v>
      </c>
      <c r="N2588" s="2" t="str">
        <f>IF(TelecomData[[#This Row],[CleanedTotalCharges]]&gt;=2500,"High Spend", "Standard Spend")</f>
        <v>Standard Spend</v>
      </c>
    </row>
    <row r="2589" spans="1:14" x14ac:dyDescent="0.3">
      <c r="A2589" s="1" t="s">
        <v>2613</v>
      </c>
      <c r="B2589" s="2" t="s">
        <v>19</v>
      </c>
      <c r="C2589" s="2" t="s">
        <v>20</v>
      </c>
      <c r="D2589" s="2">
        <v>27</v>
      </c>
      <c r="E2589" s="2" t="s">
        <v>15</v>
      </c>
      <c r="F2589" s="2" t="s">
        <v>36</v>
      </c>
      <c r="G2589" s="7">
        <v>20.05</v>
      </c>
      <c r="H2589" s="7">
        <v>552.9</v>
      </c>
      <c r="I2589" s="2" t="s">
        <v>15</v>
      </c>
      <c r="J2589" s="2" t="s">
        <v>15</v>
      </c>
      <c r="K2589" s="2" t="s">
        <v>29</v>
      </c>
      <c r="L2589" s="7">
        <v>552.9</v>
      </c>
      <c r="M2589" s="2" t="str">
        <f>_xlfn.IFS(TelecomData[[#This Row],[TenureMonths]]&lt;=12, "0-1 Year", TelecomData[[#This Row],[TenureMonths]]&lt;=36, "1-3 Years", TelecomData[[#This Row],[TenureMonths]]&gt;36, "3+ Years")</f>
        <v>1-3 Years</v>
      </c>
      <c r="N2589" s="2" t="str">
        <f>IF(TelecomData[[#This Row],[CleanedTotalCharges]]&gt;=2500,"High Spend", "Standard Spend")</f>
        <v>Standard Spend</v>
      </c>
    </row>
    <row r="2590" spans="1:14" x14ac:dyDescent="0.3">
      <c r="A2590" s="1" t="s">
        <v>2614</v>
      </c>
      <c r="B2590" s="2" t="s">
        <v>12</v>
      </c>
      <c r="C2590" s="2" t="s">
        <v>13</v>
      </c>
      <c r="D2590" s="2">
        <v>8</v>
      </c>
      <c r="E2590" s="2" t="s">
        <v>14</v>
      </c>
      <c r="F2590" s="2" t="s">
        <v>16</v>
      </c>
      <c r="G2590" s="7">
        <v>49.4</v>
      </c>
      <c r="H2590" s="7">
        <v>408.25</v>
      </c>
      <c r="I2590" s="2" t="s">
        <v>15</v>
      </c>
      <c r="J2590" s="2" t="s">
        <v>15</v>
      </c>
      <c r="K2590" s="2" t="s">
        <v>17</v>
      </c>
      <c r="L2590" s="7">
        <v>408.25</v>
      </c>
      <c r="M2590" s="2" t="str">
        <f>_xlfn.IFS(TelecomData[[#This Row],[TenureMonths]]&lt;=12, "0-1 Year", TelecomData[[#This Row],[TenureMonths]]&lt;=36, "1-3 Years", TelecomData[[#This Row],[TenureMonths]]&gt;36, "3+ Years")</f>
        <v>0-1 Year</v>
      </c>
      <c r="N2590" s="2" t="str">
        <f>IF(TelecomData[[#This Row],[CleanedTotalCharges]]&gt;=2500,"High Spend", "Standard Spend")</f>
        <v>Standard Spend</v>
      </c>
    </row>
    <row r="2591" spans="1:14" x14ac:dyDescent="0.3">
      <c r="A2591" s="1" t="s">
        <v>2615</v>
      </c>
      <c r="B2591" s="2" t="s">
        <v>19</v>
      </c>
      <c r="C2591" s="2" t="s">
        <v>13</v>
      </c>
      <c r="D2591" s="2">
        <v>3</v>
      </c>
      <c r="E2591" s="2" t="s">
        <v>26</v>
      </c>
      <c r="F2591" s="2" t="s">
        <v>15</v>
      </c>
      <c r="G2591" s="7">
        <v>76.05</v>
      </c>
      <c r="H2591" s="7">
        <v>231.8</v>
      </c>
      <c r="I2591" s="2" t="s">
        <v>16</v>
      </c>
      <c r="J2591" s="2" t="s">
        <v>16</v>
      </c>
      <c r="K2591" s="2" t="s">
        <v>17</v>
      </c>
      <c r="L2591" s="7">
        <v>231.8</v>
      </c>
      <c r="M2591" s="2" t="str">
        <f>_xlfn.IFS(TelecomData[[#This Row],[TenureMonths]]&lt;=12, "0-1 Year", TelecomData[[#This Row],[TenureMonths]]&lt;=36, "1-3 Years", TelecomData[[#This Row],[TenureMonths]]&gt;36, "3+ Years")</f>
        <v>0-1 Year</v>
      </c>
      <c r="N2591" s="2" t="str">
        <f>IF(TelecomData[[#This Row],[CleanedTotalCharges]]&gt;=2500,"High Spend", "Standard Spend")</f>
        <v>Standard Spend</v>
      </c>
    </row>
    <row r="2592" spans="1:14" x14ac:dyDescent="0.3">
      <c r="A2592" s="1" t="s">
        <v>2616</v>
      </c>
      <c r="B2592" s="2" t="s">
        <v>12</v>
      </c>
      <c r="C2592" s="2" t="s">
        <v>13</v>
      </c>
      <c r="D2592" s="2">
        <v>25</v>
      </c>
      <c r="E2592" s="2" t="s">
        <v>26</v>
      </c>
      <c r="F2592" s="2" t="s">
        <v>15</v>
      </c>
      <c r="G2592" s="7">
        <v>88.4</v>
      </c>
      <c r="H2592" s="7">
        <v>2191.15</v>
      </c>
      <c r="I2592" s="2" t="s">
        <v>15</v>
      </c>
      <c r="J2592" s="2" t="s">
        <v>15</v>
      </c>
      <c r="K2592" s="2" t="s">
        <v>24</v>
      </c>
      <c r="L2592" s="7">
        <v>2191.15</v>
      </c>
      <c r="M2592" s="2" t="str">
        <f>_xlfn.IFS(TelecomData[[#This Row],[TenureMonths]]&lt;=12, "0-1 Year", TelecomData[[#This Row],[TenureMonths]]&lt;=36, "1-3 Years", TelecomData[[#This Row],[TenureMonths]]&gt;36, "3+ Years")</f>
        <v>1-3 Years</v>
      </c>
      <c r="N2592" s="2" t="str">
        <f>IF(TelecomData[[#This Row],[CleanedTotalCharges]]&gt;=2500,"High Spend", "Standard Spend")</f>
        <v>Standard Spend</v>
      </c>
    </row>
    <row r="2593" spans="1:14" x14ac:dyDescent="0.3">
      <c r="A2593" s="1" t="s">
        <v>2617</v>
      </c>
      <c r="B2593" s="2" t="s">
        <v>12</v>
      </c>
      <c r="C2593" s="2" t="s">
        <v>13</v>
      </c>
      <c r="D2593" s="2">
        <v>57</v>
      </c>
      <c r="E2593" s="2" t="s">
        <v>26</v>
      </c>
      <c r="F2593" s="2" t="s">
        <v>15</v>
      </c>
      <c r="G2593" s="7">
        <v>100.6</v>
      </c>
      <c r="H2593" s="7">
        <v>5611.7</v>
      </c>
      <c r="I2593" s="2" t="s">
        <v>15</v>
      </c>
      <c r="J2593" s="2" t="s">
        <v>16</v>
      </c>
      <c r="K2593" s="2" t="s">
        <v>17</v>
      </c>
      <c r="L2593" s="7">
        <v>5611.7</v>
      </c>
      <c r="M2593" s="2" t="str">
        <f>_xlfn.IFS(TelecomData[[#This Row],[TenureMonths]]&lt;=12, "0-1 Year", TelecomData[[#This Row],[TenureMonths]]&lt;=36, "1-3 Years", TelecomData[[#This Row],[TenureMonths]]&gt;36, "3+ Years")</f>
        <v>3+ Years</v>
      </c>
      <c r="N2593" s="2" t="str">
        <f>IF(TelecomData[[#This Row],[CleanedTotalCharges]]&gt;=2500,"High Spend", "Standard Spend")</f>
        <v>High Spend</v>
      </c>
    </row>
    <row r="2594" spans="1:14" x14ac:dyDescent="0.3">
      <c r="A2594" s="1" t="s">
        <v>2618</v>
      </c>
      <c r="B2594" s="2" t="s">
        <v>12</v>
      </c>
      <c r="C2594" s="2" t="s">
        <v>13</v>
      </c>
      <c r="D2594" s="2">
        <v>12</v>
      </c>
      <c r="E2594" s="2" t="s">
        <v>15</v>
      </c>
      <c r="F2594" s="2" t="s">
        <v>36</v>
      </c>
      <c r="G2594" s="7">
        <v>19.45</v>
      </c>
      <c r="H2594" s="7">
        <v>246.25</v>
      </c>
      <c r="I2594" s="2" t="s">
        <v>15</v>
      </c>
      <c r="J2594" s="2" t="s">
        <v>15</v>
      </c>
      <c r="K2594" s="2" t="s">
        <v>21</v>
      </c>
      <c r="L2594" s="7">
        <v>246.25</v>
      </c>
      <c r="M2594" s="2" t="str">
        <f>_xlfn.IFS(TelecomData[[#This Row],[TenureMonths]]&lt;=12, "0-1 Year", TelecomData[[#This Row],[TenureMonths]]&lt;=36, "1-3 Years", TelecomData[[#This Row],[TenureMonths]]&gt;36, "3+ Years")</f>
        <v>0-1 Year</v>
      </c>
      <c r="N2594" s="2" t="str">
        <f>IF(TelecomData[[#This Row],[CleanedTotalCharges]]&gt;=2500,"High Spend", "Standard Spend")</f>
        <v>Standard Spend</v>
      </c>
    </row>
    <row r="2595" spans="1:14" x14ac:dyDescent="0.3">
      <c r="A2595" s="1" t="s">
        <v>2619</v>
      </c>
      <c r="B2595" s="2" t="s">
        <v>12</v>
      </c>
      <c r="C2595" s="2" t="s">
        <v>35</v>
      </c>
      <c r="D2595" s="2">
        <v>62</v>
      </c>
      <c r="E2595" s="2" t="s">
        <v>15</v>
      </c>
      <c r="F2595" s="2" t="s">
        <v>36</v>
      </c>
      <c r="G2595" s="7">
        <v>20.3</v>
      </c>
      <c r="H2595" s="7">
        <v>1296.1500000000001</v>
      </c>
      <c r="I2595" s="2" t="s">
        <v>15</v>
      </c>
      <c r="J2595" s="2" t="s">
        <v>15</v>
      </c>
      <c r="K2595" s="2" t="s">
        <v>24</v>
      </c>
      <c r="L2595" s="7">
        <v>1296.1500000000001</v>
      </c>
      <c r="M2595" s="2" t="str">
        <f>_xlfn.IFS(TelecomData[[#This Row],[TenureMonths]]&lt;=12, "0-1 Year", TelecomData[[#This Row],[TenureMonths]]&lt;=36, "1-3 Years", TelecomData[[#This Row],[TenureMonths]]&gt;36, "3+ Years")</f>
        <v>3+ Years</v>
      </c>
      <c r="N2595" s="2" t="str">
        <f>IF(TelecomData[[#This Row],[CleanedTotalCharges]]&gt;=2500,"High Spend", "Standard Spend")</f>
        <v>Standard Spend</v>
      </c>
    </row>
    <row r="2596" spans="1:14" x14ac:dyDescent="0.3">
      <c r="A2596" s="1" t="s">
        <v>2620</v>
      </c>
      <c r="B2596" s="2" t="s">
        <v>12</v>
      </c>
      <c r="C2596" s="2" t="s">
        <v>35</v>
      </c>
      <c r="D2596" s="2">
        <v>65</v>
      </c>
      <c r="E2596" s="2" t="s">
        <v>26</v>
      </c>
      <c r="F2596" s="2" t="s">
        <v>16</v>
      </c>
      <c r="G2596" s="7">
        <v>107.65</v>
      </c>
      <c r="H2596" s="7">
        <v>7082.85</v>
      </c>
      <c r="I2596" s="2" t="s">
        <v>15</v>
      </c>
      <c r="J2596" s="2" t="s">
        <v>16</v>
      </c>
      <c r="K2596" s="2" t="s">
        <v>24</v>
      </c>
      <c r="L2596" s="7">
        <v>7082.85</v>
      </c>
      <c r="M2596" s="2" t="str">
        <f>_xlfn.IFS(TelecomData[[#This Row],[TenureMonths]]&lt;=12, "0-1 Year", TelecomData[[#This Row],[TenureMonths]]&lt;=36, "1-3 Years", TelecomData[[#This Row],[TenureMonths]]&gt;36, "3+ Years")</f>
        <v>3+ Years</v>
      </c>
      <c r="N2596" s="2" t="str">
        <f>IF(TelecomData[[#This Row],[CleanedTotalCharges]]&gt;=2500,"High Spend", "Standard Spend")</f>
        <v>High Spend</v>
      </c>
    </row>
    <row r="2597" spans="1:14" x14ac:dyDescent="0.3">
      <c r="A2597" s="1" t="s">
        <v>2621</v>
      </c>
      <c r="B2597" s="2" t="s">
        <v>12</v>
      </c>
      <c r="C2597" s="2" t="s">
        <v>35</v>
      </c>
      <c r="D2597" s="2">
        <v>71</v>
      </c>
      <c r="E2597" s="2" t="s">
        <v>14</v>
      </c>
      <c r="F2597" s="2" t="s">
        <v>16</v>
      </c>
      <c r="G2597" s="7">
        <v>80.45</v>
      </c>
      <c r="H2597" s="7">
        <v>5662.25</v>
      </c>
      <c r="I2597" s="2" t="s">
        <v>15</v>
      </c>
      <c r="J2597" s="2" t="s">
        <v>16</v>
      </c>
      <c r="K2597" s="2" t="s">
        <v>24</v>
      </c>
      <c r="L2597" s="7">
        <v>5662.25</v>
      </c>
      <c r="M2597" s="2" t="str">
        <f>_xlfn.IFS(TelecomData[[#This Row],[TenureMonths]]&lt;=12, "0-1 Year", TelecomData[[#This Row],[TenureMonths]]&lt;=36, "1-3 Years", TelecomData[[#This Row],[TenureMonths]]&gt;36, "3+ Years")</f>
        <v>3+ Years</v>
      </c>
      <c r="N2597" s="2" t="str">
        <f>IF(TelecomData[[#This Row],[CleanedTotalCharges]]&gt;=2500,"High Spend", "Standard Spend")</f>
        <v>High Spend</v>
      </c>
    </row>
    <row r="2598" spans="1:14" x14ac:dyDescent="0.3">
      <c r="A2598" s="1" t="s">
        <v>2622</v>
      </c>
      <c r="B2598" s="2" t="s">
        <v>12</v>
      </c>
      <c r="C2598" s="2" t="s">
        <v>20</v>
      </c>
      <c r="D2598" s="2">
        <v>21</v>
      </c>
      <c r="E2598" s="2" t="s">
        <v>14</v>
      </c>
      <c r="F2598" s="2" t="s">
        <v>15</v>
      </c>
      <c r="G2598" s="7">
        <v>58.85</v>
      </c>
      <c r="H2598" s="7">
        <v>1215.45</v>
      </c>
      <c r="I2598" s="2" t="s">
        <v>15</v>
      </c>
      <c r="J2598" s="2" t="s">
        <v>16</v>
      </c>
      <c r="K2598" s="2" t="s">
        <v>29</v>
      </c>
      <c r="L2598" s="7">
        <v>1215.45</v>
      </c>
      <c r="M2598" s="2" t="str">
        <f>_xlfn.IFS(TelecomData[[#This Row],[TenureMonths]]&lt;=12, "0-1 Year", TelecomData[[#This Row],[TenureMonths]]&lt;=36, "1-3 Years", TelecomData[[#This Row],[TenureMonths]]&gt;36, "3+ Years")</f>
        <v>1-3 Years</v>
      </c>
      <c r="N2598" s="2" t="str">
        <f>IF(TelecomData[[#This Row],[CleanedTotalCharges]]&gt;=2500,"High Spend", "Standard Spend")</f>
        <v>Standard Spend</v>
      </c>
    </row>
    <row r="2599" spans="1:14" x14ac:dyDescent="0.3">
      <c r="A2599" s="1" t="s">
        <v>2623</v>
      </c>
      <c r="B2599" s="2" t="s">
        <v>19</v>
      </c>
      <c r="C2599" s="2" t="s">
        <v>20</v>
      </c>
      <c r="D2599" s="2">
        <v>71</v>
      </c>
      <c r="E2599" s="2" t="s">
        <v>26</v>
      </c>
      <c r="F2599" s="2" t="s">
        <v>15</v>
      </c>
      <c r="G2599" s="7">
        <v>109.6</v>
      </c>
      <c r="H2599" s="7">
        <v>7854.15</v>
      </c>
      <c r="I2599" s="2" t="s">
        <v>15</v>
      </c>
      <c r="J2599" s="2" t="s">
        <v>16</v>
      </c>
      <c r="K2599" s="2" t="s">
        <v>17</v>
      </c>
      <c r="L2599" s="7">
        <v>7854.15</v>
      </c>
      <c r="M2599" s="2" t="str">
        <f>_xlfn.IFS(TelecomData[[#This Row],[TenureMonths]]&lt;=12, "0-1 Year", TelecomData[[#This Row],[TenureMonths]]&lt;=36, "1-3 Years", TelecomData[[#This Row],[TenureMonths]]&gt;36, "3+ Years")</f>
        <v>3+ Years</v>
      </c>
      <c r="N2599" s="2" t="str">
        <f>IF(TelecomData[[#This Row],[CleanedTotalCharges]]&gt;=2500,"High Spend", "Standard Spend")</f>
        <v>High Spend</v>
      </c>
    </row>
    <row r="2600" spans="1:14" x14ac:dyDescent="0.3">
      <c r="A2600" s="1" t="s">
        <v>2624</v>
      </c>
      <c r="B2600" s="2" t="s">
        <v>12</v>
      </c>
      <c r="C2600" s="2" t="s">
        <v>13</v>
      </c>
      <c r="D2600" s="2">
        <v>7</v>
      </c>
      <c r="E2600" s="2" t="s">
        <v>26</v>
      </c>
      <c r="F2600" s="2" t="s">
        <v>15</v>
      </c>
      <c r="G2600" s="7">
        <v>75.150000000000006</v>
      </c>
      <c r="H2600" s="7">
        <v>525</v>
      </c>
      <c r="I2600" s="2" t="s">
        <v>15</v>
      </c>
      <c r="J2600" s="2" t="s">
        <v>16</v>
      </c>
      <c r="K2600" s="2" t="s">
        <v>17</v>
      </c>
      <c r="L2600" s="7">
        <v>525</v>
      </c>
      <c r="M2600" s="2" t="str">
        <f>_xlfn.IFS(TelecomData[[#This Row],[TenureMonths]]&lt;=12, "0-1 Year", TelecomData[[#This Row],[TenureMonths]]&lt;=36, "1-3 Years", TelecomData[[#This Row],[TenureMonths]]&gt;36, "3+ Years")</f>
        <v>0-1 Year</v>
      </c>
      <c r="N2600" s="2" t="str">
        <f>IF(TelecomData[[#This Row],[CleanedTotalCharges]]&gt;=2500,"High Spend", "Standard Spend")</f>
        <v>Standard Spend</v>
      </c>
    </row>
    <row r="2601" spans="1:14" x14ac:dyDescent="0.3">
      <c r="A2601" s="1" t="s">
        <v>2625</v>
      </c>
      <c r="B2601" s="2" t="s">
        <v>12</v>
      </c>
      <c r="C2601" s="2" t="s">
        <v>35</v>
      </c>
      <c r="D2601" s="2">
        <v>72</v>
      </c>
      <c r="E2601" s="2" t="s">
        <v>14</v>
      </c>
      <c r="F2601" s="2" t="s">
        <v>16</v>
      </c>
      <c r="G2601" s="7">
        <v>73</v>
      </c>
      <c r="H2601" s="7">
        <v>5265.2</v>
      </c>
      <c r="I2601" s="2" t="s">
        <v>15</v>
      </c>
      <c r="J2601" s="2" t="s">
        <v>16</v>
      </c>
      <c r="K2601" s="2" t="s">
        <v>29</v>
      </c>
      <c r="L2601" s="7">
        <v>5265.2</v>
      </c>
      <c r="M2601" s="2" t="str">
        <f>_xlfn.IFS(TelecomData[[#This Row],[TenureMonths]]&lt;=12, "0-1 Year", TelecomData[[#This Row],[TenureMonths]]&lt;=36, "1-3 Years", TelecomData[[#This Row],[TenureMonths]]&gt;36, "3+ Years")</f>
        <v>3+ Years</v>
      </c>
      <c r="N2601" s="2" t="str">
        <f>IF(TelecomData[[#This Row],[CleanedTotalCharges]]&gt;=2500,"High Spend", "Standard Spend")</f>
        <v>High Spend</v>
      </c>
    </row>
    <row r="2602" spans="1:14" x14ac:dyDescent="0.3">
      <c r="A2602" s="1" t="s">
        <v>2626</v>
      </c>
      <c r="B2602" s="2" t="s">
        <v>12</v>
      </c>
      <c r="C2602" s="2" t="s">
        <v>13</v>
      </c>
      <c r="D2602" s="2">
        <v>1</v>
      </c>
      <c r="E2602" s="2" t="s">
        <v>26</v>
      </c>
      <c r="F2602" s="2" t="s">
        <v>15</v>
      </c>
      <c r="G2602" s="7">
        <v>70.099999999999994</v>
      </c>
      <c r="H2602" s="7">
        <v>70.099999999999994</v>
      </c>
      <c r="I2602" s="2" t="s">
        <v>15</v>
      </c>
      <c r="J2602" s="2" t="s">
        <v>15</v>
      </c>
      <c r="K2602" s="2" t="s">
        <v>17</v>
      </c>
      <c r="L2602" s="7">
        <v>70.099999999999994</v>
      </c>
      <c r="M2602" s="2" t="str">
        <f>_xlfn.IFS(TelecomData[[#This Row],[TenureMonths]]&lt;=12, "0-1 Year", TelecomData[[#This Row],[TenureMonths]]&lt;=36, "1-3 Years", TelecomData[[#This Row],[TenureMonths]]&gt;36, "3+ Years")</f>
        <v>0-1 Year</v>
      </c>
      <c r="N2602" s="2" t="str">
        <f>IF(TelecomData[[#This Row],[CleanedTotalCharges]]&gt;=2500,"High Spend", "Standard Spend")</f>
        <v>Standard Spend</v>
      </c>
    </row>
    <row r="2603" spans="1:14" x14ac:dyDescent="0.3">
      <c r="A2603" s="1" t="s">
        <v>2627</v>
      </c>
      <c r="B2603" s="2" t="s">
        <v>12</v>
      </c>
      <c r="C2603" s="2" t="s">
        <v>35</v>
      </c>
      <c r="D2603" s="2">
        <v>72</v>
      </c>
      <c r="E2603" s="2" t="s">
        <v>26</v>
      </c>
      <c r="F2603" s="2" t="s">
        <v>16</v>
      </c>
      <c r="G2603" s="7">
        <v>98.65</v>
      </c>
      <c r="H2603" s="7">
        <v>7129.45</v>
      </c>
      <c r="I2603" s="2" t="s">
        <v>15</v>
      </c>
      <c r="J2603" s="2" t="s">
        <v>16</v>
      </c>
      <c r="K2603" s="2" t="s">
        <v>24</v>
      </c>
      <c r="L2603" s="7">
        <v>7129.45</v>
      </c>
      <c r="M2603" s="2" t="str">
        <f>_xlfn.IFS(TelecomData[[#This Row],[TenureMonths]]&lt;=12, "0-1 Year", TelecomData[[#This Row],[TenureMonths]]&lt;=36, "1-3 Years", TelecomData[[#This Row],[TenureMonths]]&gt;36, "3+ Years")</f>
        <v>3+ Years</v>
      </c>
      <c r="N2603" s="2" t="str">
        <f>IF(TelecomData[[#This Row],[CleanedTotalCharges]]&gt;=2500,"High Spend", "Standard Spend")</f>
        <v>High Spend</v>
      </c>
    </row>
    <row r="2604" spans="1:14" x14ac:dyDescent="0.3">
      <c r="A2604" s="1" t="s">
        <v>2628</v>
      </c>
      <c r="B2604" s="2" t="s">
        <v>12</v>
      </c>
      <c r="C2604" s="2" t="s">
        <v>20</v>
      </c>
      <c r="D2604" s="2">
        <v>64</v>
      </c>
      <c r="E2604" s="2" t="s">
        <v>26</v>
      </c>
      <c r="F2604" s="2" t="s">
        <v>16</v>
      </c>
      <c r="G2604" s="7">
        <v>111.45</v>
      </c>
      <c r="H2604" s="7">
        <v>7266.95</v>
      </c>
      <c r="I2604" s="2" t="s">
        <v>15</v>
      </c>
      <c r="J2604" s="2" t="s">
        <v>16</v>
      </c>
      <c r="K2604" s="2" t="s">
        <v>17</v>
      </c>
      <c r="L2604" s="7">
        <v>7266.95</v>
      </c>
      <c r="M2604" s="2" t="str">
        <f>_xlfn.IFS(TelecomData[[#This Row],[TenureMonths]]&lt;=12, "0-1 Year", TelecomData[[#This Row],[TenureMonths]]&lt;=36, "1-3 Years", TelecomData[[#This Row],[TenureMonths]]&gt;36, "3+ Years")</f>
        <v>3+ Years</v>
      </c>
      <c r="N2604" s="2" t="str">
        <f>IF(TelecomData[[#This Row],[CleanedTotalCharges]]&gt;=2500,"High Spend", "Standard Spend")</f>
        <v>High Spend</v>
      </c>
    </row>
    <row r="2605" spans="1:14" x14ac:dyDescent="0.3">
      <c r="A2605" s="1" t="s">
        <v>2629</v>
      </c>
      <c r="B2605" s="2" t="s">
        <v>12</v>
      </c>
      <c r="C2605" s="2" t="s">
        <v>35</v>
      </c>
      <c r="D2605" s="2">
        <v>72</v>
      </c>
      <c r="E2605" s="2" t="s">
        <v>26</v>
      </c>
      <c r="F2605" s="2" t="s">
        <v>16</v>
      </c>
      <c r="G2605" s="7">
        <v>114.9</v>
      </c>
      <c r="H2605" s="7">
        <v>8496.7000000000007</v>
      </c>
      <c r="I2605" s="2" t="s">
        <v>15</v>
      </c>
      <c r="J2605" s="2" t="s">
        <v>16</v>
      </c>
      <c r="K2605" s="2" t="s">
        <v>17</v>
      </c>
      <c r="L2605" s="7">
        <v>8496.7000000000007</v>
      </c>
      <c r="M2605" s="2" t="str">
        <f>_xlfn.IFS(TelecomData[[#This Row],[TenureMonths]]&lt;=12, "0-1 Year", TelecomData[[#This Row],[TenureMonths]]&lt;=36, "1-3 Years", TelecomData[[#This Row],[TenureMonths]]&gt;36, "3+ Years")</f>
        <v>3+ Years</v>
      </c>
      <c r="N2605" s="2" t="str">
        <f>IF(TelecomData[[#This Row],[CleanedTotalCharges]]&gt;=2500,"High Spend", "Standard Spend")</f>
        <v>High Spend</v>
      </c>
    </row>
    <row r="2606" spans="1:14" x14ac:dyDescent="0.3">
      <c r="A2606" s="1" t="s">
        <v>2630</v>
      </c>
      <c r="B2606" s="2" t="s">
        <v>12</v>
      </c>
      <c r="C2606" s="2" t="s">
        <v>13</v>
      </c>
      <c r="D2606" s="2">
        <v>29</v>
      </c>
      <c r="E2606" s="2" t="s">
        <v>26</v>
      </c>
      <c r="F2606" s="2" t="s">
        <v>15</v>
      </c>
      <c r="G2606" s="7">
        <v>100.55</v>
      </c>
      <c r="H2606" s="7">
        <v>2878.75</v>
      </c>
      <c r="I2606" s="2" t="s">
        <v>15</v>
      </c>
      <c r="J2606" s="2" t="s">
        <v>15</v>
      </c>
      <c r="K2606" s="2" t="s">
        <v>24</v>
      </c>
      <c r="L2606" s="7">
        <v>2878.75</v>
      </c>
      <c r="M2606" s="2" t="str">
        <f>_xlfn.IFS(TelecomData[[#This Row],[TenureMonths]]&lt;=12, "0-1 Year", TelecomData[[#This Row],[TenureMonths]]&lt;=36, "1-3 Years", TelecomData[[#This Row],[TenureMonths]]&gt;36, "3+ Years")</f>
        <v>1-3 Years</v>
      </c>
      <c r="N2606" s="2" t="str">
        <f>IF(TelecomData[[#This Row],[CleanedTotalCharges]]&gt;=2500,"High Spend", "Standard Spend")</f>
        <v>High Spend</v>
      </c>
    </row>
    <row r="2607" spans="1:14" x14ac:dyDescent="0.3">
      <c r="A2607" s="1" t="s">
        <v>2631</v>
      </c>
      <c r="B2607" s="2" t="s">
        <v>12</v>
      </c>
      <c r="C2607" s="2" t="s">
        <v>35</v>
      </c>
      <c r="D2607" s="2">
        <v>13</v>
      </c>
      <c r="E2607" s="2" t="s">
        <v>15</v>
      </c>
      <c r="F2607" s="2" t="s">
        <v>36</v>
      </c>
      <c r="G2607" s="7">
        <v>20.399999999999999</v>
      </c>
      <c r="H2607" s="7">
        <v>261.3</v>
      </c>
      <c r="I2607" s="2" t="s">
        <v>15</v>
      </c>
      <c r="J2607" s="2" t="s">
        <v>16</v>
      </c>
      <c r="K2607" s="2" t="s">
        <v>21</v>
      </c>
      <c r="L2607" s="7">
        <v>261.3</v>
      </c>
      <c r="M2607" s="2" t="str">
        <f>_xlfn.IFS(TelecomData[[#This Row],[TenureMonths]]&lt;=12, "0-1 Year", TelecomData[[#This Row],[TenureMonths]]&lt;=36, "1-3 Years", TelecomData[[#This Row],[TenureMonths]]&gt;36, "3+ Years")</f>
        <v>1-3 Years</v>
      </c>
      <c r="N2607" s="2" t="str">
        <f>IF(TelecomData[[#This Row],[CleanedTotalCharges]]&gt;=2500,"High Spend", "Standard Spend")</f>
        <v>Standard Spend</v>
      </c>
    </row>
    <row r="2608" spans="1:14" x14ac:dyDescent="0.3">
      <c r="A2608" s="1" t="s">
        <v>2632</v>
      </c>
      <c r="B2608" s="2" t="s">
        <v>12</v>
      </c>
      <c r="C2608" s="2" t="s">
        <v>13</v>
      </c>
      <c r="D2608" s="2">
        <v>31</v>
      </c>
      <c r="E2608" s="2" t="s">
        <v>26</v>
      </c>
      <c r="F2608" s="2" t="s">
        <v>15</v>
      </c>
      <c r="G2608" s="7">
        <v>104.35</v>
      </c>
      <c r="H2608" s="7">
        <v>3205.6</v>
      </c>
      <c r="I2608" s="2" t="s">
        <v>15</v>
      </c>
      <c r="J2608" s="2" t="s">
        <v>15</v>
      </c>
      <c r="K2608" s="2" t="s">
        <v>17</v>
      </c>
      <c r="L2608" s="7">
        <v>3205.6</v>
      </c>
      <c r="M2608" s="2" t="str">
        <f>_xlfn.IFS(TelecomData[[#This Row],[TenureMonths]]&lt;=12, "0-1 Year", TelecomData[[#This Row],[TenureMonths]]&lt;=36, "1-3 Years", TelecomData[[#This Row],[TenureMonths]]&gt;36, "3+ Years")</f>
        <v>1-3 Years</v>
      </c>
      <c r="N2608" s="2" t="str">
        <f>IF(TelecomData[[#This Row],[CleanedTotalCharges]]&gt;=2500,"High Spend", "Standard Spend")</f>
        <v>High Spend</v>
      </c>
    </row>
    <row r="2609" spans="1:14" x14ac:dyDescent="0.3">
      <c r="A2609" s="1" t="s">
        <v>2633</v>
      </c>
      <c r="B2609" s="2" t="s">
        <v>19</v>
      </c>
      <c r="C2609" s="2" t="s">
        <v>13</v>
      </c>
      <c r="D2609" s="2">
        <v>1</v>
      </c>
      <c r="E2609" s="2" t="s">
        <v>26</v>
      </c>
      <c r="F2609" s="2" t="s">
        <v>15</v>
      </c>
      <c r="G2609" s="7">
        <v>69.75</v>
      </c>
      <c r="H2609" s="7">
        <v>69.75</v>
      </c>
      <c r="I2609" s="2" t="s">
        <v>16</v>
      </c>
      <c r="J2609" s="2" t="s">
        <v>16</v>
      </c>
      <c r="K2609" s="2" t="s">
        <v>17</v>
      </c>
      <c r="L2609" s="7">
        <v>69.75</v>
      </c>
      <c r="M2609" s="2" t="str">
        <f>_xlfn.IFS(TelecomData[[#This Row],[TenureMonths]]&lt;=12, "0-1 Year", TelecomData[[#This Row],[TenureMonths]]&lt;=36, "1-3 Years", TelecomData[[#This Row],[TenureMonths]]&gt;36, "3+ Years")</f>
        <v>0-1 Year</v>
      </c>
      <c r="N2609" s="2" t="str">
        <f>IF(TelecomData[[#This Row],[CleanedTotalCharges]]&gt;=2500,"High Spend", "Standard Spend")</f>
        <v>Standard Spend</v>
      </c>
    </row>
    <row r="2610" spans="1:14" x14ac:dyDescent="0.3">
      <c r="A2610" s="1" t="s">
        <v>2634</v>
      </c>
      <c r="B2610" s="2" t="s">
        <v>19</v>
      </c>
      <c r="C2610" s="2" t="s">
        <v>13</v>
      </c>
      <c r="D2610" s="2">
        <v>7</v>
      </c>
      <c r="E2610" s="2" t="s">
        <v>14</v>
      </c>
      <c r="F2610" s="2" t="s">
        <v>16</v>
      </c>
      <c r="G2610" s="7">
        <v>34.5</v>
      </c>
      <c r="H2610" s="7">
        <v>279.25</v>
      </c>
      <c r="I2610" s="2" t="s">
        <v>16</v>
      </c>
      <c r="J2610" s="2" t="s">
        <v>16</v>
      </c>
      <c r="K2610" s="2" t="s">
        <v>17</v>
      </c>
      <c r="L2610" s="7">
        <v>279.25</v>
      </c>
      <c r="M2610" s="2" t="str">
        <f>_xlfn.IFS(TelecomData[[#This Row],[TenureMonths]]&lt;=12, "0-1 Year", TelecomData[[#This Row],[TenureMonths]]&lt;=36, "1-3 Years", TelecomData[[#This Row],[TenureMonths]]&gt;36, "3+ Years")</f>
        <v>0-1 Year</v>
      </c>
      <c r="N2610" s="2" t="str">
        <f>IF(TelecomData[[#This Row],[CleanedTotalCharges]]&gt;=2500,"High Spend", "Standard Spend")</f>
        <v>Standard Spend</v>
      </c>
    </row>
    <row r="2611" spans="1:14" x14ac:dyDescent="0.3">
      <c r="A2611" s="1" t="s">
        <v>2635</v>
      </c>
      <c r="B2611" s="2" t="s">
        <v>19</v>
      </c>
      <c r="C2611" s="2" t="s">
        <v>13</v>
      </c>
      <c r="D2611" s="2">
        <v>61</v>
      </c>
      <c r="E2611" s="2" t="s">
        <v>26</v>
      </c>
      <c r="F2611" s="2" t="s">
        <v>15</v>
      </c>
      <c r="G2611" s="7">
        <v>105.55</v>
      </c>
      <c r="H2611" s="7">
        <v>6281.45</v>
      </c>
      <c r="I2611" s="2" t="s">
        <v>16</v>
      </c>
      <c r="J2611" s="2" t="s">
        <v>16</v>
      </c>
      <c r="K2611" s="2" t="s">
        <v>17</v>
      </c>
      <c r="L2611" s="7">
        <v>6281.45</v>
      </c>
      <c r="M2611" s="2" t="str">
        <f>_xlfn.IFS(TelecomData[[#This Row],[TenureMonths]]&lt;=12, "0-1 Year", TelecomData[[#This Row],[TenureMonths]]&lt;=36, "1-3 Years", TelecomData[[#This Row],[TenureMonths]]&gt;36, "3+ Years")</f>
        <v>3+ Years</v>
      </c>
      <c r="N2611" s="2" t="str">
        <f>IF(TelecomData[[#This Row],[CleanedTotalCharges]]&gt;=2500,"High Spend", "Standard Spend")</f>
        <v>High Spend</v>
      </c>
    </row>
    <row r="2612" spans="1:14" x14ac:dyDescent="0.3">
      <c r="A2612" s="1" t="s">
        <v>2636</v>
      </c>
      <c r="B2612" s="2" t="s">
        <v>12</v>
      </c>
      <c r="C2612" s="2" t="s">
        <v>13</v>
      </c>
      <c r="D2612" s="2">
        <v>39</v>
      </c>
      <c r="E2612" s="2" t="s">
        <v>14</v>
      </c>
      <c r="F2612" s="2" t="s">
        <v>15</v>
      </c>
      <c r="G2612" s="7">
        <v>30.1</v>
      </c>
      <c r="H2612" s="7">
        <v>1131.3</v>
      </c>
      <c r="I2612" s="2" t="s">
        <v>16</v>
      </c>
      <c r="J2612" s="2" t="s">
        <v>15</v>
      </c>
      <c r="K2612" s="2" t="s">
        <v>29</v>
      </c>
      <c r="L2612" s="7">
        <v>1131.3</v>
      </c>
      <c r="M2612" s="2" t="str">
        <f>_xlfn.IFS(TelecomData[[#This Row],[TenureMonths]]&lt;=12, "0-1 Year", TelecomData[[#This Row],[TenureMonths]]&lt;=36, "1-3 Years", TelecomData[[#This Row],[TenureMonths]]&gt;36, "3+ Years")</f>
        <v>3+ Years</v>
      </c>
      <c r="N2612" s="2" t="str">
        <f>IF(TelecomData[[#This Row],[CleanedTotalCharges]]&gt;=2500,"High Spend", "Standard Spend")</f>
        <v>Standard Spend</v>
      </c>
    </row>
    <row r="2613" spans="1:14" x14ac:dyDescent="0.3">
      <c r="A2613" s="1" t="s">
        <v>2637</v>
      </c>
      <c r="B2613" s="2" t="s">
        <v>19</v>
      </c>
      <c r="C2613" s="2" t="s">
        <v>13</v>
      </c>
      <c r="D2613" s="2">
        <v>10</v>
      </c>
      <c r="E2613" s="2" t="s">
        <v>26</v>
      </c>
      <c r="F2613" s="2" t="s">
        <v>15</v>
      </c>
      <c r="G2613" s="7">
        <v>70.3</v>
      </c>
      <c r="H2613" s="7">
        <v>738.2</v>
      </c>
      <c r="I2613" s="2" t="s">
        <v>16</v>
      </c>
      <c r="J2613" s="2" t="s">
        <v>16</v>
      </c>
      <c r="K2613" s="2" t="s">
        <v>17</v>
      </c>
      <c r="L2613" s="7">
        <v>738.2</v>
      </c>
      <c r="M2613" s="2" t="str">
        <f>_xlfn.IFS(TelecomData[[#This Row],[TenureMonths]]&lt;=12, "0-1 Year", TelecomData[[#This Row],[TenureMonths]]&lt;=36, "1-3 Years", TelecomData[[#This Row],[TenureMonths]]&gt;36, "3+ Years")</f>
        <v>0-1 Year</v>
      </c>
      <c r="N2613" s="2" t="str">
        <f>IF(TelecomData[[#This Row],[CleanedTotalCharges]]&gt;=2500,"High Spend", "Standard Spend")</f>
        <v>Standard Spend</v>
      </c>
    </row>
    <row r="2614" spans="1:14" x14ac:dyDescent="0.3">
      <c r="A2614" s="1" t="s">
        <v>2638</v>
      </c>
      <c r="B2614" s="2" t="s">
        <v>12</v>
      </c>
      <c r="C2614" s="2" t="s">
        <v>13</v>
      </c>
      <c r="D2614" s="2">
        <v>14</v>
      </c>
      <c r="E2614" s="2" t="s">
        <v>14</v>
      </c>
      <c r="F2614" s="2" t="s">
        <v>16</v>
      </c>
      <c r="G2614" s="7">
        <v>80.45</v>
      </c>
      <c r="H2614" s="7">
        <v>1137.05</v>
      </c>
      <c r="I2614" s="2" t="s">
        <v>15</v>
      </c>
      <c r="J2614" s="2" t="s">
        <v>15</v>
      </c>
      <c r="K2614" s="2" t="s">
        <v>29</v>
      </c>
      <c r="L2614" s="7">
        <v>1137.05</v>
      </c>
      <c r="M2614" s="2" t="str">
        <f>_xlfn.IFS(TelecomData[[#This Row],[TenureMonths]]&lt;=12, "0-1 Year", TelecomData[[#This Row],[TenureMonths]]&lt;=36, "1-3 Years", TelecomData[[#This Row],[TenureMonths]]&gt;36, "3+ Years")</f>
        <v>1-3 Years</v>
      </c>
      <c r="N2614" s="2" t="str">
        <f>IF(TelecomData[[#This Row],[CleanedTotalCharges]]&gt;=2500,"High Spend", "Standard Spend")</f>
        <v>Standard Spend</v>
      </c>
    </row>
    <row r="2615" spans="1:14" x14ac:dyDescent="0.3">
      <c r="A2615" s="1" t="s">
        <v>2639</v>
      </c>
      <c r="B2615" s="2" t="s">
        <v>12</v>
      </c>
      <c r="C2615" s="2" t="s">
        <v>13</v>
      </c>
      <c r="D2615" s="2">
        <v>1</v>
      </c>
      <c r="E2615" s="2" t="s">
        <v>26</v>
      </c>
      <c r="F2615" s="2" t="s">
        <v>15</v>
      </c>
      <c r="G2615" s="7">
        <v>80.2</v>
      </c>
      <c r="H2615" s="7">
        <v>80.2</v>
      </c>
      <c r="I2615" s="2" t="s">
        <v>16</v>
      </c>
      <c r="J2615" s="2" t="s">
        <v>16</v>
      </c>
      <c r="K2615" s="2" t="s">
        <v>21</v>
      </c>
      <c r="L2615" s="7">
        <v>80.2</v>
      </c>
      <c r="M2615" s="2" t="str">
        <f>_xlfn.IFS(TelecomData[[#This Row],[TenureMonths]]&lt;=12, "0-1 Year", TelecomData[[#This Row],[TenureMonths]]&lt;=36, "1-3 Years", TelecomData[[#This Row],[TenureMonths]]&gt;36, "3+ Years")</f>
        <v>0-1 Year</v>
      </c>
      <c r="N2615" s="2" t="str">
        <f>IF(TelecomData[[#This Row],[CleanedTotalCharges]]&gt;=2500,"High Spend", "Standard Spend")</f>
        <v>Standard Spend</v>
      </c>
    </row>
    <row r="2616" spans="1:14" x14ac:dyDescent="0.3">
      <c r="A2616" s="1" t="s">
        <v>2640</v>
      </c>
      <c r="B2616" s="2" t="s">
        <v>12</v>
      </c>
      <c r="C2616" s="2" t="s">
        <v>20</v>
      </c>
      <c r="D2616" s="2">
        <v>67</v>
      </c>
      <c r="E2616" s="2" t="s">
        <v>26</v>
      </c>
      <c r="F2616" s="2" t="s">
        <v>16</v>
      </c>
      <c r="G2616" s="7">
        <v>94.35</v>
      </c>
      <c r="H2616" s="7">
        <v>6341.45</v>
      </c>
      <c r="I2616" s="2" t="s">
        <v>16</v>
      </c>
      <c r="J2616" s="2" t="s">
        <v>16</v>
      </c>
      <c r="K2616" s="2" t="s">
        <v>29</v>
      </c>
      <c r="L2616" s="7">
        <v>6341.45</v>
      </c>
      <c r="M2616" s="2" t="str">
        <f>_xlfn.IFS(TelecomData[[#This Row],[TenureMonths]]&lt;=12, "0-1 Year", TelecomData[[#This Row],[TenureMonths]]&lt;=36, "1-3 Years", TelecomData[[#This Row],[TenureMonths]]&gt;36, "3+ Years")</f>
        <v>3+ Years</v>
      </c>
      <c r="N2616" s="2" t="str">
        <f>IF(TelecomData[[#This Row],[CleanedTotalCharges]]&gt;=2500,"High Spend", "Standard Spend")</f>
        <v>High Spend</v>
      </c>
    </row>
    <row r="2617" spans="1:14" x14ac:dyDescent="0.3">
      <c r="A2617" s="1" t="s">
        <v>2641</v>
      </c>
      <c r="B2617" s="2" t="s">
        <v>12</v>
      </c>
      <c r="C2617" s="2" t="s">
        <v>35</v>
      </c>
      <c r="D2617" s="2">
        <v>72</v>
      </c>
      <c r="E2617" s="2" t="s">
        <v>14</v>
      </c>
      <c r="F2617" s="2" t="s">
        <v>16</v>
      </c>
      <c r="G2617" s="7">
        <v>91.35</v>
      </c>
      <c r="H2617" s="7">
        <v>6697.2</v>
      </c>
      <c r="I2617" s="2" t="s">
        <v>15</v>
      </c>
      <c r="J2617" s="2" t="s">
        <v>16</v>
      </c>
      <c r="K2617" s="2" t="s">
        <v>24</v>
      </c>
      <c r="L2617" s="7">
        <v>6697.2</v>
      </c>
      <c r="M2617" s="2" t="str">
        <f>_xlfn.IFS(TelecomData[[#This Row],[TenureMonths]]&lt;=12, "0-1 Year", TelecomData[[#This Row],[TenureMonths]]&lt;=36, "1-3 Years", TelecomData[[#This Row],[TenureMonths]]&gt;36, "3+ Years")</f>
        <v>3+ Years</v>
      </c>
      <c r="N2617" s="2" t="str">
        <f>IF(TelecomData[[#This Row],[CleanedTotalCharges]]&gt;=2500,"High Spend", "Standard Spend")</f>
        <v>High Spend</v>
      </c>
    </row>
    <row r="2618" spans="1:14" x14ac:dyDescent="0.3">
      <c r="A2618" s="1" t="s">
        <v>2642</v>
      </c>
      <c r="B2618" s="2" t="s">
        <v>19</v>
      </c>
      <c r="C2618" s="2" t="s">
        <v>13</v>
      </c>
      <c r="D2618" s="2">
        <v>6</v>
      </c>
      <c r="E2618" s="2" t="s">
        <v>14</v>
      </c>
      <c r="F2618" s="2" t="s">
        <v>15</v>
      </c>
      <c r="G2618" s="7">
        <v>44.6</v>
      </c>
      <c r="H2618" s="7">
        <v>260.8</v>
      </c>
      <c r="I2618" s="2" t="s">
        <v>16</v>
      </c>
      <c r="J2618" s="2" t="s">
        <v>16</v>
      </c>
      <c r="K2618" s="2" t="s">
        <v>24</v>
      </c>
      <c r="L2618" s="7">
        <v>260.8</v>
      </c>
      <c r="M2618" s="2" t="str">
        <f>_xlfn.IFS(TelecomData[[#This Row],[TenureMonths]]&lt;=12, "0-1 Year", TelecomData[[#This Row],[TenureMonths]]&lt;=36, "1-3 Years", TelecomData[[#This Row],[TenureMonths]]&gt;36, "3+ Years")</f>
        <v>0-1 Year</v>
      </c>
      <c r="N2618" s="2" t="str">
        <f>IF(TelecomData[[#This Row],[CleanedTotalCharges]]&gt;=2500,"High Spend", "Standard Spend")</f>
        <v>Standard Spend</v>
      </c>
    </row>
    <row r="2619" spans="1:14" x14ac:dyDescent="0.3">
      <c r="A2619" s="1" t="s">
        <v>2643</v>
      </c>
      <c r="B2619" s="2" t="s">
        <v>12</v>
      </c>
      <c r="C2619" s="2" t="s">
        <v>13</v>
      </c>
      <c r="D2619" s="2">
        <v>1</v>
      </c>
      <c r="E2619" s="2" t="s">
        <v>15</v>
      </c>
      <c r="F2619" s="2" t="s">
        <v>36</v>
      </c>
      <c r="G2619" s="7">
        <v>19.600000000000001</v>
      </c>
      <c r="H2619" s="7">
        <v>19.600000000000001</v>
      </c>
      <c r="I2619" s="2" t="s">
        <v>16</v>
      </c>
      <c r="J2619" s="2" t="s">
        <v>16</v>
      </c>
      <c r="K2619" s="2" t="s">
        <v>21</v>
      </c>
      <c r="L2619" s="7">
        <v>19.600000000000001</v>
      </c>
      <c r="M2619" s="2" t="str">
        <f>_xlfn.IFS(TelecomData[[#This Row],[TenureMonths]]&lt;=12, "0-1 Year", TelecomData[[#This Row],[TenureMonths]]&lt;=36, "1-3 Years", TelecomData[[#This Row],[TenureMonths]]&gt;36, "3+ Years")</f>
        <v>0-1 Year</v>
      </c>
      <c r="N2619" s="2" t="str">
        <f>IF(TelecomData[[#This Row],[CleanedTotalCharges]]&gt;=2500,"High Spend", "Standard Spend")</f>
        <v>Standard Spend</v>
      </c>
    </row>
    <row r="2620" spans="1:14" x14ac:dyDescent="0.3">
      <c r="A2620" s="1" t="s">
        <v>2644</v>
      </c>
      <c r="B2620" s="2" t="s">
        <v>19</v>
      </c>
      <c r="C2620" s="2" t="s">
        <v>20</v>
      </c>
      <c r="D2620" s="2">
        <v>25</v>
      </c>
      <c r="E2620" s="2" t="s">
        <v>15</v>
      </c>
      <c r="F2620" s="2" t="s">
        <v>36</v>
      </c>
      <c r="G2620" s="7">
        <v>19.899999999999999</v>
      </c>
      <c r="H2620" s="7">
        <v>505.45</v>
      </c>
      <c r="I2620" s="2" t="s">
        <v>15</v>
      </c>
      <c r="J2620" s="2" t="s">
        <v>15</v>
      </c>
      <c r="K2620" s="2" t="s">
        <v>17</v>
      </c>
      <c r="L2620" s="7">
        <v>505.45</v>
      </c>
      <c r="M2620" s="2" t="str">
        <f>_xlfn.IFS(TelecomData[[#This Row],[TenureMonths]]&lt;=12, "0-1 Year", TelecomData[[#This Row],[TenureMonths]]&lt;=36, "1-3 Years", TelecomData[[#This Row],[TenureMonths]]&gt;36, "3+ Years")</f>
        <v>1-3 Years</v>
      </c>
      <c r="N2620" s="2" t="str">
        <f>IF(TelecomData[[#This Row],[CleanedTotalCharges]]&gt;=2500,"High Spend", "Standard Spend")</f>
        <v>Standard Spend</v>
      </c>
    </row>
    <row r="2621" spans="1:14" x14ac:dyDescent="0.3">
      <c r="A2621" s="1" t="s">
        <v>2645</v>
      </c>
      <c r="B2621" s="2" t="s">
        <v>12</v>
      </c>
      <c r="C2621" s="2" t="s">
        <v>13</v>
      </c>
      <c r="D2621" s="2">
        <v>33</v>
      </c>
      <c r="E2621" s="2" t="s">
        <v>26</v>
      </c>
      <c r="F2621" s="2" t="s">
        <v>16</v>
      </c>
      <c r="G2621" s="7">
        <v>110.45</v>
      </c>
      <c r="H2621" s="7">
        <v>3655.45</v>
      </c>
      <c r="I2621" s="2" t="s">
        <v>16</v>
      </c>
      <c r="J2621" s="2" t="s">
        <v>16</v>
      </c>
      <c r="K2621" s="2" t="s">
        <v>17</v>
      </c>
      <c r="L2621" s="7">
        <v>3655.45</v>
      </c>
      <c r="M2621" s="2" t="str">
        <f>_xlfn.IFS(TelecomData[[#This Row],[TenureMonths]]&lt;=12, "0-1 Year", TelecomData[[#This Row],[TenureMonths]]&lt;=36, "1-3 Years", TelecomData[[#This Row],[TenureMonths]]&gt;36, "3+ Years")</f>
        <v>1-3 Years</v>
      </c>
      <c r="N2621" s="2" t="str">
        <f>IF(TelecomData[[#This Row],[CleanedTotalCharges]]&gt;=2500,"High Spend", "Standard Spend")</f>
        <v>High Spend</v>
      </c>
    </row>
    <row r="2622" spans="1:14" x14ac:dyDescent="0.3">
      <c r="A2622" s="1" t="s">
        <v>2646</v>
      </c>
      <c r="B2622" s="2" t="s">
        <v>19</v>
      </c>
      <c r="C2622" s="2" t="s">
        <v>13</v>
      </c>
      <c r="D2622" s="2">
        <v>18</v>
      </c>
      <c r="E2622" s="2" t="s">
        <v>14</v>
      </c>
      <c r="F2622" s="2" t="s">
        <v>16</v>
      </c>
      <c r="G2622" s="7">
        <v>68.349999999999994</v>
      </c>
      <c r="H2622" s="7">
        <v>1299.8</v>
      </c>
      <c r="I2622" s="2" t="s">
        <v>15</v>
      </c>
      <c r="J2622" s="2" t="s">
        <v>16</v>
      </c>
      <c r="K2622" s="2" t="s">
        <v>17</v>
      </c>
      <c r="L2622" s="7">
        <v>1299.8</v>
      </c>
      <c r="M2622" s="2" t="str">
        <f>_xlfn.IFS(TelecomData[[#This Row],[TenureMonths]]&lt;=12, "0-1 Year", TelecomData[[#This Row],[TenureMonths]]&lt;=36, "1-3 Years", TelecomData[[#This Row],[TenureMonths]]&gt;36, "3+ Years")</f>
        <v>1-3 Years</v>
      </c>
      <c r="N2622" s="2" t="str">
        <f>IF(TelecomData[[#This Row],[CleanedTotalCharges]]&gt;=2500,"High Spend", "Standard Spend")</f>
        <v>Standard Spend</v>
      </c>
    </row>
    <row r="2623" spans="1:14" x14ac:dyDescent="0.3">
      <c r="A2623" s="1" t="s">
        <v>2647</v>
      </c>
      <c r="B2623" s="2" t="s">
        <v>19</v>
      </c>
      <c r="C2623" s="2" t="s">
        <v>35</v>
      </c>
      <c r="D2623" s="2">
        <v>71</v>
      </c>
      <c r="E2623" s="2" t="s">
        <v>14</v>
      </c>
      <c r="F2623" s="2" t="s">
        <v>16</v>
      </c>
      <c r="G2623" s="7">
        <v>79.099999999999994</v>
      </c>
      <c r="H2623" s="7">
        <v>5564.85</v>
      </c>
      <c r="I2623" s="2" t="s">
        <v>15</v>
      </c>
      <c r="J2623" s="2" t="s">
        <v>16</v>
      </c>
      <c r="K2623" s="2" t="s">
        <v>29</v>
      </c>
      <c r="L2623" s="7">
        <v>5564.85</v>
      </c>
      <c r="M2623" s="2" t="str">
        <f>_xlfn.IFS(TelecomData[[#This Row],[TenureMonths]]&lt;=12, "0-1 Year", TelecomData[[#This Row],[TenureMonths]]&lt;=36, "1-3 Years", TelecomData[[#This Row],[TenureMonths]]&gt;36, "3+ Years")</f>
        <v>3+ Years</v>
      </c>
      <c r="N2623" s="2" t="str">
        <f>IF(TelecomData[[#This Row],[CleanedTotalCharges]]&gt;=2500,"High Spend", "Standard Spend")</f>
        <v>High Spend</v>
      </c>
    </row>
    <row r="2624" spans="1:14" x14ac:dyDescent="0.3">
      <c r="A2624" s="1" t="s">
        <v>2648</v>
      </c>
      <c r="B2624" s="2" t="s">
        <v>19</v>
      </c>
      <c r="C2624" s="2" t="s">
        <v>20</v>
      </c>
      <c r="D2624" s="2">
        <v>28</v>
      </c>
      <c r="E2624" s="2" t="s">
        <v>14</v>
      </c>
      <c r="F2624" s="2" t="s">
        <v>15</v>
      </c>
      <c r="G2624" s="7">
        <v>51</v>
      </c>
      <c r="H2624" s="7">
        <v>1381.8</v>
      </c>
      <c r="I2624" s="2" t="s">
        <v>15</v>
      </c>
      <c r="J2624" s="2" t="s">
        <v>16</v>
      </c>
      <c r="K2624" s="2" t="s">
        <v>17</v>
      </c>
      <c r="L2624" s="7">
        <v>1381.8</v>
      </c>
      <c r="M2624" s="2" t="str">
        <f>_xlfn.IFS(TelecomData[[#This Row],[TenureMonths]]&lt;=12, "0-1 Year", TelecomData[[#This Row],[TenureMonths]]&lt;=36, "1-3 Years", TelecomData[[#This Row],[TenureMonths]]&gt;36, "3+ Years")</f>
        <v>1-3 Years</v>
      </c>
      <c r="N2624" s="2" t="str">
        <f>IF(TelecomData[[#This Row],[CleanedTotalCharges]]&gt;=2500,"High Spend", "Standard Spend")</f>
        <v>Standard Spend</v>
      </c>
    </row>
    <row r="2625" spans="1:14" x14ac:dyDescent="0.3">
      <c r="A2625" s="1" t="s">
        <v>2649</v>
      </c>
      <c r="B2625" s="2" t="s">
        <v>12</v>
      </c>
      <c r="C2625" s="2" t="s">
        <v>13</v>
      </c>
      <c r="D2625" s="2">
        <v>2</v>
      </c>
      <c r="E2625" s="2" t="s">
        <v>26</v>
      </c>
      <c r="F2625" s="2" t="s">
        <v>15</v>
      </c>
      <c r="G2625" s="7">
        <v>80.55</v>
      </c>
      <c r="H2625" s="7">
        <v>188.1</v>
      </c>
      <c r="I2625" s="2" t="s">
        <v>15</v>
      </c>
      <c r="J2625" s="2" t="s">
        <v>15</v>
      </c>
      <c r="K2625" s="2" t="s">
        <v>29</v>
      </c>
      <c r="L2625" s="7">
        <v>188.1</v>
      </c>
      <c r="M2625" s="2" t="str">
        <f>_xlfn.IFS(TelecomData[[#This Row],[TenureMonths]]&lt;=12, "0-1 Year", TelecomData[[#This Row],[TenureMonths]]&lt;=36, "1-3 Years", TelecomData[[#This Row],[TenureMonths]]&gt;36, "3+ Years")</f>
        <v>0-1 Year</v>
      </c>
      <c r="N2625" s="2" t="str">
        <f>IF(TelecomData[[#This Row],[CleanedTotalCharges]]&gt;=2500,"High Spend", "Standard Spend")</f>
        <v>Standard Spend</v>
      </c>
    </row>
    <row r="2626" spans="1:14" x14ac:dyDescent="0.3">
      <c r="A2626" s="1" t="s">
        <v>2650</v>
      </c>
      <c r="B2626" s="2" t="s">
        <v>19</v>
      </c>
      <c r="C2626" s="2" t="s">
        <v>13</v>
      </c>
      <c r="D2626" s="2">
        <v>17</v>
      </c>
      <c r="E2626" s="2" t="s">
        <v>14</v>
      </c>
      <c r="F2626" s="2" t="s">
        <v>16</v>
      </c>
      <c r="G2626" s="7">
        <v>66.7</v>
      </c>
      <c r="H2626" s="7">
        <v>1077.05</v>
      </c>
      <c r="I2626" s="2" t="s">
        <v>15</v>
      </c>
      <c r="J2626" s="2" t="s">
        <v>16</v>
      </c>
      <c r="K2626" s="2" t="s">
        <v>21</v>
      </c>
      <c r="L2626" s="7">
        <v>1077.05</v>
      </c>
      <c r="M2626" s="2" t="str">
        <f>_xlfn.IFS(TelecomData[[#This Row],[TenureMonths]]&lt;=12, "0-1 Year", TelecomData[[#This Row],[TenureMonths]]&lt;=36, "1-3 Years", TelecomData[[#This Row],[TenureMonths]]&gt;36, "3+ Years")</f>
        <v>1-3 Years</v>
      </c>
      <c r="N2626" s="2" t="str">
        <f>IF(TelecomData[[#This Row],[CleanedTotalCharges]]&gt;=2500,"High Spend", "Standard Spend")</f>
        <v>Standard Spend</v>
      </c>
    </row>
    <row r="2627" spans="1:14" x14ac:dyDescent="0.3">
      <c r="A2627" s="1" t="s">
        <v>2651</v>
      </c>
      <c r="B2627" s="2" t="s">
        <v>19</v>
      </c>
      <c r="C2627" s="2" t="s">
        <v>13</v>
      </c>
      <c r="D2627" s="2">
        <v>56</v>
      </c>
      <c r="E2627" s="2" t="s">
        <v>26</v>
      </c>
      <c r="F2627" s="2" t="s">
        <v>15</v>
      </c>
      <c r="G2627" s="7">
        <v>86.4</v>
      </c>
      <c r="H2627" s="7">
        <v>4922.3999999999996</v>
      </c>
      <c r="I2627" s="2" t="s">
        <v>15</v>
      </c>
      <c r="J2627" s="2" t="s">
        <v>16</v>
      </c>
      <c r="K2627" s="2" t="s">
        <v>17</v>
      </c>
      <c r="L2627" s="7">
        <v>4922.3999999999996</v>
      </c>
      <c r="M2627" s="2" t="str">
        <f>_xlfn.IFS(TelecomData[[#This Row],[TenureMonths]]&lt;=12, "0-1 Year", TelecomData[[#This Row],[TenureMonths]]&lt;=36, "1-3 Years", TelecomData[[#This Row],[TenureMonths]]&gt;36, "3+ Years")</f>
        <v>3+ Years</v>
      </c>
      <c r="N2627" s="2" t="str">
        <f>IF(TelecomData[[#This Row],[CleanedTotalCharges]]&gt;=2500,"High Spend", "Standard Spend")</f>
        <v>High Spend</v>
      </c>
    </row>
    <row r="2628" spans="1:14" x14ac:dyDescent="0.3">
      <c r="A2628" s="1" t="s">
        <v>2652</v>
      </c>
      <c r="B2628" s="2" t="s">
        <v>12</v>
      </c>
      <c r="C2628" s="2" t="s">
        <v>20</v>
      </c>
      <c r="D2628" s="2">
        <v>60</v>
      </c>
      <c r="E2628" s="2" t="s">
        <v>14</v>
      </c>
      <c r="F2628" s="2" t="s">
        <v>15</v>
      </c>
      <c r="G2628" s="7">
        <v>50.05</v>
      </c>
      <c r="H2628" s="7">
        <v>2911.5</v>
      </c>
      <c r="I2628" s="2" t="s">
        <v>15</v>
      </c>
      <c r="J2628" s="2" t="s">
        <v>15</v>
      </c>
      <c r="K2628" s="2" t="s">
        <v>17</v>
      </c>
      <c r="L2628" s="7">
        <v>2911.5</v>
      </c>
      <c r="M2628" s="2" t="str">
        <f>_xlfn.IFS(TelecomData[[#This Row],[TenureMonths]]&lt;=12, "0-1 Year", TelecomData[[#This Row],[TenureMonths]]&lt;=36, "1-3 Years", TelecomData[[#This Row],[TenureMonths]]&gt;36, "3+ Years")</f>
        <v>3+ Years</v>
      </c>
      <c r="N2628" s="2" t="str">
        <f>IF(TelecomData[[#This Row],[CleanedTotalCharges]]&gt;=2500,"High Spend", "Standard Spend")</f>
        <v>High Spend</v>
      </c>
    </row>
    <row r="2629" spans="1:14" x14ac:dyDescent="0.3">
      <c r="A2629" s="1" t="s">
        <v>2653</v>
      </c>
      <c r="B2629" s="2" t="s">
        <v>12</v>
      </c>
      <c r="C2629" s="2" t="s">
        <v>35</v>
      </c>
      <c r="D2629" s="2">
        <v>33</v>
      </c>
      <c r="E2629" s="2" t="s">
        <v>15</v>
      </c>
      <c r="F2629" s="2" t="s">
        <v>36</v>
      </c>
      <c r="G2629" s="7">
        <v>25.7</v>
      </c>
      <c r="H2629" s="7">
        <v>826.1</v>
      </c>
      <c r="I2629" s="2" t="s">
        <v>15</v>
      </c>
      <c r="J2629" s="2" t="s">
        <v>15</v>
      </c>
      <c r="K2629" s="2" t="s">
        <v>29</v>
      </c>
      <c r="L2629" s="7">
        <v>826.1</v>
      </c>
      <c r="M2629" s="2" t="str">
        <f>_xlfn.IFS(TelecomData[[#This Row],[TenureMonths]]&lt;=12, "0-1 Year", TelecomData[[#This Row],[TenureMonths]]&lt;=36, "1-3 Years", TelecomData[[#This Row],[TenureMonths]]&gt;36, "3+ Years")</f>
        <v>1-3 Years</v>
      </c>
      <c r="N2629" s="2" t="str">
        <f>IF(TelecomData[[#This Row],[CleanedTotalCharges]]&gt;=2500,"High Spend", "Standard Spend")</f>
        <v>Standard Spend</v>
      </c>
    </row>
    <row r="2630" spans="1:14" x14ac:dyDescent="0.3">
      <c r="A2630" s="1" t="s">
        <v>2654</v>
      </c>
      <c r="B2630" s="2" t="s">
        <v>12</v>
      </c>
      <c r="C2630" s="2" t="s">
        <v>13</v>
      </c>
      <c r="D2630" s="2">
        <v>1</v>
      </c>
      <c r="E2630" s="2" t="s">
        <v>26</v>
      </c>
      <c r="F2630" s="2" t="s">
        <v>16</v>
      </c>
      <c r="G2630" s="7">
        <v>83.4</v>
      </c>
      <c r="H2630" s="7">
        <v>83.4</v>
      </c>
      <c r="I2630" s="2" t="s">
        <v>15</v>
      </c>
      <c r="J2630" s="2" t="s">
        <v>16</v>
      </c>
      <c r="K2630" s="2" t="s">
        <v>21</v>
      </c>
      <c r="L2630" s="7">
        <v>83.4</v>
      </c>
      <c r="M2630" s="2" t="str">
        <f>_xlfn.IFS(TelecomData[[#This Row],[TenureMonths]]&lt;=12, "0-1 Year", TelecomData[[#This Row],[TenureMonths]]&lt;=36, "1-3 Years", TelecomData[[#This Row],[TenureMonths]]&gt;36, "3+ Years")</f>
        <v>0-1 Year</v>
      </c>
      <c r="N2630" s="2" t="str">
        <f>IF(TelecomData[[#This Row],[CleanedTotalCharges]]&gt;=2500,"High Spend", "Standard Spend")</f>
        <v>Standard Spend</v>
      </c>
    </row>
    <row r="2631" spans="1:14" x14ac:dyDescent="0.3">
      <c r="A2631" s="1" t="s">
        <v>2655</v>
      </c>
      <c r="B2631" s="2" t="s">
        <v>19</v>
      </c>
      <c r="C2631" s="2" t="s">
        <v>13</v>
      </c>
      <c r="D2631" s="2">
        <v>2</v>
      </c>
      <c r="E2631" s="2" t="s">
        <v>26</v>
      </c>
      <c r="F2631" s="2" t="s">
        <v>15</v>
      </c>
      <c r="G2631" s="7">
        <v>70.7</v>
      </c>
      <c r="H2631" s="7">
        <v>140.69999999999999</v>
      </c>
      <c r="I2631" s="2" t="s">
        <v>16</v>
      </c>
      <c r="J2631" s="2" t="s">
        <v>15</v>
      </c>
      <c r="K2631" s="2" t="s">
        <v>29</v>
      </c>
      <c r="L2631" s="7">
        <v>140.69999999999999</v>
      </c>
      <c r="M2631" s="2" t="str">
        <f>_xlfn.IFS(TelecomData[[#This Row],[TenureMonths]]&lt;=12, "0-1 Year", TelecomData[[#This Row],[TenureMonths]]&lt;=36, "1-3 Years", TelecomData[[#This Row],[TenureMonths]]&gt;36, "3+ Years")</f>
        <v>0-1 Year</v>
      </c>
      <c r="N2631" s="2" t="str">
        <f>IF(TelecomData[[#This Row],[CleanedTotalCharges]]&gt;=2500,"High Spend", "Standard Spend")</f>
        <v>Standard Spend</v>
      </c>
    </row>
    <row r="2632" spans="1:14" x14ac:dyDescent="0.3">
      <c r="A2632" s="1" t="s">
        <v>2656</v>
      </c>
      <c r="B2632" s="2" t="s">
        <v>19</v>
      </c>
      <c r="C2632" s="2" t="s">
        <v>35</v>
      </c>
      <c r="D2632" s="2">
        <v>63</v>
      </c>
      <c r="E2632" s="2" t="s">
        <v>26</v>
      </c>
      <c r="F2632" s="2" t="s">
        <v>16</v>
      </c>
      <c r="G2632" s="7">
        <v>84.65</v>
      </c>
      <c r="H2632" s="7">
        <v>5377.8</v>
      </c>
      <c r="I2632" s="2" t="s">
        <v>15</v>
      </c>
      <c r="J2632" s="2" t="s">
        <v>16</v>
      </c>
      <c r="K2632" s="2" t="s">
        <v>29</v>
      </c>
      <c r="L2632" s="7">
        <v>5377.8</v>
      </c>
      <c r="M2632" s="2" t="str">
        <f>_xlfn.IFS(TelecomData[[#This Row],[TenureMonths]]&lt;=12, "0-1 Year", TelecomData[[#This Row],[TenureMonths]]&lt;=36, "1-3 Years", TelecomData[[#This Row],[TenureMonths]]&gt;36, "3+ Years")</f>
        <v>3+ Years</v>
      </c>
      <c r="N2632" s="2" t="str">
        <f>IF(TelecomData[[#This Row],[CleanedTotalCharges]]&gt;=2500,"High Spend", "Standard Spend")</f>
        <v>High Spend</v>
      </c>
    </row>
    <row r="2633" spans="1:14" x14ac:dyDescent="0.3">
      <c r="A2633" s="1" t="s">
        <v>2657</v>
      </c>
      <c r="B2633" s="2" t="s">
        <v>19</v>
      </c>
      <c r="C2633" s="2" t="s">
        <v>13</v>
      </c>
      <c r="D2633" s="2">
        <v>7</v>
      </c>
      <c r="E2633" s="2" t="s">
        <v>26</v>
      </c>
      <c r="F2633" s="2" t="s">
        <v>15</v>
      </c>
      <c r="G2633" s="7">
        <v>99.25</v>
      </c>
      <c r="H2633" s="7">
        <v>665.45</v>
      </c>
      <c r="I2633" s="2" t="s">
        <v>16</v>
      </c>
      <c r="J2633" s="2" t="s">
        <v>16</v>
      </c>
      <c r="K2633" s="2" t="s">
        <v>17</v>
      </c>
      <c r="L2633" s="7">
        <v>665.45</v>
      </c>
      <c r="M2633" s="2" t="str">
        <f>_xlfn.IFS(TelecomData[[#This Row],[TenureMonths]]&lt;=12, "0-1 Year", TelecomData[[#This Row],[TenureMonths]]&lt;=36, "1-3 Years", TelecomData[[#This Row],[TenureMonths]]&gt;36, "3+ Years")</f>
        <v>0-1 Year</v>
      </c>
      <c r="N2633" s="2" t="str">
        <f>IF(TelecomData[[#This Row],[CleanedTotalCharges]]&gt;=2500,"High Spend", "Standard Spend")</f>
        <v>Standard Spend</v>
      </c>
    </row>
    <row r="2634" spans="1:14" x14ac:dyDescent="0.3">
      <c r="A2634" s="1" t="s">
        <v>2658</v>
      </c>
      <c r="B2634" s="2" t="s">
        <v>12</v>
      </c>
      <c r="C2634" s="2" t="s">
        <v>35</v>
      </c>
      <c r="D2634" s="2">
        <v>55</v>
      </c>
      <c r="E2634" s="2" t="s">
        <v>14</v>
      </c>
      <c r="F2634" s="2" t="s">
        <v>15</v>
      </c>
      <c r="G2634" s="7">
        <v>64.75</v>
      </c>
      <c r="H2634" s="7">
        <v>3617.1</v>
      </c>
      <c r="I2634" s="2" t="s">
        <v>15</v>
      </c>
      <c r="J2634" s="2" t="s">
        <v>16</v>
      </c>
      <c r="K2634" s="2" t="s">
        <v>21</v>
      </c>
      <c r="L2634" s="7">
        <v>3617.1</v>
      </c>
      <c r="M2634" s="2" t="str">
        <f>_xlfn.IFS(TelecomData[[#This Row],[TenureMonths]]&lt;=12, "0-1 Year", TelecomData[[#This Row],[TenureMonths]]&lt;=36, "1-3 Years", TelecomData[[#This Row],[TenureMonths]]&gt;36, "3+ Years")</f>
        <v>3+ Years</v>
      </c>
      <c r="N2634" s="2" t="str">
        <f>IF(TelecomData[[#This Row],[CleanedTotalCharges]]&gt;=2500,"High Spend", "Standard Spend")</f>
        <v>High Spend</v>
      </c>
    </row>
    <row r="2635" spans="1:14" x14ac:dyDescent="0.3">
      <c r="A2635" s="1" t="s">
        <v>2659</v>
      </c>
      <c r="B2635" s="2" t="s">
        <v>12</v>
      </c>
      <c r="C2635" s="2" t="s">
        <v>20</v>
      </c>
      <c r="D2635" s="2">
        <v>65</v>
      </c>
      <c r="E2635" s="2" t="s">
        <v>26</v>
      </c>
      <c r="F2635" s="2" t="s">
        <v>16</v>
      </c>
      <c r="G2635" s="7">
        <v>100.15</v>
      </c>
      <c r="H2635" s="7">
        <v>6643.5</v>
      </c>
      <c r="I2635" s="2" t="s">
        <v>15</v>
      </c>
      <c r="J2635" s="2" t="s">
        <v>16</v>
      </c>
      <c r="K2635" s="2" t="s">
        <v>24</v>
      </c>
      <c r="L2635" s="7">
        <v>6643.5</v>
      </c>
      <c r="M2635" s="2" t="str">
        <f>_xlfn.IFS(TelecomData[[#This Row],[TenureMonths]]&lt;=12, "0-1 Year", TelecomData[[#This Row],[TenureMonths]]&lt;=36, "1-3 Years", TelecomData[[#This Row],[TenureMonths]]&gt;36, "3+ Years")</f>
        <v>3+ Years</v>
      </c>
      <c r="N2635" s="2" t="str">
        <f>IF(TelecomData[[#This Row],[CleanedTotalCharges]]&gt;=2500,"High Spend", "Standard Spend")</f>
        <v>High Spend</v>
      </c>
    </row>
    <row r="2636" spans="1:14" x14ac:dyDescent="0.3">
      <c r="A2636" s="1" t="s">
        <v>2660</v>
      </c>
      <c r="B2636" s="2" t="s">
        <v>19</v>
      </c>
      <c r="C2636" s="2" t="s">
        <v>13</v>
      </c>
      <c r="D2636" s="2">
        <v>1</v>
      </c>
      <c r="E2636" s="2" t="s">
        <v>26</v>
      </c>
      <c r="F2636" s="2" t="s">
        <v>16</v>
      </c>
      <c r="G2636" s="7">
        <v>84.8</v>
      </c>
      <c r="H2636" s="7">
        <v>84.8</v>
      </c>
      <c r="I2636" s="2" t="s">
        <v>16</v>
      </c>
      <c r="J2636" s="2" t="s">
        <v>16</v>
      </c>
      <c r="K2636" s="2" t="s">
        <v>17</v>
      </c>
      <c r="L2636" s="7">
        <v>84.8</v>
      </c>
      <c r="M2636" s="2" t="str">
        <f>_xlfn.IFS(TelecomData[[#This Row],[TenureMonths]]&lt;=12, "0-1 Year", TelecomData[[#This Row],[TenureMonths]]&lt;=36, "1-3 Years", TelecomData[[#This Row],[TenureMonths]]&gt;36, "3+ Years")</f>
        <v>0-1 Year</v>
      </c>
      <c r="N2636" s="2" t="str">
        <f>IF(TelecomData[[#This Row],[CleanedTotalCharges]]&gt;=2500,"High Spend", "Standard Spend")</f>
        <v>Standard Spend</v>
      </c>
    </row>
    <row r="2637" spans="1:14" x14ac:dyDescent="0.3">
      <c r="A2637" s="1" t="s">
        <v>2661</v>
      </c>
      <c r="B2637" s="2" t="s">
        <v>19</v>
      </c>
      <c r="C2637" s="2" t="s">
        <v>35</v>
      </c>
      <c r="D2637" s="2">
        <v>63</v>
      </c>
      <c r="E2637" s="2" t="s">
        <v>15</v>
      </c>
      <c r="F2637" s="2" t="s">
        <v>36</v>
      </c>
      <c r="G2637" s="7">
        <v>25.25</v>
      </c>
      <c r="H2637" s="7">
        <v>1559.3</v>
      </c>
      <c r="I2637" s="2" t="s">
        <v>15</v>
      </c>
      <c r="J2637" s="2" t="s">
        <v>15</v>
      </c>
      <c r="K2637" s="2" t="s">
        <v>21</v>
      </c>
      <c r="L2637" s="7">
        <v>1559.3</v>
      </c>
      <c r="M2637" s="2" t="str">
        <f>_xlfn.IFS(TelecomData[[#This Row],[TenureMonths]]&lt;=12, "0-1 Year", TelecomData[[#This Row],[TenureMonths]]&lt;=36, "1-3 Years", TelecomData[[#This Row],[TenureMonths]]&gt;36, "3+ Years")</f>
        <v>3+ Years</v>
      </c>
      <c r="N2637" s="2" t="str">
        <f>IF(TelecomData[[#This Row],[CleanedTotalCharges]]&gt;=2500,"High Spend", "Standard Spend")</f>
        <v>Standard Spend</v>
      </c>
    </row>
    <row r="2638" spans="1:14" x14ac:dyDescent="0.3">
      <c r="A2638" s="1" t="s">
        <v>2662</v>
      </c>
      <c r="B2638" s="2" t="s">
        <v>12</v>
      </c>
      <c r="C2638" s="2" t="s">
        <v>35</v>
      </c>
      <c r="D2638" s="2">
        <v>70</v>
      </c>
      <c r="E2638" s="2" t="s">
        <v>26</v>
      </c>
      <c r="F2638" s="2" t="s">
        <v>16</v>
      </c>
      <c r="G2638" s="7">
        <v>113</v>
      </c>
      <c r="H2638" s="7">
        <v>7987.6</v>
      </c>
      <c r="I2638" s="2" t="s">
        <v>15</v>
      </c>
      <c r="J2638" s="2" t="s">
        <v>16</v>
      </c>
      <c r="K2638" s="2" t="s">
        <v>29</v>
      </c>
      <c r="L2638" s="7">
        <v>7987.6</v>
      </c>
      <c r="M2638" s="2" t="str">
        <f>_xlfn.IFS(TelecomData[[#This Row],[TenureMonths]]&lt;=12, "0-1 Year", TelecomData[[#This Row],[TenureMonths]]&lt;=36, "1-3 Years", TelecomData[[#This Row],[TenureMonths]]&gt;36, "3+ Years")</f>
        <v>3+ Years</v>
      </c>
      <c r="N2638" s="2" t="str">
        <f>IF(TelecomData[[#This Row],[CleanedTotalCharges]]&gt;=2500,"High Spend", "Standard Spend")</f>
        <v>High Spend</v>
      </c>
    </row>
    <row r="2639" spans="1:14" x14ac:dyDescent="0.3">
      <c r="A2639" s="1" t="s">
        <v>2663</v>
      </c>
      <c r="B2639" s="2" t="s">
        <v>12</v>
      </c>
      <c r="C2639" s="2" t="s">
        <v>35</v>
      </c>
      <c r="D2639" s="2">
        <v>36</v>
      </c>
      <c r="E2639" s="2" t="s">
        <v>14</v>
      </c>
      <c r="F2639" s="2" t="s">
        <v>16</v>
      </c>
      <c r="G2639" s="7">
        <v>40.65</v>
      </c>
      <c r="H2639" s="7">
        <v>1547.35</v>
      </c>
      <c r="I2639" s="2" t="s">
        <v>15</v>
      </c>
      <c r="J2639" s="2" t="s">
        <v>15</v>
      </c>
      <c r="K2639" s="2" t="s">
        <v>29</v>
      </c>
      <c r="L2639" s="7">
        <v>1547.35</v>
      </c>
      <c r="M2639" s="2" t="str">
        <f>_xlfn.IFS(TelecomData[[#This Row],[TenureMonths]]&lt;=12, "0-1 Year", TelecomData[[#This Row],[TenureMonths]]&lt;=36, "1-3 Years", TelecomData[[#This Row],[TenureMonths]]&gt;36, "3+ Years")</f>
        <v>1-3 Years</v>
      </c>
      <c r="N2639" s="2" t="str">
        <f>IF(TelecomData[[#This Row],[CleanedTotalCharges]]&gt;=2500,"High Spend", "Standard Spend")</f>
        <v>Standard Spend</v>
      </c>
    </row>
    <row r="2640" spans="1:14" x14ac:dyDescent="0.3">
      <c r="A2640" s="1" t="s">
        <v>2664</v>
      </c>
      <c r="B2640" s="2" t="s">
        <v>19</v>
      </c>
      <c r="C2640" s="2" t="s">
        <v>20</v>
      </c>
      <c r="D2640" s="2">
        <v>52</v>
      </c>
      <c r="E2640" s="2" t="s">
        <v>26</v>
      </c>
      <c r="F2640" s="2" t="s">
        <v>16</v>
      </c>
      <c r="G2640" s="7">
        <v>105</v>
      </c>
      <c r="H2640" s="7">
        <v>5426.85</v>
      </c>
      <c r="I2640" s="2" t="s">
        <v>16</v>
      </c>
      <c r="J2640" s="2" t="s">
        <v>16</v>
      </c>
      <c r="K2640" s="2" t="s">
        <v>24</v>
      </c>
      <c r="L2640" s="7">
        <v>5426.85</v>
      </c>
      <c r="M2640" s="2" t="str">
        <f>_xlfn.IFS(TelecomData[[#This Row],[TenureMonths]]&lt;=12, "0-1 Year", TelecomData[[#This Row],[TenureMonths]]&lt;=36, "1-3 Years", TelecomData[[#This Row],[TenureMonths]]&gt;36, "3+ Years")</f>
        <v>3+ Years</v>
      </c>
      <c r="N2640" s="2" t="str">
        <f>IF(TelecomData[[#This Row],[CleanedTotalCharges]]&gt;=2500,"High Spend", "Standard Spend")</f>
        <v>High Spend</v>
      </c>
    </row>
    <row r="2641" spans="1:14" x14ac:dyDescent="0.3">
      <c r="A2641" s="1" t="s">
        <v>2665</v>
      </c>
      <c r="B2641" s="2" t="s">
        <v>19</v>
      </c>
      <c r="C2641" s="2" t="s">
        <v>13</v>
      </c>
      <c r="D2641" s="2">
        <v>22</v>
      </c>
      <c r="E2641" s="2" t="s">
        <v>14</v>
      </c>
      <c r="F2641" s="2" t="s">
        <v>15</v>
      </c>
      <c r="G2641" s="7">
        <v>54.45</v>
      </c>
      <c r="H2641" s="7">
        <v>1127.3499999999999</v>
      </c>
      <c r="I2641" s="2" t="s">
        <v>16</v>
      </c>
      <c r="J2641" s="2" t="s">
        <v>16</v>
      </c>
      <c r="K2641" s="2" t="s">
        <v>17</v>
      </c>
      <c r="L2641" s="7">
        <v>1127.3499999999999</v>
      </c>
      <c r="M2641" s="2" t="str">
        <f>_xlfn.IFS(TelecomData[[#This Row],[TenureMonths]]&lt;=12, "0-1 Year", TelecomData[[#This Row],[TenureMonths]]&lt;=36, "1-3 Years", TelecomData[[#This Row],[TenureMonths]]&gt;36, "3+ Years")</f>
        <v>1-3 Years</v>
      </c>
      <c r="N2641" s="2" t="str">
        <f>IF(TelecomData[[#This Row],[CleanedTotalCharges]]&gt;=2500,"High Spend", "Standard Spend")</f>
        <v>Standard Spend</v>
      </c>
    </row>
    <row r="2642" spans="1:14" x14ac:dyDescent="0.3">
      <c r="A2642" s="1" t="s">
        <v>2666</v>
      </c>
      <c r="B2642" s="2" t="s">
        <v>19</v>
      </c>
      <c r="C2642" s="2" t="s">
        <v>13</v>
      </c>
      <c r="D2642" s="2">
        <v>22</v>
      </c>
      <c r="E2642" s="2" t="s">
        <v>26</v>
      </c>
      <c r="F2642" s="2" t="s">
        <v>16</v>
      </c>
      <c r="G2642" s="7">
        <v>94.95</v>
      </c>
      <c r="H2642" s="7">
        <v>2142.8000000000002</v>
      </c>
      <c r="I2642" s="2" t="s">
        <v>15</v>
      </c>
      <c r="J2642" s="2" t="s">
        <v>16</v>
      </c>
      <c r="K2642" s="2" t="s">
        <v>24</v>
      </c>
      <c r="L2642" s="7">
        <v>2142.8000000000002</v>
      </c>
      <c r="M2642" s="2" t="str">
        <f>_xlfn.IFS(TelecomData[[#This Row],[TenureMonths]]&lt;=12, "0-1 Year", TelecomData[[#This Row],[TenureMonths]]&lt;=36, "1-3 Years", TelecomData[[#This Row],[TenureMonths]]&gt;36, "3+ Years")</f>
        <v>1-3 Years</v>
      </c>
      <c r="N2642" s="2" t="str">
        <f>IF(TelecomData[[#This Row],[CleanedTotalCharges]]&gt;=2500,"High Spend", "Standard Spend")</f>
        <v>Standard Spend</v>
      </c>
    </row>
    <row r="2643" spans="1:14" x14ac:dyDescent="0.3">
      <c r="A2643" s="1" t="s">
        <v>2667</v>
      </c>
      <c r="B2643" s="2" t="s">
        <v>12</v>
      </c>
      <c r="C2643" s="2" t="s">
        <v>13</v>
      </c>
      <c r="D2643" s="2">
        <v>5</v>
      </c>
      <c r="E2643" s="2" t="s">
        <v>14</v>
      </c>
      <c r="F2643" s="2" t="s">
        <v>16</v>
      </c>
      <c r="G2643" s="7">
        <v>59.9</v>
      </c>
      <c r="H2643" s="7">
        <v>287.85000000000002</v>
      </c>
      <c r="I2643" s="2" t="s">
        <v>15</v>
      </c>
      <c r="J2643" s="2" t="s">
        <v>15</v>
      </c>
      <c r="K2643" s="2" t="s">
        <v>29</v>
      </c>
      <c r="L2643" s="7">
        <v>287.85000000000002</v>
      </c>
      <c r="M2643" s="2" t="str">
        <f>_xlfn.IFS(TelecomData[[#This Row],[TenureMonths]]&lt;=12, "0-1 Year", TelecomData[[#This Row],[TenureMonths]]&lt;=36, "1-3 Years", TelecomData[[#This Row],[TenureMonths]]&gt;36, "3+ Years")</f>
        <v>0-1 Year</v>
      </c>
      <c r="N2643" s="2" t="str">
        <f>IF(TelecomData[[#This Row],[CleanedTotalCharges]]&gt;=2500,"High Spend", "Standard Spend")</f>
        <v>Standard Spend</v>
      </c>
    </row>
    <row r="2644" spans="1:14" x14ac:dyDescent="0.3">
      <c r="A2644" s="1" t="s">
        <v>2668</v>
      </c>
      <c r="B2644" s="2" t="s">
        <v>12</v>
      </c>
      <c r="C2644" s="2" t="s">
        <v>13</v>
      </c>
      <c r="D2644" s="2">
        <v>47</v>
      </c>
      <c r="E2644" s="2" t="s">
        <v>26</v>
      </c>
      <c r="F2644" s="2" t="s">
        <v>15</v>
      </c>
      <c r="G2644" s="7">
        <v>85.3</v>
      </c>
      <c r="H2644" s="7">
        <v>4045.65</v>
      </c>
      <c r="I2644" s="2" t="s">
        <v>16</v>
      </c>
      <c r="J2644" s="2" t="s">
        <v>16</v>
      </c>
      <c r="K2644" s="2" t="s">
        <v>17</v>
      </c>
      <c r="L2644" s="7">
        <v>4045.65</v>
      </c>
      <c r="M2644" s="2" t="str">
        <f>_xlfn.IFS(TelecomData[[#This Row],[TenureMonths]]&lt;=12, "0-1 Year", TelecomData[[#This Row],[TenureMonths]]&lt;=36, "1-3 Years", TelecomData[[#This Row],[TenureMonths]]&gt;36, "3+ Years")</f>
        <v>3+ Years</v>
      </c>
      <c r="N2644" s="2" t="str">
        <f>IF(TelecomData[[#This Row],[CleanedTotalCharges]]&gt;=2500,"High Spend", "Standard Spend")</f>
        <v>High Spend</v>
      </c>
    </row>
    <row r="2645" spans="1:14" x14ac:dyDescent="0.3">
      <c r="A2645" s="1" t="s">
        <v>2669</v>
      </c>
      <c r="B2645" s="2" t="s">
        <v>12</v>
      </c>
      <c r="C2645" s="2" t="s">
        <v>13</v>
      </c>
      <c r="D2645" s="2">
        <v>33</v>
      </c>
      <c r="E2645" s="2" t="s">
        <v>26</v>
      </c>
      <c r="F2645" s="2" t="s">
        <v>15</v>
      </c>
      <c r="G2645" s="7">
        <v>83.35</v>
      </c>
      <c r="H2645" s="7">
        <v>2757.85</v>
      </c>
      <c r="I2645" s="2" t="s">
        <v>16</v>
      </c>
      <c r="J2645" s="2" t="s">
        <v>16</v>
      </c>
      <c r="K2645" s="2" t="s">
        <v>17</v>
      </c>
      <c r="L2645" s="7">
        <v>2757.85</v>
      </c>
      <c r="M2645" s="2" t="str">
        <f>_xlfn.IFS(TelecomData[[#This Row],[TenureMonths]]&lt;=12, "0-1 Year", TelecomData[[#This Row],[TenureMonths]]&lt;=36, "1-3 Years", TelecomData[[#This Row],[TenureMonths]]&gt;36, "3+ Years")</f>
        <v>1-3 Years</v>
      </c>
      <c r="N2645" s="2" t="str">
        <f>IF(TelecomData[[#This Row],[CleanedTotalCharges]]&gt;=2500,"High Spend", "Standard Spend")</f>
        <v>High Spend</v>
      </c>
    </row>
    <row r="2646" spans="1:14" x14ac:dyDescent="0.3">
      <c r="A2646" s="1" t="s">
        <v>2670</v>
      </c>
      <c r="B2646" s="2" t="s">
        <v>19</v>
      </c>
      <c r="C2646" s="2" t="s">
        <v>13</v>
      </c>
      <c r="D2646" s="2">
        <v>18</v>
      </c>
      <c r="E2646" s="2" t="s">
        <v>14</v>
      </c>
      <c r="F2646" s="2" t="s">
        <v>15</v>
      </c>
      <c r="G2646" s="7">
        <v>33.5</v>
      </c>
      <c r="H2646" s="7">
        <v>600</v>
      </c>
      <c r="I2646" s="2" t="s">
        <v>16</v>
      </c>
      <c r="J2646" s="2" t="s">
        <v>16</v>
      </c>
      <c r="K2646" s="2" t="s">
        <v>29</v>
      </c>
      <c r="L2646" s="7">
        <v>600</v>
      </c>
      <c r="M2646" s="2" t="str">
        <f>_xlfn.IFS(TelecomData[[#This Row],[TenureMonths]]&lt;=12, "0-1 Year", TelecomData[[#This Row],[TenureMonths]]&lt;=36, "1-3 Years", TelecomData[[#This Row],[TenureMonths]]&gt;36, "3+ Years")</f>
        <v>1-3 Years</v>
      </c>
      <c r="N2646" s="2" t="str">
        <f>IF(TelecomData[[#This Row],[CleanedTotalCharges]]&gt;=2500,"High Spend", "Standard Spend")</f>
        <v>Standard Spend</v>
      </c>
    </row>
    <row r="2647" spans="1:14" x14ac:dyDescent="0.3">
      <c r="A2647" s="1" t="s">
        <v>2671</v>
      </c>
      <c r="B2647" s="2" t="s">
        <v>12</v>
      </c>
      <c r="C2647" s="2" t="s">
        <v>13</v>
      </c>
      <c r="D2647" s="2">
        <v>1</v>
      </c>
      <c r="E2647" s="2" t="s">
        <v>15</v>
      </c>
      <c r="F2647" s="2" t="s">
        <v>36</v>
      </c>
      <c r="G2647" s="7">
        <v>19.8</v>
      </c>
      <c r="H2647" s="7">
        <v>19.8</v>
      </c>
      <c r="I2647" s="2" t="s">
        <v>15</v>
      </c>
      <c r="J2647" s="2" t="s">
        <v>15</v>
      </c>
      <c r="K2647" s="2" t="s">
        <v>29</v>
      </c>
      <c r="L2647" s="7">
        <v>19.8</v>
      </c>
      <c r="M2647" s="2" t="str">
        <f>_xlfn.IFS(TelecomData[[#This Row],[TenureMonths]]&lt;=12, "0-1 Year", TelecomData[[#This Row],[TenureMonths]]&lt;=36, "1-3 Years", TelecomData[[#This Row],[TenureMonths]]&gt;36, "3+ Years")</f>
        <v>0-1 Year</v>
      </c>
      <c r="N2647" s="2" t="str">
        <f>IF(TelecomData[[#This Row],[CleanedTotalCharges]]&gt;=2500,"High Spend", "Standard Spend")</f>
        <v>Standard Spend</v>
      </c>
    </row>
    <row r="2648" spans="1:14" x14ac:dyDescent="0.3">
      <c r="A2648" s="1" t="s">
        <v>2672</v>
      </c>
      <c r="B2648" s="2" t="s">
        <v>19</v>
      </c>
      <c r="C2648" s="2" t="s">
        <v>35</v>
      </c>
      <c r="D2648" s="2">
        <v>56</v>
      </c>
      <c r="E2648" s="2" t="s">
        <v>14</v>
      </c>
      <c r="F2648" s="2" t="s">
        <v>16</v>
      </c>
      <c r="G2648" s="7">
        <v>81.8</v>
      </c>
      <c r="H2648" s="7">
        <v>4534.45</v>
      </c>
      <c r="I2648" s="2" t="s">
        <v>15</v>
      </c>
      <c r="J2648" s="2" t="s">
        <v>16</v>
      </c>
      <c r="K2648" s="2" t="s">
        <v>29</v>
      </c>
      <c r="L2648" s="7">
        <v>4534.45</v>
      </c>
      <c r="M2648" s="2" t="str">
        <f>_xlfn.IFS(TelecomData[[#This Row],[TenureMonths]]&lt;=12, "0-1 Year", TelecomData[[#This Row],[TenureMonths]]&lt;=36, "1-3 Years", TelecomData[[#This Row],[TenureMonths]]&gt;36, "3+ Years")</f>
        <v>3+ Years</v>
      </c>
      <c r="N2648" s="2" t="str">
        <f>IF(TelecomData[[#This Row],[CleanedTotalCharges]]&gt;=2500,"High Spend", "Standard Spend")</f>
        <v>High Spend</v>
      </c>
    </row>
    <row r="2649" spans="1:14" x14ac:dyDescent="0.3">
      <c r="A2649" s="1" t="s">
        <v>2673</v>
      </c>
      <c r="B2649" s="2" t="s">
        <v>12</v>
      </c>
      <c r="C2649" s="2" t="s">
        <v>13</v>
      </c>
      <c r="D2649" s="2">
        <v>2</v>
      </c>
      <c r="E2649" s="2" t="s">
        <v>15</v>
      </c>
      <c r="F2649" s="2" t="s">
        <v>36</v>
      </c>
      <c r="G2649" s="7">
        <v>20</v>
      </c>
      <c r="H2649" s="7">
        <v>40.9</v>
      </c>
      <c r="I2649" s="2" t="s">
        <v>15</v>
      </c>
      <c r="J2649" s="2" t="s">
        <v>16</v>
      </c>
      <c r="K2649" s="2" t="s">
        <v>21</v>
      </c>
      <c r="L2649" s="7">
        <v>40.9</v>
      </c>
      <c r="M2649" s="2" t="str">
        <f>_xlfn.IFS(TelecomData[[#This Row],[TenureMonths]]&lt;=12, "0-1 Year", TelecomData[[#This Row],[TenureMonths]]&lt;=36, "1-3 Years", TelecomData[[#This Row],[TenureMonths]]&gt;36, "3+ Years")</f>
        <v>0-1 Year</v>
      </c>
      <c r="N2649" s="2" t="str">
        <f>IF(TelecomData[[#This Row],[CleanedTotalCharges]]&gt;=2500,"High Spend", "Standard Spend")</f>
        <v>Standard Spend</v>
      </c>
    </row>
    <row r="2650" spans="1:14" x14ac:dyDescent="0.3">
      <c r="A2650" s="1" t="s">
        <v>2674</v>
      </c>
      <c r="B2650" s="2" t="s">
        <v>19</v>
      </c>
      <c r="C2650" s="2" t="s">
        <v>13</v>
      </c>
      <c r="D2650" s="2">
        <v>35</v>
      </c>
      <c r="E2650" s="2" t="s">
        <v>14</v>
      </c>
      <c r="F2650" s="2" t="s">
        <v>15</v>
      </c>
      <c r="G2650" s="7">
        <v>59.6</v>
      </c>
      <c r="H2650" s="7">
        <v>2094.9</v>
      </c>
      <c r="I2650" s="2" t="s">
        <v>15</v>
      </c>
      <c r="J2650" s="2" t="s">
        <v>16</v>
      </c>
      <c r="K2650" s="2" t="s">
        <v>17</v>
      </c>
      <c r="L2650" s="7">
        <v>2094.9</v>
      </c>
      <c r="M2650" s="2" t="str">
        <f>_xlfn.IFS(TelecomData[[#This Row],[TenureMonths]]&lt;=12, "0-1 Year", TelecomData[[#This Row],[TenureMonths]]&lt;=36, "1-3 Years", TelecomData[[#This Row],[TenureMonths]]&gt;36, "3+ Years")</f>
        <v>1-3 Years</v>
      </c>
      <c r="N2650" s="2" t="str">
        <f>IF(TelecomData[[#This Row],[CleanedTotalCharges]]&gt;=2500,"High Spend", "Standard Spend")</f>
        <v>Standard Spend</v>
      </c>
    </row>
    <row r="2651" spans="1:14" x14ac:dyDescent="0.3">
      <c r="A2651" s="1" t="s">
        <v>2675</v>
      </c>
      <c r="B2651" s="2" t="s">
        <v>12</v>
      </c>
      <c r="C2651" s="2" t="s">
        <v>35</v>
      </c>
      <c r="D2651" s="2">
        <v>64</v>
      </c>
      <c r="E2651" s="2" t="s">
        <v>15</v>
      </c>
      <c r="F2651" s="2" t="s">
        <v>36</v>
      </c>
      <c r="G2651" s="7">
        <v>25</v>
      </c>
      <c r="H2651" s="7">
        <v>1584.8</v>
      </c>
      <c r="I2651" s="2" t="s">
        <v>15</v>
      </c>
      <c r="J2651" s="2" t="s">
        <v>15</v>
      </c>
      <c r="K2651" s="2" t="s">
        <v>29</v>
      </c>
      <c r="L2651" s="7">
        <v>1584.8</v>
      </c>
      <c r="M2651" s="2" t="str">
        <f>_xlfn.IFS(TelecomData[[#This Row],[TenureMonths]]&lt;=12, "0-1 Year", TelecomData[[#This Row],[TenureMonths]]&lt;=36, "1-3 Years", TelecomData[[#This Row],[TenureMonths]]&gt;36, "3+ Years")</f>
        <v>3+ Years</v>
      </c>
      <c r="N2651" s="2" t="str">
        <f>IF(TelecomData[[#This Row],[CleanedTotalCharges]]&gt;=2500,"High Spend", "Standard Spend")</f>
        <v>Standard Spend</v>
      </c>
    </row>
    <row r="2652" spans="1:14" x14ac:dyDescent="0.3">
      <c r="A2652" s="1" t="s">
        <v>2676</v>
      </c>
      <c r="B2652" s="2" t="s">
        <v>12</v>
      </c>
      <c r="C2652" s="2" t="s">
        <v>13</v>
      </c>
      <c r="D2652" s="2">
        <v>15</v>
      </c>
      <c r="E2652" s="2" t="s">
        <v>26</v>
      </c>
      <c r="F2652" s="2" t="s">
        <v>15</v>
      </c>
      <c r="G2652" s="7">
        <v>84.35</v>
      </c>
      <c r="H2652" s="7">
        <v>1302.6500000000001</v>
      </c>
      <c r="I2652" s="2" t="s">
        <v>15</v>
      </c>
      <c r="J2652" s="2" t="s">
        <v>16</v>
      </c>
      <c r="K2652" s="2" t="s">
        <v>29</v>
      </c>
      <c r="L2652" s="7">
        <v>1302.6500000000001</v>
      </c>
      <c r="M2652" s="2" t="str">
        <f>_xlfn.IFS(TelecomData[[#This Row],[TenureMonths]]&lt;=12, "0-1 Year", TelecomData[[#This Row],[TenureMonths]]&lt;=36, "1-3 Years", TelecomData[[#This Row],[TenureMonths]]&gt;36, "3+ Years")</f>
        <v>1-3 Years</v>
      </c>
      <c r="N2652" s="2" t="str">
        <f>IF(TelecomData[[#This Row],[CleanedTotalCharges]]&gt;=2500,"High Spend", "Standard Spend")</f>
        <v>Standard Spend</v>
      </c>
    </row>
    <row r="2653" spans="1:14" x14ac:dyDescent="0.3">
      <c r="A2653" s="1" t="s">
        <v>2677</v>
      </c>
      <c r="B2653" s="2" t="s">
        <v>19</v>
      </c>
      <c r="C2653" s="2" t="s">
        <v>13</v>
      </c>
      <c r="D2653" s="2">
        <v>24</v>
      </c>
      <c r="E2653" s="2" t="s">
        <v>26</v>
      </c>
      <c r="F2653" s="2" t="s">
        <v>15</v>
      </c>
      <c r="G2653" s="7">
        <v>90.35</v>
      </c>
      <c r="H2653" s="7">
        <v>2238.5</v>
      </c>
      <c r="I2653" s="2" t="s">
        <v>16</v>
      </c>
      <c r="J2653" s="2" t="s">
        <v>16</v>
      </c>
      <c r="K2653" s="2" t="s">
        <v>17</v>
      </c>
      <c r="L2653" s="7">
        <v>2238.5</v>
      </c>
      <c r="M2653" s="2" t="str">
        <f>_xlfn.IFS(TelecomData[[#This Row],[TenureMonths]]&lt;=12, "0-1 Year", TelecomData[[#This Row],[TenureMonths]]&lt;=36, "1-3 Years", TelecomData[[#This Row],[TenureMonths]]&gt;36, "3+ Years")</f>
        <v>1-3 Years</v>
      </c>
      <c r="N2653" s="2" t="str">
        <f>IF(TelecomData[[#This Row],[CleanedTotalCharges]]&gt;=2500,"High Spend", "Standard Spend")</f>
        <v>Standard Spend</v>
      </c>
    </row>
    <row r="2654" spans="1:14" x14ac:dyDescent="0.3">
      <c r="A2654" s="1" t="s">
        <v>2678</v>
      </c>
      <c r="B2654" s="2" t="s">
        <v>19</v>
      </c>
      <c r="C2654" s="2" t="s">
        <v>13</v>
      </c>
      <c r="D2654" s="2">
        <v>1</v>
      </c>
      <c r="E2654" s="2" t="s">
        <v>14</v>
      </c>
      <c r="F2654" s="2" t="s">
        <v>15</v>
      </c>
      <c r="G2654" s="7">
        <v>55.55</v>
      </c>
      <c r="H2654" s="7">
        <v>55.55</v>
      </c>
      <c r="I2654" s="2" t="s">
        <v>15</v>
      </c>
      <c r="J2654" s="2" t="s">
        <v>15</v>
      </c>
      <c r="K2654" s="2" t="s">
        <v>21</v>
      </c>
      <c r="L2654" s="7">
        <v>55.55</v>
      </c>
      <c r="M2654" s="2" t="str">
        <f>_xlfn.IFS(TelecomData[[#This Row],[TenureMonths]]&lt;=12, "0-1 Year", TelecomData[[#This Row],[TenureMonths]]&lt;=36, "1-3 Years", TelecomData[[#This Row],[TenureMonths]]&gt;36, "3+ Years")</f>
        <v>0-1 Year</v>
      </c>
      <c r="N2654" s="2" t="str">
        <f>IF(TelecomData[[#This Row],[CleanedTotalCharges]]&gt;=2500,"High Spend", "Standard Spend")</f>
        <v>Standard Spend</v>
      </c>
    </row>
    <row r="2655" spans="1:14" x14ac:dyDescent="0.3">
      <c r="A2655" s="1" t="s">
        <v>2679</v>
      </c>
      <c r="B2655" s="2" t="s">
        <v>12</v>
      </c>
      <c r="C2655" s="2" t="s">
        <v>35</v>
      </c>
      <c r="D2655" s="2">
        <v>70</v>
      </c>
      <c r="E2655" s="2" t="s">
        <v>14</v>
      </c>
      <c r="F2655" s="2" t="s">
        <v>16</v>
      </c>
      <c r="G2655" s="7">
        <v>75.349999999999994</v>
      </c>
      <c r="H2655" s="7">
        <v>5437.75</v>
      </c>
      <c r="I2655" s="2" t="s">
        <v>15</v>
      </c>
      <c r="J2655" s="2" t="s">
        <v>15</v>
      </c>
      <c r="K2655" s="2" t="s">
        <v>29</v>
      </c>
      <c r="L2655" s="7">
        <v>5437.75</v>
      </c>
      <c r="M2655" s="2" t="str">
        <f>_xlfn.IFS(TelecomData[[#This Row],[TenureMonths]]&lt;=12, "0-1 Year", TelecomData[[#This Row],[TenureMonths]]&lt;=36, "1-3 Years", TelecomData[[#This Row],[TenureMonths]]&gt;36, "3+ Years")</f>
        <v>3+ Years</v>
      </c>
      <c r="N2655" s="2" t="str">
        <f>IF(TelecomData[[#This Row],[CleanedTotalCharges]]&gt;=2500,"High Spend", "Standard Spend")</f>
        <v>High Spend</v>
      </c>
    </row>
    <row r="2656" spans="1:14" x14ac:dyDescent="0.3">
      <c r="A2656" s="1" t="s">
        <v>2680</v>
      </c>
      <c r="B2656" s="2" t="s">
        <v>19</v>
      </c>
      <c r="C2656" s="2" t="s">
        <v>13</v>
      </c>
      <c r="D2656" s="2">
        <v>1</v>
      </c>
      <c r="E2656" s="2" t="s">
        <v>26</v>
      </c>
      <c r="F2656" s="2" t="s">
        <v>15</v>
      </c>
      <c r="G2656" s="7">
        <v>90.75</v>
      </c>
      <c r="H2656" s="7">
        <v>90.75</v>
      </c>
      <c r="I2656" s="2" t="s">
        <v>16</v>
      </c>
      <c r="J2656" s="2" t="s">
        <v>16</v>
      </c>
      <c r="K2656" s="2" t="s">
        <v>17</v>
      </c>
      <c r="L2656" s="7">
        <v>90.75</v>
      </c>
      <c r="M2656" s="2" t="str">
        <f>_xlfn.IFS(TelecomData[[#This Row],[TenureMonths]]&lt;=12, "0-1 Year", TelecomData[[#This Row],[TenureMonths]]&lt;=36, "1-3 Years", TelecomData[[#This Row],[TenureMonths]]&gt;36, "3+ Years")</f>
        <v>0-1 Year</v>
      </c>
      <c r="N2656" s="2" t="str">
        <f>IF(TelecomData[[#This Row],[CleanedTotalCharges]]&gt;=2500,"High Spend", "Standard Spend")</f>
        <v>Standard Spend</v>
      </c>
    </row>
    <row r="2657" spans="1:14" x14ac:dyDescent="0.3">
      <c r="A2657" s="1" t="s">
        <v>2681</v>
      </c>
      <c r="B2657" s="2" t="s">
        <v>12</v>
      </c>
      <c r="C2657" s="2" t="s">
        <v>13</v>
      </c>
      <c r="D2657" s="2">
        <v>4</v>
      </c>
      <c r="E2657" s="2" t="s">
        <v>26</v>
      </c>
      <c r="F2657" s="2" t="s">
        <v>15</v>
      </c>
      <c r="G2657" s="7">
        <v>89.6</v>
      </c>
      <c r="H2657" s="7">
        <v>365.65</v>
      </c>
      <c r="I2657" s="2" t="s">
        <v>16</v>
      </c>
      <c r="J2657" s="2" t="s">
        <v>15</v>
      </c>
      <c r="K2657" s="2" t="s">
        <v>21</v>
      </c>
      <c r="L2657" s="7">
        <v>365.65</v>
      </c>
      <c r="M2657" s="2" t="str">
        <f>_xlfn.IFS(TelecomData[[#This Row],[TenureMonths]]&lt;=12, "0-1 Year", TelecomData[[#This Row],[TenureMonths]]&lt;=36, "1-3 Years", TelecomData[[#This Row],[TenureMonths]]&gt;36, "3+ Years")</f>
        <v>0-1 Year</v>
      </c>
      <c r="N2657" s="2" t="str">
        <f>IF(TelecomData[[#This Row],[CleanedTotalCharges]]&gt;=2500,"High Spend", "Standard Spend")</f>
        <v>Standard Spend</v>
      </c>
    </row>
    <row r="2658" spans="1:14" x14ac:dyDescent="0.3">
      <c r="A2658" s="1" t="s">
        <v>2682</v>
      </c>
      <c r="B2658" s="2" t="s">
        <v>12</v>
      </c>
      <c r="C2658" s="2" t="s">
        <v>20</v>
      </c>
      <c r="D2658" s="2">
        <v>39</v>
      </c>
      <c r="E2658" s="2" t="s">
        <v>14</v>
      </c>
      <c r="F2658" s="2" t="s">
        <v>16</v>
      </c>
      <c r="G2658" s="7">
        <v>59.3</v>
      </c>
      <c r="H2658" s="7">
        <v>2209.15</v>
      </c>
      <c r="I2658" s="2" t="s">
        <v>15</v>
      </c>
      <c r="J2658" s="2" t="s">
        <v>15</v>
      </c>
      <c r="K2658" s="2" t="s">
        <v>17</v>
      </c>
      <c r="L2658" s="7">
        <v>2209.15</v>
      </c>
      <c r="M2658" s="2" t="str">
        <f>_xlfn.IFS(TelecomData[[#This Row],[TenureMonths]]&lt;=12, "0-1 Year", TelecomData[[#This Row],[TenureMonths]]&lt;=36, "1-3 Years", TelecomData[[#This Row],[TenureMonths]]&gt;36, "3+ Years")</f>
        <v>3+ Years</v>
      </c>
      <c r="N2658" s="2" t="str">
        <f>IF(TelecomData[[#This Row],[CleanedTotalCharges]]&gt;=2500,"High Spend", "Standard Spend")</f>
        <v>Standard Spend</v>
      </c>
    </row>
    <row r="2659" spans="1:14" x14ac:dyDescent="0.3">
      <c r="A2659" s="1" t="s">
        <v>2683</v>
      </c>
      <c r="B2659" s="2" t="s">
        <v>12</v>
      </c>
      <c r="C2659" s="2" t="s">
        <v>13</v>
      </c>
      <c r="D2659" s="2">
        <v>29</v>
      </c>
      <c r="E2659" s="2" t="s">
        <v>14</v>
      </c>
      <c r="F2659" s="2" t="s">
        <v>15</v>
      </c>
      <c r="G2659" s="7">
        <v>66.099999999999994</v>
      </c>
      <c r="H2659" s="7">
        <v>1912.15</v>
      </c>
      <c r="I2659" s="2" t="s">
        <v>15</v>
      </c>
      <c r="J2659" s="2" t="s">
        <v>16</v>
      </c>
      <c r="K2659" s="2" t="s">
        <v>17</v>
      </c>
      <c r="L2659" s="7">
        <v>1912.15</v>
      </c>
      <c r="M2659" s="2" t="str">
        <f>_xlfn.IFS(TelecomData[[#This Row],[TenureMonths]]&lt;=12, "0-1 Year", TelecomData[[#This Row],[TenureMonths]]&lt;=36, "1-3 Years", TelecomData[[#This Row],[TenureMonths]]&gt;36, "3+ Years")</f>
        <v>1-3 Years</v>
      </c>
      <c r="N2659" s="2" t="str">
        <f>IF(TelecomData[[#This Row],[CleanedTotalCharges]]&gt;=2500,"High Spend", "Standard Spend")</f>
        <v>Standard Spend</v>
      </c>
    </row>
    <row r="2660" spans="1:14" x14ac:dyDescent="0.3">
      <c r="A2660" s="1" t="s">
        <v>2684</v>
      </c>
      <c r="B2660" s="2" t="s">
        <v>12</v>
      </c>
      <c r="C2660" s="2" t="s">
        <v>35</v>
      </c>
      <c r="D2660" s="2">
        <v>14</v>
      </c>
      <c r="E2660" s="2" t="s">
        <v>15</v>
      </c>
      <c r="F2660" s="2" t="s">
        <v>36</v>
      </c>
      <c r="G2660" s="7">
        <v>18.8</v>
      </c>
      <c r="H2660" s="7">
        <v>255.55</v>
      </c>
      <c r="I2660" s="2" t="s">
        <v>15</v>
      </c>
      <c r="J2660" s="2" t="s">
        <v>15</v>
      </c>
      <c r="K2660" s="2" t="s">
        <v>21</v>
      </c>
      <c r="L2660" s="7">
        <v>255.55</v>
      </c>
      <c r="M2660" s="2" t="str">
        <f>_xlfn.IFS(TelecomData[[#This Row],[TenureMonths]]&lt;=12, "0-1 Year", TelecomData[[#This Row],[TenureMonths]]&lt;=36, "1-3 Years", TelecomData[[#This Row],[TenureMonths]]&gt;36, "3+ Years")</f>
        <v>1-3 Years</v>
      </c>
      <c r="N2660" s="2" t="str">
        <f>IF(TelecomData[[#This Row],[CleanedTotalCharges]]&gt;=2500,"High Spend", "Standard Spend")</f>
        <v>Standard Spend</v>
      </c>
    </row>
    <row r="2661" spans="1:14" x14ac:dyDescent="0.3">
      <c r="A2661" s="1" t="s">
        <v>2685</v>
      </c>
      <c r="B2661" s="2" t="s">
        <v>12</v>
      </c>
      <c r="C2661" s="2" t="s">
        <v>35</v>
      </c>
      <c r="D2661" s="2">
        <v>61</v>
      </c>
      <c r="E2661" s="2" t="s">
        <v>14</v>
      </c>
      <c r="F2661" s="2" t="s">
        <v>16</v>
      </c>
      <c r="G2661" s="7">
        <v>86.45</v>
      </c>
      <c r="H2661" s="7">
        <v>5175.3</v>
      </c>
      <c r="I2661" s="2" t="s">
        <v>15</v>
      </c>
      <c r="J2661" s="2" t="s">
        <v>15</v>
      </c>
      <c r="K2661" s="2" t="s">
        <v>29</v>
      </c>
      <c r="L2661" s="7">
        <v>5175.3</v>
      </c>
      <c r="M2661" s="2" t="str">
        <f>_xlfn.IFS(TelecomData[[#This Row],[TenureMonths]]&lt;=12, "0-1 Year", TelecomData[[#This Row],[TenureMonths]]&lt;=36, "1-3 Years", TelecomData[[#This Row],[TenureMonths]]&gt;36, "3+ Years")</f>
        <v>3+ Years</v>
      </c>
      <c r="N2661" s="2" t="str">
        <f>IF(TelecomData[[#This Row],[CleanedTotalCharges]]&gt;=2500,"High Spend", "Standard Spend")</f>
        <v>High Spend</v>
      </c>
    </row>
    <row r="2662" spans="1:14" x14ac:dyDescent="0.3">
      <c r="A2662" s="1" t="s">
        <v>2686</v>
      </c>
      <c r="B2662" s="2" t="s">
        <v>19</v>
      </c>
      <c r="C2662" s="2" t="s">
        <v>13</v>
      </c>
      <c r="D2662" s="2">
        <v>13</v>
      </c>
      <c r="E2662" s="2" t="s">
        <v>14</v>
      </c>
      <c r="F2662" s="2" t="s">
        <v>15</v>
      </c>
      <c r="G2662" s="7">
        <v>52.1</v>
      </c>
      <c r="H2662" s="7">
        <v>670.65</v>
      </c>
      <c r="I2662" s="2" t="s">
        <v>15</v>
      </c>
      <c r="J2662" s="2" t="s">
        <v>16</v>
      </c>
      <c r="K2662" s="2" t="s">
        <v>29</v>
      </c>
      <c r="L2662" s="7">
        <v>670.65</v>
      </c>
      <c r="M2662" s="2" t="str">
        <f>_xlfn.IFS(TelecomData[[#This Row],[TenureMonths]]&lt;=12, "0-1 Year", TelecomData[[#This Row],[TenureMonths]]&lt;=36, "1-3 Years", TelecomData[[#This Row],[TenureMonths]]&gt;36, "3+ Years")</f>
        <v>1-3 Years</v>
      </c>
      <c r="N2662" s="2" t="str">
        <f>IF(TelecomData[[#This Row],[CleanedTotalCharges]]&gt;=2500,"High Spend", "Standard Spend")</f>
        <v>Standard Spend</v>
      </c>
    </row>
    <row r="2663" spans="1:14" x14ac:dyDescent="0.3">
      <c r="A2663" s="1" t="s">
        <v>2687</v>
      </c>
      <c r="B2663" s="2" t="s">
        <v>12</v>
      </c>
      <c r="C2663" s="2" t="s">
        <v>35</v>
      </c>
      <c r="D2663" s="2">
        <v>66</v>
      </c>
      <c r="E2663" s="2" t="s">
        <v>14</v>
      </c>
      <c r="F2663" s="2" t="s">
        <v>16</v>
      </c>
      <c r="G2663" s="7">
        <v>47.4</v>
      </c>
      <c r="H2663" s="7">
        <v>3177.25</v>
      </c>
      <c r="I2663" s="2" t="s">
        <v>15</v>
      </c>
      <c r="J2663" s="2" t="s">
        <v>16</v>
      </c>
      <c r="K2663" s="2" t="s">
        <v>21</v>
      </c>
      <c r="L2663" s="7">
        <v>3177.25</v>
      </c>
      <c r="M2663" s="2" t="str">
        <f>_xlfn.IFS(TelecomData[[#This Row],[TenureMonths]]&lt;=12, "0-1 Year", TelecomData[[#This Row],[TenureMonths]]&lt;=36, "1-3 Years", TelecomData[[#This Row],[TenureMonths]]&gt;36, "3+ Years")</f>
        <v>3+ Years</v>
      </c>
      <c r="N2663" s="2" t="str">
        <f>IF(TelecomData[[#This Row],[CleanedTotalCharges]]&gt;=2500,"High Spend", "Standard Spend")</f>
        <v>High Spend</v>
      </c>
    </row>
    <row r="2664" spans="1:14" x14ac:dyDescent="0.3">
      <c r="A2664" s="1" t="s">
        <v>2688</v>
      </c>
      <c r="B2664" s="2" t="s">
        <v>19</v>
      </c>
      <c r="C2664" s="2" t="s">
        <v>13</v>
      </c>
      <c r="D2664" s="2">
        <v>2</v>
      </c>
      <c r="E2664" s="2" t="s">
        <v>14</v>
      </c>
      <c r="F2664" s="2" t="s">
        <v>15</v>
      </c>
      <c r="G2664" s="7">
        <v>49.25</v>
      </c>
      <c r="H2664" s="7">
        <v>90.35</v>
      </c>
      <c r="I2664" s="2" t="s">
        <v>16</v>
      </c>
      <c r="J2664" s="2" t="s">
        <v>16</v>
      </c>
      <c r="K2664" s="2" t="s">
        <v>17</v>
      </c>
      <c r="L2664" s="7">
        <v>90.35</v>
      </c>
      <c r="M2664" s="2" t="str">
        <f>_xlfn.IFS(TelecomData[[#This Row],[TenureMonths]]&lt;=12, "0-1 Year", TelecomData[[#This Row],[TenureMonths]]&lt;=36, "1-3 Years", TelecomData[[#This Row],[TenureMonths]]&gt;36, "3+ Years")</f>
        <v>0-1 Year</v>
      </c>
      <c r="N2664" s="2" t="str">
        <f>IF(TelecomData[[#This Row],[CleanedTotalCharges]]&gt;=2500,"High Spend", "Standard Spend")</f>
        <v>Standard Spend</v>
      </c>
    </row>
    <row r="2665" spans="1:14" x14ac:dyDescent="0.3">
      <c r="A2665" s="1" t="s">
        <v>2689</v>
      </c>
      <c r="B2665" s="2" t="s">
        <v>12</v>
      </c>
      <c r="C2665" s="2" t="s">
        <v>20</v>
      </c>
      <c r="D2665" s="2">
        <v>59</v>
      </c>
      <c r="E2665" s="2" t="s">
        <v>26</v>
      </c>
      <c r="F2665" s="2" t="s">
        <v>15</v>
      </c>
      <c r="G2665" s="7">
        <v>109.15</v>
      </c>
      <c r="H2665" s="7">
        <v>6557.75</v>
      </c>
      <c r="I2665" s="2" t="s">
        <v>15</v>
      </c>
      <c r="J2665" s="2" t="s">
        <v>16</v>
      </c>
      <c r="K2665" s="2" t="s">
        <v>29</v>
      </c>
      <c r="L2665" s="7">
        <v>6557.75</v>
      </c>
      <c r="M2665" s="2" t="str">
        <f>_xlfn.IFS(TelecomData[[#This Row],[TenureMonths]]&lt;=12, "0-1 Year", TelecomData[[#This Row],[TenureMonths]]&lt;=36, "1-3 Years", TelecomData[[#This Row],[TenureMonths]]&gt;36, "3+ Years")</f>
        <v>3+ Years</v>
      </c>
      <c r="N2665" s="2" t="str">
        <f>IF(TelecomData[[#This Row],[CleanedTotalCharges]]&gt;=2500,"High Spend", "Standard Spend")</f>
        <v>High Spend</v>
      </c>
    </row>
    <row r="2666" spans="1:14" x14ac:dyDescent="0.3">
      <c r="A2666" s="1" t="s">
        <v>2690</v>
      </c>
      <c r="B2666" s="2" t="s">
        <v>19</v>
      </c>
      <c r="C2666" s="2" t="s">
        <v>20</v>
      </c>
      <c r="D2666" s="2">
        <v>62</v>
      </c>
      <c r="E2666" s="2" t="s">
        <v>26</v>
      </c>
      <c r="F2666" s="2" t="s">
        <v>15</v>
      </c>
      <c r="G2666" s="7">
        <v>94.95</v>
      </c>
      <c r="H2666" s="7">
        <v>5791.85</v>
      </c>
      <c r="I2666" s="2" t="s">
        <v>15</v>
      </c>
      <c r="J2666" s="2" t="s">
        <v>16</v>
      </c>
      <c r="K2666" s="2" t="s">
        <v>29</v>
      </c>
      <c r="L2666" s="7">
        <v>5791.85</v>
      </c>
      <c r="M2666" s="2" t="str">
        <f>_xlfn.IFS(TelecomData[[#This Row],[TenureMonths]]&lt;=12, "0-1 Year", TelecomData[[#This Row],[TenureMonths]]&lt;=36, "1-3 Years", TelecomData[[#This Row],[TenureMonths]]&gt;36, "3+ Years")</f>
        <v>3+ Years</v>
      </c>
      <c r="N2666" s="2" t="str">
        <f>IF(TelecomData[[#This Row],[CleanedTotalCharges]]&gt;=2500,"High Spend", "Standard Spend")</f>
        <v>High Spend</v>
      </c>
    </row>
    <row r="2667" spans="1:14" x14ac:dyDescent="0.3">
      <c r="A2667" s="1" t="s">
        <v>2691</v>
      </c>
      <c r="B2667" s="2" t="s">
        <v>19</v>
      </c>
      <c r="C2667" s="2" t="s">
        <v>20</v>
      </c>
      <c r="D2667" s="2">
        <v>33</v>
      </c>
      <c r="E2667" s="2" t="s">
        <v>26</v>
      </c>
      <c r="F2667" s="2" t="s">
        <v>16</v>
      </c>
      <c r="G2667" s="7">
        <v>93.55</v>
      </c>
      <c r="H2667" s="7">
        <v>3055.5</v>
      </c>
      <c r="I2667" s="2" t="s">
        <v>15</v>
      </c>
      <c r="J2667" s="2" t="s">
        <v>16</v>
      </c>
      <c r="K2667" s="2" t="s">
        <v>17</v>
      </c>
      <c r="L2667" s="7">
        <v>3055.5</v>
      </c>
      <c r="M2667" s="2" t="str">
        <f>_xlfn.IFS(TelecomData[[#This Row],[TenureMonths]]&lt;=12, "0-1 Year", TelecomData[[#This Row],[TenureMonths]]&lt;=36, "1-3 Years", TelecomData[[#This Row],[TenureMonths]]&gt;36, "3+ Years")</f>
        <v>1-3 Years</v>
      </c>
      <c r="N2667" s="2" t="str">
        <f>IF(TelecomData[[#This Row],[CleanedTotalCharges]]&gt;=2500,"High Spend", "Standard Spend")</f>
        <v>High Spend</v>
      </c>
    </row>
    <row r="2668" spans="1:14" x14ac:dyDescent="0.3">
      <c r="A2668" s="1" t="s">
        <v>2692</v>
      </c>
      <c r="B2668" s="2" t="s">
        <v>19</v>
      </c>
      <c r="C2668" s="2" t="s">
        <v>35</v>
      </c>
      <c r="D2668" s="2">
        <v>66</v>
      </c>
      <c r="E2668" s="2" t="s">
        <v>14</v>
      </c>
      <c r="F2668" s="2" t="s">
        <v>16</v>
      </c>
      <c r="G2668" s="7">
        <v>79.5</v>
      </c>
      <c r="H2668" s="7">
        <v>5196.1000000000004</v>
      </c>
      <c r="I2668" s="2" t="s">
        <v>15</v>
      </c>
      <c r="J2668" s="2" t="s">
        <v>16</v>
      </c>
      <c r="K2668" s="2" t="s">
        <v>29</v>
      </c>
      <c r="L2668" s="7">
        <v>5196.1000000000004</v>
      </c>
      <c r="M2668" s="2" t="str">
        <f>_xlfn.IFS(TelecomData[[#This Row],[TenureMonths]]&lt;=12, "0-1 Year", TelecomData[[#This Row],[TenureMonths]]&lt;=36, "1-3 Years", TelecomData[[#This Row],[TenureMonths]]&gt;36, "3+ Years")</f>
        <v>3+ Years</v>
      </c>
      <c r="N2668" s="2" t="str">
        <f>IF(TelecomData[[#This Row],[CleanedTotalCharges]]&gt;=2500,"High Spend", "Standard Spend")</f>
        <v>High Spend</v>
      </c>
    </row>
    <row r="2669" spans="1:14" x14ac:dyDescent="0.3">
      <c r="A2669" s="1" t="s">
        <v>2693</v>
      </c>
      <c r="B2669" s="2" t="s">
        <v>12</v>
      </c>
      <c r="C2669" s="2" t="s">
        <v>35</v>
      </c>
      <c r="D2669" s="2">
        <v>72</v>
      </c>
      <c r="E2669" s="2" t="s">
        <v>26</v>
      </c>
      <c r="F2669" s="2" t="s">
        <v>16</v>
      </c>
      <c r="G2669" s="7">
        <v>115.05</v>
      </c>
      <c r="H2669" s="7">
        <v>8405</v>
      </c>
      <c r="I2669" s="2" t="s">
        <v>15</v>
      </c>
      <c r="J2669" s="2" t="s">
        <v>15</v>
      </c>
      <c r="K2669" s="2" t="s">
        <v>29</v>
      </c>
      <c r="L2669" s="7">
        <v>8405</v>
      </c>
      <c r="M2669" s="2" t="str">
        <f>_xlfn.IFS(TelecomData[[#This Row],[TenureMonths]]&lt;=12, "0-1 Year", TelecomData[[#This Row],[TenureMonths]]&lt;=36, "1-3 Years", TelecomData[[#This Row],[TenureMonths]]&gt;36, "3+ Years")</f>
        <v>3+ Years</v>
      </c>
      <c r="N2669" s="2" t="str">
        <f>IF(TelecomData[[#This Row],[CleanedTotalCharges]]&gt;=2500,"High Spend", "Standard Spend")</f>
        <v>High Spend</v>
      </c>
    </row>
    <row r="2670" spans="1:14" x14ac:dyDescent="0.3">
      <c r="A2670" s="1" t="s">
        <v>2694</v>
      </c>
      <c r="B2670" s="2" t="s">
        <v>19</v>
      </c>
      <c r="C2670" s="2" t="s">
        <v>13</v>
      </c>
      <c r="D2670" s="2">
        <v>1</v>
      </c>
      <c r="E2670" s="2" t="s">
        <v>15</v>
      </c>
      <c r="F2670" s="2" t="s">
        <v>36</v>
      </c>
      <c r="G2670" s="7">
        <v>19.75</v>
      </c>
      <c r="H2670" s="7">
        <v>19.75</v>
      </c>
      <c r="I2670" s="2" t="s">
        <v>16</v>
      </c>
      <c r="J2670" s="2" t="s">
        <v>15</v>
      </c>
      <c r="K2670" s="2" t="s">
        <v>21</v>
      </c>
      <c r="L2670" s="7">
        <v>19.75</v>
      </c>
      <c r="M2670" s="2" t="str">
        <f>_xlfn.IFS(TelecomData[[#This Row],[TenureMonths]]&lt;=12, "0-1 Year", TelecomData[[#This Row],[TenureMonths]]&lt;=36, "1-3 Years", TelecomData[[#This Row],[TenureMonths]]&gt;36, "3+ Years")</f>
        <v>0-1 Year</v>
      </c>
      <c r="N2670" s="2" t="str">
        <f>IF(TelecomData[[#This Row],[CleanedTotalCharges]]&gt;=2500,"High Spend", "Standard Spend")</f>
        <v>Standard Spend</v>
      </c>
    </row>
    <row r="2671" spans="1:14" x14ac:dyDescent="0.3">
      <c r="A2671" s="1" t="s">
        <v>2695</v>
      </c>
      <c r="B2671" s="2" t="s">
        <v>12</v>
      </c>
      <c r="C2671" s="2" t="s">
        <v>13</v>
      </c>
      <c r="D2671" s="2">
        <v>19</v>
      </c>
      <c r="E2671" s="2" t="s">
        <v>26</v>
      </c>
      <c r="F2671" s="2" t="s">
        <v>15</v>
      </c>
      <c r="G2671" s="7">
        <v>95.15</v>
      </c>
      <c r="H2671" s="7">
        <v>1789.25</v>
      </c>
      <c r="I2671" s="2" t="s">
        <v>16</v>
      </c>
      <c r="J2671" s="2" t="s">
        <v>16</v>
      </c>
      <c r="K2671" s="2" t="s">
        <v>17</v>
      </c>
      <c r="L2671" s="7">
        <v>1789.25</v>
      </c>
      <c r="M2671" s="2" t="str">
        <f>_xlfn.IFS(TelecomData[[#This Row],[TenureMonths]]&lt;=12, "0-1 Year", TelecomData[[#This Row],[TenureMonths]]&lt;=36, "1-3 Years", TelecomData[[#This Row],[TenureMonths]]&gt;36, "3+ Years")</f>
        <v>1-3 Years</v>
      </c>
      <c r="N2671" s="2" t="str">
        <f>IF(TelecomData[[#This Row],[CleanedTotalCharges]]&gt;=2500,"High Spend", "Standard Spend")</f>
        <v>Standard Spend</v>
      </c>
    </row>
    <row r="2672" spans="1:14" x14ac:dyDescent="0.3">
      <c r="A2672" s="1" t="s">
        <v>2696</v>
      </c>
      <c r="B2672" s="2" t="s">
        <v>12</v>
      </c>
      <c r="C2672" s="2" t="s">
        <v>20</v>
      </c>
      <c r="D2672" s="2">
        <v>51</v>
      </c>
      <c r="E2672" s="2" t="s">
        <v>26</v>
      </c>
      <c r="F2672" s="2" t="s">
        <v>16</v>
      </c>
      <c r="G2672" s="7">
        <v>95.15</v>
      </c>
      <c r="H2672" s="7">
        <v>5000.05</v>
      </c>
      <c r="I2672" s="2" t="s">
        <v>15</v>
      </c>
      <c r="J2672" s="2" t="s">
        <v>16</v>
      </c>
      <c r="K2672" s="2" t="s">
        <v>21</v>
      </c>
      <c r="L2672" s="7">
        <v>5000.05</v>
      </c>
      <c r="M2672" s="2" t="str">
        <f>_xlfn.IFS(TelecomData[[#This Row],[TenureMonths]]&lt;=12, "0-1 Year", TelecomData[[#This Row],[TenureMonths]]&lt;=36, "1-3 Years", TelecomData[[#This Row],[TenureMonths]]&gt;36, "3+ Years")</f>
        <v>3+ Years</v>
      </c>
      <c r="N2672" s="2" t="str">
        <f>IF(TelecomData[[#This Row],[CleanedTotalCharges]]&gt;=2500,"High Spend", "Standard Spend")</f>
        <v>High Spend</v>
      </c>
    </row>
    <row r="2673" spans="1:14" x14ac:dyDescent="0.3">
      <c r="A2673" s="1" t="s">
        <v>2697</v>
      </c>
      <c r="B2673" s="2" t="s">
        <v>19</v>
      </c>
      <c r="C2673" s="2" t="s">
        <v>13</v>
      </c>
      <c r="D2673" s="2">
        <v>63</v>
      </c>
      <c r="E2673" s="2" t="s">
        <v>26</v>
      </c>
      <c r="F2673" s="2" t="s">
        <v>16</v>
      </c>
      <c r="G2673" s="7">
        <v>105.4</v>
      </c>
      <c r="H2673" s="7">
        <v>6713.2</v>
      </c>
      <c r="I2673" s="2" t="s">
        <v>15</v>
      </c>
      <c r="J2673" s="2" t="s">
        <v>15</v>
      </c>
      <c r="K2673" s="2" t="s">
        <v>17</v>
      </c>
      <c r="L2673" s="7">
        <v>6713.2</v>
      </c>
      <c r="M2673" s="2" t="str">
        <f>_xlfn.IFS(TelecomData[[#This Row],[TenureMonths]]&lt;=12, "0-1 Year", TelecomData[[#This Row],[TenureMonths]]&lt;=36, "1-3 Years", TelecomData[[#This Row],[TenureMonths]]&gt;36, "3+ Years")</f>
        <v>3+ Years</v>
      </c>
      <c r="N2673" s="2" t="str">
        <f>IF(TelecomData[[#This Row],[CleanedTotalCharges]]&gt;=2500,"High Spend", "Standard Spend")</f>
        <v>High Spend</v>
      </c>
    </row>
    <row r="2674" spans="1:14" x14ac:dyDescent="0.3">
      <c r="A2674" s="1" t="s">
        <v>2698</v>
      </c>
      <c r="B2674" s="2" t="s">
        <v>19</v>
      </c>
      <c r="C2674" s="2" t="s">
        <v>20</v>
      </c>
      <c r="D2674" s="2">
        <v>27</v>
      </c>
      <c r="E2674" s="2" t="s">
        <v>15</v>
      </c>
      <c r="F2674" s="2" t="s">
        <v>36</v>
      </c>
      <c r="G2674" s="7">
        <v>20.100000000000001</v>
      </c>
      <c r="H2674" s="7">
        <v>562.6</v>
      </c>
      <c r="I2674" s="2" t="s">
        <v>15</v>
      </c>
      <c r="J2674" s="2" t="s">
        <v>15</v>
      </c>
      <c r="K2674" s="2" t="s">
        <v>24</v>
      </c>
      <c r="L2674" s="7">
        <v>562.6</v>
      </c>
      <c r="M2674" s="2" t="str">
        <f>_xlfn.IFS(TelecomData[[#This Row],[TenureMonths]]&lt;=12, "0-1 Year", TelecomData[[#This Row],[TenureMonths]]&lt;=36, "1-3 Years", TelecomData[[#This Row],[TenureMonths]]&gt;36, "3+ Years")</f>
        <v>1-3 Years</v>
      </c>
      <c r="N2674" s="2" t="str">
        <f>IF(TelecomData[[#This Row],[CleanedTotalCharges]]&gt;=2500,"High Spend", "Standard Spend")</f>
        <v>Standard Spend</v>
      </c>
    </row>
    <row r="2675" spans="1:14" x14ac:dyDescent="0.3">
      <c r="A2675" s="1" t="s">
        <v>2699</v>
      </c>
      <c r="B2675" s="2" t="s">
        <v>19</v>
      </c>
      <c r="C2675" s="2" t="s">
        <v>13</v>
      </c>
      <c r="D2675" s="2">
        <v>22</v>
      </c>
      <c r="E2675" s="2" t="s">
        <v>26</v>
      </c>
      <c r="F2675" s="2" t="s">
        <v>15</v>
      </c>
      <c r="G2675" s="7">
        <v>101.35</v>
      </c>
      <c r="H2675" s="7">
        <v>2317.1</v>
      </c>
      <c r="I2675" s="2" t="s">
        <v>16</v>
      </c>
      <c r="J2675" s="2" t="s">
        <v>16</v>
      </c>
      <c r="K2675" s="2" t="s">
        <v>24</v>
      </c>
      <c r="L2675" s="7">
        <v>2317.1</v>
      </c>
      <c r="M2675" s="2" t="str">
        <f>_xlfn.IFS(TelecomData[[#This Row],[TenureMonths]]&lt;=12, "0-1 Year", TelecomData[[#This Row],[TenureMonths]]&lt;=36, "1-3 Years", TelecomData[[#This Row],[TenureMonths]]&gt;36, "3+ Years")</f>
        <v>1-3 Years</v>
      </c>
      <c r="N2675" s="2" t="str">
        <f>IF(TelecomData[[#This Row],[CleanedTotalCharges]]&gt;=2500,"High Spend", "Standard Spend")</f>
        <v>Standard Spend</v>
      </c>
    </row>
    <row r="2676" spans="1:14" x14ac:dyDescent="0.3">
      <c r="A2676" s="1" t="s">
        <v>2700</v>
      </c>
      <c r="B2676" s="2" t="s">
        <v>12</v>
      </c>
      <c r="C2676" s="2" t="s">
        <v>13</v>
      </c>
      <c r="D2676" s="2">
        <v>4</v>
      </c>
      <c r="E2676" s="2" t="s">
        <v>15</v>
      </c>
      <c r="F2676" s="2" t="s">
        <v>36</v>
      </c>
      <c r="G2676" s="7">
        <v>20.05</v>
      </c>
      <c r="H2676" s="7">
        <v>91.45</v>
      </c>
      <c r="I2676" s="2" t="s">
        <v>15</v>
      </c>
      <c r="J2676" s="2" t="s">
        <v>15</v>
      </c>
      <c r="K2676" s="2" t="s">
        <v>21</v>
      </c>
      <c r="L2676" s="7">
        <v>91.45</v>
      </c>
      <c r="M2676" s="2" t="str">
        <f>_xlfn.IFS(TelecomData[[#This Row],[TenureMonths]]&lt;=12, "0-1 Year", TelecomData[[#This Row],[TenureMonths]]&lt;=36, "1-3 Years", TelecomData[[#This Row],[TenureMonths]]&gt;36, "3+ Years")</f>
        <v>0-1 Year</v>
      </c>
      <c r="N2676" s="2" t="str">
        <f>IF(TelecomData[[#This Row],[CleanedTotalCharges]]&gt;=2500,"High Spend", "Standard Spend")</f>
        <v>Standard Spend</v>
      </c>
    </row>
    <row r="2677" spans="1:14" x14ac:dyDescent="0.3">
      <c r="A2677" s="1" t="s">
        <v>2701</v>
      </c>
      <c r="B2677" s="2" t="s">
        <v>19</v>
      </c>
      <c r="C2677" s="2" t="s">
        <v>35</v>
      </c>
      <c r="D2677" s="2">
        <v>42</v>
      </c>
      <c r="E2677" s="2" t="s">
        <v>15</v>
      </c>
      <c r="F2677" s="2" t="s">
        <v>36</v>
      </c>
      <c r="G2677" s="7">
        <v>20.7</v>
      </c>
      <c r="H2677" s="7">
        <v>828.85</v>
      </c>
      <c r="I2677" s="2" t="s">
        <v>15</v>
      </c>
      <c r="J2677" s="2" t="s">
        <v>15</v>
      </c>
      <c r="K2677" s="2" t="s">
        <v>21</v>
      </c>
      <c r="L2677" s="7">
        <v>828.85</v>
      </c>
      <c r="M2677" s="2" t="str">
        <f>_xlfn.IFS(TelecomData[[#This Row],[TenureMonths]]&lt;=12, "0-1 Year", TelecomData[[#This Row],[TenureMonths]]&lt;=36, "1-3 Years", TelecomData[[#This Row],[TenureMonths]]&gt;36, "3+ Years")</f>
        <v>3+ Years</v>
      </c>
      <c r="N2677" s="2" t="str">
        <f>IF(TelecomData[[#This Row],[CleanedTotalCharges]]&gt;=2500,"High Spend", "Standard Spend")</f>
        <v>Standard Spend</v>
      </c>
    </row>
    <row r="2678" spans="1:14" x14ac:dyDescent="0.3">
      <c r="A2678" s="1" t="s">
        <v>2702</v>
      </c>
      <c r="B2678" s="2" t="s">
        <v>12</v>
      </c>
      <c r="C2678" s="2" t="s">
        <v>20</v>
      </c>
      <c r="D2678" s="2">
        <v>29</v>
      </c>
      <c r="E2678" s="2" t="s">
        <v>15</v>
      </c>
      <c r="F2678" s="2" t="s">
        <v>36</v>
      </c>
      <c r="G2678" s="7">
        <v>20.350000000000001</v>
      </c>
      <c r="H2678" s="7">
        <v>617.35</v>
      </c>
      <c r="I2678" s="2" t="s">
        <v>15</v>
      </c>
      <c r="J2678" s="2" t="s">
        <v>15</v>
      </c>
      <c r="K2678" s="2" t="s">
        <v>21</v>
      </c>
      <c r="L2678" s="7">
        <v>617.35</v>
      </c>
      <c r="M2678" s="2" t="str">
        <f>_xlfn.IFS(TelecomData[[#This Row],[TenureMonths]]&lt;=12, "0-1 Year", TelecomData[[#This Row],[TenureMonths]]&lt;=36, "1-3 Years", TelecomData[[#This Row],[TenureMonths]]&gt;36, "3+ Years")</f>
        <v>1-3 Years</v>
      </c>
      <c r="N2678" s="2" t="str">
        <f>IF(TelecomData[[#This Row],[CleanedTotalCharges]]&gt;=2500,"High Spend", "Standard Spend")</f>
        <v>Standard Spend</v>
      </c>
    </row>
    <row r="2679" spans="1:14" x14ac:dyDescent="0.3">
      <c r="A2679" s="1" t="s">
        <v>2703</v>
      </c>
      <c r="B2679" s="2" t="s">
        <v>12</v>
      </c>
      <c r="C2679" s="2" t="s">
        <v>13</v>
      </c>
      <c r="D2679" s="2">
        <v>4</v>
      </c>
      <c r="E2679" s="2" t="s">
        <v>26</v>
      </c>
      <c r="F2679" s="2" t="s">
        <v>15</v>
      </c>
      <c r="G2679" s="7">
        <v>70.05</v>
      </c>
      <c r="H2679" s="7">
        <v>266.89999999999998</v>
      </c>
      <c r="I2679" s="2" t="s">
        <v>16</v>
      </c>
      <c r="J2679" s="2" t="s">
        <v>16</v>
      </c>
      <c r="K2679" s="2" t="s">
        <v>29</v>
      </c>
      <c r="L2679" s="7">
        <v>266.89999999999998</v>
      </c>
      <c r="M2679" s="2" t="str">
        <f>_xlfn.IFS(TelecomData[[#This Row],[TenureMonths]]&lt;=12, "0-1 Year", TelecomData[[#This Row],[TenureMonths]]&lt;=36, "1-3 Years", TelecomData[[#This Row],[TenureMonths]]&gt;36, "3+ Years")</f>
        <v>0-1 Year</v>
      </c>
      <c r="N2679" s="2" t="str">
        <f>IF(TelecomData[[#This Row],[CleanedTotalCharges]]&gt;=2500,"High Spend", "Standard Spend")</f>
        <v>Standard Spend</v>
      </c>
    </row>
    <row r="2680" spans="1:14" x14ac:dyDescent="0.3">
      <c r="A2680" s="1" t="s">
        <v>2704</v>
      </c>
      <c r="B2680" s="2" t="s">
        <v>19</v>
      </c>
      <c r="C2680" s="2" t="s">
        <v>20</v>
      </c>
      <c r="D2680" s="2">
        <v>30</v>
      </c>
      <c r="E2680" s="2" t="s">
        <v>15</v>
      </c>
      <c r="F2680" s="2" t="s">
        <v>36</v>
      </c>
      <c r="G2680" s="7">
        <v>19.7</v>
      </c>
      <c r="H2680" s="7">
        <v>625.04999999999995</v>
      </c>
      <c r="I2680" s="2" t="s">
        <v>15</v>
      </c>
      <c r="J2680" s="2" t="s">
        <v>15</v>
      </c>
      <c r="K2680" s="2" t="s">
        <v>21</v>
      </c>
      <c r="L2680" s="7">
        <v>625.04999999999995</v>
      </c>
      <c r="M2680" s="2" t="str">
        <f>_xlfn.IFS(TelecomData[[#This Row],[TenureMonths]]&lt;=12, "0-1 Year", TelecomData[[#This Row],[TenureMonths]]&lt;=36, "1-3 Years", TelecomData[[#This Row],[TenureMonths]]&gt;36, "3+ Years")</f>
        <v>1-3 Years</v>
      </c>
      <c r="N2680" s="2" t="str">
        <f>IF(TelecomData[[#This Row],[CleanedTotalCharges]]&gt;=2500,"High Spend", "Standard Spend")</f>
        <v>Standard Spend</v>
      </c>
    </row>
    <row r="2681" spans="1:14" x14ac:dyDescent="0.3">
      <c r="A2681" s="1" t="s">
        <v>2705</v>
      </c>
      <c r="B2681" s="2" t="s">
        <v>19</v>
      </c>
      <c r="C2681" s="2" t="s">
        <v>13</v>
      </c>
      <c r="D2681" s="2">
        <v>4</v>
      </c>
      <c r="E2681" s="2" t="s">
        <v>26</v>
      </c>
      <c r="F2681" s="2" t="s">
        <v>15</v>
      </c>
      <c r="G2681" s="7">
        <v>74.650000000000006</v>
      </c>
      <c r="H2681" s="7">
        <v>301.39999999999998</v>
      </c>
      <c r="I2681" s="2" t="s">
        <v>16</v>
      </c>
      <c r="J2681" s="2" t="s">
        <v>16</v>
      </c>
      <c r="K2681" s="2" t="s">
        <v>17</v>
      </c>
      <c r="L2681" s="7">
        <v>301.39999999999998</v>
      </c>
      <c r="M2681" s="2" t="str">
        <f>_xlfn.IFS(TelecomData[[#This Row],[TenureMonths]]&lt;=12, "0-1 Year", TelecomData[[#This Row],[TenureMonths]]&lt;=36, "1-3 Years", TelecomData[[#This Row],[TenureMonths]]&gt;36, "3+ Years")</f>
        <v>0-1 Year</v>
      </c>
      <c r="N2681" s="2" t="str">
        <f>IF(TelecomData[[#This Row],[CleanedTotalCharges]]&gt;=2500,"High Spend", "Standard Spend")</f>
        <v>Standard Spend</v>
      </c>
    </row>
    <row r="2682" spans="1:14" x14ac:dyDescent="0.3">
      <c r="A2682" s="1" t="s">
        <v>2706</v>
      </c>
      <c r="B2682" s="2" t="s">
        <v>19</v>
      </c>
      <c r="C2682" s="2" t="s">
        <v>35</v>
      </c>
      <c r="D2682" s="2">
        <v>71</v>
      </c>
      <c r="E2682" s="2" t="s">
        <v>14</v>
      </c>
      <c r="F2682" s="2" t="s">
        <v>16</v>
      </c>
      <c r="G2682" s="7">
        <v>85.45</v>
      </c>
      <c r="H2682" s="7">
        <v>6029.9</v>
      </c>
      <c r="I2682" s="2" t="s">
        <v>15</v>
      </c>
      <c r="J2682" s="2" t="s">
        <v>15</v>
      </c>
      <c r="K2682" s="2" t="s">
        <v>24</v>
      </c>
      <c r="L2682" s="7">
        <v>6029.9</v>
      </c>
      <c r="M2682" s="2" t="str">
        <f>_xlfn.IFS(TelecomData[[#This Row],[TenureMonths]]&lt;=12, "0-1 Year", TelecomData[[#This Row],[TenureMonths]]&lt;=36, "1-3 Years", TelecomData[[#This Row],[TenureMonths]]&gt;36, "3+ Years")</f>
        <v>3+ Years</v>
      </c>
      <c r="N2682" s="2" t="str">
        <f>IF(TelecomData[[#This Row],[CleanedTotalCharges]]&gt;=2500,"High Spend", "Standard Spend")</f>
        <v>High Spend</v>
      </c>
    </row>
    <row r="2683" spans="1:14" x14ac:dyDescent="0.3">
      <c r="A2683" s="1" t="s">
        <v>2707</v>
      </c>
      <c r="B2683" s="2" t="s">
        <v>19</v>
      </c>
      <c r="C2683" s="2" t="s">
        <v>35</v>
      </c>
      <c r="D2683" s="2">
        <v>46</v>
      </c>
      <c r="E2683" s="2" t="s">
        <v>14</v>
      </c>
      <c r="F2683" s="2" t="s">
        <v>16</v>
      </c>
      <c r="G2683" s="7">
        <v>40.4</v>
      </c>
      <c r="H2683" s="7">
        <v>1842.7</v>
      </c>
      <c r="I2683" s="2" t="s">
        <v>15</v>
      </c>
      <c r="J2683" s="2" t="s">
        <v>15</v>
      </c>
      <c r="K2683" s="2" t="s">
        <v>29</v>
      </c>
      <c r="L2683" s="7">
        <v>1842.7</v>
      </c>
      <c r="M2683" s="2" t="str">
        <f>_xlfn.IFS(TelecomData[[#This Row],[TenureMonths]]&lt;=12, "0-1 Year", TelecomData[[#This Row],[TenureMonths]]&lt;=36, "1-3 Years", TelecomData[[#This Row],[TenureMonths]]&gt;36, "3+ Years")</f>
        <v>3+ Years</v>
      </c>
      <c r="N2683" s="2" t="str">
        <f>IF(TelecomData[[#This Row],[CleanedTotalCharges]]&gt;=2500,"High Spend", "Standard Spend")</f>
        <v>Standard Spend</v>
      </c>
    </row>
    <row r="2684" spans="1:14" x14ac:dyDescent="0.3">
      <c r="A2684" s="1" t="s">
        <v>2708</v>
      </c>
      <c r="B2684" s="2" t="s">
        <v>19</v>
      </c>
      <c r="C2684" s="2" t="s">
        <v>13</v>
      </c>
      <c r="D2684" s="2">
        <v>4</v>
      </c>
      <c r="E2684" s="2" t="s">
        <v>14</v>
      </c>
      <c r="F2684" s="2" t="s">
        <v>15</v>
      </c>
      <c r="G2684" s="7">
        <v>50.4</v>
      </c>
      <c r="H2684" s="7">
        <v>206.6</v>
      </c>
      <c r="I2684" s="2" t="s">
        <v>16</v>
      </c>
      <c r="J2684" s="2" t="s">
        <v>15</v>
      </c>
      <c r="K2684" s="2" t="s">
        <v>21</v>
      </c>
      <c r="L2684" s="7">
        <v>206.6</v>
      </c>
      <c r="M2684" s="2" t="str">
        <f>_xlfn.IFS(TelecomData[[#This Row],[TenureMonths]]&lt;=12, "0-1 Year", TelecomData[[#This Row],[TenureMonths]]&lt;=36, "1-3 Years", TelecomData[[#This Row],[TenureMonths]]&gt;36, "3+ Years")</f>
        <v>0-1 Year</v>
      </c>
      <c r="N2684" s="2" t="str">
        <f>IF(TelecomData[[#This Row],[CleanedTotalCharges]]&gt;=2500,"High Spend", "Standard Spend")</f>
        <v>Standard Spend</v>
      </c>
    </row>
    <row r="2685" spans="1:14" x14ac:dyDescent="0.3">
      <c r="A2685" s="1" t="s">
        <v>2709</v>
      </c>
      <c r="B2685" s="2" t="s">
        <v>12</v>
      </c>
      <c r="C2685" s="2" t="s">
        <v>13</v>
      </c>
      <c r="D2685" s="2">
        <v>7</v>
      </c>
      <c r="E2685" s="2" t="s">
        <v>26</v>
      </c>
      <c r="F2685" s="2" t="s">
        <v>15</v>
      </c>
      <c r="G2685" s="7">
        <v>79.650000000000006</v>
      </c>
      <c r="H2685" s="7">
        <v>604.70000000000005</v>
      </c>
      <c r="I2685" s="2" t="s">
        <v>16</v>
      </c>
      <c r="J2685" s="2" t="s">
        <v>16</v>
      </c>
      <c r="K2685" s="2" t="s">
        <v>21</v>
      </c>
      <c r="L2685" s="7">
        <v>604.70000000000005</v>
      </c>
      <c r="M2685" s="2" t="str">
        <f>_xlfn.IFS(TelecomData[[#This Row],[TenureMonths]]&lt;=12, "0-1 Year", TelecomData[[#This Row],[TenureMonths]]&lt;=36, "1-3 Years", TelecomData[[#This Row],[TenureMonths]]&gt;36, "3+ Years")</f>
        <v>0-1 Year</v>
      </c>
      <c r="N2685" s="2" t="str">
        <f>IF(TelecomData[[#This Row],[CleanedTotalCharges]]&gt;=2500,"High Spend", "Standard Spend")</f>
        <v>Standard Spend</v>
      </c>
    </row>
    <row r="2686" spans="1:14" x14ac:dyDescent="0.3">
      <c r="A2686" s="1" t="s">
        <v>2710</v>
      </c>
      <c r="B2686" s="2" t="s">
        <v>19</v>
      </c>
      <c r="C2686" s="2" t="s">
        <v>20</v>
      </c>
      <c r="D2686" s="2">
        <v>69</v>
      </c>
      <c r="E2686" s="2" t="s">
        <v>26</v>
      </c>
      <c r="F2686" s="2" t="s">
        <v>16</v>
      </c>
      <c r="G2686" s="7">
        <v>105.2</v>
      </c>
      <c r="H2686" s="7">
        <v>7386.05</v>
      </c>
      <c r="I2686" s="2" t="s">
        <v>15</v>
      </c>
      <c r="J2686" s="2" t="s">
        <v>16</v>
      </c>
      <c r="K2686" s="2" t="s">
        <v>24</v>
      </c>
      <c r="L2686" s="7">
        <v>7386.05</v>
      </c>
      <c r="M2686" s="2" t="str">
        <f>_xlfn.IFS(TelecomData[[#This Row],[TenureMonths]]&lt;=12, "0-1 Year", TelecomData[[#This Row],[TenureMonths]]&lt;=36, "1-3 Years", TelecomData[[#This Row],[TenureMonths]]&gt;36, "3+ Years")</f>
        <v>3+ Years</v>
      </c>
      <c r="N2686" s="2" t="str">
        <f>IF(TelecomData[[#This Row],[CleanedTotalCharges]]&gt;=2500,"High Spend", "Standard Spend")</f>
        <v>High Spend</v>
      </c>
    </row>
    <row r="2687" spans="1:14" x14ac:dyDescent="0.3">
      <c r="A2687" s="1" t="s">
        <v>2711</v>
      </c>
      <c r="B2687" s="2" t="s">
        <v>12</v>
      </c>
      <c r="C2687" s="2" t="s">
        <v>35</v>
      </c>
      <c r="D2687" s="2">
        <v>72</v>
      </c>
      <c r="E2687" s="2" t="s">
        <v>26</v>
      </c>
      <c r="F2687" s="2" t="s">
        <v>15</v>
      </c>
      <c r="G2687" s="7">
        <v>100.65</v>
      </c>
      <c r="H2687" s="7">
        <v>7334.05</v>
      </c>
      <c r="I2687" s="2" t="s">
        <v>15</v>
      </c>
      <c r="J2687" s="2" t="s">
        <v>15</v>
      </c>
      <c r="K2687" s="2" t="s">
        <v>24</v>
      </c>
      <c r="L2687" s="7">
        <v>7334.05</v>
      </c>
      <c r="M2687" s="2" t="str">
        <f>_xlfn.IFS(TelecomData[[#This Row],[TenureMonths]]&lt;=12, "0-1 Year", TelecomData[[#This Row],[TenureMonths]]&lt;=36, "1-3 Years", TelecomData[[#This Row],[TenureMonths]]&gt;36, "3+ Years")</f>
        <v>3+ Years</v>
      </c>
      <c r="N2687" s="2" t="str">
        <f>IF(TelecomData[[#This Row],[CleanedTotalCharges]]&gt;=2500,"High Spend", "Standard Spend")</f>
        <v>High Spend</v>
      </c>
    </row>
    <row r="2688" spans="1:14" x14ac:dyDescent="0.3">
      <c r="A2688" s="1" t="s">
        <v>2712</v>
      </c>
      <c r="B2688" s="2" t="s">
        <v>19</v>
      </c>
      <c r="C2688" s="2" t="s">
        <v>13</v>
      </c>
      <c r="D2688" s="2">
        <v>19</v>
      </c>
      <c r="E2688" s="2" t="s">
        <v>26</v>
      </c>
      <c r="F2688" s="2" t="s">
        <v>15</v>
      </c>
      <c r="G2688" s="7">
        <v>79.849999999999994</v>
      </c>
      <c r="H2688" s="7">
        <v>1471.75</v>
      </c>
      <c r="I2688" s="2" t="s">
        <v>16</v>
      </c>
      <c r="J2688" s="2" t="s">
        <v>16</v>
      </c>
      <c r="K2688" s="2" t="s">
        <v>17</v>
      </c>
      <c r="L2688" s="7">
        <v>1471.75</v>
      </c>
      <c r="M2688" s="2" t="str">
        <f>_xlfn.IFS(TelecomData[[#This Row],[TenureMonths]]&lt;=12, "0-1 Year", TelecomData[[#This Row],[TenureMonths]]&lt;=36, "1-3 Years", TelecomData[[#This Row],[TenureMonths]]&gt;36, "3+ Years")</f>
        <v>1-3 Years</v>
      </c>
      <c r="N2688" s="2" t="str">
        <f>IF(TelecomData[[#This Row],[CleanedTotalCharges]]&gt;=2500,"High Spend", "Standard Spend")</f>
        <v>Standard Spend</v>
      </c>
    </row>
    <row r="2689" spans="1:14" x14ac:dyDescent="0.3">
      <c r="A2689" s="1" t="s">
        <v>2713</v>
      </c>
      <c r="B2689" s="2" t="s">
        <v>19</v>
      </c>
      <c r="C2689" s="2" t="s">
        <v>13</v>
      </c>
      <c r="D2689" s="2">
        <v>28</v>
      </c>
      <c r="E2689" s="2" t="s">
        <v>26</v>
      </c>
      <c r="F2689" s="2" t="s">
        <v>16</v>
      </c>
      <c r="G2689" s="7">
        <v>91</v>
      </c>
      <c r="H2689" s="7">
        <v>2626.15</v>
      </c>
      <c r="I2689" s="2" t="s">
        <v>15</v>
      </c>
      <c r="J2689" s="2" t="s">
        <v>15</v>
      </c>
      <c r="K2689" s="2" t="s">
        <v>17</v>
      </c>
      <c r="L2689" s="7">
        <v>2626.15</v>
      </c>
      <c r="M2689" s="2" t="str">
        <f>_xlfn.IFS(TelecomData[[#This Row],[TenureMonths]]&lt;=12, "0-1 Year", TelecomData[[#This Row],[TenureMonths]]&lt;=36, "1-3 Years", TelecomData[[#This Row],[TenureMonths]]&gt;36, "3+ Years")</f>
        <v>1-3 Years</v>
      </c>
      <c r="N2689" s="2" t="str">
        <f>IF(TelecomData[[#This Row],[CleanedTotalCharges]]&gt;=2500,"High Spend", "Standard Spend")</f>
        <v>High Spend</v>
      </c>
    </row>
    <row r="2690" spans="1:14" x14ac:dyDescent="0.3">
      <c r="A2690" s="1" t="s">
        <v>2714</v>
      </c>
      <c r="B2690" s="2" t="s">
        <v>19</v>
      </c>
      <c r="C2690" s="2" t="s">
        <v>13</v>
      </c>
      <c r="D2690" s="2">
        <v>5</v>
      </c>
      <c r="E2690" s="2" t="s">
        <v>26</v>
      </c>
      <c r="F2690" s="2" t="s">
        <v>15</v>
      </c>
      <c r="G2690" s="7">
        <v>78.75</v>
      </c>
      <c r="H2690" s="7">
        <v>412.1</v>
      </c>
      <c r="I2690" s="2" t="s">
        <v>16</v>
      </c>
      <c r="J2690" s="2" t="s">
        <v>16</v>
      </c>
      <c r="K2690" s="2" t="s">
        <v>17</v>
      </c>
      <c r="L2690" s="7">
        <v>412.1</v>
      </c>
      <c r="M2690" s="2" t="str">
        <f>_xlfn.IFS(TelecomData[[#This Row],[TenureMonths]]&lt;=12, "0-1 Year", TelecomData[[#This Row],[TenureMonths]]&lt;=36, "1-3 Years", TelecomData[[#This Row],[TenureMonths]]&gt;36, "3+ Years")</f>
        <v>0-1 Year</v>
      </c>
      <c r="N2690" s="2" t="str">
        <f>IF(TelecomData[[#This Row],[CleanedTotalCharges]]&gt;=2500,"High Spend", "Standard Spend")</f>
        <v>Standard Spend</v>
      </c>
    </row>
    <row r="2691" spans="1:14" x14ac:dyDescent="0.3">
      <c r="A2691" s="1" t="s">
        <v>2715</v>
      </c>
      <c r="B2691" s="2" t="s">
        <v>12</v>
      </c>
      <c r="C2691" s="2" t="s">
        <v>35</v>
      </c>
      <c r="D2691" s="2">
        <v>72</v>
      </c>
      <c r="E2691" s="2" t="s">
        <v>26</v>
      </c>
      <c r="F2691" s="2" t="s">
        <v>16</v>
      </c>
      <c r="G2691" s="7">
        <v>116.75</v>
      </c>
      <c r="H2691" s="7">
        <v>8277.0499999999993</v>
      </c>
      <c r="I2691" s="2" t="s">
        <v>15</v>
      </c>
      <c r="J2691" s="2" t="s">
        <v>16</v>
      </c>
      <c r="K2691" s="2" t="s">
        <v>29</v>
      </c>
      <c r="L2691" s="7">
        <v>8277.0499999999993</v>
      </c>
      <c r="M2691" s="2" t="str">
        <f>_xlfn.IFS(TelecomData[[#This Row],[TenureMonths]]&lt;=12, "0-1 Year", TelecomData[[#This Row],[TenureMonths]]&lt;=36, "1-3 Years", TelecomData[[#This Row],[TenureMonths]]&gt;36, "3+ Years")</f>
        <v>3+ Years</v>
      </c>
      <c r="N2691" s="2" t="str">
        <f>IF(TelecomData[[#This Row],[CleanedTotalCharges]]&gt;=2500,"High Spend", "Standard Spend")</f>
        <v>High Spend</v>
      </c>
    </row>
    <row r="2692" spans="1:14" x14ac:dyDescent="0.3">
      <c r="A2692" s="1" t="s">
        <v>2716</v>
      </c>
      <c r="B2692" s="2" t="s">
        <v>19</v>
      </c>
      <c r="C2692" s="2" t="s">
        <v>13</v>
      </c>
      <c r="D2692" s="2">
        <v>8</v>
      </c>
      <c r="E2692" s="2" t="s">
        <v>26</v>
      </c>
      <c r="F2692" s="2" t="s">
        <v>15</v>
      </c>
      <c r="G2692" s="7">
        <v>80.45</v>
      </c>
      <c r="H2692" s="7">
        <v>583.45000000000005</v>
      </c>
      <c r="I2692" s="2" t="s">
        <v>16</v>
      </c>
      <c r="J2692" s="2" t="s">
        <v>16</v>
      </c>
      <c r="K2692" s="2" t="s">
        <v>29</v>
      </c>
      <c r="L2692" s="7">
        <v>583.45000000000005</v>
      </c>
      <c r="M2692" s="2" t="str">
        <f>_xlfn.IFS(TelecomData[[#This Row],[TenureMonths]]&lt;=12, "0-1 Year", TelecomData[[#This Row],[TenureMonths]]&lt;=36, "1-3 Years", TelecomData[[#This Row],[TenureMonths]]&gt;36, "3+ Years")</f>
        <v>0-1 Year</v>
      </c>
      <c r="N2692" s="2" t="str">
        <f>IF(TelecomData[[#This Row],[CleanedTotalCharges]]&gt;=2500,"High Spend", "Standard Spend")</f>
        <v>Standard Spend</v>
      </c>
    </row>
    <row r="2693" spans="1:14" x14ac:dyDescent="0.3">
      <c r="A2693" s="1" t="s">
        <v>2717</v>
      </c>
      <c r="B2693" s="2" t="s">
        <v>12</v>
      </c>
      <c r="C2693" s="2" t="s">
        <v>20</v>
      </c>
      <c r="D2693" s="2">
        <v>7</v>
      </c>
      <c r="E2693" s="2" t="s">
        <v>14</v>
      </c>
      <c r="F2693" s="2" t="s">
        <v>15</v>
      </c>
      <c r="G2693" s="7">
        <v>59.1</v>
      </c>
      <c r="H2693" s="7">
        <v>369.25</v>
      </c>
      <c r="I2693" s="2" t="s">
        <v>15</v>
      </c>
      <c r="J2693" s="2" t="s">
        <v>16</v>
      </c>
      <c r="K2693" s="2" t="s">
        <v>17</v>
      </c>
      <c r="L2693" s="7">
        <v>369.25</v>
      </c>
      <c r="M2693" s="2" t="str">
        <f>_xlfn.IFS(TelecomData[[#This Row],[TenureMonths]]&lt;=12, "0-1 Year", TelecomData[[#This Row],[TenureMonths]]&lt;=36, "1-3 Years", TelecomData[[#This Row],[TenureMonths]]&gt;36, "3+ Years")</f>
        <v>0-1 Year</v>
      </c>
      <c r="N2693" s="2" t="str">
        <f>IF(TelecomData[[#This Row],[CleanedTotalCharges]]&gt;=2500,"High Spend", "Standard Spend")</f>
        <v>Standard Spend</v>
      </c>
    </row>
    <row r="2694" spans="1:14" x14ac:dyDescent="0.3">
      <c r="A2694" s="1" t="s">
        <v>2718</v>
      </c>
      <c r="B2694" s="2" t="s">
        <v>12</v>
      </c>
      <c r="C2694" s="2" t="s">
        <v>13</v>
      </c>
      <c r="D2694" s="2">
        <v>22</v>
      </c>
      <c r="E2694" s="2" t="s">
        <v>14</v>
      </c>
      <c r="F2694" s="2" t="s">
        <v>15</v>
      </c>
      <c r="G2694" s="7">
        <v>49.8</v>
      </c>
      <c r="H2694" s="7">
        <v>1049.05</v>
      </c>
      <c r="I2694" s="2" t="s">
        <v>15</v>
      </c>
      <c r="J2694" s="2" t="s">
        <v>16</v>
      </c>
      <c r="K2694" s="2" t="s">
        <v>17</v>
      </c>
      <c r="L2694" s="7">
        <v>1049.05</v>
      </c>
      <c r="M2694" s="2" t="str">
        <f>_xlfn.IFS(TelecomData[[#This Row],[TenureMonths]]&lt;=12, "0-1 Year", TelecomData[[#This Row],[TenureMonths]]&lt;=36, "1-3 Years", TelecomData[[#This Row],[TenureMonths]]&gt;36, "3+ Years")</f>
        <v>1-3 Years</v>
      </c>
      <c r="N2694" s="2" t="str">
        <f>IF(TelecomData[[#This Row],[CleanedTotalCharges]]&gt;=2500,"High Spend", "Standard Spend")</f>
        <v>Standard Spend</v>
      </c>
    </row>
    <row r="2695" spans="1:14" x14ac:dyDescent="0.3">
      <c r="A2695" s="1" t="s">
        <v>2719</v>
      </c>
      <c r="B2695" s="2" t="s">
        <v>19</v>
      </c>
      <c r="C2695" s="2" t="s">
        <v>35</v>
      </c>
      <c r="D2695" s="2">
        <v>72</v>
      </c>
      <c r="E2695" s="2" t="s">
        <v>15</v>
      </c>
      <c r="F2695" s="2" t="s">
        <v>36</v>
      </c>
      <c r="G2695" s="7">
        <v>19.3</v>
      </c>
      <c r="H2695" s="7">
        <v>1414.8</v>
      </c>
      <c r="I2695" s="2" t="s">
        <v>15</v>
      </c>
      <c r="J2695" s="2" t="s">
        <v>15</v>
      </c>
      <c r="K2695" s="2" t="s">
        <v>24</v>
      </c>
      <c r="L2695" s="7">
        <v>1414.8</v>
      </c>
      <c r="M2695" s="2" t="str">
        <f>_xlfn.IFS(TelecomData[[#This Row],[TenureMonths]]&lt;=12, "0-1 Year", TelecomData[[#This Row],[TenureMonths]]&lt;=36, "1-3 Years", TelecomData[[#This Row],[TenureMonths]]&gt;36, "3+ Years")</f>
        <v>3+ Years</v>
      </c>
      <c r="N2695" s="2" t="str">
        <f>IF(TelecomData[[#This Row],[CleanedTotalCharges]]&gt;=2500,"High Spend", "Standard Spend")</f>
        <v>Standard Spend</v>
      </c>
    </row>
    <row r="2696" spans="1:14" x14ac:dyDescent="0.3">
      <c r="A2696" s="1" t="s">
        <v>2720</v>
      </c>
      <c r="B2696" s="2" t="s">
        <v>19</v>
      </c>
      <c r="C2696" s="2" t="s">
        <v>13</v>
      </c>
      <c r="D2696" s="2">
        <v>8</v>
      </c>
      <c r="E2696" s="2" t="s">
        <v>15</v>
      </c>
      <c r="F2696" s="2" t="s">
        <v>36</v>
      </c>
      <c r="G2696" s="7">
        <v>19.649999999999999</v>
      </c>
      <c r="H2696" s="7">
        <v>169.75</v>
      </c>
      <c r="I2696" s="2" t="s">
        <v>15</v>
      </c>
      <c r="J2696" s="2" t="s">
        <v>15</v>
      </c>
      <c r="K2696" s="2" t="s">
        <v>29</v>
      </c>
      <c r="L2696" s="7">
        <v>169.75</v>
      </c>
      <c r="M2696" s="2" t="str">
        <f>_xlfn.IFS(TelecomData[[#This Row],[TenureMonths]]&lt;=12, "0-1 Year", TelecomData[[#This Row],[TenureMonths]]&lt;=36, "1-3 Years", TelecomData[[#This Row],[TenureMonths]]&gt;36, "3+ Years")</f>
        <v>0-1 Year</v>
      </c>
      <c r="N2696" s="2" t="str">
        <f>IF(TelecomData[[#This Row],[CleanedTotalCharges]]&gt;=2500,"High Spend", "Standard Spend")</f>
        <v>Standard Spend</v>
      </c>
    </row>
    <row r="2697" spans="1:14" x14ac:dyDescent="0.3">
      <c r="A2697" s="1" t="s">
        <v>2721</v>
      </c>
      <c r="B2697" s="2" t="s">
        <v>19</v>
      </c>
      <c r="C2697" s="2" t="s">
        <v>20</v>
      </c>
      <c r="D2697" s="2">
        <v>52</v>
      </c>
      <c r="E2697" s="2" t="s">
        <v>14</v>
      </c>
      <c r="F2697" s="2" t="s">
        <v>16</v>
      </c>
      <c r="G2697" s="7">
        <v>81.400000000000006</v>
      </c>
      <c r="H2697" s="7">
        <v>4354.45</v>
      </c>
      <c r="I2697" s="2" t="s">
        <v>15</v>
      </c>
      <c r="J2697" s="2" t="s">
        <v>16</v>
      </c>
      <c r="K2697" s="2" t="s">
        <v>29</v>
      </c>
      <c r="L2697" s="7">
        <v>4354.45</v>
      </c>
      <c r="M2697" s="2" t="str">
        <f>_xlfn.IFS(TelecomData[[#This Row],[TenureMonths]]&lt;=12, "0-1 Year", TelecomData[[#This Row],[TenureMonths]]&lt;=36, "1-3 Years", TelecomData[[#This Row],[TenureMonths]]&gt;36, "3+ Years")</f>
        <v>3+ Years</v>
      </c>
      <c r="N2697" s="2" t="str">
        <f>IF(TelecomData[[#This Row],[CleanedTotalCharges]]&gt;=2500,"High Spend", "Standard Spend")</f>
        <v>High Spend</v>
      </c>
    </row>
    <row r="2698" spans="1:14" x14ac:dyDescent="0.3">
      <c r="A2698" s="1" t="s">
        <v>2722</v>
      </c>
      <c r="B2698" s="2" t="s">
        <v>12</v>
      </c>
      <c r="C2698" s="2" t="s">
        <v>35</v>
      </c>
      <c r="D2698" s="2">
        <v>68</v>
      </c>
      <c r="E2698" s="2" t="s">
        <v>14</v>
      </c>
      <c r="F2698" s="2" t="s">
        <v>16</v>
      </c>
      <c r="G2698" s="7">
        <v>38.9</v>
      </c>
      <c r="H2698" s="7">
        <v>2719.2</v>
      </c>
      <c r="I2698" s="2" t="s">
        <v>15</v>
      </c>
      <c r="J2698" s="2" t="s">
        <v>15</v>
      </c>
      <c r="K2698" s="2" t="s">
        <v>21</v>
      </c>
      <c r="L2698" s="7">
        <v>2719.2</v>
      </c>
      <c r="M2698" s="2" t="str">
        <f>_xlfn.IFS(TelecomData[[#This Row],[TenureMonths]]&lt;=12, "0-1 Year", TelecomData[[#This Row],[TenureMonths]]&lt;=36, "1-3 Years", TelecomData[[#This Row],[TenureMonths]]&gt;36, "3+ Years")</f>
        <v>3+ Years</v>
      </c>
      <c r="N2698" s="2" t="str">
        <f>IF(TelecomData[[#This Row],[CleanedTotalCharges]]&gt;=2500,"High Spend", "Standard Spend")</f>
        <v>High Spend</v>
      </c>
    </row>
    <row r="2699" spans="1:14" x14ac:dyDescent="0.3">
      <c r="A2699" s="1" t="s">
        <v>2723</v>
      </c>
      <c r="B2699" s="2" t="s">
        <v>12</v>
      </c>
      <c r="C2699" s="2" t="s">
        <v>35</v>
      </c>
      <c r="D2699" s="2">
        <v>71</v>
      </c>
      <c r="E2699" s="2" t="s">
        <v>14</v>
      </c>
      <c r="F2699" s="2" t="s">
        <v>16</v>
      </c>
      <c r="G2699" s="7">
        <v>87.95</v>
      </c>
      <c r="H2699" s="7">
        <v>6365.35</v>
      </c>
      <c r="I2699" s="2" t="s">
        <v>15</v>
      </c>
      <c r="J2699" s="2" t="s">
        <v>15</v>
      </c>
      <c r="K2699" s="2" t="s">
        <v>24</v>
      </c>
      <c r="L2699" s="7">
        <v>6365.35</v>
      </c>
      <c r="M2699" s="2" t="str">
        <f>_xlfn.IFS(TelecomData[[#This Row],[TenureMonths]]&lt;=12, "0-1 Year", TelecomData[[#This Row],[TenureMonths]]&lt;=36, "1-3 Years", TelecomData[[#This Row],[TenureMonths]]&gt;36, "3+ Years")</f>
        <v>3+ Years</v>
      </c>
      <c r="N2699" s="2" t="str">
        <f>IF(TelecomData[[#This Row],[CleanedTotalCharges]]&gt;=2500,"High Spend", "Standard Spend")</f>
        <v>High Spend</v>
      </c>
    </row>
    <row r="2700" spans="1:14" x14ac:dyDescent="0.3">
      <c r="A2700" s="1" t="s">
        <v>2724</v>
      </c>
      <c r="B2700" s="2" t="s">
        <v>19</v>
      </c>
      <c r="C2700" s="2" t="s">
        <v>13</v>
      </c>
      <c r="D2700" s="2">
        <v>2</v>
      </c>
      <c r="E2700" s="2" t="s">
        <v>15</v>
      </c>
      <c r="F2700" s="2" t="s">
        <v>36</v>
      </c>
      <c r="G2700" s="7">
        <v>19.850000000000001</v>
      </c>
      <c r="H2700" s="7">
        <v>51.6</v>
      </c>
      <c r="I2700" s="2" t="s">
        <v>15</v>
      </c>
      <c r="J2700" s="2" t="s">
        <v>15</v>
      </c>
      <c r="K2700" s="2" t="s">
        <v>21</v>
      </c>
      <c r="L2700" s="7">
        <v>51.6</v>
      </c>
      <c r="M2700" s="2" t="str">
        <f>_xlfn.IFS(TelecomData[[#This Row],[TenureMonths]]&lt;=12, "0-1 Year", TelecomData[[#This Row],[TenureMonths]]&lt;=36, "1-3 Years", TelecomData[[#This Row],[TenureMonths]]&gt;36, "3+ Years")</f>
        <v>0-1 Year</v>
      </c>
      <c r="N2700" s="2" t="str">
        <f>IF(TelecomData[[#This Row],[CleanedTotalCharges]]&gt;=2500,"High Spend", "Standard Spend")</f>
        <v>Standard Spend</v>
      </c>
    </row>
    <row r="2701" spans="1:14" x14ac:dyDescent="0.3">
      <c r="A2701" s="1" t="s">
        <v>2725</v>
      </c>
      <c r="B2701" s="2" t="s">
        <v>12</v>
      </c>
      <c r="C2701" s="2" t="s">
        <v>13</v>
      </c>
      <c r="D2701" s="2">
        <v>34</v>
      </c>
      <c r="E2701" s="2" t="s">
        <v>26</v>
      </c>
      <c r="F2701" s="2" t="s">
        <v>16</v>
      </c>
      <c r="G2701" s="7">
        <v>96.35</v>
      </c>
      <c r="H2701" s="7">
        <v>3190.25</v>
      </c>
      <c r="I2701" s="2" t="s">
        <v>15</v>
      </c>
      <c r="J2701" s="2" t="s">
        <v>16</v>
      </c>
      <c r="K2701" s="2" t="s">
        <v>17</v>
      </c>
      <c r="L2701" s="7">
        <v>3190.25</v>
      </c>
      <c r="M2701" s="2" t="str">
        <f>_xlfn.IFS(TelecomData[[#This Row],[TenureMonths]]&lt;=12, "0-1 Year", TelecomData[[#This Row],[TenureMonths]]&lt;=36, "1-3 Years", TelecomData[[#This Row],[TenureMonths]]&gt;36, "3+ Years")</f>
        <v>1-3 Years</v>
      </c>
      <c r="N2701" s="2" t="str">
        <f>IF(TelecomData[[#This Row],[CleanedTotalCharges]]&gt;=2500,"High Spend", "Standard Spend")</f>
        <v>High Spend</v>
      </c>
    </row>
    <row r="2702" spans="1:14" x14ac:dyDescent="0.3">
      <c r="A2702" s="1" t="s">
        <v>2726</v>
      </c>
      <c r="B2702" s="2" t="s">
        <v>12</v>
      </c>
      <c r="C2702" s="2" t="s">
        <v>13</v>
      </c>
      <c r="D2702" s="2">
        <v>35</v>
      </c>
      <c r="E2702" s="2" t="s">
        <v>14</v>
      </c>
      <c r="F2702" s="2" t="s">
        <v>15</v>
      </c>
      <c r="G2702" s="7">
        <v>24.15</v>
      </c>
      <c r="H2702" s="7">
        <v>812.5</v>
      </c>
      <c r="I2702" s="2" t="s">
        <v>15</v>
      </c>
      <c r="J2702" s="2" t="s">
        <v>15</v>
      </c>
      <c r="K2702" s="2" t="s">
        <v>17</v>
      </c>
      <c r="L2702" s="7">
        <v>812.5</v>
      </c>
      <c r="M2702" s="2" t="str">
        <f>_xlfn.IFS(TelecomData[[#This Row],[TenureMonths]]&lt;=12, "0-1 Year", TelecomData[[#This Row],[TenureMonths]]&lt;=36, "1-3 Years", TelecomData[[#This Row],[TenureMonths]]&gt;36, "3+ Years")</f>
        <v>1-3 Years</v>
      </c>
      <c r="N2702" s="2" t="str">
        <f>IF(TelecomData[[#This Row],[CleanedTotalCharges]]&gt;=2500,"High Spend", "Standard Spend")</f>
        <v>Standard Spend</v>
      </c>
    </row>
    <row r="2703" spans="1:14" x14ac:dyDescent="0.3">
      <c r="A2703" s="1" t="s">
        <v>2727</v>
      </c>
      <c r="B2703" s="2" t="s">
        <v>12</v>
      </c>
      <c r="C2703" s="2" t="s">
        <v>20</v>
      </c>
      <c r="D2703" s="2">
        <v>61</v>
      </c>
      <c r="E2703" s="2" t="s">
        <v>15</v>
      </c>
      <c r="F2703" s="2" t="s">
        <v>36</v>
      </c>
      <c r="G2703" s="7">
        <v>19.100000000000001</v>
      </c>
      <c r="H2703" s="7">
        <v>1143.8</v>
      </c>
      <c r="I2703" s="2" t="s">
        <v>15</v>
      </c>
      <c r="J2703" s="2" t="s">
        <v>15</v>
      </c>
      <c r="K2703" s="2" t="s">
        <v>29</v>
      </c>
      <c r="L2703" s="7">
        <v>1143.8</v>
      </c>
      <c r="M2703" s="2" t="str">
        <f>_xlfn.IFS(TelecomData[[#This Row],[TenureMonths]]&lt;=12, "0-1 Year", TelecomData[[#This Row],[TenureMonths]]&lt;=36, "1-3 Years", TelecomData[[#This Row],[TenureMonths]]&gt;36, "3+ Years")</f>
        <v>3+ Years</v>
      </c>
      <c r="N2703" s="2" t="str">
        <f>IF(TelecomData[[#This Row],[CleanedTotalCharges]]&gt;=2500,"High Spend", "Standard Spend")</f>
        <v>Standard Spend</v>
      </c>
    </row>
    <row r="2704" spans="1:14" x14ac:dyDescent="0.3">
      <c r="A2704" s="1" t="s">
        <v>2728</v>
      </c>
      <c r="B2704" s="2" t="s">
        <v>19</v>
      </c>
      <c r="C2704" s="2" t="s">
        <v>13</v>
      </c>
      <c r="D2704" s="2">
        <v>1</v>
      </c>
      <c r="E2704" s="2" t="s">
        <v>14</v>
      </c>
      <c r="F2704" s="2" t="s">
        <v>15</v>
      </c>
      <c r="G2704" s="7">
        <v>44</v>
      </c>
      <c r="H2704" s="7">
        <v>44</v>
      </c>
      <c r="I2704" s="2" t="s">
        <v>15</v>
      </c>
      <c r="J2704" s="2" t="s">
        <v>15</v>
      </c>
      <c r="K2704" s="2" t="s">
        <v>17</v>
      </c>
      <c r="L2704" s="7">
        <v>44</v>
      </c>
      <c r="M2704" s="2" t="str">
        <f>_xlfn.IFS(TelecomData[[#This Row],[TenureMonths]]&lt;=12, "0-1 Year", TelecomData[[#This Row],[TenureMonths]]&lt;=36, "1-3 Years", TelecomData[[#This Row],[TenureMonths]]&gt;36, "3+ Years")</f>
        <v>0-1 Year</v>
      </c>
      <c r="N2704" s="2" t="str">
        <f>IF(TelecomData[[#This Row],[CleanedTotalCharges]]&gt;=2500,"High Spend", "Standard Spend")</f>
        <v>Standard Spend</v>
      </c>
    </row>
    <row r="2705" spans="1:14" x14ac:dyDescent="0.3">
      <c r="A2705" s="1" t="s">
        <v>2729</v>
      </c>
      <c r="B2705" s="2" t="s">
        <v>12</v>
      </c>
      <c r="C2705" s="2" t="s">
        <v>13</v>
      </c>
      <c r="D2705" s="2">
        <v>1</v>
      </c>
      <c r="E2705" s="2" t="s">
        <v>14</v>
      </c>
      <c r="F2705" s="2" t="s">
        <v>15</v>
      </c>
      <c r="G2705" s="7">
        <v>50.1</v>
      </c>
      <c r="H2705" s="7">
        <v>50.1</v>
      </c>
      <c r="I2705" s="2" t="s">
        <v>16</v>
      </c>
      <c r="J2705" s="2" t="s">
        <v>16</v>
      </c>
      <c r="K2705" s="2" t="s">
        <v>21</v>
      </c>
      <c r="L2705" s="7">
        <v>50.1</v>
      </c>
      <c r="M2705" s="2" t="str">
        <f>_xlfn.IFS(TelecomData[[#This Row],[TenureMonths]]&lt;=12, "0-1 Year", TelecomData[[#This Row],[TenureMonths]]&lt;=36, "1-3 Years", TelecomData[[#This Row],[TenureMonths]]&gt;36, "3+ Years")</f>
        <v>0-1 Year</v>
      </c>
      <c r="N2705" s="2" t="str">
        <f>IF(TelecomData[[#This Row],[CleanedTotalCharges]]&gt;=2500,"High Spend", "Standard Spend")</f>
        <v>Standard Spend</v>
      </c>
    </row>
    <row r="2706" spans="1:14" x14ac:dyDescent="0.3">
      <c r="A2706" s="1" t="s">
        <v>2730</v>
      </c>
      <c r="B2706" s="2" t="s">
        <v>12</v>
      </c>
      <c r="C2706" s="2" t="s">
        <v>20</v>
      </c>
      <c r="D2706" s="2">
        <v>53</v>
      </c>
      <c r="E2706" s="2" t="s">
        <v>14</v>
      </c>
      <c r="F2706" s="2" t="s">
        <v>15</v>
      </c>
      <c r="G2706" s="7">
        <v>60.6</v>
      </c>
      <c r="H2706" s="7">
        <v>3297</v>
      </c>
      <c r="I2706" s="2" t="s">
        <v>15</v>
      </c>
      <c r="J2706" s="2" t="s">
        <v>15</v>
      </c>
      <c r="K2706" s="2" t="s">
        <v>29</v>
      </c>
      <c r="L2706" s="7">
        <v>3297</v>
      </c>
      <c r="M2706" s="2" t="str">
        <f>_xlfn.IFS(TelecomData[[#This Row],[TenureMonths]]&lt;=12, "0-1 Year", TelecomData[[#This Row],[TenureMonths]]&lt;=36, "1-3 Years", TelecomData[[#This Row],[TenureMonths]]&gt;36, "3+ Years")</f>
        <v>3+ Years</v>
      </c>
      <c r="N2706" s="2" t="str">
        <f>IF(TelecomData[[#This Row],[CleanedTotalCharges]]&gt;=2500,"High Spend", "Standard Spend")</f>
        <v>High Spend</v>
      </c>
    </row>
    <row r="2707" spans="1:14" x14ac:dyDescent="0.3">
      <c r="A2707" s="1" t="s">
        <v>2731</v>
      </c>
      <c r="B2707" s="2" t="s">
        <v>12</v>
      </c>
      <c r="C2707" s="2" t="s">
        <v>35</v>
      </c>
      <c r="D2707" s="2">
        <v>72</v>
      </c>
      <c r="E2707" s="2" t="s">
        <v>15</v>
      </c>
      <c r="F2707" s="2" t="s">
        <v>36</v>
      </c>
      <c r="G2707" s="7">
        <v>25.65</v>
      </c>
      <c r="H2707" s="7">
        <v>1887</v>
      </c>
      <c r="I2707" s="2" t="s">
        <v>15</v>
      </c>
      <c r="J2707" s="2" t="s">
        <v>15</v>
      </c>
      <c r="K2707" s="2" t="s">
        <v>24</v>
      </c>
      <c r="L2707" s="7">
        <v>1887</v>
      </c>
      <c r="M2707" s="2" t="str">
        <f>_xlfn.IFS(TelecomData[[#This Row],[TenureMonths]]&lt;=12, "0-1 Year", TelecomData[[#This Row],[TenureMonths]]&lt;=36, "1-3 Years", TelecomData[[#This Row],[TenureMonths]]&gt;36, "3+ Years")</f>
        <v>3+ Years</v>
      </c>
      <c r="N2707" s="2" t="str">
        <f>IF(TelecomData[[#This Row],[CleanedTotalCharges]]&gt;=2500,"High Spend", "Standard Spend")</f>
        <v>Standard Spend</v>
      </c>
    </row>
    <row r="2708" spans="1:14" x14ac:dyDescent="0.3">
      <c r="A2708" s="1" t="s">
        <v>2732</v>
      </c>
      <c r="B2708" s="2" t="s">
        <v>19</v>
      </c>
      <c r="C2708" s="2" t="s">
        <v>13</v>
      </c>
      <c r="D2708" s="2">
        <v>2</v>
      </c>
      <c r="E2708" s="2" t="s">
        <v>26</v>
      </c>
      <c r="F2708" s="2" t="s">
        <v>15</v>
      </c>
      <c r="G2708" s="7">
        <v>76.400000000000006</v>
      </c>
      <c r="H2708" s="7">
        <v>151.80000000000001</v>
      </c>
      <c r="I2708" s="2" t="s">
        <v>16</v>
      </c>
      <c r="J2708" s="2" t="s">
        <v>15</v>
      </c>
      <c r="K2708" s="2" t="s">
        <v>17</v>
      </c>
      <c r="L2708" s="7">
        <v>151.80000000000001</v>
      </c>
      <c r="M2708" s="2" t="str">
        <f>_xlfn.IFS(TelecomData[[#This Row],[TenureMonths]]&lt;=12, "0-1 Year", TelecomData[[#This Row],[TenureMonths]]&lt;=36, "1-3 Years", TelecomData[[#This Row],[TenureMonths]]&gt;36, "3+ Years")</f>
        <v>0-1 Year</v>
      </c>
      <c r="N2708" s="2" t="str">
        <f>IF(TelecomData[[#This Row],[CleanedTotalCharges]]&gt;=2500,"High Spend", "Standard Spend")</f>
        <v>Standard Spend</v>
      </c>
    </row>
    <row r="2709" spans="1:14" x14ac:dyDescent="0.3">
      <c r="A2709" s="1" t="s">
        <v>2733</v>
      </c>
      <c r="B2709" s="2" t="s">
        <v>19</v>
      </c>
      <c r="C2709" s="2" t="s">
        <v>13</v>
      </c>
      <c r="D2709" s="2">
        <v>3</v>
      </c>
      <c r="E2709" s="2" t="s">
        <v>26</v>
      </c>
      <c r="F2709" s="2" t="s">
        <v>16</v>
      </c>
      <c r="G2709" s="7">
        <v>98.7</v>
      </c>
      <c r="H2709" s="7">
        <v>293.64999999999998</v>
      </c>
      <c r="I2709" s="2" t="s">
        <v>16</v>
      </c>
      <c r="J2709" s="2" t="s">
        <v>16</v>
      </c>
      <c r="K2709" s="2" t="s">
        <v>17</v>
      </c>
      <c r="L2709" s="7">
        <v>293.64999999999998</v>
      </c>
      <c r="M2709" s="2" t="str">
        <f>_xlfn.IFS(TelecomData[[#This Row],[TenureMonths]]&lt;=12, "0-1 Year", TelecomData[[#This Row],[TenureMonths]]&lt;=36, "1-3 Years", TelecomData[[#This Row],[TenureMonths]]&gt;36, "3+ Years")</f>
        <v>0-1 Year</v>
      </c>
      <c r="N2709" s="2" t="str">
        <f>IF(TelecomData[[#This Row],[CleanedTotalCharges]]&gt;=2500,"High Spend", "Standard Spend")</f>
        <v>Standard Spend</v>
      </c>
    </row>
    <row r="2710" spans="1:14" x14ac:dyDescent="0.3">
      <c r="A2710" s="1" t="s">
        <v>2734</v>
      </c>
      <c r="B2710" s="2" t="s">
        <v>12</v>
      </c>
      <c r="C2710" s="2" t="s">
        <v>13</v>
      </c>
      <c r="D2710" s="2">
        <v>13</v>
      </c>
      <c r="E2710" s="2" t="s">
        <v>26</v>
      </c>
      <c r="F2710" s="2" t="s">
        <v>15</v>
      </c>
      <c r="G2710" s="7">
        <v>100.8</v>
      </c>
      <c r="H2710" s="7">
        <v>1308.0999999999999</v>
      </c>
      <c r="I2710" s="2" t="s">
        <v>16</v>
      </c>
      <c r="J2710" s="2" t="s">
        <v>16</v>
      </c>
      <c r="K2710" s="2" t="s">
        <v>17</v>
      </c>
      <c r="L2710" s="7">
        <v>1308.0999999999999</v>
      </c>
      <c r="M2710" s="2" t="str">
        <f>_xlfn.IFS(TelecomData[[#This Row],[TenureMonths]]&lt;=12, "0-1 Year", TelecomData[[#This Row],[TenureMonths]]&lt;=36, "1-3 Years", TelecomData[[#This Row],[TenureMonths]]&gt;36, "3+ Years")</f>
        <v>1-3 Years</v>
      </c>
      <c r="N2710" s="2" t="str">
        <f>IF(TelecomData[[#This Row],[CleanedTotalCharges]]&gt;=2500,"High Spend", "Standard Spend")</f>
        <v>Standard Spend</v>
      </c>
    </row>
    <row r="2711" spans="1:14" x14ac:dyDescent="0.3">
      <c r="A2711" s="1" t="s">
        <v>2735</v>
      </c>
      <c r="B2711" s="2" t="s">
        <v>19</v>
      </c>
      <c r="C2711" s="2" t="s">
        <v>13</v>
      </c>
      <c r="D2711" s="2">
        <v>41</v>
      </c>
      <c r="E2711" s="2" t="s">
        <v>14</v>
      </c>
      <c r="F2711" s="2" t="s">
        <v>15</v>
      </c>
      <c r="G2711" s="7">
        <v>53.95</v>
      </c>
      <c r="H2711" s="7">
        <v>2215.4</v>
      </c>
      <c r="I2711" s="2" t="s">
        <v>15</v>
      </c>
      <c r="J2711" s="2" t="s">
        <v>16</v>
      </c>
      <c r="K2711" s="2" t="s">
        <v>17</v>
      </c>
      <c r="L2711" s="7">
        <v>2215.4</v>
      </c>
      <c r="M2711" s="2" t="str">
        <f>_xlfn.IFS(TelecomData[[#This Row],[TenureMonths]]&lt;=12, "0-1 Year", TelecomData[[#This Row],[TenureMonths]]&lt;=36, "1-3 Years", TelecomData[[#This Row],[TenureMonths]]&gt;36, "3+ Years")</f>
        <v>3+ Years</v>
      </c>
      <c r="N2711" s="2" t="str">
        <f>IF(TelecomData[[#This Row],[CleanedTotalCharges]]&gt;=2500,"High Spend", "Standard Spend")</f>
        <v>Standard Spend</v>
      </c>
    </row>
    <row r="2712" spans="1:14" x14ac:dyDescent="0.3">
      <c r="A2712" s="1" t="s">
        <v>2736</v>
      </c>
      <c r="B2712" s="2" t="s">
        <v>12</v>
      </c>
      <c r="C2712" s="2" t="s">
        <v>20</v>
      </c>
      <c r="D2712" s="2">
        <v>24</v>
      </c>
      <c r="E2712" s="2" t="s">
        <v>15</v>
      </c>
      <c r="F2712" s="2" t="s">
        <v>36</v>
      </c>
      <c r="G2712" s="7">
        <v>20.399999999999999</v>
      </c>
      <c r="H2712" s="7">
        <v>482.8</v>
      </c>
      <c r="I2712" s="2" t="s">
        <v>15</v>
      </c>
      <c r="J2712" s="2" t="s">
        <v>15</v>
      </c>
      <c r="K2712" s="2" t="s">
        <v>29</v>
      </c>
      <c r="L2712" s="7">
        <v>482.8</v>
      </c>
      <c r="M2712" s="2" t="str">
        <f>_xlfn.IFS(TelecomData[[#This Row],[TenureMonths]]&lt;=12, "0-1 Year", TelecomData[[#This Row],[TenureMonths]]&lt;=36, "1-3 Years", TelecomData[[#This Row],[TenureMonths]]&gt;36, "3+ Years")</f>
        <v>1-3 Years</v>
      </c>
      <c r="N2712" s="2" t="str">
        <f>IF(TelecomData[[#This Row],[CleanedTotalCharges]]&gt;=2500,"High Spend", "Standard Spend")</f>
        <v>Standard Spend</v>
      </c>
    </row>
    <row r="2713" spans="1:14" x14ac:dyDescent="0.3">
      <c r="A2713" s="1" t="s">
        <v>2737</v>
      </c>
      <c r="B2713" s="2" t="s">
        <v>12</v>
      </c>
      <c r="C2713" s="2" t="s">
        <v>20</v>
      </c>
      <c r="D2713" s="2">
        <v>28</v>
      </c>
      <c r="E2713" s="2" t="s">
        <v>26</v>
      </c>
      <c r="F2713" s="2" t="s">
        <v>15</v>
      </c>
      <c r="G2713" s="7">
        <v>90.1</v>
      </c>
      <c r="H2713" s="7">
        <v>2598.9499999999998</v>
      </c>
      <c r="I2713" s="2" t="s">
        <v>16</v>
      </c>
      <c r="J2713" s="2" t="s">
        <v>16</v>
      </c>
      <c r="K2713" s="2" t="s">
        <v>24</v>
      </c>
      <c r="L2713" s="7">
        <v>2598.9499999999998</v>
      </c>
      <c r="M2713" s="2" t="str">
        <f>_xlfn.IFS(TelecomData[[#This Row],[TenureMonths]]&lt;=12, "0-1 Year", TelecomData[[#This Row],[TenureMonths]]&lt;=36, "1-3 Years", TelecomData[[#This Row],[TenureMonths]]&gt;36, "3+ Years")</f>
        <v>1-3 Years</v>
      </c>
      <c r="N2713" s="2" t="str">
        <f>IF(TelecomData[[#This Row],[CleanedTotalCharges]]&gt;=2500,"High Spend", "Standard Spend")</f>
        <v>High Spend</v>
      </c>
    </row>
    <row r="2714" spans="1:14" x14ac:dyDescent="0.3">
      <c r="A2714" s="1" t="s">
        <v>2738</v>
      </c>
      <c r="B2714" s="2" t="s">
        <v>19</v>
      </c>
      <c r="C2714" s="2" t="s">
        <v>13</v>
      </c>
      <c r="D2714" s="2">
        <v>8</v>
      </c>
      <c r="E2714" s="2" t="s">
        <v>14</v>
      </c>
      <c r="F2714" s="2" t="s">
        <v>15</v>
      </c>
      <c r="G2714" s="7">
        <v>29.35</v>
      </c>
      <c r="H2714" s="7">
        <v>216.45</v>
      </c>
      <c r="I2714" s="2" t="s">
        <v>15</v>
      </c>
      <c r="J2714" s="2" t="s">
        <v>15</v>
      </c>
      <c r="K2714" s="2" t="s">
        <v>21</v>
      </c>
      <c r="L2714" s="7">
        <v>216.45</v>
      </c>
      <c r="M2714" s="2" t="str">
        <f>_xlfn.IFS(TelecomData[[#This Row],[TenureMonths]]&lt;=12, "0-1 Year", TelecomData[[#This Row],[TenureMonths]]&lt;=36, "1-3 Years", TelecomData[[#This Row],[TenureMonths]]&gt;36, "3+ Years")</f>
        <v>0-1 Year</v>
      </c>
      <c r="N2714" s="2" t="str">
        <f>IF(TelecomData[[#This Row],[CleanedTotalCharges]]&gt;=2500,"High Spend", "Standard Spend")</f>
        <v>Standard Spend</v>
      </c>
    </row>
    <row r="2715" spans="1:14" x14ac:dyDescent="0.3">
      <c r="A2715" s="1" t="s">
        <v>2739</v>
      </c>
      <c r="B2715" s="2" t="s">
        <v>19</v>
      </c>
      <c r="C2715" s="2" t="s">
        <v>13</v>
      </c>
      <c r="D2715" s="2">
        <v>1</v>
      </c>
      <c r="E2715" s="2" t="s">
        <v>15</v>
      </c>
      <c r="F2715" s="2" t="s">
        <v>36</v>
      </c>
      <c r="G2715" s="7">
        <v>20.45</v>
      </c>
      <c r="H2715" s="7">
        <v>20.45</v>
      </c>
      <c r="I2715" s="2" t="s">
        <v>15</v>
      </c>
      <c r="J2715" s="2" t="s">
        <v>16</v>
      </c>
      <c r="K2715" s="2" t="s">
        <v>21</v>
      </c>
      <c r="L2715" s="7">
        <v>20.45</v>
      </c>
      <c r="M2715" s="2" t="str">
        <f>_xlfn.IFS(TelecomData[[#This Row],[TenureMonths]]&lt;=12, "0-1 Year", TelecomData[[#This Row],[TenureMonths]]&lt;=36, "1-3 Years", TelecomData[[#This Row],[TenureMonths]]&gt;36, "3+ Years")</f>
        <v>0-1 Year</v>
      </c>
      <c r="N2715" s="2" t="str">
        <f>IF(TelecomData[[#This Row],[CleanedTotalCharges]]&gt;=2500,"High Spend", "Standard Spend")</f>
        <v>Standard Spend</v>
      </c>
    </row>
    <row r="2716" spans="1:14" x14ac:dyDescent="0.3">
      <c r="A2716" s="1" t="s">
        <v>2740</v>
      </c>
      <c r="B2716" s="2" t="s">
        <v>12</v>
      </c>
      <c r="C2716" s="2" t="s">
        <v>35</v>
      </c>
      <c r="D2716" s="2">
        <v>54</v>
      </c>
      <c r="E2716" s="2" t="s">
        <v>26</v>
      </c>
      <c r="F2716" s="2" t="s">
        <v>16</v>
      </c>
      <c r="G2716" s="7">
        <v>95.1</v>
      </c>
      <c r="H2716" s="7">
        <v>5064.8500000000004</v>
      </c>
      <c r="I2716" s="2" t="s">
        <v>15</v>
      </c>
      <c r="J2716" s="2" t="s">
        <v>16</v>
      </c>
      <c r="K2716" s="2" t="s">
        <v>24</v>
      </c>
      <c r="L2716" s="7">
        <v>5064.8500000000004</v>
      </c>
      <c r="M2716" s="2" t="str">
        <f>_xlfn.IFS(TelecomData[[#This Row],[TenureMonths]]&lt;=12, "0-1 Year", TelecomData[[#This Row],[TenureMonths]]&lt;=36, "1-3 Years", TelecomData[[#This Row],[TenureMonths]]&gt;36, "3+ Years")</f>
        <v>3+ Years</v>
      </c>
      <c r="N2716" s="2" t="str">
        <f>IF(TelecomData[[#This Row],[CleanedTotalCharges]]&gt;=2500,"High Spend", "Standard Spend")</f>
        <v>High Spend</v>
      </c>
    </row>
    <row r="2717" spans="1:14" x14ac:dyDescent="0.3">
      <c r="A2717" s="1" t="s">
        <v>2741</v>
      </c>
      <c r="B2717" s="2" t="s">
        <v>19</v>
      </c>
      <c r="C2717" s="2" t="s">
        <v>13</v>
      </c>
      <c r="D2717" s="2">
        <v>41</v>
      </c>
      <c r="E2717" s="2" t="s">
        <v>15</v>
      </c>
      <c r="F2717" s="2" t="s">
        <v>36</v>
      </c>
      <c r="G2717" s="7">
        <v>25.25</v>
      </c>
      <c r="H2717" s="7">
        <v>996.45</v>
      </c>
      <c r="I2717" s="2" t="s">
        <v>15</v>
      </c>
      <c r="J2717" s="2" t="s">
        <v>16</v>
      </c>
      <c r="K2717" s="2" t="s">
        <v>24</v>
      </c>
      <c r="L2717" s="7">
        <v>996.45</v>
      </c>
      <c r="M2717" s="2" t="str">
        <f>_xlfn.IFS(TelecomData[[#This Row],[TenureMonths]]&lt;=12, "0-1 Year", TelecomData[[#This Row],[TenureMonths]]&lt;=36, "1-3 Years", TelecomData[[#This Row],[TenureMonths]]&gt;36, "3+ Years")</f>
        <v>3+ Years</v>
      </c>
      <c r="N2717" s="2" t="str">
        <f>IF(TelecomData[[#This Row],[CleanedTotalCharges]]&gt;=2500,"High Spend", "Standard Spend")</f>
        <v>Standard Spend</v>
      </c>
    </row>
    <row r="2718" spans="1:14" x14ac:dyDescent="0.3">
      <c r="A2718" s="1" t="s">
        <v>2742</v>
      </c>
      <c r="B2718" s="2" t="s">
        <v>12</v>
      </c>
      <c r="C2718" s="2" t="s">
        <v>13</v>
      </c>
      <c r="D2718" s="2">
        <v>19</v>
      </c>
      <c r="E2718" s="2" t="s">
        <v>14</v>
      </c>
      <c r="F2718" s="2" t="s">
        <v>15</v>
      </c>
      <c r="G2718" s="7">
        <v>44.9</v>
      </c>
      <c r="H2718" s="7">
        <v>839.65</v>
      </c>
      <c r="I2718" s="2" t="s">
        <v>15</v>
      </c>
      <c r="J2718" s="2" t="s">
        <v>15</v>
      </c>
      <c r="K2718" s="2" t="s">
        <v>21</v>
      </c>
      <c r="L2718" s="7">
        <v>839.65</v>
      </c>
      <c r="M2718" s="2" t="str">
        <f>_xlfn.IFS(TelecomData[[#This Row],[TenureMonths]]&lt;=12, "0-1 Year", TelecomData[[#This Row],[TenureMonths]]&lt;=36, "1-3 Years", TelecomData[[#This Row],[TenureMonths]]&gt;36, "3+ Years")</f>
        <v>1-3 Years</v>
      </c>
      <c r="N2718" s="2" t="str">
        <f>IF(TelecomData[[#This Row],[CleanedTotalCharges]]&gt;=2500,"High Spend", "Standard Spend")</f>
        <v>Standard Spend</v>
      </c>
    </row>
    <row r="2719" spans="1:14" x14ac:dyDescent="0.3">
      <c r="A2719" s="1" t="s">
        <v>2743</v>
      </c>
      <c r="B2719" s="2" t="s">
        <v>12</v>
      </c>
      <c r="C2719" s="2" t="s">
        <v>35</v>
      </c>
      <c r="D2719" s="2">
        <v>72</v>
      </c>
      <c r="E2719" s="2" t="s">
        <v>14</v>
      </c>
      <c r="F2719" s="2" t="s">
        <v>16</v>
      </c>
      <c r="G2719" s="7">
        <v>92.65</v>
      </c>
      <c r="H2719" s="7">
        <v>6733</v>
      </c>
      <c r="I2719" s="2" t="s">
        <v>15</v>
      </c>
      <c r="J2719" s="2" t="s">
        <v>15</v>
      </c>
      <c r="K2719" s="2" t="s">
        <v>24</v>
      </c>
      <c r="L2719" s="7">
        <v>6733</v>
      </c>
      <c r="M2719" s="2" t="str">
        <f>_xlfn.IFS(TelecomData[[#This Row],[TenureMonths]]&lt;=12, "0-1 Year", TelecomData[[#This Row],[TenureMonths]]&lt;=36, "1-3 Years", TelecomData[[#This Row],[TenureMonths]]&gt;36, "3+ Years")</f>
        <v>3+ Years</v>
      </c>
      <c r="N2719" s="2" t="str">
        <f>IF(TelecomData[[#This Row],[CleanedTotalCharges]]&gt;=2500,"High Spend", "Standard Spend")</f>
        <v>High Spend</v>
      </c>
    </row>
    <row r="2720" spans="1:14" x14ac:dyDescent="0.3">
      <c r="A2720" s="1" t="s">
        <v>2744</v>
      </c>
      <c r="B2720" s="2" t="s">
        <v>19</v>
      </c>
      <c r="C2720" s="2" t="s">
        <v>35</v>
      </c>
      <c r="D2720" s="2">
        <v>62</v>
      </c>
      <c r="E2720" s="2" t="s">
        <v>14</v>
      </c>
      <c r="F2720" s="2" t="s">
        <v>16</v>
      </c>
      <c r="G2720" s="7">
        <v>43.7</v>
      </c>
      <c r="H2720" s="7">
        <v>2618.3000000000002</v>
      </c>
      <c r="I2720" s="2" t="s">
        <v>15</v>
      </c>
      <c r="J2720" s="2" t="s">
        <v>16</v>
      </c>
      <c r="K2720" s="2" t="s">
        <v>24</v>
      </c>
      <c r="L2720" s="7">
        <v>2618.3000000000002</v>
      </c>
      <c r="M2720" s="2" t="str">
        <f>_xlfn.IFS(TelecomData[[#This Row],[TenureMonths]]&lt;=12, "0-1 Year", TelecomData[[#This Row],[TenureMonths]]&lt;=36, "1-3 Years", TelecomData[[#This Row],[TenureMonths]]&gt;36, "3+ Years")</f>
        <v>3+ Years</v>
      </c>
      <c r="N2720" s="2" t="str">
        <f>IF(TelecomData[[#This Row],[CleanedTotalCharges]]&gt;=2500,"High Spend", "Standard Spend")</f>
        <v>High Spend</v>
      </c>
    </row>
    <row r="2721" spans="1:14" x14ac:dyDescent="0.3">
      <c r="A2721" s="1" t="s">
        <v>2745</v>
      </c>
      <c r="B2721" s="2" t="s">
        <v>12</v>
      </c>
      <c r="C2721" s="2" t="s">
        <v>35</v>
      </c>
      <c r="D2721" s="2">
        <v>56</v>
      </c>
      <c r="E2721" s="2" t="s">
        <v>14</v>
      </c>
      <c r="F2721" s="2" t="s">
        <v>16</v>
      </c>
      <c r="G2721" s="7">
        <v>72.599999999999994</v>
      </c>
      <c r="H2721" s="7">
        <v>4084.35</v>
      </c>
      <c r="I2721" s="2" t="s">
        <v>15</v>
      </c>
      <c r="J2721" s="2" t="s">
        <v>16</v>
      </c>
      <c r="K2721" s="2" t="s">
        <v>29</v>
      </c>
      <c r="L2721" s="7">
        <v>4084.35</v>
      </c>
      <c r="M2721" s="2" t="str">
        <f>_xlfn.IFS(TelecomData[[#This Row],[TenureMonths]]&lt;=12, "0-1 Year", TelecomData[[#This Row],[TenureMonths]]&lt;=36, "1-3 Years", TelecomData[[#This Row],[TenureMonths]]&gt;36, "3+ Years")</f>
        <v>3+ Years</v>
      </c>
      <c r="N2721" s="2" t="str">
        <f>IF(TelecomData[[#This Row],[CleanedTotalCharges]]&gt;=2500,"High Spend", "Standard Spend")</f>
        <v>High Spend</v>
      </c>
    </row>
    <row r="2722" spans="1:14" x14ac:dyDescent="0.3">
      <c r="A2722" s="1" t="s">
        <v>2746</v>
      </c>
      <c r="B2722" s="2" t="s">
        <v>19</v>
      </c>
      <c r="C2722" s="2" t="s">
        <v>13</v>
      </c>
      <c r="D2722" s="2">
        <v>15</v>
      </c>
      <c r="E2722" s="2" t="s">
        <v>14</v>
      </c>
      <c r="F2722" s="2" t="s">
        <v>15</v>
      </c>
      <c r="G2722" s="7">
        <v>51.55</v>
      </c>
      <c r="H2722" s="7">
        <v>765.5</v>
      </c>
      <c r="I2722" s="2" t="s">
        <v>16</v>
      </c>
      <c r="J2722" s="2" t="s">
        <v>15</v>
      </c>
      <c r="K2722" s="2" t="s">
        <v>17</v>
      </c>
      <c r="L2722" s="7">
        <v>765.5</v>
      </c>
      <c r="M2722" s="2" t="str">
        <f>_xlfn.IFS(TelecomData[[#This Row],[TenureMonths]]&lt;=12, "0-1 Year", TelecomData[[#This Row],[TenureMonths]]&lt;=36, "1-3 Years", TelecomData[[#This Row],[TenureMonths]]&gt;36, "3+ Years")</f>
        <v>1-3 Years</v>
      </c>
      <c r="N2722" s="2" t="str">
        <f>IF(TelecomData[[#This Row],[CleanedTotalCharges]]&gt;=2500,"High Spend", "Standard Spend")</f>
        <v>Standard Spend</v>
      </c>
    </row>
    <row r="2723" spans="1:14" x14ac:dyDescent="0.3">
      <c r="A2723" s="1" t="s">
        <v>2747</v>
      </c>
      <c r="B2723" s="2" t="s">
        <v>19</v>
      </c>
      <c r="C2723" s="2" t="s">
        <v>13</v>
      </c>
      <c r="D2723" s="2">
        <v>10</v>
      </c>
      <c r="E2723" s="2" t="s">
        <v>26</v>
      </c>
      <c r="F2723" s="2" t="s">
        <v>15</v>
      </c>
      <c r="G2723" s="7">
        <v>79.25</v>
      </c>
      <c r="H2723" s="7">
        <v>793.55</v>
      </c>
      <c r="I2723" s="2" t="s">
        <v>16</v>
      </c>
      <c r="J2723" s="2" t="s">
        <v>16</v>
      </c>
      <c r="K2723" s="2" t="s">
        <v>17</v>
      </c>
      <c r="L2723" s="7">
        <v>793.55</v>
      </c>
      <c r="M2723" s="2" t="str">
        <f>_xlfn.IFS(TelecomData[[#This Row],[TenureMonths]]&lt;=12, "0-1 Year", TelecomData[[#This Row],[TenureMonths]]&lt;=36, "1-3 Years", TelecomData[[#This Row],[TenureMonths]]&gt;36, "3+ Years")</f>
        <v>0-1 Year</v>
      </c>
      <c r="N2723" s="2" t="str">
        <f>IF(TelecomData[[#This Row],[CleanedTotalCharges]]&gt;=2500,"High Spend", "Standard Spend")</f>
        <v>Standard Spend</v>
      </c>
    </row>
    <row r="2724" spans="1:14" x14ac:dyDescent="0.3">
      <c r="A2724" s="1" t="s">
        <v>2748</v>
      </c>
      <c r="B2724" s="2" t="s">
        <v>19</v>
      </c>
      <c r="C2724" s="2" t="s">
        <v>35</v>
      </c>
      <c r="D2724" s="2">
        <v>32</v>
      </c>
      <c r="E2724" s="2" t="s">
        <v>15</v>
      </c>
      <c r="F2724" s="2" t="s">
        <v>36</v>
      </c>
      <c r="G2724" s="7">
        <v>18.95</v>
      </c>
      <c r="H2724" s="7">
        <v>613.95000000000005</v>
      </c>
      <c r="I2724" s="2" t="s">
        <v>15</v>
      </c>
      <c r="J2724" s="2" t="s">
        <v>15</v>
      </c>
      <c r="K2724" s="2" t="s">
        <v>21</v>
      </c>
      <c r="L2724" s="7">
        <v>613.95000000000005</v>
      </c>
      <c r="M2724" s="2" t="str">
        <f>_xlfn.IFS(TelecomData[[#This Row],[TenureMonths]]&lt;=12, "0-1 Year", TelecomData[[#This Row],[TenureMonths]]&lt;=36, "1-3 Years", TelecomData[[#This Row],[TenureMonths]]&gt;36, "3+ Years")</f>
        <v>1-3 Years</v>
      </c>
      <c r="N2724" s="2" t="str">
        <f>IF(TelecomData[[#This Row],[CleanedTotalCharges]]&gt;=2500,"High Spend", "Standard Spend")</f>
        <v>Standard Spend</v>
      </c>
    </row>
    <row r="2725" spans="1:14" x14ac:dyDescent="0.3">
      <c r="A2725" s="1" t="s">
        <v>2749</v>
      </c>
      <c r="B2725" s="2" t="s">
        <v>19</v>
      </c>
      <c r="C2725" s="2" t="s">
        <v>13</v>
      </c>
      <c r="D2725" s="2">
        <v>21</v>
      </c>
      <c r="E2725" s="2" t="s">
        <v>15</v>
      </c>
      <c r="F2725" s="2" t="s">
        <v>36</v>
      </c>
      <c r="G2725" s="7">
        <v>20.5</v>
      </c>
      <c r="H2725" s="7">
        <v>402.85</v>
      </c>
      <c r="I2725" s="2" t="s">
        <v>15</v>
      </c>
      <c r="J2725" s="2" t="s">
        <v>15</v>
      </c>
      <c r="K2725" s="2" t="s">
        <v>29</v>
      </c>
      <c r="L2725" s="7">
        <v>402.85</v>
      </c>
      <c r="M2725" s="2" t="str">
        <f>_xlfn.IFS(TelecomData[[#This Row],[TenureMonths]]&lt;=12, "0-1 Year", TelecomData[[#This Row],[TenureMonths]]&lt;=36, "1-3 Years", TelecomData[[#This Row],[TenureMonths]]&gt;36, "3+ Years")</f>
        <v>1-3 Years</v>
      </c>
      <c r="N2725" s="2" t="str">
        <f>IF(TelecomData[[#This Row],[CleanedTotalCharges]]&gt;=2500,"High Spend", "Standard Spend")</f>
        <v>Standard Spend</v>
      </c>
    </row>
    <row r="2726" spans="1:14" x14ac:dyDescent="0.3">
      <c r="A2726" s="1" t="s">
        <v>2750</v>
      </c>
      <c r="B2726" s="2" t="s">
        <v>19</v>
      </c>
      <c r="C2726" s="2" t="s">
        <v>20</v>
      </c>
      <c r="D2726" s="2">
        <v>62</v>
      </c>
      <c r="E2726" s="2" t="s">
        <v>15</v>
      </c>
      <c r="F2726" s="2" t="s">
        <v>36</v>
      </c>
      <c r="G2726" s="7">
        <v>19.95</v>
      </c>
      <c r="H2726" s="7">
        <v>1244.8</v>
      </c>
      <c r="I2726" s="2" t="s">
        <v>15</v>
      </c>
      <c r="J2726" s="2" t="s">
        <v>15</v>
      </c>
      <c r="K2726" s="2" t="s">
        <v>24</v>
      </c>
      <c r="L2726" s="7">
        <v>1244.8</v>
      </c>
      <c r="M2726" s="2" t="str">
        <f>_xlfn.IFS(TelecomData[[#This Row],[TenureMonths]]&lt;=12, "0-1 Year", TelecomData[[#This Row],[TenureMonths]]&lt;=36, "1-3 Years", TelecomData[[#This Row],[TenureMonths]]&gt;36, "3+ Years")</f>
        <v>3+ Years</v>
      </c>
      <c r="N2726" s="2" t="str">
        <f>IF(TelecomData[[#This Row],[CleanedTotalCharges]]&gt;=2500,"High Spend", "Standard Spend")</f>
        <v>Standard Spend</v>
      </c>
    </row>
    <row r="2727" spans="1:14" x14ac:dyDescent="0.3">
      <c r="A2727" s="1" t="s">
        <v>2751</v>
      </c>
      <c r="B2727" s="2" t="s">
        <v>12</v>
      </c>
      <c r="C2727" s="2" t="s">
        <v>13</v>
      </c>
      <c r="D2727" s="2">
        <v>2</v>
      </c>
      <c r="E2727" s="2" t="s">
        <v>14</v>
      </c>
      <c r="F2727" s="2" t="s">
        <v>15</v>
      </c>
      <c r="G2727" s="7">
        <v>24.5</v>
      </c>
      <c r="H2727" s="7">
        <v>46.4</v>
      </c>
      <c r="I2727" s="2" t="s">
        <v>15</v>
      </c>
      <c r="J2727" s="2" t="s">
        <v>15</v>
      </c>
      <c r="K2727" s="2" t="s">
        <v>17</v>
      </c>
      <c r="L2727" s="7">
        <v>46.4</v>
      </c>
      <c r="M2727" s="2" t="str">
        <f>_xlfn.IFS(TelecomData[[#This Row],[TenureMonths]]&lt;=12, "0-1 Year", TelecomData[[#This Row],[TenureMonths]]&lt;=36, "1-3 Years", TelecomData[[#This Row],[TenureMonths]]&gt;36, "3+ Years")</f>
        <v>0-1 Year</v>
      </c>
      <c r="N2727" s="2" t="str">
        <f>IF(TelecomData[[#This Row],[CleanedTotalCharges]]&gt;=2500,"High Spend", "Standard Spend")</f>
        <v>Standard Spend</v>
      </c>
    </row>
    <row r="2728" spans="1:14" x14ac:dyDescent="0.3">
      <c r="A2728" s="1" t="s">
        <v>2752</v>
      </c>
      <c r="B2728" s="2" t="s">
        <v>19</v>
      </c>
      <c r="C2728" s="2" t="s">
        <v>35</v>
      </c>
      <c r="D2728" s="2">
        <v>27</v>
      </c>
      <c r="E2728" s="2" t="s">
        <v>15</v>
      </c>
      <c r="F2728" s="2" t="s">
        <v>36</v>
      </c>
      <c r="G2728" s="7">
        <v>20.6</v>
      </c>
      <c r="H2728" s="7">
        <v>581.85</v>
      </c>
      <c r="I2728" s="2" t="s">
        <v>15</v>
      </c>
      <c r="J2728" s="2" t="s">
        <v>15</v>
      </c>
      <c r="K2728" s="2" t="s">
        <v>21</v>
      </c>
      <c r="L2728" s="7">
        <v>581.85</v>
      </c>
      <c r="M2728" s="2" t="str">
        <f>_xlfn.IFS(TelecomData[[#This Row],[TenureMonths]]&lt;=12, "0-1 Year", TelecomData[[#This Row],[TenureMonths]]&lt;=36, "1-3 Years", TelecomData[[#This Row],[TenureMonths]]&gt;36, "3+ Years")</f>
        <v>1-3 Years</v>
      </c>
      <c r="N2728" s="2" t="str">
        <f>IF(TelecomData[[#This Row],[CleanedTotalCharges]]&gt;=2500,"High Spend", "Standard Spend")</f>
        <v>Standard Spend</v>
      </c>
    </row>
    <row r="2729" spans="1:14" x14ac:dyDescent="0.3">
      <c r="A2729" s="1" t="s">
        <v>2753</v>
      </c>
      <c r="B2729" s="2" t="s">
        <v>19</v>
      </c>
      <c r="C2729" s="2" t="s">
        <v>13</v>
      </c>
      <c r="D2729" s="2">
        <v>5</v>
      </c>
      <c r="E2729" s="2" t="s">
        <v>26</v>
      </c>
      <c r="F2729" s="2" t="s">
        <v>15</v>
      </c>
      <c r="G2729" s="7">
        <v>94.85</v>
      </c>
      <c r="H2729" s="7">
        <v>462.8</v>
      </c>
      <c r="I2729" s="2" t="s">
        <v>16</v>
      </c>
      <c r="J2729" s="2" t="s">
        <v>16</v>
      </c>
      <c r="K2729" s="2" t="s">
        <v>24</v>
      </c>
      <c r="L2729" s="7">
        <v>462.8</v>
      </c>
      <c r="M2729" s="2" t="str">
        <f>_xlfn.IFS(TelecomData[[#This Row],[TenureMonths]]&lt;=12, "0-1 Year", TelecomData[[#This Row],[TenureMonths]]&lt;=36, "1-3 Years", TelecomData[[#This Row],[TenureMonths]]&gt;36, "3+ Years")</f>
        <v>0-1 Year</v>
      </c>
      <c r="N2729" s="2" t="str">
        <f>IF(TelecomData[[#This Row],[CleanedTotalCharges]]&gt;=2500,"High Spend", "Standard Spend")</f>
        <v>Standard Spend</v>
      </c>
    </row>
    <row r="2730" spans="1:14" x14ac:dyDescent="0.3">
      <c r="A2730" s="1" t="s">
        <v>2754</v>
      </c>
      <c r="B2730" s="2" t="s">
        <v>12</v>
      </c>
      <c r="C2730" s="2" t="s">
        <v>20</v>
      </c>
      <c r="D2730" s="2">
        <v>25</v>
      </c>
      <c r="E2730" s="2" t="s">
        <v>14</v>
      </c>
      <c r="F2730" s="2" t="s">
        <v>15</v>
      </c>
      <c r="G2730" s="7">
        <v>61.05</v>
      </c>
      <c r="H2730" s="7">
        <v>1540.2</v>
      </c>
      <c r="I2730" s="2" t="s">
        <v>15</v>
      </c>
      <c r="J2730" s="2" t="s">
        <v>15</v>
      </c>
      <c r="K2730" s="2" t="s">
        <v>17</v>
      </c>
      <c r="L2730" s="7">
        <v>1540.2</v>
      </c>
      <c r="M2730" s="2" t="str">
        <f>_xlfn.IFS(TelecomData[[#This Row],[TenureMonths]]&lt;=12, "0-1 Year", TelecomData[[#This Row],[TenureMonths]]&lt;=36, "1-3 Years", TelecomData[[#This Row],[TenureMonths]]&gt;36, "3+ Years")</f>
        <v>1-3 Years</v>
      </c>
      <c r="N2730" s="2" t="str">
        <f>IF(TelecomData[[#This Row],[CleanedTotalCharges]]&gt;=2500,"High Spend", "Standard Spend")</f>
        <v>Standard Spend</v>
      </c>
    </row>
    <row r="2731" spans="1:14" x14ac:dyDescent="0.3">
      <c r="A2731" s="1" t="s">
        <v>2755</v>
      </c>
      <c r="B2731" s="2" t="s">
        <v>12</v>
      </c>
      <c r="C2731" s="2" t="s">
        <v>13</v>
      </c>
      <c r="D2731" s="2">
        <v>2</v>
      </c>
      <c r="E2731" s="2" t="s">
        <v>26</v>
      </c>
      <c r="F2731" s="2" t="s">
        <v>15</v>
      </c>
      <c r="G2731" s="7">
        <v>85.7</v>
      </c>
      <c r="H2731" s="7">
        <v>169.8</v>
      </c>
      <c r="I2731" s="2" t="s">
        <v>16</v>
      </c>
      <c r="J2731" s="2" t="s">
        <v>16</v>
      </c>
      <c r="K2731" s="2" t="s">
        <v>17</v>
      </c>
      <c r="L2731" s="7">
        <v>169.8</v>
      </c>
      <c r="M2731" s="2" t="str">
        <f>_xlfn.IFS(TelecomData[[#This Row],[TenureMonths]]&lt;=12, "0-1 Year", TelecomData[[#This Row],[TenureMonths]]&lt;=36, "1-3 Years", TelecomData[[#This Row],[TenureMonths]]&gt;36, "3+ Years")</f>
        <v>0-1 Year</v>
      </c>
      <c r="N2731" s="2" t="str">
        <f>IF(TelecomData[[#This Row],[CleanedTotalCharges]]&gt;=2500,"High Spend", "Standard Spend")</f>
        <v>Standard Spend</v>
      </c>
    </row>
    <row r="2732" spans="1:14" x14ac:dyDescent="0.3">
      <c r="A2732" s="1" t="s">
        <v>2756</v>
      </c>
      <c r="B2732" s="2" t="s">
        <v>19</v>
      </c>
      <c r="C2732" s="2" t="s">
        <v>20</v>
      </c>
      <c r="D2732" s="2">
        <v>49</v>
      </c>
      <c r="E2732" s="2" t="s">
        <v>26</v>
      </c>
      <c r="F2732" s="2" t="s">
        <v>16</v>
      </c>
      <c r="G2732" s="7">
        <v>106.65</v>
      </c>
      <c r="H2732" s="7">
        <v>5168.1000000000004</v>
      </c>
      <c r="I2732" s="2" t="s">
        <v>15</v>
      </c>
      <c r="J2732" s="2" t="s">
        <v>16</v>
      </c>
      <c r="K2732" s="2" t="s">
        <v>24</v>
      </c>
      <c r="L2732" s="7">
        <v>5168.1000000000004</v>
      </c>
      <c r="M2732" s="2" t="str">
        <f>_xlfn.IFS(TelecomData[[#This Row],[TenureMonths]]&lt;=12, "0-1 Year", TelecomData[[#This Row],[TenureMonths]]&lt;=36, "1-3 Years", TelecomData[[#This Row],[TenureMonths]]&gt;36, "3+ Years")</f>
        <v>3+ Years</v>
      </c>
      <c r="N2732" s="2" t="str">
        <f>IF(TelecomData[[#This Row],[CleanedTotalCharges]]&gt;=2500,"High Spend", "Standard Spend")</f>
        <v>High Spend</v>
      </c>
    </row>
    <row r="2733" spans="1:14" x14ac:dyDescent="0.3">
      <c r="A2733" s="1" t="s">
        <v>2757</v>
      </c>
      <c r="B2733" s="2" t="s">
        <v>12</v>
      </c>
      <c r="C2733" s="2" t="s">
        <v>13</v>
      </c>
      <c r="D2733" s="2">
        <v>63</v>
      </c>
      <c r="E2733" s="2" t="s">
        <v>26</v>
      </c>
      <c r="F2733" s="2" t="s">
        <v>15</v>
      </c>
      <c r="G2733" s="7">
        <v>108.25</v>
      </c>
      <c r="H2733" s="7">
        <v>6780.1</v>
      </c>
      <c r="I2733" s="2" t="s">
        <v>15</v>
      </c>
      <c r="J2733" s="2" t="s">
        <v>15</v>
      </c>
      <c r="K2733" s="2" t="s">
        <v>29</v>
      </c>
      <c r="L2733" s="7">
        <v>6780.1</v>
      </c>
      <c r="M2733" s="2" t="str">
        <f>_xlfn.IFS(TelecomData[[#This Row],[TenureMonths]]&lt;=12, "0-1 Year", TelecomData[[#This Row],[TenureMonths]]&lt;=36, "1-3 Years", TelecomData[[#This Row],[TenureMonths]]&gt;36, "3+ Years")</f>
        <v>3+ Years</v>
      </c>
      <c r="N2733" s="2" t="str">
        <f>IF(TelecomData[[#This Row],[CleanedTotalCharges]]&gt;=2500,"High Spend", "Standard Spend")</f>
        <v>High Spend</v>
      </c>
    </row>
    <row r="2734" spans="1:14" x14ac:dyDescent="0.3">
      <c r="A2734" s="1" t="s">
        <v>2758</v>
      </c>
      <c r="B2734" s="2" t="s">
        <v>12</v>
      </c>
      <c r="C2734" s="2" t="s">
        <v>13</v>
      </c>
      <c r="D2734" s="2">
        <v>4</v>
      </c>
      <c r="E2734" s="2" t="s">
        <v>15</v>
      </c>
      <c r="F2734" s="2" t="s">
        <v>36</v>
      </c>
      <c r="G2734" s="7">
        <v>20.399999999999999</v>
      </c>
      <c r="H2734" s="7">
        <v>94.5</v>
      </c>
      <c r="I2734" s="2" t="s">
        <v>15</v>
      </c>
      <c r="J2734" s="2" t="s">
        <v>15</v>
      </c>
      <c r="K2734" s="2" t="s">
        <v>29</v>
      </c>
      <c r="L2734" s="7">
        <v>94.5</v>
      </c>
      <c r="M2734" s="2" t="str">
        <f>_xlfn.IFS(TelecomData[[#This Row],[TenureMonths]]&lt;=12, "0-1 Year", TelecomData[[#This Row],[TenureMonths]]&lt;=36, "1-3 Years", TelecomData[[#This Row],[TenureMonths]]&gt;36, "3+ Years")</f>
        <v>0-1 Year</v>
      </c>
      <c r="N2734" s="2" t="str">
        <f>IF(TelecomData[[#This Row],[CleanedTotalCharges]]&gt;=2500,"High Spend", "Standard Spend")</f>
        <v>Standard Spend</v>
      </c>
    </row>
    <row r="2735" spans="1:14" x14ac:dyDescent="0.3">
      <c r="A2735" s="1" t="s">
        <v>2759</v>
      </c>
      <c r="B2735" s="2" t="s">
        <v>12</v>
      </c>
      <c r="C2735" s="2" t="s">
        <v>13</v>
      </c>
      <c r="D2735" s="2">
        <v>1</v>
      </c>
      <c r="E2735" s="2" t="s">
        <v>14</v>
      </c>
      <c r="F2735" s="2" t="s">
        <v>15</v>
      </c>
      <c r="G2735" s="7">
        <v>55.3</v>
      </c>
      <c r="H2735" s="7">
        <v>55.3</v>
      </c>
      <c r="I2735" s="2" t="s">
        <v>15</v>
      </c>
      <c r="J2735" s="2" t="s">
        <v>16</v>
      </c>
      <c r="K2735" s="2" t="s">
        <v>21</v>
      </c>
      <c r="L2735" s="7">
        <v>55.3</v>
      </c>
      <c r="M2735" s="2" t="str">
        <f>_xlfn.IFS(TelecomData[[#This Row],[TenureMonths]]&lt;=12, "0-1 Year", TelecomData[[#This Row],[TenureMonths]]&lt;=36, "1-3 Years", TelecomData[[#This Row],[TenureMonths]]&gt;36, "3+ Years")</f>
        <v>0-1 Year</v>
      </c>
      <c r="N2735" s="2" t="str">
        <f>IF(TelecomData[[#This Row],[CleanedTotalCharges]]&gt;=2500,"High Spend", "Standard Spend")</f>
        <v>Standard Spend</v>
      </c>
    </row>
    <row r="2736" spans="1:14" x14ac:dyDescent="0.3">
      <c r="A2736" s="1" t="s">
        <v>2760</v>
      </c>
      <c r="B2736" s="2" t="s">
        <v>19</v>
      </c>
      <c r="C2736" s="2" t="s">
        <v>13</v>
      </c>
      <c r="D2736" s="2">
        <v>11</v>
      </c>
      <c r="E2736" s="2" t="s">
        <v>15</v>
      </c>
      <c r="F2736" s="2" t="s">
        <v>36</v>
      </c>
      <c r="G2736" s="7">
        <v>20.25</v>
      </c>
      <c r="H2736" s="7">
        <v>208</v>
      </c>
      <c r="I2736" s="2" t="s">
        <v>15</v>
      </c>
      <c r="J2736" s="2" t="s">
        <v>15</v>
      </c>
      <c r="K2736" s="2" t="s">
        <v>21</v>
      </c>
      <c r="L2736" s="7">
        <v>208</v>
      </c>
      <c r="M2736" s="2" t="str">
        <f>_xlfn.IFS(TelecomData[[#This Row],[TenureMonths]]&lt;=12, "0-1 Year", TelecomData[[#This Row],[TenureMonths]]&lt;=36, "1-3 Years", TelecomData[[#This Row],[TenureMonths]]&gt;36, "3+ Years")</f>
        <v>0-1 Year</v>
      </c>
      <c r="N2736" s="2" t="str">
        <f>IF(TelecomData[[#This Row],[CleanedTotalCharges]]&gt;=2500,"High Spend", "Standard Spend")</f>
        <v>Standard Spend</v>
      </c>
    </row>
    <row r="2737" spans="1:14" x14ac:dyDescent="0.3">
      <c r="A2737" s="1" t="s">
        <v>2761</v>
      </c>
      <c r="B2737" s="2" t="s">
        <v>19</v>
      </c>
      <c r="C2737" s="2" t="s">
        <v>13</v>
      </c>
      <c r="D2737" s="2">
        <v>52</v>
      </c>
      <c r="E2737" s="2" t="s">
        <v>26</v>
      </c>
      <c r="F2737" s="2" t="s">
        <v>15</v>
      </c>
      <c r="G2737" s="7">
        <v>72.95</v>
      </c>
      <c r="H2737" s="7">
        <v>3829.75</v>
      </c>
      <c r="I2737" s="2" t="s">
        <v>15</v>
      </c>
      <c r="J2737" s="2" t="s">
        <v>16</v>
      </c>
      <c r="K2737" s="2" t="s">
        <v>24</v>
      </c>
      <c r="L2737" s="7">
        <v>3829.75</v>
      </c>
      <c r="M2737" s="2" t="str">
        <f>_xlfn.IFS(TelecomData[[#This Row],[TenureMonths]]&lt;=12, "0-1 Year", TelecomData[[#This Row],[TenureMonths]]&lt;=36, "1-3 Years", TelecomData[[#This Row],[TenureMonths]]&gt;36, "3+ Years")</f>
        <v>3+ Years</v>
      </c>
      <c r="N2737" s="2" t="str">
        <f>IF(TelecomData[[#This Row],[CleanedTotalCharges]]&gt;=2500,"High Spend", "Standard Spend")</f>
        <v>High Spend</v>
      </c>
    </row>
    <row r="2738" spans="1:14" x14ac:dyDescent="0.3">
      <c r="A2738" s="1" t="s">
        <v>2762</v>
      </c>
      <c r="B2738" s="2" t="s">
        <v>12</v>
      </c>
      <c r="C2738" s="2" t="s">
        <v>13</v>
      </c>
      <c r="D2738" s="2">
        <v>60</v>
      </c>
      <c r="E2738" s="2" t="s">
        <v>26</v>
      </c>
      <c r="F2738" s="2" t="s">
        <v>15</v>
      </c>
      <c r="G2738" s="7">
        <v>89.45</v>
      </c>
      <c r="H2738" s="7">
        <v>5294.6</v>
      </c>
      <c r="I2738" s="2" t="s">
        <v>15</v>
      </c>
      <c r="J2738" s="2" t="s">
        <v>15</v>
      </c>
      <c r="K2738" s="2" t="s">
        <v>17</v>
      </c>
      <c r="L2738" s="7">
        <v>5294.6</v>
      </c>
      <c r="M2738" s="2" t="str">
        <f>_xlfn.IFS(TelecomData[[#This Row],[TenureMonths]]&lt;=12, "0-1 Year", TelecomData[[#This Row],[TenureMonths]]&lt;=36, "1-3 Years", TelecomData[[#This Row],[TenureMonths]]&gt;36, "3+ Years")</f>
        <v>3+ Years</v>
      </c>
      <c r="N2738" s="2" t="str">
        <f>IF(TelecomData[[#This Row],[CleanedTotalCharges]]&gt;=2500,"High Spend", "Standard Spend")</f>
        <v>High Spend</v>
      </c>
    </row>
    <row r="2739" spans="1:14" x14ac:dyDescent="0.3">
      <c r="A2739" s="1" t="s">
        <v>2763</v>
      </c>
      <c r="B2739" s="2" t="s">
        <v>19</v>
      </c>
      <c r="C2739" s="2" t="s">
        <v>20</v>
      </c>
      <c r="D2739" s="2">
        <v>64</v>
      </c>
      <c r="E2739" s="2" t="s">
        <v>26</v>
      </c>
      <c r="F2739" s="2" t="s">
        <v>16</v>
      </c>
      <c r="G2739" s="7">
        <v>104.65</v>
      </c>
      <c r="H2739" s="7">
        <v>6889.8</v>
      </c>
      <c r="I2739" s="2" t="s">
        <v>15</v>
      </c>
      <c r="J2739" s="2" t="s">
        <v>16</v>
      </c>
      <c r="K2739" s="2" t="s">
        <v>29</v>
      </c>
      <c r="L2739" s="7">
        <v>6889.8</v>
      </c>
      <c r="M2739" s="2" t="str">
        <f>_xlfn.IFS(TelecomData[[#This Row],[TenureMonths]]&lt;=12, "0-1 Year", TelecomData[[#This Row],[TenureMonths]]&lt;=36, "1-3 Years", TelecomData[[#This Row],[TenureMonths]]&gt;36, "3+ Years")</f>
        <v>3+ Years</v>
      </c>
      <c r="N2739" s="2" t="str">
        <f>IF(TelecomData[[#This Row],[CleanedTotalCharges]]&gt;=2500,"High Spend", "Standard Spend")</f>
        <v>High Spend</v>
      </c>
    </row>
    <row r="2740" spans="1:14" x14ac:dyDescent="0.3">
      <c r="A2740" s="1" t="s">
        <v>2764</v>
      </c>
      <c r="B2740" s="2" t="s">
        <v>12</v>
      </c>
      <c r="C2740" s="2" t="s">
        <v>35</v>
      </c>
      <c r="D2740" s="2">
        <v>43</v>
      </c>
      <c r="E2740" s="2" t="s">
        <v>14</v>
      </c>
      <c r="F2740" s="2" t="s">
        <v>15</v>
      </c>
      <c r="G2740" s="7">
        <v>75.2</v>
      </c>
      <c r="H2740" s="7">
        <v>3254.35</v>
      </c>
      <c r="I2740" s="2" t="s">
        <v>15</v>
      </c>
      <c r="J2740" s="2" t="s">
        <v>15</v>
      </c>
      <c r="K2740" s="2" t="s">
        <v>24</v>
      </c>
      <c r="L2740" s="7">
        <v>3254.35</v>
      </c>
      <c r="M2740" s="2" t="str">
        <f>_xlfn.IFS(TelecomData[[#This Row],[TenureMonths]]&lt;=12, "0-1 Year", TelecomData[[#This Row],[TenureMonths]]&lt;=36, "1-3 Years", TelecomData[[#This Row],[TenureMonths]]&gt;36, "3+ Years")</f>
        <v>3+ Years</v>
      </c>
      <c r="N2740" s="2" t="str">
        <f>IF(TelecomData[[#This Row],[CleanedTotalCharges]]&gt;=2500,"High Spend", "Standard Spend")</f>
        <v>High Spend</v>
      </c>
    </row>
    <row r="2741" spans="1:14" x14ac:dyDescent="0.3">
      <c r="A2741" s="1" t="s">
        <v>2765</v>
      </c>
      <c r="B2741" s="2" t="s">
        <v>12</v>
      </c>
      <c r="C2741" s="2" t="s">
        <v>20</v>
      </c>
      <c r="D2741" s="2">
        <v>61</v>
      </c>
      <c r="E2741" s="2" t="s">
        <v>26</v>
      </c>
      <c r="F2741" s="2" t="s">
        <v>16</v>
      </c>
      <c r="G2741" s="7">
        <v>101.15</v>
      </c>
      <c r="H2741" s="7">
        <v>6383.9</v>
      </c>
      <c r="I2741" s="2" t="s">
        <v>15</v>
      </c>
      <c r="J2741" s="2" t="s">
        <v>15</v>
      </c>
      <c r="K2741" s="2" t="s">
        <v>24</v>
      </c>
      <c r="L2741" s="7">
        <v>6383.9</v>
      </c>
      <c r="M2741" s="2" t="str">
        <f>_xlfn.IFS(TelecomData[[#This Row],[TenureMonths]]&lt;=12, "0-1 Year", TelecomData[[#This Row],[TenureMonths]]&lt;=36, "1-3 Years", TelecomData[[#This Row],[TenureMonths]]&gt;36, "3+ Years")</f>
        <v>3+ Years</v>
      </c>
      <c r="N2741" s="2" t="str">
        <f>IF(TelecomData[[#This Row],[CleanedTotalCharges]]&gt;=2500,"High Spend", "Standard Spend")</f>
        <v>High Spend</v>
      </c>
    </row>
    <row r="2742" spans="1:14" x14ac:dyDescent="0.3">
      <c r="A2742" s="1" t="s">
        <v>2766</v>
      </c>
      <c r="B2742" s="2" t="s">
        <v>12</v>
      </c>
      <c r="C2742" s="2" t="s">
        <v>13</v>
      </c>
      <c r="D2742" s="2">
        <v>1</v>
      </c>
      <c r="E2742" s="2" t="s">
        <v>14</v>
      </c>
      <c r="F2742" s="2" t="s">
        <v>15</v>
      </c>
      <c r="G2742" s="7">
        <v>44.4</v>
      </c>
      <c r="H2742" s="7">
        <v>44.4</v>
      </c>
      <c r="I2742" s="2" t="s">
        <v>16</v>
      </c>
      <c r="J2742" s="2" t="s">
        <v>15</v>
      </c>
      <c r="K2742" s="2" t="s">
        <v>21</v>
      </c>
      <c r="L2742" s="7">
        <v>44.4</v>
      </c>
      <c r="M2742" s="2" t="str">
        <f>_xlfn.IFS(TelecomData[[#This Row],[TenureMonths]]&lt;=12, "0-1 Year", TelecomData[[#This Row],[TenureMonths]]&lt;=36, "1-3 Years", TelecomData[[#This Row],[TenureMonths]]&gt;36, "3+ Years")</f>
        <v>0-1 Year</v>
      </c>
      <c r="N2742" s="2" t="str">
        <f>IF(TelecomData[[#This Row],[CleanedTotalCharges]]&gt;=2500,"High Spend", "Standard Spend")</f>
        <v>Standard Spend</v>
      </c>
    </row>
    <row r="2743" spans="1:14" x14ac:dyDescent="0.3">
      <c r="A2743" s="1" t="s">
        <v>2767</v>
      </c>
      <c r="B2743" s="2" t="s">
        <v>19</v>
      </c>
      <c r="C2743" s="2" t="s">
        <v>13</v>
      </c>
      <c r="D2743" s="2">
        <v>5</v>
      </c>
      <c r="E2743" s="2" t="s">
        <v>26</v>
      </c>
      <c r="F2743" s="2" t="s">
        <v>15</v>
      </c>
      <c r="G2743" s="7">
        <v>89.5</v>
      </c>
      <c r="H2743" s="7">
        <v>477.7</v>
      </c>
      <c r="I2743" s="2" t="s">
        <v>16</v>
      </c>
      <c r="J2743" s="2" t="s">
        <v>16</v>
      </c>
      <c r="K2743" s="2" t="s">
        <v>17</v>
      </c>
      <c r="L2743" s="7">
        <v>477.7</v>
      </c>
      <c r="M2743" s="2" t="str">
        <f>_xlfn.IFS(TelecomData[[#This Row],[TenureMonths]]&lt;=12, "0-1 Year", TelecomData[[#This Row],[TenureMonths]]&lt;=36, "1-3 Years", TelecomData[[#This Row],[TenureMonths]]&gt;36, "3+ Years")</f>
        <v>0-1 Year</v>
      </c>
      <c r="N2743" s="2" t="str">
        <f>IF(TelecomData[[#This Row],[CleanedTotalCharges]]&gt;=2500,"High Spend", "Standard Spend")</f>
        <v>Standard Spend</v>
      </c>
    </row>
    <row r="2744" spans="1:14" x14ac:dyDescent="0.3">
      <c r="A2744" s="1" t="s">
        <v>2768</v>
      </c>
      <c r="B2744" s="2" t="s">
        <v>19</v>
      </c>
      <c r="C2744" s="2" t="s">
        <v>35</v>
      </c>
      <c r="D2744" s="2">
        <v>66</v>
      </c>
      <c r="E2744" s="2" t="s">
        <v>14</v>
      </c>
      <c r="F2744" s="2" t="s">
        <v>16</v>
      </c>
      <c r="G2744" s="7">
        <v>68.75</v>
      </c>
      <c r="H2744" s="7">
        <v>4447.55</v>
      </c>
      <c r="I2744" s="2" t="s">
        <v>15</v>
      </c>
      <c r="J2744" s="2" t="s">
        <v>15</v>
      </c>
      <c r="K2744" s="2" t="s">
        <v>24</v>
      </c>
      <c r="L2744" s="7">
        <v>4447.55</v>
      </c>
      <c r="M2744" s="2" t="str">
        <f>_xlfn.IFS(TelecomData[[#This Row],[TenureMonths]]&lt;=12, "0-1 Year", TelecomData[[#This Row],[TenureMonths]]&lt;=36, "1-3 Years", TelecomData[[#This Row],[TenureMonths]]&gt;36, "3+ Years")</f>
        <v>3+ Years</v>
      </c>
      <c r="N2744" s="2" t="str">
        <f>IF(TelecomData[[#This Row],[CleanedTotalCharges]]&gt;=2500,"High Spend", "Standard Spend")</f>
        <v>High Spend</v>
      </c>
    </row>
    <row r="2745" spans="1:14" x14ac:dyDescent="0.3">
      <c r="A2745" s="1" t="s">
        <v>2769</v>
      </c>
      <c r="B2745" s="2" t="s">
        <v>19</v>
      </c>
      <c r="C2745" s="2" t="s">
        <v>35</v>
      </c>
      <c r="D2745" s="2">
        <v>67</v>
      </c>
      <c r="E2745" s="2" t="s">
        <v>26</v>
      </c>
      <c r="F2745" s="2" t="s">
        <v>16</v>
      </c>
      <c r="G2745" s="7">
        <v>111.05</v>
      </c>
      <c r="H2745" s="7">
        <v>7321.05</v>
      </c>
      <c r="I2745" s="2" t="s">
        <v>15</v>
      </c>
      <c r="J2745" s="2" t="s">
        <v>16</v>
      </c>
      <c r="K2745" s="2" t="s">
        <v>17</v>
      </c>
      <c r="L2745" s="7">
        <v>7321.05</v>
      </c>
      <c r="M2745" s="2" t="str">
        <f>_xlfn.IFS(TelecomData[[#This Row],[TenureMonths]]&lt;=12, "0-1 Year", TelecomData[[#This Row],[TenureMonths]]&lt;=36, "1-3 Years", TelecomData[[#This Row],[TenureMonths]]&gt;36, "3+ Years")</f>
        <v>3+ Years</v>
      </c>
      <c r="N2745" s="2" t="str">
        <f>IF(TelecomData[[#This Row],[CleanedTotalCharges]]&gt;=2500,"High Spend", "Standard Spend")</f>
        <v>High Spend</v>
      </c>
    </row>
    <row r="2746" spans="1:14" x14ac:dyDescent="0.3">
      <c r="A2746" s="1" t="s">
        <v>2770</v>
      </c>
      <c r="B2746" s="2" t="s">
        <v>12</v>
      </c>
      <c r="C2746" s="2" t="s">
        <v>35</v>
      </c>
      <c r="D2746" s="2">
        <v>42</v>
      </c>
      <c r="E2746" s="2" t="s">
        <v>26</v>
      </c>
      <c r="F2746" s="2" t="s">
        <v>16</v>
      </c>
      <c r="G2746" s="7">
        <v>99</v>
      </c>
      <c r="H2746" s="7">
        <v>4135</v>
      </c>
      <c r="I2746" s="2" t="s">
        <v>15</v>
      </c>
      <c r="J2746" s="2" t="s">
        <v>16</v>
      </c>
      <c r="K2746" s="2" t="s">
        <v>29</v>
      </c>
      <c r="L2746" s="7">
        <v>4135</v>
      </c>
      <c r="M2746" s="2" t="str">
        <f>_xlfn.IFS(TelecomData[[#This Row],[TenureMonths]]&lt;=12, "0-1 Year", TelecomData[[#This Row],[TenureMonths]]&lt;=36, "1-3 Years", TelecomData[[#This Row],[TenureMonths]]&gt;36, "3+ Years")</f>
        <v>3+ Years</v>
      </c>
      <c r="N2746" s="2" t="str">
        <f>IF(TelecomData[[#This Row],[CleanedTotalCharges]]&gt;=2500,"High Spend", "Standard Spend")</f>
        <v>High Spend</v>
      </c>
    </row>
    <row r="2747" spans="1:14" x14ac:dyDescent="0.3">
      <c r="A2747" s="1" t="s">
        <v>2771</v>
      </c>
      <c r="B2747" s="2" t="s">
        <v>19</v>
      </c>
      <c r="C2747" s="2" t="s">
        <v>13</v>
      </c>
      <c r="D2747" s="2">
        <v>1</v>
      </c>
      <c r="E2747" s="2" t="s">
        <v>26</v>
      </c>
      <c r="F2747" s="2" t="s">
        <v>15</v>
      </c>
      <c r="G2747" s="7">
        <v>86.05</v>
      </c>
      <c r="H2747" s="7">
        <v>86.05</v>
      </c>
      <c r="I2747" s="2" t="s">
        <v>16</v>
      </c>
      <c r="J2747" s="2" t="s">
        <v>16</v>
      </c>
      <c r="K2747" s="2" t="s">
        <v>17</v>
      </c>
      <c r="L2747" s="7">
        <v>86.05</v>
      </c>
      <c r="M2747" s="2" t="str">
        <f>_xlfn.IFS(TelecomData[[#This Row],[TenureMonths]]&lt;=12, "0-1 Year", TelecomData[[#This Row],[TenureMonths]]&lt;=36, "1-3 Years", TelecomData[[#This Row],[TenureMonths]]&gt;36, "3+ Years")</f>
        <v>0-1 Year</v>
      </c>
      <c r="N2747" s="2" t="str">
        <f>IF(TelecomData[[#This Row],[CleanedTotalCharges]]&gt;=2500,"High Spend", "Standard Spend")</f>
        <v>Standard Spend</v>
      </c>
    </row>
    <row r="2748" spans="1:14" x14ac:dyDescent="0.3">
      <c r="A2748" s="1" t="s">
        <v>2772</v>
      </c>
      <c r="B2748" s="2" t="s">
        <v>12</v>
      </c>
      <c r="C2748" s="2" t="s">
        <v>35</v>
      </c>
      <c r="D2748" s="2">
        <v>31</v>
      </c>
      <c r="E2748" s="2" t="s">
        <v>15</v>
      </c>
      <c r="F2748" s="2" t="s">
        <v>36</v>
      </c>
      <c r="G2748" s="7">
        <v>21</v>
      </c>
      <c r="H2748" s="7">
        <v>697.7</v>
      </c>
      <c r="I2748" s="2" t="s">
        <v>15</v>
      </c>
      <c r="J2748" s="2" t="s">
        <v>15</v>
      </c>
      <c r="K2748" s="2" t="s">
        <v>21</v>
      </c>
      <c r="L2748" s="7">
        <v>697.7</v>
      </c>
      <c r="M2748" s="2" t="str">
        <f>_xlfn.IFS(TelecomData[[#This Row],[TenureMonths]]&lt;=12, "0-1 Year", TelecomData[[#This Row],[TenureMonths]]&lt;=36, "1-3 Years", TelecomData[[#This Row],[TenureMonths]]&gt;36, "3+ Years")</f>
        <v>1-3 Years</v>
      </c>
      <c r="N2748" s="2" t="str">
        <f>IF(TelecomData[[#This Row],[CleanedTotalCharges]]&gt;=2500,"High Spend", "Standard Spend")</f>
        <v>Standard Spend</v>
      </c>
    </row>
    <row r="2749" spans="1:14" x14ac:dyDescent="0.3">
      <c r="A2749" s="1" t="s">
        <v>2773</v>
      </c>
      <c r="B2749" s="2" t="s">
        <v>19</v>
      </c>
      <c r="C2749" s="2" t="s">
        <v>13</v>
      </c>
      <c r="D2749" s="2">
        <v>7</v>
      </c>
      <c r="E2749" s="2" t="s">
        <v>15</v>
      </c>
      <c r="F2749" s="2" t="s">
        <v>36</v>
      </c>
      <c r="G2749" s="7">
        <v>19.399999999999999</v>
      </c>
      <c r="H2749" s="7">
        <v>168.65</v>
      </c>
      <c r="I2749" s="2" t="s">
        <v>15</v>
      </c>
      <c r="J2749" s="2" t="s">
        <v>16</v>
      </c>
      <c r="K2749" s="2" t="s">
        <v>21</v>
      </c>
      <c r="L2749" s="7">
        <v>168.65</v>
      </c>
      <c r="M2749" s="2" t="str">
        <f>_xlfn.IFS(TelecomData[[#This Row],[TenureMonths]]&lt;=12, "0-1 Year", TelecomData[[#This Row],[TenureMonths]]&lt;=36, "1-3 Years", TelecomData[[#This Row],[TenureMonths]]&gt;36, "3+ Years")</f>
        <v>0-1 Year</v>
      </c>
      <c r="N2749" s="2" t="str">
        <f>IF(TelecomData[[#This Row],[CleanedTotalCharges]]&gt;=2500,"High Spend", "Standard Spend")</f>
        <v>Standard Spend</v>
      </c>
    </row>
    <row r="2750" spans="1:14" x14ac:dyDescent="0.3">
      <c r="A2750" s="1" t="s">
        <v>2774</v>
      </c>
      <c r="B2750" s="2" t="s">
        <v>19</v>
      </c>
      <c r="C2750" s="2" t="s">
        <v>13</v>
      </c>
      <c r="D2750" s="2">
        <v>4</v>
      </c>
      <c r="E2750" s="2" t="s">
        <v>14</v>
      </c>
      <c r="F2750" s="2" t="s">
        <v>15</v>
      </c>
      <c r="G2750" s="7">
        <v>44.55</v>
      </c>
      <c r="H2750" s="7">
        <v>174.3</v>
      </c>
      <c r="I2750" s="2" t="s">
        <v>16</v>
      </c>
      <c r="J2750" s="2" t="s">
        <v>16</v>
      </c>
      <c r="K2750" s="2" t="s">
        <v>17</v>
      </c>
      <c r="L2750" s="7">
        <v>174.3</v>
      </c>
      <c r="M2750" s="2" t="str">
        <f>_xlfn.IFS(TelecomData[[#This Row],[TenureMonths]]&lt;=12, "0-1 Year", TelecomData[[#This Row],[TenureMonths]]&lt;=36, "1-3 Years", TelecomData[[#This Row],[TenureMonths]]&gt;36, "3+ Years")</f>
        <v>0-1 Year</v>
      </c>
      <c r="N2750" s="2" t="str">
        <f>IF(TelecomData[[#This Row],[CleanedTotalCharges]]&gt;=2500,"High Spend", "Standard Spend")</f>
        <v>Standard Spend</v>
      </c>
    </row>
    <row r="2751" spans="1:14" x14ac:dyDescent="0.3">
      <c r="A2751" s="1" t="s">
        <v>2775</v>
      </c>
      <c r="B2751" s="2" t="s">
        <v>19</v>
      </c>
      <c r="C2751" s="2" t="s">
        <v>20</v>
      </c>
      <c r="D2751" s="2">
        <v>34</v>
      </c>
      <c r="E2751" s="2" t="s">
        <v>14</v>
      </c>
      <c r="F2751" s="2" t="s">
        <v>15</v>
      </c>
      <c r="G2751" s="7">
        <v>77.2</v>
      </c>
      <c r="H2751" s="7">
        <v>2753.8</v>
      </c>
      <c r="I2751" s="2" t="s">
        <v>15</v>
      </c>
      <c r="J2751" s="2" t="s">
        <v>15</v>
      </c>
      <c r="K2751" s="2" t="s">
        <v>24</v>
      </c>
      <c r="L2751" s="7">
        <v>2753.8</v>
      </c>
      <c r="M2751" s="2" t="str">
        <f>_xlfn.IFS(TelecomData[[#This Row],[TenureMonths]]&lt;=12, "0-1 Year", TelecomData[[#This Row],[TenureMonths]]&lt;=36, "1-3 Years", TelecomData[[#This Row],[TenureMonths]]&gt;36, "3+ Years")</f>
        <v>1-3 Years</v>
      </c>
      <c r="N2751" s="2" t="str">
        <f>IF(TelecomData[[#This Row],[CleanedTotalCharges]]&gt;=2500,"High Spend", "Standard Spend")</f>
        <v>High Spend</v>
      </c>
    </row>
    <row r="2752" spans="1:14" x14ac:dyDescent="0.3">
      <c r="A2752" s="1" t="s">
        <v>2776</v>
      </c>
      <c r="B2752" s="2" t="s">
        <v>19</v>
      </c>
      <c r="C2752" s="2" t="s">
        <v>20</v>
      </c>
      <c r="D2752" s="2">
        <v>3</v>
      </c>
      <c r="E2752" s="2" t="s">
        <v>15</v>
      </c>
      <c r="F2752" s="2" t="s">
        <v>36</v>
      </c>
      <c r="G2752" s="7">
        <v>19.45</v>
      </c>
      <c r="H2752" s="7">
        <v>69.25</v>
      </c>
      <c r="I2752" s="2" t="s">
        <v>15</v>
      </c>
      <c r="J2752" s="2" t="s">
        <v>16</v>
      </c>
      <c r="K2752" s="2" t="s">
        <v>21</v>
      </c>
      <c r="L2752" s="7">
        <v>69.25</v>
      </c>
      <c r="M2752" s="2" t="str">
        <f>_xlfn.IFS(TelecomData[[#This Row],[TenureMonths]]&lt;=12, "0-1 Year", TelecomData[[#This Row],[TenureMonths]]&lt;=36, "1-3 Years", TelecomData[[#This Row],[TenureMonths]]&gt;36, "3+ Years")</f>
        <v>0-1 Year</v>
      </c>
      <c r="N2752" s="2" t="str">
        <f>IF(TelecomData[[#This Row],[CleanedTotalCharges]]&gt;=2500,"High Spend", "Standard Spend")</f>
        <v>Standard Spend</v>
      </c>
    </row>
    <row r="2753" spans="1:14" x14ac:dyDescent="0.3">
      <c r="A2753" s="1" t="s">
        <v>2777</v>
      </c>
      <c r="B2753" s="2" t="s">
        <v>12</v>
      </c>
      <c r="C2753" s="2" t="s">
        <v>13</v>
      </c>
      <c r="D2753" s="2">
        <v>19</v>
      </c>
      <c r="E2753" s="2" t="s">
        <v>14</v>
      </c>
      <c r="F2753" s="2" t="s">
        <v>15</v>
      </c>
      <c r="G2753" s="7">
        <v>24.85</v>
      </c>
      <c r="H2753" s="7">
        <v>434.8</v>
      </c>
      <c r="I2753" s="2" t="s">
        <v>15</v>
      </c>
      <c r="J2753" s="2" t="s">
        <v>16</v>
      </c>
      <c r="K2753" s="2" t="s">
        <v>21</v>
      </c>
      <c r="L2753" s="7">
        <v>434.8</v>
      </c>
      <c r="M2753" s="2" t="str">
        <f>_xlfn.IFS(TelecomData[[#This Row],[TenureMonths]]&lt;=12, "0-1 Year", TelecomData[[#This Row],[TenureMonths]]&lt;=36, "1-3 Years", TelecomData[[#This Row],[TenureMonths]]&gt;36, "3+ Years")</f>
        <v>1-3 Years</v>
      </c>
      <c r="N2753" s="2" t="str">
        <f>IF(TelecomData[[#This Row],[CleanedTotalCharges]]&gt;=2500,"High Spend", "Standard Spend")</f>
        <v>Standard Spend</v>
      </c>
    </row>
    <row r="2754" spans="1:14" x14ac:dyDescent="0.3">
      <c r="A2754" s="1" t="s">
        <v>2778</v>
      </c>
      <c r="B2754" s="2" t="s">
        <v>19</v>
      </c>
      <c r="C2754" s="2" t="s">
        <v>13</v>
      </c>
      <c r="D2754" s="2">
        <v>31</v>
      </c>
      <c r="E2754" s="2" t="s">
        <v>14</v>
      </c>
      <c r="F2754" s="2" t="s">
        <v>16</v>
      </c>
      <c r="G2754" s="7">
        <v>35.4</v>
      </c>
      <c r="H2754" s="7">
        <v>1077.5</v>
      </c>
      <c r="I2754" s="2" t="s">
        <v>16</v>
      </c>
      <c r="J2754" s="2" t="s">
        <v>15</v>
      </c>
      <c r="K2754" s="2" t="s">
        <v>24</v>
      </c>
      <c r="L2754" s="7">
        <v>1077.5</v>
      </c>
      <c r="M2754" s="2" t="str">
        <f>_xlfn.IFS(TelecomData[[#This Row],[TenureMonths]]&lt;=12, "0-1 Year", TelecomData[[#This Row],[TenureMonths]]&lt;=36, "1-3 Years", TelecomData[[#This Row],[TenureMonths]]&gt;36, "3+ Years")</f>
        <v>1-3 Years</v>
      </c>
      <c r="N2754" s="2" t="str">
        <f>IF(TelecomData[[#This Row],[CleanedTotalCharges]]&gt;=2500,"High Spend", "Standard Spend")</f>
        <v>Standard Spend</v>
      </c>
    </row>
    <row r="2755" spans="1:14" x14ac:dyDescent="0.3">
      <c r="A2755" s="1" t="s">
        <v>2779</v>
      </c>
      <c r="B2755" s="2" t="s">
        <v>12</v>
      </c>
      <c r="C2755" s="2" t="s">
        <v>13</v>
      </c>
      <c r="D2755" s="2">
        <v>1</v>
      </c>
      <c r="E2755" s="2" t="s">
        <v>26</v>
      </c>
      <c r="F2755" s="2" t="s">
        <v>15</v>
      </c>
      <c r="G2755" s="7">
        <v>95.65</v>
      </c>
      <c r="H2755" s="7">
        <v>95.65</v>
      </c>
      <c r="I2755" s="2" t="s">
        <v>16</v>
      </c>
      <c r="J2755" s="2" t="s">
        <v>15</v>
      </c>
      <c r="K2755" s="2" t="s">
        <v>21</v>
      </c>
      <c r="L2755" s="7">
        <v>95.65</v>
      </c>
      <c r="M2755" s="2" t="str">
        <f>_xlfn.IFS(TelecomData[[#This Row],[TenureMonths]]&lt;=12, "0-1 Year", TelecomData[[#This Row],[TenureMonths]]&lt;=36, "1-3 Years", TelecomData[[#This Row],[TenureMonths]]&gt;36, "3+ Years")</f>
        <v>0-1 Year</v>
      </c>
      <c r="N2755" s="2" t="str">
        <f>IF(TelecomData[[#This Row],[CleanedTotalCharges]]&gt;=2500,"High Spend", "Standard Spend")</f>
        <v>Standard Spend</v>
      </c>
    </row>
    <row r="2756" spans="1:14" x14ac:dyDescent="0.3">
      <c r="A2756" s="1" t="s">
        <v>2780</v>
      </c>
      <c r="B2756" s="2" t="s">
        <v>19</v>
      </c>
      <c r="C2756" s="2" t="s">
        <v>13</v>
      </c>
      <c r="D2756" s="2">
        <v>3</v>
      </c>
      <c r="E2756" s="2" t="s">
        <v>14</v>
      </c>
      <c r="F2756" s="2" t="s">
        <v>16</v>
      </c>
      <c r="G2756" s="7">
        <v>41.35</v>
      </c>
      <c r="H2756" s="7">
        <v>107.25</v>
      </c>
      <c r="I2756" s="2" t="s">
        <v>15</v>
      </c>
      <c r="J2756" s="2" t="s">
        <v>15</v>
      </c>
      <c r="K2756" s="2" t="s">
        <v>21</v>
      </c>
      <c r="L2756" s="7">
        <v>107.25</v>
      </c>
      <c r="M2756" s="2" t="str">
        <f>_xlfn.IFS(TelecomData[[#This Row],[TenureMonths]]&lt;=12, "0-1 Year", TelecomData[[#This Row],[TenureMonths]]&lt;=36, "1-3 Years", TelecomData[[#This Row],[TenureMonths]]&gt;36, "3+ Years")</f>
        <v>0-1 Year</v>
      </c>
      <c r="N2756" s="2" t="str">
        <f>IF(TelecomData[[#This Row],[CleanedTotalCharges]]&gt;=2500,"High Spend", "Standard Spend")</f>
        <v>Standard Spend</v>
      </c>
    </row>
    <row r="2757" spans="1:14" x14ac:dyDescent="0.3">
      <c r="A2757" s="1" t="s">
        <v>2781</v>
      </c>
      <c r="B2757" s="2" t="s">
        <v>19</v>
      </c>
      <c r="C2757" s="2" t="s">
        <v>13</v>
      </c>
      <c r="D2757" s="2">
        <v>46</v>
      </c>
      <c r="E2757" s="2" t="s">
        <v>15</v>
      </c>
      <c r="F2757" s="2" t="s">
        <v>36</v>
      </c>
      <c r="G2757" s="7">
        <v>19.600000000000001</v>
      </c>
      <c r="H2757" s="7">
        <v>851.2</v>
      </c>
      <c r="I2757" s="2" t="s">
        <v>15</v>
      </c>
      <c r="J2757" s="2" t="s">
        <v>15</v>
      </c>
      <c r="K2757" s="2" t="s">
        <v>17</v>
      </c>
      <c r="L2757" s="7">
        <v>851.2</v>
      </c>
      <c r="M2757" s="2" t="str">
        <f>_xlfn.IFS(TelecomData[[#This Row],[TenureMonths]]&lt;=12, "0-1 Year", TelecomData[[#This Row],[TenureMonths]]&lt;=36, "1-3 Years", TelecomData[[#This Row],[TenureMonths]]&gt;36, "3+ Years")</f>
        <v>3+ Years</v>
      </c>
      <c r="N2757" s="2" t="str">
        <f>IF(TelecomData[[#This Row],[CleanedTotalCharges]]&gt;=2500,"High Spend", "Standard Spend")</f>
        <v>Standard Spend</v>
      </c>
    </row>
    <row r="2758" spans="1:14" x14ac:dyDescent="0.3">
      <c r="A2758" s="1" t="s">
        <v>2782</v>
      </c>
      <c r="B2758" s="2" t="s">
        <v>12</v>
      </c>
      <c r="C2758" s="2" t="s">
        <v>13</v>
      </c>
      <c r="D2758" s="2">
        <v>1</v>
      </c>
      <c r="E2758" s="2" t="s">
        <v>15</v>
      </c>
      <c r="F2758" s="2" t="s">
        <v>36</v>
      </c>
      <c r="G2758" s="7">
        <v>20.95</v>
      </c>
      <c r="H2758" s="7">
        <v>20.95</v>
      </c>
      <c r="I2758" s="2" t="s">
        <v>16</v>
      </c>
      <c r="J2758" s="2" t="s">
        <v>15</v>
      </c>
      <c r="K2758" s="2" t="s">
        <v>21</v>
      </c>
      <c r="L2758" s="7">
        <v>20.95</v>
      </c>
      <c r="M2758" s="2" t="str">
        <f>_xlfn.IFS(TelecomData[[#This Row],[TenureMonths]]&lt;=12, "0-1 Year", TelecomData[[#This Row],[TenureMonths]]&lt;=36, "1-3 Years", TelecomData[[#This Row],[TenureMonths]]&gt;36, "3+ Years")</f>
        <v>0-1 Year</v>
      </c>
      <c r="N2758" s="2" t="str">
        <f>IF(TelecomData[[#This Row],[CleanedTotalCharges]]&gt;=2500,"High Spend", "Standard Spend")</f>
        <v>Standard Spend</v>
      </c>
    </row>
    <row r="2759" spans="1:14" x14ac:dyDescent="0.3">
      <c r="A2759" s="1" t="s">
        <v>2783</v>
      </c>
      <c r="B2759" s="2" t="s">
        <v>12</v>
      </c>
      <c r="C2759" s="2" t="s">
        <v>20</v>
      </c>
      <c r="D2759" s="2">
        <v>69</v>
      </c>
      <c r="E2759" s="2" t="s">
        <v>26</v>
      </c>
      <c r="F2759" s="2" t="s">
        <v>15</v>
      </c>
      <c r="G2759" s="7">
        <v>84.45</v>
      </c>
      <c r="H2759" s="7">
        <v>5848.6</v>
      </c>
      <c r="I2759" s="2" t="s">
        <v>15</v>
      </c>
      <c r="J2759" s="2" t="s">
        <v>15</v>
      </c>
      <c r="K2759" s="2" t="s">
        <v>24</v>
      </c>
      <c r="L2759" s="7">
        <v>5848.6</v>
      </c>
      <c r="M2759" s="2" t="str">
        <f>_xlfn.IFS(TelecomData[[#This Row],[TenureMonths]]&lt;=12, "0-1 Year", TelecomData[[#This Row],[TenureMonths]]&lt;=36, "1-3 Years", TelecomData[[#This Row],[TenureMonths]]&gt;36, "3+ Years")</f>
        <v>3+ Years</v>
      </c>
      <c r="N2759" s="2" t="str">
        <f>IF(TelecomData[[#This Row],[CleanedTotalCharges]]&gt;=2500,"High Spend", "Standard Spend")</f>
        <v>High Spend</v>
      </c>
    </row>
    <row r="2760" spans="1:14" x14ac:dyDescent="0.3">
      <c r="A2760" s="1" t="s">
        <v>2784</v>
      </c>
      <c r="B2760" s="2" t="s">
        <v>19</v>
      </c>
      <c r="C2760" s="2" t="s">
        <v>13</v>
      </c>
      <c r="D2760" s="2">
        <v>5</v>
      </c>
      <c r="E2760" s="2" t="s">
        <v>15</v>
      </c>
      <c r="F2760" s="2" t="s">
        <v>36</v>
      </c>
      <c r="G2760" s="7">
        <v>20.25</v>
      </c>
      <c r="H2760" s="7">
        <v>109.8</v>
      </c>
      <c r="I2760" s="2" t="s">
        <v>15</v>
      </c>
      <c r="J2760" s="2" t="s">
        <v>15</v>
      </c>
      <c r="K2760" s="2" t="s">
        <v>21</v>
      </c>
      <c r="L2760" s="7">
        <v>109.8</v>
      </c>
      <c r="M2760" s="2" t="str">
        <f>_xlfn.IFS(TelecomData[[#This Row],[TenureMonths]]&lt;=12, "0-1 Year", TelecomData[[#This Row],[TenureMonths]]&lt;=36, "1-3 Years", TelecomData[[#This Row],[TenureMonths]]&gt;36, "3+ Years")</f>
        <v>0-1 Year</v>
      </c>
      <c r="N2760" s="2" t="str">
        <f>IF(TelecomData[[#This Row],[CleanedTotalCharges]]&gt;=2500,"High Spend", "Standard Spend")</f>
        <v>Standard Spend</v>
      </c>
    </row>
    <row r="2761" spans="1:14" x14ac:dyDescent="0.3">
      <c r="A2761" s="1" t="s">
        <v>2785</v>
      </c>
      <c r="B2761" s="2" t="s">
        <v>19</v>
      </c>
      <c r="C2761" s="2" t="s">
        <v>13</v>
      </c>
      <c r="D2761" s="2">
        <v>1</v>
      </c>
      <c r="E2761" s="2" t="s">
        <v>15</v>
      </c>
      <c r="F2761" s="2" t="s">
        <v>36</v>
      </c>
      <c r="G2761" s="7">
        <v>19.649999999999999</v>
      </c>
      <c r="H2761" s="7">
        <v>19.649999999999999</v>
      </c>
      <c r="I2761" s="2" t="s">
        <v>15</v>
      </c>
      <c r="J2761" s="2" t="s">
        <v>15</v>
      </c>
      <c r="K2761" s="2" t="s">
        <v>24</v>
      </c>
      <c r="L2761" s="7">
        <v>19.649999999999999</v>
      </c>
      <c r="M2761" s="2" t="str">
        <f>_xlfn.IFS(TelecomData[[#This Row],[TenureMonths]]&lt;=12, "0-1 Year", TelecomData[[#This Row],[TenureMonths]]&lt;=36, "1-3 Years", TelecomData[[#This Row],[TenureMonths]]&gt;36, "3+ Years")</f>
        <v>0-1 Year</v>
      </c>
      <c r="N2761" s="2" t="str">
        <f>IF(TelecomData[[#This Row],[CleanedTotalCharges]]&gt;=2500,"High Spend", "Standard Spend")</f>
        <v>Standard Spend</v>
      </c>
    </row>
    <row r="2762" spans="1:14" x14ac:dyDescent="0.3">
      <c r="A2762" s="1" t="s">
        <v>2786</v>
      </c>
      <c r="B2762" s="2" t="s">
        <v>19</v>
      </c>
      <c r="C2762" s="2" t="s">
        <v>20</v>
      </c>
      <c r="D2762" s="2">
        <v>26</v>
      </c>
      <c r="E2762" s="2" t="s">
        <v>15</v>
      </c>
      <c r="F2762" s="2" t="s">
        <v>36</v>
      </c>
      <c r="G2762" s="7">
        <v>20.65</v>
      </c>
      <c r="H2762" s="7">
        <v>595.5</v>
      </c>
      <c r="I2762" s="2" t="s">
        <v>15</v>
      </c>
      <c r="J2762" s="2" t="s">
        <v>16</v>
      </c>
      <c r="K2762" s="2" t="s">
        <v>29</v>
      </c>
      <c r="L2762" s="7">
        <v>595.5</v>
      </c>
      <c r="M2762" s="2" t="str">
        <f>_xlfn.IFS(TelecomData[[#This Row],[TenureMonths]]&lt;=12, "0-1 Year", TelecomData[[#This Row],[TenureMonths]]&lt;=36, "1-3 Years", TelecomData[[#This Row],[TenureMonths]]&gt;36, "3+ Years")</f>
        <v>1-3 Years</v>
      </c>
      <c r="N2762" s="2" t="str">
        <f>IF(TelecomData[[#This Row],[CleanedTotalCharges]]&gt;=2500,"High Spend", "Standard Spend")</f>
        <v>Standard Spend</v>
      </c>
    </row>
    <row r="2763" spans="1:14" x14ac:dyDescent="0.3">
      <c r="A2763" s="1" t="s">
        <v>2787</v>
      </c>
      <c r="B2763" s="2" t="s">
        <v>12</v>
      </c>
      <c r="C2763" s="2" t="s">
        <v>13</v>
      </c>
      <c r="D2763" s="2">
        <v>10</v>
      </c>
      <c r="E2763" s="2" t="s">
        <v>14</v>
      </c>
      <c r="F2763" s="2" t="s">
        <v>15</v>
      </c>
      <c r="G2763" s="7">
        <v>34.700000000000003</v>
      </c>
      <c r="H2763" s="7">
        <v>329.8</v>
      </c>
      <c r="I2763" s="2" t="s">
        <v>16</v>
      </c>
      <c r="J2763" s="2" t="s">
        <v>16</v>
      </c>
      <c r="K2763" s="2" t="s">
        <v>17</v>
      </c>
      <c r="L2763" s="7">
        <v>329.8</v>
      </c>
      <c r="M2763" s="2" t="str">
        <f>_xlfn.IFS(TelecomData[[#This Row],[TenureMonths]]&lt;=12, "0-1 Year", TelecomData[[#This Row],[TenureMonths]]&lt;=36, "1-3 Years", TelecomData[[#This Row],[TenureMonths]]&gt;36, "3+ Years")</f>
        <v>0-1 Year</v>
      </c>
      <c r="N2763" s="2" t="str">
        <f>IF(TelecomData[[#This Row],[CleanedTotalCharges]]&gt;=2500,"High Spend", "Standard Spend")</f>
        <v>Standard Spend</v>
      </c>
    </row>
    <row r="2764" spans="1:14" x14ac:dyDescent="0.3">
      <c r="A2764" s="1" t="s">
        <v>2788</v>
      </c>
      <c r="B2764" s="2" t="s">
        <v>19</v>
      </c>
      <c r="C2764" s="2" t="s">
        <v>35</v>
      </c>
      <c r="D2764" s="2">
        <v>25</v>
      </c>
      <c r="E2764" s="2" t="s">
        <v>26</v>
      </c>
      <c r="F2764" s="2" t="s">
        <v>16</v>
      </c>
      <c r="G2764" s="7">
        <v>99.3</v>
      </c>
      <c r="H2764" s="7">
        <v>2513.5</v>
      </c>
      <c r="I2764" s="2" t="s">
        <v>15</v>
      </c>
      <c r="J2764" s="2" t="s">
        <v>15</v>
      </c>
      <c r="K2764" s="2" t="s">
        <v>24</v>
      </c>
      <c r="L2764" s="7">
        <v>2513.5</v>
      </c>
      <c r="M2764" s="2" t="str">
        <f>_xlfn.IFS(TelecomData[[#This Row],[TenureMonths]]&lt;=12, "0-1 Year", TelecomData[[#This Row],[TenureMonths]]&lt;=36, "1-3 Years", TelecomData[[#This Row],[TenureMonths]]&gt;36, "3+ Years")</f>
        <v>1-3 Years</v>
      </c>
      <c r="N2764" s="2" t="str">
        <f>IF(TelecomData[[#This Row],[CleanedTotalCharges]]&gt;=2500,"High Spend", "Standard Spend")</f>
        <v>High Spend</v>
      </c>
    </row>
    <row r="2765" spans="1:14" x14ac:dyDescent="0.3">
      <c r="A2765" s="1" t="s">
        <v>2789</v>
      </c>
      <c r="B2765" s="2" t="s">
        <v>19</v>
      </c>
      <c r="C2765" s="2" t="s">
        <v>13</v>
      </c>
      <c r="D2765" s="2">
        <v>64</v>
      </c>
      <c r="E2765" s="2" t="s">
        <v>26</v>
      </c>
      <c r="F2765" s="2" t="s">
        <v>15</v>
      </c>
      <c r="G2765" s="7">
        <v>81.05</v>
      </c>
      <c r="H2765" s="7">
        <v>5135.3500000000004</v>
      </c>
      <c r="I2765" s="2" t="s">
        <v>15</v>
      </c>
      <c r="J2765" s="2" t="s">
        <v>15</v>
      </c>
      <c r="K2765" s="2" t="s">
        <v>17</v>
      </c>
      <c r="L2765" s="7">
        <v>5135.3500000000004</v>
      </c>
      <c r="M2765" s="2" t="str">
        <f>_xlfn.IFS(TelecomData[[#This Row],[TenureMonths]]&lt;=12, "0-1 Year", TelecomData[[#This Row],[TenureMonths]]&lt;=36, "1-3 Years", TelecomData[[#This Row],[TenureMonths]]&gt;36, "3+ Years")</f>
        <v>3+ Years</v>
      </c>
      <c r="N2765" s="2" t="str">
        <f>IF(TelecomData[[#This Row],[CleanedTotalCharges]]&gt;=2500,"High Spend", "Standard Spend")</f>
        <v>High Spend</v>
      </c>
    </row>
    <row r="2766" spans="1:14" x14ac:dyDescent="0.3">
      <c r="A2766" s="1" t="s">
        <v>2790</v>
      </c>
      <c r="B2766" s="2" t="s">
        <v>19</v>
      </c>
      <c r="C2766" s="2" t="s">
        <v>13</v>
      </c>
      <c r="D2766" s="2">
        <v>30</v>
      </c>
      <c r="E2766" s="2" t="s">
        <v>14</v>
      </c>
      <c r="F2766" s="2" t="s">
        <v>16</v>
      </c>
      <c r="G2766" s="7">
        <v>67.599999999999994</v>
      </c>
      <c r="H2766" s="7">
        <v>2000.2</v>
      </c>
      <c r="I2766" s="2" t="s">
        <v>15</v>
      </c>
      <c r="J2766" s="2" t="s">
        <v>15</v>
      </c>
      <c r="K2766" s="2" t="s">
        <v>17</v>
      </c>
      <c r="L2766" s="7">
        <v>2000.2</v>
      </c>
      <c r="M2766" s="2" t="str">
        <f>_xlfn.IFS(TelecomData[[#This Row],[TenureMonths]]&lt;=12, "0-1 Year", TelecomData[[#This Row],[TenureMonths]]&lt;=36, "1-3 Years", TelecomData[[#This Row],[TenureMonths]]&gt;36, "3+ Years")</f>
        <v>1-3 Years</v>
      </c>
      <c r="N2766" s="2" t="str">
        <f>IF(TelecomData[[#This Row],[CleanedTotalCharges]]&gt;=2500,"High Spend", "Standard Spend")</f>
        <v>Standard Spend</v>
      </c>
    </row>
    <row r="2767" spans="1:14" x14ac:dyDescent="0.3">
      <c r="A2767" s="1" t="s">
        <v>2791</v>
      </c>
      <c r="B2767" s="2" t="s">
        <v>19</v>
      </c>
      <c r="C2767" s="2" t="s">
        <v>13</v>
      </c>
      <c r="D2767" s="2">
        <v>13</v>
      </c>
      <c r="E2767" s="2" t="s">
        <v>26</v>
      </c>
      <c r="F2767" s="2" t="s">
        <v>15</v>
      </c>
      <c r="G2767" s="7">
        <v>70.150000000000006</v>
      </c>
      <c r="H2767" s="7">
        <v>931.75</v>
      </c>
      <c r="I2767" s="2" t="s">
        <v>15</v>
      </c>
      <c r="J2767" s="2" t="s">
        <v>16</v>
      </c>
      <c r="K2767" s="2" t="s">
        <v>17</v>
      </c>
      <c r="L2767" s="7">
        <v>931.75</v>
      </c>
      <c r="M2767" s="2" t="str">
        <f>_xlfn.IFS(TelecomData[[#This Row],[TenureMonths]]&lt;=12, "0-1 Year", TelecomData[[#This Row],[TenureMonths]]&lt;=36, "1-3 Years", TelecomData[[#This Row],[TenureMonths]]&gt;36, "3+ Years")</f>
        <v>1-3 Years</v>
      </c>
      <c r="N2767" s="2" t="str">
        <f>IF(TelecomData[[#This Row],[CleanedTotalCharges]]&gt;=2500,"High Spend", "Standard Spend")</f>
        <v>Standard Spend</v>
      </c>
    </row>
    <row r="2768" spans="1:14" x14ac:dyDescent="0.3">
      <c r="A2768" s="1" t="s">
        <v>2792</v>
      </c>
      <c r="B2768" s="2" t="s">
        <v>12</v>
      </c>
      <c r="C2768" s="2" t="s">
        <v>20</v>
      </c>
      <c r="D2768" s="2">
        <v>64</v>
      </c>
      <c r="E2768" s="2" t="s">
        <v>26</v>
      </c>
      <c r="F2768" s="2" t="s">
        <v>16</v>
      </c>
      <c r="G2768" s="7">
        <v>115</v>
      </c>
      <c r="H2768" s="7">
        <v>7396.15</v>
      </c>
      <c r="I2768" s="2" t="s">
        <v>15</v>
      </c>
      <c r="J2768" s="2" t="s">
        <v>16</v>
      </c>
      <c r="K2768" s="2" t="s">
        <v>17</v>
      </c>
      <c r="L2768" s="7">
        <v>7396.15</v>
      </c>
      <c r="M2768" s="2" t="str">
        <f>_xlfn.IFS(TelecomData[[#This Row],[TenureMonths]]&lt;=12, "0-1 Year", TelecomData[[#This Row],[TenureMonths]]&lt;=36, "1-3 Years", TelecomData[[#This Row],[TenureMonths]]&gt;36, "3+ Years")</f>
        <v>3+ Years</v>
      </c>
      <c r="N2768" s="2" t="str">
        <f>IF(TelecomData[[#This Row],[CleanedTotalCharges]]&gt;=2500,"High Spend", "Standard Spend")</f>
        <v>High Spend</v>
      </c>
    </row>
    <row r="2769" spans="1:14" x14ac:dyDescent="0.3">
      <c r="A2769" s="1" t="s">
        <v>2793</v>
      </c>
      <c r="B2769" s="2" t="s">
        <v>12</v>
      </c>
      <c r="C2769" s="2" t="s">
        <v>13</v>
      </c>
      <c r="D2769" s="2">
        <v>46</v>
      </c>
      <c r="E2769" s="2" t="s">
        <v>26</v>
      </c>
      <c r="F2769" s="2" t="s">
        <v>16</v>
      </c>
      <c r="G2769" s="7">
        <v>84.8</v>
      </c>
      <c r="H2769" s="7">
        <v>3958.85</v>
      </c>
      <c r="I2769" s="2" t="s">
        <v>15</v>
      </c>
      <c r="J2769" s="2" t="s">
        <v>16</v>
      </c>
      <c r="K2769" s="2" t="s">
        <v>24</v>
      </c>
      <c r="L2769" s="7">
        <v>3958.85</v>
      </c>
      <c r="M2769" s="2" t="str">
        <f>_xlfn.IFS(TelecomData[[#This Row],[TenureMonths]]&lt;=12, "0-1 Year", TelecomData[[#This Row],[TenureMonths]]&lt;=36, "1-3 Years", TelecomData[[#This Row],[TenureMonths]]&gt;36, "3+ Years")</f>
        <v>3+ Years</v>
      </c>
      <c r="N2769" s="2" t="str">
        <f>IF(TelecomData[[#This Row],[CleanedTotalCharges]]&gt;=2500,"High Spend", "Standard Spend")</f>
        <v>High Spend</v>
      </c>
    </row>
    <row r="2770" spans="1:14" x14ac:dyDescent="0.3">
      <c r="A2770" s="1" t="s">
        <v>2794</v>
      </c>
      <c r="B2770" s="2" t="s">
        <v>12</v>
      </c>
      <c r="C2770" s="2" t="s">
        <v>20</v>
      </c>
      <c r="D2770" s="2">
        <v>12</v>
      </c>
      <c r="E2770" s="2" t="s">
        <v>15</v>
      </c>
      <c r="F2770" s="2" t="s">
        <v>36</v>
      </c>
      <c r="G2770" s="7">
        <v>19.7</v>
      </c>
      <c r="H2770" s="7">
        <v>260.89999999999998</v>
      </c>
      <c r="I2770" s="2" t="s">
        <v>15</v>
      </c>
      <c r="J2770" s="2" t="s">
        <v>15</v>
      </c>
      <c r="K2770" s="2" t="s">
        <v>21</v>
      </c>
      <c r="L2770" s="7">
        <v>260.89999999999998</v>
      </c>
      <c r="M2770" s="2" t="str">
        <f>_xlfn.IFS(TelecomData[[#This Row],[TenureMonths]]&lt;=12, "0-1 Year", TelecomData[[#This Row],[TenureMonths]]&lt;=36, "1-3 Years", TelecomData[[#This Row],[TenureMonths]]&gt;36, "3+ Years")</f>
        <v>0-1 Year</v>
      </c>
      <c r="N2770" s="2" t="str">
        <f>IF(TelecomData[[#This Row],[CleanedTotalCharges]]&gt;=2500,"High Spend", "Standard Spend")</f>
        <v>Standard Spend</v>
      </c>
    </row>
    <row r="2771" spans="1:14" x14ac:dyDescent="0.3">
      <c r="A2771" s="1" t="s">
        <v>2795</v>
      </c>
      <c r="B2771" s="2" t="s">
        <v>12</v>
      </c>
      <c r="C2771" s="2" t="s">
        <v>13</v>
      </c>
      <c r="D2771" s="2">
        <v>15</v>
      </c>
      <c r="E2771" s="2" t="s">
        <v>15</v>
      </c>
      <c r="F2771" s="2" t="s">
        <v>36</v>
      </c>
      <c r="G2771" s="7">
        <v>19.75</v>
      </c>
      <c r="H2771" s="7">
        <v>297.3</v>
      </c>
      <c r="I2771" s="2" t="s">
        <v>16</v>
      </c>
      <c r="J2771" s="2" t="s">
        <v>15</v>
      </c>
      <c r="K2771" s="2" t="s">
        <v>24</v>
      </c>
      <c r="L2771" s="7">
        <v>297.3</v>
      </c>
      <c r="M2771" s="2" t="str">
        <f>_xlfn.IFS(TelecomData[[#This Row],[TenureMonths]]&lt;=12, "0-1 Year", TelecomData[[#This Row],[TenureMonths]]&lt;=36, "1-3 Years", TelecomData[[#This Row],[TenureMonths]]&gt;36, "3+ Years")</f>
        <v>1-3 Years</v>
      </c>
      <c r="N2771" s="2" t="str">
        <f>IF(TelecomData[[#This Row],[CleanedTotalCharges]]&gt;=2500,"High Spend", "Standard Spend")</f>
        <v>Standard Spend</v>
      </c>
    </row>
    <row r="2772" spans="1:14" x14ac:dyDescent="0.3">
      <c r="A2772" s="1" t="s">
        <v>2796</v>
      </c>
      <c r="B2772" s="2" t="s">
        <v>19</v>
      </c>
      <c r="C2772" s="2" t="s">
        <v>13</v>
      </c>
      <c r="D2772" s="2">
        <v>17</v>
      </c>
      <c r="E2772" s="2" t="s">
        <v>26</v>
      </c>
      <c r="F2772" s="2" t="s">
        <v>15</v>
      </c>
      <c r="G2772" s="7">
        <v>92.55</v>
      </c>
      <c r="H2772" s="7">
        <v>1515.1</v>
      </c>
      <c r="I2772" s="2" t="s">
        <v>16</v>
      </c>
      <c r="J2772" s="2" t="s">
        <v>16</v>
      </c>
      <c r="K2772" s="2" t="s">
        <v>17</v>
      </c>
      <c r="L2772" s="7">
        <v>1515.1</v>
      </c>
      <c r="M2772" s="2" t="str">
        <f>_xlfn.IFS(TelecomData[[#This Row],[TenureMonths]]&lt;=12, "0-1 Year", TelecomData[[#This Row],[TenureMonths]]&lt;=36, "1-3 Years", TelecomData[[#This Row],[TenureMonths]]&gt;36, "3+ Years")</f>
        <v>1-3 Years</v>
      </c>
      <c r="N2772" s="2" t="str">
        <f>IF(TelecomData[[#This Row],[CleanedTotalCharges]]&gt;=2500,"High Spend", "Standard Spend")</f>
        <v>Standard Spend</v>
      </c>
    </row>
    <row r="2773" spans="1:14" x14ac:dyDescent="0.3">
      <c r="A2773" s="1" t="s">
        <v>2797</v>
      </c>
      <c r="B2773" s="2" t="s">
        <v>12</v>
      </c>
      <c r="C2773" s="2" t="s">
        <v>13</v>
      </c>
      <c r="D2773" s="2">
        <v>13</v>
      </c>
      <c r="E2773" s="2" t="s">
        <v>14</v>
      </c>
      <c r="F2773" s="2" t="s">
        <v>15</v>
      </c>
      <c r="G2773" s="7">
        <v>63.15</v>
      </c>
      <c r="H2773" s="7">
        <v>816.8</v>
      </c>
      <c r="I2773" s="2" t="s">
        <v>15</v>
      </c>
      <c r="J2773" s="2" t="s">
        <v>16</v>
      </c>
      <c r="K2773" s="2" t="s">
        <v>21</v>
      </c>
      <c r="L2773" s="7">
        <v>816.8</v>
      </c>
      <c r="M2773" s="2" t="str">
        <f>_xlfn.IFS(TelecomData[[#This Row],[TenureMonths]]&lt;=12, "0-1 Year", TelecomData[[#This Row],[TenureMonths]]&lt;=36, "1-3 Years", TelecomData[[#This Row],[TenureMonths]]&gt;36, "3+ Years")</f>
        <v>1-3 Years</v>
      </c>
      <c r="N2773" s="2" t="str">
        <f>IF(TelecomData[[#This Row],[CleanedTotalCharges]]&gt;=2500,"High Spend", "Standard Spend")</f>
        <v>Standard Spend</v>
      </c>
    </row>
    <row r="2774" spans="1:14" x14ac:dyDescent="0.3">
      <c r="A2774" s="1" t="s">
        <v>2798</v>
      </c>
      <c r="B2774" s="2" t="s">
        <v>12</v>
      </c>
      <c r="C2774" s="2" t="s">
        <v>35</v>
      </c>
      <c r="D2774" s="2">
        <v>67</v>
      </c>
      <c r="E2774" s="2" t="s">
        <v>14</v>
      </c>
      <c r="F2774" s="2" t="s">
        <v>16</v>
      </c>
      <c r="G2774" s="7">
        <v>74</v>
      </c>
      <c r="H2774" s="7">
        <v>4868.3999999999996</v>
      </c>
      <c r="I2774" s="2" t="s">
        <v>15</v>
      </c>
      <c r="J2774" s="2" t="s">
        <v>15</v>
      </c>
      <c r="K2774" s="2" t="s">
        <v>29</v>
      </c>
      <c r="L2774" s="7">
        <v>4868.3999999999996</v>
      </c>
      <c r="M2774" s="2" t="str">
        <f>_xlfn.IFS(TelecomData[[#This Row],[TenureMonths]]&lt;=12, "0-1 Year", TelecomData[[#This Row],[TenureMonths]]&lt;=36, "1-3 Years", TelecomData[[#This Row],[TenureMonths]]&gt;36, "3+ Years")</f>
        <v>3+ Years</v>
      </c>
      <c r="N2774" s="2" t="str">
        <f>IF(TelecomData[[#This Row],[CleanedTotalCharges]]&gt;=2500,"High Spend", "Standard Spend")</f>
        <v>High Spend</v>
      </c>
    </row>
    <row r="2775" spans="1:14" x14ac:dyDescent="0.3">
      <c r="A2775" s="1" t="s">
        <v>2799</v>
      </c>
      <c r="B2775" s="2" t="s">
        <v>19</v>
      </c>
      <c r="C2775" s="2" t="s">
        <v>13</v>
      </c>
      <c r="D2775" s="2">
        <v>24</v>
      </c>
      <c r="E2775" s="2" t="s">
        <v>14</v>
      </c>
      <c r="F2775" s="2" t="s">
        <v>15</v>
      </c>
      <c r="G2775" s="7">
        <v>29.1</v>
      </c>
      <c r="H2775" s="7">
        <v>688</v>
      </c>
      <c r="I2775" s="2" t="s">
        <v>15</v>
      </c>
      <c r="J2775" s="2" t="s">
        <v>15</v>
      </c>
      <c r="K2775" s="2" t="s">
        <v>17</v>
      </c>
      <c r="L2775" s="7">
        <v>688</v>
      </c>
      <c r="M2775" s="2" t="str">
        <f>_xlfn.IFS(TelecomData[[#This Row],[TenureMonths]]&lt;=12, "0-1 Year", TelecomData[[#This Row],[TenureMonths]]&lt;=36, "1-3 Years", TelecomData[[#This Row],[TenureMonths]]&gt;36, "3+ Years")</f>
        <v>1-3 Years</v>
      </c>
      <c r="N2775" s="2" t="str">
        <f>IF(TelecomData[[#This Row],[CleanedTotalCharges]]&gt;=2500,"High Spend", "Standard Spend")</f>
        <v>Standard Spend</v>
      </c>
    </row>
    <row r="2776" spans="1:14" x14ac:dyDescent="0.3">
      <c r="A2776" s="1" t="s">
        <v>2800</v>
      </c>
      <c r="B2776" s="2" t="s">
        <v>19</v>
      </c>
      <c r="C2776" s="2" t="s">
        <v>13</v>
      </c>
      <c r="D2776" s="2">
        <v>6</v>
      </c>
      <c r="E2776" s="2" t="s">
        <v>14</v>
      </c>
      <c r="F2776" s="2" t="s">
        <v>16</v>
      </c>
      <c r="G2776" s="7">
        <v>50.05</v>
      </c>
      <c r="H2776" s="7">
        <v>288.35000000000002</v>
      </c>
      <c r="I2776" s="2" t="s">
        <v>15</v>
      </c>
      <c r="J2776" s="2" t="s">
        <v>15</v>
      </c>
      <c r="K2776" s="2" t="s">
        <v>21</v>
      </c>
      <c r="L2776" s="7">
        <v>288.35000000000002</v>
      </c>
      <c r="M2776" s="2" t="str">
        <f>_xlfn.IFS(TelecomData[[#This Row],[TenureMonths]]&lt;=12, "0-1 Year", TelecomData[[#This Row],[TenureMonths]]&lt;=36, "1-3 Years", TelecomData[[#This Row],[TenureMonths]]&gt;36, "3+ Years")</f>
        <v>0-1 Year</v>
      </c>
      <c r="N2776" s="2" t="str">
        <f>IF(TelecomData[[#This Row],[CleanedTotalCharges]]&gt;=2500,"High Spend", "Standard Spend")</f>
        <v>Standard Spend</v>
      </c>
    </row>
    <row r="2777" spans="1:14" x14ac:dyDescent="0.3">
      <c r="A2777" s="1" t="s">
        <v>2801</v>
      </c>
      <c r="B2777" s="2" t="s">
        <v>19</v>
      </c>
      <c r="C2777" s="2" t="s">
        <v>20</v>
      </c>
      <c r="D2777" s="2">
        <v>53</v>
      </c>
      <c r="E2777" s="2" t="s">
        <v>14</v>
      </c>
      <c r="F2777" s="2" t="s">
        <v>16</v>
      </c>
      <c r="G2777" s="7">
        <v>60.05</v>
      </c>
      <c r="H2777" s="7">
        <v>3229.65</v>
      </c>
      <c r="I2777" s="2" t="s">
        <v>16</v>
      </c>
      <c r="J2777" s="2" t="s">
        <v>16</v>
      </c>
      <c r="K2777" s="2" t="s">
        <v>17</v>
      </c>
      <c r="L2777" s="7">
        <v>3229.65</v>
      </c>
      <c r="M2777" s="2" t="str">
        <f>_xlfn.IFS(TelecomData[[#This Row],[TenureMonths]]&lt;=12, "0-1 Year", TelecomData[[#This Row],[TenureMonths]]&lt;=36, "1-3 Years", TelecomData[[#This Row],[TenureMonths]]&gt;36, "3+ Years")</f>
        <v>3+ Years</v>
      </c>
      <c r="N2777" s="2" t="str">
        <f>IF(TelecomData[[#This Row],[CleanedTotalCharges]]&gt;=2500,"High Spend", "Standard Spend")</f>
        <v>High Spend</v>
      </c>
    </row>
    <row r="2778" spans="1:14" x14ac:dyDescent="0.3">
      <c r="A2778" s="1" t="s">
        <v>2802</v>
      </c>
      <c r="B2778" s="2" t="s">
        <v>19</v>
      </c>
      <c r="C2778" s="2" t="s">
        <v>13</v>
      </c>
      <c r="D2778" s="2">
        <v>16</v>
      </c>
      <c r="E2778" s="2" t="s">
        <v>26</v>
      </c>
      <c r="F2778" s="2" t="s">
        <v>15</v>
      </c>
      <c r="G2778" s="7">
        <v>74.3</v>
      </c>
      <c r="H2778" s="7">
        <v>1178.25</v>
      </c>
      <c r="I2778" s="2" t="s">
        <v>16</v>
      </c>
      <c r="J2778" s="2" t="s">
        <v>16</v>
      </c>
      <c r="K2778" s="2" t="s">
        <v>29</v>
      </c>
      <c r="L2778" s="7">
        <v>1178.25</v>
      </c>
      <c r="M2778" s="2" t="str">
        <f>_xlfn.IFS(TelecomData[[#This Row],[TenureMonths]]&lt;=12, "0-1 Year", TelecomData[[#This Row],[TenureMonths]]&lt;=36, "1-3 Years", TelecomData[[#This Row],[TenureMonths]]&gt;36, "3+ Years")</f>
        <v>1-3 Years</v>
      </c>
      <c r="N2778" s="2" t="str">
        <f>IF(TelecomData[[#This Row],[CleanedTotalCharges]]&gt;=2500,"High Spend", "Standard Spend")</f>
        <v>Standard Spend</v>
      </c>
    </row>
    <row r="2779" spans="1:14" x14ac:dyDescent="0.3">
      <c r="A2779" s="1" t="s">
        <v>2803</v>
      </c>
      <c r="B2779" s="2" t="s">
        <v>19</v>
      </c>
      <c r="C2779" s="2" t="s">
        <v>13</v>
      </c>
      <c r="D2779" s="2">
        <v>10</v>
      </c>
      <c r="E2779" s="2" t="s">
        <v>15</v>
      </c>
      <c r="F2779" s="2" t="s">
        <v>36</v>
      </c>
      <c r="G2779" s="7">
        <v>20</v>
      </c>
      <c r="H2779" s="7">
        <v>185.4</v>
      </c>
      <c r="I2779" s="2" t="s">
        <v>15</v>
      </c>
      <c r="J2779" s="2" t="s">
        <v>15</v>
      </c>
      <c r="K2779" s="2" t="s">
        <v>17</v>
      </c>
      <c r="L2779" s="7">
        <v>185.4</v>
      </c>
      <c r="M2779" s="2" t="str">
        <f>_xlfn.IFS(TelecomData[[#This Row],[TenureMonths]]&lt;=12, "0-1 Year", TelecomData[[#This Row],[TenureMonths]]&lt;=36, "1-3 Years", TelecomData[[#This Row],[TenureMonths]]&gt;36, "3+ Years")</f>
        <v>0-1 Year</v>
      </c>
      <c r="N2779" s="2" t="str">
        <f>IF(TelecomData[[#This Row],[CleanedTotalCharges]]&gt;=2500,"High Spend", "Standard Spend")</f>
        <v>Standard Spend</v>
      </c>
    </row>
    <row r="2780" spans="1:14" x14ac:dyDescent="0.3">
      <c r="A2780" s="1" t="s">
        <v>2804</v>
      </c>
      <c r="B2780" s="2" t="s">
        <v>12</v>
      </c>
      <c r="C2780" s="2" t="s">
        <v>20</v>
      </c>
      <c r="D2780" s="2">
        <v>13</v>
      </c>
      <c r="E2780" s="2" t="s">
        <v>26</v>
      </c>
      <c r="F2780" s="2" t="s">
        <v>15</v>
      </c>
      <c r="G2780" s="7">
        <v>74.650000000000006</v>
      </c>
      <c r="H2780" s="7">
        <v>966.25</v>
      </c>
      <c r="I2780" s="2" t="s">
        <v>15</v>
      </c>
      <c r="J2780" s="2" t="s">
        <v>16</v>
      </c>
      <c r="K2780" s="2" t="s">
        <v>21</v>
      </c>
      <c r="L2780" s="7">
        <v>966.25</v>
      </c>
      <c r="M2780" s="2" t="str">
        <f>_xlfn.IFS(TelecomData[[#This Row],[TenureMonths]]&lt;=12, "0-1 Year", TelecomData[[#This Row],[TenureMonths]]&lt;=36, "1-3 Years", TelecomData[[#This Row],[TenureMonths]]&gt;36, "3+ Years")</f>
        <v>1-3 Years</v>
      </c>
      <c r="N2780" s="2" t="str">
        <f>IF(TelecomData[[#This Row],[CleanedTotalCharges]]&gt;=2500,"High Spend", "Standard Spend")</f>
        <v>Standard Spend</v>
      </c>
    </row>
    <row r="2781" spans="1:14" x14ac:dyDescent="0.3">
      <c r="A2781" s="1" t="s">
        <v>2805</v>
      </c>
      <c r="B2781" s="2" t="s">
        <v>19</v>
      </c>
      <c r="C2781" s="2" t="s">
        <v>13</v>
      </c>
      <c r="D2781" s="2">
        <v>9</v>
      </c>
      <c r="E2781" s="2" t="s">
        <v>26</v>
      </c>
      <c r="F2781" s="2" t="s">
        <v>15</v>
      </c>
      <c r="G2781" s="7">
        <v>85.35</v>
      </c>
      <c r="H2781" s="7">
        <v>758.6</v>
      </c>
      <c r="I2781" s="2" t="s">
        <v>16</v>
      </c>
      <c r="J2781" s="2" t="s">
        <v>16</v>
      </c>
      <c r="K2781" s="2" t="s">
        <v>17</v>
      </c>
      <c r="L2781" s="7">
        <v>758.6</v>
      </c>
      <c r="M2781" s="2" t="str">
        <f>_xlfn.IFS(TelecomData[[#This Row],[TenureMonths]]&lt;=12, "0-1 Year", TelecomData[[#This Row],[TenureMonths]]&lt;=36, "1-3 Years", TelecomData[[#This Row],[TenureMonths]]&gt;36, "3+ Years")</f>
        <v>0-1 Year</v>
      </c>
      <c r="N2781" s="2" t="str">
        <f>IF(TelecomData[[#This Row],[CleanedTotalCharges]]&gt;=2500,"High Spend", "Standard Spend")</f>
        <v>Standard Spend</v>
      </c>
    </row>
    <row r="2782" spans="1:14" x14ac:dyDescent="0.3">
      <c r="A2782" s="1" t="s">
        <v>2806</v>
      </c>
      <c r="B2782" s="2" t="s">
        <v>12</v>
      </c>
      <c r="C2782" s="2" t="s">
        <v>20</v>
      </c>
      <c r="D2782" s="2">
        <v>25</v>
      </c>
      <c r="E2782" s="2" t="s">
        <v>14</v>
      </c>
      <c r="F2782" s="2" t="s">
        <v>16</v>
      </c>
      <c r="G2782" s="7">
        <v>74.3</v>
      </c>
      <c r="H2782" s="7">
        <v>1863.8</v>
      </c>
      <c r="I2782" s="2" t="s">
        <v>16</v>
      </c>
      <c r="J2782" s="2" t="s">
        <v>15</v>
      </c>
      <c r="K2782" s="2" t="s">
        <v>21</v>
      </c>
      <c r="L2782" s="7">
        <v>1863.8</v>
      </c>
      <c r="M2782" s="2" t="str">
        <f>_xlfn.IFS(TelecomData[[#This Row],[TenureMonths]]&lt;=12, "0-1 Year", TelecomData[[#This Row],[TenureMonths]]&lt;=36, "1-3 Years", TelecomData[[#This Row],[TenureMonths]]&gt;36, "3+ Years")</f>
        <v>1-3 Years</v>
      </c>
      <c r="N2782" s="2" t="str">
        <f>IF(TelecomData[[#This Row],[CleanedTotalCharges]]&gt;=2500,"High Spend", "Standard Spend")</f>
        <v>Standard Spend</v>
      </c>
    </row>
    <row r="2783" spans="1:14" x14ac:dyDescent="0.3">
      <c r="A2783" s="1" t="s">
        <v>2807</v>
      </c>
      <c r="B2783" s="2" t="s">
        <v>19</v>
      </c>
      <c r="C2783" s="2" t="s">
        <v>13</v>
      </c>
      <c r="D2783" s="2">
        <v>7</v>
      </c>
      <c r="E2783" s="2" t="s">
        <v>14</v>
      </c>
      <c r="F2783" s="2" t="s">
        <v>16</v>
      </c>
      <c r="G2783" s="7">
        <v>44.4</v>
      </c>
      <c r="H2783" s="7">
        <v>265.8</v>
      </c>
      <c r="I2783" s="2" t="s">
        <v>15</v>
      </c>
      <c r="J2783" s="2" t="s">
        <v>16</v>
      </c>
      <c r="K2783" s="2" t="s">
        <v>17</v>
      </c>
      <c r="L2783" s="7">
        <v>265.8</v>
      </c>
      <c r="M2783" s="2" t="str">
        <f>_xlfn.IFS(TelecomData[[#This Row],[TenureMonths]]&lt;=12, "0-1 Year", TelecomData[[#This Row],[TenureMonths]]&lt;=36, "1-3 Years", TelecomData[[#This Row],[TenureMonths]]&gt;36, "3+ Years")</f>
        <v>0-1 Year</v>
      </c>
      <c r="N2783" s="2" t="str">
        <f>IF(TelecomData[[#This Row],[CleanedTotalCharges]]&gt;=2500,"High Spend", "Standard Spend")</f>
        <v>Standard Spend</v>
      </c>
    </row>
    <row r="2784" spans="1:14" x14ac:dyDescent="0.3">
      <c r="A2784" s="1" t="s">
        <v>2808</v>
      </c>
      <c r="B2784" s="2" t="s">
        <v>19</v>
      </c>
      <c r="C2784" s="2" t="s">
        <v>35</v>
      </c>
      <c r="D2784" s="2">
        <v>38</v>
      </c>
      <c r="E2784" s="2" t="s">
        <v>14</v>
      </c>
      <c r="F2784" s="2" t="s">
        <v>16</v>
      </c>
      <c r="G2784" s="7">
        <v>85.4</v>
      </c>
      <c r="H2784" s="7">
        <v>3297</v>
      </c>
      <c r="I2784" s="2" t="s">
        <v>15</v>
      </c>
      <c r="J2784" s="2" t="s">
        <v>16</v>
      </c>
      <c r="K2784" s="2" t="s">
        <v>24</v>
      </c>
      <c r="L2784" s="7">
        <v>3297</v>
      </c>
      <c r="M2784" s="2" t="str">
        <f>_xlfn.IFS(TelecomData[[#This Row],[TenureMonths]]&lt;=12, "0-1 Year", TelecomData[[#This Row],[TenureMonths]]&lt;=36, "1-3 Years", TelecomData[[#This Row],[TenureMonths]]&gt;36, "3+ Years")</f>
        <v>3+ Years</v>
      </c>
      <c r="N2784" s="2" t="str">
        <f>IF(TelecomData[[#This Row],[CleanedTotalCharges]]&gt;=2500,"High Spend", "Standard Spend")</f>
        <v>High Spend</v>
      </c>
    </row>
    <row r="2785" spans="1:14" x14ac:dyDescent="0.3">
      <c r="A2785" s="1" t="s">
        <v>2809</v>
      </c>
      <c r="B2785" s="2" t="s">
        <v>12</v>
      </c>
      <c r="C2785" s="2" t="s">
        <v>13</v>
      </c>
      <c r="D2785" s="2">
        <v>43</v>
      </c>
      <c r="E2785" s="2" t="s">
        <v>26</v>
      </c>
      <c r="F2785" s="2" t="s">
        <v>15</v>
      </c>
      <c r="G2785" s="7">
        <v>94.1</v>
      </c>
      <c r="H2785" s="7">
        <v>4107.3</v>
      </c>
      <c r="I2785" s="2" t="s">
        <v>15</v>
      </c>
      <c r="J2785" s="2" t="s">
        <v>16</v>
      </c>
      <c r="K2785" s="2" t="s">
        <v>17</v>
      </c>
      <c r="L2785" s="7">
        <v>4107.3</v>
      </c>
      <c r="M2785" s="2" t="str">
        <f>_xlfn.IFS(TelecomData[[#This Row],[TenureMonths]]&lt;=12, "0-1 Year", TelecomData[[#This Row],[TenureMonths]]&lt;=36, "1-3 Years", TelecomData[[#This Row],[TenureMonths]]&gt;36, "3+ Years")</f>
        <v>3+ Years</v>
      </c>
      <c r="N2785" s="2" t="str">
        <f>IF(TelecomData[[#This Row],[CleanedTotalCharges]]&gt;=2500,"High Spend", "Standard Spend")</f>
        <v>High Spend</v>
      </c>
    </row>
    <row r="2786" spans="1:14" x14ac:dyDescent="0.3">
      <c r="A2786" s="1" t="s">
        <v>2810</v>
      </c>
      <c r="B2786" s="2" t="s">
        <v>12</v>
      </c>
      <c r="C2786" s="2" t="s">
        <v>13</v>
      </c>
      <c r="D2786" s="2">
        <v>4</v>
      </c>
      <c r="E2786" s="2" t="s">
        <v>26</v>
      </c>
      <c r="F2786" s="2" t="s">
        <v>16</v>
      </c>
      <c r="G2786" s="7">
        <v>98.1</v>
      </c>
      <c r="H2786" s="7">
        <v>396.3</v>
      </c>
      <c r="I2786" s="2" t="s">
        <v>16</v>
      </c>
      <c r="J2786" s="2" t="s">
        <v>16</v>
      </c>
      <c r="K2786" s="2" t="s">
        <v>24</v>
      </c>
      <c r="L2786" s="7">
        <v>396.3</v>
      </c>
      <c r="M2786" s="2" t="str">
        <f>_xlfn.IFS(TelecomData[[#This Row],[TenureMonths]]&lt;=12, "0-1 Year", TelecomData[[#This Row],[TenureMonths]]&lt;=36, "1-3 Years", TelecomData[[#This Row],[TenureMonths]]&gt;36, "3+ Years")</f>
        <v>0-1 Year</v>
      </c>
      <c r="N2786" s="2" t="str">
        <f>IF(TelecomData[[#This Row],[CleanedTotalCharges]]&gt;=2500,"High Spend", "Standard Spend")</f>
        <v>Standard Spend</v>
      </c>
    </row>
    <row r="2787" spans="1:14" x14ac:dyDescent="0.3">
      <c r="A2787" s="1" t="s">
        <v>2811</v>
      </c>
      <c r="B2787" s="2" t="s">
        <v>12</v>
      </c>
      <c r="C2787" s="2" t="s">
        <v>35</v>
      </c>
      <c r="D2787" s="2">
        <v>25</v>
      </c>
      <c r="E2787" s="2" t="s">
        <v>26</v>
      </c>
      <c r="F2787" s="2" t="s">
        <v>16</v>
      </c>
      <c r="G2787" s="7">
        <v>108.9</v>
      </c>
      <c r="H2787" s="7">
        <v>2809.05</v>
      </c>
      <c r="I2787" s="2" t="s">
        <v>15</v>
      </c>
      <c r="J2787" s="2" t="s">
        <v>15</v>
      </c>
      <c r="K2787" s="2" t="s">
        <v>17</v>
      </c>
      <c r="L2787" s="7">
        <v>2809.05</v>
      </c>
      <c r="M2787" s="2" t="str">
        <f>_xlfn.IFS(TelecomData[[#This Row],[TenureMonths]]&lt;=12, "0-1 Year", TelecomData[[#This Row],[TenureMonths]]&lt;=36, "1-3 Years", TelecomData[[#This Row],[TenureMonths]]&gt;36, "3+ Years")</f>
        <v>1-3 Years</v>
      </c>
      <c r="N2787" s="2" t="str">
        <f>IF(TelecomData[[#This Row],[CleanedTotalCharges]]&gt;=2500,"High Spend", "Standard Spend")</f>
        <v>High Spend</v>
      </c>
    </row>
    <row r="2788" spans="1:14" x14ac:dyDescent="0.3">
      <c r="A2788" s="1" t="s">
        <v>2812</v>
      </c>
      <c r="B2788" s="2" t="s">
        <v>19</v>
      </c>
      <c r="C2788" s="2" t="s">
        <v>20</v>
      </c>
      <c r="D2788" s="2">
        <v>27</v>
      </c>
      <c r="E2788" s="2" t="s">
        <v>14</v>
      </c>
      <c r="F2788" s="2" t="s">
        <v>15</v>
      </c>
      <c r="G2788" s="7">
        <v>56.2</v>
      </c>
      <c r="H2788" s="7">
        <v>1567.55</v>
      </c>
      <c r="I2788" s="2" t="s">
        <v>15</v>
      </c>
      <c r="J2788" s="2" t="s">
        <v>15</v>
      </c>
      <c r="K2788" s="2" t="s">
        <v>21</v>
      </c>
      <c r="L2788" s="7">
        <v>1567.55</v>
      </c>
      <c r="M2788" s="2" t="str">
        <f>_xlfn.IFS(TelecomData[[#This Row],[TenureMonths]]&lt;=12, "0-1 Year", TelecomData[[#This Row],[TenureMonths]]&lt;=36, "1-3 Years", TelecomData[[#This Row],[TenureMonths]]&gt;36, "3+ Years")</f>
        <v>1-3 Years</v>
      </c>
      <c r="N2788" s="2" t="str">
        <f>IF(TelecomData[[#This Row],[CleanedTotalCharges]]&gt;=2500,"High Spend", "Standard Spend")</f>
        <v>Standard Spend</v>
      </c>
    </row>
    <row r="2789" spans="1:14" x14ac:dyDescent="0.3">
      <c r="A2789" s="1" t="s">
        <v>2813</v>
      </c>
      <c r="B2789" s="2" t="s">
        <v>19</v>
      </c>
      <c r="C2789" s="2" t="s">
        <v>35</v>
      </c>
      <c r="D2789" s="2">
        <v>72</v>
      </c>
      <c r="E2789" s="2" t="s">
        <v>15</v>
      </c>
      <c r="F2789" s="2" t="s">
        <v>36</v>
      </c>
      <c r="G2789" s="7">
        <v>26.1</v>
      </c>
      <c r="H2789" s="7">
        <v>1851.45</v>
      </c>
      <c r="I2789" s="2" t="s">
        <v>15</v>
      </c>
      <c r="J2789" s="2" t="s">
        <v>15</v>
      </c>
      <c r="K2789" s="2" t="s">
        <v>21</v>
      </c>
      <c r="L2789" s="7">
        <v>1851.45</v>
      </c>
      <c r="M2789" s="2" t="str">
        <f>_xlfn.IFS(TelecomData[[#This Row],[TenureMonths]]&lt;=12, "0-1 Year", TelecomData[[#This Row],[TenureMonths]]&lt;=36, "1-3 Years", TelecomData[[#This Row],[TenureMonths]]&gt;36, "3+ Years")</f>
        <v>3+ Years</v>
      </c>
      <c r="N2789" s="2" t="str">
        <f>IF(TelecomData[[#This Row],[CleanedTotalCharges]]&gt;=2500,"High Spend", "Standard Spend")</f>
        <v>Standard Spend</v>
      </c>
    </row>
    <row r="2790" spans="1:14" x14ac:dyDescent="0.3">
      <c r="A2790" s="1" t="s">
        <v>2814</v>
      </c>
      <c r="B2790" s="2" t="s">
        <v>19</v>
      </c>
      <c r="C2790" s="2" t="s">
        <v>20</v>
      </c>
      <c r="D2790" s="2">
        <v>71</v>
      </c>
      <c r="E2790" s="2" t="s">
        <v>26</v>
      </c>
      <c r="F2790" s="2" t="s">
        <v>15</v>
      </c>
      <c r="G2790" s="7">
        <v>85.45</v>
      </c>
      <c r="H2790" s="7">
        <v>6028.95</v>
      </c>
      <c r="I2790" s="2" t="s">
        <v>15</v>
      </c>
      <c r="J2790" s="2" t="s">
        <v>16</v>
      </c>
      <c r="K2790" s="2" t="s">
        <v>29</v>
      </c>
      <c r="L2790" s="7">
        <v>6028.95</v>
      </c>
      <c r="M2790" s="2" t="str">
        <f>_xlfn.IFS(TelecomData[[#This Row],[TenureMonths]]&lt;=12, "0-1 Year", TelecomData[[#This Row],[TenureMonths]]&lt;=36, "1-3 Years", TelecomData[[#This Row],[TenureMonths]]&gt;36, "3+ Years")</f>
        <v>3+ Years</v>
      </c>
      <c r="N2790" s="2" t="str">
        <f>IF(TelecomData[[#This Row],[CleanedTotalCharges]]&gt;=2500,"High Spend", "Standard Spend")</f>
        <v>High Spend</v>
      </c>
    </row>
    <row r="2791" spans="1:14" x14ac:dyDescent="0.3">
      <c r="A2791" s="1" t="s">
        <v>2815</v>
      </c>
      <c r="B2791" s="2" t="s">
        <v>12</v>
      </c>
      <c r="C2791" s="2" t="s">
        <v>13</v>
      </c>
      <c r="D2791" s="2">
        <v>24</v>
      </c>
      <c r="E2791" s="2" t="s">
        <v>26</v>
      </c>
      <c r="F2791" s="2" t="s">
        <v>15</v>
      </c>
      <c r="G2791" s="7">
        <v>88.95</v>
      </c>
      <c r="H2791" s="7">
        <v>2072.75</v>
      </c>
      <c r="I2791" s="2" t="s">
        <v>15</v>
      </c>
      <c r="J2791" s="2" t="s">
        <v>16</v>
      </c>
      <c r="K2791" s="2" t="s">
        <v>29</v>
      </c>
      <c r="L2791" s="7">
        <v>2072.75</v>
      </c>
      <c r="M2791" s="2" t="str">
        <f>_xlfn.IFS(TelecomData[[#This Row],[TenureMonths]]&lt;=12, "0-1 Year", TelecomData[[#This Row],[TenureMonths]]&lt;=36, "1-3 Years", TelecomData[[#This Row],[TenureMonths]]&gt;36, "3+ Years")</f>
        <v>1-3 Years</v>
      </c>
      <c r="N2791" s="2" t="str">
        <f>IF(TelecomData[[#This Row],[CleanedTotalCharges]]&gt;=2500,"High Spend", "Standard Spend")</f>
        <v>Standard Spend</v>
      </c>
    </row>
    <row r="2792" spans="1:14" x14ac:dyDescent="0.3">
      <c r="A2792" s="1" t="s">
        <v>2816</v>
      </c>
      <c r="B2792" s="2" t="s">
        <v>12</v>
      </c>
      <c r="C2792" s="2" t="s">
        <v>35</v>
      </c>
      <c r="D2792" s="2">
        <v>50</v>
      </c>
      <c r="E2792" s="2" t="s">
        <v>26</v>
      </c>
      <c r="F2792" s="2" t="s">
        <v>16</v>
      </c>
      <c r="G2792" s="7">
        <v>109.65</v>
      </c>
      <c r="H2792" s="7">
        <v>5551.15</v>
      </c>
      <c r="I2792" s="2" t="s">
        <v>16</v>
      </c>
      <c r="J2792" s="2" t="s">
        <v>16</v>
      </c>
      <c r="K2792" s="2" t="s">
        <v>17</v>
      </c>
      <c r="L2792" s="7">
        <v>5551.15</v>
      </c>
      <c r="M2792" s="2" t="str">
        <f>_xlfn.IFS(TelecomData[[#This Row],[TenureMonths]]&lt;=12, "0-1 Year", TelecomData[[#This Row],[TenureMonths]]&lt;=36, "1-3 Years", TelecomData[[#This Row],[TenureMonths]]&gt;36, "3+ Years")</f>
        <v>3+ Years</v>
      </c>
      <c r="N2792" s="2" t="str">
        <f>IF(TelecomData[[#This Row],[CleanedTotalCharges]]&gt;=2500,"High Spend", "Standard Spend")</f>
        <v>High Spend</v>
      </c>
    </row>
    <row r="2793" spans="1:14" x14ac:dyDescent="0.3">
      <c r="A2793" s="1" t="s">
        <v>2817</v>
      </c>
      <c r="B2793" s="2" t="s">
        <v>19</v>
      </c>
      <c r="C2793" s="2" t="s">
        <v>35</v>
      </c>
      <c r="D2793" s="2">
        <v>57</v>
      </c>
      <c r="E2793" s="2" t="s">
        <v>14</v>
      </c>
      <c r="F2793" s="2" t="s">
        <v>15</v>
      </c>
      <c r="G2793" s="7">
        <v>74.349999999999994</v>
      </c>
      <c r="H2793" s="7">
        <v>4317.3500000000004</v>
      </c>
      <c r="I2793" s="2" t="s">
        <v>15</v>
      </c>
      <c r="J2793" s="2" t="s">
        <v>16</v>
      </c>
      <c r="K2793" s="2" t="s">
        <v>24</v>
      </c>
      <c r="L2793" s="7">
        <v>4317.3500000000004</v>
      </c>
      <c r="M2793" s="2" t="str">
        <f>_xlfn.IFS(TelecomData[[#This Row],[TenureMonths]]&lt;=12, "0-1 Year", TelecomData[[#This Row],[TenureMonths]]&lt;=36, "1-3 Years", TelecomData[[#This Row],[TenureMonths]]&gt;36, "3+ Years")</f>
        <v>3+ Years</v>
      </c>
      <c r="N2793" s="2" t="str">
        <f>IF(TelecomData[[#This Row],[CleanedTotalCharges]]&gt;=2500,"High Spend", "Standard Spend")</f>
        <v>High Spend</v>
      </c>
    </row>
    <row r="2794" spans="1:14" x14ac:dyDescent="0.3">
      <c r="A2794" s="1" t="s">
        <v>2818</v>
      </c>
      <c r="B2794" s="2" t="s">
        <v>12</v>
      </c>
      <c r="C2794" s="2" t="s">
        <v>13</v>
      </c>
      <c r="D2794" s="2">
        <v>15</v>
      </c>
      <c r="E2794" s="2" t="s">
        <v>14</v>
      </c>
      <c r="F2794" s="2" t="s">
        <v>15</v>
      </c>
      <c r="G2794" s="7">
        <v>48.85</v>
      </c>
      <c r="H2794" s="7">
        <v>736.8</v>
      </c>
      <c r="I2794" s="2" t="s">
        <v>15</v>
      </c>
      <c r="J2794" s="2" t="s">
        <v>15</v>
      </c>
      <c r="K2794" s="2" t="s">
        <v>17</v>
      </c>
      <c r="L2794" s="7">
        <v>736.8</v>
      </c>
      <c r="M2794" s="2" t="str">
        <f>_xlfn.IFS(TelecomData[[#This Row],[TenureMonths]]&lt;=12, "0-1 Year", TelecomData[[#This Row],[TenureMonths]]&lt;=36, "1-3 Years", TelecomData[[#This Row],[TenureMonths]]&gt;36, "3+ Years")</f>
        <v>1-3 Years</v>
      </c>
      <c r="N2794" s="2" t="str">
        <f>IF(TelecomData[[#This Row],[CleanedTotalCharges]]&gt;=2500,"High Spend", "Standard Spend")</f>
        <v>Standard Spend</v>
      </c>
    </row>
    <row r="2795" spans="1:14" x14ac:dyDescent="0.3">
      <c r="A2795" s="1" t="s">
        <v>2819</v>
      </c>
      <c r="B2795" s="2" t="s">
        <v>19</v>
      </c>
      <c r="C2795" s="2" t="s">
        <v>13</v>
      </c>
      <c r="D2795" s="2">
        <v>4</v>
      </c>
      <c r="E2795" s="2" t="s">
        <v>26</v>
      </c>
      <c r="F2795" s="2" t="s">
        <v>15</v>
      </c>
      <c r="G2795" s="7">
        <v>80.099999999999994</v>
      </c>
      <c r="H2795" s="7">
        <v>336.15</v>
      </c>
      <c r="I2795" s="2" t="s">
        <v>15</v>
      </c>
      <c r="J2795" s="2" t="s">
        <v>16</v>
      </c>
      <c r="K2795" s="2" t="s">
        <v>17</v>
      </c>
      <c r="L2795" s="7">
        <v>336.15</v>
      </c>
      <c r="M2795" s="2" t="str">
        <f>_xlfn.IFS(TelecomData[[#This Row],[TenureMonths]]&lt;=12, "0-1 Year", TelecomData[[#This Row],[TenureMonths]]&lt;=36, "1-3 Years", TelecomData[[#This Row],[TenureMonths]]&gt;36, "3+ Years")</f>
        <v>0-1 Year</v>
      </c>
      <c r="N2795" s="2" t="str">
        <f>IF(TelecomData[[#This Row],[CleanedTotalCharges]]&gt;=2500,"High Spend", "Standard Spend")</f>
        <v>Standard Spend</v>
      </c>
    </row>
    <row r="2796" spans="1:14" x14ac:dyDescent="0.3">
      <c r="A2796" s="1" t="s">
        <v>2820</v>
      </c>
      <c r="B2796" s="2" t="s">
        <v>12</v>
      </c>
      <c r="C2796" s="2" t="s">
        <v>13</v>
      </c>
      <c r="D2796" s="2">
        <v>28</v>
      </c>
      <c r="E2796" s="2" t="s">
        <v>14</v>
      </c>
      <c r="F2796" s="2" t="s">
        <v>15</v>
      </c>
      <c r="G2796" s="7">
        <v>56.05</v>
      </c>
      <c r="H2796" s="7">
        <v>1522.65</v>
      </c>
      <c r="I2796" s="2" t="s">
        <v>15</v>
      </c>
      <c r="J2796" s="2" t="s">
        <v>15</v>
      </c>
      <c r="K2796" s="2" t="s">
        <v>17</v>
      </c>
      <c r="L2796" s="7">
        <v>1522.65</v>
      </c>
      <c r="M2796" s="2" t="str">
        <f>_xlfn.IFS(TelecomData[[#This Row],[TenureMonths]]&lt;=12, "0-1 Year", TelecomData[[#This Row],[TenureMonths]]&lt;=36, "1-3 Years", TelecomData[[#This Row],[TenureMonths]]&gt;36, "3+ Years")</f>
        <v>1-3 Years</v>
      </c>
      <c r="N2796" s="2" t="str">
        <f>IF(TelecomData[[#This Row],[CleanedTotalCharges]]&gt;=2500,"High Spend", "Standard Spend")</f>
        <v>Standard Spend</v>
      </c>
    </row>
    <row r="2797" spans="1:14" x14ac:dyDescent="0.3">
      <c r="A2797" s="1" t="s">
        <v>2821</v>
      </c>
      <c r="B2797" s="2" t="s">
        <v>12</v>
      </c>
      <c r="C2797" s="2" t="s">
        <v>13</v>
      </c>
      <c r="D2797" s="2">
        <v>9</v>
      </c>
      <c r="E2797" s="2" t="s">
        <v>26</v>
      </c>
      <c r="F2797" s="2" t="s">
        <v>15</v>
      </c>
      <c r="G2797" s="7">
        <v>74.55</v>
      </c>
      <c r="H2797" s="7">
        <v>622.9</v>
      </c>
      <c r="I2797" s="2" t="s">
        <v>16</v>
      </c>
      <c r="J2797" s="2" t="s">
        <v>16</v>
      </c>
      <c r="K2797" s="2" t="s">
        <v>17</v>
      </c>
      <c r="L2797" s="7">
        <v>622.9</v>
      </c>
      <c r="M2797" s="2" t="str">
        <f>_xlfn.IFS(TelecomData[[#This Row],[TenureMonths]]&lt;=12, "0-1 Year", TelecomData[[#This Row],[TenureMonths]]&lt;=36, "1-3 Years", TelecomData[[#This Row],[TenureMonths]]&gt;36, "3+ Years")</f>
        <v>0-1 Year</v>
      </c>
      <c r="N2797" s="2" t="str">
        <f>IF(TelecomData[[#This Row],[CleanedTotalCharges]]&gt;=2500,"High Spend", "Standard Spend")</f>
        <v>Standard Spend</v>
      </c>
    </row>
    <row r="2798" spans="1:14" x14ac:dyDescent="0.3">
      <c r="A2798" s="1" t="s">
        <v>2822</v>
      </c>
      <c r="B2798" s="2" t="s">
        <v>12</v>
      </c>
      <c r="C2798" s="2" t="s">
        <v>13</v>
      </c>
      <c r="D2798" s="2">
        <v>55</v>
      </c>
      <c r="E2798" s="2" t="s">
        <v>26</v>
      </c>
      <c r="F2798" s="2" t="s">
        <v>15</v>
      </c>
      <c r="G2798" s="7">
        <v>89.8</v>
      </c>
      <c r="H2798" s="7">
        <v>4959.6000000000004</v>
      </c>
      <c r="I2798" s="2" t="s">
        <v>15</v>
      </c>
      <c r="J2798" s="2" t="s">
        <v>16</v>
      </c>
      <c r="K2798" s="2" t="s">
        <v>24</v>
      </c>
      <c r="L2798" s="7">
        <v>4959.6000000000004</v>
      </c>
      <c r="M2798" s="2" t="str">
        <f>_xlfn.IFS(TelecomData[[#This Row],[TenureMonths]]&lt;=12, "0-1 Year", TelecomData[[#This Row],[TenureMonths]]&lt;=36, "1-3 Years", TelecomData[[#This Row],[TenureMonths]]&gt;36, "3+ Years")</f>
        <v>3+ Years</v>
      </c>
      <c r="N2798" s="2" t="str">
        <f>IF(TelecomData[[#This Row],[CleanedTotalCharges]]&gt;=2500,"High Spend", "Standard Spend")</f>
        <v>High Spend</v>
      </c>
    </row>
    <row r="2799" spans="1:14" x14ac:dyDescent="0.3">
      <c r="A2799" s="1" t="s">
        <v>2823</v>
      </c>
      <c r="B2799" s="2" t="s">
        <v>19</v>
      </c>
      <c r="C2799" s="2" t="s">
        <v>13</v>
      </c>
      <c r="D2799" s="2">
        <v>3</v>
      </c>
      <c r="E2799" s="2" t="s">
        <v>26</v>
      </c>
      <c r="F2799" s="2" t="s">
        <v>15</v>
      </c>
      <c r="G2799" s="7">
        <v>100.95</v>
      </c>
      <c r="H2799" s="7">
        <v>329.95</v>
      </c>
      <c r="I2799" s="2" t="s">
        <v>16</v>
      </c>
      <c r="J2799" s="2" t="s">
        <v>16</v>
      </c>
      <c r="K2799" s="2" t="s">
        <v>17</v>
      </c>
      <c r="L2799" s="7">
        <v>329.95</v>
      </c>
      <c r="M2799" s="2" t="str">
        <f>_xlfn.IFS(TelecomData[[#This Row],[TenureMonths]]&lt;=12, "0-1 Year", TelecomData[[#This Row],[TenureMonths]]&lt;=36, "1-3 Years", TelecomData[[#This Row],[TenureMonths]]&gt;36, "3+ Years")</f>
        <v>0-1 Year</v>
      </c>
      <c r="N2799" s="2" t="str">
        <f>IF(TelecomData[[#This Row],[CleanedTotalCharges]]&gt;=2500,"High Spend", "Standard Spend")</f>
        <v>Standard Spend</v>
      </c>
    </row>
    <row r="2800" spans="1:14" x14ac:dyDescent="0.3">
      <c r="A2800" s="1" t="s">
        <v>2824</v>
      </c>
      <c r="B2800" s="2" t="s">
        <v>19</v>
      </c>
      <c r="C2800" s="2" t="s">
        <v>13</v>
      </c>
      <c r="D2800" s="2">
        <v>10</v>
      </c>
      <c r="E2800" s="2" t="s">
        <v>26</v>
      </c>
      <c r="F2800" s="2" t="s">
        <v>15</v>
      </c>
      <c r="G2800" s="7">
        <v>94.9</v>
      </c>
      <c r="H2800" s="7">
        <v>1048.8499999999999</v>
      </c>
      <c r="I2800" s="2" t="s">
        <v>16</v>
      </c>
      <c r="J2800" s="2" t="s">
        <v>16</v>
      </c>
      <c r="K2800" s="2" t="s">
        <v>17</v>
      </c>
      <c r="L2800" s="7">
        <v>1048.8499999999999</v>
      </c>
      <c r="M2800" s="2" t="str">
        <f>_xlfn.IFS(TelecomData[[#This Row],[TenureMonths]]&lt;=12, "0-1 Year", TelecomData[[#This Row],[TenureMonths]]&lt;=36, "1-3 Years", TelecomData[[#This Row],[TenureMonths]]&gt;36, "3+ Years")</f>
        <v>0-1 Year</v>
      </c>
      <c r="N2800" s="2" t="str">
        <f>IF(TelecomData[[#This Row],[CleanedTotalCharges]]&gt;=2500,"High Spend", "Standard Spend")</f>
        <v>Standard Spend</v>
      </c>
    </row>
    <row r="2801" spans="1:14" x14ac:dyDescent="0.3">
      <c r="A2801" s="1" t="s">
        <v>2825</v>
      </c>
      <c r="B2801" s="2" t="s">
        <v>19</v>
      </c>
      <c r="C2801" s="2" t="s">
        <v>20</v>
      </c>
      <c r="D2801" s="2">
        <v>55</v>
      </c>
      <c r="E2801" s="2" t="s">
        <v>15</v>
      </c>
      <c r="F2801" s="2" t="s">
        <v>36</v>
      </c>
      <c r="G2801" s="7">
        <v>19.100000000000001</v>
      </c>
      <c r="H2801" s="7">
        <v>1001.5</v>
      </c>
      <c r="I2801" s="2" t="s">
        <v>15</v>
      </c>
      <c r="J2801" s="2" t="s">
        <v>15</v>
      </c>
      <c r="K2801" s="2" t="s">
        <v>24</v>
      </c>
      <c r="L2801" s="7">
        <v>1001.5</v>
      </c>
      <c r="M2801" s="2" t="str">
        <f>_xlfn.IFS(TelecomData[[#This Row],[TenureMonths]]&lt;=12, "0-1 Year", TelecomData[[#This Row],[TenureMonths]]&lt;=36, "1-3 Years", TelecomData[[#This Row],[TenureMonths]]&gt;36, "3+ Years")</f>
        <v>3+ Years</v>
      </c>
      <c r="N2801" s="2" t="str">
        <f>IF(TelecomData[[#This Row],[CleanedTotalCharges]]&gt;=2500,"High Spend", "Standard Spend")</f>
        <v>Standard Spend</v>
      </c>
    </row>
    <row r="2802" spans="1:14" x14ac:dyDescent="0.3">
      <c r="A2802" s="1" t="s">
        <v>2826</v>
      </c>
      <c r="B2802" s="2" t="s">
        <v>12</v>
      </c>
      <c r="C2802" s="2" t="s">
        <v>13</v>
      </c>
      <c r="D2802" s="2">
        <v>20</v>
      </c>
      <c r="E2802" s="2" t="s">
        <v>15</v>
      </c>
      <c r="F2802" s="2" t="s">
        <v>36</v>
      </c>
      <c r="G2802" s="7">
        <v>20.350000000000001</v>
      </c>
      <c r="H2802" s="7">
        <v>442.6</v>
      </c>
      <c r="I2802" s="2" t="s">
        <v>15</v>
      </c>
      <c r="J2802" s="2" t="s">
        <v>15</v>
      </c>
      <c r="K2802" s="2" t="s">
        <v>21</v>
      </c>
      <c r="L2802" s="7">
        <v>442.6</v>
      </c>
      <c r="M2802" s="2" t="str">
        <f>_xlfn.IFS(TelecomData[[#This Row],[TenureMonths]]&lt;=12, "0-1 Year", TelecomData[[#This Row],[TenureMonths]]&lt;=36, "1-3 Years", TelecomData[[#This Row],[TenureMonths]]&gt;36, "3+ Years")</f>
        <v>1-3 Years</v>
      </c>
      <c r="N2802" s="2" t="str">
        <f>IF(TelecomData[[#This Row],[CleanedTotalCharges]]&gt;=2500,"High Spend", "Standard Spend")</f>
        <v>Standard Spend</v>
      </c>
    </row>
    <row r="2803" spans="1:14" x14ac:dyDescent="0.3">
      <c r="A2803" s="1" t="s">
        <v>2827</v>
      </c>
      <c r="B2803" s="2" t="s">
        <v>12</v>
      </c>
      <c r="C2803" s="2" t="s">
        <v>20</v>
      </c>
      <c r="D2803" s="2">
        <v>62</v>
      </c>
      <c r="E2803" s="2" t="s">
        <v>26</v>
      </c>
      <c r="F2803" s="2" t="s">
        <v>16</v>
      </c>
      <c r="G2803" s="7">
        <v>106.05</v>
      </c>
      <c r="H2803" s="7">
        <v>6703.5</v>
      </c>
      <c r="I2803" s="2" t="s">
        <v>15</v>
      </c>
      <c r="J2803" s="2" t="s">
        <v>16</v>
      </c>
      <c r="K2803" s="2" t="s">
        <v>29</v>
      </c>
      <c r="L2803" s="7">
        <v>6703.5</v>
      </c>
      <c r="M2803" s="2" t="str">
        <f>_xlfn.IFS(TelecomData[[#This Row],[TenureMonths]]&lt;=12, "0-1 Year", TelecomData[[#This Row],[TenureMonths]]&lt;=36, "1-3 Years", TelecomData[[#This Row],[TenureMonths]]&gt;36, "3+ Years")</f>
        <v>3+ Years</v>
      </c>
      <c r="N2803" s="2" t="str">
        <f>IF(TelecomData[[#This Row],[CleanedTotalCharges]]&gt;=2500,"High Spend", "Standard Spend")</f>
        <v>High Spend</v>
      </c>
    </row>
    <row r="2804" spans="1:14" x14ac:dyDescent="0.3">
      <c r="A2804" s="1" t="s">
        <v>2828</v>
      </c>
      <c r="B2804" s="2" t="s">
        <v>19</v>
      </c>
      <c r="C2804" s="2" t="s">
        <v>13</v>
      </c>
      <c r="D2804" s="2">
        <v>32</v>
      </c>
      <c r="E2804" s="2" t="s">
        <v>26</v>
      </c>
      <c r="F2804" s="2" t="s">
        <v>16</v>
      </c>
      <c r="G2804" s="7">
        <v>104.9</v>
      </c>
      <c r="H2804" s="7">
        <v>3351.55</v>
      </c>
      <c r="I2804" s="2" t="s">
        <v>16</v>
      </c>
      <c r="J2804" s="2" t="s">
        <v>16</v>
      </c>
      <c r="K2804" s="2" t="s">
        <v>17</v>
      </c>
      <c r="L2804" s="7">
        <v>3351.55</v>
      </c>
      <c r="M2804" s="2" t="str">
        <f>_xlfn.IFS(TelecomData[[#This Row],[TenureMonths]]&lt;=12, "0-1 Year", TelecomData[[#This Row],[TenureMonths]]&lt;=36, "1-3 Years", TelecomData[[#This Row],[TenureMonths]]&gt;36, "3+ Years")</f>
        <v>1-3 Years</v>
      </c>
      <c r="N2804" s="2" t="str">
        <f>IF(TelecomData[[#This Row],[CleanedTotalCharges]]&gt;=2500,"High Spend", "Standard Spend")</f>
        <v>High Spend</v>
      </c>
    </row>
    <row r="2805" spans="1:14" x14ac:dyDescent="0.3">
      <c r="A2805" s="1" t="s">
        <v>2829</v>
      </c>
      <c r="B2805" s="2" t="s">
        <v>12</v>
      </c>
      <c r="C2805" s="2" t="s">
        <v>35</v>
      </c>
      <c r="D2805" s="2">
        <v>43</v>
      </c>
      <c r="E2805" s="2" t="s">
        <v>15</v>
      </c>
      <c r="F2805" s="2" t="s">
        <v>36</v>
      </c>
      <c r="G2805" s="7">
        <v>19.649999999999999</v>
      </c>
      <c r="H2805" s="7">
        <v>779.25</v>
      </c>
      <c r="I2805" s="2" t="s">
        <v>15</v>
      </c>
      <c r="J2805" s="2" t="s">
        <v>16</v>
      </c>
      <c r="K2805" s="2" t="s">
        <v>24</v>
      </c>
      <c r="L2805" s="7">
        <v>779.25</v>
      </c>
      <c r="M2805" s="2" t="str">
        <f>_xlfn.IFS(TelecomData[[#This Row],[TenureMonths]]&lt;=12, "0-1 Year", TelecomData[[#This Row],[TenureMonths]]&lt;=36, "1-3 Years", TelecomData[[#This Row],[TenureMonths]]&gt;36, "3+ Years")</f>
        <v>3+ Years</v>
      </c>
      <c r="N2805" s="2" t="str">
        <f>IF(TelecomData[[#This Row],[CleanedTotalCharges]]&gt;=2500,"High Spend", "Standard Spend")</f>
        <v>Standard Spend</v>
      </c>
    </row>
    <row r="2806" spans="1:14" x14ac:dyDescent="0.3">
      <c r="A2806" s="1" t="s">
        <v>2830</v>
      </c>
      <c r="B2806" s="2" t="s">
        <v>19</v>
      </c>
      <c r="C2806" s="2" t="s">
        <v>20</v>
      </c>
      <c r="D2806" s="2">
        <v>9</v>
      </c>
      <c r="E2806" s="2" t="s">
        <v>14</v>
      </c>
      <c r="F2806" s="2" t="s">
        <v>15</v>
      </c>
      <c r="G2806" s="7">
        <v>24.1</v>
      </c>
      <c r="H2806" s="7">
        <v>259.8</v>
      </c>
      <c r="I2806" s="2" t="s">
        <v>16</v>
      </c>
      <c r="J2806" s="2" t="s">
        <v>15</v>
      </c>
      <c r="K2806" s="2" t="s">
        <v>24</v>
      </c>
      <c r="L2806" s="7">
        <v>259.8</v>
      </c>
      <c r="M2806" s="2" t="str">
        <f>_xlfn.IFS(TelecomData[[#This Row],[TenureMonths]]&lt;=12, "0-1 Year", TelecomData[[#This Row],[TenureMonths]]&lt;=36, "1-3 Years", TelecomData[[#This Row],[TenureMonths]]&gt;36, "3+ Years")</f>
        <v>0-1 Year</v>
      </c>
      <c r="N2806" s="2" t="str">
        <f>IF(TelecomData[[#This Row],[CleanedTotalCharges]]&gt;=2500,"High Spend", "Standard Spend")</f>
        <v>Standard Spend</v>
      </c>
    </row>
    <row r="2807" spans="1:14" x14ac:dyDescent="0.3">
      <c r="A2807" s="1" t="s">
        <v>2831</v>
      </c>
      <c r="B2807" s="2" t="s">
        <v>12</v>
      </c>
      <c r="C2807" s="2" t="s">
        <v>35</v>
      </c>
      <c r="D2807" s="2">
        <v>60</v>
      </c>
      <c r="E2807" s="2" t="s">
        <v>14</v>
      </c>
      <c r="F2807" s="2" t="s">
        <v>16</v>
      </c>
      <c r="G2807" s="7">
        <v>59.85</v>
      </c>
      <c r="H2807" s="7">
        <v>3483.45</v>
      </c>
      <c r="I2807" s="2" t="s">
        <v>15</v>
      </c>
      <c r="J2807" s="2" t="s">
        <v>15</v>
      </c>
      <c r="K2807" s="2" t="s">
        <v>24</v>
      </c>
      <c r="L2807" s="7">
        <v>3483.45</v>
      </c>
      <c r="M2807" s="2" t="str">
        <f>_xlfn.IFS(TelecomData[[#This Row],[TenureMonths]]&lt;=12, "0-1 Year", TelecomData[[#This Row],[TenureMonths]]&lt;=36, "1-3 Years", TelecomData[[#This Row],[TenureMonths]]&gt;36, "3+ Years")</f>
        <v>3+ Years</v>
      </c>
      <c r="N2807" s="2" t="str">
        <f>IF(TelecomData[[#This Row],[CleanedTotalCharges]]&gt;=2500,"High Spend", "Standard Spend")</f>
        <v>High Spend</v>
      </c>
    </row>
    <row r="2808" spans="1:14" x14ac:dyDescent="0.3">
      <c r="A2808" s="1" t="s">
        <v>2832</v>
      </c>
      <c r="B2808" s="2" t="s">
        <v>19</v>
      </c>
      <c r="C2808" s="2" t="s">
        <v>35</v>
      </c>
      <c r="D2808" s="2">
        <v>58</v>
      </c>
      <c r="E2808" s="2" t="s">
        <v>14</v>
      </c>
      <c r="F2808" s="2" t="s">
        <v>15</v>
      </c>
      <c r="G2808" s="7">
        <v>86.1</v>
      </c>
      <c r="H2808" s="7">
        <v>4890.5</v>
      </c>
      <c r="I2808" s="2" t="s">
        <v>15</v>
      </c>
      <c r="J2808" s="2" t="s">
        <v>16</v>
      </c>
      <c r="K2808" s="2" t="s">
        <v>17</v>
      </c>
      <c r="L2808" s="7">
        <v>4890.5</v>
      </c>
      <c r="M2808" s="2" t="str">
        <f>_xlfn.IFS(TelecomData[[#This Row],[TenureMonths]]&lt;=12, "0-1 Year", TelecomData[[#This Row],[TenureMonths]]&lt;=36, "1-3 Years", TelecomData[[#This Row],[TenureMonths]]&gt;36, "3+ Years")</f>
        <v>3+ Years</v>
      </c>
      <c r="N2808" s="2" t="str">
        <f>IF(TelecomData[[#This Row],[CleanedTotalCharges]]&gt;=2500,"High Spend", "Standard Spend")</f>
        <v>High Spend</v>
      </c>
    </row>
    <row r="2809" spans="1:14" x14ac:dyDescent="0.3">
      <c r="A2809" s="1" t="s">
        <v>2833</v>
      </c>
      <c r="B2809" s="2" t="s">
        <v>19</v>
      </c>
      <c r="C2809" s="2" t="s">
        <v>20</v>
      </c>
      <c r="D2809" s="2">
        <v>7</v>
      </c>
      <c r="E2809" s="2" t="s">
        <v>15</v>
      </c>
      <c r="F2809" s="2" t="s">
        <v>36</v>
      </c>
      <c r="G2809" s="7">
        <v>19.45</v>
      </c>
      <c r="H2809" s="7">
        <v>136.75</v>
      </c>
      <c r="I2809" s="2" t="s">
        <v>15</v>
      </c>
      <c r="J2809" s="2" t="s">
        <v>15</v>
      </c>
      <c r="K2809" s="2" t="s">
        <v>21</v>
      </c>
      <c r="L2809" s="7">
        <v>136.75</v>
      </c>
      <c r="M2809" s="2" t="str">
        <f>_xlfn.IFS(TelecomData[[#This Row],[TenureMonths]]&lt;=12, "0-1 Year", TelecomData[[#This Row],[TenureMonths]]&lt;=36, "1-3 Years", TelecomData[[#This Row],[TenureMonths]]&gt;36, "3+ Years")</f>
        <v>0-1 Year</v>
      </c>
      <c r="N2809" s="2" t="str">
        <f>IF(TelecomData[[#This Row],[CleanedTotalCharges]]&gt;=2500,"High Spend", "Standard Spend")</f>
        <v>Standard Spend</v>
      </c>
    </row>
    <row r="2810" spans="1:14" x14ac:dyDescent="0.3">
      <c r="A2810" s="1" t="s">
        <v>2834</v>
      </c>
      <c r="B2810" s="2" t="s">
        <v>19</v>
      </c>
      <c r="C2810" s="2" t="s">
        <v>13</v>
      </c>
      <c r="D2810" s="2">
        <v>2</v>
      </c>
      <c r="E2810" s="2" t="s">
        <v>26</v>
      </c>
      <c r="F2810" s="2" t="s">
        <v>15</v>
      </c>
      <c r="G2810" s="7">
        <v>97.1</v>
      </c>
      <c r="H2810" s="7">
        <v>184.15</v>
      </c>
      <c r="I2810" s="2" t="s">
        <v>15</v>
      </c>
      <c r="J2810" s="2" t="s">
        <v>15</v>
      </c>
      <c r="K2810" s="2" t="s">
        <v>17</v>
      </c>
      <c r="L2810" s="7">
        <v>184.15</v>
      </c>
      <c r="M2810" s="2" t="str">
        <f>_xlfn.IFS(TelecomData[[#This Row],[TenureMonths]]&lt;=12, "0-1 Year", TelecomData[[#This Row],[TenureMonths]]&lt;=36, "1-3 Years", TelecomData[[#This Row],[TenureMonths]]&gt;36, "3+ Years")</f>
        <v>0-1 Year</v>
      </c>
      <c r="N2810" s="2" t="str">
        <f>IF(TelecomData[[#This Row],[CleanedTotalCharges]]&gt;=2500,"High Spend", "Standard Spend")</f>
        <v>Standard Spend</v>
      </c>
    </row>
    <row r="2811" spans="1:14" x14ac:dyDescent="0.3">
      <c r="A2811" s="1" t="s">
        <v>2835</v>
      </c>
      <c r="B2811" s="2" t="s">
        <v>19</v>
      </c>
      <c r="C2811" s="2" t="s">
        <v>13</v>
      </c>
      <c r="D2811" s="2">
        <v>37</v>
      </c>
      <c r="E2811" s="2" t="s">
        <v>14</v>
      </c>
      <c r="F2811" s="2" t="s">
        <v>15</v>
      </c>
      <c r="G2811" s="7">
        <v>36.65</v>
      </c>
      <c r="H2811" s="7">
        <v>1315</v>
      </c>
      <c r="I2811" s="2" t="s">
        <v>15</v>
      </c>
      <c r="J2811" s="2" t="s">
        <v>15</v>
      </c>
      <c r="K2811" s="2" t="s">
        <v>17</v>
      </c>
      <c r="L2811" s="7">
        <v>1315</v>
      </c>
      <c r="M2811" s="2" t="str">
        <f>_xlfn.IFS(TelecomData[[#This Row],[TenureMonths]]&lt;=12, "0-1 Year", TelecomData[[#This Row],[TenureMonths]]&lt;=36, "1-3 Years", TelecomData[[#This Row],[TenureMonths]]&gt;36, "3+ Years")</f>
        <v>3+ Years</v>
      </c>
      <c r="N2811" s="2" t="str">
        <f>IF(TelecomData[[#This Row],[CleanedTotalCharges]]&gt;=2500,"High Spend", "Standard Spend")</f>
        <v>Standard Spend</v>
      </c>
    </row>
    <row r="2812" spans="1:14" x14ac:dyDescent="0.3">
      <c r="A2812" s="1" t="s">
        <v>2836</v>
      </c>
      <c r="B2812" s="2" t="s">
        <v>12</v>
      </c>
      <c r="C2812" s="2" t="s">
        <v>20</v>
      </c>
      <c r="D2812" s="2">
        <v>65</v>
      </c>
      <c r="E2812" s="2" t="s">
        <v>26</v>
      </c>
      <c r="F2812" s="2" t="s">
        <v>16</v>
      </c>
      <c r="G2812" s="7">
        <v>103.9</v>
      </c>
      <c r="H2812" s="7">
        <v>6767.1</v>
      </c>
      <c r="I2812" s="2" t="s">
        <v>15</v>
      </c>
      <c r="J2812" s="2" t="s">
        <v>16</v>
      </c>
      <c r="K2812" s="2" t="s">
        <v>24</v>
      </c>
      <c r="L2812" s="7">
        <v>6767.1</v>
      </c>
      <c r="M2812" s="2" t="str">
        <f>_xlfn.IFS(TelecomData[[#This Row],[TenureMonths]]&lt;=12, "0-1 Year", TelecomData[[#This Row],[TenureMonths]]&lt;=36, "1-3 Years", TelecomData[[#This Row],[TenureMonths]]&gt;36, "3+ Years")</f>
        <v>3+ Years</v>
      </c>
      <c r="N2812" s="2" t="str">
        <f>IF(TelecomData[[#This Row],[CleanedTotalCharges]]&gt;=2500,"High Spend", "Standard Spend")</f>
        <v>High Spend</v>
      </c>
    </row>
    <row r="2813" spans="1:14" x14ac:dyDescent="0.3">
      <c r="A2813" s="1" t="s">
        <v>2837</v>
      </c>
      <c r="B2813" s="2" t="s">
        <v>12</v>
      </c>
      <c r="C2813" s="2" t="s">
        <v>35</v>
      </c>
      <c r="D2813" s="2">
        <v>39</v>
      </c>
      <c r="E2813" s="2" t="s">
        <v>15</v>
      </c>
      <c r="F2813" s="2" t="s">
        <v>36</v>
      </c>
      <c r="G2813" s="7">
        <v>19.75</v>
      </c>
      <c r="H2813" s="7">
        <v>757.95</v>
      </c>
      <c r="I2813" s="2" t="s">
        <v>15</v>
      </c>
      <c r="J2813" s="2" t="s">
        <v>15</v>
      </c>
      <c r="K2813" s="2" t="s">
        <v>21</v>
      </c>
      <c r="L2813" s="7">
        <v>757.95</v>
      </c>
      <c r="M2813" s="2" t="str">
        <f>_xlfn.IFS(TelecomData[[#This Row],[TenureMonths]]&lt;=12, "0-1 Year", TelecomData[[#This Row],[TenureMonths]]&lt;=36, "1-3 Years", TelecomData[[#This Row],[TenureMonths]]&gt;36, "3+ Years")</f>
        <v>3+ Years</v>
      </c>
      <c r="N2813" s="2" t="str">
        <f>IF(TelecomData[[#This Row],[CleanedTotalCharges]]&gt;=2500,"High Spend", "Standard Spend")</f>
        <v>Standard Spend</v>
      </c>
    </row>
    <row r="2814" spans="1:14" x14ac:dyDescent="0.3">
      <c r="A2814" s="1" t="s">
        <v>2838</v>
      </c>
      <c r="B2814" s="2" t="s">
        <v>19</v>
      </c>
      <c r="C2814" s="2" t="s">
        <v>20</v>
      </c>
      <c r="D2814" s="2">
        <v>66</v>
      </c>
      <c r="E2814" s="2" t="s">
        <v>26</v>
      </c>
      <c r="F2814" s="2" t="s">
        <v>16</v>
      </c>
      <c r="G2814" s="7">
        <v>104.05</v>
      </c>
      <c r="H2814" s="7">
        <v>6890</v>
      </c>
      <c r="I2814" s="2" t="s">
        <v>16</v>
      </c>
      <c r="J2814" s="2" t="s">
        <v>16</v>
      </c>
      <c r="K2814" s="2" t="s">
        <v>17</v>
      </c>
      <c r="L2814" s="7">
        <v>6890</v>
      </c>
      <c r="M2814" s="2" t="str">
        <f>_xlfn.IFS(TelecomData[[#This Row],[TenureMonths]]&lt;=12, "0-1 Year", TelecomData[[#This Row],[TenureMonths]]&lt;=36, "1-3 Years", TelecomData[[#This Row],[TenureMonths]]&gt;36, "3+ Years")</f>
        <v>3+ Years</v>
      </c>
      <c r="N2814" s="2" t="str">
        <f>IF(TelecomData[[#This Row],[CleanedTotalCharges]]&gt;=2500,"High Spend", "Standard Spend")</f>
        <v>High Spend</v>
      </c>
    </row>
    <row r="2815" spans="1:14" x14ac:dyDescent="0.3">
      <c r="A2815" s="1" t="s">
        <v>2839</v>
      </c>
      <c r="B2815" s="2" t="s">
        <v>19</v>
      </c>
      <c r="C2815" s="2" t="s">
        <v>35</v>
      </c>
      <c r="D2815" s="2">
        <v>68</v>
      </c>
      <c r="E2815" s="2" t="s">
        <v>15</v>
      </c>
      <c r="F2815" s="2" t="s">
        <v>36</v>
      </c>
      <c r="G2815" s="7">
        <v>24.55</v>
      </c>
      <c r="H2815" s="7">
        <v>1657.4</v>
      </c>
      <c r="I2815" s="2" t="s">
        <v>15</v>
      </c>
      <c r="J2815" s="2" t="s">
        <v>15</v>
      </c>
      <c r="K2815" s="2" t="s">
        <v>21</v>
      </c>
      <c r="L2815" s="7">
        <v>1657.4</v>
      </c>
      <c r="M2815" s="2" t="str">
        <f>_xlfn.IFS(TelecomData[[#This Row],[TenureMonths]]&lt;=12, "0-1 Year", TelecomData[[#This Row],[TenureMonths]]&lt;=36, "1-3 Years", TelecomData[[#This Row],[TenureMonths]]&gt;36, "3+ Years")</f>
        <v>3+ Years</v>
      </c>
      <c r="N2815" s="2" t="str">
        <f>IF(TelecomData[[#This Row],[CleanedTotalCharges]]&gt;=2500,"High Spend", "Standard Spend")</f>
        <v>Standard Spend</v>
      </c>
    </row>
    <row r="2816" spans="1:14" x14ac:dyDescent="0.3">
      <c r="A2816" s="1" t="s">
        <v>2840</v>
      </c>
      <c r="B2816" s="2" t="s">
        <v>12</v>
      </c>
      <c r="C2816" s="2" t="s">
        <v>35</v>
      </c>
      <c r="D2816" s="2">
        <v>62</v>
      </c>
      <c r="E2816" s="2" t="s">
        <v>14</v>
      </c>
      <c r="F2816" s="2" t="s">
        <v>16</v>
      </c>
      <c r="G2816" s="7">
        <v>48.7</v>
      </c>
      <c r="H2816" s="7">
        <v>3008.55</v>
      </c>
      <c r="I2816" s="2" t="s">
        <v>15</v>
      </c>
      <c r="J2816" s="2" t="s">
        <v>15</v>
      </c>
      <c r="K2816" s="2" t="s">
        <v>24</v>
      </c>
      <c r="L2816" s="7">
        <v>3008.55</v>
      </c>
      <c r="M2816" s="2" t="str">
        <f>_xlfn.IFS(TelecomData[[#This Row],[TenureMonths]]&lt;=12, "0-1 Year", TelecomData[[#This Row],[TenureMonths]]&lt;=36, "1-3 Years", TelecomData[[#This Row],[TenureMonths]]&gt;36, "3+ Years")</f>
        <v>3+ Years</v>
      </c>
      <c r="N2816" s="2" t="str">
        <f>IF(TelecomData[[#This Row],[CleanedTotalCharges]]&gt;=2500,"High Spend", "Standard Spend")</f>
        <v>High Spend</v>
      </c>
    </row>
    <row r="2817" spans="1:14" x14ac:dyDescent="0.3">
      <c r="A2817" s="1" t="s">
        <v>2841</v>
      </c>
      <c r="B2817" s="2" t="s">
        <v>19</v>
      </c>
      <c r="C2817" s="2" t="s">
        <v>13</v>
      </c>
      <c r="D2817" s="2">
        <v>3</v>
      </c>
      <c r="E2817" s="2" t="s">
        <v>26</v>
      </c>
      <c r="F2817" s="2" t="s">
        <v>16</v>
      </c>
      <c r="G2817" s="7">
        <v>88.35</v>
      </c>
      <c r="H2817" s="7">
        <v>262.05</v>
      </c>
      <c r="I2817" s="2" t="s">
        <v>16</v>
      </c>
      <c r="J2817" s="2" t="s">
        <v>16</v>
      </c>
      <c r="K2817" s="2" t="s">
        <v>21</v>
      </c>
      <c r="L2817" s="7">
        <v>262.05</v>
      </c>
      <c r="M2817" s="2" t="str">
        <f>_xlfn.IFS(TelecomData[[#This Row],[TenureMonths]]&lt;=12, "0-1 Year", TelecomData[[#This Row],[TenureMonths]]&lt;=36, "1-3 Years", TelecomData[[#This Row],[TenureMonths]]&gt;36, "3+ Years")</f>
        <v>0-1 Year</v>
      </c>
      <c r="N2817" s="2" t="str">
        <f>IF(TelecomData[[#This Row],[CleanedTotalCharges]]&gt;=2500,"High Spend", "Standard Spend")</f>
        <v>Standard Spend</v>
      </c>
    </row>
    <row r="2818" spans="1:14" x14ac:dyDescent="0.3">
      <c r="A2818" s="1" t="s">
        <v>2842</v>
      </c>
      <c r="B2818" s="2" t="s">
        <v>12</v>
      </c>
      <c r="C2818" s="2" t="s">
        <v>35</v>
      </c>
      <c r="D2818" s="2">
        <v>72</v>
      </c>
      <c r="E2818" s="2" t="s">
        <v>26</v>
      </c>
      <c r="F2818" s="2" t="s">
        <v>15</v>
      </c>
      <c r="G2818" s="7">
        <v>109.55</v>
      </c>
      <c r="H2818" s="7">
        <v>8165.1</v>
      </c>
      <c r="I2818" s="2" t="s">
        <v>15</v>
      </c>
      <c r="J2818" s="2" t="s">
        <v>16</v>
      </c>
      <c r="K2818" s="2" t="s">
        <v>17</v>
      </c>
      <c r="L2818" s="7">
        <v>8165.1</v>
      </c>
      <c r="M2818" s="2" t="str">
        <f>_xlfn.IFS(TelecomData[[#This Row],[TenureMonths]]&lt;=12, "0-1 Year", TelecomData[[#This Row],[TenureMonths]]&lt;=36, "1-3 Years", TelecomData[[#This Row],[TenureMonths]]&gt;36, "3+ Years")</f>
        <v>3+ Years</v>
      </c>
      <c r="N2818" s="2" t="str">
        <f>IF(TelecomData[[#This Row],[CleanedTotalCharges]]&gt;=2500,"High Spend", "Standard Spend")</f>
        <v>High Spend</v>
      </c>
    </row>
    <row r="2819" spans="1:14" x14ac:dyDescent="0.3">
      <c r="A2819" s="1" t="s">
        <v>2843</v>
      </c>
      <c r="B2819" s="2" t="s">
        <v>12</v>
      </c>
      <c r="C2819" s="2" t="s">
        <v>35</v>
      </c>
      <c r="D2819" s="2">
        <v>41</v>
      </c>
      <c r="E2819" s="2" t="s">
        <v>15</v>
      </c>
      <c r="F2819" s="2" t="s">
        <v>36</v>
      </c>
      <c r="G2819" s="7">
        <v>20.65</v>
      </c>
      <c r="H2819" s="7">
        <v>875.55</v>
      </c>
      <c r="I2819" s="2" t="s">
        <v>15</v>
      </c>
      <c r="J2819" s="2" t="s">
        <v>15</v>
      </c>
      <c r="K2819" s="2" t="s">
        <v>29</v>
      </c>
      <c r="L2819" s="7">
        <v>875.55</v>
      </c>
      <c r="M2819" s="2" t="str">
        <f>_xlfn.IFS(TelecomData[[#This Row],[TenureMonths]]&lt;=12, "0-1 Year", TelecomData[[#This Row],[TenureMonths]]&lt;=36, "1-3 Years", TelecomData[[#This Row],[TenureMonths]]&gt;36, "3+ Years")</f>
        <v>3+ Years</v>
      </c>
      <c r="N2819" s="2" t="str">
        <f>IF(TelecomData[[#This Row],[CleanedTotalCharges]]&gt;=2500,"High Spend", "Standard Spend")</f>
        <v>Standard Spend</v>
      </c>
    </row>
    <row r="2820" spans="1:14" x14ac:dyDescent="0.3">
      <c r="A2820" s="1" t="s">
        <v>2844</v>
      </c>
      <c r="B2820" s="2" t="s">
        <v>19</v>
      </c>
      <c r="C2820" s="2" t="s">
        <v>13</v>
      </c>
      <c r="D2820" s="2">
        <v>29</v>
      </c>
      <c r="E2820" s="2" t="s">
        <v>26</v>
      </c>
      <c r="F2820" s="2" t="s">
        <v>15</v>
      </c>
      <c r="G2820" s="7">
        <v>94.65</v>
      </c>
      <c r="H2820" s="7">
        <v>2649.15</v>
      </c>
      <c r="I2820" s="2" t="s">
        <v>16</v>
      </c>
      <c r="J2820" s="2" t="s">
        <v>15</v>
      </c>
      <c r="K2820" s="2" t="s">
        <v>29</v>
      </c>
      <c r="L2820" s="7">
        <v>2649.15</v>
      </c>
      <c r="M2820" s="2" t="str">
        <f>_xlfn.IFS(TelecomData[[#This Row],[TenureMonths]]&lt;=12, "0-1 Year", TelecomData[[#This Row],[TenureMonths]]&lt;=36, "1-3 Years", TelecomData[[#This Row],[TenureMonths]]&gt;36, "3+ Years")</f>
        <v>1-3 Years</v>
      </c>
      <c r="N2820" s="2" t="str">
        <f>IF(TelecomData[[#This Row],[CleanedTotalCharges]]&gt;=2500,"High Spend", "Standard Spend")</f>
        <v>High Spend</v>
      </c>
    </row>
    <row r="2821" spans="1:14" x14ac:dyDescent="0.3">
      <c r="A2821" s="1" t="s">
        <v>2845</v>
      </c>
      <c r="B2821" s="2" t="s">
        <v>12</v>
      </c>
      <c r="C2821" s="2" t="s">
        <v>13</v>
      </c>
      <c r="D2821" s="2">
        <v>4</v>
      </c>
      <c r="E2821" s="2" t="s">
        <v>14</v>
      </c>
      <c r="F2821" s="2" t="s">
        <v>15</v>
      </c>
      <c r="G2821" s="7">
        <v>55.2</v>
      </c>
      <c r="H2821" s="7">
        <v>220.65</v>
      </c>
      <c r="I2821" s="2" t="s">
        <v>15</v>
      </c>
      <c r="J2821" s="2" t="s">
        <v>15</v>
      </c>
      <c r="K2821" s="2" t="s">
        <v>17</v>
      </c>
      <c r="L2821" s="7">
        <v>220.65</v>
      </c>
      <c r="M2821" s="2" t="str">
        <f>_xlfn.IFS(TelecomData[[#This Row],[TenureMonths]]&lt;=12, "0-1 Year", TelecomData[[#This Row],[TenureMonths]]&lt;=36, "1-3 Years", TelecomData[[#This Row],[TenureMonths]]&gt;36, "3+ Years")</f>
        <v>0-1 Year</v>
      </c>
      <c r="N2821" s="2" t="str">
        <f>IF(TelecomData[[#This Row],[CleanedTotalCharges]]&gt;=2500,"High Spend", "Standard Spend")</f>
        <v>Standard Spend</v>
      </c>
    </row>
    <row r="2822" spans="1:14" x14ac:dyDescent="0.3">
      <c r="A2822" s="1" t="s">
        <v>2846</v>
      </c>
      <c r="B2822" s="2" t="s">
        <v>19</v>
      </c>
      <c r="C2822" s="2" t="s">
        <v>20</v>
      </c>
      <c r="D2822" s="2">
        <v>53</v>
      </c>
      <c r="E2822" s="2" t="s">
        <v>15</v>
      </c>
      <c r="F2822" s="2" t="s">
        <v>36</v>
      </c>
      <c r="G2822" s="7">
        <v>24.05</v>
      </c>
      <c r="H2822" s="7">
        <v>1301.9000000000001</v>
      </c>
      <c r="I2822" s="2" t="s">
        <v>15</v>
      </c>
      <c r="J2822" s="2" t="s">
        <v>15</v>
      </c>
      <c r="K2822" s="2" t="s">
        <v>24</v>
      </c>
      <c r="L2822" s="7">
        <v>1301.9000000000001</v>
      </c>
      <c r="M2822" s="2" t="str">
        <f>_xlfn.IFS(TelecomData[[#This Row],[TenureMonths]]&lt;=12, "0-1 Year", TelecomData[[#This Row],[TenureMonths]]&lt;=36, "1-3 Years", TelecomData[[#This Row],[TenureMonths]]&gt;36, "3+ Years")</f>
        <v>3+ Years</v>
      </c>
      <c r="N2822" s="2" t="str">
        <f>IF(TelecomData[[#This Row],[CleanedTotalCharges]]&gt;=2500,"High Spend", "Standard Spend")</f>
        <v>Standard Spend</v>
      </c>
    </row>
    <row r="2823" spans="1:14" x14ac:dyDescent="0.3">
      <c r="A2823" s="1" t="s">
        <v>2847</v>
      </c>
      <c r="B2823" s="2" t="s">
        <v>19</v>
      </c>
      <c r="C2823" s="2" t="s">
        <v>13</v>
      </c>
      <c r="D2823" s="2">
        <v>1</v>
      </c>
      <c r="E2823" s="2" t="s">
        <v>26</v>
      </c>
      <c r="F2823" s="2" t="s">
        <v>15</v>
      </c>
      <c r="G2823" s="7">
        <v>74.400000000000006</v>
      </c>
      <c r="H2823" s="7">
        <v>74.400000000000006</v>
      </c>
      <c r="I2823" s="2" t="s">
        <v>16</v>
      </c>
      <c r="J2823" s="2" t="s">
        <v>16</v>
      </c>
      <c r="K2823" s="2" t="s">
        <v>17</v>
      </c>
      <c r="L2823" s="7">
        <v>74.400000000000006</v>
      </c>
      <c r="M2823" s="2" t="str">
        <f>_xlfn.IFS(TelecomData[[#This Row],[TenureMonths]]&lt;=12, "0-1 Year", TelecomData[[#This Row],[TenureMonths]]&lt;=36, "1-3 Years", TelecomData[[#This Row],[TenureMonths]]&gt;36, "3+ Years")</f>
        <v>0-1 Year</v>
      </c>
      <c r="N2823" s="2" t="str">
        <f>IF(TelecomData[[#This Row],[CleanedTotalCharges]]&gt;=2500,"High Spend", "Standard Spend")</f>
        <v>Standard Spend</v>
      </c>
    </row>
    <row r="2824" spans="1:14" x14ac:dyDescent="0.3">
      <c r="A2824" s="1" t="s">
        <v>2848</v>
      </c>
      <c r="B2824" s="2" t="s">
        <v>12</v>
      </c>
      <c r="C2824" s="2" t="s">
        <v>13</v>
      </c>
      <c r="D2824" s="2">
        <v>41</v>
      </c>
      <c r="E2824" s="2" t="s">
        <v>14</v>
      </c>
      <c r="F2824" s="2" t="s">
        <v>16</v>
      </c>
      <c r="G2824" s="7">
        <v>79.900000000000006</v>
      </c>
      <c r="H2824" s="7">
        <v>3326.2</v>
      </c>
      <c r="I2824" s="2" t="s">
        <v>16</v>
      </c>
      <c r="J2824" s="2" t="s">
        <v>15</v>
      </c>
      <c r="K2824" s="2" t="s">
        <v>29</v>
      </c>
      <c r="L2824" s="7">
        <v>3326.2</v>
      </c>
      <c r="M2824" s="2" t="str">
        <f>_xlfn.IFS(TelecomData[[#This Row],[TenureMonths]]&lt;=12, "0-1 Year", TelecomData[[#This Row],[TenureMonths]]&lt;=36, "1-3 Years", TelecomData[[#This Row],[TenureMonths]]&gt;36, "3+ Years")</f>
        <v>3+ Years</v>
      </c>
      <c r="N2824" s="2" t="str">
        <f>IF(TelecomData[[#This Row],[CleanedTotalCharges]]&gt;=2500,"High Spend", "Standard Spend")</f>
        <v>High Spend</v>
      </c>
    </row>
    <row r="2825" spans="1:14" x14ac:dyDescent="0.3">
      <c r="A2825" s="1" t="s">
        <v>2849</v>
      </c>
      <c r="B2825" s="2" t="s">
        <v>19</v>
      </c>
      <c r="C2825" s="2" t="s">
        <v>35</v>
      </c>
      <c r="D2825" s="2">
        <v>39</v>
      </c>
      <c r="E2825" s="2" t="s">
        <v>15</v>
      </c>
      <c r="F2825" s="2" t="s">
        <v>36</v>
      </c>
      <c r="G2825" s="7">
        <v>20.45</v>
      </c>
      <c r="H2825" s="7">
        <v>790</v>
      </c>
      <c r="I2825" s="2" t="s">
        <v>15</v>
      </c>
      <c r="J2825" s="2" t="s">
        <v>16</v>
      </c>
      <c r="K2825" s="2" t="s">
        <v>24</v>
      </c>
      <c r="L2825" s="7">
        <v>790</v>
      </c>
      <c r="M2825" s="2" t="str">
        <f>_xlfn.IFS(TelecomData[[#This Row],[TenureMonths]]&lt;=12, "0-1 Year", TelecomData[[#This Row],[TenureMonths]]&lt;=36, "1-3 Years", TelecomData[[#This Row],[TenureMonths]]&gt;36, "3+ Years")</f>
        <v>3+ Years</v>
      </c>
      <c r="N2825" s="2" t="str">
        <f>IF(TelecomData[[#This Row],[CleanedTotalCharges]]&gt;=2500,"High Spend", "Standard Spend")</f>
        <v>Standard Spend</v>
      </c>
    </row>
    <row r="2826" spans="1:14" x14ac:dyDescent="0.3">
      <c r="A2826" s="1" t="s">
        <v>2850</v>
      </c>
      <c r="B2826" s="2" t="s">
        <v>19</v>
      </c>
      <c r="C2826" s="2" t="s">
        <v>35</v>
      </c>
      <c r="D2826" s="2">
        <v>63</v>
      </c>
      <c r="E2826" s="2" t="s">
        <v>15</v>
      </c>
      <c r="F2826" s="2" t="s">
        <v>36</v>
      </c>
      <c r="G2826" s="7">
        <v>19.25</v>
      </c>
      <c r="H2826" s="7">
        <v>1237.6500000000001</v>
      </c>
      <c r="I2826" s="2" t="s">
        <v>15</v>
      </c>
      <c r="J2826" s="2" t="s">
        <v>15</v>
      </c>
      <c r="K2826" s="2" t="s">
        <v>21</v>
      </c>
      <c r="L2826" s="7">
        <v>1237.6500000000001</v>
      </c>
      <c r="M2826" s="2" t="str">
        <f>_xlfn.IFS(TelecomData[[#This Row],[TenureMonths]]&lt;=12, "0-1 Year", TelecomData[[#This Row],[TenureMonths]]&lt;=36, "1-3 Years", TelecomData[[#This Row],[TenureMonths]]&gt;36, "3+ Years")</f>
        <v>3+ Years</v>
      </c>
      <c r="N2826" s="2" t="str">
        <f>IF(TelecomData[[#This Row],[CleanedTotalCharges]]&gt;=2500,"High Spend", "Standard Spend")</f>
        <v>Standard Spend</v>
      </c>
    </row>
    <row r="2827" spans="1:14" x14ac:dyDescent="0.3">
      <c r="A2827" s="1" t="s">
        <v>2851</v>
      </c>
      <c r="B2827" s="2" t="s">
        <v>19</v>
      </c>
      <c r="C2827" s="2" t="s">
        <v>13</v>
      </c>
      <c r="D2827" s="2">
        <v>15</v>
      </c>
      <c r="E2827" s="2" t="s">
        <v>15</v>
      </c>
      <c r="F2827" s="2" t="s">
        <v>36</v>
      </c>
      <c r="G2827" s="7">
        <v>26.35</v>
      </c>
      <c r="H2827" s="7">
        <v>378.6</v>
      </c>
      <c r="I2827" s="2" t="s">
        <v>15</v>
      </c>
      <c r="J2827" s="2" t="s">
        <v>16</v>
      </c>
      <c r="K2827" s="2" t="s">
        <v>17</v>
      </c>
      <c r="L2827" s="7">
        <v>378.6</v>
      </c>
      <c r="M2827" s="2" t="str">
        <f>_xlfn.IFS(TelecomData[[#This Row],[TenureMonths]]&lt;=12, "0-1 Year", TelecomData[[#This Row],[TenureMonths]]&lt;=36, "1-3 Years", TelecomData[[#This Row],[TenureMonths]]&gt;36, "3+ Years")</f>
        <v>1-3 Years</v>
      </c>
      <c r="N2827" s="2" t="str">
        <f>IF(TelecomData[[#This Row],[CleanedTotalCharges]]&gt;=2500,"High Spend", "Standard Spend")</f>
        <v>Standard Spend</v>
      </c>
    </row>
    <row r="2828" spans="1:14" x14ac:dyDescent="0.3">
      <c r="A2828" s="1" t="s">
        <v>2852</v>
      </c>
      <c r="B2828" s="2" t="s">
        <v>12</v>
      </c>
      <c r="C2828" s="2" t="s">
        <v>20</v>
      </c>
      <c r="D2828" s="2">
        <v>13</v>
      </c>
      <c r="E2828" s="2" t="s">
        <v>14</v>
      </c>
      <c r="F2828" s="2" t="s">
        <v>15</v>
      </c>
      <c r="G2828" s="7">
        <v>43.8</v>
      </c>
      <c r="H2828" s="7">
        <v>592.65</v>
      </c>
      <c r="I2828" s="2" t="s">
        <v>15</v>
      </c>
      <c r="J2828" s="2" t="s">
        <v>15</v>
      </c>
      <c r="K2828" s="2" t="s">
        <v>17</v>
      </c>
      <c r="L2828" s="7">
        <v>592.65</v>
      </c>
      <c r="M2828" s="2" t="str">
        <f>_xlfn.IFS(TelecomData[[#This Row],[TenureMonths]]&lt;=12, "0-1 Year", TelecomData[[#This Row],[TenureMonths]]&lt;=36, "1-3 Years", TelecomData[[#This Row],[TenureMonths]]&gt;36, "3+ Years")</f>
        <v>1-3 Years</v>
      </c>
      <c r="N2828" s="2" t="str">
        <f>IF(TelecomData[[#This Row],[CleanedTotalCharges]]&gt;=2500,"High Spend", "Standard Spend")</f>
        <v>Standard Spend</v>
      </c>
    </row>
    <row r="2829" spans="1:14" x14ac:dyDescent="0.3">
      <c r="A2829" s="1" t="s">
        <v>2853</v>
      </c>
      <c r="B2829" s="2" t="s">
        <v>19</v>
      </c>
      <c r="C2829" s="2" t="s">
        <v>13</v>
      </c>
      <c r="D2829" s="2">
        <v>1</v>
      </c>
      <c r="E2829" s="2" t="s">
        <v>14</v>
      </c>
      <c r="F2829" s="2" t="s">
        <v>15</v>
      </c>
      <c r="G2829" s="7">
        <v>50.15</v>
      </c>
      <c r="H2829" s="7">
        <v>50.15</v>
      </c>
      <c r="I2829" s="2" t="s">
        <v>15</v>
      </c>
      <c r="J2829" s="2" t="s">
        <v>16</v>
      </c>
      <c r="K2829" s="2" t="s">
        <v>21</v>
      </c>
      <c r="L2829" s="7">
        <v>50.15</v>
      </c>
      <c r="M2829" s="2" t="str">
        <f>_xlfn.IFS(TelecomData[[#This Row],[TenureMonths]]&lt;=12, "0-1 Year", TelecomData[[#This Row],[TenureMonths]]&lt;=36, "1-3 Years", TelecomData[[#This Row],[TenureMonths]]&gt;36, "3+ Years")</f>
        <v>0-1 Year</v>
      </c>
      <c r="N2829" s="2" t="str">
        <f>IF(TelecomData[[#This Row],[CleanedTotalCharges]]&gt;=2500,"High Spend", "Standard Spend")</f>
        <v>Standard Spend</v>
      </c>
    </row>
    <row r="2830" spans="1:14" x14ac:dyDescent="0.3">
      <c r="A2830" s="1" t="s">
        <v>2854</v>
      </c>
      <c r="B2830" s="2" t="s">
        <v>19</v>
      </c>
      <c r="C2830" s="2" t="s">
        <v>35</v>
      </c>
      <c r="D2830" s="2">
        <v>1</v>
      </c>
      <c r="E2830" s="2" t="s">
        <v>15</v>
      </c>
      <c r="F2830" s="2" t="s">
        <v>36</v>
      </c>
      <c r="G2830" s="7">
        <v>20.45</v>
      </c>
      <c r="H2830" s="7">
        <v>20.45</v>
      </c>
      <c r="I2830" s="2" t="s">
        <v>15</v>
      </c>
      <c r="J2830" s="2" t="s">
        <v>15</v>
      </c>
      <c r="K2830" s="2" t="s">
        <v>21</v>
      </c>
      <c r="L2830" s="7">
        <v>20.45</v>
      </c>
      <c r="M2830" s="2" t="str">
        <f>_xlfn.IFS(TelecomData[[#This Row],[TenureMonths]]&lt;=12, "0-1 Year", TelecomData[[#This Row],[TenureMonths]]&lt;=36, "1-3 Years", TelecomData[[#This Row],[TenureMonths]]&gt;36, "3+ Years")</f>
        <v>0-1 Year</v>
      </c>
      <c r="N2830" s="2" t="str">
        <f>IF(TelecomData[[#This Row],[CleanedTotalCharges]]&gt;=2500,"High Spend", "Standard Spend")</f>
        <v>Standard Spend</v>
      </c>
    </row>
    <row r="2831" spans="1:14" x14ac:dyDescent="0.3">
      <c r="A2831" s="1" t="s">
        <v>2855</v>
      </c>
      <c r="B2831" s="2" t="s">
        <v>19</v>
      </c>
      <c r="C2831" s="2" t="s">
        <v>13</v>
      </c>
      <c r="D2831" s="2">
        <v>8</v>
      </c>
      <c r="E2831" s="2" t="s">
        <v>26</v>
      </c>
      <c r="F2831" s="2" t="s">
        <v>15</v>
      </c>
      <c r="G2831" s="7">
        <v>69.7</v>
      </c>
      <c r="H2831" s="7">
        <v>560.85</v>
      </c>
      <c r="I2831" s="2" t="s">
        <v>16</v>
      </c>
      <c r="J2831" s="2" t="s">
        <v>16</v>
      </c>
      <c r="K2831" s="2" t="s">
        <v>17</v>
      </c>
      <c r="L2831" s="7">
        <v>560.85</v>
      </c>
      <c r="M2831" s="2" t="str">
        <f>_xlfn.IFS(TelecomData[[#This Row],[TenureMonths]]&lt;=12, "0-1 Year", TelecomData[[#This Row],[TenureMonths]]&lt;=36, "1-3 Years", TelecomData[[#This Row],[TenureMonths]]&gt;36, "3+ Years")</f>
        <v>0-1 Year</v>
      </c>
      <c r="N2831" s="2" t="str">
        <f>IF(TelecomData[[#This Row],[CleanedTotalCharges]]&gt;=2500,"High Spend", "Standard Spend")</f>
        <v>Standard Spend</v>
      </c>
    </row>
    <row r="2832" spans="1:14" x14ac:dyDescent="0.3">
      <c r="A2832" s="1" t="s">
        <v>2856</v>
      </c>
      <c r="B2832" s="2" t="s">
        <v>19</v>
      </c>
      <c r="C2832" s="2" t="s">
        <v>35</v>
      </c>
      <c r="D2832" s="2">
        <v>60</v>
      </c>
      <c r="E2832" s="2" t="s">
        <v>14</v>
      </c>
      <c r="F2832" s="2" t="s">
        <v>15</v>
      </c>
      <c r="G2832" s="7">
        <v>61.4</v>
      </c>
      <c r="H2832" s="7">
        <v>3638.25</v>
      </c>
      <c r="I2832" s="2" t="s">
        <v>15</v>
      </c>
      <c r="J2832" s="2" t="s">
        <v>15</v>
      </c>
      <c r="K2832" s="2" t="s">
        <v>17</v>
      </c>
      <c r="L2832" s="7">
        <v>3638.25</v>
      </c>
      <c r="M2832" s="2" t="str">
        <f>_xlfn.IFS(TelecomData[[#This Row],[TenureMonths]]&lt;=12, "0-1 Year", TelecomData[[#This Row],[TenureMonths]]&lt;=36, "1-3 Years", TelecomData[[#This Row],[TenureMonths]]&gt;36, "3+ Years")</f>
        <v>3+ Years</v>
      </c>
      <c r="N2832" s="2" t="str">
        <f>IF(TelecomData[[#This Row],[CleanedTotalCharges]]&gt;=2500,"High Spend", "Standard Spend")</f>
        <v>High Spend</v>
      </c>
    </row>
    <row r="2833" spans="1:14" x14ac:dyDescent="0.3">
      <c r="A2833" s="1" t="s">
        <v>2857</v>
      </c>
      <c r="B2833" s="2" t="s">
        <v>12</v>
      </c>
      <c r="C2833" s="2" t="s">
        <v>13</v>
      </c>
      <c r="D2833" s="2">
        <v>12</v>
      </c>
      <c r="E2833" s="2" t="s">
        <v>26</v>
      </c>
      <c r="F2833" s="2" t="s">
        <v>15</v>
      </c>
      <c r="G2833" s="7">
        <v>98.1</v>
      </c>
      <c r="H2833" s="7">
        <v>1060.2</v>
      </c>
      <c r="I2833" s="2" t="s">
        <v>16</v>
      </c>
      <c r="J2833" s="2" t="s">
        <v>16</v>
      </c>
      <c r="K2833" s="2" t="s">
        <v>17</v>
      </c>
      <c r="L2833" s="7">
        <v>1060.2</v>
      </c>
      <c r="M2833" s="2" t="str">
        <f>_xlfn.IFS(TelecomData[[#This Row],[TenureMonths]]&lt;=12, "0-1 Year", TelecomData[[#This Row],[TenureMonths]]&lt;=36, "1-3 Years", TelecomData[[#This Row],[TenureMonths]]&gt;36, "3+ Years")</f>
        <v>0-1 Year</v>
      </c>
      <c r="N2833" s="2" t="str">
        <f>IF(TelecomData[[#This Row],[CleanedTotalCharges]]&gt;=2500,"High Spend", "Standard Spend")</f>
        <v>Standard Spend</v>
      </c>
    </row>
    <row r="2834" spans="1:14" x14ac:dyDescent="0.3">
      <c r="A2834" s="1" t="s">
        <v>2858</v>
      </c>
      <c r="B2834" s="2" t="s">
        <v>19</v>
      </c>
      <c r="C2834" s="2" t="s">
        <v>20</v>
      </c>
      <c r="D2834" s="2">
        <v>40</v>
      </c>
      <c r="E2834" s="2" t="s">
        <v>14</v>
      </c>
      <c r="F2834" s="2" t="s">
        <v>16</v>
      </c>
      <c r="G2834" s="7">
        <v>70.75</v>
      </c>
      <c r="H2834" s="7">
        <v>2921.75</v>
      </c>
      <c r="I2834" s="2" t="s">
        <v>15</v>
      </c>
      <c r="J2834" s="2" t="s">
        <v>15</v>
      </c>
      <c r="K2834" s="2" t="s">
        <v>29</v>
      </c>
      <c r="L2834" s="7">
        <v>2921.75</v>
      </c>
      <c r="M2834" s="2" t="str">
        <f>_xlfn.IFS(TelecomData[[#This Row],[TenureMonths]]&lt;=12, "0-1 Year", TelecomData[[#This Row],[TenureMonths]]&lt;=36, "1-3 Years", TelecomData[[#This Row],[TenureMonths]]&gt;36, "3+ Years")</f>
        <v>3+ Years</v>
      </c>
      <c r="N2834" s="2" t="str">
        <f>IF(TelecomData[[#This Row],[CleanedTotalCharges]]&gt;=2500,"High Spend", "Standard Spend")</f>
        <v>High Spend</v>
      </c>
    </row>
    <row r="2835" spans="1:14" x14ac:dyDescent="0.3">
      <c r="A2835" s="1" t="s">
        <v>2859</v>
      </c>
      <c r="B2835" s="2" t="s">
        <v>12</v>
      </c>
      <c r="C2835" s="2" t="s">
        <v>35</v>
      </c>
      <c r="D2835" s="2">
        <v>66</v>
      </c>
      <c r="E2835" s="2" t="s">
        <v>14</v>
      </c>
      <c r="F2835" s="2" t="s">
        <v>15</v>
      </c>
      <c r="G2835" s="7">
        <v>61.15</v>
      </c>
      <c r="H2835" s="7">
        <v>4017.45</v>
      </c>
      <c r="I2835" s="2" t="s">
        <v>15</v>
      </c>
      <c r="J2835" s="2" t="s">
        <v>16</v>
      </c>
      <c r="K2835" s="2" t="s">
        <v>24</v>
      </c>
      <c r="L2835" s="7">
        <v>4017.45</v>
      </c>
      <c r="M2835" s="2" t="str">
        <f>_xlfn.IFS(TelecomData[[#This Row],[TenureMonths]]&lt;=12, "0-1 Year", TelecomData[[#This Row],[TenureMonths]]&lt;=36, "1-3 Years", TelecomData[[#This Row],[TenureMonths]]&gt;36, "3+ Years")</f>
        <v>3+ Years</v>
      </c>
      <c r="N2835" s="2" t="str">
        <f>IF(TelecomData[[#This Row],[CleanedTotalCharges]]&gt;=2500,"High Spend", "Standard Spend")</f>
        <v>High Spend</v>
      </c>
    </row>
    <row r="2836" spans="1:14" x14ac:dyDescent="0.3">
      <c r="A2836" s="1" t="s">
        <v>2860</v>
      </c>
      <c r="B2836" s="2" t="s">
        <v>19</v>
      </c>
      <c r="C2836" s="2" t="s">
        <v>20</v>
      </c>
      <c r="D2836" s="2">
        <v>42</v>
      </c>
      <c r="E2836" s="2" t="s">
        <v>15</v>
      </c>
      <c r="F2836" s="2" t="s">
        <v>36</v>
      </c>
      <c r="G2836" s="7">
        <v>20.25</v>
      </c>
      <c r="H2836" s="7">
        <v>854.9</v>
      </c>
      <c r="I2836" s="2" t="s">
        <v>15</v>
      </c>
      <c r="J2836" s="2" t="s">
        <v>15</v>
      </c>
      <c r="K2836" s="2" t="s">
        <v>21</v>
      </c>
      <c r="L2836" s="7">
        <v>854.9</v>
      </c>
      <c r="M2836" s="2" t="str">
        <f>_xlfn.IFS(TelecomData[[#This Row],[TenureMonths]]&lt;=12, "0-1 Year", TelecomData[[#This Row],[TenureMonths]]&lt;=36, "1-3 Years", TelecomData[[#This Row],[TenureMonths]]&gt;36, "3+ Years")</f>
        <v>3+ Years</v>
      </c>
      <c r="N2836" s="2" t="str">
        <f>IF(TelecomData[[#This Row],[CleanedTotalCharges]]&gt;=2500,"High Spend", "Standard Spend")</f>
        <v>Standard Spend</v>
      </c>
    </row>
    <row r="2837" spans="1:14" x14ac:dyDescent="0.3">
      <c r="A2837" s="1" t="s">
        <v>2861</v>
      </c>
      <c r="B2837" s="2" t="s">
        <v>12</v>
      </c>
      <c r="C2837" s="2" t="s">
        <v>20</v>
      </c>
      <c r="D2837" s="2">
        <v>66</v>
      </c>
      <c r="E2837" s="2" t="s">
        <v>14</v>
      </c>
      <c r="F2837" s="2" t="s">
        <v>16</v>
      </c>
      <c r="G2837" s="7">
        <v>63.85</v>
      </c>
      <c r="H2837" s="7">
        <v>4174.3500000000004</v>
      </c>
      <c r="I2837" s="2" t="s">
        <v>15</v>
      </c>
      <c r="J2837" s="2" t="s">
        <v>16</v>
      </c>
      <c r="K2837" s="2" t="s">
        <v>29</v>
      </c>
      <c r="L2837" s="7">
        <v>4174.3500000000004</v>
      </c>
      <c r="M2837" s="2" t="str">
        <f>_xlfn.IFS(TelecomData[[#This Row],[TenureMonths]]&lt;=12, "0-1 Year", TelecomData[[#This Row],[TenureMonths]]&lt;=36, "1-3 Years", TelecomData[[#This Row],[TenureMonths]]&gt;36, "3+ Years")</f>
        <v>3+ Years</v>
      </c>
      <c r="N2837" s="2" t="str">
        <f>IF(TelecomData[[#This Row],[CleanedTotalCharges]]&gt;=2500,"High Spend", "Standard Spend")</f>
        <v>High Spend</v>
      </c>
    </row>
    <row r="2838" spans="1:14" x14ac:dyDescent="0.3">
      <c r="A2838" s="1" t="s">
        <v>2862</v>
      </c>
      <c r="B2838" s="2" t="s">
        <v>19</v>
      </c>
      <c r="C2838" s="2" t="s">
        <v>13</v>
      </c>
      <c r="D2838" s="2">
        <v>49</v>
      </c>
      <c r="E2838" s="2" t="s">
        <v>26</v>
      </c>
      <c r="F2838" s="2" t="s">
        <v>15</v>
      </c>
      <c r="G2838" s="7">
        <v>98.7</v>
      </c>
      <c r="H2838" s="7">
        <v>4920.55</v>
      </c>
      <c r="I2838" s="2" t="s">
        <v>15</v>
      </c>
      <c r="J2838" s="2" t="s">
        <v>15</v>
      </c>
      <c r="K2838" s="2" t="s">
        <v>17</v>
      </c>
      <c r="L2838" s="7">
        <v>4920.55</v>
      </c>
      <c r="M2838" s="2" t="str">
        <f>_xlfn.IFS(TelecomData[[#This Row],[TenureMonths]]&lt;=12, "0-1 Year", TelecomData[[#This Row],[TenureMonths]]&lt;=36, "1-3 Years", TelecomData[[#This Row],[TenureMonths]]&gt;36, "3+ Years")</f>
        <v>3+ Years</v>
      </c>
      <c r="N2838" s="2" t="str">
        <f>IF(TelecomData[[#This Row],[CleanedTotalCharges]]&gt;=2500,"High Spend", "Standard Spend")</f>
        <v>High Spend</v>
      </c>
    </row>
    <row r="2839" spans="1:14" x14ac:dyDescent="0.3">
      <c r="A2839" s="1" t="s">
        <v>2863</v>
      </c>
      <c r="B2839" s="2" t="s">
        <v>12</v>
      </c>
      <c r="C2839" s="2" t="s">
        <v>13</v>
      </c>
      <c r="D2839" s="2">
        <v>1</v>
      </c>
      <c r="E2839" s="2" t="s">
        <v>15</v>
      </c>
      <c r="F2839" s="2" t="s">
        <v>36</v>
      </c>
      <c r="G2839" s="7">
        <v>20.5</v>
      </c>
      <c r="H2839" s="7">
        <v>20.5</v>
      </c>
      <c r="I2839" s="2" t="s">
        <v>16</v>
      </c>
      <c r="J2839" s="2" t="s">
        <v>15</v>
      </c>
      <c r="K2839" s="2" t="s">
        <v>21</v>
      </c>
      <c r="L2839" s="7">
        <v>20.5</v>
      </c>
      <c r="M2839" s="2" t="str">
        <f>_xlfn.IFS(TelecomData[[#This Row],[TenureMonths]]&lt;=12, "0-1 Year", TelecomData[[#This Row],[TenureMonths]]&lt;=36, "1-3 Years", TelecomData[[#This Row],[TenureMonths]]&gt;36, "3+ Years")</f>
        <v>0-1 Year</v>
      </c>
      <c r="N2839" s="2" t="str">
        <f>IF(TelecomData[[#This Row],[CleanedTotalCharges]]&gt;=2500,"High Spend", "Standard Spend")</f>
        <v>Standard Spend</v>
      </c>
    </row>
    <row r="2840" spans="1:14" x14ac:dyDescent="0.3">
      <c r="A2840" s="1" t="s">
        <v>2864</v>
      </c>
      <c r="B2840" s="2" t="s">
        <v>12</v>
      </c>
      <c r="C2840" s="2" t="s">
        <v>35</v>
      </c>
      <c r="D2840" s="2">
        <v>41</v>
      </c>
      <c r="E2840" s="2" t="s">
        <v>15</v>
      </c>
      <c r="F2840" s="2" t="s">
        <v>36</v>
      </c>
      <c r="G2840" s="7">
        <v>20</v>
      </c>
      <c r="H2840" s="7">
        <v>810.3</v>
      </c>
      <c r="I2840" s="2" t="s">
        <v>15</v>
      </c>
      <c r="J2840" s="2" t="s">
        <v>15</v>
      </c>
      <c r="K2840" s="2" t="s">
        <v>21</v>
      </c>
      <c r="L2840" s="7">
        <v>810.3</v>
      </c>
      <c r="M2840" s="2" t="str">
        <f>_xlfn.IFS(TelecomData[[#This Row],[TenureMonths]]&lt;=12, "0-1 Year", TelecomData[[#This Row],[TenureMonths]]&lt;=36, "1-3 Years", TelecomData[[#This Row],[TenureMonths]]&gt;36, "3+ Years")</f>
        <v>3+ Years</v>
      </c>
      <c r="N2840" s="2" t="str">
        <f>IF(TelecomData[[#This Row],[CleanedTotalCharges]]&gt;=2500,"High Spend", "Standard Spend")</f>
        <v>Standard Spend</v>
      </c>
    </row>
    <row r="2841" spans="1:14" x14ac:dyDescent="0.3">
      <c r="A2841" s="1" t="s">
        <v>2865</v>
      </c>
      <c r="B2841" s="2" t="s">
        <v>12</v>
      </c>
      <c r="C2841" s="2" t="s">
        <v>35</v>
      </c>
      <c r="D2841" s="2">
        <v>41</v>
      </c>
      <c r="E2841" s="2" t="s">
        <v>15</v>
      </c>
      <c r="F2841" s="2" t="s">
        <v>36</v>
      </c>
      <c r="G2841" s="7">
        <v>19.3</v>
      </c>
      <c r="H2841" s="7">
        <v>772.4</v>
      </c>
      <c r="I2841" s="2" t="s">
        <v>15</v>
      </c>
      <c r="J2841" s="2" t="s">
        <v>15</v>
      </c>
      <c r="K2841" s="2" t="s">
        <v>24</v>
      </c>
      <c r="L2841" s="7">
        <v>772.4</v>
      </c>
      <c r="M2841" s="2" t="str">
        <f>_xlfn.IFS(TelecomData[[#This Row],[TenureMonths]]&lt;=12, "0-1 Year", TelecomData[[#This Row],[TenureMonths]]&lt;=36, "1-3 Years", TelecomData[[#This Row],[TenureMonths]]&gt;36, "3+ Years")</f>
        <v>3+ Years</v>
      </c>
      <c r="N2841" s="2" t="str">
        <f>IF(TelecomData[[#This Row],[CleanedTotalCharges]]&gt;=2500,"High Spend", "Standard Spend")</f>
        <v>Standard Spend</v>
      </c>
    </row>
    <row r="2842" spans="1:14" x14ac:dyDescent="0.3">
      <c r="A2842" s="1" t="s">
        <v>2866</v>
      </c>
      <c r="B2842" s="2" t="s">
        <v>12</v>
      </c>
      <c r="C2842" s="2" t="s">
        <v>13</v>
      </c>
      <c r="D2842" s="2">
        <v>23</v>
      </c>
      <c r="E2842" s="2" t="s">
        <v>26</v>
      </c>
      <c r="F2842" s="2" t="s">
        <v>16</v>
      </c>
      <c r="G2842" s="7">
        <v>84.4</v>
      </c>
      <c r="H2842" s="7">
        <v>1936.85</v>
      </c>
      <c r="I2842" s="2" t="s">
        <v>15</v>
      </c>
      <c r="J2842" s="2" t="s">
        <v>15</v>
      </c>
      <c r="K2842" s="2" t="s">
        <v>21</v>
      </c>
      <c r="L2842" s="7">
        <v>1936.85</v>
      </c>
      <c r="M2842" s="2" t="str">
        <f>_xlfn.IFS(TelecomData[[#This Row],[TenureMonths]]&lt;=12, "0-1 Year", TelecomData[[#This Row],[TenureMonths]]&lt;=36, "1-3 Years", TelecomData[[#This Row],[TenureMonths]]&gt;36, "3+ Years")</f>
        <v>1-3 Years</v>
      </c>
      <c r="N2842" s="2" t="str">
        <f>IF(TelecomData[[#This Row],[CleanedTotalCharges]]&gt;=2500,"High Spend", "Standard Spend")</f>
        <v>Standard Spend</v>
      </c>
    </row>
    <row r="2843" spans="1:14" x14ac:dyDescent="0.3">
      <c r="A2843" s="1" t="s">
        <v>2867</v>
      </c>
      <c r="B2843" s="2" t="s">
        <v>19</v>
      </c>
      <c r="C2843" s="2" t="s">
        <v>13</v>
      </c>
      <c r="D2843" s="2">
        <v>3</v>
      </c>
      <c r="E2843" s="2" t="s">
        <v>14</v>
      </c>
      <c r="F2843" s="2" t="s">
        <v>15</v>
      </c>
      <c r="G2843" s="7">
        <v>25.1</v>
      </c>
      <c r="H2843" s="7">
        <v>79.8</v>
      </c>
      <c r="I2843" s="2" t="s">
        <v>15</v>
      </c>
      <c r="J2843" s="2" t="s">
        <v>15</v>
      </c>
      <c r="K2843" s="2" t="s">
        <v>17</v>
      </c>
      <c r="L2843" s="7">
        <v>79.8</v>
      </c>
      <c r="M2843" s="2" t="str">
        <f>_xlfn.IFS(TelecomData[[#This Row],[TenureMonths]]&lt;=12, "0-1 Year", TelecomData[[#This Row],[TenureMonths]]&lt;=36, "1-3 Years", TelecomData[[#This Row],[TenureMonths]]&gt;36, "3+ Years")</f>
        <v>0-1 Year</v>
      </c>
      <c r="N2843" s="2" t="str">
        <f>IF(TelecomData[[#This Row],[CleanedTotalCharges]]&gt;=2500,"High Spend", "Standard Spend")</f>
        <v>Standard Spend</v>
      </c>
    </row>
    <row r="2844" spans="1:14" x14ac:dyDescent="0.3">
      <c r="A2844" s="1" t="s">
        <v>2868</v>
      </c>
      <c r="B2844" s="2" t="s">
        <v>12</v>
      </c>
      <c r="C2844" s="2" t="s">
        <v>13</v>
      </c>
      <c r="D2844" s="2">
        <v>4</v>
      </c>
      <c r="E2844" s="2" t="s">
        <v>14</v>
      </c>
      <c r="F2844" s="2" t="s">
        <v>16</v>
      </c>
      <c r="G2844" s="7">
        <v>48.25</v>
      </c>
      <c r="H2844" s="7">
        <v>202.25</v>
      </c>
      <c r="I2844" s="2" t="s">
        <v>15</v>
      </c>
      <c r="J2844" s="2" t="s">
        <v>15</v>
      </c>
      <c r="K2844" s="2" t="s">
        <v>21</v>
      </c>
      <c r="L2844" s="7">
        <v>202.25</v>
      </c>
      <c r="M2844" s="2" t="str">
        <f>_xlfn.IFS(TelecomData[[#This Row],[TenureMonths]]&lt;=12, "0-1 Year", TelecomData[[#This Row],[TenureMonths]]&lt;=36, "1-3 Years", TelecomData[[#This Row],[TenureMonths]]&gt;36, "3+ Years")</f>
        <v>0-1 Year</v>
      </c>
      <c r="N2844" s="2" t="str">
        <f>IF(TelecomData[[#This Row],[CleanedTotalCharges]]&gt;=2500,"High Spend", "Standard Spend")</f>
        <v>Standard Spend</v>
      </c>
    </row>
    <row r="2845" spans="1:14" x14ac:dyDescent="0.3">
      <c r="A2845" s="1" t="s">
        <v>2869</v>
      </c>
      <c r="B2845" s="2" t="s">
        <v>12</v>
      </c>
      <c r="C2845" s="2" t="s">
        <v>35</v>
      </c>
      <c r="D2845" s="2">
        <v>52</v>
      </c>
      <c r="E2845" s="2" t="s">
        <v>15</v>
      </c>
      <c r="F2845" s="2" t="s">
        <v>36</v>
      </c>
      <c r="G2845" s="7">
        <v>19.850000000000001</v>
      </c>
      <c r="H2845" s="7">
        <v>1070.5</v>
      </c>
      <c r="I2845" s="2" t="s">
        <v>15</v>
      </c>
      <c r="J2845" s="2" t="s">
        <v>15</v>
      </c>
      <c r="K2845" s="2" t="s">
        <v>21</v>
      </c>
      <c r="L2845" s="7">
        <v>1070.5</v>
      </c>
      <c r="M2845" s="2" t="str">
        <f>_xlfn.IFS(TelecomData[[#This Row],[TenureMonths]]&lt;=12, "0-1 Year", TelecomData[[#This Row],[TenureMonths]]&lt;=36, "1-3 Years", TelecomData[[#This Row],[TenureMonths]]&gt;36, "3+ Years")</f>
        <v>3+ Years</v>
      </c>
      <c r="N2845" s="2" t="str">
        <f>IF(TelecomData[[#This Row],[CleanedTotalCharges]]&gt;=2500,"High Spend", "Standard Spend")</f>
        <v>Standard Spend</v>
      </c>
    </row>
    <row r="2846" spans="1:14" x14ac:dyDescent="0.3">
      <c r="A2846" s="1" t="s">
        <v>2870</v>
      </c>
      <c r="B2846" s="2" t="s">
        <v>12</v>
      </c>
      <c r="C2846" s="2" t="s">
        <v>13</v>
      </c>
      <c r="D2846" s="2">
        <v>4</v>
      </c>
      <c r="E2846" s="2" t="s">
        <v>26</v>
      </c>
      <c r="F2846" s="2" t="s">
        <v>15</v>
      </c>
      <c r="G2846" s="7">
        <v>99.6</v>
      </c>
      <c r="H2846" s="7">
        <v>347.65</v>
      </c>
      <c r="I2846" s="2" t="s">
        <v>16</v>
      </c>
      <c r="J2846" s="2" t="s">
        <v>16</v>
      </c>
      <c r="K2846" s="2" t="s">
        <v>17</v>
      </c>
      <c r="L2846" s="7">
        <v>347.65</v>
      </c>
      <c r="M2846" s="2" t="str">
        <f>_xlfn.IFS(TelecomData[[#This Row],[TenureMonths]]&lt;=12, "0-1 Year", TelecomData[[#This Row],[TenureMonths]]&lt;=36, "1-3 Years", TelecomData[[#This Row],[TenureMonths]]&gt;36, "3+ Years")</f>
        <v>0-1 Year</v>
      </c>
      <c r="N2846" s="2" t="str">
        <f>IF(TelecomData[[#This Row],[CleanedTotalCharges]]&gt;=2500,"High Spend", "Standard Spend")</f>
        <v>Standard Spend</v>
      </c>
    </row>
    <row r="2847" spans="1:14" x14ac:dyDescent="0.3">
      <c r="A2847" s="1" t="s">
        <v>2871</v>
      </c>
      <c r="B2847" s="2" t="s">
        <v>12</v>
      </c>
      <c r="C2847" s="2" t="s">
        <v>13</v>
      </c>
      <c r="D2847" s="2">
        <v>11</v>
      </c>
      <c r="E2847" s="2" t="s">
        <v>26</v>
      </c>
      <c r="F2847" s="2" t="s">
        <v>16</v>
      </c>
      <c r="G2847" s="7">
        <v>94.2</v>
      </c>
      <c r="H2847" s="7">
        <v>999.9</v>
      </c>
      <c r="I2847" s="2" t="s">
        <v>15</v>
      </c>
      <c r="J2847" s="2" t="s">
        <v>16</v>
      </c>
      <c r="K2847" s="2" t="s">
        <v>17</v>
      </c>
      <c r="L2847" s="7">
        <v>999.9</v>
      </c>
      <c r="M2847" s="2" t="str">
        <f>_xlfn.IFS(TelecomData[[#This Row],[TenureMonths]]&lt;=12, "0-1 Year", TelecomData[[#This Row],[TenureMonths]]&lt;=36, "1-3 Years", TelecomData[[#This Row],[TenureMonths]]&gt;36, "3+ Years")</f>
        <v>0-1 Year</v>
      </c>
      <c r="N2847" s="2" t="str">
        <f>IF(TelecomData[[#This Row],[CleanedTotalCharges]]&gt;=2500,"High Spend", "Standard Spend")</f>
        <v>Standard Spend</v>
      </c>
    </row>
    <row r="2848" spans="1:14" x14ac:dyDescent="0.3">
      <c r="A2848" s="1" t="s">
        <v>2872</v>
      </c>
      <c r="B2848" s="2" t="s">
        <v>12</v>
      </c>
      <c r="C2848" s="2" t="s">
        <v>13</v>
      </c>
      <c r="D2848" s="2">
        <v>2</v>
      </c>
      <c r="E2848" s="2" t="s">
        <v>14</v>
      </c>
      <c r="F2848" s="2" t="s">
        <v>15</v>
      </c>
      <c r="G2848" s="7">
        <v>62.15</v>
      </c>
      <c r="H2848" s="7">
        <v>113.1</v>
      </c>
      <c r="I2848" s="2" t="s">
        <v>15</v>
      </c>
      <c r="J2848" s="2" t="s">
        <v>16</v>
      </c>
      <c r="K2848" s="2" t="s">
        <v>21</v>
      </c>
      <c r="L2848" s="7">
        <v>113.1</v>
      </c>
      <c r="M2848" s="2" t="str">
        <f>_xlfn.IFS(TelecomData[[#This Row],[TenureMonths]]&lt;=12, "0-1 Year", TelecomData[[#This Row],[TenureMonths]]&lt;=36, "1-3 Years", TelecomData[[#This Row],[TenureMonths]]&gt;36, "3+ Years")</f>
        <v>0-1 Year</v>
      </c>
      <c r="N2848" s="2" t="str">
        <f>IF(TelecomData[[#This Row],[CleanedTotalCharges]]&gt;=2500,"High Spend", "Standard Spend")</f>
        <v>Standard Spend</v>
      </c>
    </row>
    <row r="2849" spans="1:14" x14ac:dyDescent="0.3">
      <c r="A2849" s="1" t="s">
        <v>2873</v>
      </c>
      <c r="B2849" s="2" t="s">
        <v>12</v>
      </c>
      <c r="C2849" s="2" t="s">
        <v>13</v>
      </c>
      <c r="D2849" s="2">
        <v>26</v>
      </c>
      <c r="E2849" s="2" t="s">
        <v>26</v>
      </c>
      <c r="F2849" s="2" t="s">
        <v>15</v>
      </c>
      <c r="G2849" s="7">
        <v>79.3</v>
      </c>
      <c r="H2849" s="7">
        <v>2015.8</v>
      </c>
      <c r="I2849" s="2" t="s">
        <v>15</v>
      </c>
      <c r="J2849" s="2" t="s">
        <v>15</v>
      </c>
      <c r="K2849" s="2" t="s">
        <v>24</v>
      </c>
      <c r="L2849" s="7">
        <v>2015.8</v>
      </c>
      <c r="M2849" s="2" t="str">
        <f>_xlfn.IFS(TelecomData[[#This Row],[TenureMonths]]&lt;=12, "0-1 Year", TelecomData[[#This Row],[TenureMonths]]&lt;=36, "1-3 Years", TelecomData[[#This Row],[TenureMonths]]&gt;36, "3+ Years")</f>
        <v>1-3 Years</v>
      </c>
      <c r="N2849" s="2" t="str">
        <f>IF(TelecomData[[#This Row],[CleanedTotalCharges]]&gt;=2500,"High Spend", "Standard Spend")</f>
        <v>Standard Spend</v>
      </c>
    </row>
    <row r="2850" spans="1:14" x14ac:dyDescent="0.3">
      <c r="A2850" s="1" t="s">
        <v>2874</v>
      </c>
      <c r="B2850" s="2" t="s">
        <v>19</v>
      </c>
      <c r="C2850" s="2" t="s">
        <v>20</v>
      </c>
      <c r="D2850" s="2">
        <v>24</v>
      </c>
      <c r="E2850" s="2" t="s">
        <v>14</v>
      </c>
      <c r="F2850" s="2" t="s">
        <v>15</v>
      </c>
      <c r="G2850" s="7">
        <v>56.25</v>
      </c>
      <c r="H2850" s="7">
        <v>1454.25</v>
      </c>
      <c r="I2850" s="2" t="s">
        <v>15</v>
      </c>
      <c r="J2850" s="2" t="s">
        <v>16</v>
      </c>
      <c r="K2850" s="2" t="s">
        <v>29</v>
      </c>
      <c r="L2850" s="7">
        <v>1454.25</v>
      </c>
      <c r="M2850" s="2" t="str">
        <f>_xlfn.IFS(TelecomData[[#This Row],[TenureMonths]]&lt;=12, "0-1 Year", TelecomData[[#This Row],[TenureMonths]]&lt;=36, "1-3 Years", TelecomData[[#This Row],[TenureMonths]]&gt;36, "3+ Years")</f>
        <v>1-3 Years</v>
      </c>
      <c r="N2850" s="2" t="str">
        <f>IF(TelecomData[[#This Row],[CleanedTotalCharges]]&gt;=2500,"High Spend", "Standard Spend")</f>
        <v>Standard Spend</v>
      </c>
    </row>
    <row r="2851" spans="1:14" x14ac:dyDescent="0.3">
      <c r="A2851" s="1" t="s">
        <v>2875</v>
      </c>
      <c r="B2851" s="2" t="s">
        <v>12</v>
      </c>
      <c r="C2851" s="2" t="s">
        <v>13</v>
      </c>
      <c r="D2851" s="2">
        <v>12</v>
      </c>
      <c r="E2851" s="2" t="s">
        <v>15</v>
      </c>
      <c r="F2851" s="2" t="s">
        <v>36</v>
      </c>
      <c r="G2851" s="7">
        <v>20.3</v>
      </c>
      <c r="H2851" s="7">
        <v>246.7</v>
      </c>
      <c r="I2851" s="2" t="s">
        <v>15</v>
      </c>
      <c r="J2851" s="2" t="s">
        <v>15</v>
      </c>
      <c r="K2851" s="2" t="s">
        <v>21</v>
      </c>
      <c r="L2851" s="7">
        <v>246.7</v>
      </c>
      <c r="M2851" s="2" t="str">
        <f>_xlfn.IFS(TelecomData[[#This Row],[TenureMonths]]&lt;=12, "0-1 Year", TelecomData[[#This Row],[TenureMonths]]&lt;=36, "1-3 Years", TelecomData[[#This Row],[TenureMonths]]&gt;36, "3+ Years")</f>
        <v>0-1 Year</v>
      </c>
      <c r="N2851" s="2" t="str">
        <f>IF(TelecomData[[#This Row],[CleanedTotalCharges]]&gt;=2500,"High Spend", "Standard Spend")</f>
        <v>Standard Spend</v>
      </c>
    </row>
    <row r="2852" spans="1:14" x14ac:dyDescent="0.3">
      <c r="A2852" s="1" t="s">
        <v>2876</v>
      </c>
      <c r="B2852" s="2" t="s">
        <v>19</v>
      </c>
      <c r="C2852" s="2" t="s">
        <v>13</v>
      </c>
      <c r="D2852" s="2">
        <v>60</v>
      </c>
      <c r="E2852" s="2" t="s">
        <v>26</v>
      </c>
      <c r="F2852" s="2" t="s">
        <v>16</v>
      </c>
      <c r="G2852" s="7">
        <v>99</v>
      </c>
      <c r="H2852" s="7">
        <v>6017.9</v>
      </c>
      <c r="I2852" s="2" t="s">
        <v>15</v>
      </c>
      <c r="J2852" s="2" t="s">
        <v>16</v>
      </c>
      <c r="K2852" s="2" t="s">
        <v>17</v>
      </c>
      <c r="L2852" s="7">
        <v>6017.9</v>
      </c>
      <c r="M2852" s="2" t="str">
        <f>_xlfn.IFS(TelecomData[[#This Row],[TenureMonths]]&lt;=12, "0-1 Year", TelecomData[[#This Row],[TenureMonths]]&lt;=36, "1-3 Years", TelecomData[[#This Row],[TenureMonths]]&gt;36, "3+ Years")</f>
        <v>3+ Years</v>
      </c>
      <c r="N2852" s="2" t="str">
        <f>IF(TelecomData[[#This Row],[CleanedTotalCharges]]&gt;=2500,"High Spend", "Standard Spend")</f>
        <v>High Spend</v>
      </c>
    </row>
    <row r="2853" spans="1:14" x14ac:dyDescent="0.3">
      <c r="A2853" s="1" t="s">
        <v>2877</v>
      </c>
      <c r="B2853" s="2" t="s">
        <v>12</v>
      </c>
      <c r="C2853" s="2" t="s">
        <v>35</v>
      </c>
      <c r="D2853" s="2">
        <v>64</v>
      </c>
      <c r="E2853" s="2" t="s">
        <v>14</v>
      </c>
      <c r="F2853" s="2" t="s">
        <v>16</v>
      </c>
      <c r="G2853" s="7">
        <v>90.6</v>
      </c>
      <c r="H2853" s="7">
        <v>5817.45</v>
      </c>
      <c r="I2853" s="2" t="s">
        <v>15</v>
      </c>
      <c r="J2853" s="2" t="s">
        <v>16</v>
      </c>
      <c r="K2853" s="2" t="s">
        <v>21</v>
      </c>
      <c r="L2853" s="7">
        <v>5817.45</v>
      </c>
      <c r="M2853" s="2" t="str">
        <f>_xlfn.IFS(TelecomData[[#This Row],[TenureMonths]]&lt;=12, "0-1 Year", TelecomData[[#This Row],[TenureMonths]]&lt;=36, "1-3 Years", TelecomData[[#This Row],[TenureMonths]]&gt;36, "3+ Years")</f>
        <v>3+ Years</v>
      </c>
      <c r="N2853" s="2" t="str">
        <f>IF(TelecomData[[#This Row],[CleanedTotalCharges]]&gt;=2500,"High Spend", "Standard Spend")</f>
        <v>High Spend</v>
      </c>
    </row>
    <row r="2854" spans="1:14" x14ac:dyDescent="0.3">
      <c r="A2854" s="1" t="s">
        <v>2878</v>
      </c>
      <c r="B2854" s="2" t="s">
        <v>19</v>
      </c>
      <c r="C2854" s="2" t="s">
        <v>35</v>
      </c>
      <c r="D2854" s="2">
        <v>66</v>
      </c>
      <c r="E2854" s="2" t="s">
        <v>14</v>
      </c>
      <c r="F2854" s="2" t="s">
        <v>16</v>
      </c>
      <c r="G2854" s="7">
        <v>85.9</v>
      </c>
      <c r="H2854" s="7">
        <v>5595.3</v>
      </c>
      <c r="I2854" s="2" t="s">
        <v>15</v>
      </c>
      <c r="J2854" s="2" t="s">
        <v>16</v>
      </c>
      <c r="K2854" s="2" t="s">
        <v>24</v>
      </c>
      <c r="L2854" s="7">
        <v>5595.3</v>
      </c>
      <c r="M2854" s="2" t="str">
        <f>_xlfn.IFS(TelecomData[[#This Row],[TenureMonths]]&lt;=12, "0-1 Year", TelecomData[[#This Row],[TenureMonths]]&lt;=36, "1-3 Years", TelecomData[[#This Row],[TenureMonths]]&gt;36, "3+ Years")</f>
        <v>3+ Years</v>
      </c>
      <c r="N2854" s="2" t="str">
        <f>IF(TelecomData[[#This Row],[CleanedTotalCharges]]&gt;=2500,"High Spend", "Standard Spend")</f>
        <v>High Spend</v>
      </c>
    </row>
    <row r="2855" spans="1:14" x14ac:dyDescent="0.3">
      <c r="A2855" s="1" t="s">
        <v>2879</v>
      </c>
      <c r="B2855" s="2" t="s">
        <v>12</v>
      </c>
      <c r="C2855" s="2" t="s">
        <v>20</v>
      </c>
      <c r="D2855" s="2">
        <v>60</v>
      </c>
      <c r="E2855" s="2" t="s">
        <v>26</v>
      </c>
      <c r="F2855" s="2" t="s">
        <v>15</v>
      </c>
      <c r="G2855" s="7">
        <v>79.2</v>
      </c>
      <c r="H2855" s="7">
        <v>4765</v>
      </c>
      <c r="I2855" s="2" t="s">
        <v>15</v>
      </c>
      <c r="J2855" s="2" t="s">
        <v>16</v>
      </c>
      <c r="K2855" s="2" t="s">
        <v>24</v>
      </c>
      <c r="L2855" s="7">
        <v>4765</v>
      </c>
      <c r="M2855" s="2" t="str">
        <f>_xlfn.IFS(TelecomData[[#This Row],[TenureMonths]]&lt;=12, "0-1 Year", TelecomData[[#This Row],[TenureMonths]]&lt;=36, "1-3 Years", TelecomData[[#This Row],[TenureMonths]]&gt;36, "3+ Years")</f>
        <v>3+ Years</v>
      </c>
      <c r="N2855" s="2" t="str">
        <f>IF(TelecomData[[#This Row],[CleanedTotalCharges]]&gt;=2500,"High Spend", "Standard Spend")</f>
        <v>High Spend</v>
      </c>
    </row>
    <row r="2856" spans="1:14" x14ac:dyDescent="0.3">
      <c r="A2856" s="1" t="s">
        <v>2880</v>
      </c>
      <c r="B2856" s="2" t="s">
        <v>19</v>
      </c>
      <c r="C2856" s="2" t="s">
        <v>20</v>
      </c>
      <c r="D2856" s="2">
        <v>17</v>
      </c>
      <c r="E2856" s="2" t="s">
        <v>14</v>
      </c>
      <c r="F2856" s="2" t="s">
        <v>15</v>
      </c>
      <c r="G2856" s="7">
        <v>70.349999999999994</v>
      </c>
      <c r="H2856" s="7">
        <v>1201.6500000000001</v>
      </c>
      <c r="I2856" s="2" t="s">
        <v>15</v>
      </c>
      <c r="J2856" s="2" t="s">
        <v>16</v>
      </c>
      <c r="K2856" s="2" t="s">
        <v>24</v>
      </c>
      <c r="L2856" s="7">
        <v>1201.6500000000001</v>
      </c>
      <c r="M2856" s="2" t="str">
        <f>_xlfn.IFS(TelecomData[[#This Row],[TenureMonths]]&lt;=12, "0-1 Year", TelecomData[[#This Row],[TenureMonths]]&lt;=36, "1-3 Years", TelecomData[[#This Row],[TenureMonths]]&gt;36, "3+ Years")</f>
        <v>1-3 Years</v>
      </c>
      <c r="N2856" s="2" t="str">
        <f>IF(TelecomData[[#This Row],[CleanedTotalCharges]]&gt;=2500,"High Spend", "Standard Spend")</f>
        <v>Standard Spend</v>
      </c>
    </row>
    <row r="2857" spans="1:14" x14ac:dyDescent="0.3">
      <c r="A2857" s="1" t="s">
        <v>2881</v>
      </c>
      <c r="B2857" s="2" t="s">
        <v>19</v>
      </c>
      <c r="C2857" s="2" t="s">
        <v>35</v>
      </c>
      <c r="D2857" s="2">
        <v>42</v>
      </c>
      <c r="E2857" s="2" t="s">
        <v>15</v>
      </c>
      <c r="F2857" s="2" t="s">
        <v>36</v>
      </c>
      <c r="G2857" s="7">
        <v>19.350000000000001</v>
      </c>
      <c r="H2857" s="7">
        <v>867.3</v>
      </c>
      <c r="I2857" s="2" t="s">
        <v>15</v>
      </c>
      <c r="J2857" s="2" t="s">
        <v>15</v>
      </c>
      <c r="K2857" s="2" t="s">
        <v>21</v>
      </c>
      <c r="L2857" s="7">
        <v>867.3</v>
      </c>
      <c r="M2857" s="2" t="str">
        <f>_xlfn.IFS(TelecomData[[#This Row],[TenureMonths]]&lt;=12, "0-1 Year", TelecomData[[#This Row],[TenureMonths]]&lt;=36, "1-3 Years", TelecomData[[#This Row],[TenureMonths]]&gt;36, "3+ Years")</f>
        <v>3+ Years</v>
      </c>
      <c r="N2857" s="2" t="str">
        <f>IF(TelecomData[[#This Row],[CleanedTotalCharges]]&gt;=2500,"High Spend", "Standard Spend")</f>
        <v>Standard Spend</v>
      </c>
    </row>
    <row r="2858" spans="1:14" x14ac:dyDescent="0.3">
      <c r="A2858" s="1" t="s">
        <v>2882</v>
      </c>
      <c r="B2858" s="2" t="s">
        <v>19</v>
      </c>
      <c r="C2858" s="2" t="s">
        <v>13</v>
      </c>
      <c r="D2858" s="2">
        <v>1</v>
      </c>
      <c r="E2858" s="2" t="s">
        <v>14</v>
      </c>
      <c r="F2858" s="2" t="s">
        <v>15</v>
      </c>
      <c r="G2858" s="7">
        <v>50.15</v>
      </c>
      <c r="H2858" s="7">
        <v>50.15</v>
      </c>
      <c r="I2858" s="2" t="s">
        <v>15</v>
      </c>
      <c r="J2858" s="2" t="s">
        <v>16</v>
      </c>
      <c r="K2858" s="2" t="s">
        <v>17</v>
      </c>
      <c r="L2858" s="7">
        <v>50.15</v>
      </c>
      <c r="M2858" s="2" t="str">
        <f>_xlfn.IFS(TelecomData[[#This Row],[TenureMonths]]&lt;=12, "0-1 Year", TelecomData[[#This Row],[TenureMonths]]&lt;=36, "1-3 Years", TelecomData[[#This Row],[TenureMonths]]&gt;36, "3+ Years")</f>
        <v>0-1 Year</v>
      </c>
      <c r="N2858" s="2" t="str">
        <f>IF(TelecomData[[#This Row],[CleanedTotalCharges]]&gt;=2500,"High Spend", "Standard Spend")</f>
        <v>Standard Spend</v>
      </c>
    </row>
    <row r="2859" spans="1:14" x14ac:dyDescent="0.3">
      <c r="A2859" s="1" t="s">
        <v>2883</v>
      </c>
      <c r="B2859" s="2" t="s">
        <v>12</v>
      </c>
      <c r="C2859" s="2" t="s">
        <v>35</v>
      </c>
      <c r="D2859" s="2">
        <v>47</v>
      </c>
      <c r="E2859" s="2" t="s">
        <v>14</v>
      </c>
      <c r="F2859" s="2" t="s">
        <v>16</v>
      </c>
      <c r="G2859" s="7">
        <v>63.8</v>
      </c>
      <c r="H2859" s="7">
        <v>3007.25</v>
      </c>
      <c r="I2859" s="2" t="s">
        <v>15</v>
      </c>
      <c r="J2859" s="2" t="s">
        <v>15</v>
      </c>
      <c r="K2859" s="2" t="s">
        <v>24</v>
      </c>
      <c r="L2859" s="7">
        <v>3007.25</v>
      </c>
      <c r="M2859" s="2" t="str">
        <f>_xlfn.IFS(TelecomData[[#This Row],[TenureMonths]]&lt;=12, "0-1 Year", TelecomData[[#This Row],[TenureMonths]]&lt;=36, "1-3 Years", TelecomData[[#This Row],[TenureMonths]]&gt;36, "3+ Years")</f>
        <v>3+ Years</v>
      </c>
      <c r="N2859" s="2" t="str">
        <f>IF(TelecomData[[#This Row],[CleanedTotalCharges]]&gt;=2500,"High Spend", "Standard Spend")</f>
        <v>High Spend</v>
      </c>
    </row>
    <row r="2860" spans="1:14" x14ac:dyDescent="0.3">
      <c r="A2860" s="1" t="s">
        <v>2884</v>
      </c>
      <c r="B2860" s="2" t="s">
        <v>12</v>
      </c>
      <c r="C2860" s="2" t="s">
        <v>13</v>
      </c>
      <c r="D2860" s="2">
        <v>10</v>
      </c>
      <c r="E2860" s="2" t="s">
        <v>15</v>
      </c>
      <c r="F2860" s="2" t="s">
        <v>36</v>
      </c>
      <c r="G2860" s="7">
        <v>20.55</v>
      </c>
      <c r="H2860" s="7">
        <v>252.75</v>
      </c>
      <c r="I2860" s="2" t="s">
        <v>15</v>
      </c>
      <c r="J2860" s="2" t="s">
        <v>16</v>
      </c>
      <c r="K2860" s="2" t="s">
        <v>21</v>
      </c>
      <c r="L2860" s="7">
        <v>252.75</v>
      </c>
      <c r="M2860" s="2" t="str">
        <f>_xlfn.IFS(TelecomData[[#This Row],[TenureMonths]]&lt;=12, "0-1 Year", TelecomData[[#This Row],[TenureMonths]]&lt;=36, "1-3 Years", TelecomData[[#This Row],[TenureMonths]]&gt;36, "3+ Years")</f>
        <v>0-1 Year</v>
      </c>
      <c r="N2860" s="2" t="str">
        <f>IF(TelecomData[[#This Row],[CleanedTotalCharges]]&gt;=2500,"High Spend", "Standard Spend")</f>
        <v>Standard Spend</v>
      </c>
    </row>
    <row r="2861" spans="1:14" x14ac:dyDescent="0.3">
      <c r="A2861" s="1" t="s">
        <v>2885</v>
      </c>
      <c r="B2861" s="2" t="s">
        <v>19</v>
      </c>
      <c r="C2861" s="2" t="s">
        <v>35</v>
      </c>
      <c r="D2861" s="2">
        <v>70</v>
      </c>
      <c r="E2861" s="2" t="s">
        <v>14</v>
      </c>
      <c r="F2861" s="2" t="s">
        <v>16</v>
      </c>
      <c r="G2861" s="7">
        <v>88.55</v>
      </c>
      <c r="H2861" s="7">
        <v>6306.5</v>
      </c>
      <c r="I2861" s="2" t="s">
        <v>15</v>
      </c>
      <c r="J2861" s="2" t="s">
        <v>16</v>
      </c>
      <c r="K2861" s="2" t="s">
        <v>29</v>
      </c>
      <c r="L2861" s="7">
        <v>6306.5</v>
      </c>
      <c r="M2861" s="2" t="str">
        <f>_xlfn.IFS(TelecomData[[#This Row],[TenureMonths]]&lt;=12, "0-1 Year", TelecomData[[#This Row],[TenureMonths]]&lt;=36, "1-3 Years", TelecomData[[#This Row],[TenureMonths]]&gt;36, "3+ Years")</f>
        <v>3+ Years</v>
      </c>
      <c r="N2861" s="2" t="str">
        <f>IF(TelecomData[[#This Row],[CleanedTotalCharges]]&gt;=2500,"High Spend", "Standard Spend")</f>
        <v>High Spend</v>
      </c>
    </row>
    <row r="2862" spans="1:14" x14ac:dyDescent="0.3">
      <c r="A2862" s="1" t="s">
        <v>2886</v>
      </c>
      <c r="B2862" s="2" t="s">
        <v>19</v>
      </c>
      <c r="C2862" s="2" t="s">
        <v>13</v>
      </c>
      <c r="D2862" s="2">
        <v>67</v>
      </c>
      <c r="E2862" s="2" t="s">
        <v>26</v>
      </c>
      <c r="F2862" s="2" t="s">
        <v>15</v>
      </c>
      <c r="G2862" s="7">
        <v>101.4</v>
      </c>
      <c r="H2862" s="7">
        <v>6841.05</v>
      </c>
      <c r="I2862" s="2" t="s">
        <v>15</v>
      </c>
      <c r="J2862" s="2" t="s">
        <v>16</v>
      </c>
      <c r="K2862" s="2" t="s">
        <v>29</v>
      </c>
      <c r="L2862" s="7">
        <v>6841.05</v>
      </c>
      <c r="M2862" s="2" t="str">
        <f>_xlfn.IFS(TelecomData[[#This Row],[TenureMonths]]&lt;=12, "0-1 Year", TelecomData[[#This Row],[TenureMonths]]&lt;=36, "1-3 Years", TelecomData[[#This Row],[TenureMonths]]&gt;36, "3+ Years")</f>
        <v>3+ Years</v>
      </c>
      <c r="N2862" s="2" t="str">
        <f>IF(TelecomData[[#This Row],[CleanedTotalCharges]]&gt;=2500,"High Spend", "Standard Spend")</f>
        <v>High Spend</v>
      </c>
    </row>
    <row r="2863" spans="1:14" x14ac:dyDescent="0.3">
      <c r="A2863" s="1" t="s">
        <v>2887</v>
      </c>
      <c r="B2863" s="2" t="s">
        <v>12</v>
      </c>
      <c r="C2863" s="2" t="s">
        <v>13</v>
      </c>
      <c r="D2863" s="2">
        <v>1</v>
      </c>
      <c r="E2863" s="2" t="s">
        <v>26</v>
      </c>
      <c r="F2863" s="2" t="s">
        <v>15</v>
      </c>
      <c r="G2863" s="7">
        <v>81.95</v>
      </c>
      <c r="H2863" s="7">
        <v>81.95</v>
      </c>
      <c r="I2863" s="2" t="s">
        <v>16</v>
      </c>
      <c r="J2863" s="2" t="s">
        <v>16</v>
      </c>
      <c r="K2863" s="2" t="s">
        <v>17</v>
      </c>
      <c r="L2863" s="7">
        <v>81.95</v>
      </c>
      <c r="M2863" s="2" t="str">
        <f>_xlfn.IFS(TelecomData[[#This Row],[TenureMonths]]&lt;=12, "0-1 Year", TelecomData[[#This Row],[TenureMonths]]&lt;=36, "1-3 Years", TelecomData[[#This Row],[TenureMonths]]&gt;36, "3+ Years")</f>
        <v>0-1 Year</v>
      </c>
      <c r="N2863" s="2" t="str">
        <f>IF(TelecomData[[#This Row],[CleanedTotalCharges]]&gt;=2500,"High Spend", "Standard Spend")</f>
        <v>Standard Spend</v>
      </c>
    </row>
    <row r="2864" spans="1:14" x14ac:dyDescent="0.3">
      <c r="A2864" s="1" t="s">
        <v>2888</v>
      </c>
      <c r="B2864" s="2" t="s">
        <v>19</v>
      </c>
      <c r="C2864" s="2" t="s">
        <v>13</v>
      </c>
      <c r="D2864" s="2">
        <v>7</v>
      </c>
      <c r="E2864" s="2" t="s">
        <v>26</v>
      </c>
      <c r="F2864" s="2" t="s">
        <v>15</v>
      </c>
      <c r="G2864" s="7">
        <v>69.349999999999994</v>
      </c>
      <c r="H2864" s="7">
        <v>451.1</v>
      </c>
      <c r="I2864" s="2" t="s">
        <v>16</v>
      </c>
      <c r="J2864" s="2" t="s">
        <v>16</v>
      </c>
      <c r="K2864" s="2" t="s">
        <v>17</v>
      </c>
      <c r="L2864" s="7">
        <v>451.1</v>
      </c>
      <c r="M2864" s="2" t="str">
        <f>_xlfn.IFS(TelecomData[[#This Row],[TenureMonths]]&lt;=12, "0-1 Year", TelecomData[[#This Row],[TenureMonths]]&lt;=36, "1-3 Years", TelecomData[[#This Row],[TenureMonths]]&gt;36, "3+ Years")</f>
        <v>0-1 Year</v>
      </c>
      <c r="N2864" s="2" t="str">
        <f>IF(TelecomData[[#This Row],[CleanedTotalCharges]]&gt;=2500,"High Spend", "Standard Spend")</f>
        <v>Standard Spend</v>
      </c>
    </row>
    <row r="2865" spans="1:14" x14ac:dyDescent="0.3">
      <c r="A2865" s="1" t="s">
        <v>2889</v>
      </c>
      <c r="B2865" s="2" t="s">
        <v>19</v>
      </c>
      <c r="C2865" s="2" t="s">
        <v>13</v>
      </c>
      <c r="D2865" s="2">
        <v>1</v>
      </c>
      <c r="E2865" s="2" t="s">
        <v>14</v>
      </c>
      <c r="F2865" s="2" t="s">
        <v>15</v>
      </c>
      <c r="G2865" s="7">
        <v>44.6</v>
      </c>
      <c r="H2865" s="7">
        <v>44.6</v>
      </c>
      <c r="I2865" s="2" t="s">
        <v>15</v>
      </c>
      <c r="J2865" s="2" t="s">
        <v>15</v>
      </c>
      <c r="K2865" s="2" t="s">
        <v>21</v>
      </c>
      <c r="L2865" s="7">
        <v>44.6</v>
      </c>
      <c r="M2865" s="2" t="str">
        <f>_xlfn.IFS(TelecomData[[#This Row],[TenureMonths]]&lt;=12, "0-1 Year", TelecomData[[#This Row],[TenureMonths]]&lt;=36, "1-3 Years", TelecomData[[#This Row],[TenureMonths]]&gt;36, "3+ Years")</f>
        <v>0-1 Year</v>
      </c>
      <c r="N2865" s="2" t="str">
        <f>IF(TelecomData[[#This Row],[CleanedTotalCharges]]&gt;=2500,"High Spend", "Standard Spend")</f>
        <v>Standard Spend</v>
      </c>
    </row>
    <row r="2866" spans="1:14" x14ac:dyDescent="0.3">
      <c r="A2866" s="1" t="s">
        <v>2890</v>
      </c>
      <c r="B2866" s="2" t="s">
        <v>19</v>
      </c>
      <c r="C2866" s="2" t="s">
        <v>13</v>
      </c>
      <c r="D2866" s="2">
        <v>4</v>
      </c>
      <c r="E2866" s="2" t="s">
        <v>14</v>
      </c>
      <c r="F2866" s="2" t="s">
        <v>16</v>
      </c>
      <c r="G2866" s="7">
        <v>63.75</v>
      </c>
      <c r="H2866" s="7">
        <v>226.2</v>
      </c>
      <c r="I2866" s="2" t="s">
        <v>15</v>
      </c>
      <c r="J2866" s="2" t="s">
        <v>16</v>
      </c>
      <c r="K2866" s="2" t="s">
        <v>24</v>
      </c>
      <c r="L2866" s="7">
        <v>226.2</v>
      </c>
      <c r="M2866" s="2" t="str">
        <f>_xlfn.IFS(TelecomData[[#This Row],[TenureMonths]]&lt;=12, "0-1 Year", TelecomData[[#This Row],[TenureMonths]]&lt;=36, "1-3 Years", TelecomData[[#This Row],[TenureMonths]]&gt;36, "3+ Years")</f>
        <v>0-1 Year</v>
      </c>
      <c r="N2866" s="2" t="str">
        <f>IF(TelecomData[[#This Row],[CleanedTotalCharges]]&gt;=2500,"High Spend", "Standard Spend")</f>
        <v>Standard Spend</v>
      </c>
    </row>
    <row r="2867" spans="1:14" x14ac:dyDescent="0.3">
      <c r="A2867" s="1" t="s">
        <v>2891</v>
      </c>
      <c r="B2867" s="2" t="s">
        <v>12</v>
      </c>
      <c r="C2867" s="2" t="s">
        <v>35</v>
      </c>
      <c r="D2867" s="2">
        <v>66</v>
      </c>
      <c r="E2867" s="2" t="s">
        <v>26</v>
      </c>
      <c r="F2867" s="2" t="s">
        <v>15</v>
      </c>
      <c r="G2867" s="7">
        <v>109.25</v>
      </c>
      <c r="H2867" s="7">
        <v>7082.5</v>
      </c>
      <c r="I2867" s="2" t="s">
        <v>15</v>
      </c>
      <c r="J2867" s="2" t="s">
        <v>15</v>
      </c>
      <c r="K2867" s="2" t="s">
        <v>24</v>
      </c>
      <c r="L2867" s="7">
        <v>7082.5</v>
      </c>
      <c r="M2867" s="2" t="str">
        <f>_xlfn.IFS(TelecomData[[#This Row],[TenureMonths]]&lt;=12, "0-1 Year", TelecomData[[#This Row],[TenureMonths]]&lt;=36, "1-3 Years", TelecomData[[#This Row],[TenureMonths]]&gt;36, "3+ Years")</f>
        <v>3+ Years</v>
      </c>
      <c r="N2867" s="2" t="str">
        <f>IF(TelecomData[[#This Row],[CleanedTotalCharges]]&gt;=2500,"High Spend", "Standard Spend")</f>
        <v>High Spend</v>
      </c>
    </row>
    <row r="2868" spans="1:14" x14ac:dyDescent="0.3">
      <c r="A2868" s="1" t="s">
        <v>2892</v>
      </c>
      <c r="B2868" s="2" t="s">
        <v>12</v>
      </c>
      <c r="C2868" s="2" t="s">
        <v>13</v>
      </c>
      <c r="D2868" s="2">
        <v>12</v>
      </c>
      <c r="E2868" s="2" t="s">
        <v>26</v>
      </c>
      <c r="F2868" s="2" t="s">
        <v>15</v>
      </c>
      <c r="G2868" s="7">
        <v>84.6</v>
      </c>
      <c r="H2868" s="7">
        <v>1017.35</v>
      </c>
      <c r="I2868" s="2" t="s">
        <v>15</v>
      </c>
      <c r="J2868" s="2" t="s">
        <v>16</v>
      </c>
      <c r="K2868" s="2" t="s">
        <v>17</v>
      </c>
      <c r="L2868" s="7">
        <v>1017.35</v>
      </c>
      <c r="M2868" s="2" t="str">
        <f>_xlfn.IFS(TelecomData[[#This Row],[TenureMonths]]&lt;=12, "0-1 Year", TelecomData[[#This Row],[TenureMonths]]&lt;=36, "1-3 Years", TelecomData[[#This Row],[TenureMonths]]&gt;36, "3+ Years")</f>
        <v>0-1 Year</v>
      </c>
      <c r="N2868" s="2" t="str">
        <f>IF(TelecomData[[#This Row],[CleanedTotalCharges]]&gt;=2500,"High Spend", "Standard Spend")</f>
        <v>Standard Spend</v>
      </c>
    </row>
    <row r="2869" spans="1:14" x14ac:dyDescent="0.3">
      <c r="A2869" s="1" t="s">
        <v>2893</v>
      </c>
      <c r="B2869" s="2" t="s">
        <v>12</v>
      </c>
      <c r="C2869" s="2" t="s">
        <v>20</v>
      </c>
      <c r="D2869" s="2">
        <v>24</v>
      </c>
      <c r="E2869" s="2" t="s">
        <v>15</v>
      </c>
      <c r="F2869" s="2" t="s">
        <v>36</v>
      </c>
      <c r="G2869" s="7">
        <v>20.45</v>
      </c>
      <c r="H2869" s="7">
        <v>527.35</v>
      </c>
      <c r="I2869" s="2" t="s">
        <v>15</v>
      </c>
      <c r="J2869" s="2" t="s">
        <v>15</v>
      </c>
      <c r="K2869" s="2" t="s">
        <v>29</v>
      </c>
      <c r="L2869" s="7">
        <v>527.35</v>
      </c>
      <c r="M2869" s="2" t="str">
        <f>_xlfn.IFS(TelecomData[[#This Row],[TenureMonths]]&lt;=12, "0-1 Year", TelecomData[[#This Row],[TenureMonths]]&lt;=36, "1-3 Years", TelecomData[[#This Row],[TenureMonths]]&gt;36, "3+ Years")</f>
        <v>1-3 Years</v>
      </c>
      <c r="N2869" s="2" t="str">
        <f>IF(TelecomData[[#This Row],[CleanedTotalCharges]]&gt;=2500,"High Spend", "Standard Spend")</f>
        <v>Standard Spend</v>
      </c>
    </row>
    <row r="2870" spans="1:14" x14ac:dyDescent="0.3">
      <c r="A2870" s="1" t="s">
        <v>2894</v>
      </c>
      <c r="B2870" s="2" t="s">
        <v>19</v>
      </c>
      <c r="C2870" s="2" t="s">
        <v>13</v>
      </c>
      <c r="D2870" s="2">
        <v>26</v>
      </c>
      <c r="E2870" s="2" t="s">
        <v>26</v>
      </c>
      <c r="F2870" s="2" t="s">
        <v>15</v>
      </c>
      <c r="G2870" s="7">
        <v>85.75</v>
      </c>
      <c r="H2870" s="7">
        <v>2146.5</v>
      </c>
      <c r="I2870" s="2" t="s">
        <v>15</v>
      </c>
      <c r="J2870" s="2" t="s">
        <v>16</v>
      </c>
      <c r="K2870" s="2" t="s">
        <v>17</v>
      </c>
      <c r="L2870" s="7">
        <v>2146.5</v>
      </c>
      <c r="M2870" s="2" t="str">
        <f>_xlfn.IFS(TelecomData[[#This Row],[TenureMonths]]&lt;=12, "0-1 Year", TelecomData[[#This Row],[TenureMonths]]&lt;=36, "1-3 Years", TelecomData[[#This Row],[TenureMonths]]&gt;36, "3+ Years")</f>
        <v>1-3 Years</v>
      </c>
      <c r="N2870" s="2" t="str">
        <f>IF(TelecomData[[#This Row],[CleanedTotalCharges]]&gt;=2500,"High Spend", "Standard Spend")</f>
        <v>Standard Spend</v>
      </c>
    </row>
    <row r="2871" spans="1:14" x14ac:dyDescent="0.3">
      <c r="A2871" s="1" t="s">
        <v>2895</v>
      </c>
      <c r="B2871" s="2" t="s">
        <v>12</v>
      </c>
      <c r="C2871" s="2" t="s">
        <v>13</v>
      </c>
      <c r="D2871" s="2">
        <v>6</v>
      </c>
      <c r="E2871" s="2" t="s">
        <v>26</v>
      </c>
      <c r="F2871" s="2" t="s">
        <v>15</v>
      </c>
      <c r="G2871" s="7">
        <v>91.1</v>
      </c>
      <c r="H2871" s="7">
        <v>455.3</v>
      </c>
      <c r="I2871" s="2" t="s">
        <v>16</v>
      </c>
      <c r="J2871" s="2" t="s">
        <v>16</v>
      </c>
      <c r="K2871" s="2" t="s">
        <v>17</v>
      </c>
      <c r="L2871" s="7">
        <v>455.3</v>
      </c>
      <c r="M2871" s="2" t="str">
        <f>_xlfn.IFS(TelecomData[[#This Row],[TenureMonths]]&lt;=12, "0-1 Year", TelecomData[[#This Row],[TenureMonths]]&lt;=36, "1-3 Years", TelecomData[[#This Row],[TenureMonths]]&gt;36, "3+ Years")</f>
        <v>0-1 Year</v>
      </c>
      <c r="N2871" s="2" t="str">
        <f>IF(TelecomData[[#This Row],[CleanedTotalCharges]]&gt;=2500,"High Spend", "Standard Spend")</f>
        <v>Standard Spend</v>
      </c>
    </row>
    <row r="2872" spans="1:14" x14ac:dyDescent="0.3">
      <c r="A2872" s="1" t="s">
        <v>2896</v>
      </c>
      <c r="B2872" s="2" t="s">
        <v>19</v>
      </c>
      <c r="C2872" s="2" t="s">
        <v>35</v>
      </c>
      <c r="D2872" s="2">
        <v>57</v>
      </c>
      <c r="E2872" s="2" t="s">
        <v>26</v>
      </c>
      <c r="F2872" s="2" t="s">
        <v>16</v>
      </c>
      <c r="G2872" s="7">
        <v>107.95</v>
      </c>
      <c r="H2872" s="7">
        <v>5969.85</v>
      </c>
      <c r="I2872" s="2" t="s">
        <v>15</v>
      </c>
      <c r="J2872" s="2" t="s">
        <v>15</v>
      </c>
      <c r="K2872" s="2" t="s">
        <v>17</v>
      </c>
      <c r="L2872" s="7">
        <v>5969.85</v>
      </c>
      <c r="M2872" s="2" t="str">
        <f>_xlfn.IFS(TelecomData[[#This Row],[TenureMonths]]&lt;=12, "0-1 Year", TelecomData[[#This Row],[TenureMonths]]&lt;=36, "1-3 Years", TelecomData[[#This Row],[TenureMonths]]&gt;36, "3+ Years")</f>
        <v>3+ Years</v>
      </c>
      <c r="N2872" s="2" t="str">
        <f>IF(TelecomData[[#This Row],[CleanedTotalCharges]]&gt;=2500,"High Spend", "Standard Spend")</f>
        <v>High Spend</v>
      </c>
    </row>
    <row r="2873" spans="1:14" x14ac:dyDescent="0.3">
      <c r="A2873" s="1" t="s">
        <v>2897</v>
      </c>
      <c r="B2873" s="2" t="s">
        <v>19</v>
      </c>
      <c r="C2873" s="2" t="s">
        <v>13</v>
      </c>
      <c r="D2873" s="2">
        <v>14</v>
      </c>
      <c r="E2873" s="2" t="s">
        <v>26</v>
      </c>
      <c r="F2873" s="2" t="s">
        <v>15</v>
      </c>
      <c r="G2873" s="7">
        <v>86.1</v>
      </c>
      <c r="H2873" s="7">
        <v>1235.55</v>
      </c>
      <c r="I2873" s="2" t="s">
        <v>16</v>
      </c>
      <c r="J2873" s="2" t="s">
        <v>16</v>
      </c>
      <c r="K2873" s="2" t="s">
        <v>17</v>
      </c>
      <c r="L2873" s="7">
        <v>1235.55</v>
      </c>
      <c r="M2873" s="2" t="str">
        <f>_xlfn.IFS(TelecomData[[#This Row],[TenureMonths]]&lt;=12, "0-1 Year", TelecomData[[#This Row],[TenureMonths]]&lt;=36, "1-3 Years", TelecomData[[#This Row],[TenureMonths]]&gt;36, "3+ Years")</f>
        <v>1-3 Years</v>
      </c>
      <c r="N2873" s="2" t="str">
        <f>IF(TelecomData[[#This Row],[CleanedTotalCharges]]&gt;=2500,"High Spend", "Standard Spend")</f>
        <v>Standard Spend</v>
      </c>
    </row>
    <row r="2874" spans="1:14" x14ac:dyDescent="0.3">
      <c r="A2874" s="1" t="s">
        <v>2898</v>
      </c>
      <c r="B2874" s="2" t="s">
        <v>12</v>
      </c>
      <c r="C2874" s="2" t="s">
        <v>35</v>
      </c>
      <c r="D2874" s="2">
        <v>42</v>
      </c>
      <c r="E2874" s="2" t="s">
        <v>15</v>
      </c>
      <c r="F2874" s="2" t="s">
        <v>36</v>
      </c>
      <c r="G2874" s="7">
        <v>22.95</v>
      </c>
      <c r="H2874" s="7">
        <v>1014.25</v>
      </c>
      <c r="I2874" s="2" t="s">
        <v>15</v>
      </c>
      <c r="J2874" s="2" t="s">
        <v>15</v>
      </c>
      <c r="K2874" s="2" t="s">
        <v>17</v>
      </c>
      <c r="L2874" s="7">
        <v>1014.25</v>
      </c>
      <c r="M2874" s="2" t="str">
        <f>_xlfn.IFS(TelecomData[[#This Row],[TenureMonths]]&lt;=12, "0-1 Year", TelecomData[[#This Row],[TenureMonths]]&lt;=36, "1-3 Years", TelecomData[[#This Row],[TenureMonths]]&gt;36, "3+ Years")</f>
        <v>3+ Years</v>
      </c>
      <c r="N2874" s="2" t="str">
        <f>IF(TelecomData[[#This Row],[CleanedTotalCharges]]&gt;=2500,"High Spend", "Standard Spend")</f>
        <v>Standard Spend</v>
      </c>
    </row>
    <row r="2875" spans="1:14" x14ac:dyDescent="0.3">
      <c r="A2875" s="1" t="s">
        <v>2899</v>
      </c>
      <c r="B2875" s="2" t="s">
        <v>19</v>
      </c>
      <c r="C2875" s="2" t="s">
        <v>13</v>
      </c>
      <c r="D2875" s="2">
        <v>25</v>
      </c>
      <c r="E2875" s="2" t="s">
        <v>26</v>
      </c>
      <c r="F2875" s="2" t="s">
        <v>15</v>
      </c>
      <c r="G2875" s="7">
        <v>94.7</v>
      </c>
      <c r="H2875" s="7">
        <v>2362.1</v>
      </c>
      <c r="I2875" s="2" t="s">
        <v>16</v>
      </c>
      <c r="J2875" s="2" t="s">
        <v>16</v>
      </c>
      <c r="K2875" s="2" t="s">
        <v>24</v>
      </c>
      <c r="L2875" s="7">
        <v>2362.1</v>
      </c>
      <c r="M2875" s="2" t="str">
        <f>_xlfn.IFS(TelecomData[[#This Row],[TenureMonths]]&lt;=12, "0-1 Year", TelecomData[[#This Row],[TenureMonths]]&lt;=36, "1-3 Years", TelecomData[[#This Row],[TenureMonths]]&gt;36, "3+ Years")</f>
        <v>1-3 Years</v>
      </c>
      <c r="N2875" s="2" t="str">
        <f>IF(TelecomData[[#This Row],[CleanedTotalCharges]]&gt;=2500,"High Spend", "Standard Spend")</f>
        <v>Standard Spend</v>
      </c>
    </row>
    <row r="2876" spans="1:14" x14ac:dyDescent="0.3">
      <c r="A2876" s="1" t="s">
        <v>2900</v>
      </c>
      <c r="B2876" s="2" t="s">
        <v>12</v>
      </c>
      <c r="C2876" s="2" t="s">
        <v>35</v>
      </c>
      <c r="D2876" s="2">
        <v>64</v>
      </c>
      <c r="E2876" s="2" t="s">
        <v>15</v>
      </c>
      <c r="F2876" s="2" t="s">
        <v>36</v>
      </c>
      <c r="G2876" s="7">
        <v>19.45</v>
      </c>
      <c r="H2876" s="7">
        <v>1225.6500000000001</v>
      </c>
      <c r="I2876" s="2" t="s">
        <v>15</v>
      </c>
      <c r="J2876" s="2" t="s">
        <v>15</v>
      </c>
      <c r="K2876" s="2" t="s">
        <v>29</v>
      </c>
      <c r="L2876" s="7">
        <v>1225.6500000000001</v>
      </c>
      <c r="M2876" s="2" t="str">
        <f>_xlfn.IFS(TelecomData[[#This Row],[TenureMonths]]&lt;=12, "0-1 Year", TelecomData[[#This Row],[TenureMonths]]&lt;=36, "1-3 Years", TelecomData[[#This Row],[TenureMonths]]&gt;36, "3+ Years")</f>
        <v>3+ Years</v>
      </c>
      <c r="N2876" s="2" t="str">
        <f>IF(TelecomData[[#This Row],[CleanedTotalCharges]]&gt;=2500,"High Spend", "Standard Spend")</f>
        <v>Standard Spend</v>
      </c>
    </row>
    <row r="2877" spans="1:14" x14ac:dyDescent="0.3">
      <c r="A2877" s="1" t="s">
        <v>2901</v>
      </c>
      <c r="B2877" s="2" t="s">
        <v>19</v>
      </c>
      <c r="C2877" s="2" t="s">
        <v>13</v>
      </c>
      <c r="D2877" s="2">
        <v>22</v>
      </c>
      <c r="E2877" s="2" t="s">
        <v>26</v>
      </c>
      <c r="F2877" s="2" t="s">
        <v>15</v>
      </c>
      <c r="G2877" s="7">
        <v>85.1</v>
      </c>
      <c r="H2877" s="7">
        <v>1873.7</v>
      </c>
      <c r="I2877" s="2" t="s">
        <v>16</v>
      </c>
      <c r="J2877" s="2" t="s">
        <v>16</v>
      </c>
      <c r="K2877" s="2" t="s">
        <v>17</v>
      </c>
      <c r="L2877" s="7">
        <v>1873.7</v>
      </c>
      <c r="M2877" s="2" t="str">
        <f>_xlfn.IFS(TelecomData[[#This Row],[TenureMonths]]&lt;=12, "0-1 Year", TelecomData[[#This Row],[TenureMonths]]&lt;=36, "1-3 Years", TelecomData[[#This Row],[TenureMonths]]&gt;36, "3+ Years")</f>
        <v>1-3 Years</v>
      </c>
      <c r="N2877" s="2" t="str">
        <f>IF(TelecomData[[#This Row],[CleanedTotalCharges]]&gt;=2500,"High Spend", "Standard Spend")</f>
        <v>Standard Spend</v>
      </c>
    </row>
    <row r="2878" spans="1:14" x14ac:dyDescent="0.3">
      <c r="A2878" s="1" t="s">
        <v>2902</v>
      </c>
      <c r="B2878" s="2" t="s">
        <v>19</v>
      </c>
      <c r="C2878" s="2" t="s">
        <v>20</v>
      </c>
      <c r="D2878" s="2">
        <v>19</v>
      </c>
      <c r="E2878" s="2" t="s">
        <v>15</v>
      </c>
      <c r="F2878" s="2" t="s">
        <v>36</v>
      </c>
      <c r="G2878" s="7">
        <v>19.7</v>
      </c>
      <c r="H2878" s="7">
        <v>386.5</v>
      </c>
      <c r="I2878" s="2" t="s">
        <v>15</v>
      </c>
      <c r="J2878" s="2" t="s">
        <v>16</v>
      </c>
      <c r="K2878" s="2" t="s">
        <v>29</v>
      </c>
      <c r="L2878" s="7">
        <v>386.5</v>
      </c>
      <c r="M2878" s="2" t="str">
        <f>_xlfn.IFS(TelecomData[[#This Row],[TenureMonths]]&lt;=12, "0-1 Year", TelecomData[[#This Row],[TenureMonths]]&lt;=36, "1-3 Years", TelecomData[[#This Row],[TenureMonths]]&gt;36, "3+ Years")</f>
        <v>1-3 Years</v>
      </c>
      <c r="N2878" s="2" t="str">
        <f>IF(TelecomData[[#This Row],[CleanedTotalCharges]]&gt;=2500,"High Spend", "Standard Spend")</f>
        <v>Standard Spend</v>
      </c>
    </row>
    <row r="2879" spans="1:14" x14ac:dyDescent="0.3">
      <c r="A2879" s="1" t="s">
        <v>2903</v>
      </c>
      <c r="B2879" s="2" t="s">
        <v>12</v>
      </c>
      <c r="C2879" s="2" t="s">
        <v>13</v>
      </c>
      <c r="D2879" s="2">
        <v>61</v>
      </c>
      <c r="E2879" s="2" t="s">
        <v>26</v>
      </c>
      <c r="F2879" s="2" t="s">
        <v>15</v>
      </c>
      <c r="G2879" s="7">
        <v>99.15</v>
      </c>
      <c r="H2879" s="7">
        <v>6010.05</v>
      </c>
      <c r="I2879" s="2" t="s">
        <v>16</v>
      </c>
      <c r="J2879" s="2" t="s">
        <v>16</v>
      </c>
      <c r="K2879" s="2" t="s">
        <v>17</v>
      </c>
      <c r="L2879" s="7">
        <v>6010.05</v>
      </c>
      <c r="M2879" s="2" t="str">
        <f>_xlfn.IFS(TelecomData[[#This Row],[TenureMonths]]&lt;=12, "0-1 Year", TelecomData[[#This Row],[TenureMonths]]&lt;=36, "1-3 Years", TelecomData[[#This Row],[TenureMonths]]&gt;36, "3+ Years")</f>
        <v>3+ Years</v>
      </c>
      <c r="N2879" s="2" t="str">
        <f>IF(TelecomData[[#This Row],[CleanedTotalCharges]]&gt;=2500,"High Spend", "Standard Spend")</f>
        <v>High Spend</v>
      </c>
    </row>
    <row r="2880" spans="1:14" x14ac:dyDescent="0.3">
      <c r="A2880" s="1" t="s">
        <v>2904</v>
      </c>
      <c r="B2880" s="2" t="s">
        <v>19</v>
      </c>
      <c r="C2880" s="2" t="s">
        <v>13</v>
      </c>
      <c r="D2880" s="2">
        <v>22</v>
      </c>
      <c r="E2880" s="2" t="s">
        <v>26</v>
      </c>
      <c r="F2880" s="2" t="s">
        <v>15</v>
      </c>
      <c r="G2880" s="7">
        <v>87</v>
      </c>
      <c r="H2880" s="7">
        <v>1850.65</v>
      </c>
      <c r="I2880" s="2" t="s">
        <v>15</v>
      </c>
      <c r="J2880" s="2" t="s">
        <v>16</v>
      </c>
      <c r="K2880" s="2" t="s">
        <v>24</v>
      </c>
      <c r="L2880" s="7">
        <v>1850.65</v>
      </c>
      <c r="M2880" s="2" t="str">
        <f>_xlfn.IFS(TelecomData[[#This Row],[TenureMonths]]&lt;=12, "0-1 Year", TelecomData[[#This Row],[TenureMonths]]&lt;=36, "1-3 Years", TelecomData[[#This Row],[TenureMonths]]&gt;36, "3+ Years")</f>
        <v>1-3 Years</v>
      </c>
      <c r="N2880" s="2" t="str">
        <f>IF(TelecomData[[#This Row],[CleanedTotalCharges]]&gt;=2500,"High Spend", "Standard Spend")</f>
        <v>Standard Spend</v>
      </c>
    </row>
    <row r="2881" spans="1:14" x14ac:dyDescent="0.3">
      <c r="A2881" s="1" t="s">
        <v>2905</v>
      </c>
      <c r="B2881" s="2" t="s">
        <v>19</v>
      </c>
      <c r="C2881" s="2" t="s">
        <v>13</v>
      </c>
      <c r="D2881" s="2">
        <v>70</v>
      </c>
      <c r="E2881" s="2" t="s">
        <v>26</v>
      </c>
      <c r="F2881" s="2" t="s">
        <v>15</v>
      </c>
      <c r="G2881" s="7">
        <v>102.95</v>
      </c>
      <c r="H2881" s="7">
        <v>7101.5</v>
      </c>
      <c r="I2881" s="2" t="s">
        <v>16</v>
      </c>
      <c r="J2881" s="2" t="s">
        <v>16</v>
      </c>
      <c r="K2881" s="2" t="s">
        <v>17</v>
      </c>
      <c r="L2881" s="7">
        <v>7101.5</v>
      </c>
      <c r="M2881" s="2" t="str">
        <f>_xlfn.IFS(TelecomData[[#This Row],[TenureMonths]]&lt;=12, "0-1 Year", TelecomData[[#This Row],[TenureMonths]]&lt;=36, "1-3 Years", TelecomData[[#This Row],[TenureMonths]]&gt;36, "3+ Years")</f>
        <v>3+ Years</v>
      </c>
      <c r="N2881" s="2" t="str">
        <f>IF(TelecomData[[#This Row],[CleanedTotalCharges]]&gt;=2500,"High Spend", "Standard Spend")</f>
        <v>High Spend</v>
      </c>
    </row>
    <row r="2882" spans="1:14" x14ac:dyDescent="0.3">
      <c r="A2882" s="1" t="s">
        <v>2906</v>
      </c>
      <c r="B2882" s="2" t="s">
        <v>19</v>
      </c>
      <c r="C2882" s="2" t="s">
        <v>13</v>
      </c>
      <c r="D2882" s="2">
        <v>12</v>
      </c>
      <c r="E2882" s="2" t="s">
        <v>26</v>
      </c>
      <c r="F2882" s="2" t="s">
        <v>15</v>
      </c>
      <c r="G2882" s="7">
        <v>79.95</v>
      </c>
      <c r="H2882" s="7">
        <v>1043.4000000000001</v>
      </c>
      <c r="I2882" s="2" t="s">
        <v>15</v>
      </c>
      <c r="J2882" s="2" t="s">
        <v>16</v>
      </c>
      <c r="K2882" s="2" t="s">
        <v>24</v>
      </c>
      <c r="L2882" s="7">
        <v>1043.4000000000001</v>
      </c>
      <c r="M2882" s="2" t="str">
        <f>_xlfn.IFS(TelecomData[[#This Row],[TenureMonths]]&lt;=12, "0-1 Year", TelecomData[[#This Row],[TenureMonths]]&lt;=36, "1-3 Years", TelecomData[[#This Row],[TenureMonths]]&gt;36, "3+ Years")</f>
        <v>0-1 Year</v>
      </c>
      <c r="N2882" s="2" t="str">
        <f>IF(TelecomData[[#This Row],[CleanedTotalCharges]]&gt;=2500,"High Spend", "Standard Spend")</f>
        <v>Standard Spend</v>
      </c>
    </row>
    <row r="2883" spans="1:14" x14ac:dyDescent="0.3">
      <c r="A2883" s="1" t="s">
        <v>2907</v>
      </c>
      <c r="B2883" s="2" t="s">
        <v>12</v>
      </c>
      <c r="C2883" s="2" t="s">
        <v>20</v>
      </c>
      <c r="D2883" s="2">
        <v>31</v>
      </c>
      <c r="E2883" s="2" t="s">
        <v>14</v>
      </c>
      <c r="F2883" s="2" t="s">
        <v>16</v>
      </c>
      <c r="G2883" s="7">
        <v>64</v>
      </c>
      <c r="H2883" s="7">
        <v>1910.75</v>
      </c>
      <c r="I2883" s="2" t="s">
        <v>15</v>
      </c>
      <c r="J2883" s="2" t="s">
        <v>16</v>
      </c>
      <c r="K2883" s="2" t="s">
        <v>17</v>
      </c>
      <c r="L2883" s="7">
        <v>1910.75</v>
      </c>
      <c r="M2883" s="2" t="str">
        <f>_xlfn.IFS(TelecomData[[#This Row],[TenureMonths]]&lt;=12, "0-1 Year", TelecomData[[#This Row],[TenureMonths]]&lt;=36, "1-3 Years", TelecomData[[#This Row],[TenureMonths]]&gt;36, "3+ Years")</f>
        <v>1-3 Years</v>
      </c>
      <c r="N2883" s="2" t="str">
        <f>IF(TelecomData[[#This Row],[CleanedTotalCharges]]&gt;=2500,"High Spend", "Standard Spend")</f>
        <v>Standard Spend</v>
      </c>
    </row>
    <row r="2884" spans="1:14" x14ac:dyDescent="0.3">
      <c r="A2884" s="1" t="s">
        <v>2908</v>
      </c>
      <c r="B2884" s="2" t="s">
        <v>12</v>
      </c>
      <c r="C2884" s="2" t="s">
        <v>13</v>
      </c>
      <c r="D2884" s="2">
        <v>11</v>
      </c>
      <c r="E2884" s="2" t="s">
        <v>14</v>
      </c>
      <c r="F2884" s="2" t="s">
        <v>15</v>
      </c>
      <c r="G2884" s="7">
        <v>64.900000000000006</v>
      </c>
      <c r="H2884" s="7">
        <v>716.1</v>
      </c>
      <c r="I2884" s="2" t="s">
        <v>15</v>
      </c>
      <c r="J2884" s="2" t="s">
        <v>16</v>
      </c>
      <c r="K2884" s="2" t="s">
        <v>17</v>
      </c>
      <c r="L2884" s="7">
        <v>716.1</v>
      </c>
      <c r="M2884" s="2" t="str">
        <f>_xlfn.IFS(TelecomData[[#This Row],[TenureMonths]]&lt;=12, "0-1 Year", TelecomData[[#This Row],[TenureMonths]]&lt;=36, "1-3 Years", TelecomData[[#This Row],[TenureMonths]]&gt;36, "3+ Years")</f>
        <v>0-1 Year</v>
      </c>
      <c r="N2884" s="2" t="str">
        <f>IF(TelecomData[[#This Row],[CleanedTotalCharges]]&gt;=2500,"High Spend", "Standard Spend")</f>
        <v>Standard Spend</v>
      </c>
    </row>
    <row r="2885" spans="1:14" x14ac:dyDescent="0.3">
      <c r="A2885" s="1" t="s">
        <v>2909</v>
      </c>
      <c r="B2885" s="2" t="s">
        <v>19</v>
      </c>
      <c r="C2885" s="2" t="s">
        <v>35</v>
      </c>
      <c r="D2885" s="2">
        <v>68</v>
      </c>
      <c r="E2885" s="2" t="s">
        <v>15</v>
      </c>
      <c r="F2885" s="2" t="s">
        <v>36</v>
      </c>
      <c r="G2885" s="7">
        <v>25.75</v>
      </c>
      <c r="H2885" s="7">
        <v>1686.15</v>
      </c>
      <c r="I2885" s="2" t="s">
        <v>15</v>
      </c>
      <c r="J2885" s="2" t="s">
        <v>15</v>
      </c>
      <c r="K2885" s="2" t="s">
        <v>21</v>
      </c>
      <c r="L2885" s="7">
        <v>1686.15</v>
      </c>
      <c r="M2885" s="2" t="str">
        <f>_xlfn.IFS(TelecomData[[#This Row],[TenureMonths]]&lt;=12, "0-1 Year", TelecomData[[#This Row],[TenureMonths]]&lt;=36, "1-3 Years", TelecomData[[#This Row],[TenureMonths]]&gt;36, "3+ Years")</f>
        <v>3+ Years</v>
      </c>
      <c r="N2885" s="2" t="str">
        <f>IF(TelecomData[[#This Row],[CleanedTotalCharges]]&gt;=2500,"High Spend", "Standard Spend")</f>
        <v>Standard Spend</v>
      </c>
    </row>
    <row r="2886" spans="1:14" x14ac:dyDescent="0.3">
      <c r="A2886" s="1" t="s">
        <v>2910</v>
      </c>
      <c r="B2886" s="2" t="s">
        <v>12</v>
      </c>
      <c r="C2886" s="2" t="s">
        <v>35</v>
      </c>
      <c r="D2886" s="2">
        <v>72</v>
      </c>
      <c r="E2886" s="2" t="s">
        <v>14</v>
      </c>
      <c r="F2886" s="2" t="s">
        <v>16</v>
      </c>
      <c r="G2886" s="7">
        <v>90.15</v>
      </c>
      <c r="H2886" s="7">
        <v>6716.45</v>
      </c>
      <c r="I2886" s="2" t="s">
        <v>15</v>
      </c>
      <c r="J2886" s="2" t="s">
        <v>16</v>
      </c>
      <c r="K2886" s="2" t="s">
        <v>24</v>
      </c>
      <c r="L2886" s="7">
        <v>6716.45</v>
      </c>
      <c r="M2886" s="2" t="str">
        <f>_xlfn.IFS(TelecomData[[#This Row],[TenureMonths]]&lt;=12, "0-1 Year", TelecomData[[#This Row],[TenureMonths]]&lt;=36, "1-3 Years", TelecomData[[#This Row],[TenureMonths]]&gt;36, "3+ Years")</f>
        <v>3+ Years</v>
      </c>
      <c r="N2886" s="2" t="str">
        <f>IF(TelecomData[[#This Row],[CleanedTotalCharges]]&gt;=2500,"High Spend", "Standard Spend")</f>
        <v>High Spend</v>
      </c>
    </row>
    <row r="2887" spans="1:14" x14ac:dyDescent="0.3">
      <c r="A2887" s="1" t="s">
        <v>2911</v>
      </c>
      <c r="B2887" s="2" t="s">
        <v>19</v>
      </c>
      <c r="C2887" s="2" t="s">
        <v>35</v>
      </c>
      <c r="D2887" s="2">
        <v>67</v>
      </c>
      <c r="E2887" s="2" t="s">
        <v>26</v>
      </c>
      <c r="F2887" s="2" t="s">
        <v>16</v>
      </c>
      <c r="G2887" s="7">
        <v>116.1</v>
      </c>
      <c r="H2887" s="7">
        <v>7839.85</v>
      </c>
      <c r="I2887" s="2" t="s">
        <v>15</v>
      </c>
      <c r="J2887" s="2" t="s">
        <v>16</v>
      </c>
      <c r="K2887" s="2" t="s">
        <v>29</v>
      </c>
      <c r="L2887" s="7">
        <v>7839.85</v>
      </c>
      <c r="M2887" s="2" t="str">
        <f>_xlfn.IFS(TelecomData[[#This Row],[TenureMonths]]&lt;=12, "0-1 Year", TelecomData[[#This Row],[TenureMonths]]&lt;=36, "1-3 Years", TelecomData[[#This Row],[TenureMonths]]&gt;36, "3+ Years")</f>
        <v>3+ Years</v>
      </c>
      <c r="N2887" s="2" t="str">
        <f>IF(TelecomData[[#This Row],[CleanedTotalCharges]]&gt;=2500,"High Spend", "Standard Spend")</f>
        <v>High Spend</v>
      </c>
    </row>
    <row r="2888" spans="1:14" x14ac:dyDescent="0.3">
      <c r="A2888" s="1" t="s">
        <v>2912</v>
      </c>
      <c r="B2888" s="2" t="s">
        <v>12</v>
      </c>
      <c r="C2888" s="2" t="s">
        <v>13</v>
      </c>
      <c r="D2888" s="2">
        <v>60</v>
      </c>
      <c r="E2888" s="2" t="s">
        <v>26</v>
      </c>
      <c r="F2888" s="2" t="s">
        <v>16</v>
      </c>
      <c r="G2888" s="7">
        <v>104.95</v>
      </c>
      <c r="H2888" s="7">
        <v>6236.75</v>
      </c>
      <c r="I2888" s="2" t="s">
        <v>15</v>
      </c>
      <c r="J2888" s="2" t="s">
        <v>16</v>
      </c>
      <c r="K2888" s="2" t="s">
        <v>24</v>
      </c>
      <c r="L2888" s="7">
        <v>6236.75</v>
      </c>
      <c r="M2888" s="2" t="str">
        <f>_xlfn.IFS(TelecomData[[#This Row],[TenureMonths]]&lt;=12, "0-1 Year", TelecomData[[#This Row],[TenureMonths]]&lt;=36, "1-3 Years", TelecomData[[#This Row],[TenureMonths]]&gt;36, "3+ Years")</f>
        <v>3+ Years</v>
      </c>
      <c r="N2888" s="2" t="str">
        <f>IF(TelecomData[[#This Row],[CleanedTotalCharges]]&gt;=2500,"High Spend", "Standard Spend")</f>
        <v>High Spend</v>
      </c>
    </row>
    <row r="2889" spans="1:14" x14ac:dyDescent="0.3">
      <c r="A2889" s="1" t="s">
        <v>2913</v>
      </c>
      <c r="B2889" s="2" t="s">
        <v>19</v>
      </c>
      <c r="C2889" s="2" t="s">
        <v>13</v>
      </c>
      <c r="D2889" s="2">
        <v>1</v>
      </c>
      <c r="E2889" s="2" t="s">
        <v>14</v>
      </c>
      <c r="F2889" s="2" t="s">
        <v>15</v>
      </c>
      <c r="G2889" s="7">
        <v>45.05</v>
      </c>
      <c r="H2889" s="7">
        <v>45.05</v>
      </c>
      <c r="I2889" s="2" t="s">
        <v>16</v>
      </c>
      <c r="J2889" s="2" t="s">
        <v>16</v>
      </c>
      <c r="K2889" s="2" t="s">
        <v>21</v>
      </c>
      <c r="L2889" s="7">
        <v>45.05</v>
      </c>
      <c r="M2889" s="2" t="str">
        <f>_xlfn.IFS(TelecomData[[#This Row],[TenureMonths]]&lt;=12, "0-1 Year", TelecomData[[#This Row],[TenureMonths]]&lt;=36, "1-3 Years", TelecomData[[#This Row],[TenureMonths]]&gt;36, "3+ Years")</f>
        <v>0-1 Year</v>
      </c>
      <c r="N2889" s="2" t="str">
        <f>IF(TelecomData[[#This Row],[CleanedTotalCharges]]&gt;=2500,"High Spend", "Standard Spend")</f>
        <v>Standard Spend</v>
      </c>
    </row>
    <row r="2890" spans="1:14" x14ac:dyDescent="0.3">
      <c r="A2890" s="1" t="s">
        <v>2914</v>
      </c>
      <c r="B2890" s="2" t="s">
        <v>12</v>
      </c>
      <c r="C2890" s="2" t="s">
        <v>13</v>
      </c>
      <c r="D2890" s="2">
        <v>1</v>
      </c>
      <c r="E2890" s="2" t="s">
        <v>26</v>
      </c>
      <c r="F2890" s="2" t="s">
        <v>15</v>
      </c>
      <c r="G2890" s="7">
        <v>71</v>
      </c>
      <c r="H2890" s="7">
        <v>71</v>
      </c>
      <c r="I2890" s="2" t="s">
        <v>16</v>
      </c>
      <c r="J2890" s="2" t="s">
        <v>16</v>
      </c>
      <c r="K2890" s="2" t="s">
        <v>17</v>
      </c>
      <c r="L2890" s="7">
        <v>71</v>
      </c>
      <c r="M2890" s="2" t="str">
        <f>_xlfn.IFS(TelecomData[[#This Row],[TenureMonths]]&lt;=12, "0-1 Year", TelecomData[[#This Row],[TenureMonths]]&lt;=36, "1-3 Years", TelecomData[[#This Row],[TenureMonths]]&gt;36, "3+ Years")</f>
        <v>0-1 Year</v>
      </c>
      <c r="N2890" s="2" t="str">
        <f>IF(TelecomData[[#This Row],[CleanedTotalCharges]]&gt;=2500,"High Spend", "Standard Spend")</f>
        <v>Standard Spend</v>
      </c>
    </row>
    <row r="2891" spans="1:14" x14ac:dyDescent="0.3">
      <c r="A2891" s="1" t="s">
        <v>2915</v>
      </c>
      <c r="B2891" s="2" t="s">
        <v>19</v>
      </c>
      <c r="C2891" s="2" t="s">
        <v>20</v>
      </c>
      <c r="D2891" s="2">
        <v>58</v>
      </c>
      <c r="E2891" s="2" t="s">
        <v>14</v>
      </c>
      <c r="F2891" s="2" t="s">
        <v>15</v>
      </c>
      <c r="G2891" s="7">
        <v>50</v>
      </c>
      <c r="H2891" s="7">
        <v>2919.85</v>
      </c>
      <c r="I2891" s="2" t="s">
        <v>15</v>
      </c>
      <c r="J2891" s="2" t="s">
        <v>15</v>
      </c>
      <c r="K2891" s="2" t="s">
        <v>21</v>
      </c>
      <c r="L2891" s="7">
        <v>2919.85</v>
      </c>
      <c r="M2891" s="2" t="str">
        <f>_xlfn.IFS(TelecomData[[#This Row],[TenureMonths]]&lt;=12, "0-1 Year", TelecomData[[#This Row],[TenureMonths]]&lt;=36, "1-3 Years", TelecomData[[#This Row],[TenureMonths]]&gt;36, "3+ Years")</f>
        <v>3+ Years</v>
      </c>
      <c r="N2891" s="2" t="str">
        <f>IF(TelecomData[[#This Row],[CleanedTotalCharges]]&gt;=2500,"High Spend", "Standard Spend")</f>
        <v>High Spend</v>
      </c>
    </row>
    <row r="2892" spans="1:14" x14ac:dyDescent="0.3">
      <c r="A2892" s="1" t="s">
        <v>2916</v>
      </c>
      <c r="B2892" s="2" t="s">
        <v>12</v>
      </c>
      <c r="C2892" s="2" t="s">
        <v>13</v>
      </c>
      <c r="D2892" s="2">
        <v>47</v>
      </c>
      <c r="E2892" s="2" t="s">
        <v>26</v>
      </c>
      <c r="F2892" s="2" t="s">
        <v>15</v>
      </c>
      <c r="G2892" s="7">
        <v>70.55</v>
      </c>
      <c r="H2892" s="7">
        <v>3309.25</v>
      </c>
      <c r="I2892" s="2" t="s">
        <v>16</v>
      </c>
      <c r="J2892" s="2" t="s">
        <v>15</v>
      </c>
      <c r="K2892" s="2" t="s">
        <v>24</v>
      </c>
      <c r="L2892" s="7">
        <v>3309.25</v>
      </c>
      <c r="M2892" s="2" t="str">
        <f>_xlfn.IFS(TelecomData[[#This Row],[TenureMonths]]&lt;=12, "0-1 Year", TelecomData[[#This Row],[TenureMonths]]&lt;=36, "1-3 Years", TelecomData[[#This Row],[TenureMonths]]&gt;36, "3+ Years")</f>
        <v>3+ Years</v>
      </c>
      <c r="N2892" s="2" t="str">
        <f>IF(TelecomData[[#This Row],[CleanedTotalCharges]]&gt;=2500,"High Spend", "Standard Spend")</f>
        <v>High Spend</v>
      </c>
    </row>
    <row r="2893" spans="1:14" x14ac:dyDescent="0.3">
      <c r="A2893" s="1" t="s">
        <v>2917</v>
      </c>
      <c r="B2893" s="2" t="s">
        <v>12</v>
      </c>
      <c r="C2893" s="2" t="s">
        <v>13</v>
      </c>
      <c r="D2893" s="2">
        <v>1</v>
      </c>
      <c r="E2893" s="2" t="s">
        <v>26</v>
      </c>
      <c r="F2893" s="2" t="s">
        <v>15</v>
      </c>
      <c r="G2893" s="7">
        <v>79.7</v>
      </c>
      <c r="H2893" s="7">
        <v>79.7</v>
      </c>
      <c r="I2893" s="2" t="s">
        <v>16</v>
      </c>
      <c r="J2893" s="2" t="s">
        <v>16</v>
      </c>
      <c r="K2893" s="2" t="s">
        <v>17</v>
      </c>
      <c r="L2893" s="7">
        <v>79.7</v>
      </c>
      <c r="M2893" s="2" t="str">
        <f>_xlfn.IFS(TelecomData[[#This Row],[TenureMonths]]&lt;=12, "0-1 Year", TelecomData[[#This Row],[TenureMonths]]&lt;=36, "1-3 Years", TelecomData[[#This Row],[TenureMonths]]&gt;36, "3+ Years")</f>
        <v>0-1 Year</v>
      </c>
      <c r="N2893" s="2" t="str">
        <f>IF(TelecomData[[#This Row],[CleanedTotalCharges]]&gt;=2500,"High Spend", "Standard Spend")</f>
        <v>Standard Spend</v>
      </c>
    </row>
    <row r="2894" spans="1:14" x14ac:dyDescent="0.3">
      <c r="A2894" s="1" t="s">
        <v>2918</v>
      </c>
      <c r="B2894" s="2" t="s">
        <v>19</v>
      </c>
      <c r="C2894" s="2" t="s">
        <v>13</v>
      </c>
      <c r="D2894" s="2">
        <v>1</v>
      </c>
      <c r="E2894" s="2" t="s">
        <v>15</v>
      </c>
      <c r="F2894" s="2" t="s">
        <v>36</v>
      </c>
      <c r="G2894" s="7">
        <v>20.45</v>
      </c>
      <c r="H2894" s="7">
        <v>20.45</v>
      </c>
      <c r="I2894" s="2" t="s">
        <v>15</v>
      </c>
      <c r="J2894" s="2" t="s">
        <v>15</v>
      </c>
      <c r="K2894" s="2" t="s">
        <v>21</v>
      </c>
      <c r="L2894" s="7">
        <v>20.45</v>
      </c>
      <c r="M2894" s="2" t="str">
        <f>_xlfn.IFS(TelecomData[[#This Row],[TenureMonths]]&lt;=12, "0-1 Year", TelecomData[[#This Row],[TenureMonths]]&lt;=36, "1-3 Years", TelecomData[[#This Row],[TenureMonths]]&gt;36, "3+ Years")</f>
        <v>0-1 Year</v>
      </c>
      <c r="N2894" s="2" t="str">
        <f>IF(TelecomData[[#This Row],[CleanedTotalCharges]]&gt;=2500,"High Spend", "Standard Spend")</f>
        <v>Standard Spend</v>
      </c>
    </row>
    <row r="2895" spans="1:14" x14ac:dyDescent="0.3">
      <c r="A2895" s="1" t="s">
        <v>2919</v>
      </c>
      <c r="B2895" s="2" t="s">
        <v>19</v>
      </c>
      <c r="C2895" s="2" t="s">
        <v>13</v>
      </c>
      <c r="D2895" s="2">
        <v>22</v>
      </c>
      <c r="E2895" s="2" t="s">
        <v>14</v>
      </c>
      <c r="F2895" s="2" t="s">
        <v>15</v>
      </c>
      <c r="G2895" s="7">
        <v>59</v>
      </c>
      <c r="H2895" s="7">
        <v>1254.7</v>
      </c>
      <c r="I2895" s="2" t="s">
        <v>16</v>
      </c>
      <c r="J2895" s="2" t="s">
        <v>15</v>
      </c>
      <c r="K2895" s="2" t="s">
        <v>17</v>
      </c>
      <c r="L2895" s="7">
        <v>1254.7</v>
      </c>
      <c r="M2895" s="2" t="str">
        <f>_xlfn.IFS(TelecomData[[#This Row],[TenureMonths]]&lt;=12, "0-1 Year", TelecomData[[#This Row],[TenureMonths]]&lt;=36, "1-3 Years", TelecomData[[#This Row],[TenureMonths]]&gt;36, "3+ Years")</f>
        <v>1-3 Years</v>
      </c>
      <c r="N2895" s="2" t="str">
        <f>IF(TelecomData[[#This Row],[CleanedTotalCharges]]&gt;=2500,"High Spend", "Standard Spend")</f>
        <v>Standard Spend</v>
      </c>
    </row>
    <row r="2896" spans="1:14" x14ac:dyDescent="0.3">
      <c r="A2896" s="1" t="s">
        <v>2920</v>
      </c>
      <c r="B2896" s="2" t="s">
        <v>12</v>
      </c>
      <c r="C2896" s="2" t="s">
        <v>20</v>
      </c>
      <c r="D2896" s="2">
        <v>48</v>
      </c>
      <c r="E2896" s="2" t="s">
        <v>14</v>
      </c>
      <c r="F2896" s="2" t="s">
        <v>16</v>
      </c>
      <c r="G2896" s="7">
        <v>60.35</v>
      </c>
      <c r="H2896" s="7">
        <v>2896.4</v>
      </c>
      <c r="I2896" s="2" t="s">
        <v>16</v>
      </c>
      <c r="J2896" s="2" t="s">
        <v>16</v>
      </c>
      <c r="K2896" s="2" t="s">
        <v>29</v>
      </c>
      <c r="L2896" s="7">
        <v>2896.4</v>
      </c>
      <c r="M2896" s="2" t="str">
        <f>_xlfn.IFS(TelecomData[[#This Row],[TenureMonths]]&lt;=12, "0-1 Year", TelecomData[[#This Row],[TenureMonths]]&lt;=36, "1-3 Years", TelecomData[[#This Row],[TenureMonths]]&gt;36, "3+ Years")</f>
        <v>3+ Years</v>
      </c>
      <c r="N2896" s="2" t="str">
        <f>IF(TelecomData[[#This Row],[CleanedTotalCharges]]&gt;=2500,"High Spend", "Standard Spend")</f>
        <v>High Spend</v>
      </c>
    </row>
    <row r="2897" spans="1:14" x14ac:dyDescent="0.3">
      <c r="A2897" s="1" t="s">
        <v>2921</v>
      </c>
      <c r="B2897" s="2" t="s">
        <v>12</v>
      </c>
      <c r="C2897" s="2" t="s">
        <v>20</v>
      </c>
      <c r="D2897" s="2">
        <v>37</v>
      </c>
      <c r="E2897" s="2" t="s">
        <v>15</v>
      </c>
      <c r="F2897" s="2" t="s">
        <v>36</v>
      </c>
      <c r="G2897" s="7">
        <v>19.850000000000001</v>
      </c>
      <c r="H2897" s="7">
        <v>717.5</v>
      </c>
      <c r="I2897" s="2" t="s">
        <v>15</v>
      </c>
      <c r="J2897" s="2" t="s">
        <v>16</v>
      </c>
      <c r="K2897" s="2" t="s">
        <v>24</v>
      </c>
      <c r="L2897" s="7">
        <v>717.5</v>
      </c>
      <c r="M2897" s="2" t="str">
        <f>_xlfn.IFS(TelecomData[[#This Row],[TenureMonths]]&lt;=12, "0-1 Year", TelecomData[[#This Row],[TenureMonths]]&lt;=36, "1-3 Years", TelecomData[[#This Row],[TenureMonths]]&gt;36, "3+ Years")</f>
        <v>3+ Years</v>
      </c>
      <c r="N2897" s="2" t="str">
        <f>IF(TelecomData[[#This Row],[CleanedTotalCharges]]&gt;=2500,"High Spend", "Standard Spend")</f>
        <v>Standard Spend</v>
      </c>
    </row>
    <row r="2898" spans="1:14" x14ac:dyDescent="0.3">
      <c r="A2898" s="1" t="s">
        <v>2922</v>
      </c>
      <c r="B2898" s="2" t="s">
        <v>19</v>
      </c>
      <c r="C2898" s="2" t="s">
        <v>20</v>
      </c>
      <c r="D2898" s="2">
        <v>13</v>
      </c>
      <c r="E2898" s="2" t="s">
        <v>15</v>
      </c>
      <c r="F2898" s="2" t="s">
        <v>36</v>
      </c>
      <c r="G2898" s="7">
        <v>19.95</v>
      </c>
      <c r="H2898" s="7">
        <v>253.8</v>
      </c>
      <c r="I2898" s="2" t="s">
        <v>15</v>
      </c>
      <c r="J2898" s="2" t="s">
        <v>16</v>
      </c>
      <c r="K2898" s="2" t="s">
        <v>17</v>
      </c>
      <c r="L2898" s="7">
        <v>253.8</v>
      </c>
      <c r="M2898" s="2" t="str">
        <f>_xlfn.IFS(TelecomData[[#This Row],[TenureMonths]]&lt;=12, "0-1 Year", TelecomData[[#This Row],[TenureMonths]]&lt;=36, "1-3 Years", TelecomData[[#This Row],[TenureMonths]]&gt;36, "3+ Years")</f>
        <v>1-3 Years</v>
      </c>
      <c r="N2898" s="2" t="str">
        <f>IF(TelecomData[[#This Row],[CleanedTotalCharges]]&gt;=2500,"High Spend", "Standard Spend")</f>
        <v>Standard Spend</v>
      </c>
    </row>
    <row r="2899" spans="1:14" x14ac:dyDescent="0.3">
      <c r="A2899" s="1" t="s">
        <v>2923</v>
      </c>
      <c r="B2899" s="2" t="s">
        <v>19</v>
      </c>
      <c r="C2899" s="2" t="s">
        <v>35</v>
      </c>
      <c r="D2899" s="2">
        <v>43</v>
      </c>
      <c r="E2899" s="2" t="s">
        <v>15</v>
      </c>
      <c r="F2899" s="2" t="s">
        <v>36</v>
      </c>
      <c r="G2899" s="7">
        <v>26.45</v>
      </c>
      <c r="H2899" s="7">
        <v>1110.05</v>
      </c>
      <c r="I2899" s="2" t="s">
        <v>15</v>
      </c>
      <c r="J2899" s="2" t="s">
        <v>15</v>
      </c>
      <c r="K2899" s="2" t="s">
        <v>24</v>
      </c>
      <c r="L2899" s="7">
        <v>1110.05</v>
      </c>
      <c r="M2899" s="2" t="str">
        <f>_xlfn.IFS(TelecomData[[#This Row],[TenureMonths]]&lt;=12, "0-1 Year", TelecomData[[#This Row],[TenureMonths]]&lt;=36, "1-3 Years", TelecomData[[#This Row],[TenureMonths]]&gt;36, "3+ Years")</f>
        <v>3+ Years</v>
      </c>
      <c r="N2899" s="2" t="str">
        <f>IF(TelecomData[[#This Row],[CleanedTotalCharges]]&gt;=2500,"High Spend", "Standard Spend")</f>
        <v>Standard Spend</v>
      </c>
    </row>
    <row r="2900" spans="1:14" x14ac:dyDescent="0.3">
      <c r="A2900" s="1" t="s">
        <v>2924</v>
      </c>
      <c r="B2900" s="2" t="s">
        <v>12</v>
      </c>
      <c r="C2900" s="2" t="s">
        <v>35</v>
      </c>
      <c r="D2900" s="2">
        <v>6</v>
      </c>
      <c r="E2900" s="2" t="s">
        <v>14</v>
      </c>
      <c r="F2900" s="2" t="s">
        <v>16</v>
      </c>
      <c r="G2900" s="7">
        <v>63.4</v>
      </c>
      <c r="H2900" s="7">
        <v>348.8</v>
      </c>
      <c r="I2900" s="2" t="s">
        <v>15</v>
      </c>
      <c r="J2900" s="2" t="s">
        <v>16</v>
      </c>
      <c r="K2900" s="2" t="s">
        <v>21</v>
      </c>
      <c r="L2900" s="7">
        <v>348.8</v>
      </c>
      <c r="M2900" s="2" t="str">
        <f>_xlfn.IFS(TelecomData[[#This Row],[TenureMonths]]&lt;=12, "0-1 Year", TelecomData[[#This Row],[TenureMonths]]&lt;=36, "1-3 Years", TelecomData[[#This Row],[TenureMonths]]&gt;36, "3+ Years")</f>
        <v>0-1 Year</v>
      </c>
      <c r="N2900" s="2" t="str">
        <f>IF(TelecomData[[#This Row],[CleanedTotalCharges]]&gt;=2500,"High Spend", "Standard Spend")</f>
        <v>Standard Spend</v>
      </c>
    </row>
    <row r="2901" spans="1:14" x14ac:dyDescent="0.3">
      <c r="A2901" s="1" t="s">
        <v>2925</v>
      </c>
      <c r="B2901" s="2" t="s">
        <v>19</v>
      </c>
      <c r="C2901" s="2" t="s">
        <v>35</v>
      </c>
      <c r="D2901" s="2">
        <v>71</v>
      </c>
      <c r="E2901" s="2" t="s">
        <v>14</v>
      </c>
      <c r="F2901" s="2" t="s">
        <v>16</v>
      </c>
      <c r="G2901" s="7">
        <v>53.95</v>
      </c>
      <c r="H2901" s="7">
        <v>3888.65</v>
      </c>
      <c r="I2901" s="2" t="s">
        <v>15</v>
      </c>
      <c r="J2901" s="2" t="s">
        <v>15</v>
      </c>
      <c r="K2901" s="2" t="s">
        <v>24</v>
      </c>
      <c r="L2901" s="7">
        <v>3888.65</v>
      </c>
      <c r="M2901" s="2" t="str">
        <f>_xlfn.IFS(TelecomData[[#This Row],[TenureMonths]]&lt;=12, "0-1 Year", TelecomData[[#This Row],[TenureMonths]]&lt;=36, "1-3 Years", TelecomData[[#This Row],[TenureMonths]]&gt;36, "3+ Years")</f>
        <v>3+ Years</v>
      </c>
      <c r="N2901" s="2" t="str">
        <f>IF(TelecomData[[#This Row],[CleanedTotalCharges]]&gt;=2500,"High Spend", "Standard Spend")</f>
        <v>High Spend</v>
      </c>
    </row>
    <row r="2902" spans="1:14" x14ac:dyDescent="0.3">
      <c r="A2902" s="1" t="s">
        <v>2926</v>
      </c>
      <c r="B2902" s="2" t="s">
        <v>12</v>
      </c>
      <c r="C2902" s="2" t="s">
        <v>13</v>
      </c>
      <c r="D2902" s="2">
        <v>1</v>
      </c>
      <c r="E2902" s="2" t="s">
        <v>26</v>
      </c>
      <c r="F2902" s="2" t="s">
        <v>15</v>
      </c>
      <c r="G2902" s="7">
        <v>69.25</v>
      </c>
      <c r="H2902" s="7">
        <v>69.25</v>
      </c>
      <c r="I2902" s="2" t="s">
        <v>16</v>
      </c>
      <c r="J2902" s="2" t="s">
        <v>16</v>
      </c>
      <c r="K2902" s="2" t="s">
        <v>17</v>
      </c>
      <c r="L2902" s="7">
        <v>69.25</v>
      </c>
      <c r="M2902" s="2" t="str">
        <f>_xlfn.IFS(TelecomData[[#This Row],[TenureMonths]]&lt;=12, "0-1 Year", TelecomData[[#This Row],[TenureMonths]]&lt;=36, "1-3 Years", TelecomData[[#This Row],[TenureMonths]]&gt;36, "3+ Years")</f>
        <v>0-1 Year</v>
      </c>
      <c r="N2902" s="2" t="str">
        <f>IF(TelecomData[[#This Row],[CleanedTotalCharges]]&gt;=2500,"High Spend", "Standard Spend")</f>
        <v>Standard Spend</v>
      </c>
    </row>
    <row r="2903" spans="1:14" x14ac:dyDescent="0.3">
      <c r="A2903" s="1" t="s">
        <v>2927</v>
      </c>
      <c r="B2903" s="2" t="s">
        <v>12</v>
      </c>
      <c r="C2903" s="2" t="s">
        <v>35</v>
      </c>
      <c r="D2903" s="2">
        <v>72</v>
      </c>
      <c r="E2903" s="2" t="s">
        <v>26</v>
      </c>
      <c r="F2903" s="2" t="s">
        <v>15</v>
      </c>
      <c r="G2903" s="7">
        <v>95.1</v>
      </c>
      <c r="H2903" s="7">
        <v>6843.15</v>
      </c>
      <c r="I2903" s="2" t="s">
        <v>15</v>
      </c>
      <c r="J2903" s="2" t="s">
        <v>16</v>
      </c>
      <c r="K2903" s="2" t="s">
        <v>17</v>
      </c>
      <c r="L2903" s="7">
        <v>6843.15</v>
      </c>
      <c r="M2903" s="2" t="str">
        <f>_xlfn.IFS(TelecomData[[#This Row],[TenureMonths]]&lt;=12, "0-1 Year", TelecomData[[#This Row],[TenureMonths]]&lt;=36, "1-3 Years", TelecomData[[#This Row],[TenureMonths]]&gt;36, "3+ Years")</f>
        <v>3+ Years</v>
      </c>
      <c r="N2903" s="2" t="str">
        <f>IF(TelecomData[[#This Row],[CleanedTotalCharges]]&gt;=2500,"High Spend", "Standard Spend")</f>
        <v>High Spend</v>
      </c>
    </row>
    <row r="2904" spans="1:14" x14ac:dyDescent="0.3">
      <c r="A2904" s="1" t="s">
        <v>2928</v>
      </c>
      <c r="B2904" s="2" t="s">
        <v>12</v>
      </c>
      <c r="C2904" s="2" t="s">
        <v>13</v>
      </c>
      <c r="D2904" s="2">
        <v>6</v>
      </c>
      <c r="E2904" s="2" t="s">
        <v>26</v>
      </c>
      <c r="F2904" s="2" t="s">
        <v>15</v>
      </c>
      <c r="G2904" s="7">
        <v>74.099999999999994</v>
      </c>
      <c r="H2904" s="7">
        <v>450.9</v>
      </c>
      <c r="I2904" s="2" t="s">
        <v>15</v>
      </c>
      <c r="J2904" s="2" t="s">
        <v>16</v>
      </c>
      <c r="K2904" s="2" t="s">
        <v>17</v>
      </c>
      <c r="L2904" s="7">
        <v>450.9</v>
      </c>
      <c r="M2904" s="2" t="str">
        <f>_xlfn.IFS(TelecomData[[#This Row],[TenureMonths]]&lt;=12, "0-1 Year", TelecomData[[#This Row],[TenureMonths]]&lt;=36, "1-3 Years", TelecomData[[#This Row],[TenureMonths]]&gt;36, "3+ Years")</f>
        <v>0-1 Year</v>
      </c>
      <c r="N2904" s="2" t="str">
        <f>IF(TelecomData[[#This Row],[CleanedTotalCharges]]&gt;=2500,"High Spend", "Standard Spend")</f>
        <v>Standard Spend</v>
      </c>
    </row>
    <row r="2905" spans="1:14" x14ac:dyDescent="0.3">
      <c r="A2905" s="1" t="s">
        <v>2929</v>
      </c>
      <c r="B2905" s="2" t="s">
        <v>19</v>
      </c>
      <c r="C2905" s="2" t="s">
        <v>13</v>
      </c>
      <c r="D2905" s="2">
        <v>12</v>
      </c>
      <c r="E2905" s="2" t="s">
        <v>14</v>
      </c>
      <c r="F2905" s="2" t="s">
        <v>16</v>
      </c>
      <c r="G2905" s="7">
        <v>35.5</v>
      </c>
      <c r="H2905" s="7">
        <v>432.25</v>
      </c>
      <c r="I2905" s="2" t="s">
        <v>15</v>
      </c>
      <c r="J2905" s="2" t="s">
        <v>15</v>
      </c>
      <c r="K2905" s="2" t="s">
        <v>21</v>
      </c>
      <c r="L2905" s="7">
        <v>432.25</v>
      </c>
      <c r="M2905" s="2" t="str">
        <f>_xlfn.IFS(TelecomData[[#This Row],[TenureMonths]]&lt;=12, "0-1 Year", TelecomData[[#This Row],[TenureMonths]]&lt;=36, "1-3 Years", TelecomData[[#This Row],[TenureMonths]]&gt;36, "3+ Years")</f>
        <v>0-1 Year</v>
      </c>
      <c r="N2905" s="2" t="str">
        <f>IF(TelecomData[[#This Row],[CleanedTotalCharges]]&gt;=2500,"High Spend", "Standard Spend")</f>
        <v>Standard Spend</v>
      </c>
    </row>
    <row r="2906" spans="1:14" x14ac:dyDescent="0.3">
      <c r="A2906" s="1" t="s">
        <v>2930</v>
      </c>
      <c r="B2906" s="2" t="s">
        <v>19</v>
      </c>
      <c r="C2906" s="2" t="s">
        <v>13</v>
      </c>
      <c r="D2906" s="2">
        <v>25</v>
      </c>
      <c r="E2906" s="2" t="s">
        <v>26</v>
      </c>
      <c r="F2906" s="2" t="s">
        <v>15</v>
      </c>
      <c r="G2906" s="7">
        <v>70.95</v>
      </c>
      <c r="H2906" s="7">
        <v>1767.35</v>
      </c>
      <c r="I2906" s="2" t="s">
        <v>16</v>
      </c>
      <c r="J2906" s="2" t="s">
        <v>15</v>
      </c>
      <c r="K2906" s="2" t="s">
        <v>21</v>
      </c>
      <c r="L2906" s="7">
        <v>1767.35</v>
      </c>
      <c r="M2906" s="2" t="str">
        <f>_xlfn.IFS(TelecomData[[#This Row],[TenureMonths]]&lt;=12, "0-1 Year", TelecomData[[#This Row],[TenureMonths]]&lt;=36, "1-3 Years", TelecomData[[#This Row],[TenureMonths]]&gt;36, "3+ Years")</f>
        <v>1-3 Years</v>
      </c>
      <c r="N2906" s="2" t="str">
        <f>IF(TelecomData[[#This Row],[CleanedTotalCharges]]&gt;=2500,"High Spend", "Standard Spend")</f>
        <v>Standard Spend</v>
      </c>
    </row>
    <row r="2907" spans="1:14" x14ac:dyDescent="0.3">
      <c r="A2907" s="1" t="s">
        <v>2931</v>
      </c>
      <c r="B2907" s="2" t="s">
        <v>12</v>
      </c>
      <c r="C2907" s="2" t="s">
        <v>20</v>
      </c>
      <c r="D2907" s="2">
        <v>21</v>
      </c>
      <c r="E2907" s="2" t="s">
        <v>26</v>
      </c>
      <c r="F2907" s="2" t="s">
        <v>16</v>
      </c>
      <c r="G2907" s="7">
        <v>79.2</v>
      </c>
      <c r="H2907" s="7">
        <v>1742.45</v>
      </c>
      <c r="I2907" s="2" t="s">
        <v>15</v>
      </c>
      <c r="J2907" s="2" t="s">
        <v>15</v>
      </c>
      <c r="K2907" s="2" t="s">
        <v>17</v>
      </c>
      <c r="L2907" s="7">
        <v>1742.45</v>
      </c>
      <c r="M2907" s="2" t="str">
        <f>_xlfn.IFS(TelecomData[[#This Row],[TenureMonths]]&lt;=12, "0-1 Year", TelecomData[[#This Row],[TenureMonths]]&lt;=36, "1-3 Years", TelecomData[[#This Row],[TenureMonths]]&gt;36, "3+ Years")</f>
        <v>1-3 Years</v>
      </c>
      <c r="N2907" s="2" t="str">
        <f>IF(TelecomData[[#This Row],[CleanedTotalCharges]]&gt;=2500,"High Spend", "Standard Spend")</f>
        <v>Standard Spend</v>
      </c>
    </row>
    <row r="2908" spans="1:14" x14ac:dyDescent="0.3">
      <c r="A2908" s="1" t="s">
        <v>2932</v>
      </c>
      <c r="B2908" s="2" t="s">
        <v>12</v>
      </c>
      <c r="C2908" s="2" t="s">
        <v>13</v>
      </c>
      <c r="D2908" s="2">
        <v>6</v>
      </c>
      <c r="E2908" s="2" t="s">
        <v>14</v>
      </c>
      <c r="F2908" s="2" t="s">
        <v>16</v>
      </c>
      <c r="G2908" s="7">
        <v>48.8</v>
      </c>
      <c r="H2908" s="7">
        <v>297.35000000000002</v>
      </c>
      <c r="I2908" s="2" t="s">
        <v>15</v>
      </c>
      <c r="J2908" s="2" t="s">
        <v>16</v>
      </c>
      <c r="K2908" s="2" t="s">
        <v>21</v>
      </c>
      <c r="L2908" s="7">
        <v>297.35000000000002</v>
      </c>
      <c r="M2908" s="2" t="str">
        <f>_xlfn.IFS(TelecomData[[#This Row],[TenureMonths]]&lt;=12, "0-1 Year", TelecomData[[#This Row],[TenureMonths]]&lt;=36, "1-3 Years", TelecomData[[#This Row],[TenureMonths]]&gt;36, "3+ Years")</f>
        <v>0-1 Year</v>
      </c>
      <c r="N2908" s="2" t="str">
        <f>IF(TelecomData[[#This Row],[CleanedTotalCharges]]&gt;=2500,"High Spend", "Standard Spend")</f>
        <v>Standard Spend</v>
      </c>
    </row>
    <row r="2909" spans="1:14" x14ac:dyDescent="0.3">
      <c r="A2909" s="1" t="s">
        <v>2933</v>
      </c>
      <c r="B2909" s="2" t="s">
        <v>19</v>
      </c>
      <c r="C2909" s="2" t="s">
        <v>13</v>
      </c>
      <c r="D2909" s="2">
        <v>20</v>
      </c>
      <c r="E2909" s="2" t="s">
        <v>26</v>
      </c>
      <c r="F2909" s="2" t="s">
        <v>15</v>
      </c>
      <c r="G2909" s="7">
        <v>89</v>
      </c>
      <c r="H2909" s="7">
        <v>1820.45</v>
      </c>
      <c r="I2909" s="2" t="s">
        <v>16</v>
      </c>
      <c r="J2909" s="2" t="s">
        <v>16</v>
      </c>
      <c r="K2909" s="2" t="s">
        <v>21</v>
      </c>
      <c r="L2909" s="7">
        <v>1820.45</v>
      </c>
      <c r="M2909" s="2" t="str">
        <f>_xlfn.IFS(TelecomData[[#This Row],[TenureMonths]]&lt;=12, "0-1 Year", TelecomData[[#This Row],[TenureMonths]]&lt;=36, "1-3 Years", TelecomData[[#This Row],[TenureMonths]]&gt;36, "3+ Years")</f>
        <v>1-3 Years</v>
      </c>
      <c r="N2909" s="2" t="str">
        <f>IF(TelecomData[[#This Row],[CleanedTotalCharges]]&gt;=2500,"High Spend", "Standard Spend")</f>
        <v>Standard Spend</v>
      </c>
    </row>
    <row r="2910" spans="1:14" x14ac:dyDescent="0.3">
      <c r="A2910" s="1" t="s">
        <v>2934</v>
      </c>
      <c r="B2910" s="2" t="s">
        <v>19</v>
      </c>
      <c r="C2910" s="2" t="s">
        <v>13</v>
      </c>
      <c r="D2910" s="2">
        <v>18</v>
      </c>
      <c r="E2910" s="2" t="s">
        <v>26</v>
      </c>
      <c r="F2910" s="2" t="s">
        <v>15</v>
      </c>
      <c r="G2910" s="7">
        <v>99.4</v>
      </c>
      <c r="H2910" s="7">
        <v>1742.95</v>
      </c>
      <c r="I2910" s="2" t="s">
        <v>16</v>
      </c>
      <c r="J2910" s="2" t="s">
        <v>16</v>
      </c>
      <c r="K2910" s="2" t="s">
        <v>17</v>
      </c>
      <c r="L2910" s="7">
        <v>1742.95</v>
      </c>
      <c r="M2910" s="2" t="str">
        <f>_xlfn.IFS(TelecomData[[#This Row],[TenureMonths]]&lt;=12, "0-1 Year", TelecomData[[#This Row],[TenureMonths]]&lt;=36, "1-3 Years", TelecomData[[#This Row],[TenureMonths]]&gt;36, "3+ Years")</f>
        <v>1-3 Years</v>
      </c>
      <c r="N2910" s="2" t="str">
        <f>IF(TelecomData[[#This Row],[CleanedTotalCharges]]&gt;=2500,"High Spend", "Standard Spend")</f>
        <v>Standard Spend</v>
      </c>
    </row>
    <row r="2911" spans="1:14" x14ac:dyDescent="0.3">
      <c r="A2911" s="1" t="s">
        <v>2935</v>
      </c>
      <c r="B2911" s="2" t="s">
        <v>12</v>
      </c>
      <c r="C2911" s="2" t="s">
        <v>20</v>
      </c>
      <c r="D2911" s="2">
        <v>43</v>
      </c>
      <c r="E2911" s="2" t="s">
        <v>14</v>
      </c>
      <c r="F2911" s="2" t="s">
        <v>16</v>
      </c>
      <c r="G2911" s="7">
        <v>55.45</v>
      </c>
      <c r="H2911" s="7">
        <v>2444.25</v>
      </c>
      <c r="I2911" s="2" t="s">
        <v>15</v>
      </c>
      <c r="J2911" s="2" t="s">
        <v>15</v>
      </c>
      <c r="K2911" s="2" t="s">
        <v>17</v>
      </c>
      <c r="L2911" s="7">
        <v>2444.25</v>
      </c>
      <c r="M2911" s="2" t="str">
        <f>_xlfn.IFS(TelecomData[[#This Row],[TenureMonths]]&lt;=12, "0-1 Year", TelecomData[[#This Row],[TenureMonths]]&lt;=36, "1-3 Years", TelecomData[[#This Row],[TenureMonths]]&gt;36, "3+ Years")</f>
        <v>3+ Years</v>
      </c>
      <c r="N2911" s="2" t="str">
        <f>IF(TelecomData[[#This Row],[CleanedTotalCharges]]&gt;=2500,"High Spend", "Standard Spend")</f>
        <v>Standard Spend</v>
      </c>
    </row>
    <row r="2912" spans="1:14" x14ac:dyDescent="0.3">
      <c r="A2912" s="1" t="s">
        <v>2936</v>
      </c>
      <c r="B2912" s="2" t="s">
        <v>12</v>
      </c>
      <c r="C2912" s="2" t="s">
        <v>35</v>
      </c>
      <c r="D2912" s="2">
        <v>35</v>
      </c>
      <c r="E2912" s="2" t="s">
        <v>15</v>
      </c>
      <c r="F2912" s="2" t="s">
        <v>36</v>
      </c>
      <c r="G2912" s="7">
        <v>25.4</v>
      </c>
      <c r="H2912" s="7">
        <v>949.8</v>
      </c>
      <c r="I2912" s="2" t="s">
        <v>15</v>
      </c>
      <c r="J2912" s="2" t="s">
        <v>16</v>
      </c>
      <c r="K2912" s="2" t="s">
        <v>29</v>
      </c>
      <c r="L2912" s="7">
        <v>949.8</v>
      </c>
      <c r="M2912" s="2" t="str">
        <f>_xlfn.IFS(TelecomData[[#This Row],[TenureMonths]]&lt;=12, "0-1 Year", TelecomData[[#This Row],[TenureMonths]]&lt;=36, "1-3 Years", TelecomData[[#This Row],[TenureMonths]]&gt;36, "3+ Years")</f>
        <v>1-3 Years</v>
      </c>
      <c r="N2912" s="2" t="str">
        <f>IF(TelecomData[[#This Row],[CleanedTotalCharges]]&gt;=2500,"High Spend", "Standard Spend")</f>
        <v>Standard Spend</v>
      </c>
    </row>
    <row r="2913" spans="1:14" x14ac:dyDescent="0.3">
      <c r="A2913" s="1" t="s">
        <v>2937</v>
      </c>
      <c r="B2913" s="2" t="s">
        <v>12</v>
      </c>
      <c r="C2913" s="2" t="s">
        <v>13</v>
      </c>
      <c r="D2913" s="2">
        <v>1</v>
      </c>
      <c r="E2913" s="2" t="s">
        <v>26</v>
      </c>
      <c r="F2913" s="2" t="s">
        <v>15</v>
      </c>
      <c r="G2913" s="7">
        <v>73.5</v>
      </c>
      <c r="H2913" s="7">
        <v>73.5</v>
      </c>
      <c r="I2913" s="2" t="s">
        <v>16</v>
      </c>
      <c r="J2913" s="2" t="s">
        <v>15</v>
      </c>
      <c r="K2913" s="2" t="s">
        <v>24</v>
      </c>
      <c r="L2913" s="7">
        <v>73.5</v>
      </c>
      <c r="M2913" s="2" t="str">
        <f>_xlfn.IFS(TelecomData[[#This Row],[TenureMonths]]&lt;=12, "0-1 Year", TelecomData[[#This Row],[TenureMonths]]&lt;=36, "1-3 Years", TelecomData[[#This Row],[TenureMonths]]&gt;36, "3+ Years")</f>
        <v>0-1 Year</v>
      </c>
      <c r="N2913" s="2" t="str">
        <f>IF(TelecomData[[#This Row],[CleanedTotalCharges]]&gt;=2500,"High Spend", "Standard Spend")</f>
        <v>Standard Spend</v>
      </c>
    </row>
    <row r="2914" spans="1:14" x14ac:dyDescent="0.3">
      <c r="A2914" s="1" t="s">
        <v>2938</v>
      </c>
      <c r="B2914" s="2" t="s">
        <v>19</v>
      </c>
      <c r="C2914" s="2" t="s">
        <v>13</v>
      </c>
      <c r="D2914" s="2">
        <v>32</v>
      </c>
      <c r="E2914" s="2" t="s">
        <v>26</v>
      </c>
      <c r="F2914" s="2" t="s">
        <v>15</v>
      </c>
      <c r="G2914" s="7">
        <v>93.5</v>
      </c>
      <c r="H2914" s="7">
        <v>2970.8</v>
      </c>
      <c r="I2914" s="2" t="s">
        <v>15</v>
      </c>
      <c r="J2914" s="2" t="s">
        <v>16</v>
      </c>
      <c r="K2914" s="2" t="s">
        <v>17</v>
      </c>
      <c r="L2914" s="7">
        <v>2970.8</v>
      </c>
      <c r="M2914" s="2" t="str">
        <f>_xlfn.IFS(TelecomData[[#This Row],[TenureMonths]]&lt;=12, "0-1 Year", TelecomData[[#This Row],[TenureMonths]]&lt;=36, "1-3 Years", TelecomData[[#This Row],[TenureMonths]]&gt;36, "3+ Years")</f>
        <v>1-3 Years</v>
      </c>
      <c r="N2914" s="2" t="str">
        <f>IF(TelecomData[[#This Row],[CleanedTotalCharges]]&gt;=2500,"High Spend", "Standard Spend")</f>
        <v>High Spend</v>
      </c>
    </row>
    <row r="2915" spans="1:14" x14ac:dyDescent="0.3">
      <c r="A2915" s="1" t="s">
        <v>2939</v>
      </c>
      <c r="B2915" s="2" t="s">
        <v>19</v>
      </c>
      <c r="C2915" s="2" t="s">
        <v>35</v>
      </c>
      <c r="D2915" s="2">
        <v>52</v>
      </c>
      <c r="E2915" s="2" t="s">
        <v>14</v>
      </c>
      <c r="F2915" s="2" t="s">
        <v>16</v>
      </c>
      <c r="G2915" s="7">
        <v>63.9</v>
      </c>
      <c r="H2915" s="7">
        <v>3334.95</v>
      </c>
      <c r="I2915" s="2" t="s">
        <v>15</v>
      </c>
      <c r="J2915" s="2" t="s">
        <v>15</v>
      </c>
      <c r="K2915" s="2" t="s">
        <v>29</v>
      </c>
      <c r="L2915" s="7">
        <v>3334.95</v>
      </c>
      <c r="M2915" s="2" t="str">
        <f>_xlfn.IFS(TelecomData[[#This Row],[TenureMonths]]&lt;=12, "0-1 Year", TelecomData[[#This Row],[TenureMonths]]&lt;=36, "1-3 Years", TelecomData[[#This Row],[TenureMonths]]&gt;36, "3+ Years")</f>
        <v>3+ Years</v>
      </c>
      <c r="N2915" s="2" t="str">
        <f>IF(TelecomData[[#This Row],[CleanedTotalCharges]]&gt;=2500,"High Spend", "Standard Spend")</f>
        <v>High Spend</v>
      </c>
    </row>
    <row r="2916" spans="1:14" x14ac:dyDescent="0.3">
      <c r="A2916" s="1" t="s">
        <v>2940</v>
      </c>
      <c r="B2916" s="2" t="s">
        <v>19</v>
      </c>
      <c r="C2916" s="2" t="s">
        <v>20</v>
      </c>
      <c r="D2916" s="2">
        <v>32</v>
      </c>
      <c r="E2916" s="2" t="s">
        <v>14</v>
      </c>
      <c r="F2916" s="2" t="s">
        <v>15</v>
      </c>
      <c r="G2916" s="7">
        <v>64.849999999999994</v>
      </c>
      <c r="H2916" s="7">
        <v>2010.95</v>
      </c>
      <c r="I2916" s="2" t="s">
        <v>15</v>
      </c>
      <c r="J2916" s="2" t="s">
        <v>16</v>
      </c>
      <c r="K2916" s="2" t="s">
        <v>24</v>
      </c>
      <c r="L2916" s="7">
        <v>2010.95</v>
      </c>
      <c r="M2916" s="2" t="str">
        <f>_xlfn.IFS(TelecomData[[#This Row],[TenureMonths]]&lt;=12, "0-1 Year", TelecomData[[#This Row],[TenureMonths]]&lt;=36, "1-3 Years", TelecomData[[#This Row],[TenureMonths]]&gt;36, "3+ Years")</f>
        <v>1-3 Years</v>
      </c>
      <c r="N2916" s="2" t="str">
        <f>IF(TelecomData[[#This Row],[CleanedTotalCharges]]&gt;=2500,"High Spend", "Standard Spend")</f>
        <v>Standard Spend</v>
      </c>
    </row>
    <row r="2917" spans="1:14" x14ac:dyDescent="0.3">
      <c r="A2917" s="1" t="s">
        <v>2941</v>
      </c>
      <c r="B2917" s="2" t="s">
        <v>12</v>
      </c>
      <c r="C2917" s="2" t="s">
        <v>35</v>
      </c>
      <c r="D2917" s="2">
        <v>72</v>
      </c>
      <c r="E2917" s="2" t="s">
        <v>14</v>
      </c>
      <c r="F2917" s="2" t="s">
        <v>16</v>
      </c>
      <c r="G2917" s="7">
        <v>63.8</v>
      </c>
      <c r="H2917" s="7">
        <v>4684.3</v>
      </c>
      <c r="I2917" s="2" t="s">
        <v>15</v>
      </c>
      <c r="J2917" s="2" t="s">
        <v>16</v>
      </c>
      <c r="K2917" s="2" t="s">
        <v>24</v>
      </c>
      <c r="L2917" s="7">
        <v>4684.3</v>
      </c>
      <c r="M2917" s="2" t="str">
        <f>_xlfn.IFS(TelecomData[[#This Row],[TenureMonths]]&lt;=12, "0-1 Year", TelecomData[[#This Row],[TenureMonths]]&lt;=36, "1-3 Years", TelecomData[[#This Row],[TenureMonths]]&gt;36, "3+ Years")</f>
        <v>3+ Years</v>
      </c>
      <c r="N2917" s="2" t="str">
        <f>IF(TelecomData[[#This Row],[CleanedTotalCharges]]&gt;=2500,"High Spend", "Standard Spend")</f>
        <v>High Spend</v>
      </c>
    </row>
    <row r="2918" spans="1:14" x14ac:dyDescent="0.3">
      <c r="A2918" s="1" t="s">
        <v>2942</v>
      </c>
      <c r="B2918" s="2" t="s">
        <v>19</v>
      </c>
      <c r="C2918" s="2" t="s">
        <v>13</v>
      </c>
      <c r="D2918" s="2">
        <v>51</v>
      </c>
      <c r="E2918" s="2" t="s">
        <v>14</v>
      </c>
      <c r="F2918" s="2" t="s">
        <v>16</v>
      </c>
      <c r="G2918" s="7">
        <v>44.45</v>
      </c>
      <c r="H2918" s="7">
        <v>2181.5500000000002</v>
      </c>
      <c r="I2918" s="2" t="s">
        <v>15</v>
      </c>
      <c r="J2918" s="2" t="s">
        <v>16</v>
      </c>
      <c r="K2918" s="2" t="s">
        <v>29</v>
      </c>
      <c r="L2918" s="7">
        <v>2181.5500000000002</v>
      </c>
      <c r="M2918" s="2" t="str">
        <f>_xlfn.IFS(TelecomData[[#This Row],[TenureMonths]]&lt;=12, "0-1 Year", TelecomData[[#This Row],[TenureMonths]]&lt;=36, "1-3 Years", TelecomData[[#This Row],[TenureMonths]]&gt;36, "3+ Years")</f>
        <v>3+ Years</v>
      </c>
      <c r="N2918" s="2" t="str">
        <f>IF(TelecomData[[#This Row],[CleanedTotalCharges]]&gt;=2500,"High Spend", "Standard Spend")</f>
        <v>Standard Spend</v>
      </c>
    </row>
    <row r="2919" spans="1:14" x14ac:dyDescent="0.3">
      <c r="A2919" s="1" t="s">
        <v>2943</v>
      </c>
      <c r="B2919" s="2" t="s">
        <v>19</v>
      </c>
      <c r="C2919" s="2" t="s">
        <v>35</v>
      </c>
      <c r="D2919" s="2">
        <v>68</v>
      </c>
      <c r="E2919" s="2" t="s">
        <v>15</v>
      </c>
      <c r="F2919" s="2" t="s">
        <v>36</v>
      </c>
      <c r="G2919" s="7">
        <v>19.95</v>
      </c>
      <c r="H2919" s="7">
        <v>1303.25</v>
      </c>
      <c r="I2919" s="2" t="s">
        <v>15</v>
      </c>
      <c r="J2919" s="2" t="s">
        <v>16</v>
      </c>
      <c r="K2919" s="2" t="s">
        <v>24</v>
      </c>
      <c r="L2919" s="7">
        <v>1303.25</v>
      </c>
      <c r="M2919" s="2" t="str">
        <f>_xlfn.IFS(TelecomData[[#This Row],[TenureMonths]]&lt;=12, "0-1 Year", TelecomData[[#This Row],[TenureMonths]]&lt;=36, "1-3 Years", TelecomData[[#This Row],[TenureMonths]]&gt;36, "3+ Years")</f>
        <v>3+ Years</v>
      </c>
      <c r="N2919" s="2" t="str">
        <f>IF(TelecomData[[#This Row],[CleanedTotalCharges]]&gt;=2500,"High Spend", "Standard Spend")</f>
        <v>Standard Spend</v>
      </c>
    </row>
    <row r="2920" spans="1:14" x14ac:dyDescent="0.3">
      <c r="A2920" s="1" t="s">
        <v>2944</v>
      </c>
      <c r="B2920" s="2" t="s">
        <v>19</v>
      </c>
      <c r="C2920" s="2" t="s">
        <v>13</v>
      </c>
      <c r="D2920" s="2">
        <v>8</v>
      </c>
      <c r="E2920" s="2" t="s">
        <v>14</v>
      </c>
      <c r="F2920" s="2" t="s">
        <v>15</v>
      </c>
      <c r="G2920" s="7">
        <v>43.35</v>
      </c>
      <c r="H2920" s="7">
        <v>371.4</v>
      </c>
      <c r="I2920" s="2" t="s">
        <v>15</v>
      </c>
      <c r="J2920" s="2" t="s">
        <v>16</v>
      </c>
      <c r="K2920" s="2" t="s">
        <v>21</v>
      </c>
      <c r="L2920" s="7">
        <v>371.4</v>
      </c>
      <c r="M2920" s="2" t="str">
        <f>_xlfn.IFS(TelecomData[[#This Row],[TenureMonths]]&lt;=12, "0-1 Year", TelecomData[[#This Row],[TenureMonths]]&lt;=36, "1-3 Years", TelecomData[[#This Row],[TenureMonths]]&gt;36, "3+ Years")</f>
        <v>0-1 Year</v>
      </c>
      <c r="N2920" s="2" t="str">
        <f>IF(TelecomData[[#This Row],[CleanedTotalCharges]]&gt;=2500,"High Spend", "Standard Spend")</f>
        <v>Standard Spend</v>
      </c>
    </row>
    <row r="2921" spans="1:14" x14ac:dyDescent="0.3">
      <c r="A2921" s="1" t="s">
        <v>2945</v>
      </c>
      <c r="B2921" s="2" t="s">
        <v>19</v>
      </c>
      <c r="C2921" s="2" t="s">
        <v>35</v>
      </c>
      <c r="D2921" s="2">
        <v>49</v>
      </c>
      <c r="E2921" s="2" t="s">
        <v>14</v>
      </c>
      <c r="F2921" s="2" t="s">
        <v>15</v>
      </c>
      <c r="G2921" s="7">
        <v>49.65</v>
      </c>
      <c r="H2921" s="7">
        <v>2409.9</v>
      </c>
      <c r="I2921" s="2" t="s">
        <v>15</v>
      </c>
      <c r="J2921" s="2" t="s">
        <v>15</v>
      </c>
      <c r="K2921" s="2" t="s">
        <v>29</v>
      </c>
      <c r="L2921" s="7">
        <v>2409.9</v>
      </c>
      <c r="M2921" s="2" t="str">
        <f>_xlfn.IFS(TelecomData[[#This Row],[TenureMonths]]&lt;=12, "0-1 Year", TelecomData[[#This Row],[TenureMonths]]&lt;=36, "1-3 Years", TelecomData[[#This Row],[TenureMonths]]&gt;36, "3+ Years")</f>
        <v>3+ Years</v>
      </c>
      <c r="N2921" s="2" t="str">
        <f>IF(TelecomData[[#This Row],[CleanedTotalCharges]]&gt;=2500,"High Spend", "Standard Spend")</f>
        <v>Standard Spend</v>
      </c>
    </row>
    <row r="2922" spans="1:14" x14ac:dyDescent="0.3">
      <c r="A2922" s="1" t="s">
        <v>2946</v>
      </c>
      <c r="B2922" s="2" t="s">
        <v>12</v>
      </c>
      <c r="C2922" s="2" t="s">
        <v>35</v>
      </c>
      <c r="D2922" s="2">
        <v>72</v>
      </c>
      <c r="E2922" s="2" t="s">
        <v>14</v>
      </c>
      <c r="F2922" s="2" t="s">
        <v>16</v>
      </c>
      <c r="G2922" s="7">
        <v>85.1</v>
      </c>
      <c r="H2922" s="7">
        <v>6155.4</v>
      </c>
      <c r="I2922" s="2" t="s">
        <v>15</v>
      </c>
      <c r="J2922" s="2" t="s">
        <v>15</v>
      </c>
      <c r="K2922" s="2" t="s">
        <v>21</v>
      </c>
      <c r="L2922" s="7">
        <v>6155.4</v>
      </c>
      <c r="M2922" s="2" t="str">
        <f>_xlfn.IFS(TelecomData[[#This Row],[TenureMonths]]&lt;=12, "0-1 Year", TelecomData[[#This Row],[TenureMonths]]&lt;=36, "1-3 Years", TelecomData[[#This Row],[TenureMonths]]&gt;36, "3+ Years")</f>
        <v>3+ Years</v>
      </c>
      <c r="N2922" s="2" t="str">
        <f>IF(TelecomData[[#This Row],[CleanedTotalCharges]]&gt;=2500,"High Spend", "Standard Spend")</f>
        <v>High Spend</v>
      </c>
    </row>
    <row r="2923" spans="1:14" x14ac:dyDescent="0.3">
      <c r="A2923" s="1" t="s">
        <v>2947</v>
      </c>
      <c r="B2923" s="2" t="s">
        <v>19</v>
      </c>
      <c r="C2923" s="2" t="s">
        <v>13</v>
      </c>
      <c r="D2923" s="2">
        <v>9</v>
      </c>
      <c r="E2923" s="2" t="s">
        <v>26</v>
      </c>
      <c r="F2923" s="2" t="s">
        <v>15</v>
      </c>
      <c r="G2923" s="7">
        <v>95.5</v>
      </c>
      <c r="H2923" s="7">
        <v>829.1</v>
      </c>
      <c r="I2923" s="2" t="s">
        <v>16</v>
      </c>
      <c r="J2923" s="2" t="s">
        <v>16</v>
      </c>
      <c r="K2923" s="2" t="s">
        <v>17</v>
      </c>
      <c r="L2923" s="7">
        <v>829.1</v>
      </c>
      <c r="M2923" s="2" t="str">
        <f>_xlfn.IFS(TelecomData[[#This Row],[TenureMonths]]&lt;=12, "0-1 Year", TelecomData[[#This Row],[TenureMonths]]&lt;=36, "1-3 Years", TelecomData[[#This Row],[TenureMonths]]&gt;36, "3+ Years")</f>
        <v>0-1 Year</v>
      </c>
      <c r="N2923" s="2" t="str">
        <f>IF(TelecomData[[#This Row],[CleanedTotalCharges]]&gt;=2500,"High Spend", "Standard Spend")</f>
        <v>Standard Spend</v>
      </c>
    </row>
    <row r="2924" spans="1:14" x14ac:dyDescent="0.3">
      <c r="A2924" s="1" t="s">
        <v>2948</v>
      </c>
      <c r="B2924" s="2" t="s">
        <v>12</v>
      </c>
      <c r="C2924" s="2" t="s">
        <v>13</v>
      </c>
      <c r="D2924" s="2">
        <v>28</v>
      </c>
      <c r="E2924" s="2" t="s">
        <v>26</v>
      </c>
      <c r="F2924" s="2" t="s">
        <v>15</v>
      </c>
      <c r="G2924" s="7">
        <v>92.35</v>
      </c>
      <c r="H2924" s="7">
        <v>2602.9</v>
      </c>
      <c r="I2924" s="2" t="s">
        <v>16</v>
      </c>
      <c r="J2924" s="2" t="s">
        <v>16</v>
      </c>
      <c r="K2924" s="2" t="s">
        <v>21</v>
      </c>
      <c r="L2924" s="7">
        <v>2602.9</v>
      </c>
      <c r="M2924" s="2" t="str">
        <f>_xlfn.IFS(TelecomData[[#This Row],[TenureMonths]]&lt;=12, "0-1 Year", TelecomData[[#This Row],[TenureMonths]]&lt;=36, "1-3 Years", TelecomData[[#This Row],[TenureMonths]]&gt;36, "3+ Years")</f>
        <v>1-3 Years</v>
      </c>
      <c r="N2924" s="2" t="str">
        <f>IF(TelecomData[[#This Row],[CleanedTotalCharges]]&gt;=2500,"High Spend", "Standard Spend")</f>
        <v>High Spend</v>
      </c>
    </row>
    <row r="2925" spans="1:14" x14ac:dyDescent="0.3">
      <c r="A2925" s="1" t="s">
        <v>2949</v>
      </c>
      <c r="B2925" s="2" t="s">
        <v>19</v>
      </c>
      <c r="C2925" s="2" t="s">
        <v>13</v>
      </c>
      <c r="D2925" s="2">
        <v>54</v>
      </c>
      <c r="E2925" s="2" t="s">
        <v>26</v>
      </c>
      <c r="F2925" s="2" t="s">
        <v>15</v>
      </c>
      <c r="G2925" s="7">
        <v>89.8</v>
      </c>
      <c r="H2925" s="7">
        <v>4667</v>
      </c>
      <c r="I2925" s="2" t="s">
        <v>15</v>
      </c>
      <c r="J2925" s="2" t="s">
        <v>15</v>
      </c>
      <c r="K2925" s="2" t="s">
        <v>21</v>
      </c>
      <c r="L2925" s="7">
        <v>4667</v>
      </c>
      <c r="M2925" s="2" t="str">
        <f>_xlfn.IFS(TelecomData[[#This Row],[TenureMonths]]&lt;=12, "0-1 Year", TelecomData[[#This Row],[TenureMonths]]&lt;=36, "1-3 Years", TelecomData[[#This Row],[TenureMonths]]&gt;36, "3+ Years")</f>
        <v>3+ Years</v>
      </c>
      <c r="N2925" s="2" t="str">
        <f>IF(TelecomData[[#This Row],[CleanedTotalCharges]]&gt;=2500,"High Spend", "Standard Spend")</f>
        <v>High Spend</v>
      </c>
    </row>
    <row r="2926" spans="1:14" x14ac:dyDescent="0.3">
      <c r="A2926" s="1" t="s">
        <v>2950</v>
      </c>
      <c r="B2926" s="2" t="s">
        <v>19</v>
      </c>
      <c r="C2926" s="2" t="s">
        <v>13</v>
      </c>
      <c r="D2926" s="2">
        <v>11</v>
      </c>
      <c r="E2926" s="2" t="s">
        <v>26</v>
      </c>
      <c r="F2926" s="2" t="s">
        <v>15</v>
      </c>
      <c r="G2926" s="7">
        <v>74.55</v>
      </c>
      <c r="H2926" s="7">
        <v>824.75</v>
      </c>
      <c r="I2926" s="2" t="s">
        <v>16</v>
      </c>
      <c r="J2926" s="2" t="s">
        <v>16</v>
      </c>
      <c r="K2926" s="2" t="s">
        <v>17</v>
      </c>
      <c r="L2926" s="7">
        <v>824.75</v>
      </c>
      <c r="M2926" s="2" t="str">
        <f>_xlfn.IFS(TelecomData[[#This Row],[TenureMonths]]&lt;=12, "0-1 Year", TelecomData[[#This Row],[TenureMonths]]&lt;=36, "1-3 Years", TelecomData[[#This Row],[TenureMonths]]&gt;36, "3+ Years")</f>
        <v>0-1 Year</v>
      </c>
      <c r="N2926" s="2" t="str">
        <f>IF(TelecomData[[#This Row],[CleanedTotalCharges]]&gt;=2500,"High Spend", "Standard Spend")</f>
        <v>Standard Spend</v>
      </c>
    </row>
    <row r="2927" spans="1:14" x14ac:dyDescent="0.3">
      <c r="A2927" s="1" t="s">
        <v>2951</v>
      </c>
      <c r="B2927" s="2" t="s">
        <v>12</v>
      </c>
      <c r="C2927" s="2" t="s">
        <v>20</v>
      </c>
      <c r="D2927" s="2">
        <v>50</v>
      </c>
      <c r="E2927" s="2" t="s">
        <v>26</v>
      </c>
      <c r="F2927" s="2" t="s">
        <v>16</v>
      </c>
      <c r="G2927" s="7">
        <v>103.05</v>
      </c>
      <c r="H2927" s="7">
        <v>5153.5</v>
      </c>
      <c r="I2927" s="2" t="s">
        <v>15</v>
      </c>
      <c r="J2927" s="2" t="s">
        <v>15</v>
      </c>
      <c r="K2927" s="2" t="s">
        <v>21</v>
      </c>
      <c r="L2927" s="7">
        <v>5153.5</v>
      </c>
      <c r="M2927" s="2" t="str">
        <f>_xlfn.IFS(TelecomData[[#This Row],[TenureMonths]]&lt;=12, "0-1 Year", TelecomData[[#This Row],[TenureMonths]]&lt;=36, "1-3 Years", TelecomData[[#This Row],[TenureMonths]]&gt;36, "3+ Years")</f>
        <v>3+ Years</v>
      </c>
      <c r="N2927" s="2" t="str">
        <f>IF(TelecomData[[#This Row],[CleanedTotalCharges]]&gt;=2500,"High Spend", "Standard Spend")</f>
        <v>High Spend</v>
      </c>
    </row>
    <row r="2928" spans="1:14" x14ac:dyDescent="0.3">
      <c r="A2928" s="1" t="s">
        <v>2952</v>
      </c>
      <c r="B2928" s="2" t="s">
        <v>12</v>
      </c>
      <c r="C2928" s="2" t="s">
        <v>35</v>
      </c>
      <c r="D2928" s="2">
        <v>69</v>
      </c>
      <c r="E2928" s="2" t="s">
        <v>26</v>
      </c>
      <c r="F2928" s="2" t="s">
        <v>16</v>
      </c>
      <c r="G2928" s="7">
        <v>116</v>
      </c>
      <c r="H2928" s="7">
        <v>8182.85</v>
      </c>
      <c r="I2928" s="2" t="s">
        <v>15</v>
      </c>
      <c r="J2928" s="2" t="s">
        <v>16</v>
      </c>
      <c r="K2928" s="2" t="s">
        <v>17</v>
      </c>
      <c r="L2928" s="7">
        <v>8182.85</v>
      </c>
      <c r="M2928" s="2" t="str">
        <f>_xlfn.IFS(TelecomData[[#This Row],[TenureMonths]]&lt;=12, "0-1 Year", TelecomData[[#This Row],[TenureMonths]]&lt;=36, "1-3 Years", TelecomData[[#This Row],[TenureMonths]]&gt;36, "3+ Years")</f>
        <v>3+ Years</v>
      </c>
      <c r="N2928" s="2" t="str">
        <f>IF(TelecomData[[#This Row],[CleanedTotalCharges]]&gt;=2500,"High Spend", "Standard Spend")</f>
        <v>High Spend</v>
      </c>
    </row>
    <row r="2929" spans="1:14" x14ac:dyDescent="0.3">
      <c r="A2929" s="1" t="s">
        <v>2953</v>
      </c>
      <c r="B2929" s="2" t="s">
        <v>19</v>
      </c>
      <c r="C2929" s="2" t="s">
        <v>13</v>
      </c>
      <c r="D2929" s="2">
        <v>1</v>
      </c>
      <c r="E2929" s="2" t="s">
        <v>26</v>
      </c>
      <c r="F2929" s="2" t="s">
        <v>15</v>
      </c>
      <c r="G2929" s="7">
        <v>69.900000000000006</v>
      </c>
      <c r="H2929" s="7">
        <v>69.900000000000006</v>
      </c>
      <c r="I2929" s="2" t="s">
        <v>15</v>
      </c>
      <c r="J2929" s="2" t="s">
        <v>16</v>
      </c>
      <c r="K2929" s="2" t="s">
        <v>17</v>
      </c>
      <c r="L2929" s="7">
        <v>69.900000000000006</v>
      </c>
      <c r="M2929" s="2" t="str">
        <f>_xlfn.IFS(TelecomData[[#This Row],[TenureMonths]]&lt;=12, "0-1 Year", TelecomData[[#This Row],[TenureMonths]]&lt;=36, "1-3 Years", TelecomData[[#This Row],[TenureMonths]]&gt;36, "3+ Years")</f>
        <v>0-1 Year</v>
      </c>
      <c r="N2929" s="2" t="str">
        <f>IF(TelecomData[[#This Row],[CleanedTotalCharges]]&gt;=2500,"High Spend", "Standard Spend")</f>
        <v>Standard Spend</v>
      </c>
    </row>
    <row r="2930" spans="1:14" x14ac:dyDescent="0.3">
      <c r="A2930" s="1" t="s">
        <v>2954</v>
      </c>
      <c r="B2930" s="2" t="s">
        <v>19</v>
      </c>
      <c r="C2930" s="2" t="s">
        <v>35</v>
      </c>
      <c r="D2930" s="2">
        <v>68</v>
      </c>
      <c r="E2930" s="2" t="s">
        <v>26</v>
      </c>
      <c r="F2930" s="2" t="s">
        <v>16</v>
      </c>
      <c r="G2930" s="7">
        <v>95.1</v>
      </c>
      <c r="H2930" s="7">
        <v>6683.4</v>
      </c>
      <c r="I2930" s="2" t="s">
        <v>15</v>
      </c>
      <c r="J2930" s="2" t="s">
        <v>15</v>
      </c>
      <c r="K2930" s="2" t="s">
        <v>24</v>
      </c>
      <c r="L2930" s="7">
        <v>6683.4</v>
      </c>
      <c r="M2930" s="2" t="str">
        <f>_xlfn.IFS(TelecomData[[#This Row],[TenureMonths]]&lt;=12, "0-1 Year", TelecomData[[#This Row],[TenureMonths]]&lt;=36, "1-3 Years", TelecomData[[#This Row],[TenureMonths]]&gt;36, "3+ Years")</f>
        <v>3+ Years</v>
      </c>
      <c r="N2930" s="2" t="str">
        <f>IF(TelecomData[[#This Row],[CleanedTotalCharges]]&gt;=2500,"High Spend", "Standard Spend")</f>
        <v>High Spend</v>
      </c>
    </row>
    <row r="2931" spans="1:14" x14ac:dyDescent="0.3">
      <c r="A2931" s="1" t="s">
        <v>2955</v>
      </c>
      <c r="B2931" s="2" t="s">
        <v>19</v>
      </c>
      <c r="C2931" s="2" t="s">
        <v>20</v>
      </c>
      <c r="D2931" s="2">
        <v>40</v>
      </c>
      <c r="E2931" s="2" t="s">
        <v>14</v>
      </c>
      <c r="F2931" s="2" t="s">
        <v>16</v>
      </c>
      <c r="G2931" s="7">
        <v>40.25</v>
      </c>
      <c r="H2931" s="7">
        <v>1564.05</v>
      </c>
      <c r="I2931" s="2" t="s">
        <v>15</v>
      </c>
      <c r="J2931" s="2" t="s">
        <v>15</v>
      </c>
      <c r="K2931" s="2" t="s">
        <v>21</v>
      </c>
      <c r="L2931" s="7">
        <v>1564.05</v>
      </c>
      <c r="M2931" s="2" t="str">
        <f>_xlfn.IFS(TelecomData[[#This Row],[TenureMonths]]&lt;=12, "0-1 Year", TelecomData[[#This Row],[TenureMonths]]&lt;=36, "1-3 Years", TelecomData[[#This Row],[TenureMonths]]&gt;36, "3+ Years")</f>
        <v>3+ Years</v>
      </c>
      <c r="N2931" s="2" t="str">
        <f>IF(TelecomData[[#This Row],[CleanedTotalCharges]]&gt;=2500,"High Spend", "Standard Spend")</f>
        <v>Standard Spend</v>
      </c>
    </row>
    <row r="2932" spans="1:14" x14ac:dyDescent="0.3">
      <c r="A2932" s="1" t="s">
        <v>2956</v>
      </c>
      <c r="B2932" s="2" t="s">
        <v>19</v>
      </c>
      <c r="C2932" s="2" t="s">
        <v>35</v>
      </c>
      <c r="D2932" s="2">
        <v>31</v>
      </c>
      <c r="E2932" s="2" t="s">
        <v>15</v>
      </c>
      <c r="F2932" s="2" t="s">
        <v>36</v>
      </c>
      <c r="G2932" s="7">
        <v>25.75</v>
      </c>
      <c r="H2932" s="7">
        <v>755.6</v>
      </c>
      <c r="I2932" s="2" t="s">
        <v>15</v>
      </c>
      <c r="J2932" s="2" t="s">
        <v>15</v>
      </c>
      <c r="K2932" s="2" t="s">
        <v>21</v>
      </c>
      <c r="L2932" s="7">
        <v>755.6</v>
      </c>
      <c r="M2932" s="2" t="str">
        <f>_xlfn.IFS(TelecomData[[#This Row],[TenureMonths]]&lt;=12, "0-1 Year", TelecomData[[#This Row],[TenureMonths]]&lt;=36, "1-3 Years", TelecomData[[#This Row],[TenureMonths]]&gt;36, "3+ Years")</f>
        <v>1-3 Years</v>
      </c>
      <c r="N2932" s="2" t="str">
        <f>IF(TelecomData[[#This Row],[CleanedTotalCharges]]&gt;=2500,"High Spend", "Standard Spend")</f>
        <v>Standard Spend</v>
      </c>
    </row>
    <row r="2933" spans="1:14" x14ac:dyDescent="0.3">
      <c r="A2933" s="1" t="s">
        <v>2957</v>
      </c>
      <c r="B2933" s="2" t="s">
        <v>12</v>
      </c>
      <c r="C2933" s="2" t="s">
        <v>13</v>
      </c>
      <c r="D2933" s="2">
        <v>33</v>
      </c>
      <c r="E2933" s="2" t="s">
        <v>26</v>
      </c>
      <c r="F2933" s="2" t="s">
        <v>15</v>
      </c>
      <c r="G2933" s="7">
        <v>105.35</v>
      </c>
      <c r="H2933" s="7">
        <v>3465.05</v>
      </c>
      <c r="I2933" s="2" t="s">
        <v>15</v>
      </c>
      <c r="J2933" s="2" t="s">
        <v>16</v>
      </c>
      <c r="K2933" s="2" t="s">
        <v>24</v>
      </c>
      <c r="L2933" s="7">
        <v>3465.05</v>
      </c>
      <c r="M2933" s="2" t="str">
        <f>_xlfn.IFS(TelecomData[[#This Row],[TenureMonths]]&lt;=12, "0-1 Year", TelecomData[[#This Row],[TenureMonths]]&lt;=36, "1-3 Years", TelecomData[[#This Row],[TenureMonths]]&gt;36, "3+ Years")</f>
        <v>1-3 Years</v>
      </c>
      <c r="N2933" s="2" t="str">
        <f>IF(TelecomData[[#This Row],[CleanedTotalCharges]]&gt;=2500,"High Spend", "Standard Spend")</f>
        <v>High Spend</v>
      </c>
    </row>
    <row r="2934" spans="1:14" x14ac:dyDescent="0.3">
      <c r="A2934" s="1" t="s">
        <v>2958</v>
      </c>
      <c r="B2934" s="2" t="s">
        <v>19</v>
      </c>
      <c r="C2934" s="2" t="s">
        <v>35</v>
      </c>
      <c r="D2934" s="2">
        <v>55</v>
      </c>
      <c r="E2934" s="2" t="s">
        <v>26</v>
      </c>
      <c r="F2934" s="2" t="s">
        <v>16</v>
      </c>
      <c r="G2934" s="7">
        <v>113.6</v>
      </c>
      <c r="H2934" s="7">
        <v>6292.7</v>
      </c>
      <c r="I2934" s="2" t="s">
        <v>15</v>
      </c>
      <c r="J2934" s="2" t="s">
        <v>16</v>
      </c>
      <c r="K2934" s="2" t="s">
        <v>17</v>
      </c>
      <c r="L2934" s="7">
        <v>6292.7</v>
      </c>
      <c r="M2934" s="2" t="str">
        <f>_xlfn.IFS(TelecomData[[#This Row],[TenureMonths]]&lt;=12, "0-1 Year", TelecomData[[#This Row],[TenureMonths]]&lt;=36, "1-3 Years", TelecomData[[#This Row],[TenureMonths]]&gt;36, "3+ Years")</f>
        <v>3+ Years</v>
      </c>
      <c r="N2934" s="2" t="str">
        <f>IF(TelecomData[[#This Row],[CleanedTotalCharges]]&gt;=2500,"High Spend", "Standard Spend")</f>
        <v>High Spend</v>
      </c>
    </row>
    <row r="2935" spans="1:14" x14ac:dyDescent="0.3">
      <c r="A2935" s="1" t="s">
        <v>2959</v>
      </c>
      <c r="B2935" s="2" t="s">
        <v>19</v>
      </c>
      <c r="C2935" s="2" t="s">
        <v>35</v>
      </c>
      <c r="D2935" s="2">
        <v>68</v>
      </c>
      <c r="E2935" s="2" t="s">
        <v>15</v>
      </c>
      <c r="F2935" s="2" t="s">
        <v>36</v>
      </c>
      <c r="G2935" s="7">
        <v>24</v>
      </c>
      <c r="H2935" s="7">
        <v>1664.3</v>
      </c>
      <c r="I2935" s="2" t="s">
        <v>15</v>
      </c>
      <c r="J2935" s="2" t="s">
        <v>16</v>
      </c>
      <c r="K2935" s="2" t="s">
        <v>24</v>
      </c>
      <c r="L2935" s="7">
        <v>1664.3</v>
      </c>
      <c r="M2935" s="2" t="str">
        <f>_xlfn.IFS(TelecomData[[#This Row],[TenureMonths]]&lt;=12, "0-1 Year", TelecomData[[#This Row],[TenureMonths]]&lt;=36, "1-3 Years", TelecomData[[#This Row],[TenureMonths]]&gt;36, "3+ Years")</f>
        <v>3+ Years</v>
      </c>
      <c r="N2935" s="2" t="str">
        <f>IF(TelecomData[[#This Row],[CleanedTotalCharges]]&gt;=2500,"High Spend", "Standard Spend")</f>
        <v>Standard Spend</v>
      </c>
    </row>
    <row r="2936" spans="1:14" x14ac:dyDescent="0.3">
      <c r="A2936" s="1" t="s">
        <v>2960</v>
      </c>
      <c r="B2936" s="2" t="s">
        <v>12</v>
      </c>
      <c r="C2936" s="2" t="s">
        <v>13</v>
      </c>
      <c r="D2936" s="2">
        <v>12</v>
      </c>
      <c r="E2936" s="2" t="s">
        <v>15</v>
      </c>
      <c r="F2936" s="2" t="s">
        <v>36</v>
      </c>
      <c r="G2936" s="7">
        <v>19.399999999999999</v>
      </c>
      <c r="H2936" s="7">
        <v>198.1</v>
      </c>
      <c r="I2936" s="2" t="s">
        <v>15</v>
      </c>
      <c r="J2936" s="2" t="s">
        <v>15</v>
      </c>
      <c r="K2936" s="2" t="s">
        <v>24</v>
      </c>
      <c r="L2936" s="7">
        <v>198.1</v>
      </c>
      <c r="M2936" s="2" t="str">
        <f>_xlfn.IFS(TelecomData[[#This Row],[TenureMonths]]&lt;=12, "0-1 Year", TelecomData[[#This Row],[TenureMonths]]&lt;=36, "1-3 Years", TelecomData[[#This Row],[TenureMonths]]&gt;36, "3+ Years")</f>
        <v>0-1 Year</v>
      </c>
      <c r="N2936" s="2" t="str">
        <f>IF(TelecomData[[#This Row],[CleanedTotalCharges]]&gt;=2500,"High Spend", "Standard Spend")</f>
        <v>Standard Spend</v>
      </c>
    </row>
    <row r="2937" spans="1:14" x14ac:dyDescent="0.3">
      <c r="A2937" s="1" t="s">
        <v>2961</v>
      </c>
      <c r="B2937" s="2" t="s">
        <v>19</v>
      </c>
      <c r="C2937" s="2" t="s">
        <v>35</v>
      </c>
      <c r="D2937" s="2">
        <v>71</v>
      </c>
      <c r="E2937" s="2" t="s">
        <v>14</v>
      </c>
      <c r="F2937" s="2" t="s">
        <v>16</v>
      </c>
      <c r="G2937" s="7">
        <v>86.1</v>
      </c>
      <c r="H2937" s="7">
        <v>6045.9</v>
      </c>
      <c r="I2937" s="2" t="s">
        <v>15</v>
      </c>
      <c r="J2937" s="2" t="s">
        <v>16</v>
      </c>
      <c r="K2937" s="2" t="s">
        <v>24</v>
      </c>
      <c r="L2937" s="7">
        <v>6045.9</v>
      </c>
      <c r="M2937" s="2" t="str">
        <f>_xlfn.IFS(TelecomData[[#This Row],[TenureMonths]]&lt;=12, "0-1 Year", TelecomData[[#This Row],[TenureMonths]]&lt;=36, "1-3 Years", TelecomData[[#This Row],[TenureMonths]]&gt;36, "3+ Years")</f>
        <v>3+ Years</v>
      </c>
      <c r="N2937" s="2" t="str">
        <f>IF(TelecomData[[#This Row],[CleanedTotalCharges]]&gt;=2500,"High Spend", "Standard Spend")</f>
        <v>High Spend</v>
      </c>
    </row>
    <row r="2938" spans="1:14" x14ac:dyDescent="0.3">
      <c r="A2938" s="1" t="s">
        <v>2962</v>
      </c>
      <c r="B2938" s="2" t="s">
        <v>19</v>
      </c>
      <c r="C2938" s="2" t="s">
        <v>13</v>
      </c>
      <c r="D2938" s="2">
        <v>40</v>
      </c>
      <c r="E2938" s="2" t="s">
        <v>26</v>
      </c>
      <c r="F2938" s="2" t="s">
        <v>15</v>
      </c>
      <c r="G2938" s="7">
        <v>102.65</v>
      </c>
      <c r="H2938" s="7">
        <v>4108.1499999999996</v>
      </c>
      <c r="I2938" s="2" t="s">
        <v>15</v>
      </c>
      <c r="J2938" s="2" t="s">
        <v>16</v>
      </c>
      <c r="K2938" s="2" t="s">
        <v>21</v>
      </c>
      <c r="L2938" s="7">
        <v>4108.1499999999996</v>
      </c>
      <c r="M2938" s="2" t="str">
        <f>_xlfn.IFS(TelecomData[[#This Row],[TenureMonths]]&lt;=12, "0-1 Year", TelecomData[[#This Row],[TenureMonths]]&lt;=36, "1-3 Years", TelecomData[[#This Row],[TenureMonths]]&gt;36, "3+ Years")</f>
        <v>3+ Years</v>
      </c>
      <c r="N2938" s="2" t="str">
        <f>IF(TelecomData[[#This Row],[CleanedTotalCharges]]&gt;=2500,"High Spend", "Standard Spend")</f>
        <v>High Spend</v>
      </c>
    </row>
    <row r="2939" spans="1:14" x14ac:dyDescent="0.3">
      <c r="A2939" s="1" t="s">
        <v>2963</v>
      </c>
      <c r="B2939" s="2" t="s">
        <v>12</v>
      </c>
      <c r="C2939" s="2" t="s">
        <v>20</v>
      </c>
      <c r="D2939" s="2">
        <v>64</v>
      </c>
      <c r="E2939" s="2" t="s">
        <v>26</v>
      </c>
      <c r="F2939" s="2" t="s">
        <v>15</v>
      </c>
      <c r="G2939" s="7">
        <v>92.85</v>
      </c>
      <c r="H2939" s="7">
        <v>5980.75</v>
      </c>
      <c r="I2939" s="2" t="s">
        <v>15</v>
      </c>
      <c r="J2939" s="2" t="s">
        <v>16</v>
      </c>
      <c r="K2939" s="2" t="s">
        <v>17</v>
      </c>
      <c r="L2939" s="7">
        <v>5980.75</v>
      </c>
      <c r="M2939" s="2" t="str">
        <f>_xlfn.IFS(TelecomData[[#This Row],[TenureMonths]]&lt;=12, "0-1 Year", TelecomData[[#This Row],[TenureMonths]]&lt;=36, "1-3 Years", TelecomData[[#This Row],[TenureMonths]]&gt;36, "3+ Years")</f>
        <v>3+ Years</v>
      </c>
      <c r="N2939" s="2" t="str">
        <f>IF(TelecomData[[#This Row],[CleanedTotalCharges]]&gt;=2500,"High Spend", "Standard Spend")</f>
        <v>High Spend</v>
      </c>
    </row>
    <row r="2940" spans="1:14" x14ac:dyDescent="0.3">
      <c r="A2940" s="1" t="s">
        <v>2964</v>
      </c>
      <c r="B2940" s="2" t="s">
        <v>19</v>
      </c>
      <c r="C2940" s="2" t="s">
        <v>20</v>
      </c>
      <c r="D2940" s="2">
        <v>53</v>
      </c>
      <c r="E2940" s="2" t="s">
        <v>26</v>
      </c>
      <c r="F2940" s="2" t="s">
        <v>16</v>
      </c>
      <c r="G2940" s="7">
        <v>97.75</v>
      </c>
      <c r="H2940" s="7">
        <v>5043.2</v>
      </c>
      <c r="I2940" s="2" t="s">
        <v>15</v>
      </c>
      <c r="J2940" s="2" t="s">
        <v>15</v>
      </c>
      <c r="K2940" s="2" t="s">
        <v>24</v>
      </c>
      <c r="L2940" s="7">
        <v>5043.2</v>
      </c>
      <c r="M2940" s="2" t="str">
        <f>_xlfn.IFS(TelecomData[[#This Row],[TenureMonths]]&lt;=12, "0-1 Year", TelecomData[[#This Row],[TenureMonths]]&lt;=36, "1-3 Years", TelecomData[[#This Row],[TenureMonths]]&gt;36, "3+ Years")</f>
        <v>3+ Years</v>
      </c>
      <c r="N2940" s="2" t="str">
        <f>IF(TelecomData[[#This Row],[CleanedTotalCharges]]&gt;=2500,"High Spend", "Standard Spend")</f>
        <v>High Spend</v>
      </c>
    </row>
    <row r="2941" spans="1:14" x14ac:dyDescent="0.3">
      <c r="A2941" s="1" t="s">
        <v>2965</v>
      </c>
      <c r="B2941" s="2" t="s">
        <v>19</v>
      </c>
      <c r="C2941" s="2" t="s">
        <v>13</v>
      </c>
      <c r="D2941" s="2">
        <v>12</v>
      </c>
      <c r="E2941" s="2" t="s">
        <v>26</v>
      </c>
      <c r="F2941" s="2" t="s">
        <v>16</v>
      </c>
      <c r="G2941" s="7">
        <v>83.8</v>
      </c>
      <c r="H2941" s="7">
        <v>1029.75</v>
      </c>
      <c r="I2941" s="2" t="s">
        <v>16</v>
      </c>
      <c r="J2941" s="2" t="s">
        <v>16</v>
      </c>
      <c r="K2941" s="2" t="s">
        <v>21</v>
      </c>
      <c r="L2941" s="7">
        <v>1029.75</v>
      </c>
      <c r="M2941" s="2" t="str">
        <f>_xlfn.IFS(TelecomData[[#This Row],[TenureMonths]]&lt;=12, "0-1 Year", TelecomData[[#This Row],[TenureMonths]]&lt;=36, "1-3 Years", TelecomData[[#This Row],[TenureMonths]]&gt;36, "3+ Years")</f>
        <v>0-1 Year</v>
      </c>
      <c r="N2941" s="2" t="str">
        <f>IF(TelecomData[[#This Row],[CleanedTotalCharges]]&gt;=2500,"High Spend", "Standard Spend")</f>
        <v>Standard Spend</v>
      </c>
    </row>
    <row r="2942" spans="1:14" x14ac:dyDescent="0.3">
      <c r="A2942" s="1" t="s">
        <v>2966</v>
      </c>
      <c r="B2942" s="2" t="s">
        <v>19</v>
      </c>
      <c r="C2942" s="2" t="s">
        <v>13</v>
      </c>
      <c r="D2942" s="2">
        <v>53</v>
      </c>
      <c r="E2942" s="2" t="s">
        <v>14</v>
      </c>
      <c r="F2942" s="2" t="s">
        <v>15</v>
      </c>
      <c r="G2942" s="7">
        <v>54.45</v>
      </c>
      <c r="H2942" s="7">
        <v>2854.55</v>
      </c>
      <c r="I2942" s="2" t="s">
        <v>16</v>
      </c>
      <c r="J2942" s="2" t="s">
        <v>16</v>
      </c>
      <c r="K2942" s="2" t="s">
        <v>17</v>
      </c>
      <c r="L2942" s="7">
        <v>2854.55</v>
      </c>
      <c r="M2942" s="2" t="str">
        <f>_xlfn.IFS(TelecomData[[#This Row],[TenureMonths]]&lt;=12, "0-1 Year", TelecomData[[#This Row],[TenureMonths]]&lt;=36, "1-3 Years", TelecomData[[#This Row],[TenureMonths]]&gt;36, "3+ Years")</f>
        <v>3+ Years</v>
      </c>
      <c r="N2942" s="2" t="str">
        <f>IF(TelecomData[[#This Row],[CleanedTotalCharges]]&gt;=2500,"High Spend", "Standard Spend")</f>
        <v>High Spend</v>
      </c>
    </row>
    <row r="2943" spans="1:14" x14ac:dyDescent="0.3">
      <c r="A2943" s="1" t="s">
        <v>2967</v>
      </c>
      <c r="B2943" s="2" t="s">
        <v>19</v>
      </c>
      <c r="C2943" s="2" t="s">
        <v>35</v>
      </c>
      <c r="D2943" s="2">
        <v>72</v>
      </c>
      <c r="E2943" s="2" t="s">
        <v>26</v>
      </c>
      <c r="F2943" s="2" t="s">
        <v>15</v>
      </c>
      <c r="G2943" s="7">
        <v>97.95</v>
      </c>
      <c r="H2943" s="7">
        <v>7114.25</v>
      </c>
      <c r="I2943" s="2" t="s">
        <v>15</v>
      </c>
      <c r="J2943" s="2" t="s">
        <v>16</v>
      </c>
      <c r="K2943" s="2" t="s">
        <v>29</v>
      </c>
      <c r="L2943" s="7">
        <v>7114.25</v>
      </c>
      <c r="M2943" s="2" t="str">
        <f>_xlfn.IFS(TelecomData[[#This Row],[TenureMonths]]&lt;=12, "0-1 Year", TelecomData[[#This Row],[TenureMonths]]&lt;=36, "1-3 Years", TelecomData[[#This Row],[TenureMonths]]&gt;36, "3+ Years")</f>
        <v>3+ Years</v>
      </c>
      <c r="N2943" s="2" t="str">
        <f>IF(TelecomData[[#This Row],[CleanedTotalCharges]]&gt;=2500,"High Spend", "Standard Spend")</f>
        <v>High Spend</v>
      </c>
    </row>
    <row r="2944" spans="1:14" x14ac:dyDescent="0.3">
      <c r="A2944" s="1" t="s">
        <v>2968</v>
      </c>
      <c r="B2944" s="2" t="s">
        <v>19</v>
      </c>
      <c r="C2944" s="2" t="s">
        <v>35</v>
      </c>
      <c r="D2944" s="2">
        <v>46</v>
      </c>
      <c r="E2944" s="2" t="s">
        <v>15</v>
      </c>
      <c r="F2944" s="2" t="s">
        <v>36</v>
      </c>
      <c r="G2944" s="7">
        <v>19.95</v>
      </c>
      <c r="H2944" s="7">
        <v>907.05</v>
      </c>
      <c r="I2944" s="2" t="s">
        <v>15</v>
      </c>
      <c r="J2944" s="2" t="s">
        <v>15</v>
      </c>
      <c r="K2944" s="2" t="s">
        <v>17</v>
      </c>
      <c r="L2944" s="7">
        <v>907.05</v>
      </c>
      <c r="M2944" s="2" t="str">
        <f>_xlfn.IFS(TelecomData[[#This Row],[TenureMonths]]&lt;=12, "0-1 Year", TelecomData[[#This Row],[TenureMonths]]&lt;=36, "1-3 Years", TelecomData[[#This Row],[TenureMonths]]&gt;36, "3+ Years")</f>
        <v>3+ Years</v>
      </c>
      <c r="N2944" s="2" t="str">
        <f>IF(TelecomData[[#This Row],[CleanedTotalCharges]]&gt;=2500,"High Spend", "Standard Spend")</f>
        <v>Standard Spend</v>
      </c>
    </row>
    <row r="2945" spans="1:14" x14ac:dyDescent="0.3">
      <c r="A2945" s="1" t="s">
        <v>2969</v>
      </c>
      <c r="B2945" s="2" t="s">
        <v>19</v>
      </c>
      <c r="C2945" s="2" t="s">
        <v>35</v>
      </c>
      <c r="D2945" s="2">
        <v>40</v>
      </c>
      <c r="E2945" s="2" t="s">
        <v>15</v>
      </c>
      <c r="F2945" s="2" t="s">
        <v>36</v>
      </c>
      <c r="G2945" s="7">
        <v>24.6</v>
      </c>
      <c r="H2945" s="7">
        <v>973.95</v>
      </c>
      <c r="I2945" s="2" t="s">
        <v>15</v>
      </c>
      <c r="J2945" s="2" t="s">
        <v>16</v>
      </c>
      <c r="K2945" s="2" t="s">
        <v>21</v>
      </c>
      <c r="L2945" s="7">
        <v>973.95</v>
      </c>
      <c r="M2945" s="2" t="str">
        <f>_xlfn.IFS(TelecomData[[#This Row],[TenureMonths]]&lt;=12, "0-1 Year", TelecomData[[#This Row],[TenureMonths]]&lt;=36, "1-3 Years", TelecomData[[#This Row],[TenureMonths]]&gt;36, "3+ Years")</f>
        <v>3+ Years</v>
      </c>
      <c r="N2945" s="2" t="str">
        <f>IF(TelecomData[[#This Row],[CleanedTotalCharges]]&gt;=2500,"High Spend", "Standard Spend")</f>
        <v>Standard Spend</v>
      </c>
    </row>
    <row r="2946" spans="1:14" x14ac:dyDescent="0.3">
      <c r="A2946" s="1" t="s">
        <v>2970</v>
      </c>
      <c r="B2946" s="2" t="s">
        <v>19</v>
      </c>
      <c r="C2946" s="2" t="s">
        <v>13</v>
      </c>
      <c r="D2946" s="2">
        <v>12</v>
      </c>
      <c r="E2946" s="2" t="s">
        <v>14</v>
      </c>
      <c r="F2946" s="2" t="s">
        <v>16</v>
      </c>
      <c r="G2946" s="7">
        <v>50.95</v>
      </c>
      <c r="H2946" s="7">
        <v>605.75</v>
      </c>
      <c r="I2946" s="2" t="s">
        <v>15</v>
      </c>
      <c r="J2946" s="2" t="s">
        <v>16</v>
      </c>
      <c r="K2946" s="2" t="s">
        <v>24</v>
      </c>
      <c r="L2946" s="7">
        <v>605.75</v>
      </c>
      <c r="M2946" s="2" t="str">
        <f>_xlfn.IFS(TelecomData[[#This Row],[TenureMonths]]&lt;=12, "0-1 Year", TelecomData[[#This Row],[TenureMonths]]&lt;=36, "1-3 Years", TelecomData[[#This Row],[TenureMonths]]&gt;36, "3+ Years")</f>
        <v>0-1 Year</v>
      </c>
      <c r="N2946" s="2" t="str">
        <f>IF(TelecomData[[#This Row],[CleanedTotalCharges]]&gt;=2500,"High Spend", "Standard Spend")</f>
        <v>Standard Spend</v>
      </c>
    </row>
    <row r="2947" spans="1:14" x14ac:dyDescent="0.3">
      <c r="A2947" s="1" t="s">
        <v>2971</v>
      </c>
      <c r="B2947" s="2" t="s">
        <v>19</v>
      </c>
      <c r="C2947" s="2" t="s">
        <v>13</v>
      </c>
      <c r="D2947" s="2">
        <v>9</v>
      </c>
      <c r="E2947" s="2" t="s">
        <v>26</v>
      </c>
      <c r="F2947" s="2" t="s">
        <v>15</v>
      </c>
      <c r="G2947" s="7">
        <v>75.599999999999994</v>
      </c>
      <c r="H2947" s="7">
        <v>661.55</v>
      </c>
      <c r="I2947" s="2" t="s">
        <v>15</v>
      </c>
      <c r="J2947" s="2" t="s">
        <v>15</v>
      </c>
      <c r="K2947" s="2" t="s">
        <v>17</v>
      </c>
      <c r="L2947" s="7">
        <v>661.55</v>
      </c>
      <c r="M2947" s="2" t="str">
        <f>_xlfn.IFS(TelecomData[[#This Row],[TenureMonths]]&lt;=12, "0-1 Year", TelecomData[[#This Row],[TenureMonths]]&lt;=36, "1-3 Years", TelecomData[[#This Row],[TenureMonths]]&gt;36, "3+ Years")</f>
        <v>0-1 Year</v>
      </c>
      <c r="N2947" s="2" t="str">
        <f>IF(TelecomData[[#This Row],[CleanedTotalCharges]]&gt;=2500,"High Spend", "Standard Spend")</f>
        <v>Standard Spend</v>
      </c>
    </row>
    <row r="2948" spans="1:14" x14ac:dyDescent="0.3">
      <c r="A2948" s="1" t="s">
        <v>2972</v>
      </c>
      <c r="B2948" s="2" t="s">
        <v>12</v>
      </c>
      <c r="C2948" s="2" t="s">
        <v>13</v>
      </c>
      <c r="D2948" s="2">
        <v>51</v>
      </c>
      <c r="E2948" s="2" t="s">
        <v>26</v>
      </c>
      <c r="F2948" s="2" t="s">
        <v>16</v>
      </c>
      <c r="G2948" s="7">
        <v>80.75</v>
      </c>
      <c r="H2948" s="7">
        <v>4116.8999999999996</v>
      </c>
      <c r="I2948" s="2" t="s">
        <v>15</v>
      </c>
      <c r="J2948" s="2" t="s">
        <v>16</v>
      </c>
      <c r="K2948" s="2" t="s">
        <v>17</v>
      </c>
      <c r="L2948" s="7">
        <v>4116.8999999999996</v>
      </c>
      <c r="M2948" s="2" t="str">
        <f>_xlfn.IFS(TelecomData[[#This Row],[TenureMonths]]&lt;=12, "0-1 Year", TelecomData[[#This Row],[TenureMonths]]&lt;=36, "1-3 Years", TelecomData[[#This Row],[TenureMonths]]&gt;36, "3+ Years")</f>
        <v>3+ Years</v>
      </c>
      <c r="N2948" s="2" t="str">
        <f>IF(TelecomData[[#This Row],[CleanedTotalCharges]]&gt;=2500,"High Spend", "Standard Spend")</f>
        <v>High Spend</v>
      </c>
    </row>
    <row r="2949" spans="1:14" x14ac:dyDescent="0.3">
      <c r="A2949" s="1" t="s">
        <v>2973</v>
      </c>
      <c r="B2949" s="2" t="s">
        <v>19</v>
      </c>
      <c r="C2949" s="2" t="s">
        <v>13</v>
      </c>
      <c r="D2949" s="2">
        <v>49</v>
      </c>
      <c r="E2949" s="2" t="s">
        <v>26</v>
      </c>
      <c r="F2949" s="2" t="s">
        <v>15</v>
      </c>
      <c r="G2949" s="7">
        <v>90.4</v>
      </c>
      <c r="H2949" s="7">
        <v>4494.6499999999996</v>
      </c>
      <c r="I2949" s="2" t="s">
        <v>15</v>
      </c>
      <c r="J2949" s="2" t="s">
        <v>16</v>
      </c>
      <c r="K2949" s="2" t="s">
        <v>29</v>
      </c>
      <c r="L2949" s="7">
        <v>4494.6499999999996</v>
      </c>
      <c r="M2949" s="2" t="str">
        <f>_xlfn.IFS(TelecomData[[#This Row],[TenureMonths]]&lt;=12, "0-1 Year", TelecomData[[#This Row],[TenureMonths]]&lt;=36, "1-3 Years", TelecomData[[#This Row],[TenureMonths]]&gt;36, "3+ Years")</f>
        <v>3+ Years</v>
      </c>
      <c r="N2949" s="2" t="str">
        <f>IF(TelecomData[[#This Row],[CleanedTotalCharges]]&gt;=2500,"High Spend", "Standard Spend")</f>
        <v>High Spend</v>
      </c>
    </row>
    <row r="2950" spans="1:14" x14ac:dyDescent="0.3">
      <c r="A2950" s="1" t="s">
        <v>2974</v>
      </c>
      <c r="B2950" s="2" t="s">
        <v>19</v>
      </c>
      <c r="C2950" s="2" t="s">
        <v>13</v>
      </c>
      <c r="D2950" s="2">
        <v>41</v>
      </c>
      <c r="E2950" s="2" t="s">
        <v>26</v>
      </c>
      <c r="F2950" s="2" t="s">
        <v>15</v>
      </c>
      <c r="G2950" s="7">
        <v>99.8</v>
      </c>
      <c r="H2950" s="7">
        <v>4259.3</v>
      </c>
      <c r="I2950" s="2" t="s">
        <v>16</v>
      </c>
      <c r="J2950" s="2" t="s">
        <v>16</v>
      </c>
      <c r="K2950" s="2" t="s">
        <v>17</v>
      </c>
      <c r="L2950" s="7">
        <v>4259.3</v>
      </c>
      <c r="M2950" s="2" t="str">
        <f>_xlfn.IFS(TelecomData[[#This Row],[TenureMonths]]&lt;=12, "0-1 Year", TelecomData[[#This Row],[TenureMonths]]&lt;=36, "1-3 Years", TelecomData[[#This Row],[TenureMonths]]&gt;36, "3+ Years")</f>
        <v>3+ Years</v>
      </c>
      <c r="N2950" s="2" t="str">
        <f>IF(TelecomData[[#This Row],[CleanedTotalCharges]]&gt;=2500,"High Spend", "Standard Spend")</f>
        <v>High Spend</v>
      </c>
    </row>
    <row r="2951" spans="1:14" x14ac:dyDescent="0.3">
      <c r="A2951" s="1" t="s">
        <v>2975</v>
      </c>
      <c r="B2951" s="2" t="s">
        <v>12</v>
      </c>
      <c r="C2951" s="2" t="s">
        <v>20</v>
      </c>
      <c r="D2951" s="2">
        <v>56</v>
      </c>
      <c r="E2951" s="2" t="s">
        <v>14</v>
      </c>
      <c r="F2951" s="2" t="s">
        <v>16</v>
      </c>
      <c r="G2951" s="7">
        <v>60.25</v>
      </c>
      <c r="H2951" s="7">
        <v>3282.75</v>
      </c>
      <c r="I2951" s="2" t="s">
        <v>15</v>
      </c>
      <c r="J2951" s="2" t="s">
        <v>16</v>
      </c>
      <c r="K2951" s="2" t="s">
        <v>29</v>
      </c>
      <c r="L2951" s="7">
        <v>3282.75</v>
      </c>
      <c r="M2951" s="2" t="str">
        <f>_xlfn.IFS(TelecomData[[#This Row],[TenureMonths]]&lt;=12, "0-1 Year", TelecomData[[#This Row],[TenureMonths]]&lt;=36, "1-3 Years", TelecomData[[#This Row],[TenureMonths]]&gt;36, "3+ Years")</f>
        <v>3+ Years</v>
      </c>
      <c r="N2951" s="2" t="str">
        <f>IF(TelecomData[[#This Row],[CleanedTotalCharges]]&gt;=2500,"High Spend", "Standard Spend")</f>
        <v>High Spend</v>
      </c>
    </row>
    <row r="2952" spans="1:14" x14ac:dyDescent="0.3">
      <c r="A2952" s="1" t="s">
        <v>2976</v>
      </c>
      <c r="B2952" s="2" t="s">
        <v>19</v>
      </c>
      <c r="C2952" s="2" t="s">
        <v>13</v>
      </c>
      <c r="D2952" s="2">
        <v>4</v>
      </c>
      <c r="E2952" s="2" t="s">
        <v>15</v>
      </c>
      <c r="F2952" s="2" t="s">
        <v>36</v>
      </c>
      <c r="G2952" s="7">
        <v>20.2</v>
      </c>
      <c r="H2952" s="7">
        <v>55.7</v>
      </c>
      <c r="I2952" s="2" t="s">
        <v>15</v>
      </c>
      <c r="J2952" s="2" t="s">
        <v>16</v>
      </c>
      <c r="K2952" s="2" t="s">
        <v>17</v>
      </c>
      <c r="L2952" s="7">
        <v>55.7</v>
      </c>
      <c r="M2952" s="2" t="str">
        <f>_xlfn.IFS(TelecomData[[#This Row],[TenureMonths]]&lt;=12, "0-1 Year", TelecomData[[#This Row],[TenureMonths]]&lt;=36, "1-3 Years", TelecomData[[#This Row],[TenureMonths]]&gt;36, "3+ Years")</f>
        <v>0-1 Year</v>
      </c>
      <c r="N2952" s="2" t="str">
        <f>IF(TelecomData[[#This Row],[CleanedTotalCharges]]&gt;=2500,"High Spend", "Standard Spend")</f>
        <v>Standard Spend</v>
      </c>
    </row>
    <row r="2953" spans="1:14" x14ac:dyDescent="0.3">
      <c r="A2953" s="1" t="s">
        <v>2977</v>
      </c>
      <c r="B2953" s="2" t="s">
        <v>19</v>
      </c>
      <c r="C2953" s="2" t="s">
        <v>20</v>
      </c>
      <c r="D2953" s="2">
        <v>20</v>
      </c>
      <c r="E2953" s="2" t="s">
        <v>14</v>
      </c>
      <c r="F2953" s="2" t="s">
        <v>16</v>
      </c>
      <c r="G2953" s="7">
        <v>64.150000000000006</v>
      </c>
      <c r="H2953" s="7">
        <v>1274.45</v>
      </c>
      <c r="I2953" s="2" t="s">
        <v>15</v>
      </c>
      <c r="J2953" s="2" t="s">
        <v>16</v>
      </c>
      <c r="K2953" s="2" t="s">
        <v>21</v>
      </c>
      <c r="L2953" s="7">
        <v>1274.45</v>
      </c>
      <c r="M2953" s="2" t="str">
        <f>_xlfn.IFS(TelecomData[[#This Row],[TenureMonths]]&lt;=12, "0-1 Year", TelecomData[[#This Row],[TenureMonths]]&lt;=36, "1-3 Years", TelecomData[[#This Row],[TenureMonths]]&gt;36, "3+ Years")</f>
        <v>1-3 Years</v>
      </c>
      <c r="N2953" s="2" t="str">
        <f>IF(TelecomData[[#This Row],[CleanedTotalCharges]]&gt;=2500,"High Spend", "Standard Spend")</f>
        <v>Standard Spend</v>
      </c>
    </row>
    <row r="2954" spans="1:14" x14ac:dyDescent="0.3">
      <c r="A2954" s="1" t="s">
        <v>2978</v>
      </c>
      <c r="B2954" s="2" t="s">
        <v>12</v>
      </c>
      <c r="C2954" s="2" t="s">
        <v>13</v>
      </c>
      <c r="D2954" s="2">
        <v>26</v>
      </c>
      <c r="E2954" s="2" t="s">
        <v>15</v>
      </c>
      <c r="F2954" s="2" t="s">
        <v>36</v>
      </c>
      <c r="G2954" s="7">
        <v>20.25</v>
      </c>
      <c r="H2954" s="7">
        <v>493.95</v>
      </c>
      <c r="I2954" s="2" t="s">
        <v>15</v>
      </c>
      <c r="J2954" s="2" t="s">
        <v>16</v>
      </c>
      <c r="K2954" s="2" t="s">
        <v>29</v>
      </c>
      <c r="L2954" s="7">
        <v>493.95</v>
      </c>
      <c r="M2954" s="2" t="str">
        <f>_xlfn.IFS(TelecomData[[#This Row],[TenureMonths]]&lt;=12, "0-1 Year", TelecomData[[#This Row],[TenureMonths]]&lt;=36, "1-3 Years", TelecomData[[#This Row],[TenureMonths]]&gt;36, "3+ Years")</f>
        <v>1-3 Years</v>
      </c>
      <c r="N2954" s="2" t="str">
        <f>IF(TelecomData[[#This Row],[CleanedTotalCharges]]&gt;=2500,"High Spend", "Standard Spend")</f>
        <v>Standard Spend</v>
      </c>
    </row>
    <row r="2955" spans="1:14" x14ac:dyDescent="0.3">
      <c r="A2955" s="1" t="s">
        <v>2979</v>
      </c>
      <c r="B2955" s="2" t="s">
        <v>12</v>
      </c>
      <c r="C2955" s="2" t="s">
        <v>13</v>
      </c>
      <c r="D2955" s="2">
        <v>20</v>
      </c>
      <c r="E2955" s="2" t="s">
        <v>26</v>
      </c>
      <c r="F2955" s="2" t="s">
        <v>15</v>
      </c>
      <c r="G2955" s="7">
        <v>105.85</v>
      </c>
      <c r="H2955" s="7">
        <v>2239.65</v>
      </c>
      <c r="I2955" s="2" t="s">
        <v>16</v>
      </c>
      <c r="J2955" s="2" t="s">
        <v>16</v>
      </c>
      <c r="K2955" s="2" t="s">
        <v>24</v>
      </c>
      <c r="L2955" s="7">
        <v>2239.65</v>
      </c>
      <c r="M2955" s="2" t="str">
        <f>_xlfn.IFS(TelecomData[[#This Row],[TenureMonths]]&lt;=12, "0-1 Year", TelecomData[[#This Row],[TenureMonths]]&lt;=36, "1-3 Years", TelecomData[[#This Row],[TenureMonths]]&gt;36, "3+ Years")</f>
        <v>1-3 Years</v>
      </c>
      <c r="N2955" s="2" t="str">
        <f>IF(TelecomData[[#This Row],[CleanedTotalCharges]]&gt;=2500,"High Spend", "Standard Spend")</f>
        <v>Standard Spend</v>
      </c>
    </row>
    <row r="2956" spans="1:14" x14ac:dyDescent="0.3">
      <c r="A2956" s="1" t="s">
        <v>2980</v>
      </c>
      <c r="B2956" s="2" t="s">
        <v>12</v>
      </c>
      <c r="C2956" s="2" t="s">
        <v>13</v>
      </c>
      <c r="D2956" s="2">
        <v>7</v>
      </c>
      <c r="E2956" s="2" t="s">
        <v>26</v>
      </c>
      <c r="F2956" s="2" t="s">
        <v>15</v>
      </c>
      <c r="G2956" s="7">
        <v>75.45</v>
      </c>
      <c r="H2956" s="7">
        <v>480.75</v>
      </c>
      <c r="I2956" s="2" t="s">
        <v>16</v>
      </c>
      <c r="J2956" s="2" t="s">
        <v>15</v>
      </c>
      <c r="K2956" s="2" t="s">
        <v>21</v>
      </c>
      <c r="L2956" s="7">
        <v>480.75</v>
      </c>
      <c r="M2956" s="2" t="str">
        <f>_xlfn.IFS(TelecomData[[#This Row],[TenureMonths]]&lt;=12, "0-1 Year", TelecomData[[#This Row],[TenureMonths]]&lt;=36, "1-3 Years", TelecomData[[#This Row],[TenureMonths]]&gt;36, "3+ Years")</f>
        <v>0-1 Year</v>
      </c>
      <c r="N2956" s="2" t="str">
        <f>IF(TelecomData[[#This Row],[CleanedTotalCharges]]&gt;=2500,"High Spend", "Standard Spend")</f>
        <v>Standard Spend</v>
      </c>
    </row>
    <row r="2957" spans="1:14" x14ac:dyDescent="0.3">
      <c r="A2957" s="1" t="s">
        <v>2981</v>
      </c>
      <c r="B2957" s="2" t="s">
        <v>19</v>
      </c>
      <c r="C2957" s="2" t="s">
        <v>13</v>
      </c>
      <c r="D2957" s="2">
        <v>7</v>
      </c>
      <c r="E2957" s="2" t="s">
        <v>26</v>
      </c>
      <c r="F2957" s="2" t="s">
        <v>15</v>
      </c>
      <c r="G2957" s="7">
        <v>93.85</v>
      </c>
      <c r="H2957" s="7">
        <v>635.6</v>
      </c>
      <c r="I2957" s="2" t="s">
        <v>16</v>
      </c>
      <c r="J2957" s="2" t="s">
        <v>16</v>
      </c>
      <c r="K2957" s="2" t="s">
        <v>17</v>
      </c>
      <c r="L2957" s="7">
        <v>635.6</v>
      </c>
      <c r="M2957" s="2" t="str">
        <f>_xlfn.IFS(TelecomData[[#This Row],[TenureMonths]]&lt;=12, "0-1 Year", TelecomData[[#This Row],[TenureMonths]]&lt;=36, "1-3 Years", TelecomData[[#This Row],[TenureMonths]]&gt;36, "3+ Years")</f>
        <v>0-1 Year</v>
      </c>
      <c r="N2957" s="2" t="str">
        <f>IF(TelecomData[[#This Row],[CleanedTotalCharges]]&gt;=2500,"High Spend", "Standard Spend")</f>
        <v>Standard Spend</v>
      </c>
    </row>
    <row r="2958" spans="1:14" x14ac:dyDescent="0.3">
      <c r="A2958" s="1" t="s">
        <v>2982</v>
      </c>
      <c r="B2958" s="2" t="s">
        <v>19</v>
      </c>
      <c r="C2958" s="2" t="s">
        <v>13</v>
      </c>
      <c r="D2958" s="2">
        <v>51</v>
      </c>
      <c r="E2958" s="2" t="s">
        <v>26</v>
      </c>
      <c r="F2958" s="2" t="s">
        <v>15</v>
      </c>
      <c r="G2958" s="7">
        <v>99</v>
      </c>
      <c r="H2958" s="7">
        <v>5038.1499999999996</v>
      </c>
      <c r="I2958" s="2" t="s">
        <v>15</v>
      </c>
      <c r="J2958" s="2" t="s">
        <v>16</v>
      </c>
      <c r="K2958" s="2" t="s">
        <v>17</v>
      </c>
      <c r="L2958" s="7">
        <v>5038.1499999999996</v>
      </c>
      <c r="M2958" s="2" t="str">
        <f>_xlfn.IFS(TelecomData[[#This Row],[TenureMonths]]&lt;=12, "0-1 Year", TelecomData[[#This Row],[TenureMonths]]&lt;=36, "1-3 Years", TelecomData[[#This Row],[TenureMonths]]&gt;36, "3+ Years")</f>
        <v>3+ Years</v>
      </c>
      <c r="N2958" s="2" t="str">
        <f>IF(TelecomData[[#This Row],[CleanedTotalCharges]]&gt;=2500,"High Spend", "Standard Spend")</f>
        <v>High Spend</v>
      </c>
    </row>
    <row r="2959" spans="1:14" x14ac:dyDescent="0.3">
      <c r="A2959" s="1" t="s">
        <v>2983</v>
      </c>
      <c r="B2959" s="2" t="s">
        <v>12</v>
      </c>
      <c r="C2959" s="2" t="s">
        <v>13</v>
      </c>
      <c r="D2959" s="2">
        <v>4</v>
      </c>
      <c r="E2959" s="2" t="s">
        <v>26</v>
      </c>
      <c r="F2959" s="2" t="s">
        <v>15</v>
      </c>
      <c r="G2959" s="7">
        <v>80.3</v>
      </c>
      <c r="H2959" s="7">
        <v>324.2</v>
      </c>
      <c r="I2959" s="2" t="s">
        <v>15</v>
      </c>
      <c r="J2959" s="2" t="s">
        <v>16</v>
      </c>
      <c r="K2959" s="2" t="s">
        <v>21</v>
      </c>
      <c r="L2959" s="7">
        <v>324.2</v>
      </c>
      <c r="M2959" s="2" t="str">
        <f>_xlfn.IFS(TelecomData[[#This Row],[TenureMonths]]&lt;=12, "0-1 Year", TelecomData[[#This Row],[TenureMonths]]&lt;=36, "1-3 Years", TelecomData[[#This Row],[TenureMonths]]&gt;36, "3+ Years")</f>
        <v>0-1 Year</v>
      </c>
      <c r="N2959" s="2" t="str">
        <f>IF(TelecomData[[#This Row],[CleanedTotalCharges]]&gt;=2500,"High Spend", "Standard Spend")</f>
        <v>Standard Spend</v>
      </c>
    </row>
    <row r="2960" spans="1:14" x14ac:dyDescent="0.3">
      <c r="A2960" s="1" t="s">
        <v>2984</v>
      </c>
      <c r="B2960" s="2" t="s">
        <v>12</v>
      </c>
      <c r="C2960" s="2" t="s">
        <v>13</v>
      </c>
      <c r="D2960" s="2">
        <v>1</v>
      </c>
      <c r="E2960" s="2" t="s">
        <v>15</v>
      </c>
      <c r="F2960" s="2" t="s">
        <v>36</v>
      </c>
      <c r="G2960" s="7">
        <v>19.55</v>
      </c>
      <c r="H2960" s="7">
        <v>19.55</v>
      </c>
      <c r="I2960" s="2" t="s">
        <v>15</v>
      </c>
      <c r="J2960" s="2" t="s">
        <v>15</v>
      </c>
      <c r="K2960" s="2" t="s">
        <v>29</v>
      </c>
      <c r="L2960" s="7">
        <v>19.55</v>
      </c>
      <c r="M2960" s="2" t="str">
        <f>_xlfn.IFS(TelecomData[[#This Row],[TenureMonths]]&lt;=12, "0-1 Year", TelecomData[[#This Row],[TenureMonths]]&lt;=36, "1-3 Years", TelecomData[[#This Row],[TenureMonths]]&gt;36, "3+ Years")</f>
        <v>0-1 Year</v>
      </c>
      <c r="N2960" s="2" t="str">
        <f>IF(TelecomData[[#This Row],[CleanedTotalCharges]]&gt;=2500,"High Spend", "Standard Spend")</f>
        <v>Standard Spend</v>
      </c>
    </row>
    <row r="2961" spans="1:14" x14ac:dyDescent="0.3">
      <c r="A2961" s="1" t="s">
        <v>2985</v>
      </c>
      <c r="B2961" s="2" t="s">
        <v>19</v>
      </c>
      <c r="C2961" s="2" t="s">
        <v>13</v>
      </c>
      <c r="D2961" s="2">
        <v>27</v>
      </c>
      <c r="E2961" s="2" t="s">
        <v>26</v>
      </c>
      <c r="F2961" s="2" t="s">
        <v>16</v>
      </c>
      <c r="G2961" s="7">
        <v>100.75</v>
      </c>
      <c r="H2961" s="7">
        <v>2793.55</v>
      </c>
      <c r="I2961" s="2" t="s">
        <v>15</v>
      </c>
      <c r="J2961" s="2" t="s">
        <v>15</v>
      </c>
      <c r="K2961" s="2" t="s">
        <v>17</v>
      </c>
      <c r="L2961" s="7">
        <v>2793.55</v>
      </c>
      <c r="M2961" s="2" t="str">
        <f>_xlfn.IFS(TelecomData[[#This Row],[TenureMonths]]&lt;=12, "0-1 Year", TelecomData[[#This Row],[TenureMonths]]&lt;=36, "1-3 Years", TelecomData[[#This Row],[TenureMonths]]&gt;36, "3+ Years")</f>
        <v>1-3 Years</v>
      </c>
      <c r="N2961" s="2" t="str">
        <f>IF(TelecomData[[#This Row],[CleanedTotalCharges]]&gt;=2500,"High Spend", "Standard Spend")</f>
        <v>High Spend</v>
      </c>
    </row>
    <row r="2962" spans="1:14" x14ac:dyDescent="0.3">
      <c r="A2962" s="1" t="s">
        <v>2986</v>
      </c>
      <c r="B2962" s="2" t="s">
        <v>19</v>
      </c>
      <c r="C2962" s="2" t="s">
        <v>13</v>
      </c>
      <c r="D2962" s="2">
        <v>22</v>
      </c>
      <c r="E2962" s="2" t="s">
        <v>26</v>
      </c>
      <c r="F2962" s="2" t="s">
        <v>15</v>
      </c>
      <c r="G2962" s="7">
        <v>100.75</v>
      </c>
      <c r="H2962" s="7">
        <v>2095</v>
      </c>
      <c r="I2962" s="2" t="s">
        <v>16</v>
      </c>
      <c r="J2962" s="2" t="s">
        <v>16</v>
      </c>
      <c r="K2962" s="2" t="s">
        <v>17</v>
      </c>
      <c r="L2962" s="7">
        <v>2095</v>
      </c>
      <c r="M2962" s="2" t="str">
        <f>_xlfn.IFS(TelecomData[[#This Row],[TenureMonths]]&lt;=12, "0-1 Year", TelecomData[[#This Row],[TenureMonths]]&lt;=36, "1-3 Years", TelecomData[[#This Row],[TenureMonths]]&gt;36, "3+ Years")</f>
        <v>1-3 Years</v>
      </c>
      <c r="N2962" s="2" t="str">
        <f>IF(TelecomData[[#This Row],[CleanedTotalCharges]]&gt;=2500,"High Spend", "Standard Spend")</f>
        <v>Standard Spend</v>
      </c>
    </row>
    <row r="2963" spans="1:14" x14ac:dyDescent="0.3">
      <c r="A2963" s="1" t="s">
        <v>2987</v>
      </c>
      <c r="B2963" s="2" t="s">
        <v>19</v>
      </c>
      <c r="C2963" s="2" t="s">
        <v>13</v>
      </c>
      <c r="D2963" s="2">
        <v>12</v>
      </c>
      <c r="E2963" s="2" t="s">
        <v>14</v>
      </c>
      <c r="F2963" s="2" t="s">
        <v>16</v>
      </c>
      <c r="G2963" s="7">
        <v>53.75</v>
      </c>
      <c r="H2963" s="7">
        <v>648.65</v>
      </c>
      <c r="I2963" s="2" t="s">
        <v>15</v>
      </c>
      <c r="J2963" s="2" t="s">
        <v>16</v>
      </c>
      <c r="K2963" s="2" t="s">
        <v>21</v>
      </c>
      <c r="L2963" s="7">
        <v>648.65</v>
      </c>
      <c r="M2963" s="2" t="str">
        <f>_xlfn.IFS(TelecomData[[#This Row],[TenureMonths]]&lt;=12, "0-1 Year", TelecomData[[#This Row],[TenureMonths]]&lt;=36, "1-3 Years", TelecomData[[#This Row],[TenureMonths]]&gt;36, "3+ Years")</f>
        <v>0-1 Year</v>
      </c>
      <c r="N2963" s="2" t="str">
        <f>IF(TelecomData[[#This Row],[CleanedTotalCharges]]&gt;=2500,"High Spend", "Standard Spend")</f>
        <v>Standard Spend</v>
      </c>
    </row>
    <row r="2964" spans="1:14" x14ac:dyDescent="0.3">
      <c r="A2964" s="1" t="s">
        <v>2988</v>
      </c>
      <c r="B2964" s="2" t="s">
        <v>12</v>
      </c>
      <c r="C2964" s="2" t="s">
        <v>13</v>
      </c>
      <c r="D2964" s="2">
        <v>3</v>
      </c>
      <c r="E2964" s="2" t="s">
        <v>14</v>
      </c>
      <c r="F2964" s="2" t="s">
        <v>16</v>
      </c>
      <c r="G2964" s="7">
        <v>31</v>
      </c>
      <c r="H2964" s="7">
        <v>95.05</v>
      </c>
      <c r="I2964" s="2" t="s">
        <v>16</v>
      </c>
      <c r="J2964" s="2" t="s">
        <v>16</v>
      </c>
      <c r="K2964" s="2" t="s">
        <v>21</v>
      </c>
      <c r="L2964" s="7">
        <v>95.05</v>
      </c>
      <c r="M2964" s="2" t="str">
        <f>_xlfn.IFS(TelecomData[[#This Row],[TenureMonths]]&lt;=12, "0-1 Year", TelecomData[[#This Row],[TenureMonths]]&lt;=36, "1-3 Years", TelecomData[[#This Row],[TenureMonths]]&gt;36, "3+ Years")</f>
        <v>0-1 Year</v>
      </c>
      <c r="N2964" s="2" t="str">
        <f>IF(TelecomData[[#This Row],[CleanedTotalCharges]]&gt;=2500,"High Spend", "Standard Spend")</f>
        <v>Standard Spend</v>
      </c>
    </row>
    <row r="2965" spans="1:14" x14ac:dyDescent="0.3">
      <c r="A2965" s="1" t="s">
        <v>2989</v>
      </c>
      <c r="B2965" s="2" t="s">
        <v>12</v>
      </c>
      <c r="C2965" s="2" t="s">
        <v>20</v>
      </c>
      <c r="D2965" s="2">
        <v>34</v>
      </c>
      <c r="E2965" s="2" t="s">
        <v>15</v>
      </c>
      <c r="F2965" s="2" t="s">
        <v>36</v>
      </c>
      <c r="G2965" s="7">
        <v>25.6</v>
      </c>
      <c r="H2965" s="7">
        <v>917.15</v>
      </c>
      <c r="I2965" s="2" t="s">
        <v>15</v>
      </c>
      <c r="J2965" s="2" t="s">
        <v>16</v>
      </c>
      <c r="K2965" s="2" t="s">
        <v>29</v>
      </c>
      <c r="L2965" s="7">
        <v>917.15</v>
      </c>
      <c r="M2965" s="2" t="str">
        <f>_xlfn.IFS(TelecomData[[#This Row],[TenureMonths]]&lt;=12, "0-1 Year", TelecomData[[#This Row],[TenureMonths]]&lt;=36, "1-3 Years", TelecomData[[#This Row],[TenureMonths]]&gt;36, "3+ Years")</f>
        <v>1-3 Years</v>
      </c>
      <c r="N2965" s="2" t="str">
        <f>IF(TelecomData[[#This Row],[CleanedTotalCharges]]&gt;=2500,"High Spend", "Standard Spend")</f>
        <v>Standard Spend</v>
      </c>
    </row>
    <row r="2966" spans="1:14" x14ac:dyDescent="0.3">
      <c r="A2966" s="1" t="s">
        <v>2990</v>
      </c>
      <c r="B2966" s="2" t="s">
        <v>19</v>
      </c>
      <c r="C2966" s="2" t="s">
        <v>20</v>
      </c>
      <c r="D2966" s="2">
        <v>24</v>
      </c>
      <c r="E2966" s="2" t="s">
        <v>14</v>
      </c>
      <c r="F2966" s="2" t="s">
        <v>16</v>
      </c>
      <c r="G2966" s="7">
        <v>58.35</v>
      </c>
      <c r="H2966" s="7">
        <v>1346.9</v>
      </c>
      <c r="I2966" s="2" t="s">
        <v>15</v>
      </c>
      <c r="J2966" s="2" t="s">
        <v>16</v>
      </c>
      <c r="K2966" s="2" t="s">
        <v>17</v>
      </c>
      <c r="L2966" s="7">
        <v>1346.9</v>
      </c>
      <c r="M2966" s="2" t="str">
        <f>_xlfn.IFS(TelecomData[[#This Row],[TenureMonths]]&lt;=12, "0-1 Year", TelecomData[[#This Row],[TenureMonths]]&lt;=36, "1-3 Years", TelecomData[[#This Row],[TenureMonths]]&gt;36, "3+ Years")</f>
        <v>1-3 Years</v>
      </c>
      <c r="N2966" s="2" t="str">
        <f>IF(TelecomData[[#This Row],[CleanedTotalCharges]]&gt;=2500,"High Spend", "Standard Spend")</f>
        <v>Standard Spend</v>
      </c>
    </row>
    <row r="2967" spans="1:14" x14ac:dyDescent="0.3">
      <c r="A2967" s="1" t="s">
        <v>2991</v>
      </c>
      <c r="B2967" s="2" t="s">
        <v>19</v>
      </c>
      <c r="C2967" s="2" t="s">
        <v>13</v>
      </c>
      <c r="D2967" s="2">
        <v>51</v>
      </c>
      <c r="E2967" s="2" t="s">
        <v>26</v>
      </c>
      <c r="F2967" s="2" t="s">
        <v>15</v>
      </c>
      <c r="G2967" s="7">
        <v>80</v>
      </c>
      <c r="H2967" s="7">
        <v>4242.3500000000004</v>
      </c>
      <c r="I2967" s="2" t="s">
        <v>16</v>
      </c>
      <c r="J2967" s="2" t="s">
        <v>15</v>
      </c>
      <c r="K2967" s="2" t="s">
        <v>29</v>
      </c>
      <c r="L2967" s="7">
        <v>4242.3500000000004</v>
      </c>
      <c r="M2967" s="2" t="str">
        <f>_xlfn.IFS(TelecomData[[#This Row],[TenureMonths]]&lt;=12, "0-1 Year", TelecomData[[#This Row],[TenureMonths]]&lt;=36, "1-3 Years", TelecomData[[#This Row],[TenureMonths]]&gt;36, "3+ Years")</f>
        <v>3+ Years</v>
      </c>
      <c r="N2967" s="2" t="str">
        <f>IF(TelecomData[[#This Row],[CleanedTotalCharges]]&gt;=2500,"High Spend", "Standard Spend")</f>
        <v>High Spend</v>
      </c>
    </row>
    <row r="2968" spans="1:14" x14ac:dyDescent="0.3">
      <c r="A2968" s="1" t="s">
        <v>2992</v>
      </c>
      <c r="B2968" s="2" t="s">
        <v>12</v>
      </c>
      <c r="C2968" s="2" t="s">
        <v>13</v>
      </c>
      <c r="D2968" s="2">
        <v>14</v>
      </c>
      <c r="E2968" s="2" t="s">
        <v>14</v>
      </c>
      <c r="F2968" s="2" t="s">
        <v>15</v>
      </c>
      <c r="G2968" s="7">
        <v>46.35</v>
      </c>
      <c r="H2968" s="7">
        <v>672.7</v>
      </c>
      <c r="I2968" s="2" t="s">
        <v>15</v>
      </c>
      <c r="J2968" s="2" t="s">
        <v>16</v>
      </c>
      <c r="K2968" s="2" t="s">
        <v>17</v>
      </c>
      <c r="L2968" s="7">
        <v>672.7</v>
      </c>
      <c r="M2968" s="2" t="str">
        <f>_xlfn.IFS(TelecomData[[#This Row],[TenureMonths]]&lt;=12, "0-1 Year", TelecomData[[#This Row],[TenureMonths]]&lt;=36, "1-3 Years", TelecomData[[#This Row],[TenureMonths]]&gt;36, "3+ Years")</f>
        <v>1-3 Years</v>
      </c>
      <c r="N2968" s="2" t="str">
        <f>IF(TelecomData[[#This Row],[CleanedTotalCharges]]&gt;=2500,"High Spend", "Standard Spend")</f>
        <v>Standard Spend</v>
      </c>
    </row>
    <row r="2969" spans="1:14" x14ac:dyDescent="0.3">
      <c r="A2969" s="1" t="s">
        <v>2993</v>
      </c>
      <c r="B2969" s="2" t="s">
        <v>19</v>
      </c>
      <c r="C2969" s="2" t="s">
        <v>35</v>
      </c>
      <c r="D2969" s="2">
        <v>59</v>
      </c>
      <c r="E2969" s="2" t="s">
        <v>26</v>
      </c>
      <c r="F2969" s="2" t="s">
        <v>16</v>
      </c>
      <c r="G2969" s="7">
        <v>113.75</v>
      </c>
      <c r="H2969" s="7">
        <v>6561.25</v>
      </c>
      <c r="I2969" s="2" t="s">
        <v>15</v>
      </c>
      <c r="J2969" s="2" t="s">
        <v>15</v>
      </c>
      <c r="K2969" s="2" t="s">
        <v>17</v>
      </c>
      <c r="L2969" s="7">
        <v>6561.25</v>
      </c>
      <c r="M2969" s="2" t="str">
        <f>_xlfn.IFS(TelecomData[[#This Row],[TenureMonths]]&lt;=12, "0-1 Year", TelecomData[[#This Row],[TenureMonths]]&lt;=36, "1-3 Years", TelecomData[[#This Row],[TenureMonths]]&gt;36, "3+ Years")</f>
        <v>3+ Years</v>
      </c>
      <c r="N2969" s="2" t="str">
        <f>IF(TelecomData[[#This Row],[CleanedTotalCharges]]&gt;=2500,"High Spend", "Standard Spend")</f>
        <v>High Spend</v>
      </c>
    </row>
    <row r="2970" spans="1:14" x14ac:dyDescent="0.3">
      <c r="A2970" s="1" t="s">
        <v>2994</v>
      </c>
      <c r="B2970" s="2" t="s">
        <v>19</v>
      </c>
      <c r="C2970" s="2" t="s">
        <v>13</v>
      </c>
      <c r="D2970" s="2">
        <v>3</v>
      </c>
      <c r="E2970" s="2" t="s">
        <v>26</v>
      </c>
      <c r="F2970" s="2" t="s">
        <v>15</v>
      </c>
      <c r="G2970" s="7">
        <v>90.4</v>
      </c>
      <c r="H2970" s="7">
        <v>268.45</v>
      </c>
      <c r="I2970" s="2" t="s">
        <v>15</v>
      </c>
      <c r="J2970" s="2" t="s">
        <v>15</v>
      </c>
      <c r="K2970" s="2" t="s">
        <v>17</v>
      </c>
      <c r="L2970" s="7">
        <v>268.45</v>
      </c>
      <c r="M2970" s="2" t="str">
        <f>_xlfn.IFS(TelecomData[[#This Row],[TenureMonths]]&lt;=12, "0-1 Year", TelecomData[[#This Row],[TenureMonths]]&lt;=36, "1-3 Years", TelecomData[[#This Row],[TenureMonths]]&gt;36, "3+ Years")</f>
        <v>0-1 Year</v>
      </c>
      <c r="N2970" s="2" t="str">
        <f>IF(TelecomData[[#This Row],[CleanedTotalCharges]]&gt;=2500,"High Spend", "Standard Spend")</f>
        <v>Standard Spend</v>
      </c>
    </row>
    <row r="2971" spans="1:14" x14ac:dyDescent="0.3">
      <c r="A2971" s="1" t="s">
        <v>2995</v>
      </c>
      <c r="B2971" s="2" t="s">
        <v>12</v>
      </c>
      <c r="C2971" s="2" t="s">
        <v>35</v>
      </c>
      <c r="D2971" s="2">
        <v>65</v>
      </c>
      <c r="E2971" s="2" t="s">
        <v>26</v>
      </c>
      <c r="F2971" s="2" t="s">
        <v>16</v>
      </c>
      <c r="G2971" s="7">
        <v>109.3</v>
      </c>
      <c r="H2971" s="7">
        <v>7337.55</v>
      </c>
      <c r="I2971" s="2" t="s">
        <v>15</v>
      </c>
      <c r="J2971" s="2" t="s">
        <v>15</v>
      </c>
      <c r="K2971" s="2" t="s">
        <v>17</v>
      </c>
      <c r="L2971" s="7">
        <v>7337.55</v>
      </c>
      <c r="M2971" s="2" t="str">
        <f>_xlfn.IFS(TelecomData[[#This Row],[TenureMonths]]&lt;=12, "0-1 Year", TelecomData[[#This Row],[TenureMonths]]&lt;=36, "1-3 Years", TelecomData[[#This Row],[TenureMonths]]&gt;36, "3+ Years")</f>
        <v>3+ Years</v>
      </c>
      <c r="N2971" s="2" t="str">
        <f>IF(TelecomData[[#This Row],[CleanedTotalCharges]]&gt;=2500,"High Spend", "Standard Spend")</f>
        <v>High Spend</v>
      </c>
    </row>
    <row r="2972" spans="1:14" x14ac:dyDescent="0.3">
      <c r="A2972" s="1" t="s">
        <v>2996</v>
      </c>
      <c r="B2972" s="2" t="s">
        <v>19</v>
      </c>
      <c r="C2972" s="2" t="s">
        <v>13</v>
      </c>
      <c r="D2972" s="2">
        <v>5</v>
      </c>
      <c r="E2972" s="2" t="s">
        <v>26</v>
      </c>
      <c r="F2972" s="2" t="s">
        <v>15</v>
      </c>
      <c r="G2972" s="7">
        <v>70.25</v>
      </c>
      <c r="H2972" s="7">
        <v>331.9</v>
      </c>
      <c r="I2972" s="2" t="s">
        <v>16</v>
      </c>
      <c r="J2972" s="2" t="s">
        <v>16</v>
      </c>
      <c r="K2972" s="2" t="s">
        <v>21</v>
      </c>
      <c r="L2972" s="7">
        <v>331.9</v>
      </c>
      <c r="M2972" s="2" t="str">
        <f>_xlfn.IFS(TelecomData[[#This Row],[TenureMonths]]&lt;=12, "0-1 Year", TelecomData[[#This Row],[TenureMonths]]&lt;=36, "1-3 Years", TelecomData[[#This Row],[TenureMonths]]&gt;36, "3+ Years")</f>
        <v>0-1 Year</v>
      </c>
      <c r="N2972" s="2" t="str">
        <f>IF(TelecomData[[#This Row],[CleanedTotalCharges]]&gt;=2500,"High Spend", "Standard Spend")</f>
        <v>Standard Spend</v>
      </c>
    </row>
    <row r="2973" spans="1:14" x14ac:dyDescent="0.3">
      <c r="A2973" s="1" t="s">
        <v>2997</v>
      </c>
      <c r="B2973" s="2" t="s">
        <v>12</v>
      </c>
      <c r="C2973" s="2" t="s">
        <v>35</v>
      </c>
      <c r="D2973" s="2">
        <v>59</v>
      </c>
      <c r="E2973" s="2" t="s">
        <v>14</v>
      </c>
      <c r="F2973" s="2" t="s">
        <v>16</v>
      </c>
      <c r="G2973" s="7">
        <v>90.3</v>
      </c>
      <c r="H2973" s="7">
        <v>5194.05</v>
      </c>
      <c r="I2973" s="2" t="s">
        <v>15</v>
      </c>
      <c r="J2973" s="2" t="s">
        <v>15</v>
      </c>
      <c r="K2973" s="2" t="s">
        <v>29</v>
      </c>
      <c r="L2973" s="7">
        <v>5194.05</v>
      </c>
      <c r="M2973" s="2" t="str">
        <f>_xlfn.IFS(TelecomData[[#This Row],[TenureMonths]]&lt;=12, "0-1 Year", TelecomData[[#This Row],[TenureMonths]]&lt;=36, "1-3 Years", TelecomData[[#This Row],[TenureMonths]]&gt;36, "3+ Years")</f>
        <v>3+ Years</v>
      </c>
      <c r="N2973" s="2" t="str">
        <f>IF(TelecomData[[#This Row],[CleanedTotalCharges]]&gt;=2500,"High Spend", "Standard Spend")</f>
        <v>High Spend</v>
      </c>
    </row>
    <row r="2974" spans="1:14" x14ac:dyDescent="0.3">
      <c r="A2974" s="1" t="s">
        <v>2998</v>
      </c>
      <c r="B2974" s="2" t="s">
        <v>19</v>
      </c>
      <c r="C2974" s="2" t="s">
        <v>35</v>
      </c>
      <c r="D2974" s="2">
        <v>72</v>
      </c>
      <c r="E2974" s="2" t="s">
        <v>14</v>
      </c>
      <c r="F2974" s="2" t="s">
        <v>16</v>
      </c>
      <c r="G2974" s="7">
        <v>65.25</v>
      </c>
      <c r="H2974" s="7">
        <v>4478.8500000000004</v>
      </c>
      <c r="I2974" s="2" t="s">
        <v>15</v>
      </c>
      <c r="J2974" s="2" t="s">
        <v>16</v>
      </c>
      <c r="K2974" s="2" t="s">
        <v>29</v>
      </c>
      <c r="L2974" s="7">
        <v>4478.8500000000004</v>
      </c>
      <c r="M2974" s="2" t="str">
        <f>_xlfn.IFS(TelecomData[[#This Row],[TenureMonths]]&lt;=12, "0-1 Year", TelecomData[[#This Row],[TenureMonths]]&lt;=36, "1-3 Years", TelecomData[[#This Row],[TenureMonths]]&gt;36, "3+ Years")</f>
        <v>3+ Years</v>
      </c>
      <c r="N2974" s="2" t="str">
        <f>IF(TelecomData[[#This Row],[CleanedTotalCharges]]&gt;=2500,"High Spend", "Standard Spend")</f>
        <v>High Spend</v>
      </c>
    </row>
    <row r="2975" spans="1:14" x14ac:dyDescent="0.3">
      <c r="A2975" s="1" t="s">
        <v>2999</v>
      </c>
      <c r="B2975" s="2" t="s">
        <v>12</v>
      </c>
      <c r="C2975" s="2" t="s">
        <v>13</v>
      </c>
      <c r="D2975" s="2">
        <v>62</v>
      </c>
      <c r="E2975" s="2" t="s">
        <v>26</v>
      </c>
      <c r="F2975" s="2" t="s">
        <v>15</v>
      </c>
      <c r="G2975" s="7">
        <v>100.15</v>
      </c>
      <c r="H2975" s="7">
        <v>6283.3</v>
      </c>
      <c r="I2975" s="2" t="s">
        <v>16</v>
      </c>
      <c r="J2975" s="2" t="s">
        <v>16</v>
      </c>
      <c r="K2975" s="2" t="s">
        <v>17</v>
      </c>
      <c r="L2975" s="7">
        <v>6283.3</v>
      </c>
      <c r="M2975" s="2" t="str">
        <f>_xlfn.IFS(TelecomData[[#This Row],[TenureMonths]]&lt;=12, "0-1 Year", TelecomData[[#This Row],[TenureMonths]]&lt;=36, "1-3 Years", TelecomData[[#This Row],[TenureMonths]]&gt;36, "3+ Years")</f>
        <v>3+ Years</v>
      </c>
      <c r="N2975" s="2" t="str">
        <f>IF(TelecomData[[#This Row],[CleanedTotalCharges]]&gt;=2500,"High Spend", "Standard Spend")</f>
        <v>High Spend</v>
      </c>
    </row>
    <row r="2976" spans="1:14" x14ac:dyDescent="0.3">
      <c r="A2976" s="1" t="s">
        <v>3000</v>
      </c>
      <c r="B2976" s="2" t="s">
        <v>19</v>
      </c>
      <c r="C2976" s="2" t="s">
        <v>13</v>
      </c>
      <c r="D2976" s="2">
        <v>28</v>
      </c>
      <c r="E2976" s="2" t="s">
        <v>26</v>
      </c>
      <c r="F2976" s="2" t="s">
        <v>15</v>
      </c>
      <c r="G2976" s="7">
        <v>94.5</v>
      </c>
      <c r="H2976" s="7">
        <v>2659.4</v>
      </c>
      <c r="I2976" s="2" t="s">
        <v>16</v>
      </c>
      <c r="J2976" s="2" t="s">
        <v>16</v>
      </c>
      <c r="K2976" s="2" t="s">
        <v>29</v>
      </c>
      <c r="L2976" s="7">
        <v>2659.4</v>
      </c>
      <c r="M2976" s="2" t="str">
        <f>_xlfn.IFS(TelecomData[[#This Row],[TenureMonths]]&lt;=12, "0-1 Year", TelecomData[[#This Row],[TenureMonths]]&lt;=36, "1-3 Years", TelecomData[[#This Row],[TenureMonths]]&gt;36, "3+ Years")</f>
        <v>1-3 Years</v>
      </c>
      <c r="N2976" s="2" t="str">
        <f>IF(TelecomData[[#This Row],[CleanedTotalCharges]]&gt;=2500,"High Spend", "Standard Spend")</f>
        <v>High Spend</v>
      </c>
    </row>
    <row r="2977" spans="1:14" x14ac:dyDescent="0.3">
      <c r="A2977" s="1" t="s">
        <v>3001</v>
      </c>
      <c r="B2977" s="2" t="s">
        <v>19</v>
      </c>
      <c r="C2977" s="2" t="s">
        <v>13</v>
      </c>
      <c r="D2977" s="2">
        <v>3</v>
      </c>
      <c r="E2977" s="2" t="s">
        <v>14</v>
      </c>
      <c r="F2977" s="2" t="s">
        <v>16</v>
      </c>
      <c r="G2977" s="7">
        <v>60.65</v>
      </c>
      <c r="H2977" s="7">
        <v>196.9</v>
      </c>
      <c r="I2977" s="2" t="s">
        <v>15</v>
      </c>
      <c r="J2977" s="2" t="s">
        <v>15</v>
      </c>
      <c r="K2977" s="2" t="s">
        <v>21</v>
      </c>
      <c r="L2977" s="7">
        <v>196.9</v>
      </c>
      <c r="M2977" s="2" t="str">
        <f>_xlfn.IFS(TelecomData[[#This Row],[TenureMonths]]&lt;=12, "0-1 Year", TelecomData[[#This Row],[TenureMonths]]&lt;=36, "1-3 Years", TelecomData[[#This Row],[TenureMonths]]&gt;36, "3+ Years")</f>
        <v>0-1 Year</v>
      </c>
      <c r="N2977" s="2" t="str">
        <f>IF(TelecomData[[#This Row],[CleanedTotalCharges]]&gt;=2500,"High Spend", "Standard Spend")</f>
        <v>Standard Spend</v>
      </c>
    </row>
    <row r="2978" spans="1:14" x14ac:dyDescent="0.3">
      <c r="A2978" s="1" t="s">
        <v>3002</v>
      </c>
      <c r="B2978" s="2" t="s">
        <v>19</v>
      </c>
      <c r="C2978" s="2" t="s">
        <v>13</v>
      </c>
      <c r="D2978" s="2">
        <v>19</v>
      </c>
      <c r="E2978" s="2" t="s">
        <v>15</v>
      </c>
      <c r="F2978" s="2" t="s">
        <v>36</v>
      </c>
      <c r="G2978" s="7">
        <v>24.1</v>
      </c>
      <c r="H2978" s="7">
        <v>439.2</v>
      </c>
      <c r="I2978" s="2" t="s">
        <v>15</v>
      </c>
      <c r="J2978" s="2" t="s">
        <v>16</v>
      </c>
      <c r="K2978" s="2" t="s">
        <v>29</v>
      </c>
      <c r="L2978" s="7">
        <v>439.2</v>
      </c>
      <c r="M2978" s="2" t="str">
        <f>_xlfn.IFS(TelecomData[[#This Row],[TenureMonths]]&lt;=12, "0-1 Year", TelecomData[[#This Row],[TenureMonths]]&lt;=36, "1-3 Years", TelecomData[[#This Row],[TenureMonths]]&gt;36, "3+ Years")</f>
        <v>1-3 Years</v>
      </c>
      <c r="N2978" s="2" t="str">
        <f>IF(TelecomData[[#This Row],[CleanedTotalCharges]]&gt;=2500,"High Spend", "Standard Spend")</f>
        <v>Standard Spend</v>
      </c>
    </row>
    <row r="2979" spans="1:14" x14ac:dyDescent="0.3">
      <c r="A2979" s="1" t="s">
        <v>3003</v>
      </c>
      <c r="B2979" s="2" t="s">
        <v>19</v>
      </c>
      <c r="C2979" s="2" t="s">
        <v>13</v>
      </c>
      <c r="D2979" s="2">
        <v>1</v>
      </c>
      <c r="E2979" s="2" t="s">
        <v>15</v>
      </c>
      <c r="F2979" s="2" t="s">
        <v>36</v>
      </c>
      <c r="G2979" s="7">
        <v>19.5</v>
      </c>
      <c r="H2979" s="7">
        <v>19.5</v>
      </c>
      <c r="I2979" s="2" t="s">
        <v>15</v>
      </c>
      <c r="J2979" s="2" t="s">
        <v>16</v>
      </c>
      <c r="K2979" s="2" t="s">
        <v>21</v>
      </c>
      <c r="L2979" s="7">
        <v>19.5</v>
      </c>
      <c r="M2979" s="2" t="str">
        <f>_xlfn.IFS(TelecomData[[#This Row],[TenureMonths]]&lt;=12, "0-1 Year", TelecomData[[#This Row],[TenureMonths]]&lt;=36, "1-3 Years", TelecomData[[#This Row],[TenureMonths]]&gt;36, "3+ Years")</f>
        <v>0-1 Year</v>
      </c>
      <c r="N2979" s="2" t="str">
        <f>IF(TelecomData[[#This Row],[CleanedTotalCharges]]&gt;=2500,"High Spend", "Standard Spend")</f>
        <v>Standard Spend</v>
      </c>
    </row>
    <row r="2980" spans="1:14" x14ac:dyDescent="0.3">
      <c r="A2980" s="1" t="s">
        <v>3004</v>
      </c>
      <c r="B2980" s="2" t="s">
        <v>19</v>
      </c>
      <c r="C2980" s="2" t="s">
        <v>13</v>
      </c>
      <c r="D2980" s="2">
        <v>24</v>
      </c>
      <c r="E2980" s="2" t="s">
        <v>26</v>
      </c>
      <c r="F2980" s="2" t="s">
        <v>16</v>
      </c>
      <c r="G2980" s="7">
        <v>85.95</v>
      </c>
      <c r="H2980" s="7">
        <v>2107.15</v>
      </c>
      <c r="I2980" s="2" t="s">
        <v>15</v>
      </c>
      <c r="J2980" s="2" t="s">
        <v>16</v>
      </c>
      <c r="K2980" s="2" t="s">
        <v>17</v>
      </c>
      <c r="L2980" s="7">
        <v>2107.15</v>
      </c>
      <c r="M2980" s="2" t="str">
        <f>_xlfn.IFS(TelecomData[[#This Row],[TenureMonths]]&lt;=12, "0-1 Year", TelecomData[[#This Row],[TenureMonths]]&lt;=36, "1-3 Years", TelecomData[[#This Row],[TenureMonths]]&gt;36, "3+ Years")</f>
        <v>1-3 Years</v>
      </c>
      <c r="N2980" s="2" t="str">
        <f>IF(TelecomData[[#This Row],[CleanedTotalCharges]]&gt;=2500,"High Spend", "Standard Spend")</f>
        <v>Standard Spend</v>
      </c>
    </row>
    <row r="2981" spans="1:14" x14ac:dyDescent="0.3">
      <c r="A2981" s="1" t="s">
        <v>3005</v>
      </c>
      <c r="B2981" s="2" t="s">
        <v>19</v>
      </c>
      <c r="C2981" s="2" t="s">
        <v>20</v>
      </c>
      <c r="D2981" s="2">
        <v>57</v>
      </c>
      <c r="E2981" s="2" t="s">
        <v>14</v>
      </c>
      <c r="F2981" s="2" t="s">
        <v>16</v>
      </c>
      <c r="G2981" s="7">
        <v>53.5</v>
      </c>
      <c r="H2981" s="7">
        <v>3035.8</v>
      </c>
      <c r="I2981" s="2" t="s">
        <v>15</v>
      </c>
      <c r="J2981" s="2" t="s">
        <v>16</v>
      </c>
      <c r="K2981" s="2" t="s">
        <v>17</v>
      </c>
      <c r="L2981" s="7">
        <v>3035.8</v>
      </c>
      <c r="M2981" s="2" t="str">
        <f>_xlfn.IFS(TelecomData[[#This Row],[TenureMonths]]&lt;=12, "0-1 Year", TelecomData[[#This Row],[TenureMonths]]&lt;=36, "1-3 Years", TelecomData[[#This Row],[TenureMonths]]&gt;36, "3+ Years")</f>
        <v>3+ Years</v>
      </c>
      <c r="N2981" s="2" t="str">
        <f>IF(TelecomData[[#This Row],[CleanedTotalCharges]]&gt;=2500,"High Spend", "Standard Spend")</f>
        <v>High Spend</v>
      </c>
    </row>
    <row r="2982" spans="1:14" x14ac:dyDescent="0.3">
      <c r="A2982" s="1" t="s">
        <v>3006</v>
      </c>
      <c r="B2982" s="2" t="s">
        <v>12</v>
      </c>
      <c r="C2982" s="2" t="s">
        <v>35</v>
      </c>
      <c r="D2982" s="2">
        <v>72</v>
      </c>
      <c r="E2982" s="2" t="s">
        <v>15</v>
      </c>
      <c r="F2982" s="2" t="s">
        <v>36</v>
      </c>
      <c r="G2982" s="7">
        <v>25.45</v>
      </c>
      <c r="H2982" s="7">
        <v>1866.45</v>
      </c>
      <c r="I2982" s="2" t="s">
        <v>15</v>
      </c>
      <c r="J2982" s="2" t="s">
        <v>15</v>
      </c>
      <c r="K2982" s="2" t="s">
        <v>29</v>
      </c>
      <c r="L2982" s="7">
        <v>1866.45</v>
      </c>
      <c r="M2982" s="2" t="str">
        <f>_xlfn.IFS(TelecomData[[#This Row],[TenureMonths]]&lt;=12, "0-1 Year", TelecomData[[#This Row],[TenureMonths]]&lt;=36, "1-3 Years", TelecomData[[#This Row],[TenureMonths]]&gt;36, "3+ Years")</f>
        <v>3+ Years</v>
      </c>
      <c r="N2982" s="2" t="str">
        <f>IF(TelecomData[[#This Row],[CleanedTotalCharges]]&gt;=2500,"High Spend", "Standard Spend")</f>
        <v>Standard Spend</v>
      </c>
    </row>
    <row r="2983" spans="1:14" x14ac:dyDescent="0.3">
      <c r="A2983" s="1" t="s">
        <v>3007</v>
      </c>
      <c r="B2983" s="2" t="s">
        <v>19</v>
      </c>
      <c r="C2983" s="2" t="s">
        <v>35</v>
      </c>
      <c r="D2983" s="2">
        <v>67</v>
      </c>
      <c r="E2983" s="2" t="s">
        <v>15</v>
      </c>
      <c r="F2983" s="2" t="s">
        <v>36</v>
      </c>
      <c r="G2983" s="7">
        <v>20.5</v>
      </c>
      <c r="H2983" s="7">
        <v>1430.95</v>
      </c>
      <c r="I2983" s="2" t="s">
        <v>15</v>
      </c>
      <c r="J2983" s="2" t="s">
        <v>15</v>
      </c>
      <c r="K2983" s="2" t="s">
        <v>24</v>
      </c>
      <c r="L2983" s="7">
        <v>1430.95</v>
      </c>
      <c r="M2983" s="2" t="str">
        <f>_xlfn.IFS(TelecomData[[#This Row],[TenureMonths]]&lt;=12, "0-1 Year", TelecomData[[#This Row],[TenureMonths]]&lt;=36, "1-3 Years", TelecomData[[#This Row],[TenureMonths]]&gt;36, "3+ Years")</f>
        <v>3+ Years</v>
      </c>
      <c r="N2983" s="2" t="str">
        <f>IF(TelecomData[[#This Row],[CleanedTotalCharges]]&gt;=2500,"High Spend", "Standard Spend")</f>
        <v>Standard Spend</v>
      </c>
    </row>
    <row r="2984" spans="1:14" x14ac:dyDescent="0.3">
      <c r="A2984" s="1" t="s">
        <v>3008</v>
      </c>
      <c r="B2984" s="2" t="s">
        <v>19</v>
      </c>
      <c r="C2984" s="2" t="s">
        <v>20</v>
      </c>
      <c r="D2984" s="2">
        <v>52</v>
      </c>
      <c r="E2984" s="2" t="s">
        <v>15</v>
      </c>
      <c r="F2984" s="2" t="s">
        <v>36</v>
      </c>
      <c r="G2984" s="7">
        <v>20.85</v>
      </c>
      <c r="H2984" s="7">
        <v>1071.5999999999999</v>
      </c>
      <c r="I2984" s="2" t="s">
        <v>15</v>
      </c>
      <c r="J2984" s="2" t="s">
        <v>16</v>
      </c>
      <c r="K2984" s="2" t="s">
        <v>29</v>
      </c>
      <c r="L2984" s="7">
        <v>1071.5999999999999</v>
      </c>
      <c r="M2984" s="2" t="str">
        <f>_xlfn.IFS(TelecomData[[#This Row],[TenureMonths]]&lt;=12, "0-1 Year", TelecomData[[#This Row],[TenureMonths]]&lt;=36, "1-3 Years", TelecomData[[#This Row],[TenureMonths]]&gt;36, "3+ Years")</f>
        <v>3+ Years</v>
      </c>
      <c r="N2984" s="2" t="str">
        <f>IF(TelecomData[[#This Row],[CleanedTotalCharges]]&gt;=2500,"High Spend", "Standard Spend")</f>
        <v>Standard Spend</v>
      </c>
    </row>
    <row r="2985" spans="1:14" x14ac:dyDescent="0.3">
      <c r="A2985" s="1" t="s">
        <v>3009</v>
      </c>
      <c r="B2985" s="2" t="s">
        <v>19</v>
      </c>
      <c r="C2985" s="2" t="s">
        <v>35</v>
      </c>
      <c r="D2985" s="2">
        <v>71</v>
      </c>
      <c r="E2985" s="2" t="s">
        <v>14</v>
      </c>
      <c r="F2985" s="2" t="s">
        <v>16</v>
      </c>
      <c r="G2985" s="7">
        <v>89.9</v>
      </c>
      <c r="H2985" s="7">
        <v>6457.15</v>
      </c>
      <c r="I2985" s="2" t="s">
        <v>15</v>
      </c>
      <c r="J2985" s="2" t="s">
        <v>15</v>
      </c>
      <c r="K2985" s="2" t="s">
        <v>29</v>
      </c>
      <c r="L2985" s="7">
        <v>6457.15</v>
      </c>
      <c r="M2985" s="2" t="str">
        <f>_xlfn.IFS(TelecomData[[#This Row],[TenureMonths]]&lt;=12, "0-1 Year", TelecomData[[#This Row],[TenureMonths]]&lt;=36, "1-3 Years", TelecomData[[#This Row],[TenureMonths]]&gt;36, "3+ Years")</f>
        <v>3+ Years</v>
      </c>
      <c r="N2985" s="2" t="str">
        <f>IF(TelecomData[[#This Row],[CleanedTotalCharges]]&gt;=2500,"High Spend", "Standard Spend")</f>
        <v>High Spend</v>
      </c>
    </row>
    <row r="2986" spans="1:14" x14ac:dyDescent="0.3">
      <c r="A2986" s="1" t="s">
        <v>3010</v>
      </c>
      <c r="B2986" s="2" t="s">
        <v>12</v>
      </c>
      <c r="C2986" s="2" t="s">
        <v>20</v>
      </c>
      <c r="D2986" s="2">
        <v>26</v>
      </c>
      <c r="E2986" s="2" t="s">
        <v>15</v>
      </c>
      <c r="F2986" s="2" t="s">
        <v>36</v>
      </c>
      <c r="G2986" s="7">
        <v>26</v>
      </c>
      <c r="H2986" s="7">
        <v>684.05</v>
      </c>
      <c r="I2986" s="2" t="s">
        <v>15</v>
      </c>
      <c r="J2986" s="2" t="s">
        <v>15</v>
      </c>
      <c r="K2986" s="2" t="s">
        <v>21</v>
      </c>
      <c r="L2986" s="7">
        <v>684.05</v>
      </c>
      <c r="M2986" s="2" t="str">
        <f>_xlfn.IFS(TelecomData[[#This Row],[TenureMonths]]&lt;=12, "0-1 Year", TelecomData[[#This Row],[TenureMonths]]&lt;=36, "1-3 Years", TelecomData[[#This Row],[TenureMonths]]&gt;36, "3+ Years")</f>
        <v>1-3 Years</v>
      </c>
      <c r="N2986" s="2" t="str">
        <f>IF(TelecomData[[#This Row],[CleanedTotalCharges]]&gt;=2500,"High Spend", "Standard Spend")</f>
        <v>Standard Spend</v>
      </c>
    </row>
    <row r="2987" spans="1:14" x14ac:dyDescent="0.3">
      <c r="A2987" s="1" t="s">
        <v>3011</v>
      </c>
      <c r="B2987" s="2" t="s">
        <v>12</v>
      </c>
      <c r="C2987" s="2" t="s">
        <v>35</v>
      </c>
      <c r="D2987" s="2">
        <v>35</v>
      </c>
      <c r="E2987" s="2" t="s">
        <v>26</v>
      </c>
      <c r="F2987" s="2" t="s">
        <v>16</v>
      </c>
      <c r="G2987" s="7">
        <v>113.2</v>
      </c>
      <c r="H2987" s="7">
        <v>3914.05</v>
      </c>
      <c r="I2987" s="2" t="s">
        <v>15</v>
      </c>
      <c r="J2987" s="2" t="s">
        <v>16</v>
      </c>
      <c r="K2987" s="2" t="s">
        <v>21</v>
      </c>
      <c r="L2987" s="7">
        <v>3914.05</v>
      </c>
      <c r="M2987" s="2" t="str">
        <f>_xlfn.IFS(TelecomData[[#This Row],[TenureMonths]]&lt;=12, "0-1 Year", TelecomData[[#This Row],[TenureMonths]]&lt;=36, "1-3 Years", TelecomData[[#This Row],[TenureMonths]]&gt;36, "3+ Years")</f>
        <v>1-3 Years</v>
      </c>
      <c r="N2987" s="2" t="str">
        <f>IF(TelecomData[[#This Row],[CleanedTotalCharges]]&gt;=2500,"High Spend", "Standard Spend")</f>
        <v>High Spend</v>
      </c>
    </row>
    <row r="2988" spans="1:14" x14ac:dyDescent="0.3">
      <c r="A2988" s="1" t="s">
        <v>3012</v>
      </c>
      <c r="B2988" s="2" t="s">
        <v>12</v>
      </c>
      <c r="C2988" s="2" t="s">
        <v>35</v>
      </c>
      <c r="D2988" s="2">
        <v>55</v>
      </c>
      <c r="E2988" s="2" t="s">
        <v>26</v>
      </c>
      <c r="F2988" s="2" t="s">
        <v>15</v>
      </c>
      <c r="G2988" s="7">
        <v>69.05</v>
      </c>
      <c r="H2988" s="7">
        <v>3842.6</v>
      </c>
      <c r="I2988" s="2" t="s">
        <v>15</v>
      </c>
      <c r="J2988" s="2" t="s">
        <v>16</v>
      </c>
      <c r="K2988" s="2" t="s">
        <v>29</v>
      </c>
      <c r="L2988" s="7">
        <v>3842.6</v>
      </c>
      <c r="M2988" s="2" t="str">
        <f>_xlfn.IFS(TelecomData[[#This Row],[TenureMonths]]&lt;=12, "0-1 Year", TelecomData[[#This Row],[TenureMonths]]&lt;=36, "1-3 Years", TelecomData[[#This Row],[TenureMonths]]&gt;36, "3+ Years")</f>
        <v>3+ Years</v>
      </c>
      <c r="N2988" s="2" t="str">
        <f>IF(TelecomData[[#This Row],[CleanedTotalCharges]]&gt;=2500,"High Spend", "Standard Spend")</f>
        <v>High Spend</v>
      </c>
    </row>
    <row r="2989" spans="1:14" x14ac:dyDescent="0.3">
      <c r="A2989" s="1" t="s">
        <v>3013</v>
      </c>
      <c r="B2989" s="2" t="s">
        <v>12</v>
      </c>
      <c r="C2989" s="2" t="s">
        <v>35</v>
      </c>
      <c r="D2989" s="2">
        <v>33</v>
      </c>
      <c r="E2989" s="2" t="s">
        <v>15</v>
      </c>
      <c r="F2989" s="2" t="s">
        <v>36</v>
      </c>
      <c r="G2989" s="7">
        <v>20.100000000000001</v>
      </c>
      <c r="H2989" s="7">
        <v>670.35</v>
      </c>
      <c r="I2989" s="2" t="s">
        <v>15</v>
      </c>
      <c r="J2989" s="2" t="s">
        <v>15</v>
      </c>
      <c r="K2989" s="2" t="s">
        <v>21</v>
      </c>
      <c r="L2989" s="7">
        <v>670.35</v>
      </c>
      <c r="M2989" s="2" t="str">
        <f>_xlfn.IFS(TelecomData[[#This Row],[TenureMonths]]&lt;=12, "0-1 Year", TelecomData[[#This Row],[TenureMonths]]&lt;=36, "1-3 Years", TelecomData[[#This Row],[TenureMonths]]&gt;36, "3+ Years")</f>
        <v>1-3 Years</v>
      </c>
      <c r="N2989" s="2" t="str">
        <f>IF(TelecomData[[#This Row],[CleanedTotalCharges]]&gt;=2500,"High Spend", "Standard Spend")</f>
        <v>Standard Spend</v>
      </c>
    </row>
    <row r="2990" spans="1:14" x14ac:dyDescent="0.3">
      <c r="A2990" s="1" t="s">
        <v>3014</v>
      </c>
      <c r="B2990" s="2" t="s">
        <v>19</v>
      </c>
      <c r="C2990" s="2" t="s">
        <v>35</v>
      </c>
      <c r="D2990" s="2">
        <v>72</v>
      </c>
      <c r="E2990" s="2" t="s">
        <v>26</v>
      </c>
      <c r="F2990" s="2" t="s">
        <v>15</v>
      </c>
      <c r="G2990" s="7">
        <v>109.65</v>
      </c>
      <c r="H2990" s="7">
        <v>7880.25</v>
      </c>
      <c r="I2990" s="2" t="s">
        <v>15</v>
      </c>
      <c r="J2990" s="2" t="s">
        <v>16</v>
      </c>
      <c r="K2990" s="2" t="s">
        <v>17</v>
      </c>
      <c r="L2990" s="7">
        <v>7880.25</v>
      </c>
      <c r="M2990" s="2" t="str">
        <f>_xlfn.IFS(TelecomData[[#This Row],[TenureMonths]]&lt;=12, "0-1 Year", TelecomData[[#This Row],[TenureMonths]]&lt;=36, "1-3 Years", TelecomData[[#This Row],[TenureMonths]]&gt;36, "3+ Years")</f>
        <v>3+ Years</v>
      </c>
      <c r="N2990" s="2" t="str">
        <f>IF(TelecomData[[#This Row],[CleanedTotalCharges]]&gt;=2500,"High Spend", "Standard Spend")</f>
        <v>High Spend</v>
      </c>
    </row>
    <row r="2991" spans="1:14" x14ac:dyDescent="0.3">
      <c r="A2991" s="1" t="s">
        <v>3015</v>
      </c>
      <c r="B2991" s="2" t="s">
        <v>19</v>
      </c>
      <c r="C2991" s="2" t="s">
        <v>13</v>
      </c>
      <c r="D2991" s="2">
        <v>1</v>
      </c>
      <c r="E2991" s="2" t="s">
        <v>15</v>
      </c>
      <c r="F2991" s="2" t="s">
        <v>36</v>
      </c>
      <c r="G2991" s="7">
        <v>19.2</v>
      </c>
      <c r="H2991" s="7">
        <v>19.2</v>
      </c>
      <c r="I2991" s="2" t="s">
        <v>15</v>
      </c>
      <c r="J2991" s="2" t="s">
        <v>16</v>
      </c>
      <c r="K2991" s="2" t="s">
        <v>21</v>
      </c>
      <c r="L2991" s="7">
        <v>19.2</v>
      </c>
      <c r="M2991" s="2" t="str">
        <f>_xlfn.IFS(TelecomData[[#This Row],[TenureMonths]]&lt;=12, "0-1 Year", TelecomData[[#This Row],[TenureMonths]]&lt;=36, "1-3 Years", TelecomData[[#This Row],[TenureMonths]]&gt;36, "3+ Years")</f>
        <v>0-1 Year</v>
      </c>
      <c r="N2991" s="2" t="str">
        <f>IF(TelecomData[[#This Row],[CleanedTotalCharges]]&gt;=2500,"High Spend", "Standard Spend")</f>
        <v>Standard Spend</v>
      </c>
    </row>
    <row r="2992" spans="1:14" x14ac:dyDescent="0.3">
      <c r="A2992" s="1" t="s">
        <v>3016</v>
      </c>
      <c r="B2992" s="2" t="s">
        <v>19</v>
      </c>
      <c r="C2992" s="2" t="s">
        <v>13</v>
      </c>
      <c r="D2992" s="2">
        <v>10</v>
      </c>
      <c r="E2992" s="2" t="s">
        <v>14</v>
      </c>
      <c r="F2992" s="2" t="s">
        <v>15</v>
      </c>
      <c r="G2992" s="7">
        <v>33.9</v>
      </c>
      <c r="H2992" s="7">
        <v>298.45</v>
      </c>
      <c r="I2992" s="2" t="s">
        <v>16</v>
      </c>
      <c r="J2992" s="2" t="s">
        <v>16</v>
      </c>
      <c r="K2992" s="2" t="s">
        <v>21</v>
      </c>
      <c r="L2992" s="7">
        <v>298.45</v>
      </c>
      <c r="M2992" s="2" t="str">
        <f>_xlfn.IFS(TelecomData[[#This Row],[TenureMonths]]&lt;=12, "0-1 Year", TelecomData[[#This Row],[TenureMonths]]&lt;=36, "1-3 Years", TelecomData[[#This Row],[TenureMonths]]&gt;36, "3+ Years")</f>
        <v>0-1 Year</v>
      </c>
      <c r="N2992" s="2" t="str">
        <f>IF(TelecomData[[#This Row],[CleanedTotalCharges]]&gt;=2500,"High Spend", "Standard Spend")</f>
        <v>Standard Spend</v>
      </c>
    </row>
    <row r="2993" spans="1:14" x14ac:dyDescent="0.3">
      <c r="A2993" s="1" t="s">
        <v>3017</v>
      </c>
      <c r="B2993" s="2" t="s">
        <v>12</v>
      </c>
      <c r="C2993" s="2" t="s">
        <v>13</v>
      </c>
      <c r="D2993" s="2">
        <v>37</v>
      </c>
      <c r="E2993" s="2" t="s">
        <v>26</v>
      </c>
      <c r="F2993" s="2" t="s">
        <v>16</v>
      </c>
      <c r="G2993" s="7">
        <v>90</v>
      </c>
      <c r="H2993" s="7">
        <v>3371.75</v>
      </c>
      <c r="I2993" s="2" t="s">
        <v>15</v>
      </c>
      <c r="J2993" s="2" t="s">
        <v>15</v>
      </c>
      <c r="K2993" s="2" t="s">
        <v>17</v>
      </c>
      <c r="L2993" s="7">
        <v>3371.75</v>
      </c>
      <c r="M2993" s="2" t="str">
        <f>_xlfn.IFS(TelecomData[[#This Row],[TenureMonths]]&lt;=12, "0-1 Year", TelecomData[[#This Row],[TenureMonths]]&lt;=36, "1-3 Years", TelecomData[[#This Row],[TenureMonths]]&gt;36, "3+ Years")</f>
        <v>3+ Years</v>
      </c>
      <c r="N2993" s="2" t="str">
        <f>IF(TelecomData[[#This Row],[CleanedTotalCharges]]&gt;=2500,"High Spend", "Standard Spend")</f>
        <v>High Spend</v>
      </c>
    </row>
    <row r="2994" spans="1:14" x14ac:dyDescent="0.3">
      <c r="A2994" s="1" t="s">
        <v>3018</v>
      </c>
      <c r="B2994" s="2" t="s">
        <v>19</v>
      </c>
      <c r="C2994" s="2" t="s">
        <v>13</v>
      </c>
      <c r="D2994" s="2">
        <v>12</v>
      </c>
      <c r="E2994" s="2" t="s">
        <v>14</v>
      </c>
      <c r="F2994" s="2" t="s">
        <v>16</v>
      </c>
      <c r="G2994" s="7">
        <v>34</v>
      </c>
      <c r="H2994" s="7">
        <v>442.45</v>
      </c>
      <c r="I2994" s="2" t="s">
        <v>15</v>
      </c>
      <c r="J2994" s="2" t="s">
        <v>15</v>
      </c>
      <c r="K2994" s="2" t="s">
        <v>21</v>
      </c>
      <c r="L2994" s="7">
        <v>442.45</v>
      </c>
      <c r="M2994" s="2" t="str">
        <f>_xlfn.IFS(TelecomData[[#This Row],[TenureMonths]]&lt;=12, "0-1 Year", TelecomData[[#This Row],[TenureMonths]]&lt;=36, "1-3 Years", TelecomData[[#This Row],[TenureMonths]]&gt;36, "3+ Years")</f>
        <v>0-1 Year</v>
      </c>
      <c r="N2994" s="2" t="str">
        <f>IF(TelecomData[[#This Row],[CleanedTotalCharges]]&gt;=2500,"High Spend", "Standard Spend")</f>
        <v>Standard Spend</v>
      </c>
    </row>
    <row r="2995" spans="1:14" x14ac:dyDescent="0.3">
      <c r="A2995" s="1" t="s">
        <v>3019</v>
      </c>
      <c r="B2995" s="2" t="s">
        <v>19</v>
      </c>
      <c r="C2995" s="2" t="s">
        <v>20</v>
      </c>
      <c r="D2995" s="2">
        <v>1</v>
      </c>
      <c r="E2995" s="2" t="s">
        <v>15</v>
      </c>
      <c r="F2995" s="2" t="s">
        <v>36</v>
      </c>
      <c r="G2995" s="7">
        <v>20.399999999999999</v>
      </c>
      <c r="H2995" s="7">
        <v>20.399999999999999</v>
      </c>
      <c r="I2995" s="2" t="s">
        <v>15</v>
      </c>
      <c r="J2995" s="2" t="s">
        <v>15</v>
      </c>
      <c r="K2995" s="2" t="s">
        <v>21</v>
      </c>
      <c r="L2995" s="7">
        <v>20.399999999999999</v>
      </c>
      <c r="M2995" s="2" t="str">
        <f>_xlfn.IFS(TelecomData[[#This Row],[TenureMonths]]&lt;=12, "0-1 Year", TelecomData[[#This Row],[TenureMonths]]&lt;=36, "1-3 Years", TelecomData[[#This Row],[TenureMonths]]&gt;36, "3+ Years")</f>
        <v>0-1 Year</v>
      </c>
      <c r="N2995" s="2" t="str">
        <f>IF(TelecomData[[#This Row],[CleanedTotalCharges]]&gt;=2500,"High Spend", "Standard Spend")</f>
        <v>Standard Spend</v>
      </c>
    </row>
    <row r="2996" spans="1:14" x14ac:dyDescent="0.3">
      <c r="A2996" s="1" t="s">
        <v>3020</v>
      </c>
      <c r="B2996" s="2" t="s">
        <v>19</v>
      </c>
      <c r="C2996" s="2" t="s">
        <v>35</v>
      </c>
      <c r="D2996" s="2">
        <v>62</v>
      </c>
      <c r="E2996" s="2" t="s">
        <v>14</v>
      </c>
      <c r="F2996" s="2" t="s">
        <v>16</v>
      </c>
      <c r="G2996" s="7">
        <v>38.6</v>
      </c>
      <c r="H2996" s="7">
        <v>2345.5500000000002</v>
      </c>
      <c r="I2996" s="2" t="s">
        <v>15</v>
      </c>
      <c r="J2996" s="2" t="s">
        <v>16</v>
      </c>
      <c r="K2996" s="2" t="s">
        <v>29</v>
      </c>
      <c r="L2996" s="7">
        <v>2345.5500000000002</v>
      </c>
      <c r="M2996" s="2" t="str">
        <f>_xlfn.IFS(TelecomData[[#This Row],[TenureMonths]]&lt;=12, "0-1 Year", TelecomData[[#This Row],[TenureMonths]]&lt;=36, "1-3 Years", TelecomData[[#This Row],[TenureMonths]]&gt;36, "3+ Years")</f>
        <v>3+ Years</v>
      </c>
      <c r="N2996" s="2" t="str">
        <f>IF(TelecomData[[#This Row],[CleanedTotalCharges]]&gt;=2500,"High Spend", "Standard Spend")</f>
        <v>Standard Spend</v>
      </c>
    </row>
    <row r="2997" spans="1:14" x14ac:dyDescent="0.3">
      <c r="A2997" s="1" t="s">
        <v>3021</v>
      </c>
      <c r="B2997" s="2" t="s">
        <v>12</v>
      </c>
      <c r="C2997" s="2" t="s">
        <v>13</v>
      </c>
      <c r="D2997" s="2">
        <v>1</v>
      </c>
      <c r="E2997" s="2" t="s">
        <v>14</v>
      </c>
      <c r="F2997" s="2" t="s">
        <v>15</v>
      </c>
      <c r="G2997" s="7">
        <v>25.25</v>
      </c>
      <c r="H2997" s="7">
        <v>25.25</v>
      </c>
      <c r="I2997" s="2" t="s">
        <v>15</v>
      </c>
      <c r="J2997" s="2" t="s">
        <v>15</v>
      </c>
      <c r="K2997" s="2" t="s">
        <v>24</v>
      </c>
      <c r="L2997" s="7">
        <v>25.25</v>
      </c>
      <c r="M2997" s="2" t="str">
        <f>_xlfn.IFS(TelecomData[[#This Row],[TenureMonths]]&lt;=12, "0-1 Year", TelecomData[[#This Row],[TenureMonths]]&lt;=36, "1-3 Years", TelecomData[[#This Row],[TenureMonths]]&gt;36, "3+ Years")</f>
        <v>0-1 Year</v>
      </c>
      <c r="N2997" s="2" t="str">
        <f>IF(TelecomData[[#This Row],[CleanedTotalCharges]]&gt;=2500,"High Spend", "Standard Spend")</f>
        <v>Standard Spend</v>
      </c>
    </row>
    <row r="2998" spans="1:14" x14ac:dyDescent="0.3">
      <c r="A2998" s="1" t="s">
        <v>3022</v>
      </c>
      <c r="B2998" s="2" t="s">
        <v>12</v>
      </c>
      <c r="C2998" s="2" t="s">
        <v>13</v>
      </c>
      <c r="D2998" s="2">
        <v>18</v>
      </c>
      <c r="E2998" s="2" t="s">
        <v>14</v>
      </c>
      <c r="F2998" s="2" t="s">
        <v>15</v>
      </c>
      <c r="G2998" s="7">
        <v>60.6</v>
      </c>
      <c r="H2998" s="7">
        <v>1156.3499999999999</v>
      </c>
      <c r="I2998" s="2" t="s">
        <v>15</v>
      </c>
      <c r="J2998" s="2" t="s">
        <v>16</v>
      </c>
      <c r="K2998" s="2" t="s">
        <v>21</v>
      </c>
      <c r="L2998" s="7">
        <v>1156.3499999999999</v>
      </c>
      <c r="M2998" s="2" t="str">
        <f>_xlfn.IFS(TelecomData[[#This Row],[TenureMonths]]&lt;=12, "0-1 Year", TelecomData[[#This Row],[TenureMonths]]&lt;=36, "1-3 Years", TelecomData[[#This Row],[TenureMonths]]&gt;36, "3+ Years")</f>
        <v>1-3 Years</v>
      </c>
      <c r="N2998" s="2" t="str">
        <f>IF(TelecomData[[#This Row],[CleanedTotalCharges]]&gt;=2500,"High Spend", "Standard Spend")</f>
        <v>Standard Spend</v>
      </c>
    </row>
    <row r="2999" spans="1:14" x14ac:dyDescent="0.3">
      <c r="A2999" s="1" t="s">
        <v>3023</v>
      </c>
      <c r="B2999" s="2" t="s">
        <v>19</v>
      </c>
      <c r="C2999" s="2" t="s">
        <v>13</v>
      </c>
      <c r="D2999" s="2">
        <v>69</v>
      </c>
      <c r="E2999" s="2" t="s">
        <v>26</v>
      </c>
      <c r="F2999" s="2" t="s">
        <v>15</v>
      </c>
      <c r="G2999" s="7">
        <v>89.95</v>
      </c>
      <c r="H2999" s="7">
        <v>6143.15</v>
      </c>
      <c r="I2999" s="2" t="s">
        <v>16</v>
      </c>
      <c r="J2999" s="2" t="s">
        <v>16</v>
      </c>
      <c r="K2999" s="2" t="s">
        <v>17</v>
      </c>
      <c r="L2999" s="7">
        <v>6143.15</v>
      </c>
      <c r="M2999" s="2" t="str">
        <f>_xlfn.IFS(TelecomData[[#This Row],[TenureMonths]]&lt;=12, "0-1 Year", TelecomData[[#This Row],[TenureMonths]]&lt;=36, "1-3 Years", TelecomData[[#This Row],[TenureMonths]]&gt;36, "3+ Years")</f>
        <v>3+ Years</v>
      </c>
      <c r="N2999" s="2" t="str">
        <f>IF(TelecomData[[#This Row],[CleanedTotalCharges]]&gt;=2500,"High Spend", "Standard Spend")</f>
        <v>High Spend</v>
      </c>
    </row>
    <row r="3000" spans="1:14" x14ac:dyDescent="0.3">
      <c r="A3000" s="1" t="s">
        <v>3024</v>
      </c>
      <c r="B3000" s="2" t="s">
        <v>19</v>
      </c>
      <c r="C3000" s="2" t="s">
        <v>13</v>
      </c>
      <c r="D3000" s="2">
        <v>2</v>
      </c>
      <c r="E3000" s="2" t="s">
        <v>26</v>
      </c>
      <c r="F3000" s="2" t="s">
        <v>15</v>
      </c>
      <c r="G3000" s="7">
        <v>74.75</v>
      </c>
      <c r="H3000" s="7">
        <v>144.80000000000001</v>
      </c>
      <c r="I3000" s="2" t="s">
        <v>15</v>
      </c>
      <c r="J3000" s="2" t="s">
        <v>16</v>
      </c>
      <c r="K3000" s="2" t="s">
        <v>17</v>
      </c>
      <c r="L3000" s="7">
        <v>144.80000000000001</v>
      </c>
      <c r="M3000" s="2" t="str">
        <f>_xlfn.IFS(TelecomData[[#This Row],[TenureMonths]]&lt;=12, "0-1 Year", TelecomData[[#This Row],[TenureMonths]]&lt;=36, "1-3 Years", TelecomData[[#This Row],[TenureMonths]]&gt;36, "3+ Years")</f>
        <v>0-1 Year</v>
      </c>
      <c r="N3000" s="2" t="str">
        <f>IF(TelecomData[[#This Row],[CleanedTotalCharges]]&gt;=2500,"High Spend", "Standard Spend")</f>
        <v>Standard Spend</v>
      </c>
    </row>
    <row r="3001" spans="1:14" x14ac:dyDescent="0.3">
      <c r="A3001" s="1" t="s">
        <v>3025</v>
      </c>
      <c r="B3001" s="2" t="s">
        <v>19</v>
      </c>
      <c r="C3001" s="2" t="s">
        <v>13</v>
      </c>
      <c r="D3001" s="2">
        <v>19</v>
      </c>
      <c r="E3001" s="2" t="s">
        <v>15</v>
      </c>
      <c r="F3001" s="2" t="s">
        <v>36</v>
      </c>
      <c r="G3001" s="7">
        <v>20.6</v>
      </c>
      <c r="H3001" s="7">
        <v>414.95</v>
      </c>
      <c r="I3001" s="2" t="s">
        <v>15</v>
      </c>
      <c r="J3001" s="2" t="s">
        <v>15</v>
      </c>
      <c r="K3001" s="2" t="s">
        <v>21</v>
      </c>
      <c r="L3001" s="7">
        <v>414.95</v>
      </c>
      <c r="M3001" s="2" t="str">
        <f>_xlfn.IFS(TelecomData[[#This Row],[TenureMonths]]&lt;=12, "0-1 Year", TelecomData[[#This Row],[TenureMonths]]&lt;=36, "1-3 Years", TelecomData[[#This Row],[TenureMonths]]&gt;36, "3+ Years")</f>
        <v>1-3 Years</v>
      </c>
      <c r="N3001" s="2" t="str">
        <f>IF(TelecomData[[#This Row],[CleanedTotalCharges]]&gt;=2500,"High Spend", "Standard Spend")</f>
        <v>Standard Spend</v>
      </c>
    </row>
    <row r="3002" spans="1:14" x14ac:dyDescent="0.3">
      <c r="A3002" s="1" t="s">
        <v>3026</v>
      </c>
      <c r="B3002" s="2" t="s">
        <v>19</v>
      </c>
      <c r="C3002" s="2" t="s">
        <v>13</v>
      </c>
      <c r="D3002" s="2">
        <v>12</v>
      </c>
      <c r="E3002" s="2" t="s">
        <v>26</v>
      </c>
      <c r="F3002" s="2" t="s">
        <v>15</v>
      </c>
      <c r="G3002" s="7">
        <v>84.45</v>
      </c>
      <c r="H3002" s="7">
        <v>1059.55</v>
      </c>
      <c r="I3002" s="2" t="s">
        <v>16</v>
      </c>
      <c r="J3002" s="2" t="s">
        <v>16</v>
      </c>
      <c r="K3002" s="2" t="s">
        <v>17</v>
      </c>
      <c r="L3002" s="7">
        <v>1059.55</v>
      </c>
      <c r="M3002" s="2" t="str">
        <f>_xlfn.IFS(TelecomData[[#This Row],[TenureMonths]]&lt;=12, "0-1 Year", TelecomData[[#This Row],[TenureMonths]]&lt;=36, "1-3 Years", TelecomData[[#This Row],[TenureMonths]]&gt;36, "3+ Years")</f>
        <v>0-1 Year</v>
      </c>
      <c r="N3002" s="2" t="str">
        <f>IF(TelecomData[[#This Row],[CleanedTotalCharges]]&gt;=2500,"High Spend", "Standard Spend")</f>
        <v>Standard Spend</v>
      </c>
    </row>
    <row r="3003" spans="1:14" x14ac:dyDescent="0.3">
      <c r="A3003" s="1" t="s">
        <v>3027</v>
      </c>
      <c r="B3003" s="2" t="s">
        <v>19</v>
      </c>
      <c r="C3003" s="2" t="s">
        <v>13</v>
      </c>
      <c r="D3003" s="2">
        <v>9</v>
      </c>
      <c r="E3003" s="2" t="s">
        <v>15</v>
      </c>
      <c r="F3003" s="2" t="s">
        <v>36</v>
      </c>
      <c r="G3003" s="7">
        <v>20.399999999999999</v>
      </c>
      <c r="H3003" s="7">
        <v>181.8</v>
      </c>
      <c r="I3003" s="2" t="s">
        <v>15</v>
      </c>
      <c r="J3003" s="2" t="s">
        <v>15</v>
      </c>
      <c r="K3003" s="2" t="s">
        <v>21</v>
      </c>
      <c r="L3003" s="7">
        <v>181.8</v>
      </c>
      <c r="M3003" s="2" t="str">
        <f>_xlfn.IFS(TelecomData[[#This Row],[TenureMonths]]&lt;=12, "0-1 Year", TelecomData[[#This Row],[TenureMonths]]&lt;=36, "1-3 Years", TelecomData[[#This Row],[TenureMonths]]&gt;36, "3+ Years")</f>
        <v>0-1 Year</v>
      </c>
      <c r="N3003" s="2" t="str">
        <f>IF(TelecomData[[#This Row],[CleanedTotalCharges]]&gt;=2500,"High Spend", "Standard Spend")</f>
        <v>Standard Spend</v>
      </c>
    </row>
    <row r="3004" spans="1:14" x14ac:dyDescent="0.3">
      <c r="A3004" s="1" t="s">
        <v>3028</v>
      </c>
      <c r="B3004" s="2" t="s">
        <v>19</v>
      </c>
      <c r="C3004" s="2" t="s">
        <v>20</v>
      </c>
      <c r="D3004" s="2">
        <v>27</v>
      </c>
      <c r="E3004" s="2" t="s">
        <v>14</v>
      </c>
      <c r="F3004" s="2" t="s">
        <v>16</v>
      </c>
      <c r="G3004" s="7">
        <v>81.7</v>
      </c>
      <c r="H3004" s="7">
        <v>2212.5500000000002</v>
      </c>
      <c r="I3004" s="2" t="s">
        <v>15</v>
      </c>
      <c r="J3004" s="2" t="s">
        <v>15</v>
      </c>
      <c r="K3004" s="2" t="s">
        <v>17</v>
      </c>
      <c r="L3004" s="7">
        <v>2212.5500000000002</v>
      </c>
      <c r="M3004" s="2" t="str">
        <f>_xlfn.IFS(TelecomData[[#This Row],[TenureMonths]]&lt;=12, "0-1 Year", TelecomData[[#This Row],[TenureMonths]]&lt;=36, "1-3 Years", TelecomData[[#This Row],[TenureMonths]]&gt;36, "3+ Years")</f>
        <v>1-3 Years</v>
      </c>
      <c r="N3004" s="2" t="str">
        <f>IF(TelecomData[[#This Row],[CleanedTotalCharges]]&gt;=2500,"High Spend", "Standard Spend")</f>
        <v>Standard Spend</v>
      </c>
    </row>
    <row r="3005" spans="1:14" x14ac:dyDescent="0.3">
      <c r="A3005" s="1" t="s">
        <v>3029</v>
      </c>
      <c r="B3005" s="2" t="s">
        <v>19</v>
      </c>
      <c r="C3005" s="2" t="s">
        <v>13</v>
      </c>
      <c r="D3005" s="2">
        <v>27</v>
      </c>
      <c r="E3005" s="2" t="s">
        <v>26</v>
      </c>
      <c r="F3005" s="2" t="s">
        <v>16</v>
      </c>
      <c r="G3005" s="7">
        <v>79.5</v>
      </c>
      <c r="H3005" s="7">
        <v>2180.5500000000002</v>
      </c>
      <c r="I3005" s="2" t="s">
        <v>16</v>
      </c>
      <c r="J3005" s="2" t="s">
        <v>16</v>
      </c>
      <c r="K3005" s="2" t="s">
        <v>17</v>
      </c>
      <c r="L3005" s="7">
        <v>2180.5500000000002</v>
      </c>
      <c r="M3005" s="2" t="str">
        <f>_xlfn.IFS(TelecomData[[#This Row],[TenureMonths]]&lt;=12, "0-1 Year", TelecomData[[#This Row],[TenureMonths]]&lt;=36, "1-3 Years", TelecomData[[#This Row],[TenureMonths]]&gt;36, "3+ Years")</f>
        <v>1-3 Years</v>
      </c>
      <c r="N3005" s="2" t="str">
        <f>IF(TelecomData[[#This Row],[CleanedTotalCharges]]&gt;=2500,"High Spend", "Standard Spend")</f>
        <v>Standard Spend</v>
      </c>
    </row>
    <row r="3006" spans="1:14" x14ac:dyDescent="0.3">
      <c r="A3006" s="1" t="s">
        <v>3030</v>
      </c>
      <c r="B3006" s="2" t="s">
        <v>19</v>
      </c>
      <c r="C3006" s="2" t="s">
        <v>13</v>
      </c>
      <c r="D3006" s="2">
        <v>1</v>
      </c>
      <c r="E3006" s="2" t="s">
        <v>26</v>
      </c>
      <c r="F3006" s="2" t="s">
        <v>15</v>
      </c>
      <c r="G3006" s="7">
        <v>89.15</v>
      </c>
      <c r="H3006" s="7">
        <v>89.15</v>
      </c>
      <c r="I3006" s="2" t="s">
        <v>16</v>
      </c>
      <c r="J3006" s="2" t="s">
        <v>15</v>
      </c>
      <c r="K3006" s="2" t="s">
        <v>21</v>
      </c>
      <c r="L3006" s="7">
        <v>89.15</v>
      </c>
      <c r="M3006" s="2" t="str">
        <f>_xlfn.IFS(TelecomData[[#This Row],[TenureMonths]]&lt;=12, "0-1 Year", TelecomData[[#This Row],[TenureMonths]]&lt;=36, "1-3 Years", TelecomData[[#This Row],[TenureMonths]]&gt;36, "3+ Years")</f>
        <v>0-1 Year</v>
      </c>
      <c r="N3006" s="2" t="str">
        <f>IF(TelecomData[[#This Row],[CleanedTotalCharges]]&gt;=2500,"High Spend", "Standard Spend")</f>
        <v>Standard Spend</v>
      </c>
    </row>
    <row r="3007" spans="1:14" x14ac:dyDescent="0.3">
      <c r="A3007" s="1" t="s">
        <v>3031</v>
      </c>
      <c r="B3007" s="2" t="s">
        <v>12</v>
      </c>
      <c r="C3007" s="2" t="s">
        <v>13</v>
      </c>
      <c r="D3007" s="2">
        <v>24</v>
      </c>
      <c r="E3007" s="2" t="s">
        <v>15</v>
      </c>
      <c r="F3007" s="2" t="s">
        <v>36</v>
      </c>
      <c r="G3007" s="7">
        <v>20.3</v>
      </c>
      <c r="H3007" s="7">
        <v>459.95</v>
      </c>
      <c r="I3007" s="2" t="s">
        <v>15</v>
      </c>
      <c r="J3007" s="2" t="s">
        <v>16</v>
      </c>
      <c r="K3007" s="2" t="s">
        <v>21</v>
      </c>
      <c r="L3007" s="7">
        <v>459.95</v>
      </c>
      <c r="M3007" s="2" t="str">
        <f>_xlfn.IFS(TelecomData[[#This Row],[TenureMonths]]&lt;=12, "0-1 Year", TelecomData[[#This Row],[TenureMonths]]&lt;=36, "1-3 Years", TelecomData[[#This Row],[TenureMonths]]&gt;36, "3+ Years")</f>
        <v>1-3 Years</v>
      </c>
      <c r="N3007" s="2" t="str">
        <f>IF(TelecomData[[#This Row],[CleanedTotalCharges]]&gt;=2500,"High Spend", "Standard Spend")</f>
        <v>Standard Spend</v>
      </c>
    </row>
    <row r="3008" spans="1:14" x14ac:dyDescent="0.3">
      <c r="A3008" s="1" t="s">
        <v>3032</v>
      </c>
      <c r="B3008" s="2" t="s">
        <v>19</v>
      </c>
      <c r="C3008" s="2" t="s">
        <v>13</v>
      </c>
      <c r="D3008" s="2">
        <v>14</v>
      </c>
      <c r="E3008" s="2" t="s">
        <v>26</v>
      </c>
      <c r="F3008" s="2" t="s">
        <v>15</v>
      </c>
      <c r="G3008" s="7">
        <v>74.95</v>
      </c>
      <c r="H3008" s="7">
        <v>1036.75</v>
      </c>
      <c r="I3008" s="2" t="s">
        <v>16</v>
      </c>
      <c r="J3008" s="2" t="s">
        <v>16</v>
      </c>
      <c r="K3008" s="2" t="s">
        <v>17</v>
      </c>
      <c r="L3008" s="7">
        <v>1036.75</v>
      </c>
      <c r="M3008" s="2" t="str">
        <f>_xlfn.IFS(TelecomData[[#This Row],[TenureMonths]]&lt;=12, "0-1 Year", TelecomData[[#This Row],[TenureMonths]]&lt;=36, "1-3 Years", TelecomData[[#This Row],[TenureMonths]]&gt;36, "3+ Years")</f>
        <v>1-3 Years</v>
      </c>
      <c r="N3008" s="2" t="str">
        <f>IF(TelecomData[[#This Row],[CleanedTotalCharges]]&gt;=2500,"High Spend", "Standard Spend")</f>
        <v>Standard Spend</v>
      </c>
    </row>
    <row r="3009" spans="1:14" x14ac:dyDescent="0.3">
      <c r="A3009" s="1" t="s">
        <v>3033</v>
      </c>
      <c r="B3009" s="2" t="s">
        <v>12</v>
      </c>
      <c r="C3009" s="2" t="s">
        <v>13</v>
      </c>
      <c r="D3009" s="2">
        <v>32</v>
      </c>
      <c r="E3009" s="2" t="s">
        <v>26</v>
      </c>
      <c r="F3009" s="2" t="s">
        <v>15</v>
      </c>
      <c r="G3009" s="7">
        <v>74.400000000000006</v>
      </c>
      <c r="H3009" s="7">
        <v>2276.9499999999998</v>
      </c>
      <c r="I3009" s="2" t="s">
        <v>16</v>
      </c>
      <c r="J3009" s="2" t="s">
        <v>16</v>
      </c>
      <c r="K3009" s="2" t="s">
        <v>17</v>
      </c>
      <c r="L3009" s="7">
        <v>2276.9499999999998</v>
      </c>
      <c r="M3009" s="2" t="str">
        <f>_xlfn.IFS(TelecomData[[#This Row],[TenureMonths]]&lt;=12, "0-1 Year", TelecomData[[#This Row],[TenureMonths]]&lt;=36, "1-3 Years", TelecomData[[#This Row],[TenureMonths]]&gt;36, "3+ Years")</f>
        <v>1-3 Years</v>
      </c>
      <c r="N3009" s="2" t="str">
        <f>IF(TelecomData[[#This Row],[CleanedTotalCharges]]&gt;=2500,"High Spend", "Standard Spend")</f>
        <v>Standard Spend</v>
      </c>
    </row>
    <row r="3010" spans="1:14" x14ac:dyDescent="0.3">
      <c r="A3010" s="1" t="s">
        <v>3034</v>
      </c>
      <c r="B3010" s="2" t="s">
        <v>12</v>
      </c>
      <c r="C3010" s="2" t="s">
        <v>20</v>
      </c>
      <c r="D3010" s="2">
        <v>11</v>
      </c>
      <c r="E3010" s="2" t="s">
        <v>15</v>
      </c>
      <c r="F3010" s="2" t="s">
        <v>36</v>
      </c>
      <c r="G3010" s="7">
        <v>20</v>
      </c>
      <c r="H3010" s="7">
        <v>211.95</v>
      </c>
      <c r="I3010" s="2" t="s">
        <v>15</v>
      </c>
      <c r="J3010" s="2" t="s">
        <v>15</v>
      </c>
      <c r="K3010" s="2" t="s">
        <v>21</v>
      </c>
      <c r="L3010" s="7">
        <v>211.95</v>
      </c>
      <c r="M3010" s="2" t="str">
        <f>_xlfn.IFS(TelecomData[[#This Row],[TenureMonths]]&lt;=12, "0-1 Year", TelecomData[[#This Row],[TenureMonths]]&lt;=36, "1-3 Years", TelecomData[[#This Row],[TenureMonths]]&gt;36, "3+ Years")</f>
        <v>0-1 Year</v>
      </c>
      <c r="N3010" s="2" t="str">
        <f>IF(TelecomData[[#This Row],[CleanedTotalCharges]]&gt;=2500,"High Spend", "Standard Spend")</f>
        <v>Standard Spend</v>
      </c>
    </row>
    <row r="3011" spans="1:14" x14ac:dyDescent="0.3">
      <c r="A3011" s="1" t="s">
        <v>3035</v>
      </c>
      <c r="B3011" s="2" t="s">
        <v>19</v>
      </c>
      <c r="C3011" s="2" t="s">
        <v>13</v>
      </c>
      <c r="D3011" s="2">
        <v>1</v>
      </c>
      <c r="E3011" s="2" t="s">
        <v>15</v>
      </c>
      <c r="F3011" s="2" t="s">
        <v>36</v>
      </c>
      <c r="G3011" s="7">
        <v>25</v>
      </c>
      <c r="H3011" s="7">
        <v>25</v>
      </c>
      <c r="I3011" s="2" t="s">
        <v>15</v>
      </c>
      <c r="J3011" s="2" t="s">
        <v>16</v>
      </c>
      <c r="K3011" s="2" t="s">
        <v>21</v>
      </c>
      <c r="L3011" s="7">
        <v>25</v>
      </c>
      <c r="M3011" s="2" t="str">
        <f>_xlfn.IFS(TelecomData[[#This Row],[TenureMonths]]&lt;=12, "0-1 Year", TelecomData[[#This Row],[TenureMonths]]&lt;=36, "1-3 Years", TelecomData[[#This Row],[TenureMonths]]&gt;36, "3+ Years")</f>
        <v>0-1 Year</v>
      </c>
      <c r="N3011" s="2" t="str">
        <f>IF(TelecomData[[#This Row],[CleanedTotalCharges]]&gt;=2500,"High Spend", "Standard Spend")</f>
        <v>Standard Spend</v>
      </c>
    </row>
    <row r="3012" spans="1:14" x14ac:dyDescent="0.3">
      <c r="A3012" s="1" t="s">
        <v>3036</v>
      </c>
      <c r="B3012" s="2" t="s">
        <v>19</v>
      </c>
      <c r="C3012" s="2" t="s">
        <v>13</v>
      </c>
      <c r="D3012" s="2">
        <v>38</v>
      </c>
      <c r="E3012" s="2" t="s">
        <v>26</v>
      </c>
      <c r="F3012" s="2" t="s">
        <v>15</v>
      </c>
      <c r="G3012" s="7">
        <v>80.45</v>
      </c>
      <c r="H3012" s="7">
        <v>3162.65</v>
      </c>
      <c r="I3012" s="2" t="s">
        <v>15</v>
      </c>
      <c r="J3012" s="2" t="s">
        <v>16</v>
      </c>
      <c r="K3012" s="2" t="s">
        <v>21</v>
      </c>
      <c r="L3012" s="7">
        <v>3162.65</v>
      </c>
      <c r="M3012" s="2" t="str">
        <f>_xlfn.IFS(TelecomData[[#This Row],[TenureMonths]]&lt;=12, "0-1 Year", TelecomData[[#This Row],[TenureMonths]]&lt;=36, "1-3 Years", TelecomData[[#This Row],[TenureMonths]]&gt;36, "3+ Years")</f>
        <v>3+ Years</v>
      </c>
      <c r="N3012" s="2" t="str">
        <f>IF(TelecomData[[#This Row],[CleanedTotalCharges]]&gt;=2500,"High Spend", "Standard Spend")</f>
        <v>High Spend</v>
      </c>
    </row>
    <row r="3013" spans="1:14" x14ac:dyDescent="0.3">
      <c r="A3013" s="1" t="s">
        <v>3037</v>
      </c>
      <c r="B3013" s="2" t="s">
        <v>12</v>
      </c>
      <c r="C3013" s="2" t="s">
        <v>35</v>
      </c>
      <c r="D3013" s="2">
        <v>9</v>
      </c>
      <c r="E3013" s="2" t="s">
        <v>15</v>
      </c>
      <c r="F3013" s="2" t="s">
        <v>36</v>
      </c>
      <c r="G3013" s="7">
        <v>19.75</v>
      </c>
      <c r="H3013" s="7">
        <v>210.65</v>
      </c>
      <c r="I3013" s="2" t="s">
        <v>15</v>
      </c>
      <c r="J3013" s="2" t="s">
        <v>15</v>
      </c>
      <c r="K3013" s="2" t="s">
        <v>21</v>
      </c>
      <c r="L3013" s="7">
        <v>210.65</v>
      </c>
      <c r="M3013" s="2" t="str">
        <f>_xlfn.IFS(TelecomData[[#This Row],[TenureMonths]]&lt;=12, "0-1 Year", TelecomData[[#This Row],[TenureMonths]]&lt;=36, "1-3 Years", TelecomData[[#This Row],[TenureMonths]]&gt;36, "3+ Years")</f>
        <v>0-1 Year</v>
      </c>
      <c r="N3013" s="2" t="str">
        <f>IF(TelecomData[[#This Row],[CleanedTotalCharges]]&gt;=2500,"High Spend", "Standard Spend")</f>
        <v>Standard Spend</v>
      </c>
    </row>
    <row r="3014" spans="1:14" x14ac:dyDescent="0.3">
      <c r="A3014" s="1" t="s">
        <v>3038</v>
      </c>
      <c r="B3014" s="2" t="s">
        <v>19</v>
      </c>
      <c r="C3014" s="2" t="s">
        <v>35</v>
      </c>
      <c r="D3014" s="2">
        <v>54</v>
      </c>
      <c r="E3014" s="2" t="s">
        <v>14</v>
      </c>
      <c r="F3014" s="2" t="s">
        <v>16</v>
      </c>
      <c r="G3014" s="7">
        <v>65.650000000000006</v>
      </c>
      <c r="H3014" s="7">
        <v>3566.7</v>
      </c>
      <c r="I3014" s="2" t="s">
        <v>15</v>
      </c>
      <c r="J3014" s="2" t="s">
        <v>16</v>
      </c>
      <c r="K3014" s="2" t="s">
        <v>29</v>
      </c>
      <c r="L3014" s="7">
        <v>3566.7</v>
      </c>
      <c r="M3014" s="2" t="str">
        <f>_xlfn.IFS(TelecomData[[#This Row],[TenureMonths]]&lt;=12, "0-1 Year", TelecomData[[#This Row],[TenureMonths]]&lt;=36, "1-3 Years", TelecomData[[#This Row],[TenureMonths]]&gt;36, "3+ Years")</f>
        <v>3+ Years</v>
      </c>
      <c r="N3014" s="2" t="str">
        <f>IF(TelecomData[[#This Row],[CleanedTotalCharges]]&gt;=2500,"High Spend", "Standard Spend")</f>
        <v>High Spend</v>
      </c>
    </row>
    <row r="3015" spans="1:14" x14ac:dyDescent="0.3">
      <c r="A3015" s="1" t="s">
        <v>3039</v>
      </c>
      <c r="B3015" s="2" t="s">
        <v>12</v>
      </c>
      <c r="C3015" s="2" t="s">
        <v>20</v>
      </c>
      <c r="D3015" s="2">
        <v>29</v>
      </c>
      <c r="E3015" s="2" t="s">
        <v>14</v>
      </c>
      <c r="F3015" s="2" t="s">
        <v>15</v>
      </c>
      <c r="G3015" s="7">
        <v>71</v>
      </c>
      <c r="H3015" s="7">
        <v>2080.1</v>
      </c>
      <c r="I3015" s="2" t="s">
        <v>15</v>
      </c>
      <c r="J3015" s="2" t="s">
        <v>16</v>
      </c>
      <c r="K3015" s="2" t="s">
        <v>29</v>
      </c>
      <c r="L3015" s="7">
        <v>2080.1</v>
      </c>
      <c r="M3015" s="2" t="str">
        <f>_xlfn.IFS(TelecomData[[#This Row],[TenureMonths]]&lt;=12, "0-1 Year", TelecomData[[#This Row],[TenureMonths]]&lt;=36, "1-3 Years", TelecomData[[#This Row],[TenureMonths]]&gt;36, "3+ Years")</f>
        <v>1-3 Years</v>
      </c>
      <c r="N3015" s="2" t="str">
        <f>IF(TelecomData[[#This Row],[CleanedTotalCharges]]&gt;=2500,"High Spend", "Standard Spend")</f>
        <v>Standard Spend</v>
      </c>
    </row>
    <row r="3016" spans="1:14" x14ac:dyDescent="0.3">
      <c r="A3016" s="1" t="s">
        <v>3040</v>
      </c>
      <c r="B3016" s="2" t="s">
        <v>19</v>
      </c>
      <c r="C3016" s="2" t="s">
        <v>13</v>
      </c>
      <c r="D3016" s="2">
        <v>44</v>
      </c>
      <c r="E3016" s="2" t="s">
        <v>26</v>
      </c>
      <c r="F3016" s="2" t="s">
        <v>15</v>
      </c>
      <c r="G3016" s="7">
        <v>89.2</v>
      </c>
      <c r="H3016" s="7">
        <v>4040.2</v>
      </c>
      <c r="I3016" s="2" t="s">
        <v>15</v>
      </c>
      <c r="J3016" s="2" t="s">
        <v>16</v>
      </c>
      <c r="K3016" s="2" t="s">
        <v>17</v>
      </c>
      <c r="L3016" s="7">
        <v>4040.2</v>
      </c>
      <c r="M3016" s="2" t="str">
        <f>_xlfn.IFS(TelecomData[[#This Row],[TenureMonths]]&lt;=12, "0-1 Year", TelecomData[[#This Row],[TenureMonths]]&lt;=36, "1-3 Years", TelecomData[[#This Row],[TenureMonths]]&gt;36, "3+ Years")</f>
        <v>3+ Years</v>
      </c>
      <c r="N3016" s="2" t="str">
        <f>IF(TelecomData[[#This Row],[CleanedTotalCharges]]&gt;=2500,"High Spend", "Standard Spend")</f>
        <v>High Spend</v>
      </c>
    </row>
    <row r="3017" spans="1:14" x14ac:dyDescent="0.3">
      <c r="A3017" s="1" t="s">
        <v>3041</v>
      </c>
      <c r="B3017" s="2" t="s">
        <v>19</v>
      </c>
      <c r="C3017" s="2" t="s">
        <v>35</v>
      </c>
      <c r="D3017" s="2">
        <v>59</v>
      </c>
      <c r="E3017" s="2" t="s">
        <v>14</v>
      </c>
      <c r="F3017" s="2" t="s">
        <v>16</v>
      </c>
      <c r="G3017" s="7">
        <v>86.75</v>
      </c>
      <c r="H3017" s="7">
        <v>5186</v>
      </c>
      <c r="I3017" s="2" t="s">
        <v>15</v>
      </c>
      <c r="J3017" s="2" t="s">
        <v>16</v>
      </c>
      <c r="K3017" s="2" t="s">
        <v>17</v>
      </c>
      <c r="L3017" s="7">
        <v>5186</v>
      </c>
      <c r="M3017" s="2" t="str">
        <f>_xlfn.IFS(TelecomData[[#This Row],[TenureMonths]]&lt;=12, "0-1 Year", TelecomData[[#This Row],[TenureMonths]]&lt;=36, "1-3 Years", TelecomData[[#This Row],[TenureMonths]]&gt;36, "3+ Years")</f>
        <v>3+ Years</v>
      </c>
      <c r="N3017" s="2" t="str">
        <f>IF(TelecomData[[#This Row],[CleanedTotalCharges]]&gt;=2500,"High Spend", "Standard Spend")</f>
        <v>High Spend</v>
      </c>
    </row>
    <row r="3018" spans="1:14" x14ac:dyDescent="0.3">
      <c r="A3018" s="1" t="s">
        <v>3042</v>
      </c>
      <c r="B3018" s="2" t="s">
        <v>12</v>
      </c>
      <c r="C3018" s="2" t="s">
        <v>13</v>
      </c>
      <c r="D3018" s="2">
        <v>3</v>
      </c>
      <c r="E3018" s="2" t="s">
        <v>14</v>
      </c>
      <c r="F3018" s="2" t="s">
        <v>15</v>
      </c>
      <c r="G3018" s="7">
        <v>55.3</v>
      </c>
      <c r="H3018" s="7">
        <v>196.15</v>
      </c>
      <c r="I3018" s="2" t="s">
        <v>16</v>
      </c>
      <c r="J3018" s="2" t="s">
        <v>16</v>
      </c>
      <c r="K3018" s="2" t="s">
        <v>17</v>
      </c>
      <c r="L3018" s="7">
        <v>196.15</v>
      </c>
      <c r="M3018" s="2" t="str">
        <f>_xlfn.IFS(TelecomData[[#This Row],[TenureMonths]]&lt;=12, "0-1 Year", TelecomData[[#This Row],[TenureMonths]]&lt;=36, "1-3 Years", TelecomData[[#This Row],[TenureMonths]]&gt;36, "3+ Years")</f>
        <v>0-1 Year</v>
      </c>
      <c r="N3018" s="2" t="str">
        <f>IF(TelecomData[[#This Row],[CleanedTotalCharges]]&gt;=2500,"High Spend", "Standard Spend")</f>
        <v>Standard Spend</v>
      </c>
    </row>
    <row r="3019" spans="1:14" x14ac:dyDescent="0.3">
      <c r="A3019" s="1" t="s">
        <v>3043</v>
      </c>
      <c r="B3019" s="2" t="s">
        <v>12</v>
      </c>
      <c r="C3019" s="2" t="s">
        <v>20</v>
      </c>
      <c r="D3019" s="2">
        <v>18</v>
      </c>
      <c r="E3019" s="2" t="s">
        <v>14</v>
      </c>
      <c r="F3019" s="2" t="s">
        <v>16</v>
      </c>
      <c r="G3019" s="7">
        <v>61.5</v>
      </c>
      <c r="H3019" s="7">
        <v>1087.45</v>
      </c>
      <c r="I3019" s="2" t="s">
        <v>15</v>
      </c>
      <c r="J3019" s="2" t="s">
        <v>16</v>
      </c>
      <c r="K3019" s="2" t="s">
        <v>21</v>
      </c>
      <c r="L3019" s="7">
        <v>1087.45</v>
      </c>
      <c r="M3019" s="2" t="str">
        <f>_xlfn.IFS(TelecomData[[#This Row],[TenureMonths]]&lt;=12, "0-1 Year", TelecomData[[#This Row],[TenureMonths]]&lt;=36, "1-3 Years", TelecomData[[#This Row],[TenureMonths]]&gt;36, "3+ Years")</f>
        <v>1-3 Years</v>
      </c>
      <c r="N3019" s="2" t="str">
        <f>IF(TelecomData[[#This Row],[CleanedTotalCharges]]&gt;=2500,"High Spend", "Standard Spend")</f>
        <v>Standard Spend</v>
      </c>
    </row>
    <row r="3020" spans="1:14" x14ac:dyDescent="0.3">
      <c r="A3020" s="1" t="s">
        <v>3044</v>
      </c>
      <c r="B3020" s="2" t="s">
        <v>19</v>
      </c>
      <c r="C3020" s="2" t="s">
        <v>35</v>
      </c>
      <c r="D3020" s="2">
        <v>67</v>
      </c>
      <c r="E3020" s="2" t="s">
        <v>15</v>
      </c>
      <c r="F3020" s="2" t="s">
        <v>36</v>
      </c>
      <c r="G3020" s="7">
        <v>25.1</v>
      </c>
      <c r="H3020" s="7">
        <v>1672.15</v>
      </c>
      <c r="I3020" s="2" t="s">
        <v>15</v>
      </c>
      <c r="J3020" s="2" t="s">
        <v>15</v>
      </c>
      <c r="K3020" s="2" t="s">
        <v>29</v>
      </c>
      <c r="L3020" s="7">
        <v>1672.15</v>
      </c>
      <c r="M3020" s="2" t="str">
        <f>_xlfn.IFS(TelecomData[[#This Row],[TenureMonths]]&lt;=12, "0-1 Year", TelecomData[[#This Row],[TenureMonths]]&lt;=36, "1-3 Years", TelecomData[[#This Row],[TenureMonths]]&gt;36, "3+ Years")</f>
        <v>3+ Years</v>
      </c>
      <c r="N3020" s="2" t="str">
        <f>IF(TelecomData[[#This Row],[CleanedTotalCharges]]&gt;=2500,"High Spend", "Standard Spend")</f>
        <v>Standard Spend</v>
      </c>
    </row>
    <row r="3021" spans="1:14" x14ac:dyDescent="0.3">
      <c r="A3021" s="1" t="s">
        <v>3045</v>
      </c>
      <c r="B3021" s="2" t="s">
        <v>12</v>
      </c>
      <c r="C3021" s="2" t="s">
        <v>13</v>
      </c>
      <c r="D3021" s="2">
        <v>22</v>
      </c>
      <c r="E3021" s="2" t="s">
        <v>14</v>
      </c>
      <c r="F3021" s="2" t="s">
        <v>16</v>
      </c>
      <c r="G3021" s="7">
        <v>55.15</v>
      </c>
      <c r="H3021" s="7">
        <v>1206.05</v>
      </c>
      <c r="I3021" s="2" t="s">
        <v>16</v>
      </c>
      <c r="J3021" s="2" t="s">
        <v>15</v>
      </c>
      <c r="K3021" s="2" t="s">
        <v>17</v>
      </c>
      <c r="L3021" s="7">
        <v>1206.05</v>
      </c>
      <c r="M3021" s="2" t="str">
        <f>_xlfn.IFS(TelecomData[[#This Row],[TenureMonths]]&lt;=12, "0-1 Year", TelecomData[[#This Row],[TenureMonths]]&lt;=36, "1-3 Years", TelecomData[[#This Row],[TenureMonths]]&gt;36, "3+ Years")</f>
        <v>1-3 Years</v>
      </c>
      <c r="N3021" s="2" t="str">
        <f>IF(TelecomData[[#This Row],[CleanedTotalCharges]]&gt;=2500,"High Spend", "Standard Spend")</f>
        <v>Standard Spend</v>
      </c>
    </row>
    <row r="3022" spans="1:14" x14ac:dyDescent="0.3">
      <c r="A3022" s="1" t="s">
        <v>3046</v>
      </c>
      <c r="B3022" s="2" t="s">
        <v>19</v>
      </c>
      <c r="C3022" s="2" t="s">
        <v>20</v>
      </c>
      <c r="D3022" s="2">
        <v>33</v>
      </c>
      <c r="E3022" s="2" t="s">
        <v>14</v>
      </c>
      <c r="F3022" s="2" t="s">
        <v>16</v>
      </c>
      <c r="G3022" s="7">
        <v>34.049999999999997</v>
      </c>
      <c r="H3022" s="7">
        <v>1113.95</v>
      </c>
      <c r="I3022" s="2" t="s">
        <v>15</v>
      </c>
      <c r="J3022" s="2" t="s">
        <v>15</v>
      </c>
      <c r="K3022" s="2" t="s">
        <v>29</v>
      </c>
      <c r="L3022" s="7">
        <v>1113.95</v>
      </c>
      <c r="M3022" s="2" t="str">
        <f>_xlfn.IFS(TelecomData[[#This Row],[TenureMonths]]&lt;=12, "0-1 Year", TelecomData[[#This Row],[TenureMonths]]&lt;=36, "1-3 Years", TelecomData[[#This Row],[TenureMonths]]&gt;36, "3+ Years")</f>
        <v>1-3 Years</v>
      </c>
      <c r="N3022" s="2" t="str">
        <f>IF(TelecomData[[#This Row],[CleanedTotalCharges]]&gt;=2500,"High Spend", "Standard Spend")</f>
        <v>Standard Spend</v>
      </c>
    </row>
    <row r="3023" spans="1:14" x14ac:dyDescent="0.3">
      <c r="A3023" s="1" t="s">
        <v>3047</v>
      </c>
      <c r="B3023" s="2" t="s">
        <v>19</v>
      </c>
      <c r="C3023" s="2" t="s">
        <v>13</v>
      </c>
      <c r="D3023" s="2">
        <v>5</v>
      </c>
      <c r="E3023" s="2" t="s">
        <v>15</v>
      </c>
      <c r="F3023" s="2" t="s">
        <v>36</v>
      </c>
      <c r="G3023" s="7">
        <v>19.95</v>
      </c>
      <c r="H3023" s="7">
        <v>107.05</v>
      </c>
      <c r="I3023" s="2" t="s">
        <v>15</v>
      </c>
      <c r="J3023" s="2" t="s">
        <v>15</v>
      </c>
      <c r="K3023" s="2" t="s">
        <v>21</v>
      </c>
      <c r="L3023" s="7">
        <v>107.05</v>
      </c>
      <c r="M3023" s="2" t="str">
        <f>_xlfn.IFS(TelecomData[[#This Row],[TenureMonths]]&lt;=12, "0-1 Year", TelecomData[[#This Row],[TenureMonths]]&lt;=36, "1-3 Years", TelecomData[[#This Row],[TenureMonths]]&gt;36, "3+ Years")</f>
        <v>0-1 Year</v>
      </c>
      <c r="N3023" s="2" t="str">
        <f>IF(TelecomData[[#This Row],[CleanedTotalCharges]]&gt;=2500,"High Spend", "Standard Spend")</f>
        <v>Standard Spend</v>
      </c>
    </row>
    <row r="3024" spans="1:14" x14ac:dyDescent="0.3">
      <c r="A3024" s="1" t="s">
        <v>3048</v>
      </c>
      <c r="B3024" s="2" t="s">
        <v>12</v>
      </c>
      <c r="C3024" s="2" t="s">
        <v>13</v>
      </c>
      <c r="D3024" s="2">
        <v>2</v>
      </c>
      <c r="E3024" s="2" t="s">
        <v>15</v>
      </c>
      <c r="F3024" s="2" t="s">
        <v>36</v>
      </c>
      <c r="G3024" s="7">
        <v>19.95</v>
      </c>
      <c r="H3024" s="7">
        <v>38.15</v>
      </c>
      <c r="I3024" s="2" t="s">
        <v>15</v>
      </c>
      <c r="J3024" s="2" t="s">
        <v>15</v>
      </c>
      <c r="K3024" s="2" t="s">
        <v>21</v>
      </c>
      <c r="L3024" s="7">
        <v>38.15</v>
      </c>
      <c r="M3024" s="2" t="str">
        <f>_xlfn.IFS(TelecomData[[#This Row],[TenureMonths]]&lt;=12, "0-1 Year", TelecomData[[#This Row],[TenureMonths]]&lt;=36, "1-3 Years", TelecomData[[#This Row],[TenureMonths]]&gt;36, "3+ Years")</f>
        <v>0-1 Year</v>
      </c>
      <c r="N3024" s="2" t="str">
        <f>IF(TelecomData[[#This Row],[CleanedTotalCharges]]&gt;=2500,"High Spend", "Standard Spend")</f>
        <v>Standard Spend</v>
      </c>
    </row>
    <row r="3025" spans="1:14" x14ac:dyDescent="0.3">
      <c r="A3025" s="1" t="s">
        <v>3049</v>
      </c>
      <c r="B3025" s="2" t="s">
        <v>19</v>
      </c>
      <c r="C3025" s="2" t="s">
        <v>35</v>
      </c>
      <c r="D3025" s="2">
        <v>72</v>
      </c>
      <c r="E3025" s="2" t="s">
        <v>14</v>
      </c>
      <c r="F3025" s="2" t="s">
        <v>16</v>
      </c>
      <c r="G3025" s="7">
        <v>89.7</v>
      </c>
      <c r="H3025" s="7">
        <v>6339.3</v>
      </c>
      <c r="I3025" s="2" t="s">
        <v>15</v>
      </c>
      <c r="J3025" s="2" t="s">
        <v>15</v>
      </c>
      <c r="K3025" s="2" t="s">
        <v>29</v>
      </c>
      <c r="L3025" s="7">
        <v>6339.3</v>
      </c>
      <c r="M3025" s="2" t="str">
        <f>_xlfn.IFS(TelecomData[[#This Row],[TenureMonths]]&lt;=12, "0-1 Year", TelecomData[[#This Row],[TenureMonths]]&lt;=36, "1-3 Years", TelecomData[[#This Row],[TenureMonths]]&gt;36, "3+ Years")</f>
        <v>3+ Years</v>
      </c>
      <c r="N3025" s="2" t="str">
        <f>IF(TelecomData[[#This Row],[CleanedTotalCharges]]&gt;=2500,"High Spend", "Standard Spend")</f>
        <v>High Spend</v>
      </c>
    </row>
    <row r="3026" spans="1:14" x14ac:dyDescent="0.3">
      <c r="A3026" s="1" t="s">
        <v>3050</v>
      </c>
      <c r="B3026" s="2" t="s">
        <v>19</v>
      </c>
      <c r="C3026" s="2" t="s">
        <v>13</v>
      </c>
      <c r="D3026" s="2">
        <v>9</v>
      </c>
      <c r="E3026" s="2" t="s">
        <v>15</v>
      </c>
      <c r="F3026" s="2" t="s">
        <v>36</v>
      </c>
      <c r="G3026" s="7">
        <v>20.399999999999999</v>
      </c>
      <c r="H3026" s="7">
        <v>184.1</v>
      </c>
      <c r="I3026" s="2" t="s">
        <v>15</v>
      </c>
      <c r="J3026" s="2" t="s">
        <v>15</v>
      </c>
      <c r="K3026" s="2" t="s">
        <v>21</v>
      </c>
      <c r="L3026" s="7">
        <v>184.1</v>
      </c>
      <c r="M3026" s="2" t="str">
        <f>_xlfn.IFS(TelecomData[[#This Row],[TenureMonths]]&lt;=12, "0-1 Year", TelecomData[[#This Row],[TenureMonths]]&lt;=36, "1-3 Years", TelecomData[[#This Row],[TenureMonths]]&gt;36, "3+ Years")</f>
        <v>0-1 Year</v>
      </c>
      <c r="N3026" s="2" t="str">
        <f>IF(TelecomData[[#This Row],[CleanedTotalCharges]]&gt;=2500,"High Spend", "Standard Spend")</f>
        <v>Standard Spend</v>
      </c>
    </row>
    <row r="3027" spans="1:14" x14ac:dyDescent="0.3">
      <c r="A3027" s="1" t="s">
        <v>3051</v>
      </c>
      <c r="B3027" s="2" t="s">
        <v>19</v>
      </c>
      <c r="C3027" s="2" t="s">
        <v>35</v>
      </c>
      <c r="D3027" s="2">
        <v>67</v>
      </c>
      <c r="E3027" s="2" t="s">
        <v>15</v>
      </c>
      <c r="F3027" s="2" t="s">
        <v>36</v>
      </c>
      <c r="G3027" s="7">
        <v>26.3</v>
      </c>
      <c r="H3027" s="7">
        <v>1688.9</v>
      </c>
      <c r="I3027" s="2" t="s">
        <v>15</v>
      </c>
      <c r="J3027" s="2" t="s">
        <v>15</v>
      </c>
      <c r="K3027" s="2" t="s">
        <v>21</v>
      </c>
      <c r="L3027" s="7">
        <v>1688.9</v>
      </c>
      <c r="M3027" s="2" t="str">
        <f>_xlfn.IFS(TelecomData[[#This Row],[TenureMonths]]&lt;=12, "0-1 Year", TelecomData[[#This Row],[TenureMonths]]&lt;=36, "1-3 Years", TelecomData[[#This Row],[TenureMonths]]&gt;36, "3+ Years")</f>
        <v>3+ Years</v>
      </c>
      <c r="N3027" s="2" t="str">
        <f>IF(TelecomData[[#This Row],[CleanedTotalCharges]]&gt;=2500,"High Spend", "Standard Spend")</f>
        <v>Standard Spend</v>
      </c>
    </row>
    <row r="3028" spans="1:14" x14ac:dyDescent="0.3">
      <c r="A3028" s="1" t="s">
        <v>3052</v>
      </c>
      <c r="B3028" s="2" t="s">
        <v>12</v>
      </c>
      <c r="C3028" s="2" t="s">
        <v>13</v>
      </c>
      <c r="D3028" s="2">
        <v>16</v>
      </c>
      <c r="E3028" s="2" t="s">
        <v>26</v>
      </c>
      <c r="F3028" s="2" t="s">
        <v>15</v>
      </c>
      <c r="G3028" s="7">
        <v>84.95</v>
      </c>
      <c r="H3028" s="7">
        <v>1378.25</v>
      </c>
      <c r="I3028" s="2" t="s">
        <v>16</v>
      </c>
      <c r="J3028" s="2" t="s">
        <v>16</v>
      </c>
      <c r="K3028" s="2" t="s">
        <v>17</v>
      </c>
      <c r="L3028" s="7">
        <v>1378.25</v>
      </c>
      <c r="M3028" s="2" t="str">
        <f>_xlfn.IFS(TelecomData[[#This Row],[TenureMonths]]&lt;=12, "0-1 Year", TelecomData[[#This Row],[TenureMonths]]&lt;=36, "1-3 Years", TelecomData[[#This Row],[TenureMonths]]&gt;36, "3+ Years")</f>
        <v>1-3 Years</v>
      </c>
      <c r="N3028" s="2" t="str">
        <f>IF(TelecomData[[#This Row],[CleanedTotalCharges]]&gt;=2500,"High Spend", "Standard Spend")</f>
        <v>Standard Spend</v>
      </c>
    </row>
    <row r="3029" spans="1:14" x14ac:dyDescent="0.3">
      <c r="A3029" s="1" t="s">
        <v>3053</v>
      </c>
      <c r="B3029" s="2" t="s">
        <v>12</v>
      </c>
      <c r="C3029" s="2" t="s">
        <v>13</v>
      </c>
      <c r="D3029" s="2">
        <v>8</v>
      </c>
      <c r="E3029" s="2" t="s">
        <v>15</v>
      </c>
      <c r="F3029" s="2" t="s">
        <v>36</v>
      </c>
      <c r="G3029" s="7">
        <v>20.7</v>
      </c>
      <c r="H3029" s="7">
        <v>137.6</v>
      </c>
      <c r="I3029" s="2" t="s">
        <v>15</v>
      </c>
      <c r="J3029" s="2" t="s">
        <v>16</v>
      </c>
      <c r="K3029" s="2" t="s">
        <v>21</v>
      </c>
      <c r="L3029" s="7">
        <v>137.6</v>
      </c>
      <c r="M3029" s="2" t="str">
        <f>_xlfn.IFS(TelecomData[[#This Row],[TenureMonths]]&lt;=12, "0-1 Year", TelecomData[[#This Row],[TenureMonths]]&lt;=36, "1-3 Years", TelecomData[[#This Row],[TenureMonths]]&gt;36, "3+ Years")</f>
        <v>0-1 Year</v>
      </c>
      <c r="N3029" s="2" t="str">
        <f>IF(TelecomData[[#This Row],[CleanedTotalCharges]]&gt;=2500,"High Spend", "Standard Spend")</f>
        <v>Standard Spend</v>
      </c>
    </row>
    <row r="3030" spans="1:14" x14ac:dyDescent="0.3">
      <c r="A3030" s="1" t="s">
        <v>3054</v>
      </c>
      <c r="B3030" s="2" t="s">
        <v>19</v>
      </c>
      <c r="C3030" s="2" t="s">
        <v>13</v>
      </c>
      <c r="D3030" s="2">
        <v>5</v>
      </c>
      <c r="E3030" s="2" t="s">
        <v>14</v>
      </c>
      <c r="F3030" s="2" t="s">
        <v>16</v>
      </c>
      <c r="G3030" s="7">
        <v>43.25</v>
      </c>
      <c r="H3030" s="7">
        <v>219</v>
      </c>
      <c r="I3030" s="2" t="s">
        <v>16</v>
      </c>
      <c r="J3030" s="2" t="s">
        <v>16</v>
      </c>
      <c r="K3030" s="2" t="s">
        <v>21</v>
      </c>
      <c r="L3030" s="7">
        <v>219</v>
      </c>
      <c r="M3030" s="2" t="str">
        <f>_xlfn.IFS(TelecomData[[#This Row],[TenureMonths]]&lt;=12, "0-1 Year", TelecomData[[#This Row],[TenureMonths]]&lt;=36, "1-3 Years", TelecomData[[#This Row],[TenureMonths]]&gt;36, "3+ Years")</f>
        <v>0-1 Year</v>
      </c>
      <c r="N3030" s="2" t="str">
        <f>IF(TelecomData[[#This Row],[CleanedTotalCharges]]&gt;=2500,"High Spend", "Standard Spend")</f>
        <v>Standard Spend</v>
      </c>
    </row>
    <row r="3031" spans="1:14" x14ac:dyDescent="0.3">
      <c r="A3031" s="1" t="s">
        <v>3055</v>
      </c>
      <c r="B3031" s="2" t="s">
        <v>19</v>
      </c>
      <c r="C3031" s="2" t="s">
        <v>20</v>
      </c>
      <c r="D3031" s="2">
        <v>23</v>
      </c>
      <c r="E3031" s="2" t="s">
        <v>14</v>
      </c>
      <c r="F3031" s="2" t="s">
        <v>15</v>
      </c>
      <c r="G3031" s="7">
        <v>48.35</v>
      </c>
      <c r="H3031" s="7">
        <v>1067.1500000000001</v>
      </c>
      <c r="I3031" s="2" t="s">
        <v>16</v>
      </c>
      <c r="J3031" s="2" t="s">
        <v>16</v>
      </c>
      <c r="K3031" s="2" t="s">
        <v>29</v>
      </c>
      <c r="L3031" s="7">
        <v>1067.1500000000001</v>
      </c>
      <c r="M3031" s="2" t="str">
        <f>_xlfn.IFS(TelecomData[[#This Row],[TenureMonths]]&lt;=12, "0-1 Year", TelecomData[[#This Row],[TenureMonths]]&lt;=36, "1-3 Years", TelecomData[[#This Row],[TenureMonths]]&gt;36, "3+ Years")</f>
        <v>1-3 Years</v>
      </c>
      <c r="N3031" s="2" t="str">
        <f>IF(TelecomData[[#This Row],[CleanedTotalCharges]]&gt;=2500,"High Spend", "Standard Spend")</f>
        <v>Standard Spend</v>
      </c>
    </row>
    <row r="3032" spans="1:14" x14ac:dyDescent="0.3">
      <c r="A3032" s="1" t="s">
        <v>3056</v>
      </c>
      <c r="B3032" s="2" t="s">
        <v>19</v>
      </c>
      <c r="C3032" s="2" t="s">
        <v>13</v>
      </c>
      <c r="D3032" s="2">
        <v>1</v>
      </c>
      <c r="E3032" s="2" t="s">
        <v>26</v>
      </c>
      <c r="F3032" s="2" t="s">
        <v>15</v>
      </c>
      <c r="G3032" s="7">
        <v>79.55</v>
      </c>
      <c r="H3032" s="7">
        <v>79.55</v>
      </c>
      <c r="I3032" s="2" t="s">
        <v>16</v>
      </c>
      <c r="J3032" s="2" t="s">
        <v>16</v>
      </c>
      <c r="K3032" s="2" t="s">
        <v>17</v>
      </c>
      <c r="L3032" s="7">
        <v>79.55</v>
      </c>
      <c r="M3032" s="2" t="str">
        <f>_xlfn.IFS(TelecomData[[#This Row],[TenureMonths]]&lt;=12, "0-1 Year", TelecomData[[#This Row],[TenureMonths]]&lt;=36, "1-3 Years", TelecomData[[#This Row],[TenureMonths]]&gt;36, "3+ Years")</f>
        <v>0-1 Year</v>
      </c>
      <c r="N3032" s="2" t="str">
        <f>IF(TelecomData[[#This Row],[CleanedTotalCharges]]&gt;=2500,"High Spend", "Standard Spend")</f>
        <v>Standard Spend</v>
      </c>
    </row>
    <row r="3033" spans="1:14" x14ac:dyDescent="0.3">
      <c r="A3033" s="1" t="s">
        <v>3057</v>
      </c>
      <c r="B3033" s="2" t="s">
        <v>12</v>
      </c>
      <c r="C3033" s="2" t="s">
        <v>13</v>
      </c>
      <c r="D3033" s="2">
        <v>50</v>
      </c>
      <c r="E3033" s="2" t="s">
        <v>26</v>
      </c>
      <c r="F3033" s="2" t="s">
        <v>15</v>
      </c>
      <c r="G3033" s="7">
        <v>71.05</v>
      </c>
      <c r="H3033" s="7">
        <v>3444.85</v>
      </c>
      <c r="I3033" s="2" t="s">
        <v>16</v>
      </c>
      <c r="J3033" s="2" t="s">
        <v>16</v>
      </c>
      <c r="K3033" s="2" t="s">
        <v>17</v>
      </c>
      <c r="L3033" s="7">
        <v>3444.85</v>
      </c>
      <c r="M3033" s="2" t="str">
        <f>_xlfn.IFS(TelecomData[[#This Row],[TenureMonths]]&lt;=12, "0-1 Year", TelecomData[[#This Row],[TenureMonths]]&lt;=36, "1-3 Years", TelecomData[[#This Row],[TenureMonths]]&gt;36, "3+ Years")</f>
        <v>3+ Years</v>
      </c>
      <c r="N3033" s="2" t="str">
        <f>IF(TelecomData[[#This Row],[CleanedTotalCharges]]&gt;=2500,"High Spend", "Standard Spend")</f>
        <v>High Spend</v>
      </c>
    </row>
    <row r="3034" spans="1:14" x14ac:dyDescent="0.3">
      <c r="A3034" s="1" t="s">
        <v>3058</v>
      </c>
      <c r="B3034" s="2" t="s">
        <v>19</v>
      </c>
      <c r="C3034" s="2" t="s">
        <v>35</v>
      </c>
      <c r="D3034" s="2">
        <v>17</v>
      </c>
      <c r="E3034" s="2" t="s">
        <v>15</v>
      </c>
      <c r="F3034" s="2" t="s">
        <v>36</v>
      </c>
      <c r="G3034" s="7">
        <v>19.45</v>
      </c>
      <c r="H3034" s="7">
        <v>369.05</v>
      </c>
      <c r="I3034" s="2" t="s">
        <v>15</v>
      </c>
      <c r="J3034" s="2" t="s">
        <v>15</v>
      </c>
      <c r="K3034" s="2" t="s">
        <v>29</v>
      </c>
      <c r="L3034" s="7">
        <v>369.05</v>
      </c>
      <c r="M3034" s="2" t="str">
        <f>_xlfn.IFS(TelecomData[[#This Row],[TenureMonths]]&lt;=12, "0-1 Year", TelecomData[[#This Row],[TenureMonths]]&lt;=36, "1-3 Years", TelecomData[[#This Row],[TenureMonths]]&gt;36, "3+ Years")</f>
        <v>1-3 Years</v>
      </c>
      <c r="N3034" s="2" t="str">
        <f>IF(TelecomData[[#This Row],[CleanedTotalCharges]]&gt;=2500,"High Spend", "Standard Spend")</f>
        <v>Standard Spend</v>
      </c>
    </row>
    <row r="3035" spans="1:14" x14ac:dyDescent="0.3">
      <c r="A3035" s="1" t="s">
        <v>3059</v>
      </c>
      <c r="B3035" s="2" t="s">
        <v>12</v>
      </c>
      <c r="C3035" s="2" t="s">
        <v>35</v>
      </c>
      <c r="D3035" s="2">
        <v>68</v>
      </c>
      <c r="E3035" s="2" t="s">
        <v>26</v>
      </c>
      <c r="F3035" s="2" t="s">
        <v>15</v>
      </c>
      <c r="G3035" s="7">
        <v>110.8</v>
      </c>
      <c r="H3035" s="7">
        <v>7553.6</v>
      </c>
      <c r="I3035" s="2" t="s">
        <v>15</v>
      </c>
      <c r="J3035" s="2" t="s">
        <v>16</v>
      </c>
      <c r="K3035" s="2" t="s">
        <v>24</v>
      </c>
      <c r="L3035" s="7">
        <v>7553.6</v>
      </c>
      <c r="M3035" s="2" t="str">
        <f>_xlfn.IFS(TelecomData[[#This Row],[TenureMonths]]&lt;=12, "0-1 Year", TelecomData[[#This Row],[TenureMonths]]&lt;=36, "1-3 Years", TelecomData[[#This Row],[TenureMonths]]&gt;36, "3+ Years")</f>
        <v>3+ Years</v>
      </c>
      <c r="N3035" s="2" t="str">
        <f>IF(TelecomData[[#This Row],[CleanedTotalCharges]]&gt;=2500,"High Spend", "Standard Spend")</f>
        <v>High Spend</v>
      </c>
    </row>
    <row r="3036" spans="1:14" x14ac:dyDescent="0.3">
      <c r="A3036" s="1" t="s">
        <v>3060</v>
      </c>
      <c r="B3036" s="2" t="s">
        <v>19</v>
      </c>
      <c r="C3036" s="2" t="s">
        <v>13</v>
      </c>
      <c r="D3036" s="2">
        <v>1</v>
      </c>
      <c r="E3036" s="2" t="s">
        <v>26</v>
      </c>
      <c r="F3036" s="2" t="s">
        <v>15</v>
      </c>
      <c r="G3036" s="7">
        <v>84.5</v>
      </c>
      <c r="H3036" s="7">
        <v>84.5</v>
      </c>
      <c r="I3036" s="2" t="s">
        <v>16</v>
      </c>
      <c r="J3036" s="2" t="s">
        <v>15</v>
      </c>
      <c r="K3036" s="2" t="s">
        <v>17</v>
      </c>
      <c r="L3036" s="7">
        <v>84.5</v>
      </c>
      <c r="M3036" s="2" t="str">
        <f>_xlfn.IFS(TelecomData[[#This Row],[TenureMonths]]&lt;=12, "0-1 Year", TelecomData[[#This Row],[TenureMonths]]&lt;=36, "1-3 Years", TelecomData[[#This Row],[TenureMonths]]&gt;36, "3+ Years")</f>
        <v>0-1 Year</v>
      </c>
      <c r="N3036" s="2" t="str">
        <f>IF(TelecomData[[#This Row],[CleanedTotalCharges]]&gt;=2500,"High Spend", "Standard Spend")</f>
        <v>Standard Spend</v>
      </c>
    </row>
    <row r="3037" spans="1:14" x14ac:dyDescent="0.3">
      <c r="A3037" s="1" t="s">
        <v>3061</v>
      </c>
      <c r="B3037" s="2" t="s">
        <v>12</v>
      </c>
      <c r="C3037" s="2" t="s">
        <v>13</v>
      </c>
      <c r="D3037" s="2">
        <v>25</v>
      </c>
      <c r="E3037" s="2" t="s">
        <v>26</v>
      </c>
      <c r="F3037" s="2" t="s">
        <v>15</v>
      </c>
      <c r="G3037" s="7">
        <v>69.3</v>
      </c>
      <c r="H3037" s="7">
        <v>1813.1</v>
      </c>
      <c r="I3037" s="2" t="s">
        <v>15</v>
      </c>
      <c r="J3037" s="2" t="s">
        <v>16</v>
      </c>
      <c r="K3037" s="2" t="s">
        <v>17</v>
      </c>
      <c r="L3037" s="7">
        <v>1813.1</v>
      </c>
      <c r="M3037" s="2" t="str">
        <f>_xlfn.IFS(TelecomData[[#This Row],[TenureMonths]]&lt;=12, "0-1 Year", TelecomData[[#This Row],[TenureMonths]]&lt;=36, "1-3 Years", TelecomData[[#This Row],[TenureMonths]]&gt;36, "3+ Years")</f>
        <v>1-3 Years</v>
      </c>
      <c r="N3037" s="2" t="str">
        <f>IF(TelecomData[[#This Row],[CleanedTotalCharges]]&gt;=2500,"High Spend", "Standard Spend")</f>
        <v>Standard Spend</v>
      </c>
    </row>
    <row r="3038" spans="1:14" x14ac:dyDescent="0.3">
      <c r="A3038" s="1" t="s">
        <v>3062</v>
      </c>
      <c r="B3038" s="2" t="s">
        <v>19</v>
      </c>
      <c r="C3038" s="2" t="s">
        <v>20</v>
      </c>
      <c r="D3038" s="2">
        <v>67</v>
      </c>
      <c r="E3038" s="2" t="s">
        <v>14</v>
      </c>
      <c r="F3038" s="2" t="s">
        <v>16</v>
      </c>
      <c r="G3038" s="7">
        <v>49.35</v>
      </c>
      <c r="H3038" s="7">
        <v>3321.35</v>
      </c>
      <c r="I3038" s="2" t="s">
        <v>15</v>
      </c>
      <c r="J3038" s="2" t="s">
        <v>16</v>
      </c>
      <c r="K3038" s="2" t="s">
        <v>24</v>
      </c>
      <c r="L3038" s="7">
        <v>3321.35</v>
      </c>
      <c r="M3038" s="2" t="str">
        <f>_xlfn.IFS(TelecomData[[#This Row],[TenureMonths]]&lt;=12, "0-1 Year", TelecomData[[#This Row],[TenureMonths]]&lt;=36, "1-3 Years", TelecomData[[#This Row],[TenureMonths]]&gt;36, "3+ Years")</f>
        <v>3+ Years</v>
      </c>
      <c r="N3038" s="2" t="str">
        <f>IF(TelecomData[[#This Row],[CleanedTotalCharges]]&gt;=2500,"High Spend", "Standard Spend")</f>
        <v>High Spend</v>
      </c>
    </row>
    <row r="3039" spans="1:14" x14ac:dyDescent="0.3">
      <c r="A3039" s="1" t="s">
        <v>3063</v>
      </c>
      <c r="B3039" s="2" t="s">
        <v>19</v>
      </c>
      <c r="C3039" s="2" t="s">
        <v>20</v>
      </c>
      <c r="D3039" s="2">
        <v>32</v>
      </c>
      <c r="E3039" s="2" t="s">
        <v>15</v>
      </c>
      <c r="F3039" s="2" t="s">
        <v>36</v>
      </c>
      <c r="G3039" s="7">
        <v>20.350000000000001</v>
      </c>
      <c r="H3039" s="7">
        <v>707.5</v>
      </c>
      <c r="I3039" s="2" t="s">
        <v>15</v>
      </c>
      <c r="J3039" s="2" t="s">
        <v>15</v>
      </c>
      <c r="K3039" s="2" t="s">
        <v>29</v>
      </c>
      <c r="L3039" s="7">
        <v>707.5</v>
      </c>
      <c r="M3039" s="2" t="str">
        <f>_xlfn.IFS(TelecomData[[#This Row],[TenureMonths]]&lt;=12, "0-1 Year", TelecomData[[#This Row],[TenureMonths]]&lt;=36, "1-3 Years", TelecomData[[#This Row],[TenureMonths]]&gt;36, "3+ Years")</f>
        <v>1-3 Years</v>
      </c>
      <c r="N3039" s="2" t="str">
        <f>IF(TelecomData[[#This Row],[CleanedTotalCharges]]&gt;=2500,"High Spend", "Standard Spend")</f>
        <v>Standard Spend</v>
      </c>
    </row>
    <row r="3040" spans="1:14" x14ac:dyDescent="0.3">
      <c r="A3040" s="1" t="s">
        <v>3064</v>
      </c>
      <c r="B3040" s="2" t="s">
        <v>12</v>
      </c>
      <c r="C3040" s="2" t="s">
        <v>20</v>
      </c>
      <c r="D3040" s="2">
        <v>67</v>
      </c>
      <c r="E3040" s="2" t="s">
        <v>26</v>
      </c>
      <c r="F3040" s="2" t="s">
        <v>15</v>
      </c>
      <c r="G3040" s="7">
        <v>105.6</v>
      </c>
      <c r="H3040" s="7">
        <v>7112.15</v>
      </c>
      <c r="I3040" s="2" t="s">
        <v>15</v>
      </c>
      <c r="J3040" s="2" t="s">
        <v>16</v>
      </c>
      <c r="K3040" s="2" t="s">
        <v>17</v>
      </c>
      <c r="L3040" s="7">
        <v>7112.15</v>
      </c>
      <c r="M3040" s="2" t="str">
        <f>_xlfn.IFS(TelecomData[[#This Row],[TenureMonths]]&lt;=12, "0-1 Year", TelecomData[[#This Row],[TenureMonths]]&lt;=36, "1-3 Years", TelecomData[[#This Row],[TenureMonths]]&gt;36, "3+ Years")</f>
        <v>3+ Years</v>
      </c>
      <c r="N3040" s="2" t="str">
        <f>IF(TelecomData[[#This Row],[CleanedTotalCharges]]&gt;=2500,"High Spend", "Standard Spend")</f>
        <v>High Spend</v>
      </c>
    </row>
    <row r="3041" spans="1:14" x14ac:dyDescent="0.3">
      <c r="A3041" s="1" t="s">
        <v>3065</v>
      </c>
      <c r="B3041" s="2" t="s">
        <v>19</v>
      </c>
      <c r="C3041" s="2" t="s">
        <v>35</v>
      </c>
      <c r="D3041" s="2">
        <v>72</v>
      </c>
      <c r="E3041" s="2" t="s">
        <v>14</v>
      </c>
      <c r="F3041" s="2" t="s">
        <v>16</v>
      </c>
      <c r="G3041" s="7">
        <v>64.45</v>
      </c>
      <c r="H3041" s="7">
        <v>4641.1000000000004</v>
      </c>
      <c r="I3041" s="2" t="s">
        <v>15</v>
      </c>
      <c r="J3041" s="2" t="s">
        <v>16</v>
      </c>
      <c r="K3041" s="2" t="s">
        <v>29</v>
      </c>
      <c r="L3041" s="7">
        <v>4641.1000000000004</v>
      </c>
      <c r="M3041" s="2" t="str">
        <f>_xlfn.IFS(TelecomData[[#This Row],[TenureMonths]]&lt;=12, "0-1 Year", TelecomData[[#This Row],[TenureMonths]]&lt;=36, "1-3 Years", TelecomData[[#This Row],[TenureMonths]]&gt;36, "3+ Years")</f>
        <v>3+ Years</v>
      </c>
      <c r="N3041" s="2" t="str">
        <f>IF(TelecomData[[#This Row],[CleanedTotalCharges]]&gt;=2500,"High Spend", "Standard Spend")</f>
        <v>High Spend</v>
      </c>
    </row>
    <row r="3042" spans="1:14" x14ac:dyDescent="0.3">
      <c r="A3042" s="1" t="s">
        <v>3066</v>
      </c>
      <c r="B3042" s="2" t="s">
        <v>19</v>
      </c>
      <c r="C3042" s="2" t="s">
        <v>35</v>
      </c>
      <c r="D3042" s="2">
        <v>71</v>
      </c>
      <c r="E3042" s="2" t="s">
        <v>26</v>
      </c>
      <c r="F3042" s="2" t="s">
        <v>16</v>
      </c>
      <c r="G3042" s="7">
        <v>108.6</v>
      </c>
      <c r="H3042" s="7">
        <v>7690.9</v>
      </c>
      <c r="I3042" s="2" t="s">
        <v>16</v>
      </c>
      <c r="J3042" s="2" t="s">
        <v>16</v>
      </c>
      <c r="K3042" s="2" t="s">
        <v>29</v>
      </c>
      <c r="L3042" s="7">
        <v>7690.9</v>
      </c>
      <c r="M3042" s="2" t="str">
        <f>_xlfn.IFS(TelecomData[[#This Row],[TenureMonths]]&lt;=12, "0-1 Year", TelecomData[[#This Row],[TenureMonths]]&lt;=36, "1-3 Years", TelecomData[[#This Row],[TenureMonths]]&gt;36, "3+ Years")</f>
        <v>3+ Years</v>
      </c>
      <c r="N3042" s="2" t="str">
        <f>IF(TelecomData[[#This Row],[CleanedTotalCharges]]&gt;=2500,"High Spend", "Standard Spend")</f>
        <v>High Spend</v>
      </c>
    </row>
    <row r="3043" spans="1:14" x14ac:dyDescent="0.3">
      <c r="A3043" s="1" t="s">
        <v>3067</v>
      </c>
      <c r="B3043" s="2" t="s">
        <v>19</v>
      </c>
      <c r="C3043" s="2" t="s">
        <v>13</v>
      </c>
      <c r="D3043" s="2">
        <v>1</v>
      </c>
      <c r="E3043" s="2" t="s">
        <v>14</v>
      </c>
      <c r="F3043" s="2" t="s">
        <v>15</v>
      </c>
      <c r="G3043" s="7">
        <v>49.9</v>
      </c>
      <c r="H3043" s="7">
        <v>49.9</v>
      </c>
      <c r="I3043" s="2" t="s">
        <v>15</v>
      </c>
      <c r="J3043" s="2" t="s">
        <v>16</v>
      </c>
      <c r="K3043" s="2" t="s">
        <v>17</v>
      </c>
      <c r="L3043" s="7">
        <v>49.9</v>
      </c>
      <c r="M3043" s="2" t="str">
        <f>_xlfn.IFS(TelecomData[[#This Row],[TenureMonths]]&lt;=12, "0-1 Year", TelecomData[[#This Row],[TenureMonths]]&lt;=36, "1-3 Years", TelecomData[[#This Row],[TenureMonths]]&gt;36, "3+ Years")</f>
        <v>0-1 Year</v>
      </c>
      <c r="N3043" s="2" t="str">
        <f>IF(TelecomData[[#This Row],[CleanedTotalCharges]]&gt;=2500,"High Spend", "Standard Spend")</f>
        <v>Standard Spend</v>
      </c>
    </row>
    <row r="3044" spans="1:14" x14ac:dyDescent="0.3">
      <c r="A3044" s="1" t="s">
        <v>3068</v>
      </c>
      <c r="B3044" s="2" t="s">
        <v>19</v>
      </c>
      <c r="C3044" s="2" t="s">
        <v>13</v>
      </c>
      <c r="D3044" s="2">
        <v>46</v>
      </c>
      <c r="E3044" s="2" t="s">
        <v>14</v>
      </c>
      <c r="F3044" s="2" t="s">
        <v>15</v>
      </c>
      <c r="G3044" s="7">
        <v>30.3</v>
      </c>
      <c r="H3044" s="7">
        <v>1380.1</v>
      </c>
      <c r="I3044" s="2" t="s">
        <v>16</v>
      </c>
      <c r="J3044" s="2" t="s">
        <v>15</v>
      </c>
      <c r="K3044" s="2" t="s">
        <v>24</v>
      </c>
      <c r="L3044" s="7">
        <v>1380.1</v>
      </c>
      <c r="M3044" s="2" t="str">
        <f>_xlfn.IFS(TelecomData[[#This Row],[TenureMonths]]&lt;=12, "0-1 Year", TelecomData[[#This Row],[TenureMonths]]&lt;=36, "1-3 Years", TelecomData[[#This Row],[TenureMonths]]&gt;36, "3+ Years")</f>
        <v>3+ Years</v>
      </c>
      <c r="N3044" s="2" t="str">
        <f>IF(TelecomData[[#This Row],[CleanedTotalCharges]]&gt;=2500,"High Spend", "Standard Spend")</f>
        <v>Standard Spend</v>
      </c>
    </row>
    <row r="3045" spans="1:14" x14ac:dyDescent="0.3">
      <c r="A3045" s="1" t="s">
        <v>3069</v>
      </c>
      <c r="B3045" s="2" t="s">
        <v>12</v>
      </c>
      <c r="C3045" s="2" t="s">
        <v>13</v>
      </c>
      <c r="D3045" s="2">
        <v>2</v>
      </c>
      <c r="E3045" s="2" t="s">
        <v>14</v>
      </c>
      <c r="F3045" s="2" t="s">
        <v>15</v>
      </c>
      <c r="G3045" s="7">
        <v>30.4</v>
      </c>
      <c r="H3045" s="7">
        <v>78.650000000000006</v>
      </c>
      <c r="I3045" s="2" t="s">
        <v>16</v>
      </c>
      <c r="J3045" s="2" t="s">
        <v>16</v>
      </c>
      <c r="K3045" s="2" t="s">
        <v>17</v>
      </c>
      <c r="L3045" s="7">
        <v>78.650000000000006</v>
      </c>
      <c r="M3045" s="2" t="str">
        <f>_xlfn.IFS(TelecomData[[#This Row],[TenureMonths]]&lt;=12, "0-1 Year", TelecomData[[#This Row],[TenureMonths]]&lt;=36, "1-3 Years", TelecomData[[#This Row],[TenureMonths]]&gt;36, "3+ Years")</f>
        <v>0-1 Year</v>
      </c>
      <c r="N3045" s="2" t="str">
        <f>IF(TelecomData[[#This Row],[CleanedTotalCharges]]&gt;=2500,"High Spend", "Standard Spend")</f>
        <v>Standard Spend</v>
      </c>
    </row>
    <row r="3046" spans="1:14" x14ac:dyDescent="0.3">
      <c r="A3046" s="1" t="s">
        <v>3070</v>
      </c>
      <c r="B3046" s="2" t="s">
        <v>12</v>
      </c>
      <c r="C3046" s="2" t="s">
        <v>13</v>
      </c>
      <c r="D3046" s="2">
        <v>1</v>
      </c>
      <c r="E3046" s="2" t="s">
        <v>14</v>
      </c>
      <c r="F3046" s="2" t="s">
        <v>15</v>
      </c>
      <c r="G3046" s="7">
        <v>45.4</v>
      </c>
      <c r="H3046" s="7">
        <v>45.4</v>
      </c>
      <c r="I3046" s="2" t="s">
        <v>16</v>
      </c>
      <c r="J3046" s="2" t="s">
        <v>16</v>
      </c>
      <c r="K3046" s="2" t="s">
        <v>21</v>
      </c>
      <c r="L3046" s="7">
        <v>45.4</v>
      </c>
      <c r="M3046" s="2" t="str">
        <f>_xlfn.IFS(TelecomData[[#This Row],[TenureMonths]]&lt;=12, "0-1 Year", TelecomData[[#This Row],[TenureMonths]]&lt;=36, "1-3 Years", TelecomData[[#This Row],[TenureMonths]]&gt;36, "3+ Years")</f>
        <v>0-1 Year</v>
      </c>
      <c r="N3046" s="2" t="str">
        <f>IF(TelecomData[[#This Row],[CleanedTotalCharges]]&gt;=2500,"High Spend", "Standard Spend")</f>
        <v>Standard Spend</v>
      </c>
    </row>
    <row r="3047" spans="1:14" x14ac:dyDescent="0.3">
      <c r="A3047" s="1" t="s">
        <v>3071</v>
      </c>
      <c r="B3047" s="2" t="s">
        <v>12</v>
      </c>
      <c r="C3047" s="2" t="s">
        <v>20</v>
      </c>
      <c r="D3047" s="2">
        <v>48</v>
      </c>
      <c r="E3047" s="2" t="s">
        <v>14</v>
      </c>
      <c r="F3047" s="2" t="s">
        <v>15</v>
      </c>
      <c r="G3047" s="7">
        <v>65.650000000000006</v>
      </c>
      <c r="H3047" s="7">
        <v>3094.65</v>
      </c>
      <c r="I3047" s="2" t="s">
        <v>15</v>
      </c>
      <c r="J3047" s="2" t="s">
        <v>16</v>
      </c>
      <c r="K3047" s="2" t="s">
        <v>17</v>
      </c>
      <c r="L3047" s="7">
        <v>3094.65</v>
      </c>
      <c r="M3047" s="2" t="str">
        <f>_xlfn.IFS(TelecomData[[#This Row],[TenureMonths]]&lt;=12, "0-1 Year", TelecomData[[#This Row],[TenureMonths]]&lt;=36, "1-3 Years", TelecomData[[#This Row],[TenureMonths]]&gt;36, "3+ Years")</f>
        <v>3+ Years</v>
      </c>
      <c r="N3047" s="2" t="str">
        <f>IF(TelecomData[[#This Row],[CleanedTotalCharges]]&gt;=2500,"High Spend", "Standard Spend")</f>
        <v>High Spend</v>
      </c>
    </row>
    <row r="3048" spans="1:14" x14ac:dyDescent="0.3">
      <c r="A3048" s="1" t="s">
        <v>3072</v>
      </c>
      <c r="B3048" s="2" t="s">
        <v>12</v>
      </c>
      <c r="C3048" s="2" t="s">
        <v>20</v>
      </c>
      <c r="D3048" s="2">
        <v>61</v>
      </c>
      <c r="E3048" s="2" t="s">
        <v>26</v>
      </c>
      <c r="F3048" s="2" t="s">
        <v>16</v>
      </c>
      <c r="G3048" s="7">
        <v>103.3</v>
      </c>
      <c r="H3048" s="7">
        <v>6518.35</v>
      </c>
      <c r="I3048" s="2" t="s">
        <v>15</v>
      </c>
      <c r="J3048" s="2" t="s">
        <v>16</v>
      </c>
      <c r="K3048" s="2" t="s">
        <v>24</v>
      </c>
      <c r="L3048" s="7">
        <v>6518.35</v>
      </c>
      <c r="M3048" s="2" t="str">
        <f>_xlfn.IFS(TelecomData[[#This Row],[TenureMonths]]&lt;=12, "0-1 Year", TelecomData[[#This Row],[TenureMonths]]&lt;=36, "1-3 Years", TelecomData[[#This Row],[TenureMonths]]&gt;36, "3+ Years")</f>
        <v>3+ Years</v>
      </c>
      <c r="N3048" s="2" t="str">
        <f>IF(TelecomData[[#This Row],[CleanedTotalCharges]]&gt;=2500,"High Spend", "Standard Spend")</f>
        <v>High Spend</v>
      </c>
    </row>
    <row r="3049" spans="1:14" x14ac:dyDescent="0.3">
      <c r="A3049" s="1" t="s">
        <v>3073</v>
      </c>
      <c r="B3049" s="2" t="s">
        <v>12</v>
      </c>
      <c r="C3049" s="2" t="s">
        <v>13</v>
      </c>
      <c r="D3049" s="2">
        <v>32</v>
      </c>
      <c r="E3049" s="2" t="s">
        <v>26</v>
      </c>
      <c r="F3049" s="2" t="s">
        <v>15</v>
      </c>
      <c r="G3049" s="7">
        <v>84.15</v>
      </c>
      <c r="H3049" s="7">
        <v>2585.9499999999998</v>
      </c>
      <c r="I3049" s="2" t="s">
        <v>16</v>
      </c>
      <c r="J3049" s="2" t="s">
        <v>15</v>
      </c>
      <c r="K3049" s="2" t="s">
        <v>24</v>
      </c>
      <c r="L3049" s="7">
        <v>2585.9499999999998</v>
      </c>
      <c r="M3049" s="2" t="str">
        <f>_xlfn.IFS(TelecomData[[#This Row],[TenureMonths]]&lt;=12, "0-1 Year", TelecomData[[#This Row],[TenureMonths]]&lt;=36, "1-3 Years", TelecomData[[#This Row],[TenureMonths]]&gt;36, "3+ Years")</f>
        <v>1-3 Years</v>
      </c>
      <c r="N3049" s="2" t="str">
        <f>IF(TelecomData[[#This Row],[CleanedTotalCharges]]&gt;=2500,"High Spend", "Standard Spend")</f>
        <v>High Spend</v>
      </c>
    </row>
    <row r="3050" spans="1:14" x14ac:dyDescent="0.3">
      <c r="A3050" s="1" t="s">
        <v>3074</v>
      </c>
      <c r="B3050" s="2" t="s">
        <v>12</v>
      </c>
      <c r="C3050" s="2" t="s">
        <v>13</v>
      </c>
      <c r="D3050" s="2">
        <v>2</v>
      </c>
      <c r="E3050" s="2" t="s">
        <v>14</v>
      </c>
      <c r="F3050" s="2" t="s">
        <v>15</v>
      </c>
      <c r="G3050" s="7">
        <v>44.45</v>
      </c>
      <c r="H3050" s="7">
        <v>82.7</v>
      </c>
      <c r="I3050" s="2" t="s">
        <v>15</v>
      </c>
      <c r="J3050" s="2" t="s">
        <v>15</v>
      </c>
      <c r="K3050" s="2" t="s">
        <v>17</v>
      </c>
      <c r="L3050" s="7">
        <v>82.7</v>
      </c>
      <c r="M3050" s="2" t="str">
        <f>_xlfn.IFS(TelecomData[[#This Row],[TenureMonths]]&lt;=12, "0-1 Year", TelecomData[[#This Row],[TenureMonths]]&lt;=36, "1-3 Years", TelecomData[[#This Row],[TenureMonths]]&gt;36, "3+ Years")</f>
        <v>0-1 Year</v>
      </c>
      <c r="N3050" s="2" t="str">
        <f>IF(TelecomData[[#This Row],[CleanedTotalCharges]]&gt;=2500,"High Spend", "Standard Spend")</f>
        <v>Standard Spend</v>
      </c>
    </row>
    <row r="3051" spans="1:14" x14ac:dyDescent="0.3">
      <c r="A3051" s="1" t="s">
        <v>3075</v>
      </c>
      <c r="B3051" s="2" t="s">
        <v>12</v>
      </c>
      <c r="C3051" s="2" t="s">
        <v>13</v>
      </c>
      <c r="D3051" s="2">
        <v>3</v>
      </c>
      <c r="E3051" s="2" t="s">
        <v>15</v>
      </c>
      <c r="F3051" s="2" t="s">
        <v>36</v>
      </c>
      <c r="G3051" s="7">
        <v>19.75</v>
      </c>
      <c r="H3051" s="7">
        <v>58.85</v>
      </c>
      <c r="I3051" s="2" t="s">
        <v>16</v>
      </c>
      <c r="J3051" s="2" t="s">
        <v>15</v>
      </c>
      <c r="K3051" s="2" t="s">
        <v>17</v>
      </c>
      <c r="L3051" s="7">
        <v>58.85</v>
      </c>
      <c r="M3051" s="2" t="str">
        <f>_xlfn.IFS(TelecomData[[#This Row],[TenureMonths]]&lt;=12, "0-1 Year", TelecomData[[#This Row],[TenureMonths]]&lt;=36, "1-3 Years", TelecomData[[#This Row],[TenureMonths]]&gt;36, "3+ Years")</f>
        <v>0-1 Year</v>
      </c>
      <c r="N3051" s="2" t="str">
        <f>IF(TelecomData[[#This Row],[CleanedTotalCharges]]&gt;=2500,"High Spend", "Standard Spend")</f>
        <v>Standard Spend</v>
      </c>
    </row>
    <row r="3052" spans="1:14" x14ac:dyDescent="0.3">
      <c r="A3052" s="1" t="s">
        <v>3076</v>
      </c>
      <c r="B3052" s="2" t="s">
        <v>12</v>
      </c>
      <c r="C3052" s="2" t="s">
        <v>13</v>
      </c>
      <c r="D3052" s="2">
        <v>5</v>
      </c>
      <c r="E3052" s="2" t="s">
        <v>26</v>
      </c>
      <c r="F3052" s="2" t="s">
        <v>16</v>
      </c>
      <c r="G3052" s="7">
        <v>85.4</v>
      </c>
      <c r="H3052" s="7">
        <v>425.9</v>
      </c>
      <c r="I3052" s="2" t="s">
        <v>16</v>
      </c>
      <c r="J3052" s="2" t="s">
        <v>16</v>
      </c>
      <c r="K3052" s="2" t="s">
        <v>29</v>
      </c>
      <c r="L3052" s="7">
        <v>425.9</v>
      </c>
      <c r="M3052" s="2" t="str">
        <f>_xlfn.IFS(TelecomData[[#This Row],[TenureMonths]]&lt;=12, "0-1 Year", TelecomData[[#This Row],[TenureMonths]]&lt;=36, "1-3 Years", TelecomData[[#This Row],[TenureMonths]]&gt;36, "3+ Years")</f>
        <v>0-1 Year</v>
      </c>
      <c r="N3052" s="2" t="str">
        <f>IF(TelecomData[[#This Row],[CleanedTotalCharges]]&gt;=2500,"High Spend", "Standard Spend")</f>
        <v>Standard Spend</v>
      </c>
    </row>
    <row r="3053" spans="1:14" x14ac:dyDescent="0.3">
      <c r="A3053" s="1" t="s">
        <v>3077</v>
      </c>
      <c r="B3053" s="2" t="s">
        <v>12</v>
      </c>
      <c r="C3053" s="2" t="s">
        <v>35</v>
      </c>
      <c r="D3053" s="2">
        <v>71</v>
      </c>
      <c r="E3053" s="2" t="s">
        <v>14</v>
      </c>
      <c r="F3053" s="2" t="s">
        <v>16</v>
      </c>
      <c r="G3053" s="7">
        <v>89.9</v>
      </c>
      <c r="H3053" s="7">
        <v>6342.7</v>
      </c>
      <c r="I3053" s="2" t="s">
        <v>15</v>
      </c>
      <c r="J3053" s="2" t="s">
        <v>15</v>
      </c>
      <c r="K3053" s="2" t="s">
        <v>24</v>
      </c>
      <c r="L3053" s="7">
        <v>6342.7</v>
      </c>
      <c r="M3053" s="2" t="str">
        <f>_xlfn.IFS(TelecomData[[#This Row],[TenureMonths]]&lt;=12, "0-1 Year", TelecomData[[#This Row],[TenureMonths]]&lt;=36, "1-3 Years", TelecomData[[#This Row],[TenureMonths]]&gt;36, "3+ Years")</f>
        <v>3+ Years</v>
      </c>
      <c r="N3053" s="2" t="str">
        <f>IF(TelecomData[[#This Row],[CleanedTotalCharges]]&gt;=2500,"High Spend", "Standard Spend")</f>
        <v>High Spend</v>
      </c>
    </row>
    <row r="3054" spans="1:14" x14ac:dyDescent="0.3">
      <c r="A3054" s="1" t="s">
        <v>3078</v>
      </c>
      <c r="B3054" s="2" t="s">
        <v>19</v>
      </c>
      <c r="C3054" s="2" t="s">
        <v>13</v>
      </c>
      <c r="D3054" s="2">
        <v>37</v>
      </c>
      <c r="E3054" s="2" t="s">
        <v>14</v>
      </c>
      <c r="F3054" s="2" t="s">
        <v>15</v>
      </c>
      <c r="G3054" s="7">
        <v>55.05</v>
      </c>
      <c r="H3054" s="7">
        <v>2030.75</v>
      </c>
      <c r="I3054" s="2" t="s">
        <v>15</v>
      </c>
      <c r="J3054" s="2" t="s">
        <v>16</v>
      </c>
      <c r="K3054" s="2" t="s">
        <v>21</v>
      </c>
      <c r="L3054" s="7">
        <v>2030.75</v>
      </c>
      <c r="M3054" s="2" t="str">
        <f>_xlfn.IFS(TelecomData[[#This Row],[TenureMonths]]&lt;=12, "0-1 Year", TelecomData[[#This Row],[TenureMonths]]&lt;=36, "1-3 Years", TelecomData[[#This Row],[TenureMonths]]&gt;36, "3+ Years")</f>
        <v>3+ Years</v>
      </c>
      <c r="N3054" s="2" t="str">
        <f>IF(TelecomData[[#This Row],[CleanedTotalCharges]]&gt;=2500,"High Spend", "Standard Spend")</f>
        <v>Standard Spend</v>
      </c>
    </row>
    <row r="3055" spans="1:14" x14ac:dyDescent="0.3">
      <c r="A3055" s="1" t="s">
        <v>3079</v>
      </c>
      <c r="B3055" s="2" t="s">
        <v>19</v>
      </c>
      <c r="C3055" s="2" t="s">
        <v>35</v>
      </c>
      <c r="D3055" s="2">
        <v>65</v>
      </c>
      <c r="E3055" s="2" t="s">
        <v>26</v>
      </c>
      <c r="F3055" s="2" t="s">
        <v>16</v>
      </c>
      <c r="G3055" s="7">
        <v>104.1</v>
      </c>
      <c r="H3055" s="7">
        <v>6700.05</v>
      </c>
      <c r="I3055" s="2" t="s">
        <v>15</v>
      </c>
      <c r="J3055" s="2" t="s">
        <v>16</v>
      </c>
      <c r="K3055" s="2" t="s">
        <v>24</v>
      </c>
      <c r="L3055" s="7">
        <v>6700.05</v>
      </c>
      <c r="M3055" s="2" t="str">
        <f>_xlfn.IFS(TelecomData[[#This Row],[TenureMonths]]&lt;=12, "0-1 Year", TelecomData[[#This Row],[TenureMonths]]&lt;=36, "1-3 Years", TelecomData[[#This Row],[TenureMonths]]&gt;36, "3+ Years")</f>
        <v>3+ Years</v>
      </c>
      <c r="N3055" s="2" t="str">
        <f>IF(TelecomData[[#This Row],[CleanedTotalCharges]]&gt;=2500,"High Spend", "Standard Spend")</f>
        <v>High Spend</v>
      </c>
    </row>
    <row r="3056" spans="1:14" x14ac:dyDescent="0.3">
      <c r="A3056" s="1" t="s">
        <v>3080</v>
      </c>
      <c r="B3056" s="2" t="s">
        <v>12</v>
      </c>
      <c r="C3056" s="2" t="s">
        <v>20</v>
      </c>
      <c r="D3056" s="2">
        <v>67</v>
      </c>
      <c r="E3056" s="2" t="s">
        <v>26</v>
      </c>
      <c r="F3056" s="2" t="s">
        <v>16</v>
      </c>
      <c r="G3056" s="7">
        <v>106.6</v>
      </c>
      <c r="H3056" s="7">
        <v>7244.7</v>
      </c>
      <c r="I3056" s="2" t="s">
        <v>15</v>
      </c>
      <c r="J3056" s="2" t="s">
        <v>16</v>
      </c>
      <c r="K3056" s="2" t="s">
        <v>24</v>
      </c>
      <c r="L3056" s="7">
        <v>7244.7</v>
      </c>
      <c r="M3056" s="2" t="str">
        <f>_xlfn.IFS(TelecomData[[#This Row],[TenureMonths]]&lt;=12, "0-1 Year", TelecomData[[#This Row],[TenureMonths]]&lt;=36, "1-3 Years", TelecomData[[#This Row],[TenureMonths]]&gt;36, "3+ Years")</f>
        <v>3+ Years</v>
      </c>
      <c r="N3056" s="2" t="str">
        <f>IF(TelecomData[[#This Row],[CleanedTotalCharges]]&gt;=2500,"High Spend", "Standard Spend")</f>
        <v>High Spend</v>
      </c>
    </row>
    <row r="3057" spans="1:14" x14ac:dyDescent="0.3">
      <c r="A3057" s="1" t="s">
        <v>3081</v>
      </c>
      <c r="B3057" s="2" t="s">
        <v>19</v>
      </c>
      <c r="C3057" s="2" t="s">
        <v>13</v>
      </c>
      <c r="D3057" s="2">
        <v>49</v>
      </c>
      <c r="E3057" s="2" t="s">
        <v>26</v>
      </c>
      <c r="F3057" s="2" t="s">
        <v>15</v>
      </c>
      <c r="G3057" s="7">
        <v>75.2</v>
      </c>
      <c r="H3057" s="7">
        <v>3678.3</v>
      </c>
      <c r="I3057" s="2" t="s">
        <v>16</v>
      </c>
      <c r="J3057" s="2" t="s">
        <v>15</v>
      </c>
      <c r="K3057" s="2" t="s">
        <v>29</v>
      </c>
      <c r="L3057" s="7">
        <v>3678.3</v>
      </c>
      <c r="M3057" s="2" t="str">
        <f>_xlfn.IFS(TelecomData[[#This Row],[TenureMonths]]&lt;=12, "0-1 Year", TelecomData[[#This Row],[TenureMonths]]&lt;=36, "1-3 Years", TelecomData[[#This Row],[TenureMonths]]&gt;36, "3+ Years")</f>
        <v>3+ Years</v>
      </c>
      <c r="N3057" s="2" t="str">
        <f>IF(TelecomData[[#This Row],[CleanedTotalCharges]]&gt;=2500,"High Spend", "Standard Spend")</f>
        <v>High Spend</v>
      </c>
    </row>
    <row r="3058" spans="1:14" x14ac:dyDescent="0.3">
      <c r="A3058" s="1" t="s">
        <v>3082</v>
      </c>
      <c r="B3058" s="2" t="s">
        <v>19</v>
      </c>
      <c r="C3058" s="2" t="s">
        <v>35</v>
      </c>
      <c r="D3058" s="2">
        <v>50</v>
      </c>
      <c r="E3058" s="2" t="s">
        <v>14</v>
      </c>
      <c r="F3058" s="2" t="s">
        <v>16</v>
      </c>
      <c r="G3058" s="7">
        <v>70.5</v>
      </c>
      <c r="H3058" s="7">
        <v>3486.65</v>
      </c>
      <c r="I3058" s="2" t="s">
        <v>15</v>
      </c>
      <c r="J3058" s="2" t="s">
        <v>16</v>
      </c>
      <c r="K3058" s="2" t="s">
        <v>29</v>
      </c>
      <c r="L3058" s="7">
        <v>3486.65</v>
      </c>
      <c r="M3058" s="2" t="str">
        <f>_xlfn.IFS(TelecomData[[#This Row],[TenureMonths]]&lt;=12, "0-1 Year", TelecomData[[#This Row],[TenureMonths]]&lt;=36, "1-3 Years", TelecomData[[#This Row],[TenureMonths]]&gt;36, "3+ Years")</f>
        <v>3+ Years</v>
      </c>
      <c r="N3058" s="2" t="str">
        <f>IF(TelecomData[[#This Row],[CleanedTotalCharges]]&gt;=2500,"High Spend", "Standard Spend")</f>
        <v>High Spend</v>
      </c>
    </row>
    <row r="3059" spans="1:14" x14ac:dyDescent="0.3">
      <c r="A3059" s="1" t="s">
        <v>3083</v>
      </c>
      <c r="B3059" s="2" t="s">
        <v>19</v>
      </c>
      <c r="C3059" s="2" t="s">
        <v>20</v>
      </c>
      <c r="D3059" s="2">
        <v>25</v>
      </c>
      <c r="E3059" s="2" t="s">
        <v>15</v>
      </c>
      <c r="F3059" s="2" t="s">
        <v>36</v>
      </c>
      <c r="G3059" s="7">
        <v>19.600000000000001</v>
      </c>
      <c r="H3059" s="7">
        <v>411.15</v>
      </c>
      <c r="I3059" s="2" t="s">
        <v>15</v>
      </c>
      <c r="J3059" s="2" t="s">
        <v>15</v>
      </c>
      <c r="K3059" s="2" t="s">
        <v>17</v>
      </c>
      <c r="L3059" s="7">
        <v>411.15</v>
      </c>
      <c r="M3059" s="2" t="str">
        <f>_xlfn.IFS(TelecomData[[#This Row],[TenureMonths]]&lt;=12, "0-1 Year", TelecomData[[#This Row],[TenureMonths]]&lt;=36, "1-3 Years", TelecomData[[#This Row],[TenureMonths]]&gt;36, "3+ Years")</f>
        <v>1-3 Years</v>
      </c>
      <c r="N3059" s="2" t="str">
        <f>IF(TelecomData[[#This Row],[CleanedTotalCharges]]&gt;=2500,"High Spend", "Standard Spend")</f>
        <v>Standard Spend</v>
      </c>
    </row>
    <row r="3060" spans="1:14" x14ac:dyDescent="0.3">
      <c r="A3060" s="1" t="s">
        <v>3084</v>
      </c>
      <c r="B3060" s="2" t="s">
        <v>12</v>
      </c>
      <c r="C3060" s="2" t="s">
        <v>20</v>
      </c>
      <c r="D3060" s="2">
        <v>17</v>
      </c>
      <c r="E3060" s="2" t="s">
        <v>14</v>
      </c>
      <c r="F3060" s="2" t="s">
        <v>15</v>
      </c>
      <c r="G3060" s="7">
        <v>55.85</v>
      </c>
      <c r="H3060" s="7">
        <v>937.5</v>
      </c>
      <c r="I3060" s="2" t="s">
        <v>16</v>
      </c>
      <c r="J3060" s="2" t="s">
        <v>16</v>
      </c>
      <c r="K3060" s="2" t="s">
        <v>21</v>
      </c>
      <c r="L3060" s="7">
        <v>937.5</v>
      </c>
      <c r="M3060" s="2" t="str">
        <f>_xlfn.IFS(TelecomData[[#This Row],[TenureMonths]]&lt;=12, "0-1 Year", TelecomData[[#This Row],[TenureMonths]]&lt;=36, "1-3 Years", TelecomData[[#This Row],[TenureMonths]]&gt;36, "3+ Years")</f>
        <v>1-3 Years</v>
      </c>
      <c r="N3060" s="2" t="str">
        <f>IF(TelecomData[[#This Row],[CleanedTotalCharges]]&gt;=2500,"High Spend", "Standard Spend")</f>
        <v>Standard Spend</v>
      </c>
    </row>
    <row r="3061" spans="1:14" x14ac:dyDescent="0.3">
      <c r="A3061" s="1" t="s">
        <v>3085</v>
      </c>
      <c r="B3061" s="2" t="s">
        <v>12</v>
      </c>
      <c r="C3061" s="2" t="s">
        <v>35</v>
      </c>
      <c r="D3061" s="2">
        <v>64</v>
      </c>
      <c r="E3061" s="2" t="s">
        <v>15</v>
      </c>
      <c r="F3061" s="2" t="s">
        <v>36</v>
      </c>
      <c r="G3061" s="7">
        <v>24.05</v>
      </c>
      <c r="H3061" s="7">
        <v>1559.15</v>
      </c>
      <c r="I3061" s="2" t="s">
        <v>15</v>
      </c>
      <c r="J3061" s="2" t="s">
        <v>16</v>
      </c>
      <c r="K3061" s="2" t="s">
        <v>21</v>
      </c>
      <c r="L3061" s="7">
        <v>1559.15</v>
      </c>
      <c r="M3061" s="2" t="str">
        <f>_xlfn.IFS(TelecomData[[#This Row],[TenureMonths]]&lt;=12, "0-1 Year", TelecomData[[#This Row],[TenureMonths]]&lt;=36, "1-3 Years", TelecomData[[#This Row],[TenureMonths]]&gt;36, "3+ Years")</f>
        <v>3+ Years</v>
      </c>
      <c r="N3061" s="2" t="str">
        <f>IF(TelecomData[[#This Row],[CleanedTotalCharges]]&gt;=2500,"High Spend", "Standard Spend")</f>
        <v>Standard Spend</v>
      </c>
    </row>
    <row r="3062" spans="1:14" x14ac:dyDescent="0.3">
      <c r="A3062" s="1" t="s">
        <v>3086</v>
      </c>
      <c r="B3062" s="2" t="s">
        <v>19</v>
      </c>
      <c r="C3062" s="2" t="s">
        <v>20</v>
      </c>
      <c r="D3062" s="2">
        <v>25</v>
      </c>
      <c r="E3062" s="2" t="s">
        <v>14</v>
      </c>
      <c r="F3062" s="2" t="s">
        <v>15</v>
      </c>
      <c r="G3062" s="7">
        <v>38.1</v>
      </c>
      <c r="H3062" s="7">
        <v>970.4</v>
      </c>
      <c r="I3062" s="2" t="s">
        <v>15</v>
      </c>
      <c r="J3062" s="2" t="s">
        <v>16</v>
      </c>
      <c r="K3062" s="2" t="s">
        <v>29</v>
      </c>
      <c r="L3062" s="7">
        <v>970.4</v>
      </c>
      <c r="M3062" s="2" t="str">
        <f>_xlfn.IFS(TelecomData[[#This Row],[TenureMonths]]&lt;=12, "0-1 Year", TelecomData[[#This Row],[TenureMonths]]&lt;=36, "1-3 Years", TelecomData[[#This Row],[TenureMonths]]&gt;36, "3+ Years")</f>
        <v>1-3 Years</v>
      </c>
      <c r="N3062" s="2" t="str">
        <f>IF(TelecomData[[#This Row],[CleanedTotalCharges]]&gt;=2500,"High Spend", "Standard Spend")</f>
        <v>Standard Spend</v>
      </c>
    </row>
    <row r="3063" spans="1:14" x14ac:dyDescent="0.3">
      <c r="A3063" s="1" t="s">
        <v>3087</v>
      </c>
      <c r="B3063" s="2" t="s">
        <v>19</v>
      </c>
      <c r="C3063" s="2" t="s">
        <v>13</v>
      </c>
      <c r="D3063" s="2">
        <v>23</v>
      </c>
      <c r="E3063" s="2" t="s">
        <v>26</v>
      </c>
      <c r="F3063" s="2" t="s">
        <v>15</v>
      </c>
      <c r="G3063" s="7">
        <v>106.4</v>
      </c>
      <c r="H3063" s="7">
        <v>2483.5</v>
      </c>
      <c r="I3063" s="2" t="s">
        <v>16</v>
      </c>
      <c r="J3063" s="2" t="s">
        <v>16</v>
      </c>
      <c r="K3063" s="2" t="s">
        <v>17</v>
      </c>
      <c r="L3063" s="7">
        <v>2483.5</v>
      </c>
      <c r="M3063" s="2" t="str">
        <f>_xlfn.IFS(TelecomData[[#This Row],[TenureMonths]]&lt;=12, "0-1 Year", TelecomData[[#This Row],[TenureMonths]]&lt;=36, "1-3 Years", TelecomData[[#This Row],[TenureMonths]]&gt;36, "3+ Years")</f>
        <v>1-3 Years</v>
      </c>
      <c r="N3063" s="2" t="str">
        <f>IF(TelecomData[[#This Row],[CleanedTotalCharges]]&gt;=2500,"High Spend", "Standard Spend")</f>
        <v>Standard Spend</v>
      </c>
    </row>
    <row r="3064" spans="1:14" x14ac:dyDescent="0.3">
      <c r="A3064" s="1" t="s">
        <v>3088</v>
      </c>
      <c r="B3064" s="2" t="s">
        <v>19</v>
      </c>
      <c r="C3064" s="2" t="s">
        <v>13</v>
      </c>
      <c r="D3064" s="2">
        <v>24</v>
      </c>
      <c r="E3064" s="2" t="s">
        <v>14</v>
      </c>
      <c r="F3064" s="2" t="s">
        <v>16</v>
      </c>
      <c r="G3064" s="7">
        <v>34.25</v>
      </c>
      <c r="H3064" s="7">
        <v>828.2</v>
      </c>
      <c r="I3064" s="2" t="s">
        <v>15</v>
      </c>
      <c r="J3064" s="2" t="s">
        <v>15</v>
      </c>
      <c r="K3064" s="2" t="s">
        <v>21</v>
      </c>
      <c r="L3064" s="7">
        <v>828.2</v>
      </c>
      <c r="M3064" s="2" t="str">
        <f>_xlfn.IFS(TelecomData[[#This Row],[TenureMonths]]&lt;=12, "0-1 Year", TelecomData[[#This Row],[TenureMonths]]&lt;=36, "1-3 Years", TelecomData[[#This Row],[TenureMonths]]&gt;36, "3+ Years")</f>
        <v>1-3 Years</v>
      </c>
      <c r="N3064" s="2" t="str">
        <f>IF(TelecomData[[#This Row],[CleanedTotalCharges]]&gt;=2500,"High Spend", "Standard Spend")</f>
        <v>Standard Spend</v>
      </c>
    </row>
    <row r="3065" spans="1:14" x14ac:dyDescent="0.3">
      <c r="A3065" s="1" t="s">
        <v>3089</v>
      </c>
      <c r="B3065" s="2" t="s">
        <v>12</v>
      </c>
      <c r="C3065" s="2" t="s">
        <v>13</v>
      </c>
      <c r="D3065" s="2">
        <v>37</v>
      </c>
      <c r="E3065" s="2" t="s">
        <v>26</v>
      </c>
      <c r="F3065" s="2" t="s">
        <v>15</v>
      </c>
      <c r="G3065" s="7">
        <v>100.05</v>
      </c>
      <c r="H3065" s="7">
        <v>3810.55</v>
      </c>
      <c r="I3065" s="2" t="s">
        <v>15</v>
      </c>
      <c r="J3065" s="2" t="s">
        <v>16</v>
      </c>
      <c r="K3065" s="2" t="s">
        <v>17</v>
      </c>
      <c r="L3065" s="7">
        <v>3810.55</v>
      </c>
      <c r="M3065" s="2" t="str">
        <f>_xlfn.IFS(TelecomData[[#This Row],[TenureMonths]]&lt;=12, "0-1 Year", TelecomData[[#This Row],[TenureMonths]]&lt;=36, "1-3 Years", TelecomData[[#This Row],[TenureMonths]]&gt;36, "3+ Years")</f>
        <v>3+ Years</v>
      </c>
      <c r="N3065" s="2" t="str">
        <f>IF(TelecomData[[#This Row],[CleanedTotalCharges]]&gt;=2500,"High Spend", "Standard Spend")</f>
        <v>High Spend</v>
      </c>
    </row>
    <row r="3066" spans="1:14" x14ac:dyDescent="0.3">
      <c r="A3066" s="1" t="s">
        <v>3090</v>
      </c>
      <c r="B3066" s="2" t="s">
        <v>12</v>
      </c>
      <c r="C3066" s="2" t="s">
        <v>13</v>
      </c>
      <c r="D3066" s="2">
        <v>21</v>
      </c>
      <c r="E3066" s="2" t="s">
        <v>26</v>
      </c>
      <c r="F3066" s="2" t="s">
        <v>15</v>
      </c>
      <c r="G3066" s="7">
        <v>68.650000000000006</v>
      </c>
      <c r="H3066" s="7">
        <v>1493.2</v>
      </c>
      <c r="I3066" s="2" t="s">
        <v>15</v>
      </c>
      <c r="J3066" s="2" t="s">
        <v>16</v>
      </c>
      <c r="K3066" s="2" t="s">
        <v>17</v>
      </c>
      <c r="L3066" s="7">
        <v>1493.2</v>
      </c>
      <c r="M3066" s="2" t="str">
        <f>_xlfn.IFS(TelecomData[[#This Row],[TenureMonths]]&lt;=12, "0-1 Year", TelecomData[[#This Row],[TenureMonths]]&lt;=36, "1-3 Years", TelecomData[[#This Row],[TenureMonths]]&gt;36, "3+ Years")</f>
        <v>1-3 Years</v>
      </c>
      <c r="N3066" s="2" t="str">
        <f>IF(TelecomData[[#This Row],[CleanedTotalCharges]]&gt;=2500,"High Spend", "Standard Spend")</f>
        <v>Standard Spend</v>
      </c>
    </row>
    <row r="3067" spans="1:14" x14ac:dyDescent="0.3">
      <c r="A3067" s="1" t="s">
        <v>3091</v>
      </c>
      <c r="B3067" s="2" t="s">
        <v>19</v>
      </c>
      <c r="C3067" s="2" t="s">
        <v>13</v>
      </c>
      <c r="D3067" s="2">
        <v>1</v>
      </c>
      <c r="E3067" s="2" t="s">
        <v>14</v>
      </c>
      <c r="F3067" s="2" t="s">
        <v>15</v>
      </c>
      <c r="G3067" s="7">
        <v>45.8</v>
      </c>
      <c r="H3067" s="7">
        <v>45.8</v>
      </c>
      <c r="I3067" s="2" t="s">
        <v>15</v>
      </c>
      <c r="J3067" s="2" t="s">
        <v>16</v>
      </c>
      <c r="K3067" s="2" t="s">
        <v>21</v>
      </c>
      <c r="L3067" s="7">
        <v>45.8</v>
      </c>
      <c r="M3067" s="2" t="str">
        <f>_xlfn.IFS(TelecomData[[#This Row],[TenureMonths]]&lt;=12, "0-1 Year", TelecomData[[#This Row],[TenureMonths]]&lt;=36, "1-3 Years", TelecomData[[#This Row],[TenureMonths]]&gt;36, "3+ Years")</f>
        <v>0-1 Year</v>
      </c>
      <c r="N3067" s="2" t="str">
        <f>IF(TelecomData[[#This Row],[CleanedTotalCharges]]&gt;=2500,"High Spend", "Standard Spend")</f>
        <v>Standard Spend</v>
      </c>
    </row>
    <row r="3068" spans="1:14" x14ac:dyDescent="0.3">
      <c r="A3068" s="1" t="s">
        <v>3092</v>
      </c>
      <c r="B3068" s="2" t="s">
        <v>12</v>
      </c>
      <c r="C3068" s="2" t="s">
        <v>13</v>
      </c>
      <c r="D3068" s="2">
        <v>10</v>
      </c>
      <c r="E3068" s="2" t="s">
        <v>26</v>
      </c>
      <c r="F3068" s="2" t="s">
        <v>15</v>
      </c>
      <c r="G3068" s="7">
        <v>75.75</v>
      </c>
      <c r="H3068" s="7">
        <v>777.3</v>
      </c>
      <c r="I3068" s="2" t="s">
        <v>15</v>
      </c>
      <c r="J3068" s="2" t="s">
        <v>16</v>
      </c>
      <c r="K3068" s="2" t="s">
        <v>21</v>
      </c>
      <c r="L3068" s="7">
        <v>777.3</v>
      </c>
      <c r="M3068" s="2" t="str">
        <f>_xlfn.IFS(TelecomData[[#This Row],[TenureMonths]]&lt;=12, "0-1 Year", TelecomData[[#This Row],[TenureMonths]]&lt;=36, "1-3 Years", TelecomData[[#This Row],[TenureMonths]]&gt;36, "3+ Years")</f>
        <v>0-1 Year</v>
      </c>
      <c r="N3068" s="2" t="str">
        <f>IF(TelecomData[[#This Row],[CleanedTotalCharges]]&gt;=2500,"High Spend", "Standard Spend")</f>
        <v>Standard Spend</v>
      </c>
    </row>
    <row r="3069" spans="1:14" x14ac:dyDescent="0.3">
      <c r="A3069" s="1" t="s">
        <v>3093</v>
      </c>
      <c r="B3069" s="2" t="s">
        <v>19</v>
      </c>
      <c r="C3069" s="2" t="s">
        <v>13</v>
      </c>
      <c r="D3069" s="2">
        <v>6</v>
      </c>
      <c r="E3069" s="2" t="s">
        <v>26</v>
      </c>
      <c r="F3069" s="2" t="s">
        <v>15</v>
      </c>
      <c r="G3069" s="7">
        <v>84.4</v>
      </c>
      <c r="H3069" s="7">
        <v>556.35</v>
      </c>
      <c r="I3069" s="2" t="s">
        <v>16</v>
      </c>
      <c r="J3069" s="2" t="s">
        <v>16</v>
      </c>
      <c r="K3069" s="2" t="s">
        <v>17</v>
      </c>
      <c r="L3069" s="7">
        <v>556.35</v>
      </c>
      <c r="M3069" s="2" t="str">
        <f>_xlfn.IFS(TelecomData[[#This Row],[TenureMonths]]&lt;=12, "0-1 Year", TelecomData[[#This Row],[TenureMonths]]&lt;=36, "1-3 Years", TelecomData[[#This Row],[TenureMonths]]&gt;36, "3+ Years")</f>
        <v>0-1 Year</v>
      </c>
      <c r="N3069" s="2" t="str">
        <f>IF(TelecomData[[#This Row],[CleanedTotalCharges]]&gt;=2500,"High Spend", "Standard Spend")</f>
        <v>Standard Spend</v>
      </c>
    </row>
    <row r="3070" spans="1:14" x14ac:dyDescent="0.3">
      <c r="A3070" s="1" t="s">
        <v>3094</v>
      </c>
      <c r="B3070" s="2" t="s">
        <v>19</v>
      </c>
      <c r="C3070" s="2" t="s">
        <v>20</v>
      </c>
      <c r="D3070" s="2">
        <v>51</v>
      </c>
      <c r="E3070" s="2" t="s">
        <v>26</v>
      </c>
      <c r="F3070" s="2" t="s">
        <v>15</v>
      </c>
      <c r="G3070" s="7">
        <v>96.4</v>
      </c>
      <c r="H3070" s="7">
        <v>4911.05</v>
      </c>
      <c r="I3070" s="2" t="s">
        <v>15</v>
      </c>
      <c r="J3070" s="2" t="s">
        <v>16</v>
      </c>
      <c r="K3070" s="2" t="s">
        <v>29</v>
      </c>
      <c r="L3070" s="7">
        <v>4911.05</v>
      </c>
      <c r="M3070" s="2" t="str">
        <f>_xlfn.IFS(TelecomData[[#This Row],[TenureMonths]]&lt;=12, "0-1 Year", TelecomData[[#This Row],[TenureMonths]]&lt;=36, "1-3 Years", TelecomData[[#This Row],[TenureMonths]]&gt;36, "3+ Years")</f>
        <v>3+ Years</v>
      </c>
      <c r="N3070" s="2" t="str">
        <f>IF(TelecomData[[#This Row],[CleanedTotalCharges]]&gt;=2500,"High Spend", "Standard Spend")</f>
        <v>High Spend</v>
      </c>
    </row>
    <row r="3071" spans="1:14" x14ac:dyDescent="0.3">
      <c r="A3071" s="1" t="s">
        <v>3095</v>
      </c>
      <c r="B3071" s="2" t="s">
        <v>12</v>
      </c>
      <c r="C3071" s="2" t="s">
        <v>13</v>
      </c>
      <c r="D3071" s="2">
        <v>10</v>
      </c>
      <c r="E3071" s="2" t="s">
        <v>15</v>
      </c>
      <c r="F3071" s="2" t="s">
        <v>36</v>
      </c>
      <c r="G3071" s="7">
        <v>20.55</v>
      </c>
      <c r="H3071" s="7">
        <v>187.35</v>
      </c>
      <c r="I3071" s="2" t="s">
        <v>15</v>
      </c>
      <c r="J3071" s="2" t="s">
        <v>16</v>
      </c>
      <c r="K3071" s="2" t="s">
        <v>21</v>
      </c>
      <c r="L3071" s="7">
        <v>187.35</v>
      </c>
      <c r="M3071" s="2" t="str">
        <f>_xlfn.IFS(TelecomData[[#This Row],[TenureMonths]]&lt;=12, "0-1 Year", TelecomData[[#This Row],[TenureMonths]]&lt;=36, "1-3 Years", TelecomData[[#This Row],[TenureMonths]]&gt;36, "3+ Years")</f>
        <v>0-1 Year</v>
      </c>
      <c r="N3071" s="2" t="str">
        <f>IF(TelecomData[[#This Row],[CleanedTotalCharges]]&gt;=2500,"High Spend", "Standard Spend")</f>
        <v>Standard Spend</v>
      </c>
    </row>
    <row r="3072" spans="1:14" x14ac:dyDescent="0.3">
      <c r="A3072" s="1" t="s">
        <v>3096</v>
      </c>
      <c r="B3072" s="2" t="s">
        <v>12</v>
      </c>
      <c r="C3072" s="2" t="s">
        <v>13</v>
      </c>
      <c r="D3072" s="2">
        <v>6</v>
      </c>
      <c r="E3072" s="2" t="s">
        <v>14</v>
      </c>
      <c r="F3072" s="2" t="s">
        <v>16</v>
      </c>
      <c r="G3072" s="7">
        <v>50.95</v>
      </c>
      <c r="H3072" s="7">
        <v>307.60000000000002</v>
      </c>
      <c r="I3072" s="2" t="s">
        <v>15</v>
      </c>
      <c r="J3072" s="2" t="s">
        <v>15</v>
      </c>
      <c r="K3072" s="2" t="s">
        <v>29</v>
      </c>
      <c r="L3072" s="7">
        <v>307.60000000000002</v>
      </c>
      <c r="M3072" s="2" t="str">
        <f>_xlfn.IFS(TelecomData[[#This Row],[TenureMonths]]&lt;=12, "0-1 Year", TelecomData[[#This Row],[TenureMonths]]&lt;=36, "1-3 Years", TelecomData[[#This Row],[TenureMonths]]&gt;36, "3+ Years")</f>
        <v>0-1 Year</v>
      </c>
      <c r="N3072" s="2" t="str">
        <f>IF(TelecomData[[#This Row],[CleanedTotalCharges]]&gt;=2500,"High Spend", "Standard Spend")</f>
        <v>Standard Spend</v>
      </c>
    </row>
    <row r="3073" spans="1:14" x14ac:dyDescent="0.3">
      <c r="A3073" s="1" t="s">
        <v>3097</v>
      </c>
      <c r="B3073" s="2" t="s">
        <v>19</v>
      </c>
      <c r="C3073" s="2" t="s">
        <v>35</v>
      </c>
      <c r="D3073" s="2">
        <v>47</v>
      </c>
      <c r="E3073" s="2" t="s">
        <v>14</v>
      </c>
      <c r="F3073" s="2" t="s">
        <v>16</v>
      </c>
      <c r="G3073" s="7">
        <v>90.5</v>
      </c>
      <c r="H3073" s="7">
        <v>4318.3500000000004</v>
      </c>
      <c r="I3073" s="2" t="s">
        <v>15</v>
      </c>
      <c r="J3073" s="2" t="s">
        <v>16</v>
      </c>
      <c r="K3073" s="2" t="s">
        <v>21</v>
      </c>
      <c r="L3073" s="7">
        <v>4318.3500000000004</v>
      </c>
      <c r="M3073" s="2" t="str">
        <f>_xlfn.IFS(TelecomData[[#This Row],[TenureMonths]]&lt;=12, "0-1 Year", TelecomData[[#This Row],[TenureMonths]]&lt;=36, "1-3 Years", TelecomData[[#This Row],[TenureMonths]]&gt;36, "3+ Years")</f>
        <v>3+ Years</v>
      </c>
      <c r="N3073" s="2" t="str">
        <f>IF(TelecomData[[#This Row],[CleanedTotalCharges]]&gt;=2500,"High Spend", "Standard Spend")</f>
        <v>High Spend</v>
      </c>
    </row>
    <row r="3074" spans="1:14" x14ac:dyDescent="0.3">
      <c r="A3074" s="1" t="s">
        <v>3098</v>
      </c>
      <c r="B3074" s="2" t="s">
        <v>12</v>
      </c>
      <c r="C3074" s="2" t="s">
        <v>20</v>
      </c>
      <c r="D3074" s="2">
        <v>61</v>
      </c>
      <c r="E3074" s="2" t="s">
        <v>14</v>
      </c>
      <c r="F3074" s="2" t="s">
        <v>16</v>
      </c>
      <c r="G3074" s="7">
        <v>79.400000000000006</v>
      </c>
      <c r="H3074" s="7">
        <v>4820.55</v>
      </c>
      <c r="I3074" s="2" t="s">
        <v>15</v>
      </c>
      <c r="J3074" s="2" t="s">
        <v>16</v>
      </c>
      <c r="K3074" s="2" t="s">
        <v>17</v>
      </c>
      <c r="L3074" s="7">
        <v>4820.55</v>
      </c>
      <c r="M3074" s="2" t="str">
        <f>_xlfn.IFS(TelecomData[[#This Row],[TenureMonths]]&lt;=12, "0-1 Year", TelecomData[[#This Row],[TenureMonths]]&lt;=36, "1-3 Years", TelecomData[[#This Row],[TenureMonths]]&gt;36, "3+ Years")</f>
        <v>3+ Years</v>
      </c>
      <c r="N3074" s="2" t="str">
        <f>IF(TelecomData[[#This Row],[CleanedTotalCharges]]&gt;=2500,"High Spend", "Standard Spend")</f>
        <v>High Spend</v>
      </c>
    </row>
    <row r="3075" spans="1:14" x14ac:dyDescent="0.3">
      <c r="A3075" s="1" t="s">
        <v>3099</v>
      </c>
      <c r="B3075" s="2" t="s">
        <v>12</v>
      </c>
      <c r="C3075" s="2" t="s">
        <v>35</v>
      </c>
      <c r="D3075" s="2">
        <v>52</v>
      </c>
      <c r="E3075" s="2" t="s">
        <v>14</v>
      </c>
      <c r="F3075" s="2" t="s">
        <v>15</v>
      </c>
      <c r="G3075" s="7">
        <v>58.75</v>
      </c>
      <c r="H3075" s="7">
        <v>3038.55</v>
      </c>
      <c r="I3075" s="2" t="s">
        <v>15</v>
      </c>
      <c r="J3075" s="2" t="s">
        <v>16</v>
      </c>
      <c r="K3075" s="2" t="s">
        <v>24</v>
      </c>
      <c r="L3075" s="7">
        <v>3038.55</v>
      </c>
      <c r="M3075" s="2" t="str">
        <f>_xlfn.IFS(TelecomData[[#This Row],[TenureMonths]]&lt;=12, "0-1 Year", TelecomData[[#This Row],[TenureMonths]]&lt;=36, "1-3 Years", TelecomData[[#This Row],[TenureMonths]]&gt;36, "3+ Years")</f>
        <v>3+ Years</v>
      </c>
      <c r="N3075" s="2" t="str">
        <f>IF(TelecomData[[#This Row],[CleanedTotalCharges]]&gt;=2500,"High Spend", "Standard Spend")</f>
        <v>High Spend</v>
      </c>
    </row>
    <row r="3076" spans="1:14" x14ac:dyDescent="0.3">
      <c r="A3076" s="1" t="s">
        <v>3100</v>
      </c>
      <c r="B3076" s="2" t="s">
        <v>12</v>
      </c>
      <c r="C3076" s="2" t="s">
        <v>13</v>
      </c>
      <c r="D3076" s="2">
        <v>35</v>
      </c>
      <c r="E3076" s="2" t="s">
        <v>14</v>
      </c>
      <c r="F3076" s="2" t="s">
        <v>15</v>
      </c>
      <c r="G3076" s="7">
        <v>59.45</v>
      </c>
      <c r="H3076" s="7">
        <v>2136.9</v>
      </c>
      <c r="I3076" s="2" t="s">
        <v>15</v>
      </c>
      <c r="J3076" s="2" t="s">
        <v>16</v>
      </c>
      <c r="K3076" s="2" t="s">
        <v>29</v>
      </c>
      <c r="L3076" s="7">
        <v>2136.9</v>
      </c>
      <c r="M3076" s="2" t="str">
        <f>_xlfn.IFS(TelecomData[[#This Row],[TenureMonths]]&lt;=12, "0-1 Year", TelecomData[[#This Row],[TenureMonths]]&lt;=36, "1-3 Years", TelecomData[[#This Row],[TenureMonths]]&gt;36, "3+ Years")</f>
        <v>1-3 Years</v>
      </c>
      <c r="N3076" s="2" t="str">
        <f>IF(TelecomData[[#This Row],[CleanedTotalCharges]]&gt;=2500,"High Spend", "Standard Spend")</f>
        <v>Standard Spend</v>
      </c>
    </row>
    <row r="3077" spans="1:14" x14ac:dyDescent="0.3">
      <c r="A3077" s="1" t="s">
        <v>3101</v>
      </c>
      <c r="B3077" s="2" t="s">
        <v>19</v>
      </c>
      <c r="C3077" s="2" t="s">
        <v>20</v>
      </c>
      <c r="D3077" s="2">
        <v>71</v>
      </c>
      <c r="E3077" s="2" t="s">
        <v>26</v>
      </c>
      <c r="F3077" s="2" t="s">
        <v>15</v>
      </c>
      <c r="G3077" s="7">
        <v>105.7</v>
      </c>
      <c r="H3077" s="7">
        <v>7472.15</v>
      </c>
      <c r="I3077" s="2" t="s">
        <v>15</v>
      </c>
      <c r="J3077" s="2" t="s">
        <v>16</v>
      </c>
      <c r="K3077" s="2" t="s">
        <v>24</v>
      </c>
      <c r="L3077" s="7">
        <v>7472.15</v>
      </c>
      <c r="M3077" s="2" t="str">
        <f>_xlfn.IFS(TelecomData[[#This Row],[TenureMonths]]&lt;=12, "0-1 Year", TelecomData[[#This Row],[TenureMonths]]&lt;=36, "1-3 Years", TelecomData[[#This Row],[TenureMonths]]&gt;36, "3+ Years")</f>
        <v>3+ Years</v>
      </c>
      <c r="N3077" s="2" t="str">
        <f>IF(TelecomData[[#This Row],[CleanedTotalCharges]]&gt;=2500,"High Spend", "Standard Spend")</f>
        <v>High Spend</v>
      </c>
    </row>
    <row r="3078" spans="1:14" x14ac:dyDescent="0.3">
      <c r="A3078" s="1" t="s">
        <v>3102</v>
      </c>
      <c r="B3078" s="2" t="s">
        <v>12</v>
      </c>
      <c r="C3078" s="2" t="s">
        <v>13</v>
      </c>
      <c r="D3078" s="2">
        <v>6</v>
      </c>
      <c r="E3078" s="2" t="s">
        <v>14</v>
      </c>
      <c r="F3078" s="2" t="s">
        <v>15</v>
      </c>
      <c r="G3078" s="7">
        <v>56.25</v>
      </c>
      <c r="H3078" s="7">
        <v>389.1</v>
      </c>
      <c r="I3078" s="2" t="s">
        <v>16</v>
      </c>
      <c r="J3078" s="2" t="s">
        <v>15</v>
      </c>
      <c r="K3078" s="2" t="s">
        <v>17</v>
      </c>
      <c r="L3078" s="7">
        <v>389.1</v>
      </c>
      <c r="M3078" s="2" t="str">
        <f>_xlfn.IFS(TelecomData[[#This Row],[TenureMonths]]&lt;=12, "0-1 Year", TelecomData[[#This Row],[TenureMonths]]&lt;=36, "1-3 Years", TelecomData[[#This Row],[TenureMonths]]&gt;36, "3+ Years")</f>
        <v>0-1 Year</v>
      </c>
      <c r="N3078" s="2" t="str">
        <f>IF(TelecomData[[#This Row],[CleanedTotalCharges]]&gt;=2500,"High Spend", "Standard Spend")</f>
        <v>Standard Spend</v>
      </c>
    </row>
    <row r="3079" spans="1:14" x14ac:dyDescent="0.3">
      <c r="A3079" s="1" t="s">
        <v>3103</v>
      </c>
      <c r="B3079" s="2" t="s">
        <v>19</v>
      </c>
      <c r="C3079" s="2" t="s">
        <v>35</v>
      </c>
      <c r="D3079" s="2">
        <v>45</v>
      </c>
      <c r="E3079" s="2" t="s">
        <v>14</v>
      </c>
      <c r="F3079" s="2" t="s">
        <v>15</v>
      </c>
      <c r="G3079" s="7">
        <v>53.3</v>
      </c>
      <c r="H3079" s="7">
        <v>2296.25</v>
      </c>
      <c r="I3079" s="2" t="s">
        <v>15</v>
      </c>
      <c r="J3079" s="2" t="s">
        <v>15</v>
      </c>
      <c r="K3079" s="2" t="s">
        <v>29</v>
      </c>
      <c r="L3079" s="7">
        <v>2296.25</v>
      </c>
      <c r="M3079" s="2" t="str">
        <f>_xlfn.IFS(TelecomData[[#This Row],[TenureMonths]]&lt;=12, "0-1 Year", TelecomData[[#This Row],[TenureMonths]]&lt;=36, "1-3 Years", TelecomData[[#This Row],[TenureMonths]]&gt;36, "3+ Years")</f>
        <v>3+ Years</v>
      </c>
      <c r="N3079" s="2" t="str">
        <f>IF(TelecomData[[#This Row],[CleanedTotalCharges]]&gt;=2500,"High Spend", "Standard Spend")</f>
        <v>Standard Spend</v>
      </c>
    </row>
    <row r="3080" spans="1:14" x14ac:dyDescent="0.3">
      <c r="A3080" s="1" t="s">
        <v>3104</v>
      </c>
      <c r="B3080" s="2" t="s">
        <v>12</v>
      </c>
      <c r="C3080" s="2" t="s">
        <v>13</v>
      </c>
      <c r="D3080" s="2">
        <v>2</v>
      </c>
      <c r="E3080" s="2" t="s">
        <v>26</v>
      </c>
      <c r="F3080" s="2" t="s">
        <v>15</v>
      </c>
      <c r="G3080" s="7">
        <v>85.55</v>
      </c>
      <c r="H3080" s="7">
        <v>187.45</v>
      </c>
      <c r="I3080" s="2" t="s">
        <v>16</v>
      </c>
      <c r="J3080" s="2" t="s">
        <v>16</v>
      </c>
      <c r="K3080" s="2" t="s">
        <v>17</v>
      </c>
      <c r="L3080" s="7">
        <v>187.45</v>
      </c>
      <c r="M3080" s="2" t="str">
        <f>_xlfn.IFS(TelecomData[[#This Row],[TenureMonths]]&lt;=12, "0-1 Year", TelecomData[[#This Row],[TenureMonths]]&lt;=36, "1-3 Years", TelecomData[[#This Row],[TenureMonths]]&gt;36, "3+ Years")</f>
        <v>0-1 Year</v>
      </c>
      <c r="N3080" s="2" t="str">
        <f>IF(TelecomData[[#This Row],[CleanedTotalCharges]]&gt;=2500,"High Spend", "Standard Spend")</f>
        <v>Standard Spend</v>
      </c>
    </row>
    <row r="3081" spans="1:14" x14ac:dyDescent="0.3">
      <c r="A3081" s="1" t="s">
        <v>3105</v>
      </c>
      <c r="B3081" s="2" t="s">
        <v>12</v>
      </c>
      <c r="C3081" s="2" t="s">
        <v>13</v>
      </c>
      <c r="D3081" s="2">
        <v>4</v>
      </c>
      <c r="E3081" s="2" t="s">
        <v>14</v>
      </c>
      <c r="F3081" s="2" t="s">
        <v>15</v>
      </c>
      <c r="G3081" s="7">
        <v>68.650000000000006</v>
      </c>
      <c r="H3081" s="7">
        <v>261.25</v>
      </c>
      <c r="I3081" s="2" t="s">
        <v>16</v>
      </c>
      <c r="J3081" s="2" t="s">
        <v>16</v>
      </c>
      <c r="K3081" s="2" t="s">
        <v>24</v>
      </c>
      <c r="L3081" s="7">
        <v>261.25</v>
      </c>
      <c r="M3081" s="2" t="str">
        <f>_xlfn.IFS(TelecomData[[#This Row],[TenureMonths]]&lt;=12, "0-1 Year", TelecomData[[#This Row],[TenureMonths]]&lt;=36, "1-3 Years", TelecomData[[#This Row],[TenureMonths]]&gt;36, "3+ Years")</f>
        <v>0-1 Year</v>
      </c>
      <c r="N3081" s="2" t="str">
        <f>IF(TelecomData[[#This Row],[CleanedTotalCharges]]&gt;=2500,"High Spend", "Standard Spend")</f>
        <v>Standard Spend</v>
      </c>
    </row>
    <row r="3082" spans="1:14" x14ac:dyDescent="0.3">
      <c r="A3082" s="1" t="s">
        <v>3106</v>
      </c>
      <c r="B3082" s="2" t="s">
        <v>19</v>
      </c>
      <c r="C3082" s="2" t="s">
        <v>13</v>
      </c>
      <c r="D3082" s="2">
        <v>2</v>
      </c>
      <c r="E3082" s="2" t="s">
        <v>14</v>
      </c>
      <c r="F3082" s="2" t="s">
        <v>15</v>
      </c>
      <c r="G3082" s="7">
        <v>24.3</v>
      </c>
      <c r="H3082" s="7">
        <v>38.450000000000003</v>
      </c>
      <c r="I3082" s="2" t="s">
        <v>15</v>
      </c>
      <c r="J3082" s="2" t="s">
        <v>15</v>
      </c>
      <c r="K3082" s="2" t="s">
        <v>21</v>
      </c>
      <c r="L3082" s="7">
        <v>38.450000000000003</v>
      </c>
      <c r="M3082" s="2" t="str">
        <f>_xlfn.IFS(TelecomData[[#This Row],[TenureMonths]]&lt;=12, "0-1 Year", TelecomData[[#This Row],[TenureMonths]]&lt;=36, "1-3 Years", TelecomData[[#This Row],[TenureMonths]]&gt;36, "3+ Years")</f>
        <v>0-1 Year</v>
      </c>
      <c r="N3082" s="2" t="str">
        <f>IF(TelecomData[[#This Row],[CleanedTotalCharges]]&gt;=2500,"High Spend", "Standard Spend")</f>
        <v>Standard Spend</v>
      </c>
    </row>
    <row r="3083" spans="1:14" x14ac:dyDescent="0.3">
      <c r="A3083" s="1" t="s">
        <v>3107</v>
      </c>
      <c r="B3083" s="2" t="s">
        <v>19</v>
      </c>
      <c r="C3083" s="2" t="s">
        <v>13</v>
      </c>
      <c r="D3083" s="2">
        <v>4</v>
      </c>
      <c r="E3083" s="2" t="s">
        <v>26</v>
      </c>
      <c r="F3083" s="2" t="s">
        <v>15</v>
      </c>
      <c r="G3083" s="7">
        <v>77.849999999999994</v>
      </c>
      <c r="H3083" s="7">
        <v>299.2</v>
      </c>
      <c r="I3083" s="2" t="s">
        <v>16</v>
      </c>
      <c r="J3083" s="2" t="s">
        <v>15</v>
      </c>
      <c r="K3083" s="2" t="s">
        <v>17</v>
      </c>
      <c r="L3083" s="7">
        <v>299.2</v>
      </c>
      <c r="M3083" s="2" t="str">
        <f>_xlfn.IFS(TelecomData[[#This Row],[TenureMonths]]&lt;=12, "0-1 Year", TelecomData[[#This Row],[TenureMonths]]&lt;=36, "1-3 Years", TelecomData[[#This Row],[TenureMonths]]&gt;36, "3+ Years")</f>
        <v>0-1 Year</v>
      </c>
      <c r="N3083" s="2" t="str">
        <f>IF(TelecomData[[#This Row],[CleanedTotalCharges]]&gt;=2500,"High Spend", "Standard Spend")</f>
        <v>Standard Spend</v>
      </c>
    </row>
    <row r="3084" spans="1:14" x14ac:dyDescent="0.3">
      <c r="A3084" s="1" t="s">
        <v>3108</v>
      </c>
      <c r="B3084" s="2" t="s">
        <v>19</v>
      </c>
      <c r="C3084" s="2" t="s">
        <v>20</v>
      </c>
      <c r="D3084" s="2">
        <v>51</v>
      </c>
      <c r="E3084" s="2" t="s">
        <v>14</v>
      </c>
      <c r="F3084" s="2" t="s">
        <v>16</v>
      </c>
      <c r="G3084" s="7">
        <v>59.9</v>
      </c>
      <c r="H3084" s="7">
        <v>3043.6</v>
      </c>
      <c r="I3084" s="2" t="s">
        <v>15</v>
      </c>
      <c r="J3084" s="2" t="s">
        <v>15</v>
      </c>
      <c r="K3084" s="2" t="s">
        <v>29</v>
      </c>
      <c r="L3084" s="7">
        <v>3043.6</v>
      </c>
      <c r="M3084" s="2" t="str">
        <f>_xlfn.IFS(TelecomData[[#This Row],[TenureMonths]]&lt;=12, "0-1 Year", TelecomData[[#This Row],[TenureMonths]]&lt;=36, "1-3 Years", TelecomData[[#This Row],[TenureMonths]]&gt;36, "3+ Years")</f>
        <v>3+ Years</v>
      </c>
      <c r="N3084" s="2" t="str">
        <f>IF(TelecomData[[#This Row],[CleanedTotalCharges]]&gt;=2500,"High Spend", "Standard Spend")</f>
        <v>High Spend</v>
      </c>
    </row>
    <row r="3085" spans="1:14" x14ac:dyDescent="0.3">
      <c r="A3085" s="1" t="s">
        <v>3109</v>
      </c>
      <c r="B3085" s="2" t="s">
        <v>19</v>
      </c>
      <c r="C3085" s="2" t="s">
        <v>20</v>
      </c>
      <c r="D3085" s="2">
        <v>60</v>
      </c>
      <c r="E3085" s="2" t="s">
        <v>15</v>
      </c>
      <c r="F3085" s="2" t="s">
        <v>36</v>
      </c>
      <c r="G3085" s="7">
        <v>23.95</v>
      </c>
      <c r="H3085" s="7">
        <v>1506.4</v>
      </c>
      <c r="I3085" s="2" t="s">
        <v>15</v>
      </c>
      <c r="J3085" s="2" t="s">
        <v>15</v>
      </c>
      <c r="K3085" s="2" t="s">
        <v>29</v>
      </c>
      <c r="L3085" s="7">
        <v>1506.4</v>
      </c>
      <c r="M3085" s="2" t="str">
        <f>_xlfn.IFS(TelecomData[[#This Row],[TenureMonths]]&lt;=12, "0-1 Year", TelecomData[[#This Row],[TenureMonths]]&lt;=36, "1-3 Years", TelecomData[[#This Row],[TenureMonths]]&gt;36, "3+ Years")</f>
        <v>3+ Years</v>
      </c>
      <c r="N3085" s="2" t="str">
        <f>IF(TelecomData[[#This Row],[CleanedTotalCharges]]&gt;=2500,"High Spend", "Standard Spend")</f>
        <v>Standard Spend</v>
      </c>
    </row>
    <row r="3086" spans="1:14" x14ac:dyDescent="0.3">
      <c r="A3086" s="1" t="s">
        <v>3110</v>
      </c>
      <c r="B3086" s="2" t="s">
        <v>19</v>
      </c>
      <c r="C3086" s="2" t="s">
        <v>20</v>
      </c>
      <c r="D3086" s="2">
        <v>9</v>
      </c>
      <c r="E3086" s="2" t="s">
        <v>15</v>
      </c>
      <c r="F3086" s="2" t="s">
        <v>36</v>
      </c>
      <c r="G3086" s="7">
        <v>20.149999999999999</v>
      </c>
      <c r="H3086" s="7">
        <v>163.69999999999999</v>
      </c>
      <c r="I3086" s="2" t="s">
        <v>15</v>
      </c>
      <c r="J3086" s="2" t="s">
        <v>16</v>
      </c>
      <c r="K3086" s="2" t="s">
        <v>21</v>
      </c>
      <c r="L3086" s="7">
        <v>163.69999999999999</v>
      </c>
      <c r="M3086" s="2" t="str">
        <f>_xlfn.IFS(TelecomData[[#This Row],[TenureMonths]]&lt;=12, "0-1 Year", TelecomData[[#This Row],[TenureMonths]]&lt;=36, "1-3 Years", TelecomData[[#This Row],[TenureMonths]]&gt;36, "3+ Years")</f>
        <v>0-1 Year</v>
      </c>
      <c r="N3086" s="2" t="str">
        <f>IF(TelecomData[[#This Row],[CleanedTotalCharges]]&gt;=2500,"High Spend", "Standard Spend")</f>
        <v>Standard Spend</v>
      </c>
    </row>
    <row r="3087" spans="1:14" x14ac:dyDescent="0.3">
      <c r="A3087" s="1" t="s">
        <v>3111</v>
      </c>
      <c r="B3087" s="2" t="s">
        <v>19</v>
      </c>
      <c r="C3087" s="2" t="s">
        <v>13</v>
      </c>
      <c r="D3087" s="2">
        <v>3</v>
      </c>
      <c r="E3087" s="2" t="s">
        <v>26</v>
      </c>
      <c r="F3087" s="2" t="s">
        <v>15</v>
      </c>
      <c r="G3087" s="7">
        <v>105.35</v>
      </c>
      <c r="H3087" s="7">
        <v>323.25</v>
      </c>
      <c r="I3087" s="2" t="s">
        <v>16</v>
      </c>
      <c r="J3087" s="2" t="s">
        <v>16</v>
      </c>
      <c r="K3087" s="2" t="s">
        <v>24</v>
      </c>
      <c r="L3087" s="7">
        <v>323.25</v>
      </c>
      <c r="M3087" s="2" t="str">
        <f>_xlfn.IFS(TelecomData[[#This Row],[TenureMonths]]&lt;=12, "0-1 Year", TelecomData[[#This Row],[TenureMonths]]&lt;=36, "1-3 Years", TelecomData[[#This Row],[TenureMonths]]&gt;36, "3+ Years")</f>
        <v>0-1 Year</v>
      </c>
      <c r="N3087" s="2" t="str">
        <f>IF(TelecomData[[#This Row],[CleanedTotalCharges]]&gt;=2500,"High Spend", "Standard Spend")</f>
        <v>Standard Spend</v>
      </c>
    </row>
    <row r="3088" spans="1:14" x14ac:dyDescent="0.3">
      <c r="A3088" s="1" t="s">
        <v>3112</v>
      </c>
      <c r="B3088" s="2" t="s">
        <v>19</v>
      </c>
      <c r="C3088" s="2" t="s">
        <v>13</v>
      </c>
      <c r="D3088" s="2">
        <v>17</v>
      </c>
      <c r="E3088" s="2" t="s">
        <v>26</v>
      </c>
      <c r="F3088" s="2" t="s">
        <v>16</v>
      </c>
      <c r="G3088" s="7">
        <v>95.65</v>
      </c>
      <c r="H3088" s="7">
        <v>1640</v>
      </c>
      <c r="I3088" s="2" t="s">
        <v>15</v>
      </c>
      <c r="J3088" s="2" t="s">
        <v>16</v>
      </c>
      <c r="K3088" s="2" t="s">
        <v>24</v>
      </c>
      <c r="L3088" s="7">
        <v>1640</v>
      </c>
      <c r="M3088" s="2" t="str">
        <f>_xlfn.IFS(TelecomData[[#This Row],[TenureMonths]]&lt;=12, "0-1 Year", TelecomData[[#This Row],[TenureMonths]]&lt;=36, "1-3 Years", TelecomData[[#This Row],[TenureMonths]]&gt;36, "3+ Years")</f>
        <v>1-3 Years</v>
      </c>
      <c r="N3088" s="2" t="str">
        <f>IF(TelecomData[[#This Row],[CleanedTotalCharges]]&gt;=2500,"High Spend", "Standard Spend")</f>
        <v>Standard Spend</v>
      </c>
    </row>
    <row r="3089" spans="1:14" x14ac:dyDescent="0.3">
      <c r="A3089" s="1" t="s">
        <v>3113</v>
      </c>
      <c r="B3089" s="2" t="s">
        <v>12</v>
      </c>
      <c r="C3089" s="2" t="s">
        <v>13</v>
      </c>
      <c r="D3089" s="2">
        <v>8</v>
      </c>
      <c r="E3089" s="2" t="s">
        <v>26</v>
      </c>
      <c r="F3089" s="2" t="s">
        <v>15</v>
      </c>
      <c r="G3089" s="7">
        <v>87.05</v>
      </c>
      <c r="H3089" s="7">
        <v>762.1</v>
      </c>
      <c r="I3089" s="2" t="s">
        <v>16</v>
      </c>
      <c r="J3089" s="2" t="s">
        <v>16</v>
      </c>
      <c r="K3089" s="2" t="s">
        <v>17</v>
      </c>
      <c r="L3089" s="7">
        <v>762.1</v>
      </c>
      <c r="M3089" s="2" t="str">
        <f>_xlfn.IFS(TelecomData[[#This Row],[TenureMonths]]&lt;=12, "0-1 Year", TelecomData[[#This Row],[TenureMonths]]&lt;=36, "1-3 Years", TelecomData[[#This Row],[TenureMonths]]&gt;36, "3+ Years")</f>
        <v>0-1 Year</v>
      </c>
      <c r="N3089" s="2" t="str">
        <f>IF(TelecomData[[#This Row],[CleanedTotalCharges]]&gt;=2500,"High Spend", "Standard Spend")</f>
        <v>Standard Spend</v>
      </c>
    </row>
    <row r="3090" spans="1:14" x14ac:dyDescent="0.3">
      <c r="A3090" s="1" t="s">
        <v>3114</v>
      </c>
      <c r="B3090" s="2" t="s">
        <v>19</v>
      </c>
      <c r="C3090" s="2" t="s">
        <v>35</v>
      </c>
      <c r="D3090" s="2">
        <v>46</v>
      </c>
      <c r="E3090" s="2" t="s">
        <v>14</v>
      </c>
      <c r="F3090" s="2" t="s">
        <v>16</v>
      </c>
      <c r="G3090" s="7">
        <v>81</v>
      </c>
      <c r="H3090" s="7">
        <v>3846.35</v>
      </c>
      <c r="I3090" s="2" t="s">
        <v>15</v>
      </c>
      <c r="J3090" s="2" t="s">
        <v>15</v>
      </c>
      <c r="K3090" s="2" t="s">
        <v>21</v>
      </c>
      <c r="L3090" s="7">
        <v>3846.35</v>
      </c>
      <c r="M3090" s="2" t="str">
        <f>_xlfn.IFS(TelecomData[[#This Row],[TenureMonths]]&lt;=12, "0-1 Year", TelecomData[[#This Row],[TenureMonths]]&lt;=36, "1-3 Years", TelecomData[[#This Row],[TenureMonths]]&gt;36, "3+ Years")</f>
        <v>3+ Years</v>
      </c>
      <c r="N3090" s="2" t="str">
        <f>IF(TelecomData[[#This Row],[CleanedTotalCharges]]&gt;=2500,"High Spend", "Standard Spend")</f>
        <v>High Spend</v>
      </c>
    </row>
    <row r="3091" spans="1:14" x14ac:dyDescent="0.3">
      <c r="A3091" s="1" t="s">
        <v>3115</v>
      </c>
      <c r="B3091" s="2" t="s">
        <v>12</v>
      </c>
      <c r="C3091" s="2" t="s">
        <v>35</v>
      </c>
      <c r="D3091" s="2">
        <v>68</v>
      </c>
      <c r="E3091" s="2" t="s">
        <v>14</v>
      </c>
      <c r="F3091" s="2" t="s">
        <v>16</v>
      </c>
      <c r="G3091" s="7">
        <v>82.45</v>
      </c>
      <c r="H3091" s="7">
        <v>5646.6</v>
      </c>
      <c r="I3091" s="2" t="s">
        <v>15</v>
      </c>
      <c r="J3091" s="2" t="s">
        <v>16</v>
      </c>
      <c r="K3091" s="2" t="s">
        <v>29</v>
      </c>
      <c r="L3091" s="7">
        <v>5646.6</v>
      </c>
      <c r="M3091" s="2" t="str">
        <f>_xlfn.IFS(TelecomData[[#This Row],[TenureMonths]]&lt;=12, "0-1 Year", TelecomData[[#This Row],[TenureMonths]]&lt;=36, "1-3 Years", TelecomData[[#This Row],[TenureMonths]]&gt;36, "3+ Years")</f>
        <v>3+ Years</v>
      </c>
      <c r="N3091" s="2" t="str">
        <f>IF(TelecomData[[#This Row],[CleanedTotalCharges]]&gt;=2500,"High Spend", "Standard Spend")</f>
        <v>High Spend</v>
      </c>
    </row>
    <row r="3092" spans="1:14" x14ac:dyDescent="0.3">
      <c r="A3092" s="1" t="s">
        <v>3116</v>
      </c>
      <c r="B3092" s="2" t="s">
        <v>19</v>
      </c>
      <c r="C3092" s="2" t="s">
        <v>13</v>
      </c>
      <c r="D3092" s="2">
        <v>1</v>
      </c>
      <c r="E3092" s="2" t="s">
        <v>14</v>
      </c>
      <c r="F3092" s="2" t="s">
        <v>15</v>
      </c>
      <c r="G3092" s="7">
        <v>53.5</v>
      </c>
      <c r="H3092" s="7">
        <v>53.5</v>
      </c>
      <c r="I3092" s="2" t="s">
        <v>16</v>
      </c>
      <c r="J3092" s="2" t="s">
        <v>16</v>
      </c>
      <c r="K3092" s="2" t="s">
        <v>21</v>
      </c>
      <c r="L3092" s="7">
        <v>53.5</v>
      </c>
      <c r="M3092" s="2" t="str">
        <f>_xlfn.IFS(TelecomData[[#This Row],[TenureMonths]]&lt;=12, "0-1 Year", TelecomData[[#This Row],[TenureMonths]]&lt;=36, "1-3 Years", TelecomData[[#This Row],[TenureMonths]]&gt;36, "3+ Years")</f>
        <v>0-1 Year</v>
      </c>
      <c r="N3092" s="2" t="str">
        <f>IF(TelecomData[[#This Row],[CleanedTotalCharges]]&gt;=2500,"High Spend", "Standard Spend")</f>
        <v>Standard Spend</v>
      </c>
    </row>
    <row r="3093" spans="1:14" x14ac:dyDescent="0.3">
      <c r="A3093" s="1" t="s">
        <v>3117</v>
      </c>
      <c r="B3093" s="2" t="s">
        <v>12</v>
      </c>
      <c r="C3093" s="2" t="s">
        <v>20</v>
      </c>
      <c r="D3093" s="2">
        <v>4</v>
      </c>
      <c r="E3093" s="2" t="s">
        <v>15</v>
      </c>
      <c r="F3093" s="2" t="s">
        <v>36</v>
      </c>
      <c r="G3093" s="7">
        <v>20.5</v>
      </c>
      <c r="H3093" s="7">
        <v>79.05</v>
      </c>
      <c r="I3093" s="2" t="s">
        <v>15</v>
      </c>
      <c r="J3093" s="2" t="s">
        <v>15</v>
      </c>
      <c r="K3093" s="2" t="s">
        <v>24</v>
      </c>
      <c r="L3093" s="7">
        <v>79.05</v>
      </c>
      <c r="M3093" s="2" t="str">
        <f>_xlfn.IFS(TelecomData[[#This Row],[TenureMonths]]&lt;=12, "0-1 Year", TelecomData[[#This Row],[TenureMonths]]&lt;=36, "1-3 Years", TelecomData[[#This Row],[TenureMonths]]&gt;36, "3+ Years")</f>
        <v>0-1 Year</v>
      </c>
      <c r="N3093" s="2" t="str">
        <f>IF(TelecomData[[#This Row],[CleanedTotalCharges]]&gt;=2500,"High Spend", "Standard Spend")</f>
        <v>Standard Spend</v>
      </c>
    </row>
    <row r="3094" spans="1:14" x14ac:dyDescent="0.3">
      <c r="A3094" s="1" t="s">
        <v>3118</v>
      </c>
      <c r="B3094" s="2" t="s">
        <v>12</v>
      </c>
      <c r="C3094" s="2" t="s">
        <v>13</v>
      </c>
      <c r="D3094" s="2">
        <v>1</v>
      </c>
      <c r="E3094" s="2" t="s">
        <v>14</v>
      </c>
      <c r="F3094" s="2" t="s">
        <v>15</v>
      </c>
      <c r="G3094" s="7">
        <v>25.1</v>
      </c>
      <c r="H3094" s="7">
        <v>25.1</v>
      </c>
      <c r="I3094" s="2" t="s">
        <v>16</v>
      </c>
      <c r="J3094" s="2" t="s">
        <v>16</v>
      </c>
      <c r="K3094" s="2" t="s">
        <v>21</v>
      </c>
      <c r="L3094" s="7">
        <v>25.1</v>
      </c>
      <c r="M3094" s="2" t="str">
        <f>_xlfn.IFS(TelecomData[[#This Row],[TenureMonths]]&lt;=12, "0-1 Year", TelecomData[[#This Row],[TenureMonths]]&lt;=36, "1-3 Years", TelecomData[[#This Row],[TenureMonths]]&gt;36, "3+ Years")</f>
        <v>0-1 Year</v>
      </c>
      <c r="N3094" s="2" t="str">
        <f>IF(TelecomData[[#This Row],[CleanedTotalCharges]]&gt;=2500,"High Spend", "Standard Spend")</f>
        <v>Standard Spend</v>
      </c>
    </row>
    <row r="3095" spans="1:14" x14ac:dyDescent="0.3">
      <c r="A3095" s="1" t="s">
        <v>3119</v>
      </c>
      <c r="B3095" s="2" t="s">
        <v>19</v>
      </c>
      <c r="C3095" s="2" t="s">
        <v>20</v>
      </c>
      <c r="D3095" s="2">
        <v>28</v>
      </c>
      <c r="E3095" s="2" t="s">
        <v>14</v>
      </c>
      <c r="F3095" s="2" t="s">
        <v>16</v>
      </c>
      <c r="G3095" s="7">
        <v>54.4</v>
      </c>
      <c r="H3095" s="7">
        <v>1516.6</v>
      </c>
      <c r="I3095" s="2" t="s">
        <v>15</v>
      </c>
      <c r="J3095" s="2" t="s">
        <v>16</v>
      </c>
      <c r="K3095" s="2" t="s">
        <v>29</v>
      </c>
      <c r="L3095" s="7">
        <v>1516.6</v>
      </c>
      <c r="M3095" s="2" t="str">
        <f>_xlfn.IFS(TelecomData[[#This Row],[TenureMonths]]&lt;=12, "0-1 Year", TelecomData[[#This Row],[TenureMonths]]&lt;=36, "1-3 Years", TelecomData[[#This Row],[TenureMonths]]&gt;36, "3+ Years")</f>
        <v>1-3 Years</v>
      </c>
      <c r="N3095" s="2" t="str">
        <f>IF(TelecomData[[#This Row],[CleanedTotalCharges]]&gt;=2500,"High Spend", "Standard Spend")</f>
        <v>Standard Spend</v>
      </c>
    </row>
    <row r="3096" spans="1:14" x14ac:dyDescent="0.3">
      <c r="A3096" s="1" t="s">
        <v>3120</v>
      </c>
      <c r="B3096" s="2" t="s">
        <v>12</v>
      </c>
      <c r="C3096" s="2" t="s">
        <v>20</v>
      </c>
      <c r="D3096" s="2">
        <v>39</v>
      </c>
      <c r="E3096" s="2" t="s">
        <v>14</v>
      </c>
      <c r="F3096" s="2" t="s">
        <v>15</v>
      </c>
      <c r="G3096" s="7">
        <v>58.6</v>
      </c>
      <c r="H3096" s="7">
        <v>2224.5</v>
      </c>
      <c r="I3096" s="2" t="s">
        <v>15</v>
      </c>
      <c r="J3096" s="2" t="s">
        <v>16</v>
      </c>
      <c r="K3096" s="2" t="s">
        <v>29</v>
      </c>
      <c r="L3096" s="7">
        <v>2224.5</v>
      </c>
      <c r="M3096" s="2" t="str">
        <f>_xlfn.IFS(TelecomData[[#This Row],[TenureMonths]]&lt;=12, "0-1 Year", TelecomData[[#This Row],[TenureMonths]]&lt;=36, "1-3 Years", TelecomData[[#This Row],[TenureMonths]]&gt;36, "3+ Years")</f>
        <v>3+ Years</v>
      </c>
      <c r="N3096" s="2" t="str">
        <f>IF(TelecomData[[#This Row],[CleanedTotalCharges]]&gt;=2500,"High Spend", "Standard Spend")</f>
        <v>Standard Spend</v>
      </c>
    </row>
    <row r="3097" spans="1:14" x14ac:dyDescent="0.3">
      <c r="A3097" s="1" t="s">
        <v>3121</v>
      </c>
      <c r="B3097" s="2" t="s">
        <v>19</v>
      </c>
      <c r="C3097" s="2" t="s">
        <v>13</v>
      </c>
      <c r="D3097" s="2">
        <v>11</v>
      </c>
      <c r="E3097" s="2" t="s">
        <v>26</v>
      </c>
      <c r="F3097" s="2" t="s">
        <v>15</v>
      </c>
      <c r="G3097" s="7">
        <v>84.8</v>
      </c>
      <c r="H3097" s="7">
        <v>888.75</v>
      </c>
      <c r="I3097" s="2" t="s">
        <v>15</v>
      </c>
      <c r="J3097" s="2" t="s">
        <v>15</v>
      </c>
      <c r="K3097" s="2" t="s">
        <v>17</v>
      </c>
      <c r="L3097" s="7">
        <v>888.75</v>
      </c>
      <c r="M3097" s="2" t="str">
        <f>_xlfn.IFS(TelecomData[[#This Row],[TenureMonths]]&lt;=12, "0-1 Year", TelecomData[[#This Row],[TenureMonths]]&lt;=36, "1-3 Years", TelecomData[[#This Row],[TenureMonths]]&gt;36, "3+ Years")</f>
        <v>0-1 Year</v>
      </c>
      <c r="N3097" s="2" t="str">
        <f>IF(TelecomData[[#This Row],[CleanedTotalCharges]]&gt;=2500,"High Spend", "Standard Spend")</f>
        <v>Standard Spend</v>
      </c>
    </row>
    <row r="3098" spans="1:14" x14ac:dyDescent="0.3">
      <c r="A3098" s="1" t="s">
        <v>3122</v>
      </c>
      <c r="B3098" s="2" t="s">
        <v>12</v>
      </c>
      <c r="C3098" s="2" t="s">
        <v>35</v>
      </c>
      <c r="D3098" s="2">
        <v>71</v>
      </c>
      <c r="E3098" s="2" t="s">
        <v>14</v>
      </c>
      <c r="F3098" s="2" t="s">
        <v>16</v>
      </c>
      <c r="G3098" s="7">
        <v>61.4</v>
      </c>
      <c r="H3098" s="7">
        <v>4310.3500000000004</v>
      </c>
      <c r="I3098" s="2" t="s">
        <v>15</v>
      </c>
      <c r="J3098" s="2" t="s">
        <v>16</v>
      </c>
      <c r="K3098" s="2" t="s">
        <v>29</v>
      </c>
      <c r="L3098" s="7">
        <v>4310.3500000000004</v>
      </c>
      <c r="M3098" s="2" t="str">
        <f>_xlfn.IFS(TelecomData[[#This Row],[TenureMonths]]&lt;=12, "0-1 Year", TelecomData[[#This Row],[TenureMonths]]&lt;=36, "1-3 Years", TelecomData[[#This Row],[TenureMonths]]&gt;36, "3+ Years")</f>
        <v>3+ Years</v>
      </c>
      <c r="N3098" s="2" t="str">
        <f>IF(TelecomData[[#This Row],[CleanedTotalCharges]]&gt;=2500,"High Spend", "Standard Spend")</f>
        <v>High Spend</v>
      </c>
    </row>
    <row r="3099" spans="1:14" x14ac:dyDescent="0.3">
      <c r="A3099" s="1" t="s">
        <v>3123</v>
      </c>
      <c r="B3099" s="2" t="s">
        <v>19</v>
      </c>
      <c r="C3099" s="2" t="s">
        <v>13</v>
      </c>
      <c r="D3099" s="2">
        <v>2</v>
      </c>
      <c r="E3099" s="2" t="s">
        <v>15</v>
      </c>
      <c r="F3099" s="2" t="s">
        <v>36</v>
      </c>
      <c r="G3099" s="7">
        <v>20.399999999999999</v>
      </c>
      <c r="H3099" s="7">
        <v>42.9</v>
      </c>
      <c r="I3099" s="2" t="s">
        <v>15</v>
      </c>
      <c r="J3099" s="2" t="s">
        <v>15</v>
      </c>
      <c r="K3099" s="2" t="s">
        <v>21</v>
      </c>
      <c r="L3099" s="7">
        <v>42.9</v>
      </c>
      <c r="M3099" s="2" t="str">
        <f>_xlfn.IFS(TelecomData[[#This Row],[TenureMonths]]&lt;=12, "0-1 Year", TelecomData[[#This Row],[TenureMonths]]&lt;=36, "1-3 Years", TelecomData[[#This Row],[TenureMonths]]&gt;36, "3+ Years")</f>
        <v>0-1 Year</v>
      </c>
      <c r="N3099" s="2" t="str">
        <f>IF(TelecomData[[#This Row],[CleanedTotalCharges]]&gt;=2500,"High Spend", "Standard Spend")</f>
        <v>Standard Spend</v>
      </c>
    </row>
    <row r="3100" spans="1:14" x14ac:dyDescent="0.3">
      <c r="A3100" s="1" t="s">
        <v>3124</v>
      </c>
      <c r="B3100" s="2" t="s">
        <v>19</v>
      </c>
      <c r="C3100" s="2" t="s">
        <v>13</v>
      </c>
      <c r="D3100" s="2">
        <v>30</v>
      </c>
      <c r="E3100" s="2" t="s">
        <v>26</v>
      </c>
      <c r="F3100" s="2" t="s">
        <v>15</v>
      </c>
      <c r="G3100" s="7">
        <v>79.650000000000006</v>
      </c>
      <c r="H3100" s="7">
        <v>2365.15</v>
      </c>
      <c r="I3100" s="2" t="s">
        <v>16</v>
      </c>
      <c r="J3100" s="2" t="s">
        <v>16</v>
      </c>
      <c r="K3100" s="2" t="s">
        <v>21</v>
      </c>
      <c r="L3100" s="7">
        <v>2365.15</v>
      </c>
      <c r="M3100" s="2" t="str">
        <f>_xlfn.IFS(TelecomData[[#This Row],[TenureMonths]]&lt;=12, "0-1 Year", TelecomData[[#This Row],[TenureMonths]]&lt;=36, "1-3 Years", TelecomData[[#This Row],[TenureMonths]]&gt;36, "3+ Years")</f>
        <v>1-3 Years</v>
      </c>
      <c r="N3100" s="2" t="str">
        <f>IF(TelecomData[[#This Row],[CleanedTotalCharges]]&gt;=2500,"High Spend", "Standard Spend")</f>
        <v>Standard Spend</v>
      </c>
    </row>
    <row r="3101" spans="1:14" x14ac:dyDescent="0.3">
      <c r="A3101" s="1" t="s">
        <v>3125</v>
      </c>
      <c r="B3101" s="2" t="s">
        <v>12</v>
      </c>
      <c r="C3101" s="2" t="s">
        <v>20</v>
      </c>
      <c r="D3101" s="2">
        <v>17</v>
      </c>
      <c r="E3101" s="2" t="s">
        <v>15</v>
      </c>
      <c r="F3101" s="2" t="s">
        <v>36</v>
      </c>
      <c r="G3101" s="7">
        <v>20.149999999999999</v>
      </c>
      <c r="H3101" s="7">
        <v>353.65</v>
      </c>
      <c r="I3101" s="2" t="s">
        <v>15</v>
      </c>
      <c r="J3101" s="2" t="s">
        <v>15</v>
      </c>
      <c r="K3101" s="2" t="s">
        <v>21</v>
      </c>
      <c r="L3101" s="7">
        <v>353.65</v>
      </c>
      <c r="M3101" s="2" t="str">
        <f>_xlfn.IFS(TelecomData[[#This Row],[TenureMonths]]&lt;=12, "0-1 Year", TelecomData[[#This Row],[TenureMonths]]&lt;=36, "1-3 Years", TelecomData[[#This Row],[TenureMonths]]&gt;36, "3+ Years")</f>
        <v>1-3 Years</v>
      </c>
      <c r="N3101" s="2" t="str">
        <f>IF(TelecomData[[#This Row],[CleanedTotalCharges]]&gt;=2500,"High Spend", "Standard Spend")</f>
        <v>Standard Spend</v>
      </c>
    </row>
    <row r="3102" spans="1:14" x14ac:dyDescent="0.3">
      <c r="A3102" s="1" t="s">
        <v>3126</v>
      </c>
      <c r="B3102" s="2" t="s">
        <v>12</v>
      </c>
      <c r="C3102" s="2" t="s">
        <v>13</v>
      </c>
      <c r="D3102" s="2">
        <v>55</v>
      </c>
      <c r="E3102" s="2" t="s">
        <v>26</v>
      </c>
      <c r="F3102" s="2" t="s">
        <v>15</v>
      </c>
      <c r="G3102" s="7">
        <v>94.45</v>
      </c>
      <c r="H3102" s="7">
        <v>5073.1000000000004</v>
      </c>
      <c r="I3102" s="2" t="s">
        <v>15</v>
      </c>
      <c r="J3102" s="2" t="s">
        <v>16</v>
      </c>
      <c r="K3102" s="2" t="s">
        <v>29</v>
      </c>
      <c r="L3102" s="7">
        <v>5073.1000000000004</v>
      </c>
      <c r="M3102" s="2" t="str">
        <f>_xlfn.IFS(TelecomData[[#This Row],[TenureMonths]]&lt;=12, "0-1 Year", TelecomData[[#This Row],[TenureMonths]]&lt;=36, "1-3 Years", TelecomData[[#This Row],[TenureMonths]]&gt;36, "3+ Years")</f>
        <v>3+ Years</v>
      </c>
      <c r="N3102" s="2" t="str">
        <f>IF(TelecomData[[#This Row],[CleanedTotalCharges]]&gt;=2500,"High Spend", "Standard Spend")</f>
        <v>High Spend</v>
      </c>
    </row>
    <row r="3103" spans="1:14" x14ac:dyDescent="0.3">
      <c r="A3103" s="1" t="s">
        <v>3127</v>
      </c>
      <c r="B3103" s="2" t="s">
        <v>12</v>
      </c>
      <c r="C3103" s="2" t="s">
        <v>13</v>
      </c>
      <c r="D3103" s="2">
        <v>58</v>
      </c>
      <c r="E3103" s="2" t="s">
        <v>26</v>
      </c>
      <c r="F3103" s="2" t="s">
        <v>15</v>
      </c>
      <c r="G3103" s="7">
        <v>79.8</v>
      </c>
      <c r="H3103" s="7">
        <v>4526.8500000000004</v>
      </c>
      <c r="I3103" s="2" t="s">
        <v>15</v>
      </c>
      <c r="J3103" s="2" t="s">
        <v>16</v>
      </c>
      <c r="K3103" s="2" t="s">
        <v>24</v>
      </c>
      <c r="L3103" s="7">
        <v>4526.8500000000004</v>
      </c>
      <c r="M3103" s="2" t="str">
        <f>_xlfn.IFS(TelecomData[[#This Row],[TenureMonths]]&lt;=12, "0-1 Year", TelecomData[[#This Row],[TenureMonths]]&lt;=36, "1-3 Years", TelecomData[[#This Row],[TenureMonths]]&gt;36, "3+ Years")</f>
        <v>3+ Years</v>
      </c>
      <c r="N3103" s="2" t="str">
        <f>IF(TelecomData[[#This Row],[CleanedTotalCharges]]&gt;=2500,"High Spend", "Standard Spend")</f>
        <v>High Spend</v>
      </c>
    </row>
    <row r="3104" spans="1:14" x14ac:dyDescent="0.3">
      <c r="A3104" s="1" t="s">
        <v>3128</v>
      </c>
      <c r="B3104" s="2" t="s">
        <v>12</v>
      </c>
      <c r="C3104" s="2" t="s">
        <v>13</v>
      </c>
      <c r="D3104" s="2">
        <v>5</v>
      </c>
      <c r="E3104" s="2" t="s">
        <v>14</v>
      </c>
      <c r="F3104" s="2" t="s">
        <v>16</v>
      </c>
      <c r="G3104" s="7">
        <v>54.2</v>
      </c>
      <c r="H3104" s="7">
        <v>308.25</v>
      </c>
      <c r="I3104" s="2" t="s">
        <v>16</v>
      </c>
      <c r="J3104" s="2" t="s">
        <v>15</v>
      </c>
      <c r="K3104" s="2" t="s">
        <v>17</v>
      </c>
      <c r="L3104" s="7">
        <v>308.25</v>
      </c>
      <c r="M3104" s="2" t="str">
        <f>_xlfn.IFS(TelecomData[[#This Row],[TenureMonths]]&lt;=12, "0-1 Year", TelecomData[[#This Row],[TenureMonths]]&lt;=36, "1-3 Years", TelecomData[[#This Row],[TenureMonths]]&gt;36, "3+ Years")</f>
        <v>0-1 Year</v>
      </c>
      <c r="N3104" s="2" t="str">
        <f>IF(TelecomData[[#This Row],[CleanedTotalCharges]]&gt;=2500,"High Spend", "Standard Spend")</f>
        <v>Standard Spend</v>
      </c>
    </row>
    <row r="3105" spans="1:14" x14ac:dyDescent="0.3">
      <c r="A3105" s="1" t="s">
        <v>3129</v>
      </c>
      <c r="B3105" s="2" t="s">
        <v>12</v>
      </c>
      <c r="C3105" s="2" t="s">
        <v>13</v>
      </c>
      <c r="D3105" s="2">
        <v>1</v>
      </c>
      <c r="E3105" s="2" t="s">
        <v>15</v>
      </c>
      <c r="F3105" s="2" t="s">
        <v>36</v>
      </c>
      <c r="G3105" s="7">
        <v>19.45</v>
      </c>
      <c r="H3105" s="7">
        <v>19.45</v>
      </c>
      <c r="I3105" s="2" t="s">
        <v>16</v>
      </c>
      <c r="J3105" s="2" t="s">
        <v>16</v>
      </c>
      <c r="K3105" s="2" t="s">
        <v>17</v>
      </c>
      <c r="L3105" s="7">
        <v>19.45</v>
      </c>
      <c r="M3105" s="2" t="str">
        <f>_xlfn.IFS(TelecomData[[#This Row],[TenureMonths]]&lt;=12, "0-1 Year", TelecomData[[#This Row],[TenureMonths]]&lt;=36, "1-3 Years", TelecomData[[#This Row],[TenureMonths]]&gt;36, "3+ Years")</f>
        <v>0-1 Year</v>
      </c>
      <c r="N3105" s="2" t="str">
        <f>IF(TelecomData[[#This Row],[CleanedTotalCharges]]&gt;=2500,"High Spend", "Standard Spend")</f>
        <v>Standard Spend</v>
      </c>
    </row>
    <row r="3106" spans="1:14" x14ac:dyDescent="0.3">
      <c r="A3106" s="1" t="s">
        <v>3130</v>
      </c>
      <c r="B3106" s="2" t="s">
        <v>19</v>
      </c>
      <c r="C3106" s="2" t="s">
        <v>13</v>
      </c>
      <c r="D3106" s="2">
        <v>9</v>
      </c>
      <c r="E3106" s="2" t="s">
        <v>26</v>
      </c>
      <c r="F3106" s="2" t="s">
        <v>15</v>
      </c>
      <c r="G3106" s="7">
        <v>74.05</v>
      </c>
      <c r="H3106" s="7">
        <v>678.45</v>
      </c>
      <c r="I3106" s="2" t="s">
        <v>15</v>
      </c>
      <c r="J3106" s="2" t="s">
        <v>16</v>
      </c>
      <c r="K3106" s="2" t="s">
        <v>17</v>
      </c>
      <c r="L3106" s="7">
        <v>678.45</v>
      </c>
      <c r="M3106" s="2" t="str">
        <f>_xlfn.IFS(TelecomData[[#This Row],[TenureMonths]]&lt;=12, "0-1 Year", TelecomData[[#This Row],[TenureMonths]]&lt;=36, "1-3 Years", TelecomData[[#This Row],[TenureMonths]]&gt;36, "3+ Years")</f>
        <v>0-1 Year</v>
      </c>
      <c r="N3106" s="2" t="str">
        <f>IF(TelecomData[[#This Row],[CleanedTotalCharges]]&gt;=2500,"High Spend", "Standard Spend")</f>
        <v>Standard Spend</v>
      </c>
    </row>
    <row r="3107" spans="1:14" x14ac:dyDescent="0.3">
      <c r="A3107" s="1" t="s">
        <v>3131</v>
      </c>
      <c r="B3107" s="2" t="s">
        <v>19</v>
      </c>
      <c r="C3107" s="2" t="s">
        <v>13</v>
      </c>
      <c r="D3107" s="2">
        <v>26</v>
      </c>
      <c r="E3107" s="2" t="s">
        <v>14</v>
      </c>
      <c r="F3107" s="2" t="s">
        <v>16</v>
      </c>
      <c r="G3107" s="7">
        <v>49.15</v>
      </c>
      <c r="H3107" s="7">
        <v>1237.3</v>
      </c>
      <c r="I3107" s="2" t="s">
        <v>15</v>
      </c>
      <c r="J3107" s="2" t="s">
        <v>15</v>
      </c>
      <c r="K3107" s="2" t="s">
        <v>24</v>
      </c>
      <c r="L3107" s="7">
        <v>1237.3</v>
      </c>
      <c r="M3107" s="2" t="str">
        <f>_xlfn.IFS(TelecomData[[#This Row],[TenureMonths]]&lt;=12, "0-1 Year", TelecomData[[#This Row],[TenureMonths]]&lt;=36, "1-3 Years", TelecomData[[#This Row],[TenureMonths]]&gt;36, "3+ Years")</f>
        <v>1-3 Years</v>
      </c>
      <c r="N3107" s="2" t="str">
        <f>IF(TelecomData[[#This Row],[CleanedTotalCharges]]&gt;=2500,"High Spend", "Standard Spend")</f>
        <v>Standard Spend</v>
      </c>
    </row>
    <row r="3108" spans="1:14" x14ac:dyDescent="0.3">
      <c r="A3108" s="1" t="s">
        <v>3132</v>
      </c>
      <c r="B3108" s="2" t="s">
        <v>12</v>
      </c>
      <c r="C3108" s="2" t="s">
        <v>35</v>
      </c>
      <c r="D3108" s="2">
        <v>50</v>
      </c>
      <c r="E3108" s="2" t="s">
        <v>15</v>
      </c>
      <c r="F3108" s="2" t="s">
        <v>36</v>
      </c>
      <c r="G3108" s="7">
        <v>19.399999999999999</v>
      </c>
      <c r="H3108" s="7">
        <v>1023.95</v>
      </c>
      <c r="I3108" s="2" t="s">
        <v>15</v>
      </c>
      <c r="J3108" s="2" t="s">
        <v>15</v>
      </c>
      <c r="K3108" s="2" t="s">
        <v>29</v>
      </c>
      <c r="L3108" s="7">
        <v>1023.95</v>
      </c>
      <c r="M3108" s="2" t="str">
        <f>_xlfn.IFS(TelecomData[[#This Row],[TenureMonths]]&lt;=12, "0-1 Year", TelecomData[[#This Row],[TenureMonths]]&lt;=36, "1-3 Years", TelecomData[[#This Row],[TenureMonths]]&gt;36, "3+ Years")</f>
        <v>3+ Years</v>
      </c>
      <c r="N3108" s="2" t="str">
        <f>IF(TelecomData[[#This Row],[CleanedTotalCharges]]&gt;=2500,"High Spend", "Standard Spend")</f>
        <v>Standard Spend</v>
      </c>
    </row>
    <row r="3109" spans="1:14" x14ac:dyDescent="0.3">
      <c r="A3109" s="1" t="s">
        <v>3133</v>
      </c>
      <c r="B3109" s="2" t="s">
        <v>12</v>
      </c>
      <c r="C3109" s="2" t="s">
        <v>35</v>
      </c>
      <c r="D3109" s="2">
        <v>72</v>
      </c>
      <c r="E3109" s="2" t="s">
        <v>26</v>
      </c>
      <c r="F3109" s="2" t="s">
        <v>16</v>
      </c>
      <c r="G3109" s="7">
        <v>113.65</v>
      </c>
      <c r="H3109" s="7">
        <v>8182.75</v>
      </c>
      <c r="I3109" s="2" t="s">
        <v>15</v>
      </c>
      <c r="J3109" s="2" t="s">
        <v>16</v>
      </c>
      <c r="K3109" s="2" t="s">
        <v>24</v>
      </c>
      <c r="L3109" s="7">
        <v>8182.75</v>
      </c>
      <c r="M3109" s="2" t="str">
        <f>_xlfn.IFS(TelecomData[[#This Row],[TenureMonths]]&lt;=12, "0-1 Year", TelecomData[[#This Row],[TenureMonths]]&lt;=36, "1-3 Years", TelecomData[[#This Row],[TenureMonths]]&gt;36, "3+ Years")</f>
        <v>3+ Years</v>
      </c>
      <c r="N3109" s="2" t="str">
        <f>IF(TelecomData[[#This Row],[CleanedTotalCharges]]&gt;=2500,"High Spend", "Standard Spend")</f>
        <v>High Spend</v>
      </c>
    </row>
    <row r="3110" spans="1:14" x14ac:dyDescent="0.3">
      <c r="A3110" s="1" t="s">
        <v>3134</v>
      </c>
      <c r="B3110" s="2" t="s">
        <v>12</v>
      </c>
      <c r="C3110" s="2" t="s">
        <v>20</v>
      </c>
      <c r="D3110" s="2">
        <v>43</v>
      </c>
      <c r="E3110" s="2" t="s">
        <v>26</v>
      </c>
      <c r="F3110" s="2" t="s">
        <v>16</v>
      </c>
      <c r="G3110" s="7">
        <v>106</v>
      </c>
      <c r="H3110" s="7">
        <v>4532.3</v>
      </c>
      <c r="I3110" s="2" t="s">
        <v>15</v>
      </c>
      <c r="J3110" s="2" t="s">
        <v>16</v>
      </c>
      <c r="K3110" s="2" t="s">
        <v>29</v>
      </c>
      <c r="L3110" s="7">
        <v>4532.3</v>
      </c>
      <c r="M3110" s="2" t="str">
        <f>_xlfn.IFS(TelecomData[[#This Row],[TenureMonths]]&lt;=12, "0-1 Year", TelecomData[[#This Row],[TenureMonths]]&lt;=36, "1-3 Years", TelecomData[[#This Row],[TenureMonths]]&gt;36, "3+ Years")</f>
        <v>3+ Years</v>
      </c>
      <c r="N3110" s="2" t="str">
        <f>IF(TelecomData[[#This Row],[CleanedTotalCharges]]&gt;=2500,"High Spend", "Standard Spend")</f>
        <v>High Spend</v>
      </c>
    </row>
    <row r="3111" spans="1:14" x14ac:dyDescent="0.3">
      <c r="A3111" s="1" t="s">
        <v>3135</v>
      </c>
      <c r="B3111" s="2" t="s">
        <v>19</v>
      </c>
      <c r="C3111" s="2" t="s">
        <v>35</v>
      </c>
      <c r="D3111" s="2">
        <v>56</v>
      </c>
      <c r="E3111" s="2" t="s">
        <v>15</v>
      </c>
      <c r="F3111" s="2" t="s">
        <v>36</v>
      </c>
      <c r="G3111" s="7">
        <v>25.95</v>
      </c>
      <c r="H3111" s="7">
        <v>1444.05</v>
      </c>
      <c r="I3111" s="2" t="s">
        <v>15</v>
      </c>
      <c r="J3111" s="2" t="s">
        <v>16</v>
      </c>
      <c r="K3111" s="2" t="s">
        <v>24</v>
      </c>
      <c r="L3111" s="7">
        <v>1444.05</v>
      </c>
      <c r="M3111" s="2" t="str">
        <f>_xlfn.IFS(TelecomData[[#This Row],[TenureMonths]]&lt;=12, "0-1 Year", TelecomData[[#This Row],[TenureMonths]]&lt;=36, "1-3 Years", TelecomData[[#This Row],[TenureMonths]]&gt;36, "3+ Years")</f>
        <v>3+ Years</v>
      </c>
      <c r="N3111" s="2" t="str">
        <f>IF(TelecomData[[#This Row],[CleanedTotalCharges]]&gt;=2500,"High Spend", "Standard Spend")</f>
        <v>Standard Spend</v>
      </c>
    </row>
    <row r="3112" spans="1:14" x14ac:dyDescent="0.3">
      <c r="A3112" s="1" t="s">
        <v>3136</v>
      </c>
      <c r="B3112" s="2" t="s">
        <v>12</v>
      </c>
      <c r="C3112" s="2" t="s">
        <v>13</v>
      </c>
      <c r="D3112" s="2">
        <v>1</v>
      </c>
      <c r="E3112" s="2" t="s">
        <v>15</v>
      </c>
      <c r="F3112" s="2" t="s">
        <v>36</v>
      </c>
      <c r="G3112" s="7">
        <v>19.100000000000001</v>
      </c>
      <c r="H3112" s="7">
        <v>19.100000000000001</v>
      </c>
      <c r="I3112" s="2" t="s">
        <v>15</v>
      </c>
      <c r="J3112" s="2" t="s">
        <v>15</v>
      </c>
      <c r="K3112" s="2" t="s">
        <v>21</v>
      </c>
      <c r="L3112" s="7">
        <v>19.100000000000001</v>
      </c>
      <c r="M3112" s="2" t="str">
        <f>_xlfn.IFS(TelecomData[[#This Row],[TenureMonths]]&lt;=12, "0-1 Year", TelecomData[[#This Row],[TenureMonths]]&lt;=36, "1-3 Years", TelecomData[[#This Row],[TenureMonths]]&gt;36, "3+ Years")</f>
        <v>0-1 Year</v>
      </c>
      <c r="N3112" s="2" t="str">
        <f>IF(TelecomData[[#This Row],[CleanedTotalCharges]]&gt;=2500,"High Spend", "Standard Spend")</f>
        <v>Standard Spend</v>
      </c>
    </row>
    <row r="3113" spans="1:14" x14ac:dyDescent="0.3">
      <c r="A3113" s="1" t="s">
        <v>3137</v>
      </c>
      <c r="B3113" s="2" t="s">
        <v>19</v>
      </c>
      <c r="C3113" s="2" t="s">
        <v>35</v>
      </c>
      <c r="D3113" s="2">
        <v>72</v>
      </c>
      <c r="E3113" s="2" t="s">
        <v>26</v>
      </c>
      <c r="F3113" s="2" t="s">
        <v>15</v>
      </c>
      <c r="G3113" s="7">
        <v>103.4</v>
      </c>
      <c r="H3113" s="7">
        <v>7372.65</v>
      </c>
      <c r="I3113" s="2" t="s">
        <v>16</v>
      </c>
      <c r="J3113" s="2" t="s">
        <v>16</v>
      </c>
      <c r="K3113" s="2" t="s">
        <v>17</v>
      </c>
      <c r="L3113" s="7">
        <v>7372.65</v>
      </c>
      <c r="M3113" s="2" t="str">
        <f>_xlfn.IFS(TelecomData[[#This Row],[TenureMonths]]&lt;=12, "0-1 Year", TelecomData[[#This Row],[TenureMonths]]&lt;=36, "1-3 Years", TelecomData[[#This Row],[TenureMonths]]&gt;36, "3+ Years")</f>
        <v>3+ Years</v>
      </c>
      <c r="N3113" s="2" t="str">
        <f>IF(TelecomData[[#This Row],[CleanedTotalCharges]]&gt;=2500,"High Spend", "Standard Spend")</f>
        <v>High Spend</v>
      </c>
    </row>
    <row r="3114" spans="1:14" x14ac:dyDescent="0.3">
      <c r="A3114" s="1" t="s">
        <v>3138</v>
      </c>
      <c r="B3114" s="2" t="s">
        <v>19</v>
      </c>
      <c r="C3114" s="2" t="s">
        <v>35</v>
      </c>
      <c r="D3114" s="2">
        <v>72</v>
      </c>
      <c r="E3114" s="2" t="s">
        <v>26</v>
      </c>
      <c r="F3114" s="2" t="s">
        <v>16</v>
      </c>
      <c r="G3114" s="7">
        <v>100.55</v>
      </c>
      <c r="H3114" s="7">
        <v>7325.1</v>
      </c>
      <c r="I3114" s="2" t="s">
        <v>15</v>
      </c>
      <c r="J3114" s="2" t="s">
        <v>16</v>
      </c>
      <c r="K3114" s="2" t="s">
        <v>24</v>
      </c>
      <c r="L3114" s="7">
        <v>7325.1</v>
      </c>
      <c r="M3114" s="2" t="str">
        <f>_xlfn.IFS(TelecomData[[#This Row],[TenureMonths]]&lt;=12, "0-1 Year", TelecomData[[#This Row],[TenureMonths]]&lt;=36, "1-3 Years", TelecomData[[#This Row],[TenureMonths]]&gt;36, "3+ Years")</f>
        <v>3+ Years</v>
      </c>
      <c r="N3114" s="2" t="str">
        <f>IF(TelecomData[[#This Row],[CleanedTotalCharges]]&gt;=2500,"High Spend", "Standard Spend")</f>
        <v>High Spend</v>
      </c>
    </row>
    <row r="3115" spans="1:14" x14ac:dyDescent="0.3">
      <c r="A3115" s="1" t="s">
        <v>3139</v>
      </c>
      <c r="B3115" s="2" t="s">
        <v>19</v>
      </c>
      <c r="C3115" s="2" t="s">
        <v>13</v>
      </c>
      <c r="D3115" s="2">
        <v>36</v>
      </c>
      <c r="E3115" s="2" t="s">
        <v>26</v>
      </c>
      <c r="F3115" s="2" t="s">
        <v>15</v>
      </c>
      <c r="G3115" s="7">
        <v>95.4</v>
      </c>
      <c r="H3115" s="7">
        <v>3474.2</v>
      </c>
      <c r="I3115" s="2" t="s">
        <v>15</v>
      </c>
      <c r="J3115" s="2" t="s">
        <v>16</v>
      </c>
      <c r="K3115" s="2" t="s">
        <v>17</v>
      </c>
      <c r="L3115" s="7">
        <v>3474.2</v>
      </c>
      <c r="M3115" s="2" t="str">
        <f>_xlfn.IFS(TelecomData[[#This Row],[TenureMonths]]&lt;=12, "0-1 Year", TelecomData[[#This Row],[TenureMonths]]&lt;=36, "1-3 Years", TelecomData[[#This Row],[TenureMonths]]&gt;36, "3+ Years")</f>
        <v>1-3 Years</v>
      </c>
      <c r="N3115" s="2" t="str">
        <f>IF(TelecomData[[#This Row],[CleanedTotalCharges]]&gt;=2500,"High Spend", "Standard Spend")</f>
        <v>High Spend</v>
      </c>
    </row>
    <row r="3116" spans="1:14" x14ac:dyDescent="0.3">
      <c r="A3116" s="1" t="s">
        <v>3140</v>
      </c>
      <c r="B3116" s="2" t="s">
        <v>19</v>
      </c>
      <c r="C3116" s="2" t="s">
        <v>13</v>
      </c>
      <c r="D3116" s="2">
        <v>5</v>
      </c>
      <c r="E3116" s="2" t="s">
        <v>14</v>
      </c>
      <c r="F3116" s="2" t="s">
        <v>16</v>
      </c>
      <c r="G3116" s="7">
        <v>75.150000000000006</v>
      </c>
      <c r="H3116" s="7">
        <v>392.65</v>
      </c>
      <c r="I3116" s="2" t="s">
        <v>15</v>
      </c>
      <c r="J3116" s="2" t="s">
        <v>15</v>
      </c>
      <c r="K3116" s="2" t="s">
        <v>24</v>
      </c>
      <c r="L3116" s="7">
        <v>392.65</v>
      </c>
      <c r="M3116" s="2" t="str">
        <f>_xlfn.IFS(TelecomData[[#This Row],[TenureMonths]]&lt;=12, "0-1 Year", TelecomData[[#This Row],[TenureMonths]]&lt;=36, "1-3 Years", TelecomData[[#This Row],[TenureMonths]]&gt;36, "3+ Years")</f>
        <v>0-1 Year</v>
      </c>
      <c r="N3116" s="2" t="str">
        <f>IF(TelecomData[[#This Row],[CleanedTotalCharges]]&gt;=2500,"High Spend", "Standard Spend")</f>
        <v>Standard Spend</v>
      </c>
    </row>
    <row r="3117" spans="1:14" x14ac:dyDescent="0.3">
      <c r="A3117" s="1" t="s">
        <v>3141</v>
      </c>
      <c r="B3117" s="2" t="s">
        <v>12</v>
      </c>
      <c r="C3117" s="2" t="s">
        <v>13</v>
      </c>
      <c r="D3117" s="2">
        <v>13</v>
      </c>
      <c r="E3117" s="2" t="s">
        <v>26</v>
      </c>
      <c r="F3117" s="2" t="s">
        <v>15</v>
      </c>
      <c r="G3117" s="7">
        <v>84.45</v>
      </c>
      <c r="H3117" s="7">
        <v>1058.5999999999999</v>
      </c>
      <c r="I3117" s="2" t="s">
        <v>16</v>
      </c>
      <c r="J3117" s="2" t="s">
        <v>16</v>
      </c>
      <c r="K3117" s="2" t="s">
        <v>17</v>
      </c>
      <c r="L3117" s="7">
        <v>1058.5999999999999</v>
      </c>
      <c r="M3117" s="2" t="str">
        <f>_xlfn.IFS(TelecomData[[#This Row],[TenureMonths]]&lt;=12, "0-1 Year", TelecomData[[#This Row],[TenureMonths]]&lt;=36, "1-3 Years", TelecomData[[#This Row],[TenureMonths]]&gt;36, "3+ Years")</f>
        <v>1-3 Years</v>
      </c>
      <c r="N3117" s="2" t="str">
        <f>IF(TelecomData[[#This Row],[CleanedTotalCharges]]&gt;=2500,"High Spend", "Standard Spend")</f>
        <v>Standard Spend</v>
      </c>
    </row>
    <row r="3118" spans="1:14" x14ac:dyDescent="0.3">
      <c r="A3118" s="1" t="s">
        <v>3142</v>
      </c>
      <c r="B3118" s="2" t="s">
        <v>12</v>
      </c>
      <c r="C3118" s="2" t="s">
        <v>20</v>
      </c>
      <c r="D3118" s="2">
        <v>44</v>
      </c>
      <c r="E3118" s="2" t="s">
        <v>26</v>
      </c>
      <c r="F3118" s="2" t="s">
        <v>15</v>
      </c>
      <c r="G3118" s="7">
        <v>89.15</v>
      </c>
      <c r="H3118" s="7">
        <v>3990.75</v>
      </c>
      <c r="I3118" s="2" t="s">
        <v>15</v>
      </c>
      <c r="J3118" s="2" t="s">
        <v>15</v>
      </c>
      <c r="K3118" s="2" t="s">
        <v>29</v>
      </c>
      <c r="L3118" s="7">
        <v>3990.75</v>
      </c>
      <c r="M3118" s="2" t="str">
        <f>_xlfn.IFS(TelecomData[[#This Row],[TenureMonths]]&lt;=12, "0-1 Year", TelecomData[[#This Row],[TenureMonths]]&lt;=36, "1-3 Years", TelecomData[[#This Row],[TenureMonths]]&gt;36, "3+ Years")</f>
        <v>3+ Years</v>
      </c>
      <c r="N3118" s="2" t="str">
        <f>IF(TelecomData[[#This Row],[CleanedTotalCharges]]&gt;=2500,"High Spend", "Standard Spend")</f>
        <v>High Spend</v>
      </c>
    </row>
    <row r="3119" spans="1:14" x14ac:dyDescent="0.3">
      <c r="A3119" s="1" t="s">
        <v>3143</v>
      </c>
      <c r="B3119" s="2" t="s">
        <v>12</v>
      </c>
      <c r="C3119" s="2" t="s">
        <v>20</v>
      </c>
      <c r="D3119" s="2">
        <v>70</v>
      </c>
      <c r="E3119" s="2" t="s">
        <v>26</v>
      </c>
      <c r="F3119" s="2" t="s">
        <v>16</v>
      </c>
      <c r="G3119" s="7">
        <v>107.9</v>
      </c>
      <c r="H3119" s="7">
        <v>7475.85</v>
      </c>
      <c r="I3119" s="2" t="s">
        <v>15</v>
      </c>
      <c r="J3119" s="2" t="s">
        <v>16</v>
      </c>
      <c r="K3119" s="2" t="s">
        <v>17</v>
      </c>
      <c r="L3119" s="7">
        <v>7475.85</v>
      </c>
      <c r="M3119" s="2" t="str">
        <f>_xlfn.IFS(TelecomData[[#This Row],[TenureMonths]]&lt;=12, "0-1 Year", TelecomData[[#This Row],[TenureMonths]]&lt;=36, "1-3 Years", TelecomData[[#This Row],[TenureMonths]]&gt;36, "3+ Years")</f>
        <v>3+ Years</v>
      </c>
      <c r="N3119" s="2" t="str">
        <f>IF(TelecomData[[#This Row],[CleanedTotalCharges]]&gt;=2500,"High Spend", "Standard Spend")</f>
        <v>High Spend</v>
      </c>
    </row>
    <row r="3120" spans="1:14" x14ac:dyDescent="0.3">
      <c r="A3120" s="1" t="s">
        <v>3144</v>
      </c>
      <c r="B3120" s="2" t="s">
        <v>19</v>
      </c>
      <c r="C3120" s="2" t="s">
        <v>20</v>
      </c>
      <c r="D3120" s="2">
        <v>44</v>
      </c>
      <c r="E3120" s="2" t="s">
        <v>15</v>
      </c>
      <c r="F3120" s="2" t="s">
        <v>36</v>
      </c>
      <c r="G3120" s="7">
        <v>19.5</v>
      </c>
      <c r="H3120" s="7">
        <v>835.5</v>
      </c>
      <c r="I3120" s="2" t="s">
        <v>15</v>
      </c>
      <c r="J3120" s="2" t="s">
        <v>15</v>
      </c>
      <c r="K3120" s="2" t="s">
        <v>29</v>
      </c>
      <c r="L3120" s="7">
        <v>835.5</v>
      </c>
      <c r="M3120" s="2" t="str">
        <f>_xlfn.IFS(TelecomData[[#This Row],[TenureMonths]]&lt;=12, "0-1 Year", TelecomData[[#This Row],[TenureMonths]]&lt;=36, "1-3 Years", TelecomData[[#This Row],[TenureMonths]]&gt;36, "3+ Years")</f>
        <v>3+ Years</v>
      </c>
      <c r="N3120" s="2" t="str">
        <f>IF(TelecomData[[#This Row],[CleanedTotalCharges]]&gt;=2500,"High Spend", "Standard Spend")</f>
        <v>Standard Spend</v>
      </c>
    </row>
    <row r="3121" spans="1:14" x14ac:dyDescent="0.3">
      <c r="A3121" s="1" t="s">
        <v>3145</v>
      </c>
      <c r="B3121" s="2" t="s">
        <v>12</v>
      </c>
      <c r="C3121" s="2" t="s">
        <v>13</v>
      </c>
      <c r="D3121" s="2">
        <v>32</v>
      </c>
      <c r="E3121" s="2" t="s">
        <v>26</v>
      </c>
      <c r="F3121" s="2" t="s">
        <v>15</v>
      </c>
      <c r="G3121" s="7">
        <v>85.95</v>
      </c>
      <c r="H3121" s="7">
        <v>2628.6</v>
      </c>
      <c r="I3121" s="2" t="s">
        <v>16</v>
      </c>
      <c r="J3121" s="2" t="s">
        <v>16</v>
      </c>
      <c r="K3121" s="2" t="s">
        <v>29</v>
      </c>
      <c r="L3121" s="7">
        <v>2628.6</v>
      </c>
      <c r="M3121" s="2" t="str">
        <f>_xlfn.IFS(TelecomData[[#This Row],[TenureMonths]]&lt;=12, "0-1 Year", TelecomData[[#This Row],[TenureMonths]]&lt;=36, "1-3 Years", TelecomData[[#This Row],[TenureMonths]]&gt;36, "3+ Years")</f>
        <v>1-3 Years</v>
      </c>
      <c r="N3121" s="2" t="str">
        <f>IF(TelecomData[[#This Row],[CleanedTotalCharges]]&gt;=2500,"High Spend", "Standard Spend")</f>
        <v>High Spend</v>
      </c>
    </row>
    <row r="3122" spans="1:14" x14ac:dyDescent="0.3">
      <c r="A3122" s="1" t="s">
        <v>3146</v>
      </c>
      <c r="B3122" s="2" t="s">
        <v>12</v>
      </c>
      <c r="C3122" s="2" t="s">
        <v>35</v>
      </c>
      <c r="D3122" s="2">
        <v>69</v>
      </c>
      <c r="E3122" s="2" t="s">
        <v>15</v>
      </c>
      <c r="F3122" s="2" t="s">
        <v>36</v>
      </c>
      <c r="G3122" s="7">
        <v>24.95</v>
      </c>
      <c r="H3122" s="7">
        <v>1718.35</v>
      </c>
      <c r="I3122" s="2" t="s">
        <v>15</v>
      </c>
      <c r="J3122" s="2" t="s">
        <v>16</v>
      </c>
      <c r="K3122" s="2" t="s">
        <v>29</v>
      </c>
      <c r="L3122" s="7">
        <v>1718.35</v>
      </c>
      <c r="M3122" s="2" t="str">
        <f>_xlfn.IFS(TelecomData[[#This Row],[TenureMonths]]&lt;=12, "0-1 Year", TelecomData[[#This Row],[TenureMonths]]&lt;=36, "1-3 Years", TelecomData[[#This Row],[TenureMonths]]&gt;36, "3+ Years")</f>
        <v>3+ Years</v>
      </c>
      <c r="N3122" s="2" t="str">
        <f>IF(TelecomData[[#This Row],[CleanedTotalCharges]]&gt;=2500,"High Spend", "Standard Spend")</f>
        <v>Standard Spend</v>
      </c>
    </row>
    <row r="3123" spans="1:14" x14ac:dyDescent="0.3">
      <c r="A3123" s="1" t="s">
        <v>3147</v>
      </c>
      <c r="B3123" s="2" t="s">
        <v>12</v>
      </c>
      <c r="C3123" s="2" t="s">
        <v>13</v>
      </c>
      <c r="D3123" s="2">
        <v>16</v>
      </c>
      <c r="E3123" s="2" t="s">
        <v>14</v>
      </c>
      <c r="F3123" s="2" t="s">
        <v>16</v>
      </c>
      <c r="G3123" s="7">
        <v>59.4</v>
      </c>
      <c r="H3123" s="7">
        <v>1023.9</v>
      </c>
      <c r="I3123" s="2" t="s">
        <v>16</v>
      </c>
      <c r="J3123" s="2" t="s">
        <v>15</v>
      </c>
      <c r="K3123" s="2" t="s">
        <v>17</v>
      </c>
      <c r="L3123" s="7">
        <v>1023.9</v>
      </c>
      <c r="M3123" s="2" t="str">
        <f>_xlfn.IFS(TelecomData[[#This Row],[TenureMonths]]&lt;=12, "0-1 Year", TelecomData[[#This Row],[TenureMonths]]&lt;=36, "1-3 Years", TelecomData[[#This Row],[TenureMonths]]&gt;36, "3+ Years")</f>
        <v>1-3 Years</v>
      </c>
      <c r="N3123" s="2" t="str">
        <f>IF(TelecomData[[#This Row],[CleanedTotalCharges]]&gt;=2500,"High Spend", "Standard Spend")</f>
        <v>Standard Spend</v>
      </c>
    </row>
    <row r="3124" spans="1:14" x14ac:dyDescent="0.3">
      <c r="A3124" s="1" t="s">
        <v>3148</v>
      </c>
      <c r="B3124" s="2" t="s">
        <v>19</v>
      </c>
      <c r="C3124" s="2" t="s">
        <v>20</v>
      </c>
      <c r="D3124" s="2">
        <v>68</v>
      </c>
      <c r="E3124" s="2" t="s">
        <v>15</v>
      </c>
      <c r="F3124" s="2" t="s">
        <v>36</v>
      </c>
      <c r="G3124" s="7">
        <v>19.5</v>
      </c>
      <c r="H3124" s="7">
        <v>1193.55</v>
      </c>
      <c r="I3124" s="2" t="s">
        <v>15</v>
      </c>
      <c r="J3124" s="2" t="s">
        <v>15</v>
      </c>
      <c r="K3124" s="2" t="s">
        <v>24</v>
      </c>
      <c r="L3124" s="7">
        <v>1193.55</v>
      </c>
      <c r="M3124" s="2" t="str">
        <f>_xlfn.IFS(TelecomData[[#This Row],[TenureMonths]]&lt;=12, "0-1 Year", TelecomData[[#This Row],[TenureMonths]]&lt;=36, "1-3 Years", TelecomData[[#This Row],[TenureMonths]]&gt;36, "3+ Years")</f>
        <v>3+ Years</v>
      </c>
      <c r="N3124" s="2" t="str">
        <f>IF(TelecomData[[#This Row],[CleanedTotalCharges]]&gt;=2500,"High Spend", "Standard Spend")</f>
        <v>Standard Spend</v>
      </c>
    </row>
    <row r="3125" spans="1:14" x14ac:dyDescent="0.3">
      <c r="A3125" s="1" t="s">
        <v>3149</v>
      </c>
      <c r="B3125" s="2" t="s">
        <v>19</v>
      </c>
      <c r="C3125" s="2" t="s">
        <v>13</v>
      </c>
      <c r="D3125" s="2">
        <v>16</v>
      </c>
      <c r="E3125" s="2" t="s">
        <v>26</v>
      </c>
      <c r="F3125" s="2" t="s">
        <v>15</v>
      </c>
      <c r="G3125" s="7">
        <v>69.95</v>
      </c>
      <c r="H3125" s="7">
        <v>1205.5</v>
      </c>
      <c r="I3125" s="2" t="s">
        <v>15</v>
      </c>
      <c r="J3125" s="2" t="s">
        <v>16</v>
      </c>
      <c r="K3125" s="2" t="s">
        <v>29</v>
      </c>
      <c r="L3125" s="7">
        <v>1205.5</v>
      </c>
      <c r="M3125" s="2" t="str">
        <f>_xlfn.IFS(TelecomData[[#This Row],[TenureMonths]]&lt;=12, "0-1 Year", TelecomData[[#This Row],[TenureMonths]]&lt;=36, "1-3 Years", TelecomData[[#This Row],[TenureMonths]]&gt;36, "3+ Years")</f>
        <v>1-3 Years</v>
      </c>
      <c r="N3125" s="2" t="str">
        <f>IF(TelecomData[[#This Row],[CleanedTotalCharges]]&gt;=2500,"High Spend", "Standard Spend")</f>
        <v>Standard Spend</v>
      </c>
    </row>
    <row r="3126" spans="1:14" x14ac:dyDescent="0.3">
      <c r="A3126" s="1" t="s">
        <v>3150</v>
      </c>
      <c r="B3126" s="2" t="s">
        <v>19</v>
      </c>
      <c r="C3126" s="2" t="s">
        <v>35</v>
      </c>
      <c r="D3126" s="2">
        <v>68</v>
      </c>
      <c r="E3126" s="2" t="s">
        <v>14</v>
      </c>
      <c r="F3126" s="2" t="s">
        <v>16</v>
      </c>
      <c r="G3126" s="7">
        <v>82.85</v>
      </c>
      <c r="H3126" s="7">
        <v>5776.45</v>
      </c>
      <c r="I3126" s="2" t="s">
        <v>15</v>
      </c>
      <c r="J3126" s="2" t="s">
        <v>15</v>
      </c>
      <c r="K3126" s="2" t="s">
        <v>24</v>
      </c>
      <c r="L3126" s="7">
        <v>5776.45</v>
      </c>
      <c r="M3126" s="2" t="str">
        <f>_xlfn.IFS(TelecomData[[#This Row],[TenureMonths]]&lt;=12, "0-1 Year", TelecomData[[#This Row],[TenureMonths]]&lt;=36, "1-3 Years", TelecomData[[#This Row],[TenureMonths]]&gt;36, "3+ Years")</f>
        <v>3+ Years</v>
      </c>
      <c r="N3126" s="2" t="str">
        <f>IF(TelecomData[[#This Row],[CleanedTotalCharges]]&gt;=2500,"High Spend", "Standard Spend")</f>
        <v>High Spend</v>
      </c>
    </row>
    <row r="3127" spans="1:14" x14ac:dyDescent="0.3">
      <c r="A3127" s="1" t="s">
        <v>3151</v>
      </c>
      <c r="B3127" s="2" t="s">
        <v>19</v>
      </c>
      <c r="C3127" s="2" t="s">
        <v>13</v>
      </c>
      <c r="D3127" s="2">
        <v>4</v>
      </c>
      <c r="E3127" s="2" t="s">
        <v>15</v>
      </c>
      <c r="F3127" s="2" t="s">
        <v>36</v>
      </c>
      <c r="G3127" s="7">
        <v>19</v>
      </c>
      <c r="H3127" s="7">
        <v>78.900000000000006</v>
      </c>
      <c r="I3127" s="2" t="s">
        <v>15</v>
      </c>
      <c r="J3127" s="2" t="s">
        <v>15</v>
      </c>
      <c r="K3127" s="2" t="s">
        <v>21</v>
      </c>
      <c r="L3127" s="7">
        <v>78.900000000000006</v>
      </c>
      <c r="M3127" s="2" t="str">
        <f>_xlfn.IFS(TelecomData[[#This Row],[TenureMonths]]&lt;=12, "0-1 Year", TelecomData[[#This Row],[TenureMonths]]&lt;=36, "1-3 Years", TelecomData[[#This Row],[TenureMonths]]&gt;36, "3+ Years")</f>
        <v>0-1 Year</v>
      </c>
      <c r="N3127" s="2" t="str">
        <f>IF(TelecomData[[#This Row],[CleanedTotalCharges]]&gt;=2500,"High Spend", "Standard Spend")</f>
        <v>Standard Spend</v>
      </c>
    </row>
    <row r="3128" spans="1:14" x14ac:dyDescent="0.3">
      <c r="A3128" s="1" t="s">
        <v>3152</v>
      </c>
      <c r="B3128" s="2" t="s">
        <v>12</v>
      </c>
      <c r="C3128" s="2" t="s">
        <v>13</v>
      </c>
      <c r="D3128" s="2">
        <v>26</v>
      </c>
      <c r="E3128" s="2" t="s">
        <v>14</v>
      </c>
      <c r="F3128" s="2" t="s">
        <v>16</v>
      </c>
      <c r="G3128" s="7">
        <v>38.85</v>
      </c>
      <c r="H3128" s="7">
        <v>1025.1500000000001</v>
      </c>
      <c r="I3128" s="2" t="s">
        <v>15</v>
      </c>
      <c r="J3128" s="2" t="s">
        <v>15</v>
      </c>
      <c r="K3128" s="2" t="s">
        <v>29</v>
      </c>
      <c r="L3128" s="7">
        <v>1025.1500000000001</v>
      </c>
      <c r="M3128" s="2" t="str">
        <f>_xlfn.IFS(TelecomData[[#This Row],[TenureMonths]]&lt;=12, "0-1 Year", TelecomData[[#This Row],[TenureMonths]]&lt;=36, "1-3 Years", TelecomData[[#This Row],[TenureMonths]]&gt;36, "3+ Years")</f>
        <v>1-3 Years</v>
      </c>
      <c r="N3128" s="2" t="str">
        <f>IF(TelecomData[[#This Row],[CleanedTotalCharges]]&gt;=2500,"High Spend", "Standard Spend")</f>
        <v>Standard Spend</v>
      </c>
    </row>
    <row r="3129" spans="1:14" x14ac:dyDescent="0.3">
      <c r="A3129" s="1" t="s">
        <v>3153</v>
      </c>
      <c r="B3129" s="2" t="s">
        <v>12</v>
      </c>
      <c r="C3129" s="2" t="s">
        <v>13</v>
      </c>
      <c r="D3129" s="2">
        <v>29</v>
      </c>
      <c r="E3129" s="2" t="s">
        <v>14</v>
      </c>
      <c r="F3129" s="2" t="s">
        <v>15</v>
      </c>
      <c r="G3129" s="7">
        <v>30.6</v>
      </c>
      <c r="H3129" s="7">
        <v>856.35</v>
      </c>
      <c r="I3129" s="2" t="s">
        <v>16</v>
      </c>
      <c r="J3129" s="2" t="s">
        <v>16</v>
      </c>
      <c r="K3129" s="2" t="s">
        <v>17</v>
      </c>
      <c r="L3129" s="7">
        <v>856.35</v>
      </c>
      <c r="M3129" s="2" t="str">
        <f>_xlfn.IFS(TelecomData[[#This Row],[TenureMonths]]&lt;=12, "0-1 Year", TelecomData[[#This Row],[TenureMonths]]&lt;=36, "1-3 Years", TelecomData[[#This Row],[TenureMonths]]&gt;36, "3+ Years")</f>
        <v>1-3 Years</v>
      </c>
      <c r="N3129" s="2" t="str">
        <f>IF(TelecomData[[#This Row],[CleanedTotalCharges]]&gt;=2500,"High Spend", "Standard Spend")</f>
        <v>Standard Spend</v>
      </c>
    </row>
    <row r="3130" spans="1:14" x14ac:dyDescent="0.3">
      <c r="A3130" s="1" t="s">
        <v>3154</v>
      </c>
      <c r="B3130" s="2" t="s">
        <v>19</v>
      </c>
      <c r="C3130" s="2" t="s">
        <v>13</v>
      </c>
      <c r="D3130" s="2">
        <v>5</v>
      </c>
      <c r="E3130" s="2" t="s">
        <v>15</v>
      </c>
      <c r="F3130" s="2" t="s">
        <v>36</v>
      </c>
      <c r="G3130" s="7">
        <v>20.350000000000001</v>
      </c>
      <c r="H3130" s="7">
        <v>122</v>
      </c>
      <c r="I3130" s="2" t="s">
        <v>15</v>
      </c>
      <c r="J3130" s="2" t="s">
        <v>15</v>
      </c>
      <c r="K3130" s="2" t="s">
        <v>29</v>
      </c>
      <c r="L3130" s="7">
        <v>122</v>
      </c>
      <c r="M3130" s="2" t="str">
        <f>_xlfn.IFS(TelecomData[[#This Row],[TenureMonths]]&lt;=12, "0-1 Year", TelecomData[[#This Row],[TenureMonths]]&lt;=36, "1-3 Years", TelecomData[[#This Row],[TenureMonths]]&gt;36, "3+ Years")</f>
        <v>0-1 Year</v>
      </c>
      <c r="N3130" s="2" t="str">
        <f>IF(TelecomData[[#This Row],[CleanedTotalCharges]]&gt;=2500,"High Spend", "Standard Spend")</f>
        <v>Standard Spend</v>
      </c>
    </row>
    <row r="3131" spans="1:14" x14ac:dyDescent="0.3">
      <c r="A3131" s="1" t="s">
        <v>3155</v>
      </c>
      <c r="B3131" s="2" t="s">
        <v>19</v>
      </c>
      <c r="C3131" s="2" t="s">
        <v>20</v>
      </c>
      <c r="D3131" s="2">
        <v>70</v>
      </c>
      <c r="E3131" s="2" t="s">
        <v>26</v>
      </c>
      <c r="F3131" s="2" t="s">
        <v>15</v>
      </c>
      <c r="G3131" s="7">
        <v>95</v>
      </c>
      <c r="H3131" s="7">
        <v>6602.9</v>
      </c>
      <c r="I3131" s="2" t="s">
        <v>15</v>
      </c>
      <c r="J3131" s="2" t="s">
        <v>16</v>
      </c>
      <c r="K3131" s="2" t="s">
        <v>24</v>
      </c>
      <c r="L3131" s="7">
        <v>6602.9</v>
      </c>
      <c r="M3131" s="2" t="str">
        <f>_xlfn.IFS(TelecomData[[#This Row],[TenureMonths]]&lt;=12, "0-1 Year", TelecomData[[#This Row],[TenureMonths]]&lt;=36, "1-3 Years", TelecomData[[#This Row],[TenureMonths]]&gt;36, "3+ Years")</f>
        <v>3+ Years</v>
      </c>
      <c r="N3131" s="2" t="str">
        <f>IF(TelecomData[[#This Row],[CleanedTotalCharges]]&gt;=2500,"High Spend", "Standard Spend")</f>
        <v>High Spend</v>
      </c>
    </row>
    <row r="3132" spans="1:14" x14ac:dyDescent="0.3">
      <c r="A3132" s="1" t="s">
        <v>3156</v>
      </c>
      <c r="B3132" s="2" t="s">
        <v>19</v>
      </c>
      <c r="C3132" s="2" t="s">
        <v>20</v>
      </c>
      <c r="D3132" s="2">
        <v>24</v>
      </c>
      <c r="E3132" s="2" t="s">
        <v>14</v>
      </c>
      <c r="F3132" s="2" t="s">
        <v>16</v>
      </c>
      <c r="G3132" s="7">
        <v>74.400000000000006</v>
      </c>
      <c r="H3132" s="7">
        <v>1712.9</v>
      </c>
      <c r="I3132" s="2" t="s">
        <v>15</v>
      </c>
      <c r="J3132" s="2" t="s">
        <v>15</v>
      </c>
      <c r="K3132" s="2" t="s">
        <v>24</v>
      </c>
      <c r="L3132" s="7">
        <v>1712.9</v>
      </c>
      <c r="M3132" s="2" t="str">
        <f>_xlfn.IFS(TelecomData[[#This Row],[TenureMonths]]&lt;=12, "0-1 Year", TelecomData[[#This Row],[TenureMonths]]&lt;=36, "1-3 Years", TelecomData[[#This Row],[TenureMonths]]&gt;36, "3+ Years")</f>
        <v>1-3 Years</v>
      </c>
      <c r="N3132" s="2" t="str">
        <f>IF(TelecomData[[#This Row],[CleanedTotalCharges]]&gt;=2500,"High Spend", "Standard Spend")</f>
        <v>Standard Spend</v>
      </c>
    </row>
    <row r="3133" spans="1:14" x14ac:dyDescent="0.3">
      <c r="A3133" s="1" t="s">
        <v>3157</v>
      </c>
      <c r="B3133" s="2" t="s">
        <v>12</v>
      </c>
      <c r="C3133" s="2" t="s">
        <v>35</v>
      </c>
      <c r="D3133" s="2">
        <v>72</v>
      </c>
      <c r="E3133" s="2" t="s">
        <v>14</v>
      </c>
      <c r="F3133" s="2" t="s">
        <v>16</v>
      </c>
      <c r="G3133" s="7">
        <v>78.45</v>
      </c>
      <c r="H3133" s="7">
        <v>5682.25</v>
      </c>
      <c r="I3133" s="2" t="s">
        <v>15</v>
      </c>
      <c r="J3133" s="2" t="s">
        <v>15</v>
      </c>
      <c r="K3133" s="2" t="s">
        <v>24</v>
      </c>
      <c r="L3133" s="7">
        <v>5682.25</v>
      </c>
      <c r="M3133" s="2" t="str">
        <f>_xlfn.IFS(TelecomData[[#This Row],[TenureMonths]]&lt;=12, "0-1 Year", TelecomData[[#This Row],[TenureMonths]]&lt;=36, "1-3 Years", TelecomData[[#This Row],[TenureMonths]]&gt;36, "3+ Years")</f>
        <v>3+ Years</v>
      </c>
      <c r="N3133" s="2" t="str">
        <f>IF(TelecomData[[#This Row],[CleanedTotalCharges]]&gt;=2500,"High Spend", "Standard Spend")</f>
        <v>High Spend</v>
      </c>
    </row>
    <row r="3134" spans="1:14" x14ac:dyDescent="0.3">
      <c r="A3134" s="1" t="s">
        <v>3158</v>
      </c>
      <c r="B3134" s="2" t="s">
        <v>19</v>
      </c>
      <c r="C3134" s="2" t="s">
        <v>13</v>
      </c>
      <c r="D3134" s="2">
        <v>1</v>
      </c>
      <c r="E3134" s="2" t="s">
        <v>26</v>
      </c>
      <c r="F3134" s="2" t="s">
        <v>16</v>
      </c>
      <c r="G3134" s="7">
        <v>74.3</v>
      </c>
      <c r="H3134" s="7">
        <v>74.3</v>
      </c>
      <c r="I3134" s="2" t="s">
        <v>15</v>
      </c>
      <c r="J3134" s="2" t="s">
        <v>16</v>
      </c>
      <c r="K3134" s="2" t="s">
        <v>21</v>
      </c>
      <c r="L3134" s="7">
        <v>74.3</v>
      </c>
      <c r="M3134" s="2" t="str">
        <f>_xlfn.IFS(TelecomData[[#This Row],[TenureMonths]]&lt;=12, "0-1 Year", TelecomData[[#This Row],[TenureMonths]]&lt;=36, "1-3 Years", TelecomData[[#This Row],[TenureMonths]]&gt;36, "3+ Years")</f>
        <v>0-1 Year</v>
      </c>
      <c r="N3134" s="2" t="str">
        <f>IF(TelecomData[[#This Row],[CleanedTotalCharges]]&gt;=2500,"High Spend", "Standard Spend")</f>
        <v>Standard Spend</v>
      </c>
    </row>
    <row r="3135" spans="1:14" x14ac:dyDescent="0.3">
      <c r="A3135" s="1" t="s">
        <v>3159</v>
      </c>
      <c r="B3135" s="2" t="s">
        <v>19</v>
      </c>
      <c r="C3135" s="2" t="s">
        <v>20</v>
      </c>
      <c r="D3135" s="2">
        <v>70</v>
      </c>
      <c r="E3135" s="2" t="s">
        <v>14</v>
      </c>
      <c r="F3135" s="2" t="s">
        <v>16</v>
      </c>
      <c r="G3135" s="7">
        <v>51.05</v>
      </c>
      <c r="H3135" s="7">
        <v>3635.15</v>
      </c>
      <c r="I3135" s="2" t="s">
        <v>15</v>
      </c>
      <c r="J3135" s="2" t="s">
        <v>16</v>
      </c>
      <c r="K3135" s="2" t="s">
        <v>24</v>
      </c>
      <c r="L3135" s="7">
        <v>3635.15</v>
      </c>
      <c r="M3135" s="2" t="str">
        <f>_xlfn.IFS(TelecomData[[#This Row],[TenureMonths]]&lt;=12, "0-1 Year", TelecomData[[#This Row],[TenureMonths]]&lt;=36, "1-3 Years", TelecomData[[#This Row],[TenureMonths]]&gt;36, "3+ Years")</f>
        <v>3+ Years</v>
      </c>
      <c r="N3135" s="2" t="str">
        <f>IF(TelecomData[[#This Row],[CleanedTotalCharges]]&gt;=2500,"High Spend", "Standard Spend")</f>
        <v>High Spend</v>
      </c>
    </row>
    <row r="3136" spans="1:14" x14ac:dyDescent="0.3">
      <c r="A3136" s="1" t="s">
        <v>3160</v>
      </c>
      <c r="B3136" s="2" t="s">
        <v>12</v>
      </c>
      <c r="C3136" s="2" t="s">
        <v>13</v>
      </c>
      <c r="D3136" s="2">
        <v>36</v>
      </c>
      <c r="E3136" s="2" t="s">
        <v>15</v>
      </c>
      <c r="F3136" s="2" t="s">
        <v>36</v>
      </c>
      <c r="G3136" s="7">
        <v>19.2</v>
      </c>
      <c r="H3136" s="7">
        <v>702.9</v>
      </c>
      <c r="I3136" s="2" t="s">
        <v>15</v>
      </c>
      <c r="J3136" s="2" t="s">
        <v>15</v>
      </c>
      <c r="K3136" s="2" t="s">
        <v>24</v>
      </c>
      <c r="L3136" s="7">
        <v>702.9</v>
      </c>
      <c r="M3136" s="2" t="str">
        <f>_xlfn.IFS(TelecomData[[#This Row],[TenureMonths]]&lt;=12, "0-1 Year", TelecomData[[#This Row],[TenureMonths]]&lt;=36, "1-3 Years", TelecomData[[#This Row],[TenureMonths]]&gt;36, "3+ Years")</f>
        <v>1-3 Years</v>
      </c>
      <c r="N3136" s="2" t="str">
        <f>IF(TelecomData[[#This Row],[CleanedTotalCharges]]&gt;=2500,"High Spend", "Standard Spend")</f>
        <v>Standard Spend</v>
      </c>
    </row>
    <row r="3137" spans="1:14" x14ac:dyDescent="0.3">
      <c r="A3137" s="1" t="s">
        <v>3161</v>
      </c>
      <c r="B3137" s="2" t="s">
        <v>12</v>
      </c>
      <c r="C3137" s="2" t="s">
        <v>13</v>
      </c>
      <c r="D3137" s="2">
        <v>38</v>
      </c>
      <c r="E3137" s="2" t="s">
        <v>26</v>
      </c>
      <c r="F3137" s="2" t="s">
        <v>16</v>
      </c>
      <c r="G3137" s="7">
        <v>99.55</v>
      </c>
      <c r="H3137" s="7">
        <v>3734.25</v>
      </c>
      <c r="I3137" s="2" t="s">
        <v>16</v>
      </c>
      <c r="J3137" s="2" t="s">
        <v>16</v>
      </c>
      <c r="K3137" s="2" t="s">
        <v>17</v>
      </c>
      <c r="L3137" s="7">
        <v>3734.25</v>
      </c>
      <c r="M3137" s="2" t="str">
        <f>_xlfn.IFS(TelecomData[[#This Row],[TenureMonths]]&lt;=12, "0-1 Year", TelecomData[[#This Row],[TenureMonths]]&lt;=36, "1-3 Years", TelecomData[[#This Row],[TenureMonths]]&gt;36, "3+ Years")</f>
        <v>3+ Years</v>
      </c>
      <c r="N3137" s="2" t="str">
        <f>IF(TelecomData[[#This Row],[CleanedTotalCharges]]&gt;=2500,"High Spend", "Standard Spend")</f>
        <v>High Spend</v>
      </c>
    </row>
    <row r="3138" spans="1:14" x14ac:dyDescent="0.3">
      <c r="A3138" s="1" t="s">
        <v>3162</v>
      </c>
      <c r="B3138" s="2" t="s">
        <v>12</v>
      </c>
      <c r="C3138" s="2" t="s">
        <v>13</v>
      </c>
      <c r="D3138" s="2">
        <v>17</v>
      </c>
      <c r="E3138" s="2" t="s">
        <v>26</v>
      </c>
      <c r="F3138" s="2" t="s">
        <v>15</v>
      </c>
      <c r="G3138" s="7">
        <v>70</v>
      </c>
      <c r="H3138" s="7">
        <v>1144.5</v>
      </c>
      <c r="I3138" s="2" t="s">
        <v>16</v>
      </c>
      <c r="J3138" s="2" t="s">
        <v>16</v>
      </c>
      <c r="K3138" s="2" t="s">
        <v>17</v>
      </c>
      <c r="L3138" s="7">
        <v>1144.5</v>
      </c>
      <c r="M3138" s="2" t="str">
        <f>_xlfn.IFS(TelecomData[[#This Row],[TenureMonths]]&lt;=12, "0-1 Year", TelecomData[[#This Row],[TenureMonths]]&lt;=36, "1-3 Years", TelecomData[[#This Row],[TenureMonths]]&gt;36, "3+ Years")</f>
        <v>1-3 Years</v>
      </c>
      <c r="N3138" s="2" t="str">
        <f>IF(TelecomData[[#This Row],[CleanedTotalCharges]]&gt;=2500,"High Spend", "Standard Spend")</f>
        <v>Standard Spend</v>
      </c>
    </row>
    <row r="3139" spans="1:14" x14ac:dyDescent="0.3">
      <c r="A3139" s="1" t="s">
        <v>3163</v>
      </c>
      <c r="B3139" s="2" t="s">
        <v>12</v>
      </c>
      <c r="C3139" s="2" t="s">
        <v>20</v>
      </c>
      <c r="D3139" s="2">
        <v>41</v>
      </c>
      <c r="E3139" s="2" t="s">
        <v>26</v>
      </c>
      <c r="F3139" s="2" t="s">
        <v>16</v>
      </c>
      <c r="G3139" s="7">
        <v>109.1</v>
      </c>
      <c r="H3139" s="7">
        <v>4454.25</v>
      </c>
      <c r="I3139" s="2" t="s">
        <v>15</v>
      </c>
      <c r="J3139" s="2" t="s">
        <v>16</v>
      </c>
      <c r="K3139" s="2" t="s">
        <v>24</v>
      </c>
      <c r="L3139" s="7">
        <v>4454.25</v>
      </c>
      <c r="M3139" s="2" t="str">
        <f>_xlfn.IFS(TelecomData[[#This Row],[TenureMonths]]&lt;=12, "0-1 Year", TelecomData[[#This Row],[TenureMonths]]&lt;=36, "1-3 Years", TelecomData[[#This Row],[TenureMonths]]&gt;36, "3+ Years")</f>
        <v>3+ Years</v>
      </c>
      <c r="N3139" s="2" t="str">
        <f>IF(TelecomData[[#This Row],[CleanedTotalCharges]]&gt;=2500,"High Spend", "Standard Spend")</f>
        <v>High Spend</v>
      </c>
    </row>
    <row r="3140" spans="1:14" x14ac:dyDescent="0.3">
      <c r="A3140" s="1" t="s">
        <v>3164</v>
      </c>
      <c r="B3140" s="2" t="s">
        <v>12</v>
      </c>
      <c r="C3140" s="2" t="s">
        <v>13</v>
      </c>
      <c r="D3140" s="2">
        <v>1</v>
      </c>
      <c r="E3140" s="2" t="s">
        <v>14</v>
      </c>
      <c r="F3140" s="2" t="s">
        <v>15</v>
      </c>
      <c r="G3140" s="7">
        <v>45.3</v>
      </c>
      <c r="H3140" s="7">
        <v>45.3</v>
      </c>
      <c r="I3140" s="2" t="s">
        <v>16</v>
      </c>
      <c r="J3140" s="2" t="s">
        <v>16</v>
      </c>
      <c r="K3140" s="2" t="s">
        <v>17</v>
      </c>
      <c r="L3140" s="7">
        <v>45.3</v>
      </c>
      <c r="M3140" s="2" t="str">
        <f>_xlfn.IFS(TelecomData[[#This Row],[TenureMonths]]&lt;=12, "0-1 Year", TelecomData[[#This Row],[TenureMonths]]&lt;=36, "1-3 Years", TelecomData[[#This Row],[TenureMonths]]&gt;36, "3+ Years")</f>
        <v>0-1 Year</v>
      </c>
      <c r="N3140" s="2" t="str">
        <f>IF(TelecomData[[#This Row],[CleanedTotalCharges]]&gt;=2500,"High Spend", "Standard Spend")</f>
        <v>Standard Spend</v>
      </c>
    </row>
    <row r="3141" spans="1:14" x14ac:dyDescent="0.3">
      <c r="A3141" s="1" t="s">
        <v>3165</v>
      </c>
      <c r="B3141" s="2" t="s">
        <v>19</v>
      </c>
      <c r="C3141" s="2" t="s">
        <v>13</v>
      </c>
      <c r="D3141" s="2">
        <v>2</v>
      </c>
      <c r="E3141" s="2" t="s">
        <v>14</v>
      </c>
      <c r="F3141" s="2" t="s">
        <v>16</v>
      </c>
      <c r="G3141" s="7">
        <v>29.85</v>
      </c>
      <c r="H3141" s="7">
        <v>75.599999999999994</v>
      </c>
      <c r="I3141" s="2" t="s">
        <v>16</v>
      </c>
      <c r="J3141" s="2" t="s">
        <v>15</v>
      </c>
      <c r="K3141" s="2" t="s">
        <v>24</v>
      </c>
      <c r="L3141" s="7">
        <v>75.599999999999994</v>
      </c>
      <c r="M3141" s="2" t="str">
        <f>_xlfn.IFS(TelecomData[[#This Row],[TenureMonths]]&lt;=12, "0-1 Year", TelecomData[[#This Row],[TenureMonths]]&lt;=36, "1-3 Years", TelecomData[[#This Row],[TenureMonths]]&gt;36, "3+ Years")</f>
        <v>0-1 Year</v>
      </c>
      <c r="N3141" s="2" t="str">
        <f>IF(TelecomData[[#This Row],[CleanedTotalCharges]]&gt;=2500,"High Spend", "Standard Spend")</f>
        <v>Standard Spend</v>
      </c>
    </row>
    <row r="3142" spans="1:14" x14ac:dyDescent="0.3">
      <c r="A3142" s="1" t="s">
        <v>3166</v>
      </c>
      <c r="B3142" s="2" t="s">
        <v>19</v>
      </c>
      <c r="C3142" s="2" t="s">
        <v>13</v>
      </c>
      <c r="D3142" s="2">
        <v>14</v>
      </c>
      <c r="E3142" s="2" t="s">
        <v>26</v>
      </c>
      <c r="F3142" s="2" t="s">
        <v>15</v>
      </c>
      <c r="G3142" s="7">
        <v>76.45</v>
      </c>
      <c r="H3142" s="7">
        <v>1117.55</v>
      </c>
      <c r="I3142" s="2" t="s">
        <v>15</v>
      </c>
      <c r="J3142" s="2" t="s">
        <v>15</v>
      </c>
      <c r="K3142" s="2" t="s">
        <v>17</v>
      </c>
      <c r="L3142" s="7">
        <v>1117.55</v>
      </c>
      <c r="M3142" s="2" t="str">
        <f>_xlfn.IFS(TelecomData[[#This Row],[TenureMonths]]&lt;=12, "0-1 Year", TelecomData[[#This Row],[TenureMonths]]&lt;=36, "1-3 Years", TelecomData[[#This Row],[TenureMonths]]&gt;36, "3+ Years")</f>
        <v>1-3 Years</v>
      </c>
      <c r="N3142" s="2" t="str">
        <f>IF(TelecomData[[#This Row],[CleanedTotalCharges]]&gt;=2500,"High Spend", "Standard Spend")</f>
        <v>Standard Spend</v>
      </c>
    </row>
    <row r="3143" spans="1:14" x14ac:dyDescent="0.3">
      <c r="A3143" s="1" t="s">
        <v>3167</v>
      </c>
      <c r="B3143" s="2" t="s">
        <v>19</v>
      </c>
      <c r="C3143" s="2" t="s">
        <v>13</v>
      </c>
      <c r="D3143" s="2">
        <v>2</v>
      </c>
      <c r="E3143" s="2" t="s">
        <v>26</v>
      </c>
      <c r="F3143" s="2" t="s">
        <v>16</v>
      </c>
      <c r="G3143" s="7">
        <v>95.1</v>
      </c>
      <c r="H3143" s="7">
        <v>180.25</v>
      </c>
      <c r="I3143" s="2" t="s">
        <v>16</v>
      </c>
      <c r="J3143" s="2" t="s">
        <v>16</v>
      </c>
      <c r="K3143" s="2" t="s">
        <v>29</v>
      </c>
      <c r="L3143" s="7">
        <v>180.25</v>
      </c>
      <c r="M3143" s="2" t="str">
        <f>_xlfn.IFS(TelecomData[[#This Row],[TenureMonths]]&lt;=12, "0-1 Year", TelecomData[[#This Row],[TenureMonths]]&lt;=36, "1-3 Years", TelecomData[[#This Row],[TenureMonths]]&gt;36, "3+ Years")</f>
        <v>0-1 Year</v>
      </c>
      <c r="N3143" s="2" t="str">
        <f>IF(TelecomData[[#This Row],[CleanedTotalCharges]]&gt;=2500,"High Spend", "Standard Spend")</f>
        <v>Standard Spend</v>
      </c>
    </row>
    <row r="3144" spans="1:14" x14ac:dyDescent="0.3">
      <c r="A3144" s="1" t="s">
        <v>3168</v>
      </c>
      <c r="B3144" s="2" t="s">
        <v>19</v>
      </c>
      <c r="C3144" s="2" t="s">
        <v>13</v>
      </c>
      <c r="D3144" s="2">
        <v>1</v>
      </c>
      <c r="E3144" s="2" t="s">
        <v>15</v>
      </c>
      <c r="F3144" s="2" t="s">
        <v>36</v>
      </c>
      <c r="G3144" s="7">
        <v>19.8</v>
      </c>
      <c r="H3144" s="7">
        <v>19.8</v>
      </c>
      <c r="I3144" s="2" t="s">
        <v>16</v>
      </c>
      <c r="J3144" s="2" t="s">
        <v>15</v>
      </c>
      <c r="K3144" s="2" t="s">
        <v>21</v>
      </c>
      <c r="L3144" s="7">
        <v>19.8</v>
      </c>
      <c r="M3144" s="2" t="str">
        <f>_xlfn.IFS(TelecomData[[#This Row],[TenureMonths]]&lt;=12, "0-1 Year", TelecomData[[#This Row],[TenureMonths]]&lt;=36, "1-3 Years", TelecomData[[#This Row],[TenureMonths]]&gt;36, "3+ Years")</f>
        <v>0-1 Year</v>
      </c>
      <c r="N3144" s="2" t="str">
        <f>IF(TelecomData[[#This Row],[CleanedTotalCharges]]&gt;=2500,"High Spend", "Standard Spend")</f>
        <v>Standard Spend</v>
      </c>
    </row>
    <row r="3145" spans="1:14" x14ac:dyDescent="0.3">
      <c r="A3145" s="1" t="s">
        <v>3169</v>
      </c>
      <c r="B3145" s="2" t="s">
        <v>19</v>
      </c>
      <c r="C3145" s="2" t="s">
        <v>13</v>
      </c>
      <c r="D3145" s="2">
        <v>13</v>
      </c>
      <c r="E3145" s="2" t="s">
        <v>14</v>
      </c>
      <c r="F3145" s="2" t="s">
        <v>16</v>
      </c>
      <c r="G3145" s="7">
        <v>72.8</v>
      </c>
      <c r="H3145" s="7">
        <v>930.05</v>
      </c>
      <c r="I3145" s="2" t="s">
        <v>15</v>
      </c>
      <c r="J3145" s="2" t="s">
        <v>16</v>
      </c>
      <c r="K3145" s="2" t="s">
        <v>17</v>
      </c>
      <c r="L3145" s="7">
        <v>930.05</v>
      </c>
      <c r="M3145" s="2" t="str">
        <f>_xlfn.IFS(TelecomData[[#This Row],[TenureMonths]]&lt;=12, "0-1 Year", TelecomData[[#This Row],[TenureMonths]]&lt;=36, "1-3 Years", TelecomData[[#This Row],[TenureMonths]]&gt;36, "3+ Years")</f>
        <v>1-3 Years</v>
      </c>
      <c r="N3145" s="2" t="str">
        <f>IF(TelecomData[[#This Row],[CleanedTotalCharges]]&gt;=2500,"High Spend", "Standard Spend")</f>
        <v>Standard Spend</v>
      </c>
    </row>
    <row r="3146" spans="1:14" x14ac:dyDescent="0.3">
      <c r="A3146" s="1" t="s">
        <v>3170</v>
      </c>
      <c r="B3146" s="2" t="s">
        <v>19</v>
      </c>
      <c r="C3146" s="2" t="s">
        <v>13</v>
      </c>
      <c r="D3146" s="2">
        <v>6</v>
      </c>
      <c r="E3146" s="2" t="s">
        <v>15</v>
      </c>
      <c r="F3146" s="2" t="s">
        <v>36</v>
      </c>
      <c r="G3146" s="7">
        <v>18.95</v>
      </c>
      <c r="H3146" s="7">
        <v>110.15</v>
      </c>
      <c r="I3146" s="2" t="s">
        <v>15</v>
      </c>
      <c r="J3146" s="2" t="s">
        <v>15</v>
      </c>
      <c r="K3146" s="2" t="s">
        <v>21</v>
      </c>
      <c r="L3146" s="7">
        <v>110.15</v>
      </c>
      <c r="M3146" s="2" t="str">
        <f>_xlfn.IFS(TelecomData[[#This Row],[TenureMonths]]&lt;=12, "0-1 Year", TelecomData[[#This Row],[TenureMonths]]&lt;=36, "1-3 Years", TelecomData[[#This Row],[TenureMonths]]&gt;36, "3+ Years")</f>
        <v>0-1 Year</v>
      </c>
      <c r="N3146" s="2" t="str">
        <f>IF(TelecomData[[#This Row],[CleanedTotalCharges]]&gt;=2500,"High Spend", "Standard Spend")</f>
        <v>Standard Spend</v>
      </c>
    </row>
    <row r="3147" spans="1:14" x14ac:dyDescent="0.3">
      <c r="A3147" s="1" t="s">
        <v>3171</v>
      </c>
      <c r="B3147" s="2" t="s">
        <v>12</v>
      </c>
      <c r="C3147" s="2" t="s">
        <v>13</v>
      </c>
      <c r="D3147" s="2">
        <v>4</v>
      </c>
      <c r="E3147" s="2" t="s">
        <v>26</v>
      </c>
      <c r="F3147" s="2" t="s">
        <v>15</v>
      </c>
      <c r="G3147" s="7">
        <v>76.650000000000006</v>
      </c>
      <c r="H3147" s="7">
        <v>333.6</v>
      </c>
      <c r="I3147" s="2" t="s">
        <v>16</v>
      </c>
      <c r="J3147" s="2" t="s">
        <v>16</v>
      </c>
      <c r="K3147" s="2" t="s">
        <v>24</v>
      </c>
      <c r="L3147" s="7">
        <v>333.6</v>
      </c>
      <c r="M3147" s="2" t="str">
        <f>_xlfn.IFS(TelecomData[[#This Row],[TenureMonths]]&lt;=12, "0-1 Year", TelecomData[[#This Row],[TenureMonths]]&lt;=36, "1-3 Years", TelecomData[[#This Row],[TenureMonths]]&gt;36, "3+ Years")</f>
        <v>0-1 Year</v>
      </c>
      <c r="N3147" s="2" t="str">
        <f>IF(TelecomData[[#This Row],[CleanedTotalCharges]]&gt;=2500,"High Spend", "Standard Spend")</f>
        <v>Standard Spend</v>
      </c>
    </row>
    <row r="3148" spans="1:14" x14ac:dyDescent="0.3">
      <c r="A3148" s="1" t="s">
        <v>3172</v>
      </c>
      <c r="B3148" s="2" t="s">
        <v>12</v>
      </c>
      <c r="C3148" s="2" t="s">
        <v>13</v>
      </c>
      <c r="D3148" s="2">
        <v>5</v>
      </c>
      <c r="E3148" s="2" t="s">
        <v>26</v>
      </c>
      <c r="F3148" s="2" t="s">
        <v>16</v>
      </c>
      <c r="G3148" s="7">
        <v>99.15</v>
      </c>
      <c r="H3148" s="7">
        <v>465.05</v>
      </c>
      <c r="I3148" s="2" t="s">
        <v>16</v>
      </c>
      <c r="J3148" s="2" t="s">
        <v>16</v>
      </c>
      <c r="K3148" s="2" t="s">
        <v>21</v>
      </c>
      <c r="L3148" s="7">
        <v>465.05</v>
      </c>
      <c r="M3148" s="2" t="str">
        <f>_xlfn.IFS(TelecomData[[#This Row],[TenureMonths]]&lt;=12, "0-1 Year", TelecomData[[#This Row],[TenureMonths]]&lt;=36, "1-3 Years", TelecomData[[#This Row],[TenureMonths]]&gt;36, "3+ Years")</f>
        <v>0-1 Year</v>
      </c>
      <c r="N3148" s="2" t="str">
        <f>IF(TelecomData[[#This Row],[CleanedTotalCharges]]&gt;=2500,"High Spend", "Standard Spend")</f>
        <v>Standard Spend</v>
      </c>
    </row>
    <row r="3149" spans="1:14" x14ac:dyDescent="0.3">
      <c r="A3149" s="1" t="s">
        <v>3173</v>
      </c>
      <c r="B3149" s="2" t="s">
        <v>12</v>
      </c>
      <c r="C3149" s="2" t="s">
        <v>13</v>
      </c>
      <c r="D3149" s="2">
        <v>15</v>
      </c>
      <c r="E3149" s="2" t="s">
        <v>26</v>
      </c>
      <c r="F3149" s="2" t="s">
        <v>15</v>
      </c>
      <c r="G3149" s="7">
        <v>101.75</v>
      </c>
      <c r="H3149" s="7">
        <v>1669.4</v>
      </c>
      <c r="I3149" s="2" t="s">
        <v>15</v>
      </c>
      <c r="J3149" s="2" t="s">
        <v>15</v>
      </c>
      <c r="K3149" s="2" t="s">
        <v>17</v>
      </c>
      <c r="L3149" s="7">
        <v>1669.4</v>
      </c>
      <c r="M3149" s="2" t="str">
        <f>_xlfn.IFS(TelecomData[[#This Row],[TenureMonths]]&lt;=12, "0-1 Year", TelecomData[[#This Row],[TenureMonths]]&lt;=36, "1-3 Years", TelecomData[[#This Row],[TenureMonths]]&gt;36, "3+ Years")</f>
        <v>1-3 Years</v>
      </c>
      <c r="N3149" s="2" t="str">
        <f>IF(TelecomData[[#This Row],[CleanedTotalCharges]]&gt;=2500,"High Spend", "Standard Spend")</f>
        <v>Standard Spend</v>
      </c>
    </row>
    <row r="3150" spans="1:14" x14ac:dyDescent="0.3">
      <c r="A3150" s="1" t="s">
        <v>3174</v>
      </c>
      <c r="B3150" s="2" t="s">
        <v>12</v>
      </c>
      <c r="C3150" s="2" t="s">
        <v>13</v>
      </c>
      <c r="D3150" s="2">
        <v>47</v>
      </c>
      <c r="E3150" s="2" t="s">
        <v>26</v>
      </c>
      <c r="F3150" s="2" t="s">
        <v>15</v>
      </c>
      <c r="G3150" s="7">
        <v>75.45</v>
      </c>
      <c r="H3150" s="7">
        <v>3545.1</v>
      </c>
      <c r="I3150" s="2" t="s">
        <v>15</v>
      </c>
      <c r="J3150" s="2" t="s">
        <v>15</v>
      </c>
      <c r="K3150" s="2" t="s">
        <v>29</v>
      </c>
      <c r="L3150" s="7">
        <v>3545.1</v>
      </c>
      <c r="M3150" s="2" t="str">
        <f>_xlfn.IFS(TelecomData[[#This Row],[TenureMonths]]&lt;=12, "0-1 Year", TelecomData[[#This Row],[TenureMonths]]&lt;=36, "1-3 Years", TelecomData[[#This Row],[TenureMonths]]&gt;36, "3+ Years")</f>
        <v>3+ Years</v>
      </c>
      <c r="N3150" s="2" t="str">
        <f>IF(TelecomData[[#This Row],[CleanedTotalCharges]]&gt;=2500,"High Spend", "Standard Spend")</f>
        <v>High Spend</v>
      </c>
    </row>
    <row r="3151" spans="1:14" x14ac:dyDescent="0.3">
      <c r="A3151" s="1" t="s">
        <v>3175</v>
      </c>
      <c r="B3151" s="2" t="s">
        <v>12</v>
      </c>
      <c r="C3151" s="2" t="s">
        <v>13</v>
      </c>
      <c r="D3151" s="2">
        <v>8</v>
      </c>
      <c r="E3151" s="2" t="s">
        <v>14</v>
      </c>
      <c r="F3151" s="2" t="s">
        <v>16</v>
      </c>
      <c r="G3151" s="7">
        <v>64.099999999999994</v>
      </c>
      <c r="H3151" s="7">
        <v>504.05</v>
      </c>
      <c r="I3151" s="2" t="s">
        <v>15</v>
      </c>
      <c r="J3151" s="2" t="s">
        <v>15</v>
      </c>
      <c r="K3151" s="2" t="s">
        <v>21</v>
      </c>
      <c r="L3151" s="7">
        <v>504.05</v>
      </c>
      <c r="M3151" s="2" t="str">
        <f>_xlfn.IFS(TelecomData[[#This Row],[TenureMonths]]&lt;=12, "0-1 Year", TelecomData[[#This Row],[TenureMonths]]&lt;=36, "1-3 Years", TelecomData[[#This Row],[TenureMonths]]&gt;36, "3+ Years")</f>
        <v>0-1 Year</v>
      </c>
      <c r="N3151" s="2" t="str">
        <f>IF(TelecomData[[#This Row],[CleanedTotalCharges]]&gt;=2500,"High Spend", "Standard Spend")</f>
        <v>Standard Spend</v>
      </c>
    </row>
    <row r="3152" spans="1:14" x14ac:dyDescent="0.3">
      <c r="A3152" s="1" t="s">
        <v>3176</v>
      </c>
      <c r="B3152" s="2" t="s">
        <v>19</v>
      </c>
      <c r="C3152" s="2" t="s">
        <v>13</v>
      </c>
      <c r="D3152" s="2">
        <v>17</v>
      </c>
      <c r="E3152" s="2" t="s">
        <v>14</v>
      </c>
      <c r="F3152" s="2" t="s">
        <v>15</v>
      </c>
      <c r="G3152" s="7">
        <v>25.65</v>
      </c>
      <c r="H3152" s="7">
        <v>440.2</v>
      </c>
      <c r="I3152" s="2" t="s">
        <v>15</v>
      </c>
      <c r="J3152" s="2" t="s">
        <v>16</v>
      </c>
      <c r="K3152" s="2" t="s">
        <v>21</v>
      </c>
      <c r="L3152" s="7">
        <v>440.2</v>
      </c>
      <c r="M3152" s="2" t="str">
        <f>_xlfn.IFS(TelecomData[[#This Row],[TenureMonths]]&lt;=12, "0-1 Year", TelecomData[[#This Row],[TenureMonths]]&lt;=36, "1-3 Years", TelecomData[[#This Row],[TenureMonths]]&gt;36, "3+ Years")</f>
        <v>1-3 Years</v>
      </c>
      <c r="N3152" s="2" t="str">
        <f>IF(TelecomData[[#This Row],[CleanedTotalCharges]]&gt;=2500,"High Spend", "Standard Spend")</f>
        <v>Standard Spend</v>
      </c>
    </row>
    <row r="3153" spans="1:14" x14ac:dyDescent="0.3">
      <c r="A3153" s="1" t="s">
        <v>3177</v>
      </c>
      <c r="B3153" s="2" t="s">
        <v>19</v>
      </c>
      <c r="C3153" s="2" t="s">
        <v>13</v>
      </c>
      <c r="D3153" s="2">
        <v>15</v>
      </c>
      <c r="E3153" s="2" t="s">
        <v>26</v>
      </c>
      <c r="F3153" s="2" t="s">
        <v>15</v>
      </c>
      <c r="G3153" s="7">
        <v>75.099999999999994</v>
      </c>
      <c r="H3153" s="7">
        <v>1151.55</v>
      </c>
      <c r="I3153" s="2" t="s">
        <v>15</v>
      </c>
      <c r="J3153" s="2" t="s">
        <v>15</v>
      </c>
      <c r="K3153" s="2" t="s">
        <v>21</v>
      </c>
      <c r="L3153" s="7">
        <v>1151.55</v>
      </c>
      <c r="M3153" s="2" t="str">
        <f>_xlfn.IFS(TelecomData[[#This Row],[TenureMonths]]&lt;=12, "0-1 Year", TelecomData[[#This Row],[TenureMonths]]&lt;=36, "1-3 Years", TelecomData[[#This Row],[TenureMonths]]&gt;36, "3+ Years")</f>
        <v>1-3 Years</v>
      </c>
      <c r="N3153" s="2" t="str">
        <f>IF(TelecomData[[#This Row],[CleanedTotalCharges]]&gt;=2500,"High Spend", "Standard Spend")</f>
        <v>Standard Spend</v>
      </c>
    </row>
    <row r="3154" spans="1:14" x14ac:dyDescent="0.3">
      <c r="A3154" s="1" t="s">
        <v>3178</v>
      </c>
      <c r="B3154" s="2" t="s">
        <v>12</v>
      </c>
      <c r="C3154" s="2" t="s">
        <v>20</v>
      </c>
      <c r="D3154" s="2">
        <v>26</v>
      </c>
      <c r="E3154" s="2" t="s">
        <v>26</v>
      </c>
      <c r="F3154" s="2" t="s">
        <v>16</v>
      </c>
      <c r="G3154" s="7">
        <v>95.85</v>
      </c>
      <c r="H3154" s="7">
        <v>2475.35</v>
      </c>
      <c r="I3154" s="2" t="s">
        <v>15</v>
      </c>
      <c r="J3154" s="2" t="s">
        <v>16</v>
      </c>
      <c r="K3154" s="2" t="s">
        <v>24</v>
      </c>
      <c r="L3154" s="7">
        <v>2475.35</v>
      </c>
      <c r="M3154" s="2" t="str">
        <f>_xlfn.IFS(TelecomData[[#This Row],[TenureMonths]]&lt;=12, "0-1 Year", TelecomData[[#This Row],[TenureMonths]]&lt;=36, "1-3 Years", TelecomData[[#This Row],[TenureMonths]]&gt;36, "3+ Years")</f>
        <v>1-3 Years</v>
      </c>
      <c r="N3154" s="2" t="str">
        <f>IF(TelecomData[[#This Row],[CleanedTotalCharges]]&gt;=2500,"High Spend", "Standard Spend")</f>
        <v>Standard Spend</v>
      </c>
    </row>
    <row r="3155" spans="1:14" x14ac:dyDescent="0.3">
      <c r="A3155" s="1" t="s">
        <v>3179</v>
      </c>
      <c r="B3155" s="2" t="s">
        <v>12</v>
      </c>
      <c r="C3155" s="2" t="s">
        <v>13</v>
      </c>
      <c r="D3155" s="2">
        <v>23</v>
      </c>
      <c r="E3155" s="2" t="s">
        <v>14</v>
      </c>
      <c r="F3155" s="2" t="s">
        <v>15</v>
      </c>
      <c r="G3155" s="7">
        <v>54.4</v>
      </c>
      <c r="H3155" s="7">
        <v>1249.25</v>
      </c>
      <c r="I3155" s="2" t="s">
        <v>15</v>
      </c>
      <c r="J3155" s="2" t="s">
        <v>15</v>
      </c>
      <c r="K3155" s="2" t="s">
        <v>17</v>
      </c>
      <c r="L3155" s="7">
        <v>1249.25</v>
      </c>
      <c r="M3155" s="2" t="str">
        <f>_xlfn.IFS(TelecomData[[#This Row],[TenureMonths]]&lt;=12, "0-1 Year", TelecomData[[#This Row],[TenureMonths]]&lt;=36, "1-3 Years", TelecomData[[#This Row],[TenureMonths]]&gt;36, "3+ Years")</f>
        <v>1-3 Years</v>
      </c>
      <c r="N3155" s="2" t="str">
        <f>IF(TelecomData[[#This Row],[CleanedTotalCharges]]&gt;=2500,"High Spend", "Standard Spend")</f>
        <v>Standard Spend</v>
      </c>
    </row>
    <row r="3156" spans="1:14" x14ac:dyDescent="0.3">
      <c r="A3156" s="1" t="s">
        <v>3180</v>
      </c>
      <c r="B3156" s="2" t="s">
        <v>12</v>
      </c>
      <c r="C3156" s="2" t="s">
        <v>13</v>
      </c>
      <c r="D3156" s="2">
        <v>4</v>
      </c>
      <c r="E3156" s="2" t="s">
        <v>26</v>
      </c>
      <c r="F3156" s="2" t="s">
        <v>15</v>
      </c>
      <c r="G3156" s="7">
        <v>72.75</v>
      </c>
      <c r="H3156" s="7">
        <v>317.75</v>
      </c>
      <c r="I3156" s="2" t="s">
        <v>15</v>
      </c>
      <c r="J3156" s="2" t="s">
        <v>15</v>
      </c>
      <c r="K3156" s="2" t="s">
        <v>17</v>
      </c>
      <c r="L3156" s="7">
        <v>317.75</v>
      </c>
      <c r="M3156" s="2" t="str">
        <f>_xlfn.IFS(TelecomData[[#This Row],[TenureMonths]]&lt;=12, "0-1 Year", TelecomData[[#This Row],[TenureMonths]]&lt;=36, "1-3 Years", TelecomData[[#This Row],[TenureMonths]]&gt;36, "3+ Years")</f>
        <v>0-1 Year</v>
      </c>
      <c r="N3156" s="2" t="str">
        <f>IF(TelecomData[[#This Row],[CleanedTotalCharges]]&gt;=2500,"High Spend", "Standard Spend")</f>
        <v>Standard Spend</v>
      </c>
    </row>
    <row r="3157" spans="1:14" x14ac:dyDescent="0.3">
      <c r="A3157" s="1" t="s">
        <v>3181</v>
      </c>
      <c r="B3157" s="2" t="s">
        <v>19</v>
      </c>
      <c r="C3157" s="2" t="s">
        <v>20</v>
      </c>
      <c r="D3157" s="2">
        <v>29</v>
      </c>
      <c r="E3157" s="2" t="s">
        <v>15</v>
      </c>
      <c r="F3157" s="2" t="s">
        <v>36</v>
      </c>
      <c r="G3157" s="7">
        <v>19.850000000000001</v>
      </c>
      <c r="H3157" s="7">
        <v>535.04999999999995</v>
      </c>
      <c r="I3157" s="2" t="s">
        <v>15</v>
      </c>
      <c r="J3157" s="2" t="s">
        <v>15</v>
      </c>
      <c r="K3157" s="2" t="s">
        <v>21</v>
      </c>
      <c r="L3157" s="7">
        <v>535.04999999999995</v>
      </c>
      <c r="M3157" s="2" t="str">
        <f>_xlfn.IFS(TelecomData[[#This Row],[TenureMonths]]&lt;=12, "0-1 Year", TelecomData[[#This Row],[TenureMonths]]&lt;=36, "1-3 Years", TelecomData[[#This Row],[TenureMonths]]&gt;36, "3+ Years")</f>
        <v>1-3 Years</v>
      </c>
      <c r="N3157" s="2" t="str">
        <f>IF(TelecomData[[#This Row],[CleanedTotalCharges]]&gt;=2500,"High Spend", "Standard Spend")</f>
        <v>Standard Spend</v>
      </c>
    </row>
    <row r="3158" spans="1:14" x14ac:dyDescent="0.3">
      <c r="A3158" s="1" t="s">
        <v>3182</v>
      </c>
      <c r="B3158" s="2" t="s">
        <v>12</v>
      </c>
      <c r="C3158" s="2" t="s">
        <v>13</v>
      </c>
      <c r="D3158" s="2">
        <v>25</v>
      </c>
      <c r="E3158" s="2" t="s">
        <v>15</v>
      </c>
      <c r="F3158" s="2" t="s">
        <v>36</v>
      </c>
      <c r="G3158" s="7">
        <v>19.05</v>
      </c>
      <c r="H3158" s="7">
        <v>461.3</v>
      </c>
      <c r="I3158" s="2" t="s">
        <v>15</v>
      </c>
      <c r="J3158" s="2" t="s">
        <v>15</v>
      </c>
      <c r="K3158" s="2" t="s">
        <v>21</v>
      </c>
      <c r="L3158" s="7">
        <v>461.3</v>
      </c>
      <c r="M3158" s="2" t="str">
        <f>_xlfn.IFS(TelecomData[[#This Row],[TenureMonths]]&lt;=12, "0-1 Year", TelecomData[[#This Row],[TenureMonths]]&lt;=36, "1-3 Years", TelecomData[[#This Row],[TenureMonths]]&gt;36, "3+ Years")</f>
        <v>1-3 Years</v>
      </c>
      <c r="N3158" s="2" t="str">
        <f>IF(TelecomData[[#This Row],[CleanedTotalCharges]]&gt;=2500,"High Spend", "Standard Spend")</f>
        <v>Standard Spend</v>
      </c>
    </row>
    <row r="3159" spans="1:14" x14ac:dyDescent="0.3">
      <c r="A3159" s="1" t="s">
        <v>3183</v>
      </c>
      <c r="B3159" s="2" t="s">
        <v>19</v>
      </c>
      <c r="C3159" s="2" t="s">
        <v>13</v>
      </c>
      <c r="D3159" s="2">
        <v>9</v>
      </c>
      <c r="E3159" s="2" t="s">
        <v>14</v>
      </c>
      <c r="F3159" s="2" t="s">
        <v>15</v>
      </c>
      <c r="G3159" s="7">
        <v>44.95</v>
      </c>
      <c r="H3159" s="7">
        <v>431</v>
      </c>
      <c r="I3159" s="2" t="s">
        <v>16</v>
      </c>
      <c r="J3159" s="2" t="s">
        <v>15</v>
      </c>
      <c r="K3159" s="2" t="s">
        <v>21</v>
      </c>
      <c r="L3159" s="7">
        <v>431</v>
      </c>
      <c r="M3159" s="2" t="str">
        <f>_xlfn.IFS(TelecomData[[#This Row],[TenureMonths]]&lt;=12, "0-1 Year", TelecomData[[#This Row],[TenureMonths]]&lt;=36, "1-3 Years", TelecomData[[#This Row],[TenureMonths]]&gt;36, "3+ Years")</f>
        <v>0-1 Year</v>
      </c>
      <c r="N3159" s="2" t="str">
        <f>IF(TelecomData[[#This Row],[CleanedTotalCharges]]&gt;=2500,"High Spend", "Standard Spend")</f>
        <v>Standard Spend</v>
      </c>
    </row>
    <row r="3160" spans="1:14" x14ac:dyDescent="0.3">
      <c r="A3160" s="1" t="s">
        <v>3184</v>
      </c>
      <c r="B3160" s="2" t="s">
        <v>19</v>
      </c>
      <c r="C3160" s="2" t="s">
        <v>13</v>
      </c>
      <c r="D3160" s="2">
        <v>18</v>
      </c>
      <c r="E3160" s="2" t="s">
        <v>14</v>
      </c>
      <c r="F3160" s="2" t="s">
        <v>15</v>
      </c>
      <c r="G3160" s="7">
        <v>49.55</v>
      </c>
      <c r="H3160" s="7">
        <v>878.35</v>
      </c>
      <c r="I3160" s="2" t="s">
        <v>16</v>
      </c>
      <c r="J3160" s="2" t="s">
        <v>16</v>
      </c>
      <c r="K3160" s="2" t="s">
        <v>21</v>
      </c>
      <c r="L3160" s="7">
        <v>878.35</v>
      </c>
      <c r="M3160" s="2" t="str">
        <f>_xlfn.IFS(TelecomData[[#This Row],[TenureMonths]]&lt;=12, "0-1 Year", TelecomData[[#This Row],[TenureMonths]]&lt;=36, "1-3 Years", TelecomData[[#This Row],[TenureMonths]]&gt;36, "3+ Years")</f>
        <v>1-3 Years</v>
      </c>
      <c r="N3160" s="2" t="str">
        <f>IF(TelecomData[[#This Row],[CleanedTotalCharges]]&gt;=2500,"High Spend", "Standard Spend")</f>
        <v>Standard Spend</v>
      </c>
    </row>
    <row r="3161" spans="1:14" x14ac:dyDescent="0.3">
      <c r="A3161" s="1" t="s">
        <v>3185</v>
      </c>
      <c r="B3161" s="2" t="s">
        <v>19</v>
      </c>
      <c r="C3161" s="2" t="s">
        <v>13</v>
      </c>
      <c r="D3161" s="2">
        <v>3</v>
      </c>
      <c r="E3161" s="2" t="s">
        <v>26</v>
      </c>
      <c r="F3161" s="2" t="s">
        <v>15</v>
      </c>
      <c r="G3161" s="7">
        <v>94.85</v>
      </c>
      <c r="H3161" s="7">
        <v>335.75</v>
      </c>
      <c r="I3161" s="2" t="s">
        <v>15</v>
      </c>
      <c r="J3161" s="2" t="s">
        <v>16</v>
      </c>
      <c r="K3161" s="2" t="s">
        <v>17</v>
      </c>
      <c r="L3161" s="7">
        <v>335.75</v>
      </c>
      <c r="M3161" s="2" t="str">
        <f>_xlfn.IFS(TelecomData[[#This Row],[TenureMonths]]&lt;=12, "0-1 Year", TelecomData[[#This Row],[TenureMonths]]&lt;=36, "1-3 Years", TelecomData[[#This Row],[TenureMonths]]&gt;36, "3+ Years")</f>
        <v>0-1 Year</v>
      </c>
      <c r="N3161" s="2" t="str">
        <f>IF(TelecomData[[#This Row],[CleanedTotalCharges]]&gt;=2500,"High Spend", "Standard Spend")</f>
        <v>Standard Spend</v>
      </c>
    </row>
    <row r="3162" spans="1:14" x14ac:dyDescent="0.3">
      <c r="A3162" s="1" t="s">
        <v>3186</v>
      </c>
      <c r="B3162" s="2" t="s">
        <v>12</v>
      </c>
      <c r="C3162" s="2" t="s">
        <v>35</v>
      </c>
      <c r="D3162" s="2">
        <v>69</v>
      </c>
      <c r="E3162" s="2" t="s">
        <v>14</v>
      </c>
      <c r="F3162" s="2" t="s">
        <v>16</v>
      </c>
      <c r="G3162" s="7">
        <v>46.25</v>
      </c>
      <c r="H3162" s="7">
        <v>3121.4</v>
      </c>
      <c r="I3162" s="2" t="s">
        <v>15</v>
      </c>
      <c r="J3162" s="2" t="s">
        <v>15</v>
      </c>
      <c r="K3162" s="2" t="s">
        <v>24</v>
      </c>
      <c r="L3162" s="7">
        <v>3121.4</v>
      </c>
      <c r="M3162" s="2" t="str">
        <f>_xlfn.IFS(TelecomData[[#This Row],[TenureMonths]]&lt;=12, "0-1 Year", TelecomData[[#This Row],[TenureMonths]]&lt;=36, "1-3 Years", TelecomData[[#This Row],[TenureMonths]]&gt;36, "3+ Years")</f>
        <v>3+ Years</v>
      </c>
      <c r="N3162" s="2" t="str">
        <f>IF(TelecomData[[#This Row],[CleanedTotalCharges]]&gt;=2500,"High Spend", "Standard Spend")</f>
        <v>High Spend</v>
      </c>
    </row>
    <row r="3163" spans="1:14" x14ac:dyDescent="0.3">
      <c r="A3163" s="1" t="s">
        <v>3187</v>
      </c>
      <c r="B3163" s="2" t="s">
        <v>19</v>
      </c>
      <c r="C3163" s="2" t="s">
        <v>20</v>
      </c>
      <c r="D3163" s="2">
        <v>14</v>
      </c>
      <c r="E3163" s="2" t="s">
        <v>15</v>
      </c>
      <c r="F3163" s="2" t="s">
        <v>36</v>
      </c>
      <c r="G3163" s="7">
        <v>19.350000000000001</v>
      </c>
      <c r="H3163" s="7">
        <v>324.8</v>
      </c>
      <c r="I3163" s="2" t="s">
        <v>15</v>
      </c>
      <c r="J3163" s="2" t="s">
        <v>15</v>
      </c>
      <c r="K3163" s="2" t="s">
        <v>21</v>
      </c>
      <c r="L3163" s="7">
        <v>324.8</v>
      </c>
      <c r="M3163" s="2" t="str">
        <f>_xlfn.IFS(TelecomData[[#This Row],[TenureMonths]]&lt;=12, "0-1 Year", TelecomData[[#This Row],[TenureMonths]]&lt;=36, "1-3 Years", TelecomData[[#This Row],[TenureMonths]]&gt;36, "3+ Years")</f>
        <v>1-3 Years</v>
      </c>
      <c r="N3163" s="2" t="str">
        <f>IF(TelecomData[[#This Row],[CleanedTotalCharges]]&gt;=2500,"High Spend", "Standard Spend")</f>
        <v>Standard Spend</v>
      </c>
    </row>
    <row r="3164" spans="1:14" x14ac:dyDescent="0.3">
      <c r="A3164" s="1" t="s">
        <v>3188</v>
      </c>
      <c r="B3164" s="2" t="s">
        <v>19</v>
      </c>
      <c r="C3164" s="2" t="s">
        <v>13</v>
      </c>
      <c r="D3164" s="2">
        <v>19</v>
      </c>
      <c r="E3164" s="2" t="s">
        <v>14</v>
      </c>
      <c r="F3164" s="2" t="s">
        <v>15</v>
      </c>
      <c r="G3164" s="7">
        <v>69.599999999999994</v>
      </c>
      <c r="H3164" s="7">
        <v>1394.55</v>
      </c>
      <c r="I3164" s="2" t="s">
        <v>15</v>
      </c>
      <c r="J3164" s="2" t="s">
        <v>15</v>
      </c>
      <c r="K3164" s="2" t="s">
        <v>21</v>
      </c>
      <c r="L3164" s="7">
        <v>1394.55</v>
      </c>
      <c r="M3164" s="2" t="str">
        <f>_xlfn.IFS(TelecomData[[#This Row],[TenureMonths]]&lt;=12, "0-1 Year", TelecomData[[#This Row],[TenureMonths]]&lt;=36, "1-3 Years", TelecomData[[#This Row],[TenureMonths]]&gt;36, "3+ Years")</f>
        <v>1-3 Years</v>
      </c>
      <c r="N3164" s="2" t="str">
        <f>IF(TelecomData[[#This Row],[CleanedTotalCharges]]&gt;=2500,"High Spend", "Standard Spend")</f>
        <v>Standard Spend</v>
      </c>
    </row>
    <row r="3165" spans="1:14" x14ac:dyDescent="0.3">
      <c r="A3165" s="1" t="s">
        <v>3189</v>
      </c>
      <c r="B3165" s="2" t="s">
        <v>19</v>
      </c>
      <c r="C3165" s="2" t="s">
        <v>13</v>
      </c>
      <c r="D3165" s="2">
        <v>39</v>
      </c>
      <c r="E3165" s="2" t="s">
        <v>26</v>
      </c>
      <c r="F3165" s="2" t="s">
        <v>15</v>
      </c>
      <c r="G3165" s="7">
        <v>90.7</v>
      </c>
      <c r="H3165" s="7">
        <v>3413.25</v>
      </c>
      <c r="I3165" s="2" t="s">
        <v>15</v>
      </c>
      <c r="J3165" s="2" t="s">
        <v>15</v>
      </c>
      <c r="K3165" s="2" t="s">
        <v>17</v>
      </c>
      <c r="L3165" s="7">
        <v>3413.25</v>
      </c>
      <c r="M3165" s="2" t="str">
        <f>_xlfn.IFS(TelecomData[[#This Row],[TenureMonths]]&lt;=12, "0-1 Year", TelecomData[[#This Row],[TenureMonths]]&lt;=36, "1-3 Years", TelecomData[[#This Row],[TenureMonths]]&gt;36, "3+ Years")</f>
        <v>3+ Years</v>
      </c>
      <c r="N3165" s="2" t="str">
        <f>IF(TelecomData[[#This Row],[CleanedTotalCharges]]&gt;=2500,"High Spend", "Standard Spend")</f>
        <v>High Spend</v>
      </c>
    </row>
    <row r="3166" spans="1:14" x14ac:dyDescent="0.3">
      <c r="A3166" s="1" t="s">
        <v>3190</v>
      </c>
      <c r="B3166" s="2" t="s">
        <v>19</v>
      </c>
      <c r="C3166" s="2" t="s">
        <v>13</v>
      </c>
      <c r="D3166" s="2">
        <v>31</v>
      </c>
      <c r="E3166" s="2" t="s">
        <v>26</v>
      </c>
      <c r="F3166" s="2" t="s">
        <v>15</v>
      </c>
      <c r="G3166" s="7">
        <v>101.4</v>
      </c>
      <c r="H3166" s="7">
        <v>3143.65</v>
      </c>
      <c r="I3166" s="2" t="s">
        <v>15</v>
      </c>
      <c r="J3166" s="2" t="s">
        <v>16</v>
      </c>
      <c r="K3166" s="2" t="s">
        <v>17</v>
      </c>
      <c r="L3166" s="7">
        <v>3143.65</v>
      </c>
      <c r="M3166" s="2" t="str">
        <f>_xlfn.IFS(TelecomData[[#This Row],[TenureMonths]]&lt;=12, "0-1 Year", TelecomData[[#This Row],[TenureMonths]]&lt;=36, "1-3 Years", TelecomData[[#This Row],[TenureMonths]]&gt;36, "3+ Years")</f>
        <v>1-3 Years</v>
      </c>
      <c r="N3166" s="2" t="str">
        <f>IF(TelecomData[[#This Row],[CleanedTotalCharges]]&gt;=2500,"High Spend", "Standard Spend")</f>
        <v>High Spend</v>
      </c>
    </row>
    <row r="3167" spans="1:14" x14ac:dyDescent="0.3">
      <c r="A3167" s="1" t="s">
        <v>3191</v>
      </c>
      <c r="B3167" s="2" t="s">
        <v>19</v>
      </c>
      <c r="C3167" s="2" t="s">
        <v>20</v>
      </c>
      <c r="D3167" s="2">
        <v>24</v>
      </c>
      <c r="E3167" s="2" t="s">
        <v>15</v>
      </c>
      <c r="F3167" s="2" t="s">
        <v>36</v>
      </c>
      <c r="G3167" s="7">
        <v>20.25</v>
      </c>
      <c r="H3167" s="7">
        <v>439.75</v>
      </c>
      <c r="I3167" s="2" t="s">
        <v>15</v>
      </c>
      <c r="J3167" s="2" t="s">
        <v>15</v>
      </c>
      <c r="K3167" s="2" t="s">
        <v>21</v>
      </c>
      <c r="L3167" s="7">
        <v>439.75</v>
      </c>
      <c r="M3167" s="2" t="str">
        <f>_xlfn.IFS(TelecomData[[#This Row],[TenureMonths]]&lt;=12, "0-1 Year", TelecomData[[#This Row],[TenureMonths]]&lt;=36, "1-3 Years", TelecomData[[#This Row],[TenureMonths]]&gt;36, "3+ Years")</f>
        <v>1-3 Years</v>
      </c>
      <c r="N3167" s="2" t="str">
        <f>IF(TelecomData[[#This Row],[CleanedTotalCharges]]&gt;=2500,"High Spend", "Standard Spend")</f>
        <v>Standard Spend</v>
      </c>
    </row>
    <row r="3168" spans="1:14" x14ac:dyDescent="0.3">
      <c r="A3168" s="1" t="s">
        <v>3192</v>
      </c>
      <c r="B3168" s="2" t="s">
        <v>19</v>
      </c>
      <c r="C3168" s="2" t="s">
        <v>13</v>
      </c>
      <c r="D3168" s="2">
        <v>14</v>
      </c>
      <c r="E3168" s="2" t="s">
        <v>14</v>
      </c>
      <c r="F3168" s="2" t="s">
        <v>16</v>
      </c>
      <c r="G3168" s="7">
        <v>48.8</v>
      </c>
      <c r="H3168" s="7">
        <v>664.4</v>
      </c>
      <c r="I3168" s="2" t="s">
        <v>15</v>
      </c>
      <c r="J3168" s="2" t="s">
        <v>15</v>
      </c>
      <c r="K3168" s="2" t="s">
        <v>24</v>
      </c>
      <c r="L3168" s="7">
        <v>664.4</v>
      </c>
      <c r="M3168" s="2" t="str">
        <f>_xlfn.IFS(TelecomData[[#This Row],[TenureMonths]]&lt;=12, "0-1 Year", TelecomData[[#This Row],[TenureMonths]]&lt;=36, "1-3 Years", TelecomData[[#This Row],[TenureMonths]]&gt;36, "3+ Years")</f>
        <v>1-3 Years</v>
      </c>
      <c r="N3168" s="2" t="str">
        <f>IF(TelecomData[[#This Row],[CleanedTotalCharges]]&gt;=2500,"High Spend", "Standard Spend")</f>
        <v>Standard Spend</v>
      </c>
    </row>
    <row r="3169" spans="1:14" x14ac:dyDescent="0.3">
      <c r="A3169" s="1" t="s">
        <v>3193</v>
      </c>
      <c r="B3169" s="2" t="s">
        <v>12</v>
      </c>
      <c r="C3169" s="2" t="s">
        <v>35</v>
      </c>
      <c r="D3169" s="2">
        <v>64</v>
      </c>
      <c r="E3169" s="2" t="s">
        <v>14</v>
      </c>
      <c r="F3169" s="2" t="s">
        <v>16</v>
      </c>
      <c r="G3169" s="7">
        <v>74.349999999999994</v>
      </c>
      <c r="H3169" s="7">
        <v>4759.55</v>
      </c>
      <c r="I3169" s="2" t="s">
        <v>15</v>
      </c>
      <c r="J3169" s="2" t="s">
        <v>16</v>
      </c>
      <c r="K3169" s="2" t="s">
        <v>21</v>
      </c>
      <c r="L3169" s="7">
        <v>4759.55</v>
      </c>
      <c r="M3169" s="2" t="str">
        <f>_xlfn.IFS(TelecomData[[#This Row],[TenureMonths]]&lt;=12, "0-1 Year", TelecomData[[#This Row],[TenureMonths]]&lt;=36, "1-3 Years", TelecomData[[#This Row],[TenureMonths]]&gt;36, "3+ Years")</f>
        <v>3+ Years</v>
      </c>
      <c r="N3169" s="2" t="str">
        <f>IF(TelecomData[[#This Row],[CleanedTotalCharges]]&gt;=2500,"High Spend", "Standard Spend")</f>
        <v>High Spend</v>
      </c>
    </row>
    <row r="3170" spans="1:14" x14ac:dyDescent="0.3">
      <c r="A3170" s="1" t="s">
        <v>3194</v>
      </c>
      <c r="B3170" s="2" t="s">
        <v>12</v>
      </c>
      <c r="C3170" s="2" t="s">
        <v>20</v>
      </c>
      <c r="D3170" s="2">
        <v>50</v>
      </c>
      <c r="E3170" s="2" t="s">
        <v>15</v>
      </c>
      <c r="F3170" s="2" t="s">
        <v>36</v>
      </c>
      <c r="G3170" s="7">
        <v>19.350000000000001</v>
      </c>
      <c r="H3170" s="7">
        <v>1033</v>
      </c>
      <c r="I3170" s="2" t="s">
        <v>15</v>
      </c>
      <c r="J3170" s="2" t="s">
        <v>16</v>
      </c>
      <c r="K3170" s="2" t="s">
        <v>21</v>
      </c>
      <c r="L3170" s="7">
        <v>1033</v>
      </c>
      <c r="M3170" s="2" t="str">
        <f>_xlfn.IFS(TelecomData[[#This Row],[TenureMonths]]&lt;=12, "0-1 Year", TelecomData[[#This Row],[TenureMonths]]&lt;=36, "1-3 Years", TelecomData[[#This Row],[TenureMonths]]&gt;36, "3+ Years")</f>
        <v>3+ Years</v>
      </c>
      <c r="N3170" s="2" t="str">
        <f>IF(TelecomData[[#This Row],[CleanedTotalCharges]]&gt;=2500,"High Spend", "Standard Spend")</f>
        <v>Standard Spend</v>
      </c>
    </row>
    <row r="3171" spans="1:14" x14ac:dyDescent="0.3">
      <c r="A3171" s="1" t="s">
        <v>3195</v>
      </c>
      <c r="B3171" s="2" t="s">
        <v>19</v>
      </c>
      <c r="C3171" s="2" t="s">
        <v>20</v>
      </c>
      <c r="D3171" s="2">
        <v>52</v>
      </c>
      <c r="E3171" s="2" t="s">
        <v>14</v>
      </c>
      <c r="F3171" s="2" t="s">
        <v>16</v>
      </c>
      <c r="G3171" s="7">
        <v>68.75</v>
      </c>
      <c r="H3171" s="7">
        <v>3482.85</v>
      </c>
      <c r="I3171" s="2" t="s">
        <v>15</v>
      </c>
      <c r="J3171" s="2" t="s">
        <v>16</v>
      </c>
      <c r="K3171" s="2" t="s">
        <v>17</v>
      </c>
      <c r="L3171" s="7">
        <v>3482.85</v>
      </c>
      <c r="M3171" s="2" t="str">
        <f>_xlfn.IFS(TelecomData[[#This Row],[TenureMonths]]&lt;=12, "0-1 Year", TelecomData[[#This Row],[TenureMonths]]&lt;=36, "1-3 Years", TelecomData[[#This Row],[TenureMonths]]&gt;36, "3+ Years")</f>
        <v>3+ Years</v>
      </c>
      <c r="N3171" s="2" t="str">
        <f>IF(TelecomData[[#This Row],[CleanedTotalCharges]]&gt;=2500,"High Spend", "Standard Spend")</f>
        <v>High Spend</v>
      </c>
    </row>
    <row r="3172" spans="1:14" x14ac:dyDescent="0.3">
      <c r="A3172" s="1" t="s">
        <v>3196</v>
      </c>
      <c r="B3172" s="2" t="s">
        <v>19</v>
      </c>
      <c r="C3172" s="2" t="s">
        <v>20</v>
      </c>
      <c r="D3172" s="2">
        <v>28</v>
      </c>
      <c r="E3172" s="2" t="s">
        <v>26</v>
      </c>
      <c r="F3172" s="2" t="s">
        <v>15</v>
      </c>
      <c r="G3172" s="7">
        <v>100.2</v>
      </c>
      <c r="H3172" s="7">
        <v>2688.45</v>
      </c>
      <c r="I3172" s="2" t="s">
        <v>15</v>
      </c>
      <c r="J3172" s="2" t="s">
        <v>15</v>
      </c>
      <c r="K3172" s="2" t="s">
        <v>17</v>
      </c>
      <c r="L3172" s="7">
        <v>2688.45</v>
      </c>
      <c r="M3172" s="2" t="str">
        <f>_xlfn.IFS(TelecomData[[#This Row],[TenureMonths]]&lt;=12, "0-1 Year", TelecomData[[#This Row],[TenureMonths]]&lt;=36, "1-3 Years", TelecomData[[#This Row],[TenureMonths]]&gt;36, "3+ Years")</f>
        <v>1-3 Years</v>
      </c>
      <c r="N3172" s="2" t="str">
        <f>IF(TelecomData[[#This Row],[CleanedTotalCharges]]&gt;=2500,"High Spend", "Standard Spend")</f>
        <v>High Spend</v>
      </c>
    </row>
    <row r="3173" spans="1:14" x14ac:dyDescent="0.3">
      <c r="A3173" s="1" t="s">
        <v>3197</v>
      </c>
      <c r="B3173" s="2" t="s">
        <v>12</v>
      </c>
      <c r="C3173" s="2" t="s">
        <v>35</v>
      </c>
      <c r="D3173" s="2">
        <v>21</v>
      </c>
      <c r="E3173" s="2" t="s">
        <v>15</v>
      </c>
      <c r="F3173" s="2" t="s">
        <v>36</v>
      </c>
      <c r="G3173" s="7">
        <v>20.85</v>
      </c>
      <c r="H3173" s="7">
        <v>435.25</v>
      </c>
      <c r="I3173" s="2" t="s">
        <v>15</v>
      </c>
      <c r="J3173" s="2" t="s">
        <v>16</v>
      </c>
      <c r="K3173" s="2" t="s">
        <v>29</v>
      </c>
      <c r="L3173" s="7">
        <v>435.25</v>
      </c>
      <c r="M3173" s="2" t="str">
        <f>_xlfn.IFS(TelecomData[[#This Row],[TenureMonths]]&lt;=12, "0-1 Year", TelecomData[[#This Row],[TenureMonths]]&lt;=36, "1-3 Years", TelecomData[[#This Row],[TenureMonths]]&gt;36, "3+ Years")</f>
        <v>1-3 Years</v>
      </c>
      <c r="N3173" s="2" t="str">
        <f>IF(TelecomData[[#This Row],[CleanedTotalCharges]]&gt;=2500,"High Spend", "Standard Spend")</f>
        <v>Standard Spend</v>
      </c>
    </row>
    <row r="3174" spans="1:14" x14ac:dyDescent="0.3">
      <c r="A3174" s="1" t="s">
        <v>3198</v>
      </c>
      <c r="B3174" s="2" t="s">
        <v>19</v>
      </c>
      <c r="C3174" s="2" t="s">
        <v>13</v>
      </c>
      <c r="D3174" s="2">
        <v>25</v>
      </c>
      <c r="E3174" s="2" t="s">
        <v>26</v>
      </c>
      <c r="F3174" s="2" t="s">
        <v>15</v>
      </c>
      <c r="G3174" s="7">
        <v>95.9</v>
      </c>
      <c r="H3174" s="7">
        <v>2448.75</v>
      </c>
      <c r="I3174" s="2" t="s">
        <v>16</v>
      </c>
      <c r="J3174" s="2" t="s">
        <v>16</v>
      </c>
      <c r="K3174" s="2" t="s">
        <v>17</v>
      </c>
      <c r="L3174" s="7">
        <v>2448.75</v>
      </c>
      <c r="M3174" s="2" t="str">
        <f>_xlfn.IFS(TelecomData[[#This Row],[TenureMonths]]&lt;=12, "0-1 Year", TelecomData[[#This Row],[TenureMonths]]&lt;=36, "1-3 Years", TelecomData[[#This Row],[TenureMonths]]&gt;36, "3+ Years")</f>
        <v>1-3 Years</v>
      </c>
      <c r="N3174" s="2" t="str">
        <f>IF(TelecomData[[#This Row],[CleanedTotalCharges]]&gt;=2500,"High Spend", "Standard Spend")</f>
        <v>Standard Spend</v>
      </c>
    </row>
    <row r="3175" spans="1:14" x14ac:dyDescent="0.3">
      <c r="A3175" s="1" t="s">
        <v>3199</v>
      </c>
      <c r="B3175" s="2" t="s">
        <v>12</v>
      </c>
      <c r="C3175" s="2" t="s">
        <v>20</v>
      </c>
      <c r="D3175" s="2">
        <v>17</v>
      </c>
      <c r="E3175" s="2" t="s">
        <v>15</v>
      </c>
      <c r="F3175" s="2" t="s">
        <v>36</v>
      </c>
      <c r="G3175" s="7">
        <v>19.350000000000001</v>
      </c>
      <c r="H3175" s="7">
        <v>307</v>
      </c>
      <c r="I3175" s="2" t="s">
        <v>15</v>
      </c>
      <c r="J3175" s="2" t="s">
        <v>15</v>
      </c>
      <c r="K3175" s="2" t="s">
        <v>21</v>
      </c>
      <c r="L3175" s="7">
        <v>307</v>
      </c>
      <c r="M3175" s="2" t="str">
        <f>_xlfn.IFS(TelecomData[[#This Row],[TenureMonths]]&lt;=12, "0-1 Year", TelecomData[[#This Row],[TenureMonths]]&lt;=36, "1-3 Years", TelecomData[[#This Row],[TenureMonths]]&gt;36, "3+ Years")</f>
        <v>1-3 Years</v>
      </c>
      <c r="N3175" s="2" t="str">
        <f>IF(TelecomData[[#This Row],[CleanedTotalCharges]]&gt;=2500,"High Spend", "Standard Spend")</f>
        <v>Standard Spend</v>
      </c>
    </row>
    <row r="3176" spans="1:14" x14ac:dyDescent="0.3">
      <c r="A3176" s="1" t="s">
        <v>3200</v>
      </c>
      <c r="B3176" s="2" t="s">
        <v>19</v>
      </c>
      <c r="C3176" s="2" t="s">
        <v>20</v>
      </c>
      <c r="D3176" s="2">
        <v>58</v>
      </c>
      <c r="E3176" s="2" t="s">
        <v>14</v>
      </c>
      <c r="F3176" s="2" t="s">
        <v>15</v>
      </c>
      <c r="G3176" s="7">
        <v>45</v>
      </c>
      <c r="H3176" s="7">
        <v>2689.35</v>
      </c>
      <c r="I3176" s="2" t="s">
        <v>15</v>
      </c>
      <c r="J3176" s="2" t="s">
        <v>16</v>
      </c>
      <c r="K3176" s="2" t="s">
        <v>29</v>
      </c>
      <c r="L3176" s="7">
        <v>2689.35</v>
      </c>
      <c r="M3176" s="2" t="str">
        <f>_xlfn.IFS(TelecomData[[#This Row],[TenureMonths]]&lt;=12, "0-1 Year", TelecomData[[#This Row],[TenureMonths]]&lt;=36, "1-3 Years", TelecomData[[#This Row],[TenureMonths]]&gt;36, "3+ Years")</f>
        <v>3+ Years</v>
      </c>
      <c r="N3176" s="2" t="str">
        <f>IF(TelecomData[[#This Row],[CleanedTotalCharges]]&gt;=2500,"High Spend", "Standard Spend")</f>
        <v>High Spend</v>
      </c>
    </row>
    <row r="3177" spans="1:14" x14ac:dyDescent="0.3">
      <c r="A3177" s="1" t="s">
        <v>3201</v>
      </c>
      <c r="B3177" s="2" t="s">
        <v>19</v>
      </c>
      <c r="C3177" s="2" t="s">
        <v>13</v>
      </c>
      <c r="D3177" s="2">
        <v>17</v>
      </c>
      <c r="E3177" s="2" t="s">
        <v>26</v>
      </c>
      <c r="F3177" s="2" t="s">
        <v>15</v>
      </c>
      <c r="G3177" s="7">
        <v>81.5</v>
      </c>
      <c r="H3177" s="7">
        <v>1329.2</v>
      </c>
      <c r="I3177" s="2" t="s">
        <v>16</v>
      </c>
      <c r="J3177" s="2" t="s">
        <v>15</v>
      </c>
      <c r="K3177" s="2" t="s">
        <v>24</v>
      </c>
      <c r="L3177" s="7">
        <v>1329.2</v>
      </c>
      <c r="M3177" s="2" t="str">
        <f>_xlfn.IFS(TelecomData[[#This Row],[TenureMonths]]&lt;=12, "0-1 Year", TelecomData[[#This Row],[TenureMonths]]&lt;=36, "1-3 Years", TelecomData[[#This Row],[TenureMonths]]&gt;36, "3+ Years")</f>
        <v>1-3 Years</v>
      </c>
      <c r="N3177" s="2" t="str">
        <f>IF(TelecomData[[#This Row],[CleanedTotalCharges]]&gt;=2500,"High Spend", "Standard Spend")</f>
        <v>Standard Spend</v>
      </c>
    </row>
    <row r="3178" spans="1:14" x14ac:dyDescent="0.3">
      <c r="A3178" s="1" t="s">
        <v>3202</v>
      </c>
      <c r="B3178" s="2" t="s">
        <v>12</v>
      </c>
      <c r="C3178" s="2" t="s">
        <v>35</v>
      </c>
      <c r="D3178" s="2">
        <v>51</v>
      </c>
      <c r="E3178" s="2" t="s">
        <v>15</v>
      </c>
      <c r="F3178" s="2" t="s">
        <v>36</v>
      </c>
      <c r="G3178" s="7">
        <v>25.5</v>
      </c>
      <c r="H3178" s="7">
        <v>1281.25</v>
      </c>
      <c r="I3178" s="2" t="s">
        <v>15</v>
      </c>
      <c r="J3178" s="2" t="s">
        <v>15</v>
      </c>
      <c r="K3178" s="2" t="s">
        <v>21</v>
      </c>
      <c r="L3178" s="7">
        <v>1281.25</v>
      </c>
      <c r="M3178" s="2" t="str">
        <f>_xlfn.IFS(TelecomData[[#This Row],[TenureMonths]]&lt;=12, "0-1 Year", TelecomData[[#This Row],[TenureMonths]]&lt;=36, "1-3 Years", TelecomData[[#This Row],[TenureMonths]]&gt;36, "3+ Years")</f>
        <v>3+ Years</v>
      </c>
      <c r="N3178" s="2" t="str">
        <f>IF(TelecomData[[#This Row],[CleanedTotalCharges]]&gt;=2500,"High Spend", "Standard Spend")</f>
        <v>Standard Spend</v>
      </c>
    </row>
    <row r="3179" spans="1:14" x14ac:dyDescent="0.3">
      <c r="A3179" s="1" t="s">
        <v>3203</v>
      </c>
      <c r="B3179" s="2" t="s">
        <v>19</v>
      </c>
      <c r="C3179" s="2" t="s">
        <v>35</v>
      </c>
      <c r="D3179" s="2">
        <v>72</v>
      </c>
      <c r="E3179" s="2" t="s">
        <v>14</v>
      </c>
      <c r="F3179" s="2" t="s">
        <v>16</v>
      </c>
      <c r="G3179" s="7">
        <v>48.9</v>
      </c>
      <c r="H3179" s="7">
        <v>3527</v>
      </c>
      <c r="I3179" s="2" t="s">
        <v>15</v>
      </c>
      <c r="J3179" s="2" t="s">
        <v>15</v>
      </c>
      <c r="K3179" s="2" t="s">
        <v>21</v>
      </c>
      <c r="L3179" s="7">
        <v>3527</v>
      </c>
      <c r="M3179" s="2" t="str">
        <f>_xlfn.IFS(TelecomData[[#This Row],[TenureMonths]]&lt;=12, "0-1 Year", TelecomData[[#This Row],[TenureMonths]]&lt;=36, "1-3 Years", TelecomData[[#This Row],[TenureMonths]]&gt;36, "3+ Years")</f>
        <v>3+ Years</v>
      </c>
      <c r="N3179" s="2" t="str">
        <f>IF(TelecomData[[#This Row],[CleanedTotalCharges]]&gt;=2500,"High Spend", "Standard Spend")</f>
        <v>High Spend</v>
      </c>
    </row>
    <row r="3180" spans="1:14" x14ac:dyDescent="0.3">
      <c r="A3180" s="1" t="s">
        <v>3204</v>
      </c>
      <c r="B3180" s="2" t="s">
        <v>19</v>
      </c>
      <c r="C3180" s="2" t="s">
        <v>13</v>
      </c>
      <c r="D3180" s="2">
        <v>52</v>
      </c>
      <c r="E3180" s="2" t="s">
        <v>26</v>
      </c>
      <c r="F3180" s="2" t="s">
        <v>15</v>
      </c>
      <c r="G3180" s="7">
        <v>84.1</v>
      </c>
      <c r="H3180" s="7">
        <v>4348.6499999999996</v>
      </c>
      <c r="I3180" s="2" t="s">
        <v>16</v>
      </c>
      <c r="J3180" s="2" t="s">
        <v>15</v>
      </c>
      <c r="K3180" s="2" t="s">
        <v>17</v>
      </c>
      <c r="L3180" s="7">
        <v>4348.6499999999996</v>
      </c>
      <c r="M3180" s="2" t="str">
        <f>_xlfn.IFS(TelecomData[[#This Row],[TenureMonths]]&lt;=12, "0-1 Year", TelecomData[[#This Row],[TenureMonths]]&lt;=36, "1-3 Years", TelecomData[[#This Row],[TenureMonths]]&gt;36, "3+ Years")</f>
        <v>3+ Years</v>
      </c>
      <c r="N3180" s="2" t="str">
        <f>IF(TelecomData[[#This Row],[CleanedTotalCharges]]&gt;=2500,"High Spend", "Standard Spend")</f>
        <v>High Spend</v>
      </c>
    </row>
    <row r="3181" spans="1:14" x14ac:dyDescent="0.3">
      <c r="A3181" s="1" t="s">
        <v>3205</v>
      </c>
      <c r="B3181" s="2" t="s">
        <v>12</v>
      </c>
      <c r="C3181" s="2" t="s">
        <v>35</v>
      </c>
      <c r="D3181" s="2">
        <v>27</v>
      </c>
      <c r="E3181" s="2" t="s">
        <v>15</v>
      </c>
      <c r="F3181" s="2" t="s">
        <v>36</v>
      </c>
      <c r="G3181" s="7">
        <v>19.600000000000001</v>
      </c>
      <c r="H3181" s="7">
        <v>561.15</v>
      </c>
      <c r="I3181" s="2" t="s">
        <v>15</v>
      </c>
      <c r="J3181" s="2" t="s">
        <v>16</v>
      </c>
      <c r="K3181" s="2" t="s">
        <v>21</v>
      </c>
      <c r="L3181" s="7">
        <v>561.15</v>
      </c>
      <c r="M3181" s="2" t="str">
        <f>_xlfn.IFS(TelecomData[[#This Row],[TenureMonths]]&lt;=12, "0-1 Year", TelecomData[[#This Row],[TenureMonths]]&lt;=36, "1-3 Years", TelecomData[[#This Row],[TenureMonths]]&gt;36, "3+ Years")</f>
        <v>1-3 Years</v>
      </c>
      <c r="N3181" s="2" t="str">
        <f>IF(TelecomData[[#This Row],[CleanedTotalCharges]]&gt;=2500,"High Spend", "Standard Spend")</f>
        <v>Standard Spend</v>
      </c>
    </row>
    <row r="3182" spans="1:14" x14ac:dyDescent="0.3">
      <c r="A3182" s="1" t="s">
        <v>3206</v>
      </c>
      <c r="B3182" s="2" t="s">
        <v>12</v>
      </c>
      <c r="C3182" s="2" t="s">
        <v>13</v>
      </c>
      <c r="D3182" s="2">
        <v>3</v>
      </c>
      <c r="E3182" s="2" t="s">
        <v>15</v>
      </c>
      <c r="F3182" s="2" t="s">
        <v>36</v>
      </c>
      <c r="G3182" s="7">
        <v>20</v>
      </c>
      <c r="H3182" s="7">
        <v>63.6</v>
      </c>
      <c r="I3182" s="2" t="s">
        <v>15</v>
      </c>
      <c r="J3182" s="2" t="s">
        <v>15</v>
      </c>
      <c r="K3182" s="2" t="s">
        <v>21</v>
      </c>
      <c r="L3182" s="7">
        <v>63.6</v>
      </c>
      <c r="M3182" s="2" t="str">
        <f>_xlfn.IFS(TelecomData[[#This Row],[TenureMonths]]&lt;=12, "0-1 Year", TelecomData[[#This Row],[TenureMonths]]&lt;=36, "1-3 Years", TelecomData[[#This Row],[TenureMonths]]&gt;36, "3+ Years")</f>
        <v>0-1 Year</v>
      </c>
      <c r="N3182" s="2" t="str">
        <f>IF(TelecomData[[#This Row],[CleanedTotalCharges]]&gt;=2500,"High Spend", "Standard Spend")</f>
        <v>Standard Spend</v>
      </c>
    </row>
    <row r="3183" spans="1:14" x14ac:dyDescent="0.3">
      <c r="A3183" s="1" t="s">
        <v>3207</v>
      </c>
      <c r="B3183" s="2" t="s">
        <v>12</v>
      </c>
      <c r="C3183" s="2" t="s">
        <v>35</v>
      </c>
      <c r="D3183" s="2">
        <v>64</v>
      </c>
      <c r="E3183" s="2" t="s">
        <v>14</v>
      </c>
      <c r="F3183" s="2" t="s">
        <v>16</v>
      </c>
      <c r="G3183" s="7">
        <v>81.3</v>
      </c>
      <c r="H3183" s="7">
        <v>5129.3</v>
      </c>
      <c r="I3183" s="2" t="s">
        <v>15</v>
      </c>
      <c r="J3183" s="2" t="s">
        <v>16</v>
      </c>
      <c r="K3183" s="2" t="s">
        <v>21</v>
      </c>
      <c r="L3183" s="7">
        <v>5129.3</v>
      </c>
      <c r="M3183" s="2" t="str">
        <f>_xlfn.IFS(TelecomData[[#This Row],[TenureMonths]]&lt;=12, "0-1 Year", TelecomData[[#This Row],[TenureMonths]]&lt;=36, "1-3 Years", TelecomData[[#This Row],[TenureMonths]]&gt;36, "3+ Years")</f>
        <v>3+ Years</v>
      </c>
      <c r="N3183" s="2" t="str">
        <f>IF(TelecomData[[#This Row],[CleanedTotalCharges]]&gt;=2500,"High Spend", "Standard Spend")</f>
        <v>High Spend</v>
      </c>
    </row>
    <row r="3184" spans="1:14" x14ac:dyDescent="0.3">
      <c r="A3184" s="1" t="s">
        <v>3208</v>
      </c>
      <c r="B3184" s="2" t="s">
        <v>12</v>
      </c>
      <c r="C3184" s="2" t="s">
        <v>35</v>
      </c>
      <c r="D3184" s="2">
        <v>45</v>
      </c>
      <c r="E3184" s="2" t="s">
        <v>26</v>
      </c>
      <c r="F3184" s="2" t="s">
        <v>16</v>
      </c>
      <c r="G3184" s="7">
        <v>95.2</v>
      </c>
      <c r="H3184" s="7">
        <v>4285.8</v>
      </c>
      <c r="I3184" s="2" t="s">
        <v>15</v>
      </c>
      <c r="J3184" s="2" t="s">
        <v>16</v>
      </c>
      <c r="K3184" s="2" t="s">
        <v>29</v>
      </c>
      <c r="L3184" s="7">
        <v>4285.8</v>
      </c>
      <c r="M3184" s="2" t="str">
        <f>_xlfn.IFS(TelecomData[[#This Row],[TenureMonths]]&lt;=12, "0-1 Year", TelecomData[[#This Row],[TenureMonths]]&lt;=36, "1-3 Years", TelecomData[[#This Row],[TenureMonths]]&gt;36, "3+ Years")</f>
        <v>3+ Years</v>
      </c>
      <c r="N3184" s="2" t="str">
        <f>IF(TelecomData[[#This Row],[CleanedTotalCharges]]&gt;=2500,"High Spend", "Standard Spend")</f>
        <v>High Spend</v>
      </c>
    </row>
    <row r="3185" spans="1:14" x14ac:dyDescent="0.3">
      <c r="A3185" s="1" t="s">
        <v>3209</v>
      </c>
      <c r="B3185" s="2" t="s">
        <v>19</v>
      </c>
      <c r="C3185" s="2" t="s">
        <v>13</v>
      </c>
      <c r="D3185" s="2">
        <v>3</v>
      </c>
      <c r="E3185" s="2" t="s">
        <v>14</v>
      </c>
      <c r="F3185" s="2" t="s">
        <v>15</v>
      </c>
      <c r="G3185" s="7">
        <v>36.450000000000003</v>
      </c>
      <c r="H3185" s="7">
        <v>93.7</v>
      </c>
      <c r="I3185" s="2" t="s">
        <v>16</v>
      </c>
      <c r="J3185" s="2" t="s">
        <v>16</v>
      </c>
      <c r="K3185" s="2" t="s">
        <v>21</v>
      </c>
      <c r="L3185" s="7">
        <v>93.7</v>
      </c>
      <c r="M3185" s="2" t="str">
        <f>_xlfn.IFS(TelecomData[[#This Row],[TenureMonths]]&lt;=12, "0-1 Year", TelecomData[[#This Row],[TenureMonths]]&lt;=36, "1-3 Years", TelecomData[[#This Row],[TenureMonths]]&gt;36, "3+ Years")</f>
        <v>0-1 Year</v>
      </c>
      <c r="N3185" s="2" t="str">
        <f>IF(TelecomData[[#This Row],[CleanedTotalCharges]]&gt;=2500,"High Spend", "Standard Spend")</f>
        <v>Standard Spend</v>
      </c>
    </row>
    <row r="3186" spans="1:14" x14ac:dyDescent="0.3">
      <c r="A3186" s="1" t="s">
        <v>3210</v>
      </c>
      <c r="B3186" s="2" t="s">
        <v>12</v>
      </c>
      <c r="C3186" s="2" t="s">
        <v>35</v>
      </c>
      <c r="D3186" s="2">
        <v>71</v>
      </c>
      <c r="E3186" s="2" t="s">
        <v>14</v>
      </c>
      <c r="F3186" s="2" t="s">
        <v>16</v>
      </c>
      <c r="G3186" s="7">
        <v>83.3</v>
      </c>
      <c r="H3186" s="7">
        <v>5894.5</v>
      </c>
      <c r="I3186" s="2" t="s">
        <v>15</v>
      </c>
      <c r="J3186" s="2" t="s">
        <v>16</v>
      </c>
      <c r="K3186" s="2" t="s">
        <v>29</v>
      </c>
      <c r="L3186" s="7">
        <v>5894.5</v>
      </c>
      <c r="M3186" s="2" t="str">
        <f>_xlfn.IFS(TelecomData[[#This Row],[TenureMonths]]&lt;=12, "0-1 Year", TelecomData[[#This Row],[TenureMonths]]&lt;=36, "1-3 Years", TelecomData[[#This Row],[TenureMonths]]&gt;36, "3+ Years")</f>
        <v>3+ Years</v>
      </c>
      <c r="N3186" s="2" t="str">
        <f>IF(TelecomData[[#This Row],[CleanedTotalCharges]]&gt;=2500,"High Spend", "Standard Spend")</f>
        <v>High Spend</v>
      </c>
    </row>
    <row r="3187" spans="1:14" x14ac:dyDescent="0.3">
      <c r="A3187" s="1" t="s">
        <v>3211</v>
      </c>
      <c r="B3187" s="2" t="s">
        <v>12</v>
      </c>
      <c r="C3187" s="2" t="s">
        <v>13</v>
      </c>
      <c r="D3187" s="2">
        <v>1</v>
      </c>
      <c r="E3187" s="2" t="s">
        <v>14</v>
      </c>
      <c r="F3187" s="2" t="s">
        <v>15</v>
      </c>
      <c r="G3187" s="7">
        <v>25.05</v>
      </c>
      <c r="H3187" s="7">
        <v>25.05</v>
      </c>
      <c r="I3187" s="2" t="s">
        <v>16</v>
      </c>
      <c r="J3187" s="2" t="s">
        <v>15</v>
      </c>
      <c r="K3187" s="2" t="s">
        <v>21</v>
      </c>
      <c r="L3187" s="7">
        <v>25.05</v>
      </c>
      <c r="M3187" s="2" t="str">
        <f>_xlfn.IFS(TelecomData[[#This Row],[TenureMonths]]&lt;=12, "0-1 Year", TelecomData[[#This Row],[TenureMonths]]&lt;=36, "1-3 Years", TelecomData[[#This Row],[TenureMonths]]&gt;36, "3+ Years")</f>
        <v>0-1 Year</v>
      </c>
      <c r="N3187" s="2" t="str">
        <f>IF(TelecomData[[#This Row],[CleanedTotalCharges]]&gt;=2500,"High Spend", "Standard Spend")</f>
        <v>Standard Spend</v>
      </c>
    </row>
    <row r="3188" spans="1:14" x14ac:dyDescent="0.3">
      <c r="A3188" s="1" t="s">
        <v>3212</v>
      </c>
      <c r="B3188" s="2" t="s">
        <v>12</v>
      </c>
      <c r="C3188" s="2" t="s">
        <v>35</v>
      </c>
      <c r="D3188" s="2">
        <v>58</v>
      </c>
      <c r="E3188" s="2" t="s">
        <v>15</v>
      </c>
      <c r="F3188" s="2" t="s">
        <v>36</v>
      </c>
      <c r="G3188" s="7">
        <v>20.3</v>
      </c>
      <c r="H3188" s="7">
        <v>1160.75</v>
      </c>
      <c r="I3188" s="2" t="s">
        <v>15</v>
      </c>
      <c r="J3188" s="2" t="s">
        <v>15</v>
      </c>
      <c r="K3188" s="2" t="s">
        <v>29</v>
      </c>
      <c r="L3188" s="7">
        <v>1160.75</v>
      </c>
      <c r="M3188" s="2" t="str">
        <f>_xlfn.IFS(TelecomData[[#This Row],[TenureMonths]]&lt;=12, "0-1 Year", TelecomData[[#This Row],[TenureMonths]]&lt;=36, "1-3 Years", TelecomData[[#This Row],[TenureMonths]]&gt;36, "3+ Years")</f>
        <v>3+ Years</v>
      </c>
      <c r="N3188" s="2" t="str">
        <f>IF(TelecomData[[#This Row],[CleanedTotalCharges]]&gt;=2500,"High Spend", "Standard Spend")</f>
        <v>Standard Spend</v>
      </c>
    </row>
    <row r="3189" spans="1:14" x14ac:dyDescent="0.3">
      <c r="A3189" s="1" t="s">
        <v>3213</v>
      </c>
      <c r="B3189" s="2" t="s">
        <v>19</v>
      </c>
      <c r="C3189" s="2" t="s">
        <v>13</v>
      </c>
      <c r="D3189" s="2">
        <v>34</v>
      </c>
      <c r="E3189" s="2" t="s">
        <v>26</v>
      </c>
      <c r="F3189" s="2" t="s">
        <v>15</v>
      </c>
      <c r="G3189" s="7">
        <v>89.85</v>
      </c>
      <c r="H3189" s="7">
        <v>3091.75</v>
      </c>
      <c r="I3189" s="2" t="s">
        <v>15</v>
      </c>
      <c r="J3189" s="2" t="s">
        <v>16</v>
      </c>
      <c r="K3189" s="2" t="s">
        <v>17</v>
      </c>
      <c r="L3189" s="7">
        <v>3091.75</v>
      </c>
      <c r="M3189" s="2" t="str">
        <f>_xlfn.IFS(TelecomData[[#This Row],[TenureMonths]]&lt;=12, "0-1 Year", TelecomData[[#This Row],[TenureMonths]]&lt;=36, "1-3 Years", TelecomData[[#This Row],[TenureMonths]]&gt;36, "3+ Years")</f>
        <v>1-3 Years</v>
      </c>
      <c r="N3189" s="2" t="str">
        <f>IF(TelecomData[[#This Row],[CleanedTotalCharges]]&gt;=2500,"High Spend", "Standard Spend")</f>
        <v>High Spend</v>
      </c>
    </row>
    <row r="3190" spans="1:14" x14ac:dyDescent="0.3">
      <c r="A3190" s="1" t="s">
        <v>3214</v>
      </c>
      <c r="B3190" s="2" t="s">
        <v>12</v>
      </c>
      <c r="C3190" s="2" t="s">
        <v>13</v>
      </c>
      <c r="D3190" s="2">
        <v>8</v>
      </c>
      <c r="E3190" s="2" t="s">
        <v>14</v>
      </c>
      <c r="F3190" s="2" t="s">
        <v>15</v>
      </c>
      <c r="G3190" s="7">
        <v>49.85</v>
      </c>
      <c r="H3190" s="7">
        <v>365.55</v>
      </c>
      <c r="I3190" s="2" t="s">
        <v>16</v>
      </c>
      <c r="J3190" s="2" t="s">
        <v>16</v>
      </c>
      <c r="K3190" s="2" t="s">
        <v>17</v>
      </c>
      <c r="L3190" s="7">
        <v>365.55</v>
      </c>
      <c r="M3190" s="2" t="str">
        <f>_xlfn.IFS(TelecomData[[#This Row],[TenureMonths]]&lt;=12, "0-1 Year", TelecomData[[#This Row],[TenureMonths]]&lt;=36, "1-3 Years", TelecomData[[#This Row],[TenureMonths]]&gt;36, "3+ Years")</f>
        <v>0-1 Year</v>
      </c>
      <c r="N3190" s="2" t="str">
        <f>IF(TelecomData[[#This Row],[CleanedTotalCharges]]&gt;=2500,"High Spend", "Standard Spend")</f>
        <v>Standard Spend</v>
      </c>
    </row>
    <row r="3191" spans="1:14" x14ac:dyDescent="0.3">
      <c r="A3191" s="1" t="s">
        <v>3215</v>
      </c>
      <c r="B3191" s="2" t="s">
        <v>12</v>
      </c>
      <c r="C3191" s="2" t="s">
        <v>13</v>
      </c>
      <c r="D3191" s="2">
        <v>15</v>
      </c>
      <c r="E3191" s="2" t="s">
        <v>15</v>
      </c>
      <c r="F3191" s="2" t="s">
        <v>36</v>
      </c>
      <c r="G3191" s="7">
        <v>19.8</v>
      </c>
      <c r="H3191" s="7">
        <v>272.95</v>
      </c>
      <c r="I3191" s="2" t="s">
        <v>15</v>
      </c>
      <c r="J3191" s="2" t="s">
        <v>15</v>
      </c>
      <c r="K3191" s="2" t="s">
        <v>21</v>
      </c>
      <c r="L3191" s="7">
        <v>272.95</v>
      </c>
      <c r="M3191" s="2" t="str">
        <f>_xlfn.IFS(TelecomData[[#This Row],[TenureMonths]]&lt;=12, "0-1 Year", TelecomData[[#This Row],[TenureMonths]]&lt;=36, "1-3 Years", TelecomData[[#This Row],[TenureMonths]]&gt;36, "3+ Years")</f>
        <v>1-3 Years</v>
      </c>
      <c r="N3191" s="2" t="str">
        <f>IF(TelecomData[[#This Row],[CleanedTotalCharges]]&gt;=2500,"High Spend", "Standard Spend")</f>
        <v>Standard Spend</v>
      </c>
    </row>
    <row r="3192" spans="1:14" x14ac:dyDescent="0.3">
      <c r="A3192" s="1" t="s">
        <v>3216</v>
      </c>
      <c r="B3192" s="2" t="s">
        <v>19</v>
      </c>
      <c r="C3192" s="2" t="s">
        <v>35</v>
      </c>
      <c r="D3192" s="2">
        <v>66</v>
      </c>
      <c r="E3192" s="2" t="s">
        <v>14</v>
      </c>
      <c r="F3192" s="2" t="s">
        <v>16</v>
      </c>
      <c r="G3192" s="7">
        <v>54.65</v>
      </c>
      <c r="H3192" s="7">
        <v>3632</v>
      </c>
      <c r="I3192" s="2" t="s">
        <v>15</v>
      </c>
      <c r="J3192" s="2" t="s">
        <v>15</v>
      </c>
      <c r="K3192" s="2" t="s">
        <v>24</v>
      </c>
      <c r="L3192" s="7">
        <v>3632</v>
      </c>
      <c r="M3192" s="2" t="str">
        <f>_xlfn.IFS(TelecomData[[#This Row],[TenureMonths]]&lt;=12, "0-1 Year", TelecomData[[#This Row],[TenureMonths]]&lt;=36, "1-3 Years", TelecomData[[#This Row],[TenureMonths]]&gt;36, "3+ Years")</f>
        <v>3+ Years</v>
      </c>
      <c r="N3192" s="2" t="str">
        <f>IF(TelecomData[[#This Row],[CleanedTotalCharges]]&gt;=2500,"High Spend", "Standard Spend")</f>
        <v>High Spend</v>
      </c>
    </row>
    <row r="3193" spans="1:14" x14ac:dyDescent="0.3">
      <c r="A3193" s="1" t="s">
        <v>3217</v>
      </c>
      <c r="B3193" s="2" t="s">
        <v>19</v>
      </c>
      <c r="C3193" s="2" t="s">
        <v>13</v>
      </c>
      <c r="D3193" s="2">
        <v>12</v>
      </c>
      <c r="E3193" s="2" t="s">
        <v>14</v>
      </c>
      <c r="F3193" s="2" t="s">
        <v>15</v>
      </c>
      <c r="G3193" s="7">
        <v>29.35</v>
      </c>
      <c r="H3193" s="7">
        <v>381.2</v>
      </c>
      <c r="I3193" s="2" t="s">
        <v>15</v>
      </c>
      <c r="J3193" s="2" t="s">
        <v>16</v>
      </c>
      <c r="K3193" s="2" t="s">
        <v>29</v>
      </c>
      <c r="L3193" s="7">
        <v>381.2</v>
      </c>
      <c r="M3193" s="2" t="str">
        <f>_xlfn.IFS(TelecomData[[#This Row],[TenureMonths]]&lt;=12, "0-1 Year", TelecomData[[#This Row],[TenureMonths]]&lt;=36, "1-3 Years", TelecomData[[#This Row],[TenureMonths]]&gt;36, "3+ Years")</f>
        <v>0-1 Year</v>
      </c>
      <c r="N3193" s="2" t="str">
        <f>IF(TelecomData[[#This Row],[CleanedTotalCharges]]&gt;=2500,"High Spend", "Standard Spend")</f>
        <v>Standard Spend</v>
      </c>
    </row>
    <row r="3194" spans="1:14" x14ac:dyDescent="0.3">
      <c r="A3194" s="1" t="s">
        <v>3218</v>
      </c>
      <c r="B3194" s="2" t="s">
        <v>19</v>
      </c>
      <c r="C3194" s="2" t="s">
        <v>35</v>
      </c>
      <c r="D3194" s="2">
        <v>58</v>
      </c>
      <c r="E3194" s="2" t="s">
        <v>15</v>
      </c>
      <c r="F3194" s="2" t="s">
        <v>36</v>
      </c>
      <c r="G3194" s="7">
        <v>19.149999999999999</v>
      </c>
      <c r="H3194" s="7">
        <v>1035.5</v>
      </c>
      <c r="I3194" s="2" t="s">
        <v>15</v>
      </c>
      <c r="J3194" s="2" t="s">
        <v>16</v>
      </c>
      <c r="K3194" s="2" t="s">
        <v>24</v>
      </c>
      <c r="L3194" s="7">
        <v>1035.5</v>
      </c>
      <c r="M3194" s="2" t="str">
        <f>_xlfn.IFS(TelecomData[[#This Row],[TenureMonths]]&lt;=12, "0-1 Year", TelecomData[[#This Row],[TenureMonths]]&lt;=36, "1-3 Years", TelecomData[[#This Row],[TenureMonths]]&gt;36, "3+ Years")</f>
        <v>3+ Years</v>
      </c>
      <c r="N3194" s="2" t="str">
        <f>IF(TelecomData[[#This Row],[CleanedTotalCharges]]&gt;=2500,"High Spend", "Standard Spend")</f>
        <v>Standard Spend</v>
      </c>
    </row>
    <row r="3195" spans="1:14" x14ac:dyDescent="0.3">
      <c r="A3195" s="1" t="s">
        <v>3219</v>
      </c>
      <c r="B3195" s="2" t="s">
        <v>12</v>
      </c>
      <c r="C3195" s="2" t="s">
        <v>35</v>
      </c>
      <c r="D3195" s="2">
        <v>3</v>
      </c>
      <c r="E3195" s="2" t="s">
        <v>15</v>
      </c>
      <c r="F3195" s="2" t="s">
        <v>36</v>
      </c>
      <c r="G3195" s="7">
        <v>19.100000000000001</v>
      </c>
      <c r="H3195" s="7">
        <v>52</v>
      </c>
      <c r="I3195" s="2" t="s">
        <v>15</v>
      </c>
      <c r="J3195" s="2" t="s">
        <v>15</v>
      </c>
      <c r="K3195" s="2" t="s">
        <v>21</v>
      </c>
      <c r="L3195" s="7">
        <v>52</v>
      </c>
      <c r="M3195" s="2" t="str">
        <f>_xlfn.IFS(TelecomData[[#This Row],[TenureMonths]]&lt;=12, "0-1 Year", TelecomData[[#This Row],[TenureMonths]]&lt;=36, "1-3 Years", TelecomData[[#This Row],[TenureMonths]]&gt;36, "3+ Years")</f>
        <v>0-1 Year</v>
      </c>
      <c r="N3195" s="2" t="str">
        <f>IF(TelecomData[[#This Row],[CleanedTotalCharges]]&gt;=2500,"High Spend", "Standard Spend")</f>
        <v>Standard Spend</v>
      </c>
    </row>
    <row r="3196" spans="1:14" x14ac:dyDescent="0.3">
      <c r="A3196" s="1" t="s">
        <v>3220</v>
      </c>
      <c r="B3196" s="2" t="s">
        <v>12</v>
      </c>
      <c r="C3196" s="2" t="s">
        <v>13</v>
      </c>
      <c r="D3196" s="2">
        <v>43</v>
      </c>
      <c r="E3196" s="2" t="s">
        <v>14</v>
      </c>
      <c r="F3196" s="2" t="s">
        <v>15</v>
      </c>
      <c r="G3196" s="7">
        <v>55.55</v>
      </c>
      <c r="H3196" s="7">
        <v>2342.1999999999998</v>
      </c>
      <c r="I3196" s="2" t="s">
        <v>16</v>
      </c>
      <c r="J3196" s="2" t="s">
        <v>15</v>
      </c>
      <c r="K3196" s="2" t="s">
        <v>29</v>
      </c>
      <c r="L3196" s="7">
        <v>2342.1999999999998</v>
      </c>
      <c r="M3196" s="2" t="str">
        <f>_xlfn.IFS(TelecomData[[#This Row],[TenureMonths]]&lt;=12, "0-1 Year", TelecomData[[#This Row],[TenureMonths]]&lt;=36, "1-3 Years", TelecomData[[#This Row],[TenureMonths]]&gt;36, "3+ Years")</f>
        <v>3+ Years</v>
      </c>
      <c r="N3196" s="2" t="str">
        <f>IF(TelecomData[[#This Row],[CleanedTotalCharges]]&gt;=2500,"High Spend", "Standard Spend")</f>
        <v>Standard Spend</v>
      </c>
    </row>
    <row r="3197" spans="1:14" x14ac:dyDescent="0.3">
      <c r="A3197" s="1" t="s">
        <v>3221</v>
      </c>
      <c r="B3197" s="2" t="s">
        <v>12</v>
      </c>
      <c r="C3197" s="2" t="s">
        <v>13</v>
      </c>
      <c r="D3197" s="2">
        <v>9</v>
      </c>
      <c r="E3197" s="2" t="s">
        <v>26</v>
      </c>
      <c r="F3197" s="2" t="s">
        <v>15</v>
      </c>
      <c r="G3197" s="7">
        <v>80.55</v>
      </c>
      <c r="H3197" s="7">
        <v>653.9</v>
      </c>
      <c r="I3197" s="2" t="s">
        <v>15</v>
      </c>
      <c r="J3197" s="2" t="s">
        <v>15</v>
      </c>
      <c r="K3197" s="2" t="s">
        <v>17</v>
      </c>
      <c r="L3197" s="7">
        <v>653.9</v>
      </c>
      <c r="M3197" s="2" t="str">
        <f>_xlfn.IFS(TelecomData[[#This Row],[TenureMonths]]&lt;=12, "0-1 Year", TelecomData[[#This Row],[TenureMonths]]&lt;=36, "1-3 Years", TelecomData[[#This Row],[TenureMonths]]&gt;36, "3+ Years")</f>
        <v>0-1 Year</v>
      </c>
      <c r="N3197" s="2" t="str">
        <f>IF(TelecomData[[#This Row],[CleanedTotalCharges]]&gt;=2500,"High Spend", "Standard Spend")</f>
        <v>Standard Spend</v>
      </c>
    </row>
    <row r="3198" spans="1:14" x14ac:dyDescent="0.3">
      <c r="A3198" s="1" t="s">
        <v>3222</v>
      </c>
      <c r="B3198" s="2" t="s">
        <v>12</v>
      </c>
      <c r="C3198" s="2" t="s">
        <v>20</v>
      </c>
      <c r="D3198" s="2">
        <v>3</v>
      </c>
      <c r="E3198" s="2" t="s">
        <v>15</v>
      </c>
      <c r="F3198" s="2" t="s">
        <v>36</v>
      </c>
      <c r="G3198" s="7">
        <v>20.25</v>
      </c>
      <c r="H3198" s="7">
        <v>71.2</v>
      </c>
      <c r="I3198" s="2" t="s">
        <v>15</v>
      </c>
      <c r="J3198" s="2" t="s">
        <v>15</v>
      </c>
      <c r="K3198" s="2" t="s">
        <v>21</v>
      </c>
      <c r="L3198" s="7">
        <v>71.2</v>
      </c>
      <c r="M3198" s="2" t="str">
        <f>_xlfn.IFS(TelecomData[[#This Row],[TenureMonths]]&lt;=12, "0-1 Year", TelecomData[[#This Row],[TenureMonths]]&lt;=36, "1-3 Years", TelecomData[[#This Row],[TenureMonths]]&gt;36, "3+ Years")</f>
        <v>0-1 Year</v>
      </c>
      <c r="N3198" s="2" t="str">
        <f>IF(TelecomData[[#This Row],[CleanedTotalCharges]]&gt;=2500,"High Spend", "Standard Spend")</f>
        <v>Standard Spend</v>
      </c>
    </row>
    <row r="3199" spans="1:14" x14ac:dyDescent="0.3">
      <c r="A3199" s="1" t="s">
        <v>3223</v>
      </c>
      <c r="B3199" s="2" t="s">
        <v>12</v>
      </c>
      <c r="C3199" s="2" t="s">
        <v>20</v>
      </c>
      <c r="D3199" s="2">
        <v>22</v>
      </c>
      <c r="E3199" s="2" t="s">
        <v>14</v>
      </c>
      <c r="F3199" s="2" t="s">
        <v>15</v>
      </c>
      <c r="G3199" s="7">
        <v>69.5</v>
      </c>
      <c r="H3199" s="7">
        <v>1498.2</v>
      </c>
      <c r="I3199" s="2" t="s">
        <v>16</v>
      </c>
      <c r="J3199" s="2" t="s">
        <v>16</v>
      </c>
      <c r="K3199" s="2" t="s">
        <v>24</v>
      </c>
      <c r="L3199" s="7">
        <v>1498.2</v>
      </c>
      <c r="M3199" s="2" t="str">
        <f>_xlfn.IFS(TelecomData[[#This Row],[TenureMonths]]&lt;=12, "0-1 Year", TelecomData[[#This Row],[TenureMonths]]&lt;=36, "1-3 Years", TelecomData[[#This Row],[TenureMonths]]&gt;36, "3+ Years")</f>
        <v>1-3 Years</v>
      </c>
      <c r="N3199" s="2" t="str">
        <f>IF(TelecomData[[#This Row],[CleanedTotalCharges]]&gt;=2500,"High Spend", "Standard Spend")</f>
        <v>Standard Spend</v>
      </c>
    </row>
    <row r="3200" spans="1:14" x14ac:dyDescent="0.3">
      <c r="A3200" s="1" t="s">
        <v>3224</v>
      </c>
      <c r="B3200" s="2" t="s">
        <v>19</v>
      </c>
      <c r="C3200" s="2" t="s">
        <v>20</v>
      </c>
      <c r="D3200" s="2">
        <v>40</v>
      </c>
      <c r="E3200" s="2" t="s">
        <v>26</v>
      </c>
      <c r="F3200" s="2" t="s">
        <v>15</v>
      </c>
      <c r="G3200" s="7">
        <v>106</v>
      </c>
      <c r="H3200" s="7">
        <v>4178.6499999999996</v>
      </c>
      <c r="I3200" s="2" t="s">
        <v>15</v>
      </c>
      <c r="J3200" s="2" t="s">
        <v>16</v>
      </c>
      <c r="K3200" s="2" t="s">
        <v>24</v>
      </c>
      <c r="L3200" s="7">
        <v>4178.6499999999996</v>
      </c>
      <c r="M3200" s="2" t="str">
        <f>_xlfn.IFS(TelecomData[[#This Row],[TenureMonths]]&lt;=12, "0-1 Year", TelecomData[[#This Row],[TenureMonths]]&lt;=36, "1-3 Years", TelecomData[[#This Row],[TenureMonths]]&gt;36, "3+ Years")</f>
        <v>3+ Years</v>
      </c>
      <c r="N3200" s="2" t="str">
        <f>IF(TelecomData[[#This Row],[CleanedTotalCharges]]&gt;=2500,"High Spend", "Standard Spend")</f>
        <v>High Spend</v>
      </c>
    </row>
    <row r="3201" spans="1:14" x14ac:dyDescent="0.3">
      <c r="A3201" s="1" t="s">
        <v>3225</v>
      </c>
      <c r="B3201" s="2" t="s">
        <v>12</v>
      </c>
      <c r="C3201" s="2" t="s">
        <v>35</v>
      </c>
      <c r="D3201" s="2">
        <v>68</v>
      </c>
      <c r="E3201" s="2" t="s">
        <v>15</v>
      </c>
      <c r="F3201" s="2" t="s">
        <v>36</v>
      </c>
      <c r="G3201" s="7">
        <v>25.5</v>
      </c>
      <c r="H3201" s="7">
        <v>1821.8</v>
      </c>
      <c r="I3201" s="2" t="s">
        <v>15</v>
      </c>
      <c r="J3201" s="2" t="s">
        <v>15</v>
      </c>
      <c r="K3201" s="2" t="s">
        <v>24</v>
      </c>
      <c r="L3201" s="7">
        <v>1821.8</v>
      </c>
      <c r="M3201" s="2" t="str">
        <f>_xlfn.IFS(TelecomData[[#This Row],[TenureMonths]]&lt;=12, "0-1 Year", TelecomData[[#This Row],[TenureMonths]]&lt;=36, "1-3 Years", TelecomData[[#This Row],[TenureMonths]]&gt;36, "3+ Years")</f>
        <v>3+ Years</v>
      </c>
      <c r="N3201" s="2" t="str">
        <f>IF(TelecomData[[#This Row],[CleanedTotalCharges]]&gt;=2500,"High Spend", "Standard Spend")</f>
        <v>Standard Spend</v>
      </c>
    </row>
    <row r="3202" spans="1:14" x14ac:dyDescent="0.3">
      <c r="A3202" s="1" t="s">
        <v>3226</v>
      </c>
      <c r="B3202" s="2" t="s">
        <v>19</v>
      </c>
      <c r="C3202" s="2" t="s">
        <v>13</v>
      </c>
      <c r="D3202" s="2">
        <v>54</v>
      </c>
      <c r="E3202" s="2" t="s">
        <v>26</v>
      </c>
      <c r="F3202" s="2" t="s">
        <v>15</v>
      </c>
      <c r="G3202" s="7">
        <v>104.3</v>
      </c>
      <c r="H3202" s="7">
        <v>5278.15</v>
      </c>
      <c r="I3202" s="2" t="s">
        <v>16</v>
      </c>
      <c r="J3202" s="2" t="s">
        <v>16</v>
      </c>
      <c r="K3202" s="2" t="s">
        <v>17</v>
      </c>
      <c r="L3202" s="7">
        <v>5278.15</v>
      </c>
      <c r="M3202" s="2" t="str">
        <f>_xlfn.IFS(TelecomData[[#This Row],[TenureMonths]]&lt;=12, "0-1 Year", TelecomData[[#This Row],[TenureMonths]]&lt;=36, "1-3 Years", TelecomData[[#This Row],[TenureMonths]]&gt;36, "3+ Years")</f>
        <v>3+ Years</v>
      </c>
      <c r="N3202" s="2" t="str">
        <f>IF(TelecomData[[#This Row],[CleanedTotalCharges]]&gt;=2500,"High Spend", "Standard Spend")</f>
        <v>High Spend</v>
      </c>
    </row>
    <row r="3203" spans="1:14" x14ac:dyDescent="0.3">
      <c r="A3203" s="1" t="s">
        <v>3227</v>
      </c>
      <c r="B3203" s="2" t="s">
        <v>12</v>
      </c>
      <c r="C3203" s="2" t="s">
        <v>35</v>
      </c>
      <c r="D3203" s="2">
        <v>50</v>
      </c>
      <c r="E3203" s="2" t="s">
        <v>14</v>
      </c>
      <c r="F3203" s="2" t="s">
        <v>16</v>
      </c>
      <c r="G3203" s="7">
        <v>79.599999999999994</v>
      </c>
      <c r="H3203" s="7">
        <v>4024.2</v>
      </c>
      <c r="I3203" s="2" t="s">
        <v>15</v>
      </c>
      <c r="J3203" s="2" t="s">
        <v>16</v>
      </c>
      <c r="K3203" s="2" t="s">
        <v>21</v>
      </c>
      <c r="L3203" s="7">
        <v>4024.2</v>
      </c>
      <c r="M3203" s="2" t="str">
        <f>_xlfn.IFS(TelecomData[[#This Row],[TenureMonths]]&lt;=12, "0-1 Year", TelecomData[[#This Row],[TenureMonths]]&lt;=36, "1-3 Years", TelecomData[[#This Row],[TenureMonths]]&gt;36, "3+ Years")</f>
        <v>3+ Years</v>
      </c>
      <c r="N3203" s="2" t="str">
        <f>IF(TelecomData[[#This Row],[CleanedTotalCharges]]&gt;=2500,"High Spend", "Standard Spend")</f>
        <v>High Spend</v>
      </c>
    </row>
    <row r="3204" spans="1:14" x14ac:dyDescent="0.3">
      <c r="A3204" s="1" t="s">
        <v>3228</v>
      </c>
      <c r="B3204" s="2" t="s">
        <v>19</v>
      </c>
      <c r="C3204" s="2" t="s">
        <v>13</v>
      </c>
      <c r="D3204" s="2">
        <v>1</v>
      </c>
      <c r="E3204" s="2" t="s">
        <v>14</v>
      </c>
      <c r="F3204" s="2" t="s">
        <v>15</v>
      </c>
      <c r="G3204" s="7">
        <v>55.25</v>
      </c>
      <c r="H3204" s="7">
        <v>55.25</v>
      </c>
      <c r="I3204" s="2" t="s">
        <v>15</v>
      </c>
      <c r="J3204" s="2" t="s">
        <v>16</v>
      </c>
      <c r="K3204" s="2" t="s">
        <v>17</v>
      </c>
      <c r="L3204" s="7">
        <v>55.25</v>
      </c>
      <c r="M3204" s="2" t="str">
        <f>_xlfn.IFS(TelecomData[[#This Row],[TenureMonths]]&lt;=12, "0-1 Year", TelecomData[[#This Row],[TenureMonths]]&lt;=36, "1-3 Years", TelecomData[[#This Row],[TenureMonths]]&gt;36, "3+ Years")</f>
        <v>0-1 Year</v>
      </c>
      <c r="N3204" s="2" t="str">
        <f>IF(TelecomData[[#This Row],[CleanedTotalCharges]]&gt;=2500,"High Spend", "Standard Spend")</f>
        <v>Standard Spend</v>
      </c>
    </row>
    <row r="3205" spans="1:14" x14ac:dyDescent="0.3">
      <c r="A3205" s="1" t="s">
        <v>3229</v>
      </c>
      <c r="B3205" s="2" t="s">
        <v>12</v>
      </c>
      <c r="C3205" s="2" t="s">
        <v>35</v>
      </c>
      <c r="D3205" s="2">
        <v>72</v>
      </c>
      <c r="E3205" s="2" t="s">
        <v>14</v>
      </c>
      <c r="F3205" s="2" t="s">
        <v>16</v>
      </c>
      <c r="G3205" s="7">
        <v>88.05</v>
      </c>
      <c r="H3205" s="7">
        <v>6520.8</v>
      </c>
      <c r="I3205" s="2" t="s">
        <v>15</v>
      </c>
      <c r="J3205" s="2" t="s">
        <v>15</v>
      </c>
      <c r="K3205" s="2" t="s">
        <v>24</v>
      </c>
      <c r="L3205" s="7">
        <v>6520.8</v>
      </c>
      <c r="M3205" s="2" t="str">
        <f>_xlfn.IFS(TelecomData[[#This Row],[TenureMonths]]&lt;=12, "0-1 Year", TelecomData[[#This Row],[TenureMonths]]&lt;=36, "1-3 Years", TelecomData[[#This Row],[TenureMonths]]&gt;36, "3+ Years")</f>
        <v>3+ Years</v>
      </c>
      <c r="N3205" s="2" t="str">
        <f>IF(TelecomData[[#This Row],[CleanedTotalCharges]]&gt;=2500,"High Spend", "Standard Spend")</f>
        <v>High Spend</v>
      </c>
    </row>
    <row r="3206" spans="1:14" x14ac:dyDescent="0.3">
      <c r="A3206" s="1" t="s">
        <v>3230</v>
      </c>
      <c r="B3206" s="2" t="s">
        <v>19</v>
      </c>
      <c r="C3206" s="2" t="s">
        <v>20</v>
      </c>
      <c r="D3206" s="2">
        <v>40</v>
      </c>
      <c r="E3206" s="2" t="s">
        <v>15</v>
      </c>
      <c r="F3206" s="2" t="s">
        <v>36</v>
      </c>
      <c r="G3206" s="7">
        <v>20.399999999999999</v>
      </c>
      <c r="H3206" s="7">
        <v>854.9</v>
      </c>
      <c r="I3206" s="2" t="s">
        <v>15</v>
      </c>
      <c r="J3206" s="2" t="s">
        <v>16</v>
      </c>
      <c r="K3206" s="2" t="s">
        <v>24</v>
      </c>
      <c r="L3206" s="7">
        <v>854.9</v>
      </c>
      <c r="M3206" s="2" t="str">
        <f>_xlfn.IFS(TelecomData[[#This Row],[TenureMonths]]&lt;=12, "0-1 Year", TelecomData[[#This Row],[TenureMonths]]&lt;=36, "1-3 Years", TelecomData[[#This Row],[TenureMonths]]&gt;36, "3+ Years")</f>
        <v>3+ Years</v>
      </c>
      <c r="N3206" s="2" t="str">
        <f>IF(TelecomData[[#This Row],[CleanedTotalCharges]]&gt;=2500,"High Spend", "Standard Spend")</f>
        <v>Standard Spend</v>
      </c>
    </row>
    <row r="3207" spans="1:14" x14ac:dyDescent="0.3">
      <c r="A3207" s="1" t="s">
        <v>3231</v>
      </c>
      <c r="B3207" s="2" t="s">
        <v>12</v>
      </c>
      <c r="C3207" s="2" t="s">
        <v>35</v>
      </c>
      <c r="D3207" s="2">
        <v>72</v>
      </c>
      <c r="E3207" s="2" t="s">
        <v>26</v>
      </c>
      <c r="F3207" s="2" t="s">
        <v>16</v>
      </c>
      <c r="G3207" s="7">
        <v>117.6</v>
      </c>
      <c r="H3207" s="7">
        <v>8308.9</v>
      </c>
      <c r="I3207" s="2" t="s">
        <v>15</v>
      </c>
      <c r="J3207" s="2" t="s">
        <v>16</v>
      </c>
      <c r="K3207" s="2" t="s">
        <v>24</v>
      </c>
      <c r="L3207" s="7">
        <v>8308.9</v>
      </c>
      <c r="M3207" s="2" t="str">
        <f>_xlfn.IFS(TelecomData[[#This Row],[TenureMonths]]&lt;=12, "0-1 Year", TelecomData[[#This Row],[TenureMonths]]&lt;=36, "1-3 Years", TelecomData[[#This Row],[TenureMonths]]&gt;36, "3+ Years")</f>
        <v>3+ Years</v>
      </c>
      <c r="N3207" s="2" t="str">
        <f>IF(TelecomData[[#This Row],[CleanedTotalCharges]]&gt;=2500,"High Spend", "Standard Spend")</f>
        <v>High Spend</v>
      </c>
    </row>
    <row r="3208" spans="1:14" x14ac:dyDescent="0.3">
      <c r="A3208" s="1" t="s">
        <v>3232</v>
      </c>
      <c r="B3208" s="2" t="s">
        <v>12</v>
      </c>
      <c r="C3208" s="2" t="s">
        <v>13</v>
      </c>
      <c r="D3208" s="2">
        <v>6</v>
      </c>
      <c r="E3208" s="2" t="s">
        <v>15</v>
      </c>
      <c r="F3208" s="2" t="s">
        <v>36</v>
      </c>
      <c r="G3208" s="7">
        <v>20</v>
      </c>
      <c r="H3208" s="7">
        <v>109.2</v>
      </c>
      <c r="I3208" s="2" t="s">
        <v>15</v>
      </c>
      <c r="J3208" s="2" t="s">
        <v>15</v>
      </c>
      <c r="K3208" s="2" t="s">
        <v>21</v>
      </c>
      <c r="L3208" s="7">
        <v>109.2</v>
      </c>
      <c r="M3208" s="2" t="str">
        <f>_xlfn.IFS(TelecomData[[#This Row],[TenureMonths]]&lt;=12, "0-1 Year", TelecomData[[#This Row],[TenureMonths]]&lt;=36, "1-3 Years", TelecomData[[#This Row],[TenureMonths]]&gt;36, "3+ Years")</f>
        <v>0-1 Year</v>
      </c>
      <c r="N3208" s="2" t="str">
        <f>IF(TelecomData[[#This Row],[CleanedTotalCharges]]&gt;=2500,"High Spend", "Standard Spend")</f>
        <v>Standard Spend</v>
      </c>
    </row>
    <row r="3209" spans="1:14" x14ac:dyDescent="0.3">
      <c r="A3209" s="1" t="s">
        <v>3233</v>
      </c>
      <c r="B3209" s="2" t="s">
        <v>12</v>
      </c>
      <c r="C3209" s="2" t="s">
        <v>13</v>
      </c>
      <c r="D3209" s="2">
        <v>5</v>
      </c>
      <c r="E3209" s="2" t="s">
        <v>15</v>
      </c>
      <c r="F3209" s="2" t="s">
        <v>36</v>
      </c>
      <c r="G3209" s="7">
        <v>19.649999999999999</v>
      </c>
      <c r="H3209" s="7">
        <v>92.05</v>
      </c>
      <c r="I3209" s="2" t="s">
        <v>15</v>
      </c>
      <c r="J3209" s="2" t="s">
        <v>16</v>
      </c>
      <c r="K3209" s="2" t="s">
        <v>29</v>
      </c>
      <c r="L3209" s="7">
        <v>92.05</v>
      </c>
      <c r="M3209" s="2" t="str">
        <f>_xlfn.IFS(TelecomData[[#This Row],[TenureMonths]]&lt;=12, "0-1 Year", TelecomData[[#This Row],[TenureMonths]]&lt;=36, "1-3 Years", TelecomData[[#This Row],[TenureMonths]]&gt;36, "3+ Years")</f>
        <v>0-1 Year</v>
      </c>
      <c r="N3209" s="2" t="str">
        <f>IF(TelecomData[[#This Row],[CleanedTotalCharges]]&gt;=2500,"High Spend", "Standard Spend")</f>
        <v>Standard Spend</v>
      </c>
    </row>
    <row r="3210" spans="1:14" x14ac:dyDescent="0.3">
      <c r="A3210" s="1" t="s">
        <v>3234</v>
      </c>
      <c r="B3210" s="2" t="s">
        <v>19</v>
      </c>
      <c r="C3210" s="2" t="s">
        <v>20</v>
      </c>
      <c r="D3210" s="2">
        <v>48</v>
      </c>
      <c r="E3210" s="2" t="s">
        <v>14</v>
      </c>
      <c r="F3210" s="2" t="s">
        <v>15</v>
      </c>
      <c r="G3210" s="7">
        <v>70.55</v>
      </c>
      <c r="H3210" s="7">
        <v>3420.5</v>
      </c>
      <c r="I3210" s="2" t="s">
        <v>15</v>
      </c>
      <c r="J3210" s="2" t="s">
        <v>16</v>
      </c>
      <c r="K3210" s="2" t="s">
        <v>29</v>
      </c>
      <c r="L3210" s="7">
        <v>3420.5</v>
      </c>
      <c r="M3210" s="2" t="str">
        <f>_xlfn.IFS(TelecomData[[#This Row],[TenureMonths]]&lt;=12, "0-1 Year", TelecomData[[#This Row],[TenureMonths]]&lt;=36, "1-3 Years", TelecomData[[#This Row],[TenureMonths]]&gt;36, "3+ Years")</f>
        <v>3+ Years</v>
      </c>
      <c r="N3210" s="2" t="str">
        <f>IF(TelecomData[[#This Row],[CleanedTotalCharges]]&gt;=2500,"High Spend", "Standard Spend")</f>
        <v>High Spend</v>
      </c>
    </row>
    <row r="3211" spans="1:14" x14ac:dyDescent="0.3">
      <c r="A3211" s="1" t="s">
        <v>3235</v>
      </c>
      <c r="B3211" s="2" t="s">
        <v>12</v>
      </c>
      <c r="C3211" s="2" t="s">
        <v>13</v>
      </c>
      <c r="D3211" s="2">
        <v>1</v>
      </c>
      <c r="E3211" s="2" t="s">
        <v>26</v>
      </c>
      <c r="F3211" s="2" t="s">
        <v>15</v>
      </c>
      <c r="G3211" s="7">
        <v>93.85</v>
      </c>
      <c r="H3211" s="7">
        <v>93.85</v>
      </c>
      <c r="I3211" s="2" t="s">
        <v>16</v>
      </c>
      <c r="J3211" s="2" t="s">
        <v>16</v>
      </c>
      <c r="K3211" s="2" t="s">
        <v>17</v>
      </c>
      <c r="L3211" s="7">
        <v>93.85</v>
      </c>
      <c r="M3211" s="2" t="str">
        <f>_xlfn.IFS(TelecomData[[#This Row],[TenureMonths]]&lt;=12, "0-1 Year", TelecomData[[#This Row],[TenureMonths]]&lt;=36, "1-3 Years", TelecomData[[#This Row],[TenureMonths]]&gt;36, "3+ Years")</f>
        <v>0-1 Year</v>
      </c>
      <c r="N3211" s="2" t="str">
        <f>IF(TelecomData[[#This Row],[CleanedTotalCharges]]&gt;=2500,"High Spend", "Standard Spend")</f>
        <v>Standard Spend</v>
      </c>
    </row>
    <row r="3212" spans="1:14" x14ac:dyDescent="0.3">
      <c r="A3212" s="1" t="s">
        <v>3236</v>
      </c>
      <c r="B3212" s="2" t="s">
        <v>12</v>
      </c>
      <c r="C3212" s="2" t="s">
        <v>20</v>
      </c>
      <c r="D3212" s="2">
        <v>64</v>
      </c>
      <c r="E3212" s="2" t="s">
        <v>14</v>
      </c>
      <c r="F3212" s="2" t="s">
        <v>16</v>
      </c>
      <c r="G3212" s="7">
        <v>65.8</v>
      </c>
      <c r="H3212" s="7">
        <v>4068</v>
      </c>
      <c r="I3212" s="2" t="s">
        <v>15</v>
      </c>
      <c r="J3212" s="2" t="s">
        <v>15</v>
      </c>
      <c r="K3212" s="2" t="s">
        <v>21</v>
      </c>
      <c r="L3212" s="7">
        <v>4068</v>
      </c>
      <c r="M3212" s="2" t="str">
        <f>_xlfn.IFS(TelecomData[[#This Row],[TenureMonths]]&lt;=12, "0-1 Year", TelecomData[[#This Row],[TenureMonths]]&lt;=36, "1-3 Years", TelecomData[[#This Row],[TenureMonths]]&gt;36, "3+ Years")</f>
        <v>3+ Years</v>
      </c>
      <c r="N3212" s="2" t="str">
        <f>IF(TelecomData[[#This Row],[CleanedTotalCharges]]&gt;=2500,"High Spend", "Standard Spend")</f>
        <v>High Spend</v>
      </c>
    </row>
    <row r="3213" spans="1:14" x14ac:dyDescent="0.3">
      <c r="A3213" s="1" t="s">
        <v>3237</v>
      </c>
      <c r="B3213" s="2" t="s">
        <v>12</v>
      </c>
      <c r="C3213" s="2" t="s">
        <v>20</v>
      </c>
      <c r="D3213" s="2">
        <v>17</v>
      </c>
      <c r="E3213" s="2" t="s">
        <v>15</v>
      </c>
      <c r="F3213" s="2" t="s">
        <v>36</v>
      </c>
      <c r="G3213" s="7">
        <v>20.05</v>
      </c>
      <c r="H3213" s="7">
        <v>337.9</v>
      </c>
      <c r="I3213" s="2" t="s">
        <v>15</v>
      </c>
      <c r="J3213" s="2" t="s">
        <v>15</v>
      </c>
      <c r="K3213" s="2" t="s">
        <v>29</v>
      </c>
      <c r="L3213" s="7">
        <v>337.9</v>
      </c>
      <c r="M3213" s="2" t="str">
        <f>_xlfn.IFS(TelecomData[[#This Row],[TenureMonths]]&lt;=12, "0-1 Year", TelecomData[[#This Row],[TenureMonths]]&lt;=36, "1-3 Years", TelecomData[[#This Row],[TenureMonths]]&gt;36, "3+ Years")</f>
        <v>1-3 Years</v>
      </c>
      <c r="N3213" s="2" t="str">
        <f>IF(TelecomData[[#This Row],[CleanedTotalCharges]]&gt;=2500,"High Spend", "Standard Spend")</f>
        <v>Standard Spend</v>
      </c>
    </row>
    <row r="3214" spans="1:14" x14ac:dyDescent="0.3">
      <c r="A3214" s="1" t="s">
        <v>3238</v>
      </c>
      <c r="B3214" s="2" t="s">
        <v>19</v>
      </c>
      <c r="C3214" s="2" t="s">
        <v>13</v>
      </c>
      <c r="D3214" s="2">
        <v>40</v>
      </c>
      <c r="E3214" s="2" t="s">
        <v>26</v>
      </c>
      <c r="F3214" s="2" t="s">
        <v>15</v>
      </c>
      <c r="G3214" s="7">
        <v>80</v>
      </c>
      <c r="H3214" s="7">
        <v>3168.75</v>
      </c>
      <c r="I3214" s="2" t="s">
        <v>15</v>
      </c>
      <c r="J3214" s="2" t="s">
        <v>16</v>
      </c>
      <c r="K3214" s="2" t="s">
        <v>17</v>
      </c>
      <c r="L3214" s="7">
        <v>3168.75</v>
      </c>
      <c r="M3214" s="2" t="str">
        <f>_xlfn.IFS(TelecomData[[#This Row],[TenureMonths]]&lt;=12, "0-1 Year", TelecomData[[#This Row],[TenureMonths]]&lt;=36, "1-3 Years", TelecomData[[#This Row],[TenureMonths]]&gt;36, "3+ Years")</f>
        <v>3+ Years</v>
      </c>
      <c r="N3214" s="2" t="str">
        <f>IF(TelecomData[[#This Row],[CleanedTotalCharges]]&gt;=2500,"High Spend", "Standard Spend")</f>
        <v>High Spend</v>
      </c>
    </row>
    <row r="3215" spans="1:14" x14ac:dyDescent="0.3">
      <c r="A3215" s="1" t="s">
        <v>3239</v>
      </c>
      <c r="B3215" s="2" t="s">
        <v>12</v>
      </c>
      <c r="C3215" s="2" t="s">
        <v>20</v>
      </c>
      <c r="D3215" s="2">
        <v>41</v>
      </c>
      <c r="E3215" s="2" t="s">
        <v>14</v>
      </c>
      <c r="F3215" s="2" t="s">
        <v>15</v>
      </c>
      <c r="G3215" s="7">
        <v>35.4</v>
      </c>
      <c r="H3215" s="7">
        <v>1412.4</v>
      </c>
      <c r="I3215" s="2" t="s">
        <v>15</v>
      </c>
      <c r="J3215" s="2" t="s">
        <v>15</v>
      </c>
      <c r="K3215" s="2" t="s">
        <v>29</v>
      </c>
      <c r="L3215" s="7">
        <v>1412.4</v>
      </c>
      <c r="M3215" s="2" t="str">
        <f>_xlfn.IFS(TelecomData[[#This Row],[TenureMonths]]&lt;=12, "0-1 Year", TelecomData[[#This Row],[TenureMonths]]&lt;=36, "1-3 Years", TelecomData[[#This Row],[TenureMonths]]&gt;36, "3+ Years")</f>
        <v>3+ Years</v>
      </c>
      <c r="N3215" s="2" t="str">
        <f>IF(TelecomData[[#This Row],[CleanedTotalCharges]]&gt;=2500,"High Spend", "Standard Spend")</f>
        <v>Standard Spend</v>
      </c>
    </row>
    <row r="3216" spans="1:14" x14ac:dyDescent="0.3">
      <c r="A3216" s="1" t="s">
        <v>3240</v>
      </c>
      <c r="B3216" s="2" t="s">
        <v>19</v>
      </c>
      <c r="C3216" s="2" t="s">
        <v>20</v>
      </c>
      <c r="D3216" s="2">
        <v>51</v>
      </c>
      <c r="E3216" s="2" t="s">
        <v>26</v>
      </c>
      <c r="F3216" s="2" t="s">
        <v>15</v>
      </c>
      <c r="G3216" s="7">
        <v>79.599999999999994</v>
      </c>
      <c r="H3216" s="7">
        <v>3974.7</v>
      </c>
      <c r="I3216" s="2" t="s">
        <v>15</v>
      </c>
      <c r="J3216" s="2" t="s">
        <v>16</v>
      </c>
      <c r="K3216" s="2" t="s">
        <v>24</v>
      </c>
      <c r="L3216" s="7">
        <v>3974.7</v>
      </c>
      <c r="M3216" s="2" t="str">
        <f>_xlfn.IFS(TelecomData[[#This Row],[TenureMonths]]&lt;=12, "0-1 Year", TelecomData[[#This Row],[TenureMonths]]&lt;=36, "1-3 Years", TelecomData[[#This Row],[TenureMonths]]&gt;36, "3+ Years")</f>
        <v>3+ Years</v>
      </c>
      <c r="N3216" s="2" t="str">
        <f>IF(TelecomData[[#This Row],[CleanedTotalCharges]]&gt;=2500,"High Spend", "Standard Spend")</f>
        <v>High Spend</v>
      </c>
    </row>
    <row r="3217" spans="1:14" x14ac:dyDescent="0.3">
      <c r="A3217" s="1" t="s">
        <v>3241</v>
      </c>
      <c r="B3217" s="2" t="s">
        <v>19</v>
      </c>
      <c r="C3217" s="2" t="s">
        <v>13</v>
      </c>
      <c r="D3217" s="2">
        <v>41</v>
      </c>
      <c r="E3217" s="2" t="s">
        <v>26</v>
      </c>
      <c r="F3217" s="2" t="s">
        <v>15</v>
      </c>
      <c r="G3217" s="7">
        <v>80.25</v>
      </c>
      <c r="H3217" s="7">
        <v>3439</v>
      </c>
      <c r="I3217" s="2" t="s">
        <v>15</v>
      </c>
      <c r="J3217" s="2" t="s">
        <v>16</v>
      </c>
      <c r="K3217" s="2" t="s">
        <v>17</v>
      </c>
      <c r="L3217" s="7">
        <v>3439</v>
      </c>
      <c r="M3217" s="2" t="str">
        <f>_xlfn.IFS(TelecomData[[#This Row],[TenureMonths]]&lt;=12, "0-1 Year", TelecomData[[#This Row],[TenureMonths]]&lt;=36, "1-3 Years", TelecomData[[#This Row],[TenureMonths]]&gt;36, "3+ Years")</f>
        <v>3+ Years</v>
      </c>
      <c r="N3217" s="2" t="str">
        <f>IF(TelecomData[[#This Row],[CleanedTotalCharges]]&gt;=2500,"High Spend", "Standard Spend")</f>
        <v>High Spend</v>
      </c>
    </row>
    <row r="3218" spans="1:14" x14ac:dyDescent="0.3">
      <c r="A3218" s="1" t="s">
        <v>3242</v>
      </c>
      <c r="B3218" s="2" t="s">
        <v>12</v>
      </c>
      <c r="C3218" s="2" t="s">
        <v>13</v>
      </c>
      <c r="D3218" s="2">
        <v>1</v>
      </c>
      <c r="E3218" s="2" t="s">
        <v>14</v>
      </c>
      <c r="F3218" s="2" t="s">
        <v>15</v>
      </c>
      <c r="G3218" s="7">
        <v>50.45</v>
      </c>
      <c r="H3218" s="7">
        <v>50.45</v>
      </c>
      <c r="I3218" s="2" t="s">
        <v>16</v>
      </c>
      <c r="J3218" s="2" t="s">
        <v>15</v>
      </c>
      <c r="K3218" s="2" t="s">
        <v>21</v>
      </c>
      <c r="L3218" s="7">
        <v>50.45</v>
      </c>
      <c r="M3218" s="2" t="str">
        <f>_xlfn.IFS(TelecomData[[#This Row],[TenureMonths]]&lt;=12, "0-1 Year", TelecomData[[#This Row],[TenureMonths]]&lt;=36, "1-3 Years", TelecomData[[#This Row],[TenureMonths]]&gt;36, "3+ Years")</f>
        <v>0-1 Year</v>
      </c>
      <c r="N3218" s="2" t="str">
        <f>IF(TelecomData[[#This Row],[CleanedTotalCharges]]&gt;=2500,"High Spend", "Standard Spend")</f>
        <v>Standard Spend</v>
      </c>
    </row>
    <row r="3219" spans="1:14" x14ac:dyDescent="0.3">
      <c r="A3219" s="1" t="s">
        <v>3243</v>
      </c>
      <c r="B3219" s="2" t="s">
        <v>12</v>
      </c>
      <c r="C3219" s="2" t="s">
        <v>13</v>
      </c>
      <c r="D3219" s="2">
        <v>2</v>
      </c>
      <c r="E3219" s="2" t="s">
        <v>15</v>
      </c>
      <c r="F3219" s="2" t="s">
        <v>36</v>
      </c>
      <c r="G3219" s="7">
        <v>20.45</v>
      </c>
      <c r="H3219" s="7">
        <v>42.45</v>
      </c>
      <c r="I3219" s="2" t="s">
        <v>15</v>
      </c>
      <c r="J3219" s="2" t="s">
        <v>16</v>
      </c>
      <c r="K3219" s="2" t="s">
        <v>21</v>
      </c>
      <c r="L3219" s="7">
        <v>42.45</v>
      </c>
      <c r="M3219" s="2" t="str">
        <f>_xlfn.IFS(TelecomData[[#This Row],[TenureMonths]]&lt;=12, "0-1 Year", TelecomData[[#This Row],[TenureMonths]]&lt;=36, "1-3 Years", TelecomData[[#This Row],[TenureMonths]]&gt;36, "3+ Years")</f>
        <v>0-1 Year</v>
      </c>
      <c r="N3219" s="2" t="str">
        <f>IF(TelecomData[[#This Row],[CleanedTotalCharges]]&gt;=2500,"High Spend", "Standard Spend")</f>
        <v>Standard Spend</v>
      </c>
    </row>
    <row r="3220" spans="1:14" x14ac:dyDescent="0.3">
      <c r="A3220" s="1" t="s">
        <v>3244</v>
      </c>
      <c r="B3220" s="2" t="s">
        <v>19</v>
      </c>
      <c r="C3220" s="2" t="s">
        <v>20</v>
      </c>
      <c r="D3220" s="2">
        <v>68</v>
      </c>
      <c r="E3220" s="2" t="s">
        <v>26</v>
      </c>
      <c r="F3220" s="2" t="s">
        <v>15</v>
      </c>
      <c r="G3220" s="7">
        <v>79.599999999999994</v>
      </c>
      <c r="H3220" s="7">
        <v>5461.45</v>
      </c>
      <c r="I3220" s="2" t="s">
        <v>15</v>
      </c>
      <c r="J3220" s="2" t="s">
        <v>15</v>
      </c>
      <c r="K3220" s="2" t="s">
        <v>29</v>
      </c>
      <c r="L3220" s="7">
        <v>5461.45</v>
      </c>
      <c r="M3220" s="2" t="str">
        <f>_xlfn.IFS(TelecomData[[#This Row],[TenureMonths]]&lt;=12, "0-1 Year", TelecomData[[#This Row],[TenureMonths]]&lt;=36, "1-3 Years", TelecomData[[#This Row],[TenureMonths]]&gt;36, "3+ Years")</f>
        <v>3+ Years</v>
      </c>
      <c r="N3220" s="2" t="str">
        <f>IF(TelecomData[[#This Row],[CleanedTotalCharges]]&gt;=2500,"High Spend", "Standard Spend")</f>
        <v>High Spend</v>
      </c>
    </row>
    <row r="3221" spans="1:14" x14ac:dyDescent="0.3">
      <c r="A3221" s="1" t="s">
        <v>3245</v>
      </c>
      <c r="B3221" s="2" t="s">
        <v>12</v>
      </c>
      <c r="C3221" s="2" t="s">
        <v>35</v>
      </c>
      <c r="D3221" s="2">
        <v>24</v>
      </c>
      <c r="E3221" s="2" t="s">
        <v>15</v>
      </c>
      <c r="F3221" s="2" t="s">
        <v>36</v>
      </c>
      <c r="G3221" s="7">
        <v>24.7</v>
      </c>
      <c r="H3221" s="7">
        <v>571.75</v>
      </c>
      <c r="I3221" s="2" t="s">
        <v>15</v>
      </c>
      <c r="J3221" s="2" t="s">
        <v>15</v>
      </c>
      <c r="K3221" s="2" t="s">
        <v>21</v>
      </c>
      <c r="L3221" s="7">
        <v>571.75</v>
      </c>
      <c r="M3221" s="2" t="str">
        <f>_xlfn.IFS(TelecomData[[#This Row],[TenureMonths]]&lt;=12, "0-1 Year", TelecomData[[#This Row],[TenureMonths]]&lt;=36, "1-3 Years", TelecomData[[#This Row],[TenureMonths]]&gt;36, "3+ Years")</f>
        <v>1-3 Years</v>
      </c>
      <c r="N3221" s="2" t="str">
        <f>IF(TelecomData[[#This Row],[CleanedTotalCharges]]&gt;=2500,"High Spend", "Standard Spend")</f>
        <v>Standard Spend</v>
      </c>
    </row>
    <row r="3222" spans="1:14" x14ac:dyDescent="0.3">
      <c r="A3222" s="1" t="s">
        <v>3246</v>
      </c>
      <c r="B3222" s="2" t="s">
        <v>19</v>
      </c>
      <c r="C3222" s="2" t="s">
        <v>35</v>
      </c>
      <c r="D3222" s="2">
        <v>70</v>
      </c>
      <c r="E3222" s="2" t="s">
        <v>14</v>
      </c>
      <c r="F3222" s="2" t="s">
        <v>16</v>
      </c>
      <c r="G3222" s="7">
        <v>77.3</v>
      </c>
      <c r="H3222" s="7">
        <v>5498.2</v>
      </c>
      <c r="I3222" s="2" t="s">
        <v>15</v>
      </c>
      <c r="J3222" s="2" t="s">
        <v>15</v>
      </c>
      <c r="K3222" s="2" t="s">
        <v>29</v>
      </c>
      <c r="L3222" s="7">
        <v>5498.2</v>
      </c>
      <c r="M3222" s="2" t="str">
        <f>_xlfn.IFS(TelecomData[[#This Row],[TenureMonths]]&lt;=12, "0-1 Year", TelecomData[[#This Row],[TenureMonths]]&lt;=36, "1-3 Years", TelecomData[[#This Row],[TenureMonths]]&gt;36, "3+ Years")</f>
        <v>3+ Years</v>
      </c>
      <c r="N3222" s="2" t="str">
        <f>IF(TelecomData[[#This Row],[CleanedTotalCharges]]&gt;=2500,"High Spend", "Standard Spend")</f>
        <v>High Spend</v>
      </c>
    </row>
    <row r="3223" spans="1:14" x14ac:dyDescent="0.3">
      <c r="A3223" s="1" t="s">
        <v>3247</v>
      </c>
      <c r="B3223" s="2" t="s">
        <v>19</v>
      </c>
      <c r="C3223" s="2" t="s">
        <v>13</v>
      </c>
      <c r="D3223" s="2">
        <v>3</v>
      </c>
      <c r="E3223" s="2" t="s">
        <v>14</v>
      </c>
      <c r="F3223" s="2" t="s">
        <v>16</v>
      </c>
      <c r="G3223" s="7">
        <v>29.75</v>
      </c>
      <c r="H3223" s="7">
        <v>96.85</v>
      </c>
      <c r="I3223" s="2" t="s">
        <v>15</v>
      </c>
      <c r="J3223" s="2" t="s">
        <v>16</v>
      </c>
      <c r="K3223" s="2" t="s">
        <v>17</v>
      </c>
      <c r="L3223" s="7">
        <v>96.85</v>
      </c>
      <c r="M3223" s="2" t="str">
        <f>_xlfn.IFS(TelecomData[[#This Row],[TenureMonths]]&lt;=12, "0-1 Year", TelecomData[[#This Row],[TenureMonths]]&lt;=36, "1-3 Years", TelecomData[[#This Row],[TenureMonths]]&gt;36, "3+ Years")</f>
        <v>0-1 Year</v>
      </c>
      <c r="N3223" s="2" t="str">
        <f>IF(TelecomData[[#This Row],[CleanedTotalCharges]]&gt;=2500,"High Spend", "Standard Spend")</f>
        <v>Standard Spend</v>
      </c>
    </row>
    <row r="3224" spans="1:14" x14ac:dyDescent="0.3">
      <c r="A3224" s="1" t="s">
        <v>3248</v>
      </c>
      <c r="B3224" s="2" t="s">
        <v>19</v>
      </c>
      <c r="C3224" s="2" t="s">
        <v>13</v>
      </c>
      <c r="D3224" s="2">
        <v>2</v>
      </c>
      <c r="E3224" s="2" t="s">
        <v>14</v>
      </c>
      <c r="F3224" s="2" t="s">
        <v>15</v>
      </c>
      <c r="G3224" s="7">
        <v>44.9</v>
      </c>
      <c r="H3224" s="7">
        <v>111.05</v>
      </c>
      <c r="I3224" s="2" t="s">
        <v>15</v>
      </c>
      <c r="J3224" s="2" t="s">
        <v>15</v>
      </c>
      <c r="K3224" s="2" t="s">
        <v>24</v>
      </c>
      <c r="L3224" s="7">
        <v>111.05</v>
      </c>
      <c r="M3224" s="2" t="str">
        <f>_xlfn.IFS(TelecomData[[#This Row],[TenureMonths]]&lt;=12, "0-1 Year", TelecomData[[#This Row],[TenureMonths]]&lt;=36, "1-3 Years", TelecomData[[#This Row],[TenureMonths]]&gt;36, "3+ Years")</f>
        <v>0-1 Year</v>
      </c>
      <c r="N3224" s="2" t="str">
        <f>IF(TelecomData[[#This Row],[CleanedTotalCharges]]&gt;=2500,"High Spend", "Standard Spend")</f>
        <v>Standard Spend</v>
      </c>
    </row>
    <row r="3225" spans="1:14" x14ac:dyDescent="0.3">
      <c r="A3225" s="1" t="s">
        <v>3249</v>
      </c>
      <c r="B3225" s="2" t="s">
        <v>19</v>
      </c>
      <c r="C3225" s="2" t="s">
        <v>13</v>
      </c>
      <c r="D3225" s="2">
        <v>3</v>
      </c>
      <c r="E3225" s="2" t="s">
        <v>14</v>
      </c>
      <c r="F3225" s="2" t="s">
        <v>15</v>
      </c>
      <c r="G3225" s="7">
        <v>29.8</v>
      </c>
      <c r="H3225" s="7">
        <v>94.4</v>
      </c>
      <c r="I3225" s="2" t="s">
        <v>15</v>
      </c>
      <c r="J3225" s="2" t="s">
        <v>15</v>
      </c>
      <c r="K3225" s="2" t="s">
        <v>29</v>
      </c>
      <c r="L3225" s="7">
        <v>94.4</v>
      </c>
      <c r="M3225" s="2" t="str">
        <f>_xlfn.IFS(TelecomData[[#This Row],[TenureMonths]]&lt;=12, "0-1 Year", TelecomData[[#This Row],[TenureMonths]]&lt;=36, "1-3 Years", TelecomData[[#This Row],[TenureMonths]]&gt;36, "3+ Years")</f>
        <v>0-1 Year</v>
      </c>
      <c r="N3225" s="2" t="str">
        <f>IF(TelecomData[[#This Row],[CleanedTotalCharges]]&gt;=2500,"High Spend", "Standard Spend")</f>
        <v>Standard Spend</v>
      </c>
    </row>
    <row r="3226" spans="1:14" x14ac:dyDescent="0.3">
      <c r="A3226" s="1" t="s">
        <v>3250</v>
      </c>
      <c r="B3226" s="2" t="s">
        <v>12</v>
      </c>
      <c r="C3226" s="2" t="s">
        <v>13</v>
      </c>
      <c r="D3226" s="2">
        <v>7</v>
      </c>
      <c r="E3226" s="2" t="s">
        <v>14</v>
      </c>
      <c r="F3226" s="2" t="s">
        <v>16</v>
      </c>
      <c r="G3226" s="7">
        <v>74.650000000000006</v>
      </c>
      <c r="H3226" s="7">
        <v>521.1</v>
      </c>
      <c r="I3226" s="2" t="s">
        <v>16</v>
      </c>
      <c r="J3226" s="2" t="s">
        <v>16</v>
      </c>
      <c r="K3226" s="2" t="s">
        <v>17</v>
      </c>
      <c r="L3226" s="7">
        <v>521.1</v>
      </c>
      <c r="M3226" s="2" t="str">
        <f>_xlfn.IFS(TelecomData[[#This Row],[TenureMonths]]&lt;=12, "0-1 Year", TelecomData[[#This Row],[TenureMonths]]&lt;=36, "1-3 Years", TelecomData[[#This Row],[TenureMonths]]&gt;36, "3+ Years")</f>
        <v>0-1 Year</v>
      </c>
      <c r="N3226" s="2" t="str">
        <f>IF(TelecomData[[#This Row],[CleanedTotalCharges]]&gt;=2500,"High Spend", "Standard Spend")</f>
        <v>Standard Spend</v>
      </c>
    </row>
    <row r="3227" spans="1:14" x14ac:dyDescent="0.3">
      <c r="A3227" s="1" t="s">
        <v>3251</v>
      </c>
      <c r="B3227" s="2" t="s">
        <v>12</v>
      </c>
      <c r="C3227" s="2" t="s">
        <v>13</v>
      </c>
      <c r="D3227" s="2">
        <v>13</v>
      </c>
      <c r="E3227" s="2" t="s">
        <v>14</v>
      </c>
      <c r="F3227" s="2" t="s">
        <v>15</v>
      </c>
      <c r="G3227" s="7">
        <v>71.95</v>
      </c>
      <c r="H3227" s="7">
        <v>923.85</v>
      </c>
      <c r="I3227" s="2" t="s">
        <v>15</v>
      </c>
      <c r="J3227" s="2" t="s">
        <v>16</v>
      </c>
      <c r="K3227" s="2" t="s">
        <v>17</v>
      </c>
      <c r="L3227" s="7">
        <v>923.85</v>
      </c>
      <c r="M3227" s="2" t="str">
        <f>_xlfn.IFS(TelecomData[[#This Row],[TenureMonths]]&lt;=12, "0-1 Year", TelecomData[[#This Row],[TenureMonths]]&lt;=36, "1-3 Years", TelecomData[[#This Row],[TenureMonths]]&gt;36, "3+ Years")</f>
        <v>1-3 Years</v>
      </c>
      <c r="N3227" s="2" t="str">
        <f>IF(TelecomData[[#This Row],[CleanedTotalCharges]]&gt;=2500,"High Spend", "Standard Spend")</f>
        <v>Standard Spend</v>
      </c>
    </row>
    <row r="3228" spans="1:14" x14ac:dyDescent="0.3">
      <c r="A3228" s="1" t="s">
        <v>3252</v>
      </c>
      <c r="B3228" s="2" t="s">
        <v>19</v>
      </c>
      <c r="C3228" s="2" t="s">
        <v>13</v>
      </c>
      <c r="D3228" s="2">
        <v>7</v>
      </c>
      <c r="E3228" s="2" t="s">
        <v>15</v>
      </c>
      <c r="F3228" s="2" t="s">
        <v>36</v>
      </c>
      <c r="G3228" s="7">
        <v>20.75</v>
      </c>
      <c r="H3228" s="7">
        <v>141.1</v>
      </c>
      <c r="I3228" s="2" t="s">
        <v>15</v>
      </c>
      <c r="J3228" s="2" t="s">
        <v>15</v>
      </c>
      <c r="K3228" s="2" t="s">
        <v>21</v>
      </c>
      <c r="L3228" s="7">
        <v>141.1</v>
      </c>
      <c r="M3228" s="2" t="str">
        <f>_xlfn.IFS(TelecomData[[#This Row],[TenureMonths]]&lt;=12, "0-1 Year", TelecomData[[#This Row],[TenureMonths]]&lt;=36, "1-3 Years", TelecomData[[#This Row],[TenureMonths]]&gt;36, "3+ Years")</f>
        <v>0-1 Year</v>
      </c>
      <c r="N3228" s="2" t="str">
        <f>IF(TelecomData[[#This Row],[CleanedTotalCharges]]&gt;=2500,"High Spend", "Standard Spend")</f>
        <v>Standard Spend</v>
      </c>
    </row>
    <row r="3229" spans="1:14" x14ac:dyDescent="0.3">
      <c r="A3229" s="1" t="s">
        <v>3253</v>
      </c>
      <c r="B3229" s="2" t="s">
        <v>19</v>
      </c>
      <c r="C3229" s="2" t="s">
        <v>13</v>
      </c>
      <c r="D3229" s="2">
        <v>12</v>
      </c>
      <c r="E3229" s="2" t="s">
        <v>14</v>
      </c>
      <c r="F3229" s="2" t="s">
        <v>15</v>
      </c>
      <c r="G3229" s="7">
        <v>56.3</v>
      </c>
      <c r="H3229" s="7">
        <v>628.65</v>
      </c>
      <c r="I3229" s="2" t="s">
        <v>15</v>
      </c>
      <c r="J3229" s="2" t="s">
        <v>16</v>
      </c>
      <c r="K3229" s="2" t="s">
        <v>21</v>
      </c>
      <c r="L3229" s="7">
        <v>628.65</v>
      </c>
      <c r="M3229" s="2" t="str">
        <f>_xlfn.IFS(TelecomData[[#This Row],[TenureMonths]]&lt;=12, "0-1 Year", TelecomData[[#This Row],[TenureMonths]]&lt;=36, "1-3 Years", TelecomData[[#This Row],[TenureMonths]]&gt;36, "3+ Years")</f>
        <v>0-1 Year</v>
      </c>
      <c r="N3229" s="2" t="str">
        <f>IF(TelecomData[[#This Row],[CleanedTotalCharges]]&gt;=2500,"High Spend", "Standard Spend")</f>
        <v>Standard Spend</v>
      </c>
    </row>
    <row r="3230" spans="1:14" x14ac:dyDescent="0.3">
      <c r="A3230" s="1" t="s">
        <v>3254</v>
      </c>
      <c r="B3230" s="2" t="s">
        <v>19</v>
      </c>
      <c r="C3230" s="2" t="s">
        <v>20</v>
      </c>
      <c r="D3230" s="2">
        <v>53</v>
      </c>
      <c r="E3230" s="2" t="s">
        <v>26</v>
      </c>
      <c r="F3230" s="2" t="s">
        <v>15</v>
      </c>
      <c r="G3230" s="7">
        <v>105.25</v>
      </c>
      <c r="H3230" s="7">
        <v>5576.3</v>
      </c>
      <c r="I3230" s="2" t="s">
        <v>15</v>
      </c>
      <c r="J3230" s="2" t="s">
        <v>16</v>
      </c>
      <c r="K3230" s="2" t="s">
        <v>17</v>
      </c>
      <c r="L3230" s="7">
        <v>5576.3</v>
      </c>
      <c r="M3230" s="2" t="str">
        <f>_xlfn.IFS(TelecomData[[#This Row],[TenureMonths]]&lt;=12, "0-1 Year", TelecomData[[#This Row],[TenureMonths]]&lt;=36, "1-3 Years", TelecomData[[#This Row],[TenureMonths]]&gt;36, "3+ Years")</f>
        <v>3+ Years</v>
      </c>
      <c r="N3230" s="2" t="str">
        <f>IF(TelecomData[[#This Row],[CleanedTotalCharges]]&gt;=2500,"High Spend", "Standard Spend")</f>
        <v>High Spend</v>
      </c>
    </row>
    <row r="3231" spans="1:14" x14ac:dyDescent="0.3">
      <c r="A3231" s="1" t="s">
        <v>3255</v>
      </c>
      <c r="B3231" s="2" t="s">
        <v>12</v>
      </c>
      <c r="C3231" s="2" t="s">
        <v>13</v>
      </c>
      <c r="D3231" s="2">
        <v>12</v>
      </c>
      <c r="E3231" s="2" t="s">
        <v>26</v>
      </c>
      <c r="F3231" s="2" t="s">
        <v>15</v>
      </c>
      <c r="G3231" s="7">
        <v>94.2</v>
      </c>
      <c r="H3231" s="7">
        <v>1046.0999999999999</v>
      </c>
      <c r="I3231" s="2" t="s">
        <v>16</v>
      </c>
      <c r="J3231" s="2" t="s">
        <v>16</v>
      </c>
      <c r="K3231" s="2" t="s">
        <v>17</v>
      </c>
      <c r="L3231" s="7">
        <v>1046.0999999999999</v>
      </c>
      <c r="M3231" s="2" t="str">
        <f>_xlfn.IFS(TelecomData[[#This Row],[TenureMonths]]&lt;=12, "0-1 Year", TelecomData[[#This Row],[TenureMonths]]&lt;=36, "1-3 Years", TelecomData[[#This Row],[TenureMonths]]&gt;36, "3+ Years")</f>
        <v>0-1 Year</v>
      </c>
      <c r="N3231" s="2" t="str">
        <f>IF(TelecomData[[#This Row],[CleanedTotalCharges]]&gt;=2500,"High Spend", "Standard Spend")</f>
        <v>Standard Spend</v>
      </c>
    </row>
    <row r="3232" spans="1:14" x14ac:dyDescent="0.3">
      <c r="A3232" s="1" t="s">
        <v>3256</v>
      </c>
      <c r="B3232" s="2" t="s">
        <v>19</v>
      </c>
      <c r="C3232" s="2" t="s">
        <v>35</v>
      </c>
      <c r="D3232" s="2">
        <v>63</v>
      </c>
      <c r="E3232" s="2" t="s">
        <v>15</v>
      </c>
      <c r="F3232" s="2" t="s">
        <v>36</v>
      </c>
      <c r="G3232" s="7">
        <v>19.55</v>
      </c>
      <c r="H3232" s="7">
        <v>1245.5999999999999</v>
      </c>
      <c r="I3232" s="2" t="s">
        <v>15</v>
      </c>
      <c r="J3232" s="2" t="s">
        <v>15</v>
      </c>
      <c r="K3232" s="2" t="s">
        <v>21</v>
      </c>
      <c r="L3232" s="7">
        <v>1245.5999999999999</v>
      </c>
      <c r="M3232" s="2" t="str">
        <f>_xlfn.IFS(TelecomData[[#This Row],[TenureMonths]]&lt;=12, "0-1 Year", TelecomData[[#This Row],[TenureMonths]]&lt;=36, "1-3 Years", TelecomData[[#This Row],[TenureMonths]]&gt;36, "3+ Years")</f>
        <v>3+ Years</v>
      </c>
      <c r="N3232" s="2" t="str">
        <f>IF(TelecomData[[#This Row],[CleanedTotalCharges]]&gt;=2500,"High Spend", "Standard Spend")</f>
        <v>Standard Spend</v>
      </c>
    </row>
    <row r="3233" spans="1:14" x14ac:dyDescent="0.3">
      <c r="A3233" s="1" t="s">
        <v>3257</v>
      </c>
      <c r="B3233" s="2" t="s">
        <v>12</v>
      </c>
      <c r="C3233" s="2" t="s">
        <v>13</v>
      </c>
      <c r="D3233" s="2">
        <v>15</v>
      </c>
      <c r="E3233" s="2" t="s">
        <v>14</v>
      </c>
      <c r="F3233" s="2" t="s">
        <v>16</v>
      </c>
      <c r="G3233" s="7">
        <v>84.45</v>
      </c>
      <c r="H3233" s="7">
        <v>1287.8499999999999</v>
      </c>
      <c r="I3233" s="2" t="s">
        <v>15</v>
      </c>
      <c r="J3233" s="2" t="s">
        <v>15</v>
      </c>
      <c r="K3233" s="2" t="s">
        <v>21</v>
      </c>
      <c r="L3233" s="7">
        <v>1287.8499999999999</v>
      </c>
      <c r="M3233" s="2" t="str">
        <f>_xlfn.IFS(TelecomData[[#This Row],[TenureMonths]]&lt;=12, "0-1 Year", TelecomData[[#This Row],[TenureMonths]]&lt;=36, "1-3 Years", TelecomData[[#This Row],[TenureMonths]]&gt;36, "3+ Years")</f>
        <v>1-3 Years</v>
      </c>
      <c r="N3233" s="2" t="str">
        <f>IF(TelecomData[[#This Row],[CleanedTotalCharges]]&gt;=2500,"High Spend", "Standard Spend")</f>
        <v>Standard Spend</v>
      </c>
    </row>
    <row r="3234" spans="1:14" x14ac:dyDescent="0.3">
      <c r="A3234" s="1" t="s">
        <v>3258</v>
      </c>
      <c r="B3234" s="2" t="s">
        <v>19</v>
      </c>
      <c r="C3234" s="2" t="s">
        <v>20</v>
      </c>
      <c r="D3234" s="2">
        <v>36</v>
      </c>
      <c r="E3234" s="2" t="s">
        <v>14</v>
      </c>
      <c r="F3234" s="2" t="s">
        <v>15</v>
      </c>
      <c r="G3234" s="7">
        <v>53.65</v>
      </c>
      <c r="H3234" s="7">
        <v>1939.35</v>
      </c>
      <c r="I3234" s="2" t="s">
        <v>15</v>
      </c>
      <c r="J3234" s="2" t="s">
        <v>15</v>
      </c>
      <c r="K3234" s="2" t="s">
        <v>21</v>
      </c>
      <c r="L3234" s="7">
        <v>1939.35</v>
      </c>
      <c r="M3234" s="2" t="str">
        <f>_xlfn.IFS(TelecomData[[#This Row],[TenureMonths]]&lt;=12, "0-1 Year", TelecomData[[#This Row],[TenureMonths]]&lt;=36, "1-3 Years", TelecomData[[#This Row],[TenureMonths]]&gt;36, "3+ Years")</f>
        <v>1-3 Years</v>
      </c>
      <c r="N3234" s="2" t="str">
        <f>IF(TelecomData[[#This Row],[CleanedTotalCharges]]&gt;=2500,"High Spend", "Standard Spend")</f>
        <v>Standard Spend</v>
      </c>
    </row>
    <row r="3235" spans="1:14" x14ac:dyDescent="0.3">
      <c r="A3235" s="1" t="s">
        <v>3259</v>
      </c>
      <c r="B3235" s="2" t="s">
        <v>19</v>
      </c>
      <c r="C3235" s="2" t="s">
        <v>13</v>
      </c>
      <c r="D3235" s="2">
        <v>4</v>
      </c>
      <c r="E3235" s="2" t="s">
        <v>14</v>
      </c>
      <c r="F3235" s="2" t="s">
        <v>15</v>
      </c>
      <c r="G3235" s="7">
        <v>29.9</v>
      </c>
      <c r="H3235" s="7">
        <v>118.25</v>
      </c>
      <c r="I3235" s="2" t="s">
        <v>15</v>
      </c>
      <c r="J3235" s="2" t="s">
        <v>16</v>
      </c>
      <c r="K3235" s="2" t="s">
        <v>17</v>
      </c>
      <c r="L3235" s="7">
        <v>118.25</v>
      </c>
      <c r="M3235" s="2" t="str">
        <f>_xlfn.IFS(TelecomData[[#This Row],[TenureMonths]]&lt;=12, "0-1 Year", TelecomData[[#This Row],[TenureMonths]]&lt;=36, "1-3 Years", TelecomData[[#This Row],[TenureMonths]]&gt;36, "3+ Years")</f>
        <v>0-1 Year</v>
      </c>
      <c r="N3235" s="2" t="str">
        <f>IF(TelecomData[[#This Row],[CleanedTotalCharges]]&gt;=2500,"High Spend", "Standard Spend")</f>
        <v>Standard Spend</v>
      </c>
    </row>
    <row r="3236" spans="1:14" x14ac:dyDescent="0.3">
      <c r="A3236" s="1" t="s">
        <v>3260</v>
      </c>
      <c r="B3236" s="2" t="s">
        <v>12</v>
      </c>
      <c r="C3236" s="2" t="s">
        <v>35</v>
      </c>
      <c r="D3236" s="2">
        <v>24</v>
      </c>
      <c r="E3236" s="2" t="s">
        <v>15</v>
      </c>
      <c r="F3236" s="2" t="s">
        <v>36</v>
      </c>
      <c r="G3236" s="7">
        <v>19.7</v>
      </c>
      <c r="H3236" s="7">
        <v>452.55</v>
      </c>
      <c r="I3236" s="2" t="s">
        <v>15</v>
      </c>
      <c r="J3236" s="2" t="s">
        <v>15</v>
      </c>
      <c r="K3236" s="2" t="s">
        <v>21</v>
      </c>
      <c r="L3236" s="7">
        <v>452.55</v>
      </c>
      <c r="M3236" s="2" t="str">
        <f>_xlfn.IFS(TelecomData[[#This Row],[TenureMonths]]&lt;=12, "0-1 Year", TelecomData[[#This Row],[TenureMonths]]&lt;=36, "1-3 Years", TelecomData[[#This Row],[TenureMonths]]&gt;36, "3+ Years")</f>
        <v>1-3 Years</v>
      </c>
      <c r="N3236" s="2" t="str">
        <f>IF(TelecomData[[#This Row],[CleanedTotalCharges]]&gt;=2500,"High Spend", "Standard Spend")</f>
        <v>Standard Spend</v>
      </c>
    </row>
    <row r="3237" spans="1:14" x14ac:dyDescent="0.3">
      <c r="A3237" s="1" t="s">
        <v>3261</v>
      </c>
      <c r="B3237" s="2" t="s">
        <v>12</v>
      </c>
      <c r="C3237" s="2" t="s">
        <v>20</v>
      </c>
      <c r="D3237" s="2">
        <v>61</v>
      </c>
      <c r="E3237" s="2" t="s">
        <v>14</v>
      </c>
      <c r="F3237" s="2" t="s">
        <v>16</v>
      </c>
      <c r="G3237" s="7">
        <v>43.7</v>
      </c>
      <c r="H3237" s="7">
        <v>2696.55</v>
      </c>
      <c r="I3237" s="2" t="s">
        <v>15</v>
      </c>
      <c r="J3237" s="2" t="s">
        <v>15</v>
      </c>
      <c r="K3237" s="2" t="s">
        <v>29</v>
      </c>
      <c r="L3237" s="7">
        <v>2696.55</v>
      </c>
      <c r="M3237" s="2" t="str">
        <f>_xlfn.IFS(TelecomData[[#This Row],[TenureMonths]]&lt;=12, "0-1 Year", TelecomData[[#This Row],[TenureMonths]]&lt;=36, "1-3 Years", TelecomData[[#This Row],[TenureMonths]]&gt;36, "3+ Years")</f>
        <v>3+ Years</v>
      </c>
      <c r="N3237" s="2" t="str">
        <f>IF(TelecomData[[#This Row],[CleanedTotalCharges]]&gt;=2500,"High Spend", "Standard Spend")</f>
        <v>High Spend</v>
      </c>
    </row>
    <row r="3238" spans="1:14" x14ac:dyDescent="0.3">
      <c r="A3238" s="1" t="s">
        <v>3262</v>
      </c>
      <c r="B3238" s="2" t="s">
        <v>19</v>
      </c>
      <c r="C3238" s="2" t="s">
        <v>13</v>
      </c>
      <c r="D3238" s="2">
        <v>16</v>
      </c>
      <c r="E3238" s="2" t="s">
        <v>14</v>
      </c>
      <c r="F3238" s="2" t="s">
        <v>15</v>
      </c>
      <c r="G3238" s="7">
        <v>55.3</v>
      </c>
      <c r="H3238" s="7">
        <v>875.35</v>
      </c>
      <c r="I3238" s="2" t="s">
        <v>15</v>
      </c>
      <c r="J3238" s="2" t="s">
        <v>15</v>
      </c>
      <c r="K3238" s="2" t="s">
        <v>17</v>
      </c>
      <c r="L3238" s="7">
        <v>875.35</v>
      </c>
      <c r="M3238" s="2" t="str">
        <f>_xlfn.IFS(TelecomData[[#This Row],[TenureMonths]]&lt;=12, "0-1 Year", TelecomData[[#This Row],[TenureMonths]]&lt;=36, "1-3 Years", TelecomData[[#This Row],[TenureMonths]]&gt;36, "3+ Years")</f>
        <v>1-3 Years</v>
      </c>
      <c r="N3238" s="2" t="str">
        <f>IF(TelecomData[[#This Row],[CleanedTotalCharges]]&gt;=2500,"High Spend", "Standard Spend")</f>
        <v>Standard Spend</v>
      </c>
    </row>
    <row r="3239" spans="1:14" x14ac:dyDescent="0.3">
      <c r="A3239" s="1" t="s">
        <v>3263</v>
      </c>
      <c r="B3239" s="2" t="s">
        <v>19</v>
      </c>
      <c r="C3239" s="2" t="s">
        <v>35</v>
      </c>
      <c r="D3239" s="2">
        <v>65</v>
      </c>
      <c r="E3239" s="2" t="s">
        <v>15</v>
      </c>
      <c r="F3239" s="2" t="s">
        <v>36</v>
      </c>
      <c r="G3239" s="7">
        <v>19.850000000000001</v>
      </c>
      <c r="H3239" s="7">
        <v>1267.05</v>
      </c>
      <c r="I3239" s="2" t="s">
        <v>15</v>
      </c>
      <c r="J3239" s="2" t="s">
        <v>16</v>
      </c>
      <c r="K3239" s="2" t="s">
        <v>29</v>
      </c>
      <c r="L3239" s="7">
        <v>1267.05</v>
      </c>
      <c r="M3239" s="2" t="str">
        <f>_xlfn.IFS(TelecomData[[#This Row],[TenureMonths]]&lt;=12, "0-1 Year", TelecomData[[#This Row],[TenureMonths]]&lt;=36, "1-3 Years", TelecomData[[#This Row],[TenureMonths]]&gt;36, "3+ Years")</f>
        <v>3+ Years</v>
      </c>
      <c r="N3239" s="2" t="str">
        <f>IF(TelecomData[[#This Row],[CleanedTotalCharges]]&gt;=2500,"High Spend", "Standard Spend")</f>
        <v>Standard Spend</v>
      </c>
    </row>
    <row r="3240" spans="1:14" x14ac:dyDescent="0.3">
      <c r="A3240" s="1" t="s">
        <v>3264</v>
      </c>
      <c r="B3240" s="2" t="s">
        <v>12</v>
      </c>
      <c r="C3240" s="2" t="s">
        <v>35</v>
      </c>
      <c r="D3240" s="2">
        <v>26</v>
      </c>
      <c r="E3240" s="2" t="s">
        <v>15</v>
      </c>
      <c r="F3240" s="2" t="s">
        <v>36</v>
      </c>
      <c r="G3240" s="7">
        <v>19.649999999999999</v>
      </c>
      <c r="H3240" s="7">
        <v>494.9</v>
      </c>
      <c r="I3240" s="2" t="s">
        <v>15</v>
      </c>
      <c r="J3240" s="2" t="s">
        <v>15</v>
      </c>
      <c r="K3240" s="2" t="s">
        <v>29</v>
      </c>
      <c r="L3240" s="7">
        <v>494.9</v>
      </c>
      <c r="M3240" s="2" t="str">
        <f>_xlfn.IFS(TelecomData[[#This Row],[TenureMonths]]&lt;=12, "0-1 Year", TelecomData[[#This Row],[TenureMonths]]&lt;=36, "1-3 Years", TelecomData[[#This Row],[TenureMonths]]&gt;36, "3+ Years")</f>
        <v>1-3 Years</v>
      </c>
      <c r="N3240" s="2" t="str">
        <f>IF(TelecomData[[#This Row],[CleanedTotalCharges]]&gt;=2500,"High Spend", "Standard Spend")</f>
        <v>Standard Spend</v>
      </c>
    </row>
    <row r="3241" spans="1:14" x14ac:dyDescent="0.3">
      <c r="A3241" s="1" t="s">
        <v>3265</v>
      </c>
      <c r="B3241" s="2" t="s">
        <v>19</v>
      </c>
      <c r="C3241" s="2" t="s">
        <v>13</v>
      </c>
      <c r="D3241" s="2">
        <v>16</v>
      </c>
      <c r="E3241" s="2" t="s">
        <v>14</v>
      </c>
      <c r="F3241" s="2" t="s">
        <v>16</v>
      </c>
      <c r="G3241" s="7">
        <v>49.45</v>
      </c>
      <c r="H3241" s="7">
        <v>799</v>
      </c>
      <c r="I3241" s="2" t="s">
        <v>15</v>
      </c>
      <c r="J3241" s="2" t="s">
        <v>16</v>
      </c>
      <c r="K3241" s="2" t="s">
        <v>21</v>
      </c>
      <c r="L3241" s="7">
        <v>799</v>
      </c>
      <c r="M3241" s="2" t="str">
        <f>_xlfn.IFS(TelecomData[[#This Row],[TenureMonths]]&lt;=12, "0-1 Year", TelecomData[[#This Row],[TenureMonths]]&lt;=36, "1-3 Years", TelecomData[[#This Row],[TenureMonths]]&gt;36, "3+ Years")</f>
        <v>1-3 Years</v>
      </c>
      <c r="N3241" s="2" t="str">
        <f>IF(TelecomData[[#This Row],[CleanedTotalCharges]]&gt;=2500,"High Spend", "Standard Spend")</f>
        <v>Standard Spend</v>
      </c>
    </row>
    <row r="3242" spans="1:14" x14ac:dyDescent="0.3">
      <c r="A3242" s="1" t="s">
        <v>3266</v>
      </c>
      <c r="B3242" s="2" t="s">
        <v>12</v>
      </c>
      <c r="C3242" s="2" t="s">
        <v>20</v>
      </c>
      <c r="D3242" s="2">
        <v>54</v>
      </c>
      <c r="E3242" s="2" t="s">
        <v>26</v>
      </c>
      <c r="F3242" s="2" t="s">
        <v>15</v>
      </c>
      <c r="G3242" s="7">
        <v>106.55</v>
      </c>
      <c r="H3242" s="7">
        <v>5763.3</v>
      </c>
      <c r="I3242" s="2" t="s">
        <v>16</v>
      </c>
      <c r="J3242" s="2" t="s">
        <v>15</v>
      </c>
      <c r="K3242" s="2" t="s">
        <v>24</v>
      </c>
      <c r="L3242" s="7">
        <v>5763.3</v>
      </c>
      <c r="M3242" s="2" t="str">
        <f>_xlfn.IFS(TelecomData[[#This Row],[TenureMonths]]&lt;=12, "0-1 Year", TelecomData[[#This Row],[TenureMonths]]&lt;=36, "1-3 Years", TelecomData[[#This Row],[TenureMonths]]&gt;36, "3+ Years")</f>
        <v>3+ Years</v>
      </c>
      <c r="N3242" s="2" t="str">
        <f>IF(TelecomData[[#This Row],[CleanedTotalCharges]]&gt;=2500,"High Spend", "Standard Spend")</f>
        <v>High Spend</v>
      </c>
    </row>
    <row r="3243" spans="1:14" x14ac:dyDescent="0.3">
      <c r="A3243" s="1" t="s">
        <v>3267</v>
      </c>
      <c r="B3243" s="2" t="s">
        <v>19</v>
      </c>
      <c r="C3243" s="2" t="s">
        <v>13</v>
      </c>
      <c r="D3243" s="2">
        <v>1</v>
      </c>
      <c r="E3243" s="2" t="s">
        <v>15</v>
      </c>
      <c r="F3243" s="2" t="s">
        <v>36</v>
      </c>
      <c r="G3243" s="7">
        <v>20.100000000000001</v>
      </c>
      <c r="H3243" s="7">
        <v>20.100000000000001</v>
      </c>
      <c r="I3243" s="2" t="s">
        <v>16</v>
      </c>
      <c r="J3243" s="2" t="s">
        <v>15</v>
      </c>
      <c r="K3243" s="2" t="s">
        <v>21</v>
      </c>
      <c r="L3243" s="7">
        <v>20.100000000000001</v>
      </c>
      <c r="M3243" s="2" t="str">
        <f>_xlfn.IFS(TelecomData[[#This Row],[TenureMonths]]&lt;=12, "0-1 Year", TelecomData[[#This Row],[TenureMonths]]&lt;=36, "1-3 Years", TelecomData[[#This Row],[TenureMonths]]&gt;36, "3+ Years")</f>
        <v>0-1 Year</v>
      </c>
      <c r="N3243" s="2" t="str">
        <f>IF(TelecomData[[#This Row],[CleanedTotalCharges]]&gt;=2500,"High Spend", "Standard Spend")</f>
        <v>Standard Spend</v>
      </c>
    </row>
    <row r="3244" spans="1:14" x14ac:dyDescent="0.3">
      <c r="A3244" s="1" t="s">
        <v>3268</v>
      </c>
      <c r="B3244" s="2" t="s">
        <v>19</v>
      </c>
      <c r="C3244" s="2" t="s">
        <v>35</v>
      </c>
      <c r="D3244" s="2">
        <v>5</v>
      </c>
      <c r="E3244" s="2" t="s">
        <v>15</v>
      </c>
      <c r="F3244" s="2" t="s">
        <v>36</v>
      </c>
      <c r="G3244" s="7">
        <v>20.45</v>
      </c>
      <c r="H3244" s="7">
        <v>106.9</v>
      </c>
      <c r="I3244" s="2" t="s">
        <v>15</v>
      </c>
      <c r="J3244" s="2" t="s">
        <v>15</v>
      </c>
      <c r="K3244" s="2" t="s">
        <v>21</v>
      </c>
      <c r="L3244" s="7">
        <v>106.9</v>
      </c>
      <c r="M3244" s="2" t="str">
        <f>_xlfn.IFS(TelecomData[[#This Row],[TenureMonths]]&lt;=12, "0-1 Year", TelecomData[[#This Row],[TenureMonths]]&lt;=36, "1-3 Years", TelecomData[[#This Row],[TenureMonths]]&gt;36, "3+ Years")</f>
        <v>0-1 Year</v>
      </c>
      <c r="N3244" s="2" t="str">
        <f>IF(TelecomData[[#This Row],[CleanedTotalCharges]]&gt;=2500,"High Spend", "Standard Spend")</f>
        <v>Standard Spend</v>
      </c>
    </row>
    <row r="3245" spans="1:14" x14ac:dyDescent="0.3">
      <c r="A3245" s="1" t="s">
        <v>3269</v>
      </c>
      <c r="B3245" s="2" t="s">
        <v>12</v>
      </c>
      <c r="C3245" s="2" t="s">
        <v>13</v>
      </c>
      <c r="D3245" s="2">
        <v>19</v>
      </c>
      <c r="E3245" s="2" t="s">
        <v>14</v>
      </c>
      <c r="F3245" s="2" t="s">
        <v>15</v>
      </c>
      <c r="G3245" s="7">
        <v>39.700000000000003</v>
      </c>
      <c r="H3245" s="7">
        <v>710.05</v>
      </c>
      <c r="I3245" s="2" t="s">
        <v>15</v>
      </c>
      <c r="J3245" s="2" t="s">
        <v>16</v>
      </c>
      <c r="K3245" s="2" t="s">
        <v>17</v>
      </c>
      <c r="L3245" s="7">
        <v>710.05</v>
      </c>
      <c r="M3245" s="2" t="str">
        <f>_xlfn.IFS(TelecomData[[#This Row],[TenureMonths]]&lt;=12, "0-1 Year", TelecomData[[#This Row],[TenureMonths]]&lt;=36, "1-3 Years", TelecomData[[#This Row],[TenureMonths]]&gt;36, "3+ Years")</f>
        <v>1-3 Years</v>
      </c>
      <c r="N3245" s="2" t="str">
        <f>IF(TelecomData[[#This Row],[CleanedTotalCharges]]&gt;=2500,"High Spend", "Standard Spend")</f>
        <v>Standard Spend</v>
      </c>
    </row>
    <row r="3246" spans="1:14" x14ac:dyDescent="0.3">
      <c r="A3246" s="1" t="s">
        <v>3270</v>
      </c>
      <c r="B3246" s="2" t="s">
        <v>19</v>
      </c>
      <c r="C3246" s="2" t="s">
        <v>13</v>
      </c>
      <c r="D3246" s="2">
        <v>10</v>
      </c>
      <c r="E3246" s="2" t="s">
        <v>14</v>
      </c>
      <c r="F3246" s="2" t="s">
        <v>15</v>
      </c>
      <c r="G3246" s="7">
        <v>54.5</v>
      </c>
      <c r="H3246" s="7">
        <v>568.20000000000005</v>
      </c>
      <c r="I3246" s="2" t="s">
        <v>15</v>
      </c>
      <c r="J3246" s="2" t="s">
        <v>16</v>
      </c>
      <c r="K3246" s="2" t="s">
        <v>29</v>
      </c>
      <c r="L3246" s="7">
        <v>568.20000000000005</v>
      </c>
      <c r="M3246" s="2" t="str">
        <f>_xlfn.IFS(TelecomData[[#This Row],[TenureMonths]]&lt;=12, "0-1 Year", TelecomData[[#This Row],[TenureMonths]]&lt;=36, "1-3 Years", TelecomData[[#This Row],[TenureMonths]]&gt;36, "3+ Years")</f>
        <v>0-1 Year</v>
      </c>
      <c r="N3246" s="2" t="str">
        <f>IF(TelecomData[[#This Row],[CleanedTotalCharges]]&gt;=2500,"High Spend", "Standard Spend")</f>
        <v>Standard Spend</v>
      </c>
    </row>
    <row r="3247" spans="1:14" x14ac:dyDescent="0.3">
      <c r="A3247" s="1" t="s">
        <v>3271</v>
      </c>
      <c r="B3247" s="2" t="s">
        <v>12</v>
      </c>
      <c r="C3247" s="2" t="s">
        <v>13</v>
      </c>
      <c r="D3247" s="2">
        <v>23</v>
      </c>
      <c r="E3247" s="2" t="s">
        <v>26</v>
      </c>
      <c r="F3247" s="2" t="s">
        <v>16</v>
      </c>
      <c r="G3247" s="7">
        <v>83.8</v>
      </c>
      <c r="H3247" s="7">
        <v>1900.25</v>
      </c>
      <c r="I3247" s="2" t="s">
        <v>16</v>
      </c>
      <c r="J3247" s="2" t="s">
        <v>15</v>
      </c>
      <c r="K3247" s="2" t="s">
        <v>17</v>
      </c>
      <c r="L3247" s="7">
        <v>1900.25</v>
      </c>
      <c r="M3247" s="2" t="str">
        <f>_xlfn.IFS(TelecomData[[#This Row],[TenureMonths]]&lt;=12, "0-1 Year", TelecomData[[#This Row],[TenureMonths]]&lt;=36, "1-3 Years", TelecomData[[#This Row],[TenureMonths]]&gt;36, "3+ Years")</f>
        <v>1-3 Years</v>
      </c>
      <c r="N3247" s="2" t="str">
        <f>IF(TelecomData[[#This Row],[CleanedTotalCharges]]&gt;=2500,"High Spend", "Standard Spend")</f>
        <v>Standard Spend</v>
      </c>
    </row>
    <row r="3248" spans="1:14" x14ac:dyDescent="0.3">
      <c r="A3248" s="1" t="s">
        <v>3272</v>
      </c>
      <c r="B3248" s="2" t="s">
        <v>19</v>
      </c>
      <c r="C3248" s="2" t="s">
        <v>13</v>
      </c>
      <c r="D3248" s="2">
        <v>3</v>
      </c>
      <c r="E3248" s="2" t="s">
        <v>14</v>
      </c>
      <c r="F3248" s="2" t="s">
        <v>15</v>
      </c>
      <c r="G3248" s="7">
        <v>55.15</v>
      </c>
      <c r="H3248" s="7">
        <v>159.15</v>
      </c>
      <c r="I3248" s="2" t="s">
        <v>16</v>
      </c>
      <c r="J3248" s="2" t="s">
        <v>15</v>
      </c>
      <c r="K3248" s="2" t="s">
        <v>21</v>
      </c>
      <c r="L3248" s="7">
        <v>159.15</v>
      </c>
      <c r="M3248" s="2" t="str">
        <f>_xlfn.IFS(TelecomData[[#This Row],[TenureMonths]]&lt;=12, "0-1 Year", TelecomData[[#This Row],[TenureMonths]]&lt;=36, "1-3 Years", TelecomData[[#This Row],[TenureMonths]]&gt;36, "3+ Years")</f>
        <v>0-1 Year</v>
      </c>
      <c r="N3248" s="2" t="str">
        <f>IF(TelecomData[[#This Row],[CleanedTotalCharges]]&gt;=2500,"High Spend", "Standard Spend")</f>
        <v>Standard Spend</v>
      </c>
    </row>
    <row r="3249" spans="1:14" x14ac:dyDescent="0.3">
      <c r="A3249" s="1" t="s">
        <v>3273</v>
      </c>
      <c r="B3249" s="2" t="s">
        <v>12</v>
      </c>
      <c r="C3249" s="2" t="s">
        <v>35</v>
      </c>
      <c r="D3249" s="2">
        <v>72</v>
      </c>
      <c r="E3249" s="2" t="s">
        <v>26</v>
      </c>
      <c r="F3249" s="2" t="s">
        <v>16</v>
      </c>
      <c r="G3249" s="7">
        <v>111.6</v>
      </c>
      <c r="H3249" s="7">
        <v>8012.75</v>
      </c>
      <c r="I3249" s="2" t="s">
        <v>15</v>
      </c>
      <c r="J3249" s="2" t="s">
        <v>16</v>
      </c>
      <c r="K3249" s="2" t="s">
        <v>24</v>
      </c>
      <c r="L3249" s="7">
        <v>8012.75</v>
      </c>
      <c r="M3249" s="2" t="str">
        <f>_xlfn.IFS(TelecomData[[#This Row],[TenureMonths]]&lt;=12, "0-1 Year", TelecomData[[#This Row],[TenureMonths]]&lt;=36, "1-3 Years", TelecomData[[#This Row],[TenureMonths]]&gt;36, "3+ Years")</f>
        <v>3+ Years</v>
      </c>
      <c r="N3249" s="2" t="str">
        <f>IF(TelecomData[[#This Row],[CleanedTotalCharges]]&gt;=2500,"High Spend", "Standard Spend")</f>
        <v>High Spend</v>
      </c>
    </row>
    <row r="3250" spans="1:14" x14ac:dyDescent="0.3">
      <c r="A3250" s="1" t="s">
        <v>3274</v>
      </c>
      <c r="B3250" s="2" t="s">
        <v>19</v>
      </c>
      <c r="C3250" s="2" t="s">
        <v>13</v>
      </c>
      <c r="D3250" s="2">
        <v>10</v>
      </c>
      <c r="E3250" s="2" t="s">
        <v>26</v>
      </c>
      <c r="F3250" s="2" t="s">
        <v>15</v>
      </c>
      <c r="G3250" s="7">
        <v>86.65</v>
      </c>
      <c r="H3250" s="7">
        <v>856.65</v>
      </c>
      <c r="I3250" s="2" t="s">
        <v>16</v>
      </c>
      <c r="J3250" s="2" t="s">
        <v>16</v>
      </c>
      <c r="K3250" s="2" t="s">
        <v>17</v>
      </c>
      <c r="L3250" s="7">
        <v>856.65</v>
      </c>
      <c r="M3250" s="2" t="str">
        <f>_xlfn.IFS(TelecomData[[#This Row],[TenureMonths]]&lt;=12, "0-1 Year", TelecomData[[#This Row],[TenureMonths]]&lt;=36, "1-3 Years", TelecomData[[#This Row],[TenureMonths]]&gt;36, "3+ Years")</f>
        <v>0-1 Year</v>
      </c>
      <c r="N3250" s="2" t="str">
        <f>IF(TelecomData[[#This Row],[CleanedTotalCharges]]&gt;=2500,"High Spend", "Standard Spend")</f>
        <v>Standard Spend</v>
      </c>
    </row>
    <row r="3251" spans="1:14" x14ac:dyDescent="0.3">
      <c r="A3251" s="1" t="s">
        <v>3275</v>
      </c>
      <c r="B3251" s="2" t="s">
        <v>12</v>
      </c>
      <c r="C3251" s="2" t="s">
        <v>13</v>
      </c>
      <c r="D3251" s="2">
        <v>10</v>
      </c>
      <c r="E3251" s="2" t="s">
        <v>14</v>
      </c>
      <c r="F3251" s="2" t="s">
        <v>15</v>
      </c>
      <c r="G3251" s="7">
        <v>55.55</v>
      </c>
      <c r="H3251" s="7">
        <v>551.29999999999995</v>
      </c>
      <c r="I3251" s="2" t="s">
        <v>15</v>
      </c>
      <c r="J3251" s="2" t="s">
        <v>16</v>
      </c>
      <c r="K3251" s="2" t="s">
        <v>21</v>
      </c>
      <c r="L3251" s="7">
        <v>551.29999999999995</v>
      </c>
      <c r="M3251" s="2" t="str">
        <f>_xlfn.IFS(TelecomData[[#This Row],[TenureMonths]]&lt;=12, "0-1 Year", TelecomData[[#This Row],[TenureMonths]]&lt;=36, "1-3 Years", TelecomData[[#This Row],[TenureMonths]]&gt;36, "3+ Years")</f>
        <v>0-1 Year</v>
      </c>
      <c r="N3251" s="2" t="str">
        <f>IF(TelecomData[[#This Row],[CleanedTotalCharges]]&gt;=2500,"High Spend", "Standard Spend")</f>
        <v>Standard Spend</v>
      </c>
    </row>
    <row r="3252" spans="1:14" x14ac:dyDescent="0.3">
      <c r="A3252" s="1" t="s">
        <v>3276</v>
      </c>
      <c r="B3252" s="2" t="s">
        <v>19</v>
      </c>
      <c r="C3252" s="2" t="s">
        <v>20</v>
      </c>
      <c r="D3252" s="2">
        <v>11</v>
      </c>
      <c r="E3252" s="2" t="s">
        <v>15</v>
      </c>
      <c r="F3252" s="2" t="s">
        <v>36</v>
      </c>
      <c r="G3252" s="7">
        <v>20.55</v>
      </c>
      <c r="H3252" s="7">
        <v>184.95</v>
      </c>
      <c r="I3252" s="2" t="s">
        <v>15</v>
      </c>
      <c r="J3252" s="2" t="s">
        <v>16</v>
      </c>
      <c r="K3252" s="2" t="s">
        <v>21</v>
      </c>
      <c r="L3252" s="7">
        <v>184.95</v>
      </c>
      <c r="M3252" s="2" t="str">
        <f>_xlfn.IFS(TelecomData[[#This Row],[TenureMonths]]&lt;=12, "0-1 Year", TelecomData[[#This Row],[TenureMonths]]&lt;=36, "1-3 Years", TelecomData[[#This Row],[TenureMonths]]&gt;36, "3+ Years")</f>
        <v>0-1 Year</v>
      </c>
      <c r="N3252" s="2" t="str">
        <f>IF(TelecomData[[#This Row],[CleanedTotalCharges]]&gt;=2500,"High Spend", "Standard Spend")</f>
        <v>Standard Spend</v>
      </c>
    </row>
    <row r="3253" spans="1:14" x14ac:dyDescent="0.3">
      <c r="A3253" s="1" t="s">
        <v>3277</v>
      </c>
      <c r="B3253" s="2" t="s">
        <v>12</v>
      </c>
      <c r="C3253" s="2" t="s">
        <v>13</v>
      </c>
      <c r="D3253" s="2">
        <v>37</v>
      </c>
      <c r="E3253" s="2" t="s">
        <v>26</v>
      </c>
      <c r="F3253" s="2" t="s">
        <v>15</v>
      </c>
      <c r="G3253" s="7">
        <v>106.75</v>
      </c>
      <c r="H3253" s="7">
        <v>4056.75</v>
      </c>
      <c r="I3253" s="2" t="s">
        <v>16</v>
      </c>
      <c r="J3253" s="2" t="s">
        <v>16</v>
      </c>
      <c r="K3253" s="2" t="s">
        <v>24</v>
      </c>
      <c r="L3253" s="7">
        <v>4056.75</v>
      </c>
      <c r="M3253" s="2" t="str">
        <f>_xlfn.IFS(TelecomData[[#This Row],[TenureMonths]]&lt;=12, "0-1 Year", TelecomData[[#This Row],[TenureMonths]]&lt;=36, "1-3 Years", TelecomData[[#This Row],[TenureMonths]]&gt;36, "3+ Years")</f>
        <v>3+ Years</v>
      </c>
      <c r="N3253" s="2" t="str">
        <f>IF(TelecomData[[#This Row],[CleanedTotalCharges]]&gt;=2500,"High Spend", "Standard Spend")</f>
        <v>High Spend</v>
      </c>
    </row>
    <row r="3254" spans="1:14" x14ac:dyDescent="0.3">
      <c r="A3254" s="1" t="s">
        <v>3278</v>
      </c>
      <c r="B3254" s="2" t="s">
        <v>19</v>
      </c>
      <c r="C3254" s="2" t="s">
        <v>20</v>
      </c>
      <c r="D3254" s="2">
        <v>17</v>
      </c>
      <c r="E3254" s="2" t="s">
        <v>14</v>
      </c>
      <c r="F3254" s="2" t="s">
        <v>16</v>
      </c>
      <c r="G3254" s="7">
        <v>62.1</v>
      </c>
      <c r="H3254" s="7">
        <v>1096.6500000000001</v>
      </c>
      <c r="I3254" s="2" t="s">
        <v>15</v>
      </c>
      <c r="J3254" s="2" t="s">
        <v>16</v>
      </c>
      <c r="K3254" s="2" t="s">
        <v>21</v>
      </c>
      <c r="L3254" s="7">
        <v>1096.6500000000001</v>
      </c>
      <c r="M3254" s="2" t="str">
        <f>_xlfn.IFS(TelecomData[[#This Row],[TenureMonths]]&lt;=12, "0-1 Year", TelecomData[[#This Row],[TenureMonths]]&lt;=36, "1-3 Years", TelecomData[[#This Row],[TenureMonths]]&gt;36, "3+ Years")</f>
        <v>1-3 Years</v>
      </c>
      <c r="N3254" s="2" t="str">
        <f>IF(TelecomData[[#This Row],[CleanedTotalCharges]]&gt;=2500,"High Spend", "Standard Spend")</f>
        <v>Standard Spend</v>
      </c>
    </row>
    <row r="3255" spans="1:14" x14ac:dyDescent="0.3">
      <c r="A3255" s="1" t="s">
        <v>3279</v>
      </c>
      <c r="B3255" s="2" t="s">
        <v>12</v>
      </c>
      <c r="C3255" s="2" t="s">
        <v>13</v>
      </c>
      <c r="D3255" s="2">
        <v>36</v>
      </c>
      <c r="E3255" s="2" t="s">
        <v>26</v>
      </c>
      <c r="F3255" s="2" t="s">
        <v>15</v>
      </c>
      <c r="G3255" s="7">
        <v>104.5</v>
      </c>
      <c r="H3255" s="7">
        <v>3684.95</v>
      </c>
      <c r="I3255" s="2" t="s">
        <v>15</v>
      </c>
      <c r="J3255" s="2" t="s">
        <v>16</v>
      </c>
      <c r="K3255" s="2" t="s">
        <v>29</v>
      </c>
      <c r="L3255" s="7">
        <v>3684.95</v>
      </c>
      <c r="M3255" s="2" t="str">
        <f>_xlfn.IFS(TelecomData[[#This Row],[TenureMonths]]&lt;=12, "0-1 Year", TelecomData[[#This Row],[TenureMonths]]&lt;=36, "1-3 Years", TelecomData[[#This Row],[TenureMonths]]&gt;36, "3+ Years")</f>
        <v>1-3 Years</v>
      </c>
      <c r="N3255" s="2" t="str">
        <f>IF(TelecomData[[#This Row],[CleanedTotalCharges]]&gt;=2500,"High Spend", "Standard Spend")</f>
        <v>High Spend</v>
      </c>
    </row>
    <row r="3256" spans="1:14" x14ac:dyDescent="0.3">
      <c r="A3256" s="1" t="s">
        <v>3280</v>
      </c>
      <c r="B3256" s="2" t="s">
        <v>19</v>
      </c>
      <c r="C3256" s="2" t="s">
        <v>13</v>
      </c>
      <c r="D3256" s="2">
        <v>17</v>
      </c>
      <c r="E3256" s="2" t="s">
        <v>26</v>
      </c>
      <c r="F3256" s="2" t="s">
        <v>15</v>
      </c>
      <c r="G3256" s="7">
        <v>101.8</v>
      </c>
      <c r="H3256" s="7">
        <v>1752.45</v>
      </c>
      <c r="I3256" s="2" t="s">
        <v>15</v>
      </c>
      <c r="J3256" s="2" t="s">
        <v>16</v>
      </c>
      <c r="K3256" s="2" t="s">
        <v>17</v>
      </c>
      <c r="L3256" s="7">
        <v>1752.45</v>
      </c>
      <c r="M3256" s="2" t="str">
        <f>_xlfn.IFS(TelecomData[[#This Row],[TenureMonths]]&lt;=12, "0-1 Year", TelecomData[[#This Row],[TenureMonths]]&lt;=36, "1-3 Years", TelecomData[[#This Row],[TenureMonths]]&gt;36, "3+ Years")</f>
        <v>1-3 Years</v>
      </c>
      <c r="N3256" s="2" t="str">
        <f>IF(TelecomData[[#This Row],[CleanedTotalCharges]]&gt;=2500,"High Spend", "Standard Spend")</f>
        <v>Standard Spend</v>
      </c>
    </row>
    <row r="3257" spans="1:14" x14ac:dyDescent="0.3">
      <c r="A3257" s="1" t="s">
        <v>3281</v>
      </c>
      <c r="B3257" s="2" t="s">
        <v>12</v>
      </c>
      <c r="C3257" s="2" t="s">
        <v>20</v>
      </c>
      <c r="D3257" s="2">
        <v>66</v>
      </c>
      <c r="E3257" s="2" t="s">
        <v>26</v>
      </c>
      <c r="F3257" s="2" t="s">
        <v>16</v>
      </c>
      <c r="G3257" s="7">
        <v>110.6</v>
      </c>
      <c r="H3257" s="7">
        <v>7210.85</v>
      </c>
      <c r="I3257" s="2" t="s">
        <v>15</v>
      </c>
      <c r="J3257" s="2" t="s">
        <v>16</v>
      </c>
      <c r="K3257" s="2" t="s">
        <v>29</v>
      </c>
      <c r="L3257" s="7">
        <v>7210.85</v>
      </c>
      <c r="M3257" s="2" t="str">
        <f>_xlfn.IFS(TelecomData[[#This Row],[TenureMonths]]&lt;=12, "0-1 Year", TelecomData[[#This Row],[TenureMonths]]&lt;=36, "1-3 Years", TelecomData[[#This Row],[TenureMonths]]&gt;36, "3+ Years")</f>
        <v>3+ Years</v>
      </c>
      <c r="N3257" s="2" t="str">
        <f>IF(TelecomData[[#This Row],[CleanedTotalCharges]]&gt;=2500,"High Spend", "Standard Spend")</f>
        <v>High Spend</v>
      </c>
    </row>
    <row r="3258" spans="1:14" x14ac:dyDescent="0.3">
      <c r="A3258" s="1" t="s">
        <v>3282</v>
      </c>
      <c r="B3258" s="2" t="s">
        <v>19</v>
      </c>
      <c r="C3258" s="2" t="s">
        <v>20</v>
      </c>
      <c r="D3258" s="2">
        <v>61</v>
      </c>
      <c r="E3258" s="2" t="s">
        <v>14</v>
      </c>
      <c r="F3258" s="2" t="s">
        <v>16</v>
      </c>
      <c r="G3258" s="7">
        <v>84.9</v>
      </c>
      <c r="H3258" s="7">
        <v>5264.5</v>
      </c>
      <c r="I3258" s="2" t="s">
        <v>15</v>
      </c>
      <c r="J3258" s="2" t="s">
        <v>15</v>
      </c>
      <c r="K3258" s="2" t="s">
        <v>24</v>
      </c>
      <c r="L3258" s="7">
        <v>5264.5</v>
      </c>
      <c r="M3258" s="2" t="str">
        <f>_xlfn.IFS(TelecomData[[#This Row],[TenureMonths]]&lt;=12, "0-1 Year", TelecomData[[#This Row],[TenureMonths]]&lt;=36, "1-3 Years", TelecomData[[#This Row],[TenureMonths]]&gt;36, "3+ Years")</f>
        <v>3+ Years</v>
      </c>
      <c r="N3258" s="2" t="str">
        <f>IF(TelecomData[[#This Row],[CleanedTotalCharges]]&gt;=2500,"High Spend", "Standard Spend")</f>
        <v>High Spend</v>
      </c>
    </row>
    <row r="3259" spans="1:14" x14ac:dyDescent="0.3">
      <c r="A3259" s="1" t="s">
        <v>3283</v>
      </c>
      <c r="B3259" s="2" t="s">
        <v>19</v>
      </c>
      <c r="C3259" s="2" t="s">
        <v>13</v>
      </c>
      <c r="D3259" s="2">
        <v>22</v>
      </c>
      <c r="E3259" s="2" t="s">
        <v>26</v>
      </c>
      <c r="F3259" s="2" t="s">
        <v>15</v>
      </c>
      <c r="G3259" s="7">
        <v>93.2</v>
      </c>
      <c r="H3259" s="7">
        <v>2157.3000000000002</v>
      </c>
      <c r="I3259" s="2" t="s">
        <v>15</v>
      </c>
      <c r="J3259" s="2" t="s">
        <v>16</v>
      </c>
      <c r="K3259" s="2" t="s">
        <v>21</v>
      </c>
      <c r="L3259" s="7">
        <v>2157.3000000000002</v>
      </c>
      <c r="M3259" s="2" t="str">
        <f>_xlfn.IFS(TelecomData[[#This Row],[TenureMonths]]&lt;=12, "0-1 Year", TelecomData[[#This Row],[TenureMonths]]&lt;=36, "1-3 Years", TelecomData[[#This Row],[TenureMonths]]&gt;36, "3+ Years")</f>
        <v>1-3 Years</v>
      </c>
      <c r="N3259" s="2" t="str">
        <f>IF(TelecomData[[#This Row],[CleanedTotalCharges]]&gt;=2500,"High Spend", "Standard Spend")</f>
        <v>Standard Spend</v>
      </c>
    </row>
    <row r="3260" spans="1:14" x14ac:dyDescent="0.3">
      <c r="A3260" s="1" t="s">
        <v>3284</v>
      </c>
      <c r="B3260" s="2" t="s">
        <v>19</v>
      </c>
      <c r="C3260" s="2" t="s">
        <v>13</v>
      </c>
      <c r="D3260" s="2">
        <v>1</v>
      </c>
      <c r="E3260" s="2" t="s">
        <v>14</v>
      </c>
      <c r="F3260" s="2" t="s">
        <v>15</v>
      </c>
      <c r="G3260" s="7">
        <v>24.4</v>
      </c>
      <c r="H3260" s="7">
        <v>24.4</v>
      </c>
      <c r="I3260" s="2" t="s">
        <v>15</v>
      </c>
      <c r="J3260" s="2" t="s">
        <v>16</v>
      </c>
      <c r="K3260" s="2" t="s">
        <v>17</v>
      </c>
      <c r="L3260" s="7">
        <v>24.4</v>
      </c>
      <c r="M3260" s="2" t="str">
        <f>_xlfn.IFS(TelecomData[[#This Row],[TenureMonths]]&lt;=12, "0-1 Year", TelecomData[[#This Row],[TenureMonths]]&lt;=36, "1-3 Years", TelecomData[[#This Row],[TenureMonths]]&gt;36, "3+ Years")</f>
        <v>0-1 Year</v>
      </c>
      <c r="N3260" s="2" t="str">
        <f>IF(TelecomData[[#This Row],[CleanedTotalCharges]]&gt;=2500,"High Spend", "Standard Spend")</f>
        <v>Standard Spend</v>
      </c>
    </row>
    <row r="3261" spans="1:14" x14ac:dyDescent="0.3">
      <c r="A3261" s="1" t="s">
        <v>3285</v>
      </c>
      <c r="B3261" s="2" t="s">
        <v>12</v>
      </c>
      <c r="C3261" s="2" t="s">
        <v>13</v>
      </c>
      <c r="D3261" s="2">
        <v>6</v>
      </c>
      <c r="E3261" s="2" t="s">
        <v>26</v>
      </c>
      <c r="F3261" s="2" t="s">
        <v>15</v>
      </c>
      <c r="G3261" s="7">
        <v>70.55</v>
      </c>
      <c r="H3261" s="7">
        <v>433.95</v>
      </c>
      <c r="I3261" s="2" t="s">
        <v>15</v>
      </c>
      <c r="J3261" s="2" t="s">
        <v>15</v>
      </c>
      <c r="K3261" s="2" t="s">
        <v>29</v>
      </c>
      <c r="L3261" s="7">
        <v>433.95</v>
      </c>
      <c r="M3261" s="2" t="str">
        <f>_xlfn.IFS(TelecomData[[#This Row],[TenureMonths]]&lt;=12, "0-1 Year", TelecomData[[#This Row],[TenureMonths]]&lt;=36, "1-3 Years", TelecomData[[#This Row],[TenureMonths]]&gt;36, "3+ Years")</f>
        <v>0-1 Year</v>
      </c>
      <c r="N3261" s="2" t="str">
        <f>IF(TelecomData[[#This Row],[CleanedTotalCharges]]&gt;=2500,"High Spend", "Standard Spend")</f>
        <v>Standard Spend</v>
      </c>
    </row>
    <row r="3262" spans="1:14" x14ac:dyDescent="0.3">
      <c r="A3262" s="1" t="s">
        <v>3286</v>
      </c>
      <c r="B3262" s="2" t="s">
        <v>19</v>
      </c>
      <c r="C3262" s="2" t="s">
        <v>13</v>
      </c>
      <c r="D3262" s="2">
        <v>31</v>
      </c>
      <c r="E3262" s="2" t="s">
        <v>26</v>
      </c>
      <c r="F3262" s="2" t="s">
        <v>16</v>
      </c>
      <c r="G3262" s="7">
        <v>78.45</v>
      </c>
      <c r="H3262" s="7">
        <v>2435.15</v>
      </c>
      <c r="I3262" s="2" t="s">
        <v>16</v>
      </c>
      <c r="J3262" s="2" t="s">
        <v>16</v>
      </c>
      <c r="K3262" s="2" t="s">
        <v>17</v>
      </c>
      <c r="L3262" s="7">
        <v>2435.15</v>
      </c>
      <c r="M3262" s="2" t="str">
        <f>_xlfn.IFS(TelecomData[[#This Row],[TenureMonths]]&lt;=12, "0-1 Year", TelecomData[[#This Row],[TenureMonths]]&lt;=36, "1-3 Years", TelecomData[[#This Row],[TenureMonths]]&gt;36, "3+ Years")</f>
        <v>1-3 Years</v>
      </c>
      <c r="N3262" s="2" t="str">
        <f>IF(TelecomData[[#This Row],[CleanedTotalCharges]]&gt;=2500,"High Spend", "Standard Spend")</f>
        <v>Standard Spend</v>
      </c>
    </row>
    <row r="3263" spans="1:14" x14ac:dyDescent="0.3">
      <c r="A3263" s="1" t="s">
        <v>3287</v>
      </c>
      <c r="B3263" s="2" t="s">
        <v>12</v>
      </c>
      <c r="C3263" s="2" t="s">
        <v>35</v>
      </c>
      <c r="D3263" s="2">
        <v>68</v>
      </c>
      <c r="E3263" s="2" t="s">
        <v>14</v>
      </c>
      <c r="F3263" s="2" t="s">
        <v>16</v>
      </c>
      <c r="G3263" s="7">
        <v>85</v>
      </c>
      <c r="H3263" s="7">
        <v>5607.75</v>
      </c>
      <c r="I3263" s="2" t="s">
        <v>15</v>
      </c>
      <c r="J3263" s="2" t="s">
        <v>16</v>
      </c>
      <c r="K3263" s="2" t="s">
        <v>29</v>
      </c>
      <c r="L3263" s="7">
        <v>5607.75</v>
      </c>
      <c r="M3263" s="2" t="str">
        <f>_xlfn.IFS(TelecomData[[#This Row],[TenureMonths]]&lt;=12, "0-1 Year", TelecomData[[#This Row],[TenureMonths]]&lt;=36, "1-3 Years", TelecomData[[#This Row],[TenureMonths]]&gt;36, "3+ Years")</f>
        <v>3+ Years</v>
      </c>
      <c r="N3263" s="2" t="str">
        <f>IF(TelecomData[[#This Row],[CleanedTotalCharges]]&gt;=2500,"High Spend", "Standard Spend")</f>
        <v>High Spend</v>
      </c>
    </row>
    <row r="3264" spans="1:14" x14ac:dyDescent="0.3">
      <c r="A3264" s="1" t="s">
        <v>3288</v>
      </c>
      <c r="B3264" s="2" t="s">
        <v>12</v>
      </c>
      <c r="C3264" s="2" t="s">
        <v>13</v>
      </c>
      <c r="D3264" s="2">
        <v>34</v>
      </c>
      <c r="E3264" s="2" t="s">
        <v>26</v>
      </c>
      <c r="F3264" s="2" t="s">
        <v>15</v>
      </c>
      <c r="G3264" s="7">
        <v>87.45</v>
      </c>
      <c r="H3264" s="7">
        <v>2874.15</v>
      </c>
      <c r="I3264" s="2" t="s">
        <v>16</v>
      </c>
      <c r="J3264" s="2" t="s">
        <v>15</v>
      </c>
      <c r="K3264" s="2" t="s">
        <v>17</v>
      </c>
      <c r="L3264" s="7">
        <v>2874.15</v>
      </c>
      <c r="M3264" s="2" t="str">
        <f>_xlfn.IFS(TelecomData[[#This Row],[TenureMonths]]&lt;=12, "0-1 Year", TelecomData[[#This Row],[TenureMonths]]&lt;=36, "1-3 Years", TelecomData[[#This Row],[TenureMonths]]&gt;36, "3+ Years")</f>
        <v>1-3 Years</v>
      </c>
      <c r="N3264" s="2" t="str">
        <f>IF(TelecomData[[#This Row],[CleanedTotalCharges]]&gt;=2500,"High Spend", "Standard Spend")</f>
        <v>High Spend</v>
      </c>
    </row>
    <row r="3265" spans="1:14" x14ac:dyDescent="0.3">
      <c r="A3265" s="1" t="s">
        <v>3289</v>
      </c>
      <c r="B3265" s="2" t="s">
        <v>12</v>
      </c>
      <c r="C3265" s="2" t="s">
        <v>13</v>
      </c>
      <c r="D3265" s="2">
        <v>52</v>
      </c>
      <c r="E3265" s="2" t="s">
        <v>26</v>
      </c>
      <c r="F3265" s="2" t="s">
        <v>16</v>
      </c>
      <c r="G3265" s="7">
        <v>85.8</v>
      </c>
      <c r="H3265" s="7">
        <v>4433.3</v>
      </c>
      <c r="I3265" s="2" t="s">
        <v>15</v>
      </c>
      <c r="J3265" s="2" t="s">
        <v>15</v>
      </c>
      <c r="K3265" s="2" t="s">
        <v>24</v>
      </c>
      <c r="L3265" s="7">
        <v>4433.3</v>
      </c>
      <c r="M3265" s="2" t="str">
        <f>_xlfn.IFS(TelecomData[[#This Row],[TenureMonths]]&lt;=12, "0-1 Year", TelecomData[[#This Row],[TenureMonths]]&lt;=36, "1-3 Years", TelecomData[[#This Row],[TenureMonths]]&gt;36, "3+ Years")</f>
        <v>3+ Years</v>
      </c>
      <c r="N3265" s="2" t="str">
        <f>IF(TelecomData[[#This Row],[CleanedTotalCharges]]&gt;=2500,"High Spend", "Standard Spend")</f>
        <v>High Spend</v>
      </c>
    </row>
    <row r="3266" spans="1:14" x14ac:dyDescent="0.3">
      <c r="A3266" s="1" t="s">
        <v>3290</v>
      </c>
      <c r="B3266" s="2" t="s">
        <v>12</v>
      </c>
      <c r="C3266" s="2" t="s">
        <v>13</v>
      </c>
      <c r="D3266" s="2">
        <v>10</v>
      </c>
      <c r="E3266" s="2" t="s">
        <v>26</v>
      </c>
      <c r="F3266" s="2" t="s">
        <v>16</v>
      </c>
      <c r="G3266" s="7">
        <v>91.1</v>
      </c>
      <c r="H3266" s="7">
        <v>964.35</v>
      </c>
      <c r="I3266" s="2" t="s">
        <v>15</v>
      </c>
      <c r="J3266" s="2" t="s">
        <v>16</v>
      </c>
      <c r="K3266" s="2" t="s">
        <v>17</v>
      </c>
      <c r="L3266" s="7">
        <v>964.35</v>
      </c>
      <c r="M3266" s="2" t="str">
        <f>_xlfn.IFS(TelecomData[[#This Row],[TenureMonths]]&lt;=12, "0-1 Year", TelecomData[[#This Row],[TenureMonths]]&lt;=36, "1-3 Years", TelecomData[[#This Row],[TenureMonths]]&gt;36, "3+ Years")</f>
        <v>0-1 Year</v>
      </c>
      <c r="N3266" s="2" t="str">
        <f>IF(TelecomData[[#This Row],[CleanedTotalCharges]]&gt;=2500,"High Spend", "Standard Spend")</f>
        <v>Standard Spend</v>
      </c>
    </row>
    <row r="3267" spans="1:14" x14ac:dyDescent="0.3">
      <c r="A3267" s="1" t="s">
        <v>3291</v>
      </c>
      <c r="B3267" s="2" t="s">
        <v>19</v>
      </c>
      <c r="C3267" s="2" t="s">
        <v>13</v>
      </c>
      <c r="D3267" s="2">
        <v>29</v>
      </c>
      <c r="E3267" s="2" t="s">
        <v>26</v>
      </c>
      <c r="F3267" s="2" t="s">
        <v>15</v>
      </c>
      <c r="G3267" s="7">
        <v>70.75</v>
      </c>
      <c r="H3267" s="7">
        <v>1974.8</v>
      </c>
      <c r="I3267" s="2" t="s">
        <v>16</v>
      </c>
      <c r="J3267" s="2" t="s">
        <v>16</v>
      </c>
      <c r="K3267" s="2" t="s">
        <v>17</v>
      </c>
      <c r="L3267" s="7">
        <v>1974.8</v>
      </c>
      <c r="M3267" s="2" t="str">
        <f>_xlfn.IFS(TelecomData[[#This Row],[TenureMonths]]&lt;=12, "0-1 Year", TelecomData[[#This Row],[TenureMonths]]&lt;=36, "1-3 Years", TelecomData[[#This Row],[TenureMonths]]&gt;36, "3+ Years")</f>
        <v>1-3 Years</v>
      </c>
      <c r="N3267" s="2" t="str">
        <f>IF(TelecomData[[#This Row],[CleanedTotalCharges]]&gt;=2500,"High Spend", "Standard Spend")</f>
        <v>Standard Spend</v>
      </c>
    </row>
    <row r="3268" spans="1:14" x14ac:dyDescent="0.3">
      <c r="A3268" s="1" t="s">
        <v>3292</v>
      </c>
      <c r="B3268" s="2" t="s">
        <v>12</v>
      </c>
      <c r="C3268" s="2" t="s">
        <v>35</v>
      </c>
      <c r="D3268" s="2">
        <v>72</v>
      </c>
      <c r="E3268" s="2" t="s">
        <v>15</v>
      </c>
      <c r="F3268" s="2" t="s">
        <v>36</v>
      </c>
      <c r="G3268" s="7">
        <v>20.100000000000001</v>
      </c>
      <c r="H3268" s="7">
        <v>1460.85</v>
      </c>
      <c r="I3268" s="2" t="s">
        <v>15</v>
      </c>
      <c r="J3268" s="2" t="s">
        <v>15</v>
      </c>
      <c r="K3268" s="2" t="s">
        <v>24</v>
      </c>
      <c r="L3268" s="7">
        <v>1460.85</v>
      </c>
      <c r="M3268" s="2" t="str">
        <f>_xlfn.IFS(TelecomData[[#This Row],[TenureMonths]]&lt;=12, "0-1 Year", TelecomData[[#This Row],[TenureMonths]]&lt;=36, "1-3 Years", TelecomData[[#This Row],[TenureMonths]]&gt;36, "3+ Years")</f>
        <v>3+ Years</v>
      </c>
      <c r="N3268" s="2" t="str">
        <f>IF(TelecomData[[#This Row],[CleanedTotalCharges]]&gt;=2500,"High Spend", "Standard Spend")</f>
        <v>Standard Spend</v>
      </c>
    </row>
    <row r="3269" spans="1:14" x14ac:dyDescent="0.3">
      <c r="A3269" s="1" t="s">
        <v>3293</v>
      </c>
      <c r="B3269" s="2" t="s">
        <v>19</v>
      </c>
      <c r="C3269" s="2" t="s">
        <v>20</v>
      </c>
      <c r="D3269" s="2">
        <v>47</v>
      </c>
      <c r="E3269" s="2" t="s">
        <v>15</v>
      </c>
      <c r="F3269" s="2" t="s">
        <v>36</v>
      </c>
      <c r="G3269" s="7">
        <v>20.05</v>
      </c>
      <c r="H3269" s="7">
        <v>951.55</v>
      </c>
      <c r="I3269" s="2" t="s">
        <v>15</v>
      </c>
      <c r="J3269" s="2" t="s">
        <v>15</v>
      </c>
      <c r="K3269" s="2" t="s">
        <v>21</v>
      </c>
      <c r="L3269" s="7">
        <v>951.55</v>
      </c>
      <c r="M3269" s="2" t="str">
        <f>_xlfn.IFS(TelecomData[[#This Row],[TenureMonths]]&lt;=12, "0-1 Year", TelecomData[[#This Row],[TenureMonths]]&lt;=36, "1-3 Years", TelecomData[[#This Row],[TenureMonths]]&gt;36, "3+ Years")</f>
        <v>3+ Years</v>
      </c>
      <c r="N3269" s="2" t="str">
        <f>IF(TelecomData[[#This Row],[CleanedTotalCharges]]&gt;=2500,"High Spend", "Standard Spend")</f>
        <v>Standard Spend</v>
      </c>
    </row>
    <row r="3270" spans="1:14" x14ac:dyDescent="0.3">
      <c r="A3270" s="1" t="s">
        <v>3294</v>
      </c>
      <c r="B3270" s="2" t="s">
        <v>19</v>
      </c>
      <c r="C3270" s="2" t="s">
        <v>20</v>
      </c>
      <c r="D3270" s="2">
        <v>24</v>
      </c>
      <c r="E3270" s="2" t="s">
        <v>14</v>
      </c>
      <c r="F3270" s="2" t="s">
        <v>15</v>
      </c>
      <c r="G3270" s="7">
        <v>74.8</v>
      </c>
      <c r="H3270" s="7">
        <v>1821.2</v>
      </c>
      <c r="I3270" s="2" t="s">
        <v>15</v>
      </c>
      <c r="J3270" s="2" t="s">
        <v>15</v>
      </c>
      <c r="K3270" s="2" t="s">
        <v>21</v>
      </c>
      <c r="L3270" s="7">
        <v>1821.2</v>
      </c>
      <c r="M3270" s="2" t="str">
        <f>_xlfn.IFS(TelecomData[[#This Row],[TenureMonths]]&lt;=12, "0-1 Year", TelecomData[[#This Row],[TenureMonths]]&lt;=36, "1-3 Years", TelecomData[[#This Row],[TenureMonths]]&gt;36, "3+ Years")</f>
        <v>1-3 Years</v>
      </c>
      <c r="N3270" s="2" t="str">
        <f>IF(TelecomData[[#This Row],[CleanedTotalCharges]]&gt;=2500,"High Spend", "Standard Spend")</f>
        <v>Standard Spend</v>
      </c>
    </row>
    <row r="3271" spans="1:14" x14ac:dyDescent="0.3">
      <c r="A3271" s="1" t="s">
        <v>3295</v>
      </c>
      <c r="B3271" s="2" t="s">
        <v>19</v>
      </c>
      <c r="C3271" s="2" t="s">
        <v>20</v>
      </c>
      <c r="D3271" s="2">
        <v>65</v>
      </c>
      <c r="E3271" s="2" t="s">
        <v>15</v>
      </c>
      <c r="F3271" s="2" t="s">
        <v>36</v>
      </c>
      <c r="G3271" s="7">
        <v>24.8</v>
      </c>
      <c r="H3271" s="7">
        <v>1600.95</v>
      </c>
      <c r="I3271" s="2" t="s">
        <v>15</v>
      </c>
      <c r="J3271" s="2" t="s">
        <v>15</v>
      </c>
      <c r="K3271" s="2" t="s">
        <v>29</v>
      </c>
      <c r="L3271" s="7">
        <v>1600.95</v>
      </c>
      <c r="M3271" s="2" t="str">
        <f>_xlfn.IFS(TelecomData[[#This Row],[TenureMonths]]&lt;=12, "0-1 Year", TelecomData[[#This Row],[TenureMonths]]&lt;=36, "1-3 Years", TelecomData[[#This Row],[TenureMonths]]&gt;36, "3+ Years")</f>
        <v>3+ Years</v>
      </c>
      <c r="N3271" s="2" t="str">
        <f>IF(TelecomData[[#This Row],[CleanedTotalCharges]]&gt;=2500,"High Spend", "Standard Spend")</f>
        <v>Standard Spend</v>
      </c>
    </row>
    <row r="3272" spans="1:14" x14ac:dyDescent="0.3">
      <c r="A3272" s="1" t="s">
        <v>3296</v>
      </c>
      <c r="B3272" s="2" t="s">
        <v>12</v>
      </c>
      <c r="C3272" s="2" t="s">
        <v>13</v>
      </c>
      <c r="D3272" s="2">
        <v>4</v>
      </c>
      <c r="E3272" s="2" t="s">
        <v>26</v>
      </c>
      <c r="F3272" s="2" t="s">
        <v>16</v>
      </c>
      <c r="G3272" s="7">
        <v>100.85</v>
      </c>
      <c r="H3272" s="7">
        <v>399.25</v>
      </c>
      <c r="I3272" s="2" t="s">
        <v>15</v>
      </c>
      <c r="J3272" s="2" t="s">
        <v>16</v>
      </c>
      <c r="K3272" s="2" t="s">
        <v>21</v>
      </c>
      <c r="L3272" s="7">
        <v>399.25</v>
      </c>
      <c r="M3272" s="2" t="str">
        <f>_xlfn.IFS(TelecomData[[#This Row],[TenureMonths]]&lt;=12, "0-1 Year", TelecomData[[#This Row],[TenureMonths]]&lt;=36, "1-3 Years", TelecomData[[#This Row],[TenureMonths]]&gt;36, "3+ Years")</f>
        <v>0-1 Year</v>
      </c>
      <c r="N3272" s="2" t="str">
        <f>IF(TelecomData[[#This Row],[CleanedTotalCharges]]&gt;=2500,"High Spend", "Standard Spend")</f>
        <v>Standard Spend</v>
      </c>
    </row>
    <row r="3273" spans="1:14" x14ac:dyDescent="0.3">
      <c r="A3273" s="1" t="s">
        <v>3297</v>
      </c>
      <c r="B3273" s="2" t="s">
        <v>19</v>
      </c>
      <c r="C3273" s="2" t="s">
        <v>13</v>
      </c>
      <c r="D3273" s="2">
        <v>12</v>
      </c>
      <c r="E3273" s="2" t="s">
        <v>26</v>
      </c>
      <c r="F3273" s="2" t="s">
        <v>15</v>
      </c>
      <c r="G3273" s="7">
        <v>101.35</v>
      </c>
      <c r="H3273" s="7">
        <v>1218.55</v>
      </c>
      <c r="I3273" s="2" t="s">
        <v>16</v>
      </c>
      <c r="J3273" s="2" t="s">
        <v>16</v>
      </c>
      <c r="K3273" s="2" t="s">
        <v>17</v>
      </c>
      <c r="L3273" s="7">
        <v>1218.55</v>
      </c>
      <c r="M3273" s="2" t="str">
        <f>_xlfn.IFS(TelecomData[[#This Row],[TenureMonths]]&lt;=12, "0-1 Year", TelecomData[[#This Row],[TenureMonths]]&lt;=36, "1-3 Years", TelecomData[[#This Row],[TenureMonths]]&gt;36, "3+ Years")</f>
        <v>0-1 Year</v>
      </c>
      <c r="N3273" s="2" t="str">
        <f>IF(TelecomData[[#This Row],[CleanedTotalCharges]]&gt;=2500,"High Spend", "Standard Spend")</f>
        <v>Standard Spend</v>
      </c>
    </row>
    <row r="3274" spans="1:14" x14ac:dyDescent="0.3">
      <c r="A3274" s="1" t="s">
        <v>3298</v>
      </c>
      <c r="B3274" s="2" t="s">
        <v>19</v>
      </c>
      <c r="C3274" s="2" t="s">
        <v>13</v>
      </c>
      <c r="D3274" s="2">
        <v>1</v>
      </c>
      <c r="E3274" s="2" t="s">
        <v>26</v>
      </c>
      <c r="F3274" s="2" t="s">
        <v>15</v>
      </c>
      <c r="G3274" s="7">
        <v>81.7</v>
      </c>
      <c r="H3274" s="7">
        <v>81.7</v>
      </c>
      <c r="I3274" s="2" t="s">
        <v>16</v>
      </c>
      <c r="J3274" s="2" t="s">
        <v>16</v>
      </c>
      <c r="K3274" s="2" t="s">
        <v>17</v>
      </c>
      <c r="L3274" s="7">
        <v>81.7</v>
      </c>
      <c r="M3274" s="2" t="str">
        <f>_xlfn.IFS(TelecomData[[#This Row],[TenureMonths]]&lt;=12, "0-1 Year", TelecomData[[#This Row],[TenureMonths]]&lt;=36, "1-3 Years", TelecomData[[#This Row],[TenureMonths]]&gt;36, "3+ Years")</f>
        <v>0-1 Year</v>
      </c>
      <c r="N3274" s="2" t="str">
        <f>IF(TelecomData[[#This Row],[CleanedTotalCharges]]&gt;=2500,"High Spend", "Standard Spend")</f>
        <v>Standard Spend</v>
      </c>
    </row>
    <row r="3275" spans="1:14" x14ac:dyDescent="0.3">
      <c r="A3275" s="1" t="s">
        <v>3299</v>
      </c>
      <c r="B3275" s="2" t="s">
        <v>19</v>
      </c>
      <c r="C3275" s="2" t="s">
        <v>13</v>
      </c>
      <c r="D3275" s="2">
        <v>33</v>
      </c>
      <c r="E3275" s="2" t="s">
        <v>26</v>
      </c>
      <c r="F3275" s="2" t="s">
        <v>15</v>
      </c>
      <c r="G3275" s="7">
        <v>68.25</v>
      </c>
      <c r="H3275" s="7">
        <v>2171.15</v>
      </c>
      <c r="I3275" s="2" t="s">
        <v>16</v>
      </c>
      <c r="J3275" s="2" t="s">
        <v>15</v>
      </c>
      <c r="K3275" s="2" t="s">
        <v>17</v>
      </c>
      <c r="L3275" s="7">
        <v>2171.15</v>
      </c>
      <c r="M3275" s="2" t="str">
        <f>_xlfn.IFS(TelecomData[[#This Row],[TenureMonths]]&lt;=12, "0-1 Year", TelecomData[[#This Row],[TenureMonths]]&lt;=36, "1-3 Years", TelecomData[[#This Row],[TenureMonths]]&gt;36, "3+ Years")</f>
        <v>1-3 Years</v>
      </c>
      <c r="N3275" s="2" t="str">
        <f>IF(TelecomData[[#This Row],[CleanedTotalCharges]]&gt;=2500,"High Spend", "Standard Spend")</f>
        <v>Standard Spend</v>
      </c>
    </row>
    <row r="3276" spans="1:14" x14ac:dyDescent="0.3">
      <c r="A3276" s="1" t="s">
        <v>3300</v>
      </c>
      <c r="B3276" s="2" t="s">
        <v>12</v>
      </c>
      <c r="C3276" s="2" t="s">
        <v>13</v>
      </c>
      <c r="D3276" s="2">
        <v>34</v>
      </c>
      <c r="E3276" s="2" t="s">
        <v>26</v>
      </c>
      <c r="F3276" s="2" t="s">
        <v>16</v>
      </c>
      <c r="G3276" s="7">
        <v>105.1</v>
      </c>
      <c r="H3276" s="7">
        <v>3634.8</v>
      </c>
      <c r="I3276" s="2" t="s">
        <v>15</v>
      </c>
      <c r="J3276" s="2" t="s">
        <v>16</v>
      </c>
      <c r="K3276" s="2" t="s">
        <v>17</v>
      </c>
      <c r="L3276" s="7">
        <v>3634.8</v>
      </c>
      <c r="M3276" s="2" t="str">
        <f>_xlfn.IFS(TelecomData[[#This Row],[TenureMonths]]&lt;=12, "0-1 Year", TelecomData[[#This Row],[TenureMonths]]&lt;=36, "1-3 Years", TelecomData[[#This Row],[TenureMonths]]&gt;36, "3+ Years")</f>
        <v>1-3 Years</v>
      </c>
      <c r="N3276" s="2" t="str">
        <f>IF(TelecomData[[#This Row],[CleanedTotalCharges]]&gt;=2500,"High Spend", "Standard Spend")</f>
        <v>High Spend</v>
      </c>
    </row>
    <row r="3277" spans="1:14" x14ac:dyDescent="0.3">
      <c r="A3277" s="1" t="s">
        <v>3301</v>
      </c>
      <c r="B3277" s="2" t="s">
        <v>12</v>
      </c>
      <c r="C3277" s="2" t="s">
        <v>35</v>
      </c>
      <c r="D3277" s="2">
        <v>14</v>
      </c>
      <c r="E3277" s="2" t="s">
        <v>15</v>
      </c>
      <c r="F3277" s="2" t="s">
        <v>36</v>
      </c>
      <c r="G3277" s="7">
        <v>20.399999999999999</v>
      </c>
      <c r="H3277" s="7">
        <v>292.39999999999998</v>
      </c>
      <c r="I3277" s="2" t="s">
        <v>15</v>
      </c>
      <c r="J3277" s="2" t="s">
        <v>15</v>
      </c>
      <c r="K3277" s="2" t="s">
        <v>21</v>
      </c>
      <c r="L3277" s="7">
        <v>292.39999999999998</v>
      </c>
      <c r="M3277" s="2" t="str">
        <f>_xlfn.IFS(TelecomData[[#This Row],[TenureMonths]]&lt;=12, "0-1 Year", TelecomData[[#This Row],[TenureMonths]]&lt;=36, "1-3 Years", TelecomData[[#This Row],[TenureMonths]]&gt;36, "3+ Years")</f>
        <v>1-3 Years</v>
      </c>
      <c r="N3277" s="2" t="str">
        <f>IF(TelecomData[[#This Row],[CleanedTotalCharges]]&gt;=2500,"High Spend", "Standard Spend")</f>
        <v>Standard Spend</v>
      </c>
    </row>
    <row r="3278" spans="1:14" x14ac:dyDescent="0.3">
      <c r="A3278" s="1" t="s">
        <v>3302</v>
      </c>
      <c r="B3278" s="2" t="s">
        <v>12</v>
      </c>
      <c r="C3278" s="2" t="s">
        <v>13</v>
      </c>
      <c r="D3278" s="2">
        <v>4</v>
      </c>
      <c r="E3278" s="2" t="s">
        <v>26</v>
      </c>
      <c r="F3278" s="2" t="s">
        <v>15</v>
      </c>
      <c r="G3278" s="7">
        <v>79.150000000000006</v>
      </c>
      <c r="H3278" s="7">
        <v>317.25</v>
      </c>
      <c r="I3278" s="2" t="s">
        <v>16</v>
      </c>
      <c r="J3278" s="2" t="s">
        <v>16</v>
      </c>
      <c r="K3278" s="2" t="s">
        <v>17</v>
      </c>
      <c r="L3278" s="7">
        <v>317.25</v>
      </c>
      <c r="M3278" s="2" t="str">
        <f>_xlfn.IFS(TelecomData[[#This Row],[TenureMonths]]&lt;=12, "0-1 Year", TelecomData[[#This Row],[TenureMonths]]&lt;=36, "1-3 Years", TelecomData[[#This Row],[TenureMonths]]&gt;36, "3+ Years")</f>
        <v>0-1 Year</v>
      </c>
      <c r="N3278" s="2" t="str">
        <f>IF(TelecomData[[#This Row],[CleanedTotalCharges]]&gt;=2500,"High Spend", "Standard Spend")</f>
        <v>Standard Spend</v>
      </c>
    </row>
    <row r="3279" spans="1:14" x14ac:dyDescent="0.3">
      <c r="A3279" s="1" t="s">
        <v>3303</v>
      </c>
      <c r="B3279" s="2" t="s">
        <v>19</v>
      </c>
      <c r="C3279" s="2" t="s">
        <v>20</v>
      </c>
      <c r="D3279" s="2">
        <v>13</v>
      </c>
      <c r="E3279" s="2" t="s">
        <v>15</v>
      </c>
      <c r="F3279" s="2" t="s">
        <v>36</v>
      </c>
      <c r="G3279" s="7">
        <v>20</v>
      </c>
      <c r="H3279" s="7">
        <v>218.55</v>
      </c>
      <c r="I3279" s="2" t="s">
        <v>15</v>
      </c>
      <c r="J3279" s="2" t="s">
        <v>15</v>
      </c>
      <c r="K3279" s="2" t="s">
        <v>21</v>
      </c>
      <c r="L3279" s="7">
        <v>218.55</v>
      </c>
      <c r="M3279" s="2" t="str">
        <f>_xlfn.IFS(TelecomData[[#This Row],[TenureMonths]]&lt;=12, "0-1 Year", TelecomData[[#This Row],[TenureMonths]]&lt;=36, "1-3 Years", TelecomData[[#This Row],[TenureMonths]]&gt;36, "3+ Years")</f>
        <v>1-3 Years</v>
      </c>
      <c r="N3279" s="2" t="str">
        <f>IF(TelecomData[[#This Row],[CleanedTotalCharges]]&gt;=2500,"High Spend", "Standard Spend")</f>
        <v>Standard Spend</v>
      </c>
    </row>
    <row r="3280" spans="1:14" x14ac:dyDescent="0.3">
      <c r="A3280" s="1" t="s">
        <v>3304</v>
      </c>
      <c r="B3280" s="2" t="s">
        <v>12</v>
      </c>
      <c r="C3280" s="2" t="s">
        <v>35</v>
      </c>
      <c r="D3280" s="2">
        <v>65</v>
      </c>
      <c r="E3280" s="2" t="s">
        <v>14</v>
      </c>
      <c r="F3280" s="2" t="s">
        <v>16</v>
      </c>
      <c r="G3280" s="7">
        <v>79.400000000000006</v>
      </c>
      <c r="H3280" s="7">
        <v>5071.8999999999996</v>
      </c>
      <c r="I3280" s="2" t="s">
        <v>15</v>
      </c>
      <c r="J3280" s="2" t="s">
        <v>16</v>
      </c>
      <c r="K3280" s="2" t="s">
        <v>24</v>
      </c>
      <c r="L3280" s="7">
        <v>5071.8999999999996</v>
      </c>
      <c r="M3280" s="2" t="str">
        <f>_xlfn.IFS(TelecomData[[#This Row],[TenureMonths]]&lt;=12, "0-1 Year", TelecomData[[#This Row],[TenureMonths]]&lt;=36, "1-3 Years", TelecomData[[#This Row],[TenureMonths]]&gt;36, "3+ Years")</f>
        <v>3+ Years</v>
      </c>
      <c r="N3280" s="2" t="str">
        <f>IF(TelecomData[[#This Row],[CleanedTotalCharges]]&gt;=2500,"High Spend", "Standard Spend")</f>
        <v>High Spend</v>
      </c>
    </row>
    <row r="3281" spans="1:14" x14ac:dyDescent="0.3">
      <c r="A3281" s="1" t="s">
        <v>3305</v>
      </c>
      <c r="B3281" s="2" t="s">
        <v>19</v>
      </c>
      <c r="C3281" s="2" t="s">
        <v>20</v>
      </c>
      <c r="D3281" s="2">
        <v>23</v>
      </c>
      <c r="E3281" s="2" t="s">
        <v>14</v>
      </c>
      <c r="F3281" s="2" t="s">
        <v>16</v>
      </c>
      <c r="G3281" s="7">
        <v>57.2</v>
      </c>
      <c r="H3281" s="7">
        <v>1423.35</v>
      </c>
      <c r="I3281" s="2" t="s">
        <v>15</v>
      </c>
      <c r="J3281" s="2" t="s">
        <v>15</v>
      </c>
      <c r="K3281" s="2" t="s">
        <v>29</v>
      </c>
      <c r="L3281" s="7">
        <v>1423.35</v>
      </c>
      <c r="M3281" s="2" t="str">
        <f>_xlfn.IFS(TelecomData[[#This Row],[TenureMonths]]&lt;=12, "0-1 Year", TelecomData[[#This Row],[TenureMonths]]&lt;=36, "1-3 Years", TelecomData[[#This Row],[TenureMonths]]&gt;36, "3+ Years")</f>
        <v>1-3 Years</v>
      </c>
      <c r="N3281" s="2" t="str">
        <f>IF(TelecomData[[#This Row],[CleanedTotalCharges]]&gt;=2500,"High Spend", "Standard Spend")</f>
        <v>Standard Spend</v>
      </c>
    </row>
    <row r="3282" spans="1:14" x14ac:dyDescent="0.3">
      <c r="A3282" s="1" t="s">
        <v>3306</v>
      </c>
      <c r="B3282" s="2" t="s">
        <v>19</v>
      </c>
      <c r="C3282" s="2" t="s">
        <v>35</v>
      </c>
      <c r="D3282" s="2">
        <v>55</v>
      </c>
      <c r="E3282" s="2" t="s">
        <v>14</v>
      </c>
      <c r="F3282" s="2" t="s">
        <v>15</v>
      </c>
      <c r="G3282" s="7">
        <v>58.6</v>
      </c>
      <c r="H3282" s="7">
        <v>3068.6</v>
      </c>
      <c r="I3282" s="2" t="s">
        <v>15</v>
      </c>
      <c r="J3282" s="2" t="s">
        <v>15</v>
      </c>
      <c r="K3282" s="2" t="s">
        <v>17</v>
      </c>
      <c r="L3282" s="7">
        <v>3068.6</v>
      </c>
      <c r="M3282" s="2" t="str">
        <f>_xlfn.IFS(TelecomData[[#This Row],[TenureMonths]]&lt;=12, "0-1 Year", TelecomData[[#This Row],[TenureMonths]]&lt;=36, "1-3 Years", TelecomData[[#This Row],[TenureMonths]]&gt;36, "3+ Years")</f>
        <v>3+ Years</v>
      </c>
      <c r="N3282" s="2" t="str">
        <f>IF(TelecomData[[#This Row],[CleanedTotalCharges]]&gt;=2500,"High Spend", "Standard Spend")</f>
        <v>High Spend</v>
      </c>
    </row>
    <row r="3283" spans="1:14" x14ac:dyDescent="0.3">
      <c r="A3283" s="1" t="s">
        <v>3307</v>
      </c>
      <c r="B3283" s="2" t="s">
        <v>19</v>
      </c>
      <c r="C3283" s="2" t="s">
        <v>35</v>
      </c>
      <c r="D3283" s="2">
        <v>49</v>
      </c>
      <c r="E3283" s="2" t="s">
        <v>26</v>
      </c>
      <c r="F3283" s="2" t="s">
        <v>15</v>
      </c>
      <c r="G3283" s="7">
        <v>94.8</v>
      </c>
      <c r="H3283" s="7">
        <v>4690.6499999999996</v>
      </c>
      <c r="I3283" s="2" t="s">
        <v>15</v>
      </c>
      <c r="J3283" s="2" t="s">
        <v>16</v>
      </c>
      <c r="K3283" s="2" t="s">
        <v>17</v>
      </c>
      <c r="L3283" s="7">
        <v>4690.6499999999996</v>
      </c>
      <c r="M3283" s="2" t="str">
        <f>_xlfn.IFS(TelecomData[[#This Row],[TenureMonths]]&lt;=12, "0-1 Year", TelecomData[[#This Row],[TenureMonths]]&lt;=36, "1-3 Years", TelecomData[[#This Row],[TenureMonths]]&gt;36, "3+ Years")</f>
        <v>3+ Years</v>
      </c>
      <c r="N3283" s="2" t="str">
        <f>IF(TelecomData[[#This Row],[CleanedTotalCharges]]&gt;=2500,"High Spend", "Standard Spend")</f>
        <v>High Spend</v>
      </c>
    </row>
    <row r="3284" spans="1:14" x14ac:dyDescent="0.3">
      <c r="A3284" s="1" t="s">
        <v>3308</v>
      </c>
      <c r="B3284" s="2" t="s">
        <v>19</v>
      </c>
      <c r="C3284" s="2" t="s">
        <v>20</v>
      </c>
      <c r="D3284" s="2">
        <v>60</v>
      </c>
      <c r="E3284" s="2" t="s">
        <v>26</v>
      </c>
      <c r="F3284" s="2" t="s">
        <v>15</v>
      </c>
      <c r="G3284" s="7">
        <v>102.5</v>
      </c>
      <c r="H3284" s="7">
        <v>6157.6</v>
      </c>
      <c r="I3284" s="2" t="s">
        <v>15</v>
      </c>
      <c r="J3284" s="2" t="s">
        <v>15</v>
      </c>
      <c r="K3284" s="2" t="s">
        <v>24</v>
      </c>
      <c r="L3284" s="7">
        <v>6157.6</v>
      </c>
      <c r="M3284" s="2" t="str">
        <f>_xlfn.IFS(TelecomData[[#This Row],[TenureMonths]]&lt;=12, "0-1 Year", TelecomData[[#This Row],[TenureMonths]]&lt;=36, "1-3 Years", TelecomData[[#This Row],[TenureMonths]]&gt;36, "3+ Years")</f>
        <v>3+ Years</v>
      </c>
      <c r="N3284" s="2" t="str">
        <f>IF(TelecomData[[#This Row],[CleanedTotalCharges]]&gt;=2500,"High Spend", "Standard Spend")</f>
        <v>High Spend</v>
      </c>
    </row>
    <row r="3285" spans="1:14" x14ac:dyDescent="0.3">
      <c r="A3285" s="1" t="s">
        <v>3309</v>
      </c>
      <c r="B3285" s="2" t="s">
        <v>12</v>
      </c>
      <c r="C3285" s="2" t="s">
        <v>20</v>
      </c>
      <c r="D3285" s="2">
        <v>69</v>
      </c>
      <c r="E3285" s="2" t="s">
        <v>15</v>
      </c>
      <c r="F3285" s="2" t="s">
        <v>36</v>
      </c>
      <c r="G3285" s="7">
        <v>20.350000000000001</v>
      </c>
      <c r="H3285" s="7">
        <v>1442.65</v>
      </c>
      <c r="I3285" s="2" t="s">
        <v>15</v>
      </c>
      <c r="J3285" s="2" t="s">
        <v>16</v>
      </c>
      <c r="K3285" s="2" t="s">
        <v>29</v>
      </c>
      <c r="L3285" s="7">
        <v>1442.65</v>
      </c>
      <c r="M3285" s="2" t="str">
        <f>_xlfn.IFS(TelecomData[[#This Row],[TenureMonths]]&lt;=12, "0-1 Year", TelecomData[[#This Row],[TenureMonths]]&lt;=36, "1-3 Years", TelecomData[[#This Row],[TenureMonths]]&gt;36, "3+ Years")</f>
        <v>3+ Years</v>
      </c>
      <c r="N3285" s="2" t="str">
        <f>IF(TelecomData[[#This Row],[CleanedTotalCharges]]&gt;=2500,"High Spend", "Standard Spend")</f>
        <v>Standard Spend</v>
      </c>
    </row>
    <row r="3286" spans="1:14" x14ac:dyDescent="0.3">
      <c r="A3286" s="1" t="s">
        <v>3310</v>
      </c>
      <c r="B3286" s="2" t="s">
        <v>19</v>
      </c>
      <c r="C3286" s="2" t="s">
        <v>13</v>
      </c>
      <c r="D3286" s="2">
        <v>40</v>
      </c>
      <c r="E3286" s="2" t="s">
        <v>26</v>
      </c>
      <c r="F3286" s="2" t="s">
        <v>15</v>
      </c>
      <c r="G3286" s="7">
        <v>84.9</v>
      </c>
      <c r="H3286" s="7">
        <v>3369.05</v>
      </c>
      <c r="I3286" s="2" t="s">
        <v>15</v>
      </c>
      <c r="J3286" s="2" t="s">
        <v>16</v>
      </c>
      <c r="K3286" s="2" t="s">
        <v>17</v>
      </c>
      <c r="L3286" s="7">
        <v>3369.05</v>
      </c>
      <c r="M3286" s="2" t="str">
        <f>_xlfn.IFS(TelecomData[[#This Row],[TenureMonths]]&lt;=12, "0-1 Year", TelecomData[[#This Row],[TenureMonths]]&lt;=36, "1-3 Years", TelecomData[[#This Row],[TenureMonths]]&gt;36, "3+ Years")</f>
        <v>3+ Years</v>
      </c>
      <c r="N3286" s="2" t="str">
        <f>IF(TelecomData[[#This Row],[CleanedTotalCharges]]&gt;=2500,"High Spend", "Standard Spend")</f>
        <v>High Spend</v>
      </c>
    </row>
    <row r="3287" spans="1:14" x14ac:dyDescent="0.3">
      <c r="A3287" s="1" t="s">
        <v>3311</v>
      </c>
      <c r="B3287" s="2" t="s">
        <v>19</v>
      </c>
      <c r="C3287" s="2" t="s">
        <v>35</v>
      </c>
      <c r="D3287" s="2">
        <v>67</v>
      </c>
      <c r="E3287" s="2" t="s">
        <v>14</v>
      </c>
      <c r="F3287" s="2" t="s">
        <v>16</v>
      </c>
      <c r="G3287" s="7">
        <v>69.2</v>
      </c>
      <c r="H3287" s="7">
        <v>4671.6499999999996</v>
      </c>
      <c r="I3287" s="2" t="s">
        <v>15</v>
      </c>
      <c r="J3287" s="2" t="s">
        <v>16</v>
      </c>
      <c r="K3287" s="2" t="s">
        <v>29</v>
      </c>
      <c r="L3287" s="7">
        <v>4671.6499999999996</v>
      </c>
      <c r="M3287" s="2" t="str">
        <f>_xlfn.IFS(TelecomData[[#This Row],[TenureMonths]]&lt;=12, "0-1 Year", TelecomData[[#This Row],[TenureMonths]]&lt;=36, "1-3 Years", TelecomData[[#This Row],[TenureMonths]]&gt;36, "3+ Years")</f>
        <v>3+ Years</v>
      </c>
      <c r="N3287" s="2" t="str">
        <f>IF(TelecomData[[#This Row],[CleanedTotalCharges]]&gt;=2500,"High Spend", "Standard Spend")</f>
        <v>High Spend</v>
      </c>
    </row>
    <row r="3288" spans="1:14" x14ac:dyDescent="0.3">
      <c r="A3288" s="1" t="s">
        <v>3312</v>
      </c>
      <c r="B3288" s="2" t="s">
        <v>19</v>
      </c>
      <c r="C3288" s="2" t="s">
        <v>13</v>
      </c>
      <c r="D3288" s="2">
        <v>35</v>
      </c>
      <c r="E3288" s="2" t="s">
        <v>26</v>
      </c>
      <c r="F3288" s="2" t="s">
        <v>15</v>
      </c>
      <c r="G3288" s="7">
        <v>95.45</v>
      </c>
      <c r="H3288" s="7">
        <v>3474.05</v>
      </c>
      <c r="I3288" s="2" t="s">
        <v>16</v>
      </c>
      <c r="J3288" s="2" t="s">
        <v>16</v>
      </c>
      <c r="K3288" s="2" t="s">
        <v>17</v>
      </c>
      <c r="L3288" s="7">
        <v>3474.05</v>
      </c>
      <c r="M3288" s="2" t="str">
        <f>_xlfn.IFS(TelecomData[[#This Row],[TenureMonths]]&lt;=12, "0-1 Year", TelecomData[[#This Row],[TenureMonths]]&lt;=36, "1-3 Years", TelecomData[[#This Row],[TenureMonths]]&gt;36, "3+ Years")</f>
        <v>1-3 Years</v>
      </c>
      <c r="N3288" s="2" t="str">
        <f>IF(TelecomData[[#This Row],[CleanedTotalCharges]]&gt;=2500,"High Spend", "Standard Spend")</f>
        <v>High Spend</v>
      </c>
    </row>
    <row r="3289" spans="1:14" x14ac:dyDescent="0.3">
      <c r="A3289" s="1" t="s">
        <v>3313</v>
      </c>
      <c r="B3289" s="2" t="s">
        <v>19</v>
      </c>
      <c r="C3289" s="2" t="s">
        <v>20</v>
      </c>
      <c r="D3289" s="2">
        <v>19</v>
      </c>
      <c r="E3289" s="2" t="s">
        <v>26</v>
      </c>
      <c r="F3289" s="2" t="s">
        <v>16</v>
      </c>
      <c r="G3289" s="7">
        <v>100.95</v>
      </c>
      <c r="H3289" s="7">
        <v>1875.55</v>
      </c>
      <c r="I3289" s="2" t="s">
        <v>16</v>
      </c>
      <c r="J3289" s="2" t="s">
        <v>16</v>
      </c>
      <c r="K3289" s="2" t="s">
        <v>17</v>
      </c>
      <c r="L3289" s="7">
        <v>1875.55</v>
      </c>
      <c r="M3289" s="2" t="str">
        <f>_xlfn.IFS(TelecomData[[#This Row],[TenureMonths]]&lt;=12, "0-1 Year", TelecomData[[#This Row],[TenureMonths]]&lt;=36, "1-3 Years", TelecomData[[#This Row],[TenureMonths]]&gt;36, "3+ Years")</f>
        <v>1-3 Years</v>
      </c>
      <c r="N3289" s="2" t="str">
        <f>IF(TelecomData[[#This Row],[CleanedTotalCharges]]&gt;=2500,"High Spend", "Standard Spend")</f>
        <v>Standard Spend</v>
      </c>
    </row>
    <row r="3290" spans="1:14" x14ac:dyDescent="0.3">
      <c r="A3290" s="1" t="s">
        <v>3314</v>
      </c>
      <c r="B3290" s="2" t="s">
        <v>12</v>
      </c>
      <c r="C3290" s="2" t="s">
        <v>35</v>
      </c>
      <c r="D3290" s="2">
        <v>13</v>
      </c>
      <c r="E3290" s="2" t="s">
        <v>15</v>
      </c>
      <c r="F3290" s="2" t="s">
        <v>36</v>
      </c>
      <c r="G3290" s="7">
        <v>20.85</v>
      </c>
      <c r="H3290" s="7">
        <v>272.35000000000002</v>
      </c>
      <c r="I3290" s="2" t="s">
        <v>15</v>
      </c>
      <c r="J3290" s="2" t="s">
        <v>15</v>
      </c>
      <c r="K3290" s="2" t="s">
        <v>21</v>
      </c>
      <c r="L3290" s="7">
        <v>272.35000000000002</v>
      </c>
      <c r="M3290" s="2" t="str">
        <f>_xlfn.IFS(TelecomData[[#This Row],[TenureMonths]]&lt;=12, "0-1 Year", TelecomData[[#This Row],[TenureMonths]]&lt;=36, "1-3 Years", TelecomData[[#This Row],[TenureMonths]]&gt;36, "3+ Years")</f>
        <v>1-3 Years</v>
      </c>
      <c r="N3290" s="2" t="str">
        <f>IF(TelecomData[[#This Row],[CleanedTotalCharges]]&gt;=2500,"High Spend", "Standard Spend")</f>
        <v>Standard Spend</v>
      </c>
    </row>
    <row r="3291" spans="1:14" x14ac:dyDescent="0.3">
      <c r="A3291" s="1" t="s">
        <v>3315</v>
      </c>
      <c r="B3291" s="2" t="s">
        <v>12</v>
      </c>
      <c r="C3291" s="2" t="s">
        <v>13</v>
      </c>
      <c r="D3291" s="2">
        <v>41</v>
      </c>
      <c r="E3291" s="2" t="s">
        <v>26</v>
      </c>
      <c r="F3291" s="2" t="s">
        <v>15</v>
      </c>
      <c r="G3291" s="7">
        <v>88.5</v>
      </c>
      <c r="H3291" s="7">
        <v>3645.05</v>
      </c>
      <c r="I3291" s="2" t="s">
        <v>15</v>
      </c>
      <c r="J3291" s="2" t="s">
        <v>16</v>
      </c>
      <c r="K3291" s="2" t="s">
        <v>24</v>
      </c>
      <c r="L3291" s="7">
        <v>3645.05</v>
      </c>
      <c r="M3291" s="2" t="str">
        <f>_xlfn.IFS(TelecomData[[#This Row],[TenureMonths]]&lt;=12, "0-1 Year", TelecomData[[#This Row],[TenureMonths]]&lt;=36, "1-3 Years", TelecomData[[#This Row],[TenureMonths]]&gt;36, "3+ Years")</f>
        <v>3+ Years</v>
      </c>
      <c r="N3291" s="2" t="str">
        <f>IF(TelecomData[[#This Row],[CleanedTotalCharges]]&gt;=2500,"High Spend", "Standard Spend")</f>
        <v>High Spend</v>
      </c>
    </row>
    <row r="3292" spans="1:14" x14ac:dyDescent="0.3">
      <c r="A3292" s="1" t="s">
        <v>3316</v>
      </c>
      <c r="B3292" s="2" t="s">
        <v>12</v>
      </c>
      <c r="C3292" s="2" t="s">
        <v>13</v>
      </c>
      <c r="D3292" s="2">
        <v>4</v>
      </c>
      <c r="E3292" s="2" t="s">
        <v>14</v>
      </c>
      <c r="F3292" s="2" t="s">
        <v>15</v>
      </c>
      <c r="G3292" s="7">
        <v>35</v>
      </c>
      <c r="H3292" s="7">
        <v>135.75</v>
      </c>
      <c r="I3292" s="2" t="s">
        <v>15</v>
      </c>
      <c r="J3292" s="2" t="s">
        <v>15</v>
      </c>
      <c r="K3292" s="2" t="s">
        <v>21</v>
      </c>
      <c r="L3292" s="7">
        <v>135.75</v>
      </c>
      <c r="M3292" s="2" t="str">
        <f>_xlfn.IFS(TelecomData[[#This Row],[TenureMonths]]&lt;=12, "0-1 Year", TelecomData[[#This Row],[TenureMonths]]&lt;=36, "1-3 Years", TelecomData[[#This Row],[TenureMonths]]&gt;36, "3+ Years")</f>
        <v>0-1 Year</v>
      </c>
      <c r="N3292" s="2" t="str">
        <f>IF(TelecomData[[#This Row],[CleanedTotalCharges]]&gt;=2500,"High Spend", "Standard Spend")</f>
        <v>Standard Spend</v>
      </c>
    </row>
    <row r="3293" spans="1:14" x14ac:dyDescent="0.3">
      <c r="A3293" s="1" t="s">
        <v>3317</v>
      </c>
      <c r="B3293" s="2" t="s">
        <v>12</v>
      </c>
      <c r="C3293" s="2" t="s">
        <v>13</v>
      </c>
      <c r="D3293" s="2">
        <v>24</v>
      </c>
      <c r="E3293" s="2" t="s">
        <v>14</v>
      </c>
      <c r="F3293" s="2" t="s">
        <v>16</v>
      </c>
      <c r="G3293" s="7">
        <v>55.15</v>
      </c>
      <c r="H3293" s="7">
        <v>1319.85</v>
      </c>
      <c r="I3293" s="2" t="s">
        <v>15</v>
      </c>
      <c r="J3293" s="2" t="s">
        <v>15</v>
      </c>
      <c r="K3293" s="2" t="s">
        <v>17</v>
      </c>
      <c r="L3293" s="7">
        <v>1319.85</v>
      </c>
      <c r="M3293" s="2" t="str">
        <f>_xlfn.IFS(TelecomData[[#This Row],[TenureMonths]]&lt;=12, "0-1 Year", TelecomData[[#This Row],[TenureMonths]]&lt;=36, "1-3 Years", TelecomData[[#This Row],[TenureMonths]]&gt;36, "3+ Years")</f>
        <v>1-3 Years</v>
      </c>
      <c r="N3293" s="2" t="str">
        <f>IF(TelecomData[[#This Row],[CleanedTotalCharges]]&gt;=2500,"High Spend", "Standard Spend")</f>
        <v>Standard Spend</v>
      </c>
    </row>
    <row r="3294" spans="1:14" x14ac:dyDescent="0.3">
      <c r="A3294" s="1" t="s">
        <v>3318</v>
      </c>
      <c r="B3294" s="2" t="s">
        <v>12</v>
      </c>
      <c r="C3294" s="2" t="s">
        <v>13</v>
      </c>
      <c r="D3294" s="2">
        <v>5</v>
      </c>
      <c r="E3294" s="2" t="s">
        <v>14</v>
      </c>
      <c r="F3294" s="2" t="s">
        <v>15</v>
      </c>
      <c r="G3294" s="7">
        <v>50.95</v>
      </c>
      <c r="H3294" s="7">
        <v>229.4</v>
      </c>
      <c r="I3294" s="2" t="s">
        <v>15</v>
      </c>
      <c r="J3294" s="2" t="s">
        <v>16</v>
      </c>
      <c r="K3294" s="2" t="s">
        <v>29</v>
      </c>
      <c r="L3294" s="7">
        <v>229.4</v>
      </c>
      <c r="M3294" s="2" t="str">
        <f>_xlfn.IFS(TelecomData[[#This Row],[TenureMonths]]&lt;=12, "0-1 Year", TelecomData[[#This Row],[TenureMonths]]&lt;=36, "1-3 Years", TelecomData[[#This Row],[TenureMonths]]&gt;36, "3+ Years")</f>
        <v>0-1 Year</v>
      </c>
      <c r="N3294" s="2" t="str">
        <f>IF(TelecomData[[#This Row],[CleanedTotalCharges]]&gt;=2500,"High Spend", "Standard Spend")</f>
        <v>Standard Spend</v>
      </c>
    </row>
    <row r="3295" spans="1:14" x14ac:dyDescent="0.3">
      <c r="A3295" s="1" t="s">
        <v>3319</v>
      </c>
      <c r="B3295" s="2" t="s">
        <v>12</v>
      </c>
      <c r="C3295" s="2" t="s">
        <v>13</v>
      </c>
      <c r="D3295" s="2">
        <v>5</v>
      </c>
      <c r="E3295" s="2" t="s">
        <v>14</v>
      </c>
      <c r="F3295" s="2" t="s">
        <v>15</v>
      </c>
      <c r="G3295" s="7">
        <v>64</v>
      </c>
      <c r="H3295" s="7">
        <v>370.25</v>
      </c>
      <c r="I3295" s="2" t="s">
        <v>15</v>
      </c>
      <c r="J3295" s="2" t="s">
        <v>16</v>
      </c>
      <c r="K3295" s="2" t="s">
        <v>17</v>
      </c>
      <c r="L3295" s="7">
        <v>370.25</v>
      </c>
      <c r="M3295" s="2" t="str">
        <f>_xlfn.IFS(TelecomData[[#This Row],[TenureMonths]]&lt;=12, "0-1 Year", TelecomData[[#This Row],[TenureMonths]]&lt;=36, "1-3 Years", TelecomData[[#This Row],[TenureMonths]]&gt;36, "3+ Years")</f>
        <v>0-1 Year</v>
      </c>
      <c r="N3295" s="2" t="str">
        <f>IF(TelecomData[[#This Row],[CleanedTotalCharges]]&gt;=2500,"High Spend", "Standard Spend")</f>
        <v>Standard Spend</v>
      </c>
    </row>
    <row r="3296" spans="1:14" x14ac:dyDescent="0.3">
      <c r="A3296" s="1" t="s">
        <v>3320</v>
      </c>
      <c r="B3296" s="2" t="s">
        <v>12</v>
      </c>
      <c r="C3296" s="2" t="s">
        <v>13</v>
      </c>
      <c r="D3296" s="2">
        <v>1</v>
      </c>
      <c r="E3296" s="2" t="s">
        <v>26</v>
      </c>
      <c r="F3296" s="2" t="s">
        <v>15</v>
      </c>
      <c r="G3296" s="7">
        <v>69.099999999999994</v>
      </c>
      <c r="H3296" s="7">
        <v>69.099999999999994</v>
      </c>
      <c r="I3296" s="2" t="s">
        <v>16</v>
      </c>
      <c r="J3296" s="2" t="s">
        <v>16</v>
      </c>
      <c r="K3296" s="2" t="s">
        <v>21</v>
      </c>
      <c r="L3296" s="7">
        <v>69.099999999999994</v>
      </c>
      <c r="M3296" s="2" t="str">
        <f>_xlfn.IFS(TelecomData[[#This Row],[TenureMonths]]&lt;=12, "0-1 Year", TelecomData[[#This Row],[TenureMonths]]&lt;=36, "1-3 Years", TelecomData[[#This Row],[TenureMonths]]&gt;36, "3+ Years")</f>
        <v>0-1 Year</v>
      </c>
      <c r="N3296" s="2" t="str">
        <f>IF(TelecomData[[#This Row],[CleanedTotalCharges]]&gt;=2500,"High Spend", "Standard Spend")</f>
        <v>Standard Spend</v>
      </c>
    </row>
    <row r="3297" spans="1:14" x14ac:dyDescent="0.3">
      <c r="A3297" s="1" t="s">
        <v>3321</v>
      </c>
      <c r="B3297" s="2" t="s">
        <v>12</v>
      </c>
      <c r="C3297" s="2" t="s">
        <v>35</v>
      </c>
      <c r="D3297" s="2">
        <v>72</v>
      </c>
      <c r="E3297" s="2" t="s">
        <v>14</v>
      </c>
      <c r="F3297" s="2" t="s">
        <v>16</v>
      </c>
      <c r="G3297" s="7">
        <v>80.2</v>
      </c>
      <c r="H3297" s="7">
        <v>5714.2</v>
      </c>
      <c r="I3297" s="2" t="s">
        <v>15</v>
      </c>
      <c r="J3297" s="2" t="s">
        <v>15</v>
      </c>
      <c r="K3297" s="2" t="s">
        <v>24</v>
      </c>
      <c r="L3297" s="7">
        <v>5714.2</v>
      </c>
      <c r="M3297" s="2" t="str">
        <f>_xlfn.IFS(TelecomData[[#This Row],[TenureMonths]]&lt;=12, "0-1 Year", TelecomData[[#This Row],[TenureMonths]]&lt;=36, "1-3 Years", TelecomData[[#This Row],[TenureMonths]]&gt;36, "3+ Years")</f>
        <v>3+ Years</v>
      </c>
      <c r="N3297" s="2" t="str">
        <f>IF(TelecomData[[#This Row],[CleanedTotalCharges]]&gt;=2500,"High Spend", "Standard Spend")</f>
        <v>High Spend</v>
      </c>
    </row>
    <row r="3298" spans="1:14" x14ac:dyDescent="0.3">
      <c r="A3298" s="1" t="s">
        <v>3322</v>
      </c>
      <c r="B3298" s="2" t="s">
        <v>12</v>
      </c>
      <c r="C3298" s="2" t="s">
        <v>13</v>
      </c>
      <c r="D3298" s="2">
        <v>24</v>
      </c>
      <c r="E3298" s="2" t="s">
        <v>14</v>
      </c>
      <c r="F3298" s="2" t="s">
        <v>15</v>
      </c>
      <c r="G3298" s="7">
        <v>49.3</v>
      </c>
      <c r="H3298" s="7">
        <v>1233.25</v>
      </c>
      <c r="I3298" s="2" t="s">
        <v>15</v>
      </c>
      <c r="J3298" s="2" t="s">
        <v>16</v>
      </c>
      <c r="K3298" s="2" t="s">
        <v>29</v>
      </c>
      <c r="L3298" s="7">
        <v>1233.25</v>
      </c>
      <c r="M3298" s="2" t="str">
        <f>_xlfn.IFS(TelecomData[[#This Row],[TenureMonths]]&lt;=12, "0-1 Year", TelecomData[[#This Row],[TenureMonths]]&lt;=36, "1-3 Years", TelecomData[[#This Row],[TenureMonths]]&gt;36, "3+ Years")</f>
        <v>1-3 Years</v>
      </c>
      <c r="N3298" s="2" t="str">
        <f>IF(TelecomData[[#This Row],[CleanedTotalCharges]]&gt;=2500,"High Spend", "Standard Spend")</f>
        <v>Standard Spend</v>
      </c>
    </row>
    <row r="3299" spans="1:14" x14ac:dyDescent="0.3">
      <c r="A3299" s="1" t="s">
        <v>3323</v>
      </c>
      <c r="B3299" s="2" t="s">
        <v>12</v>
      </c>
      <c r="C3299" s="2" t="s">
        <v>35</v>
      </c>
      <c r="D3299" s="2">
        <v>42</v>
      </c>
      <c r="E3299" s="2" t="s">
        <v>14</v>
      </c>
      <c r="F3299" s="2" t="s">
        <v>16</v>
      </c>
      <c r="G3299" s="7">
        <v>84.35</v>
      </c>
      <c r="H3299" s="7">
        <v>3571.6</v>
      </c>
      <c r="I3299" s="2" t="s">
        <v>15</v>
      </c>
      <c r="J3299" s="2" t="s">
        <v>15</v>
      </c>
      <c r="K3299" s="2" t="s">
        <v>29</v>
      </c>
      <c r="L3299" s="7">
        <v>3571.6</v>
      </c>
      <c r="M3299" s="2" t="str">
        <f>_xlfn.IFS(TelecomData[[#This Row],[TenureMonths]]&lt;=12, "0-1 Year", TelecomData[[#This Row],[TenureMonths]]&lt;=36, "1-3 Years", TelecomData[[#This Row],[TenureMonths]]&gt;36, "3+ Years")</f>
        <v>3+ Years</v>
      </c>
      <c r="N3299" s="2" t="str">
        <f>IF(TelecomData[[#This Row],[CleanedTotalCharges]]&gt;=2500,"High Spend", "Standard Spend")</f>
        <v>High Spend</v>
      </c>
    </row>
    <row r="3300" spans="1:14" x14ac:dyDescent="0.3">
      <c r="A3300" s="1" t="s">
        <v>3324</v>
      </c>
      <c r="B3300" s="2" t="s">
        <v>12</v>
      </c>
      <c r="C3300" s="2" t="s">
        <v>13</v>
      </c>
      <c r="D3300" s="2">
        <v>4</v>
      </c>
      <c r="E3300" s="2" t="s">
        <v>15</v>
      </c>
      <c r="F3300" s="2" t="s">
        <v>36</v>
      </c>
      <c r="G3300" s="7">
        <v>20.05</v>
      </c>
      <c r="H3300" s="7">
        <v>83.3</v>
      </c>
      <c r="I3300" s="2" t="s">
        <v>15</v>
      </c>
      <c r="J3300" s="2" t="s">
        <v>15</v>
      </c>
      <c r="K3300" s="2" t="s">
        <v>21</v>
      </c>
      <c r="L3300" s="7">
        <v>83.3</v>
      </c>
      <c r="M3300" s="2" t="str">
        <f>_xlfn.IFS(TelecomData[[#This Row],[TenureMonths]]&lt;=12, "0-1 Year", TelecomData[[#This Row],[TenureMonths]]&lt;=36, "1-3 Years", TelecomData[[#This Row],[TenureMonths]]&gt;36, "3+ Years")</f>
        <v>0-1 Year</v>
      </c>
      <c r="N3300" s="2" t="str">
        <f>IF(TelecomData[[#This Row],[CleanedTotalCharges]]&gt;=2500,"High Spend", "Standard Spend")</f>
        <v>Standard Spend</v>
      </c>
    </row>
    <row r="3301" spans="1:14" x14ac:dyDescent="0.3">
      <c r="A3301" s="1" t="s">
        <v>3325</v>
      </c>
      <c r="B3301" s="2" t="s">
        <v>19</v>
      </c>
      <c r="C3301" s="2" t="s">
        <v>20</v>
      </c>
      <c r="D3301" s="2">
        <v>68</v>
      </c>
      <c r="E3301" s="2" t="s">
        <v>26</v>
      </c>
      <c r="F3301" s="2" t="s">
        <v>16</v>
      </c>
      <c r="G3301" s="7">
        <v>117.2</v>
      </c>
      <c r="H3301" s="7">
        <v>8035.95</v>
      </c>
      <c r="I3301" s="2" t="s">
        <v>15</v>
      </c>
      <c r="J3301" s="2" t="s">
        <v>16</v>
      </c>
      <c r="K3301" s="2" t="s">
        <v>29</v>
      </c>
      <c r="L3301" s="7">
        <v>8035.95</v>
      </c>
      <c r="M3301" s="2" t="str">
        <f>_xlfn.IFS(TelecomData[[#This Row],[TenureMonths]]&lt;=12, "0-1 Year", TelecomData[[#This Row],[TenureMonths]]&lt;=36, "1-3 Years", TelecomData[[#This Row],[TenureMonths]]&gt;36, "3+ Years")</f>
        <v>3+ Years</v>
      </c>
      <c r="N3301" s="2" t="str">
        <f>IF(TelecomData[[#This Row],[CleanedTotalCharges]]&gt;=2500,"High Spend", "Standard Spend")</f>
        <v>High Spend</v>
      </c>
    </row>
    <row r="3302" spans="1:14" x14ac:dyDescent="0.3">
      <c r="A3302" s="1" t="s">
        <v>3326</v>
      </c>
      <c r="B3302" s="2" t="s">
        <v>12</v>
      </c>
      <c r="C3302" s="2" t="s">
        <v>20</v>
      </c>
      <c r="D3302" s="2">
        <v>33</v>
      </c>
      <c r="E3302" s="2" t="s">
        <v>15</v>
      </c>
      <c r="F3302" s="2" t="s">
        <v>36</v>
      </c>
      <c r="G3302" s="7">
        <v>20.100000000000001</v>
      </c>
      <c r="H3302" s="7">
        <v>579.4</v>
      </c>
      <c r="I3302" s="2" t="s">
        <v>15</v>
      </c>
      <c r="J3302" s="2" t="s">
        <v>15</v>
      </c>
      <c r="K3302" s="2" t="s">
        <v>21</v>
      </c>
      <c r="L3302" s="7">
        <v>579.4</v>
      </c>
      <c r="M3302" s="2" t="str">
        <f>_xlfn.IFS(TelecomData[[#This Row],[TenureMonths]]&lt;=12, "0-1 Year", TelecomData[[#This Row],[TenureMonths]]&lt;=36, "1-3 Years", TelecomData[[#This Row],[TenureMonths]]&gt;36, "3+ Years")</f>
        <v>1-3 Years</v>
      </c>
      <c r="N3302" s="2" t="str">
        <f>IF(TelecomData[[#This Row],[CleanedTotalCharges]]&gt;=2500,"High Spend", "Standard Spend")</f>
        <v>Standard Spend</v>
      </c>
    </row>
    <row r="3303" spans="1:14" x14ac:dyDescent="0.3">
      <c r="A3303" s="1" t="s">
        <v>3327</v>
      </c>
      <c r="B3303" s="2" t="s">
        <v>12</v>
      </c>
      <c r="C3303" s="2" t="s">
        <v>13</v>
      </c>
      <c r="D3303" s="2">
        <v>1</v>
      </c>
      <c r="E3303" s="2" t="s">
        <v>26</v>
      </c>
      <c r="F3303" s="2" t="s">
        <v>15</v>
      </c>
      <c r="G3303" s="7">
        <v>69.599999999999994</v>
      </c>
      <c r="H3303" s="7">
        <v>69.599999999999994</v>
      </c>
      <c r="I3303" s="2" t="s">
        <v>16</v>
      </c>
      <c r="J3303" s="2" t="s">
        <v>16</v>
      </c>
      <c r="K3303" s="2" t="s">
        <v>17</v>
      </c>
      <c r="L3303" s="7">
        <v>69.599999999999994</v>
      </c>
      <c r="M3303" s="2" t="str">
        <f>_xlfn.IFS(TelecomData[[#This Row],[TenureMonths]]&lt;=12, "0-1 Year", TelecomData[[#This Row],[TenureMonths]]&lt;=36, "1-3 Years", TelecomData[[#This Row],[TenureMonths]]&gt;36, "3+ Years")</f>
        <v>0-1 Year</v>
      </c>
      <c r="N3303" s="2" t="str">
        <f>IF(TelecomData[[#This Row],[CleanedTotalCharges]]&gt;=2500,"High Spend", "Standard Spend")</f>
        <v>Standard Spend</v>
      </c>
    </row>
    <row r="3304" spans="1:14" x14ac:dyDescent="0.3">
      <c r="A3304" s="1" t="s">
        <v>3328</v>
      </c>
      <c r="B3304" s="2" t="s">
        <v>19</v>
      </c>
      <c r="C3304" s="2" t="s">
        <v>20</v>
      </c>
      <c r="D3304" s="2">
        <v>31</v>
      </c>
      <c r="E3304" s="2" t="s">
        <v>26</v>
      </c>
      <c r="F3304" s="2" t="s">
        <v>15</v>
      </c>
      <c r="G3304" s="7">
        <v>103.45</v>
      </c>
      <c r="H3304" s="7">
        <v>3066.45</v>
      </c>
      <c r="I3304" s="2" t="s">
        <v>16</v>
      </c>
      <c r="J3304" s="2" t="s">
        <v>16</v>
      </c>
      <c r="K3304" s="2" t="s">
        <v>17</v>
      </c>
      <c r="L3304" s="7">
        <v>3066.45</v>
      </c>
      <c r="M3304" s="2" t="str">
        <f>_xlfn.IFS(TelecomData[[#This Row],[TenureMonths]]&lt;=12, "0-1 Year", TelecomData[[#This Row],[TenureMonths]]&lt;=36, "1-3 Years", TelecomData[[#This Row],[TenureMonths]]&gt;36, "3+ Years")</f>
        <v>1-3 Years</v>
      </c>
      <c r="N3304" s="2" t="str">
        <f>IF(TelecomData[[#This Row],[CleanedTotalCharges]]&gt;=2500,"High Spend", "Standard Spend")</f>
        <v>High Spend</v>
      </c>
    </row>
    <row r="3305" spans="1:14" x14ac:dyDescent="0.3">
      <c r="A3305" s="1" t="s">
        <v>3329</v>
      </c>
      <c r="B3305" s="2" t="s">
        <v>12</v>
      </c>
      <c r="C3305" s="2" t="s">
        <v>13</v>
      </c>
      <c r="D3305" s="2">
        <v>4</v>
      </c>
      <c r="E3305" s="2" t="s">
        <v>26</v>
      </c>
      <c r="F3305" s="2" t="s">
        <v>15</v>
      </c>
      <c r="G3305" s="7">
        <v>77.95</v>
      </c>
      <c r="H3305" s="7">
        <v>305.55</v>
      </c>
      <c r="I3305" s="2" t="s">
        <v>16</v>
      </c>
      <c r="J3305" s="2" t="s">
        <v>15</v>
      </c>
      <c r="K3305" s="2" t="s">
        <v>24</v>
      </c>
      <c r="L3305" s="7">
        <v>305.55</v>
      </c>
      <c r="M3305" s="2" t="str">
        <f>_xlfn.IFS(TelecomData[[#This Row],[TenureMonths]]&lt;=12, "0-1 Year", TelecomData[[#This Row],[TenureMonths]]&lt;=36, "1-3 Years", TelecomData[[#This Row],[TenureMonths]]&gt;36, "3+ Years")</f>
        <v>0-1 Year</v>
      </c>
      <c r="N3305" s="2" t="str">
        <f>IF(TelecomData[[#This Row],[CleanedTotalCharges]]&gt;=2500,"High Spend", "Standard Spend")</f>
        <v>Standard Spend</v>
      </c>
    </row>
    <row r="3306" spans="1:14" x14ac:dyDescent="0.3">
      <c r="A3306" s="1" t="s">
        <v>3330</v>
      </c>
      <c r="B3306" s="2" t="s">
        <v>19</v>
      </c>
      <c r="C3306" s="2" t="s">
        <v>35</v>
      </c>
      <c r="D3306" s="2">
        <v>69</v>
      </c>
      <c r="E3306" s="2" t="s">
        <v>26</v>
      </c>
      <c r="F3306" s="2" t="s">
        <v>16</v>
      </c>
      <c r="G3306" s="7">
        <v>109.95</v>
      </c>
      <c r="H3306" s="7">
        <v>7634.25</v>
      </c>
      <c r="I3306" s="2" t="s">
        <v>15</v>
      </c>
      <c r="J3306" s="2" t="s">
        <v>16</v>
      </c>
      <c r="K3306" s="2" t="s">
        <v>17</v>
      </c>
      <c r="L3306" s="7">
        <v>7634.25</v>
      </c>
      <c r="M3306" s="2" t="str">
        <f>_xlfn.IFS(TelecomData[[#This Row],[TenureMonths]]&lt;=12, "0-1 Year", TelecomData[[#This Row],[TenureMonths]]&lt;=36, "1-3 Years", TelecomData[[#This Row],[TenureMonths]]&gt;36, "3+ Years")</f>
        <v>3+ Years</v>
      </c>
      <c r="N3306" s="2" t="str">
        <f>IF(TelecomData[[#This Row],[CleanedTotalCharges]]&gt;=2500,"High Spend", "Standard Spend")</f>
        <v>High Spend</v>
      </c>
    </row>
    <row r="3307" spans="1:14" x14ac:dyDescent="0.3">
      <c r="A3307" s="1" t="s">
        <v>3331</v>
      </c>
      <c r="B3307" s="2" t="s">
        <v>19</v>
      </c>
      <c r="C3307" s="2" t="s">
        <v>13</v>
      </c>
      <c r="D3307" s="2">
        <v>38</v>
      </c>
      <c r="E3307" s="2" t="s">
        <v>26</v>
      </c>
      <c r="F3307" s="2" t="s">
        <v>15</v>
      </c>
      <c r="G3307" s="7">
        <v>94.75</v>
      </c>
      <c r="H3307" s="7">
        <v>3653</v>
      </c>
      <c r="I3307" s="2" t="s">
        <v>15</v>
      </c>
      <c r="J3307" s="2" t="s">
        <v>15</v>
      </c>
      <c r="K3307" s="2" t="s">
        <v>17</v>
      </c>
      <c r="L3307" s="7">
        <v>3653</v>
      </c>
      <c r="M3307" s="2" t="str">
        <f>_xlfn.IFS(TelecomData[[#This Row],[TenureMonths]]&lt;=12, "0-1 Year", TelecomData[[#This Row],[TenureMonths]]&lt;=36, "1-3 Years", TelecomData[[#This Row],[TenureMonths]]&gt;36, "3+ Years")</f>
        <v>3+ Years</v>
      </c>
      <c r="N3307" s="2" t="str">
        <f>IF(TelecomData[[#This Row],[CleanedTotalCharges]]&gt;=2500,"High Spend", "Standard Spend")</f>
        <v>High Spend</v>
      </c>
    </row>
    <row r="3308" spans="1:14" x14ac:dyDescent="0.3">
      <c r="A3308" s="1" t="s">
        <v>3332</v>
      </c>
      <c r="B3308" s="2" t="s">
        <v>12</v>
      </c>
      <c r="C3308" s="2" t="s">
        <v>13</v>
      </c>
      <c r="D3308" s="2">
        <v>3</v>
      </c>
      <c r="E3308" s="2" t="s">
        <v>26</v>
      </c>
      <c r="F3308" s="2" t="s">
        <v>16</v>
      </c>
      <c r="G3308" s="7">
        <v>80</v>
      </c>
      <c r="H3308" s="7">
        <v>241.3</v>
      </c>
      <c r="I3308" s="2" t="s">
        <v>15</v>
      </c>
      <c r="J3308" s="2" t="s">
        <v>16</v>
      </c>
      <c r="K3308" s="2" t="s">
        <v>17</v>
      </c>
      <c r="L3308" s="7">
        <v>241.3</v>
      </c>
      <c r="M3308" s="2" t="str">
        <f>_xlfn.IFS(TelecomData[[#This Row],[TenureMonths]]&lt;=12, "0-1 Year", TelecomData[[#This Row],[TenureMonths]]&lt;=36, "1-3 Years", TelecomData[[#This Row],[TenureMonths]]&gt;36, "3+ Years")</f>
        <v>0-1 Year</v>
      </c>
      <c r="N3308" s="2" t="str">
        <f>IF(TelecomData[[#This Row],[CleanedTotalCharges]]&gt;=2500,"High Spend", "Standard Spend")</f>
        <v>Standard Spend</v>
      </c>
    </row>
    <row r="3309" spans="1:14" x14ac:dyDescent="0.3">
      <c r="A3309" s="1" t="s">
        <v>3333</v>
      </c>
      <c r="B3309" s="2" t="s">
        <v>12</v>
      </c>
      <c r="C3309" s="2" t="s">
        <v>35</v>
      </c>
      <c r="D3309" s="2">
        <v>48</v>
      </c>
      <c r="E3309" s="2" t="s">
        <v>14</v>
      </c>
      <c r="F3309" s="2" t="s">
        <v>16</v>
      </c>
      <c r="G3309" s="7">
        <v>79.650000000000006</v>
      </c>
      <c r="H3309" s="7">
        <v>3870.3</v>
      </c>
      <c r="I3309" s="2" t="s">
        <v>15</v>
      </c>
      <c r="J3309" s="2" t="s">
        <v>15</v>
      </c>
      <c r="K3309" s="2" t="s">
        <v>17</v>
      </c>
      <c r="L3309" s="7">
        <v>3870.3</v>
      </c>
      <c r="M3309" s="2" t="str">
        <f>_xlfn.IFS(TelecomData[[#This Row],[TenureMonths]]&lt;=12, "0-1 Year", TelecomData[[#This Row],[TenureMonths]]&lt;=36, "1-3 Years", TelecomData[[#This Row],[TenureMonths]]&gt;36, "3+ Years")</f>
        <v>3+ Years</v>
      </c>
      <c r="N3309" s="2" t="str">
        <f>IF(TelecomData[[#This Row],[CleanedTotalCharges]]&gt;=2500,"High Spend", "Standard Spend")</f>
        <v>High Spend</v>
      </c>
    </row>
    <row r="3310" spans="1:14" x14ac:dyDescent="0.3">
      <c r="A3310" s="1" t="s">
        <v>3334</v>
      </c>
      <c r="B3310" s="2" t="s">
        <v>12</v>
      </c>
      <c r="C3310" s="2" t="s">
        <v>35</v>
      </c>
      <c r="D3310" s="2">
        <v>15</v>
      </c>
      <c r="E3310" s="2" t="s">
        <v>15</v>
      </c>
      <c r="F3310" s="2" t="s">
        <v>36</v>
      </c>
      <c r="G3310" s="7">
        <v>25.2</v>
      </c>
      <c r="H3310" s="7">
        <v>387.9</v>
      </c>
      <c r="I3310" s="2" t="s">
        <v>15</v>
      </c>
      <c r="J3310" s="2" t="s">
        <v>15</v>
      </c>
      <c r="K3310" s="2" t="s">
        <v>21</v>
      </c>
      <c r="L3310" s="7">
        <v>387.9</v>
      </c>
      <c r="M3310" s="2" t="str">
        <f>_xlfn.IFS(TelecomData[[#This Row],[TenureMonths]]&lt;=12, "0-1 Year", TelecomData[[#This Row],[TenureMonths]]&lt;=36, "1-3 Years", TelecomData[[#This Row],[TenureMonths]]&gt;36, "3+ Years")</f>
        <v>1-3 Years</v>
      </c>
      <c r="N3310" s="2" t="str">
        <f>IF(TelecomData[[#This Row],[CleanedTotalCharges]]&gt;=2500,"High Spend", "Standard Spend")</f>
        <v>Standard Spend</v>
      </c>
    </row>
    <row r="3311" spans="1:14" x14ac:dyDescent="0.3">
      <c r="A3311" s="1" t="s">
        <v>3335</v>
      </c>
      <c r="B3311" s="2" t="s">
        <v>12</v>
      </c>
      <c r="C3311" s="2" t="s">
        <v>20</v>
      </c>
      <c r="D3311" s="2">
        <v>25</v>
      </c>
      <c r="E3311" s="2" t="s">
        <v>15</v>
      </c>
      <c r="F3311" s="2" t="s">
        <v>36</v>
      </c>
      <c r="G3311" s="7">
        <v>19.899999999999999</v>
      </c>
      <c r="H3311" s="7">
        <v>527.5</v>
      </c>
      <c r="I3311" s="2" t="s">
        <v>15</v>
      </c>
      <c r="J3311" s="2" t="s">
        <v>15</v>
      </c>
      <c r="K3311" s="2" t="s">
        <v>29</v>
      </c>
      <c r="L3311" s="7">
        <v>527.5</v>
      </c>
      <c r="M3311" s="2" t="str">
        <f>_xlfn.IFS(TelecomData[[#This Row],[TenureMonths]]&lt;=12, "0-1 Year", TelecomData[[#This Row],[TenureMonths]]&lt;=36, "1-3 Years", TelecomData[[#This Row],[TenureMonths]]&gt;36, "3+ Years")</f>
        <v>1-3 Years</v>
      </c>
      <c r="N3311" s="2" t="str">
        <f>IF(TelecomData[[#This Row],[CleanedTotalCharges]]&gt;=2500,"High Spend", "Standard Spend")</f>
        <v>Standard Spend</v>
      </c>
    </row>
    <row r="3312" spans="1:14" x14ac:dyDescent="0.3">
      <c r="A3312" s="1" t="s">
        <v>3336</v>
      </c>
      <c r="B3312" s="2" t="s">
        <v>12</v>
      </c>
      <c r="C3312" s="2" t="s">
        <v>13</v>
      </c>
      <c r="D3312" s="2">
        <v>1</v>
      </c>
      <c r="E3312" s="2" t="s">
        <v>26</v>
      </c>
      <c r="F3312" s="2" t="s">
        <v>15</v>
      </c>
      <c r="G3312" s="7">
        <v>78.45</v>
      </c>
      <c r="H3312" s="7">
        <v>78.45</v>
      </c>
      <c r="I3312" s="2" t="s">
        <v>16</v>
      </c>
      <c r="J3312" s="2" t="s">
        <v>15</v>
      </c>
      <c r="K3312" s="2" t="s">
        <v>17</v>
      </c>
      <c r="L3312" s="7">
        <v>78.45</v>
      </c>
      <c r="M3312" s="2" t="str">
        <f>_xlfn.IFS(TelecomData[[#This Row],[TenureMonths]]&lt;=12, "0-1 Year", TelecomData[[#This Row],[TenureMonths]]&lt;=36, "1-3 Years", TelecomData[[#This Row],[TenureMonths]]&gt;36, "3+ Years")</f>
        <v>0-1 Year</v>
      </c>
      <c r="N3312" s="2" t="str">
        <f>IF(TelecomData[[#This Row],[CleanedTotalCharges]]&gt;=2500,"High Spend", "Standard Spend")</f>
        <v>Standard Spend</v>
      </c>
    </row>
    <row r="3313" spans="1:14" x14ac:dyDescent="0.3">
      <c r="A3313" s="1" t="s">
        <v>3337</v>
      </c>
      <c r="B3313" s="2" t="s">
        <v>12</v>
      </c>
      <c r="C3313" s="2" t="s">
        <v>13</v>
      </c>
      <c r="D3313" s="2">
        <v>48</v>
      </c>
      <c r="E3313" s="2" t="s">
        <v>14</v>
      </c>
      <c r="F3313" s="2" t="s">
        <v>15</v>
      </c>
      <c r="G3313" s="7">
        <v>44.8</v>
      </c>
      <c r="H3313" s="7">
        <v>2104.5500000000002</v>
      </c>
      <c r="I3313" s="2" t="s">
        <v>15</v>
      </c>
      <c r="J3313" s="2" t="s">
        <v>16</v>
      </c>
      <c r="K3313" s="2" t="s">
        <v>17</v>
      </c>
      <c r="L3313" s="7">
        <v>2104.5500000000002</v>
      </c>
      <c r="M3313" s="2" t="str">
        <f>_xlfn.IFS(TelecomData[[#This Row],[TenureMonths]]&lt;=12, "0-1 Year", TelecomData[[#This Row],[TenureMonths]]&lt;=36, "1-3 Years", TelecomData[[#This Row],[TenureMonths]]&gt;36, "3+ Years")</f>
        <v>3+ Years</v>
      </c>
      <c r="N3313" s="2" t="str">
        <f>IF(TelecomData[[#This Row],[CleanedTotalCharges]]&gt;=2500,"High Spend", "Standard Spend")</f>
        <v>Standard Spend</v>
      </c>
    </row>
    <row r="3314" spans="1:14" x14ac:dyDescent="0.3">
      <c r="A3314" s="1" t="s">
        <v>3338</v>
      </c>
      <c r="B3314" s="2" t="s">
        <v>19</v>
      </c>
      <c r="C3314" s="2" t="s">
        <v>13</v>
      </c>
      <c r="D3314" s="2">
        <v>1</v>
      </c>
      <c r="E3314" s="2" t="s">
        <v>15</v>
      </c>
      <c r="F3314" s="2" t="s">
        <v>36</v>
      </c>
      <c r="G3314" s="7">
        <v>20.3</v>
      </c>
      <c r="H3314" s="7">
        <v>20.3</v>
      </c>
      <c r="I3314" s="2" t="s">
        <v>15</v>
      </c>
      <c r="J3314" s="2" t="s">
        <v>15</v>
      </c>
      <c r="K3314" s="2" t="s">
        <v>21</v>
      </c>
      <c r="L3314" s="7">
        <v>20.3</v>
      </c>
      <c r="M3314" s="2" t="str">
        <f>_xlfn.IFS(TelecomData[[#This Row],[TenureMonths]]&lt;=12, "0-1 Year", TelecomData[[#This Row],[TenureMonths]]&lt;=36, "1-3 Years", TelecomData[[#This Row],[TenureMonths]]&gt;36, "3+ Years")</f>
        <v>0-1 Year</v>
      </c>
      <c r="N3314" s="2" t="str">
        <f>IF(TelecomData[[#This Row],[CleanedTotalCharges]]&gt;=2500,"High Spend", "Standard Spend")</f>
        <v>Standard Spend</v>
      </c>
    </row>
    <row r="3315" spans="1:14" x14ac:dyDescent="0.3">
      <c r="A3315" s="1" t="s">
        <v>3339</v>
      </c>
      <c r="B3315" s="2" t="s">
        <v>19</v>
      </c>
      <c r="C3315" s="2" t="s">
        <v>13</v>
      </c>
      <c r="D3315" s="2">
        <v>1</v>
      </c>
      <c r="E3315" s="2" t="s">
        <v>15</v>
      </c>
      <c r="F3315" s="2" t="s">
        <v>36</v>
      </c>
      <c r="G3315" s="7">
        <v>19.2</v>
      </c>
      <c r="H3315" s="7">
        <v>19.2</v>
      </c>
      <c r="I3315" s="2" t="s">
        <v>15</v>
      </c>
      <c r="J3315" s="2" t="s">
        <v>15</v>
      </c>
      <c r="K3315" s="2" t="s">
        <v>17</v>
      </c>
      <c r="L3315" s="7">
        <v>19.2</v>
      </c>
      <c r="M3315" s="2" t="str">
        <f>_xlfn.IFS(TelecomData[[#This Row],[TenureMonths]]&lt;=12, "0-1 Year", TelecomData[[#This Row],[TenureMonths]]&lt;=36, "1-3 Years", TelecomData[[#This Row],[TenureMonths]]&gt;36, "3+ Years")</f>
        <v>0-1 Year</v>
      </c>
      <c r="N3315" s="2" t="str">
        <f>IF(TelecomData[[#This Row],[CleanedTotalCharges]]&gt;=2500,"High Spend", "Standard Spend")</f>
        <v>Standard Spend</v>
      </c>
    </row>
    <row r="3316" spans="1:14" x14ac:dyDescent="0.3">
      <c r="A3316" s="1" t="s">
        <v>3340</v>
      </c>
      <c r="B3316" s="2" t="s">
        <v>12</v>
      </c>
      <c r="C3316" s="2" t="s">
        <v>20</v>
      </c>
      <c r="D3316" s="2">
        <v>37</v>
      </c>
      <c r="E3316" s="2" t="s">
        <v>26</v>
      </c>
      <c r="F3316" s="2" t="s">
        <v>15</v>
      </c>
      <c r="G3316" s="7">
        <v>80.05</v>
      </c>
      <c r="H3316" s="7">
        <v>3019.1</v>
      </c>
      <c r="I3316" s="2" t="s">
        <v>15</v>
      </c>
      <c r="J3316" s="2" t="s">
        <v>15</v>
      </c>
      <c r="K3316" s="2" t="s">
        <v>17</v>
      </c>
      <c r="L3316" s="7">
        <v>3019.1</v>
      </c>
      <c r="M3316" s="2" t="str">
        <f>_xlfn.IFS(TelecomData[[#This Row],[TenureMonths]]&lt;=12, "0-1 Year", TelecomData[[#This Row],[TenureMonths]]&lt;=36, "1-3 Years", TelecomData[[#This Row],[TenureMonths]]&gt;36, "3+ Years")</f>
        <v>3+ Years</v>
      </c>
      <c r="N3316" s="2" t="str">
        <f>IF(TelecomData[[#This Row],[CleanedTotalCharges]]&gt;=2500,"High Spend", "Standard Spend")</f>
        <v>High Spend</v>
      </c>
    </row>
    <row r="3317" spans="1:14" x14ac:dyDescent="0.3">
      <c r="A3317" s="1" t="s">
        <v>3341</v>
      </c>
      <c r="B3317" s="2" t="s">
        <v>19</v>
      </c>
      <c r="C3317" s="2" t="s">
        <v>20</v>
      </c>
      <c r="D3317" s="2">
        <v>66</v>
      </c>
      <c r="E3317" s="2" t="s">
        <v>26</v>
      </c>
      <c r="F3317" s="2" t="s">
        <v>16</v>
      </c>
      <c r="G3317" s="7">
        <v>107.35</v>
      </c>
      <c r="H3317" s="7">
        <v>7051.95</v>
      </c>
      <c r="I3317" s="2" t="s">
        <v>15</v>
      </c>
      <c r="J3317" s="2" t="s">
        <v>16</v>
      </c>
      <c r="K3317" s="2" t="s">
        <v>24</v>
      </c>
      <c r="L3317" s="7">
        <v>7051.95</v>
      </c>
      <c r="M3317" s="2" t="str">
        <f>_xlfn.IFS(TelecomData[[#This Row],[TenureMonths]]&lt;=12, "0-1 Year", TelecomData[[#This Row],[TenureMonths]]&lt;=36, "1-3 Years", TelecomData[[#This Row],[TenureMonths]]&gt;36, "3+ Years")</f>
        <v>3+ Years</v>
      </c>
      <c r="N3317" s="2" t="str">
        <f>IF(TelecomData[[#This Row],[CleanedTotalCharges]]&gt;=2500,"High Spend", "Standard Spend")</f>
        <v>High Spend</v>
      </c>
    </row>
    <row r="3318" spans="1:14" x14ac:dyDescent="0.3">
      <c r="A3318" s="1" t="s">
        <v>3342</v>
      </c>
      <c r="B3318" s="2" t="s">
        <v>12</v>
      </c>
      <c r="C3318" s="2" t="s">
        <v>20</v>
      </c>
      <c r="D3318" s="2">
        <v>26</v>
      </c>
      <c r="E3318" s="2" t="s">
        <v>14</v>
      </c>
      <c r="F3318" s="2" t="s">
        <v>15</v>
      </c>
      <c r="G3318" s="7">
        <v>47.85</v>
      </c>
      <c r="H3318" s="7">
        <v>1190.5</v>
      </c>
      <c r="I3318" s="2" t="s">
        <v>15</v>
      </c>
      <c r="J3318" s="2" t="s">
        <v>15</v>
      </c>
      <c r="K3318" s="2" t="s">
        <v>24</v>
      </c>
      <c r="L3318" s="7">
        <v>1190.5</v>
      </c>
      <c r="M3318" s="2" t="str">
        <f>_xlfn.IFS(TelecomData[[#This Row],[TenureMonths]]&lt;=12, "0-1 Year", TelecomData[[#This Row],[TenureMonths]]&lt;=36, "1-3 Years", TelecomData[[#This Row],[TenureMonths]]&gt;36, "3+ Years")</f>
        <v>1-3 Years</v>
      </c>
      <c r="N3318" s="2" t="str">
        <f>IF(TelecomData[[#This Row],[CleanedTotalCharges]]&gt;=2500,"High Spend", "Standard Spend")</f>
        <v>Standard Spend</v>
      </c>
    </row>
    <row r="3319" spans="1:14" x14ac:dyDescent="0.3">
      <c r="A3319" s="1" t="s">
        <v>3343</v>
      </c>
      <c r="B3319" s="2" t="s">
        <v>19</v>
      </c>
      <c r="C3319" s="2" t="s">
        <v>20</v>
      </c>
      <c r="D3319" s="2">
        <v>63</v>
      </c>
      <c r="E3319" s="2" t="s">
        <v>14</v>
      </c>
      <c r="F3319" s="2" t="s">
        <v>16</v>
      </c>
      <c r="G3319" s="7">
        <v>70.8</v>
      </c>
      <c r="H3319" s="7">
        <v>4448.8</v>
      </c>
      <c r="I3319" s="2" t="s">
        <v>15</v>
      </c>
      <c r="J3319" s="2" t="s">
        <v>15</v>
      </c>
      <c r="K3319" s="2" t="s">
        <v>29</v>
      </c>
      <c r="L3319" s="7">
        <v>4448.8</v>
      </c>
      <c r="M3319" s="2" t="str">
        <f>_xlfn.IFS(TelecomData[[#This Row],[TenureMonths]]&lt;=12, "0-1 Year", TelecomData[[#This Row],[TenureMonths]]&lt;=36, "1-3 Years", TelecomData[[#This Row],[TenureMonths]]&gt;36, "3+ Years")</f>
        <v>3+ Years</v>
      </c>
      <c r="N3319" s="2" t="str">
        <f>IF(TelecomData[[#This Row],[CleanedTotalCharges]]&gt;=2500,"High Spend", "Standard Spend")</f>
        <v>High Spend</v>
      </c>
    </row>
    <row r="3320" spans="1:14" x14ac:dyDescent="0.3">
      <c r="A3320" s="1" t="s">
        <v>3344</v>
      </c>
      <c r="B3320" s="2" t="s">
        <v>19</v>
      </c>
      <c r="C3320" s="2" t="s">
        <v>13</v>
      </c>
      <c r="D3320" s="2">
        <v>10</v>
      </c>
      <c r="E3320" s="2" t="s">
        <v>14</v>
      </c>
      <c r="F3320" s="2" t="s">
        <v>15</v>
      </c>
      <c r="G3320" s="7">
        <v>29.5</v>
      </c>
      <c r="H3320" s="7">
        <v>255.25</v>
      </c>
      <c r="I3320" s="2" t="s">
        <v>16</v>
      </c>
      <c r="J3320" s="2" t="s">
        <v>15</v>
      </c>
      <c r="K3320" s="2" t="s">
        <v>21</v>
      </c>
      <c r="L3320" s="7">
        <v>255.25</v>
      </c>
      <c r="M3320" s="2" t="str">
        <f>_xlfn.IFS(TelecomData[[#This Row],[TenureMonths]]&lt;=12, "0-1 Year", TelecomData[[#This Row],[TenureMonths]]&lt;=36, "1-3 Years", TelecomData[[#This Row],[TenureMonths]]&gt;36, "3+ Years")</f>
        <v>0-1 Year</v>
      </c>
      <c r="N3320" s="2" t="str">
        <f>IF(TelecomData[[#This Row],[CleanedTotalCharges]]&gt;=2500,"High Spend", "Standard Spend")</f>
        <v>Standard Spend</v>
      </c>
    </row>
    <row r="3321" spans="1:14" x14ac:dyDescent="0.3">
      <c r="A3321" s="1" t="s">
        <v>3345</v>
      </c>
      <c r="B3321" s="2" t="s">
        <v>12</v>
      </c>
      <c r="C3321" s="2" t="s">
        <v>13</v>
      </c>
      <c r="D3321" s="2">
        <v>2</v>
      </c>
      <c r="E3321" s="2" t="s">
        <v>14</v>
      </c>
      <c r="F3321" s="2" t="s">
        <v>15</v>
      </c>
      <c r="G3321" s="7">
        <v>70.75</v>
      </c>
      <c r="H3321" s="7">
        <v>146.9</v>
      </c>
      <c r="I3321" s="2" t="s">
        <v>16</v>
      </c>
      <c r="J3321" s="2" t="s">
        <v>16</v>
      </c>
      <c r="K3321" s="2" t="s">
        <v>17</v>
      </c>
      <c r="L3321" s="7">
        <v>146.9</v>
      </c>
      <c r="M3321" s="2" t="str">
        <f>_xlfn.IFS(TelecomData[[#This Row],[TenureMonths]]&lt;=12, "0-1 Year", TelecomData[[#This Row],[TenureMonths]]&lt;=36, "1-3 Years", TelecomData[[#This Row],[TenureMonths]]&gt;36, "3+ Years")</f>
        <v>0-1 Year</v>
      </c>
      <c r="N3321" s="2" t="str">
        <f>IF(TelecomData[[#This Row],[CleanedTotalCharges]]&gt;=2500,"High Spend", "Standard Spend")</f>
        <v>Standard Spend</v>
      </c>
    </row>
    <row r="3322" spans="1:14" x14ac:dyDescent="0.3">
      <c r="A3322" s="1" t="s">
        <v>3346</v>
      </c>
      <c r="B3322" s="2" t="s">
        <v>19</v>
      </c>
      <c r="C3322" s="2" t="s">
        <v>13</v>
      </c>
      <c r="D3322" s="2">
        <v>18</v>
      </c>
      <c r="E3322" s="2" t="s">
        <v>14</v>
      </c>
      <c r="F3322" s="2" t="s">
        <v>15</v>
      </c>
      <c r="G3322" s="7">
        <v>59.1</v>
      </c>
      <c r="H3322" s="7">
        <v>1011.05</v>
      </c>
      <c r="I3322" s="2" t="s">
        <v>15</v>
      </c>
      <c r="J3322" s="2" t="s">
        <v>16</v>
      </c>
      <c r="K3322" s="2" t="s">
        <v>29</v>
      </c>
      <c r="L3322" s="7">
        <v>1011.05</v>
      </c>
      <c r="M3322" s="2" t="str">
        <f>_xlfn.IFS(TelecomData[[#This Row],[TenureMonths]]&lt;=12, "0-1 Year", TelecomData[[#This Row],[TenureMonths]]&lt;=36, "1-3 Years", TelecomData[[#This Row],[TenureMonths]]&gt;36, "3+ Years")</f>
        <v>1-3 Years</v>
      </c>
      <c r="N3322" s="2" t="str">
        <f>IF(TelecomData[[#This Row],[CleanedTotalCharges]]&gt;=2500,"High Spend", "Standard Spend")</f>
        <v>Standard Spend</v>
      </c>
    </row>
    <row r="3323" spans="1:14" x14ac:dyDescent="0.3">
      <c r="A3323" s="1" t="s">
        <v>3347</v>
      </c>
      <c r="B3323" s="2" t="s">
        <v>12</v>
      </c>
      <c r="C3323" s="2" t="s">
        <v>35</v>
      </c>
      <c r="D3323" s="2">
        <v>64</v>
      </c>
      <c r="E3323" s="2" t="s">
        <v>15</v>
      </c>
      <c r="F3323" s="2" t="s">
        <v>36</v>
      </c>
      <c r="G3323" s="7">
        <v>25.55</v>
      </c>
      <c r="H3323" s="7">
        <v>1714.95</v>
      </c>
      <c r="I3323" s="2" t="s">
        <v>15</v>
      </c>
      <c r="J3323" s="2" t="s">
        <v>15</v>
      </c>
      <c r="K3323" s="2" t="s">
        <v>21</v>
      </c>
      <c r="L3323" s="7">
        <v>1714.95</v>
      </c>
      <c r="M3323" s="2" t="str">
        <f>_xlfn.IFS(TelecomData[[#This Row],[TenureMonths]]&lt;=12, "0-1 Year", TelecomData[[#This Row],[TenureMonths]]&lt;=36, "1-3 Years", TelecomData[[#This Row],[TenureMonths]]&gt;36, "3+ Years")</f>
        <v>3+ Years</v>
      </c>
      <c r="N3323" s="2" t="str">
        <f>IF(TelecomData[[#This Row],[CleanedTotalCharges]]&gt;=2500,"High Spend", "Standard Spend")</f>
        <v>Standard Spend</v>
      </c>
    </row>
    <row r="3324" spans="1:14" x14ac:dyDescent="0.3">
      <c r="A3324" s="1" t="s">
        <v>3348</v>
      </c>
      <c r="B3324" s="2" t="s">
        <v>12</v>
      </c>
      <c r="C3324" s="2" t="s">
        <v>13</v>
      </c>
      <c r="D3324" s="2">
        <v>9</v>
      </c>
      <c r="E3324" s="2" t="s">
        <v>26</v>
      </c>
      <c r="F3324" s="2" t="s">
        <v>15</v>
      </c>
      <c r="G3324" s="7">
        <v>84.45</v>
      </c>
      <c r="H3324" s="7">
        <v>762.5</v>
      </c>
      <c r="I3324" s="2" t="s">
        <v>16</v>
      </c>
      <c r="J3324" s="2" t="s">
        <v>16</v>
      </c>
      <c r="K3324" s="2" t="s">
        <v>17</v>
      </c>
      <c r="L3324" s="7">
        <v>762.5</v>
      </c>
      <c r="M3324" s="2" t="str">
        <f>_xlfn.IFS(TelecomData[[#This Row],[TenureMonths]]&lt;=12, "0-1 Year", TelecomData[[#This Row],[TenureMonths]]&lt;=36, "1-3 Years", TelecomData[[#This Row],[TenureMonths]]&gt;36, "3+ Years")</f>
        <v>0-1 Year</v>
      </c>
      <c r="N3324" s="2" t="str">
        <f>IF(TelecomData[[#This Row],[CleanedTotalCharges]]&gt;=2500,"High Spend", "Standard Spend")</f>
        <v>Standard Spend</v>
      </c>
    </row>
    <row r="3325" spans="1:14" x14ac:dyDescent="0.3">
      <c r="A3325" s="1" t="s">
        <v>3349</v>
      </c>
      <c r="B3325" s="2" t="s">
        <v>12</v>
      </c>
      <c r="C3325" s="2" t="s">
        <v>13</v>
      </c>
      <c r="D3325" s="2">
        <v>28</v>
      </c>
      <c r="E3325" s="2" t="s">
        <v>15</v>
      </c>
      <c r="F3325" s="2" t="s">
        <v>36</v>
      </c>
      <c r="G3325" s="7">
        <v>20.25</v>
      </c>
      <c r="H3325" s="7">
        <v>535.35</v>
      </c>
      <c r="I3325" s="2" t="s">
        <v>15</v>
      </c>
      <c r="J3325" s="2" t="s">
        <v>15</v>
      </c>
      <c r="K3325" s="2" t="s">
        <v>21</v>
      </c>
      <c r="L3325" s="7">
        <v>535.35</v>
      </c>
      <c r="M3325" s="2" t="str">
        <f>_xlfn.IFS(TelecomData[[#This Row],[TenureMonths]]&lt;=12, "0-1 Year", TelecomData[[#This Row],[TenureMonths]]&lt;=36, "1-3 Years", TelecomData[[#This Row],[TenureMonths]]&gt;36, "3+ Years")</f>
        <v>1-3 Years</v>
      </c>
      <c r="N3325" s="2" t="str">
        <f>IF(TelecomData[[#This Row],[CleanedTotalCharges]]&gt;=2500,"High Spend", "Standard Spend")</f>
        <v>Standard Spend</v>
      </c>
    </row>
    <row r="3326" spans="1:14" x14ac:dyDescent="0.3">
      <c r="A3326" s="1" t="s">
        <v>3350</v>
      </c>
      <c r="B3326" s="2" t="s">
        <v>12</v>
      </c>
      <c r="C3326" s="2" t="s">
        <v>13</v>
      </c>
      <c r="D3326" s="2">
        <v>1</v>
      </c>
      <c r="E3326" s="2" t="s">
        <v>26</v>
      </c>
      <c r="F3326" s="2" t="s">
        <v>15</v>
      </c>
      <c r="G3326" s="7">
        <v>75.55</v>
      </c>
      <c r="H3326" s="7">
        <v>75.55</v>
      </c>
      <c r="I3326" s="2" t="s">
        <v>15</v>
      </c>
      <c r="J3326" s="2" t="s">
        <v>15</v>
      </c>
      <c r="K3326" s="2" t="s">
        <v>17</v>
      </c>
      <c r="L3326" s="7">
        <v>75.55</v>
      </c>
      <c r="M3326" s="2" t="str">
        <f>_xlfn.IFS(TelecomData[[#This Row],[TenureMonths]]&lt;=12, "0-1 Year", TelecomData[[#This Row],[TenureMonths]]&lt;=36, "1-3 Years", TelecomData[[#This Row],[TenureMonths]]&gt;36, "3+ Years")</f>
        <v>0-1 Year</v>
      </c>
      <c r="N3326" s="2" t="str">
        <f>IF(TelecomData[[#This Row],[CleanedTotalCharges]]&gt;=2500,"High Spend", "Standard Spend")</f>
        <v>Standard Spend</v>
      </c>
    </row>
    <row r="3327" spans="1:14" x14ac:dyDescent="0.3">
      <c r="A3327" s="1" t="s">
        <v>3351</v>
      </c>
      <c r="B3327" s="2" t="s">
        <v>19</v>
      </c>
      <c r="C3327" s="2" t="s">
        <v>13</v>
      </c>
      <c r="D3327" s="2">
        <v>4</v>
      </c>
      <c r="E3327" s="2" t="s">
        <v>26</v>
      </c>
      <c r="F3327" s="2" t="s">
        <v>15</v>
      </c>
      <c r="G3327" s="7">
        <v>85.65</v>
      </c>
      <c r="H3327" s="7">
        <v>338.9</v>
      </c>
      <c r="I3327" s="2" t="s">
        <v>16</v>
      </c>
      <c r="J3327" s="2" t="s">
        <v>16</v>
      </c>
      <c r="K3327" s="2" t="s">
        <v>17</v>
      </c>
      <c r="L3327" s="7">
        <v>338.9</v>
      </c>
      <c r="M3327" s="2" t="str">
        <f>_xlfn.IFS(TelecomData[[#This Row],[TenureMonths]]&lt;=12, "0-1 Year", TelecomData[[#This Row],[TenureMonths]]&lt;=36, "1-3 Years", TelecomData[[#This Row],[TenureMonths]]&gt;36, "3+ Years")</f>
        <v>0-1 Year</v>
      </c>
      <c r="N3327" s="2" t="str">
        <f>IF(TelecomData[[#This Row],[CleanedTotalCharges]]&gt;=2500,"High Spend", "Standard Spend")</f>
        <v>Standard Spend</v>
      </c>
    </row>
    <row r="3328" spans="1:14" x14ac:dyDescent="0.3">
      <c r="A3328" s="1" t="s">
        <v>3352</v>
      </c>
      <c r="B3328" s="2" t="s">
        <v>19</v>
      </c>
      <c r="C3328" s="2" t="s">
        <v>20</v>
      </c>
      <c r="D3328" s="2">
        <v>38</v>
      </c>
      <c r="E3328" s="2" t="s">
        <v>14</v>
      </c>
      <c r="F3328" s="2" t="s">
        <v>16</v>
      </c>
      <c r="G3328" s="7">
        <v>70.150000000000006</v>
      </c>
      <c r="H3328" s="7">
        <v>2497.35</v>
      </c>
      <c r="I3328" s="2" t="s">
        <v>16</v>
      </c>
      <c r="J3328" s="2" t="s">
        <v>16</v>
      </c>
      <c r="K3328" s="2" t="s">
        <v>29</v>
      </c>
      <c r="L3328" s="7">
        <v>2497.35</v>
      </c>
      <c r="M3328" s="2" t="str">
        <f>_xlfn.IFS(TelecomData[[#This Row],[TenureMonths]]&lt;=12, "0-1 Year", TelecomData[[#This Row],[TenureMonths]]&lt;=36, "1-3 Years", TelecomData[[#This Row],[TenureMonths]]&gt;36, "3+ Years")</f>
        <v>3+ Years</v>
      </c>
      <c r="N3328" s="2" t="str">
        <f>IF(TelecomData[[#This Row],[CleanedTotalCharges]]&gt;=2500,"High Spend", "Standard Spend")</f>
        <v>Standard Spend</v>
      </c>
    </row>
    <row r="3329" spans="1:14" x14ac:dyDescent="0.3">
      <c r="A3329" s="1" t="s">
        <v>3353</v>
      </c>
      <c r="B3329" s="2" t="s">
        <v>19</v>
      </c>
      <c r="C3329" s="2" t="s">
        <v>20</v>
      </c>
      <c r="D3329" s="2">
        <v>66</v>
      </c>
      <c r="E3329" s="2" t="s">
        <v>26</v>
      </c>
      <c r="F3329" s="2" t="s">
        <v>15</v>
      </c>
      <c r="G3329" s="7">
        <v>95.3</v>
      </c>
      <c r="H3329" s="7">
        <v>6273.4</v>
      </c>
      <c r="I3329" s="2" t="s">
        <v>15</v>
      </c>
      <c r="J3329" s="2" t="s">
        <v>15</v>
      </c>
      <c r="K3329" s="2" t="s">
        <v>17</v>
      </c>
      <c r="L3329" s="7">
        <v>6273.4</v>
      </c>
      <c r="M3329" s="2" t="str">
        <f>_xlfn.IFS(TelecomData[[#This Row],[TenureMonths]]&lt;=12, "0-1 Year", TelecomData[[#This Row],[TenureMonths]]&lt;=36, "1-3 Years", TelecomData[[#This Row],[TenureMonths]]&gt;36, "3+ Years")</f>
        <v>3+ Years</v>
      </c>
      <c r="N3329" s="2" t="str">
        <f>IF(TelecomData[[#This Row],[CleanedTotalCharges]]&gt;=2500,"High Spend", "Standard Spend")</f>
        <v>High Spend</v>
      </c>
    </row>
    <row r="3330" spans="1:14" x14ac:dyDescent="0.3">
      <c r="A3330" s="1" t="s">
        <v>3354</v>
      </c>
      <c r="B3330" s="2" t="s">
        <v>12</v>
      </c>
      <c r="C3330" s="2" t="s">
        <v>13</v>
      </c>
      <c r="D3330" s="2">
        <v>1</v>
      </c>
      <c r="E3330" s="2" t="s">
        <v>26</v>
      </c>
      <c r="F3330" s="2" t="s">
        <v>15</v>
      </c>
      <c r="G3330" s="7">
        <v>70.25</v>
      </c>
      <c r="H3330" s="7">
        <v>70.25</v>
      </c>
      <c r="I3330" s="2" t="s">
        <v>15</v>
      </c>
      <c r="J3330" s="2" t="s">
        <v>16</v>
      </c>
      <c r="K3330" s="2" t="s">
        <v>17</v>
      </c>
      <c r="L3330" s="7">
        <v>70.25</v>
      </c>
      <c r="M3330" s="2" t="str">
        <f>_xlfn.IFS(TelecomData[[#This Row],[TenureMonths]]&lt;=12, "0-1 Year", TelecomData[[#This Row],[TenureMonths]]&lt;=36, "1-3 Years", TelecomData[[#This Row],[TenureMonths]]&gt;36, "3+ Years")</f>
        <v>0-1 Year</v>
      </c>
      <c r="N3330" s="2" t="str">
        <f>IF(TelecomData[[#This Row],[CleanedTotalCharges]]&gt;=2500,"High Spend", "Standard Spend")</f>
        <v>Standard Spend</v>
      </c>
    </row>
    <row r="3331" spans="1:14" x14ac:dyDescent="0.3">
      <c r="A3331" s="1" t="s">
        <v>3355</v>
      </c>
      <c r="B3331" s="2" t="s">
        <v>12</v>
      </c>
      <c r="C3331" s="2" t="s">
        <v>13</v>
      </c>
      <c r="D3331" s="2">
        <v>18</v>
      </c>
      <c r="E3331" s="2" t="s">
        <v>14</v>
      </c>
      <c r="F3331" s="2" t="s">
        <v>16</v>
      </c>
      <c r="G3331" s="7">
        <v>50.3</v>
      </c>
      <c r="H3331" s="7">
        <v>908.75</v>
      </c>
      <c r="I3331" s="2" t="s">
        <v>15</v>
      </c>
      <c r="J3331" s="2" t="s">
        <v>16</v>
      </c>
      <c r="K3331" s="2" t="s">
        <v>21</v>
      </c>
      <c r="L3331" s="7">
        <v>908.75</v>
      </c>
      <c r="M3331" s="2" t="str">
        <f>_xlfn.IFS(TelecomData[[#This Row],[TenureMonths]]&lt;=12, "0-1 Year", TelecomData[[#This Row],[TenureMonths]]&lt;=36, "1-3 Years", TelecomData[[#This Row],[TenureMonths]]&gt;36, "3+ Years")</f>
        <v>1-3 Years</v>
      </c>
      <c r="N3331" s="2" t="str">
        <f>IF(TelecomData[[#This Row],[CleanedTotalCharges]]&gt;=2500,"High Spend", "Standard Spend")</f>
        <v>Standard Spend</v>
      </c>
    </row>
    <row r="3332" spans="1:14" x14ac:dyDescent="0.3">
      <c r="A3332" s="1" t="s">
        <v>3356</v>
      </c>
      <c r="B3332" s="2" t="s">
        <v>19</v>
      </c>
      <c r="C3332" s="2" t="s">
        <v>13</v>
      </c>
      <c r="D3332" s="2">
        <v>51</v>
      </c>
      <c r="E3332" s="2" t="s">
        <v>26</v>
      </c>
      <c r="F3332" s="2" t="s">
        <v>15</v>
      </c>
      <c r="G3332" s="7">
        <v>97.8</v>
      </c>
      <c r="H3332" s="7">
        <v>4913.3</v>
      </c>
      <c r="I3332" s="2" t="s">
        <v>16</v>
      </c>
      <c r="J3332" s="2" t="s">
        <v>16</v>
      </c>
      <c r="K3332" s="2" t="s">
        <v>17</v>
      </c>
      <c r="L3332" s="7">
        <v>4913.3</v>
      </c>
      <c r="M3332" s="2" t="str">
        <f>_xlfn.IFS(TelecomData[[#This Row],[TenureMonths]]&lt;=12, "0-1 Year", TelecomData[[#This Row],[TenureMonths]]&lt;=36, "1-3 Years", TelecomData[[#This Row],[TenureMonths]]&gt;36, "3+ Years")</f>
        <v>3+ Years</v>
      </c>
      <c r="N3332" s="2" t="str">
        <f>IF(TelecomData[[#This Row],[CleanedTotalCharges]]&gt;=2500,"High Spend", "Standard Spend")</f>
        <v>High Spend</v>
      </c>
    </row>
    <row r="3333" spans="1:14" x14ac:dyDescent="0.3">
      <c r="A3333" s="1" t="s">
        <v>3357</v>
      </c>
      <c r="B3333" s="2" t="s">
        <v>19</v>
      </c>
      <c r="C3333" s="2" t="s">
        <v>35</v>
      </c>
      <c r="D3333" s="2">
        <v>0</v>
      </c>
      <c r="E3333" s="2" t="s">
        <v>15</v>
      </c>
      <c r="F3333" s="2" t="s">
        <v>36</v>
      </c>
      <c r="G3333" s="7">
        <v>19.850000000000001</v>
      </c>
      <c r="H3333" s="7" t="s">
        <v>514</v>
      </c>
      <c r="I3333" s="2" t="s">
        <v>15</v>
      </c>
      <c r="J3333" s="2" t="s">
        <v>15</v>
      </c>
      <c r="K3333" s="2" t="s">
        <v>21</v>
      </c>
      <c r="L3333" s="7">
        <v>0</v>
      </c>
      <c r="M3333" s="2" t="str">
        <f>_xlfn.IFS(TelecomData[[#This Row],[TenureMonths]]&lt;=12, "0-1 Year", TelecomData[[#This Row],[TenureMonths]]&lt;=36, "1-3 Years", TelecomData[[#This Row],[TenureMonths]]&gt;36, "3+ Years")</f>
        <v>0-1 Year</v>
      </c>
      <c r="N3333" s="2" t="str">
        <f>IF(TelecomData[[#This Row],[CleanedTotalCharges]]&gt;=2500,"High Spend", "Standard Spend")</f>
        <v>Standard Spend</v>
      </c>
    </row>
    <row r="3334" spans="1:14" x14ac:dyDescent="0.3">
      <c r="A3334" s="1" t="s">
        <v>3358</v>
      </c>
      <c r="B3334" s="2" t="s">
        <v>19</v>
      </c>
      <c r="C3334" s="2" t="s">
        <v>13</v>
      </c>
      <c r="D3334" s="2">
        <v>1</v>
      </c>
      <c r="E3334" s="2" t="s">
        <v>14</v>
      </c>
      <c r="F3334" s="2" t="s">
        <v>15</v>
      </c>
      <c r="G3334" s="7">
        <v>46.3</v>
      </c>
      <c r="H3334" s="7">
        <v>46.3</v>
      </c>
      <c r="I3334" s="2" t="s">
        <v>16</v>
      </c>
      <c r="J3334" s="2" t="s">
        <v>15</v>
      </c>
      <c r="K3334" s="2" t="s">
        <v>21</v>
      </c>
      <c r="L3334" s="7">
        <v>46.3</v>
      </c>
      <c r="M3334" s="2" t="str">
        <f>_xlfn.IFS(TelecomData[[#This Row],[TenureMonths]]&lt;=12, "0-1 Year", TelecomData[[#This Row],[TenureMonths]]&lt;=36, "1-3 Years", TelecomData[[#This Row],[TenureMonths]]&gt;36, "3+ Years")</f>
        <v>0-1 Year</v>
      </c>
      <c r="N3334" s="2" t="str">
        <f>IF(TelecomData[[#This Row],[CleanedTotalCharges]]&gt;=2500,"High Spend", "Standard Spend")</f>
        <v>Standard Spend</v>
      </c>
    </row>
    <row r="3335" spans="1:14" x14ac:dyDescent="0.3">
      <c r="A3335" s="1" t="s">
        <v>3359</v>
      </c>
      <c r="B3335" s="2" t="s">
        <v>19</v>
      </c>
      <c r="C3335" s="2" t="s">
        <v>35</v>
      </c>
      <c r="D3335" s="2">
        <v>12</v>
      </c>
      <c r="E3335" s="2" t="s">
        <v>15</v>
      </c>
      <c r="F3335" s="2" t="s">
        <v>36</v>
      </c>
      <c r="G3335" s="7">
        <v>19.350000000000001</v>
      </c>
      <c r="H3335" s="7">
        <v>212.3</v>
      </c>
      <c r="I3335" s="2" t="s">
        <v>15</v>
      </c>
      <c r="J3335" s="2" t="s">
        <v>15</v>
      </c>
      <c r="K3335" s="2" t="s">
        <v>24</v>
      </c>
      <c r="L3335" s="7">
        <v>212.3</v>
      </c>
      <c r="M3335" s="2" t="str">
        <f>_xlfn.IFS(TelecomData[[#This Row],[TenureMonths]]&lt;=12, "0-1 Year", TelecomData[[#This Row],[TenureMonths]]&lt;=36, "1-3 Years", TelecomData[[#This Row],[TenureMonths]]&gt;36, "3+ Years")</f>
        <v>0-1 Year</v>
      </c>
      <c r="N3335" s="2" t="str">
        <f>IF(TelecomData[[#This Row],[CleanedTotalCharges]]&gt;=2500,"High Spend", "Standard Spend")</f>
        <v>Standard Spend</v>
      </c>
    </row>
    <row r="3336" spans="1:14" x14ac:dyDescent="0.3">
      <c r="A3336" s="1" t="s">
        <v>3360</v>
      </c>
      <c r="B3336" s="2" t="s">
        <v>12</v>
      </c>
      <c r="C3336" s="2" t="s">
        <v>13</v>
      </c>
      <c r="D3336" s="2">
        <v>41</v>
      </c>
      <c r="E3336" s="2" t="s">
        <v>26</v>
      </c>
      <c r="F3336" s="2" t="s">
        <v>15</v>
      </c>
      <c r="G3336" s="7">
        <v>106.3</v>
      </c>
      <c r="H3336" s="7">
        <v>4443.45</v>
      </c>
      <c r="I3336" s="2" t="s">
        <v>16</v>
      </c>
      <c r="J3336" s="2" t="s">
        <v>16</v>
      </c>
      <c r="K3336" s="2" t="s">
        <v>17</v>
      </c>
      <c r="L3336" s="7">
        <v>4443.45</v>
      </c>
      <c r="M3336" s="2" t="str">
        <f>_xlfn.IFS(TelecomData[[#This Row],[TenureMonths]]&lt;=12, "0-1 Year", TelecomData[[#This Row],[TenureMonths]]&lt;=36, "1-3 Years", TelecomData[[#This Row],[TenureMonths]]&gt;36, "3+ Years")</f>
        <v>3+ Years</v>
      </c>
      <c r="N3336" s="2" t="str">
        <f>IF(TelecomData[[#This Row],[CleanedTotalCharges]]&gt;=2500,"High Spend", "Standard Spend")</f>
        <v>High Spend</v>
      </c>
    </row>
    <row r="3337" spans="1:14" x14ac:dyDescent="0.3">
      <c r="A3337" s="1" t="s">
        <v>3361</v>
      </c>
      <c r="B3337" s="2" t="s">
        <v>19</v>
      </c>
      <c r="C3337" s="2" t="s">
        <v>13</v>
      </c>
      <c r="D3337" s="2">
        <v>12</v>
      </c>
      <c r="E3337" s="2" t="s">
        <v>15</v>
      </c>
      <c r="F3337" s="2" t="s">
        <v>36</v>
      </c>
      <c r="G3337" s="7">
        <v>25</v>
      </c>
      <c r="H3337" s="7">
        <v>316.2</v>
      </c>
      <c r="I3337" s="2" t="s">
        <v>15</v>
      </c>
      <c r="J3337" s="2" t="s">
        <v>15</v>
      </c>
      <c r="K3337" s="2" t="s">
        <v>17</v>
      </c>
      <c r="L3337" s="7">
        <v>316.2</v>
      </c>
      <c r="M3337" s="2" t="str">
        <f>_xlfn.IFS(TelecomData[[#This Row],[TenureMonths]]&lt;=12, "0-1 Year", TelecomData[[#This Row],[TenureMonths]]&lt;=36, "1-3 Years", TelecomData[[#This Row],[TenureMonths]]&gt;36, "3+ Years")</f>
        <v>0-1 Year</v>
      </c>
      <c r="N3337" s="2" t="str">
        <f>IF(TelecomData[[#This Row],[CleanedTotalCharges]]&gt;=2500,"High Spend", "Standard Spend")</f>
        <v>Standard Spend</v>
      </c>
    </row>
    <row r="3338" spans="1:14" x14ac:dyDescent="0.3">
      <c r="A3338" s="1" t="s">
        <v>3362</v>
      </c>
      <c r="B3338" s="2" t="s">
        <v>12</v>
      </c>
      <c r="C3338" s="2" t="s">
        <v>35</v>
      </c>
      <c r="D3338" s="2">
        <v>55</v>
      </c>
      <c r="E3338" s="2" t="s">
        <v>15</v>
      </c>
      <c r="F3338" s="2" t="s">
        <v>36</v>
      </c>
      <c r="G3338" s="7">
        <v>20.3</v>
      </c>
      <c r="H3338" s="7">
        <v>1079.05</v>
      </c>
      <c r="I3338" s="2" t="s">
        <v>15</v>
      </c>
      <c r="J3338" s="2" t="s">
        <v>15</v>
      </c>
      <c r="K3338" s="2" t="s">
        <v>21</v>
      </c>
      <c r="L3338" s="7">
        <v>1079.05</v>
      </c>
      <c r="M3338" s="2" t="str">
        <f>_xlfn.IFS(TelecomData[[#This Row],[TenureMonths]]&lt;=12, "0-1 Year", TelecomData[[#This Row],[TenureMonths]]&lt;=36, "1-3 Years", TelecomData[[#This Row],[TenureMonths]]&gt;36, "3+ Years")</f>
        <v>3+ Years</v>
      </c>
      <c r="N3338" s="2" t="str">
        <f>IF(TelecomData[[#This Row],[CleanedTotalCharges]]&gt;=2500,"High Spend", "Standard Spend")</f>
        <v>Standard Spend</v>
      </c>
    </row>
    <row r="3339" spans="1:14" x14ac:dyDescent="0.3">
      <c r="A3339" s="1" t="s">
        <v>3363</v>
      </c>
      <c r="B3339" s="2" t="s">
        <v>12</v>
      </c>
      <c r="C3339" s="2" t="s">
        <v>13</v>
      </c>
      <c r="D3339" s="2">
        <v>7</v>
      </c>
      <c r="E3339" s="2" t="s">
        <v>26</v>
      </c>
      <c r="F3339" s="2" t="s">
        <v>15</v>
      </c>
      <c r="G3339" s="7">
        <v>75.349999999999994</v>
      </c>
      <c r="H3339" s="7">
        <v>564.65</v>
      </c>
      <c r="I3339" s="2" t="s">
        <v>15</v>
      </c>
      <c r="J3339" s="2" t="s">
        <v>16</v>
      </c>
      <c r="K3339" s="2" t="s">
        <v>17</v>
      </c>
      <c r="L3339" s="7">
        <v>564.65</v>
      </c>
      <c r="M3339" s="2" t="str">
        <f>_xlfn.IFS(TelecomData[[#This Row],[TenureMonths]]&lt;=12, "0-1 Year", TelecomData[[#This Row],[TenureMonths]]&lt;=36, "1-3 Years", TelecomData[[#This Row],[TenureMonths]]&gt;36, "3+ Years")</f>
        <v>0-1 Year</v>
      </c>
      <c r="N3339" s="2" t="str">
        <f>IF(TelecomData[[#This Row],[CleanedTotalCharges]]&gt;=2500,"High Spend", "Standard Spend")</f>
        <v>Standard Spend</v>
      </c>
    </row>
    <row r="3340" spans="1:14" x14ac:dyDescent="0.3">
      <c r="A3340" s="1" t="s">
        <v>3364</v>
      </c>
      <c r="B3340" s="2" t="s">
        <v>12</v>
      </c>
      <c r="C3340" s="2" t="s">
        <v>13</v>
      </c>
      <c r="D3340" s="2">
        <v>12</v>
      </c>
      <c r="E3340" s="2" t="s">
        <v>26</v>
      </c>
      <c r="F3340" s="2" t="s">
        <v>16</v>
      </c>
      <c r="G3340" s="7">
        <v>89.4</v>
      </c>
      <c r="H3340" s="7">
        <v>1095.6500000000001</v>
      </c>
      <c r="I3340" s="2" t="s">
        <v>16</v>
      </c>
      <c r="J3340" s="2" t="s">
        <v>16</v>
      </c>
      <c r="K3340" s="2" t="s">
        <v>17</v>
      </c>
      <c r="L3340" s="7">
        <v>1095.6500000000001</v>
      </c>
      <c r="M3340" s="2" t="str">
        <f>_xlfn.IFS(TelecomData[[#This Row],[TenureMonths]]&lt;=12, "0-1 Year", TelecomData[[#This Row],[TenureMonths]]&lt;=36, "1-3 Years", TelecomData[[#This Row],[TenureMonths]]&gt;36, "3+ Years")</f>
        <v>0-1 Year</v>
      </c>
      <c r="N3340" s="2" t="str">
        <f>IF(TelecomData[[#This Row],[CleanedTotalCharges]]&gt;=2500,"High Spend", "Standard Spend")</f>
        <v>Standard Spend</v>
      </c>
    </row>
    <row r="3341" spans="1:14" x14ac:dyDescent="0.3">
      <c r="A3341" s="1" t="s">
        <v>3365</v>
      </c>
      <c r="B3341" s="2" t="s">
        <v>12</v>
      </c>
      <c r="C3341" s="2" t="s">
        <v>35</v>
      </c>
      <c r="D3341" s="2">
        <v>68</v>
      </c>
      <c r="E3341" s="2" t="s">
        <v>14</v>
      </c>
      <c r="F3341" s="2" t="s">
        <v>16</v>
      </c>
      <c r="G3341" s="7">
        <v>88</v>
      </c>
      <c r="H3341" s="7">
        <v>6161.9</v>
      </c>
      <c r="I3341" s="2" t="s">
        <v>15</v>
      </c>
      <c r="J3341" s="2" t="s">
        <v>15</v>
      </c>
      <c r="K3341" s="2" t="s">
        <v>29</v>
      </c>
      <c r="L3341" s="7">
        <v>6161.9</v>
      </c>
      <c r="M3341" s="2" t="str">
        <f>_xlfn.IFS(TelecomData[[#This Row],[TenureMonths]]&lt;=12, "0-1 Year", TelecomData[[#This Row],[TenureMonths]]&lt;=36, "1-3 Years", TelecomData[[#This Row],[TenureMonths]]&gt;36, "3+ Years")</f>
        <v>3+ Years</v>
      </c>
      <c r="N3341" s="2" t="str">
        <f>IF(TelecomData[[#This Row],[CleanedTotalCharges]]&gt;=2500,"High Spend", "Standard Spend")</f>
        <v>High Spend</v>
      </c>
    </row>
    <row r="3342" spans="1:14" x14ac:dyDescent="0.3">
      <c r="A3342" s="1" t="s">
        <v>3366</v>
      </c>
      <c r="B3342" s="2" t="s">
        <v>12</v>
      </c>
      <c r="C3342" s="2" t="s">
        <v>13</v>
      </c>
      <c r="D3342" s="2">
        <v>5</v>
      </c>
      <c r="E3342" s="2" t="s">
        <v>26</v>
      </c>
      <c r="F3342" s="2" t="s">
        <v>15</v>
      </c>
      <c r="G3342" s="7">
        <v>83.15</v>
      </c>
      <c r="H3342" s="7">
        <v>446.05</v>
      </c>
      <c r="I3342" s="2" t="s">
        <v>16</v>
      </c>
      <c r="J3342" s="2" t="s">
        <v>16</v>
      </c>
      <c r="K3342" s="2" t="s">
        <v>29</v>
      </c>
      <c r="L3342" s="7">
        <v>446.05</v>
      </c>
      <c r="M3342" s="2" t="str">
        <f>_xlfn.IFS(TelecomData[[#This Row],[TenureMonths]]&lt;=12, "0-1 Year", TelecomData[[#This Row],[TenureMonths]]&lt;=36, "1-3 Years", TelecomData[[#This Row],[TenureMonths]]&gt;36, "3+ Years")</f>
        <v>0-1 Year</v>
      </c>
      <c r="N3342" s="2" t="str">
        <f>IF(TelecomData[[#This Row],[CleanedTotalCharges]]&gt;=2500,"High Spend", "Standard Spend")</f>
        <v>Standard Spend</v>
      </c>
    </row>
    <row r="3343" spans="1:14" x14ac:dyDescent="0.3">
      <c r="A3343" s="1" t="s">
        <v>3367</v>
      </c>
      <c r="B3343" s="2" t="s">
        <v>12</v>
      </c>
      <c r="C3343" s="2" t="s">
        <v>13</v>
      </c>
      <c r="D3343" s="2">
        <v>49</v>
      </c>
      <c r="E3343" s="2" t="s">
        <v>14</v>
      </c>
      <c r="F3343" s="2" t="s">
        <v>15</v>
      </c>
      <c r="G3343" s="7">
        <v>43.8</v>
      </c>
      <c r="H3343" s="7">
        <v>2106.0500000000002</v>
      </c>
      <c r="I3343" s="2" t="s">
        <v>15</v>
      </c>
      <c r="J3343" s="2" t="s">
        <v>15</v>
      </c>
      <c r="K3343" s="2" t="s">
        <v>21</v>
      </c>
      <c r="L3343" s="7">
        <v>2106.0500000000002</v>
      </c>
      <c r="M3343" s="2" t="str">
        <f>_xlfn.IFS(TelecomData[[#This Row],[TenureMonths]]&lt;=12, "0-1 Year", TelecomData[[#This Row],[TenureMonths]]&lt;=36, "1-3 Years", TelecomData[[#This Row],[TenureMonths]]&gt;36, "3+ Years")</f>
        <v>3+ Years</v>
      </c>
      <c r="N3343" s="2" t="str">
        <f>IF(TelecomData[[#This Row],[CleanedTotalCharges]]&gt;=2500,"High Spend", "Standard Spend")</f>
        <v>Standard Spend</v>
      </c>
    </row>
    <row r="3344" spans="1:14" x14ac:dyDescent="0.3">
      <c r="A3344" s="1" t="s">
        <v>3368</v>
      </c>
      <c r="B3344" s="2" t="s">
        <v>19</v>
      </c>
      <c r="C3344" s="2" t="s">
        <v>20</v>
      </c>
      <c r="D3344" s="2">
        <v>40</v>
      </c>
      <c r="E3344" s="2" t="s">
        <v>14</v>
      </c>
      <c r="F3344" s="2" t="s">
        <v>15</v>
      </c>
      <c r="G3344" s="7">
        <v>62.05</v>
      </c>
      <c r="H3344" s="7">
        <v>2511.5500000000002</v>
      </c>
      <c r="I3344" s="2" t="s">
        <v>15</v>
      </c>
      <c r="J3344" s="2" t="s">
        <v>15</v>
      </c>
      <c r="K3344" s="2" t="s">
        <v>29</v>
      </c>
      <c r="L3344" s="7">
        <v>2511.5500000000002</v>
      </c>
      <c r="M3344" s="2" t="str">
        <f>_xlfn.IFS(TelecomData[[#This Row],[TenureMonths]]&lt;=12, "0-1 Year", TelecomData[[#This Row],[TenureMonths]]&lt;=36, "1-3 Years", TelecomData[[#This Row],[TenureMonths]]&gt;36, "3+ Years")</f>
        <v>3+ Years</v>
      </c>
      <c r="N3344" s="2" t="str">
        <f>IF(TelecomData[[#This Row],[CleanedTotalCharges]]&gt;=2500,"High Spend", "Standard Spend")</f>
        <v>High Spend</v>
      </c>
    </row>
    <row r="3345" spans="1:14" x14ac:dyDescent="0.3">
      <c r="A3345" s="1" t="s">
        <v>3369</v>
      </c>
      <c r="B3345" s="2" t="s">
        <v>12</v>
      </c>
      <c r="C3345" s="2" t="s">
        <v>20</v>
      </c>
      <c r="D3345" s="2">
        <v>16</v>
      </c>
      <c r="E3345" s="2" t="s">
        <v>15</v>
      </c>
      <c r="F3345" s="2" t="s">
        <v>36</v>
      </c>
      <c r="G3345" s="7">
        <v>20.100000000000001</v>
      </c>
      <c r="H3345" s="7">
        <v>318.60000000000002</v>
      </c>
      <c r="I3345" s="2" t="s">
        <v>15</v>
      </c>
      <c r="J3345" s="2" t="s">
        <v>15</v>
      </c>
      <c r="K3345" s="2" t="s">
        <v>24</v>
      </c>
      <c r="L3345" s="7">
        <v>318.60000000000002</v>
      </c>
      <c r="M3345" s="2" t="str">
        <f>_xlfn.IFS(TelecomData[[#This Row],[TenureMonths]]&lt;=12, "0-1 Year", TelecomData[[#This Row],[TenureMonths]]&lt;=36, "1-3 Years", TelecomData[[#This Row],[TenureMonths]]&gt;36, "3+ Years")</f>
        <v>1-3 Years</v>
      </c>
      <c r="N3345" s="2" t="str">
        <f>IF(TelecomData[[#This Row],[CleanedTotalCharges]]&gt;=2500,"High Spend", "Standard Spend")</f>
        <v>Standard Spend</v>
      </c>
    </row>
    <row r="3346" spans="1:14" x14ac:dyDescent="0.3">
      <c r="A3346" s="1" t="s">
        <v>3370</v>
      </c>
      <c r="B3346" s="2" t="s">
        <v>19</v>
      </c>
      <c r="C3346" s="2" t="s">
        <v>13</v>
      </c>
      <c r="D3346" s="2">
        <v>10</v>
      </c>
      <c r="E3346" s="2" t="s">
        <v>26</v>
      </c>
      <c r="F3346" s="2" t="s">
        <v>15</v>
      </c>
      <c r="G3346" s="7">
        <v>74.150000000000006</v>
      </c>
      <c r="H3346" s="7">
        <v>811.8</v>
      </c>
      <c r="I3346" s="2" t="s">
        <v>16</v>
      </c>
      <c r="J3346" s="2" t="s">
        <v>16</v>
      </c>
      <c r="K3346" s="2" t="s">
        <v>21</v>
      </c>
      <c r="L3346" s="7">
        <v>811.8</v>
      </c>
      <c r="M3346" s="2" t="str">
        <f>_xlfn.IFS(TelecomData[[#This Row],[TenureMonths]]&lt;=12, "0-1 Year", TelecomData[[#This Row],[TenureMonths]]&lt;=36, "1-3 Years", TelecomData[[#This Row],[TenureMonths]]&gt;36, "3+ Years")</f>
        <v>0-1 Year</v>
      </c>
      <c r="N3346" s="2" t="str">
        <f>IF(TelecomData[[#This Row],[CleanedTotalCharges]]&gt;=2500,"High Spend", "Standard Spend")</f>
        <v>Standard Spend</v>
      </c>
    </row>
    <row r="3347" spans="1:14" x14ac:dyDescent="0.3">
      <c r="A3347" s="1" t="s">
        <v>3371</v>
      </c>
      <c r="B3347" s="2" t="s">
        <v>12</v>
      </c>
      <c r="C3347" s="2" t="s">
        <v>20</v>
      </c>
      <c r="D3347" s="2">
        <v>72</v>
      </c>
      <c r="E3347" s="2" t="s">
        <v>26</v>
      </c>
      <c r="F3347" s="2" t="s">
        <v>15</v>
      </c>
      <c r="G3347" s="7">
        <v>101.35</v>
      </c>
      <c r="H3347" s="7">
        <v>7323.15</v>
      </c>
      <c r="I3347" s="2" t="s">
        <v>15</v>
      </c>
      <c r="J3347" s="2" t="s">
        <v>16</v>
      </c>
      <c r="K3347" s="2" t="s">
        <v>17</v>
      </c>
      <c r="L3347" s="7">
        <v>7323.15</v>
      </c>
      <c r="M3347" s="2" t="str">
        <f>_xlfn.IFS(TelecomData[[#This Row],[TenureMonths]]&lt;=12, "0-1 Year", TelecomData[[#This Row],[TenureMonths]]&lt;=36, "1-3 Years", TelecomData[[#This Row],[TenureMonths]]&gt;36, "3+ Years")</f>
        <v>3+ Years</v>
      </c>
      <c r="N3347" s="2" t="str">
        <f>IF(TelecomData[[#This Row],[CleanedTotalCharges]]&gt;=2500,"High Spend", "Standard Spend")</f>
        <v>High Spend</v>
      </c>
    </row>
    <row r="3348" spans="1:14" x14ac:dyDescent="0.3">
      <c r="A3348" s="1" t="s">
        <v>3372</v>
      </c>
      <c r="B3348" s="2" t="s">
        <v>12</v>
      </c>
      <c r="C3348" s="2" t="s">
        <v>13</v>
      </c>
      <c r="D3348" s="2">
        <v>2</v>
      </c>
      <c r="E3348" s="2" t="s">
        <v>26</v>
      </c>
      <c r="F3348" s="2" t="s">
        <v>15</v>
      </c>
      <c r="G3348" s="7">
        <v>84.05</v>
      </c>
      <c r="H3348" s="7">
        <v>186.05</v>
      </c>
      <c r="I3348" s="2" t="s">
        <v>15</v>
      </c>
      <c r="J3348" s="2" t="s">
        <v>16</v>
      </c>
      <c r="K3348" s="2" t="s">
        <v>17</v>
      </c>
      <c r="L3348" s="7">
        <v>186.05</v>
      </c>
      <c r="M3348" s="2" t="str">
        <f>_xlfn.IFS(TelecomData[[#This Row],[TenureMonths]]&lt;=12, "0-1 Year", TelecomData[[#This Row],[TenureMonths]]&lt;=36, "1-3 Years", TelecomData[[#This Row],[TenureMonths]]&gt;36, "3+ Years")</f>
        <v>0-1 Year</v>
      </c>
      <c r="N3348" s="2" t="str">
        <f>IF(TelecomData[[#This Row],[CleanedTotalCharges]]&gt;=2500,"High Spend", "Standard Spend")</f>
        <v>Standard Spend</v>
      </c>
    </row>
    <row r="3349" spans="1:14" x14ac:dyDescent="0.3">
      <c r="A3349" s="1" t="s">
        <v>3373</v>
      </c>
      <c r="B3349" s="2" t="s">
        <v>19</v>
      </c>
      <c r="C3349" s="2" t="s">
        <v>35</v>
      </c>
      <c r="D3349" s="2">
        <v>23</v>
      </c>
      <c r="E3349" s="2" t="s">
        <v>15</v>
      </c>
      <c r="F3349" s="2" t="s">
        <v>36</v>
      </c>
      <c r="G3349" s="7">
        <v>20.9</v>
      </c>
      <c r="H3349" s="7">
        <v>454</v>
      </c>
      <c r="I3349" s="2" t="s">
        <v>15</v>
      </c>
      <c r="J3349" s="2" t="s">
        <v>15</v>
      </c>
      <c r="K3349" s="2" t="s">
        <v>21</v>
      </c>
      <c r="L3349" s="7">
        <v>454</v>
      </c>
      <c r="M3349" s="2" t="str">
        <f>_xlfn.IFS(TelecomData[[#This Row],[TenureMonths]]&lt;=12, "0-1 Year", TelecomData[[#This Row],[TenureMonths]]&lt;=36, "1-3 Years", TelecomData[[#This Row],[TenureMonths]]&gt;36, "3+ Years")</f>
        <v>1-3 Years</v>
      </c>
      <c r="N3349" s="2" t="str">
        <f>IF(TelecomData[[#This Row],[CleanedTotalCharges]]&gt;=2500,"High Spend", "Standard Spend")</f>
        <v>Standard Spend</v>
      </c>
    </row>
    <row r="3350" spans="1:14" x14ac:dyDescent="0.3">
      <c r="A3350" s="1" t="s">
        <v>3374</v>
      </c>
      <c r="B3350" s="2" t="s">
        <v>12</v>
      </c>
      <c r="C3350" s="2" t="s">
        <v>20</v>
      </c>
      <c r="D3350" s="2">
        <v>71</v>
      </c>
      <c r="E3350" s="2" t="s">
        <v>26</v>
      </c>
      <c r="F3350" s="2" t="s">
        <v>15</v>
      </c>
      <c r="G3350" s="7">
        <v>105.9</v>
      </c>
      <c r="H3350" s="7">
        <v>7521.95</v>
      </c>
      <c r="I3350" s="2" t="s">
        <v>15</v>
      </c>
      <c r="J3350" s="2" t="s">
        <v>16</v>
      </c>
      <c r="K3350" s="2" t="s">
        <v>17</v>
      </c>
      <c r="L3350" s="7">
        <v>7521.95</v>
      </c>
      <c r="M3350" s="2" t="str">
        <f>_xlfn.IFS(TelecomData[[#This Row],[TenureMonths]]&lt;=12, "0-1 Year", TelecomData[[#This Row],[TenureMonths]]&lt;=36, "1-3 Years", TelecomData[[#This Row],[TenureMonths]]&gt;36, "3+ Years")</f>
        <v>3+ Years</v>
      </c>
      <c r="N3350" s="2" t="str">
        <f>IF(TelecomData[[#This Row],[CleanedTotalCharges]]&gt;=2500,"High Spend", "Standard Spend")</f>
        <v>High Spend</v>
      </c>
    </row>
    <row r="3351" spans="1:14" x14ac:dyDescent="0.3">
      <c r="A3351" s="1" t="s">
        <v>3375</v>
      </c>
      <c r="B3351" s="2" t="s">
        <v>12</v>
      </c>
      <c r="C3351" s="2" t="s">
        <v>13</v>
      </c>
      <c r="D3351" s="2">
        <v>11</v>
      </c>
      <c r="E3351" s="2" t="s">
        <v>26</v>
      </c>
      <c r="F3351" s="2" t="s">
        <v>15</v>
      </c>
      <c r="G3351" s="7">
        <v>99.5</v>
      </c>
      <c r="H3351" s="7">
        <v>1056.95</v>
      </c>
      <c r="I3351" s="2" t="s">
        <v>16</v>
      </c>
      <c r="J3351" s="2" t="s">
        <v>16</v>
      </c>
      <c r="K3351" s="2" t="s">
        <v>17</v>
      </c>
      <c r="L3351" s="7">
        <v>1056.95</v>
      </c>
      <c r="M3351" s="2" t="str">
        <f>_xlfn.IFS(TelecomData[[#This Row],[TenureMonths]]&lt;=12, "0-1 Year", TelecomData[[#This Row],[TenureMonths]]&lt;=36, "1-3 Years", TelecomData[[#This Row],[TenureMonths]]&gt;36, "3+ Years")</f>
        <v>0-1 Year</v>
      </c>
      <c r="N3351" s="2" t="str">
        <f>IF(TelecomData[[#This Row],[CleanedTotalCharges]]&gt;=2500,"High Spend", "Standard Spend")</f>
        <v>Standard Spend</v>
      </c>
    </row>
    <row r="3352" spans="1:14" x14ac:dyDescent="0.3">
      <c r="A3352" s="1" t="s">
        <v>3376</v>
      </c>
      <c r="B3352" s="2" t="s">
        <v>19</v>
      </c>
      <c r="C3352" s="2" t="s">
        <v>13</v>
      </c>
      <c r="D3352" s="2">
        <v>1</v>
      </c>
      <c r="E3352" s="2" t="s">
        <v>14</v>
      </c>
      <c r="F3352" s="2" t="s">
        <v>15</v>
      </c>
      <c r="G3352" s="7">
        <v>44.15</v>
      </c>
      <c r="H3352" s="7">
        <v>44.15</v>
      </c>
      <c r="I3352" s="2" t="s">
        <v>16</v>
      </c>
      <c r="J3352" s="2" t="s">
        <v>16</v>
      </c>
      <c r="K3352" s="2" t="s">
        <v>21</v>
      </c>
      <c r="L3352" s="7">
        <v>44.15</v>
      </c>
      <c r="M3352" s="2" t="str">
        <f>_xlfn.IFS(TelecomData[[#This Row],[TenureMonths]]&lt;=12, "0-1 Year", TelecomData[[#This Row],[TenureMonths]]&lt;=36, "1-3 Years", TelecomData[[#This Row],[TenureMonths]]&gt;36, "3+ Years")</f>
        <v>0-1 Year</v>
      </c>
      <c r="N3352" s="2" t="str">
        <f>IF(TelecomData[[#This Row],[CleanedTotalCharges]]&gt;=2500,"High Spend", "Standard Spend")</f>
        <v>Standard Spend</v>
      </c>
    </row>
    <row r="3353" spans="1:14" x14ac:dyDescent="0.3">
      <c r="A3353" s="1" t="s">
        <v>3377</v>
      </c>
      <c r="B3353" s="2" t="s">
        <v>12</v>
      </c>
      <c r="C3353" s="2" t="s">
        <v>13</v>
      </c>
      <c r="D3353" s="2">
        <v>16</v>
      </c>
      <c r="E3353" s="2" t="s">
        <v>14</v>
      </c>
      <c r="F3353" s="2" t="s">
        <v>16</v>
      </c>
      <c r="G3353" s="7">
        <v>53.9</v>
      </c>
      <c r="H3353" s="7">
        <v>834.15</v>
      </c>
      <c r="I3353" s="2" t="s">
        <v>16</v>
      </c>
      <c r="J3353" s="2" t="s">
        <v>16</v>
      </c>
      <c r="K3353" s="2" t="s">
        <v>21</v>
      </c>
      <c r="L3353" s="7">
        <v>834.15</v>
      </c>
      <c r="M3353" s="2" t="str">
        <f>_xlfn.IFS(TelecomData[[#This Row],[TenureMonths]]&lt;=12, "0-1 Year", TelecomData[[#This Row],[TenureMonths]]&lt;=36, "1-3 Years", TelecomData[[#This Row],[TenureMonths]]&gt;36, "3+ Years")</f>
        <v>1-3 Years</v>
      </c>
      <c r="N3353" s="2" t="str">
        <f>IF(TelecomData[[#This Row],[CleanedTotalCharges]]&gt;=2500,"High Spend", "Standard Spend")</f>
        <v>Standard Spend</v>
      </c>
    </row>
    <row r="3354" spans="1:14" x14ac:dyDescent="0.3">
      <c r="A3354" s="1" t="s">
        <v>3378</v>
      </c>
      <c r="B3354" s="2" t="s">
        <v>12</v>
      </c>
      <c r="C3354" s="2" t="s">
        <v>13</v>
      </c>
      <c r="D3354" s="2">
        <v>1</v>
      </c>
      <c r="E3354" s="2" t="s">
        <v>26</v>
      </c>
      <c r="F3354" s="2" t="s">
        <v>15</v>
      </c>
      <c r="G3354" s="7">
        <v>85.45</v>
      </c>
      <c r="H3354" s="7">
        <v>85.45</v>
      </c>
      <c r="I3354" s="2" t="s">
        <v>16</v>
      </c>
      <c r="J3354" s="2" t="s">
        <v>16</v>
      </c>
      <c r="K3354" s="2" t="s">
        <v>21</v>
      </c>
      <c r="L3354" s="7">
        <v>85.45</v>
      </c>
      <c r="M3354" s="2" t="str">
        <f>_xlfn.IFS(TelecomData[[#This Row],[TenureMonths]]&lt;=12, "0-1 Year", TelecomData[[#This Row],[TenureMonths]]&lt;=36, "1-3 Years", TelecomData[[#This Row],[TenureMonths]]&gt;36, "3+ Years")</f>
        <v>0-1 Year</v>
      </c>
      <c r="N3354" s="2" t="str">
        <f>IF(TelecomData[[#This Row],[CleanedTotalCharges]]&gt;=2500,"High Spend", "Standard Spend")</f>
        <v>Standard Spend</v>
      </c>
    </row>
    <row r="3355" spans="1:14" x14ac:dyDescent="0.3">
      <c r="A3355" s="1" t="s">
        <v>3379</v>
      </c>
      <c r="B3355" s="2" t="s">
        <v>19</v>
      </c>
      <c r="C3355" s="2" t="s">
        <v>13</v>
      </c>
      <c r="D3355" s="2">
        <v>12</v>
      </c>
      <c r="E3355" s="2" t="s">
        <v>26</v>
      </c>
      <c r="F3355" s="2" t="s">
        <v>15</v>
      </c>
      <c r="G3355" s="7">
        <v>85.05</v>
      </c>
      <c r="H3355" s="7">
        <v>999.8</v>
      </c>
      <c r="I3355" s="2" t="s">
        <v>15</v>
      </c>
      <c r="J3355" s="2" t="s">
        <v>16</v>
      </c>
      <c r="K3355" s="2" t="s">
        <v>29</v>
      </c>
      <c r="L3355" s="7">
        <v>999.8</v>
      </c>
      <c r="M3355" s="2" t="str">
        <f>_xlfn.IFS(TelecomData[[#This Row],[TenureMonths]]&lt;=12, "0-1 Year", TelecomData[[#This Row],[TenureMonths]]&lt;=36, "1-3 Years", TelecomData[[#This Row],[TenureMonths]]&gt;36, "3+ Years")</f>
        <v>0-1 Year</v>
      </c>
      <c r="N3355" s="2" t="str">
        <f>IF(TelecomData[[#This Row],[CleanedTotalCharges]]&gt;=2500,"High Spend", "Standard Spend")</f>
        <v>Standard Spend</v>
      </c>
    </row>
    <row r="3356" spans="1:14" x14ac:dyDescent="0.3">
      <c r="A3356" s="1" t="s">
        <v>3380</v>
      </c>
      <c r="B3356" s="2" t="s">
        <v>12</v>
      </c>
      <c r="C3356" s="2" t="s">
        <v>20</v>
      </c>
      <c r="D3356" s="2">
        <v>54</v>
      </c>
      <c r="E3356" s="2" t="s">
        <v>14</v>
      </c>
      <c r="F3356" s="2" t="s">
        <v>16</v>
      </c>
      <c r="G3356" s="7">
        <v>44.1</v>
      </c>
      <c r="H3356" s="7">
        <v>2369.6999999999998</v>
      </c>
      <c r="I3356" s="2" t="s">
        <v>15</v>
      </c>
      <c r="J3356" s="2" t="s">
        <v>15</v>
      </c>
      <c r="K3356" s="2" t="s">
        <v>24</v>
      </c>
      <c r="L3356" s="7">
        <v>2369.6999999999998</v>
      </c>
      <c r="M3356" s="2" t="str">
        <f>_xlfn.IFS(TelecomData[[#This Row],[TenureMonths]]&lt;=12, "0-1 Year", TelecomData[[#This Row],[TenureMonths]]&lt;=36, "1-3 Years", TelecomData[[#This Row],[TenureMonths]]&gt;36, "3+ Years")</f>
        <v>3+ Years</v>
      </c>
      <c r="N3356" s="2" t="str">
        <f>IF(TelecomData[[#This Row],[CleanedTotalCharges]]&gt;=2500,"High Spend", "Standard Spend")</f>
        <v>Standard Spend</v>
      </c>
    </row>
    <row r="3357" spans="1:14" x14ac:dyDescent="0.3">
      <c r="A3357" s="1" t="s">
        <v>3381</v>
      </c>
      <c r="B3357" s="2" t="s">
        <v>12</v>
      </c>
      <c r="C3357" s="2" t="s">
        <v>35</v>
      </c>
      <c r="D3357" s="2">
        <v>68</v>
      </c>
      <c r="E3357" s="2" t="s">
        <v>26</v>
      </c>
      <c r="F3357" s="2" t="s">
        <v>16</v>
      </c>
      <c r="G3357" s="7">
        <v>90.2</v>
      </c>
      <c r="H3357" s="7">
        <v>6297.65</v>
      </c>
      <c r="I3357" s="2" t="s">
        <v>15</v>
      </c>
      <c r="J3357" s="2" t="s">
        <v>15</v>
      </c>
      <c r="K3357" s="2" t="s">
        <v>29</v>
      </c>
      <c r="L3357" s="7">
        <v>6297.65</v>
      </c>
      <c r="M3357" s="2" t="str">
        <f>_xlfn.IFS(TelecomData[[#This Row],[TenureMonths]]&lt;=12, "0-1 Year", TelecomData[[#This Row],[TenureMonths]]&lt;=36, "1-3 Years", TelecomData[[#This Row],[TenureMonths]]&gt;36, "3+ Years")</f>
        <v>3+ Years</v>
      </c>
      <c r="N3357" s="2" t="str">
        <f>IF(TelecomData[[#This Row],[CleanedTotalCharges]]&gt;=2500,"High Spend", "Standard Spend")</f>
        <v>High Spend</v>
      </c>
    </row>
    <row r="3358" spans="1:14" x14ac:dyDescent="0.3">
      <c r="A3358" s="1" t="s">
        <v>3382</v>
      </c>
      <c r="B3358" s="2" t="s">
        <v>12</v>
      </c>
      <c r="C3358" s="2" t="s">
        <v>13</v>
      </c>
      <c r="D3358" s="2">
        <v>4</v>
      </c>
      <c r="E3358" s="2" t="s">
        <v>14</v>
      </c>
      <c r="F3358" s="2" t="s">
        <v>15</v>
      </c>
      <c r="G3358" s="7">
        <v>50.85</v>
      </c>
      <c r="H3358" s="7">
        <v>239.55</v>
      </c>
      <c r="I3358" s="2" t="s">
        <v>16</v>
      </c>
      <c r="J3358" s="2" t="s">
        <v>15</v>
      </c>
      <c r="K3358" s="2" t="s">
        <v>21</v>
      </c>
      <c r="L3358" s="7">
        <v>239.55</v>
      </c>
      <c r="M3358" s="2" t="str">
        <f>_xlfn.IFS(TelecomData[[#This Row],[TenureMonths]]&lt;=12, "0-1 Year", TelecomData[[#This Row],[TenureMonths]]&lt;=36, "1-3 Years", TelecomData[[#This Row],[TenureMonths]]&gt;36, "3+ Years")</f>
        <v>0-1 Year</v>
      </c>
      <c r="N3358" s="2" t="str">
        <f>IF(TelecomData[[#This Row],[CleanedTotalCharges]]&gt;=2500,"High Spend", "Standard Spend")</f>
        <v>Standard Spend</v>
      </c>
    </row>
    <row r="3359" spans="1:14" x14ac:dyDescent="0.3">
      <c r="A3359" s="1" t="s">
        <v>3383</v>
      </c>
      <c r="B3359" s="2" t="s">
        <v>12</v>
      </c>
      <c r="C3359" s="2" t="s">
        <v>13</v>
      </c>
      <c r="D3359" s="2">
        <v>1</v>
      </c>
      <c r="E3359" s="2" t="s">
        <v>14</v>
      </c>
      <c r="F3359" s="2" t="s">
        <v>15</v>
      </c>
      <c r="G3359" s="7">
        <v>59.2</v>
      </c>
      <c r="H3359" s="7">
        <v>59.2</v>
      </c>
      <c r="I3359" s="2" t="s">
        <v>16</v>
      </c>
      <c r="J3359" s="2" t="s">
        <v>15</v>
      </c>
      <c r="K3359" s="2" t="s">
        <v>17</v>
      </c>
      <c r="L3359" s="7">
        <v>59.2</v>
      </c>
      <c r="M3359" s="2" t="str">
        <f>_xlfn.IFS(TelecomData[[#This Row],[TenureMonths]]&lt;=12, "0-1 Year", TelecomData[[#This Row],[TenureMonths]]&lt;=36, "1-3 Years", TelecomData[[#This Row],[TenureMonths]]&gt;36, "3+ Years")</f>
        <v>0-1 Year</v>
      </c>
      <c r="N3359" s="2" t="str">
        <f>IF(TelecomData[[#This Row],[CleanedTotalCharges]]&gt;=2500,"High Spend", "Standard Spend")</f>
        <v>Standard Spend</v>
      </c>
    </row>
    <row r="3360" spans="1:14" x14ac:dyDescent="0.3">
      <c r="A3360" s="1" t="s">
        <v>3384</v>
      </c>
      <c r="B3360" s="2" t="s">
        <v>19</v>
      </c>
      <c r="C3360" s="2" t="s">
        <v>13</v>
      </c>
      <c r="D3360" s="2">
        <v>27</v>
      </c>
      <c r="E3360" s="2" t="s">
        <v>14</v>
      </c>
      <c r="F3360" s="2" t="s">
        <v>16</v>
      </c>
      <c r="G3360" s="7">
        <v>53.45</v>
      </c>
      <c r="H3360" s="7">
        <v>1461.45</v>
      </c>
      <c r="I3360" s="2" t="s">
        <v>15</v>
      </c>
      <c r="J3360" s="2" t="s">
        <v>15</v>
      </c>
      <c r="K3360" s="2" t="s">
        <v>21</v>
      </c>
      <c r="L3360" s="7">
        <v>1461.45</v>
      </c>
      <c r="M3360" s="2" t="str">
        <f>_xlfn.IFS(TelecomData[[#This Row],[TenureMonths]]&lt;=12, "0-1 Year", TelecomData[[#This Row],[TenureMonths]]&lt;=36, "1-3 Years", TelecomData[[#This Row],[TenureMonths]]&gt;36, "3+ Years")</f>
        <v>1-3 Years</v>
      </c>
      <c r="N3360" s="2" t="str">
        <f>IF(TelecomData[[#This Row],[CleanedTotalCharges]]&gt;=2500,"High Spend", "Standard Spend")</f>
        <v>Standard Spend</v>
      </c>
    </row>
    <row r="3361" spans="1:14" x14ac:dyDescent="0.3">
      <c r="A3361" s="1" t="s">
        <v>3385</v>
      </c>
      <c r="B3361" s="2" t="s">
        <v>19</v>
      </c>
      <c r="C3361" s="2" t="s">
        <v>13</v>
      </c>
      <c r="D3361" s="2">
        <v>21</v>
      </c>
      <c r="E3361" s="2" t="s">
        <v>15</v>
      </c>
      <c r="F3361" s="2" t="s">
        <v>36</v>
      </c>
      <c r="G3361" s="7">
        <v>19.95</v>
      </c>
      <c r="H3361" s="7">
        <v>416.4</v>
      </c>
      <c r="I3361" s="2" t="s">
        <v>15</v>
      </c>
      <c r="J3361" s="2" t="s">
        <v>16</v>
      </c>
      <c r="K3361" s="2" t="s">
        <v>21</v>
      </c>
      <c r="L3361" s="7">
        <v>416.4</v>
      </c>
      <c r="M3361" s="2" t="str">
        <f>_xlfn.IFS(TelecomData[[#This Row],[TenureMonths]]&lt;=12, "0-1 Year", TelecomData[[#This Row],[TenureMonths]]&lt;=36, "1-3 Years", TelecomData[[#This Row],[TenureMonths]]&gt;36, "3+ Years")</f>
        <v>1-3 Years</v>
      </c>
      <c r="N3361" s="2" t="str">
        <f>IF(TelecomData[[#This Row],[CleanedTotalCharges]]&gt;=2500,"High Spend", "Standard Spend")</f>
        <v>Standard Spend</v>
      </c>
    </row>
    <row r="3362" spans="1:14" x14ac:dyDescent="0.3">
      <c r="A3362" s="1" t="s">
        <v>3386</v>
      </c>
      <c r="B3362" s="2" t="s">
        <v>19</v>
      </c>
      <c r="C3362" s="2" t="s">
        <v>13</v>
      </c>
      <c r="D3362" s="2">
        <v>13</v>
      </c>
      <c r="E3362" s="2" t="s">
        <v>26</v>
      </c>
      <c r="F3362" s="2" t="s">
        <v>15</v>
      </c>
      <c r="G3362" s="7">
        <v>83.2</v>
      </c>
      <c r="H3362" s="7">
        <v>1060.5999999999999</v>
      </c>
      <c r="I3362" s="2" t="s">
        <v>16</v>
      </c>
      <c r="J3362" s="2" t="s">
        <v>16</v>
      </c>
      <c r="K3362" s="2" t="s">
        <v>17</v>
      </c>
      <c r="L3362" s="7">
        <v>1060.5999999999999</v>
      </c>
      <c r="M3362" s="2" t="str">
        <f>_xlfn.IFS(TelecomData[[#This Row],[TenureMonths]]&lt;=12, "0-1 Year", TelecomData[[#This Row],[TenureMonths]]&lt;=36, "1-3 Years", TelecomData[[#This Row],[TenureMonths]]&gt;36, "3+ Years")</f>
        <v>1-3 Years</v>
      </c>
      <c r="N3362" s="2" t="str">
        <f>IF(TelecomData[[#This Row],[CleanedTotalCharges]]&gt;=2500,"High Spend", "Standard Spend")</f>
        <v>Standard Spend</v>
      </c>
    </row>
    <row r="3363" spans="1:14" x14ac:dyDescent="0.3">
      <c r="A3363" s="1" t="s">
        <v>3387</v>
      </c>
      <c r="B3363" s="2" t="s">
        <v>12</v>
      </c>
      <c r="C3363" s="2" t="s">
        <v>13</v>
      </c>
      <c r="D3363" s="2">
        <v>64</v>
      </c>
      <c r="E3363" s="2" t="s">
        <v>14</v>
      </c>
      <c r="F3363" s="2" t="s">
        <v>16</v>
      </c>
      <c r="G3363" s="7">
        <v>74.650000000000006</v>
      </c>
      <c r="H3363" s="7">
        <v>4869.3500000000004</v>
      </c>
      <c r="I3363" s="2" t="s">
        <v>15</v>
      </c>
      <c r="J3363" s="2" t="s">
        <v>15</v>
      </c>
      <c r="K3363" s="2" t="s">
        <v>29</v>
      </c>
      <c r="L3363" s="7">
        <v>4869.3500000000004</v>
      </c>
      <c r="M3363" s="2" t="str">
        <f>_xlfn.IFS(TelecomData[[#This Row],[TenureMonths]]&lt;=12, "0-1 Year", TelecomData[[#This Row],[TenureMonths]]&lt;=36, "1-3 Years", TelecomData[[#This Row],[TenureMonths]]&gt;36, "3+ Years")</f>
        <v>3+ Years</v>
      </c>
      <c r="N3363" s="2" t="str">
        <f>IF(TelecomData[[#This Row],[CleanedTotalCharges]]&gt;=2500,"High Spend", "Standard Spend")</f>
        <v>High Spend</v>
      </c>
    </row>
    <row r="3364" spans="1:14" x14ac:dyDescent="0.3">
      <c r="A3364" s="1" t="s">
        <v>3388</v>
      </c>
      <c r="B3364" s="2" t="s">
        <v>12</v>
      </c>
      <c r="C3364" s="2" t="s">
        <v>13</v>
      </c>
      <c r="D3364" s="2">
        <v>1</v>
      </c>
      <c r="E3364" s="2" t="s">
        <v>14</v>
      </c>
      <c r="F3364" s="2" t="s">
        <v>15</v>
      </c>
      <c r="G3364" s="7">
        <v>54.9</v>
      </c>
      <c r="H3364" s="7">
        <v>54.9</v>
      </c>
      <c r="I3364" s="2" t="s">
        <v>16</v>
      </c>
      <c r="J3364" s="2" t="s">
        <v>16</v>
      </c>
      <c r="K3364" s="2" t="s">
        <v>17</v>
      </c>
      <c r="L3364" s="7">
        <v>54.9</v>
      </c>
      <c r="M3364" s="2" t="str">
        <f>_xlfn.IFS(TelecomData[[#This Row],[TenureMonths]]&lt;=12, "0-1 Year", TelecomData[[#This Row],[TenureMonths]]&lt;=36, "1-3 Years", TelecomData[[#This Row],[TenureMonths]]&gt;36, "3+ Years")</f>
        <v>0-1 Year</v>
      </c>
      <c r="N3364" s="2" t="str">
        <f>IF(TelecomData[[#This Row],[CleanedTotalCharges]]&gt;=2500,"High Spend", "Standard Spend")</f>
        <v>Standard Spend</v>
      </c>
    </row>
    <row r="3365" spans="1:14" x14ac:dyDescent="0.3">
      <c r="A3365" s="1" t="s">
        <v>3389</v>
      </c>
      <c r="B3365" s="2" t="s">
        <v>19</v>
      </c>
      <c r="C3365" s="2" t="s">
        <v>35</v>
      </c>
      <c r="D3365" s="2">
        <v>57</v>
      </c>
      <c r="E3365" s="2" t="s">
        <v>14</v>
      </c>
      <c r="F3365" s="2" t="s">
        <v>16</v>
      </c>
      <c r="G3365" s="7">
        <v>57.5</v>
      </c>
      <c r="H3365" s="7">
        <v>3265.95</v>
      </c>
      <c r="I3365" s="2" t="s">
        <v>15</v>
      </c>
      <c r="J3365" s="2" t="s">
        <v>16</v>
      </c>
      <c r="K3365" s="2" t="s">
        <v>24</v>
      </c>
      <c r="L3365" s="7">
        <v>3265.95</v>
      </c>
      <c r="M3365" s="2" t="str">
        <f>_xlfn.IFS(TelecomData[[#This Row],[TenureMonths]]&lt;=12, "0-1 Year", TelecomData[[#This Row],[TenureMonths]]&lt;=36, "1-3 Years", TelecomData[[#This Row],[TenureMonths]]&gt;36, "3+ Years")</f>
        <v>3+ Years</v>
      </c>
      <c r="N3365" s="2" t="str">
        <f>IF(TelecomData[[#This Row],[CleanedTotalCharges]]&gt;=2500,"High Spend", "Standard Spend")</f>
        <v>High Spend</v>
      </c>
    </row>
    <row r="3366" spans="1:14" x14ac:dyDescent="0.3">
      <c r="A3366" s="1" t="s">
        <v>3390</v>
      </c>
      <c r="B3366" s="2" t="s">
        <v>12</v>
      </c>
      <c r="C3366" s="2" t="s">
        <v>13</v>
      </c>
      <c r="D3366" s="2">
        <v>21</v>
      </c>
      <c r="E3366" s="2" t="s">
        <v>26</v>
      </c>
      <c r="F3366" s="2" t="s">
        <v>15</v>
      </c>
      <c r="G3366" s="7">
        <v>103.9</v>
      </c>
      <c r="H3366" s="7">
        <v>2254.1999999999998</v>
      </c>
      <c r="I3366" s="2" t="s">
        <v>16</v>
      </c>
      <c r="J3366" s="2" t="s">
        <v>16</v>
      </c>
      <c r="K3366" s="2" t="s">
        <v>17</v>
      </c>
      <c r="L3366" s="7">
        <v>2254.1999999999998</v>
      </c>
      <c r="M3366" s="2" t="str">
        <f>_xlfn.IFS(TelecomData[[#This Row],[TenureMonths]]&lt;=12, "0-1 Year", TelecomData[[#This Row],[TenureMonths]]&lt;=36, "1-3 Years", TelecomData[[#This Row],[TenureMonths]]&gt;36, "3+ Years")</f>
        <v>1-3 Years</v>
      </c>
      <c r="N3366" s="2" t="str">
        <f>IF(TelecomData[[#This Row],[CleanedTotalCharges]]&gt;=2500,"High Spend", "Standard Spend")</f>
        <v>Standard Spend</v>
      </c>
    </row>
    <row r="3367" spans="1:14" x14ac:dyDescent="0.3">
      <c r="A3367" s="1" t="s">
        <v>3391</v>
      </c>
      <c r="B3367" s="2" t="s">
        <v>19</v>
      </c>
      <c r="C3367" s="2" t="s">
        <v>35</v>
      </c>
      <c r="D3367" s="2">
        <v>19</v>
      </c>
      <c r="E3367" s="2" t="s">
        <v>15</v>
      </c>
      <c r="F3367" s="2" t="s">
        <v>36</v>
      </c>
      <c r="G3367" s="7">
        <v>19.649999999999999</v>
      </c>
      <c r="H3367" s="7">
        <v>358.15</v>
      </c>
      <c r="I3367" s="2" t="s">
        <v>15</v>
      </c>
      <c r="J3367" s="2" t="s">
        <v>15</v>
      </c>
      <c r="K3367" s="2" t="s">
        <v>21</v>
      </c>
      <c r="L3367" s="7">
        <v>358.15</v>
      </c>
      <c r="M3367" s="2" t="str">
        <f>_xlfn.IFS(TelecomData[[#This Row],[TenureMonths]]&lt;=12, "0-1 Year", TelecomData[[#This Row],[TenureMonths]]&lt;=36, "1-3 Years", TelecomData[[#This Row],[TenureMonths]]&gt;36, "3+ Years")</f>
        <v>1-3 Years</v>
      </c>
      <c r="N3367" s="2" t="str">
        <f>IF(TelecomData[[#This Row],[CleanedTotalCharges]]&gt;=2500,"High Spend", "Standard Spend")</f>
        <v>Standard Spend</v>
      </c>
    </row>
    <row r="3368" spans="1:14" x14ac:dyDescent="0.3">
      <c r="A3368" s="1" t="s">
        <v>3392</v>
      </c>
      <c r="B3368" s="2" t="s">
        <v>19</v>
      </c>
      <c r="C3368" s="2" t="s">
        <v>20</v>
      </c>
      <c r="D3368" s="2">
        <v>31</v>
      </c>
      <c r="E3368" s="2" t="s">
        <v>26</v>
      </c>
      <c r="F3368" s="2" t="s">
        <v>15</v>
      </c>
      <c r="G3368" s="7">
        <v>93.8</v>
      </c>
      <c r="H3368" s="7">
        <v>2939.8</v>
      </c>
      <c r="I3368" s="2" t="s">
        <v>15</v>
      </c>
      <c r="J3368" s="2" t="s">
        <v>16</v>
      </c>
      <c r="K3368" s="2" t="s">
        <v>17</v>
      </c>
      <c r="L3368" s="7">
        <v>2939.8</v>
      </c>
      <c r="M3368" s="2" t="str">
        <f>_xlfn.IFS(TelecomData[[#This Row],[TenureMonths]]&lt;=12, "0-1 Year", TelecomData[[#This Row],[TenureMonths]]&lt;=36, "1-3 Years", TelecomData[[#This Row],[TenureMonths]]&gt;36, "3+ Years")</f>
        <v>1-3 Years</v>
      </c>
      <c r="N3368" s="2" t="str">
        <f>IF(TelecomData[[#This Row],[CleanedTotalCharges]]&gt;=2500,"High Spend", "Standard Spend")</f>
        <v>High Spend</v>
      </c>
    </row>
    <row r="3369" spans="1:14" x14ac:dyDescent="0.3">
      <c r="A3369" s="1" t="s">
        <v>3393</v>
      </c>
      <c r="B3369" s="2" t="s">
        <v>19</v>
      </c>
      <c r="C3369" s="2" t="s">
        <v>35</v>
      </c>
      <c r="D3369" s="2">
        <v>52</v>
      </c>
      <c r="E3369" s="2" t="s">
        <v>14</v>
      </c>
      <c r="F3369" s="2" t="s">
        <v>16</v>
      </c>
      <c r="G3369" s="7">
        <v>89.25</v>
      </c>
      <c r="H3369" s="7">
        <v>4652.3999999999996</v>
      </c>
      <c r="I3369" s="2" t="s">
        <v>15</v>
      </c>
      <c r="J3369" s="2" t="s">
        <v>16</v>
      </c>
      <c r="K3369" s="2" t="s">
        <v>21</v>
      </c>
      <c r="L3369" s="7">
        <v>4652.3999999999996</v>
      </c>
      <c r="M3369" s="2" t="str">
        <f>_xlfn.IFS(TelecomData[[#This Row],[TenureMonths]]&lt;=12, "0-1 Year", TelecomData[[#This Row],[TenureMonths]]&lt;=36, "1-3 Years", TelecomData[[#This Row],[TenureMonths]]&gt;36, "3+ Years")</f>
        <v>3+ Years</v>
      </c>
      <c r="N3369" s="2" t="str">
        <f>IF(TelecomData[[#This Row],[CleanedTotalCharges]]&gt;=2500,"High Spend", "Standard Spend")</f>
        <v>High Spend</v>
      </c>
    </row>
    <row r="3370" spans="1:14" x14ac:dyDescent="0.3">
      <c r="A3370" s="1" t="s">
        <v>3394</v>
      </c>
      <c r="B3370" s="2" t="s">
        <v>12</v>
      </c>
      <c r="C3370" s="2" t="s">
        <v>20</v>
      </c>
      <c r="D3370" s="2">
        <v>46</v>
      </c>
      <c r="E3370" s="2" t="s">
        <v>26</v>
      </c>
      <c r="F3370" s="2" t="s">
        <v>15</v>
      </c>
      <c r="G3370" s="7">
        <v>94.15</v>
      </c>
      <c r="H3370" s="7">
        <v>4408.45</v>
      </c>
      <c r="I3370" s="2" t="s">
        <v>15</v>
      </c>
      <c r="J3370" s="2" t="s">
        <v>16</v>
      </c>
      <c r="K3370" s="2" t="s">
        <v>17</v>
      </c>
      <c r="L3370" s="7">
        <v>4408.45</v>
      </c>
      <c r="M3370" s="2" t="str">
        <f>_xlfn.IFS(TelecomData[[#This Row],[TenureMonths]]&lt;=12, "0-1 Year", TelecomData[[#This Row],[TenureMonths]]&lt;=36, "1-3 Years", TelecomData[[#This Row],[TenureMonths]]&gt;36, "3+ Years")</f>
        <v>3+ Years</v>
      </c>
      <c r="N3370" s="2" t="str">
        <f>IF(TelecomData[[#This Row],[CleanedTotalCharges]]&gt;=2500,"High Spend", "Standard Spend")</f>
        <v>High Spend</v>
      </c>
    </row>
    <row r="3371" spans="1:14" x14ac:dyDescent="0.3">
      <c r="A3371" s="1" t="s">
        <v>3395</v>
      </c>
      <c r="B3371" s="2" t="s">
        <v>12</v>
      </c>
      <c r="C3371" s="2" t="s">
        <v>13</v>
      </c>
      <c r="D3371" s="2">
        <v>11</v>
      </c>
      <c r="E3371" s="2" t="s">
        <v>14</v>
      </c>
      <c r="F3371" s="2" t="s">
        <v>15</v>
      </c>
      <c r="G3371" s="7">
        <v>55.6</v>
      </c>
      <c r="H3371" s="7">
        <v>580.79999999999995</v>
      </c>
      <c r="I3371" s="2" t="s">
        <v>15</v>
      </c>
      <c r="J3371" s="2" t="s">
        <v>16</v>
      </c>
      <c r="K3371" s="2" t="s">
        <v>17</v>
      </c>
      <c r="L3371" s="7">
        <v>580.79999999999995</v>
      </c>
      <c r="M3371" s="2" t="str">
        <f>_xlfn.IFS(TelecomData[[#This Row],[TenureMonths]]&lt;=12, "0-1 Year", TelecomData[[#This Row],[TenureMonths]]&lt;=36, "1-3 Years", TelecomData[[#This Row],[TenureMonths]]&gt;36, "3+ Years")</f>
        <v>0-1 Year</v>
      </c>
      <c r="N3371" s="2" t="str">
        <f>IF(TelecomData[[#This Row],[CleanedTotalCharges]]&gt;=2500,"High Spend", "Standard Spend")</f>
        <v>Standard Spend</v>
      </c>
    </row>
    <row r="3372" spans="1:14" x14ac:dyDescent="0.3">
      <c r="A3372" s="1" t="s">
        <v>3396</v>
      </c>
      <c r="B3372" s="2" t="s">
        <v>12</v>
      </c>
      <c r="C3372" s="2" t="s">
        <v>13</v>
      </c>
      <c r="D3372" s="2">
        <v>53</v>
      </c>
      <c r="E3372" s="2" t="s">
        <v>14</v>
      </c>
      <c r="F3372" s="2" t="s">
        <v>15</v>
      </c>
      <c r="G3372" s="7">
        <v>48.7</v>
      </c>
      <c r="H3372" s="7">
        <v>2495.1999999999998</v>
      </c>
      <c r="I3372" s="2" t="s">
        <v>15</v>
      </c>
      <c r="J3372" s="2" t="s">
        <v>16</v>
      </c>
      <c r="K3372" s="2" t="s">
        <v>24</v>
      </c>
      <c r="L3372" s="7">
        <v>2495.1999999999998</v>
      </c>
      <c r="M3372" s="2" t="str">
        <f>_xlfn.IFS(TelecomData[[#This Row],[TenureMonths]]&lt;=12, "0-1 Year", TelecomData[[#This Row],[TenureMonths]]&lt;=36, "1-3 Years", TelecomData[[#This Row],[TenureMonths]]&gt;36, "3+ Years")</f>
        <v>3+ Years</v>
      </c>
      <c r="N3372" s="2" t="str">
        <f>IF(TelecomData[[#This Row],[CleanedTotalCharges]]&gt;=2500,"High Spend", "Standard Spend")</f>
        <v>Standard Spend</v>
      </c>
    </row>
    <row r="3373" spans="1:14" x14ac:dyDescent="0.3">
      <c r="A3373" s="1" t="s">
        <v>3397</v>
      </c>
      <c r="B3373" s="2" t="s">
        <v>12</v>
      </c>
      <c r="C3373" s="2" t="s">
        <v>13</v>
      </c>
      <c r="D3373" s="2">
        <v>11</v>
      </c>
      <c r="E3373" s="2" t="s">
        <v>15</v>
      </c>
      <c r="F3373" s="2" t="s">
        <v>36</v>
      </c>
      <c r="G3373" s="7">
        <v>19.25</v>
      </c>
      <c r="H3373" s="7">
        <v>180.3</v>
      </c>
      <c r="I3373" s="2" t="s">
        <v>16</v>
      </c>
      <c r="J3373" s="2" t="s">
        <v>16</v>
      </c>
      <c r="K3373" s="2" t="s">
        <v>21</v>
      </c>
      <c r="L3373" s="7">
        <v>180.3</v>
      </c>
      <c r="M3373" s="2" t="str">
        <f>_xlfn.IFS(TelecomData[[#This Row],[TenureMonths]]&lt;=12, "0-1 Year", TelecomData[[#This Row],[TenureMonths]]&lt;=36, "1-3 Years", TelecomData[[#This Row],[TenureMonths]]&gt;36, "3+ Years")</f>
        <v>0-1 Year</v>
      </c>
      <c r="N3373" s="2" t="str">
        <f>IF(TelecomData[[#This Row],[CleanedTotalCharges]]&gt;=2500,"High Spend", "Standard Spend")</f>
        <v>Standard Spend</v>
      </c>
    </row>
    <row r="3374" spans="1:14" x14ac:dyDescent="0.3">
      <c r="A3374" s="1" t="s">
        <v>3398</v>
      </c>
      <c r="B3374" s="2" t="s">
        <v>19</v>
      </c>
      <c r="C3374" s="2" t="s">
        <v>13</v>
      </c>
      <c r="D3374" s="2">
        <v>57</v>
      </c>
      <c r="E3374" s="2" t="s">
        <v>26</v>
      </c>
      <c r="F3374" s="2" t="s">
        <v>16</v>
      </c>
      <c r="G3374" s="7">
        <v>104.9</v>
      </c>
      <c r="H3374" s="7">
        <v>5913.95</v>
      </c>
      <c r="I3374" s="2" t="s">
        <v>15</v>
      </c>
      <c r="J3374" s="2" t="s">
        <v>16</v>
      </c>
      <c r="K3374" s="2" t="s">
        <v>24</v>
      </c>
      <c r="L3374" s="7">
        <v>5913.95</v>
      </c>
      <c r="M3374" s="2" t="str">
        <f>_xlfn.IFS(TelecomData[[#This Row],[TenureMonths]]&lt;=12, "0-1 Year", TelecomData[[#This Row],[TenureMonths]]&lt;=36, "1-3 Years", TelecomData[[#This Row],[TenureMonths]]&gt;36, "3+ Years")</f>
        <v>3+ Years</v>
      </c>
      <c r="N3374" s="2" t="str">
        <f>IF(TelecomData[[#This Row],[CleanedTotalCharges]]&gt;=2500,"High Spend", "Standard Spend")</f>
        <v>High Spend</v>
      </c>
    </row>
    <row r="3375" spans="1:14" x14ac:dyDescent="0.3">
      <c r="A3375" s="1" t="s">
        <v>3399</v>
      </c>
      <c r="B3375" s="2" t="s">
        <v>12</v>
      </c>
      <c r="C3375" s="2" t="s">
        <v>13</v>
      </c>
      <c r="D3375" s="2">
        <v>2</v>
      </c>
      <c r="E3375" s="2" t="s">
        <v>26</v>
      </c>
      <c r="F3375" s="2" t="s">
        <v>15</v>
      </c>
      <c r="G3375" s="7">
        <v>75.45</v>
      </c>
      <c r="H3375" s="7">
        <v>158.4</v>
      </c>
      <c r="I3375" s="2" t="s">
        <v>16</v>
      </c>
      <c r="J3375" s="2" t="s">
        <v>16</v>
      </c>
      <c r="K3375" s="2" t="s">
        <v>21</v>
      </c>
      <c r="L3375" s="7">
        <v>158.4</v>
      </c>
      <c r="M3375" s="2" t="str">
        <f>_xlfn.IFS(TelecomData[[#This Row],[TenureMonths]]&lt;=12, "0-1 Year", TelecomData[[#This Row],[TenureMonths]]&lt;=36, "1-3 Years", TelecomData[[#This Row],[TenureMonths]]&gt;36, "3+ Years")</f>
        <v>0-1 Year</v>
      </c>
      <c r="N3375" s="2" t="str">
        <f>IF(TelecomData[[#This Row],[CleanedTotalCharges]]&gt;=2500,"High Spend", "Standard Spend")</f>
        <v>Standard Spend</v>
      </c>
    </row>
    <row r="3376" spans="1:14" x14ac:dyDescent="0.3">
      <c r="A3376" s="1" t="s">
        <v>3400</v>
      </c>
      <c r="B3376" s="2" t="s">
        <v>12</v>
      </c>
      <c r="C3376" s="2" t="s">
        <v>13</v>
      </c>
      <c r="D3376" s="2">
        <v>2</v>
      </c>
      <c r="E3376" s="2" t="s">
        <v>14</v>
      </c>
      <c r="F3376" s="2" t="s">
        <v>15</v>
      </c>
      <c r="G3376" s="7">
        <v>54.85</v>
      </c>
      <c r="H3376" s="7">
        <v>104.2</v>
      </c>
      <c r="I3376" s="2" t="s">
        <v>16</v>
      </c>
      <c r="J3376" s="2" t="s">
        <v>15</v>
      </c>
      <c r="K3376" s="2" t="s">
        <v>21</v>
      </c>
      <c r="L3376" s="7">
        <v>104.2</v>
      </c>
      <c r="M3376" s="2" t="str">
        <f>_xlfn.IFS(TelecomData[[#This Row],[TenureMonths]]&lt;=12, "0-1 Year", TelecomData[[#This Row],[TenureMonths]]&lt;=36, "1-3 Years", TelecomData[[#This Row],[TenureMonths]]&gt;36, "3+ Years")</f>
        <v>0-1 Year</v>
      </c>
      <c r="N3376" s="2" t="str">
        <f>IF(TelecomData[[#This Row],[CleanedTotalCharges]]&gt;=2500,"High Spend", "Standard Spend")</f>
        <v>Standard Spend</v>
      </c>
    </row>
    <row r="3377" spans="1:14" x14ac:dyDescent="0.3">
      <c r="A3377" s="1" t="s">
        <v>3401</v>
      </c>
      <c r="B3377" s="2" t="s">
        <v>12</v>
      </c>
      <c r="C3377" s="2" t="s">
        <v>35</v>
      </c>
      <c r="D3377" s="2">
        <v>71</v>
      </c>
      <c r="E3377" s="2" t="s">
        <v>15</v>
      </c>
      <c r="F3377" s="2" t="s">
        <v>36</v>
      </c>
      <c r="G3377" s="7">
        <v>19.899999999999999</v>
      </c>
      <c r="H3377" s="7">
        <v>1389.35</v>
      </c>
      <c r="I3377" s="2" t="s">
        <v>15</v>
      </c>
      <c r="J3377" s="2" t="s">
        <v>15</v>
      </c>
      <c r="K3377" s="2" t="s">
        <v>24</v>
      </c>
      <c r="L3377" s="7">
        <v>1389.35</v>
      </c>
      <c r="M3377" s="2" t="str">
        <f>_xlfn.IFS(TelecomData[[#This Row],[TenureMonths]]&lt;=12, "0-1 Year", TelecomData[[#This Row],[TenureMonths]]&lt;=36, "1-3 Years", TelecomData[[#This Row],[TenureMonths]]&gt;36, "3+ Years")</f>
        <v>3+ Years</v>
      </c>
      <c r="N3377" s="2" t="str">
        <f>IF(TelecomData[[#This Row],[CleanedTotalCharges]]&gt;=2500,"High Spend", "Standard Spend")</f>
        <v>Standard Spend</v>
      </c>
    </row>
    <row r="3378" spans="1:14" x14ac:dyDescent="0.3">
      <c r="A3378" s="1" t="s">
        <v>3402</v>
      </c>
      <c r="B3378" s="2" t="s">
        <v>12</v>
      </c>
      <c r="C3378" s="2" t="s">
        <v>13</v>
      </c>
      <c r="D3378" s="2">
        <v>1</v>
      </c>
      <c r="E3378" s="2" t="s">
        <v>15</v>
      </c>
      <c r="F3378" s="2" t="s">
        <v>36</v>
      </c>
      <c r="G3378" s="7">
        <v>19.399999999999999</v>
      </c>
      <c r="H3378" s="7">
        <v>19.399999999999999</v>
      </c>
      <c r="I3378" s="2" t="s">
        <v>15</v>
      </c>
      <c r="J3378" s="2" t="s">
        <v>16</v>
      </c>
      <c r="K3378" s="2" t="s">
        <v>21</v>
      </c>
      <c r="L3378" s="7">
        <v>19.399999999999999</v>
      </c>
      <c r="M3378" s="2" t="str">
        <f>_xlfn.IFS(TelecomData[[#This Row],[TenureMonths]]&lt;=12, "0-1 Year", TelecomData[[#This Row],[TenureMonths]]&lt;=36, "1-3 Years", TelecomData[[#This Row],[TenureMonths]]&gt;36, "3+ Years")</f>
        <v>0-1 Year</v>
      </c>
      <c r="N3378" s="2" t="str">
        <f>IF(TelecomData[[#This Row],[CleanedTotalCharges]]&gt;=2500,"High Spend", "Standard Spend")</f>
        <v>Standard Spend</v>
      </c>
    </row>
    <row r="3379" spans="1:14" x14ac:dyDescent="0.3">
      <c r="A3379" s="1" t="s">
        <v>3403</v>
      </c>
      <c r="B3379" s="2" t="s">
        <v>19</v>
      </c>
      <c r="C3379" s="2" t="s">
        <v>35</v>
      </c>
      <c r="D3379" s="2">
        <v>68</v>
      </c>
      <c r="E3379" s="2" t="s">
        <v>15</v>
      </c>
      <c r="F3379" s="2" t="s">
        <v>36</v>
      </c>
      <c r="G3379" s="7">
        <v>25.05</v>
      </c>
      <c r="H3379" s="7">
        <v>1629.2</v>
      </c>
      <c r="I3379" s="2" t="s">
        <v>15</v>
      </c>
      <c r="J3379" s="2" t="s">
        <v>15</v>
      </c>
      <c r="K3379" s="2" t="s">
        <v>29</v>
      </c>
      <c r="L3379" s="7">
        <v>1629.2</v>
      </c>
      <c r="M3379" s="2" t="str">
        <f>_xlfn.IFS(TelecomData[[#This Row],[TenureMonths]]&lt;=12, "0-1 Year", TelecomData[[#This Row],[TenureMonths]]&lt;=36, "1-3 Years", TelecomData[[#This Row],[TenureMonths]]&gt;36, "3+ Years")</f>
        <v>3+ Years</v>
      </c>
      <c r="N3379" s="2" t="str">
        <f>IF(TelecomData[[#This Row],[CleanedTotalCharges]]&gt;=2500,"High Spend", "Standard Spend")</f>
        <v>Standard Spend</v>
      </c>
    </row>
    <row r="3380" spans="1:14" x14ac:dyDescent="0.3">
      <c r="A3380" s="1" t="s">
        <v>3404</v>
      </c>
      <c r="B3380" s="2" t="s">
        <v>19</v>
      </c>
      <c r="C3380" s="2" t="s">
        <v>35</v>
      </c>
      <c r="D3380" s="2">
        <v>72</v>
      </c>
      <c r="E3380" s="2" t="s">
        <v>14</v>
      </c>
      <c r="F3380" s="2" t="s">
        <v>16</v>
      </c>
      <c r="G3380" s="7">
        <v>84.45</v>
      </c>
      <c r="H3380" s="7">
        <v>6033.1</v>
      </c>
      <c r="I3380" s="2" t="s">
        <v>15</v>
      </c>
      <c r="J3380" s="2" t="s">
        <v>15</v>
      </c>
      <c r="K3380" s="2" t="s">
        <v>21</v>
      </c>
      <c r="L3380" s="7">
        <v>6033.1</v>
      </c>
      <c r="M3380" s="2" t="str">
        <f>_xlfn.IFS(TelecomData[[#This Row],[TenureMonths]]&lt;=12, "0-1 Year", TelecomData[[#This Row],[TenureMonths]]&lt;=36, "1-3 Years", TelecomData[[#This Row],[TenureMonths]]&gt;36, "3+ Years")</f>
        <v>3+ Years</v>
      </c>
      <c r="N3380" s="2" t="str">
        <f>IF(TelecomData[[#This Row],[CleanedTotalCharges]]&gt;=2500,"High Spend", "Standard Spend")</f>
        <v>High Spend</v>
      </c>
    </row>
    <row r="3381" spans="1:14" x14ac:dyDescent="0.3">
      <c r="A3381" s="1" t="s">
        <v>3405</v>
      </c>
      <c r="B3381" s="2" t="s">
        <v>12</v>
      </c>
      <c r="C3381" s="2" t="s">
        <v>13</v>
      </c>
      <c r="D3381" s="2">
        <v>2</v>
      </c>
      <c r="E3381" s="2" t="s">
        <v>15</v>
      </c>
      <c r="F3381" s="2" t="s">
        <v>36</v>
      </c>
      <c r="G3381" s="7">
        <v>19.3</v>
      </c>
      <c r="H3381" s="7">
        <v>44.4</v>
      </c>
      <c r="I3381" s="2" t="s">
        <v>15</v>
      </c>
      <c r="J3381" s="2" t="s">
        <v>15</v>
      </c>
      <c r="K3381" s="2" t="s">
        <v>21</v>
      </c>
      <c r="L3381" s="7">
        <v>44.4</v>
      </c>
      <c r="M3381" s="2" t="str">
        <f>_xlfn.IFS(TelecomData[[#This Row],[TenureMonths]]&lt;=12, "0-1 Year", TelecomData[[#This Row],[TenureMonths]]&lt;=36, "1-3 Years", TelecomData[[#This Row],[TenureMonths]]&gt;36, "3+ Years")</f>
        <v>0-1 Year</v>
      </c>
      <c r="N3381" s="2" t="str">
        <f>IF(TelecomData[[#This Row],[CleanedTotalCharges]]&gt;=2500,"High Spend", "Standard Spend")</f>
        <v>Standard Spend</v>
      </c>
    </row>
    <row r="3382" spans="1:14" x14ac:dyDescent="0.3">
      <c r="A3382" s="1" t="s">
        <v>3406</v>
      </c>
      <c r="B3382" s="2" t="s">
        <v>19</v>
      </c>
      <c r="C3382" s="2" t="s">
        <v>13</v>
      </c>
      <c r="D3382" s="2">
        <v>1</v>
      </c>
      <c r="E3382" s="2" t="s">
        <v>26</v>
      </c>
      <c r="F3382" s="2" t="s">
        <v>15</v>
      </c>
      <c r="G3382" s="7">
        <v>95.1</v>
      </c>
      <c r="H3382" s="7">
        <v>95.1</v>
      </c>
      <c r="I3382" s="2" t="s">
        <v>16</v>
      </c>
      <c r="J3382" s="2" t="s">
        <v>16</v>
      </c>
      <c r="K3382" s="2" t="s">
        <v>17</v>
      </c>
      <c r="L3382" s="7">
        <v>95.1</v>
      </c>
      <c r="M3382" s="2" t="str">
        <f>_xlfn.IFS(TelecomData[[#This Row],[TenureMonths]]&lt;=12, "0-1 Year", TelecomData[[#This Row],[TenureMonths]]&lt;=36, "1-3 Years", TelecomData[[#This Row],[TenureMonths]]&gt;36, "3+ Years")</f>
        <v>0-1 Year</v>
      </c>
      <c r="N3382" s="2" t="str">
        <f>IF(TelecomData[[#This Row],[CleanedTotalCharges]]&gt;=2500,"High Spend", "Standard Spend")</f>
        <v>Standard Spend</v>
      </c>
    </row>
    <row r="3383" spans="1:14" x14ac:dyDescent="0.3">
      <c r="A3383" s="1" t="s">
        <v>3407</v>
      </c>
      <c r="B3383" s="2" t="s">
        <v>12</v>
      </c>
      <c r="C3383" s="2" t="s">
        <v>20</v>
      </c>
      <c r="D3383" s="2">
        <v>41</v>
      </c>
      <c r="E3383" s="2" t="s">
        <v>14</v>
      </c>
      <c r="F3383" s="2" t="s">
        <v>16</v>
      </c>
      <c r="G3383" s="7">
        <v>79.849999999999994</v>
      </c>
      <c r="H3383" s="7">
        <v>3320.75</v>
      </c>
      <c r="I3383" s="2" t="s">
        <v>15</v>
      </c>
      <c r="J3383" s="2" t="s">
        <v>16</v>
      </c>
      <c r="K3383" s="2" t="s">
        <v>24</v>
      </c>
      <c r="L3383" s="7">
        <v>3320.75</v>
      </c>
      <c r="M3383" s="2" t="str">
        <f>_xlfn.IFS(TelecomData[[#This Row],[TenureMonths]]&lt;=12, "0-1 Year", TelecomData[[#This Row],[TenureMonths]]&lt;=36, "1-3 Years", TelecomData[[#This Row],[TenureMonths]]&gt;36, "3+ Years")</f>
        <v>3+ Years</v>
      </c>
      <c r="N3383" s="2" t="str">
        <f>IF(TelecomData[[#This Row],[CleanedTotalCharges]]&gt;=2500,"High Spend", "Standard Spend")</f>
        <v>High Spend</v>
      </c>
    </row>
    <row r="3384" spans="1:14" x14ac:dyDescent="0.3">
      <c r="A3384" s="1" t="s">
        <v>3408</v>
      </c>
      <c r="B3384" s="2" t="s">
        <v>19</v>
      </c>
      <c r="C3384" s="2" t="s">
        <v>35</v>
      </c>
      <c r="D3384" s="2">
        <v>72</v>
      </c>
      <c r="E3384" s="2" t="s">
        <v>15</v>
      </c>
      <c r="F3384" s="2" t="s">
        <v>36</v>
      </c>
      <c r="G3384" s="7">
        <v>25.55</v>
      </c>
      <c r="H3384" s="7">
        <v>1867.7</v>
      </c>
      <c r="I3384" s="2" t="s">
        <v>15</v>
      </c>
      <c r="J3384" s="2" t="s">
        <v>15</v>
      </c>
      <c r="K3384" s="2" t="s">
        <v>29</v>
      </c>
      <c r="L3384" s="7">
        <v>1867.7</v>
      </c>
      <c r="M3384" s="2" t="str">
        <f>_xlfn.IFS(TelecomData[[#This Row],[TenureMonths]]&lt;=12, "0-1 Year", TelecomData[[#This Row],[TenureMonths]]&lt;=36, "1-3 Years", TelecomData[[#This Row],[TenureMonths]]&gt;36, "3+ Years")</f>
        <v>3+ Years</v>
      </c>
      <c r="N3384" s="2" t="str">
        <f>IF(TelecomData[[#This Row],[CleanedTotalCharges]]&gt;=2500,"High Spend", "Standard Spend")</f>
        <v>Standard Spend</v>
      </c>
    </row>
    <row r="3385" spans="1:14" x14ac:dyDescent="0.3">
      <c r="A3385" s="1" t="s">
        <v>3409</v>
      </c>
      <c r="B3385" s="2" t="s">
        <v>19</v>
      </c>
      <c r="C3385" s="2" t="s">
        <v>13</v>
      </c>
      <c r="D3385" s="2">
        <v>6</v>
      </c>
      <c r="E3385" s="2" t="s">
        <v>26</v>
      </c>
      <c r="F3385" s="2" t="s">
        <v>15</v>
      </c>
      <c r="G3385" s="7">
        <v>75.5</v>
      </c>
      <c r="H3385" s="7">
        <v>438</v>
      </c>
      <c r="I3385" s="2" t="s">
        <v>16</v>
      </c>
      <c r="J3385" s="2" t="s">
        <v>16</v>
      </c>
      <c r="K3385" s="2" t="s">
        <v>17</v>
      </c>
      <c r="L3385" s="7">
        <v>438</v>
      </c>
      <c r="M3385" s="2" t="str">
        <f>_xlfn.IFS(TelecomData[[#This Row],[TenureMonths]]&lt;=12, "0-1 Year", TelecomData[[#This Row],[TenureMonths]]&lt;=36, "1-3 Years", TelecomData[[#This Row],[TenureMonths]]&gt;36, "3+ Years")</f>
        <v>0-1 Year</v>
      </c>
      <c r="N3385" s="2" t="str">
        <f>IF(TelecomData[[#This Row],[CleanedTotalCharges]]&gt;=2500,"High Spend", "Standard Spend")</f>
        <v>Standard Spend</v>
      </c>
    </row>
    <row r="3386" spans="1:14" x14ac:dyDescent="0.3">
      <c r="A3386" s="1" t="s">
        <v>3410</v>
      </c>
      <c r="B3386" s="2" t="s">
        <v>12</v>
      </c>
      <c r="C3386" s="2" t="s">
        <v>13</v>
      </c>
      <c r="D3386" s="2">
        <v>4</v>
      </c>
      <c r="E3386" s="2" t="s">
        <v>26</v>
      </c>
      <c r="F3386" s="2" t="s">
        <v>15</v>
      </c>
      <c r="G3386" s="7">
        <v>73.75</v>
      </c>
      <c r="H3386" s="7">
        <v>325.45</v>
      </c>
      <c r="I3386" s="2" t="s">
        <v>16</v>
      </c>
      <c r="J3386" s="2" t="s">
        <v>16</v>
      </c>
      <c r="K3386" s="2" t="s">
        <v>17</v>
      </c>
      <c r="L3386" s="7">
        <v>325.45</v>
      </c>
      <c r="M3386" s="2" t="str">
        <f>_xlfn.IFS(TelecomData[[#This Row],[TenureMonths]]&lt;=12, "0-1 Year", TelecomData[[#This Row],[TenureMonths]]&lt;=36, "1-3 Years", TelecomData[[#This Row],[TenureMonths]]&gt;36, "3+ Years")</f>
        <v>0-1 Year</v>
      </c>
      <c r="N3386" s="2" t="str">
        <f>IF(TelecomData[[#This Row],[CleanedTotalCharges]]&gt;=2500,"High Spend", "Standard Spend")</f>
        <v>Standard Spend</v>
      </c>
    </row>
    <row r="3387" spans="1:14" x14ac:dyDescent="0.3">
      <c r="A3387" s="1" t="s">
        <v>3411</v>
      </c>
      <c r="B3387" s="2" t="s">
        <v>19</v>
      </c>
      <c r="C3387" s="2" t="s">
        <v>13</v>
      </c>
      <c r="D3387" s="2">
        <v>12</v>
      </c>
      <c r="E3387" s="2" t="s">
        <v>26</v>
      </c>
      <c r="F3387" s="2" t="s">
        <v>15</v>
      </c>
      <c r="G3387" s="7">
        <v>96.05</v>
      </c>
      <c r="H3387" s="7">
        <v>1148.0999999999999</v>
      </c>
      <c r="I3387" s="2" t="s">
        <v>16</v>
      </c>
      <c r="J3387" s="2" t="s">
        <v>16</v>
      </c>
      <c r="K3387" s="2" t="s">
        <v>17</v>
      </c>
      <c r="L3387" s="7">
        <v>1148.0999999999999</v>
      </c>
      <c r="M3387" s="2" t="str">
        <f>_xlfn.IFS(TelecomData[[#This Row],[TenureMonths]]&lt;=12, "0-1 Year", TelecomData[[#This Row],[TenureMonths]]&lt;=36, "1-3 Years", TelecomData[[#This Row],[TenureMonths]]&gt;36, "3+ Years")</f>
        <v>0-1 Year</v>
      </c>
      <c r="N3387" s="2" t="str">
        <f>IF(TelecomData[[#This Row],[CleanedTotalCharges]]&gt;=2500,"High Spend", "Standard Spend")</f>
        <v>Standard Spend</v>
      </c>
    </row>
    <row r="3388" spans="1:14" x14ac:dyDescent="0.3">
      <c r="A3388" s="1" t="s">
        <v>3412</v>
      </c>
      <c r="B3388" s="2" t="s">
        <v>12</v>
      </c>
      <c r="C3388" s="2" t="s">
        <v>20</v>
      </c>
      <c r="D3388" s="2">
        <v>58</v>
      </c>
      <c r="E3388" s="2" t="s">
        <v>14</v>
      </c>
      <c r="F3388" s="2" t="s">
        <v>16</v>
      </c>
      <c r="G3388" s="7">
        <v>68.400000000000006</v>
      </c>
      <c r="H3388" s="7">
        <v>3972.25</v>
      </c>
      <c r="I3388" s="2" t="s">
        <v>15</v>
      </c>
      <c r="J3388" s="2" t="s">
        <v>16</v>
      </c>
      <c r="K3388" s="2" t="s">
        <v>17</v>
      </c>
      <c r="L3388" s="7">
        <v>3972.25</v>
      </c>
      <c r="M3388" s="2" t="str">
        <f>_xlfn.IFS(TelecomData[[#This Row],[TenureMonths]]&lt;=12, "0-1 Year", TelecomData[[#This Row],[TenureMonths]]&lt;=36, "1-3 Years", TelecomData[[#This Row],[TenureMonths]]&gt;36, "3+ Years")</f>
        <v>3+ Years</v>
      </c>
      <c r="N3388" s="2" t="str">
        <f>IF(TelecomData[[#This Row],[CleanedTotalCharges]]&gt;=2500,"High Spend", "Standard Spend")</f>
        <v>High Spend</v>
      </c>
    </row>
    <row r="3389" spans="1:14" x14ac:dyDescent="0.3">
      <c r="A3389" s="1" t="s">
        <v>3413</v>
      </c>
      <c r="B3389" s="2" t="s">
        <v>12</v>
      </c>
      <c r="C3389" s="2" t="s">
        <v>13</v>
      </c>
      <c r="D3389" s="2">
        <v>7</v>
      </c>
      <c r="E3389" s="2" t="s">
        <v>15</v>
      </c>
      <c r="F3389" s="2" t="s">
        <v>36</v>
      </c>
      <c r="G3389" s="7">
        <v>20.65</v>
      </c>
      <c r="H3389" s="7">
        <v>155.9</v>
      </c>
      <c r="I3389" s="2" t="s">
        <v>15</v>
      </c>
      <c r="J3389" s="2" t="s">
        <v>15</v>
      </c>
      <c r="K3389" s="2" t="s">
        <v>21</v>
      </c>
      <c r="L3389" s="7">
        <v>155.9</v>
      </c>
      <c r="M3389" s="2" t="str">
        <f>_xlfn.IFS(TelecomData[[#This Row],[TenureMonths]]&lt;=12, "0-1 Year", TelecomData[[#This Row],[TenureMonths]]&lt;=36, "1-3 Years", TelecomData[[#This Row],[TenureMonths]]&gt;36, "3+ Years")</f>
        <v>0-1 Year</v>
      </c>
      <c r="N3389" s="2" t="str">
        <f>IF(TelecomData[[#This Row],[CleanedTotalCharges]]&gt;=2500,"High Spend", "Standard Spend")</f>
        <v>Standard Spend</v>
      </c>
    </row>
    <row r="3390" spans="1:14" x14ac:dyDescent="0.3">
      <c r="A3390" s="1" t="s">
        <v>3414</v>
      </c>
      <c r="B3390" s="2" t="s">
        <v>12</v>
      </c>
      <c r="C3390" s="2" t="s">
        <v>13</v>
      </c>
      <c r="D3390" s="2">
        <v>65</v>
      </c>
      <c r="E3390" s="2" t="s">
        <v>14</v>
      </c>
      <c r="F3390" s="2" t="s">
        <v>15</v>
      </c>
      <c r="G3390" s="7">
        <v>55.15</v>
      </c>
      <c r="H3390" s="7">
        <v>3673.15</v>
      </c>
      <c r="I3390" s="2" t="s">
        <v>15</v>
      </c>
      <c r="J3390" s="2" t="s">
        <v>16</v>
      </c>
      <c r="K3390" s="2" t="s">
        <v>21</v>
      </c>
      <c r="L3390" s="7">
        <v>3673.15</v>
      </c>
      <c r="M3390" s="2" t="str">
        <f>_xlfn.IFS(TelecomData[[#This Row],[TenureMonths]]&lt;=12, "0-1 Year", TelecomData[[#This Row],[TenureMonths]]&lt;=36, "1-3 Years", TelecomData[[#This Row],[TenureMonths]]&gt;36, "3+ Years")</f>
        <v>3+ Years</v>
      </c>
      <c r="N3390" s="2" t="str">
        <f>IF(TelecomData[[#This Row],[CleanedTotalCharges]]&gt;=2500,"High Spend", "Standard Spend")</f>
        <v>High Spend</v>
      </c>
    </row>
    <row r="3391" spans="1:14" x14ac:dyDescent="0.3">
      <c r="A3391" s="1" t="s">
        <v>3415</v>
      </c>
      <c r="B3391" s="2" t="s">
        <v>19</v>
      </c>
      <c r="C3391" s="2" t="s">
        <v>13</v>
      </c>
      <c r="D3391" s="2">
        <v>1</v>
      </c>
      <c r="E3391" s="2" t="s">
        <v>26</v>
      </c>
      <c r="F3391" s="2" t="s">
        <v>15</v>
      </c>
      <c r="G3391" s="7">
        <v>70.599999999999994</v>
      </c>
      <c r="H3391" s="7">
        <v>70.599999999999994</v>
      </c>
      <c r="I3391" s="2" t="s">
        <v>15</v>
      </c>
      <c r="J3391" s="2" t="s">
        <v>16</v>
      </c>
      <c r="K3391" s="2" t="s">
        <v>21</v>
      </c>
      <c r="L3391" s="7">
        <v>70.599999999999994</v>
      </c>
      <c r="M3391" s="2" t="str">
        <f>_xlfn.IFS(TelecomData[[#This Row],[TenureMonths]]&lt;=12, "0-1 Year", TelecomData[[#This Row],[TenureMonths]]&lt;=36, "1-3 Years", TelecomData[[#This Row],[TenureMonths]]&gt;36, "3+ Years")</f>
        <v>0-1 Year</v>
      </c>
      <c r="N3391" s="2" t="str">
        <f>IF(TelecomData[[#This Row],[CleanedTotalCharges]]&gt;=2500,"High Spend", "Standard Spend")</f>
        <v>Standard Spend</v>
      </c>
    </row>
    <row r="3392" spans="1:14" x14ac:dyDescent="0.3">
      <c r="A3392" s="1" t="s">
        <v>3416</v>
      </c>
      <c r="B3392" s="2" t="s">
        <v>19</v>
      </c>
      <c r="C3392" s="2" t="s">
        <v>20</v>
      </c>
      <c r="D3392" s="2">
        <v>56</v>
      </c>
      <c r="E3392" s="2" t="s">
        <v>15</v>
      </c>
      <c r="F3392" s="2" t="s">
        <v>36</v>
      </c>
      <c r="G3392" s="7">
        <v>19.95</v>
      </c>
      <c r="H3392" s="7">
        <v>1126.75</v>
      </c>
      <c r="I3392" s="2" t="s">
        <v>15</v>
      </c>
      <c r="J3392" s="2" t="s">
        <v>15</v>
      </c>
      <c r="K3392" s="2" t="s">
        <v>29</v>
      </c>
      <c r="L3392" s="7">
        <v>1126.75</v>
      </c>
      <c r="M3392" s="2" t="str">
        <f>_xlfn.IFS(TelecomData[[#This Row],[TenureMonths]]&lt;=12, "0-1 Year", TelecomData[[#This Row],[TenureMonths]]&lt;=36, "1-3 Years", TelecomData[[#This Row],[TenureMonths]]&gt;36, "3+ Years")</f>
        <v>3+ Years</v>
      </c>
      <c r="N3392" s="2" t="str">
        <f>IF(TelecomData[[#This Row],[CleanedTotalCharges]]&gt;=2500,"High Spend", "Standard Spend")</f>
        <v>Standard Spend</v>
      </c>
    </row>
    <row r="3393" spans="1:14" x14ac:dyDescent="0.3">
      <c r="A3393" s="1" t="s">
        <v>3417</v>
      </c>
      <c r="B3393" s="2" t="s">
        <v>19</v>
      </c>
      <c r="C3393" s="2" t="s">
        <v>13</v>
      </c>
      <c r="D3393" s="2">
        <v>4</v>
      </c>
      <c r="E3393" s="2" t="s">
        <v>15</v>
      </c>
      <c r="F3393" s="2" t="s">
        <v>36</v>
      </c>
      <c r="G3393" s="7">
        <v>19</v>
      </c>
      <c r="H3393" s="7">
        <v>73.45</v>
      </c>
      <c r="I3393" s="2" t="s">
        <v>15</v>
      </c>
      <c r="J3393" s="2" t="s">
        <v>15</v>
      </c>
      <c r="K3393" s="2" t="s">
        <v>21</v>
      </c>
      <c r="L3393" s="7">
        <v>73.45</v>
      </c>
      <c r="M3393" s="2" t="str">
        <f>_xlfn.IFS(TelecomData[[#This Row],[TenureMonths]]&lt;=12, "0-1 Year", TelecomData[[#This Row],[TenureMonths]]&lt;=36, "1-3 Years", TelecomData[[#This Row],[TenureMonths]]&gt;36, "3+ Years")</f>
        <v>0-1 Year</v>
      </c>
      <c r="N3393" s="2" t="str">
        <f>IF(TelecomData[[#This Row],[CleanedTotalCharges]]&gt;=2500,"High Spend", "Standard Spend")</f>
        <v>Standard Spend</v>
      </c>
    </row>
    <row r="3394" spans="1:14" x14ac:dyDescent="0.3">
      <c r="A3394" s="1" t="s">
        <v>3418</v>
      </c>
      <c r="B3394" s="2" t="s">
        <v>12</v>
      </c>
      <c r="C3394" s="2" t="s">
        <v>20</v>
      </c>
      <c r="D3394" s="2">
        <v>58</v>
      </c>
      <c r="E3394" s="2" t="s">
        <v>14</v>
      </c>
      <c r="F3394" s="2" t="s">
        <v>15</v>
      </c>
      <c r="G3394" s="7">
        <v>44.1</v>
      </c>
      <c r="H3394" s="7">
        <v>2413.0500000000002</v>
      </c>
      <c r="I3394" s="2" t="s">
        <v>15</v>
      </c>
      <c r="J3394" s="2" t="s">
        <v>16</v>
      </c>
      <c r="K3394" s="2" t="s">
        <v>21</v>
      </c>
      <c r="L3394" s="7">
        <v>2413.0500000000002</v>
      </c>
      <c r="M3394" s="2" t="str">
        <f>_xlfn.IFS(TelecomData[[#This Row],[TenureMonths]]&lt;=12, "0-1 Year", TelecomData[[#This Row],[TenureMonths]]&lt;=36, "1-3 Years", TelecomData[[#This Row],[TenureMonths]]&gt;36, "3+ Years")</f>
        <v>3+ Years</v>
      </c>
      <c r="N3394" s="2" t="str">
        <f>IF(TelecomData[[#This Row],[CleanedTotalCharges]]&gt;=2500,"High Spend", "Standard Spend")</f>
        <v>Standard Spend</v>
      </c>
    </row>
    <row r="3395" spans="1:14" x14ac:dyDescent="0.3">
      <c r="A3395" s="1" t="s">
        <v>3419</v>
      </c>
      <c r="B3395" s="2" t="s">
        <v>19</v>
      </c>
      <c r="C3395" s="2" t="s">
        <v>35</v>
      </c>
      <c r="D3395" s="2">
        <v>62</v>
      </c>
      <c r="E3395" s="2" t="s">
        <v>26</v>
      </c>
      <c r="F3395" s="2" t="s">
        <v>16</v>
      </c>
      <c r="G3395" s="7">
        <v>107.6</v>
      </c>
      <c r="H3395" s="7">
        <v>6912.7</v>
      </c>
      <c r="I3395" s="2" t="s">
        <v>15</v>
      </c>
      <c r="J3395" s="2" t="s">
        <v>16</v>
      </c>
      <c r="K3395" s="2" t="s">
        <v>24</v>
      </c>
      <c r="L3395" s="7">
        <v>6912.7</v>
      </c>
      <c r="M3395" s="2" t="str">
        <f>_xlfn.IFS(TelecomData[[#This Row],[TenureMonths]]&lt;=12, "0-1 Year", TelecomData[[#This Row],[TenureMonths]]&lt;=36, "1-3 Years", TelecomData[[#This Row],[TenureMonths]]&gt;36, "3+ Years")</f>
        <v>3+ Years</v>
      </c>
      <c r="N3395" s="2" t="str">
        <f>IF(TelecomData[[#This Row],[CleanedTotalCharges]]&gt;=2500,"High Spend", "Standard Spend")</f>
        <v>High Spend</v>
      </c>
    </row>
    <row r="3396" spans="1:14" x14ac:dyDescent="0.3">
      <c r="A3396" s="1" t="s">
        <v>3420</v>
      </c>
      <c r="B3396" s="2" t="s">
        <v>19</v>
      </c>
      <c r="C3396" s="2" t="s">
        <v>20</v>
      </c>
      <c r="D3396" s="2">
        <v>26</v>
      </c>
      <c r="E3396" s="2" t="s">
        <v>14</v>
      </c>
      <c r="F3396" s="2" t="s">
        <v>15</v>
      </c>
      <c r="G3396" s="7">
        <v>61.55</v>
      </c>
      <c r="H3396" s="7">
        <v>1581.95</v>
      </c>
      <c r="I3396" s="2" t="s">
        <v>15</v>
      </c>
      <c r="J3396" s="2" t="s">
        <v>15</v>
      </c>
      <c r="K3396" s="2" t="s">
        <v>17</v>
      </c>
      <c r="L3396" s="7">
        <v>1581.95</v>
      </c>
      <c r="M3396" s="2" t="str">
        <f>_xlfn.IFS(TelecomData[[#This Row],[TenureMonths]]&lt;=12, "0-1 Year", TelecomData[[#This Row],[TenureMonths]]&lt;=36, "1-3 Years", TelecomData[[#This Row],[TenureMonths]]&gt;36, "3+ Years")</f>
        <v>1-3 Years</v>
      </c>
      <c r="N3396" s="2" t="str">
        <f>IF(TelecomData[[#This Row],[CleanedTotalCharges]]&gt;=2500,"High Spend", "Standard Spend")</f>
        <v>Standard Spend</v>
      </c>
    </row>
    <row r="3397" spans="1:14" x14ac:dyDescent="0.3">
      <c r="A3397" s="1" t="s">
        <v>3421</v>
      </c>
      <c r="B3397" s="2" t="s">
        <v>19</v>
      </c>
      <c r="C3397" s="2" t="s">
        <v>13</v>
      </c>
      <c r="D3397" s="2">
        <v>62</v>
      </c>
      <c r="E3397" s="2" t="s">
        <v>26</v>
      </c>
      <c r="F3397" s="2" t="s">
        <v>15</v>
      </c>
      <c r="G3397" s="7">
        <v>90.7</v>
      </c>
      <c r="H3397" s="7">
        <v>5586.45</v>
      </c>
      <c r="I3397" s="2" t="s">
        <v>15</v>
      </c>
      <c r="J3397" s="2" t="s">
        <v>15</v>
      </c>
      <c r="K3397" s="2" t="s">
        <v>24</v>
      </c>
      <c r="L3397" s="7">
        <v>5586.45</v>
      </c>
      <c r="M3397" s="2" t="str">
        <f>_xlfn.IFS(TelecomData[[#This Row],[TenureMonths]]&lt;=12, "0-1 Year", TelecomData[[#This Row],[TenureMonths]]&lt;=36, "1-3 Years", TelecomData[[#This Row],[TenureMonths]]&gt;36, "3+ Years")</f>
        <v>3+ Years</v>
      </c>
      <c r="N3397" s="2" t="str">
        <f>IF(TelecomData[[#This Row],[CleanedTotalCharges]]&gt;=2500,"High Spend", "Standard Spend")</f>
        <v>High Spend</v>
      </c>
    </row>
    <row r="3398" spans="1:14" x14ac:dyDescent="0.3">
      <c r="A3398" s="1" t="s">
        <v>3422</v>
      </c>
      <c r="B3398" s="2" t="s">
        <v>12</v>
      </c>
      <c r="C3398" s="2" t="s">
        <v>20</v>
      </c>
      <c r="D3398" s="2">
        <v>58</v>
      </c>
      <c r="E3398" s="2" t="s">
        <v>26</v>
      </c>
      <c r="F3398" s="2" t="s">
        <v>15</v>
      </c>
      <c r="G3398" s="7">
        <v>99.25</v>
      </c>
      <c r="H3398" s="7">
        <v>5846.65</v>
      </c>
      <c r="I3398" s="2" t="s">
        <v>15</v>
      </c>
      <c r="J3398" s="2" t="s">
        <v>15</v>
      </c>
      <c r="K3398" s="2" t="s">
        <v>29</v>
      </c>
      <c r="L3398" s="7">
        <v>5846.65</v>
      </c>
      <c r="M3398" s="2" t="str">
        <f>_xlfn.IFS(TelecomData[[#This Row],[TenureMonths]]&lt;=12, "0-1 Year", TelecomData[[#This Row],[TenureMonths]]&lt;=36, "1-3 Years", TelecomData[[#This Row],[TenureMonths]]&gt;36, "3+ Years")</f>
        <v>3+ Years</v>
      </c>
      <c r="N3398" s="2" t="str">
        <f>IF(TelecomData[[#This Row],[CleanedTotalCharges]]&gt;=2500,"High Spend", "Standard Spend")</f>
        <v>High Spend</v>
      </c>
    </row>
    <row r="3399" spans="1:14" x14ac:dyDescent="0.3">
      <c r="A3399" s="1" t="s">
        <v>3423</v>
      </c>
      <c r="B3399" s="2" t="s">
        <v>12</v>
      </c>
      <c r="C3399" s="2" t="s">
        <v>35</v>
      </c>
      <c r="D3399" s="2">
        <v>68</v>
      </c>
      <c r="E3399" s="2" t="s">
        <v>14</v>
      </c>
      <c r="F3399" s="2" t="s">
        <v>16</v>
      </c>
      <c r="G3399" s="7">
        <v>91.7</v>
      </c>
      <c r="H3399" s="7">
        <v>6424.7</v>
      </c>
      <c r="I3399" s="2" t="s">
        <v>15</v>
      </c>
      <c r="J3399" s="2" t="s">
        <v>16</v>
      </c>
      <c r="K3399" s="2" t="s">
        <v>17</v>
      </c>
      <c r="L3399" s="7">
        <v>6424.7</v>
      </c>
      <c r="M3399" s="2" t="str">
        <f>_xlfn.IFS(TelecomData[[#This Row],[TenureMonths]]&lt;=12, "0-1 Year", TelecomData[[#This Row],[TenureMonths]]&lt;=36, "1-3 Years", TelecomData[[#This Row],[TenureMonths]]&gt;36, "3+ Years")</f>
        <v>3+ Years</v>
      </c>
      <c r="N3399" s="2" t="str">
        <f>IF(TelecomData[[#This Row],[CleanedTotalCharges]]&gt;=2500,"High Spend", "Standard Spend")</f>
        <v>High Spend</v>
      </c>
    </row>
    <row r="3400" spans="1:14" x14ac:dyDescent="0.3">
      <c r="A3400" s="1" t="s">
        <v>3424</v>
      </c>
      <c r="B3400" s="2" t="s">
        <v>12</v>
      </c>
      <c r="C3400" s="2" t="s">
        <v>20</v>
      </c>
      <c r="D3400" s="2">
        <v>61</v>
      </c>
      <c r="E3400" s="2" t="s">
        <v>26</v>
      </c>
      <c r="F3400" s="2" t="s">
        <v>15</v>
      </c>
      <c r="G3400" s="7">
        <v>100.7</v>
      </c>
      <c r="H3400" s="7">
        <v>6018.65</v>
      </c>
      <c r="I3400" s="2" t="s">
        <v>15</v>
      </c>
      <c r="J3400" s="2" t="s">
        <v>16</v>
      </c>
      <c r="K3400" s="2" t="s">
        <v>29</v>
      </c>
      <c r="L3400" s="7">
        <v>6018.65</v>
      </c>
      <c r="M3400" s="2" t="str">
        <f>_xlfn.IFS(TelecomData[[#This Row],[TenureMonths]]&lt;=12, "0-1 Year", TelecomData[[#This Row],[TenureMonths]]&lt;=36, "1-3 Years", TelecomData[[#This Row],[TenureMonths]]&gt;36, "3+ Years")</f>
        <v>3+ Years</v>
      </c>
      <c r="N3400" s="2" t="str">
        <f>IF(TelecomData[[#This Row],[CleanedTotalCharges]]&gt;=2500,"High Spend", "Standard Spend")</f>
        <v>High Spend</v>
      </c>
    </row>
    <row r="3401" spans="1:14" x14ac:dyDescent="0.3">
      <c r="A3401" s="1" t="s">
        <v>3425</v>
      </c>
      <c r="B3401" s="2" t="s">
        <v>12</v>
      </c>
      <c r="C3401" s="2" t="s">
        <v>35</v>
      </c>
      <c r="D3401" s="2">
        <v>42</v>
      </c>
      <c r="E3401" s="2" t="s">
        <v>14</v>
      </c>
      <c r="F3401" s="2" t="s">
        <v>16</v>
      </c>
      <c r="G3401" s="7">
        <v>78.45</v>
      </c>
      <c r="H3401" s="7">
        <v>3373.4</v>
      </c>
      <c r="I3401" s="2" t="s">
        <v>15</v>
      </c>
      <c r="J3401" s="2" t="s">
        <v>16</v>
      </c>
      <c r="K3401" s="2" t="s">
        <v>29</v>
      </c>
      <c r="L3401" s="7">
        <v>3373.4</v>
      </c>
      <c r="M3401" s="2" t="str">
        <f>_xlfn.IFS(TelecomData[[#This Row],[TenureMonths]]&lt;=12, "0-1 Year", TelecomData[[#This Row],[TenureMonths]]&lt;=36, "1-3 Years", TelecomData[[#This Row],[TenureMonths]]&gt;36, "3+ Years")</f>
        <v>3+ Years</v>
      </c>
      <c r="N3401" s="2" t="str">
        <f>IF(TelecomData[[#This Row],[CleanedTotalCharges]]&gt;=2500,"High Spend", "Standard Spend")</f>
        <v>High Spend</v>
      </c>
    </row>
    <row r="3402" spans="1:14" x14ac:dyDescent="0.3">
      <c r="A3402" s="1" t="s">
        <v>3426</v>
      </c>
      <c r="B3402" s="2" t="s">
        <v>19</v>
      </c>
      <c r="C3402" s="2" t="s">
        <v>13</v>
      </c>
      <c r="D3402" s="2">
        <v>18</v>
      </c>
      <c r="E3402" s="2" t="s">
        <v>26</v>
      </c>
      <c r="F3402" s="2" t="s">
        <v>15</v>
      </c>
      <c r="G3402" s="7">
        <v>84.3</v>
      </c>
      <c r="H3402" s="7">
        <v>1537.9</v>
      </c>
      <c r="I3402" s="2" t="s">
        <v>15</v>
      </c>
      <c r="J3402" s="2" t="s">
        <v>15</v>
      </c>
      <c r="K3402" s="2" t="s">
        <v>24</v>
      </c>
      <c r="L3402" s="7">
        <v>1537.9</v>
      </c>
      <c r="M3402" s="2" t="str">
        <f>_xlfn.IFS(TelecomData[[#This Row],[TenureMonths]]&lt;=12, "0-1 Year", TelecomData[[#This Row],[TenureMonths]]&lt;=36, "1-3 Years", TelecomData[[#This Row],[TenureMonths]]&gt;36, "3+ Years")</f>
        <v>1-3 Years</v>
      </c>
      <c r="N3402" s="2" t="str">
        <f>IF(TelecomData[[#This Row],[CleanedTotalCharges]]&gt;=2500,"High Spend", "Standard Spend")</f>
        <v>Standard Spend</v>
      </c>
    </row>
    <row r="3403" spans="1:14" x14ac:dyDescent="0.3">
      <c r="A3403" s="1" t="s">
        <v>3427</v>
      </c>
      <c r="B3403" s="2" t="s">
        <v>12</v>
      </c>
      <c r="C3403" s="2" t="s">
        <v>35</v>
      </c>
      <c r="D3403" s="2">
        <v>56</v>
      </c>
      <c r="E3403" s="2" t="s">
        <v>15</v>
      </c>
      <c r="F3403" s="2" t="s">
        <v>36</v>
      </c>
      <c r="G3403" s="7">
        <v>19.55</v>
      </c>
      <c r="H3403" s="7">
        <v>1080.55</v>
      </c>
      <c r="I3403" s="2" t="s">
        <v>15</v>
      </c>
      <c r="J3403" s="2" t="s">
        <v>16</v>
      </c>
      <c r="K3403" s="2" t="s">
        <v>24</v>
      </c>
      <c r="L3403" s="7">
        <v>1080.55</v>
      </c>
      <c r="M3403" s="2" t="str">
        <f>_xlfn.IFS(TelecomData[[#This Row],[TenureMonths]]&lt;=12, "0-1 Year", TelecomData[[#This Row],[TenureMonths]]&lt;=36, "1-3 Years", TelecomData[[#This Row],[TenureMonths]]&gt;36, "3+ Years")</f>
        <v>3+ Years</v>
      </c>
      <c r="N3403" s="2" t="str">
        <f>IF(TelecomData[[#This Row],[CleanedTotalCharges]]&gt;=2500,"High Spend", "Standard Spend")</f>
        <v>Standard Spend</v>
      </c>
    </row>
    <row r="3404" spans="1:14" x14ac:dyDescent="0.3">
      <c r="A3404" s="1" t="s">
        <v>3428</v>
      </c>
      <c r="B3404" s="2" t="s">
        <v>12</v>
      </c>
      <c r="C3404" s="2" t="s">
        <v>13</v>
      </c>
      <c r="D3404" s="2">
        <v>4</v>
      </c>
      <c r="E3404" s="2" t="s">
        <v>26</v>
      </c>
      <c r="F3404" s="2" t="s">
        <v>15</v>
      </c>
      <c r="G3404" s="7">
        <v>88.95</v>
      </c>
      <c r="H3404" s="7">
        <v>355.2</v>
      </c>
      <c r="I3404" s="2" t="s">
        <v>16</v>
      </c>
      <c r="J3404" s="2" t="s">
        <v>16</v>
      </c>
      <c r="K3404" s="2" t="s">
        <v>17</v>
      </c>
      <c r="L3404" s="7">
        <v>355.2</v>
      </c>
      <c r="M3404" s="2" t="str">
        <f>_xlfn.IFS(TelecomData[[#This Row],[TenureMonths]]&lt;=12, "0-1 Year", TelecomData[[#This Row],[TenureMonths]]&lt;=36, "1-3 Years", TelecomData[[#This Row],[TenureMonths]]&gt;36, "3+ Years")</f>
        <v>0-1 Year</v>
      </c>
      <c r="N3404" s="2" t="str">
        <f>IF(TelecomData[[#This Row],[CleanedTotalCharges]]&gt;=2500,"High Spend", "Standard Spend")</f>
        <v>Standard Spend</v>
      </c>
    </row>
    <row r="3405" spans="1:14" x14ac:dyDescent="0.3">
      <c r="A3405" s="1" t="s">
        <v>3429</v>
      </c>
      <c r="B3405" s="2" t="s">
        <v>12</v>
      </c>
      <c r="C3405" s="2" t="s">
        <v>13</v>
      </c>
      <c r="D3405" s="2">
        <v>4</v>
      </c>
      <c r="E3405" s="2" t="s">
        <v>15</v>
      </c>
      <c r="F3405" s="2" t="s">
        <v>36</v>
      </c>
      <c r="G3405" s="7">
        <v>20.45</v>
      </c>
      <c r="H3405" s="7">
        <v>82.85</v>
      </c>
      <c r="I3405" s="2" t="s">
        <v>15</v>
      </c>
      <c r="J3405" s="2" t="s">
        <v>15</v>
      </c>
      <c r="K3405" s="2" t="s">
        <v>29</v>
      </c>
      <c r="L3405" s="7">
        <v>82.85</v>
      </c>
      <c r="M3405" s="2" t="str">
        <f>_xlfn.IFS(TelecomData[[#This Row],[TenureMonths]]&lt;=12, "0-1 Year", TelecomData[[#This Row],[TenureMonths]]&lt;=36, "1-3 Years", TelecomData[[#This Row],[TenureMonths]]&gt;36, "3+ Years")</f>
        <v>0-1 Year</v>
      </c>
      <c r="N3405" s="2" t="str">
        <f>IF(TelecomData[[#This Row],[CleanedTotalCharges]]&gt;=2500,"High Spend", "Standard Spend")</f>
        <v>Standard Spend</v>
      </c>
    </row>
    <row r="3406" spans="1:14" x14ac:dyDescent="0.3">
      <c r="A3406" s="1" t="s">
        <v>3430</v>
      </c>
      <c r="B3406" s="2" t="s">
        <v>12</v>
      </c>
      <c r="C3406" s="2" t="s">
        <v>20</v>
      </c>
      <c r="D3406" s="2">
        <v>35</v>
      </c>
      <c r="E3406" s="2" t="s">
        <v>14</v>
      </c>
      <c r="F3406" s="2" t="s">
        <v>15</v>
      </c>
      <c r="G3406" s="7">
        <v>55.6</v>
      </c>
      <c r="H3406" s="7">
        <v>2016.45</v>
      </c>
      <c r="I3406" s="2" t="s">
        <v>15</v>
      </c>
      <c r="J3406" s="2" t="s">
        <v>15</v>
      </c>
      <c r="K3406" s="2" t="s">
        <v>29</v>
      </c>
      <c r="L3406" s="7">
        <v>2016.45</v>
      </c>
      <c r="M3406" s="2" t="str">
        <f>_xlfn.IFS(TelecomData[[#This Row],[TenureMonths]]&lt;=12, "0-1 Year", TelecomData[[#This Row],[TenureMonths]]&lt;=36, "1-3 Years", TelecomData[[#This Row],[TenureMonths]]&gt;36, "3+ Years")</f>
        <v>1-3 Years</v>
      </c>
      <c r="N3406" s="2" t="str">
        <f>IF(TelecomData[[#This Row],[CleanedTotalCharges]]&gt;=2500,"High Spend", "Standard Spend")</f>
        <v>Standard Spend</v>
      </c>
    </row>
    <row r="3407" spans="1:14" x14ac:dyDescent="0.3">
      <c r="A3407" s="1" t="s">
        <v>3431</v>
      </c>
      <c r="B3407" s="2" t="s">
        <v>12</v>
      </c>
      <c r="C3407" s="2" t="s">
        <v>13</v>
      </c>
      <c r="D3407" s="2">
        <v>64</v>
      </c>
      <c r="E3407" s="2" t="s">
        <v>26</v>
      </c>
      <c r="F3407" s="2" t="s">
        <v>16</v>
      </c>
      <c r="G3407" s="7">
        <v>86.8</v>
      </c>
      <c r="H3407" s="7">
        <v>5327.25</v>
      </c>
      <c r="I3407" s="2" t="s">
        <v>15</v>
      </c>
      <c r="J3407" s="2" t="s">
        <v>16</v>
      </c>
      <c r="K3407" s="2" t="s">
        <v>24</v>
      </c>
      <c r="L3407" s="7">
        <v>5327.25</v>
      </c>
      <c r="M3407" s="2" t="str">
        <f>_xlfn.IFS(TelecomData[[#This Row],[TenureMonths]]&lt;=12, "0-1 Year", TelecomData[[#This Row],[TenureMonths]]&lt;=36, "1-3 Years", TelecomData[[#This Row],[TenureMonths]]&gt;36, "3+ Years")</f>
        <v>3+ Years</v>
      </c>
      <c r="N3407" s="2" t="str">
        <f>IF(TelecomData[[#This Row],[CleanedTotalCharges]]&gt;=2500,"High Spend", "Standard Spend")</f>
        <v>High Spend</v>
      </c>
    </row>
    <row r="3408" spans="1:14" x14ac:dyDescent="0.3">
      <c r="A3408" s="1" t="s">
        <v>3432</v>
      </c>
      <c r="B3408" s="2" t="s">
        <v>12</v>
      </c>
      <c r="C3408" s="2" t="s">
        <v>20</v>
      </c>
      <c r="D3408" s="2">
        <v>31</v>
      </c>
      <c r="E3408" s="2" t="s">
        <v>15</v>
      </c>
      <c r="F3408" s="2" t="s">
        <v>36</v>
      </c>
      <c r="G3408" s="7">
        <v>20.95</v>
      </c>
      <c r="H3408" s="7">
        <v>683.25</v>
      </c>
      <c r="I3408" s="2" t="s">
        <v>15</v>
      </c>
      <c r="J3408" s="2" t="s">
        <v>15</v>
      </c>
      <c r="K3408" s="2" t="s">
        <v>21</v>
      </c>
      <c r="L3408" s="7">
        <v>683.25</v>
      </c>
      <c r="M3408" s="2" t="str">
        <f>_xlfn.IFS(TelecomData[[#This Row],[TenureMonths]]&lt;=12, "0-1 Year", TelecomData[[#This Row],[TenureMonths]]&lt;=36, "1-3 Years", TelecomData[[#This Row],[TenureMonths]]&gt;36, "3+ Years")</f>
        <v>1-3 Years</v>
      </c>
      <c r="N3408" s="2" t="str">
        <f>IF(TelecomData[[#This Row],[CleanedTotalCharges]]&gt;=2500,"High Spend", "Standard Spend")</f>
        <v>Standard Spend</v>
      </c>
    </row>
    <row r="3409" spans="1:14" x14ac:dyDescent="0.3">
      <c r="A3409" s="1" t="s">
        <v>3433</v>
      </c>
      <c r="B3409" s="2" t="s">
        <v>12</v>
      </c>
      <c r="C3409" s="2" t="s">
        <v>35</v>
      </c>
      <c r="D3409" s="2">
        <v>67</v>
      </c>
      <c r="E3409" s="2" t="s">
        <v>15</v>
      </c>
      <c r="F3409" s="2" t="s">
        <v>36</v>
      </c>
      <c r="G3409" s="7">
        <v>20.05</v>
      </c>
      <c r="H3409" s="7">
        <v>1263.05</v>
      </c>
      <c r="I3409" s="2" t="s">
        <v>15</v>
      </c>
      <c r="J3409" s="2" t="s">
        <v>16</v>
      </c>
      <c r="K3409" s="2" t="s">
        <v>24</v>
      </c>
      <c r="L3409" s="7">
        <v>1263.05</v>
      </c>
      <c r="M3409" s="2" t="str">
        <f>_xlfn.IFS(TelecomData[[#This Row],[TenureMonths]]&lt;=12, "0-1 Year", TelecomData[[#This Row],[TenureMonths]]&lt;=36, "1-3 Years", TelecomData[[#This Row],[TenureMonths]]&gt;36, "3+ Years")</f>
        <v>3+ Years</v>
      </c>
      <c r="N3409" s="2" t="str">
        <f>IF(TelecomData[[#This Row],[CleanedTotalCharges]]&gt;=2500,"High Spend", "Standard Spend")</f>
        <v>Standard Spend</v>
      </c>
    </row>
    <row r="3410" spans="1:14" x14ac:dyDescent="0.3">
      <c r="A3410" s="1" t="s">
        <v>3434</v>
      </c>
      <c r="B3410" s="2" t="s">
        <v>12</v>
      </c>
      <c r="C3410" s="2" t="s">
        <v>13</v>
      </c>
      <c r="D3410" s="2">
        <v>4</v>
      </c>
      <c r="E3410" s="2" t="s">
        <v>14</v>
      </c>
      <c r="F3410" s="2" t="s">
        <v>15</v>
      </c>
      <c r="G3410" s="7">
        <v>50.7</v>
      </c>
      <c r="H3410" s="7">
        <v>151.30000000000001</v>
      </c>
      <c r="I3410" s="2" t="s">
        <v>16</v>
      </c>
      <c r="J3410" s="2" t="s">
        <v>15</v>
      </c>
      <c r="K3410" s="2" t="s">
        <v>29</v>
      </c>
      <c r="L3410" s="7">
        <v>151.30000000000001</v>
      </c>
      <c r="M3410" s="2" t="str">
        <f>_xlfn.IFS(TelecomData[[#This Row],[TenureMonths]]&lt;=12, "0-1 Year", TelecomData[[#This Row],[TenureMonths]]&lt;=36, "1-3 Years", TelecomData[[#This Row],[TenureMonths]]&gt;36, "3+ Years")</f>
        <v>0-1 Year</v>
      </c>
      <c r="N3410" s="2" t="str">
        <f>IF(TelecomData[[#This Row],[CleanedTotalCharges]]&gt;=2500,"High Spend", "Standard Spend")</f>
        <v>Standard Spend</v>
      </c>
    </row>
    <row r="3411" spans="1:14" x14ac:dyDescent="0.3">
      <c r="A3411" s="1" t="s">
        <v>3435</v>
      </c>
      <c r="B3411" s="2" t="s">
        <v>12</v>
      </c>
      <c r="C3411" s="2" t="s">
        <v>35</v>
      </c>
      <c r="D3411" s="2">
        <v>70</v>
      </c>
      <c r="E3411" s="2" t="s">
        <v>26</v>
      </c>
      <c r="F3411" s="2" t="s">
        <v>16</v>
      </c>
      <c r="G3411" s="7">
        <v>113.65</v>
      </c>
      <c r="H3411" s="7">
        <v>7714.65</v>
      </c>
      <c r="I3411" s="2" t="s">
        <v>15</v>
      </c>
      <c r="J3411" s="2" t="s">
        <v>16</v>
      </c>
      <c r="K3411" s="2" t="s">
        <v>17</v>
      </c>
      <c r="L3411" s="7">
        <v>7714.65</v>
      </c>
      <c r="M3411" s="2" t="str">
        <f>_xlfn.IFS(TelecomData[[#This Row],[TenureMonths]]&lt;=12, "0-1 Year", TelecomData[[#This Row],[TenureMonths]]&lt;=36, "1-3 Years", TelecomData[[#This Row],[TenureMonths]]&gt;36, "3+ Years")</f>
        <v>3+ Years</v>
      </c>
      <c r="N3411" s="2" t="str">
        <f>IF(TelecomData[[#This Row],[CleanedTotalCharges]]&gt;=2500,"High Spend", "Standard Spend")</f>
        <v>High Spend</v>
      </c>
    </row>
    <row r="3412" spans="1:14" x14ac:dyDescent="0.3">
      <c r="A3412" s="1" t="s">
        <v>3436</v>
      </c>
      <c r="B3412" s="2" t="s">
        <v>19</v>
      </c>
      <c r="C3412" s="2" t="s">
        <v>13</v>
      </c>
      <c r="D3412" s="2">
        <v>3</v>
      </c>
      <c r="E3412" s="2" t="s">
        <v>14</v>
      </c>
      <c r="F3412" s="2" t="s">
        <v>15</v>
      </c>
      <c r="G3412" s="7">
        <v>53.4</v>
      </c>
      <c r="H3412" s="7">
        <v>188.7</v>
      </c>
      <c r="I3412" s="2" t="s">
        <v>16</v>
      </c>
      <c r="J3412" s="2" t="s">
        <v>15</v>
      </c>
      <c r="K3412" s="2" t="s">
        <v>29</v>
      </c>
      <c r="L3412" s="7">
        <v>188.7</v>
      </c>
      <c r="M3412" s="2" t="str">
        <f>_xlfn.IFS(TelecomData[[#This Row],[TenureMonths]]&lt;=12, "0-1 Year", TelecomData[[#This Row],[TenureMonths]]&lt;=36, "1-3 Years", TelecomData[[#This Row],[TenureMonths]]&gt;36, "3+ Years")</f>
        <v>0-1 Year</v>
      </c>
      <c r="N3412" s="2" t="str">
        <f>IF(TelecomData[[#This Row],[CleanedTotalCharges]]&gt;=2500,"High Spend", "Standard Spend")</f>
        <v>Standard Spend</v>
      </c>
    </row>
    <row r="3413" spans="1:14" x14ac:dyDescent="0.3">
      <c r="A3413" s="1" t="s">
        <v>3437</v>
      </c>
      <c r="B3413" s="2" t="s">
        <v>19</v>
      </c>
      <c r="C3413" s="2" t="s">
        <v>13</v>
      </c>
      <c r="D3413" s="2">
        <v>53</v>
      </c>
      <c r="E3413" s="2" t="s">
        <v>26</v>
      </c>
      <c r="F3413" s="2" t="s">
        <v>15</v>
      </c>
      <c r="G3413" s="7">
        <v>101.9</v>
      </c>
      <c r="H3413" s="7">
        <v>5549.4</v>
      </c>
      <c r="I3413" s="2" t="s">
        <v>16</v>
      </c>
      <c r="J3413" s="2" t="s">
        <v>16</v>
      </c>
      <c r="K3413" s="2" t="s">
        <v>17</v>
      </c>
      <c r="L3413" s="7">
        <v>5549.4</v>
      </c>
      <c r="M3413" s="2" t="str">
        <f>_xlfn.IFS(TelecomData[[#This Row],[TenureMonths]]&lt;=12, "0-1 Year", TelecomData[[#This Row],[TenureMonths]]&lt;=36, "1-3 Years", TelecomData[[#This Row],[TenureMonths]]&gt;36, "3+ Years")</f>
        <v>3+ Years</v>
      </c>
      <c r="N3413" s="2" t="str">
        <f>IF(TelecomData[[#This Row],[CleanedTotalCharges]]&gt;=2500,"High Spend", "Standard Spend")</f>
        <v>High Spend</v>
      </c>
    </row>
    <row r="3414" spans="1:14" x14ac:dyDescent="0.3">
      <c r="A3414" s="1" t="s">
        <v>3438</v>
      </c>
      <c r="B3414" s="2" t="s">
        <v>19</v>
      </c>
      <c r="C3414" s="2" t="s">
        <v>35</v>
      </c>
      <c r="D3414" s="2">
        <v>2</v>
      </c>
      <c r="E3414" s="2" t="s">
        <v>14</v>
      </c>
      <c r="F3414" s="2" t="s">
        <v>16</v>
      </c>
      <c r="G3414" s="7">
        <v>59.5</v>
      </c>
      <c r="H3414" s="7">
        <v>130.5</v>
      </c>
      <c r="I3414" s="2" t="s">
        <v>15</v>
      </c>
      <c r="J3414" s="2" t="s">
        <v>15</v>
      </c>
      <c r="K3414" s="2" t="s">
        <v>21</v>
      </c>
      <c r="L3414" s="7">
        <v>130.5</v>
      </c>
      <c r="M3414" s="2" t="str">
        <f>_xlfn.IFS(TelecomData[[#This Row],[TenureMonths]]&lt;=12, "0-1 Year", TelecomData[[#This Row],[TenureMonths]]&lt;=36, "1-3 Years", TelecomData[[#This Row],[TenureMonths]]&gt;36, "3+ Years")</f>
        <v>0-1 Year</v>
      </c>
      <c r="N3414" s="2" t="str">
        <f>IF(TelecomData[[#This Row],[CleanedTotalCharges]]&gt;=2500,"High Spend", "Standard Spend")</f>
        <v>Standard Spend</v>
      </c>
    </row>
    <row r="3415" spans="1:14" x14ac:dyDescent="0.3">
      <c r="A3415" s="1" t="s">
        <v>3439</v>
      </c>
      <c r="B3415" s="2" t="s">
        <v>12</v>
      </c>
      <c r="C3415" s="2" t="s">
        <v>13</v>
      </c>
      <c r="D3415" s="2">
        <v>29</v>
      </c>
      <c r="E3415" s="2" t="s">
        <v>26</v>
      </c>
      <c r="F3415" s="2" t="s">
        <v>15</v>
      </c>
      <c r="G3415" s="7">
        <v>87.8</v>
      </c>
      <c r="H3415" s="7">
        <v>2621.75</v>
      </c>
      <c r="I3415" s="2" t="s">
        <v>15</v>
      </c>
      <c r="J3415" s="2" t="s">
        <v>16</v>
      </c>
      <c r="K3415" s="2" t="s">
        <v>29</v>
      </c>
      <c r="L3415" s="7">
        <v>2621.75</v>
      </c>
      <c r="M3415" s="2" t="str">
        <f>_xlfn.IFS(TelecomData[[#This Row],[TenureMonths]]&lt;=12, "0-1 Year", TelecomData[[#This Row],[TenureMonths]]&lt;=36, "1-3 Years", TelecomData[[#This Row],[TenureMonths]]&gt;36, "3+ Years")</f>
        <v>1-3 Years</v>
      </c>
      <c r="N3415" s="2" t="str">
        <f>IF(TelecomData[[#This Row],[CleanedTotalCharges]]&gt;=2500,"High Spend", "Standard Spend")</f>
        <v>High Spend</v>
      </c>
    </row>
    <row r="3416" spans="1:14" x14ac:dyDescent="0.3">
      <c r="A3416" s="1" t="s">
        <v>3440</v>
      </c>
      <c r="B3416" s="2" t="s">
        <v>12</v>
      </c>
      <c r="C3416" s="2" t="s">
        <v>35</v>
      </c>
      <c r="D3416" s="2">
        <v>47</v>
      </c>
      <c r="E3416" s="2" t="s">
        <v>14</v>
      </c>
      <c r="F3416" s="2" t="s">
        <v>16</v>
      </c>
      <c r="G3416" s="7">
        <v>41.9</v>
      </c>
      <c r="H3416" s="7">
        <v>1875.25</v>
      </c>
      <c r="I3416" s="2" t="s">
        <v>15</v>
      </c>
      <c r="J3416" s="2" t="s">
        <v>15</v>
      </c>
      <c r="K3416" s="2" t="s">
        <v>21</v>
      </c>
      <c r="L3416" s="7">
        <v>1875.25</v>
      </c>
      <c r="M3416" s="2" t="str">
        <f>_xlfn.IFS(TelecomData[[#This Row],[TenureMonths]]&lt;=12, "0-1 Year", TelecomData[[#This Row],[TenureMonths]]&lt;=36, "1-3 Years", TelecomData[[#This Row],[TenureMonths]]&gt;36, "3+ Years")</f>
        <v>3+ Years</v>
      </c>
      <c r="N3416" s="2" t="str">
        <f>IF(TelecomData[[#This Row],[CleanedTotalCharges]]&gt;=2500,"High Spend", "Standard Spend")</f>
        <v>Standard Spend</v>
      </c>
    </row>
    <row r="3417" spans="1:14" x14ac:dyDescent="0.3">
      <c r="A3417" s="1" t="s">
        <v>3441</v>
      </c>
      <c r="B3417" s="2" t="s">
        <v>12</v>
      </c>
      <c r="C3417" s="2" t="s">
        <v>20</v>
      </c>
      <c r="D3417" s="2">
        <v>68</v>
      </c>
      <c r="E3417" s="2" t="s">
        <v>26</v>
      </c>
      <c r="F3417" s="2" t="s">
        <v>15</v>
      </c>
      <c r="G3417" s="7">
        <v>83</v>
      </c>
      <c r="H3417" s="7">
        <v>5685.8</v>
      </c>
      <c r="I3417" s="2" t="s">
        <v>16</v>
      </c>
      <c r="J3417" s="2" t="s">
        <v>16</v>
      </c>
      <c r="K3417" s="2" t="s">
        <v>17</v>
      </c>
      <c r="L3417" s="7">
        <v>5685.8</v>
      </c>
      <c r="M3417" s="2" t="str">
        <f>_xlfn.IFS(TelecomData[[#This Row],[TenureMonths]]&lt;=12, "0-1 Year", TelecomData[[#This Row],[TenureMonths]]&lt;=36, "1-3 Years", TelecomData[[#This Row],[TenureMonths]]&gt;36, "3+ Years")</f>
        <v>3+ Years</v>
      </c>
      <c r="N3417" s="2" t="str">
        <f>IF(TelecomData[[#This Row],[CleanedTotalCharges]]&gt;=2500,"High Spend", "Standard Spend")</f>
        <v>High Spend</v>
      </c>
    </row>
    <row r="3418" spans="1:14" x14ac:dyDescent="0.3">
      <c r="A3418" s="1" t="s">
        <v>3442</v>
      </c>
      <c r="B3418" s="2" t="s">
        <v>19</v>
      </c>
      <c r="C3418" s="2" t="s">
        <v>13</v>
      </c>
      <c r="D3418" s="2">
        <v>12</v>
      </c>
      <c r="E3418" s="2" t="s">
        <v>14</v>
      </c>
      <c r="F3418" s="2" t="s">
        <v>15</v>
      </c>
      <c r="G3418" s="7">
        <v>69.849999999999994</v>
      </c>
      <c r="H3418" s="7">
        <v>837.5</v>
      </c>
      <c r="I3418" s="2" t="s">
        <v>15</v>
      </c>
      <c r="J3418" s="2" t="s">
        <v>16</v>
      </c>
      <c r="K3418" s="2" t="s">
        <v>21</v>
      </c>
      <c r="L3418" s="7">
        <v>837.5</v>
      </c>
      <c r="M3418" s="2" t="str">
        <f>_xlfn.IFS(TelecomData[[#This Row],[TenureMonths]]&lt;=12, "0-1 Year", TelecomData[[#This Row],[TenureMonths]]&lt;=36, "1-3 Years", TelecomData[[#This Row],[TenureMonths]]&gt;36, "3+ Years")</f>
        <v>0-1 Year</v>
      </c>
      <c r="N3418" s="2" t="str">
        <f>IF(TelecomData[[#This Row],[CleanedTotalCharges]]&gt;=2500,"High Spend", "Standard Spend")</f>
        <v>Standard Spend</v>
      </c>
    </row>
    <row r="3419" spans="1:14" x14ac:dyDescent="0.3">
      <c r="A3419" s="1" t="s">
        <v>3443</v>
      </c>
      <c r="B3419" s="2" t="s">
        <v>12</v>
      </c>
      <c r="C3419" s="2" t="s">
        <v>13</v>
      </c>
      <c r="D3419" s="2">
        <v>8</v>
      </c>
      <c r="E3419" s="2" t="s">
        <v>14</v>
      </c>
      <c r="F3419" s="2" t="s">
        <v>16</v>
      </c>
      <c r="G3419" s="7">
        <v>56.3</v>
      </c>
      <c r="H3419" s="7">
        <v>401.5</v>
      </c>
      <c r="I3419" s="2" t="s">
        <v>15</v>
      </c>
      <c r="J3419" s="2" t="s">
        <v>15</v>
      </c>
      <c r="K3419" s="2" t="s">
        <v>24</v>
      </c>
      <c r="L3419" s="7">
        <v>401.5</v>
      </c>
      <c r="M3419" s="2" t="str">
        <f>_xlfn.IFS(TelecomData[[#This Row],[TenureMonths]]&lt;=12, "0-1 Year", TelecomData[[#This Row],[TenureMonths]]&lt;=36, "1-3 Years", TelecomData[[#This Row],[TenureMonths]]&gt;36, "3+ Years")</f>
        <v>0-1 Year</v>
      </c>
      <c r="N3419" s="2" t="str">
        <f>IF(TelecomData[[#This Row],[CleanedTotalCharges]]&gt;=2500,"High Spend", "Standard Spend")</f>
        <v>Standard Spend</v>
      </c>
    </row>
    <row r="3420" spans="1:14" x14ac:dyDescent="0.3">
      <c r="A3420" s="1" t="s">
        <v>3444</v>
      </c>
      <c r="B3420" s="2" t="s">
        <v>19</v>
      </c>
      <c r="C3420" s="2" t="s">
        <v>13</v>
      </c>
      <c r="D3420" s="2">
        <v>54</v>
      </c>
      <c r="E3420" s="2" t="s">
        <v>26</v>
      </c>
      <c r="F3420" s="2" t="s">
        <v>15</v>
      </c>
      <c r="G3420" s="7">
        <v>109.55</v>
      </c>
      <c r="H3420" s="7">
        <v>6118.95</v>
      </c>
      <c r="I3420" s="2" t="s">
        <v>15</v>
      </c>
      <c r="J3420" s="2" t="s">
        <v>15</v>
      </c>
      <c r="K3420" s="2" t="s">
        <v>17</v>
      </c>
      <c r="L3420" s="7">
        <v>6118.95</v>
      </c>
      <c r="M3420" s="2" t="str">
        <f>_xlfn.IFS(TelecomData[[#This Row],[TenureMonths]]&lt;=12, "0-1 Year", TelecomData[[#This Row],[TenureMonths]]&lt;=36, "1-3 Years", TelecomData[[#This Row],[TenureMonths]]&gt;36, "3+ Years")</f>
        <v>3+ Years</v>
      </c>
      <c r="N3420" s="2" t="str">
        <f>IF(TelecomData[[#This Row],[CleanedTotalCharges]]&gt;=2500,"High Spend", "Standard Spend")</f>
        <v>High Spend</v>
      </c>
    </row>
    <row r="3421" spans="1:14" x14ac:dyDescent="0.3">
      <c r="A3421" s="1" t="s">
        <v>3445</v>
      </c>
      <c r="B3421" s="2" t="s">
        <v>19</v>
      </c>
      <c r="C3421" s="2" t="s">
        <v>35</v>
      </c>
      <c r="D3421" s="2">
        <v>69</v>
      </c>
      <c r="E3421" s="2" t="s">
        <v>26</v>
      </c>
      <c r="F3421" s="2" t="s">
        <v>16</v>
      </c>
      <c r="G3421" s="7">
        <v>92.15</v>
      </c>
      <c r="H3421" s="7">
        <v>6480.9</v>
      </c>
      <c r="I3421" s="2" t="s">
        <v>15</v>
      </c>
      <c r="J3421" s="2" t="s">
        <v>16</v>
      </c>
      <c r="K3421" s="2" t="s">
        <v>21</v>
      </c>
      <c r="L3421" s="7">
        <v>6480.9</v>
      </c>
      <c r="M3421" s="2" t="str">
        <f>_xlfn.IFS(TelecomData[[#This Row],[TenureMonths]]&lt;=12, "0-1 Year", TelecomData[[#This Row],[TenureMonths]]&lt;=36, "1-3 Years", TelecomData[[#This Row],[TenureMonths]]&gt;36, "3+ Years")</f>
        <v>3+ Years</v>
      </c>
      <c r="N3421" s="2" t="str">
        <f>IF(TelecomData[[#This Row],[CleanedTotalCharges]]&gt;=2500,"High Spend", "Standard Spend")</f>
        <v>High Spend</v>
      </c>
    </row>
    <row r="3422" spans="1:14" x14ac:dyDescent="0.3">
      <c r="A3422" s="1" t="s">
        <v>3446</v>
      </c>
      <c r="B3422" s="2" t="s">
        <v>12</v>
      </c>
      <c r="C3422" s="2" t="s">
        <v>13</v>
      </c>
      <c r="D3422" s="2">
        <v>26</v>
      </c>
      <c r="E3422" s="2" t="s">
        <v>14</v>
      </c>
      <c r="F3422" s="2" t="s">
        <v>15</v>
      </c>
      <c r="G3422" s="7">
        <v>69.5</v>
      </c>
      <c r="H3422" s="7">
        <v>1800.05</v>
      </c>
      <c r="I3422" s="2" t="s">
        <v>15</v>
      </c>
      <c r="J3422" s="2" t="s">
        <v>16</v>
      </c>
      <c r="K3422" s="2" t="s">
        <v>24</v>
      </c>
      <c r="L3422" s="7">
        <v>1800.05</v>
      </c>
      <c r="M3422" s="2" t="str">
        <f>_xlfn.IFS(TelecomData[[#This Row],[TenureMonths]]&lt;=12, "0-1 Year", TelecomData[[#This Row],[TenureMonths]]&lt;=36, "1-3 Years", TelecomData[[#This Row],[TenureMonths]]&gt;36, "3+ Years")</f>
        <v>1-3 Years</v>
      </c>
      <c r="N3422" s="2" t="str">
        <f>IF(TelecomData[[#This Row],[CleanedTotalCharges]]&gt;=2500,"High Spend", "Standard Spend")</f>
        <v>Standard Spend</v>
      </c>
    </row>
    <row r="3423" spans="1:14" x14ac:dyDescent="0.3">
      <c r="A3423" s="1" t="s">
        <v>3447</v>
      </c>
      <c r="B3423" s="2" t="s">
        <v>12</v>
      </c>
      <c r="C3423" s="2" t="s">
        <v>35</v>
      </c>
      <c r="D3423" s="2">
        <v>72</v>
      </c>
      <c r="E3423" s="2" t="s">
        <v>26</v>
      </c>
      <c r="F3423" s="2" t="s">
        <v>16</v>
      </c>
      <c r="G3423" s="7">
        <v>97</v>
      </c>
      <c r="H3423" s="7">
        <v>7104.2</v>
      </c>
      <c r="I3423" s="2" t="s">
        <v>15</v>
      </c>
      <c r="J3423" s="2" t="s">
        <v>16</v>
      </c>
      <c r="K3423" s="2" t="s">
        <v>24</v>
      </c>
      <c r="L3423" s="7">
        <v>7104.2</v>
      </c>
      <c r="M3423" s="2" t="str">
        <f>_xlfn.IFS(TelecomData[[#This Row],[TenureMonths]]&lt;=12, "0-1 Year", TelecomData[[#This Row],[TenureMonths]]&lt;=36, "1-3 Years", TelecomData[[#This Row],[TenureMonths]]&gt;36, "3+ Years")</f>
        <v>3+ Years</v>
      </c>
      <c r="N3423" s="2" t="str">
        <f>IF(TelecomData[[#This Row],[CleanedTotalCharges]]&gt;=2500,"High Spend", "Standard Spend")</f>
        <v>High Spend</v>
      </c>
    </row>
    <row r="3424" spans="1:14" x14ac:dyDescent="0.3">
      <c r="A3424" s="1" t="s">
        <v>3448</v>
      </c>
      <c r="B3424" s="2" t="s">
        <v>12</v>
      </c>
      <c r="C3424" s="2" t="s">
        <v>35</v>
      </c>
      <c r="D3424" s="2">
        <v>70</v>
      </c>
      <c r="E3424" s="2" t="s">
        <v>14</v>
      </c>
      <c r="F3424" s="2" t="s">
        <v>16</v>
      </c>
      <c r="G3424" s="7">
        <v>58.35</v>
      </c>
      <c r="H3424" s="7">
        <v>4214.25</v>
      </c>
      <c r="I3424" s="2" t="s">
        <v>15</v>
      </c>
      <c r="J3424" s="2" t="s">
        <v>16</v>
      </c>
      <c r="K3424" s="2" t="s">
        <v>24</v>
      </c>
      <c r="L3424" s="7">
        <v>4214.25</v>
      </c>
      <c r="M3424" s="2" t="str">
        <f>_xlfn.IFS(TelecomData[[#This Row],[TenureMonths]]&lt;=12, "0-1 Year", TelecomData[[#This Row],[TenureMonths]]&lt;=36, "1-3 Years", TelecomData[[#This Row],[TenureMonths]]&gt;36, "3+ Years")</f>
        <v>3+ Years</v>
      </c>
      <c r="N3424" s="2" t="str">
        <f>IF(TelecomData[[#This Row],[CleanedTotalCharges]]&gt;=2500,"High Spend", "Standard Spend")</f>
        <v>High Spend</v>
      </c>
    </row>
    <row r="3425" spans="1:14" x14ac:dyDescent="0.3">
      <c r="A3425" s="1" t="s">
        <v>3449</v>
      </c>
      <c r="B3425" s="2" t="s">
        <v>19</v>
      </c>
      <c r="C3425" s="2" t="s">
        <v>13</v>
      </c>
      <c r="D3425" s="2">
        <v>1</v>
      </c>
      <c r="E3425" s="2" t="s">
        <v>14</v>
      </c>
      <c r="F3425" s="2" t="s">
        <v>15</v>
      </c>
      <c r="G3425" s="7">
        <v>50.6</v>
      </c>
      <c r="H3425" s="7">
        <v>50.6</v>
      </c>
      <c r="I3425" s="2" t="s">
        <v>16</v>
      </c>
      <c r="J3425" s="2" t="s">
        <v>15</v>
      </c>
      <c r="K3425" s="2" t="s">
        <v>21</v>
      </c>
      <c r="L3425" s="7">
        <v>50.6</v>
      </c>
      <c r="M3425" s="2" t="str">
        <f>_xlfn.IFS(TelecomData[[#This Row],[TenureMonths]]&lt;=12, "0-1 Year", TelecomData[[#This Row],[TenureMonths]]&lt;=36, "1-3 Years", TelecomData[[#This Row],[TenureMonths]]&gt;36, "3+ Years")</f>
        <v>0-1 Year</v>
      </c>
      <c r="N3425" s="2" t="str">
        <f>IF(TelecomData[[#This Row],[CleanedTotalCharges]]&gt;=2500,"High Spend", "Standard Spend")</f>
        <v>Standard Spend</v>
      </c>
    </row>
    <row r="3426" spans="1:14" x14ac:dyDescent="0.3">
      <c r="A3426" s="1" t="s">
        <v>3450</v>
      </c>
      <c r="B3426" s="2" t="s">
        <v>19</v>
      </c>
      <c r="C3426" s="2" t="s">
        <v>13</v>
      </c>
      <c r="D3426" s="2">
        <v>10</v>
      </c>
      <c r="E3426" s="2" t="s">
        <v>26</v>
      </c>
      <c r="F3426" s="2" t="s">
        <v>15</v>
      </c>
      <c r="G3426" s="7">
        <v>89.5</v>
      </c>
      <c r="H3426" s="7">
        <v>863.1</v>
      </c>
      <c r="I3426" s="2" t="s">
        <v>16</v>
      </c>
      <c r="J3426" s="2" t="s">
        <v>16</v>
      </c>
      <c r="K3426" s="2" t="s">
        <v>17</v>
      </c>
      <c r="L3426" s="7">
        <v>863.1</v>
      </c>
      <c r="M3426" s="2" t="str">
        <f>_xlfn.IFS(TelecomData[[#This Row],[TenureMonths]]&lt;=12, "0-1 Year", TelecomData[[#This Row],[TenureMonths]]&lt;=36, "1-3 Years", TelecomData[[#This Row],[TenureMonths]]&gt;36, "3+ Years")</f>
        <v>0-1 Year</v>
      </c>
      <c r="N3426" s="2" t="str">
        <f>IF(TelecomData[[#This Row],[CleanedTotalCharges]]&gt;=2500,"High Spend", "Standard Spend")</f>
        <v>Standard Spend</v>
      </c>
    </row>
    <row r="3427" spans="1:14" x14ac:dyDescent="0.3">
      <c r="A3427" s="1" t="s">
        <v>3451</v>
      </c>
      <c r="B3427" s="2" t="s">
        <v>12</v>
      </c>
      <c r="C3427" s="2" t="s">
        <v>20</v>
      </c>
      <c r="D3427" s="2">
        <v>28</v>
      </c>
      <c r="E3427" s="2" t="s">
        <v>26</v>
      </c>
      <c r="F3427" s="2" t="s">
        <v>15</v>
      </c>
      <c r="G3427" s="7">
        <v>70.400000000000006</v>
      </c>
      <c r="H3427" s="7">
        <v>1992.2</v>
      </c>
      <c r="I3427" s="2" t="s">
        <v>15</v>
      </c>
      <c r="J3427" s="2" t="s">
        <v>16</v>
      </c>
      <c r="K3427" s="2" t="s">
        <v>24</v>
      </c>
      <c r="L3427" s="7">
        <v>1992.2</v>
      </c>
      <c r="M3427" s="2" t="str">
        <f>_xlfn.IFS(TelecomData[[#This Row],[TenureMonths]]&lt;=12, "0-1 Year", TelecomData[[#This Row],[TenureMonths]]&lt;=36, "1-3 Years", TelecomData[[#This Row],[TenureMonths]]&gt;36, "3+ Years")</f>
        <v>1-3 Years</v>
      </c>
      <c r="N3427" s="2" t="str">
        <f>IF(TelecomData[[#This Row],[CleanedTotalCharges]]&gt;=2500,"High Spend", "Standard Spend")</f>
        <v>Standard Spend</v>
      </c>
    </row>
    <row r="3428" spans="1:14" x14ac:dyDescent="0.3">
      <c r="A3428" s="1" t="s">
        <v>3452</v>
      </c>
      <c r="B3428" s="2" t="s">
        <v>19</v>
      </c>
      <c r="C3428" s="2" t="s">
        <v>13</v>
      </c>
      <c r="D3428" s="2">
        <v>1</v>
      </c>
      <c r="E3428" s="2" t="s">
        <v>26</v>
      </c>
      <c r="F3428" s="2" t="s">
        <v>15</v>
      </c>
      <c r="G3428" s="7">
        <v>69.8</v>
      </c>
      <c r="H3428" s="7">
        <v>69.8</v>
      </c>
      <c r="I3428" s="2" t="s">
        <v>16</v>
      </c>
      <c r="J3428" s="2" t="s">
        <v>16</v>
      </c>
      <c r="K3428" s="2" t="s">
        <v>17</v>
      </c>
      <c r="L3428" s="7">
        <v>69.8</v>
      </c>
      <c r="M3428" s="2" t="str">
        <f>_xlfn.IFS(TelecomData[[#This Row],[TenureMonths]]&lt;=12, "0-1 Year", TelecomData[[#This Row],[TenureMonths]]&lt;=36, "1-3 Years", TelecomData[[#This Row],[TenureMonths]]&gt;36, "3+ Years")</f>
        <v>0-1 Year</v>
      </c>
      <c r="N3428" s="2" t="str">
        <f>IF(TelecomData[[#This Row],[CleanedTotalCharges]]&gt;=2500,"High Spend", "Standard Spend")</f>
        <v>Standard Spend</v>
      </c>
    </row>
    <row r="3429" spans="1:14" x14ac:dyDescent="0.3">
      <c r="A3429" s="1" t="s">
        <v>3453</v>
      </c>
      <c r="B3429" s="2" t="s">
        <v>12</v>
      </c>
      <c r="C3429" s="2" t="s">
        <v>13</v>
      </c>
      <c r="D3429" s="2">
        <v>21</v>
      </c>
      <c r="E3429" s="2" t="s">
        <v>26</v>
      </c>
      <c r="F3429" s="2" t="s">
        <v>15</v>
      </c>
      <c r="G3429" s="7">
        <v>94.3</v>
      </c>
      <c r="H3429" s="7">
        <v>1948.35</v>
      </c>
      <c r="I3429" s="2" t="s">
        <v>15</v>
      </c>
      <c r="J3429" s="2" t="s">
        <v>16</v>
      </c>
      <c r="K3429" s="2" t="s">
        <v>17</v>
      </c>
      <c r="L3429" s="7">
        <v>1948.35</v>
      </c>
      <c r="M3429" s="2" t="str">
        <f>_xlfn.IFS(TelecomData[[#This Row],[TenureMonths]]&lt;=12, "0-1 Year", TelecomData[[#This Row],[TenureMonths]]&lt;=36, "1-3 Years", TelecomData[[#This Row],[TenureMonths]]&gt;36, "3+ Years")</f>
        <v>1-3 Years</v>
      </c>
      <c r="N3429" s="2" t="str">
        <f>IF(TelecomData[[#This Row],[CleanedTotalCharges]]&gt;=2500,"High Spend", "Standard Spend")</f>
        <v>Standard Spend</v>
      </c>
    </row>
    <row r="3430" spans="1:14" x14ac:dyDescent="0.3">
      <c r="A3430" s="1" t="s">
        <v>3454</v>
      </c>
      <c r="B3430" s="2" t="s">
        <v>19</v>
      </c>
      <c r="C3430" s="2" t="s">
        <v>13</v>
      </c>
      <c r="D3430" s="2">
        <v>51</v>
      </c>
      <c r="E3430" s="2" t="s">
        <v>26</v>
      </c>
      <c r="F3430" s="2" t="s">
        <v>15</v>
      </c>
      <c r="G3430" s="7">
        <v>93.8</v>
      </c>
      <c r="H3430" s="7">
        <v>4750.95</v>
      </c>
      <c r="I3430" s="2" t="s">
        <v>16</v>
      </c>
      <c r="J3430" s="2" t="s">
        <v>16</v>
      </c>
      <c r="K3430" s="2" t="s">
        <v>24</v>
      </c>
      <c r="L3430" s="7">
        <v>4750.95</v>
      </c>
      <c r="M3430" s="2" t="str">
        <f>_xlfn.IFS(TelecomData[[#This Row],[TenureMonths]]&lt;=12, "0-1 Year", TelecomData[[#This Row],[TenureMonths]]&lt;=36, "1-3 Years", TelecomData[[#This Row],[TenureMonths]]&gt;36, "3+ Years")</f>
        <v>3+ Years</v>
      </c>
      <c r="N3430" s="2" t="str">
        <f>IF(TelecomData[[#This Row],[CleanedTotalCharges]]&gt;=2500,"High Spend", "Standard Spend")</f>
        <v>High Spend</v>
      </c>
    </row>
    <row r="3431" spans="1:14" x14ac:dyDescent="0.3">
      <c r="A3431" s="1" t="s">
        <v>3455</v>
      </c>
      <c r="B3431" s="2" t="s">
        <v>12</v>
      </c>
      <c r="C3431" s="2" t="s">
        <v>20</v>
      </c>
      <c r="D3431" s="2">
        <v>53</v>
      </c>
      <c r="E3431" s="2" t="s">
        <v>15</v>
      </c>
      <c r="F3431" s="2" t="s">
        <v>36</v>
      </c>
      <c r="G3431" s="7">
        <v>19.55</v>
      </c>
      <c r="H3431" s="7">
        <v>1007.9</v>
      </c>
      <c r="I3431" s="2" t="s">
        <v>15</v>
      </c>
      <c r="J3431" s="2" t="s">
        <v>15</v>
      </c>
      <c r="K3431" s="2" t="s">
        <v>24</v>
      </c>
      <c r="L3431" s="7">
        <v>1007.9</v>
      </c>
      <c r="M3431" s="2" t="str">
        <f>_xlfn.IFS(TelecomData[[#This Row],[TenureMonths]]&lt;=12, "0-1 Year", TelecomData[[#This Row],[TenureMonths]]&lt;=36, "1-3 Years", TelecomData[[#This Row],[TenureMonths]]&gt;36, "3+ Years")</f>
        <v>3+ Years</v>
      </c>
      <c r="N3431" s="2" t="str">
        <f>IF(TelecomData[[#This Row],[CleanedTotalCharges]]&gt;=2500,"High Spend", "Standard Spend")</f>
        <v>Standard Spend</v>
      </c>
    </row>
    <row r="3432" spans="1:14" x14ac:dyDescent="0.3">
      <c r="A3432" s="1" t="s">
        <v>3456</v>
      </c>
      <c r="B3432" s="2" t="s">
        <v>19</v>
      </c>
      <c r="C3432" s="2" t="s">
        <v>20</v>
      </c>
      <c r="D3432" s="2">
        <v>53</v>
      </c>
      <c r="E3432" s="2" t="s">
        <v>26</v>
      </c>
      <c r="F3432" s="2" t="s">
        <v>15</v>
      </c>
      <c r="G3432" s="7">
        <v>95.95</v>
      </c>
      <c r="H3432" s="7">
        <v>5036.8999999999996</v>
      </c>
      <c r="I3432" s="2" t="s">
        <v>15</v>
      </c>
      <c r="J3432" s="2" t="s">
        <v>15</v>
      </c>
      <c r="K3432" s="2" t="s">
        <v>17</v>
      </c>
      <c r="L3432" s="7">
        <v>5036.8999999999996</v>
      </c>
      <c r="M3432" s="2" t="str">
        <f>_xlfn.IFS(TelecomData[[#This Row],[TenureMonths]]&lt;=12, "0-1 Year", TelecomData[[#This Row],[TenureMonths]]&lt;=36, "1-3 Years", TelecomData[[#This Row],[TenureMonths]]&gt;36, "3+ Years")</f>
        <v>3+ Years</v>
      </c>
      <c r="N3432" s="2" t="str">
        <f>IF(TelecomData[[#This Row],[CleanedTotalCharges]]&gt;=2500,"High Spend", "Standard Spend")</f>
        <v>High Spend</v>
      </c>
    </row>
    <row r="3433" spans="1:14" x14ac:dyDescent="0.3">
      <c r="A3433" s="1" t="s">
        <v>3457</v>
      </c>
      <c r="B3433" s="2" t="s">
        <v>19</v>
      </c>
      <c r="C3433" s="2" t="s">
        <v>13</v>
      </c>
      <c r="D3433" s="2">
        <v>24</v>
      </c>
      <c r="E3433" s="2" t="s">
        <v>26</v>
      </c>
      <c r="F3433" s="2" t="s">
        <v>15</v>
      </c>
      <c r="G3433" s="7">
        <v>101.05</v>
      </c>
      <c r="H3433" s="7">
        <v>2391.8000000000002</v>
      </c>
      <c r="I3433" s="2" t="s">
        <v>16</v>
      </c>
      <c r="J3433" s="2" t="s">
        <v>16</v>
      </c>
      <c r="K3433" s="2" t="s">
        <v>17</v>
      </c>
      <c r="L3433" s="7">
        <v>2391.8000000000002</v>
      </c>
      <c r="M3433" s="2" t="str">
        <f>_xlfn.IFS(TelecomData[[#This Row],[TenureMonths]]&lt;=12, "0-1 Year", TelecomData[[#This Row],[TenureMonths]]&lt;=36, "1-3 Years", TelecomData[[#This Row],[TenureMonths]]&gt;36, "3+ Years")</f>
        <v>1-3 Years</v>
      </c>
      <c r="N3433" s="2" t="str">
        <f>IF(TelecomData[[#This Row],[CleanedTotalCharges]]&gt;=2500,"High Spend", "Standard Spend")</f>
        <v>Standard Spend</v>
      </c>
    </row>
    <row r="3434" spans="1:14" x14ac:dyDescent="0.3">
      <c r="A3434" s="1" t="s">
        <v>3458</v>
      </c>
      <c r="B3434" s="2" t="s">
        <v>12</v>
      </c>
      <c r="C3434" s="2" t="s">
        <v>35</v>
      </c>
      <c r="D3434" s="2">
        <v>70</v>
      </c>
      <c r="E3434" s="2" t="s">
        <v>14</v>
      </c>
      <c r="F3434" s="2" t="s">
        <v>16</v>
      </c>
      <c r="G3434" s="7">
        <v>94.8</v>
      </c>
      <c r="H3434" s="7">
        <v>6859.05</v>
      </c>
      <c r="I3434" s="2" t="s">
        <v>15</v>
      </c>
      <c r="J3434" s="2" t="s">
        <v>16</v>
      </c>
      <c r="K3434" s="2" t="s">
        <v>29</v>
      </c>
      <c r="L3434" s="7">
        <v>6859.05</v>
      </c>
      <c r="M3434" s="2" t="str">
        <f>_xlfn.IFS(TelecomData[[#This Row],[TenureMonths]]&lt;=12, "0-1 Year", TelecomData[[#This Row],[TenureMonths]]&lt;=36, "1-3 Years", TelecomData[[#This Row],[TenureMonths]]&gt;36, "3+ Years")</f>
        <v>3+ Years</v>
      </c>
      <c r="N3434" s="2" t="str">
        <f>IF(TelecomData[[#This Row],[CleanedTotalCharges]]&gt;=2500,"High Spend", "Standard Spend")</f>
        <v>High Spend</v>
      </c>
    </row>
    <row r="3435" spans="1:14" x14ac:dyDescent="0.3">
      <c r="A3435" s="1" t="s">
        <v>3459</v>
      </c>
      <c r="B3435" s="2" t="s">
        <v>19</v>
      </c>
      <c r="C3435" s="2" t="s">
        <v>20</v>
      </c>
      <c r="D3435" s="2">
        <v>61</v>
      </c>
      <c r="E3435" s="2" t="s">
        <v>26</v>
      </c>
      <c r="F3435" s="2" t="s">
        <v>15</v>
      </c>
      <c r="G3435" s="7">
        <v>107.75</v>
      </c>
      <c r="H3435" s="7">
        <v>6521.9</v>
      </c>
      <c r="I3435" s="2" t="s">
        <v>15</v>
      </c>
      <c r="J3435" s="2" t="s">
        <v>16</v>
      </c>
      <c r="K3435" s="2" t="s">
        <v>17</v>
      </c>
      <c r="L3435" s="7">
        <v>6521.9</v>
      </c>
      <c r="M3435" s="2" t="str">
        <f>_xlfn.IFS(TelecomData[[#This Row],[TenureMonths]]&lt;=12, "0-1 Year", TelecomData[[#This Row],[TenureMonths]]&lt;=36, "1-3 Years", TelecomData[[#This Row],[TenureMonths]]&gt;36, "3+ Years")</f>
        <v>3+ Years</v>
      </c>
      <c r="N3435" s="2" t="str">
        <f>IF(TelecomData[[#This Row],[CleanedTotalCharges]]&gt;=2500,"High Spend", "Standard Spend")</f>
        <v>High Spend</v>
      </c>
    </row>
    <row r="3436" spans="1:14" x14ac:dyDescent="0.3">
      <c r="A3436" s="1" t="s">
        <v>3460</v>
      </c>
      <c r="B3436" s="2" t="s">
        <v>12</v>
      </c>
      <c r="C3436" s="2" t="s">
        <v>20</v>
      </c>
      <c r="D3436" s="2">
        <v>11</v>
      </c>
      <c r="E3436" s="2" t="s">
        <v>14</v>
      </c>
      <c r="F3436" s="2" t="s">
        <v>16</v>
      </c>
      <c r="G3436" s="7">
        <v>54.6</v>
      </c>
      <c r="H3436" s="7">
        <v>617.85</v>
      </c>
      <c r="I3436" s="2" t="s">
        <v>15</v>
      </c>
      <c r="J3436" s="2" t="s">
        <v>16</v>
      </c>
      <c r="K3436" s="2" t="s">
        <v>21</v>
      </c>
      <c r="L3436" s="7">
        <v>617.85</v>
      </c>
      <c r="M3436" s="2" t="str">
        <f>_xlfn.IFS(TelecomData[[#This Row],[TenureMonths]]&lt;=12, "0-1 Year", TelecomData[[#This Row],[TenureMonths]]&lt;=36, "1-3 Years", TelecomData[[#This Row],[TenureMonths]]&gt;36, "3+ Years")</f>
        <v>0-1 Year</v>
      </c>
      <c r="N3436" s="2" t="str">
        <f>IF(TelecomData[[#This Row],[CleanedTotalCharges]]&gt;=2500,"High Spend", "Standard Spend")</f>
        <v>Standard Spend</v>
      </c>
    </row>
    <row r="3437" spans="1:14" x14ac:dyDescent="0.3">
      <c r="A3437" s="1" t="s">
        <v>3461</v>
      </c>
      <c r="B3437" s="2" t="s">
        <v>19</v>
      </c>
      <c r="C3437" s="2" t="s">
        <v>13</v>
      </c>
      <c r="D3437" s="2">
        <v>2</v>
      </c>
      <c r="E3437" s="2" t="s">
        <v>26</v>
      </c>
      <c r="F3437" s="2" t="s">
        <v>15</v>
      </c>
      <c r="G3437" s="7">
        <v>71.3</v>
      </c>
      <c r="H3437" s="7">
        <v>157.75</v>
      </c>
      <c r="I3437" s="2" t="s">
        <v>15</v>
      </c>
      <c r="J3437" s="2" t="s">
        <v>16</v>
      </c>
      <c r="K3437" s="2" t="s">
        <v>29</v>
      </c>
      <c r="L3437" s="7">
        <v>157.75</v>
      </c>
      <c r="M3437" s="2" t="str">
        <f>_xlfn.IFS(TelecomData[[#This Row],[TenureMonths]]&lt;=12, "0-1 Year", TelecomData[[#This Row],[TenureMonths]]&lt;=36, "1-3 Years", TelecomData[[#This Row],[TenureMonths]]&gt;36, "3+ Years")</f>
        <v>0-1 Year</v>
      </c>
      <c r="N3437" s="2" t="str">
        <f>IF(TelecomData[[#This Row],[CleanedTotalCharges]]&gt;=2500,"High Spend", "Standard Spend")</f>
        <v>Standard Spend</v>
      </c>
    </row>
    <row r="3438" spans="1:14" x14ac:dyDescent="0.3">
      <c r="A3438" s="1" t="s">
        <v>3462</v>
      </c>
      <c r="B3438" s="2" t="s">
        <v>19</v>
      </c>
      <c r="C3438" s="2" t="s">
        <v>20</v>
      </c>
      <c r="D3438" s="2">
        <v>25</v>
      </c>
      <c r="E3438" s="2" t="s">
        <v>15</v>
      </c>
      <c r="F3438" s="2" t="s">
        <v>36</v>
      </c>
      <c r="G3438" s="7">
        <v>19.5</v>
      </c>
      <c r="H3438" s="7">
        <v>516.29999999999995</v>
      </c>
      <c r="I3438" s="2" t="s">
        <v>15</v>
      </c>
      <c r="J3438" s="2" t="s">
        <v>16</v>
      </c>
      <c r="K3438" s="2" t="s">
        <v>24</v>
      </c>
      <c r="L3438" s="7">
        <v>516.29999999999995</v>
      </c>
      <c r="M3438" s="2" t="str">
        <f>_xlfn.IFS(TelecomData[[#This Row],[TenureMonths]]&lt;=12, "0-1 Year", TelecomData[[#This Row],[TenureMonths]]&lt;=36, "1-3 Years", TelecomData[[#This Row],[TenureMonths]]&gt;36, "3+ Years")</f>
        <v>1-3 Years</v>
      </c>
      <c r="N3438" s="2" t="str">
        <f>IF(TelecomData[[#This Row],[CleanedTotalCharges]]&gt;=2500,"High Spend", "Standard Spend")</f>
        <v>Standard Spend</v>
      </c>
    </row>
    <row r="3439" spans="1:14" x14ac:dyDescent="0.3">
      <c r="A3439" s="1" t="s">
        <v>3463</v>
      </c>
      <c r="B3439" s="2" t="s">
        <v>12</v>
      </c>
      <c r="C3439" s="2" t="s">
        <v>20</v>
      </c>
      <c r="D3439" s="2">
        <v>41</v>
      </c>
      <c r="E3439" s="2" t="s">
        <v>14</v>
      </c>
      <c r="F3439" s="2" t="s">
        <v>15</v>
      </c>
      <c r="G3439" s="7">
        <v>56.3</v>
      </c>
      <c r="H3439" s="7">
        <v>2364</v>
      </c>
      <c r="I3439" s="2" t="s">
        <v>15</v>
      </c>
      <c r="J3439" s="2" t="s">
        <v>16</v>
      </c>
      <c r="K3439" s="2" t="s">
        <v>29</v>
      </c>
      <c r="L3439" s="7">
        <v>2364</v>
      </c>
      <c r="M3439" s="2" t="str">
        <f>_xlfn.IFS(TelecomData[[#This Row],[TenureMonths]]&lt;=12, "0-1 Year", TelecomData[[#This Row],[TenureMonths]]&lt;=36, "1-3 Years", TelecomData[[#This Row],[TenureMonths]]&gt;36, "3+ Years")</f>
        <v>3+ Years</v>
      </c>
      <c r="N3439" s="2" t="str">
        <f>IF(TelecomData[[#This Row],[CleanedTotalCharges]]&gt;=2500,"High Spend", "Standard Spend")</f>
        <v>Standard Spend</v>
      </c>
    </row>
    <row r="3440" spans="1:14" x14ac:dyDescent="0.3">
      <c r="A3440" s="1" t="s">
        <v>3464</v>
      </c>
      <c r="B3440" s="2" t="s">
        <v>19</v>
      </c>
      <c r="C3440" s="2" t="s">
        <v>13</v>
      </c>
      <c r="D3440" s="2">
        <v>18</v>
      </c>
      <c r="E3440" s="2" t="s">
        <v>26</v>
      </c>
      <c r="F3440" s="2" t="s">
        <v>15</v>
      </c>
      <c r="G3440" s="7">
        <v>94.7</v>
      </c>
      <c r="H3440" s="7">
        <v>1687.95</v>
      </c>
      <c r="I3440" s="2" t="s">
        <v>16</v>
      </c>
      <c r="J3440" s="2" t="s">
        <v>16</v>
      </c>
      <c r="K3440" s="2" t="s">
        <v>17</v>
      </c>
      <c r="L3440" s="7">
        <v>1687.95</v>
      </c>
      <c r="M3440" s="2" t="str">
        <f>_xlfn.IFS(TelecomData[[#This Row],[TenureMonths]]&lt;=12, "0-1 Year", TelecomData[[#This Row],[TenureMonths]]&lt;=36, "1-3 Years", TelecomData[[#This Row],[TenureMonths]]&gt;36, "3+ Years")</f>
        <v>1-3 Years</v>
      </c>
      <c r="N3440" s="2" t="str">
        <f>IF(TelecomData[[#This Row],[CleanedTotalCharges]]&gt;=2500,"High Spend", "Standard Spend")</f>
        <v>Standard Spend</v>
      </c>
    </row>
    <row r="3441" spans="1:14" x14ac:dyDescent="0.3">
      <c r="A3441" s="1" t="s">
        <v>3465</v>
      </c>
      <c r="B3441" s="2" t="s">
        <v>19</v>
      </c>
      <c r="C3441" s="2" t="s">
        <v>35</v>
      </c>
      <c r="D3441" s="2">
        <v>72</v>
      </c>
      <c r="E3441" s="2" t="s">
        <v>26</v>
      </c>
      <c r="F3441" s="2" t="s">
        <v>15</v>
      </c>
      <c r="G3441" s="7">
        <v>104.15</v>
      </c>
      <c r="H3441" s="7">
        <v>7689.95</v>
      </c>
      <c r="I3441" s="2" t="s">
        <v>16</v>
      </c>
      <c r="J3441" s="2" t="s">
        <v>16</v>
      </c>
      <c r="K3441" s="2" t="s">
        <v>24</v>
      </c>
      <c r="L3441" s="7">
        <v>7689.95</v>
      </c>
      <c r="M3441" s="2" t="str">
        <f>_xlfn.IFS(TelecomData[[#This Row],[TenureMonths]]&lt;=12, "0-1 Year", TelecomData[[#This Row],[TenureMonths]]&lt;=36, "1-3 Years", TelecomData[[#This Row],[TenureMonths]]&gt;36, "3+ Years")</f>
        <v>3+ Years</v>
      </c>
      <c r="N3441" s="2" t="str">
        <f>IF(TelecomData[[#This Row],[CleanedTotalCharges]]&gt;=2500,"High Spend", "Standard Spend")</f>
        <v>High Spend</v>
      </c>
    </row>
    <row r="3442" spans="1:14" x14ac:dyDescent="0.3">
      <c r="A3442" s="1" t="s">
        <v>3466</v>
      </c>
      <c r="B3442" s="2" t="s">
        <v>12</v>
      </c>
      <c r="C3442" s="2" t="s">
        <v>35</v>
      </c>
      <c r="D3442" s="2">
        <v>71</v>
      </c>
      <c r="E3442" s="2" t="s">
        <v>14</v>
      </c>
      <c r="F3442" s="2" t="s">
        <v>16</v>
      </c>
      <c r="G3442" s="7">
        <v>90.55</v>
      </c>
      <c r="H3442" s="7">
        <v>6239.05</v>
      </c>
      <c r="I3442" s="2" t="s">
        <v>15</v>
      </c>
      <c r="J3442" s="2" t="s">
        <v>16</v>
      </c>
      <c r="K3442" s="2" t="s">
        <v>29</v>
      </c>
      <c r="L3442" s="7">
        <v>6239.05</v>
      </c>
      <c r="M3442" s="2" t="str">
        <f>_xlfn.IFS(TelecomData[[#This Row],[TenureMonths]]&lt;=12, "0-1 Year", TelecomData[[#This Row],[TenureMonths]]&lt;=36, "1-3 Years", TelecomData[[#This Row],[TenureMonths]]&gt;36, "3+ Years")</f>
        <v>3+ Years</v>
      </c>
      <c r="N3442" s="2" t="str">
        <f>IF(TelecomData[[#This Row],[CleanedTotalCharges]]&gt;=2500,"High Spend", "Standard Spend")</f>
        <v>High Spend</v>
      </c>
    </row>
    <row r="3443" spans="1:14" x14ac:dyDescent="0.3">
      <c r="A3443" s="1" t="s">
        <v>3467</v>
      </c>
      <c r="B3443" s="2" t="s">
        <v>12</v>
      </c>
      <c r="C3443" s="2" t="s">
        <v>20</v>
      </c>
      <c r="D3443" s="2">
        <v>34</v>
      </c>
      <c r="E3443" s="2" t="s">
        <v>14</v>
      </c>
      <c r="F3443" s="2" t="s">
        <v>15</v>
      </c>
      <c r="G3443" s="7">
        <v>60.8</v>
      </c>
      <c r="H3443" s="7">
        <v>2042.05</v>
      </c>
      <c r="I3443" s="2" t="s">
        <v>15</v>
      </c>
      <c r="J3443" s="2" t="s">
        <v>16</v>
      </c>
      <c r="K3443" s="2" t="s">
        <v>21</v>
      </c>
      <c r="L3443" s="7">
        <v>2042.05</v>
      </c>
      <c r="M3443" s="2" t="str">
        <f>_xlfn.IFS(TelecomData[[#This Row],[TenureMonths]]&lt;=12, "0-1 Year", TelecomData[[#This Row],[TenureMonths]]&lt;=36, "1-3 Years", TelecomData[[#This Row],[TenureMonths]]&gt;36, "3+ Years")</f>
        <v>1-3 Years</v>
      </c>
      <c r="N3443" s="2" t="str">
        <f>IF(TelecomData[[#This Row],[CleanedTotalCharges]]&gt;=2500,"High Spend", "Standard Spend")</f>
        <v>Standard Spend</v>
      </c>
    </row>
    <row r="3444" spans="1:14" x14ac:dyDescent="0.3">
      <c r="A3444" s="1" t="s">
        <v>3468</v>
      </c>
      <c r="B3444" s="2" t="s">
        <v>19</v>
      </c>
      <c r="C3444" s="2" t="s">
        <v>13</v>
      </c>
      <c r="D3444" s="2">
        <v>29</v>
      </c>
      <c r="E3444" s="2" t="s">
        <v>26</v>
      </c>
      <c r="F3444" s="2" t="s">
        <v>16</v>
      </c>
      <c r="G3444" s="7">
        <v>98.8</v>
      </c>
      <c r="H3444" s="7">
        <v>2807.1</v>
      </c>
      <c r="I3444" s="2" t="s">
        <v>15</v>
      </c>
      <c r="J3444" s="2" t="s">
        <v>16</v>
      </c>
      <c r="K3444" s="2" t="s">
        <v>29</v>
      </c>
      <c r="L3444" s="7">
        <v>2807.1</v>
      </c>
      <c r="M3444" s="2" t="str">
        <f>_xlfn.IFS(TelecomData[[#This Row],[TenureMonths]]&lt;=12, "0-1 Year", TelecomData[[#This Row],[TenureMonths]]&lt;=36, "1-3 Years", TelecomData[[#This Row],[TenureMonths]]&gt;36, "3+ Years")</f>
        <v>1-3 Years</v>
      </c>
      <c r="N3444" s="2" t="str">
        <f>IF(TelecomData[[#This Row],[CleanedTotalCharges]]&gt;=2500,"High Spend", "Standard Spend")</f>
        <v>High Spend</v>
      </c>
    </row>
    <row r="3445" spans="1:14" x14ac:dyDescent="0.3">
      <c r="A3445" s="1" t="s">
        <v>3469</v>
      </c>
      <c r="B3445" s="2" t="s">
        <v>19</v>
      </c>
      <c r="C3445" s="2" t="s">
        <v>20</v>
      </c>
      <c r="D3445" s="2">
        <v>40</v>
      </c>
      <c r="E3445" s="2" t="s">
        <v>26</v>
      </c>
      <c r="F3445" s="2" t="s">
        <v>16</v>
      </c>
      <c r="G3445" s="7">
        <v>98.15</v>
      </c>
      <c r="H3445" s="7">
        <v>4116.8</v>
      </c>
      <c r="I3445" s="2" t="s">
        <v>15</v>
      </c>
      <c r="J3445" s="2" t="s">
        <v>16</v>
      </c>
      <c r="K3445" s="2" t="s">
        <v>29</v>
      </c>
      <c r="L3445" s="7">
        <v>4116.8</v>
      </c>
      <c r="M3445" s="2" t="str">
        <f>_xlfn.IFS(TelecomData[[#This Row],[TenureMonths]]&lt;=12, "0-1 Year", TelecomData[[#This Row],[TenureMonths]]&lt;=36, "1-3 Years", TelecomData[[#This Row],[TenureMonths]]&gt;36, "3+ Years")</f>
        <v>3+ Years</v>
      </c>
      <c r="N3445" s="2" t="str">
        <f>IF(TelecomData[[#This Row],[CleanedTotalCharges]]&gt;=2500,"High Spend", "Standard Spend")</f>
        <v>High Spend</v>
      </c>
    </row>
    <row r="3446" spans="1:14" x14ac:dyDescent="0.3">
      <c r="A3446" s="1" t="s">
        <v>3470</v>
      </c>
      <c r="B3446" s="2" t="s">
        <v>19</v>
      </c>
      <c r="C3446" s="2" t="s">
        <v>20</v>
      </c>
      <c r="D3446" s="2">
        <v>36</v>
      </c>
      <c r="E3446" s="2" t="s">
        <v>14</v>
      </c>
      <c r="F3446" s="2" t="s">
        <v>15</v>
      </c>
      <c r="G3446" s="7">
        <v>35.35</v>
      </c>
      <c r="H3446" s="7">
        <v>1317.95</v>
      </c>
      <c r="I3446" s="2" t="s">
        <v>15</v>
      </c>
      <c r="J3446" s="2" t="s">
        <v>15</v>
      </c>
      <c r="K3446" s="2" t="s">
        <v>21</v>
      </c>
      <c r="L3446" s="7">
        <v>1317.95</v>
      </c>
      <c r="M3446" s="2" t="str">
        <f>_xlfn.IFS(TelecomData[[#This Row],[TenureMonths]]&lt;=12, "0-1 Year", TelecomData[[#This Row],[TenureMonths]]&lt;=36, "1-3 Years", TelecomData[[#This Row],[TenureMonths]]&gt;36, "3+ Years")</f>
        <v>1-3 Years</v>
      </c>
      <c r="N3446" s="2" t="str">
        <f>IF(TelecomData[[#This Row],[CleanedTotalCharges]]&gt;=2500,"High Spend", "Standard Spend")</f>
        <v>Standard Spend</v>
      </c>
    </row>
    <row r="3447" spans="1:14" x14ac:dyDescent="0.3">
      <c r="A3447" s="1" t="s">
        <v>3471</v>
      </c>
      <c r="B3447" s="2" t="s">
        <v>12</v>
      </c>
      <c r="C3447" s="2" t="s">
        <v>20</v>
      </c>
      <c r="D3447" s="2">
        <v>46</v>
      </c>
      <c r="E3447" s="2" t="s">
        <v>26</v>
      </c>
      <c r="F3447" s="2" t="s">
        <v>16</v>
      </c>
      <c r="G3447" s="7">
        <v>103.15</v>
      </c>
      <c r="H3447" s="7">
        <v>4594.6499999999996</v>
      </c>
      <c r="I3447" s="2" t="s">
        <v>15</v>
      </c>
      <c r="J3447" s="2" t="s">
        <v>16</v>
      </c>
      <c r="K3447" s="2" t="s">
        <v>17</v>
      </c>
      <c r="L3447" s="7">
        <v>4594.6499999999996</v>
      </c>
      <c r="M3447" s="2" t="str">
        <f>_xlfn.IFS(TelecomData[[#This Row],[TenureMonths]]&lt;=12, "0-1 Year", TelecomData[[#This Row],[TenureMonths]]&lt;=36, "1-3 Years", TelecomData[[#This Row],[TenureMonths]]&gt;36, "3+ Years")</f>
        <v>3+ Years</v>
      </c>
      <c r="N3447" s="2" t="str">
        <f>IF(TelecomData[[#This Row],[CleanedTotalCharges]]&gt;=2500,"High Spend", "Standard Spend")</f>
        <v>High Spend</v>
      </c>
    </row>
    <row r="3448" spans="1:14" x14ac:dyDescent="0.3">
      <c r="A3448" s="1" t="s">
        <v>3472</v>
      </c>
      <c r="B3448" s="2" t="s">
        <v>12</v>
      </c>
      <c r="C3448" s="2" t="s">
        <v>20</v>
      </c>
      <c r="D3448" s="2">
        <v>58</v>
      </c>
      <c r="E3448" s="2" t="s">
        <v>26</v>
      </c>
      <c r="F3448" s="2" t="s">
        <v>15</v>
      </c>
      <c r="G3448" s="7">
        <v>107.75</v>
      </c>
      <c r="H3448" s="7">
        <v>6332.75</v>
      </c>
      <c r="I3448" s="2" t="s">
        <v>15</v>
      </c>
      <c r="J3448" s="2" t="s">
        <v>16</v>
      </c>
      <c r="K3448" s="2" t="s">
        <v>17</v>
      </c>
      <c r="L3448" s="7">
        <v>6332.75</v>
      </c>
      <c r="M3448" s="2" t="str">
        <f>_xlfn.IFS(TelecomData[[#This Row],[TenureMonths]]&lt;=12, "0-1 Year", TelecomData[[#This Row],[TenureMonths]]&lt;=36, "1-3 Years", TelecomData[[#This Row],[TenureMonths]]&gt;36, "3+ Years")</f>
        <v>3+ Years</v>
      </c>
      <c r="N3448" s="2" t="str">
        <f>IF(TelecomData[[#This Row],[CleanedTotalCharges]]&gt;=2500,"High Spend", "Standard Spend")</f>
        <v>High Spend</v>
      </c>
    </row>
    <row r="3449" spans="1:14" x14ac:dyDescent="0.3">
      <c r="A3449" s="1" t="s">
        <v>3473</v>
      </c>
      <c r="B3449" s="2" t="s">
        <v>19</v>
      </c>
      <c r="C3449" s="2" t="s">
        <v>20</v>
      </c>
      <c r="D3449" s="2">
        <v>39</v>
      </c>
      <c r="E3449" s="2" t="s">
        <v>26</v>
      </c>
      <c r="F3449" s="2" t="s">
        <v>15</v>
      </c>
      <c r="G3449" s="7">
        <v>81.400000000000006</v>
      </c>
      <c r="H3449" s="7">
        <v>3213.75</v>
      </c>
      <c r="I3449" s="2" t="s">
        <v>15</v>
      </c>
      <c r="J3449" s="2" t="s">
        <v>15</v>
      </c>
      <c r="K3449" s="2" t="s">
        <v>29</v>
      </c>
      <c r="L3449" s="7">
        <v>3213.75</v>
      </c>
      <c r="M3449" s="2" t="str">
        <f>_xlfn.IFS(TelecomData[[#This Row],[TenureMonths]]&lt;=12, "0-1 Year", TelecomData[[#This Row],[TenureMonths]]&lt;=36, "1-3 Years", TelecomData[[#This Row],[TenureMonths]]&gt;36, "3+ Years")</f>
        <v>3+ Years</v>
      </c>
      <c r="N3449" s="2" t="str">
        <f>IF(TelecomData[[#This Row],[CleanedTotalCharges]]&gt;=2500,"High Spend", "Standard Spend")</f>
        <v>High Spend</v>
      </c>
    </row>
    <row r="3450" spans="1:14" x14ac:dyDescent="0.3">
      <c r="A3450" s="1" t="s">
        <v>3474</v>
      </c>
      <c r="B3450" s="2" t="s">
        <v>19</v>
      </c>
      <c r="C3450" s="2" t="s">
        <v>13</v>
      </c>
      <c r="D3450" s="2">
        <v>4</v>
      </c>
      <c r="E3450" s="2" t="s">
        <v>14</v>
      </c>
      <c r="F3450" s="2" t="s">
        <v>16</v>
      </c>
      <c r="G3450" s="7">
        <v>61.45</v>
      </c>
      <c r="H3450" s="7">
        <v>229.55</v>
      </c>
      <c r="I3450" s="2" t="s">
        <v>16</v>
      </c>
      <c r="J3450" s="2" t="s">
        <v>15</v>
      </c>
      <c r="K3450" s="2" t="s">
        <v>29</v>
      </c>
      <c r="L3450" s="7">
        <v>229.55</v>
      </c>
      <c r="M3450" s="2" t="str">
        <f>_xlfn.IFS(TelecomData[[#This Row],[TenureMonths]]&lt;=12, "0-1 Year", TelecomData[[#This Row],[TenureMonths]]&lt;=36, "1-3 Years", TelecomData[[#This Row],[TenureMonths]]&gt;36, "3+ Years")</f>
        <v>0-1 Year</v>
      </c>
      <c r="N3450" s="2" t="str">
        <f>IF(TelecomData[[#This Row],[CleanedTotalCharges]]&gt;=2500,"High Spend", "Standard Spend")</f>
        <v>Standard Spend</v>
      </c>
    </row>
    <row r="3451" spans="1:14" x14ac:dyDescent="0.3">
      <c r="A3451" s="1" t="s">
        <v>3475</v>
      </c>
      <c r="B3451" s="2" t="s">
        <v>12</v>
      </c>
      <c r="C3451" s="2" t="s">
        <v>20</v>
      </c>
      <c r="D3451" s="2">
        <v>52</v>
      </c>
      <c r="E3451" s="2" t="s">
        <v>26</v>
      </c>
      <c r="F3451" s="2" t="s">
        <v>15</v>
      </c>
      <c r="G3451" s="7">
        <v>95.7</v>
      </c>
      <c r="H3451" s="7">
        <v>4976.1499999999996</v>
      </c>
      <c r="I3451" s="2" t="s">
        <v>15</v>
      </c>
      <c r="J3451" s="2" t="s">
        <v>16</v>
      </c>
      <c r="K3451" s="2" t="s">
        <v>29</v>
      </c>
      <c r="L3451" s="7">
        <v>4976.1499999999996</v>
      </c>
      <c r="M3451" s="2" t="str">
        <f>_xlfn.IFS(TelecomData[[#This Row],[TenureMonths]]&lt;=12, "0-1 Year", TelecomData[[#This Row],[TenureMonths]]&lt;=36, "1-3 Years", TelecomData[[#This Row],[TenureMonths]]&gt;36, "3+ Years")</f>
        <v>3+ Years</v>
      </c>
      <c r="N3451" s="2" t="str">
        <f>IF(TelecomData[[#This Row],[CleanedTotalCharges]]&gt;=2500,"High Spend", "Standard Spend")</f>
        <v>High Spend</v>
      </c>
    </row>
    <row r="3452" spans="1:14" x14ac:dyDescent="0.3">
      <c r="A3452" s="1" t="s">
        <v>3476</v>
      </c>
      <c r="B3452" s="2" t="s">
        <v>19</v>
      </c>
      <c r="C3452" s="2" t="s">
        <v>20</v>
      </c>
      <c r="D3452" s="2">
        <v>70</v>
      </c>
      <c r="E3452" s="2" t="s">
        <v>26</v>
      </c>
      <c r="F3452" s="2" t="s">
        <v>15</v>
      </c>
      <c r="G3452" s="7">
        <v>104.8</v>
      </c>
      <c r="H3452" s="7">
        <v>7308.95</v>
      </c>
      <c r="I3452" s="2" t="s">
        <v>15</v>
      </c>
      <c r="J3452" s="2" t="s">
        <v>16</v>
      </c>
      <c r="K3452" s="2" t="s">
        <v>17</v>
      </c>
      <c r="L3452" s="7">
        <v>7308.95</v>
      </c>
      <c r="M3452" s="2" t="str">
        <f>_xlfn.IFS(TelecomData[[#This Row],[TenureMonths]]&lt;=12, "0-1 Year", TelecomData[[#This Row],[TenureMonths]]&lt;=36, "1-3 Years", TelecomData[[#This Row],[TenureMonths]]&gt;36, "3+ Years")</f>
        <v>3+ Years</v>
      </c>
      <c r="N3452" s="2" t="str">
        <f>IF(TelecomData[[#This Row],[CleanedTotalCharges]]&gt;=2500,"High Spend", "Standard Spend")</f>
        <v>High Spend</v>
      </c>
    </row>
    <row r="3453" spans="1:14" x14ac:dyDescent="0.3">
      <c r="A3453" s="1" t="s">
        <v>3477</v>
      </c>
      <c r="B3453" s="2" t="s">
        <v>19</v>
      </c>
      <c r="C3453" s="2" t="s">
        <v>20</v>
      </c>
      <c r="D3453" s="2">
        <v>65</v>
      </c>
      <c r="E3453" s="2" t="s">
        <v>26</v>
      </c>
      <c r="F3453" s="2" t="s">
        <v>15</v>
      </c>
      <c r="G3453" s="7">
        <v>70.95</v>
      </c>
      <c r="H3453" s="7">
        <v>4555.2</v>
      </c>
      <c r="I3453" s="2" t="s">
        <v>15</v>
      </c>
      <c r="J3453" s="2" t="s">
        <v>16</v>
      </c>
      <c r="K3453" s="2" t="s">
        <v>24</v>
      </c>
      <c r="L3453" s="7">
        <v>4555.2</v>
      </c>
      <c r="M3453" s="2" t="str">
        <f>_xlfn.IFS(TelecomData[[#This Row],[TenureMonths]]&lt;=12, "0-1 Year", TelecomData[[#This Row],[TenureMonths]]&lt;=36, "1-3 Years", TelecomData[[#This Row],[TenureMonths]]&gt;36, "3+ Years")</f>
        <v>3+ Years</v>
      </c>
      <c r="N3453" s="2" t="str">
        <f>IF(TelecomData[[#This Row],[CleanedTotalCharges]]&gt;=2500,"High Spend", "Standard Spend")</f>
        <v>High Spend</v>
      </c>
    </row>
    <row r="3454" spans="1:14" x14ac:dyDescent="0.3">
      <c r="A3454" s="1" t="s">
        <v>3478</v>
      </c>
      <c r="B3454" s="2" t="s">
        <v>19</v>
      </c>
      <c r="C3454" s="2" t="s">
        <v>13</v>
      </c>
      <c r="D3454" s="2">
        <v>1</v>
      </c>
      <c r="E3454" s="2" t="s">
        <v>14</v>
      </c>
      <c r="F3454" s="2" t="s">
        <v>15</v>
      </c>
      <c r="G3454" s="7">
        <v>44.95</v>
      </c>
      <c r="H3454" s="7">
        <v>44.95</v>
      </c>
      <c r="I3454" s="2" t="s">
        <v>15</v>
      </c>
      <c r="J3454" s="2" t="s">
        <v>16</v>
      </c>
      <c r="K3454" s="2" t="s">
        <v>21</v>
      </c>
      <c r="L3454" s="7">
        <v>44.95</v>
      </c>
      <c r="M3454" s="2" t="str">
        <f>_xlfn.IFS(TelecomData[[#This Row],[TenureMonths]]&lt;=12, "0-1 Year", TelecomData[[#This Row],[TenureMonths]]&lt;=36, "1-3 Years", TelecomData[[#This Row],[TenureMonths]]&gt;36, "3+ Years")</f>
        <v>0-1 Year</v>
      </c>
      <c r="N3454" s="2" t="str">
        <f>IF(TelecomData[[#This Row],[CleanedTotalCharges]]&gt;=2500,"High Spend", "Standard Spend")</f>
        <v>Standard Spend</v>
      </c>
    </row>
    <row r="3455" spans="1:14" x14ac:dyDescent="0.3">
      <c r="A3455" s="1" t="s">
        <v>3479</v>
      </c>
      <c r="B3455" s="2" t="s">
        <v>12</v>
      </c>
      <c r="C3455" s="2" t="s">
        <v>20</v>
      </c>
      <c r="D3455" s="2">
        <v>70</v>
      </c>
      <c r="E3455" s="2" t="s">
        <v>26</v>
      </c>
      <c r="F3455" s="2" t="s">
        <v>15</v>
      </c>
      <c r="G3455" s="7">
        <v>97.65</v>
      </c>
      <c r="H3455" s="7">
        <v>6982.5</v>
      </c>
      <c r="I3455" s="2" t="s">
        <v>15</v>
      </c>
      <c r="J3455" s="2" t="s">
        <v>16</v>
      </c>
      <c r="K3455" s="2" t="s">
        <v>17</v>
      </c>
      <c r="L3455" s="7">
        <v>6982.5</v>
      </c>
      <c r="M3455" s="2" t="str">
        <f>_xlfn.IFS(TelecomData[[#This Row],[TenureMonths]]&lt;=12, "0-1 Year", TelecomData[[#This Row],[TenureMonths]]&lt;=36, "1-3 Years", TelecomData[[#This Row],[TenureMonths]]&gt;36, "3+ Years")</f>
        <v>3+ Years</v>
      </c>
      <c r="N3455" s="2" t="str">
        <f>IF(TelecomData[[#This Row],[CleanedTotalCharges]]&gt;=2500,"High Spend", "Standard Spend")</f>
        <v>High Spend</v>
      </c>
    </row>
    <row r="3456" spans="1:14" x14ac:dyDescent="0.3">
      <c r="A3456" s="1" t="s">
        <v>3480</v>
      </c>
      <c r="B3456" s="2" t="s">
        <v>12</v>
      </c>
      <c r="C3456" s="2" t="s">
        <v>13</v>
      </c>
      <c r="D3456" s="2">
        <v>29</v>
      </c>
      <c r="E3456" s="2" t="s">
        <v>14</v>
      </c>
      <c r="F3456" s="2" t="s">
        <v>15</v>
      </c>
      <c r="G3456" s="7">
        <v>35.65</v>
      </c>
      <c r="H3456" s="7">
        <v>1025.1500000000001</v>
      </c>
      <c r="I3456" s="2" t="s">
        <v>15</v>
      </c>
      <c r="J3456" s="2" t="s">
        <v>16</v>
      </c>
      <c r="K3456" s="2" t="s">
        <v>21</v>
      </c>
      <c r="L3456" s="7">
        <v>1025.1500000000001</v>
      </c>
      <c r="M3456" s="2" t="str">
        <f>_xlfn.IFS(TelecomData[[#This Row],[TenureMonths]]&lt;=12, "0-1 Year", TelecomData[[#This Row],[TenureMonths]]&lt;=36, "1-3 Years", TelecomData[[#This Row],[TenureMonths]]&gt;36, "3+ Years")</f>
        <v>1-3 Years</v>
      </c>
      <c r="N3456" s="2" t="str">
        <f>IF(TelecomData[[#This Row],[CleanedTotalCharges]]&gt;=2500,"High Spend", "Standard Spend")</f>
        <v>Standard Spend</v>
      </c>
    </row>
    <row r="3457" spans="1:14" x14ac:dyDescent="0.3">
      <c r="A3457" s="1" t="s">
        <v>3481</v>
      </c>
      <c r="B3457" s="2" t="s">
        <v>19</v>
      </c>
      <c r="C3457" s="2" t="s">
        <v>13</v>
      </c>
      <c r="D3457" s="2">
        <v>1</v>
      </c>
      <c r="E3457" s="2" t="s">
        <v>26</v>
      </c>
      <c r="F3457" s="2" t="s">
        <v>15</v>
      </c>
      <c r="G3457" s="7">
        <v>90.55</v>
      </c>
      <c r="H3457" s="7">
        <v>90.55</v>
      </c>
      <c r="I3457" s="2" t="s">
        <v>16</v>
      </c>
      <c r="J3457" s="2" t="s">
        <v>16</v>
      </c>
      <c r="K3457" s="2" t="s">
        <v>17</v>
      </c>
      <c r="L3457" s="7">
        <v>90.55</v>
      </c>
      <c r="M3457" s="2" t="str">
        <f>_xlfn.IFS(TelecomData[[#This Row],[TenureMonths]]&lt;=12, "0-1 Year", TelecomData[[#This Row],[TenureMonths]]&lt;=36, "1-3 Years", TelecomData[[#This Row],[TenureMonths]]&gt;36, "3+ Years")</f>
        <v>0-1 Year</v>
      </c>
      <c r="N3457" s="2" t="str">
        <f>IF(TelecomData[[#This Row],[CleanedTotalCharges]]&gt;=2500,"High Spend", "Standard Spend")</f>
        <v>Standard Spend</v>
      </c>
    </row>
    <row r="3458" spans="1:14" x14ac:dyDescent="0.3">
      <c r="A3458" s="1" t="s">
        <v>3482</v>
      </c>
      <c r="B3458" s="2" t="s">
        <v>12</v>
      </c>
      <c r="C3458" s="2" t="s">
        <v>35</v>
      </c>
      <c r="D3458" s="2">
        <v>67</v>
      </c>
      <c r="E3458" s="2" t="s">
        <v>14</v>
      </c>
      <c r="F3458" s="2" t="s">
        <v>16</v>
      </c>
      <c r="G3458" s="7">
        <v>85.25</v>
      </c>
      <c r="H3458" s="7">
        <v>5714.2</v>
      </c>
      <c r="I3458" s="2" t="s">
        <v>15</v>
      </c>
      <c r="J3458" s="2" t="s">
        <v>16</v>
      </c>
      <c r="K3458" s="2" t="s">
        <v>21</v>
      </c>
      <c r="L3458" s="7">
        <v>5714.2</v>
      </c>
      <c r="M3458" s="2" t="str">
        <f>_xlfn.IFS(TelecomData[[#This Row],[TenureMonths]]&lt;=12, "0-1 Year", TelecomData[[#This Row],[TenureMonths]]&lt;=36, "1-3 Years", TelecomData[[#This Row],[TenureMonths]]&gt;36, "3+ Years")</f>
        <v>3+ Years</v>
      </c>
      <c r="N3458" s="2" t="str">
        <f>IF(TelecomData[[#This Row],[CleanedTotalCharges]]&gt;=2500,"High Spend", "Standard Spend")</f>
        <v>High Spend</v>
      </c>
    </row>
    <row r="3459" spans="1:14" x14ac:dyDescent="0.3">
      <c r="A3459" s="1" t="s">
        <v>3483</v>
      </c>
      <c r="B3459" s="2" t="s">
        <v>12</v>
      </c>
      <c r="C3459" s="2" t="s">
        <v>13</v>
      </c>
      <c r="D3459" s="2">
        <v>1</v>
      </c>
      <c r="E3459" s="2" t="s">
        <v>15</v>
      </c>
      <c r="F3459" s="2" t="s">
        <v>36</v>
      </c>
      <c r="G3459" s="7">
        <v>19.5</v>
      </c>
      <c r="H3459" s="7">
        <v>19.5</v>
      </c>
      <c r="I3459" s="2" t="s">
        <v>15</v>
      </c>
      <c r="J3459" s="2" t="s">
        <v>16</v>
      </c>
      <c r="K3459" s="2" t="s">
        <v>21</v>
      </c>
      <c r="L3459" s="7">
        <v>19.5</v>
      </c>
      <c r="M3459" s="2" t="str">
        <f>_xlfn.IFS(TelecomData[[#This Row],[TenureMonths]]&lt;=12, "0-1 Year", TelecomData[[#This Row],[TenureMonths]]&lt;=36, "1-3 Years", TelecomData[[#This Row],[TenureMonths]]&gt;36, "3+ Years")</f>
        <v>0-1 Year</v>
      </c>
      <c r="N3459" s="2" t="str">
        <f>IF(TelecomData[[#This Row],[CleanedTotalCharges]]&gt;=2500,"High Spend", "Standard Spend")</f>
        <v>Standard Spend</v>
      </c>
    </row>
    <row r="3460" spans="1:14" x14ac:dyDescent="0.3">
      <c r="A3460" s="1" t="s">
        <v>3484</v>
      </c>
      <c r="B3460" s="2" t="s">
        <v>12</v>
      </c>
      <c r="C3460" s="2" t="s">
        <v>13</v>
      </c>
      <c r="D3460" s="2">
        <v>26</v>
      </c>
      <c r="E3460" s="2" t="s">
        <v>26</v>
      </c>
      <c r="F3460" s="2" t="s">
        <v>15</v>
      </c>
      <c r="G3460" s="7">
        <v>88.8</v>
      </c>
      <c r="H3460" s="7">
        <v>2274.35</v>
      </c>
      <c r="I3460" s="2" t="s">
        <v>16</v>
      </c>
      <c r="J3460" s="2" t="s">
        <v>16</v>
      </c>
      <c r="K3460" s="2" t="s">
        <v>24</v>
      </c>
      <c r="L3460" s="7">
        <v>2274.35</v>
      </c>
      <c r="M3460" s="2" t="str">
        <f>_xlfn.IFS(TelecomData[[#This Row],[TenureMonths]]&lt;=12, "0-1 Year", TelecomData[[#This Row],[TenureMonths]]&lt;=36, "1-3 Years", TelecomData[[#This Row],[TenureMonths]]&gt;36, "3+ Years")</f>
        <v>1-3 Years</v>
      </c>
      <c r="N3460" s="2" t="str">
        <f>IF(TelecomData[[#This Row],[CleanedTotalCharges]]&gt;=2500,"High Spend", "Standard Spend")</f>
        <v>Standard Spend</v>
      </c>
    </row>
    <row r="3461" spans="1:14" x14ac:dyDescent="0.3">
      <c r="A3461" s="1" t="s">
        <v>3485</v>
      </c>
      <c r="B3461" s="2" t="s">
        <v>12</v>
      </c>
      <c r="C3461" s="2" t="s">
        <v>35</v>
      </c>
      <c r="D3461" s="2">
        <v>30</v>
      </c>
      <c r="E3461" s="2" t="s">
        <v>15</v>
      </c>
      <c r="F3461" s="2" t="s">
        <v>36</v>
      </c>
      <c r="G3461" s="7">
        <v>25.1</v>
      </c>
      <c r="H3461" s="7">
        <v>789.55</v>
      </c>
      <c r="I3461" s="2" t="s">
        <v>15</v>
      </c>
      <c r="J3461" s="2" t="s">
        <v>16</v>
      </c>
      <c r="K3461" s="2" t="s">
        <v>21</v>
      </c>
      <c r="L3461" s="7">
        <v>789.55</v>
      </c>
      <c r="M3461" s="2" t="str">
        <f>_xlfn.IFS(TelecomData[[#This Row],[TenureMonths]]&lt;=12, "0-1 Year", TelecomData[[#This Row],[TenureMonths]]&lt;=36, "1-3 Years", TelecomData[[#This Row],[TenureMonths]]&gt;36, "3+ Years")</f>
        <v>1-3 Years</v>
      </c>
      <c r="N3461" s="2" t="str">
        <f>IF(TelecomData[[#This Row],[CleanedTotalCharges]]&gt;=2500,"High Spend", "Standard Spend")</f>
        <v>Standard Spend</v>
      </c>
    </row>
    <row r="3462" spans="1:14" x14ac:dyDescent="0.3">
      <c r="A3462" s="1" t="s">
        <v>3486</v>
      </c>
      <c r="B3462" s="2" t="s">
        <v>12</v>
      </c>
      <c r="C3462" s="2" t="s">
        <v>13</v>
      </c>
      <c r="D3462" s="2">
        <v>48</v>
      </c>
      <c r="E3462" s="2" t="s">
        <v>26</v>
      </c>
      <c r="F3462" s="2" t="s">
        <v>16</v>
      </c>
      <c r="G3462" s="7">
        <v>100.05</v>
      </c>
      <c r="H3462" s="7">
        <v>4834</v>
      </c>
      <c r="I3462" s="2" t="s">
        <v>15</v>
      </c>
      <c r="J3462" s="2" t="s">
        <v>16</v>
      </c>
      <c r="K3462" s="2" t="s">
        <v>29</v>
      </c>
      <c r="L3462" s="7">
        <v>4834</v>
      </c>
      <c r="M3462" s="2" t="str">
        <f>_xlfn.IFS(TelecomData[[#This Row],[TenureMonths]]&lt;=12, "0-1 Year", TelecomData[[#This Row],[TenureMonths]]&lt;=36, "1-3 Years", TelecomData[[#This Row],[TenureMonths]]&gt;36, "3+ Years")</f>
        <v>3+ Years</v>
      </c>
      <c r="N3462" s="2" t="str">
        <f>IF(TelecomData[[#This Row],[CleanedTotalCharges]]&gt;=2500,"High Spend", "Standard Spend")</f>
        <v>High Spend</v>
      </c>
    </row>
    <row r="3463" spans="1:14" x14ac:dyDescent="0.3">
      <c r="A3463" s="1" t="s">
        <v>3487</v>
      </c>
      <c r="B3463" s="2" t="s">
        <v>12</v>
      </c>
      <c r="C3463" s="2" t="s">
        <v>13</v>
      </c>
      <c r="D3463" s="2">
        <v>55</v>
      </c>
      <c r="E3463" s="2" t="s">
        <v>14</v>
      </c>
      <c r="F3463" s="2" t="s">
        <v>15</v>
      </c>
      <c r="G3463" s="7">
        <v>55.7</v>
      </c>
      <c r="H3463" s="7">
        <v>3131.8</v>
      </c>
      <c r="I3463" s="2" t="s">
        <v>15</v>
      </c>
      <c r="J3463" s="2" t="s">
        <v>15</v>
      </c>
      <c r="K3463" s="2" t="s">
        <v>17</v>
      </c>
      <c r="L3463" s="7">
        <v>3131.8</v>
      </c>
      <c r="M3463" s="2" t="str">
        <f>_xlfn.IFS(TelecomData[[#This Row],[TenureMonths]]&lt;=12, "0-1 Year", TelecomData[[#This Row],[TenureMonths]]&lt;=36, "1-3 Years", TelecomData[[#This Row],[TenureMonths]]&gt;36, "3+ Years")</f>
        <v>3+ Years</v>
      </c>
      <c r="N3463" s="2" t="str">
        <f>IF(TelecomData[[#This Row],[CleanedTotalCharges]]&gt;=2500,"High Spend", "Standard Spend")</f>
        <v>High Spend</v>
      </c>
    </row>
    <row r="3464" spans="1:14" x14ac:dyDescent="0.3">
      <c r="A3464" s="1" t="s">
        <v>3488</v>
      </c>
      <c r="B3464" s="2" t="s">
        <v>19</v>
      </c>
      <c r="C3464" s="2" t="s">
        <v>13</v>
      </c>
      <c r="D3464" s="2">
        <v>7</v>
      </c>
      <c r="E3464" s="2" t="s">
        <v>26</v>
      </c>
      <c r="F3464" s="2" t="s">
        <v>15</v>
      </c>
      <c r="G3464" s="7">
        <v>85.2</v>
      </c>
      <c r="H3464" s="7">
        <v>602.54999999999995</v>
      </c>
      <c r="I3464" s="2" t="s">
        <v>16</v>
      </c>
      <c r="J3464" s="2" t="s">
        <v>16</v>
      </c>
      <c r="K3464" s="2" t="s">
        <v>21</v>
      </c>
      <c r="L3464" s="7">
        <v>602.54999999999995</v>
      </c>
      <c r="M3464" s="2" t="str">
        <f>_xlfn.IFS(TelecomData[[#This Row],[TenureMonths]]&lt;=12, "0-1 Year", TelecomData[[#This Row],[TenureMonths]]&lt;=36, "1-3 Years", TelecomData[[#This Row],[TenureMonths]]&gt;36, "3+ Years")</f>
        <v>0-1 Year</v>
      </c>
      <c r="N3464" s="2" t="str">
        <f>IF(TelecomData[[#This Row],[CleanedTotalCharges]]&gt;=2500,"High Spend", "Standard Spend")</f>
        <v>Standard Spend</v>
      </c>
    </row>
    <row r="3465" spans="1:14" x14ac:dyDescent="0.3">
      <c r="A3465" s="1" t="s">
        <v>3489</v>
      </c>
      <c r="B3465" s="2" t="s">
        <v>19</v>
      </c>
      <c r="C3465" s="2" t="s">
        <v>13</v>
      </c>
      <c r="D3465" s="2">
        <v>37</v>
      </c>
      <c r="E3465" s="2" t="s">
        <v>26</v>
      </c>
      <c r="F3465" s="2" t="s">
        <v>15</v>
      </c>
      <c r="G3465" s="7">
        <v>91.15</v>
      </c>
      <c r="H3465" s="7">
        <v>3369.25</v>
      </c>
      <c r="I3465" s="2" t="s">
        <v>15</v>
      </c>
      <c r="J3465" s="2" t="s">
        <v>16</v>
      </c>
      <c r="K3465" s="2" t="s">
        <v>17</v>
      </c>
      <c r="L3465" s="7">
        <v>3369.25</v>
      </c>
      <c r="M3465" s="2" t="str">
        <f>_xlfn.IFS(TelecomData[[#This Row],[TenureMonths]]&lt;=12, "0-1 Year", TelecomData[[#This Row],[TenureMonths]]&lt;=36, "1-3 Years", TelecomData[[#This Row],[TenureMonths]]&gt;36, "3+ Years")</f>
        <v>3+ Years</v>
      </c>
      <c r="N3465" s="2" t="str">
        <f>IF(TelecomData[[#This Row],[CleanedTotalCharges]]&gt;=2500,"High Spend", "Standard Spend")</f>
        <v>High Spend</v>
      </c>
    </row>
    <row r="3466" spans="1:14" x14ac:dyDescent="0.3">
      <c r="A3466" s="1" t="s">
        <v>3490</v>
      </c>
      <c r="B3466" s="2" t="s">
        <v>12</v>
      </c>
      <c r="C3466" s="2" t="s">
        <v>13</v>
      </c>
      <c r="D3466" s="2">
        <v>31</v>
      </c>
      <c r="E3466" s="2" t="s">
        <v>26</v>
      </c>
      <c r="F3466" s="2" t="s">
        <v>15</v>
      </c>
      <c r="G3466" s="7">
        <v>83.85</v>
      </c>
      <c r="H3466" s="7">
        <v>2674.15</v>
      </c>
      <c r="I3466" s="2" t="s">
        <v>15</v>
      </c>
      <c r="J3466" s="2" t="s">
        <v>16</v>
      </c>
      <c r="K3466" s="2" t="s">
        <v>24</v>
      </c>
      <c r="L3466" s="7">
        <v>2674.15</v>
      </c>
      <c r="M3466" s="2" t="str">
        <f>_xlfn.IFS(TelecomData[[#This Row],[TenureMonths]]&lt;=12, "0-1 Year", TelecomData[[#This Row],[TenureMonths]]&lt;=36, "1-3 Years", TelecomData[[#This Row],[TenureMonths]]&gt;36, "3+ Years")</f>
        <v>1-3 Years</v>
      </c>
      <c r="N3466" s="2" t="str">
        <f>IF(TelecomData[[#This Row],[CleanedTotalCharges]]&gt;=2500,"High Spend", "Standard Spend")</f>
        <v>High Spend</v>
      </c>
    </row>
    <row r="3467" spans="1:14" x14ac:dyDescent="0.3">
      <c r="A3467" s="1" t="s">
        <v>3491</v>
      </c>
      <c r="B3467" s="2" t="s">
        <v>19</v>
      </c>
      <c r="C3467" s="2" t="s">
        <v>13</v>
      </c>
      <c r="D3467" s="2">
        <v>4</v>
      </c>
      <c r="E3467" s="2" t="s">
        <v>14</v>
      </c>
      <c r="F3467" s="2" t="s">
        <v>15</v>
      </c>
      <c r="G3467" s="7">
        <v>45.9</v>
      </c>
      <c r="H3467" s="7">
        <v>199.75</v>
      </c>
      <c r="I3467" s="2" t="s">
        <v>15</v>
      </c>
      <c r="J3467" s="2" t="s">
        <v>16</v>
      </c>
      <c r="K3467" s="2" t="s">
        <v>17</v>
      </c>
      <c r="L3467" s="7">
        <v>199.75</v>
      </c>
      <c r="M3467" s="2" t="str">
        <f>_xlfn.IFS(TelecomData[[#This Row],[TenureMonths]]&lt;=12, "0-1 Year", TelecomData[[#This Row],[TenureMonths]]&lt;=36, "1-3 Years", TelecomData[[#This Row],[TenureMonths]]&gt;36, "3+ Years")</f>
        <v>0-1 Year</v>
      </c>
      <c r="N3467" s="2" t="str">
        <f>IF(TelecomData[[#This Row],[CleanedTotalCharges]]&gt;=2500,"High Spend", "Standard Spend")</f>
        <v>Standard Spend</v>
      </c>
    </row>
    <row r="3468" spans="1:14" x14ac:dyDescent="0.3">
      <c r="A3468" s="1" t="s">
        <v>3492</v>
      </c>
      <c r="B3468" s="2" t="s">
        <v>19</v>
      </c>
      <c r="C3468" s="2" t="s">
        <v>35</v>
      </c>
      <c r="D3468" s="2">
        <v>72</v>
      </c>
      <c r="E3468" s="2" t="s">
        <v>15</v>
      </c>
      <c r="F3468" s="2" t="s">
        <v>36</v>
      </c>
      <c r="G3468" s="7">
        <v>25.1</v>
      </c>
      <c r="H3468" s="7">
        <v>1790.8</v>
      </c>
      <c r="I3468" s="2" t="s">
        <v>15</v>
      </c>
      <c r="J3468" s="2" t="s">
        <v>16</v>
      </c>
      <c r="K3468" s="2" t="s">
        <v>29</v>
      </c>
      <c r="L3468" s="7">
        <v>1790.8</v>
      </c>
      <c r="M3468" s="2" t="str">
        <f>_xlfn.IFS(TelecomData[[#This Row],[TenureMonths]]&lt;=12, "0-1 Year", TelecomData[[#This Row],[TenureMonths]]&lt;=36, "1-3 Years", TelecomData[[#This Row],[TenureMonths]]&gt;36, "3+ Years")</f>
        <v>3+ Years</v>
      </c>
      <c r="N3468" s="2" t="str">
        <f>IF(TelecomData[[#This Row],[CleanedTotalCharges]]&gt;=2500,"High Spend", "Standard Spend")</f>
        <v>Standard Spend</v>
      </c>
    </row>
    <row r="3469" spans="1:14" x14ac:dyDescent="0.3">
      <c r="A3469" s="1" t="s">
        <v>3493</v>
      </c>
      <c r="B3469" s="2" t="s">
        <v>19</v>
      </c>
      <c r="C3469" s="2" t="s">
        <v>13</v>
      </c>
      <c r="D3469" s="2">
        <v>5</v>
      </c>
      <c r="E3469" s="2" t="s">
        <v>26</v>
      </c>
      <c r="F3469" s="2" t="s">
        <v>15</v>
      </c>
      <c r="G3469" s="7">
        <v>91.4</v>
      </c>
      <c r="H3469" s="7">
        <v>449.75</v>
      </c>
      <c r="I3469" s="2" t="s">
        <v>16</v>
      </c>
      <c r="J3469" s="2" t="s">
        <v>16</v>
      </c>
      <c r="K3469" s="2" t="s">
        <v>17</v>
      </c>
      <c r="L3469" s="7">
        <v>449.75</v>
      </c>
      <c r="M3469" s="2" t="str">
        <f>_xlfn.IFS(TelecomData[[#This Row],[TenureMonths]]&lt;=12, "0-1 Year", TelecomData[[#This Row],[TenureMonths]]&lt;=36, "1-3 Years", TelecomData[[#This Row],[TenureMonths]]&gt;36, "3+ Years")</f>
        <v>0-1 Year</v>
      </c>
      <c r="N3469" s="2" t="str">
        <f>IF(TelecomData[[#This Row],[CleanedTotalCharges]]&gt;=2500,"High Spend", "Standard Spend")</f>
        <v>Standard Spend</v>
      </c>
    </row>
    <row r="3470" spans="1:14" x14ac:dyDescent="0.3">
      <c r="A3470" s="1" t="s">
        <v>3494</v>
      </c>
      <c r="B3470" s="2" t="s">
        <v>19</v>
      </c>
      <c r="C3470" s="2" t="s">
        <v>13</v>
      </c>
      <c r="D3470" s="2">
        <v>1</v>
      </c>
      <c r="E3470" s="2" t="s">
        <v>15</v>
      </c>
      <c r="F3470" s="2" t="s">
        <v>36</v>
      </c>
      <c r="G3470" s="7">
        <v>19.7</v>
      </c>
      <c r="H3470" s="7">
        <v>19.7</v>
      </c>
      <c r="I3470" s="2" t="s">
        <v>15</v>
      </c>
      <c r="J3470" s="2" t="s">
        <v>15</v>
      </c>
      <c r="K3470" s="2" t="s">
        <v>21</v>
      </c>
      <c r="L3470" s="7">
        <v>19.7</v>
      </c>
      <c r="M3470" s="2" t="str">
        <f>_xlfn.IFS(TelecomData[[#This Row],[TenureMonths]]&lt;=12, "0-1 Year", TelecomData[[#This Row],[TenureMonths]]&lt;=36, "1-3 Years", TelecomData[[#This Row],[TenureMonths]]&gt;36, "3+ Years")</f>
        <v>0-1 Year</v>
      </c>
      <c r="N3470" s="2" t="str">
        <f>IF(TelecomData[[#This Row],[CleanedTotalCharges]]&gt;=2500,"High Spend", "Standard Spend")</f>
        <v>Standard Spend</v>
      </c>
    </row>
    <row r="3471" spans="1:14" x14ac:dyDescent="0.3">
      <c r="A3471" s="1" t="s">
        <v>3495</v>
      </c>
      <c r="B3471" s="2" t="s">
        <v>12</v>
      </c>
      <c r="C3471" s="2" t="s">
        <v>13</v>
      </c>
      <c r="D3471" s="2">
        <v>15</v>
      </c>
      <c r="E3471" s="2" t="s">
        <v>26</v>
      </c>
      <c r="F3471" s="2" t="s">
        <v>15</v>
      </c>
      <c r="G3471" s="7">
        <v>91.5</v>
      </c>
      <c r="H3471" s="7">
        <v>1400.3</v>
      </c>
      <c r="I3471" s="2" t="s">
        <v>15</v>
      </c>
      <c r="J3471" s="2" t="s">
        <v>16</v>
      </c>
      <c r="K3471" s="2" t="s">
        <v>17</v>
      </c>
      <c r="L3471" s="7">
        <v>1400.3</v>
      </c>
      <c r="M3471" s="2" t="str">
        <f>_xlfn.IFS(TelecomData[[#This Row],[TenureMonths]]&lt;=12, "0-1 Year", TelecomData[[#This Row],[TenureMonths]]&lt;=36, "1-3 Years", TelecomData[[#This Row],[TenureMonths]]&gt;36, "3+ Years")</f>
        <v>1-3 Years</v>
      </c>
      <c r="N3471" s="2" t="str">
        <f>IF(TelecomData[[#This Row],[CleanedTotalCharges]]&gt;=2500,"High Spend", "Standard Spend")</f>
        <v>Standard Spend</v>
      </c>
    </row>
    <row r="3472" spans="1:14" x14ac:dyDescent="0.3">
      <c r="A3472" s="1" t="s">
        <v>3496</v>
      </c>
      <c r="B3472" s="2" t="s">
        <v>19</v>
      </c>
      <c r="C3472" s="2" t="s">
        <v>13</v>
      </c>
      <c r="D3472" s="2">
        <v>8</v>
      </c>
      <c r="E3472" s="2" t="s">
        <v>14</v>
      </c>
      <c r="F3472" s="2" t="s">
        <v>15</v>
      </c>
      <c r="G3472" s="7">
        <v>51.3</v>
      </c>
      <c r="H3472" s="7">
        <v>411.6</v>
      </c>
      <c r="I3472" s="2" t="s">
        <v>15</v>
      </c>
      <c r="J3472" s="2" t="s">
        <v>16</v>
      </c>
      <c r="K3472" s="2" t="s">
        <v>29</v>
      </c>
      <c r="L3472" s="7">
        <v>411.6</v>
      </c>
      <c r="M3472" s="2" t="str">
        <f>_xlfn.IFS(TelecomData[[#This Row],[TenureMonths]]&lt;=12, "0-1 Year", TelecomData[[#This Row],[TenureMonths]]&lt;=36, "1-3 Years", TelecomData[[#This Row],[TenureMonths]]&gt;36, "3+ Years")</f>
        <v>0-1 Year</v>
      </c>
      <c r="N3472" s="2" t="str">
        <f>IF(TelecomData[[#This Row],[CleanedTotalCharges]]&gt;=2500,"High Spend", "Standard Spend")</f>
        <v>Standard Spend</v>
      </c>
    </row>
    <row r="3473" spans="1:14" x14ac:dyDescent="0.3">
      <c r="A3473" s="1" t="s">
        <v>3497</v>
      </c>
      <c r="B3473" s="2" t="s">
        <v>12</v>
      </c>
      <c r="C3473" s="2" t="s">
        <v>20</v>
      </c>
      <c r="D3473" s="2">
        <v>35</v>
      </c>
      <c r="E3473" s="2" t="s">
        <v>15</v>
      </c>
      <c r="F3473" s="2" t="s">
        <v>36</v>
      </c>
      <c r="G3473" s="7">
        <v>21.1</v>
      </c>
      <c r="H3473" s="7">
        <v>741</v>
      </c>
      <c r="I3473" s="2" t="s">
        <v>15</v>
      </c>
      <c r="J3473" s="2" t="s">
        <v>15</v>
      </c>
      <c r="K3473" s="2" t="s">
        <v>21</v>
      </c>
      <c r="L3473" s="7">
        <v>741</v>
      </c>
      <c r="M3473" s="2" t="str">
        <f>_xlfn.IFS(TelecomData[[#This Row],[TenureMonths]]&lt;=12, "0-1 Year", TelecomData[[#This Row],[TenureMonths]]&lt;=36, "1-3 Years", TelecomData[[#This Row],[TenureMonths]]&gt;36, "3+ Years")</f>
        <v>1-3 Years</v>
      </c>
      <c r="N3473" s="2" t="str">
        <f>IF(TelecomData[[#This Row],[CleanedTotalCharges]]&gt;=2500,"High Spend", "Standard Spend")</f>
        <v>Standard Spend</v>
      </c>
    </row>
    <row r="3474" spans="1:14" x14ac:dyDescent="0.3">
      <c r="A3474" s="1" t="s">
        <v>3498</v>
      </c>
      <c r="B3474" s="2" t="s">
        <v>12</v>
      </c>
      <c r="C3474" s="2" t="s">
        <v>13</v>
      </c>
      <c r="D3474" s="2">
        <v>56</v>
      </c>
      <c r="E3474" s="2" t="s">
        <v>26</v>
      </c>
      <c r="F3474" s="2" t="s">
        <v>15</v>
      </c>
      <c r="G3474" s="7">
        <v>104.75</v>
      </c>
      <c r="H3474" s="7">
        <v>5841.35</v>
      </c>
      <c r="I3474" s="2" t="s">
        <v>15</v>
      </c>
      <c r="J3474" s="2" t="s">
        <v>15</v>
      </c>
      <c r="K3474" s="2" t="s">
        <v>17</v>
      </c>
      <c r="L3474" s="7">
        <v>5841.35</v>
      </c>
      <c r="M3474" s="2" t="str">
        <f>_xlfn.IFS(TelecomData[[#This Row],[TenureMonths]]&lt;=12, "0-1 Year", TelecomData[[#This Row],[TenureMonths]]&lt;=36, "1-3 Years", TelecomData[[#This Row],[TenureMonths]]&gt;36, "3+ Years")</f>
        <v>3+ Years</v>
      </c>
      <c r="N3474" s="2" t="str">
        <f>IF(TelecomData[[#This Row],[CleanedTotalCharges]]&gt;=2500,"High Spend", "Standard Spend")</f>
        <v>High Spend</v>
      </c>
    </row>
    <row r="3475" spans="1:14" x14ac:dyDescent="0.3">
      <c r="A3475" s="1" t="s">
        <v>3499</v>
      </c>
      <c r="B3475" s="2" t="s">
        <v>19</v>
      </c>
      <c r="C3475" s="2" t="s">
        <v>13</v>
      </c>
      <c r="D3475" s="2">
        <v>42</v>
      </c>
      <c r="E3475" s="2" t="s">
        <v>26</v>
      </c>
      <c r="F3475" s="2" t="s">
        <v>16</v>
      </c>
      <c r="G3475" s="7">
        <v>106.15</v>
      </c>
      <c r="H3475" s="7">
        <v>4512.7</v>
      </c>
      <c r="I3475" s="2" t="s">
        <v>16</v>
      </c>
      <c r="J3475" s="2" t="s">
        <v>16</v>
      </c>
      <c r="K3475" s="2" t="s">
        <v>24</v>
      </c>
      <c r="L3475" s="7">
        <v>4512.7</v>
      </c>
      <c r="M3475" s="2" t="str">
        <f>_xlfn.IFS(TelecomData[[#This Row],[TenureMonths]]&lt;=12, "0-1 Year", TelecomData[[#This Row],[TenureMonths]]&lt;=36, "1-3 Years", TelecomData[[#This Row],[TenureMonths]]&gt;36, "3+ Years")</f>
        <v>3+ Years</v>
      </c>
      <c r="N3475" s="2" t="str">
        <f>IF(TelecomData[[#This Row],[CleanedTotalCharges]]&gt;=2500,"High Spend", "Standard Spend")</f>
        <v>High Spend</v>
      </c>
    </row>
    <row r="3476" spans="1:14" x14ac:dyDescent="0.3">
      <c r="A3476" s="1" t="s">
        <v>3500</v>
      </c>
      <c r="B3476" s="2" t="s">
        <v>19</v>
      </c>
      <c r="C3476" s="2" t="s">
        <v>13</v>
      </c>
      <c r="D3476" s="2">
        <v>65</v>
      </c>
      <c r="E3476" s="2" t="s">
        <v>26</v>
      </c>
      <c r="F3476" s="2" t="s">
        <v>15</v>
      </c>
      <c r="G3476" s="7">
        <v>85.75</v>
      </c>
      <c r="H3476" s="7">
        <v>5688.45</v>
      </c>
      <c r="I3476" s="2" t="s">
        <v>15</v>
      </c>
      <c r="J3476" s="2" t="s">
        <v>16</v>
      </c>
      <c r="K3476" s="2" t="s">
        <v>17</v>
      </c>
      <c r="L3476" s="7">
        <v>5688.45</v>
      </c>
      <c r="M3476" s="2" t="str">
        <f>_xlfn.IFS(TelecomData[[#This Row],[TenureMonths]]&lt;=12, "0-1 Year", TelecomData[[#This Row],[TenureMonths]]&lt;=36, "1-3 Years", TelecomData[[#This Row],[TenureMonths]]&gt;36, "3+ Years")</f>
        <v>3+ Years</v>
      </c>
      <c r="N3476" s="2" t="str">
        <f>IF(TelecomData[[#This Row],[CleanedTotalCharges]]&gt;=2500,"High Spend", "Standard Spend")</f>
        <v>High Spend</v>
      </c>
    </row>
    <row r="3477" spans="1:14" x14ac:dyDescent="0.3">
      <c r="A3477" s="1" t="s">
        <v>3501</v>
      </c>
      <c r="B3477" s="2" t="s">
        <v>12</v>
      </c>
      <c r="C3477" s="2" t="s">
        <v>20</v>
      </c>
      <c r="D3477" s="2">
        <v>2</v>
      </c>
      <c r="E3477" s="2" t="s">
        <v>15</v>
      </c>
      <c r="F3477" s="2" t="s">
        <v>36</v>
      </c>
      <c r="G3477" s="7">
        <v>20.3</v>
      </c>
      <c r="H3477" s="7">
        <v>31.9</v>
      </c>
      <c r="I3477" s="2" t="s">
        <v>15</v>
      </c>
      <c r="J3477" s="2" t="s">
        <v>15</v>
      </c>
      <c r="K3477" s="2" t="s">
        <v>21</v>
      </c>
      <c r="L3477" s="7">
        <v>31.9</v>
      </c>
      <c r="M3477" s="2" t="str">
        <f>_xlfn.IFS(TelecomData[[#This Row],[TenureMonths]]&lt;=12, "0-1 Year", TelecomData[[#This Row],[TenureMonths]]&lt;=36, "1-3 Years", TelecomData[[#This Row],[TenureMonths]]&gt;36, "3+ Years")</f>
        <v>0-1 Year</v>
      </c>
      <c r="N3477" s="2" t="str">
        <f>IF(TelecomData[[#This Row],[CleanedTotalCharges]]&gt;=2500,"High Spend", "Standard Spend")</f>
        <v>Standard Spend</v>
      </c>
    </row>
    <row r="3478" spans="1:14" x14ac:dyDescent="0.3">
      <c r="A3478" s="1" t="s">
        <v>3502</v>
      </c>
      <c r="B3478" s="2" t="s">
        <v>19</v>
      </c>
      <c r="C3478" s="2" t="s">
        <v>20</v>
      </c>
      <c r="D3478" s="2">
        <v>65</v>
      </c>
      <c r="E3478" s="2" t="s">
        <v>26</v>
      </c>
      <c r="F3478" s="2" t="s">
        <v>15</v>
      </c>
      <c r="G3478" s="7">
        <v>100.75</v>
      </c>
      <c r="H3478" s="7">
        <v>6674.65</v>
      </c>
      <c r="I3478" s="2" t="s">
        <v>15</v>
      </c>
      <c r="J3478" s="2" t="s">
        <v>16</v>
      </c>
      <c r="K3478" s="2" t="s">
        <v>17</v>
      </c>
      <c r="L3478" s="7">
        <v>6674.65</v>
      </c>
      <c r="M3478" s="2" t="str">
        <f>_xlfn.IFS(TelecomData[[#This Row],[TenureMonths]]&lt;=12, "0-1 Year", TelecomData[[#This Row],[TenureMonths]]&lt;=36, "1-3 Years", TelecomData[[#This Row],[TenureMonths]]&gt;36, "3+ Years")</f>
        <v>3+ Years</v>
      </c>
      <c r="N3478" s="2" t="str">
        <f>IF(TelecomData[[#This Row],[CleanedTotalCharges]]&gt;=2500,"High Spend", "Standard Spend")</f>
        <v>High Spend</v>
      </c>
    </row>
    <row r="3479" spans="1:14" x14ac:dyDescent="0.3">
      <c r="A3479" s="1" t="s">
        <v>3503</v>
      </c>
      <c r="B3479" s="2" t="s">
        <v>12</v>
      </c>
      <c r="C3479" s="2" t="s">
        <v>13</v>
      </c>
      <c r="D3479" s="2">
        <v>18</v>
      </c>
      <c r="E3479" s="2" t="s">
        <v>26</v>
      </c>
      <c r="F3479" s="2" t="s">
        <v>15</v>
      </c>
      <c r="G3479" s="7">
        <v>74.150000000000006</v>
      </c>
      <c r="H3479" s="7">
        <v>1345.75</v>
      </c>
      <c r="I3479" s="2" t="s">
        <v>15</v>
      </c>
      <c r="J3479" s="2" t="s">
        <v>16</v>
      </c>
      <c r="K3479" s="2" t="s">
        <v>17</v>
      </c>
      <c r="L3479" s="7">
        <v>1345.75</v>
      </c>
      <c r="M3479" s="2" t="str">
        <f>_xlfn.IFS(TelecomData[[#This Row],[TenureMonths]]&lt;=12, "0-1 Year", TelecomData[[#This Row],[TenureMonths]]&lt;=36, "1-3 Years", TelecomData[[#This Row],[TenureMonths]]&gt;36, "3+ Years")</f>
        <v>1-3 Years</v>
      </c>
      <c r="N3479" s="2" t="str">
        <f>IF(TelecomData[[#This Row],[CleanedTotalCharges]]&gt;=2500,"High Spend", "Standard Spend")</f>
        <v>Standard Spend</v>
      </c>
    </row>
    <row r="3480" spans="1:14" x14ac:dyDescent="0.3">
      <c r="A3480" s="1" t="s">
        <v>3504</v>
      </c>
      <c r="B3480" s="2" t="s">
        <v>12</v>
      </c>
      <c r="C3480" s="2" t="s">
        <v>20</v>
      </c>
      <c r="D3480" s="2">
        <v>23</v>
      </c>
      <c r="E3480" s="2" t="s">
        <v>14</v>
      </c>
      <c r="F3480" s="2" t="s">
        <v>15</v>
      </c>
      <c r="G3480" s="7">
        <v>78.55</v>
      </c>
      <c r="H3480" s="7">
        <v>1843.05</v>
      </c>
      <c r="I3480" s="2" t="s">
        <v>15</v>
      </c>
      <c r="J3480" s="2" t="s">
        <v>16</v>
      </c>
      <c r="K3480" s="2" t="s">
        <v>17</v>
      </c>
      <c r="L3480" s="7">
        <v>1843.05</v>
      </c>
      <c r="M3480" s="2" t="str">
        <f>_xlfn.IFS(TelecomData[[#This Row],[TenureMonths]]&lt;=12, "0-1 Year", TelecomData[[#This Row],[TenureMonths]]&lt;=36, "1-3 Years", TelecomData[[#This Row],[TenureMonths]]&gt;36, "3+ Years")</f>
        <v>1-3 Years</v>
      </c>
      <c r="N3480" s="2" t="str">
        <f>IF(TelecomData[[#This Row],[CleanedTotalCharges]]&gt;=2500,"High Spend", "Standard Spend")</f>
        <v>Standard Spend</v>
      </c>
    </row>
    <row r="3481" spans="1:14" x14ac:dyDescent="0.3">
      <c r="A3481" s="1" t="s">
        <v>3505</v>
      </c>
      <c r="B3481" s="2" t="s">
        <v>12</v>
      </c>
      <c r="C3481" s="2" t="s">
        <v>13</v>
      </c>
      <c r="D3481" s="2">
        <v>4</v>
      </c>
      <c r="E3481" s="2" t="s">
        <v>14</v>
      </c>
      <c r="F3481" s="2" t="s">
        <v>15</v>
      </c>
      <c r="G3481" s="7">
        <v>45.3</v>
      </c>
      <c r="H3481" s="7">
        <v>196.95</v>
      </c>
      <c r="I3481" s="2" t="s">
        <v>16</v>
      </c>
      <c r="J3481" s="2" t="s">
        <v>16</v>
      </c>
      <c r="K3481" s="2" t="s">
        <v>21</v>
      </c>
      <c r="L3481" s="7">
        <v>196.95</v>
      </c>
      <c r="M3481" s="2" t="str">
        <f>_xlfn.IFS(TelecomData[[#This Row],[TenureMonths]]&lt;=12, "0-1 Year", TelecomData[[#This Row],[TenureMonths]]&lt;=36, "1-3 Years", TelecomData[[#This Row],[TenureMonths]]&gt;36, "3+ Years")</f>
        <v>0-1 Year</v>
      </c>
      <c r="N3481" s="2" t="str">
        <f>IF(TelecomData[[#This Row],[CleanedTotalCharges]]&gt;=2500,"High Spend", "Standard Spend")</f>
        <v>Standard Spend</v>
      </c>
    </row>
    <row r="3482" spans="1:14" x14ac:dyDescent="0.3">
      <c r="A3482" s="1" t="s">
        <v>3506</v>
      </c>
      <c r="B3482" s="2" t="s">
        <v>19</v>
      </c>
      <c r="C3482" s="2" t="s">
        <v>35</v>
      </c>
      <c r="D3482" s="2">
        <v>70</v>
      </c>
      <c r="E3482" s="2" t="s">
        <v>15</v>
      </c>
      <c r="F3482" s="2" t="s">
        <v>36</v>
      </c>
      <c r="G3482" s="7">
        <v>19.850000000000001</v>
      </c>
      <c r="H3482" s="7">
        <v>1433.8</v>
      </c>
      <c r="I3482" s="2" t="s">
        <v>15</v>
      </c>
      <c r="J3482" s="2" t="s">
        <v>15</v>
      </c>
      <c r="K3482" s="2" t="s">
        <v>29</v>
      </c>
      <c r="L3482" s="7">
        <v>1433.8</v>
      </c>
      <c r="M3482" s="2" t="str">
        <f>_xlfn.IFS(TelecomData[[#This Row],[TenureMonths]]&lt;=12, "0-1 Year", TelecomData[[#This Row],[TenureMonths]]&lt;=36, "1-3 Years", TelecomData[[#This Row],[TenureMonths]]&gt;36, "3+ Years")</f>
        <v>3+ Years</v>
      </c>
      <c r="N3482" s="2" t="str">
        <f>IF(TelecomData[[#This Row],[CleanedTotalCharges]]&gt;=2500,"High Spend", "Standard Spend")</f>
        <v>Standard Spend</v>
      </c>
    </row>
    <row r="3483" spans="1:14" x14ac:dyDescent="0.3">
      <c r="A3483" s="1" t="s">
        <v>3507</v>
      </c>
      <c r="B3483" s="2" t="s">
        <v>12</v>
      </c>
      <c r="C3483" s="2" t="s">
        <v>13</v>
      </c>
      <c r="D3483" s="2">
        <v>4</v>
      </c>
      <c r="E3483" s="2" t="s">
        <v>14</v>
      </c>
      <c r="F3483" s="2" t="s">
        <v>15</v>
      </c>
      <c r="G3483" s="7">
        <v>50.7</v>
      </c>
      <c r="H3483" s="7">
        <v>214.55</v>
      </c>
      <c r="I3483" s="2" t="s">
        <v>15</v>
      </c>
      <c r="J3483" s="2" t="s">
        <v>15</v>
      </c>
      <c r="K3483" s="2" t="s">
        <v>17</v>
      </c>
      <c r="L3483" s="7">
        <v>214.55</v>
      </c>
      <c r="M3483" s="2" t="str">
        <f>_xlfn.IFS(TelecomData[[#This Row],[TenureMonths]]&lt;=12, "0-1 Year", TelecomData[[#This Row],[TenureMonths]]&lt;=36, "1-3 Years", TelecomData[[#This Row],[TenureMonths]]&gt;36, "3+ Years")</f>
        <v>0-1 Year</v>
      </c>
      <c r="N3483" s="2" t="str">
        <f>IF(TelecomData[[#This Row],[CleanedTotalCharges]]&gt;=2500,"High Spend", "Standard Spend")</f>
        <v>Standard Spend</v>
      </c>
    </row>
    <row r="3484" spans="1:14" x14ac:dyDescent="0.3">
      <c r="A3484" s="1" t="s">
        <v>3508</v>
      </c>
      <c r="B3484" s="2" t="s">
        <v>19</v>
      </c>
      <c r="C3484" s="2" t="s">
        <v>13</v>
      </c>
      <c r="D3484" s="2">
        <v>19</v>
      </c>
      <c r="E3484" s="2" t="s">
        <v>14</v>
      </c>
      <c r="F3484" s="2" t="s">
        <v>15</v>
      </c>
      <c r="G3484" s="7">
        <v>45</v>
      </c>
      <c r="H3484" s="7">
        <v>865.85</v>
      </c>
      <c r="I3484" s="2" t="s">
        <v>15</v>
      </c>
      <c r="J3484" s="2" t="s">
        <v>16</v>
      </c>
      <c r="K3484" s="2" t="s">
        <v>24</v>
      </c>
      <c r="L3484" s="7">
        <v>865.85</v>
      </c>
      <c r="M3484" s="2" t="str">
        <f>_xlfn.IFS(TelecomData[[#This Row],[TenureMonths]]&lt;=12, "0-1 Year", TelecomData[[#This Row],[TenureMonths]]&lt;=36, "1-3 Years", TelecomData[[#This Row],[TenureMonths]]&gt;36, "3+ Years")</f>
        <v>1-3 Years</v>
      </c>
      <c r="N3484" s="2" t="str">
        <f>IF(TelecomData[[#This Row],[CleanedTotalCharges]]&gt;=2500,"High Spend", "Standard Spend")</f>
        <v>Standard Spend</v>
      </c>
    </row>
    <row r="3485" spans="1:14" x14ac:dyDescent="0.3">
      <c r="A3485" s="1" t="s">
        <v>3509</v>
      </c>
      <c r="B3485" s="2" t="s">
        <v>12</v>
      </c>
      <c r="C3485" s="2" t="s">
        <v>13</v>
      </c>
      <c r="D3485" s="2">
        <v>18</v>
      </c>
      <c r="E3485" s="2" t="s">
        <v>26</v>
      </c>
      <c r="F3485" s="2" t="s">
        <v>15</v>
      </c>
      <c r="G3485" s="7">
        <v>77.8</v>
      </c>
      <c r="H3485" s="7">
        <v>1358.6</v>
      </c>
      <c r="I3485" s="2" t="s">
        <v>15</v>
      </c>
      <c r="J3485" s="2" t="s">
        <v>15</v>
      </c>
      <c r="K3485" s="2" t="s">
        <v>17</v>
      </c>
      <c r="L3485" s="7">
        <v>1358.6</v>
      </c>
      <c r="M3485" s="2" t="str">
        <f>_xlfn.IFS(TelecomData[[#This Row],[TenureMonths]]&lt;=12, "0-1 Year", TelecomData[[#This Row],[TenureMonths]]&lt;=36, "1-3 Years", TelecomData[[#This Row],[TenureMonths]]&gt;36, "3+ Years")</f>
        <v>1-3 Years</v>
      </c>
      <c r="N3485" s="2" t="str">
        <f>IF(TelecomData[[#This Row],[CleanedTotalCharges]]&gt;=2500,"High Spend", "Standard Spend")</f>
        <v>Standard Spend</v>
      </c>
    </row>
    <row r="3486" spans="1:14" x14ac:dyDescent="0.3">
      <c r="A3486" s="1" t="s">
        <v>3510</v>
      </c>
      <c r="B3486" s="2" t="s">
        <v>12</v>
      </c>
      <c r="C3486" s="2" t="s">
        <v>13</v>
      </c>
      <c r="D3486" s="2">
        <v>38</v>
      </c>
      <c r="E3486" s="2" t="s">
        <v>26</v>
      </c>
      <c r="F3486" s="2" t="s">
        <v>15</v>
      </c>
      <c r="G3486" s="7">
        <v>83.45</v>
      </c>
      <c r="H3486" s="7">
        <v>3147.15</v>
      </c>
      <c r="I3486" s="2" t="s">
        <v>15</v>
      </c>
      <c r="J3486" s="2" t="s">
        <v>16</v>
      </c>
      <c r="K3486" s="2" t="s">
        <v>17</v>
      </c>
      <c r="L3486" s="7">
        <v>3147.15</v>
      </c>
      <c r="M3486" s="2" t="str">
        <f>_xlfn.IFS(TelecomData[[#This Row],[TenureMonths]]&lt;=12, "0-1 Year", TelecomData[[#This Row],[TenureMonths]]&lt;=36, "1-3 Years", TelecomData[[#This Row],[TenureMonths]]&gt;36, "3+ Years")</f>
        <v>3+ Years</v>
      </c>
      <c r="N3486" s="2" t="str">
        <f>IF(TelecomData[[#This Row],[CleanedTotalCharges]]&gt;=2500,"High Spend", "Standard Spend")</f>
        <v>High Spend</v>
      </c>
    </row>
    <row r="3487" spans="1:14" x14ac:dyDescent="0.3">
      <c r="A3487" s="1" t="s">
        <v>3511</v>
      </c>
      <c r="B3487" s="2" t="s">
        <v>19</v>
      </c>
      <c r="C3487" s="2" t="s">
        <v>13</v>
      </c>
      <c r="D3487" s="2">
        <v>2</v>
      </c>
      <c r="E3487" s="2" t="s">
        <v>26</v>
      </c>
      <c r="F3487" s="2" t="s">
        <v>15</v>
      </c>
      <c r="G3487" s="7">
        <v>73.25</v>
      </c>
      <c r="H3487" s="7">
        <v>131.05000000000001</v>
      </c>
      <c r="I3487" s="2" t="s">
        <v>16</v>
      </c>
      <c r="J3487" s="2" t="s">
        <v>16</v>
      </c>
      <c r="K3487" s="2" t="s">
        <v>29</v>
      </c>
      <c r="L3487" s="7">
        <v>131.05000000000001</v>
      </c>
      <c r="M3487" s="2" t="str">
        <f>_xlfn.IFS(TelecomData[[#This Row],[TenureMonths]]&lt;=12, "0-1 Year", TelecomData[[#This Row],[TenureMonths]]&lt;=36, "1-3 Years", TelecomData[[#This Row],[TenureMonths]]&gt;36, "3+ Years")</f>
        <v>0-1 Year</v>
      </c>
      <c r="N3487" s="2" t="str">
        <f>IF(TelecomData[[#This Row],[CleanedTotalCharges]]&gt;=2500,"High Spend", "Standard Spend")</f>
        <v>Standard Spend</v>
      </c>
    </row>
    <row r="3488" spans="1:14" x14ac:dyDescent="0.3">
      <c r="A3488" s="1" t="s">
        <v>3512</v>
      </c>
      <c r="B3488" s="2" t="s">
        <v>19</v>
      </c>
      <c r="C3488" s="2" t="s">
        <v>20</v>
      </c>
      <c r="D3488" s="2">
        <v>47</v>
      </c>
      <c r="E3488" s="2" t="s">
        <v>26</v>
      </c>
      <c r="F3488" s="2" t="s">
        <v>15</v>
      </c>
      <c r="G3488" s="7">
        <v>94.8</v>
      </c>
      <c r="H3488" s="7">
        <v>4535.8500000000004</v>
      </c>
      <c r="I3488" s="2" t="s">
        <v>15</v>
      </c>
      <c r="J3488" s="2" t="s">
        <v>15</v>
      </c>
      <c r="K3488" s="2" t="s">
        <v>24</v>
      </c>
      <c r="L3488" s="7">
        <v>4535.8500000000004</v>
      </c>
      <c r="M3488" s="2" t="str">
        <f>_xlfn.IFS(TelecomData[[#This Row],[TenureMonths]]&lt;=12, "0-1 Year", TelecomData[[#This Row],[TenureMonths]]&lt;=36, "1-3 Years", TelecomData[[#This Row],[TenureMonths]]&gt;36, "3+ Years")</f>
        <v>3+ Years</v>
      </c>
      <c r="N3488" s="2" t="str">
        <f>IF(TelecomData[[#This Row],[CleanedTotalCharges]]&gt;=2500,"High Spend", "Standard Spend")</f>
        <v>High Spend</v>
      </c>
    </row>
    <row r="3489" spans="1:14" x14ac:dyDescent="0.3">
      <c r="A3489" s="1" t="s">
        <v>3513</v>
      </c>
      <c r="B3489" s="2" t="s">
        <v>12</v>
      </c>
      <c r="C3489" s="2" t="s">
        <v>35</v>
      </c>
      <c r="D3489" s="2">
        <v>52</v>
      </c>
      <c r="E3489" s="2" t="s">
        <v>15</v>
      </c>
      <c r="F3489" s="2" t="s">
        <v>36</v>
      </c>
      <c r="G3489" s="7">
        <v>20.100000000000001</v>
      </c>
      <c r="H3489" s="7">
        <v>1078.75</v>
      </c>
      <c r="I3489" s="2" t="s">
        <v>15</v>
      </c>
      <c r="J3489" s="2" t="s">
        <v>15</v>
      </c>
      <c r="K3489" s="2" t="s">
        <v>24</v>
      </c>
      <c r="L3489" s="7">
        <v>1078.75</v>
      </c>
      <c r="M3489" s="2" t="str">
        <f>_xlfn.IFS(TelecomData[[#This Row],[TenureMonths]]&lt;=12, "0-1 Year", TelecomData[[#This Row],[TenureMonths]]&lt;=36, "1-3 Years", TelecomData[[#This Row],[TenureMonths]]&gt;36, "3+ Years")</f>
        <v>3+ Years</v>
      </c>
      <c r="N3489" s="2" t="str">
        <f>IF(TelecomData[[#This Row],[CleanedTotalCharges]]&gt;=2500,"High Spend", "Standard Spend")</f>
        <v>Standard Spend</v>
      </c>
    </row>
    <row r="3490" spans="1:14" x14ac:dyDescent="0.3">
      <c r="A3490" s="1" t="s">
        <v>3514</v>
      </c>
      <c r="B3490" s="2" t="s">
        <v>19</v>
      </c>
      <c r="C3490" s="2" t="s">
        <v>13</v>
      </c>
      <c r="D3490" s="2">
        <v>9</v>
      </c>
      <c r="E3490" s="2" t="s">
        <v>14</v>
      </c>
      <c r="F3490" s="2" t="s">
        <v>15</v>
      </c>
      <c r="G3490" s="7">
        <v>59.9</v>
      </c>
      <c r="H3490" s="7">
        <v>542.4</v>
      </c>
      <c r="I3490" s="2" t="s">
        <v>15</v>
      </c>
      <c r="J3490" s="2" t="s">
        <v>15</v>
      </c>
      <c r="K3490" s="2" t="s">
        <v>21</v>
      </c>
      <c r="L3490" s="7">
        <v>542.4</v>
      </c>
      <c r="M3490" s="2" t="str">
        <f>_xlfn.IFS(TelecomData[[#This Row],[TenureMonths]]&lt;=12, "0-1 Year", TelecomData[[#This Row],[TenureMonths]]&lt;=36, "1-3 Years", TelecomData[[#This Row],[TenureMonths]]&gt;36, "3+ Years")</f>
        <v>0-1 Year</v>
      </c>
      <c r="N3490" s="2" t="str">
        <f>IF(TelecomData[[#This Row],[CleanedTotalCharges]]&gt;=2500,"High Spend", "Standard Spend")</f>
        <v>Standard Spend</v>
      </c>
    </row>
    <row r="3491" spans="1:14" x14ac:dyDescent="0.3">
      <c r="A3491" s="1" t="s">
        <v>3515</v>
      </c>
      <c r="B3491" s="2" t="s">
        <v>12</v>
      </c>
      <c r="C3491" s="2" t="s">
        <v>20</v>
      </c>
      <c r="D3491" s="2">
        <v>26</v>
      </c>
      <c r="E3491" s="2" t="s">
        <v>14</v>
      </c>
      <c r="F3491" s="2" t="s">
        <v>16</v>
      </c>
      <c r="G3491" s="7">
        <v>90.1</v>
      </c>
      <c r="H3491" s="7">
        <v>2312.5500000000002</v>
      </c>
      <c r="I3491" s="2" t="s">
        <v>15</v>
      </c>
      <c r="J3491" s="2" t="s">
        <v>16</v>
      </c>
      <c r="K3491" s="2" t="s">
        <v>29</v>
      </c>
      <c r="L3491" s="7">
        <v>2312.5500000000002</v>
      </c>
      <c r="M3491" s="2" t="str">
        <f>_xlfn.IFS(TelecomData[[#This Row],[TenureMonths]]&lt;=12, "0-1 Year", TelecomData[[#This Row],[TenureMonths]]&lt;=36, "1-3 Years", TelecomData[[#This Row],[TenureMonths]]&gt;36, "3+ Years")</f>
        <v>1-3 Years</v>
      </c>
      <c r="N3491" s="2" t="str">
        <f>IF(TelecomData[[#This Row],[CleanedTotalCharges]]&gt;=2500,"High Spend", "Standard Spend")</f>
        <v>Standard Spend</v>
      </c>
    </row>
    <row r="3492" spans="1:14" x14ac:dyDescent="0.3">
      <c r="A3492" s="1" t="s">
        <v>3516</v>
      </c>
      <c r="B3492" s="2" t="s">
        <v>19</v>
      </c>
      <c r="C3492" s="2" t="s">
        <v>13</v>
      </c>
      <c r="D3492" s="2">
        <v>8</v>
      </c>
      <c r="E3492" s="2" t="s">
        <v>14</v>
      </c>
      <c r="F3492" s="2" t="s">
        <v>15</v>
      </c>
      <c r="G3492" s="7">
        <v>51.05</v>
      </c>
      <c r="H3492" s="7">
        <v>415.05</v>
      </c>
      <c r="I3492" s="2" t="s">
        <v>16</v>
      </c>
      <c r="J3492" s="2" t="s">
        <v>16</v>
      </c>
      <c r="K3492" s="2" t="s">
        <v>17</v>
      </c>
      <c r="L3492" s="7">
        <v>415.05</v>
      </c>
      <c r="M3492" s="2" t="str">
        <f>_xlfn.IFS(TelecomData[[#This Row],[TenureMonths]]&lt;=12, "0-1 Year", TelecomData[[#This Row],[TenureMonths]]&lt;=36, "1-3 Years", TelecomData[[#This Row],[TenureMonths]]&gt;36, "3+ Years")</f>
        <v>0-1 Year</v>
      </c>
      <c r="N3492" s="2" t="str">
        <f>IF(TelecomData[[#This Row],[CleanedTotalCharges]]&gt;=2500,"High Spend", "Standard Spend")</f>
        <v>Standard Spend</v>
      </c>
    </row>
    <row r="3493" spans="1:14" x14ac:dyDescent="0.3">
      <c r="A3493" s="1" t="s">
        <v>3517</v>
      </c>
      <c r="B3493" s="2" t="s">
        <v>19</v>
      </c>
      <c r="C3493" s="2" t="s">
        <v>20</v>
      </c>
      <c r="D3493" s="2">
        <v>44</v>
      </c>
      <c r="E3493" s="2" t="s">
        <v>14</v>
      </c>
      <c r="F3493" s="2" t="s">
        <v>16</v>
      </c>
      <c r="G3493" s="7">
        <v>70.95</v>
      </c>
      <c r="H3493" s="7">
        <v>3250.45</v>
      </c>
      <c r="I3493" s="2" t="s">
        <v>15</v>
      </c>
      <c r="J3493" s="2" t="s">
        <v>16</v>
      </c>
      <c r="K3493" s="2" t="s">
        <v>17</v>
      </c>
      <c r="L3493" s="7">
        <v>3250.45</v>
      </c>
      <c r="M3493" s="2" t="str">
        <f>_xlfn.IFS(TelecomData[[#This Row],[TenureMonths]]&lt;=12, "0-1 Year", TelecomData[[#This Row],[TenureMonths]]&lt;=36, "1-3 Years", TelecomData[[#This Row],[TenureMonths]]&gt;36, "3+ Years")</f>
        <v>3+ Years</v>
      </c>
      <c r="N3493" s="2" t="str">
        <f>IF(TelecomData[[#This Row],[CleanedTotalCharges]]&gt;=2500,"High Spend", "Standard Spend")</f>
        <v>High Spend</v>
      </c>
    </row>
    <row r="3494" spans="1:14" x14ac:dyDescent="0.3">
      <c r="A3494" s="1" t="s">
        <v>3518</v>
      </c>
      <c r="B3494" s="2" t="s">
        <v>12</v>
      </c>
      <c r="C3494" s="2" t="s">
        <v>13</v>
      </c>
      <c r="D3494" s="2">
        <v>3</v>
      </c>
      <c r="E3494" s="2" t="s">
        <v>14</v>
      </c>
      <c r="F3494" s="2" t="s">
        <v>15</v>
      </c>
      <c r="G3494" s="7">
        <v>29.2</v>
      </c>
      <c r="H3494" s="7">
        <v>98.5</v>
      </c>
      <c r="I3494" s="2" t="s">
        <v>15</v>
      </c>
      <c r="J3494" s="2" t="s">
        <v>15</v>
      </c>
      <c r="K3494" s="2" t="s">
        <v>21</v>
      </c>
      <c r="L3494" s="7">
        <v>98.5</v>
      </c>
      <c r="M3494" s="2" t="str">
        <f>_xlfn.IFS(TelecomData[[#This Row],[TenureMonths]]&lt;=12, "0-1 Year", TelecomData[[#This Row],[TenureMonths]]&lt;=36, "1-3 Years", TelecomData[[#This Row],[TenureMonths]]&gt;36, "3+ Years")</f>
        <v>0-1 Year</v>
      </c>
      <c r="N3494" s="2" t="str">
        <f>IF(TelecomData[[#This Row],[CleanedTotalCharges]]&gt;=2500,"High Spend", "Standard Spend")</f>
        <v>Standard Spend</v>
      </c>
    </row>
    <row r="3495" spans="1:14" x14ac:dyDescent="0.3">
      <c r="A3495" s="1" t="s">
        <v>3519</v>
      </c>
      <c r="B3495" s="2" t="s">
        <v>19</v>
      </c>
      <c r="C3495" s="2" t="s">
        <v>13</v>
      </c>
      <c r="D3495" s="2">
        <v>2</v>
      </c>
      <c r="E3495" s="2" t="s">
        <v>14</v>
      </c>
      <c r="F3495" s="2" t="s">
        <v>15</v>
      </c>
      <c r="G3495" s="7">
        <v>46.6</v>
      </c>
      <c r="H3495" s="7">
        <v>87.9</v>
      </c>
      <c r="I3495" s="2" t="s">
        <v>15</v>
      </c>
      <c r="J3495" s="2" t="s">
        <v>16</v>
      </c>
      <c r="K3495" s="2" t="s">
        <v>24</v>
      </c>
      <c r="L3495" s="7">
        <v>87.9</v>
      </c>
      <c r="M3495" s="2" t="str">
        <f>_xlfn.IFS(TelecomData[[#This Row],[TenureMonths]]&lt;=12, "0-1 Year", TelecomData[[#This Row],[TenureMonths]]&lt;=36, "1-3 Years", TelecomData[[#This Row],[TenureMonths]]&gt;36, "3+ Years")</f>
        <v>0-1 Year</v>
      </c>
      <c r="N3495" s="2" t="str">
        <f>IF(TelecomData[[#This Row],[CleanedTotalCharges]]&gt;=2500,"High Spend", "Standard Spend")</f>
        <v>Standard Spend</v>
      </c>
    </row>
    <row r="3496" spans="1:14" x14ac:dyDescent="0.3">
      <c r="A3496" s="1" t="s">
        <v>3520</v>
      </c>
      <c r="B3496" s="2" t="s">
        <v>12</v>
      </c>
      <c r="C3496" s="2" t="s">
        <v>13</v>
      </c>
      <c r="D3496" s="2">
        <v>9</v>
      </c>
      <c r="E3496" s="2" t="s">
        <v>26</v>
      </c>
      <c r="F3496" s="2" t="s">
        <v>15</v>
      </c>
      <c r="G3496" s="7">
        <v>85.35</v>
      </c>
      <c r="H3496" s="7">
        <v>754.65</v>
      </c>
      <c r="I3496" s="2" t="s">
        <v>16</v>
      </c>
      <c r="J3496" s="2" t="s">
        <v>16</v>
      </c>
      <c r="K3496" s="2" t="s">
        <v>24</v>
      </c>
      <c r="L3496" s="7">
        <v>754.65</v>
      </c>
      <c r="M3496" s="2" t="str">
        <f>_xlfn.IFS(TelecomData[[#This Row],[TenureMonths]]&lt;=12, "0-1 Year", TelecomData[[#This Row],[TenureMonths]]&lt;=36, "1-3 Years", TelecomData[[#This Row],[TenureMonths]]&gt;36, "3+ Years")</f>
        <v>0-1 Year</v>
      </c>
      <c r="N3496" s="2" t="str">
        <f>IF(TelecomData[[#This Row],[CleanedTotalCharges]]&gt;=2500,"High Spend", "Standard Spend")</f>
        <v>Standard Spend</v>
      </c>
    </row>
    <row r="3497" spans="1:14" x14ac:dyDescent="0.3">
      <c r="A3497" s="1" t="s">
        <v>3521</v>
      </c>
      <c r="B3497" s="2" t="s">
        <v>19</v>
      </c>
      <c r="C3497" s="2" t="s">
        <v>13</v>
      </c>
      <c r="D3497" s="2">
        <v>1</v>
      </c>
      <c r="E3497" s="2" t="s">
        <v>26</v>
      </c>
      <c r="F3497" s="2" t="s">
        <v>15</v>
      </c>
      <c r="G3497" s="7">
        <v>75.349999999999994</v>
      </c>
      <c r="H3497" s="7">
        <v>75.349999999999994</v>
      </c>
      <c r="I3497" s="2" t="s">
        <v>16</v>
      </c>
      <c r="J3497" s="2" t="s">
        <v>16</v>
      </c>
      <c r="K3497" s="2" t="s">
        <v>17</v>
      </c>
      <c r="L3497" s="7">
        <v>75.349999999999994</v>
      </c>
      <c r="M3497" s="2" t="str">
        <f>_xlfn.IFS(TelecomData[[#This Row],[TenureMonths]]&lt;=12, "0-1 Year", TelecomData[[#This Row],[TenureMonths]]&lt;=36, "1-3 Years", TelecomData[[#This Row],[TenureMonths]]&gt;36, "3+ Years")</f>
        <v>0-1 Year</v>
      </c>
      <c r="N3497" s="2" t="str">
        <f>IF(TelecomData[[#This Row],[CleanedTotalCharges]]&gt;=2500,"High Spend", "Standard Spend")</f>
        <v>Standard Spend</v>
      </c>
    </row>
    <row r="3498" spans="1:14" x14ac:dyDescent="0.3">
      <c r="A3498" s="1" t="s">
        <v>3522</v>
      </c>
      <c r="B3498" s="2" t="s">
        <v>19</v>
      </c>
      <c r="C3498" s="2" t="s">
        <v>13</v>
      </c>
      <c r="D3498" s="2">
        <v>25</v>
      </c>
      <c r="E3498" s="2" t="s">
        <v>26</v>
      </c>
      <c r="F3498" s="2" t="s">
        <v>15</v>
      </c>
      <c r="G3498" s="7">
        <v>74.3</v>
      </c>
      <c r="H3498" s="7">
        <v>1952.25</v>
      </c>
      <c r="I3498" s="2" t="s">
        <v>15</v>
      </c>
      <c r="J3498" s="2" t="s">
        <v>15</v>
      </c>
      <c r="K3498" s="2" t="s">
        <v>24</v>
      </c>
      <c r="L3498" s="7">
        <v>1952.25</v>
      </c>
      <c r="M3498" s="2" t="str">
        <f>_xlfn.IFS(TelecomData[[#This Row],[TenureMonths]]&lt;=12, "0-1 Year", TelecomData[[#This Row],[TenureMonths]]&lt;=36, "1-3 Years", TelecomData[[#This Row],[TenureMonths]]&gt;36, "3+ Years")</f>
        <v>1-3 Years</v>
      </c>
      <c r="N3498" s="2" t="str">
        <f>IF(TelecomData[[#This Row],[CleanedTotalCharges]]&gt;=2500,"High Spend", "Standard Spend")</f>
        <v>Standard Spend</v>
      </c>
    </row>
    <row r="3499" spans="1:14" x14ac:dyDescent="0.3">
      <c r="A3499" s="1" t="s">
        <v>3523</v>
      </c>
      <c r="B3499" s="2" t="s">
        <v>12</v>
      </c>
      <c r="C3499" s="2" t="s">
        <v>13</v>
      </c>
      <c r="D3499" s="2">
        <v>2</v>
      </c>
      <c r="E3499" s="2" t="s">
        <v>26</v>
      </c>
      <c r="F3499" s="2" t="s">
        <v>15</v>
      </c>
      <c r="G3499" s="7">
        <v>69.3</v>
      </c>
      <c r="H3499" s="7">
        <v>153.80000000000001</v>
      </c>
      <c r="I3499" s="2" t="s">
        <v>15</v>
      </c>
      <c r="J3499" s="2" t="s">
        <v>16</v>
      </c>
      <c r="K3499" s="2" t="s">
        <v>17</v>
      </c>
      <c r="L3499" s="7">
        <v>153.80000000000001</v>
      </c>
      <c r="M3499" s="2" t="str">
        <f>_xlfn.IFS(TelecomData[[#This Row],[TenureMonths]]&lt;=12, "0-1 Year", TelecomData[[#This Row],[TenureMonths]]&lt;=36, "1-3 Years", TelecomData[[#This Row],[TenureMonths]]&gt;36, "3+ Years")</f>
        <v>0-1 Year</v>
      </c>
      <c r="N3499" s="2" t="str">
        <f>IF(TelecomData[[#This Row],[CleanedTotalCharges]]&gt;=2500,"High Spend", "Standard Spend")</f>
        <v>Standard Spend</v>
      </c>
    </row>
    <row r="3500" spans="1:14" x14ac:dyDescent="0.3">
      <c r="A3500" s="1" t="s">
        <v>3524</v>
      </c>
      <c r="B3500" s="2" t="s">
        <v>19</v>
      </c>
      <c r="C3500" s="2" t="s">
        <v>13</v>
      </c>
      <c r="D3500" s="2">
        <v>43</v>
      </c>
      <c r="E3500" s="2" t="s">
        <v>26</v>
      </c>
      <c r="F3500" s="2" t="s">
        <v>15</v>
      </c>
      <c r="G3500" s="7">
        <v>75.2</v>
      </c>
      <c r="H3500" s="7">
        <v>3198.6</v>
      </c>
      <c r="I3500" s="2" t="s">
        <v>16</v>
      </c>
      <c r="J3500" s="2" t="s">
        <v>16</v>
      </c>
      <c r="K3500" s="2" t="s">
        <v>17</v>
      </c>
      <c r="L3500" s="7">
        <v>3198.6</v>
      </c>
      <c r="M3500" s="2" t="str">
        <f>_xlfn.IFS(TelecomData[[#This Row],[TenureMonths]]&lt;=12, "0-1 Year", TelecomData[[#This Row],[TenureMonths]]&lt;=36, "1-3 Years", TelecomData[[#This Row],[TenureMonths]]&gt;36, "3+ Years")</f>
        <v>3+ Years</v>
      </c>
      <c r="N3500" s="2" t="str">
        <f>IF(TelecomData[[#This Row],[CleanedTotalCharges]]&gt;=2500,"High Spend", "Standard Spend")</f>
        <v>High Spend</v>
      </c>
    </row>
    <row r="3501" spans="1:14" x14ac:dyDescent="0.3">
      <c r="A3501" s="1" t="s">
        <v>3525</v>
      </c>
      <c r="B3501" s="2" t="s">
        <v>12</v>
      </c>
      <c r="C3501" s="2" t="s">
        <v>13</v>
      </c>
      <c r="D3501" s="2">
        <v>1</v>
      </c>
      <c r="E3501" s="2" t="s">
        <v>15</v>
      </c>
      <c r="F3501" s="2" t="s">
        <v>36</v>
      </c>
      <c r="G3501" s="7">
        <v>20.9</v>
      </c>
      <c r="H3501" s="7">
        <v>20.9</v>
      </c>
      <c r="I3501" s="2" t="s">
        <v>16</v>
      </c>
      <c r="J3501" s="2" t="s">
        <v>15</v>
      </c>
      <c r="K3501" s="2" t="s">
        <v>21</v>
      </c>
      <c r="L3501" s="7">
        <v>20.9</v>
      </c>
      <c r="M3501" s="2" t="str">
        <f>_xlfn.IFS(TelecomData[[#This Row],[TenureMonths]]&lt;=12, "0-1 Year", TelecomData[[#This Row],[TenureMonths]]&lt;=36, "1-3 Years", TelecomData[[#This Row],[TenureMonths]]&gt;36, "3+ Years")</f>
        <v>0-1 Year</v>
      </c>
      <c r="N3501" s="2" t="str">
        <f>IF(TelecomData[[#This Row],[CleanedTotalCharges]]&gt;=2500,"High Spend", "Standard Spend")</f>
        <v>Standard Spend</v>
      </c>
    </row>
    <row r="3502" spans="1:14" x14ac:dyDescent="0.3">
      <c r="A3502" s="1" t="s">
        <v>3526</v>
      </c>
      <c r="B3502" s="2" t="s">
        <v>12</v>
      </c>
      <c r="C3502" s="2" t="s">
        <v>20</v>
      </c>
      <c r="D3502" s="2">
        <v>58</v>
      </c>
      <c r="E3502" s="2" t="s">
        <v>26</v>
      </c>
      <c r="F3502" s="2" t="s">
        <v>15</v>
      </c>
      <c r="G3502" s="7">
        <v>94.3</v>
      </c>
      <c r="H3502" s="7">
        <v>5610.15</v>
      </c>
      <c r="I3502" s="2" t="s">
        <v>15</v>
      </c>
      <c r="J3502" s="2" t="s">
        <v>16</v>
      </c>
      <c r="K3502" s="2" t="s">
        <v>17</v>
      </c>
      <c r="L3502" s="7">
        <v>5610.15</v>
      </c>
      <c r="M3502" s="2" t="str">
        <f>_xlfn.IFS(TelecomData[[#This Row],[TenureMonths]]&lt;=12, "0-1 Year", TelecomData[[#This Row],[TenureMonths]]&lt;=36, "1-3 Years", TelecomData[[#This Row],[TenureMonths]]&gt;36, "3+ Years")</f>
        <v>3+ Years</v>
      </c>
      <c r="N3502" s="2" t="str">
        <f>IF(TelecomData[[#This Row],[CleanedTotalCharges]]&gt;=2500,"High Spend", "Standard Spend")</f>
        <v>High Spend</v>
      </c>
    </row>
    <row r="3503" spans="1:14" x14ac:dyDescent="0.3">
      <c r="A3503" s="1" t="s">
        <v>3527</v>
      </c>
      <c r="B3503" s="2" t="s">
        <v>12</v>
      </c>
      <c r="C3503" s="2" t="s">
        <v>35</v>
      </c>
      <c r="D3503" s="2">
        <v>59</v>
      </c>
      <c r="E3503" s="2" t="s">
        <v>14</v>
      </c>
      <c r="F3503" s="2" t="s">
        <v>16</v>
      </c>
      <c r="G3503" s="7">
        <v>76.45</v>
      </c>
      <c r="H3503" s="7">
        <v>4519.5</v>
      </c>
      <c r="I3503" s="2" t="s">
        <v>15</v>
      </c>
      <c r="J3503" s="2" t="s">
        <v>16</v>
      </c>
      <c r="K3503" s="2" t="s">
        <v>21</v>
      </c>
      <c r="L3503" s="7">
        <v>4519.5</v>
      </c>
      <c r="M3503" s="2" t="str">
        <f>_xlfn.IFS(TelecomData[[#This Row],[TenureMonths]]&lt;=12, "0-1 Year", TelecomData[[#This Row],[TenureMonths]]&lt;=36, "1-3 Years", TelecomData[[#This Row],[TenureMonths]]&gt;36, "3+ Years")</f>
        <v>3+ Years</v>
      </c>
      <c r="N3503" s="2" t="str">
        <f>IF(TelecomData[[#This Row],[CleanedTotalCharges]]&gt;=2500,"High Spend", "Standard Spend")</f>
        <v>High Spend</v>
      </c>
    </row>
    <row r="3504" spans="1:14" x14ac:dyDescent="0.3">
      <c r="A3504" s="1" t="s">
        <v>3528</v>
      </c>
      <c r="B3504" s="2" t="s">
        <v>19</v>
      </c>
      <c r="C3504" s="2" t="s">
        <v>20</v>
      </c>
      <c r="D3504" s="2">
        <v>44</v>
      </c>
      <c r="E3504" s="2" t="s">
        <v>14</v>
      </c>
      <c r="F3504" s="2" t="s">
        <v>15</v>
      </c>
      <c r="G3504" s="7">
        <v>54</v>
      </c>
      <c r="H3504" s="7">
        <v>2440.25</v>
      </c>
      <c r="I3504" s="2" t="s">
        <v>15</v>
      </c>
      <c r="J3504" s="2" t="s">
        <v>16</v>
      </c>
      <c r="K3504" s="2" t="s">
        <v>17</v>
      </c>
      <c r="L3504" s="7">
        <v>2440.25</v>
      </c>
      <c r="M3504" s="2" t="str">
        <f>_xlfn.IFS(TelecomData[[#This Row],[TenureMonths]]&lt;=12, "0-1 Year", TelecomData[[#This Row],[TenureMonths]]&lt;=36, "1-3 Years", TelecomData[[#This Row],[TenureMonths]]&gt;36, "3+ Years")</f>
        <v>3+ Years</v>
      </c>
      <c r="N3504" s="2" t="str">
        <f>IF(TelecomData[[#This Row],[CleanedTotalCharges]]&gt;=2500,"High Spend", "Standard Spend")</f>
        <v>Standard Spend</v>
      </c>
    </row>
    <row r="3505" spans="1:14" x14ac:dyDescent="0.3">
      <c r="A3505" s="1" t="s">
        <v>3529</v>
      </c>
      <c r="B3505" s="2" t="s">
        <v>19</v>
      </c>
      <c r="C3505" s="2" t="s">
        <v>20</v>
      </c>
      <c r="D3505" s="2">
        <v>66</v>
      </c>
      <c r="E3505" s="2" t="s">
        <v>26</v>
      </c>
      <c r="F3505" s="2" t="s">
        <v>16</v>
      </c>
      <c r="G3505" s="7">
        <v>104.25</v>
      </c>
      <c r="H3505" s="7">
        <v>6860.6</v>
      </c>
      <c r="I3505" s="2" t="s">
        <v>15</v>
      </c>
      <c r="J3505" s="2" t="s">
        <v>16</v>
      </c>
      <c r="K3505" s="2" t="s">
        <v>17</v>
      </c>
      <c r="L3505" s="7">
        <v>6860.6</v>
      </c>
      <c r="M3505" s="2" t="str">
        <f>_xlfn.IFS(TelecomData[[#This Row],[TenureMonths]]&lt;=12, "0-1 Year", TelecomData[[#This Row],[TenureMonths]]&lt;=36, "1-3 Years", TelecomData[[#This Row],[TenureMonths]]&gt;36, "3+ Years")</f>
        <v>3+ Years</v>
      </c>
      <c r="N3505" s="2" t="str">
        <f>IF(TelecomData[[#This Row],[CleanedTotalCharges]]&gt;=2500,"High Spend", "Standard Spend")</f>
        <v>High Spend</v>
      </c>
    </row>
    <row r="3506" spans="1:14" x14ac:dyDescent="0.3">
      <c r="A3506" s="1" t="s">
        <v>3530</v>
      </c>
      <c r="B3506" s="2" t="s">
        <v>19</v>
      </c>
      <c r="C3506" s="2" t="s">
        <v>35</v>
      </c>
      <c r="D3506" s="2">
        <v>68</v>
      </c>
      <c r="E3506" s="2" t="s">
        <v>15</v>
      </c>
      <c r="F3506" s="2" t="s">
        <v>36</v>
      </c>
      <c r="G3506" s="7">
        <v>19.95</v>
      </c>
      <c r="H3506" s="7">
        <v>1377.7</v>
      </c>
      <c r="I3506" s="2" t="s">
        <v>15</v>
      </c>
      <c r="J3506" s="2" t="s">
        <v>15</v>
      </c>
      <c r="K3506" s="2" t="s">
        <v>24</v>
      </c>
      <c r="L3506" s="7">
        <v>1377.7</v>
      </c>
      <c r="M3506" s="2" t="str">
        <f>_xlfn.IFS(TelecomData[[#This Row],[TenureMonths]]&lt;=12, "0-1 Year", TelecomData[[#This Row],[TenureMonths]]&lt;=36, "1-3 Years", TelecomData[[#This Row],[TenureMonths]]&gt;36, "3+ Years")</f>
        <v>3+ Years</v>
      </c>
      <c r="N3506" s="2" t="str">
        <f>IF(TelecomData[[#This Row],[CleanedTotalCharges]]&gt;=2500,"High Spend", "Standard Spend")</f>
        <v>Standard Spend</v>
      </c>
    </row>
    <row r="3507" spans="1:14" x14ac:dyDescent="0.3">
      <c r="A3507" s="1" t="s">
        <v>3531</v>
      </c>
      <c r="B3507" s="2" t="s">
        <v>19</v>
      </c>
      <c r="C3507" s="2" t="s">
        <v>13</v>
      </c>
      <c r="D3507" s="2">
        <v>9</v>
      </c>
      <c r="E3507" s="2" t="s">
        <v>14</v>
      </c>
      <c r="F3507" s="2" t="s">
        <v>15</v>
      </c>
      <c r="G3507" s="7">
        <v>24.95</v>
      </c>
      <c r="H3507" s="7">
        <v>190.25</v>
      </c>
      <c r="I3507" s="2" t="s">
        <v>15</v>
      </c>
      <c r="J3507" s="2" t="s">
        <v>16</v>
      </c>
      <c r="K3507" s="2" t="s">
        <v>17</v>
      </c>
      <c r="L3507" s="7">
        <v>190.25</v>
      </c>
      <c r="M3507" s="2" t="str">
        <f>_xlfn.IFS(TelecomData[[#This Row],[TenureMonths]]&lt;=12, "0-1 Year", TelecomData[[#This Row],[TenureMonths]]&lt;=36, "1-3 Years", TelecomData[[#This Row],[TenureMonths]]&gt;36, "3+ Years")</f>
        <v>0-1 Year</v>
      </c>
      <c r="N3507" s="2" t="str">
        <f>IF(TelecomData[[#This Row],[CleanedTotalCharges]]&gt;=2500,"High Spend", "Standard Spend")</f>
        <v>Standard Spend</v>
      </c>
    </row>
    <row r="3508" spans="1:14" x14ac:dyDescent="0.3">
      <c r="A3508" s="1" t="s">
        <v>3532</v>
      </c>
      <c r="B3508" s="2" t="s">
        <v>19</v>
      </c>
      <c r="C3508" s="2" t="s">
        <v>13</v>
      </c>
      <c r="D3508" s="2">
        <v>19</v>
      </c>
      <c r="E3508" s="2" t="s">
        <v>26</v>
      </c>
      <c r="F3508" s="2" t="s">
        <v>15</v>
      </c>
      <c r="G3508" s="7">
        <v>84.75</v>
      </c>
      <c r="H3508" s="7">
        <v>1651.95</v>
      </c>
      <c r="I3508" s="2" t="s">
        <v>15</v>
      </c>
      <c r="J3508" s="2" t="s">
        <v>16</v>
      </c>
      <c r="K3508" s="2" t="s">
        <v>17</v>
      </c>
      <c r="L3508" s="7">
        <v>1651.95</v>
      </c>
      <c r="M3508" s="2" t="str">
        <f>_xlfn.IFS(TelecomData[[#This Row],[TenureMonths]]&lt;=12, "0-1 Year", TelecomData[[#This Row],[TenureMonths]]&lt;=36, "1-3 Years", TelecomData[[#This Row],[TenureMonths]]&gt;36, "3+ Years")</f>
        <v>1-3 Years</v>
      </c>
      <c r="N3508" s="2" t="str">
        <f>IF(TelecomData[[#This Row],[CleanedTotalCharges]]&gt;=2500,"High Spend", "Standard Spend")</f>
        <v>Standard Spend</v>
      </c>
    </row>
    <row r="3509" spans="1:14" x14ac:dyDescent="0.3">
      <c r="A3509" s="1" t="s">
        <v>3533</v>
      </c>
      <c r="B3509" s="2" t="s">
        <v>19</v>
      </c>
      <c r="C3509" s="2" t="s">
        <v>13</v>
      </c>
      <c r="D3509" s="2">
        <v>4</v>
      </c>
      <c r="E3509" s="2" t="s">
        <v>15</v>
      </c>
      <c r="F3509" s="2" t="s">
        <v>36</v>
      </c>
      <c r="G3509" s="7">
        <v>19.75</v>
      </c>
      <c r="H3509" s="7">
        <v>78.3</v>
      </c>
      <c r="I3509" s="2" t="s">
        <v>15</v>
      </c>
      <c r="J3509" s="2" t="s">
        <v>15</v>
      </c>
      <c r="K3509" s="2" t="s">
        <v>21</v>
      </c>
      <c r="L3509" s="7">
        <v>78.3</v>
      </c>
      <c r="M3509" s="2" t="str">
        <f>_xlfn.IFS(TelecomData[[#This Row],[TenureMonths]]&lt;=12, "0-1 Year", TelecomData[[#This Row],[TenureMonths]]&lt;=36, "1-3 Years", TelecomData[[#This Row],[TenureMonths]]&gt;36, "3+ Years")</f>
        <v>0-1 Year</v>
      </c>
      <c r="N3509" s="2" t="str">
        <f>IF(TelecomData[[#This Row],[CleanedTotalCharges]]&gt;=2500,"High Spend", "Standard Spend")</f>
        <v>Standard Spend</v>
      </c>
    </row>
    <row r="3510" spans="1:14" x14ac:dyDescent="0.3">
      <c r="A3510" s="1" t="s">
        <v>3534</v>
      </c>
      <c r="B3510" s="2" t="s">
        <v>12</v>
      </c>
      <c r="C3510" s="2" t="s">
        <v>35</v>
      </c>
      <c r="D3510" s="2">
        <v>70</v>
      </c>
      <c r="E3510" s="2" t="s">
        <v>26</v>
      </c>
      <c r="F3510" s="2" t="s">
        <v>16</v>
      </c>
      <c r="G3510" s="7">
        <v>113.65</v>
      </c>
      <c r="H3510" s="7">
        <v>7939.25</v>
      </c>
      <c r="I3510" s="2" t="s">
        <v>15</v>
      </c>
      <c r="J3510" s="2" t="s">
        <v>16</v>
      </c>
      <c r="K3510" s="2" t="s">
        <v>24</v>
      </c>
      <c r="L3510" s="7">
        <v>7939.25</v>
      </c>
      <c r="M3510" s="2" t="str">
        <f>_xlfn.IFS(TelecomData[[#This Row],[TenureMonths]]&lt;=12, "0-1 Year", TelecomData[[#This Row],[TenureMonths]]&lt;=36, "1-3 Years", TelecomData[[#This Row],[TenureMonths]]&gt;36, "3+ Years")</f>
        <v>3+ Years</v>
      </c>
      <c r="N3510" s="2" t="str">
        <f>IF(TelecomData[[#This Row],[CleanedTotalCharges]]&gt;=2500,"High Spend", "Standard Spend")</f>
        <v>High Spend</v>
      </c>
    </row>
    <row r="3511" spans="1:14" x14ac:dyDescent="0.3">
      <c r="A3511" s="1" t="s">
        <v>3535</v>
      </c>
      <c r="B3511" s="2" t="s">
        <v>19</v>
      </c>
      <c r="C3511" s="2" t="s">
        <v>13</v>
      </c>
      <c r="D3511" s="2">
        <v>1</v>
      </c>
      <c r="E3511" s="2" t="s">
        <v>14</v>
      </c>
      <c r="F3511" s="2" t="s">
        <v>15</v>
      </c>
      <c r="G3511" s="7">
        <v>44.9</v>
      </c>
      <c r="H3511" s="7">
        <v>44.9</v>
      </c>
      <c r="I3511" s="2" t="s">
        <v>15</v>
      </c>
      <c r="J3511" s="2" t="s">
        <v>16</v>
      </c>
      <c r="K3511" s="2" t="s">
        <v>21</v>
      </c>
      <c r="L3511" s="7">
        <v>44.9</v>
      </c>
      <c r="M3511" s="2" t="str">
        <f>_xlfn.IFS(TelecomData[[#This Row],[TenureMonths]]&lt;=12, "0-1 Year", TelecomData[[#This Row],[TenureMonths]]&lt;=36, "1-3 Years", TelecomData[[#This Row],[TenureMonths]]&gt;36, "3+ Years")</f>
        <v>0-1 Year</v>
      </c>
      <c r="N3511" s="2" t="str">
        <f>IF(TelecomData[[#This Row],[CleanedTotalCharges]]&gt;=2500,"High Spend", "Standard Spend")</f>
        <v>Standard Spend</v>
      </c>
    </row>
    <row r="3512" spans="1:14" x14ac:dyDescent="0.3">
      <c r="A3512" s="1" t="s">
        <v>3536</v>
      </c>
      <c r="B3512" s="2" t="s">
        <v>12</v>
      </c>
      <c r="C3512" s="2" t="s">
        <v>13</v>
      </c>
      <c r="D3512" s="2">
        <v>8</v>
      </c>
      <c r="E3512" s="2" t="s">
        <v>26</v>
      </c>
      <c r="F3512" s="2" t="s">
        <v>15</v>
      </c>
      <c r="G3512" s="7">
        <v>75.25</v>
      </c>
      <c r="H3512" s="7">
        <v>576.70000000000005</v>
      </c>
      <c r="I3512" s="2" t="s">
        <v>15</v>
      </c>
      <c r="J3512" s="2" t="s">
        <v>16</v>
      </c>
      <c r="K3512" s="2" t="s">
        <v>17</v>
      </c>
      <c r="L3512" s="7">
        <v>576.70000000000005</v>
      </c>
      <c r="M3512" s="2" t="str">
        <f>_xlfn.IFS(TelecomData[[#This Row],[TenureMonths]]&lt;=12, "0-1 Year", TelecomData[[#This Row],[TenureMonths]]&lt;=36, "1-3 Years", TelecomData[[#This Row],[TenureMonths]]&gt;36, "3+ Years")</f>
        <v>0-1 Year</v>
      </c>
      <c r="N3512" s="2" t="str">
        <f>IF(TelecomData[[#This Row],[CleanedTotalCharges]]&gt;=2500,"High Spend", "Standard Spend")</f>
        <v>Standard Spend</v>
      </c>
    </row>
    <row r="3513" spans="1:14" x14ac:dyDescent="0.3">
      <c r="A3513" s="1" t="s">
        <v>3537</v>
      </c>
      <c r="B3513" s="2" t="s">
        <v>19</v>
      </c>
      <c r="C3513" s="2" t="s">
        <v>35</v>
      </c>
      <c r="D3513" s="2">
        <v>53</v>
      </c>
      <c r="E3513" s="2" t="s">
        <v>15</v>
      </c>
      <c r="F3513" s="2" t="s">
        <v>36</v>
      </c>
      <c r="G3513" s="7">
        <v>24.6</v>
      </c>
      <c r="H3513" s="7">
        <v>1279</v>
      </c>
      <c r="I3513" s="2" t="s">
        <v>15</v>
      </c>
      <c r="J3513" s="2" t="s">
        <v>15</v>
      </c>
      <c r="K3513" s="2" t="s">
        <v>21</v>
      </c>
      <c r="L3513" s="7">
        <v>1279</v>
      </c>
      <c r="M3513" s="2" t="str">
        <f>_xlfn.IFS(TelecomData[[#This Row],[TenureMonths]]&lt;=12, "0-1 Year", TelecomData[[#This Row],[TenureMonths]]&lt;=36, "1-3 Years", TelecomData[[#This Row],[TenureMonths]]&gt;36, "3+ Years")</f>
        <v>3+ Years</v>
      </c>
      <c r="N3513" s="2" t="str">
        <f>IF(TelecomData[[#This Row],[CleanedTotalCharges]]&gt;=2500,"High Spend", "Standard Spend")</f>
        <v>Standard Spend</v>
      </c>
    </row>
    <row r="3514" spans="1:14" x14ac:dyDescent="0.3">
      <c r="A3514" s="1" t="s">
        <v>3538</v>
      </c>
      <c r="B3514" s="2" t="s">
        <v>19</v>
      </c>
      <c r="C3514" s="2" t="s">
        <v>20</v>
      </c>
      <c r="D3514" s="2">
        <v>51</v>
      </c>
      <c r="E3514" s="2" t="s">
        <v>15</v>
      </c>
      <c r="F3514" s="2" t="s">
        <v>36</v>
      </c>
      <c r="G3514" s="7">
        <v>25</v>
      </c>
      <c r="H3514" s="7">
        <v>1260.7</v>
      </c>
      <c r="I3514" s="2" t="s">
        <v>15</v>
      </c>
      <c r="J3514" s="2" t="s">
        <v>15</v>
      </c>
      <c r="K3514" s="2" t="s">
        <v>24</v>
      </c>
      <c r="L3514" s="7">
        <v>1260.7</v>
      </c>
      <c r="M3514" s="2" t="str">
        <f>_xlfn.IFS(TelecomData[[#This Row],[TenureMonths]]&lt;=12, "0-1 Year", TelecomData[[#This Row],[TenureMonths]]&lt;=36, "1-3 Years", TelecomData[[#This Row],[TenureMonths]]&gt;36, "3+ Years")</f>
        <v>3+ Years</v>
      </c>
      <c r="N3514" s="2" t="str">
        <f>IF(TelecomData[[#This Row],[CleanedTotalCharges]]&gt;=2500,"High Spend", "Standard Spend")</f>
        <v>Standard Spend</v>
      </c>
    </row>
    <row r="3515" spans="1:14" x14ac:dyDescent="0.3">
      <c r="A3515" s="1" t="s">
        <v>3539</v>
      </c>
      <c r="B3515" s="2" t="s">
        <v>19</v>
      </c>
      <c r="C3515" s="2" t="s">
        <v>13</v>
      </c>
      <c r="D3515" s="2">
        <v>11</v>
      </c>
      <c r="E3515" s="2" t="s">
        <v>15</v>
      </c>
      <c r="F3515" s="2" t="s">
        <v>36</v>
      </c>
      <c r="G3515" s="7">
        <v>20.95</v>
      </c>
      <c r="H3515" s="7">
        <v>267.35000000000002</v>
      </c>
      <c r="I3515" s="2" t="s">
        <v>15</v>
      </c>
      <c r="J3515" s="2" t="s">
        <v>15</v>
      </c>
      <c r="K3515" s="2" t="s">
        <v>24</v>
      </c>
      <c r="L3515" s="7">
        <v>267.35000000000002</v>
      </c>
      <c r="M3515" s="2" t="str">
        <f>_xlfn.IFS(TelecomData[[#This Row],[TenureMonths]]&lt;=12, "0-1 Year", TelecomData[[#This Row],[TenureMonths]]&lt;=36, "1-3 Years", TelecomData[[#This Row],[TenureMonths]]&gt;36, "3+ Years")</f>
        <v>0-1 Year</v>
      </c>
      <c r="N3515" s="2" t="str">
        <f>IF(TelecomData[[#This Row],[CleanedTotalCharges]]&gt;=2500,"High Spend", "Standard Spend")</f>
        <v>Standard Spend</v>
      </c>
    </row>
    <row r="3516" spans="1:14" x14ac:dyDescent="0.3">
      <c r="A3516" s="1" t="s">
        <v>3540</v>
      </c>
      <c r="B3516" s="2" t="s">
        <v>19</v>
      </c>
      <c r="C3516" s="2" t="s">
        <v>35</v>
      </c>
      <c r="D3516" s="2">
        <v>60</v>
      </c>
      <c r="E3516" s="2" t="s">
        <v>26</v>
      </c>
      <c r="F3516" s="2" t="s">
        <v>16</v>
      </c>
      <c r="G3516" s="7">
        <v>110.6</v>
      </c>
      <c r="H3516" s="7">
        <v>6586.85</v>
      </c>
      <c r="I3516" s="2" t="s">
        <v>15</v>
      </c>
      <c r="J3516" s="2" t="s">
        <v>16</v>
      </c>
      <c r="K3516" s="2" t="s">
        <v>17</v>
      </c>
      <c r="L3516" s="7">
        <v>6586.85</v>
      </c>
      <c r="M3516" s="2" t="str">
        <f>_xlfn.IFS(TelecomData[[#This Row],[TenureMonths]]&lt;=12, "0-1 Year", TelecomData[[#This Row],[TenureMonths]]&lt;=36, "1-3 Years", TelecomData[[#This Row],[TenureMonths]]&gt;36, "3+ Years")</f>
        <v>3+ Years</v>
      </c>
      <c r="N3516" s="2" t="str">
        <f>IF(TelecomData[[#This Row],[CleanedTotalCharges]]&gt;=2500,"High Spend", "Standard Spend")</f>
        <v>High Spend</v>
      </c>
    </row>
    <row r="3517" spans="1:14" x14ac:dyDescent="0.3">
      <c r="A3517" s="1" t="s">
        <v>3541</v>
      </c>
      <c r="B3517" s="2" t="s">
        <v>19</v>
      </c>
      <c r="C3517" s="2" t="s">
        <v>13</v>
      </c>
      <c r="D3517" s="2">
        <v>17</v>
      </c>
      <c r="E3517" s="2" t="s">
        <v>14</v>
      </c>
      <c r="F3517" s="2" t="s">
        <v>15</v>
      </c>
      <c r="G3517" s="7">
        <v>55.5</v>
      </c>
      <c r="H3517" s="7">
        <v>934.15</v>
      </c>
      <c r="I3517" s="2" t="s">
        <v>15</v>
      </c>
      <c r="J3517" s="2" t="s">
        <v>16</v>
      </c>
      <c r="K3517" s="2" t="s">
        <v>29</v>
      </c>
      <c r="L3517" s="7">
        <v>934.15</v>
      </c>
      <c r="M3517" s="2" t="str">
        <f>_xlfn.IFS(TelecomData[[#This Row],[TenureMonths]]&lt;=12, "0-1 Year", TelecomData[[#This Row],[TenureMonths]]&lt;=36, "1-3 Years", TelecomData[[#This Row],[TenureMonths]]&gt;36, "3+ Years")</f>
        <v>1-3 Years</v>
      </c>
      <c r="N3517" s="2" t="str">
        <f>IF(TelecomData[[#This Row],[CleanedTotalCharges]]&gt;=2500,"High Spend", "Standard Spend")</f>
        <v>Standard Spend</v>
      </c>
    </row>
    <row r="3518" spans="1:14" x14ac:dyDescent="0.3">
      <c r="A3518" s="1" t="s">
        <v>3542</v>
      </c>
      <c r="B3518" s="2" t="s">
        <v>19</v>
      </c>
      <c r="C3518" s="2" t="s">
        <v>13</v>
      </c>
      <c r="D3518" s="2">
        <v>3</v>
      </c>
      <c r="E3518" s="2" t="s">
        <v>14</v>
      </c>
      <c r="F3518" s="2" t="s">
        <v>15</v>
      </c>
      <c r="G3518" s="7">
        <v>43.3</v>
      </c>
      <c r="H3518" s="7">
        <v>123.65</v>
      </c>
      <c r="I3518" s="2" t="s">
        <v>16</v>
      </c>
      <c r="J3518" s="2" t="s">
        <v>16</v>
      </c>
      <c r="K3518" s="2" t="s">
        <v>17</v>
      </c>
      <c r="L3518" s="7">
        <v>123.65</v>
      </c>
      <c r="M3518" s="2" t="str">
        <f>_xlfn.IFS(TelecomData[[#This Row],[TenureMonths]]&lt;=12, "0-1 Year", TelecomData[[#This Row],[TenureMonths]]&lt;=36, "1-3 Years", TelecomData[[#This Row],[TenureMonths]]&gt;36, "3+ Years")</f>
        <v>0-1 Year</v>
      </c>
      <c r="N3518" s="2" t="str">
        <f>IF(TelecomData[[#This Row],[CleanedTotalCharges]]&gt;=2500,"High Spend", "Standard Spend")</f>
        <v>Standard Spend</v>
      </c>
    </row>
    <row r="3519" spans="1:14" x14ac:dyDescent="0.3">
      <c r="A3519" s="1" t="s">
        <v>3543</v>
      </c>
      <c r="B3519" s="2" t="s">
        <v>19</v>
      </c>
      <c r="C3519" s="2" t="s">
        <v>20</v>
      </c>
      <c r="D3519" s="2">
        <v>70</v>
      </c>
      <c r="E3519" s="2" t="s">
        <v>26</v>
      </c>
      <c r="F3519" s="2" t="s">
        <v>16</v>
      </c>
      <c r="G3519" s="7">
        <v>109.5</v>
      </c>
      <c r="H3519" s="7">
        <v>7534.65</v>
      </c>
      <c r="I3519" s="2" t="s">
        <v>16</v>
      </c>
      <c r="J3519" s="2" t="s">
        <v>16</v>
      </c>
      <c r="K3519" s="2" t="s">
        <v>24</v>
      </c>
      <c r="L3519" s="7">
        <v>7534.65</v>
      </c>
      <c r="M3519" s="2" t="str">
        <f>_xlfn.IFS(TelecomData[[#This Row],[TenureMonths]]&lt;=12, "0-1 Year", TelecomData[[#This Row],[TenureMonths]]&lt;=36, "1-3 Years", TelecomData[[#This Row],[TenureMonths]]&gt;36, "3+ Years")</f>
        <v>3+ Years</v>
      </c>
      <c r="N3519" s="2" t="str">
        <f>IF(TelecomData[[#This Row],[CleanedTotalCharges]]&gt;=2500,"High Spend", "Standard Spend")</f>
        <v>High Spend</v>
      </c>
    </row>
    <row r="3520" spans="1:14" x14ac:dyDescent="0.3">
      <c r="A3520" s="1" t="s">
        <v>3544</v>
      </c>
      <c r="B3520" s="2" t="s">
        <v>19</v>
      </c>
      <c r="C3520" s="2" t="s">
        <v>13</v>
      </c>
      <c r="D3520" s="2">
        <v>1</v>
      </c>
      <c r="E3520" s="2" t="s">
        <v>15</v>
      </c>
      <c r="F3520" s="2" t="s">
        <v>36</v>
      </c>
      <c r="G3520" s="7">
        <v>19.45</v>
      </c>
      <c r="H3520" s="7">
        <v>19.45</v>
      </c>
      <c r="I3520" s="2" t="s">
        <v>15</v>
      </c>
      <c r="J3520" s="2" t="s">
        <v>15</v>
      </c>
      <c r="K3520" s="2" t="s">
        <v>21</v>
      </c>
      <c r="L3520" s="7">
        <v>19.45</v>
      </c>
      <c r="M3520" s="2" t="str">
        <f>_xlfn.IFS(TelecomData[[#This Row],[TenureMonths]]&lt;=12, "0-1 Year", TelecomData[[#This Row],[TenureMonths]]&lt;=36, "1-3 Years", TelecomData[[#This Row],[TenureMonths]]&gt;36, "3+ Years")</f>
        <v>0-1 Year</v>
      </c>
      <c r="N3520" s="2" t="str">
        <f>IF(TelecomData[[#This Row],[CleanedTotalCharges]]&gt;=2500,"High Spend", "Standard Spend")</f>
        <v>Standard Spend</v>
      </c>
    </row>
    <row r="3521" spans="1:14" x14ac:dyDescent="0.3">
      <c r="A3521" s="1" t="s">
        <v>3545</v>
      </c>
      <c r="B3521" s="2" t="s">
        <v>19</v>
      </c>
      <c r="C3521" s="2" t="s">
        <v>13</v>
      </c>
      <c r="D3521" s="2">
        <v>43</v>
      </c>
      <c r="E3521" s="2" t="s">
        <v>26</v>
      </c>
      <c r="F3521" s="2" t="s">
        <v>15</v>
      </c>
      <c r="G3521" s="7">
        <v>84.85</v>
      </c>
      <c r="H3521" s="7">
        <v>3645.6</v>
      </c>
      <c r="I3521" s="2" t="s">
        <v>15</v>
      </c>
      <c r="J3521" s="2" t="s">
        <v>16</v>
      </c>
      <c r="K3521" s="2" t="s">
        <v>17</v>
      </c>
      <c r="L3521" s="7">
        <v>3645.6</v>
      </c>
      <c r="M3521" s="2" t="str">
        <f>_xlfn.IFS(TelecomData[[#This Row],[TenureMonths]]&lt;=12, "0-1 Year", TelecomData[[#This Row],[TenureMonths]]&lt;=36, "1-3 Years", TelecomData[[#This Row],[TenureMonths]]&gt;36, "3+ Years")</f>
        <v>3+ Years</v>
      </c>
      <c r="N3521" s="2" t="str">
        <f>IF(TelecomData[[#This Row],[CleanedTotalCharges]]&gt;=2500,"High Spend", "Standard Spend")</f>
        <v>High Spend</v>
      </c>
    </row>
    <row r="3522" spans="1:14" x14ac:dyDescent="0.3">
      <c r="A3522" s="1" t="s">
        <v>3546</v>
      </c>
      <c r="B3522" s="2" t="s">
        <v>12</v>
      </c>
      <c r="C3522" s="2" t="s">
        <v>13</v>
      </c>
      <c r="D3522" s="2">
        <v>16</v>
      </c>
      <c r="E3522" s="2" t="s">
        <v>15</v>
      </c>
      <c r="F3522" s="2" t="s">
        <v>36</v>
      </c>
      <c r="G3522" s="7">
        <v>19.600000000000001</v>
      </c>
      <c r="H3522" s="7">
        <v>314.45</v>
      </c>
      <c r="I3522" s="2" t="s">
        <v>15</v>
      </c>
      <c r="J3522" s="2" t="s">
        <v>15</v>
      </c>
      <c r="K3522" s="2" t="s">
        <v>21</v>
      </c>
      <c r="L3522" s="7">
        <v>314.45</v>
      </c>
      <c r="M3522" s="2" t="str">
        <f>_xlfn.IFS(TelecomData[[#This Row],[TenureMonths]]&lt;=12, "0-1 Year", TelecomData[[#This Row],[TenureMonths]]&lt;=36, "1-3 Years", TelecomData[[#This Row],[TenureMonths]]&gt;36, "3+ Years")</f>
        <v>1-3 Years</v>
      </c>
      <c r="N3522" s="2" t="str">
        <f>IF(TelecomData[[#This Row],[CleanedTotalCharges]]&gt;=2500,"High Spend", "Standard Spend")</f>
        <v>Standard Spend</v>
      </c>
    </row>
    <row r="3523" spans="1:14" x14ac:dyDescent="0.3">
      <c r="A3523" s="1" t="s">
        <v>3547</v>
      </c>
      <c r="B3523" s="2" t="s">
        <v>12</v>
      </c>
      <c r="C3523" s="2" t="s">
        <v>20</v>
      </c>
      <c r="D3523" s="2">
        <v>57</v>
      </c>
      <c r="E3523" s="2" t="s">
        <v>14</v>
      </c>
      <c r="F3523" s="2" t="s">
        <v>15</v>
      </c>
      <c r="G3523" s="7">
        <v>53.45</v>
      </c>
      <c r="H3523" s="7">
        <v>3053</v>
      </c>
      <c r="I3523" s="2" t="s">
        <v>15</v>
      </c>
      <c r="J3523" s="2" t="s">
        <v>15</v>
      </c>
      <c r="K3523" s="2" t="s">
        <v>17</v>
      </c>
      <c r="L3523" s="7">
        <v>3053</v>
      </c>
      <c r="M3523" s="2" t="str">
        <f>_xlfn.IFS(TelecomData[[#This Row],[TenureMonths]]&lt;=12, "0-1 Year", TelecomData[[#This Row],[TenureMonths]]&lt;=36, "1-3 Years", TelecomData[[#This Row],[TenureMonths]]&gt;36, "3+ Years")</f>
        <v>3+ Years</v>
      </c>
      <c r="N3523" s="2" t="str">
        <f>IF(TelecomData[[#This Row],[CleanedTotalCharges]]&gt;=2500,"High Spend", "Standard Spend")</f>
        <v>High Spend</v>
      </c>
    </row>
    <row r="3524" spans="1:14" x14ac:dyDescent="0.3">
      <c r="A3524" s="1" t="s">
        <v>3548</v>
      </c>
      <c r="B3524" s="2" t="s">
        <v>19</v>
      </c>
      <c r="C3524" s="2" t="s">
        <v>20</v>
      </c>
      <c r="D3524" s="2">
        <v>37</v>
      </c>
      <c r="E3524" s="2" t="s">
        <v>15</v>
      </c>
      <c r="F3524" s="2" t="s">
        <v>36</v>
      </c>
      <c r="G3524" s="7">
        <v>19.8</v>
      </c>
      <c r="H3524" s="7">
        <v>677.05</v>
      </c>
      <c r="I3524" s="2" t="s">
        <v>15</v>
      </c>
      <c r="J3524" s="2" t="s">
        <v>15</v>
      </c>
      <c r="K3524" s="2" t="s">
        <v>29</v>
      </c>
      <c r="L3524" s="7">
        <v>677.05</v>
      </c>
      <c r="M3524" s="2" t="str">
        <f>_xlfn.IFS(TelecomData[[#This Row],[TenureMonths]]&lt;=12, "0-1 Year", TelecomData[[#This Row],[TenureMonths]]&lt;=36, "1-3 Years", TelecomData[[#This Row],[TenureMonths]]&gt;36, "3+ Years")</f>
        <v>3+ Years</v>
      </c>
      <c r="N3524" s="2" t="str">
        <f>IF(TelecomData[[#This Row],[CleanedTotalCharges]]&gt;=2500,"High Spend", "Standard Spend")</f>
        <v>Standard Spend</v>
      </c>
    </row>
    <row r="3525" spans="1:14" x14ac:dyDescent="0.3">
      <c r="A3525" s="1" t="s">
        <v>3549</v>
      </c>
      <c r="B3525" s="2" t="s">
        <v>12</v>
      </c>
      <c r="C3525" s="2" t="s">
        <v>35</v>
      </c>
      <c r="D3525" s="2">
        <v>72</v>
      </c>
      <c r="E3525" s="2" t="s">
        <v>26</v>
      </c>
      <c r="F3525" s="2" t="s">
        <v>16</v>
      </c>
      <c r="G3525" s="7">
        <v>112.1</v>
      </c>
      <c r="H3525" s="7">
        <v>7965.95</v>
      </c>
      <c r="I3525" s="2" t="s">
        <v>15</v>
      </c>
      <c r="J3525" s="2" t="s">
        <v>15</v>
      </c>
      <c r="K3525" s="2" t="s">
        <v>29</v>
      </c>
      <c r="L3525" s="7">
        <v>7965.95</v>
      </c>
      <c r="M3525" s="2" t="str">
        <f>_xlfn.IFS(TelecomData[[#This Row],[TenureMonths]]&lt;=12, "0-1 Year", TelecomData[[#This Row],[TenureMonths]]&lt;=36, "1-3 Years", TelecomData[[#This Row],[TenureMonths]]&gt;36, "3+ Years")</f>
        <v>3+ Years</v>
      </c>
      <c r="N3525" s="2" t="str">
        <f>IF(TelecomData[[#This Row],[CleanedTotalCharges]]&gt;=2500,"High Spend", "Standard Spend")</f>
        <v>High Spend</v>
      </c>
    </row>
    <row r="3526" spans="1:14" x14ac:dyDescent="0.3">
      <c r="A3526" s="1" t="s">
        <v>3550</v>
      </c>
      <c r="B3526" s="2" t="s">
        <v>12</v>
      </c>
      <c r="C3526" s="2" t="s">
        <v>13</v>
      </c>
      <c r="D3526" s="2">
        <v>11</v>
      </c>
      <c r="E3526" s="2" t="s">
        <v>26</v>
      </c>
      <c r="F3526" s="2" t="s">
        <v>15</v>
      </c>
      <c r="G3526" s="7">
        <v>84.8</v>
      </c>
      <c r="H3526" s="7">
        <v>906.85</v>
      </c>
      <c r="I3526" s="2" t="s">
        <v>16</v>
      </c>
      <c r="J3526" s="2" t="s">
        <v>16</v>
      </c>
      <c r="K3526" s="2" t="s">
        <v>29</v>
      </c>
      <c r="L3526" s="7">
        <v>906.85</v>
      </c>
      <c r="M3526" s="2" t="str">
        <f>_xlfn.IFS(TelecomData[[#This Row],[TenureMonths]]&lt;=12, "0-1 Year", TelecomData[[#This Row],[TenureMonths]]&lt;=36, "1-3 Years", TelecomData[[#This Row],[TenureMonths]]&gt;36, "3+ Years")</f>
        <v>0-1 Year</v>
      </c>
      <c r="N3526" s="2" t="str">
        <f>IF(TelecomData[[#This Row],[CleanedTotalCharges]]&gt;=2500,"High Spend", "Standard Spend")</f>
        <v>Standard Spend</v>
      </c>
    </row>
    <row r="3527" spans="1:14" x14ac:dyDescent="0.3">
      <c r="A3527" s="1" t="s">
        <v>3551</v>
      </c>
      <c r="B3527" s="2" t="s">
        <v>12</v>
      </c>
      <c r="C3527" s="2" t="s">
        <v>13</v>
      </c>
      <c r="D3527" s="2">
        <v>50</v>
      </c>
      <c r="E3527" s="2" t="s">
        <v>26</v>
      </c>
      <c r="F3527" s="2" t="s">
        <v>15</v>
      </c>
      <c r="G3527" s="7">
        <v>95.05</v>
      </c>
      <c r="H3527" s="7">
        <v>4888.7</v>
      </c>
      <c r="I3527" s="2" t="s">
        <v>16</v>
      </c>
      <c r="J3527" s="2" t="s">
        <v>16</v>
      </c>
      <c r="K3527" s="2" t="s">
        <v>17</v>
      </c>
      <c r="L3527" s="7">
        <v>4888.7</v>
      </c>
      <c r="M3527" s="2" t="str">
        <f>_xlfn.IFS(TelecomData[[#This Row],[TenureMonths]]&lt;=12, "0-1 Year", TelecomData[[#This Row],[TenureMonths]]&lt;=36, "1-3 Years", TelecomData[[#This Row],[TenureMonths]]&gt;36, "3+ Years")</f>
        <v>3+ Years</v>
      </c>
      <c r="N3527" s="2" t="str">
        <f>IF(TelecomData[[#This Row],[CleanedTotalCharges]]&gt;=2500,"High Spend", "Standard Spend")</f>
        <v>High Spend</v>
      </c>
    </row>
    <row r="3528" spans="1:14" x14ac:dyDescent="0.3">
      <c r="A3528" s="1" t="s">
        <v>3552</v>
      </c>
      <c r="B3528" s="2" t="s">
        <v>19</v>
      </c>
      <c r="C3528" s="2" t="s">
        <v>13</v>
      </c>
      <c r="D3528" s="2">
        <v>5</v>
      </c>
      <c r="E3528" s="2" t="s">
        <v>14</v>
      </c>
      <c r="F3528" s="2" t="s">
        <v>15</v>
      </c>
      <c r="G3528" s="7">
        <v>50.35</v>
      </c>
      <c r="H3528" s="7">
        <v>237.25</v>
      </c>
      <c r="I3528" s="2" t="s">
        <v>16</v>
      </c>
      <c r="J3528" s="2" t="s">
        <v>15</v>
      </c>
      <c r="K3528" s="2" t="s">
        <v>17</v>
      </c>
      <c r="L3528" s="7">
        <v>237.25</v>
      </c>
      <c r="M3528" s="2" t="str">
        <f>_xlfn.IFS(TelecomData[[#This Row],[TenureMonths]]&lt;=12, "0-1 Year", TelecomData[[#This Row],[TenureMonths]]&lt;=36, "1-3 Years", TelecomData[[#This Row],[TenureMonths]]&gt;36, "3+ Years")</f>
        <v>0-1 Year</v>
      </c>
      <c r="N3528" s="2" t="str">
        <f>IF(TelecomData[[#This Row],[CleanedTotalCharges]]&gt;=2500,"High Spend", "Standard Spend")</f>
        <v>Standard Spend</v>
      </c>
    </row>
    <row r="3529" spans="1:14" x14ac:dyDescent="0.3">
      <c r="A3529" s="1" t="s">
        <v>3553</v>
      </c>
      <c r="B3529" s="2" t="s">
        <v>19</v>
      </c>
      <c r="C3529" s="2" t="s">
        <v>13</v>
      </c>
      <c r="D3529" s="2">
        <v>1</v>
      </c>
      <c r="E3529" s="2" t="s">
        <v>26</v>
      </c>
      <c r="F3529" s="2" t="s">
        <v>15</v>
      </c>
      <c r="G3529" s="7">
        <v>74.599999999999994</v>
      </c>
      <c r="H3529" s="7">
        <v>74.599999999999994</v>
      </c>
      <c r="I3529" s="2" t="s">
        <v>16</v>
      </c>
      <c r="J3529" s="2" t="s">
        <v>16</v>
      </c>
      <c r="K3529" s="2" t="s">
        <v>24</v>
      </c>
      <c r="L3529" s="7">
        <v>74.599999999999994</v>
      </c>
      <c r="M3529" s="2" t="str">
        <f>_xlfn.IFS(TelecomData[[#This Row],[TenureMonths]]&lt;=12, "0-1 Year", TelecomData[[#This Row],[TenureMonths]]&lt;=36, "1-3 Years", TelecomData[[#This Row],[TenureMonths]]&gt;36, "3+ Years")</f>
        <v>0-1 Year</v>
      </c>
      <c r="N3529" s="2" t="str">
        <f>IF(TelecomData[[#This Row],[CleanedTotalCharges]]&gt;=2500,"High Spend", "Standard Spend")</f>
        <v>Standard Spend</v>
      </c>
    </row>
    <row r="3530" spans="1:14" x14ac:dyDescent="0.3">
      <c r="A3530" s="1" t="s">
        <v>3554</v>
      </c>
      <c r="B3530" s="2" t="s">
        <v>19</v>
      </c>
      <c r="C3530" s="2" t="s">
        <v>13</v>
      </c>
      <c r="D3530" s="2">
        <v>16</v>
      </c>
      <c r="E3530" s="2" t="s">
        <v>15</v>
      </c>
      <c r="F3530" s="2" t="s">
        <v>36</v>
      </c>
      <c r="G3530" s="7">
        <v>19.7</v>
      </c>
      <c r="H3530" s="7">
        <v>342.4</v>
      </c>
      <c r="I3530" s="2" t="s">
        <v>16</v>
      </c>
      <c r="J3530" s="2" t="s">
        <v>16</v>
      </c>
      <c r="K3530" s="2" t="s">
        <v>21</v>
      </c>
      <c r="L3530" s="7">
        <v>342.4</v>
      </c>
      <c r="M3530" s="2" t="str">
        <f>_xlfn.IFS(TelecomData[[#This Row],[TenureMonths]]&lt;=12, "0-1 Year", TelecomData[[#This Row],[TenureMonths]]&lt;=36, "1-3 Years", TelecomData[[#This Row],[TenureMonths]]&gt;36, "3+ Years")</f>
        <v>1-3 Years</v>
      </c>
      <c r="N3530" s="2" t="str">
        <f>IF(TelecomData[[#This Row],[CleanedTotalCharges]]&gt;=2500,"High Spend", "Standard Spend")</f>
        <v>Standard Spend</v>
      </c>
    </row>
    <row r="3531" spans="1:14" x14ac:dyDescent="0.3">
      <c r="A3531" s="1" t="s">
        <v>3555</v>
      </c>
      <c r="B3531" s="2" t="s">
        <v>19</v>
      </c>
      <c r="C3531" s="2" t="s">
        <v>13</v>
      </c>
      <c r="D3531" s="2">
        <v>2</v>
      </c>
      <c r="E3531" s="2" t="s">
        <v>26</v>
      </c>
      <c r="F3531" s="2" t="s">
        <v>15</v>
      </c>
      <c r="G3531" s="7">
        <v>74.2</v>
      </c>
      <c r="H3531" s="7">
        <v>140.1</v>
      </c>
      <c r="I3531" s="2" t="s">
        <v>15</v>
      </c>
      <c r="J3531" s="2" t="s">
        <v>16</v>
      </c>
      <c r="K3531" s="2" t="s">
        <v>17</v>
      </c>
      <c r="L3531" s="7">
        <v>140.1</v>
      </c>
      <c r="M3531" s="2" t="str">
        <f>_xlfn.IFS(TelecomData[[#This Row],[TenureMonths]]&lt;=12, "0-1 Year", TelecomData[[#This Row],[TenureMonths]]&lt;=36, "1-3 Years", TelecomData[[#This Row],[TenureMonths]]&gt;36, "3+ Years")</f>
        <v>0-1 Year</v>
      </c>
      <c r="N3531" s="2" t="str">
        <f>IF(TelecomData[[#This Row],[CleanedTotalCharges]]&gt;=2500,"High Spend", "Standard Spend")</f>
        <v>Standard Spend</v>
      </c>
    </row>
    <row r="3532" spans="1:14" x14ac:dyDescent="0.3">
      <c r="A3532" s="1" t="s">
        <v>3556</v>
      </c>
      <c r="B3532" s="2" t="s">
        <v>12</v>
      </c>
      <c r="C3532" s="2" t="s">
        <v>13</v>
      </c>
      <c r="D3532" s="2">
        <v>17</v>
      </c>
      <c r="E3532" s="2" t="s">
        <v>14</v>
      </c>
      <c r="F3532" s="2" t="s">
        <v>16</v>
      </c>
      <c r="G3532" s="7">
        <v>69</v>
      </c>
      <c r="H3532" s="7">
        <v>1108</v>
      </c>
      <c r="I3532" s="2" t="s">
        <v>15</v>
      </c>
      <c r="J3532" s="2" t="s">
        <v>16</v>
      </c>
      <c r="K3532" s="2" t="s">
        <v>21</v>
      </c>
      <c r="L3532" s="7">
        <v>1108</v>
      </c>
      <c r="M3532" s="2" t="str">
        <f>_xlfn.IFS(TelecomData[[#This Row],[TenureMonths]]&lt;=12, "0-1 Year", TelecomData[[#This Row],[TenureMonths]]&lt;=36, "1-3 Years", TelecomData[[#This Row],[TenureMonths]]&gt;36, "3+ Years")</f>
        <v>1-3 Years</v>
      </c>
      <c r="N3532" s="2" t="str">
        <f>IF(TelecomData[[#This Row],[CleanedTotalCharges]]&gt;=2500,"High Spend", "Standard Spend")</f>
        <v>Standard Spend</v>
      </c>
    </row>
    <row r="3533" spans="1:14" x14ac:dyDescent="0.3">
      <c r="A3533" s="1" t="s">
        <v>3557</v>
      </c>
      <c r="B3533" s="2" t="s">
        <v>12</v>
      </c>
      <c r="C3533" s="2" t="s">
        <v>20</v>
      </c>
      <c r="D3533" s="2">
        <v>16</v>
      </c>
      <c r="E3533" s="2" t="s">
        <v>15</v>
      </c>
      <c r="F3533" s="2" t="s">
        <v>36</v>
      </c>
      <c r="G3533" s="7">
        <v>19.350000000000001</v>
      </c>
      <c r="H3533" s="7">
        <v>295.55</v>
      </c>
      <c r="I3533" s="2" t="s">
        <v>15</v>
      </c>
      <c r="J3533" s="2" t="s">
        <v>15</v>
      </c>
      <c r="K3533" s="2" t="s">
        <v>29</v>
      </c>
      <c r="L3533" s="7">
        <v>295.55</v>
      </c>
      <c r="M3533" s="2" t="str">
        <f>_xlfn.IFS(TelecomData[[#This Row],[TenureMonths]]&lt;=12, "0-1 Year", TelecomData[[#This Row],[TenureMonths]]&lt;=36, "1-3 Years", TelecomData[[#This Row],[TenureMonths]]&gt;36, "3+ Years")</f>
        <v>1-3 Years</v>
      </c>
      <c r="N3533" s="2" t="str">
        <f>IF(TelecomData[[#This Row],[CleanedTotalCharges]]&gt;=2500,"High Spend", "Standard Spend")</f>
        <v>Standard Spend</v>
      </c>
    </row>
    <row r="3534" spans="1:14" x14ac:dyDescent="0.3">
      <c r="A3534" s="1" t="s">
        <v>3558</v>
      </c>
      <c r="B3534" s="2" t="s">
        <v>12</v>
      </c>
      <c r="C3534" s="2" t="s">
        <v>13</v>
      </c>
      <c r="D3534" s="2">
        <v>15</v>
      </c>
      <c r="E3534" s="2" t="s">
        <v>14</v>
      </c>
      <c r="F3534" s="2" t="s">
        <v>15</v>
      </c>
      <c r="G3534" s="7">
        <v>59.45</v>
      </c>
      <c r="H3534" s="7">
        <v>892.65</v>
      </c>
      <c r="I3534" s="2" t="s">
        <v>16</v>
      </c>
      <c r="J3534" s="2" t="s">
        <v>16</v>
      </c>
      <c r="K3534" s="2" t="s">
        <v>17</v>
      </c>
      <c r="L3534" s="7">
        <v>892.65</v>
      </c>
      <c r="M3534" s="2" t="str">
        <f>_xlfn.IFS(TelecomData[[#This Row],[TenureMonths]]&lt;=12, "0-1 Year", TelecomData[[#This Row],[TenureMonths]]&lt;=36, "1-3 Years", TelecomData[[#This Row],[TenureMonths]]&gt;36, "3+ Years")</f>
        <v>1-3 Years</v>
      </c>
      <c r="N3534" s="2" t="str">
        <f>IF(TelecomData[[#This Row],[CleanedTotalCharges]]&gt;=2500,"High Spend", "Standard Spend")</f>
        <v>Standard Spend</v>
      </c>
    </row>
    <row r="3535" spans="1:14" x14ac:dyDescent="0.3">
      <c r="A3535" s="1" t="s">
        <v>3559</v>
      </c>
      <c r="B3535" s="2" t="s">
        <v>12</v>
      </c>
      <c r="C3535" s="2" t="s">
        <v>20</v>
      </c>
      <c r="D3535" s="2">
        <v>10</v>
      </c>
      <c r="E3535" s="2" t="s">
        <v>15</v>
      </c>
      <c r="F3535" s="2" t="s">
        <v>36</v>
      </c>
      <c r="G3535" s="7">
        <v>19.8</v>
      </c>
      <c r="H3535" s="7">
        <v>198.25</v>
      </c>
      <c r="I3535" s="2" t="s">
        <v>15</v>
      </c>
      <c r="J3535" s="2" t="s">
        <v>16</v>
      </c>
      <c r="K3535" s="2" t="s">
        <v>21</v>
      </c>
      <c r="L3535" s="7">
        <v>198.25</v>
      </c>
      <c r="M3535" s="2" t="str">
        <f>_xlfn.IFS(TelecomData[[#This Row],[TenureMonths]]&lt;=12, "0-1 Year", TelecomData[[#This Row],[TenureMonths]]&lt;=36, "1-3 Years", TelecomData[[#This Row],[TenureMonths]]&gt;36, "3+ Years")</f>
        <v>0-1 Year</v>
      </c>
      <c r="N3535" s="2" t="str">
        <f>IF(TelecomData[[#This Row],[CleanedTotalCharges]]&gt;=2500,"High Spend", "Standard Spend")</f>
        <v>Standard Spend</v>
      </c>
    </row>
    <row r="3536" spans="1:14" x14ac:dyDescent="0.3">
      <c r="A3536" s="1" t="s">
        <v>3560</v>
      </c>
      <c r="B3536" s="2" t="s">
        <v>12</v>
      </c>
      <c r="C3536" s="2" t="s">
        <v>20</v>
      </c>
      <c r="D3536" s="2">
        <v>46</v>
      </c>
      <c r="E3536" s="2" t="s">
        <v>26</v>
      </c>
      <c r="F3536" s="2" t="s">
        <v>16</v>
      </c>
      <c r="G3536" s="7">
        <v>105.2</v>
      </c>
      <c r="H3536" s="7">
        <v>4822.8500000000004</v>
      </c>
      <c r="I3536" s="2" t="s">
        <v>16</v>
      </c>
      <c r="J3536" s="2" t="s">
        <v>16</v>
      </c>
      <c r="K3536" s="2" t="s">
        <v>24</v>
      </c>
      <c r="L3536" s="7">
        <v>4822.8500000000004</v>
      </c>
      <c r="M3536" s="2" t="str">
        <f>_xlfn.IFS(TelecomData[[#This Row],[TenureMonths]]&lt;=12, "0-1 Year", TelecomData[[#This Row],[TenureMonths]]&lt;=36, "1-3 Years", TelecomData[[#This Row],[TenureMonths]]&gt;36, "3+ Years")</f>
        <v>3+ Years</v>
      </c>
      <c r="N3536" s="2" t="str">
        <f>IF(TelecomData[[#This Row],[CleanedTotalCharges]]&gt;=2500,"High Spend", "Standard Spend")</f>
        <v>High Spend</v>
      </c>
    </row>
    <row r="3537" spans="1:14" x14ac:dyDescent="0.3">
      <c r="A3537" s="1" t="s">
        <v>3561</v>
      </c>
      <c r="B3537" s="2" t="s">
        <v>19</v>
      </c>
      <c r="C3537" s="2" t="s">
        <v>35</v>
      </c>
      <c r="D3537" s="2">
        <v>64</v>
      </c>
      <c r="E3537" s="2" t="s">
        <v>26</v>
      </c>
      <c r="F3537" s="2" t="s">
        <v>16</v>
      </c>
      <c r="G3537" s="7">
        <v>109.2</v>
      </c>
      <c r="H3537" s="7">
        <v>6741.15</v>
      </c>
      <c r="I3537" s="2" t="s">
        <v>15</v>
      </c>
      <c r="J3537" s="2" t="s">
        <v>16</v>
      </c>
      <c r="K3537" s="2" t="s">
        <v>29</v>
      </c>
      <c r="L3537" s="7">
        <v>6741.15</v>
      </c>
      <c r="M3537" s="2" t="str">
        <f>_xlfn.IFS(TelecomData[[#This Row],[TenureMonths]]&lt;=12, "0-1 Year", TelecomData[[#This Row],[TenureMonths]]&lt;=36, "1-3 Years", TelecomData[[#This Row],[TenureMonths]]&gt;36, "3+ Years")</f>
        <v>3+ Years</v>
      </c>
      <c r="N3537" s="2" t="str">
        <f>IF(TelecomData[[#This Row],[CleanedTotalCharges]]&gt;=2500,"High Spend", "Standard Spend")</f>
        <v>High Spend</v>
      </c>
    </row>
    <row r="3538" spans="1:14" x14ac:dyDescent="0.3">
      <c r="A3538" s="1" t="s">
        <v>3562</v>
      </c>
      <c r="B3538" s="2" t="s">
        <v>12</v>
      </c>
      <c r="C3538" s="2" t="s">
        <v>13</v>
      </c>
      <c r="D3538" s="2">
        <v>1</v>
      </c>
      <c r="E3538" s="2" t="s">
        <v>26</v>
      </c>
      <c r="F3538" s="2" t="s">
        <v>15</v>
      </c>
      <c r="G3538" s="7">
        <v>79.150000000000006</v>
      </c>
      <c r="H3538" s="7">
        <v>79.150000000000006</v>
      </c>
      <c r="I3538" s="2" t="s">
        <v>15</v>
      </c>
      <c r="J3538" s="2" t="s">
        <v>16</v>
      </c>
      <c r="K3538" s="2" t="s">
        <v>21</v>
      </c>
      <c r="L3538" s="7">
        <v>79.150000000000006</v>
      </c>
      <c r="M3538" s="2" t="str">
        <f>_xlfn.IFS(TelecomData[[#This Row],[TenureMonths]]&lt;=12, "0-1 Year", TelecomData[[#This Row],[TenureMonths]]&lt;=36, "1-3 Years", TelecomData[[#This Row],[TenureMonths]]&gt;36, "3+ Years")</f>
        <v>0-1 Year</v>
      </c>
      <c r="N3538" s="2" t="str">
        <f>IF(TelecomData[[#This Row],[CleanedTotalCharges]]&gt;=2500,"High Spend", "Standard Spend")</f>
        <v>Standard Spend</v>
      </c>
    </row>
    <row r="3539" spans="1:14" x14ac:dyDescent="0.3">
      <c r="A3539" s="1" t="s">
        <v>3563</v>
      </c>
      <c r="B3539" s="2" t="s">
        <v>19</v>
      </c>
      <c r="C3539" s="2" t="s">
        <v>20</v>
      </c>
      <c r="D3539" s="2">
        <v>25</v>
      </c>
      <c r="E3539" s="2" t="s">
        <v>14</v>
      </c>
      <c r="F3539" s="2" t="s">
        <v>15</v>
      </c>
      <c r="G3539" s="7">
        <v>53.65</v>
      </c>
      <c r="H3539" s="7">
        <v>1355.45</v>
      </c>
      <c r="I3539" s="2" t="s">
        <v>15</v>
      </c>
      <c r="J3539" s="2" t="s">
        <v>15</v>
      </c>
      <c r="K3539" s="2" t="s">
        <v>21</v>
      </c>
      <c r="L3539" s="7">
        <v>1355.45</v>
      </c>
      <c r="M3539" s="2" t="str">
        <f>_xlfn.IFS(TelecomData[[#This Row],[TenureMonths]]&lt;=12, "0-1 Year", TelecomData[[#This Row],[TenureMonths]]&lt;=36, "1-3 Years", TelecomData[[#This Row],[TenureMonths]]&gt;36, "3+ Years")</f>
        <v>1-3 Years</v>
      </c>
      <c r="N3539" s="2" t="str">
        <f>IF(TelecomData[[#This Row],[CleanedTotalCharges]]&gt;=2500,"High Spend", "Standard Spend")</f>
        <v>Standard Spend</v>
      </c>
    </row>
    <row r="3540" spans="1:14" x14ac:dyDescent="0.3">
      <c r="A3540" s="1" t="s">
        <v>3564</v>
      </c>
      <c r="B3540" s="2" t="s">
        <v>19</v>
      </c>
      <c r="C3540" s="2" t="s">
        <v>35</v>
      </c>
      <c r="D3540" s="2">
        <v>71</v>
      </c>
      <c r="E3540" s="2" t="s">
        <v>26</v>
      </c>
      <c r="F3540" s="2" t="s">
        <v>16</v>
      </c>
      <c r="G3540" s="7">
        <v>100.2</v>
      </c>
      <c r="H3540" s="7">
        <v>7209</v>
      </c>
      <c r="I3540" s="2" t="s">
        <v>15</v>
      </c>
      <c r="J3540" s="2" t="s">
        <v>15</v>
      </c>
      <c r="K3540" s="2" t="s">
        <v>29</v>
      </c>
      <c r="L3540" s="7">
        <v>7209</v>
      </c>
      <c r="M3540" s="2" t="str">
        <f>_xlfn.IFS(TelecomData[[#This Row],[TenureMonths]]&lt;=12, "0-1 Year", TelecomData[[#This Row],[TenureMonths]]&lt;=36, "1-3 Years", TelecomData[[#This Row],[TenureMonths]]&gt;36, "3+ Years")</f>
        <v>3+ Years</v>
      </c>
      <c r="N3540" s="2" t="str">
        <f>IF(TelecomData[[#This Row],[CleanedTotalCharges]]&gt;=2500,"High Spend", "Standard Spend")</f>
        <v>High Spend</v>
      </c>
    </row>
    <row r="3541" spans="1:14" x14ac:dyDescent="0.3">
      <c r="A3541" s="1" t="s">
        <v>3565</v>
      </c>
      <c r="B3541" s="2" t="s">
        <v>19</v>
      </c>
      <c r="C3541" s="2" t="s">
        <v>13</v>
      </c>
      <c r="D3541" s="2">
        <v>8</v>
      </c>
      <c r="E3541" s="2" t="s">
        <v>14</v>
      </c>
      <c r="F3541" s="2" t="s">
        <v>15</v>
      </c>
      <c r="G3541" s="7">
        <v>45.15</v>
      </c>
      <c r="H3541" s="7">
        <v>438.4</v>
      </c>
      <c r="I3541" s="2" t="s">
        <v>16</v>
      </c>
      <c r="J3541" s="2" t="s">
        <v>16</v>
      </c>
      <c r="K3541" s="2" t="s">
        <v>21</v>
      </c>
      <c r="L3541" s="7">
        <v>438.4</v>
      </c>
      <c r="M3541" s="2" t="str">
        <f>_xlfn.IFS(TelecomData[[#This Row],[TenureMonths]]&lt;=12, "0-1 Year", TelecomData[[#This Row],[TenureMonths]]&lt;=36, "1-3 Years", TelecomData[[#This Row],[TenureMonths]]&gt;36, "3+ Years")</f>
        <v>0-1 Year</v>
      </c>
      <c r="N3541" s="2" t="str">
        <f>IF(TelecomData[[#This Row],[CleanedTotalCharges]]&gt;=2500,"High Spend", "Standard Spend")</f>
        <v>Standard Spend</v>
      </c>
    </row>
    <row r="3542" spans="1:14" x14ac:dyDescent="0.3">
      <c r="A3542" s="1" t="s">
        <v>3566</v>
      </c>
      <c r="B3542" s="2" t="s">
        <v>12</v>
      </c>
      <c r="C3542" s="2" t="s">
        <v>35</v>
      </c>
      <c r="D3542" s="2">
        <v>72</v>
      </c>
      <c r="E3542" s="2" t="s">
        <v>26</v>
      </c>
      <c r="F3542" s="2" t="s">
        <v>16</v>
      </c>
      <c r="G3542" s="7">
        <v>108.65</v>
      </c>
      <c r="H3542" s="7">
        <v>7726.35</v>
      </c>
      <c r="I3542" s="2" t="s">
        <v>15</v>
      </c>
      <c r="J3542" s="2" t="s">
        <v>16</v>
      </c>
      <c r="K3542" s="2" t="s">
        <v>24</v>
      </c>
      <c r="L3542" s="7">
        <v>7726.35</v>
      </c>
      <c r="M3542" s="2" t="str">
        <f>_xlfn.IFS(TelecomData[[#This Row],[TenureMonths]]&lt;=12, "0-1 Year", TelecomData[[#This Row],[TenureMonths]]&lt;=36, "1-3 Years", TelecomData[[#This Row],[TenureMonths]]&gt;36, "3+ Years")</f>
        <v>3+ Years</v>
      </c>
      <c r="N3542" s="2" t="str">
        <f>IF(TelecomData[[#This Row],[CleanedTotalCharges]]&gt;=2500,"High Spend", "Standard Spend")</f>
        <v>High Spend</v>
      </c>
    </row>
    <row r="3543" spans="1:14" x14ac:dyDescent="0.3">
      <c r="A3543" s="1" t="s">
        <v>3567</v>
      </c>
      <c r="B3543" s="2" t="s">
        <v>12</v>
      </c>
      <c r="C3543" s="2" t="s">
        <v>13</v>
      </c>
      <c r="D3543" s="2">
        <v>49</v>
      </c>
      <c r="E3543" s="2" t="s">
        <v>14</v>
      </c>
      <c r="F3543" s="2" t="s">
        <v>15</v>
      </c>
      <c r="G3543" s="7">
        <v>40.65</v>
      </c>
      <c r="H3543" s="7">
        <v>2070.75</v>
      </c>
      <c r="I3543" s="2" t="s">
        <v>15</v>
      </c>
      <c r="J3543" s="2" t="s">
        <v>15</v>
      </c>
      <c r="K3543" s="2" t="s">
        <v>24</v>
      </c>
      <c r="L3543" s="7">
        <v>2070.75</v>
      </c>
      <c r="M3543" s="2" t="str">
        <f>_xlfn.IFS(TelecomData[[#This Row],[TenureMonths]]&lt;=12, "0-1 Year", TelecomData[[#This Row],[TenureMonths]]&lt;=36, "1-3 Years", TelecomData[[#This Row],[TenureMonths]]&gt;36, "3+ Years")</f>
        <v>3+ Years</v>
      </c>
      <c r="N3543" s="2" t="str">
        <f>IF(TelecomData[[#This Row],[CleanedTotalCharges]]&gt;=2500,"High Spend", "Standard Spend")</f>
        <v>Standard Spend</v>
      </c>
    </row>
    <row r="3544" spans="1:14" x14ac:dyDescent="0.3">
      <c r="A3544" s="1" t="s">
        <v>3568</v>
      </c>
      <c r="B3544" s="2" t="s">
        <v>19</v>
      </c>
      <c r="C3544" s="2" t="s">
        <v>20</v>
      </c>
      <c r="D3544" s="2">
        <v>29</v>
      </c>
      <c r="E3544" s="2" t="s">
        <v>14</v>
      </c>
      <c r="F3544" s="2" t="s">
        <v>16</v>
      </c>
      <c r="G3544" s="7">
        <v>55.35</v>
      </c>
      <c r="H3544" s="7">
        <v>1636.95</v>
      </c>
      <c r="I3544" s="2" t="s">
        <v>15</v>
      </c>
      <c r="J3544" s="2" t="s">
        <v>16</v>
      </c>
      <c r="K3544" s="2" t="s">
        <v>29</v>
      </c>
      <c r="L3544" s="7">
        <v>1636.95</v>
      </c>
      <c r="M3544" s="2" t="str">
        <f>_xlfn.IFS(TelecomData[[#This Row],[TenureMonths]]&lt;=12, "0-1 Year", TelecomData[[#This Row],[TenureMonths]]&lt;=36, "1-3 Years", TelecomData[[#This Row],[TenureMonths]]&gt;36, "3+ Years")</f>
        <v>1-3 Years</v>
      </c>
      <c r="N3544" s="2" t="str">
        <f>IF(TelecomData[[#This Row],[CleanedTotalCharges]]&gt;=2500,"High Spend", "Standard Spend")</f>
        <v>Standard Spend</v>
      </c>
    </row>
    <row r="3545" spans="1:14" x14ac:dyDescent="0.3">
      <c r="A3545" s="1" t="s">
        <v>3569</v>
      </c>
      <c r="B3545" s="2" t="s">
        <v>19</v>
      </c>
      <c r="C3545" s="2" t="s">
        <v>35</v>
      </c>
      <c r="D3545" s="2">
        <v>72</v>
      </c>
      <c r="E3545" s="2" t="s">
        <v>26</v>
      </c>
      <c r="F3545" s="2" t="s">
        <v>16</v>
      </c>
      <c r="G3545" s="7">
        <v>105.6</v>
      </c>
      <c r="H3545" s="7">
        <v>7581.5</v>
      </c>
      <c r="I3545" s="2" t="s">
        <v>15</v>
      </c>
      <c r="J3545" s="2" t="s">
        <v>15</v>
      </c>
      <c r="K3545" s="2" t="s">
        <v>24</v>
      </c>
      <c r="L3545" s="7">
        <v>7581.5</v>
      </c>
      <c r="M3545" s="2" t="str">
        <f>_xlfn.IFS(TelecomData[[#This Row],[TenureMonths]]&lt;=12, "0-1 Year", TelecomData[[#This Row],[TenureMonths]]&lt;=36, "1-3 Years", TelecomData[[#This Row],[TenureMonths]]&gt;36, "3+ Years")</f>
        <v>3+ Years</v>
      </c>
      <c r="N3545" s="2" t="str">
        <f>IF(TelecomData[[#This Row],[CleanedTotalCharges]]&gt;=2500,"High Spend", "Standard Spend")</f>
        <v>High Spend</v>
      </c>
    </row>
    <row r="3546" spans="1:14" x14ac:dyDescent="0.3">
      <c r="A3546" s="1" t="s">
        <v>3570</v>
      </c>
      <c r="B3546" s="2" t="s">
        <v>19</v>
      </c>
      <c r="C3546" s="2" t="s">
        <v>13</v>
      </c>
      <c r="D3546" s="2">
        <v>31</v>
      </c>
      <c r="E3546" s="2" t="s">
        <v>26</v>
      </c>
      <c r="F3546" s="2" t="s">
        <v>15</v>
      </c>
      <c r="G3546" s="7">
        <v>93.8</v>
      </c>
      <c r="H3546" s="7">
        <v>3019.5</v>
      </c>
      <c r="I3546" s="2" t="s">
        <v>16</v>
      </c>
      <c r="J3546" s="2" t="s">
        <v>15</v>
      </c>
      <c r="K3546" s="2" t="s">
        <v>17</v>
      </c>
      <c r="L3546" s="7">
        <v>3019.5</v>
      </c>
      <c r="M3546" s="2" t="str">
        <f>_xlfn.IFS(TelecomData[[#This Row],[TenureMonths]]&lt;=12, "0-1 Year", TelecomData[[#This Row],[TenureMonths]]&lt;=36, "1-3 Years", TelecomData[[#This Row],[TenureMonths]]&gt;36, "3+ Years")</f>
        <v>1-3 Years</v>
      </c>
      <c r="N3546" s="2" t="str">
        <f>IF(TelecomData[[#This Row],[CleanedTotalCharges]]&gt;=2500,"High Spend", "Standard Spend")</f>
        <v>High Spend</v>
      </c>
    </row>
    <row r="3547" spans="1:14" x14ac:dyDescent="0.3">
      <c r="A3547" s="1" t="s">
        <v>3571</v>
      </c>
      <c r="B3547" s="2" t="s">
        <v>12</v>
      </c>
      <c r="C3547" s="2" t="s">
        <v>13</v>
      </c>
      <c r="D3547" s="2">
        <v>50</v>
      </c>
      <c r="E3547" s="2" t="s">
        <v>26</v>
      </c>
      <c r="F3547" s="2" t="s">
        <v>15</v>
      </c>
      <c r="G3547" s="7">
        <v>95.7</v>
      </c>
      <c r="H3547" s="7">
        <v>4729.75</v>
      </c>
      <c r="I3547" s="2" t="s">
        <v>15</v>
      </c>
      <c r="J3547" s="2" t="s">
        <v>16</v>
      </c>
      <c r="K3547" s="2" t="s">
        <v>17</v>
      </c>
      <c r="L3547" s="7">
        <v>4729.75</v>
      </c>
      <c r="M3547" s="2" t="str">
        <f>_xlfn.IFS(TelecomData[[#This Row],[TenureMonths]]&lt;=12, "0-1 Year", TelecomData[[#This Row],[TenureMonths]]&lt;=36, "1-3 Years", TelecomData[[#This Row],[TenureMonths]]&gt;36, "3+ Years")</f>
        <v>3+ Years</v>
      </c>
      <c r="N3547" s="2" t="str">
        <f>IF(TelecomData[[#This Row],[CleanedTotalCharges]]&gt;=2500,"High Spend", "Standard Spend")</f>
        <v>High Spend</v>
      </c>
    </row>
    <row r="3548" spans="1:14" x14ac:dyDescent="0.3">
      <c r="A3548" s="1" t="s">
        <v>3572</v>
      </c>
      <c r="B3548" s="2" t="s">
        <v>19</v>
      </c>
      <c r="C3548" s="2" t="s">
        <v>35</v>
      </c>
      <c r="D3548" s="2">
        <v>71</v>
      </c>
      <c r="E3548" s="2" t="s">
        <v>14</v>
      </c>
      <c r="F3548" s="2" t="s">
        <v>16</v>
      </c>
      <c r="G3548" s="7">
        <v>83.2</v>
      </c>
      <c r="H3548" s="7">
        <v>6126.1</v>
      </c>
      <c r="I3548" s="2" t="s">
        <v>15</v>
      </c>
      <c r="J3548" s="2" t="s">
        <v>15</v>
      </c>
      <c r="K3548" s="2" t="s">
        <v>17</v>
      </c>
      <c r="L3548" s="7">
        <v>6126.1</v>
      </c>
      <c r="M3548" s="2" t="str">
        <f>_xlfn.IFS(TelecomData[[#This Row],[TenureMonths]]&lt;=12, "0-1 Year", TelecomData[[#This Row],[TenureMonths]]&lt;=36, "1-3 Years", TelecomData[[#This Row],[TenureMonths]]&gt;36, "3+ Years")</f>
        <v>3+ Years</v>
      </c>
      <c r="N3548" s="2" t="str">
        <f>IF(TelecomData[[#This Row],[CleanedTotalCharges]]&gt;=2500,"High Spend", "Standard Spend")</f>
        <v>High Spend</v>
      </c>
    </row>
    <row r="3549" spans="1:14" x14ac:dyDescent="0.3">
      <c r="A3549" s="1" t="s">
        <v>3573</v>
      </c>
      <c r="B3549" s="2" t="s">
        <v>19</v>
      </c>
      <c r="C3549" s="2" t="s">
        <v>35</v>
      </c>
      <c r="D3549" s="2">
        <v>70</v>
      </c>
      <c r="E3549" s="2" t="s">
        <v>14</v>
      </c>
      <c r="F3549" s="2" t="s">
        <v>16</v>
      </c>
      <c r="G3549" s="7">
        <v>90.05</v>
      </c>
      <c r="H3549" s="7">
        <v>6333.4</v>
      </c>
      <c r="I3549" s="2" t="s">
        <v>15</v>
      </c>
      <c r="J3549" s="2" t="s">
        <v>15</v>
      </c>
      <c r="K3549" s="2" t="s">
        <v>29</v>
      </c>
      <c r="L3549" s="7">
        <v>6333.4</v>
      </c>
      <c r="M3549" s="2" t="str">
        <f>_xlfn.IFS(TelecomData[[#This Row],[TenureMonths]]&lt;=12, "0-1 Year", TelecomData[[#This Row],[TenureMonths]]&lt;=36, "1-3 Years", TelecomData[[#This Row],[TenureMonths]]&gt;36, "3+ Years")</f>
        <v>3+ Years</v>
      </c>
      <c r="N3549" s="2" t="str">
        <f>IF(TelecomData[[#This Row],[CleanedTotalCharges]]&gt;=2500,"High Spend", "Standard Spend")</f>
        <v>High Spend</v>
      </c>
    </row>
    <row r="3550" spans="1:14" x14ac:dyDescent="0.3">
      <c r="A3550" s="1" t="s">
        <v>3574</v>
      </c>
      <c r="B3550" s="2" t="s">
        <v>19</v>
      </c>
      <c r="C3550" s="2" t="s">
        <v>20</v>
      </c>
      <c r="D3550" s="2">
        <v>71</v>
      </c>
      <c r="E3550" s="2" t="s">
        <v>26</v>
      </c>
      <c r="F3550" s="2" t="s">
        <v>16</v>
      </c>
      <c r="G3550" s="7">
        <v>97.65</v>
      </c>
      <c r="H3550" s="7">
        <v>6687.85</v>
      </c>
      <c r="I3550" s="2" t="s">
        <v>15</v>
      </c>
      <c r="J3550" s="2" t="s">
        <v>15</v>
      </c>
      <c r="K3550" s="2" t="s">
        <v>29</v>
      </c>
      <c r="L3550" s="7">
        <v>6687.85</v>
      </c>
      <c r="M3550" s="2" t="str">
        <f>_xlfn.IFS(TelecomData[[#This Row],[TenureMonths]]&lt;=12, "0-1 Year", TelecomData[[#This Row],[TenureMonths]]&lt;=36, "1-3 Years", TelecomData[[#This Row],[TenureMonths]]&gt;36, "3+ Years")</f>
        <v>3+ Years</v>
      </c>
      <c r="N3550" s="2" t="str">
        <f>IF(TelecomData[[#This Row],[CleanedTotalCharges]]&gt;=2500,"High Spend", "Standard Spend")</f>
        <v>High Spend</v>
      </c>
    </row>
    <row r="3551" spans="1:14" x14ac:dyDescent="0.3">
      <c r="A3551" s="1" t="s">
        <v>3575</v>
      </c>
      <c r="B3551" s="2" t="s">
        <v>19</v>
      </c>
      <c r="C3551" s="2" t="s">
        <v>35</v>
      </c>
      <c r="D3551" s="2">
        <v>61</v>
      </c>
      <c r="E3551" s="2" t="s">
        <v>14</v>
      </c>
      <c r="F3551" s="2" t="s">
        <v>16</v>
      </c>
      <c r="G3551" s="7">
        <v>68.05</v>
      </c>
      <c r="H3551" s="7">
        <v>4158.25</v>
      </c>
      <c r="I3551" s="2" t="s">
        <v>15</v>
      </c>
      <c r="J3551" s="2" t="s">
        <v>16</v>
      </c>
      <c r="K3551" s="2" t="s">
        <v>24</v>
      </c>
      <c r="L3551" s="7">
        <v>4158.25</v>
      </c>
      <c r="M3551" s="2" t="str">
        <f>_xlfn.IFS(TelecomData[[#This Row],[TenureMonths]]&lt;=12, "0-1 Year", TelecomData[[#This Row],[TenureMonths]]&lt;=36, "1-3 Years", TelecomData[[#This Row],[TenureMonths]]&gt;36, "3+ Years")</f>
        <v>3+ Years</v>
      </c>
      <c r="N3551" s="2" t="str">
        <f>IF(TelecomData[[#This Row],[CleanedTotalCharges]]&gt;=2500,"High Spend", "Standard Spend")</f>
        <v>High Spend</v>
      </c>
    </row>
    <row r="3552" spans="1:14" x14ac:dyDescent="0.3">
      <c r="A3552" s="1" t="s">
        <v>3576</v>
      </c>
      <c r="B3552" s="2" t="s">
        <v>19</v>
      </c>
      <c r="C3552" s="2" t="s">
        <v>13</v>
      </c>
      <c r="D3552" s="2">
        <v>32</v>
      </c>
      <c r="E3552" s="2" t="s">
        <v>26</v>
      </c>
      <c r="F3552" s="2" t="s">
        <v>16</v>
      </c>
      <c r="G3552" s="7">
        <v>96.2</v>
      </c>
      <c r="H3552" s="7">
        <v>3183.4</v>
      </c>
      <c r="I3552" s="2" t="s">
        <v>16</v>
      </c>
      <c r="J3552" s="2" t="s">
        <v>16</v>
      </c>
      <c r="K3552" s="2" t="s">
        <v>17</v>
      </c>
      <c r="L3552" s="7">
        <v>3183.4</v>
      </c>
      <c r="M3552" s="2" t="str">
        <f>_xlfn.IFS(TelecomData[[#This Row],[TenureMonths]]&lt;=12, "0-1 Year", TelecomData[[#This Row],[TenureMonths]]&lt;=36, "1-3 Years", TelecomData[[#This Row],[TenureMonths]]&gt;36, "3+ Years")</f>
        <v>1-3 Years</v>
      </c>
      <c r="N3552" s="2" t="str">
        <f>IF(TelecomData[[#This Row],[CleanedTotalCharges]]&gt;=2500,"High Spend", "Standard Spend")</f>
        <v>High Spend</v>
      </c>
    </row>
    <row r="3553" spans="1:14" x14ac:dyDescent="0.3">
      <c r="A3553" s="1" t="s">
        <v>3577</v>
      </c>
      <c r="B3553" s="2" t="s">
        <v>12</v>
      </c>
      <c r="C3553" s="2" t="s">
        <v>13</v>
      </c>
      <c r="D3553" s="2">
        <v>1</v>
      </c>
      <c r="E3553" s="2" t="s">
        <v>26</v>
      </c>
      <c r="F3553" s="2" t="s">
        <v>15</v>
      </c>
      <c r="G3553" s="7">
        <v>79.599999999999994</v>
      </c>
      <c r="H3553" s="7">
        <v>79.599999999999994</v>
      </c>
      <c r="I3553" s="2" t="s">
        <v>16</v>
      </c>
      <c r="J3553" s="2" t="s">
        <v>16</v>
      </c>
      <c r="K3553" s="2" t="s">
        <v>17</v>
      </c>
      <c r="L3553" s="7">
        <v>79.599999999999994</v>
      </c>
      <c r="M3553" s="2" t="str">
        <f>_xlfn.IFS(TelecomData[[#This Row],[TenureMonths]]&lt;=12, "0-1 Year", TelecomData[[#This Row],[TenureMonths]]&lt;=36, "1-3 Years", TelecomData[[#This Row],[TenureMonths]]&gt;36, "3+ Years")</f>
        <v>0-1 Year</v>
      </c>
      <c r="N3553" s="2" t="str">
        <f>IF(TelecomData[[#This Row],[CleanedTotalCharges]]&gt;=2500,"High Spend", "Standard Spend")</f>
        <v>Standard Spend</v>
      </c>
    </row>
    <row r="3554" spans="1:14" x14ac:dyDescent="0.3">
      <c r="A3554" s="1" t="s">
        <v>3578</v>
      </c>
      <c r="B3554" s="2" t="s">
        <v>19</v>
      </c>
      <c r="C3554" s="2" t="s">
        <v>35</v>
      </c>
      <c r="D3554" s="2">
        <v>68</v>
      </c>
      <c r="E3554" s="2" t="s">
        <v>26</v>
      </c>
      <c r="F3554" s="2" t="s">
        <v>15</v>
      </c>
      <c r="G3554" s="7">
        <v>102.1</v>
      </c>
      <c r="H3554" s="7">
        <v>7149.35</v>
      </c>
      <c r="I3554" s="2" t="s">
        <v>15</v>
      </c>
      <c r="J3554" s="2" t="s">
        <v>16</v>
      </c>
      <c r="K3554" s="2" t="s">
        <v>24</v>
      </c>
      <c r="L3554" s="7">
        <v>7149.35</v>
      </c>
      <c r="M3554" s="2" t="str">
        <f>_xlfn.IFS(TelecomData[[#This Row],[TenureMonths]]&lt;=12, "0-1 Year", TelecomData[[#This Row],[TenureMonths]]&lt;=36, "1-3 Years", TelecomData[[#This Row],[TenureMonths]]&gt;36, "3+ Years")</f>
        <v>3+ Years</v>
      </c>
      <c r="N3554" s="2" t="str">
        <f>IF(TelecomData[[#This Row],[CleanedTotalCharges]]&gt;=2500,"High Spend", "Standard Spend")</f>
        <v>High Spend</v>
      </c>
    </row>
    <row r="3555" spans="1:14" x14ac:dyDescent="0.3">
      <c r="A3555" s="1" t="s">
        <v>3579</v>
      </c>
      <c r="B3555" s="2" t="s">
        <v>19</v>
      </c>
      <c r="C3555" s="2" t="s">
        <v>35</v>
      </c>
      <c r="D3555" s="2">
        <v>62</v>
      </c>
      <c r="E3555" s="2" t="s">
        <v>15</v>
      </c>
      <c r="F3555" s="2" t="s">
        <v>36</v>
      </c>
      <c r="G3555" s="7">
        <v>23.4</v>
      </c>
      <c r="H3555" s="7">
        <v>1429.65</v>
      </c>
      <c r="I3555" s="2" t="s">
        <v>15</v>
      </c>
      <c r="J3555" s="2" t="s">
        <v>15</v>
      </c>
      <c r="K3555" s="2" t="s">
        <v>24</v>
      </c>
      <c r="L3555" s="7">
        <v>1429.65</v>
      </c>
      <c r="M3555" s="2" t="str">
        <f>_xlfn.IFS(TelecomData[[#This Row],[TenureMonths]]&lt;=12, "0-1 Year", TelecomData[[#This Row],[TenureMonths]]&lt;=36, "1-3 Years", TelecomData[[#This Row],[TenureMonths]]&gt;36, "3+ Years")</f>
        <v>3+ Years</v>
      </c>
      <c r="N3555" s="2" t="str">
        <f>IF(TelecomData[[#This Row],[CleanedTotalCharges]]&gt;=2500,"High Spend", "Standard Spend")</f>
        <v>Standard Spend</v>
      </c>
    </row>
    <row r="3556" spans="1:14" x14ac:dyDescent="0.3">
      <c r="A3556" s="1" t="s">
        <v>3580</v>
      </c>
      <c r="B3556" s="2" t="s">
        <v>12</v>
      </c>
      <c r="C3556" s="2" t="s">
        <v>13</v>
      </c>
      <c r="D3556" s="2">
        <v>7</v>
      </c>
      <c r="E3556" s="2" t="s">
        <v>26</v>
      </c>
      <c r="F3556" s="2" t="s">
        <v>15</v>
      </c>
      <c r="G3556" s="7">
        <v>71.05</v>
      </c>
      <c r="H3556" s="7">
        <v>472.65</v>
      </c>
      <c r="I3556" s="2" t="s">
        <v>15</v>
      </c>
      <c r="J3556" s="2" t="s">
        <v>16</v>
      </c>
      <c r="K3556" s="2" t="s">
        <v>17</v>
      </c>
      <c r="L3556" s="7">
        <v>472.65</v>
      </c>
      <c r="M3556" s="2" t="str">
        <f>_xlfn.IFS(TelecomData[[#This Row],[TenureMonths]]&lt;=12, "0-1 Year", TelecomData[[#This Row],[TenureMonths]]&lt;=36, "1-3 Years", TelecomData[[#This Row],[TenureMonths]]&gt;36, "3+ Years")</f>
        <v>0-1 Year</v>
      </c>
      <c r="N3556" s="2" t="str">
        <f>IF(TelecomData[[#This Row],[CleanedTotalCharges]]&gt;=2500,"High Spend", "Standard Spend")</f>
        <v>Standard Spend</v>
      </c>
    </row>
    <row r="3557" spans="1:14" x14ac:dyDescent="0.3">
      <c r="A3557" s="1" t="s">
        <v>3581</v>
      </c>
      <c r="B3557" s="2" t="s">
        <v>19</v>
      </c>
      <c r="C3557" s="2" t="s">
        <v>13</v>
      </c>
      <c r="D3557" s="2">
        <v>20</v>
      </c>
      <c r="E3557" s="2" t="s">
        <v>26</v>
      </c>
      <c r="F3557" s="2" t="s">
        <v>15</v>
      </c>
      <c r="G3557" s="7">
        <v>85.25</v>
      </c>
      <c r="H3557" s="7">
        <v>1734.5</v>
      </c>
      <c r="I3557" s="2" t="s">
        <v>16</v>
      </c>
      <c r="J3557" s="2" t="s">
        <v>16</v>
      </c>
      <c r="K3557" s="2" t="s">
        <v>17</v>
      </c>
      <c r="L3557" s="7">
        <v>1734.5</v>
      </c>
      <c r="M3557" s="2" t="str">
        <f>_xlfn.IFS(TelecomData[[#This Row],[TenureMonths]]&lt;=12, "0-1 Year", TelecomData[[#This Row],[TenureMonths]]&lt;=36, "1-3 Years", TelecomData[[#This Row],[TenureMonths]]&gt;36, "3+ Years")</f>
        <v>1-3 Years</v>
      </c>
      <c r="N3557" s="2" t="str">
        <f>IF(TelecomData[[#This Row],[CleanedTotalCharges]]&gt;=2500,"High Spend", "Standard Spend")</f>
        <v>Standard Spend</v>
      </c>
    </row>
    <row r="3558" spans="1:14" x14ac:dyDescent="0.3">
      <c r="A3558" s="1" t="s">
        <v>3582</v>
      </c>
      <c r="B3558" s="2" t="s">
        <v>19</v>
      </c>
      <c r="C3558" s="2" t="s">
        <v>20</v>
      </c>
      <c r="D3558" s="2">
        <v>6</v>
      </c>
      <c r="E3558" s="2" t="s">
        <v>15</v>
      </c>
      <c r="F3558" s="2" t="s">
        <v>36</v>
      </c>
      <c r="G3558" s="7">
        <v>19.45</v>
      </c>
      <c r="H3558" s="7">
        <v>113.5</v>
      </c>
      <c r="I3558" s="2" t="s">
        <v>15</v>
      </c>
      <c r="J3558" s="2" t="s">
        <v>15</v>
      </c>
      <c r="K3558" s="2" t="s">
        <v>21</v>
      </c>
      <c r="L3558" s="7">
        <v>113.5</v>
      </c>
      <c r="M3558" s="2" t="str">
        <f>_xlfn.IFS(TelecomData[[#This Row],[TenureMonths]]&lt;=12, "0-1 Year", TelecomData[[#This Row],[TenureMonths]]&lt;=36, "1-3 Years", TelecomData[[#This Row],[TenureMonths]]&gt;36, "3+ Years")</f>
        <v>0-1 Year</v>
      </c>
      <c r="N3558" s="2" t="str">
        <f>IF(TelecomData[[#This Row],[CleanedTotalCharges]]&gt;=2500,"High Spend", "Standard Spend")</f>
        <v>Standard Spend</v>
      </c>
    </row>
    <row r="3559" spans="1:14" x14ac:dyDescent="0.3">
      <c r="A3559" s="1" t="s">
        <v>3583</v>
      </c>
      <c r="B3559" s="2" t="s">
        <v>12</v>
      </c>
      <c r="C3559" s="2" t="s">
        <v>13</v>
      </c>
      <c r="D3559" s="2">
        <v>33</v>
      </c>
      <c r="E3559" s="2" t="s">
        <v>14</v>
      </c>
      <c r="F3559" s="2" t="s">
        <v>15</v>
      </c>
      <c r="G3559" s="7">
        <v>59.45</v>
      </c>
      <c r="H3559" s="7">
        <v>1884.65</v>
      </c>
      <c r="I3559" s="2" t="s">
        <v>15</v>
      </c>
      <c r="J3559" s="2" t="s">
        <v>16</v>
      </c>
      <c r="K3559" s="2" t="s">
        <v>24</v>
      </c>
      <c r="L3559" s="7">
        <v>1884.65</v>
      </c>
      <c r="M3559" s="2" t="str">
        <f>_xlfn.IFS(TelecomData[[#This Row],[TenureMonths]]&lt;=12, "0-1 Year", TelecomData[[#This Row],[TenureMonths]]&lt;=36, "1-3 Years", TelecomData[[#This Row],[TenureMonths]]&gt;36, "3+ Years")</f>
        <v>1-3 Years</v>
      </c>
      <c r="N3559" s="2" t="str">
        <f>IF(TelecomData[[#This Row],[CleanedTotalCharges]]&gt;=2500,"High Spend", "Standard Spend")</f>
        <v>Standard Spend</v>
      </c>
    </row>
    <row r="3560" spans="1:14" x14ac:dyDescent="0.3">
      <c r="A3560" s="1" t="s">
        <v>3584</v>
      </c>
      <c r="B3560" s="2" t="s">
        <v>19</v>
      </c>
      <c r="C3560" s="2" t="s">
        <v>20</v>
      </c>
      <c r="D3560" s="2">
        <v>28</v>
      </c>
      <c r="E3560" s="2" t="s">
        <v>26</v>
      </c>
      <c r="F3560" s="2" t="s">
        <v>15</v>
      </c>
      <c r="G3560" s="7">
        <v>92.2</v>
      </c>
      <c r="H3560" s="7">
        <v>2568.15</v>
      </c>
      <c r="I3560" s="2" t="s">
        <v>15</v>
      </c>
      <c r="J3560" s="2" t="s">
        <v>15</v>
      </c>
      <c r="K3560" s="2" t="s">
        <v>24</v>
      </c>
      <c r="L3560" s="7">
        <v>2568.15</v>
      </c>
      <c r="M3560" s="2" t="str">
        <f>_xlfn.IFS(TelecomData[[#This Row],[TenureMonths]]&lt;=12, "0-1 Year", TelecomData[[#This Row],[TenureMonths]]&lt;=36, "1-3 Years", TelecomData[[#This Row],[TenureMonths]]&gt;36, "3+ Years")</f>
        <v>1-3 Years</v>
      </c>
      <c r="N3560" s="2" t="str">
        <f>IF(TelecomData[[#This Row],[CleanedTotalCharges]]&gt;=2500,"High Spend", "Standard Spend")</f>
        <v>High Spend</v>
      </c>
    </row>
    <row r="3561" spans="1:14" x14ac:dyDescent="0.3">
      <c r="A3561" s="1" t="s">
        <v>3585</v>
      </c>
      <c r="B3561" s="2" t="s">
        <v>19</v>
      </c>
      <c r="C3561" s="2" t="s">
        <v>35</v>
      </c>
      <c r="D3561" s="2">
        <v>27</v>
      </c>
      <c r="E3561" s="2" t="s">
        <v>15</v>
      </c>
      <c r="F3561" s="2" t="s">
        <v>36</v>
      </c>
      <c r="G3561" s="7">
        <v>19.850000000000001</v>
      </c>
      <c r="H3561" s="7">
        <v>470</v>
      </c>
      <c r="I3561" s="2" t="s">
        <v>15</v>
      </c>
      <c r="J3561" s="2" t="s">
        <v>15</v>
      </c>
      <c r="K3561" s="2" t="s">
        <v>29</v>
      </c>
      <c r="L3561" s="7">
        <v>470</v>
      </c>
      <c r="M3561" s="2" t="str">
        <f>_xlfn.IFS(TelecomData[[#This Row],[TenureMonths]]&lt;=12, "0-1 Year", TelecomData[[#This Row],[TenureMonths]]&lt;=36, "1-3 Years", TelecomData[[#This Row],[TenureMonths]]&gt;36, "3+ Years")</f>
        <v>1-3 Years</v>
      </c>
      <c r="N3561" s="2" t="str">
        <f>IF(TelecomData[[#This Row],[CleanedTotalCharges]]&gt;=2500,"High Spend", "Standard Spend")</f>
        <v>Standard Spend</v>
      </c>
    </row>
    <row r="3562" spans="1:14" x14ac:dyDescent="0.3">
      <c r="A3562" s="1" t="s">
        <v>3586</v>
      </c>
      <c r="B3562" s="2" t="s">
        <v>19</v>
      </c>
      <c r="C3562" s="2" t="s">
        <v>13</v>
      </c>
      <c r="D3562" s="2">
        <v>7</v>
      </c>
      <c r="E3562" s="2" t="s">
        <v>14</v>
      </c>
      <c r="F3562" s="2" t="s">
        <v>15</v>
      </c>
      <c r="G3562" s="7">
        <v>43.9</v>
      </c>
      <c r="H3562" s="7">
        <v>278.39999999999998</v>
      </c>
      <c r="I3562" s="2" t="s">
        <v>15</v>
      </c>
      <c r="J3562" s="2" t="s">
        <v>15</v>
      </c>
      <c r="K3562" s="2" t="s">
        <v>21</v>
      </c>
      <c r="L3562" s="7">
        <v>278.39999999999998</v>
      </c>
      <c r="M3562" s="2" t="str">
        <f>_xlfn.IFS(TelecomData[[#This Row],[TenureMonths]]&lt;=12, "0-1 Year", TelecomData[[#This Row],[TenureMonths]]&lt;=36, "1-3 Years", TelecomData[[#This Row],[TenureMonths]]&gt;36, "3+ Years")</f>
        <v>0-1 Year</v>
      </c>
      <c r="N3562" s="2" t="str">
        <f>IF(TelecomData[[#This Row],[CleanedTotalCharges]]&gt;=2500,"High Spend", "Standard Spend")</f>
        <v>Standard Spend</v>
      </c>
    </row>
    <row r="3563" spans="1:14" x14ac:dyDescent="0.3">
      <c r="A3563" s="1" t="s">
        <v>3587</v>
      </c>
      <c r="B3563" s="2" t="s">
        <v>19</v>
      </c>
      <c r="C3563" s="2" t="s">
        <v>13</v>
      </c>
      <c r="D3563" s="2">
        <v>26</v>
      </c>
      <c r="E3563" s="2" t="s">
        <v>26</v>
      </c>
      <c r="F3563" s="2" t="s">
        <v>16</v>
      </c>
      <c r="G3563" s="7">
        <v>80.5</v>
      </c>
      <c r="H3563" s="7">
        <v>2088.8000000000002</v>
      </c>
      <c r="I3563" s="2" t="s">
        <v>16</v>
      </c>
      <c r="J3563" s="2" t="s">
        <v>16</v>
      </c>
      <c r="K3563" s="2" t="s">
        <v>17</v>
      </c>
      <c r="L3563" s="7">
        <v>2088.8000000000002</v>
      </c>
      <c r="M3563" s="2" t="str">
        <f>_xlfn.IFS(TelecomData[[#This Row],[TenureMonths]]&lt;=12, "0-1 Year", TelecomData[[#This Row],[TenureMonths]]&lt;=36, "1-3 Years", TelecomData[[#This Row],[TenureMonths]]&gt;36, "3+ Years")</f>
        <v>1-3 Years</v>
      </c>
      <c r="N3563" s="2" t="str">
        <f>IF(TelecomData[[#This Row],[CleanedTotalCharges]]&gt;=2500,"High Spend", "Standard Spend")</f>
        <v>Standard Spend</v>
      </c>
    </row>
    <row r="3564" spans="1:14" x14ac:dyDescent="0.3">
      <c r="A3564" s="1" t="s">
        <v>3588</v>
      </c>
      <c r="B3564" s="2" t="s">
        <v>19</v>
      </c>
      <c r="C3564" s="2" t="s">
        <v>13</v>
      </c>
      <c r="D3564" s="2">
        <v>5</v>
      </c>
      <c r="E3564" s="2" t="s">
        <v>26</v>
      </c>
      <c r="F3564" s="2" t="s">
        <v>15</v>
      </c>
      <c r="G3564" s="7">
        <v>89.8</v>
      </c>
      <c r="H3564" s="7">
        <v>502.6</v>
      </c>
      <c r="I3564" s="2" t="s">
        <v>16</v>
      </c>
      <c r="J3564" s="2" t="s">
        <v>16</v>
      </c>
      <c r="K3564" s="2" t="s">
        <v>17</v>
      </c>
      <c r="L3564" s="7">
        <v>502.6</v>
      </c>
      <c r="M3564" s="2" t="str">
        <f>_xlfn.IFS(TelecomData[[#This Row],[TenureMonths]]&lt;=12, "0-1 Year", TelecomData[[#This Row],[TenureMonths]]&lt;=36, "1-3 Years", TelecomData[[#This Row],[TenureMonths]]&gt;36, "3+ Years")</f>
        <v>0-1 Year</v>
      </c>
      <c r="N3564" s="2" t="str">
        <f>IF(TelecomData[[#This Row],[CleanedTotalCharges]]&gt;=2500,"High Spend", "Standard Spend")</f>
        <v>Standard Spend</v>
      </c>
    </row>
    <row r="3565" spans="1:14" x14ac:dyDescent="0.3">
      <c r="A3565" s="1" t="s">
        <v>3589</v>
      </c>
      <c r="B3565" s="2" t="s">
        <v>19</v>
      </c>
      <c r="C3565" s="2" t="s">
        <v>13</v>
      </c>
      <c r="D3565" s="2">
        <v>30</v>
      </c>
      <c r="E3565" s="2" t="s">
        <v>26</v>
      </c>
      <c r="F3565" s="2" t="s">
        <v>15</v>
      </c>
      <c r="G3565" s="7">
        <v>90.5</v>
      </c>
      <c r="H3565" s="7">
        <v>2595.85</v>
      </c>
      <c r="I3565" s="2" t="s">
        <v>15</v>
      </c>
      <c r="J3565" s="2" t="s">
        <v>16</v>
      </c>
      <c r="K3565" s="2" t="s">
        <v>29</v>
      </c>
      <c r="L3565" s="7">
        <v>2595.85</v>
      </c>
      <c r="M3565" s="2" t="str">
        <f>_xlfn.IFS(TelecomData[[#This Row],[TenureMonths]]&lt;=12, "0-1 Year", TelecomData[[#This Row],[TenureMonths]]&lt;=36, "1-3 Years", TelecomData[[#This Row],[TenureMonths]]&gt;36, "3+ Years")</f>
        <v>1-3 Years</v>
      </c>
      <c r="N3565" s="2" t="str">
        <f>IF(TelecomData[[#This Row],[CleanedTotalCharges]]&gt;=2500,"High Spend", "Standard Spend")</f>
        <v>High Spend</v>
      </c>
    </row>
    <row r="3566" spans="1:14" x14ac:dyDescent="0.3">
      <c r="A3566" s="1" t="s">
        <v>3590</v>
      </c>
      <c r="B3566" s="2" t="s">
        <v>19</v>
      </c>
      <c r="C3566" s="2" t="s">
        <v>20</v>
      </c>
      <c r="D3566" s="2">
        <v>63</v>
      </c>
      <c r="E3566" s="2" t="s">
        <v>26</v>
      </c>
      <c r="F3566" s="2" t="s">
        <v>15</v>
      </c>
      <c r="G3566" s="7">
        <v>90.45</v>
      </c>
      <c r="H3566" s="7">
        <v>5825.5</v>
      </c>
      <c r="I3566" s="2" t="s">
        <v>15</v>
      </c>
      <c r="J3566" s="2" t="s">
        <v>15</v>
      </c>
      <c r="K3566" s="2" t="s">
        <v>29</v>
      </c>
      <c r="L3566" s="7">
        <v>5825.5</v>
      </c>
      <c r="M3566" s="2" t="str">
        <f>_xlfn.IFS(TelecomData[[#This Row],[TenureMonths]]&lt;=12, "0-1 Year", TelecomData[[#This Row],[TenureMonths]]&lt;=36, "1-3 Years", TelecomData[[#This Row],[TenureMonths]]&gt;36, "3+ Years")</f>
        <v>3+ Years</v>
      </c>
      <c r="N3566" s="2" t="str">
        <f>IF(TelecomData[[#This Row],[CleanedTotalCharges]]&gt;=2500,"High Spend", "Standard Spend")</f>
        <v>High Spend</v>
      </c>
    </row>
    <row r="3567" spans="1:14" x14ac:dyDescent="0.3">
      <c r="A3567" s="1" t="s">
        <v>3591</v>
      </c>
      <c r="B3567" s="2" t="s">
        <v>19</v>
      </c>
      <c r="C3567" s="2" t="s">
        <v>13</v>
      </c>
      <c r="D3567" s="2">
        <v>1</v>
      </c>
      <c r="E3567" s="2" t="s">
        <v>14</v>
      </c>
      <c r="F3567" s="2" t="s">
        <v>15</v>
      </c>
      <c r="G3567" s="7">
        <v>50.75</v>
      </c>
      <c r="H3567" s="7">
        <v>50.75</v>
      </c>
      <c r="I3567" s="2" t="s">
        <v>16</v>
      </c>
      <c r="J3567" s="2" t="s">
        <v>16</v>
      </c>
      <c r="K3567" s="2" t="s">
        <v>17</v>
      </c>
      <c r="L3567" s="7">
        <v>50.75</v>
      </c>
      <c r="M3567" s="2" t="str">
        <f>_xlfn.IFS(TelecomData[[#This Row],[TenureMonths]]&lt;=12, "0-1 Year", TelecomData[[#This Row],[TenureMonths]]&lt;=36, "1-3 Years", TelecomData[[#This Row],[TenureMonths]]&gt;36, "3+ Years")</f>
        <v>0-1 Year</v>
      </c>
      <c r="N3567" s="2" t="str">
        <f>IF(TelecomData[[#This Row],[CleanedTotalCharges]]&gt;=2500,"High Spend", "Standard Spend")</f>
        <v>Standard Spend</v>
      </c>
    </row>
    <row r="3568" spans="1:14" x14ac:dyDescent="0.3">
      <c r="A3568" s="1" t="s">
        <v>3592</v>
      </c>
      <c r="B3568" s="2" t="s">
        <v>12</v>
      </c>
      <c r="C3568" s="2" t="s">
        <v>20</v>
      </c>
      <c r="D3568" s="2">
        <v>53</v>
      </c>
      <c r="E3568" s="2" t="s">
        <v>14</v>
      </c>
      <c r="F3568" s="2" t="s">
        <v>16</v>
      </c>
      <c r="G3568" s="7">
        <v>84.6</v>
      </c>
      <c r="H3568" s="7">
        <v>4449.75</v>
      </c>
      <c r="I3568" s="2" t="s">
        <v>15</v>
      </c>
      <c r="J3568" s="2" t="s">
        <v>16</v>
      </c>
      <c r="K3568" s="2" t="s">
        <v>17</v>
      </c>
      <c r="L3568" s="7">
        <v>4449.75</v>
      </c>
      <c r="M3568" s="2" t="str">
        <f>_xlfn.IFS(TelecomData[[#This Row],[TenureMonths]]&lt;=12, "0-1 Year", TelecomData[[#This Row],[TenureMonths]]&lt;=36, "1-3 Years", TelecomData[[#This Row],[TenureMonths]]&gt;36, "3+ Years")</f>
        <v>3+ Years</v>
      </c>
      <c r="N3568" s="2" t="str">
        <f>IF(TelecomData[[#This Row],[CleanedTotalCharges]]&gt;=2500,"High Spend", "Standard Spend")</f>
        <v>High Spend</v>
      </c>
    </row>
    <row r="3569" spans="1:14" x14ac:dyDescent="0.3">
      <c r="A3569" s="1" t="s">
        <v>3593</v>
      </c>
      <c r="B3569" s="2" t="s">
        <v>12</v>
      </c>
      <c r="C3569" s="2" t="s">
        <v>13</v>
      </c>
      <c r="D3569" s="2">
        <v>14</v>
      </c>
      <c r="E3569" s="2" t="s">
        <v>26</v>
      </c>
      <c r="F3569" s="2" t="s">
        <v>16</v>
      </c>
      <c r="G3569" s="7">
        <v>89.65</v>
      </c>
      <c r="H3569" s="7">
        <v>1208.3499999999999</v>
      </c>
      <c r="I3569" s="2" t="s">
        <v>16</v>
      </c>
      <c r="J3569" s="2" t="s">
        <v>16</v>
      </c>
      <c r="K3569" s="2" t="s">
        <v>29</v>
      </c>
      <c r="L3569" s="7">
        <v>1208.3499999999999</v>
      </c>
      <c r="M3569" s="2" t="str">
        <f>_xlfn.IFS(TelecomData[[#This Row],[TenureMonths]]&lt;=12, "0-1 Year", TelecomData[[#This Row],[TenureMonths]]&lt;=36, "1-3 Years", TelecomData[[#This Row],[TenureMonths]]&gt;36, "3+ Years")</f>
        <v>1-3 Years</v>
      </c>
      <c r="N3569" s="2" t="str">
        <f>IF(TelecomData[[#This Row],[CleanedTotalCharges]]&gt;=2500,"High Spend", "Standard Spend")</f>
        <v>Standard Spend</v>
      </c>
    </row>
    <row r="3570" spans="1:14" x14ac:dyDescent="0.3">
      <c r="A3570" s="1" t="s">
        <v>3594</v>
      </c>
      <c r="B3570" s="2" t="s">
        <v>12</v>
      </c>
      <c r="C3570" s="2" t="s">
        <v>13</v>
      </c>
      <c r="D3570" s="2">
        <v>21</v>
      </c>
      <c r="E3570" s="2" t="s">
        <v>26</v>
      </c>
      <c r="F3570" s="2" t="s">
        <v>16</v>
      </c>
      <c r="G3570" s="7">
        <v>99.15</v>
      </c>
      <c r="H3570" s="7">
        <v>1956.4</v>
      </c>
      <c r="I3570" s="2" t="s">
        <v>15</v>
      </c>
      <c r="J3570" s="2" t="s">
        <v>16</v>
      </c>
      <c r="K3570" s="2" t="s">
        <v>24</v>
      </c>
      <c r="L3570" s="7">
        <v>1956.4</v>
      </c>
      <c r="M3570" s="2" t="str">
        <f>_xlfn.IFS(TelecomData[[#This Row],[TenureMonths]]&lt;=12, "0-1 Year", TelecomData[[#This Row],[TenureMonths]]&lt;=36, "1-3 Years", TelecomData[[#This Row],[TenureMonths]]&gt;36, "3+ Years")</f>
        <v>1-3 Years</v>
      </c>
      <c r="N3570" s="2" t="str">
        <f>IF(TelecomData[[#This Row],[CleanedTotalCharges]]&gt;=2500,"High Spend", "Standard Spend")</f>
        <v>Standard Spend</v>
      </c>
    </row>
    <row r="3571" spans="1:14" x14ac:dyDescent="0.3">
      <c r="A3571" s="1" t="s">
        <v>3595</v>
      </c>
      <c r="B3571" s="2" t="s">
        <v>19</v>
      </c>
      <c r="C3571" s="2" t="s">
        <v>20</v>
      </c>
      <c r="D3571" s="2">
        <v>17</v>
      </c>
      <c r="E3571" s="2" t="s">
        <v>15</v>
      </c>
      <c r="F3571" s="2" t="s">
        <v>36</v>
      </c>
      <c r="G3571" s="7">
        <v>19.95</v>
      </c>
      <c r="H3571" s="7">
        <v>310.60000000000002</v>
      </c>
      <c r="I3571" s="2" t="s">
        <v>15</v>
      </c>
      <c r="J3571" s="2" t="s">
        <v>15</v>
      </c>
      <c r="K3571" s="2" t="s">
        <v>21</v>
      </c>
      <c r="L3571" s="7">
        <v>310.60000000000002</v>
      </c>
      <c r="M3571" s="2" t="str">
        <f>_xlfn.IFS(TelecomData[[#This Row],[TenureMonths]]&lt;=12, "0-1 Year", TelecomData[[#This Row],[TenureMonths]]&lt;=36, "1-3 Years", TelecomData[[#This Row],[TenureMonths]]&gt;36, "3+ Years")</f>
        <v>1-3 Years</v>
      </c>
      <c r="N3571" s="2" t="str">
        <f>IF(TelecomData[[#This Row],[CleanedTotalCharges]]&gt;=2500,"High Spend", "Standard Spend")</f>
        <v>Standard Spend</v>
      </c>
    </row>
    <row r="3572" spans="1:14" x14ac:dyDescent="0.3">
      <c r="A3572" s="1" t="s">
        <v>3596</v>
      </c>
      <c r="B3572" s="2" t="s">
        <v>19</v>
      </c>
      <c r="C3572" s="2" t="s">
        <v>35</v>
      </c>
      <c r="D3572" s="2">
        <v>16</v>
      </c>
      <c r="E3572" s="2" t="s">
        <v>15</v>
      </c>
      <c r="F3572" s="2" t="s">
        <v>36</v>
      </c>
      <c r="G3572" s="7">
        <v>20.5</v>
      </c>
      <c r="H3572" s="7">
        <v>290.55</v>
      </c>
      <c r="I3572" s="2" t="s">
        <v>15</v>
      </c>
      <c r="J3572" s="2" t="s">
        <v>15</v>
      </c>
      <c r="K3572" s="2" t="s">
        <v>21</v>
      </c>
      <c r="L3572" s="7">
        <v>290.55</v>
      </c>
      <c r="M3572" s="2" t="str">
        <f>_xlfn.IFS(TelecomData[[#This Row],[TenureMonths]]&lt;=12, "0-1 Year", TelecomData[[#This Row],[TenureMonths]]&lt;=36, "1-3 Years", TelecomData[[#This Row],[TenureMonths]]&gt;36, "3+ Years")</f>
        <v>1-3 Years</v>
      </c>
      <c r="N3572" s="2" t="str">
        <f>IF(TelecomData[[#This Row],[CleanedTotalCharges]]&gt;=2500,"High Spend", "Standard Spend")</f>
        <v>Standard Spend</v>
      </c>
    </row>
    <row r="3573" spans="1:14" x14ac:dyDescent="0.3">
      <c r="A3573" s="1" t="s">
        <v>3597</v>
      </c>
      <c r="B3573" s="2" t="s">
        <v>12</v>
      </c>
      <c r="C3573" s="2" t="s">
        <v>13</v>
      </c>
      <c r="D3573" s="2">
        <v>35</v>
      </c>
      <c r="E3573" s="2" t="s">
        <v>14</v>
      </c>
      <c r="F3573" s="2" t="s">
        <v>15</v>
      </c>
      <c r="G3573" s="7">
        <v>62.1</v>
      </c>
      <c r="H3573" s="7">
        <v>2096.1</v>
      </c>
      <c r="I3573" s="2" t="s">
        <v>15</v>
      </c>
      <c r="J3573" s="2" t="s">
        <v>16</v>
      </c>
      <c r="K3573" s="2" t="s">
        <v>17</v>
      </c>
      <c r="L3573" s="7">
        <v>2096.1</v>
      </c>
      <c r="M3573" s="2" t="str">
        <f>_xlfn.IFS(TelecomData[[#This Row],[TenureMonths]]&lt;=12, "0-1 Year", TelecomData[[#This Row],[TenureMonths]]&lt;=36, "1-3 Years", TelecomData[[#This Row],[TenureMonths]]&gt;36, "3+ Years")</f>
        <v>1-3 Years</v>
      </c>
      <c r="N3573" s="2" t="str">
        <f>IF(TelecomData[[#This Row],[CleanedTotalCharges]]&gt;=2500,"High Spend", "Standard Spend")</f>
        <v>Standard Spend</v>
      </c>
    </row>
    <row r="3574" spans="1:14" x14ac:dyDescent="0.3">
      <c r="A3574" s="1" t="s">
        <v>3598</v>
      </c>
      <c r="B3574" s="2" t="s">
        <v>12</v>
      </c>
      <c r="C3574" s="2" t="s">
        <v>13</v>
      </c>
      <c r="D3574" s="2">
        <v>32</v>
      </c>
      <c r="E3574" s="2" t="s">
        <v>26</v>
      </c>
      <c r="F3574" s="2" t="s">
        <v>15</v>
      </c>
      <c r="G3574" s="7">
        <v>79.5</v>
      </c>
      <c r="H3574" s="7">
        <v>2665</v>
      </c>
      <c r="I3574" s="2" t="s">
        <v>15</v>
      </c>
      <c r="J3574" s="2" t="s">
        <v>16</v>
      </c>
      <c r="K3574" s="2" t="s">
        <v>17</v>
      </c>
      <c r="L3574" s="7">
        <v>2665</v>
      </c>
      <c r="M3574" s="2" t="str">
        <f>_xlfn.IFS(TelecomData[[#This Row],[TenureMonths]]&lt;=12, "0-1 Year", TelecomData[[#This Row],[TenureMonths]]&lt;=36, "1-3 Years", TelecomData[[#This Row],[TenureMonths]]&gt;36, "3+ Years")</f>
        <v>1-3 Years</v>
      </c>
      <c r="N3574" s="2" t="str">
        <f>IF(TelecomData[[#This Row],[CleanedTotalCharges]]&gt;=2500,"High Spend", "Standard Spend")</f>
        <v>High Spend</v>
      </c>
    </row>
    <row r="3575" spans="1:14" x14ac:dyDescent="0.3">
      <c r="A3575" s="1" t="s">
        <v>3599</v>
      </c>
      <c r="B3575" s="2" t="s">
        <v>12</v>
      </c>
      <c r="C3575" s="2" t="s">
        <v>13</v>
      </c>
      <c r="D3575" s="2">
        <v>28</v>
      </c>
      <c r="E3575" s="2" t="s">
        <v>15</v>
      </c>
      <c r="F3575" s="2" t="s">
        <v>36</v>
      </c>
      <c r="G3575" s="7">
        <v>19.55</v>
      </c>
      <c r="H3575" s="7">
        <v>543.79999999999995</v>
      </c>
      <c r="I3575" s="2" t="s">
        <v>15</v>
      </c>
      <c r="J3575" s="2" t="s">
        <v>16</v>
      </c>
      <c r="K3575" s="2" t="s">
        <v>24</v>
      </c>
      <c r="L3575" s="7">
        <v>543.79999999999995</v>
      </c>
      <c r="M3575" s="2" t="str">
        <f>_xlfn.IFS(TelecomData[[#This Row],[TenureMonths]]&lt;=12, "0-1 Year", TelecomData[[#This Row],[TenureMonths]]&lt;=36, "1-3 Years", TelecomData[[#This Row],[TenureMonths]]&gt;36, "3+ Years")</f>
        <v>1-3 Years</v>
      </c>
      <c r="N3575" s="2" t="str">
        <f>IF(TelecomData[[#This Row],[CleanedTotalCharges]]&gt;=2500,"High Spend", "Standard Spend")</f>
        <v>Standard Spend</v>
      </c>
    </row>
    <row r="3576" spans="1:14" x14ac:dyDescent="0.3">
      <c r="A3576" s="1" t="s">
        <v>3600</v>
      </c>
      <c r="B3576" s="2" t="s">
        <v>12</v>
      </c>
      <c r="C3576" s="2" t="s">
        <v>13</v>
      </c>
      <c r="D3576" s="2">
        <v>1</v>
      </c>
      <c r="E3576" s="2" t="s">
        <v>15</v>
      </c>
      <c r="F3576" s="2" t="s">
        <v>36</v>
      </c>
      <c r="G3576" s="7">
        <v>20.350000000000001</v>
      </c>
      <c r="H3576" s="7">
        <v>20.350000000000001</v>
      </c>
      <c r="I3576" s="2" t="s">
        <v>15</v>
      </c>
      <c r="J3576" s="2" t="s">
        <v>16</v>
      </c>
      <c r="K3576" s="2" t="s">
        <v>21</v>
      </c>
      <c r="L3576" s="7">
        <v>20.350000000000001</v>
      </c>
      <c r="M3576" s="2" t="str">
        <f>_xlfn.IFS(TelecomData[[#This Row],[TenureMonths]]&lt;=12, "0-1 Year", TelecomData[[#This Row],[TenureMonths]]&lt;=36, "1-3 Years", TelecomData[[#This Row],[TenureMonths]]&gt;36, "3+ Years")</f>
        <v>0-1 Year</v>
      </c>
      <c r="N3576" s="2" t="str">
        <f>IF(TelecomData[[#This Row],[CleanedTotalCharges]]&gt;=2500,"High Spend", "Standard Spend")</f>
        <v>Standard Spend</v>
      </c>
    </row>
    <row r="3577" spans="1:14" x14ac:dyDescent="0.3">
      <c r="A3577" s="1" t="s">
        <v>3601</v>
      </c>
      <c r="B3577" s="2" t="s">
        <v>19</v>
      </c>
      <c r="C3577" s="2" t="s">
        <v>13</v>
      </c>
      <c r="D3577" s="2">
        <v>59</v>
      </c>
      <c r="E3577" s="2" t="s">
        <v>14</v>
      </c>
      <c r="F3577" s="2" t="s">
        <v>16</v>
      </c>
      <c r="G3577" s="7">
        <v>51.7</v>
      </c>
      <c r="H3577" s="7">
        <v>3005.8</v>
      </c>
      <c r="I3577" s="2" t="s">
        <v>15</v>
      </c>
      <c r="J3577" s="2" t="s">
        <v>16</v>
      </c>
      <c r="K3577" s="2" t="s">
        <v>17</v>
      </c>
      <c r="L3577" s="7">
        <v>3005.8</v>
      </c>
      <c r="M3577" s="2" t="str">
        <f>_xlfn.IFS(TelecomData[[#This Row],[TenureMonths]]&lt;=12, "0-1 Year", TelecomData[[#This Row],[TenureMonths]]&lt;=36, "1-3 Years", TelecomData[[#This Row],[TenureMonths]]&gt;36, "3+ Years")</f>
        <v>3+ Years</v>
      </c>
      <c r="N3577" s="2" t="str">
        <f>IF(TelecomData[[#This Row],[CleanedTotalCharges]]&gt;=2500,"High Spend", "Standard Spend")</f>
        <v>High Spend</v>
      </c>
    </row>
    <row r="3578" spans="1:14" x14ac:dyDescent="0.3">
      <c r="A3578" s="1" t="s">
        <v>3602</v>
      </c>
      <c r="B3578" s="2" t="s">
        <v>12</v>
      </c>
      <c r="C3578" s="2" t="s">
        <v>20</v>
      </c>
      <c r="D3578" s="2">
        <v>72</v>
      </c>
      <c r="E3578" s="2" t="s">
        <v>15</v>
      </c>
      <c r="F3578" s="2" t="s">
        <v>36</v>
      </c>
      <c r="G3578" s="7">
        <v>23.3</v>
      </c>
      <c r="H3578" s="7">
        <v>1623.15</v>
      </c>
      <c r="I3578" s="2" t="s">
        <v>15</v>
      </c>
      <c r="J3578" s="2" t="s">
        <v>16</v>
      </c>
      <c r="K3578" s="2" t="s">
        <v>24</v>
      </c>
      <c r="L3578" s="7">
        <v>1623.15</v>
      </c>
      <c r="M3578" s="2" t="str">
        <f>_xlfn.IFS(TelecomData[[#This Row],[TenureMonths]]&lt;=12, "0-1 Year", TelecomData[[#This Row],[TenureMonths]]&lt;=36, "1-3 Years", TelecomData[[#This Row],[TenureMonths]]&gt;36, "3+ Years")</f>
        <v>3+ Years</v>
      </c>
      <c r="N3578" s="2" t="str">
        <f>IF(TelecomData[[#This Row],[CleanedTotalCharges]]&gt;=2500,"High Spend", "Standard Spend")</f>
        <v>Standard Spend</v>
      </c>
    </row>
    <row r="3579" spans="1:14" x14ac:dyDescent="0.3">
      <c r="A3579" s="1" t="s">
        <v>3603</v>
      </c>
      <c r="B3579" s="2" t="s">
        <v>19</v>
      </c>
      <c r="C3579" s="2" t="s">
        <v>20</v>
      </c>
      <c r="D3579" s="2">
        <v>36</v>
      </c>
      <c r="E3579" s="2" t="s">
        <v>14</v>
      </c>
      <c r="F3579" s="2" t="s">
        <v>16</v>
      </c>
      <c r="G3579" s="7">
        <v>65.400000000000006</v>
      </c>
      <c r="H3579" s="7">
        <v>2498.4</v>
      </c>
      <c r="I3579" s="2" t="s">
        <v>16</v>
      </c>
      <c r="J3579" s="2" t="s">
        <v>16</v>
      </c>
      <c r="K3579" s="2" t="s">
        <v>21</v>
      </c>
      <c r="L3579" s="7">
        <v>2498.4</v>
      </c>
      <c r="M3579" s="2" t="str">
        <f>_xlfn.IFS(TelecomData[[#This Row],[TenureMonths]]&lt;=12, "0-1 Year", TelecomData[[#This Row],[TenureMonths]]&lt;=36, "1-3 Years", TelecomData[[#This Row],[TenureMonths]]&gt;36, "3+ Years")</f>
        <v>1-3 Years</v>
      </c>
      <c r="N3579" s="2" t="str">
        <f>IF(TelecomData[[#This Row],[CleanedTotalCharges]]&gt;=2500,"High Spend", "Standard Spend")</f>
        <v>Standard Spend</v>
      </c>
    </row>
    <row r="3580" spans="1:14" x14ac:dyDescent="0.3">
      <c r="A3580" s="1" t="s">
        <v>3604</v>
      </c>
      <c r="B3580" s="2" t="s">
        <v>12</v>
      </c>
      <c r="C3580" s="2" t="s">
        <v>13</v>
      </c>
      <c r="D3580" s="2">
        <v>40</v>
      </c>
      <c r="E3580" s="2" t="s">
        <v>14</v>
      </c>
      <c r="F3580" s="2" t="s">
        <v>15</v>
      </c>
      <c r="G3580" s="7">
        <v>65.099999999999994</v>
      </c>
      <c r="H3580" s="7">
        <v>2586</v>
      </c>
      <c r="I3580" s="2" t="s">
        <v>15</v>
      </c>
      <c r="J3580" s="2" t="s">
        <v>15</v>
      </c>
      <c r="K3580" s="2" t="s">
        <v>21</v>
      </c>
      <c r="L3580" s="7">
        <v>2586</v>
      </c>
      <c r="M3580" s="2" t="str">
        <f>_xlfn.IFS(TelecomData[[#This Row],[TenureMonths]]&lt;=12, "0-1 Year", TelecomData[[#This Row],[TenureMonths]]&lt;=36, "1-3 Years", TelecomData[[#This Row],[TenureMonths]]&gt;36, "3+ Years")</f>
        <v>3+ Years</v>
      </c>
      <c r="N3580" s="2" t="str">
        <f>IF(TelecomData[[#This Row],[CleanedTotalCharges]]&gt;=2500,"High Spend", "Standard Spend")</f>
        <v>High Spend</v>
      </c>
    </row>
    <row r="3581" spans="1:14" x14ac:dyDescent="0.3">
      <c r="A3581" s="1" t="s">
        <v>3605</v>
      </c>
      <c r="B3581" s="2" t="s">
        <v>19</v>
      </c>
      <c r="C3581" s="2" t="s">
        <v>13</v>
      </c>
      <c r="D3581" s="2">
        <v>40</v>
      </c>
      <c r="E3581" s="2" t="s">
        <v>26</v>
      </c>
      <c r="F3581" s="2" t="s">
        <v>15</v>
      </c>
      <c r="G3581" s="7">
        <v>81.2</v>
      </c>
      <c r="H3581" s="7">
        <v>3292.3</v>
      </c>
      <c r="I3581" s="2" t="s">
        <v>15</v>
      </c>
      <c r="J3581" s="2" t="s">
        <v>16</v>
      </c>
      <c r="K3581" s="2" t="s">
        <v>17</v>
      </c>
      <c r="L3581" s="7">
        <v>3292.3</v>
      </c>
      <c r="M3581" s="2" t="str">
        <f>_xlfn.IFS(TelecomData[[#This Row],[TenureMonths]]&lt;=12, "0-1 Year", TelecomData[[#This Row],[TenureMonths]]&lt;=36, "1-3 Years", TelecomData[[#This Row],[TenureMonths]]&gt;36, "3+ Years")</f>
        <v>3+ Years</v>
      </c>
      <c r="N3581" s="2" t="str">
        <f>IF(TelecomData[[#This Row],[CleanedTotalCharges]]&gt;=2500,"High Spend", "Standard Spend")</f>
        <v>High Spend</v>
      </c>
    </row>
    <row r="3582" spans="1:14" x14ac:dyDescent="0.3">
      <c r="A3582" s="1" t="s">
        <v>3606</v>
      </c>
      <c r="B3582" s="2" t="s">
        <v>12</v>
      </c>
      <c r="C3582" s="2" t="s">
        <v>13</v>
      </c>
      <c r="D3582" s="2">
        <v>9</v>
      </c>
      <c r="E3582" s="2" t="s">
        <v>14</v>
      </c>
      <c r="F3582" s="2" t="s">
        <v>16</v>
      </c>
      <c r="G3582" s="7">
        <v>72.900000000000006</v>
      </c>
      <c r="H3582" s="7">
        <v>651.4</v>
      </c>
      <c r="I3582" s="2" t="s">
        <v>16</v>
      </c>
      <c r="J3582" s="2" t="s">
        <v>16</v>
      </c>
      <c r="K3582" s="2" t="s">
        <v>21</v>
      </c>
      <c r="L3582" s="7">
        <v>651.4</v>
      </c>
      <c r="M3582" s="2" t="str">
        <f>_xlfn.IFS(TelecomData[[#This Row],[TenureMonths]]&lt;=12, "0-1 Year", TelecomData[[#This Row],[TenureMonths]]&lt;=36, "1-3 Years", TelecomData[[#This Row],[TenureMonths]]&gt;36, "3+ Years")</f>
        <v>0-1 Year</v>
      </c>
      <c r="N3582" s="2" t="str">
        <f>IF(TelecomData[[#This Row],[CleanedTotalCharges]]&gt;=2500,"High Spend", "Standard Spend")</f>
        <v>Standard Spend</v>
      </c>
    </row>
    <row r="3583" spans="1:14" x14ac:dyDescent="0.3">
      <c r="A3583" s="1" t="s">
        <v>3607</v>
      </c>
      <c r="B3583" s="2" t="s">
        <v>19</v>
      </c>
      <c r="C3583" s="2" t="s">
        <v>35</v>
      </c>
      <c r="D3583" s="2">
        <v>63</v>
      </c>
      <c r="E3583" s="2" t="s">
        <v>14</v>
      </c>
      <c r="F3583" s="2" t="s">
        <v>16</v>
      </c>
      <c r="G3583" s="7">
        <v>74.5</v>
      </c>
      <c r="H3583" s="7">
        <v>4674.55</v>
      </c>
      <c r="I3583" s="2" t="s">
        <v>15</v>
      </c>
      <c r="J3583" s="2" t="s">
        <v>15</v>
      </c>
      <c r="K3583" s="2" t="s">
        <v>29</v>
      </c>
      <c r="L3583" s="7">
        <v>4674.55</v>
      </c>
      <c r="M3583" s="2" t="str">
        <f>_xlfn.IFS(TelecomData[[#This Row],[TenureMonths]]&lt;=12, "0-1 Year", TelecomData[[#This Row],[TenureMonths]]&lt;=36, "1-3 Years", TelecomData[[#This Row],[TenureMonths]]&gt;36, "3+ Years")</f>
        <v>3+ Years</v>
      </c>
      <c r="N3583" s="2" t="str">
        <f>IF(TelecomData[[#This Row],[CleanedTotalCharges]]&gt;=2500,"High Spend", "Standard Spend")</f>
        <v>High Spend</v>
      </c>
    </row>
    <row r="3584" spans="1:14" x14ac:dyDescent="0.3">
      <c r="A3584" s="1" t="s">
        <v>3608</v>
      </c>
      <c r="B3584" s="2" t="s">
        <v>12</v>
      </c>
      <c r="C3584" s="2" t="s">
        <v>13</v>
      </c>
      <c r="D3584" s="2">
        <v>3</v>
      </c>
      <c r="E3584" s="2" t="s">
        <v>26</v>
      </c>
      <c r="F3584" s="2" t="s">
        <v>15</v>
      </c>
      <c r="G3584" s="7">
        <v>80.5</v>
      </c>
      <c r="H3584" s="7">
        <v>232.35</v>
      </c>
      <c r="I3584" s="2" t="s">
        <v>15</v>
      </c>
      <c r="J3584" s="2" t="s">
        <v>16</v>
      </c>
      <c r="K3584" s="2" t="s">
        <v>17</v>
      </c>
      <c r="L3584" s="7">
        <v>232.35</v>
      </c>
      <c r="M3584" s="2" t="str">
        <f>_xlfn.IFS(TelecomData[[#This Row],[TenureMonths]]&lt;=12, "0-1 Year", TelecomData[[#This Row],[TenureMonths]]&lt;=36, "1-3 Years", TelecomData[[#This Row],[TenureMonths]]&gt;36, "3+ Years")</f>
        <v>0-1 Year</v>
      </c>
      <c r="N3584" s="2" t="str">
        <f>IF(TelecomData[[#This Row],[CleanedTotalCharges]]&gt;=2500,"High Spend", "Standard Spend")</f>
        <v>Standard Spend</v>
      </c>
    </row>
    <row r="3585" spans="1:14" x14ac:dyDescent="0.3">
      <c r="A3585" s="1" t="s">
        <v>3609</v>
      </c>
      <c r="B3585" s="2" t="s">
        <v>19</v>
      </c>
      <c r="C3585" s="2" t="s">
        <v>20</v>
      </c>
      <c r="D3585" s="2">
        <v>40</v>
      </c>
      <c r="E3585" s="2" t="s">
        <v>14</v>
      </c>
      <c r="F3585" s="2" t="s">
        <v>16</v>
      </c>
      <c r="G3585" s="7">
        <v>60.3</v>
      </c>
      <c r="H3585" s="7">
        <v>2448.5</v>
      </c>
      <c r="I3585" s="2" t="s">
        <v>15</v>
      </c>
      <c r="J3585" s="2" t="s">
        <v>15</v>
      </c>
      <c r="K3585" s="2" t="s">
        <v>21</v>
      </c>
      <c r="L3585" s="7">
        <v>2448.5</v>
      </c>
      <c r="M3585" s="2" t="str">
        <f>_xlfn.IFS(TelecomData[[#This Row],[TenureMonths]]&lt;=12, "0-1 Year", TelecomData[[#This Row],[TenureMonths]]&lt;=36, "1-3 Years", TelecomData[[#This Row],[TenureMonths]]&gt;36, "3+ Years")</f>
        <v>3+ Years</v>
      </c>
      <c r="N3585" s="2" t="str">
        <f>IF(TelecomData[[#This Row],[CleanedTotalCharges]]&gt;=2500,"High Spend", "Standard Spend")</f>
        <v>Standard Spend</v>
      </c>
    </row>
    <row r="3586" spans="1:14" x14ac:dyDescent="0.3">
      <c r="A3586" s="1" t="s">
        <v>3610</v>
      </c>
      <c r="B3586" s="2" t="s">
        <v>19</v>
      </c>
      <c r="C3586" s="2" t="s">
        <v>13</v>
      </c>
      <c r="D3586" s="2">
        <v>8</v>
      </c>
      <c r="E3586" s="2" t="s">
        <v>26</v>
      </c>
      <c r="F3586" s="2" t="s">
        <v>15</v>
      </c>
      <c r="G3586" s="7">
        <v>75</v>
      </c>
      <c r="H3586" s="7">
        <v>658.1</v>
      </c>
      <c r="I3586" s="2" t="s">
        <v>15</v>
      </c>
      <c r="J3586" s="2" t="s">
        <v>16</v>
      </c>
      <c r="K3586" s="2" t="s">
        <v>21</v>
      </c>
      <c r="L3586" s="7">
        <v>658.1</v>
      </c>
      <c r="M3586" s="2" t="str">
        <f>_xlfn.IFS(TelecomData[[#This Row],[TenureMonths]]&lt;=12, "0-1 Year", TelecomData[[#This Row],[TenureMonths]]&lt;=36, "1-3 Years", TelecomData[[#This Row],[TenureMonths]]&gt;36, "3+ Years")</f>
        <v>0-1 Year</v>
      </c>
      <c r="N3586" s="2" t="str">
        <f>IF(TelecomData[[#This Row],[CleanedTotalCharges]]&gt;=2500,"High Spend", "Standard Spend")</f>
        <v>Standard Spend</v>
      </c>
    </row>
    <row r="3587" spans="1:14" x14ac:dyDescent="0.3">
      <c r="A3587" s="1" t="s">
        <v>3611</v>
      </c>
      <c r="B3587" s="2" t="s">
        <v>19</v>
      </c>
      <c r="C3587" s="2" t="s">
        <v>20</v>
      </c>
      <c r="D3587" s="2">
        <v>34</v>
      </c>
      <c r="E3587" s="2" t="s">
        <v>26</v>
      </c>
      <c r="F3587" s="2" t="s">
        <v>16</v>
      </c>
      <c r="G3587" s="7">
        <v>90.15</v>
      </c>
      <c r="H3587" s="7">
        <v>3128.8</v>
      </c>
      <c r="I3587" s="2" t="s">
        <v>15</v>
      </c>
      <c r="J3587" s="2" t="s">
        <v>15</v>
      </c>
      <c r="K3587" s="2" t="s">
        <v>21</v>
      </c>
      <c r="L3587" s="7">
        <v>3128.8</v>
      </c>
      <c r="M3587" s="2" t="str">
        <f>_xlfn.IFS(TelecomData[[#This Row],[TenureMonths]]&lt;=12, "0-1 Year", TelecomData[[#This Row],[TenureMonths]]&lt;=36, "1-3 Years", TelecomData[[#This Row],[TenureMonths]]&gt;36, "3+ Years")</f>
        <v>1-3 Years</v>
      </c>
      <c r="N3587" s="2" t="str">
        <f>IF(TelecomData[[#This Row],[CleanedTotalCharges]]&gt;=2500,"High Spend", "Standard Spend")</f>
        <v>High Spend</v>
      </c>
    </row>
    <row r="3588" spans="1:14" x14ac:dyDescent="0.3">
      <c r="A3588" s="1" t="s">
        <v>3612</v>
      </c>
      <c r="B3588" s="2" t="s">
        <v>19</v>
      </c>
      <c r="C3588" s="2" t="s">
        <v>13</v>
      </c>
      <c r="D3588" s="2">
        <v>5</v>
      </c>
      <c r="E3588" s="2" t="s">
        <v>14</v>
      </c>
      <c r="F3588" s="2" t="s">
        <v>16</v>
      </c>
      <c r="G3588" s="7">
        <v>40</v>
      </c>
      <c r="H3588" s="7">
        <v>223.45</v>
      </c>
      <c r="I3588" s="2" t="s">
        <v>16</v>
      </c>
      <c r="J3588" s="2" t="s">
        <v>15</v>
      </c>
      <c r="K3588" s="2" t="s">
        <v>21</v>
      </c>
      <c r="L3588" s="7">
        <v>223.45</v>
      </c>
      <c r="M3588" s="2" t="str">
        <f>_xlfn.IFS(TelecomData[[#This Row],[TenureMonths]]&lt;=12, "0-1 Year", TelecomData[[#This Row],[TenureMonths]]&lt;=36, "1-3 Years", TelecomData[[#This Row],[TenureMonths]]&gt;36, "3+ Years")</f>
        <v>0-1 Year</v>
      </c>
      <c r="N3588" s="2" t="str">
        <f>IF(TelecomData[[#This Row],[CleanedTotalCharges]]&gt;=2500,"High Spend", "Standard Spend")</f>
        <v>Standard Spend</v>
      </c>
    </row>
    <row r="3589" spans="1:14" x14ac:dyDescent="0.3">
      <c r="A3589" s="1" t="s">
        <v>3613</v>
      </c>
      <c r="B3589" s="2" t="s">
        <v>19</v>
      </c>
      <c r="C3589" s="2" t="s">
        <v>13</v>
      </c>
      <c r="D3589" s="2">
        <v>9</v>
      </c>
      <c r="E3589" s="2" t="s">
        <v>26</v>
      </c>
      <c r="F3589" s="2" t="s">
        <v>15</v>
      </c>
      <c r="G3589" s="7">
        <v>99.45</v>
      </c>
      <c r="H3589" s="7">
        <v>919.4</v>
      </c>
      <c r="I3589" s="2" t="s">
        <v>16</v>
      </c>
      <c r="J3589" s="2" t="s">
        <v>16</v>
      </c>
      <c r="K3589" s="2" t="s">
        <v>29</v>
      </c>
      <c r="L3589" s="7">
        <v>919.4</v>
      </c>
      <c r="M3589" s="2" t="str">
        <f>_xlfn.IFS(TelecomData[[#This Row],[TenureMonths]]&lt;=12, "0-1 Year", TelecomData[[#This Row],[TenureMonths]]&lt;=36, "1-3 Years", TelecomData[[#This Row],[TenureMonths]]&gt;36, "3+ Years")</f>
        <v>0-1 Year</v>
      </c>
      <c r="N3589" s="2" t="str">
        <f>IF(TelecomData[[#This Row],[CleanedTotalCharges]]&gt;=2500,"High Spend", "Standard Spend")</f>
        <v>Standard Spend</v>
      </c>
    </row>
    <row r="3590" spans="1:14" x14ac:dyDescent="0.3">
      <c r="A3590" s="1" t="s">
        <v>3614</v>
      </c>
      <c r="B3590" s="2" t="s">
        <v>19</v>
      </c>
      <c r="C3590" s="2" t="s">
        <v>13</v>
      </c>
      <c r="D3590" s="2">
        <v>9</v>
      </c>
      <c r="E3590" s="2" t="s">
        <v>14</v>
      </c>
      <c r="F3590" s="2" t="s">
        <v>15</v>
      </c>
      <c r="G3590" s="7">
        <v>69.05</v>
      </c>
      <c r="H3590" s="7">
        <v>653.95000000000005</v>
      </c>
      <c r="I3590" s="2" t="s">
        <v>15</v>
      </c>
      <c r="J3590" s="2" t="s">
        <v>16</v>
      </c>
      <c r="K3590" s="2" t="s">
        <v>29</v>
      </c>
      <c r="L3590" s="7">
        <v>653.95000000000005</v>
      </c>
      <c r="M3590" s="2" t="str">
        <f>_xlfn.IFS(TelecomData[[#This Row],[TenureMonths]]&lt;=12, "0-1 Year", TelecomData[[#This Row],[TenureMonths]]&lt;=36, "1-3 Years", TelecomData[[#This Row],[TenureMonths]]&gt;36, "3+ Years")</f>
        <v>0-1 Year</v>
      </c>
      <c r="N3590" s="2" t="str">
        <f>IF(TelecomData[[#This Row],[CleanedTotalCharges]]&gt;=2500,"High Spend", "Standard Spend")</f>
        <v>Standard Spend</v>
      </c>
    </row>
    <row r="3591" spans="1:14" x14ac:dyDescent="0.3">
      <c r="A3591" s="1" t="s">
        <v>3615</v>
      </c>
      <c r="B3591" s="2" t="s">
        <v>19</v>
      </c>
      <c r="C3591" s="2" t="s">
        <v>13</v>
      </c>
      <c r="D3591" s="2">
        <v>31</v>
      </c>
      <c r="E3591" s="2" t="s">
        <v>14</v>
      </c>
      <c r="F3591" s="2" t="s">
        <v>15</v>
      </c>
      <c r="G3591" s="7">
        <v>59.7</v>
      </c>
      <c r="H3591" s="7">
        <v>1825.5</v>
      </c>
      <c r="I3591" s="2" t="s">
        <v>15</v>
      </c>
      <c r="J3591" s="2" t="s">
        <v>15</v>
      </c>
      <c r="K3591" s="2" t="s">
        <v>24</v>
      </c>
      <c r="L3591" s="7">
        <v>1825.5</v>
      </c>
      <c r="M3591" s="2" t="str">
        <f>_xlfn.IFS(TelecomData[[#This Row],[TenureMonths]]&lt;=12, "0-1 Year", TelecomData[[#This Row],[TenureMonths]]&lt;=36, "1-3 Years", TelecomData[[#This Row],[TenureMonths]]&gt;36, "3+ Years")</f>
        <v>1-3 Years</v>
      </c>
      <c r="N3591" s="2" t="str">
        <f>IF(TelecomData[[#This Row],[CleanedTotalCharges]]&gt;=2500,"High Spend", "Standard Spend")</f>
        <v>Standard Spend</v>
      </c>
    </row>
    <row r="3592" spans="1:14" x14ac:dyDescent="0.3">
      <c r="A3592" s="1" t="s">
        <v>3616</v>
      </c>
      <c r="B3592" s="2" t="s">
        <v>12</v>
      </c>
      <c r="C3592" s="2" t="s">
        <v>20</v>
      </c>
      <c r="D3592" s="2">
        <v>50</v>
      </c>
      <c r="E3592" s="2" t="s">
        <v>15</v>
      </c>
      <c r="F3592" s="2" t="s">
        <v>36</v>
      </c>
      <c r="G3592" s="7">
        <v>19.850000000000001</v>
      </c>
      <c r="H3592" s="7">
        <v>943.1</v>
      </c>
      <c r="I3592" s="2" t="s">
        <v>15</v>
      </c>
      <c r="J3592" s="2" t="s">
        <v>16</v>
      </c>
      <c r="K3592" s="2" t="s">
        <v>24</v>
      </c>
      <c r="L3592" s="7">
        <v>943.1</v>
      </c>
      <c r="M3592" s="2" t="str">
        <f>_xlfn.IFS(TelecomData[[#This Row],[TenureMonths]]&lt;=12, "0-1 Year", TelecomData[[#This Row],[TenureMonths]]&lt;=36, "1-3 Years", TelecomData[[#This Row],[TenureMonths]]&gt;36, "3+ Years")</f>
        <v>3+ Years</v>
      </c>
      <c r="N3592" s="2" t="str">
        <f>IF(TelecomData[[#This Row],[CleanedTotalCharges]]&gt;=2500,"High Spend", "Standard Spend")</f>
        <v>Standard Spend</v>
      </c>
    </row>
    <row r="3593" spans="1:14" x14ac:dyDescent="0.3">
      <c r="A3593" s="1" t="s">
        <v>3617</v>
      </c>
      <c r="B3593" s="2" t="s">
        <v>12</v>
      </c>
      <c r="C3593" s="2" t="s">
        <v>13</v>
      </c>
      <c r="D3593" s="2">
        <v>2</v>
      </c>
      <c r="E3593" s="2" t="s">
        <v>26</v>
      </c>
      <c r="F3593" s="2" t="s">
        <v>16</v>
      </c>
      <c r="G3593" s="7">
        <v>86.25</v>
      </c>
      <c r="H3593" s="7">
        <v>181.65</v>
      </c>
      <c r="I3593" s="2" t="s">
        <v>16</v>
      </c>
      <c r="J3593" s="2" t="s">
        <v>16</v>
      </c>
      <c r="K3593" s="2" t="s">
        <v>17</v>
      </c>
      <c r="L3593" s="7">
        <v>181.65</v>
      </c>
      <c r="M3593" s="2" t="str">
        <f>_xlfn.IFS(TelecomData[[#This Row],[TenureMonths]]&lt;=12, "0-1 Year", TelecomData[[#This Row],[TenureMonths]]&lt;=36, "1-3 Years", TelecomData[[#This Row],[TenureMonths]]&gt;36, "3+ Years")</f>
        <v>0-1 Year</v>
      </c>
      <c r="N3593" s="2" t="str">
        <f>IF(TelecomData[[#This Row],[CleanedTotalCharges]]&gt;=2500,"High Spend", "Standard Spend")</f>
        <v>Standard Spend</v>
      </c>
    </row>
    <row r="3594" spans="1:14" x14ac:dyDescent="0.3">
      <c r="A3594" s="1" t="s">
        <v>3618</v>
      </c>
      <c r="B3594" s="2" t="s">
        <v>12</v>
      </c>
      <c r="C3594" s="2" t="s">
        <v>13</v>
      </c>
      <c r="D3594" s="2">
        <v>1</v>
      </c>
      <c r="E3594" s="2" t="s">
        <v>14</v>
      </c>
      <c r="F3594" s="2" t="s">
        <v>15</v>
      </c>
      <c r="G3594" s="7">
        <v>45.65</v>
      </c>
      <c r="H3594" s="7">
        <v>45.65</v>
      </c>
      <c r="I3594" s="2" t="s">
        <v>16</v>
      </c>
      <c r="J3594" s="2" t="s">
        <v>16</v>
      </c>
      <c r="K3594" s="2" t="s">
        <v>17</v>
      </c>
      <c r="L3594" s="7">
        <v>45.65</v>
      </c>
      <c r="M3594" s="2" t="str">
        <f>_xlfn.IFS(TelecomData[[#This Row],[TenureMonths]]&lt;=12, "0-1 Year", TelecomData[[#This Row],[TenureMonths]]&lt;=36, "1-3 Years", TelecomData[[#This Row],[TenureMonths]]&gt;36, "3+ Years")</f>
        <v>0-1 Year</v>
      </c>
      <c r="N3594" s="2" t="str">
        <f>IF(TelecomData[[#This Row],[CleanedTotalCharges]]&gt;=2500,"High Spend", "Standard Spend")</f>
        <v>Standard Spend</v>
      </c>
    </row>
    <row r="3595" spans="1:14" x14ac:dyDescent="0.3">
      <c r="A3595" s="1" t="s">
        <v>3619</v>
      </c>
      <c r="B3595" s="2" t="s">
        <v>19</v>
      </c>
      <c r="C3595" s="2" t="s">
        <v>13</v>
      </c>
      <c r="D3595" s="2">
        <v>8</v>
      </c>
      <c r="E3595" s="2" t="s">
        <v>26</v>
      </c>
      <c r="F3595" s="2" t="s">
        <v>15</v>
      </c>
      <c r="G3595" s="7">
        <v>70.099999999999994</v>
      </c>
      <c r="H3595" s="7">
        <v>551.35</v>
      </c>
      <c r="I3595" s="2" t="s">
        <v>16</v>
      </c>
      <c r="J3595" s="2" t="s">
        <v>16</v>
      </c>
      <c r="K3595" s="2" t="s">
        <v>21</v>
      </c>
      <c r="L3595" s="7">
        <v>551.35</v>
      </c>
      <c r="M3595" s="2" t="str">
        <f>_xlfn.IFS(TelecomData[[#This Row],[TenureMonths]]&lt;=12, "0-1 Year", TelecomData[[#This Row],[TenureMonths]]&lt;=36, "1-3 Years", TelecomData[[#This Row],[TenureMonths]]&gt;36, "3+ Years")</f>
        <v>0-1 Year</v>
      </c>
      <c r="N3595" s="2" t="str">
        <f>IF(TelecomData[[#This Row],[CleanedTotalCharges]]&gt;=2500,"High Spend", "Standard Spend")</f>
        <v>Standard Spend</v>
      </c>
    </row>
    <row r="3596" spans="1:14" x14ac:dyDescent="0.3">
      <c r="A3596" s="1" t="s">
        <v>3620</v>
      </c>
      <c r="B3596" s="2" t="s">
        <v>12</v>
      </c>
      <c r="C3596" s="2" t="s">
        <v>13</v>
      </c>
      <c r="D3596" s="2">
        <v>9</v>
      </c>
      <c r="E3596" s="2" t="s">
        <v>14</v>
      </c>
      <c r="F3596" s="2" t="s">
        <v>15</v>
      </c>
      <c r="G3596" s="7">
        <v>40.75</v>
      </c>
      <c r="H3596" s="7">
        <v>359.4</v>
      </c>
      <c r="I3596" s="2" t="s">
        <v>15</v>
      </c>
      <c r="J3596" s="2" t="s">
        <v>15</v>
      </c>
      <c r="K3596" s="2" t="s">
        <v>17</v>
      </c>
      <c r="L3596" s="7">
        <v>359.4</v>
      </c>
      <c r="M3596" s="2" t="str">
        <f>_xlfn.IFS(TelecomData[[#This Row],[TenureMonths]]&lt;=12, "0-1 Year", TelecomData[[#This Row],[TenureMonths]]&lt;=36, "1-3 Years", TelecomData[[#This Row],[TenureMonths]]&gt;36, "3+ Years")</f>
        <v>0-1 Year</v>
      </c>
      <c r="N3596" s="2" t="str">
        <f>IF(TelecomData[[#This Row],[CleanedTotalCharges]]&gt;=2500,"High Spend", "Standard Spend")</f>
        <v>Standard Spend</v>
      </c>
    </row>
    <row r="3597" spans="1:14" x14ac:dyDescent="0.3">
      <c r="A3597" s="1" t="s">
        <v>3621</v>
      </c>
      <c r="B3597" s="2" t="s">
        <v>12</v>
      </c>
      <c r="C3597" s="2" t="s">
        <v>13</v>
      </c>
      <c r="D3597" s="2">
        <v>2</v>
      </c>
      <c r="E3597" s="2" t="s">
        <v>26</v>
      </c>
      <c r="F3597" s="2" t="s">
        <v>15</v>
      </c>
      <c r="G3597" s="7">
        <v>70.2</v>
      </c>
      <c r="H3597" s="7">
        <v>115.95</v>
      </c>
      <c r="I3597" s="2" t="s">
        <v>16</v>
      </c>
      <c r="J3597" s="2" t="s">
        <v>16</v>
      </c>
      <c r="K3597" s="2" t="s">
        <v>24</v>
      </c>
      <c r="L3597" s="7">
        <v>115.95</v>
      </c>
      <c r="M3597" s="2" t="str">
        <f>_xlfn.IFS(TelecomData[[#This Row],[TenureMonths]]&lt;=12, "0-1 Year", TelecomData[[#This Row],[TenureMonths]]&lt;=36, "1-3 Years", TelecomData[[#This Row],[TenureMonths]]&gt;36, "3+ Years")</f>
        <v>0-1 Year</v>
      </c>
      <c r="N3597" s="2" t="str">
        <f>IF(TelecomData[[#This Row],[CleanedTotalCharges]]&gt;=2500,"High Spend", "Standard Spend")</f>
        <v>Standard Spend</v>
      </c>
    </row>
    <row r="3598" spans="1:14" x14ac:dyDescent="0.3">
      <c r="A3598" s="1" t="s">
        <v>3622</v>
      </c>
      <c r="B3598" s="2" t="s">
        <v>12</v>
      </c>
      <c r="C3598" s="2" t="s">
        <v>13</v>
      </c>
      <c r="D3598" s="2">
        <v>3</v>
      </c>
      <c r="E3598" s="2" t="s">
        <v>14</v>
      </c>
      <c r="F3598" s="2" t="s">
        <v>15</v>
      </c>
      <c r="G3598" s="7">
        <v>55.35</v>
      </c>
      <c r="H3598" s="7">
        <v>165.2</v>
      </c>
      <c r="I3598" s="2" t="s">
        <v>16</v>
      </c>
      <c r="J3598" s="2" t="s">
        <v>15</v>
      </c>
      <c r="K3598" s="2" t="s">
        <v>17</v>
      </c>
      <c r="L3598" s="7">
        <v>165.2</v>
      </c>
      <c r="M3598" s="2" t="str">
        <f>_xlfn.IFS(TelecomData[[#This Row],[TenureMonths]]&lt;=12, "0-1 Year", TelecomData[[#This Row],[TenureMonths]]&lt;=36, "1-3 Years", TelecomData[[#This Row],[TenureMonths]]&gt;36, "3+ Years")</f>
        <v>0-1 Year</v>
      </c>
      <c r="N3598" s="2" t="str">
        <f>IF(TelecomData[[#This Row],[CleanedTotalCharges]]&gt;=2500,"High Spend", "Standard Spend")</f>
        <v>Standard Spend</v>
      </c>
    </row>
    <row r="3599" spans="1:14" x14ac:dyDescent="0.3">
      <c r="A3599" s="1" t="s">
        <v>3623</v>
      </c>
      <c r="B3599" s="2" t="s">
        <v>19</v>
      </c>
      <c r="C3599" s="2" t="s">
        <v>13</v>
      </c>
      <c r="D3599" s="2">
        <v>25</v>
      </c>
      <c r="E3599" s="2" t="s">
        <v>26</v>
      </c>
      <c r="F3599" s="2" t="s">
        <v>16</v>
      </c>
      <c r="G3599" s="7">
        <v>95.7</v>
      </c>
      <c r="H3599" s="7">
        <v>2338.35</v>
      </c>
      <c r="I3599" s="2" t="s">
        <v>15</v>
      </c>
      <c r="J3599" s="2" t="s">
        <v>16</v>
      </c>
      <c r="K3599" s="2" t="s">
        <v>29</v>
      </c>
      <c r="L3599" s="7">
        <v>2338.35</v>
      </c>
      <c r="M3599" s="2" t="str">
        <f>_xlfn.IFS(TelecomData[[#This Row],[TenureMonths]]&lt;=12, "0-1 Year", TelecomData[[#This Row],[TenureMonths]]&lt;=36, "1-3 Years", TelecomData[[#This Row],[TenureMonths]]&gt;36, "3+ Years")</f>
        <v>1-3 Years</v>
      </c>
      <c r="N3599" s="2" t="str">
        <f>IF(TelecomData[[#This Row],[CleanedTotalCharges]]&gt;=2500,"High Spend", "Standard Spend")</f>
        <v>Standard Spend</v>
      </c>
    </row>
    <row r="3600" spans="1:14" x14ac:dyDescent="0.3">
      <c r="A3600" s="1" t="s">
        <v>3624</v>
      </c>
      <c r="B3600" s="2" t="s">
        <v>19</v>
      </c>
      <c r="C3600" s="2" t="s">
        <v>13</v>
      </c>
      <c r="D3600" s="2">
        <v>1</v>
      </c>
      <c r="E3600" s="2" t="s">
        <v>14</v>
      </c>
      <c r="F3600" s="2" t="s">
        <v>15</v>
      </c>
      <c r="G3600" s="7">
        <v>46.3</v>
      </c>
      <c r="H3600" s="7">
        <v>46.3</v>
      </c>
      <c r="I3600" s="2" t="s">
        <v>15</v>
      </c>
      <c r="J3600" s="2" t="s">
        <v>15</v>
      </c>
      <c r="K3600" s="2" t="s">
        <v>17</v>
      </c>
      <c r="L3600" s="7">
        <v>46.3</v>
      </c>
      <c r="M3600" s="2" t="str">
        <f>_xlfn.IFS(TelecomData[[#This Row],[TenureMonths]]&lt;=12, "0-1 Year", TelecomData[[#This Row],[TenureMonths]]&lt;=36, "1-3 Years", TelecomData[[#This Row],[TenureMonths]]&gt;36, "3+ Years")</f>
        <v>0-1 Year</v>
      </c>
      <c r="N3600" s="2" t="str">
        <f>IF(TelecomData[[#This Row],[CleanedTotalCharges]]&gt;=2500,"High Spend", "Standard Spend")</f>
        <v>Standard Spend</v>
      </c>
    </row>
    <row r="3601" spans="1:14" x14ac:dyDescent="0.3">
      <c r="A3601" s="1" t="s">
        <v>3625</v>
      </c>
      <c r="B3601" s="2" t="s">
        <v>12</v>
      </c>
      <c r="C3601" s="2" t="s">
        <v>13</v>
      </c>
      <c r="D3601" s="2">
        <v>45</v>
      </c>
      <c r="E3601" s="2" t="s">
        <v>14</v>
      </c>
      <c r="F3601" s="2" t="s">
        <v>16</v>
      </c>
      <c r="G3601" s="7">
        <v>81.3</v>
      </c>
      <c r="H3601" s="7">
        <v>3541.1</v>
      </c>
      <c r="I3601" s="2" t="s">
        <v>15</v>
      </c>
      <c r="J3601" s="2" t="s">
        <v>15</v>
      </c>
      <c r="K3601" s="2" t="s">
        <v>21</v>
      </c>
      <c r="L3601" s="7">
        <v>3541.1</v>
      </c>
      <c r="M3601" s="2" t="str">
        <f>_xlfn.IFS(TelecomData[[#This Row],[TenureMonths]]&lt;=12, "0-1 Year", TelecomData[[#This Row],[TenureMonths]]&lt;=36, "1-3 Years", TelecomData[[#This Row],[TenureMonths]]&gt;36, "3+ Years")</f>
        <v>3+ Years</v>
      </c>
      <c r="N3601" s="2" t="str">
        <f>IF(TelecomData[[#This Row],[CleanedTotalCharges]]&gt;=2500,"High Spend", "Standard Spend")</f>
        <v>High Spend</v>
      </c>
    </row>
    <row r="3602" spans="1:14" x14ac:dyDescent="0.3">
      <c r="A3602" s="1" t="s">
        <v>3626</v>
      </c>
      <c r="B3602" s="2" t="s">
        <v>19</v>
      </c>
      <c r="C3602" s="2" t="s">
        <v>13</v>
      </c>
      <c r="D3602" s="2">
        <v>51</v>
      </c>
      <c r="E3602" s="2" t="s">
        <v>26</v>
      </c>
      <c r="F3602" s="2" t="s">
        <v>15</v>
      </c>
      <c r="G3602" s="7">
        <v>84.2</v>
      </c>
      <c r="H3602" s="7">
        <v>4146.05</v>
      </c>
      <c r="I3602" s="2" t="s">
        <v>16</v>
      </c>
      <c r="J3602" s="2" t="s">
        <v>16</v>
      </c>
      <c r="K3602" s="2" t="s">
        <v>17</v>
      </c>
      <c r="L3602" s="7">
        <v>4146.05</v>
      </c>
      <c r="M3602" s="2" t="str">
        <f>_xlfn.IFS(TelecomData[[#This Row],[TenureMonths]]&lt;=12, "0-1 Year", TelecomData[[#This Row],[TenureMonths]]&lt;=36, "1-3 Years", TelecomData[[#This Row],[TenureMonths]]&gt;36, "3+ Years")</f>
        <v>3+ Years</v>
      </c>
      <c r="N3602" s="2" t="str">
        <f>IF(TelecomData[[#This Row],[CleanedTotalCharges]]&gt;=2500,"High Spend", "Standard Spend")</f>
        <v>High Spend</v>
      </c>
    </row>
    <row r="3603" spans="1:14" x14ac:dyDescent="0.3">
      <c r="A3603" s="1" t="s">
        <v>3627</v>
      </c>
      <c r="B3603" s="2" t="s">
        <v>12</v>
      </c>
      <c r="C3603" s="2" t="s">
        <v>13</v>
      </c>
      <c r="D3603" s="2">
        <v>55</v>
      </c>
      <c r="E3603" s="2" t="s">
        <v>15</v>
      </c>
      <c r="F3603" s="2" t="s">
        <v>36</v>
      </c>
      <c r="G3603" s="7">
        <v>20</v>
      </c>
      <c r="H3603" s="7">
        <v>1087.25</v>
      </c>
      <c r="I3603" s="2" t="s">
        <v>15</v>
      </c>
      <c r="J3603" s="2" t="s">
        <v>15</v>
      </c>
      <c r="K3603" s="2" t="s">
        <v>29</v>
      </c>
      <c r="L3603" s="7">
        <v>1087.25</v>
      </c>
      <c r="M3603" s="2" t="str">
        <f>_xlfn.IFS(TelecomData[[#This Row],[TenureMonths]]&lt;=12, "0-1 Year", TelecomData[[#This Row],[TenureMonths]]&lt;=36, "1-3 Years", TelecomData[[#This Row],[TenureMonths]]&gt;36, "3+ Years")</f>
        <v>3+ Years</v>
      </c>
      <c r="N3603" s="2" t="str">
        <f>IF(TelecomData[[#This Row],[CleanedTotalCharges]]&gt;=2500,"High Spend", "Standard Spend")</f>
        <v>Standard Spend</v>
      </c>
    </row>
    <row r="3604" spans="1:14" x14ac:dyDescent="0.3">
      <c r="A3604" s="1" t="s">
        <v>3628</v>
      </c>
      <c r="B3604" s="2" t="s">
        <v>12</v>
      </c>
      <c r="C3604" s="2" t="s">
        <v>13</v>
      </c>
      <c r="D3604" s="2">
        <v>38</v>
      </c>
      <c r="E3604" s="2" t="s">
        <v>14</v>
      </c>
      <c r="F3604" s="2" t="s">
        <v>15</v>
      </c>
      <c r="G3604" s="7">
        <v>66.150000000000006</v>
      </c>
      <c r="H3604" s="7">
        <v>2522.4</v>
      </c>
      <c r="I3604" s="2" t="s">
        <v>15</v>
      </c>
      <c r="J3604" s="2" t="s">
        <v>16</v>
      </c>
      <c r="K3604" s="2" t="s">
        <v>24</v>
      </c>
      <c r="L3604" s="7">
        <v>2522.4</v>
      </c>
      <c r="M3604" s="2" t="str">
        <f>_xlfn.IFS(TelecomData[[#This Row],[TenureMonths]]&lt;=12, "0-1 Year", TelecomData[[#This Row],[TenureMonths]]&lt;=36, "1-3 Years", TelecomData[[#This Row],[TenureMonths]]&gt;36, "3+ Years")</f>
        <v>3+ Years</v>
      </c>
      <c r="N3604" s="2" t="str">
        <f>IF(TelecomData[[#This Row],[CleanedTotalCharges]]&gt;=2500,"High Spend", "Standard Spend")</f>
        <v>High Spend</v>
      </c>
    </row>
    <row r="3605" spans="1:14" x14ac:dyDescent="0.3">
      <c r="A3605" s="1" t="s">
        <v>3629</v>
      </c>
      <c r="B3605" s="2" t="s">
        <v>19</v>
      </c>
      <c r="C3605" s="2" t="s">
        <v>13</v>
      </c>
      <c r="D3605" s="2">
        <v>2</v>
      </c>
      <c r="E3605" s="2" t="s">
        <v>14</v>
      </c>
      <c r="F3605" s="2" t="s">
        <v>15</v>
      </c>
      <c r="G3605" s="7">
        <v>45.85</v>
      </c>
      <c r="H3605" s="7">
        <v>81</v>
      </c>
      <c r="I3605" s="2" t="s">
        <v>16</v>
      </c>
      <c r="J3605" s="2" t="s">
        <v>15</v>
      </c>
      <c r="K3605" s="2" t="s">
        <v>21</v>
      </c>
      <c r="L3605" s="7">
        <v>81</v>
      </c>
      <c r="M3605" s="2" t="str">
        <f>_xlfn.IFS(TelecomData[[#This Row],[TenureMonths]]&lt;=12, "0-1 Year", TelecomData[[#This Row],[TenureMonths]]&lt;=36, "1-3 Years", TelecomData[[#This Row],[TenureMonths]]&gt;36, "3+ Years")</f>
        <v>0-1 Year</v>
      </c>
      <c r="N3605" s="2" t="str">
        <f>IF(TelecomData[[#This Row],[CleanedTotalCharges]]&gt;=2500,"High Spend", "Standard Spend")</f>
        <v>Standard Spend</v>
      </c>
    </row>
    <row r="3606" spans="1:14" x14ac:dyDescent="0.3">
      <c r="A3606" s="1" t="s">
        <v>3630</v>
      </c>
      <c r="B3606" s="2" t="s">
        <v>19</v>
      </c>
      <c r="C3606" s="2" t="s">
        <v>13</v>
      </c>
      <c r="D3606" s="2">
        <v>38</v>
      </c>
      <c r="E3606" s="2" t="s">
        <v>15</v>
      </c>
      <c r="F3606" s="2" t="s">
        <v>36</v>
      </c>
      <c r="G3606" s="7">
        <v>19.600000000000001</v>
      </c>
      <c r="H3606" s="7">
        <v>717.3</v>
      </c>
      <c r="I3606" s="2" t="s">
        <v>15</v>
      </c>
      <c r="J3606" s="2" t="s">
        <v>15</v>
      </c>
      <c r="K3606" s="2" t="s">
        <v>17</v>
      </c>
      <c r="L3606" s="7">
        <v>717.3</v>
      </c>
      <c r="M3606" s="2" t="str">
        <f>_xlfn.IFS(TelecomData[[#This Row],[TenureMonths]]&lt;=12, "0-1 Year", TelecomData[[#This Row],[TenureMonths]]&lt;=36, "1-3 Years", TelecomData[[#This Row],[TenureMonths]]&gt;36, "3+ Years")</f>
        <v>3+ Years</v>
      </c>
      <c r="N3606" s="2" t="str">
        <f>IF(TelecomData[[#This Row],[CleanedTotalCharges]]&gt;=2500,"High Spend", "Standard Spend")</f>
        <v>Standard Spend</v>
      </c>
    </row>
    <row r="3607" spans="1:14" x14ac:dyDescent="0.3">
      <c r="A3607" s="1" t="s">
        <v>3631</v>
      </c>
      <c r="B3607" s="2" t="s">
        <v>19</v>
      </c>
      <c r="C3607" s="2" t="s">
        <v>13</v>
      </c>
      <c r="D3607" s="2">
        <v>34</v>
      </c>
      <c r="E3607" s="2" t="s">
        <v>14</v>
      </c>
      <c r="F3607" s="2" t="s">
        <v>15</v>
      </c>
      <c r="G3607" s="7">
        <v>49.8</v>
      </c>
      <c r="H3607" s="7">
        <v>1734.2</v>
      </c>
      <c r="I3607" s="2" t="s">
        <v>15</v>
      </c>
      <c r="J3607" s="2" t="s">
        <v>16</v>
      </c>
      <c r="K3607" s="2" t="s">
        <v>17</v>
      </c>
      <c r="L3607" s="7">
        <v>1734.2</v>
      </c>
      <c r="M3607" s="2" t="str">
        <f>_xlfn.IFS(TelecomData[[#This Row],[TenureMonths]]&lt;=12, "0-1 Year", TelecomData[[#This Row],[TenureMonths]]&lt;=36, "1-3 Years", TelecomData[[#This Row],[TenureMonths]]&gt;36, "3+ Years")</f>
        <v>1-3 Years</v>
      </c>
      <c r="N3607" s="2" t="str">
        <f>IF(TelecomData[[#This Row],[CleanedTotalCharges]]&gt;=2500,"High Spend", "Standard Spend")</f>
        <v>Standard Spend</v>
      </c>
    </row>
    <row r="3608" spans="1:14" x14ac:dyDescent="0.3">
      <c r="A3608" s="1" t="s">
        <v>3632</v>
      </c>
      <c r="B3608" s="2" t="s">
        <v>12</v>
      </c>
      <c r="C3608" s="2" t="s">
        <v>20</v>
      </c>
      <c r="D3608" s="2">
        <v>70</v>
      </c>
      <c r="E3608" s="2" t="s">
        <v>26</v>
      </c>
      <c r="F3608" s="2" t="s">
        <v>15</v>
      </c>
      <c r="G3608" s="7">
        <v>101.75</v>
      </c>
      <c r="H3608" s="7">
        <v>7069.3</v>
      </c>
      <c r="I3608" s="2" t="s">
        <v>15</v>
      </c>
      <c r="J3608" s="2" t="s">
        <v>16</v>
      </c>
      <c r="K3608" s="2" t="s">
        <v>17</v>
      </c>
      <c r="L3608" s="7">
        <v>7069.3</v>
      </c>
      <c r="M3608" s="2" t="str">
        <f>_xlfn.IFS(TelecomData[[#This Row],[TenureMonths]]&lt;=12, "0-1 Year", TelecomData[[#This Row],[TenureMonths]]&lt;=36, "1-3 Years", TelecomData[[#This Row],[TenureMonths]]&gt;36, "3+ Years")</f>
        <v>3+ Years</v>
      </c>
      <c r="N3608" s="2" t="str">
        <f>IF(TelecomData[[#This Row],[CleanedTotalCharges]]&gt;=2500,"High Spend", "Standard Spend")</f>
        <v>High Spend</v>
      </c>
    </row>
    <row r="3609" spans="1:14" x14ac:dyDescent="0.3">
      <c r="A3609" s="1" t="s">
        <v>3633</v>
      </c>
      <c r="B3609" s="2" t="s">
        <v>12</v>
      </c>
      <c r="C3609" s="2" t="s">
        <v>20</v>
      </c>
      <c r="D3609" s="2">
        <v>13</v>
      </c>
      <c r="E3609" s="2" t="s">
        <v>14</v>
      </c>
      <c r="F3609" s="2" t="s">
        <v>16</v>
      </c>
      <c r="G3609" s="7">
        <v>55.15</v>
      </c>
      <c r="H3609" s="7">
        <v>742.9</v>
      </c>
      <c r="I3609" s="2" t="s">
        <v>15</v>
      </c>
      <c r="J3609" s="2" t="s">
        <v>15</v>
      </c>
      <c r="K3609" s="2" t="s">
        <v>21</v>
      </c>
      <c r="L3609" s="7">
        <v>742.9</v>
      </c>
      <c r="M3609" s="2" t="str">
        <f>_xlfn.IFS(TelecomData[[#This Row],[TenureMonths]]&lt;=12, "0-1 Year", TelecomData[[#This Row],[TenureMonths]]&lt;=36, "1-3 Years", TelecomData[[#This Row],[TenureMonths]]&gt;36, "3+ Years")</f>
        <v>1-3 Years</v>
      </c>
      <c r="N3609" s="2" t="str">
        <f>IF(TelecomData[[#This Row],[CleanedTotalCharges]]&gt;=2500,"High Spend", "Standard Spend")</f>
        <v>Standard Spend</v>
      </c>
    </row>
    <row r="3610" spans="1:14" x14ac:dyDescent="0.3">
      <c r="A3610" s="1" t="s">
        <v>3634</v>
      </c>
      <c r="B3610" s="2" t="s">
        <v>19</v>
      </c>
      <c r="C3610" s="2" t="s">
        <v>13</v>
      </c>
      <c r="D3610" s="2">
        <v>39</v>
      </c>
      <c r="E3610" s="2" t="s">
        <v>26</v>
      </c>
      <c r="F3610" s="2" t="s">
        <v>15</v>
      </c>
      <c r="G3610" s="7">
        <v>75.25</v>
      </c>
      <c r="H3610" s="7">
        <v>3017.65</v>
      </c>
      <c r="I3610" s="2" t="s">
        <v>16</v>
      </c>
      <c r="J3610" s="2" t="s">
        <v>15</v>
      </c>
      <c r="K3610" s="2" t="s">
        <v>17</v>
      </c>
      <c r="L3610" s="7">
        <v>3017.65</v>
      </c>
      <c r="M3610" s="2" t="str">
        <f>_xlfn.IFS(TelecomData[[#This Row],[TenureMonths]]&lt;=12, "0-1 Year", TelecomData[[#This Row],[TenureMonths]]&lt;=36, "1-3 Years", TelecomData[[#This Row],[TenureMonths]]&gt;36, "3+ Years")</f>
        <v>3+ Years</v>
      </c>
      <c r="N3610" s="2" t="str">
        <f>IF(TelecomData[[#This Row],[CleanedTotalCharges]]&gt;=2500,"High Spend", "Standard Spend")</f>
        <v>High Spend</v>
      </c>
    </row>
    <row r="3611" spans="1:14" x14ac:dyDescent="0.3">
      <c r="A3611" s="1" t="s">
        <v>3635</v>
      </c>
      <c r="B3611" s="2" t="s">
        <v>12</v>
      </c>
      <c r="C3611" s="2" t="s">
        <v>20</v>
      </c>
      <c r="D3611" s="2">
        <v>61</v>
      </c>
      <c r="E3611" s="2" t="s">
        <v>26</v>
      </c>
      <c r="F3611" s="2" t="s">
        <v>15</v>
      </c>
      <c r="G3611" s="7">
        <v>103.95</v>
      </c>
      <c r="H3611" s="7">
        <v>6423</v>
      </c>
      <c r="I3611" s="2" t="s">
        <v>15</v>
      </c>
      <c r="J3611" s="2" t="s">
        <v>16</v>
      </c>
      <c r="K3611" s="2" t="s">
        <v>17</v>
      </c>
      <c r="L3611" s="7">
        <v>6423</v>
      </c>
      <c r="M3611" s="2" t="str">
        <f>_xlfn.IFS(TelecomData[[#This Row],[TenureMonths]]&lt;=12, "0-1 Year", TelecomData[[#This Row],[TenureMonths]]&lt;=36, "1-3 Years", TelecomData[[#This Row],[TenureMonths]]&gt;36, "3+ Years")</f>
        <v>3+ Years</v>
      </c>
      <c r="N3611" s="2" t="str">
        <f>IF(TelecomData[[#This Row],[CleanedTotalCharges]]&gt;=2500,"High Spend", "Standard Spend")</f>
        <v>High Spend</v>
      </c>
    </row>
    <row r="3612" spans="1:14" x14ac:dyDescent="0.3">
      <c r="A3612" s="1" t="s">
        <v>3636</v>
      </c>
      <c r="B3612" s="2" t="s">
        <v>12</v>
      </c>
      <c r="C3612" s="2" t="s">
        <v>13</v>
      </c>
      <c r="D3612" s="2">
        <v>12</v>
      </c>
      <c r="E3612" s="2" t="s">
        <v>26</v>
      </c>
      <c r="F3612" s="2" t="s">
        <v>15</v>
      </c>
      <c r="G3612" s="7">
        <v>100.15</v>
      </c>
      <c r="H3612" s="7">
        <v>1164.3</v>
      </c>
      <c r="I3612" s="2" t="s">
        <v>16</v>
      </c>
      <c r="J3612" s="2" t="s">
        <v>16</v>
      </c>
      <c r="K3612" s="2" t="s">
        <v>24</v>
      </c>
      <c r="L3612" s="7">
        <v>1164.3</v>
      </c>
      <c r="M3612" s="2" t="str">
        <f>_xlfn.IFS(TelecomData[[#This Row],[TenureMonths]]&lt;=12, "0-1 Year", TelecomData[[#This Row],[TenureMonths]]&lt;=36, "1-3 Years", TelecomData[[#This Row],[TenureMonths]]&gt;36, "3+ Years")</f>
        <v>0-1 Year</v>
      </c>
      <c r="N3612" s="2" t="str">
        <f>IF(TelecomData[[#This Row],[CleanedTotalCharges]]&gt;=2500,"High Spend", "Standard Spend")</f>
        <v>Standard Spend</v>
      </c>
    </row>
    <row r="3613" spans="1:14" x14ac:dyDescent="0.3">
      <c r="A3613" s="1" t="s">
        <v>3637</v>
      </c>
      <c r="B3613" s="2" t="s">
        <v>19</v>
      </c>
      <c r="C3613" s="2" t="s">
        <v>35</v>
      </c>
      <c r="D3613" s="2">
        <v>41</v>
      </c>
      <c r="E3613" s="2" t="s">
        <v>26</v>
      </c>
      <c r="F3613" s="2" t="s">
        <v>16</v>
      </c>
      <c r="G3613" s="7">
        <v>99.65</v>
      </c>
      <c r="H3613" s="7">
        <v>4220.3500000000004</v>
      </c>
      <c r="I3613" s="2" t="s">
        <v>15</v>
      </c>
      <c r="J3613" s="2" t="s">
        <v>16</v>
      </c>
      <c r="K3613" s="2" t="s">
        <v>29</v>
      </c>
      <c r="L3613" s="7">
        <v>4220.3500000000004</v>
      </c>
      <c r="M3613" s="2" t="str">
        <f>_xlfn.IFS(TelecomData[[#This Row],[TenureMonths]]&lt;=12, "0-1 Year", TelecomData[[#This Row],[TenureMonths]]&lt;=36, "1-3 Years", TelecomData[[#This Row],[TenureMonths]]&gt;36, "3+ Years")</f>
        <v>3+ Years</v>
      </c>
      <c r="N3613" s="2" t="str">
        <f>IF(TelecomData[[#This Row],[CleanedTotalCharges]]&gt;=2500,"High Spend", "Standard Spend")</f>
        <v>High Spend</v>
      </c>
    </row>
    <row r="3614" spans="1:14" x14ac:dyDescent="0.3">
      <c r="A3614" s="1" t="s">
        <v>3638</v>
      </c>
      <c r="B3614" s="2" t="s">
        <v>19</v>
      </c>
      <c r="C3614" s="2" t="s">
        <v>13</v>
      </c>
      <c r="D3614" s="2">
        <v>21</v>
      </c>
      <c r="E3614" s="2" t="s">
        <v>26</v>
      </c>
      <c r="F3614" s="2" t="s">
        <v>15</v>
      </c>
      <c r="G3614" s="7">
        <v>73.7</v>
      </c>
      <c r="H3614" s="7">
        <v>1558.7</v>
      </c>
      <c r="I3614" s="2" t="s">
        <v>15</v>
      </c>
      <c r="J3614" s="2" t="s">
        <v>16</v>
      </c>
      <c r="K3614" s="2" t="s">
        <v>17</v>
      </c>
      <c r="L3614" s="7">
        <v>1558.7</v>
      </c>
      <c r="M3614" s="2" t="str">
        <f>_xlfn.IFS(TelecomData[[#This Row],[TenureMonths]]&lt;=12, "0-1 Year", TelecomData[[#This Row],[TenureMonths]]&lt;=36, "1-3 Years", TelecomData[[#This Row],[TenureMonths]]&gt;36, "3+ Years")</f>
        <v>1-3 Years</v>
      </c>
      <c r="N3614" s="2" t="str">
        <f>IF(TelecomData[[#This Row],[CleanedTotalCharges]]&gt;=2500,"High Spend", "Standard Spend")</f>
        <v>Standard Spend</v>
      </c>
    </row>
    <row r="3615" spans="1:14" x14ac:dyDescent="0.3">
      <c r="A3615" s="1" t="s">
        <v>3639</v>
      </c>
      <c r="B3615" s="2" t="s">
        <v>19</v>
      </c>
      <c r="C3615" s="2" t="s">
        <v>20</v>
      </c>
      <c r="D3615" s="2">
        <v>55</v>
      </c>
      <c r="E3615" s="2" t="s">
        <v>14</v>
      </c>
      <c r="F3615" s="2" t="s">
        <v>15</v>
      </c>
      <c r="G3615" s="7">
        <v>50.05</v>
      </c>
      <c r="H3615" s="7">
        <v>2743.45</v>
      </c>
      <c r="I3615" s="2" t="s">
        <v>15</v>
      </c>
      <c r="J3615" s="2" t="s">
        <v>16</v>
      </c>
      <c r="K3615" s="2" t="s">
        <v>24</v>
      </c>
      <c r="L3615" s="7">
        <v>2743.45</v>
      </c>
      <c r="M3615" s="2" t="str">
        <f>_xlfn.IFS(TelecomData[[#This Row],[TenureMonths]]&lt;=12, "0-1 Year", TelecomData[[#This Row],[TenureMonths]]&lt;=36, "1-3 Years", TelecomData[[#This Row],[TenureMonths]]&gt;36, "3+ Years")</f>
        <v>3+ Years</v>
      </c>
      <c r="N3615" s="2" t="str">
        <f>IF(TelecomData[[#This Row],[CleanedTotalCharges]]&gt;=2500,"High Spend", "Standard Spend")</f>
        <v>High Spend</v>
      </c>
    </row>
    <row r="3616" spans="1:14" x14ac:dyDescent="0.3">
      <c r="A3616" s="1" t="s">
        <v>3640</v>
      </c>
      <c r="B3616" s="2" t="s">
        <v>19</v>
      </c>
      <c r="C3616" s="2" t="s">
        <v>35</v>
      </c>
      <c r="D3616" s="2">
        <v>69</v>
      </c>
      <c r="E3616" s="2" t="s">
        <v>14</v>
      </c>
      <c r="F3616" s="2" t="s">
        <v>16</v>
      </c>
      <c r="G3616" s="7">
        <v>60.25</v>
      </c>
      <c r="H3616" s="7">
        <v>4055.5</v>
      </c>
      <c r="I3616" s="2" t="s">
        <v>15</v>
      </c>
      <c r="J3616" s="2" t="s">
        <v>15</v>
      </c>
      <c r="K3616" s="2" t="s">
        <v>24</v>
      </c>
      <c r="L3616" s="7">
        <v>4055.5</v>
      </c>
      <c r="M3616" s="2" t="str">
        <f>_xlfn.IFS(TelecomData[[#This Row],[TenureMonths]]&lt;=12, "0-1 Year", TelecomData[[#This Row],[TenureMonths]]&lt;=36, "1-3 Years", TelecomData[[#This Row],[TenureMonths]]&gt;36, "3+ Years")</f>
        <v>3+ Years</v>
      </c>
      <c r="N3616" s="2" t="str">
        <f>IF(TelecomData[[#This Row],[CleanedTotalCharges]]&gt;=2500,"High Spend", "Standard Spend")</f>
        <v>High Spend</v>
      </c>
    </row>
    <row r="3617" spans="1:14" x14ac:dyDescent="0.3">
      <c r="A3617" s="1" t="s">
        <v>3641</v>
      </c>
      <c r="B3617" s="2" t="s">
        <v>19</v>
      </c>
      <c r="C3617" s="2" t="s">
        <v>13</v>
      </c>
      <c r="D3617" s="2">
        <v>26</v>
      </c>
      <c r="E3617" s="2" t="s">
        <v>26</v>
      </c>
      <c r="F3617" s="2" t="s">
        <v>15</v>
      </c>
      <c r="G3617" s="7">
        <v>105.75</v>
      </c>
      <c r="H3617" s="7">
        <v>2710.25</v>
      </c>
      <c r="I3617" s="2" t="s">
        <v>16</v>
      </c>
      <c r="J3617" s="2" t="s">
        <v>15</v>
      </c>
      <c r="K3617" s="2" t="s">
        <v>17</v>
      </c>
      <c r="L3617" s="7">
        <v>2710.25</v>
      </c>
      <c r="M3617" s="2" t="str">
        <f>_xlfn.IFS(TelecomData[[#This Row],[TenureMonths]]&lt;=12, "0-1 Year", TelecomData[[#This Row],[TenureMonths]]&lt;=36, "1-3 Years", TelecomData[[#This Row],[TenureMonths]]&gt;36, "3+ Years")</f>
        <v>1-3 Years</v>
      </c>
      <c r="N3617" s="2" t="str">
        <f>IF(TelecomData[[#This Row],[CleanedTotalCharges]]&gt;=2500,"High Spend", "Standard Spend")</f>
        <v>High Spend</v>
      </c>
    </row>
    <row r="3618" spans="1:14" x14ac:dyDescent="0.3">
      <c r="A3618" s="1" t="s">
        <v>3642</v>
      </c>
      <c r="B3618" s="2" t="s">
        <v>12</v>
      </c>
      <c r="C3618" s="2" t="s">
        <v>20</v>
      </c>
      <c r="D3618" s="2">
        <v>69</v>
      </c>
      <c r="E3618" s="2" t="s">
        <v>26</v>
      </c>
      <c r="F3618" s="2" t="s">
        <v>15</v>
      </c>
      <c r="G3618" s="7">
        <v>87.3</v>
      </c>
      <c r="H3618" s="7">
        <v>6055.55</v>
      </c>
      <c r="I3618" s="2" t="s">
        <v>15</v>
      </c>
      <c r="J3618" s="2" t="s">
        <v>15</v>
      </c>
      <c r="K3618" s="2" t="s">
        <v>29</v>
      </c>
      <c r="L3618" s="7">
        <v>6055.55</v>
      </c>
      <c r="M3618" s="2" t="str">
        <f>_xlfn.IFS(TelecomData[[#This Row],[TenureMonths]]&lt;=12, "0-1 Year", TelecomData[[#This Row],[TenureMonths]]&lt;=36, "1-3 Years", TelecomData[[#This Row],[TenureMonths]]&gt;36, "3+ Years")</f>
        <v>3+ Years</v>
      </c>
      <c r="N3618" s="2" t="str">
        <f>IF(TelecomData[[#This Row],[CleanedTotalCharges]]&gt;=2500,"High Spend", "Standard Spend")</f>
        <v>High Spend</v>
      </c>
    </row>
    <row r="3619" spans="1:14" x14ac:dyDescent="0.3">
      <c r="A3619" s="1" t="s">
        <v>3643</v>
      </c>
      <c r="B3619" s="2" t="s">
        <v>12</v>
      </c>
      <c r="C3619" s="2" t="s">
        <v>13</v>
      </c>
      <c r="D3619" s="2">
        <v>18</v>
      </c>
      <c r="E3619" s="2" t="s">
        <v>14</v>
      </c>
      <c r="F3619" s="2" t="s">
        <v>15</v>
      </c>
      <c r="G3619" s="7">
        <v>48.35</v>
      </c>
      <c r="H3619" s="7">
        <v>810.7</v>
      </c>
      <c r="I3619" s="2" t="s">
        <v>16</v>
      </c>
      <c r="J3619" s="2" t="s">
        <v>16</v>
      </c>
      <c r="K3619" s="2" t="s">
        <v>17</v>
      </c>
      <c r="L3619" s="7">
        <v>810.7</v>
      </c>
      <c r="M3619" s="2" t="str">
        <f>_xlfn.IFS(TelecomData[[#This Row],[TenureMonths]]&lt;=12, "0-1 Year", TelecomData[[#This Row],[TenureMonths]]&lt;=36, "1-3 Years", TelecomData[[#This Row],[TenureMonths]]&gt;36, "3+ Years")</f>
        <v>1-3 Years</v>
      </c>
      <c r="N3619" s="2" t="str">
        <f>IF(TelecomData[[#This Row],[CleanedTotalCharges]]&gt;=2500,"High Spend", "Standard Spend")</f>
        <v>Standard Spend</v>
      </c>
    </row>
    <row r="3620" spans="1:14" x14ac:dyDescent="0.3">
      <c r="A3620" s="1" t="s">
        <v>3644</v>
      </c>
      <c r="B3620" s="2" t="s">
        <v>19</v>
      </c>
      <c r="C3620" s="2" t="s">
        <v>13</v>
      </c>
      <c r="D3620" s="2">
        <v>47</v>
      </c>
      <c r="E3620" s="2" t="s">
        <v>14</v>
      </c>
      <c r="F3620" s="2" t="s">
        <v>15</v>
      </c>
      <c r="G3620" s="7">
        <v>54.25</v>
      </c>
      <c r="H3620" s="7">
        <v>2538.1999999999998</v>
      </c>
      <c r="I3620" s="2" t="s">
        <v>15</v>
      </c>
      <c r="J3620" s="2" t="s">
        <v>15</v>
      </c>
      <c r="K3620" s="2" t="s">
        <v>17</v>
      </c>
      <c r="L3620" s="7">
        <v>2538.1999999999998</v>
      </c>
      <c r="M3620" s="2" t="str">
        <f>_xlfn.IFS(TelecomData[[#This Row],[TenureMonths]]&lt;=12, "0-1 Year", TelecomData[[#This Row],[TenureMonths]]&lt;=36, "1-3 Years", TelecomData[[#This Row],[TenureMonths]]&gt;36, "3+ Years")</f>
        <v>3+ Years</v>
      </c>
      <c r="N3620" s="2" t="str">
        <f>IF(TelecomData[[#This Row],[CleanedTotalCharges]]&gt;=2500,"High Spend", "Standard Spend")</f>
        <v>High Spend</v>
      </c>
    </row>
    <row r="3621" spans="1:14" x14ac:dyDescent="0.3">
      <c r="A3621" s="1" t="s">
        <v>3645</v>
      </c>
      <c r="B3621" s="2" t="s">
        <v>12</v>
      </c>
      <c r="C3621" s="2" t="s">
        <v>35</v>
      </c>
      <c r="D3621" s="2">
        <v>72</v>
      </c>
      <c r="E3621" s="2" t="s">
        <v>14</v>
      </c>
      <c r="F3621" s="2" t="s">
        <v>16</v>
      </c>
      <c r="G3621" s="7">
        <v>85.3</v>
      </c>
      <c r="H3621" s="7">
        <v>6129.2</v>
      </c>
      <c r="I3621" s="2" t="s">
        <v>15</v>
      </c>
      <c r="J3621" s="2" t="s">
        <v>15</v>
      </c>
      <c r="K3621" s="2" t="s">
        <v>24</v>
      </c>
      <c r="L3621" s="7">
        <v>6129.2</v>
      </c>
      <c r="M3621" s="2" t="str">
        <f>_xlfn.IFS(TelecomData[[#This Row],[TenureMonths]]&lt;=12, "0-1 Year", TelecomData[[#This Row],[TenureMonths]]&lt;=36, "1-3 Years", TelecomData[[#This Row],[TenureMonths]]&gt;36, "3+ Years")</f>
        <v>3+ Years</v>
      </c>
      <c r="N3621" s="2" t="str">
        <f>IF(TelecomData[[#This Row],[CleanedTotalCharges]]&gt;=2500,"High Spend", "Standard Spend")</f>
        <v>High Spend</v>
      </c>
    </row>
    <row r="3622" spans="1:14" x14ac:dyDescent="0.3">
      <c r="A3622" s="1" t="s">
        <v>3646</v>
      </c>
      <c r="B3622" s="2" t="s">
        <v>19</v>
      </c>
      <c r="C3622" s="2" t="s">
        <v>13</v>
      </c>
      <c r="D3622" s="2">
        <v>33</v>
      </c>
      <c r="E3622" s="2" t="s">
        <v>14</v>
      </c>
      <c r="F3622" s="2" t="s">
        <v>16</v>
      </c>
      <c r="G3622" s="7">
        <v>50</v>
      </c>
      <c r="H3622" s="7">
        <v>1750.85</v>
      </c>
      <c r="I3622" s="2" t="s">
        <v>15</v>
      </c>
      <c r="J3622" s="2" t="s">
        <v>16</v>
      </c>
      <c r="K3622" s="2" t="s">
        <v>17</v>
      </c>
      <c r="L3622" s="7">
        <v>1750.85</v>
      </c>
      <c r="M3622" s="2" t="str">
        <f>_xlfn.IFS(TelecomData[[#This Row],[TenureMonths]]&lt;=12, "0-1 Year", TelecomData[[#This Row],[TenureMonths]]&lt;=36, "1-3 Years", TelecomData[[#This Row],[TenureMonths]]&gt;36, "3+ Years")</f>
        <v>1-3 Years</v>
      </c>
      <c r="N3622" s="2" t="str">
        <f>IF(TelecomData[[#This Row],[CleanedTotalCharges]]&gt;=2500,"High Spend", "Standard Spend")</f>
        <v>Standard Spend</v>
      </c>
    </row>
    <row r="3623" spans="1:14" x14ac:dyDescent="0.3">
      <c r="A3623" s="1" t="s">
        <v>3647</v>
      </c>
      <c r="B3623" s="2" t="s">
        <v>12</v>
      </c>
      <c r="C3623" s="2" t="s">
        <v>13</v>
      </c>
      <c r="D3623" s="2">
        <v>2</v>
      </c>
      <c r="E3623" s="2" t="s">
        <v>14</v>
      </c>
      <c r="F3623" s="2" t="s">
        <v>15</v>
      </c>
      <c r="G3623" s="7">
        <v>24.4</v>
      </c>
      <c r="H3623" s="7">
        <v>36.549999999999997</v>
      </c>
      <c r="I3623" s="2" t="s">
        <v>16</v>
      </c>
      <c r="J3623" s="2" t="s">
        <v>16</v>
      </c>
      <c r="K3623" s="2" t="s">
        <v>21</v>
      </c>
      <c r="L3623" s="7">
        <v>36.549999999999997</v>
      </c>
      <c r="M3623" s="2" t="str">
        <f>_xlfn.IFS(TelecomData[[#This Row],[TenureMonths]]&lt;=12, "0-1 Year", TelecomData[[#This Row],[TenureMonths]]&lt;=36, "1-3 Years", TelecomData[[#This Row],[TenureMonths]]&gt;36, "3+ Years")</f>
        <v>0-1 Year</v>
      </c>
      <c r="N3623" s="2" t="str">
        <f>IF(TelecomData[[#This Row],[CleanedTotalCharges]]&gt;=2500,"High Spend", "Standard Spend")</f>
        <v>Standard Spend</v>
      </c>
    </row>
    <row r="3624" spans="1:14" x14ac:dyDescent="0.3">
      <c r="A3624" s="1" t="s">
        <v>3648</v>
      </c>
      <c r="B3624" s="2" t="s">
        <v>12</v>
      </c>
      <c r="C3624" s="2" t="s">
        <v>35</v>
      </c>
      <c r="D3624" s="2">
        <v>72</v>
      </c>
      <c r="E3624" s="2" t="s">
        <v>14</v>
      </c>
      <c r="F3624" s="2" t="s">
        <v>16</v>
      </c>
      <c r="G3624" s="7">
        <v>90.95</v>
      </c>
      <c r="H3624" s="7">
        <v>6652.45</v>
      </c>
      <c r="I3624" s="2" t="s">
        <v>15</v>
      </c>
      <c r="J3624" s="2" t="s">
        <v>15</v>
      </c>
      <c r="K3624" s="2" t="s">
        <v>29</v>
      </c>
      <c r="L3624" s="7">
        <v>6652.45</v>
      </c>
      <c r="M3624" s="2" t="str">
        <f>_xlfn.IFS(TelecomData[[#This Row],[TenureMonths]]&lt;=12, "0-1 Year", TelecomData[[#This Row],[TenureMonths]]&lt;=36, "1-3 Years", TelecomData[[#This Row],[TenureMonths]]&gt;36, "3+ Years")</f>
        <v>3+ Years</v>
      </c>
      <c r="N3624" s="2" t="str">
        <f>IF(TelecomData[[#This Row],[CleanedTotalCharges]]&gt;=2500,"High Spend", "Standard Spend")</f>
        <v>High Spend</v>
      </c>
    </row>
    <row r="3625" spans="1:14" x14ac:dyDescent="0.3">
      <c r="A3625" s="1" t="s">
        <v>3649</v>
      </c>
      <c r="B3625" s="2" t="s">
        <v>19</v>
      </c>
      <c r="C3625" s="2" t="s">
        <v>13</v>
      </c>
      <c r="D3625" s="2">
        <v>37</v>
      </c>
      <c r="E3625" s="2" t="s">
        <v>26</v>
      </c>
      <c r="F3625" s="2" t="s">
        <v>15</v>
      </c>
      <c r="G3625" s="7">
        <v>72.25</v>
      </c>
      <c r="H3625" s="7">
        <v>2575.4499999999998</v>
      </c>
      <c r="I3625" s="2" t="s">
        <v>15</v>
      </c>
      <c r="J3625" s="2" t="s">
        <v>16</v>
      </c>
      <c r="K3625" s="2" t="s">
        <v>24</v>
      </c>
      <c r="L3625" s="7">
        <v>2575.4499999999998</v>
      </c>
      <c r="M3625" s="2" t="str">
        <f>_xlfn.IFS(TelecomData[[#This Row],[TenureMonths]]&lt;=12, "0-1 Year", TelecomData[[#This Row],[TenureMonths]]&lt;=36, "1-3 Years", TelecomData[[#This Row],[TenureMonths]]&gt;36, "3+ Years")</f>
        <v>3+ Years</v>
      </c>
      <c r="N3625" s="2" t="str">
        <f>IF(TelecomData[[#This Row],[CleanedTotalCharges]]&gt;=2500,"High Spend", "Standard Spend")</f>
        <v>High Spend</v>
      </c>
    </row>
    <row r="3626" spans="1:14" x14ac:dyDescent="0.3">
      <c r="A3626" s="1" t="s">
        <v>3650</v>
      </c>
      <c r="B3626" s="2" t="s">
        <v>12</v>
      </c>
      <c r="C3626" s="2" t="s">
        <v>13</v>
      </c>
      <c r="D3626" s="2">
        <v>62</v>
      </c>
      <c r="E3626" s="2" t="s">
        <v>26</v>
      </c>
      <c r="F3626" s="2" t="s">
        <v>15</v>
      </c>
      <c r="G3626" s="7">
        <v>96.1</v>
      </c>
      <c r="H3626" s="7">
        <v>6019.35</v>
      </c>
      <c r="I3626" s="2" t="s">
        <v>15</v>
      </c>
      <c r="J3626" s="2" t="s">
        <v>16</v>
      </c>
      <c r="K3626" s="2" t="s">
        <v>29</v>
      </c>
      <c r="L3626" s="7">
        <v>6019.35</v>
      </c>
      <c r="M3626" s="2" t="str">
        <f>_xlfn.IFS(TelecomData[[#This Row],[TenureMonths]]&lt;=12, "0-1 Year", TelecomData[[#This Row],[TenureMonths]]&lt;=36, "1-3 Years", TelecomData[[#This Row],[TenureMonths]]&gt;36, "3+ Years")</f>
        <v>3+ Years</v>
      </c>
      <c r="N3626" s="2" t="str">
        <f>IF(TelecomData[[#This Row],[CleanedTotalCharges]]&gt;=2500,"High Spend", "Standard Spend")</f>
        <v>High Spend</v>
      </c>
    </row>
    <row r="3627" spans="1:14" x14ac:dyDescent="0.3">
      <c r="A3627" s="1" t="s">
        <v>3651</v>
      </c>
      <c r="B3627" s="2" t="s">
        <v>12</v>
      </c>
      <c r="C3627" s="2" t="s">
        <v>35</v>
      </c>
      <c r="D3627" s="2">
        <v>71</v>
      </c>
      <c r="E3627" s="2" t="s">
        <v>15</v>
      </c>
      <c r="F3627" s="2" t="s">
        <v>36</v>
      </c>
      <c r="G3627" s="7">
        <v>19.850000000000001</v>
      </c>
      <c r="H3627" s="7">
        <v>1379.6</v>
      </c>
      <c r="I3627" s="2" t="s">
        <v>15</v>
      </c>
      <c r="J3627" s="2" t="s">
        <v>15</v>
      </c>
      <c r="K3627" s="2" t="s">
        <v>29</v>
      </c>
      <c r="L3627" s="7">
        <v>1379.6</v>
      </c>
      <c r="M3627" s="2" t="str">
        <f>_xlfn.IFS(TelecomData[[#This Row],[TenureMonths]]&lt;=12, "0-1 Year", TelecomData[[#This Row],[TenureMonths]]&lt;=36, "1-3 Years", TelecomData[[#This Row],[TenureMonths]]&gt;36, "3+ Years")</f>
        <v>3+ Years</v>
      </c>
      <c r="N3627" s="2" t="str">
        <f>IF(TelecomData[[#This Row],[CleanedTotalCharges]]&gt;=2500,"High Spend", "Standard Spend")</f>
        <v>Standard Spend</v>
      </c>
    </row>
    <row r="3628" spans="1:14" x14ac:dyDescent="0.3">
      <c r="A3628" s="1" t="s">
        <v>3652</v>
      </c>
      <c r="B3628" s="2" t="s">
        <v>19</v>
      </c>
      <c r="C3628" s="2" t="s">
        <v>13</v>
      </c>
      <c r="D3628" s="2">
        <v>23</v>
      </c>
      <c r="E3628" s="2" t="s">
        <v>14</v>
      </c>
      <c r="F3628" s="2" t="s">
        <v>16</v>
      </c>
      <c r="G3628" s="7">
        <v>55.3</v>
      </c>
      <c r="H3628" s="7">
        <v>1284.2</v>
      </c>
      <c r="I3628" s="2" t="s">
        <v>15</v>
      </c>
      <c r="J3628" s="2" t="s">
        <v>16</v>
      </c>
      <c r="K3628" s="2" t="s">
        <v>24</v>
      </c>
      <c r="L3628" s="7">
        <v>1284.2</v>
      </c>
      <c r="M3628" s="2" t="str">
        <f>_xlfn.IFS(TelecomData[[#This Row],[TenureMonths]]&lt;=12, "0-1 Year", TelecomData[[#This Row],[TenureMonths]]&lt;=36, "1-3 Years", TelecomData[[#This Row],[TenureMonths]]&gt;36, "3+ Years")</f>
        <v>1-3 Years</v>
      </c>
      <c r="N3628" s="2" t="str">
        <f>IF(TelecomData[[#This Row],[CleanedTotalCharges]]&gt;=2500,"High Spend", "Standard Spend")</f>
        <v>Standard Spend</v>
      </c>
    </row>
    <row r="3629" spans="1:14" x14ac:dyDescent="0.3">
      <c r="A3629" s="1" t="s">
        <v>3653</v>
      </c>
      <c r="B3629" s="2" t="s">
        <v>12</v>
      </c>
      <c r="C3629" s="2" t="s">
        <v>20</v>
      </c>
      <c r="D3629" s="2">
        <v>16</v>
      </c>
      <c r="E3629" s="2" t="s">
        <v>15</v>
      </c>
      <c r="F3629" s="2" t="s">
        <v>36</v>
      </c>
      <c r="G3629" s="7">
        <v>20.100000000000001</v>
      </c>
      <c r="H3629" s="7">
        <v>296.14999999999998</v>
      </c>
      <c r="I3629" s="2" t="s">
        <v>15</v>
      </c>
      <c r="J3629" s="2" t="s">
        <v>15</v>
      </c>
      <c r="K3629" s="2" t="s">
        <v>21</v>
      </c>
      <c r="L3629" s="7">
        <v>296.14999999999998</v>
      </c>
      <c r="M3629" s="2" t="str">
        <f>_xlfn.IFS(TelecomData[[#This Row],[TenureMonths]]&lt;=12, "0-1 Year", TelecomData[[#This Row],[TenureMonths]]&lt;=36, "1-3 Years", TelecomData[[#This Row],[TenureMonths]]&gt;36, "3+ Years")</f>
        <v>1-3 Years</v>
      </c>
      <c r="N3629" s="2" t="str">
        <f>IF(TelecomData[[#This Row],[CleanedTotalCharges]]&gt;=2500,"High Spend", "Standard Spend")</f>
        <v>Standard Spend</v>
      </c>
    </row>
    <row r="3630" spans="1:14" x14ac:dyDescent="0.3">
      <c r="A3630" s="1" t="s">
        <v>3654</v>
      </c>
      <c r="B3630" s="2" t="s">
        <v>19</v>
      </c>
      <c r="C3630" s="2" t="s">
        <v>13</v>
      </c>
      <c r="D3630" s="2">
        <v>9</v>
      </c>
      <c r="E3630" s="2" t="s">
        <v>14</v>
      </c>
      <c r="F3630" s="2" t="s">
        <v>16</v>
      </c>
      <c r="G3630" s="7">
        <v>69.5</v>
      </c>
      <c r="H3630" s="7">
        <v>653.25</v>
      </c>
      <c r="I3630" s="2" t="s">
        <v>15</v>
      </c>
      <c r="J3630" s="2" t="s">
        <v>16</v>
      </c>
      <c r="K3630" s="2" t="s">
        <v>21</v>
      </c>
      <c r="L3630" s="7">
        <v>653.25</v>
      </c>
      <c r="M3630" s="2" t="str">
        <f>_xlfn.IFS(TelecomData[[#This Row],[TenureMonths]]&lt;=12, "0-1 Year", TelecomData[[#This Row],[TenureMonths]]&lt;=36, "1-3 Years", TelecomData[[#This Row],[TenureMonths]]&gt;36, "3+ Years")</f>
        <v>0-1 Year</v>
      </c>
      <c r="N3630" s="2" t="str">
        <f>IF(TelecomData[[#This Row],[CleanedTotalCharges]]&gt;=2500,"High Spend", "Standard Spend")</f>
        <v>Standard Spend</v>
      </c>
    </row>
    <row r="3631" spans="1:14" x14ac:dyDescent="0.3">
      <c r="A3631" s="1" t="s">
        <v>3655</v>
      </c>
      <c r="B3631" s="2" t="s">
        <v>19</v>
      </c>
      <c r="C3631" s="2" t="s">
        <v>35</v>
      </c>
      <c r="D3631" s="2">
        <v>17</v>
      </c>
      <c r="E3631" s="2" t="s">
        <v>15</v>
      </c>
      <c r="F3631" s="2" t="s">
        <v>36</v>
      </c>
      <c r="G3631" s="7">
        <v>25.15</v>
      </c>
      <c r="H3631" s="7">
        <v>412.6</v>
      </c>
      <c r="I3631" s="2" t="s">
        <v>15</v>
      </c>
      <c r="J3631" s="2" t="s">
        <v>16</v>
      </c>
      <c r="K3631" s="2" t="s">
        <v>21</v>
      </c>
      <c r="L3631" s="7">
        <v>412.6</v>
      </c>
      <c r="M3631" s="2" t="str">
        <f>_xlfn.IFS(TelecomData[[#This Row],[TenureMonths]]&lt;=12, "0-1 Year", TelecomData[[#This Row],[TenureMonths]]&lt;=36, "1-3 Years", TelecomData[[#This Row],[TenureMonths]]&gt;36, "3+ Years")</f>
        <v>1-3 Years</v>
      </c>
      <c r="N3631" s="2" t="str">
        <f>IF(TelecomData[[#This Row],[CleanedTotalCharges]]&gt;=2500,"High Spend", "Standard Spend")</f>
        <v>Standard Spend</v>
      </c>
    </row>
    <row r="3632" spans="1:14" x14ac:dyDescent="0.3">
      <c r="A3632" s="1" t="s">
        <v>3656</v>
      </c>
      <c r="B3632" s="2" t="s">
        <v>12</v>
      </c>
      <c r="C3632" s="2" t="s">
        <v>13</v>
      </c>
      <c r="D3632" s="2">
        <v>4</v>
      </c>
      <c r="E3632" s="2" t="s">
        <v>15</v>
      </c>
      <c r="F3632" s="2" t="s">
        <v>36</v>
      </c>
      <c r="G3632" s="7">
        <v>20.95</v>
      </c>
      <c r="H3632" s="7">
        <v>85.5</v>
      </c>
      <c r="I3632" s="2" t="s">
        <v>16</v>
      </c>
      <c r="J3632" s="2" t="s">
        <v>15</v>
      </c>
      <c r="K3632" s="2" t="s">
        <v>24</v>
      </c>
      <c r="L3632" s="7">
        <v>85.5</v>
      </c>
      <c r="M3632" s="2" t="str">
        <f>_xlfn.IFS(TelecomData[[#This Row],[TenureMonths]]&lt;=12, "0-1 Year", TelecomData[[#This Row],[TenureMonths]]&lt;=36, "1-3 Years", TelecomData[[#This Row],[TenureMonths]]&gt;36, "3+ Years")</f>
        <v>0-1 Year</v>
      </c>
      <c r="N3632" s="2" t="str">
        <f>IF(TelecomData[[#This Row],[CleanedTotalCharges]]&gt;=2500,"High Spend", "Standard Spend")</f>
        <v>Standard Spend</v>
      </c>
    </row>
    <row r="3633" spans="1:14" x14ac:dyDescent="0.3">
      <c r="A3633" s="1" t="s">
        <v>3657</v>
      </c>
      <c r="B3633" s="2" t="s">
        <v>12</v>
      </c>
      <c r="C3633" s="2" t="s">
        <v>13</v>
      </c>
      <c r="D3633" s="2">
        <v>1</v>
      </c>
      <c r="E3633" s="2" t="s">
        <v>14</v>
      </c>
      <c r="F3633" s="2" t="s">
        <v>15</v>
      </c>
      <c r="G3633" s="7">
        <v>49.55</v>
      </c>
      <c r="H3633" s="7">
        <v>49.55</v>
      </c>
      <c r="I3633" s="2" t="s">
        <v>16</v>
      </c>
      <c r="J3633" s="2" t="s">
        <v>16</v>
      </c>
      <c r="K3633" s="2" t="s">
        <v>17</v>
      </c>
      <c r="L3633" s="7">
        <v>49.55</v>
      </c>
      <c r="M3633" s="2" t="str">
        <f>_xlfn.IFS(TelecomData[[#This Row],[TenureMonths]]&lt;=12, "0-1 Year", TelecomData[[#This Row],[TenureMonths]]&lt;=36, "1-3 Years", TelecomData[[#This Row],[TenureMonths]]&gt;36, "3+ Years")</f>
        <v>0-1 Year</v>
      </c>
      <c r="N3633" s="2" t="str">
        <f>IF(TelecomData[[#This Row],[CleanedTotalCharges]]&gt;=2500,"High Spend", "Standard Spend")</f>
        <v>Standard Spend</v>
      </c>
    </row>
    <row r="3634" spans="1:14" x14ac:dyDescent="0.3">
      <c r="A3634" s="1" t="s">
        <v>3658</v>
      </c>
      <c r="B3634" s="2" t="s">
        <v>12</v>
      </c>
      <c r="C3634" s="2" t="s">
        <v>13</v>
      </c>
      <c r="D3634" s="2">
        <v>24</v>
      </c>
      <c r="E3634" s="2" t="s">
        <v>26</v>
      </c>
      <c r="F3634" s="2" t="s">
        <v>15</v>
      </c>
      <c r="G3634" s="7">
        <v>79.650000000000006</v>
      </c>
      <c r="H3634" s="7">
        <v>1928.7</v>
      </c>
      <c r="I3634" s="2" t="s">
        <v>15</v>
      </c>
      <c r="J3634" s="2" t="s">
        <v>16</v>
      </c>
      <c r="K3634" s="2" t="s">
        <v>21</v>
      </c>
      <c r="L3634" s="7">
        <v>1928.7</v>
      </c>
      <c r="M3634" s="2" t="str">
        <f>_xlfn.IFS(TelecomData[[#This Row],[TenureMonths]]&lt;=12, "0-1 Year", TelecomData[[#This Row],[TenureMonths]]&lt;=36, "1-3 Years", TelecomData[[#This Row],[TenureMonths]]&gt;36, "3+ Years")</f>
        <v>1-3 Years</v>
      </c>
      <c r="N3634" s="2" t="str">
        <f>IF(TelecomData[[#This Row],[CleanedTotalCharges]]&gt;=2500,"High Spend", "Standard Spend")</f>
        <v>Standard Spend</v>
      </c>
    </row>
    <row r="3635" spans="1:14" x14ac:dyDescent="0.3">
      <c r="A3635" s="1" t="s">
        <v>3659</v>
      </c>
      <c r="B3635" s="2" t="s">
        <v>12</v>
      </c>
      <c r="C3635" s="2" t="s">
        <v>13</v>
      </c>
      <c r="D3635" s="2">
        <v>1</v>
      </c>
      <c r="E3635" s="2" t="s">
        <v>26</v>
      </c>
      <c r="F3635" s="2" t="s">
        <v>15</v>
      </c>
      <c r="G3635" s="7">
        <v>71.25</v>
      </c>
      <c r="H3635" s="7">
        <v>71.25</v>
      </c>
      <c r="I3635" s="2" t="s">
        <v>15</v>
      </c>
      <c r="J3635" s="2" t="s">
        <v>16</v>
      </c>
      <c r="K3635" s="2" t="s">
        <v>17</v>
      </c>
      <c r="L3635" s="7">
        <v>71.25</v>
      </c>
      <c r="M3635" s="2" t="str">
        <f>_xlfn.IFS(TelecomData[[#This Row],[TenureMonths]]&lt;=12, "0-1 Year", TelecomData[[#This Row],[TenureMonths]]&lt;=36, "1-3 Years", TelecomData[[#This Row],[TenureMonths]]&gt;36, "3+ Years")</f>
        <v>0-1 Year</v>
      </c>
      <c r="N3635" s="2" t="str">
        <f>IF(TelecomData[[#This Row],[CleanedTotalCharges]]&gt;=2500,"High Spend", "Standard Spend")</f>
        <v>Standard Spend</v>
      </c>
    </row>
    <row r="3636" spans="1:14" x14ac:dyDescent="0.3">
      <c r="A3636" s="1" t="s">
        <v>3660</v>
      </c>
      <c r="B3636" s="2" t="s">
        <v>19</v>
      </c>
      <c r="C3636" s="2" t="s">
        <v>35</v>
      </c>
      <c r="D3636" s="2">
        <v>72</v>
      </c>
      <c r="E3636" s="2" t="s">
        <v>26</v>
      </c>
      <c r="F3636" s="2" t="s">
        <v>16</v>
      </c>
      <c r="G3636" s="7">
        <v>113.8</v>
      </c>
      <c r="H3636" s="7">
        <v>7845.8</v>
      </c>
      <c r="I3636" s="2" t="s">
        <v>15</v>
      </c>
      <c r="J3636" s="2" t="s">
        <v>15</v>
      </c>
      <c r="K3636" s="2" t="s">
        <v>24</v>
      </c>
      <c r="L3636" s="7">
        <v>7845.8</v>
      </c>
      <c r="M3636" s="2" t="str">
        <f>_xlfn.IFS(TelecomData[[#This Row],[TenureMonths]]&lt;=12, "0-1 Year", TelecomData[[#This Row],[TenureMonths]]&lt;=36, "1-3 Years", TelecomData[[#This Row],[TenureMonths]]&gt;36, "3+ Years")</f>
        <v>3+ Years</v>
      </c>
      <c r="N3636" s="2" t="str">
        <f>IF(TelecomData[[#This Row],[CleanedTotalCharges]]&gt;=2500,"High Spend", "Standard Spend")</f>
        <v>High Spend</v>
      </c>
    </row>
    <row r="3637" spans="1:14" x14ac:dyDescent="0.3">
      <c r="A3637" s="1" t="s">
        <v>3661</v>
      </c>
      <c r="B3637" s="2" t="s">
        <v>12</v>
      </c>
      <c r="C3637" s="2" t="s">
        <v>35</v>
      </c>
      <c r="D3637" s="2">
        <v>72</v>
      </c>
      <c r="E3637" s="2" t="s">
        <v>15</v>
      </c>
      <c r="F3637" s="2" t="s">
        <v>36</v>
      </c>
      <c r="G3637" s="7">
        <v>24.55</v>
      </c>
      <c r="H3637" s="7">
        <v>1750.7</v>
      </c>
      <c r="I3637" s="2" t="s">
        <v>15</v>
      </c>
      <c r="J3637" s="2" t="s">
        <v>15</v>
      </c>
      <c r="K3637" s="2" t="s">
        <v>17</v>
      </c>
      <c r="L3637" s="7">
        <v>1750.7</v>
      </c>
      <c r="M3637" s="2" t="str">
        <f>_xlfn.IFS(TelecomData[[#This Row],[TenureMonths]]&lt;=12, "0-1 Year", TelecomData[[#This Row],[TenureMonths]]&lt;=36, "1-3 Years", TelecomData[[#This Row],[TenureMonths]]&gt;36, "3+ Years")</f>
        <v>3+ Years</v>
      </c>
      <c r="N3637" s="2" t="str">
        <f>IF(TelecomData[[#This Row],[CleanedTotalCharges]]&gt;=2500,"High Spend", "Standard Spend")</f>
        <v>Standard Spend</v>
      </c>
    </row>
    <row r="3638" spans="1:14" x14ac:dyDescent="0.3">
      <c r="A3638" s="1" t="s">
        <v>3662</v>
      </c>
      <c r="B3638" s="2" t="s">
        <v>12</v>
      </c>
      <c r="C3638" s="2" t="s">
        <v>13</v>
      </c>
      <c r="D3638" s="2">
        <v>11</v>
      </c>
      <c r="E3638" s="2" t="s">
        <v>15</v>
      </c>
      <c r="F3638" s="2" t="s">
        <v>36</v>
      </c>
      <c r="G3638" s="7">
        <v>19.7</v>
      </c>
      <c r="H3638" s="7">
        <v>216.2</v>
      </c>
      <c r="I3638" s="2" t="s">
        <v>15</v>
      </c>
      <c r="J3638" s="2" t="s">
        <v>15</v>
      </c>
      <c r="K3638" s="2" t="s">
        <v>29</v>
      </c>
      <c r="L3638" s="7">
        <v>216.2</v>
      </c>
      <c r="M3638" s="2" t="str">
        <f>_xlfn.IFS(TelecomData[[#This Row],[TenureMonths]]&lt;=12, "0-1 Year", TelecomData[[#This Row],[TenureMonths]]&lt;=36, "1-3 Years", TelecomData[[#This Row],[TenureMonths]]&gt;36, "3+ Years")</f>
        <v>0-1 Year</v>
      </c>
      <c r="N3638" s="2" t="str">
        <f>IF(TelecomData[[#This Row],[CleanedTotalCharges]]&gt;=2500,"High Spend", "Standard Spend")</f>
        <v>Standard Spend</v>
      </c>
    </row>
    <row r="3639" spans="1:14" x14ac:dyDescent="0.3">
      <c r="A3639" s="1" t="s">
        <v>3663</v>
      </c>
      <c r="B3639" s="2" t="s">
        <v>19</v>
      </c>
      <c r="C3639" s="2" t="s">
        <v>13</v>
      </c>
      <c r="D3639" s="2">
        <v>9</v>
      </c>
      <c r="E3639" s="2" t="s">
        <v>15</v>
      </c>
      <c r="F3639" s="2" t="s">
        <v>36</v>
      </c>
      <c r="G3639" s="7">
        <v>20.25</v>
      </c>
      <c r="H3639" s="7">
        <v>178.5</v>
      </c>
      <c r="I3639" s="2" t="s">
        <v>16</v>
      </c>
      <c r="J3639" s="2" t="s">
        <v>15</v>
      </c>
      <c r="K3639" s="2" t="s">
        <v>21</v>
      </c>
      <c r="L3639" s="7">
        <v>178.5</v>
      </c>
      <c r="M3639" s="2" t="str">
        <f>_xlfn.IFS(TelecomData[[#This Row],[TenureMonths]]&lt;=12, "0-1 Year", TelecomData[[#This Row],[TenureMonths]]&lt;=36, "1-3 Years", TelecomData[[#This Row],[TenureMonths]]&gt;36, "3+ Years")</f>
        <v>0-1 Year</v>
      </c>
      <c r="N3639" s="2" t="str">
        <f>IF(TelecomData[[#This Row],[CleanedTotalCharges]]&gt;=2500,"High Spend", "Standard Spend")</f>
        <v>Standard Spend</v>
      </c>
    </row>
    <row r="3640" spans="1:14" x14ac:dyDescent="0.3">
      <c r="A3640" s="1" t="s">
        <v>3664</v>
      </c>
      <c r="B3640" s="2" t="s">
        <v>12</v>
      </c>
      <c r="C3640" s="2" t="s">
        <v>13</v>
      </c>
      <c r="D3640" s="2">
        <v>2</v>
      </c>
      <c r="E3640" s="2" t="s">
        <v>14</v>
      </c>
      <c r="F3640" s="2" t="s">
        <v>15</v>
      </c>
      <c r="G3640" s="7">
        <v>50.15</v>
      </c>
      <c r="H3640" s="7">
        <v>115.1</v>
      </c>
      <c r="I3640" s="2" t="s">
        <v>16</v>
      </c>
      <c r="J3640" s="2" t="s">
        <v>15</v>
      </c>
      <c r="K3640" s="2" t="s">
        <v>29</v>
      </c>
      <c r="L3640" s="7">
        <v>115.1</v>
      </c>
      <c r="M3640" s="2" t="str">
        <f>_xlfn.IFS(TelecomData[[#This Row],[TenureMonths]]&lt;=12, "0-1 Year", TelecomData[[#This Row],[TenureMonths]]&lt;=36, "1-3 Years", TelecomData[[#This Row],[TenureMonths]]&gt;36, "3+ Years")</f>
        <v>0-1 Year</v>
      </c>
      <c r="N3640" s="2" t="str">
        <f>IF(TelecomData[[#This Row],[CleanedTotalCharges]]&gt;=2500,"High Spend", "Standard Spend")</f>
        <v>Standard Spend</v>
      </c>
    </row>
    <row r="3641" spans="1:14" x14ac:dyDescent="0.3">
      <c r="A3641" s="1" t="s">
        <v>3665</v>
      </c>
      <c r="B3641" s="2" t="s">
        <v>12</v>
      </c>
      <c r="C3641" s="2" t="s">
        <v>20</v>
      </c>
      <c r="D3641" s="2">
        <v>60</v>
      </c>
      <c r="E3641" s="2" t="s">
        <v>26</v>
      </c>
      <c r="F3641" s="2" t="s">
        <v>15</v>
      </c>
      <c r="G3641" s="7">
        <v>100.5</v>
      </c>
      <c r="H3641" s="7">
        <v>6029</v>
      </c>
      <c r="I3641" s="2" t="s">
        <v>15</v>
      </c>
      <c r="J3641" s="2" t="s">
        <v>16</v>
      </c>
      <c r="K3641" s="2" t="s">
        <v>29</v>
      </c>
      <c r="L3641" s="7">
        <v>6029</v>
      </c>
      <c r="M3641" s="2" t="str">
        <f>_xlfn.IFS(TelecomData[[#This Row],[TenureMonths]]&lt;=12, "0-1 Year", TelecomData[[#This Row],[TenureMonths]]&lt;=36, "1-3 Years", TelecomData[[#This Row],[TenureMonths]]&gt;36, "3+ Years")</f>
        <v>3+ Years</v>
      </c>
      <c r="N3641" s="2" t="str">
        <f>IF(TelecomData[[#This Row],[CleanedTotalCharges]]&gt;=2500,"High Spend", "Standard Spend")</f>
        <v>High Spend</v>
      </c>
    </row>
    <row r="3642" spans="1:14" x14ac:dyDescent="0.3">
      <c r="A3642" s="1" t="s">
        <v>3666</v>
      </c>
      <c r="B3642" s="2" t="s">
        <v>19</v>
      </c>
      <c r="C3642" s="2" t="s">
        <v>13</v>
      </c>
      <c r="D3642" s="2">
        <v>29</v>
      </c>
      <c r="E3642" s="2" t="s">
        <v>26</v>
      </c>
      <c r="F3642" s="2" t="s">
        <v>15</v>
      </c>
      <c r="G3642" s="7">
        <v>95.9</v>
      </c>
      <c r="H3642" s="7">
        <v>2745.2</v>
      </c>
      <c r="I3642" s="2" t="s">
        <v>16</v>
      </c>
      <c r="J3642" s="2" t="s">
        <v>16</v>
      </c>
      <c r="K3642" s="2" t="s">
        <v>17</v>
      </c>
      <c r="L3642" s="7">
        <v>2745.2</v>
      </c>
      <c r="M3642" s="2" t="str">
        <f>_xlfn.IFS(TelecomData[[#This Row],[TenureMonths]]&lt;=12, "0-1 Year", TelecomData[[#This Row],[TenureMonths]]&lt;=36, "1-3 Years", TelecomData[[#This Row],[TenureMonths]]&gt;36, "3+ Years")</f>
        <v>1-3 Years</v>
      </c>
      <c r="N3642" s="2" t="str">
        <f>IF(TelecomData[[#This Row],[CleanedTotalCharges]]&gt;=2500,"High Spend", "Standard Spend")</f>
        <v>High Spend</v>
      </c>
    </row>
    <row r="3643" spans="1:14" x14ac:dyDescent="0.3">
      <c r="A3643" s="1" t="s">
        <v>3667</v>
      </c>
      <c r="B3643" s="2" t="s">
        <v>12</v>
      </c>
      <c r="C3643" s="2" t="s">
        <v>35</v>
      </c>
      <c r="D3643" s="2">
        <v>49</v>
      </c>
      <c r="E3643" s="2" t="s">
        <v>14</v>
      </c>
      <c r="F3643" s="2" t="s">
        <v>16</v>
      </c>
      <c r="G3643" s="7">
        <v>74.45</v>
      </c>
      <c r="H3643" s="7">
        <v>3721.9</v>
      </c>
      <c r="I3643" s="2" t="s">
        <v>15</v>
      </c>
      <c r="J3643" s="2" t="s">
        <v>16</v>
      </c>
      <c r="K3643" s="2" t="s">
        <v>24</v>
      </c>
      <c r="L3643" s="7">
        <v>3721.9</v>
      </c>
      <c r="M3643" s="2" t="str">
        <f>_xlfn.IFS(TelecomData[[#This Row],[TenureMonths]]&lt;=12, "0-1 Year", TelecomData[[#This Row],[TenureMonths]]&lt;=36, "1-3 Years", TelecomData[[#This Row],[TenureMonths]]&gt;36, "3+ Years")</f>
        <v>3+ Years</v>
      </c>
      <c r="N3643" s="2" t="str">
        <f>IF(TelecomData[[#This Row],[CleanedTotalCharges]]&gt;=2500,"High Spend", "Standard Spend")</f>
        <v>High Spend</v>
      </c>
    </row>
    <row r="3644" spans="1:14" x14ac:dyDescent="0.3">
      <c r="A3644" s="1" t="s">
        <v>3668</v>
      </c>
      <c r="B3644" s="2" t="s">
        <v>12</v>
      </c>
      <c r="C3644" s="2" t="s">
        <v>13</v>
      </c>
      <c r="D3644" s="2">
        <v>30</v>
      </c>
      <c r="E3644" s="2" t="s">
        <v>26</v>
      </c>
      <c r="F3644" s="2" t="s">
        <v>15</v>
      </c>
      <c r="G3644" s="7">
        <v>104.1</v>
      </c>
      <c r="H3644" s="7">
        <v>3121.1</v>
      </c>
      <c r="I3644" s="2" t="s">
        <v>15</v>
      </c>
      <c r="J3644" s="2" t="s">
        <v>16</v>
      </c>
      <c r="K3644" s="2" t="s">
        <v>17</v>
      </c>
      <c r="L3644" s="7">
        <v>3121.1</v>
      </c>
      <c r="M3644" s="2" t="str">
        <f>_xlfn.IFS(TelecomData[[#This Row],[TenureMonths]]&lt;=12, "0-1 Year", TelecomData[[#This Row],[TenureMonths]]&lt;=36, "1-3 Years", TelecomData[[#This Row],[TenureMonths]]&gt;36, "3+ Years")</f>
        <v>1-3 Years</v>
      </c>
      <c r="N3644" s="2" t="str">
        <f>IF(TelecomData[[#This Row],[CleanedTotalCharges]]&gt;=2500,"High Spend", "Standard Spend")</f>
        <v>High Spend</v>
      </c>
    </row>
    <row r="3645" spans="1:14" x14ac:dyDescent="0.3">
      <c r="A3645" s="1" t="s">
        <v>3669</v>
      </c>
      <c r="B3645" s="2" t="s">
        <v>12</v>
      </c>
      <c r="C3645" s="2" t="s">
        <v>20</v>
      </c>
      <c r="D3645" s="2">
        <v>53</v>
      </c>
      <c r="E3645" s="2" t="s">
        <v>15</v>
      </c>
      <c r="F3645" s="2" t="s">
        <v>36</v>
      </c>
      <c r="G3645" s="7">
        <v>19.05</v>
      </c>
      <c r="H3645" s="7">
        <v>990.45</v>
      </c>
      <c r="I3645" s="2" t="s">
        <v>15</v>
      </c>
      <c r="J3645" s="2" t="s">
        <v>15</v>
      </c>
      <c r="K3645" s="2" t="s">
        <v>29</v>
      </c>
      <c r="L3645" s="7">
        <v>990.45</v>
      </c>
      <c r="M3645" s="2" t="str">
        <f>_xlfn.IFS(TelecomData[[#This Row],[TenureMonths]]&lt;=12, "0-1 Year", TelecomData[[#This Row],[TenureMonths]]&lt;=36, "1-3 Years", TelecomData[[#This Row],[TenureMonths]]&gt;36, "3+ Years")</f>
        <v>3+ Years</v>
      </c>
      <c r="N3645" s="2" t="str">
        <f>IF(TelecomData[[#This Row],[CleanedTotalCharges]]&gt;=2500,"High Spend", "Standard Spend")</f>
        <v>Standard Spend</v>
      </c>
    </row>
    <row r="3646" spans="1:14" x14ac:dyDescent="0.3">
      <c r="A3646" s="1" t="s">
        <v>3670</v>
      </c>
      <c r="B3646" s="2" t="s">
        <v>19</v>
      </c>
      <c r="C3646" s="2" t="s">
        <v>35</v>
      </c>
      <c r="D3646" s="2">
        <v>39</v>
      </c>
      <c r="E3646" s="2" t="s">
        <v>15</v>
      </c>
      <c r="F3646" s="2" t="s">
        <v>36</v>
      </c>
      <c r="G3646" s="7">
        <v>25</v>
      </c>
      <c r="H3646" s="7">
        <v>1004.35</v>
      </c>
      <c r="I3646" s="2" t="s">
        <v>15</v>
      </c>
      <c r="J3646" s="2" t="s">
        <v>15</v>
      </c>
      <c r="K3646" s="2" t="s">
        <v>21</v>
      </c>
      <c r="L3646" s="7">
        <v>1004.35</v>
      </c>
      <c r="M3646" s="2" t="str">
        <f>_xlfn.IFS(TelecomData[[#This Row],[TenureMonths]]&lt;=12, "0-1 Year", TelecomData[[#This Row],[TenureMonths]]&lt;=36, "1-3 Years", TelecomData[[#This Row],[TenureMonths]]&gt;36, "3+ Years")</f>
        <v>3+ Years</v>
      </c>
      <c r="N3646" s="2" t="str">
        <f>IF(TelecomData[[#This Row],[CleanedTotalCharges]]&gt;=2500,"High Spend", "Standard Spend")</f>
        <v>Standard Spend</v>
      </c>
    </row>
    <row r="3647" spans="1:14" x14ac:dyDescent="0.3">
      <c r="A3647" s="1" t="s">
        <v>3671</v>
      </c>
      <c r="B3647" s="2" t="s">
        <v>12</v>
      </c>
      <c r="C3647" s="2" t="s">
        <v>13</v>
      </c>
      <c r="D3647" s="2">
        <v>9</v>
      </c>
      <c r="E3647" s="2" t="s">
        <v>15</v>
      </c>
      <c r="F3647" s="2" t="s">
        <v>36</v>
      </c>
      <c r="G3647" s="7">
        <v>19.05</v>
      </c>
      <c r="H3647" s="7">
        <v>157.65</v>
      </c>
      <c r="I3647" s="2" t="s">
        <v>15</v>
      </c>
      <c r="J3647" s="2" t="s">
        <v>15</v>
      </c>
      <c r="K3647" s="2" t="s">
        <v>21</v>
      </c>
      <c r="L3647" s="7">
        <v>157.65</v>
      </c>
      <c r="M3647" s="2" t="str">
        <f>_xlfn.IFS(TelecomData[[#This Row],[TenureMonths]]&lt;=12, "0-1 Year", TelecomData[[#This Row],[TenureMonths]]&lt;=36, "1-3 Years", TelecomData[[#This Row],[TenureMonths]]&gt;36, "3+ Years")</f>
        <v>0-1 Year</v>
      </c>
      <c r="N3647" s="2" t="str">
        <f>IF(TelecomData[[#This Row],[CleanedTotalCharges]]&gt;=2500,"High Spend", "Standard Spend")</f>
        <v>Standard Spend</v>
      </c>
    </row>
    <row r="3648" spans="1:14" x14ac:dyDescent="0.3">
      <c r="A3648" s="1" t="s">
        <v>3672</v>
      </c>
      <c r="B3648" s="2" t="s">
        <v>19</v>
      </c>
      <c r="C3648" s="2" t="s">
        <v>20</v>
      </c>
      <c r="D3648" s="2">
        <v>39</v>
      </c>
      <c r="E3648" s="2" t="s">
        <v>26</v>
      </c>
      <c r="F3648" s="2" t="s">
        <v>16</v>
      </c>
      <c r="G3648" s="7">
        <v>81.900000000000006</v>
      </c>
      <c r="H3648" s="7">
        <v>3219.75</v>
      </c>
      <c r="I3648" s="2" t="s">
        <v>15</v>
      </c>
      <c r="J3648" s="2" t="s">
        <v>15</v>
      </c>
      <c r="K3648" s="2" t="s">
        <v>17</v>
      </c>
      <c r="L3648" s="7">
        <v>3219.75</v>
      </c>
      <c r="M3648" s="2" t="str">
        <f>_xlfn.IFS(TelecomData[[#This Row],[TenureMonths]]&lt;=12, "0-1 Year", TelecomData[[#This Row],[TenureMonths]]&lt;=36, "1-3 Years", TelecomData[[#This Row],[TenureMonths]]&gt;36, "3+ Years")</f>
        <v>3+ Years</v>
      </c>
      <c r="N3648" s="2" t="str">
        <f>IF(TelecomData[[#This Row],[CleanedTotalCharges]]&gt;=2500,"High Spend", "Standard Spend")</f>
        <v>High Spend</v>
      </c>
    </row>
    <row r="3649" spans="1:14" x14ac:dyDescent="0.3">
      <c r="A3649" s="1" t="s">
        <v>3673</v>
      </c>
      <c r="B3649" s="2" t="s">
        <v>19</v>
      </c>
      <c r="C3649" s="2" t="s">
        <v>13</v>
      </c>
      <c r="D3649" s="2">
        <v>8</v>
      </c>
      <c r="E3649" s="2" t="s">
        <v>26</v>
      </c>
      <c r="F3649" s="2" t="s">
        <v>15</v>
      </c>
      <c r="G3649" s="7">
        <v>69.7</v>
      </c>
      <c r="H3649" s="7">
        <v>572.85</v>
      </c>
      <c r="I3649" s="2" t="s">
        <v>15</v>
      </c>
      <c r="J3649" s="2" t="s">
        <v>16</v>
      </c>
      <c r="K3649" s="2" t="s">
        <v>17</v>
      </c>
      <c r="L3649" s="7">
        <v>572.85</v>
      </c>
      <c r="M3649" s="2" t="str">
        <f>_xlfn.IFS(TelecomData[[#This Row],[TenureMonths]]&lt;=12, "0-1 Year", TelecomData[[#This Row],[TenureMonths]]&lt;=36, "1-3 Years", TelecomData[[#This Row],[TenureMonths]]&gt;36, "3+ Years")</f>
        <v>0-1 Year</v>
      </c>
      <c r="N3649" s="2" t="str">
        <f>IF(TelecomData[[#This Row],[CleanedTotalCharges]]&gt;=2500,"High Spend", "Standard Spend")</f>
        <v>Standard Spend</v>
      </c>
    </row>
    <row r="3650" spans="1:14" x14ac:dyDescent="0.3">
      <c r="A3650" s="1" t="s">
        <v>3674</v>
      </c>
      <c r="B3650" s="2" t="s">
        <v>12</v>
      </c>
      <c r="C3650" s="2" t="s">
        <v>20</v>
      </c>
      <c r="D3650" s="2">
        <v>51</v>
      </c>
      <c r="E3650" s="2" t="s">
        <v>26</v>
      </c>
      <c r="F3650" s="2" t="s">
        <v>15</v>
      </c>
      <c r="G3650" s="7">
        <v>90.15</v>
      </c>
      <c r="H3650" s="7">
        <v>4554.8500000000004</v>
      </c>
      <c r="I3650" s="2" t="s">
        <v>15</v>
      </c>
      <c r="J3650" s="2" t="s">
        <v>16</v>
      </c>
      <c r="K3650" s="2" t="s">
        <v>17</v>
      </c>
      <c r="L3650" s="7">
        <v>4554.8500000000004</v>
      </c>
      <c r="M3650" s="2" t="str">
        <f>_xlfn.IFS(TelecomData[[#This Row],[TenureMonths]]&lt;=12, "0-1 Year", TelecomData[[#This Row],[TenureMonths]]&lt;=36, "1-3 Years", TelecomData[[#This Row],[TenureMonths]]&gt;36, "3+ Years")</f>
        <v>3+ Years</v>
      </c>
      <c r="N3650" s="2" t="str">
        <f>IF(TelecomData[[#This Row],[CleanedTotalCharges]]&gt;=2500,"High Spend", "Standard Spend")</f>
        <v>High Spend</v>
      </c>
    </row>
    <row r="3651" spans="1:14" x14ac:dyDescent="0.3">
      <c r="A3651" s="1" t="s">
        <v>3675</v>
      </c>
      <c r="B3651" s="2" t="s">
        <v>19</v>
      </c>
      <c r="C3651" s="2" t="s">
        <v>35</v>
      </c>
      <c r="D3651" s="2">
        <v>71</v>
      </c>
      <c r="E3651" s="2" t="s">
        <v>15</v>
      </c>
      <c r="F3651" s="2" t="s">
        <v>36</v>
      </c>
      <c r="G3651" s="7">
        <v>25.35</v>
      </c>
      <c r="H3651" s="7">
        <v>1847.55</v>
      </c>
      <c r="I3651" s="2" t="s">
        <v>15</v>
      </c>
      <c r="J3651" s="2" t="s">
        <v>15</v>
      </c>
      <c r="K3651" s="2" t="s">
        <v>29</v>
      </c>
      <c r="L3651" s="7">
        <v>1847.55</v>
      </c>
      <c r="M3651" s="2" t="str">
        <f>_xlfn.IFS(TelecomData[[#This Row],[TenureMonths]]&lt;=12, "0-1 Year", TelecomData[[#This Row],[TenureMonths]]&lt;=36, "1-3 Years", TelecomData[[#This Row],[TenureMonths]]&gt;36, "3+ Years")</f>
        <v>3+ Years</v>
      </c>
      <c r="N3651" s="2" t="str">
        <f>IF(TelecomData[[#This Row],[CleanedTotalCharges]]&gt;=2500,"High Spend", "Standard Spend")</f>
        <v>Standard Spend</v>
      </c>
    </row>
    <row r="3652" spans="1:14" x14ac:dyDescent="0.3">
      <c r="A3652" s="1" t="s">
        <v>3676</v>
      </c>
      <c r="B3652" s="2" t="s">
        <v>19</v>
      </c>
      <c r="C3652" s="2" t="s">
        <v>35</v>
      </c>
      <c r="D3652" s="2">
        <v>71</v>
      </c>
      <c r="E3652" s="2" t="s">
        <v>15</v>
      </c>
      <c r="F3652" s="2" t="s">
        <v>36</v>
      </c>
      <c r="G3652" s="7">
        <v>24.65</v>
      </c>
      <c r="H3652" s="7">
        <v>1766.75</v>
      </c>
      <c r="I3652" s="2" t="s">
        <v>15</v>
      </c>
      <c r="J3652" s="2" t="s">
        <v>16</v>
      </c>
      <c r="K3652" s="2" t="s">
        <v>21</v>
      </c>
      <c r="L3652" s="7">
        <v>1766.75</v>
      </c>
      <c r="M3652" s="2" t="str">
        <f>_xlfn.IFS(TelecomData[[#This Row],[TenureMonths]]&lt;=12, "0-1 Year", TelecomData[[#This Row],[TenureMonths]]&lt;=36, "1-3 Years", TelecomData[[#This Row],[TenureMonths]]&gt;36, "3+ Years")</f>
        <v>3+ Years</v>
      </c>
      <c r="N3652" s="2" t="str">
        <f>IF(TelecomData[[#This Row],[CleanedTotalCharges]]&gt;=2500,"High Spend", "Standard Spend")</f>
        <v>Standard Spend</v>
      </c>
    </row>
    <row r="3653" spans="1:14" x14ac:dyDescent="0.3">
      <c r="A3653" s="1" t="s">
        <v>3677</v>
      </c>
      <c r="B3653" s="2" t="s">
        <v>12</v>
      </c>
      <c r="C3653" s="2" t="s">
        <v>35</v>
      </c>
      <c r="D3653" s="2">
        <v>70</v>
      </c>
      <c r="E3653" s="2" t="s">
        <v>15</v>
      </c>
      <c r="F3653" s="2" t="s">
        <v>36</v>
      </c>
      <c r="G3653" s="7">
        <v>19.55</v>
      </c>
      <c r="H3653" s="7">
        <v>1462.05</v>
      </c>
      <c r="I3653" s="2" t="s">
        <v>15</v>
      </c>
      <c r="J3653" s="2" t="s">
        <v>16</v>
      </c>
      <c r="K3653" s="2" t="s">
        <v>29</v>
      </c>
      <c r="L3653" s="7">
        <v>1462.05</v>
      </c>
      <c r="M3653" s="2" t="str">
        <f>_xlfn.IFS(TelecomData[[#This Row],[TenureMonths]]&lt;=12, "0-1 Year", TelecomData[[#This Row],[TenureMonths]]&lt;=36, "1-3 Years", TelecomData[[#This Row],[TenureMonths]]&gt;36, "3+ Years")</f>
        <v>3+ Years</v>
      </c>
      <c r="N3653" s="2" t="str">
        <f>IF(TelecomData[[#This Row],[CleanedTotalCharges]]&gt;=2500,"High Spend", "Standard Spend")</f>
        <v>Standard Spend</v>
      </c>
    </row>
    <row r="3654" spans="1:14" x14ac:dyDescent="0.3">
      <c r="A3654" s="1" t="s">
        <v>3678</v>
      </c>
      <c r="B3654" s="2" t="s">
        <v>12</v>
      </c>
      <c r="C3654" s="2" t="s">
        <v>13</v>
      </c>
      <c r="D3654" s="2">
        <v>1</v>
      </c>
      <c r="E3654" s="2" t="s">
        <v>14</v>
      </c>
      <c r="F3654" s="2" t="s">
        <v>15</v>
      </c>
      <c r="G3654" s="7">
        <v>25.25</v>
      </c>
      <c r="H3654" s="7">
        <v>25.25</v>
      </c>
      <c r="I3654" s="2" t="s">
        <v>16</v>
      </c>
      <c r="J3654" s="2" t="s">
        <v>15</v>
      </c>
      <c r="K3654" s="2" t="s">
        <v>17</v>
      </c>
      <c r="L3654" s="7">
        <v>25.25</v>
      </c>
      <c r="M3654" s="2" t="str">
        <f>_xlfn.IFS(TelecomData[[#This Row],[TenureMonths]]&lt;=12, "0-1 Year", TelecomData[[#This Row],[TenureMonths]]&lt;=36, "1-3 Years", TelecomData[[#This Row],[TenureMonths]]&gt;36, "3+ Years")</f>
        <v>0-1 Year</v>
      </c>
      <c r="N3654" s="2" t="str">
        <f>IF(TelecomData[[#This Row],[CleanedTotalCharges]]&gt;=2500,"High Spend", "Standard Spend")</f>
        <v>Standard Spend</v>
      </c>
    </row>
    <row r="3655" spans="1:14" x14ac:dyDescent="0.3">
      <c r="A3655" s="1" t="s">
        <v>3679</v>
      </c>
      <c r="B3655" s="2" t="s">
        <v>19</v>
      </c>
      <c r="C3655" s="2" t="s">
        <v>35</v>
      </c>
      <c r="D3655" s="2">
        <v>38</v>
      </c>
      <c r="E3655" s="2" t="s">
        <v>14</v>
      </c>
      <c r="F3655" s="2" t="s">
        <v>16</v>
      </c>
      <c r="G3655" s="7">
        <v>60</v>
      </c>
      <c r="H3655" s="7">
        <v>2193.1999999999998</v>
      </c>
      <c r="I3655" s="2" t="s">
        <v>15</v>
      </c>
      <c r="J3655" s="2" t="s">
        <v>16</v>
      </c>
      <c r="K3655" s="2" t="s">
        <v>24</v>
      </c>
      <c r="L3655" s="7">
        <v>2193.1999999999998</v>
      </c>
      <c r="M3655" s="2" t="str">
        <f>_xlfn.IFS(TelecomData[[#This Row],[TenureMonths]]&lt;=12, "0-1 Year", TelecomData[[#This Row],[TenureMonths]]&lt;=36, "1-3 Years", TelecomData[[#This Row],[TenureMonths]]&gt;36, "3+ Years")</f>
        <v>3+ Years</v>
      </c>
      <c r="N3655" s="2" t="str">
        <f>IF(TelecomData[[#This Row],[CleanedTotalCharges]]&gt;=2500,"High Spend", "Standard Spend")</f>
        <v>Standard Spend</v>
      </c>
    </row>
    <row r="3656" spans="1:14" x14ac:dyDescent="0.3">
      <c r="A3656" s="1" t="s">
        <v>3680</v>
      </c>
      <c r="B3656" s="2" t="s">
        <v>12</v>
      </c>
      <c r="C3656" s="2" t="s">
        <v>13</v>
      </c>
      <c r="D3656" s="2">
        <v>28</v>
      </c>
      <c r="E3656" s="2" t="s">
        <v>26</v>
      </c>
      <c r="F3656" s="2" t="s">
        <v>15</v>
      </c>
      <c r="G3656" s="7">
        <v>89.9</v>
      </c>
      <c r="H3656" s="7">
        <v>2433.5</v>
      </c>
      <c r="I3656" s="2" t="s">
        <v>15</v>
      </c>
      <c r="J3656" s="2" t="s">
        <v>15</v>
      </c>
      <c r="K3656" s="2" t="s">
        <v>29</v>
      </c>
      <c r="L3656" s="7">
        <v>2433.5</v>
      </c>
      <c r="M3656" s="2" t="str">
        <f>_xlfn.IFS(TelecomData[[#This Row],[TenureMonths]]&lt;=12, "0-1 Year", TelecomData[[#This Row],[TenureMonths]]&lt;=36, "1-3 Years", TelecomData[[#This Row],[TenureMonths]]&gt;36, "3+ Years")</f>
        <v>1-3 Years</v>
      </c>
      <c r="N3656" s="2" t="str">
        <f>IF(TelecomData[[#This Row],[CleanedTotalCharges]]&gt;=2500,"High Spend", "Standard Spend")</f>
        <v>Standard Spend</v>
      </c>
    </row>
    <row r="3657" spans="1:14" x14ac:dyDescent="0.3">
      <c r="A3657" s="1" t="s">
        <v>3681</v>
      </c>
      <c r="B3657" s="2" t="s">
        <v>12</v>
      </c>
      <c r="C3657" s="2" t="s">
        <v>13</v>
      </c>
      <c r="D3657" s="2">
        <v>32</v>
      </c>
      <c r="E3657" s="2" t="s">
        <v>15</v>
      </c>
      <c r="F3657" s="2" t="s">
        <v>36</v>
      </c>
      <c r="G3657" s="7">
        <v>19.399999999999999</v>
      </c>
      <c r="H3657" s="7">
        <v>641.15</v>
      </c>
      <c r="I3657" s="2" t="s">
        <v>15</v>
      </c>
      <c r="J3657" s="2" t="s">
        <v>15</v>
      </c>
      <c r="K3657" s="2" t="s">
        <v>24</v>
      </c>
      <c r="L3657" s="7">
        <v>641.15</v>
      </c>
      <c r="M3657" s="2" t="str">
        <f>_xlfn.IFS(TelecomData[[#This Row],[TenureMonths]]&lt;=12, "0-1 Year", TelecomData[[#This Row],[TenureMonths]]&lt;=36, "1-3 Years", TelecomData[[#This Row],[TenureMonths]]&gt;36, "3+ Years")</f>
        <v>1-3 Years</v>
      </c>
      <c r="N3657" s="2" t="str">
        <f>IF(TelecomData[[#This Row],[CleanedTotalCharges]]&gt;=2500,"High Spend", "Standard Spend")</f>
        <v>Standard Spend</v>
      </c>
    </row>
    <row r="3658" spans="1:14" x14ac:dyDescent="0.3">
      <c r="A3658" s="1" t="s">
        <v>3682</v>
      </c>
      <c r="B3658" s="2" t="s">
        <v>19</v>
      </c>
      <c r="C3658" s="2" t="s">
        <v>35</v>
      </c>
      <c r="D3658" s="2">
        <v>49</v>
      </c>
      <c r="E3658" s="2" t="s">
        <v>14</v>
      </c>
      <c r="F3658" s="2" t="s">
        <v>15</v>
      </c>
      <c r="G3658" s="7">
        <v>49.8</v>
      </c>
      <c r="H3658" s="7">
        <v>2398.4</v>
      </c>
      <c r="I3658" s="2" t="s">
        <v>15</v>
      </c>
      <c r="J3658" s="2" t="s">
        <v>15</v>
      </c>
      <c r="K3658" s="2" t="s">
        <v>21</v>
      </c>
      <c r="L3658" s="7">
        <v>2398.4</v>
      </c>
      <c r="M3658" s="2" t="str">
        <f>_xlfn.IFS(TelecomData[[#This Row],[TenureMonths]]&lt;=12, "0-1 Year", TelecomData[[#This Row],[TenureMonths]]&lt;=36, "1-3 Years", TelecomData[[#This Row],[TenureMonths]]&gt;36, "3+ Years")</f>
        <v>3+ Years</v>
      </c>
      <c r="N3658" s="2" t="str">
        <f>IF(TelecomData[[#This Row],[CleanedTotalCharges]]&gt;=2500,"High Spend", "Standard Spend")</f>
        <v>Standard Spend</v>
      </c>
    </row>
    <row r="3659" spans="1:14" x14ac:dyDescent="0.3">
      <c r="A3659" s="1" t="s">
        <v>3683</v>
      </c>
      <c r="B3659" s="2" t="s">
        <v>12</v>
      </c>
      <c r="C3659" s="2" t="s">
        <v>35</v>
      </c>
      <c r="D3659" s="2">
        <v>37</v>
      </c>
      <c r="E3659" s="2" t="s">
        <v>15</v>
      </c>
      <c r="F3659" s="2" t="s">
        <v>36</v>
      </c>
      <c r="G3659" s="7">
        <v>24.1</v>
      </c>
      <c r="H3659" s="7">
        <v>861.85</v>
      </c>
      <c r="I3659" s="2" t="s">
        <v>15</v>
      </c>
      <c r="J3659" s="2" t="s">
        <v>16</v>
      </c>
      <c r="K3659" s="2" t="s">
        <v>24</v>
      </c>
      <c r="L3659" s="7">
        <v>861.85</v>
      </c>
      <c r="M3659" s="2" t="str">
        <f>_xlfn.IFS(TelecomData[[#This Row],[TenureMonths]]&lt;=12, "0-1 Year", TelecomData[[#This Row],[TenureMonths]]&lt;=36, "1-3 Years", TelecomData[[#This Row],[TenureMonths]]&gt;36, "3+ Years")</f>
        <v>3+ Years</v>
      </c>
      <c r="N3659" s="2" t="str">
        <f>IF(TelecomData[[#This Row],[CleanedTotalCharges]]&gt;=2500,"High Spend", "Standard Spend")</f>
        <v>Standard Spend</v>
      </c>
    </row>
    <row r="3660" spans="1:14" x14ac:dyDescent="0.3">
      <c r="A3660" s="1" t="s">
        <v>3684</v>
      </c>
      <c r="B3660" s="2" t="s">
        <v>12</v>
      </c>
      <c r="C3660" s="2" t="s">
        <v>13</v>
      </c>
      <c r="D3660" s="2">
        <v>10</v>
      </c>
      <c r="E3660" s="2" t="s">
        <v>14</v>
      </c>
      <c r="F3660" s="2" t="s">
        <v>16</v>
      </c>
      <c r="G3660" s="7">
        <v>54.25</v>
      </c>
      <c r="H3660" s="7">
        <v>583</v>
      </c>
      <c r="I3660" s="2" t="s">
        <v>15</v>
      </c>
      <c r="J3660" s="2" t="s">
        <v>15</v>
      </c>
      <c r="K3660" s="2" t="s">
        <v>17</v>
      </c>
      <c r="L3660" s="7">
        <v>583</v>
      </c>
      <c r="M3660" s="2" t="str">
        <f>_xlfn.IFS(TelecomData[[#This Row],[TenureMonths]]&lt;=12, "0-1 Year", TelecomData[[#This Row],[TenureMonths]]&lt;=36, "1-3 Years", TelecomData[[#This Row],[TenureMonths]]&gt;36, "3+ Years")</f>
        <v>0-1 Year</v>
      </c>
      <c r="N3660" s="2" t="str">
        <f>IF(TelecomData[[#This Row],[CleanedTotalCharges]]&gt;=2500,"High Spend", "Standard Spend")</f>
        <v>Standard Spend</v>
      </c>
    </row>
    <row r="3661" spans="1:14" x14ac:dyDescent="0.3">
      <c r="A3661" s="1" t="s">
        <v>3685</v>
      </c>
      <c r="B3661" s="2" t="s">
        <v>19</v>
      </c>
      <c r="C3661" s="2" t="s">
        <v>20</v>
      </c>
      <c r="D3661" s="2">
        <v>67</v>
      </c>
      <c r="E3661" s="2" t="s">
        <v>26</v>
      </c>
      <c r="F3661" s="2" t="s">
        <v>15</v>
      </c>
      <c r="G3661" s="7">
        <v>109.9</v>
      </c>
      <c r="H3661" s="7">
        <v>7332.4</v>
      </c>
      <c r="I3661" s="2" t="s">
        <v>15</v>
      </c>
      <c r="J3661" s="2" t="s">
        <v>15</v>
      </c>
      <c r="K3661" s="2" t="s">
        <v>29</v>
      </c>
      <c r="L3661" s="7">
        <v>7332.4</v>
      </c>
      <c r="M3661" s="2" t="str">
        <f>_xlfn.IFS(TelecomData[[#This Row],[TenureMonths]]&lt;=12, "0-1 Year", TelecomData[[#This Row],[TenureMonths]]&lt;=36, "1-3 Years", TelecomData[[#This Row],[TenureMonths]]&gt;36, "3+ Years")</f>
        <v>3+ Years</v>
      </c>
      <c r="N3661" s="2" t="str">
        <f>IF(TelecomData[[#This Row],[CleanedTotalCharges]]&gt;=2500,"High Spend", "Standard Spend")</f>
        <v>High Spend</v>
      </c>
    </row>
    <row r="3662" spans="1:14" x14ac:dyDescent="0.3">
      <c r="A3662" s="1" t="s">
        <v>3686</v>
      </c>
      <c r="B3662" s="2" t="s">
        <v>19</v>
      </c>
      <c r="C3662" s="2" t="s">
        <v>20</v>
      </c>
      <c r="D3662" s="2">
        <v>7</v>
      </c>
      <c r="E3662" s="2" t="s">
        <v>14</v>
      </c>
      <c r="F3662" s="2" t="s">
        <v>16</v>
      </c>
      <c r="G3662" s="7">
        <v>35.5</v>
      </c>
      <c r="H3662" s="7">
        <v>249.55</v>
      </c>
      <c r="I3662" s="2" t="s">
        <v>15</v>
      </c>
      <c r="J3662" s="2" t="s">
        <v>16</v>
      </c>
      <c r="K3662" s="2" t="s">
        <v>29</v>
      </c>
      <c r="L3662" s="7">
        <v>249.55</v>
      </c>
      <c r="M3662" s="2" t="str">
        <f>_xlfn.IFS(TelecomData[[#This Row],[TenureMonths]]&lt;=12, "0-1 Year", TelecomData[[#This Row],[TenureMonths]]&lt;=36, "1-3 Years", TelecomData[[#This Row],[TenureMonths]]&gt;36, "3+ Years")</f>
        <v>0-1 Year</v>
      </c>
      <c r="N3662" s="2" t="str">
        <f>IF(TelecomData[[#This Row],[CleanedTotalCharges]]&gt;=2500,"High Spend", "Standard Spend")</f>
        <v>Standard Spend</v>
      </c>
    </row>
    <row r="3663" spans="1:14" x14ac:dyDescent="0.3">
      <c r="A3663" s="1" t="s">
        <v>3687</v>
      </c>
      <c r="B3663" s="2" t="s">
        <v>12</v>
      </c>
      <c r="C3663" s="2" t="s">
        <v>20</v>
      </c>
      <c r="D3663" s="2">
        <v>51</v>
      </c>
      <c r="E3663" s="2" t="s">
        <v>26</v>
      </c>
      <c r="F3663" s="2" t="s">
        <v>15</v>
      </c>
      <c r="G3663" s="7">
        <v>87.55</v>
      </c>
      <c r="H3663" s="7">
        <v>4475.8999999999996</v>
      </c>
      <c r="I3663" s="2" t="s">
        <v>15</v>
      </c>
      <c r="J3663" s="2" t="s">
        <v>15</v>
      </c>
      <c r="K3663" s="2" t="s">
        <v>29</v>
      </c>
      <c r="L3663" s="7">
        <v>4475.8999999999996</v>
      </c>
      <c r="M3663" s="2" t="str">
        <f>_xlfn.IFS(TelecomData[[#This Row],[TenureMonths]]&lt;=12, "0-1 Year", TelecomData[[#This Row],[TenureMonths]]&lt;=36, "1-3 Years", TelecomData[[#This Row],[TenureMonths]]&gt;36, "3+ Years")</f>
        <v>3+ Years</v>
      </c>
      <c r="N3663" s="2" t="str">
        <f>IF(TelecomData[[#This Row],[CleanedTotalCharges]]&gt;=2500,"High Spend", "Standard Spend")</f>
        <v>High Spend</v>
      </c>
    </row>
    <row r="3664" spans="1:14" x14ac:dyDescent="0.3">
      <c r="A3664" s="1" t="s">
        <v>3688</v>
      </c>
      <c r="B3664" s="2" t="s">
        <v>12</v>
      </c>
      <c r="C3664" s="2" t="s">
        <v>13</v>
      </c>
      <c r="D3664" s="2">
        <v>9</v>
      </c>
      <c r="E3664" s="2" t="s">
        <v>14</v>
      </c>
      <c r="F3664" s="2" t="s">
        <v>15</v>
      </c>
      <c r="G3664" s="7">
        <v>45.15</v>
      </c>
      <c r="H3664" s="7">
        <v>416.45</v>
      </c>
      <c r="I3664" s="2" t="s">
        <v>16</v>
      </c>
      <c r="J3664" s="2" t="s">
        <v>15</v>
      </c>
      <c r="K3664" s="2" t="s">
        <v>17</v>
      </c>
      <c r="L3664" s="7">
        <v>416.45</v>
      </c>
      <c r="M3664" s="2" t="str">
        <f>_xlfn.IFS(TelecomData[[#This Row],[TenureMonths]]&lt;=12, "0-1 Year", TelecomData[[#This Row],[TenureMonths]]&lt;=36, "1-3 Years", TelecomData[[#This Row],[TenureMonths]]&gt;36, "3+ Years")</f>
        <v>0-1 Year</v>
      </c>
      <c r="N3664" s="2" t="str">
        <f>IF(TelecomData[[#This Row],[CleanedTotalCharges]]&gt;=2500,"High Spend", "Standard Spend")</f>
        <v>Standard Spend</v>
      </c>
    </row>
    <row r="3665" spans="1:14" x14ac:dyDescent="0.3">
      <c r="A3665" s="1" t="s">
        <v>3689</v>
      </c>
      <c r="B3665" s="2" t="s">
        <v>12</v>
      </c>
      <c r="C3665" s="2" t="s">
        <v>13</v>
      </c>
      <c r="D3665" s="2">
        <v>9</v>
      </c>
      <c r="E3665" s="2" t="s">
        <v>26</v>
      </c>
      <c r="F3665" s="2" t="s">
        <v>15</v>
      </c>
      <c r="G3665" s="7">
        <v>88.4</v>
      </c>
      <c r="H3665" s="7">
        <v>788.6</v>
      </c>
      <c r="I3665" s="2" t="s">
        <v>15</v>
      </c>
      <c r="J3665" s="2" t="s">
        <v>16</v>
      </c>
      <c r="K3665" s="2" t="s">
        <v>21</v>
      </c>
      <c r="L3665" s="7">
        <v>788.6</v>
      </c>
      <c r="M3665" s="2" t="str">
        <f>_xlfn.IFS(TelecomData[[#This Row],[TenureMonths]]&lt;=12, "0-1 Year", TelecomData[[#This Row],[TenureMonths]]&lt;=36, "1-3 Years", TelecomData[[#This Row],[TenureMonths]]&gt;36, "3+ Years")</f>
        <v>0-1 Year</v>
      </c>
      <c r="N3665" s="2" t="str">
        <f>IF(TelecomData[[#This Row],[CleanedTotalCharges]]&gt;=2500,"High Spend", "Standard Spend")</f>
        <v>Standard Spend</v>
      </c>
    </row>
    <row r="3666" spans="1:14" x14ac:dyDescent="0.3">
      <c r="A3666" s="1" t="s">
        <v>3690</v>
      </c>
      <c r="B3666" s="2" t="s">
        <v>19</v>
      </c>
      <c r="C3666" s="2" t="s">
        <v>13</v>
      </c>
      <c r="D3666" s="2">
        <v>4</v>
      </c>
      <c r="E3666" s="2" t="s">
        <v>14</v>
      </c>
      <c r="F3666" s="2" t="s">
        <v>16</v>
      </c>
      <c r="G3666" s="7">
        <v>50.8</v>
      </c>
      <c r="H3666" s="7">
        <v>202.3</v>
      </c>
      <c r="I3666" s="2" t="s">
        <v>15</v>
      </c>
      <c r="J3666" s="2" t="s">
        <v>16</v>
      </c>
      <c r="K3666" s="2" t="s">
        <v>21</v>
      </c>
      <c r="L3666" s="7">
        <v>202.3</v>
      </c>
      <c r="M3666" s="2" t="str">
        <f>_xlfn.IFS(TelecomData[[#This Row],[TenureMonths]]&lt;=12, "0-1 Year", TelecomData[[#This Row],[TenureMonths]]&lt;=36, "1-3 Years", TelecomData[[#This Row],[TenureMonths]]&gt;36, "3+ Years")</f>
        <v>0-1 Year</v>
      </c>
      <c r="N3666" s="2" t="str">
        <f>IF(TelecomData[[#This Row],[CleanedTotalCharges]]&gt;=2500,"High Spend", "Standard Spend")</f>
        <v>Standard Spend</v>
      </c>
    </row>
    <row r="3667" spans="1:14" x14ac:dyDescent="0.3">
      <c r="A3667" s="1" t="s">
        <v>3691</v>
      </c>
      <c r="B3667" s="2" t="s">
        <v>19</v>
      </c>
      <c r="C3667" s="2" t="s">
        <v>35</v>
      </c>
      <c r="D3667" s="2">
        <v>71</v>
      </c>
      <c r="E3667" s="2" t="s">
        <v>26</v>
      </c>
      <c r="F3667" s="2" t="s">
        <v>15</v>
      </c>
      <c r="G3667" s="7">
        <v>99</v>
      </c>
      <c r="H3667" s="7">
        <v>6994.6</v>
      </c>
      <c r="I3667" s="2" t="s">
        <v>15</v>
      </c>
      <c r="J3667" s="2" t="s">
        <v>16</v>
      </c>
      <c r="K3667" s="2" t="s">
        <v>17</v>
      </c>
      <c r="L3667" s="7">
        <v>6994.6</v>
      </c>
      <c r="M3667" s="2" t="str">
        <f>_xlfn.IFS(TelecomData[[#This Row],[TenureMonths]]&lt;=12, "0-1 Year", TelecomData[[#This Row],[TenureMonths]]&lt;=36, "1-3 Years", TelecomData[[#This Row],[TenureMonths]]&gt;36, "3+ Years")</f>
        <v>3+ Years</v>
      </c>
      <c r="N3667" s="2" t="str">
        <f>IF(TelecomData[[#This Row],[CleanedTotalCharges]]&gt;=2500,"High Spend", "Standard Spend")</f>
        <v>High Spend</v>
      </c>
    </row>
    <row r="3668" spans="1:14" x14ac:dyDescent="0.3">
      <c r="A3668" s="1" t="s">
        <v>3692</v>
      </c>
      <c r="B3668" s="2" t="s">
        <v>12</v>
      </c>
      <c r="C3668" s="2" t="s">
        <v>13</v>
      </c>
      <c r="D3668" s="2">
        <v>50</v>
      </c>
      <c r="E3668" s="2" t="s">
        <v>26</v>
      </c>
      <c r="F3668" s="2" t="s">
        <v>15</v>
      </c>
      <c r="G3668" s="7">
        <v>84.4</v>
      </c>
      <c r="H3668" s="7">
        <v>4116.1499999999996</v>
      </c>
      <c r="I3668" s="2" t="s">
        <v>16</v>
      </c>
      <c r="J3668" s="2" t="s">
        <v>16</v>
      </c>
      <c r="K3668" s="2" t="s">
        <v>24</v>
      </c>
      <c r="L3668" s="7">
        <v>4116.1499999999996</v>
      </c>
      <c r="M3668" s="2" t="str">
        <f>_xlfn.IFS(TelecomData[[#This Row],[TenureMonths]]&lt;=12, "0-1 Year", TelecomData[[#This Row],[TenureMonths]]&lt;=36, "1-3 Years", TelecomData[[#This Row],[TenureMonths]]&gt;36, "3+ Years")</f>
        <v>3+ Years</v>
      </c>
      <c r="N3668" s="2" t="str">
        <f>IF(TelecomData[[#This Row],[CleanedTotalCharges]]&gt;=2500,"High Spend", "Standard Spend")</f>
        <v>High Spend</v>
      </c>
    </row>
    <row r="3669" spans="1:14" x14ac:dyDescent="0.3">
      <c r="A3669" s="1" t="s">
        <v>3693</v>
      </c>
      <c r="B3669" s="2" t="s">
        <v>12</v>
      </c>
      <c r="C3669" s="2" t="s">
        <v>35</v>
      </c>
      <c r="D3669" s="2">
        <v>24</v>
      </c>
      <c r="E3669" s="2" t="s">
        <v>26</v>
      </c>
      <c r="F3669" s="2" t="s">
        <v>15</v>
      </c>
      <c r="G3669" s="7">
        <v>96.55</v>
      </c>
      <c r="H3669" s="7">
        <v>2263.4499999999998</v>
      </c>
      <c r="I3669" s="2" t="s">
        <v>15</v>
      </c>
      <c r="J3669" s="2" t="s">
        <v>16</v>
      </c>
      <c r="K3669" s="2" t="s">
        <v>17</v>
      </c>
      <c r="L3669" s="7">
        <v>2263.4499999999998</v>
      </c>
      <c r="M3669" s="2" t="str">
        <f>_xlfn.IFS(TelecomData[[#This Row],[TenureMonths]]&lt;=12, "0-1 Year", TelecomData[[#This Row],[TenureMonths]]&lt;=36, "1-3 Years", TelecomData[[#This Row],[TenureMonths]]&gt;36, "3+ Years")</f>
        <v>1-3 Years</v>
      </c>
      <c r="N3669" s="2" t="str">
        <f>IF(TelecomData[[#This Row],[CleanedTotalCharges]]&gt;=2500,"High Spend", "Standard Spend")</f>
        <v>Standard Spend</v>
      </c>
    </row>
    <row r="3670" spans="1:14" x14ac:dyDescent="0.3">
      <c r="A3670" s="1" t="s">
        <v>3694</v>
      </c>
      <c r="B3670" s="2" t="s">
        <v>19</v>
      </c>
      <c r="C3670" s="2" t="s">
        <v>20</v>
      </c>
      <c r="D3670" s="2">
        <v>22</v>
      </c>
      <c r="E3670" s="2" t="s">
        <v>14</v>
      </c>
      <c r="F3670" s="2" t="s">
        <v>15</v>
      </c>
      <c r="G3670" s="7">
        <v>59.75</v>
      </c>
      <c r="H3670" s="7">
        <v>1374.35</v>
      </c>
      <c r="I3670" s="2" t="s">
        <v>15</v>
      </c>
      <c r="J3670" s="2" t="s">
        <v>16</v>
      </c>
      <c r="K3670" s="2" t="s">
        <v>24</v>
      </c>
      <c r="L3670" s="7">
        <v>1374.35</v>
      </c>
      <c r="M3670" s="2" t="str">
        <f>_xlfn.IFS(TelecomData[[#This Row],[TenureMonths]]&lt;=12, "0-1 Year", TelecomData[[#This Row],[TenureMonths]]&lt;=36, "1-3 Years", TelecomData[[#This Row],[TenureMonths]]&gt;36, "3+ Years")</f>
        <v>1-3 Years</v>
      </c>
      <c r="N3670" s="2" t="str">
        <f>IF(TelecomData[[#This Row],[CleanedTotalCharges]]&gt;=2500,"High Spend", "Standard Spend")</f>
        <v>Standard Spend</v>
      </c>
    </row>
    <row r="3671" spans="1:14" x14ac:dyDescent="0.3">
      <c r="A3671" s="1" t="s">
        <v>3695</v>
      </c>
      <c r="B3671" s="2" t="s">
        <v>19</v>
      </c>
      <c r="C3671" s="2" t="s">
        <v>13</v>
      </c>
      <c r="D3671" s="2">
        <v>44</v>
      </c>
      <c r="E3671" s="2" t="s">
        <v>26</v>
      </c>
      <c r="F3671" s="2" t="s">
        <v>15</v>
      </c>
      <c r="G3671" s="7">
        <v>111.5</v>
      </c>
      <c r="H3671" s="7">
        <v>4915.1499999999996</v>
      </c>
      <c r="I3671" s="2" t="s">
        <v>15</v>
      </c>
      <c r="J3671" s="2" t="s">
        <v>16</v>
      </c>
      <c r="K3671" s="2" t="s">
        <v>17</v>
      </c>
      <c r="L3671" s="7">
        <v>4915.1499999999996</v>
      </c>
      <c r="M3671" s="2" t="str">
        <f>_xlfn.IFS(TelecomData[[#This Row],[TenureMonths]]&lt;=12, "0-1 Year", TelecomData[[#This Row],[TenureMonths]]&lt;=36, "1-3 Years", TelecomData[[#This Row],[TenureMonths]]&gt;36, "3+ Years")</f>
        <v>3+ Years</v>
      </c>
      <c r="N3671" s="2" t="str">
        <f>IF(TelecomData[[#This Row],[CleanedTotalCharges]]&gt;=2500,"High Spend", "Standard Spend")</f>
        <v>High Spend</v>
      </c>
    </row>
    <row r="3672" spans="1:14" x14ac:dyDescent="0.3">
      <c r="A3672" s="1" t="s">
        <v>3696</v>
      </c>
      <c r="B3672" s="2" t="s">
        <v>12</v>
      </c>
      <c r="C3672" s="2" t="s">
        <v>13</v>
      </c>
      <c r="D3672" s="2">
        <v>33</v>
      </c>
      <c r="E3672" s="2" t="s">
        <v>15</v>
      </c>
      <c r="F3672" s="2" t="s">
        <v>36</v>
      </c>
      <c r="G3672" s="7">
        <v>24.25</v>
      </c>
      <c r="H3672" s="7">
        <v>838.5</v>
      </c>
      <c r="I3672" s="2" t="s">
        <v>15</v>
      </c>
      <c r="J3672" s="2" t="s">
        <v>15</v>
      </c>
      <c r="K3672" s="2" t="s">
        <v>24</v>
      </c>
      <c r="L3672" s="7">
        <v>838.5</v>
      </c>
      <c r="M3672" s="2" t="str">
        <f>_xlfn.IFS(TelecomData[[#This Row],[TenureMonths]]&lt;=12, "0-1 Year", TelecomData[[#This Row],[TenureMonths]]&lt;=36, "1-3 Years", TelecomData[[#This Row],[TenureMonths]]&gt;36, "3+ Years")</f>
        <v>1-3 Years</v>
      </c>
      <c r="N3672" s="2" t="str">
        <f>IF(TelecomData[[#This Row],[CleanedTotalCharges]]&gt;=2500,"High Spend", "Standard Spend")</f>
        <v>Standard Spend</v>
      </c>
    </row>
    <row r="3673" spans="1:14" x14ac:dyDescent="0.3">
      <c r="A3673" s="1" t="s">
        <v>3697</v>
      </c>
      <c r="B3673" s="2" t="s">
        <v>12</v>
      </c>
      <c r="C3673" s="2" t="s">
        <v>13</v>
      </c>
      <c r="D3673" s="2">
        <v>1</v>
      </c>
      <c r="E3673" s="2" t="s">
        <v>26</v>
      </c>
      <c r="F3673" s="2" t="s">
        <v>15</v>
      </c>
      <c r="G3673" s="7">
        <v>75.099999999999994</v>
      </c>
      <c r="H3673" s="7">
        <v>75.099999999999994</v>
      </c>
      <c r="I3673" s="2" t="s">
        <v>16</v>
      </c>
      <c r="J3673" s="2" t="s">
        <v>16</v>
      </c>
      <c r="K3673" s="2" t="s">
        <v>17</v>
      </c>
      <c r="L3673" s="7">
        <v>75.099999999999994</v>
      </c>
      <c r="M3673" s="2" t="str">
        <f>_xlfn.IFS(TelecomData[[#This Row],[TenureMonths]]&lt;=12, "0-1 Year", TelecomData[[#This Row],[TenureMonths]]&lt;=36, "1-3 Years", TelecomData[[#This Row],[TenureMonths]]&gt;36, "3+ Years")</f>
        <v>0-1 Year</v>
      </c>
      <c r="N3673" s="2" t="str">
        <f>IF(TelecomData[[#This Row],[CleanedTotalCharges]]&gt;=2500,"High Spend", "Standard Spend")</f>
        <v>Standard Spend</v>
      </c>
    </row>
    <row r="3674" spans="1:14" x14ac:dyDescent="0.3">
      <c r="A3674" s="1" t="s">
        <v>3698</v>
      </c>
      <c r="B3674" s="2" t="s">
        <v>12</v>
      </c>
      <c r="C3674" s="2" t="s">
        <v>20</v>
      </c>
      <c r="D3674" s="2">
        <v>54</v>
      </c>
      <c r="E3674" s="2" t="s">
        <v>14</v>
      </c>
      <c r="F3674" s="2" t="s">
        <v>15</v>
      </c>
      <c r="G3674" s="7">
        <v>70.150000000000006</v>
      </c>
      <c r="H3674" s="7">
        <v>3715.65</v>
      </c>
      <c r="I3674" s="2" t="s">
        <v>16</v>
      </c>
      <c r="J3674" s="2" t="s">
        <v>16</v>
      </c>
      <c r="K3674" s="2" t="s">
        <v>29</v>
      </c>
      <c r="L3674" s="7">
        <v>3715.65</v>
      </c>
      <c r="M3674" s="2" t="str">
        <f>_xlfn.IFS(TelecomData[[#This Row],[TenureMonths]]&lt;=12, "0-1 Year", TelecomData[[#This Row],[TenureMonths]]&lt;=36, "1-3 Years", TelecomData[[#This Row],[TenureMonths]]&gt;36, "3+ Years")</f>
        <v>3+ Years</v>
      </c>
      <c r="N3674" s="2" t="str">
        <f>IF(TelecomData[[#This Row],[CleanedTotalCharges]]&gt;=2500,"High Spend", "Standard Spend")</f>
        <v>High Spend</v>
      </c>
    </row>
    <row r="3675" spans="1:14" x14ac:dyDescent="0.3">
      <c r="A3675" s="1" t="s">
        <v>3699</v>
      </c>
      <c r="B3675" s="2" t="s">
        <v>19</v>
      </c>
      <c r="C3675" s="2" t="s">
        <v>13</v>
      </c>
      <c r="D3675" s="2">
        <v>42</v>
      </c>
      <c r="E3675" s="2" t="s">
        <v>26</v>
      </c>
      <c r="F3675" s="2" t="s">
        <v>15</v>
      </c>
      <c r="G3675" s="7">
        <v>101.75</v>
      </c>
      <c r="H3675" s="7">
        <v>4273.45</v>
      </c>
      <c r="I3675" s="2" t="s">
        <v>16</v>
      </c>
      <c r="J3675" s="2" t="s">
        <v>16</v>
      </c>
      <c r="K3675" s="2" t="s">
        <v>17</v>
      </c>
      <c r="L3675" s="7">
        <v>4273.45</v>
      </c>
      <c r="M3675" s="2" t="str">
        <f>_xlfn.IFS(TelecomData[[#This Row],[TenureMonths]]&lt;=12, "0-1 Year", TelecomData[[#This Row],[TenureMonths]]&lt;=36, "1-3 Years", TelecomData[[#This Row],[TenureMonths]]&gt;36, "3+ Years")</f>
        <v>3+ Years</v>
      </c>
      <c r="N3675" s="2" t="str">
        <f>IF(TelecomData[[#This Row],[CleanedTotalCharges]]&gt;=2500,"High Spend", "Standard Spend")</f>
        <v>High Spend</v>
      </c>
    </row>
    <row r="3676" spans="1:14" x14ac:dyDescent="0.3">
      <c r="A3676" s="1" t="s">
        <v>3700</v>
      </c>
      <c r="B3676" s="2" t="s">
        <v>12</v>
      </c>
      <c r="C3676" s="2" t="s">
        <v>13</v>
      </c>
      <c r="D3676" s="2">
        <v>1</v>
      </c>
      <c r="E3676" s="2" t="s">
        <v>14</v>
      </c>
      <c r="F3676" s="2" t="s">
        <v>15</v>
      </c>
      <c r="G3676" s="7">
        <v>45.8</v>
      </c>
      <c r="H3676" s="7">
        <v>45.8</v>
      </c>
      <c r="I3676" s="2" t="s">
        <v>16</v>
      </c>
      <c r="J3676" s="2" t="s">
        <v>15</v>
      </c>
      <c r="K3676" s="2" t="s">
        <v>17</v>
      </c>
      <c r="L3676" s="7">
        <v>45.8</v>
      </c>
      <c r="M3676" s="2" t="str">
        <f>_xlfn.IFS(TelecomData[[#This Row],[TenureMonths]]&lt;=12, "0-1 Year", TelecomData[[#This Row],[TenureMonths]]&lt;=36, "1-3 Years", TelecomData[[#This Row],[TenureMonths]]&gt;36, "3+ Years")</f>
        <v>0-1 Year</v>
      </c>
      <c r="N3676" s="2" t="str">
        <f>IF(TelecomData[[#This Row],[CleanedTotalCharges]]&gt;=2500,"High Spend", "Standard Spend")</f>
        <v>Standard Spend</v>
      </c>
    </row>
    <row r="3677" spans="1:14" x14ac:dyDescent="0.3">
      <c r="A3677" s="1" t="s">
        <v>3701</v>
      </c>
      <c r="B3677" s="2" t="s">
        <v>12</v>
      </c>
      <c r="C3677" s="2" t="s">
        <v>13</v>
      </c>
      <c r="D3677" s="2">
        <v>1</v>
      </c>
      <c r="E3677" s="2" t="s">
        <v>15</v>
      </c>
      <c r="F3677" s="2" t="s">
        <v>36</v>
      </c>
      <c r="G3677" s="7">
        <v>20.5</v>
      </c>
      <c r="H3677" s="7">
        <v>20.5</v>
      </c>
      <c r="I3677" s="2" t="s">
        <v>15</v>
      </c>
      <c r="J3677" s="2" t="s">
        <v>15</v>
      </c>
      <c r="K3677" s="2" t="s">
        <v>21</v>
      </c>
      <c r="L3677" s="7">
        <v>20.5</v>
      </c>
      <c r="M3677" s="2" t="str">
        <f>_xlfn.IFS(TelecomData[[#This Row],[TenureMonths]]&lt;=12, "0-1 Year", TelecomData[[#This Row],[TenureMonths]]&lt;=36, "1-3 Years", TelecomData[[#This Row],[TenureMonths]]&gt;36, "3+ Years")</f>
        <v>0-1 Year</v>
      </c>
      <c r="N3677" s="2" t="str">
        <f>IF(TelecomData[[#This Row],[CleanedTotalCharges]]&gt;=2500,"High Spend", "Standard Spend")</f>
        <v>Standard Spend</v>
      </c>
    </row>
    <row r="3678" spans="1:14" x14ac:dyDescent="0.3">
      <c r="A3678" s="1" t="s">
        <v>3702</v>
      </c>
      <c r="B3678" s="2" t="s">
        <v>19</v>
      </c>
      <c r="C3678" s="2" t="s">
        <v>20</v>
      </c>
      <c r="D3678" s="2">
        <v>30</v>
      </c>
      <c r="E3678" s="2" t="s">
        <v>14</v>
      </c>
      <c r="F3678" s="2" t="s">
        <v>16</v>
      </c>
      <c r="G3678" s="7">
        <v>70.400000000000006</v>
      </c>
      <c r="H3678" s="7">
        <v>2044.75</v>
      </c>
      <c r="I3678" s="2" t="s">
        <v>15</v>
      </c>
      <c r="J3678" s="2" t="s">
        <v>15</v>
      </c>
      <c r="K3678" s="2" t="s">
        <v>17</v>
      </c>
      <c r="L3678" s="7">
        <v>2044.75</v>
      </c>
      <c r="M3678" s="2" t="str">
        <f>_xlfn.IFS(TelecomData[[#This Row],[TenureMonths]]&lt;=12, "0-1 Year", TelecomData[[#This Row],[TenureMonths]]&lt;=36, "1-3 Years", TelecomData[[#This Row],[TenureMonths]]&gt;36, "3+ Years")</f>
        <v>1-3 Years</v>
      </c>
      <c r="N3678" s="2" t="str">
        <f>IF(TelecomData[[#This Row],[CleanedTotalCharges]]&gt;=2500,"High Spend", "Standard Spend")</f>
        <v>Standard Spend</v>
      </c>
    </row>
    <row r="3679" spans="1:14" x14ac:dyDescent="0.3">
      <c r="A3679" s="1" t="s">
        <v>3703</v>
      </c>
      <c r="B3679" s="2" t="s">
        <v>12</v>
      </c>
      <c r="C3679" s="2" t="s">
        <v>13</v>
      </c>
      <c r="D3679" s="2">
        <v>1</v>
      </c>
      <c r="E3679" s="2" t="s">
        <v>14</v>
      </c>
      <c r="F3679" s="2" t="s">
        <v>16</v>
      </c>
      <c r="G3679" s="7">
        <v>30.55</v>
      </c>
      <c r="H3679" s="7">
        <v>30.55</v>
      </c>
      <c r="I3679" s="2" t="s">
        <v>15</v>
      </c>
      <c r="J3679" s="2" t="s">
        <v>15</v>
      </c>
      <c r="K3679" s="2" t="s">
        <v>21</v>
      </c>
      <c r="L3679" s="7">
        <v>30.55</v>
      </c>
      <c r="M3679" s="2" t="str">
        <f>_xlfn.IFS(TelecomData[[#This Row],[TenureMonths]]&lt;=12, "0-1 Year", TelecomData[[#This Row],[TenureMonths]]&lt;=36, "1-3 Years", TelecomData[[#This Row],[TenureMonths]]&gt;36, "3+ Years")</f>
        <v>0-1 Year</v>
      </c>
      <c r="N3679" s="2" t="str">
        <f>IF(TelecomData[[#This Row],[CleanedTotalCharges]]&gt;=2500,"High Spend", "Standard Spend")</f>
        <v>Standard Spend</v>
      </c>
    </row>
    <row r="3680" spans="1:14" x14ac:dyDescent="0.3">
      <c r="A3680" s="1" t="s">
        <v>3704</v>
      </c>
      <c r="B3680" s="2" t="s">
        <v>19</v>
      </c>
      <c r="C3680" s="2" t="s">
        <v>13</v>
      </c>
      <c r="D3680" s="2">
        <v>16</v>
      </c>
      <c r="E3680" s="2" t="s">
        <v>14</v>
      </c>
      <c r="F3680" s="2" t="s">
        <v>16</v>
      </c>
      <c r="G3680" s="7">
        <v>84.9</v>
      </c>
      <c r="H3680" s="7">
        <v>1398.25</v>
      </c>
      <c r="I3680" s="2" t="s">
        <v>15</v>
      </c>
      <c r="J3680" s="2" t="s">
        <v>15</v>
      </c>
      <c r="K3680" s="2" t="s">
        <v>17</v>
      </c>
      <c r="L3680" s="7">
        <v>1398.25</v>
      </c>
      <c r="M3680" s="2" t="str">
        <f>_xlfn.IFS(TelecomData[[#This Row],[TenureMonths]]&lt;=12, "0-1 Year", TelecomData[[#This Row],[TenureMonths]]&lt;=36, "1-3 Years", TelecomData[[#This Row],[TenureMonths]]&gt;36, "3+ Years")</f>
        <v>1-3 Years</v>
      </c>
      <c r="N3680" s="2" t="str">
        <f>IF(TelecomData[[#This Row],[CleanedTotalCharges]]&gt;=2500,"High Spend", "Standard Spend")</f>
        <v>Standard Spend</v>
      </c>
    </row>
    <row r="3681" spans="1:14" x14ac:dyDescent="0.3">
      <c r="A3681" s="1" t="s">
        <v>3705</v>
      </c>
      <c r="B3681" s="2" t="s">
        <v>19</v>
      </c>
      <c r="C3681" s="2" t="s">
        <v>13</v>
      </c>
      <c r="D3681" s="2">
        <v>1</v>
      </c>
      <c r="E3681" s="2" t="s">
        <v>15</v>
      </c>
      <c r="F3681" s="2" t="s">
        <v>36</v>
      </c>
      <c r="G3681" s="7">
        <v>20.100000000000001</v>
      </c>
      <c r="H3681" s="7">
        <v>20.100000000000001</v>
      </c>
      <c r="I3681" s="2" t="s">
        <v>16</v>
      </c>
      <c r="J3681" s="2" t="s">
        <v>16</v>
      </c>
      <c r="K3681" s="2" t="s">
        <v>21</v>
      </c>
      <c r="L3681" s="7">
        <v>20.100000000000001</v>
      </c>
      <c r="M3681" s="2" t="str">
        <f>_xlfn.IFS(TelecomData[[#This Row],[TenureMonths]]&lt;=12, "0-1 Year", TelecomData[[#This Row],[TenureMonths]]&lt;=36, "1-3 Years", TelecomData[[#This Row],[TenureMonths]]&gt;36, "3+ Years")</f>
        <v>0-1 Year</v>
      </c>
      <c r="N3681" s="2" t="str">
        <f>IF(TelecomData[[#This Row],[CleanedTotalCharges]]&gt;=2500,"High Spend", "Standard Spend")</f>
        <v>Standard Spend</v>
      </c>
    </row>
    <row r="3682" spans="1:14" x14ac:dyDescent="0.3">
      <c r="A3682" s="1" t="s">
        <v>3706</v>
      </c>
      <c r="B3682" s="2" t="s">
        <v>19</v>
      </c>
      <c r="C3682" s="2" t="s">
        <v>13</v>
      </c>
      <c r="D3682" s="2">
        <v>9</v>
      </c>
      <c r="E3682" s="2" t="s">
        <v>14</v>
      </c>
      <c r="F3682" s="2" t="s">
        <v>16</v>
      </c>
      <c r="G3682" s="7">
        <v>40.65</v>
      </c>
      <c r="H3682" s="7">
        <v>328.95</v>
      </c>
      <c r="I3682" s="2" t="s">
        <v>16</v>
      </c>
      <c r="J3682" s="2" t="s">
        <v>15</v>
      </c>
      <c r="K3682" s="2" t="s">
        <v>21</v>
      </c>
      <c r="L3682" s="7">
        <v>328.95</v>
      </c>
      <c r="M3682" s="2" t="str">
        <f>_xlfn.IFS(TelecomData[[#This Row],[TenureMonths]]&lt;=12, "0-1 Year", TelecomData[[#This Row],[TenureMonths]]&lt;=36, "1-3 Years", TelecomData[[#This Row],[TenureMonths]]&gt;36, "3+ Years")</f>
        <v>0-1 Year</v>
      </c>
      <c r="N3682" s="2" t="str">
        <f>IF(TelecomData[[#This Row],[CleanedTotalCharges]]&gt;=2500,"High Spend", "Standard Spend")</f>
        <v>Standard Spend</v>
      </c>
    </row>
    <row r="3683" spans="1:14" x14ac:dyDescent="0.3">
      <c r="A3683" s="1" t="s">
        <v>3707</v>
      </c>
      <c r="B3683" s="2" t="s">
        <v>19</v>
      </c>
      <c r="C3683" s="2" t="s">
        <v>13</v>
      </c>
      <c r="D3683" s="2">
        <v>46</v>
      </c>
      <c r="E3683" s="2" t="s">
        <v>26</v>
      </c>
      <c r="F3683" s="2" t="s">
        <v>15</v>
      </c>
      <c r="G3683" s="7">
        <v>101</v>
      </c>
      <c r="H3683" s="7">
        <v>4680.05</v>
      </c>
      <c r="I3683" s="2" t="s">
        <v>16</v>
      </c>
      <c r="J3683" s="2" t="s">
        <v>16</v>
      </c>
      <c r="K3683" s="2" t="s">
        <v>17</v>
      </c>
      <c r="L3683" s="7">
        <v>4680.05</v>
      </c>
      <c r="M3683" s="2" t="str">
        <f>_xlfn.IFS(TelecomData[[#This Row],[TenureMonths]]&lt;=12, "0-1 Year", TelecomData[[#This Row],[TenureMonths]]&lt;=36, "1-3 Years", TelecomData[[#This Row],[TenureMonths]]&gt;36, "3+ Years")</f>
        <v>3+ Years</v>
      </c>
      <c r="N3683" s="2" t="str">
        <f>IF(TelecomData[[#This Row],[CleanedTotalCharges]]&gt;=2500,"High Spend", "Standard Spend")</f>
        <v>High Spend</v>
      </c>
    </row>
    <row r="3684" spans="1:14" x14ac:dyDescent="0.3">
      <c r="A3684" s="1" t="s">
        <v>3708</v>
      </c>
      <c r="B3684" s="2" t="s">
        <v>19</v>
      </c>
      <c r="C3684" s="2" t="s">
        <v>13</v>
      </c>
      <c r="D3684" s="2">
        <v>1</v>
      </c>
      <c r="E3684" s="2" t="s">
        <v>26</v>
      </c>
      <c r="F3684" s="2" t="s">
        <v>15</v>
      </c>
      <c r="G3684" s="7">
        <v>69.099999999999994</v>
      </c>
      <c r="H3684" s="7">
        <v>69.099999999999994</v>
      </c>
      <c r="I3684" s="2" t="s">
        <v>16</v>
      </c>
      <c r="J3684" s="2" t="s">
        <v>16</v>
      </c>
      <c r="K3684" s="2" t="s">
        <v>17</v>
      </c>
      <c r="L3684" s="7">
        <v>69.099999999999994</v>
      </c>
      <c r="M3684" s="2" t="str">
        <f>_xlfn.IFS(TelecomData[[#This Row],[TenureMonths]]&lt;=12, "0-1 Year", TelecomData[[#This Row],[TenureMonths]]&lt;=36, "1-3 Years", TelecomData[[#This Row],[TenureMonths]]&gt;36, "3+ Years")</f>
        <v>0-1 Year</v>
      </c>
      <c r="N3684" s="2" t="str">
        <f>IF(TelecomData[[#This Row],[CleanedTotalCharges]]&gt;=2500,"High Spend", "Standard Spend")</f>
        <v>Standard Spend</v>
      </c>
    </row>
    <row r="3685" spans="1:14" x14ac:dyDescent="0.3">
      <c r="A3685" s="1" t="s">
        <v>3709</v>
      </c>
      <c r="B3685" s="2" t="s">
        <v>19</v>
      </c>
      <c r="C3685" s="2" t="s">
        <v>35</v>
      </c>
      <c r="D3685" s="2">
        <v>71</v>
      </c>
      <c r="E3685" s="2" t="s">
        <v>14</v>
      </c>
      <c r="F3685" s="2" t="s">
        <v>16</v>
      </c>
      <c r="G3685" s="7">
        <v>54.5</v>
      </c>
      <c r="H3685" s="7">
        <v>3778.2</v>
      </c>
      <c r="I3685" s="2" t="s">
        <v>15</v>
      </c>
      <c r="J3685" s="2" t="s">
        <v>15</v>
      </c>
      <c r="K3685" s="2" t="s">
        <v>24</v>
      </c>
      <c r="L3685" s="7">
        <v>3778.2</v>
      </c>
      <c r="M3685" s="2" t="str">
        <f>_xlfn.IFS(TelecomData[[#This Row],[TenureMonths]]&lt;=12, "0-1 Year", TelecomData[[#This Row],[TenureMonths]]&lt;=36, "1-3 Years", TelecomData[[#This Row],[TenureMonths]]&gt;36, "3+ Years")</f>
        <v>3+ Years</v>
      </c>
      <c r="N3685" s="2" t="str">
        <f>IF(TelecomData[[#This Row],[CleanedTotalCharges]]&gt;=2500,"High Spend", "Standard Spend")</f>
        <v>High Spend</v>
      </c>
    </row>
    <row r="3686" spans="1:14" x14ac:dyDescent="0.3">
      <c r="A3686" s="1" t="s">
        <v>3710</v>
      </c>
      <c r="B3686" s="2" t="s">
        <v>19</v>
      </c>
      <c r="C3686" s="2" t="s">
        <v>13</v>
      </c>
      <c r="D3686" s="2">
        <v>43</v>
      </c>
      <c r="E3686" s="2" t="s">
        <v>26</v>
      </c>
      <c r="F3686" s="2" t="s">
        <v>15</v>
      </c>
      <c r="G3686" s="7">
        <v>75.349999999999994</v>
      </c>
      <c r="H3686" s="7">
        <v>3161.4</v>
      </c>
      <c r="I3686" s="2" t="s">
        <v>15</v>
      </c>
      <c r="J3686" s="2" t="s">
        <v>16</v>
      </c>
      <c r="K3686" s="2" t="s">
        <v>29</v>
      </c>
      <c r="L3686" s="7">
        <v>3161.4</v>
      </c>
      <c r="M3686" s="2" t="str">
        <f>_xlfn.IFS(TelecomData[[#This Row],[TenureMonths]]&lt;=12, "0-1 Year", TelecomData[[#This Row],[TenureMonths]]&lt;=36, "1-3 Years", TelecomData[[#This Row],[TenureMonths]]&gt;36, "3+ Years")</f>
        <v>3+ Years</v>
      </c>
      <c r="N3686" s="2" t="str">
        <f>IF(TelecomData[[#This Row],[CleanedTotalCharges]]&gt;=2500,"High Spend", "Standard Spend")</f>
        <v>High Spend</v>
      </c>
    </row>
    <row r="3687" spans="1:14" x14ac:dyDescent="0.3">
      <c r="A3687" s="1" t="s">
        <v>3711</v>
      </c>
      <c r="B3687" s="2" t="s">
        <v>19</v>
      </c>
      <c r="C3687" s="2" t="s">
        <v>20</v>
      </c>
      <c r="D3687" s="2">
        <v>50</v>
      </c>
      <c r="E3687" s="2" t="s">
        <v>14</v>
      </c>
      <c r="F3687" s="2" t="s">
        <v>16</v>
      </c>
      <c r="G3687" s="7">
        <v>44.45</v>
      </c>
      <c r="H3687" s="7">
        <v>2188.4499999999998</v>
      </c>
      <c r="I3687" s="2" t="s">
        <v>15</v>
      </c>
      <c r="J3687" s="2" t="s">
        <v>16</v>
      </c>
      <c r="K3687" s="2" t="s">
        <v>24</v>
      </c>
      <c r="L3687" s="7">
        <v>2188.4499999999998</v>
      </c>
      <c r="M3687" s="2" t="str">
        <f>_xlfn.IFS(TelecomData[[#This Row],[TenureMonths]]&lt;=12, "0-1 Year", TelecomData[[#This Row],[TenureMonths]]&lt;=36, "1-3 Years", TelecomData[[#This Row],[TenureMonths]]&gt;36, "3+ Years")</f>
        <v>3+ Years</v>
      </c>
      <c r="N3687" s="2" t="str">
        <f>IF(TelecomData[[#This Row],[CleanedTotalCharges]]&gt;=2500,"High Spend", "Standard Spend")</f>
        <v>Standard Spend</v>
      </c>
    </row>
    <row r="3688" spans="1:14" x14ac:dyDescent="0.3">
      <c r="A3688" s="1" t="s">
        <v>3712</v>
      </c>
      <c r="B3688" s="2" t="s">
        <v>12</v>
      </c>
      <c r="C3688" s="2" t="s">
        <v>13</v>
      </c>
      <c r="D3688" s="2">
        <v>13</v>
      </c>
      <c r="E3688" s="2" t="s">
        <v>26</v>
      </c>
      <c r="F3688" s="2" t="s">
        <v>15</v>
      </c>
      <c r="G3688" s="7">
        <v>75</v>
      </c>
      <c r="H3688" s="7">
        <v>999.45</v>
      </c>
      <c r="I3688" s="2" t="s">
        <v>16</v>
      </c>
      <c r="J3688" s="2" t="s">
        <v>16</v>
      </c>
      <c r="K3688" s="2" t="s">
        <v>21</v>
      </c>
      <c r="L3688" s="7">
        <v>999.45</v>
      </c>
      <c r="M3688" s="2" t="str">
        <f>_xlfn.IFS(TelecomData[[#This Row],[TenureMonths]]&lt;=12, "0-1 Year", TelecomData[[#This Row],[TenureMonths]]&lt;=36, "1-3 Years", TelecomData[[#This Row],[TenureMonths]]&gt;36, "3+ Years")</f>
        <v>1-3 Years</v>
      </c>
      <c r="N3688" s="2" t="str">
        <f>IF(TelecomData[[#This Row],[CleanedTotalCharges]]&gt;=2500,"High Spend", "Standard Spend")</f>
        <v>Standard Spend</v>
      </c>
    </row>
    <row r="3689" spans="1:14" x14ac:dyDescent="0.3">
      <c r="A3689" s="1" t="s">
        <v>3713</v>
      </c>
      <c r="B3689" s="2" t="s">
        <v>19</v>
      </c>
      <c r="C3689" s="2" t="s">
        <v>20</v>
      </c>
      <c r="D3689" s="2">
        <v>19</v>
      </c>
      <c r="E3689" s="2" t="s">
        <v>26</v>
      </c>
      <c r="F3689" s="2" t="s">
        <v>16</v>
      </c>
      <c r="G3689" s="7">
        <v>100</v>
      </c>
      <c r="H3689" s="7">
        <v>1888.65</v>
      </c>
      <c r="I3689" s="2" t="s">
        <v>16</v>
      </c>
      <c r="J3689" s="2" t="s">
        <v>15</v>
      </c>
      <c r="K3689" s="2" t="s">
        <v>24</v>
      </c>
      <c r="L3689" s="7">
        <v>1888.65</v>
      </c>
      <c r="M3689" s="2" t="str">
        <f>_xlfn.IFS(TelecomData[[#This Row],[TenureMonths]]&lt;=12, "0-1 Year", TelecomData[[#This Row],[TenureMonths]]&lt;=36, "1-3 Years", TelecomData[[#This Row],[TenureMonths]]&gt;36, "3+ Years")</f>
        <v>1-3 Years</v>
      </c>
      <c r="N3689" s="2" t="str">
        <f>IF(TelecomData[[#This Row],[CleanedTotalCharges]]&gt;=2500,"High Spend", "Standard Spend")</f>
        <v>Standard Spend</v>
      </c>
    </row>
    <row r="3690" spans="1:14" x14ac:dyDescent="0.3">
      <c r="A3690" s="1" t="s">
        <v>3714</v>
      </c>
      <c r="B3690" s="2" t="s">
        <v>12</v>
      </c>
      <c r="C3690" s="2" t="s">
        <v>13</v>
      </c>
      <c r="D3690" s="2">
        <v>41</v>
      </c>
      <c r="E3690" s="2" t="s">
        <v>26</v>
      </c>
      <c r="F3690" s="2" t="s">
        <v>15</v>
      </c>
      <c r="G3690" s="7">
        <v>98.05</v>
      </c>
      <c r="H3690" s="7">
        <v>3990.6</v>
      </c>
      <c r="I3690" s="2" t="s">
        <v>15</v>
      </c>
      <c r="J3690" s="2" t="s">
        <v>15</v>
      </c>
      <c r="K3690" s="2" t="s">
        <v>24</v>
      </c>
      <c r="L3690" s="7">
        <v>3990.6</v>
      </c>
      <c r="M3690" s="2" t="str">
        <f>_xlfn.IFS(TelecomData[[#This Row],[TenureMonths]]&lt;=12, "0-1 Year", TelecomData[[#This Row],[TenureMonths]]&lt;=36, "1-3 Years", TelecomData[[#This Row],[TenureMonths]]&gt;36, "3+ Years")</f>
        <v>3+ Years</v>
      </c>
      <c r="N3690" s="2" t="str">
        <f>IF(TelecomData[[#This Row],[CleanedTotalCharges]]&gt;=2500,"High Spend", "Standard Spend")</f>
        <v>High Spend</v>
      </c>
    </row>
    <row r="3691" spans="1:14" x14ac:dyDescent="0.3">
      <c r="A3691" s="1" t="s">
        <v>3715</v>
      </c>
      <c r="B3691" s="2" t="s">
        <v>12</v>
      </c>
      <c r="C3691" s="2" t="s">
        <v>13</v>
      </c>
      <c r="D3691" s="2">
        <v>1</v>
      </c>
      <c r="E3691" s="2" t="s">
        <v>26</v>
      </c>
      <c r="F3691" s="2" t="s">
        <v>15</v>
      </c>
      <c r="G3691" s="7">
        <v>71.150000000000006</v>
      </c>
      <c r="H3691" s="7">
        <v>71.150000000000006</v>
      </c>
      <c r="I3691" s="2" t="s">
        <v>16</v>
      </c>
      <c r="J3691" s="2" t="s">
        <v>16</v>
      </c>
      <c r="K3691" s="2" t="s">
        <v>17</v>
      </c>
      <c r="L3691" s="7">
        <v>71.150000000000006</v>
      </c>
      <c r="M3691" s="2" t="str">
        <f>_xlfn.IFS(TelecomData[[#This Row],[TenureMonths]]&lt;=12, "0-1 Year", TelecomData[[#This Row],[TenureMonths]]&lt;=36, "1-3 Years", TelecomData[[#This Row],[TenureMonths]]&gt;36, "3+ Years")</f>
        <v>0-1 Year</v>
      </c>
      <c r="N3691" s="2" t="str">
        <f>IF(TelecomData[[#This Row],[CleanedTotalCharges]]&gt;=2500,"High Spend", "Standard Spend")</f>
        <v>Standard Spend</v>
      </c>
    </row>
    <row r="3692" spans="1:14" x14ac:dyDescent="0.3">
      <c r="A3692" s="1" t="s">
        <v>3716</v>
      </c>
      <c r="B3692" s="2" t="s">
        <v>12</v>
      </c>
      <c r="C3692" s="2" t="s">
        <v>13</v>
      </c>
      <c r="D3692" s="2">
        <v>24</v>
      </c>
      <c r="E3692" s="2" t="s">
        <v>14</v>
      </c>
      <c r="F3692" s="2" t="s">
        <v>15</v>
      </c>
      <c r="G3692" s="7">
        <v>54.15</v>
      </c>
      <c r="H3692" s="7">
        <v>1240.25</v>
      </c>
      <c r="I3692" s="2" t="s">
        <v>16</v>
      </c>
      <c r="J3692" s="2" t="s">
        <v>16</v>
      </c>
      <c r="K3692" s="2" t="s">
        <v>29</v>
      </c>
      <c r="L3692" s="7">
        <v>1240.25</v>
      </c>
      <c r="M3692" s="2" t="str">
        <f>_xlfn.IFS(TelecomData[[#This Row],[TenureMonths]]&lt;=12, "0-1 Year", TelecomData[[#This Row],[TenureMonths]]&lt;=36, "1-3 Years", TelecomData[[#This Row],[TenureMonths]]&gt;36, "3+ Years")</f>
        <v>1-3 Years</v>
      </c>
      <c r="N3692" s="2" t="str">
        <f>IF(TelecomData[[#This Row],[CleanedTotalCharges]]&gt;=2500,"High Spend", "Standard Spend")</f>
        <v>Standard Spend</v>
      </c>
    </row>
    <row r="3693" spans="1:14" x14ac:dyDescent="0.3">
      <c r="A3693" s="1" t="s">
        <v>3717</v>
      </c>
      <c r="B3693" s="2" t="s">
        <v>12</v>
      </c>
      <c r="C3693" s="2" t="s">
        <v>20</v>
      </c>
      <c r="D3693" s="2">
        <v>40</v>
      </c>
      <c r="E3693" s="2" t="s">
        <v>14</v>
      </c>
      <c r="F3693" s="2" t="s">
        <v>15</v>
      </c>
      <c r="G3693" s="7">
        <v>63.9</v>
      </c>
      <c r="H3693" s="7">
        <v>2635</v>
      </c>
      <c r="I3693" s="2" t="s">
        <v>15</v>
      </c>
      <c r="J3693" s="2" t="s">
        <v>15</v>
      </c>
      <c r="K3693" s="2" t="s">
        <v>24</v>
      </c>
      <c r="L3693" s="7">
        <v>2635</v>
      </c>
      <c r="M3693" s="2" t="str">
        <f>_xlfn.IFS(TelecomData[[#This Row],[TenureMonths]]&lt;=12, "0-1 Year", TelecomData[[#This Row],[TenureMonths]]&lt;=36, "1-3 Years", TelecomData[[#This Row],[TenureMonths]]&gt;36, "3+ Years")</f>
        <v>3+ Years</v>
      </c>
      <c r="N3693" s="2" t="str">
        <f>IF(TelecomData[[#This Row],[CleanedTotalCharges]]&gt;=2500,"High Spend", "Standard Spend")</f>
        <v>High Spend</v>
      </c>
    </row>
    <row r="3694" spans="1:14" x14ac:dyDescent="0.3">
      <c r="A3694" s="1" t="s">
        <v>3718</v>
      </c>
      <c r="B3694" s="2" t="s">
        <v>12</v>
      </c>
      <c r="C3694" s="2" t="s">
        <v>13</v>
      </c>
      <c r="D3694" s="2">
        <v>3</v>
      </c>
      <c r="E3694" s="2" t="s">
        <v>14</v>
      </c>
      <c r="F3694" s="2" t="s">
        <v>15</v>
      </c>
      <c r="G3694" s="7">
        <v>69.150000000000006</v>
      </c>
      <c r="H3694" s="7">
        <v>235</v>
      </c>
      <c r="I3694" s="2" t="s">
        <v>15</v>
      </c>
      <c r="J3694" s="2" t="s">
        <v>16</v>
      </c>
      <c r="K3694" s="2" t="s">
        <v>24</v>
      </c>
      <c r="L3694" s="7">
        <v>235</v>
      </c>
      <c r="M3694" s="2" t="str">
        <f>_xlfn.IFS(TelecomData[[#This Row],[TenureMonths]]&lt;=12, "0-1 Year", TelecomData[[#This Row],[TenureMonths]]&lt;=36, "1-3 Years", TelecomData[[#This Row],[TenureMonths]]&gt;36, "3+ Years")</f>
        <v>0-1 Year</v>
      </c>
      <c r="N3694" s="2" t="str">
        <f>IF(TelecomData[[#This Row],[CleanedTotalCharges]]&gt;=2500,"High Spend", "Standard Spend")</f>
        <v>Standard Spend</v>
      </c>
    </row>
    <row r="3695" spans="1:14" x14ac:dyDescent="0.3">
      <c r="A3695" s="1" t="s">
        <v>3719</v>
      </c>
      <c r="B3695" s="2" t="s">
        <v>12</v>
      </c>
      <c r="C3695" s="2" t="s">
        <v>20</v>
      </c>
      <c r="D3695" s="2">
        <v>37</v>
      </c>
      <c r="E3695" s="2" t="s">
        <v>14</v>
      </c>
      <c r="F3695" s="2" t="s">
        <v>15</v>
      </c>
      <c r="G3695" s="7">
        <v>64.650000000000006</v>
      </c>
      <c r="H3695" s="7">
        <v>2347.85</v>
      </c>
      <c r="I3695" s="2" t="s">
        <v>15</v>
      </c>
      <c r="J3695" s="2" t="s">
        <v>15</v>
      </c>
      <c r="K3695" s="2" t="s">
        <v>24</v>
      </c>
      <c r="L3695" s="7">
        <v>2347.85</v>
      </c>
      <c r="M3695" s="2" t="str">
        <f>_xlfn.IFS(TelecomData[[#This Row],[TenureMonths]]&lt;=12, "0-1 Year", TelecomData[[#This Row],[TenureMonths]]&lt;=36, "1-3 Years", TelecomData[[#This Row],[TenureMonths]]&gt;36, "3+ Years")</f>
        <v>3+ Years</v>
      </c>
      <c r="N3695" s="2" t="str">
        <f>IF(TelecomData[[#This Row],[CleanedTotalCharges]]&gt;=2500,"High Spend", "Standard Spend")</f>
        <v>Standard Spend</v>
      </c>
    </row>
    <row r="3696" spans="1:14" x14ac:dyDescent="0.3">
      <c r="A3696" s="1" t="s">
        <v>3720</v>
      </c>
      <c r="B3696" s="2" t="s">
        <v>12</v>
      </c>
      <c r="C3696" s="2" t="s">
        <v>35</v>
      </c>
      <c r="D3696" s="2">
        <v>67</v>
      </c>
      <c r="E3696" s="2" t="s">
        <v>26</v>
      </c>
      <c r="F3696" s="2" t="s">
        <v>16</v>
      </c>
      <c r="G3696" s="7">
        <v>108.75</v>
      </c>
      <c r="H3696" s="7">
        <v>7156.2</v>
      </c>
      <c r="I3696" s="2" t="s">
        <v>16</v>
      </c>
      <c r="J3696" s="2" t="s">
        <v>16</v>
      </c>
      <c r="K3696" s="2" t="s">
        <v>29</v>
      </c>
      <c r="L3696" s="7">
        <v>7156.2</v>
      </c>
      <c r="M3696" s="2" t="str">
        <f>_xlfn.IFS(TelecomData[[#This Row],[TenureMonths]]&lt;=12, "0-1 Year", TelecomData[[#This Row],[TenureMonths]]&lt;=36, "1-3 Years", TelecomData[[#This Row],[TenureMonths]]&gt;36, "3+ Years")</f>
        <v>3+ Years</v>
      </c>
      <c r="N3696" s="2" t="str">
        <f>IF(TelecomData[[#This Row],[CleanedTotalCharges]]&gt;=2500,"High Spend", "Standard Spend")</f>
        <v>High Spend</v>
      </c>
    </row>
    <row r="3697" spans="1:14" x14ac:dyDescent="0.3">
      <c r="A3697" s="1" t="s">
        <v>3721</v>
      </c>
      <c r="B3697" s="2" t="s">
        <v>12</v>
      </c>
      <c r="C3697" s="2" t="s">
        <v>13</v>
      </c>
      <c r="D3697" s="2">
        <v>32</v>
      </c>
      <c r="E3697" s="2" t="s">
        <v>26</v>
      </c>
      <c r="F3697" s="2" t="s">
        <v>15</v>
      </c>
      <c r="G3697" s="7">
        <v>98.85</v>
      </c>
      <c r="H3697" s="7">
        <v>3089.6</v>
      </c>
      <c r="I3697" s="2" t="s">
        <v>15</v>
      </c>
      <c r="J3697" s="2" t="s">
        <v>16</v>
      </c>
      <c r="K3697" s="2" t="s">
        <v>17</v>
      </c>
      <c r="L3697" s="7">
        <v>3089.6</v>
      </c>
      <c r="M3697" s="2" t="str">
        <f>_xlfn.IFS(TelecomData[[#This Row],[TenureMonths]]&lt;=12, "0-1 Year", TelecomData[[#This Row],[TenureMonths]]&lt;=36, "1-3 Years", TelecomData[[#This Row],[TenureMonths]]&gt;36, "3+ Years")</f>
        <v>1-3 Years</v>
      </c>
      <c r="N3697" s="2" t="str">
        <f>IF(TelecomData[[#This Row],[CleanedTotalCharges]]&gt;=2500,"High Spend", "Standard Spend")</f>
        <v>High Spend</v>
      </c>
    </row>
    <row r="3698" spans="1:14" x14ac:dyDescent="0.3">
      <c r="A3698" s="1" t="s">
        <v>3722</v>
      </c>
      <c r="B3698" s="2" t="s">
        <v>12</v>
      </c>
      <c r="C3698" s="2" t="s">
        <v>13</v>
      </c>
      <c r="D3698" s="2">
        <v>6</v>
      </c>
      <c r="E3698" s="2" t="s">
        <v>14</v>
      </c>
      <c r="F3698" s="2" t="s">
        <v>16</v>
      </c>
      <c r="G3698" s="7">
        <v>49.15</v>
      </c>
      <c r="H3698" s="7">
        <v>270.8</v>
      </c>
      <c r="I3698" s="2" t="s">
        <v>16</v>
      </c>
      <c r="J3698" s="2" t="s">
        <v>16</v>
      </c>
      <c r="K3698" s="2" t="s">
        <v>17</v>
      </c>
      <c r="L3698" s="7">
        <v>270.8</v>
      </c>
      <c r="M3698" s="2" t="str">
        <f>_xlfn.IFS(TelecomData[[#This Row],[TenureMonths]]&lt;=12, "0-1 Year", TelecomData[[#This Row],[TenureMonths]]&lt;=36, "1-3 Years", TelecomData[[#This Row],[TenureMonths]]&gt;36, "3+ Years")</f>
        <v>0-1 Year</v>
      </c>
      <c r="N3698" s="2" t="str">
        <f>IF(TelecomData[[#This Row],[CleanedTotalCharges]]&gt;=2500,"High Spend", "Standard Spend")</f>
        <v>Standard Spend</v>
      </c>
    </row>
    <row r="3699" spans="1:14" x14ac:dyDescent="0.3">
      <c r="A3699" s="1" t="s">
        <v>3723</v>
      </c>
      <c r="B3699" s="2" t="s">
        <v>12</v>
      </c>
      <c r="C3699" s="2" t="s">
        <v>13</v>
      </c>
      <c r="D3699" s="2">
        <v>32</v>
      </c>
      <c r="E3699" s="2" t="s">
        <v>26</v>
      </c>
      <c r="F3699" s="2" t="s">
        <v>15</v>
      </c>
      <c r="G3699" s="7">
        <v>89.6</v>
      </c>
      <c r="H3699" s="7">
        <v>2901.8</v>
      </c>
      <c r="I3699" s="2" t="s">
        <v>15</v>
      </c>
      <c r="J3699" s="2" t="s">
        <v>15</v>
      </c>
      <c r="K3699" s="2" t="s">
        <v>17</v>
      </c>
      <c r="L3699" s="7">
        <v>2901.8</v>
      </c>
      <c r="M3699" s="2" t="str">
        <f>_xlfn.IFS(TelecomData[[#This Row],[TenureMonths]]&lt;=12, "0-1 Year", TelecomData[[#This Row],[TenureMonths]]&lt;=36, "1-3 Years", TelecomData[[#This Row],[TenureMonths]]&gt;36, "3+ Years")</f>
        <v>1-3 Years</v>
      </c>
      <c r="N3699" s="2" t="str">
        <f>IF(TelecomData[[#This Row],[CleanedTotalCharges]]&gt;=2500,"High Spend", "Standard Spend")</f>
        <v>High Spend</v>
      </c>
    </row>
    <row r="3700" spans="1:14" x14ac:dyDescent="0.3">
      <c r="A3700" s="1" t="s">
        <v>3724</v>
      </c>
      <c r="B3700" s="2" t="s">
        <v>12</v>
      </c>
      <c r="C3700" s="2" t="s">
        <v>13</v>
      </c>
      <c r="D3700" s="2">
        <v>59</v>
      </c>
      <c r="E3700" s="2" t="s">
        <v>26</v>
      </c>
      <c r="F3700" s="2" t="s">
        <v>15</v>
      </c>
      <c r="G3700" s="7">
        <v>83.25</v>
      </c>
      <c r="H3700" s="7">
        <v>4949.1000000000004</v>
      </c>
      <c r="I3700" s="2" t="s">
        <v>15</v>
      </c>
      <c r="J3700" s="2" t="s">
        <v>16</v>
      </c>
      <c r="K3700" s="2" t="s">
        <v>17</v>
      </c>
      <c r="L3700" s="7">
        <v>4949.1000000000004</v>
      </c>
      <c r="M3700" s="2" t="str">
        <f>_xlfn.IFS(TelecomData[[#This Row],[TenureMonths]]&lt;=12, "0-1 Year", TelecomData[[#This Row],[TenureMonths]]&lt;=36, "1-3 Years", TelecomData[[#This Row],[TenureMonths]]&gt;36, "3+ Years")</f>
        <v>3+ Years</v>
      </c>
      <c r="N3700" s="2" t="str">
        <f>IF(TelecomData[[#This Row],[CleanedTotalCharges]]&gt;=2500,"High Spend", "Standard Spend")</f>
        <v>High Spend</v>
      </c>
    </row>
    <row r="3701" spans="1:14" x14ac:dyDescent="0.3">
      <c r="A3701" s="1" t="s">
        <v>3725</v>
      </c>
      <c r="B3701" s="2" t="s">
        <v>12</v>
      </c>
      <c r="C3701" s="2" t="s">
        <v>20</v>
      </c>
      <c r="D3701" s="2">
        <v>30</v>
      </c>
      <c r="E3701" s="2" t="s">
        <v>14</v>
      </c>
      <c r="F3701" s="2" t="s">
        <v>16</v>
      </c>
      <c r="G3701" s="7">
        <v>70.25</v>
      </c>
      <c r="H3701" s="7">
        <v>2198.9</v>
      </c>
      <c r="I3701" s="2" t="s">
        <v>15</v>
      </c>
      <c r="J3701" s="2" t="s">
        <v>15</v>
      </c>
      <c r="K3701" s="2" t="s">
        <v>24</v>
      </c>
      <c r="L3701" s="7">
        <v>2198.9</v>
      </c>
      <c r="M3701" s="2" t="str">
        <f>_xlfn.IFS(TelecomData[[#This Row],[TenureMonths]]&lt;=12, "0-1 Year", TelecomData[[#This Row],[TenureMonths]]&lt;=36, "1-3 Years", TelecomData[[#This Row],[TenureMonths]]&gt;36, "3+ Years")</f>
        <v>1-3 Years</v>
      </c>
      <c r="N3701" s="2" t="str">
        <f>IF(TelecomData[[#This Row],[CleanedTotalCharges]]&gt;=2500,"High Spend", "Standard Spend")</f>
        <v>Standard Spend</v>
      </c>
    </row>
    <row r="3702" spans="1:14" x14ac:dyDescent="0.3">
      <c r="A3702" s="1" t="s">
        <v>3726</v>
      </c>
      <c r="B3702" s="2" t="s">
        <v>19</v>
      </c>
      <c r="C3702" s="2" t="s">
        <v>13</v>
      </c>
      <c r="D3702" s="2">
        <v>20</v>
      </c>
      <c r="E3702" s="2" t="s">
        <v>15</v>
      </c>
      <c r="F3702" s="2" t="s">
        <v>36</v>
      </c>
      <c r="G3702" s="7">
        <v>19.399999999999999</v>
      </c>
      <c r="H3702" s="7">
        <v>374.5</v>
      </c>
      <c r="I3702" s="2" t="s">
        <v>16</v>
      </c>
      <c r="J3702" s="2" t="s">
        <v>16</v>
      </c>
      <c r="K3702" s="2" t="s">
        <v>17</v>
      </c>
      <c r="L3702" s="7">
        <v>374.5</v>
      </c>
      <c r="M3702" s="2" t="str">
        <f>_xlfn.IFS(TelecomData[[#This Row],[TenureMonths]]&lt;=12, "0-1 Year", TelecomData[[#This Row],[TenureMonths]]&lt;=36, "1-3 Years", TelecomData[[#This Row],[TenureMonths]]&gt;36, "3+ Years")</f>
        <v>1-3 Years</v>
      </c>
      <c r="N3702" s="2" t="str">
        <f>IF(TelecomData[[#This Row],[CleanedTotalCharges]]&gt;=2500,"High Spend", "Standard Spend")</f>
        <v>Standard Spend</v>
      </c>
    </row>
    <row r="3703" spans="1:14" x14ac:dyDescent="0.3">
      <c r="A3703" s="1" t="s">
        <v>3727</v>
      </c>
      <c r="B3703" s="2" t="s">
        <v>12</v>
      </c>
      <c r="C3703" s="2" t="s">
        <v>35</v>
      </c>
      <c r="D3703" s="2">
        <v>27</v>
      </c>
      <c r="E3703" s="2" t="s">
        <v>15</v>
      </c>
      <c r="F3703" s="2" t="s">
        <v>36</v>
      </c>
      <c r="G3703" s="7">
        <v>24.5</v>
      </c>
      <c r="H3703" s="7">
        <v>761.95</v>
      </c>
      <c r="I3703" s="2" t="s">
        <v>15</v>
      </c>
      <c r="J3703" s="2" t="s">
        <v>15</v>
      </c>
      <c r="K3703" s="2" t="s">
        <v>17</v>
      </c>
      <c r="L3703" s="7">
        <v>761.95</v>
      </c>
      <c r="M3703" s="2" t="str">
        <f>_xlfn.IFS(TelecomData[[#This Row],[TenureMonths]]&lt;=12, "0-1 Year", TelecomData[[#This Row],[TenureMonths]]&lt;=36, "1-3 Years", TelecomData[[#This Row],[TenureMonths]]&gt;36, "3+ Years")</f>
        <v>1-3 Years</v>
      </c>
      <c r="N3703" s="2" t="str">
        <f>IF(TelecomData[[#This Row],[CleanedTotalCharges]]&gt;=2500,"High Spend", "Standard Spend")</f>
        <v>Standard Spend</v>
      </c>
    </row>
    <row r="3704" spans="1:14" x14ac:dyDescent="0.3">
      <c r="A3704" s="1" t="s">
        <v>3728</v>
      </c>
      <c r="B3704" s="2" t="s">
        <v>12</v>
      </c>
      <c r="C3704" s="2" t="s">
        <v>13</v>
      </c>
      <c r="D3704" s="2">
        <v>20</v>
      </c>
      <c r="E3704" s="2" t="s">
        <v>26</v>
      </c>
      <c r="F3704" s="2" t="s">
        <v>15</v>
      </c>
      <c r="G3704" s="7">
        <v>79.150000000000006</v>
      </c>
      <c r="H3704" s="7">
        <v>1520.9</v>
      </c>
      <c r="I3704" s="2" t="s">
        <v>16</v>
      </c>
      <c r="J3704" s="2" t="s">
        <v>16</v>
      </c>
      <c r="K3704" s="2" t="s">
        <v>17</v>
      </c>
      <c r="L3704" s="7">
        <v>1520.9</v>
      </c>
      <c r="M3704" s="2" t="str">
        <f>_xlfn.IFS(TelecomData[[#This Row],[TenureMonths]]&lt;=12, "0-1 Year", TelecomData[[#This Row],[TenureMonths]]&lt;=36, "1-3 Years", TelecomData[[#This Row],[TenureMonths]]&gt;36, "3+ Years")</f>
        <v>1-3 Years</v>
      </c>
      <c r="N3704" s="2" t="str">
        <f>IF(TelecomData[[#This Row],[CleanedTotalCharges]]&gt;=2500,"High Spend", "Standard Spend")</f>
        <v>Standard Spend</v>
      </c>
    </row>
    <row r="3705" spans="1:14" x14ac:dyDescent="0.3">
      <c r="A3705" s="1" t="s">
        <v>3729</v>
      </c>
      <c r="B3705" s="2" t="s">
        <v>19</v>
      </c>
      <c r="C3705" s="2" t="s">
        <v>20</v>
      </c>
      <c r="D3705" s="2">
        <v>9</v>
      </c>
      <c r="E3705" s="2" t="s">
        <v>15</v>
      </c>
      <c r="F3705" s="2" t="s">
        <v>36</v>
      </c>
      <c r="G3705" s="7">
        <v>20.100000000000001</v>
      </c>
      <c r="H3705" s="7">
        <v>190.25</v>
      </c>
      <c r="I3705" s="2" t="s">
        <v>15</v>
      </c>
      <c r="J3705" s="2" t="s">
        <v>15</v>
      </c>
      <c r="K3705" s="2" t="s">
        <v>21</v>
      </c>
      <c r="L3705" s="7">
        <v>190.25</v>
      </c>
      <c r="M3705" s="2" t="str">
        <f>_xlfn.IFS(TelecomData[[#This Row],[TenureMonths]]&lt;=12, "0-1 Year", TelecomData[[#This Row],[TenureMonths]]&lt;=36, "1-3 Years", TelecomData[[#This Row],[TenureMonths]]&gt;36, "3+ Years")</f>
        <v>0-1 Year</v>
      </c>
      <c r="N3705" s="2" t="str">
        <f>IF(TelecomData[[#This Row],[CleanedTotalCharges]]&gt;=2500,"High Spend", "Standard Spend")</f>
        <v>Standard Spend</v>
      </c>
    </row>
    <row r="3706" spans="1:14" x14ac:dyDescent="0.3">
      <c r="A3706" s="1" t="s">
        <v>3730</v>
      </c>
      <c r="B3706" s="2" t="s">
        <v>12</v>
      </c>
      <c r="C3706" s="2" t="s">
        <v>20</v>
      </c>
      <c r="D3706" s="2">
        <v>68</v>
      </c>
      <c r="E3706" s="2" t="s">
        <v>14</v>
      </c>
      <c r="F3706" s="2" t="s">
        <v>15</v>
      </c>
      <c r="G3706" s="7">
        <v>73</v>
      </c>
      <c r="H3706" s="7">
        <v>5163</v>
      </c>
      <c r="I3706" s="2" t="s">
        <v>15</v>
      </c>
      <c r="J3706" s="2" t="s">
        <v>16</v>
      </c>
      <c r="K3706" s="2" t="s">
        <v>29</v>
      </c>
      <c r="L3706" s="7">
        <v>5163</v>
      </c>
      <c r="M3706" s="2" t="str">
        <f>_xlfn.IFS(TelecomData[[#This Row],[TenureMonths]]&lt;=12, "0-1 Year", TelecomData[[#This Row],[TenureMonths]]&lt;=36, "1-3 Years", TelecomData[[#This Row],[TenureMonths]]&gt;36, "3+ Years")</f>
        <v>3+ Years</v>
      </c>
      <c r="N3706" s="2" t="str">
        <f>IF(TelecomData[[#This Row],[CleanedTotalCharges]]&gt;=2500,"High Spend", "Standard Spend")</f>
        <v>High Spend</v>
      </c>
    </row>
    <row r="3707" spans="1:14" x14ac:dyDescent="0.3">
      <c r="A3707" s="1" t="s">
        <v>3731</v>
      </c>
      <c r="B3707" s="2" t="s">
        <v>12</v>
      </c>
      <c r="C3707" s="2" t="s">
        <v>35</v>
      </c>
      <c r="D3707" s="2">
        <v>69</v>
      </c>
      <c r="E3707" s="2" t="s">
        <v>14</v>
      </c>
      <c r="F3707" s="2" t="s">
        <v>16</v>
      </c>
      <c r="G3707" s="7">
        <v>61.4</v>
      </c>
      <c r="H3707" s="7">
        <v>4059.85</v>
      </c>
      <c r="I3707" s="2" t="s">
        <v>15</v>
      </c>
      <c r="J3707" s="2" t="s">
        <v>15</v>
      </c>
      <c r="K3707" s="2" t="s">
        <v>29</v>
      </c>
      <c r="L3707" s="7">
        <v>4059.85</v>
      </c>
      <c r="M3707" s="2" t="str">
        <f>_xlfn.IFS(TelecomData[[#This Row],[TenureMonths]]&lt;=12, "0-1 Year", TelecomData[[#This Row],[TenureMonths]]&lt;=36, "1-3 Years", TelecomData[[#This Row],[TenureMonths]]&gt;36, "3+ Years")</f>
        <v>3+ Years</v>
      </c>
      <c r="N3707" s="2" t="str">
        <f>IF(TelecomData[[#This Row],[CleanedTotalCharges]]&gt;=2500,"High Spend", "Standard Spend")</f>
        <v>High Spend</v>
      </c>
    </row>
    <row r="3708" spans="1:14" x14ac:dyDescent="0.3">
      <c r="A3708" s="1" t="s">
        <v>3732</v>
      </c>
      <c r="B3708" s="2" t="s">
        <v>19</v>
      </c>
      <c r="C3708" s="2" t="s">
        <v>13</v>
      </c>
      <c r="D3708" s="2">
        <v>26</v>
      </c>
      <c r="E3708" s="2" t="s">
        <v>26</v>
      </c>
      <c r="F3708" s="2" t="s">
        <v>16</v>
      </c>
      <c r="G3708" s="7">
        <v>84.3</v>
      </c>
      <c r="H3708" s="7">
        <v>2281.6</v>
      </c>
      <c r="I3708" s="2" t="s">
        <v>15</v>
      </c>
      <c r="J3708" s="2" t="s">
        <v>16</v>
      </c>
      <c r="K3708" s="2" t="s">
        <v>21</v>
      </c>
      <c r="L3708" s="7">
        <v>2281.6</v>
      </c>
      <c r="M3708" s="2" t="str">
        <f>_xlfn.IFS(TelecomData[[#This Row],[TenureMonths]]&lt;=12, "0-1 Year", TelecomData[[#This Row],[TenureMonths]]&lt;=36, "1-3 Years", TelecomData[[#This Row],[TenureMonths]]&gt;36, "3+ Years")</f>
        <v>1-3 Years</v>
      </c>
      <c r="N3708" s="2" t="str">
        <f>IF(TelecomData[[#This Row],[CleanedTotalCharges]]&gt;=2500,"High Spend", "Standard Spend")</f>
        <v>Standard Spend</v>
      </c>
    </row>
    <row r="3709" spans="1:14" x14ac:dyDescent="0.3">
      <c r="A3709" s="1" t="s">
        <v>3733</v>
      </c>
      <c r="B3709" s="2" t="s">
        <v>19</v>
      </c>
      <c r="C3709" s="2" t="s">
        <v>35</v>
      </c>
      <c r="D3709" s="2">
        <v>69</v>
      </c>
      <c r="E3709" s="2" t="s">
        <v>15</v>
      </c>
      <c r="F3709" s="2" t="s">
        <v>36</v>
      </c>
      <c r="G3709" s="7">
        <v>19.899999999999999</v>
      </c>
      <c r="H3709" s="7">
        <v>1356.7</v>
      </c>
      <c r="I3709" s="2" t="s">
        <v>15</v>
      </c>
      <c r="J3709" s="2" t="s">
        <v>15</v>
      </c>
      <c r="K3709" s="2" t="s">
        <v>24</v>
      </c>
      <c r="L3709" s="7">
        <v>1356.7</v>
      </c>
      <c r="M3709" s="2" t="str">
        <f>_xlfn.IFS(TelecomData[[#This Row],[TenureMonths]]&lt;=12, "0-1 Year", TelecomData[[#This Row],[TenureMonths]]&lt;=36, "1-3 Years", TelecomData[[#This Row],[TenureMonths]]&gt;36, "3+ Years")</f>
        <v>3+ Years</v>
      </c>
      <c r="N3709" s="2" t="str">
        <f>IF(TelecomData[[#This Row],[CleanedTotalCharges]]&gt;=2500,"High Spend", "Standard Spend")</f>
        <v>Standard Spend</v>
      </c>
    </row>
    <row r="3710" spans="1:14" x14ac:dyDescent="0.3">
      <c r="A3710" s="1" t="s">
        <v>3734</v>
      </c>
      <c r="B3710" s="2" t="s">
        <v>19</v>
      </c>
      <c r="C3710" s="2" t="s">
        <v>35</v>
      </c>
      <c r="D3710" s="2">
        <v>11</v>
      </c>
      <c r="E3710" s="2" t="s">
        <v>15</v>
      </c>
      <c r="F3710" s="2" t="s">
        <v>36</v>
      </c>
      <c r="G3710" s="7">
        <v>20.399999999999999</v>
      </c>
      <c r="H3710" s="7">
        <v>231.45</v>
      </c>
      <c r="I3710" s="2" t="s">
        <v>15</v>
      </c>
      <c r="J3710" s="2" t="s">
        <v>15</v>
      </c>
      <c r="K3710" s="2" t="s">
        <v>21</v>
      </c>
      <c r="L3710" s="7">
        <v>231.45</v>
      </c>
      <c r="M3710" s="2" t="str">
        <f>_xlfn.IFS(TelecomData[[#This Row],[TenureMonths]]&lt;=12, "0-1 Year", TelecomData[[#This Row],[TenureMonths]]&lt;=36, "1-3 Years", TelecomData[[#This Row],[TenureMonths]]&gt;36, "3+ Years")</f>
        <v>0-1 Year</v>
      </c>
      <c r="N3710" s="2" t="str">
        <f>IF(TelecomData[[#This Row],[CleanedTotalCharges]]&gt;=2500,"High Spend", "Standard Spend")</f>
        <v>Standard Spend</v>
      </c>
    </row>
    <row r="3711" spans="1:14" x14ac:dyDescent="0.3">
      <c r="A3711" s="1" t="s">
        <v>3735</v>
      </c>
      <c r="B3711" s="2" t="s">
        <v>19</v>
      </c>
      <c r="C3711" s="2" t="s">
        <v>13</v>
      </c>
      <c r="D3711" s="2">
        <v>1</v>
      </c>
      <c r="E3711" s="2" t="s">
        <v>14</v>
      </c>
      <c r="F3711" s="2" t="s">
        <v>15</v>
      </c>
      <c r="G3711" s="7">
        <v>50.75</v>
      </c>
      <c r="H3711" s="7">
        <v>50.75</v>
      </c>
      <c r="I3711" s="2" t="s">
        <v>15</v>
      </c>
      <c r="J3711" s="2" t="s">
        <v>15</v>
      </c>
      <c r="K3711" s="2" t="s">
        <v>21</v>
      </c>
      <c r="L3711" s="7">
        <v>50.75</v>
      </c>
      <c r="M3711" s="2" t="str">
        <f>_xlfn.IFS(TelecomData[[#This Row],[TenureMonths]]&lt;=12, "0-1 Year", TelecomData[[#This Row],[TenureMonths]]&lt;=36, "1-3 Years", TelecomData[[#This Row],[TenureMonths]]&gt;36, "3+ Years")</f>
        <v>0-1 Year</v>
      </c>
      <c r="N3711" s="2" t="str">
        <f>IF(TelecomData[[#This Row],[CleanedTotalCharges]]&gt;=2500,"High Spend", "Standard Spend")</f>
        <v>Standard Spend</v>
      </c>
    </row>
    <row r="3712" spans="1:14" x14ac:dyDescent="0.3">
      <c r="A3712" s="1" t="s">
        <v>3736</v>
      </c>
      <c r="B3712" s="2" t="s">
        <v>19</v>
      </c>
      <c r="C3712" s="2" t="s">
        <v>20</v>
      </c>
      <c r="D3712" s="2">
        <v>10</v>
      </c>
      <c r="E3712" s="2" t="s">
        <v>15</v>
      </c>
      <c r="F3712" s="2" t="s">
        <v>36</v>
      </c>
      <c r="G3712" s="7">
        <v>20.45</v>
      </c>
      <c r="H3712" s="7">
        <v>242.4</v>
      </c>
      <c r="I3712" s="2" t="s">
        <v>15</v>
      </c>
      <c r="J3712" s="2" t="s">
        <v>15</v>
      </c>
      <c r="K3712" s="2" t="s">
        <v>21</v>
      </c>
      <c r="L3712" s="7">
        <v>242.4</v>
      </c>
      <c r="M3712" s="2" t="str">
        <f>_xlfn.IFS(TelecomData[[#This Row],[TenureMonths]]&lt;=12, "0-1 Year", TelecomData[[#This Row],[TenureMonths]]&lt;=36, "1-3 Years", TelecomData[[#This Row],[TenureMonths]]&gt;36, "3+ Years")</f>
        <v>0-1 Year</v>
      </c>
      <c r="N3712" s="2" t="str">
        <f>IF(TelecomData[[#This Row],[CleanedTotalCharges]]&gt;=2500,"High Spend", "Standard Spend")</f>
        <v>Standard Spend</v>
      </c>
    </row>
    <row r="3713" spans="1:14" x14ac:dyDescent="0.3">
      <c r="A3713" s="1" t="s">
        <v>3737</v>
      </c>
      <c r="B3713" s="2" t="s">
        <v>12</v>
      </c>
      <c r="C3713" s="2" t="s">
        <v>20</v>
      </c>
      <c r="D3713" s="2">
        <v>55</v>
      </c>
      <c r="E3713" s="2" t="s">
        <v>14</v>
      </c>
      <c r="F3713" s="2" t="s">
        <v>16</v>
      </c>
      <c r="G3713" s="7">
        <v>75.75</v>
      </c>
      <c r="H3713" s="7">
        <v>4264.25</v>
      </c>
      <c r="I3713" s="2" t="s">
        <v>15</v>
      </c>
      <c r="J3713" s="2" t="s">
        <v>16</v>
      </c>
      <c r="K3713" s="2" t="s">
        <v>24</v>
      </c>
      <c r="L3713" s="7">
        <v>4264.25</v>
      </c>
      <c r="M3713" s="2" t="str">
        <f>_xlfn.IFS(TelecomData[[#This Row],[TenureMonths]]&lt;=12, "0-1 Year", TelecomData[[#This Row],[TenureMonths]]&lt;=36, "1-3 Years", TelecomData[[#This Row],[TenureMonths]]&gt;36, "3+ Years")</f>
        <v>3+ Years</v>
      </c>
      <c r="N3713" s="2" t="str">
        <f>IF(TelecomData[[#This Row],[CleanedTotalCharges]]&gt;=2500,"High Spend", "Standard Spend")</f>
        <v>High Spend</v>
      </c>
    </row>
    <row r="3714" spans="1:14" x14ac:dyDescent="0.3">
      <c r="A3714" s="1" t="s">
        <v>3738</v>
      </c>
      <c r="B3714" s="2" t="s">
        <v>19</v>
      </c>
      <c r="C3714" s="2" t="s">
        <v>20</v>
      </c>
      <c r="D3714" s="2">
        <v>44</v>
      </c>
      <c r="E3714" s="2" t="s">
        <v>14</v>
      </c>
      <c r="F3714" s="2" t="s">
        <v>16</v>
      </c>
      <c r="G3714" s="7">
        <v>65.400000000000006</v>
      </c>
      <c r="H3714" s="7">
        <v>2774.55</v>
      </c>
      <c r="I3714" s="2" t="s">
        <v>15</v>
      </c>
      <c r="J3714" s="2" t="s">
        <v>15</v>
      </c>
      <c r="K3714" s="2" t="s">
        <v>17</v>
      </c>
      <c r="L3714" s="7">
        <v>2774.55</v>
      </c>
      <c r="M3714" s="2" t="str">
        <f>_xlfn.IFS(TelecomData[[#This Row],[TenureMonths]]&lt;=12, "0-1 Year", TelecomData[[#This Row],[TenureMonths]]&lt;=36, "1-3 Years", TelecomData[[#This Row],[TenureMonths]]&gt;36, "3+ Years")</f>
        <v>3+ Years</v>
      </c>
      <c r="N3714" s="2" t="str">
        <f>IF(TelecomData[[#This Row],[CleanedTotalCharges]]&gt;=2500,"High Spend", "Standard Spend")</f>
        <v>High Spend</v>
      </c>
    </row>
    <row r="3715" spans="1:14" x14ac:dyDescent="0.3">
      <c r="A3715" s="1" t="s">
        <v>3739</v>
      </c>
      <c r="B3715" s="2" t="s">
        <v>19</v>
      </c>
      <c r="C3715" s="2" t="s">
        <v>13</v>
      </c>
      <c r="D3715" s="2">
        <v>46</v>
      </c>
      <c r="E3715" s="2" t="s">
        <v>26</v>
      </c>
      <c r="F3715" s="2" t="s">
        <v>15</v>
      </c>
      <c r="G3715" s="7">
        <v>80.400000000000006</v>
      </c>
      <c r="H3715" s="7">
        <v>3605.2</v>
      </c>
      <c r="I3715" s="2" t="s">
        <v>16</v>
      </c>
      <c r="J3715" s="2" t="s">
        <v>16</v>
      </c>
      <c r="K3715" s="2" t="s">
        <v>17</v>
      </c>
      <c r="L3715" s="7">
        <v>3605.2</v>
      </c>
      <c r="M3715" s="2" t="str">
        <f>_xlfn.IFS(TelecomData[[#This Row],[TenureMonths]]&lt;=12, "0-1 Year", TelecomData[[#This Row],[TenureMonths]]&lt;=36, "1-3 Years", TelecomData[[#This Row],[TenureMonths]]&gt;36, "3+ Years")</f>
        <v>3+ Years</v>
      </c>
      <c r="N3715" s="2" t="str">
        <f>IF(TelecomData[[#This Row],[CleanedTotalCharges]]&gt;=2500,"High Spend", "Standard Spend")</f>
        <v>High Spend</v>
      </c>
    </row>
    <row r="3716" spans="1:14" x14ac:dyDescent="0.3">
      <c r="A3716" s="1" t="s">
        <v>3740</v>
      </c>
      <c r="B3716" s="2" t="s">
        <v>19</v>
      </c>
      <c r="C3716" s="2" t="s">
        <v>35</v>
      </c>
      <c r="D3716" s="2">
        <v>69</v>
      </c>
      <c r="E3716" s="2" t="s">
        <v>14</v>
      </c>
      <c r="F3716" s="2" t="s">
        <v>15</v>
      </c>
      <c r="G3716" s="7">
        <v>59.75</v>
      </c>
      <c r="H3716" s="7">
        <v>4069.9</v>
      </c>
      <c r="I3716" s="2" t="s">
        <v>15</v>
      </c>
      <c r="J3716" s="2" t="s">
        <v>16</v>
      </c>
      <c r="K3716" s="2" t="s">
        <v>24</v>
      </c>
      <c r="L3716" s="7">
        <v>4069.9</v>
      </c>
      <c r="M3716" s="2" t="str">
        <f>_xlfn.IFS(TelecomData[[#This Row],[TenureMonths]]&lt;=12, "0-1 Year", TelecomData[[#This Row],[TenureMonths]]&lt;=36, "1-3 Years", TelecomData[[#This Row],[TenureMonths]]&gt;36, "3+ Years")</f>
        <v>3+ Years</v>
      </c>
      <c r="N3716" s="2" t="str">
        <f>IF(TelecomData[[#This Row],[CleanedTotalCharges]]&gt;=2500,"High Spend", "Standard Spend")</f>
        <v>High Spend</v>
      </c>
    </row>
    <row r="3717" spans="1:14" x14ac:dyDescent="0.3">
      <c r="A3717" s="1" t="s">
        <v>3741</v>
      </c>
      <c r="B3717" s="2" t="s">
        <v>19</v>
      </c>
      <c r="C3717" s="2" t="s">
        <v>13</v>
      </c>
      <c r="D3717" s="2">
        <v>11</v>
      </c>
      <c r="E3717" s="2" t="s">
        <v>26</v>
      </c>
      <c r="F3717" s="2" t="s">
        <v>15</v>
      </c>
      <c r="G3717" s="7">
        <v>78.5</v>
      </c>
      <c r="H3717" s="7">
        <v>874.2</v>
      </c>
      <c r="I3717" s="2" t="s">
        <v>15</v>
      </c>
      <c r="J3717" s="2" t="s">
        <v>16</v>
      </c>
      <c r="K3717" s="2" t="s">
        <v>17</v>
      </c>
      <c r="L3717" s="7">
        <v>874.2</v>
      </c>
      <c r="M3717" s="2" t="str">
        <f>_xlfn.IFS(TelecomData[[#This Row],[TenureMonths]]&lt;=12, "0-1 Year", TelecomData[[#This Row],[TenureMonths]]&lt;=36, "1-3 Years", TelecomData[[#This Row],[TenureMonths]]&gt;36, "3+ Years")</f>
        <v>0-1 Year</v>
      </c>
      <c r="N3717" s="2" t="str">
        <f>IF(TelecomData[[#This Row],[CleanedTotalCharges]]&gt;=2500,"High Spend", "Standard Spend")</f>
        <v>Standard Spend</v>
      </c>
    </row>
    <row r="3718" spans="1:14" x14ac:dyDescent="0.3">
      <c r="A3718" s="1" t="s">
        <v>3742</v>
      </c>
      <c r="B3718" s="2" t="s">
        <v>12</v>
      </c>
      <c r="C3718" s="2" t="s">
        <v>13</v>
      </c>
      <c r="D3718" s="2">
        <v>11</v>
      </c>
      <c r="E3718" s="2" t="s">
        <v>26</v>
      </c>
      <c r="F3718" s="2" t="s">
        <v>15</v>
      </c>
      <c r="G3718" s="7">
        <v>102</v>
      </c>
      <c r="H3718" s="7">
        <v>1145.3499999999999</v>
      </c>
      <c r="I3718" s="2" t="s">
        <v>16</v>
      </c>
      <c r="J3718" s="2" t="s">
        <v>16</v>
      </c>
      <c r="K3718" s="2" t="s">
        <v>17</v>
      </c>
      <c r="L3718" s="7">
        <v>1145.3499999999999</v>
      </c>
      <c r="M3718" s="2" t="str">
        <f>_xlfn.IFS(TelecomData[[#This Row],[TenureMonths]]&lt;=12, "0-1 Year", TelecomData[[#This Row],[TenureMonths]]&lt;=36, "1-3 Years", TelecomData[[#This Row],[TenureMonths]]&gt;36, "3+ Years")</f>
        <v>0-1 Year</v>
      </c>
      <c r="N3718" s="2" t="str">
        <f>IF(TelecomData[[#This Row],[CleanedTotalCharges]]&gt;=2500,"High Spend", "Standard Spend")</f>
        <v>Standard Spend</v>
      </c>
    </row>
    <row r="3719" spans="1:14" x14ac:dyDescent="0.3">
      <c r="A3719" s="1" t="s">
        <v>3743</v>
      </c>
      <c r="B3719" s="2" t="s">
        <v>19</v>
      </c>
      <c r="C3719" s="2" t="s">
        <v>13</v>
      </c>
      <c r="D3719" s="2">
        <v>29</v>
      </c>
      <c r="E3719" s="2" t="s">
        <v>14</v>
      </c>
      <c r="F3719" s="2" t="s">
        <v>15</v>
      </c>
      <c r="G3719" s="7">
        <v>48.95</v>
      </c>
      <c r="H3719" s="7">
        <v>1323.7</v>
      </c>
      <c r="I3719" s="2" t="s">
        <v>15</v>
      </c>
      <c r="J3719" s="2" t="s">
        <v>15</v>
      </c>
      <c r="K3719" s="2" t="s">
        <v>24</v>
      </c>
      <c r="L3719" s="7">
        <v>1323.7</v>
      </c>
      <c r="M3719" s="2" t="str">
        <f>_xlfn.IFS(TelecomData[[#This Row],[TenureMonths]]&lt;=12, "0-1 Year", TelecomData[[#This Row],[TenureMonths]]&lt;=36, "1-3 Years", TelecomData[[#This Row],[TenureMonths]]&gt;36, "3+ Years")</f>
        <v>1-3 Years</v>
      </c>
      <c r="N3719" s="2" t="str">
        <f>IF(TelecomData[[#This Row],[CleanedTotalCharges]]&gt;=2500,"High Spend", "Standard Spend")</f>
        <v>Standard Spend</v>
      </c>
    </row>
    <row r="3720" spans="1:14" x14ac:dyDescent="0.3">
      <c r="A3720" s="1" t="s">
        <v>3744</v>
      </c>
      <c r="B3720" s="2" t="s">
        <v>12</v>
      </c>
      <c r="C3720" s="2" t="s">
        <v>13</v>
      </c>
      <c r="D3720" s="2">
        <v>57</v>
      </c>
      <c r="E3720" s="2" t="s">
        <v>26</v>
      </c>
      <c r="F3720" s="2" t="s">
        <v>15</v>
      </c>
      <c r="G3720" s="7">
        <v>99.65</v>
      </c>
      <c r="H3720" s="7">
        <v>5497.05</v>
      </c>
      <c r="I3720" s="2" t="s">
        <v>15</v>
      </c>
      <c r="J3720" s="2" t="s">
        <v>16</v>
      </c>
      <c r="K3720" s="2" t="s">
        <v>17</v>
      </c>
      <c r="L3720" s="7">
        <v>5497.05</v>
      </c>
      <c r="M3720" s="2" t="str">
        <f>_xlfn.IFS(TelecomData[[#This Row],[TenureMonths]]&lt;=12, "0-1 Year", TelecomData[[#This Row],[TenureMonths]]&lt;=36, "1-3 Years", TelecomData[[#This Row],[TenureMonths]]&gt;36, "3+ Years")</f>
        <v>3+ Years</v>
      </c>
      <c r="N3720" s="2" t="str">
        <f>IF(TelecomData[[#This Row],[CleanedTotalCharges]]&gt;=2500,"High Spend", "Standard Spend")</f>
        <v>High Spend</v>
      </c>
    </row>
    <row r="3721" spans="1:14" x14ac:dyDescent="0.3">
      <c r="A3721" s="1" t="s">
        <v>3745</v>
      </c>
      <c r="B3721" s="2" t="s">
        <v>19</v>
      </c>
      <c r="C3721" s="2" t="s">
        <v>20</v>
      </c>
      <c r="D3721" s="2">
        <v>28</v>
      </c>
      <c r="E3721" s="2" t="s">
        <v>15</v>
      </c>
      <c r="F3721" s="2" t="s">
        <v>36</v>
      </c>
      <c r="G3721" s="7">
        <v>18.25</v>
      </c>
      <c r="H3721" s="7">
        <v>534.70000000000005</v>
      </c>
      <c r="I3721" s="2" t="s">
        <v>15</v>
      </c>
      <c r="J3721" s="2" t="s">
        <v>15</v>
      </c>
      <c r="K3721" s="2" t="s">
        <v>29</v>
      </c>
      <c r="L3721" s="7">
        <v>534.70000000000005</v>
      </c>
      <c r="M3721" s="2" t="str">
        <f>_xlfn.IFS(TelecomData[[#This Row],[TenureMonths]]&lt;=12, "0-1 Year", TelecomData[[#This Row],[TenureMonths]]&lt;=36, "1-3 Years", TelecomData[[#This Row],[TenureMonths]]&gt;36, "3+ Years")</f>
        <v>1-3 Years</v>
      </c>
      <c r="N3721" s="2" t="str">
        <f>IF(TelecomData[[#This Row],[CleanedTotalCharges]]&gt;=2500,"High Spend", "Standard Spend")</f>
        <v>Standard Spend</v>
      </c>
    </row>
    <row r="3722" spans="1:14" x14ac:dyDescent="0.3">
      <c r="A3722" s="1" t="s">
        <v>3746</v>
      </c>
      <c r="B3722" s="2" t="s">
        <v>12</v>
      </c>
      <c r="C3722" s="2" t="s">
        <v>13</v>
      </c>
      <c r="D3722" s="2">
        <v>42</v>
      </c>
      <c r="E3722" s="2" t="s">
        <v>14</v>
      </c>
      <c r="F3722" s="2" t="s">
        <v>15</v>
      </c>
      <c r="G3722" s="7">
        <v>54.55</v>
      </c>
      <c r="H3722" s="7">
        <v>2455.0500000000002</v>
      </c>
      <c r="I3722" s="2" t="s">
        <v>15</v>
      </c>
      <c r="J3722" s="2" t="s">
        <v>15</v>
      </c>
      <c r="K3722" s="2" t="s">
        <v>29</v>
      </c>
      <c r="L3722" s="7">
        <v>2455.0500000000002</v>
      </c>
      <c r="M3722" s="2" t="str">
        <f>_xlfn.IFS(TelecomData[[#This Row],[TenureMonths]]&lt;=12, "0-1 Year", TelecomData[[#This Row],[TenureMonths]]&lt;=36, "1-3 Years", TelecomData[[#This Row],[TenureMonths]]&gt;36, "3+ Years")</f>
        <v>3+ Years</v>
      </c>
      <c r="N3722" s="2" t="str">
        <f>IF(TelecomData[[#This Row],[CleanedTotalCharges]]&gt;=2500,"High Spend", "Standard Spend")</f>
        <v>Standard Spend</v>
      </c>
    </row>
    <row r="3723" spans="1:14" x14ac:dyDescent="0.3">
      <c r="A3723" s="1" t="s">
        <v>3747</v>
      </c>
      <c r="B3723" s="2" t="s">
        <v>12</v>
      </c>
      <c r="C3723" s="2" t="s">
        <v>13</v>
      </c>
      <c r="D3723" s="2">
        <v>2</v>
      </c>
      <c r="E3723" s="2" t="s">
        <v>15</v>
      </c>
      <c r="F3723" s="2" t="s">
        <v>36</v>
      </c>
      <c r="G3723" s="7">
        <v>20.65</v>
      </c>
      <c r="H3723" s="7">
        <v>38.700000000000003</v>
      </c>
      <c r="I3723" s="2" t="s">
        <v>16</v>
      </c>
      <c r="J3723" s="2" t="s">
        <v>15</v>
      </c>
      <c r="K3723" s="2" t="s">
        <v>21</v>
      </c>
      <c r="L3723" s="7">
        <v>38.700000000000003</v>
      </c>
      <c r="M3723" s="2" t="str">
        <f>_xlfn.IFS(TelecomData[[#This Row],[TenureMonths]]&lt;=12, "0-1 Year", TelecomData[[#This Row],[TenureMonths]]&lt;=36, "1-3 Years", TelecomData[[#This Row],[TenureMonths]]&gt;36, "3+ Years")</f>
        <v>0-1 Year</v>
      </c>
      <c r="N3723" s="2" t="str">
        <f>IF(TelecomData[[#This Row],[CleanedTotalCharges]]&gt;=2500,"High Spend", "Standard Spend")</f>
        <v>Standard Spend</v>
      </c>
    </row>
    <row r="3724" spans="1:14" x14ac:dyDescent="0.3">
      <c r="A3724" s="1" t="s">
        <v>3748</v>
      </c>
      <c r="B3724" s="2" t="s">
        <v>19</v>
      </c>
      <c r="C3724" s="2" t="s">
        <v>20</v>
      </c>
      <c r="D3724" s="2">
        <v>23</v>
      </c>
      <c r="E3724" s="2" t="s">
        <v>14</v>
      </c>
      <c r="F3724" s="2" t="s">
        <v>16</v>
      </c>
      <c r="G3724" s="7">
        <v>40.65</v>
      </c>
      <c r="H3724" s="7">
        <v>947.4</v>
      </c>
      <c r="I3724" s="2" t="s">
        <v>15</v>
      </c>
      <c r="J3724" s="2" t="s">
        <v>15</v>
      </c>
      <c r="K3724" s="2" t="s">
        <v>24</v>
      </c>
      <c r="L3724" s="7">
        <v>947.4</v>
      </c>
      <c r="M3724" s="2" t="str">
        <f>_xlfn.IFS(TelecomData[[#This Row],[TenureMonths]]&lt;=12, "0-1 Year", TelecomData[[#This Row],[TenureMonths]]&lt;=36, "1-3 Years", TelecomData[[#This Row],[TenureMonths]]&gt;36, "3+ Years")</f>
        <v>1-3 Years</v>
      </c>
      <c r="N3724" s="2" t="str">
        <f>IF(TelecomData[[#This Row],[CleanedTotalCharges]]&gt;=2500,"High Spend", "Standard Spend")</f>
        <v>Standard Spend</v>
      </c>
    </row>
    <row r="3725" spans="1:14" x14ac:dyDescent="0.3">
      <c r="A3725" s="1" t="s">
        <v>3749</v>
      </c>
      <c r="B3725" s="2" t="s">
        <v>12</v>
      </c>
      <c r="C3725" s="2" t="s">
        <v>13</v>
      </c>
      <c r="D3725" s="2">
        <v>18</v>
      </c>
      <c r="E3725" s="2" t="s">
        <v>15</v>
      </c>
      <c r="F3725" s="2" t="s">
        <v>36</v>
      </c>
      <c r="G3725" s="7">
        <v>20.45</v>
      </c>
      <c r="H3725" s="7">
        <v>357</v>
      </c>
      <c r="I3725" s="2" t="s">
        <v>15</v>
      </c>
      <c r="J3725" s="2" t="s">
        <v>15</v>
      </c>
      <c r="K3725" s="2" t="s">
        <v>21</v>
      </c>
      <c r="L3725" s="7">
        <v>357</v>
      </c>
      <c r="M3725" s="2" t="str">
        <f>_xlfn.IFS(TelecomData[[#This Row],[TenureMonths]]&lt;=12, "0-1 Year", TelecomData[[#This Row],[TenureMonths]]&lt;=36, "1-3 Years", TelecomData[[#This Row],[TenureMonths]]&gt;36, "3+ Years")</f>
        <v>1-3 Years</v>
      </c>
      <c r="N3725" s="2" t="str">
        <f>IF(TelecomData[[#This Row],[CleanedTotalCharges]]&gt;=2500,"High Spend", "Standard Spend")</f>
        <v>Standard Spend</v>
      </c>
    </row>
    <row r="3726" spans="1:14" x14ac:dyDescent="0.3">
      <c r="A3726" s="1" t="s">
        <v>3750</v>
      </c>
      <c r="B3726" s="2" t="s">
        <v>19</v>
      </c>
      <c r="C3726" s="2" t="s">
        <v>20</v>
      </c>
      <c r="D3726" s="2">
        <v>62</v>
      </c>
      <c r="E3726" s="2" t="s">
        <v>15</v>
      </c>
      <c r="F3726" s="2" t="s">
        <v>36</v>
      </c>
      <c r="G3726" s="7">
        <v>24.8</v>
      </c>
      <c r="H3726" s="7">
        <v>1476.25</v>
      </c>
      <c r="I3726" s="2" t="s">
        <v>15</v>
      </c>
      <c r="J3726" s="2" t="s">
        <v>15</v>
      </c>
      <c r="K3726" s="2" t="s">
        <v>24</v>
      </c>
      <c r="L3726" s="7">
        <v>1476.25</v>
      </c>
      <c r="M3726" s="2" t="str">
        <f>_xlfn.IFS(TelecomData[[#This Row],[TenureMonths]]&lt;=12, "0-1 Year", TelecomData[[#This Row],[TenureMonths]]&lt;=36, "1-3 Years", TelecomData[[#This Row],[TenureMonths]]&gt;36, "3+ Years")</f>
        <v>3+ Years</v>
      </c>
      <c r="N3726" s="2" t="str">
        <f>IF(TelecomData[[#This Row],[CleanedTotalCharges]]&gt;=2500,"High Spend", "Standard Spend")</f>
        <v>Standard Spend</v>
      </c>
    </row>
    <row r="3727" spans="1:14" x14ac:dyDescent="0.3">
      <c r="A3727" s="1" t="s">
        <v>3751</v>
      </c>
      <c r="B3727" s="2" t="s">
        <v>12</v>
      </c>
      <c r="C3727" s="2" t="s">
        <v>13</v>
      </c>
      <c r="D3727" s="2">
        <v>1</v>
      </c>
      <c r="E3727" s="2" t="s">
        <v>26</v>
      </c>
      <c r="F3727" s="2" t="s">
        <v>15</v>
      </c>
      <c r="G3727" s="7">
        <v>70.8</v>
      </c>
      <c r="H3727" s="7">
        <v>70.8</v>
      </c>
      <c r="I3727" s="2" t="s">
        <v>16</v>
      </c>
      <c r="J3727" s="2" t="s">
        <v>16</v>
      </c>
      <c r="K3727" s="2" t="s">
        <v>21</v>
      </c>
      <c r="L3727" s="7">
        <v>70.8</v>
      </c>
      <c r="M3727" s="2" t="str">
        <f>_xlfn.IFS(TelecomData[[#This Row],[TenureMonths]]&lt;=12, "0-1 Year", TelecomData[[#This Row],[TenureMonths]]&lt;=36, "1-3 Years", TelecomData[[#This Row],[TenureMonths]]&gt;36, "3+ Years")</f>
        <v>0-1 Year</v>
      </c>
      <c r="N3727" s="2" t="str">
        <f>IF(TelecomData[[#This Row],[CleanedTotalCharges]]&gt;=2500,"High Spend", "Standard Spend")</f>
        <v>Standard Spend</v>
      </c>
    </row>
    <row r="3728" spans="1:14" x14ac:dyDescent="0.3">
      <c r="A3728" s="1" t="s">
        <v>3752</v>
      </c>
      <c r="B3728" s="2" t="s">
        <v>19</v>
      </c>
      <c r="C3728" s="2" t="s">
        <v>13</v>
      </c>
      <c r="D3728" s="2">
        <v>16</v>
      </c>
      <c r="E3728" s="2" t="s">
        <v>26</v>
      </c>
      <c r="F3728" s="2" t="s">
        <v>16</v>
      </c>
      <c r="G3728" s="7">
        <v>89.05</v>
      </c>
      <c r="H3728" s="7">
        <v>1448.6</v>
      </c>
      <c r="I3728" s="2" t="s">
        <v>16</v>
      </c>
      <c r="J3728" s="2" t="s">
        <v>16</v>
      </c>
      <c r="K3728" s="2" t="s">
        <v>29</v>
      </c>
      <c r="L3728" s="7">
        <v>1448.6</v>
      </c>
      <c r="M3728" s="2" t="str">
        <f>_xlfn.IFS(TelecomData[[#This Row],[TenureMonths]]&lt;=12, "0-1 Year", TelecomData[[#This Row],[TenureMonths]]&lt;=36, "1-3 Years", TelecomData[[#This Row],[TenureMonths]]&gt;36, "3+ Years")</f>
        <v>1-3 Years</v>
      </c>
      <c r="N3728" s="2" t="str">
        <f>IF(TelecomData[[#This Row],[CleanedTotalCharges]]&gt;=2500,"High Spend", "Standard Spend")</f>
        <v>Standard Spend</v>
      </c>
    </row>
    <row r="3729" spans="1:14" x14ac:dyDescent="0.3">
      <c r="A3729" s="1" t="s">
        <v>3753</v>
      </c>
      <c r="B3729" s="2" t="s">
        <v>12</v>
      </c>
      <c r="C3729" s="2" t="s">
        <v>13</v>
      </c>
      <c r="D3729" s="2">
        <v>3</v>
      </c>
      <c r="E3729" s="2" t="s">
        <v>26</v>
      </c>
      <c r="F3729" s="2" t="s">
        <v>15</v>
      </c>
      <c r="G3729" s="7">
        <v>96.6</v>
      </c>
      <c r="H3729" s="7">
        <v>291.89999999999998</v>
      </c>
      <c r="I3729" s="2" t="s">
        <v>16</v>
      </c>
      <c r="J3729" s="2" t="s">
        <v>16</v>
      </c>
      <c r="K3729" s="2" t="s">
        <v>17</v>
      </c>
      <c r="L3729" s="7">
        <v>291.89999999999998</v>
      </c>
      <c r="M3729" s="2" t="str">
        <f>_xlfn.IFS(TelecomData[[#This Row],[TenureMonths]]&lt;=12, "0-1 Year", TelecomData[[#This Row],[TenureMonths]]&lt;=36, "1-3 Years", TelecomData[[#This Row],[TenureMonths]]&gt;36, "3+ Years")</f>
        <v>0-1 Year</v>
      </c>
      <c r="N3729" s="2" t="str">
        <f>IF(TelecomData[[#This Row],[CleanedTotalCharges]]&gt;=2500,"High Spend", "Standard Spend")</f>
        <v>Standard Spend</v>
      </c>
    </row>
    <row r="3730" spans="1:14" x14ac:dyDescent="0.3">
      <c r="A3730" s="1" t="s">
        <v>3754</v>
      </c>
      <c r="B3730" s="2" t="s">
        <v>19</v>
      </c>
      <c r="C3730" s="2" t="s">
        <v>20</v>
      </c>
      <c r="D3730" s="2">
        <v>67</v>
      </c>
      <c r="E3730" s="2" t="s">
        <v>14</v>
      </c>
      <c r="F3730" s="2" t="s">
        <v>16</v>
      </c>
      <c r="G3730" s="7">
        <v>88.8</v>
      </c>
      <c r="H3730" s="7">
        <v>5903.15</v>
      </c>
      <c r="I3730" s="2" t="s">
        <v>15</v>
      </c>
      <c r="J3730" s="2" t="s">
        <v>16</v>
      </c>
      <c r="K3730" s="2" t="s">
        <v>24</v>
      </c>
      <c r="L3730" s="7">
        <v>5903.15</v>
      </c>
      <c r="M3730" s="2" t="str">
        <f>_xlfn.IFS(TelecomData[[#This Row],[TenureMonths]]&lt;=12, "0-1 Year", TelecomData[[#This Row],[TenureMonths]]&lt;=36, "1-3 Years", TelecomData[[#This Row],[TenureMonths]]&gt;36, "3+ Years")</f>
        <v>3+ Years</v>
      </c>
      <c r="N3730" s="2" t="str">
        <f>IF(TelecomData[[#This Row],[CleanedTotalCharges]]&gt;=2500,"High Spend", "Standard Spend")</f>
        <v>High Spend</v>
      </c>
    </row>
    <row r="3731" spans="1:14" x14ac:dyDescent="0.3">
      <c r="A3731" s="1" t="s">
        <v>3755</v>
      </c>
      <c r="B3731" s="2" t="s">
        <v>19</v>
      </c>
      <c r="C3731" s="2" t="s">
        <v>35</v>
      </c>
      <c r="D3731" s="2">
        <v>62</v>
      </c>
      <c r="E3731" s="2" t="s">
        <v>15</v>
      </c>
      <c r="F3731" s="2" t="s">
        <v>36</v>
      </c>
      <c r="G3731" s="7">
        <v>20.05</v>
      </c>
      <c r="H3731" s="7">
        <v>1201.6500000000001</v>
      </c>
      <c r="I3731" s="2" t="s">
        <v>15</v>
      </c>
      <c r="J3731" s="2" t="s">
        <v>16</v>
      </c>
      <c r="K3731" s="2" t="s">
        <v>29</v>
      </c>
      <c r="L3731" s="7">
        <v>1201.6500000000001</v>
      </c>
      <c r="M3731" s="2" t="str">
        <f>_xlfn.IFS(TelecomData[[#This Row],[TenureMonths]]&lt;=12, "0-1 Year", TelecomData[[#This Row],[TenureMonths]]&lt;=36, "1-3 Years", TelecomData[[#This Row],[TenureMonths]]&gt;36, "3+ Years")</f>
        <v>3+ Years</v>
      </c>
      <c r="N3731" s="2" t="str">
        <f>IF(TelecomData[[#This Row],[CleanedTotalCharges]]&gt;=2500,"High Spend", "Standard Spend")</f>
        <v>Standard Spend</v>
      </c>
    </row>
    <row r="3732" spans="1:14" x14ac:dyDescent="0.3">
      <c r="A3732" s="1" t="s">
        <v>3756</v>
      </c>
      <c r="B3732" s="2" t="s">
        <v>12</v>
      </c>
      <c r="C3732" s="2" t="s">
        <v>13</v>
      </c>
      <c r="D3732" s="2">
        <v>57</v>
      </c>
      <c r="E3732" s="2" t="s">
        <v>26</v>
      </c>
      <c r="F3732" s="2" t="s">
        <v>15</v>
      </c>
      <c r="G3732" s="7">
        <v>104.5</v>
      </c>
      <c r="H3732" s="7">
        <v>5921.35</v>
      </c>
      <c r="I3732" s="2" t="s">
        <v>16</v>
      </c>
      <c r="J3732" s="2" t="s">
        <v>16</v>
      </c>
      <c r="K3732" s="2" t="s">
        <v>29</v>
      </c>
      <c r="L3732" s="7">
        <v>5921.35</v>
      </c>
      <c r="M3732" s="2" t="str">
        <f>_xlfn.IFS(TelecomData[[#This Row],[TenureMonths]]&lt;=12, "0-1 Year", TelecomData[[#This Row],[TenureMonths]]&lt;=36, "1-3 Years", TelecomData[[#This Row],[TenureMonths]]&gt;36, "3+ Years")</f>
        <v>3+ Years</v>
      </c>
      <c r="N3732" s="2" t="str">
        <f>IF(TelecomData[[#This Row],[CleanedTotalCharges]]&gt;=2500,"High Spend", "Standard Spend")</f>
        <v>High Spend</v>
      </c>
    </row>
    <row r="3733" spans="1:14" x14ac:dyDescent="0.3">
      <c r="A3733" s="1" t="s">
        <v>3757</v>
      </c>
      <c r="B3733" s="2" t="s">
        <v>19</v>
      </c>
      <c r="C3733" s="2" t="s">
        <v>13</v>
      </c>
      <c r="D3733" s="2">
        <v>2</v>
      </c>
      <c r="E3733" s="2" t="s">
        <v>26</v>
      </c>
      <c r="F3733" s="2" t="s">
        <v>15</v>
      </c>
      <c r="G3733" s="7">
        <v>69.8</v>
      </c>
      <c r="H3733" s="7">
        <v>146.65</v>
      </c>
      <c r="I3733" s="2" t="s">
        <v>15</v>
      </c>
      <c r="J3733" s="2" t="s">
        <v>16</v>
      </c>
      <c r="K3733" s="2" t="s">
        <v>17</v>
      </c>
      <c r="L3733" s="7">
        <v>146.65</v>
      </c>
      <c r="M3733" s="2" t="str">
        <f>_xlfn.IFS(TelecomData[[#This Row],[TenureMonths]]&lt;=12, "0-1 Year", TelecomData[[#This Row],[TenureMonths]]&lt;=36, "1-3 Years", TelecomData[[#This Row],[TenureMonths]]&gt;36, "3+ Years")</f>
        <v>0-1 Year</v>
      </c>
      <c r="N3733" s="2" t="str">
        <f>IF(TelecomData[[#This Row],[CleanedTotalCharges]]&gt;=2500,"High Spend", "Standard Spend")</f>
        <v>Standard Spend</v>
      </c>
    </row>
    <row r="3734" spans="1:14" x14ac:dyDescent="0.3">
      <c r="A3734" s="1" t="s">
        <v>3758</v>
      </c>
      <c r="B3734" s="2" t="s">
        <v>12</v>
      </c>
      <c r="C3734" s="2" t="s">
        <v>35</v>
      </c>
      <c r="D3734" s="2">
        <v>23</v>
      </c>
      <c r="E3734" s="2" t="s">
        <v>14</v>
      </c>
      <c r="F3734" s="2" t="s">
        <v>16</v>
      </c>
      <c r="G3734" s="7">
        <v>77.150000000000006</v>
      </c>
      <c r="H3734" s="7">
        <v>1759.4</v>
      </c>
      <c r="I3734" s="2" t="s">
        <v>15</v>
      </c>
      <c r="J3734" s="2" t="s">
        <v>16</v>
      </c>
      <c r="K3734" s="2" t="s">
        <v>24</v>
      </c>
      <c r="L3734" s="7">
        <v>1759.4</v>
      </c>
      <c r="M3734" s="2" t="str">
        <f>_xlfn.IFS(TelecomData[[#This Row],[TenureMonths]]&lt;=12, "0-1 Year", TelecomData[[#This Row],[TenureMonths]]&lt;=36, "1-3 Years", TelecomData[[#This Row],[TenureMonths]]&gt;36, "3+ Years")</f>
        <v>1-3 Years</v>
      </c>
      <c r="N3734" s="2" t="str">
        <f>IF(TelecomData[[#This Row],[CleanedTotalCharges]]&gt;=2500,"High Spend", "Standard Spend")</f>
        <v>Standard Spend</v>
      </c>
    </row>
    <row r="3735" spans="1:14" x14ac:dyDescent="0.3">
      <c r="A3735" s="1" t="s">
        <v>3759</v>
      </c>
      <c r="B3735" s="2" t="s">
        <v>12</v>
      </c>
      <c r="C3735" s="2" t="s">
        <v>35</v>
      </c>
      <c r="D3735" s="2">
        <v>25</v>
      </c>
      <c r="E3735" s="2" t="s">
        <v>14</v>
      </c>
      <c r="F3735" s="2" t="s">
        <v>16</v>
      </c>
      <c r="G3735" s="7">
        <v>35.049999999999997</v>
      </c>
      <c r="H3735" s="7">
        <v>844.45</v>
      </c>
      <c r="I3735" s="2" t="s">
        <v>15</v>
      </c>
      <c r="J3735" s="2" t="s">
        <v>15</v>
      </c>
      <c r="K3735" s="2" t="s">
        <v>24</v>
      </c>
      <c r="L3735" s="7">
        <v>844.45</v>
      </c>
      <c r="M3735" s="2" t="str">
        <f>_xlfn.IFS(TelecomData[[#This Row],[TenureMonths]]&lt;=12, "0-1 Year", TelecomData[[#This Row],[TenureMonths]]&lt;=36, "1-3 Years", TelecomData[[#This Row],[TenureMonths]]&gt;36, "3+ Years")</f>
        <v>1-3 Years</v>
      </c>
      <c r="N3735" s="2" t="str">
        <f>IF(TelecomData[[#This Row],[CleanedTotalCharges]]&gt;=2500,"High Spend", "Standard Spend")</f>
        <v>Standard Spend</v>
      </c>
    </row>
    <row r="3736" spans="1:14" x14ac:dyDescent="0.3">
      <c r="A3736" s="1" t="s">
        <v>3760</v>
      </c>
      <c r="B3736" s="2" t="s">
        <v>12</v>
      </c>
      <c r="C3736" s="2" t="s">
        <v>35</v>
      </c>
      <c r="D3736" s="2">
        <v>72</v>
      </c>
      <c r="E3736" s="2" t="s">
        <v>26</v>
      </c>
      <c r="F3736" s="2" t="s">
        <v>16</v>
      </c>
      <c r="G3736" s="7">
        <v>108.1</v>
      </c>
      <c r="H3736" s="7">
        <v>7774.05</v>
      </c>
      <c r="I3736" s="2" t="s">
        <v>15</v>
      </c>
      <c r="J3736" s="2" t="s">
        <v>16</v>
      </c>
      <c r="K3736" s="2" t="s">
        <v>24</v>
      </c>
      <c r="L3736" s="7">
        <v>7774.05</v>
      </c>
      <c r="M3736" s="2" t="str">
        <f>_xlfn.IFS(TelecomData[[#This Row],[TenureMonths]]&lt;=12, "0-1 Year", TelecomData[[#This Row],[TenureMonths]]&lt;=36, "1-3 Years", TelecomData[[#This Row],[TenureMonths]]&gt;36, "3+ Years")</f>
        <v>3+ Years</v>
      </c>
      <c r="N3736" s="2" t="str">
        <f>IF(TelecomData[[#This Row],[CleanedTotalCharges]]&gt;=2500,"High Spend", "Standard Spend")</f>
        <v>High Spend</v>
      </c>
    </row>
    <row r="3737" spans="1:14" x14ac:dyDescent="0.3">
      <c r="A3737" s="1" t="s">
        <v>3761</v>
      </c>
      <c r="B3737" s="2" t="s">
        <v>12</v>
      </c>
      <c r="C3737" s="2" t="s">
        <v>13</v>
      </c>
      <c r="D3737" s="2">
        <v>2</v>
      </c>
      <c r="E3737" s="2" t="s">
        <v>26</v>
      </c>
      <c r="F3737" s="2" t="s">
        <v>15</v>
      </c>
      <c r="G3737" s="7">
        <v>84.05</v>
      </c>
      <c r="H3737" s="7">
        <v>134.05000000000001</v>
      </c>
      <c r="I3737" s="2" t="s">
        <v>15</v>
      </c>
      <c r="J3737" s="2" t="s">
        <v>16</v>
      </c>
      <c r="K3737" s="2" t="s">
        <v>17</v>
      </c>
      <c r="L3737" s="7">
        <v>134.05000000000001</v>
      </c>
      <c r="M3737" s="2" t="str">
        <f>_xlfn.IFS(TelecomData[[#This Row],[TenureMonths]]&lt;=12, "0-1 Year", TelecomData[[#This Row],[TenureMonths]]&lt;=36, "1-3 Years", TelecomData[[#This Row],[TenureMonths]]&gt;36, "3+ Years")</f>
        <v>0-1 Year</v>
      </c>
      <c r="N3737" s="2" t="str">
        <f>IF(TelecomData[[#This Row],[CleanedTotalCharges]]&gt;=2500,"High Spend", "Standard Spend")</f>
        <v>Standard Spend</v>
      </c>
    </row>
    <row r="3738" spans="1:14" x14ac:dyDescent="0.3">
      <c r="A3738" s="1" t="s">
        <v>3762</v>
      </c>
      <c r="B3738" s="2" t="s">
        <v>12</v>
      </c>
      <c r="C3738" s="2" t="s">
        <v>20</v>
      </c>
      <c r="D3738" s="2">
        <v>8</v>
      </c>
      <c r="E3738" s="2" t="s">
        <v>15</v>
      </c>
      <c r="F3738" s="2" t="s">
        <v>36</v>
      </c>
      <c r="G3738" s="7">
        <v>20.2</v>
      </c>
      <c r="H3738" s="7">
        <v>140.94999999999999</v>
      </c>
      <c r="I3738" s="2" t="s">
        <v>15</v>
      </c>
      <c r="J3738" s="2" t="s">
        <v>16</v>
      </c>
      <c r="K3738" s="2" t="s">
        <v>24</v>
      </c>
      <c r="L3738" s="7">
        <v>140.94999999999999</v>
      </c>
      <c r="M3738" s="2" t="str">
        <f>_xlfn.IFS(TelecomData[[#This Row],[TenureMonths]]&lt;=12, "0-1 Year", TelecomData[[#This Row],[TenureMonths]]&lt;=36, "1-3 Years", TelecomData[[#This Row],[TenureMonths]]&gt;36, "3+ Years")</f>
        <v>0-1 Year</v>
      </c>
      <c r="N3738" s="2" t="str">
        <f>IF(TelecomData[[#This Row],[CleanedTotalCharges]]&gt;=2500,"High Spend", "Standard Spend")</f>
        <v>Standard Spend</v>
      </c>
    </row>
    <row r="3739" spans="1:14" x14ac:dyDescent="0.3">
      <c r="A3739" s="1" t="s">
        <v>3763</v>
      </c>
      <c r="B3739" s="2" t="s">
        <v>12</v>
      </c>
      <c r="C3739" s="2" t="s">
        <v>13</v>
      </c>
      <c r="D3739" s="2">
        <v>5</v>
      </c>
      <c r="E3739" s="2" t="s">
        <v>14</v>
      </c>
      <c r="F3739" s="2" t="s">
        <v>15</v>
      </c>
      <c r="G3739" s="7">
        <v>50.6</v>
      </c>
      <c r="H3739" s="7">
        <v>249.95</v>
      </c>
      <c r="I3739" s="2" t="s">
        <v>16</v>
      </c>
      <c r="J3739" s="2" t="s">
        <v>16</v>
      </c>
      <c r="K3739" s="2" t="s">
        <v>21</v>
      </c>
      <c r="L3739" s="7">
        <v>249.95</v>
      </c>
      <c r="M3739" s="2" t="str">
        <f>_xlfn.IFS(TelecomData[[#This Row],[TenureMonths]]&lt;=12, "0-1 Year", TelecomData[[#This Row],[TenureMonths]]&lt;=36, "1-3 Years", TelecomData[[#This Row],[TenureMonths]]&gt;36, "3+ Years")</f>
        <v>0-1 Year</v>
      </c>
      <c r="N3739" s="2" t="str">
        <f>IF(TelecomData[[#This Row],[CleanedTotalCharges]]&gt;=2500,"High Spend", "Standard Spend")</f>
        <v>Standard Spend</v>
      </c>
    </row>
    <row r="3740" spans="1:14" x14ac:dyDescent="0.3">
      <c r="A3740" s="1" t="s">
        <v>3764</v>
      </c>
      <c r="B3740" s="2" t="s">
        <v>19</v>
      </c>
      <c r="C3740" s="2" t="s">
        <v>13</v>
      </c>
      <c r="D3740" s="2">
        <v>35</v>
      </c>
      <c r="E3740" s="2" t="s">
        <v>14</v>
      </c>
      <c r="F3740" s="2" t="s">
        <v>15</v>
      </c>
      <c r="G3740" s="7">
        <v>49.2</v>
      </c>
      <c r="H3740" s="7">
        <v>1701.65</v>
      </c>
      <c r="I3740" s="2" t="s">
        <v>15</v>
      </c>
      <c r="J3740" s="2" t="s">
        <v>15</v>
      </c>
      <c r="K3740" s="2" t="s">
        <v>17</v>
      </c>
      <c r="L3740" s="7">
        <v>1701.65</v>
      </c>
      <c r="M3740" s="2" t="str">
        <f>_xlfn.IFS(TelecomData[[#This Row],[TenureMonths]]&lt;=12, "0-1 Year", TelecomData[[#This Row],[TenureMonths]]&lt;=36, "1-3 Years", TelecomData[[#This Row],[TenureMonths]]&gt;36, "3+ Years")</f>
        <v>1-3 Years</v>
      </c>
      <c r="N3740" s="2" t="str">
        <f>IF(TelecomData[[#This Row],[CleanedTotalCharges]]&gt;=2500,"High Spend", "Standard Spend")</f>
        <v>Standard Spend</v>
      </c>
    </row>
    <row r="3741" spans="1:14" x14ac:dyDescent="0.3">
      <c r="A3741" s="1" t="s">
        <v>3765</v>
      </c>
      <c r="B3741" s="2" t="s">
        <v>19</v>
      </c>
      <c r="C3741" s="2" t="s">
        <v>20</v>
      </c>
      <c r="D3741" s="2">
        <v>24</v>
      </c>
      <c r="E3741" s="2" t="s">
        <v>15</v>
      </c>
      <c r="F3741" s="2" t="s">
        <v>36</v>
      </c>
      <c r="G3741" s="7">
        <v>24.6</v>
      </c>
      <c r="H3741" s="7">
        <v>592.65</v>
      </c>
      <c r="I3741" s="2" t="s">
        <v>15</v>
      </c>
      <c r="J3741" s="2" t="s">
        <v>15</v>
      </c>
      <c r="K3741" s="2" t="s">
        <v>17</v>
      </c>
      <c r="L3741" s="7">
        <v>592.65</v>
      </c>
      <c r="M3741" s="2" t="str">
        <f>_xlfn.IFS(TelecomData[[#This Row],[TenureMonths]]&lt;=12, "0-1 Year", TelecomData[[#This Row],[TenureMonths]]&lt;=36, "1-3 Years", TelecomData[[#This Row],[TenureMonths]]&gt;36, "3+ Years")</f>
        <v>1-3 Years</v>
      </c>
      <c r="N3741" s="2" t="str">
        <f>IF(TelecomData[[#This Row],[CleanedTotalCharges]]&gt;=2500,"High Spend", "Standard Spend")</f>
        <v>Standard Spend</v>
      </c>
    </row>
    <row r="3742" spans="1:14" x14ac:dyDescent="0.3">
      <c r="A3742" s="1" t="s">
        <v>3766</v>
      </c>
      <c r="B3742" s="2" t="s">
        <v>12</v>
      </c>
      <c r="C3742" s="2" t="s">
        <v>13</v>
      </c>
      <c r="D3742" s="2">
        <v>2</v>
      </c>
      <c r="E3742" s="2" t="s">
        <v>26</v>
      </c>
      <c r="F3742" s="2" t="s">
        <v>15</v>
      </c>
      <c r="G3742" s="7">
        <v>71.650000000000006</v>
      </c>
      <c r="H3742" s="7">
        <v>135.75</v>
      </c>
      <c r="I3742" s="2" t="s">
        <v>15</v>
      </c>
      <c r="J3742" s="2" t="s">
        <v>16</v>
      </c>
      <c r="K3742" s="2" t="s">
        <v>17</v>
      </c>
      <c r="L3742" s="7">
        <v>135.75</v>
      </c>
      <c r="M3742" s="2" t="str">
        <f>_xlfn.IFS(TelecomData[[#This Row],[TenureMonths]]&lt;=12, "0-1 Year", TelecomData[[#This Row],[TenureMonths]]&lt;=36, "1-3 Years", TelecomData[[#This Row],[TenureMonths]]&gt;36, "3+ Years")</f>
        <v>0-1 Year</v>
      </c>
      <c r="N3742" s="2" t="str">
        <f>IF(TelecomData[[#This Row],[CleanedTotalCharges]]&gt;=2500,"High Spend", "Standard Spend")</f>
        <v>Standard Spend</v>
      </c>
    </row>
    <row r="3743" spans="1:14" x14ac:dyDescent="0.3">
      <c r="A3743" s="1" t="s">
        <v>3767</v>
      </c>
      <c r="B3743" s="2" t="s">
        <v>19</v>
      </c>
      <c r="C3743" s="2" t="s">
        <v>35</v>
      </c>
      <c r="D3743" s="2">
        <v>72</v>
      </c>
      <c r="E3743" s="2" t="s">
        <v>26</v>
      </c>
      <c r="F3743" s="2" t="s">
        <v>16</v>
      </c>
      <c r="G3743" s="7">
        <v>104.9</v>
      </c>
      <c r="H3743" s="7">
        <v>7732.65</v>
      </c>
      <c r="I3743" s="2" t="s">
        <v>15</v>
      </c>
      <c r="J3743" s="2" t="s">
        <v>16</v>
      </c>
      <c r="K3743" s="2" t="s">
        <v>29</v>
      </c>
      <c r="L3743" s="7">
        <v>7732.65</v>
      </c>
      <c r="M3743" s="2" t="str">
        <f>_xlfn.IFS(TelecomData[[#This Row],[TenureMonths]]&lt;=12, "0-1 Year", TelecomData[[#This Row],[TenureMonths]]&lt;=36, "1-3 Years", TelecomData[[#This Row],[TenureMonths]]&gt;36, "3+ Years")</f>
        <v>3+ Years</v>
      </c>
      <c r="N3743" s="2" t="str">
        <f>IF(TelecomData[[#This Row],[CleanedTotalCharges]]&gt;=2500,"High Spend", "Standard Spend")</f>
        <v>High Spend</v>
      </c>
    </row>
    <row r="3744" spans="1:14" x14ac:dyDescent="0.3">
      <c r="A3744" s="1" t="s">
        <v>3768</v>
      </c>
      <c r="B3744" s="2" t="s">
        <v>12</v>
      </c>
      <c r="C3744" s="2" t="s">
        <v>13</v>
      </c>
      <c r="D3744" s="2">
        <v>41</v>
      </c>
      <c r="E3744" s="2" t="s">
        <v>26</v>
      </c>
      <c r="F3744" s="2" t="s">
        <v>16</v>
      </c>
      <c r="G3744" s="7">
        <v>106.5</v>
      </c>
      <c r="H3744" s="7">
        <v>4282.3999999999996</v>
      </c>
      <c r="I3744" s="2" t="s">
        <v>15</v>
      </c>
      <c r="J3744" s="2" t="s">
        <v>16</v>
      </c>
      <c r="K3744" s="2" t="s">
        <v>17</v>
      </c>
      <c r="L3744" s="7">
        <v>4282.3999999999996</v>
      </c>
      <c r="M3744" s="2" t="str">
        <f>_xlfn.IFS(TelecomData[[#This Row],[TenureMonths]]&lt;=12, "0-1 Year", TelecomData[[#This Row],[TenureMonths]]&lt;=36, "1-3 Years", TelecomData[[#This Row],[TenureMonths]]&gt;36, "3+ Years")</f>
        <v>3+ Years</v>
      </c>
      <c r="N3744" s="2" t="str">
        <f>IF(TelecomData[[#This Row],[CleanedTotalCharges]]&gt;=2500,"High Spend", "Standard Spend")</f>
        <v>High Spend</v>
      </c>
    </row>
    <row r="3745" spans="1:14" x14ac:dyDescent="0.3">
      <c r="A3745" s="1" t="s">
        <v>3769</v>
      </c>
      <c r="B3745" s="2" t="s">
        <v>19</v>
      </c>
      <c r="C3745" s="2" t="s">
        <v>13</v>
      </c>
      <c r="D3745" s="2">
        <v>4</v>
      </c>
      <c r="E3745" s="2" t="s">
        <v>14</v>
      </c>
      <c r="F3745" s="2" t="s">
        <v>15</v>
      </c>
      <c r="G3745" s="7">
        <v>49.35</v>
      </c>
      <c r="H3745" s="7">
        <v>219.65</v>
      </c>
      <c r="I3745" s="2" t="s">
        <v>16</v>
      </c>
      <c r="J3745" s="2" t="s">
        <v>15</v>
      </c>
      <c r="K3745" s="2" t="s">
        <v>17</v>
      </c>
      <c r="L3745" s="7">
        <v>219.65</v>
      </c>
      <c r="M3745" s="2" t="str">
        <f>_xlfn.IFS(TelecomData[[#This Row],[TenureMonths]]&lt;=12, "0-1 Year", TelecomData[[#This Row],[TenureMonths]]&lt;=36, "1-3 Years", TelecomData[[#This Row],[TenureMonths]]&gt;36, "3+ Years")</f>
        <v>0-1 Year</v>
      </c>
      <c r="N3745" s="2" t="str">
        <f>IF(TelecomData[[#This Row],[CleanedTotalCharges]]&gt;=2500,"High Spend", "Standard Spend")</f>
        <v>Standard Spend</v>
      </c>
    </row>
    <row r="3746" spans="1:14" x14ac:dyDescent="0.3">
      <c r="A3746" s="1" t="s">
        <v>3770</v>
      </c>
      <c r="B3746" s="2" t="s">
        <v>19</v>
      </c>
      <c r="C3746" s="2" t="s">
        <v>20</v>
      </c>
      <c r="D3746" s="2">
        <v>26</v>
      </c>
      <c r="E3746" s="2" t="s">
        <v>26</v>
      </c>
      <c r="F3746" s="2" t="s">
        <v>15</v>
      </c>
      <c r="G3746" s="7">
        <v>75.5</v>
      </c>
      <c r="H3746" s="7">
        <v>2018.1</v>
      </c>
      <c r="I3746" s="2" t="s">
        <v>15</v>
      </c>
      <c r="J3746" s="2" t="s">
        <v>15</v>
      </c>
      <c r="K3746" s="2" t="s">
        <v>24</v>
      </c>
      <c r="L3746" s="7">
        <v>2018.1</v>
      </c>
      <c r="M3746" s="2" t="str">
        <f>_xlfn.IFS(TelecomData[[#This Row],[TenureMonths]]&lt;=12, "0-1 Year", TelecomData[[#This Row],[TenureMonths]]&lt;=36, "1-3 Years", TelecomData[[#This Row],[TenureMonths]]&gt;36, "3+ Years")</f>
        <v>1-3 Years</v>
      </c>
      <c r="N3746" s="2" t="str">
        <f>IF(TelecomData[[#This Row],[CleanedTotalCharges]]&gt;=2500,"High Spend", "Standard Spend")</f>
        <v>Standard Spend</v>
      </c>
    </row>
    <row r="3747" spans="1:14" x14ac:dyDescent="0.3">
      <c r="A3747" s="1" t="s">
        <v>3771</v>
      </c>
      <c r="B3747" s="2" t="s">
        <v>19</v>
      </c>
      <c r="C3747" s="2" t="s">
        <v>13</v>
      </c>
      <c r="D3747" s="2">
        <v>7</v>
      </c>
      <c r="E3747" s="2" t="s">
        <v>26</v>
      </c>
      <c r="F3747" s="2" t="s">
        <v>15</v>
      </c>
      <c r="G3747" s="7">
        <v>94.25</v>
      </c>
      <c r="H3747" s="7">
        <v>669</v>
      </c>
      <c r="I3747" s="2" t="s">
        <v>16</v>
      </c>
      <c r="J3747" s="2" t="s">
        <v>16</v>
      </c>
      <c r="K3747" s="2" t="s">
        <v>17</v>
      </c>
      <c r="L3747" s="7">
        <v>669</v>
      </c>
      <c r="M3747" s="2" t="str">
        <f>_xlfn.IFS(TelecomData[[#This Row],[TenureMonths]]&lt;=12, "0-1 Year", TelecomData[[#This Row],[TenureMonths]]&lt;=36, "1-3 Years", TelecomData[[#This Row],[TenureMonths]]&gt;36, "3+ Years")</f>
        <v>0-1 Year</v>
      </c>
      <c r="N3747" s="2" t="str">
        <f>IF(TelecomData[[#This Row],[CleanedTotalCharges]]&gt;=2500,"High Spend", "Standard Spend")</f>
        <v>Standard Spend</v>
      </c>
    </row>
    <row r="3748" spans="1:14" x14ac:dyDescent="0.3">
      <c r="A3748" s="1" t="s">
        <v>3772</v>
      </c>
      <c r="B3748" s="2" t="s">
        <v>12</v>
      </c>
      <c r="C3748" s="2" t="s">
        <v>13</v>
      </c>
      <c r="D3748" s="2">
        <v>1</v>
      </c>
      <c r="E3748" s="2" t="s">
        <v>26</v>
      </c>
      <c r="F3748" s="2" t="s">
        <v>15</v>
      </c>
      <c r="G3748" s="7">
        <v>68.95</v>
      </c>
      <c r="H3748" s="7">
        <v>68.95</v>
      </c>
      <c r="I3748" s="2" t="s">
        <v>16</v>
      </c>
      <c r="J3748" s="2" t="s">
        <v>16</v>
      </c>
      <c r="K3748" s="2" t="s">
        <v>17</v>
      </c>
      <c r="L3748" s="7">
        <v>68.95</v>
      </c>
      <c r="M3748" s="2" t="str">
        <f>_xlfn.IFS(TelecomData[[#This Row],[TenureMonths]]&lt;=12, "0-1 Year", TelecomData[[#This Row],[TenureMonths]]&lt;=36, "1-3 Years", TelecomData[[#This Row],[TenureMonths]]&gt;36, "3+ Years")</f>
        <v>0-1 Year</v>
      </c>
      <c r="N3748" s="2" t="str">
        <f>IF(TelecomData[[#This Row],[CleanedTotalCharges]]&gt;=2500,"High Spend", "Standard Spend")</f>
        <v>Standard Spend</v>
      </c>
    </row>
    <row r="3749" spans="1:14" x14ac:dyDescent="0.3">
      <c r="A3749" s="1" t="s">
        <v>3773</v>
      </c>
      <c r="B3749" s="2" t="s">
        <v>12</v>
      </c>
      <c r="C3749" s="2" t="s">
        <v>13</v>
      </c>
      <c r="D3749" s="2">
        <v>4</v>
      </c>
      <c r="E3749" s="2" t="s">
        <v>14</v>
      </c>
      <c r="F3749" s="2" t="s">
        <v>16</v>
      </c>
      <c r="G3749" s="7">
        <v>58.5</v>
      </c>
      <c r="H3749" s="7">
        <v>224.85</v>
      </c>
      <c r="I3749" s="2" t="s">
        <v>15</v>
      </c>
      <c r="J3749" s="2" t="s">
        <v>16</v>
      </c>
      <c r="K3749" s="2" t="s">
        <v>21</v>
      </c>
      <c r="L3749" s="7">
        <v>224.85</v>
      </c>
      <c r="M3749" s="2" t="str">
        <f>_xlfn.IFS(TelecomData[[#This Row],[TenureMonths]]&lt;=12, "0-1 Year", TelecomData[[#This Row],[TenureMonths]]&lt;=36, "1-3 Years", TelecomData[[#This Row],[TenureMonths]]&gt;36, "3+ Years")</f>
        <v>0-1 Year</v>
      </c>
      <c r="N3749" s="2" t="str">
        <f>IF(TelecomData[[#This Row],[CleanedTotalCharges]]&gt;=2500,"High Spend", "Standard Spend")</f>
        <v>Standard Spend</v>
      </c>
    </row>
    <row r="3750" spans="1:14" x14ac:dyDescent="0.3">
      <c r="A3750" s="1" t="s">
        <v>3774</v>
      </c>
      <c r="B3750" s="2" t="s">
        <v>19</v>
      </c>
      <c r="C3750" s="2" t="s">
        <v>35</v>
      </c>
      <c r="D3750" s="2">
        <v>48</v>
      </c>
      <c r="E3750" s="2" t="s">
        <v>14</v>
      </c>
      <c r="F3750" s="2" t="s">
        <v>16</v>
      </c>
      <c r="G3750" s="7">
        <v>78.900000000000006</v>
      </c>
      <c r="H3750" s="7">
        <v>3771.5</v>
      </c>
      <c r="I3750" s="2" t="s">
        <v>15</v>
      </c>
      <c r="J3750" s="2" t="s">
        <v>15</v>
      </c>
      <c r="K3750" s="2" t="s">
        <v>29</v>
      </c>
      <c r="L3750" s="7">
        <v>3771.5</v>
      </c>
      <c r="M3750" s="2" t="str">
        <f>_xlfn.IFS(TelecomData[[#This Row],[TenureMonths]]&lt;=12, "0-1 Year", TelecomData[[#This Row],[TenureMonths]]&lt;=36, "1-3 Years", TelecomData[[#This Row],[TenureMonths]]&gt;36, "3+ Years")</f>
        <v>3+ Years</v>
      </c>
      <c r="N3750" s="2" t="str">
        <f>IF(TelecomData[[#This Row],[CleanedTotalCharges]]&gt;=2500,"High Spend", "Standard Spend")</f>
        <v>High Spend</v>
      </c>
    </row>
    <row r="3751" spans="1:14" x14ac:dyDescent="0.3">
      <c r="A3751" s="1" t="s">
        <v>3775</v>
      </c>
      <c r="B3751" s="2" t="s">
        <v>19</v>
      </c>
      <c r="C3751" s="2" t="s">
        <v>13</v>
      </c>
      <c r="D3751" s="2">
        <v>2</v>
      </c>
      <c r="E3751" s="2" t="s">
        <v>26</v>
      </c>
      <c r="F3751" s="2" t="s">
        <v>15</v>
      </c>
      <c r="G3751" s="7">
        <v>93.85</v>
      </c>
      <c r="H3751" s="7">
        <v>196.75</v>
      </c>
      <c r="I3751" s="2" t="s">
        <v>16</v>
      </c>
      <c r="J3751" s="2" t="s">
        <v>16</v>
      </c>
      <c r="K3751" s="2" t="s">
        <v>17</v>
      </c>
      <c r="L3751" s="7">
        <v>196.75</v>
      </c>
      <c r="M3751" s="2" t="str">
        <f>_xlfn.IFS(TelecomData[[#This Row],[TenureMonths]]&lt;=12, "0-1 Year", TelecomData[[#This Row],[TenureMonths]]&lt;=36, "1-3 Years", TelecomData[[#This Row],[TenureMonths]]&gt;36, "3+ Years")</f>
        <v>0-1 Year</v>
      </c>
      <c r="N3751" s="2" t="str">
        <f>IF(TelecomData[[#This Row],[CleanedTotalCharges]]&gt;=2500,"High Spend", "Standard Spend")</f>
        <v>Standard Spend</v>
      </c>
    </row>
    <row r="3752" spans="1:14" x14ac:dyDescent="0.3">
      <c r="A3752" s="1" t="s">
        <v>3776</v>
      </c>
      <c r="B3752" s="2" t="s">
        <v>12</v>
      </c>
      <c r="C3752" s="2" t="s">
        <v>20</v>
      </c>
      <c r="D3752" s="2">
        <v>12</v>
      </c>
      <c r="E3752" s="2" t="s">
        <v>14</v>
      </c>
      <c r="F3752" s="2" t="s">
        <v>16</v>
      </c>
      <c r="G3752" s="7">
        <v>79.2</v>
      </c>
      <c r="H3752" s="7">
        <v>943.85</v>
      </c>
      <c r="I3752" s="2" t="s">
        <v>15</v>
      </c>
      <c r="J3752" s="2" t="s">
        <v>16</v>
      </c>
      <c r="K3752" s="2" t="s">
        <v>17</v>
      </c>
      <c r="L3752" s="7">
        <v>943.85</v>
      </c>
      <c r="M3752" s="2" t="str">
        <f>_xlfn.IFS(TelecomData[[#This Row],[TenureMonths]]&lt;=12, "0-1 Year", TelecomData[[#This Row],[TenureMonths]]&lt;=36, "1-3 Years", TelecomData[[#This Row],[TenureMonths]]&gt;36, "3+ Years")</f>
        <v>0-1 Year</v>
      </c>
      <c r="N3752" s="2" t="str">
        <f>IF(TelecomData[[#This Row],[CleanedTotalCharges]]&gt;=2500,"High Spend", "Standard Spend")</f>
        <v>Standard Spend</v>
      </c>
    </row>
    <row r="3753" spans="1:14" x14ac:dyDescent="0.3">
      <c r="A3753" s="1" t="s">
        <v>3777</v>
      </c>
      <c r="B3753" s="2" t="s">
        <v>19</v>
      </c>
      <c r="C3753" s="2" t="s">
        <v>13</v>
      </c>
      <c r="D3753" s="2">
        <v>60</v>
      </c>
      <c r="E3753" s="2" t="s">
        <v>26</v>
      </c>
      <c r="F3753" s="2" t="s">
        <v>16</v>
      </c>
      <c r="G3753" s="7">
        <v>109.45</v>
      </c>
      <c r="H3753" s="7">
        <v>6572.85</v>
      </c>
      <c r="I3753" s="2" t="s">
        <v>15</v>
      </c>
      <c r="J3753" s="2" t="s">
        <v>16</v>
      </c>
      <c r="K3753" s="2" t="s">
        <v>24</v>
      </c>
      <c r="L3753" s="7">
        <v>6572.85</v>
      </c>
      <c r="M3753" s="2" t="str">
        <f>_xlfn.IFS(TelecomData[[#This Row],[TenureMonths]]&lt;=12, "0-1 Year", TelecomData[[#This Row],[TenureMonths]]&lt;=36, "1-3 Years", TelecomData[[#This Row],[TenureMonths]]&gt;36, "3+ Years")</f>
        <v>3+ Years</v>
      </c>
      <c r="N3753" s="2" t="str">
        <f>IF(TelecomData[[#This Row],[CleanedTotalCharges]]&gt;=2500,"High Spend", "Standard Spend")</f>
        <v>High Spend</v>
      </c>
    </row>
    <row r="3754" spans="1:14" x14ac:dyDescent="0.3">
      <c r="A3754" s="1" t="s">
        <v>3778</v>
      </c>
      <c r="B3754" s="2" t="s">
        <v>19</v>
      </c>
      <c r="C3754" s="2" t="s">
        <v>35</v>
      </c>
      <c r="D3754" s="2">
        <v>55</v>
      </c>
      <c r="E3754" s="2" t="s">
        <v>14</v>
      </c>
      <c r="F3754" s="2" t="s">
        <v>16</v>
      </c>
      <c r="G3754" s="7">
        <v>59.2</v>
      </c>
      <c r="H3754" s="7">
        <v>3175.85</v>
      </c>
      <c r="I3754" s="2" t="s">
        <v>15</v>
      </c>
      <c r="J3754" s="2" t="s">
        <v>16</v>
      </c>
      <c r="K3754" s="2" t="s">
        <v>17</v>
      </c>
      <c r="L3754" s="7">
        <v>3175.85</v>
      </c>
      <c r="M3754" s="2" t="str">
        <f>_xlfn.IFS(TelecomData[[#This Row],[TenureMonths]]&lt;=12, "0-1 Year", TelecomData[[#This Row],[TenureMonths]]&lt;=36, "1-3 Years", TelecomData[[#This Row],[TenureMonths]]&gt;36, "3+ Years")</f>
        <v>3+ Years</v>
      </c>
      <c r="N3754" s="2" t="str">
        <f>IF(TelecomData[[#This Row],[CleanedTotalCharges]]&gt;=2500,"High Spend", "Standard Spend")</f>
        <v>High Spend</v>
      </c>
    </row>
    <row r="3755" spans="1:14" x14ac:dyDescent="0.3">
      <c r="A3755" s="1" t="s">
        <v>3779</v>
      </c>
      <c r="B3755" s="2" t="s">
        <v>19</v>
      </c>
      <c r="C3755" s="2" t="s">
        <v>13</v>
      </c>
      <c r="D3755" s="2">
        <v>1</v>
      </c>
      <c r="E3755" s="2" t="s">
        <v>14</v>
      </c>
      <c r="F3755" s="2" t="s">
        <v>16</v>
      </c>
      <c r="G3755" s="7">
        <v>29.15</v>
      </c>
      <c r="H3755" s="7">
        <v>29.15</v>
      </c>
      <c r="I3755" s="2" t="s">
        <v>15</v>
      </c>
      <c r="J3755" s="2" t="s">
        <v>15</v>
      </c>
      <c r="K3755" s="2" t="s">
        <v>21</v>
      </c>
      <c r="L3755" s="7">
        <v>29.15</v>
      </c>
      <c r="M3755" s="2" t="str">
        <f>_xlfn.IFS(TelecomData[[#This Row],[TenureMonths]]&lt;=12, "0-1 Year", TelecomData[[#This Row],[TenureMonths]]&lt;=36, "1-3 Years", TelecomData[[#This Row],[TenureMonths]]&gt;36, "3+ Years")</f>
        <v>0-1 Year</v>
      </c>
      <c r="N3755" s="2" t="str">
        <f>IF(TelecomData[[#This Row],[CleanedTotalCharges]]&gt;=2500,"High Spend", "Standard Spend")</f>
        <v>Standard Spend</v>
      </c>
    </row>
    <row r="3756" spans="1:14" x14ac:dyDescent="0.3">
      <c r="A3756" s="1" t="s">
        <v>3780</v>
      </c>
      <c r="B3756" s="2" t="s">
        <v>19</v>
      </c>
      <c r="C3756" s="2" t="s">
        <v>13</v>
      </c>
      <c r="D3756" s="2">
        <v>1</v>
      </c>
      <c r="E3756" s="2" t="s">
        <v>15</v>
      </c>
      <c r="F3756" s="2" t="s">
        <v>36</v>
      </c>
      <c r="G3756" s="7">
        <v>20.05</v>
      </c>
      <c r="H3756" s="7">
        <v>20.05</v>
      </c>
      <c r="I3756" s="2" t="s">
        <v>15</v>
      </c>
      <c r="J3756" s="2" t="s">
        <v>15</v>
      </c>
      <c r="K3756" s="2" t="s">
        <v>21</v>
      </c>
      <c r="L3756" s="7">
        <v>20.05</v>
      </c>
      <c r="M3756" s="2" t="str">
        <f>_xlfn.IFS(TelecomData[[#This Row],[TenureMonths]]&lt;=12, "0-1 Year", TelecomData[[#This Row],[TenureMonths]]&lt;=36, "1-3 Years", TelecomData[[#This Row],[TenureMonths]]&gt;36, "3+ Years")</f>
        <v>0-1 Year</v>
      </c>
      <c r="N3756" s="2" t="str">
        <f>IF(TelecomData[[#This Row],[CleanedTotalCharges]]&gt;=2500,"High Spend", "Standard Spend")</f>
        <v>Standard Spend</v>
      </c>
    </row>
    <row r="3757" spans="1:14" x14ac:dyDescent="0.3">
      <c r="A3757" s="1" t="s">
        <v>3781</v>
      </c>
      <c r="B3757" s="2" t="s">
        <v>19</v>
      </c>
      <c r="C3757" s="2" t="s">
        <v>13</v>
      </c>
      <c r="D3757" s="2">
        <v>4</v>
      </c>
      <c r="E3757" s="2" t="s">
        <v>26</v>
      </c>
      <c r="F3757" s="2" t="s">
        <v>15</v>
      </c>
      <c r="G3757" s="7">
        <v>76.05</v>
      </c>
      <c r="H3757" s="7">
        <v>318.89999999999998</v>
      </c>
      <c r="I3757" s="2" t="s">
        <v>16</v>
      </c>
      <c r="J3757" s="2" t="s">
        <v>16</v>
      </c>
      <c r="K3757" s="2" t="s">
        <v>17</v>
      </c>
      <c r="L3757" s="7">
        <v>318.89999999999998</v>
      </c>
      <c r="M3757" s="2" t="str">
        <f>_xlfn.IFS(TelecomData[[#This Row],[TenureMonths]]&lt;=12, "0-1 Year", TelecomData[[#This Row],[TenureMonths]]&lt;=36, "1-3 Years", TelecomData[[#This Row],[TenureMonths]]&gt;36, "3+ Years")</f>
        <v>0-1 Year</v>
      </c>
      <c r="N3757" s="2" t="str">
        <f>IF(TelecomData[[#This Row],[CleanedTotalCharges]]&gt;=2500,"High Spend", "Standard Spend")</f>
        <v>Standard Spend</v>
      </c>
    </row>
    <row r="3758" spans="1:14" x14ac:dyDescent="0.3">
      <c r="A3758" s="1" t="s">
        <v>3782</v>
      </c>
      <c r="B3758" s="2" t="s">
        <v>19</v>
      </c>
      <c r="C3758" s="2" t="s">
        <v>13</v>
      </c>
      <c r="D3758" s="2">
        <v>1</v>
      </c>
      <c r="E3758" s="2" t="s">
        <v>14</v>
      </c>
      <c r="F3758" s="2" t="s">
        <v>15</v>
      </c>
      <c r="G3758" s="7">
        <v>24.45</v>
      </c>
      <c r="H3758" s="7">
        <v>24.45</v>
      </c>
      <c r="I3758" s="2" t="s">
        <v>16</v>
      </c>
      <c r="J3758" s="2" t="s">
        <v>16</v>
      </c>
      <c r="K3758" s="2" t="s">
        <v>21</v>
      </c>
      <c r="L3758" s="7">
        <v>24.45</v>
      </c>
      <c r="M3758" s="2" t="str">
        <f>_xlfn.IFS(TelecomData[[#This Row],[TenureMonths]]&lt;=12, "0-1 Year", TelecomData[[#This Row],[TenureMonths]]&lt;=36, "1-3 Years", TelecomData[[#This Row],[TenureMonths]]&gt;36, "3+ Years")</f>
        <v>0-1 Year</v>
      </c>
      <c r="N3758" s="2" t="str">
        <f>IF(TelecomData[[#This Row],[CleanedTotalCharges]]&gt;=2500,"High Spend", "Standard Spend")</f>
        <v>Standard Spend</v>
      </c>
    </row>
    <row r="3759" spans="1:14" x14ac:dyDescent="0.3">
      <c r="A3759" s="1" t="s">
        <v>3783</v>
      </c>
      <c r="B3759" s="2" t="s">
        <v>12</v>
      </c>
      <c r="C3759" s="2" t="s">
        <v>35</v>
      </c>
      <c r="D3759" s="2">
        <v>42</v>
      </c>
      <c r="E3759" s="2" t="s">
        <v>14</v>
      </c>
      <c r="F3759" s="2" t="s">
        <v>16</v>
      </c>
      <c r="G3759" s="7">
        <v>66.5</v>
      </c>
      <c r="H3759" s="7">
        <v>2762.75</v>
      </c>
      <c r="I3759" s="2" t="s">
        <v>15</v>
      </c>
      <c r="J3759" s="2" t="s">
        <v>15</v>
      </c>
      <c r="K3759" s="2" t="s">
        <v>29</v>
      </c>
      <c r="L3759" s="7">
        <v>2762.75</v>
      </c>
      <c r="M3759" s="2" t="str">
        <f>_xlfn.IFS(TelecomData[[#This Row],[TenureMonths]]&lt;=12, "0-1 Year", TelecomData[[#This Row],[TenureMonths]]&lt;=36, "1-3 Years", TelecomData[[#This Row],[TenureMonths]]&gt;36, "3+ Years")</f>
        <v>3+ Years</v>
      </c>
      <c r="N3759" s="2" t="str">
        <f>IF(TelecomData[[#This Row],[CleanedTotalCharges]]&gt;=2500,"High Spend", "Standard Spend")</f>
        <v>High Spend</v>
      </c>
    </row>
    <row r="3760" spans="1:14" x14ac:dyDescent="0.3">
      <c r="A3760" s="1" t="s">
        <v>3784</v>
      </c>
      <c r="B3760" s="2" t="s">
        <v>12</v>
      </c>
      <c r="C3760" s="2" t="s">
        <v>13</v>
      </c>
      <c r="D3760" s="2">
        <v>1</v>
      </c>
      <c r="E3760" s="2" t="s">
        <v>14</v>
      </c>
      <c r="F3760" s="2" t="s">
        <v>15</v>
      </c>
      <c r="G3760" s="7">
        <v>49.55</v>
      </c>
      <c r="H3760" s="7">
        <v>49.55</v>
      </c>
      <c r="I3760" s="2" t="s">
        <v>15</v>
      </c>
      <c r="J3760" s="2" t="s">
        <v>15</v>
      </c>
      <c r="K3760" s="2" t="s">
        <v>24</v>
      </c>
      <c r="L3760" s="7">
        <v>49.55</v>
      </c>
      <c r="M3760" s="2" t="str">
        <f>_xlfn.IFS(TelecomData[[#This Row],[TenureMonths]]&lt;=12, "0-1 Year", TelecomData[[#This Row],[TenureMonths]]&lt;=36, "1-3 Years", TelecomData[[#This Row],[TenureMonths]]&gt;36, "3+ Years")</f>
        <v>0-1 Year</v>
      </c>
      <c r="N3760" s="2" t="str">
        <f>IF(TelecomData[[#This Row],[CleanedTotalCharges]]&gt;=2500,"High Spend", "Standard Spend")</f>
        <v>Standard Spend</v>
      </c>
    </row>
    <row r="3761" spans="1:14" x14ac:dyDescent="0.3">
      <c r="A3761" s="1" t="s">
        <v>3785</v>
      </c>
      <c r="B3761" s="2" t="s">
        <v>19</v>
      </c>
      <c r="C3761" s="2" t="s">
        <v>13</v>
      </c>
      <c r="D3761" s="2">
        <v>7</v>
      </c>
      <c r="E3761" s="2" t="s">
        <v>26</v>
      </c>
      <c r="F3761" s="2" t="s">
        <v>15</v>
      </c>
      <c r="G3761" s="7">
        <v>89.35</v>
      </c>
      <c r="H3761" s="7">
        <v>631.85</v>
      </c>
      <c r="I3761" s="2" t="s">
        <v>16</v>
      </c>
      <c r="J3761" s="2" t="s">
        <v>16</v>
      </c>
      <c r="K3761" s="2" t="s">
        <v>29</v>
      </c>
      <c r="L3761" s="7">
        <v>631.85</v>
      </c>
      <c r="M3761" s="2" t="str">
        <f>_xlfn.IFS(TelecomData[[#This Row],[TenureMonths]]&lt;=12, "0-1 Year", TelecomData[[#This Row],[TenureMonths]]&lt;=36, "1-3 Years", TelecomData[[#This Row],[TenureMonths]]&gt;36, "3+ Years")</f>
        <v>0-1 Year</v>
      </c>
      <c r="N3761" s="2" t="str">
        <f>IF(TelecomData[[#This Row],[CleanedTotalCharges]]&gt;=2500,"High Spend", "Standard Spend")</f>
        <v>Standard Spend</v>
      </c>
    </row>
    <row r="3762" spans="1:14" x14ac:dyDescent="0.3">
      <c r="A3762" s="1" t="s">
        <v>3786</v>
      </c>
      <c r="B3762" s="2" t="s">
        <v>19</v>
      </c>
      <c r="C3762" s="2" t="s">
        <v>13</v>
      </c>
      <c r="D3762" s="2">
        <v>3</v>
      </c>
      <c r="E3762" s="2" t="s">
        <v>26</v>
      </c>
      <c r="F3762" s="2" t="s">
        <v>15</v>
      </c>
      <c r="G3762" s="7">
        <v>73.599999999999994</v>
      </c>
      <c r="H3762" s="7">
        <v>232.5</v>
      </c>
      <c r="I3762" s="2" t="s">
        <v>15</v>
      </c>
      <c r="J3762" s="2" t="s">
        <v>16</v>
      </c>
      <c r="K3762" s="2" t="s">
        <v>29</v>
      </c>
      <c r="L3762" s="7">
        <v>232.5</v>
      </c>
      <c r="M3762" s="2" t="str">
        <f>_xlfn.IFS(TelecomData[[#This Row],[TenureMonths]]&lt;=12, "0-1 Year", TelecomData[[#This Row],[TenureMonths]]&lt;=36, "1-3 Years", TelecomData[[#This Row],[TenureMonths]]&gt;36, "3+ Years")</f>
        <v>0-1 Year</v>
      </c>
      <c r="N3762" s="2" t="str">
        <f>IF(TelecomData[[#This Row],[CleanedTotalCharges]]&gt;=2500,"High Spend", "Standard Spend")</f>
        <v>Standard Spend</v>
      </c>
    </row>
    <row r="3763" spans="1:14" x14ac:dyDescent="0.3">
      <c r="A3763" s="1" t="s">
        <v>3787</v>
      </c>
      <c r="B3763" s="2" t="s">
        <v>12</v>
      </c>
      <c r="C3763" s="2" t="s">
        <v>35</v>
      </c>
      <c r="D3763" s="2">
        <v>72</v>
      </c>
      <c r="E3763" s="2" t="s">
        <v>14</v>
      </c>
      <c r="F3763" s="2" t="s">
        <v>15</v>
      </c>
      <c r="G3763" s="7">
        <v>82.65</v>
      </c>
      <c r="H3763" s="7">
        <v>5919.35</v>
      </c>
      <c r="I3763" s="2" t="s">
        <v>15</v>
      </c>
      <c r="J3763" s="2" t="s">
        <v>16</v>
      </c>
      <c r="K3763" s="2" t="s">
        <v>29</v>
      </c>
      <c r="L3763" s="7">
        <v>5919.35</v>
      </c>
      <c r="M3763" s="2" t="str">
        <f>_xlfn.IFS(TelecomData[[#This Row],[TenureMonths]]&lt;=12, "0-1 Year", TelecomData[[#This Row],[TenureMonths]]&lt;=36, "1-3 Years", TelecomData[[#This Row],[TenureMonths]]&gt;36, "3+ Years")</f>
        <v>3+ Years</v>
      </c>
      <c r="N3763" s="2" t="str">
        <f>IF(TelecomData[[#This Row],[CleanedTotalCharges]]&gt;=2500,"High Spend", "Standard Spend")</f>
        <v>High Spend</v>
      </c>
    </row>
    <row r="3764" spans="1:14" x14ac:dyDescent="0.3">
      <c r="A3764" s="1" t="s">
        <v>3788</v>
      </c>
      <c r="B3764" s="2" t="s">
        <v>19</v>
      </c>
      <c r="C3764" s="2" t="s">
        <v>13</v>
      </c>
      <c r="D3764" s="2">
        <v>15</v>
      </c>
      <c r="E3764" s="2" t="s">
        <v>14</v>
      </c>
      <c r="F3764" s="2" t="s">
        <v>15</v>
      </c>
      <c r="G3764" s="7">
        <v>49</v>
      </c>
      <c r="H3764" s="7">
        <v>749.25</v>
      </c>
      <c r="I3764" s="2" t="s">
        <v>15</v>
      </c>
      <c r="J3764" s="2" t="s">
        <v>16</v>
      </c>
      <c r="K3764" s="2" t="s">
        <v>17</v>
      </c>
      <c r="L3764" s="7">
        <v>749.25</v>
      </c>
      <c r="M3764" s="2" t="str">
        <f>_xlfn.IFS(TelecomData[[#This Row],[TenureMonths]]&lt;=12, "0-1 Year", TelecomData[[#This Row],[TenureMonths]]&lt;=36, "1-3 Years", TelecomData[[#This Row],[TenureMonths]]&gt;36, "3+ Years")</f>
        <v>1-3 Years</v>
      </c>
      <c r="N3764" s="2" t="str">
        <f>IF(TelecomData[[#This Row],[CleanedTotalCharges]]&gt;=2500,"High Spend", "Standard Spend")</f>
        <v>Standard Spend</v>
      </c>
    </row>
    <row r="3765" spans="1:14" x14ac:dyDescent="0.3">
      <c r="A3765" s="1" t="s">
        <v>3789</v>
      </c>
      <c r="B3765" s="2" t="s">
        <v>19</v>
      </c>
      <c r="C3765" s="2" t="s">
        <v>13</v>
      </c>
      <c r="D3765" s="2">
        <v>4</v>
      </c>
      <c r="E3765" s="2" t="s">
        <v>26</v>
      </c>
      <c r="F3765" s="2" t="s">
        <v>15</v>
      </c>
      <c r="G3765" s="7">
        <v>80.349999999999994</v>
      </c>
      <c r="H3765" s="7">
        <v>307.39999999999998</v>
      </c>
      <c r="I3765" s="2" t="s">
        <v>16</v>
      </c>
      <c r="J3765" s="2" t="s">
        <v>16</v>
      </c>
      <c r="K3765" s="2" t="s">
        <v>17</v>
      </c>
      <c r="L3765" s="7">
        <v>307.39999999999998</v>
      </c>
      <c r="M3765" s="2" t="str">
        <f>_xlfn.IFS(TelecomData[[#This Row],[TenureMonths]]&lt;=12, "0-1 Year", TelecomData[[#This Row],[TenureMonths]]&lt;=36, "1-3 Years", TelecomData[[#This Row],[TenureMonths]]&gt;36, "3+ Years")</f>
        <v>0-1 Year</v>
      </c>
      <c r="N3765" s="2" t="str">
        <f>IF(TelecomData[[#This Row],[CleanedTotalCharges]]&gt;=2500,"High Spend", "Standard Spend")</f>
        <v>Standard Spend</v>
      </c>
    </row>
    <row r="3766" spans="1:14" x14ac:dyDescent="0.3">
      <c r="A3766" s="1" t="s">
        <v>3790</v>
      </c>
      <c r="B3766" s="2" t="s">
        <v>12</v>
      </c>
      <c r="C3766" s="2" t="s">
        <v>20</v>
      </c>
      <c r="D3766" s="2">
        <v>11</v>
      </c>
      <c r="E3766" s="2" t="s">
        <v>15</v>
      </c>
      <c r="F3766" s="2" t="s">
        <v>36</v>
      </c>
      <c r="G3766" s="7">
        <v>25.2</v>
      </c>
      <c r="H3766" s="7">
        <v>245.15</v>
      </c>
      <c r="I3766" s="2" t="s">
        <v>15</v>
      </c>
      <c r="J3766" s="2" t="s">
        <v>15</v>
      </c>
      <c r="K3766" s="2" t="s">
        <v>17</v>
      </c>
      <c r="L3766" s="7">
        <v>245.15</v>
      </c>
      <c r="M3766" s="2" t="str">
        <f>_xlfn.IFS(TelecomData[[#This Row],[TenureMonths]]&lt;=12, "0-1 Year", TelecomData[[#This Row],[TenureMonths]]&lt;=36, "1-3 Years", TelecomData[[#This Row],[TenureMonths]]&gt;36, "3+ Years")</f>
        <v>0-1 Year</v>
      </c>
      <c r="N3766" s="2" t="str">
        <f>IF(TelecomData[[#This Row],[CleanedTotalCharges]]&gt;=2500,"High Spend", "Standard Spend")</f>
        <v>Standard Spend</v>
      </c>
    </row>
    <row r="3767" spans="1:14" x14ac:dyDescent="0.3">
      <c r="A3767" s="1" t="s">
        <v>3791</v>
      </c>
      <c r="B3767" s="2" t="s">
        <v>12</v>
      </c>
      <c r="C3767" s="2" t="s">
        <v>13</v>
      </c>
      <c r="D3767" s="2">
        <v>5</v>
      </c>
      <c r="E3767" s="2" t="s">
        <v>15</v>
      </c>
      <c r="F3767" s="2" t="s">
        <v>36</v>
      </c>
      <c r="G3767" s="7">
        <v>25.45</v>
      </c>
      <c r="H3767" s="7">
        <v>134.75</v>
      </c>
      <c r="I3767" s="2" t="s">
        <v>15</v>
      </c>
      <c r="J3767" s="2" t="s">
        <v>15</v>
      </c>
      <c r="K3767" s="2" t="s">
        <v>21</v>
      </c>
      <c r="L3767" s="7">
        <v>134.75</v>
      </c>
      <c r="M3767" s="2" t="str">
        <f>_xlfn.IFS(TelecomData[[#This Row],[TenureMonths]]&lt;=12, "0-1 Year", TelecomData[[#This Row],[TenureMonths]]&lt;=36, "1-3 Years", TelecomData[[#This Row],[TenureMonths]]&gt;36, "3+ Years")</f>
        <v>0-1 Year</v>
      </c>
      <c r="N3767" s="2" t="str">
        <f>IF(TelecomData[[#This Row],[CleanedTotalCharges]]&gt;=2500,"High Spend", "Standard Spend")</f>
        <v>Standard Spend</v>
      </c>
    </row>
    <row r="3768" spans="1:14" x14ac:dyDescent="0.3">
      <c r="A3768" s="1" t="s">
        <v>3792</v>
      </c>
      <c r="B3768" s="2" t="s">
        <v>12</v>
      </c>
      <c r="C3768" s="2" t="s">
        <v>13</v>
      </c>
      <c r="D3768" s="2">
        <v>1</v>
      </c>
      <c r="E3768" s="2" t="s">
        <v>14</v>
      </c>
      <c r="F3768" s="2" t="s">
        <v>15</v>
      </c>
      <c r="G3768" s="7">
        <v>55.8</v>
      </c>
      <c r="H3768" s="7">
        <v>55.8</v>
      </c>
      <c r="I3768" s="2" t="s">
        <v>16</v>
      </c>
      <c r="J3768" s="2" t="s">
        <v>16</v>
      </c>
      <c r="K3768" s="2" t="s">
        <v>17</v>
      </c>
      <c r="L3768" s="7">
        <v>55.8</v>
      </c>
      <c r="M3768" s="2" t="str">
        <f>_xlfn.IFS(TelecomData[[#This Row],[TenureMonths]]&lt;=12, "0-1 Year", TelecomData[[#This Row],[TenureMonths]]&lt;=36, "1-3 Years", TelecomData[[#This Row],[TenureMonths]]&gt;36, "3+ Years")</f>
        <v>0-1 Year</v>
      </c>
      <c r="N3768" s="2" t="str">
        <f>IF(TelecomData[[#This Row],[CleanedTotalCharges]]&gt;=2500,"High Spend", "Standard Spend")</f>
        <v>Standard Spend</v>
      </c>
    </row>
    <row r="3769" spans="1:14" x14ac:dyDescent="0.3">
      <c r="A3769" s="1" t="s">
        <v>3793</v>
      </c>
      <c r="B3769" s="2" t="s">
        <v>19</v>
      </c>
      <c r="C3769" s="2" t="s">
        <v>35</v>
      </c>
      <c r="D3769" s="2">
        <v>72</v>
      </c>
      <c r="E3769" s="2" t="s">
        <v>26</v>
      </c>
      <c r="F3769" s="2" t="s">
        <v>16</v>
      </c>
      <c r="G3769" s="7">
        <v>110.9</v>
      </c>
      <c r="H3769" s="7">
        <v>8240.85</v>
      </c>
      <c r="I3769" s="2" t="s">
        <v>15</v>
      </c>
      <c r="J3769" s="2" t="s">
        <v>16</v>
      </c>
      <c r="K3769" s="2" t="s">
        <v>29</v>
      </c>
      <c r="L3769" s="7">
        <v>8240.85</v>
      </c>
      <c r="M3769" s="2" t="str">
        <f>_xlfn.IFS(TelecomData[[#This Row],[TenureMonths]]&lt;=12, "0-1 Year", TelecomData[[#This Row],[TenureMonths]]&lt;=36, "1-3 Years", TelecomData[[#This Row],[TenureMonths]]&gt;36, "3+ Years")</f>
        <v>3+ Years</v>
      </c>
      <c r="N3769" s="2" t="str">
        <f>IF(TelecomData[[#This Row],[CleanedTotalCharges]]&gt;=2500,"High Spend", "Standard Spend")</f>
        <v>High Spend</v>
      </c>
    </row>
    <row r="3770" spans="1:14" x14ac:dyDescent="0.3">
      <c r="A3770" s="1" t="s">
        <v>3794</v>
      </c>
      <c r="B3770" s="2" t="s">
        <v>12</v>
      </c>
      <c r="C3770" s="2" t="s">
        <v>13</v>
      </c>
      <c r="D3770" s="2">
        <v>55</v>
      </c>
      <c r="E3770" s="2" t="s">
        <v>26</v>
      </c>
      <c r="F3770" s="2" t="s">
        <v>15</v>
      </c>
      <c r="G3770" s="7">
        <v>77.75</v>
      </c>
      <c r="H3770" s="7">
        <v>4266.3999999999996</v>
      </c>
      <c r="I3770" s="2" t="s">
        <v>15</v>
      </c>
      <c r="J3770" s="2" t="s">
        <v>16</v>
      </c>
      <c r="K3770" s="2" t="s">
        <v>29</v>
      </c>
      <c r="L3770" s="7">
        <v>4266.3999999999996</v>
      </c>
      <c r="M3770" s="2" t="str">
        <f>_xlfn.IFS(TelecomData[[#This Row],[TenureMonths]]&lt;=12, "0-1 Year", TelecomData[[#This Row],[TenureMonths]]&lt;=36, "1-3 Years", TelecomData[[#This Row],[TenureMonths]]&gt;36, "3+ Years")</f>
        <v>3+ Years</v>
      </c>
      <c r="N3770" s="2" t="str">
        <f>IF(TelecomData[[#This Row],[CleanedTotalCharges]]&gt;=2500,"High Spend", "Standard Spend")</f>
        <v>High Spend</v>
      </c>
    </row>
    <row r="3771" spans="1:14" x14ac:dyDescent="0.3">
      <c r="A3771" s="1" t="s">
        <v>3795</v>
      </c>
      <c r="B3771" s="2" t="s">
        <v>12</v>
      </c>
      <c r="C3771" s="2" t="s">
        <v>13</v>
      </c>
      <c r="D3771" s="2">
        <v>40</v>
      </c>
      <c r="E3771" s="2" t="s">
        <v>15</v>
      </c>
      <c r="F3771" s="2" t="s">
        <v>36</v>
      </c>
      <c r="G3771" s="7">
        <v>26.2</v>
      </c>
      <c r="H3771" s="7">
        <v>1077.5</v>
      </c>
      <c r="I3771" s="2" t="s">
        <v>15</v>
      </c>
      <c r="J3771" s="2" t="s">
        <v>16</v>
      </c>
      <c r="K3771" s="2" t="s">
        <v>17</v>
      </c>
      <c r="L3771" s="7">
        <v>1077.5</v>
      </c>
      <c r="M3771" s="2" t="str">
        <f>_xlfn.IFS(TelecomData[[#This Row],[TenureMonths]]&lt;=12, "0-1 Year", TelecomData[[#This Row],[TenureMonths]]&lt;=36, "1-3 Years", TelecomData[[#This Row],[TenureMonths]]&gt;36, "3+ Years")</f>
        <v>3+ Years</v>
      </c>
      <c r="N3771" s="2" t="str">
        <f>IF(TelecomData[[#This Row],[CleanedTotalCharges]]&gt;=2500,"High Spend", "Standard Spend")</f>
        <v>Standard Spend</v>
      </c>
    </row>
    <row r="3772" spans="1:14" x14ac:dyDescent="0.3">
      <c r="A3772" s="1" t="s">
        <v>3796</v>
      </c>
      <c r="B3772" s="2" t="s">
        <v>12</v>
      </c>
      <c r="C3772" s="2" t="s">
        <v>35</v>
      </c>
      <c r="D3772" s="2">
        <v>57</v>
      </c>
      <c r="E3772" s="2" t="s">
        <v>15</v>
      </c>
      <c r="F3772" s="2" t="s">
        <v>36</v>
      </c>
      <c r="G3772" s="7">
        <v>19.899999999999999</v>
      </c>
      <c r="H3772" s="7">
        <v>1115.5999999999999</v>
      </c>
      <c r="I3772" s="2" t="s">
        <v>15</v>
      </c>
      <c r="J3772" s="2" t="s">
        <v>15</v>
      </c>
      <c r="K3772" s="2" t="s">
        <v>24</v>
      </c>
      <c r="L3772" s="7">
        <v>1115.5999999999999</v>
      </c>
      <c r="M3772" s="2" t="str">
        <f>_xlfn.IFS(TelecomData[[#This Row],[TenureMonths]]&lt;=12, "0-1 Year", TelecomData[[#This Row],[TenureMonths]]&lt;=36, "1-3 Years", TelecomData[[#This Row],[TenureMonths]]&gt;36, "3+ Years")</f>
        <v>3+ Years</v>
      </c>
      <c r="N3772" s="2" t="str">
        <f>IF(TelecomData[[#This Row],[CleanedTotalCharges]]&gt;=2500,"High Spend", "Standard Spend")</f>
        <v>Standard Spend</v>
      </c>
    </row>
    <row r="3773" spans="1:14" x14ac:dyDescent="0.3">
      <c r="A3773" s="1" t="s">
        <v>3797</v>
      </c>
      <c r="B3773" s="2" t="s">
        <v>19</v>
      </c>
      <c r="C3773" s="2" t="s">
        <v>13</v>
      </c>
      <c r="D3773" s="2">
        <v>1</v>
      </c>
      <c r="E3773" s="2" t="s">
        <v>26</v>
      </c>
      <c r="F3773" s="2" t="s">
        <v>15</v>
      </c>
      <c r="G3773" s="7">
        <v>79.05</v>
      </c>
      <c r="H3773" s="7">
        <v>79.05</v>
      </c>
      <c r="I3773" s="2" t="s">
        <v>16</v>
      </c>
      <c r="J3773" s="2" t="s">
        <v>16</v>
      </c>
      <c r="K3773" s="2" t="s">
        <v>17</v>
      </c>
      <c r="L3773" s="7">
        <v>79.05</v>
      </c>
      <c r="M3773" s="2" t="str">
        <f>_xlfn.IFS(TelecomData[[#This Row],[TenureMonths]]&lt;=12, "0-1 Year", TelecomData[[#This Row],[TenureMonths]]&lt;=36, "1-3 Years", TelecomData[[#This Row],[TenureMonths]]&gt;36, "3+ Years")</f>
        <v>0-1 Year</v>
      </c>
      <c r="N3773" s="2" t="str">
        <f>IF(TelecomData[[#This Row],[CleanedTotalCharges]]&gt;=2500,"High Spend", "Standard Spend")</f>
        <v>Standard Spend</v>
      </c>
    </row>
    <row r="3774" spans="1:14" x14ac:dyDescent="0.3">
      <c r="A3774" s="1" t="s">
        <v>3798</v>
      </c>
      <c r="B3774" s="2" t="s">
        <v>19</v>
      </c>
      <c r="C3774" s="2" t="s">
        <v>13</v>
      </c>
      <c r="D3774" s="2">
        <v>1</v>
      </c>
      <c r="E3774" s="2" t="s">
        <v>26</v>
      </c>
      <c r="F3774" s="2" t="s">
        <v>15</v>
      </c>
      <c r="G3774" s="7">
        <v>95</v>
      </c>
      <c r="H3774" s="7">
        <v>95</v>
      </c>
      <c r="I3774" s="2" t="s">
        <v>16</v>
      </c>
      <c r="J3774" s="2" t="s">
        <v>16</v>
      </c>
      <c r="K3774" s="2" t="s">
        <v>17</v>
      </c>
      <c r="L3774" s="7">
        <v>95</v>
      </c>
      <c r="M3774" s="2" t="str">
        <f>_xlfn.IFS(TelecomData[[#This Row],[TenureMonths]]&lt;=12, "0-1 Year", TelecomData[[#This Row],[TenureMonths]]&lt;=36, "1-3 Years", TelecomData[[#This Row],[TenureMonths]]&gt;36, "3+ Years")</f>
        <v>0-1 Year</v>
      </c>
      <c r="N3774" s="2" t="str">
        <f>IF(TelecomData[[#This Row],[CleanedTotalCharges]]&gt;=2500,"High Spend", "Standard Spend")</f>
        <v>Standard Spend</v>
      </c>
    </row>
    <row r="3775" spans="1:14" x14ac:dyDescent="0.3">
      <c r="A3775" s="1" t="s">
        <v>3799</v>
      </c>
      <c r="B3775" s="2" t="s">
        <v>12</v>
      </c>
      <c r="C3775" s="2" t="s">
        <v>13</v>
      </c>
      <c r="D3775" s="2">
        <v>1</v>
      </c>
      <c r="E3775" s="2" t="s">
        <v>14</v>
      </c>
      <c r="F3775" s="2" t="s">
        <v>15</v>
      </c>
      <c r="G3775" s="7">
        <v>25.2</v>
      </c>
      <c r="H3775" s="7">
        <v>25.2</v>
      </c>
      <c r="I3775" s="2" t="s">
        <v>16</v>
      </c>
      <c r="J3775" s="2" t="s">
        <v>15</v>
      </c>
      <c r="K3775" s="2" t="s">
        <v>21</v>
      </c>
      <c r="L3775" s="7">
        <v>25.2</v>
      </c>
      <c r="M3775" s="2" t="str">
        <f>_xlfn.IFS(TelecomData[[#This Row],[TenureMonths]]&lt;=12, "0-1 Year", TelecomData[[#This Row],[TenureMonths]]&lt;=36, "1-3 Years", TelecomData[[#This Row],[TenureMonths]]&gt;36, "3+ Years")</f>
        <v>0-1 Year</v>
      </c>
      <c r="N3775" s="2" t="str">
        <f>IF(TelecomData[[#This Row],[CleanedTotalCharges]]&gt;=2500,"High Spend", "Standard Spend")</f>
        <v>Standard Spend</v>
      </c>
    </row>
    <row r="3776" spans="1:14" x14ac:dyDescent="0.3">
      <c r="A3776" s="1" t="s">
        <v>3800</v>
      </c>
      <c r="B3776" s="2" t="s">
        <v>19</v>
      </c>
      <c r="C3776" s="2" t="s">
        <v>20</v>
      </c>
      <c r="D3776" s="2">
        <v>52</v>
      </c>
      <c r="E3776" s="2" t="s">
        <v>14</v>
      </c>
      <c r="F3776" s="2" t="s">
        <v>15</v>
      </c>
      <c r="G3776" s="7">
        <v>80.849999999999994</v>
      </c>
      <c r="H3776" s="7">
        <v>4079.55</v>
      </c>
      <c r="I3776" s="2" t="s">
        <v>15</v>
      </c>
      <c r="J3776" s="2" t="s">
        <v>16</v>
      </c>
      <c r="K3776" s="2" t="s">
        <v>17</v>
      </c>
      <c r="L3776" s="7">
        <v>4079.55</v>
      </c>
      <c r="M3776" s="2" t="str">
        <f>_xlfn.IFS(TelecomData[[#This Row],[TenureMonths]]&lt;=12, "0-1 Year", TelecomData[[#This Row],[TenureMonths]]&lt;=36, "1-3 Years", TelecomData[[#This Row],[TenureMonths]]&gt;36, "3+ Years")</f>
        <v>3+ Years</v>
      </c>
      <c r="N3776" s="2" t="str">
        <f>IF(TelecomData[[#This Row],[CleanedTotalCharges]]&gt;=2500,"High Spend", "Standard Spend")</f>
        <v>High Spend</v>
      </c>
    </row>
    <row r="3777" spans="1:14" x14ac:dyDescent="0.3">
      <c r="A3777" s="1" t="s">
        <v>3801</v>
      </c>
      <c r="B3777" s="2" t="s">
        <v>19</v>
      </c>
      <c r="C3777" s="2" t="s">
        <v>13</v>
      </c>
      <c r="D3777" s="2">
        <v>41</v>
      </c>
      <c r="E3777" s="2" t="s">
        <v>26</v>
      </c>
      <c r="F3777" s="2" t="s">
        <v>15</v>
      </c>
      <c r="G3777" s="7">
        <v>98.4</v>
      </c>
      <c r="H3777" s="7">
        <v>4187.75</v>
      </c>
      <c r="I3777" s="2" t="s">
        <v>16</v>
      </c>
      <c r="J3777" s="2" t="s">
        <v>16</v>
      </c>
      <c r="K3777" s="2" t="s">
        <v>17</v>
      </c>
      <c r="L3777" s="7">
        <v>4187.75</v>
      </c>
      <c r="M3777" s="2" t="str">
        <f>_xlfn.IFS(TelecomData[[#This Row],[TenureMonths]]&lt;=12, "0-1 Year", TelecomData[[#This Row],[TenureMonths]]&lt;=36, "1-3 Years", TelecomData[[#This Row],[TenureMonths]]&gt;36, "3+ Years")</f>
        <v>3+ Years</v>
      </c>
      <c r="N3777" s="2" t="str">
        <f>IF(TelecomData[[#This Row],[CleanedTotalCharges]]&gt;=2500,"High Spend", "Standard Spend")</f>
        <v>High Spend</v>
      </c>
    </row>
    <row r="3778" spans="1:14" x14ac:dyDescent="0.3">
      <c r="A3778" s="1" t="s">
        <v>3802</v>
      </c>
      <c r="B3778" s="2" t="s">
        <v>19</v>
      </c>
      <c r="C3778" s="2" t="s">
        <v>20</v>
      </c>
      <c r="D3778" s="2">
        <v>43</v>
      </c>
      <c r="E3778" s="2" t="s">
        <v>14</v>
      </c>
      <c r="F3778" s="2" t="s">
        <v>15</v>
      </c>
      <c r="G3778" s="7">
        <v>56.35</v>
      </c>
      <c r="H3778" s="7">
        <v>2391.15</v>
      </c>
      <c r="I3778" s="2" t="s">
        <v>15</v>
      </c>
      <c r="J3778" s="2" t="s">
        <v>16</v>
      </c>
      <c r="K3778" s="2" t="s">
        <v>21</v>
      </c>
      <c r="L3778" s="7">
        <v>2391.15</v>
      </c>
      <c r="M3778" s="2" t="str">
        <f>_xlfn.IFS(TelecomData[[#This Row],[TenureMonths]]&lt;=12, "0-1 Year", TelecomData[[#This Row],[TenureMonths]]&lt;=36, "1-3 Years", TelecomData[[#This Row],[TenureMonths]]&gt;36, "3+ Years")</f>
        <v>3+ Years</v>
      </c>
      <c r="N3778" s="2" t="str">
        <f>IF(TelecomData[[#This Row],[CleanedTotalCharges]]&gt;=2500,"High Spend", "Standard Spend")</f>
        <v>Standard Spend</v>
      </c>
    </row>
    <row r="3779" spans="1:14" x14ac:dyDescent="0.3">
      <c r="A3779" s="1" t="s">
        <v>3803</v>
      </c>
      <c r="B3779" s="2" t="s">
        <v>12</v>
      </c>
      <c r="C3779" s="2" t="s">
        <v>35</v>
      </c>
      <c r="D3779" s="2">
        <v>47</v>
      </c>
      <c r="E3779" s="2" t="s">
        <v>15</v>
      </c>
      <c r="F3779" s="2" t="s">
        <v>36</v>
      </c>
      <c r="G3779" s="7">
        <v>19.3</v>
      </c>
      <c r="H3779" s="7">
        <v>890.5</v>
      </c>
      <c r="I3779" s="2" t="s">
        <v>15</v>
      </c>
      <c r="J3779" s="2" t="s">
        <v>15</v>
      </c>
      <c r="K3779" s="2" t="s">
        <v>24</v>
      </c>
      <c r="L3779" s="7">
        <v>890.5</v>
      </c>
      <c r="M3779" s="2" t="str">
        <f>_xlfn.IFS(TelecomData[[#This Row],[TenureMonths]]&lt;=12, "0-1 Year", TelecomData[[#This Row],[TenureMonths]]&lt;=36, "1-3 Years", TelecomData[[#This Row],[TenureMonths]]&gt;36, "3+ Years")</f>
        <v>3+ Years</v>
      </c>
      <c r="N3779" s="2" t="str">
        <f>IF(TelecomData[[#This Row],[CleanedTotalCharges]]&gt;=2500,"High Spend", "Standard Spend")</f>
        <v>Standard Spend</v>
      </c>
    </row>
    <row r="3780" spans="1:14" x14ac:dyDescent="0.3">
      <c r="A3780" s="1" t="s">
        <v>3804</v>
      </c>
      <c r="B3780" s="2" t="s">
        <v>19</v>
      </c>
      <c r="C3780" s="2" t="s">
        <v>13</v>
      </c>
      <c r="D3780" s="2">
        <v>3</v>
      </c>
      <c r="E3780" s="2" t="s">
        <v>14</v>
      </c>
      <c r="F3780" s="2" t="s">
        <v>15</v>
      </c>
      <c r="G3780" s="7">
        <v>50.4</v>
      </c>
      <c r="H3780" s="7">
        <v>137.25</v>
      </c>
      <c r="I3780" s="2" t="s">
        <v>15</v>
      </c>
      <c r="J3780" s="2" t="s">
        <v>15</v>
      </c>
      <c r="K3780" s="2" t="s">
        <v>24</v>
      </c>
      <c r="L3780" s="7">
        <v>137.25</v>
      </c>
      <c r="M3780" s="2" t="str">
        <f>_xlfn.IFS(TelecomData[[#This Row],[TenureMonths]]&lt;=12, "0-1 Year", TelecomData[[#This Row],[TenureMonths]]&lt;=36, "1-3 Years", TelecomData[[#This Row],[TenureMonths]]&gt;36, "3+ Years")</f>
        <v>0-1 Year</v>
      </c>
      <c r="N3780" s="2" t="str">
        <f>IF(TelecomData[[#This Row],[CleanedTotalCharges]]&gt;=2500,"High Spend", "Standard Spend")</f>
        <v>Standard Spend</v>
      </c>
    </row>
    <row r="3781" spans="1:14" x14ac:dyDescent="0.3">
      <c r="A3781" s="1" t="s">
        <v>3805</v>
      </c>
      <c r="B3781" s="2" t="s">
        <v>19</v>
      </c>
      <c r="C3781" s="2" t="s">
        <v>35</v>
      </c>
      <c r="D3781" s="2">
        <v>66</v>
      </c>
      <c r="E3781" s="2" t="s">
        <v>14</v>
      </c>
      <c r="F3781" s="2" t="s">
        <v>16</v>
      </c>
      <c r="G3781" s="7">
        <v>79.400000000000006</v>
      </c>
      <c r="H3781" s="7">
        <v>5154.6000000000004</v>
      </c>
      <c r="I3781" s="2" t="s">
        <v>16</v>
      </c>
      <c r="J3781" s="2" t="s">
        <v>15</v>
      </c>
      <c r="K3781" s="2" t="s">
        <v>29</v>
      </c>
      <c r="L3781" s="7">
        <v>5154.6000000000004</v>
      </c>
      <c r="M3781" s="2" t="str">
        <f>_xlfn.IFS(TelecomData[[#This Row],[TenureMonths]]&lt;=12, "0-1 Year", TelecomData[[#This Row],[TenureMonths]]&lt;=36, "1-3 Years", TelecomData[[#This Row],[TenureMonths]]&gt;36, "3+ Years")</f>
        <v>3+ Years</v>
      </c>
      <c r="N3781" s="2" t="str">
        <f>IF(TelecomData[[#This Row],[CleanedTotalCharges]]&gt;=2500,"High Spend", "Standard Spend")</f>
        <v>High Spend</v>
      </c>
    </row>
    <row r="3782" spans="1:14" x14ac:dyDescent="0.3">
      <c r="A3782" s="1" t="s">
        <v>3806</v>
      </c>
      <c r="B3782" s="2" t="s">
        <v>19</v>
      </c>
      <c r="C3782" s="2" t="s">
        <v>35</v>
      </c>
      <c r="D3782" s="2">
        <v>55</v>
      </c>
      <c r="E3782" s="2" t="s">
        <v>14</v>
      </c>
      <c r="F3782" s="2" t="s">
        <v>16</v>
      </c>
      <c r="G3782" s="7">
        <v>55.25</v>
      </c>
      <c r="H3782" s="7">
        <v>3119.9</v>
      </c>
      <c r="I3782" s="2" t="s">
        <v>15</v>
      </c>
      <c r="J3782" s="2" t="s">
        <v>16</v>
      </c>
      <c r="K3782" s="2" t="s">
        <v>29</v>
      </c>
      <c r="L3782" s="7">
        <v>3119.9</v>
      </c>
      <c r="M3782" s="2" t="str">
        <f>_xlfn.IFS(TelecomData[[#This Row],[TenureMonths]]&lt;=12, "0-1 Year", TelecomData[[#This Row],[TenureMonths]]&lt;=36, "1-3 Years", TelecomData[[#This Row],[TenureMonths]]&gt;36, "3+ Years")</f>
        <v>3+ Years</v>
      </c>
      <c r="N3782" s="2" t="str">
        <f>IF(TelecomData[[#This Row],[CleanedTotalCharges]]&gt;=2500,"High Spend", "Standard Spend")</f>
        <v>High Spend</v>
      </c>
    </row>
    <row r="3783" spans="1:14" x14ac:dyDescent="0.3">
      <c r="A3783" s="1" t="s">
        <v>3807</v>
      </c>
      <c r="B3783" s="2" t="s">
        <v>19</v>
      </c>
      <c r="C3783" s="2" t="s">
        <v>20</v>
      </c>
      <c r="D3783" s="2">
        <v>29</v>
      </c>
      <c r="E3783" s="2" t="s">
        <v>15</v>
      </c>
      <c r="F3783" s="2" t="s">
        <v>36</v>
      </c>
      <c r="G3783" s="7">
        <v>19.100000000000001</v>
      </c>
      <c r="H3783" s="7">
        <v>529.5</v>
      </c>
      <c r="I3783" s="2" t="s">
        <v>15</v>
      </c>
      <c r="J3783" s="2" t="s">
        <v>15</v>
      </c>
      <c r="K3783" s="2" t="s">
        <v>21</v>
      </c>
      <c r="L3783" s="7">
        <v>529.5</v>
      </c>
      <c r="M3783" s="2" t="str">
        <f>_xlfn.IFS(TelecomData[[#This Row],[TenureMonths]]&lt;=12, "0-1 Year", TelecomData[[#This Row],[TenureMonths]]&lt;=36, "1-3 Years", TelecomData[[#This Row],[TenureMonths]]&gt;36, "3+ Years")</f>
        <v>1-3 Years</v>
      </c>
      <c r="N3783" s="2" t="str">
        <f>IF(TelecomData[[#This Row],[CleanedTotalCharges]]&gt;=2500,"High Spend", "Standard Spend")</f>
        <v>Standard Spend</v>
      </c>
    </row>
    <row r="3784" spans="1:14" x14ac:dyDescent="0.3">
      <c r="A3784" s="1" t="s">
        <v>3808</v>
      </c>
      <c r="B3784" s="2" t="s">
        <v>12</v>
      </c>
      <c r="C3784" s="2" t="s">
        <v>13</v>
      </c>
      <c r="D3784" s="2">
        <v>12</v>
      </c>
      <c r="E3784" s="2" t="s">
        <v>26</v>
      </c>
      <c r="F3784" s="2" t="s">
        <v>15</v>
      </c>
      <c r="G3784" s="7">
        <v>84.05</v>
      </c>
      <c r="H3784" s="7">
        <v>966.55</v>
      </c>
      <c r="I3784" s="2" t="s">
        <v>15</v>
      </c>
      <c r="J3784" s="2" t="s">
        <v>16</v>
      </c>
      <c r="K3784" s="2" t="s">
        <v>17</v>
      </c>
      <c r="L3784" s="7">
        <v>966.55</v>
      </c>
      <c r="M3784" s="2" t="str">
        <f>_xlfn.IFS(TelecomData[[#This Row],[TenureMonths]]&lt;=12, "0-1 Year", TelecomData[[#This Row],[TenureMonths]]&lt;=36, "1-3 Years", TelecomData[[#This Row],[TenureMonths]]&gt;36, "3+ Years")</f>
        <v>0-1 Year</v>
      </c>
      <c r="N3784" s="2" t="str">
        <f>IF(TelecomData[[#This Row],[CleanedTotalCharges]]&gt;=2500,"High Spend", "Standard Spend")</f>
        <v>Standard Spend</v>
      </c>
    </row>
    <row r="3785" spans="1:14" x14ac:dyDescent="0.3">
      <c r="A3785" s="1" t="s">
        <v>3809</v>
      </c>
      <c r="B3785" s="2" t="s">
        <v>12</v>
      </c>
      <c r="C3785" s="2" t="s">
        <v>13</v>
      </c>
      <c r="D3785" s="2">
        <v>66</v>
      </c>
      <c r="E3785" s="2" t="s">
        <v>26</v>
      </c>
      <c r="F3785" s="2" t="s">
        <v>15</v>
      </c>
      <c r="G3785" s="7">
        <v>105.2</v>
      </c>
      <c r="H3785" s="7">
        <v>6936.85</v>
      </c>
      <c r="I3785" s="2" t="s">
        <v>15</v>
      </c>
      <c r="J3785" s="2" t="s">
        <v>16</v>
      </c>
      <c r="K3785" s="2" t="s">
        <v>17</v>
      </c>
      <c r="L3785" s="7">
        <v>6936.85</v>
      </c>
      <c r="M3785" s="2" t="str">
        <f>_xlfn.IFS(TelecomData[[#This Row],[TenureMonths]]&lt;=12, "0-1 Year", TelecomData[[#This Row],[TenureMonths]]&lt;=36, "1-3 Years", TelecomData[[#This Row],[TenureMonths]]&gt;36, "3+ Years")</f>
        <v>3+ Years</v>
      </c>
      <c r="N3785" s="2" t="str">
        <f>IF(TelecomData[[#This Row],[CleanedTotalCharges]]&gt;=2500,"High Spend", "Standard Spend")</f>
        <v>High Spend</v>
      </c>
    </row>
    <row r="3786" spans="1:14" x14ac:dyDescent="0.3">
      <c r="A3786" s="1" t="s">
        <v>3810</v>
      </c>
      <c r="B3786" s="2" t="s">
        <v>19</v>
      </c>
      <c r="C3786" s="2" t="s">
        <v>13</v>
      </c>
      <c r="D3786" s="2">
        <v>35</v>
      </c>
      <c r="E3786" s="2" t="s">
        <v>26</v>
      </c>
      <c r="F3786" s="2" t="s">
        <v>15</v>
      </c>
      <c r="G3786" s="7">
        <v>101.4</v>
      </c>
      <c r="H3786" s="7">
        <v>3496.3</v>
      </c>
      <c r="I3786" s="2" t="s">
        <v>16</v>
      </c>
      <c r="J3786" s="2" t="s">
        <v>16</v>
      </c>
      <c r="K3786" s="2" t="s">
        <v>17</v>
      </c>
      <c r="L3786" s="7">
        <v>3496.3</v>
      </c>
      <c r="M3786" s="2" t="str">
        <f>_xlfn.IFS(TelecomData[[#This Row],[TenureMonths]]&lt;=12, "0-1 Year", TelecomData[[#This Row],[TenureMonths]]&lt;=36, "1-3 Years", TelecomData[[#This Row],[TenureMonths]]&gt;36, "3+ Years")</f>
        <v>1-3 Years</v>
      </c>
      <c r="N3786" s="2" t="str">
        <f>IF(TelecomData[[#This Row],[CleanedTotalCharges]]&gt;=2500,"High Spend", "Standard Spend")</f>
        <v>High Spend</v>
      </c>
    </row>
    <row r="3787" spans="1:14" x14ac:dyDescent="0.3">
      <c r="A3787" s="1" t="s">
        <v>3811</v>
      </c>
      <c r="B3787" s="2" t="s">
        <v>19</v>
      </c>
      <c r="C3787" s="2" t="s">
        <v>13</v>
      </c>
      <c r="D3787" s="2">
        <v>10</v>
      </c>
      <c r="E3787" s="2" t="s">
        <v>26</v>
      </c>
      <c r="F3787" s="2" t="s">
        <v>15</v>
      </c>
      <c r="G3787" s="7">
        <v>89.8</v>
      </c>
      <c r="H3787" s="7">
        <v>914.3</v>
      </c>
      <c r="I3787" s="2" t="s">
        <v>16</v>
      </c>
      <c r="J3787" s="2" t="s">
        <v>16</v>
      </c>
      <c r="K3787" s="2" t="s">
        <v>17</v>
      </c>
      <c r="L3787" s="7">
        <v>914.3</v>
      </c>
      <c r="M3787" s="2" t="str">
        <f>_xlfn.IFS(TelecomData[[#This Row],[TenureMonths]]&lt;=12, "0-1 Year", TelecomData[[#This Row],[TenureMonths]]&lt;=36, "1-3 Years", TelecomData[[#This Row],[TenureMonths]]&gt;36, "3+ Years")</f>
        <v>0-1 Year</v>
      </c>
      <c r="N3787" s="2" t="str">
        <f>IF(TelecomData[[#This Row],[CleanedTotalCharges]]&gt;=2500,"High Spend", "Standard Spend")</f>
        <v>Standard Spend</v>
      </c>
    </row>
    <row r="3788" spans="1:14" x14ac:dyDescent="0.3">
      <c r="A3788" s="1" t="s">
        <v>3812</v>
      </c>
      <c r="B3788" s="2" t="s">
        <v>19</v>
      </c>
      <c r="C3788" s="2" t="s">
        <v>13</v>
      </c>
      <c r="D3788" s="2">
        <v>27</v>
      </c>
      <c r="E3788" s="2" t="s">
        <v>26</v>
      </c>
      <c r="F3788" s="2" t="s">
        <v>15</v>
      </c>
      <c r="G3788" s="7">
        <v>75.75</v>
      </c>
      <c r="H3788" s="7">
        <v>1929</v>
      </c>
      <c r="I3788" s="2" t="s">
        <v>15</v>
      </c>
      <c r="J3788" s="2" t="s">
        <v>16</v>
      </c>
      <c r="K3788" s="2" t="s">
        <v>24</v>
      </c>
      <c r="L3788" s="7">
        <v>1929</v>
      </c>
      <c r="M3788" s="2" t="str">
        <f>_xlfn.IFS(TelecomData[[#This Row],[TenureMonths]]&lt;=12, "0-1 Year", TelecomData[[#This Row],[TenureMonths]]&lt;=36, "1-3 Years", TelecomData[[#This Row],[TenureMonths]]&gt;36, "3+ Years")</f>
        <v>1-3 Years</v>
      </c>
      <c r="N3788" s="2" t="str">
        <f>IF(TelecomData[[#This Row],[CleanedTotalCharges]]&gt;=2500,"High Spend", "Standard Spend")</f>
        <v>Standard Spend</v>
      </c>
    </row>
    <row r="3789" spans="1:14" x14ac:dyDescent="0.3">
      <c r="A3789" s="1" t="s">
        <v>3813</v>
      </c>
      <c r="B3789" s="2" t="s">
        <v>12</v>
      </c>
      <c r="C3789" s="2" t="s">
        <v>13</v>
      </c>
      <c r="D3789" s="2">
        <v>58</v>
      </c>
      <c r="E3789" s="2" t="s">
        <v>26</v>
      </c>
      <c r="F3789" s="2" t="s">
        <v>16</v>
      </c>
      <c r="G3789" s="7">
        <v>95.3</v>
      </c>
      <c r="H3789" s="7">
        <v>5817.7</v>
      </c>
      <c r="I3789" s="2" t="s">
        <v>15</v>
      </c>
      <c r="J3789" s="2" t="s">
        <v>16</v>
      </c>
      <c r="K3789" s="2" t="s">
        <v>17</v>
      </c>
      <c r="L3789" s="7">
        <v>5817.7</v>
      </c>
      <c r="M3789" s="2" t="str">
        <f>_xlfn.IFS(TelecomData[[#This Row],[TenureMonths]]&lt;=12, "0-1 Year", TelecomData[[#This Row],[TenureMonths]]&lt;=36, "1-3 Years", TelecomData[[#This Row],[TenureMonths]]&gt;36, "3+ Years")</f>
        <v>3+ Years</v>
      </c>
      <c r="N3789" s="2" t="str">
        <f>IF(TelecomData[[#This Row],[CleanedTotalCharges]]&gt;=2500,"High Spend", "Standard Spend")</f>
        <v>High Spend</v>
      </c>
    </row>
    <row r="3790" spans="1:14" x14ac:dyDescent="0.3">
      <c r="A3790" s="1" t="s">
        <v>3814</v>
      </c>
      <c r="B3790" s="2" t="s">
        <v>19</v>
      </c>
      <c r="C3790" s="2" t="s">
        <v>35</v>
      </c>
      <c r="D3790" s="2">
        <v>54</v>
      </c>
      <c r="E3790" s="2" t="s">
        <v>26</v>
      </c>
      <c r="F3790" s="2" t="s">
        <v>16</v>
      </c>
      <c r="G3790" s="7">
        <v>109.75</v>
      </c>
      <c r="H3790" s="7">
        <v>6110.2</v>
      </c>
      <c r="I3790" s="2" t="s">
        <v>16</v>
      </c>
      <c r="J3790" s="2" t="s">
        <v>15</v>
      </c>
      <c r="K3790" s="2" t="s">
        <v>24</v>
      </c>
      <c r="L3790" s="7">
        <v>6110.2</v>
      </c>
      <c r="M3790" s="2" t="str">
        <f>_xlfn.IFS(TelecomData[[#This Row],[TenureMonths]]&lt;=12, "0-1 Year", TelecomData[[#This Row],[TenureMonths]]&lt;=36, "1-3 Years", TelecomData[[#This Row],[TenureMonths]]&gt;36, "3+ Years")</f>
        <v>3+ Years</v>
      </c>
      <c r="N3790" s="2" t="str">
        <f>IF(TelecomData[[#This Row],[CleanedTotalCharges]]&gt;=2500,"High Spend", "Standard Spend")</f>
        <v>High Spend</v>
      </c>
    </row>
    <row r="3791" spans="1:14" x14ac:dyDescent="0.3">
      <c r="A3791" s="1" t="s">
        <v>3815</v>
      </c>
      <c r="B3791" s="2" t="s">
        <v>19</v>
      </c>
      <c r="C3791" s="2" t="s">
        <v>13</v>
      </c>
      <c r="D3791" s="2">
        <v>9</v>
      </c>
      <c r="E3791" s="2" t="s">
        <v>15</v>
      </c>
      <c r="F3791" s="2" t="s">
        <v>36</v>
      </c>
      <c r="G3791" s="7">
        <v>19.850000000000001</v>
      </c>
      <c r="H3791" s="7">
        <v>178.8</v>
      </c>
      <c r="I3791" s="2" t="s">
        <v>15</v>
      </c>
      <c r="J3791" s="2" t="s">
        <v>15</v>
      </c>
      <c r="K3791" s="2" t="s">
        <v>21</v>
      </c>
      <c r="L3791" s="7">
        <v>178.8</v>
      </c>
      <c r="M3791" s="2" t="str">
        <f>_xlfn.IFS(TelecomData[[#This Row],[TenureMonths]]&lt;=12, "0-1 Year", TelecomData[[#This Row],[TenureMonths]]&lt;=36, "1-3 Years", TelecomData[[#This Row],[TenureMonths]]&gt;36, "3+ Years")</f>
        <v>0-1 Year</v>
      </c>
      <c r="N3791" s="2" t="str">
        <f>IF(TelecomData[[#This Row],[CleanedTotalCharges]]&gt;=2500,"High Spend", "Standard Spend")</f>
        <v>Standard Spend</v>
      </c>
    </row>
    <row r="3792" spans="1:14" x14ac:dyDescent="0.3">
      <c r="A3792" s="1" t="s">
        <v>3816</v>
      </c>
      <c r="B3792" s="2" t="s">
        <v>19</v>
      </c>
      <c r="C3792" s="2" t="s">
        <v>20</v>
      </c>
      <c r="D3792" s="2">
        <v>2</v>
      </c>
      <c r="E3792" s="2" t="s">
        <v>15</v>
      </c>
      <c r="F3792" s="2" t="s">
        <v>36</v>
      </c>
      <c r="G3792" s="7">
        <v>19.3</v>
      </c>
      <c r="H3792" s="7">
        <v>28.3</v>
      </c>
      <c r="I3792" s="2" t="s">
        <v>16</v>
      </c>
      <c r="J3792" s="2" t="s">
        <v>15</v>
      </c>
      <c r="K3792" s="2" t="s">
        <v>29</v>
      </c>
      <c r="L3792" s="7">
        <v>28.3</v>
      </c>
      <c r="M3792" s="2" t="str">
        <f>_xlfn.IFS(TelecomData[[#This Row],[TenureMonths]]&lt;=12, "0-1 Year", TelecomData[[#This Row],[TenureMonths]]&lt;=36, "1-3 Years", TelecomData[[#This Row],[TenureMonths]]&gt;36, "3+ Years")</f>
        <v>0-1 Year</v>
      </c>
      <c r="N3792" s="2" t="str">
        <f>IF(TelecomData[[#This Row],[CleanedTotalCharges]]&gt;=2500,"High Spend", "Standard Spend")</f>
        <v>Standard Spend</v>
      </c>
    </row>
    <row r="3793" spans="1:14" x14ac:dyDescent="0.3">
      <c r="A3793" s="1" t="s">
        <v>3817</v>
      </c>
      <c r="B3793" s="2" t="s">
        <v>19</v>
      </c>
      <c r="C3793" s="2" t="s">
        <v>13</v>
      </c>
      <c r="D3793" s="2">
        <v>6</v>
      </c>
      <c r="E3793" s="2" t="s">
        <v>26</v>
      </c>
      <c r="F3793" s="2" t="s">
        <v>15</v>
      </c>
      <c r="G3793" s="7">
        <v>69.099999999999994</v>
      </c>
      <c r="H3793" s="7">
        <v>435</v>
      </c>
      <c r="I3793" s="2" t="s">
        <v>15</v>
      </c>
      <c r="J3793" s="2" t="s">
        <v>16</v>
      </c>
      <c r="K3793" s="2" t="s">
        <v>17</v>
      </c>
      <c r="L3793" s="7">
        <v>435</v>
      </c>
      <c r="M3793" s="2" t="str">
        <f>_xlfn.IFS(TelecomData[[#This Row],[TenureMonths]]&lt;=12, "0-1 Year", TelecomData[[#This Row],[TenureMonths]]&lt;=36, "1-3 Years", TelecomData[[#This Row],[TenureMonths]]&gt;36, "3+ Years")</f>
        <v>0-1 Year</v>
      </c>
      <c r="N3793" s="2" t="str">
        <f>IF(TelecomData[[#This Row],[CleanedTotalCharges]]&gt;=2500,"High Spend", "Standard Spend")</f>
        <v>Standard Spend</v>
      </c>
    </row>
    <row r="3794" spans="1:14" x14ac:dyDescent="0.3">
      <c r="A3794" s="1" t="s">
        <v>3818</v>
      </c>
      <c r="B3794" s="2" t="s">
        <v>12</v>
      </c>
      <c r="C3794" s="2" t="s">
        <v>13</v>
      </c>
      <c r="D3794" s="2">
        <v>26</v>
      </c>
      <c r="E3794" s="2" t="s">
        <v>26</v>
      </c>
      <c r="F3794" s="2" t="s">
        <v>15</v>
      </c>
      <c r="G3794" s="7">
        <v>91.25</v>
      </c>
      <c r="H3794" s="7">
        <v>2351.8000000000002</v>
      </c>
      <c r="I3794" s="2" t="s">
        <v>16</v>
      </c>
      <c r="J3794" s="2" t="s">
        <v>16</v>
      </c>
      <c r="K3794" s="2" t="s">
        <v>17</v>
      </c>
      <c r="L3794" s="7">
        <v>2351.8000000000002</v>
      </c>
      <c r="M3794" s="2" t="str">
        <f>_xlfn.IFS(TelecomData[[#This Row],[TenureMonths]]&lt;=12, "0-1 Year", TelecomData[[#This Row],[TenureMonths]]&lt;=36, "1-3 Years", TelecomData[[#This Row],[TenureMonths]]&gt;36, "3+ Years")</f>
        <v>1-3 Years</v>
      </c>
      <c r="N3794" s="2" t="str">
        <f>IF(TelecomData[[#This Row],[CleanedTotalCharges]]&gt;=2500,"High Spend", "Standard Spend")</f>
        <v>Standard Spend</v>
      </c>
    </row>
    <row r="3795" spans="1:14" x14ac:dyDescent="0.3">
      <c r="A3795" s="1" t="s">
        <v>3819</v>
      </c>
      <c r="B3795" s="2" t="s">
        <v>12</v>
      </c>
      <c r="C3795" s="2" t="s">
        <v>13</v>
      </c>
      <c r="D3795" s="2">
        <v>9</v>
      </c>
      <c r="E3795" s="2" t="s">
        <v>15</v>
      </c>
      <c r="F3795" s="2" t="s">
        <v>36</v>
      </c>
      <c r="G3795" s="7">
        <v>20.25</v>
      </c>
      <c r="H3795" s="7">
        <v>186.15</v>
      </c>
      <c r="I3795" s="2" t="s">
        <v>15</v>
      </c>
      <c r="J3795" s="2" t="s">
        <v>15</v>
      </c>
      <c r="K3795" s="2" t="s">
        <v>21</v>
      </c>
      <c r="L3795" s="7">
        <v>186.15</v>
      </c>
      <c r="M3795" s="2" t="str">
        <f>_xlfn.IFS(TelecomData[[#This Row],[TenureMonths]]&lt;=12, "0-1 Year", TelecomData[[#This Row],[TenureMonths]]&lt;=36, "1-3 Years", TelecomData[[#This Row],[TenureMonths]]&gt;36, "3+ Years")</f>
        <v>0-1 Year</v>
      </c>
      <c r="N3795" s="2" t="str">
        <f>IF(TelecomData[[#This Row],[CleanedTotalCharges]]&gt;=2500,"High Spend", "Standard Spend")</f>
        <v>Standard Spend</v>
      </c>
    </row>
    <row r="3796" spans="1:14" x14ac:dyDescent="0.3">
      <c r="A3796" s="1" t="s">
        <v>3820</v>
      </c>
      <c r="B3796" s="2" t="s">
        <v>19</v>
      </c>
      <c r="C3796" s="2" t="s">
        <v>13</v>
      </c>
      <c r="D3796" s="2">
        <v>8</v>
      </c>
      <c r="E3796" s="2" t="s">
        <v>14</v>
      </c>
      <c r="F3796" s="2" t="s">
        <v>15</v>
      </c>
      <c r="G3796" s="7">
        <v>54.75</v>
      </c>
      <c r="H3796" s="7">
        <v>445.85</v>
      </c>
      <c r="I3796" s="2" t="s">
        <v>15</v>
      </c>
      <c r="J3796" s="2" t="s">
        <v>16</v>
      </c>
      <c r="K3796" s="2" t="s">
        <v>21</v>
      </c>
      <c r="L3796" s="7">
        <v>445.85</v>
      </c>
      <c r="M3796" s="2" t="str">
        <f>_xlfn.IFS(TelecomData[[#This Row],[TenureMonths]]&lt;=12, "0-1 Year", TelecomData[[#This Row],[TenureMonths]]&lt;=36, "1-3 Years", TelecomData[[#This Row],[TenureMonths]]&gt;36, "3+ Years")</f>
        <v>0-1 Year</v>
      </c>
      <c r="N3796" s="2" t="str">
        <f>IF(TelecomData[[#This Row],[CleanedTotalCharges]]&gt;=2500,"High Spend", "Standard Spend")</f>
        <v>Standard Spend</v>
      </c>
    </row>
    <row r="3797" spans="1:14" x14ac:dyDescent="0.3">
      <c r="A3797" s="1" t="s">
        <v>3821</v>
      </c>
      <c r="B3797" s="2" t="s">
        <v>19</v>
      </c>
      <c r="C3797" s="2" t="s">
        <v>13</v>
      </c>
      <c r="D3797" s="2">
        <v>12</v>
      </c>
      <c r="E3797" s="2" t="s">
        <v>26</v>
      </c>
      <c r="F3797" s="2" t="s">
        <v>15</v>
      </c>
      <c r="G3797" s="7">
        <v>81.45</v>
      </c>
      <c r="H3797" s="7">
        <v>912</v>
      </c>
      <c r="I3797" s="2" t="s">
        <v>15</v>
      </c>
      <c r="J3797" s="2" t="s">
        <v>16</v>
      </c>
      <c r="K3797" s="2" t="s">
        <v>17</v>
      </c>
      <c r="L3797" s="7">
        <v>912</v>
      </c>
      <c r="M3797" s="2" t="str">
        <f>_xlfn.IFS(TelecomData[[#This Row],[TenureMonths]]&lt;=12, "0-1 Year", TelecomData[[#This Row],[TenureMonths]]&lt;=36, "1-3 Years", TelecomData[[#This Row],[TenureMonths]]&gt;36, "3+ Years")</f>
        <v>0-1 Year</v>
      </c>
      <c r="N3797" s="2" t="str">
        <f>IF(TelecomData[[#This Row],[CleanedTotalCharges]]&gt;=2500,"High Spend", "Standard Spend")</f>
        <v>Standard Spend</v>
      </c>
    </row>
    <row r="3798" spans="1:14" x14ac:dyDescent="0.3">
      <c r="A3798" s="1" t="s">
        <v>3822</v>
      </c>
      <c r="B3798" s="2" t="s">
        <v>12</v>
      </c>
      <c r="C3798" s="2" t="s">
        <v>13</v>
      </c>
      <c r="D3798" s="2">
        <v>15</v>
      </c>
      <c r="E3798" s="2" t="s">
        <v>14</v>
      </c>
      <c r="F3798" s="2" t="s">
        <v>15</v>
      </c>
      <c r="G3798" s="7">
        <v>49.1</v>
      </c>
      <c r="H3798" s="7">
        <v>679.55</v>
      </c>
      <c r="I3798" s="2" t="s">
        <v>16</v>
      </c>
      <c r="J3798" s="2" t="s">
        <v>16</v>
      </c>
      <c r="K3798" s="2" t="s">
        <v>17</v>
      </c>
      <c r="L3798" s="7">
        <v>679.55</v>
      </c>
      <c r="M3798" s="2" t="str">
        <f>_xlfn.IFS(TelecomData[[#This Row],[TenureMonths]]&lt;=12, "0-1 Year", TelecomData[[#This Row],[TenureMonths]]&lt;=36, "1-3 Years", TelecomData[[#This Row],[TenureMonths]]&gt;36, "3+ Years")</f>
        <v>1-3 Years</v>
      </c>
      <c r="N3798" s="2" t="str">
        <f>IF(TelecomData[[#This Row],[CleanedTotalCharges]]&gt;=2500,"High Spend", "Standard Spend")</f>
        <v>Standard Spend</v>
      </c>
    </row>
    <row r="3799" spans="1:14" x14ac:dyDescent="0.3">
      <c r="A3799" s="1" t="s">
        <v>3823</v>
      </c>
      <c r="B3799" s="2" t="s">
        <v>19</v>
      </c>
      <c r="C3799" s="2" t="s">
        <v>20</v>
      </c>
      <c r="D3799" s="2">
        <v>43</v>
      </c>
      <c r="E3799" s="2" t="s">
        <v>14</v>
      </c>
      <c r="F3799" s="2" t="s">
        <v>15</v>
      </c>
      <c r="G3799" s="7">
        <v>80.2</v>
      </c>
      <c r="H3799" s="7">
        <v>3581.6</v>
      </c>
      <c r="I3799" s="2" t="s">
        <v>15</v>
      </c>
      <c r="J3799" s="2" t="s">
        <v>16</v>
      </c>
      <c r="K3799" s="2" t="s">
        <v>17</v>
      </c>
      <c r="L3799" s="7">
        <v>3581.6</v>
      </c>
      <c r="M3799" s="2" t="str">
        <f>_xlfn.IFS(TelecomData[[#This Row],[TenureMonths]]&lt;=12, "0-1 Year", TelecomData[[#This Row],[TenureMonths]]&lt;=36, "1-3 Years", TelecomData[[#This Row],[TenureMonths]]&gt;36, "3+ Years")</f>
        <v>3+ Years</v>
      </c>
      <c r="N3799" s="2" t="str">
        <f>IF(TelecomData[[#This Row],[CleanedTotalCharges]]&gt;=2500,"High Spend", "Standard Spend")</f>
        <v>High Spend</v>
      </c>
    </row>
    <row r="3800" spans="1:14" x14ac:dyDescent="0.3">
      <c r="A3800" s="1" t="s">
        <v>3824</v>
      </c>
      <c r="B3800" s="2" t="s">
        <v>19</v>
      </c>
      <c r="C3800" s="2" t="s">
        <v>13</v>
      </c>
      <c r="D3800" s="2">
        <v>42</v>
      </c>
      <c r="E3800" s="2" t="s">
        <v>26</v>
      </c>
      <c r="F3800" s="2" t="s">
        <v>16</v>
      </c>
      <c r="G3800" s="7">
        <v>100.3</v>
      </c>
      <c r="H3800" s="7">
        <v>4222.95</v>
      </c>
      <c r="I3800" s="2" t="s">
        <v>15</v>
      </c>
      <c r="J3800" s="2" t="s">
        <v>16</v>
      </c>
      <c r="K3800" s="2" t="s">
        <v>17</v>
      </c>
      <c r="L3800" s="7">
        <v>4222.95</v>
      </c>
      <c r="M3800" s="2" t="str">
        <f>_xlfn.IFS(TelecomData[[#This Row],[TenureMonths]]&lt;=12, "0-1 Year", TelecomData[[#This Row],[TenureMonths]]&lt;=36, "1-3 Years", TelecomData[[#This Row],[TenureMonths]]&gt;36, "3+ Years")</f>
        <v>3+ Years</v>
      </c>
      <c r="N3800" s="2" t="str">
        <f>IF(TelecomData[[#This Row],[CleanedTotalCharges]]&gt;=2500,"High Spend", "Standard Spend")</f>
        <v>High Spend</v>
      </c>
    </row>
    <row r="3801" spans="1:14" x14ac:dyDescent="0.3">
      <c r="A3801" s="1" t="s">
        <v>3825</v>
      </c>
      <c r="B3801" s="2" t="s">
        <v>12</v>
      </c>
      <c r="C3801" s="2" t="s">
        <v>13</v>
      </c>
      <c r="D3801" s="2">
        <v>31</v>
      </c>
      <c r="E3801" s="2" t="s">
        <v>14</v>
      </c>
      <c r="F3801" s="2" t="s">
        <v>16</v>
      </c>
      <c r="G3801" s="7">
        <v>65.25</v>
      </c>
      <c r="H3801" s="7">
        <v>1994.3</v>
      </c>
      <c r="I3801" s="2" t="s">
        <v>16</v>
      </c>
      <c r="J3801" s="2" t="s">
        <v>15</v>
      </c>
      <c r="K3801" s="2" t="s">
        <v>29</v>
      </c>
      <c r="L3801" s="7">
        <v>1994.3</v>
      </c>
      <c r="M3801" s="2" t="str">
        <f>_xlfn.IFS(TelecomData[[#This Row],[TenureMonths]]&lt;=12, "0-1 Year", TelecomData[[#This Row],[TenureMonths]]&lt;=36, "1-3 Years", TelecomData[[#This Row],[TenureMonths]]&gt;36, "3+ Years")</f>
        <v>1-3 Years</v>
      </c>
      <c r="N3801" s="2" t="str">
        <f>IF(TelecomData[[#This Row],[CleanedTotalCharges]]&gt;=2500,"High Spend", "Standard Spend")</f>
        <v>Standard Spend</v>
      </c>
    </row>
    <row r="3802" spans="1:14" x14ac:dyDescent="0.3">
      <c r="A3802" s="1" t="s">
        <v>3826</v>
      </c>
      <c r="B3802" s="2" t="s">
        <v>12</v>
      </c>
      <c r="C3802" s="2" t="s">
        <v>35</v>
      </c>
      <c r="D3802" s="2">
        <v>66</v>
      </c>
      <c r="E3802" s="2" t="s">
        <v>26</v>
      </c>
      <c r="F3802" s="2" t="s">
        <v>16</v>
      </c>
      <c r="G3802" s="7">
        <v>90.95</v>
      </c>
      <c r="H3802" s="7">
        <v>5930.05</v>
      </c>
      <c r="I3802" s="2" t="s">
        <v>15</v>
      </c>
      <c r="J3802" s="2" t="s">
        <v>16</v>
      </c>
      <c r="K3802" s="2" t="s">
        <v>29</v>
      </c>
      <c r="L3802" s="7">
        <v>5930.05</v>
      </c>
      <c r="M3802" s="2" t="str">
        <f>_xlfn.IFS(TelecomData[[#This Row],[TenureMonths]]&lt;=12, "0-1 Year", TelecomData[[#This Row],[TenureMonths]]&lt;=36, "1-3 Years", TelecomData[[#This Row],[TenureMonths]]&gt;36, "3+ Years")</f>
        <v>3+ Years</v>
      </c>
      <c r="N3802" s="2" t="str">
        <f>IF(TelecomData[[#This Row],[CleanedTotalCharges]]&gt;=2500,"High Spend", "Standard Spend")</f>
        <v>High Spend</v>
      </c>
    </row>
    <row r="3803" spans="1:14" x14ac:dyDescent="0.3">
      <c r="A3803" s="1" t="s">
        <v>3827</v>
      </c>
      <c r="B3803" s="2" t="s">
        <v>12</v>
      </c>
      <c r="C3803" s="2" t="s">
        <v>13</v>
      </c>
      <c r="D3803" s="2">
        <v>18</v>
      </c>
      <c r="E3803" s="2" t="s">
        <v>26</v>
      </c>
      <c r="F3803" s="2" t="s">
        <v>16</v>
      </c>
      <c r="G3803" s="7">
        <v>85.45</v>
      </c>
      <c r="H3803" s="7">
        <v>1505.85</v>
      </c>
      <c r="I3803" s="2" t="s">
        <v>16</v>
      </c>
      <c r="J3803" s="2" t="s">
        <v>16</v>
      </c>
      <c r="K3803" s="2" t="s">
        <v>17</v>
      </c>
      <c r="L3803" s="7">
        <v>1505.85</v>
      </c>
      <c r="M3803" s="2" t="str">
        <f>_xlfn.IFS(TelecomData[[#This Row],[TenureMonths]]&lt;=12, "0-1 Year", TelecomData[[#This Row],[TenureMonths]]&lt;=36, "1-3 Years", TelecomData[[#This Row],[TenureMonths]]&gt;36, "3+ Years")</f>
        <v>1-3 Years</v>
      </c>
      <c r="N3803" s="2" t="str">
        <f>IF(TelecomData[[#This Row],[CleanedTotalCharges]]&gt;=2500,"High Spend", "Standard Spend")</f>
        <v>Standard Spend</v>
      </c>
    </row>
    <row r="3804" spans="1:14" x14ac:dyDescent="0.3">
      <c r="A3804" s="1" t="s">
        <v>3828</v>
      </c>
      <c r="B3804" s="2" t="s">
        <v>19</v>
      </c>
      <c r="C3804" s="2" t="s">
        <v>13</v>
      </c>
      <c r="D3804" s="2">
        <v>1</v>
      </c>
      <c r="E3804" s="2" t="s">
        <v>15</v>
      </c>
      <c r="F3804" s="2" t="s">
        <v>36</v>
      </c>
      <c r="G3804" s="7">
        <v>20</v>
      </c>
      <c r="H3804" s="7">
        <v>20</v>
      </c>
      <c r="I3804" s="2" t="s">
        <v>15</v>
      </c>
      <c r="J3804" s="2" t="s">
        <v>15</v>
      </c>
      <c r="K3804" s="2" t="s">
        <v>21</v>
      </c>
      <c r="L3804" s="7">
        <v>20</v>
      </c>
      <c r="M3804" s="2" t="str">
        <f>_xlfn.IFS(TelecomData[[#This Row],[TenureMonths]]&lt;=12, "0-1 Year", TelecomData[[#This Row],[TenureMonths]]&lt;=36, "1-3 Years", TelecomData[[#This Row],[TenureMonths]]&gt;36, "3+ Years")</f>
        <v>0-1 Year</v>
      </c>
      <c r="N3804" s="2" t="str">
        <f>IF(TelecomData[[#This Row],[CleanedTotalCharges]]&gt;=2500,"High Spend", "Standard Spend")</f>
        <v>Standard Spend</v>
      </c>
    </row>
    <row r="3805" spans="1:14" x14ac:dyDescent="0.3">
      <c r="A3805" s="1" t="s">
        <v>3829</v>
      </c>
      <c r="B3805" s="2" t="s">
        <v>19</v>
      </c>
      <c r="C3805" s="2" t="s">
        <v>35</v>
      </c>
      <c r="D3805" s="2">
        <v>61</v>
      </c>
      <c r="E3805" s="2" t="s">
        <v>26</v>
      </c>
      <c r="F3805" s="2" t="s">
        <v>16</v>
      </c>
      <c r="G3805" s="7">
        <v>94.1</v>
      </c>
      <c r="H3805" s="7">
        <v>5638.3</v>
      </c>
      <c r="I3805" s="2" t="s">
        <v>16</v>
      </c>
      <c r="J3805" s="2" t="s">
        <v>16</v>
      </c>
      <c r="K3805" s="2" t="s">
        <v>17</v>
      </c>
      <c r="L3805" s="7">
        <v>5638.3</v>
      </c>
      <c r="M3805" s="2" t="str">
        <f>_xlfn.IFS(TelecomData[[#This Row],[TenureMonths]]&lt;=12, "0-1 Year", TelecomData[[#This Row],[TenureMonths]]&lt;=36, "1-3 Years", TelecomData[[#This Row],[TenureMonths]]&gt;36, "3+ Years")</f>
        <v>3+ Years</v>
      </c>
      <c r="N3805" s="2" t="str">
        <f>IF(TelecomData[[#This Row],[CleanedTotalCharges]]&gt;=2500,"High Spend", "Standard Spend")</f>
        <v>High Spend</v>
      </c>
    </row>
    <row r="3806" spans="1:14" x14ac:dyDescent="0.3">
      <c r="A3806" s="1" t="s">
        <v>3830</v>
      </c>
      <c r="B3806" s="2" t="s">
        <v>19</v>
      </c>
      <c r="C3806" s="2" t="s">
        <v>13</v>
      </c>
      <c r="D3806" s="2">
        <v>10</v>
      </c>
      <c r="E3806" s="2" t="s">
        <v>26</v>
      </c>
      <c r="F3806" s="2" t="s">
        <v>15</v>
      </c>
      <c r="G3806" s="7">
        <v>79.849999999999994</v>
      </c>
      <c r="H3806" s="7">
        <v>797.25</v>
      </c>
      <c r="I3806" s="2" t="s">
        <v>15</v>
      </c>
      <c r="J3806" s="2" t="s">
        <v>15</v>
      </c>
      <c r="K3806" s="2" t="s">
        <v>17</v>
      </c>
      <c r="L3806" s="7">
        <v>797.25</v>
      </c>
      <c r="M3806" s="2" t="str">
        <f>_xlfn.IFS(TelecomData[[#This Row],[TenureMonths]]&lt;=12, "0-1 Year", TelecomData[[#This Row],[TenureMonths]]&lt;=36, "1-3 Years", TelecomData[[#This Row],[TenureMonths]]&gt;36, "3+ Years")</f>
        <v>0-1 Year</v>
      </c>
      <c r="N3806" s="2" t="str">
        <f>IF(TelecomData[[#This Row],[CleanedTotalCharges]]&gt;=2500,"High Spend", "Standard Spend")</f>
        <v>Standard Spend</v>
      </c>
    </row>
    <row r="3807" spans="1:14" x14ac:dyDescent="0.3">
      <c r="A3807" s="1" t="s">
        <v>3831</v>
      </c>
      <c r="B3807" s="2" t="s">
        <v>19</v>
      </c>
      <c r="C3807" s="2" t="s">
        <v>13</v>
      </c>
      <c r="D3807" s="2">
        <v>1</v>
      </c>
      <c r="E3807" s="2" t="s">
        <v>26</v>
      </c>
      <c r="F3807" s="2" t="s">
        <v>15</v>
      </c>
      <c r="G3807" s="7">
        <v>71.650000000000006</v>
      </c>
      <c r="H3807" s="7">
        <v>71.650000000000006</v>
      </c>
      <c r="I3807" s="2" t="s">
        <v>16</v>
      </c>
      <c r="J3807" s="2" t="s">
        <v>16</v>
      </c>
      <c r="K3807" s="2" t="s">
        <v>17</v>
      </c>
      <c r="L3807" s="7">
        <v>71.650000000000006</v>
      </c>
      <c r="M3807" s="2" t="str">
        <f>_xlfn.IFS(TelecomData[[#This Row],[TenureMonths]]&lt;=12, "0-1 Year", TelecomData[[#This Row],[TenureMonths]]&lt;=36, "1-3 Years", TelecomData[[#This Row],[TenureMonths]]&gt;36, "3+ Years")</f>
        <v>0-1 Year</v>
      </c>
      <c r="N3807" s="2" t="str">
        <f>IF(TelecomData[[#This Row],[CleanedTotalCharges]]&gt;=2500,"High Spend", "Standard Spend")</f>
        <v>Standard Spend</v>
      </c>
    </row>
    <row r="3808" spans="1:14" x14ac:dyDescent="0.3">
      <c r="A3808" s="1" t="s">
        <v>3832</v>
      </c>
      <c r="B3808" s="2" t="s">
        <v>12</v>
      </c>
      <c r="C3808" s="2" t="s">
        <v>13</v>
      </c>
      <c r="D3808" s="2">
        <v>18</v>
      </c>
      <c r="E3808" s="2" t="s">
        <v>26</v>
      </c>
      <c r="F3808" s="2" t="s">
        <v>15</v>
      </c>
      <c r="G3808" s="7">
        <v>73.55</v>
      </c>
      <c r="H3808" s="7">
        <v>1359.45</v>
      </c>
      <c r="I3808" s="2" t="s">
        <v>15</v>
      </c>
      <c r="J3808" s="2" t="s">
        <v>16</v>
      </c>
      <c r="K3808" s="2" t="s">
        <v>17</v>
      </c>
      <c r="L3808" s="7">
        <v>1359.45</v>
      </c>
      <c r="M3808" s="2" t="str">
        <f>_xlfn.IFS(TelecomData[[#This Row],[TenureMonths]]&lt;=12, "0-1 Year", TelecomData[[#This Row],[TenureMonths]]&lt;=36, "1-3 Years", TelecomData[[#This Row],[TenureMonths]]&gt;36, "3+ Years")</f>
        <v>1-3 Years</v>
      </c>
      <c r="N3808" s="2" t="str">
        <f>IF(TelecomData[[#This Row],[CleanedTotalCharges]]&gt;=2500,"High Spend", "Standard Spend")</f>
        <v>Standard Spend</v>
      </c>
    </row>
    <row r="3809" spans="1:14" x14ac:dyDescent="0.3">
      <c r="A3809" s="1" t="s">
        <v>3833</v>
      </c>
      <c r="B3809" s="2" t="s">
        <v>19</v>
      </c>
      <c r="C3809" s="2" t="s">
        <v>13</v>
      </c>
      <c r="D3809" s="2">
        <v>24</v>
      </c>
      <c r="E3809" s="2" t="s">
        <v>26</v>
      </c>
      <c r="F3809" s="2" t="s">
        <v>15</v>
      </c>
      <c r="G3809" s="7">
        <v>104.65</v>
      </c>
      <c r="H3809" s="7">
        <v>2542.4499999999998</v>
      </c>
      <c r="I3809" s="2" t="s">
        <v>16</v>
      </c>
      <c r="J3809" s="2" t="s">
        <v>16</v>
      </c>
      <c r="K3809" s="2" t="s">
        <v>17</v>
      </c>
      <c r="L3809" s="7">
        <v>2542.4499999999998</v>
      </c>
      <c r="M3809" s="2" t="str">
        <f>_xlfn.IFS(TelecomData[[#This Row],[TenureMonths]]&lt;=12, "0-1 Year", TelecomData[[#This Row],[TenureMonths]]&lt;=36, "1-3 Years", TelecomData[[#This Row],[TenureMonths]]&gt;36, "3+ Years")</f>
        <v>1-3 Years</v>
      </c>
      <c r="N3809" s="2" t="str">
        <f>IF(TelecomData[[#This Row],[CleanedTotalCharges]]&gt;=2500,"High Spend", "Standard Spend")</f>
        <v>High Spend</v>
      </c>
    </row>
    <row r="3810" spans="1:14" x14ac:dyDescent="0.3">
      <c r="A3810" s="1" t="s">
        <v>3834</v>
      </c>
      <c r="B3810" s="2" t="s">
        <v>12</v>
      </c>
      <c r="C3810" s="2" t="s">
        <v>13</v>
      </c>
      <c r="D3810" s="2">
        <v>3</v>
      </c>
      <c r="E3810" s="2" t="s">
        <v>15</v>
      </c>
      <c r="F3810" s="2" t="s">
        <v>36</v>
      </c>
      <c r="G3810" s="7">
        <v>19.3</v>
      </c>
      <c r="H3810" s="7">
        <v>54.7</v>
      </c>
      <c r="I3810" s="2" t="s">
        <v>15</v>
      </c>
      <c r="J3810" s="2" t="s">
        <v>15</v>
      </c>
      <c r="K3810" s="2" t="s">
        <v>21</v>
      </c>
      <c r="L3810" s="7">
        <v>54.7</v>
      </c>
      <c r="M3810" s="2" t="str">
        <f>_xlfn.IFS(TelecomData[[#This Row],[TenureMonths]]&lt;=12, "0-1 Year", TelecomData[[#This Row],[TenureMonths]]&lt;=36, "1-3 Years", TelecomData[[#This Row],[TenureMonths]]&gt;36, "3+ Years")</f>
        <v>0-1 Year</v>
      </c>
      <c r="N3810" s="2" t="str">
        <f>IF(TelecomData[[#This Row],[CleanedTotalCharges]]&gt;=2500,"High Spend", "Standard Spend")</f>
        <v>Standard Spend</v>
      </c>
    </row>
    <row r="3811" spans="1:14" x14ac:dyDescent="0.3">
      <c r="A3811" s="1" t="s">
        <v>3835</v>
      </c>
      <c r="B3811" s="2" t="s">
        <v>19</v>
      </c>
      <c r="C3811" s="2" t="s">
        <v>20</v>
      </c>
      <c r="D3811" s="2">
        <v>50</v>
      </c>
      <c r="E3811" s="2" t="s">
        <v>15</v>
      </c>
      <c r="F3811" s="2" t="s">
        <v>36</v>
      </c>
      <c r="G3811" s="7">
        <v>20.149999999999999</v>
      </c>
      <c r="H3811" s="7">
        <v>989.05</v>
      </c>
      <c r="I3811" s="2" t="s">
        <v>15</v>
      </c>
      <c r="J3811" s="2" t="s">
        <v>15</v>
      </c>
      <c r="K3811" s="2" t="s">
        <v>29</v>
      </c>
      <c r="L3811" s="7">
        <v>989.05</v>
      </c>
      <c r="M3811" s="2" t="str">
        <f>_xlfn.IFS(TelecomData[[#This Row],[TenureMonths]]&lt;=12, "0-1 Year", TelecomData[[#This Row],[TenureMonths]]&lt;=36, "1-3 Years", TelecomData[[#This Row],[TenureMonths]]&gt;36, "3+ Years")</f>
        <v>3+ Years</v>
      </c>
      <c r="N3811" s="2" t="str">
        <f>IF(TelecomData[[#This Row],[CleanedTotalCharges]]&gt;=2500,"High Spend", "Standard Spend")</f>
        <v>Standard Spend</v>
      </c>
    </row>
    <row r="3812" spans="1:14" x14ac:dyDescent="0.3">
      <c r="A3812" s="1" t="s">
        <v>3836</v>
      </c>
      <c r="B3812" s="2" t="s">
        <v>19</v>
      </c>
      <c r="C3812" s="2" t="s">
        <v>13</v>
      </c>
      <c r="D3812" s="2">
        <v>1</v>
      </c>
      <c r="E3812" s="2" t="s">
        <v>14</v>
      </c>
      <c r="F3812" s="2" t="s">
        <v>15</v>
      </c>
      <c r="G3812" s="7">
        <v>44.55</v>
      </c>
      <c r="H3812" s="7">
        <v>44.55</v>
      </c>
      <c r="I3812" s="2" t="s">
        <v>15</v>
      </c>
      <c r="J3812" s="2" t="s">
        <v>15</v>
      </c>
      <c r="K3812" s="2" t="s">
        <v>17</v>
      </c>
      <c r="L3812" s="7">
        <v>44.55</v>
      </c>
      <c r="M3812" s="2" t="str">
        <f>_xlfn.IFS(TelecomData[[#This Row],[TenureMonths]]&lt;=12, "0-1 Year", TelecomData[[#This Row],[TenureMonths]]&lt;=36, "1-3 Years", TelecomData[[#This Row],[TenureMonths]]&gt;36, "3+ Years")</f>
        <v>0-1 Year</v>
      </c>
      <c r="N3812" s="2" t="str">
        <f>IF(TelecomData[[#This Row],[CleanedTotalCharges]]&gt;=2500,"High Spend", "Standard Spend")</f>
        <v>Standard Spend</v>
      </c>
    </row>
    <row r="3813" spans="1:14" x14ac:dyDescent="0.3">
      <c r="A3813" s="1" t="s">
        <v>3837</v>
      </c>
      <c r="B3813" s="2" t="s">
        <v>19</v>
      </c>
      <c r="C3813" s="2" t="s">
        <v>13</v>
      </c>
      <c r="D3813" s="2">
        <v>2</v>
      </c>
      <c r="E3813" s="2" t="s">
        <v>14</v>
      </c>
      <c r="F3813" s="2" t="s">
        <v>16</v>
      </c>
      <c r="G3813" s="7">
        <v>54.45</v>
      </c>
      <c r="H3813" s="7">
        <v>87.3</v>
      </c>
      <c r="I3813" s="2" t="s">
        <v>15</v>
      </c>
      <c r="J3813" s="2" t="s">
        <v>16</v>
      </c>
      <c r="K3813" s="2" t="s">
        <v>21</v>
      </c>
      <c r="L3813" s="7">
        <v>87.3</v>
      </c>
      <c r="M3813" s="2" t="str">
        <f>_xlfn.IFS(TelecomData[[#This Row],[TenureMonths]]&lt;=12, "0-1 Year", TelecomData[[#This Row],[TenureMonths]]&lt;=36, "1-3 Years", TelecomData[[#This Row],[TenureMonths]]&gt;36, "3+ Years")</f>
        <v>0-1 Year</v>
      </c>
      <c r="N3813" s="2" t="str">
        <f>IF(TelecomData[[#This Row],[CleanedTotalCharges]]&gt;=2500,"High Spend", "Standard Spend")</f>
        <v>Standard Spend</v>
      </c>
    </row>
    <row r="3814" spans="1:14" x14ac:dyDescent="0.3">
      <c r="A3814" s="1" t="s">
        <v>3838</v>
      </c>
      <c r="B3814" s="2" t="s">
        <v>19</v>
      </c>
      <c r="C3814" s="2" t="s">
        <v>20</v>
      </c>
      <c r="D3814" s="2">
        <v>17</v>
      </c>
      <c r="E3814" s="2" t="s">
        <v>15</v>
      </c>
      <c r="F3814" s="2" t="s">
        <v>36</v>
      </c>
      <c r="G3814" s="7">
        <v>19.649999999999999</v>
      </c>
      <c r="H3814" s="7">
        <v>351.55</v>
      </c>
      <c r="I3814" s="2" t="s">
        <v>15</v>
      </c>
      <c r="J3814" s="2" t="s">
        <v>16</v>
      </c>
      <c r="K3814" s="2" t="s">
        <v>24</v>
      </c>
      <c r="L3814" s="7">
        <v>351.55</v>
      </c>
      <c r="M3814" s="2" t="str">
        <f>_xlfn.IFS(TelecomData[[#This Row],[TenureMonths]]&lt;=12, "0-1 Year", TelecomData[[#This Row],[TenureMonths]]&lt;=36, "1-3 Years", TelecomData[[#This Row],[TenureMonths]]&gt;36, "3+ Years")</f>
        <v>1-3 Years</v>
      </c>
      <c r="N3814" s="2" t="str">
        <f>IF(TelecomData[[#This Row],[CleanedTotalCharges]]&gt;=2500,"High Spend", "Standard Spend")</f>
        <v>Standard Spend</v>
      </c>
    </row>
    <row r="3815" spans="1:14" x14ac:dyDescent="0.3">
      <c r="A3815" s="1" t="s">
        <v>3839</v>
      </c>
      <c r="B3815" s="2" t="s">
        <v>19</v>
      </c>
      <c r="C3815" s="2" t="s">
        <v>35</v>
      </c>
      <c r="D3815" s="2">
        <v>69</v>
      </c>
      <c r="E3815" s="2" t="s">
        <v>26</v>
      </c>
      <c r="F3815" s="2" t="s">
        <v>15</v>
      </c>
      <c r="G3815" s="7">
        <v>105</v>
      </c>
      <c r="H3815" s="7">
        <v>7297.75</v>
      </c>
      <c r="I3815" s="2" t="s">
        <v>15</v>
      </c>
      <c r="J3815" s="2" t="s">
        <v>16</v>
      </c>
      <c r="K3815" s="2" t="s">
        <v>17</v>
      </c>
      <c r="L3815" s="7">
        <v>7297.75</v>
      </c>
      <c r="M3815" s="2" t="str">
        <f>_xlfn.IFS(TelecomData[[#This Row],[TenureMonths]]&lt;=12, "0-1 Year", TelecomData[[#This Row],[TenureMonths]]&lt;=36, "1-3 Years", TelecomData[[#This Row],[TenureMonths]]&gt;36, "3+ Years")</f>
        <v>3+ Years</v>
      </c>
      <c r="N3815" s="2" t="str">
        <f>IF(TelecomData[[#This Row],[CleanedTotalCharges]]&gt;=2500,"High Spend", "Standard Spend")</f>
        <v>High Spend</v>
      </c>
    </row>
    <row r="3816" spans="1:14" x14ac:dyDescent="0.3">
      <c r="A3816" s="1" t="s">
        <v>3840</v>
      </c>
      <c r="B3816" s="2" t="s">
        <v>19</v>
      </c>
      <c r="C3816" s="2" t="s">
        <v>35</v>
      </c>
      <c r="D3816" s="2">
        <v>72</v>
      </c>
      <c r="E3816" s="2" t="s">
        <v>14</v>
      </c>
      <c r="F3816" s="2" t="s">
        <v>16</v>
      </c>
      <c r="G3816" s="7">
        <v>88.7</v>
      </c>
      <c r="H3816" s="7">
        <v>6301.7</v>
      </c>
      <c r="I3816" s="2" t="s">
        <v>15</v>
      </c>
      <c r="J3816" s="2" t="s">
        <v>16</v>
      </c>
      <c r="K3816" s="2" t="s">
        <v>29</v>
      </c>
      <c r="L3816" s="7">
        <v>6301.7</v>
      </c>
      <c r="M3816" s="2" t="str">
        <f>_xlfn.IFS(TelecomData[[#This Row],[TenureMonths]]&lt;=12, "0-1 Year", TelecomData[[#This Row],[TenureMonths]]&lt;=36, "1-3 Years", TelecomData[[#This Row],[TenureMonths]]&gt;36, "3+ Years")</f>
        <v>3+ Years</v>
      </c>
      <c r="N3816" s="2" t="str">
        <f>IF(TelecomData[[#This Row],[CleanedTotalCharges]]&gt;=2500,"High Spend", "Standard Spend")</f>
        <v>High Spend</v>
      </c>
    </row>
    <row r="3817" spans="1:14" x14ac:dyDescent="0.3">
      <c r="A3817" s="1" t="s">
        <v>3841</v>
      </c>
      <c r="B3817" s="2" t="s">
        <v>12</v>
      </c>
      <c r="C3817" s="2" t="s">
        <v>13</v>
      </c>
      <c r="D3817" s="2">
        <v>3</v>
      </c>
      <c r="E3817" s="2" t="s">
        <v>26</v>
      </c>
      <c r="F3817" s="2" t="s">
        <v>15</v>
      </c>
      <c r="G3817" s="7">
        <v>74.25</v>
      </c>
      <c r="H3817" s="7">
        <v>210.3</v>
      </c>
      <c r="I3817" s="2" t="s">
        <v>16</v>
      </c>
      <c r="J3817" s="2" t="s">
        <v>16</v>
      </c>
      <c r="K3817" s="2" t="s">
        <v>17</v>
      </c>
      <c r="L3817" s="7">
        <v>210.3</v>
      </c>
      <c r="M3817" s="2" t="str">
        <f>_xlfn.IFS(TelecomData[[#This Row],[TenureMonths]]&lt;=12, "0-1 Year", TelecomData[[#This Row],[TenureMonths]]&lt;=36, "1-3 Years", TelecomData[[#This Row],[TenureMonths]]&gt;36, "3+ Years")</f>
        <v>0-1 Year</v>
      </c>
      <c r="N3817" s="2" t="str">
        <f>IF(TelecomData[[#This Row],[CleanedTotalCharges]]&gt;=2500,"High Spend", "Standard Spend")</f>
        <v>Standard Spend</v>
      </c>
    </row>
    <row r="3818" spans="1:14" x14ac:dyDescent="0.3">
      <c r="A3818" s="1" t="s">
        <v>3842</v>
      </c>
      <c r="B3818" s="2" t="s">
        <v>19</v>
      </c>
      <c r="C3818" s="2" t="s">
        <v>35</v>
      </c>
      <c r="D3818" s="2">
        <v>50</v>
      </c>
      <c r="E3818" s="2" t="s">
        <v>14</v>
      </c>
      <c r="F3818" s="2" t="s">
        <v>15</v>
      </c>
      <c r="G3818" s="7">
        <v>75.150000000000006</v>
      </c>
      <c r="H3818" s="7">
        <v>3822.45</v>
      </c>
      <c r="I3818" s="2" t="s">
        <v>15</v>
      </c>
      <c r="J3818" s="2" t="s">
        <v>16</v>
      </c>
      <c r="K3818" s="2" t="s">
        <v>24</v>
      </c>
      <c r="L3818" s="7">
        <v>3822.45</v>
      </c>
      <c r="M3818" s="2" t="str">
        <f>_xlfn.IFS(TelecomData[[#This Row],[TenureMonths]]&lt;=12, "0-1 Year", TelecomData[[#This Row],[TenureMonths]]&lt;=36, "1-3 Years", TelecomData[[#This Row],[TenureMonths]]&gt;36, "3+ Years")</f>
        <v>3+ Years</v>
      </c>
      <c r="N3818" s="2" t="str">
        <f>IF(TelecomData[[#This Row],[CleanedTotalCharges]]&gt;=2500,"High Spend", "Standard Spend")</f>
        <v>High Spend</v>
      </c>
    </row>
    <row r="3819" spans="1:14" x14ac:dyDescent="0.3">
      <c r="A3819" s="1" t="s">
        <v>3843</v>
      </c>
      <c r="B3819" s="2" t="s">
        <v>12</v>
      </c>
      <c r="C3819" s="2" t="s">
        <v>35</v>
      </c>
      <c r="D3819" s="2">
        <v>53</v>
      </c>
      <c r="E3819" s="2" t="s">
        <v>15</v>
      </c>
      <c r="F3819" s="2" t="s">
        <v>36</v>
      </c>
      <c r="G3819" s="7">
        <v>20.25</v>
      </c>
      <c r="H3819" s="7">
        <v>1048.45</v>
      </c>
      <c r="I3819" s="2" t="s">
        <v>15</v>
      </c>
      <c r="J3819" s="2" t="s">
        <v>15</v>
      </c>
      <c r="K3819" s="2" t="s">
        <v>21</v>
      </c>
      <c r="L3819" s="7">
        <v>1048.45</v>
      </c>
      <c r="M3819" s="2" t="str">
        <f>_xlfn.IFS(TelecomData[[#This Row],[TenureMonths]]&lt;=12, "0-1 Year", TelecomData[[#This Row],[TenureMonths]]&lt;=36, "1-3 Years", TelecomData[[#This Row],[TenureMonths]]&gt;36, "3+ Years")</f>
        <v>3+ Years</v>
      </c>
      <c r="N3819" s="2" t="str">
        <f>IF(TelecomData[[#This Row],[CleanedTotalCharges]]&gt;=2500,"High Spend", "Standard Spend")</f>
        <v>Standard Spend</v>
      </c>
    </row>
    <row r="3820" spans="1:14" x14ac:dyDescent="0.3">
      <c r="A3820" s="1" t="s">
        <v>3844</v>
      </c>
      <c r="B3820" s="2" t="s">
        <v>12</v>
      </c>
      <c r="C3820" s="2" t="s">
        <v>35</v>
      </c>
      <c r="D3820" s="2">
        <v>58</v>
      </c>
      <c r="E3820" s="2" t="s">
        <v>26</v>
      </c>
      <c r="F3820" s="2" t="s">
        <v>16</v>
      </c>
      <c r="G3820" s="7">
        <v>109.1</v>
      </c>
      <c r="H3820" s="7">
        <v>6393.65</v>
      </c>
      <c r="I3820" s="2" t="s">
        <v>15</v>
      </c>
      <c r="J3820" s="2" t="s">
        <v>16</v>
      </c>
      <c r="K3820" s="2" t="s">
        <v>29</v>
      </c>
      <c r="L3820" s="7">
        <v>6393.65</v>
      </c>
      <c r="M3820" s="2" t="str">
        <f>_xlfn.IFS(TelecomData[[#This Row],[TenureMonths]]&lt;=12, "0-1 Year", TelecomData[[#This Row],[TenureMonths]]&lt;=36, "1-3 Years", TelecomData[[#This Row],[TenureMonths]]&gt;36, "3+ Years")</f>
        <v>3+ Years</v>
      </c>
      <c r="N3820" s="2" t="str">
        <f>IF(TelecomData[[#This Row],[CleanedTotalCharges]]&gt;=2500,"High Spend", "Standard Spend")</f>
        <v>High Spend</v>
      </c>
    </row>
    <row r="3821" spans="1:14" x14ac:dyDescent="0.3">
      <c r="A3821" s="1" t="s">
        <v>3845</v>
      </c>
      <c r="B3821" s="2" t="s">
        <v>19</v>
      </c>
      <c r="C3821" s="2" t="s">
        <v>20</v>
      </c>
      <c r="D3821" s="2">
        <v>46</v>
      </c>
      <c r="E3821" s="2" t="s">
        <v>14</v>
      </c>
      <c r="F3821" s="2" t="s">
        <v>15</v>
      </c>
      <c r="G3821" s="7">
        <v>30.75</v>
      </c>
      <c r="H3821" s="7">
        <v>1489.3</v>
      </c>
      <c r="I3821" s="2" t="s">
        <v>15</v>
      </c>
      <c r="J3821" s="2" t="s">
        <v>16</v>
      </c>
      <c r="K3821" s="2" t="s">
        <v>24</v>
      </c>
      <c r="L3821" s="7">
        <v>1489.3</v>
      </c>
      <c r="M3821" s="2" t="str">
        <f>_xlfn.IFS(TelecomData[[#This Row],[TenureMonths]]&lt;=12, "0-1 Year", TelecomData[[#This Row],[TenureMonths]]&lt;=36, "1-3 Years", TelecomData[[#This Row],[TenureMonths]]&gt;36, "3+ Years")</f>
        <v>3+ Years</v>
      </c>
      <c r="N3821" s="2" t="str">
        <f>IF(TelecomData[[#This Row],[CleanedTotalCharges]]&gt;=2500,"High Spend", "Standard Spend")</f>
        <v>Standard Spend</v>
      </c>
    </row>
    <row r="3822" spans="1:14" x14ac:dyDescent="0.3">
      <c r="A3822" s="1" t="s">
        <v>3846</v>
      </c>
      <c r="B3822" s="2" t="s">
        <v>19</v>
      </c>
      <c r="C3822" s="2" t="s">
        <v>13</v>
      </c>
      <c r="D3822" s="2">
        <v>72</v>
      </c>
      <c r="E3822" s="2" t="s">
        <v>26</v>
      </c>
      <c r="F3822" s="2" t="s">
        <v>16</v>
      </c>
      <c r="G3822" s="7">
        <v>112.9</v>
      </c>
      <c r="H3822" s="7">
        <v>8061.5</v>
      </c>
      <c r="I3822" s="2" t="s">
        <v>15</v>
      </c>
      <c r="J3822" s="2" t="s">
        <v>16</v>
      </c>
      <c r="K3822" s="2" t="s">
        <v>29</v>
      </c>
      <c r="L3822" s="7">
        <v>8061.5</v>
      </c>
      <c r="M3822" s="2" t="str">
        <f>_xlfn.IFS(TelecomData[[#This Row],[TenureMonths]]&lt;=12, "0-1 Year", TelecomData[[#This Row],[TenureMonths]]&lt;=36, "1-3 Years", TelecomData[[#This Row],[TenureMonths]]&gt;36, "3+ Years")</f>
        <v>3+ Years</v>
      </c>
      <c r="N3822" s="2" t="str">
        <f>IF(TelecomData[[#This Row],[CleanedTotalCharges]]&gt;=2500,"High Spend", "Standard Spend")</f>
        <v>High Spend</v>
      </c>
    </row>
    <row r="3823" spans="1:14" x14ac:dyDescent="0.3">
      <c r="A3823" s="1" t="s">
        <v>3847</v>
      </c>
      <c r="B3823" s="2" t="s">
        <v>12</v>
      </c>
      <c r="C3823" s="2" t="s">
        <v>13</v>
      </c>
      <c r="D3823" s="2">
        <v>1</v>
      </c>
      <c r="E3823" s="2" t="s">
        <v>26</v>
      </c>
      <c r="F3823" s="2" t="s">
        <v>15</v>
      </c>
      <c r="G3823" s="7">
        <v>74.2</v>
      </c>
      <c r="H3823" s="7">
        <v>74.2</v>
      </c>
      <c r="I3823" s="2" t="s">
        <v>16</v>
      </c>
      <c r="J3823" s="2" t="s">
        <v>16</v>
      </c>
      <c r="K3823" s="2" t="s">
        <v>17</v>
      </c>
      <c r="L3823" s="7">
        <v>74.2</v>
      </c>
      <c r="M3823" s="2" t="str">
        <f>_xlfn.IFS(TelecomData[[#This Row],[TenureMonths]]&lt;=12, "0-1 Year", TelecomData[[#This Row],[TenureMonths]]&lt;=36, "1-3 Years", TelecomData[[#This Row],[TenureMonths]]&gt;36, "3+ Years")</f>
        <v>0-1 Year</v>
      </c>
      <c r="N3823" s="2" t="str">
        <f>IF(TelecomData[[#This Row],[CleanedTotalCharges]]&gt;=2500,"High Spend", "Standard Spend")</f>
        <v>Standard Spend</v>
      </c>
    </row>
    <row r="3824" spans="1:14" x14ac:dyDescent="0.3">
      <c r="A3824" s="1" t="s">
        <v>3848</v>
      </c>
      <c r="B3824" s="2" t="s">
        <v>12</v>
      </c>
      <c r="C3824" s="2" t="s">
        <v>13</v>
      </c>
      <c r="D3824" s="2">
        <v>6</v>
      </c>
      <c r="E3824" s="2" t="s">
        <v>26</v>
      </c>
      <c r="F3824" s="2" t="s">
        <v>15</v>
      </c>
      <c r="G3824" s="7">
        <v>94.05</v>
      </c>
      <c r="H3824" s="7">
        <v>518.75</v>
      </c>
      <c r="I3824" s="2" t="s">
        <v>15</v>
      </c>
      <c r="J3824" s="2" t="s">
        <v>16</v>
      </c>
      <c r="K3824" s="2" t="s">
        <v>21</v>
      </c>
      <c r="L3824" s="7">
        <v>518.75</v>
      </c>
      <c r="M3824" s="2" t="str">
        <f>_xlfn.IFS(TelecomData[[#This Row],[TenureMonths]]&lt;=12, "0-1 Year", TelecomData[[#This Row],[TenureMonths]]&lt;=36, "1-3 Years", TelecomData[[#This Row],[TenureMonths]]&gt;36, "3+ Years")</f>
        <v>0-1 Year</v>
      </c>
      <c r="N3824" s="2" t="str">
        <f>IF(TelecomData[[#This Row],[CleanedTotalCharges]]&gt;=2500,"High Spend", "Standard Spend")</f>
        <v>Standard Spend</v>
      </c>
    </row>
    <row r="3825" spans="1:14" x14ac:dyDescent="0.3">
      <c r="A3825" s="1" t="s">
        <v>3849</v>
      </c>
      <c r="B3825" s="2" t="s">
        <v>19</v>
      </c>
      <c r="C3825" s="2" t="s">
        <v>35</v>
      </c>
      <c r="D3825" s="2">
        <v>72</v>
      </c>
      <c r="E3825" s="2" t="s">
        <v>14</v>
      </c>
      <c r="F3825" s="2" t="s">
        <v>16</v>
      </c>
      <c r="G3825" s="7">
        <v>78.849999999999994</v>
      </c>
      <c r="H3825" s="7">
        <v>5763.15</v>
      </c>
      <c r="I3825" s="2" t="s">
        <v>15</v>
      </c>
      <c r="J3825" s="2" t="s">
        <v>15</v>
      </c>
      <c r="K3825" s="2" t="s">
        <v>24</v>
      </c>
      <c r="L3825" s="7">
        <v>5763.15</v>
      </c>
      <c r="M3825" s="2" t="str">
        <f>_xlfn.IFS(TelecomData[[#This Row],[TenureMonths]]&lt;=12, "0-1 Year", TelecomData[[#This Row],[TenureMonths]]&lt;=36, "1-3 Years", TelecomData[[#This Row],[TenureMonths]]&gt;36, "3+ Years")</f>
        <v>3+ Years</v>
      </c>
      <c r="N3825" s="2" t="str">
        <f>IF(TelecomData[[#This Row],[CleanedTotalCharges]]&gt;=2500,"High Spend", "Standard Spend")</f>
        <v>High Spend</v>
      </c>
    </row>
    <row r="3826" spans="1:14" x14ac:dyDescent="0.3">
      <c r="A3826" s="1" t="s">
        <v>3850</v>
      </c>
      <c r="B3826" s="2" t="s">
        <v>19</v>
      </c>
      <c r="C3826" s="2" t="s">
        <v>13</v>
      </c>
      <c r="D3826" s="2">
        <v>4</v>
      </c>
      <c r="E3826" s="2" t="s">
        <v>14</v>
      </c>
      <c r="F3826" s="2" t="s">
        <v>15</v>
      </c>
      <c r="G3826" s="7">
        <v>55.3</v>
      </c>
      <c r="H3826" s="7">
        <v>238.5</v>
      </c>
      <c r="I3826" s="2" t="s">
        <v>15</v>
      </c>
      <c r="J3826" s="2" t="s">
        <v>16</v>
      </c>
      <c r="K3826" s="2" t="s">
        <v>21</v>
      </c>
      <c r="L3826" s="7">
        <v>238.5</v>
      </c>
      <c r="M3826" s="2" t="str">
        <f>_xlfn.IFS(TelecomData[[#This Row],[TenureMonths]]&lt;=12, "0-1 Year", TelecomData[[#This Row],[TenureMonths]]&lt;=36, "1-3 Years", TelecomData[[#This Row],[TenureMonths]]&gt;36, "3+ Years")</f>
        <v>0-1 Year</v>
      </c>
      <c r="N3826" s="2" t="str">
        <f>IF(TelecomData[[#This Row],[CleanedTotalCharges]]&gt;=2500,"High Spend", "Standard Spend")</f>
        <v>Standard Spend</v>
      </c>
    </row>
    <row r="3827" spans="1:14" x14ac:dyDescent="0.3">
      <c r="A3827" s="1" t="s">
        <v>3851</v>
      </c>
      <c r="B3827" s="2" t="s">
        <v>12</v>
      </c>
      <c r="C3827" s="2" t="s">
        <v>35</v>
      </c>
      <c r="D3827" s="2">
        <v>52</v>
      </c>
      <c r="E3827" s="2" t="s">
        <v>15</v>
      </c>
      <c r="F3827" s="2" t="s">
        <v>36</v>
      </c>
      <c r="G3827" s="7">
        <v>19.350000000000001</v>
      </c>
      <c r="H3827" s="7">
        <v>1031.7</v>
      </c>
      <c r="I3827" s="2" t="s">
        <v>15</v>
      </c>
      <c r="J3827" s="2" t="s">
        <v>15</v>
      </c>
      <c r="K3827" s="2" t="s">
        <v>21</v>
      </c>
      <c r="L3827" s="7">
        <v>1031.7</v>
      </c>
      <c r="M3827" s="2" t="str">
        <f>_xlfn.IFS(TelecomData[[#This Row],[TenureMonths]]&lt;=12, "0-1 Year", TelecomData[[#This Row],[TenureMonths]]&lt;=36, "1-3 Years", TelecomData[[#This Row],[TenureMonths]]&gt;36, "3+ Years")</f>
        <v>3+ Years</v>
      </c>
      <c r="N3827" s="2" t="str">
        <f>IF(TelecomData[[#This Row],[CleanedTotalCharges]]&gt;=2500,"High Spend", "Standard Spend")</f>
        <v>Standard Spend</v>
      </c>
    </row>
    <row r="3828" spans="1:14" x14ac:dyDescent="0.3">
      <c r="A3828" s="1" t="s">
        <v>3852</v>
      </c>
      <c r="B3828" s="2" t="s">
        <v>19</v>
      </c>
      <c r="C3828" s="2" t="s">
        <v>35</v>
      </c>
      <c r="D3828" s="2">
        <v>0</v>
      </c>
      <c r="E3828" s="2" t="s">
        <v>15</v>
      </c>
      <c r="F3828" s="2" t="s">
        <v>36</v>
      </c>
      <c r="G3828" s="7">
        <v>25.35</v>
      </c>
      <c r="H3828" s="7" t="s">
        <v>514</v>
      </c>
      <c r="I3828" s="2" t="s">
        <v>15</v>
      </c>
      <c r="J3828" s="2" t="s">
        <v>15</v>
      </c>
      <c r="K3828" s="2" t="s">
        <v>21</v>
      </c>
      <c r="L3828" s="7">
        <v>0</v>
      </c>
      <c r="M3828" s="2" t="str">
        <f>_xlfn.IFS(TelecomData[[#This Row],[TenureMonths]]&lt;=12, "0-1 Year", TelecomData[[#This Row],[TenureMonths]]&lt;=36, "1-3 Years", TelecomData[[#This Row],[TenureMonths]]&gt;36, "3+ Years")</f>
        <v>0-1 Year</v>
      </c>
      <c r="N3828" s="2" t="str">
        <f>IF(TelecomData[[#This Row],[CleanedTotalCharges]]&gt;=2500,"High Spend", "Standard Spend")</f>
        <v>Standard Spend</v>
      </c>
    </row>
    <row r="3829" spans="1:14" x14ac:dyDescent="0.3">
      <c r="A3829" s="1" t="s">
        <v>3853</v>
      </c>
      <c r="B3829" s="2" t="s">
        <v>12</v>
      </c>
      <c r="C3829" s="2" t="s">
        <v>20</v>
      </c>
      <c r="D3829" s="2">
        <v>2</v>
      </c>
      <c r="E3829" s="2" t="s">
        <v>15</v>
      </c>
      <c r="F3829" s="2" t="s">
        <v>36</v>
      </c>
      <c r="G3829" s="7">
        <v>20.45</v>
      </c>
      <c r="H3829" s="7">
        <v>34.799999999999997</v>
      </c>
      <c r="I3829" s="2" t="s">
        <v>15</v>
      </c>
      <c r="J3829" s="2" t="s">
        <v>15</v>
      </c>
      <c r="K3829" s="2" t="s">
        <v>21</v>
      </c>
      <c r="L3829" s="7">
        <v>34.799999999999997</v>
      </c>
      <c r="M3829" s="2" t="str">
        <f>_xlfn.IFS(TelecomData[[#This Row],[TenureMonths]]&lt;=12, "0-1 Year", TelecomData[[#This Row],[TenureMonths]]&lt;=36, "1-3 Years", TelecomData[[#This Row],[TenureMonths]]&gt;36, "3+ Years")</f>
        <v>0-1 Year</v>
      </c>
      <c r="N3829" s="2" t="str">
        <f>IF(TelecomData[[#This Row],[CleanedTotalCharges]]&gt;=2500,"High Spend", "Standard Spend")</f>
        <v>Standard Spend</v>
      </c>
    </row>
    <row r="3830" spans="1:14" x14ac:dyDescent="0.3">
      <c r="A3830" s="1" t="s">
        <v>3854</v>
      </c>
      <c r="B3830" s="2" t="s">
        <v>12</v>
      </c>
      <c r="C3830" s="2" t="s">
        <v>35</v>
      </c>
      <c r="D3830" s="2">
        <v>65</v>
      </c>
      <c r="E3830" s="2" t="s">
        <v>15</v>
      </c>
      <c r="F3830" s="2" t="s">
        <v>36</v>
      </c>
      <c r="G3830" s="7">
        <v>19.350000000000001</v>
      </c>
      <c r="H3830" s="7">
        <v>1319.95</v>
      </c>
      <c r="I3830" s="2" t="s">
        <v>15</v>
      </c>
      <c r="J3830" s="2" t="s">
        <v>15</v>
      </c>
      <c r="K3830" s="2" t="s">
        <v>24</v>
      </c>
      <c r="L3830" s="7">
        <v>1319.95</v>
      </c>
      <c r="M3830" s="2" t="str">
        <f>_xlfn.IFS(TelecomData[[#This Row],[TenureMonths]]&lt;=12, "0-1 Year", TelecomData[[#This Row],[TenureMonths]]&lt;=36, "1-3 Years", TelecomData[[#This Row],[TenureMonths]]&gt;36, "3+ Years")</f>
        <v>3+ Years</v>
      </c>
      <c r="N3830" s="2" t="str">
        <f>IF(TelecomData[[#This Row],[CleanedTotalCharges]]&gt;=2500,"High Spend", "Standard Spend")</f>
        <v>Standard Spend</v>
      </c>
    </row>
    <row r="3831" spans="1:14" x14ac:dyDescent="0.3">
      <c r="A3831" s="1" t="s">
        <v>3855</v>
      </c>
      <c r="B3831" s="2" t="s">
        <v>19</v>
      </c>
      <c r="C3831" s="2" t="s">
        <v>13</v>
      </c>
      <c r="D3831" s="2">
        <v>43</v>
      </c>
      <c r="E3831" s="2" t="s">
        <v>26</v>
      </c>
      <c r="F3831" s="2" t="s">
        <v>15</v>
      </c>
      <c r="G3831" s="7">
        <v>101</v>
      </c>
      <c r="H3831" s="7">
        <v>4388.3999999999996</v>
      </c>
      <c r="I3831" s="2" t="s">
        <v>16</v>
      </c>
      <c r="J3831" s="2" t="s">
        <v>16</v>
      </c>
      <c r="K3831" s="2" t="s">
        <v>17</v>
      </c>
      <c r="L3831" s="7">
        <v>4388.3999999999996</v>
      </c>
      <c r="M3831" s="2" t="str">
        <f>_xlfn.IFS(TelecomData[[#This Row],[TenureMonths]]&lt;=12, "0-1 Year", TelecomData[[#This Row],[TenureMonths]]&lt;=36, "1-3 Years", TelecomData[[#This Row],[TenureMonths]]&gt;36, "3+ Years")</f>
        <v>3+ Years</v>
      </c>
      <c r="N3831" s="2" t="str">
        <f>IF(TelecomData[[#This Row],[CleanedTotalCharges]]&gt;=2500,"High Spend", "Standard Spend")</f>
        <v>High Spend</v>
      </c>
    </row>
    <row r="3832" spans="1:14" x14ac:dyDescent="0.3">
      <c r="A3832" s="1" t="s">
        <v>3856</v>
      </c>
      <c r="B3832" s="2" t="s">
        <v>19</v>
      </c>
      <c r="C3832" s="2" t="s">
        <v>13</v>
      </c>
      <c r="D3832" s="2">
        <v>4</v>
      </c>
      <c r="E3832" s="2" t="s">
        <v>26</v>
      </c>
      <c r="F3832" s="2" t="s">
        <v>15</v>
      </c>
      <c r="G3832" s="7">
        <v>100.2</v>
      </c>
      <c r="H3832" s="7">
        <v>420.2</v>
      </c>
      <c r="I3832" s="2" t="s">
        <v>16</v>
      </c>
      <c r="J3832" s="2" t="s">
        <v>16</v>
      </c>
      <c r="K3832" s="2" t="s">
        <v>17</v>
      </c>
      <c r="L3832" s="7">
        <v>420.2</v>
      </c>
      <c r="M3832" s="2" t="str">
        <f>_xlfn.IFS(TelecomData[[#This Row],[TenureMonths]]&lt;=12, "0-1 Year", TelecomData[[#This Row],[TenureMonths]]&lt;=36, "1-3 Years", TelecomData[[#This Row],[TenureMonths]]&gt;36, "3+ Years")</f>
        <v>0-1 Year</v>
      </c>
      <c r="N3832" s="2" t="str">
        <f>IF(TelecomData[[#This Row],[CleanedTotalCharges]]&gt;=2500,"High Spend", "Standard Spend")</f>
        <v>Standard Spend</v>
      </c>
    </row>
    <row r="3833" spans="1:14" x14ac:dyDescent="0.3">
      <c r="A3833" s="1" t="s">
        <v>3857</v>
      </c>
      <c r="B3833" s="2" t="s">
        <v>19</v>
      </c>
      <c r="C3833" s="2" t="s">
        <v>20</v>
      </c>
      <c r="D3833" s="2">
        <v>25</v>
      </c>
      <c r="E3833" s="2" t="s">
        <v>26</v>
      </c>
      <c r="F3833" s="2" t="s">
        <v>15</v>
      </c>
      <c r="G3833" s="7">
        <v>89.05</v>
      </c>
      <c r="H3833" s="7">
        <v>2177.4499999999998</v>
      </c>
      <c r="I3833" s="2" t="s">
        <v>16</v>
      </c>
      <c r="J3833" s="2" t="s">
        <v>16</v>
      </c>
      <c r="K3833" s="2" t="s">
        <v>17</v>
      </c>
      <c r="L3833" s="7">
        <v>2177.4499999999998</v>
      </c>
      <c r="M3833" s="2" t="str">
        <f>_xlfn.IFS(TelecomData[[#This Row],[TenureMonths]]&lt;=12, "0-1 Year", TelecomData[[#This Row],[TenureMonths]]&lt;=36, "1-3 Years", TelecomData[[#This Row],[TenureMonths]]&gt;36, "3+ Years")</f>
        <v>1-3 Years</v>
      </c>
      <c r="N3833" s="2" t="str">
        <f>IF(TelecomData[[#This Row],[CleanedTotalCharges]]&gt;=2500,"High Spend", "Standard Spend")</f>
        <v>Standard Spend</v>
      </c>
    </row>
    <row r="3834" spans="1:14" x14ac:dyDescent="0.3">
      <c r="A3834" s="1" t="s">
        <v>3858</v>
      </c>
      <c r="B3834" s="2" t="s">
        <v>12</v>
      </c>
      <c r="C3834" s="2" t="s">
        <v>20</v>
      </c>
      <c r="D3834" s="2">
        <v>51</v>
      </c>
      <c r="E3834" s="2" t="s">
        <v>14</v>
      </c>
      <c r="F3834" s="2" t="s">
        <v>16</v>
      </c>
      <c r="G3834" s="7">
        <v>78.650000000000006</v>
      </c>
      <c r="H3834" s="7">
        <v>3950.85</v>
      </c>
      <c r="I3834" s="2" t="s">
        <v>15</v>
      </c>
      <c r="J3834" s="2" t="s">
        <v>16</v>
      </c>
      <c r="K3834" s="2" t="s">
        <v>29</v>
      </c>
      <c r="L3834" s="7">
        <v>3950.85</v>
      </c>
      <c r="M3834" s="2" t="str">
        <f>_xlfn.IFS(TelecomData[[#This Row],[TenureMonths]]&lt;=12, "0-1 Year", TelecomData[[#This Row],[TenureMonths]]&lt;=36, "1-3 Years", TelecomData[[#This Row],[TenureMonths]]&gt;36, "3+ Years")</f>
        <v>3+ Years</v>
      </c>
      <c r="N3834" s="2" t="str">
        <f>IF(TelecomData[[#This Row],[CleanedTotalCharges]]&gt;=2500,"High Spend", "Standard Spend")</f>
        <v>High Spend</v>
      </c>
    </row>
    <row r="3835" spans="1:14" x14ac:dyDescent="0.3">
      <c r="A3835" s="1" t="s">
        <v>3859</v>
      </c>
      <c r="B3835" s="2" t="s">
        <v>19</v>
      </c>
      <c r="C3835" s="2" t="s">
        <v>13</v>
      </c>
      <c r="D3835" s="2">
        <v>12</v>
      </c>
      <c r="E3835" s="2" t="s">
        <v>14</v>
      </c>
      <c r="F3835" s="2" t="s">
        <v>15</v>
      </c>
      <c r="G3835" s="7">
        <v>74.75</v>
      </c>
      <c r="H3835" s="7">
        <v>827.05</v>
      </c>
      <c r="I3835" s="2" t="s">
        <v>15</v>
      </c>
      <c r="J3835" s="2" t="s">
        <v>15</v>
      </c>
      <c r="K3835" s="2" t="s">
        <v>24</v>
      </c>
      <c r="L3835" s="7">
        <v>827.05</v>
      </c>
      <c r="M3835" s="2" t="str">
        <f>_xlfn.IFS(TelecomData[[#This Row],[TenureMonths]]&lt;=12, "0-1 Year", TelecomData[[#This Row],[TenureMonths]]&lt;=36, "1-3 Years", TelecomData[[#This Row],[TenureMonths]]&gt;36, "3+ Years")</f>
        <v>0-1 Year</v>
      </c>
      <c r="N3835" s="2" t="str">
        <f>IF(TelecomData[[#This Row],[CleanedTotalCharges]]&gt;=2500,"High Spend", "Standard Spend")</f>
        <v>Standard Spend</v>
      </c>
    </row>
    <row r="3836" spans="1:14" x14ac:dyDescent="0.3">
      <c r="A3836" s="1" t="s">
        <v>3860</v>
      </c>
      <c r="B3836" s="2" t="s">
        <v>12</v>
      </c>
      <c r="C3836" s="2" t="s">
        <v>20</v>
      </c>
      <c r="D3836" s="2">
        <v>57</v>
      </c>
      <c r="E3836" s="2" t="s">
        <v>14</v>
      </c>
      <c r="F3836" s="2" t="s">
        <v>15</v>
      </c>
      <c r="G3836" s="7">
        <v>70.099999999999994</v>
      </c>
      <c r="H3836" s="7">
        <v>3913.3</v>
      </c>
      <c r="I3836" s="2" t="s">
        <v>16</v>
      </c>
      <c r="J3836" s="2" t="s">
        <v>16</v>
      </c>
      <c r="K3836" s="2" t="s">
        <v>24</v>
      </c>
      <c r="L3836" s="7">
        <v>3913.3</v>
      </c>
      <c r="M3836" s="2" t="str">
        <f>_xlfn.IFS(TelecomData[[#This Row],[TenureMonths]]&lt;=12, "0-1 Year", TelecomData[[#This Row],[TenureMonths]]&lt;=36, "1-3 Years", TelecomData[[#This Row],[TenureMonths]]&gt;36, "3+ Years")</f>
        <v>3+ Years</v>
      </c>
      <c r="N3836" s="2" t="str">
        <f>IF(TelecomData[[#This Row],[CleanedTotalCharges]]&gt;=2500,"High Spend", "Standard Spend")</f>
        <v>High Spend</v>
      </c>
    </row>
    <row r="3837" spans="1:14" x14ac:dyDescent="0.3">
      <c r="A3837" s="1" t="s">
        <v>3861</v>
      </c>
      <c r="B3837" s="2" t="s">
        <v>12</v>
      </c>
      <c r="C3837" s="2" t="s">
        <v>20</v>
      </c>
      <c r="D3837" s="2">
        <v>24</v>
      </c>
      <c r="E3837" s="2" t="s">
        <v>15</v>
      </c>
      <c r="F3837" s="2" t="s">
        <v>36</v>
      </c>
      <c r="G3837" s="7">
        <v>19.899999999999999</v>
      </c>
      <c r="H3837" s="7">
        <v>533.5</v>
      </c>
      <c r="I3837" s="2" t="s">
        <v>15</v>
      </c>
      <c r="J3837" s="2" t="s">
        <v>15</v>
      </c>
      <c r="K3837" s="2" t="s">
        <v>21</v>
      </c>
      <c r="L3837" s="7">
        <v>533.5</v>
      </c>
      <c r="M3837" s="2" t="str">
        <f>_xlfn.IFS(TelecomData[[#This Row],[TenureMonths]]&lt;=12, "0-1 Year", TelecomData[[#This Row],[TenureMonths]]&lt;=36, "1-3 Years", TelecomData[[#This Row],[TenureMonths]]&gt;36, "3+ Years")</f>
        <v>1-3 Years</v>
      </c>
      <c r="N3837" s="2" t="str">
        <f>IF(TelecomData[[#This Row],[CleanedTotalCharges]]&gt;=2500,"High Spend", "Standard Spend")</f>
        <v>Standard Spend</v>
      </c>
    </row>
    <row r="3838" spans="1:14" x14ac:dyDescent="0.3">
      <c r="A3838" s="1" t="s">
        <v>3862</v>
      </c>
      <c r="B3838" s="2" t="s">
        <v>12</v>
      </c>
      <c r="C3838" s="2" t="s">
        <v>20</v>
      </c>
      <c r="D3838" s="2">
        <v>64</v>
      </c>
      <c r="E3838" s="2" t="s">
        <v>14</v>
      </c>
      <c r="F3838" s="2" t="s">
        <v>16</v>
      </c>
      <c r="G3838" s="7">
        <v>58.35</v>
      </c>
      <c r="H3838" s="7">
        <v>3756.45</v>
      </c>
      <c r="I3838" s="2" t="s">
        <v>15</v>
      </c>
      <c r="J3838" s="2" t="s">
        <v>15</v>
      </c>
      <c r="K3838" s="2" t="s">
        <v>24</v>
      </c>
      <c r="L3838" s="7">
        <v>3756.45</v>
      </c>
      <c r="M3838" s="2" t="str">
        <f>_xlfn.IFS(TelecomData[[#This Row],[TenureMonths]]&lt;=12, "0-1 Year", TelecomData[[#This Row],[TenureMonths]]&lt;=36, "1-3 Years", TelecomData[[#This Row],[TenureMonths]]&gt;36, "3+ Years")</f>
        <v>3+ Years</v>
      </c>
      <c r="N3838" s="2" t="str">
        <f>IF(TelecomData[[#This Row],[CleanedTotalCharges]]&gt;=2500,"High Spend", "Standard Spend")</f>
        <v>High Spend</v>
      </c>
    </row>
    <row r="3839" spans="1:14" x14ac:dyDescent="0.3">
      <c r="A3839" s="1" t="s">
        <v>3863</v>
      </c>
      <c r="B3839" s="2" t="s">
        <v>12</v>
      </c>
      <c r="C3839" s="2" t="s">
        <v>20</v>
      </c>
      <c r="D3839" s="2">
        <v>4</v>
      </c>
      <c r="E3839" s="2" t="s">
        <v>26</v>
      </c>
      <c r="F3839" s="2" t="s">
        <v>16</v>
      </c>
      <c r="G3839" s="7">
        <v>105.65</v>
      </c>
      <c r="H3839" s="7">
        <v>443.9</v>
      </c>
      <c r="I3839" s="2" t="s">
        <v>16</v>
      </c>
      <c r="J3839" s="2" t="s">
        <v>16</v>
      </c>
      <c r="K3839" s="2" t="s">
        <v>17</v>
      </c>
      <c r="L3839" s="7">
        <v>443.9</v>
      </c>
      <c r="M3839" s="2" t="str">
        <f>_xlfn.IFS(TelecomData[[#This Row],[TenureMonths]]&lt;=12, "0-1 Year", TelecomData[[#This Row],[TenureMonths]]&lt;=36, "1-3 Years", TelecomData[[#This Row],[TenureMonths]]&gt;36, "3+ Years")</f>
        <v>0-1 Year</v>
      </c>
      <c r="N3839" s="2" t="str">
        <f>IF(TelecomData[[#This Row],[CleanedTotalCharges]]&gt;=2500,"High Spend", "Standard Spend")</f>
        <v>Standard Spend</v>
      </c>
    </row>
    <row r="3840" spans="1:14" x14ac:dyDescent="0.3">
      <c r="A3840" s="1" t="s">
        <v>3864</v>
      </c>
      <c r="B3840" s="2" t="s">
        <v>12</v>
      </c>
      <c r="C3840" s="2" t="s">
        <v>13</v>
      </c>
      <c r="D3840" s="2">
        <v>26</v>
      </c>
      <c r="E3840" s="2" t="s">
        <v>26</v>
      </c>
      <c r="F3840" s="2" t="s">
        <v>15</v>
      </c>
      <c r="G3840" s="7">
        <v>100.5</v>
      </c>
      <c r="H3840" s="7">
        <v>2599.9499999999998</v>
      </c>
      <c r="I3840" s="2" t="s">
        <v>15</v>
      </c>
      <c r="J3840" s="2" t="s">
        <v>16</v>
      </c>
      <c r="K3840" s="2" t="s">
        <v>24</v>
      </c>
      <c r="L3840" s="7">
        <v>2599.9499999999998</v>
      </c>
      <c r="M3840" s="2" t="str">
        <f>_xlfn.IFS(TelecomData[[#This Row],[TenureMonths]]&lt;=12, "0-1 Year", TelecomData[[#This Row],[TenureMonths]]&lt;=36, "1-3 Years", TelecomData[[#This Row],[TenureMonths]]&gt;36, "3+ Years")</f>
        <v>1-3 Years</v>
      </c>
      <c r="N3840" s="2" t="str">
        <f>IF(TelecomData[[#This Row],[CleanedTotalCharges]]&gt;=2500,"High Spend", "Standard Spend")</f>
        <v>High Spend</v>
      </c>
    </row>
    <row r="3841" spans="1:14" x14ac:dyDescent="0.3">
      <c r="A3841" s="1" t="s">
        <v>3865</v>
      </c>
      <c r="B3841" s="2" t="s">
        <v>12</v>
      </c>
      <c r="C3841" s="2" t="s">
        <v>13</v>
      </c>
      <c r="D3841" s="2">
        <v>15</v>
      </c>
      <c r="E3841" s="2" t="s">
        <v>15</v>
      </c>
      <c r="F3841" s="2" t="s">
        <v>36</v>
      </c>
      <c r="G3841" s="7">
        <v>20.05</v>
      </c>
      <c r="H3841" s="7">
        <v>284.3</v>
      </c>
      <c r="I3841" s="2" t="s">
        <v>15</v>
      </c>
      <c r="J3841" s="2" t="s">
        <v>15</v>
      </c>
      <c r="K3841" s="2" t="s">
        <v>21</v>
      </c>
      <c r="L3841" s="7">
        <v>284.3</v>
      </c>
      <c r="M3841" s="2" t="str">
        <f>_xlfn.IFS(TelecomData[[#This Row],[TenureMonths]]&lt;=12, "0-1 Year", TelecomData[[#This Row],[TenureMonths]]&lt;=36, "1-3 Years", TelecomData[[#This Row],[TenureMonths]]&gt;36, "3+ Years")</f>
        <v>1-3 Years</v>
      </c>
      <c r="N3841" s="2" t="str">
        <f>IF(TelecomData[[#This Row],[CleanedTotalCharges]]&gt;=2500,"High Spend", "Standard Spend")</f>
        <v>Standard Spend</v>
      </c>
    </row>
    <row r="3842" spans="1:14" x14ac:dyDescent="0.3">
      <c r="A3842" s="1" t="s">
        <v>3866</v>
      </c>
      <c r="B3842" s="2" t="s">
        <v>19</v>
      </c>
      <c r="C3842" s="2" t="s">
        <v>35</v>
      </c>
      <c r="D3842" s="2">
        <v>64</v>
      </c>
      <c r="E3842" s="2" t="s">
        <v>15</v>
      </c>
      <c r="F3842" s="2" t="s">
        <v>36</v>
      </c>
      <c r="G3842" s="7">
        <v>25.65</v>
      </c>
      <c r="H3842" s="7">
        <v>1740.8</v>
      </c>
      <c r="I3842" s="2" t="s">
        <v>15</v>
      </c>
      <c r="J3842" s="2" t="s">
        <v>15</v>
      </c>
      <c r="K3842" s="2" t="s">
        <v>29</v>
      </c>
      <c r="L3842" s="7">
        <v>1740.8</v>
      </c>
      <c r="M3842" s="2" t="str">
        <f>_xlfn.IFS(TelecomData[[#This Row],[TenureMonths]]&lt;=12, "0-1 Year", TelecomData[[#This Row],[TenureMonths]]&lt;=36, "1-3 Years", TelecomData[[#This Row],[TenureMonths]]&gt;36, "3+ Years")</f>
        <v>3+ Years</v>
      </c>
      <c r="N3842" s="2" t="str">
        <f>IF(TelecomData[[#This Row],[CleanedTotalCharges]]&gt;=2500,"High Spend", "Standard Spend")</f>
        <v>Standard Spend</v>
      </c>
    </row>
    <row r="3843" spans="1:14" x14ac:dyDescent="0.3">
      <c r="A3843" s="1" t="s">
        <v>3867</v>
      </c>
      <c r="B3843" s="2" t="s">
        <v>19</v>
      </c>
      <c r="C3843" s="2" t="s">
        <v>13</v>
      </c>
      <c r="D3843" s="2">
        <v>36</v>
      </c>
      <c r="E3843" s="2" t="s">
        <v>26</v>
      </c>
      <c r="F3843" s="2" t="s">
        <v>15</v>
      </c>
      <c r="G3843" s="7">
        <v>96.5</v>
      </c>
      <c r="H3843" s="7">
        <v>3436.1</v>
      </c>
      <c r="I3843" s="2" t="s">
        <v>16</v>
      </c>
      <c r="J3843" s="2" t="s">
        <v>16</v>
      </c>
      <c r="K3843" s="2" t="s">
        <v>17</v>
      </c>
      <c r="L3843" s="7">
        <v>3436.1</v>
      </c>
      <c r="M3843" s="2" t="str">
        <f>_xlfn.IFS(TelecomData[[#This Row],[TenureMonths]]&lt;=12, "0-1 Year", TelecomData[[#This Row],[TenureMonths]]&lt;=36, "1-3 Years", TelecomData[[#This Row],[TenureMonths]]&gt;36, "3+ Years")</f>
        <v>1-3 Years</v>
      </c>
      <c r="N3843" s="2" t="str">
        <f>IF(TelecomData[[#This Row],[CleanedTotalCharges]]&gt;=2500,"High Spend", "Standard Spend")</f>
        <v>High Spend</v>
      </c>
    </row>
    <row r="3844" spans="1:14" x14ac:dyDescent="0.3">
      <c r="A3844" s="1" t="s">
        <v>3868</v>
      </c>
      <c r="B3844" s="2" t="s">
        <v>12</v>
      </c>
      <c r="C3844" s="2" t="s">
        <v>13</v>
      </c>
      <c r="D3844" s="2">
        <v>27</v>
      </c>
      <c r="E3844" s="2" t="s">
        <v>26</v>
      </c>
      <c r="F3844" s="2" t="s">
        <v>15</v>
      </c>
      <c r="G3844" s="7">
        <v>95</v>
      </c>
      <c r="H3844" s="7">
        <v>2462.5500000000002</v>
      </c>
      <c r="I3844" s="2" t="s">
        <v>15</v>
      </c>
      <c r="J3844" s="2" t="s">
        <v>15</v>
      </c>
      <c r="K3844" s="2" t="s">
        <v>29</v>
      </c>
      <c r="L3844" s="7">
        <v>2462.5500000000002</v>
      </c>
      <c r="M3844" s="2" t="str">
        <f>_xlfn.IFS(TelecomData[[#This Row],[TenureMonths]]&lt;=12, "0-1 Year", TelecomData[[#This Row],[TenureMonths]]&lt;=36, "1-3 Years", TelecomData[[#This Row],[TenureMonths]]&gt;36, "3+ Years")</f>
        <v>1-3 Years</v>
      </c>
      <c r="N3844" s="2" t="str">
        <f>IF(TelecomData[[#This Row],[CleanedTotalCharges]]&gt;=2500,"High Spend", "Standard Spend")</f>
        <v>Standard Spend</v>
      </c>
    </row>
    <row r="3845" spans="1:14" x14ac:dyDescent="0.3">
      <c r="A3845" s="1" t="s">
        <v>3869</v>
      </c>
      <c r="B3845" s="2" t="s">
        <v>19</v>
      </c>
      <c r="C3845" s="2" t="s">
        <v>13</v>
      </c>
      <c r="D3845" s="2">
        <v>1</v>
      </c>
      <c r="E3845" s="2" t="s">
        <v>26</v>
      </c>
      <c r="F3845" s="2" t="s">
        <v>15</v>
      </c>
      <c r="G3845" s="7">
        <v>70.849999999999994</v>
      </c>
      <c r="H3845" s="7">
        <v>70.849999999999994</v>
      </c>
      <c r="I3845" s="2" t="s">
        <v>16</v>
      </c>
      <c r="J3845" s="2" t="s">
        <v>15</v>
      </c>
      <c r="K3845" s="2" t="s">
        <v>21</v>
      </c>
      <c r="L3845" s="7">
        <v>70.849999999999994</v>
      </c>
      <c r="M3845" s="2" t="str">
        <f>_xlfn.IFS(TelecomData[[#This Row],[TenureMonths]]&lt;=12, "0-1 Year", TelecomData[[#This Row],[TenureMonths]]&lt;=36, "1-3 Years", TelecomData[[#This Row],[TenureMonths]]&gt;36, "3+ Years")</f>
        <v>0-1 Year</v>
      </c>
      <c r="N3845" s="2" t="str">
        <f>IF(TelecomData[[#This Row],[CleanedTotalCharges]]&gt;=2500,"High Spend", "Standard Spend")</f>
        <v>Standard Spend</v>
      </c>
    </row>
    <row r="3846" spans="1:14" x14ac:dyDescent="0.3">
      <c r="A3846" s="1" t="s">
        <v>3870</v>
      </c>
      <c r="B3846" s="2" t="s">
        <v>12</v>
      </c>
      <c r="C3846" s="2" t="s">
        <v>20</v>
      </c>
      <c r="D3846" s="2">
        <v>35</v>
      </c>
      <c r="E3846" s="2" t="s">
        <v>14</v>
      </c>
      <c r="F3846" s="2" t="s">
        <v>16</v>
      </c>
      <c r="G3846" s="7">
        <v>85.95</v>
      </c>
      <c r="H3846" s="7">
        <v>3110.1</v>
      </c>
      <c r="I3846" s="2" t="s">
        <v>16</v>
      </c>
      <c r="J3846" s="2" t="s">
        <v>16</v>
      </c>
      <c r="K3846" s="2" t="s">
        <v>29</v>
      </c>
      <c r="L3846" s="7">
        <v>3110.1</v>
      </c>
      <c r="M3846" s="2" t="str">
        <f>_xlfn.IFS(TelecomData[[#This Row],[TenureMonths]]&lt;=12, "0-1 Year", TelecomData[[#This Row],[TenureMonths]]&lt;=36, "1-3 Years", TelecomData[[#This Row],[TenureMonths]]&gt;36, "3+ Years")</f>
        <v>1-3 Years</v>
      </c>
      <c r="N3846" s="2" t="str">
        <f>IF(TelecomData[[#This Row],[CleanedTotalCharges]]&gt;=2500,"High Spend", "Standard Spend")</f>
        <v>High Spend</v>
      </c>
    </row>
    <row r="3847" spans="1:14" x14ac:dyDescent="0.3">
      <c r="A3847" s="1" t="s">
        <v>3871</v>
      </c>
      <c r="B3847" s="2" t="s">
        <v>19</v>
      </c>
      <c r="C3847" s="2" t="s">
        <v>13</v>
      </c>
      <c r="D3847" s="2">
        <v>4</v>
      </c>
      <c r="E3847" s="2" t="s">
        <v>26</v>
      </c>
      <c r="F3847" s="2" t="s">
        <v>15</v>
      </c>
      <c r="G3847" s="7">
        <v>73.900000000000006</v>
      </c>
      <c r="H3847" s="7">
        <v>280.85000000000002</v>
      </c>
      <c r="I3847" s="2" t="s">
        <v>16</v>
      </c>
      <c r="J3847" s="2" t="s">
        <v>16</v>
      </c>
      <c r="K3847" s="2" t="s">
        <v>17</v>
      </c>
      <c r="L3847" s="7">
        <v>280.85000000000002</v>
      </c>
      <c r="M3847" s="2" t="str">
        <f>_xlfn.IFS(TelecomData[[#This Row],[TenureMonths]]&lt;=12, "0-1 Year", TelecomData[[#This Row],[TenureMonths]]&lt;=36, "1-3 Years", TelecomData[[#This Row],[TenureMonths]]&gt;36, "3+ Years")</f>
        <v>0-1 Year</v>
      </c>
      <c r="N3847" s="2" t="str">
        <f>IF(TelecomData[[#This Row],[CleanedTotalCharges]]&gt;=2500,"High Spend", "Standard Spend")</f>
        <v>Standard Spend</v>
      </c>
    </row>
    <row r="3848" spans="1:14" x14ac:dyDescent="0.3">
      <c r="A3848" s="1" t="s">
        <v>3872</v>
      </c>
      <c r="B3848" s="2" t="s">
        <v>12</v>
      </c>
      <c r="C3848" s="2" t="s">
        <v>13</v>
      </c>
      <c r="D3848" s="2">
        <v>8</v>
      </c>
      <c r="E3848" s="2" t="s">
        <v>14</v>
      </c>
      <c r="F3848" s="2" t="s">
        <v>15</v>
      </c>
      <c r="G3848" s="7">
        <v>45.45</v>
      </c>
      <c r="H3848" s="7">
        <v>411.75</v>
      </c>
      <c r="I3848" s="2" t="s">
        <v>15</v>
      </c>
      <c r="J3848" s="2" t="s">
        <v>16</v>
      </c>
      <c r="K3848" s="2" t="s">
        <v>17</v>
      </c>
      <c r="L3848" s="7">
        <v>411.75</v>
      </c>
      <c r="M3848" s="2" t="str">
        <f>_xlfn.IFS(TelecomData[[#This Row],[TenureMonths]]&lt;=12, "0-1 Year", TelecomData[[#This Row],[TenureMonths]]&lt;=36, "1-3 Years", TelecomData[[#This Row],[TenureMonths]]&gt;36, "3+ Years")</f>
        <v>0-1 Year</v>
      </c>
      <c r="N3848" s="2" t="str">
        <f>IF(TelecomData[[#This Row],[CleanedTotalCharges]]&gt;=2500,"High Spend", "Standard Spend")</f>
        <v>Standard Spend</v>
      </c>
    </row>
    <row r="3849" spans="1:14" x14ac:dyDescent="0.3">
      <c r="A3849" s="1" t="s">
        <v>3873</v>
      </c>
      <c r="B3849" s="2" t="s">
        <v>19</v>
      </c>
      <c r="C3849" s="2" t="s">
        <v>13</v>
      </c>
      <c r="D3849" s="2">
        <v>10</v>
      </c>
      <c r="E3849" s="2" t="s">
        <v>15</v>
      </c>
      <c r="F3849" s="2" t="s">
        <v>36</v>
      </c>
      <c r="G3849" s="7">
        <v>20</v>
      </c>
      <c r="H3849" s="7">
        <v>198.6</v>
      </c>
      <c r="I3849" s="2" t="s">
        <v>15</v>
      </c>
      <c r="J3849" s="2" t="s">
        <v>16</v>
      </c>
      <c r="K3849" s="2" t="s">
        <v>29</v>
      </c>
      <c r="L3849" s="7">
        <v>198.6</v>
      </c>
      <c r="M3849" s="2" t="str">
        <f>_xlfn.IFS(TelecomData[[#This Row],[TenureMonths]]&lt;=12, "0-1 Year", TelecomData[[#This Row],[TenureMonths]]&lt;=36, "1-3 Years", TelecomData[[#This Row],[TenureMonths]]&gt;36, "3+ Years")</f>
        <v>0-1 Year</v>
      </c>
      <c r="N3849" s="2" t="str">
        <f>IF(TelecomData[[#This Row],[CleanedTotalCharges]]&gt;=2500,"High Spend", "Standard Spend")</f>
        <v>Standard Spend</v>
      </c>
    </row>
    <row r="3850" spans="1:14" x14ac:dyDescent="0.3">
      <c r="A3850" s="1" t="s">
        <v>3874</v>
      </c>
      <c r="B3850" s="2" t="s">
        <v>12</v>
      </c>
      <c r="C3850" s="2" t="s">
        <v>13</v>
      </c>
      <c r="D3850" s="2">
        <v>2</v>
      </c>
      <c r="E3850" s="2" t="s">
        <v>14</v>
      </c>
      <c r="F3850" s="2" t="s">
        <v>15</v>
      </c>
      <c r="G3850" s="7">
        <v>49.2</v>
      </c>
      <c r="H3850" s="7">
        <v>103.7</v>
      </c>
      <c r="I3850" s="2" t="s">
        <v>15</v>
      </c>
      <c r="J3850" s="2" t="s">
        <v>15</v>
      </c>
      <c r="K3850" s="2" t="s">
        <v>21</v>
      </c>
      <c r="L3850" s="7">
        <v>103.7</v>
      </c>
      <c r="M3850" s="2" t="str">
        <f>_xlfn.IFS(TelecomData[[#This Row],[TenureMonths]]&lt;=12, "0-1 Year", TelecomData[[#This Row],[TenureMonths]]&lt;=36, "1-3 Years", TelecomData[[#This Row],[TenureMonths]]&gt;36, "3+ Years")</f>
        <v>0-1 Year</v>
      </c>
      <c r="N3850" s="2" t="str">
        <f>IF(TelecomData[[#This Row],[CleanedTotalCharges]]&gt;=2500,"High Spend", "Standard Spend")</f>
        <v>Standard Spend</v>
      </c>
    </row>
    <row r="3851" spans="1:14" x14ac:dyDescent="0.3">
      <c r="A3851" s="1" t="s">
        <v>3875</v>
      </c>
      <c r="B3851" s="2" t="s">
        <v>12</v>
      </c>
      <c r="C3851" s="2" t="s">
        <v>35</v>
      </c>
      <c r="D3851" s="2">
        <v>58</v>
      </c>
      <c r="E3851" s="2" t="s">
        <v>26</v>
      </c>
      <c r="F3851" s="2" t="s">
        <v>15</v>
      </c>
      <c r="G3851" s="7">
        <v>109.45</v>
      </c>
      <c r="H3851" s="7">
        <v>6144.55</v>
      </c>
      <c r="I3851" s="2" t="s">
        <v>16</v>
      </c>
      <c r="J3851" s="2" t="s">
        <v>16</v>
      </c>
      <c r="K3851" s="2" t="s">
        <v>24</v>
      </c>
      <c r="L3851" s="7">
        <v>6144.55</v>
      </c>
      <c r="M3851" s="2" t="str">
        <f>_xlfn.IFS(TelecomData[[#This Row],[TenureMonths]]&lt;=12, "0-1 Year", TelecomData[[#This Row],[TenureMonths]]&lt;=36, "1-3 Years", TelecomData[[#This Row],[TenureMonths]]&gt;36, "3+ Years")</f>
        <v>3+ Years</v>
      </c>
      <c r="N3851" s="2" t="str">
        <f>IF(TelecomData[[#This Row],[CleanedTotalCharges]]&gt;=2500,"High Spend", "Standard Spend")</f>
        <v>High Spend</v>
      </c>
    </row>
    <row r="3852" spans="1:14" x14ac:dyDescent="0.3">
      <c r="A3852" s="1" t="s">
        <v>3876</v>
      </c>
      <c r="B3852" s="2" t="s">
        <v>19</v>
      </c>
      <c r="C3852" s="2" t="s">
        <v>35</v>
      </c>
      <c r="D3852" s="2">
        <v>51</v>
      </c>
      <c r="E3852" s="2" t="s">
        <v>14</v>
      </c>
      <c r="F3852" s="2" t="s">
        <v>16</v>
      </c>
      <c r="G3852" s="7">
        <v>83.25</v>
      </c>
      <c r="H3852" s="7">
        <v>4089.45</v>
      </c>
      <c r="I3852" s="2" t="s">
        <v>15</v>
      </c>
      <c r="J3852" s="2" t="s">
        <v>16</v>
      </c>
      <c r="K3852" s="2" t="s">
        <v>29</v>
      </c>
      <c r="L3852" s="7">
        <v>4089.45</v>
      </c>
      <c r="M3852" s="2" t="str">
        <f>_xlfn.IFS(TelecomData[[#This Row],[TenureMonths]]&lt;=12, "0-1 Year", TelecomData[[#This Row],[TenureMonths]]&lt;=36, "1-3 Years", TelecomData[[#This Row],[TenureMonths]]&gt;36, "3+ Years")</f>
        <v>3+ Years</v>
      </c>
      <c r="N3852" s="2" t="str">
        <f>IF(TelecomData[[#This Row],[CleanedTotalCharges]]&gt;=2500,"High Spend", "Standard Spend")</f>
        <v>High Spend</v>
      </c>
    </row>
    <row r="3853" spans="1:14" x14ac:dyDescent="0.3">
      <c r="A3853" s="1" t="s">
        <v>3877</v>
      </c>
      <c r="B3853" s="2" t="s">
        <v>12</v>
      </c>
      <c r="C3853" s="2" t="s">
        <v>35</v>
      </c>
      <c r="D3853" s="2">
        <v>46</v>
      </c>
      <c r="E3853" s="2" t="s">
        <v>15</v>
      </c>
      <c r="F3853" s="2" t="s">
        <v>36</v>
      </c>
      <c r="G3853" s="7">
        <v>19.25</v>
      </c>
      <c r="H3853" s="7">
        <v>864.2</v>
      </c>
      <c r="I3853" s="2" t="s">
        <v>15</v>
      </c>
      <c r="J3853" s="2" t="s">
        <v>16</v>
      </c>
      <c r="K3853" s="2" t="s">
        <v>21</v>
      </c>
      <c r="L3853" s="7">
        <v>864.2</v>
      </c>
      <c r="M3853" s="2" t="str">
        <f>_xlfn.IFS(TelecomData[[#This Row],[TenureMonths]]&lt;=12, "0-1 Year", TelecomData[[#This Row],[TenureMonths]]&lt;=36, "1-3 Years", TelecomData[[#This Row],[TenureMonths]]&gt;36, "3+ Years")</f>
        <v>3+ Years</v>
      </c>
      <c r="N3853" s="2" t="str">
        <f>IF(TelecomData[[#This Row],[CleanedTotalCharges]]&gt;=2500,"High Spend", "Standard Spend")</f>
        <v>Standard Spend</v>
      </c>
    </row>
    <row r="3854" spans="1:14" x14ac:dyDescent="0.3">
      <c r="A3854" s="1" t="s">
        <v>3878</v>
      </c>
      <c r="B3854" s="2" t="s">
        <v>19</v>
      </c>
      <c r="C3854" s="2" t="s">
        <v>13</v>
      </c>
      <c r="D3854" s="2">
        <v>1</v>
      </c>
      <c r="E3854" s="2" t="s">
        <v>15</v>
      </c>
      <c r="F3854" s="2" t="s">
        <v>36</v>
      </c>
      <c r="G3854" s="7">
        <v>19.649999999999999</v>
      </c>
      <c r="H3854" s="7">
        <v>19.649999999999999</v>
      </c>
      <c r="I3854" s="2" t="s">
        <v>15</v>
      </c>
      <c r="J3854" s="2" t="s">
        <v>16</v>
      </c>
      <c r="K3854" s="2" t="s">
        <v>24</v>
      </c>
      <c r="L3854" s="7">
        <v>19.649999999999999</v>
      </c>
      <c r="M3854" s="2" t="str">
        <f>_xlfn.IFS(TelecomData[[#This Row],[TenureMonths]]&lt;=12, "0-1 Year", TelecomData[[#This Row],[TenureMonths]]&lt;=36, "1-3 Years", TelecomData[[#This Row],[TenureMonths]]&gt;36, "3+ Years")</f>
        <v>0-1 Year</v>
      </c>
      <c r="N3854" s="2" t="str">
        <f>IF(TelecomData[[#This Row],[CleanedTotalCharges]]&gt;=2500,"High Spend", "Standard Spend")</f>
        <v>Standard Spend</v>
      </c>
    </row>
    <row r="3855" spans="1:14" x14ac:dyDescent="0.3">
      <c r="A3855" s="1" t="s">
        <v>3879</v>
      </c>
      <c r="B3855" s="2" t="s">
        <v>19</v>
      </c>
      <c r="C3855" s="2" t="s">
        <v>13</v>
      </c>
      <c r="D3855" s="2">
        <v>46</v>
      </c>
      <c r="E3855" s="2" t="s">
        <v>26</v>
      </c>
      <c r="F3855" s="2" t="s">
        <v>15</v>
      </c>
      <c r="G3855" s="7">
        <v>72.8</v>
      </c>
      <c r="H3855" s="7">
        <v>3249.4</v>
      </c>
      <c r="I3855" s="2" t="s">
        <v>15</v>
      </c>
      <c r="J3855" s="2" t="s">
        <v>15</v>
      </c>
      <c r="K3855" s="2" t="s">
        <v>24</v>
      </c>
      <c r="L3855" s="7">
        <v>3249.4</v>
      </c>
      <c r="M3855" s="2" t="str">
        <f>_xlfn.IFS(TelecomData[[#This Row],[TenureMonths]]&lt;=12, "0-1 Year", TelecomData[[#This Row],[TenureMonths]]&lt;=36, "1-3 Years", TelecomData[[#This Row],[TenureMonths]]&gt;36, "3+ Years")</f>
        <v>3+ Years</v>
      </c>
      <c r="N3855" s="2" t="str">
        <f>IF(TelecomData[[#This Row],[CleanedTotalCharges]]&gt;=2500,"High Spend", "Standard Spend")</f>
        <v>High Spend</v>
      </c>
    </row>
    <row r="3856" spans="1:14" x14ac:dyDescent="0.3">
      <c r="A3856" s="1" t="s">
        <v>3880</v>
      </c>
      <c r="B3856" s="2" t="s">
        <v>12</v>
      </c>
      <c r="C3856" s="2" t="s">
        <v>13</v>
      </c>
      <c r="D3856" s="2">
        <v>50</v>
      </c>
      <c r="E3856" s="2" t="s">
        <v>26</v>
      </c>
      <c r="F3856" s="2" t="s">
        <v>16</v>
      </c>
      <c r="G3856" s="7">
        <v>109.65</v>
      </c>
      <c r="H3856" s="7">
        <v>5405.8</v>
      </c>
      <c r="I3856" s="2" t="s">
        <v>15</v>
      </c>
      <c r="J3856" s="2" t="s">
        <v>16</v>
      </c>
      <c r="K3856" s="2" t="s">
        <v>24</v>
      </c>
      <c r="L3856" s="7">
        <v>5405.8</v>
      </c>
      <c r="M3856" s="2" t="str">
        <f>_xlfn.IFS(TelecomData[[#This Row],[TenureMonths]]&lt;=12, "0-1 Year", TelecomData[[#This Row],[TenureMonths]]&lt;=36, "1-3 Years", TelecomData[[#This Row],[TenureMonths]]&gt;36, "3+ Years")</f>
        <v>3+ Years</v>
      </c>
      <c r="N3856" s="2" t="str">
        <f>IF(TelecomData[[#This Row],[CleanedTotalCharges]]&gt;=2500,"High Spend", "Standard Spend")</f>
        <v>High Spend</v>
      </c>
    </row>
    <row r="3857" spans="1:14" x14ac:dyDescent="0.3">
      <c r="A3857" s="1" t="s">
        <v>3881</v>
      </c>
      <c r="B3857" s="2" t="s">
        <v>19</v>
      </c>
      <c r="C3857" s="2" t="s">
        <v>13</v>
      </c>
      <c r="D3857" s="2">
        <v>53</v>
      </c>
      <c r="E3857" s="2" t="s">
        <v>14</v>
      </c>
      <c r="F3857" s="2" t="s">
        <v>16</v>
      </c>
      <c r="G3857" s="7">
        <v>65</v>
      </c>
      <c r="H3857" s="7">
        <v>3363.8</v>
      </c>
      <c r="I3857" s="2" t="s">
        <v>15</v>
      </c>
      <c r="J3857" s="2" t="s">
        <v>15</v>
      </c>
      <c r="K3857" s="2" t="s">
        <v>29</v>
      </c>
      <c r="L3857" s="7">
        <v>3363.8</v>
      </c>
      <c r="M3857" s="2" t="str">
        <f>_xlfn.IFS(TelecomData[[#This Row],[TenureMonths]]&lt;=12, "0-1 Year", TelecomData[[#This Row],[TenureMonths]]&lt;=36, "1-3 Years", TelecomData[[#This Row],[TenureMonths]]&gt;36, "3+ Years")</f>
        <v>3+ Years</v>
      </c>
      <c r="N3857" s="2" t="str">
        <f>IF(TelecomData[[#This Row],[CleanedTotalCharges]]&gt;=2500,"High Spend", "Standard Spend")</f>
        <v>High Spend</v>
      </c>
    </row>
    <row r="3858" spans="1:14" x14ac:dyDescent="0.3">
      <c r="A3858" s="1" t="s">
        <v>3882</v>
      </c>
      <c r="B3858" s="2" t="s">
        <v>19</v>
      </c>
      <c r="C3858" s="2" t="s">
        <v>13</v>
      </c>
      <c r="D3858" s="2">
        <v>61</v>
      </c>
      <c r="E3858" s="2" t="s">
        <v>26</v>
      </c>
      <c r="F3858" s="2" t="s">
        <v>16</v>
      </c>
      <c r="G3858" s="7">
        <v>114.1</v>
      </c>
      <c r="H3858" s="7">
        <v>7132.15</v>
      </c>
      <c r="I3858" s="2" t="s">
        <v>15</v>
      </c>
      <c r="J3858" s="2" t="s">
        <v>16</v>
      </c>
      <c r="K3858" s="2" t="s">
        <v>17</v>
      </c>
      <c r="L3858" s="7">
        <v>7132.15</v>
      </c>
      <c r="M3858" s="2" t="str">
        <f>_xlfn.IFS(TelecomData[[#This Row],[TenureMonths]]&lt;=12, "0-1 Year", TelecomData[[#This Row],[TenureMonths]]&lt;=36, "1-3 Years", TelecomData[[#This Row],[TenureMonths]]&gt;36, "3+ Years")</f>
        <v>3+ Years</v>
      </c>
      <c r="N3858" s="2" t="str">
        <f>IF(TelecomData[[#This Row],[CleanedTotalCharges]]&gt;=2500,"High Spend", "Standard Spend")</f>
        <v>High Spend</v>
      </c>
    </row>
    <row r="3859" spans="1:14" x14ac:dyDescent="0.3">
      <c r="A3859" s="1" t="s">
        <v>3883</v>
      </c>
      <c r="B3859" s="2" t="s">
        <v>19</v>
      </c>
      <c r="C3859" s="2" t="s">
        <v>13</v>
      </c>
      <c r="D3859" s="2">
        <v>5</v>
      </c>
      <c r="E3859" s="2" t="s">
        <v>15</v>
      </c>
      <c r="F3859" s="2" t="s">
        <v>36</v>
      </c>
      <c r="G3859" s="7">
        <v>20.65</v>
      </c>
      <c r="H3859" s="7">
        <v>93.55</v>
      </c>
      <c r="I3859" s="2" t="s">
        <v>15</v>
      </c>
      <c r="J3859" s="2" t="s">
        <v>15</v>
      </c>
      <c r="K3859" s="2" t="s">
        <v>24</v>
      </c>
      <c r="L3859" s="7">
        <v>93.55</v>
      </c>
      <c r="M3859" s="2" t="str">
        <f>_xlfn.IFS(TelecomData[[#This Row],[TenureMonths]]&lt;=12, "0-1 Year", TelecomData[[#This Row],[TenureMonths]]&lt;=36, "1-3 Years", TelecomData[[#This Row],[TenureMonths]]&gt;36, "3+ Years")</f>
        <v>0-1 Year</v>
      </c>
      <c r="N3859" s="2" t="str">
        <f>IF(TelecomData[[#This Row],[CleanedTotalCharges]]&gt;=2500,"High Spend", "Standard Spend")</f>
        <v>Standard Spend</v>
      </c>
    </row>
    <row r="3860" spans="1:14" x14ac:dyDescent="0.3">
      <c r="A3860" s="1" t="s">
        <v>3884</v>
      </c>
      <c r="B3860" s="2" t="s">
        <v>19</v>
      </c>
      <c r="C3860" s="2" t="s">
        <v>20</v>
      </c>
      <c r="D3860" s="2">
        <v>47</v>
      </c>
      <c r="E3860" s="2" t="s">
        <v>14</v>
      </c>
      <c r="F3860" s="2" t="s">
        <v>16</v>
      </c>
      <c r="G3860" s="7">
        <v>86.95</v>
      </c>
      <c r="H3860" s="7">
        <v>4138.8999999999996</v>
      </c>
      <c r="I3860" s="2" t="s">
        <v>15</v>
      </c>
      <c r="J3860" s="2" t="s">
        <v>16</v>
      </c>
      <c r="K3860" s="2" t="s">
        <v>24</v>
      </c>
      <c r="L3860" s="7">
        <v>4138.8999999999996</v>
      </c>
      <c r="M3860" s="2" t="str">
        <f>_xlfn.IFS(TelecomData[[#This Row],[TenureMonths]]&lt;=12, "0-1 Year", TelecomData[[#This Row],[TenureMonths]]&lt;=36, "1-3 Years", TelecomData[[#This Row],[TenureMonths]]&gt;36, "3+ Years")</f>
        <v>3+ Years</v>
      </c>
      <c r="N3860" s="2" t="str">
        <f>IF(TelecomData[[#This Row],[CleanedTotalCharges]]&gt;=2500,"High Spend", "Standard Spend")</f>
        <v>High Spend</v>
      </c>
    </row>
    <row r="3861" spans="1:14" x14ac:dyDescent="0.3">
      <c r="A3861" s="1" t="s">
        <v>3885</v>
      </c>
      <c r="B3861" s="2" t="s">
        <v>12</v>
      </c>
      <c r="C3861" s="2" t="s">
        <v>20</v>
      </c>
      <c r="D3861" s="2">
        <v>54</v>
      </c>
      <c r="E3861" s="2" t="s">
        <v>26</v>
      </c>
      <c r="F3861" s="2" t="s">
        <v>15</v>
      </c>
      <c r="G3861" s="7">
        <v>94.75</v>
      </c>
      <c r="H3861" s="7">
        <v>5121.75</v>
      </c>
      <c r="I3861" s="2" t="s">
        <v>15</v>
      </c>
      <c r="J3861" s="2" t="s">
        <v>16</v>
      </c>
      <c r="K3861" s="2" t="s">
        <v>24</v>
      </c>
      <c r="L3861" s="7">
        <v>5121.75</v>
      </c>
      <c r="M3861" s="2" t="str">
        <f>_xlfn.IFS(TelecomData[[#This Row],[TenureMonths]]&lt;=12, "0-1 Year", TelecomData[[#This Row],[TenureMonths]]&lt;=36, "1-3 Years", TelecomData[[#This Row],[TenureMonths]]&gt;36, "3+ Years")</f>
        <v>3+ Years</v>
      </c>
      <c r="N3861" s="2" t="str">
        <f>IF(TelecomData[[#This Row],[CleanedTotalCharges]]&gt;=2500,"High Spend", "Standard Spend")</f>
        <v>High Spend</v>
      </c>
    </row>
    <row r="3862" spans="1:14" x14ac:dyDescent="0.3">
      <c r="A3862" s="1" t="s">
        <v>3886</v>
      </c>
      <c r="B3862" s="2" t="s">
        <v>19</v>
      </c>
      <c r="C3862" s="2" t="s">
        <v>13</v>
      </c>
      <c r="D3862" s="2">
        <v>19</v>
      </c>
      <c r="E3862" s="2" t="s">
        <v>14</v>
      </c>
      <c r="F3862" s="2" t="s">
        <v>15</v>
      </c>
      <c r="G3862" s="7">
        <v>25.35</v>
      </c>
      <c r="H3862" s="7">
        <v>566.1</v>
      </c>
      <c r="I3862" s="2" t="s">
        <v>15</v>
      </c>
      <c r="J3862" s="2" t="s">
        <v>16</v>
      </c>
      <c r="K3862" s="2" t="s">
        <v>29</v>
      </c>
      <c r="L3862" s="7">
        <v>566.1</v>
      </c>
      <c r="M3862" s="2" t="str">
        <f>_xlfn.IFS(TelecomData[[#This Row],[TenureMonths]]&lt;=12, "0-1 Year", TelecomData[[#This Row],[TenureMonths]]&lt;=36, "1-3 Years", TelecomData[[#This Row],[TenureMonths]]&gt;36, "3+ Years")</f>
        <v>1-3 Years</v>
      </c>
      <c r="N3862" s="2" t="str">
        <f>IF(TelecomData[[#This Row],[CleanedTotalCharges]]&gt;=2500,"High Spend", "Standard Spend")</f>
        <v>Standard Spend</v>
      </c>
    </row>
    <row r="3863" spans="1:14" x14ac:dyDescent="0.3">
      <c r="A3863" s="1" t="s">
        <v>3887</v>
      </c>
      <c r="B3863" s="2" t="s">
        <v>12</v>
      </c>
      <c r="C3863" s="2" t="s">
        <v>35</v>
      </c>
      <c r="D3863" s="2">
        <v>26</v>
      </c>
      <c r="E3863" s="2" t="s">
        <v>26</v>
      </c>
      <c r="F3863" s="2" t="s">
        <v>16</v>
      </c>
      <c r="G3863" s="7">
        <v>105.45</v>
      </c>
      <c r="H3863" s="7">
        <v>2715.3</v>
      </c>
      <c r="I3863" s="2" t="s">
        <v>15</v>
      </c>
      <c r="J3863" s="2" t="s">
        <v>16</v>
      </c>
      <c r="K3863" s="2" t="s">
        <v>17</v>
      </c>
      <c r="L3863" s="7">
        <v>2715.3</v>
      </c>
      <c r="M3863" s="2" t="str">
        <f>_xlfn.IFS(TelecomData[[#This Row],[TenureMonths]]&lt;=12, "0-1 Year", TelecomData[[#This Row],[TenureMonths]]&lt;=36, "1-3 Years", TelecomData[[#This Row],[TenureMonths]]&gt;36, "3+ Years")</f>
        <v>1-3 Years</v>
      </c>
      <c r="N3863" s="2" t="str">
        <f>IF(TelecomData[[#This Row],[CleanedTotalCharges]]&gt;=2500,"High Spend", "Standard Spend")</f>
        <v>High Spend</v>
      </c>
    </row>
    <row r="3864" spans="1:14" x14ac:dyDescent="0.3">
      <c r="A3864" s="1" t="s">
        <v>3888</v>
      </c>
      <c r="B3864" s="2" t="s">
        <v>19</v>
      </c>
      <c r="C3864" s="2" t="s">
        <v>35</v>
      </c>
      <c r="D3864" s="2">
        <v>70</v>
      </c>
      <c r="E3864" s="2" t="s">
        <v>15</v>
      </c>
      <c r="F3864" s="2" t="s">
        <v>36</v>
      </c>
      <c r="G3864" s="7">
        <v>25.4</v>
      </c>
      <c r="H3864" s="7">
        <v>1782.05</v>
      </c>
      <c r="I3864" s="2" t="s">
        <v>15</v>
      </c>
      <c r="J3864" s="2" t="s">
        <v>15</v>
      </c>
      <c r="K3864" s="2" t="s">
        <v>21</v>
      </c>
      <c r="L3864" s="7">
        <v>1782.05</v>
      </c>
      <c r="M3864" s="2" t="str">
        <f>_xlfn.IFS(TelecomData[[#This Row],[TenureMonths]]&lt;=12, "0-1 Year", TelecomData[[#This Row],[TenureMonths]]&lt;=36, "1-3 Years", TelecomData[[#This Row],[TenureMonths]]&gt;36, "3+ Years")</f>
        <v>3+ Years</v>
      </c>
      <c r="N3864" s="2" t="str">
        <f>IF(TelecomData[[#This Row],[CleanedTotalCharges]]&gt;=2500,"High Spend", "Standard Spend")</f>
        <v>Standard Spend</v>
      </c>
    </row>
    <row r="3865" spans="1:14" x14ac:dyDescent="0.3">
      <c r="A3865" s="1" t="s">
        <v>3889</v>
      </c>
      <c r="B3865" s="2" t="s">
        <v>19</v>
      </c>
      <c r="C3865" s="2" t="s">
        <v>13</v>
      </c>
      <c r="D3865" s="2">
        <v>17</v>
      </c>
      <c r="E3865" s="2" t="s">
        <v>26</v>
      </c>
      <c r="F3865" s="2" t="s">
        <v>15</v>
      </c>
      <c r="G3865" s="7">
        <v>102.55</v>
      </c>
      <c r="H3865" s="7">
        <v>1742.5</v>
      </c>
      <c r="I3865" s="2" t="s">
        <v>15</v>
      </c>
      <c r="J3865" s="2" t="s">
        <v>16</v>
      </c>
      <c r="K3865" s="2" t="s">
        <v>17</v>
      </c>
      <c r="L3865" s="7">
        <v>1742.5</v>
      </c>
      <c r="M3865" s="2" t="str">
        <f>_xlfn.IFS(TelecomData[[#This Row],[TenureMonths]]&lt;=12, "0-1 Year", TelecomData[[#This Row],[TenureMonths]]&lt;=36, "1-3 Years", TelecomData[[#This Row],[TenureMonths]]&gt;36, "3+ Years")</f>
        <v>1-3 Years</v>
      </c>
      <c r="N3865" s="2" t="str">
        <f>IF(TelecomData[[#This Row],[CleanedTotalCharges]]&gt;=2500,"High Spend", "Standard Spend")</f>
        <v>Standard Spend</v>
      </c>
    </row>
    <row r="3866" spans="1:14" x14ac:dyDescent="0.3">
      <c r="A3866" s="1" t="s">
        <v>3890</v>
      </c>
      <c r="B3866" s="2" t="s">
        <v>12</v>
      </c>
      <c r="C3866" s="2" t="s">
        <v>13</v>
      </c>
      <c r="D3866" s="2">
        <v>30</v>
      </c>
      <c r="E3866" s="2" t="s">
        <v>26</v>
      </c>
      <c r="F3866" s="2" t="s">
        <v>15</v>
      </c>
      <c r="G3866" s="7">
        <v>100.2</v>
      </c>
      <c r="H3866" s="7">
        <v>2983.8</v>
      </c>
      <c r="I3866" s="2" t="s">
        <v>16</v>
      </c>
      <c r="J3866" s="2" t="s">
        <v>16</v>
      </c>
      <c r="K3866" s="2" t="s">
        <v>17</v>
      </c>
      <c r="L3866" s="7">
        <v>2983.8</v>
      </c>
      <c r="M3866" s="2" t="str">
        <f>_xlfn.IFS(TelecomData[[#This Row],[TenureMonths]]&lt;=12, "0-1 Year", TelecomData[[#This Row],[TenureMonths]]&lt;=36, "1-3 Years", TelecomData[[#This Row],[TenureMonths]]&gt;36, "3+ Years")</f>
        <v>1-3 Years</v>
      </c>
      <c r="N3866" s="2" t="str">
        <f>IF(TelecomData[[#This Row],[CleanedTotalCharges]]&gt;=2500,"High Spend", "Standard Spend")</f>
        <v>High Spend</v>
      </c>
    </row>
    <row r="3867" spans="1:14" x14ac:dyDescent="0.3">
      <c r="A3867" s="1" t="s">
        <v>3891</v>
      </c>
      <c r="B3867" s="2" t="s">
        <v>12</v>
      </c>
      <c r="C3867" s="2" t="s">
        <v>13</v>
      </c>
      <c r="D3867" s="2">
        <v>1</v>
      </c>
      <c r="E3867" s="2" t="s">
        <v>15</v>
      </c>
      <c r="F3867" s="2" t="s">
        <v>36</v>
      </c>
      <c r="G3867" s="7">
        <v>24</v>
      </c>
      <c r="H3867" s="7">
        <v>24</v>
      </c>
      <c r="I3867" s="2" t="s">
        <v>15</v>
      </c>
      <c r="J3867" s="2" t="s">
        <v>15</v>
      </c>
      <c r="K3867" s="2" t="s">
        <v>21</v>
      </c>
      <c r="L3867" s="7">
        <v>24</v>
      </c>
      <c r="M3867" s="2" t="str">
        <f>_xlfn.IFS(TelecomData[[#This Row],[TenureMonths]]&lt;=12, "0-1 Year", TelecomData[[#This Row],[TenureMonths]]&lt;=36, "1-3 Years", TelecomData[[#This Row],[TenureMonths]]&gt;36, "3+ Years")</f>
        <v>0-1 Year</v>
      </c>
      <c r="N3867" s="2" t="str">
        <f>IF(TelecomData[[#This Row],[CleanedTotalCharges]]&gt;=2500,"High Spend", "Standard Spend")</f>
        <v>Standard Spend</v>
      </c>
    </row>
    <row r="3868" spans="1:14" x14ac:dyDescent="0.3">
      <c r="A3868" s="1" t="s">
        <v>3892</v>
      </c>
      <c r="B3868" s="2" t="s">
        <v>12</v>
      </c>
      <c r="C3868" s="2" t="s">
        <v>35</v>
      </c>
      <c r="D3868" s="2">
        <v>19</v>
      </c>
      <c r="E3868" s="2" t="s">
        <v>15</v>
      </c>
      <c r="F3868" s="2" t="s">
        <v>36</v>
      </c>
      <c r="G3868" s="7">
        <v>25.6</v>
      </c>
      <c r="H3868" s="7">
        <v>485.9</v>
      </c>
      <c r="I3868" s="2" t="s">
        <v>15</v>
      </c>
      <c r="J3868" s="2" t="s">
        <v>15</v>
      </c>
      <c r="K3868" s="2" t="s">
        <v>21</v>
      </c>
      <c r="L3868" s="7">
        <v>485.9</v>
      </c>
      <c r="M3868" s="2" t="str">
        <f>_xlfn.IFS(TelecomData[[#This Row],[TenureMonths]]&lt;=12, "0-1 Year", TelecomData[[#This Row],[TenureMonths]]&lt;=36, "1-3 Years", TelecomData[[#This Row],[TenureMonths]]&gt;36, "3+ Years")</f>
        <v>1-3 Years</v>
      </c>
      <c r="N3868" s="2" t="str">
        <f>IF(TelecomData[[#This Row],[CleanedTotalCharges]]&gt;=2500,"High Spend", "Standard Spend")</f>
        <v>Standard Spend</v>
      </c>
    </row>
    <row r="3869" spans="1:14" x14ac:dyDescent="0.3">
      <c r="A3869" s="1" t="s">
        <v>3893</v>
      </c>
      <c r="B3869" s="2" t="s">
        <v>12</v>
      </c>
      <c r="C3869" s="2" t="s">
        <v>35</v>
      </c>
      <c r="D3869" s="2">
        <v>26</v>
      </c>
      <c r="E3869" s="2" t="s">
        <v>14</v>
      </c>
      <c r="F3869" s="2" t="s">
        <v>15</v>
      </c>
      <c r="G3869" s="7">
        <v>73.5</v>
      </c>
      <c r="H3869" s="7">
        <v>1905.7</v>
      </c>
      <c r="I3869" s="2" t="s">
        <v>15</v>
      </c>
      <c r="J3869" s="2" t="s">
        <v>16</v>
      </c>
      <c r="K3869" s="2" t="s">
        <v>29</v>
      </c>
      <c r="L3869" s="7">
        <v>1905.7</v>
      </c>
      <c r="M3869" s="2" t="str">
        <f>_xlfn.IFS(TelecomData[[#This Row],[TenureMonths]]&lt;=12, "0-1 Year", TelecomData[[#This Row],[TenureMonths]]&lt;=36, "1-3 Years", TelecomData[[#This Row],[TenureMonths]]&gt;36, "3+ Years")</f>
        <v>1-3 Years</v>
      </c>
      <c r="N3869" s="2" t="str">
        <f>IF(TelecomData[[#This Row],[CleanedTotalCharges]]&gt;=2500,"High Spend", "Standard Spend")</f>
        <v>Standard Spend</v>
      </c>
    </row>
    <row r="3870" spans="1:14" x14ac:dyDescent="0.3">
      <c r="A3870" s="1" t="s">
        <v>3894</v>
      </c>
      <c r="B3870" s="2" t="s">
        <v>12</v>
      </c>
      <c r="C3870" s="2" t="s">
        <v>13</v>
      </c>
      <c r="D3870" s="2">
        <v>21</v>
      </c>
      <c r="E3870" s="2" t="s">
        <v>26</v>
      </c>
      <c r="F3870" s="2" t="s">
        <v>15</v>
      </c>
      <c r="G3870" s="7">
        <v>74.05</v>
      </c>
      <c r="H3870" s="7">
        <v>1565.7</v>
      </c>
      <c r="I3870" s="2" t="s">
        <v>16</v>
      </c>
      <c r="J3870" s="2" t="s">
        <v>16</v>
      </c>
      <c r="K3870" s="2" t="s">
        <v>24</v>
      </c>
      <c r="L3870" s="7">
        <v>1565.7</v>
      </c>
      <c r="M3870" s="2" t="str">
        <f>_xlfn.IFS(TelecomData[[#This Row],[TenureMonths]]&lt;=12, "0-1 Year", TelecomData[[#This Row],[TenureMonths]]&lt;=36, "1-3 Years", TelecomData[[#This Row],[TenureMonths]]&gt;36, "3+ Years")</f>
        <v>1-3 Years</v>
      </c>
      <c r="N3870" s="2" t="str">
        <f>IF(TelecomData[[#This Row],[CleanedTotalCharges]]&gt;=2500,"High Spend", "Standard Spend")</f>
        <v>Standard Spend</v>
      </c>
    </row>
    <row r="3871" spans="1:14" x14ac:dyDescent="0.3">
      <c r="A3871" s="1" t="s">
        <v>3895</v>
      </c>
      <c r="B3871" s="2" t="s">
        <v>19</v>
      </c>
      <c r="C3871" s="2" t="s">
        <v>20</v>
      </c>
      <c r="D3871" s="2">
        <v>50</v>
      </c>
      <c r="E3871" s="2" t="s">
        <v>26</v>
      </c>
      <c r="F3871" s="2" t="s">
        <v>15</v>
      </c>
      <c r="G3871" s="7">
        <v>98.25</v>
      </c>
      <c r="H3871" s="7">
        <v>4858.7</v>
      </c>
      <c r="I3871" s="2" t="s">
        <v>15</v>
      </c>
      <c r="J3871" s="2" t="s">
        <v>16</v>
      </c>
      <c r="K3871" s="2" t="s">
        <v>17</v>
      </c>
      <c r="L3871" s="7">
        <v>4858.7</v>
      </c>
      <c r="M3871" s="2" t="str">
        <f>_xlfn.IFS(TelecomData[[#This Row],[TenureMonths]]&lt;=12, "0-1 Year", TelecomData[[#This Row],[TenureMonths]]&lt;=36, "1-3 Years", TelecomData[[#This Row],[TenureMonths]]&gt;36, "3+ Years")</f>
        <v>3+ Years</v>
      </c>
      <c r="N3871" s="2" t="str">
        <f>IF(TelecomData[[#This Row],[CleanedTotalCharges]]&gt;=2500,"High Spend", "Standard Spend")</f>
        <v>High Spend</v>
      </c>
    </row>
    <row r="3872" spans="1:14" x14ac:dyDescent="0.3">
      <c r="A3872" s="1" t="s">
        <v>3896</v>
      </c>
      <c r="B3872" s="2" t="s">
        <v>12</v>
      </c>
      <c r="C3872" s="2" t="s">
        <v>20</v>
      </c>
      <c r="D3872" s="2">
        <v>68</v>
      </c>
      <c r="E3872" s="2" t="s">
        <v>14</v>
      </c>
      <c r="F3872" s="2" t="s">
        <v>15</v>
      </c>
      <c r="G3872" s="7">
        <v>54.4</v>
      </c>
      <c r="H3872" s="7">
        <v>3723.65</v>
      </c>
      <c r="I3872" s="2" t="s">
        <v>15</v>
      </c>
      <c r="J3872" s="2" t="s">
        <v>16</v>
      </c>
      <c r="K3872" s="2" t="s">
        <v>17</v>
      </c>
      <c r="L3872" s="7">
        <v>3723.65</v>
      </c>
      <c r="M3872" s="2" t="str">
        <f>_xlfn.IFS(TelecomData[[#This Row],[TenureMonths]]&lt;=12, "0-1 Year", TelecomData[[#This Row],[TenureMonths]]&lt;=36, "1-3 Years", TelecomData[[#This Row],[TenureMonths]]&gt;36, "3+ Years")</f>
        <v>3+ Years</v>
      </c>
      <c r="N3872" s="2" t="str">
        <f>IF(TelecomData[[#This Row],[CleanedTotalCharges]]&gt;=2500,"High Spend", "Standard Spend")</f>
        <v>High Spend</v>
      </c>
    </row>
    <row r="3873" spans="1:14" x14ac:dyDescent="0.3">
      <c r="A3873" s="1" t="s">
        <v>3897</v>
      </c>
      <c r="B3873" s="2" t="s">
        <v>19</v>
      </c>
      <c r="C3873" s="2" t="s">
        <v>13</v>
      </c>
      <c r="D3873" s="2">
        <v>3</v>
      </c>
      <c r="E3873" s="2" t="s">
        <v>26</v>
      </c>
      <c r="F3873" s="2" t="s">
        <v>15</v>
      </c>
      <c r="G3873" s="7">
        <v>101.55</v>
      </c>
      <c r="H3873" s="7">
        <v>298.35000000000002</v>
      </c>
      <c r="I3873" s="2" t="s">
        <v>16</v>
      </c>
      <c r="J3873" s="2" t="s">
        <v>16</v>
      </c>
      <c r="K3873" s="2" t="s">
        <v>24</v>
      </c>
      <c r="L3873" s="7">
        <v>298.35000000000002</v>
      </c>
      <c r="M3873" s="2" t="str">
        <f>_xlfn.IFS(TelecomData[[#This Row],[TenureMonths]]&lt;=12, "0-1 Year", TelecomData[[#This Row],[TenureMonths]]&lt;=36, "1-3 Years", TelecomData[[#This Row],[TenureMonths]]&gt;36, "3+ Years")</f>
        <v>0-1 Year</v>
      </c>
      <c r="N3873" s="2" t="str">
        <f>IF(TelecomData[[#This Row],[CleanedTotalCharges]]&gt;=2500,"High Spend", "Standard Spend")</f>
        <v>Standard Spend</v>
      </c>
    </row>
    <row r="3874" spans="1:14" x14ac:dyDescent="0.3">
      <c r="A3874" s="1" t="s">
        <v>3898</v>
      </c>
      <c r="B3874" s="2" t="s">
        <v>19</v>
      </c>
      <c r="C3874" s="2" t="s">
        <v>13</v>
      </c>
      <c r="D3874" s="2">
        <v>9</v>
      </c>
      <c r="E3874" s="2" t="s">
        <v>26</v>
      </c>
      <c r="F3874" s="2" t="s">
        <v>16</v>
      </c>
      <c r="G3874" s="7">
        <v>103.1</v>
      </c>
      <c r="H3874" s="7">
        <v>970.45</v>
      </c>
      <c r="I3874" s="2" t="s">
        <v>15</v>
      </c>
      <c r="J3874" s="2" t="s">
        <v>15</v>
      </c>
      <c r="K3874" s="2" t="s">
        <v>17</v>
      </c>
      <c r="L3874" s="7">
        <v>970.45</v>
      </c>
      <c r="M3874" s="2" t="str">
        <f>_xlfn.IFS(TelecomData[[#This Row],[TenureMonths]]&lt;=12, "0-1 Year", TelecomData[[#This Row],[TenureMonths]]&lt;=36, "1-3 Years", TelecomData[[#This Row],[TenureMonths]]&gt;36, "3+ Years")</f>
        <v>0-1 Year</v>
      </c>
      <c r="N3874" s="2" t="str">
        <f>IF(TelecomData[[#This Row],[CleanedTotalCharges]]&gt;=2500,"High Spend", "Standard Spend")</f>
        <v>Standard Spend</v>
      </c>
    </row>
    <row r="3875" spans="1:14" x14ac:dyDescent="0.3">
      <c r="A3875" s="1" t="s">
        <v>3899</v>
      </c>
      <c r="B3875" s="2" t="s">
        <v>12</v>
      </c>
      <c r="C3875" s="2" t="s">
        <v>35</v>
      </c>
      <c r="D3875" s="2">
        <v>51</v>
      </c>
      <c r="E3875" s="2" t="s">
        <v>14</v>
      </c>
      <c r="F3875" s="2" t="s">
        <v>16</v>
      </c>
      <c r="G3875" s="7">
        <v>34.200000000000003</v>
      </c>
      <c r="H3875" s="7">
        <v>1782</v>
      </c>
      <c r="I3875" s="2" t="s">
        <v>15</v>
      </c>
      <c r="J3875" s="2" t="s">
        <v>15</v>
      </c>
      <c r="K3875" s="2" t="s">
        <v>24</v>
      </c>
      <c r="L3875" s="7">
        <v>1782</v>
      </c>
      <c r="M3875" s="2" t="str">
        <f>_xlfn.IFS(TelecomData[[#This Row],[TenureMonths]]&lt;=12, "0-1 Year", TelecomData[[#This Row],[TenureMonths]]&lt;=36, "1-3 Years", TelecomData[[#This Row],[TenureMonths]]&gt;36, "3+ Years")</f>
        <v>3+ Years</v>
      </c>
      <c r="N3875" s="2" t="str">
        <f>IF(TelecomData[[#This Row],[CleanedTotalCharges]]&gt;=2500,"High Spend", "Standard Spend")</f>
        <v>Standard Spend</v>
      </c>
    </row>
    <row r="3876" spans="1:14" x14ac:dyDescent="0.3">
      <c r="A3876" s="1" t="s">
        <v>3900</v>
      </c>
      <c r="B3876" s="2" t="s">
        <v>12</v>
      </c>
      <c r="C3876" s="2" t="s">
        <v>13</v>
      </c>
      <c r="D3876" s="2">
        <v>9</v>
      </c>
      <c r="E3876" s="2" t="s">
        <v>14</v>
      </c>
      <c r="F3876" s="2" t="s">
        <v>15</v>
      </c>
      <c r="G3876" s="7">
        <v>43.75</v>
      </c>
      <c r="H3876" s="7">
        <v>405.7</v>
      </c>
      <c r="I3876" s="2" t="s">
        <v>15</v>
      </c>
      <c r="J3876" s="2" t="s">
        <v>16</v>
      </c>
      <c r="K3876" s="2" t="s">
        <v>17</v>
      </c>
      <c r="L3876" s="7">
        <v>405.7</v>
      </c>
      <c r="M3876" s="2" t="str">
        <f>_xlfn.IFS(TelecomData[[#This Row],[TenureMonths]]&lt;=12, "0-1 Year", TelecomData[[#This Row],[TenureMonths]]&lt;=36, "1-3 Years", TelecomData[[#This Row],[TenureMonths]]&gt;36, "3+ Years")</f>
        <v>0-1 Year</v>
      </c>
      <c r="N3876" s="2" t="str">
        <f>IF(TelecomData[[#This Row],[CleanedTotalCharges]]&gt;=2500,"High Spend", "Standard Spend")</f>
        <v>Standard Spend</v>
      </c>
    </row>
    <row r="3877" spans="1:14" x14ac:dyDescent="0.3">
      <c r="A3877" s="1" t="s">
        <v>3901</v>
      </c>
      <c r="B3877" s="2" t="s">
        <v>19</v>
      </c>
      <c r="C3877" s="2" t="s">
        <v>20</v>
      </c>
      <c r="D3877" s="2">
        <v>41</v>
      </c>
      <c r="E3877" s="2" t="s">
        <v>26</v>
      </c>
      <c r="F3877" s="2" t="s">
        <v>16</v>
      </c>
      <c r="G3877" s="7">
        <v>111.95</v>
      </c>
      <c r="H3877" s="7">
        <v>4534.8999999999996</v>
      </c>
      <c r="I3877" s="2" t="s">
        <v>16</v>
      </c>
      <c r="J3877" s="2" t="s">
        <v>16</v>
      </c>
      <c r="K3877" s="2" t="s">
        <v>17</v>
      </c>
      <c r="L3877" s="7">
        <v>4534.8999999999996</v>
      </c>
      <c r="M3877" s="2" t="str">
        <f>_xlfn.IFS(TelecomData[[#This Row],[TenureMonths]]&lt;=12, "0-1 Year", TelecomData[[#This Row],[TenureMonths]]&lt;=36, "1-3 Years", TelecomData[[#This Row],[TenureMonths]]&gt;36, "3+ Years")</f>
        <v>3+ Years</v>
      </c>
      <c r="N3877" s="2" t="str">
        <f>IF(TelecomData[[#This Row],[CleanedTotalCharges]]&gt;=2500,"High Spend", "Standard Spend")</f>
        <v>High Spend</v>
      </c>
    </row>
    <row r="3878" spans="1:14" x14ac:dyDescent="0.3">
      <c r="A3878" s="1" t="s">
        <v>3902</v>
      </c>
      <c r="B3878" s="2" t="s">
        <v>19</v>
      </c>
      <c r="C3878" s="2" t="s">
        <v>13</v>
      </c>
      <c r="D3878" s="2">
        <v>22</v>
      </c>
      <c r="E3878" s="2" t="s">
        <v>26</v>
      </c>
      <c r="F3878" s="2" t="s">
        <v>15</v>
      </c>
      <c r="G3878" s="7">
        <v>100.65</v>
      </c>
      <c r="H3878" s="7">
        <v>2415.9499999999998</v>
      </c>
      <c r="I3878" s="2" t="s">
        <v>15</v>
      </c>
      <c r="J3878" s="2" t="s">
        <v>16</v>
      </c>
      <c r="K3878" s="2" t="s">
        <v>17</v>
      </c>
      <c r="L3878" s="7">
        <v>2415.9499999999998</v>
      </c>
      <c r="M3878" s="2" t="str">
        <f>_xlfn.IFS(TelecomData[[#This Row],[TenureMonths]]&lt;=12, "0-1 Year", TelecomData[[#This Row],[TenureMonths]]&lt;=36, "1-3 Years", TelecomData[[#This Row],[TenureMonths]]&gt;36, "3+ Years")</f>
        <v>1-3 Years</v>
      </c>
      <c r="N3878" s="2" t="str">
        <f>IF(TelecomData[[#This Row],[CleanedTotalCharges]]&gt;=2500,"High Spend", "Standard Spend")</f>
        <v>Standard Spend</v>
      </c>
    </row>
    <row r="3879" spans="1:14" x14ac:dyDescent="0.3">
      <c r="A3879" s="1" t="s">
        <v>3903</v>
      </c>
      <c r="B3879" s="2" t="s">
        <v>12</v>
      </c>
      <c r="C3879" s="2" t="s">
        <v>20</v>
      </c>
      <c r="D3879" s="2">
        <v>21</v>
      </c>
      <c r="E3879" s="2" t="s">
        <v>14</v>
      </c>
      <c r="F3879" s="2" t="s">
        <v>15</v>
      </c>
      <c r="G3879" s="7">
        <v>55.95</v>
      </c>
      <c r="H3879" s="7">
        <v>1157.05</v>
      </c>
      <c r="I3879" s="2" t="s">
        <v>16</v>
      </c>
      <c r="J3879" s="2" t="s">
        <v>16</v>
      </c>
      <c r="K3879" s="2" t="s">
        <v>17</v>
      </c>
      <c r="L3879" s="7">
        <v>1157.05</v>
      </c>
      <c r="M3879" s="2" t="str">
        <f>_xlfn.IFS(TelecomData[[#This Row],[TenureMonths]]&lt;=12, "0-1 Year", TelecomData[[#This Row],[TenureMonths]]&lt;=36, "1-3 Years", TelecomData[[#This Row],[TenureMonths]]&gt;36, "3+ Years")</f>
        <v>1-3 Years</v>
      </c>
      <c r="N3879" s="2" t="str">
        <f>IF(TelecomData[[#This Row],[CleanedTotalCharges]]&gt;=2500,"High Spend", "Standard Spend")</f>
        <v>Standard Spend</v>
      </c>
    </row>
    <row r="3880" spans="1:14" x14ac:dyDescent="0.3">
      <c r="A3880" s="1" t="s">
        <v>3904</v>
      </c>
      <c r="B3880" s="2" t="s">
        <v>19</v>
      </c>
      <c r="C3880" s="2" t="s">
        <v>35</v>
      </c>
      <c r="D3880" s="2">
        <v>71</v>
      </c>
      <c r="E3880" s="2" t="s">
        <v>26</v>
      </c>
      <c r="F3880" s="2" t="s">
        <v>16</v>
      </c>
      <c r="G3880" s="7">
        <v>116.05</v>
      </c>
      <c r="H3880" s="7">
        <v>8297.5</v>
      </c>
      <c r="I3880" s="2" t="s">
        <v>15</v>
      </c>
      <c r="J3880" s="2" t="s">
        <v>16</v>
      </c>
      <c r="K3880" s="2" t="s">
        <v>24</v>
      </c>
      <c r="L3880" s="7">
        <v>8297.5</v>
      </c>
      <c r="M3880" s="2" t="str">
        <f>_xlfn.IFS(TelecomData[[#This Row],[TenureMonths]]&lt;=12, "0-1 Year", TelecomData[[#This Row],[TenureMonths]]&lt;=36, "1-3 Years", TelecomData[[#This Row],[TenureMonths]]&gt;36, "3+ Years")</f>
        <v>3+ Years</v>
      </c>
      <c r="N3880" s="2" t="str">
        <f>IF(TelecomData[[#This Row],[CleanedTotalCharges]]&gt;=2500,"High Spend", "Standard Spend")</f>
        <v>High Spend</v>
      </c>
    </row>
    <row r="3881" spans="1:14" x14ac:dyDescent="0.3">
      <c r="A3881" s="1" t="s">
        <v>3905</v>
      </c>
      <c r="B3881" s="2" t="s">
        <v>19</v>
      </c>
      <c r="C3881" s="2" t="s">
        <v>13</v>
      </c>
      <c r="D3881" s="2">
        <v>1</v>
      </c>
      <c r="E3881" s="2" t="s">
        <v>14</v>
      </c>
      <c r="F3881" s="2" t="s">
        <v>15</v>
      </c>
      <c r="G3881" s="7">
        <v>45.75</v>
      </c>
      <c r="H3881" s="7">
        <v>45.75</v>
      </c>
      <c r="I3881" s="2" t="s">
        <v>16</v>
      </c>
      <c r="J3881" s="2" t="s">
        <v>15</v>
      </c>
      <c r="K3881" s="2" t="s">
        <v>17</v>
      </c>
      <c r="L3881" s="7">
        <v>45.75</v>
      </c>
      <c r="M3881" s="2" t="str">
        <f>_xlfn.IFS(TelecomData[[#This Row],[TenureMonths]]&lt;=12, "0-1 Year", TelecomData[[#This Row],[TenureMonths]]&lt;=36, "1-3 Years", TelecomData[[#This Row],[TenureMonths]]&gt;36, "3+ Years")</f>
        <v>0-1 Year</v>
      </c>
      <c r="N3881" s="2" t="str">
        <f>IF(TelecomData[[#This Row],[CleanedTotalCharges]]&gt;=2500,"High Spend", "Standard Spend")</f>
        <v>Standard Spend</v>
      </c>
    </row>
    <row r="3882" spans="1:14" x14ac:dyDescent="0.3">
      <c r="A3882" s="1" t="s">
        <v>3906</v>
      </c>
      <c r="B3882" s="2" t="s">
        <v>19</v>
      </c>
      <c r="C3882" s="2" t="s">
        <v>20</v>
      </c>
      <c r="D3882" s="2">
        <v>26</v>
      </c>
      <c r="E3882" s="2" t="s">
        <v>14</v>
      </c>
      <c r="F3882" s="2" t="s">
        <v>16</v>
      </c>
      <c r="G3882" s="7">
        <v>82</v>
      </c>
      <c r="H3882" s="7">
        <v>2083.1</v>
      </c>
      <c r="I3882" s="2" t="s">
        <v>15</v>
      </c>
      <c r="J3882" s="2" t="s">
        <v>16</v>
      </c>
      <c r="K3882" s="2" t="s">
        <v>29</v>
      </c>
      <c r="L3882" s="7">
        <v>2083.1</v>
      </c>
      <c r="M3882" s="2" t="str">
        <f>_xlfn.IFS(TelecomData[[#This Row],[TenureMonths]]&lt;=12, "0-1 Year", TelecomData[[#This Row],[TenureMonths]]&lt;=36, "1-3 Years", TelecomData[[#This Row],[TenureMonths]]&gt;36, "3+ Years")</f>
        <v>1-3 Years</v>
      </c>
      <c r="N3882" s="2" t="str">
        <f>IF(TelecomData[[#This Row],[CleanedTotalCharges]]&gt;=2500,"High Spend", "Standard Spend")</f>
        <v>Standard Spend</v>
      </c>
    </row>
    <row r="3883" spans="1:14" x14ac:dyDescent="0.3">
      <c r="A3883" s="1" t="s">
        <v>3907</v>
      </c>
      <c r="B3883" s="2" t="s">
        <v>19</v>
      </c>
      <c r="C3883" s="2" t="s">
        <v>35</v>
      </c>
      <c r="D3883" s="2">
        <v>71</v>
      </c>
      <c r="E3883" s="2" t="s">
        <v>14</v>
      </c>
      <c r="F3883" s="2" t="s">
        <v>16</v>
      </c>
      <c r="G3883" s="7">
        <v>65.150000000000006</v>
      </c>
      <c r="H3883" s="7">
        <v>4681.75</v>
      </c>
      <c r="I3883" s="2" t="s">
        <v>15</v>
      </c>
      <c r="J3883" s="2" t="s">
        <v>15</v>
      </c>
      <c r="K3883" s="2" t="s">
        <v>24</v>
      </c>
      <c r="L3883" s="7">
        <v>4681.75</v>
      </c>
      <c r="M3883" s="2" t="str">
        <f>_xlfn.IFS(TelecomData[[#This Row],[TenureMonths]]&lt;=12, "0-1 Year", TelecomData[[#This Row],[TenureMonths]]&lt;=36, "1-3 Years", TelecomData[[#This Row],[TenureMonths]]&gt;36, "3+ Years")</f>
        <v>3+ Years</v>
      </c>
      <c r="N3883" s="2" t="str">
        <f>IF(TelecomData[[#This Row],[CleanedTotalCharges]]&gt;=2500,"High Spend", "Standard Spend")</f>
        <v>High Spend</v>
      </c>
    </row>
    <row r="3884" spans="1:14" x14ac:dyDescent="0.3">
      <c r="A3884" s="1" t="s">
        <v>3908</v>
      </c>
      <c r="B3884" s="2" t="s">
        <v>19</v>
      </c>
      <c r="C3884" s="2" t="s">
        <v>13</v>
      </c>
      <c r="D3884" s="2">
        <v>4</v>
      </c>
      <c r="E3884" s="2" t="s">
        <v>14</v>
      </c>
      <c r="F3884" s="2" t="s">
        <v>15</v>
      </c>
      <c r="G3884" s="7">
        <v>44.8</v>
      </c>
      <c r="H3884" s="7">
        <v>176.2</v>
      </c>
      <c r="I3884" s="2" t="s">
        <v>15</v>
      </c>
      <c r="J3884" s="2" t="s">
        <v>16</v>
      </c>
      <c r="K3884" s="2" t="s">
        <v>29</v>
      </c>
      <c r="L3884" s="7">
        <v>176.2</v>
      </c>
      <c r="M3884" s="2" t="str">
        <f>_xlfn.IFS(TelecomData[[#This Row],[TenureMonths]]&lt;=12, "0-1 Year", TelecomData[[#This Row],[TenureMonths]]&lt;=36, "1-3 Years", TelecomData[[#This Row],[TenureMonths]]&gt;36, "3+ Years")</f>
        <v>0-1 Year</v>
      </c>
      <c r="N3884" s="2" t="str">
        <f>IF(TelecomData[[#This Row],[CleanedTotalCharges]]&gt;=2500,"High Spend", "Standard Spend")</f>
        <v>Standard Spend</v>
      </c>
    </row>
    <row r="3885" spans="1:14" x14ac:dyDescent="0.3">
      <c r="A3885" s="1" t="s">
        <v>3909</v>
      </c>
      <c r="B3885" s="2" t="s">
        <v>12</v>
      </c>
      <c r="C3885" s="2" t="s">
        <v>13</v>
      </c>
      <c r="D3885" s="2">
        <v>12</v>
      </c>
      <c r="E3885" s="2" t="s">
        <v>26</v>
      </c>
      <c r="F3885" s="2" t="s">
        <v>15</v>
      </c>
      <c r="G3885" s="7">
        <v>79.8</v>
      </c>
      <c r="H3885" s="7">
        <v>1001.2</v>
      </c>
      <c r="I3885" s="2" t="s">
        <v>15</v>
      </c>
      <c r="J3885" s="2" t="s">
        <v>16</v>
      </c>
      <c r="K3885" s="2" t="s">
        <v>17</v>
      </c>
      <c r="L3885" s="7">
        <v>1001.2</v>
      </c>
      <c r="M3885" s="2" t="str">
        <f>_xlfn.IFS(TelecomData[[#This Row],[TenureMonths]]&lt;=12, "0-1 Year", TelecomData[[#This Row],[TenureMonths]]&lt;=36, "1-3 Years", TelecomData[[#This Row],[TenureMonths]]&gt;36, "3+ Years")</f>
        <v>0-1 Year</v>
      </c>
      <c r="N3885" s="2" t="str">
        <f>IF(TelecomData[[#This Row],[CleanedTotalCharges]]&gt;=2500,"High Spend", "Standard Spend")</f>
        <v>Standard Spend</v>
      </c>
    </row>
    <row r="3886" spans="1:14" x14ac:dyDescent="0.3">
      <c r="A3886" s="1" t="s">
        <v>3910</v>
      </c>
      <c r="B3886" s="2" t="s">
        <v>12</v>
      </c>
      <c r="C3886" s="2" t="s">
        <v>13</v>
      </c>
      <c r="D3886" s="2">
        <v>18</v>
      </c>
      <c r="E3886" s="2" t="s">
        <v>26</v>
      </c>
      <c r="F3886" s="2" t="s">
        <v>16</v>
      </c>
      <c r="G3886" s="7">
        <v>88.85</v>
      </c>
      <c r="H3886" s="7">
        <v>1594.75</v>
      </c>
      <c r="I3886" s="2" t="s">
        <v>15</v>
      </c>
      <c r="J3886" s="2" t="s">
        <v>16</v>
      </c>
      <c r="K3886" s="2" t="s">
        <v>17</v>
      </c>
      <c r="L3886" s="7">
        <v>1594.75</v>
      </c>
      <c r="M3886" s="2" t="str">
        <f>_xlfn.IFS(TelecomData[[#This Row],[TenureMonths]]&lt;=12, "0-1 Year", TelecomData[[#This Row],[TenureMonths]]&lt;=36, "1-3 Years", TelecomData[[#This Row],[TenureMonths]]&gt;36, "3+ Years")</f>
        <v>1-3 Years</v>
      </c>
      <c r="N3886" s="2" t="str">
        <f>IF(TelecomData[[#This Row],[CleanedTotalCharges]]&gt;=2500,"High Spend", "Standard Spend")</f>
        <v>Standard Spend</v>
      </c>
    </row>
    <row r="3887" spans="1:14" x14ac:dyDescent="0.3">
      <c r="A3887" s="1" t="s">
        <v>3911</v>
      </c>
      <c r="B3887" s="2" t="s">
        <v>12</v>
      </c>
      <c r="C3887" s="2" t="s">
        <v>13</v>
      </c>
      <c r="D3887" s="2">
        <v>3</v>
      </c>
      <c r="E3887" s="2" t="s">
        <v>26</v>
      </c>
      <c r="F3887" s="2" t="s">
        <v>15</v>
      </c>
      <c r="G3887" s="7">
        <v>74.95</v>
      </c>
      <c r="H3887" s="7">
        <v>212.4</v>
      </c>
      <c r="I3887" s="2" t="s">
        <v>15</v>
      </c>
      <c r="J3887" s="2" t="s">
        <v>16</v>
      </c>
      <c r="K3887" s="2" t="s">
        <v>17</v>
      </c>
      <c r="L3887" s="7">
        <v>212.4</v>
      </c>
      <c r="M3887" s="2" t="str">
        <f>_xlfn.IFS(TelecomData[[#This Row],[TenureMonths]]&lt;=12, "0-1 Year", TelecomData[[#This Row],[TenureMonths]]&lt;=36, "1-3 Years", TelecomData[[#This Row],[TenureMonths]]&gt;36, "3+ Years")</f>
        <v>0-1 Year</v>
      </c>
      <c r="N3887" s="2" t="str">
        <f>IF(TelecomData[[#This Row],[CleanedTotalCharges]]&gt;=2500,"High Spend", "Standard Spend")</f>
        <v>Standard Spend</v>
      </c>
    </row>
    <row r="3888" spans="1:14" x14ac:dyDescent="0.3">
      <c r="A3888" s="1" t="s">
        <v>3912</v>
      </c>
      <c r="B3888" s="2" t="s">
        <v>12</v>
      </c>
      <c r="C3888" s="2" t="s">
        <v>20</v>
      </c>
      <c r="D3888" s="2">
        <v>72</v>
      </c>
      <c r="E3888" s="2" t="s">
        <v>26</v>
      </c>
      <c r="F3888" s="2" t="s">
        <v>15</v>
      </c>
      <c r="G3888" s="7">
        <v>106.85</v>
      </c>
      <c r="H3888" s="7">
        <v>7677.4</v>
      </c>
      <c r="I3888" s="2" t="s">
        <v>15</v>
      </c>
      <c r="J3888" s="2" t="s">
        <v>16</v>
      </c>
      <c r="K3888" s="2" t="s">
        <v>24</v>
      </c>
      <c r="L3888" s="7">
        <v>7677.4</v>
      </c>
      <c r="M3888" s="2" t="str">
        <f>_xlfn.IFS(TelecomData[[#This Row],[TenureMonths]]&lt;=12, "0-1 Year", TelecomData[[#This Row],[TenureMonths]]&lt;=36, "1-3 Years", TelecomData[[#This Row],[TenureMonths]]&gt;36, "3+ Years")</f>
        <v>3+ Years</v>
      </c>
      <c r="N3888" s="2" t="str">
        <f>IF(TelecomData[[#This Row],[CleanedTotalCharges]]&gt;=2500,"High Spend", "Standard Spend")</f>
        <v>High Spend</v>
      </c>
    </row>
    <row r="3889" spans="1:14" x14ac:dyDescent="0.3">
      <c r="A3889" s="1" t="s">
        <v>3913</v>
      </c>
      <c r="B3889" s="2" t="s">
        <v>19</v>
      </c>
      <c r="C3889" s="2" t="s">
        <v>13</v>
      </c>
      <c r="D3889" s="2">
        <v>11</v>
      </c>
      <c r="E3889" s="2" t="s">
        <v>26</v>
      </c>
      <c r="F3889" s="2" t="s">
        <v>15</v>
      </c>
      <c r="G3889" s="7">
        <v>74.95</v>
      </c>
      <c r="H3889" s="7">
        <v>815.5</v>
      </c>
      <c r="I3889" s="2" t="s">
        <v>16</v>
      </c>
      <c r="J3889" s="2" t="s">
        <v>15</v>
      </c>
      <c r="K3889" s="2" t="s">
        <v>17</v>
      </c>
      <c r="L3889" s="7">
        <v>815.5</v>
      </c>
      <c r="M3889" s="2" t="str">
        <f>_xlfn.IFS(TelecomData[[#This Row],[TenureMonths]]&lt;=12, "0-1 Year", TelecomData[[#This Row],[TenureMonths]]&lt;=36, "1-3 Years", TelecomData[[#This Row],[TenureMonths]]&gt;36, "3+ Years")</f>
        <v>0-1 Year</v>
      </c>
      <c r="N3889" s="2" t="str">
        <f>IF(TelecomData[[#This Row],[CleanedTotalCharges]]&gt;=2500,"High Spend", "Standard Spend")</f>
        <v>Standard Spend</v>
      </c>
    </row>
    <row r="3890" spans="1:14" x14ac:dyDescent="0.3">
      <c r="A3890" s="1" t="s">
        <v>3914</v>
      </c>
      <c r="B3890" s="2" t="s">
        <v>12</v>
      </c>
      <c r="C3890" s="2" t="s">
        <v>13</v>
      </c>
      <c r="D3890" s="2">
        <v>1</v>
      </c>
      <c r="E3890" s="2" t="s">
        <v>26</v>
      </c>
      <c r="F3890" s="2" t="s">
        <v>15</v>
      </c>
      <c r="G3890" s="7">
        <v>80.150000000000006</v>
      </c>
      <c r="H3890" s="7">
        <v>80.150000000000006</v>
      </c>
      <c r="I3890" s="2" t="s">
        <v>16</v>
      </c>
      <c r="J3890" s="2" t="s">
        <v>15</v>
      </c>
      <c r="K3890" s="2" t="s">
        <v>29</v>
      </c>
      <c r="L3890" s="7">
        <v>80.150000000000006</v>
      </c>
      <c r="M3890" s="2" t="str">
        <f>_xlfn.IFS(TelecomData[[#This Row],[TenureMonths]]&lt;=12, "0-1 Year", TelecomData[[#This Row],[TenureMonths]]&lt;=36, "1-3 Years", TelecomData[[#This Row],[TenureMonths]]&gt;36, "3+ Years")</f>
        <v>0-1 Year</v>
      </c>
      <c r="N3890" s="2" t="str">
        <f>IF(TelecomData[[#This Row],[CleanedTotalCharges]]&gt;=2500,"High Spend", "Standard Spend")</f>
        <v>Standard Spend</v>
      </c>
    </row>
    <row r="3891" spans="1:14" x14ac:dyDescent="0.3">
      <c r="A3891" s="1" t="s">
        <v>3915</v>
      </c>
      <c r="B3891" s="2" t="s">
        <v>19</v>
      </c>
      <c r="C3891" s="2" t="s">
        <v>20</v>
      </c>
      <c r="D3891" s="2">
        <v>13</v>
      </c>
      <c r="E3891" s="2" t="s">
        <v>15</v>
      </c>
      <c r="F3891" s="2" t="s">
        <v>36</v>
      </c>
      <c r="G3891" s="7">
        <v>19.3</v>
      </c>
      <c r="H3891" s="7">
        <v>259.64999999999998</v>
      </c>
      <c r="I3891" s="2" t="s">
        <v>15</v>
      </c>
      <c r="J3891" s="2" t="s">
        <v>15</v>
      </c>
      <c r="K3891" s="2" t="s">
        <v>29</v>
      </c>
      <c r="L3891" s="7">
        <v>259.64999999999998</v>
      </c>
      <c r="M3891" s="2" t="str">
        <f>_xlfn.IFS(TelecomData[[#This Row],[TenureMonths]]&lt;=12, "0-1 Year", TelecomData[[#This Row],[TenureMonths]]&lt;=36, "1-3 Years", TelecomData[[#This Row],[TenureMonths]]&gt;36, "3+ Years")</f>
        <v>1-3 Years</v>
      </c>
      <c r="N3891" s="2" t="str">
        <f>IF(TelecomData[[#This Row],[CleanedTotalCharges]]&gt;=2500,"High Spend", "Standard Spend")</f>
        <v>Standard Spend</v>
      </c>
    </row>
    <row r="3892" spans="1:14" x14ac:dyDescent="0.3">
      <c r="A3892" s="1" t="s">
        <v>3916</v>
      </c>
      <c r="B3892" s="2" t="s">
        <v>12</v>
      </c>
      <c r="C3892" s="2" t="s">
        <v>20</v>
      </c>
      <c r="D3892" s="2">
        <v>72</v>
      </c>
      <c r="E3892" s="2" t="s">
        <v>26</v>
      </c>
      <c r="F3892" s="2" t="s">
        <v>16</v>
      </c>
      <c r="G3892" s="7">
        <v>109.25</v>
      </c>
      <c r="H3892" s="7">
        <v>8109.8</v>
      </c>
      <c r="I3892" s="2" t="s">
        <v>16</v>
      </c>
      <c r="J3892" s="2" t="s">
        <v>16</v>
      </c>
      <c r="K3892" s="2" t="s">
        <v>17</v>
      </c>
      <c r="L3892" s="7">
        <v>8109.8</v>
      </c>
      <c r="M3892" s="2" t="str">
        <f>_xlfn.IFS(TelecomData[[#This Row],[TenureMonths]]&lt;=12, "0-1 Year", TelecomData[[#This Row],[TenureMonths]]&lt;=36, "1-3 Years", TelecomData[[#This Row],[TenureMonths]]&gt;36, "3+ Years")</f>
        <v>3+ Years</v>
      </c>
      <c r="N3892" s="2" t="str">
        <f>IF(TelecomData[[#This Row],[CleanedTotalCharges]]&gt;=2500,"High Spend", "Standard Spend")</f>
        <v>High Spend</v>
      </c>
    </row>
    <row r="3893" spans="1:14" x14ac:dyDescent="0.3">
      <c r="A3893" s="1" t="s">
        <v>3917</v>
      </c>
      <c r="B3893" s="2" t="s">
        <v>19</v>
      </c>
      <c r="C3893" s="2" t="s">
        <v>20</v>
      </c>
      <c r="D3893" s="2">
        <v>42</v>
      </c>
      <c r="E3893" s="2" t="s">
        <v>14</v>
      </c>
      <c r="F3893" s="2" t="s">
        <v>15</v>
      </c>
      <c r="G3893" s="7">
        <v>56.1</v>
      </c>
      <c r="H3893" s="7">
        <v>2386.85</v>
      </c>
      <c r="I3893" s="2" t="s">
        <v>15</v>
      </c>
      <c r="J3893" s="2" t="s">
        <v>15</v>
      </c>
      <c r="K3893" s="2" t="s">
        <v>29</v>
      </c>
      <c r="L3893" s="7">
        <v>2386.85</v>
      </c>
      <c r="M3893" s="2" t="str">
        <f>_xlfn.IFS(TelecomData[[#This Row],[TenureMonths]]&lt;=12, "0-1 Year", TelecomData[[#This Row],[TenureMonths]]&lt;=36, "1-3 Years", TelecomData[[#This Row],[TenureMonths]]&gt;36, "3+ Years")</f>
        <v>3+ Years</v>
      </c>
      <c r="N3893" s="2" t="str">
        <f>IF(TelecomData[[#This Row],[CleanedTotalCharges]]&gt;=2500,"High Spend", "Standard Spend")</f>
        <v>Standard Spend</v>
      </c>
    </row>
    <row r="3894" spans="1:14" x14ac:dyDescent="0.3">
      <c r="A3894" s="1" t="s">
        <v>3918</v>
      </c>
      <c r="B3894" s="2" t="s">
        <v>12</v>
      </c>
      <c r="C3894" s="2" t="s">
        <v>13</v>
      </c>
      <c r="D3894" s="2">
        <v>17</v>
      </c>
      <c r="E3894" s="2" t="s">
        <v>15</v>
      </c>
      <c r="F3894" s="2" t="s">
        <v>36</v>
      </c>
      <c r="G3894" s="7">
        <v>19.7</v>
      </c>
      <c r="H3894" s="7">
        <v>340.35</v>
      </c>
      <c r="I3894" s="2" t="s">
        <v>15</v>
      </c>
      <c r="J3894" s="2" t="s">
        <v>15</v>
      </c>
      <c r="K3894" s="2" t="s">
        <v>29</v>
      </c>
      <c r="L3894" s="7">
        <v>340.35</v>
      </c>
      <c r="M3894" s="2" t="str">
        <f>_xlfn.IFS(TelecomData[[#This Row],[TenureMonths]]&lt;=12, "0-1 Year", TelecomData[[#This Row],[TenureMonths]]&lt;=36, "1-3 Years", TelecomData[[#This Row],[TenureMonths]]&gt;36, "3+ Years")</f>
        <v>1-3 Years</v>
      </c>
      <c r="N3894" s="2" t="str">
        <f>IF(TelecomData[[#This Row],[CleanedTotalCharges]]&gt;=2500,"High Spend", "Standard Spend")</f>
        <v>Standard Spend</v>
      </c>
    </row>
    <row r="3895" spans="1:14" x14ac:dyDescent="0.3">
      <c r="A3895" s="1" t="s">
        <v>3919</v>
      </c>
      <c r="B3895" s="2" t="s">
        <v>12</v>
      </c>
      <c r="C3895" s="2" t="s">
        <v>13</v>
      </c>
      <c r="D3895" s="2">
        <v>7</v>
      </c>
      <c r="E3895" s="2" t="s">
        <v>14</v>
      </c>
      <c r="F3895" s="2" t="s">
        <v>15</v>
      </c>
      <c r="G3895" s="7">
        <v>51.3</v>
      </c>
      <c r="H3895" s="7">
        <v>419.35</v>
      </c>
      <c r="I3895" s="2" t="s">
        <v>15</v>
      </c>
      <c r="J3895" s="2" t="s">
        <v>16</v>
      </c>
      <c r="K3895" s="2" t="s">
        <v>21</v>
      </c>
      <c r="L3895" s="7">
        <v>419.35</v>
      </c>
      <c r="M3895" s="2" t="str">
        <f>_xlfn.IFS(TelecomData[[#This Row],[TenureMonths]]&lt;=12, "0-1 Year", TelecomData[[#This Row],[TenureMonths]]&lt;=36, "1-3 Years", TelecomData[[#This Row],[TenureMonths]]&gt;36, "3+ Years")</f>
        <v>0-1 Year</v>
      </c>
      <c r="N3895" s="2" t="str">
        <f>IF(TelecomData[[#This Row],[CleanedTotalCharges]]&gt;=2500,"High Spend", "Standard Spend")</f>
        <v>Standard Spend</v>
      </c>
    </row>
    <row r="3896" spans="1:14" x14ac:dyDescent="0.3">
      <c r="A3896" s="1" t="s">
        <v>3920</v>
      </c>
      <c r="B3896" s="2" t="s">
        <v>12</v>
      </c>
      <c r="C3896" s="2" t="s">
        <v>35</v>
      </c>
      <c r="D3896" s="2">
        <v>68</v>
      </c>
      <c r="E3896" s="2" t="s">
        <v>26</v>
      </c>
      <c r="F3896" s="2" t="s">
        <v>16</v>
      </c>
      <c r="G3896" s="7">
        <v>118.6</v>
      </c>
      <c r="H3896" s="7">
        <v>7990.05</v>
      </c>
      <c r="I3896" s="2" t="s">
        <v>15</v>
      </c>
      <c r="J3896" s="2" t="s">
        <v>15</v>
      </c>
      <c r="K3896" s="2" t="s">
        <v>21</v>
      </c>
      <c r="L3896" s="7">
        <v>7990.05</v>
      </c>
      <c r="M3896" s="2" t="str">
        <f>_xlfn.IFS(TelecomData[[#This Row],[TenureMonths]]&lt;=12, "0-1 Year", TelecomData[[#This Row],[TenureMonths]]&lt;=36, "1-3 Years", TelecomData[[#This Row],[TenureMonths]]&gt;36, "3+ Years")</f>
        <v>3+ Years</v>
      </c>
      <c r="N3896" s="2" t="str">
        <f>IF(TelecomData[[#This Row],[CleanedTotalCharges]]&gt;=2500,"High Spend", "Standard Spend")</f>
        <v>High Spend</v>
      </c>
    </row>
    <row r="3897" spans="1:14" x14ac:dyDescent="0.3">
      <c r="A3897" s="1" t="s">
        <v>3921</v>
      </c>
      <c r="B3897" s="2" t="s">
        <v>19</v>
      </c>
      <c r="C3897" s="2" t="s">
        <v>35</v>
      </c>
      <c r="D3897" s="2">
        <v>56</v>
      </c>
      <c r="E3897" s="2" t="s">
        <v>15</v>
      </c>
      <c r="F3897" s="2" t="s">
        <v>36</v>
      </c>
      <c r="G3897" s="7">
        <v>24.15</v>
      </c>
      <c r="H3897" s="7">
        <v>1402.25</v>
      </c>
      <c r="I3897" s="2" t="s">
        <v>15</v>
      </c>
      <c r="J3897" s="2" t="s">
        <v>15</v>
      </c>
      <c r="K3897" s="2" t="s">
        <v>24</v>
      </c>
      <c r="L3897" s="7">
        <v>1402.25</v>
      </c>
      <c r="M3897" s="2" t="str">
        <f>_xlfn.IFS(TelecomData[[#This Row],[TenureMonths]]&lt;=12, "0-1 Year", TelecomData[[#This Row],[TenureMonths]]&lt;=36, "1-3 Years", TelecomData[[#This Row],[TenureMonths]]&gt;36, "3+ Years")</f>
        <v>3+ Years</v>
      </c>
      <c r="N3897" s="2" t="str">
        <f>IF(TelecomData[[#This Row],[CleanedTotalCharges]]&gt;=2500,"High Spend", "Standard Spend")</f>
        <v>Standard Spend</v>
      </c>
    </row>
    <row r="3898" spans="1:14" x14ac:dyDescent="0.3">
      <c r="A3898" s="1" t="s">
        <v>3922</v>
      </c>
      <c r="B3898" s="2" t="s">
        <v>12</v>
      </c>
      <c r="C3898" s="2" t="s">
        <v>20</v>
      </c>
      <c r="D3898" s="2">
        <v>38</v>
      </c>
      <c r="E3898" s="2" t="s">
        <v>15</v>
      </c>
      <c r="F3898" s="2" t="s">
        <v>36</v>
      </c>
      <c r="G3898" s="7">
        <v>20.3</v>
      </c>
      <c r="H3898" s="7">
        <v>749.35</v>
      </c>
      <c r="I3898" s="2" t="s">
        <v>15</v>
      </c>
      <c r="J3898" s="2" t="s">
        <v>15</v>
      </c>
      <c r="K3898" s="2" t="s">
        <v>21</v>
      </c>
      <c r="L3898" s="7">
        <v>749.35</v>
      </c>
      <c r="M3898" s="2" t="str">
        <f>_xlfn.IFS(TelecomData[[#This Row],[TenureMonths]]&lt;=12, "0-1 Year", TelecomData[[#This Row],[TenureMonths]]&lt;=36, "1-3 Years", TelecomData[[#This Row],[TenureMonths]]&gt;36, "3+ Years")</f>
        <v>3+ Years</v>
      </c>
      <c r="N3898" s="2" t="str">
        <f>IF(TelecomData[[#This Row],[CleanedTotalCharges]]&gt;=2500,"High Spend", "Standard Spend")</f>
        <v>Standard Spend</v>
      </c>
    </row>
    <row r="3899" spans="1:14" x14ac:dyDescent="0.3">
      <c r="A3899" s="1" t="s">
        <v>3923</v>
      </c>
      <c r="B3899" s="2" t="s">
        <v>12</v>
      </c>
      <c r="C3899" s="2" t="s">
        <v>35</v>
      </c>
      <c r="D3899" s="2">
        <v>72</v>
      </c>
      <c r="E3899" s="2" t="s">
        <v>26</v>
      </c>
      <c r="F3899" s="2" t="s">
        <v>16</v>
      </c>
      <c r="G3899" s="7">
        <v>115.5</v>
      </c>
      <c r="H3899" s="7">
        <v>8425.15</v>
      </c>
      <c r="I3899" s="2" t="s">
        <v>15</v>
      </c>
      <c r="J3899" s="2" t="s">
        <v>16</v>
      </c>
      <c r="K3899" s="2" t="s">
        <v>17</v>
      </c>
      <c r="L3899" s="7">
        <v>8425.15</v>
      </c>
      <c r="M3899" s="2" t="str">
        <f>_xlfn.IFS(TelecomData[[#This Row],[TenureMonths]]&lt;=12, "0-1 Year", TelecomData[[#This Row],[TenureMonths]]&lt;=36, "1-3 Years", TelecomData[[#This Row],[TenureMonths]]&gt;36, "3+ Years")</f>
        <v>3+ Years</v>
      </c>
      <c r="N3899" s="2" t="str">
        <f>IF(TelecomData[[#This Row],[CleanedTotalCharges]]&gt;=2500,"High Spend", "Standard Spend")</f>
        <v>High Spend</v>
      </c>
    </row>
    <row r="3900" spans="1:14" x14ac:dyDescent="0.3">
      <c r="A3900" s="1" t="s">
        <v>3924</v>
      </c>
      <c r="B3900" s="2" t="s">
        <v>12</v>
      </c>
      <c r="C3900" s="2" t="s">
        <v>20</v>
      </c>
      <c r="D3900" s="2">
        <v>48</v>
      </c>
      <c r="E3900" s="2" t="s">
        <v>15</v>
      </c>
      <c r="F3900" s="2" t="s">
        <v>36</v>
      </c>
      <c r="G3900" s="7">
        <v>25.05</v>
      </c>
      <c r="H3900" s="7">
        <v>1171.5</v>
      </c>
      <c r="I3900" s="2" t="s">
        <v>15</v>
      </c>
      <c r="J3900" s="2" t="s">
        <v>15</v>
      </c>
      <c r="K3900" s="2" t="s">
        <v>29</v>
      </c>
      <c r="L3900" s="7">
        <v>1171.5</v>
      </c>
      <c r="M3900" s="2" t="str">
        <f>_xlfn.IFS(TelecomData[[#This Row],[TenureMonths]]&lt;=12, "0-1 Year", TelecomData[[#This Row],[TenureMonths]]&lt;=36, "1-3 Years", TelecomData[[#This Row],[TenureMonths]]&gt;36, "3+ Years")</f>
        <v>3+ Years</v>
      </c>
      <c r="N3900" s="2" t="str">
        <f>IF(TelecomData[[#This Row],[CleanedTotalCharges]]&gt;=2500,"High Spend", "Standard Spend")</f>
        <v>Standard Spend</v>
      </c>
    </row>
    <row r="3901" spans="1:14" x14ac:dyDescent="0.3">
      <c r="A3901" s="1" t="s">
        <v>3925</v>
      </c>
      <c r="B3901" s="2" t="s">
        <v>12</v>
      </c>
      <c r="C3901" s="2" t="s">
        <v>13</v>
      </c>
      <c r="D3901" s="2">
        <v>52</v>
      </c>
      <c r="E3901" s="2" t="s">
        <v>26</v>
      </c>
      <c r="F3901" s="2" t="s">
        <v>15</v>
      </c>
      <c r="G3901" s="7">
        <v>109.1</v>
      </c>
      <c r="H3901" s="7">
        <v>5647.95</v>
      </c>
      <c r="I3901" s="2" t="s">
        <v>15</v>
      </c>
      <c r="J3901" s="2" t="s">
        <v>16</v>
      </c>
      <c r="K3901" s="2" t="s">
        <v>17</v>
      </c>
      <c r="L3901" s="7">
        <v>5647.95</v>
      </c>
      <c r="M3901" s="2" t="str">
        <f>_xlfn.IFS(TelecomData[[#This Row],[TenureMonths]]&lt;=12, "0-1 Year", TelecomData[[#This Row],[TenureMonths]]&lt;=36, "1-3 Years", TelecomData[[#This Row],[TenureMonths]]&gt;36, "3+ Years")</f>
        <v>3+ Years</v>
      </c>
      <c r="N3901" s="2" t="str">
        <f>IF(TelecomData[[#This Row],[CleanedTotalCharges]]&gt;=2500,"High Spend", "Standard Spend")</f>
        <v>High Spend</v>
      </c>
    </row>
    <row r="3902" spans="1:14" x14ac:dyDescent="0.3">
      <c r="A3902" s="1" t="s">
        <v>3926</v>
      </c>
      <c r="B3902" s="2" t="s">
        <v>12</v>
      </c>
      <c r="C3902" s="2" t="s">
        <v>20</v>
      </c>
      <c r="D3902" s="2">
        <v>35</v>
      </c>
      <c r="E3902" s="2" t="s">
        <v>15</v>
      </c>
      <c r="F3902" s="2" t="s">
        <v>36</v>
      </c>
      <c r="G3902" s="7">
        <v>19.649999999999999</v>
      </c>
      <c r="H3902" s="7">
        <v>708.8</v>
      </c>
      <c r="I3902" s="2" t="s">
        <v>15</v>
      </c>
      <c r="J3902" s="2" t="s">
        <v>15</v>
      </c>
      <c r="K3902" s="2" t="s">
        <v>21</v>
      </c>
      <c r="L3902" s="7">
        <v>708.8</v>
      </c>
      <c r="M3902" s="2" t="str">
        <f>_xlfn.IFS(TelecomData[[#This Row],[TenureMonths]]&lt;=12, "0-1 Year", TelecomData[[#This Row],[TenureMonths]]&lt;=36, "1-3 Years", TelecomData[[#This Row],[TenureMonths]]&gt;36, "3+ Years")</f>
        <v>1-3 Years</v>
      </c>
      <c r="N3902" s="2" t="str">
        <f>IF(TelecomData[[#This Row],[CleanedTotalCharges]]&gt;=2500,"High Spend", "Standard Spend")</f>
        <v>Standard Spend</v>
      </c>
    </row>
    <row r="3903" spans="1:14" x14ac:dyDescent="0.3">
      <c r="A3903" s="1" t="s">
        <v>3927</v>
      </c>
      <c r="B3903" s="2" t="s">
        <v>19</v>
      </c>
      <c r="C3903" s="2" t="s">
        <v>35</v>
      </c>
      <c r="D3903" s="2">
        <v>67</v>
      </c>
      <c r="E3903" s="2" t="s">
        <v>26</v>
      </c>
      <c r="F3903" s="2" t="s">
        <v>16</v>
      </c>
      <c r="G3903" s="7">
        <v>111.3</v>
      </c>
      <c r="H3903" s="7">
        <v>7567.2</v>
      </c>
      <c r="I3903" s="2" t="s">
        <v>15</v>
      </c>
      <c r="J3903" s="2" t="s">
        <v>16</v>
      </c>
      <c r="K3903" s="2" t="s">
        <v>24</v>
      </c>
      <c r="L3903" s="7">
        <v>7567.2</v>
      </c>
      <c r="M3903" s="2" t="str">
        <f>_xlfn.IFS(TelecomData[[#This Row],[TenureMonths]]&lt;=12, "0-1 Year", TelecomData[[#This Row],[TenureMonths]]&lt;=36, "1-3 Years", TelecomData[[#This Row],[TenureMonths]]&gt;36, "3+ Years")</f>
        <v>3+ Years</v>
      </c>
      <c r="N3903" s="2" t="str">
        <f>IF(TelecomData[[#This Row],[CleanedTotalCharges]]&gt;=2500,"High Spend", "Standard Spend")</f>
        <v>High Spend</v>
      </c>
    </row>
    <row r="3904" spans="1:14" x14ac:dyDescent="0.3">
      <c r="A3904" s="1" t="s">
        <v>3928</v>
      </c>
      <c r="B3904" s="2" t="s">
        <v>12</v>
      </c>
      <c r="C3904" s="2" t="s">
        <v>13</v>
      </c>
      <c r="D3904" s="2">
        <v>1</v>
      </c>
      <c r="E3904" s="2" t="s">
        <v>14</v>
      </c>
      <c r="F3904" s="2" t="s">
        <v>15</v>
      </c>
      <c r="G3904" s="7">
        <v>29.9</v>
      </c>
      <c r="H3904" s="7">
        <v>29.9</v>
      </c>
      <c r="I3904" s="2" t="s">
        <v>15</v>
      </c>
      <c r="J3904" s="2" t="s">
        <v>15</v>
      </c>
      <c r="K3904" s="2" t="s">
        <v>21</v>
      </c>
      <c r="L3904" s="7">
        <v>29.9</v>
      </c>
      <c r="M3904" s="2" t="str">
        <f>_xlfn.IFS(TelecomData[[#This Row],[TenureMonths]]&lt;=12, "0-1 Year", TelecomData[[#This Row],[TenureMonths]]&lt;=36, "1-3 Years", TelecomData[[#This Row],[TenureMonths]]&gt;36, "3+ Years")</f>
        <v>0-1 Year</v>
      </c>
      <c r="N3904" s="2" t="str">
        <f>IF(TelecomData[[#This Row],[CleanedTotalCharges]]&gt;=2500,"High Spend", "Standard Spend")</f>
        <v>Standard Spend</v>
      </c>
    </row>
    <row r="3905" spans="1:14" x14ac:dyDescent="0.3">
      <c r="A3905" s="1" t="s">
        <v>3929</v>
      </c>
      <c r="B3905" s="2" t="s">
        <v>19</v>
      </c>
      <c r="C3905" s="2" t="s">
        <v>13</v>
      </c>
      <c r="D3905" s="2">
        <v>53</v>
      </c>
      <c r="E3905" s="2" t="s">
        <v>26</v>
      </c>
      <c r="F3905" s="2" t="s">
        <v>16</v>
      </c>
      <c r="G3905" s="7">
        <v>80.599999999999994</v>
      </c>
      <c r="H3905" s="7">
        <v>4348.1000000000004</v>
      </c>
      <c r="I3905" s="2" t="s">
        <v>15</v>
      </c>
      <c r="J3905" s="2" t="s">
        <v>16</v>
      </c>
      <c r="K3905" s="2" t="s">
        <v>21</v>
      </c>
      <c r="L3905" s="7">
        <v>4348.1000000000004</v>
      </c>
      <c r="M3905" s="2" t="str">
        <f>_xlfn.IFS(TelecomData[[#This Row],[TenureMonths]]&lt;=12, "0-1 Year", TelecomData[[#This Row],[TenureMonths]]&lt;=36, "1-3 Years", TelecomData[[#This Row],[TenureMonths]]&gt;36, "3+ Years")</f>
        <v>3+ Years</v>
      </c>
      <c r="N3905" s="2" t="str">
        <f>IF(TelecomData[[#This Row],[CleanedTotalCharges]]&gt;=2500,"High Spend", "Standard Spend")</f>
        <v>High Spend</v>
      </c>
    </row>
    <row r="3906" spans="1:14" x14ac:dyDescent="0.3">
      <c r="A3906" s="1" t="s">
        <v>3930</v>
      </c>
      <c r="B3906" s="2" t="s">
        <v>19</v>
      </c>
      <c r="C3906" s="2" t="s">
        <v>13</v>
      </c>
      <c r="D3906" s="2">
        <v>34</v>
      </c>
      <c r="E3906" s="2" t="s">
        <v>15</v>
      </c>
      <c r="F3906" s="2" t="s">
        <v>36</v>
      </c>
      <c r="G3906" s="7">
        <v>20.8</v>
      </c>
      <c r="H3906" s="7">
        <v>635.9</v>
      </c>
      <c r="I3906" s="2" t="s">
        <v>15</v>
      </c>
      <c r="J3906" s="2" t="s">
        <v>15</v>
      </c>
      <c r="K3906" s="2" t="s">
        <v>21</v>
      </c>
      <c r="L3906" s="7">
        <v>635.9</v>
      </c>
      <c r="M3906" s="2" t="str">
        <f>_xlfn.IFS(TelecomData[[#This Row],[TenureMonths]]&lt;=12, "0-1 Year", TelecomData[[#This Row],[TenureMonths]]&lt;=36, "1-3 Years", TelecomData[[#This Row],[TenureMonths]]&gt;36, "3+ Years")</f>
        <v>1-3 Years</v>
      </c>
      <c r="N3906" s="2" t="str">
        <f>IF(TelecomData[[#This Row],[CleanedTotalCharges]]&gt;=2500,"High Spend", "Standard Spend")</f>
        <v>Standard Spend</v>
      </c>
    </row>
    <row r="3907" spans="1:14" x14ac:dyDescent="0.3">
      <c r="A3907" s="1" t="s">
        <v>3931</v>
      </c>
      <c r="B3907" s="2" t="s">
        <v>12</v>
      </c>
      <c r="C3907" s="2" t="s">
        <v>13</v>
      </c>
      <c r="D3907" s="2">
        <v>3</v>
      </c>
      <c r="E3907" s="2" t="s">
        <v>14</v>
      </c>
      <c r="F3907" s="2" t="s">
        <v>15</v>
      </c>
      <c r="G3907" s="7">
        <v>35.200000000000003</v>
      </c>
      <c r="H3907" s="7">
        <v>108.95</v>
      </c>
      <c r="I3907" s="2" t="s">
        <v>16</v>
      </c>
      <c r="J3907" s="2" t="s">
        <v>15</v>
      </c>
      <c r="K3907" s="2" t="s">
        <v>29</v>
      </c>
      <c r="L3907" s="7">
        <v>108.95</v>
      </c>
      <c r="M3907" s="2" t="str">
        <f>_xlfn.IFS(TelecomData[[#This Row],[TenureMonths]]&lt;=12, "0-1 Year", TelecomData[[#This Row],[TenureMonths]]&lt;=36, "1-3 Years", TelecomData[[#This Row],[TenureMonths]]&gt;36, "3+ Years")</f>
        <v>0-1 Year</v>
      </c>
      <c r="N3907" s="2" t="str">
        <f>IF(TelecomData[[#This Row],[CleanedTotalCharges]]&gt;=2500,"High Spend", "Standard Spend")</f>
        <v>Standard Spend</v>
      </c>
    </row>
    <row r="3908" spans="1:14" x14ac:dyDescent="0.3">
      <c r="A3908" s="1" t="s">
        <v>3932</v>
      </c>
      <c r="B3908" s="2" t="s">
        <v>12</v>
      </c>
      <c r="C3908" s="2" t="s">
        <v>13</v>
      </c>
      <c r="D3908" s="2">
        <v>1</v>
      </c>
      <c r="E3908" s="2" t="s">
        <v>26</v>
      </c>
      <c r="F3908" s="2" t="s">
        <v>15</v>
      </c>
      <c r="G3908" s="7">
        <v>78.8</v>
      </c>
      <c r="H3908" s="7">
        <v>78.8</v>
      </c>
      <c r="I3908" s="2" t="s">
        <v>16</v>
      </c>
      <c r="J3908" s="2" t="s">
        <v>15</v>
      </c>
      <c r="K3908" s="2" t="s">
        <v>17</v>
      </c>
      <c r="L3908" s="7">
        <v>78.8</v>
      </c>
      <c r="M3908" s="2" t="str">
        <f>_xlfn.IFS(TelecomData[[#This Row],[TenureMonths]]&lt;=12, "0-1 Year", TelecomData[[#This Row],[TenureMonths]]&lt;=36, "1-3 Years", TelecomData[[#This Row],[TenureMonths]]&gt;36, "3+ Years")</f>
        <v>0-1 Year</v>
      </c>
      <c r="N3908" s="2" t="str">
        <f>IF(TelecomData[[#This Row],[CleanedTotalCharges]]&gt;=2500,"High Spend", "Standard Spend")</f>
        <v>Standard Spend</v>
      </c>
    </row>
    <row r="3909" spans="1:14" x14ac:dyDescent="0.3">
      <c r="A3909" s="1" t="s">
        <v>3933</v>
      </c>
      <c r="B3909" s="2" t="s">
        <v>19</v>
      </c>
      <c r="C3909" s="2" t="s">
        <v>13</v>
      </c>
      <c r="D3909" s="2">
        <v>19</v>
      </c>
      <c r="E3909" s="2" t="s">
        <v>26</v>
      </c>
      <c r="F3909" s="2" t="s">
        <v>16</v>
      </c>
      <c r="G3909" s="7">
        <v>89.95</v>
      </c>
      <c r="H3909" s="7">
        <v>1682.4</v>
      </c>
      <c r="I3909" s="2" t="s">
        <v>15</v>
      </c>
      <c r="J3909" s="2" t="s">
        <v>15</v>
      </c>
      <c r="K3909" s="2" t="s">
        <v>21</v>
      </c>
      <c r="L3909" s="7">
        <v>1682.4</v>
      </c>
      <c r="M3909" s="2" t="str">
        <f>_xlfn.IFS(TelecomData[[#This Row],[TenureMonths]]&lt;=12, "0-1 Year", TelecomData[[#This Row],[TenureMonths]]&lt;=36, "1-3 Years", TelecomData[[#This Row],[TenureMonths]]&gt;36, "3+ Years")</f>
        <v>1-3 Years</v>
      </c>
      <c r="N3909" s="2" t="str">
        <f>IF(TelecomData[[#This Row],[CleanedTotalCharges]]&gt;=2500,"High Spend", "Standard Spend")</f>
        <v>Standard Spend</v>
      </c>
    </row>
    <row r="3910" spans="1:14" x14ac:dyDescent="0.3">
      <c r="A3910" s="1" t="s">
        <v>3934</v>
      </c>
      <c r="B3910" s="2" t="s">
        <v>12</v>
      </c>
      <c r="C3910" s="2" t="s">
        <v>35</v>
      </c>
      <c r="D3910" s="2">
        <v>60</v>
      </c>
      <c r="E3910" s="2" t="s">
        <v>26</v>
      </c>
      <c r="F3910" s="2" t="s">
        <v>16</v>
      </c>
      <c r="G3910" s="7">
        <v>116.05</v>
      </c>
      <c r="H3910" s="7">
        <v>6925.9</v>
      </c>
      <c r="I3910" s="2" t="s">
        <v>15</v>
      </c>
      <c r="J3910" s="2" t="s">
        <v>16</v>
      </c>
      <c r="K3910" s="2" t="s">
        <v>24</v>
      </c>
      <c r="L3910" s="7">
        <v>6925.9</v>
      </c>
      <c r="M3910" s="2" t="str">
        <f>_xlfn.IFS(TelecomData[[#This Row],[TenureMonths]]&lt;=12, "0-1 Year", TelecomData[[#This Row],[TenureMonths]]&lt;=36, "1-3 Years", TelecomData[[#This Row],[TenureMonths]]&gt;36, "3+ Years")</f>
        <v>3+ Years</v>
      </c>
      <c r="N3910" s="2" t="str">
        <f>IF(TelecomData[[#This Row],[CleanedTotalCharges]]&gt;=2500,"High Spend", "Standard Spend")</f>
        <v>High Spend</v>
      </c>
    </row>
    <row r="3911" spans="1:14" x14ac:dyDescent="0.3">
      <c r="A3911" s="1" t="s">
        <v>3935</v>
      </c>
      <c r="B3911" s="2" t="s">
        <v>19</v>
      </c>
      <c r="C3911" s="2" t="s">
        <v>35</v>
      </c>
      <c r="D3911" s="2">
        <v>11</v>
      </c>
      <c r="E3911" s="2" t="s">
        <v>15</v>
      </c>
      <c r="F3911" s="2" t="s">
        <v>36</v>
      </c>
      <c r="G3911" s="7">
        <v>19.55</v>
      </c>
      <c r="H3911" s="7">
        <v>223.15</v>
      </c>
      <c r="I3911" s="2" t="s">
        <v>15</v>
      </c>
      <c r="J3911" s="2" t="s">
        <v>15</v>
      </c>
      <c r="K3911" s="2" t="s">
        <v>29</v>
      </c>
      <c r="L3911" s="7">
        <v>223.15</v>
      </c>
      <c r="M3911" s="2" t="str">
        <f>_xlfn.IFS(TelecomData[[#This Row],[TenureMonths]]&lt;=12, "0-1 Year", TelecomData[[#This Row],[TenureMonths]]&lt;=36, "1-3 Years", TelecomData[[#This Row],[TenureMonths]]&gt;36, "3+ Years")</f>
        <v>0-1 Year</v>
      </c>
      <c r="N3911" s="2" t="str">
        <f>IF(TelecomData[[#This Row],[CleanedTotalCharges]]&gt;=2500,"High Spend", "Standard Spend")</f>
        <v>Standard Spend</v>
      </c>
    </row>
    <row r="3912" spans="1:14" x14ac:dyDescent="0.3">
      <c r="A3912" s="1" t="s">
        <v>3936</v>
      </c>
      <c r="B3912" s="2" t="s">
        <v>12</v>
      </c>
      <c r="C3912" s="2" t="s">
        <v>13</v>
      </c>
      <c r="D3912" s="2">
        <v>47</v>
      </c>
      <c r="E3912" s="2" t="s">
        <v>26</v>
      </c>
      <c r="F3912" s="2" t="s">
        <v>15</v>
      </c>
      <c r="G3912" s="7">
        <v>106.4</v>
      </c>
      <c r="H3912" s="7">
        <v>5127.95</v>
      </c>
      <c r="I3912" s="2" t="s">
        <v>16</v>
      </c>
      <c r="J3912" s="2" t="s">
        <v>16</v>
      </c>
      <c r="K3912" s="2" t="s">
        <v>17</v>
      </c>
      <c r="L3912" s="7">
        <v>5127.95</v>
      </c>
      <c r="M3912" s="2" t="str">
        <f>_xlfn.IFS(TelecomData[[#This Row],[TenureMonths]]&lt;=12, "0-1 Year", TelecomData[[#This Row],[TenureMonths]]&lt;=36, "1-3 Years", TelecomData[[#This Row],[TenureMonths]]&gt;36, "3+ Years")</f>
        <v>3+ Years</v>
      </c>
      <c r="N3912" s="2" t="str">
        <f>IF(TelecomData[[#This Row],[CleanedTotalCharges]]&gt;=2500,"High Spend", "Standard Spend")</f>
        <v>High Spend</v>
      </c>
    </row>
    <row r="3913" spans="1:14" x14ac:dyDescent="0.3">
      <c r="A3913" s="1" t="s">
        <v>3937</v>
      </c>
      <c r="B3913" s="2" t="s">
        <v>19</v>
      </c>
      <c r="C3913" s="2" t="s">
        <v>13</v>
      </c>
      <c r="D3913" s="2">
        <v>18</v>
      </c>
      <c r="E3913" s="2" t="s">
        <v>14</v>
      </c>
      <c r="F3913" s="2" t="s">
        <v>15</v>
      </c>
      <c r="G3913" s="7">
        <v>49.4</v>
      </c>
      <c r="H3913" s="7">
        <v>874.8</v>
      </c>
      <c r="I3913" s="2" t="s">
        <v>16</v>
      </c>
      <c r="J3913" s="2" t="s">
        <v>15</v>
      </c>
      <c r="K3913" s="2" t="s">
        <v>17</v>
      </c>
      <c r="L3913" s="7">
        <v>874.8</v>
      </c>
      <c r="M3913" s="2" t="str">
        <f>_xlfn.IFS(TelecomData[[#This Row],[TenureMonths]]&lt;=12, "0-1 Year", TelecomData[[#This Row],[TenureMonths]]&lt;=36, "1-3 Years", TelecomData[[#This Row],[TenureMonths]]&gt;36, "3+ Years")</f>
        <v>1-3 Years</v>
      </c>
      <c r="N3913" s="2" t="str">
        <f>IF(TelecomData[[#This Row],[CleanedTotalCharges]]&gt;=2500,"High Spend", "Standard Spend")</f>
        <v>Standard Spend</v>
      </c>
    </row>
    <row r="3914" spans="1:14" x14ac:dyDescent="0.3">
      <c r="A3914" s="1" t="s">
        <v>3938</v>
      </c>
      <c r="B3914" s="2" t="s">
        <v>12</v>
      </c>
      <c r="C3914" s="2" t="s">
        <v>35</v>
      </c>
      <c r="D3914" s="2">
        <v>60</v>
      </c>
      <c r="E3914" s="2" t="s">
        <v>26</v>
      </c>
      <c r="F3914" s="2" t="s">
        <v>16</v>
      </c>
      <c r="G3914" s="7">
        <v>115.25</v>
      </c>
      <c r="H3914" s="7">
        <v>6758.45</v>
      </c>
      <c r="I3914" s="2" t="s">
        <v>15</v>
      </c>
      <c r="J3914" s="2" t="s">
        <v>15</v>
      </c>
      <c r="K3914" s="2" t="s">
        <v>29</v>
      </c>
      <c r="L3914" s="7">
        <v>6758.45</v>
      </c>
      <c r="M3914" s="2" t="str">
        <f>_xlfn.IFS(TelecomData[[#This Row],[TenureMonths]]&lt;=12, "0-1 Year", TelecomData[[#This Row],[TenureMonths]]&lt;=36, "1-3 Years", TelecomData[[#This Row],[TenureMonths]]&gt;36, "3+ Years")</f>
        <v>3+ Years</v>
      </c>
      <c r="N3914" s="2" t="str">
        <f>IF(TelecomData[[#This Row],[CleanedTotalCharges]]&gt;=2500,"High Spend", "Standard Spend")</f>
        <v>High Spend</v>
      </c>
    </row>
    <row r="3915" spans="1:14" x14ac:dyDescent="0.3">
      <c r="A3915" s="1" t="s">
        <v>3939</v>
      </c>
      <c r="B3915" s="2" t="s">
        <v>19</v>
      </c>
      <c r="C3915" s="2" t="s">
        <v>35</v>
      </c>
      <c r="D3915" s="2">
        <v>72</v>
      </c>
      <c r="E3915" s="2" t="s">
        <v>15</v>
      </c>
      <c r="F3915" s="2" t="s">
        <v>36</v>
      </c>
      <c r="G3915" s="7">
        <v>24.8</v>
      </c>
      <c r="H3915" s="7">
        <v>1874.3</v>
      </c>
      <c r="I3915" s="2" t="s">
        <v>15</v>
      </c>
      <c r="J3915" s="2" t="s">
        <v>15</v>
      </c>
      <c r="K3915" s="2" t="s">
        <v>29</v>
      </c>
      <c r="L3915" s="7">
        <v>1874.3</v>
      </c>
      <c r="M3915" s="2" t="str">
        <f>_xlfn.IFS(TelecomData[[#This Row],[TenureMonths]]&lt;=12, "0-1 Year", TelecomData[[#This Row],[TenureMonths]]&lt;=36, "1-3 Years", TelecomData[[#This Row],[TenureMonths]]&gt;36, "3+ Years")</f>
        <v>3+ Years</v>
      </c>
      <c r="N3915" s="2" t="str">
        <f>IF(TelecomData[[#This Row],[CleanedTotalCharges]]&gt;=2500,"High Spend", "Standard Spend")</f>
        <v>Standard Spend</v>
      </c>
    </row>
    <row r="3916" spans="1:14" x14ac:dyDescent="0.3">
      <c r="A3916" s="1" t="s">
        <v>3940</v>
      </c>
      <c r="B3916" s="2" t="s">
        <v>19</v>
      </c>
      <c r="C3916" s="2" t="s">
        <v>20</v>
      </c>
      <c r="D3916" s="2">
        <v>39</v>
      </c>
      <c r="E3916" s="2" t="s">
        <v>15</v>
      </c>
      <c r="F3916" s="2" t="s">
        <v>36</v>
      </c>
      <c r="G3916" s="7">
        <v>19.899999999999999</v>
      </c>
      <c r="H3916" s="7">
        <v>791.15</v>
      </c>
      <c r="I3916" s="2" t="s">
        <v>15</v>
      </c>
      <c r="J3916" s="2" t="s">
        <v>15</v>
      </c>
      <c r="K3916" s="2" t="s">
        <v>21</v>
      </c>
      <c r="L3916" s="7">
        <v>791.15</v>
      </c>
      <c r="M3916" s="2" t="str">
        <f>_xlfn.IFS(TelecomData[[#This Row],[TenureMonths]]&lt;=12, "0-1 Year", TelecomData[[#This Row],[TenureMonths]]&lt;=36, "1-3 Years", TelecomData[[#This Row],[TenureMonths]]&gt;36, "3+ Years")</f>
        <v>3+ Years</v>
      </c>
      <c r="N3916" s="2" t="str">
        <f>IF(TelecomData[[#This Row],[CleanedTotalCharges]]&gt;=2500,"High Spend", "Standard Spend")</f>
        <v>Standard Spend</v>
      </c>
    </row>
    <row r="3917" spans="1:14" x14ac:dyDescent="0.3">
      <c r="A3917" s="1" t="s">
        <v>3941</v>
      </c>
      <c r="B3917" s="2" t="s">
        <v>12</v>
      </c>
      <c r="C3917" s="2" t="s">
        <v>20</v>
      </c>
      <c r="D3917" s="2">
        <v>59</v>
      </c>
      <c r="E3917" s="2" t="s">
        <v>26</v>
      </c>
      <c r="F3917" s="2" t="s">
        <v>15</v>
      </c>
      <c r="G3917" s="7">
        <v>81.25</v>
      </c>
      <c r="H3917" s="7">
        <v>4639.45</v>
      </c>
      <c r="I3917" s="2" t="s">
        <v>15</v>
      </c>
      <c r="J3917" s="2" t="s">
        <v>16</v>
      </c>
      <c r="K3917" s="2" t="s">
        <v>29</v>
      </c>
      <c r="L3917" s="7">
        <v>4639.45</v>
      </c>
      <c r="M3917" s="2" t="str">
        <f>_xlfn.IFS(TelecomData[[#This Row],[TenureMonths]]&lt;=12, "0-1 Year", TelecomData[[#This Row],[TenureMonths]]&lt;=36, "1-3 Years", TelecomData[[#This Row],[TenureMonths]]&gt;36, "3+ Years")</f>
        <v>3+ Years</v>
      </c>
      <c r="N3917" s="2" t="str">
        <f>IF(TelecomData[[#This Row],[CleanedTotalCharges]]&gt;=2500,"High Spend", "Standard Spend")</f>
        <v>High Spend</v>
      </c>
    </row>
    <row r="3918" spans="1:14" x14ac:dyDescent="0.3">
      <c r="A3918" s="1" t="s">
        <v>3942</v>
      </c>
      <c r="B3918" s="2" t="s">
        <v>19</v>
      </c>
      <c r="C3918" s="2" t="s">
        <v>13</v>
      </c>
      <c r="D3918" s="2">
        <v>2</v>
      </c>
      <c r="E3918" s="2" t="s">
        <v>26</v>
      </c>
      <c r="F3918" s="2" t="s">
        <v>15</v>
      </c>
      <c r="G3918" s="7">
        <v>69.95</v>
      </c>
      <c r="H3918" s="7">
        <v>143.9</v>
      </c>
      <c r="I3918" s="2" t="s">
        <v>15</v>
      </c>
      <c r="J3918" s="2" t="s">
        <v>15</v>
      </c>
      <c r="K3918" s="2" t="s">
        <v>21</v>
      </c>
      <c r="L3918" s="7">
        <v>143.9</v>
      </c>
      <c r="M3918" s="2" t="str">
        <f>_xlfn.IFS(TelecomData[[#This Row],[TenureMonths]]&lt;=12, "0-1 Year", TelecomData[[#This Row],[TenureMonths]]&lt;=36, "1-3 Years", TelecomData[[#This Row],[TenureMonths]]&gt;36, "3+ Years")</f>
        <v>0-1 Year</v>
      </c>
      <c r="N3918" s="2" t="str">
        <f>IF(TelecomData[[#This Row],[CleanedTotalCharges]]&gt;=2500,"High Spend", "Standard Spend")</f>
        <v>Standard Spend</v>
      </c>
    </row>
    <row r="3919" spans="1:14" x14ac:dyDescent="0.3">
      <c r="A3919" s="1" t="s">
        <v>3943</v>
      </c>
      <c r="B3919" s="2" t="s">
        <v>19</v>
      </c>
      <c r="C3919" s="2" t="s">
        <v>13</v>
      </c>
      <c r="D3919" s="2">
        <v>1</v>
      </c>
      <c r="E3919" s="2" t="s">
        <v>26</v>
      </c>
      <c r="F3919" s="2" t="s">
        <v>15</v>
      </c>
      <c r="G3919" s="7">
        <v>69.099999999999994</v>
      </c>
      <c r="H3919" s="7">
        <v>69.099999999999994</v>
      </c>
      <c r="I3919" s="2" t="s">
        <v>16</v>
      </c>
      <c r="J3919" s="2" t="s">
        <v>15</v>
      </c>
      <c r="K3919" s="2" t="s">
        <v>17</v>
      </c>
      <c r="L3919" s="7">
        <v>69.099999999999994</v>
      </c>
      <c r="M3919" s="2" t="str">
        <f>_xlfn.IFS(TelecomData[[#This Row],[TenureMonths]]&lt;=12, "0-1 Year", TelecomData[[#This Row],[TenureMonths]]&lt;=36, "1-3 Years", TelecomData[[#This Row],[TenureMonths]]&gt;36, "3+ Years")</f>
        <v>0-1 Year</v>
      </c>
      <c r="N3919" s="2" t="str">
        <f>IF(TelecomData[[#This Row],[CleanedTotalCharges]]&gt;=2500,"High Spend", "Standard Spend")</f>
        <v>Standard Spend</v>
      </c>
    </row>
    <row r="3920" spans="1:14" x14ac:dyDescent="0.3">
      <c r="A3920" s="1" t="s">
        <v>3944</v>
      </c>
      <c r="B3920" s="2" t="s">
        <v>19</v>
      </c>
      <c r="C3920" s="2" t="s">
        <v>13</v>
      </c>
      <c r="D3920" s="2">
        <v>20</v>
      </c>
      <c r="E3920" s="2" t="s">
        <v>26</v>
      </c>
      <c r="F3920" s="2" t="s">
        <v>15</v>
      </c>
      <c r="G3920" s="7">
        <v>90.2</v>
      </c>
      <c r="H3920" s="7">
        <v>1776.55</v>
      </c>
      <c r="I3920" s="2" t="s">
        <v>16</v>
      </c>
      <c r="J3920" s="2" t="s">
        <v>16</v>
      </c>
      <c r="K3920" s="2" t="s">
        <v>17</v>
      </c>
      <c r="L3920" s="7">
        <v>1776.55</v>
      </c>
      <c r="M3920" s="2" t="str">
        <f>_xlfn.IFS(TelecomData[[#This Row],[TenureMonths]]&lt;=12, "0-1 Year", TelecomData[[#This Row],[TenureMonths]]&lt;=36, "1-3 Years", TelecomData[[#This Row],[TenureMonths]]&gt;36, "3+ Years")</f>
        <v>1-3 Years</v>
      </c>
      <c r="N3920" s="2" t="str">
        <f>IF(TelecomData[[#This Row],[CleanedTotalCharges]]&gt;=2500,"High Spend", "Standard Spend")</f>
        <v>Standard Spend</v>
      </c>
    </row>
    <row r="3921" spans="1:14" x14ac:dyDescent="0.3">
      <c r="A3921" s="1" t="s">
        <v>3945</v>
      </c>
      <c r="B3921" s="2" t="s">
        <v>12</v>
      </c>
      <c r="C3921" s="2" t="s">
        <v>13</v>
      </c>
      <c r="D3921" s="2">
        <v>6</v>
      </c>
      <c r="E3921" s="2" t="s">
        <v>26</v>
      </c>
      <c r="F3921" s="2" t="s">
        <v>15</v>
      </c>
      <c r="G3921" s="7">
        <v>93.55</v>
      </c>
      <c r="H3921" s="7">
        <v>536.4</v>
      </c>
      <c r="I3921" s="2" t="s">
        <v>16</v>
      </c>
      <c r="J3921" s="2" t="s">
        <v>16</v>
      </c>
      <c r="K3921" s="2" t="s">
        <v>24</v>
      </c>
      <c r="L3921" s="7">
        <v>536.4</v>
      </c>
      <c r="M3921" s="2" t="str">
        <f>_xlfn.IFS(TelecomData[[#This Row],[TenureMonths]]&lt;=12, "0-1 Year", TelecomData[[#This Row],[TenureMonths]]&lt;=36, "1-3 Years", TelecomData[[#This Row],[TenureMonths]]&gt;36, "3+ Years")</f>
        <v>0-1 Year</v>
      </c>
      <c r="N3921" s="2" t="str">
        <f>IF(TelecomData[[#This Row],[CleanedTotalCharges]]&gt;=2500,"High Spend", "Standard Spend")</f>
        <v>Standard Spend</v>
      </c>
    </row>
    <row r="3922" spans="1:14" x14ac:dyDescent="0.3">
      <c r="A3922" s="1" t="s">
        <v>3946</v>
      </c>
      <c r="B3922" s="2" t="s">
        <v>19</v>
      </c>
      <c r="C3922" s="2" t="s">
        <v>35</v>
      </c>
      <c r="D3922" s="2">
        <v>71</v>
      </c>
      <c r="E3922" s="2" t="s">
        <v>26</v>
      </c>
      <c r="F3922" s="2" t="s">
        <v>16</v>
      </c>
      <c r="G3922" s="7">
        <v>86.4</v>
      </c>
      <c r="H3922" s="7">
        <v>6172</v>
      </c>
      <c r="I3922" s="2" t="s">
        <v>15</v>
      </c>
      <c r="J3922" s="2" t="s">
        <v>16</v>
      </c>
      <c r="K3922" s="2" t="s">
        <v>29</v>
      </c>
      <c r="L3922" s="7">
        <v>6172</v>
      </c>
      <c r="M3922" s="2" t="str">
        <f>_xlfn.IFS(TelecomData[[#This Row],[TenureMonths]]&lt;=12, "0-1 Year", TelecomData[[#This Row],[TenureMonths]]&lt;=36, "1-3 Years", TelecomData[[#This Row],[TenureMonths]]&gt;36, "3+ Years")</f>
        <v>3+ Years</v>
      </c>
      <c r="N3922" s="2" t="str">
        <f>IF(TelecomData[[#This Row],[CleanedTotalCharges]]&gt;=2500,"High Spend", "Standard Spend")</f>
        <v>High Spend</v>
      </c>
    </row>
    <row r="3923" spans="1:14" x14ac:dyDescent="0.3">
      <c r="A3923" s="1" t="s">
        <v>3947</v>
      </c>
      <c r="B3923" s="2" t="s">
        <v>12</v>
      </c>
      <c r="C3923" s="2" t="s">
        <v>13</v>
      </c>
      <c r="D3923" s="2">
        <v>24</v>
      </c>
      <c r="E3923" s="2" t="s">
        <v>14</v>
      </c>
      <c r="F3923" s="2" t="s">
        <v>15</v>
      </c>
      <c r="G3923" s="7">
        <v>66.3</v>
      </c>
      <c r="H3923" s="7">
        <v>1559.45</v>
      </c>
      <c r="I3923" s="2" t="s">
        <v>15</v>
      </c>
      <c r="J3923" s="2" t="s">
        <v>15</v>
      </c>
      <c r="K3923" s="2" t="s">
        <v>21</v>
      </c>
      <c r="L3923" s="7">
        <v>1559.45</v>
      </c>
      <c r="M3923" s="2" t="str">
        <f>_xlfn.IFS(TelecomData[[#This Row],[TenureMonths]]&lt;=12, "0-1 Year", TelecomData[[#This Row],[TenureMonths]]&lt;=36, "1-3 Years", TelecomData[[#This Row],[TenureMonths]]&gt;36, "3+ Years")</f>
        <v>1-3 Years</v>
      </c>
      <c r="N3923" s="2" t="str">
        <f>IF(TelecomData[[#This Row],[CleanedTotalCharges]]&gt;=2500,"High Spend", "Standard Spend")</f>
        <v>Standard Spend</v>
      </c>
    </row>
    <row r="3924" spans="1:14" x14ac:dyDescent="0.3">
      <c r="A3924" s="1" t="s">
        <v>3948</v>
      </c>
      <c r="B3924" s="2" t="s">
        <v>19</v>
      </c>
      <c r="C3924" s="2" t="s">
        <v>13</v>
      </c>
      <c r="D3924" s="2">
        <v>67</v>
      </c>
      <c r="E3924" s="2" t="s">
        <v>26</v>
      </c>
      <c r="F3924" s="2" t="s">
        <v>15</v>
      </c>
      <c r="G3924" s="7">
        <v>94.65</v>
      </c>
      <c r="H3924" s="7">
        <v>6079</v>
      </c>
      <c r="I3924" s="2" t="s">
        <v>15</v>
      </c>
      <c r="J3924" s="2" t="s">
        <v>16</v>
      </c>
      <c r="K3924" s="2" t="s">
        <v>29</v>
      </c>
      <c r="L3924" s="7">
        <v>6079</v>
      </c>
      <c r="M3924" s="2" t="str">
        <f>_xlfn.IFS(TelecomData[[#This Row],[TenureMonths]]&lt;=12, "0-1 Year", TelecomData[[#This Row],[TenureMonths]]&lt;=36, "1-3 Years", TelecomData[[#This Row],[TenureMonths]]&gt;36, "3+ Years")</f>
        <v>3+ Years</v>
      </c>
      <c r="N3924" s="2" t="str">
        <f>IF(TelecomData[[#This Row],[CleanedTotalCharges]]&gt;=2500,"High Spend", "Standard Spend")</f>
        <v>High Spend</v>
      </c>
    </row>
    <row r="3925" spans="1:14" x14ac:dyDescent="0.3">
      <c r="A3925" s="1" t="s">
        <v>3949</v>
      </c>
      <c r="B3925" s="2" t="s">
        <v>19</v>
      </c>
      <c r="C3925" s="2" t="s">
        <v>13</v>
      </c>
      <c r="D3925" s="2">
        <v>1</v>
      </c>
      <c r="E3925" s="2" t="s">
        <v>26</v>
      </c>
      <c r="F3925" s="2" t="s">
        <v>15</v>
      </c>
      <c r="G3925" s="7">
        <v>80.849999999999994</v>
      </c>
      <c r="H3925" s="7">
        <v>80.849999999999994</v>
      </c>
      <c r="I3925" s="2" t="s">
        <v>16</v>
      </c>
      <c r="J3925" s="2" t="s">
        <v>16</v>
      </c>
      <c r="K3925" s="2" t="s">
        <v>21</v>
      </c>
      <c r="L3925" s="7">
        <v>80.849999999999994</v>
      </c>
      <c r="M3925" s="2" t="str">
        <f>_xlfn.IFS(TelecomData[[#This Row],[TenureMonths]]&lt;=12, "0-1 Year", TelecomData[[#This Row],[TenureMonths]]&lt;=36, "1-3 Years", TelecomData[[#This Row],[TenureMonths]]&gt;36, "3+ Years")</f>
        <v>0-1 Year</v>
      </c>
      <c r="N3925" s="2" t="str">
        <f>IF(TelecomData[[#This Row],[CleanedTotalCharges]]&gt;=2500,"High Spend", "Standard Spend")</f>
        <v>Standard Spend</v>
      </c>
    </row>
    <row r="3926" spans="1:14" x14ac:dyDescent="0.3">
      <c r="A3926" s="1" t="s">
        <v>3950</v>
      </c>
      <c r="B3926" s="2" t="s">
        <v>12</v>
      </c>
      <c r="C3926" s="2" t="s">
        <v>20</v>
      </c>
      <c r="D3926" s="2">
        <v>48</v>
      </c>
      <c r="E3926" s="2" t="s">
        <v>26</v>
      </c>
      <c r="F3926" s="2" t="s">
        <v>15</v>
      </c>
      <c r="G3926" s="7">
        <v>82.05</v>
      </c>
      <c r="H3926" s="7">
        <v>4029.95</v>
      </c>
      <c r="I3926" s="2" t="s">
        <v>16</v>
      </c>
      <c r="J3926" s="2" t="s">
        <v>16</v>
      </c>
      <c r="K3926" s="2" t="s">
        <v>21</v>
      </c>
      <c r="L3926" s="7">
        <v>4029.95</v>
      </c>
      <c r="M3926" s="2" t="str">
        <f>_xlfn.IFS(TelecomData[[#This Row],[TenureMonths]]&lt;=12, "0-1 Year", TelecomData[[#This Row],[TenureMonths]]&lt;=36, "1-3 Years", TelecomData[[#This Row],[TenureMonths]]&gt;36, "3+ Years")</f>
        <v>3+ Years</v>
      </c>
      <c r="N3926" s="2" t="str">
        <f>IF(TelecomData[[#This Row],[CleanedTotalCharges]]&gt;=2500,"High Spend", "Standard Spend")</f>
        <v>High Spend</v>
      </c>
    </row>
    <row r="3927" spans="1:14" x14ac:dyDescent="0.3">
      <c r="A3927" s="1" t="s">
        <v>3951</v>
      </c>
      <c r="B3927" s="2" t="s">
        <v>12</v>
      </c>
      <c r="C3927" s="2" t="s">
        <v>20</v>
      </c>
      <c r="D3927" s="2">
        <v>37</v>
      </c>
      <c r="E3927" s="2" t="s">
        <v>14</v>
      </c>
      <c r="F3927" s="2" t="s">
        <v>16</v>
      </c>
      <c r="G3927" s="7">
        <v>72.099999999999994</v>
      </c>
      <c r="H3927" s="7">
        <v>2658.4</v>
      </c>
      <c r="I3927" s="2" t="s">
        <v>15</v>
      </c>
      <c r="J3927" s="2" t="s">
        <v>15</v>
      </c>
      <c r="K3927" s="2" t="s">
        <v>21</v>
      </c>
      <c r="L3927" s="7">
        <v>2658.4</v>
      </c>
      <c r="M3927" s="2" t="str">
        <f>_xlfn.IFS(TelecomData[[#This Row],[TenureMonths]]&lt;=12, "0-1 Year", TelecomData[[#This Row],[TenureMonths]]&lt;=36, "1-3 Years", TelecomData[[#This Row],[TenureMonths]]&gt;36, "3+ Years")</f>
        <v>3+ Years</v>
      </c>
      <c r="N3927" s="2" t="str">
        <f>IF(TelecomData[[#This Row],[CleanedTotalCharges]]&gt;=2500,"High Spend", "Standard Spend")</f>
        <v>High Spend</v>
      </c>
    </row>
    <row r="3928" spans="1:14" x14ac:dyDescent="0.3">
      <c r="A3928" s="1" t="s">
        <v>3952</v>
      </c>
      <c r="B3928" s="2" t="s">
        <v>19</v>
      </c>
      <c r="C3928" s="2" t="s">
        <v>13</v>
      </c>
      <c r="D3928" s="2">
        <v>11</v>
      </c>
      <c r="E3928" s="2" t="s">
        <v>14</v>
      </c>
      <c r="F3928" s="2" t="s">
        <v>15</v>
      </c>
      <c r="G3928" s="7">
        <v>34.700000000000003</v>
      </c>
      <c r="H3928" s="7">
        <v>383.55</v>
      </c>
      <c r="I3928" s="2" t="s">
        <v>15</v>
      </c>
      <c r="J3928" s="2" t="s">
        <v>15</v>
      </c>
      <c r="K3928" s="2" t="s">
        <v>21</v>
      </c>
      <c r="L3928" s="7">
        <v>383.55</v>
      </c>
      <c r="M3928" s="2" t="str">
        <f>_xlfn.IFS(TelecomData[[#This Row],[TenureMonths]]&lt;=12, "0-1 Year", TelecomData[[#This Row],[TenureMonths]]&lt;=36, "1-3 Years", TelecomData[[#This Row],[TenureMonths]]&gt;36, "3+ Years")</f>
        <v>0-1 Year</v>
      </c>
      <c r="N3928" s="2" t="str">
        <f>IF(TelecomData[[#This Row],[CleanedTotalCharges]]&gt;=2500,"High Spend", "Standard Spend")</f>
        <v>Standard Spend</v>
      </c>
    </row>
    <row r="3929" spans="1:14" x14ac:dyDescent="0.3">
      <c r="A3929" s="1" t="s">
        <v>3953</v>
      </c>
      <c r="B3929" s="2" t="s">
        <v>19</v>
      </c>
      <c r="C3929" s="2" t="s">
        <v>13</v>
      </c>
      <c r="D3929" s="2">
        <v>3</v>
      </c>
      <c r="E3929" s="2" t="s">
        <v>15</v>
      </c>
      <c r="F3929" s="2" t="s">
        <v>36</v>
      </c>
      <c r="G3929" s="7">
        <v>20.55</v>
      </c>
      <c r="H3929" s="7">
        <v>51.15</v>
      </c>
      <c r="I3929" s="2" t="s">
        <v>16</v>
      </c>
      <c r="J3929" s="2" t="s">
        <v>16</v>
      </c>
      <c r="K3929" s="2" t="s">
        <v>29</v>
      </c>
      <c r="L3929" s="7">
        <v>51.15</v>
      </c>
      <c r="M3929" s="2" t="str">
        <f>_xlfn.IFS(TelecomData[[#This Row],[TenureMonths]]&lt;=12, "0-1 Year", TelecomData[[#This Row],[TenureMonths]]&lt;=36, "1-3 Years", TelecomData[[#This Row],[TenureMonths]]&gt;36, "3+ Years")</f>
        <v>0-1 Year</v>
      </c>
      <c r="N3929" s="2" t="str">
        <f>IF(TelecomData[[#This Row],[CleanedTotalCharges]]&gt;=2500,"High Spend", "Standard Spend")</f>
        <v>Standard Spend</v>
      </c>
    </row>
    <row r="3930" spans="1:14" x14ac:dyDescent="0.3">
      <c r="A3930" s="1" t="s">
        <v>3954</v>
      </c>
      <c r="B3930" s="2" t="s">
        <v>12</v>
      </c>
      <c r="C3930" s="2" t="s">
        <v>13</v>
      </c>
      <c r="D3930" s="2">
        <v>18</v>
      </c>
      <c r="E3930" s="2" t="s">
        <v>26</v>
      </c>
      <c r="F3930" s="2" t="s">
        <v>15</v>
      </c>
      <c r="G3930" s="7">
        <v>95.95</v>
      </c>
      <c r="H3930" s="7">
        <v>1745.5</v>
      </c>
      <c r="I3930" s="2" t="s">
        <v>15</v>
      </c>
      <c r="J3930" s="2" t="s">
        <v>16</v>
      </c>
      <c r="K3930" s="2" t="s">
        <v>29</v>
      </c>
      <c r="L3930" s="7">
        <v>1745.5</v>
      </c>
      <c r="M3930" s="2" t="str">
        <f>_xlfn.IFS(TelecomData[[#This Row],[TenureMonths]]&lt;=12, "0-1 Year", TelecomData[[#This Row],[TenureMonths]]&lt;=36, "1-3 Years", TelecomData[[#This Row],[TenureMonths]]&gt;36, "3+ Years")</f>
        <v>1-3 Years</v>
      </c>
      <c r="N3930" s="2" t="str">
        <f>IF(TelecomData[[#This Row],[CleanedTotalCharges]]&gt;=2500,"High Spend", "Standard Spend")</f>
        <v>Standard Spend</v>
      </c>
    </row>
    <row r="3931" spans="1:14" x14ac:dyDescent="0.3">
      <c r="A3931" s="1" t="s">
        <v>3955</v>
      </c>
      <c r="B3931" s="2" t="s">
        <v>19</v>
      </c>
      <c r="C3931" s="2" t="s">
        <v>20</v>
      </c>
      <c r="D3931" s="2">
        <v>50</v>
      </c>
      <c r="E3931" s="2" t="s">
        <v>14</v>
      </c>
      <c r="F3931" s="2" t="s">
        <v>15</v>
      </c>
      <c r="G3931" s="7">
        <v>44.8</v>
      </c>
      <c r="H3931" s="7">
        <v>2230.85</v>
      </c>
      <c r="I3931" s="2" t="s">
        <v>15</v>
      </c>
      <c r="J3931" s="2" t="s">
        <v>16</v>
      </c>
      <c r="K3931" s="2" t="s">
        <v>24</v>
      </c>
      <c r="L3931" s="7">
        <v>2230.85</v>
      </c>
      <c r="M3931" s="2" t="str">
        <f>_xlfn.IFS(TelecomData[[#This Row],[TenureMonths]]&lt;=12, "0-1 Year", TelecomData[[#This Row],[TenureMonths]]&lt;=36, "1-3 Years", TelecomData[[#This Row],[TenureMonths]]&gt;36, "3+ Years")</f>
        <v>3+ Years</v>
      </c>
      <c r="N3931" s="2" t="str">
        <f>IF(TelecomData[[#This Row],[CleanedTotalCharges]]&gt;=2500,"High Spend", "Standard Spend")</f>
        <v>Standard Spend</v>
      </c>
    </row>
    <row r="3932" spans="1:14" x14ac:dyDescent="0.3">
      <c r="A3932" s="1" t="s">
        <v>3956</v>
      </c>
      <c r="B3932" s="2" t="s">
        <v>12</v>
      </c>
      <c r="C3932" s="2" t="s">
        <v>20</v>
      </c>
      <c r="D3932" s="2">
        <v>67</v>
      </c>
      <c r="E3932" s="2" t="s">
        <v>26</v>
      </c>
      <c r="F3932" s="2" t="s">
        <v>16</v>
      </c>
      <c r="G3932" s="7">
        <v>109.4</v>
      </c>
      <c r="H3932" s="7">
        <v>7281.6</v>
      </c>
      <c r="I3932" s="2" t="s">
        <v>15</v>
      </c>
      <c r="J3932" s="2" t="s">
        <v>16</v>
      </c>
      <c r="K3932" s="2" t="s">
        <v>17</v>
      </c>
      <c r="L3932" s="7">
        <v>7281.6</v>
      </c>
      <c r="M3932" s="2" t="str">
        <f>_xlfn.IFS(TelecomData[[#This Row],[TenureMonths]]&lt;=12, "0-1 Year", TelecomData[[#This Row],[TenureMonths]]&lt;=36, "1-3 Years", TelecomData[[#This Row],[TenureMonths]]&gt;36, "3+ Years")</f>
        <v>3+ Years</v>
      </c>
      <c r="N3932" s="2" t="str">
        <f>IF(TelecomData[[#This Row],[CleanedTotalCharges]]&gt;=2500,"High Spend", "Standard Spend")</f>
        <v>High Spend</v>
      </c>
    </row>
    <row r="3933" spans="1:14" x14ac:dyDescent="0.3">
      <c r="A3933" s="1" t="s">
        <v>3957</v>
      </c>
      <c r="B3933" s="2" t="s">
        <v>12</v>
      </c>
      <c r="C3933" s="2" t="s">
        <v>13</v>
      </c>
      <c r="D3933" s="2">
        <v>25</v>
      </c>
      <c r="E3933" s="2" t="s">
        <v>14</v>
      </c>
      <c r="F3933" s="2" t="s">
        <v>16</v>
      </c>
      <c r="G3933" s="7">
        <v>71.05</v>
      </c>
      <c r="H3933" s="7">
        <v>1837.7</v>
      </c>
      <c r="I3933" s="2" t="s">
        <v>15</v>
      </c>
      <c r="J3933" s="2" t="s">
        <v>16</v>
      </c>
      <c r="K3933" s="2" t="s">
        <v>21</v>
      </c>
      <c r="L3933" s="7">
        <v>1837.7</v>
      </c>
      <c r="M3933" s="2" t="str">
        <f>_xlfn.IFS(TelecomData[[#This Row],[TenureMonths]]&lt;=12, "0-1 Year", TelecomData[[#This Row],[TenureMonths]]&lt;=36, "1-3 Years", TelecomData[[#This Row],[TenureMonths]]&gt;36, "3+ Years")</f>
        <v>1-3 Years</v>
      </c>
      <c r="N3933" s="2" t="str">
        <f>IF(TelecomData[[#This Row],[CleanedTotalCharges]]&gt;=2500,"High Spend", "Standard Spend")</f>
        <v>Standard Spend</v>
      </c>
    </row>
    <row r="3934" spans="1:14" x14ac:dyDescent="0.3">
      <c r="A3934" s="1" t="s">
        <v>3958</v>
      </c>
      <c r="B3934" s="2" t="s">
        <v>12</v>
      </c>
      <c r="C3934" s="2" t="s">
        <v>13</v>
      </c>
      <c r="D3934" s="2">
        <v>2</v>
      </c>
      <c r="E3934" s="2" t="s">
        <v>26</v>
      </c>
      <c r="F3934" s="2" t="s">
        <v>15</v>
      </c>
      <c r="G3934" s="7">
        <v>78.55</v>
      </c>
      <c r="H3934" s="7">
        <v>149.55000000000001</v>
      </c>
      <c r="I3934" s="2" t="s">
        <v>16</v>
      </c>
      <c r="J3934" s="2" t="s">
        <v>16</v>
      </c>
      <c r="K3934" s="2" t="s">
        <v>17</v>
      </c>
      <c r="L3934" s="7">
        <v>149.55000000000001</v>
      </c>
      <c r="M3934" s="2" t="str">
        <f>_xlfn.IFS(TelecomData[[#This Row],[TenureMonths]]&lt;=12, "0-1 Year", TelecomData[[#This Row],[TenureMonths]]&lt;=36, "1-3 Years", TelecomData[[#This Row],[TenureMonths]]&gt;36, "3+ Years")</f>
        <v>0-1 Year</v>
      </c>
      <c r="N3934" s="2" t="str">
        <f>IF(TelecomData[[#This Row],[CleanedTotalCharges]]&gt;=2500,"High Spend", "Standard Spend")</f>
        <v>Standard Spend</v>
      </c>
    </row>
    <row r="3935" spans="1:14" x14ac:dyDescent="0.3">
      <c r="A3935" s="1" t="s">
        <v>3959</v>
      </c>
      <c r="B3935" s="2" t="s">
        <v>19</v>
      </c>
      <c r="C3935" s="2" t="s">
        <v>13</v>
      </c>
      <c r="D3935" s="2">
        <v>9</v>
      </c>
      <c r="E3935" s="2" t="s">
        <v>15</v>
      </c>
      <c r="F3935" s="2" t="s">
        <v>36</v>
      </c>
      <c r="G3935" s="7">
        <v>19.7</v>
      </c>
      <c r="H3935" s="7">
        <v>180.7</v>
      </c>
      <c r="I3935" s="2" t="s">
        <v>15</v>
      </c>
      <c r="J3935" s="2" t="s">
        <v>15</v>
      </c>
      <c r="K3935" s="2" t="s">
        <v>29</v>
      </c>
      <c r="L3935" s="7">
        <v>180.7</v>
      </c>
      <c r="M3935" s="2" t="str">
        <f>_xlfn.IFS(TelecomData[[#This Row],[TenureMonths]]&lt;=12, "0-1 Year", TelecomData[[#This Row],[TenureMonths]]&lt;=36, "1-3 Years", TelecomData[[#This Row],[TenureMonths]]&gt;36, "3+ Years")</f>
        <v>0-1 Year</v>
      </c>
      <c r="N3935" s="2" t="str">
        <f>IF(TelecomData[[#This Row],[CleanedTotalCharges]]&gt;=2500,"High Spend", "Standard Spend")</f>
        <v>Standard Spend</v>
      </c>
    </row>
    <row r="3936" spans="1:14" x14ac:dyDescent="0.3">
      <c r="A3936" s="1" t="s">
        <v>3960</v>
      </c>
      <c r="B3936" s="2" t="s">
        <v>12</v>
      </c>
      <c r="C3936" s="2" t="s">
        <v>20</v>
      </c>
      <c r="D3936" s="2">
        <v>10</v>
      </c>
      <c r="E3936" s="2" t="s">
        <v>14</v>
      </c>
      <c r="F3936" s="2" t="s">
        <v>16</v>
      </c>
      <c r="G3936" s="7">
        <v>40.25</v>
      </c>
      <c r="H3936" s="7">
        <v>411.45</v>
      </c>
      <c r="I3936" s="2" t="s">
        <v>15</v>
      </c>
      <c r="J3936" s="2" t="s">
        <v>15</v>
      </c>
      <c r="K3936" s="2" t="s">
        <v>21</v>
      </c>
      <c r="L3936" s="7">
        <v>411.45</v>
      </c>
      <c r="M3936" s="2" t="str">
        <f>_xlfn.IFS(TelecomData[[#This Row],[TenureMonths]]&lt;=12, "0-1 Year", TelecomData[[#This Row],[TenureMonths]]&lt;=36, "1-3 Years", TelecomData[[#This Row],[TenureMonths]]&gt;36, "3+ Years")</f>
        <v>0-1 Year</v>
      </c>
      <c r="N3936" s="2" t="str">
        <f>IF(TelecomData[[#This Row],[CleanedTotalCharges]]&gt;=2500,"High Spend", "Standard Spend")</f>
        <v>Standard Spend</v>
      </c>
    </row>
    <row r="3937" spans="1:14" x14ac:dyDescent="0.3">
      <c r="A3937" s="1" t="s">
        <v>3961</v>
      </c>
      <c r="B3937" s="2" t="s">
        <v>12</v>
      </c>
      <c r="C3937" s="2" t="s">
        <v>35</v>
      </c>
      <c r="D3937" s="2">
        <v>70</v>
      </c>
      <c r="E3937" s="2" t="s">
        <v>15</v>
      </c>
      <c r="F3937" s="2" t="s">
        <v>36</v>
      </c>
      <c r="G3937" s="7">
        <v>19.850000000000001</v>
      </c>
      <c r="H3937" s="7">
        <v>1328.35</v>
      </c>
      <c r="I3937" s="2" t="s">
        <v>15</v>
      </c>
      <c r="J3937" s="2" t="s">
        <v>15</v>
      </c>
      <c r="K3937" s="2" t="s">
        <v>29</v>
      </c>
      <c r="L3937" s="7">
        <v>1328.35</v>
      </c>
      <c r="M3937" s="2" t="str">
        <f>_xlfn.IFS(TelecomData[[#This Row],[TenureMonths]]&lt;=12, "0-1 Year", TelecomData[[#This Row],[TenureMonths]]&lt;=36, "1-3 Years", TelecomData[[#This Row],[TenureMonths]]&gt;36, "3+ Years")</f>
        <v>3+ Years</v>
      </c>
      <c r="N3937" s="2" t="str">
        <f>IF(TelecomData[[#This Row],[CleanedTotalCharges]]&gt;=2500,"High Spend", "Standard Spend")</f>
        <v>Standard Spend</v>
      </c>
    </row>
    <row r="3938" spans="1:14" x14ac:dyDescent="0.3">
      <c r="A3938" s="1" t="s">
        <v>3962</v>
      </c>
      <c r="B3938" s="2" t="s">
        <v>19</v>
      </c>
      <c r="C3938" s="2" t="s">
        <v>13</v>
      </c>
      <c r="D3938" s="2">
        <v>9</v>
      </c>
      <c r="E3938" s="2" t="s">
        <v>14</v>
      </c>
      <c r="F3938" s="2" t="s">
        <v>16</v>
      </c>
      <c r="G3938" s="7">
        <v>68.25</v>
      </c>
      <c r="H3938" s="7">
        <v>576.95000000000005</v>
      </c>
      <c r="I3938" s="2" t="s">
        <v>15</v>
      </c>
      <c r="J3938" s="2" t="s">
        <v>16</v>
      </c>
      <c r="K3938" s="2" t="s">
        <v>24</v>
      </c>
      <c r="L3938" s="7">
        <v>576.95000000000005</v>
      </c>
      <c r="M3938" s="2" t="str">
        <f>_xlfn.IFS(TelecomData[[#This Row],[TenureMonths]]&lt;=12, "0-1 Year", TelecomData[[#This Row],[TenureMonths]]&lt;=36, "1-3 Years", TelecomData[[#This Row],[TenureMonths]]&gt;36, "3+ Years")</f>
        <v>0-1 Year</v>
      </c>
      <c r="N3938" s="2" t="str">
        <f>IF(TelecomData[[#This Row],[CleanedTotalCharges]]&gt;=2500,"High Spend", "Standard Spend")</f>
        <v>Standard Spend</v>
      </c>
    </row>
    <row r="3939" spans="1:14" x14ac:dyDescent="0.3">
      <c r="A3939" s="1" t="s">
        <v>3963</v>
      </c>
      <c r="B3939" s="2" t="s">
        <v>12</v>
      </c>
      <c r="C3939" s="2" t="s">
        <v>13</v>
      </c>
      <c r="D3939" s="2">
        <v>4</v>
      </c>
      <c r="E3939" s="2" t="s">
        <v>15</v>
      </c>
      <c r="F3939" s="2" t="s">
        <v>36</v>
      </c>
      <c r="G3939" s="7">
        <v>20.149999999999999</v>
      </c>
      <c r="H3939" s="7">
        <v>68.45</v>
      </c>
      <c r="I3939" s="2" t="s">
        <v>15</v>
      </c>
      <c r="J3939" s="2" t="s">
        <v>16</v>
      </c>
      <c r="K3939" s="2" t="s">
        <v>29</v>
      </c>
      <c r="L3939" s="7">
        <v>68.45</v>
      </c>
      <c r="M3939" s="2" t="str">
        <f>_xlfn.IFS(TelecomData[[#This Row],[TenureMonths]]&lt;=12, "0-1 Year", TelecomData[[#This Row],[TenureMonths]]&lt;=36, "1-3 Years", TelecomData[[#This Row],[TenureMonths]]&gt;36, "3+ Years")</f>
        <v>0-1 Year</v>
      </c>
      <c r="N3939" s="2" t="str">
        <f>IF(TelecomData[[#This Row],[CleanedTotalCharges]]&gt;=2500,"High Spend", "Standard Spend")</f>
        <v>Standard Spend</v>
      </c>
    </row>
    <row r="3940" spans="1:14" x14ac:dyDescent="0.3">
      <c r="A3940" s="1" t="s">
        <v>3964</v>
      </c>
      <c r="B3940" s="2" t="s">
        <v>12</v>
      </c>
      <c r="C3940" s="2" t="s">
        <v>13</v>
      </c>
      <c r="D3940" s="2">
        <v>2</v>
      </c>
      <c r="E3940" s="2" t="s">
        <v>14</v>
      </c>
      <c r="F3940" s="2" t="s">
        <v>15</v>
      </c>
      <c r="G3940" s="7">
        <v>50.95</v>
      </c>
      <c r="H3940" s="7">
        <v>123.05</v>
      </c>
      <c r="I3940" s="2" t="s">
        <v>15</v>
      </c>
      <c r="J3940" s="2" t="s">
        <v>15</v>
      </c>
      <c r="K3940" s="2" t="s">
        <v>21</v>
      </c>
      <c r="L3940" s="7">
        <v>123.05</v>
      </c>
      <c r="M3940" s="2" t="str">
        <f>_xlfn.IFS(TelecomData[[#This Row],[TenureMonths]]&lt;=12, "0-1 Year", TelecomData[[#This Row],[TenureMonths]]&lt;=36, "1-3 Years", TelecomData[[#This Row],[TenureMonths]]&gt;36, "3+ Years")</f>
        <v>0-1 Year</v>
      </c>
      <c r="N3940" s="2" t="str">
        <f>IF(TelecomData[[#This Row],[CleanedTotalCharges]]&gt;=2500,"High Spend", "Standard Spend")</f>
        <v>Standard Spend</v>
      </c>
    </row>
    <row r="3941" spans="1:14" x14ac:dyDescent="0.3">
      <c r="A3941" s="1" t="s">
        <v>3965</v>
      </c>
      <c r="B3941" s="2" t="s">
        <v>12</v>
      </c>
      <c r="C3941" s="2" t="s">
        <v>13</v>
      </c>
      <c r="D3941" s="2">
        <v>1</v>
      </c>
      <c r="E3941" s="2" t="s">
        <v>26</v>
      </c>
      <c r="F3941" s="2" t="s">
        <v>15</v>
      </c>
      <c r="G3941" s="7">
        <v>78.650000000000006</v>
      </c>
      <c r="H3941" s="7">
        <v>78.650000000000006</v>
      </c>
      <c r="I3941" s="2" t="s">
        <v>16</v>
      </c>
      <c r="J3941" s="2" t="s">
        <v>15</v>
      </c>
      <c r="K3941" s="2" t="s">
        <v>17</v>
      </c>
      <c r="L3941" s="7">
        <v>78.650000000000006</v>
      </c>
      <c r="M3941" s="2" t="str">
        <f>_xlfn.IFS(TelecomData[[#This Row],[TenureMonths]]&lt;=12, "0-1 Year", TelecomData[[#This Row],[TenureMonths]]&lt;=36, "1-3 Years", TelecomData[[#This Row],[TenureMonths]]&gt;36, "3+ Years")</f>
        <v>0-1 Year</v>
      </c>
      <c r="N3941" s="2" t="str">
        <f>IF(TelecomData[[#This Row],[CleanedTotalCharges]]&gt;=2500,"High Spend", "Standard Spend")</f>
        <v>Standard Spend</v>
      </c>
    </row>
    <row r="3942" spans="1:14" x14ac:dyDescent="0.3">
      <c r="A3942" s="1" t="s">
        <v>3966</v>
      </c>
      <c r="B3942" s="2" t="s">
        <v>19</v>
      </c>
      <c r="C3942" s="2" t="s">
        <v>13</v>
      </c>
      <c r="D3942" s="2">
        <v>19</v>
      </c>
      <c r="E3942" s="2" t="s">
        <v>14</v>
      </c>
      <c r="F3942" s="2" t="s">
        <v>15</v>
      </c>
      <c r="G3942" s="7">
        <v>25.15</v>
      </c>
      <c r="H3942" s="7">
        <v>468.35</v>
      </c>
      <c r="I3942" s="2" t="s">
        <v>15</v>
      </c>
      <c r="J3942" s="2" t="s">
        <v>16</v>
      </c>
      <c r="K3942" s="2" t="s">
        <v>24</v>
      </c>
      <c r="L3942" s="7">
        <v>468.35</v>
      </c>
      <c r="M3942" s="2" t="str">
        <f>_xlfn.IFS(TelecomData[[#This Row],[TenureMonths]]&lt;=12, "0-1 Year", TelecomData[[#This Row],[TenureMonths]]&lt;=36, "1-3 Years", TelecomData[[#This Row],[TenureMonths]]&gt;36, "3+ Years")</f>
        <v>1-3 Years</v>
      </c>
      <c r="N3942" s="2" t="str">
        <f>IF(TelecomData[[#This Row],[CleanedTotalCharges]]&gt;=2500,"High Spend", "Standard Spend")</f>
        <v>Standard Spend</v>
      </c>
    </row>
    <row r="3943" spans="1:14" x14ac:dyDescent="0.3">
      <c r="A3943" s="1" t="s">
        <v>3967</v>
      </c>
      <c r="B3943" s="2" t="s">
        <v>19</v>
      </c>
      <c r="C3943" s="2" t="s">
        <v>13</v>
      </c>
      <c r="D3943" s="2">
        <v>7</v>
      </c>
      <c r="E3943" s="2" t="s">
        <v>15</v>
      </c>
      <c r="F3943" s="2" t="s">
        <v>36</v>
      </c>
      <c r="G3943" s="7">
        <v>20.25</v>
      </c>
      <c r="H3943" s="7">
        <v>174.7</v>
      </c>
      <c r="I3943" s="2" t="s">
        <v>15</v>
      </c>
      <c r="J3943" s="2" t="s">
        <v>16</v>
      </c>
      <c r="K3943" s="2" t="s">
        <v>24</v>
      </c>
      <c r="L3943" s="7">
        <v>174.7</v>
      </c>
      <c r="M3943" s="2" t="str">
        <f>_xlfn.IFS(TelecomData[[#This Row],[TenureMonths]]&lt;=12, "0-1 Year", TelecomData[[#This Row],[TenureMonths]]&lt;=36, "1-3 Years", TelecomData[[#This Row],[TenureMonths]]&gt;36, "3+ Years")</f>
        <v>0-1 Year</v>
      </c>
      <c r="N3943" s="2" t="str">
        <f>IF(TelecomData[[#This Row],[CleanedTotalCharges]]&gt;=2500,"High Spend", "Standard Spend")</f>
        <v>Standard Spend</v>
      </c>
    </row>
    <row r="3944" spans="1:14" x14ac:dyDescent="0.3">
      <c r="A3944" s="1" t="s">
        <v>3968</v>
      </c>
      <c r="B3944" s="2" t="s">
        <v>19</v>
      </c>
      <c r="C3944" s="2" t="s">
        <v>13</v>
      </c>
      <c r="D3944" s="2">
        <v>1</v>
      </c>
      <c r="E3944" s="2" t="s">
        <v>14</v>
      </c>
      <c r="F3944" s="2" t="s">
        <v>15</v>
      </c>
      <c r="G3944" s="7">
        <v>42.9</v>
      </c>
      <c r="H3944" s="7">
        <v>42.9</v>
      </c>
      <c r="I3944" s="2" t="s">
        <v>16</v>
      </c>
      <c r="J3944" s="2" t="s">
        <v>16</v>
      </c>
      <c r="K3944" s="2" t="s">
        <v>17</v>
      </c>
      <c r="L3944" s="7">
        <v>42.9</v>
      </c>
      <c r="M3944" s="2" t="str">
        <f>_xlfn.IFS(TelecomData[[#This Row],[TenureMonths]]&lt;=12, "0-1 Year", TelecomData[[#This Row],[TenureMonths]]&lt;=36, "1-3 Years", TelecomData[[#This Row],[TenureMonths]]&gt;36, "3+ Years")</f>
        <v>0-1 Year</v>
      </c>
      <c r="N3944" s="2" t="str">
        <f>IF(TelecomData[[#This Row],[CleanedTotalCharges]]&gt;=2500,"High Spend", "Standard Spend")</f>
        <v>Standard Spend</v>
      </c>
    </row>
    <row r="3945" spans="1:14" x14ac:dyDescent="0.3">
      <c r="A3945" s="1" t="s">
        <v>3969</v>
      </c>
      <c r="B3945" s="2" t="s">
        <v>19</v>
      </c>
      <c r="C3945" s="2" t="s">
        <v>13</v>
      </c>
      <c r="D3945" s="2">
        <v>1</v>
      </c>
      <c r="E3945" s="2" t="s">
        <v>14</v>
      </c>
      <c r="F3945" s="2" t="s">
        <v>15</v>
      </c>
      <c r="G3945" s="7">
        <v>44</v>
      </c>
      <c r="H3945" s="7">
        <v>44</v>
      </c>
      <c r="I3945" s="2" t="s">
        <v>15</v>
      </c>
      <c r="J3945" s="2" t="s">
        <v>15</v>
      </c>
      <c r="K3945" s="2" t="s">
        <v>17</v>
      </c>
      <c r="L3945" s="7">
        <v>44</v>
      </c>
      <c r="M3945" s="2" t="str">
        <f>_xlfn.IFS(TelecomData[[#This Row],[TenureMonths]]&lt;=12, "0-1 Year", TelecomData[[#This Row],[TenureMonths]]&lt;=36, "1-3 Years", TelecomData[[#This Row],[TenureMonths]]&gt;36, "3+ Years")</f>
        <v>0-1 Year</v>
      </c>
      <c r="N3945" s="2" t="str">
        <f>IF(TelecomData[[#This Row],[CleanedTotalCharges]]&gt;=2500,"High Spend", "Standard Spend")</f>
        <v>Standard Spend</v>
      </c>
    </row>
    <row r="3946" spans="1:14" x14ac:dyDescent="0.3">
      <c r="A3946" s="1" t="s">
        <v>3970</v>
      </c>
      <c r="B3946" s="2" t="s">
        <v>12</v>
      </c>
      <c r="C3946" s="2" t="s">
        <v>20</v>
      </c>
      <c r="D3946" s="2">
        <v>9</v>
      </c>
      <c r="E3946" s="2" t="s">
        <v>15</v>
      </c>
      <c r="F3946" s="2" t="s">
        <v>36</v>
      </c>
      <c r="G3946" s="7">
        <v>20.25</v>
      </c>
      <c r="H3946" s="7">
        <v>172.35</v>
      </c>
      <c r="I3946" s="2" t="s">
        <v>15</v>
      </c>
      <c r="J3946" s="2" t="s">
        <v>15</v>
      </c>
      <c r="K3946" s="2" t="s">
        <v>21</v>
      </c>
      <c r="L3946" s="7">
        <v>172.35</v>
      </c>
      <c r="M3946" s="2" t="str">
        <f>_xlfn.IFS(TelecomData[[#This Row],[TenureMonths]]&lt;=12, "0-1 Year", TelecomData[[#This Row],[TenureMonths]]&lt;=36, "1-3 Years", TelecomData[[#This Row],[TenureMonths]]&gt;36, "3+ Years")</f>
        <v>0-1 Year</v>
      </c>
      <c r="N3946" s="2" t="str">
        <f>IF(TelecomData[[#This Row],[CleanedTotalCharges]]&gt;=2500,"High Spend", "Standard Spend")</f>
        <v>Standard Spend</v>
      </c>
    </row>
    <row r="3947" spans="1:14" x14ac:dyDescent="0.3">
      <c r="A3947" s="1" t="s">
        <v>3971</v>
      </c>
      <c r="B3947" s="2" t="s">
        <v>12</v>
      </c>
      <c r="C3947" s="2" t="s">
        <v>13</v>
      </c>
      <c r="D3947" s="2">
        <v>3</v>
      </c>
      <c r="E3947" s="2" t="s">
        <v>14</v>
      </c>
      <c r="F3947" s="2" t="s">
        <v>16</v>
      </c>
      <c r="G3947" s="7">
        <v>34.25</v>
      </c>
      <c r="H3947" s="7">
        <v>139.35</v>
      </c>
      <c r="I3947" s="2" t="s">
        <v>16</v>
      </c>
      <c r="J3947" s="2" t="s">
        <v>15</v>
      </c>
      <c r="K3947" s="2" t="s">
        <v>21</v>
      </c>
      <c r="L3947" s="7">
        <v>139.35</v>
      </c>
      <c r="M3947" s="2" t="str">
        <f>_xlfn.IFS(TelecomData[[#This Row],[TenureMonths]]&lt;=12, "0-1 Year", TelecomData[[#This Row],[TenureMonths]]&lt;=36, "1-3 Years", TelecomData[[#This Row],[TenureMonths]]&gt;36, "3+ Years")</f>
        <v>0-1 Year</v>
      </c>
      <c r="N3947" s="2" t="str">
        <f>IF(TelecomData[[#This Row],[CleanedTotalCharges]]&gt;=2500,"High Spend", "Standard Spend")</f>
        <v>Standard Spend</v>
      </c>
    </row>
    <row r="3948" spans="1:14" x14ac:dyDescent="0.3">
      <c r="A3948" s="1" t="s">
        <v>3972</v>
      </c>
      <c r="B3948" s="2" t="s">
        <v>12</v>
      </c>
      <c r="C3948" s="2" t="s">
        <v>13</v>
      </c>
      <c r="D3948" s="2">
        <v>9</v>
      </c>
      <c r="E3948" s="2" t="s">
        <v>14</v>
      </c>
      <c r="F3948" s="2" t="s">
        <v>16</v>
      </c>
      <c r="G3948" s="7">
        <v>58.5</v>
      </c>
      <c r="H3948" s="7">
        <v>539.85</v>
      </c>
      <c r="I3948" s="2" t="s">
        <v>16</v>
      </c>
      <c r="J3948" s="2" t="s">
        <v>15</v>
      </c>
      <c r="K3948" s="2" t="s">
        <v>21</v>
      </c>
      <c r="L3948" s="7">
        <v>539.85</v>
      </c>
      <c r="M3948" s="2" t="str">
        <f>_xlfn.IFS(TelecomData[[#This Row],[TenureMonths]]&lt;=12, "0-1 Year", TelecomData[[#This Row],[TenureMonths]]&lt;=36, "1-3 Years", TelecomData[[#This Row],[TenureMonths]]&gt;36, "3+ Years")</f>
        <v>0-1 Year</v>
      </c>
      <c r="N3948" s="2" t="str">
        <f>IF(TelecomData[[#This Row],[CleanedTotalCharges]]&gt;=2500,"High Spend", "Standard Spend")</f>
        <v>Standard Spend</v>
      </c>
    </row>
    <row r="3949" spans="1:14" x14ac:dyDescent="0.3">
      <c r="A3949" s="1" t="s">
        <v>3973</v>
      </c>
      <c r="B3949" s="2" t="s">
        <v>12</v>
      </c>
      <c r="C3949" s="2" t="s">
        <v>13</v>
      </c>
      <c r="D3949" s="2">
        <v>5</v>
      </c>
      <c r="E3949" s="2" t="s">
        <v>14</v>
      </c>
      <c r="F3949" s="2" t="s">
        <v>15</v>
      </c>
      <c r="G3949" s="7">
        <v>55.8</v>
      </c>
      <c r="H3949" s="7">
        <v>300.39999999999998</v>
      </c>
      <c r="I3949" s="2" t="s">
        <v>15</v>
      </c>
      <c r="J3949" s="2" t="s">
        <v>15</v>
      </c>
      <c r="K3949" s="2" t="s">
        <v>29</v>
      </c>
      <c r="L3949" s="7">
        <v>300.39999999999998</v>
      </c>
      <c r="M3949" s="2" t="str">
        <f>_xlfn.IFS(TelecomData[[#This Row],[TenureMonths]]&lt;=12, "0-1 Year", TelecomData[[#This Row],[TenureMonths]]&lt;=36, "1-3 Years", TelecomData[[#This Row],[TenureMonths]]&gt;36, "3+ Years")</f>
        <v>0-1 Year</v>
      </c>
      <c r="N3949" s="2" t="str">
        <f>IF(TelecomData[[#This Row],[CleanedTotalCharges]]&gt;=2500,"High Spend", "Standard Spend")</f>
        <v>Standard Spend</v>
      </c>
    </row>
    <row r="3950" spans="1:14" x14ac:dyDescent="0.3">
      <c r="A3950" s="1" t="s">
        <v>3974</v>
      </c>
      <c r="B3950" s="2" t="s">
        <v>12</v>
      </c>
      <c r="C3950" s="2" t="s">
        <v>20</v>
      </c>
      <c r="D3950" s="2">
        <v>56</v>
      </c>
      <c r="E3950" s="2" t="s">
        <v>26</v>
      </c>
      <c r="F3950" s="2" t="s">
        <v>15</v>
      </c>
      <c r="G3950" s="7">
        <v>88.9</v>
      </c>
      <c r="H3950" s="7">
        <v>4968</v>
      </c>
      <c r="I3950" s="2" t="s">
        <v>15</v>
      </c>
      <c r="J3950" s="2" t="s">
        <v>15</v>
      </c>
      <c r="K3950" s="2" t="s">
        <v>24</v>
      </c>
      <c r="L3950" s="7">
        <v>4968</v>
      </c>
      <c r="M3950" s="2" t="str">
        <f>_xlfn.IFS(TelecomData[[#This Row],[TenureMonths]]&lt;=12, "0-1 Year", TelecomData[[#This Row],[TenureMonths]]&lt;=36, "1-3 Years", TelecomData[[#This Row],[TenureMonths]]&gt;36, "3+ Years")</f>
        <v>3+ Years</v>
      </c>
      <c r="N3950" s="2" t="str">
        <f>IF(TelecomData[[#This Row],[CleanedTotalCharges]]&gt;=2500,"High Spend", "Standard Spend")</f>
        <v>High Spend</v>
      </c>
    </row>
    <row r="3951" spans="1:14" x14ac:dyDescent="0.3">
      <c r="A3951" s="1" t="s">
        <v>3975</v>
      </c>
      <c r="B3951" s="2" t="s">
        <v>12</v>
      </c>
      <c r="C3951" s="2" t="s">
        <v>13</v>
      </c>
      <c r="D3951" s="2">
        <v>18</v>
      </c>
      <c r="E3951" s="2" t="s">
        <v>14</v>
      </c>
      <c r="F3951" s="2" t="s">
        <v>15</v>
      </c>
      <c r="G3951" s="7">
        <v>57.65</v>
      </c>
      <c r="H3951" s="7">
        <v>992.7</v>
      </c>
      <c r="I3951" s="2" t="s">
        <v>15</v>
      </c>
      <c r="J3951" s="2" t="s">
        <v>15</v>
      </c>
      <c r="K3951" s="2" t="s">
        <v>21</v>
      </c>
      <c r="L3951" s="7">
        <v>992.7</v>
      </c>
      <c r="M3951" s="2" t="str">
        <f>_xlfn.IFS(TelecomData[[#This Row],[TenureMonths]]&lt;=12, "0-1 Year", TelecomData[[#This Row],[TenureMonths]]&lt;=36, "1-3 Years", TelecomData[[#This Row],[TenureMonths]]&gt;36, "3+ Years")</f>
        <v>1-3 Years</v>
      </c>
      <c r="N3951" s="2" t="str">
        <f>IF(TelecomData[[#This Row],[CleanedTotalCharges]]&gt;=2500,"High Spend", "Standard Spend")</f>
        <v>Standard Spend</v>
      </c>
    </row>
    <row r="3952" spans="1:14" x14ac:dyDescent="0.3">
      <c r="A3952" s="1" t="s">
        <v>3976</v>
      </c>
      <c r="B3952" s="2" t="s">
        <v>19</v>
      </c>
      <c r="C3952" s="2" t="s">
        <v>13</v>
      </c>
      <c r="D3952" s="2">
        <v>49</v>
      </c>
      <c r="E3952" s="2" t="s">
        <v>26</v>
      </c>
      <c r="F3952" s="2" t="s">
        <v>15</v>
      </c>
      <c r="G3952" s="7">
        <v>96.2</v>
      </c>
      <c r="H3952" s="7">
        <v>4718.25</v>
      </c>
      <c r="I3952" s="2" t="s">
        <v>16</v>
      </c>
      <c r="J3952" s="2" t="s">
        <v>16</v>
      </c>
      <c r="K3952" s="2" t="s">
        <v>17</v>
      </c>
      <c r="L3952" s="7">
        <v>4718.25</v>
      </c>
      <c r="M3952" s="2" t="str">
        <f>_xlfn.IFS(TelecomData[[#This Row],[TenureMonths]]&lt;=12, "0-1 Year", TelecomData[[#This Row],[TenureMonths]]&lt;=36, "1-3 Years", TelecomData[[#This Row],[TenureMonths]]&gt;36, "3+ Years")</f>
        <v>3+ Years</v>
      </c>
      <c r="N3952" s="2" t="str">
        <f>IF(TelecomData[[#This Row],[CleanedTotalCharges]]&gt;=2500,"High Spend", "Standard Spend")</f>
        <v>High Spend</v>
      </c>
    </row>
    <row r="3953" spans="1:14" x14ac:dyDescent="0.3">
      <c r="A3953" s="1" t="s">
        <v>3977</v>
      </c>
      <c r="B3953" s="2" t="s">
        <v>19</v>
      </c>
      <c r="C3953" s="2" t="s">
        <v>35</v>
      </c>
      <c r="D3953" s="2">
        <v>70</v>
      </c>
      <c r="E3953" s="2" t="s">
        <v>14</v>
      </c>
      <c r="F3953" s="2" t="s">
        <v>16</v>
      </c>
      <c r="G3953" s="7">
        <v>79.150000000000006</v>
      </c>
      <c r="H3953" s="7">
        <v>5536.5</v>
      </c>
      <c r="I3953" s="2" t="s">
        <v>15</v>
      </c>
      <c r="J3953" s="2" t="s">
        <v>15</v>
      </c>
      <c r="K3953" s="2" t="s">
        <v>21</v>
      </c>
      <c r="L3953" s="7">
        <v>5536.5</v>
      </c>
      <c r="M3953" s="2" t="str">
        <f>_xlfn.IFS(TelecomData[[#This Row],[TenureMonths]]&lt;=12, "0-1 Year", TelecomData[[#This Row],[TenureMonths]]&lt;=36, "1-3 Years", TelecomData[[#This Row],[TenureMonths]]&gt;36, "3+ Years")</f>
        <v>3+ Years</v>
      </c>
      <c r="N3953" s="2" t="str">
        <f>IF(TelecomData[[#This Row],[CleanedTotalCharges]]&gt;=2500,"High Spend", "Standard Spend")</f>
        <v>High Spend</v>
      </c>
    </row>
    <row r="3954" spans="1:14" x14ac:dyDescent="0.3">
      <c r="A3954" s="1" t="s">
        <v>3978</v>
      </c>
      <c r="B3954" s="2" t="s">
        <v>12</v>
      </c>
      <c r="C3954" s="2" t="s">
        <v>35</v>
      </c>
      <c r="D3954" s="2">
        <v>72</v>
      </c>
      <c r="E3954" s="2" t="s">
        <v>26</v>
      </c>
      <c r="F3954" s="2" t="s">
        <v>16</v>
      </c>
      <c r="G3954" s="7">
        <v>108.05</v>
      </c>
      <c r="H3954" s="7">
        <v>7806.6</v>
      </c>
      <c r="I3954" s="2" t="s">
        <v>15</v>
      </c>
      <c r="J3954" s="2" t="s">
        <v>16</v>
      </c>
      <c r="K3954" s="2" t="s">
        <v>29</v>
      </c>
      <c r="L3954" s="7">
        <v>7806.6</v>
      </c>
      <c r="M3954" s="2" t="str">
        <f>_xlfn.IFS(TelecomData[[#This Row],[TenureMonths]]&lt;=12, "0-1 Year", TelecomData[[#This Row],[TenureMonths]]&lt;=36, "1-3 Years", TelecomData[[#This Row],[TenureMonths]]&gt;36, "3+ Years")</f>
        <v>3+ Years</v>
      </c>
      <c r="N3954" s="2" t="str">
        <f>IF(TelecomData[[#This Row],[CleanedTotalCharges]]&gt;=2500,"High Spend", "Standard Spend")</f>
        <v>High Spend</v>
      </c>
    </row>
    <row r="3955" spans="1:14" x14ac:dyDescent="0.3">
      <c r="A3955" s="1" t="s">
        <v>3979</v>
      </c>
      <c r="B3955" s="2" t="s">
        <v>12</v>
      </c>
      <c r="C3955" s="2" t="s">
        <v>13</v>
      </c>
      <c r="D3955" s="2">
        <v>6</v>
      </c>
      <c r="E3955" s="2" t="s">
        <v>26</v>
      </c>
      <c r="F3955" s="2" t="s">
        <v>15</v>
      </c>
      <c r="G3955" s="7">
        <v>74.400000000000006</v>
      </c>
      <c r="H3955" s="7">
        <v>434.1</v>
      </c>
      <c r="I3955" s="2" t="s">
        <v>16</v>
      </c>
      <c r="J3955" s="2" t="s">
        <v>15</v>
      </c>
      <c r="K3955" s="2" t="s">
        <v>17</v>
      </c>
      <c r="L3955" s="7">
        <v>434.1</v>
      </c>
      <c r="M3955" s="2" t="str">
        <f>_xlfn.IFS(TelecomData[[#This Row],[TenureMonths]]&lt;=12, "0-1 Year", TelecomData[[#This Row],[TenureMonths]]&lt;=36, "1-3 Years", TelecomData[[#This Row],[TenureMonths]]&gt;36, "3+ Years")</f>
        <v>0-1 Year</v>
      </c>
      <c r="N3955" s="2" t="str">
        <f>IF(TelecomData[[#This Row],[CleanedTotalCharges]]&gt;=2500,"High Spend", "Standard Spend")</f>
        <v>Standard Spend</v>
      </c>
    </row>
    <row r="3956" spans="1:14" x14ac:dyDescent="0.3">
      <c r="A3956" s="1" t="s">
        <v>3980</v>
      </c>
      <c r="B3956" s="2" t="s">
        <v>19</v>
      </c>
      <c r="C3956" s="2" t="s">
        <v>13</v>
      </c>
      <c r="D3956" s="2">
        <v>17</v>
      </c>
      <c r="E3956" s="2" t="s">
        <v>26</v>
      </c>
      <c r="F3956" s="2" t="s">
        <v>15</v>
      </c>
      <c r="G3956" s="7">
        <v>94.8</v>
      </c>
      <c r="H3956" s="7">
        <v>1563.9</v>
      </c>
      <c r="I3956" s="2" t="s">
        <v>15</v>
      </c>
      <c r="J3956" s="2" t="s">
        <v>16</v>
      </c>
      <c r="K3956" s="2" t="s">
        <v>17</v>
      </c>
      <c r="L3956" s="7">
        <v>1563.9</v>
      </c>
      <c r="M3956" s="2" t="str">
        <f>_xlfn.IFS(TelecomData[[#This Row],[TenureMonths]]&lt;=12, "0-1 Year", TelecomData[[#This Row],[TenureMonths]]&lt;=36, "1-3 Years", TelecomData[[#This Row],[TenureMonths]]&gt;36, "3+ Years")</f>
        <v>1-3 Years</v>
      </c>
      <c r="N3956" s="2" t="str">
        <f>IF(TelecomData[[#This Row],[CleanedTotalCharges]]&gt;=2500,"High Spend", "Standard Spend")</f>
        <v>Standard Spend</v>
      </c>
    </row>
    <row r="3957" spans="1:14" x14ac:dyDescent="0.3">
      <c r="A3957" s="1" t="s">
        <v>3981</v>
      </c>
      <c r="B3957" s="2" t="s">
        <v>19</v>
      </c>
      <c r="C3957" s="2" t="s">
        <v>13</v>
      </c>
      <c r="D3957" s="2">
        <v>29</v>
      </c>
      <c r="E3957" s="2" t="s">
        <v>14</v>
      </c>
      <c r="F3957" s="2" t="s">
        <v>15</v>
      </c>
      <c r="G3957" s="7">
        <v>45.9</v>
      </c>
      <c r="H3957" s="7">
        <v>1332.4</v>
      </c>
      <c r="I3957" s="2" t="s">
        <v>15</v>
      </c>
      <c r="J3957" s="2" t="s">
        <v>16</v>
      </c>
      <c r="K3957" s="2" t="s">
        <v>17</v>
      </c>
      <c r="L3957" s="7">
        <v>1332.4</v>
      </c>
      <c r="M3957" s="2" t="str">
        <f>_xlfn.IFS(TelecomData[[#This Row],[TenureMonths]]&lt;=12, "0-1 Year", TelecomData[[#This Row],[TenureMonths]]&lt;=36, "1-3 Years", TelecomData[[#This Row],[TenureMonths]]&gt;36, "3+ Years")</f>
        <v>1-3 Years</v>
      </c>
      <c r="N3957" s="2" t="str">
        <f>IF(TelecomData[[#This Row],[CleanedTotalCharges]]&gt;=2500,"High Spend", "Standard Spend")</f>
        <v>Standard Spend</v>
      </c>
    </row>
    <row r="3958" spans="1:14" x14ac:dyDescent="0.3">
      <c r="A3958" s="1" t="s">
        <v>3982</v>
      </c>
      <c r="B3958" s="2" t="s">
        <v>12</v>
      </c>
      <c r="C3958" s="2" t="s">
        <v>13</v>
      </c>
      <c r="D3958" s="2">
        <v>6</v>
      </c>
      <c r="E3958" s="2" t="s">
        <v>26</v>
      </c>
      <c r="F3958" s="2" t="s">
        <v>15</v>
      </c>
      <c r="G3958" s="7">
        <v>105.3</v>
      </c>
      <c r="H3958" s="7">
        <v>545.20000000000005</v>
      </c>
      <c r="I3958" s="2" t="s">
        <v>16</v>
      </c>
      <c r="J3958" s="2" t="s">
        <v>16</v>
      </c>
      <c r="K3958" s="2" t="s">
        <v>17</v>
      </c>
      <c r="L3958" s="7">
        <v>545.20000000000005</v>
      </c>
      <c r="M3958" s="2" t="str">
        <f>_xlfn.IFS(TelecomData[[#This Row],[TenureMonths]]&lt;=12, "0-1 Year", TelecomData[[#This Row],[TenureMonths]]&lt;=36, "1-3 Years", TelecomData[[#This Row],[TenureMonths]]&gt;36, "3+ Years")</f>
        <v>0-1 Year</v>
      </c>
      <c r="N3958" s="2" t="str">
        <f>IF(TelecomData[[#This Row],[CleanedTotalCharges]]&gt;=2500,"High Spend", "Standard Spend")</f>
        <v>Standard Spend</v>
      </c>
    </row>
    <row r="3959" spans="1:14" x14ac:dyDescent="0.3">
      <c r="A3959" s="1" t="s">
        <v>3983</v>
      </c>
      <c r="B3959" s="2" t="s">
        <v>19</v>
      </c>
      <c r="C3959" s="2" t="s">
        <v>35</v>
      </c>
      <c r="D3959" s="2">
        <v>63</v>
      </c>
      <c r="E3959" s="2" t="s">
        <v>26</v>
      </c>
      <c r="F3959" s="2" t="s">
        <v>15</v>
      </c>
      <c r="G3959" s="7">
        <v>102.6</v>
      </c>
      <c r="H3959" s="7">
        <v>6296.75</v>
      </c>
      <c r="I3959" s="2" t="s">
        <v>15</v>
      </c>
      <c r="J3959" s="2" t="s">
        <v>15</v>
      </c>
      <c r="K3959" s="2" t="s">
        <v>17</v>
      </c>
      <c r="L3959" s="7">
        <v>6296.75</v>
      </c>
      <c r="M3959" s="2" t="str">
        <f>_xlfn.IFS(TelecomData[[#This Row],[TenureMonths]]&lt;=12, "0-1 Year", TelecomData[[#This Row],[TenureMonths]]&lt;=36, "1-3 Years", TelecomData[[#This Row],[TenureMonths]]&gt;36, "3+ Years")</f>
        <v>3+ Years</v>
      </c>
      <c r="N3959" s="2" t="str">
        <f>IF(TelecomData[[#This Row],[CleanedTotalCharges]]&gt;=2500,"High Spend", "Standard Spend")</f>
        <v>High Spend</v>
      </c>
    </row>
    <row r="3960" spans="1:14" x14ac:dyDescent="0.3">
      <c r="A3960" s="1" t="s">
        <v>3984</v>
      </c>
      <c r="B3960" s="2" t="s">
        <v>19</v>
      </c>
      <c r="C3960" s="2" t="s">
        <v>13</v>
      </c>
      <c r="D3960" s="2">
        <v>16</v>
      </c>
      <c r="E3960" s="2" t="s">
        <v>26</v>
      </c>
      <c r="F3960" s="2" t="s">
        <v>15</v>
      </c>
      <c r="G3960" s="7">
        <v>73.849999999999994</v>
      </c>
      <c r="H3960" s="7">
        <v>1284.2</v>
      </c>
      <c r="I3960" s="2" t="s">
        <v>16</v>
      </c>
      <c r="J3960" s="2" t="s">
        <v>16</v>
      </c>
      <c r="K3960" s="2" t="s">
        <v>24</v>
      </c>
      <c r="L3960" s="7">
        <v>1284.2</v>
      </c>
      <c r="M3960" s="2" t="str">
        <f>_xlfn.IFS(TelecomData[[#This Row],[TenureMonths]]&lt;=12, "0-1 Year", TelecomData[[#This Row],[TenureMonths]]&lt;=36, "1-3 Years", TelecomData[[#This Row],[TenureMonths]]&gt;36, "3+ Years")</f>
        <v>1-3 Years</v>
      </c>
      <c r="N3960" s="2" t="str">
        <f>IF(TelecomData[[#This Row],[CleanedTotalCharges]]&gt;=2500,"High Spend", "Standard Spend")</f>
        <v>Standard Spend</v>
      </c>
    </row>
    <row r="3961" spans="1:14" x14ac:dyDescent="0.3">
      <c r="A3961" s="1" t="s">
        <v>3985</v>
      </c>
      <c r="B3961" s="2" t="s">
        <v>19</v>
      </c>
      <c r="C3961" s="2" t="s">
        <v>20</v>
      </c>
      <c r="D3961" s="2">
        <v>59</v>
      </c>
      <c r="E3961" s="2" t="s">
        <v>14</v>
      </c>
      <c r="F3961" s="2" t="s">
        <v>15</v>
      </c>
      <c r="G3961" s="7">
        <v>61.35</v>
      </c>
      <c r="H3961" s="7">
        <v>3645.5</v>
      </c>
      <c r="I3961" s="2" t="s">
        <v>15</v>
      </c>
      <c r="J3961" s="2" t="s">
        <v>16</v>
      </c>
      <c r="K3961" s="2" t="s">
        <v>24</v>
      </c>
      <c r="L3961" s="7">
        <v>3645.5</v>
      </c>
      <c r="M3961" s="2" t="str">
        <f>_xlfn.IFS(TelecomData[[#This Row],[TenureMonths]]&lt;=12, "0-1 Year", TelecomData[[#This Row],[TenureMonths]]&lt;=36, "1-3 Years", TelecomData[[#This Row],[TenureMonths]]&gt;36, "3+ Years")</f>
        <v>3+ Years</v>
      </c>
      <c r="N3961" s="2" t="str">
        <f>IF(TelecomData[[#This Row],[CleanedTotalCharges]]&gt;=2500,"High Spend", "Standard Spend")</f>
        <v>High Spend</v>
      </c>
    </row>
    <row r="3962" spans="1:14" x14ac:dyDescent="0.3">
      <c r="A3962" s="1" t="s">
        <v>3986</v>
      </c>
      <c r="B3962" s="2" t="s">
        <v>12</v>
      </c>
      <c r="C3962" s="2" t="s">
        <v>13</v>
      </c>
      <c r="D3962" s="2">
        <v>3</v>
      </c>
      <c r="E3962" s="2" t="s">
        <v>14</v>
      </c>
      <c r="F3962" s="2" t="s">
        <v>15</v>
      </c>
      <c r="G3962" s="7">
        <v>57.55</v>
      </c>
      <c r="H3962" s="7">
        <v>161.44999999999999</v>
      </c>
      <c r="I3962" s="2" t="s">
        <v>15</v>
      </c>
      <c r="J3962" s="2" t="s">
        <v>15</v>
      </c>
      <c r="K3962" s="2" t="s">
        <v>17</v>
      </c>
      <c r="L3962" s="7">
        <v>161.44999999999999</v>
      </c>
      <c r="M3962" s="2" t="str">
        <f>_xlfn.IFS(TelecomData[[#This Row],[TenureMonths]]&lt;=12, "0-1 Year", TelecomData[[#This Row],[TenureMonths]]&lt;=36, "1-3 Years", TelecomData[[#This Row],[TenureMonths]]&gt;36, "3+ Years")</f>
        <v>0-1 Year</v>
      </c>
      <c r="N3962" s="2" t="str">
        <f>IF(TelecomData[[#This Row],[CleanedTotalCharges]]&gt;=2500,"High Spend", "Standard Spend")</f>
        <v>Standard Spend</v>
      </c>
    </row>
    <row r="3963" spans="1:14" x14ac:dyDescent="0.3">
      <c r="A3963" s="1" t="s">
        <v>3987</v>
      </c>
      <c r="B3963" s="2" t="s">
        <v>12</v>
      </c>
      <c r="C3963" s="2" t="s">
        <v>13</v>
      </c>
      <c r="D3963" s="2">
        <v>8</v>
      </c>
      <c r="E3963" s="2" t="s">
        <v>14</v>
      </c>
      <c r="F3963" s="2" t="s">
        <v>15</v>
      </c>
      <c r="G3963" s="7">
        <v>29.25</v>
      </c>
      <c r="H3963" s="7">
        <v>226.95</v>
      </c>
      <c r="I3963" s="2" t="s">
        <v>15</v>
      </c>
      <c r="J3963" s="2" t="s">
        <v>16</v>
      </c>
      <c r="K3963" s="2" t="s">
        <v>21</v>
      </c>
      <c r="L3963" s="7">
        <v>226.95</v>
      </c>
      <c r="M3963" s="2" t="str">
        <f>_xlfn.IFS(TelecomData[[#This Row],[TenureMonths]]&lt;=12, "0-1 Year", TelecomData[[#This Row],[TenureMonths]]&lt;=36, "1-3 Years", TelecomData[[#This Row],[TenureMonths]]&gt;36, "3+ Years")</f>
        <v>0-1 Year</v>
      </c>
      <c r="N3963" s="2" t="str">
        <f>IF(TelecomData[[#This Row],[CleanedTotalCharges]]&gt;=2500,"High Spend", "Standard Spend")</f>
        <v>Standard Spend</v>
      </c>
    </row>
    <row r="3964" spans="1:14" x14ac:dyDescent="0.3">
      <c r="A3964" s="1" t="s">
        <v>3988</v>
      </c>
      <c r="B3964" s="2" t="s">
        <v>12</v>
      </c>
      <c r="C3964" s="2" t="s">
        <v>13</v>
      </c>
      <c r="D3964" s="2">
        <v>7</v>
      </c>
      <c r="E3964" s="2" t="s">
        <v>26</v>
      </c>
      <c r="F3964" s="2" t="s">
        <v>15</v>
      </c>
      <c r="G3964" s="7">
        <v>84.55</v>
      </c>
      <c r="H3964" s="7">
        <v>646.85</v>
      </c>
      <c r="I3964" s="2" t="s">
        <v>16</v>
      </c>
      <c r="J3964" s="2" t="s">
        <v>16</v>
      </c>
      <c r="K3964" s="2" t="s">
        <v>17</v>
      </c>
      <c r="L3964" s="7">
        <v>646.85</v>
      </c>
      <c r="M3964" s="2" t="str">
        <f>_xlfn.IFS(TelecomData[[#This Row],[TenureMonths]]&lt;=12, "0-1 Year", TelecomData[[#This Row],[TenureMonths]]&lt;=36, "1-3 Years", TelecomData[[#This Row],[TenureMonths]]&gt;36, "3+ Years")</f>
        <v>0-1 Year</v>
      </c>
      <c r="N3964" s="2" t="str">
        <f>IF(TelecomData[[#This Row],[CleanedTotalCharges]]&gt;=2500,"High Spend", "Standard Spend")</f>
        <v>Standard Spend</v>
      </c>
    </row>
    <row r="3965" spans="1:14" x14ac:dyDescent="0.3">
      <c r="A3965" s="1" t="s">
        <v>3989</v>
      </c>
      <c r="B3965" s="2" t="s">
        <v>12</v>
      </c>
      <c r="C3965" s="2" t="s">
        <v>35</v>
      </c>
      <c r="D3965" s="2">
        <v>68</v>
      </c>
      <c r="E3965" s="2" t="s">
        <v>15</v>
      </c>
      <c r="F3965" s="2" t="s">
        <v>36</v>
      </c>
      <c r="G3965" s="7">
        <v>19.600000000000001</v>
      </c>
      <c r="H3965" s="7">
        <v>1441.65</v>
      </c>
      <c r="I3965" s="2" t="s">
        <v>15</v>
      </c>
      <c r="J3965" s="2" t="s">
        <v>15</v>
      </c>
      <c r="K3965" s="2" t="s">
        <v>29</v>
      </c>
      <c r="L3965" s="7">
        <v>1441.65</v>
      </c>
      <c r="M3965" s="2" t="str">
        <f>_xlfn.IFS(TelecomData[[#This Row],[TenureMonths]]&lt;=12, "0-1 Year", TelecomData[[#This Row],[TenureMonths]]&lt;=36, "1-3 Years", TelecomData[[#This Row],[TenureMonths]]&gt;36, "3+ Years")</f>
        <v>3+ Years</v>
      </c>
      <c r="N3965" s="2" t="str">
        <f>IF(TelecomData[[#This Row],[CleanedTotalCharges]]&gt;=2500,"High Spend", "Standard Spend")</f>
        <v>Standard Spend</v>
      </c>
    </row>
    <row r="3966" spans="1:14" x14ac:dyDescent="0.3">
      <c r="A3966" s="1" t="s">
        <v>3990</v>
      </c>
      <c r="B3966" s="2" t="s">
        <v>12</v>
      </c>
      <c r="C3966" s="2" t="s">
        <v>35</v>
      </c>
      <c r="D3966" s="2">
        <v>68</v>
      </c>
      <c r="E3966" s="2" t="s">
        <v>26</v>
      </c>
      <c r="F3966" s="2" t="s">
        <v>16</v>
      </c>
      <c r="G3966" s="7">
        <v>111.75</v>
      </c>
      <c r="H3966" s="7">
        <v>7511.3</v>
      </c>
      <c r="I3966" s="2" t="s">
        <v>15</v>
      </c>
      <c r="J3966" s="2" t="s">
        <v>15</v>
      </c>
      <c r="K3966" s="2" t="s">
        <v>29</v>
      </c>
      <c r="L3966" s="7">
        <v>7511.3</v>
      </c>
      <c r="M3966" s="2" t="str">
        <f>_xlfn.IFS(TelecomData[[#This Row],[TenureMonths]]&lt;=12, "0-1 Year", TelecomData[[#This Row],[TenureMonths]]&lt;=36, "1-3 Years", TelecomData[[#This Row],[TenureMonths]]&gt;36, "3+ Years")</f>
        <v>3+ Years</v>
      </c>
      <c r="N3966" s="2" t="str">
        <f>IF(TelecomData[[#This Row],[CleanedTotalCharges]]&gt;=2500,"High Spend", "Standard Spend")</f>
        <v>High Spend</v>
      </c>
    </row>
    <row r="3967" spans="1:14" x14ac:dyDescent="0.3">
      <c r="A3967" s="1" t="s">
        <v>3991</v>
      </c>
      <c r="B3967" s="2" t="s">
        <v>12</v>
      </c>
      <c r="C3967" s="2" t="s">
        <v>20</v>
      </c>
      <c r="D3967" s="2">
        <v>52</v>
      </c>
      <c r="E3967" s="2" t="s">
        <v>26</v>
      </c>
      <c r="F3967" s="2" t="s">
        <v>15</v>
      </c>
      <c r="G3967" s="7">
        <v>106.5</v>
      </c>
      <c r="H3967" s="7">
        <v>5621.85</v>
      </c>
      <c r="I3967" s="2" t="s">
        <v>15</v>
      </c>
      <c r="J3967" s="2" t="s">
        <v>16</v>
      </c>
      <c r="K3967" s="2" t="s">
        <v>17</v>
      </c>
      <c r="L3967" s="7">
        <v>5621.85</v>
      </c>
      <c r="M3967" s="2" t="str">
        <f>_xlfn.IFS(TelecomData[[#This Row],[TenureMonths]]&lt;=12, "0-1 Year", TelecomData[[#This Row],[TenureMonths]]&lt;=36, "1-3 Years", TelecomData[[#This Row],[TenureMonths]]&gt;36, "3+ Years")</f>
        <v>3+ Years</v>
      </c>
      <c r="N3967" s="2" t="str">
        <f>IF(TelecomData[[#This Row],[CleanedTotalCharges]]&gt;=2500,"High Spend", "Standard Spend")</f>
        <v>High Spend</v>
      </c>
    </row>
    <row r="3968" spans="1:14" x14ac:dyDescent="0.3">
      <c r="A3968" s="1" t="s">
        <v>3992</v>
      </c>
      <c r="B3968" s="2" t="s">
        <v>19</v>
      </c>
      <c r="C3968" s="2" t="s">
        <v>35</v>
      </c>
      <c r="D3968" s="2">
        <v>72</v>
      </c>
      <c r="E3968" s="2" t="s">
        <v>26</v>
      </c>
      <c r="F3968" s="2" t="s">
        <v>16</v>
      </c>
      <c r="G3968" s="7">
        <v>107.7</v>
      </c>
      <c r="H3968" s="7">
        <v>7919.8</v>
      </c>
      <c r="I3968" s="2" t="s">
        <v>15</v>
      </c>
      <c r="J3968" s="2" t="s">
        <v>16</v>
      </c>
      <c r="K3968" s="2" t="s">
        <v>29</v>
      </c>
      <c r="L3968" s="7">
        <v>7919.8</v>
      </c>
      <c r="M3968" s="2" t="str">
        <f>_xlfn.IFS(TelecomData[[#This Row],[TenureMonths]]&lt;=12, "0-1 Year", TelecomData[[#This Row],[TenureMonths]]&lt;=36, "1-3 Years", TelecomData[[#This Row],[TenureMonths]]&gt;36, "3+ Years")</f>
        <v>3+ Years</v>
      </c>
      <c r="N3968" s="2" t="str">
        <f>IF(TelecomData[[#This Row],[CleanedTotalCharges]]&gt;=2500,"High Spend", "Standard Spend")</f>
        <v>High Spend</v>
      </c>
    </row>
    <row r="3969" spans="1:14" x14ac:dyDescent="0.3">
      <c r="A3969" s="1" t="s">
        <v>3993</v>
      </c>
      <c r="B3969" s="2" t="s">
        <v>12</v>
      </c>
      <c r="C3969" s="2" t="s">
        <v>20</v>
      </c>
      <c r="D3969" s="2">
        <v>32</v>
      </c>
      <c r="E3969" s="2" t="s">
        <v>15</v>
      </c>
      <c r="F3969" s="2" t="s">
        <v>36</v>
      </c>
      <c r="G3969" s="7">
        <v>19.3</v>
      </c>
      <c r="H3969" s="7">
        <v>593.20000000000005</v>
      </c>
      <c r="I3969" s="2" t="s">
        <v>15</v>
      </c>
      <c r="J3969" s="2" t="s">
        <v>15</v>
      </c>
      <c r="K3969" s="2" t="s">
        <v>21</v>
      </c>
      <c r="L3969" s="7">
        <v>593.20000000000005</v>
      </c>
      <c r="M3969" s="2" t="str">
        <f>_xlfn.IFS(TelecomData[[#This Row],[TenureMonths]]&lt;=12, "0-1 Year", TelecomData[[#This Row],[TenureMonths]]&lt;=36, "1-3 Years", TelecomData[[#This Row],[TenureMonths]]&gt;36, "3+ Years")</f>
        <v>1-3 Years</v>
      </c>
      <c r="N3969" s="2" t="str">
        <f>IF(TelecomData[[#This Row],[CleanedTotalCharges]]&gt;=2500,"High Spend", "Standard Spend")</f>
        <v>Standard Spend</v>
      </c>
    </row>
    <row r="3970" spans="1:14" x14ac:dyDescent="0.3">
      <c r="A3970" s="1" t="s">
        <v>3994</v>
      </c>
      <c r="B3970" s="2" t="s">
        <v>12</v>
      </c>
      <c r="C3970" s="2" t="s">
        <v>35</v>
      </c>
      <c r="D3970" s="2">
        <v>72</v>
      </c>
      <c r="E3970" s="2" t="s">
        <v>15</v>
      </c>
      <c r="F3970" s="2" t="s">
        <v>36</v>
      </c>
      <c r="G3970" s="7">
        <v>20.05</v>
      </c>
      <c r="H3970" s="7">
        <v>1423.65</v>
      </c>
      <c r="I3970" s="2" t="s">
        <v>15</v>
      </c>
      <c r="J3970" s="2" t="s">
        <v>15</v>
      </c>
      <c r="K3970" s="2" t="s">
        <v>24</v>
      </c>
      <c r="L3970" s="7">
        <v>1423.65</v>
      </c>
      <c r="M3970" s="2" t="str">
        <f>_xlfn.IFS(TelecomData[[#This Row],[TenureMonths]]&lt;=12, "0-1 Year", TelecomData[[#This Row],[TenureMonths]]&lt;=36, "1-3 Years", TelecomData[[#This Row],[TenureMonths]]&gt;36, "3+ Years")</f>
        <v>3+ Years</v>
      </c>
      <c r="N3970" s="2" t="str">
        <f>IF(TelecomData[[#This Row],[CleanedTotalCharges]]&gt;=2500,"High Spend", "Standard Spend")</f>
        <v>Standard Spend</v>
      </c>
    </row>
    <row r="3971" spans="1:14" x14ac:dyDescent="0.3">
      <c r="A3971" s="1" t="s">
        <v>3995</v>
      </c>
      <c r="B3971" s="2" t="s">
        <v>19</v>
      </c>
      <c r="C3971" s="2" t="s">
        <v>13</v>
      </c>
      <c r="D3971" s="2">
        <v>1</v>
      </c>
      <c r="E3971" s="2" t="s">
        <v>26</v>
      </c>
      <c r="F3971" s="2" t="s">
        <v>15</v>
      </c>
      <c r="G3971" s="7">
        <v>69.95</v>
      </c>
      <c r="H3971" s="7">
        <v>69.95</v>
      </c>
      <c r="I3971" s="2" t="s">
        <v>15</v>
      </c>
      <c r="J3971" s="2" t="s">
        <v>16</v>
      </c>
      <c r="K3971" s="2" t="s">
        <v>29</v>
      </c>
      <c r="L3971" s="7">
        <v>69.95</v>
      </c>
      <c r="M3971" s="2" t="str">
        <f>_xlfn.IFS(TelecomData[[#This Row],[TenureMonths]]&lt;=12, "0-1 Year", TelecomData[[#This Row],[TenureMonths]]&lt;=36, "1-3 Years", TelecomData[[#This Row],[TenureMonths]]&gt;36, "3+ Years")</f>
        <v>0-1 Year</v>
      </c>
      <c r="N3971" s="2" t="str">
        <f>IF(TelecomData[[#This Row],[CleanedTotalCharges]]&gt;=2500,"High Spend", "Standard Spend")</f>
        <v>Standard Spend</v>
      </c>
    </row>
    <row r="3972" spans="1:14" x14ac:dyDescent="0.3">
      <c r="A3972" s="1" t="s">
        <v>3996</v>
      </c>
      <c r="B3972" s="2" t="s">
        <v>19</v>
      </c>
      <c r="C3972" s="2" t="s">
        <v>20</v>
      </c>
      <c r="D3972" s="2">
        <v>42</v>
      </c>
      <c r="E3972" s="2" t="s">
        <v>14</v>
      </c>
      <c r="F3972" s="2" t="s">
        <v>16</v>
      </c>
      <c r="G3972" s="7">
        <v>63.7</v>
      </c>
      <c r="H3972" s="7">
        <v>2763.35</v>
      </c>
      <c r="I3972" s="2" t="s">
        <v>15</v>
      </c>
      <c r="J3972" s="2" t="s">
        <v>15</v>
      </c>
      <c r="K3972" s="2" t="s">
        <v>29</v>
      </c>
      <c r="L3972" s="7">
        <v>2763.35</v>
      </c>
      <c r="M3972" s="2" t="str">
        <f>_xlfn.IFS(TelecomData[[#This Row],[TenureMonths]]&lt;=12, "0-1 Year", TelecomData[[#This Row],[TenureMonths]]&lt;=36, "1-3 Years", TelecomData[[#This Row],[TenureMonths]]&gt;36, "3+ Years")</f>
        <v>3+ Years</v>
      </c>
      <c r="N3972" s="2" t="str">
        <f>IF(TelecomData[[#This Row],[CleanedTotalCharges]]&gt;=2500,"High Spend", "Standard Spend")</f>
        <v>High Spend</v>
      </c>
    </row>
    <row r="3973" spans="1:14" x14ac:dyDescent="0.3">
      <c r="A3973" s="1" t="s">
        <v>3997</v>
      </c>
      <c r="B3973" s="2" t="s">
        <v>12</v>
      </c>
      <c r="C3973" s="2" t="s">
        <v>35</v>
      </c>
      <c r="D3973" s="2">
        <v>25</v>
      </c>
      <c r="E3973" s="2" t="s">
        <v>15</v>
      </c>
      <c r="F3973" s="2" t="s">
        <v>36</v>
      </c>
      <c r="G3973" s="7">
        <v>24.75</v>
      </c>
      <c r="H3973" s="7">
        <v>692.1</v>
      </c>
      <c r="I3973" s="2" t="s">
        <v>16</v>
      </c>
      <c r="J3973" s="2" t="s">
        <v>15</v>
      </c>
      <c r="K3973" s="2" t="s">
        <v>29</v>
      </c>
      <c r="L3973" s="7">
        <v>692.1</v>
      </c>
      <c r="M3973" s="2" t="str">
        <f>_xlfn.IFS(TelecomData[[#This Row],[TenureMonths]]&lt;=12, "0-1 Year", TelecomData[[#This Row],[TenureMonths]]&lt;=36, "1-3 Years", TelecomData[[#This Row],[TenureMonths]]&gt;36, "3+ Years")</f>
        <v>1-3 Years</v>
      </c>
      <c r="N3973" s="2" t="str">
        <f>IF(TelecomData[[#This Row],[CleanedTotalCharges]]&gt;=2500,"High Spend", "Standard Spend")</f>
        <v>Standard Spend</v>
      </c>
    </row>
    <row r="3974" spans="1:14" x14ac:dyDescent="0.3">
      <c r="A3974" s="1" t="s">
        <v>3998</v>
      </c>
      <c r="B3974" s="2" t="s">
        <v>19</v>
      </c>
      <c r="C3974" s="2" t="s">
        <v>13</v>
      </c>
      <c r="D3974" s="2">
        <v>45</v>
      </c>
      <c r="E3974" s="2" t="s">
        <v>14</v>
      </c>
      <c r="F3974" s="2" t="s">
        <v>15</v>
      </c>
      <c r="G3974" s="7">
        <v>50.9</v>
      </c>
      <c r="H3974" s="7">
        <v>2298.5500000000002</v>
      </c>
      <c r="I3974" s="2" t="s">
        <v>15</v>
      </c>
      <c r="J3974" s="2" t="s">
        <v>16</v>
      </c>
      <c r="K3974" s="2" t="s">
        <v>24</v>
      </c>
      <c r="L3974" s="7">
        <v>2298.5500000000002</v>
      </c>
      <c r="M3974" s="2" t="str">
        <f>_xlfn.IFS(TelecomData[[#This Row],[TenureMonths]]&lt;=12, "0-1 Year", TelecomData[[#This Row],[TenureMonths]]&lt;=36, "1-3 Years", TelecomData[[#This Row],[TenureMonths]]&gt;36, "3+ Years")</f>
        <v>3+ Years</v>
      </c>
      <c r="N3974" s="2" t="str">
        <f>IF(TelecomData[[#This Row],[CleanedTotalCharges]]&gt;=2500,"High Spend", "Standard Spend")</f>
        <v>Standard Spend</v>
      </c>
    </row>
    <row r="3975" spans="1:14" x14ac:dyDescent="0.3">
      <c r="A3975" s="1" t="s">
        <v>3999</v>
      </c>
      <c r="B3975" s="2" t="s">
        <v>12</v>
      </c>
      <c r="C3975" s="2" t="s">
        <v>20</v>
      </c>
      <c r="D3975" s="2">
        <v>43</v>
      </c>
      <c r="E3975" s="2" t="s">
        <v>14</v>
      </c>
      <c r="F3975" s="2" t="s">
        <v>16</v>
      </c>
      <c r="G3975" s="7">
        <v>60.4</v>
      </c>
      <c r="H3975" s="7">
        <v>2640.55</v>
      </c>
      <c r="I3975" s="2" t="s">
        <v>15</v>
      </c>
      <c r="J3975" s="2" t="s">
        <v>16</v>
      </c>
      <c r="K3975" s="2" t="s">
        <v>29</v>
      </c>
      <c r="L3975" s="7">
        <v>2640.55</v>
      </c>
      <c r="M3975" s="2" t="str">
        <f>_xlfn.IFS(TelecomData[[#This Row],[TenureMonths]]&lt;=12, "0-1 Year", TelecomData[[#This Row],[TenureMonths]]&lt;=36, "1-3 Years", TelecomData[[#This Row],[TenureMonths]]&gt;36, "3+ Years")</f>
        <v>3+ Years</v>
      </c>
      <c r="N3975" s="2" t="str">
        <f>IF(TelecomData[[#This Row],[CleanedTotalCharges]]&gt;=2500,"High Spend", "Standard Spend")</f>
        <v>High Spend</v>
      </c>
    </row>
    <row r="3976" spans="1:14" x14ac:dyDescent="0.3">
      <c r="A3976" s="1" t="s">
        <v>4000</v>
      </c>
      <c r="B3976" s="2" t="s">
        <v>19</v>
      </c>
      <c r="C3976" s="2" t="s">
        <v>20</v>
      </c>
      <c r="D3976" s="2">
        <v>37</v>
      </c>
      <c r="E3976" s="2" t="s">
        <v>14</v>
      </c>
      <c r="F3976" s="2" t="s">
        <v>15</v>
      </c>
      <c r="G3976" s="7">
        <v>79.25</v>
      </c>
      <c r="H3976" s="7">
        <v>2911.8</v>
      </c>
      <c r="I3976" s="2" t="s">
        <v>15</v>
      </c>
      <c r="J3976" s="2" t="s">
        <v>15</v>
      </c>
      <c r="K3976" s="2" t="s">
        <v>21</v>
      </c>
      <c r="L3976" s="7">
        <v>2911.8</v>
      </c>
      <c r="M3976" s="2" t="str">
        <f>_xlfn.IFS(TelecomData[[#This Row],[TenureMonths]]&lt;=12, "0-1 Year", TelecomData[[#This Row],[TenureMonths]]&lt;=36, "1-3 Years", TelecomData[[#This Row],[TenureMonths]]&gt;36, "3+ Years")</f>
        <v>3+ Years</v>
      </c>
      <c r="N3976" s="2" t="str">
        <f>IF(TelecomData[[#This Row],[CleanedTotalCharges]]&gt;=2500,"High Spend", "Standard Spend")</f>
        <v>High Spend</v>
      </c>
    </row>
    <row r="3977" spans="1:14" x14ac:dyDescent="0.3">
      <c r="A3977" s="1" t="s">
        <v>4001</v>
      </c>
      <c r="B3977" s="2" t="s">
        <v>12</v>
      </c>
      <c r="C3977" s="2" t="s">
        <v>13</v>
      </c>
      <c r="D3977" s="2">
        <v>20</v>
      </c>
      <c r="E3977" s="2" t="s">
        <v>26</v>
      </c>
      <c r="F3977" s="2" t="s">
        <v>15</v>
      </c>
      <c r="G3977" s="7">
        <v>85.8</v>
      </c>
      <c r="H3977" s="7">
        <v>1727.5</v>
      </c>
      <c r="I3977" s="2" t="s">
        <v>16</v>
      </c>
      <c r="J3977" s="2" t="s">
        <v>16</v>
      </c>
      <c r="K3977" s="2" t="s">
        <v>29</v>
      </c>
      <c r="L3977" s="7">
        <v>1727.5</v>
      </c>
      <c r="M3977" s="2" t="str">
        <f>_xlfn.IFS(TelecomData[[#This Row],[TenureMonths]]&lt;=12, "0-1 Year", TelecomData[[#This Row],[TenureMonths]]&lt;=36, "1-3 Years", TelecomData[[#This Row],[TenureMonths]]&gt;36, "3+ Years")</f>
        <v>1-3 Years</v>
      </c>
      <c r="N3977" s="2" t="str">
        <f>IF(TelecomData[[#This Row],[CleanedTotalCharges]]&gt;=2500,"High Spend", "Standard Spend")</f>
        <v>Standard Spend</v>
      </c>
    </row>
    <row r="3978" spans="1:14" x14ac:dyDescent="0.3">
      <c r="A3978" s="1" t="s">
        <v>4002</v>
      </c>
      <c r="B3978" s="2" t="s">
        <v>12</v>
      </c>
      <c r="C3978" s="2" t="s">
        <v>13</v>
      </c>
      <c r="D3978" s="2">
        <v>4</v>
      </c>
      <c r="E3978" s="2" t="s">
        <v>14</v>
      </c>
      <c r="F3978" s="2" t="s">
        <v>15</v>
      </c>
      <c r="G3978" s="7">
        <v>24.45</v>
      </c>
      <c r="H3978" s="7">
        <v>86.6</v>
      </c>
      <c r="I3978" s="2" t="s">
        <v>16</v>
      </c>
      <c r="J3978" s="2" t="s">
        <v>16</v>
      </c>
      <c r="K3978" s="2" t="s">
        <v>17</v>
      </c>
      <c r="L3978" s="7">
        <v>86.6</v>
      </c>
      <c r="M3978" s="2" t="str">
        <f>_xlfn.IFS(TelecomData[[#This Row],[TenureMonths]]&lt;=12, "0-1 Year", TelecomData[[#This Row],[TenureMonths]]&lt;=36, "1-3 Years", TelecomData[[#This Row],[TenureMonths]]&gt;36, "3+ Years")</f>
        <v>0-1 Year</v>
      </c>
      <c r="N3978" s="2" t="str">
        <f>IF(TelecomData[[#This Row],[CleanedTotalCharges]]&gt;=2500,"High Spend", "Standard Spend")</f>
        <v>Standard Spend</v>
      </c>
    </row>
    <row r="3979" spans="1:14" x14ac:dyDescent="0.3">
      <c r="A3979" s="1" t="s">
        <v>4003</v>
      </c>
      <c r="B3979" s="2" t="s">
        <v>19</v>
      </c>
      <c r="C3979" s="2" t="s">
        <v>35</v>
      </c>
      <c r="D3979" s="2">
        <v>63</v>
      </c>
      <c r="E3979" s="2" t="s">
        <v>26</v>
      </c>
      <c r="F3979" s="2" t="s">
        <v>16</v>
      </c>
      <c r="G3979" s="7">
        <v>110.1</v>
      </c>
      <c r="H3979" s="7">
        <v>6705.7</v>
      </c>
      <c r="I3979" s="2" t="s">
        <v>15</v>
      </c>
      <c r="J3979" s="2" t="s">
        <v>16</v>
      </c>
      <c r="K3979" s="2" t="s">
        <v>29</v>
      </c>
      <c r="L3979" s="7">
        <v>6705.7</v>
      </c>
      <c r="M3979" s="2" t="str">
        <f>_xlfn.IFS(TelecomData[[#This Row],[TenureMonths]]&lt;=12, "0-1 Year", TelecomData[[#This Row],[TenureMonths]]&lt;=36, "1-3 Years", TelecomData[[#This Row],[TenureMonths]]&gt;36, "3+ Years")</f>
        <v>3+ Years</v>
      </c>
      <c r="N3979" s="2" t="str">
        <f>IF(TelecomData[[#This Row],[CleanedTotalCharges]]&gt;=2500,"High Spend", "Standard Spend")</f>
        <v>High Spend</v>
      </c>
    </row>
    <row r="3980" spans="1:14" x14ac:dyDescent="0.3">
      <c r="A3980" s="1" t="s">
        <v>4004</v>
      </c>
      <c r="B3980" s="2" t="s">
        <v>19</v>
      </c>
      <c r="C3980" s="2" t="s">
        <v>13</v>
      </c>
      <c r="D3980" s="2">
        <v>3</v>
      </c>
      <c r="E3980" s="2" t="s">
        <v>26</v>
      </c>
      <c r="F3980" s="2" t="s">
        <v>15</v>
      </c>
      <c r="G3980" s="7">
        <v>90.7</v>
      </c>
      <c r="H3980" s="7">
        <v>237.65</v>
      </c>
      <c r="I3980" s="2" t="s">
        <v>15</v>
      </c>
      <c r="J3980" s="2" t="s">
        <v>15</v>
      </c>
      <c r="K3980" s="2" t="s">
        <v>21</v>
      </c>
      <c r="L3980" s="7">
        <v>237.65</v>
      </c>
      <c r="M3980" s="2" t="str">
        <f>_xlfn.IFS(TelecomData[[#This Row],[TenureMonths]]&lt;=12, "0-1 Year", TelecomData[[#This Row],[TenureMonths]]&lt;=36, "1-3 Years", TelecomData[[#This Row],[TenureMonths]]&gt;36, "3+ Years")</f>
        <v>0-1 Year</v>
      </c>
      <c r="N3980" s="2" t="str">
        <f>IF(TelecomData[[#This Row],[CleanedTotalCharges]]&gt;=2500,"High Spend", "Standard Spend")</f>
        <v>Standard Spend</v>
      </c>
    </row>
    <row r="3981" spans="1:14" x14ac:dyDescent="0.3">
      <c r="A3981" s="1" t="s">
        <v>4005</v>
      </c>
      <c r="B3981" s="2" t="s">
        <v>19</v>
      </c>
      <c r="C3981" s="2" t="s">
        <v>35</v>
      </c>
      <c r="D3981" s="2">
        <v>66</v>
      </c>
      <c r="E3981" s="2" t="s">
        <v>15</v>
      </c>
      <c r="F3981" s="2" t="s">
        <v>36</v>
      </c>
      <c r="G3981" s="7">
        <v>25.3</v>
      </c>
      <c r="H3981" s="7">
        <v>1672.35</v>
      </c>
      <c r="I3981" s="2" t="s">
        <v>15</v>
      </c>
      <c r="J3981" s="2" t="s">
        <v>16</v>
      </c>
      <c r="K3981" s="2" t="s">
        <v>29</v>
      </c>
      <c r="L3981" s="7">
        <v>1672.35</v>
      </c>
      <c r="M3981" s="2" t="str">
        <f>_xlfn.IFS(TelecomData[[#This Row],[TenureMonths]]&lt;=12, "0-1 Year", TelecomData[[#This Row],[TenureMonths]]&lt;=36, "1-3 Years", TelecomData[[#This Row],[TenureMonths]]&gt;36, "3+ Years")</f>
        <v>3+ Years</v>
      </c>
      <c r="N3981" s="2" t="str">
        <f>IF(TelecomData[[#This Row],[CleanedTotalCharges]]&gt;=2500,"High Spend", "Standard Spend")</f>
        <v>Standard Spend</v>
      </c>
    </row>
    <row r="3982" spans="1:14" x14ac:dyDescent="0.3">
      <c r="A3982" s="1" t="s">
        <v>4006</v>
      </c>
      <c r="B3982" s="2" t="s">
        <v>19</v>
      </c>
      <c r="C3982" s="2" t="s">
        <v>13</v>
      </c>
      <c r="D3982" s="2">
        <v>28</v>
      </c>
      <c r="E3982" s="2" t="s">
        <v>26</v>
      </c>
      <c r="F3982" s="2" t="s">
        <v>15</v>
      </c>
      <c r="G3982" s="7">
        <v>105.7</v>
      </c>
      <c r="H3982" s="7">
        <v>2979.5</v>
      </c>
      <c r="I3982" s="2" t="s">
        <v>16</v>
      </c>
      <c r="J3982" s="2" t="s">
        <v>16</v>
      </c>
      <c r="K3982" s="2" t="s">
        <v>17</v>
      </c>
      <c r="L3982" s="7">
        <v>2979.5</v>
      </c>
      <c r="M3982" s="2" t="str">
        <f>_xlfn.IFS(TelecomData[[#This Row],[TenureMonths]]&lt;=12, "0-1 Year", TelecomData[[#This Row],[TenureMonths]]&lt;=36, "1-3 Years", TelecomData[[#This Row],[TenureMonths]]&gt;36, "3+ Years")</f>
        <v>1-3 Years</v>
      </c>
      <c r="N3982" s="2" t="str">
        <f>IF(TelecomData[[#This Row],[CleanedTotalCharges]]&gt;=2500,"High Spend", "Standard Spend")</f>
        <v>High Spend</v>
      </c>
    </row>
    <row r="3983" spans="1:14" x14ac:dyDescent="0.3">
      <c r="A3983" s="1" t="s">
        <v>4007</v>
      </c>
      <c r="B3983" s="2" t="s">
        <v>12</v>
      </c>
      <c r="C3983" s="2" t="s">
        <v>13</v>
      </c>
      <c r="D3983" s="2">
        <v>8</v>
      </c>
      <c r="E3983" s="2" t="s">
        <v>26</v>
      </c>
      <c r="F3983" s="2" t="s">
        <v>15</v>
      </c>
      <c r="G3983" s="7">
        <v>85.2</v>
      </c>
      <c r="H3983" s="7">
        <v>695.75</v>
      </c>
      <c r="I3983" s="2" t="s">
        <v>15</v>
      </c>
      <c r="J3983" s="2" t="s">
        <v>15</v>
      </c>
      <c r="K3983" s="2" t="s">
        <v>17</v>
      </c>
      <c r="L3983" s="7">
        <v>695.75</v>
      </c>
      <c r="M3983" s="2" t="str">
        <f>_xlfn.IFS(TelecomData[[#This Row],[TenureMonths]]&lt;=12, "0-1 Year", TelecomData[[#This Row],[TenureMonths]]&lt;=36, "1-3 Years", TelecomData[[#This Row],[TenureMonths]]&gt;36, "3+ Years")</f>
        <v>0-1 Year</v>
      </c>
      <c r="N3983" s="2" t="str">
        <f>IF(TelecomData[[#This Row],[CleanedTotalCharges]]&gt;=2500,"High Spend", "Standard Spend")</f>
        <v>Standard Spend</v>
      </c>
    </row>
    <row r="3984" spans="1:14" x14ac:dyDescent="0.3">
      <c r="A3984" s="1" t="s">
        <v>4008</v>
      </c>
      <c r="B3984" s="2" t="s">
        <v>19</v>
      </c>
      <c r="C3984" s="2" t="s">
        <v>35</v>
      </c>
      <c r="D3984" s="2">
        <v>71</v>
      </c>
      <c r="E3984" s="2" t="s">
        <v>15</v>
      </c>
      <c r="F3984" s="2" t="s">
        <v>36</v>
      </c>
      <c r="G3984" s="7">
        <v>24.35</v>
      </c>
      <c r="H3984" s="7">
        <v>1654.6</v>
      </c>
      <c r="I3984" s="2" t="s">
        <v>15</v>
      </c>
      <c r="J3984" s="2" t="s">
        <v>15</v>
      </c>
      <c r="K3984" s="2" t="s">
        <v>21</v>
      </c>
      <c r="L3984" s="7">
        <v>1654.6</v>
      </c>
      <c r="M3984" s="2" t="str">
        <f>_xlfn.IFS(TelecomData[[#This Row],[TenureMonths]]&lt;=12, "0-1 Year", TelecomData[[#This Row],[TenureMonths]]&lt;=36, "1-3 Years", TelecomData[[#This Row],[TenureMonths]]&gt;36, "3+ Years")</f>
        <v>3+ Years</v>
      </c>
      <c r="N3984" s="2" t="str">
        <f>IF(TelecomData[[#This Row],[CleanedTotalCharges]]&gt;=2500,"High Spend", "Standard Spend")</f>
        <v>Standard Spend</v>
      </c>
    </row>
    <row r="3985" spans="1:14" x14ac:dyDescent="0.3">
      <c r="A3985" s="1" t="s">
        <v>4009</v>
      </c>
      <c r="B3985" s="2" t="s">
        <v>19</v>
      </c>
      <c r="C3985" s="2" t="s">
        <v>13</v>
      </c>
      <c r="D3985" s="2">
        <v>1</v>
      </c>
      <c r="E3985" s="2" t="s">
        <v>14</v>
      </c>
      <c r="F3985" s="2" t="s">
        <v>15</v>
      </c>
      <c r="G3985" s="7">
        <v>24.25</v>
      </c>
      <c r="H3985" s="7">
        <v>24.25</v>
      </c>
      <c r="I3985" s="2" t="s">
        <v>16</v>
      </c>
      <c r="J3985" s="2" t="s">
        <v>16</v>
      </c>
      <c r="K3985" s="2" t="s">
        <v>17</v>
      </c>
      <c r="L3985" s="7">
        <v>24.25</v>
      </c>
      <c r="M3985" s="2" t="str">
        <f>_xlfn.IFS(TelecomData[[#This Row],[TenureMonths]]&lt;=12, "0-1 Year", TelecomData[[#This Row],[TenureMonths]]&lt;=36, "1-3 Years", TelecomData[[#This Row],[TenureMonths]]&gt;36, "3+ Years")</f>
        <v>0-1 Year</v>
      </c>
      <c r="N3985" s="2" t="str">
        <f>IF(TelecomData[[#This Row],[CleanedTotalCharges]]&gt;=2500,"High Spend", "Standard Spend")</f>
        <v>Standard Spend</v>
      </c>
    </row>
    <row r="3986" spans="1:14" x14ac:dyDescent="0.3">
      <c r="A3986" s="1" t="s">
        <v>4010</v>
      </c>
      <c r="B3986" s="2" t="s">
        <v>12</v>
      </c>
      <c r="C3986" s="2" t="s">
        <v>35</v>
      </c>
      <c r="D3986" s="2">
        <v>72</v>
      </c>
      <c r="E3986" s="2" t="s">
        <v>15</v>
      </c>
      <c r="F3986" s="2" t="s">
        <v>36</v>
      </c>
      <c r="G3986" s="7">
        <v>25.1</v>
      </c>
      <c r="H3986" s="7">
        <v>1857.85</v>
      </c>
      <c r="I3986" s="2" t="s">
        <v>15</v>
      </c>
      <c r="J3986" s="2" t="s">
        <v>15</v>
      </c>
      <c r="K3986" s="2" t="s">
        <v>24</v>
      </c>
      <c r="L3986" s="7">
        <v>1857.85</v>
      </c>
      <c r="M3986" s="2" t="str">
        <f>_xlfn.IFS(TelecomData[[#This Row],[TenureMonths]]&lt;=12, "0-1 Year", TelecomData[[#This Row],[TenureMonths]]&lt;=36, "1-3 Years", TelecomData[[#This Row],[TenureMonths]]&gt;36, "3+ Years")</f>
        <v>3+ Years</v>
      </c>
      <c r="N3986" s="2" t="str">
        <f>IF(TelecomData[[#This Row],[CleanedTotalCharges]]&gt;=2500,"High Spend", "Standard Spend")</f>
        <v>Standard Spend</v>
      </c>
    </row>
    <row r="3987" spans="1:14" x14ac:dyDescent="0.3">
      <c r="A3987" s="1" t="s">
        <v>4011</v>
      </c>
      <c r="B3987" s="2" t="s">
        <v>19</v>
      </c>
      <c r="C3987" s="2" t="s">
        <v>13</v>
      </c>
      <c r="D3987" s="2">
        <v>16</v>
      </c>
      <c r="E3987" s="2" t="s">
        <v>14</v>
      </c>
      <c r="F3987" s="2" t="s">
        <v>15</v>
      </c>
      <c r="G3987" s="7">
        <v>54.55</v>
      </c>
      <c r="H3987" s="7">
        <v>825.1</v>
      </c>
      <c r="I3987" s="2" t="s">
        <v>15</v>
      </c>
      <c r="J3987" s="2" t="s">
        <v>16</v>
      </c>
      <c r="K3987" s="2" t="s">
        <v>24</v>
      </c>
      <c r="L3987" s="7">
        <v>825.1</v>
      </c>
      <c r="M3987" s="2" t="str">
        <f>_xlfn.IFS(TelecomData[[#This Row],[TenureMonths]]&lt;=12, "0-1 Year", TelecomData[[#This Row],[TenureMonths]]&lt;=36, "1-3 Years", TelecomData[[#This Row],[TenureMonths]]&gt;36, "3+ Years")</f>
        <v>1-3 Years</v>
      </c>
      <c r="N3987" s="2" t="str">
        <f>IF(TelecomData[[#This Row],[CleanedTotalCharges]]&gt;=2500,"High Spend", "Standard Spend")</f>
        <v>Standard Spend</v>
      </c>
    </row>
    <row r="3988" spans="1:14" x14ac:dyDescent="0.3">
      <c r="A3988" s="1" t="s">
        <v>4012</v>
      </c>
      <c r="B3988" s="2" t="s">
        <v>19</v>
      </c>
      <c r="C3988" s="2" t="s">
        <v>35</v>
      </c>
      <c r="D3988" s="2">
        <v>66</v>
      </c>
      <c r="E3988" s="2" t="s">
        <v>26</v>
      </c>
      <c r="F3988" s="2" t="s">
        <v>16</v>
      </c>
      <c r="G3988" s="7">
        <v>96.6</v>
      </c>
      <c r="H3988" s="7">
        <v>6424.25</v>
      </c>
      <c r="I3988" s="2" t="s">
        <v>15</v>
      </c>
      <c r="J3988" s="2" t="s">
        <v>15</v>
      </c>
      <c r="K3988" s="2" t="s">
        <v>21</v>
      </c>
      <c r="L3988" s="7">
        <v>6424.25</v>
      </c>
      <c r="M3988" s="2" t="str">
        <f>_xlfn.IFS(TelecomData[[#This Row],[TenureMonths]]&lt;=12, "0-1 Year", TelecomData[[#This Row],[TenureMonths]]&lt;=36, "1-3 Years", TelecomData[[#This Row],[TenureMonths]]&gt;36, "3+ Years")</f>
        <v>3+ Years</v>
      </c>
      <c r="N3988" s="2" t="str">
        <f>IF(TelecomData[[#This Row],[CleanedTotalCharges]]&gt;=2500,"High Spend", "Standard Spend")</f>
        <v>High Spend</v>
      </c>
    </row>
    <row r="3989" spans="1:14" x14ac:dyDescent="0.3">
      <c r="A3989" s="1" t="s">
        <v>4013</v>
      </c>
      <c r="B3989" s="2" t="s">
        <v>12</v>
      </c>
      <c r="C3989" s="2" t="s">
        <v>13</v>
      </c>
      <c r="D3989" s="2">
        <v>11</v>
      </c>
      <c r="E3989" s="2" t="s">
        <v>26</v>
      </c>
      <c r="F3989" s="2" t="s">
        <v>15</v>
      </c>
      <c r="G3989" s="7">
        <v>76.5</v>
      </c>
      <c r="H3989" s="7">
        <v>837.95</v>
      </c>
      <c r="I3989" s="2" t="s">
        <v>16</v>
      </c>
      <c r="J3989" s="2" t="s">
        <v>16</v>
      </c>
      <c r="K3989" s="2" t="s">
        <v>17</v>
      </c>
      <c r="L3989" s="7">
        <v>837.95</v>
      </c>
      <c r="M3989" s="2" t="str">
        <f>_xlfn.IFS(TelecomData[[#This Row],[TenureMonths]]&lt;=12, "0-1 Year", TelecomData[[#This Row],[TenureMonths]]&lt;=36, "1-3 Years", TelecomData[[#This Row],[TenureMonths]]&gt;36, "3+ Years")</f>
        <v>0-1 Year</v>
      </c>
      <c r="N3989" s="2" t="str">
        <f>IF(TelecomData[[#This Row],[CleanedTotalCharges]]&gt;=2500,"High Spend", "Standard Spend")</f>
        <v>Standard Spend</v>
      </c>
    </row>
    <row r="3990" spans="1:14" x14ac:dyDescent="0.3">
      <c r="A3990" s="1" t="s">
        <v>4014</v>
      </c>
      <c r="B3990" s="2" t="s">
        <v>19</v>
      </c>
      <c r="C3990" s="2" t="s">
        <v>20</v>
      </c>
      <c r="D3990" s="2">
        <v>51</v>
      </c>
      <c r="E3990" s="2" t="s">
        <v>14</v>
      </c>
      <c r="F3990" s="2" t="s">
        <v>16</v>
      </c>
      <c r="G3990" s="7">
        <v>81.150000000000006</v>
      </c>
      <c r="H3990" s="7">
        <v>4126.2</v>
      </c>
      <c r="I3990" s="2" t="s">
        <v>15</v>
      </c>
      <c r="J3990" s="2" t="s">
        <v>16</v>
      </c>
      <c r="K3990" s="2" t="s">
        <v>29</v>
      </c>
      <c r="L3990" s="7">
        <v>4126.2</v>
      </c>
      <c r="M3990" s="2" t="str">
        <f>_xlfn.IFS(TelecomData[[#This Row],[TenureMonths]]&lt;=12, "0-1 Year", TelecomData[[#This Row],[TenureMonths]]&lt;=36, "1-3 Years", TelecomData[[#This Row],[TenureMonths]]&gt;36, "3+ Years")</f>
        <v>3+ Years</v>
      </c>
      <c r="N3990" s="2" t="str">
        <f>IF(TelecomData[[#This Row],[CleanedTotalCharges]]&gt;=2500,"High Spend", "Standard Spend")</f>
        <v>High Spend</v>
      </c>
    </row>
    <row r="3991" spans="1:14" x14ac:dyDescent="0.3">
      <c r="A3991" s="1" t="s">
        <v>4015</v>
      </c>
      <c r="B3991" s="2" t="s">
        <v>12</v>
      </c>
      <c r="C3991" s="2" t="s">
        <v>13</v>
      </c>
      <c r="D3991" s="2">
        <v>8</v>
      </c>
      <c r="E3991" s="2" t="s">
        <v>14</v>
      </c>
      <c r="F3991" s="2" t="s">
        <v>15</v>
      </c>
      <c r="G3991" s="7">
        <v>38.5</v>
      </c>
      <c r="H3991" s="7">
        <v>330.8</v>
      </c>
      <c r="I3991" s="2" t="s">
        <v>15</v>
      </c>
      <c r="J3991" s="2" t="s">
        <v>16</v>
      </c>
      <c r="K3991" s="2" t="s">
        <v>17</v>
      </c>
      <c r="L3991" s="7">
        <v>330.8</v>
      </c>
      <c r="M3991" s="2" t="str">
        <f>_xlfn.IFS(TelecomData[[#This Row],[TenureMonths]]&lt;=12, "0-1 Year", TelecomData[[#This Row],[TenureMonths]]&lt;=36, "1-3 Years", TelecomData[[#This Row],[TenureMonths]]&gt;36, "3+ Years")</f>
        <v>0-1 Year</v>
      </c>
      <c r="N3991" s="2" t="str">
        <f>IF(TelecomData[[#This Row],[CleanedTotalCharges]]&gt;=2500,"High Spend", "Standard Spend")</f>
        <v>Standard Spend</v>
      </c>
    </row>
    <row r="3992" spans="1:14" x14ac:dyDescent="0.3">
      <c r="A3992" s="1" t="s">
        <v>4016</v>
      </c>
      <c r="B3992" s="2" t="s">
        <v>19</v>
      </c>
      <c r="C3992" s="2" t="s">
        <v>13</v>
      </c>
      <c r="D3992" s="2">
        <v>14</v>
      </c>
      <c r="E3992" s="2" t="s">
        <v>26</v>
      </c>
      <c r="F3992" s="2" t="s">
        <v>15</v>
      </c>
      <c r="G3992" s="7">
        <v>92.9</v>
      </c>
      <c r="H3992" s="7">
        <v>1337.45</v>
      </c>
      <c r="I3992" s="2" t="s">
        <v>15</v>
      </c>
      <c r="J3992" s="2" t="s">
        <v>16</v>
      </c>
      <c r="K3992" s="2" t="s">
        <v>17</v>
      </c>
      <c r="L3992" s="7">
        <v>1337.45</v>
      </c>
      <c r="M3992" s="2" t="str">
        <f>_xlfn.IFS(TelecomData[[#This Row],[TenureMonths]]&lt;=12, "0-1 Year", TelecomData[[#This Row],[TenureMonths]]&lt;=36, "1-3 Years", TelecomData[[#This Row],[TenureMonths]]&gt;36, "3+ Years")</f>
        <v>1-3 Years</v>
      </c>
      <c r="N3992" s="2" t="str">
        <f>IF(TelecomData[[#This Row],[CleanedTotalCharges]]&gt;=2500,"High Spend", "Standard Spend")</f>
        <v>Standard Spend</v>
      </c>
    </row>
    <row r="3993" spans="1:14" x14ac:dyDescent="0.3">
      <c r="A3993" s="1" t="s">
        <v>4017</v>
      </c>
      <c r="B3993" s="2" t="s">
        <v>12</v>
      </c>
      <c r="C3993" s="2" t="s">
        <v>13</v>
      </c>
      <c r="D3993" s="2">
        <v>4</v>
      </c>
      <c r="E3993" s="2" t="s">
        <v>26</v>
      </c>
      <c r="F3993" s="2" t="s">
        <v>16</v>
      </c>
      <c r="G3993" s="7">
        <v>93.5</v>
      </c>
      <c r="H3993" s="7">
        <v>362.2</v>
      </c>
      <c r="I3993" s="2" t="s">
        <v>16</v>
      </c>
      <c r="J3993" s="2" t="s">
        <v>16</v>
      </c>
      <c r="K3993" s="2" t="s">
        <v>17</v>
      </c>
      <c r="L3993" s="7">
        <v>362.2</v>
      </c>
      <c r="M3993" s="2" t="str">
        <f>_xlfn.IFS(TelecomData[[#This Row],[TenureMonths]]&lt;=12, "0-1 Year", TelecomData[[#This Row],[TenureMonths]]&lt;=36, "1-3 Years", TelecomData[[#This Row],[TenureMonths]]&gt;36, "3+ Years")</f>
        <v>0-1 Year</v>
      </c>
      <c r="N3993" s="2" t="str">
        <f>IF(TelecomData[[#This Row],[CleanedTotalCharges]]&gt;=2500,"High Spend", "Standard Spend")</f>
        <v>Standard Spend</v>
      </c>
    </row>
    <row r="3994" spans="1:14" x14ac:dyDescent="0.3">
      <c r="A3994" s="1" t="s">
        <v>4018</v>
      </c>
      <c r="B3994" s="2" t="s">
        <v>12</v>
      </c>
      <c r="C3994" s="2" t="s">
        <v>35</v>
      </c>
      <c r="D3994" s="2">
        <v>70</v>
      </c>
      <c r="E3994" s="2" t="s">
        <v>14</v>
      </c>
      <c r="F3994" s="2" t="s">
        <v>15</v>
      </c>
      <c r="G3994" s="7">
        <v>84.7</v>
      </c>
      <c r="H3994" s="7">
        <v>5991.05</v>
      </c>
      <c r="I3994" s="2" t="s">
        <v>15</v>
      </c>
      <c r="J3994" s="2" t="s">
        <v>15</v>
      </c>
      <c r="K3994" s="2" t="s">
        <v>21</v>
      </c>
      <c r="L3994" s="7">
        <v>5991.05</v>
      </c>
      <c r="M3994" s="2" t="str">
        <f>_xlfn.IFS(TelecomData[[#This Row],[TenureMonths]]&lt;=12, "0-1 Year", TelecomData[[#This Row],[TenureMonths]]&lt;=36, "1-3 Years", TelecomData[[#This Row],[TenureMonths]]&gt;36, "3+ Years")</f>
        <v>3+ Years</v>
      </c>
      <c r="N3994" s="2" t="str">
        <f>IF(TelecomData[[#This Row],[CleanedTotalCharges]]&gt;=2500,"High Spend", "Standard Spend")</f>
        <v>High Spend</v>
      </c>
    </row>
    <row r="3995" spans="1:14" x14ac:dyDescent="0.3">
      <c r="A3995" s="1" t="s">
        <v>4019</v>
      </c>
      <c r="B3995" s="2" t="s">
        <v>12</v>
      </c>
      <c r="C3995" s="2" t="s">
        <v>35</v>
      </c>
      <c r="D3995" s="2">
        <v>70</v>
      </c>
      <c r="E3995" s="2" t="s">
        <v>14</v>
      </c>
      <c r="F3995" s="2" t="s">
        <v>16</v>
      </c>
      <c r="G3995" s="7">
        <v>66</v>
      </c>
      <c r="H3995" s="7">
        <v>4891.5</v>
      </c>
      <c r="I3995" s="2" t="s">
        <v>15</v>
      </c>
      <c r="J3995" s="2" t="s">
        <v>15</v>
      </c>
      <c r="K3995" s="2" t="s">
        <v>17</v>
      </c>
      <c r="L3995" s="7">
        <v>4891.5</v>
      </c>
      <c r="M3995" s="2" t="str">
        <f>_xlfn.IFS(TelecomData[[#This Row],[TenureMonths]]&lt;=12, "0-1 Year", TelecomData[[#This Row],[TenureMonths]]&lt;=36, "1-3 Years", TelecomData[[#This Row],[TenureMonths]]&gt;36, "3+ Years")</f>
        <v>3+ Years</v>
      </c>
      <c r="N3995" s="2" t="str">
        <f>IF(TelecomData[[#This Row],[CleanedTotalCharges]]&gt;=2500,"High Spend", "Standard Spend")</f>
        <v>High Spend</v>
      </c>
    </row>
    <row r="3996" spans="1:14" x14ac:dyDescent="0.3">
      <c r="A3996" s="1" t="s">
        <v>4020</v>
      </c>
      <c r="B3996" s="2" t="s">
        <v>12</v>
      </c>
      <c r="C3996" s="2" t="s">
        <v>20</v>
      </c>
      <c r="D3996" s="2">
        <v>54</v>
      </c>
      <c r="E3996" s="2" t="s">
        <v>26</v>
      </c>
      <c r="F3996" s="2" t="s">
        <v>15</v>
      </c>
      <c r="G3996" s="7">
        <v>101.5</v>
      </c>
      <c r="H3996" s="7">
        <v>5373.1</v>
      </c>
      <c r="I3996" s="2" t="s">
        <v>16</v>
      </c>
      <c r="J3996" s="2" t="s">
        <v>16</v>
      </c>
      <c r="K3996" s="2" t="s">
        <v>29</v>
      </c>
      <c r="L3996" s="7">
        <v>5373.1</v>
      </c>
      <c r="M3996" s="2" t="str">
        <f>_xlfn.IFS(TelecomData[[#This Row],[TenureMonths]]&lt;=12, "0-1 Year", TelecomData[[#This Row],[TenureMonths]]&lt;=36, "1-3 Years", TelecomData[[#This Row],[TenureMonths]]&gt;36, "3+ Years")</f>
        <v>3+ Years</v>
      </c>
      <c r="N3996" s="2" t="str">
        <f>IF(TelecomData[[#This Row],[CleanedTotalCharges]]&gt;=2500,"High Spend", "Standard Spend")</f>
        <v>High Spend</v>
      </c>
    </row>
    <row r="3997" spans="1:14" x14ac:dyDescent="0.3">
      <c r="A3997" s="1" t="s">
        <v>4021</v>
      </c>
      <c r="B3997" s="2" t="s">
        <v>19</v>
      </c>
      <c r="C3997" s="2" t="s">
        <v>13</v>
      </c>
      <c r="D3997" s="2">
        <v>28</v>
      </c>
      <c r="E3997" s="2" t="s">
        <v>26</v>
      </c>
      <c r="F3997" s="2" t="s">
        <v>15</v>
      </c>
      <c r="G3997" s="7">
        <v>74.900000000000006</v>
      </c>
      <c r="H3997" s="7">
        <v>2068.5500000000002</v>
      </c>
      <c r="I3997" s="2" t="s">
        <v>16</v>
      </c>
      <c r="J3997" s="2" t="s">
        <v>16</v>
      </c>
      <c r="K3997" s="2" t="s">
        <v>24</v>
      </c>
      <c r="L3997" s="7">
        <v>2068.5500000000002</v>
      </c>
      <c r="M3997" s="2" t="str">
        <f>_xlfn.IFS(TelecomData[[#This Row],[TenureMonths]]&lt;=12, "0-1 Year", TelecomData[[#This Row],[TenureMonths]]&lt;=36, "1-3 Years", TelecomData[[#This Row],[TenureMonths]]&gt;36, "3+ Years")</f>
        <v>1-3 Years</v>
      </c>
      <c r="N3997" s="2" t="str">
        <f>IF(TelecomData[[#This Row],[CleanedTotalCharges]]&gt;=2500,"High Spend", "Standard Spend")</f>
        <v>Standard Spend</v>
      </c>
    </row>
    <row r="3998" spans="1:14" x14ac:dyDescent="0.3">
      <c r="A3998" s="1" t="s">
        <v>4022</v>
      </c>
      <c r="B3998" s="2" t="s">
        <v>19</v>
      </c>
      <c r="C3998" s="2" t="s">
        <v>35</v>
      </c>
      <c r="D3998" s="2">
        <v>24</v>
      </c>
      <c r="E3998" s="2" t="s">
        <v>15</v>
      </c>
      <c r="F3998" s="2" t="s">
        <v>36</v>
      </c>
      <c r="G3998" s="7">
        <v>20.75</v>
      </c>
      <c r="H3998" s="7">
        <v>487.05</v>
      </c>
      <c r="I3998" s="2" t="s">
        <v>15</v>
      </c>
      <c r="J3998" s="2" t="s">
        <v>15</v>
      </c>
      <c r="K3998" s="2" t="s">
        <v>21</v>
      </c>
      <c r="L3998" s="7">
        <v>487.05</v>
      </c>
      <c r="M3998" s="2" t="str">
        <f>_xlfn.IFS(TelecomData[[#This Row],[TenureMonths]]&lt;=12, "0-1 Year", TelecomData[[#This Row],[TenureMonths]]&lt;=36, "1-3 Years", TelecomData[[#This Row],[TenureMonths]]&gt;36, "3+ Years")</f>
        <v>1-3 Years</v>
      </c>
      <c r="N3998" s="2" t="str">
        <f>IF(TelecomData[[#This Row],[CleanedTotalCharges]]&gt;=2500,"High Spend", "Standard Spend")</f>
        <v>Standard Spend</v>
      </c>
    </row>
    <row r="3999" spans="1:14" x14ac:dyDescent="0.3">
      <c r="A3999" s="1" t="s">
        <v>4023</v>
      </c>
      <c r="B3999" s="2" t="s">
        <v>12</v>
      </c>
      <c r="C3999" s="2" t="s">
        <v>35</v>
      </c>
      <c r="D3999" s="2">
        <v>69</v>
      </c>
      <c r="E3999" s="2" t="s">
        <v>14</v>
      </c>
      <c r="F3999" s="2" t="s">
        <v>15</v>
      </c>
      <c r="G3999" s="7">
        <v>61.45</v>
      </c>
      <c r="H3999" s="7">
        <v>4131.2</v>
      </c>
      <c r="I3999" s="2" t="s">
        <v>15</v>
      </c>
      <c r="J3999" s="2" t="s">
        <v>16</v>
      </c>
      <c r="K3999" s="2" t="s">
        <v>29</v>
      </c>
      <c r="L3999" s="7">
        <v>4131.2</v>
      </c>
      <c r="M3999" s="2" t="str">
        <f>_xlfn.IFS(TelecomData[[#This Row],[TenureMonths]]&lt;=12, "0-1 Year", TelecomData[[#This Row],[TenureMonths]]&lt;=36, "1-3 Years", TelecomData[[#This Row],[TenureMonths]]&gt;36, "3+ Years")</f>
        <v>3+ Years</v>
      </c>
      <c r="N3999" s="2" t="str">
        <f>IF(TelecomData[[#This Row],[CleanedTotalCharges]]&gt;=2500,"High Spend", "Standard Spend")</f>
        <v>High Spend</v>
      </c>
    </row>
    <row r="4000" spans="1:14" x14ac:dyDescent="0.3">
      <c r="A4000" s="1" t="s">
        <v>4024</v>
      </c>
      <c r="B4000" s="2" t="s">
        <v>19</v>
      </c>
      <c r="C4000" s="2" t="s">
        <v>13</v>
      </c>
      <c r="D4000" s="2">
        <v>42</v>
      </c>
      <c r="E4000" s="2" t="s">
        <v>14</v>
      </c>
      <c r="F4000" s="2" t="s">
        <v>15</v>
      </c>
      <c r="G4000" s="7">
        <v>54.5</v>
      </c>
      <c r="H4000" s="7">
        <v>2301.15</v>
      </c>
      <c r="I4000" s="2" t="s">
        <v>15</v>
      </c>
      <c r="J4000" s="2" t="s">
        <v>15</v>
      </c>
      <c r="K4000" s="2" t="s">
        <v>21</v>
      </c>
      <c r="L4000" s="7">
        <v>2301.15</v>
      </c>
      <c r="M4000" s="2" t="str">
        <f>_xlfn.IFS(TelecomData[[#This Row],[TenureMonths]]&lt;=12, "0-1 Year", TelecomData[[#This Row],[TenureMonths]]&lt;=36, "1-3 Years", TelecomData[[#This Row],[TenureMonths]]&gt;36, "3+ Years")</f>
        <v>3+ Years</v>
      </c>
      <c r="N4000" s="2" t="str">
        <f>IF(TelecomData[[#This Row],[CleanedTotalCharges]]&gt;=2500,"High Spend", "Standard Spend")</f>
        <v>Standard Spend</v>
      </c>
    </row>
    <row r="4001" spans="1:14" x14ac:dyDescent="0.3">
      <c r="A4001" s="1" t="s">
        <v>4025</v>
      </c>
      <c r="B4001" s="2" t="s">
        <v>12</v>
      </c>
      <c r="C4001" s="2" t="s">
        <v>13</v>
      </c>
      <c r="D4001" s="2">
        <v>2</v>
      </c>
      <c r="E4001" s="2" t="s">
        <v>26</v>
      </c>
      <c r="F4001" s="2" t="s">
        <v>15</v>
      </c>
      <c r="G4001" s="7">
        <v>69.599999999999994</v>
      </c>
      <c r="H4001" s="7">
        <v>131.65</v>
      </c>
      <c r="I4001" s="2" t="s">
        <v>16</v>
      </c>
      <c r="J4001" s="2" t="s">
        <v>16</v>
      </c>
      <c r="K4001" s="2" t="s">
        <v>17</v>
      </c>
      <c r="L4001" s="7">
        <v>131.65</v>
      </c>
      <c r="M4001" s="2" t="str">
        <f>_xlfn.IFS(TelecomData[[#This Row],[TenureMonths]]&lt;=12, "0-1 Year", TelecomData[[#This Row],[TenureMonths]]&lt;=36, "1-3 Years", TelecomData[[#This Row],[TenureMonths]]&gt;36, "3+ Years")</f>
        <v>0-1 Year</v>
      </c>
      <c r="N4001" s="2" t="str">
        <f>IF(TelecomData[[#This Row],[CleanedTotalCharges]]&gt;=2500,"High Spend", "Standard Spend")</f>
        <v>Standard Spend</v>
      </c>
    </row>
    <row r="4002" spans="1:14" x14ac:dyDescent="0.3">
      <c r="A4002" s="1" t="s">
        <v>4026</v>
      </c>
      <c r="B4002" s="2" t="s">
        <v>12</v>
      </c>
      <c r="C4002" s="2" t="s">
        <v>13</v>
      </c>
      <c r="D4002" s="2">
        <v>39</v>
      </c>
      <c r="E4002" s="2" t="s">
        <v>26</v>
      </c>
      <c r="F4002" s="2" t="s">
        <v>15</v>
      </c>
      <c r="G4002" s="7">
        <v>99.75</v>
      </c>
      <c r="H4002" s="7">
        <v>4036</v>
      </c>
      <c r="I4002" s="2" t="s">
        <v>15</v>
      </c>
      <c r="J4002" s="2" t="s">
        <v>16</v>
      </c>
      <c r="K4002" s="2" t="s">
        <v>17</v>
      </c>
      <c r="L4002" s="7">
        <v>4036</v>
      </c>
      <c r="M4002" s="2" t="str">
        <f>_xlfn.IFS(TelecomData[[#This Row],[TenureMonths]]&lt;=12, "0-1 Year", TelecomData[[#This Row],[TenureMonths]]&lt;=36, "1-3 Years", TelecomData[[#This Row],[TenureMonths]]&gt;36, "3+ Years")</f>
        <v>3+ Years</v>
      </c>
      <c r="N4002" s="2" t="str">
        <f>IF(TelecomData[[#This Row],[CleanedTotalCharges]]&gt;=2500,"High Spend", "Standard Spend")</f>
        <v>High Spend</v>
      </c>
    </row>
    <row r="4003" spans="1:14" x14ac:dyDescent="0.3">
      <c r="A4003" s="1" t="s">
        <v>4027</v>
      </c>
      <c r="B4003" s="2" t="s">
        <v>19</v>
      </c>
      <c r="C4003" s="2" t="s">
        <v>35</v>
      </c>
      <c r="D4003" s="2">
        <v>45</v>
      </c>
      <c r="E4003" s="2" t="s">
        <v>26</v>
      </c>
      <c r="F4003" s="2" t="s">
        <v>16</v>
      </c>
      <c r="G4003" s="7">
        <v>109.75</v>
      </c>
      <c r="H4003" s="7">
        <v>4900.6499999999996</v>
      </c>
      <c r="I4003" s="2" t="s">
        <v>15</v>
      </c>
      <c r="J4003" s="2" t="s">
        <v>16</v>
      </c>
      <c r="K4003" s="2" t="s">
        <v>24</v>
      </c>
      <c r="L4003" s="7">
        <v>4900.6499999999996</v>
      </c>
      <c r="M4003" s="2" t="str">
        <f>_xlfn.IFS(TelecomData[[#This Row],[TenureMonths]]&lt;=12, "0-1 Year", TelecomData[[#This Row],[TenureMonths]]&lt;=36, "1-3 Years", TelecomData[[#This Row],[TenureMonths]]&gt;36, "3+ Years")</f>
        <v>3+ Years</v>
      </c>
      <c r="N4003" s="2" t="str">
        <f>IF(TelecomData[[#This Row],[CleanedTotalCharges]]&gt;=2500,"High Spend", "Standard Spend")</f>
        <v>High Spend</v>
      </c>
    </row>
    <row r="4004" spans="1:14" x14ac:dyDescent="0.3">
      <c r="A4004" s="1" t="s">
        <v>4028</v>
      </c>
      <c r="B4004" s="2" t="s">
        <v>19</v>
      </c>
      <c r="C4004" s="2" t="s">
        <v>35</v>
      </c>
      <c r="D4004" s="2">
        <v>72</v>
      </c>
      <c r="E4004" s="2" t="s">
        <v>14</v>
      </c>
      <c r="F4004" s="2" t="s">
        <v>16</v>
      </c>
      <c r="G4004" s="7">
        <v>80.849999999999994</v>
      </c>
      <c r="H4004" s="7">
        <v>5727.45</v>
      </c>
      <c r="I4004" s="2" t="s">
        <v>15</v>
      </c>
      <c r="J4004" s="2" t="s">
        <v>16</v>
      </c>
      <c r="K4004" s="2" t="s">
        <v>24</v>
      </c>
      <c r="L4004" s="7">
        <v>5727.45</v>
      </c>
      <c r="M4004" s="2" t="str">
        <f>_xlfn.IFS(TelecomData[[#This Row],[TenureMonths]]&lt;=12, "0-1 Year", TelecomData[[#This Row],[TenureMonths]]&lt;=36, "1-3 Years", TelecomData[[#This Row],[TenureMonths]]&gt;36, "3+ Years")</f>
        <v>3+ Years</v>
      </c>
      <c r="N4004" s="2" t="str">
        <f>IF(TelecomData[[#This Row],[CleanedTotalCharges]]&gt;=2500,"High Spend", "Standard Spend")</f>
        <v>High Spend</v>
      </c>
    </row>
    <row r="4005" spans="1:14" x14ac:dyDescent="0.3">
      <c r="A4005" s="1" t="s">
        <v>4029</v>
      </c>
      <c r="B4005" s="2" t="s">
        <v>12</v>
      </c>
      <c r="C4005" s="2" t="s">
        <v>35</v>
      </c>
      <c r="D4005" s="2">
        <v>38</v>
      </c>
      <c r="E4005" s="2" t="s">
        <v>15</v>
      </c>
      <c r="F4005" s="2" t="s">
        <v>36</v>
      </c>
      <c r="G4005" s="7">
        <v>20.3</v>
      </c>
      <c r="H4005" s="7">
        <v>743.05</v>
      </c>
      <c r="I4005" s="2" t="s">
        <v>15</v>
      </c>
      <c r="J4005" s="2" t="s">
        <v>15</v>
      </c>
      <c r="K4005" s="2" t="s">
        <v>21</v>
      </c>
      <c r="L4005" s="7">
        <v>743.05</v>
      </c>
      <c r="M4005" s="2" t="str">
        <f>_xlfn.IFS(TelecomData[[#This Row],[TenureMonths]]&lt;=12, "0-1 Year", TelecomData[[#This Row],[TenureMonths]]&lt;=36, "1-3 Years", TelecomData[[#This Row],[TenureMonths]]&gt;36, "3+ Years")</f>
        <v>3+ Years</v>
      </c>
      <c r="N4005" s="2" t="str">
        <f>IF(TelecomData[[#This Row],[CleanedTotalCharges]]&gt;=2500,"High Spend", "Standard Spend")</f>
        <v>Standard Spend</v>
      </c>
    </row>
    <row r="4006" spans="1:14" x14ac:dyDescent="0.3">
      <c r="A4006" s="1" t="s">
        <v>4030</v>
      </c>
      <c r="B4006" s="2" t="s">
        <v>19</v>
      </c>
      <c r="C4006" s="2" t="s">
        <v>35</v>
      </c>
      <c r="D4006" s="2">
        <v>72</v>
      </c>
      <c r="E4006" s="2" t="s">
        <v>14</v>
      </c>
      <c r="F4006" s="2" t="s">
        <v>16</v>
      </c>
      <c r="G4006" s="7">
        <v>67.8</v>
      </c>
      <c r="H4006" s="7">
        <v>4804.6499999999996</v>
      </c>
      <c r="I4006" s="2" t="s">
        <v>15</v>
      </c>
      <c r="J4006" s="2" t="s">
        <v>16</v>
      </c>
      <c r="K4006" s="2" t="s">
        <v>24</v>
      </c>
      <c r="L4006" s="7">
        <v>4804.6499999999996</v>
      </c>
      <c r="M4006" s="2" t="str">
        <f>_xlfn.IFS(TelecomData[[#This Row],[TenureMonths]]&lt;=12, "0-1 Year", TelecomData[[#This Row],[TenureMonths]]&lt;=36, "1-3 Years", TelecomData[[#This Row],[TenureMonths]]&gt;36, "3+ Years")</f>
        <v>3+ Years</v>
      </c>
      <c r="N4006" s="2" t="str">
        <f>IF(TelecomData[[#This Row],[CleanedTotalCharges]]&gt;=2500,"High Spend", "Standard Spend")</f>
        <v>High Spend</v>
      </c>
    </row>
    <row r="4007" spans="1:14" x14ac:dyDescent="0.3">
      <c r="A4007" s="1" t="s">
        <v>4031</v>
      </c>
      <c r="B4007" s="2" t="s">
        <v>19</v>
      </c>
      <c r="C4007" s="2" t="s">
        <v>13</v>
      </c>
      <c r="D4007" s="2">
        <v>1</v>
      </c>
      <c r="E4007" s="2" t="s">
        <v>15</v>
      </c>
      <c r="F4007" s="2" t="s">
        <v>36</v>
      </c>
      <c r="G4007" s="7">
        <v>24.05</v>
      </c>
      <c r="H4007" s="7">
        <v>24.05</v>
      </c>
      <c r="I4007" s="2" t="s">
        <v>16</v>
      </c>
      <c r="J4007" s="2" t="s">
        <v>16</v>
      </c>
      <c r="K4007" s="2" t="s">
        <v>21</v>
      </c>
      <c r="L4007" s="7">
        <v>24.05</v>
      </c>
      <c r="M4007" s="2" t="str">
        <f>_xlfn.IFS(TelecomData[[#This Row],[TenureMonths]]&lt;=12, "0-1 Year", TelecomData[[#This Row],[TenureMonths]]&lt;=36, "1-3 Years", TelecomData[[#This Row],[TenureMonths]]&gt;36, "3+ Years")</f>
        <v>0-1 Year</v>
      </c>
      <c r="N4007" s="2" t="str">
        <f>IF(TelecomData[[#This Row],[CleanedTotalCharges]]&gt;=2500,"High Spend", "Standard Spend")</f>
        <v>Standard Spend</v>
      </c>
    </row>
    <row r="4008" spans="1:14" x14ac:dyDescent="0.3">
      <c r="A4008" s="1" t="s">
        <v>4032</v>
      </c>
      <c r="B4008" s="2" t="s">
        <v>19</v>
      </c>
      <c r="C4008" s="2" t="s">
        <v>35</v>
      </c>
      <c r="D4008" s="2">
        <v>72</v>
      </c>
      <c r="E4008" s="2" t="s">
        <v>15</v>
      </c>
      <c r="F4008" s="2" t="s">
        <v>36</v>
      </c>
      <c r="G4008" s="7">
        <v>19.8</v>
      </c>
      <c r="H4008" s="7">
        <v>1414.65</v>
      </c>
      <c r="I4008" s="2" t="s">
        <v>15</v>
      </c>
      <c r="J4008" s="2" t="s">
        <v>16</v>
      </c>
      <c r="K4008" s="2" t="s">
        <v>29</v>
      </c>
      <c r="L4008" s="7">
        <v>1414.65</v>
      </c>
      <c r="M4008" s="2" t="str">
        <f>_xlfn.IFS(TelecomData[[#This Row],[TenureMonths]]&lt;=12, "0-1 Year", TelecomData[[#This Row],[TenureMonths]]&lt;=36, "1-3 Years", TelecomData[[#This Row],[TenureMonths]]&gt;36, "3+ Years")</f>
        <v>3+ Years</v>
      </c>
      <c r="N4008" s="2" t="str">
        <f>IF(TelecomData[[#This Row],[CleanedTotalCharges]]&gt;=2500,"High Spend", "Standard Spend")</f>
        <v>Standard Spend</v>
      </c>
    </row>
    <row r="4009" spans="1:14" x14ac:dyDescent="0.3">
      <c r="A4009" s="1" t="s">
        <v>4033</v>
      </c>
      <c r="B4009" s="2" t="s">
        <v>19</v>
      </c>
      <c r="C4009" s="2" t="s">
        <v>35</v>
      </c>
      <c r="D4009" s="2">
        <v>55</v>
      </c>
      <c r="E4009" s="2" t="s">
        <v>15</v>
      </c>
      <c r="F4009" s="2" t="s">
        <v>36</v>
      </c>
      <c r="G4009" s="7">
        <v>25.7</v>
      </c>
      <c r="H4009" s="7">
        <v>1443.65</v>
      </c>
      <c r="I4009" s="2" t="s">
        <v>15</v>
      </c>
      <c r="J4009" s="2" t="s">
        <v>15</v>
      </c>
      <c r="K4009" s="2" t="s">
        <v>24</v>
      </c>
      <c r="L4009" s="7">
        <v>1443.65</v>
      </c>
      <c r="M4009" s="2" t="str">
        <f>_xlfn.IFS(TelecomData[[#This Row],[TenureMonths]]&lt;=12, "0-1 Year", TelecomData[[#This Row],[TenureMonths]]&lt;=36, "1-3 Years", TelecomData[[#This Row],[TenureMonths]]&gt;36, "3+ Years")</f>
        <v>3+ Years</v>
      </c>
      <c r="N4009" s="2" t="str">
        <f>IF(TelecomData[[#This Row],[CleanedTotalCharges]]&gt;=2500,"High Spend", "Standard Spend")</f>
        <v>Standard Spend</v>
      </c>
    </row>
    <row r="4010" spans="1:14" x14ac:dyDescent="0.3">
      <c r="A4010" s="1" t="s">
        <v>4034</v>
      </c>
      <c r="B4010" s="2" t="s">
        <v>12</v>
      </c>
      <c r="C4010" s="2" t="s">
        <v>20</v>
      </c>
      <c r="D4010" s="2">
        <v>51</v>
      </c>
      <c r="E4010" s="2" t="s">
        <v>14</v>
      </c>
      <c r="F4010" s="2" t="s">
        <v>16</v>
      </c>
      <c r="G4010" s="7">
        <v>56.15</v>
      </c>
      <c r="H4010" s="7">
        <v>2898.95</v>
      </c>
      <c r="I4010" s="2" t="s">
        <v>15</v>
      </c>
      <c r="J4010" s="2" t="s">
        <v>16</v>
      </c>
      <c r="K4010" s="2" t="s">
        <v>17</v>
      </c>
      <c r="L4010" s="7">
        <v>2898.95</v>
      </c>
      <c r="M4010" s="2" t="str">
        <f>_xlfn.IFS(TelecomData[[#This Row],[TenureMonths]]&lt;=12, "0-1 Year", TelecomData[[#This Row],[TenureMonths]]&lt;=36, "1-3 Years", TelecomData[[#This Row],[TenureMonths]]&gt;36, "3+ Years")</f>
        <v>3+ Years</v>
      </c>
      <c r="N4010" s="2" t="str">
        <f>IF(TelecomData[[#This Row],[CleanedTotalCharges]]&gt;=2500,"High Spend", "Standard Spend")</f>
        <v>High Spend</v>
      </c>
    </row>
    <row r="4011" spans="1:14" x14ac:dyDescent="0.3">
      <c r="A4011" s="1" t="s">
        <v>4035</v>
      </c>
      <c r="B4011" s="2" t="s">
        <v>19</v>
      </c>
      <c r="C4011" s="2" t="s">
        <v>35</v>
      </c>
      <c r="D4011" s="2">
        <v>63</v>
      </c>
      <c r="E4011" s="2" t="s">
        <v>14</v>
      </c>
      <c r="F4011" s="2" t="s">
        <v>16</v>
      </c>
      <c r="G4011" s="7">
        <v>86.7</v>
      </c>
      <c r="H4011" s="7">
        <v>5309.5</v>
      </c>
      <c r="I4011" s="2" t="s">
        <v>15</v>
      </c>
      <c r="J4011" s="2" t="s">
        <v>16</v>
      </c>
      <c r="K4011" s="2" t="s">
        <v>24</v>
      </c>
      <c r="L4011" s="7">
        <v>5309.5</v>
      </c>
      <c r="M4011" s="2" t="str">
        <f>_xlfn.IFS(TelecomData[[#This Row],[TenureMonths]]&lt;=12, "0-1 Year", TelecomData[[#This Row],[TenureMonths]]&lt;=36, "1-3 Years", TelecomData[[#This Row],[TenureMonths]]&gt;36, "3+ Years")</f>
        <v>3+ Years</v>
      </c>
      <c r="N4011" s="2" t="str">
        <f>IF(TelecomData[[#This Row],[CleanedTotalCharges]]&gt;=2500,"High Spend", "Standard Spend")</f>
        <v>High Spend</v>
      </c>
    </row>
    <row r="4012" spans="1:14" x14ac:dyDescent="0.3">
      <c r="A4012" s="1" t="s">
        <v>4036</v>
      </c>
      <c r="B4012" s="2" t="s">
        <v>12</v>
      </c>
      <c r="C4012" s="2" t="s">
        <v>13</v>
      </c>
      <c r="D4012" s="2">
        <v>1</v>
      </c>
      <c r="E4012" s="2" t="s">
        <v>15</v>
      </c>
      <c r="F4012" s="2" t="s">
        <v>36</v>
      </c>
      <c r="G4012" s="7">
        <v>20.399999999999999</v>
      </c>
      <c r="H4012" s="7">
        <v>20.399999999999999</v>
      </c>
      <c r="I4012" s="2" t="s">
        <v>15</v>
      </c>
      <c r="J4012" s="2" t="s">
        <v>15</v>
      </c>
      <c r="K4012" s="2" t="s">
        <v>21</v>
      </c>
      <c r="L4012" s="7">
        <v>20.399999999999999</v>
      </c>
      <c r="M4012" s="2" t="str">
        <f>_xlfn.IFS(TelecomData[[#This Row],[TenureMonths]]&lt;=12, "0-1 Year", TelecomData[[#This Row],[TenureMonths]]&lt;=36, "1-3 Years", TelecomData[[#This Row],[TenureMonths]]&gt;36, "3+ Years")</f>
        <v>0-1 Year</v>
      </c>
      <c r="N4012" s="2" t="str">
        <f>IF(TelecomData[[#This Row],[CleanedTotalCharges]]&gt;=2500,"High Spend", "Standard Spend")</f>
        <v>Standard Spend</v>
      </c>
    </row>
    <row r="4013" spans="1:14" x14ac:dyDescent="0.3">
      <c r="A4013" s="1" t="s">
        <v>4037</v>
      </c>
      <c r="B4013" s="2" t="s">
        <v>12</v>
      </c>
      <c r="C4013" s="2" t="s">
        <v>35</v>
      </c>
      <c r="D4013" s="2">
        <v>23</v>
      </c>
      <c r="E4013" s="2" t="s">
        <v>15</v>
      </c>
      <c r="F4013" s="2" t="s">
        <v>36</v>
      </c>
      <c r="G4013" s="7">
        <v>19.649999999999999</v>
      </c>
      <c r="H4013" s="7">
        <v>451.55</v>
      </c>
      <c r="I4013" s="2" t="s">
        <v>15</v>
      </c>
      <c r="J4013" s="2" t="s">
        <v>16</v>
      </c>
      <c r="K4013" s="2" t="s">
        <v>21</v>
      </c>
      <c r="L4013" s="7">
        <v>451.55</v>
      </c>
      <c r="M4013" s="2" t="str">
        <f>_xlfn.IFS(TelecomData[[#This Row],[TenureMonths]]&lt;=12, "0-1 Year", TelecomData[[#This Row],[TenureMonths]]&lt;=36, "1-3 Years", TelecomData[[#This Row],[TenureMonths]]&gt;36, "3+ Years")</f>
        <v>1-3 Years</v>
      </c>
      <c r="N4013" s="2" t="str">
        <f>IF(TelecomData[[#This Row],[CleanedTotalCharges]]&gt;=2500,"High Spend", "Standard Spend")</f>
        <v>Standard Spend</v>
      </c>
    </row>
    <row r="4014" spans="1:14" x14ac:dyDescent="0.3">
      <c r="A4014" s="1" t="s">
        <v>4038</v>
      </c>
      <c r="B4014" s="2" t="s">
        <v>12</v>
      </c>
      <c r="C4014" s="2" t="s">
        <v>13</v>
      </c>
      <c r="D4014" s="2">
        <v>1</v>
      </c>
      <c r="E4014" s="2" t="s">
        <v>14</v>
      </c>
      <c r="F4014" s="2" t="s">
        <v>15</v>
      </c>
      <c r="G4014" s="7">
        <v>50.55</v>
      </c>
      <c r="H4014" s="7">
        <v>50.55</v>
      </c>
      <c r="I4014" s="2" t="s">
        <v>16</v>
      </c>
      <c r="J4014" s="2" t="s">
        <v>15</v>
      </c>
      <c r="K4014" s="2" t="s">
        <v>17</v>
      </c>
      <c r="L4014" s="7">
        <v>50.55</v>
      </c>
      <c r="M4014" s="2" t="str">
        <f>_xlfn.IFS(TelecomData[[#This Row],[TenureMonths]]&lt;=12, "0-1 Year", TelecomData[[#This Row],[TenureMonths]]&lt;=36, "1-3 Years", TelecomData[[#This Row],[TenureMonths]]&gt;36, "3+ Years")</f>
        <v>0-1 Year</v>
      </c>
      <c r="N4014" s="2" t="str">
        <f>IF(TelecomData[[#This Row],[CleanedTotalCharges]]&gt;=2500,"High Spend", "Standard Spend")</f>
        <v>Standard Spend</v>
      </c>
    </row>
    <row r="4015" spans="1:14" x14ac:dyDescent="0.3">
      <c r="A4015" s="1" t="s">
        <v>4039</v>
      </c>
      <c r="B4015" s="2" t="s">
        <v>12</v>
      </c>
      <c r="C4015" s="2" t="s">
        <v>13</v>
      </c>
      <c r="D4015" s="2">
        <v>2</v>
      </c>
      <c r="E4015" s="2" t="s">
        <v>14</v>
      </c>
      <c r="F4015" s="2" t="s">
        <v>16</v>
      </c>
      <c r="G4015" s="7">
        <v>54.35</v>
      </c>
      <c r="H4015" s="7">
        <v>117.05</v>
      </c>
      <c r="I4015" s="2" t="s">
        <v>15</v>
      </c>
      <c r="J4015" s="2" t="s">
        <v>16</v>
      </c>
      <c r="K4015" s="2" t="s">
        <v>21</v>
      </c>
      <c r="L4015" s="7">
        <v>117.05</v>
      </c>
      <c r="M4015" s="2" t="str">
        <f>_xlfn.IFS(TelecomData[[#This Row],[TenureMonths]]&lt;=12, "0-1 Year", TelecomData[[#This Row],[TenureMonths]]&lt;=36, "1-3 Years", TelecomData[[#This Row],[TenureMonths]]&gt;36, "3+ Years")</f>
        <v>0-1 Year</v>
      </c>
      <c r="N4015" s="2" t="str">
        <f>IF(TelecomData[[#This Row],[CleanedTotalCharges]]&gt;=2500,"High Spend", "Standard Spend")</f>
        <v>Standard Spend</v>
      </c>
    </row>
    <row r="4016" spans="1:14" x14ac:dyDescent="0.3">
      <c r="A4016" s="1" t="s">
        <v>4040</v>
      </c>
      <c r="B4016" s="2" t="s">
        <v>12</v>
      </c>
      <c r="C4016" s="2" t="s">
        <v>13</v>
      </c>
      <c r="D4016" s="2">
        <v>52</v>
      </c>
      <c r="E4016" s="2" t="s">
        <v>26</v>
      </c>
      <c r="F4016" s="2" t="s">
        <v>15</v>
      </c>
      <c r="G4016" s="7">
        <v>108.1</v>
      </c>
      <c r="H4016" s="7">
        <v>5839.3</v>
      </c>
      <c r="I4016" s="2" t="s">
        <v>15</v>
      </c>
      <c r="J4016" s="2" t="s">
        <v>15</v>
      </c>
      <c r="K4016" s="2" t="s">
        <v>29</v>
      </c>
      <c r="L4016" s="7">
        <v>5839.3</v>
      </c>
      <c r="M4016" s="2" t="str">
        <f>_xlfn.IFS(TelecomData[[#This Row],[TenureMonths]]&lt;=12, "0-1 Year", TelecomData[[#This Row],[TenureMonths]]&lt;=36, "1-3 Years", TelecomData[[#This Row],[TenureMonths]]&gt;36, "3+ Years")</f>
        <v>3+ Years</v>
      </c>
      <c r="N4016" s="2" t="str">
        <f>IF(TelecomData[[#This Row],[CleanedTotalCharges]]&gt;=2500,"High Spend", "Standard Spend")</f>
        <v>High Spend</v>
      </c>
    </row>
    <row r="4017" spans="1:14" x14ac:dyDescent="0.3">
      <c r="A4017" s="1" t="s">
        <v>4041</v>
      </c>
      <c r="B4017" s="2" t="s">
        <v>12</v>
      </c>
      <c r="C4017" s="2" t="s">
        <v>20</v>
      </c>
      <c r="D4017" s="2">
        <v>36</v>
      </c>
      <c r="E4017" s="2" t="s">
        <v>14</v>
      </c>
      <c r="F4017" s="2" t="s">
        <v>15</v>
      </c>
      <c r="G4017" s="7">
        <v>54.45</v>
      </c>
      <c r="H4017" s="7">
        <v>1893.5</v>
      </c>
      <c r="I4017" s="2" t="s">
        <v>15</v>
      </c>
      <c r="J4017" s="2" t="s">
        <v>15</v>
      </c>
      <c r="K4017" s="2" t="s">
        <v>21</v>
      </c>
      <c r="L4017" s="7">
        <v>1893.5</v>
      </c>
      <c r="M4017" s="2" t="str">
        <f>_xlfn.IFS(TelecomData[[#This Row],[TenureMonths]]&lt;=12, "0-1 Year", TelecomData[[#This Row],[TenureMonths]]&lt;=36, "1-3 Years", TelecomData[[#This Row],[TenureMonths]]&gt;36, "3+ Years")</f>
        <v>1-3 Years</v>
      </c>
      <c r="N4017" s="2" t="str">
        <f>IF(TelecomData[[#This Row],[CleanedTotalCharges]]&gt;=2500,"High Spend", "Standard Spend")</f>
        <v>Standard Spend</v>
      </c>
    </row>
    <row r="4018" spans="1:14" x14ac:dyDescent="0.3">
      <c r="A4018" s="1" t="s">
        <v>4042</v>
      </c>
      <c r="B4018" s="2" t="s">
        <v>12</v>
      </c>
      <c r="C4018" s="2" t="s">
        <v>13</v>
      </c>
      <c r="D4018" s="2">
        <v>1</v>
      </c>
      <c r="E4018" s="2" t="s">
        <v>14</v>
      </c>
      <c r="F4018" s="2" t="s">
        <v>15</v>
      </c>
      <c r="G4018" s="7">
        <v>45.35</v>
      </c>
      <c r="H4018" s="7">
        <v>45.35</v>
      </c>
      <c r="I4018" s="2" t="s">
        <v>15</v>
      </c>
      <c r="J4018" s="2" t="s">
        <v>15</v>
      </c>
      <c r="K4018" s="2" t="s">
        <v>21</v>
      </c>
      <c r="L4018" s="7">
        <v>45.35</v>
      </c>
      <c r="M4018" s="2" t="str">
        <f>_xlfn.IFS(TelecomData[[#This Row],[TenureMonths]]&lt;=12, "0-1 Year", TelecomData[[#This Row],[TenureMonths]]&lt;=36, "1-3 Years", TelecomData[[#This Row],[TenureMonths]]&gt;36, "3+ Years")</f>
        <v>0-1 Year</v>
      </c>
      <c r="N4018" s="2" t="str">
        <f>IF(TelecomData[[#This Row],[CleanedTotalCharges]]&gt;=2500,"High Spend", "Standard Spend")</f>
        <v>Standard Spend</v>
      </c>
    </row>
    <row r="4019" spans="1:14" x14ac:dyDescent="0.3">
      <c r="A4019" s="1" t="s">
        <v>4043</v>
      </c>
      <c r="B4019" s="2" t="s">
        <v>12</v>
      </c>
      <c r="C4019" s="2" t="s">
        <v>20</v>
      </c>
      <c r="D4019" s="2">
        <v>28</v>
      </c>
      <c r="E4019" s="2" t="s">
        <v>14</v>
      </c>
      <c r="F4019" s="2" t="s">
        <v>15</v>
      </c>
      <c r="G4019" s="7">
        <v>59</v>
      </c>
      <c r="H4019" s="7">
        <v>1654.45</v>
      </c>
      <c r="I4019" s="2" t="s">
        <v>15</v>
      </c>
      <c r="J4019" s="2" t="s">
        <v>15</v>
      </c>
      <c r="K4019" s="2" t="s">
        <v>21</v>
      </c>
      <c r="L4019" s="7">
        <v>1654.45</v>
      </c>
      <c r="M4019" s="2" t="str">
        <f>_xlfn.IFS(TelecomData[[#This Row],[TenureMonths]]&lt;=12, "0-1 Year", TelecomData[[#This Row],[TenureMonths]]&lt;=36, "1-3 Years", TelecomData[[#This Row],[TenureMonths]]&gt;36, "3+ Years")</f>
        <v>1-3 Years</v>
      </c>
      <c r="N4019" s="2" t="str">
        <f>IF(TelecomData[[#This Row],[CleanedTotalCharges]]&gt;=2500,"High Spend", "Standard Spend")</f>
        <v>Standard Spend</v>
      </c>
    </row>
    <row r="4020" spans="1:14" x14ac:dyDescent="0.3">
      <c r="A4020" s="1" t="s">
        <v>4044</v>
      </c>
      <c r="B4020" s="2" t="s">
        <v>12</v>
      </c>
      <c r="C4020" s="2" t="s">
        <v>20</v>
      </c>
      <c r="D4020" s="2">
        <v>7</v>
      </c>
      <c r="E4020" s="2" t="s">
        <v>14</v>
      </c>
      <c r="F4020" s="2" t="s">
        <v>15</v>
      </c>
      <c r="G4020" s="7">
        <v>69.45</v>
      </c>
      <c r="H4020" s="7">
        <v>477.05</v>
      </c>
      <c r="I4020" s="2" t="s">
        <v>15</v>
      </c>
      <c r="J4020" s="2" t="s">
        <v>15</v>
      </c>
      <c r="K4020" s="2" t="s">
        <v>17</v>
      </c>
      <c r="L4020" s="7">
        <v>477.05</v>
      </c>
      <c r="M4020" s="2" t="str">
        <f>_xlfn.IFS(TelecomData[[#This Row],[TenureMonths]]&lt;=12, "0-1 Year", TelecomData[[#This Row],[TenureMonths]]&lt;=36, "1-3 Years", TelecomData[[#This Row],[TenureMonths]]&gt;36, "3+ Years")</f>
        <v>0-1 Year</v>
      </c>
      <c r="N4020" s="2" t="str">
        <f>IF(TelecomData[[#This Row],[CleanedTotalCharges]]&gt;=2500,"High Spend", "Standard Spend")</f>
        <v>Standard Spend</v>
      </c>
    </row>
    <row r="4021" spans="1:14" x14ac:dyDescent="0.3">
      <c r="A4021" s="1" t="s">
        <v>4045</v>
      </c>
      <c r="B4021" s="2" t="s">
        <v>19</v>
      </c>
      <c r="C4021" s="2" t="s">
        <v>13</v>
      </c>
      <c r="D4021" s="2">
        <v>14</v>
      </c>
      <c r="E4021" s="2" t="s">
        <v>26</v>
      </c>
      <c r="F4021" s="2" t="s">
        <v>15</v>
      </c>
      <c r="G4021" s="7">
        <v>100.55</v>
      </c>
      <c r="H4021" s="7">
        <v>1415.55</v>
      </c>
      <c r="I4021" s="2" t="s">
        <v>16</v>
      </c>
      <c r="J4021" s="2" t="s">
        <v>16</v>
      </c>
      <c r="K4021" s="2" t="s">
        <v>17</v>
      </c>
      <c r="L4021" s="7">
        <v>1415.55</v>
      </c>
      <c r="M4021" s="2" t="str">
        <f>_xlfn.IFS(TelecomData[[#This Row],[TenureMonths]]&lt;=12, "0-1 Year", TelecomData[[#This Row],[TenureMonths]]&lt;=36, "1-3 Years", TelecomData[[#This Row],[TenureMonths]]&gt;36, "3+ Years")</f>
        <v>1-3 Years</v>
      </c>
      <c r="N4021" s="2" t="str">
        <f>IF(TelecomData[[#This Row],[CleanedTotalCharges]]&gt;=2500,"High Spend", "Standard Spend")</f>
        <v>Standard Spend</v>
      </c>
    </row>
    <row r="4022" spans="1:14" x14ac:dyDescent="0.3">
      <c r="A4022" s="1" t="s">
        <v>4046</v>
      </c>
      <c r="B4022" s="2" t="s">
        <v>19</v>
      </c>
      <c r="C4022" s="2" t="s">
        <v>35</v>
      </c>
      <c r="D4022" s="2">
        <v>72</v>
      </c>
      <c r="E4022" s="2" t="s">
        <v>14</v>
      </c>
      <c r="F4022" s="2" t="s">
        <v>16</v>
      </c>
      <c r="G4022" s="7">
        <v>64.95</v>
      </c>
      <c r="H4022" s="7">
        <v>4546</v>
      </c>
      <c r="I4022" s="2" t="s">
        <v>15</v>
      </c>
      <c r="J4022" s="2" t="s">
        <v>16</v>
      </c>
      <c r="K4022" s="2" t="s">
        <v>29</v>
      </c>
      <c r="L4022" s="7">
        <v>4546</v>
      </c>
      <c r="M4022" s="2" t="str">
        <f>_xlfn.IFS(TelecomData[[#This Row],[TenureMonths]]&lt;=12, "0-1 Year", TelecomData[[#This Row],[TenureMonths]]&lt;=36, "1-3 Years", TelecomData[[#This Row],[TenureMonths]]&gt;36, "3+ Years")</f>
        <v>3+ Years</v>
      </c>
      <c r="N4022" s="2" t="str">
        <f>IF(TelecomData[[#This Row],[CleanedTotalCharges]]&gt;=2500,"High Spend", "Standard Spend")</f>
        <v>High Spend</v>
      </c>
    </row>
    <row r="4023" spans="1:14" x14ac:dyDescent="0.3">
      <c r="A4023" s="1" t="s">
        <v>4047</v>
      </c>
      <c r="B4023" s="2" t="s">
        <v>12</v>
      </c>
      <c r="C4023" s="2" t="s">
        <v>13</v>
      </c>
      <c r="D4023" s="2">
        <v>1</v>
      </c>
      <c r="E4023" s="2" t="s">
        <v>15</v>
      </c>
      <c r="F4023" s="2" t="s">
        <v>36</v>
      </c>
      <c r="G4023" s="7">
        <v>20.5</v>
      </c>
      <c r="H4023" s="7">
        <v>20.5</v>
      </c>
      <c r="I4023" s="2" t="s">
        <v>16</v>
      </c>
      <c r="J4023" s="2" t="s">
        <v>16</v>
      </c>
      <c r="K4023" s="2" t="s">
        <v>21</v>
      </c>
      <c r="L4023" s="7">
        <v>20.5</v>
      </c>
      <c r="M4023" s="2" t="str">
        <f>_xlfn.IFS(TelecomData[[#This Row],[TenureMonths]]&lt;=12, "0-1 Year", TelecomData[[#This Row],[TenureMonths]]&lt;=36, "1-3 Years", TelecomData[[#This Row],[TenureMonths]]&gt;36, "3+ Years")</f>
        <v>0-1 Year</v>
      </c>
      <c r="N4023" s="2" t="str">
        <f>IF(TelecomData[[#This Row],[CleanedTotalCharges]]&gt;=2500,"High Spend", "Standard Spend")</f>
        <v>Standard Spend</v>
      </c>
    </row>
    <row r="4024" spans="1:14" x14ac:dyDescent="0.3">
      <c r="A4024" s="1" t="s">
        <v>4048</v>
      </c>
      <c r="B4024" s="2" t="s">
        <v>12</v>
      </c>
      <c r="C4024" s="2" t="s">
        <v>13</v>
      </c>
      <c r="D4024" s="2">
        <v>10</v>
      </c>
      <c r="E4024" s="2" t="s">
        <v>15</v>
      </c>
      <c r="F4024" s="2" t="s">
        <v>36</v>
      </c>
      <c r="G4024" s="7">
        <v>18.850000000000001</v>
      </c>
      <c r="H4024" s="7">
        <v>163.19999999999999</v>
      </c>
      <c r="I4024" s="2" t="s">
        <v>15</v>
      </c>
      <c r="J4024" s="2" t="s">
        <v>15</v>
      </c>
      <c r="K4024" s="2" t="s">
        <v>21</v>
      </c>
      <c r="L4024" s="7">
        <v>163.19999999999999</v>
      </c>
      <c r="M4024" s="2" t="str">
        <f>_xlfn.IFS(TelecomData[[#This Row],[TenureMonths]]&lt;=12, "0-1 Year", TelecomData[[#This Row],[TenureMonths]]&lt;=36, "1-3 Years", TelecomData[[#This Row],[TenureMonths]]&gt;36, "3+ Years")</f>
        <v>0-1 Year</v>
      </c>
      <c r="N4024" s="2" t="str">
        <f>IF(TelecomData[[#This Row],[CleanedTotalCharges]]&gt;=2500,"High Spend", "Standard Spend")</f>
        <v>Standard Spend</v>
      </c>
    </row>
    <row r="4025" spans="1:14" x14ac:dyDescent="0.3">
      <c r="A4025" s="1" t="s">
        <v>4049</v>
      </c>
      <c r="B4025" s="2" t="s">
        <v>19</v>
      </c>
      <c r="C4025" s="2" t="s">
        <v>20</v>
      </c>
      <c r="D4025" s="2">
        <v>42</v>
      </c>
      <c r="E4025" s="2" t="s">
        <v>15</v>
      </c>
      <c r="F4025" s="2" t="s">
        <v>36</v>
      </c>
      <c r="G4025" s="7">
        <v>19.8</v>
      </c>
      <c r="H4025" s="7">
        <v>849.9</v>
      </c>
      <c r="I4025" s="2" t="s">
        <v>15</v>
      </c>
      <c r="J4025" s="2" t="s">
        <v>15</v>
      </c>
      <c r="K4025" s="2" t="s">
        <v>24</v>
      </c>
      <c r="L4025" s="7">
        <v>849.9</v>
      </c>
      <c r="M4025" s="2" t="str">
        <f>_xlfn.IFS(TelecomData[[#This Row],[TenureMonths]]&lt;=12, "0-1 Year", TelecomData[[#This Row],[TenureMonths]]&lt;=36, "1-3 Years", TelecomData[[#This Row],[TenureMonths]]&gt;36, "3+ Years")</f>
        <v>3+ Years</v>
      </c>
      <c r="N4025" s="2" t="str">
        <f>IF(TelecomData[[#This Row],[CleanedTotalCharges]]&gt;=2500,"High Spend", "Standard Spend")</f>
        <v>Standard Spend</v>
      </c>
    </row>
    <row r="4026" spans="1:14" x14ac:dyDescent="0.3">
      <c r="A4026" s="1" t="s">
        <v>4050</v>
      </c>
      <c r="B4026" s="2" t="s">
        <v>12</v>
      </c>
      <c r="C4026" s="2" t="s">
        <v>13</v>
      </c>
      <c r="D4026" s="2">
        <v>7</v>
      </c>
      <c r="E4026" s="2" t="s">
        <v>14</v>
      </c>
      <c r="F4026" s="2" t="s">
        <v>15</v>
      </c>
      <c r="G4026" s="7">
        <v>25.05</v>
      </c>
      <c r="H4026" s="7">
        <v>189.95</v>
      </c>
      <c r="I4026" s="2" t="s">
        <v>15</v>
      </c>
      <c r="J4026" s="2" t="s">
        <v>15</v>
      </c>
      <c r="K4026" s="2" t="s">
        <v>24</v>
      </c>
      <c r="L4026" s="7">
        <v>189.95</v>
      </c>
      <c r="M4026" s="2" t="str">
        <f>_xlfn.IFS(TelecomData[[#This Row],[TenureMonths]]&lt;=12, "0-1 Year", TelecomData[[#This Row],[TenureMonths]]&lt;=36, "1-3 Years", TelecomData[[#This Row],[TenureMonths]]&gt;36, "3+ Years")</f>
        <v>0-1 Year</v>
      </c>
      <c r="N4026" s="2" t="str">
        <f>IF(TelecomData[[#This Row],[CleanedTotalCharges]]&gt;=2500,"High Spend", "Standard Spend")</f>
        <v>Standard Spend</v>
      </c>
    </row>
    <row r="4027" spans="1:14" x14ac:dyDescent="0.3">
      <c r="A4027" s="1" t="s">
        <v>4051</v>
      </c>
      <c r="B4027" s="2" t="s">
        <v>19</v>
      </c>
      <c r="C4027" s="2" t="s">
        <v>13</v>
      </c>
      <c r="D4027" s="2">
        <v>4</v>
      </c>
      <c r="E4027" s="2" t="s">
        <v>26</v>
      </c>
      <c r="F4027" s="2" t="s">
        <v>15</v>
      </c>
      <c r="G4027" s="7">
        <v>74.8</v>
      </c>
      <c r="H4027" s="7">
        <v>321.89999999999998</v>
      </c>
      <c r="I4027" s="2" t="s">
        <v>16</v>
      </c>
      <c r="J4027" s="2" t="s">
        <v>16</v>
      </c>
      <c r="K4027" s="2" t="s">
        <v>24</v>
      </c>
      <c r="L4027" s="7">
        <v>321.89999999999998</v>
      </c>
      <c r="M4027" s="2" t="str">
        <f>_xlfn.IFS(TelecomData[[#This Row],[TenureMonths]]&lt;=12, "0-1 Year", TelecomData[[#This Row],[TenureMonths]]&lt;=36, "1-3 Years", TelecomData[[#This Row],[TenureMonths]]&gt;36, "3+ Years")</f>
        <v>0-1 Year</v>
      </c>
      <c r="N4027" s="2" t="str">
        <f>IF(TelecomData[[#This Row],[CleanedTotalCharges]]&gt;=2500,"High Spend", "Standard Spend")</f>
        <v>Standard Spend</v>
      </c>
    </row>
    <row r="4028" spans="1:14" x14ac:dyDescent="0.3">
      <c r="A4028" s="1" t="s">
        <v>4052</v>
      </c>
      <c r="B4028" s="2" t="s">
        <v>19</v>
      </c>
      <c r="C4028" s="2" t="s">
        <v>35</v>
      </c>
      <c r="D4028" s="2">
        <v>72</v>
      </c>
      <c r="E4028" s="2" t="s">
        <v>26</v>
      </c>
      <c r="F4028" s="2" t="s">
        <v>16</v>
      </c>
      <c r="G4028" s="7">
        <v>114.3</v>
      </c>
      <c r="H4028" s="7">
        <v>8058.55</v>
      </c>
      <c r="I4028" s="2" t="s">
        <v>15</v>
      </c>
      <c r="J4028" s="2" t="s">
        <v>16</v>
      </c>
      <c r="K4028" s="2" t="s">
        <v>29</v>
      </c>
      <c r="L4028" s="7">
        <v>8058.55</v>
      </c>
      <c r="M4028" s="2" t="str">
        <f>_xlfn.IFS(TelecomData[[#This Row],[TenureMonths]]&lt;=12, "0-1 Year", TelecomData[[#This Row],[TenureMonths]]&lt;=36, "1-3 Years", TelecomData[[#This Row],[TenureMonths]]&gt;36, "3+ Years")</f>
        <v>3+ Years</v>
      </c>
      <c r="N4028" s="2" t="str">
        <f>IF(TelecomData[[#This Row],[CleanedTotalCharges]]&gt;=2500,"High Spend", "Standard Spend")</f>
        <v>High Spend</v>
      </c>
    </row>
    <row r="4029" spans="1:14" x14ac:dyDescent="0.3">
      <c r="A4029" s="1" t="s">
        <v>4053</v>
      </c>
      <c r="B4029" s="2" t="s">
        <v>12</v>
      </c>
      <c r="C4029" s="2" t="s">
        <v>13</v>
      </c>
      <c r="D4029" s="2">
        <v>20</v>
      </c>
      <c r="E4029" s="2" t="s">
        <v>14</v>
      </c>
      <c r="F4029" s="2" t="s">
        <v>15</v>
      </c>
      <c r="G4029" s="7">
        <v>24.45</v>
      </c>
      <c r="H4029" s="7">
        <v>482.8</v>
      </c>
      <c r="I4029" s="2" t="s">
        <v>16</v>
      </c>
      <c r="J4029" s="2" t="s">
        <v>16</v>
      </c>
      <c r="K4029" s="2" t="s">
        <v>17</v>
      </c>
      <c r="L4029" s="7">
        <v>482.8</v>
      </c>
      <c r="M4029" s="2" t="str">
        <f>_xlfn.IFS(TelecomData[[#This Row],[TenureMonths]]&lt;=12, "0-1 Year", TelecomData[[#This Row],[TenureMonths]]&lt;=36, "1-3 Years", TelecomData[[#This Row],[TenureMonths]]&gt;36, "3+ Years")</f>
        <v>1-3 Years</v>
      </c>
      <c r="N4029" s="2" t="str">
        <f>IF(TelecomData[[#This Row],[CleanedTotalCharges]]&gt;=2500,"High Spend", "Standard Spend")</f>
        <v>Standard Spend</v>
      </c>
    </row>
    <row r="4030" spans="1:14" x14ac:dyDescent="0.3">
      <c r="A4030" s="1" t="s">
        <v>4054</v>
      </c>
      <c r="B4030" s="2" t="s">
        <v>19</v>
      </c>
      <c r="C4030" s="2" t="s">
        <v>35</v>
      </c>
      <c r="D4030" s="2">
        <v>63</v>
      </c>
      <c r="E4030" s="2" t="s">
        <v>26</v>
      </c>
      <c r="F4030" s="2" t="s">
        <v>16</v>
      </c>
      <c r="G4030" s="7">
        <v>109.2</v>
      </c>
      <c r="H4030" s="7">
        <v>7049.75</v>
      </c>
      <c r="I4030" s="2" t="s">
        <v>15</v>
      </c>
      <c r="J4030" s="2" t="s">
        <v>15</v>
      </c>
      <c r="K4030" s="2" t="s">
        <v>29</v>
      </c>
      <c r="L4030" s="7">
        <v>7049.75</v>
      </c>
      <c r="M4030" s="2" t="str">
        <f>_xlfn.IFS(TelecomData[[#This Row],[TenureMonths]]&lt;=12, "0-1 Year", TelecomData[[#This Row],[TenureMonths]]&lt;=36, "1-3 Years", TelecomData[[#This Row],[TenureMonths]]&gt;36, "3+ Years")</f>
        <v>3+ Years</v>
      </c>
      <c r="N4030" s="2" t="str">
        <f>IF(TelecomData[[#This Row],[CleanedTotalCharges]]&gt;=2500,"High Spend", "Standard Spend")</f>
        <v>High Spend</v>
      </c>
    </row>
    <row r="4031" spans="1:14" x14ac:dyDescent="0.3">
      <c r="A4031" s="1" t="s">
        <v>4055</v>
      </c>
      <c r="B4031" s="2" t="s">
        <v>12</v>
      </c>
      <c r="C4031" s="2" t="s">
        <v>35</v>
      </c>
      <c r="D4031" s="2">
        <v>56</v>
      </c>
      <c r="E4031" s="2" t="s">
        <v>14</v>
      </c>
      <c r="F4031" s="2" t="s">
        <v>16</v>
      </c>
      <c r="G4031" s="7">
        <v>45.05</v>
      </c>
      <c r="H4031" s="7">
        <v>2560.1</v>
      </c>
      <c r="I4031" s="2" t="s">
        <v>15</v>
      </c>
      <c r="J4031" s="2" t="s">
        <v>15</v>
      </c>
      <c r="K4031" s="2" t="s">
        <v>24</v>
      </c>
      <c r="L4031" s="7">
        <v>2560.1</v>
      </c>
      <c r="M4031" s="2" t="str">
        <f>_xlfn.IFS(TelecomData[[#This Row],[TenureMonths]]&lt;=12, "0-1 Year", TelecomData[[#This Row],[TenureMonths]]&lt;=36, "1-3 Years", TelecomData[[#This Row],[TenureMonths]]&gt;36, "3+ Years")</f>
        <v>3+ Years</v>
      </c>
      <c r="N4031" s="2" t="str">
        <f>IF(TelecomData[[#This Row],[CleanedTotalCharges]]&gt;=2500,"High Spend", "Standard Spend")</f>
        <v>High Spend</v>
      </c>
    </row>
    <row r="4032" spans="1:14" x14ac:dyDescent="0.3">
      <c r="A4032" s="1" t="s">
        <v>4056</v>
      </c>
      <c r="B4032" s="2" t="s">
        <v>12</v>
      </c>
      <c r="C4032" s="2" t="s">
        <v>13</v>
      </c>
      <c r="D4032" s="2">
        <v>5</v>
      </c>
      <c r="E4032" s="2" t="s">
        <v>14</v>
      </c>
      <c r="F4032" s="2" t="s">
        <v>16</v>
      </c>
      <c r="G4032" s="7">
        <v>51</v>
      </c>
      <c r="H4032" s="7">
        <v>286.8</v>
      </c>
      <c r="I4032" s="2" t="s">
        <v>15</v>
      </c>
      <c r="J4032" s="2" t="s">
        <v>16</v>
      </c>
      <c r="K4032" s="2" t="s">
        <v>21</v>
      </c>
      <c r="L4032" s="7">
        <v>286.8</v>
      </c>
      <c r="M4032" s="2" t="str">
        <f>_xlfn.IFS(TelecomData[[#This Row],[TenureMonths]]&lt;=12, "0-1 Year", TelecomData[[#This Row],[TenureMonths]]&lt;=36, "1-3 Years", TelecomData[[#This Row],[TenureMonths]]&gt;36, "3+ Years")</f>
        <v>0-1 Year</v>
      </c>
      <c r="N4032" s="2" t="str">
        <f>IF(TelecomData[[#This Row],[CleanedTotalCharges]]&gt;=2500,"High Spend", "Standard Spend")</f>
        <v>Standard Spend</v>
      </c>
    </row>
    <row r="4033" spans="1:14" x14ac:dyDescent="0.3">
      <c r="A4033" s="1" t="s">
        <v>4057</v>
      </c>
      <c r="B4033" s="2" t="s">
        <v>12</v>
      </c>
      <c r="C4033" s="2" t="s">
        <v>35</v>
      </c>
      <c r="D4033" s="2">
        <v>72</v>
      </c>
      <c r="E4033" s="2" t="s">
        <v>26</v>
      </c>
      <c r="F4033" s="2" t="s">
        <v>16</v>
      </c>
      <c r="G4033" s="7">
        <v>110.45</v>
      </c>
      <c r="H4033" s="7">
        <v>7982.5</v>
      </c>
      <c r="I4033" s="2" t="s">
        <v>15</v>
      </c>
      <c r="J4033" s="2" t="s">
        <v>16</v>
      </c>
      <c r="K4033" s="2" t="s">
        <v>24</v>
      </c>
      <c r="L4033" s="7">
        <v>7982.5</v>
      </c>
      <c r="M4033" s="2" t="str">
        <f>_xlfn.IFS(TelecomData[[#This Row],[TenureMonths]]&lt;=12, "0-1 Year", TelecomData[[#This Row],[TenureMonths]]&lt;=36, "1-3 Years", TelecomData[[#This Row],[TenureMonths]]&gt;36, "3+ Years")</f>
        <v>3+ Years</v>
      </c>
      <c r="N4033" s="2" t="str">
        <f>IF(TelecomData[[#This Row],[CleanedTotalCharges]]&gt;=2500,"High Spend", "Standard Spend")</f>
        <v>High Spend</v>
      </c>
    </row>
    <row r="4034" spans="1:14" x14ac:dyDescent="0.3">
      <c r="A4034" s="1" t="s">
        <v>4058</v>
      </c>
      <c r="B4034" s="2" t="s">
        <v>19</v>
      </c>
      <c r="C4034" s="2" t="s">
        <v>13</v>
      </c>
      <c r="D4034" s="2">
        <v>68</v>
      </c>
      <c r="E4034" s="2" t="s">
        <v>26</v>
      </c>
      <c r="F4034" s="2" t="s">
        <v>15</v>
      </c>
      <c r="G4034" s="7">
        <v>84.65</v>
      </c>
      <c r="H4034" s="7">
        <v>5683.6</v>
      </c>
      <c r="I4034" s="2" t="s">
        <v>15</v>
      </c>
      <c r="J4034" s="2" t="s">
        <v>16</v>
      </c>
      <c r="K4034" s="2" t="s">
        <v>17</v>
      </c>
      <c r="L4034" s="7">
        <v>5683.6</v>
      </c>
      <c r="M4034" s="2" t="str">
        <f>_xlfn.IFS(TelecomData[[#This Row],[TenureMonths]]&lt;=12, "0-1 Year", TelecomData[[#This Row],[TenureMonths]]&lt;=36, "1-3 Years", TelecomData[[#This Row],[TenureMonths]]&gt;36, "3+ Years")</f>
        <v>3+ Years</v>
      </c>
      <c r="N4034" s="2" t="str">
        <f>IF(TelecomData[[#This Row],[CleanedTotalCharges]]&gt;=2500,"High Spend", "Standard Spend")</f>
        <v>High Spend</v>
      </c>
    </row>
    <row r="4035" spans="1:14" x14ac:dyDescent="0.3">
      <c r="A4035" s="1" t="s">
        <v>4059</v>
      </c>
      <c r="B4035" s="2" t="s">
        <v>19</v>
      </c>
      <c r="C4035" s="2" t="s">
        <v>20</v>
      </c>
      <c r="D4035" s="2">
        <v>67</v>
      </c>
      <c r="E4035" s="2" t="s">
        <v>14</v>
      </c>
      <c r="F4035" s="2" t="s">
        <v>16</v>
      </c>
      <c r="G4035" s="7">
        <v>60.05</v>
      </c>
      <c r="H4035" s="7">
        <v>3994.05</v>
      </c>
      <c r="I4035" s="2" t="s">
        <v>15</v>
      </c>
      <c r="J4035" s="2" t="s">
        <v>15</v>
      </c>
      <c r="K4035" s="2" t="s">
        <v>21</v>
      </c>
      <c r="L4035" s="7">
        <v>3994.05</v>
      </c>
      <c r="M4035" s="2" t="str">
        <f>_xlfn.IFS(TelecomData[[#This Row],[TenureMonths]]&lt;=12, "0-1 Year", TelecomData[[#This Row],[TenureMonths]]&lt;=36, "1-3 Years", TelecomData[[#This Row],[TenureMonths]]&gt;36, "3+ Years")</f>
        <v>3+ Years</v>
      </c>
      <c r="N4035" s="2" t="str">
        <f>IF(TelecomData[[#This Row],[CleanedTotalCharges]]&gt;=2500,"High Spend", "Standard Spend")</f>
        <v>High Spend</v>
      </c>
    </row>
    <row r="4036" spans="1:14" x14ac:dyDescent="0.3">
      <c r="A4036" s="1" t="s">
        <v>4060</v>
      </c>
      <c r="B4036" s="2" t="s">
        <v>19</v>
      </c>
      <c r="C4036" s="2" t="s">
        <v>13</v>
      </c>
      <c r="D4036" s="2">
        <v>8</v>
      </c>
      <c r="E4036" s="2" t="s">
        <v>14</v>
      </c>
      <c r="F4036" s="2" t="s">
        <v>15</v>
      </c>
      <c r="G4036" s="7">
        <v>44.65</v>
      </c>
      <c r="H4036" s="7">
        <v>369.15</v>
      </c>
      <c r="I4036" s="2" t="s">
        <v>15</v>
      </c>
      <c r="J4036" s="2" t="s">
        <v>15</v>
      </c>
      <c r="K4036" s="2" t="s">
        <v>24</v>
      </c>
      <c r="L4036" s="7">
        <v>369.15</v>
      </c>
      <c r="M4036" s="2" t="str">
        <f>_xlfn.IFS(TelecomData[[#This Row],[TenureMonths]]&lt;=12, "0-1 Year", TelecomData[[#This Row],[TenureMonths]]&lt;=36, "1-3 Years", TelecomData[[#This Row],[TenureMonths]]&gt;36, "3+ Years")</f>
        <v>0-1 Year</v>
      </c>
      <c r="N4036" s="2" t="str">
        <f>IF(TelecomData[[#This Row],[CleanedTotalCharges]]&gt;=2500,"High Spend", "Standard Spend")</f>
        <v>Standard Spend</v>
      </c>
    </row>
    <row r="4037" spans="1:14" x14ac:dyDescent="0.3">
      <c r="A4037" s="1" t="s">
        <v>4061</v>
      </c>
      <c r="B4037" s="2" t="s">
        <v>19</v>
      </c>
      <c r="C4037" s="2" t="s">
        <v>13</v>
      </c>
      <c r="D4037" s="2">
        <v>52</v>
      </c>
      <c r="E4037" s="2" t="s">
        <v>26</v>
      </c>
      <c r="F4037" s="2" t="s">
        <v>16</v>
      </c>
      <c r="G4037" s="7">
        <v>93.25</v>
      </c>
      <c r="H4037" s="7">
        <v>4631.7</v>
      </c>
      <c r="I4037" s="2" t="s">
        <v>15</v>
      </c>
      <c r="J4037" s="2" t="s">
        <v>16</v>
      </c>
      <c r="K4037" s="2" t="s">
        <v>24</v>
      </c>
      <c r="L4037" s="7">
        <v>4631.7</v>
      </c>
      <c r="M4037" s="2" t="str">
        <f>_xlfn.IFS(TelecomData[[#This Row],[TenureMonths]]&lt;=12, "0-1 Year", TelecomData[[#This Row],[TenureMonths]]&lt;=36, "1-3 Years", TelecomData[[#This Row],[TenureMonths]]&gt;36, "3+ Years")</f>
        <v>3+ Years</v>
      </c>
      <c r="N4037" s="2" t="str">
        <f>IF(TelecomData[[#This Row],[CleanedTotalCharges]]&gt;=2500,"High Spend", "Standard Spend")</f>
        <v>High Spend</v>
      </c>
    </row>
    <row r="4038" spans="1:14" x14ac:dyDescent="0.3">
      <c r="A4038" s="1" t="s">
        <v>4062</v>
      </c>
      <c r="B4038" s="2" t="s">
        <v>12</v>
      </c>
      <c r="C4038" s="2" t="s">
        <v>13</v>
      </c>
      <c r="D4038" s="2">
        <v>18</v>
      </c>
      <c r="E4038" s="2" t="s">
        <v>15</v>
      </c>
      <c r="F4038" s="2" t="s">
        <v>36</v>
      </c>
      <c r="G4038" s="7">
        <v>20.25</v>
      </c>
      <c r="H4038" s="7">
        <v>401.95</v>
      </c>
      <c r="I4038" s="2" t="s">
        <v>15</v>
      </c>
      <c r="J4038" s="2" t="s">
        <v>16</v>
      </c>
      <c r="K4038" s="2" t="s">
        <v>21</v>
      </c>
      <c r="L4038" s="7">
        <v>401.95</v>
      </c>
      <c r="M4038" s="2" t="str">
        <f>_xlfn.IFS(TelecomData[[#This Row],[TenureMonths]]&lt;=12, "0-1 Year", TelecomData[[#This Row],[TenureMonths]]&lt;=36, "1-3 Years", TelecomData[[#This Row],[TenureMonths]]&gt;36, "3+ Years")</f>
        <v>1-3 Years</v>
      </c>
      <c r="N4038" s="2" t="str">
        <f>IF(TelecomData[[#This Row],[CleanedTotalCharges]]&gt;=2500,"High Spend", "Standard Spend")</f>
        <v>Standard Spend</v>
      </c>
    </row>
    <row r="4039" spans="1:14" x14ac:dyDescent="0.3">
      <c r="A4039" s="1" t="s">
        <v>4063</v>
      </c>
      <c r="B4039" s="2" t="s">
        <v>12</v>
      </c>
      <c r="C4039" s="2" t="s">
        <v>35</v>
      </c>
      <c r="D4039" s="2">
        <v>59</v>
      </c>
      <c r="E4039" s="2" t="s">
        <v>15</v>
      </c>
      <c r="F4039" s="2" t="s">
        <v>36</v>
      </c>
      <c r="G4039" s="7">
        <v>25.45</v>
      </c>
      <c r="H4039" s="7">
        <v>1534.05</v>
      </c>
      <c r="I4039" s="2" t="s">
        <v>15</v>
      </c>
      <c r="J4039" s="2" t="s">
        <v>15</v>
      </c>
      <c r="K4039" s="2" t="s">
        <v>21</v>
      </c>
      <c r="L4039" s="7">
        <v>1534.05</v>
      </c>
      <c r="M4039" s="2" t="str">
        <f>_xlfn.IFS(TelecomData[[#This Row],[TenureMonths]]&lt;=12, "0-1 Year", TelecomData[[#This Row],[TenureMonths]]&lt;=36, "1-3 Years", TelecomData[[#This Row],[TenureMonths]]&gt;36, "3+ Years")</f>
        <v>3+ Years</v>
      </c>
      <c r="N4039" s="2" t="str">
        <f>IF(TelecomData[[#This Row],[CleanedTotalCharges]]&gt;=2500,"High Spend", "Standard Spend")</f>
        <v>Standard Spend</v>
      </c>
    </row>
    <row r="4040" spans="1:14" x14ac:dyDescent="0.3">
      <c r="A4040" s="1" t="s">
        <v>4064</v>
      </c>
      <c r="B4040" s="2" t="s">
        <v>12</v>
      </c>
      <c r="C4040" s="2" t="s">
        <v>35</v>
      </c>
      <c r="D4040" s="2">
        <v>60</v>
      </c>
      <c r="E4040" s="2" t="s">
        <v>15</v>
      </c>
      <c r="F4040" s="2" t="s">
        <v>36</v>
      </c>
      <c r="G4040" s="7">
        <v>20.6</v>
      </c>
      <c r="H4040" s="7">
        <v>1093</v>
      </c>
      <c r="I4040" s="2" t="s">
        <v>15</v>
      </c>
      <c r="J4040" s="2" t="s">
        <v>15</v>
      </c>
      <c r="K4040" s="2" t="s">
        <v>21</v>
      </c>
      <c r="L4040" s="7">
        <v>1093</v>
      </c>
      <c r="M4040" s="2" t="str">
        <f>_xlfn.IFS(TelecomData[[#This Row],[TenureMonths]]&lt;=12, "0-1 Year", TelecomData[[#This Row],[TenureMonths]]&lt;=36, "1-3 Years", TelecomData[[#This Row],[TenureMonths]]&gt;36, "3+ Years")</f>
        <v>3+ Years</v>
      </c>
      <c r="N4040" s="2" t="str">
        <f>IF(TelecomData[[#This Row],[CleanedTotalCharges]]&gt;=2500,"High Spend", "Standard Spend")</f>
        <v>Standard Spend</v>
      </c>
    </row>
    <row r="4041" spans="1:14" x14ac:dyDescent="0.3">
      <c r="A4041" s="1" t="s">
        <v>4065</v>
      </c>
      <c r="B4041" s="2" t="s">
        <v>19</v>
      </c>
      <c r="C4041" s="2" t="s">
        <v>13</v>
      </c>
      <c r="D4041" s="2">
        <v>7</v>
      </c>
      <c r="E4041" s="2" t="s">
        <v>26</v>
      </c>
      <c r="F4041" s="2" t="s">
        <v>15</v>
      </c>
      <c r="G4041" s="7">
        <v>94.1</v>
      </c>
      <c r="H4041" s="7">
        <v>701.3</v>
      </c>
      <c r="I4041" s="2" t="s">
        <v>15</v>
      </c>
      <c r="J4041" s="2" t="s">
        <v>16</v>
      </c>
      <c r="K4041" s="2" t="s">
        <v>17</v>
      </c>
      <c r="L4041" s="7">
        <v>701.3</v>
      </c>
      <c r="M4041" s="2" t="str">
        <f>_xlfn.IFS(TelecomData[[#This Row],[TenureMonths]]&lt;=12, "0-1 Year", TelecomData[[#This Row],[TenureMonths]]&lt;=36, "1-3 Years", TelecomData[[#This Row],[TenureMonths]]&gt;36, "3+ Years")</f>
        <v>0-1 Year</v>
      </c>
      <c r="N4041" s="2" t="str">
        <f>IF(TelecomData[[#This Row],[CleanedTotalCharges]]&gt;=2500,"High Spend", "Standard Spend")</f>
        <v>Standard Spend</v>
      </c>
    </row>
    <row r="4042" spans="1:14" x14ac:dyDescent="0.3">
      <c r="A4042" s="1" t="s">
        <v>4066</v>
      </c>
      <c r="B4042" s="2" t="s">
        <v>19</v>
      </c>
      <c r="C4042" s="2" t="s">
        <v>20</v>
      </c>
      <c r="D4042" s="2">
        <v>59</v>
      </c>
      <c r="E4042" s="2" t="s">
        <v>14</v>
      </c>
      <c r="F4042" s="2" t="s">
        <v>15</v>
      </c>
      <c r="G4042" s="7">
        <v>34.799999999999997</v>
      </c>
      <c r="H4042" s="7">
        <v>1980.3</v>
      </c>
      <c r="I4042" s="2" t="s">
        <v>15</v>
      </c>
      <c r="J4042" s="2" t="s">
        <v>15</v>
      </c>
      <c r="K4042" s="2" t="s">
        <v>21</v>
      </c>
      <c r="L4042" s="7">
        <v>1980.3</v>
      </c>
      <c r="M4042" s="2" t="str">
        <f>_xlfn.IFS(TelecomData[[#This Row],[TenureMonths]]&lt;=12, "0-1 Year", TelecomData[[#This Row],[TenureMonths]]&lt;=36, "1-3 Years", TelecomData[[#This Row],[TenureMonths]]&gt;36, "3+ Years")</f>
        <v>3+ Years</v>
      </c>
      <c r="N4042" s="2" t="str">
        <f>IF(TelecomData[[#This Row],[CleanedTotalCharges]]&gt;=2500,"High Spend", "Standard Spend")</f>
        <v>Standard Spend</v>
      </c>
    </row>
    <row r="4043" spans="1:14" x14ac:dyDescent="0.3">
      <c r="A4043" s="1" t="s">
        <v>4067</v>
      </c>
      <c r="B4043" s="2" t="s">
        <v>19</v>
      </c>
      <c r="C4043" s="2" t="s">
        <v>35</v>
      </c>
      <c r="D4043" s="2">
        <v>46</v>
      </c>
      <c r="E4043" s="2" t="s">
        <v>14</v>
      </c>
      <c r="F4043" s="2" t="s">
        <v>16</v>
      </c>
      <c r="G4043" s="7">
        <v>60.75</v>
      </c>
      <c r="H4043" s="7">
        <v>2893.4</v>
      </c>
      <c r="I4043" s="2" t="s">
        <v>15</v>
      </c>
      <c r="J4043" s="2" t="s">
        <v>16</v>
      </c>
      <c r="K4043" s="2" t="s">
        <v>24</v>
      </c>
      <c r="L4043" s="7">
        <v>2893.4</v>
      </c>
      <c r="M4043" s="2" t="str">
        <f>_xlfn.IFS(TelecomData[[#This Row],[TenureMonths]]&lt;=12, "0-1 Year", TelecomData[[#This Row],[TenureMonths]]&lt;=36, "1-3 Years", TelecomData[[#This Row],[TenureMonths]]&gt;36, "3+ Years")</f>
        <v>3+ Years</v>
      </c>
      <c r="N4043" s="2" t="str">
        <f>IF(TelecomData[[#This Row],[CleanedTotalCharges]]&gt;=2500,"High Spend", "Standard Spend")</f>
        <v>High Spend</v>
      </c>
    </row>
    <row r="4044" spans="1:14" x14ac:dyDescent="0.3">
      <c r="A4044" s="1" t="s">
        <v>4068</v>
      </c>
      <c r="B4044" s="2" t="s">
        <v>19</v>
      </c>
      <c r="C4044" s="2" t="s">
        <v>13</v>
      </c>
      <c r="D4044" s="2">
        <v>5</v>
      </c>
      <c r="E4044" s="2" t="s">
        <v>14</v>
      </c>
      <c r="F4044" s="2" t="s">
        <v>15</v>
      </c>
      <c r="G4044" s="7">
        <v>51.35</v>
      </c>
      <c r="H4044" s="7">
        <v>262.3</v>
      </c>
      <c r="I4044" s="2" t="s">
        <v>15</v>
      </c>
      <c r="J4044" s="2" t="s">
        <v>16</v>
      </c>
      <c r="K4044" s="2" t="s">
        <v>17</v>
      </c>
      <c r="L4044" s="7">
        <v>262.3</v>
      </c>
      <c r="M4044" s="2" t="str">
        <f>_xlfn.IFS(TelecomData[[#This Row],[TenureMonths]]&lt;=12, "0-1 Year", TelecomData[[#This Row],[TenureMonths]]&lt;=36, "1-3 Years", TelecomData[[#This Row],[TenureMonths]]&gt;36, "3+ Years")</f>
        <v>0-1 Year</v>
      </c>
      <c r="N4044" s="2" t="str">
        <f>IF(TelecomData[[#This Row],[CleanedTotalCharges]]&gt;=2500,"High Spend", "Standard Spend")</f>
        <v>Standard Spend</v>
      </c>
    </row>
    <row r="4045" spans="1:14" x14ac:dyDescent="0.3">
      <c r="A4045" s="1" t="s">
        <v>4069</v>
      </c>
      <c r="B4045" s="2" t="s">
        <v>19</v>
      </c>
      <c r="C4045" s="2" t="s">
        <v>35</v>
      </c>
      <c r="D4045" s="2">
        <v>59</v>
      </c>
      <c r="E4045" s="2" t="s">
        <v>14</v>
      </c>
      <c r="F4045" s="2" t="s">
        <v>16</v>
      </c>
      <c r="G4045" s="7">
        <v>64.05</v>
      </c>
      <c r="H4045" s="7">
        <v>3886.85</v>
      </c>
      <c r="I4045" s="2" t="s">
        <v>15</v>
      </c>
      <c r="J4045" s="2" t="s">
        <v>16</v>
      </c>
      <c r="K4045" s="2" t="s">
        <v>29</v>
      </c>
      <c r="L4045" s="7">
        <v>3886.85</v>
      </c>
      <c r="M4045" s="2" t="str">
        <f>_xlfn.IFS(TelecomData[[#This Row],[TenureMonths]]&lt;=12, "0-1 Year", TelecomData[[#This Row],[TenureMonths]]&lt;=36, "1-3 Years", TelecomData[[#This Row],[TenureMonths]]&gt;36, "3+ Years")</f>
        <v>3+ Years</v>
      </c>
      <c r="N4045" s="2" t="str">
        <f>IF(TelecomData[[#This Row],[CleanedTotalCharges]]&gt;=2500,"High Spend", "Standard Spend")</f>
        <v>High Spend</v>
      </c>
    </row>
    <row r="4046" spans="1:14" x14ac:dyDescent="0.3">
      <c r="A4046" s="1" t="s">
        <v>4070</v>
      </c>
      <c r="B4046" s="2" t="s">
        <v>12</v>
      </c>
      <c r="C4046" s="2" t="s">
        <v>35</v>
      </c>
      <c r="D4046" s="2">
        <v>70</v>
      </c>
      <c r="E4046" s="2" t="s">
        <v>14</v>
      </c>
      <c r="F4046" s="2" t="s">
        <v>16</v>
      </c>
      <c r="G4046" s="7">
        <v>84.8</v>
      </c>
      <c r="H4046" s="7">
        <v>5917.55</v>
      </c>
      <c r="I4046" s="2" t="s">
        <v>15</v>
      </c>
      <c r="J4046" s="2" t="s">
        <v>16</v>
      </c>
      <c r="K4046" s="2" t="s">
        <v>24</v>
      </c>
      <c r="L4046" s="7">
        <v>5917.55</v>
      </c>
      <c r="M4046" s="2" t="str">
        <f>_xlfn.IFS(TelecomData[[#This Row],[TenureMonths]]&lt;=12, "0-1 Year", TelecomData[[#This Row],[TenureMonths]]&lt;=36, "1-3 Years", TelecomData[[#This Row],[TenureMonths]]&gt;36, "3+ Years")</f>
        <v>3+ Years</v>
      </c>
      <c r="N4046" s="2" t="str">
        <f>IF(TelecomData[[#This Row],[CleanedTotalCharges]]&gt;=2500,"High Spend", "Standard Spend")</f>
        <v>High Spend</v>
      </c>
    </row>
    <row r="4047" spans="1:14" x14ac:dyDescent="0.3">
      <c r="A4047" s="1" t="s">
        <v>4071</v>
      </c>
      <c r="B4047" s="2" t="s">
        <v>12</v>
      </c>
      <c r="C4047" s="2" t="s">
        <v>13</v>
      </c>
      <c r="D4047" s="2">
        <v>14</v>
      </c>
      <c r="E4047" s="2" t="s">
        <v>26</v>
      </c>
      <c r="F4047" s="2" t="s">
        <v>15</v>
      </c>
      <c r="G4047" s="7">
        <v>71</v>
      </c>
      <c r="H4047" s="7">
        <v>914</v>
      </c>
      <c r="I4047" s="2" t="s">
        <v>16</v>
      </c>
      <c r="J4047" s="2" t="s">
        <v>16</v>
      </c>
      <c r="K4047" s="2" t="s">
        <v>29</v>
      </c>
      <c r="L4047" s="7">
        <v>914</v>
      </c>
      <c r="M4047" s="2" t="str">
        <f>_xlfn.IFS(TelecomData[[#This Row],[TenureMonths]]&lt;=12, "0-1 Year", TelecomData[[#This Row],[TenureMonths]]&lt;=36, "1-3 Years", TelecomData[[#This Row],[TenureMonths]]&gt;36, "3+ Years")</f>
        <v>1-3 Years</v>
      </c>
      <c r="N4047" s="2" t="str">
        <f>IF(TelecomData[[#This Row],[CleanedTotalCharges]]&gt;=2500,"High Spend", "Standard Spend")</f>
        <v>Standard Spend</v>
      </c>
    </row>
    <row r="4048" spans="1:14" x14ac:dyDescent="0.3">
      <c r="A4048" s="1" t="s">
        <v>4072</v>
      </c>
      <c r="B4048" s="2" t="s">
        <v>12</v>
      </c>
      <c r="C4048" s="2" t="s">
        <v>13</v>
      </c>
      <c r="D4048" s="2">
        <v>44</v>
      </c>
      <c r="E4048" s="2" t="s">
        <v>14</v>
      </c>
      <c r="F4048" s="2" t="s">
        <v>15</v>
      </c>
      <c r="G4048" s="7">
        <v>50.15</v>
      </c>
      <c r="H4048" s="7">
        <v>2139.1</v>
      </c>
      <c r="I4048" s="2" t="s">
        <v>15</v>
      </c>
      <c r="J4048" s="2" t="s">
        <v>16</v>
      </c>
      <c r="K4048" s="2" t="s">
        <v>21</v>
      </c>
      <c r="L4048" s="7">
        <v>2139.1</v>
      </c>
      <c r="M4048" s="2" t="str">
        <f>_xlfn.IFS(TelecomData[[#This Row],[TenureMonths]]&lt;=12, "0-1 Year", TelecomData[[#This Row],[TenureMonths]]&lt;=36, "1-3 Years", TelecomData[[#This Row],[TenureMonths]]&gt;36, "3+ Years")</f>
        <v>3+ Years</v>
      </c>
      <c r="N4048" s="2" t="str">
        <f>IF(TelecomData[[#This Row],[CleanedTotalCharges]]&gt;=2500,"High Spend", "Standard Spend")</f>
        <v>Standard Spend</v>
      </c>
    </row>
    <row r="4049" spans="1:14" x14ac:dyDescent="0.3">
      <c r="A4049" s="1" t="s">
        <v>4073</v>
      </c>
      <c r="B4049" s="2" t="s">
        <v>12</v>
      </c>
      <c r="C4049" s="2" t="s">
        <v>35</v>
      </c>
      <c r="D4049" s="2">
        <v>64</v>
      </c>
      <c r="E4049" s="2" t="s">
        <v>26</v>
      </c>
      <c r="F4049" s="2" t="s">
        <v>15</v>
      </c>
      <c r="G4049" s="7">
        <v>94.6</v>
      </c>
      <c r="H4049" s="7">
        <v>5948.7</v>
      </c>
      <c r="I4049" s="2" t="s">
        <v>15</v>
      </c>
      <c r="J4049" s="2" t="s">
        <v>16</v>
      </c>
      <c r="K4049" s="2" t="s">
        <v>29</v>
      </c>
      <c r="L4049" s="7">
        <v>5948.7</v>
      </c>
      <c r="M4049" s="2" t="str">
        <f>_xlfn.IFS(TelecomData[[#This Row],[TenureMonths]]&lt;=12, "0-1 Year", TelecomData[[#This Row],[TenureMonths]]&lt;=36, "1-3 Years", TelecomData[[#This Row],[TenureMonths]]&gt;36, "3+ Years")</f>
        <v>3+ Years</v>
      </c>
      <c r="N4049" s="2" t="str">
        <f>IF(TelecomData[[#This Row],[CleanedTotalCharges]]&gt;=2500,"High Spend", "Standard Spend")</f>
        <v>High Spend</v>
      </c>
    </row>
    <row r="4050" spans="1:14" x14ac:dyDescent="0.3">
      <c r="A4050" s="1" t="s">
        <v>4074</v>
      </c>
      <c r="B4050" s="2" t="s">
        <v>12</v>
      </c>
      <c r="C4050" s="2" t="s">
        <v>35</v>
      </c>
      <c r="D4050" s="2">
        <v>58</v>
      </c>
      <c r="E4050" s="2" t="s">
        <v>14</v>
      </c>
      <c r="F4050" s="2" t="s">
        <v>16</v>
      </c>
      <c r="G4050" s="7">
        <v>59.75</v>
      </c>
      <c r="H4050" s="7">
        <v>3624.35</v>
      </c>
      <c r="I4050" s="2" t="s">
        <v>15</v>
      </c>
      <c r="J4050" s="2" t="s">
        <v>15</v>
      </c>
      <c r="K4050" s="2" t="s">
        <v>21</v>
      </c>
      <c r="L4050" s="7">
        <v>3624.35</v>
      </c>
      <c r="M4050" s="2" t="str">
        <f>_xlfn.IFS(TelecomData[[#This Row],[TenureMonths]]&lt;=12, "0-1 Year", TelecomData[[#This Row],[TenureMonths]]&lt;=36, "1-3 Years", TelecomData[[#This Row],[TenureMonths]]&gt;36, "3+ Years")</f>
        <v>3+ Years</v>
      </c>
      <c r="N4050" s="2" t="str">
        <f>IF(TelecomData[[#This Row],[CleanedTotalCharges]]&gt;=2500,"High Spend", "Standard Spend")</f>
        <v>High Spend</v>
      </c>
    </row>
    <row r="4051" spans="1:14" x14ac:dyDescent="0.3">
      <c r="A4051" s="1" t="s">
        <v>4075</v>
      </c>
      <c r="B4051" s="2" t="s">
        <v>12</v>
      </c>
      <c r="C4051" s="2" t="s">
        <v>20</v>
      </c>
      <c r="D4051" s="2">
        <v>46</v>
      </c>
      <c r="E4051" s="2" t="s">
        <v>26</v>
      </c>
      <c r="F4051" s="2" t="s">
        <v>16</v>
      </c>
      <c r="G4051" s="7">
        <v>100.25</v>
      </c>
      <c r="H4051" s="7">
        <v>4753.8500000000004</v>
      </c>
      <c r="I4051" s="2" t="s">
        <v>15</v>
      </c>
      <c r="J4051" s="2" t="s">
        <v>15</v>
      </c>
      <c r="K4051" s="2" t="s">
        <v>17</v>
      </c>
      <c r="L4051" s="7">
        <v>4753.8500000000004</v>
      </c>
      <c r="M4051" s="2" t="str">
        <f>_xlfn.IFS(TelecomData[[#This Row],[TenureMonths]]&lt;=12, "0-1 Year", TelecomData[[#This Row],[TenureMonths]]&lt;=36, "1-3 Years", TelecomData[[#This Row],[TenureMonths]]&gt;36, "3+ Years")</f>
        <v>3+ Years</v>
      </c>
      <c r="N4051" s="2" t="str">
        <f>IF(TelecomData[[#This Row],[CleanedTotalCharges]]&gt;=2500,"High Spend", "Standard Spend")</f>
        <v>High Spend</v>
      </c>
    </row>
    <row r="4052" spans="1:14" x14ac:dyDescent="0.3">
      <c r="A4052" s="1" t="s">
        <v>4076</v>
      </c>
      <c r="B4052" s="2" t="s">
        <v>19</v>
      </c>
      <c r="C4052" s="2" t="s">
        <v>13</v>
      </c>
      <c r="D4052" s="2">
        <v>58</v>
      </c>
      <c r="E4052" s="2" t="s">
        <v>26</v>
      </c>
      <c r="F4052" s="2" t="s">
        <v>15</v>
      </c>
      <c r="G4052" s="7">
        <v>98.9</v>
      </c>
      <c r="H4052" s="7">
        <v>5780.7</v>
      </c>
      <c r="I4052" s="2" t="s">
        <v>15</v>
      </c>
      <c r="J4052" s="2" t="s">
        <v>16</v>
      </c>
      <c r="K4052" s="2" t="s">
        <v>17</v>
      </c>
      <c r="L4052" s="7">
        <v>5780.7</v>
      </c>
      <c r="M4052" s="2" t="str">
        <f>_xlfn.IFS(TelecomData[[#This Row],[TenureMonths]]&lt;=12, "0-1 Year", TelecomData[[#This Row],[TenureMonths]]&lt;=36, "1-3 Years", TelecomData[[#This Row],[TenureMonths]]&gt;36, "3+ Years")</f>
        <v>3+ Years</v>
      </c>
      <c r="N4052" s="2" t="str">
        <f>IF(TelecomData[[#This Row],[CleanedTotalCharges]]&gt;=2500,"High Spend", "Standard Spend")</f>
        <v>High Spend</v>
      </c>
    </row>
    <row r="4053" spans="1:14" x14ac:dyDescent="0.3">
      <c r="A4053" s="1" t="s">
        <v>4077</v>
      </c>
      <c r="B4053" s="2" t="s">
        <v>12</v>
      </c>
      <c r="C4053" s="2" t="s">
        <v>35</v>
      </c>
      <c r="D4053" s="2">
        <v>72</v>
      </c>
      <c r="E4053" s="2" t="s">
        <v>26</v>
      </c>
      <c r="F4053" s="2" t="s">
        <v>15</v>
      </c>
      <c r="G4053" s="7">
        <v>97.7</v>
      </c>
      <c r="H4053" s="7">
        <v>6869.7</v>
      </c>
      <c r="I4053" s="2" t="s">
        <v>15</v>
      </c>
      <c r="J4053" s="2" t="s">
        <v>16</v>
      </c>
      <c r="K4053" s="2" t="s">
        <v>29</v>
      </c>
      <c r="L4053" s="7">
        <v>6869.7</v>
      </c>
      <c r="M4053" s="2" t="str">
        <f>_xlfn.IFS(TelecomData[[#This Row],[TenureMonths]]&lt;=12, "0-1 Year", TelecomData[[#This Row],[TenureMonths]]&lt;=36, "1-3 Years", TelecomData[[#This Row],[TenureMonths]]&gt;36, "3+ Years")</f>
        <v>3+ Years</v>
      </c>
      <c r="N4053" s="2" t="str">
        <f>IF(TelecomData[[#This Row],[CleanedTotalCharges]]&gt;=2500,"High Spend", "Standard Spend")</f>
        <v>High Spend</v>
      </c>
    </row>
    <row r="4054" spans="1:14" x14ac:dyDescent="0.3">
      <c r="A4054" s="1" t="s">
        <v>4078</v>
      </c>
      <c r="B4054" s="2" t="s">
        <v>12</v>
      </c>
      <c r="C4054" s="2" t="s">
        <v>13</v>
      </c>
      <c r="D4054" s="2">
        <v>30</v>
      </c>
      <c r="E4054" s="2" t="s">
        <v>14</v>
      </c>
      <c r="F4054" s="2" t="s">
        <v>15</v>
      </c>
      <c r="G4054" s="7">
        <v>40.299999999999997</v>
      </c>
      <c r="H4054" s="7">
        <v>1172.95</v>
      </c>
      <c r="I4054" s="2" t="s">
        <v>16</v>
      </c>
      <c r="J4054" s="2" t="s">
        <v>16</v>
      </c>
      <c r="K4054" s="2" t="s">
        <v>17</v>
      </c>
      <c r="L4054" s="7">
        <v>1172.95</v>
      </c>
      <c r="M4054" s="2" t="str">
        <f>_xlfn.IFS(TelecomData[[#This Row],[TenureMonths]]&lt;=12, "0-1 Year", TelecomData[[#This Row],[TenureMonths]]&lt;=36, "1-3 Years", TelecomData[[#This Row],[TenureMonths]]&gt;36, "3+ Years")</f>
        <v>1-3 Years</v>
      </c>
      <c r="N4054" s="2" t="str">
        <f>IF(TelecomData[[#This Row],[CleanedTotalCharges]]&gt;=2500,"High Spend", "Standard Spend")</f>
        <v>Standard Spend</v>
      </c>
    </row>
    <row r="4055" spans="1:14" x14ac:dyDescent="0.3">
      <c r="A4055" s="1" t="s">
        <v>4079</v>
      </c>
      <c r="B4055" s="2" t="s">
        <v>19</v>
      </c>
      <c r="C4055" s="2" t="s">
        <v>13</v>
      </c>
      <c r="D4055" s="2">
        <v>11</v>
      </c>
      <c r="E4055" s="2" t="s">
        <v>14</v>
      </c>
      <c r="F4055" s="2" t="s">
        <v>15</v>
      </c>
      <c r="G4055" s="7">
        <v>60.25</v>
      </c>
      <c r="H4055" s="7">
        <v>662.95</v>
      </c>
      <c r="I4055" s="2" t="s">
        <v>15</v>
      </c>
      <c r="J4055" s="2" t="s">
        <v>15</v>
      </c>
      <c r="K4055" s="2" t="s">
        <v>24</v>
      </c>
      <c r="L4055" s="7">
        <v>662.95</v>
      </c>
      <c r="M4055" s="2" t="str">
        <f>_xlfn.IFS(TelecomData[[#This Row],[TenureMonths]]&lt;=12, "0-1 Year", TelecomData[[#This Row],[TenureMonths]]&lt;=36, "1-3 Years", TelecomData[[#This Row],[TenureMonths]]&gt;36, "3+ Years")</f>
        <v>0-1 Year</v>
      </c>
      <c r="N4055" s="2" t="str">
        <f>IF(TelecomData[[#This Row],[CleanedTotalCharges]]&gt;=2500,"High Spend", "Standard Spend")</f>
        <v>Standard Spend</v>
      </c>
    </row>
    <row r="4056" spans="1:14" x14ac:dyDescent="0.3">
      <c r="A4056" s="1" t="s">
        <v>4080</v>
      </c>
      <c r="B4056" s="2" t="s">
        <v>12</v>
      </c>
      <c r="C4056" s="2" t="s">
        <v>13</v>
      </c>
      <c r="D4056" s="2">
        <v>34</v>
      </c>
      <c r="E4056" s="2" t="s">
        <v>14</v>
      </c>
      <c r="F4056" s="2" t="s">
        <v>15</v>
      </c>
      <c r="G4056" s="7">
        <v>56.25</v>
      </c>
      <c r="H4056" s="7">
        <v>1765.95</v>
      </c>
      <c r="I4056" s="2" t="s">
        <v>15</v>
      </c>
      <c r="J4056" s="2" t="s">
        <v>16</v>
      </c>
      <c r="K4056" s="2" t="s">
        <v>17</v>
      </c>
      <c r="L4056" s="7">
        <v>1765.95</v>
      </c>
      <c r="M4056" s="2" t="str">
        <f>_xlfn.IFS(TelecomData[[#This Row],[TenureMonths]]&lt;=12, "0-1 Year", TelecomData[[#This Row],[TenureMonths]]&lt;=36, "1-3 Years", TelecomData[[#This Row],[TenureMonths]]&gt;36, "3+ Years")</f>
        <v>1-3 Years</v>
      </c>
      <c r="N4056" s="2" t="str">
        <f>IF(TelecomData[[#This Row],[CleanedTotalCharges]]&gt;=2500,"High Spend", "Standard Spend")</f>
        <v>Standard Spend</v>
      </c>
    </row>
    <row r="4057" spans="1:14" x14ac:dyDescent="0.3">
      <c r="A4057" s="1" t="s">
        <v>4081</v>
      </c>
      <c r="B4057" s="2" t="s">
        <v>19</v>
      </c>
      <c r="C4057" s="2" t="s">
        <v>35</v>
      </c>
      <c r="D4057" s="2">
        <v>54</v>
      </c>
      <c r="E4057" s="2" t="s">
        <v>14</v>
      </c>
      <c r="F4057" s="2" t="s">
        <v>15</v>
      </c>
      <c r="G4057" s="7">
        <v>46.2</v>
      </c>
      <c r="H4057" s="7">
        <v>2431.9499999999998</v>
      </c>
      <c r="I4057" s="2" t="s">
        <v>15</v>
      </c>
      <c r="J4057" s="2" t="s">
        <v>15</v>
      </c>
      <c r="K4057" s="2" t="s">
        <v>24</v>
      </c>
      <c r="L4057" s="7">
        <v>2431.9499999999998</v>
      </c>
      <c r="M4057" s="2" t="str">
        <f>_xlfn.IFS(TelecomData[[#This Row],[TenureMonths]]&lt;=12, "0-1 Year", TelecomData[[#This Row],[TenureMonths]]&lt;=36, "1-3 Years", TelecomData[[#This Row],[TenureMonths]]&gt;36, "3+ Years")</f>
        <v>3+ Years</v>
      </c>
      <c r="N4057" s="2" t="str">
        <f>IF(TelecomData[[#This Row],[CleanedTotalCharges]]&gt;=2500,"High Spend", "Standard Spend")</f>
        <v>Standard Spend</v>
      </c>
    </row>
    <row r="4058" spans="1:14" x14ac:dyDescent="0.3">
      <c r="A4058" s="1" t="s">
        <v>4082</v>
      </c>
      <c r="B4058" s="2" t="s">
        <v>12</v>
      </c>
      <c r="C4058" s="2" t="s">
        <v>13</v>
      </c>
      <c r="D4058" s="2">
        <v>3</v>
      </c>
      <c r="E4058" s="2" t="s">
        <v>14</v>
      </c>
      <c r="F4058" s="2" t="s">
        <v>15</v>
      </c>
      <c r="G4058" s="7">
        <v>50.6</v>
      </c>
      <c r="H4058" s="7">
        <v>155.35</v>
      </c>
      <c r="I4058" s="2" t="s">
        <v>16</v>
      </c>
      <c r="J4058" s="2" t="s">
        <v>16</v>
      </c>
      <c r="K4058" s="2" t="s">
        <v>17</v>
      </c>
      <c r="L4058" s="7">
        <v>155.35</v>
      </c>
      <c r="M4058" s="2" t="str">
        <f>_xlfn.IFS(TelecomData[[#This Row],[TenureMonths]]&lt;=12, "0-1 Year", TelecomData[[#This Row],[TenureMonths]]&lt;=36, "1-3 Years", TelecomData[[#This Row],[TenureMonths]]&gt;36, "3+ Years")</f>
        <v>0-1 Year</v>
      </c>
      <c r="N4058" s="2" t="str">
        <f>IF(TelecomData[[#This Row],[CleanedTotalCharges]]&gt;=2500,"High Spend", "Standard Spend")</f>
        <v>Standard Spend</v>
      </c>
    </row>
    <row r="4059" spans="1:14" x14ac:dyDescent="0.3">
      <c r="A4059" s="1" t="s">
        <v>4083</v>
      </c>
      <c r="B4059" s="2" t="s">
        <v>12</v>
      </c>
      <c r="C4059" s="2" t="s">
        <v>35</v>
      </c>
      <c r="D4059" s="2">
        <v>72</v>
      </c>
      <c r="E4059" s="2" t="s">
        <v>15</v>
      </c>
      <c r="F4059" s="2" t="s">
        <v>36</v>
      </c>
      <c r="G4059" s="7">
        <v>24.9</v>
      </c>
      <c r="H4059" s="7">
        <v>1859.2</v>
      </c>
      <c r="I4059" s="2" t="s">
        <v>15</v>
      </c>
      <c r="J4059" s="2" t="s">
        <v>15</v>
      </c>
      <c r="K4059" s="2" t="s">
        <v>21</v>
      </c>
      <c r="L4059" s="7">
        <v>1859.2</v>
      </c>
      <c r="M4059" s="2" t="str">
        <f>_xlfn.IFS(TelecomData[[#This Row],[TenureMonths]]&lt;=12, "0-1 Year", TelecomData[[#This Row],[TenureMonths]]&lt;=36, "1-3 Years", TelecomData[[#This Row],[TenureMonths]]&gt;36, "3+ Years")</f>
        <v>3+ Years</v>
      </c>
      <c r="N4059" s="2" t="str">
        <f>IF(TelecomData[[#This Row],[CleanedTotalCharges]]&gt;=2500,"High Spend", "Standard Spend")</f>
        <v>Standard Spend</v>
      </c>
    </row>
    <row r="4060" spans="1:14" x14ac:dyDescent="0.3">
      <c r="A4060" s="1" t="s">
        <v>4084</v>
      </c>
      <c r="B4060" s="2" t="s">
        <v>12</v>
      </c>
      <c r="C4060" s="2" t="s">
        <v>13</v>
      </c>
      <c r="D4060" s="2">
        <v>40</v>
      </c>
      <c r="E4060" s="2" t="s">
        <v>26</v>
      </c>
      <c r="F4060" s="2" t="s">
        <v>16</v>
      </c>
      <c r="G4060" s="7">
        <v>84.85</v>
      </c>
      <c r="H4060" s="7">
        <v>3303.05</v>
      </c>
      <c r="I4060" s="2" t="s">
        <v>16</v>
      </c>
      <c r="J4060" s="2" t="s">
        <v>16</v>
      </c>
      <c r="K4060" s="2" t="s">
        <v>17</v>
      </c>
      <c r="L4060" s="7">
        <v>3303.05</v>
      </c>
      <c r="M4060" s="2" t="str">
        <f>_xlfn.IFS(TelecomData[[#This Row],[TenureMonths]]&lt;=12, "0-1 Year", TelecomData[[#This Row],[TenureMonths]]&lt;=36, "1-3 Years", TelecomData[[#This Row],[TenureMonths]]&gt;36, "3+ Years")</f>
        <v>3+ Years</v>
      </c>
      <c r="N4060" s="2" t="str">
        <f>IF(TelecomData[[#This Row],[CleanedTotalCharges]]&gt;=2500,"High Spend", "Standard Spend")</f>
        <v>High Spend</v>
      </c>
    </row>
    <row r="4061" spans="1:14" x14ac:dyDescent="0.3">
      <c r="A4061" s="1" t="s">
        <v>4085</v>
      </c>
      <c r="B4061" s="2" t="s">
        <v>12</v>
      </c>
      <c r="C4061" s="2" t="s">
        <v>13</v>
      </c>
      <c r="D4061" s="2">
        <v>2</v>
      </c>
      <c r="E4061" s="2" t="s">
        <v>14</v>
      </c>
      <c r="F4061" s="2" t="s">
        <v>15</v>
      </c>
      <c r="G4061" s="7">
        <v>65.7</v>
      </c>
      <c r="H4061" s="7">
        <v>134.35</v>
      </c>
      <c r="I4061" s="2" t="s">
        <v>16</v>
      </c>
      <c r="J4061" s="2" t="s">
        <v>15</v>
      </c>
      <c r="K4061" s="2" t="s">
        <v>21</v>
      </c>
      <c r="L4061" s="7">
        <v>134.35</v>
      </c>
      <c r="M4061" s="2" t="str">
        <f>_xlfn.IFS(TelecomData[[#This Row],[TenureMonths]]&lt;=12, "0-1 Year", TelecomData[[#This Row],[TenureMonths]]&lt;=36, "1-3 Years", TelecomData[[#This Row],[TenureMonths]]&gt;36, "3+ Years")</f>
        <v>0-1 Year</v>
      </c>
      <c r="N4061" s="2" t="str">
        <f>IF(TelecomData[[#This Row],[CleanedTotalCharges]]&gt;=2500,"High Spend", "Standard Spend")</f>
        <v>Standard Spend</v>
      </c>
    </row>
    <row r="4062" spans="1:14" x14ac:dyDescent="0.3">
      <c r="A4062" s="1" t="s">
        <v>4086</v>
      </c>
      <c r="B4062" s="2" t="s">
        <v>19</v>
      </c>
      <c r="C4062" s="2" t="s">
        <v>35</v>
      </c>
      <c r="D4062" s="2">
        <v>54</v>
      </c>
      <c r="E4062" s="2" t="s">
        <v>14</v>
      </c>
      <c r="F4062" s="2" t="s">
        <v>15</v>
      </c>
      <c r="G4062" s="7">
        <v>63.35</v>
      </c>
      <c r="H4062" s="7">
        <v>3409.1</v>
      </c>
      <c r="I4062" s="2" t="s">
        <v>15</v>
      </c>
      <c r="J4062" s="2" t="s">
        <v>15</v>
      </c>
      <c r="K4062" s="2" t="s">
        <v>29</v>
      </c>
      <c r="L4062" s="7">
        <v>3409.1</v>
      </c>
      <c r="M4062" s="2" t="str">
        <f>_xlfn.IFS(TelecomData[[#This Row],[TenureMonths]]&lt;=12, "0-1 Year", TelecomData[[#This Row],[TenureMonths]]&lt;=36, "1-3 Years", TelecomData[[#This Row],[TenureMonths]]&gt;36, "3+ Years")</f>
        <v>3+ Years</v>
      </c>
      <c r="N4062" s="2" t="str">
        <f>IF(TelecomData[[#This Row],[CleanedTotalCharges]]&gt;=2500,"High Spend", "Standard Spend")</f>
        <v>High Spend</v>
      </c>
    </row>
    <row r="4063" spans="1:14" x14ac:dyDescent="0.3">
      <c r="A4063" s="1" t="s">
        <v>4087</v>
      </c>
      <c r="B4063" s="2" t="s">
        <v>12</v>
      </c>
      <c r="C4063" s="2" t="s">
        <v>13</v>
      </c>
      <c r="D4063" s="2">
        <v>14</v>
      </c>
      <c r="E4063" s="2" t="s">
        <v>14</v>
      </c>
      <c r="F4063" s="2" t="s">
        <v>15</v>
      </c>
      <c r="G4063" s="7">
        <v>50.1</v>
      </c>
      <c r="H4063" s="7">
        <v>709.5</v>
      </c>
      <c r="I4063" s="2" t="s">
        <v>15</v>
      </c>
      <c r="J4063" s="2" t="s">
        <v>15</v>
      </c>
      <c r="K4063" s="2" t="s">
        <v>24</v>
      </c>
      <c r="L4063" s="7">
        <v>709.5</v>
      </c>
      <c r="M4063" s="2" t="str">
        <f>_xlfn.IFS(TelecomData[[#This Row],[TenureMonths]]&lt;=12, "0-1 Year", TelecomData[[#This Row],[TenureMonths]]&lt;=36, "1-3 Years", TelecomData[[#This Row],[TenureMonths]]&gt;36, "3+ Years")</f>
        <v>1-3 Years</v>
      </c>
      <c r="N4063" s="2" t="str">
        <f>IF(TelecomData[[#This Row],[CleanedTotalCharges]]&gt;=2500,"High Spend", "Standard Spend")</f>
        <v>Standard Spend</v>
      </c>
    </row>
    <row r="4064" spans="1:14" x14ac:dyDescent="0.3">
      <c r="A4064" s="1" t="s">
        <v>4088</v>
      </c>
      <c r="B4064" s="2" t="s">
        <v>12</v>
      </c>
      <c r="C4064" s="2" t="s">
        <v>13</v>
      </c>
      <c r="D4064" s="2">
        <v>1</v>
      </c>
      <c r="E4064" s="2" t="s">
        <v>26</v>
      </c>
      <c r="F4064" s="2" t="s">
        <v>15</v>
      </c>
      <c r="G4064" s="7">
        <v>70.5</v>
      </c>
      <c r="H4064" s="7">
        <v>70.5</v>
      </c>
      <c r="I4064" s="2" t="s">
        <v>16</v>
      </c>
      <c r="J4064" s="2" t="s">
        <v>15</v>
      </c>
      <c r="K4064" s="2" t="s">
        <v>17</v>
      </c>
      <c r="L4064" s="7">
        <v>70.5</v>
      </c>
      <c r="M4064" s="2" t="str">
        <f>_xlfn.IFS(TelecomData[[#This Row],[TenureMonths]]&lt;=12, "0-1 Year", TelecomData[[#This Row],[TenureMonths]]&lt;=36, "1-3 Years", TelecomData[[#This Row],[TenureMonths]]&gt;36, "3+ Years")</f>
        <v>0-1 Year</v>
      </c>
      <c r="N4064" s="2" t="str">
        <f>IF(TelecomData[[#This Row],[CleanedTotalCharges]]&gt;=2500,"High Spend", "Standard Spend")</f>
        <v>Standard Spend</v>
      </c>
    </row>
    <row r="4065" spans="1:14" x14ac:dyDescent="0.3">
      <c r="A4065" s="1" t="s">
        <v>4089</v>
      </c>
      <c r="B4065" s="2" t="s">
        <v>12</v>
      </c>
      <c r="C4065" s="2" t="s">
        <v>13</v>
      </c>
      <c r="D4065" s="2">
        <v>10</v>
      </c>
      <c r="E4065" s="2" t="s">
        <v>26</v>
      </c>
      <c r="F4065" s="2" t="s">
        <v>15</v>
      </c>
      <c r="G4065" s="7">
        <v>94.85</v>
      </c>
      <c r="H4065" s="7">
        <v>953.45</v>
      </c>
      <c r="I4065" s="2" t="s">
        <v>16</v>
      </c>
      <c r="J4065" s="2" t="s">
        <v>16</v>
      </c>
      <c r="K4065" s="2" t="s">
        <v>17</v>
      </c>
      <c r="L4065" s="7">
        <v>953.45</v>
      </c>
      <c r="M4065" s="2" t="str">
        <f>_xlfn.IFS(TelecomData[[#This Row],[TenureMonths]]&lt;=12, "0-1 Year", TelecomData[[#This Row],[TenureMonths]]&lt;=36, "1-3 Years", TelecomData[[#This Row],[TenureMonths]]&gt;36, "3+ Years")</f>
        <v>0-1 Year</v>
      </c>
      <c r="N4065" s="2" t="str">
        <f>IF(TelecomData[[#This Row],[CleanedTotalCharges]]&gt;=2500,"High Spend", "Standard Spend")</f>
        <v>Standard Spend</v>
      </c>
    </row>
    <row r="4066" spans="1:14" x14ac:dyDescent="0.3">
      <c r="A4066" s="1" t="s">
        <v>4090</v>
      </c>
      <c r="B4066" s="2" t="s">
        <v>12</v>
      </c>
      <c r="C4066" s="2" t="s">
        <v>13</v>
      </c>
      <c r="D4066" s="2">
        <v>1</v>
      </c>
      <c r="E4066" s="2" t="s">
        <v>14</v>
      </c>
      <c r="F4066" s="2" t="s">
        <v>15</v>
      </c>
      <c r="G4066" s="7">
        <v>50.15</v>
      </c>
      <c r="H4066" s="7">
        <v>50.15</v>
      </c>
      <c r="I4066" s="2" t="s">
        <v>15</v>
      </c>
      <c r="J4066" s="2" t="s">
        <v>15</v>
      </c>
      <c r="K4066" s="2" t="s">
        <v>17</v>
      </c>
      <c r="L4066" s="7">
        <v>50.15</v>
      </c>
      <c r="M4066" s="2" t="str">
        <f>_xlfn.IFS(TelecomData[[#This Row],[TenureMonths]]&lt;=12, "0-1 Year", TelecomData[[#This Row],[TenureMonths]]&lt;=36, "1-3 Years", TelecomData[[#This Row],[TenureMonths]]&gt;36, "3+ Years")</f>
        <v>0-1 Year</v>
      </c>
      <c r="N4066" s="2" t="str">
        <f>IF(TelecomData[[#This Row],[CleanedTotalCharges]]&gt;=2500,"High Spend", "Standard Spend")</f>
        <v>Standard Spend</v>
      </c>
    </row>
    <row r="4067" spans="1:14" x14ac:dyDescent="0.3">
      <c r="A4067" s="1" t="s">
        <v>4091</v>
      </c>
      <c r="B4067" s="2" t="s">
        <v>19</v>
      </c>
      <c r="C4067" s="2" t="s">
        <v>13</v>
      </c>
      <c r="D4067" s="2">
        <v>1</v>
      </c>
      <c r="E4067" s="2" t="s">
        <v>15</v>
      </c>
      <c r="F4067" s="2" t="s">
        <v>36</v>
      </c>
      <c r="G4067" s="7">
        <v>19.75</v>
      </c>
      <c r="H4067" s="7">
        <v>19.75</v>
      </c>
      <c r="I4067" s="2" t="s">
        <v>16</v>
      </c>
      <c r="J4067" s="2" t="s">
        <v>15</v>
      </c>
      <c r="K4067" s="2" t="s">
        <v>21</v>
      </c>
      <c r="L4067" s="7">
        <v>19.75</v>
      </c>
      <c r="M4067" s="2" t="str">
        <f>_xlfn.IFS(TelecomData[[#This Row],[TenureMonths]]&lt;=12, "0-1 Year", TelecomData[[#This Row],[TenureMonths]]&lt;=36, "1-3 Years", TelecomData[[#This Row],[TenureMonths]]&gt;36, "3+ Years")</f>
        <v>0-1 Year</v>
      </c>
      <c r="N4067" s="2" t="str">
        <f>IF(TelecomData[[#This Row],[CleanedTotalCharges]]&gt;=2500,"High Spend", "Standard Spend")</f>
        <v>Standard Spend</v>
      </c>
    </row>
    <row r="4068" spans="1:14" x14ac:dyDescent="0.3">
      <c r="A4068" s="1" t="s">
        <v>4092</v>
      </c>
      <c r="B4068" s="2" t="s">
        <v>19</v>
      </c>
      <c r="C4068" s="2" t="s">
        <v>20</v>
      </c>
      <c r="D4068" s="2">
        <v>56</v>
      </c>
      <c r="E4068" s="2" t="s">
        <v>14</v>
      </c>
      <c r="F4068" s="2" t="s">
        <v>16</v>
      </c>
      <c r="G4068" s="7">
        <v>64.650000000000006</v>
      </c>
      <c r="H4068" s="7">
        <v>3665.55</v>
      </c>
      <c r="I4068" s="2" t="s">
        <v>15</v>
      </c>
      <c r="J4068" s="2" t="s">
        <v>16</v>
      </c>
      <c r="K4068" s="2" t="s">
        <v>24</v>
      </c>
      <c r="L4068" s="7">
        <v>3665.55</v>
      </c>
      <c r="M4068" s="2" t="str">
        <f>_xlfn.IFS(TelecomData[[#This Row],[TenureMonths]]&lt;=12, "0-1 Year", TelecomData[[#This Row],[TenureMonths]]&lt;=36, "1-3 Years", TelecomData[[#This Row],[TenureMonths]]&gt;36, "3+ Years")</f>
        <v>3+ Years</v>
      </c>
      <c r="N4068" s="2" t="str">
        <f>IF(TelecomData[[#This Row],[CleanedTotalCharges]]&gt;=2500,"High Spend", "Standard Spend")</f>
        <v>High Spend</v>
      </c>
    </row>
    <row r="4069" spans="1:14" x14ac:dyDescent="0.3">
      <c r="A4069" s="1" t="s">
        <v>4093</v>
      </c>
      <c r="B4069" s="2" t="s">
        <v>12</v>
      </c>
      <c r="C4069" s="2" t="s">
        <v>35</v>
      </c>
      <c r="D4069" s="2">
        <v>68</v>
      </c>
      <c r="E4069" s="2" t="s">
        <v>14</v>
      </c>
      <c r="F4069" s="2" t="s">
        <v>16</v>
      </c>
      <c r="G4069" s="7">
        <v>79.599999999999994</v>
      </c>
      <c r="H4069" s="7">
        <v>5515.8</v>
      </c>
      <c r="I4069" s="2" t="s">
        <v>15</v>
      </c>
      <c r="J4069" s="2" t="s">
        <v>16</v>
      </c>
      <c r="K4069" s="2" t="s">
        <v>24</v>
      </c>
      <c r="L4069" s="7">
        <v>5515.8</v>
      </c>
      <c r="M4069" s="2" t="str">
        <f>_xlfn.IFS(TelecomData[[#This Row],[TenureMonths]]&lt;=12, "0-1 Year", TelecomData[[#This Row],[TenureMonths]]&lt;=36, "1-3 Years", TelecomData[[#This Row],[TenureMonths]]&gt;36, "3+ Years")</f>
        <v>3+ Years</v>
      </c>
      <c r="N4069" s="2" t="str">
        <f>IF(TelecomData[[#This Row],[CleanedTotalCharges]]&gt;=2500,"High Spend", "Standard Spend")</f>
        <v>High Spend</v>
      </c>
    </row>
    <row r="4070" spans="1:14" x14ac:dyDescent="0.3">
      <c r="A4070" s="1" t="s">
        <v>4094</v>
      </c>
      <c r="B4070" s="2" t="s">
        <v>12</v>
      </c>
      <c r="C4070" s="2" t="s">
        <v>20</v>
      </c>
      <c r="D4070" s="2">
        <v>14</v>
      </c>
      <c r="E4070" s="2" t="s">
        <v>15</v>
      </c>
      <c r="F4070" s="2" t="s">
        <v>36</v>
      </c>
      <c r="G4070" s="7">
        <v>19.5</v>
      </c>
      <c r="H4070" s="7">
        <v>272</v>
      </c>
      <c r="I4070" s="2" t="s">
        <v>15</v>
      </c>
      <c r="J4070" s="2" t="s">
        <v>16</v>
      </c>
      <c r="K4070" s="2" t="s">
        <v>21</v>
      </c>
      <c r="L4070" s="7">
        <v>272</v>
      </c>
      <c r="M4070" s="2" t="str">
        <f>_xlfn.IFS(TelecomData[[#This Row],[TenureMonths]]&lt;=12, "0-1 Year", TelecomData[[#This Row],[TenureMonths]]&lt;=36, "1-3 Years", TelecomData[[#This Row],[TenureMonths]]&gt;36, "3+ Years")</f>
        <v>1-3 Years</v>
      </c>
      <c r="N4070" s="2" t="str">
        <f>IF(TelecomData[[#This Row],[CleanedTotalCharges]]&gt;=2500,"High Spend", "Standard Spend")</f>
        <v>Standard Spend</v>
      </c>
    </row>
    <row r="4071" spans="1:14" x14ac:dyDescent="0.3">
      <c r="A4071" s="1" t="s">
        <v>4095</v>
      </c>
      <c r="B4071" s="2" t="s">
        <v>19</v>
      </c>
      <c r="C4071" s="2" t="s">
        <v>35</v>
      </c>
      <c r="D4071" s="2">
        <v>68</v>
      </c>
      <c r="E4071" s="2" t="s">
        <v>26</v>
      </c>
      <c r="F4071" s="2" t="s">
        <v>16</v>
      </c>
      <c r="G4071" s="7">
        <v>99.55</v>
      </c>
      <c r="H4071" s="7">
        <v>6668</v>
      </c>
      <c r="I4071" s="2" t="s">
        <v>15</v>
      </c>
      <c r="J4071" s="2" t="s">
        <v>16</v>
      </c>
      <c r="K4071" s="2" t="s">
        <v>17</v>
      </c>
      <c r="L4071" s="7">
        <v>6668</v>
      </c>
      <c r="M4071" s="2" t="str">
        <f>_xlfn.IFS(TelecomData[[#This Row],[TenureMonths]]&lt;=12, "0-1 Year", TelecomData[[#This Row],[TenureMonths]]&lt;=36, "1-3 Years", TelecomData[[#This Row],[TenureMonths]]&gt;36, "3+ Years")</f>
        <v>3+ Years</v>
      </c>
      <c r="N4071" s="2" t="str">
        <f>IF(TelecomData[[#This Row],[CleanedTotalCharges]]&gt;=2500,"High Spend", "Standard Spend")</f>
        <v>High Spend</v>
      </c>
    </row>
    <row r="4072" spans="1:14" x14ac:dyDescent="0.3">
      <c r="A4072" s="1" t="s">
        <v>4096</v>
      </c>
      <c r="B4072" s="2" t="s">
        <v>19</v>
      </c>
      <c r="C4072" s="2" t="s">
        <v>13</v>
      </c>
      <c r="D4072" s="2">
        <v>55</v>
      </c>
      <c r="E4072" s="2" t="s">
        <v>26</v>
      </c>
      <c r="F4072" s="2" t="s">
        <v>15</v>
      </c>
      <c r="G4072" s="7">
        <v>74</v>
      </c>
      <c r="H4072" s="7">
        <v>4052.4</v>
      </c>
      <c r="I4072" s="2" t="s">
        <v>15</v>
      </c>
      <c r="J4072" s="2" t="s">
        <v>16</v>
      </c>
      <c r="K4072" s="2" t="s">
        <v>17</v>
      </c>
      <c r="L4072" s="7">
        <v>4052.4</v>
      </c>
      <c r="M4072" s="2" t="str">
        <f>_xlfn.IFS(TelecomData[[#This Row],[TenureMonths]]&lt;=12, "0-1 Year", TelecomData[[#This Row],[TenureMonths]]&lt;=36, "1-3 Years", TelecomData[[#This Row],[TenureMonths]]&gt;36, "3+ Years")</f>
        <v>3+ Years</v>
      </c>
      <c r="N4072" s="2" t="str">
        <f>IF(TelecomData[[#This Row],[CleanedTotalCharges]]&gt;=2500,"High Spend", "Standard Spend")</f>
        <v>High Spend</v>
      </c>
    </row>
    <row r="4073" spans="1:14" x14ac:dyDescent="0.3">
      <c r="A4073" s="1" t="s">
        <v>4097</v>
      </c>
      <c r="B4073" s="2" t="s">
        <v>12</v>
      </c>
      <c r="C4073" s="2" t="s">
        <v>13</v>
      </c>
      <c r="D4073" s="2">
        <v>16</v>
      </c>
      <c r="E4073" s="2" t="s">
        <v>14</v>
      </c>
      <c r="F4073" s="2" t="s">
        <v>15</v>
      </c>
      <c r="G4073" s="7">
        <v>38.9</v>
      </c>
      <c r="H4073" s="7">
        <v>664.4</v>
      </c>
      <c r="I4073" s="2" t="s">
        <v>15</v>
      </c>
      <c r="J4073" s="2" t="s">
        <v>16</v>
      </c>
      <c r="K4073" s="2" t="s">
        <v>17</v>
      </c>
      <c r="L4073" s="7">
        <v>664.4</v>
      </c>
      <c r="M4073" s="2" t="str">
        <f>_xlfn.IFS(TelecomData[[#This Row],[TenureMonths]]&lt;=12, "0-1 Year", TelecomData[[#This Row],[TenureMonths]]&lt;=36, "1-3 Years", TelecomData[[#This Row],[TenureMonths]]&gt;36, "3+ Years")</f>
        <v>1-3 Years</v>
      </c>
      <c r="N4073" s="2" t="str">
        <f>IF(TelecomData[[#This Row],[CleanedTotalCharges]]&gt;=2500,"High Spend", "Standard Spend")</f>
        <v>Standard Spend</v>
      </c>
    </row>
    <row r="4074" spans="1:14" x14ac:dyDescent="0.3">
      <c r="A4074" s="1" t="s">
        <v>4098</v>
      </c>
      <c r="B4074" s="2" t="s">
        <v>19</v>
      </c>
      <c r="C4074" s="2" t="s">
        <v>13</v>
      </c>
      <c r="D4074" s="2">
        <v>9</v>
      </c>
      <c r="E4074" s="2" t="s">
        <v>26</v>
      </c>
      <c r="F4074" s="2" t="s">
        <v>15</v>
      </c>
      <c r="G4074" s="7">
        <v>79.55</v>
      </c>
      <c r="H4074" s="7">
        <v>718.55</v>
      </c>
      <c r="I4074" s="2" t="s">
        <v>15</v>
      </c>
      <c r="J4074" s="2" t="s">
        <v>16</v>
      </c>
      <c r="K4074" s="2" t="s">
        <v>17</v>
      </c>
      <c r="L4074" s="7">
        <v>718.55</v>
      </c>
      <c r="M4074" s="2" t="str">
        <f>_xlfn.IFS(TelecomData[[#This Row],[TenureMonths]]&lt;=12, "0-1 Year", TelecomData[[#This Row],[TenureMonths]]&lt;=36, "1-3 Years", TelecomData[[#This Row],[TenureMonths]]&gt;36, "3+ Years")</f>
        <v>0-1 Year</v>
      </c>
      <c r="N4074" s="2" t="str">
        <f>IF(TelecomData[[#This Row],[CleanedTotalCharges]]&gt;=2500,"High Spend", "Standard Spend")</f>
        <v>Standard Spend</v>
      </c>
    </row>
    <row r="4075" spans="1:14" x14ac:dyDescent="0.3">
      <c r="A4075" s="1" t="s">
        <v>4099</v>
      </c>
      <c r="B4075" s="2" t="s">
        <v>19</v>
      </c>
      <c r="C4075" s="2" t="s">
        <v>13</v>
      </c>
      <c r="D4075" s="2">
        <v>14</v>
      </c>
      <c r="E4075" s="2" t="s">
        <v>14</v>
      </c>
      <c r="F4075" s="2" t="s">
        <v>15</v>
      </c>
      <c r="G4075" s="7">
        <v>65.45</v>
      </c>
      <c r="H4075" s="7">
        <v>937.6</v>
      </c>
      <c r="I4075" s="2" t="s">
        <v>16</v>
      </c>
      <c r="J4075" s="2" t="s">
        <v>16</v>
      </c>
      <c r="K4075" s="2" t="s">
        <v>17</v>
      </c>
      <c r="L4075" s="7">
        <v>937.6</v>
      </c>
      <c r="M4075" s="2" t="str">
        <f>_xlfn.IFS(TelecomData[[#This Row],[TenureMonths]]&lt;=12, "0-1 Year", TelecomData[[#This Row],[TenureMonths]]&lt;=36, "1-3 Years", TelecomData[[#This Row],[TenureMonths]]&gt;36, "3+ Years")</f>
        <v>1-3 Years</v>
      </c>
      <c r="N4075" s="2" t="str">
        <f>IF(TelecomData[[#This Row],[CleanedTotalCharges]]&gt;=2500,"High Spend", "Standard Spend")</f>
        <v>Standard Spend</v>
      </c>
    </row>
    <row r="4076" spans="1:14" x14ac:dyDescent="0.3">
      <c r="A4076" s="1" t="s">
        <v>4100</v>
      </c>
      <c r="B4076" s="2" t="s">
        <v>19</v>
      </c>
      <c r="C4076" s="2" t="s">
        <v>13</v>
      </c>
      <c r="D4076" s="2">
        <v>58</v>
      </c>
      <c r="E4076" s="2" t="s">
        <v>26</v>
      </c>
      <c r="F4076" s="2" t="s">
        <v>15</v>
      </c>
      <c r="G4076" s="7">
        <v>98.7</v>
      </c>
      <c r="H4076" s="7">
        <v>5812.6</v>
      </c>
      <c r="I4076" s="2" t="s">
        <v>16</v>
      </c>
      <c r="J4076" s="2" t="s">
        <v>16</v>
      </c>
      <c r="K4076" s="2" t="s">
        <v>17</v>
      </c>
      <c r="L4076" s="7">
        <v>5812.6</v>
      </c>
      <c r="M4076" s="2" t="str">
        <f>_xlfn.IFS(TelecomData[[#This Row],[TenureMonths]]&lt;=12, "0-1 Year", TelecomData[[#This Row],[TenureMonths]]&lt;=36, "1-3 Years", TelecomData[[#This Row],[TenureMonths]]&gt;36, "3+ Years")</f>
        <v>3+ Years</v>
      </c>
      <c r="N4076" s="2" t="str">
        <f>IF(TelecomData[[#This Row],[CleanedTotalCharges]]&gt;=2500,"High Spend", "Standard Spend")</f>
        <v>High Spend</v>
      </c>
    </row>
    <row r="4077" spans="1:14" x14ac:dyDescent="0.3">
      <c r="A4077" s="1" t="s">
        <v>4101</v>
      </c>
      <c r="B4077" s="2" t="s">
        <v>19</v>
      </c>
      <c r="C4077" s="2" t="s">
        <v>13</v>
      </c>
      <c r="D4077" s="2">
        <v>53</v>
      </c>
      <c r="E4077" s="2" t="s">
        <v>14</v>
      </c>
      <c r="F4077" s="2" t="s">
        <v>15</v>
      </c>
      <c r="G4077" s="7">
        <v>46.3</v>
      </c>
      <c r="H4077" s="7">
        <v>2546.85</v>
      </c>
      <c r="I4077" s="2" t="s">
        <v>15</v>
      </c>
      <c r="J4077" s="2" t="s">
        <v>16</v>
      </c>
      <c r="K4077" s="2" t="s">
        <v>24</v>
      </c>
      <c r="L4077" s="7">
        <v>2546.85</v>
      </c>
      <c r="M4077" s="2" t="str">
        <f>_xlfn.IFS(TelecomData[[#This Row],[TenureMonths]]&lt;=12, "0-1 Year", TelecomData[[#This Row],[TenureMonths]]&lt;=36, "1-3 Years", TelecomData[[#This Row],[TenureMonths]]&gt;36, "3+ Years")</f>
        <v>3+ Years</v>
      </c>
      <c r="N4077" s="2" t="str">
        <f>IF(TelecomData[[#This Row],[CleanedTotalCharges]]&gt;=2500,"High Spend", "Standard Spend")</f>
        <v>High Spend</v>
      </c>
    </row>
    <row r="4078" spans="1:14" x14ac:dyDescent="0.3">
      <c r="A4078" s="1" t="s">
        <v>4102</v>
      </c>
      <c r="B4078" s="2" t="s">
        <v>19</v>
      </c>
      <c r="C4078" s="2" t="s">
        <v>35</v>
      </c>
      <c r="D4078" s="2">
        <v>70</v>
      </c>
      <c r="E4078" s="2" t="s">
        <v>26</v>
      </c>
      <c r="F4078" s="2" t="s">
        <v>15</v>
      </c>
      <c r="G4078" s="7">
        <v>99.35</v>
      </c>
      <c r="H4078" s="7">
        <v>6944.5</v>
      </c>
      <c r="I4078" s="2" t="s">
        <v>15</v>
      </c>
      <c r="J4078" s="2" t="s">
        <v>16</v>
      </c>
      <c r="K4078" s="2" t="s">
        <v>29</v>
      </c>
      <c r="L4078" s="7">
        <v>6944.5</v>
      </c>
      <c r="M4078" s="2" t="str">
        <f>_xlfn.IFS(TelecomData[[#This Row],[TenureMonths]]&lt;=12, "0-1 Year", TelecomData[[#This Row],[TenureMonths]]&lt;=36, "1-3 Years", TelecomData[[#This Row],[TenureMonths]]&gt;36, "3+ Years")</f>
        <v>3+ Years</v>
      </c>
      <c r="N4078" s="2" t="str">
        <f>IF(TelecomData[[#This Row],[CleanedTotalCharges]]&gt;=2500,"High Spend", "Standard Spend")</f>
        <v>High Spend</v>
      </c>
    </row>
    <row r="4079" spans="1:14" x14ac:dyDescent="0.3">
      <c r="A4079" s="1" t="s">
        <v>4103</v>
      </c>
      <c r="B4079" s="2" t="s">
        <v>12</v>
      </c>
      <c r="C4079" s="2" t="s">
        <v>13</v>
      </c>
      <c r="D4079" s="2">
        <v>14</v>
      </c>
      <c r="E4079" s="2" t="s">
        <v>26</v>
      </c>
      <c r="F4079" s="2" t="s">
        <v>15</v>
      </c>
      <c r="G4079" s="7">
        <v>95.8</v>
      </c>
      <c r="H4079" s="7">
        <v>1346.3</v>
      </c>
      <c r="I4079" s="2" t="s">
        <v>15</v>
      </c>
      <c r="J4079" s="2" t="s">
        <v>16</v>
      </c>
      <c r="K4079" s="2" t="s">
        <v>17</v>
      </c>
      <c r="L4079" s="7">
        <v>1346.3</v>
      </c>
      <c r="M4079" s="2" t="str">
        <f>_xlfn.IFS(TelecomData[[#This Row],[TenureMonths]]&lt;=12, "0-1 Year", TelecomData[[#This Row],[TenureMonths]]&lt;=36, "1-3 Years", TelecomData[[#This Row],[TenureMonths]]&gt;36, "3+ Years")</f>
        <v>1-3 Years</v>
      </c>
      <c r="N4079" s="2" t="str">
        <f>IF(TelecomData[[#This Row],[CleanedTotalCharges]]&gt;=2500,"High Spend", "Standard Spend")</f>
        <v>Standard Spend</v>
      </c>
    </row>
    <row r="4080" spans="1:14" x14ac:dyDescent="0.3">
      <c r="A4080" s="1" t="s">
        <v>4104</v>
      </c>
      <c r="B4080" s="2" t="s">
        <v>19</v>
      </c>
      <c r="C4080" s="2" t="s">
        <v>20</v>
      </c>
      <c r="D4080" s="2">
        <v>22</v>
      </c>
      <c r="E4080" s="2" t="s">
        <v>14</v>
      </c>
      <c r="F4080" s="2" t="s">
        <v>16</v>
      </c>
      <c r="G4080" s="7">
        <v>67.5</v>
      </c>
      <c r="H4080" s="7">
        <v>1544.05</v>
      </c>
      <c r="I4080" s="2" t="s">
        <v>16</v>
      </c>
      <c r="J4080" s="2" t="s">
        <v>16</v>
      </c>
      <c r="K4080" s="2" t="s">
        <v>24</v>
      </c>
      <c r="L4080" s="7">
        <v>1544.05</v>
      </c>
      <c r="M4080" s="2" t="str">
        <f>_xlfn.IFS(TelecomData[[#This Row],[TenureMonths]]&lt;=12, "0-1 Year", TelecomData[[#This Row],[TenureMonths]]&lt;=36, "1-3 Years", TelecomData[[#This Row],[TenureMonths]]&gt;36, "3+ Years")</f>
        <v>1-3 Years</v>
      </c>
      <c r="N4080" s="2" t="str">
        <f>IF(TelecomData[[#This Row],[CleanedTotalCharges]]&gt;=2500,"High Spend", "Standard Spend")</f>
        <v>Standard Spend</v>
      </c>
    </row>
    <row r="4081" spans="1:14" x14ac:dyDescent="0.3">
      <c r="A4081" s="1" t="s">
        <v>4105</v>
      </c>
      <c r="B4081" s="2" t="s">
        <v>12</v>
      </c>
      <c r="C4081" s="2" t="s">
        <v>13</v>
      </c>
      <c r="D4081" s="2">
        <v>10</v>
      </c>
      <c r="E4081" s="2" t="s">
        <v>26</v>
      </c>
      <c r="F4081" s="2" t="s">
        <v>15</v>
      </c>
      <c r="G4081" s="7">
        <v>78.150000000000006</v>
      </c>
      <c r="H4081" s="7">
        <v>765.15</v>
      </c>
      <c r="I4081" s="2" t="s">
        <v>15</v>
      </c>
      <c r="J4081" s="2" t="s">
        <v>16</v>
      </c>
      <c r="K4081" s="2" t="s">
        <v>29</v>
      </c>
      <c r="L4081" s="7">
        <v>765.15</v>
      </c>
      <c r="M4081" s="2" t="str">
        <f>_xlfn.IFS(TelecomData[[#This Row],[TenureMonths]]&lt;=12, "0-1 Year", TelecomData[[#This Row],[TenureMonths]]&lt;=36, "1-3 Years", TelecomData[[#This Row],[TenureMonths]]&gt;36, "3+ Years")</f>
        <v>0-1 Year</v>
      </c>
      <c r="N4081" s="2" t="str">
        <f>IF(TelecomData[[#This Row],[CleanedTotalCharges]]&gt;=2500,"High Spend", "Standard Spend")</f>
        <v>Standard Spend</v>
      </c>
    </row>
    <row r="4082" spans="1:14" x14ac:dyDescent="0.3">
      <c r="A4082" s="1" t="s">
        <v>4106</v>
      </c>
      <c r="B4082" s="2" t="s">
        <v>12</v>
      </c>
      <c r="C4082" s="2" t="s">
        <v>35</v>
      </c>
      <c r="D4082" s="2">
        <v>29</v>
      </c>
      <c r="E4082" s="2" t="s">
        <v>15</v>
      </c>
      <c r="F4082" s="2" t="s">
        <v>36</v>
      </c>
      <c r="G4082" s="7">
        <v>26.1</v>
      </c>
      <c r="H4082" s="7">
        <v>692.55</v>
      </c>
      <c r="I4082" s="2" t="s">
        <v>15</v>
      </c>
      <c r="J4082" s="2" t="s">
        <v>15</v>
      </c>
      <c r="K4082" s="2" t="s">
        <v>21</v>
      </c>
      <c r="L4082" s="7">
        <v>692.55</v>
      </c>
      <c r="M4082" s="2" t="str">
        <f>_xlfn.IFS(TelecomData[[#This Row],[TenureMonths]]&lt;=12, "0-1 Year", TelecomData[[#This Row],[TenureMonths]]&lt;=36, "1-3 Years", TelecomData[[#This Row],[TenureMonths]]&gt;36, "3+ Years")</f>
        <v>1-3 Years</v>
      </c>
      <c r="N4082" s="2" t="str">
        <f>IF(TelecomData[[#This Row],[CleanedTotalCharges]]&gt;=2500,"High Spend", "Standard Spend")</f>
        <v>Standard Spend</v>
      </c>
    </row>
    <row r="4083" spans="1:14" x14ac:dyDescent="0.3">
      <c r="A4083" s="1" t="s">
        <v>4107</v>
      </c>
      <c r="B4083" s="2" t="s">
        <v>12</v>
      </c>
      <c r="C4083" s="2" t="s">
        <v>13</v>
      </c>
      <c r="D4083" s="2">
        <v>1</v>
      </c>
      <c r="E4083" s="2" t="s">
        <v>26</v>
      </c>
      <c r="F4083" s="2" t="s">
        <v>15</v>
      </c>
      <c r="G4083" s="7">
        <v>69.599999999999994</v>
      </c>
      <c r="H4083" s="7">
        <v>69.599999999999994</v>
      </c>
      <c r="I4083" s="2" t="s">
        <v>16</v>
      </c>
      <c r="J4083" s="2" t="s">
        <v>16</v>
      </c>
      <c r="K4083" s="2" t="s">
        <v>17</v>
      </c>
      <c r="L4083" s="7">
        <v>69.599999999999994</v>
      </c>
      <c r="M4083" s="2" t="str">
        <f>_xlfn.IFS(TelecomData[[#This Row],[TenureMonths]]&lt;=12, "0-1 Year", TelecomData[[#This Row],[TenureMonths]]&lt;=36, "1-3 Years", TelecomData[[#This Row],[TenureMonths]]&gt;36, "3+ Years")</f>
        <v>0-1 Year</v>
      </c>
      <c r="N4083" s="2" t="str">
        <f>IF(TelecomData[[#This Row],[CleanedTotalCharges]]&gt;=2500,"High Spend", "Standard Spend")</f>
        <v>Standard Spend</v>
      </c>
    </row>
    <row r="4084" spans="1:14" x14ac:dyDescent="0.3">
      <c r="A4084" s="1" t="s">
        <v>4108</v>
      </c>
      <c r="B4084" s="2" t="s">
        <v>19</v>
      </c>
      <c r="C4084" s="2" t="s">
        <v>20</v>
      </c>
      <c r="D4084" s="2">
        <v>49</v>
      </c>
      <c r="E4084" s="2" t="s">
        <v>14</v>
      </c>
      <c r="F4084" s="2" t="s">
        <v>16</v>
      </c>
      <c r="G4084" s="7">
        <v>84.35</v>
      </c>
      <c r="H4084" s="7">
        <v>4059.35</v>
      </c>
      <c r="I4084" s="2" t="s">
        <v>16</v>
      </c>
      <c r="J4084" s="2" t="s">
        <v>15</v>
      </c>
      <c r="K4084" s="2" t="s">
        <v>17</v>
      </c>
      <c r="L4084" s="7">
        <v>4059.35</v>
      </c>
      <c r="M4084" s="2" t="str">
        <f>_xlfn.IFS(TelecomData[[#This Row],[TenureMonths]]&lt;=12, "0-1 Year", TelecomData[[#This Row],[TenureMonths]]&lt;=36, "1-3 Years", TelecomData[[#This Row],[TenureMonths]]&gt;36, "3+ Years")</f>
        <v>3+ Years</v>
      </c>
      <c r="N4084" s="2" t="str">
        <f>IF(TelecomData[[#This Row],[CleanedTotalCharges]]&gt;=2500,"High Spend", "Standard Spend")</f>
        <v>High Spend</v>
      </c>
    </row>
    <row r="4085" spans="1:14" x14ac:dyDescent="0.3">
      <c r="A4085" s="1" t="s">
        <v>4109</v>
      </c>
      <c r="B4085" s="2" t="s">
        <v>12</v>
      </c>
      <c r="C4085" s="2" t="s">
        <v>13</v>
      </c>
      <c r="D4085" s="2">
        <v>68</v>
      </c>
      <c r="E4085" s="2" t="s">
        <v>26</v>
      </c>
      <c r="F4085" s="2" t="s">
        <v>15</v>
      </c>
      <c r="G4085" s="7">
        <v>100.2</v>
      </c>
      <c r="H4085" s="7">
        <v>6851.65</v>
      </c>
      <c r="I4085" s="2" t="s">
        <v>16</v>
      </c>
      <c r="J4085" s="2" t="s">
        <v>16</v>
      </c>
      <c r="K4085" s="2" t="s">
        <v>17</v>
      </c>
      <c r="L4085" s="7">
        <v>6851.65</v>
      </c>
      <c r="M4085" s="2" t="str">
        <f>_xlfn.IFS(TelecomData[[#This Row],[TenureMonths]]&lt;=12, "0-1 Year", TelecomData[[#This Row],[TenureMonths]]&lt;=36, "1-3 Years", TelecomData[[#This Row],[TenureMonths]]&gt;36, "3+ Years")</f>
        <v>3+ Years</v>
      </c>
      <c r="N4085" s="2" t="str">
        <f>IF(TelecomData[[#This Row],[CleanedTotalCharges]]&gt;=2500,"High Spend", "Standard Spend")</f>
        <v>High Spend</v>
      </c>
    </row>
    <row r="4086" spans="1:14" x14ac:dyDescent="0.3">
      <c r="A4086" s="1" t="s">
        <v>4110</v>
      </c>
      <c r="B4086" s="2" t="s">
        <v>12</v>
      </c>
      <c r="C4086" s="2" t="s">
        <v>13</v>
      </c>
      <c r="D4086" s="2">
        <v>1</v>
      </c>
      <c r="E4086" s="2" t="s">
        <v>26</v>
      </c>
      <c r="F4086" s="2" t="s">
        <v>15</v>
      </c>
      <c r="G4086" s="7">
        <v>78.05</v>
      </c>
      <c r="H4086" s="7">
        <v>78.05</v>
      </c>
      <c r="I4086" s="2" t="s">
        <v>16</v>
      </c>
      <c r="J4086" s="2" t="s">
        <v>15</v>
      </c>
      <c r="K4086" s="2" t="s">
        <v>17</v>
      </c>
      <c r="L4086" s="7">
        <v>78.05</v>
      </c>
      <c r="M4086" s="2" t="str">
        <f>_xlfn.IFS(TelecomData[[#This Row],[TenureMonths]]&lt;=12, "0-1 Year", TelecomData[[#This Row],[TenureMonths]]&lt;=36, "1-3 Years", TelecomData[[#This Row],[TenureMonths]]&gt;36, "3+ Years")</f>
        <v>0-1 Year</v>
      </c>
      <c r="N4086" s="2" t="str">
        <f>IF(TelecomData[[#This Row],[CleanedTotalCharges]]&gt;=2500,"High Spend", "Standard Spend")</f>
        <v>Standard Spend</v>
      </c>
    </row>
    <row r="4087" spans="1:14" x14ac:dyDescent="0.3">
      <c r="A4087" s="1" t="s">
        <v>4111</v>
      </c>
      <c r="B4087" s="2" t="s">
        <v>12</v>
      </c>
      <c r="C4087" s="2" t="s">
        <v>20</v>
      </c>
      <c r="D4087" s="2">
        <v>30</v>
      </c>
      <c r="E4087" s="2" t="s">
        <v>14</v>
      </c>
      <c r="F4087" s="2" t="s">
        <v>16</v>
      </c>
      <c r="G4087" s="7">
        <v>40.35</v>
      </c>
      <c r="H4087" s="7">
        <v>1187.05</v>
      </c>
      <c r="I4087" s="2" t="s">
        <v>15</v>
      </c>
      <c r="J4087" s="2" t="s">
        <v>16</v>
      </c>
      <c r="K4087" s="2" t="s">
        <v>29</v>
      </c>
      <c r="L4087" s="7">
        <v>1187.05</v>
      </c>
      <c r="M4087" s="2" t="str">
        <f>_xlfn.IFS(TelecomData[[#This Row],[TenureMonths]]&lt;=12, "0-1 Year", TelecomData[[#This Row],[TenureMonths]]&lt;=36, "1-3 Years", TelecomData[[#This Row],[TenureMonths]]&gt;36, "3+ Years")</f>
        <v>1-3 Years</v>
      </c>
      <c r="N4087" s="2" t="str">
        <f>IF(TelecomData[[#This Row],[CleanedTotalCharges]]&gt;=2500,"High Spend", "Standard Spend")</f>
        <v>Standard Spend</v>
      </c>
    </row>
    <row r="4088" spans="1:14" x14ac:dyDescent="0.3">
      <c r="A4088" s="1" t="s">
        <v>4112</v>
      </c>
      <c r="B4088" s="2" t="s">
        <v>12</v>
      </c>
      <c r="C4088" s="2" t="s">
        <v>35</v>
      </c>
      <c r="D4088" s="2">
        <v>72</v>
      </c>
      <c r="E4088" s="2" t="s">
        <v>14</v>
      </c>
      <c r="F4088" s="2" t="s">
        <v>16</v>
      </c>
      <c r="G4088" s="7">
        <v>79.2</v>
      </c>
      <c r="H4088" s="7">
        <v>5401.9</v>
      </c>
      <c r="I4088" s="2" t="s">
        <v>15</v>
      </c>
      <c r="J4088" s="2" t="s">
        <v>15</v>
      </c>
      <c r="K4088" s="2" t="s">
        <v>29</v>
      </c>
      <c r="L4088" s="7">
        <v>5401.9</v>
      </c>
      <c r="M4088" s="2" t="str">
        <f>_xlfn.IFS(TelecomData[[#This Row],[TenureMonths]]&lt;=12, "0-1 Year", TelecomData[[#This Row],[TenureMonths]]&lt;=36, "1-3 Years", TelecomData[[#This Row],[TenureMonths]]&gt;36, "3+ Years")</f>
        <v>3+ Years</v>
      </c>
      <c r="N4088" s="2" t="str">
        <f>IF(TelecomData[[#This Row],[CleanedTotalCharges]]&gt;=2500,"High Spend", "Standard Spend")</f>
        <v>High Spend</v>
      </c>
    </row>
    <row r="4089" spans="1:14" x14ac:dyDescent="0.3">
      <c r="A4089" s="1" t="s">
        <v>4113</v>
      </c>
      <c r="B4089" s="2" t="s">
        <v>12</v>
      </c>
      <c r="C4089" s="2" t="s">
        <v>13</v>
      </c>
      <c r="D4089" s="2">
        <v>10</v>
      </c>
      <c r="E4089" s="2" t="s">
        <v>15</v>
      </c>
      <c r="F4089" s="2" t="s">
        <v>36</v>
      </c>
      <c r="G4089" s="7">
        <v>20.9</v>
      </c>
      <c r="H4089" s="7">
        <v>247</v>
      </c>
      <c r="I4089" s="2" t="s">
        <v>15</v>
      </c>
      <c r="J4089" s="2" t="s">
        <v>16</v>
      </c>
      <c r="K4089" s="2" t="s">
        <v>21</v>
      </c>
      <c r="L4089" s="7">
        <v>247</v>
      </c>
      <c r="M4089" s="2" t="str">
        <f>_xlfn.IFS(TelecomData[[#This Row],[TenureMonths]]&lt;=12, "0-1 Year", TelecomData[[#This Row],[TenureMonths]]&lt;=36, "1-3 Years", TelecomData[[#This Row],[TenureMonths]]&gt;36, "3+ Years")</f>
        <v>0-1 Year</v>
      </c>
      <c r="N4089" s="2" t="str">
        <f>IF(TelecomData[[#This Row],[CleanedTotalCharges]]&gt;=2500,"High Spend", "Standard Spend")</f>
        <v>Standard Spend</v>
      </c>
    </row>
    <row r="4090" spans="1:14" x14ac:dyDescent="0.3">
      <c r="A4090" s="1" t="s">
        <v>4114</v>
      </c>
      <c r="B4090" s="2" t="s">
        <v>19</v>
      </c>
      <c r="C4090" s="2" t="s">
        <v>13</v>
      </c>
      <c r="D4090" s="2">
        <v>7</v>
      </c>
      <c r="E4090" s="2" t="s">
        <v>26</v>
      </c>
      <c r="F4090" s="2" t="s">
        <v>15</v>
      </c>
      <c r="G4090" s="7">
        <v>73.599999999999994</v>
      </c>
      <c r="H4090" s="7">
        <v>520</v>
      </c>
      <c r="I4090" s="2" t="s">
        <v>16</v>
      </c>
      <c r="J4090" s="2" t="s">
        <v>15</v>
      </c>
      <c r="K4090" s="2" t="s">
        <v>17</v>
      </c>
      <c r="L4090" s="7">
        <v>520</v>
      </c>
      <c r="M4090" s="2" t="str">
        <f>_xlfn.IFS(TelecomData[[#This Row],[TenureMonths]]&lt;=12, "0-1 Year", TelecomData[[#This Row],[TenureMonths]]&lt;=36, "1-3 Years", TelecomData[[#This Row],[TenureMonths]]&gt;36, "3+ Years")</f>
        <v>0-1 Year</v>
      </c>
      <c r="N4090" s="2" t="str">
        <f>IF(TelecomData[[#This Row],[CleanedTotalCharges]]&gt;=2500,"High Spend", "Standard Spend")</f>
        <v>Standard Spend</v>
      </c>
    </row>
    <row r="4091" spans="1:14" x14ac:dyDescent="0.3">
      <c r="A4091" s="1" t="s">
        <v>4115</v>
      </c>
      <c r="B4091" s="2" t="s">
        <v>12</v>
      </c>
      <c r="C4091" s="2" t="s">
        <v>13</v>
      </c>
      <c r="D4091" s="2">
        <v>9</v>
      </c>
      <c r="E4091" s="2" t="s">
        <v>26</v>
      </c>
      <c r="F4091" s="2" t="s">
        <v>15</v>
      </c>
      <c r="G4091" s="7">
        <v>74.75</v>
      </c>
      <c r="H4091" s="7">
        <v>706.6</v>
      </c>
      <c r="I4091" s="2" t="s">
        <v>16</v>
      </c>
      <c r="J4091" s="2" t="s">
        <v>16</v>
      </c>
      <c r="K4091" s="2" t="s">
        <v>17</v>
      </c>
      <c r="L4091" s="7">
        <v>706.6</v>
      </c>
      <c r="M4091" s="2" t="str">
        <f>_xlfn.IFS(TelecomData[[#This Row],[TenureMonths]]&lt;=12, "0-1 Year", TelecomData[[#This Row],[TenureMonths]]&lt;=36, "1-3 Years", TelecomData[[#This Row],[TenureMonths]]&gt;36, "3+ Years")</f>
        <v>0-1 Year</v>
      </c>
      <c r="N4091" s="2" t="str">
        <f>IF(TelecomData[[#This Row],[CleanedTotalCharges]]&gt;=2500,"High Spend", "Standard Spend")</f>
        <v>Standard Spend</v>
      </c>
    </row>
    <row r="4092" spans="1:14" x14ac:dyDescent="0.3">
      <c r="A4092" s="1" t="s">
        <v>4116</v>
      </c>
      <c r="B4092" s="2" t="s">
        <v>12</v>
      </c>
      <c r="C4092" s="2" t="s">
        <v>13</v>
      </c>
      <c r="D4092" s="2">
        <v>1</v>
      </c>
      <c r="E4092" s="2" t="s">
        <v>14</v>
      </c>
      <c r="F4092" s="2" t="s">
        <v>15</v>
      </c>
      <c r="G4092" s="7">
        <v>49.9</v>
      </c>
      <c r="H4092" s="7">
        <v>49.9</v>
      </c>
      <c r="I4092" s="2" t="s">
        <v>15</v>
      </c>
      <c r="J4092" s="2" t="s">
        <v>15</v>
      </c>
      <c r="K4092" s="2" t="s">
        <v>21</v>
      </c>
      <c r="L4092" s="7">
        <v>49.9</v>
      </c>
      <c r="M4092" s="2" t="str">
        <f>_xlfn.IFS(TelecomData[[#This Row],[TenureMonths]]&lt;=12, "0-1 Year", TelecomData[[#This Row],[TenureMonths]]&lt;=36, "1-3 Years", TelecomData[[#This Row],[TenureMonths]]&gt;36, "3+ Years")</f>
        <v>0-1 Year</v>
      </c>
      <c r="N4092" s="2" t="str">
        <f>IF(TelecomData[[#This Row],[CleanedTotalCharges]]&gt;=2500,"High Spend", "Standard Spend")</f>
        <v>Standard Spend</v>
      </c>
    </row>
    <row r="4093" spans="1:14" x14ac:dyDescent="0.3">
      <c r="A4093" s="1" t="s">
        <v>4117</v>
      </c>
      <c r="B4093" s="2" t="s">
        <v>12</v>
      </c>
      <c r="C4093" s="2" t="s">
        <v>13</v>
      </c>
      <c r="D4093" s="2">
        <v>20</v>
      </c>
      <c r="E4093" s="2" t="s">
        <v>14</v>
      </c>
      <c r="F4093" s="2" t="s">
        <v>16</v>
      </c>
      <c r="G4093" s="7">
        <v>68.900000000000006</v>
      </c>
      <c r="H4093" s="7">
        <v>1370.35</v>
      </c>
      <c r="I4093" s="2" t="s">
        <v>15</v>
      </c>
      <c r="J4093" s="2" t="s">
        <v>16</v>
      </c>
      <c r="K4093" s="2" t="s">
        <v>29</v>
      </c>
      <c r="L4093" s="7">
        <v>1370.35</v>
      </c>
      <c r="M4093" s="2" t="str">
        <f>_xlfn.IFS(TelecomData[[#This Row],[TenureMonths]]&lt;=12, "0-1 Year", TelecomData[[#This Row],[TenureMonths]]&lt;=36, "1-3 Years", TelecomData[[#This Row],[TenureMonths]]&gt;36, "3+ Years")</f>
        <v>1-3 Years</v>
      </c>
      <c r="N4093" s="2" t="str">
        <f>IF(TelecomData[[#This Row],[CleanedTotalCharges]]&gt;=2500,"High Spend", "Standard Spend")</f>
        <v>Standard Spend</v>
      </c>
    </row>
    <row r="4094" spans="1:14" x14ac:dyDescent="0.3">
      <c r="A4094" s="1" t="s">
        <v>4118</v>
      </c>
      <c r="B4094" s="2" t="s">
        <v>12</v>
      </c>
      <c r="C4094" s="2" t="s">
        <v>13</v>
      </c>
      <c r="D4094" s="2">
        <v>1</v>
      </c>
      <c r="E4094" s="2" t="s">
        <v>15</v>
      </c>
      <c r="F4094" s="2" t="s">
        <v>36</v>
      </c>
      <c r="G4094" s="7">
        <v>20.25</v>
      </c>
      <c r="H4094" s="7">
        <v>20.25</v>
      </c>
      <c r="I4094" s="2" t="s">
        <v>15</v>
      </c>
      <c r="J4094" s="2" t="s">
        <v>16</v>
      </c>
      <c r="K4094" s="2" t="s">
        <v>21</v>
      </c>
      <c r="L4094" s="7">
        <v>20.25</v>
      </c>
      <c r="M4094" s="2" t="str">
        <f>_xlfn.IFS(TelecomData[[#This Row],[TenureMonths]]&lt;=12, "0-1 Year", TelecomData[[#This Row],[TenureMonths]]&lt;=36, "1-3 Years", TelecomData[[#This Row],[TenureMonths]]&gt;36, "3+ Years")</f>
        <v>0-1 Year</v>
      </c>
      <c r="N4094" s="2" t="str">
        <f>IF(TelecomData[[#This Row],[CleanedTotalCharges]]&gt;=2500,"High Spend", "Standard Spend")</f>
        <v>Standard Spend</v>
      </c>
    </row>
    <row r="4095" spans="1:14" x14ac:dyDescent="0.3">
      <c r="A4095" s="1" t="s">
        <v>4119</v>
      </c>
      <c r="B4095" s="2" t="s">
        <v>12</v>
      </c>
      <c r="C4095" s="2" t="s">
        <v>13</v>
      </c>
      <c r="D4095" s="2">
        <v>29</v>
      </c>
      <c r="E4095" s="2" t="s">
        <v>26</v>
      </c>
      <c r="F4095" s="2" t="s">
        <v>15</v>
      </c>
      <c r="G4095" s="7">
        <v>76</v>
      </c>
      <c r="H4095" s="7">
        <v>2215.25</v>
      </c>
      <c r="I4095" s="2" t="s">
        <v>15</v>
      </c>
      <c r="J4095" s="2" t="s">
        <v>16</v>
      </c>
      <c r="K4095" s="2" t="s">
        <v>29</v>
      </c>
      <c r="L4095" s="7">
        <v>2215.25</v>
      </c>
      <c r="M4095" s="2" t="str">
        <f>_xlfn.IFS(TelecomData[[#This Row],[TenureMonths]]&lt;=12, "0-1 Year", TelecomData[[#This Row],[TenureMonths]]&lt;=36, "1-3 Years", TelecomData[[#This Row],[TenureMonths]]&gt;36, "3+ Years")</f>
        <v>1-3 Years</v>
      </c>
      <c r="N4095" s="2" t="str">
        <f>IF(TelecomData[[#This Row],[CleanedTotalCharges]]&gt;=2500,"High Spend", "Standard Spend")</f>
        <v>Standard Spend</v>
      </c>
    </row>
    <row r="4096" spans="1:14" x14ac:dyDescent="0.3">
      <c r="A4096" s="1" t="s">
        <v>4120</v>
      </c>
      <c r="B4096" s="2" t="s">
        <v>19</v>
      </c>
      <c r="C4096" s="2" t="s">
        <v>13</v>
      </c>
      <c r="D4096" s="2">
        <v>1</v>
      </c>
      <c r="E4096" s="2" t="s">
        <v>26</v>
      </c>
      <c r="F4096" s="2" t="s">
        <v>16</v>
      </c>
      <c r="G4096" s="7">
        <v>74</v>
      </c>
      <c r="H4096" s="7">
        <v>74</v>
      </c>
      <c r="I4096" s="2" t="s">
        <v>15</v>
      </c>
      <c r="J4096" s="2" t="s">
        <v>15</v>
      </c>
      <c r="K4096" s="2" t="s">
        <v>17</v>
      </c>
      <c r="L4096" s="7">
        <v>74</v>
      </c>
      <c r="M4096" s="2" t="str">
        <f>_xlfn.IFS(TelecomData[[#This Row],[TenureMonths]]&lt;=12, "0-1 Year", TelecomData[[#This Row],[TenureMonths]]&lt;=36, "1-3 Years", TelecomData[[#This Row],[TenureMonths]]&gt;36, "3+ Years")</f>
        <v>0-1 Year</v>
      </c>
      <c r="N4096" s="2" t="str">
        <f>IF(TelecomData[[#This Row],[CleanedTotalCharges]]&gt;=2500,"High Spend", "Standard Spend")</f>
        <v>Standard Spend</v>
      </c>
    </row>
    <row r="4097" spans="1:14" x14ac:dyDescent="0.3">
      <c r="A4097" s="1" t="s">
        <v>4121</v>
      </c>
      <c r="B4097" s="2" t="s">
        <v>19</v>
      </c>
      <c r="C4097" s="2" t="s">
        <v>13</v>
      </c>
      <c r="D4097" s="2">
        <v>3</v>
      </c>
      <c r="E4097" s="2" t="s">
        <v>26</v>
      </c>
      <c r="F4097" s="2" t="s">
        <v>16</v>
      </c>
      <c r="G4097" s="7">
        <v>82.3</v>
      </c>
      <c r="H4097" s="7">
        <v>214.4</v>
      </c>
      <c r="I4097" s="2" t="s">
        <v>15</v>
      </c>
      <c r="J4097" s="2" t="s">
        <v>16</v>
      </c>
      <c r="K4097" s="2" t="s">
        <v>21</v>
      </c>
      <c r="L4097" s="7">
        <v>214.4</v>
      </c>
      <c r="M4097" s="2" t="str">
        <f>_xlfn.IFS(TelecomData[[#This Row],[TenureMonths]]&lt;=12, "0-1 Year", TelecomData[[#This Row],[TenureMonths]]&lt;=36, "1-3 Years", TelecomData[[#This Row],[TenureMonths]]&gt;36, "3+ Years")</f>
        <v>0-1 Year</v>
      </c>
      <c r="N4097" s="2" t="str">
        <f>IF(TelecomData[[#This Row],[CleanedTotalCharges]]&gt;=2500,"High Spend", "Standard Spend")</f>
        <v>Standard Spend</v>
      </c>
    </row>
    <row r="4098" spans="1:14" x14ac:dyDescent="0.3">
      <c r="A4098" s="1" t="s">
        <v>4122</v>
      </c>
      <c r="B4098" s="2" t="s">
        <v>12</v>
      </c>
      <c r="C4098" s="2" t="s">
        <v>13</v>
      </c>
      <c r="D4098" s="2">
        <v>20</v>
      </c>
      <c r="E4098" s="2" t="s">
        <v>26</v>
      </c>
      <c r="F4098" s="2" t="s">
        <v>15</v>
      </c>
      <c r="G4098" s="7">
        <v>89.4</v>
      </c>
      <c r="H4098" s="7">
        <v>1871.15</v>
      </c>
      <c r="I4098" s="2" t="s">
        <v>15</v>
      </c>
      <c r="J4098" s="2" t="s">
        <v>16</v>
      </c>
      <c r="K4098" s="2" t="s">
        <v>24</v>
      </c>
      <c r="L4098" s="7">
        <v>1871.15</v>
      </c>
      <c r="M4098" s="2" t="str">
        <f>_xlfn.IFS(TelecomData[[#This Row],[TenureMonths]]&lt;=12, "0-1 Year", TelecomData[[#This Row],[TenureMonths]]&lt;=36, "1-3 Years", TelecomData[[#This Row],[TenureMonths]]&gt;36, "3+ Years")</f>
        <v>1-3 Years</v>
      </c>
      <c r="N4098" s="2" t="str">
        <f>IF(TelecomData[[#This Row],[CleanedTotalCharges]]&gt;=2500,"High Spend", "Standard Spend")</f>
        <v>Standard Spend</v>
      </c>
    </row>
    <row r="4099" spans="1:14" x14ac:dyDescent="0.3">
      <c r="A4099" s="1" t="s">
        <v>4123</v>
      </c>
      <c r="B4099" s="2" t="s">
        <v>19</v>
      </c>
      <c r="C4099" s="2" t="s">
        <v>13</v>
      </c>
      <c r="D4099" s="2">
        <v>64</v>
      </c>
      <c r="E4099" s="2" t="s">
        <v>26</v>
      </c>
      <c r="F4099" s="2" t="s">
        <v>16</v>
      </c>
      <c r="G4099" s="7">
        <v>99.15</v>
      </c>
      <c r="H4099" s="7">
        <v>6171.2</v>
      </c>
      <c r="I4099" s="2" t="s">
        <v>15</v>
      </c>
      <c r="J4099" s="2" t="s">
        <v>16</v>
      </c>
      <c r="K4099" s="2" t="s">
        <v>29</v>
      </c>
      <c r="L4099" s="7">
        <v>6171.2</v>
      </c>
      <c r="M4099" s="2" t="str">
        <f>_xlfn.IFS(TelecomData[[#This Row],[TenureMonths]]&lt;=12, "0-1 Year", TelecomData[[#This Row],[TenureMonths]]&lt;=36, "1-3 Years", TelecomData[[#This Row],[TenureMonths]]&gt;36, "3+ Years")</f>
        <v>3+ Years</v>
      </c>
      <c r="N4099" s="2" t="str">
        <f>IF(TelecomData[[#This Row],[CleanedTotalCharges]]&gt;=2500,"High Spend", "Standard Spend")</f>
        <v>High Spend</v>
      </c>
    </row>
    <row r="4100" spans="1:14" x14ac:dyDescent="0.3">
      <c r="A4100" s="1" t="s">
        <v>4124</v>
      </c>
      <c r="B4100" s="2" t="s">
        <v>19</v>
      </c>
      <c r="C4100" s="2" t="s">
        <v>13</v>
      </c>
      <c r="D4100" s="2">
        <v>1</v>
      </c>
      <c r="E4100" s="2" t="s">
        <v>15</v>
      </c>
      <c r="F4100" s="2" t="s">
        <v>36</v>
      </c>
      <c r="G4100" s="7">
        <v>20.2</v>
      </c>
      <c r="H4100" s="7">
        <v>20.2</v>
      </c>
      <c r="I4100" s="2" t="s">
        <v>16</v>
      </c>
      <c r="J4100" s="2" t="s">
        <v>16</v>
      </c>
      <c r="K4100" s="2" t="s">
        <v>21</v>
      </c>
      <c r="L4100" s="7">
        <v>20.2</v>
      </c>
      <c r="M4100" s="2" t="str">
        <f>_xlfn.IFS(TelecomData[[#This Row],[TenureMonths]]&lt;=12, "0-1 Year", TelecomData[[#This Row],[TenureMonths]]&lt;=36, "1-3 Years", TelecomData[[#This Row],[TenureMonths]]&gt;36, "3+ Years")</f>
        <v>0-1 Year</v>
      </c>
      <c r="N4100" s="2" t="str">
        <f>IF(TelecomData[[#This Row],[CleanedTotalCharges]]&gt;=2500,"High Spend", "Standard Spend")</f>
        <v>Standard Spend</v>
      </c>
    </row>
    <row r="4101" spans="1:14" x14ac:dyDescent="0.3">
      <c r="A4101" s="1" t="s">
        <v>4125</v>
      </c>
      <c r="B4101" s="2" t="s">
        <v>12</v>
      </c>
      <c r="C4101" s="2" t="s">
        <v>13</v>
      </c>
      <c r="D4101" s="2">
        <v>6</v>
      </c>
      <c r="E4101" s="2" t="s">
        <v>14</v>
      </c>
      <c r="F4101" s="2" t="s">
        <v>15</v>
      </c>
      <c r="G4101" s="7">
        <v>29.45</v>
      </c>
      <c r="H4101" s="7">
        <v>161.44999999999999</v>
      </c>
      <c r="I4101" s="2" t="s">
        <v>15</v>
      </c>
      <c r="J4101" s="2" t="s">
        <v>15</v>
      </c>
      <c r="K4101" s="2" t="s">
        <v>24</v>
      </c>
      <c r="L4101" s="7">
        <v>161.44999999999999</v>
      </c>
      <c r="M4101" s="2" t="str">
        <f>_xlfn.IFS(TelecomData[[#This Row],[TenureMonths]]&lt;=12, "0-1 Year", TelecomData[[#This Row],[TenureMonths]]&lt;=36, "1-3 Years", TelecomData[[#This Row],[TenureMonths]]&gt;36, "3+ Years")</f>
        <v>0-1 Year</v>
      </c>
      <c r="N4101" s="2" t="str">
        <f>IF(TelecomData[[#This Row],[CleanedTotalCharges]]&gt;=2500,"High Spend", "Standard Spend")</f>
        <v>Standard Spend</v>
      </c>
    </row>
    <row r="4102" spans="1:14" x14ac:dyDescent="0.3">
      <c r="A4102" s="1" t="s">
        <v>4126</v>
      </c>
      <c r="B4102" s="2" t="s">
        <v>19</v>
      </c>
      <c r="C4102" s="2" t="s">
        <v>35</v>
      </c>
      <c r="D4102" s="2">
        <v>50</v>
      </c>
      <c r="E4102" s="2" t="s">
        <v>15</v>
      </c>
      <c r="F4102" s="2" t="s">
        <v>36</v>
      </c>
      <c r="G4102" s="7">
        <v>19.8</v>
      </c>
      <c r="H4102" s="7">
        <v>1013.2</v>
      </c>
      <c r="I4102" s="2" t="s">
        <v>15</v>
      </c>
      <c r="J4102" s="2" t="s">
        <v>15</v>
      </c>
      <c r="K4102" s="2" t="s">
        <v>17</v>
      </c>
      <c r="L4102" s="7">
        <v>1013.2</v>
      </c>
      <c r="M4102" s="2" t="str">
        <f>_xlfn.IFS(TelecomData[[#This Row],[TenureMonths]]&lt;=12, "0-1 Year", TelecomData[[#This Row],[TenureMonths]]&lt;=36, "1-3 Years", TelecomData[[#This Row],[TenureMonths]]&gt;36, "3+ Years")</f>
        <v>3+ Years</v>
      </c>
      <c r="N4102" s="2" t="str">
        <f>IF(TelecomData[[#This Row],[CleanedTotalCharges]]&gt;=2500,"High Spend", "Standard Spend")</f>
        <v>Standard Spend</v>
      </c>
    </row>
    <row r="4103" spans="1:14" x14ac:dyDescent="0.3">
      <c r="A4103" s="1" t="s">
        <v>4127</v>
      </c>
      <c r="B4103" s="2" t="s">
        <v>19</v>
      </c>
      <c r="C4103" s="2" t="s">
        <v>13</v>
      </c>
      <c r="D4103" s="2">
        <v>6</v>
      </c>
      <c r="E4103" s="2" t="s">
        <v>14</v>
      </c>
      <c r="F4103" s="2" t="s">
        <v>15</v>
      </c>
      <c r="G4103" s="7">
        <v>59.15</v>
      </c>
      <c r="H4103" s="7">
        <v>336.7</v>
      </c>
      <c r="I4103" s="2" t="s">
        <v>15</v>
      </c>
      <c r="J4103" s="2" t="s">
        <v>16</v>
      </c>
      <c r="K4103" s="2" t="s">
        <v>24</v>
      </c>
      <c r="L4103" s="7">
        <v>336.7</v>
      </c>
      <c r="M4103" s="2" t="str">
        <f>_xlfn.IFS(TelecomData[[#This Row],[TenureMonths]]&lt;=12, "0-1 Year", TelecomData[[#This Row],[TenureMonths]]&lt;=36, "1-3 Years", TelecomData[[#This Row],[TenureMonths]]&gt;36, "3+ Years")</f>
        <v>0-1 Year</v>
      </c>
      <c r="N4103" s="2" t="str">
        <f>IF(TelecomData[[#This Row],[CleanedTotalCharges]]&gt;=2500,"High Spend", "Standard Spend")</f>
        <v>Standard Spend</v>
      </c>
    </row>
    <row r="4104" spans="1:14" x14ac:dyDescent="0.3">
      <c r="A4104" s="1" t="s">
        <v>4128</v>
      </c>
      <c r="B4104" s="2" t="s">
        <v>19</v>
      </c>
      <c r="C4104" s="2" t="s">
        <v>13</v>
      </c>
      <c r="D4104" s="2">
        <v>7</v>
      </c>
      <c r="E4104" s="2" t="s">
        <v>14</v>
      </c>
      <c r="F4104" s="2" t="s">
        <v>15</v>
      </c>
      <c r="G4104" s="7">
        <v>44.75</v>
      </c>
      <c r="H4104" s="7">
        <v>333.65</v>
      </c>
      <c r="I4104" s="2" t="s">
        <v>15</v>
      </c>
      <c r="J4104" s="2" t="s">
        <v>15</v>
      </c>
      <c r="K4104" s="2" t="s">
        <v>17</v>
      </c>
      <c r="L4104" s="7">
        <v>333.65</v>
      </c>
      <c r="M4104" s="2" t="str">
        <f>_xlfn.IFS(TelecomData[[#This Row],[TenureMonths]]&lt;=12, "0-1 Year", TelecomData[[#This Row],[TenureMonths]]&lt;=36, "1-3 Years", TelecomData[[#This Row],[TenureMonths]]&gt;36, "3+ Years")</f>
        <v>0-1 Year</v>
      </c>
      <c r="N4104" s="2" t="str">
        <f>IF(TelecomData[[#This Row],[CleanedTotalCharges]]&gt;=2500,"High Spend", "Standard Spend")</f>
        <v>Standard Spend</v>
      </c>
    </row>
    <row r="4105" spans="1:14" x14ac:dyDescent="0.3">
      <c r="A4105" s="1" t="s">
        <v>4129</v>
      </c>
      <c r="B4105" s="2" t="s">
        <v>19</v>
      </c>
      <c r="C4105" s="2" t="s">
        <v>35</v>
      </c>
      <c r="D4105" s="2">
        <v>72</v>
      </c>
      <c r="E4105" s="2" t="s">
        <v>26</v>
      </c>
      <c r="F4105" s="2" t="s">
        <v>15</v>
      </c>
      <c r="G4105" s="7">
        <v>90.8</v>
      </c>
      <c r="H4105" s="7">
        <v>6511.8</v>
      </c>
      <c r="I4105" s="2" t="s">
        <v>15</v>
      </c>
      <c r="J4105" s="2" t="s">
        <v>16</v>
      </c>
      <c r="K4105" s="2" t="s">
        <v>29</v>
      </c>
      <c r="L4105" s="7">
        <v>6511.8</v>
      </c>
      <c r="M4105" s="2" t="str">
        <f>_xlfn.IFS(TelecomData[[#This Row],[TenureMonths]]&lt;=12, "0-1 Year", TelecomData[[#This Row],[TenureMonths]]&lt;=36, "1-3 Years", TelecomData[[#This Row],[TenureMonths]]&gt;36, "3+ Years")</f>
        <v>3+ Years</v>
      </c>
      <c r="N4105" s="2" t="str">
        <f>IF(TelecomData[[#This Row],[CleanedTotalCharges]]&gt;=2500,"High Spend", "Standard Spend")</f>
        <v>High Spend</v>
      </c>
    </row>
    <row r="4106" spans="1:14" x14ac:dyDescent="0.3">
      <c r="A4106" s="1" t="s">
        <v>4130</v>
      </c>
      <c r="B4106" s="2" t="s">
        <v>19</v>
      </c>
      <c r="C4106" s="2" t="s">
        <v>13</v>
      </c>
      <c r="D4106" s="2">
        <v>8</v>
      </c>
      <c r="E4106" s="2" t="s">
        <v>14</v>
      </c>
      <c r="F4106" s="2" t="s">
        <v>15</v>
      </c>
      <c r="G4106" s="7">
        <v>49.55</v>
      </c>
      <c r="H4106" s="7">
        <v>393.45</v>
      </c>
      <c r="I4106" s="2" t="s">
        <v>15</v>
      </c>
      <c r="J4106" s="2" t="s">
        <v>16</v>
      </c>
      <c r="K4106" s="2" t="s">
        <v>24</v>
      </c>
      <c r="L4106" s="7">
        <v>393.45</v>
      </c>
      <c r="M4106" s="2" t="str">
        <f>_xlfn.IFS(TelecomData[[#This Row],[TenureMonths]]&lt;=12, "0-1 Year", TelecomData[[#This Row],[TenureMonths]]&lt;=36, "1-3 Years", TelecomData[[#This Row],[TenureMonths]]&gt;36, "3+ Years")</f>
        <v>0-1 Year</v>
      </c>
      <c r="N4106" s="2" t="str">
        <f>IF(TelecomData[[#This Row],[CleanedTotalCharges]]&gt;=2500,"High Spend", "Standard Spend")</f>
        <v>Standard Spend</v>
      </c>
    </row>
    <row r="4107" spans="1:14" x14ac:dyDescent="0.3">
      <c r="A4107" s="1" t="s">
        <v>4131</v>
      </c>
      <c r="B4107" s="2" t="s">
        <v>12</v>
      </c>
      <c r="C4107" s="2" t="s">
        <v>35</v>
      </c>
      <c r="D4107" s="2">
        <v>67</v>
      </c>
      <c r="E4107" s="2" t="s">
        <v>26</v>
      </c>
      <c r="F4107" s="2" t="s">
        <v>16</v>
      </c>
      <c r="G4107" s="7">
        <v>106.7</v>
      </c>
      <c r="H4107" s="7">
        <v>7009.5</v>
      </c>
      <c r="I4107" s="2" t="s">
        <v>15</v>
      </c>
      <c r="J4107" s="2" t="s">
        <v>15</v>
      </c>
      <c r="K4107" s="2" t="s">
        <v>29</v>
      </c>
      <c r="L4107" s="7">
        <v>7009.5</v>
      </c>
      <c r="M4107" s="2" t="str">
        <f>_xlfn.IFS(TelecomData[[#This Row],[TenureMonths]]&lt;=12, "0-1 Year", TelecomData[[#This Row],[TenureMonths]]&lt;=36, "1-3 Years", TelecomData[[#This Row],[TenureMonths]]&gt;36, "3+ Years")</f>
        <v>3+ Years</v>
      </c>
      <c r="N4107" s="2" t="str">
        <f>IF(TelecomData[[#This Row],[CleanedTotalCharges]]&gt;=2500,"High Spend", "Standard Spend")</f>
        <v>High Spend</v>
      </c>
    </row>
    <row r="4108" spans="1:14" x14ac:dyDescent="0.3">
      <c r="A4108" s="1" t="s">
        <v>4132</v>
      </c>
      <c r="B4108" s="2" t="s">
        <v>12</v>
      </c>
      <c r="C4108" s="2" t="s">
        <v>13</v>
      </c>
      <c r="D4108" s="2">
        <v>24</v>
      </c>
      <c r="E4108" s="2" t="s">
        <v>26</v>
      </c>
      <c r="F4108" s="2" t="s">
        <v>15</v>
      </c>
      <c r="G4108" s="7">
        <v>93.55</v>
      </c>
      <c r="H4108" s="7">
        <v>2264.0500000000002</v>
      </c>
      <c r="I4108" s="2" t="s">
        <v>16</v>
      </c>
      <c r="J4108" s="2" t="s">
        <v>16</v>
      </c>
      <c r="K4108" s="2" t="s">
        <v>17</v>
      </c>
      <c r="L4108" s="7">
        <v>2264.0500000000002</v>
      </c>
      <c r="M4108" s="2" t="str">
        <f>_xlfn.IFS(TelecomData[[#This Row],[TenureMonths]]&lt;=12, "0-1 Year", TelecomData[[#This Row],[TenureMonths]]&lt;=36, "1-3 Years", TelecomData[[#This Row],[TenureMonths]]&gt;36, "3+ Years")</f>
        <v>1-3 Years</v>
      </c>
      <c r="N4108" s="2" t="str">
        <f>IF(TelecomData[[#This Row],[CleanedTotalCharges]]&gt;=2500,"High Spend", "Standard Spend")</f>
        <v>Standard Spend</v>
      </c>
    </row>
    <row r="4109" spans="1:14" x14ac:dyDescent="0.3">
      <c r="A4109" s="1" t="s">
        <v>4133</v>
      </c>
      <c r="B4109" s="2" t="s">
        <v>12</v>
      </c>
      <c r="C4109" s="2" t="s">
        <v>35</v>
      </c>
      <c r="D4109" s="2">
        <v>72</v>
      </c>
      <c r="E4109" s="2" t="s">
        <v>26</v>
      </c>
      <c r="F4109" s="2" t="s">
        <v>15</v>
      </c>
      <c r="G4109" s="7">
        <v>94.45</v>
      </c>
      <c r="H4109" s="7">
        <v>6921.7</v>
      </c>
      <c r="I4109" s="2" t="s">
        <v>15</v>
      </c>
      <c r="J4109" s="2" t="s">
        <v>16</v>
      </c>
      <c r="K4109" s="2" t="s">
        <v>29</v>
      </c>
      <c r="L4109" s="7">
        <v>6921.7</v>
      </c>
      <c r="M4109" s="2" t="str">
        <f>_xlfn.IFS(TelecomData[[#This Row],[TenureMonths]]&lt;=12, "0-1 Year", TelecomData[[#This Row],[TenureMonths]]&lt;=36, "1-3 Years", TelecomData[[#This Row],[TenureMonths]]&gt;36, "3+ Years")</f>
        <v>3+ Years</v>
      </c>
      <c r="N4109" s="2" t="str">
        <f>IF(TelecomData[[#This Row],[CleanedTotalCharges]]&gt;=2500,"High Spend", "Standard Spend")</f>
        <v>High Spend</v>
      </c>
    </row>
    <row r="4110" spans="1:14" x14ac:dyDescent="0.3">
      <c r="A4110" s="1" t="s">
        <v>4134</v>
      </c>
      <c r="B4110" s="2" t="s">
        <v>19</v>
      </c>
      <c r="C4110" s="2" t="s">
        <v>20</v>
      </c>
      <c r="D4110" s="2">
        <v>33</v>
      </c>
      <c r="E4110" s="2" t="s">
        <v>15</v>
      </c>
      <c r="F4110" s="2" t="s">
        <v>36</v>
      </c>
      <c r="G4110" s="7">
        <v>19.45</v>
      </c>
      <c r="H4110" s="7">
        <v>600.25</v>
      </c>
      <c r="I4110" s="2" t="s">
        <v>15</v>
      </c>
      <c r="J4110" s="2" t="s">
        <v>16</v>
      </c>
      <c r="K4110" s="2" t="s">
        <v>24</v>
      </c>
      <c r="L4110" s="7">
        <v>600.25</v>
      </c>
      <c r="M4110" s="2" t="str">
        <f>_xlfn.IFS(TelecomData[[#This Row],[TenureMonths]]&lt;=12, "0-1 Year", TelecomData[[#This Row],[TenureMonths]]&lt;=36, "1-3 Years", TelecomData[[#This Row],[TenureMonths]]&gt;36, "3+ Years")</f>
        <v>1-3 Years</v>
      </c>
      <c r="N4110" s="2" t="str">
        <f>IF(TelecomData[[#This Row],[CleanedTotalCharges]]&gt;=2500,"High Spend", "Standard Spend")</f>
        <v>Standard Spend</v>
      </c>
    </row>
    <row r="4111" spans="1:14" x14ac:dyDescent="0.3">
      <c r="A4111" s="1" t="s">
        <v>4135</v>
      </c>
      <c r="B4111" s="2" t="s">
        <v>19</v>
      </c>
      <c r="C4111" s="2" t="s">
        <v>13</v>
      </c>
      <c r="D4111" s="2">
        <v>2</v>
      </c>
      <c r="E4111" s="2" t="s">
        <v>14</v>
      </c>
      <c r="F4111" s="2" t="s">
        <v>15</v>
      </c>
      <c r="G4111" s="7">
        <v>25.05</v>
      </c>
      <c r="H4111" s="7">
        <v>56.35</v>
      </c>
      <c r="I4111" s="2" t="s">
        <v>16</v>
      </c>
      <c r="J4111" s="2" t="s">
        <v>16</v>
      </c>
      <c r="K4111" s="2" t="s">
        <v>17</v>
      </c>
      <c r="L4111" s="7">
        <v>56.35</v>
      </c>
      <c r="M4111" s="2" t="str">
        <f>_xlfn.IFS(TelecomData[[#This Row],[TenureMonths]]&lt;=12, "0-1 Year", TelecomData[[#This Row],[TenureMonths]]&lt;=36, "1-3 Years", TelecomData[[#This Row],[TenureMonths]]&gt;36, "3+ Years")</f>
        <v>0-1 Year</v>
      </c>
      <c r="N4111" s="2" t="str">
        <f>IF(TelecomData[[#This Row],[CleanedTotalCharges]]&gt;=2500,"High Spend", "Standard Spend")</f>
        <v>Standard Spend</v>
      </c>
    </row>
    <row r="4112" spans="1:14" x14ac:dyDescent="0.3">
      <c r="A4112" s="1" t="s">
        <v>4136</v>
      </c>
      <c r="B4112" s="2" t="s">
        <v>19</v>
      </c>
      <c r="C4112" s="2" t="s">
        <v>35</v>
      </c>
      <c r="D4112" s="2">
        <v>70</v>
      </c>
      <c r="E4112" s="2" t="s">
        <v>14</v>
      </c>
      <c r="F4112" s="2" t="s">
        <v>16</v>
      </c>
      <c r="G4112" s="7">
        <v>67.95</v>
      </c>
      <c r="H4112" s="7">
        <v>4664.1499999999996</v>
      </c>
      <c r="I4112" s="2" t="s">
        <v>15</v>
      </c>
      <c r="J4112" s="2" t="s">
        <v>15</v>
      </c>
      <c r="K4112" s="2" t="s">
        <v>21</v>
      </c>
      <c r="L4112" s="7">
        <v>4664.1499999999996</v>
      </c>
      <c r="M4112" s="2" t="str">
        <f>_xlfn.IFS(TelecomData[[#This Row],[TenureMonths]]&lt;=12, "0-1 Year", TelecomData[[#This Row],[TenureMonths]]&lt;=36, "1-3 Years", TelecomData[[#This Row],[TenureMonths]]&gt;36, "3+ Years")</f>
        <v>3+ Years</v>
      </c>
      <c r="N4112" s="2" t="str">
        <f>IF(TelecomData[[#This Row],[CleanedTotalCharges]]&gt;=2500,"High Spend", "Standard Spend")</f>
        <v>High Spend</v>
      </c>
    </row>
    <row r="4113" spans="1:14" x14ac:dyDescent="0.3">
      <c r="A4113" s="1" t="s">
        <v>4137</v>
      </c>
      <c r="B4113" s="2" t="s">
        <v>12</v>
      </c>
      <c r="C4113" s="2" t="s">
        <v>20</v>
      </c>
      <c r="D4113" s="2">
        <v>22</v>
      </c>
      <c r="E4113" s="2" t="s">
        <v>14</v>
      </c>
      <c r="F4113" s="2" t="s">
        <v>15</v>
      </c>
      <c r="G4113" s="7">
        <v>65.25</v>
      </c>
      <c r="H4113" s="7">
        <v>1441.8</v>
      </c>
      <c r="I4113" s="2" t="s">
        <v>15</v>
      </c>
      <c r="J4113" s="2" t="s">
        <v>15</v>
      </c>
      <c r="K4113" s="2" t="s">
        <v>24</v>
      </c>
      <c r="L4113" s="7">
        <v>1441.8</v>
      </c>
      <c r="M4113" s="2" t="str">
        <f>_xlfn.IFS(TelecomData[[#This Row],[TenureMonths]]&lt;=12, "0-1 Year", TelecomData[[#This Row],[TenureMonths]]&lt;=36, "1-3 Years", TelecomData[[#This Row],[TenureMonths]]&gt;36, "3+ Years")</f>
        <v>1-3 Years</v>
      </c>
      <c r="N4113" s="2" t="str">
        <f>IF(TelecomData[[#This Row],[CleanedTotalCharges]]&gt;=2500,"High Spend", "Standard Spend")</f>
        <v>Standard Spend</v>
      </c>
    </row>
    <row r="4114" spans="1:14" x14ac:dyDescent="0.3">
      <c r="A4114" s="1" t="s">
        <v>4138</v>
      </c>
      <c r="B4114" s="2" t="s">
        <v>12</v>
      </c>
      <c r="C4114" s="2" t="s">
        <v>13</v>
      </c>
      <c r="D4114" s="2">
        <v>59</v>
      </c>
      <c r="E4114" s="2" t="s">
        <v>26</v>
      </c>
      <c r="F4114" s="2" t="s">
        <v>15</v>
      </c>
      <c r="G4114" s="7">
        <v>99.45</v>
      </c>
      <c r="H4114" s="7">
        <v>5623.7</v>
      </c>
      <c r="I4114" s="2" t="s">
        <v>15</v>
      </c>
      <c r="J4114" s="2" t="s">
        <v>16</v>
      </c>
      <c r="K4114" s="2" t="s">
        <v>24</v>
      </c>
      <c r="L4114" s="7">
        <v>5623.7</v>
      </c>
      <c r="M4114" s="2" t="str">
        <f>_xlfn.IFS(TelecomData[[#This Row],[TenureMonths]]&lt;=12, "0-1 Year", TelecomData[[#This Row],[TenureMonths]]&lt;=36, "1-3 Years", TelecomData[[#This Row],[TenureMonths]]&gt;36, "3+ Years")</f>
        <v>3+ Years</v>
      </c>
      <c r="N4114" s="2" t="str">
        <f>IF(TelecomData[[#This Row],[CleanedTotalCharges]]&gt;=2500,"High Spend", "Standard Spend")</f>
        <v>High Spend</v>
      </c>
    </row>
    <row r="4115" spans="1:14" x14ac:dyDescent="0.3">
      <c r="A4115" s="1" t="s">
        <v>4139</v>
      </c>
      <c r="B4115" s="2" t="s">
        <v>19</v>
      </c>
      <c r="C4115" s="2" t="s">
        <v>20</v>
      </c>
      <c r="D4115" s="2">
        <v>36</v>
      </c>
      <c r="E4115" s="2" t="s">
        <v>15</v>
      </c>
      <c r="F4115" s="2" t="s">
        <v>36</v>
      </c>
      <c r="G4115" s="7">
        <v>20.350000000000001</v>
      </c>
      <c r="H4115" s="7">
        <v>695.85</v>
      </c>
      <c r="I4115" s="2" t="s">
        <v>15</v>
      </c>
      <c r="J4115" s="2" t="s">
        <v>16</v>
      </c>
      <c r="K4115" s="2" t="s">
        <v>29</v>
      </c>
      <c r="L4115" s="7">
        <v>695.85</v>
      </c>
      <c r="M4115" s="2" t="str">
        <f>_xlfn.IFS(TelecomData[[#This Row],[TenureMonths]]&lt;=12, "0-1 Year", TelecomData[[#This Row],[TenureMonths]]&lt;=36, "1-3 Years", TelecomData[[#This Row],[TenureMonths]]&gt;36, "3+ Years")</f>
        <v>1-3 Years</v>
      </c>
      <c r="N4115" s="2" t="str">
        <f>IF(TelecomData[[#This Row],[CleanedTotalCharges]]&gt;=2500,"High Spend", "Standard Spend")</f>
        <v>Standard Spend</v>
      </c>
    </row>
    <row r="4116" spans="1:14" x14ac:dyDescent="0.3">
      <c r="A4116" s="1" t="s">
        <v>4140</v>
      </c>
      <c r="B4116" s="2" t="s">
        <v>12</v>
      </c>
      <c r="C4116" s="2" t="s">
        <v>35</v>
      </c>
      <c r="D4116" s="2">
        <v>51</v>
      </c>
      <c r="E4116" s="2" t="s">
        <v>15</v>
      </c>
      <c r="F4116" s="2" t="s">
        <v>36</v>
      </c>
      <c r="G4116" s="7">
        <v>19.95</v>
      </c>
      <c r="H4116" s="7">
        <v>1028.75</v>
      </c>
      <c r="I4116" s="2" t="s">
        <v>15</v>
      </c>
      <c r="J4116" s="2" t="s">
        <v>15</v>
      </c>
      <c r="K4116" s="2" t="s">
        <v>21</v>
      </c>
      <c r="L4116" s="7">
        <v>1028.75</v>
      </c>
      <c r="M4116" s="2" t="str">
        <f>_xlfn.IFS(TelecomData[[#This Row],[TenureMonths]]&lt;=12, "0-1 Year", TelecomData[[#This Row],[TenureMonths]]&lt;=36, "1-3 Years", TelecomData[[#This Row],[TenureMonths]]&gt;36, "3+ Years")</f>
        <v>3+ Years</v>
      </c>
      <c r="N4116" s="2" t="str">
        <f>IF(TelecomData[[#This Row],[CleanedTotalCharges]]&gt;=2500,"High Spend", "Standard Spend")</f>
        <v>Standard Spend</v>
      </c>
    </row>
    <row r="4117" spans="1:14" x14ac:dyDescent="0.3">
      <c r="A4117" s="1" t="s">
        <v>4141</v>
      </c>
      <c r="B4117" s="2" t="s">
        <v>19</v>
      </c>
      <c r="C4117" s="2" t="s">
        <v>20</v>
      </c>
      <c r="D4117" s="2">
        <v>53</v>
      </c>
      <c r="E4117" s="2" t="s">
        <v>14</v>
      </c>
      <c r="F4117" s="2" t="s">
        <v>16</v>
      </c>
      <c r="G4117" s="7">
        <v>77.400000000000006</v>
      </c>
      <c r="H4117" s="7">
        <v>4155.95</v>
      </c>
      <c r="I4117" s="2" t="s">
        <v>15</v>
      </c>
      <c r="J4117" s="2" t="s">
        <v>15</v>
      </c>
      <c r="K4117" s="2" t="s">
        <v>24</v>
      </c>
      <c r="L4117" s="7">
        <v>4155.95</v>
      </c>
      <c r="M4117" s="2" t="str">
        <f>_xlfn.IFS(TelecomData[[#This Row],[TenureMonths]]&lt;=12, "0-1 Year", TelecomData[[#This Row],[TenureMonths]]&lt;=36, "1-3 Years", TelecomData[[#This Row],[TenureMonths]]&gt;36, "3+ Years")</f>
        <v>3+ Years</v>
      </c>
      <c r="N4117" s="2" t="str">
        <f>IF(TelecomData[[#This Row],[CleanedTotalCharges]]&gt;=2500,"High Spend", "Standard Spend")</f>
        <v>High Spend</v>
      </c>
    </row>
    <row r="4118" spans="1:14" x14ac:dyDescent="0.3">
      <c r="A4118" s="1" t="s">
        <v>4142</v>
      </c>
      <c r="B4118" s="2" t="s">
        <v>12</v>
      </c>
      <c r="C4118" s="2" t="s">
        <v>20</v>
      </c>
      <c r="D4118" s="2">
        <v>20</v>
      </c>
      <c r="E4118" s="2" t="s">
        <v>15</v>
      </c>
      <c r="F4118" s="2" t="s">
        <v>36</v>
      </c>
      <c r="G4118" s="7">
        <v>19.7</v>
      </c>
      <c r="H4118" s="7">
        <v>395.6</v>
      </c>
      <c r="I4118" s="2" t="s">
        <v>15</v>
      </c>
      <c r="J4118" s="2" t="s">
        <v>15</v>
      </c>
      <c r="K4118" s="2" t="s">
        <v>24</v>
      </c>
      <c r="L4118" s="7">
        <v>395.6</v>
      </c>
      <c r="M4118" s="2" t="str">
        <f>_xlfn.IFS(TelecomData[[#This Row],[TenureMonths]]&lt;=12, "0-1 Year", TelecomData[[#This Row],[TenureMonths]]&lt;=36, "1-3 Years", TelecomData[[#This Row],[TenureMonths]]&gt;36, "3+ Years")</f>
        <v>1-3 Years</v>
      </c>
      <c r="N4118" s="2" t="str">
        <f>IF(TelecomData[[#This Row],[CleanedTotalCharges]]&gt;=2500,"High Spend", "Standard Spend")</f>
        <v>Standard Spend</v>
      </c>
    </row>
    <row r="4119" spans="1:14" x14ac:dyDescent="0.3">
      <c r="A4119" s="1" t="s">
        <v>4143</v>
      </c>
      <c r="B4119" s="2" t="s">
        <v>19</v>
      </c>
      <c r="C4119" s="2" t="s">
        <v>35</v>
      </c>
      <c r="D4119" s="2">
        <v>63</v>
      </c>
      <c r="E4119" s="2" t="s">
        <v>26</v>
      </c>
      <c r="F4119" s="2" t="s">
        <v>15</v>
      </c>
      <c r="G4119" s="7">
        <v>99.7</v>
      </c>
      <c r="H4119" s="7">
        <v>6330.4</v>
      </c>
      <c r="I4119" s="2" t="s">
        <v>15</v>
      </c>
      <c r="J4119" s="2" t="s">
        <v>15</v>
      </c>
      <c r="K4119" s="2" t="s">
        <v>29</v>
      </c>
      <c r="L4119" s="7">
        <v>6330.4</v>
      </c>
      <c r="M4119" s="2" t="str">
        <f>_xlfn.IFS(TelecomData[[#This Row],[TenureMonths]]&lt;=12, "0-1 Year", TelecomData[[#This Row],[TenureMonths]]&lt;=36, "1-3 Years", TelecomData[[#This Row],[TenureMonths]]&gt;36, "3+ Years")</f>
        <v>3+ Years</v>
      </c>
      <c r="N4119" s="2" t="str">
        <f>IF(TelecomData[[#This Row],[CleanedTotalCharges]]&gt;=2500,"High Spend", "Standard Spend")</f>
        <v>High Spend</v>
      </c>
    </row>
    <row r="4120" spans="1:14" x14ac:dyDescent="0.3">
      <c r="A4120" s="1" t="s">
        <v>4144</v>
      </c>
      <c r="B4120" s="2" t="s">
        <v>12</v>
      </c>
      <c r="C4120" s="2" t="s">
        <v>13</v>
      </c>
      <c r="D4120" s="2">
        <v>40</v>
      </c>
      <c r="E4120" s="2" t="s">
        <v>26</v>
      </c>
      <c r="F4120" s="2" t="s">
        <v>15</v>
      </c>
      <c r="G4120" s="7">
        <v>74.8</v>
      </c>
      <c r="H4120" s="7">
        <v>2971.7</v>
      </c>
      <c r="I4120" s="2" t="s">
        <v>15</v>
      </c>
      <c r="J4120" s="2" t="s">
        <v>15</v>
      </c>
      <c r="K4120" s="2" t="s">
        <v>29</v>
      </c>
      <c r="L4120" s="7">
        <v>2971.7</v>
      </c>
      <c r="M4120" s="2" t="str">
        <f>_xlfn.IFS(TelecomData[[#This Row],[TenureMonths]]&lt;=12, "0-1 Year", TelecomData[[#This Row],[TenureMonths]]&lt;=36, "1-3 Years", TelecomData[[#This Row],[TenureMonths]]&gt;36, "3+ Years")</f>
        <v>3+ Years</v>
      </c>
      <c r="N4120" s="2" t="str">
        <f>IF(TelecomData[[#This Row],[CleanedTotalCharges]]&gt;=2500,"High Spend", "Standard Spend")</f>
        <v>High Spend</v>
      </c>
    </row>
    <row r="4121" spans="1:14" x14ac:dyDescent="0.3">
      <c r="A4121" s="1" t="s">
        <v>4145</v>
      </c>
      <c r="B4121" s="2" t="s">
        <v>19</v>
      </c>
      <c r="C4121" s="2" t="s">
        <v>20</v>
      </c>
      <c r="D4121" s="2">
        <v>35</v>
      </c>
      <c r="E4121" s="2" t="s">
        <v>15</v>
      </c>
      <c r="F4121" s="2" t="s">
        <v>36</v>
      </c>
      <c r="G4121" s="7">
        <v>19.149999999999999</v>
      </c>
      <c r="H4121" s="7">
        <v>638</v>
      </c>
      <c r="I4121" s="2" t="s">
        <v>15</v>
      </c>
      <c r="J4121" s="2" t="s">
        <v>16</v>
      </c>
      <c r="K4121" s="2" t="s">
        <v>21</v>
      </c>
      <c r="L4121" s="7">
        <v>638</v>
      </c>
      <c r="M4121" s="2" t="str">
        <f>_xlfn.IFS(TelecomData[[#This Row],[TenureMonths]]&lt;=12, "0-1 Year", TelecomData[[#This Row],[TenureMonths]]&lt;=36, "1-3 Years", TelecomData[[#This Row],[TenureMonths]]&gt;36, "3+ Years")</f>
        <v>1-3 Years</v>
      </c>
      <c r="N4121" s="2" t="str">
        <f>IF(TelecomData[[#This Row],[CleanedTotalCharges]]&gt;=2500,"High Spend", "Standard Spend")</f>
        <v>Standard Spend</v>
      </c>
    </row>
    <row r="4122" spans="1:14" x14ac:dyDescent="0.3">
      <c r="A4122" s="1" t="s">
        <v>4146</v>
      </c>
      <c r="B4122" s="2" t="s">
        <v>19</v>
      </c>
      <c r="C4122" s="2" t="s">
        <v>20</v>
      </c>
      <c r="D4122" s="2">
        <v>26</v>
      </c>
      <c r="E4122" s="2" t="s">
        <v>26</v>
      </c>
      <c r="F4122" s="2" t="s">
        <v>15</v>
      </c>
      <c r="G4122" s="7">
        <v>78.95</v>
      </c>
      <c r="H4122" s="7">
        <v>2034.25</v>
      </c>
      <c r="I4122" s="2" t="s">
        <v>15</v>
      </c>
      <c r="J4122" s="2" t="s">
        <v>15</v>
      </c>
      <c r="K4122" s="2" t="s">
        <v>24</v>
      </c>
      <c r="L4122" s="7">
        <v>2034.25</v>
      </c>
      <c r="M4122" s="2" t="str">
        <f>_xlfn.IFS(TelecomData[[#This Row],[TenureMonths]]&lt;=12, "0-1 Year", TelecomData[[#This Row],[TenureMonths]]&lt;=36, "1-3 Years", TelecomData[[#This Row],[TenureMonths]]&gt;36, "3+ Years")</f>
        <v>1-3 Years</v>
      </c>
      <c r="N4122" s="2" t="str">
        <f>IF(TelecomData[[#This Row],[CleanedTotalCharges]]&gt;=2500,"High Spend", "Standard Spend")</f>
        <v>Standard Spend</v>
      </c>
    </row>
    <row r="4123" spans="1:14" x14ac:dyDescent="0.3">
      <c r="A4123" s="1" t="s">
        <v>4147</v>
      </c>
      <c r="B4123" s="2" t="s">
        <v>19</v>
      </c>
      <c r="C4123" s="2" t="s">
        <v>13</v>
      </c>
      <c r="D4123" s="2">
        <v>27</v>
      </c>
      <c r="E4123" s="2" t="s">
        <v>26</v>
      </c>
      <c r="F4123" s="2" t="s">
        <v>15</v>
      </c>
      <c r="G4123" s="7">
        <v>95.55</v>
      </c>
      <c r="H4123" s="7">
        <v>2510.1999999999998</v>
      </c>
      <c r="I4123" s="2" t="s">
        <v>16</v>
      </c>
      <c r="J4123" s="2" t="s">
        <v>16</v>
      </c>
      <c r="K4123" s="2" t="s">
        <v>17</v>
      </c>
      <c r="L4123" s="7">
        <v>2510.1999999999998</v>
      </c>
      <c r="M4123" s="2" t="str">
        <f>_xlfn.IFS(TelecomData[[#This Row],[TenureMonths]]&lt;=12, "0-1 Year", TelecomData[[#This Row],[TenureMonths]]&lt;=36, "1-3 Years", TelecomData[[#This Row],[TenureMonths]]&gt;36, "3+ Years")</f>
        <v>1-3 Years</v>
      </c>
      <c r="N4123" s="2" t="str">
        <f>IF(TelecomData[[#This Row],[CleanedTotalCharges]]&gt;=2500,"High Spend", "Standard Spend")</f>
        <v>High Spend</v>
      </c>
    </row>
    <row r="4124" spans="1:14" x14ac:dyDescent="0.3">
      <c r="A4124" s="1" t="s">
        <v>4148</v>
      </c>
      <c r="B4124" s="2" t="s">
        <v>19</v>
      </c>
      <c r="C4124" s="2" t="s">
        <v>20</v>
      </c>
      <c r="D4124" s="2">
        <v>53</v>
      </c>
      <c r="E4124" s="2" t="s">
        <v>14</v>
      </c>
      <c r="F4124" s="2" t="s">
        <v>16</v>
      </c>
      <c r="G4124" s="7">
        <v>62.85</v>
      </c>
      <c r="H4124" s="7">
        <v>3419.5</v>
      </c>
      <c r="I4124" s="2" t="s">
        <v>15</v>
      </c>
      <c r="J4124" s="2" t="s">
        <v>15</v>
      </c>
      <c r="K4124" s="2" t="s">
        <v>29</v>
      </c>
      <c r="L4124" s="7">
        <v>3419.5</v>
      </c>
      <c r="M4124" s="2" t="str">
        <f>_xlfn.IFS(TelecomData[[#This Row],[TenureMonths]]&lt;=12, "0-1 Year", TelecomData[[#This Row],[TenureMonths]]&lt;=36, "1-3 Years", TelecomData[[#This Row],[TenureMonths]]&gt;36, "3+ Years")</f>
        <v>3+ Years</v>
      </c>
      <c r="N4124" s="2" t="str">
        <f>IF(TelecomData[[#This Row],[CleanedTotalCharges]]&gt;=2500,"High Spend", "Standard Spend")</f>
        <v>High Spend</v>
      </c>
    </row>
    <row r="4125" spans="1:14" x14ac:dyDescent="0.3">
      <c r="A4125" s="1" t="s">
        <v>4149</v>
      </c>
      <c r="B4125" s="2" t="s">
        <v>19</v>
      </c>
      <c r="C4125" s="2" t="s">
        <v>13</v>
      </c>
      <c r="D4125" s="2">
        <v>34</v>
      </c>
      <c r="E4125" s="2" t="s">
        <v>26</v>
      </c>
      <c r="F4125" s="2" t="s">
        <v>15</v>
      </c>
      <c r="G4125" s="7">
        <v>71.55</v>
      </c>
      <c r="H4125" s="7">
        <v>2427.35</v>
      </c>
      <c r="I4125" s="2" t="s">
        <v>15</v>
      </c>
      <c r="J4125" s="2" t="s">
        <v>15</v>
      </c>
      <c r="K4125" s="2" t="s">
        <v>29</v>
      </c>
      <c r="L4125" s="7">
        <v>2427.35</v>
      </c>
      <c r="M4125" s="2" t="str">
        <f>_xlfn.IFS(TelecomData[[#This Row],[TenureMonths]]&lt;=12, "0-1 Year", TelecomData[[#This Row],[TenureMonths]]&lt;=36, "1-3 Years", TelecomData[[#This Row],[TenureMonths]]&gt;36, "3+ Years")</f>
        <v>1-3 Years</v>
      </c>
      <c r="N4125" s="2" t="str">
        <f>IF(TelecomData[[#This Row],[CleanedTotalCharges]]&gt;=2500,"High Spend", "Standard Spend")</f>
        <v>Standard Spend</v>
      </c>
    </row>
    <row r="4126" spans="1:14" x14ac:dyDescent="0.3">
      <c r="A4126" s="1" t="s">
        <v>4150</v>
      </c>
      <c r="B4126" s="2" t="s">
        <v>12</v>
      </c>
      <c r="C4126" s="2" t="s">
        <v>13</v>
      </c>
      <c r="D4126" s="2">
        <v>19</v>
      </c>
      <c r="E4126" s="2" t="s">
        <v>26</v>
      </c>
      <c r="F4126" s="2" t="s">
        <v>15</v>
      </c>
      <c r="G4126" s="7">
        <v>94.95</v>
      </c>
      <c r="H4126" s="7">
        <v>1760.25</v>
      </c>
      <c r="I4126" s="2" t="s">
        <v>15</v>
      </c>
      <c r="J4126" s="2" t="s">
        <v>16</v>
      </c>
      <c r="K4126" s="2" t="s">
        <v>17</v>
      </c>
      <c r="L4126" s="7">
        <v>1760.25</v>
      </c>
      <c r="M4126" s="2" t="str">
        <f>_xlfn.IFS(TelecomData[[#This Row],[TenureMonths]]&lt;=12, "0-1 Year", TelecomData[[#This Row],[TenureMonths]]&lt;=36, "1-3 Years", TelecomData[[#This Row],[TenureMonths]]&gt;36, "3+ Years")</f>
        <v>1-3 Years</v>
      </c>
      <c r="N4126" s="2" t="str">
        <f>IF(TelecomData[[#This Row],[CleanedTotalCharges]]&gt;=2500,"High Spend", "Standard Spend")</f>
        <v>Standard Spend</v>
      </c>
    </row>
    <row r="4127" spans="1:14" x14ac:dyDescent="0.3">
      <c r="A4127" s="1" t="s">
        <v>4151</v>
      </c>
      <c r="B4127" s="2" t="s">
        <v>19</v>
      </c>
      <c r="C4127" s="2" t="s">
        <v>13</v>
      </c>
      <c r="D4127" s="2">
        <v>43</v>
      </c>
      <c r="E4127" s="2" t="s">
        <v>26</v>
      </c>
      <c r="F4127" s="2" t="s">
        <v>15</v>
      </c>
      <c r="G4127" s="7">
        <v>86.1</v>
      </c>
      <c r="H4127" s="7">
        <v>3551.65</v>
      </c>
      <c r="I4127" s="2" t="s">
        <v>15</v>
      </c>
      <c r="J4127" s="2" t="s">
        <v>16</v>
      </c>
      <c r="K4127" s="2" t="s">
        <v>29</v>
      </c>
      <c r="L4127" s="7">
        <v>3551.65</v>
      </c>
      <c r="M4127" s="2" t="str">
        <f>_xlfn.IFS(TelecomData[[#This Row],[TenureMonths]]&lt;=12, "0-1 Year", TelecomData[[#This Row],[TenureMonths]]&lt;=36, "1-3 Years", TelecomData[[#This Row],[TenureMonths]]&gt;36, "3+ Years")</f>
        <v>3+ Years</v>
      </c>
      <c r="N4127" s="2" t="str">
        <f>IF(TelecomData[[#This Row],[CleanedTotalCharges]]&gt;=2500,"High Spend", "Standard Spend")</f>
        <v>High Spend</v>
      </c>
    </row>
    <row r="4128" spans="1:14" x14ac:dyDescent="0.3">
      <c r="A4128" s="1" t="s">
        <v>4152</v>
      </c>
      <c r="B4128" s="2" t="s">
        <v>19</v>
      </c>
      <c r="C4128" s="2" t="s">
        <v>13</v>
      </c>
      <c r="D4128" s="2">
        <v>6</v>
      </c>
      <c r="E4128" s="2" t="s">
        <v>15</v>
      </c>
      <c r="F4128" s="2" t="s">
        <v>36</v>
      </c>
      <c r="G4128" s="7">
        <v>19.55</v>
      </c>
      <c r="H4128" s="7">
        <v>122.9</v>
      </c>
      <c r="I4128" s="2" t="s">
        <v>15</v>
      </c>
      <c r="J4128" s="2" t="s">
        <v>15</v>
      </c>
      <c r="K4128" s="2" t="s">
        <v>21</v>
      </c>
      <c r="L4128" s="7">
        <v>122.9</v>
      </c>
      <c r="M4128" s="2" t="str">
        <f>_xlfn.IFS(TelecomData[[#This Row],[TenureMonths]]&lt;=12, "0-1 Year", TelecomData[[#This Row],[TenureMonths]]&lt;=36, "1-3 Years", TelecomData[[#This Row],[TenureMonths]]&gt;36, "3+ Years")</f>
        <v>0-1 Year</v>
      </c>
      <c r="N4128" s="2" t="str">
        <f>IF(TelecomData[[#This Row],[CleanedTotalCharges]]&gt;=2500,"High Spend", "Standard Spend")</f>
        <v>Standard Spend</v>
      </c>
    </row>
    <row r="4129" spans="1:14" x14ac:dyDescent="0.3">
      <c r="A4129" s="1" t="s">
        <v>4153</v>
      </c>
      <c r="B4129" s="2" t="s">
        <v>19</v>
      </c>
      <c r="C4129" s="2" t="s">
        <v>35</v>
      </c>
      <c r="D4129" s="2">
        <v>56</v>
      </c>
      <c r="E4129" s="2" t="s">
        <v>15</v>
      </c>
      <c r="F4129" s="2" t="s">
        <v>36</v>
      </c>
      <c r="G4129" s="7">
        <v>24.8</v>
      </c>
      <c r="H4129" s="7">
        <v>1424.2</v>
      </c>
      <c r="I4129" s="2" t="s">
        <v>15</v>
      </c>
      <c r="J4129" s="2" t="s">
        <v>16</v>
      </c>
      <c r="K4129" s="2" t="s">
        <v>21</v>
      </c>
      <c r="L4129" s="7">
        <v>1424.2</v>
      </c>
      <c r="M4129" s="2" t="str">
        <f>_xlfn.IFS(TelecomData[[#This Row],[TenureMonths]]&lt;=12, "0-1 Year", TelecomData[[#This Row],[TenureMonths]]&lt;=36, "1-3 Years", TelecomData[[#This Row],[TenureMonths]]&gt;36, "3+ Years")</f>
        <v>3+ Years</v>
      </c>
      <c r="N4129" s="2" t="str">
        <f>IF(TelecomData[[#This Row],[CleanedTotalCharges]]&gt;=2500,"High Spend", "Standard Spend")</f>
        <v>Standard Spend</v>
      </c>
    </row>
    <row r="4130" spans="1:14" x14ac:dyDescent="0.3">
      <c r="A4130" s="1" t="s">
        <v>4154</v>
      </c>
      <c r="B4130" s="2" t="s">
        <v>19</v>
      </c>
      <c r="C4130" s="2" t="s">
        <v>13</v>
      </c>
      <c r="D4130" s="2">
        <v>57</v>
      </c>
      <c r="E4130" s="2" t="s">
        <v>14</v>
      </c>
      <c r="F4130" s="2" t="s">
        <v>15</v>
      </c>
      <c r="G4130" s="7">
        <v>39.299999999999997</v>
      </c>
      <c r="H4130" s="7">
        <v>2111.4499999999998</v>
      </c>
      <c r="I4130" s="2" t="s">
        <v>16</v>
      </c>
      <c r="J4130" s="2" t="s">
        <v>16</v>
      </c>
      <c r="K4130" s="2" t="s">
        <v>17</v>
      </c>
      <c r="L4130" s="7">
        <v>2111.4499999999998</v>
      </c>
      <c r="M4130" s="2" t="str">
        <f>_xlfn.IFS(TelecomData[[#This Row],[TenureMonths]]&lt;=12, "0-1 Year", TelecomData[[#This Row],[TenureMonths]]&lt;=36, "1-3 Years", TelecomData[[#This Row],[TenureMonths]]&gt;36, "3+ Years")</f>
        <v>3+ Years</v>
      </c>
      <c r="N4130" s="2" t="str">
        <f>IF(TelecomData[[#This Row],[CleanedTotalCharges]]&gt;=2500,"High Spend", "Standard Spend")</f>
        <v>Standard Spend</v>
      </c>
    </row>
    <row r="4131" spans="1:14" x14ac:dyDescent="0.3">
      <c r="A4131" s="1" t="s">
        <v>4155</v>
      </c>
      <c r="B4131" s="2" t="s">
        <v>19</v>
      </c>
      <c r="C4131" s="2" t="s">
        <v>13</v>
      </c>
      <c r="D4131" s="2">
        <v>34</v>
      </c>
      <c r="E4131" s="2" t="s">
        <v>26</v>
      </c>
      <c r="F4131" s="2" t="s">
        <v>15</v>
      </c>
      <c r="G4131" s="7">
        <v>84.05</v>
      </c>
      <c r="H4131" s="7">
        <v>2909.95</v>
      </c>
      <c r="I4131" s="2" t="s">
        <v>15</v>
      </c>
      <c r="J4131" s="2" t="s">
        <v>16</v>
      </c>
      <c r="K4131" s="2" t="s">
        <v>21</v>
      </c>
      <c r="L4131" s="7">
        <v>2909.95</v>
      </c>
      <c r="M4131" s="2" t="str">
        <f>_xlfn.IFS(TelecomData[[#This Row],[TenureMonths]]&lt;=12, "0-1 Year", TelecomData[[#This Row],[TenureMonths]]&lt;=36, "1-3 Years", TelecomData[[#This Row],[TenureMonths]]&gt;36, "3+ Years")</f>
        <v>1-3 Years</v>
      </c>
      <c r="N4131" s="2" t="str">
        <f>IF(TelecomData[[#This Row],[CleanedTotalCharges]]&gt;=2500,"High Spend", "Standard Spend")</f>
        <v>High Spend</v>
      </c>
    </row>
    <row r="4132" spans="1:14" x14ac:dyDescent="0.3">
      <c r="A4132" s="1" t="s">
        <v>4156</v>
      </c>
      <c r="B4132" s="2" t="s">
        <v>12</v>
      </c>
      <c r="C4132" s="2" t="s">
        <v>13</v>
      </c>
      <c r="D4132" s="2">
        <v>10</v>
      </c>
      <c r="E4132" s="2" t="s">
        <v>14</v>
      </c>
      <c r="F4132" s="2" t="s">
        <v>16</v>
      </c>
      <c r="G4132" s="7">
        <v>36.25</v>
      </c>
      <c r="H4132" s="7">
        <v>374</v>
      </c>
      <c r="I4132" s="2" t="s">
        <v>15</v>
      </c>
      <c r="J4132" s="2" t="s">
        <v>15</v>
      </c>
      <c r="K4132" s="2" t="s">
        <v>17</v>
      </c>
      <c r="L4132" s="7">
        <v>374</v>
      </c>
      <c r="M4132" s="2" t="str">
        <f>_xlfn.IFS(TelecomData[[#This Row],[TenureMonths]]&lt;=12, "0-1 Year", TelecomData[[#This Row],[TenureMonths]]&lt;=36, "1-3 Years", TelecomData[[#This Row],[TenureMonths]]&gt;36, "3+ Years")</f>
        <v>0-1 Year</v>
      </c>
      <c r="N4132" s="2" t="str">
        <f>IF(TelecomData[[#This Row],[CleanedTotalCharges]]&gt;=2500,"High Spend", "Standard Spend")</f>
        <v>Standard Spend</v>
      </c>
    </row>
    <row r="4133" spans="1:14" x14ac:dyDescent="0.3">
      <c r="A4133" s="1" t="s">
        <v>4157</v>
      </c>
      <c r="B4133" s="2" t="s">
        <v>12</v>
      </c>
      <c r="C4133" s="2" t="s">
        <v>13</v>
      </c>
      <c r="D4133" s="2">
        <v>1</v>
      </c>
      <c r="E4133" s="2" t="s">
        <v>15</v>
      </c>
      <c r="F4133" s="2" t="s">
        <v>36</v>
      </c>
      <c r="G4133" s="7">
        <v>20.25</v>
      </c>
      <c r="H4133" s="7">
        <v>20.25</v>
      </c>
      <c r="I4133" s="2" t="s">
        <v>16</v>
      </c>
      <c r="J4133" s="2" t="s">
        <v>16</v>
      </c>
      <c r="K4133" s="2" t="s">
        <v>21</v>
      </c>
      <c r="L4133" s="7">
        <v>20.25</v>
      </c>
      <c r="M4133" s="2" t="str">
        <f>_xlfn.IFS(TelecomData[[#This Row],[TenureMonths]]&lt;=12, "0-1 Year", TelecomData[[#This Row],[TenureMonths]]&lt;=36, "1-3 Years", TelecomData[[#This Row],[TenureMonths]]&gt;36, "3+ Years")</f>
        <v>0-1 Year</v>
      </c>
      <c r="N4133" s="2" t="str">
        <f>IF(TelecomData[[#This Row],[CleanedTotalCharges]]&gt;=2500,"High Spend", "Standard Spend")</f>
        <v>Standard Spend</v>
      </c>
    </row>
    <row r="4134" spans="1:14" x14ac:dyDescent="0.3">
      <c r="A4134" s="1" t="s">
        <v>4158</v>
      </c>
      <c r="B4134" s="2" t="s">
        <v>12</v>
      </c>
      <c r="C4134" s="2" t="s">
        <v>13</v>
      </c>
      <c r="D4134" s="2">
        <v>13</v>
      </c>
      <c r="E4134" s="2" t="s">
        <v>14</v>
      </c>
      <c r="F4134" s="2" t="s">
        <v>15</v>
      </c>
      <c r="G4134" s="7">
        <v>23.9</v>
      </c>
      <c r="H4134" s="7">
        <v>300.8</v>
      </c>
      <c r="I4134" s="2" t="s">
        <v>16</v>
      </c>
      <c r="J4134" s="2" t="s">
        <v>16</v>
      </c>
      <c r="K4134" s="2" t="s">
        <v>17</v>
      </c>
      <c r="L4134" s="7">
        <v>300.8</v>
      </c>
      <c r="M4134" s="2" t="str">
        <f>_xlfn.IFS(TelecomData[[#This Row],[TenureMonths]]&lt;=12, "0-1 Year", TelecomData[[#This Row],[TenureMonths]]&lt;=36, "1-3 Years", TelecomData[[#This Row],[TenureMonths]]&gt;36, "3+ Years")</f>
        <v>1-3 Years</v>
      </c>
      <c r="N4134" s="2" t="str">
        <f>IF(TelecomData[[#This Row],[CleanedTotalCharges]]&gt;=2500,"High Spend", "Standard Spend")</f>
        <v>Standard Spend</v>
      </c>
    </row>
    <row r="4135" spans="1:14" x14ac:dyDescent="0.3">
      <c r="A4135" s="1" t="s">
        <v>4159</v>
      </c>
      <c r="B4135" s="2" t="s">
        <v>19</v>
      </c>
      <c r="C4135" s="2" t="s">
        <v>13</v>
      </c>
      <c r="D4135" s="2">
        <v>56</v>
      </c>
      <c r="E4135" s="2" t="s">
        <v>26</v>
      </c>
      <c r="F4135" s="2" t="s">
        <v>15</v>
      </c>
      <c r="G4135" s="7">
        <v>98.6</v>
      </c>
      <c r="H4135" s="7">
        <v>5581.05</v>
      </c>
      <c r="I4135" s="2" t="s">
        <v>15</v>
      </c>
      <c r="J4135" s="2" t="s">
        <v>15</v>
      </c>
      <c r="K4135" s="2" t="s">
        <v>17</v>
      </c>
      <c r="L4135" s="7">
        <v>5581.05</v>
      </c>
      <c r="M4135" s="2" t="str">
        <f>_xlfn.IFS(TelecomData[[#This Row],[TenureMonths]]&lt;=12, "0-1 Year", TelecomData[[#This Row],[TenureMonths]]&lt;=36, "1-3 Years", TelecomData[[#This Row],[TenureMonths]]&gt;36, "3+ Years")</f>
        <v>3+ Years</v>
      </c>
      <c r="N4135" s="2" t="str">
        <f>IF(TelecomData[[#This Row],[CleanedTotalCharges]]&gt;=2500,"High Spend", "Standard Spend")</f>
        <v>High Spend</v>
      </c>
    </row>
    <row r="4136" spans="1:14" x14ac:dyDescent="0.3">
      <c r="A4136" s="1" t="s">
        <v>4160</v>
      </c>
      <c r="B4136" s="2" t="s">
        <v>12</v>
      </c>
      <c r="C4136" s="2" t="s">
        <v>13</v>
      </c>
      <c r="D4136" s="2">
        <v>55</v>
      </c>
      <c r="E4136" s="2" t="s">
        <v>26</v>
      </c>
      <c r="F4136" s="2" t="s">
        <v>15</v>
      </c>
      <c r="G4136" s="7">
        <v>103.65</v>
      </c>
      <c r="H4136" s="7">
        <v>5676.65</v>
      </c>
      <c r="I4136" s="2" t="s">
        <v>15</v>
      </c>
      <c r="J4136" s="2" t="s">
        <v>16</v>
      </c>
      <c r="K4136" s="2" t="s">
        <v>29</v>
      </c>
      <c r="L4136" s="7">
        <v>5676.65</v>
      </c>
      <c r="M4136" s="2" t="str">
        <f>_xlfn.IFS(TelecomData[[#This Row],[TenureMonths]]&lt;=12, "0-1 Year", TelecomData[[#This Row],[TenureMonths]]&lt;=36, "1-3 Years", TelecomData[[#This Row],[TenureMonths]]&gt;36, "3+ Years")</f>
        <v>3+ Years</v>
      </c>
      <c r="N4136" s="2" t="str">
        <f>IF(TelecomData[[#This Row],[CleanedTotalCharges]]&gt;=2500,"High Spend", "Standard Spend")</f>
        <v>High Spend</v>
      </c>
    </row>
    <row r="4137" spans="1:14" x14ac:dyDescent="0.3">
      <c r="A4137" s="1" t="s">
        <v>4161</v>
      </c>
      <c r="B4137" s="2" t="s">
        <v>12</v>
      </c>
      <c r="C4137" s="2" t="s">
        <v>35</v>
      </c>
      <c r="D4137" s="2">
        <v>36</v>
      </c>
      <c r="E4137" s="2" t="s">
        <v>14</v>
      </c>
      <c r="F4137" s="2" t="s">
        <v>16</v>
      </c>
      <c r="G4137" s="7">
        <v>92.9</v>
      </c>
      <c r="H4137" s="7">
        <v>3379.25</v>
      </c>
      <c r="I4137" s="2" t="s">
        <v>15</v>
      </c>
      <c r="J4137" s="2" t="s">
        <v>16</v>
      </c>
      <c r="K4137" s="2" t="s">
        <v>29</v>
      </c>
      <c r="L4137" s="7">
        <v>3379.25</v>
      </c>
      <c r="M4137" s="2" t="str">
        <f>_xlfn.IFS(TelecomData[[#This Row],[TenureMonths]]&lt;=12, "0-1 Year", TelecomData[[#This Row],[TenureMonths]]&lt;=36, "1-3 Years", TelecomData[[#This Row],[TenureMonths]]&gt;36, "3+ Years")</f>
        <v>1-3 Years</v>
      </c>
      <c r="N4137" s="2" t="str">
        <f>IF(TelecomData[[#This Row],[CleanedTotalCharges]]&gt;=2500,"High Spend", "Standard Spend")</f>
        <v>High Spend</v>
      </c>
    </row>
    <row r="4138" spans="1:14" x14ac:dyDescent="0.3">
      <c r="A4138" s="1" t="s">
        <v>4162</v>
      </c>
      <c r="B4138" s="2" t="s">
        <v>19</v>
      </c>
      <c r="C4138" s="2" t="s">
        <v>20</v>
      </c>
      <c r="D4138" s="2">
        <v>47</v>
      </c>
      <c r="E4138" s="2" t="s">
        <v>15</v>
      </c>
      <c r="F4138" s="2" t="s">
        <v>36</v>
      </c>
      <c r="G4138" s="7">
        <v>19.899999999999999</v>
      </c>
      <c r="H4138" s="7">
        <v>942.95</v>
      </c>
      <c r="I4138" s="2" t="s">
        <v>15</v>
      </c>
      <c r="J4138" s="2" t="s">
        <v>15</v>
      </c>
      <c r="K4138" s="2" t="s">
        <v>24</v>
      </c>
      <c r="L4138" s="7">
        <v>942.95</v>
      </c>
      <c r="M4138" s="2" t="str">
        <f>_xlfn.IFS(TelecomData[[#This Row],[TenureMonths]]&lt;=12, "0-1 Year", TelecomData[[#This Row],[TenureMonths]]&lt;=36, "1-3 Years", TelecomData[[#This Row],[TenureMonths]]&gt;36, "3+ Years")</f>
        <v>3+ Years</v>
      </c>
      <c r="N4138" s="2" t="str">
        <f>IF(TelecomData[[#This Row],[CleanedTotalCharges]]&gt;=2500,"High Spend", "Standard Spend")</f>
        <v>Standard Spend</v>
      </c>
    </row>
    <row r="4139" spans="1:14" x14ac:dyDescent="0.3">
      <c r="A4139" s="1" t="s">
        <v>4163</v>
      </c>
      <c r="B4139" s="2" t="s">
        <v>12</v>
      </c>
      <c r="C4139" s="2" t="s">
        <v>13</v>
      </c>
      <c r="D4139" s="2">
        <v>12</v>
      </c>
      <c r="E4139" s="2" t="s">
        <v>15</v>
      </c>
      <c r="F4139" s="2" t="s">
        <v>36</v>
      </c>
      <c r="G4139" s="7">
        <v>20.100000000000001</v>
      </c>
      <c r="H4139" s="7">
        <v>232.4</v>
      </c>
      <c r="I4139" s="2" t="s">
        <v>15</v>
      </c>
      <c r="J4139" s="2" t="s">
        <v>16</v>
      </c>
      <c r="K4139" s="2" t="s">
        <v>29</v>
      </c>
      <c r="L4139" s="7">
        <v>232.4</v>
      </c>
      <c r="M4139" s="2" t="str">
        <f>_xlfn.IFS(TelecomData[[#This Row],[TenureMonths]]&lt;=12, "0-1 Year", TelecomData[[#This Row],[TenureMonths]]&lt;=36, "1-3 Years", TelecomData[[#This Row],[TenureMonths]]&gt;36, "3+ Years")</f>
        <v>0-1 Year</v>
      </c>
      <c r="N4139" s="2" t="str">
        <f>IF(TelecomData[[#This Row],[CleanedTotalCharges]]&gt;=2500,"High Spend", "Standard Spend")</f>
        <v>Standard Spend</v>
      </c>
    </row>
    <row r="4140" spans="1:14" x14ac:dyDescent="0.3">
      <c r="A4140" s="1" t="s">
        <v>4164</v>
      </c>
      <c r="B4140" s="2" t="s">
        <v>12</v>
      </c>
      <c r="C4140" s="2" t="s">
        <v>13</v>
      </c>
      <c r="D4140" s="2">
        <v>1</v>
      </c>
      <c r="E4140" s="2" t="s">
        <v>26</v>
      </c>
      <c r="F4140" s="2" t="s">
        <v>15</v>
      </c>
      <c r="G4140" s="7">
        <v>85.45</v>
      </c>
      <c r="H4140" s="7">
        <v>85.45</v>
      </c>
      <c r="I4140" s="2" t="s">
        <v>16</v>
      </c>
      <c r="J4140" s="2" t="s">
        <v>16</v>
      </c>
      <c r="K4140" s="2" t="s">
        <v>17</v>
      </c>
      <c r="L4140" s="7">
        <v>85.45</v>
      </c>
      <c r="M4140" s="2" t="str">
        <f>_xlfn.IFS(TelecomData[[#This Row],[TenureMonths]]&lt;=12, "0-1 Year", TelecomData[[#This Row],[TenureMonths]]&lt;=36, "1-3 Years", TelecomData[[#This Row],[TenureMonths]]&gt;36, "3+ Years")</f>
        <v>0-1 Year</v>
      </c>
      <c r="N4140" s="2" t="str">
        <f>IF(TelecomData[[#This Row],[CleanedTotalCharges]]&gt;=2500,"High Spend", "Standard Spend")</f>
        <v>Standard Spend</v>
      </c>
    </row>
    <row r="4141" spans="1:14" x14ac:dyDescent="0.3">
      <c r="A4141" s="1" t="s">
        <v>4165</v>
      </c>
      <c r="B4141" s="2" t="s">
        <v>19</v>
      </c>
      <c r="C4141" s="2" t="s">
        <v>13</v>
      </c>
      <c r="D4141" s="2">
        <v>24</v>
      </c>
      <c r="E4141" s="2" t="s">
        <v>26</v>
      </c>
      <c r="F4141" s="2" t="s">
        <v>15</v>
      </c>
      <c r="G4141" s="7">
        <v>80.5</v>
      </c>
      <c r="H4141" s="7">
        <v>2088.4499999999998</v>
      </c>
      <c r="I4141" s="2" t="s">
        <v>15</v>
      </c>
      <c r="J4141" s="2" t="s">
        <v>16</v>
      </c>
      <c r="K4141" s="2" t="s">
        <v>17</v>
      </c>
      <c r="L4141" s="7">
        <v>2088.4499999999998</v>
      </c>
      <c r="M4141" s="2" t="str">
        <f>_xlfn.IFS(TelecomData[[#This Row],[TenureMonths]]&lt;=12, "0-1 Year", TelecomData[[#This Row],[TenureMonths]]&lt;=36, "1-3 Years", TelecomData[[#This Row],[TenureMonths]]&gt;36, "3+ Years")</f>
        <v>1-3 Years</v>
      </c>
      <c r="N4141" s="2" t="str">
        <f>IF(TelecomData[[#This Row],[CleanedTotalCharges]]&gt;=2500,"High Spend", "Standard Spend")</f>
        <v>Standard Spend</v>
      </c>
    </row>
    <row r="4142" spans="1:14" x14ac:dyDescent="0.3">
      <c r="A4142" s="1" t="s">
        <v>4166</v>
      </c>
      <c r="B4142" s="2" t="s">
        <v>12</v>
      </c>
      <c r="C4142" s="2" t="s">
        <v>20</v>
      </c>
      <c r="D4142" s="2">
        <v>63</v>
      </c>
      <c r="E4142" s="2" t="s">
        <v>26</v>
      </c>
      <c r="F4142" s="2" t="s">
        <v>15</v>
      </c>
      <c r="G4142" s="7">
        <v>99.9</v>
      </c>
      <c r="H4142" s="7">
        <v>6137</v>
      </c>
      <c r="I4142" s="2" t="s">
        <v>16</v>
      </c>
      <c r="J4142" s="2" t="s">
        <v>15</v>
      </c>
      <c r="K4142" s="2" t="s">
        <v>24</v>
      </c>
      <c r="L4142" s="7">
        <v>6137</v>
      </c>
      <c r="M4142" s="2" t="str">
        <f>_xlfn.IFS(TelecomData[[#This Row],[TenureMonths]]&lt;=12, "0-1 Year", TelecomData[[#This Row],[TenureMonths]]&lt;=36, "1-3 Years", TelecomData[[#This Row],[TenureMonths]]&gt;36, "3+ Years")</f>
        <v>3+ Years</v>
      </c>
      <c r="N4142" s="2" t="str">
        <f>IF(TelecomData[[#This Row],[CleanedTotalCharges]]&gt;=2500,"High Spend", "Standard Spend")</f>
        <v>High Spend</v>
      </c>
    </row>
    <row r="4143" spans="1:14" x14ac:dyDescent="0.3">
      <c r="A4143" s="1" t="s">
        <v>4167</v>
      </c>
      <c r="B4143" s="2" t="s">
        <v>12</v>
      </c>
      <c r="C4143" s="2" t="s">
        <v>13</v>
      </c>
      <c r="D4143" s="2">
        <v>35</v>
      </c>
      <c r="E4143" s="2" t="s">
        <v>14</v>
      </c>
      <c r="F4143" s="2" t="s">
        <v>15</v>
      </c>
      <c r="G4143" s="7">
        <v>39.85</v>
      </c>
      <c r="H4143" s="7">
        <v>1434.6</v>
      </c>
      <c r="I4143" s="2" t="s">
        <v>15</v>
      </c>
      <c r="J4143" s="2" t="s">
        <v>16</v>
      </c>
      <c r="K4143" s="2" t="s">
        <v>17</v>
      </c>
      <c r="L4143" s="7">
        <v>1434.6</v>
      </c>
      <c r="M4143" s="2" t="str">
        <f>_xlfn.IFS(TelecomData[[#This Row],[TenureMonths]]&lt;=12, "0-1 Year", TelecomData[[#This Row],[TenureMonths]]&lt;=36, "1-3 Years", TelecomData[[#This Row],[TenureMonths]]&gt;36, "3+ Years")</f>
        <v>1-3 Years</v>
      </c>
      <c r="N4143" s="2" t="str">
        <f>IF(TelecomData[[#This Row],[CleanedTotalCharges]]&gt;=2500,"High Spend", "Standard Spend")</f>
        <v>Standard Spend</v>
      </c>
    </row>
    <row r="4144" spans="1:14" x14ac:dyDescent="0.3">
      <c r="A4144" s="1" t="s">
        <v>4168</v>
      </c>
      <c r="B4144" s="2" t="s">
        <v>12</v>
      </c>
      <c r="C4144" s="2" t="s">
        <v>20</v>
      </c>
      <c r="D4144" s="2">
        <v>67</v>
      </c>
      <c r="E4144" s="2" t="s">
        <v>14</v>
      </c>
      <c r="F4144" s="2" t="s">
        <v>16</v>
      </c>
      <c r="G4144" s="7">
        <v>60.5</v>
      </c>
      <c r="H4144" s="7">
        <v>3870</v>
      </c>
      <c r="I4144" s="2" t="s">
        <v>15</v>
      </c>
      <c r="J4144" s="2" t="s">
        <v>15</v>
      </c>
      <c r="K4144" s="2" t="s">
        <v>29</v>
      </c>
      <c r="L4144" s="7">
        <v>3870</v>
      </c>
      <c r="M4144" s="2" t="str">
        <f>_xlfn.IFS(TelecomData[[#This Row],[TenureMonths]]&lt;=12, "0-1 Year", TelecomData[[#This Row],[TenureMonths]]&lt;=36, "1-3 Years", TelecomData[[#This Row],[TenureMonths]]&gt;36, "3+ Years")</f>
        <v>3+ Years</v>
      </c>
      <c r="N4144" s="2" t="str">
        <f>IF(TelecomData[[#This Row],[CleanedTotalCharges]]&gt;=2500,"High Spend", "Standard Spend")</f>
        <v>High Spend</v>
      </c>
    </row>
    <row r="4145" spans="1:14" x14ac:dyDescent="0.3">
      <c r="A4145" s="1" t="s">
        <v>4169</v>
      </c>
      <c r="B4145" s="2" t="s">
        <v>19</v>
      </c>
      <c r="C4145" s="2" t="s">
        <v>13</v>
      </c>
      <c r="D4145" s="2">
        <v>25</v>
      </c>
      <c r="E4145" s="2" t="s">
        <v>26</v>
      </c>
      <c r="F4145" s="2" t="s">
        <v>15</v>
      </c>
      <c r="G4145" s="7">
        <v>84.8</v>
      </c>
      <c r="H4145" s="7">
        <v>2043.45</v>
      </c>
      <c r="I4145" s="2" t="s">
        <v>16</v>
      </c>
      <c r="J4145" s="2" t="s">
        <v>16</v>
      </c>
      <c r="K4145" s="2" t="s">
        <v>17</v>
      </c>
      <c r="L4145" s="7">
        <v>2043.45</v>
      </c>
      <c r="M4145" s="2" t="str">
        <f>_xlfn.IFS(TelecomData[[#This Row],[TenureMonths]]&lt;=12, "0-1 Year", TelecomData[[#This Row],[TenureMonths]]&lt;=36, "1-3 Years", TelecomData[[#This Row],[TenureMonths]]&gt;36, "3+ Years")</f>
        <v>1-3 Years</v>
      </c>
      <c r="N4145" s="2" t="str">
        <f>IF(TelecomData[[#This Row],[CleanedTotalCharges]]&gt;=2500,"High Spend", "Standard Spend")</f>
        <v>Standard Spend</v>
      </c>
    </row>
    <row r="4146" spans="1:14" x14ac:dyDescent="0.3">
      <c r="A4146" s="1" t="s">
        <v>4170</v>
      </c>
      <c r="B4146" s="2" t="s">
        <v>19</v>
      </c>
      <c r="C4146" s="2" t="s">
        <v>13</v>
      </c>
      <c r="D4146" s="2">
        <v>21</v>
      </c>
      <c r="E4146" s="2" t="s">
        <v>26</v>
      </c>
      <c r="F4146" s="2" t="s">
        <v>15</v>
      </c>
      <c r="G4146" s="7">
        <v>103.85</v>
      </c>
      <c r="H4146" s="7">
        <v>2215</v>
      </c>
      <c r="I4146" s="2" t="s">
        <v>15</v>
      </c>
      <c r="J4146" s="2" t="s">
        <v>15</v>
      </c>
      <c r="K4146" s="2" t="s">
        <v>21</v>
      </c>
      <c r="L4146" s="7">
        <v>2215</v>
      </c>
      <c r="M4146" s="2" t="str">
        <f>_xlfn.IFS(TelecomData[[#This Row],[TenureMonths]]&lt;=12, "0-1 Year", TelecomData[[#This Row],[TenureMonths]]&lt;=36, "1-3 Years", TelecomData[[#This Row],[TenureMonths]]&gt;36, "3+ Years")</f>
        <v>1-3 Years</v>
      </c>
      <c r="N4146" s="2" t="str">
        <f>IF(TelecomData[[#This Row],[CleanedTotalCharges]]&gt;=2500,"High Spend", "Standard Spend")</f>
        <v>Standard Spend</v>
      </c>
    </row>
    <row r="4147" spans="1:14" x14ac:dyDescent="0.3">
      <c r="A4147" s="1" t="s">
        <v>4171</v>
      </c>
      <c r="B4147" s="2" t="s">
        <v>12</v>
      </c>
      <c r="C4147" s="2" t="s">
        <v>13</v>
      </c>
      <c r="D4147" s="2">
        <v>13</v>
      </c>
      <c r="E4147" s="2" t="s">
        <v>14</v>
      </c>
      <c r="F4147" s="2" t="s">
        <v>16</v>
      </c>
      <c r="G4147" s="7">
        <v>67.8</v>
      </c>
      <c r="H4147" s="7">
        <v>842.25</v>
      </c>
      <c r="I4147" s="2" t="s">
        <v>15</v>
      </c>
      <c r="J4147" s="2" t="s">
        <v>15</v>
      </c>
      <c r="K4147" s="2" t="s">
        <v>24</v>
      </c>
      <c r="L4147" s="7">
        <v>842.25</v>
      </c>
      <c r="M4147" s="2" t="str">
        <f>_xlfn.IFS(TelecomData[[#This Row],[TenureMonths]]&lt;=12, "0-1 Year", TelecomData[[#This Row],[TenureMonths]]&lt;=36, "1-3 Years", TelecomData[[#This Row],[TenureMonths]]&gt;36, "3+ Years")</f>
        <v>1-3 Years</v>
      </c>
      <c r="N4147" s="2" t="str">
        <f>IF(TelecomData[[#This Row],[CleanedTotalCharges]]&gt;=2500,"High Spend", "Standard Spend")</f>
        <v>Standard Spend</v>
      </c>
    </row>
    <row r="4148" spans="1:14" x14ac:dyDescent="0.3">
      <c r="A4148" s="1" t="s">
        <v>4172</v>
      </c>
      <c r="B4148" s="2" t="s">
        <v>19</v>
      </c>
      <c r="C4148" s="2" t="s">
        <v>13</v>
      </c>
      <c r="D4148" s="2">
        <v>35</v>
      </c>
      <c r="E4148" s="2" t="s">
        <v>26</v>
      </c>
      <c r="F4148" s="2" t="s">
        <v>15</v>
      </c>
      <c r="G4148" s="7">
        <v>75.2</v>
      </c>
      <c r="H4148" s="7">
        <v>2576.1999999999998</v>
      </c>
      <c r="I4148" s="2" t="s">
        <v>16</v>
      </c>
      <c r="J4148" s="2" t="s">
        <v>16</v>
      </c>
      <c r="K4148" s="2" t="s">
        <v>17</v>
      </c>
      <c r="L4148" s="7">
        <v>2576.1999999999998</v>
      </c>
      <c r="M4148" s="2" t="str">
        <f>_xlfn.IFS(TelecomData[[#This Row],[TenureMonths]]&lt;=12, "0-1 Year", TelecomData[[#This Row],[TenureMonths]]&lt;=36, "1-3 Years", TelecomData[[#This Row],[TenureMonths]]&gt;36, "3+ Years")</f>
        <v>1-3 Years</v>
      </c>
      <c r="N4148" s="2" t="str">
        <f>IF(TelecomData[[#This Row],[CleanedTotalCharges]]&gt;=2500,"High Spend", "Standard Spend")</f>
        <v>High Spend</v>
      </c>
    </row>
    <row r="4149" spans="1:14" x14ac:dyDescent="0.3">
      <c r="A4149" s="1" t="s">
        <v>4173</v>
      </c>
      <c r="B4149" s="2" t="s">
        <v>19</v>
      </c>
      <c r="C4149" s="2" t="s">
        <v>35</v>
      </c>
      <c r="D4149" s="2">
        <v>71</v>
      </c>
      <c r="E4149" s="2" t="s">
        <v>15</v>
      </c>
      <c r="F4149" s="2" t="s">
        <v>36</v>
      </c>
      <c r="G4149" s="7">
        <v>24.85</v>
      </c>
      <c r="H4149" s="7">
        <v>1901</v>
      </c>
      <c r="I4149" s="2" t="s">
        <v>15</v>
      </c>
      <c r="J4149" s="2" t="s">
        <v>15</v>
      </c>
      <c r="K4149" s="2" t="s">
        <v>24</v>
      </c>
      <c r="L4149" s="7">
        <v>1901</v>
      </c>
      <c r="M4149" s="2" t="str">
        <f>_xlfn.IFS(TelecomData[[#This Row],[TenureMonths]]&lt;=12, "0-1 Year", TelecomData[[#This Row],[TenureMonths]]&lt;=36, "1-3 Years", TelecomData[[#This Row],[TenureMonths]]&gt;36, "3+ Years")</f>
        <v>3+ Years</v>
      </c>
      <c r="N4149" s="2" t="str">
        <f>IF(TelecomData[[#This Row],[CleanedTotalCharges]]&gt;=2500,"High Spend", "Standard Spend")</f>
        <v>Standard Spend</v>
      </c>
    </row>
    <row r="4150" spans="1:14" x14ac:dyDescent="0.3">
      <c r="A4150" s="1" t="s">
        <v>4174</v>
      </c>
      <c r="B4150" s="2" t="s">
        <v>12</v>
      </c>
      <c r="C4150" s="2" t="s">
        <v>13</v>
      </c>
      <c r="D4150" s="2">
        <v>29</v>
      </c>
      <c r="E4150" s="2" t="s">
        <v>15</v>
      </c>
      <c r="F4150" s="2" t="s">
        <v>36</v>
      </c>
      <c r="G4150" s="7">
        <v>19.350000000000001</v>
      </c>
      <c r="H4150" s="7">
        <v>601.6</v>
      </c>
      <c r="I4150" s="2" t="s">
        <v>15</v>
      </c>
      <c r="J4150" s="2" t="s">
        <v>15</v>
      </c>
      <c r="K4150" s="2" t="s">
        <v>29</v>
      </c>
      <c r="L4150" s="7">
        <v>601.6</v>
      </c>
      <c r="M4150" s="2" t="str">
        <f>_xlfn.IFS(TelecomData[[#This Row],[TenureMonths]]&lt;=12, "0-1 Year", TelecomData[[#This Row],[TenureMonths]]&lt;=36, "1-3 Years", TelecomData[[#This Row],[TenureMonths]]&gt;36, "3+ Years")</f>
        <v>1-3 Years</v>
      </c>
      <c r="N4150" s="2" t="str">
        <f>IF(TelecomData[[#This Row],[CleanedTotalCharges]]&gt;=2500,"High Spend", "Standard Spend")</f>
        <v>Standard Spend</v>
      </c>
    </row>
    <row r="4151" spans="1:14" x14ac:dyDescent="0.3">
      <c r="A4151" s="1" t="s">
        <v>4175</v>
      </c>
      <c r="B4151" s="2" t="s">
        <v>19</v>
      </c>
      <c r="C4151" s="2" t="s">
        <v>35</v>
      </c>
      <c r="D4151" s="2">
        <v>71</v>
      </c>
      <c r="E4151" s="2" t="s">
        <v>14</v>
      </c>
      <c r="F4151" s="2" t="s">
        <v>15</v>
      </c>
      <c r="G4151" s="7">
        <v>49.35</v>
      </c>
      <c r="H4151" s="7">
        <v>3515.25</v>
      </c>
      <c r="I4151" s="2" t="s">
        <v>16</v>
      </c>
      <c r="J4151" s="2" t="s">
        <v>15</v>
      </c>
      <c r="K4151" s="2" t="s">
        <v>17</v>
      </c>
      <c r="L4151" s="7">
        <v>3515.25</v>
      </c>
      <c r="M4151" s="2" t="str">
        <f>_xlfn.IFS(TelecomData[[#This Row],[TenureMonths]]&lt;=12, "0-1 Year", TelecomData[[#This Row],[TenureMonths]]&lt;=36, "1-3 Years", TelecomData[[#This Row],[TenureMonths]]&gt;36, "3+ Years")</f>
        <v>3+ Years</v>
      </c>
      <c r="N4151" s="2" t="str">
        <f>IF(TelecomData[[#This Row],[CleanedTotalCharges]]&gt;=2500,"High Spend", "Standard Spend")</f>
        <v>High Spend</v>
      </c>
    </row>
    <row r="4152" spans="1:14" x14ac:dyDescent="0.3">
      <c r="A4152" s="1" t="s">
        <v>4176</v>
      </c>
      <c r="B4152" s="2" t="s">
        <v>19</v>
      </c>
      <c r="C4152" s="2" t="s">
        <v>13</v>
      </c>
      <c r="D4152" s="2">
        <v>7</v>
      </c>
      <c r="E4152" s="2" t="s">
        <v>26</v>
      </c>
      <c r="F4152" s="2" t="s">
        <v>15</v>
      </c>
      <c r="G4152" s="7">
        <v>89</v>
      </c>
      <c r="H4152" s="7">
        <v>605.45000000000005</v>
      </c>
      <c r="I4152" s="2" t="s">
        <v>15</v>
      </c>
      <c r="J4152" s="2" t="s">
        <v>16</v>
      </c>
      <c r="K4152" s="2" t="s">
        <v>17</v>
      </c>
      <c r="L4152" s="7">
        <v>605.45000000000005</v>
      </c>
      <c r="M4152" s="2" t="str">
        <f>_xlfn.IFS(TelecomData[[#This Row],[TenureMonths]]&lt;=12, "0-1 Year", TelecomData[[#This Row],[TenureMonths]]&lt;=36, "1-3 Years", TelecomData[[#This Row],[TenureMonths]]&gt;36, "3+ Years")</f>
        <v>0-1 Year</v>
      </c>
      <c r="N4152" s="2" t="str">
        <f>IF(TelecomData[[#This Row],[CleanedTotalCharges]]&gt;=2500,"High Spend", "Standard Spend")</f>
        <v>Standard Spend</v>
      </c>
    </row>
    <row r="4153" spans="1:14" x14ac:dyDescent="0.3">
      <c r="A4153" s="1" t="s">
        <v>4177</v>
      </c>
      <c r="B4153" s="2" t="s">
        <v>12</v>
      </c>
      <c r="C4153" s="2" t="s">
        <v>13</v>
      </c>
      <c r="D4153" s="2">
        <v>57</v>
      </c>
      <c r="E4153" s="2" t="s">
        <v>14</v>
      </c>
      <c r="F4153" s="2" t="s">
        <v>15</v>
      </c>
      <c r="G4153" s="7">
        <v>55</v>
      </c>
      <c r="H4153" s="7">
        <v>3094.05</v>
      </c>
      <c r="I4153" s="2" t="s">
        <v>15</v>
      </c>
      <c r="J4153" s="2" t="s">
        <v>16</v>
      </c>
      <c r="K4153" s="2" t="s">
        <v>17</v>
      </c>
      <c r="L4153" s="7">
        <v>3094.05</v>
      </c>
      <c r="M4153" s="2" t="str">
        <f>_xlfn.IFS(TelecomData[[#This Row],[TenureMonths]]&lt;=12, "0-1 Year", TelecomData[[#This Row],[TenureMonths]]&lt;=36, "1-3 Years", TelecomData[[#This Row],[TenureMonths]]&gt;36, "3+ Years")</f>
        <v>3+ Years</v>
      </c>
      <c r="N4153" s="2" t="str">
        <f>IF(TelecomData[[#This Row],[CleanedTotalCharges]]&gt;=2500,"High Spend", "Standard Spend")</f>
        <v>High Spend</v>
      </c>
    </row>
    <row r="4154" spans="1:14" x14ac:dyDescent="0.3">
      <c r="A4154" s="1" t="s">
        <v>4178</v>
      </c>
      <c r="B4154" s="2" t="s">
        <v>19</v>
      </c>
      <c r="C4154" s="2" t="s">
        <v>35</v>
      </c>
      <c r="D4154" s="2">
        <v>65</v>
      </c>
      <c r="E4154" s="2" t="s">
        <v>14</v>
      </c>
      <c r="F4154" s="2" t="s">
        <v>16</v>
      </c>
      <c r="G4154" s="7">
        <v>76.150000000000006</v>
      </c>
      <c r="H4154" s="7">
        <v>4929.55</v>
      </c>
      <c r="I4154" s="2" t="s">
        <v>15</v>
      </c>
      <c r="J4154" s="2" t="s">
        <v>15</v>
      </c>
      <c r="K4154" s="2" t="s">
        <v>24</v>
      </c>
      <c r="L4154" s="7">
        <v>4929.55</v>
      </c>
      <c r="M4154" s="2" t="str">
        <f>_xlfn.IFS(TelecomData[[#This Row],[TenureMonths]]&lt;=12, "0-1 Year", TelecomData[[#This Row],[TenureMonths]]&lt;=36, "1-3 Years", TelecomData[[#This Row],[TenureMonths]]&gt;36, "3+ Years")</f>
        <v>3+ Years</v>
      </c>
      <c r="N4154" s="2" t="str">
        <f>IF(TelecomData[[#This Row],[CleanedTotalCharges]]&gt;=2500,"High Spend", "Standard Spend")</f>
        <v>High Spend</v>
      </c>
    </row>
    <row r="4155" spans="1:14" x14ac:dyDescent="0.3">
      <c r="A4155" s="1" t="s">
        <v>4179</v>
      </c>
      <c r="B4155" s="2" t="s">
        <v>19</v>
      </c>
      <c r="C4155" s="2" t="s">
        <v>20</v>
      </c>
      <c r="D4155" s="2">
        <v>27</v>
      </c>
      <c r="E4155" s="2" t="s">
        <v>15</v>
      </c>
      <c r="F4155" s="2" t="s">
        <v>36</v>
      </c>
      <c r="G4155" s="7">
        <v>20.3</v>
      </c>
      <c r="H4155" s="7">
        <v>595.04999999999995</v>
      </c>
      <c r="I4155" s="2" t="s">
        <v>15</v>
      </c>
      <c r="J4155" s="2" t="s">
        <v>15</v>
      </c>
      <c r="K4155" s="2" t="s">
        <v>21</v>
      </c>
      <c r="L4155" s="7">
        <v>595.04999999999995</v>
      </c>
      <c r="M4155" s="2" t="str">
        <f>_xlfn.IFS(TelecomData[[#This Row],[TenureMonths]]&lt;=12, "0-1 Year", TelecomData[[#This Row],[TenureMonths]]&lt;=36, "1-3 Years", TelecomData[[#This Row],[TenureMonths]]&gt;36, "3+ Years")</f>
        <v>1-3 Years</v>
      </c>
      <c r="N4155" s="2" t="str">
        <f>IF(TelecomData[[#This Row],[CleanedTotalCharges]]&gt;=2500,"High Spend", "Standard Spend")</f>
        <v>Standard Spend</v>
      </c>
    </row>
    <row r="4156" spans="1:14" x14ac:dyDescent="0.3">
      <c r="A4156" s="1" t="s">
        <v>4180</v>
      </c>
      <c r="B4156" s="2" t="s">
        <v>19</v>
      </c>
      <c r="C4156" s="2" t="s">
        <v>13</v>
      </c>
      <c r="D4156" s="2">
        <v>6</v>
      </c>
      <c r="E4156" s="2" t="s">
        <v>26</v>
      </c>
      <c r="F4156" s="2" t="s">
        <v>15</v>
      </c>
      <c r="G4156" s="7">
        <v>74.900000000000006</v>
      </c>
      <c r="H4156" s="7">
        <v>469.8</v>
      </c>
      <c r="I4156" s="2" t="s">
        <v>16</v>
      </c>
      <c r="J4156" s="2" t="s">
        <v>16</v>
      </c>
      <c r="K4156" s="2" t="s">
        <v>17</v>
      </c>
      <c r="L4156" s="7">
        <v>469.8</v>
      </c>
      <c r="M4156" s="2" t="str">
        <f>_xlfn.IFS(TelecomData[[#This Row],[TenureMonths]]&lt;=12, "0-1 Year", TelecomData[[#This Row],[TenureMonths]]&lt;=36, "1-3 Years", TelecomData[[#This Row],[TenureMonths]]&gt;36, "3+ Years")</f>
        <v>0-1 Year</v>
      </c>
      <c r="N4156" s="2" t="str">
        <f>IF(TelecomData[[#This Row],[CleanedTotalCharges]]&gt;=2500,"High Spend", "Standard Spend")</f>
        <v>Standard Spend</v>
      </c>
    </row>
    <row r="4157" spans="1:14" x14ac:dyDescent="0.3">
      <c r="A4157" s="1" t="s">
        <v>4181</v>
      </c>
      <c r="B4157" s="2" t="s">
        <v>12</v>
      </c>
      <c r="C4157" s="2" t="s">
        <v>35</v>
      </c>
      <c r="D4157" s="2">
        <v>72</v>
      </c>
      <c r="E4157" s="2" t="s">
        <v>26</v>
      </c>
      <c r="F4157" s="2" t="s">
        <v>16</v>
      </c>
      <c r="G4157" s="7">
        <v>117.35</v>
      </c>
      <c r="H4157" s="7">
        <v>8436.25</v>
      </c>
      <c r="I4157" s="2" t="s">
        <v>15</v>
      </c>
      <c r="J4157" s="2" t="s">
        <v>16</v>
      </c>
      <c r="K4157" s="2" t="s">
        <v>29</v>
      </c>
      <c r="L4157" s="7">
        <v>8436.25</v>
      </c>
      <c r="M4157" s="2" t="str">
        <f>_xlfn.IFS(TelecomData[[#This Row],[TenureMonths]]&lt;=12, "0-1 Year", TelecomData[[#This Row],[TenureMonths]]&lt;=36, "1-3 Years", TelecomData[[#This Row],[TenureMonths]]&gt;36, "3+ Years")</f>
        <v>3+ Years</v>
      </c>
      <c r="N4157" s="2" t="str">
        <f>IF(TelecomData[[#This Row],[CleanedTotalCharges]]&gt;=2500,"High Spend", "Standard Spend")</f>
        <v>High Spend</v>
      </c>
    </row>
    <row r="4158" spans="1:14" x14ac:dyDescent="0.3">
      <c r="A4158" s="1" t="s">
        <v>4182</v>
      </c>
      <c r="B4158" s="2" t="s">
        <v>19</v>
      </c>
      <c r="C4158" s="2" t="s">
        <v>13</v>
      </c>
      <c r="D4158" s="2">
        <v>1</v>
      </c>
      <c r="E4158" s="2" t="s">
        <v>15</v>
      </c>
      <c r="F4158" s="2" t="s">
        <v>36</v>
      </c>
      <c r="G4158" s="7">
        <v>19.75</v>
      </c>
      <c r="H4158" s="7">
        <v>19.75</v>
      </c>
      <c r="I4158" s="2" t="s">
        <v>15</v>
      </c>
      <c r="J4158" s="2" t="s">
        <v>16</v>
      </c>
      <c r="K4158" s="2" t="s">
        <v>21</v>
      </c>
      <c r="L4158" s="7">
        <v>19.75</v>
      </c>
      <c r="M4158" s="2" t="str">
        <f>_xlfn.IFS(TelecomData[[#This Row],[TenureMonths]]&lt;=12, "0-1 Year", TelecomData[[#This Row],[TenureMonths]]&lt;=36, "1-3 Years", TelecomData[[#This Row],[TenureMonths]]&gt;36, "3+ Years")</f>
        <v>0-1 Year</v>
      </c>
      <c r="N4158" s="2" t="str">
        <f>IF(TelecomData[[#This Row],[CleanedTotalCharges]]&gt;=2500,"High Spend", "Standard Spend")</f>
        <v>Standard Spend</v>
      </c>
    </row>
    <row r="4159" spans="1:14" x14ac:dyDescent="0.3">
      <c r="A4159" s="1" t="s">
        <v>4183</v>
      </c>
      <c r="B4159" s="2" t="s">
        <v>19</v>
      </c>
      <c r="C4159" s="2" t="s">
        <v>13</v>
      </c>
      <c r="D4159" s="2">
        <v>11</v>
      </c>
      <c r="E4159" s="2" t="s">
        <v>14</v>
      </c>
      <c r="F4159" s="2" t="s">
        <v>15</v>
      </c>
      <c r="G4159" s="7">
        <v>45.2</v>
      </c>
      <c r="H4159" s="7">
        <v>492</v>
      </c>
      <c r="I4159" s="2" t="s">
        <v>15</v>
      </c>
      <c r="J4159" s="2" t="s">
        <v>15</v>
      </c>
      <c r="K4159" s="2" t="s">
        <v>29</v>
      </c>
      <c r="L4159" s="7">
        <v>492</v>
      </c>
      <c r="M4159" s="2" t="str">
        <f>_xlfn.IFS(TelecomData[[#This Row],[TenureMonths]]&lt;=12, "0-1 Year", TelecomData[[#This Row],[TenureMonths]]&lt;=36, "1-3 Years", TelecomData[[#This Row],[TenureMonths]]&gt;36, "3+ Years")</f>
        <v>0-1 Year</v>
      </c>
      <c r="N4159" s="2" t="str">
        <f>IF(TelecomData[[#This Row],[CleanedTotalCharges]]&gt;=2500,"High Spend", "Standard Spend")</f>
        <v>Standard Spend</v>
      </c>
    </row>
    <row r="4160" spans="1:14" x14ac:dyDescent="0.3">
      <c r="A4160" s="1" t="s">
        <v>4184</v>
      </c>
      <c r="B4160" s="2" t="s">
        <v>19</v>
      </c>
      <c r="C4160" s="2" t="s">
        <v>35</v>
      </c>
      <c r="D4160" s="2">
        <v>39</v>
      </c>
      <c r="E4160" s="2" t="s">
        <v>15</v>
      </c>
      <c r="F4160" s="2" t="s">
        <v>36</v>
      </c>
      <c r="G4160" s="7">
        <v>25.2</v>
      </c>
      <c r="H4160" s="7">
        <v>987.95</v>
      </c>
      <c r="I4160" s="2" t="s">
        <v>15</v>
      </c>
      <c r="J4160" s="2" t="s">
        <v>15</v>
      </c>
      <c r="K4160" s="2" t="s">
        <v>21</v>
      </c>
      <c r="L4160" s="7">
        <v>987.95</v>
      </c>
      <c r="M4160" s="2" t="str">
        <f>_xlfn.IFS(TelecomData[[#This Row],[TenureMonths]]&lt;=12, "0-1 Year", TelecomData[[#This Row],[TenureMonths]]&lt;=36, "1-3 Years", TelecomData[[#This Row],[TenureMonths]]&gt;36, "3+ Years")</f>
        <v>3+ Years</v>
      </c>
      <c r="N4160" s="2" t="str">
        <f>IF(TelecomData[[#This Row],[CleanedTotalCharges]]&gt;=2500,"High Spend", "Standard Spend")</f>
        <v>Standard Spend</v>
      </c>
    </row>
    <row r="4161" spans="1:14" x14ac:dyDescent="0.3">
      <c r="A4161" s="1" t="s">
        <v>4185</v>
      </c>
      <c r="B4161" s="2" t="s">
        <v>12</v>
      </c>
      <c r="C4161" s="2" t="s">
        <v>13</v>
      </c>
      <c r="D4161" s="2">
        <v>59</v>
      </c>
      <c r="E4161" s="2" t="s">
        <v>26</v>
      </c>
      <c r="F4161" s="2" t="s">
        <v>15</v>
      </c>
      <c r="G4161" s="7">
        <v>89.75</v>
      </c>
      <c r="H4161" s="7">
        <v>5496.9</v>
      </c>
      <c r="I4161" s="2" t="s">
        <v>15</v>
      </c>
      <c r="J4161" s="2" t="s">
        <v>16</v>
      </c>
      <c r="K4161" s="2" t="s">
        <v>17</v>
      </c>
      <c r="L4161" s="7">
        <v>5496.9</v>
      </c>
      <c r="M4161" s="2" t="str">
        <f>_xlfn.IFS(TelecomData[[#This Row],[TenureMonths]]&lt;=12, "0-1 Year", TelecomData[[#This Row],[TenureMonths]]&lt;=36, "1-3 Years", TelecomData[[#This Row],[TenureMonths]]&gt;36, "3+ Years")</f>
        <v>3+ Years</v>
      </c>
      <c r="N4161" s="2" t="str">
        <f>IF(TelecomData[[#This Row],[CleanedTotalCharges]]&gt;=2500,"High Spend", "Standard Spend")</f>
        <v>High Spend</v>
      </c>
    </row>
    <row r="4162" spans="1:14" x14ac:dyDescent="0.3">
      <c r="A4162" s="1" t="s">
        <v>4186</v>
      </c>
      <c r="B4162" s="2" t="s">
        <v>19</v>
      </c>
      <c r="C4162" s="2" t="s">
        <v>20</v>
      </c>
      <c r="D4162" s="2">
        <v>26</v>
      </c>
      <c r="E4162" s="2" t="s">
        <v>14</v>
      </c>
      <c r="F4162" s="2" t="s">
        <v>16</v>
      </c>
      <c r="G4162" s="7">
        <v>75</v>
      </c>
      <c r="H4162" s="7">
        <v>1908.35</v>
      </c>
      <c r="I4162" s="2" t="s">
        <v>15</v>
      </c>
      <c r="J4162" s="2" t="s">
        <v>15</v>
      </c>
      <c r="K4162" s="2" t="s">
        <v>24</v>
      </c>
      <c r="L4162" s="7">
        <v>1908.35</v>
      </c>
      <c r="M4162" s="2" t="str">
        <f>_xlfn.IFS(TelecomData[[#This Row],[TenureMonths]]&lt;=12, "0-1 Year", TelecomData[[#This Row],[TenureMonths]]&lt;=36, "1-3 Years", TelecomData[[#This Row],[TenureMonths]]&gt;36, "3+ Years")</f>
        <v>1-3 Years</v>
      </c>
      <c r="N4162" s="2" t="str">
        <f>IF(TelecomData[[#This Row],[CleanedTotalCharges]]&gt;=2500,"High Spend", "Standard Spend")</f>
        <v>Standard Spend</v>
      </c>
    </row>
    <row r="4163" spans="1:14" x14ac:dyDescent="0.3">
      <c r="A4163" s="1" t="s">
        <v>4187</v>
      </c>
      <c r="B4163" s="2" t="s">
        <v>19</v>
      </c>
      <c r="C4163" s="2" t="s">
        <v>13</v>
      </c>
      <c r="D4163" s="2">
        <v>2</v>
      </c>
      <c r="E4163" s="2" t="s">
        <v>14</v>
      </c>
      <c r="F4163" s="2" t="s">
        <v>15</v>
      </c>
      <c r="G4163" s="7">
        <v>49.95</v>
      </c>
      <c r="H4163" s="7">
        <v>107.1</v>
      </c>
      <c r="I4163" s="2" t="s">
        <v>15</v>
      </c>
      <c r="J4163" s="2" t="s">
        <v>15</v>
      </c>
      <c r="K4163" s="2" t="s">
        <v>21</v>
      </c>
      <c r="L4163" s="7">
        <v>107.1</v>
      </c>
      <c r="M4163" s="2" t="str">
        <f>_xlfn.IFS(TelecomData[[#This Row],[TenureMonths]]&lt;=12, "0-1 Year", TelecomData[[#This Row],[TenureMonths]]&lt;=36, "1-3 Years", TelecomData[[#This Row],[TenureMonths]]&gt;36, "3+ Years")</f>
        <v>0-1 Year</v>
      </c>
      <c r="N4163" s="2" t="str">
        <f>IF(TelecomData[[#This Row],[CleanedTotalCharges]]&gt;=2500,"High Spend", "Standard Spend")</f>
        <v>Standard Spend</v>
      </c>
    </row>
    <row r="4164" spans="1:14" x14ac:dyDescent="0.3">
      <c r="A4164" s="1" t="s">
        <v>4188</v>
      </c>
      <c r="B4164" s="2" t="s">
        <v>12</v>
      </c>
      <c r="C4164" s="2" t="s">
        <v>35</v>
      </c>
      <c r="D4164" s="2">
        <v>72</v>
      </c>
      <c r="E4164" s="2" t="s">
        <v>14</v>
      </c>
      <c r="F4164" s="2" t="s">
        <v>16</v>
      </c>
      <c r="G4164" s="7">
        <v>65.7</v>
      </c>
      <c r="H4164" s="7">
        <v>4575.3500000000004</v>
      </c>
      <c r="I4164" s="2" t="s">
        <v>15</v>
      </c>
      <c r="J4164" s="2" t="s">
        <v>15</v>
      </c>
      <c r="K4164" s="2" t="s">
        <v>24</v>
      </c>
      <c r="L4164" s="7">
        <v>4575.3500000000004</v>
      </c>
      <c r="M4164" s="2" t="str">
        <f>_xlfn.IFS(TelecomData[[#This Row],[TenureMonths]]&lt;=12, "0-1 Year", TelecomData[[#This Row],[TenureMonths]]&lt;=36, "1-3 Years", TelecomData[[#This Row],[TenureMonths]]&gt;36, "3+ Years")</f>
        <v>3+ Years</v>
      </c>
      <c r="N4164" s="2" t="str">
        <f>IF(TelecomData[[#This Row],[CleanedTotalCharges]]&gt;=2500,"High Spend", "Standard Spend")</f>
        <v>High Spend</v>
      </c>
    </row>
    <row r="4165" spans="1:14" x14ac:dyDescent="0.3">
      <c r="A4165" s="1" t="s">
        <v>4189</v>
      </c>
      <c r="B4165" s="2" t="s">
        <v>19</v>
      </c>
      <c r="C4165" s="2" t="s">
        <v>20</v>
      </c>
      <c r="D4165" s="2">
        <v>65</v>
      </c>
      <c r="E4165" s="2" t="s">
        <v>14</v>
      </c>
      <c r="F4165" s="2" t="s">
        <v>15</v>
      </c>
      <c r="G4165" s="7">
        <v>67.05</v>
      </c>
      <c r="H4165" s="7">
        <v>4309.55</v>
      </c>
      <c r="I4165" s="2" t="s">
        <v>15</v>
      </c>
      <c r="J4165" s="2" t="s">
        <v>15</v>
      </c>
      <c r="K4165" s="2" t="s">
        <v>29</v>
      </c>
      <c r="L4165" s="7">
        <v>4309.55</v>
      </c>
      <c r="M4165" s="2" t="str">
        <f>_xlfn.IFS(TelecomData[[#This Row],[TenureMonths]]&lt;=12, "0-1 Year", TelecomData[[#This Row],[TenureMonths]]&lt;=36, "1-3 Years", TelecomData[[#This Row],[TenureMonths]]&gt;36, "3+ Years")</f>
        <v>3+ Years</v>
      </c>
      <c r="N4165" s="2" t="str">
        <f>IF(TelecomData[[#This Row],[CleanedTotalCharges]]&gt;=2500,"High Spend", "Standard Spend")</f>
        <v>High Spend</v>
      </c>
    </row>
    <row r="4166" spans="1:14" x14ac:dyDescent="0.3">
      <c r="A4166" s="1" t="s">
        <v>4190</v>
      </c>
      <c r="B4166" s="2" t="s">
        <v>19</v>
      </c>
      <c r="C4166" s="2" t="s">
        <v>35</v>
      </c>
      <c r="D4166" s="2">
        <v>72</v>
      </c>
      <c r="E4166" s="2" t="s">
        <v>26</v>
      </c>
      <c r="F4166" s="2" t="s">
        <v>16</v>
      </c>
      <c r="G4166" s="7">
        <v>110.9</v>
      </c>
      <c r="H4166" s="7">
        <v>7922.75</v>
      </c>
      <c r="I4166" s="2" t="s">
        <v>15</v>
      </c>
      <c r="J4166" s="2" t="s">
        <v>15</v>
      </c>
      <c r="K4166" s="2" t="s">
        <v>29</v>
      </c>
      <c r="L4166" s="7">
        <v>7922.75</v>
      </c>
      <c r="M4166" s="2" t="str">
        <f>_xlfn.IFS(TelecomData[[#This Row],[TenureMonths]]&lt;=12, "0-1 Year", TelecomData[[#This Row],[TenureMonths]]&lt;=36, "1-3 Years", TelecomData[[#This Row],[TenureMonths]]&gt;36, "3+ Years")</f>
        <v>3+ Years</v>
      </c>
      <c r="N4166" s="2" t="str">
        <f>IF(TelecomData[[#This Row],[CleanedTotalCharges]]&gt;=2500,"High Spend", "Standard Spend")</f>
        <v>High Spend</v>
      </c>
    </row>
    <row r="4167" spans="1:14" x14ac:dyDescent="0.3">
      <c r="A4167" s="1" t="s">
        <v>4191</v>
      </c>
      <c r="B4167" s="2" t="s">
        <v>19</v>
      </c>
      <c r="C4167" s="2" t="s">
        <v>13</v>
      </c>
      <c r="D4167" s="2">
        <v>6</v>
      </c>
      <c r="E4167" s="2" t="s">
        <v>26</v>
      </c>
      <c r="F4167" s="2" t="s">
        <v>16</v>
      </c>
      <c r="G4167" s="7">
        <v>87.95</v>
      </c>
      <c r="H4167" s="7">
        <v>522.35</v>
      </c>
      <c r="I4167" s="2" t="s">
        <v>15</v>
      </c>
      <c r="J4167" s="2" t="s">
        <v>16</v>
      </c>
      <c r="K4167" s="2" t="s">
        <v>24</v>
      </c>
      <c r="L4167" s="7">
        <v>522.35</v>
      </c>
      <c r="M4167" s="2" t="str">
        <f>_xlfn.IFS(TelecomData[[#This Row],[TenureMonths]]&lt;=12, "0-1 Year", TelecomData[[#This Row],[TenureMonths]]&lt;=36, "1-3 Years", TelecomData[[#This Row],[TenureMonths]]&gt;36, "3+ Years")</f>
        <v>0-1 Year</v>
      </c>
      <c r="N4167" s="2" t="str">
        <f>IF(TelecomData[[#This Row],[CleanedTotalCharges]]&gt;=2500,"High Spend", "Standard Spend")</f>
        <v>Standard Spend</v>
      </c>
    </row>
    <row r="4168" spans="1:14" x14ac:dyDescent="0.3">
      <c r="A4168" s="1" t="s">
        <v>4192</v>
      </c>
      <c r="B4168" s="2" t="s">
        <v>19</v>
      </c>
      <c r="C4168" s="2" t="s">
        <v>20</v>
      </c>
      <c r="D4168" s="2">
        <v>32</v>
      </c>
      <c r="E4168" s="2" t="s">
        <v>15</v>
      </c>
      <c r="F4168" s="2" t="s">
        <v>36</v>
      </c>
      <c r="G4168" s="7">
        <v>19.8</v>
      </c>
      <c r="H4168" s="7">
        <v>587.70000000000005</v>
      </c>
      <c r="I4168" s="2" t="s">
        <v>15</v>
      </c>
      <c r="J4168" s="2" t="s">
        <v>15</v>
      </c>
      <c r="K4168" s="2" t="s">
        <v>29</v>
      </c>
      <c r="L4168" s="7">
        <v>587.70000000000005</v>
      </c>
      <c r="M4168" s="2" t="str">
        <f>_xlfn.IFS(TelecomData[[#This Row],[TenureMonths]]&lt;=12, "0-1 Year", TelecomData[[#This Row],[TenureMonths]]&lt;=36, "1-3 Years", TelecomData[[#This Row],[TenureMonths]]&gt;36, "3+ Years")</f>
        <v>1-3 Years</v>
      </c>
      <c r="N4168" s="2" t="str">
        <f>IF(TelecomData[[#This Row],[CleanedTotalCharges]]&gt;=2500,"High Spend", "Standard Spend")</f>
        <v>Standard Spend</v>
      </c>
    </row>
    <row r="4169" spans="1:14" x14ac:dyDescent="0.3">
      <c r="A4169" s="1" t="s">
        <v>4193</v>
      </c>
      <c r="B4169" s="2" t="s">
        <v>12</v>
      </c>
      <c r="C4169" s="2" t="s">
        <v>20</v>
      </c>
      <c r="D4169" s="2">
        <v>50</v>
      </c>
      <c r="E4169" s="2" t="s">
        <v>14</v>
      </c>
      <c r="F4169" s="2" t="s">
        <v>15</v>
      </c>
      <c r="G4169" s="7">
        <v>75.7</v>
      </c>
      <c r="H4169" s="7">
        <v>3876.2</v>
      </c>
      <c r="I4169" s="2" t="s">
        <v>15</v>
      </c>
      <c r="J4169" s="2" t="s">
        <v>15</v>
      </c>
      <c r="K4169" s="2" t="s">
        <v>24</v>
      </c>
      <c r="L4169" s="7">
        <v>3876.2</v>
      </c>
      <c r="M4169" s="2" t="str">
        <f>_xlfn.IFS(TelecomData[[#This Row],[TenureMonths]]&lt;=12, "0-1 Year", TelecomData[[#This Row],[TenureMonths]]&lt;=36, "1-3 Years", TelecomData[[#This Row],[TenureMonths]]&gt;36, "3+ Years")</f>
        <v>3+ Years</v>
      </c>
      <c r="N4169" s="2" t="str">
        <f>IF(TelecomData[[#This Row],[CleanedTotalCharges]]&gt;=2500,"High Spend", "Standard Spend")</f>
        <v>High Spend</v>
      </c>
    </row>
    <row r="4170" spans="1:14" x14ac:dyDescent="0.3">
      <c r="A4170" s="1" t="s">
        <v>4194</v>
      </c>
      <c r="B4170" s="2" t="s">
        <v>19</v>
      </c>
      <c r="C4170" s="2" t="s">
        <v>35</v>
      </c>
      <c r="D4170" s="2">
        <v>61</v>
      </c>
      <c r="E4170" s="2" t="s">
        <v>14</v>
      </c>
      <c r="F4170" s="2" t="s">
        <v>16</v>
      </c>
      <c r="G4170" s="7">
        <v>62.15</v>
      </c>
      <c r="H4170" s="7">
        <v>3778.85</v>
      </c>
      <c r="I4170" s="2" t="s">
        <v>15</v>
      </c>
      <c r="J4170" s="2" t="s">
        <v>16</v>
      </c>
      <c r="K4170" s="2" t="s">
        <v>21</v>
      </c>
      <c r="L4170" s="7">
        <v>3778.85</v>
      </c>
      <c r="M4170" s="2" t="str">
        <f>_xlfn.IFS(TelecomData[[#This Row],[TenureMonths]]&lt;=12, "0-1 Year", TelecomData[[#This Row],[TenureMonths]]&lt;=36, "1-3 Years", TelecomData[[#This Row],[TenureMonths]]&gt;36, "3+ Years")</f>
        <v>3+ Years</v>
      </c>
      <c r="N4170" s="2" t="str">
        <f>IF(TelecomData[[#This Row],[CleanedTotalCharges]]&gt;=2500,"High Spend", "Standard Spend")</f>
        <v>High Spend</v>
      </c>
    </row>
    <row r="4171" spans="1:14" x14ac:dyDescent="0.3">
      <c r="A4171" s="1" t="s">
        <v>4195</v>
      </c>
      <c r="B4171" s="2" t="s">
        <v>12</v>
      </c>
      <c r="C4171" s="2" t="s">
        <v>13</v>
      </c>
      <c r="D4171" s="2">
        <v>15</v>
      </c>
      <c r="E4171" s="2" t="s">
        <v>26</v>
      </c>
      <c r="F4171" s="2" t="s">
        <v>15</v>
      </c>
      <c r="G4171" s="7">
        <v>101.25</v>
      </c>
      <c r="H4171" s="7">
        <v>1457.25</v>
      </c>
      <c r="I4171" s="2" t="s">
        <v>16</v>
      </c>
      <c r="J4171" s="2" t="s">
        <v>16</v>
      </c>
      <c r="K4171" s="2" t="s">
        <v>17</v>
      </c>
      <c r="L4171" s="7">
        <v>1457.25</v>
      </c>
      <c r="M4171" s="2" t="str">
        <f>_xlfn.IFS(TelecomData[[#This Row],[TenureMonths]]&lt;=12, "0-1 Year", TelecomData[[#This Row],[TenureMonths]]&lt;=36, "1-3 Years", TelecomData[[#This Row],[TenureMonths]]&gt;36, "3+ Years")</f>
        <v>1-3 Years</v>
      </c>
      <c r="N4171" s="2" t="str">
        <f>IF(TelecomData[[#This Row],[CleanedTotalCharges]]&gt;=2500,"High Spend", "Standard Spend")</f>
        <v>Standard Spend</v>
      </c>
    </row>
    <row r="4172" spans="1:14" x14ac:dyDescent="0.3">
      <c r="A4172" s="1" t="s">
        <v>4196</v>
      </c>
      <c r="B4172" s="2" t="s">
        <v>19</v>
      </c>
      <c r="C4172" s="2" t="s">
        <v>35</v>
      </c>
      <c r="D4172" s="2">
        <v>72</v>
      </c>
      <c r="E4172" s="2" t="s">
        <v>26</v>
      </c>
      <c r="F4172" s="2" t="s">
        <v>16</v>
      </c>
      <c r="G4172" s="7">
        <v>115.15</v>
      </c>
      <c r="H4172" s="7">
        <v>8349.4500000000007</v>
      </c>
      <c r="I4172" s="2" t="s">
        <v>15</v>
      </c>
      <c r="J4172" s="2" t="s">
        <v>15</v>
      </c>
      <c r="K4172" s="2" t="s">
        <v>24</v>
      </c>
      <c r="L4172" s="7">
        <v>8349.4500000000007</v>
      </c>
      <c r="M4172" s="2" t="str">
        <f>_xlfn.IFS(TelecomData[[#This Row],[TenureMonths]]&lt;=12, "0-1 Year", TelecomData[[#This Row],[TenureMonths]]&lt;=36, "1-3 Years", TelecomData[[#This Row],[TenureMonths]]&gt;36, "3+ Years")</f>
        <v>3+ Years</v>
      </c>
      <c r="N4172" s="2" t="str">
        <f>IF(TelecomData[[#This Row],[CleanedTotalCharges]]&gt;=2500,"High Spend", "Standard Spend")</f>
        <v>High Spend</v>
      </c>
    </row>
    <row r="4173" spans="1:14" x14ac:dyDescent="0.3">
      <c r="A4173" s="1" t="s">
        <v>4197</v>
      </c>
      <c r="B4173" s="2" t="s">
        <v>19</v>
      </c>
      <c r="C4173" s="2" t="s">
        <v>13</v>
      </c>
      <c r="D4173" s="2">
        <v>9</v>
      </c>
      <c r="E4173" s="2" t="s">
        <v>15</v>
      </c>
      <c r="F4173" s="2" t="s">
        <v>36</v>
      </c>
      <c r="G4173" s="7">
        <v>18.95</v>
      </c>
      <c r="H4173" s="7">
        <v>185.6</v>
      </c>
      <c r="I4173" s="2" t="s">
        <v>16</v>
      </c>
      <c r="J4173" s="2" t="s">
        <v>16</v>
      </c>
      <c r="K4173" s="2" t="s">
        <v>21</v>
      </c>
      <c r="L4173" s="7">
        <v>185.6</v>
      </c>
      <c r="M4173" s="2" t="str">
        <f>_xlfn.IFS(TelecomData[[#This Row],[TenureMonths]]&lt;=12, "0-1 Year", TelecomData[[#This Row],[TenureMonths]]&lt;=36, "1-3 Years", TelecomData[[#This Row],[TenureMonths]]&gt;36, "3+ Years")</f>
        <v>0-1 Year</v>
      </c>
      <c r="N4173" s="2" t="str">
        <f>IF(TelecomData[[#This Row],[CleanedTotalCharges]]&gt;=2500,"High Spend", "Standard Spend")</f>
        <v>Standard Spend</v>
      </c>
    </row>
    <row r="4174" spans="1:14" x14ac:dyDescent="0.3">
      <c r="A4174" s="1" t="s">
        <v>4198</v>
      </c>
      <c r="B4174" s="2" t="s">
        <v>12</v>
      </c>
      <c r="C4174" s="2" t="s">
        <v>13</v>
      </c>
      <c r="D4174" s="2">
        <v>1</v>
      </c>
      <c r="E4174" s="2" t="s">
        <v>15</v>
      </c>
      <c r="F4174" s="2" t="s">
        <v>36</v>
      </c>
      <c r="G4174" s="7">
        <v>19.5</v>
      </c>
      <c r="H4174" s="7">
        <v>19.5</v>
      </c>
      <c r="I4174" s="2" t="s">
        <v>15</v>
      </c>
      <c r="J4174" s="2" t="s">
        <v>15</v>
      </c>
      <c r="K4174" s="2" t="s">
        <v>21</v>
      </c>
      <c r="L4174" s="7">
        <v>19.5</v>
      </c>
      <c r="M4174" s="2" t="str">
        <f>_xlfn.IFS(TelecomData[[#This Row],[TenureMonths]]&lt;=12, "0-1 Year", TelecomData[[#This Row],[TenureMonths]]&lt;=36, "1-3 Years", TelecomData[[#This Row],[TenureMonths]]&gt;36, "3+ Years")</f>
        <v>0-1 Year</v>
      </c>
      <c r="N4174" s="2" t="str">
        <f>IF(TelecomData[[#This Row],[CleanedTotalCharges]]&gt;=2500,"High Spend", "Standard Spend")</f>
        <v>Standard Spend</v>
      </c>
    </row>
    <row r="4175" spans="1:14" x14ac:dyDescent="0.3">
      <c r="A4175" s="1" t="s">
        <v>4199</v>
      </c>
      <c r="B4175" s="2" t="s">
        <v>12</v>
      </c>
      <c r="C4175" s="2" t="s">
        <v>13</v>
      </c>
      <c r="D4175" s="2">
        <v>12</v>
      </c>
      <c r="E4175" s="2" t="s">
        <v>26</v>
      </c>
      <c r="F4175" s="2" t="s">
        <v>15</v>
      </c>
      <c r="G4175" s="7">
        <v>86.55</v>
      </c>
      <c r="H4175" s="7">
        <v>1066.9000000000001</v>
      </c>
      <c r="I4175" s="2" t="s">
        <v>15</v>
      </c>
      <c r="J4175" s="2" t="s">
        <v>16</v>
      </c>
      <c r="K4175" s="2" t="s">
        <v>17</v>
      </c>
      <c r="L4175" s="7">
        <v>1066.9000000000001</v>
      </c>
      <c r="M4175" s="2" t="str">
        <f>_xlfn.IFS(TelecomData[[#This Row],[TenureMonths]]&lt;=12, "0-1 Year", TelecomData[[#This Row],[TenureMonths]]&lt;=36, "1-3 Years", TelecomData[[#This Row],[TenureMonths]]&gt;36, "3+ Years")</f>
        <v>0-1 Year</v>
      </c>
      <c r="N4175" s="2" t="str">
        <f>IF(TelecomData[[#This Row],[CleanedTotalCharges]]&gt;=2500,"High Spend", "Standard Spend")</f>
        <v>Standard Spend</v>
      </c>
    </row>
    <row r="4176" spans="1:14" x14ac:dyDescent="0.3">
      <c r="A4176" s="1" t="s">
        <v>4200</v>
      </c>
      <c r="B4176" s="2" t="s">
        <v>12</v>
      </c>
      <c r="C4176" s="2" t="s">
        <v>13</v>
      </c>
      <c r="D4176" s="2">
        <v>37</v>
      </c>
      <c r="E4176" s="2" t="s">
        <v>14</v>
      </c>
      <c r="F4176" s="2" t="s">
        <v>16</v>
      </c>
      <c r="G4176" s="7">
        <v>28.6</v>
      </c>
      <c r="H4176" s="7">
        <v>973.55</v>
      </c>
      <c r="I4176" s="2" t="s">
        <v>16</v>
      </c>
      <c r="J4176" s="2" t="s">
        <v>15</v>
      </c>
      <c r="K4176" s="2" t="s">
        <v>29</v>
      </c>
      <c r="L4176" s="7">
        <v>973.55</v>
      </c>
      <c r="M4176" s="2" t="str">
        <f>_xlfn.IFS(TelecomData[[#This Row],[TenureMonths]]&lt;=12, "0-1 Year", TelecomData[[#This Row],[TenureMonths]]&lt;=36, "1-3 Years", TelecomData[[#This Row],[TenureMonths]]&gt;36, "3+ Years")</f>
        <v>3+ Years</v>
      </c>
      <c r="N4176" s="2" t="str">
        <f>IF(TelecomData[[#This Row],[CleanedTotalCharges]]&gt;=2500,"High Spend", "Standard Spend")</f>
        <v>Standard Spend</v>
      </c>
    </row>
    <row r="4177" spans="1:14" x14ac:dyDescent="0.3">
      <c r="A4177" s="1" t="s">
        <v>4201</v>
      </c>
      <c r="B4177" s="2" t="s">
        <v>19</v>
      </c>
      <c r="C4177" s="2" t="s">
        <v>20</v>
      </c>
      <c r="D4177" s="2">
        <v>61</v>
      </c>
      <c r="E4177" s="2" t="s">
        <v>15</v>
      </c>
      <c r="F4177" s="2" t="s">
        <v>36</v>
      </c>
      <c r="G4177" s="7">
        <v>20.399999999999999</v>
      </c>
      <c r="H4177" s="7">
        <v>1226.45</v>
      </c>
      <c r="I4177" s="2" t="s">
        <v>15</v>
      </c>
      <c r="J4177" s="2" t="s">
        <v>15</v>
      </c>
      <c r="K4177" s="2" t="s">
        <v>21</v>
      </c>
      <c r="L4177" s="7">
        <v>1226.45</v>
      </c>
      <c r="M4177" s="2" t="str">
        <f>_xlfn.IFS(TelecomData[[#This Row],[TenureMonths]]&lt;=12, "0-1 Year", TelecomData[[#This Row],[TenureMonths]]&lt;=36, "1-3 Years", TelecomData[[#This Row],[TenureMonths]]&gt;36, "3+ Years")</f>
        <v>3+ Years</v>
      </c>
      <c r="N4177" s="2" t="str">
        <f>IF(TelecomData[[#This Row],[CleanedTotalCharges]]&gt;=2500,"High Spend", "Standard Spend")</f>
        <v>Standard Spend</v>
      </c>
    </row>
    <row r="4178" spans="1:14" x14ac:dyDescent="0.3">
      <c r="A4178" s="1" t="s">
        <v>4202</v>
      </c>
      <c r="B4178" s="2" t="s">
        <v>19</v>
      </c>
      <c r="C4178" s="2" t="s">
        <v>20</v>
      </c>
      <c r="D4178" s="2">
        <v>18</v>
      </c>
      <c r="E4178" s="2" t="s">
        <v>15</v>
      </c>
      <c r="F4178" s="2" t="s">
        <v>36</v>
      </c>
      <c r="G4178" s="7">
        <v>19.8</v>
      </c>
      <c r="H4178" s="7">
        <v>342.3</v>
      </c>
      <c r="I4178" s="2" t="s">
        <v>15</v>
      </c>
      <c r="J4178" s="2" t="s">
        <v>15</v>
      </c>
      <c r="K4178" s="2" t="s">
        <v>24</v>
      </c>
      <c r="L4178" s="7">
        <v>342.3</v>
      </c>
      <c r="M4178" s="2" t="str">
        <f>_xlfn.IFS(TelecomData[[#This Row],[TenureMonths]]&lt;=12, "0-1 Year", TelecomData[[#This Row],[TenureMonths]]&lt;=36, "1-3 Years", TelecomData[[#This Row],[TenureMonths]]&gt;36, "3+ Years")</f>
        <v>1-3 Years</v>
      </c>
      <c r="N4178" s="2" t="str">
        <f>IF(TelecomData[[#This Row],[CleanedTotalCharges]]&gt;=2500,"High Spend", "Standard Spend")</f>
        <v>Standard Spend</v>
      </c>
    </row>
    <row r="4179" spans="1:14" x14ac:dyDescent="0.3">
      <c r="A4179" s="1" t="s">
        <v>4203</v>
      </c>
      <c r="B4179" s="2" t="s">
        <v>19</v>
      </c>
      <c r="C4179" s="2" t="s">
        <v>13</v>
      </c>
      <c r="D4179" s="2">
        <v>21</v>
      </c>
      <c r="E4179" s="2" t="s">
        <v>14</v>
      </c>
      <c r="F4179" s="2" t="s">
        <v>15</v>
      </c>
      <c r="G4179" s="7">
        <v>45.65</v>
      </c>
      <c r="H4179" s="7">
        <v>985.05</v>
      </c>
      <c r="I4179" s="2" t="s">
        <v>15</v>
      </c>
      <c r="J4179" s="2" t="s">
        <v>15</v>
      </c>
      <c r="K4179" s="2" t="s">
        <v>21</v>
      </c>
      <c r="L4179" s="7">
        <v>985.05</v>
      </c>
      <c r="M4179" s="2" t="str">
        <f>_xlfn.IFS(TelecomData[[#This Row],[TenureMonths]]&lt;=12, "0-1 Year", TelecomData[[#This Row],[TenureMonths]]&lt;=36, "1-3 Years", TelecomData[[#This Row],[TenureMonths]]&gt;36, "3+ Years")</f>
        <v>1-3 Years</v>
      </c>
      <c r="N4179" s="2" t="str">
        <f>IF(TelecomData[[#This Row],[CleanedTotalCharges]]&gt;=2500,"High Spend", "Standard Spend")</f>
        <v>Standard Spend</v>
      </c>
    </row>
    <row r="4180" spans="1:14" x14ac:dyDescent="0.3">
      <c r="A4180" s="1" t="s">
        <v>4204</v>
      </c>
      <c r="B4180" s="2" t="s">
        <v>19</v>
      </c>
      <c r="C4180" s="2" t="s">
        <v>35</v>
      </c>
      <c r="D4180" s="2">
        <v>68</v>
      </c>
      <c r="E4180" s="2" t="s">
        <v>14</v>
      </c>
      <c r="F4180" s="2" t="s">
        <v>16</v>
      </c>
      <c r="G4180" s="7">
        <v>56.4</v>
      </c>
      <c r="H4180" s="7">
        <v>3948.45</v>
      </c>
      <c r="I4180" s="2" t="s">
        <v>15</v>
      </c>
      <c r="J4180" s="2" t="s">
        <v>16</v>
      </c>
      <c r="K4180" s="2" t="s">
        <v>21</v>
      </c>
      <c r="L4180" s="7">
        <v>3948.45</v>
      </c>
      <c r="M4180" s="2" t="str">
        <f>_xlfn.IFS(TelecomData[[#This Row],[TenureMonths]]&lt;=12, "0-1 Year", TelecomData[[#This Row],[TenureMonths]]&lt;=36, "1-3 Years", TelecomData[[#This Row],[TenureMonths]]&gt;36, "3+ Years")</f>
        <v>3+ Years</v>
      </c>
      <c r="N4180" s="2" t="str">
        <f>IF(TelecomData[[#This Row],[CleanedTotalCharges]]&gt;=2500,"High Spend", "Standard Spend")</f>
        <v>High Spend</v>
      </c>
    </row>
    <row r="4181" spans="1:14" x14ac:dyDescent="0.3">
      <c r="A4181" s="1" t="s">
        <v>4205</v>
      </c>
      <c r="B4181" s="2" t="s">
        <v>19</v>
      </c>
      <c r="C4181" s="2" t="s">
        <v>13</v>
      </c>
      <c r="D4181" s="2">
        <v>12</v>
      </c>
      <c r="E4181" s="2" t="s">
        <v>26</v>
      </c>
      <c r="F4181" s="2" t="s">
        <v>15</v>
      </c>
      <c r="G4181" s="7">
        <v>73.3</v>
      </c>
      <c r="H4181" s="7">
        <v>828.05</v>
      </c>
      <c r="I4181" s="2" t="s">
        <v>15</v>
      </c>
      <c r="J4181" s="2" t="s">
        <v>16</v>
      </c>
      <c r="K4181" s="2" t="s">
        <v>29</v>
      </c>
      <c r="L4181" s="7">
        <v>828.05</v>
      </c>
      <c r="M4181" s="2" t="str">
        <f>_xlfn.IFS(TelecomData[[#This Row],[TenureMonths]]&lt;=12, "0-1 Year", TelecomData[[#This Row],[TenureMonths]]&lt;=36, "1-3 Years", TelecomData[[#This Row],[TenureMonths]]&gt;36, "3+ Years")</f>
        <v>0-1 Year</v>
      </c>
      <c r="N4181" s="2" t="str">
        <f>IF(TelecomData[[#This Row],[CleanedTotalCharges]]&gt;=2500,"High Spend", "Standard Spend")</f>
        <v>Standard Spend</v>
      </c>
    </row>
    <row r="4182" spans="1:14" x14ac:dyDescent="0.3">
      <c r="A4182" s="1" t="s">
        <v>4206</v>
      </c>
      <c r="B4182" s="2" t="s">
        <v>12</v>
      </c>
      <c r="C4182" s="2" t="s">
        <v>13</v>
      </c>
      <c r="D4182" s="2">
        <v>2</v>
      </c>
      <c r="E4182" s="2" t="s">
        <v>14</v>
      </c>
      <c r="F4182" s="2" t="s">
        <v>15</v>
      </c>
      <c r="G4182" s="7">
        <v>24.35</v>
      </c>
      <c r="H4182" s="7">
        <v>41.85</v>
      </c>
      <c r="I4182" s="2" t="s">
        <v>16</v>
      </c>
      <c r="J4182" s="2" t="s">
        <v>15</v>
      </c>
      <c r="K4182" s="2" t="s">
        <v>17</v>
      </c>
      <c r="L4182" s="7">
        <v>41.85</v>
      </c>
      <c r="M4182" s="2" t="str">
        <f>_xlfn.IFS(TelecomData[[#This Row],[TenureMonths]]&lt;=12, "0-1 Year", TelecomData[[#This Row],[TenureMonths]]&lt;=36, "1-3 Years", TelecomData[[#This Row],[TenureMonths]]&gt;36, "3+ Years")</f>
        <v>0-1 Year</v>
      </c>
      <c r="N4182" s="2" t="str">
        <f>IF(TelecomData[[#This Row],[CleanedTotalCharges]]&gt;=2500,"High Spend", "Standard Spend")</f>
        <v>Standard Spend</v>
      </c>
    </row>
    <row r="4183" spans="1:14" x14ac:dyDescent="0.3">
      <c r="A4183" s="1" t="s">
        <v>4207</v>
      </c>
      <c r="B4183" s="2" t="s">
        <v>12</v>
      </c>
      <c r="C4183" s="2" t="s">
        <v>13</v>
      </c>
      <c r="D4183" s="2">
        <v>62</v>
      </c>
      <c r="E4183" s="2" t="s">
        <v>26</v>
      </c>
      <c r="F4183" s="2" t="s">
        <v>15</v>
      </c>
      <c r="G4183" s="7">
        <v>101.35</v>
      </c>
      <c r="H4183" s="7">
        <v>6164.7</v>
      </c>
      <c r="I4183" s="2" t="s">
        <v>15</v>
      </c>
      <c r="J4183" s="2" t="s">
        <v>16</v>
      </c>
      <c r="K4183" s="2" t="s">
        <v>17</v>
      </c>
      <c r="L4183" s="7">
        <v>6164.7</v>
      </c>
      <c r="M4183" s="2" t="str">
        <f>_xlfn.IFS(TelecomData[[#This Row],[TenureMonths]]&lt;=12, "0-1 Year", TelecomData[[#This Row],[TenureMonths]]&lt;=36, "1-3 Years", TelecomData[[#This Row],[TenureMonths]]&gt;36, "3+ Years")</f>
        <v>3+ Years</v>
      </c>
      <c r="N4183" s="2" t="str">
        <f>IF(TelecomData[[#This Row],[CleanedTotalCharges]]&gt;=2500,"High Spend", "Standard Spend")</f>
        <v>High Spend</v>
      </c>
    </row>
    <row r="4184" spans="1:14" x14ac:dyDescent="0.3">
      <c r="A4184" s="1" t="s">
        <v>4208</v>
      </c>
      <c r="B4184" s="2" t="s">
        <v>12</v>
      </c>
      <c r="C4184" s="2" t="s">
        <v>13</v>
      </c>
      <c r="D4184" s="2">
        <v>29</v>
      </c>
      <c r="E4184" s="2" t="s">
        <v>26</v>
      </c>
      <c r="F4184" s="2" t="s">
        <v>16</v>
      </c>
      <c r="G4184" s="7">
        <v>98.65</v>
      </c>
      <c r="H4184" s="7">
        <v>2862.75</v>
      </c>
      <c r="I4184" s="2" t="s">
        <v>16</v>
      </c>
      <c r="J4184" s="2" t="s">
        <v>15</v>
      </c>
      <c r="K4184" s="2" t="s">
        <v>17</v>
      </c>
      <c r="L4184" s="7">
        <v>2862.75</v>
      </c>
      <c r="M4184" s="2" t="str">
        <f>_xlfn.IFS(TelecomData[[#This Row],[TenureMonths]]&lt;=12, "0-1 Year", TelecomData[[#This Row],[TenureMonths]]&lt;=36, "1-3 Years", TelecomData[[#This Row],[TenureMonths]]&gt;36, "3+ Years")</f>
        <v>1-3 Years</v>
      </c>
      <c r="N4184" s="2" t="str">
        <f>IF(TelecomData[[#This Row],[CleanedTotalCharges]]&gt;=2500,"High Spend", "Standard Spend")</f>
        <v>High Spend</v>
      </c>
    </row>
    <row r="4185" spans="1:14" x14ac:dyDescent="0.3">
      <c r="A4185" s="1" t="s">
        <v>4209</v>
      </c>
      <c r="B4185" s="2" t="s">
        <v>19</v>
      </c>
      <c r="C4185" s="2" t="s">
        <v>13</v>
      </c>
      <c r="D4185" s="2">
        <v>1</v>
      </c>
      <c r="E4185" s="2" t="s">
        <v>14</v>
      </c>
      <c r="F4185" s="2" t="s">
        <v>16</v>
      </c>
      <c r="G4185" s="7">
        <v>33.6</v>
      </c>
      <c r="H4185" s="7">
        <v>33.6</v>
      </c>
      <c r="I4185" s="2" t="s">
        <v>15</v>
      </c>
      <c r="J4185" s="2" t="s">
        <v>15</v>
      </c>
      <c r="K4185" s="2" t="s">
        <v>21</v>
      </c>
      <c r="L4185" s="7">
        <v>33.6</v>
      </c>
      <c r="M4185" s="2" t="str">
        <f>_xlfn.IFS(TelecomData[[#This Row],[TenureMonths]]&lt;=12, "0-1 Year", TelecomData[[#This Row],[TenureMonths]]&lt;=36, "1-3 Years", TelecomData[[#This Row],[TenureMonths]]&gt;36, "3+ Years")</f>
        <v>0-1 Year</v>
      </c>
      <c r="N4185" s="2" t="str">
        <f>IF(TelecomData[[#This Row],[CleanedTotalCharges]]&gt;=2500,"High Spend", "Standard Spend")</f>
        <v>Standard Spend</v>
      </c>
    </row>
    <row r="4186" spans="1:14" x14ac:dyDescent="0.3">
      <c r="A4186" s="1" t="s">
        <v>4210</v>
      </c>
      <c r="B4186" s="2" t="s">
        <v>19</v>
      </c>
      <c r="C4186" s="2" t="s">
        <v>13</v>
      </c>
      <c r="D4186" s="2">
        <v>5</v>
      </c>
      <c r="E4186" s="2" t="s">
        <v>26</v>
      </c>
      <c r="F4186" s="2" t="s">
        <v>15</v>
      </c>
      <c r="G4186" s="7">
        <v>79.900000000000006</v>
      </c>
      <c r="H4186" s="7">
        <v>343.95</v>
      </c>
      <c r="I4186" s="2" t="s">
        <v>16</v>
      </c>
      <c r="J4186" s="2" t="s">
        <v>16</v>
      </c>
      <c r="K4186" s="2" t="s">
        <v>24</v>
      </c>
      <c r="L4186" s="7">
        <v>343.95</v>
      </c>
      <c r="M4186" s="2" t="str">
        <f>_xlfn.IFS(TelecomData[[#This Row],[TenureMonths]]&lt;=12, "0-1 Year", TelecomData[[#This Row],[TenureMonths]]&lt;=36, "1-3 Years", TelecomData[[#This Row],[TenureMonths]]&gt;36, "3+ Years")</f>
        <v>0-1 Year</v>
      </c>
      <c r="N4186" s="2" t="str">
        <f>IF(TelecomData[[#This Row],[CleanedTotalCharges]]&gt;=2500,"High Spend", "Standard Spend")</f>
        <v>Standard Spend</v>
      </c>
    </row>
    <row r="4187" spans="1:14" x14ac:dyDescent="0.3">
      <c r="A4187" s="1" t="s">
        <v>4211</v>
      </c>
      <c r="B4187" s="2" t="s">
        <v>12</v>
      </c>
      <c r="C4187" s="2" t="s">
        <v>13</v>
      </c>
      <c r="D4187" s="2">
        <v>1</v>
      </c>
      <c r="E4187" s="2" t="s">
        <v>15</v>
      </c>
      <c r="F4187" s="2" t="s">
        <v>36</v>
      </c>
      <c r="G4187" s="7">
        <v>20.7</v>
      </c>
      <c r="H4187" s="7">
        <v>20.7</v>
      </c>
      <c r="I4187" s="2" t="s">
        <v>15</v>
      </c>
      <c r="J4187" s="2" t="s">
        <v>15</v>
      </c>
      <c r="K4187" s="2" t="s">
        <v>17</v>
      </c>
      <c r="L4187" s="7">
        <v>20.7</v>
      </c>
      <c r="M4187" s="2" t="str">
        <f>_xlfn.IFS(TelecomData[[#This Row],[TenureMonths]]&lt;=12, "0-1 Year", TelecomData[[#This Row],[TenureMonths]]&lt;=36, "1-3 Years", TelecomData[[#This Row],[TenureMonths]]&gt;36, "3+ Years")</f>
        <v>0-1 Year</v>
      </c>
      <c r="N4187" s="2" t="str">
        <f>IF(TelecomData[[#This Row],[CleanedTotalCharges]]&gt;=2500,"High Spend", "Standard Spend")</f>
        <v>Standard Spend</v>
      </c>
    </row>
    <row r="4188" spans="1:14" x14ac:dyDescent="0.3">
      <c r="A4188" s="1" t="s">
        <v>4212</v>
      </c>
      <c r="B4188" s="2" t="s">
        <v>19</v>
      </c>
      <c r="C4188" s="2" t="s">
        <v>35</v>
      </c>
      <c r="D4188" s="2">
        <v>62</v>
      </c>
      <c r="E4188" s="2" t="s">
        <v>26</v>
      </c>
      <c r="F4188" s="2" t="s">
        <v>16</v>
      </c>
      <c r="G4188" s="7">
        <v>104.05</v>
      </c>
      <c r="H4188" s="7">
        <v>6590.5</v>
      </c>
      <c r="I4188" s="2" t="s">
        <v>15</v>
      </c>
      <c r="J4188" s="2" t="s">
        <v>16</v>
      </c>
      <c r="K4188" s="2" t="s">
        <v>17</v>
      </c>
      <c r="L4188" s="7">
        <v>6590.5</v>
      </c>
      <c r="M4188" s="2" t="str">
        <f>_xlfn.IFS(TelecomData[[#This Row],[TenureMonths]]&lt;=12, "0-1 Year", TelecomData[[#This Row],[TenureMonths]]&lt;=36, "1-3 Years", TelecomData[[#This Row],[TenureMonths]]&gt;36, "3+ Years")</f>
        <v>3+ Years</v>
      </c>
      <c r="N4188" s="2" t="str">
        <f>IF(TelecomData[[#This Row],[CleanedTotalCharges]]&gt;=2500,"High Spend", "Standard Spend")</f>
        <v>High Spend</v>
      </c>
    </row>
    <row r="4189" spans="1:14" x14ac:dyDescent="0.3">
      <c r="A4189" s="1" t="s">
        <v>4213</v>
      </c>
      <c r="B4189" s="2" t="s">
        <v>12</v>
      </c>
      <c r="C4189" s="2" t="s">
        <v>35</v>
      </c>
      <c r="D4189" s="2">
        <v>36</v>
      </c>
      <c r="E4189" s="2" t="s">
        <v>15</v>
      </c>
      <c r="F4189" s="2" t="s">
        <v>36</v>
      </c>
      <c r="G4189" s="7">
        <v>20.25</v>
      </c>
      <c r="H4189" s="7">
        <v>717.95</v>
      </c>
      <c r="I4189" s="2" t="s">
        <v>15</v>
      </c>
      <c r="J4189" s="2" t="s">
        <v>15</v>
      </c>
      <c r="K4189" s="2" t="s">
        <v>24</v>
      </c>
      <c r="L4189" s="7">
        <v>717.95</v>
      </c>
      <c r="M4189" s="2" t="str">
        <f>_xlfn.IFS(TelecomData[[#This Row],[TenureMonths]]&lt;=12, "0-1 Year", TelecomData[[#This Row],[TenureMonths]]&lt;=36, "1-3 Years", TelecomData[[#This Row],[TenureMonths]]&gt;36, "3+ Years")</f>
        <v>1-3 Years</v>
      </c>
      <c r="N4189" s="2" t="str">
        <f>IF(TelecomData[[#This Row],[CleanedTotalCharges]]&gt;=2500,"High Spend", "Standard Spend")</f>
        <v>Standard Spend</v>
      </c>
    </row>
    <row r="4190" spans="1:14" x14ac:dyDescent="0.3">
      <c r="A4190" s="1" t="s">
        <v>4214</v>
      </c>
      <c r="B4190" s="2" t="s">
        <v>12</v>
      </c>
      <c r="C4190" s="2" t="s">
        <v>13</v>
      </c>
      <c r="D4190" s="2">
        <v>28</v>
      </c>
      <c r="E4190" s="2" t="s">
        <v>26</v>
      </c>
      <c r="F4190" s="2" t="s">
        <v>16</v>
      </c>
      <c r="G4190" s="7">
        <v>103.3</v>
      </c>
      <c r="H4190" s="7">
        <v>2890.65</v>
      </c>
      <c r="I4190" s="2" t="s">
        <v>16</v>
      </c>
      <c r="J4190" s="2" t="s">
        <v>16</v>
      </c>
      <c r="K4190" s="2" t="s">
        <v>17</v>
      </c>
      <c r="L4190" s="7">
        <v>2890.65</v>
      </c>
      <c r="M4190" s="2" t="str">
        <f>_xlfn.IFS(TelecomData[[#This Row],[TenureMonths]]&lt;=12, "0-1 Year", TelecomData[[#This Row],[TenureMonths]]&lt;=36, "1-3 Years", TelecomData[[#This Row],[TenureMonths]]&gt;36, "3+ Years")</f>
        <v>1-3 Years</v>
      </c>
      <c r="N4190" s="2" t="str">
        <f>IF(TelecomData[[#This Row],[CleanedTotalCharges]]&gt;=2500,"High Spend", "Standard Spend")</f>
        <v>High Spend</v>
      </c>
    </row>
    <row r="4191" spans="1:14" x14ac:dyDescent="0.3">
      <c r="A4191" s="1" t="s">
        <v>4215</v>
      </c>
      <c r="B4191" s="2" t="s">
        <v>12</v>
      </c>
      <c r="C4191" s="2" t="s">
        <v>20</v>
      </c>
      <c r="D4191" s="2">
        <v>69</v>
      </c>
      <c r="E4191" s="2" t="s">
        <v>14</v>
      </c>
      <c r="F4191" s="2" t="s">
        <v>16</v>
      </c>
      <c r="G4191" s="7">
        <v>73.7</v>
      </c>
      <c r="H4191" s="7">
        <v>4885.8500000000004</v>
      </c>
      <c r="I4191" s="2" t="s">
        <v>15</v>
      </c>
      <c r="J4191" s="2" t="s">
        <v>15</v>
      </c>
      <c r="K4191" s="2" t="s">
        <v>29</v>
      </c>
      <c r="L4191" s="7">
        <v>4885.8500000000004</v>
      </c>
      <c r="M4191" s="2" t="str">
        <f>_xlfn.IFS(TelecomData[[#This Row],[TenureMonths]]&lt;=12, "0-1 Year", TelecomData[[#This Row],[TenureMonths]]&lt;=36, "1-3 Years", TelecomData[[#This Row],[TenureMonths]]&gt;36, "3+ Years")</f>
        <v>3+ Years</v>
      </c>
      <c r="N4191" s="2" t="str">
        <f>IF(TelecomData[[#This Row],[CleanedTotalCharges]]&gt;=2500,"High Spend", "Standard Spend")</f>
        <v>High Spend</v>
      </c>
    </row>
    <row r="4192" spans="1:14" x14ac:dyDescent="0.3">
      <c r="A4192" s="1" t="s">
        <v>4216</v>
      </c>
      <c r="B4192" s="2" t="s">
        <v>12</v>
      </c>
      <c r="C4192" s="2" t="s">
        <v>13</v>
      </c>
      <c r="D4192" s="2">
        <v>11</v>
      </c>
      <c r="E4192" s="2" t="s">
        <v>26</v>
      </c>
      <c r="F4192" s="2" t="s">
        <v>16</v>
      </c>
      <c r="G4192" s="7">
        <v>96.2</v>
      </c>
      <c r="H4192" s="7">
        <v>1222.05</v>
      </c>
      <c r="I4192" s="2" t="s">
        <v>16</v>
      </c>
      <c r="J4192" s="2" t="s">
        <v>16</v>
      </c>
      <c r="K4192" s="2" t="s">
        <v>29</v>
      </c>
      <c r="L4192" s="7">
        <v>1222.05</v>
      </c>
      <c r="M4192" s="2" t="str">
        <f>_xlfn.IFS(TelecomData[[#This Row],[TenureMonths]]&lt;=12, "0-1 Year", TelecomData[[#This Row],[TenureMonths]]&lt;=36, "1-3 Years", TelecomData[[#This Row],[TenureMonths]]&gt;36, "3+ Years")</f>
        <v>0-1 Year</v>
      </c>
      <c r="N4192" s="2" t="str">
        <f>IF(TelecomData[[#This Row],[CleanedTotalCharges]]&gt;=2500,"High Spend", "Standard Spend")</f>
        <v>Standard Spend</v>
      </c>
    </row>
    <row r="4193" spans="1:14" x14ac:dyDescent="0.3">
      <c r="A4193" s="1" t="s">
        <v>4217</v>
      </c>
      <c r="B4193" s="2" t="s">
        <v>12</v>
      </c>
      <c r="C4193" s="2" t="s">
        <v>13</v>
      </c>
      <c r="D4193" s="2">
        <v>63</v>
      </c>
      <c r="E4193" s="2" t="s">
        <v>26</v>
      </c>
      <c r="F4193" s="2" t="s">
        <v>16</v>
      </c>
      <c r="G4193" s="7">
        <v>108.75</v>
      </c>
      <c r="H4193" s="7">
        <v>6871.7</v>
      </c>
      <c r="I4193" s="2" t="s">
        <v>15</v>
      </c>
      <c r="J4193" s="2" t="s">
        <v>16</v>
      </c>
      <c r="K4193" s="2" t="s">
        <v>17</v>
      </c>
      <c r="L4193" s="7">
        <v>6871.7</v>
      </c>
      <c r="M4193" s="2" t="str">
        <f>_xlfn.IFS(TelecomData[[#This Row],[TenureMonths]]&lt;=12, "0-1 Year", TelecomData[[#This Row],[TenureMonths]]&lt;=36, "1-3 Years", TelecomData[[#This Row],[TenureMonths]]&gt;36, "3+ Years")</f>
        <v>3+ Years</v>
      </c>
      <c r="N4193" s="2" t="str">
        <f>IF(TelecomData[[#This Row],[CleanedTotalCharges]]&gt;=2500,"High Spend", "Standard Spend")</f>
        <v>High Spend</v>
      </c>
    </row>
    <row r="4194" spans="1:14" x14ac:dyDescent="0.3">
      <c r="A4194" s="1" t="s">
        <v>4218</v>
      </c>
      <c r="B4194" s="2" t="s">
        <v>19</v>
      </c>
      <c r="C4194" s="2" t="s">
        <v>20</v>
      </c>
      <c r="D4194" s="2">
        <v>23</v>
      </c>
      <c r="E4194" s="2" t="s">
        <v>15</v>
      </c>
      <c r="F4194" s="2" t="s">
        <v>36</v>
      </c>
      <c r="G4194" s="7">
        <v>20.149999999999999</v>
      </c>
      <c r="H4194" s="7">
        <v>405.6</v>
      </c>
      <c r="I4194" s="2" t="s">
        <v>15</v>
      </c>
      <c r="J4194" s="2" t="s">
        <v>15</v>
      </c>
      <c r="K4194" s="2" t="s">
        <v>24</v>
      </c>
      <c r="L4194" s="7">
        <v>405.6</v>
      </c>
      <c r="M4194" s="2" t="str">
        <f>_xlfn.IFS(TelecomData[[#This Row],[TenureMonths]]&lt;=12, "0-1 Year", TelecomData[[#This Row],[TenureMonths]]&lt;=36, "1-3 Years", TelecomData[[#This Row],[TenureMonths]]&gt;36, "3+ Years")</f>
        <v>1-3 Years</v>
      </c>
      <c r="N4194" s="2" t="str">
        <f>IF(TelecomData[[#This Row],[CleanedTotalCharges]]&gt;=2500,"High Spend", "Standard Spend")</f>
        <v>Standard Spend</v>
      </c>
    </row>
    <row r="4195" spans="1:14" x14ac:dyDescent="0.3">
      <c r="A4195" s="1" t="s">
        <v>4219</v>
      </c>
      <c r="B4195" s="2" t="s">
        <v>19</v>
      </c>
      <c r="C4195" s="2" t="s">
        <v>13</v>
      </c>
      <c r="D4195" s="2">
        <v>10</v>
      </c>
      <c r="E4195" s="2" t="s">
        <v>15</v>
      </c>
      <c r="F4195" s="2" t="s">
        <v>36</v>
      </c>
      <c r="G4195" s="7">
        <v>19.75</v>
      </c>
      <c r="H4195" s="7">
        <v>208.25</v>
      </c>
      <c r="I4195" s="2" t="s">
        <v>15</v>
      </c>
      <c r="J4195" s="2" t="s">
        <v>15</v>
      </c>
      <c r="K4195" s="2" t="s">
        <v>29</v>
      </c>
      <c r="L4195" s="7">
        <v>208.25</v>
      </c>
      <c r="M4195" s="2" t="str">
        <f>_xlfn.IFS(TelecomData[[#This Row],[TenureMonths]]&lt;=12, "0-1 Year", TelecomData[[#This Row],[TenureMonths]]&lt;=36, "1-3 Years", TelecomData[[#This Row],[TenureMonths]]&gt;36, "3+ Years")</f>
        <v>0-1 Year</v>
      </c>
      <c r="N4195" s="2" t="str">
        <f>IF(TelecomData[[#This Row],[CleanedTotalCharges]]&gt;=2500,"High Spend", "Standard Spend")</f>
        <v>Standard Spend</v>
      </c>
    </row>
    <row r="4196" spans="1:14" x14ac:dyDescent="0.3">
      <c r="A4196" s="1" t="s">
        <v>4220</v>
      </c>
      <c r="B4196" s="2" t="s">
        <v>12</v>
      </c>
      <c r="C4196" s="2" t="s">
        <v>35</v>
      </c>
      <c r="D4196" s="2">
        <v>71</v>
      </c>
      <c r="E4196" s="2" t="s">
        <v>15</v>
      </c>
      <c r="F4196" s="2" t="s">
        <v>36</v>
      </c>
      <c r="G4196" s="7">
        <v>25.95</v>
      </c>
      <c r="H4196" s="7">
        <v>1801.9</v>
      </c>
      <c r="I4196" s="2" t="s">
        <v>15</v>
      </c>
      <c r="J4196" s="2" t="s">
        <v>16</v>
      </c>
      <c r="K4196" s="2" t="s">
        <v>29</v>
      </c>
      <c r="L4196" s="7">
        <v>1801.9</v>
      </c>
      <c r="M4196" s="2" t="str">
        <f>_xlfn.IFS(TelecomData[[#This Row],[TenureMonths]]&lt;=12, "0-1 Year", TelecomData[[#This Row],[TenureMonths]]&lt;=36, "1-3 Years", TelecomData[[#This Row],[TenureMonths]]&gt;36, "3+ Years")</f>
        <v>3+ Years</v>
      </c>
      <c r="N4196" s="2" t="str">
        <f>IF(TelecomData[[#This Row],[CleanedTotalCharges]]&gt;=2500,"High Spend", "Standard Spend")</f>
        <v>Standard Spend</v>
      </c>
    </row>
    <row r="4197" spans="1:14" x14ac:dyDescent="0.3">
      <c r="A4197" s="1" t="s">
        <v>4221</v>
      </c>
      <c r="B4197" s="2" t="s">
        <v>12</v>
      </c>
      <c r="C4197" s="2" t="s">
        <v>13</v>
      </c>
      <c r="D4197" s="2">
        <v>45</v>
      </c>
      <c r="E4197" s="2" t="s">
        <v>14</v>
      </c>
      <c r="F4197" s="2" t="s">
        <v>16</v>
      </c>
      <c r="G4197" s="7">
        <v>70.05</v>
      </c>
      <c r="H4197" s="7">
        <v>3062.45</v>
      </c>
      <c r="I4197" s="2" t="s">
        <v>15</v>
      </c>
      <c r="J4197" s="2" t="s">
        <v>16</v>
      </c>
      <c r="K4197" s="2" t="s">
        <v>17</v>
      </c>
      <c r="L4197" s="7">
        <v>3062.45</v>
      </c>
      <c r="M4197" s="2" t="str">
        <f>_xlfn.IFS(TelecomData[[#This Row],[TenureMonths]]&lt;=12, "0-1 Year", TelecomData[[#This Row],[TenureMonths]]&lt;=36, "1-3 Years", TelecomData[[#This Row],[TenureMonths]]&gt;36, "3+ Years")</f>
        <v>3+ Years</v>
      </c>
      <c r="N4197" s="2" t="str">
        <f>IF(TelecomData[[#This Row],[CleanedTotalCharges]]&gt;=2500,"High Spend", "Standard Spend")</f>
        <v>High Spend</v>
      </c>
    </row>
    <row r="4198" spans="1:14" x14ac:dyDescent="0.3">
      <c r="A4198" s="1" t="s">
        <v>4222</v>
      </c>
      <c r="B4198" s="2" t="s">
        <v>12</v>
      </c>
      <c r="C4198" s="2" t="s">
        <v>35</v>
      </c>
      <c r="D4198" s="2">
        <v>70</v>
      </c>
      <c r="E4198" s="2" t="s">
        <v>15</v>
      </c>
      <c r="F4198" s="2" t="s">
        <v>36</v>
      </c>
      <c r="G4198" s="7">
        <v>24.05</v>
      </c>
      <c r="H4198" s="7">
        <v>1764.75</v>
      </c>
      <c r="I4198" s="2" t="s">
        <v>15</v>
      </c>
      <c r="J4198" s="2" t="s">
        <v>15</v>
      </c>
      <c r="K4198" s="2" t="s">
        <v>21</v>
      </c>
      <c r="L4198" s="7">
        <v>1764.75</v>
      </c>
      <c r="M4198" s="2" t="str">
        <f>_xlfn.IFS(TelecomData[[#This Row],[TenureMonths]]&lt;=12, "0-1 Year", TelecomData[[#This Row],[TenureMonths]]&lt;=36, "1-3 Years", TelecomData[[#This Row],[TenureMonths]]&gt;36, "3+ Years")</f>
        <v>3+ Years</v>
      </c>
      <c r="N4198" s="2" t="str">
        <f>IF(TelecomData[[#This Row],[CleanedTotalCharges]]&gt;=2500,"High Spend", "Standard Spend")</f>
        <v>Standard Spend</v>
      </c>
    </row>
    <row r="4199" spans="1:14" x14ac:dyDescent="0.3">
      <c r="A4199" s="1" t="s">
        <v>4223</v>
      </c>
      <c r="B4199" s="2" t="s">
        <v>12</v>
      </c>
      <c r="C4199" s="2" t="s">
        <v>13</v>
      </c>
      <c r="D4199" s="2">
        <v>22</v>
      </c>
      <c r="E4199" s="2" t="s">
        <v>26</v>
      </c>
      <c r="F4199" s="2" t="s">
        <v>15</v>
      </c>
      <c r="G4199" s="7">
        <v>84.75</v>
      </c>
      <c r="H4199" s="7">
        <v>1816.75</v>
      </c>
      <c r="I4199" s="2" t="s">
        <v>15</v>
      </c>
      <c r="J4199" s="2" t="s">
        <v>16</v>
      </c>
      <c r="K4199" s="2" t="s">
        <v>17</v>
      </c>
      <c r="L4199" s="7">
        <v>1816.75</v>
      </c>
      <c r="M4199" s="2" t="str">
        <f>_xlfn.IFS(TelecomData[[#This Row],[TenureMonths]]&lt;=12, "0-1 Year", TelecomData[[#This Row],[TenureMonths]]&lt;=36, "1-3 Years", TelecomData[[#This Row],[TenureMonths]]&gt;36, "3+ Years")</f>
        <v>1-3 Years</v>
      </c>
      <c r="N4199" s="2" t="str">
        <f>IF(TelecomData[[#This Row],[CleanedTotalCharges]]&gt;=2500,"High Spend", "Standard Spend")</f>
        <v>Standard Spend</v>
      </c>
    </row>
    <row r="4200" spans="1:14" x14ac:dyDescent="0.3">
      <c r="A4200" s="1" t="s">
        <v>4224</v>
      </c>
      <c r="B4200" s="2" t="s">
        <v>12</v>
      </c>
      <c r="C4200" s="2" t="s">
        <v>35</v>
      </c>
      <c r="D4200" s="2">
        <v>52</v>
      </c>
      <c r="E4200" s="2" t="s">
        <v>15</v>
      </c>
      <c r="F4200" s="2" t="s">
        <v>36</v>
      </c>
      <c r="G4200" s="7">
        <v>23.05</v>
      </c>
      <c r="H4200" s="7">
        <v>1255.0999999999999</v>
      </c>
      <c r="I4200" s="2" t="s">
        <v>15</v>
      </c>
      <c r="J4200" s="2" t="s">
        <v>15</v>
      </c>
      <c r="K4200" s="2" t="s">
        <v>21</v>
      </c>
      <c r="L4200" s="7">
        <v>1255.0999999999999</v>
      </c>
      <c r="M4200" s="2" t="str">
        <f>_xlfn.IFS(TelecomData[[#This Row],[TenureMonths]]&lt;=12, "0-1 Year", TelecomData[[#This Row],[TenureMonths]]&lt;=36, "1-3 Years", TelecomData[[#This Row],[TenureMonths]]&gt;36, "3+ Years")</f>
        <v>3+ Years</v>
      </c>
      <c r="N4200" s="2" t="str">
        <f>IF(TelecomData[[#This Row],[CleanedTotalCharges]]&gt;=2500,"High Spend", "Standard Spend")</f>
        <v>Standard Spend</v>
      </c>
    </row>
    <row r="4201" spans="1:14" x14ac:dyDescent="0.3">
      <c r="A4201" s="1" t="s">
        <v>4225</v>
      </c>
      <c r="B4201" s="2" t="s">
        <v>19</v>
      </c>
      <c r="C4201" s="2" t="s">
        <v>20</v>
      </c>
      <c r="D4201" s="2">
        <v>55</v>
      </c>
      <c r="E4201" s="2" t="s">
        <v>26</v>
      </c>
      <c r="F4201" s="2" t="s">
        <v>16</v>
      </c>
      <c r="G4201" s="7">
        <v>104.15</v>
      </c>
      <c r="H4201" s="7">
        <v>5743.05</v>
      </c>
      <c r="I4201" s="2" t="s">
        <v>16</v>
      </c>
      <c r="J4201" s="2" t="s">
        <v>16</v>
      </c>
      <c r="K4201" s="2" t="s">
        <v>17</v>
      </c>
      <c r="L4201" s="7">
        <v>5743.05</v>
      </c>
      <c r="M4201" s="2" t="str">
        <f>_xlfn.IFS(TelecomData[[#This Row],[TenureMonths]]&lt;=12, "0-1 Year", TelecomData[[#This Row],[TenureMonths]]&lt;=36, "1-3 Years", TelecomData[[#This Row],[TenureMonths]]&gt;36, "3+ Years")</f>
        <v>3+ Years</v>
      </c>
      <c r="N4201" s="2" t="str">
        <f>IF(TelecomData[[#This Row],[CleanedTotalCharges]]&gt;=2500,"High Spend", "Standard Spend")</f>
        <v>High Spend</v>
      </c>
    </row>
    <row r="4202" spans="1:14" x14ac:dyDescent="0.3">
      <c r="A4202" s="1" t="s">
        <v>4226</v>
      </c>
      <c r="B4202" s="2" t="s">
        <v>12</v>
      </c>
      <c r="C4202" s="2" t="s">
        <v>35</v>
      </c>
      <c r="D4202" s="2">
        <v>65</v>
      </c>
      <c r="E4202" s="2" t="s">
        <v>14</v>
      </c>
      <c r="F4202" s="2" t="s">
        <v>16</v>
      </c>
      <c r="G4202" s="7">
        <v>59.95</v>
      </c>
      <c r="H4202" s="7">
        <v>3921.1</v>
      </c>
      <c r="I4202" s="2" t="s">
        <v>15</v>
      </c>
      <c r="J4202" s="2" t="s">
        <v>15</v>
      </c>
      <c r="K4202" s="2" t="s">
        <v>29</v>
      </c>
      <c r="L4202" s="7">
        <v>3921.1</v>
      </c>
      <c r="M4202" s="2" t="str">
        <f>_xlfn.IFS(TelecomData[[#This Row],[TenureMonths]]&lt;=12, "0-1 Year", TelecomData[[#This Row],[TenureMonths]]&lt;=36, "1-3 Years", TelecomData[[#This Row],[TenureMonths]]&gt;36, "3+ Years")</f>
        <v>3+ Years</v>
      </c>
      <c r="N4202" s="2" t="str">
        <f>IF(TelecomData[[#This Row],[CleanedTotalCharges]]&gt;=2500,"High Spend", "Standard Spend")</f>
        <v>High Spend</v>
      </c>
    </row>
    <row r="4203" spans="1:14" x14ac:dyDescent="0.3">
      <c r="A4203" s="1" t="s">
        <v>4227</v>
      </c>
      <c r="B4203" s="2" t="s">
        <v>12</v>
      </c>
      <c r="C4203" s="2" t="s">
        <v>35</v>
      </c>
      <c r="D4203" s="2">
        <v>72</v>
      </c>
      <c r="E4203" s="2" t="s">
        <v>15</v>
      </c>
      <c r="F4203" s="2" t="s">
        <v>36</v>
      </c>
      <c r="G4203" s="7">
        <v>19.55</v>
      </c>
      <c r="H4203" s="7">
        <v>1463.45</v>
      </c>
      <c r="I4203" s="2" t="s">
        <v>15</v>
      </c>
      <c r="J4203" s="2" t="s">
        <v>15</v>
      </c>
      <c r="K4203" s="2" t="s">
        <v>24</v>
      </c>
      <c r="L4203" s="7">
        <v>1463.45</v>
      </c>
      <c r="M4203" s="2" t="str">
        <f>_xlfn.IFS(TelecomData[[#This Row],[TenureMonths]]&lt;=12, "0-1 Year", TelecomData[[#This Row],[TenureMonths]]&lt;=36, "1-3 Years", TelecomData[[#This Row],[TenureMonths]]&gt;36, "3+ Years")</f>
        <v>3+ Years</v>
      </c>
      <c r="N4203" s="2" t="str">
        <f>IF(TelecomData[[#This Row],[CleanedTotalCharges]]&gt;=2500,"High Spend", "Standard Spend")</f>
        <v>Standard Spend</v>
      </c>
    </row>
    <row r="4204" spans="1:14" x14ac:dyDescent="0.3">
      <c r="A4204" s="1" t="s">
        <v>4228</v>
      </c>
      <c r="B4204" s="2" t="s">
        <v>19</v>
      </c>
      <c r="C4204" s="2" t="s">
        <v>20</v>
      </c>
      <c r="D4204" s="2">
        <v>10</v>
      </c>
      <c r="E4204" s="2" t="s">
        <v>15</v>
      </c>
      <c r="F4204" s="2" t="s">
        <v>36</v>
      </c>
      <c r="G4204" s="7">
        <v>19.600000000000001</v>
      </c>
      <c r="H4204" s="7">
        <v>189.45</v>
      </c>
      <c r="I4204" s="2" t="s">
        <v>15</v>
      </c>
      <c r="J4204" s="2" t="s">
        <v>15</v>
      </c>
      <c r="K4204" s="2" t="s">
        <v>24</v>
      </c>
      <c r="L4204" s="7">
        <v>189.45</v>
      </c>
      <c r="M4204" s="2" t="str">
        <f>_xlfn.IFS(TelecomData[[#This Row],[TenureMonths]]&lt;=12, "0-1 Year", TelecomData[[#This Row],[TenureMonths]]&lt;=36, "1-3 Years", TelecomData[[#This Row],[TenureMonths]]&gt;36, "3+ Years")</f>
        <v>0-1 Year</v>
      </c>
      <c r="N4204" s="2" t="str">
        <f>IF(TelecomData[[#This Row],[CleanedTotalCharges]]&gt;=2500,"High Spend", "Standard Spend")</f>
        <v>Standard Spend</v>
      </c>
    </row>
    <row r="4205" spans="1:14" x14ac:dyDescent="0.3">
      <c r="A4205" s="1" t="s">
        <v>4229</v>
      </c>
      <c r="B4205" s="2" t="s">
        <v>12</v>
      </c>
      <c r="C4205" s="2" t="s">
        <v>20</v>
      </c>
      <c r="D4205" s="2">
        <v>7</v>
      </c>
      <c r="E4205" s="2" t="s">
        <v>15</v>
      </c>
      <c r="F4205" s="2" t="s">
        <v>36</v>
      </c>
      <c r="G4205" s="7">
        <v>20.05</v>
      </c>
      <c r="H4205" s="7">
        <v>96.8</v>
      </c>
      <c r="I4205" s="2" t="s">
        <v>15</v>
      </c>
      <c r="J4205" s="2" t="s">
        <v>15</v>
      </c>
      <c r="K4205" s="2" t="s">
        <v>21</v>
      </c>
      <c r="L4205" s="7">
        <v>96.8</v>
      </c>
      <c r="M4205" s="2" t="str">
        <f>_xlfn.IFS(TelecomData[[#This Row],[TenureMonths]]&lt;=12, "0-1 Year", TelecomData[[#This Row],[TenureMonths]]&lt;=36, "1-3 Years", TelecomData[[#This Row],[TenureMonths]]&gt;36, "3+ Years")</f>
        <v>0-1 Year</v>
      </c>
      <c r="N4205" s="2" t="str">
        <f>IF(TelecomData[[#This Row],[CleanedTotalCharges]]&gt;=2500,"High Spend", "Standard Spend")</f>
        <v>Standard Spend</v>
      </c>
    </row>
    <row r="4206" spans="1:14" x14ac:dyDescent="0.3">
      <c r="A4206" s="1" t="s">
        <v>4230</v>
      </c>
      <c r="B4206" s="2" t="s">
        <v>19</v>
      </c>
      <c r="C4206" s="2" t="s">
        <v>13</v>
      </c>
      <c r="D4206" s="2">
        <v>5</v>
      </c>
      <c r="E4206" s="2" t="s">
        <v>26</v>
      </c>
      <c r="F4206" s="2" t="s">
        <v>15</v>
      </c>
      <c r="G4206" s="7">
        <v>85.55</v>
      </c>
      <c r="H4206" s="7">
        <v>408.5</v>
      </c>
      <c r="I4206" s="2" t="s">
        <v>15</v>
      </c>
      <c r="J4206" s="2" t="s">
        <v>16</v>
      </c>
      <c r="K4206" s="2" t="s">
        <v>17</v>
      </c>
      <c r="L4206" s="7">
        <v>408.5</v>
      </c>
      <c r="M4206" s="2" t="str">
        <f>_xlfn.IFS(TelecomData[[#This Row],[TenureMonths]]&lt;=12, "0-1 Year", TelecomData[[#This Row],[TenureMonths]]&lt;=36, "1-3 Years", TelecomData[[#This Row],[TenureMonths]]&gt;36, "3+ Years")</f>
        <v>0-1 Year</v>
      </c>
      <c r="N4206" s="2" t="str">
        <f>IF(TelecomData[[#This Row],[CleanedTotalCharges]]&gt;=2500,"High Spend", "Standard Spend")</f>
        <v>Standard Spend</v>
      </c>
    </row>
    <row r="4207" spans="1:14" x14ac:dyDescent="0.3">
      <c r="A4207" s="1" t="s">
        <v>4231</v>
      </c>
      <c r="B4207" s="2" t="s">
        <v>12</v>
      </c>
      <c r="C4207" s="2" t="s">
        <v>35</v>
      </c>
      <c r="D4207" s="2">
        <v>24</v>
      </c>
      <c r="E4207" s="2" t="s">
        <v>14</v>
      </c>
      <c r="F4207" s="2" t="s">
        <v>15</v>
      </c>
      <c r="G4207" s="7">
        <v>78.599999999999994</v>
      </c>
      <c r="H4207" s="7">
        <v>1846.65</v>
      </c>
      <c r="I4207" s="2" t="s">
        <v>15</v>
      </c>
      <c r="J4207" s="2" t="s">
        <v>15</v>
      </c>
      <c r="K4207" s="2" t="s">
        <v>29</v>
      </c>
      <c r="L4207" s="7">
        <v>1846.65</v>
      </c>
      <c r="M4207" s="2" t="str">
        <f>_xlfn.IFS(TelecomData[[#This Row],[TenureMonths]]&lt;=12, "0-1 Year", TelecomData[[#This Row],[TenureMonths]]&lt;=36, "1-3 Years", TelecomData[[#This Row],[TenureMonths]]&gt;36, "3+ Years")</f>
        <v>1-3 Years</v>
      </c>
      <c r="N4207" s="2" t="str">
        <f>IF(TelecomData[[#This Row],[CleanedTotalCharges]]&gt;=2500,"High Spend", "Standard Spend")</f>
        <v>Standard Spend</v>
      </c>
    </row>
    <row r="4208" spans="1:14" x14ac:dyDescent="0.3">
      <c r="A4208" s="1" t="s">
        <v>4232</v>
      </c>
      <c r="B4208" s="2" t="s">
        <v>12</v>
      </c>
      <c r="C4208" s="2" t="s">
        <v>35</v>
      </c>
      <c r="D4208" s="2">
        <v>72</v>
      </c>
      <c r="E4208" s="2" t="s">
        <v>26</v>
      </c>
      <c r="F4208" s="2" t="s">
        <v>16</v>
      </c>
      <c r="G4208" s="7">
        <v>116.8</v>
      </c>
      <c r="H4208" s="7">
        <v>8456.75</v>
      </c>
      <c r="I4208" s="2" t="s">
        <v>15</v>
      </c>
      <c r="J4208" s="2" t="s">
        <v>16</v>
      </c>
      <c r="K4208" s="2" t="s">
        <v>29</v>
      </c>
      <c r="L4208" s="7">
        <v>8456.75</v>
      </c>
      <c r="M4208" s="2" t="str">
        <f>_xlfn.IFS(TelecomData[[#This Row],[TenureMonths]]&lt;=12, "0-1 Year", TelecomData[[#This Row],[TenureMonths]]&lt;=36, "1-3 Years", TelecomData[[#This Row],[TenureMonths]]&gt;36, "3+ Years")</f>
        <v>3+ Years</v>
      </c>
      <c r="N4208" s="2" t="str">
        <f>IF(TelecomData[[#This Row],[CleanedTotalCharges]]&gt;=2500,"High Spend", "Standard Spend")</f>
        <v>High Spend</v>
      </c>
    </row>
    <row r="4209" spans="1:14" x14ac:dyDescent="0.3">
      <c r="A4209" s="1" t="s">
        <v>4233</v>
      </c>
      <c r="B4209" s="2" t="s">
        <v>19</v>
      </c>
      <c r="C4209" s="2" t="s">
        <v>13</v>
      </c>
      <c r="D4209" s="2">
        <v>21</v>
      </c>
      <c r="E4209" s="2" t="s">
        <v>14</v>
      </c>
      <c r="F4209" s="2" t="s">
        <v>16</v>
      </c>
      <c r="G4209" s="7">
        <v>43.55</v>
      </c>
      <c r="H4209" s="7">
        <v>1011.5</v>
      </c>
      <c r="I4209" s="2" t="s">
        <v>15</v>
      </c>
      <c r="J4209" s="2" t="s">
        <v>16</v>
      </c>
      <c r="K4209" s="2" t="s">
        <v>21</v>
      </c>
      <c r="L4209" s="7">
        <v>1011.5</v>
      </c>
      <c r="M4209" s="2" t="str">
        <f>_xlfn.IFS(TelecomData[[#This Row],[TenureMonths]]&lt;=12, "0-1 Year", TelecomData[[#This Row],[TenureMonths]]&lt;=36, "1-3 Years", TelecomData[[#This Row],[TenureMonths]]&gt;36, "3+ Years")</f>
        <v>1-3 Years</v>
      </c>
      <c r="N4209" s="2" t="str">
        <f>IF(TelecomData[[#This Row],[CleanedTotalCharges]]&gt;=2500,"High Spend", "Standard Spend")</f>
        <v>Standard Spend</v>
      </c>
    </row>
    <row r="4210" spans="1:14" x14ac:dyDescent="0.3">
      <c r="A4210" s="1" t="s">
        <v>4234</v>
      </c>
      <c r="B4210" s="2" t="s">
        <v>19</v>
      </c>
      <c r="C4210" s="2" t="s">
        <v>20</v>
      </c>
      <c r="D4210" s="2">
        <v>69</v>
      </c>
      <c r="E4210" s="2" t="s">
        <v>14</v>
      </c>
      <c r="F4210" s="2" t="s">
        <v>16</v>
      </c>
      <c r="G4210" s="7">
        <v>60.8</v>
      </c>
      <c r="H4210" s="7">
        <v>4263.3999999999996</v>
      </c>
      <c r="I4210" s="2" t="s">
        <v>15</v>
      </c>
      <c r="J4210" s="2" t="s">
        <v>16</v>
      </c>
      <c r="K4210" s="2" t="s">
        <v>29</v>
      </c>
      <c r="L4210" s="7">
        <v>4263.3999999999996</v>
      </c>
      <c r="M4210" s="2" t="str">
        <f>_xlfn.IFS(TelecomData[[#This Row],[TenureMonths]]&lt;=12, "0-1 Year", TelecomData[[#This Row],[TenureMonths]]&lt;=36, "1-3 Years", TelecomData[[#This Row],[TenureMonths]]&gt;36, "3+ Years")</f>
        <v>3+ Years</v>
      </c>
      <c r="N4210" s="2" t="str">
        <f>IF(TelecomData[[#This Row],[CleanedTotalCharges]]&gt;=2500,"High Spend", "Standard Spend")</f>
        <v>High Spend</v>
      </c>
    </row>
    <row r="4211" spans="1:14" x14ac:dyDescent="0.3">
      <c r="A4211" s="1" t="s">
        <v>4235</v>
      </c>
      <c r="B4211" s="2" t="s">
        <v>19</v>
      </c>
      <c r="C4211" s="2" t="s">
        <v>13</v>
      </c>
      <c r="D4211" s="2">
        <v>44</v>
      </c>
      <c r="E4211" s="2" t="s">
        <v>14</v>
      </c>
      <c r="F4211" s="2" t="s">
        <v>16</v>
      </c>
      <c r="G4211" s="7">
        <v>54.9</v>
      </c>
      <c r="H4211" s="7">
        <v>2549.1</v>
      </c>
      <c r="I4211" s="2" t="s">
        <v>15</v>
      </c>
      <c r="J4211" s="2" t="s">
        <v>16</v>
      </c>
      <c r="K4211" s="2" t="s">
        <v>24</v>
      </c>
      <c r="L4211" s="7">
        <v>2549.1</v>
      </c>
      <c r="M4211" s="2" t="str">
        <f>_xlfn.IFS(TelecomData[[#This Row],[TenureMonths]]&lt;=12, "0-1 Year", TelecomData[[#This Row],[TenureMonths]]&lt;=36, "1-3 Years", TelecomData[[#This Row],[TenureMonths]]&gt;36, "3+ Years")</f>
        <v>3+ Years</v>
      </c>
      <c r="N4211" s="2" t="str">
        <f>IF(TelecomData[[#This Row],[CleanedTotalCharges]]&gt;=2500,"High Spend", "Standard Spend")</f>
        <v>High Spend</v>
      </c>
    </row>
    <row r="4212" spans="1:14" x14ac:dyDescent="0.3">
      <c r="A4212" s="1" t="s">
        <v>4236</v>
      </c>
      <c r="B4212" s="2" t="s">
        <v>12</v>
      </c>
      <c r="C4212" s="2" t="s">
        <v>20</v>
      </c>
      <c r="D4212" s="2">
        <v>61</v>
      </c>
      <c r="E4212" s="2" t="s">
        <v>14</v>
      </c>
      <c r="F4212" s="2" t="s">
        <v>15</v>
      </c>
      <c r="G4212" s="7">
        <v>65.2</v>
      </c>
      <c r="H4212" s="7">
        <v>3965.05</v>
      </c>
      <c r="I4212" s="2" t="s">
        <v>15</v>
      </c>
      <c r="J4212" s="2" t="s">
        <v>16</v>
      </c>
      <c r="K4212" s="2" t="s">
        <v>17</v>
      </c>
      <c r="L4212" s="7">
        <v>3965.05</v>
      </c>
      <c r="M4212" s="2" t="str">
        <f>_xlfn.IFS(TelecomData[[#This Row],[TenureMonths]]&lt;=12, "0-1 Year", TelecomData[[#This Row],[TenureMonths]]&lt;=36, "1-3 Years", TelecomData[[#This Row],[TenureMonths]]&gt;36, "3+ Years")</f>
        <v>3+ Years</v>
      </c>
      <c r="N4212" s="2" t="str">
        <f>IF(TelecomData[[#This Row],[CleanedTotalCharges]]&gt;=2500,"High Spend", "Standard Spend")</f>
        <v>High Spend</v>
      </c>
    </row>
    <row r="4213" spans="1:14" x14ac:dyDescent="0.3">
      <c r="A4213" s="1" t="s">
        <v>4237</v>
      </c>
      <c r="B4213" s="2" t="s">
        <v>19</v>
      </c>
      <c r="C4213" s="2" t="s">
        <v>13</v>
      </c>
      <c r="D4213" s="2">
        <v>24</v>
      </c>
      <c r="E4213" s="2" t="s">
        <v>26</v>
      </c>
      <c r="F4213" s="2" t="s">
        <v>15</v>
      </c>
      <c r="G4213" s="7">
        <v>102.95</v>
      </c>
      <c r="H4213" s="7">
        <v>2496.6999999999998</v>
      </c>
      <c r="I4213" s="2" t="s">
        <v>16</v>
      </c>
      <c r="J4213" s="2" t="s">
        <v>16</v>
      </c>
      <c r="K4213" s="2" t="s">
        <v>29</v>
      </c>
      <c r="L4213" s="7">
        <v>2496.6999999999998</v>
      </c>
      <c r="M4213" s="2" t="str">
        <f>_xlfn.IFS(TelecomData[[#This Row],[TenureMonths]]&lt;=12, "0-1 Year", TelecomData[[#This Row],[TenureMonths]]&lt;=36, "1-3 Years", TelecomData[[#This Row],[TenureMonths]]&gt;36, "3+ Years")</f>
        <v>1-3 Years</v>
      </c>
      <c r="N4213" s="2" t="str">
        <f>IF(TelecomData[[#This Row],[CleanedTotalCharges]]&gt;=2500,"High Spend", "Standard Spend")</f>
        <v>Standard Spend</v>
      </c>
    </row>
    <row r="4214" spans="1:14" x14ac:dyDescent="0.3">
      <c r="A4214" s="1" t="s">
        <v>4238</v>
      </c>
      <c r="B4214" s="2" t="s">
        <v>12</v>
      </c>
      <c r="C4214" s="2" t="s">
        <v>13</v>
      </c>
      <c r="D4214" s="2">
        <v>1</v>
      </c>
      <c r="E4214" s="2" t="s">
        <v>26</v>
      </c>
      <c r="F4214" s="2" t="s">
        <v>15</v>
      </c>
      <c r="G4214" s="7">
        <v>90.6</v>
      </c>
      <c r="H4214" s="7">
        <v>90.6</v>
      </c>
      <c r="I4214" s="2" t="s">
        <v>16</v>
      </c>
      <c r="J4214" s="2" t="s">
        <v>15</v>
      </c>
      <c r="K4214" s="2" t="s">
        <v>17</v>
      </c>
      <c r="L4214" s="7">
        <v>90.6</v>
      </c>
      <c r="M4214" s="2" t="str">
        <f>_xlfn.IFS(TelecomData[[#This Row],[TenureMonths]]&lt;=12, "0-1 Year", TelecomData[[#This Row],[TenureMonths]]&lt;=36, "1-3 Years", TelecomData[[#This Row],[TenureMonths]]&gt;36, "3+ Years")</f>
        <v>0-1 Year</v>
      </c>
      <c r="N4214" s="2" t="str">
        <f>IF(TelecomData[[#This Row],[CleanedTotalCharges]]&gt;=2500,"High Spend", "Standard Spend")</f>
        <v>Standard Spend</v>
      </c>
    </row>
    <row r="4215" spans="1:14" x14ac:dyDescent="0.3">
      <c r="A4215" s="1" t="s">
        <v>4239</v>
      </c>
      <c r="B4215" s="2" t="s">
        <v>12</v>
      </c>
      <c r="C4215" s="2" t="s">
        <v>13</v>
      </c>
      <c r="D4215" s="2">
        <v>6</v>
      </c>
      <c r="E4215" s="2" t="s">
        <v>14</v>
      </c>
      <c r="F4215" s="2" t="s">
        <v>16</v>
      </c>
      <c r="G4215" s="7">
        <v>50.8</v>
      </c>
      <c r="H4215" s="7">
        <v>288.05</v>
      </c>
      <c r="I4215" s="2" t="s">
        <v>16</v>
      </c>
      <c r="J4215" s="2" t="s">
        <v>16</v>
      </c>
      <c r="K4215" s="2" t="s">
        <v>24</v>
      </c>
      <c r="L4215" s="7">
        <v>288.05</v>
      </c>
      <c r="M4215" s="2" t="str">
        <f>_xlfn.IFS(TelecomData[[#This Row],[TenureMonths]]&lt;=12, "0-1 Year", TelecomData[[#This Row],[TenureMonths]]&lt;=36, "1-3 Years", TelecomData[[#This Row],[TenureMonths]]&gt;36, "3+ Years")</f>
        <v>0-1 Year</v>
      </c>
      <c r="N4215" s="2" t="str">
        <f>IF(TelecomData[[#This Row],[CleanedTotalCharges]]&gt;=2500,"High Spend", "Standard Spend")</f>
        <v>Standard Spend</v>
      </c>
    </row>
    <row r="4216" spans="1:14" x14ac:dyDescent="0.3">
      <c r="A4216" s="1" t="s">
        <v>4240</v>
      </c>
      <c r="B4216" s="2" t="s">
        <v>19</v>
      </c>
      <c r="C4216" s="2" t="s">
        <v>13</v>
      </c>
      <c r="D4216" s="2">
        <v>4</v>
      </c>
      <c r="E4216" s="2" t="s">
        <v>26</v>
      </c>
      <c r="F4216" s="2" t="s">
        <v>15</v>
      </c>
      <c r="G4216" s="7">
        <v>90.05</v>
      </c>
      <c r="H4216" s="7">
        <v>368.1</v>
      </c>
      <c r="I4216" s="2" t="s">
        <v>16</v>
      </c>
      <c r="J4216" s="2" t="s">
        <v>16</v>
      </c>
      <c r="K4216" s="2" t="s">
        <v>17</v>
      </c>
      <c r="L4216" s="7">
        <v>368.1</v>
      </c>
      <c r="M4216" s="2" t="str">
        <f>_xlfn.IFS(TelecomData[[#This Row],[TenureMonths]]&lt;=12, "0-1 Year", TelecomData[[#This Row],[TenureMonths]]&lt;=36, "1-3 Years", TelecomData[[#This Row],[TenureMonths]]&gt;36, "3+ Years")</f>
        <v>0-1 Year</v>
      </c>
      <c r="N4216" s="2" t="str">
        <f>IF(TelecomData[[#This Row],[CleanedTotalCharges]]&gt;=2500,"High Spend", "Standard Spend")</f>
        <v>Standard Spend</v>
      </c>
    </row>
    <row r="4217" spans="1:14" x14ac:dyDescent="0.3">
      <c r="A4217" s="1" t="s">
        <v>4241</v>
      </c>
      <c r="B4217" s="2" t="s">
        <v>19</v>
      </c>
      <c r="C4217" s="2" t="s">
        <v>35</v>
      </c>
      <c r="D4217" s="2">
        <v>72</v>
      </c>
      <c r="E4217" s="2" t="s">
        <v>26</v>
      </c>
      <c r="F4217" s="2" t="s">
        <v>16</v>
      </c>
      <c r="G4217" s="7">
        <v>108.2</v>
      </c>
      <c r="H4217" s="7">
        <v>7840.6</v>
      </c>
      <c r="I4217" s="2" t="s">
        <v>15</v>
      </c>
      <c r="J4217" s="2" t="s">
        <v>16</v>
      </c>
      <c r="K4217" s="2" t="s">
        <v>17</v>
      </c>
      <c r="L4217" s="7">
        <v>7840.6</v>
      </c>
      <c r="M4217" s="2" t="str">
        <f>_xlfn.IFS(TelecomData[[#This Row],[TenureMonths]]&lt;=12, "0-1 Year", TelecomData[[#This Row],[TenureMonths]]&lt;=36, "1-3 Years", TelecomData[[#This Row],[TenureMonths]]&gt;36, "3+ Years")</f>
        <v>3+ Years</v>
      </c>
      <c r="N4217" s="2" t="str">
        <f>IF(TelecomData[[#This Row],[CleanedTotalCharges]]&gt;=2500,"High Spend", "Standard Spend")</f>
        <v>High Spend</v>
      </c>
    </row>
    <row r="4218" spans="1:14" x14ac:dyDescent="0.3">
      <c r="A4218" s="1" t="s">
        <v>4242</v>
      </c>
      <c r="B4218" s="2" t="s">
        <v>19</v>
      </c>
      <c r="C4218" s="2" t="s">
        <v>35</v>
      </c>
      <c r="D4218" s="2">
        <v>72</v>
      </c>
      <c r="E4218" s="2" t="s">
        <v>14</v>
      </c>
      <c r="F4218" s="2" t="s">
        <v>16</v>
      </c>
      <c r="G4218" s="7">
        <v>92</v>
      </c>
      <c r="H4218" s="7">
        <v>6632.75</v>
      </c>
      <c r="I4218" s="2" t="s">
        <v>15</v>
      </c>
      <c r="J4218" s="2" t="s">
        <v>15</v>
      </c>
      <c r="K4218" s="2" t="s">
        <v>24</v>
      </c>
      <c r="L4218" s="7">
        <v>6632.75</v>
      </c>
      <c r="M4218" s="2" t="str">
        <f>_xlfn.IFS(TelecomData[[#This Row],[TenureMonths]]&lt;=12, "0-1 Year", TelecomData[[#This Row],[TenureMonths]]&lt;=36, "1-3 Years", TelecomData[[#This Row],[TenureMonths]]&gt;36, "3+ Years")</f>
        <v>3+ Years</v>
      </c>
      <c r="N4218" s="2" t="str">
        <f>IF(TelecomData[[#This Row],[CleanedTotalCharges]]&gt;=2500,"High Spend", "Standard Spend")</f>
        <v>High Spend</v>
      </c>
    </row>
    <row r="4219" spans="1:14" x14ac:dyDescent="0.3">
      <c r="A4219" s="1" t="s">
        <v>4243</v>
      </c>
      <c r="B4219" s="2" t="s">
        <v>19</v>
      </c>
      <c r="C4219" s="2" t="s">
        <v>13</v>
      </c>
      <c r="D4219" s="2">
        <v>14</v>
      </c>
      <c r="E4219" s="2" t="s">
        <v>26</v>
      </c>
      <c r="F4219" s="2" t="s">
        <v>15</v>
      </c>
      <c r="G4219" s="7">
        <v>75.099999999999994</v>
      </c>
      <c r="H4219" s="7">
        <v>1013.35</v>
      </c>
      <c r="I4219" s="2" t="s">
        <v>15</v>
      </c>
      <c r="J4219" s="2" t="s">
        <v>16</v>
      </c>
      <c r="K4219" s="2" t="s">
        <v>17</v>
      </c>
      <c r="L4219" s="7">
        <v>1013.35</v>
      </c>
      <c r="M4219" s="2" t="str">
        <f>_xlfn.IFS(TelecomData[[#This Row],[TenureMonths]]&lt;=12, "0-1 Year", TelecomData[[#This Row],[TenureMonths]]&lt;=36, "1-3 Years", TelecomData[[#This Row],[TenureMonths]]&gt;36, "3+ Years")</f>
        <v>1-3 Years</v>
      </c>
      <c r="N4219" s="2" t="str">
        <f>IF(TelecomData[[#This Row],[CleanedTotalCharges]]&gt;=2500,"High Spend", "Standard Spend")</f>
        <v>Standard Spend</v>
      </c>
    </row>
    <row r="4220" spans="1:14" x14ac:dyDescent="0.3">
      <c r="A4220" s="1" t="s">
        <v>4244</v>
      </c>
      <c r="B4220" s="2" t="s">
        <v>19</v>
      </c>
      <c r="C4220" s="2" t="s">
        <v>13</v>
      </c>
      <c r="D4220" s="2">
        <v>7</v>
      </c>
      <c r="E4220" s="2" t="s">
        <v>15</v>
      </c>
      <c r="F4220" s="2" t="s">
        <v>36</v>
      </c>
      <c r="G4220" s="7">
        <v>25.05</v>
      </c>
      <c r="H4220" s="7">
        <v>152.94999999999999</v>
      </c>
      <c r="I4220" s="2" t="s">
        <v>15</v>
      </c>
      <c r="J4220" s="2" t="s">
        <v>16</v>
      </c>
      <c r="K4220" s="2" t="s">
        <v>24</v>
      </c>
      <c r="L4220" s="7">
        <v>152.94999999999999</v>
      </c>
      <c r="M4220" s="2" t="str">
        <f>_xlfn.IFS(TelecomData[[#This Row],[TenureMonths]]&lt;=12, "0-1 Year", TelecomData[[#This Row],[TenureMonths]]&lt;=36, "1-3 Years", TelecomData[[#This Row],[TenureMonths]]&gt;36, "3+ Years")</f>
        <v>0-1 Year</v>
      </c>
      <c r="N4220" s="2" t="str">
        <f>IF(TelecomData[[#This Row],[CleanedTotalCharges]]&gt;=2500,"High Spend", "Standard Spend")</f>
        <v>Standard Spend</v>
      </c>
    </row>
    <row r="4221" spans="1:14" x14ac:dyDescent="0.3">
      <c r="A4221" s="1" t="s">
        <v>4245</v>
      </c>
      <c r="B4221" s="2" t="s">
        <v>12</v>
      </c>
      <c r="C4221" s="2" t="s">
        <v>20</v>
      </c>
      <c r="D4221" s="2">
        <v>48</v>
      </c>
      <c r="E4221" s="2" t="s">
        <v>26</v>
      </c>
      <c r="F4221" s="2" t="s">
        <v>15</v>
      </c>
      <c r="G4221" s="7">
        <v>75.150000000000006</v>
      </c>
      <c r="H4221" s="7">
        <v>3772.65</v>
      </c>
      <c r="I4221" s="2" t="s">
        <v>15</v>
      </c>
      <c r="J4221" s="2" t="s">
        <v>15</v>
      </c>
      <c r="K4221" s="2" t="s">
        <v>17</v>
      </c>
      <c r="L4221" s="7">
        <v>3772.65</v>
      </c>
      <c r="M4221" s="2" t="str">
        <f>_xlfn.IFS(TelecomData[[#This Row],[TenureMonths]]&lt;=12, "0-1 Year", TelecomData[[#This Row],[TenureMonths]]&lt;=36, "1-3 Years", TelecomData[[#This Row],[TenureMonths]]&gt;36, "3+ Years")</f>
        <v>3+ Years</v>
      </c>
      <c r="N4221" s="2" t="str">
        <f>IF(TelecomData[[#This Row],[CleanedTotalCharges]]&gt;=2500,"High Spend", "Standard Spend")</f>
        <v>High Spend</v>
      </c>
    </row>
    <row r="4222" spans="1:14" x14ac:dyDescent="0.3">
      <c r="A4222" s="1" t="s">
        <v>4246</v>
      </c>
      <c r="B4222" s="2" t="s">
        <v>19</v>
      </c>
      <c r="C4222" s="2" t="s">
        <v>20</v>
      </c>
      <c r="D4222" s="2">
        <v>55</v>
      </c>
      <c r="E4222" s="2" t="s">
        <v>15</v>
      </c>
      <c r="F4222" s="2" t="s">
        <v>36</v>
      </c>
      <c r="G4222" s="7">
        <v>19.5</v>
      </c>
      <c r="H4222" s="7">
        <v>1026.3499999999999</v>
      </c>
      <c r="I4222" s="2" t="s">
        <v>15</v>
      </c>
      <c r="J4222" s="2" t="s">
        <v>15</v>
      </c>
      <c r="K4222" s="2" t="s">
        <v>21</v>
      </c>
      <c r="L4222" s="7">
        <v>1026.3499999999999</v>
      </c>
      <c r="M4222" s="2" t="str">
        <f>_xlfn.IFS(TelecomData[[#This Row],[TenureMonths]]&lt;=12, "0-1 Year", TelecomData[[#This Row],[TenureMonths]]&lt;=36, "1-3 Years", TelecomData[[#This Row],[TenureMonths]]&gt;36, "3+ Years")</f>
        <v>3+ Years</v>
      </c>
      <c r="N4222" s="2" t="str">
        <f>IF(TelecomData[[#This Row],[CleanedTotalCharges]]&gt;=2500,"High Spend", "Standard Spend")</f>
        <v>Standard Spend</v>
      </c>
    </row>
    <row r="4223" spans="1:14" x14ac:dyDescent="0.3">
      <c r="A4223" s="1" t="s">
        <v>4247</v>
      </c>
      <c r="B4223" s="2" t="s">
        <v>19</v>
      </c>
      <c r="C4223" s="2" t="s">
        <v>13</v>
      </c>
      <c r="D4223" s="2">
        <v>1</v>
      </c>
      <c r="E4223" s="2" t="s">
        <v>15</v>
      </c>
      <c r="F4223" s="2" t="s">
        <v>36</v>
      </c>
      <c r="G4223" s="7">
        <v>19.3</v>
      </c>
      <c r="H4223" s="7">
        <v>19.3</v>
      </c>
      <c r="I4223" s="2" t="s">
        <v>15</v>
      </c>
      <c r="J4223" s="2" t="s">
        <v>15</v>
      </c>
      <c r="K4223" s="2" t="s">
        <v>29</v>
      </c>
      <c r="L4223" s="7">
        <v>19.3</v>
      </c>
      <c r="M4223" s="2" t="str">
        <f>_xlfn.IFS(TelecomData[[#This Row],[TenureMonths]]&lt;=12, "0-1 Year", TelecomData[[#This Row],[TenureMonths]]&lt;=36, "1-3 Years", TelecomData[[#This Row],[TenureMonths]]&gt;36, "3+ Years")</f>
        <v>0-1 Year</v>
      </c>
      <c r="N4223" s="2" t="str">
        <f>IF(TelecomData[[#This Row],[CleanedTotalCharges]]&gt;=2500,"High Spend", "Standard Spend")</f>
        <v>Standard Spend</v>
      </c>
    </row>
    <row r="4224" spans="1:14" x14ac:dyDescent="0.3">
      <c r="A4224" s="1" t="s">
        <v>4248</v>
      </c>
      <c r="B4224" s="2" t="s">
        <v>19</v>
      </c>
      <c r="C4224" s="2" t="s">
        <v>20</v>
      </c>
      <c r="D4224" s="2">
        <v>45</v>
      </c>
      <c r="E4224" s="2" t="s">
        <v>26</v>
      </c>
      <c r="F4224" s="2" t="s">
        <v>16</v>
      </c>
      <c r="G4224" s="7">
        <v>112.2</v>
      </c>
      <c r="H4224" s="7">
        <v>5031.8500000000004</v>
      </c>
      <c r="I4224" s="2" t="s">
        <v>15</v>
      </c>
      <c r="J4224" s="2" t="s">
        <v>15</v>
      </c>
      <c r="K4224" s="2" t="s">
        <v>29</v>
      </c>
      <c r="L4224" s="7">
        <v>5031.8500000000004</v>
      </c>
      <c r="M4224" s="2" t="str">
        <f>_xlfn.IFS(TelecomData[[#This Row],[TenureMonths]]&lt;=12, "0-1 Year", TelecomData[[#This Row],[TenureMonths]]&lt;=36, "1-3 Years", TelecomData[[#This Row],[TenureMonths]]&gt;36, "3+ Years")</f>
        <v>3+ Years</v>
      </c>
      <c r="N4224" s="2" t="str">
        <f>IF(TelecomData[[#This Row],[CleanedTotalCharges]]&gt;=2500,"High Spend", "Standard Spend")</f>
        <v>High Spend</v>
      </c>
    </row>
    <row r="4225" spans="1:14" x14ac:dyDescent="0.3">
      <c r="A4225" s="1" t="s">
        <v>4249</v>
      </c>
      <c r="B4225" s="2" t="s">
        <v>19</v>
      </c>
      <c r="C4225" s="2" t="s">
        <v>13</v>
      </c>
      <c r="D4225" s="2">
        <v>3</v>
      </c>
      <c r="E4225" s="2" t="s">
        <v>26</v>
      </c>
      <c r="F4225" s="2" t="s">
        <v>15</v>
      </c>
      <c r="G4225" s="7">
        <v>70.3</v>
      </c>
      <c r="H4225" s="7">
        <v>220.4</v>
      </c>
      <c r="I4225" s="2" t="s">
        <v>15</v>
      </c>
      <c r="J4225" s="2" t="s">
        <v>16</v>
      </c>
      <c r="K4225" s="2" t="s">
        <v>21</v>
      </c>
      <c r="L4225" s="7">
        <v>220.4</v>
      </c>
      <c r="M4225" s="2" t="str">
        <f>_xlfn.IFS(TelecomData[[#This Row],[TenureMonths]]&lt;=12, "0-1 Year", TelecomData[[#This Row],[TenureMonths]]&lt;=36, "1-3 Years", TelecomData[[#This Row],[TenureMonths]]&gt;36, "3+ Years")</f>
        <v>0-1 Year</v>
      </c>
      <c r="N4225" s="2" t="str">
        <f>IF(TelecomData[[#This Row],[CleanedTotalCharges]]&gt;=2500,"High Spend", "Standard Spend")</f>
        <v>Standard Spend</v>
      </c>
    </row>
    <row r="4226" spans="1:14" x14ac:dyDescent="0.3">
      <c r="A4226" s="1" t="s">
        <v>4250</v>
      </c>
      <c r="B4226" s="2" t="s">
        <v>12</v>
      </c>
      <c r="C4226" s="2" t="s">
        <v>35</v>
      </c>
      <c r="D4226" s="2">
        <v>71</v>
      </c>
      <c r="E4226" s="2" t="s">
        <v>15</v>
      </c>
      <c r="F4226" s="2" t="s">
        <v>36</v>
      </c>
      <c r="G4226" s="7">
        <v>19.600000000000001</v>
      </c>
      <c r="H4226" s="7">
        <v>1416.5</v>
      </c>
      <c r="I4226" s="2" t="s">
        <v>15</v>
      </c>
      <c r="J4226" s="2" t="s">
        <v>15</v>
      </c>
      <c r="K4226" s="2" t="s">
        <v>21</v>
      </c>
      <c r="L4226" s="7">
        <v>1416.5</v>
      </c>
      <c r="M4226" s="2" t="str">
        <f>_xlfn.IFS(TelecomData[[#This Row],[TenureMonths]]&lt;=12, "0-1 Year", TelecomData[[#This Row],[TenureMonths]]&lt;=36, "1-3 Years", TelecomData[[#This Row],[TenureMonths]]&gt;36, "3+ Years")</f>
        <v>3+ Years</v>
      </c>
      <c r="N4226" s="2" t="str">
        <f>IF(TelecomData[[#This Row],[CleanedTotalCharges]]&gt;=2500,"High Spend", "Standard Spend")</f>
        <v>Standard Spend</v>
      </c>
    </row>
    <row r="4227" spans="1:14" x14ac:dyDescent="0.3">
      <c r="A4227" s="1" t="s">
        <v>4251</v>
      </c>
      <c r="B4227" s="2" t="s">
        <v>19</v>
      </c>
      <c r="C4227" s="2" t="s">
        <v>13</v>
      </c>
      <c r="D4227" s="2">
        <v>8</v>
      </c>
      <c r="E4227" s="2" t="s">
        <v>15</v>
      </c>
      <c r="F4227" s="2" t="s">
        <v>36</v>
      </c>
      <c r="G4227" s="7">
        <v>20.25</v>
      </c>
      <c r="H4227" s="7">
        <v>158.35</v>
      </c>
      <c r="I4227" s="2" t="s">
        <v>15</v>
      </c>
      <c r="J4227" s="2" t="s">
        <v>15</v>
      </c>
      <c r="K4227" s="2" t="s">
        <v>21</v>
      </c>
      <c r="L4227" s="7">
        <v>158.35</v>
      </c>
      <c r="M4227" s="2" t="str">
        <f>_xlfn.IFS(TelecomData[[#This Row],[TenureMonths]]&lt;=12, "0-1 Year", TelecomData[[#This Row],[TenureMonths]]&lt;=36, "1-3 Years", TelecomData[[#This Row],[TenureMonths]]&gt;36, "3+ Years")</f>
        <v>0-1 Year</v>
      </c>
      <c r="N4227" s="2" t="str">
        <f>IF(TelecomData[[#This Row],[CleanedTotalCharges]]&gt;=2500,"High Spend", "Standard Spend")</f>
        <v>Standard Spend</v>
      </c>
    </row>
    <row r="4228" spans="1:14" x14ac:dyDescent="0.3">
      <c r="A4228" s="1" t="s">
        <v>4252</v>
      </c>
      <c r="B4228" s="2" t="s">
        <v>12</v>
      </c>
      <c r="C4228" s="2" t="s">
        <v>13</v>
      </c>
      <c r="D4228" s="2">
        <v>3</v>
      </c>
      <c r="E4228" s="2" t="s">
        <v>26</v>
      </c>
      <c r="F4228" s="2" t="s">
        <v>15</v>
      </c>
      <c r="G4228" s="7">
        <v>75.849999999999994</v>
      </c>
      <c r="H4228" s="7">
        <v>256.60000000000002</v>
      </c>
      <c r="I4228" s="2" t="s">
        <v>16</v>
      </c>
      <c r="J4228" s="2" t="s">
        <v>16</v>
      </c>
      <c r="K4228" s="2" t="s">
        <v>17</v>
      </c>
      <c r="L4228" s="7">
        <v>256.60000000000002</v>
      </c>
      <c r="M4228" s="2" t="str">
        <f>_xlfn.IFS(TelecomData[[#This Row],[TenureMonths]]&lt;=12, "0-1 Year", TelecomData[[#This Row],[TenureMonths]]&lt;=36, "1-3 Years", TelecomData[[#This Row],[TenureMonths]]&gt;36, "3+ Years")</f>
        <v>0-1 Year</v>
      </c>
      <c r="N4228" s="2" t="str">
        <f>IF(TelecomData[[#This Row],[CleanedTotalCharges]]&gt;=2500,"High Spend", "Standard Spend")</f>
        <v>Standard Spend</v>
      </c>
    </row>
    <row r="4229" spans="1:14" x14ac:dyDescent="0.3">
      <c r="A4229" s="1" t="s">
        <v>4253</v>
      </c>
      <c r="B4229" s="2" t="s">
        <v>19</v>
      </c>
      <c r="C4229" s="2" t="s">
        <v>35</v>
      </c>
      <c r="D4229" s="2">
        <v>69</v>
      </c>
      <c r="E4229" s="2" t="s">
        <v>14</v>
      </c>
      <c r="F4229" s="2" t="s">
        <v>16</v>
      </c>
      <c r="G4229" s="7">
        <v>80.650000000000006</v>
      </c>
      <c r="H4229" s="7">
        <v>5542.55</v>
      </c>
      <c r="I4229" s="2" t="s">
        <v>15</v>
      </c>
      <c r="J4229" s="2" t="s">
        <v>15</v>
      </c>
      <c r="K4229" s="2" t="s">
        <v>24</v>
      </c>
      <c r="L4229" s="7">
        <v>5542.55</v>
      </c>
      <c r="M4229" s="2" t="str">
        <f>_xlfn.IFS(TelecomData[[#This Row],[TenureMonths]]&lt;=12, "0-1 Year", TelecomData[[#This Row],[TenureMonths]]&lt;=36, "1-3 Years", TelecomData[[#This Row],[TenureMonths]]&gt;36, "3+ Years")</f>
        <v>3+ Years</v>
      </c>
      <c r="N4229" s="2" t="str">
        <f>IF(TelecomData[[#This Row],[CleanedTotalCharges]]&gt;=2500,"High Spend", "Standard Spend")</f>
        <v>High Spend</v>
      </c>
    </row>
    <row r="4230" spans="1:14" x14ac:dyDescent="0.3">
      <c r="A4230" s="1" t="s">
        <v>4254</v>
      </c>
      <c r="B4230" s="2" t="s">
        <v>19</v>
      </c>
      <c r="C4230" s="2" t="s">
        <v>13</v>
      </c>
      <c r="D4230" s="2">
        <v>1</v>
      </c>
      <c r="E4230" s="2" t="s">
        <v>26</v>
      </c>
      <c r="F4230" s="2" t="s">
        <v>15</v>
      </c>
      <c r="G4230" s="7">
        <v>68.5</v>
      </c>
      <c r="H4230" s="7">
        <v>68.5</v>
      </c>
      <c r="I4230" s="2" t="s">
        <v>16</v>
      </c>
      <c r="J4230" s="2" t="s">
        <v>16</v>
      </c>
      <c r="K4230" s="2" t="s">
        <v>17</v>
      </c>
      <c r="L4230" s="7">
        <v>68.5</v>
      </c>
      <c r="M4230" s="2" t="str">
        <f>_xlfn.IFS(TelecomData[[#This Row],[TenureMonths]]&lt;=12, "0-1 Year", TelecomData[[#This Row],[TenureMonths]]&lt;=36, "1-3 Years", TelecomData[[#This Row],[TenureMonths]]&gt;36, "3+ Years")</f>
        <v>0-1 Year</v>
      </c>
      <c r="N4230" s="2" t="str">
        <f>IF(TelecomData[[#This Row],[CleanedTotalCharges]]&gt;=2500,"High Spend", "Standard Spend")</f>
        <v>Standard Spend</v>
      </c>
    </row>
    <row r="4231" spans="1:14" x14ac:dyDescent="0.3">
      <c r="A4231" s="1" t="s">
        <v>4255</v>
      </c>
      <c r="B4231" s="2" t="s">
        <v>12</v>
      </c>
      <c r="C4231" s="2" t="s">
        <v>35</v>
      </c>
      <c r="D4231" s="2">
        <v>72</v>
      </c>
      <c r="E4231" s="2" t="s">
        <v>26</v>
      </c>
      <c r="F4231" s="2" t="s">
        <v>16</v>
      </c>
      <c r="G4231" s="7">
        <v>115.75</v>
      </c>
      <c r="H4231" s="7">
        <v>8443.7000000000007</v>
      </c>
      <c r="I4231" s="2" t="s">
        <v>15</v>
      </c>
      <c r="J4231" s="2" t="s">
        <v>16</v>
      </c>
      <c r="K4231" s="2" t="s">
        <v>29</v>
      </c>
      <c r="L4231" s="7">
        <v>8443.7000000000007</v>
      </c>
      <c r="M4231" s="2" t="str">
        <f>_xlfn.IFS(TelecomData[[#This Row],[TenureMonths]]&lt;=12, "0-1 Year", TelecomData[[#This Row],[TenureMonths]]&lt;=36, "1-3 Years", TelecomData[[#This Row],[TenureMonths]]&gt;36, "3+ Years")</f>
        <v>3+ Years</v>
      </c>
      <c r="N4231" s="2" t="str">
        <f>IF(TelecomData[[#This Row],[CleanedTotalCharges]]&gt;=2500,"High Spend", "Standard Spend")</f>
        <v>High Spend</v>
      </c>
    </row>
    <row r="4232" spans="1:14" x14ac:dyDescent="0.3">
      <c r="A4232" s="1" t="s">
        <v>4256</v>
      </c>
      <c r="B4232" s="2" t="s">
        <v>19</v>
      </c>
      <c r="C4232" s="2" t="s">
        <v>13</v>
      </c>
      <c r="D4232" s="2">
        <v>11</v>
      </c>
      <c r="E4232" s="2" t="s">
        <v>26</v>
      </c>
      <c r="F4232" s="2" t="s">
        <v>15</v>
      </c>
      <c r="G4232" s="7">
        <v>73.5</v>
      </c>
      <c r="H4232" s="7">
        <v>791.75</v>
      </c>
      <c r="I4232" s="2" t="s">
        <v>16</v>
      </c>
      <c r="J4232" s="2" t="s">
        <v>16</v>
      </c>
      <c r="K4232" s="2" t="s">
        <v>17</v>
      </c>
      <c r="L4232" s="7">
        <v>791.75</v>
      </c>
      <c r="M4232" s="2" t="str">
        <f>_xlfn.IFS(TelecomData[[#This Row],[TenureMonths]]&lt;=12, "0-1 Year", TelecomData[[#This Row],[TenureMonths]]&lt;=36, "1-3 Years", TelecomData[[#This Row],[TenureMonths]]&gt;36, "3+ Years")</f>
        <v>0-1 Year</v>
      </c>
      <c r="N4232" s="2" t="str">
        <f>IF(TelecomData[[#This Row],[CleanedTotalCharges]]&gt;=2500,"High Spend", "Standard Spend")</f>
        <v>Standard Spend</v>
      </c>
    </row>
    <row r="4233" spans="1:14" x14ac:dyDescent="0.3">
      <c r="A4233" s="1" t="s">
        <v>4257</v>
      </c>
      <c r="B4233" s="2" t="s">
        <v>19</v>
      </c>
      <c r="C4233" s="2" t="s">
        <v>35</v>
      </c>
      <c r="D4233" s="2">
        <v>71</v>
      </c>
      <c r="E4233" s="2" t="s">
        <v>14</v>
      </c>
      <c r="F4233" s="2" t="s">
        <v>16</v>
      </c>
      <c r="G4233" s="7">
        <v>80.599999999999994</v>
      </c>
      <c r="H4233" s="7">
        <v>5708.2</v>
      </c>
      <c r="I4233" s="2" t="s">
        <v>15</v>
      </c>
      <c r="J4233" s="2" t="s">
        <v>15</v>
      </c>
      <c r="K4233" s="2" t="s">
        <v>24</v>
      </c>
      <c r="L4233" s="7">
        <v>5708.2</v>
      </c>
      <c r="M4233" s="2" t="str">
        <f>_xlfn.IFS(TelecomData[[#This Row],[TenureMonths]]&lt;=12, "0-1 Year", TelecomData[[#This Row],[TenureMonths]]&lt;=36, "1-3 Years", TelecomData[[#This Row],[TenureMonths]]&gt;36, "3+ Years")</f>
        <v>3+ Years</v>
      </c>
      <c r="N4233" s="2" t="str">
        <f>IF(TelecomData[[#This Row],[CleanedTotalCharges]]&gt;=2500,"High Spend", "Standard Spend")</f>
        <v>High Spend</v>
      </c>
    </row>
    <row r="4234" spans="1:14" x14ac:dyDescent="0.3">
      <c r="A4234" s="1" t="s">
        <v>4258</v>
      </c>
      <c r="B4234" s="2" t="s">
        <v>12</v>
      </c>
      <c r="C4234" s="2" t="s">
        <v>13</v>
      </c>
      <c r="D4234" s="2">
        <v>1</v>
      </c>
      <c r="E4234" s="2" t="s">
        <v>26</v>
      </c>
      <c r="F4234" s="2" t="s">
        <v>15</v>
      </c>
      <c r="G4234" s="7">
        <v>69.95</v>
      </c>
      <c r="H4234" s="7">
        <v>69.95</v>
      </c>
      <c r="I4234" s="2" t="s">
        <v>16</v>
      </c>
      <c r="J4234" s="2" t="s">
        <v>16</v>
      </c>
      <c r="K4234" s="2" t="s">
        <v>21</v>
      </c>
      <c r="L4234" s="7">
        <v>69.95</v>
      </c>
      <c r="M4234" s="2" t="str">
        <f>_xlfn.IFS(TelecomData[[#This Row],[TenureMonths]]&lt;=12, "0-1 Year", TelecomData[[#This Row],[TenureMonths]]&lt;=36, "1-3 Years", TelecomData[[#This Row],[TenureMonths]]&gt;36, "3+ Years")</f>
        <v>0-1 Year</v>
      </c>
      <c r="N4234" s="2" t="str">
        <f>IF(TelecomData[[#This Row],[CleanedTotalCharges]]&gt;=2500,"High Spend", "Standard Spend")</f>
        <v>Standard Spend</v>
      </c>
    </row>
    <row r="4235" spans="1:14" x14ac:dyDescent="0.3">
      <c r="A4235" s="1" t="s">
        <v>4259</v>
      </c>
      <c r="B4235" s="2" t="s">
        <v>12</v>
      </c>
      <c r="C4235" s="2" t="s">
        <v>35</v>
      </c>
      <c r="D4235" s="2">
        <v>33</v>
      </c>
      <c r="E4235" s="2" t="s">
        <v>14</v>
      </c>
      <c r="F4235" s="2" t="s">
        <v>16</v>
      </c>
      <c r="G4235" s="7">
        <v>59.55</v>
      </c>
      <c r="H4235" s="7">
        <v>2016.3</v>
      </c>
      <c r="I4235" s="2" t="s">
        <v>15</v>
      </c>
      <c r="J4235" s="2" t="s">
        <v>15</v>
      </c>
      <c r="K4235" s="2" t="s">
        <v>24</v>
      </c>
      <c r="L4235" s="7">
        <v>2016.3</v>
      </c>
      <c r="M4235" s="2" t="str">
        <f>_xlfn.IFS(TelecomData[[#This Row],[TenureMonths]]&lt;=12, "0-1 Year", TelecomData[[#This Row],[TenureMonths]]&lt;=36, "1-3 Years", TelecomData[[#This Row],[TenureMonths]]&gt;36, "3+ Years")</f>
        <v>1-3 Years</v>
      </c>
      <c r="N4235" s="2" t="str">
        <f>IF(TelecomData[[#This Row],[CleanedTotalCharges]]&gt;=2500,"High Spend", "Standard Spend")</f>
        <v>Standard Spend</v>
      </c>
    </row>
    <row r="4236" spans="1:14" x14ac:dyDescent="0.3">
      <c r="A4236" s="1" t="s">
        <v>4260</v>
      </c>
      <c r="B4236" s="2" t="s">
        <v>12</v>
      </c>
      <c r="C4236" s="2" t="s">
        <v>20</v>
      </c>
      <c r="D4236" s="2">
        <v>16</v>
      </c>
      <c r="E4236" s="2" t="s">
        <v>15</v>
      </c>
      <c r="F4236" s="2" t="s">
        <v>36</v>
      </c>
      <c r="G4236" s="7">
        <v>19.05</v>
      </c>
      <c r="H4236" s="7">
        <v>326.64999999999998</v>
      </c>
      <c r="I4236" s="2" t="s">
        <v>15</v>
      </c>
      <c r="J4236" s="2" t="s">
        <v>15</v>
      </c>
      <c r="K4236" s="2" t="s">
        <v>21</v>
      </c>
      <c r="L4236" s="7">
        <v>326.64999999999998</v>
      </c>
      <c r="M4236" s="2" t="str">
        <f>_xlfn.IFS(TelecomData[[#This Row],[TenureMonths]]&lt;=12, "0-1 Year", TelecomData[[#This Row],[TenureMonths]]&lt;=36, "1-3 Years", TelecomData[[#This Row],[TenureMonths]]&gt;36, "3+ Years")</f>
        <v>1-3 Years</v>
      </c>
      <c r="N4236" s="2" t="str">
        <f>IF(TelecomData[[#This Row],[CleanedTotalCharges]]&gt;=2500,"High Spend", "Standard Spend")</f>
        <v>Standard Spend</v>
      </c>
    </row>
    <row r="4237" spans="1:14" x14ac:dyDescent="0.3">
      <c r="A4237" s="1" t="s">
        <v>4261</v>
      </c>
      <c r="B4237" s="2" t="s">
        <v>12</v>
      </c>
      <c r="C4237" s="2" t="s">
        <v>20</v>
      </c>
      <c r="D4237" s="2">
        <v>56</v>
      </c>
      <c r="E4237" s="2" t="s">
        <v>26</v>
      </c>
      <c r="F4237" s="2" t="s">
        <v>16</v>
      </c>
      <c r="G4237" s="7">
        <v>95.65</v>
      </c>
      <c r="H4237" s="7">
        <v>5471.75</v>
      </c>
      <c r="I4237" s="2" t="s">
        <v>15</v>
      </c>
      <c r="J4237" s="2" t="s">
        <v>15</v>
      </c>
      <c r="K4237" s="2" t="s">
        <v>17</v>
      </c>
      <c r="L4237" s="7">
        <v>5471.75</v>
      </c>
      <c r="M4237" s="2" t="str">
        <f>_xlfn.IFS(TelecomData[[#This Row],[TenureMonths]]&lt;=12, "0-1 Year", TelecomData[[#This Row],[TenureMonths]]&lt;=36, "1-3 Years", TelecomData[[#This Row],[TenureMonths]]&gt;36, "3+ Years")</f>
        <v>3+ Years</v>
      </c>
      <c r="N4237" s="2" t="str">
        <f>IF(TelecomData[[#This Row],[CleanedTotalCharges]]&gt;=2500,"High Spend", "Standard Spend")</f>
        <v>High Spend</v>
      </c>
    </row>
    <row r="4238" spans="1:14" x14ac:dyDescent="0.3">
      <c r="A4238" s="1" t="s">
        <v>4262</v>
      </c>
      <c r="B4238" s="2" t="s">
        <v>12</v>
      </c>
      <c r="C4238" s="2" t="s">
        <v>13</v>
      </c>
      <c r="D4238" s="2">
        <v>1</v>
      </c>
      <c r="E4238" s="2" t="s">
        <v>15</v>
      </c>
      <c r="F4238" s="2" t="s">
        <v>36</v>
      </c>
      <c r="G4238" s="7">
        <v>19.95</v>
      </c>
      <c r="H4238" s="7">
        <v>19.95</v>
      </c>
      <c r="I4238" s="2" t="s">
        <v>15</v>
      </c>
      <c r="J4238" s="2" t="s">
        <v>15</v>
      </c>
      <c r="K4238" s="2" t="s">
        <v>29</v>
      </c>
      <c r="L4238" s="7">
        <v>19.95</v>
      </c>
      <c r="M4238" s="2" t="str">
        <f>_xlfn.IFS(TelecomData[[#This Row],[TenureMonths]]&lt;=12, "0-1 Year", TelecomData[[#This Row],[TenureMonths]]&lt;=36, "1-3 Years", TelecomData[[#This Row],[TenureMonths]]&gt;36, "3+ Years")</f>
        <v>0-1 Year</v>
      </c>
      <c r="N4238" s="2" t="str">
        <f>IF(TelecomData[[#This Row],[CleanedTotalCharges]]&gt;=2500,"High Spend", "Standard Spend")</f>
        <v>Standard Spend</v>
      </c>
    </row>
    <row r="4239" spans="1:14" x14ac:dyDescent="0.3">
      <c r="A4239" s="1" t="s">
        <v>4263</v>
      </c>
      <c r="B4239" s="2" t="s">
        <v>19</v>
      </c>
      <c r="C4239" s="2" t="s">
        <v>13</v>
      </c>
      <c r="D4239" s="2">
        <v>5</v>
      </c>
      <c r="E4239" s="2" t="s">
        <v>14</v>
      </c>
      <c r="F4239" s="2" t="s">
        <v>15</v>
      </c>
      <c r="G4239" s="7">
        <v>70.05</v>
      </c>
      <c r="H4239" s="7">
        <v>346.4</v>
      </c>
      <c r="I4239" s="2" t="s">
        <v>16</v>
      </c>
      <c r="J4239" s="2" t="s">
        <v>16</v>
      </c>
      <c r="K4239" s="2" t="s">
        <v>17</v>
      </c>
      <c r="L4239" s="7">
        <v>346.4</v>
      </c>
      <c r="M4239" s="2" t="str">
        <f>_xlfn.IFS(TelecomData[[#This Row],[TenureMonths]]&lt;=12, "0-1 Year", TelecomData[[#This Row],[TenureMonths]]&lt;=36, "1-3 Years", TelecomData[[#This Row],[TenureMonths]]&gt;36, "3+ Years")</f>
        <v>0-1 Year</v>
      </c>
      <c r="N4239" s="2" t="str">
        <f>IF(TelecomData[[#This Row],[CleanedTotalCharges]]&gt;=2500,"High Spend", "Standard Spend")</f>
        <v>Standard Spend</v>
      </c>
    </row>
    <row r="4240" spans="1:14" x14ac:dyDescent="0.3">
      <c r="A4240" s="1" t="s">
        <v>4264</v>
      </c>
      <c r="B4240" s="2" t="s">
        <v>19</v>
      </c>
      <c r="C4240" s="2" t="s">
        <v>20</v>
      </c>
      <c r="D4240" s="2">
        <v>57</v>
      </c>
      <c r="E4240" s="2" t="s">
        <v>15</v>
      </c>
      <c r="F4240" s="2" t="s">
        <v>36</v>
      </c>
      <c r="G4240" s="7">
        <v>19.399999999999999</v>
      </c>
      <c r="H4240" s="7">
        <v>1061.5999999999999</v>
      </c>
      <c r="I4240" s="2" t="s">
        <v>15</v>
      </c>
      <c r="J4240" s="2" t="s">
        <v>15</v>
      </c>
      <c r="K4240" s="2" t="s">
        <v>21</v>
      </c>
      <c r="L4240" s="7">
        <v>1061.5999999999999</v>
      </c>
      <c r="M4240" s="2" t="str">
        <f>_xlfn.IFS(TelecomData[[#This Row],[TenureMonths]]&lt;=12, "0-1 Year", TelecomData[[#This Row],[TenureMonths]]&lt;=36, "1-3 Years", TelecomData[[#This Row],[TenureMonths]]&gt;36, "3+ Years")</f>
        <v>3+ Years</v>
      </c>
      <c r="N4240" s="2" t="str">
        <f>IF(TelecomData[[#This Row],[CleanedTotalCharges]]&gt;=2500,"High Spend", "Standard Spend")</f>
        <v>Standard Spend</v>
      </c>
    </row>
    <row r="4241" spans="1:14" x14ac:dyDescent="0.3">
      <c r="A4241" s="1" t="s">
        <v>4265</v>
      </c>
      <c r="B4241" s="2" t="s">
        <v>19</v>
      </c>
      <c r="C4241" s="2" t="s">
        <v>20</v>
      </c>
      <c r="D4241" s="2">
        <v>56</v>
      </c>
      <c r="E4241" s="2" t="s">
        <v>14</v>
      </c>
      <c r="F4241" s="2" t="s">
        <v>15</v>
      </c>
      <c r="G4241" s="7">
        <v>36.1</v>
      </c>
      <c r="H4241" s="7">
        <v>1971.5</v>
      </c>
      <c r="I4241" s="2" t="s">
        <v>15</v>
      </c>
      <c r="J4241" s="2" t="s">
        <v>16</v>
      </c>
      <c r="K4241" s="2" t="s">
        <v>29</v>
      </c>
      <c r="L4241" s="7">
        <v>1971.5</v>
      </c>
      <c r="M4241" s="2" t="str">
        <f>_xlfn.IFS(TelecomData[[#This Row],[TenureMonths]]&lt;=12, "0-1 Year", TelecomData[[#This Row],[TenureMonths]]&lt;=36, "1-3 Years", TelecomData[[#This Row],[TenureMonths]]&gt;36, "3+ Years")</f>
        <v>3+ Years</v>
      </c>
      <c r="N4241" s="2" t="str">
        <f>IF(TelecomData[[#This Row],[CleanedTotalCharges]]&gt;=2500,"High Spend", "Standard Spend")</f>
        <v>Standard Spend</v>
      </c>
    </row>
    <row r="4242" spans="1:14" x14ac:dyDescent="0.3">
      <c r="A4242" s="1" t="s">
        <v>4266</v>
      </c>
      <c r="B4242" s="2" t="s">
        <v>19</v>
      </c>
      <c r="C4242" s="2" t="s">
        <v>13</v>
      </c>
      <c r="D4242" s="2">
        <v>8</v>
      </c>
      <c r="E4242" s="2" t="s">
        <v>26</v>
      </c>
      <c r="F4242" s="2" t="s">
        <v>15</v>
      </c>
      <c r="G4242" s="7">
        <v>94</v>
      </c>
      <c r="H4242" s="7">
        <v>773.65</v>
      </c>
      <c r="I4242" s="2" t="s">
        <v>16</v>
      </c>
      <c r="J4242" s="2" t="s">
        <v>16</v>
      </c>
      <c r="K4242" s="2" t="s">
        <v>17</v>
      </c>
      <c r="L4242" s="7">
        <v>773.65</v>
      </c>
      <c r="M4242" s="2" t="str">
        <f>_xlfn.IFS(TelecomData[[#This Row],[TenureMonths]]&lt;=12, "0-1 Year", TelecomData[[#This Row],[TenureMonths]]&lt;=36, "1-3 Years", TelecomData[[#This Row],[TenureMonths]]&gt;36, "3+ Years")</f>
        <v>0-1 Year</v>
      </c>
      <c r="N4242" s="2" t="str">
        <f>IF(TelecomData[[#This Row],[CleanedTotalCharges]]&gt;=2500,"High Spend", "Standard Spend")</f>
        <v>Standard Spend</v>
      </c>
    </row>
    <row r="4243" spans="1:14" x14ac:dyDescent="0.3">
      <c r="A4243" s="1" t="s">
        <v>4267</v>
      </c>
      <c r="B4243" s="2" t="s">
        <v>12</v>
      </c>
      <c r="C4243" s="2" t="s">
        <v>13</v>
      </c>
      <c r="D4243" s="2">
        <v>22</v>
      </c>
      <c r="E4243" s="2" t="s">
        <v>14</v>
      </c>
      <c r="F4243" s="2" t="s">
        <v>15</v>
      </c>
      <c r="G4243" s="7">
        <v>61.15</v>
      </c>
      <c r="H4243" s="7">
        <v>1422.05</v>
      </c>
      <c r="I4243" s="2" t="s">
        <v>16</v>
      </c>
      <c r="J4243" s="2" t="s">
        <v>15</v>
      </c>
      <c r="K4243" s="2" t="s">
        <v>21</v>
      </c>
      <c r="L4243" s="7">
        <v>1422.05</v>
      </c>
      <c r="M4243" s="2" t="str">
        <f>_xlfn.IFS(TelecomData[[#This Row],[TenureMonths]]&lt;=12, "0-1 Year", TelecomData[[#This Row],[TenureMonths]]&lt;=36, "1-3 Years", TelecomData[[#This Row],[TenureMonths]]&gt;36, "3+ Years")</f>
        <v>1-3 Years</v>
      </c>
      <c r="N4243" s="2" t="str">
        <f>IF(TelecomData[[#This Row],[CleanedTotalCharges]]&gt;=2500,"High Spend", "Standard Spend")</f>
        <v>Standard Spend</v>
      </c>
    </row>
    <row r="4244" spans="1:14" x14ac:dyDescent="0.3">
      <c r="A4244" s="1" t="s">
        <v>4268</v>
      </c>
      <c r="B4244" s="2" t="s">
        <v>12</v>
      </c>
      <c r="C4244" s="2" t="s">
        <v>13</v>
      </c>
      <c r="D4244" s="2">
        <v>1</v>
      </c>
      <c r="E4244" s="2" t="s">
        <v>15</v>
      </c>
      <c r="F4244" s="2" t="s">
        <v>36</v>
      </c>
      <c r="G4244" s="7">
        <v>19.75</v>
      </c>
      <c r="H4244" s="7">
        <v>19.75</v>
      </c>
      <c r="I4244" s="2" t="s">
        <v>15</v>
      </c>
      <c r="J4244" s="2" t="s">
        <v>15</v>
      </c>
      <c r="K4244" s="2" t="s">
        <v>21</v>
      </c>
      <c r="L4244" s="7">
        <v>19.75</v>
      </c>
      <c r="M4244" s="2" t="str">
        <f>_xlfn.IFS(TelecomData[[#This Row],[TenureMonths]]&lt;=12, "0-1 Year", TelecomData[[#This Row],[TenureMonths]]&lt;=36, "1-3 Years", TelecomData[[#This Row],[TenureMonths]]&gt;36, "3+ Years")</f>
        <v>0-1 Year</v>
      </c>
      <c r="N4244" s="2" t="str">
        <f>IF(TelecomData[[#This Row],[CleanedTotalCharges]]&gt;=2500,"High Spend", "Standard Spend")</f>
        <v>Standard Spend</v>
      </c>
    </row>
    <row r="4245" spans="1:14" x14ac:dyDescent="0.3">
      <c r="A4245" s="1" t="s">
        <v>4269</v>
      </c>
      <c r="B4245" s="2" t="s">
        <v>12</v>
      </c>
      <c r="C4245" s="2" t="s">
        <v>13</v>
      </c>
      <c r="D4245" s="2">
        <v>40</v>
      </c>
      <c r="E4245" s="2" t="s">
        <v>14</v>
      </c>
      <c r="F4245" s="2" t="s">
        <v>16</v>
      </c>
      <c r="G4245" s="7">
        <v>64.099999999999994</v>
      </c>
      <c r="H4245" s="7">
        <v>2460.35</v>
      </c>
      <c r="I4245" s="2" t="s">
        <v>15</v>
      </c>
      <c r="J4245" s="2" t="s">
        <v>16</v>
      </c>
      <c r="K4245" s="2" t="s">
        <v>29</v>
      </c>
      <c r="L4245" s="7">
        <v>2460.35</v>
      </c>
      <c r="M4245" s="2" t="str">
        <f>_xlfn.IFS(TelecomData[[#This Row],[TenureMonths]]&lt;=12, "0-1 Year", TelecomData[[#This Row],[TenureMonths]]&lt;=36, "1-3 Years", TelecomData[[#This Row],[TenureMonths]]&gt;36, "3+ Years")</f>
        <v>3+ Years</v>
      </c>
      <c r="N4245" s="2" t="str">
        <f>IF(TelecomData[[#This Row],[CleanedTotalCharges]]&gt;=2500,"High Spend", "Standard Spend")</f>
        <v>Standard Spend</v>
      </c>
    </row>
    <row r="4246" spans="1:14" x14ac:dyDescent="0.3">
      <c r="A4246" s="1" t="s">
        <v>4270</v>
      </c>
      <c r="B4246" s="2" t="s">
        <v>19</v>
      </c>
      <c r="C4246" s="2" t="s">
        <v>35</v>
      </c>
      <c r="D4246" s="2">
        <v>46</v>
      </c>
      <c r="E4246" s="2" t="s">
        <v>15</v>
      </c>
      <c r="F4246" s="2" t="s">
        <v>36</v>
      </c>
      <c r="G4246" s="7">
        <v>19.75</v>
      </c>
      <c r="H4246" s="7">
        <v>856.5</v>
      </c>
      <c r="I4246" s="2" t="s">
        <v>15</v>
      </c>
      <c r="J4246" s="2" t="s">
        <v>15</v>
      </c>
      <c r="K4246" s="2" t="s">
        <v>29</v>
      </c>
      <c r="L4246" s="7">
        <v>856.5</v>
      </c>
      <c r="M4246" s="2" t="str">
        <f>_xlfn.IFS(TelecomData[[#This Row],[TenureMonths]]&lt;=12, "0-1 Year", TelecomData[[#This Row],[TenureMonths]]&lt;=36, "1-3 Years", TelecomData[[#This Row],[TenureMonths]]&gt;36, "3+ Years")</f>
        <v>3+ Years</v>
      </c>
      <c r="N4246" s="2" t="str">
        <f>IF(TelecomData[[#This Row],[CleanedTotalCharges]]&gt;=2500,"High Spend", "Standard Spend")</f>
        <v>Standard Spend</v>
      </c>
    </row>
    <row r="4247" spans="1:14" x14ac:dyDescent="0.3">
      <c r="A4247" s="1" t="s">
        <v>4271</v>
      </c>
      <c r="B4247" s="2" t="s">
        <v>19</v>
      </c>
      <c r="C4247" s="2" t="s">
        <v>35</v>
      </c>
      <c r="D4247" s="2">
        <v>63</v>
      </c>
      <c r="E4247" s="2" t="s">
        <v>15</v>
      </c>
      <c r="F4247" s="2" t="s">
        <v>36</v>
      </c>
      <c r="G4247" s="7">
        <v>19.7</v>
      </c>
      <c r="H4247" s="7">
        <v>1275.8499999999999</v>
      </c>
      <c r="I4247" s="2" t="s">
        <v>15</v>
      </c>
      <c r="J4247" s="2" t="s">
        <v>15</v>
      </c>
      <c r="K4247" s="2" t="s">
        <v>21</v>
      </c>
      <c r="L4247" s="7">
        <v>1275.8499999999999</v>
      </c>
      <c r="M4247" s="2" t="str">
        <f>_xlfn.IFS(TelecomData[[#This Row],[TenureMonths]]&lt;=12, "0-1 Year", TelecomData[[#This Row],[TenureMonths]]&lt;=36, "1-3 Years", TelecomData[[#This Row],[TenureMonths]]&gt;36, "3+ Years")</f>
        <v>3+ Years</v>
      </c>
      <c r="N4247" s="2" t="str">
        <f>IF(TelecomData[[#This Row],[CleanedTotalCharges]]&gt;=2500,"High Spend", "Standard Spend")</f>
        <v>Standard Spend</v>
      </c>
    </row>
    <row r="4248" spans="1:14" x14ac:dyDescent="0.3">
      <c r="A4248" s="1" t="s">
        <v>4272</v>
      </c>
      <c r="B4248" s="2" t="s">
        <v>19</v>
      </c>
      <c r="C4248" s="2" t="s">
        <v>35</v>
      </c>
      <c r="D4248" s="2">
        <v>68</v>
      </c>
      <c r="E4248" s="2" t="s">
        <v>26</v>
      </c>
      <c r="F4248" s="2" t="s">
        <v>15</v>
      </c>
      <c r="G4248" s="7">
        <v>110.2</v>
      </c>
      <c r="H4248" s="7">
        <v>7467.5</v>
      </c>
      <c r="I4248" s="2" t="s">
        <v>15</v>
      </c>
      <c r="J4248" s="2" t="s">
        <v>16</v>
      </c>
      <c r="K4248" s="2" t="s">
        <v>17</v>
      </c>
      <c r="L4248" s="7">
        <v>7467.5</v>
      </c>
      <c r="M4248" s="2" t="str">
        <f>_xlfn.IFS(TelecomData[[#This Row],[TenureMonths]]&lt;=12, "0-1 Year", TelecomData[[#This Row],[TenureMonths]]&lt;=36, "1-3 Years", TelecomData[[#This Row],[TenureMonths]]&gt;36, "3+ Years")</f>
        <v>3+ Years</v>
      </c>
      <c r="N4248" s="2" t="str">
        <f>IF(TelecomData[[#This Row],[CleanedTotalCharges]]&gt;=2500,"High Spend", "Standard Spend")</f>
        <v>High Spend</v>
      </c>
    </row>
    <row r="4249" spans="1:14" x14ac:dyDescent="0.3">
      <c r="A4249" s="1" t="s">
        <v>4273</v>
      </c>
      <c r="B4249" s="2" t="s">
        <v>19</v>
      </c>
      <c r="C4249" s="2" t="s">
        <v>35</v>
      </c>
      <c r="D4249" s="2">
        <v>69</v>
      </c>
      <c r="E4249" s="2" t="s">
        <v>26</v>
      </c>
      <c r="F4249" s="2" t="s">
        <v>16</v>
      </c>
      <c r="G4249" s="7">
        <v>106.35</v>
      </c>
      <c r="H4249" s="7">
        <v>7261.75</v>
      </c>
      <c r="I4249" s="2" t="s">
        <v>15</v>
      </c>
      <c r="J4249" s="2" t="s">
        <v>16</v>
      </c>
      <c r="K4249" s="2" t="s">
        <v>29</v>
      </c>
      <c r="L4249" s="7">
        <v>7261.75</v>
      </c>
      <c r="M4249" s="2" t="str">
        <f>_xlfn.IFS(TelecomData[[#This Row],[TenureMonths]]&lt;=12, "0-1 Year", TelecomData[[#This Row],[TenureMonths]]&lt;=36, "1-3 Years", TelecomData[[#This Row],[TenureMonths]]&gt;36, "3+ Years")</f>
        <v>3+ Years</v>
      </c>
      <c r="N4249" s="2" t="str">
        <f>IF(TelecomData[[#This Row],[CleanedTotalCharges]]&gt;=2500,"High Spend", "Standard Spend")</f>
        <v>High Spend</v>
      </c>
    </row>
    <row r="4250" spans="1:14" x14ac:dyDescent="0.3">
      <c r="A4250" s="1" t="s">
        <v>4274</v>
      </c>
      <c r="B4250" s="2" t="s">
        <v>12</v>
      </c>
      <c r="C4250" s="2" t="s">
        <v>13</v>
      </c>
      <c r="D4250" s="2">
        <v>56</v>
      </c>
      <c r="E4250" s="2" t="s">
        <v>26</v>
      </c>
      <c r="F4250" s="2" t="s">
        <v>16</v>
      </c>
      <c r="G4250" s="7">
        <v>90.55</v>
      </c>
      <c r="H4250" s="7">
        <v>5116.6000000000004</v>
      </c>
      <c r="I4250" s="2" t="s">
        <v>15</v>
      </c>
      <c r="J4250" s="2" t="s">
        <v>15</v>
      </c>
      <c r="K4250" s="2" t="s">
        <v>17</v>
      </c>
      <c r="L4250" s="7">
        <v>5116.6000000000004</v>
      </c>
      <c r="M4250" s="2" t="str">
        <f>_xlfn.IFS(TelecomData[[#This Row],[TenureMonths]]&lt;=12, "0-1 Year", TelecomData[[#This Row],[TenureMonths]]&lt;=36, "1-3 Years", TelecomData[[#This Row],[TenureMonths]]&gt;36, "3+ Years")</f>
        <v>3+ Years</v>
      </c>
      <c r="N4250" s="2" t="str">
        <f>IF(TelecomData[[#This Row],[CleanedTotalCharges]]&gt;=2500,"High Spend", "Standard Spend")</f>
        <v>High Spend</v>
      </c>
    </row>
    <row r="4251" spans="1:14" x14ac:dyDescent="0.3">
      <c r="A4251" s="1" t="s">
        <v>4275</v>
      </c>
      <c r="B4251" s="2" t="s">
        <v>12</v>
      </c>
      <c r="C4251" s="2" t="s">
        <v>20</v>
      </c>
      <c r="D4251" s="2">
        <v>10</v>
      </c>
      <c r="E4251" s="2" t="s">
        <v>14</v>
      </c>
      <c r="F4251" s="2" t="s">
        <v>15</v>
      </c>
      <c r="G4251" s="7">
        <v>65.900000000000006</v>
      </c>
      <c r="H4251" s="7">
        <v>660.05</v>
      </c>
      <c r="I4251" s="2" t="s">
        <v>15</v>
      </c>
      <c r="J4251" s="2" t="s">
        <v>16</v>
      </c>
      <c r="K4251" s="2" t="s">
        <v>21</v>
      </c>
      <c r="L4251" s="7">
        <v>660.05</v>
      </c>
      <c r="M4251" s="2" t="str">
        <f>_xlfn.IFS(TelecomData[[#This Row],[TenureMonths]]&lt;=12, "0-1 Year", TelecomData[[#This Row],[TenureMonths]]&lt;=36, "1-3 Years", TelecomData[[#This Row],[TenureMonths]]&gt;36, "3+ Years")</f>
        <v>0-1 Year</v>
      </c>
      <c r="N4251" s="2" t="str">
        <f>IF(TelecomData[[#This Row],[CleanedTotalCharges]]&gt;=2500,"High Spend", "Standard Spend")</f>
        <v>Standard Spend</v>
      </c>
    </row>
    <row r="4252" spans="1:14" x14ac:dyDescent="0.3">
      <c r="A4252" s="1" t="s">
        <v>4276</v>
      </c>
      <c r="B4252" s="2" t="s">
        <v>19</v>
      </c>
      <c r="C4252" s="2" t="s">
        <v>20</v>
      </c>
      <c r="D4252" s="2">
        <v>63</v>
      </c>
      <c r="E4252" s="2" t="s">
        <v>26</v>
      </c>
      <c r="F4252" s="2" t="s">
        <v>16</v>
      </c>
      <c r="G4252" s="7">
        <v>104.5</v>
      </c>
      <c r="H4252" s="7">
        <v>6590.8</v>
      </c>
      <c r="I4252" s="2" t="s">
        <v>15</v>
      </c>
      <c r="J4252" s="2" t="s">
        <v>15</v>
      </c>
      <c r="K4252" s="2" t="s">
        <v>29</v>
      </c>
      <c r="L4252" s="7">
        <v>6590.8</v>
      </c>
      <c r="M4252" s="2" t="str">
        <f>_xlfn.IFS(TelecomData[[#This Row],[TenureMonths]]&lt;=12, "0-1 Year", TelecomData[[#This Row],[TenureMonths]]&lt;=36, "1-3 Years", TelecomData[[#This Row],[TenureMonths]]&gt;36, "3+ Years")</f>
        <v>3+ Years</v>
      </c>
      <c r="N4252" s="2" t="str">
        <f>IF(TelecomData[[#This Row],[CleanedTotalCharges]]&gt;=2500,"High Spend", "Standard Spend")</f>
        <v>High Spend</v>
      </c>
    </row>
    <row r="4253" spans="1:14" x14ac:dyDescent="0.3">
      <c r="A4253" s="1" t="s">
        <v>4277</v>
      </c>
      <c r="B4253" s="2" t="s">
        <v>12</v>
      </c>
      <c r="C4253" s="2" t="s">
        <v>35</v>
      </c>
      <c r="D4253" s="2">
        <v>24</v>
      </c>
      <c r="E4253" s="2" t="s">
        <v>14</v>
      </c>
      <c r="F4253" s="2" t="s">
        <v>16</v>
      </c>
      <c r="G4253" s="7">
        <v>52.5</v>
      </c>
      <c r="H4253" s="7">
        <v>1208.1500000000001</v>
      </c>
      <c r="I4253" s="2" t="s">
        <v>15</v>
      </c>
      <c r="J4253" s="2" t="s">
        <v>16</v>
      </c>
      <c r="K4253" s="2" t="s">
        <v>21</v>
      </c>
      <c r="L4253" s="7">
        <v>1208.1500000000001</v>
      </c>
      <c r="M4253" s="2" t="str">
        <f>_xlfn.IFS(TelecomData[[#This Row],[TenureMonths]]&lt;=12, "0-1 Year", TelecomData[[#This Row],[TenureMonths]]&lt;=36, "1-3 Years", TelecomData[[#This Row],[TenureMonths]]&gt;36, "3+ Years")</f>
        <v>1-3 Years</v>
      </c>
      <c r="N4253" s="2" t="str">
        <f>IF(TelecomData[[#This Row],[CleanedTotalCharges]]&gt;=2500,"High Spend", "Standard Spend")</f>
        <v>Standard Spend</v>
      </c>
    </row>
    <row r="4254" spans="1:14" x14ac:dyDescent="0.3">
      <c r="A4254" s="1" t="s">
        <v>4278</v>
      </c>
      <c r="B4254" s="2" t="s">
        <v>12</v>
      </c>
      <c r="C4254" s="2" t="s">
        <v>13</v>
      </c>
      <c r="D4254" s="2">
        <v>19</v>
      </c>
      <c r="E4254" s="2" t="s">
        <v>14</v>
      </c>
      <c r="F4254" s="2" t="s">
        <v>15</v>
      </c>
      <c r="G4254" s="7">
        <v>56.1</v>
      </c>
      <c r="H4254" s="7">
        <v>1033.9000000000001</v>
      </c>
      <c r="I4254" s="2" t="s">
        <v>15</v>
      </c>
      <c r="J4254" s="2" t="s">
        <v>16</v>
      </c>
      <c r="K4254" s="2" t="s">
        <v>21</v>
      </c>
      <c r="L4254" s="7">
        <v>1033.9000000000001</v>
      </c>
      <c r="M4254" s="2" t="str">
        <f>_xlfn.IFS(TelecomData[[#This Row],[TenureMonths]]&lt;=12, "0-1 Year", TelecomData[[#This Row],[TenureMonths]]&lt;=36, "1-3 Years", TelecomData[[#This Row],[TenureMonths]]&gt;36, "3+ Years")</f>
        <v>1-3 Years</v>
      </c>
      <c r="N4254" s="2" t="str">
        <f>IF(TelecomData[[#This Row],[CleanedTotalCharges]]&gt;=2500,"High Spend", "Standard Spend")</f>
        <v>Standard Spend</v>
      </c>
    </row>
    <row r="4255" spans="1:14" x14ac:dyDescent="0.3">
      <c r="A4255" s="1" t="s">
        <v>4279</v>
      </c>
      <c r="B4255" s="2" t="s">
        <v>19</v>
      </c>
      <c r="C4255" s="2" t="s">
        <v>13</v>
      </c>
      <c r="D4255" s="2">
        <v>22</v>
      </c>
      <c r="E4255" s="2" t="s">
        <v>26</v>
      </c>
      <c r="F4255" s="2" t="s">
        <v>15</v>
      </c>
      <c r="G4255" s="7">
        <v>88.75</v>
      </c>
      <c r="H4255" s="7">
        <v>1885.15</v>
      </c>
      <c r="I4255" s="2" t="s">
        <v>15</v>
      </c>
      <c r="J4255" s="2" t="s">
        <v>16</v>
      </c>
      <c r="K4255" s="2" t="s">
        <v>17</v>
      </c>
      <c r="L4255" s="7">
        <v>1885.15</v>
      </c>
      <c r="M4255" s="2" t="str">
        <f>_xlfn.IFS(TelecomData[[#This Row],[TenureMonths]]&lt;=12, "0-1 Year", TelecomData[[#This Row],[TenureMonths]]&lt;=36, "1-3 Years", TelecomData[[#This Row],[TenureMonths]]&gt;36, "3+ Years")</f>
        <v>1-3 Years</v>
      </c>
      <c r="N4255" s="2" t="str">
        <f>IF(TelecomData[[#This Row],[CleanedTotalCharges]]&gt;=2500,"High Spend", "Standard Spend")</f>
        <v>Standard Spend</v>
      </c>
    </row>
    <row r="4256" spans="1:14" x14ac:dyDescent="0.3">
      <c r="A4256" s="1" t="s">
        <v>4280</v>
      </c>
      <c r="B4256" s="2" t="s">
        <v>19</v>
      </c>
      <c r="C4256" s="2" t="s">
        <v>13</v>
      </c>
      <c r="D4256" s="2">
        <v>29</v>
      </c>
      <c r="E4256" s="2" t="s">
        <v>26</v>
      </c>
      <c r="F4256" s="2" t="s">
        <v>15</v>
      </c>
      <c r="G4256" s="7">
        <v>84.45</v>
      </c>
      <c r="H4256" s="7">
        <v>2467.1</v>
      </c>
      <c r="I4256" s="2" t="s">
        <v>16</v>
      </c>
      <c r="J4256" s="2" t="s">
        <v>16</v>
      </c>
      <c r="K4256" s="2" t="s">
        <v>17</v>
      </c>
      <c r="L4256" s="7">
        <v>2467.1</v>
      </c>
      <c r="M4256" s="2" t="str">
        <f>_xlfn.IFS(TelecomData[[#This Row],[TenureMonths]]&lt;=12, "0-1 Year", TelecomData[[#This Row],[TenureMonths]]&lt;=36, "1-3 Years", TelecomData[[#This Row],[TenureMonths]]&gt;36, "3+ Years")</f>
        <v>1-3 Years</v>
      </c>
      <c r="N4256" s="2" t="str">
        <f>IF(TelecomData[[#This Row],[CleanedTotalCharges]]&gt;=2500,"High Spend", "Standard Spend")</f>
        <v>Standard Spend</v>
      </c>
    </row>
    <row r="4257" spans="1:14" x14ac:dyDescent="0.3">
      <c r="A4257" s="1" t="s">
        <v>4281</v>
      </c>
      <c r="B4257" s="2" t="s">
        <v>19</v>
      </c>
      <c r="C4257" s="2" t="s">
        <v>20</v>
      </c>
      <c r="D4257" s="2">
        <v>13</v>
      </c>
      <c r="E4257" s="2" t="s">
        <v>14</v>
      </c>
      <c r="F4257" s="2" t="s">
        <v>15</v>
      </c>
      <c r="G4257" s="7">
        <v>75.3</v>
      </c>
      <c r="H4257" s="7">
        <v>989.45</v>
      </c>
      <c r="I4257" s="2" t="s">
        <v>16</v>
      </c>
      <c r="J4257" s="2" t="s">
        <v>16</v>
      </c>
      <c r="K4257" s="2" t="s">
        <v>21</v>
      </c>
      <c r="L4257" s="7">
        <v>989.45</v>
      </c>
      <c r="M4257" s="2" t="str">
        <f>_xlfn.IFS(TelecomData[[#This Row],[TenureMonths]]&lt;=12, "0-1 Year", TelecomData[[#This Row],[TenureMonths]]&lt;=36, "1-3 Years", TelecomData[[#This Row],[TenureMonths]]&gt;36, "3+ Years")</f>
        <v>1-3 Years</v>
      </c>
      <c r="N4257" s="2" t="str">
        <f>IF(TelecomData[[#This Row],[CleanedTotalCharges]]&gt;=2500,"High Spend", "Standard Spend")</f>
        <v>Standard Spend</v>
      </c>
    </row>
    <row r="4258" spans="1:14" x14ac:dyDescent="0.3">
      <c r="A4258" s="1" t="s">
        <v>4282</v>
      </c>
      <c r="B4258" s="2" t="s">
        <v>12</v>
      </c>
      <c r="C4258" s="2" t="s">
        <v>35</v>
      </c>
      <c r="D4258" s="2">
        <v>70</v>
      </c>
      <c r="E4258" s="2" t="s">
        <v>15</v>
      </c>
      <c r="F4258" s="2" t="s">
        <v>36</v>
      </c>
      <c r="G4258" s="7">
        <v>26</v>
      </c>
      <c r="H4258" s="7">
        <v>2006.95</v>
      </c>
      <c r="I4258" s="2" t="s">
        <v>15</v>
      </c>
      <c r="J4258" s="2" t="s">
        <v>16</v>
      </c>
      <c r="K4258" s="2" t="s">
        <v>24</v>
      </c>
      <c r="L4258" s="7">
        <v>2006.95</v>
      </c>
      <c r="M4258" s="2" t="str">
        <f>_xlfn.IFS(TelecomData[[#This Row],[TenureMonths]]&lt;=12, "0-1 Year", TelecomData[[#This Row],[TenureMonths]]&lt;=36, "1-3 Years", TelecomData[[#This Row],[TenureMonths]]&gt;36, "3+ Years")</f>
        <v>3+ Years</v>
      </c>
      <c r="N4258" s="2" t="str">
        <f>IF(TelecomData[[#This Row],[CleanedTotalCharges]]&gt;=2500,"High Spend", "Standard Spend")</f>
        <v>Standard Spend</v>
      </c>
    </row>
    <row r="4259" spans="1:14" x14ac:dyDescent="0.3">
      <c r="A4259" s="1" t="s">
        <v>4283</v>
      </c>
      <c r="B4259" s="2" t="s">
        <v>12</v>
      </c>
      <c r="C4259" s="2" t="s">
        <v>13</v>
      </c>
      <c r="D4259" s="2">
        <v>49</v>
      </c>
      <c r="E4259" s="2" t="s">
        <v>26</v>
      </c>
      <c r="F4259" s="2" t="s">
        <v>15</v>
      </c>
      <c r="G4259" s="7">
        <v>99.4</v>
      </c>
      <c r="H4259" s="7">
        <v>5025</v>
      </c>
      <c r="I4259" s="2" t="s">
        <v>15</v>
      </c>
      <c r="J4259" s="2" t="s">
        <v>15</v>
      </c>
      <c r="K4259" s="2" t="s">
        <v>17</v>
      </c>
      <c r="L4259" s="7">
        <v>5025</v>
      </c>
      <c r="M4259" s="2" t="str">
        <f>_xlfn.IFS(TelecomData[[#This Row],[TenureMonths]]&lt;=12, "0-1 Year", TelecomData[[#This Row],[TenureMonths]]&lt;=36, "1-3 Years", TelecomData[[#This Row],[TenureMonths]]&gt;36, "3+ Years")</f>
        <v>3+ Years</v>
      </c>
      <c r="N4259" s="2" t="str">
        <f>IF(TelecomData[[#This Row],[CleanedTotalCharges]]&gt;=2500,"High Spend", "Standard Spend")</f>
        <v>High Spend</v>
      </c>
    </row>
    <row r="4260" spans="1:14" x14ac:dyDescent="0.3">
      <c r="A4260" s="1" t="s">
        <v>4284</v>
      </c>
      <c r="B4260" s="2" t="s">
        <v>12</v>
      </c>
      <c r="C4260" s="2" t="s">
        <v>20</v>
      </c>
      <c r="D4260" s="2">
        <v>43</v>
      </c>
      <c r="E4260" s="2" t="s">
        <v>26</v>
      </c>
      <c r="F4260" s="2" t="s">
        <v>16</v>
      </c>
      <c r="G4260" s="7">
        <v>109.55</v>
      </c>
      <c r="H4260" s="7">
        <v>4830.25</v>
      </c>
      <c r="I4260" s="2" t="s">
        <v>16</v>
      </c>
      <c r="J4260" s="2" t="s">
        <v>16</v>
      </c>
      <c r="K4260" s="2" t="s">
        <v>21</v>
      </c>
      <c r="L4260" s="7">
        <v>4830.25</v>
      </c>
      <c r="M4260" s="2" t="str">
        <f>_xlfn.IFS(TelecomData[[#This Row],[TenureMonths]]&lt;=12, "0-1 Year", TelecomData[[#This Row],[TenureMonths]]&lt;=36, "1-3 Years", TelecomData[[#This Row],[TenureMonths]]&gt;36, "3+ Years")</f>
        <v>3+ Years</v>
      </c>
      <c r="N4260" s="2" t="str">
        <f>IF(TelecomData[[#This Row],[CleanedTotalCharges]]&gt;=2500,"High Spend", "Standard Spend")</f>
        <v>High Spend</v>
      </c>
    </row>
    <row r="4261" spans="1:14" x14ac:dyDescent="0.3">
      <c r="A4261" s="1" t="s">
        <v>4285</v>
      </c>
      <c r="B4261" s="2" t="s">
        <v>12</v>
      </c>
      <c r="C4261" s="2" t="s">
        <v>13</v>
      </c>
      <c r="D4261" s="2">
        <v>3</v>
      </c>
      <c r="E4261" s="2" t="s">
        <v>15</v>
      </c>
      <c r="F4261" s="2" t="s">
        <v>36</v>
      </c>
      <c r="G4261" s="7">
        <v>19.600000000000001</v>
      </c>
      <c r="H4261" s="7">
        <v>59.75</v>
      </c>
      <c r="I4261" s="2" t="s">
        <v>16</v>
      </c>
      <c r="J4261" s="2" t="s">
        <v>16</v>
      </c>
      <c r="K4261" s="2" t="s">
        <v>21</v>
      </c>
      <c r="L4261" s="7">
        <v>59.75</v>
      </c>
      <c r="M4261" s="2" t="str">
        <f>_xlfn.IFS(TelecomData[[#This Row],[TenureMonths]]&lt;=12, "0-1 Year", TelecomData[[#This Row],[TenureMonths]]&lt;=36, "1-3 Years", TelecomData[[#This Row],[TenureMonths]]&gt;36, "3+ Years")</f>
        <v>0-1 Year</v>
      </c>
      <c r="N4261" s="2" t="str">
        <f>IF(TelecomData[[#This Row],[CleanedTotalCharges]]&gt;=2500,"High Spend", "Standard Spend")</f>
        <v>Standard Spend</v>
      </c>
    </row>
    <row r="4262" spans="1:14" x14ac:dyDescent="0.3">
      <c r="A4262" s="1" t="s">
        <v>4286</v>
      </c>
      <c r="B4262" s="2" t="s">
        <v>19</v>
      </c>
      <c r="C4262" s="2" t="s">
        <v>20</v>
      </c>
      <c r="D4262" s="2">
        <v>42</v>
      </c>
      <c r="E4262" s="2" t="s">
        <v>14</v>
      </c>
      <c r="F4262" s="2" t="s">
        <v>16</v>
      </c>
      <c r="G4262" s="7">
        <v>73.150000000000006</v>
      </c>
      <c r="H4262" s="7">
        <v>3088.25</v>
      </c>
      <c r="I4262" s="2" t="s">
        <v>15</v>
      </c>
      <c r="J4262" s="2" t="s">
        <v>15</v>
      </c>
      <c r="K4262" s="2" t="s">
        <v>17</v>
      </c>
      <c r="L4262" s="7">
        <v>3088.25</v>
      </c>
      <c r="M4262" s="2" t="str">
        <f>_xlfn.IFS(TelecomData[[#This Row],[TenureMonths]]&lt;=12, "0-1 Year", TelecomData[[#This Row],[TenureMonths]]&lt;=36, "1-3 Years", TelecomData[[#This Row],[TenureMonths]]&gt;36, "3+ Years")</f>
        <v>3+ Years</v>
      </c>
      <c r="N4262" s="2" t="str">
        <f>IF(TelecomData[[#This Row],[CleanedTotalCharges]]&gt;=2500,"High Spend", "Standard Spend")</f>
        <v>High Spend</v>
      </c>
    </row>
    <row r="4263" spans="1:14" x14ac:dyDescent="0.3">
      <c r="A4263" s="1" t="s">
        <v>4287</v>
      </c>
      <c r="B4263" s="2" t="s">
        <v>19</v>
      </c>
      <c r="C4263" s="2" t="s">
        <v>20</v>
      </c>
      <c r="D4263" s="2">
        <v>57</v>
      </c>
      <c r="E4263" s="2" t="s">
        <v>14</v>
      </c>
      <c r="F4263" s="2" t="s">
        <v>16</v>
      </c>
      <c r="G4263" s="7">
        <v>54.65</v>
      </c>
      <c r="H4263" s="7">
        <v>3134.7</v>
      </c>
      <c r="I4263" s="2" t="s">
        <v>15</v>
      </c>
      <c r="J4263" s="2" t="s">
        <v>16</v>
      </c>
      <c r="K4263" s="2" t="s">
        <v>21</v>
      </c>
      <c r="L4263" s="7">
        <v>3134.7</v>
      </c>
      <c r="M4263" s="2" t="str">
        <f>_xlfn.IFS(TelecomData[[#This Row],[TenureMonths]]&lt;=12, "0-1 Year", TelecomData[[#This Row],[TenureMonths]]&lt;=36, "1-3 Years", TelecomData[[#This Row],[TenureMonths]]&gt;36, "3+ Years")</f>
        <v>3+ Years</v>
      </c>
      <c r="N4263" s="2" t="str">
        <f>IF(TelecomData[[#This Row],[CleanedTotalCharges]]&gt;=2500,"High Spend", "Standard Spend")</f>
        <v>High Spend</v>
      </c>
    </row>
    <row r="4264" spans="1:14" x14ac:dyDescent="0.3">
      <c r="A4264" s="1" t="s">
        <v>4288</v>
      </c>
      <c r="B4264" s="2" t="s">
        <v>19</v>
      </c>
      <c r="C4264" s="2" t="s">
        <v>13</v>
      </c>
      <c r="D4264" s="2">
        <v>2</v>
      </c>
      <c r="E4264" s="2" t="s">
        <v>14</v>
      </c>
      <c r="F4264" s="2" t="s">
        <v>15</v>
      </c>
      <c r="G4264" s="7">
        <v>66.400000000000006</v>
      </c>
      <c r="H4264" s="7">
        <v>94.55</v>
      </c>
      <c r="I4264" s="2" t="s">
        <v>16</v>
      </c>
      <c r="J4264" s="2" t="s">
        <v>15</v>
      </c>
      <c r="K4264" s="2" t="s">
        <v>24</v>
      </c>
      <c r="L4264" s="7">
        <v>94.55</v>
      </c>
      <c r="M4264" s="2" t="str">
        <f>_xlfn.IFS(TelecomData[[#This Row],[TenureMonths]]&lt;=12, "0-1 Year", TelecomData[[#This Row],[TenureMonths]]&lt;=36, "1-3 Years", TelecomData[[#This Row],[TenureMonths]]&gt;36, "3+ Years")</f>
        <v>0-1 Year</v>
      </c>
      <c r="N4264" s="2" t="str">
        <f>IF(TelecomData[[#This Row],[CleanedTotalCharges]]&gt;=2500,"High Spend", "Standard Spend")</f>
        <v>Standard Spend</v>
      </c>
    </row>
    <row r="4265" spans="1:14" x14ac:dyDescent="0.3">
      <c r="A4265" s="1" t="s">
        <v>4289</v>
      </c>
      <c r="B4265" s="2" t="s">
        <v>12</v>
      </c>
      <c r="C4265" s="2" t="s">
        <v>35</v>
      </c>
      <c r="D4265" s="2">
        <v>72</v>
      </c>
      <c r="E4265" s="2" t="s">
        <v>26</v>
      </c>
      <c r="F4265" s="2" t="s">
        <v>16</v>
      </c>
      <c r="G4265" s="7">
        <v>115.55</v>
      </c>
      <c r="H4265" s="7">
        <v>8312.4</v>
      </c>
      <c r="I4265" s="2" t="s">
        <v>15</v>
      </c>
      <c r="J4265" s="2" t="s">
        <v>16</v>
      </c>
      <c r="K4265" s="2" t="s">
        <v>29</v>
      </c>
      <c r="L4265" s="7">
        <v>8312.4</v>
      </c>
      <c r="M4265" s="2" t="str">
        <f>_xlfn.IFS(TelecomData[[#This Row],[TenureMonths]]&lt;=12, "0-1 Year", TelecomData[[#This Row],[TenureMonths]]&lt;=36, "1-3 Years", TelecomData[[#This Row],[TenureMonths]]&gt;36, "3+ Years")</f>
        <v>3+ Years</v>
      </c>
      <c r="N4265" s="2" t="str">
        <f>IF(TelecomData[[#This Row],[CleanedTotalCharges]]&gt;=2500,"High Spend", "Standard Spend")</f>
        <v>High Spend</v>
      </c>
    </row>
    <row r="4266" spans="1:14" x14ac:dyDescent="0.3">
      <c r="A4266" s="1" t="s">
        <v>4290</v>
      </c>
      <c r="B4266" s="2" t="s">
        <v>12</v>
      </c>
      <c r="C4266" s="2" t="s">
        <v>13</v>
      </c>
      <c r="D4266" s="2">
        <v>46</v>
      </c>
      <c r="E4266" s="2" t="s">
        <v>26</v>
      </c>
      <c r="F4266" s="2" t="s">
        <v>15</v>
      </c>
      <c r="G4266" s="7">
        <v>104.45</v>
      </c>
      <c r="H4266" s="7">
        <v>4863.8500000000004</v>
      </c>
      <c r="I4266" s="2" t="s">
        <v>15</v>
      </c>
      <c r="J4266" s="2" t="s">
        <v>16</v>
      </c>
      <c r="K4266" s="2" t="s">
        <v>17</v>
      </c>
      <c r="L4266" s="7">
        <v>4863.8500000000004</v>
      </c>
      <c r="M4266" s="2" t="str">
        <f>_xlfn.IFS(TelecomData[[#This Row],[TenureMonths]]&lt;=12, "0-1 Year", TelecomData[[#This Row],[TenureMonths]]&lt;=36, "1-3 Years", TelecomData[[#This Row],[TenureMonths]]&gt;36, "3+ Years")</f>
        <v>3+ Years</v>
      </c>
      <c r="N4266" s="2" t="str">
        <f>IF(TelecomData[[#This Row],[CleanedTotalCharges]]&gt;=2500,"High Spend", "Standard Spend")</f>
        <v>High Spend</v>
      </c>
    </row>
    <row r="4267" spans="1:14" x14ac:dyDescent="0.3">
      <c r="A4267" s="1" t="s">
        <v>4291</v>
      </c>
      <c r="B4267" s="2" t="s">
        <v>19</v>
      </c>
      <c r="C4267" s="2" t="s">
        <v>13</v>
      </c>
      <c r="D4267" s="2">
        <v>66</v>
      </c>
      <c r="E4267" s="2" t="s">
        <v>26</v>
      </c>
      <c r="F4267" s="2" t="s">
        <v>16</v>
      </c>
      <c r="G4267" s="7">
        <v>100.05</v>
      </c>
      <c r="H4267" s="7">
        <v>6871.9</v>
      </c>
      <c r="I4267" s="2" t="s">
        <v>16</v>
      </c>
      <c r="J4267" s="2" t="s">
        <v>16</v>
      </c>
      <c r="K4267" s="2" t="s">
        <v>29</v>
      </c>
      <c r="L4267" s="7">
        <v>6871.9</v>
      </c>
      <c r="M4267" s="2" t="str">
        <f>_xlfn.IFS(TelecomData[[#This Row],[TenureMonths]]&lt;=12, "0-1 Year", TelecomData[[#This Row],[TenureMonths]]&lt;=36, "1-3 Years", TelecomData[[#This Row],[TenureMonths]]&gt;36, "3+ Years")</f>
        <v>3+ Years</v>
      </c>
      <c r="N4267" s="2" t="str">
        <f>IF(TelecomData[[#This Row],[CleanedTotalCharges]]&gt;=2500,"High Spend", "Standard Spend")</f>
        <v>High Spend</v>
      </c>
    </row>
    <row r="4268" spans="1:14" x14ac:dyDescent="0.3">
      <c r="A4268" s="1" t="s">
        <v>4292</v>
      </c>
      <c r="B4268" s="2" t="s">
        <v>19</v>
      </c>
      <c r="C4268" s="2" t="s">
        <v>20</v>
      </c>
      <c r="D4268" s="2">
        <v>62</v>
      </c>
      <c r="E4268" s="2" t="s">
        <v>26</v>
      </c>
      <c r="F4268" s="2" t="s">
        <v>16</v>
      </c>
      <c r="G4268" s="7">
        <v>102</v>
      </c>
      <c r="H4268" s="7">
        <v>6529.25</v>
      </c>
      <c r="I4268" s="2" t="s">
        <v>16</v>
      </c>
      <c r="J4268" s="2" t="s">
        <v>15</v>
      </c>
      <c r="K4268" s="2" t="s">
        <v>17</v>
      </c>
      <c r="L4268" s="7">
        <v>6529.25</v>
      </c>
      <c r="M4268" s="2" t="str">
        <f>_xlfn.IFS(TelecomData[[#This Row],[TenureMonths]]&lt;=12, "0-1 Year", TelecomData[[#This Row],[TenureMonths]]&lt;=36, "1-3 Years", TelecomData[[#This Row],[TenureMonths]]&gt;36, "3+ Years")</f>
        <v>3+ Years</v>
      </c>
      <c r="N4268" s="2" t="str">
        <f>IF(TelecomData[[#This Row],[CleanedTotalCharges]]&gt;=2500,"High Spend", "Standard Spend")</f>
        <v>High Spend</v>
      </c>
    </row>
    <row r="4269" spans="1:14" x14ac:dyDescent="0.3">
      <c r="A4269" s="1" t="s">
        <v>4293</v>
      </c>
      <c r="B4269" s="2" t="s">
        <v>12</v>
      </c>
      <c r="C4269" s="2" t="s">
        <v>35</v>
      </c>
      <c r="D4269" s="2">
        <v>72</v>
      </c>
      <c r="E4269" s="2" t="s">
        <v>14</v>
      </c>
      <c r="F4269" s="2" t="s">
        <v>16</v>
      </c>
      <c r="G4269" s="7">
        <v>91.15</v>
      </c>
      <c r="H4269" s="7">
        <v>6637.9</v>
      </c>
      <c r="I4269" s="2" t="s">
        <v>15</v>
      </c>
      <c r="J4269" s="2" t="s">
        <v>16</v>
      </c>
      <c r="K4269" s="2" t="s">
        <v>24</v>
      </c>
      <c r="L4269" s="7">
        <v>6637.9</v>
      </c>
      <c r="M4269" s="2" t="str">
        <f>_xlfn.IFS(TelecomData[[#This Row],[TenureMonths]]&lt;=12, "0-1 Year", TelecomData[[#This Row],[TenureMonths]]&lt;=36, "1-3 Years", TelecomData[[#This Row],[TenureMonths]]&gt;36, "3+ Years")</f>
        <v>3+ Years</v>
      </c>
      <c r="N4269" s="2" t="str">
        <f>IF(TelecomData[[#This Row],[CleanedTotalCharges]]&gt;=2500,"High Spend", "Standard Spend")</f>
        <v>High Spend</v>
      </c>
    </row>
    <row r="4270" spans="1:14" x14ac:dyDescent="0.3">
      <c r="A4270" s="1" t="s">
        <v>4294</v>
      </c>
      <c r="B4270" s="2" t="s">
        <v>19</v>
      </c>
      <c r="C4270" s="2" t="s">
        <v>20</v>
      </c>
      <c r="D4270" s="2">
        <v>35</v>
      </c>
      <c r="E4270" s="2" t="s">
        <v>26</v>
      </c>
      <c r="F4270" s="2" t="s">
        <v>16</v>
      </c>
      <c r="G4270" s="7">
        <v>89.7</v>
      </c>
      <c r="H4270" s="7">
        <v>3165.6</v>
      </c>
      <c r="I4270" s="2" t="s">
        <v>15</v>
      </c>
      <c r="J4270" s="2" t="s">
        <v>16</v>
      </c>
      <c r="K4270" s="2" t="s">
        <v>17</v>
      </c>
      <c r="L4270" s="7">
        <v>3165.6</v>
      </c>
      <c r="M4270" s="2" t="str">
        <f>_xlfn.IFS(TelecomData[[#This Row],[TenureMonths]]&lt;=12, "0-1 Year", TelecomData[[#This Row],[TenureMonths]]&lt;=36, "1-3 Years", TelecomData[[#This Row],[TenureMonths]]&gt;36, "3+ Years")</f>
        <v>1-3 Years</v>
      </c>
      <c r="N4270" s="2" t="str">
        <f>IF(TelecomData[[#This Row],[CleanedTotalCharges]]&gt;=2500,"High Spend", "Standard Spend")</f>
        <v>High Spend</v>
      </c>
    </row>
    <row r="4271" spans="1:14" x14ac:dyDescent="0.3">
      <c r="A4271" s="1" t="s">
        <v>4295</v>
      </c>
      <c r="B4271" s="2" t="s">
        <v>19</v>
      </c>
      <c r="C4271" s="2" t="s">
        <v>13</v>
      </c>
      <c r="D4271" s="2">
        <v>17</v>
      </c>
      <c r="E4271" s="2" t="s">
        <v>26</v>
      </c>
      <c r="F4271" s="2" t="s">
        <v>15</v>
      </c>
      <c r="G4271" s="7">
        <v>90.2</v>
      </c>
      <c r="H4271" s="7">
        <v>1454.15</v>
      </c>
      <c r="I4271" s="2" t="s">
        <v>16</v>
      </c>
      <c r="J4271" s="2" t="s">
        <v>15</v>
      </c>
      <c r="K4271" s="2" t="s">
        <v>29</v>
      </c>
      <c r="L4271" s="7">
        <v>1454.15</v>
      </c>
      <c r="M4271" s="2" t="str">
        <f>_xlfn.IFS(TelecomData[[#This Row],[TenureMonths]]&lt;=12, "0-1 Year", TelecomData[[#This Row],[TenureMonths]]&lt;=36, "1-3 Years", TelecomData[[#This Row],[TenureMonths]]&gt;36, "3+ Years")</f>
        <v>1-3 Years</v>
      </c>
      <c r="N4271" s="2" t="str">
        <f>IF(TelecomData[[#This Row],[CleanedTotalCharges]]&gt;=2500,"High Spend", "Standard Spend")</f>
        <v>Standard Spend</v>
      </c>
    </row>
    <row r="4272" spans="1:14" x14ac:dyDescent="0.3">
      <c r="A4272" s="1" t="s">
        <v>4296</v>
      </c>
      <c r="B4272" s="2" t="s">
        <v>12</v>
      </c>
      <c r="C4272" s="2" t="s">
        <v>35</v>
      </c>
      <c r="D4272" s="2">
        <v>72</v>
      </c>
      <c r="E4272" s="2" t="s">
        <v>14</v>
      </c>
      <c r="F4272" s="2" t="s">
        <v>16</v>
      </c>
      <c r="G4272" s="7">
        <v>92.4</v>
      </c>
      <c r="H4272" s="7">
        <v>6786.1</v>
      </c>
      <c r="I4272" s="2" t="s">
        <v>15</v>
      </c>
      <c r="J4272" s="2" t="s">
        <v>16</v>
      </c>
      <c r="K4272" s="2" t="s">
        <v>17</v>
      </c>
      <c r="L4272" s="7">
        <v>6786.1</v>
      </c>
      <c r="M4272" s="2" t="str">
        <f>_xlfn.IFS(TelecomData[[#This Row],[TenureMonths]]&lt;=12, "0-1 Year", TelecomData[[#This Row],[TenureMonths]]&lt;=36, "1-3 Years", TelecomData[[#This Row],[TenureMonths]]&gt;36, "3+ Years")</f>
        <v>3+ Years</v>
      </c>
      <c r="N4272" s="2" t="str">
        <f>IF(TelecomData[[#This Row],[CleanedTotalCharges]]&gt;=2500,"High Spend", "Standard Spend")</f>
        <v>High Spend</v>
      </c>
    </row>
    <row r="4273" spans="1:14" x14ac:dyDescent="0.3">
      <c r="A4273" s="1" t="s">
        <v>4297</v>
      </c>
      <c r="B4273" s="2" t="s">
        <v>12</v>
      </c>
      <c r="C4273" s="2" t="s">
        <v>20</v>
      </c>
      <c r="D4273" s="2">
        <v>28</v>
      </c>
      <c r="E4273" s="2" t="s">
        <v>15</v>
      </c>
      <c r="F4273" s="2" t="s">
        <v>36</v>
      </c>
      <c r="G4273" s="7">
        <v>19.899999999999999</v>
      </c>
      <c r="H4273" s="7">
        <v>543</v>
      </c>
      <c r="I4273" s="2" t="s">
        <v>15</v>
      </c>
      <c r="J4273" s="2" t="s">
        <v>15</v>
      </c>
      <c r="K4273" s="2" t="s">
        <v>21</v>
      </c>
      <c r="L4273" s="7">
        <v>543</v>
      </c>
      <c r="M4273" s="2" t="str">
        <f>_xlfn.IFS(TelecomData[[#This Row],[TenureMonths]]&lt;=12, "0-1 Year", TelecomData[[#This Row],[TenureMonths]]&lt;=36, "1-3 Years", TelecomData[[#This Row],[TenureMonths]]&gt;36, "3+ Years")</f>
        <v>1-3 Years</v>
      </c>
      <c r="N4273" s="2" t="str">
        <f>IF(TelecomData[[#This Row],[CleanedTotalCharges]]&gt;=2500,"High Spend", "Standard Spend")</f>
        <v>Standard Spend</v>
      </c>
    </row>
    <row r="4274" spans="1:14" x14ac:dyDescent="0.3">
      <c r="A4274" s="1" t="s">
        <v>4298</v>
      </c>
      <c r="B4274" s="2" t="s">
        <v>19</v>
      </c>
      <c r="C4274" s="2" t="s">
        <v>35</v>
      </c>
      <c r="D4274" s="2">
        <v>56</v>
      </c>
      <c r="E4274" s="2" t="s">
        <v>15</v>
      </c>
      <c r="F4274" s="2" t="s">
        <v>36</v>
      </c>
      <c r="G4274" s="7">
        <v>25.15</v>
      </c>
      <c r="H4274" s="7">
        <v>1327.15</v>
      </c>
      <c r="I4274" s="2" t="s">
        <v>16</v>
      </c>
      <c r="J4274" s="2" t="s">
        <v>16</v>
      </c>
      <c r="K4274" s="2" t="s">
        <v>29</v>
      </c>
      <c r="L4274" s="7">
        <v>1327.15</v>
      </c>
      <c r="M4274" s="2" t="str">
        <f>_xlfn.IFS(TelecomData[[#This Row],[TenureMonths]]&lt;=12, "0-1 Year", TelecomData[[#This Row],[TenureMonths]]&lt;=36, "1-3 Years", TelecomData[[#This Row],[TenureMonths]]&gt;36, "3+ Years")</f>
        <v>3+ Years</v>
      </c>
      <c r="N4274" s="2" t="str">
        <f>IF(TelecomData[[#This Row],[CleanedTotalCharges]]&gt;=2500,"High Spend", "Standard Spend")</f>
        <v>Standard Spend</v>
      </c>
    </row>
    <row r="4275" spans="1:14" x14ac:dyDescent="0.3">
      <c r="A4275" s="1" t="s">
        <v>4299</v>
      </c>
      <c r="B4275" s="2" t="s">
        <v>12</v>
      </c>
      <c r="C4275" s="2" t="s">
        <v>13</v>
      </c>
      <c r="D4275" s="2">
        <v>31</v>
      </c>
      <c r="E4275" s="2" t="s">
        <v>26</v>
      </c>
      <c r="F4275" s="2" t="s">
        <v>16</v>
      </c>
      <c r="G4275" s="7">
        <v>79.849999999999994</v>
      </c>
      <c r="H4275" s="7">
        <v>2404.15</v>
      </c>
      <c r="I4275" s="2" t="s">
        <v>16</v>
      </c>
      <c r="J4275" s="2" t="s">
        <v>16</v>
      </c>
      <c r="K4275" s="2" t="s">
        <v>29</v>
      </c>
      <c r="L4275" s="7">
        <v>2404.15</v>
      </c>
      <c r="M4275" s="2" t="str">
        <f>_xlfn.IFS(TelecomData[[#This Row],[TenureMonths]]&lt;=12, "0-1 Year", TelecomData[[#This Row],[TenureMonths]]&lt;=36, "1-3 Years", TelecomData[[#This Row],[TenureMonths]]&gt;36, "3+ Years")</f>
        <v>1-3 Years</v>
      </c>
      <c r="N4275" s="2" t="str">
        <f>IF(TelecomData[[#This Row],[CleanedTotalCharges]]&gt;=2500,"High Spend", "Standard Spend")</f>
        <v>Standard Spend</v>
      </c>
    </row>
    <row r="4276" spans="1:14" x14ac:dyDescent="0.3">
      <c r="A4276" s="1" t="s">
        <v>4300</v>
      </c>
      <c r="B4276" s="2" t="s">
        <v>19</v>
      </c>
      <c r="C4276" s="2" t="s">
        <v>20</v>
      </c>
      <c r="D4276" s="2">
        <v>45</v>
      </c>
      <c r="E4276" s="2" t="s">
        <v>15</v>
      </c>
      <c r="F4276" s="2" t="s">
        <v>36</v>
      </c>
      <c r="G4276" s="7">
        <v>18.850000000000001</v>
      </c>
      <c r="H4276" s="7">
        <v>867.3</v>
      </c>
      <c r="I4276" s="2" t="s">
        <v>15</v>
      </c>
      <c r="J4276" s="2" t="s">
        <v>15</v>
      </c>
      <c r="K4276" s="2" t="s">
        <v>24</v>
      </c>
      <c r="L4276" s="7">
        <v>867.3</v>
      </c>
      <c r="M4276" s="2" t="str">
        <f>_xlfn.IFS(TelecomData[[#This Row],[TenureMonths]]&lt;=12, "0-1 Year", TelecomData[[#This Row],[TenureMonths]]&lt;=36, "1-3 Years", TelecomData[[#This Row],[TenureMonths]]&gt;36, "3+ Years")</f>
        <v>3+ Years</v>
      </c>
      <c r="N4276" s="2" t="str">
        <f>IF(TelecomData[[#This Row],[CleanedTotalCharges]]&gt;=2500,"High Spend", "Standard Spend")</f>
        <v>Standard Spend</v>
      </c>
    </row>
    <row r="4277" spans="1:14" x14ac:dyDescent="0.3">
      <c r="A4277" s="1" t="s">
        <v>4301</v>
      </c>
      <c r="B4277" s="2" t="s">
        <v>12</v>
      </c>
      <c r="C4277" s="2" t="s">
        <v>13</v>
      </c>
      <c r="D4277" s="2">
        <v>1</v>
      </c>
      <c r="E4277" s="2" t="s">
        <v>15</v>
      </c>
      <c r="F4277" s="2" t="s">
        <v>36</v>
      </c>
      <c r="G4277" s="7">
        <v>25.75</v>
      </c>
      <c r="H4277" s="7">
        <v>25.75</v>
      </c>
      <c r="I4277" s="2" t="s">
        <v>15</v>
      </c>
      <c r="J4277" s="2" t="s">
        <v>16</v>
      </c>
      <c r="K4277" s="2" t="s">
        <v>21</v>
      </c>
      <c r="L4277" s="7">
        <v>25.75</v>
      </c>
      <c r="M4277" s="2" t="str">
        <f>_xlfn.IFS(TelecomData[[#This Row],[TenureMonths]]&lt;=12, "0-1 Year", TelecomData[[#This Row],[TenureMonths]]&lt;=36, "1-3 Years", TelecomData[[#This Row],[TenureMonths]]&gt;36, "3+ Years")</f>
        <v>0-1 Year</v>
      </c>
      <c r="N4277" s="2" t="str">
        <f>IF(TelecomData[[#This Row],[CleanedTotalCharges]]&gt;=2500,"High Spend", "Standard Spend")</f>
        <v>Standard Spend</v>
      </c>
    </row>
    <row r="4278" spans="1:14" x14ac:dyDescent="0.3">
      <c r="A4278" s="1" t="s">
        <v>4302</v>
      </c>
      <c r="B4278" s="2" t="s">
        <v>12</v>
      </c>
      <c r="C4278" s="2" t="s">
        <v>13</v>
      </c>
      <c r="D4278" s="2">
        <v>2</v>
      </c>
      <c r="E4278" s="2" t="s">
        <v>14</v>
      </c>
      <c r="F4278" s="2" t="s">
        <v>15</v>
      </c>
      <c r="G4278" s="7">
        <v>49.6</v>
      </c>
      <c r="H4278" s="7">
        <v>114.7</v>
      </c>
      <c r="I4278" s="2" t="s">
        <v>16</v>
      </c>
      <c r="J4278" s="2" t="s">
        <v>16</v>
      </c>
      <c r="K4278" s="2" t="s">
        <v>21</v>
      </c>
      <c r="L4278" s="7">
        <v>114.7</v>
      </c>
      <c r="M4278" s="2" t="str">
        <f>_xlfn.IFS(TelecomData[[#This Row],[TenureMonths]]&lt;=12, "0-1 Year", TelecomData[[#This Row],[TenureMonths]]&lt;=36, "1-3 Years", TelecomData[[#This Row],[TenureMonths]]&gt;36, "3+ Years")</f>
        <v>0-1 Year</v>
      </c>
      <c r="N4278" s="2" t="str">
        <f>IF(TelecomData[[#This Row],[CleanedTotalCharges]]&gt;=2500,"High Spend", "Standard Spend")</f>
        <v>Standard Spend</v>
      </c>
    </row>
    <row r="4279" spans="1:14" x14ac:dyDescent="0.3">
      <c r="A4279" s="1" t="s">
        <v>4303</v>
      </c>
      <c r="B4279" s="2" t="s">
        <v>12</v>
      </c>
      <c r="C4279" s="2" t="s">
        <v>13</v>
      </c>
      <c r="D4279" s="2">
        <v>6</v>
      </c>
      <c r="E4279" s="2" t="s">
        <v>15</v>
      </c>
      <c r="F4279" s="2" t="s">
        <v>36</v>
      </c>
      <c r="G4279" s="7">
        <v>20.95</v>
      </c>
      <c r="H4279" s="7">
        <v>109.5</v>
      </c>
      <c r="I4279" s="2" t="s">
        <v>15</v>
      </c>
      <c r="J4279" s="2" t="s">
        <v>16</v>
      </c>
      <c r="K4279" s="2" t="s">
        <v>21</v>
      </c>
      <c r="L4279" s="7">
        <v>109.5</v>
      </c>
      <c r="M4279" s="2" t="str">
        <f>_xlfn.IFS(TelecomData[[#This Row],[TenureMonths]]&lt;=12, "0-1 Year", TelecomData[[#This Row],[TenureMonths]]&lt;=36, "1-3 Years", TelecomData[[#This Row],[TenureMonths]]&gt;36, "3+ Years")</f>
        <v>0-1 Year</v>
      </c>
      <c r="N4279" s="2" t="str">
        <f>IF(TelecomData[[#This Row],[CleanedTotalCharges]]&gt;=2500,"High Spend", "Standard Spend")</f>
        <v>Standard Spend</v>
      </c>
    </row>
    <row r="4280" spans="1:14" x14ac:dyDescent="0.3">
      <c r="A4280" s="1" t="s">
        <v>4304</v>
      </c>
      <c r="B4280" s="2" t="s">
        <v>12</v>
      </c>
      <c r="C4280" s="2" t="s">
        <v>20</v>
      </c>
      <c r="D4280" s="2">
        <v>48</v>
      </c>
      <c r="E4280" s="2" t="s">
        <v>26</v>
      </c>
      <c r="F4280" s="2" t="s">
        <v>15</v>
      </c>
      <c r="G4280" s="7">
        <v>97.05</v>
      </c>
      <c r="H4280" s="7">
        <v>4692.95</v>
      </c>
      <c r="I4280" s="2" t="s">
        <v>15</v>
      </c>
      <c r="J4280" s="2" t="s">
        <v>16</v>
      </c>
      <c r="K4280" s="2" t="s">
        <v>17</v>
      </c>
      <c r="L4280" s="7">
        <v>4692.95</v>
      </c>
      <c r="M4280" s="2" t="str">
        <f>_xlfn.IFS(TelecomData[[#This Row],[TenureMonths]]&lt;=12, "0-1 Year", TelecomData[[#This Row],[TenureMonths]]&lt;=36, "1-3 Years", TelecomData[[#This Row],[TenureMonths]]&gt;36, "3+ Years")</f>
        <v>3+ Years</v>
      </c>
      <c r="N4280" s="2" t="str">
        <f>IF(TelecomData[[#This Row],[CleanedTotalCharges]]&gt;=2500,"High Spend", "Standard Spend")</f>
        <v>High Spend</v>
      </c>
    </row>
    <row r="4281" spans="1:14" x14ac:dyDescent="0.3">
      <c r="A4281" s="1" t="s">
        <v>4305</v>
      </c>
      <c r="B4281" s="2" t="s">
        <v>19</v>
      </c>
      <c r="C4281" s="2" t="s">
        <v>13</v>
      </c>
      <c r="D4281" s="2">
        <v>25</v>
      </c>
      <c r="E4281" s="2" t="s">
        <v>15</v>
      </c>
      <c r="F4281" s="2" t="s">
        <v>36</v>
      </c>
      <c r="G4281" s="7">
        <v>25.4</v>
      </c>
      <c r="H4281" s="7">
        <v>546.85</v>
      </c>
      <c r="I4281" s="2" t="s">
        <v>15</v>
      </c>
      <c r="J4281" s="2" t="s">
        <v>16</v>
      </c>
      <c r="K4281" s="2" t="s">
        <v>24</v>
      </c>
      <c r="L4281" s="7">
        <v>546.85</v>
      </c>
      <c r="M4281" s="2" t="str">
        <f>_xlfn.IFS(TelecomData[[#This Row],[TenureMonths]]&lt;=12, "0-1 Year", TelecomData[[#This Row],[TenureMonths]]&lt;=36, "1-3 Years", TelecomData[[#This Row],[TenureMonths]]&gt;36, "3+ Years")</f>
        <v>1-3 Years</v>
      </c>
      <c r="N4281" s="2" t="str">
        <f>IF(TelecomData[[#This Row],[CleanedTotalCharges]]&gt;=2500,"High Spend", "Standard Spend")</f>
        <v>Standard Spend</v>
      </c>
    </row>
    <row r="4282" spans="1:14" x14ac:dyDescent="0.3">
      <c r="A4282" s="1" t="s">
        <v>4306</v>
      </c>
      <c r="B4282" s="2" t="s">
        <v>19</v>
      </c>
      <c r="C4282" s="2" t="s">
        <v>35</v>
      </c>
      <c r="D4282" s="2">
        <v>64</v>
      </c>
      <c r="E4282" s="2" t="s">
        <v>15</v>
      </c>
      <c r="F4282" s="2" t="s">
        <v>36</v>
      </c>
      <c r="G4282" s="7">
        <v>19.7</v>
      </c>
      <c r="H4282" s="7">
        <v>1274.05</v>
      </c>
      <c r="I4282" s="2" t="s">
        <v>15</v>
      </c>
      <c r="J4282" s="2" t="s">
        <v>16</v>
      </c>
      <c r="K4282" s="2" t="s">
        <v>24</v>
      </c>
      <c r="L4282" s="7">
        <v>1274.05</v>
      </c>
      <c r="M4282" s="2" t="str">
        <f>_xlfn.IFS(TelecomData[[#This Row],[TenureMonths]]&lt;=12, "0-1 Year", TelecomData[[#This Row],[TenureMonths]]&lt;=36, "1-3 Years", TelecomData[[#This Row],[TenureMonths]]&gt;36, "3+ Years")</f>
        <v>3+ Years</v>
      </c>
      <c r="N4282" s="2" t="str">
        <f>IF(TelecomData[[#This Row],[CleanedTotalCharges]]&gt;=2500,"High Spend", "Standard Spend")</f>
        <v>Standard Spend</v>
      </c>
    </row>
    <row r="4283" spans="1:14" x14ac:dyDescent="0.3">
      <c r="A4283" s="1" t="s">
        <v>4307</v>
      </c>
      <c r="B4283" s="2" t="s">
        <v>19</v>
      </c>
      <c r="C4283" s="2" t="s">
        <v>13</v>
      </c>
      <c r="D4283" s="2">
        <v>50</v>
      </c>
      <c r="E4283" s="2" t="s">
        <v>14</v>
      </c>
      <c r="F4283" s="2" t="s">
        <v>15</v>
      </c>
      <c r="G4283" s="7">
        <v>35</v>
      </c>
      <c r="H4283" s="7">
        <v>1782.4</v>
      </c>
      <c r="I4283" s="2" t="s">
        <v>15</v>
      </c>
      <c r="J4283" s="2" t="s">
        <v>16</v>
      </c>
      <c r="K4283" s="2" t="s">
        <v>21</v>
      </c>
      <c r="L4283" s="7">
        <v>1782.4</v>
      </c>
      <c r="M4283" s="2" t="str">
        <f>_xlfn.IFS(TelecomData[[#This Row],[TenureMonths]]&lt;=12, "0-1 Year", TelecomData[[#This Row],[TenureMonths]]&lt;=36, "1-3 Years", TelecomData[[#This Row],[TenureMonths]]&gt;36, "3+ Years")</f>
        <v>3+ Years</v>
      </c>
      <c r="N4283" s="2" t="str">
        <f>IF(TelecomData[[#This Row],[CleanedTotalCharges]]&gt;=2500,"High Spend", "Standard Spend")</f>
        <v>Standard Spend</v>
      </c>
    </row>
    <row r="4284" spans="1:14" x14ac:dyDescent="0.3">
      <c r="A4284" s="1" t="s">
        <v>4308</v>
      </c>
      <c r="B4284" s="2" t="s">
        <v>12</v>
      </c>
      <c r="C4284" s="2" t="s">
        <v>20</v>
      </c>
      <c r="D4284" s="2">
        <v>52</v>
      </c>
      <c r="E4284" s="2" t="s">
        <v>26</v>
      </c>
      <c r="F4284" s="2" t="s">
        <v>15</v>
      </c>
      <c r="G4284" s="7">
        <v>101.25</v>
      </c>
      <c r="H4284" s="7">
        <v>5301.1</v>
      </c>
      <c r="I4284" s="2" t="s">
        <v>15</v>
      </c>
      <c r="J4284" s="2" t="s">
        <v>15</v>
      </c>
      <c r="K4284" s="2" t="s">
        <v>24</v>
      </c>
      <c r="L4284" s="7">
        <v>5301.1</v>
      </c>
      <c r="M4284" s="2" t="str">
        <f>_xlfn.IFS(TelecomData[[#This Row],[TenureMonths]]&lt;=12, "0-1 Year", TelecomData[[#This Row],[TenureMonths]]&lt;=36, "1-3 Years", TelecomData[[#This Row],[TenureMonths]]&gt;36, "3+ Years")</f>
        <v>3+ Years</v>
      </c>
      <c r="N4284" s="2" t="str">
        <f>IF(TelecomData[[#This Row],[CleanedTotalCharges]]&gt;=2500,"High Spend", "Standard Spend")</f>
        <v>High Spend</v>
      </c>
    </row>
    <row r="4285" spans="1:14" x14ac:dyDescent="0.3">
      <c r="A4285" s="1" t="s">
        <v>4309</v>
      </c>
      <c r="B4285" s="2" t="s">
        <v>19</v>
      </c>
      <c r="C4285" s="2" t="s">
        <v>13</v>
      </c>
      <c r="D4285" s="2">
        <v>4</v>
      </c>
      <c r="E4285" s="2" t="s">
        <v>26</v>
      </c>
      <c r="F4285" s="2" t="s">
        <v>15</v>
      </c>
      <c r="G4285" s="7">
        <v>70.2</v>
      </c>
      <c r="H4285" s="7">
        <v>280.35000000000002</v>
      </c>
      <c r="I4285" s="2" t="s">
        <v>15</v>
      </c>
      <c r="J4285" s="2" t="s">
        <v>16</v>
      </c>
      <c r="K4285" s="2" t="s">
        <v>17</v>
      </c>
      <c r="L4285" s="7">
        <v>280.35000000000002</v>
      </c>
      <c r="M4285" s="2" t="str">
        <f>_xlfn.IFS(TelecomData[[#This Row],[TenureMonths]]&lt;=12, "0-1 Year", TelecomData[[#This Row],[TenureMonths]]&lt;=36, "1-3 Years", TelecomData[[#This Row],[TenureMonths]]&gt;36, "3+ Years")</f>
        <v>0-1 Year</v>
      </c>
      <c r="N4285" s="2" t="str">
        <f>IF(TelecomData[[#This Row],[CleanedTotalCharges]]&gt;=2500,"High Spend", "Standard Spend")</f>
        <v>Standard Spend</v>
      </c>
    </row>
    <row r="4286" spans="1:14" x14ac:dyDescent="0.3">
      <c r="A4286" s="1" t="s">
        <v>4310</v>
      </c>
      <c r="B4286" s="2" t="s">
        <v>12</v>
      </c>
      <c r="C4286" s="2" t="s">
        <v>13</v>
      </c>
      <c r="D4286" s="2">
        <v>32</v>
      </c>
      <c r="E4286" s="2" t="s">
        <v>26</v>
      </c>
      <c r="F4286" s="2" t="s">
        <v>15</v>
      </c>
      <c r="G4286" s="7">
        <v>90.95</v>
      </c>
      <c r="H4286" s="7">
        <v>2897.95</v>
      </c>
      <c r="I4286" s="2" t="s">
        <v>15</v>
      </c>
      <c r="J4286" s="2" t="s">
        <v>15</v>
      </c>
      <c r="K4286" s="2" t="s">
        <v>17</v>
      </c>
      <c r="L4286" s="7">
        <v>2897.95</v>
      </c>
      <c r="M4286" s="2" t="str">
        <f>_xlfn.IFS(TelecomData[[#This Row],[TenureMonths]]&lt;=12, "0-1 Year", TelecomData[[#This Row],[TenureMonths]]&lt;=36, "1-3 Years", TelecomData[[#This Row],[TenureMonths]]&gt;36, "3+ Years")</f>
        <v>1-3 Years</v>
      </c>
      <c r="N4286" s="2" t="str">
        <f>IF(TelecomData[[#This Row],[CleanedTotalCharges]]&gt;=2500,"High Spend", "Standard Spend")</f>
        <v>High Spend</v>
      </c>
    </row>
    <row r="4287" spans="1:14" x14ac:dyDescent="0.3">
      <c r="A4287" s="1" t="s">
        <v>4311</v>
      </c>
      <c r="B4287" s="2" t="s">
        <v>19</v>
      </c>
      <c r="C4287" s="2" t="s">
        <v>35</v>
      </c>
      <c r="D4287" s="2">
        <v>45</v>
      </c>
      <c r="E4287" s="2" t="s">
        <v>14</v>
      </c>
      <c r="F4287" s="2" t="s">
        <v>16</v>
      </c>
      <c r="G4287" s="7">
        <v>73.849999999999994</v>
      </c>
      <c r="H4287" s="7">
        <v>3371</v>
      </c>
      <c r="I4287" s="2" t="s">
        <v>15</v>
      </c>
      <c r="J4287" s="2" t="s">
        <v>15</v>
      </c>
      <c r="K4287" s="2" t="s">
        <v>29</v>
      </c>
      <c r="L4287" s="7">
        <v>3371</v>
      </c>
      <c r="M4287" s="2" t="str">
        <f>_xlfn.IFS(TelecomData[[#This Row],[TenureMonths]]&lt;=12, "0-1 Year", TelecomData[[#This Row],[TenureMonths]]&lt;=36, "1-3 Years", TelecomData[[#This Row],[TenureMonths]]&gt;36, "3+ Years")</f>
        <v>3+ Years</v>
      </c>
      <c r="N4287" s="2" t="str">
        <f>IF(TelecomData[[#This Row],[CleanedTotalCharges]]&gt;=2500,"High Spend", "Standard Spend")</f>
        <v>High Spend</v>
      </c>
    </row>
    <row r="4288" spans="1:14" x14ac:dyDescent="0.3">
      <c r="A4288" s="1" t="s">
        <v>4312</v>
      </c>
      <c r="B4288" s="2" t="s">
        <v>19</v>
      </c>
      <c r="C4288" s="2" t="s">
        <v>13</v>
      </c>
      <c r="D4288" s="2">
        <v>9</v>
      </c>
      <c r="E4288" s="2" t="s">
        <v>26</v>
      </c>
      <c r="F4288" s="2" t="s">
        <v>15</v>
      </c>
      <c r="G4288" s="7">
        <v>88.05</v>
      </c>
      <c r="H4288" s="7">
        <v>801.3</v>
      </c>
      <c r="I4288" s="2" t="s">
        <v>15</v>
      </c>
      <c r="J4288" s="2" t="s">
        <v>16</v>
      </c>
      <c r="K4288" s="2" t="s">
        <v>17</v>
      </c>
      <c r="L4288" s="7">
        <v>801.3</v>
      </c>
      <c r="M4288" s="2" t="str">
        <f>_xlfn.IFS(TelecomData[[#This Row],[TenureMonths]]&lt;=12, "0-1 Year", TelecomData[[#This Row],[TenureMonths]]&lt;=36, "1-3 Years", TelecomData[[#This Row],[TenureMonths]]&gt;36, "3+ Years")</f>
        <v>0-1 Year</v>
      </c>
      <c r="N4288" s="2" t="str">
        <f>IF(TelecomData[[#This Row],[CleanedTotalCharges]]&gt;=2500,"High Spend", "Standard Spend")</f>
        <v>Standard Spend</v>
      </c>
    </row>
    <row r="4289" spans="1:14" x14ac:dyDescent="0.3">
      <c r="A4289" s="1" t="s">
        <v>4313</v>
      </c>
      <c r="B4289" s="2" t="s">
        <v>12</v>
      </c>
      <c r="C4289" s="2" t="s">
        <v>20</v>
      </c>
      <c r="D4289" s="2">
        <v>66</v>
      </c>
      <c r="E4289" s="2" t="s">
        <v>26</v>
      </c>
      <c r="F4289" s="2" t="s">
        <v>16</v>
      </c>
      <c r="G4289" s="7">
        <v>105.95</v>
      </c>
      <c r="H4289" s="7">
        <v>6975.25</v>
      </c>
      <c r="I4289" s="2" t="s">
        <v>16</v>
      </c>
      <c r="J4289" s="2" t="s">
        <v>16</v>
      </c>
      <c r="K4289" s="2" t="s">
        <v>29</v>
      </c>
      <c r="L4289" s="7">
        <v>6975.25</v>
      </c>
      <c r="M4289" s="2" t="str">
        <f>_xlfn.IFS(TelecomData[[#This Row],[TenureMonths]]&lt;=12, "0-1 Year", TelecomData[[#This Row],[TenureMonths]]&lt;=36, "1-3 Years", TelecomData[[#This Row],[TenureMonths]]&gt;36, "3+ Years")</f>
        <v>3+ Years</v>
      </c>
      <c r="N4289" s="2" t="str">
        <f>IF(TelecomData[[#This Row],[CleanedTotalCharges]]&gt;=2500,"High Spend", "Standard Spend")</f>
        <v>High Spend</v>
      </c>
    </row>
    <row r="4290" spans="1:14" x14ac:dyDescent="0.3">
      <c r="A4290" s="1" t="s">
        <v>4314</v>
      </c>
      <c r="B4290" s="2" t="s">
        <v>19</v>
      </c>
      <c r="C4290" s="2" t="s">
        <v>13</v>
      </c>
      <c r="D4290" s="2">
        <v>3</v>
      </c>
      <c r="E4290" s="2" t="s">
        <v>26</v>
      </c>
      <c r="F4290" s="2" t="s">
        <v>15</v>
      </c>
      <c r="G4290" s="7">
        <v>91.85</v>
      </c>
      <c r="H4290" s="7">
        <v>257.05</v>
      </c>
      <c r="I4290" s="2" t="s">
        <v>16</v>
      </c>
      <c r="J4290" s="2" t="s">
        <v>15</v>
      </c>
      <c r="K4290" s="2" t="s">
        <v>17</v>
      </c>
      <c r="L4290" s="7">
        <v>257.05</v>
      </c>
      <c r="M4290" s="2" t="str">
        <f>_xlfn.IFS(TelecomData[[#This Row],[TenureMonths]]&lt;=12, "0-1 Year", TelecomData[[#This Row],[TenureMonths]]&lt;=36, "1-3 Years", TelecomData[[#This Row],[TenureMonths]]&gt;36, "3+ Years")</f>
        <v>0-1 Year</v>
      </c>
      <c r="N4290" s="2" t="str">
        <f>IF(TelecomData[[#This Row],[CleanedTotalCharges]]&gt;=2500,"High Spend", "Standard Spend")</f>
        <v>Standard Spend</v>
      </c>
    </row>
    <row r="4291" spans="1:14" x14ac:dyDescent="0.3">
      <c r="A4291" s="1" t="s">
        <v>4315</v>
      </c>
      <c r="B4291" s="2" t="s">
        <v>12</v>
      </c>
      <c r="C4291" s="2" t="s">
        <v>35</v>
      </c>
      <c r="D4291" s="2">
        <v>54</v>
      </c>
      <c r="E4291" s="2" t="s">
        <v>15</v>
      </c>
      <c r="F4291" s="2" t="s">
        <v>36</v>
      </c>
      <c r="G4291" s="7">
        <v>20.100000000000001</v>
      </c>
      <c r="H4291" s="7">
        <v>1079.45</v>
      </c>
      <c r="I4291" s="2" t="s">
        <v>15</v>
      </c>
      <c r="J4291" s="2" t="s">
        <v>15</v>
      </c>
      <c r="K4291" s="2" t="s">
        <v>21</v>
      </c>
      <c r="L4291" s="7">
        <v>1079.45</v>
      </c>
      <c r="M4291" s="2" t="str">
        <f>_xlfn.IFS(TelecomData[[#This Row],[TenureMonths]]&lt;=12, "0-1 Year", TelecomData[[#This Row],[TenureMonths]]&lt;=36, "1-3 Years", TelecomData[[#This Row],[TenureMonths]]&gt;36, "3+ Years")</f>
        <v>3+ Years</v>
      </c>
      <c r="N4291" s="2" t="str">
        <f>IF(TelecomData[[#This Row],[CleanedTotalCharges]]&gt;=2500,"High Spend", "Standard Spend")</f>
        <v>Standard Spend</v>
      </c>
    </row>
    <row r="4292" spans="1:14" x14ac:dyDescent="0.3">
      <c r="A4292" s="1" t="s">
        <v>4316</v>
      </c>
      <c r="B4292" s="2" t="s">
        <v>12</v>
      </c>
      <c r="C4292" s="2" t="s">
        <v>13</v>
      </c>
      <c r="D4292" s="2">
        <v>1</v>
      </c>
      <c r="E4292" s="2" t="s">
        <v>14</v>
      </c>
      <c r="F4292" s="2" t="s">
        <v>16</v>
      </c>
      <c r="G4292" s="7">
        <v>40.1</v>
      </c>
      <c r="H4292" s="7">
        <v>40.1</v>
      </c>
      <c r="I4292" s="2" t="s">
        <v>16</v>
      </c>
      <c r="J4292" s="2" t="s">
        <v>15</v>
      </c>
      <c r="K4292" s="2" t="s">
        <v>17</v>
      </c>
      <c r="L4292" s="7">
        <v>40.1</v>
      </c>
      <c r="M4292" s="2" t="str">
        <f>_xlfn.IFS(TelecomData[[#This Row],[TenureMonths]]&lt;=12, "0-1 Year", TelecomData[[#This Row],[TenureMonths]]&lt;=36, "1-3 Years", TelecomData[[#This Row],[TenureMonths]]&gt;36, "3+ Years")</f>
        <v>0-1 Year</v>
      </c>
      <c r="N4292" s="2" t="str">
        <f>IF(TelecomData[[#This Row],[CleanedTotalCharges]]&gt;=2500,"High Spend", "Standard Spend")</f>
        <v>Standard Spend</v>
      </c>
    </row>
    <row r="4293" spans="1:14" x14ac:dyDescent="0.3">
      <c r="A4293" s="1" t="s">
        <v>4317</v>
      </c>
      <c r="B4293" s="2" t="s">
        <v>12</v>
      </c>
      <c r="C4293" s="2" t="s">
        <v>35</v>
      </c>
      <c r="D4293" s="2">
        <v>64</v>
      </c>
      <c r="E4293" s="2" t="s">
        <v>26</v>
      </c>
      <c r="F4293" s="2" t="s">
        <v>16</v>
      </c>
      <c r="G4293" s="7">
        <v>110.3</v>
      </c>
      <c r="H4293" s="7">
        <v>6997.3</v>
      </c>
      <c r="I4293" s="2" t="s">
        <v>15</v>
      </c>
      <c r="J4293" s="2" t="s">
        <v>15</v>
      </c>
      <c r="K4293" s="2" t="s">
        <v>24</v>
      </c>
      <c r="L4293" s="7">
        <v>6997.3</v>
      </c>
      <c r="M4293" s="2" t="str">
        <f>_xlfn.IFS(TelecomData[[#This Row],[TenureMonths]]&lt;=12, "0-1 Year", TelecomData[[#This Row],[TenureMonths]]&lt;=36, "1-3 Years", TelecomData[[#This Row],[TenureMonths]]&gt;36, "3+ Years")</f>
        <v>3+ Years</v>
      </c>
      <c r="N4293" s="2" t="str">
        <f>IF(TelecomData[[#This Row],[CleanedTotalCharges]]&gt;=2500,"High Spend", "Standard Spend")</f>
        <v>High Spend</v>
      </c>
    </row>
    <row r="4294" spans="1:14" x14ac:dyDescent="0.3">
      <c r="A4294" s="1" t="s">
        <v>4318</v>
      </c>
      <c r="B4294" s="2" t="s">
        <v>12</v>
      </c>
      <c r="C4294" s="2" t="s">
        <v>13</v>
      </c>
      <c r="D4294" s="2">
        <v>31</v>
      </c>
      <c r="E4294" s="2" t="s">
        <v>26</v>
      </c>
      <c r="F4294" s="2" t="s">
        <v>15</v>
      </c>
      <c r="G4294" s="7">
        <v>73.900000000000006</v>
      </c>
      <c r="H4294" s="7">
        <v>2217.15</v>
      </c>
      <c r="I4294" s="2" t="s">
        <v>16</v>
      </c>
      <c r="J4294" s="2" t="s">
        <v>16</v>
      </c>
      <c r="K4294" s="2" t="s">
        <v>17</v>
      </c>
      <c r="L4294" s="7">
        <v>2217.15</v>
      </c>
      <c r="M4294" s="2" t="str">
        <f>_xlfn.IFS(TelecomData[[#This Row],[TenureMonths]]&lt;=12, "0-1 Year", TelecomData[[#This Row],[TenureMonths]]&lt;=36, "1-3 Years", TelecomData[[#This Row],[TenureMonths]]&gt;36, "3+ Years")</f>
        <v>1-3 Years</v>
      </c>
      <c r="N4294" s="2" t="str">
        <f>IF(TelecomData[[#This Row],[CleanedTotalCharges]]&gt;=2500,"High Spend", "Standard Spend")</f>
        <v>Standard Spend</v>
      </c>
    </row>
    <row r="4295" spans="1:14" x14ac:dyDescent="0.3">
      <c r="A4295" s="1" t="s">
        <v>4319</v>
      </c>
      <c r="B4295" s="2" t="s">
        <v>12</v>
      </c>
      <c r="C4295" s="2" t="s">
        <v>13</v>
      </c>
      <c r="D4295" s="2">
        <v>14</v>
      </c>
      <c r="E4295" s="2" t="s">
        <v>26</v>
      </c>
      <c r="F4295" s="2" t="s">
        <v>15</v>
      </c>
      <c r="G4295" s="7">
        <v>89.8</v>
      </c>
      <c r="H4295" s="7">
        <v>1129.0999999999999</v>
      </c>
      <c r="I4295" s="2" t="s">
        <v>16</v>
      </c>
      <c r="J4295" s="2" t="s">
        <v>16</v>
      </c>
      <c r="K4295" s="2" t="s">
        <v>21</v>
      </c>
      <c r="L4295" s="7">
        <v>1129.0999999999999</v>
      </c>
      <c r="M4295" s="2" t="str">
        <f>_xlfn.IFS(TelecomData[[#This Row],[TenureMonths]]&lt;=12, "0-1 Year", TelecomData[[#This Row],[TenureMonths]]&lt;=36, "1-3 Years", TelecomData[[#This Row],[TenureMonths]]&gt;36, "3+ Years")</f>
        <v>1-3 Years</v>
      </c>
      <c r="N4295" s="2" t="str">
        <f>IF(TelecomData[[#This Row],[CleanedTotalCharges]]&gt;=2500,"High Spend", "Standard Spend")</f>
        <v>Standard Spend</v>
      </c>
    </row>
    <row r="4296" spans="1:14" x14ac:dyDescent="0.3">
      <c r="A4296" s="1" t="s">
        <v>4320</v>
      </c>
      <c r="B4296" s="2" t="s">
        <v>12</v>
      </c>
      <c r="C4296" s="2" t="s">
        <v>20</v>
      </c>
      <c r="D4296" s="2">
        <v>12</v>
      </c>
      <c r="E4296" s="2" t="s">
        <v>26</v>
      </c>
      <c r="F4296" s="2" t="s">
        <v>15</v>
      </c>
      <c r="G4296" s="7">
        <v>85.15</v>
      </c>
      <c r="H4296" s="7">
        <v>979.05</v>
      </c>
      <c r="I4296" s="2" t="s">
        <v>15</v>
      </c>
      <c r="J4296" s="2" t="s">
        <v>16</v>
      </c>
      <c r="K4296" s="2" t="s">
        <v>29</v>
      </c>
      <c r="L4296" s="7">
        <v>979.05</v>
      </c>
      <c r="M4296" s="2" t="str">
        <f>_xlfn.IFS(TelecomData[[#This Row],[TenureMonths]]&lt;=12, "0-1 Year", TelecomData[[#This Row],[TenureMonths]]&lt;=36, "1-3 Years", TelecomData[[#This Row],[TenureMonths]]&gt;36, "3+ Years")</f>
        <v>0-1 Year</v>
      </c>
      <c r="N4296" s="2" t="str">
        <f>IF(TelecomData[[#This Row],[CleanedTotalCharges]]&gt;=2500,"High Spend", "Standard Spend")</f>
        <v>Standard Spend</v>
      </c>
    </row>
    <row r="4297" spans="1:14" x14ac:dyDescent="0.3">
      <c r="A4297" s="1" t="s">
        <v>4321</v>
      </c>
      <c r="B4297" s="2" t="s">
        <v>19</v>
      </c>
      <c r="C4297" s="2" t="s">
        <v>20</v>
      </c>
      <c r="D4297" s="2">
        <v>67</v>
      </c>
      <c r="E4297" s="2" t="s">
        <v>14</v>
      </c>
      <c r="F4297" s="2" t="s">
        <v>16</v>
      </c>
      <c r="G4297" s="7">
        <v>60.95</v>
      </c>
      <c r="H4297" s="7">
        <v>4119.3999999999996</v>
      </c>
      <c r="I4297" s="2" t="s">
        <v>15</v>
      </c>
      <c r="J4297" s="2" t="s">
        <v>16</v>
      </c>
      <c r="K4297" s="2" t="s">
        <v>24</v>
      </c>
      <c r="L4297" s="7">
        <v>4119.3999999999996</v>
      </c>
      <c r="M4297" s="2" t="str">
        <f>_xlfn.IFS(TelecomData[[#This Row],[TenureMonths]]&lt;=12, "0-1 Year", TelecomData[[#This Row],[TenureMonths]]&lt;=36, "1-3 Years", TelecomData[[#This Row],[TenureMonths]]&gt;36, "3+ Years")</f>
        <v>3+ Years</v>
      </c>
      <c r="N4297" s="2" t="str">
        <f>IF(TelecomData[[#This Row],[CleanedTotalCharges]]&gt;=2500,"High Spend", "Standard Spend")</f>
        <v>High Spend</v>
      </c>
    </row>
    <row r="4298" spans="1:14" x14ac:dyDescent="0.3">
      <c r="A4298" s="1" t="s">
        <v>4322</v>
      </c>
      <c r="B4298" s="2" t="s">
        <v>12</v>
      </c>
      <c r="C4298" s="2" t="s">
        <v>13</v>
      </c>
      <c r="D4298" s="2">
        <v>35</v>
      </c>
      <c r="E4298" s="2" t="s">
        <v>14</v>
      </c>
      <c r="F4298" s="2" t="s">
        <v>16</v>
      </c>
      <c r="G4298" s="7">
        <v>72.25</v>
      </c>
      <c r="H4298" s="7">
        <v>2568.5500000000002</v>
      </c>
      <c r="I4298" s="2" t="s">
        <v>16</v>
      </c>
      <c r="J4298" s="2" t="s">
        <v>15</v>
      </c>
      <c r="K4298" s="2" t="s">
        <v>17</v>
      </c>
      <c r="L4298" s="7">
        <v>2568.5500000000002</v>
      </c>
      <c r="M4298" s="2" t="str">
        <f>_xlfn.IFS(TelecomData[[#This Row],[TenureMonths]]&lt;=12, "0-1 Year", TelecomData[[#This Row],[TenureMonths]]&lt;=36, "1-3 Years", TelecomData[[#This Row],[TenureMonths]]&gt;36, "3+ Years")</f>
        <v>1-3 Years</v>
      </c>
      <c r="N4298" s="2" t="str">
        <f>IF(TelecomData[[#This Row],[CleanedTotalCharges]]&gt;=2500,"High Spend", "Standard Spend")</f>
        <v>High Spend</v>
      </c>
    </row>
    <row r="4299" spans="1:14" x14ac:dyDescent="0.3">
      <c r="A4299" s="1" t="s">
        <v>4323</v>
      </c>
      <c r="B4299" s="2" t="s">
        <v>12</v>
      </c>
      <c r="C4299" s="2" t="s">
        <v>35</v>
      </c>
      <c r="D4299" s="2">
        <v>45</v>
      </c>
      <c r="E4299" s="2" t="s">
        <v>14</v>
      </c>
      <c r="F4299" s="2" t="s">
        <v>16</v>
      </c>
      <c r="G4299" s="7">
        <v>73.55</v>
      </c>
      <c r="H4299" s="7">
        <v>3349.1</v>
      </c>
      <c r="I4299" s="2" t="s">
        <v>15</v>
      </c>
      <c r="J4299" s="2" t="s">
        <v>15</v>
      </c>
      <c r="K4299" s="2" t="s">
        <v>21</v>
      </c>
      <c r="L4299" s="7">
        <v>3349.1</v>
      </c>
      <c r="M4299" s="2" t="str">
        <f>_xlfn.IFS(TelecomData[[#This Row],[TenureMonths]]&lt;=12, "0-1 Year", TelecomData[[#This Row],[TenureMonths]]&lt;=36, "1-3 Years", TelecomData[[#This Row],[TenureMonths]]&gt;36, "3+ Years")</f>
        <v>3+ Years</v>
      </c>
      <c r="N4299" s="2" t="str">
        <f>IF(TelecomData[[#This Row],[CleanedTotalCharges]]&gt;=2500,"High Spend", "Standard Spend")</f>
        <v>High Spend</v>
      </c>
    </row>
    <row r="4300" spans="1:14" x14ac:dyDescent="0.3">
      <c r="A4300" s="1" t="s">
        <v>4324</v>
      </c>
      <c r="B4300" s="2" t="s">
        <v>19</v>
      </c>
      <c r="C4300" s="2" t="s">
        <v>13</v>
      </c>
      <c r="D4300" s="2">
        <v>10</v>
      </c>
      <c r="E4300" s="2" t="s">
        <v>14</v>
      </c>
      <c r="F4300" s="2" t="s">
        <v>15</v>
      </c>
      <c r="G4300" s="7">
        <v>46</v>
      </c>
      <c r="H4300" s="7">
        <v>492.1</v>
      </c>
      <c r="I4300" s="2" t="s">
        <v>15</v>
      </c>
      <c r="J4300" s="2" t="s">
        <v>15</v>
      </c>
      <c r="K4300" s="2" t="s">
        <v>21</v>
      </c>
      <c r="L4300" s="7">
        <v>492.1</v>
      </c>
      <c r="M4300" s="2" t="str">
        <f>_xlfn.IFS(TelecomData[[#This Row],[TenureMonths]]&lt;=12, "0-1 Year", TelecomData[[#This Row],[TenureMonths]]&lt;=36, "1-3 Years", TelecomData[[#This Row],[TenureMonths]]&gt;36, "3+ Years")</f>
        <v>0-1 Year</v>
      </c>
      <c r="N4300" s="2" t="str">
        <f>IF(TelecomData[[#This Row],[CleanedTotalCharges]]&gt;=2500,"High Spend", "Standard Spend")</f>
        <v>Standard Spend</v>
      </c>
    </row>
    <row r="4301" spans="1:14" x14ac:dyDescent="0.3">
      <c r="A4301" s="1" t="s">
        <v>4325</v>
      </c>
      <c r="B4301" s="2" t="s">
        <v>12</v>
      </c>
      <c r="C4301" s="2" t="s">
        <v>13</v>
      </c>
      <c r="D4301" s="2">
        <v>29</v>
      </c>
      <c r="E4301" s="2" t="s">
        <v>14</v>
      </c>
      <c r="F4301" s="2" t="s">
        <v>15</v>
      </c>
      <c r="G4301" s="7">
        <v>58.55</v>
      </c>
      <c r="H4301" s="7">
        <v>1718.95</v>
      </c>
      <c r="I4301" s="2" t="s">
        <v>15</v>
      </c>
      <c r="J4301" s="2" t="s">
        <v>16</v>
      </c>
      <c r="K4301" s="2" t="s">
        <v>24</v>
      </c>
      <c r="L4301" s="7">
        <v>1718.95</v>
      </c>
      <c r="M4301" s="2" t="str">
        <f>_xlfn.IFS(TelecomData[[#This Row],[TenureMonths]]&lt;=12, "0-1 Year", TelecomData[[#This Row],[TenureMonths]]&lt;=36, "1-3 Years", TelecomData[[#This Row],[TenureMonths]]&gt;36, "3+ Years")</f>
        <v>1-3 Years</v>
      </c>
      <c r="N4301" s="2" t="str">
        <f>IF(TelecomData[[#This Row],[CleanedTotalCharges]]&gt;=2500,"High Spend", "Standard Spend")</f>
        <v>Standard Spend</v>
      </c>
    </row>
    <row r="4302" spans="1:14" x14ac:dyDescent="0.3">
      <c r="A4302" s="1" t="s">
        <v>4326</v>
      </c>
      <c r="B4302" s="2" t="s">
        <v>12</v>
      </c>
      <c r="C4302" s="2" t="s">
        <v>20</v>
      </c>
      <c r="D4302" s="2">
        <v>24</v>
      </c>
      <c r="E4302" s="2" t="s">
        <v>15</v>
      </c>
      <c r="F4302" s="2" t="s">
        <v>36</v>
      </c>
      <c r="G4302" s="7">
        <v>24.6</v>
      </c>
      <c r="H4302" s="7">
        <v>605.25</v>
      </c>
      <c r="I4302" s="2" t="s">
        <v>15</v>
      </c>
      <c r="J4302" s="2" t="s">
        <v>15</v>
      </c>
      <c r="K4302" s="2" t="s">
        <v>24</v>
      </c>
      <c r="L4302" s="7">
        <v>605.25</v>
      </c>
      <c r="M4302" s="2" t="str">
        <f>_xlfn.IFS(TelecomData[[#This Row],[TenureMonths]]&lt;=12, "0-1 Year", TelecomData[[#This Row],[TenureMonths]]&lt;=36, "1-3 Years", TelecomData[[#This Row],[TenureMonths]]&gt;36, "3+ Years")</f>
        <v>1-3 Years</v>
      </c>
      <c r="N4302" s="2" t="str">
        <f>IF(TelecomData[[#This Row],[CleanedTotalCharges]]&gt;=2500,"High Spend", "Standard Spend")</f>
        <v>Standard Spend</v>
      </c>
    </row>
    <row r="4303" spans="1:14" x14ac:dyDescent="0.3">
      <c r="A4303" s="1" t="s">
        <v>4327</v>
      </c>
      <c r="B4303" s="2" t="s">
        <v>19</v>
      </c>
      <c r="C4303" s="2" t="s">
        <v>35</v>
      </c>
      <c r="D4303" s="2">
        <v>66</v>
      </c>
      <c r="E4303" s="2" t="s">
        <v>15</v>
      </c>
      <c r="F4303" s="2" t="s">
        <v>36</v>
      </c>
      <c r="G4303" s="7">
        <v>19.75</v>
      </c>
      <c r="H4303" s="7">
        <v>1344.5</v>
      </c>
      <c r="I4303" s="2" t="s">
        <v>15</v>
      </c>
      <c r="J4303" s="2" t="s">
        <v>16</v>
      </c>
      <c r="K4303" s="2" t="s">
        <v>21</v>
      </c>
      <c r="L4303" s="7">
        <v>1344.5</v>
      </c>
      <c r="M4303" s="2" t="str">
        <f>_xlfn.IFS(TelecomData[[#This Row],[TenureMonths]]&lt;=12, "0-1 Year", TelecomData[[#This Row],[TenureMonths]]&lt;=36, "1-3 Years", TelecomData[[#This Row],[TenureMonths]]&gt;36, "3+ Years")</f>
        <v>3+ Years</v>
      </c>
      <c r="N4303" s="2" t="str">
        <f>IF(TelecomData[[#This Row],[CleanedTotalCharges]]&gt;=2500,"High Spend", "Standard Spend")</f>
        <v>Standard Spend</v>
      </c>
    </row>
    <row r="4304" spans="1:14" x14ac:dyDescent="0.3">
      <c r="A4304" s="1" t="s">
        <v>4328</v>
      </c>
      <c r="B4304" s="2" t="s">
        <v>19</v>
      </c>
      <c r="C4304" s="2" t="s">
        <v>20</v>
      </c>
      <c r="D4304" s="2">
        <v>51</v>
      </c>
      <c r="E4304" s="2" t="s">
        <v>26</v>
      </c>
      <c r="F4304" s="2" t="s">
        <v>15</v>
      </c>
      <c r="G4304" s="7">
        <v>86.35</v>
      </c>
      <c r="H4304" s="7">
        <v>4267.1499999999996</v>
      </c>
      <c r="I4304" s="2" t="s">
        <v>15</v>
      </c>
      <c r="J4304" s="2" t="s">
        <v>15</v>
      </c>
      <c r="K4304" s="2" t="s">
        <v>21</v>
      </c>
      <c r="L4304" s="7">
        <v>4267.1499999999996</v>
      </c>
      <c r="M4304" s="2" t="str">
        <f>_xlfn.IFS(TelecomData[[#This Row],[TenureMonths]]&lt;=12, "0-1 Year", TelecomData[[#This Row],[TenureMonths]]&lt;=36, "1-3 Years", TelecomData[[#This Row],[TenureMonths]]&gt;36, "3+ Years")</f>
        <v>3+ Years</v>
      </c>
      <c r="N4304" s="2" t="str">
        <f>IF(TelecomData[[#This Row],[CleanedTotalCharges]]&gt;=2500,"High Spend", "Standard Spend")</f>
        <v>High Spend</v>
      </c>
    </row>
    <row r="4305" spans="1:14" x14ac:dyDescent="0.3">
      <c r="A4305" s="1" t="s">
        <v>4329</v>
      </c>
      <c r="B4305" s="2" t="s">
        <v>12</v>
      </c>
      <c r="C4305" s="2" t="s">
        <v>35</v>
      </c>
      <c r="D4305" s="2">
        <v>45</v>
      </c>
      <c r="E4305" s="2" t="s">
        <v>15</v>
      </c>
      <c r="F4305" s="2" t="s">
        <v>36</v>
      </c>
      <c r="G4305" s="7">
        <v>25.5</v>
      </c>
      <c r="H4305" s="7">
        <v>1121.05</v>
      </c>
      <c r="I4305" s="2" t="s">
        <v>15</v>
      </c>
      <c r="J4305" s="2" t="s">
        <v>15</v>
      </c>
      <c r="K4305" s="2" t="s">
        <v>21</v>
      </c>
      <c r="L4305" s="7">
        <v>1121.05</v>
      </c>
      <c r="M4305" s="2" t="str">
        <f>_xlfn.IFS(TelecomData[[#This Row],[TenureMonths]]&lt;=12, "0-1 Year", TelecomData[[#This Row],[TenureMonths]]&lt;=36, "1-3 Years", TelecomData[[#This Row],[TenureMonths]]&gt;36, "3+ Years")</f>
        <v>3+ Years</v>
      </c>
      <c r="N4305" s="2" t="str">
        <f>IF(TelecomData[[#This Row],[CleanedTotalCharges]]&gt;=2500,"High Spend", "Standard Spend")</f>
        <v>Standard Spend</v>
      </c>
    </row>
    <row r="4306" spans="1:14" x14ac:dyDescent="0.3">
      <c r="A4306" s="1" t="s">
        <v>4330</v>
      </c>
      <c r="B4306" s="2" t="s">
        <v>12</v>
      </c>
      <c r="C4306" s="2" t="s">
        <v>20</v>
      </c>
      <c r="D4306" s="2">
        <v>49</v>
      </c>
      <c r="E4306" s="2" t="s">
        <v>15</v>
      </c>
      <c r="F4306" s="2" t="s">
        <v>36</v>
      </c>
      <c r="G4306" s="7">
        <v>19</v>
      </c>
      <c r="H4306" s="7">
        <v>918.7</v>
      </c>
      <c r="I4306" s="2" t="s">
        <v>15</v>
      </c>
      <c r="J4306" s="2" t="s">
        <v>15</v>
      </c>
      <c r="K4306" s="2" t="s">
        <v>29</v>
      </c>
      <c r="L4306" s="7">
        <v>918.7</v>
      </c>
      <c r="M4306" s="2" t="str">
        <f>_xlfn.IFS(TelecomData[[#This Row],[TenureMonths]]&lt;=12, "0-1 Year", TelecomData[[#This Row],[TenureMonths]]&lt;=36, "1-3 Years", TelecomData[[#This Row],[TenureMonths]]&gt;36, "3+ Years")</f>
        <v>3+ Years</v>
      </c>
      <c r="N4306" s="2" t="str">
        <f>IF(TelecomData[[#This Row],[CleanedTotalCharges]]&gt;=2500,"High Spend", "Standard Spend")</f>
        <v>Standard Spend</v>
      </c>
    </row>
    <row r="4307" spans="1:14" x14ac:dyDescent="0.3">
      <c r="A4307" s="1" t="s">
        <v>4331</v>
      </c>
      <c r="B4307" s="2" t="s">
        <v>12</v>
      </c>
      <c r="C4307" s="2" t="s">
        <v>35</v>
      </c>
      <c r="D4307" s="2">
        <v>29</v>
      </c>
      <c r="E4307" s="2" t="s">
        <v>15</v>
      </c>
      <c r="F4307" s="2" t="s">
        <v>36</v>
      </c>
      <c r="G4307" s="7">
        <v>19.55</v>
      </c>
      <c r="H4307" s="7">
        <v>521.79999999999995</v>
      </c>
      <c r="I4307" s="2" t="s">
        <v>15</v>
      </c>
      <c r="J4307" s="2" t="s">
        <v>16</v>
      </c>
      <c r="K4307" s="2" t="s">
        <v>21</v>
      </c>
      <c r="L4307" s="7">
        <v>521.79999999999995</v>
      </c>
      <c r="M4307" s="2" t="str">
        <f>_xlfn.IFS(TelecomData[[#This Row],[TenureMonths]]&lt;=12, "0-1 Year", TelecomData[[#This Row],[TenureMonths]]&lt;=36, "1-3 Years", TelecomData[[#This Row],[TenureMonths]]&gt;36, "3+ Years")</f>
        <v>1-3 Years</v>
      </c>
      <c r="N4307" s="2" t="str">
        <f>IF(TelecomData[[#This Row],[CleanedTotalCharges]]&gt;=2500,"High Spend", "Standard Spend")</f>
        <v>Standard Spend</v>
      </c>
    </row>
    <row r="4308" spans="1:14" x14ac:dyDescent="0.3">
      <c r="A4308" s="1" t="s">
        <v>4332</v>
      </c>
      <c r="B4308" s="2" t="s">
        <v>19</v>
      </c>
      <c r="C4308" s="2" t="s">
        <v>13</v>
      </c>
      <c r="D4308" s="2">
        <v>40</v>
      </c>
      <c r="E4308" s="2" t="s">
        <v>26</v>
      </c>
      <c r="F4308" s="2" t="s">
        <v>16</v>
      </c>
      <c r="G4308" s="7">
        <v>110.1</v>
      </c>
      <c r="H4308" s="7">
        <v>4469.1000000000004</v>
      </c>
      <c r="I4308" s="2" t="s">
        <v>15</v>
      </c>
      <c r="J4308" s="2" t="s">
        <v>16</v>
      </c>
      <c r="K4308" s="2" t="s">
        <v>29</v>
      </c>
      <c r="L4308" s="7">
        <v>4469.1000000000004</v>
      </c>
      <c r="M4308" s="2" t="str">
        <f>_xlfn.IFS(TelecomData[[#This Row],[TenureMonths]]&lt;=12, "0-1 Year", TelecomData[[#This Row],[TenureMonths]]&lt;=36, "1-3 Years", TelecomData[[#This Row],[TenureMonths]]&gt;36, "3+ Years")</f>
        <v>3+ Years</v>
      </c>
      <c r="N4308" s="2" t="str">
        <f>IF(TelecomData[[#This Row],[CleanedTotalCharges]]&gt;=2500,"High Spend", "Standard Spend")</f>
        <v>High Spend</v>
      </c>
    </row>
    <row r="4309" spans="1:14" x14ac:dyDescent="0.3">
      <c r="A4309" s="1" t="s">
        <v>4333</v>
      </c>
      <c r="B4309" s="2" t="s">
        <v>12</v>
      </c>
      <c r="C4309" s="2" t="s">
        <v>13</v>
      </c>
      <c r="D4309" s="2">
        <v>37</v>
      </c>
      <c r="E4309" s="2" t="s">
        <v>26</v>
      </c>
      <c r="F4309" s="2" t="s">
        <v>15</v>
      </c>
      <c r="G4309" s="7">
        <v>96.55</v>
      </c>
      <c r="H4309" s="7">
        <v>3580.3</v>
      </c>
      <c r="I4309" s="2" t="s">
        <v>16</v>
      </c>
      <c r="J4309" s="2" t="s">
        <v>16</v>
      </c>
      <c r="K4309" s="2" t="s">
        <v>17</v>
      </c>
      <c r="L4309" s="7">
        <v>3580.3</v>
      </c>
      <c r="M4309" s="2" t="str">
        <f>_xlfn.IFS(TelecomData[[#This Row],[TenureMonths]]&lt;=12, "0-1 Year", TelecomData[[#This Row],[TenureMonths]]&lt;=36, "1-3 Years", TelecomData[[#This Row],[TenureMonths]]&gt;36, "3+ Years")</f>
        <v>3+ Years</v>
      </c>
      <c r="N4309" s="2" t="str">
        <f>IF(TelecomData[[#This Row],[CleanedTotalCharges]]&gt;=2500,"High Spend", "Standard Spend")</f>
        <v>High Spend</v>
      </c>
    </row>
    <row r="4310" spans="1:14" x14ac:dyDescent="0.3">
      <c r="A4310" s="1" t="s">
        <v>4334</v>
      </c>
      <c r="B4310" s="2" t="s">
        <v>19</v>
      </c>
      <c r="C4310" s="2" t="s">
        <v>13</v>
      </c>
      <c r="D4310" s="2">
        <v>25</v>
      </c>
      <c r="E4310" s="2" t="s">
        <v>26</v>
      </c>
      <c r="F4310" s="2" t="s">
        <v>15</v>
      </c>
      <c r="G4310" s="7">
        <v>69.75</v>
      </c>
      <c r="H4310" s="7">
        <v>1729.35</v>
      </c>
      <c r="I4310" s="2" t="s">
        <v>15</v>
      </c>
      <c r="J4310" s="2" t="s">
        <v>15</v>
      </c>
      <c r="K4310" s="2" t="s">
        <v>17</v>
      </c>
      <c r="L4310" s="7">
        <v>1729.35</v>
      </c>
      <c r="M4310" s="2" t="str">
        <f>_xlfn.IFS(TelecomData[[#This Row],[TenureMonths]]&lt;=12, "0-1 Year", TelecomData[[#This Row],[TenureMonths]]&lt;=36, "1-3 Years", TelecomData[[#This Row],[TenureMonths]]&gt;36, "3+ Years")</f>
        <v>1-3 Years</v>
      </c>
      <c r="N4310" s="2" t="str">
        <f>IF(TelecomData[[#This Row],[CleanedTotalCharges]]&gt;=2500,"High Spend", "Standard Spend")</f>
        <v>Standard Spend</v>
      </c>
    </row>
    <row r="4311" spans="1:14" x14ac:dyDescent="0.3">
      <c r="A4311" s="1" t="s">
        <v>4335</v>
      </c>
      <c r="B4311" s="2" t="s">
        <v>12</v>
      </c>
      <c r="C4311" s="2" t="s">
        <v>13</v>
      </c>
      <c r="D4311" s="2">
        <v>22</v>
      </c>
      <c r="E4311" s="2" t="s">
        <v>14</v>
      </c>
      <c r="F4311" s="2" t="s">
        <v>15</v>
      </c>
      <c r="G4311" s="7">
        <v>50.6</v>
      </c>
      <c r="H4311" s="7">
        <v>1073.3</v>
      </c>
      <c r="I4311" s="2" t="s">
        <v>15</v>
      </c>
      <c r="J4311" s="2" t="s">
        <v>16</v>
      </c>
      <c r="K4311" s="2" t="s">
        <v>17</v>
      </c>
      <c r="L4311" s="7">
        <v>1073.3</v>
      </c>
      <c r="M4311" s="2" t="str">
        <f>_xlfn.IFS(TelecomData[[#This Row],[TenureMonths]]&lt;=12, "0-1 Year", TelecomData[[#This Row],[TenureMonths]]&lt;=36, "1-3 Years", TelecomData[[#This Row],[TenureMonths]]&gt;36, "3+ Years")</f>
        <v>1-3 Years</v>
      </c>
      <c r="N4311" s="2" t="str">
        <f>IF(TelecomData[[#This Row],[CleanedTotalCharges]]&gt;=2500,"High Spend", "Standard Spend")</f>
        <v>Standard Spend</v>
      </c>
    </row>
    <row r="4312" spans="1:14" x14ac:dyDescent="0.3">
      <c r="A4312" s="1" t="s">
        <v>4336</v>
      </c>
      <c r="B4312" s="2" t="s">
        <v>19</v>
      </c>
      <c r="C4312" s="2" t="s">
        <v>35</v>
      </c>
      <c r="D4312" s="2">
        <v>72</v>
      </c>
      <c r="E4312" s="2" t="s">
        <v>14</v>
      </c>
      <c r="F4312" s="2" t="s">
        <v>16</v>
      </c>
      <c r="G4312" s="7">
        <v>65.599999999999994</v>
      </c>
      <c r="H4312" s="7">
        <v>4566.5</v>
      </c>
      <c r="I4312" s="2" t="s">
        <v>15</v>
      </c>
      <c r="J4312" s="2" t="s">
        <v>16</v>
      </c>
      <c r="K4312" s="2" t="s">
        <v>24</v>
      </c>
      <c r="L4312" s="7">
        <v>4566.5</v>
      </c>
      <c r="M4312" s="2" t="str">
        <f>_xlfn.IFS(TelecomData[[#This Row],[TenureMonths]]&lt;=12, "0-1 Year", TelecomData[[#This Row],[TenureMonths]]&lt;=36, "1-3 Years", TelecomData[[#This Row],[TenureMonths]]&gt;36, "3+ Years")</f>
        <v>3+ Years</v>
      </c>
      <c r="N4312" s="2" t="str">
        <f>IF(TelecomData[[#This Row],[CleanedTotalCharges]]&gt;=2500,"High Spend", "Standard Spend")</f>
        <v>High Spend</v>
      </c>
    </row>
    <row r="4313" spans="1:14" x14ac:dyDescent="0.3">
      <c r="A4313" s="1" t="s">
        <v>4337</v>
      </c>
      <c r="B4313" s="2" t="s">
        <v>12</v>
      </c>
      <c r="C4313" s="2" t="s">
        <v>13</v>
      </c>
      <c r="D4313" s="2">
        <v>7</v>
      </c>
      <c r="E4313" s="2" t="s">
        <v>14</v>
      </c>
      <c r="F4313" s="2" t="s">
        <v>15</v>
      </c>
      <c r="G4313" s="7">
        <v>40.1</v>
      </c>
      <c r="H4313" s="7">
        <v>293.3</v>
      </c>
      <c r="I4313" s="2" t="s">
        <v>16</v>
      </c>
      <c r="J4313" s="2" t="s">
        <v>16</v>
      </c>
      <c r="K4313" s="2" t="s">
        <v>29</v>
      </c>
      <c r="L4313" s="7">
        <v>293.3</v>
      </c>
      <c r="M4313" s="2" t="str">
        <f>_xlfn.IFS(TelecomData[[#This Row],[TenureMonths]]&lt;=12, "0-1 Year", TelecomData[[#This Row],[TenureMonths]]&lt;=36, "1-3 Years", TelecomData[[#This Row],[TenureMonths]]&gt;36, "3+ Years")</f>
        <v>0-1 Year</v>
      </c>
      <c r="N4313" s="2" t="str">
        <f>IF(TelecomData[[#This Row],[CleanedTotalCharges]]&gt;=2500,"High Spend", "Standard Spend")</f>
        <v>Standard Spend</v>
      </c>
    </row>
    <row r="4314" spans="1:14" x14ac:dyDescent="0.3">
      <c r="A4314" s="1" t="s">
        <v>4338</v>
      </c>
      <c r="B4314" s="2" t="s">
        <v>19</v>
      </c>
      <c r="C4314" s="2" t="s">
        <v>35</v>
      </c>
      <c r="D4314" s="2">
        <v>33</v>
      </c>
      <c r="E4314" s="2" t="s">
        <v>14</v>
      </c>
      <c r="F4314" s="2" t="s">
        <v>16</v>
      </c>
      <c r="G4314" s="7">
        <v>82.1</v>
      </c>
      <c r="H4314" s="7">
        <v>2603.1</v>
      </c>
      <c r="I4314" s="2" t="s">
        <v>15</v>
      </c>
      <c r="J4314" s="2" t="s">
        <v>15</v>
      </c>
      <c r="K4314" s="2" t="s">
        <v>29</v>
      </c>
      <c r="L4314" s="7">
        <v>2603.1</v>
      </c>
      <c r="M4314" s="2" t="str">
        <f>_xlfn.IFS(TelecomData[[#This Row],[TenureMonths]]&lt;=12, "0-1 Year", TelecomData[[#This Row],[TenureMonths]]&lt;=36, "1-3 Years", TelecomData[[#This Row],[TenureMonths]]&gt;36, "3+ Years")</f>
        <v>1-3 Years</v>
      </c>
      <c r="N4314" s="2" t="str">
        <f>IF(TelecomData[[#This Row],[CleanedTotalCharges]]&gt;=2500,"High Spend", "Standard Spend")</f>
        <v>High Spend</v>
      </c>
    </row>
    <row r="4315" spans="1:14" x14ac:dyDescent="0.3">
      <c r="A4315" s="1" t="s">
        <v>4339</v>
      </c>
      <c r="B4315" s="2" t="s">
        <v>12</v>
      </c>
      <c r="C4315" s="2" t="s">
        <v>13</v>
      </c>
      <c r="D4315" s="2">
        <v>23</v>
      </c>
      <c r="E4315" s="2" t="s">
        <v>26</v>
      </c>
      <c r="F4315" s="2" t="s">
        <v>16</v>
      </c>
      <c r="G4315" s="7">
        <v>79.099999999999994</v>
      </c>
      <c r="H4315" s="7">
        <v>1783.75</v>
      </c>
      <c r="I4315" s="2" t="s">
        <v>15</v>
      </c>
      <c r="J4315" s="2" t="s">
        <v>16</v>
      </c>
      <c r="K4315" s="2" t="s">
        <v>21</v>
      </c>
      <c r="L4315" s="7">
        <v>1783.75</v>
      </c>
      <c r="M4315" s="2" t="str">
        <f>_xlfn.IFS(TelecomData[[#This Row],[TenureMonths]]&lt;=12, "0-1 Year", TelecomData[[#This Row],[TenureMonths]]&lt;=36, "1-3 Years", TelecomData[[#This Row],[TenureMonths]]&gt;36, "3+ Years")</f>
        <v>1-3 Years</v>
      </c>
      <c r="N4315" s="2" t="str">
        <f>IF(TelecomData[[#This Row],[CleanedTotalCharges]]&gt;=2500,"High Spend", "Standard Spend")</f>
        <v>Standard Spend</v>
      </c>
    </row>
    <row r="4316" spans="1:14" x14ac:dyDescent="0.3">
      <c r="A4316" s="1" t="s">
        <v>4340</v>
      </c>
      <c r="B4316" s="2" t="s">
        <v>19</v>
      </c>
      <c r="C4316" s="2" t="s">
        <v>13</v>
      </c>
      <c r="D4316" s="2">
        <v>24</v>
      </c>
      <c r="E4316" s="2" t="s">
        <v>26</v>
      </c>
      <c r="F4316" s="2" t="s">
        <v>15</v>
      </c>
      <c r="G4316" s="7">
        <v>101.25</v>
      </c>
      <c r="H4316" s="7">
        <v>2440.15</v>
      </c>
      <c r="I4316" s="2" t="s">
        <v>16</v>
      </c>
      <c r="J4316" s="2" t="s">
        <v>16</v>
      </c>
      <c r="K4316" s="2" t="s">
        <v>17</v>
      </c>
      <c r="L4316" s="7">
        <v>2440.15</v>
      </c>
      <c r="M4316" s="2" t="str">
        <f>_xlfn.IFS(TelecomData[[#This Row],[TenureMonths]]&lt;=12, "0-1 Year", TelecomData[[#This Row],[TenureMonths]]&lt;=36, "1-3 Years", TelecomData[[#This Row],[TenureMonths]]&gt;36, "3+ Years")</f>
        <v>1-3 Years</v>
      </c>
      <c r="N4316" s="2" t="str">
        <f>IF(TelecomData[[#This Row],[CleanedTotalCharges]]&gt;=2500,"High Spend", "Standard Spend")</f>
        <v>Standard Spend</v>
      </c>
    </row>
    <row r="4317" spans="1:14" x14ac:dyDescent="0.3">
      <c r="A4317" s="1" t="s">
        <v>4341</v>
      </c>
      <c r="B4317" s="2" t="s">
        <v>12</v>
      </c>
      <c r="C4317" s="2" t="s">
        <v>13</v>
      </c>
      <c r="D4317" s="2">
        <v>1</v>
      </c>
      <c r="E4317" s="2" t="s">
        <v>26</v>
      </c>
      <c r="F4317" s="2" t="s">
        <v>15</v>
      </c>
      <c r="G4317" s="7">
        <v>79.55</v>
      </c>
      <c r="H4317" s="7">
        <v>79.55</v>
      </c>
      <c r="I4317" s="2" t="s">
        <v>16</v>
      </c>
      <c r="J4317" s="2" t="s">
        <v>15</v>
      </c>
      <c r="K4317" s="2" t="s">
        <v>17</v>
      </c>
      <c r="L4317" s="7">
        <v>79.55</v>
      </c>
      <c r="M4317" s="2" t="str">
        <f>_xlfn.IFS(TelecomData[[#This Row],[TenureMonths]]&lt;=12, "0-1 Year", TelecomData[[#This Row],[TenureMonths]]&lt;=36, "1-3 Years", TelecomData[[#This Row],[TenureMonths]]&gt;36, "3+ Years")</f>
        <v>0-1 Year</v>
      </c>
      <c r="N4317" s="2" t="str">
        <f>IF(TelecomData[[#This Row],[CleanedTotalCharges]]&gt;=2500,"High Spend", "Standard Spend")</f>
        <v>Standard Spend</v>
      </c>
    </row>
    <row r="4318" spans="1:14" x14ac:dyDescent="0.3">
      <c r="A4318" s="1" t="s">
        <v>4342</v>
      </c>
      <c r="B4318" s="2" t="s">
        <v>19</v>
      </c>
      <c r="C4318" s="2" t="s">
        <v>35</v>
      </c>
      <c r="D4318" s="2">
        <v>69</v>
      </c>
      <c r="E4318" s="2" t="s">
        <v>14</v>
      </c>
      <c r="F4318" s="2" t="s">
        <v>16</v>
      </c>
      <c r="G4318" s="7">
        <v>90.65</v>
      </c>
      <c r="H4318" s="7">
        <v>6322.1</v>
      </c>
      <c r="I4318" s="2" t="s">
        <v>15</v>
      </c>
      <c r="J4318" s="2" t="s">
        <v>15</v>
      </c>
      <c r="K4318" s="2" t="s">
        <v>21</v>
      </c>
      <c r="L4318" s="7">
        <v>6322.1</v>
      </c>
      <c r="M4318" s="2" t="str">
        <f>_xlfn.IFS(TelecomData[[#This Row],[TenureMonths]]&lt;=12, "0-1 Year", TelecomData[[#This Row],[TenureMonths]]&lt;=36, "1-3 Years", TelecomData[[#This Row],[TenureMonths]]&gt;36, "3+ Years")</f>
        <v>3+ Years</v>
      </c>
      <c r="N4318" s="2" t="str">
        <f>IF(TelecomData[[#This Row],[CleanedTotalCharges]]&gt;=2500,"High Spend", "Standard Spend")</f>
        <v>High Spend</v>
      </c>
    </row>
    <row r="4319" spans="1:14" x14ac:dyDescent="0.3">
      <c r="A4319" s="1" t="s">
        <v>4343</v>
      </c>
      <c r="B4319" s="2" t="s">
        <v>12</v>
      </c>
      <c r="C4319" s="2" t="s">
        <v>20</v>
      </c>
      <c r="D4319" s="2">
        <v>3</v>
      </c>
      <c r="E4319" s="2" t="s">
        <v>15</v>
      </c>
      <c r="F4319" s="2" t="s">
        <v>36</v>
      </c>
      <c r="G4319" s="7">
        <v>20.55</v>
      </c>
      <c r="H4319" s="7">
        <v>57.4</v>
      </c>
      <c r="I4319" s="2" t="s">
        <v>15</v>
      </c>
      <c r="J4319" s="2" t="s">
        <v>16</v>
      </c>
      <c r="K4319" s="2" t="s">
        <v>29</v>
      </c>
      <c r="L4319" s="7">
        <v>57.4</v>
      </c>
      <c r="M4319" s="2" t="str">
        <f>_xlfn.IFS(TelecomData[[#This Row],[TenureMonths]]&lt;=12, "0-1 Year", TelecomData[[#This Row],[TenureMonths]]&lt;=36, "1-3 Years", TelecomData[[#This Row],[TenureMonths]]&gt;36, "3+ Years")</f>
        <v>0-1 Year</v>
      </c>
      <c r="N4319" s="2" t="str">
        <f>IF(TelecomData[[#This Row],[CleanedTotalCharges]]&gt;=2500,"High Spend", "Standard Spend")</f>
        <v>Standard Spend</v>
      </c>
    </row>
    <row r="4320" spans="1:14" x14ac:dyDescent="0.3">
      <c r="A4320" s="1" t="s">
        <v>4344</v>
      </c>
      <c r="B4320" s="2" t="s">
        <v>19</v>
      </c>
      <c r="C4320" s="2" t="s">
        <v>20</v>
      </c>
      <c r="D4320" s="2">
        <v>56</v>
      </c>
      <c r="E4320" s="2" t="s">
        <v>14</v>
      </c>
      <c r="F4320" s="2" t="s">
        <v>16</v>
      </c>
      <c r="G4320" s="7">
        <v>75.75</v>
      </c>
      <c r="H4320" s="7">
        <v>4284.6499999999996</v>
      </c>
      <c r="I4320" s="2" t="s">
        <v>15</v>
      </c>
      <c r="J4320" s="2" t="s">
        <v>16</v>
      </c>
      <c r="K4320" s="2" t="s">
        <v>24</v>
      </c>
      <c r="L4320" s="7">
        <v>4284.6499999999996</v>
      </c>
      <c r="M4320" s="2" t="str">
        <f>_xlfn.IFS(TelecomData[[#This Row],[TenureMonths]]&lt;=12, "0-1 Year", TelecomData[[#This Row],[TenureMonths]]&lt;=36, "1-3 Years", TelecomData[[#This Row],[TenureMonths]]&gt;36, "3+ Years")</f>
        <v>3+ Years</v>
      </c>
      <c r="N4320" s="2" t="str">
        <f>IF(TelecomData[[#This Row],[CleanedTotalCharges]]&gt;=2500,"High Spend", "Standard Spend")</f>
        <v>High Spend</v>
      </c>
    </row>
    <row r="4321" spans="1:14" x14ac:dyDescent="0.3">
      <c r="A4321" s="1" t="s">
        <v>4345</v>
      </c>
      <c r="B4321" s="2" t="s">
        <v>19</v>
      </c>
      <c r="C4321" s="2" t="s">
        <v>20</v>
      </c>
      <c r="D4321" s="2">
        <v>65</v>
      </c>
      <c r="E4321" s="2" t="s">
        <v>26</v>
      </c>
      <c r="F4321" s="2" t="s">
        <v>16</v>
      </c>
      <c r="G4321" s="7">
        <v>110</v>
      </c>
      <c r="H4321" s="7">
        <v>7138.65</v>
      </c>
      <c r="I4321" s="2" t="s">
        <v>15</v>
      </c>
      <c r="J4321" s="2" t="s">
        <v>16</v>
      </c>
      <c r="K4321" s="2" t="s">
        <v>29</v>
      </c>
      <c r="L4321" s="7">
        <v>7138.65</v>
      </c>
      <c r="M4321" s="2" t="str">
        <f>_xlfn.IFS(TelecomData[[#This Row],[TenureMonths]]&lt;=12, "0-1 Year", TelecomData[[#This Row],[TenureMonths]]&lt;=36, "1-3 Years", TelecomData[[#This Row],[TenureMonths]]&gt;36, "3+ Years")</f>
        <v>3+ Years</v>
      </c>
      <c r="N4321" s="2" t="str">
        <f>IF(TelecomData[[#This Row],[CleanedTotalCharges]]&gt;=2500,"High Spend", "Standard Spend")</f>
        <v>High Spend</v>
      </c>
    </row>
    <row r="4322" spans="1:14" x14ac:dyDescent="0.3">
      <c r="A4322" s="1" t="s">
        <v>4346</v>
      </c>
      <c r="B4322" s="2" t="s">
        <v>19</v>
      </c>
      <c r="C4322" s="2" t="s">
        <v>20</v>
      </c>
      <c r="D4322" s="2">
        <v>71</v>
      </c>
      <c r="E4322" s="2" t="s">
        <v>15</v>
      </c>
      <c r="F4322" s="2" t="s">
        <v>36</v>
      </c>
      <c r="G4322" s="7">
        <v>20.85</v>
      </c>
      <c r="H4322" s="7">
        <v>1539.75</v>
      </c>
      <c r="I4322" s="2" t="s">
        <v>15</v>
      </c>
      <c r="J4322" s="2" t="s">
        <v>15</v>
      </c>
      <c r="K4322" s="2" t="s">
        <v>17</v>
      </c>
      <c r="L4322" s="7">
        <v>1539.75</v>
      </c>
      <c r="M4322" s="2" t="str">
        <f>_xlfn.IFS(TelecomData[[#This Row],[TenureMonths]]&lt;=12, "0-1 Year", TelecomData[[#This Row],[TenureMonths]]&lt;=36, "1-3 Years", TelecomData[[#This Row],[TenureMonths]]&gt;36, "3+ Years")</f>
        <v>3+ Years</v>
      </c>
      <c r="N4322" s="2" t="str">
        <f>IF(TelecomData[[#This Row],[CleanedTotalCharges]]&gt;=2500,"High Spend", "Standard Spend")</f>
        <v>Standard Spend</v>
      </c>
    </row>
    <row r="4323" spans="1:14" x14ac:dyDescent="0.3">
      <c r="A4323" s="1" t="s">
        <v>4347</v>
      </c>
      <c r="B4323" s="2" t="s">
        <v>12</v>
      </c>
      <c r="C4323" s="2" t="s">
        <v>13</v>
      </c>
      <c r="D4323" s="2">
        <v>14</v>
      </c>
      <c r="E4323" s="2" t="s">
        <v>26</v>
      </c>
      <c r="F4323" s="2" t="s">
        <v>15</v>
      </c>
      <c r="G4323" s="7">
        <v>80.349999999999994</v>
      </c>
      <c r="H4323" s="7">
        <v>1058.0999999999999</v>
      </c>
      <c r="I4323" s="2" t="s">
        <v>15</v>
      </c>
      <c r="J4323" s="2" t="s">
        <v>16</v>
      </c>
      <c r="K4323" s="2" t="s">
        <v>24</v>
      </c>
      <c r="L4323" s="7">
        <v>1058.0999999999999</v>
      </c>
      <c r="M4323" s="2" t="str">
        <f>_xlfn.IFS(TelecomData[[#This Row],[TenureMonths]]&lt;=12, "0-1 Year", TelecomData[[#This Row],[TenureMonths]]&lt;=36, "1-3 Years", TelecomData[[#This Row],[TenureMonths]]&gt;36, "3+ Years")</f>
        <v>1-3 Years</v>
      </c>
      <c r="N4323" s="2" t="str">
        <f>IF(TelecomData[[#This Row],[CleanedTotalCharges]]&gt;=2500,"High Spend", "Standard Spend")</f>
        <v>Standard Spend</v>
      </c>
    </row>
    <row r="4324" spans="1:14" x14ac:dyDescent="0.3">
      <c r="A4324" s="1" t="s">
        <v>4348</v>
      </c>
      <c r="B4324" s="2" t="s">
        <v>12</v>
      </c>
      <c r="C4324" s="2" t="s">
        <v>13</v>
      </c>
      <c r="D4324" s="2">
        <v>2</v>
      </c>
      <c r="E4324" s="2" t="s">
        <v>26</v>
      </c>
      <c r="F4324" s="2" t="s">
        <v>15</v>
      </c>
      <c r="G4324" s="7">
        <v>70.150000000000006</v>
      </c>
      <c r="H4324" s="7">
        <v>123.8</v>
      </c>
      <c r="I4324" s="2" t="s">
        <v>15</v>
      </c>
      <c r="J4324" s="2" t="s">
        <v>16</v>
      </c>
      <c r="K4324" s="2" t="s">
        <v>17</v>
      </c>
      <c r="L4324" s="7">
        <v>123.8</v>
      </c>
      <c r="M4324" s="2" t="str">
        <f>_xlfn.IFS(TelecomData[[#This Row],[TenureMonths]]&lt;=12, "0-1 Year", TelecomData[[#This Row],[TenureMonths]]&lt;=36, "1-3 Years", TelecomData[[#This Row],[TenureMonths]]&gt;36, "3+ Years")</f>
        <v>0-1 Year</v>
      </c>
      <c r="N4324" s="2" t="str">
        <f>IF(TelecomData[[#This Row],[CleanedTotalCharges]]&gt;=2500,"High Spend", "Standard Spend")</f>
        <v>Standard Spend</v>
      </c>
    </row>
    <row r="4325" spans="1:14" x14ac:dyDescent="0.3">
      <c r="A4325" s="1" t="s">
        <v>4349</v>
      </c>
      <c r="B4325" s="2" t="s">
        <v>12</v>
      </c>
      <c r="C4325" s="2" t="s">
        <v>20</v>
      </c>
      <c r="D4325" s="2">
        <v>32</v>
      </c>
      <c r="E4325" s="2" t="s">
        <v>26</v>
      </c>
      <c r="F4325" s="2" t="s">
        <v>15</v>
      </c>
      <c r="G4325" s="7">
        <v>84.05</v>
      </c>
      <c r="H4325" s="7">
        <v>2781.85</v>
      </c>
      <c r="I4325" s="2" t="s">
        <v>16</v>
      </c>
      <c r="J4325" s="2" t="s">
        <v>15</v>
      </c>
      <c r="K4325" s="2" t="s">
        <v>17</v>
      </c>
      <c r="L4325" s="7">
        <v>2781.85</v>
      </c>
      <c r="M4325" s="2" t="str">
        <f>_xlfn.IFS(TelecomData[[#This Row],[TenureMonths]]&lt;=12, "0-1 Year", TelecomData[[#This Row],[TenureMonths]]&lt;=36, "1-3 Years", TelecomData[[#This Row],[TenureMonths]]&gt;36, "3+ Years")</f>
        <v>1-3 Years</v>
      </c>
      <c r="N4325" s="2" t="str">
        <f>IF(TelecomData[[#This Row],[CleanedTotalCharges]]&gt;=2500,"High Spend", "Standard Spend")</f>
        <v>High Spend</v>
      </c>
    </row>
    <row r="4326" spans="1:14" x14ac:dyDescent="0.3">
      <c r="A4326" s="1" t="s">
        <v>4350</v>
      </c>
      <c r="B4326" s="2" t="s">
        <v>19</v>
      </c>
      <c r="C4326" s="2" t="s">
        <v>13</v>
      </c>
      <c r="D4326" s="2">
        <v>40</v>
      </c>
      <c r="E4326" s="2" t="s">
        <v>14</v>
      </c>
      <c r="F4326" s="2" t="s">
        <v>15</v>
      </c>
      <c r="G4326" s="7">
        <v>67.45</v>
      </c>
      <c r="H4326" s="7">
        <v>2731</v>
      </c>
      <c r="I4326" s="2" t="s">
        <v>15</v>
      </c>
      <c r="J4326" s="2" t="s">
        <v>15</v>
      </c>
      <c r="K4326" s="2" t="s">
        <v>17</v>
      </c>
      <c r="L4326" s="7">
        <v>2731</v>
      </c>
      <c r="M4326" s="2" t="str">
        <f>_xlfn.IFS(TelecomData[[#This Row],[TenureMonths]]&lt;=12, "0-1 Year", TelecomData[[#This Row],[TenureMonths]]&lt;=36, "1-3 Years", TelecomData[[#This Row],[TenureMonths]]&gt;36, "3+ Years")</f>
        <v>3+ Years</v>
      </c>
      <c r="N4326" s="2" t="str">
        <f>IF(TelecomData[[#This Row],[CleanedTotalCharges]]&gt;=2500,"High Spend", "Standard Spend")</f>
        <v>High Spend</v>
      </c>
    </row>
    <row r="4327" spans="1:14" x14ac:dyDescent="0.3">
      <c r="A4327" s="1" t="s">
        <v>4351</v>
      </c>
      <c r="B4327" s="2" t="s">
        <v>19</v>
      </c>
      <c r="C4327" s="2" t="s">
        <v>13</v>
      </c>
      <c r="D4327" s="2">
        <v>1</v>
      </c>
      <c r="E4327" s="2" t="s">
        <v>15</v>
      </c>
      <c r="F4327" s="2" t="s">
        <v>36</v>
      </c>
      <c r="G4327" s="7">
        <v>20.75</v>
      </c>
      <c r="H4327" s="7">
        <v>20.75</v>
      </c>
      <c r="I4327" s="2" t="s">
        <v>15</v>
      </c>
      <c r="J4327" s="2" t="s">
        <v>15</v>
      </c>
      <c r="K4327" s="2" t="s">
        <v>29</v>
      </c>
      <c r="L4327" s="7">
        <v>20.75</v>
      </c>
      <c r="M4327" s="2" t="str">
        <f>_xlfn.IFS(TelecomData[[#This Row],[TenureMonths]]&lt;=12, "0-1 Year", TelecomData[[#This Row],[TenureMonths]]&lt;=36, "1-3 Years", TelecomData[[#This Row],[TenureMonths]]&gt;36, "3+ Years")</f>
        <v>0-1 Year</v>
      </c>
      <c r="N4327" s="2" t="str">
        <f>IF(TelecomData[[#This Row],[CleanedTotalCharges]]&gt;=2500,"High Spend", "Standard Spend")</f>
        <v>Standard Spend</v>
      </c>
    </row>
    <row r="4328" spans="1:14" x14ac:dyDescent="0.3">
      <c r="A4328" s="1" t="s">
        <v>4352</v>
      </c>
      <c r="B4328" s="2" t="s">
        <v>19</v>
      </c>
      <c r="C4328" s="2" t="s">
        <v>13</v>
      </c>
      <c r="D4328" s="2">
        <v>1</v>
      </c>
      <c r="E4328" s="2" t="s">
        <v>26</v>
      </c>
      <c r="F4328" s="2" t="s">
        <v>15</v>
      </c>
      <c r="G4328" s="7">
        <v>89.1</v>
      </c>
      <c r="H4328" s="7">
        <v>89.1</v>
      </c>
      <c r="I4328" s="2" t="s">
        <v>16</v>
      </c>
      <c r="J4328" s="2" t="s">
        <v>16</v>
      </c>
      <c r="K4328" s="2" t="s">
        <v>17</v>
      </c>
      <c r="L4328" s="7">
        <v>89.1</v>
      </c>
      <c r="M4328" s="2" t="str">
        <f>_xlfn.IFS(TelecomData[[#This Row],[TenureMonths]]&lt;=12, "0-1 Year", TelecomData[[#This Row],[TenureMonths]]&lt;=36, "1-3 Years", TelecomData[[#This Row],[TenureMonths]]&gt;36, "3+ Years")</f>
        <v>0-1 Year</v>
      </c>
      <c r="N4328" s="2" t="str">
        <f>IF(TelecomData[[#This Row],[CleanedTotalCharges]]&gt;=2500,"High Spend", "Standard Spend")</f>
        <v>Standard Spend</v>
      </c>
    </row>
    <row r="4329" spans="1:14" x14ac:dyDescent="0.3">
      <c r="A4329" s="1" t="s">
        <v>4353</v>
      </c>
      <c r="B4329" s="2" t="s">
        <v>12</v>
      </c>
      <c r="C4329" s="2" t="s">
        <v>13</v>
      </c>
      <c r="D4329" s="2">
        <v>7</v>
      </c>
      <c r="E4329" s="2" t="s">
        <v>26</v>
      </c>
      <c r="F4329" s="2" t="s">
        <v>15</v>
      </c>
      <c r="G4329" s="7">
        <v>69.900000000000006</v>
      </c>
      <c r="H4329" s="7">
        <v>497.3</v>
      </c>
      <c r="I4329" s="2" t="s">
        <v>15</v>
      </c>
      <c r="J4329" s="2" t="s">
        <v>16</v>
      </c>
      <c r="K4329" s="2" t="s">
        <v>21</v>
      </c>
      <c r="L4329" s="7">
        <v>497.3</v>
      </c>
      <c r="M4329" s="2" t="str">
        <f>_xlfn.IFS(TelecomData[[#This Row],[TenureMonths]]&lt;=12, "0-1 Year", TelecomData[[#This Row],[TenureMonths]]&lt;=36, "1-3 Years", TelecomData[[#This Row],[TenureMonths]]&gt;36, "3+ Years")</f>
        <v>0-1 Year</v>
      </c>
      <c r="N4329" s="2" t="str">
        <f>IF(TelecomData[[#This Row],[CleanedTotalCharges]]&gt;=2500,"High Spend", "Standard Spend")</f>
        <v>Standard Spend</v>
      </c>
    </row>
    <row r="4330" spans="1:14" x14ac:dyDescent="0.3">
      <c r="A4330" s="1" t="s">
        <v>4354</v>
      </c>
      <c r="B4330" s="2" t="s">
        <v>12</v>
      </c>
      <c r="C4330" s="2" t="s">
        <v>13</v>
      </c>
      <c r="D4330" s="2">
        <v>15</v>
      </c>
      <c r="E4330" s="2" t="s">
        <v>14</v>
      </c>
      <c r="F4330" s="2" t="s">
        <v>15</v>
      </c>
      <c r="G4330" s="7">
        <v>51.1</v>
      </c>
      <c r="H4330" s="7">
        <v>711.15</v>
      </c>
      <c r="I4330" s="2" t="s">
        <v>15</v>
      </c>
      <c r="J4330" s="2" t="s">
        <v>16</v>
      </c>
      <c r="K4330" s="2" t="s">
        <v>17</v>
      </c>
      <c r="L4330" s="7">
        <v>711.15</v>
      </c>
      <c r="M4330" s="2" t="str">
        <f>_xlfn.IFS(TelecomData[[#This Row],[TenureMonths]]&lt;=12, "0-1 Year", TelecomData[[#This Row],[TenureMonths]]&lt;=36, "1-3 Years", TelecomData[[#This Row],[TenureMonths]]&gt;36, "3+ Years")</f>
        <v>1-3 Years</v>
      </c>
      <c r="N4330" s="2" t="str">
        <f>IF(TelecomData[[#This Row],[CleanedTotalCharges]]&gt;=2500,"High Spend", "Standard Spend")</f>
        <v>Standard Spend</v>
      </c>
    </row>
    <row r="4331" spans="1:14" x14ac:dyDescent="0.3">
      <c r="A4331" s="1" t="s">
        <v>4355</v>
      </c>
      <c r="B4331" s="2" t="s">
        <v>12</v>
      </c>
      <c r="C4331" s="2" t="s">
        <v>13</v>
      </c>
      <c r="D4331" s="2">
        <v>17</v>
      </c>
      <c r="E4331" s="2" t="s">
        <v>26</v>
      </c>
      <c r="F4331" s="2" t="s">
        <v>15</v>
      </c>
      <c r="G4331" s="7">
        <v>94.4</v>
      </c>
      <c r="H4331" s="7">
        <v>1607.2</v>
      </c>
      <c r="I4331" s="2" t="s">
        <v>16</v>
      </c>
      <c r="J4331" s="2" t="s">
        <v>15</v>
      </c>
      <c r="K4331" s="2" t="s">
        <v>17</v>
      </c>
      <c r="L4331" s="7">
        <v>1607.2</v>
      </c>
      <c r="M4331" s="2" t="str">
        <f>_xlfn.IFS(TelecomData[[#This Row],[TenureMonths]]&lt;=12, "0-1 Year", TelecomData[[#This Row],[TenureMonths]]&lt;=36, "1-3 Years", TelecomData[[#This Row],[TenureMonths]]&gt;36, "3+ Years")</f>
        <v>1-3 Years</v>
      </c>
      <c r="N4331" s="2" t="str">
        <f>IF(TelecomData[[#This Row],[CleanedTotalCharges]]&gt;=2500,"High Spend", "Standard Spend")</f>
        <v>Standard Spend</v>
      </c>
    </row>
    <row r="4332" spans="1:14" x14ac:dyDescent="0.3">
      <c r="A4332" s="1" t="s">
        <v>4356</v>
      </c>
      <c r="B4332" s="2" t="s">
        <v>19</v>
      </c>
      <c r="C4332" s="2" t="s">
        <v>13</v>
      </c>
      <c r="D4332" s="2">
        <v>19</v>
      </c>
      <c r="E4332" s="2" t="s">
        <v>26</v>
      </c>
      <c r="F4332" s="2" t="s">
        <v>15</v>
      </c>
      <c r="G4332" s="7">
        <v>78.25</v>
      </c>
      <c r="H4332" s="7">
        <v>1490.95</v>
      </c>
      <c r="I4332" s="2" t="s">
        <v>16</v>
      </c>
      <c r="J4332" s="2" t="s">
        <v>16</v>
      </c>
      <c r="K4332" s="2" t="s">
        <v>17</v>
      </c>
      <c r="L4332" s="7">
        <v>1490.95</v>
      </c>
      <c r="M4332" s="2" t="str">
        <f>_xlfn.IFS(TelecomData[[#This Row],[TenureMonths]]&lt;=12, "0-1 Year", TelecomData[[#This Row],[TenureMonths]]&lt;=36, "1-3 Years", TelecomData[[#This Row],[TenureMonths]]&gt;36, "3+ Years")</f>
        <v>1-3 Years</v>
      </c>
      <c r="N4332" s="2" t="str">
        <f>IF(TelecomData[[#This Row],[CleanedTotalCharges]]&gt;=2500,"High Spend", "Standard Spend")</f>
        <v>Standard Spend</v>
      </c>
    </row>
    <row r="4333" spans="1:14" x14ac:dyDescent="0.3">
      <c r="A4333" s="1" t="s">
        <v>4357</v>
      </c>
      <c r="B4333" s="2" t="s">
        <v>19</v>
      </c>
      <c r="C4333" s="2" t="s">
        <v>35</v>
      </c>
      <c r="D4333" s="2">
        <v>71</v>
      </c>
      <c r="E4333" s="2" t="s">
        <v>15</v>
      </c>
      <c r="F4333" s="2" t="s">
        <v>36</v>
      </c>
      <c r="G4333" s="7">
        <v>25.55</v>
      </c>
      <c r="H4333" s="7">
        <v>1898.1</v>
      </c>
      <c r="I4333" s="2" t="s">
        <v>15</v>
      </c>
      <c r="J4333" s="2" t="s">
        <v>15</v>
      </c>
      <c r="K4333" s="2" t="s">
        <v>24</v>
      </c>
      <c r="L4333" s="7">
        <v>1898.1</v>
      </c>
      <c r="M4333" s="2" t="str">
        <f>_xlfn.IFS(TelecomData[[#This Row],[TenureMonths]]&lt;=12, "0-1 Year", TelecomData[[#This Row],[TenureMonths]]&lt;=36, "1-3 Years", TelecomData[[#This Row],[TenureMonths]]&gt;36, "3+ Years")</f>
        <v>3+ Years</v>
      </c>
      <c r="N4333" s="2" t="str">
        <f>IF(TelecomData[[#This Row],[CleanedTotalCharges]]&gt;=2500,"High Spend", "Standard Spend")</f>
        <v>Standard Spend</v>
      </c>
    </row>
    <row r="4334" spans="1:14" x14ac:dyDescent="0.3">
      <c r="A4334" s="1" t="s">
        <v>4358</v>
      </c>
      <c r="B4334" s="2" t="s">
        <v>12</v>
      </c>
      <c r="C4334" s="2" t="s">
        <v>35</v>
      </c>
      <c r="D4334" s="2">
        <v>54</v>
      </c>
      <c r="E4334" s="2" t="s">
        <v>14</v>
      </c>
      <c r="F4334" s="2" t="s">
        <v>16</v>
      </c>
      <c r="G4334" s="7">
        <v>60</v>
      </c>
      <c r="H4334" s="7">
        <v>3273.95</v>
      </c>
      <c r="I4334" s="2" t="s">
        <v>15</v>
      </c>
      <c r="J4334" s="2" t="s">
        <v>15</v>
      </c>
      <c r="K4334" s="2" t="s">
        <v>24</v>
      </c>
      <c r="L4334" s="7">
        <v>3273.95</v>
      </c>
      <c r="M4334" s="2" t="str">
        <f>_xlfn.IFS(TelecomData[[#This Row],[TenureMonths]]&lt;=12, "0-1 Year", TelecomData[[#This Row],[TenureMonths]]&lt;=36, "1-3 Years", TelecomData[[#This Row],[TenureMonths]]&gt;36, "3+ Years")</f>
        <v>3+ Years</v>
      </c>
      <c r="N4334" s="2" t="str">
        <f>IF(TelecomData[[#This Row],[CleanedTotalCharges]]&gt;=2500,"High Spend", "Standard Spend")</f>
        <v>High Spend</v>
      </c>
    </row>
    <row r="4335" spans="1:14" x14ac:dyDescent="0.3">
      <c r="A4335" s="1" t="s">
        <v>4359</v>
      </c>
      <c r="B4335" s="2" t="s">
        <v>19</v>
      </c>
      <c r="C4335" s="2" t="s">
        <v>13</v>
      </c>
      <c r="D4335" s="2">
        <v>31</v>
      </c>
      <c r="E4335" s="2" t="s">
        <v>26</v>
      </c>
      <c r="F4335" s="2" t="s">
        <v>16</v>
      </c>
      <c r="G4335" s="7">
        <v>90.55</v>
      </c>
      <c r="H4335" s="7">
        <v>2929.75</v>
      </c>
      <c r="I4335" s="2" t="s">
        <v>15</v>
      </c>
      <c r="J4335" s="2" t="s">
        <v>16</v>
      </c>
      <c r="K4335" s="2" t="s">
        <v>29</v>
      </c>
      <c r="L4335" s="7">
        <v>2929.75</v>
      </c>
      <c r="M4335" s="2" t="str">
        <f>_xlfn.IFS(TelecomData[[#This Row],[TenureMonths]]&lt;=12, "0-1 Year", TelecomData[[#This Row],[TenureMonths]]&lt;=36, "1-3 Years", TelecomData[[#This Row],[TenureMonths]]&gt;36, "3+ Years")</f>
        <v>1-3 Years</v>
      </c>
      <c r="N4335" s="2" t="str">
        <f>IF(TelecomData[[#This Row],[CleanedTotalCharges]]&gt;=2500,"High Spend", "Standard Spend")</f>
        <v>High Spend</v>
      </c>
    </row>
    <row r="4336" spans="1:14" x14ac:dyDescent="0.3">
      <c r="A4336" s="1" t="s">
        <v>4360</v>
      </c>
      <c r="B4336" s="2" t="s">
        <v>12</v>
      </c>
      <c r="C4336" s="2" t="s">
        <v>13</v>
      </c>
      <c r="D4336" s="2">
        <v>11</v>
      </c>
      <c r="E4336" s="2" t="s">
        <v>26</v>
      </c>
      <c r="F4336" s="2" t="s">
        <v>15</v>
      </c>
      <c r="G4336" s="7">
        <v>76.400000000000006</v>
      </c>
      <c r="H4336" s="7">
        <v>838.7</v>
      </c>
      <c r="I4336" s="2" t="s">
        <v>15</v>
      </c>
      <c r="J4336" s="2" t="s">
        <v>15</v>
      </c>
      <c r="K4336" s="2" t="s">
        <v>17</v>
      </c>
      <c r="L4336" s="7">
        <v>838.7</v>
      </c>
      <c r="M4336" s="2" t="str">
        <f>_xlfn.IFS(TelecomData[[#This Row],[TenureMonths]]&lt;=12, "0-1 Year", TelecomData[[#This Row],[TenureMonths]]&lt;=36, "1-3 Years", TelecomData[[#This Row],[TenureMonths]]&gt;36, "3+ Years")</f>
        <v>0-1 Year</v>
      </c>
      <c r="N4336" s="2" t="str">
        <f>IF(TelecomData[[#This Row],[CleanedTotalCharges]]&gt;=2500,"High Spend", "Standard Spend")</f>
        <v>Standard Spend</v>
      </c>
    </row>
    <row r="4337" spans="1:14" x14ac:dyDescent="0.3">
      <c r="A4337" s="1" t="s">
        <v>4361</v>
      </c>
      <c r="B4337" s="2" t="s">
        <v>12</v>
      </c>
      <c r="C4337" s="2" t="s">
        <v>13</v>
      </c>
      <c r="D4337" s="2">
        <v>18</v>
      </c>
      <c r="E4337" s="2" t="s">
        <v>26</v>
      </c>
      <c r="F4337" s="2" t="s">
        <v>15</v>
      </c>
      <c r="G4337" s="7">
        <v>84.95</v>
      </c>
      <c r="H4337" s="7">
        <v>1443.65</v>
      </c>
      <c r="I4337" s="2" t="s">
        <v>15</v>
      </c>
      <c r="J4337" s="2" t="s">
        <v>16</v>
      </c>
      <c r="K4337" s="2" t="s">
        <v>17</v>
      </c>
      <c r="L4337" s="7">
        <v>1443.65</v>
      </c>
      <c r="M4337" s="2" t="str">
        <f>_xlfn.IFS(TelecomData[[#This Row],[TenureMonths]]&lt;=12, "0-1 Year", TelecomData[[#This Row],[TenureMonths]]&lt;=36, "1-3 Years", TelecomData[[#This Row],[TenureMonths]]&gt;36, "3+ Years")</f>
        <v>1-3 Years</v>
      </c>
      <c r="N4337" s="2" t="str">
        <f>IF(TelecomData[[#This Row],[CleanedTotalCharges]]&gt;=2500,"High Spend", "Standard Spend")</f>
        <v>Standard Spend</v>
      </c>
    </row>
    <row r="4338" spans="1:14" x14ac:dyDescent="0.3">
      <c r="A4338" s="1" t="s">
        <v>4362</v>
      </c>
      <c r="B4338" s="2" t="s">
        <v>12</v>
      </c>
      <c r="C4338" s="2" t="s">
        <v>35</v>
      </c>
      <c r="D4338" s="2">
        <v>72</v>
      </c>
      <c r="E4338" s="2" t="s">
        <v>26</v>
      </c>
      <c r="F4338" s="2" t="s">
        <v>16</v>
      </c>
      <c r="G4338" s="7">
        <v>110.1</v>
      </c>
      <c r="H4338" s="7">
        <v>7746.7</v>
      </c>
      <c r="I4338" s="2" t="s">
        <v>15</v>
      </c>
      <c r="J4338" s="2" t="s">
        <v>16</v>
      </c>
      <c r="K4338" s="2" t="s">
        <v>24</v>
      </c>
      <c r="L4338" s="7">
        <v>7746.7</v>
      </c>
      <c r="M4338" s="2" t="str">
        <f>_xlfn.IFS(TelecomData[[#This Row],[TenureMonths]]&lt;=12, "0-1 Year", TelecomData[[#This Row],[TenureMonths]]&lt;=36, "1-3 Years", TelecomData[[#This Row],[TenureMonths]]&gt;36, "3+ Years")</f>
        <v>3+ Years</v>
      </c>
      <c r="N4338" s="2" t="str">
        <f>IF(TelecomData[[#This Row],[CleanedTotalCharges]]&gt;=2500,"High Spend", "Standard Spend")</f>
        <v>High Spend</v>
      </c>
    </row>
    <row r="4339" spans="1:14" x14ac:dyDescent="0.3">
      <c r="A4339" s="1" t="s">
        <v>4363</v>
      </c>
      <c r="B4339" s="2" t="s">
        <v>12</v>
      </c>
      <c r="C4339" s="2" t="s">
        <v>13</v>
      </c>
      <c r="D4339" s="2">
        <v>71</v>
      </c>
      <c r="E4339" s="2" t="s">
        <v>26</v>
      </c>
      <c r="F4339" s="2" t="s">
        <v>15</v>
      </c>
      <c r="G4339" s="7">
        <v>99.65</v>
      </c>
      <c r="H4339" s="7">
        <v>6951.15</v>
      </c>
      <c r="I4339" s="2" t="s">
        <v>15</v>
      </c>
      <c r="J4339" s="2" t="s">
        <v>16</v>
      </c>
      <c r="K4339" s="2" t="s">
        <v>29</v>
      </c>
      <c r="L4339" s="7">
        <v>6951.15</v>
      </c>
      <c r="M4339" s="2" t="str">
        <f>_xlfn.IFS(TelecomData[[#This Row],[TenureMonths]]&lt;=12, "0-1 Year", TelecomData[[#This Row],[TenureMonths]]&lt;=36, "1-3 Years", TelecomData[[#This Row],[TenureMonths]]&gt;36, "3+ Years")</f>
        <v>3+ Years</v>
      </c>
      <c r="N4339" s="2" t="str">
        <f>IF(TelecomData[[#This Row],[CleanedTotalCharges]]&gt;=2500,"High Spend", "Standard Spend")</f>
        <v>High Spend</v>
      </c>
    </row>
    <row r="4340" spans="1:14" x14ac:dyDescent="0.3">
      <c r="A4340" s="1" t="s">
        <v>4364</v>
      </c>
      <c r="B4340" s="2" t="s">
        <v>19</v>
      </c>
      <c r="C4340" s="2" t="s">
        <v>13</v>
      </c>
      <c r="D4340" s="2">
        <v>5</v>
      </c>
      <c r="E4340" s="2" t="s">
        <v>14</v>
      </c>
      <c r="F4340" s="2" t="s">
        <v>16</v>
      </c>
      <c r="G4340" s="7">
        <v>45.4</v>
      </c>
      <c r="H4340" s="7">
        <v>214.75</v>
      </c>
      <c r="I4340" s="2" t="s">
        <v>15</v>
      </c>
      <c r="J4340" s="2" t="s">
        <v>15</v>
      </c>
      <c r="K4340" s="2" t="s">
        <v>29</v>
      </c>
      <c r="L4340" s="7">
        <v>214.75</v>
      </c>
      <c r="M4340" s="2" t="str">
        <f>_xlfn.IFS(TelecomData[[#This Row],[TenureMonths]]&lt;=12, "0-1 Year", TelecomData[[#This Row],[TenureMonths]]&lt;=36, "1-3 Years", TelecomData[[#This Row],[TenureMonths]]&gt;36, "3+ Years")</f>
        <v>0-1 Year</v>
      </c>
      <c r="N4340" s="2" t="str">
        <f>IF(TelecomData[[#This Row],[CleanedTotalCharges]]&gt;=2500,"High Spend", "Standard Spend")</f>
        <v>Standard Spend</v>
      </c>
    </row>
    <row r="4341" spans="1:14" x14ac:dyDescent="0.3">
      <c r="A4341" s="1" t="s">
        <v>4365</v>
      </c>
      <c r="B4341" s="2" t="s">
        <v>19</v>
      </c>
      <c r="C4341" s="2" t="s">
        <v>20</v>
      </c>
      <c r="D4341" s="2">
        <v>38</v>
      </c>
      <c r="E4341" s="2" t="s">
        <v>14</v>
      </c>
      <c r="F4341" s="2" t="s">
        <v>16</v>
      </c>
      <c r="G4341" s="7">
        <v>69</v>
      </c>
      <c r="H4341" s="7">
        <v>2669.45</v>
      </c>
      <c r="I4341" s="2" t="s">
        <v>15</v>
      </c>
      <c r="J4341" s="2" t="s">
        <v>15</v>
      </c>
      <c r="K4341" s="2" t="s">
        <v>29</v>
      </c>
      <c r="L4341" s="7">
        <v>2669.45</v>
      </c>
      <c r="M4341" s="2" t="str">
        <f>_xlfn.IFS(TelecomData[[#This Row],[TenureMonths]]&lt;=12, "0-1 Year", TelecomData[[#This Row],[TenureMonths]]&lt;=36, "1-3 Years", TelecomData[[#This Row],[TenureMonths]]&gt;36, "3+ Years")</f>
        <v>3+ Years</v>
      </c>
      <c r="N4341" s="2" t="str">
        <f>IF(TelecomData[[#This Row],[CleanedTotalCharges]]&gt;=2500,"High Spend", "Standard Spend")</f>
        <v>High Spend</v>
      </c>
    </row>
    <row r="4342" spans="1:14" x14ac:dyDescent="0.3">
      <c r="A4342" s="1" t="s">
        <v>4366</v>
      </c>
      <c r="B4342" s="2" t="s">
        <v>19</v>
      </c>
      <c r="C4342" s="2" t="s">
        <v>13</v>
      </c>
      <c r="D4342" s="2">
        <v>5</v>
      </c>
      <c r="E4342" s="2" t="s">
        <v>14</v>
      </c>
      <c r="F4342" s="2" t="s">
        <v>16</v>
      </c>
      <c r="G4342" s="7">
        <v>48.65</v>
      </c>
      <c r="H4342" s="7">
        <v>235.2</v>
      </c>
      <c r="I4342" s="2" t="s">
        <v>15</v>
      </c>
      <c r="J4342" s="2" t="s">
        <v>16</v>
      </c>
      <c r="K4342" s="2" t="s">
        <v>24</v>
      </c>
      <c r="L4342" s="7">
        <v>235.2</v>
      </c>
      <c r="M4342" s="2" t="str">
        <f>_xlfn.IFS(TelecomData[[#This Row],[TenureMonths]]&lt;=12, "0-1 Year", TelecomData[[#This Row],[TenureMonths]]&lt;=36, "1-3 Years", TelecomData[[#This Row],[TenureMonths]]&gt;36, "3+ Years")</f>
        <v>0-1 Year</v>
      </c>
      <c r="N4342" s="2" t="str">
        <f>IF(TelecomData[[#This Row],[CleanedTotalCharges]]&gt;=2500,"High Spend", "Standard Spend")</f>
        <v>Standard Spend</v>
      </c>
    </row>
    <row r="4343" spans="1:14" x14ac:dyDescent="0.3">
      <c r="A4343" s="1" t="s">
        <v>4367</v>
      </c>
      <c r="B4343" s="2" t="s">
        <v>19</v>
      </c>
      <c r="C4343" s="2" t="s">
        <v>13</v>
      </c>
      <c r="D4343" s="2">
        <v>2</v>
      </c>
      <c r="E4343" s="2" t="s">
        <v>14</v>
      </c>
      <c r="F4343" s="2" t="s">
        <v>15</v>
      </c>
      <c r="G4343" s="7">
        <v>44.15</v>
      </c>
      <c r="H4343" s="7">
        <v>92.65</v>
      </c>
      <c r="I4343" s="2" t="s">
        <v>16</v>
      </c>
      <c r="J4343" s="2" t="s">
        <v>16</v>
      </c>
      <c r="K4343" s="2" t="s">
        <v>17</v>
      </c>
      <c r="L4343" s="7">
        <v>92.65</v>
      </c>
      <c r="M4343" s="2" t="str">
        <f>_xlfn.IFS(TelecomData[[#This Row],[TenureMonths]]&lt;=12, "0-1 Year", TelecomData[[#This Row],[TenureMonths]]&lt;=36, "1-3 Years", TelecomData[[#This Row],[TenureMonths]]&gt;36, "3+ Years")</f>
        <v>0-1 Year</v>
      </c>
      <c r="N4343" s="2" t="str">
        <f>IF(TelecomData[[#This Row],[CleanedTotalCharges]]&gt;=2500,"High Spend", "Standard Spend")</f>
        <v>Standard Spend</v>
      </c>
    </row>
    <row r="4344" spans="1:14" x14ac:dyDescent="0.3">
      <c r="A4344" s="1" t="s">
        <v>4368</v>
      </c>
      <c r="B4344" s="2" t="s">
        <v>12</v>
      </c>
      <c r="C4344" s="2" t="s">
        <v>35</v>
      </c>
      <c r="D4344" s="2">
        <v>52</v>
      </c>
      <c r="E4344" s="2" t="s">
        <v>14</v>
      </c>
      <c r="F4344" s="2" t="s">
        <v>15</v>
      </c>
      <c r="G4344" s="7">
        <v>59.85</v>
      </c>
      <c r="H4344" s="7">
        <v>3103.25</v>
      </c>
      <c r="I4344" s="2" t="s">
        <v>15</v>
      </c>
      <c r="J4344" s="2" t="s">
        <v>15</v>
      </c>
      <c r="K4344" s="2" t="s">
        <v>24</v>
      </c>
      <c r="L4344" s="7">
        <v>3103.25</v>
      </c>
      <c r="M4344" s="2" t="str">
        <f>_xlfn.IFS(TelecomData[[#This Row],[TenureMonths]]&lt;=12, "0-1 Year", TelecomData[[#This Row],[TenureMonths]]&lt;=36, "1-3 Years", TelecomData[[#This Row],[TenureMonths]]&gt;36, "3+ Years")</f>
        <v>3+ Years</v>
      </c>
      <c r="N4344" s="2" t="str">
        <f>IF(TelecomData[[#This Row],[CleanedTotalCharges]]&gt;=2500,"High Spend", "Standard Spend")</f>
        <v>High Spend</v>
      </c>
    </row>
    <row r="4345" spans="1:14" x14ac:dyDescent="0.3">
      <c r="A4345" s="1" t="s">
        <v>4369</v>
      </c>
      <c r="B4345" s="2" t="s">
        <v>12</v>
      </c>
      <c r="C4345" s="2" t="s">
        <v>13</v>
      </c>
      <c r="D4345" s="2">
        <v>8</v>
      </c>
      <c r="E4345" s="2" t="s">
        <v>26</v>
      </c>
      <c r="F4345" s="2" t="s">
        <v>15</v>
      </c>
      <c r="G4345" s="7">
        <v>75.75</v>
      </c>
      <c r="H4345" s="7">
        <v>606.25</v>
      </c>
      <c r="I4345" s="2" t="s">
        <v>16</v>
      </c>
      <c r="J4345" s="2" t="s">
        <v>16</v>
      </c>
      <c r="K4345" s="2" t="s">
        <v>17</v>
      </c>
      <c r="L4345" s="7">
        <v>606.25</v>
      </c>
      <c r="M4345" s="2" t="str">
        <f>_xlfn.IFS(TelecomData[[#This Row],[TenureMonths]]&lt;=12, "0-1 Year", TelecomData[[#This Row],[TenureMonths]]&lt;=36, "1-3 Years", TelecomData[[#This Row],[TenureMonths]]&gt;36, "3+ Years")</f>
        <v>0-1 Year</v>
      </c>
      <c r="N4345" s="2" t="str">
        <f>IF(TelecomData[[#This Row],[CleanedTotalCharges]]&gt;=2500,"High Spend", "Standard Spend")</f>
        <v>Standard Spend</v>
      </c>
    </row>
    <row r="4346" spans="1:14" x14ac:dyDescent="0.3">
      <c r="A4346" s="1" t="s">
        <v>4370</v>
      </c>
      <c r="B4346" s="2" t="s">
        <v>12</v>
      </c>
      <c r="C4346" s="2" t="s">
        <v>35</v>
      </c>
      <c r="D4346" s="2">
        <v>68</v>
      </c>
      <c r="E4346" s="2" t="s">
        <v>14</v>
      </c>
      <c r="F4346" s="2" t="s">
        <v>15</v>
      </c>
      <c r="G4346" s="7">
        <v>80.650000000000006</v>
      </c>
      <c r="H4346" s="7">
        <v>5330.2</v>
      </c>
      <c r="I4346" s="2" t="s">
        <v>15</v>
      </c>
      <c r="J4346" s="2" t="s">
        <v>16</v>
      </c>
      <c r="K4346" s="2" t="s">
        <v>17</v>
      </c>
      <c r="L4346" s="7">
        <v>5330.2</v>
      </c>
      <c r="M4346" s="2" t="str">
        <f>_xlfn.IFS(TelecomData[[#This Row],[TenureMonths]]&lt;=12, "0-1 Year", TelecomData[[#This Row],[TenureMonths]]&lt;=36, "1-3 Years", TelecomData[[#This Row],[TenureMonths]]&gt;36, "3+ Years")</f>
        <v>3+ Years</v>
      </c>
      <c r="N4346" s="2" t="str">
        <f>IF(TelecomData[[#This Row],[CleanedTotalCharges]]&gt;=2500,"High Spend", "Standard Spend")</f>
        <v>High Spend</v>
      </c>
    </row>
    <row r="4347" spans="1:14" x14ac:dyDescent="0.3">
      <c r="A4347" s="1" t="s">
        <v>4371</v>
      </c>
      <c r="B4347" s="2" t="s">
        <v>19</v>
      </c>
      <c r="C4347" s="2" t="s">
        <v>20</v>
      </c>
      <c r="D4347" s="2">
        <v>69</v>
      </c>
      <c r="E4347" s="2" t="s">
        <v>15</v>
      </c>
      <c r="F4347" s="2" t="s">
        <v>36</v>
      </c>
      <c r="G4347" s="7">
        <v>20.55</v>
      </c>
      <c r="H4347" s="7">
        <v>1403.1</v>
      </c>
      <c r="I4347" s="2" t="s">
        <v>15</v>
      </c>
      <c r="J4347" s="2" t="s">
        <v>16</v>
      </c>
      <c r="K4347" s="2" t="s">
        <v>29</v>
      </c>
      <c r="L4347" s="7">
        <v>1403.1</v>
      </c>
      <c r="M4347" s="2" t="str">
        <f>_xlfn.IFS(TelecomData[[#This Row],[TenureMonths]]&lt;=12, "0-1 Year", TelecomData[[#This Row],[TenureMonths]]&lt;=36, "1-3 Years", TelecomData[[#This Row],[TenureMonths]]&gt;36, "3+ Years")</f>
        <v>3+ Years</v>
      </c>
      <c r="N4347" s="2" t="str">
        <f>IF(TelecomData[[#This Row],[CleanedTotalCharges]]&gt;=2500,"High Spend", "Standard Spend")</f>
        <v>Standard Spend</v>
      </c>
    </row>
    <row r="4348" spans="1:14" x14ac:dyDescent="0.3">
      <c r="A4348" s="1" t="s">
        <v>4372</v>
      </c>
      <c r="B4348" s="2" t="s">
        <v>12</v>
      </c>
      <c r="C4348" s="2" t="s">
        <v>13</v>
      </c>
      <c r="D4348" s="2">
        <v>42</v>
      </c>
      <c r="E4348" s="2" t="s">
        <v>14</v>
      </c>
      <c r="F4348" s="2" t="s">
        <v>16</v>
      </c>
      <c r="G4348" s="7">
        <v>66.400000000000006</v>
      </c>
      <c r="H4348" s="7">
        <v>2727.8</v>
      </c>
      <c r="I4348" s="2" t="s">
        <v>15</v>
      </c>
      <c r="J4348" s="2" t="s">
        <v>16</v>
      </c>
      <c r="K4348" s="2" t="s">
        <v>29</v>
      </c>
      <c r="L4348" s="7">
        <v>2727.8</v>
      </c>
      <c r="M4348" s="2" t="str">
        <f>_xlfn.IFS(TelecomData[[#This Row],[TenureMonths]]&lt;=12, "0-1 Year", TelecomData[[#This Row],[TenureMonths]]&lt;=36, "1-3 Years", TelecomData[[#This Row],[TenureMonths]]&gt;36, "3+ Years")</f>
        <v>3+ Years</v>
      </c>
      <c r="N4348" s="2" t="str">
        <f>IF(TelecomData[[#This Row],[CleanedTotalCharges]]&gt;=2500,"High Spend", "Standard Spend")</f>
        <v>High Spend</v>
      </c>
    </row>
    <row r="4349" spans="1:14" x14ac:dyDescent="0.3">
      <c r="A4349" s="1" t="s">
        <v>4373</v>
      </c>
      <c r="B4349" s="2" t="s">
        <v>12</v>
      </c>
      <c r="C4349" s="2" t="s">
        <v>35</v>
      </c>
      <c r="D4349" s="2">
        <v>50</v>
      </c>
      <c r="E4349" s="2" t="s">
        <v>26</v>
      </c>
      <c r="F4349" s="2" t="s">
        <v>16</v>
      </c>
      <c r="G4349" s="7">
        <v>100.2</v>
      </c>
      <c r="H4349" s="7">
        <v>5038.45</v>
      </c>
      <c r="I4349" s="2" t="s">
        <v>15</v>
      </c>
      <c r="J4349" s="2" t="s">
        <v>16</v>
      </c>
      <c r="K4349" s="2" t="s">
        <v>21</v>
      </c>
      <c r="L4349" s="7">
        <v>5038.45</v>
      </c>
      <c r="M4349" s="2" t="str">
        <f>_xlfn.IFS(TelecomData[[#This Row],[TenureMonths]]&lt;=12, "0-1 Year", TelecomData[[#This Row],[TenureMonths]]&lt;=36, "1-3 Years", TelecomData[[#This Row],[TenureMonths]]&gt;36, "3+ Years")</f>
        <v>3+ Years</v>
      </c>
      <c r="N4349" s="2" t="str">
        <f>IF(TelecomData[[#This Row],[CleanedTotalCharges]]&gt;=2500,"High Spend", "Standard Spend")</f>
        <v>High Spend</v>
      </c>
    </row>
    <row r="4350" spans="1:14" x14ac:dyDescent="0.3">
      <c r="A4350" s="1" t="s">
        <v>4374</v>
      </c>
      <c r="B4350" s="2" t="s">
        <v>12</v>
      </c>
      <c r="C4350" s="2" t="s">
        <v>13</v>
      </c>
      <c r="D4350" s="2">
        <v>1</v>
      </c>
      <c r="E4350" s="2" t="s">
        <v>15</v>
      </c>
      <c r="F4350" s="2" t="s">
        <v>36</v>
      </c>
      <c r="G4350" s="7">
        <v>19.100000000000001</v>
      </c>
      <c r="H4350" s="7">
        <v>19.100000000000001</v>
      </c>
      <c r="I4350" s="2" t="s">
        <v>16</v>
      </c>
      <c r="J4350" s="2" t="s">
        <v>16</v>
      </c>
      <c r="K4350" s="2" t="s">
        <v>21</v>
      </c>
      <c r="L4350" s="7">
        <v>19.100000000000001</v>
      </c>
      <c r="M4350" s="2" t="str">
        <f>_xlfn.IFS(TelecomData[[#This Row],[TenureMonths]]&lt;=12, "0-1 Year", TelecomData[[#This Row],[TenureMonths]]&lt;=36, "1-3 Years", TelecomData[[#This Row],[TenureMonths]]&gt;36, "3+ Years")</f>
        <v>0-1 Year</v>
      </c>
      <c r="N4350" s="2" t="str">
        <f>IF(TelecomData[[#This Row],[CleanedTotalCharges]]&gt;=2500,"High Spend", "Standard Spend")</f>
        <v>Standard Spend</v>
      </c>
    </row>
    <row r="4351" spans="1:14" x14ac:dyDescent="0.3">
      <c r="A4351" s="1" t="s">
        <v>4375</v>
      </c>
      <c r="B4351" s="2" t="s">
        <v>19</v>
      </c>
      <c r="C4351" s="2" t="s">
        <v>13</v>
      </c>
      <c r="D4351" s="2">
        <v>1</v>
      </c>
      <c r="E4351" s="2" t="s">
        <v>26</v>
      </c>
      <c r="F4351" s="2" t="s">
        <v>15</v>
      </c>
      <c r="G4351" s="7">
        <v>80.3</v>
      </c>
      <c r="H4351" s="7">
        <v>80.3</v>
      </c>
      <c r="I4351" s="2" t="s">
        <v>16</v>
      </c>
      <c r="J4351" s="2" t="s">
        <v>16</v>
      </c>
      <c r="K4351" s="2" t="s">
        <v>17</v>
      </c>
      <c r="L4351" s="7">
        <v>80.3</v>
      </c>
      <c r="M4351" s="2" t="str">
        <f>_xlfn.IFS(TelecomData[[#This Row],[TenureMonths]]&lt;=12, "0-1 Year", TelecomData[[#This Row],[TenureMonths]]&lt;=36, "1-3 Years", TelecomData[[#This Row],[TenureMonths]]&gt;36, "3+ Years")</f>
        <v>0-1 Year</v>
      </c>
      <c r="N4351" s="2" t="str">
        <f>IF(TelecomData[[#This Row],[CleanedTotalCharges]]&gt;=2500,"High Spend", "Standard Spend")</f>
        <v>Standard Spend</v>
      </c>
    </row>
    <row r="4352" spans="1:14" x14ac:dyDescent="0.3">
      <c r="A4352" s="1" t="s">
        <v>4376</v>
      </c>
      <c r="B4352" s="2" t="s">
        <v>19</v>
      </c>
      <c r="C4352" s="2" t="s">
        <v>13</v>
      </c>
      <c r="D4352" s="2">
        <v>33</v>
      </c>
      <c r="E4352" s="2" t="s">
        <v>14</v>
      </c>
      <c r="F4352" s="2" t="s">
        <v>15</v>
      </c>
      <c r="G4352" s="7">
        <v>44.55</v>
      </c>
      <c r="H4352" s="7">
        <v>1462.6</v>
      </c>
      <c r="I4352" s="2" t="s">
        <v>15</v>
      </c>
      <c r="J4352" s="2" t="s">
        <v>16</v>
      </c>
      <c r="K4352" s="2" t="s">
        <v>29</v>
      </c>
      <c r="L4352" s="7">
        <v>1462.6</v>
      </c>
      <c r="M4352" s="2" t="str">
        <f>_xlfn.IFS(TelecomData[[#This Row],[TenureMonths]]&lt;=12, "0-1 Year", TelecomData[[#This Row],[TenureMonths]]&lt;=36, "1-3 Years", TelecomData[[#This Row],[TenureMonths]]&gt;36, "3+ Years")</f>
        <v>1-3 Years</v>
      </c>
      <c r="N4352" s="2" t="str">
        <f>IF(TelecomData[[#This Row],[CleanedTotalCharges]]&gt;=2500,"High Spend", "Standard Spend")</f>
        <v>Standard Spend</v>
      </c>
    </row>
    <row r="4353" spans="1:14" x14ac:dyDescent="0.3">
      <c r="A4353" s="1" t="s">
        <v>4377</v>
      </c>
      <c r="B4353" s="2" t="s">
        <v>12</v>
      </c>
      <c r="C4353" s="2" t="s">
        <v>13</v>
      </c>
      <c r="D4353" s="2">
        <v>7</v>
      </c>
      <c r="E4353" s="2" t="s">
        <v>15</v>
      </c>
      <c r="F4353" s="2" t="s">
        <v>36</v>
      </c>
      <c r="G4353" s="7">
        <v>20.350000000000001</v>
      </c>
      <c r="H4353" s="7">
        <v>150.6</v>
      </c>
      <c r="I4353" s="2" t="s">
        <v>15</v>
      </c>
      <c r="J4353" s="2" t="s">
        <v>15</v>
      </c>
      <c r="K4353" s="2" t="s">
        <v>21</v>
      </c>
      <c r="L4353" s="7">
        <v>150.6</v>
      </c>
      <c r="M4353" s="2" t="str">
        <f>_xlfn.IFS(TelecomData[[#This Row],[TenureMonths]]&lt;=12, "0-1 Year", TelecomData[[#This Row],[TenureMonths]]&lt;=36, "1-3 Years", TelecomData[[#This Row],[TenureMonths]]&gt;36, "3+ Years")</f>
        <v>0-1 Year</v>
      </c>
      <c r="N4353" s="2" t="str">
        <f>IF(TelecomData[[#This Row],[CleanedTotalCharges]]&gt;=2500,"High Spend", "Standard Spend")</f>
        <v>Standard Spend</v>
      </c>
    </row>
    <row r="4354" spans="1:14" x14ac:dyDescent="0.3">
      <c r="A4354" s="1" t="s">
        <v>4378</v>
      </c>
      <c r="B4354" s="2" t="s">
        <v>19</v>
      </c>
      <c r="C4354" s="2" t="s">
        <v>13</v>
      </c>
      <c r="D4354" s="2">
        <v>64</v>
      </c>
      <c r="E4354" s="2" t="s">
        <v>26</v>
      </c>
      <c r="F4354" s="2" t="s">
        <v>15</v>
      </c>
      <c r="G4354" s="7">
        <v>91.8</v>
      </c>
      <c r="H4354" s="7">
        <v>5960.5</v>
      </c>
      <c r="I4354" s="2" t="s">
        <v>15</v>
      </c>
      <c r="J4354" s="2" t="s">
        <v>16</v>
      </c>
      <c r="K4354" s="2" t="s">
        <v>17</v>
      </c>
      <c r="L4354" s="7">
        <v>5960.5</v>
      </c>
      <c r="M4354" s="2" t="str">
        <f>_xlfn.IFS(TelecomData[[#This Row],[TenureMonths]]&lt;=12, "0-1 Year", TelecomData[[#This Row],[TenureMonths]]&lt;=36, "1-3 Years", TelecomData[[#This Row],[TenureMonths]]&gt;36, "3+ Years")</f>
        <v>3+ Years</v>
      </c>
      <c r="N4354" s="2" t="str">
        <f>IF(TelecomData[[#This Row],[CleanedTotalCharges]]&gt;=2500,"High Spend", "Standard Spend")</f>
        <v>High Spend</v>
      </c>
    </row>
    <row r="4355" spans="1:14" x14ac:dyDescent="0.3">
      <c r="A4355" s="1" t="s">
        <v>4379</v>
      </c>
      <c r="B4355" s="2" t="s">
        <v>12</v>
      </c>
      <c r="C4355" s="2" t="s">
        <v>13</v>
      </c>
      <c r="D4355" s="2">
        <v>1</v>
      </c>
      <c r="E4355" s="2" t="s">
        <v>26</v>
      </c>
      <c r="F4355" s="2" t="s">
        <v>15</v>
      </c>
      <c r="G4355" s="7">
        <v>74.900000000000006</v>
      </c>
      <c r="H4355" s="7">
        <v>74.900000000000006</v>
      </c>
      <c r="I4355" s="2" t="s">
        <v>16</v>
      </c>
      <c r="J4355" s="2" t="s">
        <v>16</v>
      </c>
      <c r="K4355" s="2" t="s">
        <v>17</v>
      </c>
      <c r="L4355" s="7">
        <v>74.900000000000006</v>
      </c>
      <c r="M4355" s="2" t="str">
        <f>_xlfn.IFS(TelecomData[[#This Row],[TenureMonths]]&lt;=12, "0-1 Year", TelecomData[[#This Row],[TenureMonths]]&lt;=36, "1-3 Years", TelecomData[[#This Row],[TenureMonths]]&gt;36, "3+ Years")</f>
        <v>0-1 Year</v>
      </c>
      <c r="N4355" s="2" t="str">
        <f>IF(TelecomData[[#This Row],[CleanedTotalCharges]]&gt;=2500,"High Spend", "Standard Spend")</f>
        <v>Standard Spend</v>
      </c>
    </row>
    <row r="4356" spans="1:14" x14ac:dyDescent="0.3">
      <c r="A4356" s="1" t="s">
        <v>4380</v>
      </c>
      <c r="B4356" s="2" t="s">
        <v>19</v>
      </c>
      <c r="C4356" s="2" t="s">
        <v>35</v>
      </c>
      <c r="D4356" s="2">
        <v>59</v>
      </c>
      <c r="E4356" s="2" t="s">
        <v>15</v>
      </c>
      <c r="F4356" s="2" t="s">
        <v>36</v>
      </c>
      <c r="G4356" s="7">
        <v>20.2</v>
      </c>
      <c r="H4356" s="7">
        <v>1192.3</v>
      </c>
      <c r="I4356" s="2" t="s">
        <v>15</v>
      </c>
      <c r="J4356" s="2" t="s">
        <v>16</v>
      </c>
      <c r="K4356" s="2" t="s">
        <v>24</v>
      </c>
      <c r="L4356" s="7">
        <v>1192.3</v>
      </c>
      <c r="M4356" s="2" t="str">
        <f>_xlfn.IFS(TelecomData[[#This Row],[TenureMonths]]&lt;=12, "0-1 Year", TelecomData[[#This Row],[TenureMonths]]&lt;=36, "1-3 Years", TelecomData[[#This Row],[TenureMonths]]&gt;36, "3+ Years")</f>
        <v>3+ Years</v>
      </c>
      <c r="N4356" s="2" t="str">
        <f>IF(TelecomData[[#This Row],[CleanedTotalCharges]]&gt;=2500,"High Spend", "Standard Spend")</f>
        <v>Standard Spend</v>
      </c>
    </row>
    <row r="4357" spans="1:14" x14ac:dyDescent="0.3">
      <c r="A4357" s="1" t="s">
        <v>4381</v>
      </c>
      <c r="B4357" s="2" t="s">
        <v>12</v>
      </c>
      <c r="C4357" s="2" t="s">
        <v>13</v>
      </c>
      <c r="D4357" s="2">
        <v>6</v>
      </c>
      <c r="E4357" s="2" t="s">
        <v>14</v>
      </c>
      <c r="F4357" s="2" t="s">
        <v>15</v>
      </c>
      <c r="G4357" s="7">
        <v>50.35</v>
      </c>
      <c r="H4357" s="7">
        <v>314.55</v>
      </c>
      <c r="I4357" s="2" t="s">
        <v>15</v>
      </c>
      <c r="J4357" s="2" t="s">
        <v>15</v>
      </c>
      <c r="K4357" s="2" t="s">
        <v>17</v>
      </c>
      <c r="L4357" s="7">
        <v>314.55</v>
      </c>
      <c r="M4357" s="2" t="str">
        <f>_xlfn.IFS(TelecomData[[#This Row],[TenureMonths]]&lt;=12, "0-1 Year", TelecomData[[#This Row],[TenureMonths]]&lt;=36, "1-3 Years", TelecomData[[#This Row],[TenureMonths]]&gt;36, "3+ Years")</f>
        <v>0-1 Year</v>
      </c>
      <c r="N4357" s="2" t="str">
        <f>IF(TelecomData[[#This Row],[CleanedTotalCharges]]&gt;=2500,"High Spend", "Standard Spend")</f>
        <v>Standard Spend</v>
      </c>
    </row>
    <row r="4358" spans="1:14" x14ac:dyDescent="0.3">
      <c r="A4358" s="1" t="s">
        <v>4382</v>
      </c>
      <c r="B4358" s="2" t="s">
        <v>12</v>
      </c>
      <c r="C4358" s="2" t="s">
        <v>13</v>
      </c>
      <c r="D4358" s="2">
        <v>3</v>
      </c>
      <c r="E4358" s="2" t="s">
        <v>15</v>
      </c>
      <c r="F4358" s="2" t="s">
        <v>36</v>
      </c>
      <c r="G4358" s="7">
        <v>18.8</v>
      </c>
      <c r="H4358" s="7">
        <v>56</v>
      </c>
      <c r="I4358" s="2" t="s">
        <v>15</v>
      </c>
      <c r="J4358" s="2" t="s">
        <v>15</v>
      </c>
      <c r="K4358" s="2" t="s">
        <v>21</v>
      </c>
      <c r="L4358" s="7">
        <v>56</v>
      </c>
      <c r="M4358" s="2" t="str">
        <f>_xlfn.IFS(TelecomData[[#This Row],[TenureMonths]]&lt;=12, "0-1 Year", TelecomData[[#This Row],[TenureMonths]]&lt;=36, "1-3 Years", TelecomData[[#This Row],[TenureMonths]]&gt;36, "3+ Years")</f>
        <v>0-1 Year</v>
      </c>
      <c r="N4358" s="2" t="str">
        <f>IF(TelecomData[[#This Row],[CleanedTotalCharges]]&gt;=2500,"High Spend", "Standard Spend")</f>
        <v>Standard Spend</v>
      </c>
    </row>
    <row r="4359" spans="1:14" x14ac:dyDescent="0.3">
      <c r="A4359" s="1" t="s">
        <v>4383</v>
      </c>
      <c r="B4359" s="2" t="s">
        <v>12</v>
      </c>
      <c r="C4359" s="2" t="s">
        <v>13</v>
      </c>
      <c r="D4359" s="2">
        <v>15</v>
      </c>
      <c r="E4359" s="2" t="s">
        <v>15</v>
      </c>
      <c r="F4359" s="2" t="s">
        <v>36</v>
      </c>
      <c r="G4359" s="7">
        <v>20.45</v>
      </c>
      <c r="H4359" s="7">
        <v>330.8</v>
      </c>
      <c r="I4359" s="2" t="s">
        <v>15</v>
      </c>
      <c r="J4359" s="2" t="s">
        <v>15</v>
      </c>
      <c r="K4359" s="2" t="s">
        <v>29</v>
      </c>
      <c r="L4359" s="7">
        <v>330.8</v>
      </c>
      <c r="M4359" s="2" t="str">
        <f>_xlfn.IFS(TelecomData[[#This Row],[TenureMonths]]&lt;=12, "0-1 Year", TelecomData[[#This Row],[TenureMonths]]&lt;=36, "1-3 Years", TelecomData[[#This Row],[TenureMonths]]&gt;36, "3+ Years")</f>
        <v>1-3 Years</v>
      </c>
      <c r="N4359" s="2" t="str">
        <f>IF(TelecomData[[#This Row],[CleanedTotalCharges]]&gt;=2500,"High Spend", "Standard Spend")</f>
        <v>Standard Spend</v>
      </c>
    </row>
    <row r="4360" spans="1:14" x14ac:dyDescent="0.3">
      <c r="A4360" s="1" t="s">
        <v>4384</v>
      </c>
      <c r="B4360" s="2" t="s">
        <v>19</v>
      </c>
      <c r="C4360" s="2" t="s">
        <v>20</v>
      </c>
      <c r="D4360" s="2">
        <v>13</v>
      </c>
      <c r="E4360" s="2" t="s">
        <v>14</v>
      </c>
      <c r="F4360" s="2" t="s">
        <v>15</v>
      </c>
      <c r="G4360" s="7">
        <v>64.75</v>
      </c>
      <c r="H4360" s="7">
        <v>877.35</v>
      </c>
      <c r="I4360" s="2" t="s">
        <v>15</v>
      </c>
      <c r="J4360" s="2" t="s">
        <v>16</v>
      </c>
      <c r="K4360" s="2" t="s">
        <v>17</v>
      </c>
      <c r="L4360" s="7">
        <v>877.35</v>
      </c>
      <c r="M4360" s="2" t="str">
        <f>_xlfn.IFS(TelecomData[[#This Row],[TenureMonths]]&lt;=12, "0-1 Year", TelecomData[[#This Row],[TenureMonths]]&lt;=36, "1-3 Years", TelecomData[[#This Row],[TenureMonths]]&gt;36, "3+ Years")</f>
        <v>1-3 Years</v>
      </c>
      <c r="N4360" s="2" t="str">
        <f>IF(TelecomData[[#This Row],[CleanedTotalCharges]]&gt;=2500,"High Spend", "Standard Spend")</f>
        <v>Standard Spend</v>
      </c>
    </row>
    <row r="4361" spans="1:14" x14ac:dyDescent="0.3">
      <c r="A4361" s="1" t="s">
        <v>4385</v>
      </c>
      <c r="B4361" s="2" t="s">
        <v>12</v>
      </c>
      <c r="C4361" s="2" t="s">
        <v>13</v>
      </c>
      <c r="D4361" s="2">
        <v>23</v>
      </c>
      <c r="E4361" s="2" t="s">
        <v>26</v>
      </c>
      <c r="F4361" s="2" t="s">
        <v>15</v>
      </c>
      <c r="G4361" s="7">
        <v>98.7</v>
      </c>
      <c r="H4361" s="7">
        <v>2249.1</v>
      </c>
      <c r="I4361" s="2" t="s">
        <v>15</v>
      </c>
      <c r="J4361" s="2" t="s">
        <v>16</v>
      </c>
      <c r="K4361" s="2" t="s">
        <v>29</v>
      </c>
      <c r="L4361" s="7">
        <v>2249.1</v>
      </c>
      <c r="M4361" s="2" t="str">
        <f>_xlfn.IFS(TelecomData[[#This Row],[TenureMonths]]&lt;=12, "0-1 Year", TelecomData[[#This Row],[TenureMonths]]&lt;=36, "1-3 Years", TelecomData[[#This Row],[TenureMonths]]&gt;36, "3+ Years")</f>
        <v>1-3 Years</v>
      </c>
      <c r="N4361" s="2" t="str">
        <f>IF(TelecomData[[#This Row],[CleanedTotalCharges]]&gt;=2500,"High Spend", "Standard Spend")</f>
        <v>Standard Spend</v>
      </c>
    </row>
    <row r="4362" spans="1:14" x14ac:dyDescent="0.3">
      <c r="A4362" s="1" t="s">
        <v>4386</v>
      </c>
      <c r="B4362" s="2" t="s">
        <v>19</v>
      </c>
      <c r="C4362" s="2" t="s">
        <v>13</v>
      </c>
      <c r="D4362" s="2">
        <v>31</v>
      </c>
      <c r="E4362" s="2" t="s">
        <v>26</v>
      </c>
      <c r="F4362" s="2" t="s">
        <v>15</v>
      </c>
      <c r="G4362" s="7">
        <v>89.45</v>
      </c>
      <c r="H4362" s="7">
        <v>2807.65</v>
      </c>
      <c r="I4362" s="2" t="s">
        <v>15</v>
      </c>
      <c r="J4362" s="2" t="s">
        <v>15</v>
      </c>
      <c r="K4362" s="2" t="s">
        <v>17</v>
      </c>
      <c r="L4362" s="7">
        <v>2807.65</v>
      </c>
      <c r="M4362" s="2" t="str">
        <f>_xlfn.IFS(TelecomData[[#This Row],[TenureMonths]]&lt;=12, "0-1 Year", TelecomData[[#This Row],[TenureMonths]]&lt;=36, "1-3 Years", TelecomData[[#This Row],[TenureMonths]]&gt;36, "3+ Years")</f>
        <v>1-3 Years</v>
      </c>
      <c r="N4362" s="2" t="str">
        <f>IF(TelecomData[[#This Row],[CleanedTotalCharges]]&gt;=2500,"High Spend", "Standard Spend")</f>
        <v>High Spend</v>
      </c>
    </row>
    <row r="4363" spans="1:14" x14ac:dyDescent="0.3">
      <c r="A4363" s="1" t="s">
        <v>4387</v>
      </c>
      <c r="B4363" s="2" t="s">
        <v>19</v>
      </c>
      <c r="C4363" s="2" t="s">
        <v>20</v>
      </c>
      <c r="D4363" s="2">
        <v>29</v>
      </c>
      <c r="E4363" s="2" t="s">
        <v>14</v>
      </c>
      <c r="F4363" s="2" t="s">
        <v>16</v>
      </c>
      <c r="G4363" s="7">
        <v>58.75</v>
      </c>
      <c r="H4363" s="7">
        <v>1696.2</v>
      </c>
      <c r="I4363" s="2" t="s">
        <v>15</v>
      </c>
      <c r="J4363" s="2" t="s">
        <v>16</v>
      </c>
      <c r="K4363" s="2" t="s">
        <v>17</v>
      </c>
      <c r="L4363" s="7">
        <v>1696.2</v>
      </c>
      <c r="M4363" s="2" t="str">
        <f>_xlfn.IFS(TelecomData[[#This Row],[TenureMonths]]&lt;=12, "0-1 Year", TelecomData[[#This Row],[TenureMonths]]&lt;=36, "1-3 Years", TelecomData[[#This Row],[TenureMonths]]&gt;36, "3+ Years")</f>
        <v>1-3 Years</v>
      </c>
      <c r="N4363" s="2" t="str">
        <f>IF(TelecomData[[#This Row],[CleanedTotalCharges]]&gt;=2500,"High Spend", "Standard Spend")</f>
        <v>Standard Spend</v>
      </c>
    </row>
    <row r="4364" spans="1:14" x14ac:dyDescent="0.3">
      <c r="A4364" s="1" t="s">
        <v>4388</v>
      </c>
      <c r="B4364" s="2" t="s">
        <v>12</v>
      </c>
      <c r="C4364" s="2" t="s">
        <v>20</v>
      </c>
      <c r="D4364" s="2">
        <v>49</v>
      </c>
      <c r="E4364" s="2" t="s">
        <v>15</v>
      </c>
      <c r="F4364" s="2" t="s">
        <v>36</v>
      </c>
      <c r="G4364" s="7">
        <v>20.7</v>
      </c>
      <c r="H4364" s="7">
        <v>1032.05</v>
      </c>
      <c r="I4364" s="2" t="s">
        <v>15</v>
      </c>
      <c r="J4364" s="2" t="s">
        <v>15</v>
      </c>
      <c r="K4364" s="2" t="s">
        <v>29</v>
      </c>
      <c r="L4364" s="7">
        <v>1032.05</v>
      </c>
      <c r="M4364" s="2" t="str">
        <f>_xlfn.IFS(TelecomData[[#This Row],[TenureMonths]]&lt;=12, "0-1 Year", TelecomData[[#This Row],[TenureMonths]]&lt;=36, "1-3 Years", TelecomData[[#This Row],[TenureMonths]]&gt;36, "3+ Years")</f>
        <v>3+ Years</v>
      </c>
      <c r="N4364" s="2" t="str">
        <f>IF(TelecomData[[#This Row],[CleanedTotalCharges]]&gt;=2500,"High Spend", "Standard Spend")</f>
        <v>Standard Spend</v>
      </c>
    </row>
    <row r="4365" spans="1:14" x14ac:dyDescent="0.3">
      <c r="A4365" s="1" t="s">
        <v>4389</v>
      </c>
      <c r="B4365" s="2" t="s">
        <v>12</v>
      </c>
      <c r="C4365" s="2" t="s">
        <v>13</v>
      </c>
      <c r="D4365" s="2">
        <v>56</v>
      </c>
      <c r="E4365" s="2" t="s">
        <v>26</v>
      </c>
      <c r="F4365" s="2" t="s">
        <v>15</v>
      </c>
      <c r="G4365" s="7">
        <v>85.6</v>
      </c>
      <c r="H4365" s="7">
        <v>4902.8</v>
      </c>
      <c r="I4365" s="2" t="s">
        <v>15</v>
      </c>
      <c r="J4365" s="2" t="s">
        <v>16</v>
      </c>
      <c r="K4365" s="2" t="s">
        <v>24</v>
      </c>
      <c r="L4365" s="7">
        <v>4902.8</v>
      </c>
      <c r="M4365" s="2" t="str">
        <f>_xlfn.IFS(TelecomData[[#This Row],[TenureMonths]]&lt;=12, "0-1 Year", TelecomData[[#This Row],[TenureMonths]]&lt;=36, "1-3 Years", TelecomData[[#This Row],[TenureMonths]]&gt;36, "3+ Years")</f>
        <v>3+ Years</v>
      </c>
      <c r="N4365" s="2" t="str">
        <f>IF(TelecomData[[#This Row],[CleanedTotalCharges]]&gt;=2500,"High Spend", "Standard Spend")</f>
        <v>High Spend</v>
      </c>
    </row>
    <row r="4366" spans="1:14" x14ac:dyDescent="0.3">
      <c r="A4366" s="1" t="s">
        <v>4390</v>
      </c>
      <c r="B4366" s="2" t="s">
        <v>12</v>
      </c>
      <c r="C4366" s="2" t="s">
        <v>35</v>
      </c>
      <c r="D4366" s="2">
        <v>63</v>
      </c>
      <c r="E4366" s="2" t="s">
        <v>14</v>
      </c>
      <c r="F4366" s="2" t="s">
        <v>16</v>
      </c>
      <c r="G4366" s="7">
        <v>80.3</v>
      </c>
      <c r="H4366" s="7">
        <v>4995.3500000000004</v>
      </c>
      <c r="I4366" s="2" t="s">
        <v>15</v>
      </c>
      <c r="J4366" s="2" t="s">
        <v>16</v>
      </c>
      <c r="K4366" s="2" t="s">
        <v>29</v>
      </c>
      <c r="L4366" s="7">
        <v>4995.3500000000004</v>
      </c>
      <c r="M4366" s="2" t="str">
        <f>_xlfn.IFS(TelecomData[[#This Row],[TenureMonths]]&lt;=12, "0-1 Year", TelecomData[[#This Row],[TenureMonths]]&lt;=36, "1-3 Years", TelecomData[[#This Row],[TenureMonths]]&gt;36, "3+ Years")</f>
        <v>3+ Years</v>
      </c>
      <c r="N4366" s="2" t="str">
        <f>IF(TelecomData[[#This Row],[CleanedTotalCharges]]&gt;=2500,"High Spend", "Standard Spend")</f>
        <v>High Spend</v>
      </c>
    </row>
    <row r="4367" spans="1:14" x14ac:dyDescent="0.3">
      <c r="A4367" s="1" t="s">
        <v>4391</v>
      </c>
      <c r="B4367" s="2" t="s">
        <v>19</v>
      </c>
      <c r="C4367" s="2" t="s">
        <v>35</v>
      </c>
      <c r="D4367" s="2">
        <v>63</v>
      </c>
      <c r="E4367" s="2" t="s">
        <v>14</v>
      </c>
      <c r="F4367" s="2" t="s">
        <v>16</v>
      </c>
      <c r="G4367" s="7">
        <v>79.8</v>
      </c>
      <c r="H4367" s="7">
        <v>5034.05</v>
      </c>
      <c r="I4367" s="2" t="s">
        <v>15</v>
      </c>
      <c r="J4367" s="2" t="s">
        <v>15</v>
      </c>
      <c r="K4367" s="2" t="s">
        <v>29</v>
      </c>
      <c r="L4367" s="7">
        <v>5034.05</v>
      </c>
      <c r="M4367" s="2" t="str">
        <f>_xlfn.IFS(TelecomData[[#This Row],[TenureMonths]]&lt;=12, "0-1 Year", TelecomData[[#This Row],[TenureMonths]]&lt;=36, "1-3 Years", TelecomData[[#This Row],[TenureMonths]]&gt;36, "3+ Years")</f>
        <v>3+ Years</v>
      </c>
      <c r="N4367" s="2" t="str">
        <f>IF(TelecomData[[#This Row],[CleanedTotalCharges]]&gt;=2500,"High Spend", "Standard Spend")</f>
        <v>High Spend</v>
      </c>
    </row>
    <row r="4368" spans="1:14" x14ac:dyDescent="0.3">
      <c r="A4368" s="1" t="s">
        <v>4392</v>
      </c>
      <c r="B4368" s="2" t="s">
        <v>19</v>
      </c>
      <c r="C4368" s="2" t="s">
        <v>13</v>
      </c>
      <c r="D4368" s="2">
        <v>24</v>
      </c>
      <c r="E4368" s="2" t="s">
        <v>26</v>
      </c>
      <c r="F4368" s="2" t="s">
        <v>15</v>
      </c>
      <c r="G4368" s="7">
        <v>79.849999999999994</v>
      </c>
      <c r="H4368" s="7">
        <v>1857.75</v>
      </c>
      <c r="I4368" s="2" t="s">
        <v>15</v>
      </c>
      <c r="J4368" s="2" t="s">
        <v>16</v>
      </c>
      <c r="K4368" s="2" t="s">
        <v>17</v>
      </c>
      <c r="L4368" s="7">
        <v>1857.75</v>
      </c>
      <c r="M4368" s="2" t="str">
        <f>_xlfn.IFS(TelecomData[[#This Row],[TenureMonths]]&lt;=12, "0-1 Year", TelecomData[[#This Row],[TenureMonths]]&lt;=36, "1-3 Years", TelecomData[[#This Row],[TenureMonths]]&gt;36, "3+ Years")</f>
        <v>1-3 Years</v>
      </c>
      <c r="N4368" s="2" t="str">
        <f>IF(TelecomData[[#This Row],[CleanedTotalCharges]]&gt;=2500,"High Spend", "Standard Spend")</f>
        <v>Standard Spend</v>
      </c>
    </row>
    <row r="4369" spans="1:14" x14ac:dyDescent="0.3">
      <c r="A4369" s="1" t="s">
        <v>4393</v>
      </c>
      <c r="B4369" s="2" t="s">
        <v>19</v>
      </c>
      <c r="C4369" s="2" t="s">
        <v>20</v>
      </c>
      <c r="D4369" s="2">
        <v>36</v>
      </c>
      <c r="E4369" s="2" t="s">
        <v>14</v>
      </c>
      <c r="F4369" s="2" t="s">
        <v>16</v>
      </c>
      <c r="G4369" s="7">
        <v>54.1</v>
      </c>
      <c r="H4369" s="7">
        <v>1992.85</v>
      </c>
      <c r="I4369" s="2" t="s">
        <v>15</v>
      </c>
      <c r="J4369" s="2" t="s">
        <v>15</v>
      </c>
      <c r="K4369" s="2" t="s">
        <v>29</v>
      </c>
      <c r="L4369" s="7">
        <v>1992.85</v>
      </c>
      <c r="M4369" s="2" t="str">
        <f>_xlfn.IFS(TelecomData[[#This Row],[TenureMonths]]&lt;=12, "0-1 Year", TelecomData[[#This Row],[TenureMonths]]&lt;=36, "1-3 Years", TelecomData[[#This Row],[TenureMonths]]&gt;36, "3+ Years")</f>
        <v>1-3 Years</v>
      </c>
      <c r="N4369" s="2" t="str">
        <f>IF(TelecomData[[#This Row],[CleanedTotalCharges]]&gt;=2500,"High Spend", "Standard Spend")</f>
        <v>Standard Spend</v>
      </c>
    </row>
    <row r="4370" spans="1:14" x14ac:dyDescent="0.3">
      <c r="A4370" s="1" t="s">
        <v>4394</v>
      </c>
      <c r="B4370" s="2" t="s">
        <v>12</v>
      </c>
      <c r="C4370" s="2" t="s">
        <v>13</v>
      </c>
      <c r="D4370" s="2">
        <v>9</v>
      </c>
      <c r="E4370" s="2" t="s">
        <v>26</v>
      </c>
      <c r="F4370" s="2" t="s">
        <v>15</v>
      </c>
      <c r="G4370" s="7">
        <v>80.849999999999994</v>
      </c>
      <c r="H4370" s="7">
        <v>751.65</v>
      </c>
      <c r="I4370" s="2" t="s">
        <v>16</v>
      </c>
      <c r="J4370" s="2" t="s">
        <v>16</v>
      </c>
      <c r="K4370" s="2" t="s">
        <v>17</v>
      </c>
      <c r="L4370" s="7">
        <v>751.65</v>
      </c>
      <c r="M4370" s="2" t="str">
        <f>_xlfn.IFS(TelecomData[[#This Row],[TenureMonths]]&lt;=12, "0-1 Year", TelecomData[[#This Row],[TenureMonths]]&lt;=36, "1-3 Years", TelecomData[[#This Row],[TenureMonths]]&gt;36, "3+ Years")</f>
        <v>0-1 Year</v>
      </c>
      <c r="N4370" s="2" t="str">
        <f>IF(TelecomData[[#This Row],[CleanedTotalCharges]]&gt;=2500,"High Spend", "Standard Spend")</f>
        <v>Standard Spend</v>
      </c>
    </row>
    <row r="4371" spans="1:14" x14ac:dyDescent="0.3">
      <c r="A4371" s="1" t="s">
        <v>4395</v>
      </c>
      <c r="B4371" s="2" t="s">
        <v>19</v>
      </c>
      <c r="C4371" s="2" t="s">
        <v>13</v>
      </c>
      <c r="D4371" s="2">
        <v>3</v>
      </c>
      <c r="E4371" s="2" t="s">
        <v>14</v>
      </c>
      <c r="F4371" s="2" t="s">
        <v>15</v>
      </c>
      <c r="G4371" s="7">
        <v>24.75</v>
      </c>
      <c r="H4371" s="7">
        <v>66.95</v>
      </c>
      <c r="I4371" s="2" t="s">
        <v>16</v>
      </c>
      <c r="J4371" s="2" t="s">
        <v>15</v>
      </c>
      <c r="K4371" s="2" t="s">
        <v>17</v>
      </c>
      <c r="L4371" s="7">
        <v>66.95</v>
      </c>
      <c r="M4371" s="2" t="str">
        <f>_xlfn.IFS(TelecomData[[#This Row],[TenureMonths]]&lt;=12, "0-1 Year", TelecomData[[#This Row],[TenureMonths]]&lt;=36, "1-3 Years", TelecomData[[#This Row],[TenureMonths]]&gt;36, "3+ Years")</f>
        <v>0-1 Year</v>
      </c>
      <c r="N4371" s="2" t="str">
        <f>IF(TelecomData[[#This Row],[CleanedTotalCharges]]&gt;=2500,"High Spend", "Standard Spend")</f>
        <v>Standard Spend</v>
      </c>
    </row>
    <row r="4372" spans="1:14" x14ac:dyDescent="0.3">
      <c r="A4372" s="1" t="s">
        <v>4396</v>
      </c>
      <c r="B4372" s="2" t="s">
        <v>12</v>
      </c>
      <c r="C4372" s="2" t="s">
        <v>20</v>
      </c>
      <c r="D4372" s="2">
        <v>21</v>
      </c>
      <c r="E4372" s="2" t="s">
        <v>14</v>
      </c>
      <c r="F4372" s="2" t="s">
        <v>16</v>
      </c>
      <c r="G4372" s="7">
        <v>80.900000000000006</v>
      </c>
      <c r="H4372" s="7">
        <v>1714.95</v>
      </c>
      <c r="I4372" s="2" t="s">
        <v>15</v>
      </c>
      <c r="J4372" s="2" t="s">
        <v>15</v>
      </c>
      <c r="K4372" s="2" t="s">
        <v>21</v>
      </c>
      <c r="L4372" s="7">
        <v>1714.95</v>
      </c>
      <c r="M4372" s="2" t="str">
        <f>_xlfn.IFS(TelecomData[[#This Row],[TenureMonths]]&lt;=12, "0-1 Year", TelecomData[[#This Row],[TenureMonths]]&lt;=36, "1-3 Years", TelecomData[[#This Row],[TenureMonths]]&gt;36, "3+ Years")</f>
        <v>1-3 Years</v>
      </c>
      <c r="N4372" s="2" t="str">
        <f>IF(TelecomData[[#This Row],[CleanedTotalCharges]]&gt;=2500,"High Spend", "Standard Spend")</f>
        <v>Standard Spend</v>
      </c>
    </row>
    <row r="4373" spans="1:14" x14ac:dyDescent="0.3">
      <c r="A4373" s="1" t="s">
        <v>4397</v>
      </c>
      <c r="B4373" s="2" t="s">
        <v>19</v>
      </c>
      <c r="C4373" s="2" t="s">
        <v>20</v>
      </c>
      <c r="D4373" s="2">
        <v>13</v>
      </c>
      <c r="E4373" s="2" t="s">
        <v>15</v>
      </c>
      <c r="F4373" s="2" t="s">
        <v>36</v>
      </c>
      <c r="G4373" s="7">
        <v>24.5</v>
      </c>
      <c r="H4373" s="7">
        <v>343.6</v>
      </c>
      <c r="I4373" s="2" t="s">
        <v>15</v>
      </c>
      <c r="J4373" s="2" t="s">
        <v>15</v>
      </c>
      <c r="K4373" s="2" t="s">
        <v>24</v>
      </c>
      <c r="L4373" s="7">
        <v>343.6</v>
      </c>
      <c r="M4373" s="2" t="str">
        <f>_xlfn.IFS(TelecomData[[#This Row],[TenureMonths]]&lt;=12, "0-1 Year", TelecomData[[#This Row],[TenureMonths]]&lt;=36, "1-3 Years", TelecomData[[#This Row],[TenureMonths]]&gt;36, "3+ Years")</f>
        <v>1-3 Years</v>
      </c>
      <c r="N4373" s="2" t="str">
        <f>IF(TelecomData[[#This Row],[CleanedTotalCharges]]&gt;=2500,"High Spend", "Standard Spend")</f>
        <v>Standard Spend</v>
      </c>
    </row>
    <row r="4374" spans="1:14" x14ac:dyDescent="0.3">
      <c r="A4374" s="1" t="s">
        <v>4398</v>
      </c>
      <c r="B4374" s="2" t="s">
        <v>19</v>
      </c>
      <c r="C4374" s="2" t="s">
        <v>13</v>
      </c>
      <c r="D4374" s="2">
        <v>1</v>
      </c>
      <c r="E4374" s="2" t="s">
        <v>15</v>
      </c>
      <c r="F4374" s="2" t="s">
        <v>36</v>
      </c>
      <c r="G4374" s="7">
        <v>20.149999999999999</v>
      </c>
      <c r="H4374" s="7">
        <v>20.149999999999999</v>
      </c>
      <c r="I4374" s="2" t="s">
        <v>15</v>
      </c>
      <c r="J4374" s="2" t="s">
        <v>16</v>
      </c>
      <c r="K4374" s="2" t="s">
        <v>24</v>
      </c>
      <c r="L4374" s="7">
        <v>20.149999999999999</v>
      </c>
      <c r="M4374" s="2" t="str">
        <f>_xlfn.IFS(TelecomData[[#This Row],[TenureMonths]]&lt;=12, "0-1 Year", TelecomData[[#This Row],[TenureMonths]]&lt;=36, "1-3 Years", TelecomData[[#This Row],[TenureMonths]]&gt;36, "3+ Years")</f>
        <v>0-1 Year</v>
      </c>
      <c r="N4374" s="2" t="str">
        <f>IF(TelecomData[[#This Row],[CleanedTotalCharges]]&gt;=2500,"High Spend", "Standard Spend")</f>
        <v>Standard Spend</v>
      </c>
    </row>
    <row r="4375" spans="1:14" x14ac:dyDescent="0.3">
      <c r="A4375" s="1" t="s">
        <v>4399</v>
      </c>
      <c r="B4375" s="2" t="s">
        <v>12</v>
      </c>
      <c r="C4375" s="2" t="s">
        <v>20</v>
      </c>
      <c r="D4375" s="2">
        <v>25</v>
      </c>
      <c r="E4375" s="2" t="s">
        <v>15</v>
      </c>
      <c r="F4375" s="2" t="s">
        <v>36</v>
      </c>
      <c r="G4375" s="7">
        <v>20.05</v>
      </c>
      <c r="H4375" s="7">
        <v>520.1</v>
      </c>
      <c r="I4375" s="2" t="s">
        <v>15</v>
      </c>
      <c r="J4375" s="2" t="s">
        <v>15</v>
      </c>
      <c r="K4375" s="2" t="s">
        <v>21</v>
      </c>
      <c r="L4375" s="7">
        <v>520.1</v>
      </c>
      <c r="M4375" s="2" t="str">
        <f>_xlfn.IFS(TelecomData[[#This Row],[TenureMonths]]&lt;=12, "0-1 Year", TelecomData[[#This Row],[TenureMonths]]&lt;=36, "1-3 Years", TelecomData[[#This Row],[TenureMonths]]&gt;36, "3+ Years")</f>
        <v>1-3 Years</v>
      </c>
      <c r="N4375" s="2" t="str">
        <f>IF(TelecomData[[#This Row],[CleanedTotalCharges]]&gt;=2500,"High Spend", "Standard Spend")</f>
        <v>Standard Spend</v>
      </c>
    </row>
    <row r="4376" spans="1:14" x14ac:dyDescent="0.3">
      <c r="A4376" s="1" t="s">
        <v>4400</v>
      </c>
      <c r="B4376" s="2" t="s">
        <v>19</v>
      </c>
      <c r="C4376" s="2" t="s">
        <v>35</v>
      </c>
      <c r="D4376" s="2">
        <v>71</v>
      </c>
      <c r="E4376" s="2" t="s">
        <v>15</v>
      </c>
      <c r="F4376" s="2" t="s">
        <v>36</v>
      </c>
      <c r="G4376" s="7">
        <v>19.600000000000001</v>
      </c>
      <c r="H4376" s="7">
        <v>1387.45</v>
      </c>
      <c r="I4376" s="2" t="s">
        <v>15</v>
      </c>
      <c r="J4376" s="2" t="s">
        <v>16</v>
      </c>
      <c r="K4376" s="2" t="s">
        <v>24</v>
      </c>
      <c r="L4376" s="7">
        <v>1387.45</v>
      </c>
      <c r="M4376" s="2" t="str">
        <f>_xlfn.IFS(TelecomData[[#This Row],[TenureMonths]]&lt;=12, "0-1 Year", TelecomData[[#This Row],[TenureMonths]]&lt;=36, "1-3 Years", TelecomData[[#This Row],[TenureMonths]]&gt;36, "3+ Years")</f>
        <v>3+ Years</v>
      </c>
      <c r="N4376" s="2" t="str">
        <f>IF(TelecomData[[#This Row],[CleanedTotalCharges]]&gt;=2500,"High Spend", "Standard Spend")</f>
        <v>Standard Spend</v>
      </c>
    </row>
    <row r="4377" spans="1:14" x14ac:dyDescent="0.3">
      <c r="A4377" s="1" t="s">
        <v>4401</v>
      </c>
      <c r="B4377" s="2" t="s">
        <v>19</v>
      </c>
      <c r="C4377" s="2" t="s">
        <v>20</v>
      </c>
      <c r="D4377" s="2">
        <v>66</v>
      </c>
      <c r="E4377" s="2" t="s">
        <v>26</v>
      </c>
      <c r="F4377" s="2" t="s">
        <v>16</v>
      </c>
      <c r="G4377" s="7">
        <v>114.3</v>
      </c>
      <c r="H4377" s="7">
        <v>7383.7</v>
      </c>
      <c r="I4377" s="2" t="s">
        <v>15</v>
      </c>
      <c r="J4377" s="2" t="s">
        <v>16</v>
      </c>
      <c r="K4377" s="2" t="s">
        <v>24</v>
      </c>
      <c r="L4377" s="7">
        <v>7383.7</v>
      </c>
      <c r="M4377" s="2" t="str">
        <f>_xlfn.IFS(TelecomData[[#This Row],[TenureMonths]]&lt;=12, "0-1 Year", TelecomData[[#This Row],[TenureMonths]]&lt;=36, "1-3 Years", TelecomData[[#This Row],[TenureMonths]]&gt;36, "3+ Years")</f>
        <v>3+ Years</v>
      </c>
      <c r="N4377" s="2" t="str">
        <f>IF(TelecomData[[#This Row],[CleanedTotalCharges]]&gt;=2500,"High Spend", "Standard Spend")</f>
        <v>High Spend</v>
      </c>
    </row>
    <row r="4378" spans="1:14" x14ac:dyDescent="0.3">
      <c r="A4378" s="1" t="s">
        <v>4402</v>
      </c>
      <c r="B4378" s="2" t="s">
        <v>12</v>
      </c>
      <c r="C4378" s="2" t="s">
        <v>20</v>
      </c>
      <c r="D4378" s="2">
        <v>45</v>
      </c>
      <c r="E4378" s="2" t="s">
        <v>26</v>
      </c>
      <c r="F4378" s="2" t="s">
        <v>15</v>
      </c>
      <c r="G4378" s="7">
        <v>100.3</v>
      </c>
      <c r="H4378" s="7">
        <v>4483.95</v>
      </c>
      <c r="I4378" s="2" t="s">
        <v>15</v>
      </c>
      <c r="J4378" s="2" t="s">
        <v>16</v>
      </c>
      <c r="K4378" s="2" t="s">
        <v>17</v>
      </c>
      <c r="L4378" s="7">
        <v>4483.95</v>
      </c>
      <c r="M4378" s="2" t="str">
        <f>_xlfn.IFS(TelecomData[[#This Row],[TenureMonths]]&lt;=12, "0-1 Year", TelecomData[[#This Row],[TenureMonths]]&lt;=36, "1-3 Years", TelecomData[[#This Row],[TenureMonths]]&gt;36, "3+ Years")</f>
        <v>3+ Years</v>
      </c>
      <c r="N4378" s="2" t="str">
        <f>IF(TelecomData[[#This Row],[CleanedTotalCharges]]&gt;=2500,"High Spend", "Standard Spend")</f>
        <v>High Spend</v>
      </c>
    </row>
    <row r="4379" spans="1:14" x14ac:dyDescent="0.3">
      <c r="A4379" s="1" t="s">
        <v>4403</v>
      </c>
      <c r="B4379" s="2" t="s">
        <v>12</v>
      </c>
      <c r="C4379" s="2" t="s">
        <v>13</v>
      </c>
      <c r="D4379" s="2">
        <v>22</v>
      </c>
      <c r="E4379" s="2" t="s">
        <v>26</v>
      </c>
      <c r="F4379" s="2" t="s">
        <v>15</v>
      </c>
      <c r="G4379" s="7">
        <v>80</v>
      </c>
      <c r="H4379" s="7">
        <v>1706.45</v>
      </c>
      <c r="I4379" s="2" t="s">
        <v>15</v>
      </c>
      <c r="J4379" s="2" t="s">
        <v>16</v>
      </c>
      <c r="K4379" s="2" t="s">
        <v>29</v>
      </c>
      <c r="L4379" s="7">
        <v>1706.45</v>
      </c>
      <c r="M4379" s="2" t="str">
        <f>_xlfn.IFS(TelecomData[[#This Row],[TenureMonths]]&lt;=12, "0-1 Year", TelecomData[[#This Row],[TenureMonths]]&lt;=36, "1-3 Years", TelecomData[[#This Row],[TenureMonths]]&gt;36, "3+ Years")</f>
        <v>1-3 Years</v>
      </c>
      <c r="N4379" s="2" t="str">
        <f>IF(TelecomData[[#This Row],[CleanedTotalCharges]]&gt;=2500,"High Spend", "Standard Spend")</f>
        <v>Standard Spend</v>
      </c>
    </row>
    <row r="4380" spans="1:14" x14ac:dyDescent="0.3">
      <c r="A4380" s="1" t="s">
        <v>4404</v>
      </c>
      <c r="B4380" s="2" t="s">
        <v>12</v>
      </c>
      <c r="C4380" s="2" t="s">
        <v>20</v>
      </c>
      <c r="D4380" s="2">
        <v>67</v>
      </c>
      <c r="E4380" s="2" t="s">
        <v>15</v>
      </c>
      <c r="F4380" s="2" t="s">
        <v>36</v>
      </c>
      <c r="G4380" s="7">
        <v>20.85</v>
      </c>
      <c r="H4380" s="7">
        <v>1327.4</v>
      </c>
      <c r="I4380" s="2" t="s">
        <v>15</v>
      </c>
      <c r="J4380" s="2" t="s">
        <v>16</v>
      </c>
      <c r="K4380" s="2" t="s">
        <v>24</v>
      </c>
      <c r="L4380" s="7">
        <v>1327.4</v>
      </c>
      <c r="M4380" s="2" t="str">
        <f>_xlfn.IFS(TelecomData[[#This Row],[TenureMonths]]&lt;=12, "0-1 Year", TelecomData[[#This Row],[TenureMonths]]&lt;=36, "1-3 Years", TelecomData[[#This Row],[TenureMonths]]&gt;36, "3+ Years")</f>
        <v>3+ Years</v>
      </c>
      <c r="N4380" s="2" t="str">
        <f>IF(TelecomData[[#This Row],[CleanedTotalCharges]]&gt;=2500,"High Spend", "Standard Spend")</f>
        <v>Standard Spend</v>
      </c>
    </row>
    <row r="4381" spans="1:14" x14ac:dyDescent="0.3">
      <c r="A4381" s="1" t="s">
        <v>4405</v>
      </c>
      <c r="B4381" s="2" t="s">
        <v>12</v>
      </c>
      <c r="C4381" s="2" t="s">
        <v>35</v>
      </c>
      <c r="D4381" s="2">
        <v>68</v>
      </c>
      <c r="E4381" s="2" t="s">
        <v>26</v>
      </c>
      <c r="F4381" s="2" t="s">
        <v>15</v>
      </c>
      <c r="G4381" s="7">
        <v>89.95</v>
      </c>
      <c r="H4381" s="7">
        <v>5974.3</v>
      </c>
      <c r="I4381" s="2" t="s">
        <v>15</v>
      </c>
      <c r="J4381" s="2" t="s">
        <v>16</v>
      </c>
      <c r="K4381" s="2" t="s">
        <v>24</v>
      </c>
      <c r="L4381" s="7">
        <v>5974.3</v>
      </c>
      <c r="M4381" s="2" t="str">
        <f>_xlfn.IFS(TelecomData[[#This Row],[TenureMonths]]&lt;=12, "0-1 Year", TelecomData[[#This Row],[TenureMonths]]&lt;=36, "1-3 Years", TelecomData[[#This Row],[TenureMonths]]&gt;36, "3+ Years")</f>
        <v>3+ Years</v>
      </c>
      <c r="N4381" s="2" t="str">
        <f>IF(TelecomData[[#This Row],[CleanedTotalCharges]]&gt;=2500,"High Spend", "Standard Spend")</f>
        <v>High Spend</v>
      </c>
    </row>
    <row r="4382" spans="1:14" x14ac:dyDescent="0.3">
      <c r="A4382" s="1" t="s">
        <v>4406</v>
      </c>
      <c r="B4382" s="2" t="s">
        <v>12</v>
      </c>
      <c r="C4382" s="2" t="s">
        <v>35</v>
      </c>
      <c r="D4382" s="2">
        <v>0</v>
      </c>
      <c r="E4382" s="2" t="s">
        <v>15</v>
      </c>
      <c r="F4382" s="2" t="s">
        <v>36</v>
      </c>
      <c r="G4382" s="7">
        <v>20</v>
      </c>
      <c r="H4382" s="7" t="s">
        <v>514</v>
      </c>
      <c r="I4382" s="2" t="s">
        <v>15</v>
      </c>
      <c r="J4382" s="2" t="s">
        <v>15</v>
      </c>
      <c r="K4382" s="2" t="s">
        <v>21</v>
      </c>
      <c r="L4382" s="7">
        <v>0</v>
      </c>
      <c r="M4382" s="2" t="str">
        <f>_xlfn.IFS(TelecomData[[#This Row],[TenureMonths]]&lt;=12, "0-1 Year", TelecomData[[#This Row],[TenureMonths]]&lt;=36, "1-3 Years", TelecomData[[#This Row],[TenureMonths]]&gt;36, "3+ Years")</f>
        <v>0-1 Year</v>
      </c>
      <c r="N4382" s="2" t="str">
        <f>IF(TelecomData[[#This Row],[CleanedTotalCharges]]&gt;=2500,"High Spend", "Standard Spend")</f>
        <v>Standard Spend</v>
      </c>
    </row>
    <row r="4383" spans="1:14" x14ac:dyDescent="0.3">
      <c r="A4383" s="1" t="s">
        <v>4407</v>
      </c>
      <c r="B4383" s="2" t="s">
        <v>12</v>
      </c>
      <c r="C4383" s="2" t="s">
        <v>13</v>
      </c>
      <c r="D4383" s="2">
        <v>49</v>
      </c>
      <c r="E4383" s="2" t="s">
        <v>26</v>
      </c>
      <c r="F4383" s="2" t="s">
        <v>15</v>
      </c>
      <c r="G4383" s="7">
        <v>90.85</v>
      </c>
      <c r="H4383" s="7">
        <v>4515.8500000000004</v>
      </c>
      <c r="I4383" s="2" t="s">
        <v>16</v>
      </c>
      <c r="J4383" s="2" t="s">
        <v>16</v>
      </c>
      <c r="K4383" s="2" t="s">
        <v>29</v>
      </c>
      <c r="L4383" s="7">
        <v>4515.8500000000004</v>
      </c>
      <c r="M4383" s="2" t="str">
        <f>_xlfn.IFS(TelecomData[[#This Row],[TenureMonths]]&lt;=12, "0-1 Year", TelecomData[[#This Row],[TenureMonths]]&lt;=36, "1-3 Years", TelecomData[[#This Row],[TenureMonths]]&gt;36, "3+ Years")</f>
        <v>3+ Years</v>
      </c>
      <c r="N4383" s="2" t="str">
        <f>IF(TelecomData[[#This Row],[CleanedTotalCharges]]&gt;=2500,"High Spend", "Standard Spend")</f>
        <v>High Spend</v>
      </c>
    </row>
    <row r="4384" spans="1:14" x14ac:dyDescent="0.3">
      <c r="A4384" s="1" t="s">
        <v>4408</v>
      </c>
      <c r="B4384" s="2" t="s">
        <v>12</v>
      </c>
      <c r="C4384" s="2" t="s">
        <v>13</v>
      </c>
      <c r="D4384" s="2">
        <v>4</v>
      </c>
      <c r="E4384" s="2" t="s">
        <v>14</v>
      </c>
      <c r="F4384" s="2" t="s">
        <v>15</v>
      </c>
      <c r="G4384" s="7">
        <v>48.75</v>
      </c>
      <c r="H4384" s="7">
        <v>179.85</v>
      </c>
      <c r="I4384" s="2" t="s">
        <v>15</v>
      </c>
      <c r="J4384" s="2" t="s">
        <v>15</v>
      </c>
      <c r="K4384" s="2" t="s">
        <v>21</v>
      </c>
      <c r="L4384" s="7">
        <v>179.85</v>
      </c>
      <c r="M4384" s="2" t="str">
        <f>_xlfn.IFS(TelecomData[[#This Row],[TenureMonths]]&lt;=12, "0-1 Year", TelecomData[[#This Row],[TenureMonths]]&lt;=36, "1-3 Years", TelecomData[[#This Row],[TenureMonths]]&gt;36, "3+ Years")</f>
        <v>0-1 Year</v>
      </c>
      <c r="N4384" s="2" t="str">
        <f>IF(TelecomData[[#This Row],[CleanedTotalCharges]]&gt;=2500,"High Spend", "Standard Spend")</f>
        <v>Standard Spend</v>
      </c>
    </row>
    <row r="4385" spans="1:14" x14ac:dyDescent="0.3">
      <c r="A4385" s="1" t="s">
        <v>4409</v>
      </c>
      <c r="B4385" s="2" t="s">
        <v>19</v>
      </c>
      <c r="C4385" s="2" t="s">
        <v>20</v>
      </c>
      <c r="D4385" s="2">
        <v>63</v>
      </c>
      <c r="E4385" s="2" t="s">
        <v>14</v>
      </c>
      <c r="F4385" s="2" t="s">
        <v>16</v>
      </c>
      <c r="G4385" s="7">
        <v>80</v>
      </c>
      <c r="H4385" s="7">
        <v>5040.2</v>
      </c>
      <c r="I4385" s="2" t="s">
        <v>15</v>
      </c>
      <c r="J4385" s="2" t="s">
        <v>15</v>
      </c>
      <c r="K4385" s="2" t="s">
        <v>29</v>
      </c>
      <c r="L4385" s="7">
        <v>5040.2</v>
      </c>
      <c r="M4385" s="2" t="str">
        <f>_xlfn.IFS(TelecomData[[#This Row],[TenureMonths]]&lt;=12, "0-1 Year", TelecomData[[#This Row],[TenureMonths]]&lt;=36, "1-3 Years", TelecomData[[#This Row],[TenureMonths]]&gt;36, "3+ Years")</f>
        <v>3+ Years</v>
      </c>
      <c r="N4385" s="2" t="str">
        <f>IF(TelecomData[[#This Row],[CleanedTotalCharges]]&gt;=2500,"High Spend", "Standard Spend")</f>
        <v>High Spend</v>
      </c>
    </row>
    <row r="4386" spans="1:14" x14ac:dyDescent="0.3">
      <c r="A4386" s="1" t="s">
        <v>4410</v>
      </c>
      <c r="B4386" s="2" t="s">
        <v>12</v>
      </c>
      <c r="C4386" s="2" t="s">
        <v>13</v>
      </c>
      <c r="D4386" s="2">
        <v>2</v>
      </c>
      <c r="E4386" s="2" t="s">
        <v>26</v>
      </c>
      <c r="F4386" s="2" t="s">
        <v>15</v>
      </c>
      <c r="G4386" s="7">
        <v>79.7</v>
      </c>
      <c r="H4386" s="7">
        <v>165</v>
      </c>
      <c r="I4386" s="2" t="s">
        <v>16</v>
      </c>
      <c r="J4386" s="2" t="s">
        <v>15</v>
      </c>
      <c r="K4386" s="2" t="s">
        <v>24</v>
      </c>
      <c r="L4386" s="7">
        <v>165</v>
      </c>
      <c r="M4386" s="2" t="str">
        <f>_xlfn.IFS(TelecomData[[#This Row],[TenureMonths]]&lt;=12, "0-1 Year", TelecomData[[#This Row],[TenureMonths]]&lt;=36, "1-3 Years", TelecomData[[#This Row],[TenureMonths]]&gt;36, "3+ Years")</f>
        <v>0-1 Year</v>
      </c>
      <c r="N4386" s="2" t="str">
        <f>IF(TelecomData[[#This Row],[CleanedTotalCharges]]&gt;=2500,"High Spend", "Standard Spend")</f>
        <v>Standard Spend</v>
      </c>
    </row>
    <row r="4387" spans="1:14" x14ac:dyDescent="0.3">
      <c r="A4387" s="1" t="s">
        <v>4411</v>
      </c>
      <c r="B4387" s="2" t="s">
        <v>19</v>
      </c>
      <c r="C4387" s="2" t="s">
        <v>20</v>
      </c>
      <c r="D4387" s="2">
        <v>21</v>
      </c>
      <c r="E4387" s="2" t="s">
        <v>15</v>
      </c>
      <c r="F4387" s="2" t="s">
        <v>36</v>
      </c>
      <c r="G4387" s="7">
        <v>20.350000000000001</v>
      </c>
      <c r="H4387" s="7">
        <v>422.7</v>
      </c>
      <c r="I4387" s="2" t="s">
        <v>15</v>
      </c>
      <c r="J4387" s="2" t="s">
        <v>16</v>
      </c>
      <c r="K4387" s="2" t="s">
        <v>21</v>
      </c>
      <c r="L4387" s="7">
        <v>422.7</v>
      </c>
      <c r="M4387" s="2" t="str">
        <f>_xlfn.IFS(TelecomData[[#This Row],[TenureMonths]]&lt;=12, "0-1 Year", TelecomData[[#This Row],[TenureMonths]]&lt;=36, "1-3 Years", TelecomData[[#This Row],[TenureMonths]]&gt;36, "3+ Years")</f>
        <v>1-3 Years</v>
      </c>
      <c r="N4387" s="2" t="str">
        <f>IF(TelecomData[[#This Row],[CleanedTotalCharges]]&gt;=2500,"High Spend", "Standard Spend")</f>
        <v>Standard Spend</v>
      </c>
    </row>
    <row r="4388" spans="1:14" x14ac:dyDescent="0.3">
      <c r="A4388" s="1" t="s">
        <v>4412</v>
      </c>
      <c r="B4388" s="2" t="s">
        <v>19</v>
      </c>
      <c r="C4388" s="2" t="s">
        <v>35</v>
      </c>
      <c r="D4388" s="2">
        <v>55</v>
      </c>
      <c r="E4388" s="2" t="s">
        <v>14</v>
      </c>
      <c r="F4388" s="2" t="s">
        <v>16</v>
      </c>
      <c r="G4388" s="7">
        <v>57.55</v>
      </c>
      <c r="H4388" s="7">
        <v>3046.4</v>
      </c>
      <c r="I4388" s="2" t="s">
        <v>16</v>
      </c>
      <c r="J4388" s="2" t="s">
        <v>15</v>
      </c>
      <c r="K4388" s="2" t="s">
        <v>24</v>
      </c>
      <c r="L4388" s="7">
        <v>3046.4</v>
      </c>
      <c r="M4388" s="2" t="str">
        <f>_xlfn.IFS(TelecomData[[#This Row],[TenureMonths]]&lt;=12, "0-1 Year", TelecomData[[#This Row],[TenureMonths]]&lt;=36, "1-3 Years", TelecomData[[#This Row],[TenureMonths]]&gt;36, "3+ Years")</f>
        <v>3+ Years</v>
      </c>
      <c r="N4388" s="2" t="str">
        <f>IF(TelecomData[[#This Row],[CleanedTotalCharges]]&gt;=2500,"High Spend", "Standard Spend")</f>
        <v>High Spend</v>
      </c>
    </row>
    <row r="4389" spans="1:14" x14ac:dyDescent="0.3">
      <c r="A4389" s="1" t="s">
        <v>4413</v>
      </c>
      <c r="B4389" s="2" t="s">
        <v>19</v>
      </c>
      <c r="C4389" s="2" t="s">
        <v>13</v>
      </c>
      <c r="D4389" s="2">
        <v>1</v>
      </c>
      <c r="E4389" s="2" t="s">
        <v>15</v>
      </c>
      <c r="F4389" s="2" t="s">
        <v>36</v>
      </c>
      <c r="G4389" s="7">
        <v>20.25</v>
      </c>
      <c r="H4389" s="7">
        <v>20.25</v>
      </c>
      <c r="I4389" s="2" t="s">
        <v>15</v>
      </c>
      <c r="J4389" s="2" t="s">
        <v>16</v>
      </c>
      <c r="K4389" s="2" t="s">
        <v>21</v>
      </c>
      <c r="L4389" s="7">
        <v>20.25</v>
      </c>
      <c r="M4389" s="2" t="str">
        <f>_xlfn.IFS(TelecomData[[#This Row],[TenureMonths]]&lt;=12, "0-1 Year", TelecomData[[#This Row],[TenureMonths]]&lt;=36, "1-3 Years", TelecomData[[#This Row],[TenureMonths]]&gt;36, "3+ Years")</f>
        <v>0-1 Year</v>
      </c>
      <c r="N4389" s="2" t="str">
        <f>IF(TelecomData[[#This Row],[CleanedTotalCharges]]&gt;=2500,"High Spend", "Standard Spend")</f>
        <v>Standard Spend</v>
      </c>
    </row>
    <row r="4390" spans="1:14" x14ac:dyDescent="0.3">
      <c r="A4390" s="1" t="s">
        <v>4414</v>
      </c>
      <c r="B4390" s="2" t="s">
        <v>12</v>
      </c>
      <c r="C4390" s="2" t="s">
        <v>35</v>
      </c>
      <c r="D4390" s="2">
        <v>17</v>
      </c>
      <c r="E4390" s="2" t="s">
        <v>15</v>
      </c>
      <c r="F4390" s="2" t="s">
        <v>36</v>
      </c>
      <c r="G4390" s="7">
        <v>19.399999999999999</v>
      </c>
      <c r="H4390" s="7">
        <v>358.05</v>
      </c>
      <c r="I4390" s="2" t="s">
        <v>15</v>
      </c>
      <c r="J4390" s="2" t="s">
        <v>15</v>
      </c>
      <c r="K4390" s="2" t="s">
        <v>21</v>
      </c>
      <c r="L4390" s="7">
        <v>358.05</v>
      </c>
      <c r="M4390" s="2" t="str">
        <f>_xlfn.IFS(TelecomData[[#This Row],[TenureMonths]]&lt;=12, "0-1 Year", TelecomData[[#This Row],[TenureMonths]]&lt;=36, "1-3 Years", TelecomData[[#This Row],[TenureMonths]]&gt;36, "3+ Years")</f>
        <v>1-3 Years</v>
      </c>
      <c r="N4390" s="2" t="str">
        <f>IF(TelecomData[[#This Row],[CleanedTotalCharges]]&gt;=2500,"High Spend", "Standard Spend")</f>
        <v>Standard Spend</v>
      </c>
    </row>
    <row r="4391" spans="1:14" x14ac:dyDescent="0.3">
      <c r="A4391" s="1" t="s">
        <v>4415</v>
      </c>
      <c r="B4391" s="2" t="s">
        <v>19</v>
      </c>
      <c r="C4391" s="2" t="s">
        <v>13</v>
      </c>
      <c r="D4391" s="2">
        <v>30</v>
      </c>
      <c r="E4391" s="2" t="s">
        <v>26</v>
      </c>
      <c r="F4391" s="2" t="s">
        <v>15</v>
      </c>
      <c r="G4391" s="7">
        <v>100.4</v>
      </c>
      <c r="H4391" s="7">
        <v>2936.25</v>
      </c>
      <c r="I4391" s="2" t="s">
        <v>15</v>
      </c>
      <c r="J4391" s="2" t="s">
        <v>16</v>
      </c>
      <c r="K4391" s="2" t="s">
        <v>24</v>
      </c>
      <c r="L4391" s="7">
        <v>2936.25</v>
      </c>
      <c r="M4391" s="2" t="str">
        <f>_xlfn.IFS(TelecomData[[#This Row],[TenureMonths]]&lt;=12, "0-1 Year", TelecomData[[#This Row],[TenureMonths]]&lt;=36, "1-3 Years", TelecomData[[#This Row],[TenureMonths]]&gt;36, "3+ Years")</f>
        <v>1-3 Years</v>
      </c>
      <c r="N4391" s="2" t="str">
        <f>IF(TelecomData[[#This Row],[CleanedTotalCharges]]&gt;=2500,"High Spend", "Standard Spend")</f>
        <v>High Spend</v>
      </c>
    </row>
    <row r="4392" spans="1:14" x14ac:dyDescent="0.3">
      <c r="A4392" s="1" t="s">
        <v>4416</v>
      </c>
      <c r="B4392" s="2" t="s">
        <v>19</v>
      </c>
      <c r="C4392" s="2" t="s">
        <v>13</v>
      </c>
      <c r="D4392" s="2">
        <v>22</v>
      </c>
      <c r="E4392" s="2" t="s">
        <v>14</v>
      </c>
      <c r="F4392" s="2" t="s">
        <v>16</v>
      </c>
      <c r="G4392" s="7">
        <v>57.95</v>
      </c>
      <c r="H4392" s="7">
        <v>1271.8</v>
      </c>
      <c r="I4392" s="2" t="s">
        <v>15</v>
      </c>
      <c r="J4392" s="2" t="s">
        <v>16</v>
      </c>
      <c r="K4392" s="2" t="s">
        <v>21</v>
      </c>
      <c r="L4392" s="7">
        <v>1271.8</v>
      </c>
      <c r="M4392" s="2" t="str">
        <f>_xlfn.IFS(TelecomData[[#This Row],[TenureMonths]]&lt;=12, "0-1 Year", TelecomData[[#This Row],[TenureMonths]]&lt;=36, "1-3 Years", TelecomData[[#This Row],[TenureMonths]]&gt;36, "3+ Years")</f>
        <v>1-3 Years</v>
      </c>
      <c r="N4392" s="2" t="str">
        <f>IF(TelecomData[[#This Row],[CleanedTotalCharges]]&gt;=2500,"High Spend", "Standard Spend")</f>
        <v>Standard Spend</v>
      </c>
    </row>
    <row r="4393" spans="1:14" x14ac:dyDescent="0.3">
      <c r="A4393" s="1" t="s">
        <v>4417</v>
      </c>
      <c r="B4393" s="2" t="s">
        <v>12</v>
      </c>
      <c r="C4393" s="2" t="s">
        <v>13</v>
      </c>
      <c r="D4393" s="2">
        <v>9</v>
      </c>
      <c r="E4393" s="2" t="s">
        <v>14</v>
      </c>
      <c r="F4393" s="2" t="s">
        <v>16</v>
      </c>
      <c r="G4393" s="7">
        <v>59.5</v>
      </c>
      <c r="H4393" s="7">
        <v>530.04999999999995</v>
      </c>
      <c r="I4393" s="2" t="s">
        <v>15</v>
      </c>
      <c r="J4393" s="2" t="s">
        <v>16</v>
      </c>
      <c r="K4393" s="2" t="s">
        <v>24</v>
      </c>
      <c r="L4393" s="7">
        <v>530.04999999999995</v>
      </c>
      <c r="M4393" s="2" t="str">
        <f>_xlfn.IFS(TelecomData[[#This Row],[TenureMonths]]&lt;=12, "0-1 Year", TelecomData[[#This Row],[TenureMonths]]&lt;=36, "1-3 Years", TelecomData[[#This Row],[TenureMonths]]&gt;36, "3+ Years")</f>
        <v>0-1 Year</v>
      </c>
      <c r="N4393" s="2" t="str">
        <f>IF(TelecomData[[#This Row],[CleanedTotalCharges]]&gt;=2500,"High Spend", "Standard Spend")</f>
        <v>Standard Spend</v>
      </c>
    </row>
    <row r="4394" spans="1:14" x14ac:dyDescent="0.3">
      <c r="A4394" s="1" t="s">
        <v>4418</v>
      </c>
      <c r="B4394" s="2" t="s">
        <v>19</v>
      </c>
      <c r="C4394" s="2" t="s">
        <v>13</v>
      </c>
      <c r="D4394" s="2">
        <v>1</v>
      </c>
      <c r="E4394" s="2" t="s">
        <v>15</v>
      </c>
      <c r="F4394" s="2" t="s">
        <v>36</v>
      </c>
      <c r="G4394" s="7">
        <v>19.2</v>
      </c>
      <c r="H4394" s="7">
        <v>19.2</v>
      </c>
      <c r="I4394" s="2" t="s">
        <v>15</v>
      </c>
      <c r="J4394" s="2" t="s">
        <v>15</v>
      </c>
      <c r="K4394" s="2" t="s">
        <v>21</v>
      </c>
      <c r="L4394" s="7">
        <v>19.2</v>
      </c>
      <c r="M4394" s="2" t="str">
        <f>_xlfn.IFS(TelecomData[[#This Row],[TenureMonths]]&lt;=12, "0-1 Year", TelecomData[[#This Row],[TenureMonths]]&lt;=36, "1-3 Years", TelecomData[[#This Row],[TenureMonths]]&gt;36, "3+ Years")</f>
        <v>0-1 Year</v>
      </c>
      <c r="N4394" s="2" t="str">
        <f>IF(TelecomData[[#This Row],[CleanedTotalCharges]]&gt;=2500,"High Spend", "Standard Spend")</f>
        <v>Standard Spend</v>
      </c>
    </row>
    <row r="4395" spans="1:14" x14ac:dyDescent="0.3">
      <c r="A4395" s="1" t="s">
        <v>4419</v>
      </c>
      <c r="B4395" s="2" t="s">
        <v>12</v>
      </c>
      <c r="C4395" s="2" t="s">
        <v>13</v>
      </c>
      <c r="D4395" s="2">
        <v>21</v>
      </c>
      <c r="E4395" s="2" t="s">
        <v>26</v>
      </c>
      <c r="F4395" s="2" t="s">
        <v>15</v>
      </c>
      <c r="G4395" s="7">
        <v>86.5</v>
      </c>
      <c r="H4395" s="7">
        <v>1808.7</v>
      </c>
      <c r="I4395" s="2" t="s">
        <v>16</v>
      </c>
      <c r="J4395" s="2" t="s">
        <v>16</v>
      </c>
      <c r="K4395" s="2" t="s">
        <v>17</v>
      </c>
      <c r="L4395" s="7">
        <v>1808.7</v>
      </c>
      <c r="M4395" s="2" t="str">
        <f>_xlfn.IFS(TelecomData[[#This Row],[TenureMonths]]&lt;=12, "0-1 Year", TelecomData[[#This Row],[TenureMonths]]&lt;=36, "1-3 Years", TelecomData[[#This Row],[TenureMonths]]&gt;36, "3+ Years")</f>
        <v>1-3 Years</v>
      </c>
      <c r="N4395" s="2" t="str">
        <f>IF(TelecomData[[#This Row],[CleanedTotalCharges]]&gt;=2500,"High Spend", "Standard Spend")</f>
        <v>Standard Spend</v>
      </c>
    </row>
    <row r="4396" spans="1:14" x14ac:dyDescent="0.3">
      <c r="A4396" s="1" t="s">
        <v>4420</v>
      </c>
      <c r="B4396" s="2" t="s">
        <v>19</v>
      </c>
      <c r="C4396" s="2" t="s">
        <v>13</v>
      </c>
      <c r="D4396" s="2">
        <v>19</v>
      </c>
      <c r="E4396" s="2" t="s">
        <v>14</v>
      </c>
      <c r="F4396" s="2" t="s">
        <v>16</v>
      </c>
      <c r="G4396" s="7">
        <v>59.55</v>
      </c>
      <c r="H4396" s="7">
        <v>1144.5999999999999</v>
      </c>
      <c r="I4396" s="2" t="s">
        <v>15</v>
      </c>
      <c r="J4396" s="2" t="s">
        <v>15</v>
      </c>
      <c r="K4396" s="2" t="s">
        <v>17</v>
      </c>
      <c r="L4396" s="7">
        <v>1144.5999999999999</v>
      </c>
      <c r="M4396" s="2" t="str">
        <f>_xlfn.IFS(TelecomData[[#This Row],[TenureMonths]]&lt;=12, "0-1 Year", TelecomData[[#This Row],[TenureMonths]]&lt;=36, "1-3 Years", TelecomData[[#This Row],[TenureMonths]]&gt;36, "3+ Years")</f>
        <v>1-3 Years</v>
      </c>
      <c r="N4396" s="2" t="str">
        <f>IF(TelecomData[[#This Row],[CleanedTotalCharges]]&gt;=2500,"High Spend", "Standard Spend")</f>
        <v>Standard Spend</v>
      </c>
    </row>
    <row r="4397" spans="1:14" x14ac:dyDescent="0.3">
      <c r="A4397" s="1" t="s">
        <v>4421</v>
      </c>
      <c r="B4397" s="2" t="s">
        <v>12</v>
      </c>
      <c r="C4397" s="2" t="s">
        <v>13</v>
      </c>
      <c r="D4397" s="2">
        <v>69</v>
      </c>
      <c r="E4397" s="2" t="s">
        <v>26</v>
      </c>
      <c r="F4397" s="2" t="s">
        <v>15</v>
      </c>
      <c r="G4397" s="7">
        <v>103.95</v>
      </c>
      <c r="H4397" s="7">
        <v>7446.9</v>
      </c>
      <c r="I4397" s="2" t="s">
        <v>16</v>
      </c>
      <c r="J4397" s="2" t="s">
        <v>16</v>
      </c>
      <c r="K4397" s="2" t="s">
        <v>17</v>
      </c>
      <c r="L4397" s="7">
        <v>7446.9</v>
      </c>
      <c r="M4397" s="2" t="str">
        <f>_xlfn.IFS(TelecomData[[#This Row],[TenureMonths]]&lt;=12, "0-1 Year", TelecomData[[#This Row],[TenureMonths]]&lt;=36, "1-3 Years", TelecomData[[#This Row],[TenureMonths]]&gt;36, "3+ Years")</f>
        <v>3+ Years</v>
      </c>
      <c r="N4397" s="2" t="str">
        <f>IF(TelecomData[[#This Row],[CleanedTotalCharges]]&gt;=2500,"High Spend", "Standard Spend")</f>
        <v>High Spend</v>
      </c>
    </row>
    <row r="4398" spans="1:14" x14ac:dyDescent="0.3">
      <c r="A4398" s="1" t="s">
        <v>4422</v>
      </c>
      <c r="B4398" s="2" t="s">
        <v>19</v>
      </c>
      <c r="C4398" s="2" t="s">
        <v>13</v>
      </c>
      <c r="D4398" s="2">
        <v>1</v>
      </c>
      <c r="E4398" s="2" t="s">
        <v>14</v>
      </c>
      <c r="F4398" s="2" t="s">
        <v>15</v>
      </c>
      <c r="G4398" s="7">
        <v>25.1</v>
      </c>
      <c r="H4398" s="7">
        <v>25.1</v>
      </c>
      <c r="I4398" s="2" t="s">
        <v>16</v>
      </c>
      <c r="J4398" s="2" t="s">
        <v>16</v>
      </c>
      <c r="K4398" s="2" t="s">
        <v>17</v>
      </c>
      <c r="L4398" s="7">
        <v>25.1</v>
      </c>
      <c r="M4398" s="2" t="str">
        <f>_xlfn.IFS(TelecomData[[#This Row],[TenureMonths]]&lt;=12, "0-1 Year", TelecomData[[#This Row],[TenureMonths]]&lt;=36, "1-3 Years", TelecomData[[#This Row],[TenureMonths]]&gt;36, "3+ Years")</f>
        <v>0-1 Year</v>
      </c>
      <c r="N4398" s="2" t="str">
        <f>IF(TelecomData[[#This Row],[CleanedTotalCharges]]&gt;=2500,"High Spend", "Standard Spend")</f>
        <v>Standard Spend</v>
      </c>
    </row>
    <row r="4399" spans="1:14" x14ac:dyDescent="0.3">
      <c r="A4399" s="1" t="s">
        <v>4423</v>
      </c>
      <c r="B4399" s="2" t="s">
        <v>12</v>
      </c>
      <c r="C4399" s="2" t="s">
        <v>35</v>
      </c>
      <c r="D4399" s="2">
        <v>72</v>
      </c>
      <c r="E4399" s="2" t="s">
        <v>26</v>
      </c>
      <c r="F4399" s="2" t="s">
        <v>16</v>
      </c>
      <c r="G4399" s="7">
        <v>103.95</v>
      </c>
      <c r="H4399" s="7">
        <v>7556.9</v>
      </c>
      <c r="I4399" s="2" t="s">
        <v>15</v>
      </c>
      <c r="J4399" s="2" t="s">
        <v>16</v>
      </c>
      <c r="K4399" s="2" t="s">
        <v>24</v>
      </c>
      <c r="L4399" s="7">
        <v>7556.9</v>
      </c>
      <c r="M4399" s="2" t="str">
        <f>_xlfn.IFS(TelecomData[[#This Row],[TenureMonths]]&lt;=12, "0-1 Year", TelecomData[[#This Row],[TenureMonths]]&lt;=36, "1-3 Years", TelecomData[[#This Row],[TenureMonths]]&gt;36, "3+ Years")</f>
        <v>3+ Years</v>
      </c>
      <c r="N4399" s="2" t="str">
        <f>IF(TelecomData[[#This Row],[CleanedTotalCharges]]&gt;=2500,"High Spend", "Standard Spend")</f>
        <v>High Spend</v>
      </c>
    </row>
    <row r="4400" spans="1:14" x14ac:dyDescent="0.3">
      <c r="A4400" s="1" t="s">
        <v>4424</v>
      </c>
      <c r="B4400" s="2" t="s">
        <v>19</v>
      </c>
      <c r="C4400" s="2" t="s">
        <v>35</v>
      </c>
      <c r="D4400" s="2">
        <v>70</v>
      </c>
      <c r="E4400" s="2" t="s">
        <v>14</v>
      </c>
      <c r="F4400" s="2" t="s">
        <v>15</v>
      </c>
      <c r="G4400" s="7">
        <v>68.95</v>
      </c>
      <c r="H4400" s="7">
        <v>4858.7</v>
      </c>
      <c r="I4400" s="2" t="s">
        <v>15</v>
      </c>
      <c r="J4400" s="2" t="s">
        <v>15</v>
      </c>
      <c r="K4400" s="2" t="s">
        <v>29</v>
      </c>
      <c r="L4400" s="7">
        <v>4858.7</v>
      </c>
      <c r="M4400" s="2" t="str">
        <f>_xlfn.IFS(TelecomData[[#This Row],[TenureMonths]]&lt;=12, "0-1 Year", TelecomData[[#This Row],[TenureMonths]]&lt;=36, "1-3 Years", TelecomData[[#This Row],[TenureMonths]]&gt;36, "3+ Years")</f>
        <v>3+ Years</v>
      </c>
      <c r="N4400" s="2" t="str">
        <f>IF(TelecomData[[#This Row],[CleanedTotalCharges]]&gt;=2500,"High Spend", "Standard Spend")</f>
        <v>High Spend</v>
      </c>
    </row>
    <row r="4401" spans="1:14" x14ac:dyDescent="0.3">
      <c r="A4401" s="1" t="s">
        <v>4425</v>
      </c>
      <c r="B4401" s="2" t="s">
        <v>12</v>
      </c>
      <c r="C4401" s="2" t="s">
        <v>13</v>
      </c>
      <c r="D4401" s="2">
        <v>66</v>
      </c>
      <c r="E4401" s="2" t="s">
        <v>26</v>
      </c>
      <c r="F4401" s="2" t="s">
        <v>16</v>
      </c>
      <c r="G4401" s="7">
        <v>103.1</v>
      </c>
      <c r="H4401" s="7">
        <v>6595</v>
      </c>
      <c r="I4401" s="2" t="s">
        <v>15</v>
      </c>
      <c r="J4401" s="2" t="s">
        <v>16</v>
      </c>
      <c r="K4401" s="2" t="s">
        <v>24</v>
      </c>
      <c r="L4401" s="7">
        <v>6595</v>
      </c>
      <c r="M4401" s="2" t="str">
        <f>_xlfn.IFS(TelecomData[[#This Row],[TenureMonths]]&lt;=12, "0-1 Year", TelecomData[[#This Row],[TenureMonths]]&lt;=36, "1-3 Years", TelecomData[[#This Row],[TenureMonths]]&gt;36, "3+ Years")</f>
        <v>3+ Years</v>
      </c>
      <c r="N4401" s="2" t="str">
        <f>IF(TelecomData[[#This Row],[CleanedTotalCharges]]&gt;=2500,"High Spend", "Standard Spend")</f>
        <v>High Spend</v>
      </c>
    </row>
    <row r="4402" spans="1:14" x14ac:dyDescent="0.3">
      <c r="A4402" s="1" t="s">
        <v>4426</v>
      </c>
      <c r="B4402" s="2" t="s">
        <v>12</v>
      </c>
      <c r="C4402" s="2" t="s">
        <v>13</v>
      </c>
      <c r="D4402" s="2">
        <v>7</v>
      </c>
      <c r="E4402" s="2" t="s">
        <v>14</v>
      </c>
      <c r="F4402" s="2" t="s">
        <v>15</v>
      </c>
      <c r="G4402" s="7">
        <v>24.7</v>
      </c>
      <c r="H4402" s="7">
        <v>149.05000000000001</v>
      </c>
      <c r="I4402" s="2" t="s">
        <v>15</v>
      </c>
      <c r="J4402" s="2" t="s">
        <v>16</v>
      </c>
      <c r="K4402" s="2" t="s">
        <v>17</v>
      </c>
      <c r="L4402" s="7">
        <v>149.05000000000001</v>
      </c>
      <c r="M4402" s="2" t="str">
        <f>_xlfn.IFS(TelecomData[[#This Row],[TenureMonths]]&lt;=12, "0-1 Year", TelecomData[[#This Row],[TenureMonths]]&lt;=36, "1-3 Years", TelecomData[[#This Row],[TenureMonths]]&gt;36, "3+ Years")</f>
        <v>0-1 Year</v>
      </c>
      <c r="N4402" s="2" t="str">
        <f>IF(TelecomData[[#This Row],[CleanedTotalCharges]]&gt;=2500,"High Spend", "Standard Spend")</f>
        <v>Standard Spend</v>
      </c>
    </row>
    <row r="4403" spans="1:14" x14ac:dyDescent="0.3">
      <c r="A4403" s="1" t="s">
        <v>4427</v>
      </c>
      <c r="B4403" s="2" t="s">
        <v>12</v>
      </c>
      <c r="C4403" s="2" t="s">
        <v>13</v>
      </c>
      <c r="D4403" s="2">
        <v>46</v>
      </c>
      <c r="E4403" s="2" t="s">
        <v>26</v>
      </c>
      <c r="F4403" s="2" t="s">
        <v>16</v>
      </c>
      <c r="G4403" s="7">
        <v>110.2</v>
      </c>
      <c r="H4403" s="7">
        <v>4972.1000000000004</v>
      </c>
      <c r="I4403" s="2" t="s">
        <v>15</v>
      </c>
      <c r="J4403" s="2" t="s">
        <v>16</v>
      </c>
      <c r="K4403" s="2" t="s">
        <v>17</v>
      </c>
      <c r="L4403" s="7">
        <v>4972.1000000000004</v>
      </c>
      <c r="M4403" s="2" t="str">
        <f>_xlfn.IFS(TelecomData[[#This Row],[TenureMonths]]&lt;=12, "0-1 Year", TelecomData[[#This Row],[TenureMonths]]&lt;=36, "1-3 Years", TelecomData[[#This Row],[TenureMonths]]&gt;36, "3+ Years")</f>
        <v>3+ Years</v>
      </c>
      <c r="N4403" s="2" t="str">
        <f>IF(TelecomData[[#This Row],[CleanedTotalCharges]]&gt;=2500,"High Spend", "Standard Spend")</f>
        <v>High Spend</v>
      </c>
    </row>
    <row r="4404" spans="1:14" x14ac:dyDescent="0.3">
      <c r="A4404" s="1" t="s">
        <v>4428</v>
      </c>
      <c r="B4404" s="2" t="s">
        <v>19</v>
      </c>
      <c r="C4404" s="2" t="s">
        <v>13</v>
      </c>
      <c r="D4404" s="2">
        <v>39</v>
      </c>
      <c r="E4404" s="2" t="s">
        <v>14</v>
      </c>
      <c r="F4404" s="2" t="s">
        <v>16</v>
      </c>
      <c r="G4404" s="7">
        <v>48.95</v>
      </c>
      <c r="H4404" s="7">
        <v>1880.85</v>
      </c>
      <c r="I4404" s="2" t="s">
        <v>16</v>
      </c>
      <c r="J4404" s="2" t="s">
        <v>16</v>
      </c>
      <c r="K4404" s="2" t="s">
        <v>29</v>
      </c>
      <c r="L4404" s="7">
        <v>1880.85</v>
      </c>
      <c r="M4404" s="2" t="str">
        <f>_xlfn.IFS(TelecomData[[#This Row],[TenureMonths]]&lt;=12, "0-1 Year", TelecomData[[#This Row],[TenureMonths]]&lt;=36, "1-3 Years", TelecomData[[#This Row],[TenureMonths]]&gt;36, "3+ Years")</f>
        <v>3+ Years</v>
      </c>
      <c r="N4404" s="2" t="str">
        <f>IF(TelecomData[[#This Row],[CleanedTotalCharges]]&gt;=2500,"High Spend", "Standard Spend")</f>
        <v>Standard Spend</v>
      </c>
    </row>
    <row r="4405" spans="1:14" x14ac:dyDescent="0.3">
      <c r="A4405" s="1" t="s">
        <v>4429</v>
      </c>
      <c r="B4405" s="2" t="s">
        <v>12</v>
      </c>
      <c r="C4405" s="2" t="s">
        <v>13</v>
      </c>
      <c r="D4405" s="2">
        <v>32</v>
      </c>
      <c r="E4405" s="2" t="s">
        <v>14</v>
      </c>
      <c r="F4405" s="2" t="s">
        <v>15</v>
      </c>
      <c r="G4405" s="7">
        <v>62.45</v>
      </c>
      <c r="H4405" s="7">
        <v>2045.55</v>
      </c>
      <c r="I4405" s="2" t="s">
        <v>15</v>
      </c>
      <c r="J4405" s="2" t="s">
        <v>15</v>
      </c>
      <c r="K4405" s="2" t="s">
        <v>24</v>
      </c>
      <c r="L4405" s="7">
        <v>2045.55</v>
      </c>
      <c r="M4405" s="2" t="str">
        <f>_xlfn.IFS(TelecomData[[#This Row],[TenureMonths]]&lt;=12, "0-1 Year", TelecomData[[#This Row],[TenureMonths]]&lt;=36, "1-3 Years", TelecomData[[#This Row],[TenureMonths]]&gt;36, "3+ Years")</f>
        <v>1-3 Years</v>
      </c>
      <c r="N4405" s="2" t="str">
        <f>IF(TelecomData[[#This Row],[CleanedTotalCharges]]&gt;=2500,"High Spend", "Standard Spend")</f>
        <v>Standard Spend</v>
      </c>
    </row>
    <row r="4406" spans="1:14" x14ac:dyDescent="0.3">
      <c r="A4406" s="1" t="s">
        <v>4430</v>
      </c>
      <c r="B4406" s="2" t="s">
        <v>19</v>
      </c>
      <c r="C4406" s="2" t="s">
        <v>13</v>
      </c>
      <c r="D4406" s="2">
        <v>24</v>
      </c>
      <c r="E4406" s="2" t="s">
        <v>26</v>
      </c>
      <c r="F4406" s="2" t="s">
        <v>15</v>
      </c>
      <c r="G4406" s="7">
        <v>89.55</v>
      </c>
      <c r="H4406" s="7">
        <v>2187.15</v>
      </c>
      <c r="I4406" s="2" t="s">
        <v>15</v>
      </c>
      <c r="J4406" s="2" t="s">
        <v>16</v>
      </c>
      <c r="K4406" s="2" t="s">
        <v>17</v>
      </c>
      <c r="L4406" s="7">
        <v>2187.15</v>
      </c>
      <c r="M4406" s="2" t="str">
        <f>_xlfn.IFS(TelecomData[[#This Row],[TenureMonths]]&lt;=12, "0-1 Year", TelecomData[[#This Row],[TenureMonths]]&lt;=36, "1-3 Years", TelecomData[[#This Row],[TenureMonths]]&gt;36, "3+ Years")</f>
        <v>1-3 Years</v>
      </c>
      <c r="N4406" s="2" t="str">
        <f>IF(TelecomData[[#This Row],[CleanedTotalCharges]]&gt;=2500,"High Spend", "Standard Spend")</f>
        <v>Standard Spend</v>
      </c>
    </row>
    <row r="4407" spans="1:14" x14ac:dyDescent="0.3">
      <c r="A4407" s="1" t="s">
        <v>4431</v>
      </c>
      <c r="B4407" s="2" t="s">
        <v>19</v>
      </c>
      <c r="C4407" s="2" t="s">
        <v>13</v>
      </c>
      <c r="D4407" s="2">
        <v>6</v>
      </c>
      <c r="E4407" s="2" t="s">
        <v>26</v>
      </c>
      <c r="F4407" s="2" t="s">
        <v>15</v>
      </c>
      <c r="G4407" s="7">
        <v>83.55</v>
      </c>
      <c r="H4407" s="7">
        <v>477.55</v>
      </c>
      <c r="I4407" s="2" t="s">
        <v>16</v>
      </c>
      <c r="J4407" s="2" t="s">
        <v>16</v>
      </c>
      <c r="K4407" s="2" t="s">
        <v>29</v>
      </c>
      <c r="L4407" s="7">
        <v>477.55</v>
      </c>
      <c r="M4407" s="2" t="str">
        <f>_xlfn.IFS(TelecomData[[#This Row],[TenureMonths]]&lt;=12, "0-1 Year", TelecomData[[#This Row],[TenureMonths]]&lt;=36, "1-3 Years", TelecomData[[#This Row],[TenureMonths]]&gt;36, "3+ Years")</f>
        <v>0-1 Year</v>
      </c>
      <c r="N4407" s="2" t="str">
        <f>IF(TelecomData[[#This Row],[CleanedTotalCharges]]&gt;=2500,"High Spend", "Standard Spend")</f>
        <v>Standard Spend</v>
      </c>
    </row>
    <row r="4408" spans="1:14" x14ac:dyDescent="0.3">
      <c r="A4408" s="1" t="s">
        <v>4432</v>
      </c>
      <c r="B4408" s="2" t="s">
        <v>12</v>
      </c>
      <c r="C4408" s="2" t="s">
        <v>13</v>
      </c>
      <c r="D4408" s="2">
        <v>37</v>
      </c>
      <c r="E4408" s="2" t="s">
        <v>14</v>
      </c>
      <c r="F4408" s="2" t="s">
        <v>16</v>
      </c>
      <c r="G4408" s="7">
        <v>78.900000000000006</v>
      </c>
      <c r="H4408" s="7">
        <v>2976.95</v>
      </c>
      <c r="I4408" s="2" t="s">
        <v>15</v>
      </c>
      <c r="J4408" s="2" t="s">
        <v>16</v>
      </c>
      <c r="K4408" s="2" t="s">
        <v>29</v>
      </c>
      <c r="L4408" s="7">
        <v>2976.95</v>
      </c>
      <c r="M4408" s="2" t="str">
        <f>_xlfn.IFS(TelecomData[[#This Row],[TenureMonths]]&lt;=12, "0-1 Year", TelecomData[[#This Row],[TenureMonths]]&lt;=36, "1-3 Years", TelecomData[[#This Row],[TenureMonths]]&gt;36, "3+ Years")</f>
        <v>3+ Years</v>
      </c>
      <c r="N4408" s="2" t="str">
        <f>IF(TelecomData[[#This Row],[CleanedTotalCharges]]&gt;=2500,"High Spend", "Standard Spend")</f>
        <v>High Spend</v>
      </c>
    </row>
    <row r="4409" spans="1:14" x14ac:dyDescent="0.3">
      <c r="A4409" s="1" t="s">
        <v>4433</v>
      </c>
      <c r="B4409" s="2" t="s">
        <v>19</v>
      </c>
      <c r="C4409" s="2" t="s">
        <v>13</v>
      </c>
      <c r="D4409" s="2">
        <v>8</v>
      </c>
      <c r="E4409" s="2" t="s">
        <v>15</v>
      </c>
      <c r="F4409" s="2" t="s">
        <v>36</v>
      </c>
      <c r="G4409" s="7">
        <v>20.350000000000001</v>
      </c>
      <c r="H4409" s="7">
        <v>178.7</v>
      </c>
      <c r="I4409" s="2" t="s">
        <v>15</v>
      </c>
      <c r="J4409" s="2" t="s">
        <v>15</v>
      </c>
      <c r="K4409" s="2" t="s">
        <v>21</v>
      </c>
      <c r="L4409" s="7">
        <v>178.7</v>
      </c>
      <c r="M4409" s="2" t="str">
        <f>_xlfn.IFS(TelecomData[[#This Row],[TenureMonths]]&lt;=12, "0-1 Year", TelecomData[[#This Row],[TenureMonths]]&lt;=36, "1-3 Years", TelecomData[[#This Row],[TenureMonths]]&gt;36, "3+ Years")</f>
        <v>0-1 Year</v>
      </c>
      <c r="N4409" s="2" t="str">
        <f>IF(TelecomData[[#This Row],[CleanedTotalCharges]]&gt;=2500,"High Spend", "Standard Spend")</f>
        <v>Standard Spend</v>
      </c>
    </row>
    <row r="4410" spans="1:14" x14ac:dyDescent="0.3">
      <c r="A4410" s="1" t="s">
        <v>4434</v>
      </c>
      <c r="B4410" s="2" t="s">
        <v>12</v>
      </c>
      <c r="C4410" s="2" t="s">
        <v>35</v>
      </c>
      <c r="D4410" s="2">
        <v>72</v>
      </c>
      <c r="E4410" s="2" t="s">
        <v>14</v>
      </c>
      <c r="F4410" s="2" t="s">
        <v>15</v>
      </c>
      <c r="G4410" s="7">
        <v>71.45</v>
      </c>
      <c r="H4410" s="7">
        <v>5025.8500000000004</v>
      </c>
      <c r="I4410" s="2" t="s">
        <v>15</v>
      </c>
      <c r="J4410" s="2" t="s">
        <v>16</v>
      </c>
      <c r="K4410" s="2" t="s">
        <v>24</v>
      </c>
      <c r="L4410" s="7">
        <v>5025.8500000000004</v>
      </c>
      <c r="M4410" s="2" t="str">
        <f>_xlfn.IFS(TelecomData[[#This Row],[TenureMonths]]&lt;=12, "0-1 Year", TelecomData[[#This Row],[TenureMonths]]&lt;=36, "1-3 Years", TelecomData[[#This Row],[TenureMonths]]&gt;36, "3+ Years")</f>
        <v>3+ Years</v>
      </c>
      <c r="N4410" s="2" t="str">
        <f>IF(TelecomData[[#This Row],[CleanedTotalCharges]]&gt;=2500,"High Spend", "Standard Spend")</f>
        <v>High Spend</v>
      </c>
    </row>
    <row r="4411" spans="1:14" x14ac:dyDescent="0.3">
      <c r="A4411" s="1" t="s">
        <v>4435</v>
      </c>
      <c r="B4411" s="2" t="s">
        <v>19</v>
      </c>
      <c r="C4411" s="2" t="s">
        <v>35</v>
      </c>
      <c r="D4411" s="2">
        <v>71</v>
      </c>
      <c r="E4411" s="2" t="s">
        <v>14</v>
      </c>
      <c r="F4411" s="2" t="s">
        <v>16</v>
      </c>
      <c r="G4411" s="7">
        <v>46.35</v>
      </c>
      <c r="H4411" s="7">
        <v>3353.4</v>
      </c>
      <c r="I4411" s="2" t="s">
        <v>15</v>
      </c>
      <c r="J4411" s="2" t="s">
        <v>15</v>
      </c>
      <c r="K4411" s="2" t="s">
        <v>29</v>
      </c>
      <c r="L4411" s="7">
        <v>3353.4</v>
      </c>
      <c r="M4411" s="2" t="str">
        <f>_xlfn.IFS(TelecomData[[#This Row],[TenureMonths]]&lt;=12, "0-1 Year", TelecomData[[#This Row],[TenureMonths]]&lt;=36, "1-3 Years", TelecomData[[#This Row],[TenureMonths]]&gt;36, "3+ Years")</f>
        <v>3+ Years</v>
      </c>
      <c r="N4411" s="2" t="str">
        <f>IF(TelecomData[[#This Row],[CleanedTotalCharges]]&gt;=2500,"High Spend", "Standard Spend")</f>
        <v>High Spend</v>
      </c>
    </row>
    <row r="4412" spans="1:14" x14ac:dyDescent="0.3">
      <c r="A4412" s="1" t="s">
        <v>4436</v>
      </c>
      <c r="B4412" s="2" t="s">
        <v>12</v>
      </c>
      <c r="C4412" s="2" t="s">
        <v>13</v>
      </c>
      <c r="D4412" s="2">
        <v>16</v>
      </c>
      <c r="E4412" s="2" t="s">
        <v>26</v>
      </c>
      <c r="F4412" s="2" t="s">
        <v>15</v>
      </c>
      <c r="G4412" s="7">
        <v>94.65</v>
      </c>
      <c r="H4412" s="7">
        <v>1461.15</v>
      </c>
      <c r="I4412" s="2" t="s">
        <v>15</v>
      </c>
      <c r="J4412" s="2" t="s">
        <v>16</v>
      </c>
      <c r="K4412" s="2" t="s">
        <v>24</v>
      </c>
      <c r="L4412" s="7">
        <v>1461.15</v>
      </c>
      <c r="M4412" s="2" t="str">
        <f>_xlfn.IFS(TelecomData[[#This Row],[TenureMonths]]&lt;=12, "0-1 Year", TelecomData[[#This Row],[TenureMonths]]&lt;=36, "1-3 Years", TelecomData[[#This Row],[TenureMonths]]&gt;36, "3+ Years")</f>
        <v>1-3 Years</v>
      </c>
      <c r="N4412" s="2" t="str">
        <f>IF(TelecomData[[#This Row],[CleanedTotalCharges]]&gt;=2500,"High Spend", "Standard Spend")</f>
        <v>Standard Spend</v>
      </c>
    </row>
    <row r="4413" spans="1:14" x14ac:dyDescent="0.3">
      <c r="A4413" s="1" t="s">
        <v>4437</v>
      </c>
      <c r="B4413" s="2" t="s">
        <v>12</v>
      </c>
      <c r="C4413" s="2" t="s">
        <v>13</v>
      </c>
      <c r="D4413" s="2">
        <v>57</v>
      </c>
      <c r="E4413" s="2" t="s">
        <v>14</v>
      </c>
      <c r="F4413" s="2" t="s">
        <v>16</v>
      </c>
      <c r="G4413" s="7">
        <v>49.9</v>
      </c>
      <c r="H4413" s="7">
        <v>2782.4</v>
      </c>
      <c r="I4413" s="2" t="s">
        <v>15</v>
      </c>
      <c r="J4413" s="2" t="s">
        <v>16</v>
      </c>
      <c r="K4413" s="2" t="s">
        <v>24</v>
      </c>
      <c r="L4413" s="7">
        <v>2782.4</v>
      </c>
      <c r="M4413" s="2" t="str">
        <f>_xlfn.IFS(TelecomData[[#This Row],[TenureMonths]]&lt;=12, "0-1 Year", TelecomData[[#This Row],[TenureMonths]]&lt;=36, "1-3 Years", TelecomData[[#This Row],[TenureMonths]]&gt;36, "3+ Years")</f>
        <v>3+ Years</v>
      </c>
      <c r="N4413" s="2" t="str">
        <f>IF(TelecomData[[#This Row],[CleanedTotalCharges]]&gt;=2500,"High Spend", "Standard Spend")</f>
        <v>High Spend</v>
      </c>
    </row>
    <row r="4414" spans="1:14" x14ac:dyDescent="0.3">
      <c r="A4414" s="1" t="s">
        <v>4438</v>
      </c>
      <c r="B4414" s="2" t="s">
        <v>19</v>
      </c>
      <c r="C4414" s="2" t="s">
        <v>20</v>
      </c>
      <c r="D4414" s="2">
        <v>66</v>
      </c>
      <c r="E4414" s="2" t="s">
        <v>15</v>
      </c>
      <c r="F4414" s="2" t="s">
        <v>36</v>
      </c>
      <c r="G4414" s="7">
        <v>25.45</v>
      </c>
      <c r="H4414" s="7">
        <v>1699.15</v>
      </c>
      <c r="I4414" s="2" t="s">
        <v>15</v>
      </c>
      <c r="J4414" s="2" t="s">
        <v>15</v>
      </c>
      <c r="K4414" s="2" t="s">
        <v>24</v>
      </c>
      <c r="L4414" s="7">
        <v>1699.15</v>
      </c>
      <c r="M4414" s="2" t="str">
        <f>_xlfn.IFS(TelecomData[[#This Row],[TenureMonths]]&lt;=12, "0-1 Year", TelecomData[[#This Row],[TenureMonths]]&lt;=36, "1-3 Years", TelecomData[[#This Row],[TenureMonths]]&gt;36, "3+ Years")</f>
        <v>3+ Years</v>
      </c>
      <c r="N4414" s="2" t="str">
        <f>IF(TelecomData[[#This Row],[CleanedTotalCharges]]&gt;=2500,"High Spend", "Standard Spend")</f>
        <v>Standard Spend</v>
      </c>
    </row>
    <row r="4415" spans="1:14" x14ac:dyDescent="0.3">
      <c r="A4415" s="1" t="s">
        <v>4439</v>
      </c>
      <c r="B4415" s="2" t="s">
        <v>12</v>
      </c>
      <c r="C4415" s="2" t="s">
        <v>13</v>
      </c>
      <c r="D4415" s="2">
        <v>17</v>
      </c>
      <c r="E4415" s="2" t="s">
        <v>26</v>
      </c>
      <c r="F4415" s="2" t="s">
        <v>15</v>
      </c>
      <c r="G4415" s="7">
        <v>89.15</v>
      </c>
      <c r="H4415" s="7">
        <v>1496.9</v>
      </c>
      <c r="I4415" s="2" t="s">
        <v>16</v>
      </c>
      <c r="J4415" s="2" t="s">
        <v>16</v>
      </c>
      <c r="K4415" s="2" t="s">
        <v>17</v>
      </c>
      <c r="L4415" s="7">
        <v>1496.9</v>
      </c>
      <c r="M4415" s="2" t="str">
        <f>_xlfn.IFS(TelecomData[[#This Row],[TenureMonths]]&lt;=12, "0-1 Year", TelecomData[[#This Row],[TenureMonths]]&lt;=36, "1-3 Years", TelecomData[[#This Row],[TenureMonths]]&gt;36, "3+ Years")</f>
        <v>1-3 Years</v>
      </c>
      <c r="N4415" s="2" t="str">
        <f>IF(TelecomData[[#This Row],[CleanedTotalCharges]]&gt;=2500,"High Spend", "Standard Spend")</f>
        <v>Standard Spend</v>
      </c>
    </row>
    <row r="4416" spans="1:14" x14ac:dyDescent="0.3">
      <c r="A4416" s="1" t="s">
        <v>4440</v>
      </c>
      <c r="B4416" s="2" t="s">
        <v>12</v>
      </c>
      <c r="C4416" s="2" t="s">
        <v>13</v>
      </c>
      <c r="D4416" s="2">
        <v>21</v>
      </c>
      <c r="E4416" s="2" t="s">
        <v>15</v>
      </c>
      <c r="F4416" s="2" t="s">
        <v>36</v>
      </c>
      <c r="G4416" s="7">
        <v>20.75</v>
      </c>
      <c r="H4416" s="7">
        <v>452.2</v>
      </c>
      <c r="I4416" s="2" t="s">
        <v>15</v>
      </c>
      <c r="J4416" s="2" t="s">
        <v>15</v>
      </c>
      <c r="K4416" s="2" t="s">
        <v>21</v>
      </c>
      <c r="L4416" s="7">
        <v>452.2</v>
      </c>
      <c r="M4416" s="2" t="str">
        <f>_xlfn.IFS(TelecomData[[#This Row],[TenureMonths]]&lt;=12, "0-1 Year", TelecomData[[#This Row],[TenureMonths]]&lt;=36, "1-3 Years", TelecomData[[#This Row],[TenureMonths]]&gt;36, "3+ Years")</f>
        <v>1-3 Years</v>
      </c>
      <c r="N4416" s="2" t="str">
        <f>IF(TelecomData[[#This Row],[CleanedTotalCharges]]&gt;=2500,"High Spend", "Standard Spend")</f>
        <v>Standard Spend</v>
      </c>
    </row>
    <row r="4417" spans="1:14" x14ac:dyDescent="0.3">
      <c r="A4417" s="1" t="s">
        <v>4441</v>
      </c>
      <c r="B4417" s="2" t="s">
        <v>19</v>
      </c>
      <c r="C4417" s="2" t="s">
        <v>35</v>
      </c>
      <c r="D4417" s="2">
        <v>66</v>
      </c>
      <c r="E4417" s="2" t="s">
        <v>14</v>
      </c>
      <c r="F4417" s="2" t="s">
        <v>15</v>
      </c>
      <c r="G4417" s="7">
        <v>66.099999999999994</v>
      </c>
      <c r="H4417" s="7">
        <v>4428.45</v>
      </c>
      <c r="I4417" s="2" t="s">
        <v>15</v>
      </c>
      <c r="J4417" s="2" t="s">
        <v>16</v>
      </c>
      <c r="K4417" s="2" t="s">
        <v>29</v>
      </c>
      <c r="L4417" s="7">
        <v>4428.45</v>
      </c>
      <c r="M4417" s="2" t="str">
        <f>_xlfn.IFS(TelecomData[[#This Row],[TenureMonths]]&lt;=12, "0-1 Year", TelecomData[[#This Row],[TenureMonths]]&lt;=36, "1-3 Years", TelecomData[[#This Row],[TenureMonths]]&gt;36, "3+ Years")</f>
        <v>3+ Years</v>
      </c>
      <c r="N4417" s="2" t="str">
        <f>IF(TelecomData[[#This Row],[CleanedTotalCharges]]&gt;=2500,"High Spend", "Standard Spend")</f>
        <v>High Spend</v>
      </c>
    </row>
    <row r="4418" spans="1:14" x14ac:dyDescent="0.3">
      <c r="A4418" s="1" t="s">
        <v>4442</v>
      </c>
      <c r="B4418" s="2" t="s">
        <v>12</v>
      </c>
      <c r="C4418" s="2" t="s">
        <v>13</v>
      </c>
      <c r="D4418" s="2">
        <v>17</v>
      </c>
      <c r="E4418" s="2" t="s">
        <v>14</v>
      </c>
      <c r="F4418" s="2" t="s">
        <v>15</v>
      </c>
      <c r="G4418" s="7">
        <v>75.400000000000006</v>
      </c>
      <c r="H4418" s="7">
        <v>1322.55</v>
      </c>
      <c r="I4418" s="2" t="s">
        <v>15</v>
      </c>
      <c r="J4418" s="2" t="s">
        <v>16</v>
      </c>
      <c r="K4418" s="2" t="s">
        <v>24</v>
      </c>
      <c r="L4418" s="7">
        <v>1322.55</v>
      </c>
      <c r="M4418" s="2" t="str">
        <f>_xlfn.IFS(TelecomData[[#This Row],[TenureMonths]]&lt;=12, "0-1 Year", TelecomData[[#This Row],[TenureMonths]]&lt;=36, "1-3 Years", TelecomData[[#This Row],[TenureMonths]]&gt;36, "3+ Years")</f>
        <v>1-3 Years</v>
      </c>
      <c r="N4418" s="2" t="str">
        <f>IF(TelecomData[[#This Row],[CleanedTotalCharges]]&gt;=2500,"High Spend", "Standard Spend")</f>
        <v>Standard Spend</v>
      </c>
    </row>
    <row r="4419" spans="1:14" x14ac:dyDescent="0.3">
      <c r="A4419" s="1" t="s">
        <v>4443</v>
      </c>
      <c r="B4419" s="2" t="s">
        <v>19</v>
      </c>
      <c r="C4419" s="2" t="s">
        <v>13</v>
      </c>
      <c r="D4419" s="2">
        <v>1</v>
      </c>
      <c r="E4419" s="2" t="s">
        <v>26</v>
      </c>
      <c r="F4419" s="2" t="s">
        <v>15</v>
      </c>
      <c r="G4419" s="7">
        <v>70.45</v>
      </c>
      <c r="H4419" s="7">
        <v>70.45</v>
      </c>
      <c r="I4419" s="2" t="s">
        <v>16</v>
      </c>
      <c r="J4419" s="2" t="s">
        <v>16</v>
      </c>
      <c r="K4419" s="2" t="s">
        <v>21</v>
      </c>
      <c r="L4419" s="7">
        <v>70.45</v>
      </c>
      <c r="M4419" s="2" t="str">
        <f>_xlfn.IFS(TelecomData[[#This Row],[TenureMonths]]&lt;=12, "0-1 Year", TelecomData[[#This Row],[TenureMonths]]&lt;=36, "1-3 Years", TelecomData[[#This Row],[TenureMonths]]&gt;36, "3+ Years")</f>
        <v>0-1 Year</v>
      </c>
      <c r="N4419" s="2" t="str">
        <f>IF(TelecomData[[#This Row],[CleanedTotalCharges]]&gt;=2500,"High Spend", "Standard Spend")</f>
        <v>Standard Spend</v>
      </c>
    </row>
    <row r="4420" spans="1:14" x14ac:dyDescent="0.3">
      <c r="A4420" s="1" t="s">
        <v>4444</v>
      </c>
      <c r="B4420" s="2" t="s">
        <v>19</v>
      </c>
      <c r="C4420" s="2" t="s">
        <v>20</v>
      </c>
      <c r="D4420" s="2">
        <v>58</v>
      </c>
      <c r="E4420" s="2" t="s">
        <v>14</v>
      </c>
      <c r="F4420" s="2" t="s">
        <v>15</v>
      </c>
      <c r="G4420" s="7">
        <v>60.3</v>
      </c>
      <c r="H4420" s="7">
        <v>3563.8</v>
      </c>
      <c r="I4420" s="2" t="s">
        <v>16</v>
      </c>
      <c r="J4420" s="2" t="s">
        <v>15</v>
      </c>
      <c r="K4420" s="2" t="s">
        <v>29</v>
      </c>
      <c r="L4420" s="7">
        <v>3563.8</v>
      </c>
      <c r="M4420" s="2" t="str">
        <f>_xlfn.IFS(TelecomData[[#This Row],[TenureMonths]]&lt;=12, "0-1 Year", TelecomData[[#This Row],[TenureMonths]]&lt;=36, "1-3 Years", TelecomData[[#This Row],[TenureMonths]]&gt;36, "3+ Years")</f>
        <v>3+ Years</v>
      </c>
      <c r="N4420" s="2" t="str">
        <f>IF(TelecomData[[#This Row],[CleanedTotalCharges]]&gt;=2500,"High Spend", "Standard Spend")</f>
        <v>High Spend</v>
      </c>
    </row>
    <row r="4421" spans="1:14" x14ac:dyDescent="0.3">
      <c r="A4421" s="1" t="s">
        <v>4445</v>
      </c>
      <c r="B4421" s="2" t="s">
        <v>12</v>
      </c>
      <c r="C4421" s="2" t="s">
        <v>13</v>
      </c>
      <c r="D4421" s="2">
        <v>8</v>
      </c>
      <c r="E4421" s="2" t="s">
        <v>15</v>
      </c>
      <c r="F4421" s="2" t="s">
        <v>36</v>
      </c>
      <c r="G4421" s="7">
        <v>21.05</v>
      </c>
      <c r="H4421" s="7">
        <v>139.75</v>
      </c>
      <c r="I4421" s="2" t="s">
        <v>15</v>
      </c>
      <c r="J4421" s="2" t="s">
        <v>15</v>
      </c>
      <c r="K4421" s="2" t="s">
        <v>29</v>
      </c>
      <c r="L4421" s="7">
        <v>139.75</v>
      </c>
      <c r="M4421" s="2" t="str">
        <f>_xlfn.IFS(TelecomData[[#This Row],[TenureMonths]]&lt;=12, "0-1 Year", TelecomData[[#This Row],[TenureMonths]]&lt;=36, "1-3 Years", TelecomData[[#This Row],[TenureMonths]]&gt;36, "3+ Years")</f>
        <v>0-1 Year</v>
      </c>
      <c r="N4421" s="2" t="str">
        <f>IF(TelecomData[[#This Row],[CleanedTotalCharges]]&gt;=2500,"High Spend", "Standard Spend")</f>
        <v>Standard Spend</v>
      </c>
    </row>
    <row r="4422" spans="1:14" x14ac:dyDescent="0.3">
      <c r="A4422" s="1" t="s">
        <v>4446</v>
      </c>
      <c r="B4422" s="2" t="s">
        <v>19</v>
      </c>
      <c r="C4422" s="2" t="s">
        <v>20</v>
      </c>
      <c r="D4422" s="2">
        <v>27</v>
      </c>
      <c r="E4422" s="2" t="s">
        <v>14</v>
      </c>
      <c r="F4422" s="2" t="s">
        <v>16</v>
      </c>
      <c r="G4422" s="7">
        <v>69.349999999999994</v>
      </c>
      <c r="H4422" s="7">
        <v>1927.3</v>
      </c>
      <c r="I4422" s="2" t="s">
        <v>15</v>
      </c>
      <c r="J4422" s="2" t="s">
        <v>15</v>
      </c>
      <c r="K4422" s="2" t="s">
        <v>29</v>
      </c>
      <c r="L4422" s="7">
        <v>1927.3</v>
      </c>
      <c r="M4422" s="2" t="str">
        <f>_xlfn.IFS(TelecomData[[#This Row],[TenureMonths]]&lt;=12, "0-1 Year", TelecomData[[#This Row],[TenureMonths]]&lt;=36, "1-3 Years", TelecomData[[#This Row],[TenureMonths]]&gt;36, "3+ Years")</f>
        <v>1-3 Years</v>
      </c>
      <c r="N4422" s="2" t="str">
        <f>IF(TelecomData[[#This Row],[CleanedTotalCharges]]&gt;=2500,"High Spend", "Standard Spend")</f>
        <v>Standard Spend</v>
      </c>
    </row>
    <row r="4423" spans="1:14" x14ac:dyDescent="0.3">
      <c r="A4423" s="1" t="s">
        <v>4447</v>
      </c>
      <c r="B4423" s="2" t="s">
        <v>19</v>
      </c>
      <c r="C4423" s="2" t="s">
        <v>13</v>
      </c>
      <c r="D4423" s="2">
        <v>34</v>
      </c>
      <c r="E4423" s="2" t="s">
        <v>26</v>
      </c>
      <c r="F4423" s="2" t="s">
        <v>15</v>
      </c>
      <c r="G4423" s="7">
        <v>88.85</v>
      </c>
      <c r="H4423" s="7">
        <v>3000.25</v>
      </c>
      <c r="I4423" s="2" t="s">
        <v>15</v>
      </c>
      <c r="J4423" s="2" t="s">
        <v>15</v>
      </c>
      <c r="K4423" s="2" t="s">
        <v>21</v>
      </c>
      <c r="L4423" s="7">
        <v>3000.25</v>
      </c>
      <c r="M4423" s="2" t="str">
        <f>_xlfn.IFS(TelecomData[[#This Row],[TenureMonths]]&lt;=12, "0-1 Year", TelecomData[[#This Row],[TenureMonths]]&lt;=36, "1-3 Years", TelecomData[[#This Row],[TenureMonths]]&gt;36, "3+ Years")</f>
        <v>1-3 Years</v>
      </c>
      <c r="N4423" s="2" t="str">
        <f>IF(TelecomData[[#This Row],[CleanedTotalCharges]]&gt;=2500,"High Spend", "Standard Spend")</f>
        <v>High Spend</v>
      </c>
    </row>
    <row r="4424" spans="1:14" x14ac:dyDescent="0.3">
      <c r="A4424" s="1" t="s">
        <v>4448</v>
      </c>
      <c r="B4424" s="2" t="s">
        <v>19</v>
      </c>
      <c r="C4424" s="2" t="s">
        <v>20</v>
      </c>
      <c r="D4424" s="2">
        <v>30</v>
      </c>
      <c r="E4424" s="2" t="s">
        <v>26</v>
      </c>
      <c r="F4424" s="2" t="s">
        <v>15</v>
      </c>
      <c r="G4424" s="7">
        <v>97</v>
      </c>
      <c r="H4424" s="7">
        <v>3021.3</v>
      </c>
      <c r="I4424" s="2" t="s">
        <v>15</v>
      </c>
      <c r="J4424" s="2" t="s">
        <v>16</v>
      </c>
      <c r="K4424" s="2" t="s">
        <v>24</v>
      </c>
      <c r="L4424" s="7">
        <v>3021.3</v>
      </c>
      <c r="M4424" s="2" t="str">
        <f>_xlfn.IFS(TelecomData[[#This Row],[TenureMonths]]&lt;=12, "0-1 Year", TelecomData[[#This Row],[TenureMonths]]&lt;=36, "1-3 Years", TelecomData[[#This Row],[TenureMonths]]&gt;36, "3+ Years")</f>
        <v>1-3 Years</v>
      </c>
      <c r="N4424" s="2" t="str">
        <f>IF(TelecomData[[#This Row],[CleanedTotalCharges]]&gt;=2500,"High Spend", "Standard Spend")</f>
        <v>High Spend</v>
      </c>
    </row>
    <row r="4425" spans="1:14" x14ac:dyDescent="0.3">
      <c r="A4425" s="1" t="s">
        <v>4449</v>
      </c>
      <c r="B4425" s="2" t="s">
        <v>19</v>
      </c>
      <c r="C4425" s="2" t="s">
        <v>13</v>
      </c>
      <c r="D4425" s="2">
        <v>33</v>
      </c>
      <c r="E4425" s="2" t="s">
        <v>14</v>
      </c>
      <c r="F4425" s="2" t="s">
        <v>15</v>
      </c>
      <c r="G4425" s="7">
        <v>66.400000000000006</v>
      </c>
      <c r="H4425" s="7">
        <v>2245.4</v>
      </c>
      <c r="I4425" s="2" t="s">
        <v>15</v>
      </c>
      <c r="J4425" s="2" t="s">
        <v>16</v>
      </c>
      <c r="K4425" s="2" t="s">
        <v>29</v>
      </c>
      <c r="L4425" s="7">
        <v>2245.4</v>
      </c>
      <c r="M4425" s="2" t="str">
        <f>_xlfn.IFS(TelecomData[[#This Row],[TenureMonths]]&lt;=12, "0-1 Year", TelecomData[[#This Row],[TenureMonths]]&lt;=36, "1-3 Years", TelecomData[[#This Row],[TenureMonths]]&gt;36, "3+ Years")</f>
        <v>1-3 Years</v>
      </c>
      <c r="N4425" s="2" t="str">
        <f>IF(TelecomData[[#This Row],[CleanedTotalCharges]]&gt;=2500,"High Spend", "Standard Spend")</f>
        <v>Standard Spend</v>
      </c>
    </row>
    <row r="4426" spans="1:14" x14ac:dyDescent="0.3">
      <c r="A4426" s="1" t="s">
        <v>4450</v>
      </c>
      <c r="B4426" s="2" t="s">
        <v>19</v>
      </c>
      <c r="C4426" s="2" t="s">
        <v>13</v>
      </c>
      <c r="D4426" s="2">
        <v>1</v>
      </c>
      <c r="E4426" s="2" t="s">
        <v>14</v>
      </c>
      <c r="F4426" s="2" t="s">
        <v>15</v>
      </c>
      <c r="G4426" s="7">
        <v>24.75</v>
      </c>
      <c r="H4426" s="7">
        <v>24.75</v>
      </c>
      <c r="I4426" s="2" t="s">
        <v>16</v>
      </c>
      <c r="J4426" s="2" t="s">
        <v>15</v>
      </c>
      <c r="K4426" s="2" t="s">
        <v>17</v>
      </c>
      <c r="L4426" s="7">
        <v>24.75</v>
      </c>
      <c r="M4426" s="2" t="str">
        <f>_xlfn.IFS(TelecomData[[#This Row],[TenureMonths]]&lt;=12, "0-1 Year", TelecomData[[#This Row],[TenureMonths]]&lt;=36, "1-3 Years", TelecomData[[#This Row],[TenureMonths]]&gt;36, "3+ Years")</f>
        <v>0-1 Year</v>
      </c>
      <c r="N4426" s="2" t="str">
        <f>IF(TelecomData[[#This Row],[CleanedTotalCharges]]&gt;=2500,"High Spend", "Standard Spend")</f>
        <v>Standard Spend</v>
      </c>
    </row>
    <row r="4427" spans="1:14" x14ac:dyDescent="0.3">
      <c r="A4427" s="1" t="s">
        <v>4451</v>
      </c>
      <c r="B4427" s="2" t="s">
        <v>19</v>
      </c>
      <c r="C4427" s="2" t="s">
        <v>13</v>
      </c>
      <c r="D4427" s="2">
        <v>14</v>
      </c>
      <c r="E4427" s="2" t="s">
        <v>14</v>
      </c>
      <c r="F4427" s="2" t="s">
        <v>15</v>
      </c>
      <c r="G4427" s="7">
        <v>69.2</v>
      </c>
      <c r="H4427" s="7">
        <v>944.65</v>
      </c>
      <c r="I4427" s="2" t="s">
        <v>15</v>
      </c>
      <c r="J4427" s="2" t="s">
        <v>15</v>
      </c>
      <c r="K4427" s="2" t="s">
        <v>21</v>
      </c>
      <c r="L4427" s="7">
        <v>944.65</v>
      </c>
      <c r="M4427" s="2" t="str">
        <f>_xlfn.IFS(TelecomData[[#This Row],[TenureMonths]]&lt;=12, "0-1 Year", TelecomData[[#This Row],[TenureMonths]]&lt;=36, "1-3 Years", TelecomData[[#This Row],[TenureMonths]]&gt;36, "3+ Years")</f>
        <v>1-3 Years</v>
      </c>
      <c r="N4427" s="2" t="str">
        <f>IF(TelecomData[[#This Row],[CleanedTotalCharges]]&gt;=2500,"High Spend", "Standard Spend")</f>
        <v>Standard Spend</v>
      </c>
    </row>
    <row r="4428" spans="1:14" x14ac:dyDescent="0.3">
      <c r="A4428" s="1" t="s">
        <v>4452</v>
      </c>
      <c r="B4428" s="2" t="s">
        <v>12</v>
      </c>
      <c r="C4428" s="2" t="s">
        <v>20</v>
      </c>
      <c r="D4428" s="2">
        <v>16</v>
      </c>
      <c r="E4428" s="2" t="s">
        <v>26</v>
      </c>
      <c r="F4428" s="2" t="s">
        <v>16</v>
      </c>
      <c r="G4428" s="7">
        <v>79.5</v>
      </c>
      <c r="H4428" s="7">
        <v>1264.2</v>
      </c>
      <c r="I4428" s="2" t="s">
        <v>15</v>
      </c>
      <c r="J4428" s="2" t="s">
        <v>16</v>
      </c>
      <c r="K4428" s="2" t="s">
        <v>29</v>
      </c>
      <c r="L4428" s="7">
        <v>1264.2</v>
      </c>
      <c r="M4428" s="2" t="str">
        <f>_xlfn.IFS(TelecomData[[#This Row],[TenureMonths]]&lt;=12, "0-1 Year", TelecomData[[#This Row],[TenureMonths]]&lt;=36, "1-3 Years", TelecomData[[#This Row],[TenureMonths]]&gt;36, "3+ Years")</f>
        <v>1-3 Years</v>
      </c>
      <c r="N4428" s="2" t="str">
        <f>IF(TelecomData[[#This Row],[CleanedTotalCharges]]&gt;=2500,"High Spend", "Standard Spend")</f>
        <v>Standard Spend</v>
      </c>
    </row>
    <row r="4429" spans="1:14" x14ac:dyDescent="0.3">
      <c r="A4429" s="1" t="s">
        <v>4453</v>
      </c>
      <c r="B4429" s="2" t="s">
        <v>12</v>
      </c>
      <c r="C4429" s="2" t="s">
        <v>35</v>
      </c>
      <c r="D4429" s="2">
        <v>49</v>
      </c>
      <c r="E4429" s="2" t="s">
        <v>26</v>
      </c>
      <c r="F4429" s="2" t="s">
        <v>16</v>
      </c>
      <c r="G4429" s="7">
        <v>100.65</v>
      </c>
      <c r="H4429" s="7">
        <v>4917.75</v>
      </c>
      <c r="I4429" s="2" t="s">
        <v>15</v>
      </c>
      <c r="J4429" s="2" t="s">
        <v>15</v>
      </c>
      <c r="K4429" s="2" t="s">
        <v>29</v>
      </c>
      <c r="L4429" s="7">
        <v>4917.75</v>
      </c>
      <c r="M4429" s="2" t="str">
        <f>_xlfn.IFS(TelecomData[[#This Row],[TenureMonths]]&lt;=12, "0-1 Year", TelecomData[[#This Row],[TenureMonths]]&lt;=36, "1-3 Years", TelecomData[[#This Row],[TenureMonths]]&gt;36, "3+ Years")</f>
        <v>3+ Years</v>
      </c>
      <c r="N4429" s="2" t="str">
        <f>IF(TelecomData[[#This Row],[CleanedTotalCharges]]&gt;=2500,"High Spend", "Standard Spend")</f>
        <v>High Spend</v>
      </c>
    </row>
    <row r="4430" spans="1:14" x14ac:dyDescent="0.3">
      <c r="A4430" s="1" t="s">
        <v>4454</v>
      </c>
      <c r="B4430" s="2" t="s">
        <v>19</v>
      </c>
      <c r="C4430" s="2" t="s">
        <v>13</v>
      </c>
      <c r="D4430" s="2">
        <v>19</v>
      </c>
      <c r="E4430" s="2" t="s">
        <v>26</v>
      </c>
      <c r="F4430" s="2" t="s">
        <v>16</v>
      </c>
      <c r="G4430" s="7">
        <v>103.3</v>
      </c>
      <c r="H4430" s="7">
        <v>2012.7</v>
      </c>
      <c r="I4430" s="2" t="s">
        <v>16</v>
      </c>
      <c r="J4430" s="2" t="s">
        <v>15</v>
      </c>
      <c r="K4430" s="2" t="s">
        <v>17</v>
      </c>
      <c r="L4430" s="7">
        <v>2012.7</v>
      </c>
      <c r="M4430" s="2" t="str">
        <f>_xlfn.IFS(TelecomData[[#This Row],[TenureMonths]]&lt;=12, "0-1 Year", TelecomData[[#This Row],[TenureMonths]]&lt;=36, "1-3 Years", TelecomData[[#This Row],[TenureMonths]]&gt;36, "3+ Years")</f>
        <v>1-3 Years</v>
      </c>
      <c r="N4430" s="2" t="str">
        <f>IF(TelecomData[[#This Row],[CleanedTotalCharges]]&gt;=2500,"High Spend", "Standard Spend")</f>
        <v>Standard Spend</v>
      </c>
    </row>
    <row r="4431" spans="1:14" x14ac:dyDescent="0.3">
      <c r="A4431" s="1" t="s">
        <v>4455</v>
      </c>
      <c r="B4431" s="2" t="s">
        <v>12</v>
      </c>
      <c r="C4431" s="2" t="s">
        <v>35</v>
      </c>
      <c r="D4431" s="2">
        <v>70</v>
      </c>
      <c r="E4431" s="2" t="s">
        <v>14</v>
      </c>
      <c r="F4431" s="2" t="s">
        <v>16</v>
      </c>
      <c r="G4431" s="7">
        <v>79.7</v>
      </c>
      <c r="H4431" s="7">
        <v>5743.3</v>
      </c>
      <c r="I4431" s="2" t="s">
        <v>15</v>
      </c>
      <c r="J4431" s="2" t="s">
        <v>15</v>
      </c>
      <c r="K4431" s="2" t="s">
        <v>24</v>
      </c>
      <c r="L4431" s="7">
        <v>5743.3</v>
      </c>
      <c r="M4431" s="2" t="str">
        <f>_xlfn.IFS(TelecomData[[#This Row],[TenureMonths]]&lt;=12, "0-1 Year", TelecomData[[#This Row],[TenureMonths]]&lt;=36, "1-3 Years", TelecomData[[#This Row],[TenureMonths]]&gt;36, "3+ Years")</f>
        <v>3+ Years</v>
      </c>
      <c r="N4431" s="2" t="str">
        <f>IF(TelecomData[[#This Row],[CleanedTotalCharges]]&gt;=2500,"High Spend", "Standard Spend")</f>
        <v>High Spend</v>
      </c>
    </row>
    <row r="4432" spans="1:14" x14ac:dyDescent="0.3">
      <c r="A4432" s="1" t="s">
        <v>4456</v>
      </c>
      <c r="B4432" s="2" t="s">
        <v>12</v>
      </c>
      <c r="C4432" s="2" t="s">
        <v>13</v>
      </c>
      <c r="D4432" s="2">
        <v>32</v>
      </c>
      <c r="E4432" s="2" t="s">
        <v>14</v>
      </c>
      <c r="F4432" s="2" t="s">
        <v>16</v>
      </c>
      <c r="G4432" s="7">
        <v>61.4</v>
      </c>
      <c r="H4432" s="7">
        <v>1864.65</v>
      </c>
      <c r="I4432" s="2" t="s">
        <v>15</v>
      </c>
      <c r="J4432" s="2" t="s">
        <v>15</v>
      </c>
      <c r="K4432" s="2" t="s">
        <v>24</v>
      </c>
      <c r="L4432" s="7">
        <v>1864.65</v>
      </c>
      <c r="M4432" s="2" t="str">
        <f>_xlfn.IFS(TelecomData[[#This Row],[TenureMonths]]&lt;=12, "0-1 Year", TelecomData[[#This Row],[TenureMonths]]&lt;=36, "1-3 Years", TelecomData[[#This Row],[TenureMonths]]&gt;36, "3+ Years")</f>
        <v>1-3 Years</v>
      </c>
      <c r="N4432" s="2" t="str">
        <f>IF(TelecomData[[#This Row],[CleanedTotalCharges]]&gt;=2500,"High Spend", "Standard Spend")</f>
        <v>Standard Spend</v>
      </c>
    </row>
    <row r="4433" spans="1:14" x14ac:dyDescent="0.3">
      <c r="A4433" s="1" t="s">
        <v>4457</v>
      </c>
      <c r="B4433" s="2" t="s">
        <v>12</v>
      </c>
      <c r="C4433" s="2" t="s">
        <v>13</v>
      </c>
      <c r="D4433" s="2">
        <v>18</v>
      </c>
      <c r="E4433" s="2" t="s">
        <v>26</v>
      </c>
      <c r="F4433" s="2" t="s">
        <v>15</v>
      </c>
      <c r="G4433" s="7">
        <v>69.8</v>
      </c>
      <c r="H4433" s="7">
        <v>1221.6500000000001</v>
      </c>
      <c r="I4433" s="2" t="s">
        <v>15</v>
      </c>
      <c r="J4433" s="2" t="s">
        <v>16</v>
      </c>
      <c r="K4433" s="2" t="s">
        <v>17</v>
      </c>
      <c r="L4433" s="7">
        <v>1221.6500000000001</v>
      </c>
      <c r="M4433" s="2" t="str">
        <f>_xlfn.IFS(TelecomData[[#This Row],[TenureMonths]]&lt;=12, "0-1 Year", TelecomData[[#This Row],[TenureMonths]]&lt;=36, "1-3 Years", TelecomData[[#This Row],[TenureMonths]]&gt;36, "3+ Years")</f>
        <v>1-3 Years</v>
      </c>
      <c r="N4433" s="2" t="str">
        <f>IF(TelecomData[[#This Row],[CleanedTotalCharges]]&gt;=2500,"High Spend", "Standard Spend")</f>
        <v>Standard Spend</v>
      </c>
    </row>
    <row r="4434" spans="1:14" x14ac:dyDescent="0.3">
      <c r="A4434" s="1" t="s">
        <v>4458</v>
      </c>
      <c r="B4434" s="2" t="s">
        <v>19</v>
      </c>
      <c r="C4434" s="2" t="s">
        <v>35</v>
      </c>
      <c r="D4434" s="2">
        <v>37</v>
      </c>
      <c r="E4434" s="2" t="s">
        <v>14</v>
      </c>
      <c r="F4434" s="2" t="s">
        <v>16</v>
      </c>
      <c r="G4434" s="7">
        <v>40.549999999999997</v>
      </c>
      <c r="H4434" s="7">
        <v>1390.85</v>
      </c>
      <c r="I4434" s="2" t="s">
        <v>15</v>
      </c>
      <c r="J4434" s="2" t="s">
        <v>16</v>
      </c>
      <c r="K4434" s="2" t="s">
        <v>21</v>
      </c>
      <c r="L4434" s="7">
        <v>1390.85</v>
      </c>
      <c r="M4434" s="2" t="str">
        <f>_xlfn.IFS(TelecomData[[#This Row],[TenureMonths]]&lt;=12, "0-1 Year", TelecomData[[#This Row],[TenureMonths]]&lt;=36, "1-3 Years", TelecomData[[#This Row],[TenureMonths]]&gt;36, "3+ Years")</f>
        <v>3+ Years</v>
      </c>
      <c r="N4434" s="2" t="str">
        <f>IF(TelecomData[[#This Row],[CleanedTotalCharges]]&gt;=2500,"High Spend", "Standard Spend")</f>
        <v>Standard Spend</v>
      </c>
    </row>
    <row r="4435" spans="1:14" x14ac:dyDescent="0.3">
      <c r="A4435" s="1" t="s">
        <v>4459</v>
      </c>
      <c r="B4435" s="2" t="s">
        <v>12</v>
      </c>
      <c r="C4435" s="2" t="s">
        <v>13</v>
      </c>
      <c r="D4435" s="2">
        <v>4</v>
      </c>
      <c r="E4435" s="2" t="s">
        <v>26</v>
      </c>
      <c r="F4435" s="2" t="s">
        <v>15</v>
      </c>
      <c r="G4435" s="7">
        <v>75.650000000000006</v>
      </c>
      <c r="H4435" s="7">
        <v>302.35000000000002</v>
      </c>
      <c r="I4435" s="2" t="s">
        <v>15</v>
      </c>
      <c r="J4435" s="2" t="s">
        <v>16</v>
      </c>
      <c r="K4435" s="2" t="s">
        <v>17</v>
      </c>
      <c r="L4435" s="7">
        <v>302.35000000000002</v>
      </c>
      <c r="M4435" s="2" t="str">
        <f>_xlfn.IFS(TelecomData[[#This Row],[TenureMonths]]&lt;=12, "0-1 Year", TelecomData[[#This Row],[TenureMonths]]&lt;=36, "1-3 Years", TelecomData[[#This Row],[TenureMonths]]&gt;36, "3+ Years")</f>
        <v>0-1 Year</v>
      </c>
      <c r="N4435" s="2" t="str">
        <f>IF(TelecomData[[#This Row],[CleanedTotalCharges]]&gt;=2500,"High Spend", "Standard Spend")</f>
        <v>Standard Spend</v>
      </c>
    </row>
    <row r="4436" spans="1:14" x14ac:dyDescent="0.3">
      <c r="A4436" s="1" t="s">
        <v>4460</v>
      </c>
      <c r="B4436" s="2" t="s">
        <v>12</v>
      </c>
      <c r="C4436" s="2" t="s">
        <v>13</v>
      </c>
      <c r="D4436" s="2">
        <v>16</v>
      </c>
      <c r="E4436" s="2" t="s">
        <v>26</v>
      </c>
      <c r="F4436" s="2" t="s">
        <v>15</v>
      </c>
      <c r="G4436" s="7">
        <v>90.7</v>
      </c>
      <c r="H4436" s="7">
        <v>1374.9</v>
      </c>
      <c r="I4436" s="2" t="s">
        <v>15</v>
      </c>
      <c r="J4436" s="2" t="s">
        <v>15</v>
      </c>
      <c r="K4436" s="2" t="s">
        <v>17</v>
      </c>
      <c r="L4436" s="7">
        <v>1374.9</v>
      </c>
      <c r="M4436" s="2" t="str">
        <f>_xlfn.IFS(TelecomData[[#This Row],[TenureMonths]]&lt;=12, "0-1 Year", TelecomData[[#This Row],[TenureMonths]]&lt;=36, "1-3 Years", TelecomData[[#This Row],[TenureMonths]]&gt;36, "3+ Years")</f>
        <v>1-3 Years</v>
      </c>
      <c r="N4436" s="2" t="str">
        <f>IF(TelecomData[[#This Row],[CleanedTotalCharges]]&gt;=2500,"High Spend", "Standard Spend")</f>
        <v>Standard Spend</v>
      </c>
    </row>
    <row r="4437" spans="1:14" x14ac:dyDescent="0.3">
      <c r="A4437" s="1" t="s">
        <v>4461</v>
      </c>
      <c r="B4437" s="2" t="s">
        <v>19</v>
      </c>
      <c r="C4437" s="2" t="s">
        <v>13</v>
      </c>
      <c r="D4437" s="2">
        <v>17</v>
      </c>
      <c r="E4437" s="2" t="s">
        <v>26</v>
      </c>
      <c r="F4437" s="2" t="s">
        <v>15</v>
      </c>
      <c r="G4437" s="7">
        <v>80.5</v>
      </c>
      <c r="H4437" s="7">
        <v>1336.9</v>
      </c>
      <c r="I4437" s="2" t="s">
        <v>15</v>
      </c>
      <c r="J4437" s="2" t="s">
        <v>16</v>
      </c>
      <c r="K4437" s="2" t="s">
        <v>24</v>
      </c>
      <c r="L4437" s="7">
        <v>1336.9</v>
      </c>
      <c r="M4437" s="2" t="str">
        <f>_xlfn.IFS(TelecomData[[#This Row],[TenureMonths]]&lt;=12, "0-1 Year", TelecomData[[#This Row],[TenureMonths]]&lt;=36, "1-3 Years", TelecomData[[#This Row],[TenureMonths]]&gt;36, "3+ Years")</f>
        <v>1-3 Years</v>
      </c>
      <c r="N4437" s="2" t="str">
        <f>IF(TelecomData[[#This Row],[CleanedTotalCharges]]&gt;=2500,"High Spend", "Standard Spend")</f>
        <v>Standard Spend</v>
      </c>
    </row>
    <row r="4438" spans="1:14" x14ac:dyDescent="0.3">
      <c r="A4438" s="1" t="s">
        <v>4462</v>
      </c>
      <c r="B4438" s="2" t="s">
        <v>12</v>
      </c>
      <c r="C4438" s="2" t="s">
        <v>13</v>
      </c>
      <c r="D4438" s="2">
        <v>19</v>
      </c>
      <c r="E4438" s="2" t="s">
        <v>14</v>
      </c>
      <c r="F4438" s="2" t="s">
        <v>15</v>
      </c>
      <c r="G4438" s="7">
        <v>60.6</v>
      </c>
      <c r="H4438" s="7">
        <v>1297.8</v>
      </c>
      <c r="I4438" s="2" t="s">
        <v>15</v>
      </c>
      <c r="J4438" s="2" t="s">
        <v>16</v>
      </c>
      <c r="K4438" s="2" t="s">
        <v>17</v>
      </c>
      <c r="L4438" s="7">
        <v>1297.8</v>
      </c>
      <c r="M4438" s="2" t="str">
        <f>_xlfn.IFS(TelecomData[[#This Row],[TenureMonths]]&lt;=12, "0-1 Year", TelecomData[[#This Row],[TenureMonths]]&lt;=36, "1-3 Years", TelecomData[[#This Row],[TenureMonths]]&gt;36, "3+ Years")</f>
        <v>1-3 Years</v>
      </c>
      <c r="N4438" s="2" t="str">
        <f>IF(TelecomData[[#This Row],[CleanedTotalCharges]]&gt;=2500,"High Spend", "Standard Spend")</f>
        <v>Standard Spend</v>
      </c>
    </row>
    <row r="4439" spans="1:14" x14ac:dyDescent="0.3">
      <c r="A4439" s="1" t="s">
        <v>4463</v>
      </c>
      <c r="B4439" s="2" t="s">
        <v>19</v>
      </c>
      <c r="C4439" s="2" t="s">
        <v>35</v>
      </c>
      <c r="D4439" s="2">
        <v>60</v>
      </c>
      <c r="E4439" s="2" t="s">
        <v>26</v>
      </c>
      <c r="F4439" s="2" t="s">
        <v>15</v>
      </c>
      <c r="G4439" s="7">
        <v>101.15</v>
      </c>
      <c r="H4439" s="7">
        <v>6067.4</v>
      </c>
      <c r="I4439" s="2" t="s">
        <v>15</v>
      </c>
      <c r="J4439" s="2" t="s">
        <v>15</v>
      </c>
      <c r="K4439" s="2" t="s">
        <v>29</v>
      </c>
      <c r="L4439" s="7">
        <v>6067.4</v>
      </c>
      <c r="M4439" s="2" t="str">
        <f>_xlfn.IFS(TelecomData[[#This Row],[TenureMonths]]&lt;=12, "0-1 Year", TelecomData[[#This Row],[TenureMonths]]&lt;=36, "1-3 Years", TelecomData[[#This Row],[TenureMonths]]&gt;36, "3+ Years")</f>
        <v>3+ Years</v>
      </c>
      <c r="N4439" s="2" t="str">
        <f>IF(TelecomData[[#This Row],[CleanedTotalCharges]]&gt;=2500,"High Spend", "Standard Spend")</f>
        <v>High Spend</v>
      </c>
    </row>
    <row r="4440" spans="1:14" x14ac:dyDescent="0.3">
      <c r="A4440" s="1" t="s">
        <v>4464</v>
      </c>
      <c r="B4440" s="2" t="s">
        <v>19</v>
      </c>
      <c r="C4440" s="2" t="s">
        <v>35</v>
      </c>
      <c r="D4440" s="2">
        <v>51</v>
      </c>
      <c r="E4440" s="2" t="s">
        <v>15</v>
      </c>
      <c r="F4440" s="2" t="s">
        <v>36</v>
      </c>
      <c r="G4440" s="7">
        <v>24.95</v>
      </c>
      <c r="H4440" s="7">
        <v>1222.25</v>
      </c>
      <c r="I4440" s="2" t="s">
        <v>15</v>
      </c>
      <c r="J4440" s="2" t="s">
        <v>16</v>
      </c>
      <c r="K4440" s="2" t="s">
        <v>21</v>
      </c>
      <c r="L4440" s="7">
        <v>1222.25</v>
      </c>
      <c r="M4440" s="2" t="str">
        <f>_xlfn.IFS(TelecomData[[#This Row],[TenureMonths]]&lt;=12, "0-1 Year", TelecomData[[#This Row],[TenureMonths]]&lt;=36, "1-3 Years", TelecomData[[#This Row],[TenureMonths]]&gt;36, "3+ Years")</f>
        <v>3+ Years</v>
      </c>
      <c r="N4440" s="2" t="str">
        <f>IF(TelecomData[[#This Row],[CleanedTotalCharges]]&gt;=2500,"High Spend", "Standard Spend")</f>
        <v>Standard Spend</v>
      </c>
    </row>
    <row r="4441" spans="1:14" x14ac:dyDescent="0.3">
      <c r="A4441" s="1" t="s">
        <v>4465</v>
      </c>
      <c r="B4441" s="2" t="s">
        <v>19</v>
      </c>
      <c r="C4441" s="2" t="s">
        <v>35</v>
      </c>
      <c r="D4441" s="2">
        <v>28</v>
      </c>
      <c r="E4441" s="2" t="s">
        <v>15</v>
      </c>
      <c r="F4441" s="2" t="s">
        <v>36</v>
      </c>
      <c r="G4441" s="7">
        <v>20.3</v>
      </c>
      <c r="H4441" s="7">
        <v>487.95</v>
      </c>
      <c r="I4441" s="2" t="s">
        <v>15</v>
      </c>
      <c r="J4441" s="2" t="s">
        <v>16</v>
      </c>
      <c r="K4441" s="2" t="s">
        <v>29</v>
      </c>
      <c r="L4441" s="7">
        <v>487.95</v>
      </c>
      <c r="M4441" s="2" t="str">
        <f>_xlfn.IFS(TelecomData[[#This Row],[TenureMonths]]&lt;=12, "0-1 Year", TelecomData[[#This Row],[TenureMonths]]&lt;=36, "1-3 Years", TelecomData[[#This Row],[TenureMonths]]&gt;36, "3+ Years")</f>
        <v>1-3 Years</v>
      </c>
      <c r="N4441" s="2" t="str">
        <f>IF(TelecomData[[#This Row],[CleanedTotalCharges]]&gt;=2500,"High Spend", "Standard Spend")</f>
        <v>Standard Spend</v>
      </c>
    </row>
    <row r="4442" spans="1:14" x14ac:dyDescent="0.3">
      <c r="A4442" s="1" t="s">
        <v>4466</v>
      </c>
      <c r="B4442" s="2" t="s">
        <v>19</v>
      </c>
      <c r="C4442" s="2" t="s">
        <v>35</v>
      </c>
      <c r="D4442" s="2">
        <v>43</v>
      </c>
      <c r="E4442" s="2" t="s">
        <v>14</v>
      </c>
      <c r="F4442" s="2" t="s">
        <v>15</v>
      </c>
      <c r="G4442" s="7">
        <v>60</v>
      </c>
      <c r="H4442" s="7">
        <v>2548.5500000000002</v>
      </c>
      <c r="I4442" s="2" t="s">
        <v>15</v>
      </c>
      <c r="J4442" s="2" t="s">
        <v>16</v>
      </c>
      <c r="K4442" s="2" t="s">
        <v>17</v>
      </c>
      <c r="L4442" s="7">
        <v>2548.5500000000002</v>
      </c>
      <c r="M4442" s="2" t="str">
        <f>_xlfn.IFS(TelecomData[[#This Row],[TenureMonths]]&lt;=12, "0-1 Year", TelecomData[[#This Row],[TenureMonths]]&lt;=36, "1-3 Years", TelecomData[[#This Row],[TenureMonths]]&gt;36, "3+ Years")</f>
        <v>3+ Years</v>
      </c>
      <c r="N4442" s="2" t="str">
        <f>IF(TelecomData[[#This Row],[CleanedTotalCharges]]&gt;=2500,"High Spend", "Standard Spend")</f>
        <v>High Spend</v>
      </c>
    </row>
    <row r="4443" spans="1:14" x14ac:dyDescent="0.3">
      <c r="A4443" s="1" t="s">
        <v>4467</v>
      </c>
      <c r="B4443" s="2" t="s">
        <v>19</v>
      </c>
      <c r="C4443" s="2" t="s">
        <v>35</v>
      </c>
      <c r="D4443" s="2">
        <v>42</v>
      </c>
      <c r="E4443" s="2" t="s">
        <v>15</v>
      </c>
      <c r="F4443" s="2" t="s">
        <v>36</v>
      </c>
      <c r="G4443" s="7">
        <v>20.25</v>
      </c>
      <c r="H4443" s="7">
        <v>835.5</v>
      </c>
      <c r="I4443" s="2" t="s">
        <v>15</v>
      </c>
      <c r="J4443" s="2" t="s">
        <v>15</v>
      </c>
      <c r="K4443" s="2" t="s">
        <v>17</v>
      </c>
      <c r="L4443" s="7">
        <v>835.5</v>
      </c>
      <c r="M4443" s="2" t="str">
        <f>_xlfn.IFS(TelecomData[[#This Row],[TenureMonths]]&lt;=12, "0-1 Year", TelecomData[[#This Row],[TenureMonths]]&lt;=36, "1-3 Years", TelecomData[[#This Row],[TenureMonths]]&gt;36, "3+ Years")</f>
        <v>3+ Years</v>
      </c>
      <c r="N4443" s="2" t="str">
        <f>IF(TelecomData[[#This Row],[CleanedTotalCharges]]&gt;=2500,"High Spend", "Standard Spend")</f>
        <v>Standard Spend</v>
      </c>
    </row>
    <row r="4444" spans="1:14" x14ac:dyDescent="0.3">
      <c r="A4444" s="1" t="s">
        <v>4468</v>
      </c>
      <c r="B4444" s="2" t="s">
        <v>19</v>
      </c>
      <c r="C4444" s="2" t="s">
        <v>13</v>
      </c>
      <c r="D4444" s="2">
        <v>3</v>
      </c>
      <c r="E4444" s="2" t="s">
        <v>26</v>
      </c>
      <c r="F4444" s="2" t="s">
        <v>15</v>
      </c>
      <c r="G4444" s="7">
        <v>78.5</v>
      </c>
      <c r="H4444" s="7">
        <v>242.05</v>
      </c>
      <c r="I4444" s="2" t="s">
        <v>16</v>
      </c>
      <c r="J4444" s="2" t="s">
        <v>16</v>
      </c>
      <c r="K4444" s="2" t="s">
        <v>17</v>
      </c>
      <c r="L4444" s="7">
        <v>242.05</v>
      </c>
      <c r="M4444" s="2" t="str">
        <f>_xlfn.IFS(TelecomData[[#This Row],[TenureMonths]]&lt;=12, "0-1 Year", TelecomData[[#This Row],[TenureMonths]]&lt;=36, "1-3 Years", TelecomData[[#This Row],[TenureMonths]]&gt;36, "3+ Years")</f>
        <v>0-1 Year</v>
      </c>
      <c r="N4444" s="2" t="str">
        <f>IF(TelecomData[[#This Row],[CleanedTotalCharges]]&gt;=2500,"High Spend", "Standard Spend")</f>
        <v>Standard Spend</v>
      </c>
    </row>
    <row r="4445" spans="1:14" x14ac:dyDescent="0.3">
      <c r="A4445" s="1" t="s">
        <v>4469</v>
      </c>
      <c r="B4445" s="2" t="s">
        <v>12</v>
      </c>
      <c r="C4445" s="2" t="s">
        <v>13</v>
      </c>
      <c r="D4445" s="2">
        <v>1</v>
      </c>
      <c r="E4445" s="2" t="s">
        <v>14</v>
      </c>
      <c r="F4445" s="2" t="s">
        <v>15</v>
      </c>
      <c r="G4445" s="7">
        <v>44.75</v>
      </c>
      <c r="H4445" s="7">
        <v>44.75</v>
      </c>
      <c r="I4445" s="2" t="s">
        <v>15</v>
      </c>
      <c r="J4445" s="2" t="s">
        <v>15</v>
      </c>
      <c r="K4445" s="2" t="s">
        <v>21</v>
      </c>
      <c r="L4445" s="7">
        <v>44.75</v>
      </c>
      <c r="M4445" s="2" t="str">
        <f>_xlfn.IFS(TelecomData[[#This Row],[TenureMonths]]&lt;=12, "0-1 Year", TelecomData[[#This Row],[TenureMonths]]&lt;=36, "1-3 Years", TelecomData[[#This Row],[TenureMonths]]&gt;36, "3+ Years")</f>
        <v>0-1 Year</v>
      </c>
      <c r="N4445" s="2" t="str">
        <f>IF(TelecomData[[#This Row],[CleanedTotalCharges]]&gt;=2500,"High Spend", "Standard Spend")</f>
        <v>Standard Spend</v>
      </c>
    </row>
    <row r="4446" spans="1:14" x14ac:dyDescent="0.3">
      <c r="A4446" s="1" t="s">
        <v>4470</v>
      </c>
      <c r="B4446" s="2" t="s">
        <v>12</v>
      </c>
      <c r="C4446" s="2" t="s">
        <v>13</v>
      </c>
      <c r="D4446" s="2">
        <v>3</v>
      </c>
      <c r="E4446" s="2" t="s">
        <v>15</v>
      </c>
      <c r="F4446" s="2" t="s">
        <v>36</v>
      </c>
      <c r="G4446" s="7">
        <v>19.850000000000001</v>
      </c>
      <c r="H4446" s="7">
        <v>63.75</v>
      </c>
      <c r="I4446" s="2" t="s">
        <v>16</v>
      </c>
      <c r="J4446" s="2" t="s">
        <v>15</v>
      </c>
      <c r="K4446" s="2" t="s">
        <v>21</v>
      </c>
      <c r="L4446" s="7">
        <v>63.75</v>
      </c>
      <c r="M4446" s="2" t="str">
        <f>_xlfn.IFS(TelecomData[[#This Row],[TenureMonths]]&lt;=12, "0-1 Year", TelecomData[[#This Row],[TenureMonths]]&lt;=36, "1-3 Years", TelecomData[[#This Row],[TenureMonths]]&gt;36, "3+ Years")</f>
        <v>0-1 Year</v>
      </c>
      <c r="N4446" s="2" t="str">
        <f>IF(TelecomData[[#This Row],[CleanedTotalCharges]]&gt;=2500,"High Spend", "Standard Spend")</f>
        <v>Standard Spend</v>
      </c>
    </row>
    <row r="4447" spans="1:14" x14ac:dyDescent="0.3">
      <c r="A4447" s="1" t="s">
        <v>4471</v>
      </c>
      <c r="B4447" s="2" t="s">
        <v>12</v>
      </c>
      <c r="C4447" s="2" t="s">
        <v>35</v>
      </c>
      <c r="D4447" s="2">
        <v>63</v>
      </c>
      <c r="E4447" s="2" t="s">
        <v>26</v>
      </c>
      <c r="F4447" s="2" t="s">
        <v>15</v>
      </c>
      <c r="G4447" s="7">
        <v>98</v>
      </c>
      <c r="H4447" s="7">
        <v>6218.45</v>
      </c>
      <c r="I4447" s="2" t="s">
        <v>15</v>
      </c>
      <c r="J4447" s="2" t="s">
        <v>15</v>
      </c>
      <c r="K4447" s="2" t="s">
        <v>29</v>
      </c>
      <c r="L4447" s="7">
        <v>6218.45</v>
      </c>
      <c r="M4447" s="2" t="str">
        <f>_xlfn.IFS(TelecomData[[#This Row],[TenureMonths]]&lt;=12, "0-1 Year", TelecomData[[#This Row],[TenureMonths]]&lt;=36, "1-3 Years", TelecomData[[#This Row],[TenureMonths]]&gt;36, "3+ Years")</f>
        <v>3+ Years</v>
      </c>
      <c r="N4447" s="2" t="str">
        <f>IF(TelecomData[[#This Row],[CleanedTotalCharges]]&gt;=2500,"High Spend", "Standard Spend")</f>
        <v>High Spend</v>
      </c>
    </row>
    <row r="4448" spans="1:14" x14ac:dyDescent="0.3">
      <c r="A4448" s="1" t="s">
        <v>4472</v>
      </c>
      <c r="B4448" s="2" t="s">
        <v>19</v>
      </c>
      <c r="C4448" s="2" t="s">
        <v>13</v>
      </c>
      <c r="D4448" s="2">
        <v>3</v>
      </c>
      <c r="E4448" s="2" t="s">
        <v>26</v>
      </c>
      <c r="F4448" s="2" t="s">
        <v>15</v>
      </c>
      <c r="G4448" s="7">
        <v>79.900000000000006</v>
      </c>
      <c r="H4448" s="7">
        <v>260.89999999999998</v>
      </c>
      <c r="I4448" s="2" t="s">
        <v>16</v>
      </c>
      <c r="J4448" s="2" t="s">
        <v>16</v>
      </c>
      <c r="K4448" s="2" t="s">
        <v>17</v>
      </c>
      <c r="L4448" s="7">
        <v>260.89999999999998</v>
      </c>
      <c r="M4448" s="2" t="str">
        <f>_xlfn.IFS(TelecomData[[#This Row],[TenureMonths]]&lt;=12, "0-1 Year", TelecomData[[#This Row],[TenureMonths]]&lt;=36, "1-3 Years", TelecomData[[#This Row],[TenureMonths]]&gt;36, "3+ Years")</f>
        <v>0-1 Year</v>
      </c>
      <c r="N4448" s="2" t="str">
        <f>IF(TelecomData[[#This Row],[CleanedTotalCharges]]&gt;=2500,"High Spend", "Standard Spend")</f>
        <v>Standard Spend</v>
      </c>
    </row>
    <row r="4449" spans="1:14" x14ac:dyDescent="0.3">
      <c r="A4449" s="1" t="s">
        <v>4473</v>
      </c>
      <c r="B4449" s="2" t="s">
        <v>19</v>
      </c>
      <c r="C4449" s="2" t="s">
        <v>13</v>
      </c>
      <c r="D4449" s="2">
        <v>68</v>
      </c>
      <c r="E4449" s="2" t="s">
        <v>26</v>
      </c>
      <c r="F4449" s="2" t="s">
        <v>16</v>
      </c>
      <c r="G4449" s="7">
        <v>107.7</v>
      </c>
      <c r="H4449" s="7">
        <v>7320.9</v>
      </c>
      <c r="I4449" s="2" t="s">
        <v>15</v>
      </c>
      <c r="J4449" s="2" t="s">
        <v>16</v>
      </c>
      <c r="K4449" s="2" t="s">
        <v>17</v>
      </c>
      <c r="L4449" s="7">
        <v>7320.9</v>
      </c>
      <c r="M4449" s="2" t="str">
        <f>_xlfn.IFS(TelecomData[[#This Row],[TenureMonths]]&lt;=12, "0-1 Year", TelecomData[[#This Row],[TenureMonths]]&lt;=36, "1-3 Years", TelecomData[[#This Row],[TenureMonths]]&gt;36, "3+ Years")</f>
        <v>3+ Years</v>
      </c>
      <c r="N4449" s="2" t="str">
        <f>IF(TelecomData[[#This Row],[CleanedTotalCharges]]&gt;=2500,"High Spend", "Standard Spend")</f>
        <v>High Spend</v>
      </c>
    </row>
    <row r="4450" spans="1:14" x14ac:dyDescent="0.3">
      <c r="A4450" s="1" t="s">
        <v>4474</v>
      </c>
      <c r="B4450" s="2" t="s">
        <v>12</v>
      </c>
      <c r="C4450" s="2" t="s">
        <v>13</v>
      </c>
      <c r="D4450" s="2">
        <v>30</v>
      </c>
      <c r="E4450" s="2" t="s">
        <v>26</v>
      </c>
      <c r="F4450" s="2" t="s">
        <v>15</v>
      </c>
      <c r="G4450" s="7">
        <v>99.7</v>
      </c>
      <c r="H4450" s="7">
        <v>2967.35</v>
      </c>
      <c r="I4450" s="2" t="s">
        <v>16</v>
      </c>
      <c r="J4450" s="2" t="s">
        <v>16</v>
      </c>
      <c r="K4450" s="2" t="s">
        <v>17</v>
      </c>
      <c r="L4450" s="7">
        <v>2967.35</v>
      </c>
      <c r="M4450" s="2" t="str">
        <f>_xlfn.IFS(TelecomData[[#This Row],[TenureMonths]]&lt;=12, "0-1 Year", TelecomData[[#This Row],[TenureMonths]]&lt;=36, "1-3 Years", TelecomData[[#This Row],[TenureMonths]]&gt;36, "3+ Years")</f>
        <v>1-3 Years</v>
      </c>
      <c r="N4450" s="2" t="str">
        <f>IF(TelecomData[[#This Row],[CleanedTotalCharges]]&gt;=2500,"High Spend", "Standard Spend")</f>
        <v>High Spend</v>
      </c>
    </row>
    <row r="4451" spans="1:14" x14ac:dyDescent="0.3">
      <c r="A4451" s="1" t="s">
        <v>4475</v>
      </c>
      <c r="B4451" s="2" t="s">
        <v>12</v>
      </c>
      <c r="C4451" s="2" t="s">
        <v>35</v>
      </c>
      <c r="D4451" s="2">
        <v>60</v>
      </c>
      <c r="E4451" s="2" t="s">
        <v>26</v>
      </c>
      <c r="F4451" s="2" t="s">
        <v>15</v>
      </c>
      <c r="G4451" s="7">
        <v>104.7</v>
      </c>
      <c r="H4451" s="7">
        <v>6333.8</v>
      </c>
      <c r="I4451" s="2" t="s">
        <v>15</v>
      </c>
      <c r="J4451" s="2" t="s">
        <v>15</v>
      </c>
      <c r="K4451" s="2" t="s">
        <v>17</v>
      </c>
      <c r="L4451" s="7">
        <v>6333.8</v>
      </c>
      <c r="M4451" s="2" t="str">
        <f>_xlfn.IFS(TelecomData[[#This Row],[TenureMonths]]&lt;=12, "0-1 Year", TelecomData[[#This Row],[TenureMonths]]&lt;=36, "1-3 Years", TelecomData[[#This Row],[TenureMonths]]&gt;36, "3+ Years")</f>
        <v>3+ Years</v>
      </c>
      <c r="N4451" s="2" t="str">
        <f>IF(TelecomData[[#This Row],[CleanedTotalCharges]]&gt;=2500,"High Spend", "Standard Spend")</f>
        <v>High Spend</v>
      </c>
    </row>
    <row r="4452" spans="1:14" x14ac:dyDescent="0.3">
      <c r="A4452" s="1" t="s">
        <v>4476</v>
      </c>
      <c r="B4452" s="2" t="s">
        <v>19</v>
      </c>
      <c r="C4452" s="2" t="s">
        <v>13</v>
      </c>
      <c r="D4452" s="2">
        <v>15</v>
      </c>
      <c r="E4452" s="2" t="s">
        <v>14</v>
      </c>
      <c r="F4452" s="2" t="s">
        <v>16</v>
      </c>
      <c r="G4452" s="7">
        <v>58.6</v>
      </c>
      <c r="H4452" s="7">
        <v>939.7</v>
      </c>
      <c r="I4452" s="2" t="s">
        <v>16</v>
      </c>
      <c r="J4452" s="2" t="s">
        <v>16</v>
      </c>
      <c r="K4452" s="2" t="s">
        <v>29</v>
      </c>
      <c r="L4452" s="7">
        <v>939.7</v>
      </c>
      <c r="M4452" s="2" t="str">
        <f>_xlfn.IFS(TelecomData[[#This Row],[TenureMonths]]&lt;=12, "0-1 Year", TelecomData[[#This Row],[TenureMonths]]&lt;=36, "1-3 Years", TelecomData[[#This Row],[TenureMonths]]&gt;36, "3+ Years")</f>
        <v>1-3 Years</v>
      </c>
      <c r="N4452" s="2" t="str">
        <f>IF(TelecomData[[#This Row],[CleanedTotalCharges]]&gt;=2500,"High Spend", "Standard Spend")</f>
        <v>Standard Spend</v>
      </c>
    </row>
    <row r="4453" spans="1:14" x14ac:dyDescent="0.3">
      <c r="A4453" s="1" t="s">
        <v>4477</v>
      </c>
      <c r="B4453" s="2" t="s">
        <v>19</v>
      </c>
      <c r="C4453" s="2" t="s">
        <v>13</v>
      </c>
      <c r="D4453" s="2">
        <v>45</v>
      </c>
      <c r="E4453" s="2" t="s">
        <v>26</v>
      </c>
      <c r="F4453" s="2" t="s">
        <v>15</v>
      </c>
      <c r="G4453" s="7">
        <v>93.9</v>
      </c>
      <c r="H4453" s="7">
        <v>4200.25</v>
      </c>
      <c r="I4453" s="2" t="s">
        <v>15</v>
      </c>
      <c r="J4453" s="2" t="s">
        <v>16</v>
      </c>
      <c r="K4453" s="2" t="s">
        <v>24</v>
      </c>
      <c r="L4453" s="7">
        <v>4200.25</v>
      </c>
      <c r="M4453" s="2" t="str">
        <f>_xlfn.IFS(TelecomData[[#This Row],[TenureMonths]]&lt;=12, "0-1 Year", TelecomData[[#This Row],[TenureMonths]]&lt;=36, "1-3 Years", TelecomData[[#This Row],[TenureMonths]]&gt;36, "3+ Years")</f>
        <v>3+ Years</v>
      </c>
      <c r="N4453" s="2" t="str">
        <f>IF(TelecomData[[#This Row],[CleanedTotalCharges]]&gt;=2500,"High Spend", "Standard Spend")</f>
        <v>High Spend</v>
      </c>
    </row>
    <row r="4454" spans="1:14" x14ac:dyDescent="0.3">
      <c r="A4454" s="1" t="s">
        <v>4478</v>
      </c>
      <c r="B4454" s="2" t="s">
        <v>12</v>
      </c>
      <c r="C4454" s="2" t="s">
        <v>35</v>
      </c>
      <c r="D4454" s="2">
        <v>70</v>
      </c>
      <c r="E4454" s="2" t="s">
        <v>14</v>
      </c>
      <c r="F4454" s="2" t="s">
        <v>16</v>
      </c>
      <c r="G4454" s="7">
        <v>86.45</v>
      </c>
      <c r="H4454" s="7">
        <v>5950.2</v>
      </c>
      <c r="I4454" s="2" t="s">
        <v>15</v>
      </c>
      <c r="J4454" s="2" t="s">
        <v>15</v>
      </c>
      <c r="K4454" s="2" t="s">
        <v>29</v>
      </c>
      <c r="L4454" s="7">
        <v>5950.2</v>
      </c>
      <c r="M4454" s="2" t="str">
        <f>_xlfn.IFS(TelecomData[[#This Row],[TenureMonths]]&lt;=12, "0-1 Year", TelecomData[[#This Row],[TenureMonths]]&lt;=36, "1-3 Years", TelecomData[[#This Row],[TenureMonths]]&gt;36, "3+ Years")</f>
        <v>3+ Years</v>
      </c>
      <c r="N4454" s="2" t="str">
        <f>IF(TelecomData[[#This Row],[CleanedTotalCharges]]&gt;=2500,"High Spend", "Standard Spend")</f>
        <v>High Spend</v>
      </c>
    </row>
    <row r="4455" spans="1:14" x14ac:dyDescent="0.3">
      <c r="A4455" s="1" t="s">
        <v>4479</v>
      </c>
      <c r="B4455" s="2" t="s">
        <v>19</v>
      </c>
      <c r="C4455" s="2" t="s">
        <v>13</v>
      </c>
      <c r="D4455" s="2">
        <v>10</v>
      </c>
      <c r="E4455" s="2" t="s">
        <v>26</v>
      </c>
      <c r="F4455" s="2" t="s">
        <v>15</v>
      </c>
      <c r="G4455" s="7">
        <v>98.5</v>
      </c>
      <c r="H4455" s="7">
        <v>1037.75</v>
      </c>
      <c r="I4455" s="2" t="s">
        <v>16</v>
      </c>
      <c r="J4455" s="2" t="s">
        <v>16</v>
      </c>
      <c r="K4455" s="2" t="s">
        <v>17</v>
      </c>
      <c r="L4455" s="7">
        <v>1037.75</v>
      </c>
      <c r="M4455" s="2" t="str">
        <f>_xlfn.IFS(TelecomData[[#This Row],[TenureMonths]]&lt;=12, "0-1 Year", TelecomData[[#This Row],[TenureMonths]]&lt;=36, "1-3 Years", TelecomData[[#This Row],[TenureMonths]]&gt;36, "3+ Years")</f>
        <v>0-1 Year</v>
      </c>
      <c r="N4455" s="2" t="str">
        <f>IF(TelecomData[[#This Row],[CleanedTotalCharges]]&gt;=2500,"High Spend", "Standard Spend")</f>
        <v>Standard Spend</v>
      </c>
    </row>
    <row r="4456" spans="1:14" x14ac:dyDescent="0.3">
      <c r="A4456" s="1" t="s">
        <v>4480</v>
      </c>
      <c r="B4456" s="2" t="s">
        <v>19</v>
      </c>
      <c r="C4456" s="2" t="s">
        <v>13</v>
      </c>
      <c r="D4456" s="2">
        <v>4</v>
      </c>
      <c r="E4456" s="2" t="s">
        <v>15</v>
      </c>
      <c r="F4456" s="2" t="s">
        <v>36</v>
      </c>
      <c r="G4456" s="7">
        <v>19.399999999999999</v>
      </c>
      <c r="H4456" s="7">
        <v>93.4</v>
      </c>
      <c r="I4456" s="2" t="s">
        <v>15</v>
      </c>
      <c r="J4456" s="2" t="s">
        <v>15</v>
      </c>
      <c r="K4456" s="2" t="s">
        <v>21</v>
      </c>
      <c r="L4456" s="7">
        <v>93.4</v>
      </c>
      <c r="M4456" s="2" t="str">
        <f>_xlfn.IFS(TelecomData[[#This Row],[TenureMonths]]&lt;=12, "0-1 Year", TelecomData[[#This Row],[TenureMonths]]&lt;=36, "1-3 Years", TelecomData[[#This Row],[TenureMonths]]&gt;36, "3+ Years")</f>
        <v>0-1 Year</v>
      </c>
      <c r="N4456" s="2" t="str">
        <f>IF(TelecomData[[#This Row],[CleanedTotalCharges]]&gt;=2500,"High Spend", "Standard Spend")</f>
        <v>Standard Spend</v>
      </c>
    </row>
    <row r="4457" spans="1:14" x14ac:dyDescent="0.3">
      <c r="A4457" s="1" t="s">
        <v>4481</v>
      </c>
      <c r="B4457" s="2" t="s">
        <v>12</v>
      </c>
      <c r="C4457" s="2" t="s">
        <v>13</v>
      </c>
      <c r="D4457" s="2">
        <v>1</v>
      </c>
      <c r="E4457" s="2" t="s">
        <v>14</v>
      </c>
      <c r="F4457" s="2" t="s">
        <v>15</v>
      </c>
      <c r="G4457" s="7">
        <v>50.45</v>
      </c>
      <c r="H4457" s="7">
        <v>50.45</v>
      </c>
      <c r="I4457" s="2" t="s">
        <v>16</v>
      </c>
      <c r="J4457" s="2" t="s">
        <v>16</v>
      </c>
      <c r="K4457" s="2" t="s">
        <v>21</v>
      </c>
      <c r="L4457" s="7">
        <v>50.45</v>
      </c>
      <c r="M4457" s="2" t="str">
        <f>_xlfn.IFS(TelecomData[[#This Row],[TenureMonths]]&lt;=12, "0-1 Year", TelecomData[[#This Row],[TenureMonths]]&lt;=36, "1-3 Years", TelecomData[[#This Row],[TenureMonths]]&gt;36, "3+ Years")</f>
        <v>0-1 Year</v>
      </c>
      <c r="N4457" s="2" t="str">
        <f>IF(TelecomData[[#This Row],[CleanedTotalCharges]]&gt;=2500,"High Spend", "Standard Spend")</f>
        <v>Standard Spend</v>
      </c>
    </row>
    <row r="4458" spans="1:14" x14ac:dyDescent="0.3">
      <c r="A4458" s="1" t="s">
        <v>4482</v>
      </c>
      <c r="B4458" s="2" t="s">
        <v>12</v>
      </c>
      <c r="C4458" s="2" t="s">
        <v>35</v>
      </c>
      <c r="D4458" s="2">
        <v>68</v>
      </c>
      <c r="E4458" s="2" t="s">
        <v>15</v>
      </c>
      <c r="F4458" s="2" t="s">
        <v>36</v>
      </c>
      <c r="G4458" s="7">
        <v>24.95</v>
      </c>
      <c r="H4458" s="7">
        <v>1614.9</v>
      </c>
      <c r="I4458" s="2" t="s">
        <v>15</v>
      </c>
      <c r="J4458" s="2" t="s">
        <v>16</v>
      </c>
      <c r="K4458" s="2" t="s">
        <v>29</v>
      </c>
      <c r="L4458" s="7">
        <v>1614.9</v>
      </c>
      <c r="M4458" s="2" t="str">
        <f>_xlfn.IFS(TelecomData[[#This Row],[TenureMonths]]&lt;=12, "0-1 Year", TelecomData[[#This Row],[TenureMonths]]&lt;=36, "1-3 Years", TelecomData[[#This Row],[TenureMonths]]&gt;36, "3+ Years")</f>
        <v>3+ Years</v>
      </c>
      <c r="N4458" s="2" t="str">
        <f>IF(TelecomData[[#This Row],[CleanedTotalCharges]]&gt;=2500,"High Spend", "Standard Spend")</f>
        <v>Standard Spend</v>
      </c>
    </row>
    <row r="4459" spans="1:14" x14ac:dyDescent="0.3">
      <c r="A4459" s="1" t="s">
        <v>4483</v>
      </c>
      <c r="B4459" s="2" t="s">
        <v>19</v>
      </c>
      <c r="C4459" s="2" t="s">
        <v>13</v>
      </c>
      <c r="D4459" s="2">
        <v>22</v>
      </c>
      <c r="E4459" s="2" t="s">
        <v>26</v>
      </c>
      <c r="F4459" s="2" t="s">
        <v>15</v>
      </c>
      <c r="G4459" s="7">
        <v>75</v>
      </c>
      <c r="H4459" s="7">
        <v>1573.95</v>
      </c>
      <c r="I4459" s="2" t="s">
        <v>15</v>
      </c>
      <c r="J4459" s="2" t="s">
        <v>15</v>
      </c>
      <c r="K4459" s="2" t="s">
        <v>24</v>
      </c>
      <c r="L4459" s="7">
        <v>1573.95</v>
      </c>
      <c r="M4459" s="2" t="str">
        <f>_xlfn.IFS(TelecomData[[#This Row],[TenureMonths]]&lt;=12, "0-1 Year", TelecomData[[#This Row],[TenureMonths]]&lt;=36, "1-3 Years", TelecomData[[#This Row],[TenureMonths]]&gt;36, "3+ Years")</f>
        <v>1-3 Years</v>
      </c>
      <c r="N4459" s="2" t="str">
        <f>IF(TelecomData[[#This Row],[CleanedTotalCharges]]&gt;=2500,"High Spend", "Standard Spend")</f>
        <v>Standard Spend</v>
      </c>
    </row>
    <row r="4460" spans="1:14" x14ac:dyDescent="0.3">
      <c r="A4460" s="1" t="s">
        <v>4484</v>
      </c>
      <c r="B4460" s="2" t="s">
        <v>19</v>
      </c>
      <c r="C4460" s="2" t="s">
        <v>13</v>
      </c>
      <c r="D4460" s="2">
        <v>38</v>
      </c>
      <c r="E4460" s="2" t="s">
        <v>26</v>
      </c>
      <c r="F4460" s="2" t="s">
        <v>15</v>
      </c>
      <c r="G4460" s="7">
        <v>94.65</v>
      </c>
      <c r="H4460" s="7">
        <v>3624.3</v>
      </c>
      <c r="I4460" s="2" t="s">
        <v>16</v>
      </c>
      <c r="J4460" s="2" t="s">
        <v>16</v>
      </c>
      <c r="K4460" s="2" t="s">
        <v>17</v>
      </c>
      <c r="L4460" s="7">
        <v>3624.3</v>
      </c>
      <c r="M4460" s="2" t="str">
        <f>_xlfn.IFS(TelecomData[[#This Row],[TenureMonths]]&lt;=12, "0-1 Year", TelecomData[[#This Row],[TenureMonths]]&lt;=36, "1-3 Years", TelecomData[[#This Row],[TenureMonths]]&gt;36, "3+ Years")</f>
        <v>3+ Years</v>
      </c>
      <c r="N4460" s="2" t="str">
        <f>IF(TelecomData[[#This Row],[CleanedTotalCharges]]&gt;=2500,"High Spend", "Standard Spend")</f>
        <v>High Spend</v>
      </c>
    </row>
    <row r="4461" spans="1:14" x14ac:dyDescent="0.3">
      <c r="A4461" s="1" t="s">
        <v>4485</v>
      </c>
      <c r="B4461" s="2" t="s">
        <v>12</v>
      </c>
      <c r="C4461" s="2" t="s">
        <v>13</v>
      </c>
      <c r="D4461" s="2">
        <v>1</v>
      </c>
      <c r="E4461" s="2" t="s">
        <v>26</v>
      </c>
      <c r="F4461" s="2" t="s">
        <v>15</v>
      </c>
      <c r="G4461" s="7">
        <v>100.25</v>
      </c>
      <c r="H4461" s="7">
        <v>100.25</v>
      </c>
      <c r="I4461" s="2" t="s">
        <v>16</v>
      </c>
      <c r="J4461" s="2" t="s">
        <v>16</v>
      </c>
      <c r="K4461" s="2" t="s">
        <v>29</v>
      </c>
      <c r="L4461" s="7">
        <v>100.25</v>
      </c>
      <c r="M4461" s="2" t="str">
        <f>_xlfn.IFS(TelecomData[[#This Row],[TenureMonths]]&lt;=12, "0-1 Year", TelecomData[[#This Row],[TenureMonths]]&lt;=36, "1-3 Years", TelecomData[[#This Row],[TenureMonths]]&gt;36, "3+ Years")</f>
        <v>0-1 Year</v>
      </c>
      <c r="N4461" s="2" t="str">
        <f>IF(TelecomData[[#This Row],[CleanedTotalCharges]]&gt;=2500,"High Spend", "Standard Spend")</f>
        <v>Standard Spend</v>
      </c>
    </row>
    <row r="4462" spans="1:14" x14ac:dyDescent="0.3">
      <c r="A4462" s="1" t="s">
        <v>4486</v>
      </c>
      <c r="B4462" s="2" t="s">
        <v>19</v>
      </c>
      <c r="C4462" s="2" t="s">
        <v>13</v>
      </c>
      <c r="D4462" s="2">
        <v>18</v>
      </c>
      <c r="E4462" s="2" t="s">
        <v>26</v>
      </c>
      <c r="F4462" s="2" t="s">
        <v>16</v>
      </c>
      <c r="G4462" s="7">
        <v>78.2</v>
      </c>
      <c r="H4462" s="7">
        <v>1468.75</v>
      </c>
      <c r="I4462" s="2" t="s">
        <v>15</v>
      </c>
      <c r="J4462" s="2" t="s">
        <v>15</v>
      </c>
      <c r="K4462" s="2" t="s">
        <v>17</v>
      </c>
      <c r="L4462" s="7">
        <v>1468.75</v>
      </c>
      <c r="M4462" s="2" t="str">
        <f>_xlfn.IFS(TelecomData[[#This Row],[TenureMonths]]&lt;=12, "0-1 Year", TelecomData[[#This Row],[TenureMonths]]&lt;=36, "1-3 Years", TelecomData[[#This Row],[TenureMonths]]&gt;36, "3+ Years")</f>
        <v>1-3 Years</v>
      </c>
      <c r="N4462" s="2" t="str">
        <f>IF(TelecomData[[#This Row],[CleanedTotalCharges]]&gt;=2500,"High Spend", "Standard Spend")</f>
        <v>Standard Spend</v>
      </c>
    </row>
    <row r="4463" spans="1:14" x14ac:dyDescent="0.3">
      <c r="A4463" s="1" t="s">
        <v>4487</v>
      </c>
      <c r="B4463" s="2" t="s">
        <v>19</v>
      </c>
      <c r="C4463" s="2" t="s">
        <v>13</v>
      </c>
      <c r="D4463" s="2">
        <v>29</v>
      </c>
      <c r="E4463" s="2" t="s">
        <v>26</v>
      </c>
      <c r="F4463" s="2" t="s">
        <v>16</v>
      </c>
      <c r="G4463" s="7">
        <v>94.2</v>
      </c>
      <c r="H4463" s="7">
        <v>2607.6</v>
      </c>
      <c r="I4463" s="2" t="s">
        <v>15</v>
      </c>
      <c r="J4463" s="2" t="s">
        <v>16</v>
      </c>
      <c r="K4463" s="2" t="s">
        <v>17</v>
      </c>
      <c r="L4463" s="7">
        <v>2607.6</v>
      </c>
      <c r="M4463" s="2" t="str">
        <f>_xlfn.IFS(TelecomData[[#This Row],[TenureMonths]]&lt;=12, "0-1 Year", TelecomData[[#This Row],[TenureMonths]]&lt;=36, "1-3 Years", TelecomData[[#This Row],[TenureMonths]]&gt;36, "3+ Years")</f>
        <v>1-3 Years</v>
      </c>
      <c r="N4463" s="2" t="str">
        <f>IF(TelecomData[[#This Row],[CleanedTotalCharges]]&gt;=2500,"High Spend", "Standard Spend")</f>
        <v>High Spend</v>
      </c>
    </row>
    <row r="4464" spans="1:14" x14ac:dyDescent="0.3">
      <c r="A4464" s="1" t="s">
        <v>4488</v>
      </c>
      <c r="B4464" s="2" t="s">
        <v>12</v>
      </c>
      <c r="C4464" s="2" t="s">
        <v>13</v>
      </c>
      <c r="D4464" s="2">
        <v>16</v>
      </c>
      <c r="E4464" s="2" t="s">
        <v>26</v>
      </c>
      <c r="F4464" s="2" t="s">
        <v>15</v>
      </c>
      <c r="G4464" s="7">
        <v>88.45</v>
      </c>
      <c r="H4464" s="7">
        <v>1422.1</v>
      </c>
      <c r="I4464" s="2" t="s">
        <v>16</v>
      </c>
      <c r="J4464" s="2" t="s">
        <v>16</v>
      </c>
      <c r="K4464" s="2" t="s">
        <v>17</v>
      </c>
      <c r="L4464" s="7">
        <v>1422.1</v>
      </c>
      <c r="M4464" s="2" t="str">
        <f>_xlfn.IFS(TelecomData[[#This Row],[TenureMonths]]&lt;=12, "0-1 Year", TelecomData[[#This Row],[TenureMonths]]&lt;=36, "1-3 Years", TelecomData[[#This Row],[TenureMonths]]&gt;36, "3+ Years")</f>
        <v>1-3 Years</v>
      </c>
      <c r="N4464" s="2" t="str">
        <f>IF(TelecomData[[#This Row],[CleanedTotalCharges]]&gt;=2500,"High Spend", "Standard Spend")</f>
        <v>Standard Spend</v>
      </c>
    </row>
    <row r="4465" spans="1:14" x14ac:dyDescent="0.3">
      <c r="A4465" s="1" t="s">
        <v>4489</v>
      </c>
      <c r="B4465" s="2" t="s">
        <v>19</v>
      </c>
      <c r="C4465" s="2" t="s">
        <v>13</v>
      </c>
      <c r="D4465" s="2">
        <v>1</v>
      </c>
      <c r="E4465" s="2" t="s">
        <v>26</v>
      </c>
      <c r="F4465" s="2" t="s">
        <v>15</v>
      </c>
      <c r="G4465" s="7">
        <v>69.849999999999994</v>
      </c>
      <c r="H4465" s="7">
        <v>69.849999999999994</v>
      </c>
      <c r="I4465" s="2" t="s">
        <v>16</v>
      </c>
      <c r="J4465" s="2" t="s">
        <v>16</v>
      </c>
      <c r="K4465" s="2" t="s">
        <v>17</v>
      </c>
      <c r="L4465" s="7">
        <v>69.849999999999994</v>
      </c>
      <c r="M4465" s="2" t="str">
        <f>_xlfn.IFS(TelecomData[[#This Row],[TenureMonths]]&lt;=12, "0-1 Year", TelecomData[[#This Row],[TenureMonths]]&lt;=36, "1-3 Years", TelecomData[[#This Row],[TenureMonths]]&gt;36, "3+ Years")</f>
        <v>0-1 Year</v>
      </c>
      <c r="N4465" s="2" t="str">
        <f>IF(TelecomData[[#This Row],[CleanedTotalCharges]]&gt;=2500,"High Spend", "Standard Spend")</f>
        <v>Standard Spend</v>
      </c>
    </row>
    <row r="4466" spans="1:14" x14ac:dyDescent="0.3">
      <c r="A4466" s="1" t="s">
        <v>4490</v>
      </c>
      <c r="B4466" s="2" t="s">
        <v>19</v>
      </c>
      <c r="C4466" s="2" t="s">
        <v>13</v>
      </c>
      <c r="D4466" s="2">
        <v>12</v>
      </c>
      <c r="E4466" s="2" t="s">
        <v>26</v>
      </c>
      <c r="F4466" s="2" t="s">
        <v>15</v>
      </c>
      <c r="G4466" s="7">
        <v>81.7</v>
      </c>
      <c r="H4466" s="7">
        <v>858.6</v>
      </c>
      <c r="I4466" s="2" t="s">
        <v>16</v>
      </c>
      <c r="J4466" s="2" t="s">
        <v>15</v>
      </c>
      <c r="K4466" s="2" t="s">
        <v>24</v>
      </c>
      <c r="L4466" s="7">
        <v>858.6</v>
      </c>
      <c r="M4466" s="2" t="str">
        <f>_xlfn.IFS(TelecomData[[#This Row],[TenureMonths]]&lt;=12, "0-1 Year", TelecomData[[#This Row],[TenureMonths]]&lt;=36, "1-3 Years", TelecomData[[#This Row],[TenureMonths]]&gt;36, "3+ Years")</f>
        <v>0-1 Year</v>
      </c>
      <c r="N4466" s="2" t="str">
        <f>IF(TelecomData[[#This Row],[CleanedTotalCharges]]&gt;=2500,"High Spend", "Standard Spend")</f>
        <v>Standard Spend</v>
      </c>
    </row>
    <row r="4467" spans="1:14" x14ac:dyDescent="0.3">
      <c r="A4467" s="1" t="s">
        <v>4491</v>
      </c>
      <c r="B4467" s="2" t="s">
        <v>19</v>
      </c>
      <c r="C4467" s="2" t="s">
        <v>20</v>
      </c>
      <c r="D4467" s="2">
        <v>31</v>
      </c>
      <c r="E4467" s="2" t="s">
        <v>14</v>
      </c>
      <c r="F4467" s="2" t="s">
        <v>15</v>
      </c>
      <c r="G4467" s="7">
        <v>50.05</v>
      </c>
      <c r="H4467" s="7">
        <v>1523.4</v>
      </c>
      <c r="I4467" s="2" t="s">
        <v>15</v>
      </c>
      <c r="J4467" s="2" t="s">
        <v>16</v>
      </c>
      <c r="K4467" s="2" t="s">
        <v>17</v>
      </c>
      <c r="L4467" s="7">
        <v>1523.4</v>
      </c>
      <c r="M4467" s="2" t="str">
        <f>_xlfn.IFS(TelecomData[[#This Row],[TenureMonths]]&lt;=12, "0-1 Year", TelecomData[[#This Row],[TenureMonths]]&lt;=36, "1-3 Years", TelecomData[[#This Row],[TenureMonths]]&gt;36, "3+ Years")</f>
        <v>1-3 Years</v>
      </c>
      <c r="N4467" s="2" t="str">
        <f>IF(TelecomData[[#This Row],[CleanedTotalCharges]]&gt;=2500,"High Spend", "Standard Spend")</f>
        <v>Standard Spend</v>
      </c>
    </row>
    <row r="4468" spans="1:14" x14ac:dyDescent="0.3">
      <c r="A4468" s="1" t="s">
        <v>4492</v>
      </c>
      <c r="B4468" s="2" t="s">
        <v>19</v>
      </c>
      <c r="C4468" s="2" t="s">
        <v>13</v>
      </c>
      <c r="D4468" s="2">
        <v>4</v>
      </c>
      <c r="E4468" s="2" t="s">
        <v>26</v>
      </c>
      <c r="F4468" s="2" t="s">
        <v>15</v>
      </c>
      <c r="G4468" s="7">
        <v>79.900000000000006</v>
      </c>
      <c r="H4468" s="7">
        <v>324.3</v>
      </c>
      <c r="I4468" s="2" t="s">
        <v>16</v>
      </c>
      <c r="J4468" s="2" t="s">
        <v>16</v>
      </c>
      <c r="K4468" s="2" t="s">
        <v>17</v>
      </c>
      <c r="L4468" s="7">
        <v>324.3</v>
      </c>
      <c r="M4468" s="2" t="str">
        <f>_xlfn.IFS(TelecomData[[#This Row],[TenureMonths]]&lt;=12, "0-1 Year", TelecomData[[#This Row],[TenureMonths]]&lt;=36, "1-3 Years", TelecomData[[#This Row],[TenureMonths]]&gt;36, "3+ Years")</f>
        <v>0-1 Year</v>
      </c>
      <c r="N4468" s="2" t="str">
        <f>IF(TelecomData[[#This Row],[CleanedTotalCharges]]&gt;=2500,"High Spend", "Standard Spend")</f>
        <v>Standard Spend</v>
      </c>
    </row>
    <row r="4469" spans="1:14" x14ac:dyDescent="0.3">
      <c r="A4469" s="1" t="s">
        <v>4493</v>
      </c>
      <c r="B4469" s="2" t="s">
        <v>12</v>
      </c>
      <c r="C4469" s="2" t="s">
        <v>20</v>
      </c>
      <c r="D4469" s="2">
        <v>48</v>
      </c>
      <c r="E4469" s="2" t="s">
        <v>14</v>
      </c>
      <c r="F4469" s="2" t="s">
        <v>16</v>
      </c>
      <c r="G4469" s="7">
        <v>69.55</v>
      </c>
      <c r="H4469" s="7">
        <v>3435.6</v>
      </c>
      <c r="I4469" s="2" t="s">
        <v>15</v>
      </c>
      <c r="J4469" s="2" t="s">
        <v>16</v>
      </c>
      <c r="K4469" s="2" t="s">
        <v>21</v>
      </c>
      <c r="L4469" s="7">
        <v>3435.6</v>
      </c>
      <c r="M4469" s="2" t="str">
        <f>_xlfn.IFS(TelecomData[[#This Row],[TenureMonths]]&lt;=12, "0-1 Year", TelecomData[[#This Row],[TenureMonths]]&lt;=36, "1-3 Years", TelecomData[[#This Row],[TenureMonths]]&gt;36, "3+ Years")</f>
        <v>3+ Years</v>
      </c>
      <c r="N4469" s="2" t="str">
        <f>IF(TelecomData[[#This Row],[CleanedTotalCharges]]&gt;=2500,"High Spend", "Standard Spend")</f>
        <v>High Spend</v>
      </c>
    </row>
    <row r="4470" spans="1:14" x14ac:dyDescent="0.3">
      <c r="A4470" s="1" t="s">
        <v>4494</v>
      </c>
      <c r="B4470" s="2" t="s">
        <v>12</v>
      </c>
      <c r="C4470" s="2" t="s">
        <v>13</v>
      </c>
      <c r="D4470" s="2">
        <v>15</v>
      </c>
      <c r="E4470" s="2" t="s">
        <v>15</v>
      </c>
      <c r="F4470" s="2" t="s">
        <v>36</v>
      </c>
      <c r="G4470" s="7">
        <v>25.4</v>
      </c>
      <c r="H4470" s="7">
        <v>399.6</v>
      </c>
      <c r="I4470" s="2" t="s">
        <v>16</v>
      </c>
      <c r="J4470" s="2" t="s">
        <v>16</v>
      </c>
      <c r="K4470" s="2" t="s">
        <v>29</v>
      </c>
      <c r="L4470" s="7">
        <v>399.6</v>
      </c>
      <c r="M4470" s="2" t="str">
        <f>_xlfn.IFS(TelecomData[[#This Row],[TenureMonths]]&lt;=12, "0-1 Year", TelecomData[[#This Row],[TenureMonths]]&lt;=36, "1-3 Years", TelecomData[[#This Row],[TenureMonths]]&gt;36, "3+ Years")</f>
        <v>1-3 Years</v>
      </c>
      <c r="N4470" s="2" t="str">
        <f>IF(TelecomData[[#This Row],[CleanedTotalCharges]]&gt;=2500,"High Spend", "Standard Spend")</f>
        <v>Standard Spend</v>
      </c>
    </row>
    <row r="4471" spans="1:14" x14ac:dyDescent="0.3">
      <c r="A4471" s="1" t="s">
        <v>4495</v>
      </c>
      <c r="B4471" s="2" t="s">
        <v>19</v>
      </c>
      <c r="C4471" s="2" t="s">
        <v>20</v>
      </c>
      <c r="D4471" s="2">
        <v>50</v>
      </c>
      <c r="E4471" s="2" t="s">
        <v>26</v>
      </c>
      <c r="F4471" s="2" t="s">
        <v>16</v>
      </c>
      <c r="G4471" s="7">
        <v>90.1</v>
      </c>
      <c r="H4471" s="7">
        <v>4549.45</v>
      </c>
      <c r="I4471" s="2" t="s">
        <v>15</v>
      </c>
      <c r="J4471" s="2" t="s">
        <v>16</v>
      </c>
      <c r="K4471" s="2" t="s">
        <v>29</v>
      </c>
      <c r="L4471" s="7">
        <v>4549.45</v>
      </c>
      <c r="M4471" s="2" t="str">
        <f>_xlfn.IFS(TelecomData[[#This Row],[TenureMonths]]&lt;=12, "0-1 Year", TelecomData[[#This Row],[TenureMonths]]&lt;=36, "1-3 Years", TelecomData[[#This Row],[TenureMonths]]&gt;36, "3+ Years")</f>
        <v>3+ Years</v>
      </c>
      <c r="N4471" s="2" t="str">
        <f>IF(TelecomData[[#This Row],[CleanedTotalCharges]]&gt;=2500,"High Spend", "Standard Spend")</f>
        <v>High Spend</v>
      </c>
    </row>
    <row r="4472" spans="1:14" x14ac:dyDescent="0.3">
      <c r="A4472" s="1" t="s">
        <v>4496</v>
      </c>
      <c r="B4472" s="2" t="s">
        <v>19</v>
      </c>
      <c r="C4472" s="2" t="s">
        <v>13</v>
      </c>
      <c r="D4472" s="2">
        <v>7</v>
      </c>
      <c r="E4472" s="2" t="s">
        <v>14</v>
      </c>
      <c r="F4472" s="2" t="s">
        <v>15</v>
      </c>
      <c r="G4472" s="7">
        <v>44.65</v>
      </c>
      <c r="H4472" s="7">
        <v>322.5</v>
      </c>
      <c r="I4472" s="2" t="s">
        <v>15</v>
      </c>
      <c r="J4472" s="2" t="s">
        <v>16</v>
      </c>
      <c r="K4472" s="2" t="s">
        <v>24</v>
      </c>
      <c r="L4472" s="7">
        <v>322.5</v>
      </c>
      <c r="M4472" s="2" t="str">
        <f>_xlfn.IFS(TelecomData[[#This Row],[TenureMonths]]&lt;=12, "0-1 Year", TelecomData[[#This Row],[TenureMonths]]&lt;=36, "1-3 Years", TelecomData[[#This Row],[TenureMonths]]&gt;36, "3+ Years")</f>
        <v>0-1 Year</v>
      </c>
      <c r="N4472" s="2" t="str">
        <f>IF(TelecomData[[#This Row],[CleanedTotalCharges]]&gt;=2500,"High Spend", "Standard Spend")</f>
        <v>Standard Spend</v>
      </c>
    </row>
    <row r="4473" spans="1:14" x14ac:dyDescent="0.3">
      <c r="A4473" s="1" t="s">
        <v>4497</v>
      </c>
      <c r="B4473" s="2" t="s">
        <v>19</v>
      </c>
      <c r="C4473" s="2" t="s">
        <v>13</v>
      </c>
      <c r="D4473" s="2">
        <v>41</v>
      </c>
      <c r="E4473" s="2" t="s">
        <v>26</v>
      </c>
      <c r="F4473" s="2" t="s">
        <v>15</v>
      </c>
      <c r="G4473" s="7">
        <v>83.75</v>
      </c>
      <c r="H4473" s="7">
        <v>3273.55</v>
      </c>
      <c r="I4473" s="2" t="s">
        <v>16</v>
      </c>
      <c r="J4473" s="2" t="s">
        <v>16</v>
      </c>
      <c r="K4473" s="2" t="s">
        <v>24</v>
      </c>
      <c r="L4473" s="7">
        <v>3273.55</v>
      </c>
      <c r="M4473" s="2" t="str">
        <f>_xlfn.IFS(TelecomData[[#This Row],[TenureMonths]]&lt;=12, "0-1 Year", TelecomData[[#This Row],[TenureMonths]]&lt;=36, "1-3 Years", TelecomData[[#This Row],[TenureMonths]]&gt;36, "3+ Years")</f>
        <v>3+ Years</v>
      </c>
      <c r="N4473" s="2" t="str">
        <f>IF(TelecomData[[#This Row],[CleanedTotalCharges]]&gt;=2500,"High Spend", "Standard Spend")</f>
        <v>High Spend</v>
      </c>
    </row>
    <row r="4474" spans="1:14" x14ac:dyDescent="0.3">
      <c r="A4474" s="1" t="s">
        <v>4498</v>
      </c>
      <c r="B4474" s="2" t="s">
        <v>19</v>
      </c>
      <c r="C4474" s="2" t="s">
        <v>35</v>
      </c>
      <c r="D4474" s="2">
        <v>68</v>
      </c>
      <c r="E4474" s="2" t="s">
        <v>26</v>
      </c>
      <c r="F4474" s="2" t="s">
        <v>15</v>
      </c>
      <c r="G4474" s="7">
        <v>80.349999999999994</v>
      </c>
      <c r="H4474" s="7">
        <v>5375.15</v>
      </c>
      <c r="I4474" s="2" t="s">
        <v>15</v>
      </c>
      <c r="J4474" s="2" t="s">
        <v>15</v>
      </c>
      <c r="K4474" s="2" t="s">
        <v>29</v>
      </c>
      <c r="L4474" s="7">
        <v>5375.15</v>
      </c>
      <c r="M4474" s="2" t="str">
        <f>_xlfn.IFS(TelecomData[[#This Row],[TenureMonths]]&lt;=12, "0-1 Year", TelecomData[[#This Row],[TenureMonths]]&lt;=36, "1-3 Years", TelecomData[[#This Row],[TenureMonths]]&gt;36, "3+ Years")</f>
        <v>3+ Years</v>
      </c>
      <c r="N4474" s="2" t="str">
        <f>IF(TelecomData[[#This Row],[CleanedTotalCharges]]&gt;=2500,"High Spend", "Standard Spend")</f>
        <v>High Spend</v>
      </c>
    </row>
    <row r="4475" spans="1:14" x14ac:dyDescent="0.3">
      <c r="A4475" s="1" t="s">
        <v>4499</v>
      </c>
      <c r="B4475" s="2" t="s">
        <v>12</v>
      </c>
      <c r="C4475" s="2" t="s">
        <v>13</v>
      </c>
      <c r="D4475" s="2">
        <v>26</v>
      </c>
      <c r="E4475" s="2" t="s">
        <v>26</v>
      </c>
      <c r="F4475" s="2" t="s">
        <v>15</v>
      </c>
      <c r="G4475" s="7">
        <v>98.1</v>
      </c>
      <c r="H4475" s="7">
        <v>2510.6999999999998</v>
      </c>
      <c r="I4475" s="2" t="s">
        <v>15</v>
      </c>
      <c r="J4475" s="2" t="s">
        <v>16</v>
      </c>
      <c r="K4475" s="2" t="s">
        <v>24</v>
      </c>
      <c r="L4475" s="7">
        <v>2510.6999999999998</v>
      </c>
      <c r="M4475" s="2" t="str">
        <f>_xlfn.IFS(TelecomData[[#This Row],[TenureMonths]]&lt;=12, "0-1 Year", TelecomData[[#This Row],[TenureMonths]]&lt;=36, "1-3 Years", TelecomData[[#This Row],[TenureMonths]]&gt;36, "3+ Years")</f>
        <v>1-3 Years</v>
      </c>
      <c r="N4475" s="2" t="str">
        <f>IF(TelecomData[[#This Row],[CleanedTotalCharges]]&gt;=2500,"High Spend", "Standard Spend")</f>
        <v>High Spend</v>
      </c>
    </row>
    <row r="4476" spans="1:14" x14ac:dyDescent="0.3">
      <c r="A4476" s="1" t="s">
        <v>4500</v>
      </c>
      <c r="B4476" s="2" t="s">
        <v>19</v>
      </c>
      <c r="C4476" s="2" t="s">
        <v>35</v>
      </c>
      <c r="D4476" s="2">
        <v>57</v>
      </c>
      <c r="E4476" s="2" t="s">
        <v>14</v>
      </c>
      <c r="F4476" s="2" t="s">
        <v>16</v>
      </c>
      <c r="G4476" s="7">
        <v>53.35</v>
      </c>
      <c r="H4476" s="7">
        <v>3090.05</v>
      </c>
      <c r="I4476" s="2" t="s">
        <v>15</v>
      </c>
      <c r="J4476" s="2" t="s">
        <v>15</v>
      </c>
      <c r="K4476" s="2" t="s">
        <v>29</v>
      </c>
      <c r="L4476" s="7">
        <v>3090.05</v>
      </c>
      <c r="M4476" s="2" t="str">
        <f>_xlfn.IFS(TelecomData[[#This Row],[TenureMonths]]&lt;=12, "0-1 Year", TelecomData[[#This Row],[TenureMonths]]&lt;=36, "1-3 Years", TelecomData[[#This Row],[TenureMonths]]&gt;36, "3+ Years")</f>
        <v>3+ Years</v>
      </c>
      <c r="N4476" s="2" t="str">
        <f>IF(TelecomData[[#This Row],[CleanedTotalCharges]]&gt;=2500,"High Spend", "Standard Spend")</f>
        <v>High Spend</v>
      </c>
    </row>
    <row r="4477" spans="1:14" x14ac:dyDescent="0.3">
      <c r="A4477" s="1" t="s">
        <v>4501</v>
      </c>
      <c r="B4477" s="2" t="s">
        <v>12</v>
      </c>
      <c r="C4477" s="2" t="s">
        <v>13</v>
      </c>
      <c r="D4477" s="2">
        <v>3</v>
      </c>
      <c r="E4477" s="2" t="s">
        <v>15</v>
      </c>
      <c r="F4477" s="2" t="s">
        <v>36</v>
      </c>
      <c r="G4477" s="7">
        <v>19.55</v>
      </c>
      <c r="H4477" s="7">
        <v>61.05</v>
      </c>
      <c r="I4477" s="2" t="s">
        <v>15</v>
      </c>
      <c r="J4477" s="2" t="s">
        <v>15</v>
      </c>
      <c r="K4477" s="2" t="s">
        <v>17</v>
      </c>
      <c r="L4477" s="7">
        <v>61.05</v>
      </c>
      <c r="M4477" s="2" t="str">
        <f>_xlfn.IFS(TelecomData[[#This Row],[TenureMonths]]&lt;=12, "0-1 Year", TelecomData[[#This Row],[TenureMonths]]&lt;=36, "1-3 Years", TelecomData[[#This Row],[TenureMonths]]&gt;36, "3+ Years")</f>
        <v>0-1 Year</v>
      </c>
      <c r="N4477" s="2" t="str">
        <f>IF(TelecomData[[#This Row],[CleanedTotalCharges]]&gt;=2500,"High Spend", "Standard Spend")</f>
        <v>Standard Spend</v>
      </c>
    </row>
    <row r="4478" spans="1:14" x14ac:dyDescent="0.3">
      <c r="A4478" s="1" t="s">
        <v>4502</v>
      </c>
      <c r="B4478" s="2" t="s">
        <v>12</v>
      </c>
      <c r="C4478" s="2" t="s">
        <v>13</v>
      </c>
      <c r="D4478" s="2">
        <v>1</v>
      </c>
      <c r="E4478" s="2" t="s">
        <v>15</v>
      </c>
      <c r="F4478" s="2" t="s">
        <v>36</v>
      </c>
      <c r="G4478" s="7">
        <v>20.9</v>
      </c>
      <c r="H4478" s="7">
        <v>20.9</v>
      </c>
      <c r="I4478" s="2" t="s">
        <v>16</v>
      </c>
      <c r="J4478" s="2" t="s">
        <v>15</v>
      </c>
      <c r="K4478" s="2" t="s">
        <v>21</v>
      </c>
      <c r="L4478" s="7">
        <v>20.9</v>
      </c>
      <c r="M4478" s="2" t="str">
        <f>_xlfn.IFS(TelecomData[[#This Row],[TenureMonths]]&lt;=12, "0-1 Year", TelecomData[[#This Row],[TenureMonths]]&lt;=36, "1-3 Years", TelecomData[[#This Row],[TenureMonths]]&gt;36, "3+ Years")</f>
        <v>0-1 Year</v>
      </c>
      <c r="N4478" s="2" t="str">
        <f>IF(TelecomData[[#This Row],[CleanedTotalCharges]]&gt;=2500,"High Spend", "Standard Spend")</f>
        <v>Standard Spend</v>
      </c>
    </row>
    <row r="4479" spans="1:14" x14ac:dyDescent="0.3">
      <c r="A4479" s="1" t="s">
        <v>4503</v>
      </c>
      <c r="B4479" s="2" t="s">
        <v>19</v>
      </c>
      <c r="C4479" s="2" t="s">
        <v>20</v>
      </c>
      <c r="D4479" s="2">
        <v>19</v>
      </c>
      <c r="E4479" s="2" t="s">
        <v>14</v>
      </c>
      <c r="F4479" s="2" t="s">
        <v>15</v>
      </c>
      <c r="G4479" s="7">
        <v>48.95</v>
      </c>
      <c r="H4479" s="7">
        <v>955.6</v>
      </c>
      <c r="I4479" s="2" t="s">
        <v>15</v>
      </c>
      <c r="J4479" s="2" t="s">
        <v>16</v>
      </c>
      <c r="K4479" s="2" t="s">
        <v>24</v>
      </c>
      <c r="L4479" s="7">
        <v>955.6</v>
      </c>
      <c r="M4479" s="2" t="str">
        <f>_xlfn.IFS(TelecomData[[#This Row],[TenureMonths]]&lt;=12, "0-1 Year", TelecomData[[#This Row],[TenureMonths]]&lt;=36, "1-3 Years", TelecomData[[#This Row],[TenureMonths]]&gt;36, "3+ Years")</f>
        <v>1-3 Years</v>
      </c>
      <c r="N4479" s="2" t="str">
        <f>IF(TelecomData[[#This Row],[CleanedTotalCharges]]&gt;=2500,"High Spend", "Standard Spend")</f>
        <v>Standard Spend</v>
      </c>
    </row>
    <row r="4480" spans="1:14" x14ac:dyDescent="0.3">
      <c r="A4480" s="1" t="s">
        <v>4504</v>
      </c>
      <c r="B4480" s="2" t="s">
        <v>12</v>
      </c>
      <c r="C4480" s="2" t="s">
        <v>13</v>
      </c>
      <c r="D4480" s="2">
        <v>3</v>
      </c>
      <c r="E4480" s="2" t="s">
        <v>14</v>
      </c>
      <c r="F4480" s="2" t="s">
        <v>15</v>
      </c>
      <c r="G4480" s="7">
        <v>54.2</v>
      </c>
      <c r="H4480" s="7">
        <v>140.4</v>
      </c>
      <c r="I4480" s="2" t="s">
        <v>15</v>
      </c>
      <c r="J4480" s="2" t="s">
        <v>16</v>
      </c>
      <c r="K4480" s="2" t="s">
        <v>17</v>
      </c>
      <c r="L4480" s="7">
        <v>140.4</v>
      </c>
      <c r="M4480" s="2" t="str">
        <f>_xlfn.IFS(TelecomData[[#This Row],[TenureMonths]]&lt;=12, "0-1 Year", TelecomData[[#This Row],[TenureMonths]]&lt;=36, "1-3 Years", TelecomData[[#This Row],[TenureMonths]]&gt;36, "3+ Years")</f>
        <v>0-1 Year</v>
      </c>
      <c r="N4480" s="2" t="str">
        <f>IF(TelecomData[[#This Row],[CleanedTotalCharges]]&gt;=2500,"High Spend", "Standard Spend")</f>
        <v>Standard Spend</v>
      </c>
    </row>
    <row r="4481" spans="1:14" x14ac:dyDescent="0.3">
      <c r="A4481" s="1" t="s">
        <v>4505</v>
      </c>
      <c r="B4481" s="2" t="s">
        <v>12</v>
      </c>
      <c r="C4481" s="2" t="s">
        <v>35</v>
      </c>
      <c r="D4481" s="2">
        <v>59</v>
      </c>
      <c r="E4481" s="2" t="s">
        <v>15</v>
      </c>
      <c r="F4481" s="2" t="s">
        <v>36</v>
      </c>
      <c r="G4481" s="7">
        <v>24.45</v>
      </c>
      <c r="H4481" s="7">
        <v>1493.1</v>
      </c>
      <c r="I4481" s="2" t="s">
        <v>15</v>
      </c>
      <c r="J4481" s="2" t="s">
        <v>15</v>
      </c>
      <c r="K4481" s="2" t="s">
        <v>17</v>
      </c>
      <c r="L4481" s="7">
        <v>1493.1</v>
      </c>
      <c r="M4481" s="2" t="str">
        <f>_xlfn.IFS(TelecomData[[#This Row],[TenureMonths]]&lt;=12, "0-1 Year", TelecomData[[#This Row],[TenureMonths]]&lt;=36, "1-3 Years", TelecomData[[#This Row],[TenureMonths]]&gt;36, "3+ Years")</f>
        <v>3+ Years</v>
      </c>
      <c r="N4481" s="2" t="str">
        <f>IF(TelecomData[[#This Row],[CleanedTotalCharges]]&gt;=2500,"High Spend", "Standard Spend")</f>
        <v>Standard Spend</v>
      </c>
    </row>
    <row r="4482" spans="1:14" x14ac:dyDescent="0.3">
      <c r="A4482" s="1" t="s">
        <v>4506</v>
      </c>
      <c r="B4482" s="2" t="s">
        <v>12</v>
      </c>
      <c r="C4482" s="2" t="s">
        <v>13</v>
      </c>
      <c r="D4482" s="2">
        <v>1</v>
      </c>
      <c r="E4482" s="2" t="s">
        <v>26</v>
      </c>
      <c r="F4482" s="2" t="s">
        <v>15</v>
      </c>
      <c r="G4482" s="7">
        <v>69.400000000000006</v>
      </c>
      <c r="H4482" s="7">
        <v>69.400000000000006</v>
      </c>
      <c r="I4482" s="2" t="s">
        <v>16</v>
      </c>
      <c r="J4482" s="2" t="s">
        <v>16</v>
      </c>
      <c r="K4482" s="2" t="s">
        <v>21</v>
      </c>
      <c r="L4482" s="7">
        <v>69.400000000000006</v>
      </c>
      <c r="M4482" s="2" t="str">
        <f>_xlfn.IFS(TelecomData[[#This Row],[TenureMonths]]&lt;=12, "0-1 Year", TelecomData[[#This Row],[TenureMonths]]&lt;=36, "1-3 Years", TelecomData[[#This Row],[TenureMonths]]&gt;36, "3+ Years")</f>
        <v>0-1 Year</v>
      </c>
      <c r="N4482" s="2" t="str">
        <f>IF(TelecomData[[#This Row],[CleanedTotalCharges]]&gt;=2500,"High Spend", "Standard Spend")</f>
        <v>Standard Spend</v>
      </c>
    </row>
    <row r="4483" spans="1:14" x14ac:dyDescent="0.3">
      <c r="A4483" s="1" t="s">
        <v>4507</v>
      </c>
      <c r="B4483" s="2" t="s">
        <v>19</v>
      </c>
      <c r="C4483" s="2" t="s">
        <v>13</v>
      </c>
      <c r="D4483" s="2">
        <v>42</v>
      </c>
      <c r="E4483" s="2" t="s">
        <v>14</v>
      </c>
      <c r="F4483" s="2" t="s">
        <v>15</v>
      </c>
      <c r="G4483" s="7">
        <v>40.15</v>
      </c>
      <c r="H4483" s="7">
        <v>1626.05</v>
      </c>
      <c r="I4483" s="2" t="s">
        <v>15</v>
      </c>
      <c r="J4483" s="2" t="s">
        <v>16</v>
      </c>
      <c r="K4483" s="2" t="s">
        <v>24</v>
      </c>
      <c r="L4483" s="7">
        <v>1626.05</v>
      </c>
      <c r="M4483" s="2" t="str">
        <f>_xlfn.IFS(TelecomData[[#This Row],[TenureMonths]]&lt;=12, "0-1 Year", TelecomData[[#This Row],[TenureMonths]]&lt;=36, "1-3 Years", TelecomData[[#This Row],[TenureMonths]]&gt;36, "3+ Years")</f>
        <v>3+ Years</v>
      </c>
      <c r="N4483" s="2" t="str">
        <f>IF(TelecomData[[#This Row],[CleanedTotalCharges]]&gt;=2500,"High Spend", "Standard Spend")</f>
        <v>Standard Spend</v>
      </c>
    </row>
    <row r="4484" spans="1:14" x14ac:dyDescent="0.3">
      <c r="A4484" s="1" t="s">
        <v>4508</v>
      </c>
      <c r="B4484" s="2" t="s">
        <v>12</v>
      </c>
      <c r="C4484" s="2" t="s">
        <v>13</v>
      </c>
      <c r="D4484" s="2">
        <v>7</v>
      </c>
      <c r="E4484" s="2" t="s">
        <v>26</v>
      </c>
      <c r="F4484" s="2" t="s">
        <v>15</v>
      </c>
      <c r="G4484" s="7">
        <v>74.900000000000006</v>
      </c>
      <c r="H4484" s="7">
        <v>541.15</v>
      </c>
      <c r="I4484" s="2" t="s">
        <v>16</v>
      </c>
      <c r="J4484" s="2" t="s">
        <v>16</v>
      </c>
      <c r="K4484" s="2" t="s">
        <v>17</v>
      </c>
      <c r="L4484" s="7">
        <v>541.15</v>
      </c>
      <c r="M4484" s="2" t="str">
        <f>_xlfn.IFS(TelecomData[[#This Row],[TenureMonths]]&lt;=12, "0-1 Year", TelecomData[[#This Row],[TenureMonths]]&lt;=36, "1-3 Years", TelecomData[[#This Row],[TenureMonths]]&gt;36, "3+ Years")</f>
        <v>0-1 Year</v>
      </c>
      <c r="N4484" s="2" t="str">
        <f>IF(TelecomData[[#This Row],[CleanedTotalCharges]]&gt;=2500,"High Spend", "Standard Spend")</f>
        <v>Standard Spend</v>
      </c>
    </row>
    <row r="4485" spans="1:14" x14ac:dyDescent="0.3">
      <c r="A4485" s="1" t="s">
        <v>4509</v>
      </c>
      <c r="B4485" s="2" t="s">
        <v>19</v>
      </c>
      <c r="C4485" s="2" t="s">
        <v>35</v>
      </c>
      <c r="D4485" s="2">
        <v>67</v>
      </c>
      <c r="E4485" s="2" t="s">
        <v>15</v>
      </c>
      <c r="F4485" s="2" t="s">
        <v>36</v>
      </c>
      <c r="G4485" s="7">
        <v>25.6</v>
      </c>
      <c r="H4485" s="7">
        <v>1784.9</v>
      </c>
      <c r="I4485" s="2" t="s">
        <v>15</v>
      </c>
      <c r="J4485" s="2" t="s">
        <v>15</v>
      </c>
      <c r="K4485" s="2" t="s">
        <v>29</v>
      </c>
      <c r="L4485" s="7">
        <v>1784.9</v>
      </c>
      <c r="M4485" s="2" t="str">
        <f>_xlfn.IFS(TelecomData[[#This Row],[TenureMonths]]&lt;=12, "0-1 Year", TelecomData[[#This Row],[TenureMonths]]&lt;=36, "1-3 Years", TelecomData[[#This Row],[TenureMonths]]&gt;36, "3+ Years")</f>
        <v>3+ Years</v>
      </c>
      <c r="N4485" s="2" t="str">
        <f>IF(TelecomData[[#This Row],[CleanedTotalCharges]]&gt;=2500,"High Spend", "Standard Spend")</f>
        <v>Standard Spend</v>
      </c>
    </row>
    <row r="4486" spans="1:14" x14ac:dyDescent="0.3">
      <c r="A4486" s="1" t="s">
        <v>4510</v>
      </c>
      <c r="B4486" s="2" t="s">
        <v>19</v>
      </c>
      <c r="C4486" s="2" t="s">
        <v>13</v>
      </c>
      <c r="D4486" s="2">
        <v>1</v>
      </c>
      <c r="E4486" s="2" t="s">
        <v>26</v>
      </c>
      <c r="F4486" s="2" t="s">
        <v>15</v>
      </c>
      <c r="G4486" s="7">
        <v>70.349999999999994</v>
      </c>
      <c r="H4486" s="7">
        <v>70.349999999999994</v>
      </c>
      <c r="I4486" s="2" t="s">
        <v>15</v>
      </c>
      <c r="J4486" s="2" t="s">
        <v>16</v>
      </c>
      <c r="K4486" s="2" t="s">
        <v>17</v>
      </c>
      <c r="L4486" s="7">
        <v>70.349999999999994</v>
      </c>
      <c r="M4486" s="2" t="str">
        <f>_xlfn.IFS(TelecomData[[#This Row],[TenureMonths]]&lt;=12, "0-1 Year", TelecomData[[#This Row],[TenureMonths]]&lt;=36, "1-3 Years", TelecomData[[#This Row],[TenureMonths]]&gt;36, "3+ Years")</f>
        <v>0-1 Year</v>
      </c>
      <c r="N4486" s="2" t="str">
        <f>IF(TelecomData[[#This Row],[CleanedTotalCharges]]&gt;=2500,"High Spend", "Standard Spend")</f>
        <v>Standard Spend</v>
      </c>
    </row>
    <row r="4487" spans="1:14" x14ac:dyDescent="0.3">
      <c r="A4487" s="1" t="s">
        <v>4511</v>
      </c>
      <c r="B4487" s="2" t="s">
        <v>19</v>
      </c>
      <c r="C4487" s="2" t="s">
        <v>35</v>
      </c>
      <c r="D4487" s="2">
        <v>66</v>
      </c>
      <c r="E4487" s="2" t="s">
        <v>14</v>
      </c>
      <c r="F4487" s="2" t="s">
        <v>16</v>
      </c>
      <c r="G4487" s="7">
        <v>91.7</v>
      </c>
      <c r="H4487" s="7">
        <v>6075.9</v>
      </c>
      <c r="I4487" s="2" t="s">
        <v>15</v>
      </c>
      <c r="J4487" s="2" t="s">
        <v>15</v>
      </c>
      <c r="K4487" s="2" t="s">
        <v>24</v>
      </c>
      <c r="L4487" s="7">
        <v>6075.9</v>
      </c>
      <c r="M4487" s="2" t="str">
        <f>_xlfn.IFS(TelecomData[[#This Row],[TenureMonths]]&lt;=12, "0-1 Year", TelecomData[[#This Row],[TenureMonths]]&lt;=36, "1-3 Years", TelecomData[[#This Row],[TenureMonths]]&gt;36, "3+ Years")</f>
        <v>3+ Years</v>
      </c>
      <c r="N4487" s="2" t="str">
        <f>IF(TelecomData[[#This Row],[CleanedTotalCharges]]&gt;=2500,"High Spend", "Standard Spend")</f>
        <v>High Spend</v>
      </c>
    </row>
    <row r="4488" spans="1:14" x14ac:dyDescent="0.3">
      <c r="A4488" s="1" t="s">
        <v>4512</v>
      </c>
      <c r="B4488" s="2" t="s">
        <v>12</v>
      </c>
      <c r="C4488" s="2" t="s">
        <v>13</v>
      </c>
      <c r="D4488" s="2">
        <v>61</v>
      </c>
      <c r="E4488" s="2" t="s">
        <v>26</v>
      </c>
      <c r="F4488" s="2" t="s">
        <v>15</v>
      </c>
      <c r="G4488" s="7">
        <v>89.2</v>
      </c>
      <c r="H4488" s="7">
        <v>5500.6</v>
      </c>
      <c r="I4488" s="2" t="s">
        <v>15</v>
      </c>
      <c r="J4488" s="2" t="s">
        <v>15</v>
      </c>
      <c r="K4488" s="2" t="s">
        <v>21</v>
      </c>
      <c r="L4488" s="7">
        <v>5500.6</v>
      </c>
      <c r="M4488" s="2" t="str">
        <f>_xlfn.IFS(TelecomData[[#This Row],[TenureMonths]]&lt;=12, "0-1 Year", TelecomData[[#This Row],[TenureMonths]]&lt;=36, "1-3 Years", TelecomData[[#This Row],[TenureMonths]]&gt;36, "3+ Years")</f>
        <v>3+ Years</v>
      </c>
      <c r="N4488" s="2" t="str">
        <f>IF(TelecomData[[#This Row],[CleanedTotalCharges]]&gt;=2500,"High Spend", "Standard Spend")</f>
        <v>High Spend</v>
      </c>
    </row>
    <row r="4489" spans="1:14" x14ac:dyDescent="0.3">
      <c r="A4489" s="1" t="s">
        <v>4513</v>
      </c>
      <c r="B4489" s="2" t="s">
        <v>19</v>
      </c>
      <c r="C4489" s="2" t="s">
        <v>20</v>
      </c>
      <c r="D4489" s="2">
        <v>4</v>
      </c>
      <c r="E4489" s="2" t="s">
        <v>15</v>
      </c>
      <c r="F4489" s="2" t="s">
        <v>36</v>
      </c>
      <c r="G4489" s="7">
        <v>24.1</v>
      </c>
      <c r="H4489" s="7">
        <v>73.099999999999994</v>
      </c>
      <c r="I4489" s="2" t="s">
        <v>15</v>
      </c>
      <c r="J4489" s="2" t="s">
        <v>15</v>
      </c>
      <c r="K4489" s="2" t="s">
        <v>29</v>
      </c>
      <c r="L4489" s="7">
        <v>73.099999999999994</v>
      </c>
      <c r="M4489" s="2" t="str">
        <f>_xlfn.IFS(TelecomData[[#This Row],[TenureMonths]]&lt;=12, "0-1 Year", TelecomData[[#This Row],[TenureMonths]]&lt;=36, "1-3 Years", TelecomData[[#This Row],[TenureMonths]]&gt;36, "3+ Years")</f>
        <v>0-1 Year</v>
      </c>
      <c r="N4489" s="2" t="str">
        <f>IF(TelecomData[[#This Row],[CleanedTotalCharges]]&gt;=2500,"High Spend", "Standard Spend")</f>
        <v>Standard Spend</v>
      </c>
    </row>
    <row r="4490" spans="1:14" x14ac:dyDescent="0.3">
      <c r="A4490" s="1" t="s">
        <v>4514</v>
      </c>
      <c r="B4490" s="2" t="s">
        <v>12</v>
      </c>
      <c r="C4490" s="2" t="s">
        <v>13</v>
      </c>
      <c r="D4490" s="2">
        <v>42</v>
      </c>
      <c r="E4490" s="2" t="s">
        <v>26</v>
      </c>
      <c r="F4490" s="2" t="s">
        <v>15</v>
      </c>
      <c r="G4490" s="7">
        <v>74.150000000000006</v>
      </c>
      <c r="H4490" s="7">
        <v>3229.4</v>
      </c>
      <c r="I4490" s="2" t="s">
        <v>16</v>
      </c>
      <c r="J4490" s="2" t="s">
        <v>16</v>
      </c>
      <c r="K4490" s="2" t="s">
        <v>29</v>
      </c>
      <c r="L4490" s="7">
        <v>3229.4</v>
      </c>
      <c r="M4490" s="2" t="str">
        <f>_xlfn.IFS(TelecomData[[#This Row],[TenureMonths]]&lt;=12, "0-1 Year", TelecomData[[#This Row],[TenureMonths]]&lt;=36, "1-3 Years", TelecomData[[#This Row],[TenureMonths]]&gt;36, "3+ Years")</f>
        <v>3+ Years</v>
      </c>
      <c r="N4490" s="2" t="str">
        <f>IF(TelecomData[[#This Row],[CleanedTotalCharges]]&gt;=2500,"High Spend", "Standard Spend")</f>
        <v>High Spend</v>
      </c>
    </row>
    <row r="4491" spans="1:14" x14ac:dyDescent="0.3">
      <c r="A4491" s="1" t="s">
        <v>4515</v>
      </c>
      <c r="B4491" s="2" t="s">
        <v>12</v>
      </c>
      <c r="C4491" s="2" t="s">
        <v>20</v>
      </c>
      <c r="D4491" s="2">
        <v>64</v>
      </c>
      <c r="E4491" s="2" t="s">
        <v>14</v>
      </c>
      <c r="F4491" s="2" t="s">
        <v>15</v>
      </c>
      <c r="G4491" s="7">
        <v>53.85</v>
      </c>
      <c r="H4491" s="7">
        <v>3399.85</v>
      </c>
      <c r="I4491" s="2" t="s">
        <v>15</v>
      </c>
      <c r="J4491" s="2" t="s">
        <v>16</v>
      </c>
      <c r="K4491" s="2" t="s">
        <v>24</v>
      </c>
      <c r="L4491" s="7">
        <v>3399.85</v>
      </c>
      <c r="M4491" s="2" t="str">
        <f>_xlfn.IFS(TelecomData[[#This Row],[TenureMonths]]&lt;=12, "0-1 Year", TelecomData[[#This Row],[TenureMonths]]&lt;=36, "1-3 Years", TelecomData[[#This Row],[TenureMonths]]&gt;36, "3+ Years")</f>
        <v>3+ Years</v>
      </c>
      <c r="N4491" s="2" t="str">
        <f>IF(TelecomData[[#This Row],[CleanedTotalCharges]]&gt;=2500,"High Spend", "Standard Spend")</f>
        <v>High Spend</v>
      </c>
    </row>
    <row r="4492" spans="1:14" x14ac:dyDescent="0.3">
      <c r="A4492" s="1" t="s">
        <v>4516</v>
      </c>
      <c r="B4492" s="2" t="s">
        <v>12</v>
      </c>
      <c r="C4492" s="2" t="s">
        <v>20</v>
      </c>
      <c r="D4492" s="2">
        <v>54</v>
      </c>
      <c r="E4492" s="2" t="s">
        <v>26</v>
      </c>
      <c r="F4492" s="2" t="s">
        <v>16</v>
      </c>
      <c r="G4492" s="7">
        <v>115.6</v>
      </c>
      <c r="H4492" s="7">
        <v>6431.05</v>
      </c>
      <c r="I4492" s="2" t="s">
        <v>15</v>
      </c>
      <c r="J4492" s="2" t="s">
        <v>16</v>
      </c>
      <c r="K4492" s="2" t="s">
        <v>24</v>
      </c>
      <c r="L4492" s="7">
        <v>6431.05</v>
      </c>
      <c r="M4492" s="2" t="str">
        <f>_xlfn.IFS(TelecomData[[#This Row],[TenureMonths]]&lt;=12, "0-1 Year", TelecomData[[#This Row],[TenureMonths]]&lt;=36, "1-3 Years", TelecomData[[#This Row],[TenureMonths]]&gt;36, "3+ Years")</f>
        <v>3+ Years</v>
      </c>
      <c r="N4492" s="2" t="str">
        <f>IF(TelecomData[[#This Row],[CleanedTotalCharges]]&gt;=2500,"High Spend", "Standard Spend")</f>
        <v>High Spend</v>
      </c>
    </row>
    <row r="4493" spans="1:14" x14ac:dyDescent="0.3">
      <c r="A4493" s="1" t="s">
        <v>4517</v>
      </c>
      <c r="B4493" s="2" t="s">
        <v>19</v>
      </c>
      <c r="C4493" s="2" t="s">
        <v>13</v>
      </c>
      <c r="D4493" s="2">
        <v>1</v>
      </c>
      <c r="E4493" s="2" t="s">
        <v>15</v>
      </c>
      <c r="F4493" s="2" t="s">
        <v>36</v>
      </c>
      <c r="G4493" s="7">
        <v>19.75</v>
      </c>
      <c r="H4493" s="7">
        <v>19.75</v>
      </c>
      <c r="I4493" s="2" t="s">
        <v>15</v>
      </c>
      <c r="J4493" s="2" t="s">
        <v>16</v>
      </c>
      <c r="K4493" s="2" t="s">
        <v>29</v>
      </c>
      <c r="L4493" s="7">
        <v>19.75</v>
      </c>
      <c r="M4493" s="2" t="str">
        <f>_xlfn.IFS(TelecomData[[#This Row],[TenureMonths]]&lt;=12, "0-1 Year", TelecomData[[#This Row],[TenureMonths]]&lt;=36, "1-3 Years", TelecomData[[#This Row],[TenureMonths]]&gt;36, "3+ Years")</f>
        <v>0-1 Year</v>
      </c>
      <c r="N4493" s="2" t="str">
        <f>IF(TelecomData[[#This Row],[CleanedTotalCharges]]&gt;=2500,"High Spend", "Standard Spend")</f>
        <v>Standard Spend</v>
      </c>
    </row>
    <row r="4494" spans="1:14" x14ac:dyDescent="0.3">
      <c r="A4494" s="1" t="s">
        <v>4518</v>
      </c>
      <c r="B4494" s="2" t="s">
        <v>19</v>
      </c>
      <c r="C4494" s="2" t="s">
        <v>35</v>
      </c>
      <c r="D4494" s="2">
        <v>54</v>
      </c>
      <c r="E4494" s="2" t="s">
        <v>15</v>
      </c>
      <c r="F4494" s="2" t="s">
        <v>36</v>
      </c>
      <c r="G4494" s="7">
        <v>24.05</v>
      </c>
      <c r="H4494" s="7">
        <v>1230.9000000000001</v>
      </c>
      <c r="I4494" s="2" t="s">
        <v>15</v>
      </c>
      <c r="J4494" s="2" t="s">
        <v>16</v>
      </c>
      <c r="K4494" s="2" t="s">
        <v>24</v>
      </c>
      <c r="L4494" s="7">
        <v>1230.9000000000001</v>
      </c>
      <c r="M4494" s="2" t="str">
        <f>_xlfn.IFS(TelecomData[[#This Row],[TenureMonths]]&lt;=12, "0-1 Year", TelecomData[[#This Row],[TenureMonths]]&lt;=36, "1-3 Years", TelecomData[[#This Row],[TenureMonths]]&gt;36, "3+ Years")</f>
        <v>3+ Years</v>
      </c>
      <c r="N4494" s="2" t="str">
        <f>IF(TelecomData[[#This Row],[CleanedTotalCharges]]&gt;=2500,"High Spend", "Standard Spend")</f>
        <v>Standard Spend</v>
      </c>
    </row>
    <row r="4495" spans="1:14" x14ac:dyDescent="0.3">
      <c r="A4495" s="1" t="s">
        <v>4519</v>
      </c>
      <c r="B4495" s="2" t="s">
        <v>12</v>
      </c>
      <c r="C4495" s="2" t="s">
        <v>35</v>
      </c>
      <c r="D4495" s="2">
        <v>18</v>
      </c>
      <c r="E4495" s="2" t="s">
        <v>15</v>
      </c>
      <c r="F4495" s="2" t="s">
        <v>36</v>
      </c>
      <c r="G4495" s="7">
        <v>25.3</v>
      </c>
      <c r="H4495" s="7">
        <v>454.65</v>
      </c>
      <c r="I4495" s="2" t="s">
        <v>15</v>
      </c>
      <c r="J4495" s="2" t="s">
        <v>15</v>
      </c>
      <c r="K4495" s="2" t="s">
        <v>29</v>
      </c>
      <c r="L4495" s="7">
        <v>454.65</v>
      </c>
      <c r="M4495" s="2" t="str">
        <f>_xlfn.IFS(TelecomData[[#This Row],[TenureMonths]]&lt;=12, "0-1 Year", TelecomData[[#This Row],[TenureMonths]]&lt;=36, "1-3 Years", TelecomData[[#This Row],[TenureMonths]]&gt;36, "3+ Years")</f>
        <v>1-3 Years</v>
      </c>
      <c r="N4495" s="2" t="str">
        <f>IF(TelecomData[[#This Row],[CleanedTotalCharges]]&gt;=2500,"High Spend", "Standard Spend")</f>
        <v>Standard Spend</v>
      </c>
    </row>
    <row r="4496" spans="1:14" x14ac:dyDescent="0.3">
      <c r="A4496" s="1" t="s">
        <v>4520</v>
      </c>
      <c r="B4496" s="2" t="s">
        <v>19</v>
      </c>
      <c r="C4496" s="2" t="s">
        <v>13</v>
      </c>
      <c r="D4496" s="2">
        <v>3</v>
      </c>
      <c r="E4496" s="2" t="s">
        <v>26</v>
      </c>
      <c r="F4496" s="2" t="s">
        <v>15</v>
      </c>
      <c r="G4496" s="7">
        <v>84.3</v>
      </c>
      <c r="H4496" s="7">
        <v>235.05</v>
      </c>
      <c r="I4496" s="2" t="s">
        <v>15</v>
      </c>
      <c r="J4496" s="2" t="s">
        <v>15</v>
      </c>
      <c r="K4496" s="2" t="s">
        <v>17</v>
      </c>
      <c r="L4496" s="7">
        <v>235.05</v>
      </c>
      <c r="M4496" s="2" t="str">
        <f>_xlfn.IFS(TelecomData[[#This Row],[TenureMonths]]&lt;=12, "0-1 Year", TelecomData[[#This Row],[TenureMonths]]&lt;=36, "1-3 Years", TelecomData[[#This Row],[TenureMonths]]&gt;36, "3+ Years")</f>
        <v>0-1 Year</v>
      </c>
      <c r="N4496" s="2" t="str">
        <f>IF(TelecomData[[#This Row],[CleanedTotalCharges]]&gt;=2500,"High Spend", "Standard Spend")</f>
        <v>Standard Spend</v>
      </c>
    </row>
    <row r="4497" spans="1:14" x14ac:dyDescent="0.3">
      <c r="A4497" s="1" t="s">
        <v>4521</v>
      </c>
      <c r="B4497" s="2" t="s">
        <v>12</v>
      </c>
      <c r="C4497" s="2" t="s">
        <v>13</v>
      </c>
      <c r="D4497" s="2">
        <v>1</v>
      </c>
      <c r="E4497" s="2" t="s">
        <v>26</v>
      </c>
      <c r="F4497" s="2" t="s">
        <v>15</v>
      </c>
      <c r="G4497" s="7">
        <v>70.099999999999994</v>
      </c>
      <c r="H4497" s="7">
        <v>70.099999999999994</v>
      </c>
      <c r="I4497" s="2" t="s">
        <v>16</v>
      </c>
      <c r="J4497" s="2" t="s">
        <v>16</v>
      </c>
      <c r="K4497" s="2" t="s">
        <v>17</v>
      </c>
      <c r="L4497" s="7">
        <v>70.099999999999994</v>
      </c>
      <c r="M4497" s="2" t="str">
        <f>_xlfn.IFS(TelecomData[[#This Row],[TenureMonths]]&lt;=12, "0-1 Year", TelecomData[[#This Row],[TenureMonths]]&lt;=36, "1-3 Years", TelecomData[[#This Row],[TenureMonths]]&gt;36, "3+ Years")</f>
        <v>0-1 Year</v>
      </c>
      <c r="N4497" s="2" t="str">
        <f>IF(TelecomData[[#This Row],[CleanedTotalCharges]]&gt;=2500,"High Spend", "Standard Spend")</f>
        <v>Standard Spend</v>
      </c>
    </row>
    <row r="4498" spans="1:14" x14ac:dyDescent="0.3">
      <c r="A4498" s="1" t="s">
        <v>4522</v>
      </c>
      <c r="B4498" s="2" t="s">
        <v>12</v>
      </c>
      <c r="C4498" s="2" t="s">
        <v>35</v>
      </c>
      <c r="D4498" s="2">
        <v>72</v>
      </c>
      <c r="E4498" s="2" t="s">
        <v>14</v>
      </c>
      <c r="F4498" s="2" t="s">
        <v>16</v>
      </c>
      <c r="G4498" s="7">
        <v>89.75</v>
      </c>
      <c r="H4498" s="7">
        <v>6595.9</v>
      </c>
      <c r="I4498" s="2" t="s">
        <v>15</v>
      </c>
      <c r="J4498" s="2" t="s">
        <v>15</v>
      </c>
      <c r="K4498" s="2" t="s">
        <v>29</v>
      </c>
      <c r="L4498" s="7">
        <v>6595.9</v>
      </c>
      <c r="M4498" s="2" t="str">
        <f>_xlfn.IFS(TelecomData[[#This Row],[TenureMonths]]&lt;=12, "0-1 Year", TelecomData[[#This Row],[TenureMonths]]&lt;=36, "1-3 Years", TelecomData[[#This Row],[TenureMonths]]&gt;36, "3+ Years")</f>
        <v>3+ Years</v>
      </c>
      <c r="N4498" s="2" t="str">
        <f>IF(TelecomData[[#This Row],[CleanedTotalCharges]]&gt;=2500,"High Spend", "Standard Spend")</f>
        <v>High Spend</v>
      </c>
    </row>
    <row r="4499" spans="1:14" x14ac:dyDescent="0.3">
      <c r="A4499" s="1" t="s">
        <v>4523</v>
      </c>
      <c r="B4499" s="2" t="s">
        <v>19</v>
      </c>
      <c r="C4499" s="2" t="s">
        <v>20</v>
      </c>
      <c r="D4499" s="2">
        <v>60</v>
      </c>
      <c r="E4499" s="2" t="s">
        <v>26</v>
      </c>
      <c r="F4499" s="2" t="s">
        <v>15</v>
      </c>
      <c r="G4499" s="7">
        <v>97.95</v>
      </c>
      <c r="H4499" s="7">
        <v>5867</v>
      </c>
      <c r="I4499" s="2" t="s">
        <v>15</v>
      </c>
      <c r="J4499" s="2" t="s">
        <v>16</v>
      </c>
      <c r="K4499" s="2" t="s">
        <v>17</v>
      </c>
      <c r="L4499" s="7">
        <v>5867</v>
      </c>
      <c r="M4499" s="2" t="str">
        <f>_xlfn.IFS(TelecomData[[#This Row],[TenureMonths]]&lt;=12, "0-1 Year", TelecomData[[#This Row],[TenureMonths]]&lt;=36, "1-3 Years", TelecomData[[#This Row],[TenureMonths]]&gt;36, "3+ Years")</f>
        <v>3+ Years</v>
      </c>
      <c r="N4499" s="2" t="str">
        <f>IF(TelecomData[[#This Row],[CleanedTotalCharges]]&gt;=2500,"High Spend", "Standard Spend")</f>
        <v>High Spend</v>
      </c>
    </row>
    <row r="4500" spans="1:14" x14ac:dyDescent="0.3">
      <c r="A4500" s="1" t="s">
        <v>4524</v>
      </c>
      <c r="B4500" s="2" t="s">
        <v>12</v>
      </c>
      <c r="C4500" s="2" t="s">
        <v>20</v>
      </c>
      <c r="D4500" s="2">
        <v>11</v>
      </c>
      <c r="E4500" s="2" t="s">
        <v>15</v>
      </c>
      <c r="F4500" s="2" t="s">
        <v>36</v>
      </c>
      <c r="G4500" s="7">
        <v>20</v>
      </c>
      <c r="H4500" s="7">
        <v>196.35</v>
      </c>
      <c r="I4500" s="2" t="s">
        <v>15</v>
      </c>
      <c r="J4500" s="2" t="s">
        <v>16</v>
      </c>
      <c r="K4500" s="2" t="s">
        <v>21</v>
      </c>
      <c r="L4500" s="7">
        <v>196.35</v>
      </c>
      <c r="M4500" s="2" t="str">
        <f>_xlfn.IFS(TelecomData[[#This Row],[TenureMonths]]&lt;=12, "0-1 Year", TelecomData[[#This Row],[TenureMonths]]&lt;=36, "1-3 Years", TelecomData[[#This Row],[TenureMonths]]&gt;36, "3+ Years")</f>
        <v>0-1 Year</v>
      </c>
      <c r="N4500" s="2" t="str">
        <f>IF(TelecomData[[#This Row],[CleanedTotalCharges]]&gt;=2500,"High Spend", "Standard Spend")</f>
        <v>Standard Spend</v>
      </c>
    </row>
    <row r="4501" spans="1:14" x14ac:dyDescent="0.3">
      <c r="A4501" s="1" t="s">
        <v>4525</v>
      </c>
      <c r="B4501" s="2" t="s">
        <v>12</v>
      </c>
      <c r="C4501" s="2" t="s">
        <v>13</v>
      </c>
      <c r="D4501" s="2">
        <v>12</v>
      </c>
      <c r="E4501" s="2" t="s">
        <v>26</v>
      </c>
      <c r="F4501" s="2" t="s">
        <v>15</v>
      </c>
      <c r="G4501" s="7">
        <v>78.3</v>
      </c>
      <c r="H4501" s="7">
        <v>909.25</v>
      </c>
      <c r="I4501" s="2" t="s">
        <v>16</v>
      </c>
      <c r="J4501" s="2" t="s">
        <v>16</v>
      </c>
      <c r="K4501" s="2" t="s">
        <v>17</v>
      </c>
      <c r="L4501" s="7">
        <v>909.25</v>
      </c>
      <c r="M4501" s="2" t="str">
        <f>_xlfn.IFS(TelecomData[[#This Row],[TenureMonths]]&lt;=12, "0-1 Year", TelecomData[[#This Row],[TenureMonths]]&lt;=36, "1-3 Years", TelecomData[[#This Row],[TenureMonths]]&gt;36, "3+ Years")</f>
        <v>0-1 Year</v>
      </c>
      <c r="N4501" s="2" t="str">
        <f>IF(TelecomData[[#This Row],[CleanedTotalCharges]]&gt;=2500,"High Spend", "Standard Spend")</f>
        <v>Standard Spend</v>
      </c>
    </row>
    <row r="4502" spans="1:14" x14ac:dyDescent="0.3">
      <c r="A4502" s="1" t="s">
        <v>4526</v>
      </c>
      <c r="B4502" s="2" t="s">
        <v>19</v>
      </c>
      <c r="C4502" s="2" t="s">
        <v>20</v>
      </c>
      <c r="D4502" s="2">
        <v>61</v>
      </c>
      <c r="E4502" s="2" t="s">
        <v>26</v>
      </c>
      <c r="F4502" s="2" t="s">
        <v>16</v>
      </c>
      <c r="G4502" s="7">
        <v>103.9</v>
      </c>
      <c r="H4502" s="7">
        <v>6449.15</v>
      </c>
      <c r="I4502" s="2" t="s">
        <v>15</v>
      </c>
      <c r="J4502" s="2" t="s">
        <v>15</v>
      </c>
      <c r="K4502" s="2" t="s">
        <v>29</v>
      </c>
      <c r="L4502" s="7">
        <v>6449.15</v>
      </c>
      <c r="M4502" s="2" t="str">
        <f>_xlfn.IFS(TelecomData[[#This Row],[TenureMonths]]&lt;=12, "0-1 Year", TelecomData[[#This Row],[TenureMonths]]&lt;=36, "1-3 Years", TelecomData[[#This Row],[TenureMonths]]&gt;36, "3+ Years")</f>
        <v>3+ Years</v>
      </c>
      <c r="N4502" s="2" t="str">
        <f>IF(TelecomData[[#This Row],[CleanedTotalCharges]]&gt;=2500,"High Spend", "Standard Spend")</f>
        <v>High Spend</v>
      </c>
    </row>
    <row r="4503" spans="1:14" x14ac:dyDescent="0.3">
      <c r="A4503" s="1" t="s">
        <v>4527</v>
      </c>
      <c r="B4503" s="2" t="s">
        <v>12</v>
      </c>
      <c r="C4503" s="2" t="s">
        <v>35</v>
      </c>
      <c r="D4503" s="2">
        <v>39</v>
      </c>
      <c r="E4503" s="2" t="s">
        <v>15</v>
      </c>
      <c r="F4503" s="2" t="s">
        <v>36</v>
      </c>
      <c r="G4503" s="7">
        <v>20.7</v>
      </c>
      <c r="H4503" s="7">
        <v>762.45</v>
      </c>
      <c r="I4503" s="2" t="s">
        <v>15</v>
      </c>
      <c r="J4503" s="2" t="s">
        <v>15</v>
      </c>
      <c r="K4503" s="2" t="s">
        <v>29</v>
      </c>
      <c r="L4503" s="7">
        <v>762.45</v>
      </c>
      <c r="M4503" s="2" t="str">
        <f>_xlfn.IFS(TelecomData[[#This Row],[TenureMonths]]&lt;=12, "0-1 Year", TelecomData[[#This Row],[TenureMonths]]&lt;=36, "1-3 Years", TelecomData[[#This Row],[TenureMonths]]&gt;36, "3+ Years")</f>
        <v>3+ Years</v>
      </c>
      <c r="N4503" s="2" t="str">
        <f>IF(TelecomData[[#This Row],[CleanedTotalCharges]]&gt;=2500,"High Spend", "Standard Spend")</f>
        <v>Standard Spend</v>
      </c>
    </row>
    <row r="4504" spans="1:14" x14ac:dyDescent="0.3">
      <c r="A4504" s="1" t="s">
        <v>4528</v>
      </c>
      <c r="B4504" s="2" t="s">
        <v>19</v>
      </c>
      <c r="C4504" s="2" t="s">
        <v>13</v>
      </c>
      <c r="D4504" s="2">
        <v>55</v>
      </c>
      <c r="E4504" s="2" t="s">
        <v>26</v>
      </c>
      <c r="F4504" s="2" t="s">
        <v>15</v>
      </c>
      <c r="G4504" s="7">
        <v>96.8</v>
      </c>
      <c r="H4504" s="7">
        <v>5283.95</v>
      </c>
      <c r="I4504" s="2" t="s">
        <v>16</v>
      </c>
      <c r="J4504" s="2" t="s">
        <v>16</v>
      </c>
      <c r="K4504" s="2" t="s">
        <v>17</v>
      </c>
      <c r="L4504" s="7">
        <v>5283.95</v>
      </c>
      <c r="M4504" s="2" t="str">
        <f>_xlfn.IFS(TelecomData[[#This Row],[TenureMonths]]&lt;=12, "0-1 Year", TelecomData[[#This Row],[TenureMonths]]&lt;=36, "1-3 Years", TelecomData[[#This Row],[TenureMonths]]&gt;36, "3+ Years")</f>
        <v>3+ Years</v>
      </c>
      <c r="N4504" s="2" t="str">
        <f>IF(TelecomData[[#This Row],[CleanedTotalCharges]]&gt;=2500,"High Spend", "Standard Spend")</f>
        <v>High Spend</v>
      </c>
    </row>
    <row r="4505" spans="1:14" x14ac:dyDescent="0.3">
      <c r="A4505" s="1" t="s">
        <v>4529</v>
      </c>
      <c r="B4505" s="2" t="s">
        <v>12</v>
      </c>
      <c r="C4505" s="2" t="s">
        <v>13</v>
      </c>
      <c r="D4505" s="2">
        <v>17</v>
      </c>
      <c r="E4505" s="2" t="s">
        <v>26</v>
      </c>
      <c r="F4505" s="2" t="s">
        <v>15</v>
      </c>
      <c r="G4505" s="7">
        <v>94.4</v>
      </c>
      <c r="H4505" s="7">
        <v>1617.5</v>
      </c>
      <c r="I4505" s="2" t="s">
        <v>16</v>
      </c>
      <c r="J4505" s="2" t="s">
        <v>16</v>
      </c>
      <c r="K4505" s="2" t="s">
        <v>17</v>
      </c>
      <c r="L4505" s="7">
        <v>1617.5</v>
      </c>
      <c r="M4505" s="2" t="str">
        <f>_xlfn.IFS(TelecomData[[#This Row],[TenureMonths]]&lt;=12, "0-1 Year", TelecomData[[#This Row],[TenureMonths]]&lt;=36, "1-3 Years", TelecomData[[#This Row],[TenureMonths]]&gt;36, "3+ Years")</f>
        <v>1-3 Years</v>
      </c>
      <c r="N4505" s="2" t="str">
        <f>IF(TelecomData[[#This Row],[CleanedTotalCharges]]&gt;=2500,"High Spend", "Standard Spend")</f>
        <v>Standard Spend</v>
      </c>
    </row>
    <row r="4506" spans="1:14" x14ac:dyDescent="0.3">
      <c r="A4506" s="1" t="s">
        <v>4530</v>
      </c>
      <c r="B4506" s="2" t="s">
        <v>19</v>
      </c>
      <c r="C4506" s="2" t="s">
        <v>20</v>
      </c>
      <c r="D4506" s="2">
        <v>37</v>
      </c>
      <c r="E4506" s="2" t="s">
        <v>15</v>
      </c>
      <c r="F4506" s="2" t="s">
        <v>36</v>
      </c>
      <c r="G4506" s="7">
        <v>20.149999999999999</v>
      </c>
      <c r="H4506" s="7">
        <v>785.75</v>
      </c>
      <c r="I4506" s="2" t="s">
        <v>15</v>
      </c>
      <c r="J4506" s="2" t="s">
        <v>15</v>
      </c>
      <c r="K4506" s="2" t="s">
        <v>29</v>
      </c>
      <c r="L4506" s="7">
        <v>785.75</v>
      </c>
      <c r="M4506" s="2" t="str">
        <f>_xlfn.IFS(TelecomData[[#This Row],[TenureMonths]]&lt;=12, "0-1 Year", TelecomData[[#This Row],[TenureMonths]]&lt;=36, "1-3 Years", TelecomData[[#This Row],[TenureMonths]]&gt;36, "3+ Years")</f>
        <v>3+ Years</v>
      </c>
      <c r="N4506" s="2" t="str">
        <f>IF(TelecomData[[#This Row],[CleanedTotalCharges]]&gt;=2500,"High Spend", "Standard Spend")</f>
        <v>Standard Spend</v>
      </c>
    </row>
    <row r="4507" spans="1:14" x14ac:dyDescent="0.3">
      <c r="A4507" s="1" t="s">
        <v>4531</v>
      </c>
      <c r="B4507" s="2" t="s">
        <v>12</v>
      </c>
      <c r="C4507" s="2" t="s">
        <v>35</v>
      </c>
      <c r="D4507" s="2">
        <v>72</v>
      </c>
      <c r="E4507" s="2" t="s">
        <v>15</v>
      </c>
      <c r="F4507" s="2" t="s">
        <v>36</v>
      </c>
      <c r="G4507" s="7">
        <v>26</v>
      </c>
      <c r="H4507" s="7">
        <v>1776</v>
      </c>
      <c r="I4507" s="2" t="s">
        <v>15</v>
      </c>
      <c r="J4507" s="2" t="s">
        <v>16</v>
      </c>
      <c r="K4507" s="2" t="s">
        <v>21</v>
      </c>
      <c r="L4507" s="7">
        <v>1776</v>
      </c>
      <c r="M4507" s="2" t="str">
        <f>_xlfn.IFS(TelecomData[[#This Row],[TenureMonths]]&lt;=12, "0-1 Year", TelecomData[[#This Row],[TenureMonths]]&lt;=36, "1-3 Years", TelecomData[[#This Row],[TenureMonths]]&gt;36, "3+ Years")</f>
        <v>3+ Years</v>
      </c>
      <c r="N4507" s="2" t="str">
        <f>IF(TelecomData[[#This Row],[CleanedTotalCharges]]&gt;=2500,"High Spend", "Standard Spend")</f>
        <v>Standard Spend</v>
      </c>
    </row>
    <row r="4508" spans="1:14" x14ac:dyDescent="0.3">
      <c r="A4508" s="1" t="s">
        <v>4532</v>
      </c>
      <c r="B4508" s="2" t="s">
        <v>19</v>
      </c>
      <c r="C4508" s="2" t="s">
        <v>35</v>
      </c>
      <c r="D4508" s="2">
        <v>72</v>
      </c>
      <c r="E4508" s="2" t="s">
        <v>14</v>
      </c>
      <c r="F4508" s="2" t="s">
        <v>16</v>
      </c>
      <c r="G4508" s="7">
        <v>77.349999999999994</v>
      </c>
      <c r="H4508" s="7">
        <v>5396.25</v>
      </c>
      <c r="I4508" s="2" t="s">
        <v>15</v>
      </c>
      <c r="J4508" s="2" t="s">
        <v>15</v>
      </c>
      <c r="K4508" s="2" t="s">
        <v>29</v>
      </c>
      <c r="L4508" s="7">
        <v>5396.25</v>
      </c>
      <c r="M4508" s="2" t="str">
        <f>_xlfn.IFS(TelecomData[[#This Row],[TenureMonths]]&lt;=12, "0-1 Year", TelecomData[[#This Row],[TenureMonths]]&lt;=36, "1-3 Years", TelecomData[[#This Row],[TenureMonths]]&gt;36, "3+ Years")</f>
        <v>3+ Years</v>
      </c>
      <c r="N4508" s="2" t="str">
        <f>IF(TelecomData[[#This Row],[CleanedTotalCharges]]&gt;=2500,"High Spend", "Standard Spend")</f>
        <v>High Spend</v>
      </c>
    </row>
    <row r="4509" spans="1:14" x14ac:dyDescent="0.3">
      <c r="A4509" s="1" t="s">
        <v>4533</v>
      </c>
      <c r="B4509" s="2" t="s">
        <v>12</v>
      </c>
      <c r="C4509" s="2" t="s">
        <v>13</v>
      </c>
      <c r="D4509" s="2">
        <v>8</v>
      </c>
      <c r="E4509" s="2" t="s">
        <v>14</v>
      </c>
      <c r="F4509" s="2" t="s">
        <v>16</v>
      </c>
      <c r="G4509" s="7">
        <v>66.05</v>
      </c>
      <c r="H4509" s="7">
        <v>574.5</v>
      </c>
      <c r="I4509" s="2" t="s">
        <v>15</v>
      </c>
      <c r="J4509" s="2" t="s">
        <v>15</v>
      </c>
      <c r="K4509" s="2" t="s">
        <v>24</v>
      </c>
      <c r="L4509" s="7">
        <v>574.5</v>
      </c>
      <c r="M4509" s="2" t="str">
        <f>_xlfn.IFS(TelecomData[[#This Row],[TenureMonths]]&lt;=12, "0-1 Year", TelecomData[[#This Row],[TenureMonths]]&lt;=36, "1-3 Years", TelecomData[[#This Row],[TenureMonths]]&gt;36, "3+ Years")</f>
        <v>0-1 Year</v>
      </c>
      <c r="N4509" s="2" t="str">
        <f>IF(TelecomData[[#This Row],[CleanedTotalCharges]]&gt;=2500,"High Spend", "Standard Spend")</f>
        <v>Standard Spend</v>
      </c>
    </row>
    <row r="4510" spans="1:14" x14ac:dyDescent="0.3">
      <c r="A4510" s="1" t="s">
        <v>4534</v>
      </c>
      <c r="B4510" s="2" t="s">
        <v>12</v>
      </c>
      <c r="C4510" s="2" t="s">
        <v>13</v>
      </c>
      <c r="D4510" s="2">
        <v>22</v>
      </c>
      <c r="E4510" s="2" t="s">
        <v>15</v>
      </c>
      <c r="F4510" s="2" t="s">
        <v>36</v>
      </c>
      <c r="G4510" s="7">
        <v>19.899999999999999</v>
      </c>
      <c r="H4510" s="7">
        <v>400.3</v>
      </c>
      <c r="I4510" s="2" t="s">
        <v>15</v>
      </c>
      <c r="J4510" s="2" t="s">
        <v>15</v>
      </c>
      <c r="K4510" s="2" t="s">
        <v>21</v>
      </c>
      <c r="L4510" s="7">
        <v>400.3</v>
      </c>
      <c r="M4510" s="2" t="str">
        <f>_xlfn.IFS(TelecomData[[#This Row],[TenureMonths]]&lt;=12, "0-1 Year", TelecomData[[#This Row],[TenureMonths]]&lt;=36, "1-3 Years", TelecomData[[#This Row],[TenureMonths]]&gt;36, "3+ Years")</f>
        <v>1-3 Years</v>
      </c>
      <c r="N4510" s="2" t="str">
        <f>IF(TelecomData[[#This Row],[CleanedTotalCharges]]&gt;=2500,"High Spend", "Standard Spend")</f>
        <v>Standard Spend</v>
      </c>
    </row>
    <row r="4511" spans="1:14" x14ac:dyDescent="0.3">
      <c r="A4511" s="1" t="s">
        <v>4535</v>
      </c>
      <c r="B4511" s="2" t="s">
        <v>12</v>
      </c>
      <c r="C4511" s="2" t="s">
        <v>13</v>
      </c>
      <c r="D4511" s="2">
        <v>1</v>
      </c>
      <c r="E4511" s="2" t="s">
        <v>26</v>
      </c>
      <c r="F4511" s="2" t="s">
        <v>15</v>
      </c>
      <c r="G4511" s="7">
        <v>84.3</v>
      </c>
      <c r="H4511" s="7">
        <v>84.3</v>
      </c>
      <c r="I4511" s="2" t="s">
        <v>16</v>
      </c>
      <c r="J4511" s="2" t="s">
        <v>15</v>
      </c>
      <c r="K4511" s="2" t="s">
        <v>17</v>
      </c>
      <c r="L4511" s="7">
        <v>84.3</v>
      </c>
      <c r="M4511" s="2" t="str">
        <f>_xlfn.IFS(TelecomData[[#This Row],[TenureMonths]]&lt;=12, "0-1 Year", TelecomData[[#This Row],[TenureMonths]]&lt;=36, "1-3 Years", TelecomData[[#This Row],[TenureMonths]]&gt;36, "3+ Years")</f>
        <v>0-1 Year</v>
      </c>
      <c r="N4511" s="2" t="str">
        <f>IF(TelecomData[[#This Row],[CleanedTotalCharges]]&gt;=2500,"High Spend", "Standard Spend")</f>
        <v>Standard Spend</v>
      </c>
    </row>
    <row r="4512" spans="1:14" x14ac:dyDescent="0.3">
      <c r="A4512" s="1" t="s">
        <v>4536</v>
      </c>
      <c r="B4512" s="2" t="s">
        <v>12</v>
      </c>
      <c r="C4512" s="2" t="s">
        <v>13</v>
      </c>
      <c r="D4512" s="2">
        <v>38</v>
      </c>
      <c r="E4512" s="2" t="s">
        <v>14</v>
      </c>
      <c r="F4512" s="2" t="s">
        <v>16</v>
      </c>
      <c r="G4512" s="7">
        <v>68.150000000000006</v>
      </c>
      <c r="H4512" s="7">
        <v>2656.3</v>
      </c>
      <c r="I4512" s="2" t="s">
        <v>15</v>
      </c>
      <c r="J4512" s="2" t="s">
        <v>15</v>
      </c>
      <c r="K4512" s="2" t="s">
        <v>29</v>
      </c>
      <c r="L4512" s="7">
        <v>2656.3</v>
      </c>
      <c r="M4512" s="2" t="str">
        <f>_xlfn.IFS(TelecomData[[#This Row],[TenureMonths]]&lt;=12, "0-1 Year", TelecomData[[#This Row],[TenureMonths]]&lt;=36, "1-3 Years", TelecomData[[#This Row],[TenureMonths]]&gt;36, "3+ Years")</f>
        <v>3+ Years</v>
      </c>
      <c r="N4512" s="2" t="str">
        <f>IF(TelecomData[[#This Row],[CleanedTotalCharges]]&gt;=2500,"High Spend", "Standard Spend")</f>
        <v>High Spend</v>
      </c>
    </row>
    <row r="4513" spans="1:14" x14ac:dyDescent="0.3">
      <c r="A4513" s="1" t="s">
        <v>4537</v>
      </c>
      <c r="B4513" s="2" t="s">
        <v>19</v>
      </c>
      <c r="C4513" s="2" t="s">
        <v>20</v>
      </c>
      <c r="D4513" s="2">
        <v>17</v>
      </c>
      <c r="E4513" s="2" t="s">
        <v>14</v>
      </c>
      <c r="F4513" s="2" t="s">
        <v>16</v>
      </c>
      <c r="G4513" s="7">
        <v>80.849999999999994</v>
      </c>
      <c r="H4513" s="7">
        <v>1445.95</v>
      </c>
      <c r="I4513" s="2" t="s">
        <v>15</v>
      </c>
      <c r="J4513" s="2" t="s">
        <v>15</v>
      </c>
      <c r="K4513" s="2" t="s">
        <v>17</v>
      </c>
      <c r="L4513" s="7">
        <v>1445.95</v>
      </c>
      <c r="M4513" s="2" t="str">
        <f>_xlfn.IFS(TelecomData[[#This Row],[TenureMonths]]&lt;=12, "0-1 Year", TelecomData[[#This Row],[TenureMonths]]&lt;=36, "1-3 Years", TelecomData[[#This Row],[TenureMonths]]&gt;36, "3+ Years")</f>
        <v>1-3 Years</v>
      </c>
      <c r="N4513" s="2" t="str">
        <f>IF(TelecomData[[#This Row],[CleanedTotalCharges]]&gt;=2500,"High Spend", "Standard Spend")</f>
        <v>Standard Spend</v>
      </c>
    </row>
    <row r="4514" spans="1:14" x14ac:dyDescent="0.3">
      <c r="A4514" s="1" t="s">
        <v>4538</v>
      </c>
      <c r="B4514" s="2" t="s">
        <v>12</v>
      </c>
      <c r="C4514" s="2" t="s">
        <v>35</v>
      </c>
      <c r="D4514" s="2">
        <v>70</v>
      </c>
      <c r="E4514" s="2" t="s">
        <v>14</v>
      </c>
      <c r="F4514" s="2" t="s">
        <v>16</v>
      </c>
      <c r="G4514" s="7">
        <v>75.5</v>
      </c>
      <c r="H4514" s="7">
        <v>5212.6499999999996</v>
      </c>
      <c r="I4514" s="2" t="s">
        <v>15</v>
      </c>
      <c r="J4514" s="2" t="s">
        <v>16</v>
      </c>
      <c r="K4514" s="2" t="s">
        <v>24</v>
      </c>
      <c r="L4514" s="7">
        <v>5212.6499999999996</v>
      </c>
      <c r="M4514" s="2" t="str">
        <f>_xlfn.IFS(TelecomData[[#This Row],[TenureMonths]]&lt;=12, "0-1 Year", TelecomData[[#This Row],[TenureMonths]]&lt;=36, "1-3 Years", TelecomData[[#This Row],[TenureMonths]]&gt;36, "3+ Years")</f>
        <v>3+ Years</v>
      </c>
      <c r="N4514" s="2" t="str">
        <f>IF(TelecomData[[#This Row],[CleanedTotalCharges]]&gt;=2500,"High Spend", "Standard Spend")</f>
        <v>High Spend</v>
      </c>
    </row>
    <row r="4515" spans="1:14" x14ac:dyDescent="0.3">
      <c r="A4515" s="1" t="s">
        <v>4539</v>
      </c>
      <c r="B4515" s="2" t="s">
        <v>12</v>
      </c>
      <c r="C4515" s="2" t="s">
        <v>35</v>
      </c>
      <c r="D4515" s="2">
        <v>72</v>
      </c>
      <c r="E4515" s="2" t="s">
        <v>14</v>
      </c>
      <c r="F4515" s="2" t="s">
        <v>16</v>
      </c>
      <c r="G4515" s="7">
        <v>92.45</v>
      </c>
      <c r="H4515" s="7">
        <v>6440.25</v>
      </c>
      <c r="I4515" s="2" t="s">
        <v>16</v>
      </c>
      <c r="J4515" s="2" t="s">
        <v>15</v>
      </c>
      <c r="K4515" s="2" t="s">
        <v>29</v>
      </c>
      <c r="L4515" s="7">
        <v>6440.25</v>
      </c>
      <c r="M4515" s="2" t="str">
        <f>_xlfn.IFS(TelecomData[[#This Row],[TenureMonths]]&lt;=12, "0-1 Year", TelecomData[[#This Row],[TenureMonths]]&lt;=36, "1-3 Years", TelecomData[[#This Row],[TenureMonths]]&gt;36, "3+ Years")</f>
        <v>3+ Years</v>
      </c>
      <c r="N4515" s="2" t="str">
        <f>IF(TelecomData[[#This Row],[CleanedTotalCharges]]&gt;=2500,"High Spend", "Standard Spend")</f>
        <v>High Spend</v>
      </c>
    </row>
    <row r="4516" spans="1:14" x14ac:dyDescent="0.3">
      <c r="A4516" s="1" t="s">
        <v>4540</v>
      </c>
      <c r="B4516" s="2" t="s">
        <v>12</v>
      </c>
      <c r="C4516" s="2" t="s">
        <v>13</v>
      </c>
      <c r="D4516" s="2">
        <v>28</v>
      </c>
      <c r="E4516" s="2" t="s">
        <v>26</v>
      </c>
      <c r="F4516" s="2" t="s">
        <v>15</v>
      </c>
      <c r="G4516" s="7">
        <v>80.599999999999994</v>
      </c>
      <c r="H4516" s="7">
        <v>2244.9499999999998</v>
      </c>
      <c r="I4516" s="2" t="s">
        <v>15</v>
      </c>
      <c r="J4516" s="2" t="s">
        <v>16</v>
      </c>
      <c r="K4516" s="2" t="s">
        <v>17</v>
      </c>
      <c r="L4516" s="7">
        <v>2244.9499999999998</v>
      </c>
      <c r="M4516" s="2" t="str">
        <f>_xlfn.IFS(TelecomData[[#This Row],[TenureMonths]]&lt;=12, "0-1 Year", TelecomData[[#This Row],[TenureMonths]]&lt;=36, "1-3 Years", TelecomData[[#This Row],[TenureMonths]]&gt;36, "3+ Years")</f>
        <v>1-3 Years</v>
      </c>
      <c r="N4516" s="2" t="str">
        <f>IF(TelecomData[[#This Row],[CleanedTotalCharges]]&gt;=2500,"High Spend", "Standard Spend")</f>
        <v>Standard Spend</v>
      </c>
    </row>
    <row r="4517" spans="1:14" x14ac:dyDescent="0.3">
      <c r="A4517" s="1" t="s">
        <v>4541</v>
      </c>
      <c r="B4517" s="2" t="s">
        <v>12</v>
      </c>
      <c r="C4517" s="2" t="s">
        <v>13</v>
      </c>
      <c r="D4517" s="2">
        <v>15</v>
      </c>
      <c r="E4517" s="2" t="s">
        <v>26</v>
      </c>
      <c r="F4517" s="2" t="s">
        <v>15</v>
      </c>
      <c r="G4517" s="7">
        <v>83.2</v>
      </c>
      <c r="H4517" s="7">
        <v>1130</v>
      </c>
      <c r="I4517" s="2" t="s">
        <v>15</v>
      </c>
      <c r="J4517" s="2" t="s">
        <v>16</v>
      </c>
      <c r="K4517" s="2" t="s">
        <v>24</v>
      </c>
      <c r="L4517" s="7">
        <v>1130</v>
      </c>
      <c r="M4517" s="2" t="str">
        <f>_xlfn.IFS(TelecomData[[#This Row],[TenureMonths]]&lt;=12, "0-1 Year", TelecomData[[#This Row],[TenureMonths]]&lt;=36, "1-3 Years", TelecomData[[#This Row],[TenureMonths]]&gt;36, "3+ Years")</f>
        <v>1-3 Years</v>
      </c>
      <c r="N4517" s="2" t="str">
        <f>IF(TelecomData[[#This Row],[CleanedTotalCharges]]&gt;=2500,"High Spend", "Standard Spend")</f>
        <v>Standard Spend</v>
      </c>
    </row>
    <row r="4518" spans="1:14" x14ac:dyDescent="0.3">
      <c r="A4518" s="1" t="s">
        <v>4542</v>
      </c>
      <c r="B4518" s="2" t="s">
        <v>19</v>
      </c>
      <c r="C4518" s="2" t="s">
        <v>35</v>
      </c>
      <c r="D4518" s="2">
        <v>72</v>
      </c>
      <c r="E4518" s="2" t="s">
        <v>14</v>
      </c>
      <c r="F4518" s="2" t="s">
        <v>16</v>
      </c>
      <c r="G4518" s="7">
        <v>87.55</v>
      </c>
      <c r="H4518" s="7">
        <v>6463.15</v>
      </c>
      <c r="I4518" s="2" t="s">
        <v>15</v>
      </c>
      <c r="J4518" s="2" t="s">
        <v>16</v>
      </c>
      <c r="K4518" s="2" t="s">
        <v>24</v>
      </c>
      <c r="L4518" s="7">
        <v>6463.15</v>
      </c>
      <c r="M4518" s="2" t="str">
        <f>_xlfn.IFS(TelecomData[[#This Row],[TenureMonths]]&lt;=12, "0-1 Year", TelecomData[[#This Row],[TenureMonths]]&lt;=36, "1-3 Years", TelecomData[[#This Row],[TenureMonths]]&gt;36, "3+ Years")</f>
        <v>3+ Years</v>
      </c>
      <c r="N4518" s="2" t="str">
        <f>IF(TelecomData[[#This Row],[CleanedTotalCharges]]&gt;=2500,"High Spend", "Standard Spend")</f>
        <v>High Spend</v>
      </c>
    </row>
    <row r="4519" spans="1:14" x14ac:dyDescent="0.3">
      <c r="A4519" s="1" t="s">
        <v>4543</v>
      </c>
      <c r="B4519" s="2" t="s">
        <v>12</v>
      </c>
      <c r="C4519" s="2" t="s">
        <v>13</v>
      </c>
      <c r="D4519" s="2">
        <v>11</v>
      </c>
      <c r="E4519" s="2" t="s">
        <v>26</v>
      </c>
      <c r="F4519" s="2" t="s">
        <v>15</v>
      </c>
      <c r="G4519" s="7">
        <v>99.55</v>
      </c>
      <c r="H4519" s="7">
        <v>1131.2</v>
      </c>
      <c r="I4519" s="2" t="s">
        <v>16</v>
      </c>
      <c r="J4519" s="2" t="s">
        <v>16</v>
      </c>
      <c r="K4519" s="2" t="s">
        <v>17</v>
      </c>
      <c r="L4519" s="7">
        <v>1131.2</v>
      </c>
      <c r="M4519" s="2" t="str">
        <f>_xlfn.IFS(TelecomData[[#This Row],[TenureMonths]]&lt;=12, "0-1 Year", TelecomData[[#This Row],[TenureMonths]]&lt;=36, "1-3 Years", TelecomData[[#This Row],[TenureMonths]]&gt;36, "3+ Years")</f>
        <v>0-1 Year</v>
      </c>
      <c r="N4519" s="2" t="str">
        <f>IF(TelecomData[[#This Row],[CleanedTotalCharges]]&gt;=2500,"High Spend", "Standard Spend")</f>
        <v>Standard Spend</v>
      </c>
    </row>
    <row r="4520" spans="1:14" x14ac:dyDescent="0.3">
      <c r="A4520" s="1" t="s">
        <v>4544</v>
      </c>
      <c r="B4520" s="2" t="s">
        <v>19</v>
      </c>
      <c r="C4520" s="2" t="s">
        <v>13</v>
      </c>
      <c r="D4520" s="2">
        <v>8</v>
      </c>
      <c r="E4520" s="2" t="s">
        <v>26</v>
      </c>
      <c r="F4520" s="2" t="s">
        <v>15</v>
      </c>
      <c r="G4520" s="7">
        <v>81.25</v>
      </c>
      <c r="H4520" s="7">
        <v>585.95000000000005</v>
      </c>
      <c r="I4520" s="2" t="s">
        <v>16</v>
      </c>
      <c r="J4520" s="2" t="s">
        <v>16</v>
      </c>
      <c r="K4520" s="2" t="s">
        <v>17</v>
      </c>
      <c r="L4520" s="7">
        <v>585.95000000000005</v>
      </c>
      <c r="M4520" s="2" t="str">
        <f>_xlfn.IFS(TelecomData[[#This Row],[TenureMonths]]&lt;=12, "0-1 Year", TelecomData[[#This Row],[TenureMonths]]&lt;=36, "1-3 Years", TelecomData[[#This Row],[TenureMonths]]&gt;36, "3+ Years")</f>
        <v>0-1 Year</v>
      </c>
      <c r="N4520" s="2" t="str">
        <f>IF(TelecomData[[#This Row],[CleanedTotalCharges]]&gt;=2500,"High Spend", "Standard Spend")</f>
        <v>Standard Spend</v>
      </c>
    </row>
    <row r="4521" spans="1:14" x14ac:dyDescent="0.3">
      <c r="A4521" s="1" t="s">
        <v>4545</v>
      </c>
      <c r="B4521" s="2" t="s">
        <v>12</v>
      </c>
      <c r="C4521" s="2" t="s">
        <v>20</v>
      </c>
      <c r="D4521" s="2">
        <v>57</v>
      </c>
      <c r="E4521" s="2" t="s">
        <v>26</v>
      </c>
      <c r="F4521" s="2" t="s">
        <v>16</v>
      </c>
      <c r="G4521" s="7">
        <v>109.4</v>
      </c>
      <c r="H4521" s="7">
        <v>6252.7</v>
      </c>
      <c r="I4521" s="2" t="s">
        <v>15</v>
      </c>
      <c r="J4521" s="2" t="s">
        <v>16</v>
      </c>
      <c r="K4521" s="2" t="s">
        <v>24</v>
      </c>
      <c r="L4521" s="7">
        <v>6252.7</v>
      </c>
      <c r="M4521" s="2" t="str">
        <f>_xlfn.IFS(TelecomData[[#This Row],[TenureMonths]]&lt;=12, "0-1 Year", TelecomData[[#This Row],[TenureMonths]]&lt;=36, "1-3 Years", TelecomData[[#This Row],[TenureMonths]]&gt;36, "3+ Years")</f>
        <v>3+ Years</v>
      </c>
      <c r="N4521" s="2" t="str">
        <f>IF(TelecomData[[#This Row],[CleanedTotalCharges]]&gt;=2500,"High Spend", "Standard Spend")</f>
        <v>High Spend</v>
      </c>
    </row>
    <row r="4522" spans="1:14" x14ac:dyDescent="0.3">
      <c r="A4522" s="1" t="s">
        <v>4546</v>
      </c>
      <c r="B4522" s="2" t="s">
        <v>19</v>
      </c>
      <c r="C4522" s="2" t="s">
        <v>13</v>
      </c>
      <c r="D4522" s="2">
        <v>1</v>
      </c>
      <c r="E4522" s="2" t="s">
        <v>15</v>
      </c>
      <c r="F4522" s="2" t="s">
        <v>36</v>
      </c>
      <c r="G4522" s="7">
        <v>19.95</v>
      </c>
      <c r="H4522" s="7">
        <v>19.95</v>
      </c>
      <c r="I4522" s="2" t="s">
        <v>16</v>
      </c>
      <c r="J4522" s="2" t="s">
        <v>15</v>
      </c>
      <c r="K4522" s="2" t="s">
        <v>24</v>
      </c>
      <c r="L4522" s="7">
        <v>19.95</v>
      </c>
      <c r="M4522" s="2" t="str">
        <f>_xlfn.IFS(TelecomData[[#This Row],[TenureMonths]]&lt;=12, "0-1 Year", TelecomData[[#This Row],[TenureMonths]]&lt;=36, "1-3 Years", TelecomData[[#This Row],[TenureMonths]]&gt;36, "3+ Years")</f>
        <v>0-1 Year</v>
      </c>
      <c r="N4522" s="2" t="str">
        <f>IF(TelecomData[[#This Row],[CleanedTotalCharges]]&gt;=2500,"High Spend", "Standard Spend")</f>
        <v>Standard Spend</v>
      </c>
    </row>
    <row r="4523" spans="1:14" x14ac:dyDescent="0.3">
      <c r="A4523" s="1" t="s">
        <v>4547</v>
      </c>
      <c r="B4523" s="2" t="s">
        <v>12</v>
      </c>
      <c r="C4523" s="2" t="s">
        <v>13</v>
      </c>
      <c r="D4523" s="2">
        <v>46</v>
      </c>
      <c r="E4523" s="2" t="s">
        <v>14</v>
      </c>
      <c r="F4523" s="2" t="s">
        <v>15</v>
      </c>
      <c r="G4523" s="7">
        <v>45.55</v>
      </c>
      <c r="H4523" s="7">
        <v>2062.15</v>
      </c>
      <c r="I4523" s="2" t="s">
        <v>15</v>
      </c>
      <c r="J4523" s="2" t="s">
        <v>15</v>
      </c>
      <c r="K4523" s="2" t="s">
        <v>17</v>
      </c>
      <c r="L4523" s="7">
        <v>2062.15</v>
      </c>
      <c r="M4523" s="2" t="str">
        <f>_xlfn.IFS(TelecomData[[#This Row],[TenureMonths]]&lt;=12, "0-1 Year", TelecomData[[#This Row],[TenureMonths]]&lt;=36, "1-3 Years", TelecomData[[#This Row],[TenureMonths]]&gt;36, "3+ Years")</f>
        <v>3+ Years</v>
      </c>
      <c r="N4523" s="2" t="str">
        <f>IF(TelecomData[[#This Row],[CleanedTotalCharges]]&gt;=2500,"High Spend", "Standard Spend")</f>
        <v>Standard Spend</v>
      </c>
    </row>
    <row r="4524" spans="1:14" x14ac:dyDescent="0.3">
      <c r="A4524" s="1" t="s">
        <v>4548</v>
      </c>
      <c r="B4524" s="2" t="s">
        <v>19</v>
      </c>
      <c r="C4524" s="2" t="s">
        <v>20</v>
      </c>
      <c r="D4524" s="2">
        <v>30</v>
      </c>
      <c r="E4524" s="2" t="s">
        <v>15</v>
      </c>
      <c r="F4524" s="2" t="s">
        <v>36</v>
      </c>
      <c r="G4524" s="7">
        <v>20.7</v>
      </c>
      <c r="H4524" s="7">
        <v>587.1</v>
      </c>
      <c r="I4524" s="2" t="s">
        <v>15</v>
      </c>
      <c r="J4524" s="2" t="s">
        <v>15</v>
      </c>
      <c r="K4524" s="2" t="s">
        <v>29</v>
      </c>
      <c r="L4524" s="7">
        <v>587.1</v>
      </c>
      <c r="M4524" s="2" t="str">
        <f>_xlfn.IFS(TelecomData[[#This Row],[TenureMonths]]&lt;=12, "0-1 Year", TelecomData[[#This Row],[TenureMonths]]&lt;=36, "1-3 Years", TelecomData[[#This Row],[TenureMonths]]&gt;36, "3+ Years")</f>
        <v>1-3 Years</v>
      </c>
      <c r="N4524" s="2" t="str">
        <f>IF(TelecomData[[#This Row],[CleanedTotalCharges]]&gt;=2500,"High Spend", "Standard Spend")</f>
        <v>Standard Spend</v>
      </c>
    </row>
    <row r="4525" spans="1:14" x14ac:dyDescent="0.3">
      <c r="A4525" s="1" t="s">
        <v>4549</v>
      </c>
      <c r="B4525" s="2" t="s">
        <v>19</v>
      </c>
      <c r="C4525" s="2" t="s">
        <v>13</v>
      </c>
      <c r="D4525" s="2">
        <v>10</v>
      </c>
      <c r="E4525" s="2" t="s">
        <v>26</v>
      </c>
      <c r="F4525" s="2" t="s">
        <v>15</v>
      </c>
      <c r="G4525" s="7">
        <v>75.3</v>
      </c>
      <c r="H4525" s="7">
        <v>720.45</v>
      </c>
      <c r="I4525" s="2" t="s">
        <v>15</v>
      </c>
      <c r="J4525" s="2" t="s">
        <v>15</v>
      </c>
      <c r="K4525" s="2" t="s">
        <v>17</v>
      </c>
      <c r="L4525" s="7">
        <v>720.45</v>
      </c>
      <c r="M4525" s="2" t="str">
        <f>_xlfn.IFS(TelecomData[[#This Row],[TenureMonths]]&lt;=12, "0-1 Year", TelecomData[[#This Row],[TenureMonths]]&lt;=36, "1-3 Years", TelecomData[[#This Row],[TenureMonths]]&gt;36, "3+ Years")</f>
        <v>0-1 Year</v>
      </c>
      <c r="N4525" s="2" t="str">
        <f>IF(TelecomData[[#This Row],[CleanedTotalCharges]]&gt;=2500,"High Spend", "Standard Spend")</f>
        <v>Standard Spend</v>
      </c>
    </row>
    <row r="4526" spans="1:14" x14ac:dyDescent="0.3">
      <c r="A4526" s="1" t="s">
        <v>4550</v>
      </c>
      <c r="B4526" s="2" t="s">
        <v>19</v>
      </c>
      <c r="C4526" s="2" t="s">
        <v>13</v>
      </c>
      <c r="D4526" s="2">
        <v>23</v>
      </c>
      <c r="E4526" s="2" t="s">
        <v>26</v>
      </c>
      <c r="F4526" s="2" t="s">
        <v>15</v>
      </c>
      <c r="G4526" s="7">
        <v>99.25</v>
      </c>
      <c r="H4526" s="7">
        <v>2186.4</v>
      </c>
      <c r="I4526" s="2" t="s">
        <v>16</v>
      </c>
      <c r="J4526" s="2" t="s">
        <v>16</v>
      </c>
      <c r="K4526" s="2" t="s">
        <v>17</v>
      </c>
      <c r="L4526" s="7">
        <v>2186.4</v>
      </c>
      <c r="M4526" s="2" t="str">
        <f>_xlfn.IFS(TelecomData[[#This Row],[TenureMonths]]&lt;=12, "0-1 Year", TelecomData[[#This Row],[TenureMonths]]&lt;=36, "1-3 Years", TelecomData[[#This Row],[TenureMonths]]&gt;36, "3+ Years")</f>
        <v>1-3 Years</v>
      </c>
      <c r="N4526" s="2" t="str">
        <f>IF(TelecomData[[#This Row],[CleanedTotalCharges]]&gt;=2500,"High Spend", "Standard Spend")</f>
        <v>Standard Spend</v>
      </c>
    </row>
    <row r="4527" spans="1:14" x14ac:dyDescent="0.3">
      <c r="A4527" s="1" t="s">
        <v>4551</v>
      </c>
      <c r="B4527" s="2" t="s">
        <v>19</v>
      </c>
      <c r="C4527" s="2" t="s">
        <v>13</v>
      </c>
      <c r="D4527" s="2">
        <v>32</v>
      </c>
      <c r="E4527" s="2" t="s">
        <v>26</v>
      </c>
      <c r="F4527" s="2" t="s">
        <v>15</v>
      </c>
      <c r="G4527" s="7">
        <v>93.4</v>
      </c>
      <c r="H4527" s="7">
        <v>2979.3</v>
      </c>
      <c r="I4527" s="2" t="s">
        <v>15</v>
      </c>
      <c r="J4527" s="2" t="s">
        <v>16</v>
      </c>
      <c r="K4527" s="2" t="s">
        <v>29</v>
      </c>
      <c r="L4527" s="7">
        <v>2979.3</v>
      </c>
      <c r="M4527" s="2" t="str">
        <f>_xlfn.IFS(TelecomData[[#This Row],[TenureMonths]]&lt;=12, "0-1 Year", TelecomData[[#This Row],[TenureMonths]]&lt;=36, "1-3 Years", TelecomData[[#This Row],[TenureMonths]]&gt;36, "3+ Years")</f>
        <v>1-3 Years</v>
      </c>
      <c r="N4527" s="2" t="str">
        <f>IF(TelecomData[[#This Row],[CleanedTotalCharges]]&gt;=2500,"High Spend", "Standard Spend")</f>
        <v>High Spend</v>
      </c>
    </row>
    <row r="4528" spans="1:14" x14ac:dyDescent="0.3">
      <c r="A4528" s="1" t="s">
        <v>4552</v>
      </c>
      <c r="B4528" s="2" t="s">
        <v>19</v>
      </c>
      <c r="C4528" s="2" t="s">
        <v>13</v>
      </c>
      <c r="D4528" s="2">
        <v>13</v>
      </c>
      <c r="E4528" s="2" t="s">
        <v>26</v>
      </c>
      <c r="F4528" s="2" t="s">
        <v>15</v>
      </c>
      <c r="G4528" s="7">
        <v>73.75</v>
      </c>
      <c r="H4528" s="7">
        <v>956.65</v>
      </c>
      <c r="I4528" s="2" t="s">
        <v>15</v>
      </c>
      <c r="J4528" s="2" t="s">
        <v>16</v>
      </c>
      <c r="K4528" s="2" t="s">
        <v>29</v>
      </c>
      <c r="L4528" s="7">
        <v>956.65</v>
      </c>
      <c r="M4528" s="2" t="str">
        <f>_xlfn.IFS(TelecomData[[#This Row],[TenureMonths]]&lt;=12, "0-1 Year", TelecomData[[#This Row],[TenureMonths]]&lt;=36, "1-3 Years", TelecomData[[#This Row],[TenureMonths]]&gt;36, "3+ Years")</f>
        <v>1-3 Years</v>
      </c>
      <c r="N4528" s="2" t="str">
        <f>IF(TelecomData[[#This Row],[CleanedTotalCharges]]&gt;=2500,"High Spend", "Standard Spend")</f>
        <v>Standard Spend</v>
      </c>
    </row>
    <row r="4529" spans="1:14" x14ac:dyDescent="0.3">
      <c r="A4529" s="1" t="s">
        <v>4553</v>
      </c>
      <c r="B4529" s="2" t="s">
        <v>12</v>
      </c>
      <c r="C4529" s="2" t="s">
        <v>35</v>
      </c>
      <c r="D4529" s="2">
        <v>39</v>
      </c>
      <c r="E4529" s="2" t="s">
        <v>26</v>
      </c>
      <c r="F4529" s="2" t="s">
        <v>16</v>
      </c>
      <c r="G4529" s="7">
        <v>80.45</v>
      </c>
      <c r="H4529" s="7">
        <v>3201.55</v>
      </c>
      <c r="I4529" s="2" t="s">
        <v>16</v>
      </c>
      <c r="J4529" s="2" t="s">
        <v>16</v>
      </c>
      <c r="K4529" s="2" t="s">
        <v>17</v>
      </c>
      <c r="L4529" s="7">
        <v>3201.55</v>
      </c>
      <c r="M4529" s="2" t="str">
        <f>_xlfn.IFS(TelecomData[[#This Row],[TenureMonths]]&lt;=12, "0-1 Year", TelecomData[[#This Row],[TenureMonths]]&lt;=36, "1-3 Years", TelecomData[[#This Row],[TenureMonths]]&gt;36, "3+ Years")</f>
        <v>3+ Years</v>
      </c>
      <c r="N4529" s="2" t="str">
        <f>IF(TelecomData[[#This Row],[CleanedTotalCharges]]&gt;=2500,"High Spend", "Standard Spend")</f>
        <v>High Spend</v>
      </c>
    </row>
    <row r="4530" spans="1:14" x14ac:dyDescent="0.3">
      <c r="A4530" s="1" t="s">
        <v>4554</v>
      </c>
      <c r="B4530" s="2" t="s">
        <v>12</v>
      </c>
      <c r="C4530" s="2" t="s">
        <v>13</v>
      </c>
      <c r="D4530" s="2">
        <v>44</v>
      </c>
      <c r="E4530" s="2" t="s">
        <v>26</v>
      </c>
      <c r="F4530" s="2" t="s">
        <v>15</v>
      </c>
      <c r="G4530" s="7">
        <v>88.15</v>
      </c>
      <c r="H4530" s="7">
        <v>3973.2</v>
      </c>
      <c r="I4530" s="2" t="s">
        <v>15</v>
      </c>
      <c r="J4530" s="2" t="s">
        <v>16</v>
      </c>
      <c r="K4530" s="2" t="s">
        <v>29</v>
      </c>
      <c r="L4530" s="7">
        <v>3973.2</v>
      </c>
      <c r="M4530" s="2" t="str">
        <f>_xlfn.IFS(TelecomData[[#This Row],[TenureMonths]]&lt;=12, "0-1 Year", TelecomData[[#This Row],[TenureMonths]]&lt;=36, "1-3 Years", TelecomData[[#This Row],[TenureMonths]]&gt;36, "3+ Years")</f>
        <v>3+ Years</v>
      </c>
      <c r="N4530" s="2" t="str">
        <f>IF(TelecomData[[#This Row],[CleanedTotalCharges]]&gt;=2500,"High Spend", "Standard Spend")</f>
        <v>High Spend</v>
      </c>
    </row>
    <row r="4531" spans="1:14" x14ac:dyDescent="0.3">
      <c r="A4531" s="1" t="s">
        <v>4555</v>
      </c>
      <c r="B4531" s="2" t="s">
        <v>19</v>
      </c>
      <c r="C4531" s="2" t="s">
        <v>13</v>
      </c>
      <c r="D4531" s="2">
        <v>9</v>
      </c>
      <c r="E4531" s="2" t="s">
        <v>14</v>
      </c>
      <c r="F4531" s="2" t="s">
        <v>16</v>
      </c>
      <c r="G4531" s="7">
        <v>49.2</v>
      </c>
      <c r="H4531" s="7">
        <v>447.9</v>
      </c>
      <c r="I4531" s="2" t="s">
        <v>15</v>
      </c>
      <c r="J4531" s="2" t="s">
        <v>15</v>
      </c>
      <c r="K4531" s="2" t="s">
        <v>21</v>
      </c>
      <c r="L4531" s="7">
        <v>447.9</v>
      </c>
      <c r="M4531" s="2" t="str">
        <f>_xlfn.IFS(TelecomData[[#This Row],[TenureMonths]]&lt;=12, "0-1 Year", TelecomData[[#This Row],[TenureMonths]]&lt;=36, "1-3 Years", TelecomData[[#This Row],[TenureMonths]]&gt;36, "3+ Years")</f>
        <v>0-1 Year</v>
      </c>
      <c r="N4531" s="2" t="str">
        <f>IF(TelecomData[[#This Row],[CleanedTotalCharges]]&gt;=2500,"High Spend", "Standard Spend")</f>
        <v>Standard Spend</v>
      </c>
    </row>
    <row r="4532" spans="1:14" x14ac:dyDescent="0.3">
      <c r="A4532" s="1" t="s">
        <v>4556</v>
      </c>
      <c r="B4532" s="2" t="s">
        <v>12</v>
      </c>
      <c r="C4532" s="2" t="s">
        <v>35</v>
      </c>
      <c r="D4532" s="2">
        <v>67</v>
      </c>
      <c r="E4532" s="2" t="s">
        <v>15</v>
      </c>
      <c r="F4532" s="2" t="s">
        <v>36</v>
      </c>
      <c r="G4532" s="7">
        <v>19.649999999999999</v>
      </c>
      <c r="H4532" s="7">
        <v>1335.2</v>
      </c>
      <c r="I4532" s="2" t="s">
        <v>15</v>
      </c>
      <c r="J4532" s="2" t="s">
        <v>15</v>
      </c>
      <c r="K4532" s="2" t="s">
        <v>21</v>
      </c>
      <c r="L4532" s="7">
        <v>1335.2</v>
      </c>
      <c r="M4532" s="2" t="str">
        <f>_xlfn.IFS(TelecomData[[#This Row],[TenureMonths]]&lt;=12, "0-1 Year", TelecomData[[#This Row],[TenureMonths]]&lt;=36, "1-3 Years", TelecomData[[#This Row],[TenureMonths]]&gt;36, "3+ Years")</f>
        <v>3+ Years</v>
      </c>
      <c r="N4532" s="2" t="str">
        <f>IF(TelecomData[[#This Row],[CleanedTotalCharges]]&gt;=2500,"High Spend", "Standard Spend")</f>
        <v>Standard Spend</v>
      </c>
    </row>
    <row r="4533" spans="1:14" x14ac:dyDescent="0.3">
      <c r="A4533" s="1" t="s">
        <v>4557</v>
      </c>
      <c r="B4533" s="2" t="s">
        <v>19</v>
      </c>
      <c r="C4533" s="2" t="s">
        <v>13</v>
      </c>
      <c r="D4533" s="2">
        <v>9</v>
      </c>
      <c r="E4533" s="2" t="s">
        <v>26</v>
      </c>
      <c r="F4533" s="2" t="s">
        <v>15</v>
      </c>
      <c r="G4533" s="7">
        <v>79.349999999999994</v>
      </c>
      <c r="H4533" s="7">
        <v>661.25</v>
      </c>
      <c r="I4533" s="2" t="s">
        <v>16</v>
      </c>
      <c r="J4533" s="2" t="s">
        <v>16</v>
      </c>
      <c r="K4533" s="2" t="s">
        <v>24</v>
      </c>
      <c r="L4533" s="7">
        <v>661.25</v>
      </c>
      <c r="M4533" s="2" t="str">
        <f>_xlfn.IFS(TelecomData[[#This Row],[TenureMonths]]&lt;=12, "0-1 Year", TelecomData[[#This Row],[TenureMonths]]&lt;=36, "1-3 Years", TelecomData[[#This Row],[TenureMonths]]&gt;36, "3+ Years")</f>
        <v>0-1 Year</v>
      </c>
      <c r="N4533" s="2" t="str">
        <f>IF(TelecomData[[#This Row],[CleanedTotalCharges]]&gt;=2500,"High Spend", "Standard Spend")</f>
        <v>Standard Spend</v>
      </c>
    </row>
    <row r="4534" spans="1:14" x14ac:dyDescent="0.3">
      <c r="A4534" s="1" t="s">
        <v>4558</v>
      </c>
      <c r="B4534" s="2" t="s">
        <v>12</v>
      </c>
      <c r="C4534" s="2" t="s">
        <v>13</v>
      </c>
      <c r="D4534" s="2">
        <v>15</v>
      </c>
      <c r="E4534" s="2" t="s">
        <v>26</v>
      </c>
      <c r="F4534" s="2" t="s">
        <v>15</v>
      </c>
      <c r="G4534" s="7">
        <v>79.75</v>
      </c>
      <c r="H4534" s="7">
        <v>1111.8499999999999</v>
      </c>
      <c r="I4534" s="2" t="s">
        <v>16</v>
      </c>
      <c r="J4534" s="2" t="s">
        <v>16</v>
      </c>
      <c r="K4534" s="2" t="s">
        <v>17</v>
      </c>
      <c r="L4534" s="7">
        <v>1111.8499999999999</v>
      </c>
      <c r="M4534" s="2" t="str">
        <f>_xlfn.IFS(TelecomData[[#This Row],[TenureMonths]]&lt;=12, "0-1 Year", TelecomData[[#This Row],[TenureMonths]]&lt;=36, "1-3 Years", TelecomData[[#This Row],[TenureMonths]]&gt;36, "3+ Years")</f>
        <v>1-3 Years</v>
      </c>
      <c r="N4534" s="2" t="str">
        <f>IF(TelecomData[[#This Row],[CleanedTotalCharges]]&gt;=2500,"High Spend", "Standard Spend")</f>
        <v>Standard Spend</v>
      </c>
    </row>
    <row r="4535" spans="1:14" x14ac:dyDescent="0.3">
      <c r="A4535" s="1" t="s">
        <v>4559</v>
      </c>
      <c r="B4535" s="2" t="s">
        <v>12</v>
      </c>
      <c r="C4535" s="2" t="s">
        <v>35</v>
      </c>
      <c r="D4535" s="2">
        <v>71</v>
      </c>
      <c r="E4535" s="2" t="s">
        <v>26</v>
      </c>
      <c r="F4535" s="2" t="s">
        <v>15</v>
      </c>
      <c r="G4535" s="7">
        <v>105.15</v>
      </c>
      <c r="H4535" s="7">
        <v>7555</v>
      </c>
      <c r="I4535" s="2" t="s">
        <v>15</v>
      </c>
      <c r="J4535" s="2" t="s">
        <v>16</v>
      </c>
      <c r="K4535" s="2" t="s">
        <v>24</v>
      </c>
      <c r="L4535" s="7">
        <v>7555</v>
      </c>
      <c r="M4535" s="2" t="str">
        <f>_xlfn.IFS(TelecomData[[#This Row],[TenureMonths]]&lt;=12, "0-1 Year", TelecomData[[#This Row],[TenureMonths]]&lt;=36, "1-3 Years", TelecomData[[#This Row],[TenureMonths]]&gt;36, "3+ Years")</f>
        <v>3+ Years</v>
      </c>
      <c r="N4535" s="2" t="str">
        <f>IF(TelecomData[[#This Row],[CleanedTotalCharges]]&gt;=2500,"High Spend", "Standard Spend")</f>
        <v>High Spend</v>
      </c>
    </row>
    <row r="4536" spans="1:14" x14ac:dyDescent="0.3">
      <c r="A4536" s="1" t="s">
        <v>4560</v>
      </c>
      <c r="B4536" s="2" t="s">
        <v>19</v>
      </c>
      <c r="C4536" s="2" t="s">
        <v>13</v>
      </c>
      <c r="D4536" s="2">
        <v>1</v>
      </c>
      <c r="E4536" s="2" t="s">
        <v>14</v>
      </c>
      <c r="F4536" s="2" t="s">
        <v>16</v>
      </c>
      <c r="G4536" s="7">
        <v>49</v>
      </c>
      <c r="H4536" s="7">
        <v>49</v>
      </c>
      <c r="I4536" s="2" t="s">
        <v>15</v>
      </c>
      <c r="J4536" s="2" t="s">
        <v>15</v>
      </c>
      <c r="K4536" s="2" t="s">
        <v>29</v>
      </c>
      <c r="L4536" s="7">
        <v>49</v>
      </c>
      <c r="M4536" s="2" t="str">
        <f>_xlfn.IFS(TelecomData[[#This Row],[TenureMonths]]&lt;=12, "0-1 Year", TelecomData[[#This Row],[TenureMonths]]&lt;=36, "1-3 Years", TelecomData[[#This Row],[TenureMonths]]&gt;36, "3+ Years")</f>
        <v>0-1 Year</v>
      </c>
      <c r="N4536" s="2" t="str">
        <f>IF(TelecomData[[#This Row],[CleanedTotalCharges]]&gt;=2500,"High Spend", "Standard Spend")</f>
        <v>Standard Spend</v>
      </c>
    </row>
    <row r="4537" spans="1:14" x14ac:dyDescent="0.3">
      <c r="A4537" s="1" t="s">
        <v>4561</v>
      </c>
      <c r="B4537" s="2" t="s">
        <v>12</v>
      </c>
      <c r="C4537" s="2" t="s">
        <v>13</v>
      </c>
      <c r="D4537" s="2">
        <v>30</v>
      </c>
      <c r="E4537" s="2" t="s">
        <v>26</v>
      </c>
      <c r="F4537" s="2" t="s">
        <v>15</v>
      </c>
      <c r="G4537" s="7">
        <v>100.05</v>
      </c>
      <c r="H4537" s="7">
        <v>3046.15</v>
      </c>
      <c r="I4537" s="2" t="s">
        <v>16</v>
      </c>
      <c r="J4537" s="2" t="s">
        <v>16</v>
      </c>
      <c r="K4537" s="2" t="s">
        <v>17</v>
      </c>
      <c r="L4537" s="7">
        <v>3046.15</v>
      </c>
      <c r="M4537" s="2" t="str">
        <f>_xlfn.IFS(TelecomData[[#This Row],[TenureMonths]]&lt;=12, "0-1 Year", TelecomData[[#This Row],[TenureMonths]]&lt;=36, "1-3 Years", TelecomData[[#This Row],[TenureMonths]]&gt;36, "3+ Years")</f>
        <v>1-3 Years</v>
      </c>
      <c r="N4537" s="2" t="str">
        <f>IF(TelecomData[[#This Row],[CleanedTotalCharges]]&gt;=2500,"High Spend", "Standard Spend")</f>
        <v>High Spend</v>
      </c>
    </row>
    <row r="4538" spans="1:14" x14ac:dyDescent="0.3">
      <c r="A4538" s="1" t="s">
        <v>4562</v>
      </c>
      <c r="B4538" s="2" t="s">
        <v>19</v>
      </c>
      <c r="C4538" s="2" t="s">
        <v>13</v>
      </c>
      <c r="D4538" s="2">
        <v>1</v>
      </c>
      <c r="E4538" s="2" t="s">
        <v>26</v>
      </c>
      <c r="F4538" s="2" t="s">
        <v>15</v>
      </c>
      <c r="G4538" s="7">
        <v>69.349999999999994</v>
      </c>
      <c r="H4538" s="7">
        <v>69.349999999999994</v>
      </c>
      <c r="I4538" s="2" t="s">
        <v>16</v>
      </c>
      <c r="J4538" s="2" t="s">
        <v>16</v>
      </c>
      <c r="K4538" s="2" t="s">
        <v>17</v>
      </c>
      <c r="L4538" s="7">
        <v>69.349999999999994</v>
      </c>
      <c r="M4538" s="2" t="str">
        <f>_xlfn.IFS(TelecomData[[#This Row],[TenureMonths]]&lt;=12, "0-1 Year", TelecomData[[#This Row],[TenureMonths]]&lt;=36, "1-3 Years", TelecomData[[#This Row],[TenureMonths]]&gt;36, "3+ Years")</f>
        <v>0-1 Year</v>
      </c>
      <c r="N4538" s="2" t="str">
        <f>IF(TelecomData[[#This Row],[CleanedTotalCharges]]&gt;=2500,"High Spend", "Standard Spend")</f>
        <v>Standard Spend</v>
      </c>
    </row>
    <row r="4539" spans="1:14" x14ac:dyDescent="0.3">
      <c r="A4539" s="1" t="s">
        <v>4563</v>
      </c>
      <c r="B4539" s="2" t="s">
        <v>19</v>
      </c>
      <c r="C4539" s="2" t="s">
        <v>13</v>
      </c>
      <c r="D4539" s="2">
        <v>17</v>
      </c>
      <c r="E4539" s="2" t="s">
        <v>14</v>
      </c>
      <c r="F4539" s="2" t="s">
        <v>15</v>
      </c>
      <c r="G4539" s="7">
        <v>49.8</v>
      </c>
      <c r="H4539" s="7">
        <v>836.35</v>
      </c>
      <c r="I4539" s="2" t="s">
        <v>15</v>
      </c>
      <c r="J4539" s="2" t="s">
        <v>16</v>
      </c>
      <c r="K4539" s="2" t="s">
        <v>21</v>
      </c>
      <c r="L4539" s="7">
        <v>836.35</v>
      </c>
      <c r="M4539" s="2" t="str">
        <f>_xlfn.IFS(TelecomData[[#This Row],[TenureMonths]]&lt;=12, "0-1 Year", TelecomData[[#This Row],[TenureMonths]]&lt;=36, "1-3 Years", TelecomData[[#This Row],[TenureMonths]]&gt;36, "3+ Years")</f>
        <v>1-3 Years</v>
      </c>
      <c r="N4539" s="2" t="str">
        <f>IF(TelecomData[[#This Row],[CleanedTotalCharges]]&gt;=2500,"High Spend", "Standard Spend")</f>
        <v>Standard Spend</v>
      </c>
    </row>
    <row r="4540" spans="1:14" x14ac:dyDescent="0.3">
      <c r="A4540" s="1" t="s">
        <v>4564</v>
      </c>
      <c r="B4540" s="2" t="s">
        <v>12</v>
      </c>
      <c r="C4540" s="2" t="s">
        <v>13</v>
      </c>
      <c r="D4540" s="2">
        <v>3</v>
      </c>
      <c r="E4540" s="2" t="s">
        <v>26</v>
      </c>
      <c r="F4540" s="2" t="s">
        <v>16</v>
      </c>
      <c r="G4540" s="7">
        <v>85.8</v>
      </c>
      <c r="H4540" s="7">
        <v>272.2</v>
      </c>
      <c r="I4540" s="2" t="s">
        <v>16</v>
      </c>
      <c r="J4540" s="2" t="s">
        <v>15</v>
      </c>
      <c r="K4540" s="2" t="s">
        <v>17</v>
      </c>
      <c r="L4540" s="7">
        <v>272.2</v>
      </c>
      <c r="M4540" s="2" t="str">
        <f>_xlfn.IFS(TelecomData[[#This Row],[TenureMonths]]&lt;=12, "0-1 Year", TelecomData[[#This Row],[TenureMonths]]&lt;=36, "1-3 Years", TelecomData[[#This Row],[TenureMonths]]&gt;36, "3+ Years")</f>
        <v>0-1 Year</v>
      </c>
      <c r="N4540" s="2" t="str">
        <f>IF(TelecomData[[#This Row],[CleanedTotalCharges]]&gt;=2500,"High Spend", "Standard Spend")</f>
        <v>Standard Spend</v>
      </c>
    </row>
    <row r="4541" spans="1:14" x14ac:dyDescent="0.3">
      <c r="A4541" s="1" t="s">
        <v>4565</v>
      </c>
      <c r="B4541" s="2" t="s">
        <v>19</v>
      </c>
      <c r="C4541" s="2" t="s">
        <v>35</v>
      </c>
      <c r="D4541" s="2">
        <v>67</v>
      </c>
      <c r="E4541" s="2" t="s">
        <v>14</v>
      </c>
      <c r="F4541" s="2" t="s">
        <v>15</v>
      </c>
      <c r="G4541" s="7">
        <v>79.7</v>
      </c>
      <c r="H4541" s="7">
        <v>5293.4</v>
      </c>
      <c r="I4541" s="2" t="s">
        <v>16</v>
      </c>
      <c r="J4541" s="2" t="s">
        <v>16</v>
      </c>
      <c r="K4541" s="2" t="s">
        <v>17</v>
      </c>
      <c r="L4541" s="7">
        <v>5293.4</v>
      </c>
      <c r="M4541" s="2" t="str">
        <f>_xlfn.IFS(TelecomData[[#This Row],[TenureMonths]]&lt;=12, "0-1 Year", TelecomData[[#This Row],[TenureMonths]]&lt;=36, "1-3 Years", TelecomData[[#This Row],[TenureMonths]]&gt;36, "3+ Years")</f>
        <v>3+ Years</v>
      </c>
      <c r="N4541" s="2" t="str">
        <f>IF(TelecomData[[#This Row],[CleanedTotalCharges]]&gt;=2500,"High Spend", "Standard Spend")</f>
        <v>High Spend</v>
      </c>
    </row>
    <row r="4542" spans="1:14" x14ac:dyDescent="0.3">
      <c r="A4542" s="1" t="s">
        <v>4566</v>
      </c>
      <c r="B4542" s="2" t="s">
        <v>19</v>
      </c>
      <c r="C4542" s="2" t="s">
        <v>13</v>
      </c>
      <c r="D4542" s="2">
        <v>1</v>
      </c>
      <c r="E4542" s="2" t="s">
        <v>15</v>
      </c>
      <c r="F4542" s="2" t="s">
        <v>36</v>
      </c>
      <c r="G4542" s="7">
        <v>20.95</v>
      </c>
      <c r="H4542" s="7">
        <v>20.95</v>
      </c>
      <c r="I4542" s="2" t="s">
        <v>15</v>
      </c>
      <c r="J4542" s="2" t="s">
        <v>15</v>
      </c>
      <c r="K4542" s="2" t="s">
        <v>24</v>
      </c>
      <c r="L4542" s="7">
        <v>20.95</v>
      </c>
      <c r="M4542" s="2" t="str">
        <f>_xlfn.IFS(TelecomData[[#This Row],[TenureMonths]]&lt;=12, "0-1 Year", TelecomData[[#This Row],[TenureMonths]]&lt;=36, "1-3 Years", TelecomData[[#This Row],[TenureMonths]]&gt;36, "3+ Years")</f>
        <v>0-1 Year</v>
      </c>
      <c r="N4542" s="2" t="str">
        <f>IF(TelecomData[[#This Row],[CleanedTotalCharges]]&gt;=2500,"High Spend", "Standard Spend")</f>
        <v>Standard Spend</v>
      </c>
    </row>
    <row r="4543" spans="1:14" x14ac:dyDescent="0.3">
      <c r="A4543" s="1" t="s">
        <v>4567</v>
      </c>
      <c r="B4543" s="2" t="s">
        <v>12</v>
      </c>
      <c r="C4543" s="2" t="s">
        <v>13</v>
      </c>
      <c r="D4543" s="2">
        <v>1</v>
      </c>
      <c r="E4543" s="2" t="s">
        <v>14</v>
      </c>
      <c r="F4543" s="2" t="s">
        <v>15</v>
      </c>
      <c r="G4543" s="7">
        <v>50.55</v>
      </c>
      <c r="H4543" s="7">
        <v>50.55</v>
      </c>
      <c r="I4543" s="2" t="s">
        <v>16</v>
      </c>
      <c r="J4543" s="2" t="s">
        <v>15</v>
      </c>
      <c r="K4543" s="2" t="s">
        <v>21</v>
      </c>
      <c r="L4543" s="7">
        <v>50.55</v>
      </c>
      <c r="M4543" s="2" t="str">
        <f>_xlfn.IFS(TelecomData[[#This Row],[TenureMonths]]&lt;=12, "0-1 Year", TelecomData[[#This Row],[TenureMonths]]&lt;=36, "1-3 Years", TelecomData[[#This Row],[TenureMonths]]&gt;36, "3+ Years")</f>
        <v>0-1 Year</v>
      </c>
      <c r="N4543" s="2" t="str">
        <f>IF(TelecomData[[#This Row],[CleanedTotalCharges]]&gt;=2500,"High Spend", "Standard Spend")</f>
        <v>Standard Spend</v>
      </c>
    </row>
    <row r="4544" spans="1:14" x14ac:dyDescent="0.3">
      <c r="A4544" s="1" t="s">
        <v>4568</v>
      </c>
      <c r="B4544" s="2" t="s">
        <v>12</v>
      </c>
      <c r="C4544" s="2" t="s">
        <v>13</v>
      </c>
      <c r="D4544" s="2">
        <v>32</v>
      </c>
      <c r="E4544" s="2" t="s">
        <v>26</v>
      </c>
      <c r="F4544" s="2" t="s">
        <v>15</v>
      </c>
      <c r="G4544" s="7">
        <v>79.3</v>
      </c>
      <c r="H4544" s="7">
        <v>2570</v>
      </c>
      <c r="I4544" s="2" t="s">
        <v>15</v>
      </c>
      <c r="J4544" s="2" t="s">
        <v>15</v>
      </c>
      <c r="K4544" s="2" t="s">
        <v>21</v>
      </c>
      <c r="L4544" s="7">
        <v>2570</v>
      </c>
      <c r="M4544" s="2" t="str">
        <f>_xlfn.IFS(TelecomData[[#This Row],[TenureMonths]]&lt;=12, "0-1 Year", TelecomData[[#This Row],[TenureMonths]]&lt;=36, "1-3 Years", TelecomData[[#This Row],[TenureMonths]]&gt;36, "3+ Years")</f>
        <v>1-3 Years</v>
      </c>
      <c r="N4544" s="2" t="str">
        <f>IF(TelecomData[[#This Row],[CleanedTotalCharges]]&gt;=2500,"High Spend", "Standard Spend")</f>
        <v>High Spend</v>
      </c>
    </row>
    <row r="4545" spans="1:14" x14ac:dyDescent="0.3">
      <c r="A4545" s="1" t="s">
        <v>4569</v>
      </c>
      <c r="B4545" s="2" t="s">
        <v>19</v>
      </c>
      <c r="C4545" s="2" t="s">
        <v>20</v>
      </c>
      <c r="D4545" s="2">
        <v>41</v>
      </c>
      <c r="E4545" s="2" t="s">
        <v>15</v>
      </c>
      <c r="F4545" s="2" t="s">
        <v>36</v>
      </c>
      <c r="G4545" s="7">
        <v>19.5</v>
      </c>
      <c r="H4545" s="7">
        <v>798.2</v>
      </c>
      <c r="I4545" s="2" t="s">
        <v>15</v>
      </c>
      <c r="J4545" s="2" t="s">
        <v>15</v>
      </c>
      <c r="K4545" s="2" t="s">
        <v>24</v>
      </c>
      <c r="L4545" s="7">
        <v>798.2</v>
      </c>
      <c r="M4545" s="2" t="str">
        <f>_xlfn.IFS(TelecomData[[#This Row],[TenureMonths]]&lt;=12, "0-1 Year", TelecomData[[#This Row],[TenureMonths]]&lt;=36, "1-3 Years", TelecomData[[#This Row],[TenureMonths]]&gt;36, "3+ Years")</f>
        <v>3+ Years</v>
      </c>
      <c r="N4545" s="2" t="str">
        <f>IF(TelecomData[[#This Row],[CleanedTotalCharges]]&gt;=2500,"High Spend", "Standard Spend")</f>
        <v>Standard Spend</v>
      </c>
    </row>
    <row r="4546" spans="1:14" x14ac:dyDescent="0.3">
      <c r="A4546" s="1" t="s">
        <v>4570</v>
      </c>
      <c r="B4546" s="2" t="s">
        <v>19</v>
      </c>
      <c r="C4546" s="2" t="s">
        <v>13</v>
      </c>
      <c r="D4546" s="2">
        <v>1</v>
      </c>
      <c r="E4546" s="2" t="s">
        <v>26</v>
      </c>
      <c r="F4546" s="2" t="s">
        <v>15</v>
      </c>
      <c r="G4546" s="7">
        <v>80.55</v>
      </c>
      <c r="H4546" s="7">
        <v>80.55</v>
      </c>
      <c r="I4546" s="2" t="s">
        <v>16</v>
      </c>
      <c r="J4546" s="2" t="s">
        <v>16</v>
      </c>
      <c r="K4546" s="2" t="s">
        <v>17</v>
      </c>
      <c r="L4546" s="7">
        <v>80.55</v>
      </c>
      <c r="M4546" s="2" t="str">
        <f>_xlfn.IFS(TelecomData[[#This Row],[TenureMonths]]&lt;=12, "0-1 Year", TelecomData[[#This Row],[TenureMonths]]&lt;=36, "1-3 Years", TelecomData[[#This Row],[TenureMonths]]&gt;36, "3+ Years")</f>
        <v>0-1 Year</v>
      </c>
      <c r="N4546" s="2" t="str">
        <f>IF(TelecomData[[#This Row],[CleanedTotalCharges]]&gt;=2500,"High Spend", "Standard Spend")</f>
        <v>Standard Spend</v>
      </c>
    </row>
    <row r="4547" spans="1:14" x14ac:dyDescent="0.3">
      <c r="A4547" s="1" t="s">
        <v>4571</v>
      </c>
      <c r="B4547" s="2" t="s">
        <v>12</v>
      </c>
      <c r="C4547" s="2" t="s">
        <v>13</v>
      </c>
      <c r="D4547" s="2">
        <v>1</v>
      </c>
      <c r="E4547" s="2" t="s">
        <v>14</v>
      </c>
      <c r="F4547" s="2" t="s">
        <v>15</v>
      </c>
      <c r="G4547" s="7">
        <v>44.15</v>
      </c>
      <c r="H4547" s="7">
        <v>44.15</v>
      </c>
      <c r="I4547" s="2" t="s">
        <v>15</v>
      </c>
      <c r="J4547" s="2" t="s">
        <v>15</v>
      </c>
      <c r="K4547" s="2" t="s">
        <v>24</v>
      </c>
      <c r="L4547" s="7">
        <v>44.15</v>
      </c>
      <c r="M4547" s="2" t="str">
        <f>_xlfn.IFS(TelecomData[[#This Row],[TenureMonths]]&lt;=12, "0-1 Year", TelecomData[[#This Row],[TenureMonths]]&lt;=36, "1-3 Years", TelecomData[[#This Row],[TenureMonths]]&gt;36, "3+ Years")</f>
        <v>0-1 Year</v>
      </c>
      <c r="N4547" s="2" t="str">
        <f>IF(TelecomData[[#This Row],[CleanedTotalCharges]]&gt;=2500,"High Spend", "Standard Spend")</f>
        <v>Standard Spend</v>
      </c>
    </row>
    <row r="4548" spans="1:14" x14ac:dyDescent="0.3">
      <c r="A4548" s="1" t="s">
        <v>4572</v>
      </c>
      <c r="B4548" s="2" t="s">
        <v>12</v>
      </c>
      <c r="C4548" s="2" t="s">
        <v>13</v>
      </c>
      <c r="D4548" s="2">
        <v>12</v>
      </c>
      <c r="E4548" s="2" t="s">
        <v>26</v>
      </c>
      <c r="F4548" s="2" t="s">
        <v>15</v>
      </c>
      <c r="G4548" s="7">
        <v>84.5</v>
      </c>
      <c r="H4548" s="7">
        <v>916.9</v>
      </c>
      <c r="I4548" s="2" t="s">
        <v>16</v>
      </c>
      <c r="J4548" s="2" t="s">
        <v>16</v>
      </c>
      <c r="K4548" s="2" t="s">
        <v>17</v>
      </c>
      <c r="L4548" s="7">
        <v>916.9</v>
      </c>
      <c r="M4548" s="2" t="str">
        <f>_xlfn.IFS(TelecomData[[#This Row],[TenureMonths]]&lt;=12, "0-1 Year", TelecomData[[#This Row],[TenureMonths]]&lt;=36, "1-3 Years", TelecomData[[#This Row],[TenureMonths]]&gt;36, "3+ Years")</f>
        <v>0-1 Year</v>
      </c>
      <c r="N4548" s="2" t="str">
        <f>IF(TelecomData[[#This Row],[CleanedTotalCharges]]&gt;=2500,"High Spend", "Standard Spend")</f>
        <v>Standard Spend</v>
      </c>
    </row>
    <row r="4549" spans="1:14" x14ac:dyDescent="0.3">
      <c r="A4549" s="1" t="s">
        <v>4573</v>
      </c>
      <c r="B4549" s="2" t="s">
        <v>19</v>
      </c>
      <c r="C4549" s="2" t="s">
        <v>13</v>
      </c>
      <c r="D4549" s="2">
        <v>62</v>
      </c>
      <c r="E4549" s="2" t="s">
        <v>26</v>
      </c>
      <c r="F4549" s="2" t="s">
        <v>15</v>
      </c>
      <c r="G4549" s="7">
        <v>105.5</v>
      </c>
      <c r="H4549" s="7">
        <v>6487.2</v>
      </c>
      <c r="I4549" s="2" t="s">
        <v>15</v>
      </c>
      <c r="J4549" s="2" t="s">
        <v>16</v>
      </c>
      <c r="K4549" s="2" t="s">
        <v>17</v>
      </c>
      <c r="L4549" s="7">
        <v>6487.2</v>
      </c>
      <c r="M4549" s="2" t="str">
        <f>_xlfn.IFS(TelecomData[[#This Row],[TenureMonths]]&lt;=12, "0-1 Year", TelecomData[[#This Row],[TenureMonths]]&lt;=36, "1-3 Years", TelecomData[[#This Row],[TenureMonths]]&gt;36, "3+ Years")</f>
        <v>3+ Years</v>
      </c>
      <c r="N4549" s="2" t="str">
        <f>IF(TelecomData[[#This Row],[CleanedTotalCharges]]&gt;=2500,"High Spend", "Standard Spend")</f>
        <v>High Spend</v>
      </c>
    </row>
    <row r="4550" spans="1:14" x14ac:dyDescent="0.3">
      <c r="A4550" s="1" t="s">
        <v>4574</v>
      </c>
      <c r="B4550" s="2" t="s">
        <v>12</v>
      </c>
      <c r="C4550" s="2" t="s">
        <v>13</v>
      </c>
      <c r="D4550" s="2">
        <v>22</v>
      </c>
      <c r="E4550" s="2" t="s">
        <v>26</v>
      </c>
      <c r="F4550" s="2" t="s">
        <v>15</v>
      </c>
      <c r="G4550" s="7">
        <v>84.3</v>
      </c>
      <c r="H4550" s="7">
        <v>1855.65</v>
      </c>
      <c r="I4550" s="2" t="s">
        <v>16</v>
      </c>
      <c r="J4550" s="2" t="s">
        <v>16</v>
      </c>
      <c r="K4550" s="2" t="s">
        <v>21</v>
      </c>
      <c r="L4550" s="7">
        <v>1855.65</v>
      </c>
      <c r="M4550" s="2" t="str">
        <f>_xlfn.IFS(TelecomData[[#This Row],[TenureMonths]]&lt;=12, "0-1 Year", TelecomData[[#This Row],[TenureMonths]]&lt;=36, "1-3 Years", TelecomData[[#This Row],[TenureMonths]]&gt;36, "3+ Years")</f>
        <v>1-3 Years</v>
      </c>
      <c r="N4550" s="2" t="str">
        <f>IF(TelecomData[[#This Row],[CleanedTotalCharges]]&gt;=2500,"High Spend", "Standard Spend")</f>
        <v>Standard Spend</v>
      </c>
    </row>
    <row r="4551" spans="1:14" x14ac:dyDescent="0.3">
      <c r="A4551" s="1" t="s">
        <v>4575</v>
      </c>
      <c r="B4551" s="2" t="s">
        <v>12</v>
      </c>
      <c r="C4551" s="2" t="s">
        <v>13</v>
      </c>
      <c r="D4551" s="2">
        <v>17</v>
      </c>
      <c r="E4551" s="2" t="s">
        <v>26</v>
      </c>
      <c r="F4551" s="2" t="s">
        <v>16</v>
      </c>
      <c r="G4551" s="7">
        <v>92.7</v>
      </c>
      <c r="H4551" s="7">
        <v>1556.85</v>
      </c>
      <c r="I4551" s="2" t="s">
        <v>15</v>
      </c>
      <c r="J4551" s="2" t="s">
        <v>16</v>
      </c>
      <c r="K4551" s="2" t="s">
        <v>29</v>
      </c>
      <c r="L4551" s="7">
        <v>1556.85</v>
      </c>
      <c r="M4551" s="2" t="str">
        <f>_xlfn.IFS(TelecomData[[#This Row],[TenureMonths]]&lt;=12, "0-1 Year", TelecomData[[#This Row],[TenureMonths]]&lt;=36, "1-3 Years", TelecomData[[#This Row],[TenureMonths]]&gt;36, "3+ Years")</f>
        <v>1-3 Years</v>
      </c>
      <c r="N4551" s="2" t="str">
        <f>IF(TelecomData[[#This Row],[CleanedTotalCharges]]&gt;=2500,"High Spend", "Standard Spend")</f>
        <v>Standard Spend</v>
      </c>
    </row>
    <row r="4552" spans="1:14" x14ac:dyDescent="0.3">
      <c r="A4552" s="1" t="s">
        <v>4576</v>
      </c>
      <c r="B4552" s="2" t="s">
        <v>12</v>
      </c>
      <c r="C4552" s="2" t="s">
        <v>35</v>
      </c>
      <c r="D4552" s="2">
        <v>72</v>
      </c>
      <c r="E4552" s="2" t="s">
        <v>15</v>
      </c>
      <c r="F4552" s="2" t="s">
        <v>36</v>
      </c>
      <c r="G4552" s="7">
        <v>26.25</v>
      </c>
      <c r="H4552" s="7">
        <v>1988.05</v>
      </c>
      <c r="I4552" s="2" t="s">
        <v>15</v>
      </c>
      <c r="J4552" s="2" t="s">
        <v>16</v>
      </c>
      <c r="K4552" s="2" t="s">
        <v>24</v>
      </c>
      <c r="L4552" s="7">
        <v>1988.05</v>
      </c>
      <c r="M4552" s="2" t="str">
        <f>_xlfn.IFS(TelecomData[[#This Row],[TenureMonths]]&lt;=12, "0-1 Year", TelecomData[[#This Row],[TenureMonths]]&lt;=36, "1-3 Years", TelecomData[[#This Row],[TenureMonths]]&gt;36, "3+ Years")</f>
        <v>3+ Years</v>
      </c>
      <c r="N4552" s="2" t="str">
        <f>IF(TelecomData[[#This Row],[CleanedTotalCharges]]&gt;=2500,"High Spend", "Standard Spend")</f>
        <v>Standard Spend</v>
      </c>
    </row>
    <row r="4553" spans="1:14" x14ac:dyDescent="0.3">
      <c r="A4553" s="1" t="s">
        <v>4577</v>
      </c>
      <c r="B4553" s="2" t="s">
        <v>19</v>
      </c>
      <c r="C4553" s="2" t="s">
        <v>13</v>
      </c>
      <c r="D4553" s="2">
        <v>56</v>
      </c>
      <c r="E4553" s="2" t="s">
        <v>26</v>
      </c>
      <c r="F4553" s="2" t="s">
        <v>16</v>
      </c>
      <c r="G4553" s="7">
        <v>96.95</v>
      </c>
      <c r="H4553" s="7">
        <v>5432.2</v>
      </c>
      <c r="I4553" s="2" t="s">
        <v>15</v>
      </c>
      <c r="J4553" s="2" t="s">
        <v>16</v>
      </c>
      <c r="K4553" s="2" t="s">
        <v>29</v>
      </c>
      <c r="L4553" s="7">
        <v>5432.2</v>
      </c>
      <c r="M4553" s="2" t="str">
        <f>_xlfn.IFS(TelecomData[[#This Row],[TenureMonths]]&lt;=12, "0-1 Year", TelecomData[[#This Row],[TenureMonths]]&lt;=36, "1-3 Years", TelecomData[[#This Row],[TenureMonths]]&gt;36, "3+ Years")</f>
        <v>3+ Years</v>
      </c>
      <c r="N4553" s="2" t="str">
        <f>IF(TelecomData[[#This Row],[CleanedTotalCharges]]&gt;=2500,"High Spend", "Standard Spend")</f>
        <v>High Spend</v>
      </c>
    </row>
    <row r="4554" spans="1:14" x14ac:dyDescent="0.3">
      <c r="A4554" s="1" t="s">
        <v>4578</v>
      </c>
      <c r="B4554" s="2" t="s">
        <v>12</v>
      </c>
      <c r="C4554" s="2" t="s">
        <v>13</v>
      </c>
      <c r="D4554" s="2">
        <v>9</v>
      </c>
      <c r="E4554" s="2" t="s">
        <v>15</v>
      </c>
      <c r="F4554" s="2" t="s">
        <v>36</v>
      </c>
      <c r="G4554" s="7">
        <v>20.45</v>
      </c>
      <c r="H4554" s="7">
        <v>147.55000000000001</v>
      </c>
      <c r="I4554" s="2" t="s">
        <v>15</v>
      </c>
      <c r="J4554" s="2" t="s">
        <v>16</v>
      </c>
      <c r="K4554" s="2" t="s">
        <v>29</v>
      </c>
      <c r="L4554" s="7">
        <v>147.55000000000001</v>
      </c>
      <c r="M4554" s="2" t="str">
        <f>_xlfn.IFS(TelecomData[[#This Row],[TenureMonths]]&lt;=12, "0-1 Year", TelecomData[[#This Row],[TenureMonths]]&lt;=36, "1-3 Years", TelecomData[[#This Row],[TenureMonths]]&gt;36, "3+ Years")</f>
        <v>0-1 Year</v>
      </c>
      <c r="N4554" s="2" t="str">
        <f>IF(TelecomData[[#This Row],[CleanedTotalCharges]]&gt;=2500,"High Spend", "Standard Spend")</f>
        <v>Standard Spend</v>
      </c>
    </row>
    <row r="4555" spans="1:14" x14ac:dyDescent="0.3">
      <c r="A4555" s="1" t="s">
        <v>4579</v>
      </c>
      <c r="B4555" s="2" t="s">
        <v>19</v>
      </c>
      <c r="C4555" s="2" t="s">
        <v>35</v>
      </c>
      <c r="D4555" s="2">
        <v>72</v>
      </c>
      <c r="E4555" s="2" t="s">
        <v>26</v>
      </c>
      <c r="F4555" s="2" t="s">
        <v>16</v>
      </c>
      <c r="G4555" s="7">
        <v>115.8</v>
      </c>
      <c r="H4555" s="7">
        <v>8424.9</v>
      </c>
      <c r="I4555" s="2" t="s">
        <v>15</v>
      </c>
      <c r="J4555" s="2" t="s">
        <v>16</v>
      </c>
      <c r="K4555" s="2" t="s">
        <v>24</v>
      </c>
      <c r="L4555" s="7">
        <v>8424.9</v>
      </c>
      <c r="M4555" s="2" t="str">
        <f>_xlfn.IFS(TelecomData[[#This Row],[TenureMonths]]&lt;=12, "0-1 Year", TelecomData[[#This Row],[TenureMonths]]&lt;=36, "1-3 Years", TelecomData[[#This Row],[TenureMonths]]&gt;36, "3+ Years")</f>
        <v>3+ Years</v>
      </c>
      <c r="N4555" s="2" t="str">
        <f>IF(TelecomData[[#This Row],[CleanedTotalCharges]]&gt;=2500,"High Spend", "Standard Spend")</f>
        <v>High Spend</v>
      </c>
    </row>
    <row r="4556" spans="1:14" x14ac:dyDescent="0.3">
      <c r="A4556" s="1" t="s">
        <v>4580</v>
      </c>
      <c r="B4556" s="2" t="s">
        <v>19</v>
      </c>
      <c r="C4556" s="2" t="s">
        <v>13</v>
      </c>
      <c r="D4556" s="2">
        <v>20</v>
      </c>
      <c r="E4556" s="2" t="s">
        <v>26</v>
      </c>
      <c r="F4556" s="2" t="s">
        <v>16</v>
      </c>
      <c r="G4556" s="7">
        <v>108.2</v>
      </c>
      <c r="H4556" s="7">
        <v>2203.6999999999998</v>
      </c>
      <c r="I4556" s="2" t="s">
        <v>15</v>
      </c>
      <c r="J4556" s="2" t="s">
        <v>16</v>
      </c>
      <c r="K4556" s="2" t="s">
        <v>24</v>
      </c>
      <c r="L4556" s="7">
        <v>2203.6999999999998</v>
      </c>
      <c r="M4556" s="2" t="str">
        <f>_xlfn.IFS(TelecomData[[#This Row],[TenureMonths]]&lt;=12, "0-1 Year", TelecomData[[#This Row],[TenureMonths]]&lt;=36, "1-3 Years", TelecomData[[#This Row],[TenureMonths]]&gt;36, "3+ Years")</f>
        <v>1-3 Years</v>
      </c>
      <c r="N4556" s="2" t="str">
        <f>IF(TelecomData[[#This Row],[CleanedTotalCharges]]&gt;=2500,"High Spend", "Standard Spend")</f>
        <v>Standard Spend</v>
      </c>
    </row>
    <row r="4557" spans="1:14" x14ac:dyDescent="0.3">
      <c r="A4557" s="1" t="s">
        <v>4581</v>
      </c>
      <c r="B4557" s="2" t="s">
        <v>19</v>
      </c>
      <c r="C4557" s="2" t="s">
        <v>35</v>
      </c>
      <c r="D4557" s="2">
        <v>19</v>
      </c>
      <c r="E4557" s="2" t="s">
        <v>15</v>
      </c>
      <c r="F4557" s="2" t="s">
        <v>36</v>
      </c>
      <c r="G4557" s="7">
        <v>20.2</v>
      </c>
      <c r="H4557" s="7">
        <v>387.4</v>
      </c>
      <c r="I4557" s="2" t="s">
        <v>15</v>
      </c>
      <c r="J4557" s="2" t="s">
        <v>15</v>
      </c>
      <c r="K4557" s="2" t="s">
        <v>21</v>
      </c>
      <c r="L4557" s="7">
        <v>387.4</v>
      </c>
      <c r="M4557" s="2" t="str">
        <f>_xlfn.IFS(TelecomData[[#This Row],[TenureMonths]]&lt;=12, "0-1 Year", TelecomData[[#This Row],[TenureMonths]]&lt;=36, "1-3 Years", TelecomData[[#This Row],[TenureMonths]]&gt;36, "3+ Years")</f>
        <v>1-3 Years</v>
      </c>
      <c r="N4557" s="2" t="str">
        <f>IF(TelecomData[[#This Row],[CleanedTotalCharges]]&gt;=2500,"High Spend", "Standard Spend")</f>
        <v>Standard Spend</v>
      </c>
    </row>
    <row r="4558" spans="1:14" x14ac:dyDescent="0.3">
      <c r="A4558" s="1" t="s">
        <v>4582</v>
      </c>
      <c r="B4558" s="2" t="s">
        <v>19</v>
      </c>
      <c r="C4558" s="2" t="s">
        <v>13</v>
      </c>
      <c r="D4558" s="2">
        <v>2</v>
      </c>
      <c r="E4558" s="2" t="s">
        <v>26</v>
      </c>
      <c r="F4558" s="2" t="s">
        <v>15</v>
      </c>
      <c r="G4558" s="7">
        <v>67.75</v>
      </c>
      <c r="H4558" s="7">
        <v>116.65</v>
      </c>
      <c r="I4558" s="2" t="s">
        <v>16</v>
      </c>
      <c r="J4558" s="2" t="s">
        <v>16</v>
      </c>
      <c r="K4558" s="2" t="s">
        <v>17</v>
      </c>
      <c r="L4558" s="7">
        <v>116.65</v>
      </c>
      <c r="M4558" s="2" t="str">
        <f>_xlfn.IFS(TelecomData[[#This Row],[TenureMonths]]&lt;=12, "0-1 Year", TelecomData[[#This Row],[TenureMonths]]&lt;=36, "1-3 Years", TelecomData[[#This Row],[TenureMonths]]&gt;36, "3+ Years")</f>
        <v>0-1 Year</v>
      </c>
      <c r="N4558" s="2" t="str">
        <f>IF(TelecomData[[#This Row],[CleanedTotalCharges]]&gt;=2500,"High Spend", "Standard Spend")</f>
        <v>Standard Spend</v>
      </c>
    </row>
    <row r="4559" spans="1:14" x14ac:dyDescent="0.3">
      <c r="A4559" s="1" t="s">
        <v>4583</v>
      </c>
      <c r="B4559" s="2" t="s">
        <v>19</v>
      </c>
      <c r="C4559" s="2" t="s">
        <v>20</v>
      </c>
      <c r="D4559" s="2">
        <v>53</v>
      </c>
      <c r="E4559" s="2" t="s">
        <v>14</v>
      </c>
      <c r="F4559" s="2" t="s">
        <v>16</v>
      </c>
      <c r="G4559" s="7">
        <v>54.9</v>
      </c>
      <c r="H4559" s="7">
        <v>3045.75</v>
      </c>
      <c r="I4559" s="2" t="s">
        <v>15</v>
      </c>
      <c r="J4559" s="2" t="s">
        <v>15</v>
      </c>
      <c r="K4559" s="2" t="s">
        <v>29</v>
      </c>
      <c r="L4559" s="7">
        <v>3045.75</v>
      </c>
      <c r="M4559" s="2" t="str">
        <f>_xlfn.IFS(TelecomData[[#This Row],[TenureMonths]]&lt;=12, "0-1 Year", TelecomData[[#This Row],[TenureMonths]]&lt;=36, "1-3 Years", TelecomData[[#This Row],[TenureMonths]]&gt;36, "3+ Years")</f>
        <v>3+ Years</v>
      </c>
      <c r="N4559" s="2" t="str">
        <f>IF(TelecomData[[#This Row],[CleanedTotalCharges]]&gt;=2500,"High Spend", "Standard Spend")</f>
        <v>High Spend</v>
      </c>
    </row>
    <row r="4560" spans="1:14" x14ac:dyDescent="0.3">
      <c r="A4560" s="1" t="s">
        <v>4584</v>
      </c>
      <c r="B4560" s="2" t="s">
        <v>12</v>
      </c>
      <c r="C4560" s="2" t="s">
        <v>13</v>
      </c>
      <c r="D4560" s="2">
        <v>27</v>
      </c>
      <c r="E4560" s="2" t="s">
        <v>26</v>
      </c>
      <c r="F4560" s="2" t="s">
        <v>15</v>
      </c>
      <c r="G4560" s="7">
        <v>85.25</v>
      </c>
      <c r="H4560" s="7">
        <v>2287.25</v>
      </c>
      <c r="I4560" s="2" t="s">
        <v>16</v>
      </c>
      <c r="J4560" s="2" t="s">
        <v>16</v>
      </c>
      <c r="K4560" s="2" t="s">
        <v>17</v>
      </c>
      <c r="L4560" s="7">
        <v>2287.25</v>
      </c>
      <c r="M4560" s="2" t="str">
        <f>_xlfn.IFS(TelecomData[[#This Row],[TenureMonths]]&lt;=12, "0-1 Year", TelecomData[[#This Row],[TenureMonths]]&lt;=36, "1-3 Years", TelecomData[[#This Row],[TenureMonths]]&gt;36, "3+ Years")</f>
        <v>1-3 Years</v>
      </c>
      <c r="N4560" s="2" t="str">
        <f>IF(TelecomData[[#This Row],[CleanedTotalCharges]]&gt;=2500,"High Spend", "Standard Spend")</f>
        <v>Standard Spend</v>
      </c>
    </row>
    <row r="4561" spans="1:14" x14ac:dyDescent="0.3">
      <c r="A4561" s="1" t="s">
        <v>4585</v>
      </c>
      <c r="B4561" s="2" t="s">
        <v>19</v>
      </c>
      <c r="C4561" s="2" t="s">
        <v>13</v>
      </c>
      <c r="D4561" s="2">
        <v>6</v>
      </c>
      <c r="E4561" s="2" t="s">
        <v>15</v>
      </c>
      <c r="F4561" s="2" t="s">
        <v>36</v>
      </c>
      <c r="G4561" s="7">
        <v>20.149999999999999</v>
      </c>
      <c r="H4561" s="7">
        <v>130.5</v>
      </c>
      <c r="I4561" s="2" t="s">
        <v>15</v>
      </c>
      <c r="J4561" s="2" t="s">
        <v>15</v>
      </c>
      <c r="K4561" s="2" t="s">
        <v>24</v>
      </c>
      <c r="L4561" s="7">
        <v>130.5</v>
      </c>
      <c r="M4561" s="2" t="str">
        <f>_xlfn.IFS(TelecomData[[#This Row],[TenureMonths]]&lt;=12, "0-1 Year", TelecomData[[#This Row],[TenureMonths]]&lt;=36, "1-3 Years", TelecomData[[#This Row],[TenureMonths]]&gt;36, "3+ Years")</f>
        <v>0-1 Year</v>
      </c>
      <c r="N4561" s="2" t="str">
        <f>IF(TelecomData[[#This Row],[CleanedTotalCharges]]&gt;=2500,"High Spend", "Standard Spend")</f>
        <v>Standard Spend</v>
      </c>
    </row>
    <row r="4562" spans="1:14" x14ac:dyDescent="0.3">
      <c r="A4562" s="1" t="s">
        <v>4586</v>
      </c>
      <c r="B4562" s="2" t="s">
        <v>19</v>
      </c>
      <c r="C4562" s="2" t="s">
        <v>20</v>
      </c>
      <c r="D4562" s="2">
        <v>9</v>
      </c>
      <c r="E4562" s="2" t="s">
        <v>26</v>
      </c>
      <c r="F4562" s="2" t="s">
        <v>15</v>
      </c>
      <c r="G4562" s="7">
        <v>90.35</v>
      </c>
      <c r="H4562" s="7">
        <v>767.9</v>
      </c>
      <c r="I4562" s="2" t="s">
        <v>15</v>
      </c>
      <c r="J4562" s="2" t="s">
        <v>16</v>
      </c>
      <c r="K4562" s="2" t="s">
        <v>17</v>
      </c>
      <c r="L4562" s="7">
        <v>767.9</v>
      </c>
      <c r="M4562" s="2" t="str">
        <f>_xlfn.IFS(TelecomData[[#This Row],[TenureMonths]]&lt;=12, "0-1 Year", TelecomData[[#This Row],[TenureMonths]]&lt;=36, "1-3 Years", TelecomData[[#This Row],[TenureMonths]]&gt;36, "3+ Years")</f>
        <v>0-1 Year</v>
      </c>
      <c r="N4562" s="2" t="str">
        <f>IF(TelecomData[[#This Row],[CleanedTotalCharges]]&gt;=2500,"High Spend", "Standard Spend")</f>
        <v>Standard Spend</v>
      </c>
    </row>
    <row r="4563" spans="1:14" x14ac:dyDescent="0.3">
      <c r="A4563" s="1" t="s">
        <v>4587</v>
      </c>
      <c r="B4563" s="2" t="s">
        <v>12</v>
      </c>
      <c r="C4563" s="2" t="s">
        <v>13</v>
      </c>
      <c r="D4563" s="2">
        <v>8</v>
      </c>
      <c r="E4563" s="2" t="s">
        <v>14</v>
      </c>
      <c r="F4563" s="2" t="s">
        <v>15</v>
      </c>
      <c r="G4563" s="7">
        <v>55.75</v>
      </c>
      <c r="H4563" s="7">
        <v>446.8</v>
      </c>
      <c r="I4563" s="2" t="s">
        <v>15</v>
      </c>
      <c r="J4563" s="2" t="s">
        <v>15</v>
      </c>
      <c r="K4563" s="2" t="s">
        <v>17</v>
      </c>
      <c r="L4563" s="7">
        <v>446.8</v>
      </c>
      <c r="M4563" s="2" t="str">
        <f>_xlfn.IFS(TelecomData[[#This Row],[TenureMonths]]&lt;=12, "0-1 Year", TelecomData[[#This Row],[TenureMonths]]&lt;=36, "1-3 Years", TelecomData[[#This Row],[TenureMonths]]&gt;36, "3+ Years")</f>
        <v>0-1 Year</v>
      </c>
      <c r="N4563" s="2" t="str">
        <f>IF(TelecomData[[#This Row],[CleanedTotalCharges]]&gt;=2500,"High Spend", "Standard Spend")</f>
        <v>Standard Spend</v>
      </c>
    </row>
    <row r="4564" spans="1:14" x14ac:dyDescent="0.3">
      <c r="A4564" s="1" t="s">
        <v>4588</v>
      </c>
      <c r="B4564" s="2" t="s">
        <v>12</v>
      </c>
      <c r="C4564" s="2" t="s">
        <v>35</v>
      </c>
      <c r="D4564" s="2">
        <v>71</v>
      </c>
      <c r="E4564" s="2" t="s">
        <v>26</v>
      </c>
      <c r="F4564" s="2" t="s">
        <v>16</v>
      </c>
      <c r="G4564" s="7">
        <v>114.6</v>
      </c>
      <c r="H4564" s="7">
        <v>8100.25</v>
      </c>
      <c r="I4564" s="2" t="s">
        <v>15</v>
      </c>
      <c r="J4564" s="2" t="s">
        <v>15</v>
      </c>
      <c r="K4564" s="2" t="s">
        <v>24</v>
      </c>
      <c r="L4564" s="7">
        <v>8100.25</v>
      </c>
      <c r="M4564" s="2" t="str">
        <f>_xlfn.IFS(TelecomData[[#This Row],[TenureMonths]]&lt;=12, "0-1 Year", TelecomData[[#This Row],[TenureMonths]]&lt;=36, "1-3 Years", TelecomData[[#This Row],[TenureMonths]]&gt;36, "3+ Years")</f>
        <v>3+ Years</v>
      </c>
      <c r="N4564" s="2" t="str">
        <f>IF(TelecomData[[#This Row],[CleanedTotalCharges]]&gt;=2500,"High Spend", "Standard Spend")</f>
        <v>High Spend</v>
      </c>
    </row>
    <row r="4565" spans="1:14" x14ac:dyDescent="0.3">
      <c r="A4565" s="1" t="s">
        <v>4589</v>
      </c>
      <c r="B4565" s="2" t="s">
        <v>12</v>
      </c>
      <c r="C4565" s="2" t="s">
        <v>13</v>
      </c>
      <c r="D4565" s="2">
        <v>10</v>
      </c>
      <c r="E4565" s="2" t="s">
        <v>26</v>
      </c>
      <c r="F4565" s="2" t="s">
        <v>15</v>
      </c>
      <c r="G4565" s="7">
        <v>80.05</v>
      </c>
      <c r="H4565" s="7">
        <v>830.7</v>
      </c>
      <c r="I4565" s="2" t="s">
        <v>16</v>
      </c>
      <c r="J4565" s="2" t="s">
        <v>16</v>
      </c>
      <c r="K4565" s="2" t="s">
        <v>24</v>
      </c>
      <c r="L4565" s="7">
        <v>830.7</v>
      </c>
      <c r="M4565" s="2" t="str">
        <f>_xlfn.IFS(TelecomData[[#This Row],[TenureMonths]]&lt;=12, "0-1 Year", TelecomData[[#This Row],[TenureMonths]]&lt;=36, "1-3 Years", TelecomData[[#This Row],[TenureMonths]]&gt;36, "3+ Years")</f>
        <v>0-1 Year</v>
      </c>
      <c r="N4565" s="2" t="str">
        <f>IF(TelecomData[[#This Row],[CleanedTotalCharges]]&gt;=2500,"High Spend", "Standard Spend")</f>
        <v>Standard Spend</v>
      </c>
    </row>
    <row r="4566" spans="1:14" x14ac:dyDescent="0.3">
      <c r="A4566" s="1" t="s">
        <v>4590</v>
      </c>
      <c r="B4566" s="2" t="s">
        <v>19</v>
      </c>
      <c r="C4566" s="2" t="s">
        <v>13</v>
      </c>
      <c r="D4566" s="2">
        <v>1</v>
      </c>
      <c r="E4566" s="2" t="s">
        <v>15</v>
      </c>
      <c r="F4566" s="2" t="s">
        <v>36</v>
      </c>
      <c r="G4566" s="7">
        <v>20</v>
      </c>
      <c r="H4566" s="7">
        <v>20</v>
      </c>
      <c r="I4566" s="2" t="s">
        <v>16</v>
      </c>
      <c r="J4566" s="2" t="s">
        <v>15</v>
      </c>
      <c r="K4566" s="2" t="s">
        <v>21</v>
      </c>
      <c r="L4566" s="7">
        <v>20</v>
      </c>
      <c r="M4566" s="2" t="str">
        <f>_xlfn.IFS(TelecomData[[#This Row],[TenureMonths]]&lt;=12, "0-1 Year", TelecomData[[#This Row],[TenureMonths]]&lt;=36, "1-3 Years", TelecomData[[#This Row],[TenureMonths]]&gt;36, "3+ Years")</f>
        <v>0-1 Year</v>
      </c>
      <c r="N4566" s="2" t="str">
        <f>IF(TelecomData[[#This Row],[CleanedTotalCharges]]&gt;=2500,"High Spend", "Standard Spend")</f>
        <v>Standard Spend</v>
      </c>
    </row>
    <row r="4567" spans="1:14" x14ac:dyDescent="0.3">
      <c r="A4567" s="1" t="s">
        <v>4591</v>
      </c>
      <c r="B4567" s="2" t="s">
        <v>12</v>
      </c>
      <c r="C4567" s="2" t="s">
        <v>20</v>
      </c>
      <c r="D4567" s="2">
        <v>71</v>
      </c>
      <c r="E4567" s="2" t="s">
        <v>14</v>
      </c>
      <c r="F4567" s="2" t="s">
        <v>16</v>
      </c>
      <c r="G4567" s="7">
        <v>66.8</v>
      </c>
      <c r="H4567" s="7">
        <v>4689.1499999999996</v>
      </c>
      <c r="I4567" s="2" t="s">
        <v>15</v>
      </c>
      <c r="J4567" s="2" t="s">
        <v>15</v>
      </c>
      <c r="K4567" s="2" t="s">
        <v>24</v>
      </c>
      <c r="L4567" s="7">
        <v>4689.1499999999996</v>
      </c>
      <c r="M4567" s="2" t="str">
        <f>_xlfn.IFS(TelecomData[[#This Row],[TenureMonths]]&lt;=12, "0-1 Year", TelecomData[[#This Row],[TenureMonths]]&lt;=36, "1-3 Years", TelecomData[[#This Row],[TenureMonths]]&gt;36, "3+ Years")</f>
        <v>3+ Years</v>
      </c>
      <c r="N4567" s="2" t="str">
        <f>IF(TelecomData[[#This Row],[CleanedTotalCharges]]&gt;=2500,"High Spend", "Standard Spend")</f>
        <v>High Spend</v>
      </c>
    </row>
    <row r="4568" spans="1:14" x14ac:dyDescent="0.3">
      <c r="A4568" s="1" t="s">
        <v>4592</v>
      </c>
      <c r="B4568" s="2" t="s">
        <v>19</v>
      </c>
      <c r="C4568" s="2" t="s">
        <v>20</v>
      </c>
      <c r="D4568" s="2">
        <v>68</v>
      </c>
      <c r="E4568" s="2" t="s">
        <v>26</v>
      </c>
      <c r="F4568" s="2" t="s">
        <v>16</v>
      </c>
      <c r="G4568" s="7">
        <v>100.3</v>
      </c>
      <c r="H4568" s="7">
        <v>6754.35</v>
      </c>
      <c r="I4568" s="2" t="s">
        <v>15</v>
      </c>
      <c r="J4568" s="2" t="s">
        <v>16</v>
      </c>
      <c r="K4568" s="2" t="s">
        <v>17</v>
      </c>
      <c r="L4568" s="7">
        <v>6754.35</v>
      </c>
      <c r="M4568" s="2" t="str">
        <f>_xlfn.IFS(TelecomData[[#This Row],[TenureMonths]]&lt;=12, "0-1 Year", TelecomData[[#This Row],[TenureMonths]]&lt;=36, "1-3 Years", TelecomData[[#This Row],[TenureMonths]]&gt;36, "3+ Years")</f>
        <v>3+ Years</v>
      </c>
      <c r="N4568" s="2" t="str">
        <f>IF(TelecomData[[#This Row],[CleanedTotalCharges]]&gt;=2500,"High Spend", "Standard Spend")</f>
        <v>High Spend</v>
      </c>
    </row>
    <row r="4569" spans="1:14" x14ac:dyDescent="0.3">
      <c r="A4569" s="1" t="s">
        <v>4593</v>
      </c>
      <c r="B4569" s="2" t="s">
        <v>19</v>
      </c>
      <c r="C4569" s="2" t="s">
        <v>13</v>
      </c>
      <c r="D4569" s="2">
        <v>34</v>
      </c>
      <c r="E4569" s="2" t="s">
        <v>26</v>
      </c>
      <c r="F4569" s="2" t="s">
        <v>16</v>
      </c>
      <c r="G4569" s="7">
        <v>105.35</v>
      </c>
      <c r="H4569" s="7">
        <v>3540.65</v>
      </c>
      <c r="I4569" s="2" t="s">
        <v>15</v>
      </c>
      <c r="J4569" s="2" t="s">
        <v>16</v>
      </c>
      <c r="K4569" s="2" t="s">
        <v>17</v>
      </c>
      <c r="L4569" s="7">
        <v>3540.65</v>
      </c>
      <c r="M4569" s="2" t="str">
        <f>_xlfn.IFS(TelecomData[[#This Row],[TenureMonths]]&lt;=12, "0-1 Year", TelecomData[[#This Row],[TenureMonths]]&lt;=36, "1-3 Years", TelecomData[[#This Row],[TenureMonths]]&gt;36, "3+ Years")</f>
        <v>1-3 Years</v>
      </c>
      <c r="N4569" s="2" t="str">
        <f>IF(TelecomData[[#This Row],[CleanedTotalCharges]]&gt;=2500,"High Spend", "Standard Spend")</f>
        <v>High Spend</v>
      </c>
    </row>
    <row r="4570" spans="1:14" x14ac:dyDescent="0.3">
      <c r="A4570" s="1" t="s">
        <v>4594</v>
      </c>
      <c r="B4570" s="2" t="s">
        <v>19</v>
      </c>
      <c r="C4570" s="2" t="s">
        <v>20</v>
      </c>
      <c r="D4570" s="2">
        <v>26</v>
      </c>
      <c r="E4570" s="2" t="s">
        <v>26</v>
      </c>
      <c r="F4570" s="2" t="s">
        <v>16</v>
      </c>
      <c r="G4570" s="7">
        <v>85.2</v>
      </c>
      <c r="H4570" s="7">
        <v>2184.6</v>
      </c>
      <c r="I4570" s="2" t="s">
        <v>15</v>
      </c>
      <c r="J4570" s="2" t="s">
        <v>16</v>
      </c>
      <c r="K4570" s="2" t="s">
        <v>17</v>
      </c>
      <c r="L4570" s="7">
        <v>2184.6</v>
      </c>
      <c r="M4570" s="2" t="str">
        <f>_xlfn.IFS(TelecomData[[#This Row],[TenureMonths]]&lt;=12, "0-1 Year", TelecomData[[#This Row],[TenureMonths]]&lt;=36, "1-3 Years", TelecomData[[#This Row],[TenureMonths]]&gt;36, "3+ Years")</f>
        <v>1-3 Years</v>
      </c>
      <c r="N4570" s="2" t="str">
        <f>IF(TelecomData[[#This Row],[CleanedTotalCharges]]&gt;=2500,"High Spend", "Standard Spend")</f>
        <v>Standard Spend</v>
      </c>
    </row>
    <row r="4571" spans="1:14" x14ac:dyDescent="0.3">
      <c r="A4571" s="1" t="s">
        <v>4595</v>
      </c>
      <c r="B4571" s="2" t="s">
        <v>12</v>
      </c>
      <c r="C4571" s="2" t="s">
        <v>13</v>
      </c>
      <c r="D4571" s="2">
        <v>22</v>
      </c>
      <c r="E4571" s="2" t="s">
        <v>14</v>
      </c>
      <c r="F4571" s="2" t="s">
        <v>15</v>
      </c>
      <c r="G4571" s="7">
        <v>48.8</v>
      </c>
      <c r="H4571" s="7">
        <v>1054.5999999999999</v>
      </c>
      <c r="I4571" s="2" t="s">
        <v>16</v>
      </c>
      <c r="J4571" s="2" t="s">
        <v>16</v>
      </c>
      <c r="K4571" s="2" t="s">
        <v>29</v>
      </c>
      <c r="L4571" s="7">
        <v>1054.5999999999999</v>
      </c>
      <c r="M4571" s="2" t="str">
        <f>_xlfn.IFS(TelecomData[[#This Row],[TenureMonths]]&lt;=12, "0-1 Year", TelecomData[[#This Row],[TenureMonths]]&lt;=36, "1-3 Years", TelecomData[[#This Row],[TenureMonths]]&gt;36, "3+ Years")</f>
        <v>1-3 Years</v>
      </c>
      <c r="N4571" s="2" t="str">
        <f>IF(TelecomData[[#This Row],[CleanedTotalCharges]]&gt;=2500,"High Spend", "Standard Spend")</f>
        <v>Standard Spend</v>
      </c>
    </row>
    <row r="4572" spans="1:14" x14ac:dyDescent="0.3">
      <c r="A4572" s="1" t="s">
        <v>4596</v>
      </c>
      <c r="B4572" s="2" t="s">
        <v>19</v>
      </c>
      <c r="C4572" s="2" t="s">
        <v>13</v>
      </c>
      <c r="D4572" s="2">
        <v>7</v>
      </c>
      <c r="E4572" s="2" t="s">
        <v>15</v>
      </c>
      <c r="F4572" s="2" t="s">
        <v>36</v>
      </c>
      <c r="G4572" s="7">
        <v>18.95</v>
      </c>
      <c r="H4572" s="7">
        <v>130.55000000000001</v>
      </c>
      <c r="I4572" s="2" t="s">
        <v>15</v>
      </c>
      <c r="J4572" s="2" t="s">
        <v>16</v>
      </c>
      <c r="K4572" s="2" t="s">
        <v>21</v>
      </c>
      <c r="L4572" s="7">
        <v>130.55000000000001</v>
      </c>
      <c r="M4572" s="2" t="str">
        <f>_xlfn.IFS(TelecomData[[#This Row],[TenureMonths]]&lt;=12, "0-1 Year", TelecomData[[#This Row],[TenureMonths]]&lt;=36, "1-3 Years", TelecomData[[#This Row],[TenureMonths]]&gt;36, "3+ Years")</f>
        <v>0-1 Year</v>
      </c>
      <c r="N4572" s="2" t="str">
        <f>IF(TelecomData[[#This Row],[CleanedTotalCharges]]&gt;=2500,"High Spend", "Standard Spend")</f>
        <v>Standard Spend</v>
      </c>
    </row>
    <row r="4573" spans="1:14" x14ac:dyDescent="0.3">
      <c r="A4573" s="1" t="s">
        <v>4597</v>
      </c>
      <c r="B4573" s="2" t="s">
        <v>12</v>
      </c>
      <c r="C4573" s="2" t="s">
        <v>13</v>
      </c>
      <c r="D4573" s="2">
        <v>20</v>
      </c>
      <c r="E4573" s="2" t="s">
        <v>26</v>
      </c>
      <c r="F4573" s="2" t="s">
        <v>15</v>
      </c>
      <c r="G4573" s="7">
        <v>69.8</v>
      </c>
      <c r="H4573" s="7">
        <v>1540.35</v>
      </c>
      <c r="I4573" s="2" t="s">
        <v>15</v>
      </c>
      <c r="J4573" s="2" t="s">
        <v>16</v>
      </c>
      <c r="K4573" s="2" t="s">
        <v>24</v>
      </c>
      <c r="L4573" s="7">
        <v>1540.35</v>
      </c>
      <c r="M4573" s="2" t="str">
        <f>_xlfn.IFS(TelecomData[[#This Row],[TenureMonths]]&lt;=12, "0-1 Year", TelecomData[[#This Row],[TenureMonths]]&lt;=36, "1-3 Years", TelecomData[[#This Row],[TenureMonths]]&gt;36, "3+ Years")</f>
        <v>1-3 Years</v>
      </c>
      <c r="N4573" s="2" t="str">
        <f>IF(TelecomData[[#This Row],[CleanedTotalCharges]]&gt;=2500,"High Spend", "Standard Spend")</f>
        <v>Standard Spend</v>
      </c>
    </row>
    <row r="4574" spans="1:14" x14ac:dyDescent="0.3">
      <c r="A4574" s="1" t="s">
        <v>4598</v>
      </c>
      <c r="B4574" s="2" t="s">
        <v>12</v>
      </c>
      <c r="C4574" s="2" t="s">
        <v>13</v>
      </c>
      <c r="D4574" s="2">
        <v>60</v>
      </c>
      <c r="E4574" s="2" t="s">
        <v>26</v>
      </c>
      <c r="F4574" s="2" t="s">
        <v>15</v>
      </c>
      <c r="G4574" s="7">
        <v>106.15</v>
      </c>
      <c r="H4574" s="7">
        <v>6411.25</v>
      </c>
      <c r="I4574" s="2" t="s">
        <v>15</v>
      </c>
      <c r="J4574" s="2" t="s">
        <v>16</v>
      </c>
      <c r="K4574" s="2" t="s">
        <v>17</v>
      </c>
      <c r="L4574" s="7">
        <v>6411.25</v>
      </c>
      <c r="M4574" s="2" t="str">
        <f>_xlfn.IFS(TelecomData[[#This Row],[TenureMonths]]&lt;=12, "0-1 Year", TelecomData[[#This Row],[TenureMonths]]&lt;=36, "1-3 Years", TelecomData[[#This Row],[TenureMonths]]&gt;36, "3+ Years")</f>
        <v>3+ Years</v>
      </c>
      <c r="N4574" s="2" t="str">
        <f>IF(TelecomData[[#This Row],[CleanedTotalCharges]]&gt;=2500,"High Spend", "Standard Spend")</f>
        <v>High Spend</v>
      </c>
    </row>
    <row r="4575" spans="1:14" x14ac:dyDescent="0.3">
      <c r="A4575" s="1" t="s">
        <v>4599</v>
      </c>
      <c r="B4575" s="2" t="s">
        <v>19</v>
      </c>
      <c r="C4575" s="2" t="s">
        <v>35</v>
      </c>
      <c r="D4575" s="2">
        <v>72</v>
      </c>
      <c r="E4575" s="2" t="s">
        <v>15</v>
      </c>
      <c r="F4575" s="2" t="s">
        <v>36</v>
      </c>
      <c r="G4575" s="7">
        <v>20.55</v>
      </c>
      <c r="H4575" s="7">
        <v>1432.55</v>
      </c>
      <c r="I4575" s="2" t="s">
        <v>15</v>
      </c>
      <c r="J4575" s="2" t="s">
        <v>15</v>
      </c>
      <c r="K4575" s="2" t="s">
        <v>17</v>
      </c>
      <c r="L4575" s="7">
        <v>1432.55</v>
      </c>
      <c r="M4575" s="2" t="str">
        <f>_xlfn.IFS(TelecomData[[#This Row],[TenureMonths]]&lt;=12, "0-1 Year", TelecomData[[#This Row],[TenureMonths]]&lt;=36, "1-3 Years", TelecomData[[#This Row],[TenureMonths]]&gt;36, "3+ Years")</f>
        <v>3+ Years</v>
      </c>
      <c r="N4575" s="2" t="str">
        <f>IF(TelecomData[[#This Row],[CleanedTotalCharges]]&gt;=2500,"High Spend", "Standard Spend")</f>
        <v>Standard Spend</v>
      </c>
    </row>
    <row r="4576" spans="1:14" x14ac:dyDescent="0.3">
      <c r="A4576" s="1" t="s">
        <v>4600</v>
      </c>
      <c r="B4576" s="2" t="s">
        <v>12</v>
      </c>
      <c r="C4576" s="2" t="s">
        <v>20</v>
      </c>
      <c r="D4576" s="2">
        <v>72</v>
      </c>
      <c r="E4576" s="2" t="s">
        <v>26</v>
      </c>
      <c r="F4576" s="2" t="s">
        <v>15</v>
      </c>
      <c r="G4576" s="7">
        <v>105.75</v>
      </c>
      <c r="H4576" s="7">
        <v>7629.85</v>
      </c>
      <c r="I4576" s="2" t="s">
        <v>15</v>
      </c>
      <c r="J4576" s="2" t="s">
        <v>16</v>
      </c>
      <c r="K4576" s="2" t="s">
        <v>29</v>
      </c>
      <c r="L4576" s="7">
        <v>7629.85</v>
      </c>
      <c r="M4576" s="2" t="str">
        <f>_xlfn.IFS(TelecomData[[#This Row],[TenureMonths]]&lt;=12, "0-1 Year", TelecomData[[#This Row],[TenureMonths]]&lt;=36, "1-3 Years", TelecomData[[#This Row],[TenureMonths]]&gt;36, "3+ Years")</f>
        <v>3+ Years</v>
      </c>
      <c r="N4576" s="2" t="str">
        <f>IF(TelecomData[[#This Row],[CleanedTotalCharges]]&gt;=2500,"High Spend", "Standard Spend")</f>
        <v>High Spend</v>
      </c>
    </row>
    <row r="4577" spans="1:14" x14ac:dyDescent="0.3">
      <c r="A4577" s="1" t="s">
        <v>4601</v>
      </c>
      <c r="B4577" s="2" t="s">
        <v>19</v>
      </c>
      <c r="C4577" s="2" t="s">
        <v>13</v>
      </c>
      <c r="D4577" s="2">
        <v>4</v>
      </c>
      <c r="E4577" s="2" t="s">
        <v>15</v>
      </c>
      <c r="F4577" s="2" t="s">
        <v>36</v>
      </c>
      <c r="G4577" s="7">
        <v>25.25</v>
      </c>
      <c r="H4577" s="7">
        <v>101.9</v>
      </c>
      <c r="I4577" s="2" t="s">
        <v>15</v>
      </c>
      <c r="J4577" s="2" t="s">
        <v>15</v>
      </c>
      <c r="K4577" s="2" t="s">
        <v>21</v>
      </c>
      <c r="L4577" s="7">
        <v>101.9</v>
      </c>
      <c r="M4577" s="2" t="str">
        <f>_xlfn.IFS(TelecomData[[#This Row],[TenureMonths]]&lt;=12, "0-1 Year", TelecomData[[#This Row],[TenureMonths]]&lt;=36, "1-3 Years", TelecomData[[#This Row],[TenureMonths]]&gt;36, "3+ Years")</f>
        <v>0-1 Year</v>
      </c>
      <c r="N4577" s="2" t="str">
        <f>IF(TelecomData[[#This Row],[CleanedTotalCharges]]&gt;=2500,"High Spend", "Standard Spend")</f>
        <v>Standard Spend</v>
      </c>
    </row>
    <row r="4578" spans="1:14" x14ac:dyDescent="0.3">
      <c r="A4578" s="1" t="s">
        <v>4602</v>
      </c>
      <c r="B4578" s="2" t="s">
        <v>19</v>
      </c>
      <c r="C4578" s="2" t="s">
        <v>13</v>
      </c>
      <c r="D4578" s="2">
        <v>16</v>
      </c>
      <c r="E4578" s="2" t="s">
        <v>15</v>
      </c>
      <c r="F4578" s="2" t="s">
        <v>36</v>
      </c>
      <c r="G4578" s="7">
        <v>19.75</v>
      </c>
      <c r="H4578" s="7">
        <v>313.39999999999998</v>
      </c>
      <c r="I4578" s="2" t="s">
        <v>15</v>
      </c>
      <c r="J4578" s="2" t="s">
        <v>15</v>
      </c>
      <c r="K4578" s="2" t="s">
        <v>17</v>
      </c>
      <c r="L4578" s="7">
        <v>313.39999999999998</v>
      </c>
      <c r="M4578" s="2" t="str">
        <f>_xlfn.IFS(TelecomData[[#This Row],[TenureMonths]]&lt;=12, "0-1 Year", TelecomData[[#This Row],[TenureMonths]]&lt;=36, "1-3 Years", TelecomData[[#This Row],[TenureMonths]]&gt;36, "3+ Years")</f>
        <v>1-3 Years</v>
      </c>
      <c r="N4578" s="2" t="str">
        <f>IF(TelecomData[[#This Row],[CleanedTotalCharges]]&gt;=2500,"High Spend", "Standard Spend")</f>
        <v>Standard Spend</v>
      </c>
    </row>
    <row r="4579" spans="1:14" x14ac:dyDescent="0.3">
      <c r="A4579" s="1" t="s">
        <v>4603</v>
      </c>
      <c r="B4579" s="2" t="s">
        <v>12</v>
      </c>
      <c r="C4579" s="2" t="s">
        <v>20</v>
      </c>
      <c r="D4579" s="2">
        <v>62</v>
      </c>
      <c r="E4579" s="2" t="s">
        <v>26</v>
      </c>
      <c r="F4579" s="2" t="s">
        <v>15</v>
      </c>
      <c r="G4579" s="7">
        <v>104.85</v>
      </c>
      <c r="H4579" s="7">
        <v>6312.9</v>
      </c>
      <c r="I4579" s="2" t="s">
        <v>15</v>
      </c>
      <c r="J4579" s="2" t="s">
        <v>16</v>
      </c>
      <c r="K4579" s="2" t="s">
        <v>17</v>
      </c>
      <c r="L4579" s="7">
        <v>6312.9</v>
      </c>
      <c r="M4579" s="2" t="str">
        <f>_xlfn.IFS(TelecomData[[#This Row],[TenureMonths]]&lt;=12, "0-1 Year", TelecomData[[#This Row],[TenureMonths]]&lt;=36, "1-3 Years", TelecomData[[#This Row],[TenureMonths]]&gt;36, "3+ Years")</f>
        <v>3+ Years</v>
      </c>
      <c r="N4579" s="2" t="str">
        <f>IF(TelecomData[[#This Row],[CleanedTotalCharges]]&gt;=2500,"High Spend", "Standard Spend")</f>
        <v>High Spend</v>
      </c>
    </row>
    <row r="4580" spans="1:14" x14ac:dyDescent="0.3">
      <c r="A4580" s="1" t="s">
        <v>4604</v>
      </c>
      <c r="B4580" s="2" t="s">
        <v>12</v>
      </c>
      <c r="C4580" s="2" t="s">
        <v>13</v>
      </c>
      <c r="D4580" s="2">
        <v>10</v>
      </c>
      <c r="E4580" s="2" t="s">
        <v>14</v>
      </c>
      <c r="F4580" s="2" t="s">
        <v>16</v>
      </c>
      <c r="G4580" s="7">
        <v>60.95</v>
      </c>
      <c r="H4580" s="7">
        <v>629.54999999999995</v>
      </c>
      <c r="I4580" s="2" t="s">
        <v>15</v>
      </c>
      <c r="J4580" s="2" t="s">
        <v>16</v>
      </c>
      <c r="K4580" s="2" t="s">
        <v>21</v>
      </c>
      <c r="L4580" s="7">
        <v>629.54999999999995</v>
      </c>
      <c r="M4580" s="2" t="str">
        <f>_xlfn.IFS(TelecomData[[#This Row],[TenureMonths]]&lt;=12, "0-1 Year", TelecomData[[#This Row],[TenureMonths]]&lt;=36, "1-3 Years", TelecomData[[#This Row],[TenureMonths]]&gt;36, "3+ Years")</f>
        <v>0-1 Year</v>
      </c>
      <c r="N4580" s="2" t="str">
        <f>IF(TelecomData[[#This Row],[CleanedTotalCharges]]&gt;=2500,"High Spend", "Standard Spend")</f>
        <v>Standard Spend</v>
      </c>
    </row>
    <row r="4581" spans="1:14" x14ac:dyDescent="0.3">
      <c r="A4581" s="1" t="s">
        <v>4605</v>
      </c>
      <c r="B4581" s="2" t="s">
        <v>19</v>
      </c>
      <c r="C4581" s="2" t="s">
        <v>13</v>
      </c>
      <c r="D4581" s="2">
        <v>31</v>
      </c>
      <c r="E4581" s="2" t="s">
        <v>26</v>
      </c>
      <c r="F4581" s="2" t="s">
        <v>15</v>
      </c>
      <c r="G4581" s="7">
        <v>81.150000000000006</v>
      </c>
      <c r="H4581" s="7">
        <v>2640.55</v>
      </c>
      <c r="I4581" s="2" t="s">
        <v>15</v>
      </c>
      <c r="J4581" s="2" t="s">
        <v>16</v>
      </c>
      <c r="K4581" s="2" t="s">
        <v>17</v>
      </c>
      <c r="L4581" s="7">
        <v>2640.55</v>
      </c>
      <c r="M4581" s="2" t="str">
        <f>_xlfn.IFS(TelecomData[[#This Row],[TenureMonths]]&lt;=12, "0-1 Year", TelecomData[[#This Row],[TenureMonths]]&lt;=36, "1-3 Years", TelecomData[[#This Row],[TenureMonths]]&gt;36, "3+ Years")</f>
        <v>1-3 Years</v>
      </c>
      <c r="N4581" s="2" t="str">
        <f>IF(TelecomData[[#This Row],[CleanedTotalCharges]]&gt;=2500,"High Spend", "Standard Spend")</f>
        <v>High Spend</v>
      </c>
    </row>
    <row r="4582" spans="1:14" x14ac:dyDescent="0.3">
      <c r="A4582" s="1" t="s">
        <v>4606</v>
      </c>
      <c r="B4582" s="2" t="s">
        <v>12</v>
      </c>
      <c r="C4582" s="2" t="s">
        <v>35</v>
      </c>
      <c r="D4582" s="2">
        <v>71</v>
      </c>
      <c r="E4582" s="2" t="s">
        <v>15</v>
      </c>
      <c r="F4582" s="2" t="s">
        <v>36</v>
      </c>
      <c r="G4582" s="7">
        <v>19.100000000000001</v>
      </c>
      <c r="H4582" s="7">
        <v>1372.45</v>
      </c>
      <c r="I4582" s="2" t="s">
        <v>15</v>
      </c>
      <c r="J4582" s="2" t="s">
        <v>15</v>
      </c>
      <c r="K4582" s="2" t="s">
        <v>29</v>
      </c>
      <c r="L4582" s="7">
        <v>1372.45</v>
      </c>
      <c r="M4582" s="2" t="str">
        <f>_xlfn.IFS(TelecomData[[#This Row],[TenureMonths]]&lt;=12, "0-1 Year", TelecomData[[#This Row],[TenureMonths]]&lt;=36, "1-3 Years", TelecomData[[#This Row],[TenureMonths]]&gt;36, "3+ Years")</f>
        <v>3+ Years</v>
      </c>
      <c r="N4582" s="2" t="str">
        <f>IF(TelecomData[[#This Row],[CleanedTotalCharges]]&gt;=2500,"High Spend", "Standard Spend")</f>
        <v>Standard Spend</v>
      </c>
    </row>
    <row r="4583" spans="1:14" x14ac:dyDescent="0.3">
      <c r="A4583" s="1" t="s">
        <v>4607</v>
      </c>
      <c r="B4583" s="2" t="s">
        <v>19</v>
      </c>
      <c r="C4583" s="2" t="s">
        <v>35</v>
      </c>
      <c r="D4583" s="2">
        <v>58</v>
      </c>
      <c r="E4583" s="2" t="s">
        <v>15</v>
      </c>
      <c r="F4583" s="2" t="s">
        <v>36</v>
      </c>
      <c r="G4583" s="7">
        <v>20.8</v>
      </c>
      <c r="H4583" s="7">
        <v>1212.25</v>
      </c>
      <c r="I4583" s="2" t="s">
        <v>15</v>
      </c>
      <c r="J4583" s="2" t="s">
        <v>15</v>
      </c>
      <c r="K4583" s="2" t="s">
        <v>21</v>
      </c>
      <c r="L4583" s="7">
        <v>1212.25</v>
      </c>
      <c r="M4583" s="2" t="str">
        <f>_xlfn.IFS(TelecomData[[#This Row],[TenureMonths]]&lt;=12, "0-1 Year", TelecomData[[#This Row],[TenureMonths]]&lt;=36, "1-3 Years", TelecomData[[#This Row],[TenureMonths]]&gt;36, "3+ Years")</f>
        <v>3+ Years</v>
      </c>
      <c r="N4583" s="2" t="str">
        <f>IF(TelecomData[[#This Row],[CleanedTotalCharges]]&gt;=2500,"High Spend", "Standard Spend")</f>
        <v>Standard Spend</v>
      </c>
    </row>
    <row r="4584" spans="1:14" x14ac:dyDescent="0.3">
      <c r="A4584" s="1" t="s">
        <v>4608</v>
      </c>
      <c r="B4584" s="2" t="s">
        <v>19</v>
      </c>
      <c r="C4584" s="2" t="s">
        <v>35</v>
      </c>
      <c r="D4584" s="2">
        <v>70</v>
      </c>
      <c r="E4584" s="2" t="s">
        <v>14</v>
      </c>
      <c r="F4584" s="2" t="s">
        <v>16</v>
      </c>
      <c r="G4584" s="7">
        <v>90.15</v>
      </c>
      <c r="H4584" s="7">
        <v>6237.05</v>
      </c>
      <c r="I4584" s="2" t="s">
        <v>15</v>
      </c>
      <c r="J4584" s="2" t="s">
        <v>16</v>
      </c>
      <c r="K4584" s="2" t="s">
        <v>29</v>
      </c>
      <c r="L4584" s="7">
        <v>6237.05</v>
      </c>
      <c r="M4584" s="2" t="str">
        <f>_xlfn.IFS(TelecomData[[#This Row],[TenureMonths]]&lt;=12, "0-1 Year", TelecomData[[#This Row],[TenureMonths]]&lt;=36, "1-3 Years", TelecomData[[#This Row],[TenureMonths]]&gt;36, "3+ Years")</f>
        <v>3+ Years</v>
      </c>
      <c r="N4584" s="2" t="str">
        <f>IF(TelecomData[[#This Row],[CleanedTotalCharges]]&gt;=2500,"High Spend", "Standard Spend")</f>
        <v>High Spend</v>
      </c>
    </row>
    <row r="4585" spans="1:14" x14ac:dyDescent="0.3">
      <c r="A4585" s="1" t="s">
        <v>4609</v>
      </c>
      <c r="B4585" s="2" t="s">
        <v>12</v>
      </c>
      <c r="C4585" s="2" t="s">
        <v>35</v>
      </c>
      <c r="D4585" s="2">
        <v>71</v>
      </c>
      <c r="E4585" s="2" t="s">
        <v>14</v>
      </c>
      <c r="F4585" s="2" t="s">
        <v>16</v>
      </c>
      <c r="G4585" s="7">
        <v>90.1</v>
      </c>
      <c r="H4585" s="7">
        <v>6310.9</v>
      </c>
      <c r="I4585" s="2" t="s">
        <v>15</v>
      </c>
      <c r="J4585" s="2" t="s">
        <v>15</v>
      </c>
      <c r="K4585" s="2" t="s">
        <v>17</v>
      </c>
      <c r="L4585" s="7">
        <v>6310.9</v>
      </c>
      <c r="M4585" s="2" t="str">
        <f>_xlfn.IFS(TelecomData[[#This Row],[TenureMonths]]&lt;=12, "0-1 Year", TelecomData[[#This Row],[TenureMonths]]&lt;=36, "1-3 Years", TelecomData[[#This Row],[TenureMonths]]&gt;36, "3+ Years")</f>
        <v>3+ Years</v>
      </c>
      <c r="N4585" s="2" t="str">
        <f>IF(TelecomData[[#This Row],[CleanedTotalCharges]]&gt;=2500,"High Spend", "Standard Spend")</f>
        <v>High Spend</v>
      </c>
    </row>
    <row r="4586" spans="1:14" x14ac:dyDescent="0.3">
      <c r="A4586" s="1" t="s">
        <v>4610</v>
      </c>
      <c r="B4586" s="2" t="s">
        <v>19</v>
      </c>
      <c r="C4586" s="2" t="s">
        <v>35</v>
      </c>
      <c r="D4586" s="2">
        <v>69</v>
      </c>
      <c r="E4586" s="2" t="s">
        <v>14</v>
      </c>
      <c r="F4586" s="2" t="s">
        <v>16</v>
      </c>
      <c r="G4586" s="7">
        <v>74.099999999999994</v>
      </c>
      <c r="H4586" s="7">
        <v>5031</v>
      </c>
      <c r="I4586" s="2" t="s">
        <v>15</v>
      </c>
      <c r="J4586" s="2" t="s">
        <v>15</v>
      </c>
      <c r="K4586" s="2" t="s">
        <v>29</v>
      </c>
      <c r="L4586" s="7">
        <v>5031</v>
      </c>
      <c r="M4586" s="2" t="str">
        <f>_xlfn.IFS(TelecomData[[#This Row],[TenureMonths]]&lt;=12, "0-1 Year", TelecomData[[#This Row],[TenureMonths]]&lt;=36, "1-3 Years", TelecomData[[#This Row],[TenureMonths]]&gt;36, "3+ Years")</f>
        <v>3+ Years</v>
      </c>
      <c r="N4586" s="2" t="str">
        <f>IF(TelecomData[[#This Row],[CleanedTotalCharges]]&gt;=2500,"High Spend", "Standard Spend")</f>
        <v>High Spend</v>
      </c>
    </row>
    <row r="4587" spans="1:14" x14ac:dyDescent="0.3">
      <c r="A4587" s="1" t="s">
        <v>4611</v>
      </c>
      <c r="B4587" s="2" t="s">
        <v>12</v>
      </c>
      <c r="C4587" s="2" t="s">
        <v>13</v>
      </c>
      <c r="D4587" s="2">
        <v>1</v>
      </c>
      <c r="E4587" s="2" t="s">
        <v>26</v>
      </c>
      <c r="F4587" s="2" t="s">
        <v>15</v>
      </c>
      <c r="G4587" s="7">
        <v>85.05</v>
      </c>
      <c r="H4587" s="7">
        <v>85.05</v>
      </c>
      <c r="I4587" s="2" t="s">
        <v>16</v>
      </c>
      <c r="J4587" s="2" t="s">
        <v>16</v>
      </c>
      <c r="K4587" s="2" t="s">
        <v>17</v>
      </c>
      <c r="L4587" s="7">
        <v>85.05</v>
      </c>
      <c r="M4587" s="2" t="str">
        <f>_xlfn.IFS(TelecomData[[#This Row],[TenureMonths]]&lt;=12, "0-1 Year", TelecomData[[#This Row],[TenureMonths]]&lt;=36, "1-3 Years", TelecomData[[#This Row],[TenureMonths]]&gt;36, "3+ Years")</f>
        <v>0-1 Year</v>
      </c>
      <c r="N4587" s="2" t="str">
        <f>IF(TelecomData[[#This Row],[CleanedTotalCharges]]&gt;=2500,"High Spend", "Standard Spend")</f>
        <v>Standard Spend</v>
      </c>
    </row>
    <row r="4588" spans="1:14" x14ac:dyDescent="0.3">
      <c r="A4588" s="1" t="s">
        <v>4612</v>
      </c>
      <c r="B4588" s="2" t="s">
        <v>12</v>
      </c>
      <c r="C4588" s="2" t="s">
        <v>35</v>
      </c>
      <c r="D4588" s="2">
        <v>72</v>
      </c>
      <c r="E4588" s="2" t="s">
        <v>26</v>
      </c>
      <c r="F4588" s="2" t="s">
        <v>16</v>
      </c>
      <c r="G4588" s="7">
        <v>118.75</v>
      </c>
      <c r="H4588" s="7">
        <v>8672.4500000000007</v>
      </c>
      <c r="I4588" s="2" t="s">
        <v>15</v>
      </c>
      <c r="J4588" s="2" t="s">
        <v>16</v>
      </c>
      <c r="K4588" s="2" t="s">
        <v>24</v>
      </c>
      <c r="L4588" s="7">
        <v>8672.4500000000007</v>
      </c>
      <c r="M4588" s="2" t="str">
        <f>_xlfn.IFS(TelecomData[[#This Row],[TenureMonths]]&lt;=12, "0-1 Year", TelecomData[[#This Row],[TenureMonths]]&lt;=36, "1-3 Years", TelecomData[[#This Row],[TenureMonths]]&gt;36, "3+ Years")</f>
        <v>3+ Years</v>
      </c>
      <c r="N4588" s="2" t="str">
        <f>IF(TelecomData[[#This Row],[CleanedTotalCharges]]&gt;=2500,"High Spend", "Standard Spend")</f>
        <v>High Spend</v>
      </c>
    </row>
    <row r="4589" spans="1:14" x14ac:dyDescent="0.3">
      <c r="A4589" s="1" t="s">
        <v>4613</v>
      </c>
      <c r="B4589" s="2" t="s">
        <v>12</v>
      </c>
      <c r="C4589" s="2" t="s">
        <v>13</v>
      </c>
      <c r="D4589" s="2">
        <v>26</v>
      </c>
      <c r="E4589" s="2" t="s">
        <v>26</v>
      </c>
      <c r="F4589" s="2" t="s">
        <v>16</v>
      </c>
      <c r="G4589" s="7">
        <v>85.9</v>
      </c>
      <c r="H4589" s="7">
        <v>2196.4499999999998</v>
      </c>
      <c r="I4589" s="2" t="s">
        <v>15</v>
      </c>
      <c r="J4589" s="2" t="s">
        <v>15</v>
      </c>
      <c r="K4589" s="2" t="s">
        <v>29</v>
      </c>
      <c r="L4589" s="7">
        <v>2196.4499999999998</v>
      </c>
      <c r="M4589" s="2" t="str">
        <f>_xlfn.IFS(TelecomData[[#This Row],[TenureMonths]]&lt;=12, "0-1 Year", TelecomData[[#This Row],[TenureMonths]]&lt;=36, "1-3 Years", TelecomData[[#This Row],[TenureMonths]]&gt;36, "3+ Years")</f>
        <v>1-3 Years</v>
      </c>
      <c r="N4589" s="2" t="str">
        <f>IF(TelecomData[[#This Row],[CleanedTotalCharges]]&gt;=2500,"High Spend", "Standard Spend")</f>
        <v>Standard Spend</v>
      </c>
    </row>
    <row r="4590" spans="1:14" x14ac:dyDescent="0.3">
      <c r="A4590" s="1" t="s">
        <v>4614</v>
      </c>
      <c r="B4590" s="2" t="s">
        <v>12</v>
      </c>
      <c r="C4590" s="2" t="s">
        <v>13</v>
      </c>
      <c r="D4590" s="2">
        <v>33</v>
      </c>
      <c r="E4590" s="2" t="s">
        <v>26</v>
      </c>
      <c r="F4590" s="2" t="s">
        <v>16</v>
      </c>
      <c r="G4590" s="7">
        <v>95</v>
      </c>
      <c r="H4590" s="7">
        <v>3008.15</v>
      </c>
      <c r="I4590" s="2" t="s">
        <v>15</v>
      </c>
      <c r="J4590" s="2" t="s">
        <v>16</v>
      </c>
      <c r="K4590" s="2" t="s">
        <v>29</v>
      </c>
      <c r="L4590" s="7">
        <v>3008.15</v>
      </c>
      <c r="M4590" s="2" t="str">
        <f>_xlfn.IFS(TelecomData[[#This Row],[TenureMonths]]&lt;=12, "0-1 Year", TelecomData[[#This Row],[TenureMonths]]&lt;=36, "1-3 Years", TelecomData[[#This Row],[TenureMonths]]&gt;36, "3+ Years")</f>
        <v>1-3 Years</v>
      </c>
      <c r="N4590" s="2" t="str">
        <f>IF(TelecomData[[#This Row],[CleanedTotalCharges]]&gt;=2500,"High Spend", "Standard Spend")</f>
        <v>High Spend</v>
      </c>
    </row>
    <row r="4591" spans="1:14" x14ac:dyDescent="0.3">
      <c r="A4591" s="1" t="s">
        <v>4615</v>
      </c>
      <c r="B4591" s="2" t="s">
        <v>12</v>
      </c>
      <c r="C4591" s="2" t="s">
        <v>35</v>
      </c>
      <c r="D4591" s="2">
        <v>10</v>
      </c>
      <c r="E4591" s="2" t="s">
        <v>15</v>
      </c>
      <c r="F4591" s="2" t="s">
        <v>36</v>
      </c>
      <c r="G4591" s="7">
        <v>20.149999999999999</v>
      </c>
      <c r="H4591" s="7">
        <v>220.8</v>
      </c>
      <c r="I4591" s="2" t="s">
        <v>15</v>
      </c>
      <c r="J4591" s="2" t="s">
        <v>15</v>
      </c>
      <c r="K4591" s="2" t="s">
        <v>21</v>
      </c>
      <c r="L4591" s="7">
        <v>220.8</v>
      </c>
      <c r="M4591" s="2" t="str">
        <f>_xlfn.IFS(TelecomData[[#This Row],[TenureMonths]]&lt;=12, "0-1 Year", TelecomData[[#This Row],[TenureMonths]]&lt;=36, "1-3 Years", TelecomData[[#This Row],[TenureMonths]]&gt;36, "3+ Years")</f>
        <v>0-1 Year</v>
      </c>
      <c r="N4591" s="2" t="str">
        <f>IF(TelecomData[[#This Row],[CleanedTotalCharges]]&gt;=2500,"High Spend", "Standard Spend")</f>
        <v>Standard Spend</v>
      </c>
    </row>
    <row r="4592" spans="1:14" x14ac:dyDescent="0.3">
      <c r="A4592" s="1" t="s">
        <v>4616</v>
      </c>
      <c r="B4592" s="2" t="s">
        <v>12</v>
      </c>
      <c r="C4592" s="2" t="s">
        <v>35</v>
      </c>
      <c r="D4592" s="2">
        <v>57</v>
      </c>
      <c r="E4592" s="2" t="s">
        <v>26</v>
      </c>
      <c r="F4592" s="2" t="s">
        <v>16</v>
      </c>
      <c r="G4592" s="7">
        <v>101.3</v>
      </c>
      <c r="H4592" s="7">
        <v>5779.6</v>
      </c>
      <c r="I4592" s="2" t="s">
        <v>15</v>
      </c>
      <c r="J4592" s="2" t="s">
        <v>15</v>
      </c>
      <c r="K4592" s="2" t="s">
        <v>29</v>
      </c>
      <c r="L4592" s="7">
        <v>5779.6</v>
      </c>
      <c r="M4592" s="2" t="str">
        <f>_xlfn.IFS(TelecomData[[#This Row],[TenureMonths]]&lt;=12, "0-1 Year", TelecomData[[#This Row],[TenureMonths]]&lt;=36, "1-3 Years", TelecomData[[#This Row],[TenureMonths]]&gt;36, "3+ Years")</f>
        <v>3+ Years</v>
      </c>
      <c r="N4592" s="2" t="str">
        <f>IF(TelecomData[[#This Row],[CleanedTotalCharges]]&gt;=2500,"High Spend", "Standard Spend")</f>
        <v>High Spend</v>
      </c>
    </row>
    <row r="4593" spans="1:14" x14ac:dyDescent="0.3">
      <c r="A4593" s="1" t="s">
        <v>4617</v>
      </c>
      <c r="B4593" s="2" t="s">
        <v>12</v>
      </c>
      <c r="C4593" s="2" t="s">
        <v>13</v>
      </c>
      <c r="D4593" s="2">
        <v>10</v>
      </c>
      <c r="E4593" s="2" t="s">
        <v>15</v>
      </c>
      <c r="F4593" s="2" t="s">
        <v>36</v>
      </c>
      <c r="G4593" s="7">
        <v>21.2</v>
      </c>
      <c r="H4593" s="7">
        <v>222.65</v>
      </c>
      <c r="I4593" s="2" t="s">
        <v>15</v>
      </c>
      <c r="J4593" s="2" t="s">
        <v>16</v>
      </c>
      <c r="K4593" s="2" t="s">
        <v>17</v>
      </c>
      <c r="L4593" s="7">
        <v>222.65</v>
      </c>
      <c r="M4593" s="2" t="str">
        <f>_xlfn.IFS(TelecomData[[#This Row],[TenureMonths]]&lt;=12, "0-1 Year", TelecomData[[#This Row],[TenureMonths]]&lt;=36, "1-3 Years", TelecomData[[#This Row],[TenureMonths]]&gt;36, "3+ Years")</f>
        <v>0-1 Year</v>
      </c>
      <c r="N4593" s="2" t="str">
        <f>IF(TelecomData[[#This Row],[CleanedTotalCharges]]&gt;=2500,"High Spend", "Standard Spend")</f>
        <v>Standard Spend</v>
      </c>
    </row>
    <row r="4594" spans="1:14" x14ac:dyDescent="0.3">
      <c r="A4594" s="1" t="s">
        <v>4618</v>
      </c>
      <c r="B4594" s="2" t="s">
        <v>12</v>
      </c>
      <c r="C4594" s="2" t="s">
        <v>20</v>
      </c>
      <c r="D4594" s="2">
        <v>39</v>
      </c>
      <c r="E4594" s="2" t="s">
        <v>15</v>
      </c>
      <c r="F4594" s="2" t="s">
        <v>36</v>
      </c>
      <c r="G4594" s="7">
        <v>24.2</v>
      </c>
      <c r="H4594" s="7">
        <v>914.6</v>
      </c>
      <c r="I4594" s="2" t="s">
        <v>15</v>
      </c>
      <c r="J4594" s="2" t="s">
        <v>16</v>
      </c>
      <c r="K4594" s="2" t="s">
        <v>21</v>
      </c>
      <c r="L4594" s="7">
        <v>914.6</v>
      </c>
      <c r="M4594" s="2" t="str">
        <f>_xlfn.IFS(TelecomData[[#This Row],[TenureMonths]]&lt;=12, "0-1 Year", TelecomData[[#This Row],[TenureMonths]]&lt;=36, "1-3 Years", TelecomData[[#This Row],[TenureMonths]]&gt;36, "3+ Years")</f>
        <v>3+ Years</v>
      </c>
      <c r="N4594" s="2" t="str">
        <f>IF(TelecomData[[#This Row],[CleanedTotalCharges]]&gt;=2500,"High Spend", "Standard Spend")</f>
        <v>Standard Spend</v>
      </c>
    </row>
    <row r="4595" spans="1:14" x14ac:dyDescent="0.3">
      <c r="A4595" s="1" t="s">
        <v>4619</v>
      </c>
      <c r="B4595" s="2" t="s">
        <v>12</v>
      </c>
      <c r="C4595" s="2" t="s">
        <v>13</v>
      </c>
      <c r="D4595" s="2">
        <v>11</v>
      </c>
      <c r="E4595" s="2" t="s">
        <v>15</v>
      </c>
      <c r="F4595" s="2" t="s">
        <v>36</v>
      </c>
      <c r="G4595" s="7">
        <v>20.3</v>
      </c>
      <c r="H4595" s="7">
        <v>246.3</v>
      </c>
      <c r="I4595" s="2" t="s">
        <v>15</v>
      </c>
      <c r="J4595" s="2" t="s">
        <v>15</v>
      </c>
      <c r="K4595" s="2" t="s">
        <v>24</v>
      </c>
      <c r="L4595" s="7">
        <v>246.3</v>
      </c>
      <c r="M4595" s="2" t="str">
        <f>_xlfn.IFS(TelecomData[[#This Row],[TenureMonths]]&lt;=12, "0-1 Year", TelecomData[[#This Row],[TenureMonths]]&lt;=36, "1-3 Years", TelecomData[[#This Row],[TenureMonths]]&gt;36, "3+ Years")</f>
        <v>0-1 Year</v>
      </c>
      <c r="N4595" s="2" t="str">
        <f>IF(TelecomData[[#This Row],[CleanedTotalCharges]]&gt;=2500,"High Spend", "Standard Spend")</f>
        <v>Standard Spend</v>
      </c>
    </row>
    <row r="4596" spans="1:14" x14ac:dyDescent="0.3">
      <c r="A4596" s="1" t="s">
        <v>4620</v>
      </c>
      <c r="B4596" s="2" t="s">
        <v>12</v>
      </c>
      <c r="C4596" s="2" t="s">
        <v>13</v>
      </c>
      <c r="D4596" s="2">
        <v>21</v>
      </c>
      <c r="E4596" s="2" t="s">
        <v>26</v>
      </c>
      <c r="F4596" s="2" t="s">
        <v>16</v>
      </c>
      <c r="G4596" s="7">
        <v>102.8</v>
      </c>
      <c r="H4596" s="7">
        <v>2110.15</v>
      </c>
      <c r="I4596" s="2" t="s">
        <v>16</v>
      </c>
      <c r="J4596" s="2" t="s">
        <v>16</v>
      </c>
      <c r="K4596" s="2" t="s">
        <v>17</v>
      </c>
      <c r="L4596" s="7">
        <v>2110.15</v>
      </c>
      <c r="M4596" s="2" t="str">
        <f>_xlfn.IFS(TelecomData[[#This Row],[TenureMonths]]&lt;=12, "0-1 Year", TelecomData[[#This Row],[TenureMonths]]&lt;=36, "1-3 Years", TelecomData[[#This Row],[TenureMonths]]&gt;36, "3+ Years")</f>
        <v>1-3 Years</v>
      </c>
      <c r="N4596" s="2" t="str">
        <f>IF(TelecomData[[#This Row],[CleanedTotalCharges]]&gt;=2500,"High Spend", "Standard Spend")</f>
        <v>Standard Spend</v>
      </c>
    </row>
    <row r="4597" spans="1:14" x14ac:dyDescent="0.3">
      <c r="A4597" s="1" t="s">
        <v>4621</v>
      </c>
      <c r="B4597" s="2" t="s">
        <v>12</v>
      </c>
      <c r="C4597" s="2" t="s">
        <v>35</v>
      </c>
      <c r="D4597" s="2">
        <v>68</v>
      </c>
      <c r="E4597" s="2" t="s">
        <v>14</v>
      </c>
      <c r="F4597" s="2" t="s">
        <v>16</v>
      </c>
      <c r="G4597" s="7">
        <v>85.3</v>
      </c>
      <c r="H4597" s="7">
        <v>5560</v>
      </c>
      <c r="I4597" s="2" t="s">
        <v>15</v>
      </c>
      <c r="J4597" s="2" t="s">
        <v>15</v>
      </c>
      <c r="K4597" s="2" t="s">
        <v>24</v>
      </c>
      <c r="L4597" s="7">
        <v>5560</v>
      </c>
      <c r="M4597" s="2" t="str">
        <f>_xlfn.IFS(TelecomData[[#This Row],[TenureMonths]]&lt;=12, "0-1 Year", TelecomData[[#This Row],[TenureMonths]]&lt;=36, "1-3 Years", TelecomData[[#This Row],[TenureMonths]]&gt;36, "3+ Years")</f>
        <v>3+ Years</v>
      </c>
      <c r="N4597" s="2" t="str">
        <f>IF(TelecomData[[#This Row],[CleanedTotalCharges]]&gt;=2500,"High Spend", "Standard Spend")</f>
        <v>High Spend</v>
      </c>
    </row>
    <row r="4598" spans="1:14" x14ac:dyDescent="0.3">
      <c r="A4598" s="1" t="s">
        <v>4622</v>
      </c>
      <c r="B4598" s="2" t="s">
        <v>19</v>
      </c>
      <c r="C4598" s="2" t="s">
        <v>20</v>
      </c>
      <c r="D4598" s="2">
        <v>18</v>
      </c>
      <c r="E4598" s="2" t="s">
        <v>26</v>
      </c>
      <c r="F4598" s="2" t="s">
        <v>15</v>
      </c>
      <c r="G4598" s="7">
        <v>89.6</v>
      </c>
      <c r="H4598" s="7">
        <v>1633</v>
      </c>
      <c r="I4598" s="2" t="s">
        <v>15</v>
      </c>
      <c r="J4598" s="2" t="s">
        <v>16</v>
      </c>
      <c r="K4598" s="2" t="s">
        <v>29</v>
      </c>
      <c r="L4598" s="7">
        <v>1633</v>
      </c>
      <c r="M4598" s="2" t="str">
        <f>_xlfn.IFS(TelecomData[[#This Row],[TenureMonths]]&lt;=12, "0-1 Year", TelecomData[[#This Row],[TenureMonths]]&lt;=36, "1-3 Years", TelecomData[[#This Row],[TenureMonths]]&gt;36, "3+ Years")</f>
        <v>1-3 Years</v>
      </c>
      <c r="N4598" s="2" t="str">
        <f>IF(TelecomData[[#This Row],[CleanedTotalCharges]]&gt;=2500,"High Spend", "Standard Spend")</f>
        <v>Standard Spend</v>
      </c>
    </row>
    <row r="4599" spans="1:14" x14ac:dyDescent="0.3">
      <c r="A4599" s="1" t="s">
        <v>4623</v>
      </c>
      <c r="B4599" s="2" t="s">
        <v>12</v>
      </c>
      <c r="C4599" s="2" t="s">
        <v>13</v>
      </c>
      <c r="D4599" s="2">
        <v>6</v>
      </c>
      <c r="E4599" s="2" t="s">
        <v>26</v>
      </c>
      <c r="F4599" s="2" t="s">
        <v>16</v>
      </c>
      <c r="G4599" s="7">
        <v>99.95</v>
      </c>
      <c r="H4599" s="7">
        <v>547.65</v>
      </c>
      <c r="I4599" s="2" t="s">
        <v>16</v>
      </c>
      <c r="J4599" s="2" t="s">
        <v>16</v>
      </c>
      <c r="K4599" s="2" t="s">
        <v>21</v>
      </c>
      <c r="L4599" s="7">
        <v>547.65</v>
      </c>
      <c r="M4599" s="2" t="str">
        <f>_xlfn.IFS(TelecomData[[#This Row],[TenureMonths]]&lt;=12, "0-1 Year", TelecomData[[#This Row],[TenureMonths]]&lt;=36, "1-3 Years", TelecomData[[#This Row],[TenureMonths]]&gt;36, "3+ Years")</f>
        <v>0-1 Year</v>
      </c>
      <c r="N4599" s="2" t="str">
        <f>IF(TelecomData[[#This Row],[CleanedTotalCharges]]&gt;=2500,"High Spend", "Standard Spend")</f>
        <v>Standard Spend</v>
      </c>
    </row>
    <row r="4600" spans="1:14" x14ac:dyDescent="0.3">
      <c r="A4600" s="1" t="s">
        <v>4624</v>
      </c>
      <c r="B4600" s="2" t="s">
        <v>19</v>
      </c>
      <c r="C4600" s="2" t="s">
        <v>13</v>
      </c>
      <c r="D4600" s="2">
        <v>18</v>
      </c>
      <c r="E4600" s="2" t="s">
        <v>14</v>
      </c>
      <c r="F4600" s="2" t="s">
        <v>15</v>
      </c>
      <c r="G4600" s="7">
        <v>56.25</v>
      </c>
      <c r="H4600" s="7">
        <v>969.85</v>
      </c>
      <c r="I4600" s="2" t="s">
        <v>15</v>
      </c>
      <c r="J4600" s="2" t="s">
        <v>15</v>
      </c>
      <c r="K4600" s="2" t="s">
        <v>21</v>
      </c>
      <c r="L4600" s="7">
        <v>969.85</v>
      </c>
      <c r="M4600" s="2" t="str">
        <f>_xlfn.IFS(TelecomData[[#This Row],[TenureMonths]]&lt;=12, "0-1 Year", TelecomData[[#This Row],[TenureMonths]]&lt;=36, "1-3 Years", TelecomData[[#This Row],[TenureMonths]]&gt;36, "3+ Years")</f>
        <v>1-3 Years</v>
      </c>
      <c r="N4600" s="2" t="str">
        <f>IF(TelecomData[[#This Row],[CleanedTotalCharges]]&gt;=2500,"High Spend", "Standard Spend")</f>
        <v>Standard Spend</v>
      </c>
    </row>
    <row r="4601" spans="1:14" x14ac:dyDescent="0.3">
      <c r="A4601" s="1" t="s">
        <v>4625</v>
      </c>
      <c r="B4601" s="2" t="s">
        <v>12</v>
      </c>
      <c r="C4601" s="2" t="s">
        <v>20</v>
      </c>
      <c r="D4601" s="2">
        <v>52</v>
      </c>
      <c r="E4601" s="2" t="s">
        <v>14</v>
      </c>
      <c r="F4601" s="2" t="s">
        <v>15</v>
      </c>
      <c r="G4601" s="7">
        <v>50.95</v>
      </c>
      <c r="H4601" s="7">
        <v>2610.65</v>
      </c>
      <c r="I4601" s="2" t="s">
        <v>15</v>
      </c>
      <c r="J4601" s="2" t="s">
        <v>16</v>
      </c>
      <c r="K4601" s="2" t="s">
        <v>24</v>
      </c>
      <c r="L4601" s="7">
        <v>2610.65</v>
      </c>
      <c r="M4601" s="2" t="str">
        <f>_xlfn.IFS(TelecomData[[#This Row],[TenureMonths]]&lt;=12, "0-1 Year", TelecomData[[#This Row],[TenureMonths]]&lt;=36, "1-3 Years", TelecomData[[#This Row],[TenureMonths]]&gt;36, "3+ Years")</f>
        <v>3+ Years</v>
      </c>
      <c r="N4601" s="2" t="str">
        <f>IF(TelecomData[[#This Row],[CleanedTotalCharges]]&gt;=2500,"High Spend", "Standard Spend")</f>
        <v>High Spend</v>
      </c>
    </row>
    <row r="4602" spans="1:14" x14ac:dyDescent="0.3">
      <c r="A4602" s="1" t="s">
        <v>4626</v>
      </c>
      <c r="B4602" s="2" t="s">
        <v>19</v>
      </c>
      <c r="C4602" s="2" t="s">
        <v>35</v>
      </c>
      <c r="D4602" s="2">
        <v>56</v>
      </c>
      <c r="E4602" s="2" t="s">
        <v>26</v>
      </c>
      <c r="F4602" s="2" t="s">
        <v>16</v>
      </c>
      <c r="G4602" s="7">
        <v>115.85</v>
      </c>
      <c r="H4602" s="7">
        <v>6567.9</v>
      </c>
      <c r="I4602" s="2" t="s">
        <v>15</v>
      </c>
      <c r="J4602" s="2" t="s">
        <v>15</v>
      </c>
      <c r="K4602" s="2" t="s">
        <v>21</v>
      </c>
      <c r="L4602" s="7">
        <v>6567.9</v>
      </c>
      <c r="M4602" s="2" t="str">
        <f>_xlfn.IFS(TelecomData[[#This Row],[TenureMonths]]&lt;=12, "0-1 Year", TelecomData[[#This Row],[TenureMonths]]&lt;=36, "1-3 Years", TelecomData[[#This Row],[TenureMonths]]&gt;36, "3+ Years")</f>
        <v>3+ Years</v>
      </c>
      <c r="N4602" s="2" t="str">
        <f>IF(TelecomData[[#This Row],[CleanedTotalCharges]]&gt;=2500,"High Spend", "Standard Spend")</f>
        <v>High Spend</v>
      </c>
    </row>
    <row r="4603" spans="1:14" x14ac:dyDescent="0.3">
      <c r="A4603" s="1" t="s">
        <v>4627</v>
      </c>
      <c r="B4603" s="2" t="s">
        <v>19</v>
      </c>
      <c r="C4603" s="2" t="s">
        <v>13</v>
      </c>
      <c r="D4603" s="2">
        <v>45</v>
      </c>
      <c r="E4603" s="2" t="s">
        <v>26</v>
      </c>
      <c r="F4603" s="2" t="s">
        <v>16</v>
      </c>
      <c r="G4603" s="7">
        <v>103.65</v>
      </c>
      <c r="H4603" s="7">
        <v>4747.8500000000004</v>
      </c>
      <c r="I4603" s="2" t="s">
        <v>15</v>
      </c>
      <c r="J4603" s="2" t="s">
        <v>16</v>
      </c>
      <c r="K4603" s="2" t="s">
        <v>24</v>
      </c>
      <c r="L4603" s="7">
        <v>4747.8500000000004</v>
      </c>
      <c r="M4603" s="2" t="str">
        <f>_xlfn.IFS(TelecomData[[#This Row],[TenureMonths]]&lt;=12, "0-1 Year", TelecomData[[#This Row],[TenureMonths]]&lt;=36, "1-3 Years", TelecomData[[#This Row],[TenureMonths]]&gt;36, "3+ Years")</f>
        <v>3+ Years</v>
      </c>
      <c r="N4603" s="2" t="str">
        <f>IF(TelecomData[[#This Row],[CleanedTotalCharges]]&gt;=2500,"High Spend", "Standard Spend")</f>
        <v>High Spend</v>
      </c>
    </row>
    <row r="4604" spans="1:14" x14ac:dyDescent="0.3">
      <c r="A4604" s="1" t="s">
        <v>4628</v>
      </c>
      <c r="B4604" s="2" t="s">
        <v>12</v>
      </c>
      <c r="C4604" s="2" t="s">
        <v>35</v>
      </c>
      <c r="D4604" s="2">
        <v>67</v>
      </c>
      <c r="E4604" s="2" t="s">
        <v>15</v>
      </c>
      <c r="F4604" s="2" t="s">
        <v>36</v>
      </c>
      <c r="G4604" s="7">
        <v>26.1</v>
      </c>
      <c r="H4604" s="7">
        <v>1759.55</v>
      </c>
      <c r="I4604" s="2" t="s">
        <v>15</v>
      </c>
      <c r="J4604" s="2" t="s">
        <v>16</v>
      </c>
      <c r="K4604" s="2" t="s">
        <v>21</v>
      </c>
      <c r="L4604" s="7">
        <v>1759.55</v>
      </c>
      <c r="M4604" s="2" t="str">
        <f>_xlfn.IFS(TelecomData[[#This Row],[TenureMonths]]&lt;=12, "0-1 Year", TelecomData[[#This Row],[TenureMonths]]&lt;=36, "1-3 Years", TelecomData[[#This Row],[TenureMonths]]&gt;36, "3+ Years")</f>
        <v>3+ Years</v>
      </c>
      <c r="N4604" s="2" t="str">
        <f>IF(TelecomData[[#This Row],[CleanedTotalCharges]]&gt;=2500,"High Spend", "Standard Spend")</f>
        <v>Standard Spend</v>
      </c>
    </row>
    <row r="4605" spans="1:14" x14ac:dyDescent="0.3">
      <c r="A4605" s="1" t="s">
        <v>4629</v>
      </c>
      <c r="B4605" s="2" t="s">
        <v>19</v>
      </c>
      <c r="C4605" s="2" t="s">
        <v>13</v>
      </c>
      <c r="D4605" s="2">
        <v>3</v>
      </c>
      <c r="E4605" s="2" t="s">
        <v>14</v>
      </c>
      <c r="F4605" s="2" t="s">
        <v>16</v>
      </c>
      <c r="G4605" s="7">
        <v>35.1</v>
      </c>
      <c r="H4605" s="7">
        <v>101.1</v>
      </c>
      <c r="I4605" s="2" t="s">
        <v>15</v>
      </c>
      <c r="J4605" s="2" t="s">
        <v>15</v>
      </c>
      <c r="K4605" s="2" t="s">
        <v>21</v>
      </c>
      <c r="L4605" s="7">
        <v>101.1</v>
      </c>
      <c r="M4605" s="2" t="str">
        <f>_xlfn.IFS(TelecomData[[#This Row],[TenureMonths]]&lt;=12, "0-1 Year", TelecomData[[#This Row],[TenureMonths]]&lt;=36, "1-3 Years", TelecomData[[#This Row],[TenureMonths]]&gt;36, "3+ Years")</f>
        <v>0-1 Year</v>
      </c>
      <c r="N4605" s="2" t="str">
        <f>IF(TelecomData[[#This Row],[CleanedTotalCharges]]&gt;=2500,"High Spend", "Standard Spend")</f>
        <v>Standard Spend</v>
      </c>
    </row>
    <row r="4606" spans="1:14" x14ac:dyDescent="0.3">
      <c r="A4606" s="1" t="s">
        <v>4630</v>
      </c>
      <c r="B4606" s="2" t="s">
        <v>19</v>
      </c>
      <c r="C4606" s="2" t="s">
        <v>13</v>
      </c>
      <c r="D4606" s="2">
        <v>65</v>
      </c>
      <c r="E4606" s="2" t="s">
        <v>26</v>
      </c>
      <c r="F4606" s="2" t="s">
        <v>15</v>
      </c>
      <c r="G4606" s="7">
        <v>99.1</v>
      </c>
      <c r="H4606" s="7">
        <v>6496.15</v>
      </c>
      <c r="I4606" s="2" t="s">
        <v>15</v>
      </c>
      <c r="J4606" s="2" t="s">
        <v>16</v>
      </c>
      <c r="K4606" s="2" t="s">
        <v>24</v>
      </c>
      <c r="L4606" s="7">
        <v>6496.15</v>
      </c>
      <c r="M4606" s="2" t="str">
        <f>_xlfn.IFS(TelecomData[[#This Row],[TenureMonths]]&lt;=12, "0-1 Year", TelecomData[[#This Row],[TenureMonths]]&lt;=36, "1-3 Years", TelecomData[[#This Row],[TenureMonths]]&gt;36, "3+ Years")</f>
        <v>3+ Years</v>
      </c>
      <c r="N4606" s="2" t="str">
        <f>IF(TelecomData[[#This Row],[CleanedTotalCharges]]&gt;=2500,"High Spend", "Standard Spend")</f>
        <v>High Spend</v>
      </c>
    </row>
    <row r="4607" spans="1:14" x14ac:dyDescent="0.3">
      <c r="A4607" s="1" t="s">
        <v>4631</v>
      </c>
      <c r="B4607" s="2" t="s">
        <v>19</v>
      </c>
      <c r="C4607" s="2" t="s">
        <v>35</v>
      </c>
      <c r="D4607" s="2">
        <v>63</v>
      </c>
      <c r="E4607" s="2" t="s">
        <v>14</v>
      </c>
      <c r="F4607" s="2" t="s">
        <v>16</v>
      </c>
      <c r="G4607" s="7">
        <v>67.25</v>
      </c>
      <c r="H4607" s="7">
        <v>4234.1499999999996</v>
      </c>
      <c r="I4607" s="2" t="s">
        <v>15</v>
      </c>
      <c r="J4607" s="2" t="s">
        <v>15</v>
      </c>
      <c r="K4607" s="2" t="s">
        <v>21</v>
      </c>
      <c r="L4607" s="7">
        <v>4234.1499999999996</v>
      </c>
      <c r="M4607" s="2" t="str">
        <f>_xlfn.IFS(TelecomData[[#This Row],[TenureMonths]]&lt;=12, "0-1 Year", TelecomData[[#This Row],[TenureMonths]]&lt;=36, "1-3 Years", TelecomData[[#This Row],[TenureMonths]]&gt;36, "3+ Years")</f>
        <v>3+ Years</v>
      </c>
      <c r="N4607" s="2" t="str">
        <f>IF(TelecomData[[#This Row],[CleanedTotalCharges]]&gt;=2500,"High Spend", "Standard Spend")</f>
        <v>High Spend</v>
      </c>
    </row>
    <row r="4608" spans="1:14" x14ac:dyDescent="0.3">
      <c r="A4608" s="1" t="s">
        <v>4632</v>
      </c>
      <c r="B4608" s="2" t="s">
        <v>12</v>
      </c>
      <c r="C4608" s="2" t="s">
        <v>35</v>
      </c>
      <c r="D4608" s="2">
        <v>11</v>
      </c>
      <c r="E4608" s="2" t="s">
        <v>15</v>
      </c>
      <c r="F4608" s="2" t="s">
        <v>36</v>
      </c>
      <c r="G4608" s="7">
        <v>25</v>
      </c>
      <c r="H4608" s="7">
        <v>300.7</v>
      </c>
      <c r="I4608" s="2" t="s">
        <v>15</v>
      </c>
      <c r="J4608" s="2" t="s">
        <v>15</v>
      </c>
      <c r="K4608" s="2" t="s">
        <v>21</v>
      </c>
      <c r="L4608" s="7">
        <v>300.7</v>
      </c>
      <c r="M4608" s="2" t="str">
        <f>_xlfn.IFS(TelecomData[[#This Row],[TenureMonths]]&lt;=12, "0-1 Year", TelecomData[[#This Row],[TenureMonths]]&lt;=36, "1-3 Years", TelecomData[[#This Row],[TenureMonths]]&gt;36, "3+ Years")</f>
        <v>0-1 Year</v>
      </c>
      <c r="N4608" s="2" t="str">
        <f>IF(TelecomData[[#This Row],[CleanedTotalCharges]]&gt;=2500,"High Spend", "Standard Spend")</f>
        <v>Standard Spend</v>
      </c>
    </row>
    <row r="4609" spans="1:14" x14ac:dyDescent="0.3">
      <c r="A4609" s="1" t="s">
        <v>4633</v>
      </c>
      <c r="B4609" s="2" t="s">
        <v>19</v>
      </c>
      <c r="C4609" s="2" t="s">
        <v>13</v>
      </c>
      <c r="D4609" s="2">
        <v>1</v>
      </c>
      <c r="E4609" s="2" t="s">
        <v>14</v>
      </c>
      <c r="F4609" s="2" t="s">
        <v>16</v>
      </c>
      <c r="G4609" s="7">
        <v>59.55</v>
      </c>
      <c r="H4609" s="7">
        <v>59.55</v>
      </c>
      <c r="I4609" s="2" t="s">
        <v>15</v>
      </c>
      <c r="J4609" s="2" t="s">
        <v>16</v>
      </c>
      <c r="K4609" s="2" t="s">
        <v>21</v>
      </c>
      <c r="L4609" s="7">
        <v>59.55</v>
      </c>
      <c r="M4609" s="2" t="str">
        <f>_xlfn.IFS(TelecomData[[#This Row],[TenureMonths]]&lt;=12, "0-1 Year", TelecomData[[#This Row],[TenureMonths]]&lt;=36, "1-3 Years", TelecomData[[#This Row],[TenureMonths]]&gt;36, "3+ Years")</f>
        <v>0-1 Year</v>
      </c>
      <c r="N4609" s="2" t="str">
        <f>IF(TelecomData[[#This Row],[CleanedTotalCharges]]&gt;=2500,"High Spend", "Standard Spend")</f>
        <v>Standard Spend</v>
      </c>
    </row>
    <row r="4610" spans="1:14" x14ac:dyDescent="0.3">
      <c r="A4610" s="1" t="s">
        <v>4634</v>
      </c>
      <c r="B4610" s="2" t="s">
        <v>19</v>
      </c>
      <c r="C4610" s="2" t="s">
        <v>35</v>
      </c>
      <c r="D4610" s="2">
        <v>55</v>
      </c>
      <c r="E4610" s="2" t="s">
        <v>14</v>
      </c>
      <c r="F4610" s="2" t="s">
        <v>15</v>
      </c>
      <c r="G4610" s="7">
        <v>77.8</v>
      </c>
      <c r="H4610" s="7">
        <v>4323.3500000000004</v>
      </c>
      <c r="I4610" s="2" t="s">
        <v>15</v>
      </c>
      <c r="J4610" s="2" t="s">
        <v>16</v>
      </c>
      <c r="K4610" s="2" t="s">
        <v>24</v>
      </c>
      <c r="L4610" s="7">
        <v>4323.3500000000004</v>
      </c>
      <c r="M4610" s="2" t="str">
        <f>_xlfn.IFS(TelecomData[[#This Row],[TenureMonths]]&lt;=12, "0-1 Year", TelecomData[[#This Row],[TenureMonths]]&lt;=36, "1-3 Years", TelecomData[[#This Row],[TenureMonths]]&gt;36, "3+ Years")</f>
        <v>3+ Years</v>
      </c>
      <c r="N4610" s="2" t="str">
        <f>IF(TelecomData[[#This Row],[CleanedTotalCharges]]&gt;=2500,"High Spend", "Standard Spend")</f>
        <v>High Spend</v>
      </c>
    </row>
    <row r="4611" spans="1:14" x14ac:dyDescent="0.3">
      <c r="A4611" s="1" t="s">
        <v>4635</v>
      </c>
      <c r="B4611" s="2" t="s">
        <v>19</v>
      </c>
      <c r="C4611" s="2" t="s">
        <v>20</v>
      </c>
      <c r="D4611" s="2">
        <v>25</v>
      </c>
      <c r="E4611" s="2" t="s">
        <v>14</v>
      </c>
      <c r="F4611" s="2" t="s">
        <v>16</v>
      </c>
      <c r="G4611" s="7">
        <v>55.1</v>
      </c>
      <c r="H4611" s="7">
        <v>1466.1</v>
      </c>
      <c r="I4611" s="2" t="s">
        <v>15</v>
      </c>
      <c r="J4611" s="2" t="s">
        <v>16</v>
      </c>
      <c r="K4611" s="2" t="s">
        <v>21</v>
      </c>
      <c r="L4611" s="7">
        <v>1466.1</v>
      </c>
      <c r="M4611" s="2" t="str">
        <f>_xlfn.IFS(TelecomData[[#This Row],[TenureMonths]]&lt;=12, "0-1 Year", TelecomData[[#This Row],[TenureMonths]]&lt;=36, "1-3 Years", TelecomData[[#This Row],[TenureMonths]]&gt;36, "3+ Years")</f>
        <v>1-3 Years</v>
      </c>
      <c r="N4611" s="2" t="str">
        <f>IF(TelecomData[[#This Row],[CleanedTotalCharges]]&gt;=2500,"High Spend", "Standard Spend")</f>
        <v>Standard Spend</v>
      </c>
    </row>
    <row r="4612" spans="1:14" x14ac:dyDescent="0.3">
      <c r="A4612" s="1" t="s">
        <v>4636</v>
      </c>
      <c r="B4612" s="2" t="s">
        <v>19</v>
      </c>
      <c r="C4612" s="2" t="s">
        <v>20</v>
      </c>
      <c r="D4612" s="2">
        <v>72</v>
      </c>
      <c r="E4612" s="2" t="s">
        <v>26</v>
      </c>
      <c r="F4612" s="2" t="s">
        <v>16</v>
      </c>
      <c r="G4612" s="7">
        <v>117.8</v>
      </c>
      <c r="H4612" s="7">
        <v>8684.7999999999993</v>
      </c>
      <c r="I4612" s="2" t="s">
        <v>16</v>
      </c>
      <c r="J4612" s="2" t="s">
        <v>16</v>
      </c>
      <c r="K4612" s="2" t="s">
        <v>24</v>
      </c>
      <c r="L4612" s="7">
        <v>8684.7999999999993</v>
      </c>
      <c r="M4612" s="2" t="str">
        <f>_xlfn.IFS(TelecomData[[#This Row],[TenureMonths]]&lt;=12, "0-1 Year", TelecomData[[#This Row],[TenureMonths]]&lt;=36, "1-3 Years", TelecomData[[#This Row],[TenureMonths]]&gt;36, "3+ Years")</f>
        <v>3+ Years</v>
      </c>
      <c r="N4612" s="2" t="str">
        <f>IF(TelecomData[[#This Row],[CleanedTotalCharges]]&gt;=2500,"High Spend", "Standard Spend")</f>
        <v>High Spend</v>
      </c>
    </row>
    <row r="4613" spans="1:14" x14ac:dyDescent="0.3">
      <c r="A4613" s="1" t="s">
        <v>4637</v>
      </c>
      <c r="B4613" s="2" t="s">
        <v>12</v>
      </c>
      <c r="C4613" s="2" t="s">
        <v>35</v>
      </c>
      <c r="D4613" s="2">
        <v>72</v>
      </c>
      <c r="E4613" s="2" t="s">
        <v>15</v>
      </c>
      <c r="F4613" s="2" t="s">
        <v>36</v>
      </c>
      <c r="G4613" s="7">
        <v>24.15</v>
      </c>
      <c r="H4613" s="7">
        <v>1776.45</v>
      </c>
      <c r="I4613" s="2" t="s">
        <v>15</v>
      </c>
      <c r="J4613" s="2" t="s">
        <v>16</v>
      </c>
      <c r="K4613" s="2" t="s">
        <v>29</v>
      </c>
      <c r="L4613" s="7">
        <v>1776.45</v>
      </c>
      <c r="M4613" s="2" t="str">
        <f>_xlfn.IFS(TelecomData[[#This Row],[TenureMonths]]&lt;=12, "0-1 Year", TelecomData[[#This Row],[TenureMonths]]&lt;=36, "1-3 Years", TelecomData[[#This Row],[TenureMonths]]&gt;36, "3+ Years")</f>
        <v>3+ Years</v>
      </c>
      <c r="N4613" s="2" t="str">
        <f>IF(TelecomData[[#This Row],[CleanedTotalCharges]]&gt;=2500,"High Spend", "Standard Spend")</f>
        <v>Standard Spend</v>
      </c>
    </row>
    <row r="4614" spans="1:14" x14ac:dyDescent="0.3">
      <c r="A4614" s="1" t="s">
        <v>4638</v>
      </c>
      <c r="B4614" s="2" t="s">
        <v>12</v>
      </c>
      <c r="C4614" s="2" t="s">
        <v>35</v>
      </c>
      <c r="D4614" s="2">
        <v>65</v>
      </c>
      <c r="E4614" s="2" t="s">
        <v>14</v>
      </c>
      <c r="F4614" s="2" t="s">
        <v>16</v>
      </c>
      <c r="G4614" s="7">
        <v>45.25</v>
      </c>
      <c r="H4614" s="7">
        <v>2933.95</v>
      </c>
      <c r="I4614" s="2" t="s">
        <v>15</v>
      </c>
      <c r="J4614" s="2" t="s">
        <v>15</v>
      </c>
      <c r="K4614" s="2" t="s">
        <v>21</v>
      </c>
      <c r="L4614" s="7">
        <v>2933.95</v>
      </c>
      <c r="M4614" s="2" t="str">
        <f>_xlfn.IFS(TelecomData[[#This Row],[TenureMonths]]&lt;=12, "0-1 Year", TelecomData[[#This Row],[TenureMonths]]&lt;=36, "1-3 Years", TelecomData[[#This Row],[TenureMonths]]&gt;36, "3+ Years")</f>
        <v>3+ Years</v>
      </c>
      <c r="N4614" s="2" t="str">
        <f>IF(TelecomData[[#This Row],[CleanedTotalCharges]]&gt;=2500,"High Spend", "Standard Spend")</f>
        <v>High Spend</v>
      </c>
    </row>
    <row r="4615" spans="1:14" x14ac:dyDescent="0.3">
      <c r="A4615" s="1" t="s">
        <v>4639</v>
      </c>
      <c r="B4615" s="2" t="s">
        <v>12</v>
      </c>
      <c r="C4615" s="2" t="s">
        <v>13</v>
      </c>
      <c r="D4615" s="2">
        <v>54</v>
      </c>
      <c r="E4615" s="2" t="s">
        <v>26</v>
      </c>
      <c r="F4615" s="2" t="s">
        <v>15</v>
      </c>
      <c r="G4615" s="7">
        <v>79.5</v>
      </c>
      <c r="H4615" s="7">
        <v>4370.25</v>
      </c>
      <c r="I4615" s="2" t="s">
        <v>16</v>
      </c>
      <c r="J4615" s="2" t="s">
        <v>16</v>
      </c>
      <c r="K4615" s="2" t="s">
        <v>17</v>
      </c>
      <c r="L4615" s="7">
        <v>4370.25</v>
      </c>
      <c r="M4615" s="2" t="str">
        <f>_xlfn.IFS(TelecomData[[#This Row],[TenureMonths]]&lt;=12, "0-1 Year", TelecomData[[#This Row],[TenureMonths]]&lt;=36, "1-3 Years", TelecomData[[#This Row],[TenureMonths]]&gt;36, "3+ Years")</f>
        <v>3+ Years</v>
      </c>
      <c r="N4615" s="2" t="str">
        <f>IF(TelecomData[[#This Row],[CleanedTotalCharges]]&gt;=2500,"High Spend", "Standard Spend")</f>
        <v>High Spend</v>
      </c>
    </row>
    <row r="4616" spans="1:14" x14ac:dyDescent="0.3">
      <c r="A4616" s="1" t="s">
        <v>4640</v>
      </c>
      <c r="B4616" s="2" t="s">
        <v>19</v>
      </c>
      <c r="C4616" s="2" t="s">
        <v>13</v>
      </c>
      <c r="D4616" s="2">
        <v>7</v>
      </c>
      <c r="E4616" s="2" t="s">
        <v>15</v>
      </c>
      <c r="F4616" s="2" t="s">
        <v>36</v>
      </c>
      <c r="G4616" s="7">
        <v>20.25</v>
      </c>
      <c r="H4616" s="7">
        <v>144.35</v>
      </c>
      <c r="I4616" s="2" t="s">
        <v>15</v>
      </c>
      <c r="J4616" s="2" t="s">
        <v>15</v>
      </c>
      <c r="K4616" s="2" t="s">
        <v>21</v>
      </c>
      <c r="L4616" s="7">
        <v>144.35</v>
      </c>
      <c r="M4616" s="2" t="str">
        <f>_xlfn.IFS(TelecomData[[#This Row],[TenureMonths]]&lt;=12, "0-1 Year", TelecomData[[#This Row],[TenureMonths]]&lt;=36, "1-3 Years", TelecomData[[#This Row],[TenureMonths]]&gt;36, "3+ Years")</f>
        <v>0-1 Year</v>
      </c>
      <c r="N4616" s="2" t="str">
        <f>IF(TelecomData[[#This Row],[CleanedTotalCharges]]&gt;=2500,"High Spend", "Standard Spend")</f>
        <v>Standard Spend</v>
      </c>
    </row>
    <row r="4617" spans="1:14" x14ac:dyDescent="0.3">
      <c r="A4617" s="1" t="s">
        <v>4641</v>
      </c>
      <c r="B4617" s="2" t="s">
        <v>12</v>
      </c>
      <c r="C4617" s="2" t="s">
        <v>35</v>
      </c>
      <c r="D4617" s="2">
        <v>72</v>
      </c>
      <c r="E4617" s="2" t="s">
        <v>14</v>
      </c>
      <c r="F4617" s="2" t="s">
        <v>16</v>
      </c>
      <c r="G4617" s="7">
        <v>64.75</v>
      </c>
      <c r="H4617" s="7">
        <v>4804.75</v>
      </c>
      <c r="I4617" s="2" t="s">
        <v>15</v>
      </c>
      <c r="J4617" s="2" t="s">
        <v>15</v>
      </c>
      <c r="K4617" s="2" t="s">
        <v>24</v>
      </c>
      <c r="L4617" s="7">
        <v>4804.75</v>
      </c>
      <c r="M4617" s="2" t="str">
        <f>_xlfn.IFS(TelecomData[[#This Row],[TenureMonths]]&lt;=12, "0-1 Year", TelecomData[[#This Row],[TenureMonths]]&lt;=36, "1-3 Years", TelecomData[[#This Row],[TenureMonths]]&gt;36, "3+ Years")</f>
        <v>3+ Years</v>
      </c>
      <c r="N4617" s="2" t="str">
        <f>IF(TelecomData[[#This Row],[CleanedTotalCharges]]&gt;=2500,"High Spend", "Standard Spend")</f>
        <v>High Spend</v>
      </c>
    </row>
    <row r="4618" spans="1:14" x14ac:dyDescent="0.3">
      <c r="A4618" s="1" t="s">
        <v>4642</v>
      </c>
      <c r="B4618" s="2" t="s">
        <v>19</v>
      </c>
      <c r="C4618" s="2" t="s">
        <v>13</v>
      </c>
      <c r="D4618" s="2">
        <v>21</v>
      </c>
      <c r="E4618" s="2" t="s">
        <v>14</v>
      </c>
      <c r="F4618" s="2" t="s">
        <v>15</v>
      </c>
      <c r="G4618" s="7">
        <v>54.6</v>
      </c>
      <c r="H4618" s="7">
        <v>1125.2</v>
      </c>
      <c r="I4618" s="2" t="s">
        <v>15</v>
      </c>
      <c r="J4618" s="2" t="s">
        <v>15</v>
      </c>
      <c r="K4618" s="2" t="s">
        <v>24</v>
      </c>
      <c r="L4618" s="7">
        <v>1125.2</v>
      </c>
      <c r="M4618" s="2" t="str">
        <f>_xlfn.IFS(TelecomData[[#This Row],[TenureMonths]]&lt;=12, "0-1 Year", TelecomData[[#This Row],[TenureMonths]]&lt;=36, "1-3 Years", TelecomData[[#This Row],[TenureMonths]]&gt;36, "3+ Years")</f>
        <v>1-3 Years</v>
      </c>
      <c r="N4618" s="2" t="str">
        <f>IF(TelecomData[[#This Row],[CleanedTotalCharges]]&gt;=2500,"High Spend", "Standard Spend")</f>
        <v>Standard Spend</v>
      </c>
    </row>
    <row r="4619" spans="1:14" x14ac:dyDescent="0.3">
      <c r="A4619" s="1" t="s">
        <v>4643</v>
      </c>
      <c r="B4619" s="2" t="s">
        <v>12</v>
      </c>
      <c r="C4619" s="2" t="s">
        <v>13</v>
      </c>
      <c r="D4619" s="2">
        <v>2</v>
      </c>
      <c r="E4619" s="2" t="s">
        <v>15</v>
      </c>
      <c r="F4619" s="2" t="s">
        <v>36</v>
      </c>
      <c r="G4619" s="7">
        <v>20.7</v>
      </c>
      <c r="H4619" s="7">
        <v>39.85</v>
      </c>
      <c r="I4619" s="2" t="s">
        <v>15</v>
      </c>
      <c r="J4619" s="2" t="s">
        <v>16</v>
      </c>
      <c r="K4619" s="2" t="s">
        <v>24</v>
      </c>
      <c r="L4619" s="7">
        <v>39.85</v>
      </c>
      <c r="M4619" s="2" t="str">
        <f>_xlfn.IFS(TelecomData[[#This Row],[TenureMonths]]&lt;=12, "0-1 Year", TelecomData[[#This Row],[TenureMonths]]&lt;=36, "1-3 Years", TelecomData[[#This Row],[TenureMonths]]&gt;36, "3+ Years")</f>
        <v>0-1 Year</v>
      </c>
      <c r="N4619" s="2" t="str">
        <f>IF(TelecomData[[#This Row],[CleanedTotalCharges]]&gt;=2500,"High Spend", "Standard Spend")</f>
        <v>Standard Spend</v>
      </c>
    </row>
    <row r="4620" spans="1:14" x14ac:dyDescent="0.3">
      <c r="A4620" s="1" t="s">
        <v>4644</v>
      </c>
      <c r="B4620" s="2" t="s">
        <v>19</v>
      </c>
      <c r="C4620" s="2" t="s">
        <v>13</v>
      </c>
      <c r="D4620" s="2">
        <v>4</v>
      </c>
      <c r="E4620" s="2" t="s">
        <v>26</v>
      </c>
      <c r="F4620" s="2" t="s">
        <v>15</v>
      </c>
      <c r="G4620" s="7">
        <v>94.75</v>
      </c>
      <c r="H4620" s="7">
        <v>422.4</v>
      </c>
      <c r="I4620" s="2" t="s">
        <v>15</v>
      </c>
      <c r="J4620" s="2" t="s">
        <v>16</v>
      </c>
      <c r="K4620" s="2" t="s">
        <v>17</v>
      </c>
      <c r="L4620" s="7">
        <v>422.4</v>
      </c>
      <c r="M4620" s="2" t="str">
        <f>_xlfn.IFS(TelecomData[[#This Row],[TenureMonths]]&lt;=12, "0-1 Year", TelecomData[[#This Row],[TenureMonths]]&lt;=36, "1-3 Years", TelecomData[[#This Row],[TenureMonths]]&gt;36, "3+ Years")</f>
        <v>0-1 Year</v>
      </c>
      <c r="N4620" s="2" t="str">
        <f>IF(TelecomData[[#This Row],[CleanedTotalCharges]]&gt;=2500,"High Spend", "Standard Spend")</f>
        <v>Standard Spend</v>
      </c>
    </row>
    <row r="4621" spans="1:14" x14ac:dyDescent="0.3">
      <c r="A4621" s="1" t="s">
        <v>4645</v>
      </c>
      <c r="B4621" s="2" t="s">
        <v>19</v>
      </c>
      <c r="C4621" s="2" t="s">
        <v>13</v>
      </c>
      <c r="D4621" s="2">
        <v>3</v>
      </c>
      <c r="E4621" s="2" t="s">
        <v>26</v>
      </c>
      <c r="F4621" s="2" t="s">
        <v>16</v>
      </c>
      <c r="G4621" s="7">
        <v>79.650000000000006</v>
      </c>
      <c r="H4621" s="7">
        <v>251.75</v>
      </c>
      <c r="I4621" s="2" t="s">
        <v>16</v>
      </c>
      <c r="J4621" s="2" t="s">
        <v>16</v>
      </c>
      <c r="K4621" s="2" t="s">
        <v>24</v>
      </c>
      <c r="L4621" s="7">
        <v>251.75</v>
      </c>
      <c r="M4621" s="2" t="str">
        <f>_xlfn.IFS(TelecomData[[#This Row],[TenureMonths]]&lt;=12, "0-1 Year", TelecomData[[#This Row],[TenureMonths]]&lt;=36, "1-3 Years", TelecomData[[#This Row],[TenureMonths]]&gt;36, "3+ Years")</f>
        <v>0-1 Year</v>
      </c>
      <c r="N4621" s="2" t="str">
        <f>IF(TelecomData[[#This Row],[CleanedTotalCharges]]&gt;=2500,"High Spend", "Standard Spend")</f>
        <v>Standard Spend</v>
      </c>
    </row>
    <row r="4622" spans="1:14" x14ac:dyDescent="0.3">
      <c r="A4622" s="1" t="s">
        <v>4646</v>
      </c>
      <c r="B4622" s="2" t="s">
        <v>19</v>
      </c>
      <c r="C4622" s="2" t="s">
        <v>35</v>
      </c>
      <c r="D4622" s="2">
        <v>72</v>
      </c>
      <c r="E4622" s="2" t="s">
        <v>26</v>
      </c>
      <c r="F4622" s="2" t="s">
        <v>16</v>
      </c>
      <c r="G4622" s="7">
        <v>115.8</v>
      </c>
      <c r="H4622" s="7">
        <v>8332.15</v>
      </c>
      <c r="I4622" s="2" t="s">
        <v>15</v>
      </c>
      <c r="J4622" s="2" t="s">
        <v>15</v>
      </c>
      <c r="K4622" s="2" t="s">
        <v>29</v>
      </c>
      <c r="L4622" s="7">
        <v>8332.15</v>
      </c>
      <c r="M4622" s="2" t="str">
        <f>_xlfn.IFS(TelecomData[[#This Row],[TenureMonths]]&lt;=12, "0-1 Year", TelecomData[[#This Row],[TenureMonths]]&lt;=36, "1-3 Years", TelecomData[[#This Row],[TenureMonths]]&gt;36, "3+ Years")</f>
        <v>3+ Years</v>
      </c>
      <c r="N4622" s="2" t="str">
        <f>IF(TelecomData[[#This Row],[CleanedTotalCharges]]&gt;=2500,"High Spend", "Standard Spend")</f>
        <v>High Spend</v>
      </c>
    </row>
    <row r="4623" spans="1:14" x14ac:dyDescent="0.3">
      <c r="A4623" s="1" t="s">
        <v>4647</v>
      </c>
      <c r="B4623" s="2" t="s">
        <v>12</v>
      </c>
      <c r="C4623" s="2" t="s">
        <v>13</v>
      </c>
      <c r="D4623" s="2">
        <v>6</v>
      </c>
      <c r="E4623" s="2" t="s">
        <v>14</v>
      </c>
      <c r="F4623" s="2" t="s">
        <v>15</v>
      </c>
      <c r="G4623" s="7">
        <v>49.45</v>
      </c>
      <c r="H4623" s="7">
        <v>314.60000000000002</v>
      </c>
      <c r="I4623" s="2" t="s">
        <v>15</v>
      </c>
      <c r="J4623" s="2" t="s">
        <v>16</v>
      </c>
      <c r="K4623" s="2" t="s">
        <v>17</v>
      </c>
      <c r="L4623" s="7">
        <v>314.60000000000002</v>
      </c>
      <c r="M4623" s="2" t="str">
        <f>_xlfn.IFS(TelecomData[[#This Row],[TenureMonths]]&lt;=12, "0-1 Year", TelecomData[[#This Row],[TenureMonths]]&lt;=36, "1-3 Years", TelecomData[[#This Row],[TenureMonths]]&gt;36, "3+ Years")</f>
        <v>0-1 Year</v>
      </c>
      <c r="N4623" s="2" t="str">
        <f>IF(TelecomData[[#This Row],[CleanedTotalCharges]]&gt;=2500,"High Spend", "Standard Spend")</f>
        <v>Standard Spend</v>
      </c>
    </row>
    <row r="4624" spans="1:14" x14ac:dyDescent="0.3">
      <c r="A4624" s="1" t="s">
        <v>4648</v>
      </c>
      <c r="B4624" s="2" t="s">
        <v>19</v>
      </c>
      <c r="C4624" s="2" t="s">
        <v>13</v>
      </c>
      <c r="D4624" s="2">
        <v>52</v>
      </c>
      <c r="E4624" s="2" t="s">
        <v>26</v>
      </c>
      <c r="F4624" s="2" t="s">
        <v>15</v>
      </c>
      <c r="G4624" s="7">
        <v>83.8</v>
      </c>
      <c r="H4624" s="7">
        <v>4331.3999999999996</v>
      </c>
      <c r="I4624" s="2" t="s">
        <v>15</v>
      </c>
      <c r="J4624" s="2" t="s">
        <v>16</v>
      </c>
      <c r="K4624" s="2" t="s">
        <v>29</v>
      </c>
      <c r="L4624" s="7">
        <v>4331.3999999999996</v>
      </c>
      <c r="M4624" s="2" t="str">
        <f>_xlfn.IFS(TelecomData[[#This Row],[TenureMonths]]&lt;=12, "0-1 Year", TelecomData[[#This Row],[TenureMonths]]&lt;=36, "1-3 Years", TelecomData[[#This Row],[TenureMonths]]&gt;36, "3+ Years")</f>
        <v>3+ Years</v>
      </c>
      <c r="N4624" s="2" t="str">
        <f>IF(TelecomData[[#This Row],[CleanedTotalCharges]]&gt;=2500,"High Spend", "Standard Spend")</f>
        <v>High Spend</v>
      </c>
    </row>
    <row r="4625" spans="1:14" x14ac:dyDescent="0.3">
      <c r="A4625" s="1" t="s">
        <v>4649</v>
      </c>
      <c r="B4625" s="2" t="s">
        <v>19</v>
      </c>
      <c r="C4625" s="2" t="s">
        <v>13</v>
      </c>
      <c r="D4625" s="2">
        <v>69</v>
      </c>
      <c r="E4625" s="2" t="s">
        <v>26</v>
      </c>
      <c r="F4625" s="2" t="s">
        <v>15</v>
      </c>
      <c r="G4625" s="7">
        <v>95.35</v>
      </c>
      <c r="H4625" s="7">
        <v>6382</v>
      </c>
      <c r="I4625" s="2" t="s">
        <v>15</v>
      </c>
      <c r="J4625" s="2" t="s">
        <v>16</v>
      </c>
      <c r="K4625" s="2" t="s">
        <v>24</v>
      </c>
      <c r="L4625" s="7">
        <v>6382</v>
      </c>
      <c r="M4625" s="2" t="str">
        <f>_xlfn.IFS(TelecomData[[#This Row],[TenureMonths]]&lt;=12, "0-1 Year", TelecomData[[#This Row],[TenureMonths]]&lt;=36, "1-3 Years", TelecomData[[#This Row],[TenureMonths]]&gt;36, "3+ Years")</f>
        <v>3+ Years</v>
      </c>
      <c r="N4625" s="2" t="str">
        <f>IF(TelecomData[[#This Row],[CleanedTotalCharges]]&gt;=2500,"High Spend", "Standard Spend")</f>
        <v>High Spend</v>
      </c>
    </row>
    <row r="4626" spans="1:14" x14ac:dyDescent="0.3">
      <c r="A4626" s="1" t="s">
        <v>4650</v>
      </c>
      <c r="B4626" s="2" t="s">
        <v>19</v>
      </c>
      <c r="C4626" s="2" t="s">
        <v>13</v>
      </c>
      <c r="D4626" s="2">
        <v>8</v>
      </c>
      <c r="E4626" s="2" t="s">
        <v>26</v>
      </c>
      <c r="F4626" s="2" t="s">
        <v>15</v>
      </c>
      <c r="G4626" s="7">
        <v>94.7</v>
      </c>
      <c r="H4626" s="7">
        <v>740.3</v>
      </c>
      <c r="I4626" s="2" t="s">
        <v>16</v>
      </c>
      <c r="J4626" s="2" t="s">
        <v>16</v>
      </c>
      <c r="K4626" s="2" t="s">
        <v>17</v>
      </c>
      <c r="L4626" s="7">
        <v>740.3</v>
      </c>
      <c r="M4626" s="2" t="str">
        <f>_xlfn.IFS(TelecomData[[#This Row],[TenureMonths]]&lt;=12, "0-1 Year", TelecomData[[#This Row],[TenureMonths]]&lt;=36, "1-3 Years", TelecomData[[#This Row],[TenureMonths]]&gt;36, "3+ Years")</f>
        <v>0-1 Year</v>
      </c>
      <c r="N4626" s="2" t="str">
        <f>IF(TelecomData[[#This Row],[CleanedTotalCharges]]&gt;=2500,"High Spend", "Standard Spend")</f>
        <v>Standard Spend</v>
      </c>
    </row>
    <row r="4627" spans="1:14" x14ac:dyDescent="0.3">
      <c r="A4627" s="1" t="s">
        <v>4651</v>
      </c>
      <c r="B4627" s="2" t="s">
        <v>12</v>
      </c>
      <c r="C4627" s="2" t="s">
        <v>13</v>
      </c>
      <c r="D4627" s="2">
        <v>8</v>
      </c>
      <c r="E4627" s="2" t="s">
        <v>26</v>
      </c>
      <c r="F4627" s="2" t="s">
        <v>15</v>
      </c>
      <c r="G4627" s="7">
        <v>74.05</v>
      </c>
      <c r="H4627" s="7">
        <v>600.15</v>
      </c>
      <c r="I4627" s="2" t="s">
        <v>15</v>
      </c>
      <c r="J4627" s="2" t="s">
        <v>16</v>
      </c>
      <c r="K4627" s="2" t="s">
        <v>24</v>
      </c>
      <c r="L4627" s="7">
        <v>600.15</v>
      </c>
      <c r="M4627" s="2" t="str">
        <f>_xlfn.IFS(TelecomData[[#This Row],[TenureMonths]]&lt;=12, "0-1 Year", TelecomData[[#This Row],[TenureMonths]]&lt;=36, "1-3 Years", TelecomData[[#This Row],[TenureMonths]]&gt;36, "3+ Years")</f>
        <v>0-1 Year</v>
      </c>
      <c r="N4627" s="2" t="str">
        <f>IF(TelecomData[[#This Row],[CleanedTotalCharges]]&gt;=2500,"High Spend", "Standard Spend")</f>
        <v>Standard Spend</v>
      </c>
    </row>
    <row r="4628" spans="1:14" x14ac:dyDescent="0.3">
      <c r="A4628" s="1" t="s">
        <v>4652</v>
      </c>
      <c r="B4628" s="2" t="s">
        <v>12</v>
      </c>
      <c r="C4628" s="2" t="s">
        <v>13</v>
      </c>
      <c r="D4628" s="2">
        <v>63</v>
      </c>
      <c r="E4628" s="2" t="s">
        <v>26</v>
      </c>
      <c r="F4628" s="2" t="s">
        <v>15</v>
      </c>
      <c r="G4628" s="7">
        <v>89.6</v>
      </c>
      <c r="H4628" s="7">
        <v>5538.8</v>
      </c>
      <c r="I4628" s="2" t="s">
        <v>15</v>
      </c>
      <c r="J4628" s="2" t="s">
        <v>16</v>
      </c>
      <c r="K4628" s="2" t="s">
        <v>24</v>
      </c>
      <c r="L4628" s="7">
        <v>5538.8</v>
      </c>
      <c r="M4628" s="2" t="str">
        <f>_xlfn.IFS(TelecomData[[#This Row],[TenureMonths]]&lt;=12, "0-1 Year", TelecomData[[#This Row],[TenureMonths]]&lt;=36, "1-3 Years", TelecomData[[#This Row],[TenureMonths]]&gt;36, "3+ Years")</f>
        <v>3+ Years</v>
      </c>
      <c r="N4628" s="2" t="str">
        <f>IF(TelecomData[[#This Row],[CleanedTotalCharges]]&gt;=2500,"High Spend", "Standard Spend")</f>
        <v>High Spend</v>
      </c>
    </row>
    <row r="4629" spans="1:14" x14ac:dyDescent="0.3">
      <c r="A4629" s="1" t="s">
        <v>4653</v>
      </c>
      <c r="B4629" s="2" t="s">
        <v>19</v>
      </c>
      <c r="C4629" s="2" t="s">
        <v>20</v>
      </c>
      <c r="D4629" s="2">
        <v>60</v>
      </c>
      <c r="E4629" s="2" t="s">
        <v>26</v>
      </c>
      <c r="F4629" s="2" t="s">
        <v>16</v>
      </c>
      <c r="G4629" s="7">
        <v>116.6</v>
      </c>
      <c r="H4629" s="7">
        <v>7049.5</v>
      </c>
      <c r="I4629" s="2" t="s">
        <v>15</v>
      </c>
      <c r="J4629" s="2" t="s">
        <v>16</v>
      </c>
      <c r="K4629" s="2" t="s">
        <v>29</v>
      </c>
      <c r="L4629" s="7">
        <v>7049.5</v>
      </c>
      <c r="M4629" s="2" t="str">
        <f>_xlfn.IFS(TelecomData[[#This Row],[TenureMonths]]&lt;=12, "0-1 Year", TelecomData[[#This Row],[TenureMonths]]&lt;=36, "1-3 Years", TelecomData[[#This Row],[TenureMonths]]&gt;36, "3+ Years")</f>
        <v>3+ Years</v>
      </c>
      <c r="N4629" s="2" t="str">
        <f>IF(TelecomData[[#This Row],[CleanedTotalCharges]]&gt;=2500,"High Spend", "Standard Spend")</f>
        <v>High Spend</v>
      </c>
    </row>
    <row r="4630" spans="1:14" x14ac:dyDescent="0.3">
      <c r="A4630" s="1" t="s">
        <v>4654</v>
      </c>
      <c r="B4630" s="2" t="s">
        <v>12</v>
      </c>
      <c r="C4630" s="2" t="s">
        <v>13</v>
      </c>
      <c r="D4630" s="2">
        <v>12</v>
      </c>
      <c r="E4630" s="2" t="s">
        <v>14</v>
      </c>
      <c r="F4630" s="2" t="s">
        <v>16</v>
      </c>
      <c r="G4630" s="7">
        <v>54.2</v>
      </c>
      <c r="H4630" s="7">
        <v>690.5</v>
      </c>
      <c r="I4630" s="2" t="s">
        <v>15</v>
      </c>
      <c r="J4630" s="2" t="s">
        <v>15</v>
      </c>
      <c r="K4630" s="2" t="s">
        <v>24</v>
      </c>
      <c r="L4630" s="7">
        <v>690.5</v>
      </c>
      <c r="M4630" s="2" t="str">
        <f>_xlfn.IFS(TelecomData[[#This Row],[TenureMonths]]&lt;=12, "0-1 Year", TelecomData[[#This Row],[TenureMonths]]&lt;=36, "1-3 Years", TelecomData[[#This Row],[TenureMonths]]&gt;36, "3+ Years")</f>
        <v>0-1 Year</v>
      </c>
      <c r="N4630" s="2" t="str">
        <f>IF(TelecomData[[#This Row],[CleanedTotalCharges]]&gt;=2500,"High Spend", "Standard Spend")</f>
        <v>Standard Spend</v>
      </c>
    </row>
    <row r="4631" spans="1:14" x14ac:dyDescent="0.3">
      <c r="A4631" s="1" t="s">
        <v>4655</v>
      </c>
      <c r="B4631" s="2" t="s">
        <v>12</v>
      </c>
      <c r="C4631" s="2" t="s">
        <v>13</v>
      </c>
      <c r="D4631" s="2">
        <v>13</v>
      </c>
      <c r="E4631" s="2" t="s">
        <v>15</v>
      </c>
      <c r="F4631" s="2" t="s">
        <v>36</v>
      </c>
      <c r="G4631" s="7">
        <v>19.3</v>
      </c>
      <c r="H4631" s="7">
        <v>279.3</v>
      </c>
      <c r="I4631" s="2" t="s">
        <v>15</v>
      </c>
      <c r="J4631" s="2" t="s">
        <v>16</v>
      </c>
      <c r="K4631" s="2" t="s">
        <v>21</v>
      </c>
      <c r="L4631" s="7">
        <v>279.3</v>
      </c>
      <c r="M4631" s="2" t="str">
        <f>_xlfn.IFS(TelecomData[[#This Row],[TenureMonths]]&lt;=12, "0-1 Year", TelecomData[[#This Row],[TenureMonths]]&lt;=36, "1-3 Years", TelecomData[[#This Row],[TenureMonths]]&gt;36, "3+ Years")</f>
        <v>1-3 Years</v>
      </c>
      <c r="N4631" s="2" t="str">
        <f>IF(TelecomData[[#This Row],[CleanedTotalCharges]]&gt;=2500,"High Spend", "Standard Spend")</f>
        <v>Standard Spend</v>
      </c>
    </row>
    <row r="4632" spans="1:14" x14ac:dyDescent="0.3">
      <c r="A4632" s="1" t="s">
        <v>4656</v>
      </c>
      <c r="B4632" s="2" t="s">
        <v>19</v>
      </c>
      <c r="C4632" s="2" t="s">
        <v>13</v>
      </c>
      <c r="D4632" s="2">
        <v>22</v>
      </c>
      <c r="E4632" s="2" t="s">
        <v>14</v>
      </c>
      <c r="F4632" s="2" t="s">
        <v>15</v>
      </c>
      <c r="G4632" s="7">
        <v>65.05</v>
      </c>
      <c r="H4632" s="7">
        <v>1427.55</v>
      </c>
      <c r="I4632" s="2" t="s">
        <v>15</v>
      </c>
      <c r="J4632" s="2" t="s">
        <v>15</v>
      </c>
      <c r="K4632" s="2" t="s">
        <v>21</v>
      </c>
      <c r="L4632" s="7">
        <v>1427.55</v>
      </c>
      <c r="M4632" s="2" t="str">
        <f>_xlfn.IFS(TelecomData[[#This Row],[TenureMonths]]&lt;=12, "0-1 Year", TelecomData[[#This Row],[TenureMonths]]&lt;=36, "1-3 Years", TelecomData[[#This Row],[TenureMonths]]&gt;36, "3+ Years")</f>
        <v>1-3 Years</v>
      </c>
      <c r="N4632" s="2" t="str">
        <f>IF(TelecomData[[#This Row],[CleanedTotalCharges]]&gt;=2500,"High Spend", "Standard Spend")</f>
        <v>Standard Spend</v>
      </c>
    </row>
    <row r="4633" spans="1:14" x14ac:dyDescent="0.3">
      <c r="A4633" s="1" t="s">
        <v>4657</v>
      </c>
      <c r="B4633" s="2" t="s">
        <v>19</v>
      </c>
      <c r="C4633" s="2" t="s">
        <v>13</v>
      </c>
      <c r="D4633" s="2">
        <v>5</v>
      </c>
      <c r="E4633" s="2" t="s">
        <v>26</v>
      </c>
      <c r="F4633" s="2" t="s">
        <v>15</v>
      </c>
      <c r="G4633" s="7">
        <v>92.5</v>
      </c>
      <c r="H4633" s="7">
        <v>452.7</v>
      </c>
      <c r="I4633" s="2" t="s">
        <v>16</v>
      </c>
      <c r="J4633" s="2" t="s">
        <v>16</v>
      </c>
      <c r="K4633" s="2" t="s">
        <v>17</v>
      </c>
      <c r="L4633" s="7">
        <v>452.7</v>
      </c>
      <c r="M4633" s="2" t="str">
        <f>_xlfn.IFS(TelecomData[[#This Row],[TenureMonths]]&lt;=12, "0-1 Year", TelecomData[[#This Row],[TenureMonths]]&lt;=36, "1-3 Years", TelecomData[[#This Row],[TenureMonths]]&gt;36, "3+ Years")</f>
        <v>0-1 Year</v>
      </c>
      <c r="N4633" s="2" t="str">
        <f>IF(TelecomData[[#This Row],[CleanedTotalCharges]]&gt;=2500,"High Spend", "Standard Spend")</f>
        <v>Standard Spend</v>
      </c>
    </row>
    <row r="4634" spans="1:14" x14ac:dyDescent="0.3">
      <c r="A4634" s="1" t="s">
        <v>4658</v>
      </c>
      <c r="B4634" s="2" t="s">
        <v>12</v>
      </c>
      <c r="C4634" s="2" t="s">
        <v>13</v>
      </c>
      <c r="D4634" s="2">
        <v>1</v>
      </c>
      <c r="E4634" s="2" t="s">
        <v>15</v>
      </c>
      <c r="F4634" s="2" t="s">
        <v>36</v>
      </c>
      <c r="G4634" s="7">
        <v>19.45</v>
      </c>
      <c r="H4634" s="7">
        <v>19.45</v>
      </c>
      <c r="I4634" s="2" t="s">
        <v>16</v>
      </c>
      <c r="J4634" s="2" t="s">
        <v>15</v>
      </c>
      <c r="K4634" s="2" t="s">
        <v>21</v>
      </c>
      <c r="L4634" s="7">
        <v>19.45</v>
      </c>
      <c r="M4634" s="2" t="str">
        <f>_xlfn.IFS(TelecomData[[#This Row],[TenureMonths]]&lt;=12, "0-1 Year", TelecomData[[#This Row],[TenureMonths]]&lt;=36, "1-3 Years", TelecomData[[#This Row],[TenureMonths]]&gt;36, "3+ Years")</f>
        <v>0-1 Year</v>
      </c>
      <c r="N4634" s="2" t="str">
        <f>IF(TelecomData[[#This Row],[CleanedTotalCharges]]&gt;=2500,"High Spend", "Standard Spend")</f>
        <v>Standard Spend</v>
      </c>
    </row>
    <row r="4635" spans="1:14" x14ac:dyDescent="0.3">
      <c r="A4635" s="1" t="s">
        <v>4659</v>
      </c>
      <c r="B4635" s="2" t="s">
        <v>12</v>
      </c>
      <c r="C4635" s="2" t="s">
        <v>35</v>
      </c>
      <c r="D4635" s="2">
        <v>72</v>
      </c>
      <c r="E4635" s="2" t="s">
        <v>15</v>
      </c>
      <c r="F4635" s="2" t="s">
        <v>36</v>
      </c>
      <c r="G4635" s="7">
        <v>24.05</v>
      </c>
      <c r="H4635" s="7">
        <v>1709.15</v>
      </c>
      <c r="I4635" s="2" t="s">
        <v>15</v>
      </c>
      <c r="J4635" s="2" t="s">
        <v>16</v>
      </c>
      <c r="K4635" s="2" t="s">
        <v>24</v>
      </c>
      <c r="L4635" s="7">
        <v>1709.15</v>
      </c>
      <c r="M4635" s="2" t="str">
        <f>_xlfn.IFS(TelecomData[[#This Row],[TenureMonths]]&lt;=12, "0-1 Year", TelecomData[[#This Row],[TenureMonths]]&lt;=36, "1-3 Years", TelecomData[[#This Row],[TenureMonths]]&gt;36, "3+ Years")</f>
        <v>3+ Years</v>
      </c>
      <c r="N4635" s="2" t="str">
        <f>IF(TelecomData[[#This Row],[CleanedTotalCharges]]&gt;=2500,"High Spend", "Standard Spend")</f>
        <v>Standard Spend</v>
      </c>
    </row>
    <row r="4636" spans="1:14" x14ac:dyDescent="0.3">
      <c r="A4636" s="1" t="s">
        <v>4660</v>
      </c>
      <c r="B4636" s="2" t="s">
        <v>12</v>
      </c>
      <c r="C4636" s="2" t="s">
        <v>13</v>
      </c>
      <c r="D4636" s="2">
        <v>2</v>
      </c>
      <c r="E4636" s="2" t="s">
        <v>15</v>
      </c>
      <c r="F4636" s="2" t="s">
        <v>36</v>
      </c>
      <c r="G4636" s="7">
        <v>18.75</v>
      </c>
      <c r="H4636" s="7">
        <v>53.15</v>
      </c>
      <c r="I4636" s="2" t="s">
        <v>15</v>
      </c>
      <c r="J4636" s="2" t="s">
        <v>15</v>
      </c>
      <c r="K4636" s="2" t="s">
        <v>24</v>
      </c>
      <c r="L4636" s="7">
        <v>53.15</v>
      </c>
      <c r="M4636" s="2" t="str">
        <f>_xlfn.IFS(TelecomData[[#This Row],[TenureMonths]]&lt;=12, "0-1 Year", TelecomData[[#This Row],[TenureMonths]]&lt;=36, "1-3 Years", TelecomData[[#This Row],[TenureMonths]]&gt;36, "3+ Years")</f>
        <v>0-1 Year</v>
      </c>
      <c r="N4636" s="2" t="str">
        <f>IF(TelecomData[[#This Row],[CleanedTotalCharges]]&gt;=2500,"High Spend", "Standard Spend")</f>
        <v>Standard Spend</v>
      </c>
    </row>
    <row r="4637" spans="1:14" x14ac:dyDescent="0.3">
      <c r="A4637" s="1" t="s">
        <v>4661</v>
      </c>
      <c r="B4637" s="2" t="s">
        <v>12</v>
      </c>
      <c r="C4637" s="2" t="s">
        <v>35</v>
      </c>
      <c r="D4637" s="2">
        <v>40</v>
      </c>
      <c r="E4637" s="2" t="s">
        <v>15</v>
      </c>
      <c r="F4637" s="2" t="s">
        <v>36</v>
      </c>
      <c r="G4637" s="7">
        <v>20.149999999999999</v>
      </c>
      <c r="H4637" s="7">
        <v>777.35</v>
      </c>
      <c r="I4637" s="2" t="s">
        <v>15</v>
      </c>
      <c r="J4637" s="2" t="s">
        <v>15</v>
      </c>
      <c r="K4637" s="2" t="s">
        <v>24</v>
      </c>
      <c r="L4637" s="7">
        <v>777.35</v>
      </c>
      <c r="M4637" s="2" t="str">
        <f>_xlfn.IFS(TelecomData[[#This Row],[TenureMonths]]&lt;=12, "0-1 Year", TelecomData[[#This Row],[TenureMonths]]&lt;=36, "1-3 Years", TelecomData[[#This Row],[TenureMonths]]&gt;36, "3+ Years")</f>
        <v>3+ Years</v>
      </c>
      <c r="N4637" s="2" t="str">
        <f>IF(TelecomData[[#This Row],[CleanedTotalCharges]]&gt;=2500,"High Spend", "Standard Spend")</f>
        <v>Standard Spend</v>
      </c>
    </row>
    <row r="4638" spans="1:14" x14ac:dyDescent="0.3">
      <c r="A4638" s="1" t="s">
        <v>4662</v>
      </c>
      <c r="B4638" s="2" t="s">
        <v>19</v>
      </c>
      <c r="C4638" s="2" t="s">
        <v>20</v>
      </c>
      <c r="D4638" s="2">
        <v>44</v>
      </c>
      <c r="E4638" s="2" t="s">
        <v>15</v>
      </c>
      <c r="F4638" s="2" t="s">
        <v>36</v>
      </c>
      <c r="G4638" s="7">
        <v>20</v>
      </c>
      <c r="H4638" s="7">
        <v>860.85</v>
      </c>
      <c r="I4638" s="2" t="s">
        <v>15</v>
      </c>
      <c r="J4638" s="2" t="s">
        <v>15</v>
      </c>
      <c r="K4638" s="2" t="s">
        <v>24</v>
      </c>
      <c r="L4638" s="7">
        <v>860.85</v>
      </c>
      <c r="M4638" s="2" t="str">
        <f>_xlfn.IFS(TelecomData[[#This Row],[TenureMonths]]&lt;=12, "0-1 Year", TelecomData[[#This Row],[TenureMonths]]&lt;=36, "1-3 Years", TelecomData[[#This Row],[TenureMonths]]&gt;36, "3+ Years")</f>
        <v>3+ Years</v>
      </c>
      <c r="N4638" s="2" t="str">
        <f>IF(TelecomData[[#This Row],[CleanedTotalCharges]]&gt;=2500,"High Spend", "Standard Spend")</f>
        <v>Standard Spend</v>
      </c>
    </row>
    <row r="4639" spans="1:14" x14ac:dyDescent="0.3">
      <c r="A4639" s="1" t="s">
        <v>4663</v>
      </c>
      <c r="B4639" s="2" t="s">
        <v>19</v>
      </c>
      <c r="C4639" s="2" t="s">
        <v>20</v>
      </c>
      <c r="D4639" s="2">
        <v>71</v>
      </c>
      <c r="E4639" s="2" t="s">
        <v>14</v>
      </c>
      <c r="F4639" s="2" t="s">
        <v>16</v>
      </c>
      <c r="G4639" s="7">
        <v>71</v>
      </c>
      <c r="H4639" s="7">
        <v>5012.1000000000004</v>
      </c>
      <c r="I4639" s="2" t="s">
        <v>15</v>
      </c>
      <c r="J4639" s="2" t="s">
        <v>16</v>
      </c>
      <c r="K4639" s="2" t="s">
        <v>24</v>
      </c>
      <c r="L4639" s="7">
        <v>5012.1000000000004</v>
      </c>
      <c r="M4639" s="2" t="str">
        <f>_xlfn.IFS(TelecomData[[#This Row],[TenureMonths]]&lt;=12, "0-1 Year", TelecomData[[#This Row],[TenureMonths]]&lt;=36, "1-3 Years", TelecomData[[#This Row],[TenureMonths]]&gt;36, "3+ Years")</f>
        <v>3+ Years</v>
      </c>
      <c r="N4639" s="2" t="str">
        <f>IF(TelecomData[[#This Row],[CleanedTotalCharges]]&gt;=2500,"High Spend", "Standard Spend")</f>
        <v>High Spend</v>
      </c>
    </row>
    <row r="4640" spans="1:14" x14ac:dyDescent="0.3">
      <c r="A4640" s="1" t="s">
        <v>4664</v>
      </c>
      <c r="B4640" s="2" t="s">
        <v>12</v>
      </c>
      <c r="C4640" s="2" t="s">
        <v>13</v>
      </c>
      <c r="D4640" s="2">
        <v>2</v>
      </c>
      <c r="E4640" s="2" t="s">
        <v>26</v>
      </c>
      <c r="F4640" s="2" t="s">
        <v>15</v>
      </c>
      <c r="G4640" s="7">
        <v>75.55</v>
      </c>
      <c r="H4640" s="7">
        <v>166.3</v>
      </c>
      <c r="I4640" s="2" t="s">
        <v>16</v>
      </c>
      <c r="J4640" s="2" t="s">
        <v>16</v>
      </c>
      <c r="K4640" s="2" t="s">
        <v>17</v>
      </c>
      <c r="L4640" s="7">
        <v>166.3</v>
      </c>
      <c r="M4640" s="2" t="str">
        <f>_xlfn.IFS(TelecomData[[#This Row],[TenureMonths]]&lt;=12, "0-1 Year", TelecomData[[#This Row],[TenureMonths]]&lt;=36, "1-3 Years", TelecomData[[#This Row],[TenureMonths]]&gt;36, "3+ Years")</f>
        <v>0-1 Year</v>
      </c>
      <c r="N4640" s="2" t="str">
        <f>IF(TelecomData[[#This Row],[CleanedTotalCharges]]&gt;=2500,"High Spend", "Standard Spend")</f>
        <v>Standard Spend</v>
      </c>
    </row>
    <row r="4641" spans="1:14" x14ac:dyDescent="0.3">
      <c r="A4641" s="1" t="s">
        <v>4665</v>
      </c>
      <c r="B4641" s="2" t="s">
        <v>19</v>
      </c>
      <c r="C4641" s="2" t="s">
        <v>13</v>
      </c>
      <c r="D4641" s="2">
        <v>26</v>
      </c>
      <c r="E4641" s="2" t="s">
        <v>26</v>
      </c>
      <c r="F4641" s="2" t="s">
        <v>15</v>
      </c>
      <c r="G4641" s="7">
        <v>93.6</v>
      </c>
      <c r="H4641" s="7">
        <v>2404.1</v>
      </c>
      <c r="I4641" s="2" t="s">
        <v>15</v>
      </c>
      <c r="J4641" s="2" t="s">
        <v>16</v>
      </c>
      <c r="K4641" s="2" t="s">
        <v>17</v>
      </c>
      <c r="L4641" s="7">
        <v>2404.1</v>
      </c>
      <c r="M4641" s="2" t="str">
        <f>_xlfn.IFS(TelecomData[[#This Row],[TenureMonths]]&lt;=12, "0-1 Year", TelecomData[[#This Row],[TenureMonths]]&lt;=36, "1-3 Years", TelecomData[[#This Row],[TenureMonths]]&gt;36, "3+ Years")</f>
        <v>1-3 Years</v>
      </c>
      <c r="N4641" s="2" t="str">
        <f>IF(TelecomData[[#This Row],[CleanedTotalCharges]]&gt;=2500,"High Spend", "Standard Spend")</f>
        <v>Standard Spend</v>
      </c>
    </row>
    <row r="4642" spans="1:14" x14ac:dyDescent="0.3">
      <c r="A4642" s="1" t="s">
        <v>4666</v>
      </c>
      <c r="B4642" s="2" t="s">
        <v>19</v>
      </c>
      <c r="C4642" s="2" t="s">
        <v>13</v>
      </c>
      <c r="D4642" s="2">
        <v>1</v>
      </c>
      <c r="E4642" s="2" t="s">
        <v>26</v>
      </c>
      <c r="F4642" s="2" t="s">
        <v>15</v>
      </c>
      <c r="G4642" s="7">
        <v>70</v>
      </c>
      <c r="H4642" s="7">
        <v>70</v>
      </c>
      <c r="I4642" s="2" t="s">
        <v>16</v>
      </c>
      <c r="J4642" s="2" t="s">
        <v>16</v>
      </c>
      <c r="K4642" s="2" t="s">
        <v>17</v>
      </c>
      <c r="L4642" s="7">
        <v>70</v>
      </c>
      <c r="M4642" s="2" t="str">
        <f>_xlfn.IFS(TelecomData[[#This Row],[TenureMonths]]&lt;=12, "0-1 Year", TelecomData[[#This Row],[TenureMonths]]&lt;=36, "1-3 Years", TelecomData[[#This Row],[TenureMonths]]&gt;36, "3+ Years")</f>
        <v>0-1 Year</v>
      </c>
      <c r="N4642" s="2" t="str">
        <f>IF(TelecomData[[#This Row],[CleanedTotalCharges]]&gt;=2500,"High Spend", "Standard Spend")</f>
        <v>Standard Spend</v>
      </c>
    </row>
    <row r="4643" spans="1:14" x14ac:dyDescent="0.3">
      <c r="A4643" s="1" t="s">
        <v>4667</v>
      </c>
      <c r="B4643" s="2" t="s">
        <v>12</v>
      </c>
      <c r="C4643" s="2" t="s">
        <v>13</v>
      </c>
      <c r="D4643" s="2">
        <v>1</v>
      </c>
      <c r="E4643" s="2" t="s">
        <v>14</v>
      </c>
      <c r="F4643" s="2" t="s">
        <v>15</v>
      </c>
      <c r="G4643" s="7">
        <v>24.4</v>
      </c>
      <c r="H4643" s="7">
        <v>24.4</v>
      </c>
      <c r="I4643" s="2" t="s">
        <v>15</v>
      </c>
      <c r="J4643" s="2" t="s">
        <v>15</v>
      </c>
      <c r="K4643" s="2" t="s">
        <v>21</v>
      </c>
      <c r="L4643" s="7">
        <v>24.4</v>
      </c>
      <c r="M4643" s="2" t="str">
        <f>_xlfn.IFS(TelecomData[[#This Row],[TenureMonths]]&lt;=12, "0-1 Year", TelecomData[[#This Row],[TenureMonths]]&lt;=36, "1-3 Years", TelecomData[[#This Row],[TenureMonths]]&gt;36, "3+ Years")</f>
        <v>0-1 Year</v>
      </c>
      <c r="N4643" s="2" t="str">
        <f>IF(TelecomData[[#This Row],[CleanedTotalCharges]]&gt;=2500,"High Spend", "Standard Spend")</f>
        <v>Standard Spend</v>
      </c>
    </row>
    <row r="4644" spans="1:14" x14ac:dyDescent="0.3">
      <c r="A4644" s="1" t="s">
        <v>4668</v>
      </c>
      <c r="B4644" s="2" t="s">
        <v>19</v>
      </c>
      <c r="C4644" s="2" t="s">
        <v>35</v>
      </c>
      <c r="D4644" s="2">
        <v>65</v>
      </c>
      <c r="E4644" s="2" t="s">
        <v>14</v>
      </c>
      <c r="F4644" s="2" t="s">
        <v>16</v>
      </c>
      <c r="G4644" s="7">
        <v>74.8</v>
      </c>
      <c r="H4644" s="7">
        <v>4820.1499999999996</v>
      </c>
      <c r="I4644" s="2" t="s">
        <v>16</v>
      </c>
      <c r="J4644" s="2" t="s">
        <v>16</v>
      </c>
      <c r="K4644" s="2" t="s">
        <v>24</v>
      </c>
      <c r="L4644" s="7">
        <v>4820.1499999999996</v>
      </c>
      <c r="M4644" s="2" t="str">
        <f>_xlfn.IFS(TelecomData[[#This Row],[TenureMonths]]&lt;=12, "0-1 Year", TelecomData[[#This Row],[TenureMonths]]&lt;=36, "1-3 Years", TelecomData[[#This Row],[TenureMonths]]&gt;36, "3+ Years")</f>
        <v>3+ Years</v>
      </c>
      <c r="N4644" s="2" t="str">
        <f>IF(TelecomData[[#This Row],[CleanedTotalCharges]]&gt;=2500,"High Spend", "Standard Spend")</f>
        <v>High Spend</v>
      </c>
    </row>
    <row r="4645" spans="1:14" x14ac:dyDescent="0.3">
      <c r="A4645" s="1" t="s">
        <v>4669</v>
      </c>
      <c r="B4645" s="2" t="s">
        <v>19</v>
      </c>
      <c r="C4645" s="2" t="s">
        <v>13</v>
      </c>
      <c r="D4645" s="2">
        <v>3</v>
      </c>
      <c r="E4645" s="2" t="s">
        <v>14</v>
      </c>
      <c r="F4645" s="2" t="s">
        <v>16</v>
      </c>
      <c r="G4645" s="7">
        <v>65.25</v>
      </c>
      <c r="H4645" s="7">
        <v>209.9</v>
      </c>
      <c r="I4645" s="2" t="s">
        <v>15</v>
      </c>
      <c r="J4645" s="2" t="s">
        <v>16</v>
      </c>
      <c r="K4645" s="2" t="s">
        <v>21</v>
      </c>
      <c r="L4645" s="7">
        <v>209.9</v>
      </c>
      <c r="M4645" s="2" t="str">
        <f>_xlfn.IFS(TelecomData[[#This Row],[TenureMonths]]&lt;=12, "0-1 Year", TelecomData[[#This Row],[TenureMonths]]&lt;=36, "1-3 Years", TelecomData[[#This Row],[TenureMonths]]&gt;36, "3+ Years")</f>
        <v>0-1 Year</v>
      </c>
      <c r="N4645" s="2" t="str">
        <f>IF(TelecomData[[#This Row],[CleanedTotalCharges]]&gt;=2500,"High Spend", "Standard Spend")</f>
        <v>Standard Spend</v>
      </c>
    </row>
    <row r="4646" spans="1:14" x14ac:dyDescent="0.3">
      <c r="A4646" s="1" t="s">
        <v>4670</v>
      </c>
      <c r="B4646" s="2" t="s">
        <v>19</v>
      </c>
      <c r="C4646" s="2" t="s">
        <v>13</v>
      </c>
      <c r="D4646" s="2">
        <v>13</v>
      </c>
      <c r="E4646" s="2" t="s">
        <v>14</v>
      </c>
      <c r="F4646" s="2" t="s">
        <v>16</v>
      </c>
      <c r="G4646" s="7">
        <v>50.55</v>
      </c>
      <c r="H4646" s="7">
        <v>610.75</v>
      </c>
      <c r="I4646" s="2" t="s">
        <v>15</v>
      </c>
      <c r="J4646" s="2" t="s">
        <v>16</v>
      </c>
      <c r="K4646" s="2" t="s">
        <v>21</v>
      </c>
      <c r="L4646" s="7">
        <v>610.75</v>
      </c>
      <c r="M4646" s="2" t="str">
        <f>_xlfn.IFS(TelecomData[[#This Row],[TenureMonths]]&lt;=12, "0-1 Year", TelecomData[[#This Row],[TenureMonths]]&lt;=36, "1-3 Years", TelecomData[[#This Row],[TenureMonths]]&gt;36, "3+ Years")</f>
        <v>1-3 Years</v>
      </c>
      <c r="N4646" s="2" t="str">
        <f>IF(TelecomData[[#This Row],[CleanedTotalCharges]]&gt;=2500,"High Spend", "Standard Spend")</f>
        <v>Standard Spend</v>
      </c>
    </row>
    <row r="4647" spans="1:14" x14ac:dyDescent="0.3">
      <c r="A4647" s="1" t="s">
        <v>4671</v>
      </c>
      <c r="B4647" s="2" t="s">
        <v>12</v>
      </c>
      <c r="C4647" s="2" t="s">
        <v>13</v>
      </c>
      <c r="D4647" s="2">
        <v>33</v>
      </c>
      <c r="E4647" s="2" t="s">
        <v>26</v>
      </c>
      <c r="F4647" s="2" t="s">
        <v>15</v>
      </c>
      <c r="G4647" s="7">
        <v>104.4</v>
      </c>
      <c r="H4647" s="7">
        <v>3409.6</v>
      </c>
      <c r="I4647" s="2" t="s">
        <v>16</v>
      </c>
      <c r="J4647" s="2" t="s">
        <v>16</v>
      </c>
      <c r="K4647" s="2" t="s">
        <v>17</v>
      </c>
      <c r="L4647" s="7">
        <v>3409.6</v>
      </c>
      <c r="M4647" s="2" t="str">
        <f>_xlfn.IFS(TelecomData[[#This Row],[TenureMonths]]&lt;=12, "0-1 Year", TelecomData[[#This Row],[TenureMonths]]&lt;=36, "1-3 Years", TelecomData[[#This Row],[TenureMonths]]&gt;36, "3+ Years")</f>
        <v>1-3 Years</v>
      </c>
      <c r="N4647" s="2" t="str">
        <f>IF(TelecomData[[#This Row],[CleanedTotalCharges]]&gt;=2500,"High Spend", "Standard Spend")</f>
        <v>High Spend</v>
      </c>
    </row>
    <row r="4648" spans="1:14" x14ac:dyDescent="0.3">
      <c r="A4648" s="1" t="s">
        <v>4672</v>
      </c>
      <c r="B4648" s="2" t="s">
        <v>12</v>
      </c>
      <c r="C4648" s="2" t="s">
        <v>13</v>
      </c>
      <c r="D4648" s="2">
        <v>1</v>
      </c>
      <c r="E4648" s="2" t="s">
        <v>26</v>
      </c>
      <c r="F4648" s="2" t="s">
        <v>15</v>
      </c>
      <c r="G4648" s="7">
        <v>70.7</v>
      </c>
      <c r="H4648" s="7">
        <v>70.7</v>
      </c>
      <c r="I4648" s="2" t="s">
        <v>15</v>
      </c>
      <c r="J4648" s="2" t="s">
        <v>16</v>
      </c>
      <c r="K4648" s="2" t="s">
        <v>21</v>
      </c>
      <c r="L4648" s="7">
        <v>70.7</v>
      </c>
      <c r="M4648" s="2" t="str">
        <f>_xlfn.IFS(TelecomData[[#This Row],[TenureMonths]]&lt;=12, "0-1 Year", TelecomData[[#This Row],[TenureMonths]]&lt;=36, "1-3 Years", TelecomData[[#This Row],[TenureMonths]]&gt;36, "3+ Years")</f>
        <v>0-1 Year</v>
      </c>
      <c r="N4648" s="2" t="str">
        <f>IF(TelecomData[[#This Row],[CleanedTotalCharges]]&gt;=2500,"High Spend", "Standard Spend")</f>
        <v>Standard Spend</v>
      </c>
    </row>
    <row r="4649" spans="1:14" x14ac:dyDescent="0.3">
      <c r="A4649" s="1" t="s">
        <v>4673</v>
      </c>
      <c r="B4649" s="2" t="s">
        <v>19</v>
      </c>
      <c r="C4649" s="2" t="s">
        <v>13</v>
      </c>
      <c r="D4649" s="2">
        <v>4</v>
      </c>
      <c r="E4649" s="2" t="s">
        <v>14</v>
      </c>
      <c r="F4649" s="2" t="s">
        <v>15</v>
      </c>
      <c r="G4649" s="7">
        <v>45.25</v>
      </c>
      <c r="H4649" s="7">
        <v>155.35</v>
      </c>
      <c r="I4649" s="2" t="s">
        <v>15</v>
      </c>
      <c r="J4649" s="2" t="s">
        <v>15</v>
      </c>
      <c r="K4649" s="2" t="s">
        <v>21</v>
      </c>
      <c r="L4649" s="7">
        <v>155.35</v>
      </c>
      <c r="M4649" s="2" t="str">
        <f>_xlfn.IFS(TelecomData[[#This Row],[TenureMonths]]&lt;=12, "0-1 Year", TelecomData[[#This Row],[TenureMonths]]&lt;=36, "1-3 Years", TelecomData[[#This Row],[TenureMonths]]&gt;36, "3+ Years")</f>
        <v>0-1 Year</v>
      </c>
      <c r="N4649" s="2" t="str">
        <f>IF(TelecomData[[#This Row],[CleanedTotalCharges]]&gt;=2500,"High Spend", "Standard Spend")</f>
        <v>Standard Spend</v>
      </c>
    </row>
    <row r="4650" spans="1:14" x14ac:dyDescent="0.3">
      <c r="A4650" s="1" t="s">
        <v>4674</v>
      </c>
      <c r="B4650" s="2" t="s">
        <v>19</v>
      </c>
      <c r="C4650" s="2" t="s">
        <v>13</v>
      </c>
      <c r="D4650" s="2">
        <v>2</v>
      </c>
      <c r="E4650" s="2" t="s">
        <v>26</v>
      </c>
      <c r="F4650" s="2" t="s">
        <v>15</v>
      </c>
      <c r="G4650" s="7">
        <v>70.3</v>
      </c>
      <c r="H4650" s="7">
        <v>144</v>
      </c>
      <c r="I4650" s="2" t="s">
        <v>15</v>
      </c>
      <c r="J4650" s="2" t="s">
        <v>16</v>
      </c>
      <c r="K4650" s="2" t="s">
        <v>17</v>
      </c>
      <c r="L4650" s="7">
        <v>144</v>
      </c>
      <c r="M4650" s="2" t="str">
        <f>_xlfn.IFS(TelecomData[[#This Row],[TenureMonths]]&lt;=12, "0-1 Year", TelecomData[[#This Row],[TenureMonths]]&lt;=36, "1-3 Years", TelecomData[[#This Row],[TenureMonths]]&gt;36, "3+ Years")</f>
        <v>0-1 Year</v>
      </c>
      <c r="N4650" s="2" t="str">
        <f>IF(TelecomData[[#This Row],[CleanedTotalCharges]]&gt;=2500,"High Spend", "Standard Spend")</f>
        <v>Standard Spend</v>
      </c>
    </row>
    <row r="4651" spans="1:14" x14ac:dyDescent="0.3">
      <c r="A4651" s="1" t="s">
        <v>4675</v>
      </c>
      <c r="B4651" s="2" t="s">
        <v>19</v>
      </c>
      <c r="C4651" s="2" t="s">
        <v>35</v>
      </c>
      <c r="D4651" s="2">
        <v>72</v>
      </c>
      <c r="E4651" s="2" t="s">
        <v>26</v>
      </c>
      <c r="F4651" s="2" t="s">
        <v>16</v>
      </c>
      <c r="G4651" s="7">
        <v>108.95</v>
      </c>
      <c r="H4651" s="7">
        <v>7875</v>
      </c>
      <c r="I4651" s="2" t="s">
        <v>15</v>
      </c>
      <c r="J4651" s="2" t="s">
        <v>16</v>
      </c>
      <c r="K4651" s="2" t="s">
        <v>29</v>
      </c>
      <c r="L4651" s="7">
        <v>7875</v>
      </c>
      <c r="M4651" s="2" t="str">
        <f>_xlfn.IFS(TelecomData[[#This Row],[TenureMonths]]&lt;=12, "0-1 Year", TelecomData[[#This Row],[TenureMonths]]&lt;=36, "1-3 Years", TelecomData[[#This Row],[TenureMonths]]&gt;36, "3+ Years")</f>
        <v>3+ Years</v>
      </c>
      <c r="N4651" s="2" t="str">
        <f>IF(TelecomData[[#This Row],[CleanedTotalCharges]]&gt;=2500,"High Spend", "Standard Spend")</f>
        <v>High Spend</v>
      </c>
    </row>
    <row r="4652" spans="1:14" x14ac:dyDescent="0.3">
      <c r="A4652" s="1" t="s">
        <v>4676</v>
      </c>
      <c r="B4652" s="2" t="s">
        <v>12</v>
      </c>
      <c r="C4652" s="2" t="s">
        <v>13</v>
      </c>
      <c r="D4652" s="2">
        <v>37</v>
      </c>
      <c r="E4652" s="2" t="s">
        <v>15</v>
      </c>
      <c r="F4652" s="2" t="s">
        <v>36</v>
      </c>
      <c r="G4652" s="7">
        <v>26.45</v>
      </c>
      <c r="H4652" s="7">
        <v>911.6</v>
      </c>
      <c r="I4652" s="2" t="s">
        <v>15</v>
      </c>
      <c r="J4652" s="2" t="s">
        <v>15</v>
      </c>
      <c r="K4652" s="2" t="s">
        <v>21</v>
      </c>
      <c r="L4652" s="7">
        <v>911.6</v>
      </c>
      <c r="M4652" s="2" t="str">
        <f>_xlfn.IFS(TelecomData[[#This Row],[TenureMonths]]&lt;=12, "0-1 Year", TelecomData[[#This Row],[TenureMonths]]&lt;=36, "1-3 Years", TelecomData[[#This Row],[TenureMonths]]&gt;36, "3+ Years")</f>
        <v>3+ Years</v>
      </c>
      <c r="N4652" s="2" t="str">
        <f>IF(TelecomData[[#This Row],[CleanedTotalCharges]]&gt;=2500,"High Spend", "Standard Spend")</f>
        <v>Standard Spend</v>
      </c>
    </row>
    <row r="4653" spans="1:14" x14ac:dyDescent="0.3">
      <c r="A4653" s="1" t="s">
        <v>4677</v>
      </c>
      <c r="B4653" s="2" t="s">
        <v>12</v>
      </c>
      <c r="C4653" s="2" t="s">
        <v>13</v>
      </c>
      <c r="D4653" s="2">
        <v>15</v>
      </c>
      <c r="E4653" s="2" t="s">
        <v>26</v>
      </c>
      <c r="F4653" s="2" t="s">
        <v>15</v>
      </c>
      <c r="G4653" s="7">
        <v>86.2</v>
      </c>
      <c r="H4653" s="7">
        <v>1270.2</v>
      </c>
      <c r="I4653" s="2" t="s">
        <v>16</v>
      </c>
      <c r="J4653" s="2" t="s">
        <v>15</v>
      </c>
      <c r="K4653" s="2" t="s">
        <v>17</v>
      </c>
      <c r="L4653" s="7">
        <v>1270.2</v>
      </c>
      <c r="M4653" s="2" t="str">
        <f>_xlfn.IFS(TelecomData[[#This Row],[TenureMonths]]&lt;=12, "0-1 Year", TelecomData[[#This Row],[TenureMonths]]&lt;=36, "1-3 Years", TelecomData[[#This Row],[TenureMonths]]&gt;36, "3+ Years")</f>
        <v>1-3 Years</v>
      </c>
      <c r="N4653" s="2" t="str">
        <f>IF(TelecomData[[#This Row],[CleanedTotalCharges]]&gt;=2500,"High Spend", "Standard Spend")</f>
        <v>Standard Spend</v>
      </c>
    </row>
    <row r="4654" spans="1:14" x14ac:dyDescent="0.3">
      <c r="A4654" s="1" t="s">
        <v>4678</v>
      </c>
      <c r="B4654" s="2" t="s">
        <v>12</v>
      </c>
      <c r="C4654" s="2" t="s">
        <v>20</v>
      </c>
      <c r="D4654" s="2">
        <v>23</v>
      </c>
      <c r="E4654" s="2" t="s">
        <v>15</v>
      </c>
      <c r="F4654" s="2" t="s">
        <v>36</v>
      </c>
      <c r="G4654" s="7">
        <v>19.649999999999999</v>
      </c>
      <c r="H4654" s="7">
        <v>478.1</v>
      </c>
      <c r="I4654" s="2" t="s">
        <v>15</v>
      </c>
      <c r="J4654" s="2" t="s">
        <v>16</v>
      </c>
      <c r="K4654" s="2" t="s">
        <v>29</v>
      </c>
      <c r="L4654" s="7">
        <v>478.1</v>
      </c>
      <c r="M4654" s="2" t="str">
        <f>_xlfn.IFS(TelecomData[[#This Row],[TenureMonths]]&lt;=12, "0-1 Year", TelecomData[[#This Row],[TenureMonths]]&lt;=36, "1-3 Years", TelecomData[[#This Row],[TenureMonths]]&gt;36, "3+ Years")</f>
        <v>1-3 Years</v>
      </c>
      <c r="N4654" s="2" t="str">
        <f>IF(TelecomData[[#This Row],[CleanedTotalCharges]]&gt;=2500,"High Spend", "Standard Spend")</f>
        <v>Standard Spend</v>
      </c>
    </row>
    <row r="4655" spans="1:14" x14ac:dyDescent="0.3">
      <c r="A4655" s="1" t="s">
        <v>4679</v>
      </c>
      <c r="B4655" s="2" t="s">
        <v>12</v>
      </c>
      <c r="C4655" s="2" t="s">
        <v>13</v>
      </c>
      <c r="D4655" s="2">
        <v>30</v>
      </c>
      <c r="E4655" s="2" t="s">
        <v>14</v>
      </c>
      <c r="F4655" s="2" t="s">
        <v>16</v>
      </c>
      <c r="G4655" s="7">
        <v>51.2</v>
      </c>
      <c r="H4655" s="7">
        <v>1561.5</v>
      </c>
      <c r="I4655" s="2" t="s">
        <v>16</v>
      </c>
      <c r="J4655" s="2" t="s">
        <v>15</v>
      </c>
      <c r="K4655" s="2" t="s">
        <v>29</v>
      </c>
      <c r="L4655" s="7">
        <v>1561.5</v>
      </c>
      <c r="M4655" s="2" t="str">
        <f>_xlfn.IFS(TelecomData[[#This Row],[TenureMonths]]&lt;=12, "0-1 Year", TelecomData[[#This Row],[TenureMonths]]&lt;=36, "1-3 Years", TelecomData[[#This Row],[TenureMonths]]&gt;36, "3+ Years")</f>
        <v>1-3 Years</v>
      </c>
      <c r="N4655" s="2" t="str">
        <f>IF(TelecomData[[#This Row],[CleanedTotalCharges]]&gt;=2500,"High Spend", "Standard Spend")</f>
        <v>Standard Spend</v>
      </c>
    </row>
    <row r="4656" spans="1:14" x14ac:dyDescent="0.3">
      <c r="A4656" s="1" t="s">
        <v>4680</v>
      </c>
      <c r="B4656" s="2" t="s">
        <v>12</v>
      </c>
      <c r="C4656" s="2" t="s">
        <v>20</v>
      </c>
      <c r="D4656" s="2">
        <v>42</v>
      </c>
      <c r="E4656" s="2" t="s">
        <v>15</v>
      </c>
      <c r="F4656" s="2" t="s">
        <v>36</v>
      </c>
      <c r="G4656" s="7">
        <v>19.05</v>
      </c>
      <c r="H4656" s="7">
        <v>761.85</v>
      </c>
      <c r="I4656" s="2" t="s">
        <v>15</v>
      </c>
      <c r="J4656" s="2" t="s">
        <v>16</v>
      </c>
      <c r="K4656" s="2" t="s">
        <v>17</v>
      </c>
      <c r="L4656" s="7">
        <v>761.85</v>
      </c>
      <c r="M4656" s="2" t="str">
        <f>_xlfn.IFS(TelecomData[[#This Row],[TenureMonths]]&lt;=12, "0-1 Year", TelecomData[[#This Row],[TenureMonths]]&lt;=36, "1-3 Years", TelecomData[[#This Row],[TenureMonths]]&gt;36, "3+ Years")</f>
        <v>3+ Years</v>
      </c>
      <c r="N4656" s="2" t="str">
        <f>IF(TelecomData[[#This Row],[CleanedTotalCharges]]&gt;=2500,"High Spend", "Standard Spend")</f>
        <v>Standard Spend</v>
      </c>
    </row>
    <row r="4657" spans="1:14" x14ac:dyDescent="0.3">
      <c r="A4657" s="1" t="s">
        <v>4681</v>
      </c>
      <c r="B4657" s="2" t="s">
        <v>12</v>
      </c>
      <c r="C4657" s="2" t="s">
        <v>20</v>
      </c>
      <c r="D4657" s="2">
        <v>32</v>
      </c>
      <c r="E4657" s="2" t="s">
        <v>14</v>
      </c>
      <c r="F4657" s="2" t="s">
        <v>15</v>
      </c>
      <c r="G4657" s="7">
        <v>74.75</v>
      </c>
      <c r="H4657" s="7">
        <v>2282.9499999999998</v>
      </c>
      <c r="I4657" s="2" t="s">
        <v>15</v>
      </c>
      <c r="J4657" s="2" t="s">
        <v>15</v>
      </c>
      <c r="K4657" s="2" t="s">
        <v>21</v>
      </c>
      <c r="L4657" s="7">
        <v>2282.9499999999998</v>
      </c>
      <c r="M4657" s="2" t="str">
        <f>_xlfn.IFS(TelecomData[[#This Row],[TenureMonths]]&lt;=12, "0-1 Year", TelecomData[[#This Row],[TenureMonths]]&lt;=36, "1-3 Years", TelecomData[[#This Row],[TenureMonths]]&gt;36, "3+ Years")</f>
        <v>1-3 Years</v>
      </c>
      <c r="N4657" s="2" t="str">
        <f>IF(TelecomData[[#This Row],[CleanedTotalCharges]]&gt;=2500,"High Spend", "Standard Spend")</f>
        <v>Standard Spend</v>
      </c>
    </row>
    <row r="4658" spans="1:14" x14ac:dyDescent="0.3">
      <c r="A4658" s="1" t="s">
        <v>4682</v>
      </c>
      <c r="B4658" s="2" t="s">
        <v>12</v>
      </c>
      <c r="C4658" s="2" t="s">
        <v>13</v>
      </c>
      <c r="D4658" s="2">
        <v>22</v>
      </c>
      <c r="E4658" s="2" t="s">
        <v>26</v>
      </c>
      <c r="F4658" s="2" t="s">
        <v>15</v>
      </c>
      <c r="G4658" s="7">
        <v>75.8</v>
      </c>
      <c r="H4658" s="7">
        <v>1615.1</v>
      </c>
      <c r="I4658" s="2" t="s">
        <v>15</v>
      </c>
      <c r="J4658" s="2" t="s">
        <v>16</v>
      </c>
      <c r="K4658" s="2" t="s">
        <v>24</v>
      </c>
      <c r="L4658" s="7">
        <v>1615.1</v>
      </c>
      <c r="M4658" s="2" t="str">
        <f>_xlfn.IFS(TelecomData[[#This Row],[TenureMonths]]&lt;=12, "0-1 Year", TelecomData[[#This Row],[TenureMonths]]&lt;=36, "1-3 Years", TelecomData[[#This Row],[TenureMonths]]&gt;36, "3+ Years")</f>
        <v>1-3 Years</v>
      </c>
      <c r="N4658" s="2" t="str">
        <f>IF(TelecomData[[#This Row],[CleanedTotalCharges]]&gt;=2500,"High Spend", "Standard Spend")</f>
        <v>Standard Spend</v>
      </c>
    </row>
    <row r="4659" spans="1:14" x14ac:dyDescent="0.3">
      <c r="A4659" s="1" t="s">
        <v>4683</v>
      </c>
      <c r="B4659" s="2" t="s">
        <v>19</v>
      </c>
      <c r="C4659" s="2" t="s">
        <v>13</v>
      </c>
      <c r="D4659" s="2">
        <v>42</v>
      </c>
      <c r="E4659" s="2" t="s">
        <v>14</v>
      </c>
      <c r="F4659" s="2" t="s">
        <v>15</v>
      </c>
      <c r="G4659" s="7">
        <v>25.1</v>
      </c>
      <c r="H4659" s="7">
        <v>1097.1500000000001</v>
      </c>
      <c r="I4659" s="2" t="s">
        <v>15</v>
      </c>
      <c r="J4659" s="2" t="s">
        <v>16</v>
      </c>
      <c r="K4659" s="2" t="s">
        <v>29</v>
      </c>
      <c r="L4659" s="7">
        <v>1097.1500000000001</v>
      </c>
      <c r="M4659" s="2" t="str">
        <f>_xlfn.IFS(TelecomData[[#This Row],[TenureMonths]]&lt;=12, "0-1 Year", TelecomData[[#This Row],[TenureMonths]]&lt;=36, "1-3 Years", TelecomData[[#This Row],[TenureMonths]]&gt;36, "3+ Years")</f>
        <v>3+ Years</v>
      </c>
      <c r="N4659" s="2" t="str">
        <f>IF(TelecomData[[#This Row],[CleanedTotalCharges]]&gt;=2500,"High Spend", "Standard Spend")</f>
        <v>Standard Spend</v>
      </c>
    </row>
    <row r="4660" spans="1:14" x14ac:dyDescent="0.3">
      <c r="A4660" s="1" t="s">
        <v>4684</v>
      </c>
      <c r="B4660" s="2" t="s">
        <v>12</v>
      </c>
      <c r="C4660" s="2" t="s">
        <v>13</v>
      </c>
      <c r="D4660" s="2">
        <v>8</v>
      </c>
      <c r="E4660" s="2" t="s">
        <v>14</v>
      </c>
      <c r="F4660" s="2" t="s">
        <v>15</v>
      </c>
      <c r="G4660" s="7">
        <v>44.45</v>
      </c>
      <c r="H4660" s="7">
        <v>369.3</v>
      </c>
      <c r="I4660" s="2" t="s">
        <v>15</v>
      </c>
      <c r="J4660" s="2" t="s">
        <v>15</v>
      </c>
      <c r="K4660" s="2" t="s">
        <v>21</v>
      </c>
      <c r="L4660" s="7">
        <v>369.3</v>
      </c>
      <c r="M4660" s="2" t="str">
        <f>_xlfn.IFS(TelecomData[[#This Row],[TenureMonths]]&lt;=12, "0-1 Year", TelecomData[[#This Row],[TenureMonths]]&lt;=36, "1-3 Years", TelecomData[[#This Row],[TenureMonths]]&gt;36, "3+ Years")</f>
        <v>0-1 Year</v>
      </c>
      <c r="N4660" s="2" t="str">
        <f>IF(TelecomData[[#This Row],[CleanedTotalCharges]]&gt;=2500,"High Spend", "Standard Spend")</f>
        <v>Standard Spend</v>
      </c>
    </row>
    <row r="4661" spans="1:14" x14ac:dyDescent="0.3">
      <c r="A4661" s="1" t="s">
        <v>4685</v>
      </c>
      <c r="B4661" s="2" t="s">
        <v>12</v>
      </c>
      <c r="C4661" s="2" t="s">
        <v>35</v>
      </c>
      <c r="D4661" s="2">
        <v>65</v>
      </c>
      <c r="E4661" s="2" t="s">
        <v>26</v>
      </c>
      <c r="F4661" s="2" t="s">
        <v>15</v>
      </c>
      <c r="G4661" s="7">
        <v>104.3</v>
      </c>
      <c r="H4661" s="7">
        <v>6725.3</v>
      </c>
      <c r="I4661" s="2" t="s">
        <v>15</v>
      </c>
      <c r="J4661" s="2" t="s">
        <v>16</v>
      </c>
      <c r="K4661" s="2" t="s">
        <v>29</v>
      </c>
      <c r="L4661" s="7">
        <v>6725.3</v>
      </c>
      <c r="M4661" s="2" t="str">
        <f>_xlfn.IFS(TelecomData[[#This Row],[TenureMonths]]&lt;=12, "0-1 Year", TelecomData[[#This Row],[TenureMonths]]&lt;=36, "1-3 Years", TelecomData[[#This Row],[TenureMonths]]&gt;36, "3+ Years")</f>
        <v>3+ Years</v>
      </c>
      <c r="N4661" s="2" t="str">
        <f>IF(TelecomData[[#This Row],[CleanedTotalCharges]]&gt;=2500,"High Spend", "Standard Spend")</f>
        <v>High Spend</v>
      </c>
    </row>
    <row r="4662" spans="1:14" x14ac:dyDescent="0.3">
      <c r="A4662" s="1" t="s">
        <v>4686</v>
      </c>
      <c r="B4662" s="2" t="s">
        <v>12</v>
      </c>
      <c r="C4662" s="2" t="s">
        <v>13</v>
      </c>
      <c r="D4662" s="2">
        <v>2</v>
      </c>
      <c r="E4662" s="2" t="s">
        <v>15</v>
      </c>
      <c r="F4662" s="2" t="s">
        <v>36</v>
      </c>
      <c r="G4662" s="7">
        <v>19.5</v>
      </c>
      <c r="H4662" s="7">
        <v>31.55</v>
      </c>
      <c r="I4662" s="2" t="s">
        <v>16</v>
      </c>
      <c r="J4662" s="2" t="s">
        <v>15</v>
      </c>
      <c r="K4662" s="2" t="s">
        <v>21</v>
      </c>
      <c r="L4662" s="7">
        <v>31.55</v>
      </c>
      <c r="M4662" s="2" t="str">
        <f>_xlfn.IFS(TelecomData[[#This Row],[TenureMonths]]&lt;=12, "0-1 Year", TelecomData[[#This Row],[TenureMonths]]&lt;=36, "1-3 Years", TelecomData[[#This Row],[TenureMonths]]&gt;36, "3+ Years")</f>
        <v>0-1 Year</v>
      </c>
      <c r="N4662" s="2" t="str">
        <f>IF(TelecomData[[#This Row],[CleanedTotalCharges]]&gt;=2500,"High Spend", "Standard Spend")</f>
        <v>Standard Spend</v>
      </c>
    </row>
    <row r="4663" spans="1:14" x14ac:dyDescent="0.3">
      <c r="A4663" s="1" t="s">
        <v>4687</v>
      </c>
      <c r="B4663" s="2" t="s">
        <v>12</v>
      </c>
      <c r="C4663" s="2" t="s">
        <v>35</v>
      </c>
      <c r="D4663" s="2">
        <v>70</v>
      </c>
      <c r="E4663" s="2" t="s">
        <v>14</v>
      </c>
      <c r="F4663" s="2" t="s">
        <v>16</v>
      </c>
      <c r="G4663" s="7">
        <v>89</v>
      </c>
      <c r="H4663" s="7">
        <v>6293.2</v>
      </c>
      <c r="I4663" s="2" t="s">
        <v>15</v>
      </c>
      <c r="J4663" s="2" t="s">
        <v>16</v>
      </c>
      <c r="K4663" s="2" t="s">
        <v>24</v>
      </c>
      <c r="L4663" s="7">
        <v>6293.2</v>
      </c>
      <c r="M4663" s="2" t="str">
        <f>_xlfn.IFS(TelecomData[[#This Row],[TenureMonths]]&lt;=12, "0-1 Year", TelecomData[[#This Row],[TenureMonths]]&lt;=36, "1-3 Years", TelecomData[[#This Row],[TenureMonths]]&gt;36, "3+ Years")</f>
        <v>3+ Years</v>
      </c>
      <c r="N4663" s="2" t="str">
        <f>IF(TelecomData[[#This Row],[CleanedTotalCharges]]&gt;=2500,"High Spend", "Standard Spend")</f>
        <v>High Spend</v>
      </c>
    </row>
    <row r="4664" spans="1:14" x14ac:dyDescent="0.3">
      <c r="A4664" s="1" t="s">
        <v>4688</v>
      </c>
      <c r="B4664" s="2" t="s">
        <v>19</v>
      </c>
      <c r="C4664" s="2" t="s">
        <v>13</v>
      </c>
      <c r="D4664" s="2">
        <v>22</v>
      </c>
      <c r="E4664" s="2" t="s">
        <v>15</v>
      </c>
      <c r="F4664" s="2" t="s">
        <v>36</v>
      </c>
      <c r="G4664" s="7">
        <v>20.149999999999999</v>
      </c>
      <c r="H4664" s="7">
        <v>432.5</v>
      </c>
      <c r="I4664" s="2" t="s">
        <v>15</v>
      </c>
      <c r="J4664" s="2" t="s">
        <v>15</v>
      </c>
      <c r="K4664" s="2" t="s">
        <v>29</v>
      </c>
      <c r="L4664" s="7">
        <v>432.5</v>
      </c>
      <c r="M4664" s="2" t="str">
        <f>_xlfn.IFS(TelecomData[[#This Row],[TenureMonths]]&lt;=12, "0-1 Year", TelecomData[[#This Row],[TenureMonths]]&lt;=36, "1-3 Years", TelecomData[[#This Row],[TenureMonths]]&gt;36, "3+ Years")</f>
        <v>1-3 Years</v>
      </c>
      <c r="N4664" s="2" t="str">
        <f>IF(TelecomData[[#This Row],[CleanedTotalCharges]]&gt;=2500,"High Spend", "Standard Spend")</f>
        <v>Standard Spend</v>
      </c>
    </row>
    <row r="4665" spans="1:14" x14ac:dyDescent="0.3">
      <c r="A4665" s="1" t="s">
        <v>4689</v>
      </c>
      <c r="B4665" s="2" t="s">
        <v>12</v>
      </c>
      <c r="C4665" s="2" t="s">
        <v>13</v>
      </c>
      <c r="D4665" s="2">
        <v>4</v>
      </c>
      <c r="E4665" s="2" t="s">
        <v>26</v>
      </c>
      <c r="F4665" s="2" t="s">
        <v>15</v>
      </c>
      <c r="G4665" s="7">
        <v>74.900000000000006</v>
      </c>
      <c r="H4665" s="7">
        <v>321.75</v>
      </c>
      <c r="I4665" s="2" t="s">
        <v>16</v>
      </c>
      <c r="J4665" s="2" t="s">
        <v>16</v>
      </c>
      <c r="K4665" s="2" t="s">
        <v>17</v>
      </c>
      <c r="L4665" s="7">
        <v>321.75</v>
      </c>
      <c r="M4665" s="2" t="str">
        <f>_xlfn.IFS(TelecomData[[#This Row],[TenureMonths]]&lt;=12, "0-1 Year", TelecomData[[#This Row],[TenureMonths]]&lt;=36, "1-3 Years", TelecomData[[#This Row],[TenureMonths]]&gt;36, "3+ Years")</f>
        <v>0-1 Year</v>
      </c>
      <c r="N4665" s="2" t="str">
        <f>IF(TelecomData[[#This Row],[CleanedTotalCharges]]&gt;=2500,"High Spend", "Standard Spend")</f>
        <v>Standard Spend</v>
      </c>
    </row>
    <row r="4666" spans="1:14" x14ac:dyDescent="0.3">
      <c r="A4666" s="1" t="s">
        <v>4690</v>
      </c>
      <c r="B4666" s="2" t="s">
        <v>12</v>
      </c>
      <c r="C4666" s="2" t="s">
        <v>13</v>
      </c>
      <c r="D4666" s="2">
        <v>2</v>
      </c>
      <c r="E4666" s="2" t="s">
        <v>26</v>
      </c>
      <c r="F4666" s="2" t="s">
        <v>15</v>
      </c>
      <c r="G4666" s="7">
        <v>74.900000000000006</v>
      </c>
      <c r="H4666" s="7">
        <v>147.15</v>
      </c>
      <c r="I4666" s="2" t="s">
        <v>16</v>
      </c>
      <c r="J4666" s="2" t="s">
        <v>15</v>
      </c>
      <c r="K4666" s="2" t="s">
        <v>29</v>
      </c>
      <c r="L4666" s="7">
        <v>147.15</v>
      </c>
      <c r="M4666" s="2" t="str">
        <f>_xlfn.IFS(TelecomData[[#This Row],[TenureMonths]]&lt;=12, "0-1 Year", TelecomData[[#This Row],[TenureMonths]]&lt;=36, "1-3 Years", TelecomData[[#This Row],[TenureMonths]]&gt;36, "3+ Years")</f>
        <v>0-1 Year</v>
      </c>
      <c r="N4666" s="2" t="str">
        <f>IF(TelecomData[[#This Row],[CleanedTotalCharges]]&gt;=2500,"High Spend", "Standard Spend")</f>
        <v>Standard Spend</v>
      </c>
    </row>
    <row r="4667" spans="1:14" x14ac:dyDescent="0.3">
      <c r="A4667" s="1" t="s">
        <v>4691</v>
      </c>
      <c r="B4667" s="2" t="s">
        <v>12</v>
      </c>
      <c r="C4667" s="2" t="s">
        <v>35</v>
      </c>
      <c r="D4667" s="2">
        <v>67</v>
      </c>
      <c r="E4667" s="2" t="s">
        <v>14</v>
      </c>
      <c r="F4667" s="2" t="s">
        <v>15</v>
      </c>
      <c r="G4667" s="7">
        <v>36.15</v>
      </c>
      <c r="H4667" s="7">
        <v>2434.4499999999998</v>
      </c>
      <c r="I4667" s="2" t="s">
        <v>15</v>
      </c>
      <c r="J4667" s="2" t="s">
        <v>15</v>
      </c>
      <c r="K4667" s="2" t="s">
        <v>24</v>
      </c>
      <c r="L4667" s="7">
        <v>2434.4499999999998</v>
      </c>
      <c r="M4667" s="2" t="str">
        <f>_xlfn.IFS(TelecomData[[#This Row],[TenureMonths]]&lt;=12, "0-1 Year", TelecomData[[#This Row],[TenureMonths]]&lt;=36, "1-3 Years", TelecomData[[#This Row],[TenureMonths]]&gt;36, "3+ Years")</f>
        <v>3+ Years</v>
      </c>
      <c r="N4667" s="2" t="str">
        <f>IF(TelecomData[[#This Row],[CleanedTotalCharges]]&gt;=2500,"High Spend", "Standard Spend")</f>
        <v>Standard Spend</v>
      </c>
    </row>
    <row r="4668" spans="1:14" x14ac:dyDescent="0.3">
      <c r="A4668" s="1" t="s">
        <v>4692</v>
      </c>
      <c r="B4668" s="2" t="s">
        <v>12</v>
      </c>
      <c r="C4668" s="2" t="s">
        <v>13</v>
      </c>
      <c r="D4668" s="2">
        <v>25</v>
      </c>
      <c r="E4668" s="2" t="s">
        <v>15</v>
      </c>
      <c r="F4668" s="2" t="s">
        <v>36</v>
      </c>
      <c r="G4668" s="7">
        <v>19.2</v>
      </c>
      <c r="H4668" s="7">
        <v>532.1</v>
      </c>
      <c r="I4668" s="2" t="s">
        <v>15</v>
      </c>
      <c r="J4668" s="2" t="s">
        <v>16</v>
      </c>
      <c r="K4668" s="2" t="s">
        <v>29</v>
      </c>
      <c r="L4668" s="7">
        <v>532.1</v>
      </c>
      <c r="M4668" s="2" t="str">
        <f>_xlfn.IFS(TelecomData[[#This Row],[TenureMonths]]&lt;=12, "0-1 Year", TelecomData[[#This Row],[TenureMonths]]&lt;=36, "1-3 Years", TelecomData[[#This Row],[TenureMonths]]&gt;36, "3+ Years")</f>
        <v>1-3 Years</v>
      </c>
      <c r="N4668" s="2" t="str">
        <f>IF(TelecomData[[#This Row],[CleanedTotalCharges]]&gt;=2500,"High Spend", "Standard Spend")</f>
        <v>Standard Spend</v>
      </c>
    </row>
    <row r="4669" spans="1:14" x14ac:dyDescent="0.3">
      <c r="A4669" s="1" t="s">
        <v>4693</v>
      </c>
      <c r="B4669" s="2" t="s">
        <v>12</v>
      </c>
      <c r="C4669" s="2" t="s">
        <v>13</v>
      </c>
      <c r="D4669" s="2">
        <v>20</v>
      </c>
      <c r="E4669" s="2" t="s">
        <v>15</v>
      </c>
      <c r="F4669" s="2" t="s">
        <v>36</v>
      </c>
      <c r="G4669" s="7">
        <v>19.25</v>
      </c>
      <c r="H4669" s="7">
        <v>375.25</v>
      </c>
      <c r="I4669" s="2" t="s">
        <v>15</v>
      </c>
      <c r="J4669" s="2" t="s">
        <v>15</v>
      </c>
      <c r="K4669" s="2" t="s">
        <v>24</v>
      </c>
      <c r="L4669" s="7">
        <v>375.25</v>
      </c>
      <c r="M4669" s="2" t="str">
        <f>_xlfn.IFS(TelecomData[[#This Row],[TenureMonths]]&lt;=12, "0-1 Year", TelecomData[[#This Row],[TenureMonths]]&lt;=36, "1-3 Years", TelecomData[[#This Row],[TenureMonths]]&gt;36, "3+ Years")</f>
        <v>1-3 Years</v>
      </c>
      <c r="N4669" s="2" t="str">
        <f>IF(TelecomData[[#This Row],[CleanedTotalCharges]]&gt;=2500,"High Spend", "Standard Spend")</f>
        <v>Standard Spend</v>
      </c>
    </row>
    <row r="4670" spans="1:14" x14ac:dyDescent="0.3">
      <c r="A4670" s="1" t="s">
        <v>4694</v>
      </c>
      <c r="B4670" s="2" t="s">
        <v>12</v>
      </c>
      <c r="C4670" s="2" t="s">
        <v>13</v>
      </c>
      <c r="D4670" s="2">
        <v>2</v>
      </c>
      <c r="E4670" s="2" t="s">
        <v>14</v>
      </c>
      <c r="F4670" s="2" t="s">
        <v>15</v>
      </c>
      <c r="G4670" s="7">
        <v>61.2</v>
      </c>
      <c r="H4670" s="7">
        <v>125.95</v>
      </c>
      <c r="I4670" s="2" t="s">
        <v>15</v>
      </c>
      <c r="J4670" s="2" t="s">
        <v>16</v>
      </c>
      <c r="K4670" s="2" t="s">
        <v>29</v>
      </c>
      <c r="L4670" s="7">
        <v>125.95</v>
      </c>
      <c r="M4670" s="2" t="str">
        <f>_xlfn.IFS(TelecomData[[#This Row],[TenureMonths]]&lt;=12, "0-1 Year", TelecomData[[#This Row],[TenureMonths]]&lt;=36, "1-3 Years", TelecomData[[#This Row],[TenureMonths]]&gt;36, "3+ Years")</f>
        <v>0-1 Year</v>
      </c>
      <c r="N4670" s="2" t="str">
        <f>IF(TelecomData[[#This Row],[CleanedTotalCharges]]&gt;=2500,"High Spend", "Standard Spend")</f>
        <v>Standard Spend</v>
      </c>
    </row>
    <row r="4671" spans="1:14" x14ac:dyDescent="0.3">
      <c r="A4671" s="1" t="s">
        <v>4695</v>
      </c>
      <c r="B4671" s="2" t="s">
        <v>19</v>
      </c>
      <c r="C4671" s="2" t="s">
        <v>35</v>
      </c>
      <c r="D4671" s="2">
        <v>51</v>
      </c>
      <c r="E4671" s="2" t="s">
        <v>15</v>
      </c>
      <c r="F4671" s="2" t="s">
        <v>36</v>
      </c>
      <c r="G4671" s="7">
        <v>20.45</v>
      </c>
      <c r="H4671" s="7">
        <v>1042.6500000000001</v>
      </c>
      <c r="I4671" s="2" t="s">
        <v>15</v>
      </c>
      <c r="J4671" s="2" t="s">
        <v>15</v>
      </c>
      <c r="K4671" s="2" t="s">
        <v>21</v>
      </c>
      <c r="L4671" s="7">
        <v>1042.6500000000001</v>
      </c>
      <c r="M4671" s="2" t="str">
        <f>_xlfn.IFS(TelecomData[[#This Row],[TenureMonths]]&lt;=12, "0-1 Year", TelecomData[[#This Row],[TenureMonths]]&lt;=36, "1-3 Years", TelecomData[[#This Row],[TenureMonths]]&gt;36, "3+ Years")</f>
        <v>3+ Years</v>
      </c>
      <c r="N4671" s="2" t="str">
        <f>IF(TelecomData[[#This Row],[CleanedTotalCharges]]&gt;=2500,"High Spend", "Standard Spend")</f>
        <v>Standard Spend</v>
      </c>
    </row>
    <row r="4672" spans="1:14" x14ac:dyDescent="0.3">
      <c r="A4672" s="1" t="s">
        <v>4696</v>
      </c>
      <c r="B4672" s="2" t="s">
        <v>12</v>
      </c>
      <c r="C4672" s="2" t="s">
        <v>13</v>
      </c>
      <c r="D4672" s="2">
        <v>46</v>
      </c>
      <c r="E4672" s="2" t="s">
        <v>14</v>
      </c>
      <c r="F4672" s="2" t="s">
        <v>15</v>
      </c>
      <c r="G4672" s="7">
        <v>35.049999999999997</v>
      </c>
      <c r="H4672" s="7">
        <v>1620.25</v>
      </c>
      <c r="I4672" s="2" t="s">
        <v>15</v>
      </c>
      <c r="J4672" s="2" t="s">
        <v>15</v>
      </c>
      <c r="K4672" s="2" t="s">
        <v>24</v>
      </c>
      <c r="L4672" s="7">
        <v>1620.25</v>
      </c>
      <c r="M4672" s="2" t="str">
        <f>_xlfn.IFS(TelecomData[[#This Row],[TenureMonths]]&lt;=12, "0-1 Year", TelecomData[[#This Row],[TenureMonths]]&lt;=36, "1-3 Years", TelecomData[[#This Row],[TenureMonths]]&gt;36, "3+ Years")</f>
        <v>3+ Years</v>
      </c>
      <c r="N4672" s="2" t="str">
        <f>IF(TelecomData[[#This Row],[CleanedTotalCharges]]&gt;=2500,"High Spend", "Standard Spend")</f>
        <v>Standard Spend</v>
      </c>
    </row>
    <row r="4673" spans="1:14" x14ac:dyDescent="0.3">
      <c r="A4673" s="1" t="s">
        <v>4697</v>
      </c>
      <c r="B4673" s="2" t="s">
        <v>12</v>
      </c>
      <c r="C4673" s="2" t="s">
        <v>13</v>
      </c>
      <c r="D4673" s="2">
        <v>25</v>
      </c>
      <c r="E4673" s="2" t="s">
        <v>26</v>
      </c>
      <c r="F4673" s="2" t="s">
        <v>15</v>
      </c>
      <c r="G4673" s="7">
        <v>100.25</v>
      </c>
      <c r="H4673" s="7">
        <v>2387.75</v>
      </c>
      <c r="I4673" s="2" t="s">
        <v>16</v>
      </c>
      <c r="J4673" s="2" t="s">
        <v>16</v>
      </c>
      <c r="K4673" s="2" t="s">
        <v>17</v>
      </c>
      <c r="L4673" s="7">
        <v>2387.75</v>
      </c>
      <c r="M4673" s="2" t="str">
        <f>_xlfn.IFS(TelecomData[[#This Row],[TenureMonths]]&lt;=12, "0-1 Year", TelecomData[[#This Row],[TenureMonths]]&lt;=36, "1-3 Years", TelecomData[[#This Row],[TenureMonths]]&gt;36, "3+ Years")</f>
        <v>1-3 Years</v>
      </c>
      <c r="N4673" s="2" t="str">
        <f>IF(TelecomData[[#This Row],[CleanedTotalCharges]]&gt;=2500,"High Spend", "Standard Spend")</f>
        <v>Standard Spend</v>
      </c>
    </row>
    <row r="4674" spans="1:14" x14ac:dyDescent="0.3">
      <c r="A4674" s="1" t="s">
        <v>4698</v>
      </c>
      <c r="B4674" s="2" t="s">
        <v>19</v>
      </c>
      <c r="C4674" s="2" t="s">
        <v>13</v>
      </c>
      <c r="D4674" s="2">
        <v>13</v>
      </c>
      <c r="E4674" s="2" t="s">
        <v>14</v>
      </c>
      <c r="F4674" s="2" t="s">
        <v>15</v>
      </c>
      <c r="G4674" s="7">
        <v>44</v>
      </c>
      <c r="H4674" s="7">
        <v>659.35</v>
      </c>
      <c r="I4674" s="2" t="s">
        <v>15</v>
      </c>
      <c r="J4674" s="2" t="s">
        <v>15</v>
      </c>
      <c r="K4674" s="2" t="s">
        <v>21</v>
      </c>
      <c r="L4674" s="7">
        <v>659.35</v>
      </c>
      <c r="M4674" s="2" t="str">
        <f>_xlfn.IFS(TelecomData[[#This Row],[TenureMonths]]&lt;=12, "0-1 Year", TelecomData[[#This Row],[TenureMonths]]&lt;=36, "1-3 Years", TelecomData[[#This Row],[TenureMonths]]&gt;36, "3+ Years")</f>
        <v>1-3 Years</v>
      </c>
      <c r="N4674" s="2" t="str">
        <f>IF(TelecomData[[#This Row],[CleanedTotalCharges]]&gt;=2500,"High Spend", "Standard Spend")</f>
        <v>Standard Spend</v>
      </c>
    </row>
    <row r="4675" spans="1:14" x14ac:dyDescent="0.3">
      <c r="A4675" s="1" t="s">
        <v>4699</v>
      </c>
      <c r="B4675" s="2" t="s">
        <v>12</v>
      </c>
      <c r="C4675" s="2" t="s">
        <v>13</v>
      </c>
      <c r="D4675" s="2">
        <v>25</v>
      </c>
      <c r="E4675" s="2" t="s">
        <v>26</v>
      </c>
      <c r="F4675" s="2" t="s">
        <v>15</v>
      </c>
      <c r="G4675" s="7">
        <v>102.8</v>
      </c>
      <c r="H4675" s="7">
        <v>2660.2</v>
      </c>
      <c r="I4675" s="2" t="s">
        <v>16</v>
      </c>
      <c r="J4675" s="2" t="s">
        <v>16</v>
      </c>
      <c r="K4675" s="2" t="s">
        <v>21</v>
      </c>
      <c r="L4675" s="7">
        <v>2660.2</v>
      </c>
      <c r="M4675" s="2" t="str">
        <f>_xlfn.IFS(TelecomData[[#This Row],[TenureMonths]]&lt;=12, "0-1 Year", TelecomData[[#This Row],[TenureMonths]]&lt;=36, "1-3 Years", TelecomData[[#This Row],[TenureMonths]]&gt;36, "3+ Years")</f>
        <v>1-3 Years</v>
      </c>
      <c r="N4675" s="2" t="str">
        <f>IF(TelecomData[[#This Row],[CleanedTotalCharges]]&gt;=2500,"High Spend", "Standard Spend")</f>
        <v>High Spend</v>
      </c>
    </row>
    <row r="4676" spans="1:14" x14ac:dyDescent="0.3">
      <c r="A4676" s="1" t="s">
        <v>4700</v>
      </c>
      <c r="B4676" s="2" t="s">
        <v>19</v>
      </c>
      <c r="C4676" s="2" t="s">
        <v>20</v>
      </c>
      <c r="D4676" s="2">
        <v>26</v>
      </c>
      <c r="E4676" s="2" t="s">
        <v>14</v>
      </c>
      <c r="F4676" s="2" t="s">
        <v>15</v>
      </c>
      <c r="G4676" s="7">
        <v>50.35</v>
      </c>
      <c r="H4676" s="7">
        <v>1285.8</v>
      </c>
      <c r="I4676" s="2" t="s">
        <v>15</v>
      </c>
      <c r="J4676" s="2" t="s">
        <v>15</v>
      </c>
      <c r="K4676" s="2" t="s">
        <v>21</v>
      </c>
      <c r="L4676" s="7">
        <v>1285.8</v>
      </c>
      <c r="M4676" s="2" t="str">
        <f>_xlfn.IFS(TelecomData[[#This Row],[TenureMonths]]&lt;=12, "0-1 Year", TelecomData[[#This Row],[TenureMonths]]&lt;=36, "1-3 Years", TelecomData[[#This Row],[TenureMonths]]&gt;36, "3+ Years")</f>
        <v>1-3 Years</v>
      </c>
      <c r="N4676" s="2" t="str">
        <f>IF(TelecomData[[#This Row],[CleanedTotalCharges]]&gt;=2500,"High Spend", "Standard Spend")</f>
        <v>Standard Spend</v>
      </c>
    </row>
    <row r="4677" spans="1:14" x14ac:dyDescent="0.3">
      <c r="A4677" s="1" t="s">
        <v>4701</v>
      </c>
      <c r="B4677" s="2" t="s">
        <v>19</v>
      </c>
      <c r="C4677" s="2" t="s">
        <v>20</v>
      </c>
      <c r="D4677" s="2">
        <v>43</v>
      </c>
      <c r="E4677" s="2" t="s">
        <v>26</v>
      </c>
      <c r="F4677" s="2" t="s">
        <v>16</v>
      </c>
      <c r="G4677" s="7">
        <v>100</v>
      </c>
      <c r="H4677" s="7">
        <v>4211.55</v>
      </c>
      <c r="I4677" s="2" t="s">
        <v>16</v>
      </c>
      <c r="J4677" s="2" t="s">
        <v>16</v>
      </c>
      <c r="K4677" s="2" t="s">
        <v>17</v>
      </c>
      <c r="L4677" s="7">
        <v>4211.55</v>
      </c>
      <c r="M4677" s="2" t="str">
        <f>_xlfn.IFS(TelecomData[[#This Row],[TenureMonths]]&lt;=12, "0-1 Year", TelecomData[[#This Row],[TenureMonths]]&lt;=36, "1-3 Years", TelecomData[[#This Row],[TenureMonths]]&gt;36, "3+ Years")</f>
        <v>3+ Years</v>
      </c>
      <c r="N4677" s="2" t="str">
        <f>IF(TelecomData[[#This Row],[CleanedTotalCharges]]&gt;=2500,"High Spend", "Standard Spend")</f>
        <v>High Spend</v>
      </c>
    </row>
    <row r="4678" spans="1:14" x14ac:dyDescent="0.3">
      <c r="A4678" s="1" t="s">
        <v>4702</v>
      </c>
      <c r="B4678" s="2" t="s">
        <v>19</v>
      </c>
      <c r="C4678" s="2" t="s">
        <v>13</v>
      </c>
      <c r="D4678" s="2">
        <v>19</v>
      </c>
      <c r="E4678" s="2" t="s">
        <v>15</v>
      </c>
      <c r="F4678" s="2" t="s">
        <v>36</v>
      </c>
      <c r="G4678" s="7">
        <v>20</v>
      </c>
      <c r="H4678" s="7">
        <v>377.55</v>
      </c>
      <c r="I4678" s="2" t="s">
        <v>15</v>
      </c>
      <c r="J4678" s="2" t="s">
        <v>16</v>
      </c>
      <c r="K4678" s="2" t="s">
        <v>17</v>
      </c>
      <c r="L4678" s="7">
        <v>377.55</v>
      </c>
      <c r="M4678" s="2" t="str">
        <f>_xlfn.IFS(TelecomData[[#This Row],[TenureMonths]]&lt;=12, "0-1 Year", TelecomData[[#This Row],[TenureMonths]]&lt;=36, "1-3 Years", TelecomData[[#This Row],[TenureMonths]]&gt;36, "3+ Years")</f>
        <v>1-3 Years</v>
      </c>
      <c r="N4678" s="2" t="str">
        <f>IF(TelecomData[[#This Row],[CleanedTotalCharges]]&gt;=2500,"High Spend", "Standard Spend")</f>
        <v>Standard Spend</v>
      </c>
    </row>
    <row r="4679" spans="1:14" x14ac:dyDescent="0.3">
      <c r="A4679" s="1" t="s">
        <v>4703</v>
      </c>
      <c r="B4679" s="2" t="s">
        <v>19</v>
      </c>
      <c r="C4679" s="2" t="s">
        <v>13</v>
      </c>
      <c r="D4679" s="2">
        <v>10</v>
      </c>
      <c r="E4679" s="2" t="s">
        <v>26</v>
      </c>
      <c r="F4679" s="2" t="s">
        <v>16</v>
      </c>
      <c r="G4679" s="7">
        <v>99.85</v>
      </c>
      <c r="H4679" s="7">
        <v>990.9</v>
      </c>
      <c r="I4679" s="2" t="s">
        <v>16</v>
      </c>
      <c r="J4679" s="2" t="s">
        <v>16</v>
      </c>
      <c r="K4679" s="2" t="s">
        <v>17</v>
      </c>
      <c r="L4679" s="7">
        <v>990.9</v>
      </c>
      <c r="M4679" s="2" t="str">
        <f>_xlfn.IFS(TelecomData[[#This Row],[TenureMonths]]&lt;=12, "0-1 Year", TelecomData[[#This Row],[TenureMonths]]&lt;=36, "1-3 Years", TelecomData[[#This Row],[TenureMonths]]&gt;36, "3+ Years")</f>
        <v>0-1 Year</v>
      </c>
      <c r="N4679" s="2" t="str">
        <f>IF(TelecomData[[#This Row],[CleanedTotalCharges]]&gt;=2500,"High Spend", "Standard Spend")</f>
        <v>Standard Spend</v>
      </c>
    </row>
    <row r="4680" spans="1:14" x14ac:dyDescent="0.3">
      <c r="A4680" s="1" t="s">
        <v>4704</v>
      </c>
      <c r="B4680" s="2" t="s">
        <v>12</v>
      </c>
      <c r="C4680" s="2" t="s">
        <v>13</v>
      </c>
      <c r="D4680" s="2">
        <v>2</v>
      </c>
      <c r="E4680" s="2" t="s">
        <v>26</v>
      </c>
      <c r="F4680" s="2" t="s">
        <v>15</v>
      </c>
      <c r="G4680" s="7">
        <v>94.2</v>
      </c>
      <c r="H4680" s="7">
        <v>193.8</v>
      </c>
      <c r="I4680" s="2" t="s">
        <v>16</v>
      </c>
      <c r="J4680" s="2" t="s">
        <v>16</v>
      </c>
      <c r="K4680" s="2" t="s">
        <v>24</v>
      </c>
      <c r="L4680" s="7">
        <v>193.8</v>
      </c>
      <c r="M4680" s="2" t="str">
        <f>_xlfn.IFS(TelecomData[[#This Row],[TenureMonths]]&lt;=12, "0-1 Year", TelecomData[[#This Row],[TenureMonths]]&lt;=36, "1-3 Years", TelecomData[[#This Row],[TenureMonths]]&gt;36, "3+ Years")</f>
        <v>0-1 Year</v>
      </c>
      <c r="N4680" s="2" t="str">
        <f>IF(TelecomData[[#This Row],[CleanedTotalCharges]]&gt;=2500,"High Spend", "Standard Spend")</f>
        <v>Standard Spend</v>
      </c>
    </row>
    <row r="4681" spans="1:14" x14ac:dyDescent="0.3">
      <c r="A4681" s="1" t="s">
        <v>4705</v>
      </c>
      <c r="B4681" s="2" t="s">
        <v>12</v>
      </c>
      <c r="C4681" s="2" t="s">
        <v>35</v>
      </c>
      <c r="D4681" s="2">
        <v>72</v>
      </c>
      <c r="E4681" s="2" t="s">
        <v>14</v>
      </c>
      <c r="F4681" s="2" t="s">
        <v>16</v>
      </c>
      <c r="G4681" s="7">
        <v>86.4</v>
      </c>
      <c r="H4681" s="7">
        <v>6058.95</v>
      </c>
      <c r="I4681" s="2" t="s">
        <v>15</v>
      </c>
      <c r="J4681" s="2" t="s">
        <v>16</v>
      </c>
      <c r="K4681" s="2" t="s">
        <v>24</v>
      </c>
      <c r="L4681" s="7">
        <v>6058.95</v>
      </c>
      <c r="M4681" s="2" t="str">
        <f>_xlfn.IFS(TelecomData[[#This Row],[TenureMonths]]&lt;=12, "0-1 Year", TelecomData[[#This Row],[TenureMonths]]&lt;=36, "1-3 Years", TelecomData[[#This Row],[TenureMonths]]&gt;36, "3+ Years")</f>
        <v>3+ Years</v>
      </c>
      <c r="N4681" s="2" t="str">
        <f>IF(TelecomData[[#This Row],[CleanedTotalCharges]]&gt;=2500,"High Spend", "Standard Spend")</f>
        <v>High Spend</v>
      </c>
    </row>
    <row r="4682" spans="1:14" x14ac:dyDescent="0.3">
      <c r="A4682" s="1" t="s">
        <v>4706</v>
      </c>
      <c r="B4682" s="2" t="s">
        <v>19</v>
      </c>
      <c r="C4682" s="2" t="s">
        <v>13</v>
      </c>
      <c r="D4682" s="2">
        <v>18</v>
      </c>
      <c r="E4682" s="2" t="s">
        <v>14</v>
      </c>
      <c r="F4682" s="2" t="s">
        <v>15</v>
      </c>
      <c r="G4682" s="7">
        <v>58.4</v>
      </c>
      <c r="H4682" s="7">
        <v>964.9</v>
      </c>
      <c r="I4682" s="2" t="s">
        <v>15</v>
      </c>
      <c r="J4682" s="2" t="s">
        <v>16</v>
      </c>
      <c r="K4682" s="2" t="s">
        <v>29</v>
      </c>
      <c r="L4682" s="7">
        <v>964.9</v>
      </c>
      <c r="M4682" s="2" t="str">
        <f>_xlfn.IFS(TelecomData[[#This Row],[TenureMonths]]&lt;=12, "0-1 Year", TelecomData[[#This Row],[TenureMonths]]&lt;=36, "1-3 Years", TelecomData[[#This Row],[TenureMonths]]&gt;36, "3+ Years")</f>
        <v>1-3 Years</v>
      </c>
      <c r="N4682" s="2" t="str">
        <f>IF(TelecomData[[#This Row],[CleanedTotalCharges]]&gt;=2500,"High Spend", "Standard Spend")</f>
        <v>Standard Spend</v>
      </c>
    </row>
    <row r="4683" spans="1:14" x14ac:dyDescent="0.3">
      <c r="A4683" s="1" t="s">
        <v>4707</v>
      </c>
      <c r="B4683" s="2" t="s">
        <v>19</v>
      </c>
      <c r="C4683" s="2" t="s">
        <v>13</v>
      </c>
      <c r="D4683" s="2">
        <v>9</v>
      </c>
      <c r="E4683" s="2" t="s">
        <v>26</v>
      </c>
      <c r="F4683" s="2" t="s">
        <v>15</v>
      </c>
      <c r="G4683" s="7">
        <v>83.85</v>
      </c>
      <c r="H4683" s="7">
        <v>790.15</v>
      </c>
      <c r="I4683" s="2" t="s">
        <v>16</v>
      </c>
      <c r="J4683" s="2" t="s">
        <v>16</v>
      </c>
      <c r="K4683" s="2" t="s">
        <v>17</v>
      </c>
      <c r="L4683" s="7">
        <v>790.15</v>
      </c>
      <c r="M4683" s="2" t="str">
        <f>_xlfn.IFS(TelecomData[[#This Row],[TenureMonths]]&lt;=12, "0-1 Year", TelecomData[[#This Row],[TenureMonths]]&lt;=36, "1-3 Years", TelecomData[[#This Row],[TenureMonths]]&gt;36, "3+ Years")</f>
        <v>0-1 Year</v>
      </c>
      <c r="N4683" s="2" t="str">
        <f>IF(TelecomData[[#This Row],[CleanedTotalCharges]]&gt;=2500,"High Spend", "Standard Spend")</f>
        <v>Standard Spend</v>
      </c>
    </row>
    <row r="4684" spans="1:14" x14ac:dyDescent="0.3">
      <c r="A4684" s="1" t="s">
        <v>4708</v>
      </c>
      <c r="B4684" s="2" t="s">
        <v>12</v>
      </c>
      <c r="C4684" s="2" t="s">
        <v>13</v>
      </c>
      <c r="D4684" s="2">
        <v>27</v>
      </c>
      <c r="E4684" s="2" t="s">
        <v>26</v>
      </c>
      <c r="F4684" s="2" t="s">
        <v>15</v>
      </c>
      <c r="G4684" s="7">
        <v>88.3</v>
      </c>
      <c r="H4684" s="7">
        <v>2467.75</v>
      </c>
      <c r="I4684" s="2" t="s">
        <v>16</v>
      </c>
      <c r="J4684" s="2" t="s">
        <v>15</v>
      </c>
      <c r="K4684" s="2" t="s">
        <v>29</v>
      </c>
      <c r="L4684" s="7">
        <v>2467.75</v>
      </c>
      <c r="M4684" s="2" t="str">
        <f>_xlfn.IFS(TelecomData[[#This Row],[TenureMonths]]&lt;=12, "0-1 Year", TelecomData[[#This Row],[TenureMonths]]&lt;=36, "1-3 Years", TelecomData[[#This Row],[TenureMonths]]&gt;36, "3+ Years")</f>
        <v>1-3 Years</v>
      </c>
      <c r="N4684" s="2" t="str">
        <f>IF(TelecomData[[#This Row],[CleanedTotalCharges]]&gt;=2500,"High Spend", "Standard Spend")</f>
        <v>Standard Spend</v>
      </c>
    </row>
    <row r="4685" spans="1:14" x14ac:dyDescent="0.3">
      <c r="A4685" s="1" t="s">
        <v>4709</v>
      </c>
      <c r="B4685" s="2" t="s">
        <v>19</v>
      </c>
      <c r="C4685" s="2" t="s">
        <v>13</v>
      </c>
      <c r="D4685" s="2">
        <v>24</v>
      </c>
      <c r="E4685" s="2" t="s">
        <v>26</v>
      </c>
      <c r="F4685" s="2" t="s">
        <v>15</v>
      </c>
      <c r="G4685" s="7">
        <v>94.1</v>
      </c>
      <c r="H4685" s="7">
        <v>2322.85</v>
      </c>
      <c r="I4685" s="2" t="s">
        <v>15</v>
      </c>
      <c r="J4685" s="2" t="s">
        <v>16</v>
      </c>
      <c r="K4685" s="2" t="s">
        <v>17</v>
      </c>
      <c r="L4685" s="7">
        <v>2322.85</v>
      </c>
      <c r="M4685" s="2" t="str">
        <f>_xlfn.IFS(TelecomData[[#This Row],[TenureMonths]]&lt;=12, "0-1 Year", TelecomData[[#This Row],[TenureMonths]]&lt;=36, "1-3 Years", TelecomData[[#This Row],[TenureMonths]]&gt;36, "3+ Years")</f>
        <v>1-3 Years</v>
      </c>
      <c r="N4685" s="2" t="str">
        <f>IF(TelecomData[[#This Row],[CleanedTotalCharges]]&gt;=2500,"High Spend", "Standard Spend")</f>
        <v>Standard Spend</v>
      </c>
    </row>
    <row r="4686" spans="1:14" x14ac:dyDescent="0.3">
      <c r="A4686" s="1" t="s">
        <v>4710</v>
      </c>
      <c r="B4686" s="2" t="s">
        <v>19</v>
      </c>
      <c r="C4686" s="2" t="s">
        <v>20</v>
      </c>
      <c r="D4686" s="2">
        <v>69</v>
      </c>
      <c r="E4686" s="2" t="s">
        <v>26</v>
      </c>
      <c r="F4686" s="2" t="s">
        <v>16</v>
      </c>
      <c r="G4686" s="7">
        <v>104.05</v>
      </c>
      <c r="H4686" s="7">
        <v>7262</v>
      </c>
      <c r="I4686" s="2" t="s">
        <v>16</v>
      </c>
      <c r="J4686" s="2" t="s">
        <v>16</v>
      </c>
      <c r="K4686" s="2" t="s">
        <v>24</v>
      </c>
      <c r="L4686" s="7">
        <v>7262</v>
      </c>
      <c r="M4686" s="2" t="str">
        <f>_xlfn.IFS(TelecomData[[#This Row],[TenureMonths]]&lt;=12, "0-1 Year", TelecomData[[#This Row],[TenureMonths]]&lt;=36, "1-3 Years", TelecomData[[#This Row],[TenureMonths]]&gt;36, "3+ Years")</f>
        <v>3+ Years</v>
      </c>
      <c r="N4686" s="2" t="str">
        <f>IF(TelecomData[[#This Row],[CleanedTotalCharges]]&gt;=2500,"High Spend", "Standard Spend")</f>
        <v>High Spend</v>
      </c>
    </row>
    <row r="4687" spans="1:14" x14ac:dyDescent="0.3">
      <c r="A4687" s="1" t="s">
        <v>4711</v>
      </c>
      <c r="B4687" s="2" t="s">
        <v>12</v>
      </c>
      <c r="C4687" s="2" t="s">
        <v>35</v>
      </c>
      <c r="D4687" s="2">
        <v>46</v>
      </c>
      <c r="E4687" s="2" t="s">
        <v>26</v>
      </c>
      <c r="F4687" s="2" t="s">
        <v>16</v>
      </c>
      <c r="G4687" s="7">
        <v>108.9</v>
      </c>
      <c r="H4687" s="7">
        <v>4854.3</v>
      </c>
      <c r="I4687" s="2" t="s">
        <v>15</v>
      </c>
      <c r="J4687" s="2" t="s">
        <v>16</v>
      </c>
      <c r="K4687" s="2" t="s">
        <v>29</v>
      </c>
      <c r="L4687" s="7">
        <v>4854.3</v>
      </c>
      <c r="M4687" s="2" t="str">
        <f>_xlfn.IFS(TelecomData[[#This Row],[TenureMonths]]&lt;=12, "0-1 Year", TelecomData[[#This Row],[TenureMonths]]&lt;=36, "1-3 Years", TelecomData[[#This Row],[TenureMonths]]&gt;36, "3+ Years")</f>
        <v>3+ Years</v>
      </c>
      <c r="N4687" s="2" t="str">
        <f>IF(TelecomData[[#This Row],[CleanedTotalCharges]]&gt;=2500,"High Spend", "Standard Spend")</f>
        <v>High Spend</v>
      </c>
    </row>
    <row r="4688" spans="1:14" x14ac:dyDescent="0.3">
      <c r="A4688" s="1" t="s">
        <v>4712</v>
      </c>
      <c r="B4688" s="2" t="s">
        <v>12</v>
      </c>
      <c r="C4688" s="2" t="s">
        <v>35</v>
      </c>
      <c r="D4688" s="2">
        <v>72</v>
      </c>
      <c r="E4688" s="2" t="s">
        <v>26</v>
      </c>
      <c r="F4688" s="2" t="s">
        <v>16</v>
      </c>
      <c r="G4688" s="7">
        <v>107.4</v>
      </c>
      <c r="H4688" s="7">
        <v>7748.75</v>
      </c>
      <c r="I4688" s="2" t="s">
        <v>15</v>
      </c>
      <c r="J4688" s="2" t="s">
        <v>16</v>
      </c>
      <c r="K4688" s="2" t="s">
        <v>24</v>
      </c>
      <c r="L4688" s="7">
        <v>7748.75</v>
      </c>
      <c r="M4688" s="2" t="str">
        <f>_xlfn.IFS(TelecomData[[#This Row],[TenureMonths]]&lt;=12, "0-1 Year", TelecomData[[#This Row],[TenureMonths]]&lt;=36, "1-3 Years", TelecomData[[#This Row],[TenureMonths]]&gt;36, "3+ Years")</f>
        <v>3+ Years</v>
      </c>
      <c r="N4688" s="2" t="str">
        <f>IF(TelecomData[[#This Row],[CleanedTotalCharges]]&gt;=2500,"High Spend", "Standard Spend")</f>
        <v>High Spend</v>
      </c>
    </row>
    <row r="4689" spans="1:14" x14ac:dyDescent="0.3">
      <c r="A4689" s="1" t="s">
        <v>4713</v>
      </c>
      <c r="B4689" s="2" t="s">
        <v>19</v>
      </c>
      <c r="C4689" s="2" t="s">
        <v>13</v>
      </c>
      <c r="D4689" s="2">
        <v>22</v>
      </c>
      <c r="E4689" s="2" t="s">
        <v>26</v>
      </c>
      <c r="F4689" s="2" t="s">
        <v>15</v>
      </c>
      <c r="G4689" s="7">
        <v>94.7</v>
      </c>
      <c r="H4689" s="7">
        <v>1914.9</v>
      </c>
      <c r="I4689" s="2" t="s">
        <v>16</v>
      </c>
      <c r="J4689" s="2" t="s">
        <v>16</v>
      </c>
      <c r="K4689" s="2" t="s">
        <v>29</v>
      </c>
      <c r="L4689" s="7">
        <v>1914.9</v>
      </c>
      <c r="M4689" s="2" t="str">
        <f>_xlfn.IFS(TelecomData[[#This Row],[TenureMonths]]&lt;=12, "0-1 Year", TelecomData[[#This Row],[TenureMonths]]&lt;=36, "1-3 Years", TelecomData[[#This Row],[TenureMonths]]&gt;36, "3+ Years")</f>
        <v>1-3 Years</v>
      </c>
      <c r="N4689" s="2" t="str">
        <f>IF(TelecomData[[#This Row],[CleanedTotalCharges]]&gt;=2500,"High Spend", "Standard Spend")</f>
        <v>Standard Spend</v>
      </c>
    </row>
    <row r="4690" spans="1:14" x14ac:dyDescent="0.3">
      <c r="A4690" s="1" t="s">
        <v>4714</v>
      </c>
      <c r="B4690" s="2" t="s">
        <v>12</v>
      </c>
      <c r="C4690" s="2" t="s">
        <v>13</v>
      </c>
      <c r="D4690" s="2">
        <v>70</v>
      </c>
      <c r="E4690" s="2" t="s">
        <v>26</v>
      </c>
      <c r="F4690" s="2" t="s">
        <v>15</v>
      </c>
      <c r="G4690" s="7">
        <v>90.85</v>
      </c>
      <c r="H4690" s="7">
        <v>6470.1</v>
      </c>
      <c r="I4690" s="2" t="s">
        <v>15</v>
      </c>
      <c r="J4690" s="2" t="s">
        <v>16</v>
      </c>
      <c r="K4690" s="2" t="s">
        <v>17</v>
      </c>
      <c r="L4690" s="7">
        <v>6470.1</v>
      </c>
      <c r="M4690" s="2" t="str">
        <f>_xlfn.IFS(TelecomData[[#This Row],[TenureMonths]]&lt;=12, "0-1 Year", TelecomData[[#This Row],[TenureMonths]]&lt;=36, "1-3 Years", TelecomData[[#This Row],[TenureMonths]]&gt;36, "3+ Years")</f>
        <v>3+ Years</v>
      </c>
      <c r="N4690" s="2" t="str">
        <f>IF(TelecomData[[#This Row],[CleanedTotalCharges]]&gt;=2500,"High Spend", "Standard Spend")</f>
        <v>High Spend</v>
      </c>
    </row>
    <row r="4691" spans="1:14" x14ac:dyDescent="0.3">
      <c r="A4691" s="1" t="s">
        <v>4715</v>
      </c>
      <c r="B4691" s="2" t="s">
        <v>12</v>
      </c>
      <c r="C4691" s="2" t="s">
        <v>13</v>
      </c>
      <c r="D4691" s="2">
        <v>2</v>
      </c>
      <c r="E4691" s="2" t="s">
        <v>15</v>
      </c>
      <c r="F4691" s="2" t="s">
        <v>36</v>
      </c>
      <c r="G4691" s="7">
        <v>19.899999999999999</v>
      </c>
      <c r="H4691" s="7">
        <v>57.4</v>
      </c>
      <c r="I4691" s="2" t="s">
        <v>15</v>
      </c>
      <c r="J4691" s="2" t="s">
        <v>15</v>
      </c>
      <c r="K4691" s="2" t="s">
        <v>17</v>
      </c>
      <c r="L4691" s="7">
        <v>57.4</v>
      </c>
      <c r="M4691" s="2" t="str">
        <f>_xlfn.IFS(TelecomData[[#This Row],[TenureMonths]]&lt;=12, "0-1 Year", TelecomData[[#This Row],[TenureMonths]]&lt;=36, "1-3 Years", TelecomData[[#This Row],[TenureMonths]]&gt;36, "3+ Years")</f>
        <v>0-1 Year</v>
      </c>
      <c r="N4691" s="2" t="str">
        <f>IF(TelecomData[[#This Row],[CleanedTotalCharges]]&gt;=2500,"High Spend", "Standard Spend")</f>
        <v>Standard Spend</v>
      </c>
    </row>
    <row r="4692" spans="1:14" x14ac:dyDescent="0.3">
      <c r="A4692" s="1" t="s">
        <v>4716</v>
      </c>
      <c r="B4692" s="2" t="s">
        <v>19</v>
      </c>
      <c r="C4692" s="2" t="s">
        <v>13</v>
      </c>
      <c r="D4692" s="2">
        <v>31</v>
      </c>
      <c r="E4692" s="2" t="s">
        <v>14</v>
      </c>
      <c r="F4692" s="2" t="s">
        <v>16</v>
      </c>
      <c r="G4692" s="7">
        <v>66.400000000000006</v>
      </c>
      <c r="H4692" s="7">
        <v>2019.8</v>
      </c>
      <c r="I4692" s="2" t="s">
        <v>15</v>
      </c>
      <c r="J4692" s="2" t="s">
        <v>16</v>
      </c>
      <c r="K4692" s="2" t="s">
        <v>29</v>
      </c>
      <c r="L4692" s="7">
        <v>2019.8</v>
      </c>
      <c r="M4692" s="2" t="str">
        <f>_xlfn.IFS(TelecomData[[#This Row],[TenureMonths]]&lt;=12, "0-1 Year", TelecomData[[#This Row],[TenureMonths]]&lt;=36, "1-3 Years", TelecomData[[#This Row],[TenureMonths]]&gt;36, "3+ Years")</f>
        <v>1-3 Years</v>
      </c>
      <c r="N4692" s="2" t="str">
        <f>IF(TelecomData[[#This Row],[CleanedTotalCharges]]&gt;=2500,"High Spend", "Standard Spend")</f>
        <v>Standard Spend</v>
      </c>
    </row>
    <row r="4693" spans="1:14" x14ac:dyDescent="0.3">
      <c r="A4693" s="1" t="s">
        <v>4717</v>
      </c>
      <c r="B4693" s="2" t="s">
        <v>12</v>
      </c>
      <c r="C4693" s="2" t="s">
        <v>13</v>
      </c>
      <c r="D4693" s="2">
        <v>56</v>
      </c>
      <c r="E4693" s="2" t="s">
        <v>26</v>
      </c>
      <c r="F4693" s="2" t="s">
        <v>15</v>
      </c>
      <c r="G4693" s="7">
        <v>100.65</v>
      </c>
      <c r="H4693" s="7">
        <v>5688.05</v>
      </c>
      <c r="I4693" s="2" t="s">
        <v>16</v>
      </c>
      <c r="J4693" s="2" t="s">
        <v>16</v>
      </c>
      <c r="K4693" s="2" t="s">
        <v>24</v>
      </c>
      <c r="L4693" s="7">
        <v>5688.05</v>
      </c>
      <c r="M4693" s="2" t="str">
        <f>_xlfn.IFS(TelecomData[[#This Row],[TenureMonths]]&lt;=12, "0-1 Year", TelecomData[[#This Row],[TenureMonths]]&lt;=36, "1-3 Years", TelecomData[[#This Row],[TenureMonths]]&gt;36, "3+ Years")</f>
        <v>3+ Years</v>
      </c>
      <c r="N4693" s="2" t="str">
        <f>IF(TelecomData[[#This Row],[CleanedTotalCharges]]&gt;=2500,"High Spend", "Standard Spend")</f>
        <v>High Spend</v>
      </c>
    </row>
    <row r="4694" spans="1:14" x14ac:dyDescent="0.3">
      <c r="A4694" s="1" t="s">
        <v>4718</v>
      </c>
      <c r="B4694" s="2" t="s">
        <v>12</v>
      </c>
      <c r="C4694" s="2" t="s">
        <v>13</v>
      </c>
      <c r="D4694" s="2">
        <v>16</v>
      </c>
      <c r="E4694" s="2" t="s">
        <v>26</v>
      </c>
      <c r="F4694" s="2" t="s">
        <v>15</v>
      </c>
      <c r="G4694" s="7">
        <v>100.7</v>
      </c>
      <c r="H4694" s="7">
        <v>1522.7</v>
      </c>
      <c r="I4694" s="2" t="s">
        <v>15</v>
      </c>
      <c r="J4694" s="2" t="s">
        <v>15</v>
      </c>
      <c r="K4694" s="2" t="s">
        <v>24</v>
      </c>
      <c r="L4694" s="7">
        <v>1522.7</v>
      </c>
      <c r="M4694" s="2" t="str">
        <f>_xlfn.IFS(TelecomData[[#This Row],[TenureMonths]]&lt;=12, "0-1 Year", TelecomData[[#This Row],[TenureMonths]]&lt;=36, "1-3 Years", TelecomData[[#This Row],[TenureMonths]]&gt;36, "3+ Years")</f>
        <v>1-3 Years</v>
      </c>
      <c r="N4694" s="2" t="str">
        <f>IF(TelecomData[[#This Row],[CleanedTotalCharges]]&gt;=2500,"High Spend", "Standard Spend")</f>
        <v>Standard Spend</v>
      </c>
    </row>
    <row r="4695" spans="1:14" x14ac:dyDescent="0.3">
      <c r="A4695" s="1" t="s">
        <v>4719</v>
      </c>
      <c r="B4695" s="2" t="s">
        <v>19</v>
      </c>
      <c r="C4695" s="2" t="s">
        <v>35</v>
      </c>
      <c r="D4695" s="2">
        <v>52</v>
      </c>
      <c r="E4695" s="2" t="s">
        <v>15</v>
      </c>
      <c r="F4695" s="2" t="s">
        <v>36</v>
      </c>
      <c r="G4695" s="7">
        <v>25.6</v>
      </c>
      <c r="H4695" s="7">
        <v>1334.5</v>
      </c>
      <c r="I4695" s="2" t="s">
        <v>15</v>
      </c>
      <c r="J4695" s="2" t="s">
        <v>15</v>
      </c>
      <c r="K4695" s="2" t="s">
        <v>29</v>
      </c>
      <c r="L4695" s="7">
        <v>1334.5</v>
      </c>
      <c r="M4695" s="2" t="str">
        <f>_xlfn.IFS(TelecomData[[#This Row],[TenureMonths]]&lt;=12, "0-1 Year", TelecomData[[#This Row],[TenureMonths]]&lt;=36, "1-3 Years", TelecomData[[#This Row],[TenureMonths]]&gt;36, "3+ Years")</f>
        <v>3+ Years</v>
      </c>
      <c r="N4695" s="2" t="str">
        <f>IF(TelecomData[[#This Row],[CleanedTotalCharges]]&gt;=2500,"High Spend", "Standard Spend")</f>
        <v>Standard Spend</v>
      </c>
    </row>
    <row r="4696" spans="1:14" x14ac:dyDescent="0.3">
      <c r="A4696" s="1" t="s">
        <v>4720</v>
      </c>
      <c r="B4696" s="2" t="s">
        <v>19</v>
      </c>
      <c r="C4696" s="2" t="s">
        <v>13</v>
      </c>
      <c r="D4696" s="2">
        <v>13</v>
      </c>
      <c r="E4696" s="2" t="s">
        <v>15</v>
      </c>
      <c r="F4696" s="2" t="s">
        <v>36</v>
      </c>
      <c r="G4696" s="7">
        <v>19.850000000000001</v>
      </c>
      <c r="H4696" s="7">
        <v>252</v>
      </c>
      <c r="I4696" s="2" t="s">
        <v>15</v>
      </c>
      <c r="J4696" s="2" t="s">
        <v>16</v>
      </c>
      <c r="K4696" s="2" t="s">
        <v>21</v>
      </c>
      <c r="L4696" s="7">
        <v>252</v>
      </c>
      <c r="M4696" s="2" t="str">
        <f>_xlfn.IFS(TelecomData[[#This Row],[TenureMonths]]&lt;=12, "0-1 Year", TelecomData[[#This Row],[TenureMonths]]&lt;=36, "1-3 Years", TelecomData[[#This Row],[TenureMonths]]&gt;36, "3+ Years")</f>
        <v>1-3 Years</v>
      </c>
      <c r="N4696" s="2" t="str">
        <f>IF(TelecomData[[#This Row],[CleanedTotalCharges]]&gt;=2500,"High Spend", "Standard Spend")</f>
        <v>Standard Spend</v>
      </c>
    </row>
    <row r="4697" spans="1:14" x14ac:dyDescent="0.3">
      <c r="A4697" s="1" t="s">
        <v>4721</v>
      </c>
      <c r="B4697" s="2" t="s">
        <v>12</v>
      </c>
      <c r="C4697" s="2" t="s">
        <v>20</v>
      </c>
      <c r="D4697" s="2">
        <v>35</v>
      </c>
      <c r="E4697" s="2" t="s">
        <v>15</v>
      </c>
      <c r="F4697" s="2" t="s">
        <v>36</v>
      </c>
      <c r="G4697" s="7">
        <v>20.75</v>
      </c>
      <c r="H4697" s="7">
        <v>700.45</v>
      </c>
      <c r="I4697" s="2" t="s">
        <v>15</v>
      </c>
      <c r="J4697" s="2" t="s">
        <v>15</v>
      </c>
      <c r="K4697" s="2" t="s">
        <v>21</v>
      </c>
      <c r="L4697" s="7">
        <v>700.45</v>
      </c>
      <c r="M4697" s="2" t="str">
        <f>_xlfn.IFS(TelecomData[[#This Row],[TenureMonths]]&lt;=12, "0-1 Year", TelecomData[[#This Row],[TenureMonths]]&lt;=36, "1-3 Years", TelecomData[[#This Row],[TenureMonths]]&gt;36, "3+ Years")</f>
        <v>1-3 Years</v>
      </c>
      <c r="N4697" s="2" t="str">
        <f>IF(TelecomData[[#This Row],[CleanedTotalCharges]]&gt;=2500,"High Spend", "Standard Spend")</f>
        <v>Standard Spend</v>
      </c>
    </row>
    <row r="4698" spans="1:14" x14ac:dyDescent="0.3">
      <c r="A4698" s="1" t="s">
        <v>4722</v>
      </c>
      <c r="B4698" s="2" t="s">
        <v>12</v>
      </c>
      <c r="C4698" s="2" t="s">
        <v>35</v>
      </c>
      <c r="D4698" s="2">
        <v>59</v>
      </c>
      <c r="E4698" s="2" t="s">
        <v>26</v>
      </c>
      <c r="F4698" s="2" t="s">
        <v>15</v>
      </c>
      <c r="G4698" s="7">
        <v>95.8</v>
      </c>
      <c r="H4698" s="7">
        <v>5655.45</v>
      </c>
      <c r="I4698" s="2" t="s">
        <v>15</v>
      </c>
      <c r="J4698" s="2" t="s">
        <v>15</v>
      </c>
      <c r="K4698" s="2" t="s">
        <v>17</v>
      </c>
      <c r="L4698" s="7">
        <v>5655.45</v>
      </c>
      <c r="M4698" s="2" t="str">
        <f>_xlfn.IFS(TelecomData[[#This Row],[TenureMonths]]&lt;=12, "0-1 Year", TelecomData[[#This Row],[TenureMonths]]&lt;=36, "1-3 Years", TelecomData[[#This Row],[TenureMonths]]&gt;36, "3+ Years")</f>
        <v>3+ Years</v>
      </c>
      <c r="N4698" s="2" t="str">
        <f>IF(TelecomData[[#This Row],[CleanedTotalCharges]]&gt;=2500,"High Spend", "Standard Spend")</f>
        <v>High Spend</v>
      </c>
    </row>
    <row r="4699" spans="1:14" x14ac:dyDescent="0.3">
      <c r="A4699" s="1" t="s">
        <v>4723</v>
      </c>
      <c r="B4699" s="2" t="s">
        <v>19</v>
      </c>
      <c r="C4699" s="2" t="s">
        <v>13</v>
      </c>
      <c r="D4699" s="2">
        <v>72</v>
      </c>
      <c r="E4699" s="2" t="s">
        <v>26</v>
      </c>
      <c r="F4699" s="2" t="s">
        <v>15</v>
      </c>
      <c r="G4699" s="7">
        <v>94.65</v>
      </c>
      <c r="H4699" s="7">
        <v>6747.35</v>
      </c>
      <c r="I4699" s="2" t="s">
        <v>15</v>
      </c>
      <c r="J4699" s="2" t="s">
        <v>16</v>
      </c>
      <c r="K4699" s="2" t="s">
        <v>17</v>
      </c>
      <c r="L4699" s="7">
        <v>6747.35</v>
      </c>
      <c r="M4699" s="2" t="str">
        <f>_xlfn.IFS(TelecomData[[#This Row],[TenureMonths]]&lt;=12, "0-1 Year", TelecomData[[#This Row],[TenureMonths]]&lt;=36, "1-3 Years", TelecomData[[#This Row],[TenureMonths]]&gt;36, "3+ Years")</f>
        <v>3+ Years</v>
      </c>
      <c r="N4699" s="2" t="str">
        <f>IF(TelecomData[[#This Row],[CleanedTotalCharges]]&gt;=2500,"High Spend", "Standard Spend")</f>
        <v>High Spend</v>
      </c>
    </row>
    <row r="4700" spans="1:14" x14ac:dyDescent="0.3">
      <c r="A4700" s="1" t="s">
        <v>4724</v>
      </c>
      <c r="B4700" s="2" t="s">
        <v>12</v>
      </c>
      <c r="C4700" s="2" t="s">
        <v>35</v>
      </c>
      <c r="D4700" s="2">
        <v>66</v>
      </c>
      <c r="E4700" s="2" t="s">
        <v>14</v>
      </c>
      <c r="F4700" s="2" t="s">
        <v>15</v>
      </c>
      <c r="G4700" s="7">
        <v>80.55</v>
      </c>
      <c r="H4700" s="7">
        <v>5265.1</v>
      </c>
      <c r="I4700" s="2" t="s">
        <v>16</v>
      </c>
      <c r="J4700" s="2" t="s">
        <v>16</v>
      </c>
      <c r="K4700" s="2" t="s">
        <v>24</v>
      </c>
      <c r="L4700" s="7">
        <v>5265.1</v>
      </c>
      <c r="M4700" s="2" t="str">
        <f>_xlfn.IFS(TelecomData[[#This Row],[TenureMonths]]&lt;=12, "0-1 Year", TelecomData[[#This Row],[TenureMonths]]&lt;=36, "1-3 Years", TelecomData[[#This Row],[TenureMonths]]&gt;36, "3+ Years")</f>
        <v>3+ Years</v>
      </c>
      <c r="N4700" s="2" t="str">
        <f>IF(TelecomData[[#This Row],[CleanedTotalCharges]]&gt;=2500,"High Spend", "Standard Spend")</f>
        <v>High Spend</v>
      </c>
    </row>
    <row r="4701" spans="1:14" x14ac:dyDescent="0.3">
      <c r="A4701" s="1" t="s">
        <v>4725</v>
      </c>
      <c r="B4701" s="2" t="s">
        <v>12</v>
      </c>
      <c r="C4701" s="2" t="s">
        <v>35</v>
      </c>
      <c r="D4701" s="2">
        <v>49</v>
      </c>
      <c r="E4701" s="2" t="s">
        <v>26</v>
      </c>
      <c r="F4701" s="2" t="s">
        <v>16</v>
      </c>
      <c r="G4701" s="7">
        <v>106.65</v>
      </c>
      <c r="H4701" s="7">
        <v>5174.3500000000004</v>
      </c>
      <c r="I4701" s="2" t="s">
        <v>15</v>
      </c>
      <c r="J4701" s="2" t="s">
        <v>15</v>
      </c>
      <c r="K4701" s="2" t="s">
        <v>29</v>
      </c>
      <c r="L4701" s="7">
        <v>5174.3500000000004</v>
      </c>
      <c r="M4701" s="2" t="str">
        <f>_xlfn.IFS(TelecomData[[#This Row],[TenureMonths]]&lt;=12, "0-1 Year", TelecomData[[#This Row],[TenureMonths]]&lt;=36, "1-3 Years", TelecomData[[#This Row],[TenureMonths]]&gt;36, "3+ Years")</f>
        <v>3+ Years</v>
      </c>
      <c r="N4701" s="2" t="str">
        <f>IF(TelecomData[[#This Row],[CleanedTotalCharges]]&gt;=2500,"High Spend", "Standard Spend")</f>
        <v>High Spend</v>
      </c>
    </row>
    <row r="4702" spans="1:14" x14ac:dyDescent="0.3">
      <c r="A4702" s="1" t="s">
        <v>4726</v>
      </c>
      <c r="B4702" s="2" t="s">
        <v>12</v>
      </c>
      <c r="C4702" s="2" t="s">
        <v>13</v>
      </c>
      <c r="D4702" s="2">
        <v>2</v>
      </c>
      <c r="E4702" s="2" t="s">
        <v>14</v>
      </c>
      <c r="F4702" s="2" t="s">
        <v>15</v>
      </c>
      <c r="G4702" s="7">
        <v>45.85</v>
      </c>
      <c r="H4702" s="7">
        <v>105.6</v>
      </c>
      <c r="I4702" s="2" t="s">
        <v>15</v>
      </c>
      <c r="J4702" s="2" t="s">
        <v>16</v>
      </c>
      <c r="K4702" s="2" t="s">
        <v>21</v>
      </c>
      <c r="L4702" s="7">
        <v>105.6</v>
      </c>
      <c r="M4702" s="2" t="str">
        <f>_xlfn.IFS(TelecomData[[#This Row],[TenureMonths]]&lt;=12, "0-1 Year", TelecomData[[#This Row],[TenureMonths]]&lt;=36, "1-3 Years", TelecomData[[#This Row],[TenureMonths]]&gt;36, "3+ Years")</f>
        <v>0-1 Year</v>
      </c>
      <c r="N4702" s="2" t="str">
        <f>IF(TelecomData[[#This Row],[CleanedTotalCharges]]&gt;=2500,"High Spend", "Standard Spend")</f>
        <v>Standard Spend</v>
      </c>
    </row>
    <row r="4703" spans="1:14" x14ac:dyDescent="0.3">
      <c r="A4703" s="1" t="s">
        <v>4727</v>
      </c>
      <c r="B4703" s="2" t="s">
        <v>19</v>
      </c>
      <c r="C4703" s="2" t="s">
        <v>13</v>
      </c>
      <c r="D4703" s="2">
        <v>21</v>
      </c>
      <c r="E4703" s="2" t="s">
        <v>26</v>
      </c>
      <c r="F4703" s="2" t="s">
        <v>15</v>
      </c>
      <c r="G4703" s="7">
        <v>104.35</v>
      </c>
      <c r="H4703" s="7">
        <v>2271.85</v>
      </c>
      <c r="I4703" s="2" t="s">
        <v>15</v>
      </c>
      <c r="J4703" s="2" t="s">
        <v>16</v>
      </c>
      <c r="K4703" s="2" t="s">
        <v>17</v>
      </c>
      <c r="L4703" s="7">
        <v>2271.85</v>
      </c>
      <c r="M4703" s="2" t="str">
        <f>_xlfn.IFS(TelecomData[[#This Row],[TenureMonths]]&lt;=12, "0-1 Year", TelecomData[[#This Row],[TenureMonths]]&lt;=36, "1-3 Years", TelecomData[[#This Row],[TenureMonths]]&gt;36, "3+ Years")</f>
        <v>1-3 Years</v>
      </c>
      <c r="N4703" s="2" t="str">
        <f>IF(TelecomData[[#This Row],[CleanedTotalCharges]]&gt;=2500,"High Spend", "Standard Spend")</f>
        <v>Standard Spend</v>
      </c>
    </row>
    <row r="4704" spans="1:14" x14ac:dyDescent="0.3">
      <c r="A4704" s="1" t="s">
        <v>4728</v>
      </c>
      <c r="B4704" s="2" t="s">
        <v>19</v>
      </c>
      <c r="C4704" s="2" t="s">
        <v>20</v>
      </c>
      <c r="D4704" s="2">
        <v>54</v>
      </c>
      <c r="E4704" s="2" t="s">
        <v>14</v>
      </c>
      <c r="F4704" s="2" t="s">
        <v>15</v>
      </c>
      <c r="G4704" s="7">
        <v>55.45</v>
      </c>
      <c r="H4704" s="7">
        <v>2966.95</v>
      </c>
      <c r="I4704" s="2" t="s">
        <v>15</v>
      </c>
      <c r="J4704" s="2" t="s">
        <v>16</v>
      </c>
      <c r="K4704" s="2" t="s">
        <v>17</v>
      </c>
      <c r="L4704" s="7">
        <v>2966.95</v>
      </c>
      <c r="M4704" s="2" t="str">
        <f>_xlfn.IFS(TelecomData[[#This Row],[TenureMonths]]&lt;=12, "0-1 Year", TelecomData[[#This Row],[TenureMonths]]&lt;=36, "1-3 Years", TelecomData[[#This Row],[TenureMonths]]&gt;36, "3+ Years")</f>
        <v>3+ Years</v>
      </c>
      <c r="N4704" s="2" t="str">
        <f>IF(TelecomData[[#This Row],[CleanedTotalCharges]]&gt;=2500,"High Spend", "Standard Spend")</f>
        <v>High Spend</v>
      </c>
    </row>
    <row r="4705" spans="1:14" x14ac:dyDescent="0.3">
      <c r="A4705" s="1" t="s">
        <v>4729</v>
      </c>
      <c r="B4705" s="2" t="s">
        <v>19</v>
      </c>
      <c r="C4705" s="2" t="s">
        <v>13</v>
      </c>
      <c r="D4705" s="2">
        <v>24</v>
      </c>
      <c r="E4705" s="2" t="s">
        <v>26</v>
      </c>
      <c r="F4705" s="2" t="s">
        <v>15</v>
      </c>
      <c r="G4705" s="7">
        <v>78.849999999999994</v>
      </c>
      <c r="H4705" s="7">
        <v>1772.25</v>
      </c>
      <c r="I4705" s="2" t="s">
        <v>16</v>
      </c>
      <c r="J4705" s="2" t="s">
        <v>16</v>
      </c>
      <c r="K4705" s="2" t="s">
        <v>17</v>
      </c>
      <c r="L4705" s="7">
        <v>1772.25</v>
      </c>
      <c r="M4705" s="2" t="str">
        <f>_xlfn.IFS(TelecomData[[#This Row],[TenureMonths]]&lt;=12, "0-1 Year", TelecomData[[#This Row],[TenureMonths]]&lt;=36, "1-3 Years", TelecomData[[#This Row],[TenureMonths]]&gt;36, "3+ Years")</f>
        <v>1-3 Years</v>
      </c>
      <c r="N4705" s="2" t="str">
        <f>IF(TelecomData[[#This Row],[CleanedTotalCharges]]&gt;=2500,"High Spend", "Standard Spend")</f>
        <v>Standard Spend</v>
      </c>
    </row>
    <row r="4706" spans="1:14" x14ac:dyDescent="0.3">
      <c r="A4706" s="1" t="s">
        <v>4730</v>
      </c>
      <c r="B4706" s="2" t="s">
        <v>19</v>
      </c>
      <c r="C4706" s="2" t="s">
        <v>13</v>
      </c>
      <c r="D4706" s="2">
        <v>1</v>
      </c>
      <c r="E4706" s="2" t="s">
        <v>14</v>
      </c>
      <c r="F4706" s="2" t="s">
        <v>15</v>
      </c>
      <c r="G4706" s="7">
        <v>61.15</v>
      </c>
      <c r="H4706" s="7">
        <v>61.15</v>
      </c>
      <c r="I4706" s="2" t="s">
        <v>15</v>
      </c>
      <c r="J4706" s="2" t="s">
        <v>15</v>
      </c>
      <c r="K4706" s="2" t="s">
        <v>17</v>
      </c>
      <c r="L4706" s="7">
        <v>61.15</v>
      </c>
      <c r="M4706" s="2" t="str">
        <f>_xlfn.IFS(TelecomData[[#This Row],[TenureMonths]]&lt;=12, "0-1 Year", TelecomData[[#This Row],[TenureMonths]]&lt;=36, "1-3 Years", TelecomData[[#This Row],[TenureMonths]]&gt;36, "3+ Years")</f>
        <v>0-1 Year</v>
      </c>
      <c r="N4706" s="2" t="str">
        <f>IF(TelecomData[[#This Row],[CleanedTotalCharges]]&gt;=2500,"High Spend", "Standard Spend")</f>
        <v>Standard Spend</v>
      </c>
    </row>
    <row r="4707" spans="1:14" x14ac:dyDescent="0.3">
      <c r="A4707" s="1" t="s">
        <v>4731</v>
      </c>
      <c r="B4707" s="2" t="s">
        <v>19</v>
      </c>
      <c r="C4707" s="2" t="s">
        <v>13</v>
      </c>
      <c r="D4707" s="2">
        <v>6</v>
      </c>
      <c r="E4707" s="2" t="s">
        <v>26</v>
      </c>
      <c r="F4707" s="2" t="s">
        <v>15</v>
      </c>
      <c r="G4707" s="7">
        <v>78.95</v>
      </c>
      <c r="H4707" s="7">
        <v>494.95</v>
      </c>
      <c r="I4707" s="2" t="s">
        <v>15</v>
      </c>
      <c r="J4707" s="2" t="s">
        <v>16</v>
      </c>
      <c r="K4707" s="2" t="s">
        <v>17</v>
      </c>
      <c r="L4707" s="7">
        <v>494.95</v>
      </c>
      <c r="M4707" s="2" t="str">
        <f>_xlfn.IFS(TelecomData[[#This Row],[TenureMonths]]&lt;=12, "0-1 Year", TelecomData[[#This Row],[TenureMonths]]&lt;=36, "1-3 Years", TelecomData[[#This Row],[TenureMonths]]&gt;36, "3+ Years")</f>
        <v>0-1 Year</v>
      </c>
      <c r="N4707" s="2" t="str">
        <f>IF(TelecomData[[#This Row],[CleanedTotalCharges]]&gt;=2500,"High Spend", "Standard Spend")</f>
        <v>Standard Spend</v>
      </c>
    </row>
    <row r="4708" spans="1:14" x14ac:dyDescent="0.3">
      <c r="A4708" s="1" t="s">
        <v>4732</v>
      </c>
      <c r="B4708" s="2" t="s">
        <v>12</v>
      </c>
      <c r="C4708" s="2" t="s">
        <v>13</v>
      </c>
      <c r="D4708" s="2">
        <v>1</v>
      </c>
      <c r="E4708" s="2" t="s">
        <v>14</v>
      </c>
      <c r="F4708" s="2" t="s">
        <v>15</v>
      </c>
      <c r="G4708" s="7">
        <v>44.45</v>
      </c>
      <c r="H4708" s="7">
        <v>44.45</v>
      </c>
      <c r="I4708" s="2" t="s">
        <v>16</v>
      </c>
      <c r="J4708" s="2" t="s">
        <v>16</v>
      </c>
      <c r="K4708" s="2" t="s">
        <v>21</v>
      </c>
      <c r="L4708" s="7">
        <v>44.45</v>
      </c>
      <c r="M4708" s="2" t="str">
        <f>_xlfn.IFS(TelecomData[[#This Row],[TenureMonths]]&lt;=12, "0-1 Year", TelecomData[[#This Row],[TenureMonths]]&lt;=36, "1-3 Years", TelecomData[[#This Row],[TenureMonths]]&gt;36, "3+ Years")</f>
        <v>0-1 Year</v>
      </c>
      <c r="N4708" s="2" t="str">
        <f>IF(TelecomData[[#This Row],[CleanedTotalCharges]]&gt;=2500,"High Spend", "Standard Spend")</f>
        <v>Standard Spend</v>
      </c>
    </row>
    <row r="4709" spans="1:14" x14ac:dyDescent="0.3">
      <c r="A4709" s="1" t="s">
        <v>4733</v>
      </c>
      <c r="B4709" s="2" t="s">
        <v>19</v>
      </c>
      <c r="C4709" s="2" t="s">
        <v>20</v>
      </c>
      <c r="D4709" s="2">
        <v>49</v>
      </c>
      <c r="E4709" s="2" t="s">
        <v>26</v>
      </c>
      <c r="F4709" s="2" t="s">
        <v>15</v>
      </c>
      <c r="G4709" s="7">
        <v>109.2</v>
      </c>
      <c r="H4709" s="7">
        <v>5290.45</v>
      </c>
      <c r="I4709" s="2" t="s">
        <v>15</v>
      </c>
      <c r="J4709" s="2" t="s">
        <v>16</v>
      </c>
      <c r="K4709" s="2" t="s">
        <v>29</v>
      </c>
      <c r="L4709" s="7">
        <v>5290.45</v>
      </c>
      <c r="M4709" s="2" t="str">
        <f>_xlfn.IFS(TelecomData[[#This Row],[TenureMonths]]&lt;=12, "0-1 Year", TelecomData[[#This Row],[TenureMonths]]&lt;=36, "1-3 Years", TelecomData[[#This Row],[TenureMonths]]&gt;36, "3+ Years")</f>
        <v>3+ Years</v>
      </c>
      <c r="N4709" s="2" t="str">
        <f>IF(TelecomData[[#This Row],[CleanedTotalCharges]]&gt;=2500,"High Spend", "Standard Spend")</f>
        <v>High Spend</v>
      </c>
    </row>
    <row r="4710" spans="1:14" x14ac:dyDescent="0.3">
      <c r="A4710" s="1" t="s">
        <v>4734</v>
      </c>
      <c r="B4710" s="2" t="s">
        <v>12</v>
      </c>
      <c r="C4710" s="2" t="s">
        <v>35</v>
      </c>
      <c r="D4710" s="2">
        <v>56</v>
      </c>
      <c r="E4710" s="2" t="s">
        <v>14</v>
      </c>
      <c r="F4710" s="2" t="s">
        <v>15</v>
      </c>
      <c r="G4710" s="7">
        <v>61.3</v>
      </c>
      <c r="H4710" s="7">
        <v>3346.8</v>
      </c>
      <c r="I4710" s="2" t="s">
        <v>15</v>
      </c>
      <c r="J4710" s="2" t="s">
        <v>16</v>
      </c>
      <c r="K4710" s="2" t="s">
        <v>29</v>
      </c>
      <c r="L4710" s="7">
        <v>3346.8</v>
      </c>
      <c r="M4710" s="2" t="str">
        <f>_xlfn.IFS(TelecomData[[#This Row],[TenureMonths]]&lt;=12, "0-1 Year", TelecomData[[#This Row],[TenureMonths]]&lt;=36, "1-3 Years", TelecomData[[#This Row],[TenureMonths]]&gt;36, "3+ Years")</f>
        <v>3+ Years</v>
      </c>
      <c r="N4710" s="2" t="str">
        <f>IF(TelecomData[[#This Row],[CleanedTotalCharges]]&gt;=2500,"High Spend", "Standard Spend")</f>
        <v>High Spend</v>
      </c>
    </row>
    <row r="4711" spans="1:14" x14ac:dyDescent="0.3">
      <c r="A4711" s="1" t="s">
        <v>4735</v>
      </c>
      <c r="B4711" s="2" t="s">
        <v>12</v>
      </c>
      <c r="C4711" s="2" t="s">
        <v>13</v>
      </c>
      <c r="D4711" s="2">
        <v>56</v>
      </c>
      <c r="E4711" s="2" t="s">
        <v>26</v>
      </c>
      <c r="F4711" s="2" t="s">
        <v>15</v>
      </c>
      <c r="G4711" s="7">
        <v>96.85</v>
      </c>
      <c r="H4711" s="7">
        <v>5219.6499999999996</v>
      </c>
      <c r="I4711" s="2" t="s">
        <v>15</v>
      </c>
      <c r="J4711" s="2" t="s">
        <v>16</v>
      </c>
      <c r="K4711" s="2" t="s">
        <v>17</v>
      </c>
      <c r="L4711" s="7">
        <v>5219.6499999999996</v>
      </c>
      <c r="M4711" s="2" t="str">
        <f>_xlfn.IFS(TelecomData[[#This Row],[TenureMonths]]&lt;=12, "0-1 Year", TelecomData[[#This Row],[TenureMonths]]&lt;=36, "1-3 Years", TelecomData[[#This Row],[TenureMonths]]&gt;36, "3+ Years")</f>
        <v>3+ Years</v>
      </c>
      <c r="N4711" s="2" t="str">
        <f>IF(TelecomData[[#This Row],[CleanedTotalCharges]]&gt;=2500,"High Spend", "Standard Spend")</f>
        <v>High Spend</v>
      </c>
    </row>
    <row r="4712" spans="1:14" x14ac:dyDescent="0.3">
      <c r="A4712" s="1" t="s">
        <v>4736</v>
      </c>
      <c r="B4712" s="2" t="s">
        <v>12</v>
      </c>
      <c r="C4712" s="2" t="s">
        <v>35</v>
      </c>
      <c r="D4712" s="2">
        <v>6</v>
      </c>
      <c r="E4712" s="2" t="s">
        <v>14</v>
      </c>
      <c r="F4712" s="2" t="s">
        <v>16</v>
      </c>
      <c r="G4712" s="7">
        <v>40.549999999999997</v>
      </c>
      <c r="H4712" s="7">
        <v>217.5</v>
      </c>
      <c r="I4712" s="2" t="s">
        <v>15</v>
      </c>
      <c r="J4712" s="2" t="s">
        <v>15</v>
      </c>
      <c r="K4712" s="2" t="s">
        <v>21</v>
      </c>
      <c r="L4712" s="7">
        <v>217.5</v>
      </c>
      <c r="M4712" s="2" t="str">
        <f>_xlfn.IFS(TelecomData[[#This Row],[TenureMonths]]&lt;=12, "0-1 Year", TelecomData[[#This Row],[TenureMonths]]&lt;=36, "1-3 Years", TelecomData[[#This Row],[TenureMonths]]&gt;36, "3+ Years")</f>
        <v>0-1 Year</v>
      </c>
      <c r="N4712" s="2" t="str">
        <f>IF(TelecomData[[#This Row],[CleanedTotalCharges]]&gt;=2500,"High Spend", "Standard Spend")</f>
        <v>Standard Spend</v>
      </c>
    </row>
    <row r="4713" spans="1:14" x14ac:dyDescent="0.3">
      <c r="A4713" s="1" t="s">
        <v>4737</v>
      </c>
      <c r="B4713" s="2" t="s">
        <v>19</v>
      </c>
      <c r="C4713" s="2" t="s">
        <v>20</v>
      </c>
      <c r="D4713" s="2">
        <v>32</v>
      </c>
      <c r="E4713" s="2" t="s">
        <v>15</v>
      </c>
      <c r="F4713" s="2" t="s">
        <v>36</v>
      </c>
      <c r="G4713" s="7">
        <v>19.8</v>
      </c>
      <c r="H4713" s="7">
        <v>607.70000000000005</v>
      </c>
      <c r="I4713" s="2" t="s">
        <v>15</v>
      </c>
      <c r="J4713" s="2" t="s">
        <v>15</v>
      </c>
      <c r="K4713" s="2" t="s">
        <v>21</v>
      </c>
      <c r="L4713" s="7">
        <v>607.70000000000005</v>
      </c>
      <c r="M4713" s="2" t="str">
        <f>_xlfn.IFS(TelecomData[[#This Row],[TenureMonths]]&lt;=12, "0-1 Year", TelecomData[[#This Row],[TenureMonths]]&lt;=36, "1-3 Years", TelecomData[[#This Row],[TenureMonths]]&gt;36, "3+ Years")</f>
        <v>1-3 Years</v>
      </c>
      <c r="N4713" s="2" t="str">
        <f>IF(TelecomData[[#This Row],[CleanedTotalCharges]]&gt;=2500,"High Spend", "Standard Spend")</f>
        <v>Standard Spend</v>
      </c>
    </row>
    <row r="4714" spans="1:14" x14ac:dyDescent="0.3">
      <c r="A4714" s="1" t="s">
        <v>4738</v>
      </c>
      <c r="B4714" s="2" t="s">
        <v>19</v>
      </c>
      <c r="C4714" s="2" t="s">
        <v>20</v>
      </c>
      <c r="D4714" s="2">
        <v>50</v>
      </c>
      <c r="E4714" s="2" t="s">
        <v>26</v>
      </c>
      <c r="F4714" s="2" t="s">
        <v>15</v>
      </c>
      <c r="G4714" s="7">
        <v>108.25</v>
      </c>
      <c r="H4714" s="7">
        <v>5431.4</v>
      </c>
      <c r="I4714" s="2" t="s">
        <v>15</v>
      </c>
      <c r="J4714" s="2" t="s">
        <v>16</v>
      </c>
      <c r="K4714" s="2" t="s">
        <v>17</v>
      </c>
      <c r="L4714" s="7">
        <v>5431.4</v>
      </c>
      <c r="M4714" s="2" t="str">
        <f>_xlfn.IFS(TelecomData[[#This Row],[TenureMonths]]&lt;=12, "0-1 Year", TelecomData[[#This Row],[TenureMonths]]&lt;=36, "1-3 Years", TelecomData[[#This Row],[TenureMonths]]&gt;36, "3+ Years")</f>
        <v>3+ Years</v>
      </c>
      <c r="N4714" s="2" t="str">
        <f>IF(TelecomData[[#This Row],[CleanedTotalCharges]]&gt;=2500,"High Spend", "Standard Spend")</f>
        <v>High Spend</v>
      </c>
    </row>
    <row r="4715" spans="1:14" x14ac:dyDescent="0.3">
      <c r="A4715" s="1" t="s">
        <v>4739</v>
      </c>
      <c r="B4715" s="2" t="s">
        <v>19</v>
      </c>
      <c r="C4715" s="2" t="s">
        <v>20</v>
      </c>
      <c r="D4715" s="2">
        <v>58</v>
      </c>
      <c r="E4715" s="2" t="s">
        <v>26</v>
      </c>
      <c r="F4715" s="2" t="s">
        <v>16</v>
      </c>
      <c r="G4715" s="7">
        <v>105.05</v>
      </c>
      <c r="H4715" s="7">
        <v>6004.85</v>
      </c>
      <c r="I4715" s="2" t="s">
        <v>15</v>
      </c>
      <c r="J4715" s="2" t="s">
        <v>16</v>
      </c>
      <c r="K4715" s="2" t="s">
        <v>24</v>
      </c>
      <c r="L4715" s="7">
        <v>6004.85</v>
      </c>
      <c r="M4715" s="2" t="str">
        <f>_xlfn.IFS(TelecomData[[#This Row],[TenureMonths]]&lt;=12, "0-1 Year", TelecomData[[#This Row],[TenureMonths]]&lt;=36, "1-3 Years", TelecomData[[#This Row],[TenureMonths]]&gt;36, "3+ Years")</f>
        <v>3+ Years</v>
      </c>
      <c r="N4715" s="2" t="str">
        <f>IF(TelecomData[[#This Row],[CleanedTotalCharges]]&gt;=2500,"High Spend", "Standard Spend")</f>
        <v>High Spend</v>
      </c>
    </row>
    <row r="4716" spans="1:14" x14ac:dyDescent="0.3">
      <c r="A4716" s="1" t="s">
        <v>4740</v>
      </c>
      <c r="B4716" s="2" t="s">
        <v>12</v>
      </c>
      <c r="C4716" s="2" t="s">
        <v>35</v>
      </c>
      <c r="D4716" s="2">
        <v>65</v>
      </c>
      <c r="E4716" s="2" t="s">
        <v>14</v>
      </c>
      <c r="F4716" s="2" t="s">
        <v>16</v>
      </c>
      <c r="G4716" s="7">
        <v>90.45</v>
      </c>
      <c r="H4716" s="7">
        <v>5957.9</v>
      </c>
      <c r="I4716" s="2" t="s">
        <v>15</v>
      </c>
      <c r="J4716" s="2" t="s">
        <v>16</v>
      </c>
      <c r="K4716" s="2" t="s">
        <v>21</v>
      </c>
      <c r="L4716" s="7">
        <v>5957.9</v>
      </c>
      <c r="M4716" s="2" t="str">
        <f>_xlfn.IFS(TelecomData[[#This Row],[TenureMonths]]&lt;=12, "0-1 Year", TelecomData[[#This Row],[TenureMonths]]&lt;=36, "1-3 Years", TelecomData[[#This Row],[TenureMonths]]&gt;36, "3+ Years")</f>
        <v>3+ Years</v>
      </c>
      <c r="N4716" s="2" t="str">
        <f>IF(TelecomData[[#This Row],[CleanedTotalCharges]]&gt;=2500,"High Spend", "Standard Spend")</f>
        <v>High Spend</v>
      </c>
    </row>
    <row r="4717" spans="1:14" x14ac:dyDescent="0.3">
      <c r="A4717" s="1" t="s">
        <v>4741</v>
      </c>
      <c r="B4717" s="2" t="s">
        <v>12</v>
      </c>
      <c r="C4717" s="2" t="s">
        <v>35</v>
      </c>
      <c r="D4717" s="2">
        <v>64</v>
      </c>
      <c r="E4717" s="2" t="s">
        <v>14</v>
      </c>
      <c r="F4717" s="2" t="s">
        <v>16</v>
      </c>
      <c r="G4717" s="7">
        <v>86.4</v>
      </c>
      <c r="H4717" s="7">
        <v>5442.05</v>
      </c>
      <c r="I4717" s="2" t="s">
        <v>15</v>
      </c>
      <c r="J4717" s="2" t="s">
        <v>16</v>
      </c>
      <c r="K4717" s="2" t="s">
        <v>29</v>
      </c>
      <c r="L4717" s="7">
        <v>5442.05</v>
      </c>
      <c r="M4717" s="2" t="str">
        <f>_xlfn.IFS(TelecomData[[#This Row],[TenureMonths]]&lt;=12, "0-1 Year", TelecomData[[#This Row],[TenureMonths]]&lt;=36, "1-3 Years", TelecomData[[#This Row],[TenureMonths]]&gt;36, "3+ Years")</f>
        <v>3+ Years</v>
      </c>
      <c r="N4717" s="2" t="str">
        <f>IF(TelecomData[[#This Row],[CleanedTotalCharges]]&gt;=2500,"High Spend", "Standard Spend")</f>
        <v>High Spend</v>
      </c>
    </row>
    <row r="4718" spans="1:14" x14ac:dyDescent="0.3">
      <c r="A4718" s="1" t="s">
        <v>4742</v>
      </c>
      <c r="B4718" s="2" t="s">
        <v>12</v>
      </c>
      <c r="C4718" s="2" t="s">
        <v>35</v>
      </c>
      <c r="D4718" s="2">
        <v>66</v>
      </c>
      <c r="E4718" s="2" t="s">
        <v>14</v>
      </c>
      <c r="F4718" s="2" t="s">
        <v>15</v>
      </c>
      <c r="G4718" s="7">
        <v>66.900000000000006</v>
      </c>
      <c r="H4718" s="7">
        <v>4370.25</v>
      </c>
      <c r="I4718" s="2" t="s">
        <v>15</v>
      </c>
      <c r="J4718" s="2" t="s">
        <v>15</v>
      </c>
      <c r="K4718" s="2" t="s">
        <v>24</v>
      </c>
      <c r="L4718" s="7">
        <v>4370.25</v>
      </c>
      <c r="M4718" s="2" t="str">
        <f>_xlfn.IFS(TelecomData[[#This Row],[TenureMonths]]&lt;=12, "0-1 Year", TelecomData[[#This Row],[TenureMonths]]&lt;=36, "1-3 Years", TelecomData[[#This Row],[TenureMonths]]&gt;36, "3+ Years")</f>
        <v>3+ Years</v>
      </c>
      <c r="N4718" s="2" t="str">
        <f>IF(TelecomData[[#This Row],[CleanedTotalCharges]]&gt;=2500,"High Spend", "Standard Spend")</f>
        <v>High Spend</v>
      </c>
    </row>
    <row r="4719" spans="1:14" x14ac:dyDescent="0.3">
      <c r="A4719" s="1" t="s">
        <v>4743</v>
      </c>
      <c r="B4719" s="2" t="s">
        <v>19</v>
      </c>
      <c r="C4719" s="2" t="s">
        <v>20</v>
      </c>
      <c r="D4719" s="2">
        <v>38</v>
      </c>
      <c r="E4719" s="2" t="s">
        <v>26</v>
      </c>
      <c r="F4719" s="2" t="s">
        <v>16</v>
      </c>
      <c r="G4719" s="7">
        <v>110.7</v>
      </c>
      <c r="H4719" s="7">
        <v>4428.6000000000004</v>
      </c>
      <c r="I4719" s="2" t="s">
        <v>15</v>
      </c>
      <c r="J4719" s="2" t="s">
        <v>16</v>
      </c>
      <c r="K4719" s="2" t="s">
        <v>17</v>
      </c>
      <c r="L4719" s="7">
        <v>4428.6000000000004</v>
      </c>
      <c r="M4719" s="2" t="str">
        <f>_xlfn.IFS(TelecomData[[#This Row],[TenureMonths]]&lt;=12, "0-1 Year", TelecomData[[#This Row],[TenureMonths]]&lt;=36, "1-3 Years", TelecomData[[#This Row],[TenureMonths]]&gt;36, "3+ Years")</f>
        <v>3+ Years</v>
      </c>
      <c r="N4719" s="2" t="str">
        <f>IF(TelecomData[[#This Row],[CleanedTotalCharges]]&gt;=2500,"High Spend", "Standard Spend")</f>
        <v>High Spend</v>
      </c>
    </row>
    <row r="4720" spans="1:14" x14ac:dyDescent="0.3">
      <c r="A4720" s="1" t="s">
        <v>4744</v>
      </c>
      <c r="B4720" s="2" t="s">
        <v>12</v>
      </c>
      <c r="C4720" s="2" t="s">
        <v>20</v>
      </c>
      <c r="D4720" s="2">
        <v>20</v>
      </c>
      <c r="E4720" s="2" t="s">
        <v>15</v>
      </c>
      <c r="F4720" s="2" t="s">
        <v>36</v>
      </c>
      <c r="G4720" s="7">
        <v>20</v>
      </c>
      <c r="H4720" s="7">
        <v>416.45</v>
      </c>
      <c r="I4720" s="2" t="s">
        <v>15</v>
      </c>
      <c r="J4720" s="2" t="s">
        <v>16</v>
      </c>
      <c r="K4720" s="2" t="s">
        <v>21</v>
      </c>
      <c r="L4720" s="7">
        <v>416.45</v>
      </c>
      <c r="M4720" s="2" t="str">
        <f>_xlfn.IFS(TelecomData[[#This Row],[TenureMonths]]&lt;=12, "0-1 Year", TelecomData[[#This Row],[TenureMonths]]&lt;=36, "1-3 Years", TelecomData[[#This Row],[TenureMonths]]&gt;36, "3+ Years")</f>
        <v>1-3 Years</v>
      </c>
      <c r="N4720" s="2" t="str">
        <f>IF(TelecomData[[#This Row],[CleanedTotalCharges]]&gt;=2500,"High Spend", "Standard Spend")</f>
        <v>Standard Spend</v>
      </c>
    </row>
    <row r="4721" spans="1:14" x14ac:dyDescent="0.3">
      <c r="A4721" s="1" t="s">
        <v>4745</v>
      </c>
      <c r="B4721" s="2" t="s">
        <v>19</v>
      </c>
      <c r="C4721" s="2" t="s">
        <v>13</v>
      </c>
      <c r="D4721" s="2">
        <v>36</v>
      </c>
      <c r="E4721" s="2" t="s">
        <v>26</v>
      </c>
      <c r="F4721" s="2" t="s">
        <v>15</v>
      </c>
      <c r="G4721" s="7">
        <v>84.9</v>
      </c>
      <c r="H4721" s="7">
        <v>3067.2</v>
      </c>
      <c r="I4721" s="2" t="s">
        <v>16</v>
      </c>
      <c r="J4721" s="2" t="s">
        <v>16</v>
      </c>
      <c r="K4721" s="2" t="s">
        <v>17</v>
      </c>
      <c r="L4721" s="7">
        <v>3067.2</v>
      </c>
      <c r="M4721" s="2" t="str">
        <f>_xlfn.IFS(TelecomData[[#This Row],[TenureMonths]]&lt;=12, "0-1 Year", TelecomData[[#This Row],[TenureMonths]]&lt;=36, "1-3 Years", TelecomData[[#This Row],[TenureMonths]]&gt;36, "3+ Years")</f>
        <v>1-3 Years</v>
      </c>
      <c r="N4721" s="2" t="str">
        <f>IF(TelecomData[[#This Row],[CleanedTotalCharges]]&gt;=2500,"High Spend", "Standard Spend")</f>
        <v>High Spend</v>
      </c>
    </row>
    <row r="4722" spans="1:14" x14ac:dyDescent="0.3">
      <c r="A4722" s="1" t="s">
        <v>4746</v>
      </c>
      <c r="B4722" s="2" t="s">
        <v>19</v>
      </c>
      <c r="C4722" s="2" t="s">
        <v>20</v>
      </c>
      <c r="D4722" s="2">
        <v>64</v>
      </c>
      <c r="E4722" s="2" t="s">
        <v>26</v>
      </c>
      <c r="F4722" s="2" t="s">
        <v>16</v>
      </c>
      <c r="G4722" s="7">
        <v>102.1</v>
      </c>
      <c r="H4722" s="7">
        <v>6688.1</v>
      </c>
      <c r="I4722" s="2" t="s">
        <v>15</v>
      </c>
      <c r="J4722" s="2" t="s">
        <v>15</v>
      </c>
      <c r="K4722" s="2" t="s">
        <v>17</v>
      </c>
      <c r="L4722" s="7">
        <v>6688.1</v>
      </c>
      <c r="M4722" s="2" t="str">
        <f>_xlfn.IFS(TelecomData[[#This Row],[TenureMonths]]&lt;=12, "0-1 Year", TelecomData[[#This Row],[TenureMonths]]&lt;=36, "1-3 Years", TelecomData[[#This Row],[TenureMonths]]&gt;36, "3+ Years")</f>
        <v>3+ Years</v>
      </c>
      <c r="N4722" s="2" t="str">
        <f>IF(TelecomData[[#This Row],[CleanedTotalCharges]]&gt;=2500,"High Spend", "Standard Spend")</f>
        <v>High Spend</v>
      </c>
    </row>
    <row r="4723" spans="1:14" x14ac:dyDescent="0.3">
      <c r="A4723" s="1" t="s">
        <v>4747</v>
      </c>
      <c r="B4723" s="2" t="s">
        <v>19</v>
      </c>
      <c r="C4723" s="2" t="s">
        <v>13</v>
      </c>
      <c r="D4723" s="2">
        <v>1</v>
      </c>
      <c r="E4723" s="2" t="s">
        <v>15</v>
      </c>
      <c r="F4723" s="2" t="s">
        <v>36</v>
      </c>
      <c r="G4723" s="7">
        <v>20.25</v>
      </c>
      <c r="H4723" s="7">
        <v>20.25</v>
      </c>
      <c r="I4723" s="2" t="s">
        <v>16</v>
      </c>
      <c r="J4723" s="2" t="s">
        <v>15</v>
      </c>
      <c r="K4723" s="2" t="s">
        <v>21</v>
      </c>
      <c r="L4723" s="7">
        <v>20.25</v>
      </c>
      <c r="M4723" s="2" t="str">
        <f>_xlfn.IFS(TelecomData[[#This Row],[TenureMonths]]&lt;=12, "0-1 Year", TelecomData[[#This Row],[TenureMonths]]&lt;=36, "1-3 Years", TelecomData[[#This Row],[TenureMonths]]&gt;36, "3+ Years")</f>
        <v>0-1 Year</v>
      </c>
      <c r="N4723" s="2" t="str">
        <f>IF(TelecomData[[#This Row],[CleanedTotalCharges]]&gt;=2500,"High Spend", "Standard Spend")</f>
        <v>Standard Spend</v>
      </c>
    </row>
    <row r="4724" spans="1:14" x14ac:dyDescent="0.3">
      <c r="A4724" s="1" t="s">
        <v>4748</v>
      </c>
      <c r="B4724" s="2" t="s">
        <v>12</v>
      </c>
      <c r="C4724" s="2" t="s">
        <v>20</v>
      </c>
      <c r="D4724" s="2">
        <v>60</v>
      </c>
      <c r="E4724" s="2" t="s">
        <v>14</v>
      </c>
      <c r="F4724" s="2" t="s">
        <v>16</v>
      </c>
      <c r="G4724" s="7">
        <v>70.150000000000006</v>
      </c>
      <c r="H4724" s="7">
        <v>4224.7</v>
      </c>
      <c r="I4724" s="2" t="s">
        <v>15</v>
      </c>
      <c r="J4724" s="2" t="s">
        <v>16</v>
      </c>
      <c r="K4724" s="2" t="s">
        <v>29</v>
      </c>
      <c r="L4724" s="7">
        <v>4224.7</v>
      </c>
      <c r="M4724" s="2" t="str">
        <f>_xlfn.IFS(TelecomData[[#This Row],[TenureMonths]]&lt;=12, "0-1 Year", TelecomData[[#This Row],[TenureMonths]]&lt;=36, "1-3 Years", TelecomData[[#This Row],[TenureMonths]]&gt;36, "3+ Years")</f>
        <v>3+ Years</v>
      </c>
      <c r="N4724" s="2" t="str">
        <f>IF(TelecomData[[#This Row],[CleanedTotalCharges]]&gt;=2500,"High Spend", "Standard Spend")</f>
        <v>High Spend</v>
      </c>
    </row>
    <row r="4725" spans="1:14" x14ac:dyDescent="0.3">
      <c r="A4725" s="1" t="s">
        <v>4749</v>
      </c>
      <c r="B4725" s="2" t="s">
        <v>19</v>
      </c>
      <c r="C4725" s="2" t="s">
        <v>13</v>
      </c>
      <c r="D4725" s="2">
        <v>1</v>
      </c>
      <c r="E4725" s="2" t="s">
        <v>26</v>
      </c>
      <c r="F4725" s="2" t="s">
        <v>15</v>
      </c>
      <c r="G4725" s="7">
        <v>74.349999999999994</v>
      </c>
      <c r="H4725" s="7">
        <v>74.349999999999994</v>
      </c>
      <c r="I4725" s="2" t="s">
        <v>16</v>
      </c>
      <c r="J4725" s="2" t="s">
        <v>16</v>
      </c>
      <c r="K4725" s="2" t="s">
        <v>17</v>
      </c>
      <c r="L4725" s="7">
        <v>74.349999999999994</v>
      </c>
      <c r="M4725" s="2" t="str">
        <f>_xlfn.IFS(TelecomData[[#This Row],[TenureMonths]]&lt;=12, "0-1 Year", TelecomData[[#This Row],[TenureMonths]]&lt;=36, "1-3 Years", TelecomData[[#This Row],[TenureMonths]]&gt;36, "3+ Years")</f>
        <v>0-1 Year</v>
      </c>
      <c r="N4725" s="2" t="str">
        <f>IF(TelecomData[[#This Row],[CleanedTotalCharges]]&gt;=2500,"High Spend", "Standard Spend")</f>
        <v>Standard Spend</v>
      </c>
    </row>
    <row r="4726" spans="1:14" x14ac:dyDescent="0.3">
      <c r="A4726" s="1" t="s">
        <v>4750</v>
      </c>
      <c r="B4726" s="2" t="s">
        <v>12</v>
      </c>
      <c r="C4726" s="2" t="s">
        <v>20</v>
      </c>
      <c r="D4726" s="2">
        <v>50</v>
      </c>
      <c r="E4726" s="2" t="s">
        <v>14</v>
      </c>
      <c r="F4726" s="2" t="s">
        <v>16</v>
      </c>
      <c r="G4726" s="7">
        <v>80.05</v>
      </c>
      <c r="H4726" s="7">
        <v>4042.2</v>
      </c>
      <c r="I4726" s="2" t="s">
        <v>15</v>
      </c>
      <c r="J4726" s="2" t="s">
        <v>16</v>
      </c>
      <c r="K4726" s="2" t="s">
        <v>24</v>
      </c>
      <c r="L4726" s="7">
        <v>4042.2</v>
      </c>
      <c r="M4726" s="2" t="str">
        <f>_xlfn.IFS(TelecomData[[#This Row],[TenureMonths]]&lt;=12, "0-1 Year", TelecomData[[#This Row],[TenureMonths]]&lt;=36, "1-3 Years", TelecomData[[#This Row],[TenureMonths]]&gt;36, "3+ Years")</f>
        <v>3+ Years</v>
      </c>
      <c r="N4726" s="2" t="str">
        <f>IF(TelecomData[[#This Row],[CleanedTotalCharges]]&gt;=2500,"High Spend", "Standard Spend")</f>
        <v>High Spend</v>
      </c>
    </row>
    <row r="4727" spans="1:14" x14ac:dyDescent="0.3">
      <c r="A4727" s="1" t="s">
        <v>4751</v>
      </c>
      <c r="B4727" s="2" t="s">
        <v>19</v>
      </c>
      <c r="C4727" s="2" t="s">
        <v>13</v>
      </c>
      <c r="D4727" s="2">
        <v>1</v>
      </c>
      <c r="E4727" s="2" t="s">
        <v>14</v>
      </c>
      <c r="F4727" s="2" t="s">
        <v>16</v>
      </c>
      <c r="G4727" s="7">
        <v>62.05</v>
      </c>
      <c r="H4727" s="7">
        <v>62.05</v>
      </c>
      <c r="I4727" s="2" t="s">
        <v>16</v>
      </c>
      <c r="J4727" s="2" t="s">
        <v>15</v>
      </c>
      <c r="K4727" s="2" t="s">
        <v>21</v>
      </c>
      <c r="L4727" s="7">
        <v>62.05</v>
      </c>
      <c r="M4727" s="2" t="str">
        <f>_xlfn.IFS(TelecomData[[#This Row],[TenureMonths]]&lt;=12, "0-1 Year", TelecomData[[#This Row],[TenureMonths]]&lt;=36, "1-3 Years", TelecomData[[#This Row],[TenureMonths]]&gt;36, "3+ Years")</f>
        <v>0-1 Year</v>
      </c>
      <c r="N4727" s="2" t="str">
        <f>IF(TelecomData[[#This Row],[CleanedTotalCharges]]&gt;=2500,"High Spend", "Standard Spend")</f>
        <v>Standard Spend</v>
      </c>
    </row>
    <row r="4728" spans="1:14" x14ac:dyDescent="0.3">
      <c r="A4728" s="1" t="s">
        <v>4752</v>
      </c>
      <c r="B4728" s="2" t="s">
        <v>12</v>
      </c>
      <c r="C4728" s="2" t="s">
        <v>35</v>
      </c>
      <c r="D4728" s="2">
        <v>72</v>
      </c>
      <c r="E4728" s="2" t="s">
        <v>14</v>
      </c>
      <c r="F4728" s="2" t="s">
        <v>15</v>
      </c>
      <c r="G4728" s="7">
        <v>49.2</v>
      </c>
      <c r="H4728" s="7">
        <v>3580.95</v>
      </c>
      <c r="I4728" s="2" t="s">
        <v>15</v>
      </c>
      <c r="J4728" s="2" t="s">
        <v>16</v>
      </c>
      <c r="K4728" s="2" t="s">
        <v>17</v>
      </c>
      <c r="L4728" s="7">
        <v>3580.95</v>
      </c>
      <c r="M4728" s="2" t="str">
        <f>_xlfn.IFS(TelecomData[[#This Row],[TenureMonths]]&lt;=12, "0-1 Year", TelecomData[[#This Row],[TenureMonths]]&lt;=36, "1-3 Years", TelecomData[[#This Row],[TenureMonths]]&gt;36, "3+ Years")</f>
        <v>3+ Years</v>
      </c>
      <c r="N4728" s="2" t="str">
        <f>IF(TelecomData[[#This Row],[CleanedTotalCharges]]&gt;=2500,"High Spend", "Standard Spend")</f>
        <v>High Spend</v>
      </c>
    </row>
    <row r="4729" spans="1:14" x14ac:dyDescent="0.3">
      <c r="A4729" s="1" t="s">
        <v>4753</v>
      </c>
      <c r="B4729" s="2" t="s">
        <v>19</v>
      </c>
      <c r="C4729" s="2" t="s">
        <v>35</v>
      </c>
      <c r="D4729" s="2">
        <v>60</v>
      </c>
      <c r="E4729" s="2" t="s">
        <v>15</v>
      </c>
      <c r="F4729" s="2" t="s">
        <v>36</v>
      </c>
      <c r="G4729" s="7">
        <v>20.5</v>
      </c>
      <c r="H4729" s="7">
        <v>1198.8</v>
      </c>
      <c r="I4729" s="2" t="s">
        <v>15</v>
      </c>
      <c r="J4729" s="2" t="s">
        <v>16</v>
      </c>
      <c r="K4729" s="2" t="s">
        <v>24</v>
      </c>
      <c r="L4729" s="7">
        <v>1198.8</v>
      </c>
      <c r="M4729" s="2" t="str">
        <f>_xlfn.IFS(TelecomData[[#This Row],[TenureMonths]]&lt;=12, "0-1 Year", TelecomData[[#This Row],[TenureMonths]]&lt;=36, "1-3 Years", TelecomData[[#This Row],[TenureMonths]]&gt;36, "3+ Years")</f>
        <v>3+ Years</v>
      </c>
      <c r="N4729" s="2" t="str">
        <f>IF(TelecomData[[#This Row],[CleanedTotalCharges]]&gt;=2500,"High Spend", "Standard Spend")</f>
        <v>Standard Spend</v>
      </c>
    </row>
    <row r="4730" spans="1:14" x14ac:dyDescent="0.3">
      <c r="A4730" s="1" t="s">
        <v>4754</v>
      </c>
      <c r="B4730" s="2" t="s">
        <v>19</v>
      </c>
      <c r="C4730" s="2" t="s">
        <v>35</v>
      </c>
      <c r="D4730" s="2">
        <v>46</v>
      </c>
      <c r="E4730" s="2" t="s">
        <v>14</v>
      </c>
      <c r="F4730" s="2" t="s">
        <v>16</v>
      </c>
      <c r="G4730" s="7">
        <v>38.25</v>
      </c>
      <c r="H4730" s="7">
        <v>1755.35</v>
      </c>
      <c r="I4730" s="2" t="s">
        <v>15</v>
      </c>
      <c r="J4730" s="2" t="s">
        <v>15</v>
      </c>
      <c r="K4730" s="2" t="s">
        <v>21</v>
      </c>
      <c r="L4730" s="7">
        <v>1755.35</v>
      </c>
      <c r="M4730" s="2" t="str">
        <f>_xlfn.IFS(TelecomData[[#This Row],[TenureMonths]]&lt;=12, "0-1 Year", TelecomData[[#This Row],[TenureMonths]]&lt;=36, "1-3 Years", TelecomData[[#This Row],[TenureMonths]]&gt;36, "3+ Years")</f>
        <v>3+ Years</v>
      </c>
      <c r="N4730" s="2" t="str">
        <f>IF(TelecomData[[#This Row],[CleanedTotalCharges]]&gt;=2500,"High Spend", "Standard Spend")</f>
        <v>Standard Spend</v>
      </c>
    </row>
    <row r="4731" spans="1:14" x14ac:dyDescent="0.3">
      <c r="A4731" s="1" t="s">
        <v>4755</v>
      </c>
      <c r="B4731" s="2" t="s">
        <v>12</v>
      </c>
      <c r="C4731" s="2" t="s">
        <v>35</v>
      </c>
      <c r="D4731" s="2">
        <v>69</v>
      </c>
      <c r="E4731" s="2" t="s">
        <v>14</v>
      </c>
      <c r="F4731" s="2" t="s">
        <v>15</v>
      </c>
      <c r="G4731" s="7">
        <v>54.95</v>
      </c>
      <c r="H4731" s="7">
        <v>3772.5</v>
      </c>
      <c r="I4731" s="2" t="s">
        <v>15</v>
      </c>
      <c r="J4731" s="2" t="s">
        <v>16</v>
      </c>
      <c r="K4731" s="2" t="s">
        <v>29</v>
      </c>
      <c r="L4731" s="7">
        <v>3772.5</v>
      </c>
      <c r="M4731" s="2" t="str">
        <f>_xlfn.IFS(TelecomData[[#This Row],[TenureMonths]]&lt;=12, "0-1 Year", TelecomData[[#This Row],[TenureMonths]]&lt;=36, "1-3 Years", TelecomData[[#This Row],[TenureMonths]]&gt;36, "3+ Years")</f>
        <v>3+ Years</v>
      </c>
      <c r="N4731" s="2" t="str">
        <f>IF(TelecomData[[#This Row],[CleanedTotalCharges]]&gt;=2500,"High Spend", "Standard Spend")</f>
        <v>High Spend</v>
      </c>
    </row>
    <row r="4732" spans="1:14" x14ac:dyDescent="0.3">
      <c r="A4732" s="1" t="s">
        <v>4756</v>
      </c>
      <c r="B4732" s="2" t="s">
        <v>19</v>
      </c>
      <c r="C4732" s="2" t="s">
        <v>13</v>
      </c>
      <c r="D4732" s="2">
        <v>31</v>
      </c>
      <c r="E4732" s="2" t="s">
        <v>26</v>
      </c>
      <c r="F4732" s="2" t="s">
        <v>16</v>
      </c>
      <c r="G4732" s="7">
        <v>96.6</v>
      </c>
      <c r="H4732" s="7">
        <v>2877.95</v>
      </c>
      <c r="I4732" s="2" t="s">
        <v>15</v>
      </c>
      <c r="J4732" s="2" t="s">
        <v>16</v>
      </c>
      <c r="K4732" s="2" t="s">
        <v>24</v>
      </c>
      <c r="L4732" s="7">
        <v>2877.95</v>
      </c>
      <c r="M4732" s="2" t="str">
        <f>_xlfn.IFS(TelecomData[[#This Row],[TenureMonths]]&lt;=12, "0-1 Year", TelecomData[[#This Row],[TenureMonths]]&lt;=36, "1-3 Years", TelecomData[[#This Row],[TenureMonths]]&gt;36, "3+ Years")</f>
        <v>1-3 Years</v>
      </c>
      <c r="N4732" s="2" t="str">
        <f>IF(TelecomData[[#This Row],[CleanedTotalCharges]]&gt;=2500,"High Spend", "Standard Spend")</f>
        <v>High Spend</v>
      </c>
    </row>
    <row r="4733" spans="1:14" x14ac:dyDescent="0.3">
      <c r="A4733" s="1" t="s">
        <v>4757</v>
      </c>
      <c r="B4733" s="2" t="s">
        <v>19</v>
      </c>
      <c r="C4733" s="2" t="s">
        <v>20</v>
      </c>
      <c r="D4733" s="2">
        <v>19</v>
      </c>
      <c r="E4733" s="2" t="s">
        <v>15</v>
      </c>
      <c r="F4733" s="2" t="s">
        <v>36</v>
      </c>
      <c r="G4733" s="7">
        <v>19.899999999999999</v>
      </c>
      <c r="H4733" s="7">
        <v>357.7</v>
      </c>
      <c r="I4733" s="2" t="s">
        <v>15</v>
      </c>
      <c r="J4733" s="2" t="s">
        <v>15</v>
      </c>
      <c r="K4733" s="2" t="s">
        <v>21</v>
      </c>
      <c r="L4733" s="7">
        <v>357.7</v>
      </c>
      <c r="M4733" s="2" t="str">
        <f>_xlfn.IFS(TelecomData[[#This Row],[TenureMonths]]&lt;=12, "0-1 Year", TelecomData[[#This Row],[TenureMonths]]&lt;=36, "1-3 Years", TelecomData[[#This Row],[TenureMonths]]&gt;36, "3+ Years")</f>
        <v>1-3 Years</v>
      </c>
      <c r="N4733" s="2" t="str">
        <f>IF(TelecomData[[#This Row],[CleanedTotalCharges]]&gt;=2500,"High Spend", "Standard Spend")</f>
        <v>Standard Spend</v>
      </c>
    </row>
    <row r="4734" spans="1:14" x14ac:dyDescent="0.3">
      <c r="A4734" s="1" t="s">
        <v>4758</v>
      </c>
      <c r="B4734" s="2" t="s">
        <v>12</v>
      </c>
      <c r="C4734" s="2" t="s">
        <v>35</v>
      </c>
      <c r="D4734" s="2">
        <v>71</v>
      </c>
      <c r="E4734" s="2" t="s">
        <v>15</v>
      </c>
      <c r="F4734" s="2" t="s">
        <v>36</v>
      </c>
      <c r="G4734" s="7">
        <v>19.899999999999999</v>
      </c>
      <c r="H4734" s="7">
        <v>1397.3</v>
      </c>
      <c r="I4734" s="2" t="s">
        <v>15</v>
      </c>
      <c r="J4734" s="2" t="s">
        <v>15</v>
      </c>
      <c r="K4734" s="2" t="s">
        <v>29</v>
      </c>
      <c r="L4734" s="7">
        <v>1397.3</v>
      </c>
      <c r="M4734" s="2" t="str">
        <f>_xlfn.IFS(TelecomData[[#This Row],[TenureMonths]]&lt;=12, "0-1 Year", TelecomData[[#This Row],[TenureMonths]]&lt;=36, "1-3 Years", TelecomData[[#This Row],[TenureMonths]]&gt;36, "3+ Years")</f>
        <v>3+ Years</v>
      </c>
      <c r="N4734" s="2" t="str">
        <f>IF(TelecomData[[#This Row],[CleanedTotalCharges]]&gt;=2500,"High Spend", "Standard Spend")</f>
        <v>Standard Spend</v>
      </c>
    </row>
    <row r="4735" spans="1:14" x14ac:dyDescent="0.3">
      <c r="A4735" s="1" t="s">
        <v>4759</v>
      </c>
      <c r="B4735" s="2" t="s">
        <v>19</v>
      </c>
      <c r="C4735" s="2" t="s">
        <v>13</v>
      </c>
      <c r="D4735" s="2">
        <v>12</v>
      </c>
      <c r="E4735" s="2" t="s">
        <v>26</v>
      </c>
      <c r="F4735" s="2" t="s">
        <v>15</v>
      </c>
      <c r="G4735" s="7">
        <v>84.6</v>
      </c>
      <c r="H4735" s="7">
        <v>959.9</v>
      </c>
      <c r="I4735" s="2" t="s">
        <v>15</v>
      </c>
      <c r="J4735" s="2" t="s">
        <v>16</v>
      </c>
      <c r="K4735" s="2" t="s">
        <v>17</v>
      </c>
      <c r="L4735" s="7">
        <v>959.9</v>
      </c>
      <c r="M4735" s="2" t="str">
        <f>_xlfn.IFS(TelecomData[[#This Row],[TenureMonths]]&lt;=12, "0-1 Year", TelecomData[[#This Row],[TenureMonths]]&lt;=36, "1-3 Years", TelecomData[[#This Row],[TenureMonths]]&gt;36, "3+ Years")</f>
        <v>0-1 Year</v>
      </c>
      <c r="N4735" s="2" t="str">
        <f>IF(TelecomData[[#This Row],[CleanedTotalCharges]]&gt;=2500,"High Spend", "Standard Spend")</f>
        <v>Standard Spend</v>
      </c>
    </row>
    <row r="4736" spans="1:14" x14ac:dyDescent="0.3">
      <c r="A4736" s="1" t="s">
        <v>4760</v>
      </c>
      <c r="B4736" s="2" t="s">
        <v>19</v>
      </c>
      <c r="C4736" s="2" t="s">
        <v>20</v>
      </c>
      <c r="D4736" s="2">
        <v>39</v>
      </c>
      <c r="E4736" s="2" t="s">
        <v>14</v>
      </c>
      <c r="F4736" s="2" t="s">
        <v>16</v>
      </c>
      <c r="G4736" s="7">
        <v>80</v>
      </c>
      <c r="H4736" s="7">
        <v>3182.95</v>
      </c>
      <c r="I4736" s="2" t="s">
        <v>16</v>
      </c>
      <c r="J4736" s="2" t="s">
        <v>15</v>
      </c>
      <c r="K4736" s="2" t="s">
        <v>29</v>
      </c>
      <c r="L4736" s="7">
        <v>3182.95</v>
      </c>
      <c r="M4736" s="2" t="str">
        <f>_xlfn.IFS(TelecomData[[#This Row],[TenureMonths]]&lt;=12, "0-1 Year", TelecomData[[#This Row],[TenureMonths]]&lt;=36, "1-3 Years", TelecomData[[#This Row],[TenureMonths]]&gt;36, "3+ Years")</f>
        <v>3+ Years</v>
      </c>
      <c r="N4736" s="2" t="str">
        <f>IF(TelecomData[[#This Row],[CleanedTotalCharges]]&gt;=2500,"High Spend", "Standard Spend")</f>
        <v>High Spend</v>
      </c>
    </row>
    <row r="4737" spans="1:14" x14ac:dyDescent="0.3">
      <c r="A4737" s="1" t="s">
        <v>4761</v>
      </c>
      <c r="B4737" s="2" t="s">
        <v>19</v>
      </c>
      <c r="C4737" s="2" t="s">
        <v>20</v>
      </c>
      <c r="D4737" s="2">
        <v>44</v>
      </c>
      <c r="E4737" s="2" t="s">
        <v>14</v>
      </c>
      <c r="F4737" s="2" t="s">
        <v>16</v>
      </c>
      <c r="G4737" s="7">
        <v>85.25</v>
      </c>
      <c r="H4737" s="7">
        <v>3704.15</v>
      </c>
      <c r="I4737" s="2" t="s">
        <v>15</v>
      </c>
      <c r="J4737" s="2" t="s">
        <v>16</v>
      </c>
      <c r="K4737" s="2" t="s">
        <v>24</v>
      </c>
      <c r="L4737" s="7">
        <v>3704.15</v>
      </c>
      <c r="M4737" s="2" t="str">
        <f>_xlfn.IFS(TelecomData[[#This Row],[TenureMonths]]&lt;=12, "0-1 Year", TelecomData[[#This Row],[TenureMonths]]&lt;=36, "1-3 Years", TelecomData[[#This Row],[TenureMonths]]&gt;36, "3+ Years")</f>
        <v>3+ Years</v>
      </c>
      <c r="N4737" s="2" t="str">
        <f>IF(TelecomData[[#This Row],[CleanedTotalCharges]]&gt;=2500,"High Spend", "Standard Spend")</f>
        <v>High Spend</v>
      </c>
    </row>
    <row r="4738" spans="1:14" x14ac:dyDescent="0.3">
      <c r="A4738" s="1" t="s">
        <v>4762</v>
      </c>
      <c r="B4738" s="2" t="s">
        <v>12</v>
      </c>
      <c r="C4738" s="2" t="s">
        <v>35</v>
      </c>
      <c r="D4738" s="2">
        <v>56</v>
      </c>
      <c r="E4738" s="2" t="s">
        <v>14</v>
      </c>
      <c r="F4738" s="2" t="s">
        <v>16</v>
      </c>
      <c r="G4738" s="7">
        <v>81.25</v>
      </c>
      <c r="H4738" s="7">
        <v>4620.3999999999996</v>
      </c>
      <c r="I4738" s="2" t="s">
        <v>15</v>
      </c>
      <c r="J4738" s="2" t="s">
        <v>15</v>
      </c>
      <c r="K4738" s="2" t="s">
        <v>29</v>
      </c>
      <c r="L4738" s="7">
        <v>4620.3999999999996</v>
      </c>
      <c r="M4738" s="2" t="str">
        <f>_xlfn.IFS(TelecomData[[#This Row],[TenureMonths]]&lt;=12, "0-1 Year", TelecomData[[#This Row],[TenureMonths]]&lt;=36, "1-3 Years", TelecomData[[#This Row],[TenureMonths]]&gt;36, "3+ Years")</f>
        <v>3+ Years</v>
      </c>
      <c r="N4738" s="2" t="str">
        <f>IF(TelecomData[[#This Row],[CleanedTotalCharges]]&gt;=2500,"High Spend", "Standard Spend")</f>
        <v>High Spend</v>
      </c>
    </row>
    <row r="4739" spans="1:14" x14ac:dyDescent="0.3">
      <c r="A4739" s="1" t="s">
        <v>4763</v>
      </c>
      <c r="B4739" s="2" t="s">
        <v>12</v>
      </c>
      <c r="C4739" s="2" t="s">
        <v>35</v>
      </c>
      <c r="D4739" s="2">
        <v>72</v>
      </c>
      <c r="E4739" s="2" t="s">
        <v>26</v>
      </c>
      <c r="F4739" s="2" t="s">
        <v>16</v>
      </c>
      <c r="G4739" s="7">
        <v>115.5</v>
      </c>
      <c r="H4739" s="7">
        <v>8312.75</v>
      </c>
      <c r="I4739" s="2" t="s">
        <v>15</v>
      </c>
      <c r="J4739" s="2" t="s">
        <v>16</v>
      </c>
      <c r="K4739" s="2" t="s">
        <v>24</v>
      </c>
      <c r="L4739" s="7">
        <v>8312.75</v>
      </c>
      <c r="M4739" s="2" t="str">
        <f>_xlfn.IFS(TelecomData[[#This Row],[TenureMonths]]&lt;=12, "0-1 Year", TelecomData[[#This Row],[TenureMonths]]&lt;=36, "1-3 Years", TelecomData[[#This Row],[TenureMonths]]&gt;36, "3+ Years")</f>
        <v>3+ Years</v>
      </c>
      <c r="N4739" s="2" t="str">
        <f>IF(TelecomData[[#This Row],[CleanedTotalCharges]]&gt;=2500,"High Spend", "Standard Spend")</f>
        <v>High Spend</v>
      </c>
    </row>
    <row r="4740" spans="1:14" x14ac:dyDescent="0.3">
      <c r="A4740" s="1" t="s">
        <v>4764</v>
      </c>
      <c r="B4740" s="2" t="s">
        <v>19</v>
      </c>
      <c r="C4740" s="2" t="s">
        <v>13</v>
      </c>
      <c r="D4740" s="2">
        <v>5</v>
      </c>
      <c r="E4740" s="2" t="s">
        <v>26</v>
      </c>
      <c r="F4740" s="2" t="s">
        <v>15</v>
      </c>
      <c r="G4740" s="7">
        <v>104.1</v>
      </c>
      <c r="H4740" s="7">
        <v>541.9</v>
      </c>
      <c r="I4740" s="2" t="s">
        <v>16</v>
      </c>
      <c r="J4740" s="2" t="s">
        <v>15</v>
      </c>
      <c r="K4740" s="2" t="s">
        <v>21</v>
      </c>
      <c r="L4740" s="7">
        <v>541.9</v>
      </c>
      <c r="M4740" s="2" t="str">
        <f>_xlfn.IFS(TelecomData[[#This Row],[TenureMonths]]&lt;=12, "0-1 Year", TelecomData[[#This Row],[TenureMonths]]&lt;=36, "1-3 Years", TelecomData[[#This Row],[TenureMonths]]&gt;36, "3+ Years")</f>
        <v>0-1 Year</v>
      </c>
      <c r="N4740" s="2" t="str">
        <f>IF(TelecomData[[#This Row],[CleanedTotalCharges]]&gt;=2500,"High Spend", "Standard Spend")</f>
        <v>Standard Spend</v>
      </c>
    </row>
    <row r="4741" spans="1:14" x14ac:dyDescent="0.3">
      <c r="A4741" s="1" t="s">
        <v>4765</v>
      </c>
      <c r="B4741" s="2" t="s">
        <v>12</v>
      </c>
      <c r="C4741" s="2" t="s">
        <v>13</v>
      </c>
      <c r="D4741" s="2">
        <v>11</v>
      </c>
      <c r="E4741" s="2" t="s">
        <v>26</v>
      </c>
      <c r="F4741" s="2" t="s">
        <v>15</v>
      </c>
      <c r="G4741" s="7">
        <v>79</v>
      </c>
      <c r="H4741" s="7">
        <v>929.3</v>
      </c>
      <c r="I4741" s="2" t="s">
        <v>15</v>
      </c>
      <c r="J4741" s="2" t="s">
        <v>16</v>
      </c>
      <c r="K4741" s="2" t="s">
        <v>24</v>
      </c>
      <c r="L4741" s="7">
        <v>929.3</v>
      </c>
      <c r="M4741" s="2" t="str">
        <f>_xlfn.IFS(TelecomData[[#This Row],[TenureMonths]]&lt;=12, "0-1 Year", TelecomData[[#This Row],[TenureMonths]]&lt;=36, "1-3 Years", TelecomData[[#This Row],[TenureMonths]]&gt;36, "3+ Years")</f>
        <v>0-1 Year</v>
      </c>
      <c r="N4741" s="2" t="str">
        <f>IF(TelecomData[[#This Row],[CleanedTotalCharges]]&gt;=2500,"High Spend", "Standard Spend")</f>
        <v>Standard Spend</v>
      </c>
    </row>
    <row r="4742" spans="1:14" x14ac:dyDescent="0.3">
      <c r="A4742" s="1" t="s">
        <v>4766</v>
      </c>
      <c r="B4742" s="2" t="s">
        <v>19</v>
      </c>
      <c r="C4742" s="2" t="s">
        <v>13</v>
      </c>
      <c r="D4742" s="2">
        <v>24</v>
      </c>
      <c r="E4742" s="2" t="s">
        <v>14</v>
      </c>
      <c r="F4742" s="2" t="s">
        <v>15</v>
      </c>
      <c r="G4742" s="7">
        <v>39.1</v>
      </c>
      <c r="H4742" s="7">
        <v>971.3</v>
      </c>
      <c r="I4742" s="2" t="s">
        <v>16</v>
      </c>
      <c r="J4742" s="2" t="s">
        <v>15</v>
      </c>
      <c r="K4742" s="2" t="s">
        <v>24</v>
      </c>
      <c r="L4742" s="7">
        <v>971.3</v>
      </c>
      <c r="M4742" s="2" t="str">
        <f>_xlfn.IFS(TelecomData[[#This Row],[TenureMonths]]&lt;=12, "0-1 Year", TelecomData[[#This Row],[TenureMonths]]&lt;=36, "1-3 Years", TelecomData[[#This Row],[TenureMonths]]&gt;36, "3+ Years")</f>
        <v>1-3 Years</v>
      </c>
      <c r="N4742" s="2" t="str">
        <f>IF(TelecomData[[#This Row],[CleanedTotalCharges]]&gt;=2500,"High Spend", "Standard Spend")</f>
        <v>Standard Spend</v>
      </c>
    </row>
    <row r="4743" spans="1:14" x14ac:dyDescent="0.3">
      <c r="A4743" s="1" t="s">
        <v>4767</v>
      </c>
      <c r="B4743" s="2" t="s">
        <v>12</v>
      </c>
      <c r="C4743" s="2" t="s">
        <v>13</v>
      </c>
      <c r="D4743" s="2">
        <v>15</v>
      </c>
      <c r="E4743" s="2" t="s">
        <v>26</v>
      </c>
      <c r="F4743" s="2" t="s">
        <v>15</v>
      </c>
      <c r="G4743" s="7">
        <v>94.65</v>
      </c>
      <c r="H4743" s="7">
        <v>1285.05</v>
      </c>
      <c r="I4743" s="2" t="s">
        <v>15</v>
      </c>
      <c r="J4743" s="2" t="s">
        <v>16</v>
      </c>
      <c r="K4743" s="2" t="s">
        <v>17</v>
      </c>
      <c r="L4743" s="7">
        <v>1285.05</v>
      </c>
      <c r="M4743" s="2" t="str">
        <f>_xlfn.IFS(TelecomData[[#This Row],[TenureMonths]]&lt;=12, "0-1 Year", TelecomData[[#This Row],[TenureMonths]]&lt;=36, "1-3 Years", TelecomData[[#This Row],[TenureMonths]]&gt;36, "3+ Years")</f>
        <v>1-3 Years</v>
      </c>
      <c r="N4743" s="2" t="str">
        <f>IF(TelecomData[[#This Row],[CleanedTotalCharges]]&gt;=2500,"High Spend", "Standard Spend")</f>
        <v>Standard Spend</v>
      </c>
    </row>
    <row r="4744" spans="1:14" x14ac:dyDescent="0.3">
      <c r="A4744" s="1" t="s">
        <v>4768</v>
      </c>
      <c r="B4744" s="2" t="s">
        <v>19</v>
      </c>
      <c r="C4744" s="2" t="s">
        <v>35</v>
      </c>
      <c r="D4744" s="2">
        <v>72</v>
      </c>
      <c r="E4744" s="2" t="s">
        <v>15</v>
      </c>
      <c r="F4744" s="2" t="s">
        <v>36</v>
      </c>
      <c r="G4744" s="7">
        <v>20.8</v>
      </c>
      <c r="H4744" s="7">
        <v>1521.2</v>
      </c>
      <c r="I4744" s="2" t="s">
        <v>15</v>
      </c>
      <c r="J4744" s="2" t="s">
        <v>16</v>
      </c>
      <c r="K4744" s="2" t="s">
        <v>21</v>
      </c>
      <c r="L4744" s="7">
        <v>1521.2</v>
      </c>
      <c r="M4744" s="2" t="str">
        <f>_xlfn.IFS(TelecomData[[#This Row],[TenureMonths]]&lt;=12, "0-1 Year", TelecomData[[#This Row],[TenureMonths]]&lt;=36, "1-3 Years", TelecomData[[#This Row],[TenureMonths]]&gt;36, "3+ Years")</f>
        <v>3+ Years</v>
      </c>
      <c r="N4744" s="2" t="str">
        <f>IF(TelecomData[[#This Row],[CleanedTotalCharges]]&gt;=2500,"High Spend", "Standard Spend")</f>
        <v>Standard Spend</v>
      </c>
    </row>
    <row r="4745" spans="1:14" x14ac:dyDescent="0.3">
      <c r="A4745" s="1" t="s">
        <v>4769</v>
      </c>
      <c r="B4745" s="2" t="s">
        <v>19</v>
      </c>
      <c r="C4745" s="2" t="s">
        <v>35</v>
      </c>
      <c r="D4745" s="2">
        <v>56</v>
      </c>
      <c r="E4745" s="2" t="s">
        <v>14</v>
      </c>
      <c r="F4745" s="2" t="s">
        <v>15</v>
      </c>
      <c r="G4745" s="7">
        <v>59.5</v>
      </c>
      <c r="H4745" s="7">
        <v>3389.25</v>
      </c>
      <c r="I4745" s="2" t="s">
        <v>15</v>
      </c>
      <c r="J4745" s="2" t="s">
        <v>15</v>
      </c>
      <c r="K4745" s="2" t="s">
        <v>29</v>
      </c>
      <c r="L4745" s="7">
        <v>3389.25</v>
      </c>
      <c r="M4745" s="2" t="str">
        <f>_xlfn.IFS(TelecomData[[#This Row],[TenureMonths]]&lt;=12, "0-1 Year", TelecomData[[#This Row],[TenureMonths]]&lt;=36, "1-3 Years", TelecomData[[#This Row],[TenureMonths]]&gt;36, "3+ Years")</f>
        <v>3+ Years</v>
      </c>
      <c r="N4745" s="2" t="str">
        <f>IF(TelecomData[[#This Row],[CleanedTotalCharges]]&gt;=2500,"High Spend", "Standard Spend")</f>
        <v>High Spend</v>
      </c>
    </row>
    <row r="4746" spans="1:14" x14ac:dyDescent="0.3">
      <c r="A4746" s="1" t="s">
        <v>4770</v>
      </c>
      <c r="B4746" s="2" t="s">
        <v>19</v>
      </c>
      <c r="C4746" s="2" t="s">
        <v>35</v>
      </c>
      <c r="D4746" s="2">
        <v>64</v>
      </c>
      <c r="E4746" s="2" t="s">
        <v>15</v>
      </c>
      <c r="F4746" s="2" t="s">
        <v>36</v>
      </c>
      <c r="G4746" s="7">
        <v>20.05</v>
      </c>
      <c r="H4746" s="7">
        <v>1198.05</v>
      </c>
      <c r="I4746" s="2" t="s">
        <v>15</v>
      </c>
      <c r="J4746" s="2" t="s">
        <v>16</v>
      </c>
      <c r="K4746" s="2" t="s">
        <v>24</v>
      </c>
      <c r="L4746" s="7">
        <v>1198.05</v>
      </c>
      <c r="M4746" s="2" t="str">
        <f>_xlfn.IFS(TelecomData[[#This Row],[TenureMonths]]&lt;=12, "0-1 Year", TelecomData[[#This Row],[TenureMonths]]&lt;=36, "1-3 Years", TelecomData[[#This Row],[TenureMonths]]&gt;36, "3+ Years")</f>
        <v>3+ Years</v>
      </c>
      <c r="N4746" s="2" t="str">
        <f>IF(TelecomData[[#This Row],[CleanedTotalCharges]]&gt;=2500,"High Spend", "Standard Spend")</f>
        <v>Standard Spend</v>
      </c>
    </row>
    <row r="4747" spans="1:14" x14ac:dyDescent="0.3">
      <c r="A4747" s="1" t="s">
        <v>4771</v>
      </c>
      <c r="B4747" s="2" t="s">
        <v>12</v>
      </c>
      <c r="C4747" s="2" t="s">
        <v>13</v>
      </c>
      <c r="D4747" s="2">
        <v>34</v>
      </c>
      <c r="E4747" s="2" t="s">
        <v>26</v>
      </c>
      <c r="F4747" s="2" t="s">
        <v>15</v>
      </c>
      <c r="G4747" s="7">
        <v>100.45</v>
      </c>
      <c r="H4747" s="7">
        <v>3414.65</v>
      </c>
      <c r="I4747" s="2" t="s">
        <v>15</v>
      </c>
      <c r="J4747" s="2" t="s">
        <v>16</v>
      </c>
      <c r="K4747" s="2" t="s">
        <v>17</v>
      </c>
      <c r="L4747" s="7">
        <v>3414.65</v>
      </c>
      <c r="M4747" s="2" t="str">
        <f>_xlfn.IFS(TelecomData[[#This Row],[TenureMonths]]&lt;=12, "0-1 Year", TelecomData[[#This Row],[TenureMonths]]&lt;=36, "1-3 Years", TelecomData[[#This Row],[TenureMonths]]&gt;36, "3+ Years")</f>
        <v>1-3 Years</v>
      </c>
      <c r="N4747" s="2" t="str">
        <f>IF(TelecomData[[#This Row],[CleanedTotalCharges]]&gt;=2500,"High Spend", "Standard Spend")</f>
        <v>High Spend</v>
      </c>
    </row>
    <row r="4748" spans="1:14" x14ac:dyDescent="0.3">
      <c r="A4748" s="1" t="s">
        <v>4772</v>
      </c>
      <c r="B4748" s="2" t="s">
        <v>19</v>
      </c>
      <c r="C4748" s="2" t="s">
        <v>13</v>
      </c>
      <c r="D4748" s="2">
        <v>2</v>
      </c>
      <c r="E4748" s="2" t="s">
        <v>26</v>
      </c>
      <c r="F4748" s="2" t="s">
        <v>15</v>
      </c>
      <c r="G4748" s="7">
        <v>76.5</v>
      </c>
      <c r="H4748" s="7">
        <v>162.44999999999999</v>
      </c>
      <c r="I4748" s="2" t="s">
        <v>16</v>
      </c>
      <c r="J4748" s="2" t="s">
        <v>16</v>
      </c>
      <c r="K4748" s="2" t="s">
        <v>17</v>
      </c>
      <c r="L4748" s="7">
        <v>162.44999999999999</v>
      </c>
      <c r="M4748" s="2" t="str">
        <f>_xlfn.IFS(TelecomData[[#This Row],[TenureMonths]]&lt;=12, "0-1 Year", TelecomData[[#This Row],[TenureMonths]]&lt;=36, "1-3 Years", TelecomData[[#This Row],[TenureMonths]]&gt;36, "3+ Years")</f>
        <v>0-1 Year</v>
      </c>
      <c r="N4748" s="2" t="str">
        <f>IF(TelecomData[[#This Row],[CleanedTotalCharges]]&gt;=2500,"High Spend", "Standard Spend")</f>
        <v>Standard Spend</v>
      </c>
    </row>
    <row r="4749" spans="1:14" x14ac:dyDescent="0.3">
      <c r="A4749" s="1" t="s">
        <v>4773</v>
      </c>
      <c r="B4749" s="2" t="s">
        <v>19</v>
      </c>
      <c r="C4749" s="2" t="s">
        <v>20</v>
      </c>
      <c r="D4749" s="2">
        <v>35</v>
      </c>
      <c r="E4749" s="2" t="s">
        <v>15</v>
      </c>
      <c r="F4749" s="2" t="s">
        <v>36</v>
      </c>
      <c r="G4749" s="7">
        <v>20.6</v>
      </c>
      <c r="H4749" s="7">
        <v>754</v>
      </c>
      <c r="I4749" s="2" t="s">
        <v>15</v>
      </c>
      <c r="J4749" s="2" t="s">
        <v>15</v>
      </c>
      <c r="K4749" s="2" t="s">
        <v>24</v>
      </c>
      <c r="L4749" s="7">
        <v>754</v>
      </c>
      <c r="M4749" s="2" t="str">
        <f>_xlfn.IFS(TelecomData[[#This Row],[TenureMonths]]&lt;=12, "0-1 Year", TelecomData[[#This Row],[TenureMonths]]&lt;=36, "1-3 Years", TelecomData[[#This Row],[TenureMonths]]&gt;36, "3+ Years")</f>
        <v>1-3 Years</v>
      </c>
      <c r="N4749" s="2" t="str">
        <f>IF(TelecomData[[#This Row],[CleanedTotalCharges]]&gt;=2500,"High Spend", "Standard Spend")</f>
        <v>Standard Spend</v>
      </c>
    </row>
    <row r="4750" spans="1:14" x14ac:dyDescent="0.3">
      <c r="A4750" s="1" t="s">
        <v>4774</v>
      </c>
      <c r="B4750" s="2" t="s">
        <v>19</v>
      </c>
      <c r="C4750" s="2" t="s">
        <v>20</v>
      </c>
      <c r="D4750" s="2">
        <v>22</v>
      </c>
      <c r="E4750" s="2" t="s">
        <v>15</v>
      </c>
      <c r="F4750" s="2" t="s">
        <v>36</v>
      </c>
      <c r="G4750" s="7">
        <v>20.3</v>
      </c>
      <c r="H4750" s="7">
        <v>467.15</v>
      </c>
      <c r="I4750" s="2" t="s">
        <v>15</v>
      </c>
      <c r="J4750" s="2" t="s">
        <v>15</v>
      </c>
      <c r="K4750" s="2" t="s">
        <v>29</v>
      </c>
      <c r="L4750" s="7">
        <v>467.15</v>
      </c>
      <c r="M4750" s="2" t="str">
        <f>_xlfn.IFS(TelecomData[[#This Row],[TenureMonths]]&lt;=12, "0-1 Year", TelecomData[[#This Row],[TenureMonths]]&lt;=36, "1-3 Years", TelecomData[[#This Row],[TenureMonths]]&gt;36, "3+ Years")</f>
        <v>1-3 Years</v>
      </c>
      <c r="N4750" s="2" t="str">
        <f>IF(TelecomData[[#This Row],[CleanedTotalCharges]]&gt;=2500,"High Spend", "Standard Spend")</f>
        <v>Standard Spend</v>
      </c>
    </row>
    <row r="4751" spans="1:14" x14ac:dyDescent="0.3">
      <c r="A4751" s="1" t="s">
        <v>4775</v>
      </c>
      <c r="B4751" s="2" t="s">
        <v>19</v>
      </c>
      <c r="C4751" s="2" t="s">
        <v>13</v>
      </c>
      <c r="D4751" s="2">
        <v>5</v>
      </c>
      <c r="E4751" s="2" t="s">
        <v>14</v>
      </c>
      <c r="F4751" s="2" t="s">
        <v>16</v>
      </c>
      <c r="G4751" s="7">
        <v>49.2</v>
      </c>
      <c r="H4751" s="7">
        <v>216.9</v>
      </c>
      <c r="I4751" s="2" t="s">
        <v>16</v>
      </c>
      <c r="J4751" s="2" t="s">
        <v>16</v>
      </c>
      <c r="K4751" s="2" t="s">
        <v>17</v>
      </c>
      <c r="L4751" s="7">
        <v>216.9</v>
      </c>
      <c r="M4751" s="2" t="str">
        <f>_xlfn.IFS(TelecomData[[#This Row],[TenureMonths]]&lt;=12, "0-1 Year", TelecomData[[#This Row],[TenureMonths]]&lt;=36, "1-3 Years", TelecomData[[#This Row],[TenureMonths]]&gt;36, "3+ Years")</f>
        <v>0-1 Year</v>
      </c>
      <c r="N4751" s="2" t="str">
        <f>IF(TelecomData[[#This Row],[CleanedTotalCharges]]&gt;=2500,"High Spend", "Standard Spend")</f>
        <v>Standard Spend</v>
      </c>
    </row>
    <row r="4752" spans="1:14" x14ac:dyDescent="0.3">
      <c r="A4752" s="1" t="s">
        <v>4776</v>
      </c>
      <c r="B4752" s="2" t="s">
        <v>19</v>
      </c>
      <c r="C4752" s="2" t="s">
        <v>20</v>
      </c>
      <c r="D4752" s="2">
        <v>9</v>
      </c>
      <c r="E4752" s="2" t="s">
        <v>14</v>
      </c>
      <c r="F4752" s="2" t="s">
        <v>15</v>
      </c>
      <c r="G4752" s="7">
        <v>39.549999999999997</v>
      </c>
      <c r="H4752" s="7">
        <v>373</v>
      </c>
      <c r="I4752" s="2" t="s">
        <v>15</v>
      </c>
      <c r="J4752" s="2" t="s">
        <v>15</v>
      </c>
      <c r="K4752" s="2" t="s">
        <v>21</v>
      </c>
      <c r="L4752" s="7">
        <v>373</v>
      </c>
      <c r="M4752" s="2" t="str">
        <f>_xlfn.IFS(TelecomData[[#This Row],[TenureMonths]]&lt;=12, "0-1 Year", TelecomData[[#This Row],[TenureMonths]]&lt;=36, "1-3 Years", TelecomData[[#This Row],[TenureMonths]]&gt;36, "3+ Years")</f>
        <v>0-1 Year</v>
      </c>
      <c r="N4752" s="2" t="str">
        <f>IF(TelecomData[[#This Row],[CleanedTotalCharges]]&gt;=2500,"High Spend", "Standard Spend")</f>
        <v>Standard Spend</v>
      </c>
    </row>
    <row r="4753" spans="1:14" x14ac:dyDescent="0.3">
      <c r="A4753" s="1" t="s">
        <v>4777</v>
      </c>
      <c r="B4753" s="2" t="s">
        <v>19</v>
      </c>
      <c r="C4753" s="2" t="s">
        <v>13</v>
      </c>
      <c r="D4753" s="2">
        <v>11</v>
      </c>
      <c r="E4753" s="2" t="s">
        <v>15</v>
      </c>
      <c r="F4753" s="2" t="s">
        <v>36</v>
      </c>
      <c r="G4753" s="7">
        <v>23.15</v>
      </c>
      <c r="H4753" s="7">
        <v>245.2</v>
      </c>
      <c r="I4753" s="2" t="s">
        <v>16</v>
      </c>
      <c r="J4753" s="2" t="s">
        <v>15</v>
      </c>
      <c r="K4753" s="2" t="s">
        <v>29</v>
      </c>
      <c r="L4753" s="7">
        <v>245.2</v>
      </c>
      <c r="M4753" s="2" t="str">
        <f>_xlfn.IFS(TelecomData[[#This Row],[TenureMonths]]&lt;=12, "0-1 Year", TelecomData[[#This Row],[TenureMonths]]&lt;=36, "1-3 Years", TelecomData[[#This Row],[TenureMonths]]&gt;36, "3+ Years")</f>
        <v>0-1 Year</v>
      </c>
      <c r="N4753" s="2" t="str">
        <f>IF(TelecomData[[#This Row],[CleanedTotalCharges]]&gt;=2500,"High Spend", "Standard Spend")</f>
        <v>Standard Spend</v>
      </c>
    </row>
    <row r="4754" spans="1:14" x14ac:dyDescent="0.3">
      <c r="A4754" s="1" t="s">
        <v>4778</v>
      </c>
      <c r="B4754" s="2" t="s">
        <v>19</v>
      </c>
      <c r="C4754" s="2" t="s">
        <v>20</v>
      </c>
      <c r="D4754" s="2">
        <v>23</v>
      </c>
      <c r="E4754" s="2" t="s">
        <v>15</v>
      </c>
      <c r="F4754" s="2" t="s">
        <v>36</v>
      </c>
      <c r="G4754" s="7">
        <v>20.45</v>
      </c>
      <c r="H4754" s="7">
        <v>481.1</v>
      </c>
      <c r="I4754" s="2" t="s">
        <v>15</v>
      </c>
      <c r="J4754" s="2" t="s">
        <v>15</v>
      </c>
      <c r="K4754" s="2" t="s">
        <v>21</v>
      </c>
      <c r="L4754" s="7">
        <v>481.1</v>
      </c>
      <c r="M4754" s="2" t="str">
        <f>_xlfn.IFS(TelecomData[[#This Row],[TenureMonths]]&lt;=12, "0-1 Year", TelecomData[[#This Row],[TenureMonths]]&lt;=36, "1-3 Years", TelecomData[[#This Row],[TenureMonths]]&gt;36, "3+ Years")</f>
        <v>1-3 Years</v>
      </c>
      <c r="N4754" s="2" t="str">
        <f>IF(TelecomData[[#This Row],[CleanedTotalCharges]]&gt;=2500,"High Spend", "Standard Spend")</f>
        <v>Standard Spend</v>
      </c>
    </row>
    <row r="4755" spans="1:14" x14ac:dyDescent="0.3">
      <c r="A4755" s="1" t="s">
        <v>4779</v>
      </c>
      <c r="B4755" s="2" t="s">
        <v>12</v>
      </c>
      <c r="C4755" s="2" t="s">
        <v>13</v>
      </c>
      <c r="D4755" s="2">
        <v>4</v>
      </c>
      <c r="E4755" s="2" t="s">
        <v>26</v>
      </c>
      <c r="F4755" s="2" t="s">
        <v>15</v>
      </c>
      <c r="G4755" s="7">
        <v>80.849999999999994</v>
      </c>
      <c r="H4755" s="7">
        <v>302.75</v>
      </c>
      <c r="I4755" s="2" t="s">
        <v>16</v>
      </c>
      <c r="J4755" s="2" t="s">
        <v>15</v>
      </c>
      <c r="K4755" s="2" t="s">
        <v>17</v>
      </c>
      <c r="L4755" s="7">
        <v>302.75</v>
      </c>
      <c r="M4755" s="2" t="str">
        <f>_xlfn.IFS(TelecomData[[#This Row],[TenureMonths]]&lt;=12, "0-1 Year", TelecomData[[#This Row],[TenureMonths]]&lt;=36, "1-3 Years", TelecomData[[#This Row],[TenureMonths]]&gt;36, "3+ Years")</f>
        <v>0-1 Year</v>
      </c>
      <c r="N4755" s="2" t="str">
        <f>IF(TelecomData[[#This Row],[CleanedTotalCharges]]&gt;=2500,"High Spend", "Standard Spend")</f>
        <v>Standard Spend</v>
      </c>
    </row>
    <row r="4756" spans="1:14" x14ac:dyDescent="0.3">
      <c r="A4756" s="1" t="s">
        <v>4780</v>
      </c>
      <c r="B4756" s="2" t="s">
        <v>19</v>
      </c>
      <c r="C4756" s="2" t="s">
        <v>35</v>
      </c>
      <c r="D4756" s="2">
        <v>68</v>
      </c>
      <c r="E4756" s="2" t="s">
        <v>15</v>
      </c>
      <c r="F4756" s="2" t="s">
        <v>36</v>
      </c>
      <c r="G4756" s="7">
        <v>25.25</v>
      </c>
      <c r="H4756" s="7">
        <v>1728.2</v>
      </c>
      <c r="I4756" s="2" t="s">
        <v>15</v>
      </c>
      <c r="J4756" s="2" t="s">
        <v>15</v>
      </c>
      <c r="K4756" s="2" t="s">
        <v>24</v>
      </c>
      <c r="L4756" s="7">
        <v>1728.2</v>
      </c>
      <c r="M4756" s="2" t="str">
        <f>_xlfn.IFS(TelecomData[[#This Row],[TenureMonths]]&lt;=12, "0-1 Year", TelecomData[[#This Row],[TenureMonths]]&lt;=36, "1-3 Years", TelecomData[[#This Row],[TenureMonths]]&gt;36, "3+ Years")</f>
        <v>3+ Years</v>
      </c>
      <c r="N4756" s="2" t="str">
        <f>IF(TelecomData[[#This Row],[CleanedTotalCharges]]&gt;=2500,"High Spend", "Standard Spend")</f>
        <v>Standard Spend</v>
      </c>
    </row>
    <row r="4757" spans="1:14" x14ac:dyDescent="0.3">
      <c r="A4757" s="1" t="s">
        <v>4781</v>
      </c>
      <c r="B4757" s="2" t="s">
        <v>19</v>
      </c>
      <c r="C4757" s="2" t="s">
        <v>13</v>
      </c>
      <c r="D4757" s="2">
        <v>33</v>
      </c>
      <c r="E4757" s="2" t="s">
        <v>26</v>
      </c>
      <c r="F4757" s="2" t="s">
        <v>15</v>
      </c>
      <c r="G4757" s="7">
        <v>91.25</v>
      </c>
      <c r="H4757" s="7">
        <v>2964.05</v>
      </c>
      <c r="I4757" s="2" t="s">
        <v>15</v>
      </c>
      <c r="J4757" s="2" t="s">
        <v>15</v>
      </c>
      <c r="K4757" s="2" t="s">
        <v>17</v>
      </c>
      <c r="L4757" s="7">
        <v>2964.05</v>
      </c>
      <c r="M4757" s="2" t="str">
        <f>_xlfn.IFS(TelecomData[[#This Row],[TenureMonths]]&lt;=12, "0-1 Year", TelecomData[[#This Row],[TenureMonths]]&lt;=36, "1-3 Years", TelecomData[[#This Row],[TenureMonths]]&gt;36, "3+ Years")</f>
        <v>1-3 Years</v>
      </c>
      <c r="N4757" s="2" t="str">
        <f>IF(TelecomData[[#This Row],[CleanedTotalCharges]]&gt;=2500,"High Spend", "Standard Spend")</f>
        <v>High Spend</v>
      </c>
    </row>
    <row r="4758" spans="1:14" x14ac:dyDescent="0.3">
      <c r="A4758" s="1" t="s">
        <v>4782</v>
      </c>
      <c r="B4758" s="2" t="s">
        <v>19</v>
      </c>
      <c r="C4758" s="2" t="s">
        <v>13</v>
      </c>
      <c r="D4758" s="2">
        <v>31</v>
      </c>
      <c r="E4758" s="2" t="s">
        <v>14</v>
      </c>
      <c r="F4758" s="2" t="s">
        <v>16</v>
      </c>
      <c r="G4758" s="7">
        <v>72.45</v>
      </c>
      <c r="H4758" s="7">
        <v>2156.25</v>
      </c>
      <c r="I4758" s="2" t="s">
        <v>15</v>
      </c>
      <c r="J4758" s="2" t="s">
        <v>16</v>
      </c>
      <c r="K4758" s="2" t="s">
        <v>24</v>
      </c>
      <c r="L4758" s="7">
        <v>2156.25</v>
      </c>
      <c r="M4758" s="2" t="str">
        <f>_xlfn.IFS(TelecomData[[#This Row],[TenureMonths]]&lt;=12, "0-1 Year", TelecomData[[#This Row],[TenureMonths]]&lt;=36, "1-3 Years", TelecomData[[#This Row],[TenureMonths]]&gt;36, "3+ Years")</f>
        <v>1-3 Years</v>
      </c>
      <c r="N4758" s="2" t="str">
        <f>IF(TelecomData[[#This Row],[CleanedTotalCharges]]&gt;=2500,"High Spend", "Standard Spend")</f>
        <v>Standard Spend</v>
      </c>
    </row>
    <row r="4759" spans="1:14" x14ac:dyDescent="0.3">
      <c r="A4759" s="1" t="s">
        <v>4783</v>
      </c>
      <c r="B4759" s="2" t="s">
        <v>19</v>
      </c>
      <c r="C4759" s="2" t="s">
        <v>13</v>
      </c>
      <c r="D4759" s="2">
        <v>1</v>
      </c>
      <c r="E4759" s="2" t="s">
        <v>14</v>
      </c>
      <c r="F4759" s="2" t="s">
        <v>16</v>
      </c>
      <c r="G4759" s="7">
        <v>60.1</v>
      </c>
      <c r="H4759" s="7">
        <v>60.1</v>
      </c>
      <c r="I4759" s="2" t="s">
        <v>16</v>
      </c>
      <c r="J4759" s="2" t="s">
        <v>15</v>
      </c>
      <c r="K4759" s="2" t="s">
        <v>21</v>
      </c>
      <c r="L4759" s="7">
        <v>60.1</v>
      </c>
      <c r="M4759" s="2" t="str">
        <f>_xlfn.IFS(TelecomData[[#This Row],[TenureMonths]]&lt;=12, "0-1 Year", TelecomData[[#This Row],[TenureMonths]]&lt;=36, "1-3 Years", TelecomData[[#This Row],[TenureMonths]]&gt;36, "3+ Years")</f>
        <v>0-1 Year</v>
      </c>
      <c r="N4759" s="2" t="str">
        <f>IF(TelecomData[[#This Row],[CleanedTotalCharges]]&gt;=2500,"High Spend", "Standard Spend")</f>
        <v>Standard Spend</v>
      </c>
    </row>
    <row r="4760" spans="1:14" x14ac:dyDescent="0.3">
      <c r="A4760" s="1" t="s">
        <v>4784</v>
      </c>
      <c r="B4760" s="2" t="s">
        <v>12</v>
      </c>
      <c r="C4760" s="2" t="s">
        <v>35</v>
      </c>
      <c r="D4760" s="2">
        <v>56</v>
      </c>
      <c r="E4760" s="2" t="s">
        <v>15</v>
      </c>
      <c r="F4760" s="2" t="s">
        <v>36</v>
      </c>
      <c r="G4760" s="7">
        <v>19.7</v>
      </c>
      <c r="H4760" s="7">
        <v>1051.9000000000001</v>
      </c>
      <c r="I4760" s="2" t="s">
        <v>15</v>
      </c>
      <c r="J4760" s="2" t="s">
        <v>15</v>
      </c>
      <c r="K4760" s="2" t="s">
        <v>24</v>
      </c>
      <c r="L4760" s="7">
        <v>1051.9000000000001</v>
      </c>
      <c r="M4760" s="2" t="str">
        <f>_xlfn.IFS(TelecomData[[#This Row],[TenureMonths]]&lt;=12, "0-1 Year", TelecomData[[#This Row],[TenureMonths]]&lt;=36, "1-3 Years", TelecomData[[#This Row],[TenureMonths]]&gt;36, "3+ Years")</f>
        <v>3+ Years</v>
      </c>
      <c r="N4760" s="2" t="str">
        <f>IF(TelecomData[[#This Row],[CleanedTotalCharges]]&gt;=2500,"High Spend", "Standard Spend")</f>
        <v>Standard Spend</v>
      </c>
    </row>
    <row r="4761" spans="1:14" x14ac:dyDescent="0.3">
      <c r="A4761" s="1" t="s">
        <v>4785</v>
      </c>
      <c r="B4761" s="2" t="s">
        <v>19</v>
      </c>
      <c r="C4761" s="2" t="s">
        <v>13</v>
      </c>
      <c r="D4761" s="2">
        <v>1</v>
      </c>
      <c r="E4761" s="2" t="s">
        <v>26</v>
      </c>
      <c r="F4761" s="2" t="s">
        <v>15</v>
      </c>
      <c r="G4761" s="7">
        <v>78.95</v>
      </c>
      <c r="H4761" s="7">
        <v>78.95</v>
      </c>
      <c r="I4761" s="2" t="s">
        <v>16</v>
      </c>
      <c r="J4761" s="2" t="s">
        <v>16</v>
      </c>
      <c r="K4761" s="2" t="s">
        <v>17</v>
      </c>
      <c r="L4761" s="7">
        <v>78.95</v>
      </c>
      <c r="M4761" s="2" t="str">
        <f>_xlfn.IFS(TelecomData[[#This Row],[TenureMonths]]&lt;=12, "0-1 Year", TelecomData[[#This Row],[TenureMonths]]&lt;=36, "1-3 Years", TelecomData[[#This Row],[TenureMonths]]&gt;36, "3+ Years")</f>
        <v>0-1 Year</v>
      </c>
      <c r="N4761" s="2" t="str">
        <f>IF(TelecomData[[#This Row],[CleanedTotalCharges]]&gt;=2500,"High Spend", "Standard Spend")</f>
        <v>Standard Spend</v>
      </c>
    </row>
    <row r="4762" spans="1:14" x14ac:dyDescent="0.3">
      <c r="A4762" s="1" t="s">
        <v>4786</v>
      </c>
      <c r="B4762" s="2" t="s">
        <v>19</v>
      </c>
      <c r="C4762" s="2" t="s">
        <v>20</v>
      </c>
      <c r="D4762" s="2">
        <v>66</v>
      </c>
      <c r="E4762" s="2" t="s">
        <v>14</v>
      </c>
      <c r="F4762" s="2" t="s">
        <v>16</v>
      </c>
      <c r="G4762" s="7">
        <v>75.099999999999994</v>
      </c>
      <c r="H4762" s="7">
        <v>5013</v>
      </c>
      <c r="I4762" s="2" t="s">
        <v>15</v>
      </c>
      <c r="J4762" s="2" t="s">
        <v>16</v>
      </c>
      <c r="K4762" s="2" t="s">
        <v>17</v>
      </c>
      <c r="L4762" s="7">
        <v>5013</v>
      </c>
      <c r="M4762" s="2" t="str">
        <f>_xlfn.IFS(TelecomData[[#This Row],[TenureMonths]]&lt;=12, "0-1 Year", TelecomData[[#This Row],[TenureMonths]]&lt;=36, "1-3 Years", TelecomData[[#This Row],[TenureMonths]]&gt;36, "3+ Years")</f>
        <v>3+ Years</v>
      </c>
      <c r="N4762" s="2" t="str">
        <f>IF(TelecomData[[#This Row],[CleanedTotalCharges]]&gt;=2500,"High Spend", "Standard Spend")</f>
        <v>High Spend</v>
      </c>
    </row>
    <row r="4763" spans="1:14" x14ac:dyDescent="0.3">
      <c r="A4763" s="1" t="s">
        <v>4787</v>
      </c>
      <c r="B4763" s="2" t="s">
        <v>19</v>
      </c>
      <c r="C4763" s="2" t="s">
        <v>35</v>
      </c>
      <c r="D4763" s="2">
        <v>72</v>
      </c>
      <c r="E4763" s="2" t="s">
        <v>15</v>
      </c>
      <c r="F4763" s="2" t="s">
        <v>36</v>
      </c>
      <c r="G4763" s="7">
        <v>25</v>
      </c>
      <c r="H4763" s="7">
        <v>1738.9</v>
      </c>
      <c r="I4763" s="2" t="s">
        <v>15</v>
      </c>
      <c r="J4763" s="2" t="s">
        <v>15</v>
      </c>
      <c r="K4763" s="2" t="s">
        <v>24</v>
      </c>
      <c r="L4763" s="7">
        <v>1738.9</v>
      </c>
      <c r="M4763" s="2" t="str">
        <f>_xlfn.IFS(TelecomData[[#This Row],[TenureMonths]]&lt;=12, "0-1 Year", TelecomData[[#This Row],[TenureMonths]]&lt;=36, "1-3 Years", TelecomData[[#This Row],[TenureMonths]]&gt;36, "3+ Years")</f>
        <v>3+ Years</v>
      </c>
      <c r="N4763" s="2" t="str">
        <f>IF(TelecomData[[#This Row],[CleanedTotalCharges]]&gt;=2500,"High Spend", "Standard Spend")</f>
        <v>Standard Spend</v>
      </c>
    </row>
    <row r="4764" spans="1:14" x14ac:dyDescent="0.3">
      <c r="A4764" s="1" t="s">
        <v>4788</v>
      </c>
      <c r="B4764" s="2" t="s">
        <v>19</v>
      </c>
      <c r="C4764" s="2" t="s">
        <v>13</v>
      </c>
      <c r="D4764" s="2">
        <v>34</v>
      </c>
      <c r="E4764" s="2" t="s">
        <v>26</v>
      </c>
      <c r="F4764" s="2" t="s">
        <v>15</v>
      </c>
      <c r="G4764" s="7">
        <v>69.150000000000006</v>
      </c>
      <c r="H4764" s="7">
        <v>2275.1</v>
      </c>
      <c r="I4764" s="2" t="s">
        <v>15</v>
      </c>
      <c r="J4764" s="2" t="s">
        <v>15</v>
      </c>
      <c r="K4764" s="2" t="s">
        <v>29</v>
      </c>
      <c r="L4764" s="7">
        <v>2275.1</v>
      </c>
      <c r="M4764" s="2" t="str">
        <f>_xlfn.IFS(TelecomData[[#This Row],[TenureMonths]]&lt;=12, "0-1 Year", TelecomData[[#This Row],[TenureMonths]]&lt;=36, "1-3 Years", TelecomData[[#This Row],[TenureMonths]]&gt;36, "3+ Years")</f>
        <v>1-3 Years</v>
      </c>
      <c r="N4764" s="2" t="str">
        <f>IF(TelecomData[[#This Row],[CleanedTotalCharges]]&gt;=2500,"High Spend", "Standard Spend")</f>
        <v>Standard Spend</v>
      </c>
    </row>
    <row r="4765" spans="1:14" x14ac:dyDescent="0.3">
      <c r="A4765" s="1" t="s">
        <v>4789</v>
      </c>
      <c r="B4765" s="2" t="s">
        <v>12</v>
      </c>
      <c r="C4765" s="2" t="s">
        <v>13</v>
      </c>
      <c r="D4765" s="2">
        <v>58</v>
      </c>
      <c r="E4765" s="2" t="s">
        <v>26</v>
      </c>
      <c r="F4765" s="2" t="s">
        <v>15</v>
      </c>
      <c r="G4765" s="7">
        <v>91.55</v>
      </c>
      <c r="H4765" s="7">
        <v>5511.65</v>
      </c>
      <c r="I4765" s="2" t="s">
        <v>15</v>
      </c>
      <c r="J4765" s="2" t="s">
        <v>16</v>
      </c>
      <c r="K4765" s="2" t="s">
        <v>17</v>
      </c>
      <c r="L4765" s="7">
        <v>5511.65</v>
      </c>
      <c r="M4765" s="2" t="str">
        <f>_xlfn.IFS(TelecomData[[#This Row],[TenureMonths]]&lt;=12, "0-1 Year", TelecomData[[#This Row],[TenureMonths]]&lt;=36, "1-3 Years", TelecomData[[#This Row],[TenureMonths]]&gt;36, "3+ Years")</f>
        <v>3+ Years</v>
      </c>
      <c r="N4765" s="2" t="str">
        <f>IF(TelecomData[[#This Row],[CleanedTotalCharges]]&gt;=2500,"High Spend", "Standard Spend")</f>
        <v>High Spend</v>
      </c>
    </row>
    <row r="4766" spans="1:14" x14ac:dyDescent="0.3">
      <c r="A4766" s="1" t="s">
        <v>4790</v>
      </c>
      <c r="B4766" s="2" t="s">
        <v>19</v>
      </c>
      <c r="C4766" s="2" t="s">
        <v>13</v>
      </c>
      <c r="D4766" s="2">
        <v>2</v>
      </c>
      <c r="E4766" s="2" t="s">
        <v>14</v>
      </c>
      <c r="F4766" s="2" t="s">
        <v>15</v>
      </c>
      <c r="G4766" s="7">
        <v>45.15</v>
      </c>
      <c r="H4766" s="7">
        <v>98.5</v>
      </c>
      <c r="I4766" s="2" t="s">
        <v>16</v>
      </c>
      <c r="J4766" s="2" t="s">
        <v>16</v>
      </c>
      <c r="K4766" s="2" t="s">
        <v>17</v>
      </c>
      <c r="L4766" s="7">
        <v>98.5</v>
      </c>
      <c r="M4766" s="2" t="str">
        <f>_xlfn.IFS(TelecomData[[#This Row],[TenureMonths]]&lt;=12, "0-1 Year", TelecomData[[#This Row],[TenureMonths]]&lt;=36, "1-3 Years", TelecomData[[#This Row],[TenureMonths]]&gt;36, "3+ Years")</f>
        <v>0-1 Year</v>
      </c>
      <c r="N4766" s="2" t="str">
        <f>IF(TelecomData[[#This Row],[CleanedTotalCharges]]&gt;=2500,"High Spend", "Standard Spend")</f>
        <v>Standard Spend</v>
      </c>
    </row>
    <row r="4767" spans="1:14" x14ac:dyDescent="0.3">
      <c r="A4767" s="1" t="s">
        <v>4791</v>
      </c>
      <c r="B4767" s="2" t="s">
        <v>19</v>
      </c>
      <c r="C4767" s="2" t="s">
        <v>35</v>
      </c>
      <c r="D4767" s="2">
        <v>37</v>
      </c>
      <c r="E4767" s="2" t="s">
        <v>14</v>
      </c>
      <c r="F4767" s="2" t="s">
        <v>15</v>
      </c>
      <c r="G4767" s="7">
        <v>35.799999999999997</v>
      </c>
      <c r="H4767" s="7">
        <v>1316.9</v>
      </c>
      <c r="I4767" s="2" t="s">
        <v>15</v>
      </c>
      <c r="J4767" s="2" t="s">
        <v>15</v>
      </c>
      <c r="K4767" s="2" t="s">
        <v>29</v>
      </c>
      <c r="L4767" s="7">
        <v>1316.9</v>
      </c>
      <c r="M4767" s="2" t="str">
        <f>_xlfn.IFS(TelecomData[[#This Row],[TenureMonths]]&lt;=12, "0-1 Year", TelecomData[[#This Row],[TenureMonths]]&lt;=36, "1-3 Years", TelecomData[[#This Row],[TenureMonths]]&gt;36, "3+ Years")</f>
        <v>3+ Years</v>
      </c>
      <c r="N4767" s="2" t="str">
        <f>IF(TelecomData[[#This Row],[CleanedTotalCharges]]&gt;=2500,"High Spend", "Standard Spend")</f>
        <v>Standard Spend</v>
      </c>
    </row>
    <row r="4768" spans="1:14" x14ac:dyDescent="0.3">
      <c r="A4768" s="1" t="s">
        <v>4792</v>
      </c>
      <c r="B4768" s="2" t="s">
        <v>12</v>
      </c>
      <c r="C4768" s="2" t="s">
        <v>35</v>
      </c>
      <c r="D4768" s="2">
        <v>71</v>
      </c>
      <c r="E4768" s="2" t="s">
        <v>26</v>
      </c>
      <c r="F4768" s="2" t="s">
        <v>16</v>
      </c>
      <c r="G4768" s="7">
        <v>113.15</v>
      </c>
      <c r="H4768" s="7">
        <v>7993.3</v>
      </c>
      <c r="I4768" s="2" t="s">
        <v>15</v>
      </c>
      <c r="J4768" s="2" t="s">
        <v>16</v>
      </c>
      <c r="K4768" s="2" t="s">
        <v>29</v>
      </c>
      <c r="L4768" s="7">
        <v>7993.3</v>
      </c>
      <c r="M4768" s="2" t="str">
        <f>_xlfn.IFS(TelecomData[[#This Row],[TenureMonths]]&lt;=12, "0-1 Year", TelecomData[[#This Row],[TenureMonths]]&lt;=36, "1-3 Years", TelecomData[[#This Row],[TenureMonths]]&gt;36, "3+ Years")</f>
        <v>3+ Years</v>
      </c>
      <c r="N4768" s="2" t="str">
        <f>IF(TelecomData[[#This Row],[CleanedTotalCharges]]&gt;=2500,"High Spend", "Standard Spend")</f>
        <v>High Spend</v>
      </c>
    </row>
    <row r="4769" spans="1:14" x14ac:dyDescent="0.3">
      <c r="A4769" s="1" t="s">
        <v>4793</v>
      </c>
      <c r="B4769" s="2" t="s">
        <v>19</v>
      </c>
      <c r="C4769" s="2" t="s">
        <v>20</v>
      </c>
      <c r="D4769" s="2">
        <v>1</v>
      </c>
      <c r="E4769" s="2" t="s">
        <v>15</v>
      </c>
      <c r="F4769" s="2" t="s">
        <v>36</v>
      </c>
      <c r="G4769" s="7">
        <v>19.850000000000001</v>
      </c>
      <c r="H4769" s="7">
        <v>19.850000000000001</v>
      </c>
      <c r="I4769" s="2" t="s">
        <v>15</v>
      </c>
      <c r="J4769" s="2" t="s">
        <v>15</v>
      </c>
      <c r="K4769" s="2" t="s">
        <v>29</v>
      </c>
      <c r="L4769" s="7">
        <v>19.850000000000001</v>
      </c>
      <c r="M4769" s="2" t="str">
        <f>_xlfn.IFS(TelecomData[[#This Row],[TenureMonths]]&lt;=12, "0-1 Year", TelecomData[[#This Row],[TenureMonths]]&lt;=36, "1-3 Years", TelecomData[[#This Row],[TenureMonths]]&gt;36, "3+ Years")</f>
        <v>0-1 Year</v>
      </c>
      <c r="N4769" s="2" t="str">
        <f>IF(TelecomData[[#This Row],[CleanedTotalCharges]]&gt;=2500,"High Spend", "Standard Spend")</f>
        <v>Standard Spend</v>
      </c>
    </row>
    <row r="4770" spans="1:14" x14ac:dyDescent="0.3">
      <c r="A4770" s="1" t="s">
        <v>4794</v>
      </c>
      <c r="B4770" s="2" t="s">
        <v>19</v>
      </c>
      <c r="C4770" s="2" t="s">
        <v>35</v>
      </c>
      <c r="D4770" s="2">
        <v>71</v>
      </c>
      <c r="E4770" s="2" t="s">
        <v>15</v>
      </c>
      <c r="F4770" s="2" t="s">
        <v>36</v>
      </c>
      <c r="G4770" s="7">
        <v>19.8</v>
      </c>
      <c r="H4770" s="7">
        <v>1388.45</v>
      </c>
      <c r="I4770" s="2" t="s">
        <v>15</v>
      </c>
      <c r="J4770" s="2" t="s">
        <v>15</v>
      </c>
      <c r="K4770" s="2" t="s">
        <v>29</v>
      </c>
      <c r="L4770" s="7">
        <v>1388.45</v>
      </c>
      <c r="M4770" s="2" t="str">
        <f>_xlfn.IFS(TelecomData[[#This Row],[TenureMonths]]&lt;=12, "0-1 Year", TelecomData[[#This Row],[TenureMonths]]&lt;=36, "1-3 Years", TelecomData[[#This Row],[TenureMonths]]&gt;36, "3+ Years")</f>
        <v>3+ Years</v>
      </c>
      <c r="N4770" s="2" t="str">
        <f>IF(TelecomData[[#This Row],[CleanedTotalCharges]]&gt;=2500,"High Spend", "Standard Spend")</f>
        <v>Standard Spend</v>
      </c>
    </row>
    <row r="4771" spans="1:14" x14ac:dyDescent="0.3">
      <c r="A4771" s="1" t="s">
        <v>4795</v>
      </c>
      <c r="B4771" s="2" t="s">
        <v>19</v>
      </c>
      <c r="C4771" s="2" t="s">
        <v>20</v>
      </c>
      <c r="D4771" s="2">
        <v>35</v>
      </c>
      <c r="E4771" s="2" t="s">
        <v>15</v>
      </c>
      <c r="F4771" s="2" t="s">
        <v>36</v>
      </c>
      <c r="G4771" s="7">
        <v>19.899999999999999</v>
      </c>
      <c r="H4771" s="7">
        <v>666</v>
      </c>
      <c r="I4771" s="2" t="s">
        <v>15</v>
      </c>
      <c r="J4771" s="2" t="s">
        <v>15</v>
      </c>
      <c r="K4771" s="2" t="s">
        <v>17</v>
      </c>
      <c r="L4771" s="7">
        <v>666</v>
      </c>
      <c r="M4771" s="2" t="str">
        <f>_xlfn.IFS(TelecomData[[#This Row],[TenureMonths]]&lt;=12, "0-1 Year", TelecomData[[#This Row],[TenureMonths]]&lt;=36, "1-3 Years", TelecomData[[#This Row],[TenureMonths]]&gt;36, "3+ Years")</f>
        <v>1-3 Years</v>
      </c>
      <c r="N4771" s="2" t="str">
        <f>IF(TelecomData[[#This Row],[CleanedTotalCharges]]&gt;=2500,"High Spend", "Standard Spend")</f>
        <v>Standard Spend</v>
      </c>
    </row>
    <row r="4772" spans="1:14" x14ac:dyDescent="0.3">
      <c r="A4772" s="1" t="s">
        <v>4796</v>
      </c>
      <c r="B4772" s="2" t="s">
        <v>12</v>
      </c>
      <c r="C4772" s="2" t="s">
        <v>20</v>
      </c>
      <c r="D4772" s="2">
        <v>6</v>
      </c>
      <c r="E4772" s="2" t="s">
        <v>15</v>
      </c>
      <c r="F4772" s="2" t="s">
        <v>36</v>
      </c>
      <c r="G4772" s="7">
        <v>19.7</v>
      </c>
      <c r="H4772" s="7">
        <v>94.45</v>
      </c>
      <c r="I4772" s="2" t="s">
        <v>15</v>
      </c>
      <c r="J4772" s="2" t="s">
        <v>15</v>
      </c>
      <c r="K4772" s="2" t="s">
        <v>21</v>
      </c>
      <c r="L4772" s="7">
        <v>94.45</v>
      </c>
      <c r="M4772" s="2" t="str">
        <f>_xlfn.IFS(TelecomData[[#This Row],[TenureMonths]]&lt;=12, "0-1 Year", TelecomData[[#This Row],[TenureMonths]]&lt;=36, "1-3 Years", TelecomData[[#This Row],[TenureMonths]]&gt;36, "3+ Years")</f>
        <v>0-1 Year</v>
      </c>
      <c r="N4772" s="2" t="str">
        <f>IF(TelecomData[[#This Row],[CleanedTotalCharges]]&gt;=2500,"High Spend", "Standard Spend")</f>
        <v>Standard Spend</v>
      </c>
    </row>
    <row r="4773" spans="1:14" x14ac:dyDescent="0.3">
      <c r="A4773" s="1" t="s">
        <v>4797</v>
      </c>
      <c r="B4773" s="2" t="s">
        <v>12</v>
      </c>
      <c r="C4773" s="2" t="s">
        <v>13</v>
      </c>
      <c r="D4773" s="2">
        <v>3</v>
      </c>
      <c r="E4773" s="2" t="s">
        <v>26</v>
      </c>
      <c r="F4773" s="2" t="s">
        <v>15</v>
      </c>
      <c r="G4773" s="7">
        <v>79.400000000000006</v>
      </c>
      <c r="H4773" s="7">
        <v>244.65</v>
      </c>
      <c r="I4773" s="2" t="s">
        <v>16</v>
      </c>
      <c r="J4773" s="2" t="s">
        <v>16</v>
      </c>
      <c r="K4773" s="2" t="s">
        <v>17</v>
      </c>
      <c r="L4773" s="7">
        <v>244.65</v>
      </c>
      <c r="M4773" s="2" t="str">
        <f>_xlfn.IFS(TelecomData[[#This Row],[TenureMonths]]&lt;=12, "0-1 Year", TelecomData[[#This Row],[TenureMonths]]&lt;=36, "1-3 Years", TelecomData[[#This Row],[TenureMonths]]&gt;36, "3+ Years")</f>
        <v>0-1 Year</v>
      </c>
      <c r="N4773" s="2" t="str">
        <f>IF(TelecomData[[#This Row],[CleanedTotalCharges]]&gt;=2500,"High Spend", "Standard Spend")</f>
        <v>Standard Spend</v>
      </c>
    </row>
    <row r="4774" spans="1:14" x14ac:dyDescent="0.3">
      <c r="A4774" s="1" t="s">
        <v>4798</v>
      </c>
      <c r="B4774" s="2" t="s">
        <v>12</v>
      </c>
      <c r="C4774" s="2" t="s">
        <v>20</v>
      </c>
      <c r="D4774" s="2">
        <v>69</v>
      </c>
      <c r="E4774" s="2" t="s">
        <v>14</v>
      </c>
      <c r="F4774" s="2" t="s">
        <v>16</v>
      </c>
      <c r="G4774" s="7">
        <v>59.1</v>
      </c>
      <c r="H4774" s="7">
        <v>4134.7</v>
      </c>
      <c r="I4774" s="2" t="s">
        <v>15</v>
      </c>
      <c r="J4774" s="2" t="s">
        <v>15</v>
      </c>
      <c r="K4774" s="2" t="s">
        <v>24</v>
      </c>
      <c r="L4774" s="7">
        <v>4134.7</v>
      </c>
      <c r="M4774" s="2" t="str">
        <f>_xlfn.IFS(TelecomData[[#This Row],[TenureMonths]]&lt;=12, "0-1 Year", TelecomData[[#This Row],[TenureMonths]]&lt;=36, "1-3 Years", TelecomData[[#This Row],[TenureMonths]]&gt;36, "3+ Years")</f>
        <v>3+ Years</v>
      </c>
      <c r="N4774" s="2" t="str">
        <f>IF(TelecomData[[#This Row],[CleanedTotalCharges]]&gt;=2500,"High Spend", "Standard Spend")</f>
        <v>High Spend</v>
      </c>
    </row>
    <row r="4775" spans="1:14" x14ac:dyDescent="0.3">
      <c r="A4775" s="1" t="s">
        <v>4799</v>
      </c>
      <c r="B4775" s="2" t="s">
        <v>19</v>
      </c>
      <c r="C4775" s="2" t="s">
        <v>20</v>
      </c>
      <c r="D4775" s="2">
        <v>44</v>
      </c>
      <c r="E4775" s="2" t="s">
        <v>14</v>
      </c>
      <c r="F4775" s="2" t="s">
        <v>15</v>
      </c>
      <c r="G4775" s="7">
        <v>53.95</v>
      </c>
      <c r="H4775" s="7">
        <v>2375.4</v>
      </c>
      <c r="I4775" s="2" t="s">
        <v>16</v>
      </c>
      <c r="J4775" s="2" t="s">
        <v>16</v>
      </c>
      <c r="K4775" s="2" t="s">
        <v>21</v>
      </c>
      <c r="L4775" s="7">
        <v>2375.4</v>
      </c>
      <c r="M4775" s="2" t="str">
        <f>_xlfn.IFS(TelecomData[[#This Row],[TenureMonths]]&lt;=12, "0-1 Year", TelecomData[[#This Row],[TenureMonths]]&lt;=36, "1-3 Years", TelecomData[[#This Row],[TenureMonths]]&gt;36, "3+ Years")</f>
        <v>3+ Years</v>
      </c>
      <c r="N4775" s="2" t="str">
        <f>IF(TelecomData[[#This Row],[CleanedTotalCharges]]&gt;=2500,"High Spend", "Standard Spend")</f>
        <v>Standard Spend</v>
      </c>
    </row>
    <row r="4776" spans="1:14" x14ac:dyDescent="0.3">
      <c r="A4776" s="1" t="s">
        <v>4800</v>
      </c>
      <c r="B4776" s="2" t="s">
        <v>12</v>
      </c>
      <c r="C4776" s="2" t="s">
        <v>20</v>
      </c>
      <c r="D4776" s="2">
        <v>53</v>
      </c>
      <c r="E4776" s="2" t="s">
        <v>26</v>
      </c>
      <c r="F4776" s="2" t="s">
        <v>16</v>
      </c>
      <c r="G4776" s="7">
        <v>91.15</v>
      </c>
      <c r="H4776" s="7">
        <v>4862.5</v>
      </c>
      <c r="I4776" s="2" t="s">
        <v>15</v>
      </c>
      <c r="J4776" s="2" t="s">
        <v>16</v>
      </c>
      <c r="K4776" s="2" t="s">
        <v>17</v>
      </c>
      <c r="L4776" s="7">
        <v>4862.5</v>
      </c>
      <c r="M4776" s="2" t="str">
        <f>_xlfn.IFS(TelecomData[[#This Row],[TenureMonths]]&lt;=12, "0-1 Year", TelecomData[[#This Row],[TenureMonths]]&lt;=36, "1-3 Years", TelecomData[[#This Row],[TenureMonths]]&gt;36, "3+ Years")</f>
        <v>3+ Years</v>
      </c>
      <c r="N4776" s="2" t="str">
        <f>IF(TelecomData[[#This Row],[CleanedTotalCharges]]&gt;=2500,"High Spend", "Standard Spend")</f>
        <v>High Spend</v>
      </c>
    </row>
    <row r="4777" spans="1:14" x14ac:dyDescent="0.3">
      <c r="A4777" s="1" t="s">
        <v>4801</v>
      </c>
      <c r="B4777" s="2" t="s">
        <v>12</v>
      </c>
      <c r="C4777" s="2" t="s">
        <v>13</v>
      </c>
      <c r="D4777" s="2">
        <v>24</v>
      </c>
      <c r="E4777" s="2" t="s">
        <v>26</v>
      </c>
      <c r="F4777" s="2" t="s">
        <v>15</v>
      </c>
      <c r="G4777" s="7">
        <v>99.3</v>
      </c>
      <c r="H4777" s="7">
        <v>2431.35</v>
      </c>
      <c r="I4777" s="2" t="s">
        <v>16</v>
      </c>
      <c r="J4777" s="2" t="s">
        <v>16</v>
      </c>
      <c r="K4777" s="2" t="s">
        <v>29</v>
      </c>
      <c r="L4777" s="7">
        <v>2431.35</v>
      </c>
      <c r="M4777" s="2" t="str">
        <f>_xlfn.IFS(TelecomData[[#This Row],[TenureMonths]]&lt;=12, "0-1 Year", TelecomData[[#This Row],[TenureMonths]]&lt;=36, "1-3 Years", TelecomData[[#This Row],[TenureMonths]]&gt;36, "3+ Years")</f>
        <v>1-3 Years</v>
      </c>
      <c r="N4777" s="2" t="str">
        <f>IF(TelecomData[[#This Row],[CleanedTotalCharges]]&gt;=2500,"High Spend", "Standard Spend")</f>
        <v>Standard Spend</v>
      </c>
    </row>
    <row r="4778" spans="1:14" x14ac:dyDescent="0.3">
      <c r="A4778" s="1" t="s">
        <v>4802</v>
      </c>
      <c r="B4778" s="2" t="s">
        <v>12</v>
      </c>
      <c r="C4778" s="2" t="s">
        <v>13</v>
      </c>
      <c r="D4778" s="2">
        <v>5</v>
      </c>
      <c r="E4778" s="2" t="s">
        <v>26</v>
      </c>
      <c r="F4778" s="2" t="s">
        <v>15</v>
      </c>
      <c r="G4778" s="7">
        <v>68.95</v>
      </c>
      <c r="H4778" s="7">
        <v>351.5</v>
      </c>
      <c r="I4778" s="2" t="s">
        <v>15</v>
      </c>
      <c r="J4778" s="2" t="s">
        <v>16</v>
      </c>
      <c r="K4778" s="2" t="s">
        <v>17</v>
      </c>
      <c r="L4778" s="7">
        <v>351.5</v>
      </c>
      <c r="M4778" s="2" t="str">
        <f>_xlfn.IFS(TelecomData[[#This Row],[TenureMonths]]&lt;=12, "0-1 Year", TelecomData[[#This Row],[TenureMonths]]&lt;=36, "1-3 Years", TelecomData[[#This Row],[TenureMonths]]&gt;36, "3+ Years")</f>
        <v>0-1 Year</v>
      </c>
      <c r="N4778" s="2" t="str">
        <f>IF(TelecomData[[#This Row],[CleanedTotalCharges]]&gt;=2500,"High Spend", "Standard Spend")</f>
        <v>Standard Spend</v>
      </c>
    </row>
    <row r="4779" spans="1:14" x14ac:dyDescent="0.3">
      <c r="A4779" s="1" t="s">
        <v>4803</v>
      </c>
      <c r="B4779" s="2" t="s">
        <v>12</v>
      </c>
      <c r="C4779" s="2" t="s">
        <v>13</v>
      </c>
      <c r="D4779" s="2">
        <v>2</v>
      </c>
      <c r="E4779" s="2" t="s">
        <v>14</v>
      </c>
      <c r="F4779" s="2" t="s">
        <v>15</v>
      </c>
      <c r="G4779" s="7">
        <v>51.55</v>
      </c>
      <c r="H4779" s="7">
        <v>106.2</v>
      </c>
      <c r="I4779" s="2" t="s">
        <v>15</v>
      </c>
      <c r="J4779" s="2" t="s">
        <v>15</v>
      </c>
      <c r="K4779" s="2" t="s">
        <v>21</v>
      </c>
      <c r="L4779" s="7">
        <v>106.2</v>
      </c>
      <c r="M4779" s="2" t="str">
        <f>_xlfn.IFS(TelecomData[[#This Row],[TenureMonths]]&lt;=12, "0-1 Year", TelecomData[[#This Row],[TenureMonths]]&lt;=36, "1-3 Years", TelecomData[[#This Row],[TenureMonths]]&gt;36, "3+ Years")</f>
        <v>0-1 Year</v>
      </c>
      <c r="N4779" s="2" t="str">
        <f>IF(TelecomData[[#This Row],[CleanedTotalCharges]]&gt;=2500,"High Spend", "Standard Spend")</f>
        <v>Standard Spend</v>
      </c>
    </row>
    <row r="4780" spans="1:14" x14ac:dyDescent="0.3">
      <c r="A4780" s="1" t="s">
        <v>4804</v>
      </c>
      <c r="B4780" s="2" t="s">
        <v>19</v>
      </c>
      <c r="C4780" s="2" t="s">
        <v>35</v>
      </c>
      <c r="D4780" s="2">
        <v>62</v>
      </c>
      <c r="E4780" s="2" t="s">
        <v>15</v>
      </c>
      <c r="F4780" s="2" t="s">
        <v>36</v>
      </c>
      <c r="G4780" s="7">
        <v>24.4</v>
      </c>
      <c r="H4780" s="7">
        <v>1413</v>
      </c>
      <c r="I4780" s="2" t="s">
        <v>15</v>
      </c>
      <c r="J4780" s="2" t="s">
        <v>16</v>
      </c>
      <c r="K4780" s="2" t="s">
        <v>21</v>
      </c>
      <c r="L4780" s="7">
        <v>1413</v>
      </c>
      <c r="M4780" s="2" t="str">
        <f>_xlfn.IFS(TelecomData[[#This Row],[TenureMonths]]&lt;=12, "0-1 Year", TelecomData[[#This Row],[TenureMonths]]&lt;=36, "1-3 Years", TelecomData[[#This Row],[TenureMonths]]&gt;36, "3+ Years")</f>
        <v>3+ Years</v>
      </c>
      <c r="N4780" s="2" t="str">
        <f>IF(TelecomData[[#This Row],[CleanedTotalCharges]]&gt;=2500,"High Spend", "Standard Spend")</f>
        <v>Standard Spend</v>
      </c>
    </row>
    <row r="4781" spans="1:14" x14ac:dyDescent="0.3">
      <c r="A4781" s="1" t="s">
        <v>4805</v>
      </c>
      <c r="B4781" s="2" t="s">
        <v>12</v>
      </c>
      <c r="C4781" s="2" t="s">
        <v>13</v>
      </c>
      <c r="D4781" s="2">
        <v>19</v>
      </c>
      <c r="E4781" s="2" t="s">
        <v>26</v>
      </c>
      <c r="F4781" s="2" t="s">
        <v>15</v>
      </c>
      <c r="G4781" s="7">
        <v>96.8</v>
      </c>
      <c r="H4781" s="7">
        <v>1743.05</v>
      </c>
      <c r="I4781" s="2" t="s">
        <v>15</v>
      </c>
      <c r="J4781" s="2" t="s">
        <v>16</v>
      </c>
      <c r="K4781" s="2" t="s">
        <v>17</v>
      </c>
      <c r="L4781" s="7">
        <v>1743.05</v>
      </c>
      <c r="M4781" s="2" t="str">
        <f>_xlfn.IFS(TelecomData[[#This Row],[TenureMonths]]&lt;=12, "0-1 Year", TelecomData[[#This Row],[TenureMonths]]&lt;=36, "1-3 Years", TelecomData[[#This Row],[TenureMonths]]&gt;36, "3+ Years")</f>
        <v>1-3 Years</v>
      </c>
      <c r="N4781" s="2" t="str">
        <f>IF(TelecomData[[#This Row],[CleanedTotalCharges]]&gt;=2500,"High Spend", "Standard Spend")</f>
        <v>Standard Spend</v>
      </c>
    </row>
    <row r="4782" spans="1:14" x14ac:dyDescent="0.3">
      <c r="A4782" s="1" t="s">
        <v>4806</v>
      </c>
      <c r="B4782" s="2" t="s">
        <v>19</v>
      </c>
      <c r="C4782" s="2" t="s">
        <v>13</v>
      </c>
      <c r="D4782" s="2">
        <v>9</v>
      </c>
      <c r="E4782" s="2" t="s">
        <v>26</v>
      </c>
      <c r="F4782" s="2" t="s">
        <v>15</v>
      </c>
      <c r="G4782" s="7">
        <v>70.05</v>
      </c>
      <c r="H4782" s="7">
        <v>657.5</v>
      </c>
      <c r="I4782" s="2" t="s">
        <v>15</v>
      </c>
      <c r="J4782" s="2" t="s">
        <v>15</v>
      </c>
      <c r="K4782" s="2" t="s">
        <v>21</v>
      </c>
      <c r="L4782" s="7">
        <v>657.5</v>
      </c>
      <c r="M4782" s="2" t="str">
        <f>_xlfn.IFS(TelecomData[[#This Row],[TenureMonths]]&lt;=12, "0-1 Year", TelecomData[[#This Row],[TenureMonths]]&lt;=36, "1-3 Years", TelecomData[[#This Row],[TenureMonths]]&gt;36, "3+ Years")</f>
        <v>0-1 Year</v>
      </c>
      <c r="N4782" s="2" t="str">
        <f>IF(TelecomData[[#This Row],[CleanedTotalCharges]]&gt;=2500,"High Spend", "Standard Spend")</f>
        <v>Standard Spend</v>
      </c>
    </row>
    <row r="4783" spans="1:14" x14ac:dyDescent="0.3">
      <c r="A4783" s="1" t="s">
        <v>4807</v>
      </c>
      <c r="B4783" s="2" t="s">
        <v>19</v>
      </c>
      <c r="C4783" s="2" t="s">
        <v>35</v>
      </c>
      <c r="D4783" s="2">
        <v>53</v>
      </c>
      <c r="E4783" s="2" t="s">
        <v>15</v>
      </c>
      <c r="F4783" s="2" t="s">
        <v>36</v>
      </c>
      <c r="G4783" s="7">
        <v>19.5</v>
      </c>
      <c r="H4783" s="7">
        <v>1050.5</v>
      </c>
      <c r="I4783" s="2" t="s">
        <v>15</v>
      </c>
      <c r="J4783" s="2" t="s">
        <v>15</v>
      </c>
      <c r="K4783" s="2" t="s">
        <v>29</v>
      </c>
      <c r="L4783" s="7">
        <v>1050.5</v>
      </c>
      <c r="M4783" s="2" t="str">
        <f>_xlfn.IFS(TelecomData[[#This Row],[TenureMonths]]&lt;=12, "0-1 Year", TelecomData[[#This Row],[TenureMonths]]&lt;=36, "1-3 Years", TelecomData[[#This Row],[TenureMonths]]&gt;36, "3+ Years")</f>
        <v>3+ Years</v>
      </c>
      <c r="N4783" s="2" t="str">
        <f>IF(TelecomData[[#This Row],[CleanedTotalCharges]]&gt;=2500,"High Spend", "Standard Spend")</f>
        <v>Standard Spend</v>
      </c>
    </row>
    <row r="4784" spans="1:14" x14ac:dyDescent="0.3">
      <c r="A4784" s="1" t="s">
        <v>4808</v>
      </c>
      <c r="B4784" s="2" t="s">
        <v>19</v>
      </c>
      <c r="C4784" s="2" t="s">
        <v>13</v>
      </c>
      <c r="D4784" s="2">
        <v>5</v>
      </c>
      <c r="E4784" s="2" t="s">
        <v>26</v>
      </c>
      <c r="F4784" s="2" t="s">
        <v>15</v>
      </c>
      <c r="G4784" s="7">
        <v>78.75</v>
      </c>
      <c r="H4784" s="7">
        <v>426.35</v>
      </c>
      <c r="I4784" s="2" t="s">
        <v>15</v>
      </c>
      <c r="J4784" s="2" t="s">
        <v>15</v>
      </c>
      <c r="K4784" s="2" t="s">
        <v>21</v>
      </c>
      <c r="L4784" s="7">
        <v>426.35</v>
      </c>
      <c r="M4784" s="2" t="str">
        <f>_xlfn.IFS(TelecomData[[#This Row],[TenureMonths]]&lt;=12, "0-1 Year", TelecomData[[#This Row],[TenureMonths]]&lt;=36, "1-3 Years", TelecomData[[#This Row],[TenureMonths]]&gt;36, "3+ Years")</f>
        <v>0-1 Year</v>
      </c>
      <c r="N4784" s="2" t="str">
        <f>IF(TelecomData[[#This Row],[CleanedTotalCharges]]&gt;=2500,"High Spend", "Standard Spend")</f>
        <v>Standard Spend</v>
      </c>
    </row>
    <row r="4785" spans="1:14" x14ac:dyDescent="0.3">
      <c r="A4785" s="1" t="s">
        <v>4809</v>
      </c>
      <c r="B4785" s="2" t="s">
        <v>12</v>
      </c>
      <c r="C4785" s="2" t="s">
        <v>20</v>
      </c>
      <c r="D4785" s="2">
        <v>71</v>
      </c>
      <c r="E4785" s="2" t="s">
        <v>14</v>
      </c>
      <c r="F4785" s="2" t="s">
        <v>15</v>
      </c>
      <c r="G4785" s="7">
        <v>69.2</v>
      </c>
      <c r="H4785" s="7">
        <v>4982.5</v>
      </c>
      <c r="I4785" s="2" t="s">
        <v>15</v>
      </c>
      <c r="J4785" s="2" t="s">
        <v>15</v>
      </c>
      <c r="K4785" s="2" t="s">
        <v>17</v>
      </c>
      <c r="L4785" s="7">
        <v>4982.5</v>
      </c>
      <c r="M4785" s="2" t="str">
        <f>_xlfn.IFS(TelecomData[[#This Row],[TenureMonths]]&lt;=12, "0-1 Year", TelecomData[[#This Row],[TenureMonths]]&lt;=36, "1-3 Years", TelecomData[[#This Row],[TenureMonths]]&gt;36, "3+ Years")</f>
        <v>3+ Years</v>
      </c>
      <c r="N4785" s="2" t="str">
        <f>IF(TelecomData[[#This Row],[CleanedTotalCharges]]&gt;=2500,"High Spend", "Standard Spend")</f>
        <v>High Spend</v>
      </c>
    </row>
    <row r="4786" spans="1:14" x14ac:dyDescent="0.3">
      <c r="A4786" s="1" t="s">
        <v>4810</v>
      </c>
      <c r="B4786" s="2" t="s">
        <v>12</v>
      </c>
      <c r="C4786" s="2" t="s">
        <v>13</v>
      </c>
      <c r="D4786" s="2">
        <v>1</v>
      </c>
      <c r="E4786" s="2" t="s">
        <v>15</v>
      </c>
      <c r="F4786" s="2" t="s">
        <v>36</v>
      </c>
      <c r="G4786" s="7">
        <v>19.55</v>
      </c>
      <c r="H4786" s="7">
        <v>19.55</v>
      </c>
      <c r="I4786" s="2" t="s">
        <v>15</v>
      </c>
      <c r="J4786" s="2" t="s">
        <v>16</v>
      </c>
      <c r="K4786" s="2" t="s">
        <v>21</v>
      </c>
      <c r="L4786" s="7">
        <v>19.55</v>
      </c>
      <c r="M4786" s="2" t="str">
        <f>_xlfn.IFS(TelecomData[[#This Row],[TenureMonths]]&lt;=12, "0-1 Year", TelecomData[[#This Row],[TenureMonths]]&lt;=36, "1-3 Years", TelecomData[[#This Row],[TenureMonths]]&gt;36, "3+ Years")</f>
        <v>0-1 Year</v>
      </c>
      <c r="N4786" s="2" t="str">
        <f>IF(TelecomData[[#This Row],[CleanedTotalCharges]]&gt;=2500,"High Spend", "Standard Spend")</f>
        <v>Standard Spend</v>
      </c>
    </row>
    <row r="4787" spans="1:14" x14ac:dyDescent="0.3">
      <c r="A4787" s="1" t="s">
        <v>4811</v>
      </c>
      <c r="B4787" s="2" t="s">
        <v>19</v>
      </c>
      <c r="C4787" s="2" t="s">
        <v>13</v>
      </c>
      <c r="D4787" s="2">
        <v>18</v>
      </c>
      <c r="E4787" s="2" t="s">
        <v>26</v>
      </c>
      <c r="F4787" s="2" t="s">
        <v>15</v>
      </c>
      <c r="G4787" s="7">
        <v>80.650000000000006</v>
      </c>
      <c r="H4787" s="7">
        <v>1451.9</v>
      </c>
      <c r="I4787" s="2" t="s">
        <v>16</v>
      </c>
      <c r="J4787" s="2" t="s">
        <v>16</v>
      </c>
      <c r="K4787" s="2" t="s">
        <v>17</v>
      </c>
      <c r="L4787" s="7">
        <v>1451.9</v>
      </c>
      <c r="M4787" s="2" t="str">
        <f>_xlfn.IFS(TelecomData[[#This Row],[TenureMonths]]&lt;=12, "0-1 Year", TelecomData[[#This Row],[TenureMonths]]&lt;=36, "1-3 Years", TelecomData[[#This Row],[TenureMonths]]&gt;36, "3+ Years")</f>
        <v>1-3 Years</v>
      </c>
      <c r="N4787" s="2" t="str">
        <f>IF(TelecomData[[#This Row],[CleanedTotalCharges]]&gt;=2500,"High Spend", "Standard Spend")</f>
        <v>Standard Spend</v>
      </c>
    </row>
    <row r="4788" spans="1:14" x14ac:dyDescent="0.3">
      <c r="A4788" s="1" t="s">
        <v>4812</v>
      </c>
      <c r="B4788" s="2" t="s">
        <v>19</v>
      </c>
      <c r="C4788" s="2" t="s">
        <v>35</v>
      </c>
      <c r="D4788" s="2">
        <v>72</v>
      </c>
      <c r="E4788" s="2" t="s">
        <v>26</v>
      </c>
      <c r="F4788" s="2" t="s">
        <v>15</v>
      </c>
      <c r="G4788" s="7">
        <v>103.65</v>
      </c>
      <c r="H4788" s="7">
        <v>7634.8</v>
      </c>
      <c r="I4788" s="2" t="s">
        <v>15</v>
      </c>
      <c r="J4788" s="2" t="s">
        <v>16</v>
      </c>
      <c r="K4788" s="2" t="s">
        <v>17</v>
      </c>
      <c r="L4788" s="7">
        <v>7634.8</v>
      </c>
      <c r="M4788" s="2" t="str">
        <f>_xlfn.IFS(TelecomData[[#This Row],[TenureMonths]]&lt;=12, "0-1 Year", TelecomData[[#This Row],[TenureMonths]]&lt;=36, "1-3 Years", TelecomData[[#This Row],[TenureMonths]]&gt;36, "3+ Years")</f>
        <v>3+ Years</v>
      </c>
      <c r="N4788" s="2" t="str">
        <f>IF(TelecomData[[#This Row],[CleanedTotalCharges]]&gt;=2500,"High Spend", "Standard Spend")</f>
        <v>High Spend</v>
      </c>
    </row>
    <row r="4789" spans="1:14" x14ac:dyDescent="0.3">
      <c r="A4789" s="1" t="s">
        <v>4813</v>
      </c>
      <c r="B4789" s="2" t="s">
        <v>12</v>
      </c>
      <c r="C4789" s="2" t="s">
        <v>13</v>
      </c>
      <c r="D4789" s="2">
        <v>4</v>
      </c>
      <c r="E4789" s="2" t="s">
        <v>14</v>
      </c>
      <c r="F4789" s="2" t="s">
        <v>15</v>
      </c>
      <c r="G4789" s="7">
        <v>54.7</v>
      </c>
      <c r="H4789" s="7">
        <v>235.05</v>
      </c>
      <c r="I4789" s="2" t="s">
        <v>15</v>
      </c>
      <c r="J4789" s="2" t="s">
        <v>15</v>
      </c>
      <c r="K4789" s="2" t="s">
        <v>21</v>
      </c>
      <c r="L4789" s="7">
        <v>235.05</v>
      </c>
      <c r="M4789" s="2" t="str">
        <f>_xlfn.IFS(TelecomData[[#This Row],[TenureMonths]]&lt;=12, "0-1 Year", TelecomData[[#This Row],[TenureMonths]]&lt;=36, "1-3 Years", TelecomData[[#This Row],[TenureMonths]]&gt;36, "3+ Years")</f>
        <v>0-1 Year</v>
      </c>
      <c r="N4789" s="2" t="str">
        <f>IF(TelecomData[[#This Row],[CleanedTotalCharges]]&gt;=2500,"High Spend", "Standard Spend")</f>
        <v>Standard Spend</v>
      </c>
    </row>
    <row r="4790" spans="1:14" x14ac:dyDescent="0.3">
      <c r="A4790" s="1" t="s">
        <v>4814</v>
      </c>
      <c r="B4790" s="2" t="s">
        <v>19</v>
      </c>
      <c r="C4790" s="2" t="s">
        <v>35</v>
      </c>
      <c r="D4790" s="2">
        <v>59</v>
      </c>
      <c r="E4790" s="2" t="s">
        <v>14</v>
      </c>
      <c r="F4790" s="2" t="s">
        <v>15</v>
      </c>
      <c r="G4790" s="7">
        <v>54.15</v>
      </c>
      <c r="H4790" s="7">
        <v>3116.15</v>
      </c>
      <c r="I4790" s="2" t="s">
        <v>15</v>
      </c>
      <c r="J4790" s="2" t="s">
        <v>15</v>
      </c>
      <c r="K4790" s="2" t="s">
        <v>29</v>
      </c>
      <c r="L4790" s="7">
        <v>3116.15</v>
      </c>
      <c r="M4790" s="2" t="str">
        <f>_xlfn.IFS(TelecomData[[#This Row],[TenureMonths]]&lt;=12, "0-1 Year", TelecomData[[#This Row],[TenureMonths]]&lt;=36, "1-3 Years", TelecomData[[#This Row],[TenureMonths]]&gt;36, "3+ Years")</f>
        <v>3+ Years</v>
      </c>
      <c r="N4790" s="2" t="str">
        <f>IF(TelecomData[[#This Row],[CleanedTotalCharges]]&gt;=2500,"High Spend", "Standard Spend")</f>
        <v>High Spend</v>
      </c>
    </row>
    <row r="4791" spans="1:14" x14ac:dyDescent="0.3">
      <c r="A4791" s="1" t="s">
        <v>4815</v>
      </c>
      <c r="B4791" s="2" t="s">
        <v>12</v>
      </c>
      <c r="C4791" s="2" t="s">
        <v>13</v>
      </c>
      <c r="D4791" s="2">
        <v>1</v>
      </c>
      <c r="E4791" s="2" t="s">
        <v>26</v>
      </c>
      <c r="F4791" s="2" t="s">
        <v>15</v>
      </c>
      <c r="G4791" s="7">
        <v>71.099999999999994</v>
      </c>
      <c r="H4791" s="7">
        <v>71.099999999999994</v>
      </c>
      <c r="I4791" s="2" t="s">
        <v>16</v>
      </c>
      <c r="J4791" s="2" t="s">
        <v>15</v>
      </c>
      <c r="K4791" s="2" t="s">
        <v>21</v>
      </c>
      <c r="L4791" s="7">
        <v>71.099999999999994</v>
      </c>
      <c r="M4791" s="2" t="str">
        <f>_xlfn.IFS(TelecomData[[#This Row],[TenureMonths]]&lt;=12, "0-1 Year", TelecomData[[#This Row],[TenureMonths]]&lt;=36, "1-3 Years", TelecomData[[#This Row],[TenureMonths]]&gt;36, "3+ Years")</f>
        <v>0-1 Year</v>
      </c>
      <c r="N4791" s="2" t="str">
        <f>IF(TelecomData[[#This Row],[CleanedTotalCharges]]&gt;=2500,"High Spend", "Standard Spend")</f>
        <v>Standard Spend</v>
      </c>
    </row>
    <row r="4792" spans="1:14" x14ac:dyDescent="0.3">
      <c r="A4792" s="1" t="s">
        <v>4816</v>
      </c>
      <c r="B4792" s="2" t="s">
        <v>12</v>
      </c>
      <c r="C4792" s="2" t="s">
        <v>13</v>
      </c>
      <c r="D4792" s="2">
        <v>31</v>
      </c>
      <c r="E4792" s="2" t="s">
        <v>26</v>
      </c>
      <c r="F4792" s="2" t="s">
        <v>15</v>
      </c>
      <c r="G4792" s="7">
        <v>84.85</v>
      </c>
      <c r="H4792" s="7">
        <v>2633.4</v>
      </c>
      <c r="I4792" s="2" t="s">
        <v>15</v>
      </c>
      <c r="J4792" s="2" t="s">
        <v>16</v>
      </c>
      <c r="K4792" s="2" t="s">
        <v>17</v>
      </c>
      <c r="L4792" s="7">
        <v>2633.4</v>
      </c>
      <c r="M4792" s="2" t="str">
        <f>_xlfn.IFS(TelecomData[[#This Row],[TenureMonths]]&lt;=12, "0-1 Year", TelecomData[[#This Row],[TenureMonths]]&lt;=36, "1-3 Years", TelecomData[[#This Row],[TenureMonths]]&gt;36, "3+ Years")</f>
        <v>1-3 Years</v>
      </c>
      <c r="N4792" s="2" t="str">
        <f>IF(TelecomData[[#This Row],[CleanedTotalCharges]]&gt;=2500,"High Spend", "Standard Spend")</f>
        <v>High Spend</v>
      </c>
    </row>
    <row r="4793" spans="1:14" x14ac:dyDescent="0.3">
      <c r="A4793" s="1" t="s">
        <v>4817</v>
      </c>
      <c r="B4793" s="2" t="s">
        <v>19</v>
      </c>
      <c r="C4793" s="2" t="s">
        <v>13</v>
      </c>
      <c r="D4793" s="2">
        <v>3</v>
      </c>
      <c r="E4793" s="2" t="s">
        <v>15</v>
      </c>
      <c r="F4793" s="2" t="s">
        <v>36</v>
      </c>
      <c r="G4793" s="7">
        <v>20</v>
      </c>
      <c r="H4793" s="7">
        <v>49.65</v>
      </c>
      <c r="I4793" s="2" t="s">
        <v>15</v>
      </c>
      <c r="J4793" s="2" t="s">
        <v>15</v>
      </c>
      <c r="K4793" s="2" t="s">
        <v>24</v>
      </c>
      <c r="L4793" s="7">
        <v>49.65</v>
      </c>
      <c r="M4793" s="2" t="str">
        <f>_xlfn.IFS(TelecomData[[#This Row],[TenureMonths]]&lt;=12, "0-1 Year", TelecomData[[#This Row],[TenureMonths]]&lt;=36, "1-3 Years", TelecomData[[#This Row],[TenureMonths]]&gt;36, "3+ Years")</f>
        <v>0-1 Year</v>
      </c>
      <c r="N4793" s="2" t="str">
        <f>IF(TelecomData[[#This Row],[CleanedTotalCharges]]&gt;=2500,"High Spend", "Standard Spend")</f>
        <v>Standard Spend</v>
      </c>
    </row>
    <row r="4794" spans="1:14" x14ac:dyDescent="0.3">
      <c r="A4794" s="1" t="s">
        <v>4818</v>
      </c>
      <c r="B4794" s="2" t="s">
        <v>12</v>
      </c>
      <c r="C4794" s="2" t="s">
        <v>20</v>
      </c>
      <c r="D4794" s="2">
        <v>65</v>
      </c>
      <c r="E4794" s="2" t="s">
        <v>26</v>
      </c>
      <c r="F4794" s="2" t="s">
        <v>15</v>
      </c>
      <c r="G4794" s="7">
        <v>106.25</v>
      </c>
      <c r="H4794" s="7">
        <v>6979.8</v>
      </c>
      <c r="I4794" s="2" t="s">
        <v>16</v>
      </c>
      <c r="J4794" s="2" t="s">
        <v>16</v>
      </c>
      <c r="K4794" s="2" t="s">
        <v>17</v>
      </c>
      <c r="L4794" s="7">
        <v>6979.8</v>
      </c>
      <c r="M4794" s="2" t="str">
        <f>_xlfn.IFS(TelecomData[[#This Row],[TenureMonths]]&lt;=12, "0-1 Year", TelecomData[[#This Row],[TenureMonths]]&lt;=36, "1-3 Years", TelecomData[[#This Row],[TenureMonths]]&gt;36, "3+ Years")</f>
        <v>3+ Years</v>
      </c>
      <c r="N4794" s="2" t="str">
        <f>IF(TelecomData[[#This Row],[CleanedTotalCharges]]&gt;=2500,"High Spend", "Standard Spend")</f>
        <v>High Spend</v>
      </c>
    </row>
    <row r="4795" spans="1:14" x14ac:dyDescent="0.3">
      <c r="A4795" s="1" t="s">
        <v>4819</v>
      </c>
      <c r="B4795" s="2" t="s">
        <v>19</v>
      </c>
      <c r="C4795" s="2" t="s">
        <v>20</v>
      </c>
      <c r="D4795" s="2">
        <v>49</v>
      </c>
      <c r="E4795" s="2" t="s">
        <v>26</v>
      </c>
      <c r="F4795" s="2" t="s">
        <v>16</v>
      </c>
      <c r="G4795" s="7">
        <v>99.25</v>
      </c>
      <c r="H4795" s="7">
        <v>4920.8</v>
      </c>
      <c r="I4795" s="2" t="s">
        <v>15</v>
      </c>
      <c r="J4795" s="2" t="s">
        <v>16</v>
      </c>
      <c r="K4795" s="2" t="s">
        <v>29</v>
      </c>
      <c r="L4795" s="7">
        <v>4920.8</v>
      </c>
      <c r="M4795" s="2" t="str">
        <f>_xlfn.IFS(TelecomData[[#This Row],[TenureMonths]]&lt;=12, "0-1 Year", TelecomData[[#This Row],[TenureMonths]]&lt;=36, "1-3 Years", TelecomData[[#This Row],[TenureMonths]]&gt;36, "3+ Years")</f>
        <v>3+ Years</v>
      </c>
      <c r="N4795" s="2" t="str">
        <f>IF(TelecomData[[#This Row],[CleanedTotalCharges]]&gt;=2500,"High Spend", "Standard Spend")</f>
        <v>High Spend</v>
      </c>
    </row>
    <row r="4796" spans="1:14" x14ac:dyDescent="0.3">
      <c r="A4796" s="1" t="s">
        <v>4820</v>
      </c>
      <c r="B4796" s="2" t="s">
        <v>19</v>
      </c>
      <c r="C4796" s="2" t="s">
        <v>13</v>
      </c>
      <c r="D4796" s="2">
        <v>2</v>
      </c>
      <c r="E4796" s="2" t="s">
        <v>15</v>
      </c>
      <c r="F4796" s="2" t="s">
        <v>36</v>
      </c>
      <c r="G4796" s="7">
        <v>19.350000000000001</v>
      </c>
      <c r="H4796" s="7">
        <v>46.35</v>
      </c>
      <c r="I4796" s="2" t="s">
        <v>15</v>
      </c>
      <c r="J4796" s="2" t="s">
        <v>15</v>
      </c>
      <c r="K4796" s="2" t="s">
        <v>21</v>
      </c>
      <c r="L4796" s="7">
        <v>46.35</v>
      </c>
      <c r="M4796" s="2" t="str">
        <f>_xlfn.IFS(TelecomData[[#This Row],[TenureMonths]]&lt;=12, "0-1 Year", TelecomData[[#This Row],[TenureMonths]]&lt;=36, "1-3 Years", TelecomData[[#This Row],[TenureMonths]]&gt;36, "3+ Years")</f>
        <v>0-1 Year</v>
      </c>
      <c r="N4796" s="2" t="str">
        <f>IF(TelecomData[[#This Row],[CleanedTotalCharges]]&gt;=2500,"High Spend", "Standard Spend")</f>
        <v>Standard Spend</v>
      </c>
    </row>
    <row r="4797" spans="1:14" x14ac:dyDescent="0.3">
      <c r="A4797" s="1" t="s">
        <v>4821</v>
      </c>
      <c r="B4797" s="2" t="s">
        <v>12</v>
      </c>
      <c r="C4797" s="2" t="s">
        <v>20</v>
      </c>
      <c r="D4797" s="2">
        <v>53</v>
      </c>
      <c r="E4797" s="2" t="s">
        <v>15</v>
      </c>
      <c r="F4797" s="2" t="s">
        <v>36</v>
      </c>
      <c r="G4797" s="7">
        <v>20.8</v>
      </c>
      <c r="H4797" s="7">
        <v>1021.8</v>
      </c>
      <c r="I4797" s="2" t="s">
        <v>16</v>
      </c>
      <c r="J4797" s="2" t="s">
        <v>15</v>
      </c>
      <c r="K4797" s="2" t="s">
        <v>24</v>
      </c>
      <c r="L4797" s="7">
        <v>1021.8</v>
      </c>
      <c r="M4797" s="2" t="str">
        <f>_xlfn.IFS(TelecomData[[#This Row],[TenureMonths]]&lt;=12, "0-1 Year", TelecomData[[#This Row],[TenureMonths]]&lt;=36, "1-3 Years", TelecomData[[#This Row],[TenureMonths]]&gt;36, "3+ Years")</f>
        <v>3+ Years</v>
      </c>
      <c r="N4797" s="2" t="str">
        <f>IF(TelecomData[[#This Row],[CleanedTotalCharges]]&gt;=2500,"High Spend", "Standard Spend")</f>
        <v>Standard Spend</v>
      </c>
    </row>
    <row r="4798" spans="1:14" x14ac:dyDescent="0.3">
      <c r="A4798" s="1" t="s">
        <v>4822</v>
      </c>
      <c r="B4798" s="2" t="s">
        <v>12</v>
      </c>
      <c r="C4798" s="2" t="s">
        <v>20</v>
      </c>
      <c r="D4798" s="2">
        <v>55</v>
      </c>
      <c r="E4798" s="2" t="s">
        <v>26</v>
      </c>
      <c r="F4798" s="2" t="s">
        <v>15</v>
      </c>
      <c r="G4798" s="7">
        <v>94.75</v>
      </c>
      <c r="H4798" s="7">
        <v>5276.1</v>
      </c>
      <c r="I4798" s="2" t="s">
        <v>15</v>
      </c>
      <c r="J4798" s="2" t="s">
        <v>16</v>
      </c>
      <c r="K4798" s="2" t="s">
        <v>17</v>
      </c>
      <c r="L4798" s="7">
        <v>5276.1</v>
      </c>
      <c r="M4798" s="2" t="str">
        <f>_xlfn.IFS(TelecomData[[#This Row],[TenureMonths]]&lt;=12, "0-1 Year", TelecomData[[#This Row],[TenureMonths]]&lt;=36, "1-3 Years", TelecomData[[#This Row],[TenureMonths]]&gt;36, "3+ Years")</f>
        <v>3+ Years</v>
      </c>
      <c r="N4798" s="2" t="str">
        <f>IF(TelecomData[[#This Row],[CleanedTotalCharges]]&gt;=2500,"High Spend", "Standard Spend")</f>
        <v>High Spend</v>
      </c>
    </row>
    <row r="4799" spans="1:14" x14ac:dyDescent="0.3">
      <c r="A4799" s="1" t="s">
        <v>4823</v>
      </c>
      <c r="B4799" s="2" t="s">
        <v>19</v>
      </c>
      <c r="C4799" s="2" t="s">
        <v>35</v>
      </c>
      <c r="D4799" s="2">
        <v>72</v>
      </c>
      <c r="E4799" s="2" t="s">
        <v>26</v>
      </c>
      <c r="F4799" s="2" t="s">
        <v>16</v>
      </c>
      <c r="G4799" s="7">
        <v>114.05</v>
      </c>
      <c r="H4799" s="7">
        <v>8289.2000000000007</v>
      </c>
      <c r="I4799" s="2" t="s">
        <v>15</v>
      </c>
      <c r="J4799" s="2" t="s">
        <v>16</v>
      </c>
      <c r="K4799" s="2" t="s">
        <v>29</v>
      </c>
      <c r="L4799" s="7">
        <v>8289.2000000000007</v>
      </c>
      <c r="M4799" s="2" t="str">
        <f>_xlfn.IFS(TelecomData[[#This Row],[TenureMonths]]&lt;=12, "0-1 Year", TelecomData[[#This Row],[TenureMonths]]&lt;=36, "1-3 Years", TelecomData[[#This Row],[TenureMonths]]&gt;36, "3+ Years")</f>
        <v>3+ Years</v>
      </c>
      <c r="N4799" s="2" t="str">
        <f>IF(TelecomData[[#This Row],[CleanedTotalCharges]]&gt;=2500,"High Spend", "Standard Spend")</f>
        <v>High Spend</v>
      </c>
    </row>
    <row r="4800" spans="1:14" x14ac:dyDescent="0.3">
      <c r="A4800" s="1" t="s">
        <v>4824</v>
      </c>
      <c r="B4800" s="2" t="s">
        <v>12</v>
      </c>
      <c r="C4800" s="2" t="s">
        <v>13</v>
      </c>
      <c r="D4800" s="2">
        <v>36</v>
      </c>
      <c r="E4800" s="2" t="s">
        <v>26</v>
      </c>
      <c r="F4800" s="2" t="s">
        <v>15</v>
      </c>
      <c r="G4800" s="7">
        <v>74.900000000000006</v>
      </c>
      <c r="H4800" s="7">
        <v>2659.45</v>
      </c>
      <c r="I4800" s="2" t="s">
        <v>15</v>
      </c>
      <c r="J4800" s="2" t="s">
        <v>16</v>
      </c>
      <c r="K4800" s="2" t="s">
        <v>24</v>
      </c>
      <c r="L4800" s="7">
        <v>2659.45</v>
      </c>
      <c r="M4800" s="2" t="str">
        <f>_xlfn.IFS(TelecomData[[#This Row],[TenureMonths]]&lt;=12, "0-1 Year", TelecomData[[#This Row],[TenureMonths]]&lt;=36, "1-3 Years", TelecomData[[#This Row],[TenureMonths]]&gt;36, "3+ Years")</f>
        <v>1-3 Years</v>
      </c>
      <c r="N4800" s="2" t="str">
        <f>IF(TelecomData[[#This Row],[CleanedTotalCharges]]&gt;=2500,"High Spend", "Standard Spend")</f>
        <v>High Spend</v>
      </c>
    </row>
    <row r="4801" spans="1:14" x14ac:dyDescent="0.3">
      <c r="A4801" s="1" t="s">
        <v>4825</v>
      </c>
      <c r="B4801" s="2" t="s">
        <v>12</v>
      </c>
      <c r="C4801" s="2" t="s">
        <v>13</v>
      </c>
      <c r="D4801" s="2">
        <v>10</v>
      </c>
      <c r="E4801" s="2" t="s">
        <v>15</v>
      </c>
      <c r="F4801" s="2" t="s">
        <v>36</v>
      </c>
      <c r="G4801" s="7">
        <v>19.8</v>
      </c>
      <c r="H4801" s="7">
        <v>196.75</v>
      </c>
      <c r="I4801" s="2" t="s">
        <v>15</v>
      </c>
      <c r="J4801" s="2" t="s">
        <v>16</v>
      </c>
      <c r="K4801" s="2" t="s">
        <v>24</v>
      </c>
      <c r="L4801" s="7">
        <v>196.75</v>
      </c>
      <c r="M4801" s="2" t="str">
        <f>_xlfn.IFS(TelecomData[[#This Row],[TenureMonths]]&lt;=12, "0-1 Year", TelecomData[[#This Row],[TenureMonths]]&lt;=36, "1-3 Years", TelecomData[[#This Row],[TenureMonths]]&gt;36, "3+ Years")</f>
        <v>0-1 Year</v>
      </c>
      <c r="N4801" s="2" t="str">
        <f>IF(TelecomData[[#This Row],[CleanedTotalCharges]]&gt;=2500,"High Spend", "Standard Spend")</f>
        <v>Standard Spend</v>
      </c>
    </row>
    <row r="4802" spans="1:14" x14ac:dyDescent="0.3">
      <c r="A4802" s="1" t="s">
        <v>4826</v>
      </c>
      <c r="B4802" s="2" t="s">
        <v>19</v>
      </c>
      <c r="C4802" s="2" t="s">
        <v>13</v>
      </c>
      <c r="D4802" s="2">
        <v>1</v>
      </c>
      <c r="E4802" s="2" t="s">
        <v>26</v>
      </c>
      <c r="F4802" s="2" t="s">
        <v>15</v>
      </c>
      <c r="G4802" s="7">
        <v>94</v>
      </c>
      <c r="H4802" s="7">
        <v>94</v>
      </c>
      <c r="I4802" s="2" t="s">
        <v>16</v>
      </c>
      <c r="J4802" s="2" t="s">
        <v>16</v>
      </c>
      <c r="K4802" s="2" t="s">
        <v>17</v>
      </c>
      <c r="L4802" s="7">
        <v>94</v>
      </c>
      <c r="M4802" s="2" t="str">
        <f>_xlfn.IFS(TelecomData[[#This Row],[TenureMonths]]&lt;=12, "0-1 Year", TelecomData[[#This Row],[TenureMonths]]&lt;=36, "1-3 Years", TelecomData[[#This Row],[TenureMonths]]&gt;36, "3+ Years")</f>
        <v>0-1 Year</v>
      </c>
      <c r="N4802" s="2" t="str">
        <f>IF(TelecomData[[#This Row],[CleanedTotalCharges]]&gt;=2500,"High Spend", "Standard Spend")</f>
        <v>Standard Spend</v>
      </c>
    </row>
    <row r="4803" spans="1:14" x14ac:dyDescent="0.3">
      <c r="A4803" s="1" t="s">
        <v>4827</v>
      </c>
      <c r="B4803" s="2" t="s">
        <v>12</v>
      </c>
      <c r="C4803" s="2" t="s">
        <v>35</v>
      </c>
      <c r="D4803" s="2">
        <v>72</v>
      </c>
      <c r="E4803" s="2" t="s">
        <v>14</v>
      </c>
      <c r="F4803" s="2" t="s">
        <v>16</v>
      </c>
      <c r="G4803" s="7">
        <v>80.849999999999994</v>
      </c>
      <c r="H4803" s="7">
        <v>5824.75</v>
      </c>
      <c r="I4803" s="2" t="s">
        <v>15</v>
      </c>
      <c r="J4803" s="2" t="s">
        <v>15</v>
      </c>
      <c r="K4803" s="2" t="s">
        <v>24</v>
      </c>
      <c r="L4803" s="7">
        <v>5824.75</v>
      </c>
      <c r="M4803" s="2" t="str">
        <f>_xlfn.IFS(TelecomData[[#This Row],[TenureMonths]]&lt;=12, "0-1 Year", TelecomData[[#This Row],[TenureMonths]]&lt;=36, "1-3 Years", TelecomData[[#This Row],[TenureMonths]]&gt;36, "3+ Years")</f>
        <v>3+ Years</v>
      </c>
      <c r="N4803" s="2" t="str">
        <f>IF(TelecomData[[#This Row],[CleanedTotalCharges]]&gt;=2500,"High Spend", "Standard Spend")</f>
        <v>High Spend</v>
      </c>
    </row>
    <row r="4804" spans="1:14" x14ac:dyDescent="0.3">
      <c r="A4804" s="1" t="s">
        <v>4828</v>
      </c>
      <c r="B4804" s="2" t="s">
        <v>12</v>
      </c>
      <c r="C4804" s="2" t="s">
        <v>13</v>
      </c>
      <c r="D4804" s="2">
        <v>28</v>
      </c>
      <c r="E4804" s="2" t="s">
        <v>14</v>
      </c>
      <c r="F4804" s="2" t="s">
        <v>16</v>
      </c>
      <c r="G4804" s="7">
        <v>54.65</v>
      </c>
      <c r="H4804" s="7">
        <v>1517.5</v>
      </c>
      <c r="I4804" s="2" t="s">
        <v>15</v>
      </c>
      <c r="J4804" s="2" t="s">
        <v>15</v>
      </c>
      <c r="K4804" s="2" t="s">
        <v>24</v>
      </c>
      <c r="L4804" s="7">
        <v>1517.5</v>
      </c>
      <c r="M4804" s="2" t="str">
        <f>_xlfn.IFS(TelecomData[[#This Row],[TenureMonths]]&lt;=12, "0-1 Year", TelecomData[[#This Row],[TenureMonths]]&lt;=36, "1-3 Years", TelecomData[[#This Row],[TenureMonths]]&gt;36, "3+ Years")</f>
        <v>1-3 Years</v>
      </c>
      <c r="N4804" s="2" t="str">
        <f>IF(TelecomData[[#This Row],[CleanedTotalCharges]]&gt;=2500,"High Spend", "Standard Spend")</f>
        <v>Standard Spend</v>
      </c>
    </row>
    <row r="4805" spans="1:14" x14ac:dyDescent="0.3">
      <c r="A4805" s="1" t="s">
        <v>4829</v>
      </c>
      <c r="B4805" s="2" t="s">
        <v>19</v>
      </c>
      <c r="C4805" s="2" t="s">
        <v>13</v>
      </c>
      <c r="D4805" s="2">
        <v>38</v>
      </c>
      <c r="E4805" s="2" t="s">
        <v>26</v>
      </c>
      <c r="F4805" s="2" t="s">
        <v>15</v>
      </c>
      <c r="G4805" s="7">
        <v>91.7</v>
      </c>
      <c r="H4805" s="7">
        <v>3479.05</v>
      </c>
      <c r="I4805" s="2" t="s">
        <v>15</v>
      </c>
      <c r="J4805" s="2" t="s">
        <v>15</v>
      </c>
      <c r="K4805" s="2" t="s">
        <v>24</v>
      </c>
      <c r="L4805" s="7">
        <v>3479.05</v>
      </c>
      <c r="M4805" s="2" t="str">
        <f>_xlfn.IFS(TelecomData[[#This Row],[TenureMonths]]&lt;=12, "0-1 Year", TelecomData[[#This Row],[TenureMonths]]&lt;=36, "1-3 Years", TelecomData[[#This Row],[TenureMonths]]&gt;36, "3+ Years")</f>
        <v>3+ Years</v>
      </c>
      <c r="N4805" s="2" t="str">
        <f>IF(TelecomData[[#This Row],[CleanedTotalCharges]]&gt;=2500,"High Spend", "Standard Spend")</f>
        <v>High Spend</v>
      </c>
    </row>
    <row r="4806" spans="1:14" x14ac:dyDescent="0.3">
      <c r="A4806" s="1" t="s">
        <v>4830</v>
      </c>
      <c r="B4806" s="2" t="s">
        <v>12</v>
      </c>
      <c r="C4806" s="2" t="s">
        <v>20</v>
      </c>
      <c r="D4806" s="2">
        <v>61</v>
      </c>
      <c r="E4806" s="2" t="s">
        <v>26</v>
      </c>
      <c r="F4806" s="2" t="s">
        <v>16</v>
      </c>
      <c r="G4806" s="7">
        <v>118.6</v>
      </c>
      <c r="H4806" s="7">
        <v>7365.7</v>
      </c>
      <c r="I4806" s="2" t="s">
        <v>15</v>
      </c>
      <c r="J4806" s="2" t="s">
        <v>16</v>
      </c>
      <c r="K4806" s="2" t="s">
        <v>17</v>
      </c>
      <c r="L4806" s="7">
        <v>7365.7</v>
      </c>
      <c r="M4806" s="2" t="str">
        <f>_xlfn.IFS(TelecomData[[#This Row],[TenureMonths]]&lt;=12, "0-1 Year", TelecomData[[#This Row],[TenureMonths]]&lt;=36, "1-3 Years", TelecomData[[#This Row],[TenureMonths]]&gt;36, "3+ Years")</f>
        <v>3+ Years</v>
      </c>
      <c r="N4806" s="2" t="str">
        <f>IF(TelecomData[[#This Row],[CleanedTotalCharges]]&gt;=2500,"High Spend", "Standard Spend")</f>
        <v>High Spend</v>
      </c>
    </row>
    <row r="4807" spans="1:14" x14ac:dyDescent="0.3">
      <c r="A4807" s="1" t="s">
        <v>4831</v>
      </c>
      <c r="B4807" s="2" t="s">
        <v>19</v>
      </c>
      <c r="C4807" s="2" t="s">
        <v>35</v>
      </c>
      <c r="D4807" s="2">
        <v>52</v>
      </c>
      <c r="E4807" s="2" t="s">
        <v>15</v>
      </c>
      <c r="F4807" s="2" t="s">
        <v>36</v>
      </c>
      <c r="G4807" s="7">
        <v>24.55</v>
      </c>
      <c r="H4807" s="7">
        <v>1331.05</v>
      </c>
      <c r="I4807" s="2" t="s">
        <v>15</v>
      </c>
      <c r="J4807" s="2" t="s">
        <v>15</v>
      </c>
      <c r="K4807" s="2" t="s">
        <v>21</v>
      </c>
      <c r="L4807" s="7">
        <v>1331.05</v>
      </c>
      <c r="M4807" s="2" t="str">
        <f>_xlfn.IFS(TelecomData[[#This Row],[TenureMonths]]&lt;=12, "0-1 Year", TelecomData[[#This Row],[TenureMonths]]&lt;=36, "1-3 Years", TelecomData[[#This Row],[TenureMonths]]&gt;36, "3+ Years")</f>
        <v>3+ Years</v>
      </c>
      <c r="N4807" s="2" t="str">
        <f>IF(TelecomData[[#This Row],[CleanedTotalCharges]]&gt;=2500,"High Spend", "Standard Spend")</f>
        <v>Standard Spend</v>
      </c>
    </row>
    <row r="4808" spans="1:14" x14ac:dyDescent="0.3">
      <c r="A4808" s="1" t="s">
        <v>4832</v>
      </c>
      <c r="B4808" s="2" t="s">
        <v>19</v>
      </c>
      <c r="C4808" s="2" t="s">
        <v>20</v>
      </c>
      <c r="D4808" s="2">
        <v>67</v>
      </c>
      <c r="E4808" s="2" t="s">
        <v>15</v>
      </c>
      <c r="F4808" s="2" t="s">
        <v>36</v>
      </c>
      <c r="G4808" s="7">
        <v>19.45</v>
      </c>
      <c r="H4808" s="7">
        <v>1195.95</v>
      </c>
      <c r="I4808" s="2" t="s">
        <v>15</v>
      </c>
      <c r="J4808" s="2" t="s">
        <v>16</v>
      </c>
      <c r="K4808" s="2" t="s">
        <v>21</v>
      </c>
      <c r="L4808" s="7">
        <v>1195.95</v>
      </c>
      <c r="M4808" s="2" t="str">
        <f>_xlfn.IFS(TelecomData[[#This Row],[TenureMonths]]&lt;=12, "0-1 Year", TelecomData[[#This Row],[TenureMonths]]&lt;=36, "1-3 Years", TelecomData[[#This Row],[TenureMonths]]&gt;36, "3+ Years")</f>
        <v>3+ Years</v>
      </c>
      <c r="N4808" s="2" t="str">
        <f>IF(TelecomData[[#This Row],[CleanedTotalCharges]]&gt;=2500,"High Spend", "Standard Spend")</f>
        <v>Standard Spend</v>
      </c>
    </row>
    <row r="4809" spans="1:14" x14ac:dyDescent="0.3">
      <c r="A4809" s="1" t="s">
        <v>4833</v>
      </c>
      <c r="B4809" s="2" t="s">
        <v>12</v>
      </c>
      <c r="C4809" s="2" t="s">
        <v>35</v>
      </c>
      <c r="D4809" s="2">
        <v>34</v>
      </c>
      <c r="E4809" s="2" t="s">
        <v>26</v>
      </c>
      <c r="F4809" s="2" t="s">
        <v>16</v>
      </c>
      <c r="G4809" s="7">
        <v>116.15</v>
      </c>
      <c r="H4809" s="7">
        <v>3946.9</v>
      </c>
      <c r="I4809" s="2" t="s">
        <v>15</v>
      </c>
      <c r="J4809" s="2" t="s">
        <v>16</v>
      </c>
      <c r="K4809" s="2" t="s">
        <v>29</v>
      </c>
      <c r="L4809" s="7">
        <v>3946.9</v>
      </c>
      <c r="M4809" s="2" t="str">
        <f>_xlfn.IFS(TelecomData[[#This Row],[TenureMonths]]&lt;=12, "0-1 Year", TelecomData[[#This Row],[TenureMonths]]&lt;=36, "1-3 Years", TelecomData[[#This Row],[TenureMonths]]&gt;36, "3+ Years")</f>
        <v>1-3 Years</v>
      </c>
      <c r="N4809" s="2" t="str">
        <f>IF(TelecomData[[#This Row],[CleanedTotalCharges]]&gt;=2500,"High Spend", "Standard Spend")</f>
        <v>High Spend</v>
      </c>
    </row>
    <row r="4810" spans="1:14" x14ac:dyDescent="0.3">
      <c r="A4810" s="1" t="s">
        <v>4834</v>
      </c>
      <c r="B4810" s="2" t="s">
        <v>12</v>
      </c>
      <c r="C4810" s="2" t="s">
        <v>35</v>
      </c>
      <c r="D4810" s="2">
        <v>54</v>
      </c>
      <c r="E4810" s="2" t="s">
        <v>14</v>
      </c>
      <c r="F4810" s="2" t="s">
        <v>16</v>
      </c>
      <c r="G4810" s="7">
        <v>80.599999999999994</v>
      </c>
      <c r="H4810" s="7">
        <v>4299.95</v>
      </c>
      <c r="I4810" s="2" t="s">
        <v>15</v>
      </c>
      <c r="J4810" s="2" t="s">
        <v>15</v>
      </c>
      <c r="K4810" s="2" t="s">
        <v>17</v>
      </c>
      <c r="L4810" s="7">
        <v>4299.95</v>
      </c>
      <c r="M4810" s="2" t="str">
        <f>_xlfn.IFS(TelecomData[[#This Row],[TenureMonths]]&lt;=12, "0-1 Year", TelecomData[[#This Row],[TenureMonths]]&lt;=36, "1-3 Years", TelecomData[[#This Row],[TenureMonths]]&gt;36, "3+ Years")</f>
        <v>3+ Years</v>
      </c>
      <c r="N4810" s="2" t="str">
        <f>IF(TelecomData[[#This Row],[CleanedTotalCharges]]&gt;=2500,"High Spend", "Standard Spend")</f>
        <v>High Spend</v>
      </c>
    </row>
    <row r="4811" spans="1:14" x14ac:dyDescent="0.3">
      <c r="A4811" s="1" t="s">
        <v>4835</v>
      </c>
      <c r="B4811" s="2" t="s">
        <v>12</v>
      </c>
      <c r="C4811" s="2" t="s">
        <v>13</v>
      </c>
      <c r="D4811" s="2">
        <v>1</v>
      </c>
      <c r="E4811" s="2" t="s">
        <v>15</v>
      </c>
      <c r="F4811" s="2" t="s">
        <v>36</v>
      </c>
      <c r="G4811" s="7">
        <v>20.3</v>
      </c>
      <c r="H4811" s="7">
        <v>20.3</v>
      </c>
      <c r="I4811" s="2" t="s">
        <v>15</v>
      </c>
      <c r="J4811" s="2" t="s">
        <v>16</v>
      </c>
      <c r="K4811" s="2" t="s">
        <v>24</v>
      </c>
      <c r="L4811" s="7">
        <v>20.3</v>
      </c>
      <c r="M4811" s="2" t="str">
        <f>_xlfn.IFS(TelecomData[[#This Row],[TenureMonths]]&lt;=12, "0-1 Year", TelecomData[[#This Row],[TenureMonths]]&lt;=36, "1-3 Years", TelecomData[[#This Row],[TenureMonths]]&gt;36, "3+ Years")</f>
        <v>0-1 Year</v>
      </c>
      <c r="N4811" s="2" t="str">
        <f>IF(TelecomData[[#This Row],[CleanedTotalCharges]]&gt;=2500,"High Spend", "Standard Spend")</f>
        <v>Standard Spend</v>
      </c>
    </row>
    <row r="4812" spans="1:14" x14ac:dyDescent="0.3">
      <c r="A4812" s="1" t="s">
        <v>4836</v>
      </c>
      <c r="B4812" s="2" t="s">
        <v>12</v>
      </c>
      <c r="C4812" s="2" t="s">
        <v>13</v>
      </c>
      <c r="D4812" s="2">
        <v>15</v>
      </c>
      <c r="E4812" s="2" t="s">
        <v>26</v>
      </c>
      <c r="F4812" s="2" t="s">
        <v>15</v>
      </c>
      <c r="G4812" s="7">
        <v>89.85</v>
      </c>
      <c r="H4812" s="7">
        <v>1424.95</v>
      </c>
      <c r="I4812" s="2" t="s">
        <v>16</v>
      </c>
      <c r="J4812" s="2" t="s">
        <v>15</v>
      </c>
      <c r="K4812" s="2" t="s">
        <v>17</v>
      </c>
      <c r="L4812" s="7">
        <v>1424.95</v>
      </c>
      <c r="M4812" s="2" t="str">
        <f>_xlfn.IFS(TelecomData[[#This Row],[TenureMonths]]&lt;=12, "0-1 Year", TelecomData[[#This Row],[TenureMonths]]&lt;=36, "1-3 Years", TelecomData[[#This Row],[TenureMonths]]&gt;36, "3+ Years")</f>
        <v>1-3 Years</v>
      </c>
      <c r="N4812" s="2" t="str">
        <f>IF(TelecomData[[#This Row],[CleanedTotalCharges]]&gt;=2500,"High Spend", "Standard Spend")</f>
        <v>Standard Spend</v>
      </c>
    </row>
    <row r="4813" spans="1:14" x14ac:dyDescent="0.3">
      <c r="A4813" s="1" t="s">
        <v>4837</v>
      </c>
      <c r="B4813" s="2" t="s">
        <v>12</v>
      </c>
      <c r="C4813" s="2" t="s">
        <v>13</v>
      </c>
      <c r="D4813" s="2">
        <v>4</v>
      </c>
      <c r="E4813" s="2" t="s">
        <v>14</v>
      </c>
      <c r="F4813" s="2" t="s">
        <v>15</v>
      </c>
      <c r="G4813" s="7">
        <v>46</v>
      </c>
      <c r="H4813" s="7">
        <v>193.6</v>
      </c>
      <c r="I4813" s="2" t="s">
        <v>16</v>
      </c>
      <c r="J4813" s="2" t="s">
        <v>16</v>
      </c>
      <c r="K4813" s="2" t="s">
        <v>21</v>
      </c>
      <c r="L4813" s="7">
        <v>193.6</v>
      </c>
      <c r="M4813" s="2" t="str">
        <f>_xlfn.IFS(TelecomData[[#This Row],[TenureMonths]]&lt;=12, "0-1 Year", TelecomData[[#This Row],[TenureMonths]]&lt;=36, "1-3 Years", TelecomData[[#This Row],[TenureMonths]]&gt;36, "3+ Years")</f>
        <v>0-1 Year</v>
      </c>
      <c r="N4813" s="2" t="str">
        <f>IF(TelecomData[[#This Row],[CleanedTotalCharges]]&gt;=2500,"High Spend", "Standard Spend")</f>
        <v>Standard Spend</v>
      </c>
    </row>
    <row r="4814" spans="1:14" x14ac:dyDescent="0.3">
      <c r="A4814" s="1" t="s">
        <v>4838</v>
      </c>
      <c r="B4814" s="2" t="s">
        <v>12</v>
      </c>
      <c r="C4814" s="2" t="s">
        <v>13</v>
      </c>
      <c r="D4814" s="2">
        <v>9</v>
      </c>
      <c r="E4814" s="2" t="s">
        <v>14</v>
      </c>
      <c r="F4814" s="2" t="s">
        <v>16</v>
      </c>
      <c r="G4814" s="7">
        <v>66.25</v>
      </c>
      <c r="H4814" s="7">
        <v>620.54999999999995</v>
      </c>
      <c r="I4814" s="2" t="s">
        <v>16</v>
      </c>
      <c r="J4814" s="2" t="s">
        <v>15</v>
      </c>
      <c r="K4814" s="2" t="s">
        <v>21</v>
      </c>
      <c r="L4814" s="7">
        <v>620.54999999999995</v>
      </c>
      <c r="M4814" s="2" t="str">
        <f>_xlfn.IFS(TelecomData[[#This Row],[TenureMonths]]&lt;=12, "0-1 Year", TelecomData[[#This Row],[TenureMonths]]&lt;=36, "1-3 Years", TelecomData[[#This Row],[TenureMonths]]&gt;36, "3+ Years")</f>
        <v>0-1 Year</v>
      </c>
      <c r="N4814" s="2" t="str">
        <f>IF(TelecomData[[#This Row],[CleanedTotalCharges]]&gt;=2500,"High Spend", "Standard Spend")</f>
        <v>Standard Spend</v>
      </c>
    </row>
    <row r="4815" spans="1:14" x14ac:dyDescent="0.3">
      <c r="A4815" s="1" t="s">
        <v>4839</v>
      </c>
      <c r="B4815" s="2" t="s">
        <v>12</v>
      </c>
      <c r="C4815" s="2" t="s">
        <v>13</v>
      </c>
      <c r="D4815" s="2">
        <v>46</v>
      </c>
      <c r="E4815" s="2" t="s">
        <v>26</v>
      </c>
      <c r="F4815" s="2" t="s">
        <v>15</v>
      </c>
      <c r="G4815" s="7">
        <v>99.8</v>
      </c>
      <c r="H4815" s="7">
        <v>4391.25</v>
      </c>
      <c r="I4815" s="2" t="s">
        <v>15</v>
      </c>
      <c r="J4815" s="2" t="s">
        <v>16</v>
      </c>
      <c r="K4815" s="2" t="s">
        <v>17</v>
      </c>
      <c r="L4815" s="7">
        <v>4391.25</v>
      </c>
      <c r="M4815" s="2" t="str">
        <f>_xlfn.IFS(TelecomData[[#This Row],[TenureMonths]]&lt;=12, "0-1 Year", TelecomData[[#This Row],[TenureMonths]]&lt;=36, "1-3 Years", TelecomData[[#This Row],[TenureMonths]]&gt;36, "3+ Years")</f>
        <v>3+ Years</v>
      </c>
      <c r="N4815" s="2" t="str">
        <f>IF(TelecomData[[#This Row],[CleanedTotalCharges]]&gt;=2500,"High Spend", "Standard Spend")</f>
        <v>High Spend</v>
      </c>
    </row>
    <row r="4816" spans="1:14" x14ac:dyDescent="0.3">
      <c r="A4816" s="1" t="s">
        <v>4840</v>
      </c>
      <c r="B4816" s="2" t="s">
        <v>12</v>
      </c>
      <c r="C4816" s="2" t="s">
        <v>13</v>
      </c>
      <c r="D4816" s="2">
        <v>22</v>
      </c>
      <c r="E4816" s="2" t="s">
        <v>26</v>
      </c>
      <c r="F4816" s="2" t="s">
        <v>16</v>
      </c>
      <c r="G4816" s="7">
        <v>90</v>
      </c>
      <c r="H4816" s="7">
        <v>1993.8</v>
      </c>
      <c r="I4816" s="2" t="s">
        <v>16</v>
      </c>
      <c r="J4816" s="2" t="s">
        <v>16</v>
      </c>
      <c r="K4816" s="2" t="s">
        <v>17</v>
      </c>
      <c r="L4816" s="7">
        <v>1993.8</v>
      </c>
      <c r="M4816" s="2" t="str">
        <f>_xlfn.IFS(TelecomData[[#This Row],[TenureMonths]]&lt;=12, "0-1 Year", TelecomData[[#This Row],[TenureMonths]]&lt;=36, "1-3 Years", TelecomData[[#This Row],[TenureMonths]]&gt;36, "3+ Years")</f>
        <v>1-3 Years</v>
      </c>
      <c r="N4816" s="2" t="str">
        <f>IF(TelecomData[[#This Row],[CleanedTotalCharges]]&gt;=2500,"High Spend", "Standard Spend")</f>
        <v>Standard Spend</v>
      </c>
    </row>
    <row r="4817" spans="1:14" x14ac:dyDescent="0.3">
      <c r="A4817" s="1" t="s">
        <v>4841</v>
      </c>
      <c r="B4817" s="2" t="s">
        <v>19</v>
      </c>
      <c r="C4817" s="2" t="s">
        <v>20</v>
      </c>
      <c r="D4817" s="2">
        <v>38</v>
      </c>
      <c r="E4817" s="2" t="s">
        <v>26</v>
      </c>
      <c r="F4817" s="2" t="s">
        <v>15</v>
      </c>
      <c r="G4817" s="7">
        <v>70.45</v>
      </c>
      <c r="H4817" s="7">
        <v>2597.6</v>
      </c>
      <c r="I4817" s="2" t="s">
        <v>16</v>
      </c>
      <c r="J4817" s="2" t="s">
        <v>16</v>
      </c>
      <c r="K4817" s="2" t="s">
        <v>24</v>
      </c>
      <c r="L4817" s="7">
        <v>2597.6</v>
      </c>
      <c r="M4817" s="2" t="str">
        <f>_xlfn.IFS(TelecomData[[#This Row],[TenureMonths]]&lt;=12, "0-1 Year", TelecomData[[#This Row],[TenureMonths]]&lt;=36, "1-3 Years", TelecomData[[#This Row],[TenureMonths]]&gt;36, "3+ Years")</f>
        <v>3+ Years</v>
      </c>
      <c r="N4817" s="2" t="str">
        <f>IF(TelecomData[[#This Row],[CleanedTotalCharges]]&gt;=2500,"High Spend", "Standard Spend")</f>
        <v>High Spend</v>
      </c>
    </row>
    <row r="4818" spans="1:14" x14ac:dyDescent="0.3">
      <c r="A4818" s="1" t="s">
        <v>4842</v>
      </c>
      <c r="B4818" s="2" t="s">
        <v>12</v>
      </c>
      <c r="C4818" s="2" t="s">
        <v>20</v>
      </c>
      <c r="D4818" s="2">
        <v>55</v>
      </c>
      <c r="E4818" s="2" t="s">
        <v>14</v>
      </c>
      <c r="F4818" s="2" t="s">
        <v>16</v>
      </c>
      <c r="G4818" s="7">
        <v>75</v>
      </c>
      <c r="H4818" s="7">
        <v>4213.8999999999996</v>
      </c>
      <c r="I4818" s="2" t="s">
        <v>15</v>
      </c>
      <c r="J4818" s="2" t="s">
        <v>16</v>
      </c>
      <c r="K4818" s="2" t="s">
        <v>29</v>
      </c>
      <c r="L4818" s="7">
        <v>4213.8999999999996</v>
      </c>
      <c r="M4818" s="2" t="str">
        <f>_xlfn.IFS(TelecomData[[#This Row],[TenureMonths]]&lt;=12, "0-1 Year", TelecomData[[#This Row],[TenureMonths]]&lt;=36, "1-3 Years", TelecomData[[#This Row],[TenureMonths]]&gt;36, "3+ Years")</f>
        <v>3+ Years</v>
      </c>
      <c r="N4818" s="2" t="str">
        <f>IF(TelecomData[[#This Row],[CleanedTotalCharges]]&gt;=2500,"High Spend", "Standard Spend")</f>
        <v>High Spend</v>
      </c>
    </row>
    <row r="4819" spans="1:14" x14ac:dyDescent="0.3">
      <c r="A4819" s="1" t="s">
        <v>4843</v>
      </c>
      <c r="B4819" s="2" t="s">
        <v>12</v>
      </c>
      <c r="C4819" s="2" t="s">
        <v>13</v>
      </c>
      <c r="D4819" s="2">
        <v>1</v>
      </c>
      <c r="E4819" s="2" t="s">
        <v>15</v>
      </c>
      <c r="F4819" s="2" t="s">
        <v>36</v>
      </c>
      <c r="G4819" s="7">
        <v>19.899999999999999</v>
      </c>
      <c r="H4819" s="7">
        <v>19.899999999999999</v>
      </c>
      <c r="I4819" s="2" t="s">
        <v>15</v>
      </c>
      <c r="J4819" s="2" t="s">
        <v>15</v>
      </c>
      <c r="K4819" s="2" t="s">
        <v>21</v>
      </c>
      <c r="L4819" s="7">
        <v>19.899999999999999</v>
      </c>
      <c r="M4819" s="2" t="str">
        <f>_xlfn.IFS(TelecomData[[#This Row],[TenureMonths]]&lt;=12, "0-1 Year", TelecomData[[#This Row],[TenureMonths]]&lt;=36, "1-3 Years", TelecomData[[#This Row],[TenureMonths]]&gt;36, "3+ Years")</f>
        <v>0-1 Year</v>
      </c>
      <c r="N4819" s="2" t="str">
        <f>IF(TelecomData[[#This Row],[CleanedTotalCharges]]&gt;=2500,"High Spend", "Standard Spend")</f>
        <v>Standard Spend</v>
      </c>
    </row>
    <row r="4820" spans="1:14" x14ac:dyDescent="0.3">
      <c r="A4820" s="1" t="s">
        <v>4844</v>
      </c>
      <c r="B4820" s="2" t="s">
        <v>19</v>
      </c>
      <c r="C4820" s="2" t="s">
        <v>20</v>
      </c>
      <c r="D4820" s="2">
        <v>64</v>
      </c>
      <c r="E4820" s="2" t="s">
        <v>26</v>
      </c>
      <c r="F4820" s="2" t="s">
        <v>15</v>
      </c>
      <c r="G4820" s="7">
        <v>80.3</v>
      </c>
      <c r="H4820" s="7">
        <v>5017.7</v>
      </c>
      <c r="I4820" s="2" t="s">
        <v>15</v>
      </c>
      <c r="J4820" s="2" t="s">
        <v>15</v>
      </c>
      <c r="K4820" s="2" t="s">
        <v>29</v>
      </c>
      <c r="L4820" s="7">
        <v>5017.7</v>
      </c>
      <c r="M4820" s="2" t="str">
        <f>_xlfn.IFS(TelecomData[[#This Row],[TenureMonths]]&lt;=12, "0-1 Year", TelecomData[[#This Row],[TenureMonths]]&lt;=36, "1-3 Years", TelecomData[[#This Row],[TenureMonths]]&gt;36, "3+ Years")</f>
        <v>3+ Years</v>
      </c>
      <c r="N4820" s="2" t="str">
        <f>IF(TelecomData[[#This Row],[CleanedTotalCharges]]&gt;=2500,"High Spend", "Standard Spend")</f>
        <v>High Spend</v>
      </c>
    </row>
    <row r="4821" spans="1:14" x14ac:dyDescent="0.3">
      <c r="A4821" s="1" t="s">
        <v>4845</v>
      </c>
      <c r="B4821" s="2" t="s">
        <v>19</v>
      </c>
      <c r="C4821" s="2" t="s">
        <v>35</v>
      </c>
      <c r="D4821" s="2">
        <v>53</v>
      </c>
      <c r="E4821" s="2" t="s">
        <v>15</v>
      </c>
      <c r="F4821" s="2" t="s">
        <v>36</v>
      </c>
      <c r="G4821" s="7">
        <v>19.75</v>
      </c>
      <c r="H4821" s="7">
        <v>1052.3499999999999</v>
      </c>
      <c r="I4821" s="2" t="s">
        <v>16</v>
      </c>
      <c r="J4821" s="2" t="s">
        <v>15</v>
      </c>
      <c r="K4821" s="2" t="s">
        <v>24</v>
      </c>
      <c r="L4821" s="7">
        <v>1052.3499999999999</v>
      </c>
      <c r="M4821" s="2" t="str">
        <f>_xlfn.IFS(TelecomData[[#This Row],[TenureMonths]]&lt;=12, "0-1 Year", TelecomData[[#This Row],[TenureMonths]]&lt;=36, "1-3 Years", TelecomData[[#This Row],[TenureMonths]]&gt;36, "3+ Years")</f>
        <v>3+ Years</v>
      </c>
      <c r="N4821" s="2" t="str">
        <f>IF(TelecomData[[#This Row],[CleanedTotalCharges]]&gt;=2500,"High Spend", "Standard Spend")</f>
        <v>Standard Spend</v>
      </c>
    </row>
    <row r="4822" spans="1:14" x14ac:dyDescent="0.3">
      <c r="A4822" s="1" t="s">
        <v>4846</v>
      </c>
      <c r="B4822" s="2" t="s">
        <v>12</v>
      </c>
      <c r="C4822" s="2" t="s">
        <v>35</v>
      </c>
      <c r="D4822" s="2">
        <v>58</v>
      </c>
      <c r="E4822" s="2" t="s">
        <v>14</v>
      </c>
      <c r="F4822" s="2" t="s">
        <v>16</v>
      </c>
      <c r="G4822" s="7">
        <v>84.3</v>
      </c>
      <c r="H4822" s="7">
        <v>4916.3999999999996</v>
      </c>
      <c r="I4822" s="2" t="s">
        <v>15</v>
      </c>
      <c r="J4822" s="2" t="s">
        <v>16</v>
      </c>
      <c r="K4822" s="2" t="s">
        <v>17</v>
      </c>
      <c r="L4822" s="7">
        <v>4916.3999999999996</v>
      </c>
      <c r="M4822" s="2" t="str">
        <f>_xlfn.IFS(TelecomData[[#This Row],[TenureMonths]]&lt;=12, "0-1 Year", TelecomData[[#This Row],[TenureMonths]]&lt;=36, "1-3 Years", TelecomData[[#This Row],[TenureMonths]]&gt;36, "3+ Years")</f>
        <v>3+ Years</v>
      </c>
      <c r="N4822" s="2" t="str">
        <f>IF(TelecomData[[#This Row],[CleanedTotalCharges]]&gt;=2500,"High Spend", "Standard Spend")</f>
        <v>High Spend</v>
      </c>
    </row>
    <row r="4823" spans="1:14" x14ac:dyDescent="0.3">
      <c r="A4823" s="1" t="s">
        <v>4847</v>
      </c>
      <c r="B4823" s="2" t="s">
        <v>19</v>
      </c>
      <c r="C4823" s="2" t="s">
        <v>20</v>
      </c>
      <c r="D4823" s="2">
        <v>56</v>
      </c>
      <c r="E4823" s="2" t="s">
        <v>14</v>
      </c>
      <c r="F4823" s="2" t="s">
        <v>16</v>
      </c>
      <c r="G4823" s="7">
        <v>54.05</v>
      </c>
      <c r="H4823" s="7">
        <v>2959.8</v>
      </c>
      <c r="I4823" s="2" t="s">
        <v>15</v>
      </c>
      <c r="J4823" s="2" t="s">
        <v>16</v>
      </c>
      <c r="K4823" s="2" t="s">
        <v>24</v>
      </c>
      <c r="L4823" s="7">
        <v>2959.8</v>
      </c>
      <c r="M4823" s="2" t="str">
        <f>_xlfn.IFS(TelecomData[[#This Row],[TenureMonths]]&lt;=12, "0-1 Year", TelecomData[[#This Row],[TenureMonths]]&lt;=36, "1-3 Years", TelecomData[[#This Row],[TenureMonths]]&gt;36, "3+ Years")</f>
        <v>3+ Years</v>
      </c>
      <c r="N4823" s="2" t="str">
        <f>IF(TelecomData[[#This Row],[CleanedTotalCharges]]&gt;=2500,"High Spend", "Standard Spend")</f>
        <v>High Spend</v>
      </c>
    </row>
    <row r="4824" spans="1:14" x14ac:dyDescent="0.3">
      <c r="A4824" s="1" t="s">
        <v>4848</v>
      </c>
      <c r="B4824" s="2" t="s">
        <v>19</v>
      </c>
      <c r="C4824" s="2" t="s">
        <v>35</v>
      </c>
      <c r="D4824" s="2">
        <v>72</v>
      </c>
      <c r="E4824" s="2" t="s">
        <v>26</v>
      </c>
      <c r="F4824" s="2" t="s">
        <v>16</v>
      </c>
      <c r="G4824" s="7">
        <v>104.9</v>
      </c>
      <c r="H4824" s="7">
        <v>7559.55</v>
      </c>
      <c r="I4824" s="2" t="s">
        <v>15</v>
      </c>
      <c r="J4824" s="2" t="s">
        <v>16</v>
      </c>
      <c r="K4824" s="2" t="s">
        <v>29</v>
      </c>
      <c r="L4824" s="7">
        <v>7559.55</v>
      </c>
      <c r="M4824" s="2" t="str">
        <f>_xlfn.IFS(TelecomData[[#This Row],[TenureMonths]]&lt;=12, "0-1 Year", TelecomData[[#This Row],[TenureMonths]]&lt;=36, "1-3 Years", TelecomData[[#This Row],[TenureMonths]]&gt;36, "3+ Years")</f>
        <v>3+ Years</v>
      </c>
      <c r="N4824" s="2" t="str">
        <f>IF(TelecomData[[#This Row],[CleanedTotalCharges]]&gt;=2500,"High Spend", "Standard Spend")</f>
        <v>High Spend</v>
      </c>
    </row>
    <row r="4825" spans="1:14" x14ac:dyDescent="0.3">
      <c r="A4825" s="1" t="s">
        <v>4849</v>
      </c>
      <c r="B4825" s="2" t="s">
        <v>19</v>
      </c>
      <c r="C4825" s="2" t="s">
        <v>13</v>
      </c>
      <c r="D4825" s="2">
        <v>1</v>
      </c>
      <c r="E4825" s="2" t="s">
        <v>14</v>
      </c>
      <c r="F4825" s="2" t="s">
        <v>16</v>
      </c>
      <c r="G4825" s="7">
        <v>53.95</v>
      </c>
      <c r="H4825" s="7">
        <v>53.95</v>
      </c>
      <c r="I4825" s="2" t="s">
        <v>16</v>
      </c>
      <c r="J4825" s="2" t="s">
        <v>16</v>
      </c>
      <c r="K4825" s="2" t="s">
        <v>17</v>
      </c>
      <c r="L4825" s="7">
        <v>53.95</v>
      </c>
      <c r="M4825" s="2" t="str">
        <f>_xlfn.IFS(TelecomData[[#This Row],[TenureMonths]]&lt;=12, "0-1 Year", TelecomData[[#This Row],[TenureMonths]]&lt;=36, "1-3 Years", TelecomData[[#This Row],[TenureMonths]]&gt;36, "3+ Years")</f>
        <v>0-1 Year</v>
      </c>
      <c r="N4825" s="2" t="str">
        <f>IF(TelecomData[[#This Row],[CleanedTotalCharges]]&gt;=2500,"High Spend", "Standard Spend")</f>
        <v>Standard Spend</v>
      </c>
    </row>
    <row r="4826" spans="1:14" x14ac:dyDescent="0.3">
      <c r="A4826" s="1" t="s">
        <v>4850</v>
      </c>
      <c r="B4826" s="2" t="s">
        <v>19</v>
      </c>
      <c r="C4826" s="2" t="s">
        <v>20</v>
      </c>
      <c r="D4826" s="2">
        <v>72</v>
      </c>
      <c r="E4826" s="2" t="s">
        <v>26</v>
      </c>
      <c r="F4826" s="2" t="s">
        <v>15</v>
      </c>
      <c r="G4826" s="7">
        <v>97.25</v>
      </c>
      <c r="H4826" s="7">
        <v>7133.1</v>
      </c>
      <c r="I4826" s="2" t="s">
        <v>15</v>
      </c>
      <c r="J4826" s="2" t="s">
        <v>16</v>
      </c>
      <c r="K4826" s="2" t="s">
        <v>29</v>
      </c>
      <c r="L4826" s="7">
        <v>7133.1</v>
      </c>
      <c r="M4826" s="2" t="str">
        <f>_xlfn.IFS(TelecomData[[#This Row],[TenureMonths]]&lt;=12, "0-1 Year", TelecomData[[#This Row],[TenureMonths]]&lt;=36, "1-3 Years", TelecomData[[#This Row],[TenureMonths]]&gt;36, "3+ Years")</f>
        <v>3+ Years</v>
      </c>
      <c r="N4826" s="2" t="str">
        <f>IF(TelecomData[[#This Row],[CleanedTotalCharges]]&gt;=2500,"High Spend", "Standard Spend")</f>
        <v>High Spend</v>
      </c>
    </row>
    <row r="4827" spans="1:14" x14ac:dyDescent="0.3">
      <c r="A4827" s="1" t="s">
        <v>4851</v>
      </c>
      <c r="B4827" s="2" t="s">
        <v>19</v>
      </c>
      <c r="C4827" s="2" t="s">
        <v>13</v>
      </c>
      <c r="D4827" s="2">
        <v>22</v>
      </c>
      <c r="E4827" s="2" t="s">
        <v>26</v>
      </c>
      <c r="F4827" s="2" t="s">
        <v>15</v>
      </c>
      <c r="G4827" s="7">
        <v>83.05</v>
      </c>
      <c r="H4827" s="7">
        <v>1799.3</v>
      </c>
      <c r="I4827" s="2" t="s">
        <v>15</v>
      </c>
      <c r="J4827" s="2" t="s">
        <v>15</v>
      </c>
      <c r="K4827" s="2" t="s">
        <v>17</v>
      </c>
      <c r="L4827" s="7">
        <v>1799.3</v>
      </c>
      <c r="M4827" s="2" t="str">
        <f>_xlfn.IFS(TelecomData[[#This Row],[TenureMonths]]&lt;=12, "0-1 Year", TelecomData[[#This Row],[TenureMonths]]&lt;=36, "1-3 Years", TelecomData[[#This Row],[TenureMonths]]&gt;36, "3+ Years")</f>
        <v>1-3 Years</v>
      </c>
      <c r="N4827" s="2" t="str">
        <f>IF(TelecomData[[#This Row],[CleanedTotalCharges]]&gt;=2500,"High Spend", "Standard Spend")</f>
        <v>Standard Spend</v>
      </c>
    </row>
    <row r="4828" spans="1:14" x14ac:dyDescent="0.3">
      <c r="A4828" s="1" t="s">
        <v>4852</v>
      </c>
      <c r="B4828" s="2" t="s">
        <v>12</v>
      </c>
      <c r="C4828" s="2" t="s">
        <v>13</v>
      </c>
      <c r="D4828" s="2">
        <v>8</v>
      </c>
      <c r="E4828" s="2" t="s">
        <v>26</v>
      </c>
      <c r="F4828" s="2" t="s">
        <v>15</v>
      </c>
      <c r="G4828" s="7">
        <v>105.5</v>
      </c>
      <c r="H4828" s="7">
        <v>829.55</v>
      </c>
      <c r="I4828" s="2" t="s">
        <v>16</v>
      </c>
      <c r="J4828" s="2" t="s">
        <v>16</v>
      </c>
      <c r="K4828" s="2" t="s">
        <v>17</v>
      </c>
      <c r="L4828" s="7">
        <v>829.55</v>
      </c>
      <c r="M4828" s="2" t="str">
        <f>_xlfn.IFS(TelecomData[[#This Row],[TenureMonths]]&lt;=12, "0-1 Year", TelecomData[[#This Row],[TenureMonths]]&lt;=36, "1-3 Years", TelecomData[[#This Row],[TenureMonths]]&gt;36, "3+ Years")</f>
        <v>0-1 Year</v>
      </c>
      <c r="N4828" s="2" t="str">
        <f>IF(TelecomData[[#This Row],[CleanedTotalCharges]]&gt;=2500,"High Spend", "Standard Spend")</f>
        <v>Standard Spend</v>
      </c>
    </row>
    <row r="4829" spans="1:14" x14ac:dyDescent="0.3">
      <c r="A4829" s="1" t="s">
        <v>4853</v>
      </c>
      <c r="B4829" s="2" t="s">
        <v>12</v>
      </c>
      <c r="C4829" s="2" t="s">
        <v>13</v>
      </c>
      <c r="D4829" s="2">
        <v>16</v>
      </c>
      <c r="E4829" s="2" t="s">
        <v>26</v>
      </c>
      <c r="F4829" s="2" t="s">
        <v>15</v>
      </c>
      <c r="G4829" s="7">
        <v>81</v>
      </c>
      <c r="H4829" s="7">
        <v>1312.15</v>
      </c>
      <c r="I4829" s="2" t="s">
        <v>16</v>
      </c>
      <c r="J4829" s="2" t="s">
        <v>16</v>
      </c>
      <c r="K4829" s="2" t="s">
        <v>17</v>
      </c>
      <c r="L4829" s="7">
        <v>1312.15</v>
      </c>
      <c r="M4829" s="2" t="str">
        <f>_xlfn.IFS(TelecomData[[#This Row],[TenureMonths]]&lt;=12, "0-1 Year", TelecomData[[#This Row],[TenureMonths]]&lt;=36, "1-3 Years", TelecomData[[#This Row],[TenureMonths]]&gt;36, "3+ Years")</f>
        <v>1-3 Years</v>
      </c>
      <c r="N4829" s="2" t="str">
        <f>IF(TelecomData[[#This Row],[CleanedTotalCharges]]&gt;=2500,"High Spend", "Standard Spend")</f>
        <v>Standard Spend</v>
      </c>
    </row>
    <row r="4830" spans="1:14" x14ac:dyDescent="0.3">
      <c r="A4830" s="1" t="s">
        <v>4854</v>
      </c>
      <c r="B4830" s="2" t="s">
        <v>12</v>
      </c>
      <c r="C4830" s="2" t="s">
        <v>13</v>
      </c>
      <c r="D4830" s="2">
        <v>39</v>
      </c>
      <c r="E4830" s="2" t="s">
        <v>14</v>
      </c>
      <c r="F4830" s="2" t="s">
        <v>16</v>
      </c>
      <c r="G4830" s="7">
        <v>41.1</v>
      </c>
      <c r="H4830" s="7">
        <v>1597.05</v>
      </c>
      <c r="I4830" s="2" t="s">
        <v>15</v>
      </c>
      <c r="J4830" s="2" t="s">
        <v>15</v>
      </c>
      <c r="K4830" s="2" t="s">
        <v>24</v>
      </c>
      <c r="L4830" s="7">
        <v>1597.05</v>
      </c>
      <c r="M4830" s="2" t="str">
        <f>_xlfn.IFS(TelecomData[[#This Row],[TenureMonths]]&lt;=12, "0-1 Year", TelecomData[[#This Row],[TenureMonths]]&lt;=36, "1-3 Years", TelecomData[[#This Row],[TenureMonths]]&gt;36, "3+ Years")</f>
        <v>3+ Years</v>
      </c>
      <c r="N4830" s="2" t="str">
        <f>IF(TelecomData[[#This Row],[CleanedTotalCharges]]&gt;=2500,"High Spend", "Standard Spend")</f>
        <v>Standard Spend</v>
      </c>
    </row>
    <row r="4831" spans="1:14" x14ac:dyDescent="0.3">
      <c r="A4831" s="1" t="s">
        <v>4855</v>
      </c>
      <c r="B4831" s="2" t="s">
        <v>12</v>
      </c>
      <c r="C4831" s="2" t="s">
        <v>13</v>
      </c>
      <c r="D4831" s="2">
        <v>12</v>
      </c>
      <c r="E4831" s="2" t="s">
        <v>14</v>
      </c>
      <c r="F4831" s="2" t="s">
        <v>15</v>
      </c>
      <c r="G4831" s="7">
        <v>45</v>
      </c>
      <c r="H4831" s="7">
        <v>524.35</v>
      </c>
      <c r="I4831" s="2" t="s">
        <v>15</v>
      </c>
      <c r="J4831" s="2" t="s">
        <v>16</v>
      </c>
      <c r="K4831" s="2" t="s">
        <v>24</v>
      </c>
      <c r="L4831" s="7">
        <v>524.35</v>
      </c>
      <c r="M4831" s="2" t="str">
        <f>_xlfn.IFS(TelecomData[[#This Row],[TenureMonths]]&lt;=12, "0-1 Year", TelecomData[[#This Row],[TenureMonths]]&lt;=36, "1-3 Years", TelecomData[[#This Row],[TenureMonths]]&gt;36, "3+ Years")</f>
        <v>0-1 Year</v>
      </c>
      <c r="N4831" s="2" t="str">
        <f>IF(TelecomData[[#This Row],[CleanedTotalCharges]]&gt;=2500,"High Spend", "Standard Spend")</f>
        <v>Standard Spend</v>
      </c>
    </row>
    <row r="4832" spans="1:14" x14ac:dyDescent="0.3">
      <c r="A4832" s="1" t="s">
        <v>4856</v>
      </c>
      <c r="B4832" s="2" t="s">
        <v>19</v>
      </c>
      <c r="C4832" s="2" t="s">
        <v>35</v>
      </c>
      <c r="D4832" s="2">
        <v>54</v>
      </c>
      <c r="E4832" s="2" t="s">
        <v>14</v>
      </c>
      <c r="F4832" s="2" t="s">
        <v>15</v>
      </c>
      <c r="G4832" s="7">
        <v>74.55</v>
      </c>
      <c r="H4832" s="7">
        <v>4191.45</v>
      </c>
      <c r="I4832" s="2" t="s">
        <v>15</v>
      </c>
      <c r="J4832" s="2" t="s">
        <v>16</v>
      </c>
      <c r="K4832" s="2" t="s">
        <v>24</v>
      </c>
      <c r="L4832" s="7">
        <v>4191.45</v>
      </c>
      <c r="M4832" s="2" t="str">
        <f>_xlfn.IFS(TelecomData[[#This Row],[TenureMonths]]&lt;=12, "0-1 Year", TelecomData[[#This Row],[TenureMonths]]&lt;=36, "1-3 Years", TelecomData[[#This Row],[TenureMonths]]&gt;36, "3+ Years")</f>
        <v>3+ Years</v>
      </c>
      <c r="N4832" s="2" t="str">
        <f>IF(TelecomData[[#This Row],[CleanedTotalCharges]]&gt;=2500,"High Spend", "Standard Spend")</f>
        <v>High Spend</v>
      </c>
    </row>
    <row r="4833" spans="1:14" x14ac:dyDescent="0.3">
      <c r="A4833" s="1" t="s">
        <v>4857</v>
      </c>
      <c r="B4833" s="2" t="s">
        <v>12</v>
      </c>
      <c r="C4833" s="2" t="s">
        <v>20</v>
      </c>
      <c r="D4833" s="2">
        <v>18</v>
      </c>
      <c r="E4833" s="2" t="s">
        <v>14</v>
      </c>
      <c r="F4833" s="2" t="s">
        <v>16</v>
      </c>
      <c r="G4833" s="7">
        <v>40.200000000000003</v>
      </c>
      <c r="H4833" s="7">
        <v>711.95</v>
      </c>
      <c r="I4833" s="2" t="s">
        <v>15</v>
      </c>
      <c r="J4833" s="2" t="s">
        <v>16</v>
      </c>
      <c r="K4833" s="2" t="s">
        <v>21</v>
      </c>
      <c r="L4833" s="7">
        <v>711.95</v>
      </c>
      <c r="M4833" s="2" t="str">
        <f>_xlfn.IFS(TelecomData[[#This Row],[TenureMonths]]&lt;=12, "0-1 Year", TelecomData[[#This Row],[TenureMonths]]&lt;=36, "1-3 Years", TelecomData[[#This Row],[TenureMonths]]&gt;36, "3+ Years")</f>
        <v>1-3 Years</v>
      </c>
      <c r="N4833" s="2" t="str">
        <f>IF(TelecomData[[#This Row],[CleanedTotalCharges]]&gt;=2500,"High Spend", "Standard Spend")</f>
        <v>Standard Spend</v>
      </c>
    </row>
    <row r="4834" spans="1:14" x14ac:dyDescent="0.3">
      <c r="A4834" s="1" t="s">
        <v>4858</v>
      </c>
      <c r="B4834" s="2" t="s">
        <v>19</v>
      </c>
      <c r="C4834" s="2" t="s">
        <v>20</v>
      </c>
      <c r="D4834" s="2">
        <v>32</v>
      </c>
      <c r="E4834" s="2" t="s">
        <v>14</v>
      </c>
      <c r="F4834" s="2" t="s">
        <v>16</v>
      </c>
      <c r="G4834" s="7">
        <v>70.5</v>
      </c>
      <c r="H4834" s="7">
        <v>2201.75</v>
      </c>
      <c r="I4834" s="2" t="s">
        <v>15</v>
      </c>
      <c r="J4834" s="2" t="s">
        <v>15</v>
      </c>
      <c r="K4834" s="2" t="s">
        <v>21</v>
      </c>
      <c r="L4834" s="7">
        <v>2201.75</v>
      </c>
      <c r="M4834" s="2" t="str">
        <f>_xlfn.IFS(TelecomData[[#This Row],[TenureMonths]]&lt;=12, "0-1 Year", TelecomData[[#This Row],[TenureMonths]]&lt;=36, "1-3 Years", TelecomData[[#This Row],[TenureMonths]]&gt;36, "3+ Years")</f>
        <v>1-3 Years</v>
      </c>
      <c r="N4834" s="2" t="str">
        <f>IF(TelecomData[[#This Row],[CleanedTotalCharges]]&gt;=2500,"High Spend", "Standard Spend")</f>
        <v>Standard Spend</v>
      </c>
    </row>
    <row r="4835" spans="1:14" x14ac:dyDescent="0.3">
      <c r="A4835" s="1" t="s">
        <v>4859</v>
      </c>
      <c r="B4835" s="2" t="s">
        <v>12</v>
      </c>
      <c r="C4835" s="2" t="s">
        <v>20</v>
      </c>
      <c r="D4835" s="2">
        <v>41</v>
      </c>
      <c r="E4835" s="2" t="s">
        <v>15</v>
      </c>
      <c r="F4835" s="2" t="s">
        <v>36</v>
      </c>
      <c r="G4835" s="7">
        <v>19.75</v>
      </c>
      <c r="H4835" s="7">
        <v>806.95</v>
      </c>
      <c r="I4835" s="2" t="s">
        <v>15</v>
      </c>
      <c r="J4835" s="2" t="s">
        <v>16</v>
      </c>
      <c r="K4835" s="2" t="s">
        <v>21</v>
      </c>
      <c r="L4835" s="7">
        <v>806.95</v>
      </c>
      <c r="M4835" s="2" t="str">
        <f>_xlfn.IFS(TelecomData[[#This Row],[TenureMonths]]&lt;=12, "0-1 Year", TelecomData[[#This Row],[TenureMonths]]&lt;=36, "1-3 Years", TelecomData[[#This Row],[TenureMonths]]&gt;36, "3+ Years")</f>
        <v>3+ Years</v>
      </c>
      <c r="N4835" s="2" t="str">
        <f>IF(TelecomData[[#This Row],[CleanedTotalCharges]]&gt;=2500,"High Spend", "Standard Spend")</f>
        <v>Standard Spend</v>
      </c>
    </row>
    <row r="4836" spans="1:14" x14ac:dyDescent="0.3">
      <c r="A4836" s="1" t="s">
        <v>4860</v>
      </c>
      <c r="B4836" s="2" t="s">
        <v>19</v>
      </c>
      <c r="C4836" s="2" t="s">
        <v>35</v>
      </c>
      <c r="D4836" s="2">
        <v>67</v>
      </c>
      <c r="E4836" s="2" t="s">
        <v>15</v>
      </c>
      <c r="F4836" s="2" t="s">
        <v>36</v>
      </c>
      <c r="G4836" s="7">
        <v>24.65</v>
      </c>
      <c r="H4836" s="7">
        <v>1620.45</v>
      </c>
      <c r="I4836" s="2" t="s">
        <v>15</v>
      </c>
      <c r="J4836" s="2" t="s">
        <v>15</v>
      </c>
      <c r="K4836" s="2" t="s">
        <v>24</v>
      </c>
      <c r="L4836" s="7">
        <v>1620.45</v>
      </c>
      <c r="M4836" s="2" t="str">
        <f>_xlfn.IFS(TelecomData[[#This Row],[TenureMonths]]&lt;=12, "0-1 Year", TelecomData[[#This Row],[TenureMonths]]&lt;=36, "1-3 Years", TelecomData[[#This Row],[TenureMonths]]&gt;36, "3+ Years")</f>
        <v>3+ Years</v>
      </c>
      <c r="N4836" s="2" t="str">
        <f>IF(TelecomData[[#This Row],[CleanedTotalCharges]]&gt;=2500,"High Spend", "Standard Spend")</f>
        <v>Standard Spend</v>
      </c>
    </row>
    <row r="4837" spans="1:14" x14ac:dyDescent="0.3">
      <c r="A4837" s="1" t="s">
        <v>4861</v>
      </c>
      <c r="B4837" s="2" t="s">
        <v>19</v>
      </c>
      <c r="C4837" s="2" t="s">
        <v>13</v>
      </c>
      <c r="D4837" s="2">
        <v>65</v>
      </c>
      <c r="E4837" s="2" t="s">
        <v>26</v>
      </c>
      <c r="F4837" s="2" t="s">
        <v>15</v>
      </c>
      <c r="G4837" s="7">
        <v>104.25</v>
      </c>
      <c r="H4837" s="7">
        <v>6812.95</v>
      </c>
      <c r="I4837" s="2" t="s">
        <v>15</v>
      </c>
      <c r="J4837" s="2" t="s">
        <v>16</v>
      </c>
      <c r="K4837" s="2" t="s">
        <v>17</v>
      </c>
      <c r="L4837" s="7">
        <v>6812.95</v>
      </c>
      <c r="M4837" s="2" t="str">
        <f>_xlfn.IFS(TelecomData[[#This Row],[TenureMonths]]&lt;=12, "0-1 Year", TelecomData[[#This Row],[TenureMonths]]&lt;=36, "1-3 Years", TelecomData[[#This Row],[TenureMonths]]&gt;36, "3+ Years")</f>
        <v>3+ Years</v>
      </c>
      <c r="N4837" s="2" t="str">
        <f>IF(TelecomData[[#This Row],[CleanedTotalCharges]]&gt;=2500,"High Spend", "Standard Spend")</f>
        <v>High Spend</v>
      </c>
    </row>
    <row r="4838" spans="1:14" x14ac:dyDescent="0.3">
      <c r="A4838" s="1" t="s">
        <v>4862</v>
      </c>
      <c r="B4838" s="2" t="s">
        <v>12</v>
      </c>
      <c r="C4838" s="2" t="s">
        <v>13</v>
      </c>
      <c r="D4838" s="2">
        <v>25</v>
      </c>
      <c r="E4838" s="2" t="s">
        <v>14</v>
      </c>
      <c r="F4838" s="2" t="s">
        <v>16</v>
      </c>
      <c r="G4838" s="7">
        <v>78.349999999999994</v>
      </c>
      <c r="H4838" s="7">
        <v>1837.9</v>
      </c>
      <c r="I4838" s="2" t="s">
        <v>15</v>
      </c>
      <c r="J4838" s="2" t="s">
        <v>16</v>
      </c>
      <c r="K4838" s="2" t="s">
        <v>24</v>
      </c>
      <c r="L4838" s="7">
        <v>1837.9</v>
      </c>
      <c r="M4838" s="2" t="str">
        <f>_xlfn.IFS(TelecomData[[#This Row],[TenureMonths]]&lt;=12, "0-1 Year", TelecomData[[#This Row],[TenureMonths]]&lt;=36, "1-3 Years", TelecomData[[#This Row],[TenureMonths]]&gt;36, "3+ Years")</f>
        <v>1-3 Years</v>
      </c>
      <c r="N4838" s="2" t="str">
        <f>IF(TelecomData[[#This Row],[CleanedTotalCharges]]&gt;=2500,"High Spend", "Standard Spend")</f>
        <v>Standard Spend</v>
      </c>
    </row>
    <row r="4839" spans="1:14" x14ac:dyDescent="0.3">
      <c r="A4839" s="1" t="s">
        <v>4863</v>
      </c>
      <c r="B4839" s="2" t="s">
        <v>12</v>
      </c>
      <c r="C4839" s="2" t="s">
        <v>13</v>
      </c>
      <c r="D4839" s="2">
        <v>1</v>
      </c>
      <c r="E4839" s="2" t="s">
        <v>26</v>
      </c>
      <c r="F4839" s="2" t="s">
        <v>15</v>
      </c>
      <c r="G4839" s="7">
        <v>69.8</v>
      </c>
      <c r="H4839" s="7">
        <v>69.8</v>
      </c>
      <c r="I4839" s="2" t="s">
        <v>16</v>
      </c>
      <c r="J4839" s="2" t="s">
        <v>16</v>
      </c>
      <c r="K4839" s="2" t="s">
        <v>17</v>
      </c>
      <c r="L4839" s="7">
        <v>69.8</v>
      </c>
      <c r="M4839" s="2" t="str">
        <f>_xlfn.IFS(TelecomData[[#This Row],[TenureMonths]]&lt;=12, "0-1 Year", TelecomData[[#This Row],[TenureMonths]]&lt;=36, "1-3 Years", TelecomData[[#This Row],[TenureMonths]]&gt;36, "3+ Years")</f>
        <v>0-1 Year</v>
      </c>
      <c r="N4839" s="2" t="str">
        <f>IF(TelecomData[[#This Row],[CleanedTotalCharges]]&gt;=2500,"High Spend", "Standard Spend")</f>
        <v>Standard Spend</v>
      </c>
    </row>
    <row r="4840" spans="1:14" x14ac:dyDescent="0.3">
      <c r="A4840" s="1" t="s">
        <v>4864</v>
      </c>
      <c r="B4840" s="2" t="s">
        <v>12</v>
      </c>
      <c r="C4840" s="2" t="s">
        <v>20</v>
      </c>
      <c r="D4840" s="2">
        <v>67</v>
      </c>
      <c r="E4840" s="2" t="s">
        <v>26</v>
      </c>
      <c r="F4840" s="2" t="s">
        <v>16</v>
      </c>
      <c r="G4840" s="7">
        <v>109.7</v>
      </c>
      <c r="H4840" s="7">
        <v>7344.45</v>
      </c>
      <c r="I4840" s="2" t="s">
        <v>15</v>
      </c>
      <c r="J4840" s="2" t="s">
        <v>16</v>
      </c>
      <c r="K4840" s="2" t="s">
        <v>29</v>
      </c>
      <c r="L4840" s="7">
        <v>7344.45</v>
      </c>
      <c r="M4840" s="2" t="str">
        <f>_xlfn.IFS(TelecomData[[#This Row],[TenureMonths]]&lt;=12, "0-1 Year", TelecomData[[#This Row],[TenureMonths]]&lt;=36, "1-3 Years", TelecomData[[#This Row],[TenureMonths]]&gt;36, "3+ Years")</f>
        <v>3+ Years</v>
      </c>
      <c r="N4840" s="2" t="str">
        <f>IF(TelecomData[[#This Row],[CleanedTotalCharges]]&gt;=2500,"High Spend", "Standard Spend")</f>
        <v>High Spend</v>
      </c>
    </row>
    <row r="4841" spans="1:14" x14ac:dyDescent="0.3">
      <c r="A4841" s="1" t="s">
        <v>4865</v>
      </c>
      <c r="B4841" s="2" t="s">
        <v>19</v>
      </c>
      <c r="C4841" s="2" t="s">
        <v>13</v>
      </c>
      <c r="D4841" s="2">
        <v>7</v>
      </c>
      <c r="E4841" s="2" t="s">
        <v>26</v>
      </c>
      <c r="F4841" s="2" t="s">
        <v>15</v>
      </c>
      <c r="G4841" s="7">
        <v>73.75</v>
      </c>
      <c r="H4841" s="7">
        <v>545.15</v>
      </c>
      <c r="I4841" s="2" t="s">
        <v>16</v>
      </c>
      <c r="J4841" s="2" t="s">
        <v>15</v>
      </c>
      <c r="K4841" s="2" t="s">
        <v>21</v>
      </c>
      <c r="L4841" s="7">
        <v>545.15</v>
      </c>
      <c r="M4841" s="2" t="str">
        <f>_xlfn.IFS(TelecomData[[#This Row],[TenureMonths]]&lt;=12, "0-1 Year", TelecomData[[#This Row],[TenureMonths]]&lt;=36, "1-3 Years", TelecomData[[#This Row],[TenureMonths]]&gt;36, "3+ Years")</f>
        <v>0-1 Year</v>
      </c>
      <c r="N4841" s="2" t="str">
        <f>IF(TelecomData[[#This Row],[CleanedTotalCharges]]&gt;=2500,"High Spend", "Standard Spend")</f>
        <v>Standard Spend</v>
      </c>
    </row>
    <row r="4842" spans="1:14" x14ac:dyDescent="0.3">
      <c r="A4842" s="1" t="s">
        <v>4866</v>
      </c>
      <c r="B4842" s="2" t="s">
        <v>12</v>
      </c>
      <c r="C4842" s="2" t="s">
        <v>13</v>
      </c>
      <c r="D4842" s="2">
        <v>43</v>
      </c>
      <c r="E4842" s="2" t="s">
        <v>14</v>
      </c>
      <c r="F4842" s="2" t="s">
        <v>15</v>
      </c>
      <c r="G4842" s="7">
        <v>33.450000000000003</v>
      </c>
      <c r="H4842" s="7">
        <v>1500.25</v>
      </c>
      <c r="I4842" s="2" t="s">
        <v>15</v>
      </c>
      <c r="J4842" s="2" t="s">
        <v>16</v>
      </c>
      <c r="K4842" s="2" t="s">
        <v>29</v>
      </c>
      <c r="L4842" s="7">
        <v>1500.25</v>
      </c>
      <c r="M4842" s="2" t="str">
        <f>_xlfn.IFS(TelecomData[[#This Row],[TenureMonths]]&lt;=12, "0-1 Year", TelecomData[[#This Row],[TenureMonths]]&lt;=36, "1-3 Years", TelecomData[[#This Row],[TenureMonths]]&gt;36, "3+ Years")</f>
        <v>3+ Years</v>
      </c>
      <c r="N4842" s="2" t="str">
        <f>IF(TelecomData[[#This Row],[CleanedTotalCharges]]&gt;=2500,"High Spend", "Standard Spend")</f>
        <v>Standard Spend</v>
      </c>
    </row>
    <row r="4843" spans="1:14" x14ac:dyDescent="0.3">
      <c r="A4843" s="1" t="s">
        <v>4867</v>
      </c>
      <c r="B4843" s="2" t="s">
        <v>12</v>
      </c>
      <c r="C4843" s="2" t="s">
        <v>13</v>
      </c>
      <c r="D4843" s="2">
        <v>24</v>
      </c>
      <c r="E4843" s="2" t="s">
        <v>26</v>
      </c>
      <c r="F4843" s="2" t="s">
        <v>15</v>
      </c>
      <c r="G4843" s="7">
        <v>94.6</v>
      </c>
      <c r="H4843" s="7">
        <v>2283.15</v>
      </c>
      <c r="I4843" s="2" t="s">
        <v>15</v>
      </c>
      <c r="J4843" s="2" t="s">
        <v>16</v>
      </c>
      <c r="K4843" s="2" t="s">
        <v>17</v>
      </c>
      <c r="L4843" s="7">
        <v>2283.15</v>
      </c>
      <c r="M4843" s="2" t="str">
        <f>_xlfn.IFS(TelecomData[[#This Row],[TenureMonths]]&lt;=12, "0-1 Year", TelecomData[[#This Row],[TenureMonths]]&lt;=36, "1-3 Years", TelecomData[[#This Row],[TenureMonths]]&gt;36, "3+ Years")</f>
        <v>1-3 Years</v>
      </c>
      <c r="N4843" s="2" t="str">
        <f>IF(TelecomData[[#This Row],[CleanedTotalCharges]]&gt;=2500,"High Spend", "Standard Spend")</f>
        <v>Standard Spend</v>
      </c>
    </row>
    <row r="4844" spans="1:14" x14ac:dyDescent="0.3">
      <c r="A4844" s="1" t="s">
        <v>4868</v>
      </c>
      <c r="B4844" s="2" t="s">
        <v>19</v>
      </c>
      <c r="C4844" s="2" t="s">
        <v>13</v>
      </c>
      <c r="D4844" s="2">
        <v>9</v>
      </c>
      <c r="E4844" s="2" t="s">
        <v>14</v>
      </c>
      <c r="F4844" s="2" t="s">
        <v>15</v>
      </c>
      <c r="G4844" s="7">
        <v>54.55</v>
      </c>
      <c r="H4844" s="7">
        <v>494.05</v>
      </c>
      <c r="I4844" s="2" t="s">
        <v>16</v>
      </c>
      <c r="J4844" s="2" t="s">
        <v>15</v>
      </c>
      <c r="K4844" s="2" t="s">
        <v>17</v>
      </c>
      <c r="L4844" s="7">
        <v>494.05</v>
      </c>
      <c r="M4844" s="2" t="str">
        <f>_xlfn.IFS(TelecomData[[#This Row],[TenureMonths]]&lt;=12, "0-1 Year", TelecomData[[#This Row],[TenureMonths]]&lt;=36, "1-3 Years", TelecomData[[#This Row],[TenureMonths]]&gt;36, "3+ Years")</f>
        <v>0-1 Year</v>
      </c>
      <c r="N4844" s="2" t="str">
        <f>IF(TelecomData[[#This Row],[CleanedTotalCharges]]&gt;=2500,"High Spend", "Standard Spend")</f>
        <v>Standard Spend</v>
      </c>
    </row>
    <row r="4845" spans="1:14" x14ac:dyDescent="0.3">
      <c r="A4845" s="1" t="s">
        <v>4869</v>
      </c>
      <c r="B4845" s="2" t="s">
        <v>19</v>
      </c>
      <c r="C4845" s="2" t="s">
        <v>35</v>
      </c>
      <c r="D4845" s="2">
        <v>69</v>
      </c>
      <c r="E4845" s="2" t="s">
        <v>15</v>
      </c>
      <c r="F4845" s="2" t="s">
        <v>36</v>
      </c>
      <c r="G4845" s="7">
        <v>20.2</v>
      </c>
      <c r="H4845" s="7">
        <v>1376.5</v>
      </c>
      <c r="I4845" s="2" t="s">
        <v>15</v>
      </c>
      <c r="J4845" s="2" t="s">
        <v>15</v>
      </c>
      <c r="K4845" s="2" t="s">
        <v>24</v>
      </c>
      <c r="L4845" s="7">
        <v>1376.5</v>
      </c>
      <c r="M4845" s="2" t="str">
        <f>_xlfn.IFS(TelecomData[[#This Row],[TenureMonths]]&lt;=12, "0-1 Year", TelecomData[[#This Row],[TenureMonths]]&lt;=36, "1-3 Years", TelecomData[[#This Row],[TenureMonths]]&gt;36, "3+ Years")</f>
        <v>3+ Years</v>
      </c>
      <c r="N4845" s="2" t="str">
        <f>IF(TelecomData[[#This Row],[CleanedTotalCharges]]&gt;=2500,"High Spend", "Standard Spend")</f>
        <v>Standard Spend</v>
      </c>
    </row>
    <row r="4846" spans="1:14" x14ac:dyDescent="0.3">
      <c r="A4846" s="1" t="s">
        <v>4870</v>
      </c>
      <c r="B4846" s="2" t="s">
        <v>12</v>
      </c>
      <c r="C4846" s="2" t="s">
        <v>20</v>
      </c>
      <c r="D4846" s="2">
        <v>37</v>
      </c>
      <c r="E4846" s="2" t="s">
        <v>15</v>
      </c>
      <c r="F4846" s="2" t="s">
        <v>36</v>
      </c>
      <c r="G4846" s="7">
        <v>20.3</v>
      </c>
      <c r="H4846" s="7">
        <v>755.4</v>
      </c>
      <c r="I4846" s="2" t="s">
        <v>15</v>
      </c>
      <c r="J4846" s="2" t="s">
        <v>15</v>
      </c>
      <c r="K4846" s="2" t="s">
        <v>24</v>
      </c>
      <c r="L4846" s="7">
        <v>755.4</v>
      </c>
      <c r="M4846" s="2" t="str">
        <f>_xlfn.IFS(TelecomData[[#This Row],[TenureMonths]]&lt;=12, "0-1 Year", TelecomData[[#This Row],[TenureMonths]]&lt;=36, "1-3 Years", TelecomData[[#This Row],[TenureMonths]]&gt;36, "3+ Years")</f>
        <v>3+ Years</v>
      </c>
      <c r="N4846" s="2" t="str">
        <f>IF(TelecomData[[#This Row],[CleanedTotalCharges]]&gt;=2500,"High Spend", "Standard Spend")</f>
        <v>Standard Spend</v>
      </c>
    </row>
    <row r="4847" spans="1:14" x14ac:dyDescent="0.3">
      <c r="A4847" s="1" t="s">
        <v>4871</v>
      </c>
      <c r="B4847" s="2" t="s">
        <v>19</v>
      </c>
      <c r="C4847" s="2" t="s">
        <v>35</v>
      </c>
      <c r="D4847" s="2">
        <v>20</v>
      </c>
      <c r="E4847" s="2" t="s">
        <v>14</v>
      </c>
      <c r="F4847" s="2" t="s">
        <v>16</v>
      </c>
      <c r="G4847" s="7">
        <v>39.4</v>
      </c>
      <c r="H4847" s="7">
        <v>825.4</v>
      </c>
      <c r="I4847" s="2" t="s">
        <v>15</v>
      </c>
      <c r="J4847" s="2" t="s">
        <v>16</v>
      </c>
      <c r="K4847" s="2" t="s">
        <v>29</v>
      </c>
      <c r="L4847" s="7">
        <v>825.4</v>
      </c>
      <c r="M4847" s="2" t="str">
        <f>_xlfn.IFS(TelecomData[[#This Row],[TenureMonths]]&lt;=12, "0-1 Year", TelecomData[[#This Row],[TenureMonths]]&lt;=36, "1-3 Years", TelecomData[[#This Row],[TenureMonths]]&gt;36, "3+ Years")</f>
        <v>1-3 Years</v>
      </c>
      <c r="N4847" s="2" t="str">
        <f>IF(TelecomData[[#This Row],[CleanedTotalCharges]]&gt;=2500,"High Spend", "Standard Spend")</f>
        <v>Standard Spend</v>
      </c>
    </row>
    <row r="4848" spans="1:14" x14ac:dyDescent="0.3">
      <c r="A4848" s="1" t="s">
        <v>4872</v>
      </c>
      <c r="B4848" s="2" t="s">
        <v>19</v>
      </c>
      <c r="C4848" s="2" t="s">
        <v>13</v>
      </c>
      <c r="D4848" s="2">
        <v>7</v>
      </c>
      <c r="E4848" s="2" t="s">
        <v>26</v>
      </c>
      <c r="F4848" s="2" t="s">
        <v>15</v>
      </c>
      <c r="G4848" s="7">
        <v>69.150000000000006</v>
      </c>
      <c r="H4848" s="7">
        <v>488.65</v>
      </c>
      <c r="I4848" s="2" t="s">
        <v>15</v>
      </c>
      <c r="J4848" s="2" t="s">
        <v>15</v>
      </c>
      <c r="K4848" s="2" t="s">
        <v>24</v>
      </c>
      <c r="L4848" s="7">
        <v>488.65</v>
      </c>
      <c r="M4848" s="2" t="str">
        <f>_xlfn.IFS(TelecomData[[#This Row],[TenureMonths]]&lt;=12, "0-1 Year", TelecomData[[#This Row],[TenureMonths]]&lt;=36, "1-3 Years", TelecomData[[#This Row],[TenureMonths]]&gt;36, "3+ Years")</f>
        <v>0-1 Year</v>
      </c>
      <c r="N4848" s="2" t="str">
        <f>IF(TelecomData[[#This Row],[CleanedTotalCharges]]&gt;=2500,"High Spend", "Standard Spend")</f>
        <v>Standard Spend</v>
      </c>
    </row>
    <row r="4849" spans="1:14" x14ac:dyDescent="0.3">
      <c r="A4849" s="1" t="s">
        <v>4873</v>
      </c>
      <c r="B4849" s="2" t="s">
        <v>12</v>
      </c>
      <c r="C4849" s="2" t="s">
        <v>13</v>
      </c>
      <c r="D4849" s="2">
        <v>37</v>
      </c>
      <c r="E4849" s="2" t="s">
        <v>26</v>
      </c>
      <c r="F4849" s="2" t="s">
        <v>15</v>
      </c>
      <c r="G4849" s="7">
        <v>76.25</v>
      </c>
      <c r="H4849" s="7">
        <v>2841.55</v>
      </c>
      <c r="I4849" s="2" t="s">
        <v>16</v>
      </c>
      <c r="J4849" s="2" t="s">
        <v>16</v>
      </c>
      <c r="K4849" s="2" t="s">
        <v>17</v>
      </c>
      <c r="L4849" s="7">
        <v>2841.55</v>
      </c>
      <c r="M4849" s="2" t="str">
        <f>_xlfn.IFS(TelecomData[[#This Row],[TenureMonths]]&lt;=12, "0-1 Year", TelecomData[[#This Row],[TenureMonths]]&lt;=36, "1-3 Years", TelecomData[[#This Row],[TenureMonths]]&gt;36, "3+ Years")</f>
        <v>3+ Years</v>
      </c>
      <c r="N4849" s="2" t="str">
        <f>IF(TelecomData[[#This Row],[CleanedTotalCharges]]&gt;=2500,"High Spend", "Standard Spend")</f>
        <v>High Spend</v>
      </c>
    </row>
    <row r="4850" spans="1:14" x14ac:dyDescent="0.3">
      <c r="A4850" s="1" t="s">
        <v>4874</v>
      </c>
      <c r="B4850" s="2" t="s">
        <v>12</v>
      </c>
      <c r="C4850" s="2" t="s">
        <v>13</v>
      </c>
      <c r="D4850" s="2">
        <v>5</v>
      </c>
      <c r="E4850" s="2" t="s">
        <v>26</v>
      </c>
      <c r="F4850" s="2" t="s">
        <v>15</v>
      </c>
      <c r="G4850" s="7">
        <v>93.9</v>
      </c>
      <c r="H4850" s="7">
        <v>486.85</v>
      </c>
      <c r="I4850" s="2" t="s">
        <v>16</v>
      </c>
      <c r="J4850" s="2" t="s">
        <v>16</v>
      </c>
      <c r="K4850" s="2" t="s">
        <v>21</v>
      </c>
      <c r="L4850" s="7">
        <v>486.85</v>
      </c>
      <c r="M4850" s="2" t="str">
        <f>_xlfn.IFS(TelecomData[[#This Row],[TenureMonths]]&lt;=12, "0-1 Year", TelecomData[[#This Row],[TenureMonths]]&lt;=36, "1-3 Years", TelecomData[[#This Row],[TenureMonths]]&gt;36, "3+ Years")</f>
        <v>0-1 Year</v>
      </c>
      <c r="N4850" s="2" t="str">
        <f>IF(TelecomData[[#This Row],[CleanedTotalCharges]]&gt;=2500,"High Spend", "Standard Spend")</f>
        <v>Standard Spend</v>
      </c>
    </row>
    <row r="4851" spans="1:14" x14ac:dyDescent="0.3">
      <c r="A4851" s="1" t="s">
        <v>4875</v>
      </c>
      <c r="B4851" s="2" t="s">
        <v>19</v>
      </c>
      <c r="C4851" s="2" t="s">
        <v>20</v>
      </c>
      <c r="D4851" s="2">
        <v>41</v>
      </c>
      <c r="E4851" s="2" t="s">
        <v>14</v>
      </c>
      <c r="F4851" s="2" t="s">
        <v>15</v>
      </c>
      <c r="G4851" s="7">
        <v>51.35</v>
      </c>
      <c r="H4851" s="7">
        <v>2075.1</v>
      </c>
      <c r="I4851" s="2" t="s">
        <v>15</v>
      </c>
      <c r="J4851" s="2" t="s">
        <v>16</v>
      </c>
      <c r="K4851" s="2" t="s">
        <v>17</v>
      </c>
      <c r="L4851" s="7">
        <v>2075.1</v>
      </c>
      <c r="M4851" s="2" t="str">
        <f>_xlfn.IFS(TelecomData[[#This Row],[TenureMonths]]&lt;=12, "0-1 Year", TelecomData[[#This Row],[TenureMonths]]&lt;=36, "1-3 Years", TelecomData[[#This Row],[TenureMonths]]&gt;36, "3+ Years")</f>
        <v>3+ Years</v>
      </c>
      <c r="N4851" s="2" t="str">
        <f>IF(TelecomData[[#This Row],[CleanedTotalCharges]]&gt;=2500,"High Spend", "Standard Spend")</f>
        <v>Standard Spend</v>
      </c>
    </row>
    <row r="4852" spans="1:14" x14ac:dyDescent="0.3">
      <c r="A4852" s="1" t="s">
        <v>4876</v>
      </c>
      <c r="B4852" s="2" t="s">
        <v>12</v>
      </c>
      <c r="C4852" s="2" t="s">
        <v>20</v>
      </c>
      <c r="D4852" s="2">
        <v>54</v>
      </c>
      <c r="E4852" s="2" t="s">
        <v>26</v>
      </c>
      <c r="F4852" s="2" t="s">
        <v>15</v>
      </c>
      <c r="G4852" s="7">
        <v>100.05</v>
      </c>
      <c r="H4852" s="7">
        <v>5299.65</v>
      </c>
      <c r="I4852" s="2" t="s">
        <v>15</v>
      </c>
      <c r="J4852" s="2" t="s">
        <v>16</v>
      </c>
      <c r="K4852" s="2" t="s">
        <v>29</v>
      </c>
      <c r="L4852" s="7">
        <v>5299.65</v>
      </c>
      <c r="M4852" s="2" t="str">
        <f>_xlfn.IFS(TelecomData[[#This Row],[TenureMonths]]&lt;=12, "0-1 Year", TelecomData[[#This Row],[TenureMonths]]&lt;=36, "1-3 Years", TelecomData[[#This Row],[TenureMonths]]&gt;36, "3+ Years")</f>
        <v>3+ Years</v>
      </c>
      <c r="N4852" s="2" t="str">
        <f>IF(TelecomData[[#This Row],[CleanedTotalCharges]]&gt;=2500,"High Spend", "Standard Spend")</f>
        <v>High Spend</v>
      </c>
    </row>
    <row r="4853" spans="1:14" x14ac:dyDescent="0.3">
      <c r="A4853" s="1" t="s">
        <v>4877</v>
      </c>
      <c r="B4853" s="2" t="s">
        <v>12</v>
      </c>
      <c r="C4853" s="2" t="s">
        <v>13</v>
      </c>
      <c r="D4853" s="2">
        <v>3</v>
      </c>
      <c r="E4853" s="2" t="s">
        <v>26</v>
      </c>
      <c r="F4853" s="2" t="s">
        <v>15</v>
      </c>
      <c r="G4853" s="7">
        <v>70.400000000000006</v>
      </c>
      <c r="H4853" s="7">
        <v>204.7</v>
      </c>
      <c r="I4853" s="2" t="s">
        <v>16</v>
      </c>
      <c r="J4853" s="2" t="s">
        <v>16</v>
      </c>
      <c r="K4853" s="2" t="s">
        <v>17</v>
      </c>
      <c r="L4853" s="7">
        <v>204.7</v>
      </c>
      <c r="M4853" s="2" t="str">
        <f>_xlfn.IFS(TelecomData[[#This Row],[TenureMonths]]&lt;=12, "0-1 Year", TelecomData[[#This Row],[TenureMonths]]&lt;=36, "1-3 Years", TelecomData[[#This Row],[TenureMonths]]&gt;36, "3+ Years")</f>
        <v>0-1 Year</v>
      </c>
      <c r="N4853" s="2" t="str">
        <f>IF(TelecomData[[#This Row],[CleanedTotalCharges]]&gt;=2500,"High Spend", "Standard Spend")</f>
        <v>Standard Spend</v>
      </c>
    </row>
    <row r="4854" spans="1:14" x14ac:dyDescent="0.3">
      <c r="A4854" s="1" t="s">
        <v>4878</v>
      </c>
      <c r="B4854" s="2" t="s">
        <v>19</v>
      </c>
      <c r="C4854" s="2" t="s">
        <v>35</v>
      </c>
      <c r="D4854" s="2">
        <v>69</v>
      </c>
      <c r="E4854" s="2" t="s">
        <v>15</v>
      </c>
      <c r="F4854" s="2" t="s">
        <v>36</v>
      </c>
      <c r="G4854" s="7">
        <v>20.3</v>
      </c>
      <c r="H4854" s="7">
        <v>1356.3</v>
      </c>
      <c r="I4854" s="2" t="s">
        <v>15</v>
      </c>
      <c r="J4854" s="2" t="s">
        <v>15</v>
      </c>
      <c r="K4854" s="2" t="s">
        <v>29</v>
      </c>
      <c r="L4854" s="7">
        <v>1356.3</v>
      </c>
      <c r="M4854" s="2" t="str">
        <f>_xlfn.IFS(TelecomData[[#This Row],[TenureMonths]]&lt;=12, "0-1 Year", TelecomData[[#This Row],[TenureMonths]]&lt;=36, "1-3 Years", TelecomData[[#This Row],[TenureMonths]]&gt;36, "3+ Years")</f>
        <v>3+ Years</v>
      </c>
      <c r="N4854" s="2" t="str">
        <f>IF(TelecomData[[#This Row],[CleanedTotalCharges]]&gt;=2500,"High Spend", "Standard Spend")</f>
        <v>Standard Spend</v>
      </c>
    </row>
    <row r="4855" spans="1:14" x14ac:dyDescent="0.3">
      <c r="A4855" s="1" t="s">
        <v>4879</v>
      </c>
      <c r="B4855" s="2" t="s">
        <v>12</v>
      </c>
      <c r="C4855" s="2" t="s">
        <v>20</v>
      </c>
      <c r="D4855" s="2">
        <v>53</v>
      </c>
      <c r="E4855" s="2" t="s">
        <v>26</v>
      </c>
      <c r="F4855" s="2" t="s">
        <v>16</v>
      </c>
      <c r="G4855" s="7">
        <v>94.45</v>
      </c>
      <c r="H4855" s="7">
        <v>5042.75</v>
      </c>
      <c r="I4855" s="2" t="s">
        <v>15</v>
      </c>
      <c r="J4855" s="2" t="s">
        <v>16</v>
      </c>
      <c r="K4855" s="2" t="s">
        <v>29</v>
      </c>
      <c r="L4855" s="7">
        <v>5042.75</v>
      </c>
      <c r="M4855" s="2" t="str">
        <f>_xlfn.IFS(TelecomData[[#This Row],[TenureMonths]]&lt;=12, "0-1 Year", TelecomData[[#This Row],[TenureMonths]]&lt;=36, "1-3 Years", TelecomData[[#This Row],[TenureMonths]]&gt;36, "3+ Years")</f>
        <v>3+ Years</v>
      </c>
      <c r="N4855" s="2" t="str">
        <f>IF(TelecomData[[#This Row],[CleanedTotalCharges]]&gt;=2500,"High Spend", "Standard Spend")</f>
        <v>High Spend</v>
      </c>
    </row>
    <row r="4856" spans="1:14" x14ac:dyDescent="0.3">
      <c r="A4856" s="1" t="s">
        <v>4880</v>
      </c>
      <c r="B4856" s="2" t="s">
        <v>19</v>
      </c>
      <c r="C4856" s="2" t="s">
        <v>20</v>
      </c>
      <c r="D4856" s="2">
        <v>18</v>
      </c>
      <c r="E4856" s="2" t="s">
        <v>14</v>
      </c>
      <c r="F4856" s="2" t="s">
        <v>15</v>
      </c>
      <c r="G4856" s="7">
        <v>46.4</v>
      </c>
      <c r="H4856" s="7">
        <v>812.4</v>
      </c>
      <c r="I4856" s="2" t="s">
        <v>15</v>
      </c>
      <c r="J4856" s="2" t="s">
        <v>15</v>
      </c>
      <c r="K4856" s="2" t="s">
        <v>29</v>
      </c>
      <c r="L4856" s="7">
        <v>812.4</v>
      </c>
      <c r="M4856" s="2" t="str">
        <f>_xlfn.IFS(TelecomData[[#This Row],[TenureMonths]]&lt;=12, "0-1 Year", TelecomData[[#This Row],[TenureMonths]]&lt;=36, "1-3 Years", TelecomData[[#This Row],[TenureMonths]]&gt;36, "3+ Years")</f>
        <v>1-3 Years</v>
      </c>
      <c r="N4856" s="2" t="str">
        <f>IF(TelecomData[[#This Row],[CleanedTotalCharges]]&gt;=2500,"High Spend", "Standard Spend")</f>
        <v>Standard Spend</v>
      </c>
    </row>
    <row r="4857" spans="1:14" x14ac:dyDescent="0.3">
      <c r="A4857" s="1" t="s">
        <v>4881</v>
      </c>
      <c r="B4857" s="2" t="s">
        <v>19</v>
      </c>
      <c r="C4857" s="2" t="s">
        <v>35</v>
      </c>
      <c r="D4857" s="2">
        <v>64</v>
      </c>
      <c r="E4857" s="2" t="s">
        <v>26</v>
      </c>
      <c r="F4857" s="2" t="s">
        <v>16</v>
      </c>
      <c r="G4857" s="7">
        <v>104.05</v>
      </c>
      <c r="H4857" s="7">
        <v>6605.55</v>
      </c>
      <c r="I4857" s="2" t="s">
        <v>15</v>
      </c>
      <c r="J4857" s="2" t="s">
        <v>16</v>
      </c>
      <c r="K4857" s="2" t="s">
        <v>29</v>
      </c>
      <c r="L4857" s="7">
        <v>6605.55</v>
      </c>
      <c r="M4857" s="2" t="str">
        <f>_xlfn.IFS(TelecomData[[#This Row],[TenureMonths]]&lt;=12, "0-1 Year", TelecomData[[#This Row],[TenureMonths]]&lt;=36, "1-3 Years", TelecomData[[#This Row],[TenureMonths]]&gt;36, "3+ Years")</f>
        <v>3+ Years</v>
      </c>
      <c r="N4857" s="2" t="str">
        <f>IF(TelecomData[[#This Row],[CleanedTotalCharges]]&gt;=2500,"High Spend", "Standard Spend")</f>
        <v>High Spend</v>
      </c>
    </row>
    <row r="4858" spans="1:14" x14ac:dyDescent="0.3">
      <c r="A4858" s="1" t="s">
        <v>4882</v>
      </c>
      <c r="B4858" s="2" t="s">
        <v>12</v>
      </c>
      <c r="C4858" s="2" t="s">
        <v>13</v>
      </c>
      <c r="D4858" s="2">
        <v>31</v>
      </c>
      <c r="E4858" s="2" t="s">
        <v>26</v>
      </c>
      <c r="F4858" s="2" t="s">
        <v>15</v>
      </c>
      <c r="G4858" s="7">
        <v>91.15</v>
      </c>
      <c r="H4858" s="7">
        <v>2995.45</v>
      </c>
      <c r="I4858" s="2" t="s">
        <v>16</v>
      </c>
      <c r="J4858" s="2" t="s">
        <v>16</v>
      </c>
      <c r="K4858" s="2" t="s">
        <v>17</v>
      </c>
      <c r="L4858" s="7">
        <v>2995.45</v>
      </c>
      <c r="M4858" s="2" t="str">
        <f>_xlfn.IFS(TelecomData[[#This Row],[TenureMonths]]&lt;=12, "0-1 Year", TelecomData[[#This Row],[TenureMonths]]&lt;=36, "1-3 Years", TelecomData[[#This Row],[TenureMonths]]&gt;36, "3+ Years")</f>
        <v>1-3 Years</v>
      </c>
      <c r="N4858" s="2" t="str">
        <f>IF(TelecomData[[#This Row],[CleanedTotalCharges]]&gt;=2500,"High Spend", "Standard Spend")</f>
        <v>High Spend</v>
      </c>
    </row>
    <row r="4859" spans="1:14" x14ac:dyDescent="0.3">
      <c r="A4859" s="1" t="s">
        <v>4883</v>
      </c>
      <c r="B4859" s="2" t="s">
        <v>12</v>
      </c>
      <c r="C4859" s="2" t="s">
        <v>13</v>
      </c>
      <c r="D4859" s="2">
        <v>20</v>
      </c>
      <c r="E4859" s="2" t="s">
        <v>14</v>
      </c>
      <c r="F4859" s="2" t="s">
        <v>15</v>
      </c>
      <c r="G4859" s="7">
        <v>24.9</v>
      </c>
      <c r="H4859" s="7">
        <v>505.95</v>
      </c>
      <c r="I4859" s="2" t="s">
        <v>15</v>
      </c>
      <c r="J4859" s="2" t="s">
        <v>15</v>
      </c>
      <c r="K4859" s="2" t="s">
        <v>29</v>
      </c>
      <c r="L4859" s="7">
        <v>505.95</v>
      </c>
      <c r="M4859" s="2" t="str">
        <f>_xlfn.IFS(TelecomData[[#This Row],[TenureMonths]]&lt;=12, "0-1 Year", TelecomData[[#This Row],[TenureMonths]]&lt;=36, "1-3 Years", TelecomData[[#This Row],[TenureMonths]]&gt;36, "3+ Years")</f>
        <v>1-3 Years</v>
      </c>
      <c r="N4859" s="2" t="str">
        <f>IF(TelecomData[[#This Row],[CleanedTotalCharges]]&gt;=2500,"High Spend", "Standard Spend")</f>
        <v>Standard Spend</v>
      </c>
    </row>
    <row r="4860" spans="1:14" x14ac:dyDescent="0.3">
      <c r="A4860" s="1" t="s">
        <v>4884</v>
      </c>
      <c r="B4860" s="2" t="s">
        <v>19</v>
      </c>
      <c r="C4860" s="2" t="s">
        <v>20</v>
      </c>
      <c r="D4860" s="2">
        <v>57</v>
      </c>
      <c r="E4860" s="2" t="s">
        <v>14</v>
      </c>
      <c r="F4860" s="2" t="s">
        <v>16</v>
      </c>
      <c r="G4860" s="7">
        <v>59.6</v>
      </c>
      <c r="H4860" s="7">
        <v>3509.4</v>
      </c>
      <c r="I4860" s="2" t="s">
        <v>15</v>
      </c>
      <c r="J4860" s="2" t="s">
        <v>15</v>
      </c>
      <c r="K4860" s="2" t="s">
        <v>21</v>
      </c>
      <c r="L4860" s="7">
        <v>3509.4</v>
      </c>
      <c r="M4860" s="2" t="str">
        <f>_xlfn.IFS(TelecomData[[#This Row],[TenureMonths]]&lt;=12, "0-1 Year", TelecomData[[#This Row],[TenureMonths]]&lt;=36, "1-3 Years", TelecomData[[#This Row],[TenureMonths]]&gt;36, "3+ Years")</f>
        <v>3+ Years</v>
      </c>
      <c r="N4860" s="2" t="str">
        <f>IF(TelecomData[[#This Row],[CleanedTotalCharges]]&gt;=2500,"High Spend", "Standard Spend")</f>
        <v>High Spend</v>
      </c>
    </row>
    <row r="4861" spans="1:14" x14ac:dyDescent="0.3">
      <c r="A4861" s="1" t="s">
        <v>4885</v>
      </c>
      <c r="B4861" s="2" t="s">
        <v>19</v>
      </c>
      <c r="C4861" s="2" t="s">
        <v>35</v>
      </c>
      <c r="D4861" s="2">
        <v>63</v>
      </c>
      <c r="E4861" s="2" t="s">
        <v>26</v>
      </c>
      <c r="F4861" s="2" t="s">
        <v>15</v>
      </c>
      <c r="G4861" s="7">
        <v>108.5</v>
      </c>
      <c r="H4861" s="7">
        <v>6991.9</v>
      </c>
      <c r="I4861" s="2" t="s">
        <v>15</v>
      </c>
      <c r="J4861" s="2" t="s">
        <v>15</v>
      </c>
      <c r="K4861" s="2" t="s">
        <v>29</v>
      </c>
      <c r="L4861" s="7">
        <v>6991.9</v>
      </c>
      <c r="M4861" s="2" t="str">
        <f>_xlfn.IFS(TelecomData[[#This Row],[TenureMonths]]&lt;=12, "0-1 Year", TelecomData[[#This Row],[TenureMonths]]&lt;=36, "1-3 Years", TelecomData[[#This Row],[TenureMonths]]&gt;36, "3+ Years")</f>
        <v>3+ Years</v>
      </c>
      <c r="N4861" s="2" t="str">
        <f>IF(TelecomData[[#This Row],[CleanedTotalCharges]]&gt;=2500,"High Spend", "Standard Spend")</f>
        <v>High Spend</v>
      </c>
    </row>
    <row r="4862" spans="1:14" x14ac:dyDescent="0.3">
      <c r="A4862" s="1" t="s">
        <v>4886</v>
      </c>
      <c r="B4862" s="2" t="s">
        <v>19</v>
      </c>
      <c r="C4862" s="2" t="s">
        <v>35</v>
      </c>
      <c r="D4862" s="2">
        <v>13</v>
      </c>
      <c r="E4862" s="2" t="s">
        <v>14</v>
      </c>
      <c r="F4862" s="2" t="s">
        <v>16</v>
      </c>
      <c r="G4862" s="7">
        <v>40.549999999999997</v>
      </c>
      <c r="H4862" s="7">
        <v>590.35</v>
      </c>
      <c r="I4862" s="2" t="s">
        <v>15</v>
      </c>
      <c r="J4862" s="2" t="s">
        <v>15</v>
      </c>
      <c r="K4862" s="2" t="s">
        <v>21</v>
      </c>
      <c r="L4862" s="7">
        <v>590.35</v>
      </c>
      <c r="M4862" s="2" t="str">
        <f>_xlfn.IFS(TelecomData[[#This Row],[TenureMonths]]&lt;=12, "0-1 Year", TelecomData[[#This Row],[TenureMonths]]&lt;=36, "1-3 Years", TelecomData[[#This Row],[TenureMonths]]&gt;36, "3+ Years")</f>
        <v>1-3 Years</v>
      </c>
      <c r="N4862" s="2" t="str">
        <f>IF(TelecomData[[#This Row],[CleanedTotalCharges]]&gt;=2500,"High Spend", "Standard Spend")</f>
        <v>Standard Spend</v>
      </c>
    </row>
    <row r="4863" spans="1:14" x14ac:dyDescent="0.3">
      <c r="A4863" s="1" t="s">
        <v>4887</v>
      </c>
      <c r="B4863" s="2" t="s">
        <v>12</v>
      </c>
      <c r="C4863" s="2" t="s">
        <v>20</v>
      </c>
      <c r="D4863" s="2">
        <v>48</v>
      </c>
      <c r="E4863" s="2" t="s">
        <v>14</v>
      </c>
      <c r="F4863" s="2" t="s">
        <v>15</v>
      </c>
      <c r="G4863" s="7">
        <v>58.95</v>
      </c>
      <c r="H4863" s="7">
        <v>2789.7</v>
      </c>
      <c r="I4863" s="2" t="s">
        <v>15</v>
      </c>
      <c r="J4863" s="2" t="s">
        <v>16</v>
      </c>
      <c r="K4863" s="2" t="s">
        <v>24</v>
      </c>
      <c r="L4863" s="7">
        <v>2789.7</v>
      </c>
      <c r="M4863" s="2" t="str">
        <f>_xlfn.IFS(TelecomData[[#This Row],[TenureMonths]]&lt;=12, "0-1 Year", TelecomData[[#This Row],[TenureMonths]]&lt;=36, "1-3 Years", TelecomData[[#This Row],[TenureMonths]]&gt;36, "3+ Years")</f>
        <v>3+ Years</v>
      </c>
      <c r="N4863" s="2" t="str">
        <f>IF(TelecomData[[#This Row],[CleanedTotalCharges]]&gt;=2500,"High Spend", "Standard Spend")</f>
        <v>High Spend</v>
      </c>
    </row>
    <row r="4864" spans="1:14" x14ac:dyDescent="0.3">
      <c r="A4864" s="1" t="s">
        <v>4888</v>
      </c>
      <c r="B4864" s="2" t="s">
        <v>12</v>
      </c>
      <c r="C4864" s="2" t="s">
        <v>13</v>
      </c>
      <c r="D4864" s="2">
        <v>2</v>
      </c>
      <c r="E4864" s="2" t="s">
        <v>26</v>
      </c>
      <c r="F4864" s="2" t="s">
        <v>15</v>
      </c>
      <c r="G4864" s="7">
        <v>70.95</v>
      </c>
      <c r="H4864" s="7">
        <v>137.94999999999999</v>
      </c>
      <c r="I4864" s="2" t="s">
        <v>16</v>
      </c>
      <c r="J4864" s="2" t="s">
        <v>16</v>
      </c>
      <c r="K4864" s="2" t="s">
        <v>17</v>
      </c>
      <c r="L4864" s="7">
        <v>137.94999999999999</v>
      </c>
      <c r="M4864" s="2" t="str">
        <f>_xlfn.IFS(TelecomData[[#This Row],[TenureMonths]]&lt;=12, "0-1 Year", TelecomData[[#This Row],[TenureMonths]]&lt;=36, "1-3 Years", TelecomData[[#This Row],[TenureMonths]]&gt;36, "3+ Years")</f>
        <v>0-1 Year</v>
      </c>
      <c r="N4864" s="2" t="str">
        <f>IF(TelecomData[[#This Row],[CleanedTotalCharges]]&gt;=2500,"High Spend", "Standard Spend")</f>
        <v>Standard Spend</v>
      </c>
    </row>
    <row r="4865" spans="1:14" x14ac:dyDescent="0.3">
      <c r="A4865" s="1" t="s">
        <v>4889</v>
      </c>
      <c r="B4865" s="2" t="s">
        <v>19</v>
      </c>
      <c r="C4865" s="2" t="s">
        <v>35</v>
      </c>
      <c r="D4865" s="2">
        <v>57</v>
      </c>
      <c r="E4865" s="2" t="s">
        <v>15</v>
      </c>
      <c r="F4865" s="2" t="s">
        <v>36</v>
      </c>
      <c r="G4865" s="7">
        <v>20.75</v>
      </c>
      <c r="H4865" s="7">
        <v>1123.1500000000001</v>
      </c>
      <c r="I4865" s="2" t="s">
        <v>15</v>
      </c>
      <c r="J4865" s="2" t="s">
        <v>15</v>
      </c>
      <c r="K4865" s="2" t="s">
        <v>21</v>
      </c>
      <c r="L4865" s="7">
        <v>1123.1500000000001</v>
      </c>
      <c r="M4865" s="2" t="str">
        <f>_xlfn.IFS(TelecomData[[#This Row],[TenureMonths]]&lt;=12, "0-1 Year", TelecomData[[#This Row],[TenureMonths]]&lt;=36, "1-3 Years", TelecomData[[#This Row],[TenureMonths]]&gt;36, "3+ Years")</f>
        <v>3+ Years</v>
      </c>
      <c r="N4865" s="2" t="str">
        <f>IF(TelecomData[[#This Row],[CleanedTotalCharges]]&gt;=2500,"High Spend", "Standard Spend")</f>
        <v>Standard Spend</v>
      </c>
    </row>
    <row r="4866" spans="1:14" x14ac:dyDescent="0.3">
      <c r="A4866" s="1" t="s">
        <v>4890</v>
      </c>
      <c r="B4866" s="2" t="s">
        <v>19</v>
      </c>
      <c r="C4866" s="2" t="s">
        <v>20</v>
      </c>
      <c r="D4866" s="2">
        <v>71</v>
      </c>
      <c r="E4866" s="2" t="s">
        <v>26</v>
      </c>
      <c r="F4866" s="2" t="s">
        <v>16</v>
      </c>
      <c r="G4866" s="7">
        <v>113.15</v>
      </c>
      <c r="H4866" s="7">
        <v>7953.25</v>
      </c>
      <c r="I4866" s="2" t="s">
        <v>15</v>
      </c>
      <c r="J4866" s="2" t="s">
        <v>16</v>
      </c>
      <c r="K4866" s="2" t="s">
        <v>24</v>
      </c>
      <c r="L4866" s="7">
        <v>7953.25</v>
      </c>
      <c r="M4866" s="2" t="str">
        <f>_xlfn.IFS(TelecomData[[#This Row],[TenureMonths]]&lt;=12, "0-1 Year", TelecomData[[#This Row],[TenureMonths]]&lt;=36, "1-3 Years", TelecomData[[#This Row],[TenureMonths]]&gt;36, "3+ Years")</f>
        <v>3+ Years</v>
      </c>
      <c r="N4866" s="2" t="str">
        <f>IF(TelecomData[[#This Row],[CleanedTotalCharges]]&gt;=2500,"High Spend", "Standard Spend")</f>
        <v>High Spend</v>
      </c>
    </row>
    <row r="4867" spans="1:14" x14ac:dyDescent="0.3">
      <c r="A4867" s="1" t="s">
        <v>4891</v>
      </c>
      <c r="B4867" s="2" t="s">
        <v>12</v>
      </c>
      <c r="C4867" s="2" t="s">
        <v>13</v>
      </c>
      <c r="D4867" s="2">
        <v>7</v>
      </c>
      <c r="E4867" s="2" t="s">
        <v>14</v>
      </c>
      <c r="F4867" s="2" t="s">
        <v>15</v>
      </c>
      <c r="G4867" s="7">
        <v>48.8</v>
      </c>
      <c r="H4867" s="7">
        <v>349.8</v>
      </c>
      <c r="I4867" s="2" t="s">
        <v>15</v>
      </c>
      <c r="J4867" s="2" t="s">
        <v>15</v>
      </c>
      <c r="K4867" s="2" t="s">
        <v>17</v>
      </c>
      <c r="L4867" s="7">
        <v>349.8</v>
      </c>
      <c r="M4867" s="2" t="str">
        <f>_xlfn.IFS(TelecomData[[#This Row],[TenureMonths]]&lt;=12, "0-1 Year", TelecomData[[#This Row],[TenureMonths]]&lt;=36, "1-3 Years", TelecomData[[#This Row],[TenureMonths]]&gt;36, "3+ Years")</f>
        <v>0-1 Year</v>
      </c>
      <c r="N4867" s="2" t="str">
        <f>IF(TelecomData[[#This Row],[CleanedTotalCharges]]&gt;=2500,"High Spend", "Standard Spend")</f>
        <v>Standard Spend</v>
      </c>
    </row>
    <row r="4868" spans="1:14" x14ac:dyDescent="0.3">
      <c r="A4868" s="1" t="s">
        <v>4892</v>
      </c>
      <c r="B4868" s="2" t="s">
        <v>12</v>
      </c>
      <c r="C4868" s="2" t="s">
        <v>13</v>
      </c>
      <c r="D4868" s="2">
        <v>16</v>
      </c>
      <c r="E4868" s="2" t="s">
        <v>14</v>
      </c>
      <c r="F4868" s="2" t="s">
        <v>15</v>
      </c>
      <c r="G4868" s="7">
        <v>63.05</v>
      </c>
      <c r="H4868" s="7">
        <v>1067.05</v>
      </c>
      <c r="I4868" s="2" t="s">
        <v>15</v>
      </c>
      <c r="J4868" s="2" t="s">
        <v>16</v>
      </c>
      <c r="K4868" s="2" t="s">
        <v>24</v>
      </c>
      <c r="L4868" s="7">
        <v>1067.05</v>
      </c>
      <c r="M4868" s="2" t="str">
        <f>_xlfn.IFS(TelecomData[[#This Row],[TenureMonths]]&lt;=12, "0-1 Year", TelecomData[[#This Row],[TenureMonths]]&lt;=36, "1-3 Years", TelecomData[[#This Row],[TenureMonths]]&gt;36, "3+ Years")</f>
        <v>1-3 Years</v>
      </c>
      <c r="N4868" s="2" t="str">
        <f>IF(TelecomData[[#This Row],[CleanedTotalCharges]]&gt;=2500,"High Spend", "Standard Spend")</f>
        <v>Standard Spend</v>
      </c>
    </row>
    <row r="4869" spans="1:14" x14ac:dyDescent="0.3">
      <c r="A4869" s="1" t="s">
        <v>4893</v>
      </c>
      <c r="B4869" s="2" t="s">
        <v>19</v>
      </c>
      <c r="C4869" s="2" t="s">
        <v>13</v>
      </c>
      <c r="D4869" s="2">
        <v>34</v>
      </c>
      <c r="E4869" s="2" t="s">
        <v>26</v>
      </c>
      <c r="F4869" s="2" t="s">
        <v>15</v>
      </c>
      <c r="G4869" s="7">
        <v>100.85</v>
      </c>
      <c r="H4869" s="7">
        <v>3527.3</v>
      </c>
      <c r="I4869" s="2" t="s">
        <v>15</v>
      </c>
      <c r="J4869" s="2" t="s">
        <v>15</v>
      </c>
      <c r="K4869" s="2" t="s">
        <v>17</v>
      </c>
      <c r="L4869" s="7">
        <v>3527.3</v>
      </c>
      <c r="M4869" s="2" t="str">
        <f>_xlfn.IFS(TelecomData[[#This Row],[TenureMonths]]&lt;=12, "0-1 Year", TelecomData[[#This Row],[TenureMonths]]&lt;=36, "1-3 Years", TelecomData[[#This Row],[TenureMonths]]&gt;36, "3+ Years")</f>
        <v>1-3 Years</v>
      </c>
      <c r="N4869" s="2" t="str">
        <f>IF(TelecomData[[#This Row],[CleanedTotalCharges]]&gt;=2500,"High Spend", "Standard Spend")</f>
        <v>High Spend</v>
      </c>
    </row>
    <row r="4870" spans="1:14" x14ac:dyDescent="0.3">
      <c r="A4870" s="1" t="s">
        <v>4894</v>
      </c>
      <c r="B4870" s="2" t="s">
        <v>12</v>
      </c>
      <c r="C4870" s="2" t="s">
        <v>13</v>
      </c>
      <c r="D4870" s="2">
        <v>37</v>
      </c>
      <c r="E4870" s="2" t="s">
        <v>26</v>
      </c>
      <c r="F4870" s="2" t="s">
        <v>15</v>
      </c>
      <c r="G4870" s="7">
        <v>99.5</v>
      </c>
      <c r="H4870" s="7">
        <v>3762</v>
      </c>
      <c r="I4870" s="2" t="s">
        <v>16</v>
      </c>
      <c r="J4870" s="2" t="s">
        <v>16</v>
      </c>
      <c r="K4870" s="2" t="s">
        <v>17</v>
      </c>
      <c r="L4870" s="7">
        <v>3762</v>
      </c>
      <c r="M4870" s="2" t="str">
        <f>_xlfn.IFS(TelecomData[[#This Row],[TenureMonths]]&lt;=12, "0-1 Year", TelecomData[[#This Row],[TenureMonths]]&lt;=36, "1-3 Years", TelecomData[[#This Row],[TenureMonths]]&gt;36, "3+ Years")</f>
        <v>3+ Years</v>
      </c>
      <c r="N4870" s="2" t="str">
        <f>IF(TelecomData[[#This Row],[CleanedTotalCharges]]&gt;=2500,"High Spend", "Standard Spend")</f>
        <v>High Spend</v>
      </c>
    </row>
    <row r="4871" spans="1:14" x14ac:dyDescent="0.3">
      <c r="A4871" s="1" t="s">
        <v>4895</v>
      </c>
      <c r="B4871" s="2" t="s">
        <v>19</v>
      </c>
      <c r="C4871" s="2" t="s">
        <v>13</v>
      </c>
      <c r="D4871" s="2">
        <v>16</v>
      </c>
      <c r="E4871" s="2" t="s">
        <v>26</v>
      </c>
      <c r="F4871" s="2" t="s">
        <v>15</v>
      </c>
      <c r="G4871" s="7">
        <v>80.55</v>
      </c>
      <c r="H4871" s="7">
        <v>1248.9000000000001</v>
      </c>
      <c r="I4871" s="2" t="s">
        <v>15</v>
      </c>
      <c r="J4871" s="2" t="s">
        <v>16</v>
      </c>
      <c r="K4871" s="2" t="s">
        <v>21</v>
      </c>
      <c r="L4871" s="7">
        <v>1248.9000000000001</v>
      </c>
      <c r="M4871" s="2" t="str">
        <f>_xlfn.IFS(TelecomData[[#This Row],[TenureMonths]]&lt;=12, "0-1 Year", TelecomData[[#This Row],[TenureMonths]]&lt;=36, "1-3 Years", TelecomData[[#This Row],[TenureMonths]]&gt;36, "3+ Years")</f>
        <v>1-3 Years</v>
      </c>
      <c r="N4871" s="2" t="str">
        <f>IF(TelecomData[[#This Row],[CleanedTotalCharges]]&gt;=2500,"High Spend", "Standard Spend")</f>
        <v>Standard Spend</v>
      </c>
    </row>
    <row r="4872" spans="1:14" x14ac:dyDescent="0.3">
      <c r="A4872" s="1" t="s">
        <v>4896</v>
      </c>
      <c r="B4872" s="2" t="s">
        <v>19</v>
      </c>
      <c r="C4872" s="2" t="s">
        <v>20</v>
      </c>
      <c r="D4872" s="2">
        <v>48</v>
      </c>
      <c r="E4872" s="2" t="s">
        <v>14</v>
      </c>
      <c r="F4872" s="2" t="s">
        <v>15</v>
      </c>
      <c r="G4872" s="7">
        <v>64.400000000000006</v>
      </c>
      <c r="H4872" s="7">
        <v>3035.35</v>
      </c>
      <c r="I4872" s="2" t="s">
        <v>15</v>
      </c>
      <c r="J4872" s="2" t="s">
        <v>16</v>
      </c>
      <c r="K4872" s="2" t="s">
        <v>24</v>
      </c>
      <c r="L4872" s="7">
        <v>3035.35</v>
      </c>
      <c r="M4872" s="2" t="str">
        <f>_xlfn.IFS(TelecomData[[#This Row],[TenureMonths]]&lt;=12, "0-1 Year", TelecomData[[#This Row],[TenureMonths]]&lt;=36, "1-3 Years", TelecomData[[#This Row],[TenureMonths]]&gt;36, "3+ Years")</f>
        <v>3+ Years</v>
      </c>
      <c r="N4872" s="2" t="str">
        <f>IF(TelecomData[[#This Row],[CleanedTotalCharges]]&gt;=2500,"High Spend", "Standard Spend")</f>
        <v>High Spend</v>
      </c>
    </row>
    <row r="4873" spans="1:14" x14ac:dyDescent="0.3">
      <c r="A4873" s="1" t="s">
        <v>4897</v>
      </c>
      <c r="B4873" s="2" t="s">
        <v>19</v>
      </c>
      <c r="C4873" s="2" t="s">
        <v>20</v>
      </c>
      <c r="D4873" s="2">
        <v>58</v>
      </c>
      <c r="E4873" s="2" t="s">
        <v>14</v>
      </c>
      <c r="F4873" s="2" t="s">
        <v>16</v>
      </c>
      <c r="G4873" s="7">
        <v>75.2</v>
      </c>
      <c r="H4873" s="7">
        <v>4300.8</v>
      </c>
      <c r="I4873" s="2" t="s">
        <v>15</v>
      </c>
      <c r="J4873" s="2" t="s">
        <v>16</v>
      </c>
      <c r="K4873" s="2" t="s">
        <v>29</v>
      </c>
      <c r="L4873" s="7">
        <v>4300.8</v>
      </c>
      <c r="M4873" s="2" t="str">
        <f>_xlfn.IFS(TelecomData[[#This Row],[TenureMonths]]&lt;=12, "0-1 Year", TelecomData[[#This Row],[TenureMonths]]&lt;=36, "1-3 Years", TelecomData[[#This Row],[TenureMonths]]&gt;36, "3+ Years")</f>
        <v>3+ Years</v>
      </c>
      <c r="N4873" s="2" t="str">
        <f>IF(TelecomData[[#This Row],[CleanedTotalCharges]]&gt;=2500,"High Spend", "Standard Spend")</f>
        <v>High Spend</v>
      </c>
    </row>
    <row r="4874" spans="1:14" x14ac:dyDescent="0.3">
      <c r="A4874" s="1" t="s">
        <v>4898</v>
      </c>
      <c r="B4874" s="2" t="s">
        <v>12</v>
      </c>
      <c r="C4874" s="2" t="s">
        <v>35</v>
      </c>
      <c r="D4874" s="2">
        <v>72</v>
      </c>
      <c r="E4874" s="2" t="s">
        <v>14</v>
      </c>
      <c r="F4874" s="2" t="s">
        <v>16</v>
      </c>
      <c r="G4874" s="7">
        <v>84.9</v>
      </c>
      <c r="H4874" s="7">
        <v>6065.3</v>
      </c>
      <c r="I4874" s="2" t="s">
        <v>15</v>
      </c>
      <c r="J4874" s="2" t="s">
        <v>16</v>
      </c>
      <c r="K4874" s="2" t="s">
        <v>24</v>
      </c>
      <c r="L4874" s="7">
        <v>6065.3</v>
      </c>
      <c r="M4874" s="2" t="str">
        <f>_xlfn.IFS(TelecomData[[#This Row],[TenureMonths]]&lt;=12, "0-1 Year", TelecomData[[#This Row],[TenureMonths]]&lt;=36, "1-3 Years", TelecomData[[#This Row],[TenureMonths]]&gt;36, "3+ Years")</f>
        <v>3+ Years</v>
      </c>
      <c r="N4874" s="2" t="str">
        <f>IF(TelecomData[[#This Row],[CleanedTotalCharges]]&gt;=2500,"High Spend", "Standard Spend")</f>
        <v>High Spend</v>
      </c>
    </row>
    <row r="4875" spans="1:14" x14ac:dyDescent="0.3">
      <c r="A4875" s="1" t="s">
        <v>4899</v>
      </c>
      <c r="B4875" s="2" t="s">
        <v>12</v>
      </c>
      <c r="C4875" s="2" t="s">
        <v>13</v>
      </c>
      <c r="D4875" s="2">
        <v>7</v>
      </c>
      <c r="E4875" s="2" t="s">
        <v>15</v>
      </c>
      <c r="F4875" s="2" t="s">
        <v>36</v>
      </c>
      <c r="G4875" s="7">
        <v>19.3</v>
      </c>
      <c r="H4875" s="7">
        <v>144.94999999999999</v>
      </c>
      <c r="I4875" s="2" t="s">
        <v>15</v>
      </c>
      <c r="J4875" s="2" t="s">
        <v>15</v>
      </c>
      <c r="K4875" s="2" t="s">
        <v>21</v>
      </c>
      <c r="L4875" s="7">
        <v>144.94999999999999</v>
      </c>
      <c r="M4875" s="2" t="str">
        <f>_xlfn.IFS(TelecomData[[#This Row],[TenureMonths]]&lt;=12, "0-1 Year", TelecomData[[#This Row],[TenureMonths]]&lt;=36, "1-3 Years", TelecomData[[#This Row],[TenureMonths]]&gt;36, "3+ Years")</f>
        <v>0-1 Year</v>
      </c>
      <c r="N4875" s="2" t="str">
        <f>IF(TelecomData[[#This Row],[CleanedTotalCharges]]&gt;=2500,"High Spend", "Standard Spend")</f>
        <v>Standard Spend</v>
      </c>
    </row>
    <row r="4876" spans="1:14" x14ac:dyDescent="0.3">
      <c r="A4876" s="1" t="s">
        <v>4900</v>
      </c>
      <c r="B4876" s="2" t="s">
        <v>12</v>
      </c>
      <c r="C4876" s="2" t="s">
        <v>13</v>
      </c>
      <c r="D4876" s="2">
        <v>38</v>
      </c>
      <c r="E4876" s="2" t="s">
        <v>26</v>
      </c>
      <c r="F4876" s="2" t="s">
        <v>15</v>
      </c>
      <c r="G4876" s="7">
        <v>83.9</v>
      </c>
      <c r="H4876" s="7">
        <v>3233.6</v>
      </c>
      <c r="I4876" s="2" t="s">
        <v>16</v>
      </c>
      <c r="J4876" s="2" t="s">
        <v>16</v>
      </c>
      <c r="K4876" s="2" t="s">
        <v>29</v>
      </c>
      <c r="L4876" s="7">
        <v>3233.6</v>
      </c>
      <c r="M4876" s="2" t="str">
        <f>_xlfn.IFS(TelecomData[[#This Row],[TenureMonths]]&lt;=12, "0-1 Year", TelecomData[[#This Row],[TenureMonths]]&lt;=36, "1-3 Years", TelecomData[[#This Row],[TenureMonths]]&gt;36, "3+ Years")</f>
        <v>3+ Years</v>
      </c>
      <c r="N4876" s="2" t="str">
        <f>IF(TelecomData[[#This Row],[CleanedTotalCharges]]&gt;=2500,"High Spend", "Standard Spend")</f>
        <v>High Spend</v>
      </c>
    </row>
    <row r="4877" spans="1:14" x14ac:dyDescent="0.3">
      <c r="A4877" s="1" t="s">
        <v>4901</v>
      </c>
      <c r="B4877" s="2" t="s">
        <v>12</v>
      </c>
      <c r="C4877" s="2" t="s">
        <v>13</v>
      </c>
      <c r="D4877" s="2">
        <v>48</v>
      </c>
      <c r="E4877" s="2" t="s">
        <v>26</v>
      </c>
      <c r="F4877" s="2" t="s">
        <v>16</v>
      </c>
      <c r="G4877" s="7">
        <v>117.45</v>
      </c>
      <c r="H4877" s="7">
        <v>5438.9</v>
      </c>
      <c r="I4877" s="2" t="s">
        <v>16</v>
      </c>
      <c r="J4877" s="2" t="s">
        <v>15</v>
      </c>
      <c r="K4877" s="2" t="s">
        <v>17</v>
      </c>
      <c r="L4877" s="7">
        <v>5438.9</v>
      </c>
      <c r="M4877" s="2" t="str">
        <f>_xlfn.IFS(TelecomData[[#This Row],[TenureMonths]]&lt;=12, "0-1 Year", TelecomData[[#This Row],[TenureMonths]]&lt;=36, "1-3 Years", TelecomData[[#This Row],[TenureMonths]]&gt;36, "3+ Years")</f>
        <v>3+ Years</v>
      </c>
      <c r="N4877" s="2" t="str">
        <f>IF(TelecomData[[#This Row],[CleanedTotalCharges]]&gt;=2500,"High Spend", "Standard Spend")</f>
        <v>High Spend</v>
      </c>
    </row>
    <row r="4878" spans="1:14" x14ac:dyDescent="0.3">
      <c r="A4878" s="1" t="s">
        <v>4902</v>
      </c>
      <c r="B4878" s="2" t="s">
        <v>19</v>
      </c>
      <c r="C4878" s="2" t="s">
        <v>13</v>
      </c>
      <c r="D4878" s="2">
        <v>10</v>
      </c>
      <c r="E4878" s="2" t="s">
        <v>26</v>
      </c>
      <c r="F4878" s="2" t="s">
        <v>15</v>
      </c>
      <c r="G4878" s="7">
        <v>104.4</v>
      </c>
      <c r="H4878" s="7">
        <v>1081.45</v>
      </c>
      <c r="I4878" s="2" t="s">
        <v>16</v>
      </c>
      <c r="J4878" s="2" t="s">
        <v>16</v>
      </c>
      <c r="K4878" s="2" t="s">
        <v>17</v>
      </c>
      <c r="L4878" s="7">
        <v>1081.45</v>
      </c>
      <c r="M4878" s="2" t="str">
        <f>_xlfn.IFS(TelecomData[[#This Row],[TenureMonths]]&lt;=12, "0-1 Year", TelecomData[[#This Row],[TenureMonths]]&lt;=36, "1-3 Years", TelecomData[[#This Row],[TenureMonths]]&gt;36, "3+ Years")</f>
        <v>0-1 Year</v>
      </c>
      <c r="N4878" s="2" t="str">
        <f>IF(TelecomData[[#This Row],[CleanedTotalCharges]]&gt;=2500,"High Spend", "Standard Spend")</f>
        <v>Standard Spend</v>
      </c>
    </row>
    <row r="4879" spans="1:14" x14ac:dyDescent="0.3">
      <c r="A4879" s="1" t="s">
        <v>4903</v>
      </c>
      <c r="B4879" s="2" t="s">
        <v>12</v>
      </c>
      <c r="C4879" s="2" t="s">
        <v>20</v>
      </c>
      <c r="D4879" s="2">
        <v>30</v>
      </c>
      <c r="E4879" s="2" t="s">
        <v>14</v>
      </c>
      <c r="F4879" s="2" t="s">
        <v>16</v>
      </c>
      <c r="G4879" s="7">
        <v>74.650000000000006</v>
      </c>
      <c r="H4879" s="7">
        <v>2308.6</v>
      </c>
      <c r="I4879" s="2" t="s">
        <v>15</v>
      </c>
      <c r="J4879" s="2" t="s">
        <v>15</v>
      </c>
      <c r="K4879" s="2" t="s">
        <v>29</v>
      </c>
      <c r="L4879" s="7">
        <v>2308.6</v>
      </c>
      <c r="M4879" s="2" t="str">
        <f>_xlfn.IFS(TelecomData[[#This Row],[TenureMonths]]&lt;=12, "0-1 Year", TelecomData[[#This Row],[TenureMonths]]&lt;=36, "1-3 Years", TelecomData[[#This Row],[TenureMonths]]&gt;36, "3+ Years")</f>
        <v>1-3 Years</v>
      </c>
      <c r="N4879" s="2" t="str">
        <f>IF(TelecomData[[#This Row],[CleanedTotalCharges]]&gt;=2500,"High Spend", "Standard Spend")</f>
        <v>Standard Spend</v>
      </c>
    </row>
    <row r="4880" spans="1:14" x14ac:dyDescent="0.3">
      <c r="A4880" s="1" t="s">
        <v>4904</v>
      </c>
      <c r="B4880" s="2" t="s">
        <v>19</v>
      </c>
      <c r="C4880" s="2" t="s">
        <v>13</v>
      </c>
      <c r="D4880" s="2">
        <v>31</v>
      </c>
      <c r="E4880" s="2" t="s">
        <v>14</v>
      </c>
      <c r="F4880" s="2" t="s">
        <v>15</v>
      </c>
      <c r="G4880" s="7">
        <v>59.05</v>
      </c>
      <c r="H4880" s="7">
        <v>1882.8</v>
      </c>
      <c r="I4880" s="2" t="s">
        <v>15</v>
      </c>
      <c r="J4880" s="2" t="s">
        <v>16</v>
      </c>
      <c r="K4880" s="2" t="s">
        <v>29</v>
      </c>
      <c r="L4880" s="7">
        <v>1882.8</v>
      </c>
      <c r="M4880" s="2" t="str">
        <f>_xlfn.IFS(TelecomData[[#This Row],[TenureMonths]]&lt;=12, "0-1 Year", TelecomData[[#This Row],[TenureMonths]]&lt;=36, "1-3 Years", TelecomData[[#This Row],[TenureMonths]]&gt;36, "3+ Years")</f>
        <v>1-3 Years</v>
      </c>
      <c r="N4880" s="2" t="str">
        <f>IF(TelecomData[[#This Row],[CleanedTotalCharges]]&gt;=2500,"High Spend", "Standard Spend")</f>
        <v>Standard Spend</v>
      </c>
    </row>
    <row r="4881" spans="1:14" x14ac:dyDescent="0.3">
      <c r="A4881" s="1" t="s">
        <v>4905</v>
      </c>
      <c r="B4881" s="2" t="s">
        <v>12</v>
      </c>
      <c r="C4881" s="2" t="s">
        <v>20</v>
      </c>
      <c r="D4881" s="2">
        <v>46</v>
      </c>
      <c r="E4881" s="2" t="s">
        <v>14</v>
      </c>
      <c r="F4881" s="2" t="s">
        <v>16</v>
      </c>
      <c r="G4881" s="7">
        <v>69.099999999999994</v>
      </c>
      <c r="H4881" s="7">
        <v>3255.35</v>
      </c>
      <c r="I4881" s="2" t="s">
        <v>15</v>
      </c>
      <c r="J4881" s="2" t="s">
        <v>16</v>
      </c>
      <c r="K4881" s="2" t="s">
        <v>29</v>
      </c>
      <c r="L4881" s="7">
        <v>3255.35</v>
      </c>
      <c r="M4881" s="2" t="str">
        <f>_xlfn.IFS(TelecomData[[#This Row],[TenureMonths]]&lt;=12, "0-1 Year", TelecomData[[#This Row],[TenureMonths]]&lt;=36, "1-3 Years", TelecomData[[#This Row],[TenureMonths]]&gt;36, "3+ Years")</f>
        <v>3+ Years</v>
      </c>
      <c r="N4881" s="2" t="str">
        <f>IF(TelecomData[[#This Row],[CleanedTotalCharges]]&gt;=2500,"High Spend", "Standard Spend")</f>
        <v>High Spend</v>
      </c>
    </row>
    <row r="4882" spans="1:14" x14ac:dyDescent="0.3">
      <c r="A4882" s="1" t="s">
        <v>4906</v>
      </c>
      <c r="B4882" s="2" t="s">
        <v>19</v>
      </c>
      <c r="C4882" s="2" t="s">
        <v>35</v>
      </c>
      <c r="D4882" s="2">
        <v>50</v>
      </c>
      <c r="E4882" s="2" t="s">
        <v>15</v>
      </c>
      <c r="F4882" s="2" t="s">
        <v>36</v>
      </c>
      <c r="G4882" s="7">
        <v>20.55</v>
      </c>
      <c r="H4882" s="7">
        <v>1067.6500000000001</v>
      </c>
      <c r="I4882" s="2" t="s">
        <v>15</v>
      </c>
      <c r="J4882" s="2" t="s">
        <v>15</v>
      </c>
      <c r="K4882" s="2" t="s">
        <v>21</v>
      </c>
      <c r="L4882" s="7">
        <v>1067.6500000000001</v>
      </c>
      <c r="M4882" s="2" t="str">
        <f>_xlfn.IFS(TelecomData[[#This Row],[TenureMonths]]&lt;=12, "0-1 Year", TelecomData[[#This Row],[TenureMonths]]&lt;=36, "1-3 Years", TelecomData[[#This Row],[TenureMonths]]&gt;36, "3+ Years")</f>
        <v>3+ Years</v>
      </c>
      <c r="N4882" s="2" t="str">
        <f>IF(TelecomData[[#This Row],[CleanedTotalCharges]]&gt;=2500,"High Spend", "Standard Spend")</f>
        <v>Standard Spend</v>
      </c>
    </row>
    <row r="4883" spans="1:14" x14ac:dyDescent="0.3">
      <c r="A4883" s="1" t="s">
        <v>4907</v>
      </c>
      <c r="B4883" s="2" t="s">
        <v>19</v>
      </c>
      <c r="C4883" s="2" t="s">
        <v>13</v>
      </c>
      <c r="D4883" s="2">
        <v>28</v>
      </c>
      <c r="E4883" s="2" t="s">
        <v>26</v>
      </c>
      <c r="F4883" s="2" t="s">
        <v>16</v>
      </c>
      <c r="G4883" s="7">
        <v>76.55</v>
      </c>
      <c r="H4883" s="7">
        <v>2065.4</v>
      </c>
      <c r="I4883" s="2" t="s">
        <v>15</v>
      </c>
      <c r="J4883" s="2" t="s">
        <v>15</v>
      </c>
      <c r="K4883" s="2" t="s">
        <v>24</v>
      </c>
      <c r="L4883" s="7">
        <v>2065.4</v>
      </c>
      <c r="M4883" s="2" t="str">
        <f>_xlfn.IFS(TelecomData[[#This Row],[TenureMonths]]&lt;=12, "0-1 Year", TelecomData[[#This Row],[TenureMonths]]&lt;=36, "1-3 Years", TelecomData[[#This Row],[TenureMonths]]&gt;36, "3+ Years")</f>
        <v>1-3 Years</v>
      </c>
      <c r="N4883" s="2" t="str">
        <f>IF(TelecomData[[#This Row],[CleanedTotalCharges]]&gt;=2500,"High Spend", "Standard Spend")</f>
        <v>Standard Spend</v>
      </c>
    </row>
    <row r="4884" spans="1:14" x14ac:dyDescent="0.3">
      <c r="A4884" s="1" t="s">
        <v>4908</v>
      </c>
      <c r="B4884" s="2" t="s">
        <v>12</v>
      </c>
      <c r="C4884" s="2" t="s">
        <v>35</v>
      </c>
      <c r="D4884" s="2">
        <v>66</v>
      </c>
      <c r="E4884" s="2" t="s">
        <v>14</v>
      </c>
      <c r="F4884" s="2" t="s">
        <v>16</v>
      </c>
      <c r="G4884" s="7">
        <v>62.5</v>
      </c>
      <c r="H4884" s="7">
        <v>4136.3999999999996</v>
      </c>
      <c r="I4884" s="2" t="s">
        <v>15</v>
      </c>
      <c r="J4884" s="2" t="s">
        <v>16</v>
      </c>
      <c r="K4884" s="2" t="s">
        <v>24</v>
      </c>
      <c r="L4884" s="7">
        <v>4136.3999999999996</v>
      </c>
      <c r="M4884" s="2" t="str">
        <f>_xlfn.IFS(TelecomData[[#This Row],[TenureMonths]]&lt;=12, "0-1 Year", TelecomData[[#This Row],[TenureMonths]]&lt;=36, "1-3 Years", TelecomData[[#This Row],[TenureMonths]]&gt;36, "3+ Years")</f>
        <v>3+ Years</v>
      </c>
      <c r="N4884" s="2" t="str">
        <f>IF(TelecomData[[#This Row],[CleanedTotalCharges]]&gt;=2500,"High Spend", "Standard Spend")</f>
        <v>High Spend</v>
      </c>
    </row>
    <row r="4885" spans="1:14" x14ac:dyDescent="0.3">
      <c r="A4885" s="1" t="s">
        <v>4909</v>
      </c>
      <c r="B4885" s="2" t="s">
        <v>19</v>
      </c>
      <c r="C4885" s="2" t="s">
        <v>13</v>
      </c>
      <c r="D4885" s="2">
        <v>8</v>
      </c>
      <c r="E4885" s="2" t="s">
        <v>14</v>
      </c>
      <c r="F4885" s="2" t="s">
        <v>15</v>
      </c>
      <c r="G4885" s="7">
        <v>29.4</v>
      </c>
      <c r="H4885" s="7">
        <v>221.9</v>
      </c>
      <c r="I4885" s="2" t="s">
        <v>16</v>
      </c>
      <c r="J4885" s="2" t="s">
        <v>16</v>
      </c>
      <c r="K4885" s="2" t="s">
        <v>17</v>
      </c>
      <c r="L4885" s="7">
        <v>221.9</v>
      </c>
      <c r="M4885" s="2" t="str">
        <f>_xlfn.IFS(TelecomData[[#This Row],[TenureMonths]]&lt;=12, "0-1 Year", TelecomData[[#This Row],[TenureMonths]]&lt;=36, "1-3 Years", TelecomData[[#This Row],[TenureMonths]]&gt;36, "3+ Years")</f>
        <v>0-1 Year</v>
      </c>
      <c r="N4885" s="2" t="str">
        <f>IF(TelecomData[[#This Row],[CleanedTotalCharges]]&gt;=2500,"High Spend", "Standard Spend")</f>
        <v>Standard Spend</v>
      </c>
    </row>
    <row r="4886" spans="1:14" x14ac:dyDescent="0.3">
      <c r="A4886" s="1" t="s">
        <v>4910</v>
      </c>
      <c r="B4886" s="2" t="s">
        <v>12</v>
      </c>
      <c r="C4886" s="2" t="s">
        <v>13</v>
      </c>
      <c r="D4886" s="2">
        <v>41</v>
      </c>
      <c r="E4886" s="2" t="s">
        <v>26</v>
      </c>
      <c r="F4886" s="2" t="s">
        <v>15</v>
      </c>
      <c r="G4886" s="7">
        <v>94.9</v>
      </c>
      <c r="H4886" s="7">
        <v>3848</v>
      </c>
      <c r="I4886" s="2" t="s">
        <v>15</v>
      </c>
      <c r="J4886" s="2" t="s">
        <v>16</v>
      </c>
      <c r="K4886" s="2" t="s">
        <v>24</v>
      </c>
      <c r="L4886" s="7">
        <v>3848</v>
      </c>
      <c r="M4886" s="2" t="str">
        <f>_xlfn.IFS(TelecomData[[#This Row],[TenureMonths]]&lt;=12, "0-1 Year", TelecomData[[#This Row],[TenureMonths]]&lt;=36, "1-3 Years", TelecomData[[#This Row],[TenureMonths]]&gt;36, "3+ Years")</f>
        <v>3+ Years</v>
      </c>
      <c r="N4886" s="2" t="str">
        <f>IF(TelecomData[[#This Row],[CleanedTotalCharges]]&gt;=2500,"High Spend", "Standard Spend")</f>
        <v>High Spend</v>
      </c>
    </row>
    <row r="4887" spans="1:14" x14ac:dyDescent="0.3">
      <c r="A4887" s="1" t="s">
        <v>4911</v>
      </c>
      <c r="B4887" s="2" t="s">
        <v>19</v>
      </c>
      <c r="C4887" s="2" t="s">
        <v>35</v>
      </c>
      <c r="D4887" s="2">
        <v>72</v>
      </c>
      <c r="E4887" s="2" t="s">
        <v>26</v>
      </c>
      <c r="F4887" s="2" t="s">
        <v>16</v>
      </c>
      <c r="G4887" s="7">
        <v>111.65</v>
      </c>
      <c r="H4887" s="7">
        <v>8022.85</v>
      </c>
      <c r="I4887" s="2" t="s">
        <v>15</v>
      </c>
      <c r="J4887" s="2" t="s">
        <v>16</v>
      </c>
      <c r="K4887" s="2" t="s">
        <v>24</v>
      </c>
      <c r="L4887" s="7">
        <v>8022.85</v>
      </c>
      <c r="M4887" s="2" t="str">
        <f>_xlfn.IFS(TelecomData[[#This Row],[TenureMonths]]&lt;=12, "0-1 Year", TelecomData[[#This Row],[TenureMonths]]&lt;=36, "1-3 Years", TelecomData[[#This Row],[TenureMonths]]&gt;36, "3+ Years")</f>
        <v>3+ Years</v>
      </c>
      <c r="N4887" s="2" t="str">
        <f>IF(TelecomData[[#This Row],[CleanedTotalCharges]]&gt;=2500,"High Spend", "Standard Spend")</f>
        <v>High Spend</v>
      </c>
    </row>
    <row r="4888" spans="1:14" x14ac:dyDescent="0.3">
      <c r="A4888" s="1" t="s">
        <v>4912</v>
      </c>
      <c r="B4888" s="2" t="s">
        <v>12</v>
      </c>
      <c r="C4888" s="2" t="s">
        <v>20</v>
      </c>
      <c r="D4888" s="2">
        <v>7</v>
      </c>
      <c r="E4888" s="2" t="s">
        <v>15</v>
      </c>
      <c r="F4888" s="2" t="s">
        <v>36</v>
      </c>
      <c r="G4888" s="7">
        <v>19.899999999999999</v>
      </c>
      <c r="H4888" s="7">
        <v>173.15</v>
      </c>
      <c r="I4888" s="2" t="s">
        <v>15</v>
      </c>
      <c r="J4888" s="2" t="s">
        <v>15</v>
      </c>
      <c r="K4888" s="2" t="s">
        <v>21</v>
      </c>
      <c r="L4888" s="7">
        <v>173.15</v>
      </c>
      <c r="M4888" s="2" t="str">
        <f>_xlfn.IFS(TelecomData[[#This Row],[TenureMonths]]&lt;=12, "0-1 Year", TelecomData[[#This Row],[TenureMonths]]&lt;=36, "1-3 Years", TelecomData[[#This Row],[TenureMonths]]&gt;36, "3+ Years")</f>
        <v>0-1 Year</v>
      </c>
      <c r="N4888" s="2" t="str">
        <f>IF(TelecomData[[#This Row],[CleanedTotalCharges]]&gt;=2500,"High Spend", "Standard Spend")</f>
        <v>Standard Spend</v>
      </c>
    </row>
    <row r="4889" spans="1:14" x14ac:dyDescent="0.3">
      <c r="A4889" s="1" t="s">
        <v>4913</v>
      </c>
      <c r="B4889" s="2" t="s">
        <v>12</v>
      </c>
      <c r="C4889" s="2" t="s">
        <v>13</v>
      </c>
      <c r="D4889" s="2">
        <v>38</v>
      </c>
      <c r="E4889" s="2" t="s">
        <v>15</v>
      </c>
      <c r="F4889" s="2" t="s">
        <v>36</v>
      </c>
      <c r="G4889" s="7">
        <v>20.45</v>
      </c>
      <c r="H4889" s="7">
        <v>781.25</v>
      </c>
      <c r="I4889" s="2" t="s">
        <v>15</v>
      </c>
      <c r="J4889" s="2" t="s">
        <v>15</v>
      </c>
      <c r="K4889" s="2" t="s">
        <v>21</v>
      </c>
      <c r="L4889" s="7">
        <v>781.25</v>
      </c>
      <c r="M4889" s="2" t="str">
        <f>_xlfn.IFS(TelecomData[[#This Row],[TenureMonths]]&lt;=12, "0-1 Year", TelecomData[[#This Row],[TenureMonths]]&lt;=36, "1-3 Years", TelecomData[[#This Row],[TenureMonths]]&gt;36, "3+ Years")</f>
        <v>3+ Years</v>
      </c>
      <c r="N4889" s="2" t="str">
        <f>IF(TelecomData[[#This Row],[CleanedTotalCharges]]&gt;=2500,"High Spend", "Standard Spend")</f>
        <v>Standard Spend</v>
      </c>
    </row>
    <row r="4890" spans="1:14" x14ac:dyDescent="0.3">
      <c r="A4890" s="1" t="s">
        <v>4914</v>
      </c>
      <c r="B4890" s="2" t="s">
        <v>19</v>
      </c>
      <c r="C4890" s="2" t="s">
        <v>20</v>
      </c>
      <c r="D4890" s="2">
        <v>44</v>
      </c>
      <c r="E4890" s="2" t="s">
        <v>26</v>
      </c>
      <c r="F4890" s="2" t="s">
        <v>15</v>
      </c>
      <c r="G4890" s="7">
        <v>106.05</v>
      </c>
      <c r="H4890" s="7">
        <v>4510.8</v>
      </c>
      <c r="I4890" s="2" t="s">
        <v>15</v>
      </c>
      <c r="J4890" s="2" t="s">
        <v>16</v>
      </c>
      <c r="K4890" s="2" t="s">
        <v>17</v>
      </c>
      <c r="L4890" s="7">
        <v>4510.8</v>
      </c>
      <c r="M4890" s="2" t="str">
        <f>_xlfn.IFS(TelecomData[[#This Row],[TenureMonths]]&lt;=12, "0-1 Year", TelecomData[[#This Row],[TenureMonths]]&lt;=36, "1-3 Years", TelecomData[[#This Row],[TenureMonths]]&gt;36, "3+ Years")</f>
        <v>3+ Years</v>
      </c>
      <c r="N4890" s="2" t="str">
        <f>IF(TelecomData[[#This Row],[CleanedTotalCharges]]&gt;=2500,"High Spend", "Standard Spend")</f>
        <v>High Spend</v>
      </c>
    </row>
    <row r="4891" spans="1:14" x14ac:dyDescent="0.3">
      <c r="A4891" s="1" t="s">
        <v>4915</v>
      </c>
      <c r="B4891" s="2" t="s">
        <v>19</v>
      </c>
      <c r="C4891" s="2" t="s">
        <v>20</v>
      </c>
      <c r="D4891" s="2">
        <v>47</v>
      </c>
      <c r="E4891" s="2" t="s">
        <v>26</v>
      </c>
      <c r="F4891" s="2" t="s">
        <v>16</v>
      </c>
      <c r="G4891" s="7">
        <v>113.45</v>
      </c>
      <c r="H4891" s="7">
        <v>5317.8</v>
      </c>
      <c r="I4891" s="2" t="s">
        <v>15</v>
      </c>
      <c r="J4891" s="2" t="s">
        <v>16</v>
      </c>
      <c r="K4891" s="2" t="s">
        <v>24</v>
      </c>
      <c r="L4891" s="7">
        <v>5317.8</v>
      </c>
      <c r="M4891" s="2" t="str">
        <f>_xlfn.IFS(TelecomData[[#This Row],[TenureMonths]]&lt;=12, "0-1 Year", TelecomData[[#This Row],[TenureMonths]]&lt;=36, "1-3 Years", TelecomData[[#This Row],[TenureMonths]]&gt;36, "3+ Years")</f>
        <v>3+ Years</v>
      </c>
      <c r="N4891" s="2" t="str">
        <f>IF(TelecomData[[#This Row],[CleanedTotalCharges]]&gt;=2500,"High Spend", "Standard Spend")</f>
        <v>High Spend</v>
      </c>
    </row>
    <row r="4892" spans="1:14" x14ac:dyDescent="0.3">
      <c r="A4892" s="1" t="s">
        <v>4916</v>
      </c>
      <c r="B4892" s="2" t="s">
        <v>19</v>
      </c>
      <c r="C4892" s="2" t="s">
        <v>13</v>
      </c>
      <c r="D4892" s="2">
        <v>53</v>
      </c>
      <c r="E4892" s="2" t="s">
        <v>26</v>
      </c>
      <c r="F4892" s="2" t="s">
        <v>16</v>
      </c>
      <c r="G4892" s="7">
        <v>92.55</v>
      </c>
      <c r="H4892" s="7">
        <v>4779.45</v>
      </c>
      <c r="I4892" s="2" t="s">
        <v>15</v>
      </c>
      <c r="J4892" s="2" t="s">
        <v>16</v>
      </c>
      <c r="K4892" s="2" t="s">
        <v>17</v>
      </c>
      <c r="L4892" s="7">
        <v>4779.45</v>
      </c>
      <c r="M4892" s="2" t="str">
        <f>_xlfn.IFS(TelecomData[[#This Row],[TenureMonths]]&lt;=12, "0-1 Year", TelecomData[[#This Row],[TenureMonths]]&lt;=36, "1-3 Years", TelecomData[[#This Row],[TenureMonths]]&gt;36, "3+ Years")</f>
        <v>3+ Years</v>
      </c>
      <c r="N4892" s="2" t="str">
        <f>IF(TelecomData[[#This Row],[CleanedTotalCharges]]&gt;=2500,"High Spend", "Standard Spend")</f>
        <v>High Spend</v>
      </c>
    </row>
    <row r="4893" spans="1:14" x14ac:dyDescent="0.3">
      <c r="A4893" s="1" t="s">
        <v>4917</v>
      </c>
      <c r="B4893" s="2" t="s">
        <v>19</v>
      </c>
      <c r="C4893" s="2" t="s">
        <v>13</v>
      </c>
      <c r="D4893" s="2">
        <v>4</v>
      </c>
      <c r="E4893" s="2" t="s">
        <v>14</v>
      </c>
      <c r="F4893" s="2" t="s">
        <v>15</v>
      </c>
      <c r="G4893" s="7">
        <v>65.599999999999994</v>
      </c>
      <c r="H4893" s="7">
        <v>250.1</v>
      </c>
      <c r="I4893" s="2" t="s">
        <v>15</v>
      </c>
      <c r="J4893" s="2" t="s">
        <v>15</v>
      </c>
      <c r="K4893" s="2" t="s">
        <v>17</v>
      </c>
      <c r="L4893" s="7">
        <v>250.1</v>
      </c>
      <c r="M4893" s="2" t="str">
        <f>_xlfn.IFS(TelecomData[[#This Row],[TenureMonths]]&lt;=12, "0-1 Year", TelecomData[[#This Row],[TenureMonths]]&lt;=36, "1-3 Years", TelecomData[[#This Row],[TenureMonths]]&gt;36, "3+ Years")</f>
        <v>0-1 Year</v>
      </c>
      <c r="N4893" s="2" t="str">
        <f>IF(TelecomData[[#This Row],[CleanedTotalCharges]]&gt;=2500,"High Spend", "Standard Spend")</f>
        <v>Standard Spend</v>
      </c>
    </row>
    <row r="4894" spans="1:14" x14ac:dyDescent="0.3">
      <c r="A4894" s="1" t="s">
        <v>4918</v>
      </c>
      <c r="B4894" s="2" t="s">
        <v>19</v>
      </c>
      <c r="C4894" s="2" t="s">
        <v>13</v>
      </c>
      <c r="D4894" s="2">
        <v>20</v>
      </c>
      <c r="E4894" s="2" t="s">
        <v>26</v>
      </c>
      <c r="F4894" s="2" t="s">
        <v>15</v>
      </c>
      <c r="G4894" s="7">
        <v>84.35</v>
      </c>
      <c r="H4894" s="7">
        <v>1745.2</v>
      </c>
      <c r="I4894" s="2" t="s">
        <v>15</v>
      </c>
      <c r="J4894" s="2" t="s">
        <v>16</v>
      </c>
      <c r="K4894" s="2" t="s">
        <v>17</v>
      </c>
      <c r="L4894" s="7">
        <v>1745.2</v>
      </c>
      <c r="M4894" s="2" t="str">
        <f>_xlfn.IFS(TelecomData[[#This Row],[TenureMonths]]&lt;=12, "0-1 Year", TelecomData[[#This Row],[TenureMonths]]&lt;=36, "1-3 Years", TelecomData[[#This Row],[TenureMonths]]&gt;36, "3+ Years")</f>
        <v>1-3 Years</v>
      </c>
      <c r="N4894" s="2" t="str">
        <f>IF(TelecomData[[#This Row],[CleanedTotalCharges]]&gt;=2500,"High Spend", "Standard Spend")</f>
        <v>Standard Spend</v>
      </c>
    </row>
    <row r="4895" spans="1:14" x14ac:dyDescent="0.3">
      <c r="A4895" s="1" t="s">
        <v>4919</v>
      </c>
      <c r="B4895" s="2" t="s">
        <v>19</v>
      </c>
      <c r="C4895" s="2" t="s">
        <v>13</v>
      </c>
      <c r="D4895" s="2">
        <v>2</v>
      </c>
      <c r="E4895" s="2" t="s">
        <v>14</v>
      </c>
      <c r="F4895" s="2" t="s">
        <v>15</v>
      </c>
      <c r="G4895" s="7">
        <v>44.65</v>
      </c>
      <c r="H4895" s="7">
        <v>74.900000000000006</v>
      </c>
      <c r="I4895" s="2" t="s">
        <v>16</v>
      </c>
      <c r="J4895" s="2" t="s">
        <v>15</v>
      </c>
      <c r="K4895" s="2" t="s">
        <v>21</v>
      </c>
      <c r="L4895" s="7">
        <v>74.900000000000006</v>
      </c>
      <c r="M4895" s="2" t="str">
        <f>_xlfn.IFS(TelecomData[[#This Row],[TenureMonths]]&lt;=12, "0-1 Year", TelecomData[[#This Row],[TenureMonths]]&lt;=36, "1-3 Years", TelecomData[[#This Row],[TenureMonths]]&gt;36, "3+ Years")</f>
        <v>0-1 Year</v>
      </c>
      <c r="N4895" s="2" t="str">
        <f>IF(TelecomData[[#This Row],[CleanedTotalCharges]]&gt;=2500,"High Spend", "Standard Spend")</f>
        <v>Standard Spend</v>
      </c>
    </row>
    <row r="4896" spans="1:14" x14ac:dyDescent="0.3">
      <c r="A4896" s="1" t="s">
        <v>4920</v>
      </c>
      <c r="B4896" s="2" t="s">
        <v>19</v>
      </c>
      <c r="C4896" s="2" t="s">
        <v>20</v>
      </c>
      <c r="D4896" s="2">
        <v>57</v>
      </c>
      <c r="E4896" s="2" t="s">
        <v>14</v>
      </c>
      <c r="F4896" s="2" t="s">
        <v>15</v>
      </c>
      <c r="G4896" s="7">
        <v>71.099999999999994</v>
      </c>
      <c r="H4896" s="7">
        <v>4140.1000000000004</v>
      </c>
      <c r="I4896" s="2" t="s">
        <v>15</v>
      </c>
      <c r="J4896" s="2" t="s">
        <v>16</v>
      </c>
      <c r="K4896" s="2" t="s">
        <v>29</v>
      </c>
      <c r="L4896" s="7">
        <v>4140.1000000000004</v>
      </c>
      <c r="M4896" s="2" t="str">
        <f>_xlfn.IFS(TelecomData[[#This Row],[TenureMonths]]&lt;=12, "0-1 Year", TelecomData[[#This Row],[TenureMonths]]&lt;=36, "1-3 Years", TelecomData[[#This Row],[TenureMonths]]&gt;36, "3+ Years")</f>
        <v>3+ Years</v>
      </c>
      <c r="N4896" s="2" t="str">
        <f>IF(TelecomData[[#This Row],[CleanedTotalCharges]]&gt;=2500,"High Spend", "Standard Spend")</f>
        <v>High Spend</v>
      </c>
    </row>
    <row r="4897" spans="1:14" x14ac:dyDescent="0.3">
      <c r="A4897" s="1" t="s">
        <v>4921</v>
      </c>
      <c r="B4897" s="2" t="s">
        <v>12</v>
      </c>
      <c r="C4897" s="2" t="s">
        <v>13</v>
      </c>
      <c r="D4897" s="2">
        <v>44</v>
      </c>
      <c r="E4897" s="2" t="s">
        <v>26</v>
      </c>
      <c r="F4897" s="2" t="s">
        <v>16</v>
      </c>
      <c r="G4897" s="7">
        <v>85.15</v>
      </c>
      <c r="H4897" s="7">
        <v>3670.5</v>
      </c>
      <c r="I4897" s="2" t="s">
        <v>15</v>
      </c>
      <c r="J4897" s="2" t="s">
        <v>16</v>
      </c>
      <c r="K4897" s="2" t="s">
        <v>17</v>
      </c>
      <c r="L4897" s="7">
        <v>3670.5</v>
      </c>
      <c r="M4897" s="2" t="str">
        <f>_xlfn.IFS(TelecomData[[#This Row],[TenureMonths]]&lt;=12, "0-1 Year", TelecomData[[#This Row],[TenureMonths]]&lt;=36, "1-3 Years", TelecomData[[#This Row],[TenureMonths]]&gt;36, "3+ Years")</f>
        <v>3+ Years</v>
      </c>
      <c r="N4897" s="2" t="str">
        <f>IF(TelecomData[[#This Row],[CleanedTotalCharges]]&gt;=2500,"High Spend", "Standard Spend")</f>
        <v>High Spend</v>
      </c>
    </row>
    <row r="4898" spans="1:14" x14ac:dyDescent="0.3">
      <c r="A4898" s="1" t="s">
        <v>4922</v>
      </c>
      <c r="B4898" s="2" t="s">
        <v>19</v>
      </c>
      <c r="C4898" s="2" t="s">
        <v>13</v>
      </c>
      <c r="D4898" s="2">
        <v>24</v>
      </c>
      <c r="E4898" s="2" t="s">
        <v>14</v>
      </c>
      <c r="F4898" s="2" t="s">
        <v>15</v>
      </c>
      <c r="G4898" s="7">
        <v>49.7</v>
      </c>
      <c r="H4898" s="7">
        <v>1167.8</v>
      </c>
      <c r="I4898" s="2" t="s">
        <v>15</v>
      </c>
      <c r="J4898" s="2" t="s">
        <v>16</v>
      </c>
      <c r="K4898" s="2" t="s">
        <v>21</v>
      </c>
      <c r="L4898" s="7">
        <v>1167.8</v>
      </c>
      <c r="M4898" s="2" t="str">
        <f>_xlfn.IFS(TelecomData[[#This Row],[TenureMonths]]&lt;=12, "0-1 Year", TelecomData[[#This Row],[TenureMonths]]&lt;=36, "1-3 Years", TelecomData[[#This Row],[TenureMonths]]&gt;36, "3+ Years")</f>
        <v>1-3 Years</v>
      </c>
      <c r="N4898" s="2" t="str">
        <f>IF(TelecomData[[#This Row],[CleanedTotalCharges]]&gt;=2500,"High Spend", "Standard Spend")</f>
        <v>Standard Spend</v>
      </c>
    </row>
    <row r="4899" spans="1:14" x14ac:dyDescent="0.3">
      <c r="A4899" s="1" t="s">
        <v>4923</v>
      </c>
      <c r="B4899" s="2" t="s">
        <v>19</v>
      </c>
      <c r="C4899" s="2" t="s">
        <v>13</v>
      </c>
      <c r="D4899" s="2">
        <v>15</v>
      </c>
      <c r="E4899" s="2" t="s">
        <v>14</v>
      </c>
      <c r="F4899" s="2" t="s">
        <v>15</v>
      </c>
      <c r="G4899" s="7">
        <v>30.2</v>
      </c>
      <c r="H4899" s="7">
        <v>469.65</v>
      </c>
      <c r="I4899" s="2" t="s">
        <v>15</v>
      </c>
      <c r="J4899" s="2" t="s">
        <v>16</v>
      </c>
      <c r="K4899" s="2" t="s">
        <v>24</v>
      </c>
      <c r="L4899" s="7">
        <v>469.65</v>
      </c>
      <c r="M4899" s="2" t="str">
        <f>_xlfn.IFS(TelecomData[[#This Row],[TenureMonths]]&lt;=12, "0-1 Year", TelecomData[[#This Row],[TenureMonths]]&lt;=36, "1-3 Years", TelecomData[[#This Row],[TenureMonths]]&gt;36, "3+ Years")</f>
        <v>1-3 Years</v>
      </c>
      <c r="N4899" s="2" t="str">
        <f>IF(TelecomData[[#This Row],[CleanedTotalCharges]]&gt;=2500,"High Spend", "Standard Spend")</f>
        <v>Standard Spend</v>
      </c>
    </row>
    <row r="4900" spans="1:14" x14ac:dyDescent="0.3">
      <c r="A4900" s="1" t="s">
        <v>4924</v>
      </c>
      <c r="B4900" s="2" t="s">
        <v>12</v>
      </c>
      <c r="C4900" s="2" t="s">
        <v>13</v>
      </c>
      <c r="D4900" s="2">
        <v>3</v>
      </c>
      <c r="E4900" s="2" t="s">
        <v>14</v>
      </c>
      <c r="F4900" s="2" t="s">
        <v>15</v>
      </c>
      <c r="G4900" s="7">
        <v>25.25</v>
      </c>
      <c r="H4900" s="7">
        <v>58.9</v>
      </c>
      <c r="I4900" s="2" t="s">
        <v>16</v>
      </c>
      <c r="J4900" s="2" t="s">
        <v>15</v>
      </c>
      <c r="K4900" s="2" t="s">
        <v>17</v>
      </c>
      <c r="L4900" s="7">
        <v>58.9</v>
      </c>
      <c r="M4900" s="2" t="str">
        <f>_xlfn.IFS(TelecomData[[#This Row],[TenureMonths]]&lt;=12, "0-1 Year", TelecomData[[#This Row],[TenureMonths]]&lt;=36, "1-3 Years", TelecomData[[#This Row],[TenureMonths]]&gt;36, "3+ Years")</f>
        <v>0-1 Year</v>
      </c>
      <c r="N4900" s="2" t="str">
        <f>IF(TelecomData[[#This Row],[CleanedTotalCharges]]&gt;=2500,"High Spend", "Standard Spend")</f>
        <v>Standard Spend</v>
      </c>
    </row>
    <row r="4901" spans="1:14" x14ac:dyDescent="0.3">
      <c r="A4901" s="1" t="s">
        <v>4925</v>
      </c>
      <c r="B4901" s="2" t="s">
        <v>12</v>
      </c>
      <c r="C4901" s="2" t="s">
        <v>13</v>
      </c>
      <c r="D4901" s="2">
        <v>4</v>
      </c>
      <c r="E4901" s="2" t="s">
        <v>26</v>
      </c>
      <c r="F4901" s="2" t="s">
        <v>15</v>
      </c>
      <c r="G4901" s="7">
        <v>84.05</v>
      </c>
      <c r="H4901" s="7">
        <v>333.55</v>
      </c>
      <c r="I4901" s="2" t="s">
        <v>16</v>
      </c>
      <c r="J4901" s="2" t="s">
        <v>15</v>
      </c>
      <c r="K4901" s="2" t="s">
        <v>24</v>
      </c>
      <c r="L4901" s="7">
        <v>333.55</v>
      </c>
      <c r="M4901" s="2" t="str">
        <f>_xlfn.IFS(TelecomData[[#This Row],[TenureMonths]]&lt;=12, "0-1 Year", TelecomData[[#This Row],[TenureMonths]]&lt;=36, "1-3 Years", TelecomData[[#This Row],[TenureMonths]]&gt;36, "3+ Years")</f>
        <v>0-1 Year</v>
      </c>
      <c r="N4901" s="2" t="str">
        <f>IF(TelecomData[[#This Row],[CleanedTotalCharges]]&gt;=2500,"High Spend", "Standard Spend")</f>
        <v>Standard Spend</v>
      </c>
    </row>
    <row r="4902" spans="1:14" x14ac:dyDescent="0.3">
      <c r="A4902" s="1" t="s">
        <v>4926</v>
      </c>
      <c r="B4902" s="2" t="s">
        <v>19</v>
      </c>
      <c r="C4902" s="2" t="s">
        <v>13</v>
      </c>
      <c r="D4902" s="2">
        <v>37</v>
      </c>
      <c r="E4902" s="2" t="s">
        <v>26</v>
      </c>
      <c r="F4902" s="2" t="s">
        <v>15</v>
      </c>
      <c r="G4902" s="7">
        <v>85.7</v>
      </c>
      <c r="H4902" s="7">
        <v>3171.15</v>
      </c>
      <c r="I4902" s="2" t="s">
        <v>16</v>
      </c>
      <c r="J4902" s="2" t="s">
        <v>16</v>
      </c>
      <c r="K4902" s="2" t="s">
        <v>17</v>
      </c>
      <c r="L4902" s="7">
        <v>3171.15</v>
      </c>
      <c r="M4902" s="2" t="str">
        <f>_xlfn.IFS(TelecomData[[#This Row],[TenureMonths]]&lt;=12, "0-1 Year", TelecomData[[#This Row],[TenureMonths]]&lt;=36, "1-3 Years", TelecomData[[#This Row],[TenureMonths]]&gt;36, "3+ Years")</f>
        <v>3+ Years</v>
      </c>
      <c r="N4902" s="2" t="str">
        <f>IF(TelecomData[[#This Row],[CleanedTotalCharges]]&gt;=2500,"High Spend", "Standard Spend")</f>
        <v>High Spend</v>
      </c>
    </row>
    <row r="4903" spans="1:14" x14ac:dyDescent="0.3">
      <c r="A4903" s="1" t="s">
        <v>4927</v>
      </c>
      <c r="B4903" s="2" t="s">
        <v>12</v>
      </c>
      <c r="C4903" s="2" t="s">
        <v>13</v>
      </c>
      <c r="D4903" s="2">
        <v>1</v>
      </c>
      <c r="E4903" s="2" t="s">
        <v>26</v>
      </c>
      <c r="F4903" s="2" t="s">
        <v>15</v>
      </c>
      <c r="G4903" s="7">
        <v>74.7</v>
      </c>
      <c r="H4903" s="7">
        <v>74.7</v>
      </c>
      <c r="I4903" s="2" t="s">
        <v>16</v>
      </c>
      <c r="J4903" s="2" t="s">
        <v>16</v>
      </c>
      <c r="K4903" s="2" t="s">
        <v>17</v>
      </c>
      <c r="L4903" s="7">
        <v>74.7</v>
      </c>
      <c r="M4903" s="2" t="str">
        <f>_xlfn.IFS(TelecomData[[#This Row],[TenureMonths]]&lt;=12, "0-1 Year", TelecomData[[#This Row],[TenureMonths]]&lt;=36, "1-3 Years", TelecomData[[#This Row],[TenureMonths]]&gt;36, "3+ Years")</f>
        <v>0-1 Year</v>
      </c>
      <c r="N4903" s="2" t="str">
        <f>IF(TelecomData[[#This Row],[CleanedTotalCharges]]&gt;=2500,"High Spend", "Standard Spend")</f>
        <v>Standard Spend</v>
      </c>
    </row>
    <row r="4904" spans="1:14" x14ac:dyDescent="0.3">
      <c r="A4904" s="1" t="s">
        <v>4928</v>
      </c>
      <c r="B4904" s="2" t="s">
        <v>12</v>
      </c>
      <c r="C4904" s="2" t="s">
        <v>13</v>
      </c>
      <c r="D4904" s="2">
        <v>24</v>
      </c>
      <c r="E4904" s="2" t="s">
        <v>14</v>
      </c>
      <c r="F4904" s="2" t="s">
        <v>16</v>
      </c>
      <c r="G4904" s="7">
        <v>56.35</v>
      </c>
      <c r="H4904" s="7">
        <v>1381.2</v>
      </c>
      <c r="I4904" s="2" t="s">
        <v>15</v>
      </c>
      <c r="J4904" s="2" t="s">
        <v>15</v>
      </c>
      <c r="K4904" s="2" t="s">
        <v>29</v>
      </c>
      <c r="L4904" s="7">
        <v>1381.2</v>
      </c>
      <c r="M4904" s="2" t="str">
        <f>_xlfn.IFS(TelecomData[[#This Row],[TenureMonths]]&lt;=12, "0-1 Year", TelecomData[[#This Row],[TenureMonths]]&lt;=36, "1-3 Years", TelecomData[[#This Row],[TenureMonths]]&gt;36, "3+ Years")</f>
        <v>1-3 Years</v>
      </c>
      <c r="N4904" s="2" t="str">
        <f>IF(TelecomData[[#This Row],[CleanedTotalCharges]]&gt;=2500,"High Spend", "Standard Spend")</f>
        <v>Standard Spend</v>
      </c>
    </row>
    <row r="4905" spans="1:14" x14ac:dyDescent="0.3">
      <c r="A4905" s="1" t="s">
        <v>4929</v>
      </c>
      <c r="B4905" s="2" t="s">
        <v>12</v>
      </c>
      <c r="C4905" s="2" t="s">
        <v>13</v>
      </c>
      <c r="D4905" s="2">
        <v>5</v>
      </c>
      <c r="E4905" s="2" t="s">
        <v>26</v>
      </c>
      <c r="F4905" s="2" t="s">
        <v>15</v>
      </c>
      <c r="G4905" s="7">
        <v>90.8</v>
      </c>
      <c r="H4905" s="7">
        <v>455.5</v>
      </c>
      <c r="I4905" s="2" t="s">
        <v>16</v>
      </c>
      <c r="J4905" s="2" t="s">
        <v>16</v>
      </c>
      <c r="K4905" s="2" t="s">
        <v>17</v>
      </c>
      <c r="L4905" s="7">
        <v>455.5</v>
      </c>
      <c r="M4905" s="2" t="str">
        <f>_xlfn.IFS(TelecomData[[#This Row],[TenureMonths]]&lt;=12, "0-1 Year", TelecomData[[#This Row],[TenureMonths]]&lt;=36, "1-3 Years", TelecomData[[#This Row],[TenureMonths]]&gt;36, "3+ Years")</f>
        <v>0-1 Year</v>
      </c>
      <c r="N4905" s="2" t="str">
        <f>IF(TelecomData[[#This Row],[CleanedTotalCharges]]&gt;=2500,"High Spend", "Standard Spend")</f>
        <v>Standard Spend</v>
      </c>
    </row>
    <row r="4906" spans="1:14" x14ac:dyDescent="0.3">
      <c r="A4906" s="1" t="s">
        <v>4930</v>
      </c>
      <c r="B4906" s="2" t="s">
        <v>12</v>
      </c>
      <c r="C4906" s="2" t="s">
        <v>13</v>
      </c>
      <c r="D4906" s="2">
        <v>33</v>
      </c>
      <c r="E4906" s="2" t="s">
        <v>26</v>
      </c>
      <c r="F4906" s="2" t="s">
        <v>15</v>
      </c>
      <c r="G4906" s="7">
        <v>107.55</v>
      </c>
      <c r="H4906" s="7">
        <v>3645.5</v>
      </c>
      <c r="I4906" s="2" t="s">
        <v>15</v>
      </c>
      <c r="J4906" s="2" t="s">
        <v>15</v>
      </c>
      <c r="K4906" s="2" t="s">
        <v>17</v>
      </c>
      <c r="L4906" s="7">
        <v>3645.5</v>
      </c>
      <c r="M4906" s="2" t="str">
        <f>_xlfn.IFS(TelecomData[[#This Row],[TenureMonths]]&lt;=12, "0-1 Year", TelecomData[[#This Row],[TenureMonths]]&lt;=36, "1-3 Years", TelecomData[[#This Row],[TenureMonths]]&gt;36, "3+ Years")</f>
        <v>1-3 Years</v>
      </c>
      <c r="N4906" s="2" t="str">
        <f>IF(TelecomData[[#This Row],[CleanedTotalCharges]]&gt;=2500,"High Spend", "Standard Spend")</f>
        <v>High Spend</v>
      </c>
    </row>
    <row r="4907" spans="1:14" x14ac:dyDescent="0.3">
      <c r="A4907" s="1" t="s">
        <v>4931</v>
      </c>
      <c r="B4907" s="2" t="s">
        <v>12</v>
      </c>
      <c r="C4907" s="2" t="s">
        <v>35</v>
      </c>
      <c r="D4907" s="2">
        <v>58</v>
      </c>
      <c r="E4907" s="2" t="s">
        <v>15</v>
      </c>
      <c r="F4907" s="2" t="s">
        <v>36</v>
      </c>
      <c r="G4907" s="7">
        <v>19.850000000000001</v>
      </c>
      <c r="H4907" s="7">
        <v>1158.8499999999999</v>
      </c>
      <c r="I4907" s="2" t="s">
        <v>15</v>
      </c>
      <c r="J4907" s="2" t="s">
        <v>16</v>
      </c>
      <c r="K4907" s="2" t="s">
        <v>21</v>
      </c>
      <c r="L4907" s="7">
        <v>1158.8499999999999</v>
      </c>
      <c r="M4907" s="2" t="str">
        <f>_xlfn.IFS(TelecomData[[#This Row],[TenureMonths]]&lt;=12, "0-1 Year", TelecomData[[#This Row],[TenureMonths]]&lt;=36, "1-3 Years", TelecomData[[#This Row],[TenureMonths]]&gt;36, "3+ Years")</f>
        <v>3+ Years</v>
      </c>
      <c r="N4907" s="2" t="str">
        <f>IF(TelecomData[[#This Row],[CleanedTotalCharges]]&gt;=2500,"High Spend", "Standard Spend")</f>
        <v>Standard Spend</v>
      </c>
    </row>
    <row r="4908" spans="1:14" x14ac:dyDescent="0.3">
      <c r="A4908" s="1" t="s">
        <v>4932</v>
      </c>
      <c r="B4908" s="2" t="s">
        <v>12</v>
      </c>
      <c r="C4908" s="2" t="s">
        <v>35</v>
      </c>
      <c r="D4908" s="2">
        <v>72</v>
      </c>
      <c r="E4908" s="2" t="s">
        <v>26</v>
      </c>
      <c r="F4908" s="2" t="s">
        <v>15</v>
      </c>
      <c r="G4908" s="7">
        <v>95.9</v>
      </c>
      <c r="H4908" s="7">
        <v>6954.15</v>
      </c>
      <c r="I4908" s="2" t="s">
        <v>15</v>
      </c>
      <c r="J4908" s="2" t="s">
        <v>16</v>
      </c>
      <c r="K4908" s="2" t="s">
        <v>24</v>
      </c>
      <c r="L4908" s="7">
        <v>6954.15</v>
      </c>
      <c r="M4908" s="2" t="str">
        <f>_xlfn.IFS(TelecomData[[#This Row],[TenureMonths]]&lt;=12, "0-1 Year", TelecomData[[#This Row],[TenureMonths]]&lt;=36, "1-3 Years", TelecomData[[#This Row],[TenureMonths]]&gt;36, "3+ Years")</f>
        <v>3+ Years</v>
      </c>
      <c r="N4908" s="2" t="str">
        <f>IF(TelecomData[[#This Row],[CleanedTotalCharges]]&gt;=2500,"High Spend", "Standard Spend")</f>
        <v>High Spend</v>
      </c>
    </row>
    <row r="4909" spans="1:14" x14ac:dyDescent="0.3">
      <c r="A4909" s="1" t="s">
        <v>4933</v>
      </c>
      <c r="B4909" s="2" t="s">
        <v>12</v>
      </c>
      <c r="C4909" s="2" t="s">
        <v>35</v>
      </c>
      <c r="D4909" s="2">
        <v>71</v>
      </c>
      <c r="E4909" s="2" t="s">
        <v>15</v>
      </c>
      <c r="F4909" s="2" t="s">
        <v>36</v>
      </c>
      <c r="G4909" s="7">
        <v>23.85</v>
      </c>
      <c r="H4909" s="7">
        <v>1672.1</v>
      </c>
      <c r="I4909" s="2" t="s">
        <v>15</v>
      </c>
      <c r="J4909" s="2" t="s">
        <v>15</v>
      </c>
      <c r="K4909" s="2" t="s">
        <v>21</v>
      </c>
      <c r="L4909" s="7">
        <v>1672.1</v>
      </c>
      <c r="M4909" s="2" t="str">
        <f>_xlfn.IFS(TelecomData[[#This Row],[TenureMonths]]&lt;=12, "0-1 Year", TelecomData[[#This Row],[TenureMonths]]&lt;=36, "1-3 Years", TelecomData[[#This Row],[TenureMonths]]&gt;36, "3+ Years")</f>
        <v>3+ Years</v>
      </c>
      <c r="N4909" s="2" t="str">
        <f>IF(TelecomData[[#This Row],[CleanedTotalCharges]]&gt;=2500,"High Spend", "Standard Spend")</f>
        <v>Standard Spend</v>
      </c>
    </row>
    <row r="4910" spans="1:14" x14ac:dyDescent="0.3">
      <c r="A4910" s="1" t="s">
        <v>4934</v>
      </c>
      <c r="B4910" s="2" t="s">
        <v>12</v>
      </c>
      <c r="C4910" s="2" t="s">
        <v>13</v>
      </c>
      <c r="D4910" s="2">
        <v>28</v>
      </c>
      <c r="E4910" s="2" t="s">
        <v>26</v>
      </c>
      <c r="F4910" s="2" t="s">
        <v>15</v>
      </c>
      <c r="G4910" s="7">
        <v>106.15</v>
      </c>
      <c r="H4910" s="7">
        <v>3152.5</v>
      </c>
      <c r="I4910" s="2" t="s">
        <v>16</v>
      </c>
      <c r="J4910" s="2" t="s">
        <v>16</v>
      </c>
      <c r="K4910" s="2" t="s">
        <v>17</v>
      </c>
      <c r="L4910" s="7">
        <v>3152.5</v>
      </c>
      <c r="M4910" s="2" t="str">
        <f>_xlfn.IFS(TelecomData[[#This Row],[TenureMonths]]&lt;=12, "0-1 Year", TelecomData[[#This Row],[TenureMonths]]&lt;=36, "1-3 Years", TelecomData[[#This Row],[TenureMonths]]&gt;36, "3+ Years")</f>
        <v>1-3 Years</v>
      </c>
      <c r="N4910" s="2" t="str">
        <f>IF(TelecomData[[#This Row],[CleanedTotalCharges]]&gt;=2500,"High Spend", "Standard Spend")</f>
        <v>High Spend</v>
      </c>
    </row>
    <row r="4911" spans="1:14" x14ac:dyDescent="0.3">
      <c r="A4911" s="1" t="s">
        <v>4935</v>
      </c>
      <c r="B4911" s="2" t="s">
        <v>19</v>
      </c>
      <c r="C4911" s="2" t="s">
        <v>35</v>
      </c>
      <c r="D4911" s="2">
        <v>51</v>
      </c>
      <c r="E4911" s="2" t="s">
        <v>14</v>
      </c>
      <c r="F4911" s="2" t="s">
        <v>16</v>
      </c>
      <c r="G4911" s="7">
        <v>83.85</v>
      </c>
      <c r="H4911" s="7">
        <v>4307.1000000000004</v>
      </c>
      <c r="I4911" s="2" t="s">
        <v>15</v>
      </c>
      <c r="J4911" s="2" t="s">
        <v>16</v>
      </c>
      <c r="K4911" s="2" t="s">
        <v>29</v>
      </c>
      <c r="L4911" s="7">
        <v>4307.1000000000004</v>
      </c>
      <c r="M4911" s="2" t="str">
        <f>_xlfn.IFS(TelecomData[[#This Row],[TenureMonths]]&lt;=12, "0-1 Year", TelecomData[[#This Row],[TenureMonths]]&lt;=36, "1-3 Years", TelecomData[[#This Row],[TenureMonths]]&gt;36, "3+ Years")</f>
        <v>3+ Years</v>
      </c>
      <c r="N4911" s="2" t="str">
        <f>IF(TelecomData[[#This Row],[CleanedTotalCharges]]&gt;=2500,"High Spend", "Standard Spend")</f>
        <v>High Spend</v>
      </c>
    </row>
    <row r="4912" spans="1:14" x14ac:dyDescent="0.3">
      <c r="A4912" s="1" t="s">
        <v>4936</v>
      </c>
      <c r="B4912" s="2" t="s">
        <v>12</v>
      </c>
      <c r="C4912" s="2" t="s">
        <v>20</v>
      </c>
      <c r="D4912" s="2">
        <v>30</v>
      </c>
      <c r="E4912" s="2" t="s">
        <v>14</v>
      </c>
      <c r="F4912" s="2" t="s">
        <v>16</v>
      </c>
      <c r="G4912" s="7">
        <v>85.35</v>
      </c>
      <c r="H4912" s="7">
        <v>2530.4</v>
      </c>
      <c r="I4912" s="2" t="s">
        <v>16</v>
      </c>
      <c r="J4912" s="2" t="s">
        <v>15</v>
      </c>
      <c r="K4912" s="2" t="s">
        <v>24</v>
      </c>
      <c r="L4912" s="7">
        <v>2530.4</v>
      </c>
      <c r="M4912" s="2" t="str">
        <f>_xlfn.IFS(TelecomData[[#This Row],[TenureMonths]]&lt;=12, "0-1 Year", TelecomData[[#This Row],[TenureMonths]]&lt;=36, "1-3 Years", TelecomData[[#This Row],[TenureMonths]]&gt;36, "3+ Years")</f>
        <v>1-3 Years</v>
      </c>
      <c r="N4912" s="2" t="str">
        <f>IF(TelecomData[[#This Row],[CleanedTotalCharges]]&gt;=2500,"High Spend", "Standard Spend")</f>
        <v>High Spend</v>
      </c>
    </row>
    <row r="4913" spans="1:14" x14ac:dyDescent="0.3">
      <c r="A4913" s="1" t="s">
        <v>4937</v>
      </c>
      <c r="B4913" s="2" t="s">
        <v>19</v>
      </c>
      <c r="C4913" s="2" t="s">
        <v>35</v>
      </c>
      <c r="D4913" s="2">
        <v>72</v>
      </c>
      <c r="E4913" s="2" t="s">
        <v>26</v>
      </c>
      <c r="F4913" s="2" t="s">
        <v>16</v>
      </c>
      <c r="G4913" s="7">
        <v>84.8</v>
      </c>
      <c r="H4913" s="7">
        <v>6141.65</v>
      </c>
      <c r="I4913" s="2" t="s">
        <v>15</v>
      </c>
      <c r="J4913" s="2" t="s">
        <v>16</v>
      </c>
      <c r="K4913" s="2" t="s">
        <v>29</v>
      </c>
      <c r="L4913" s="7">
        <v>6141.65</v>
      </c>
      <c r="M4913" s="2" t="str">
        <f>_xlfn.IFS(TelecomData[[#This Row],[TenureMonths]]&lt;=12, "0-1 Year", TelecomData[[#This Row],[TenureMonths]]&lt;=36, "1-3 Years", TelecomData[[#This Row],[TenureMonths]]&gt;36, "3+ Years")</f>
        <v>3+ Years</v>
      </c>
      <c r="N4913" s="2" t="str">
        <f>IF(TelecomData[[#This Row],[CleanedTotalCharges]]&gt;=2500,"High Spend", "Standard Spend")</f>
        <v>High Spend</v>
      </c>
    </row>
    <row r="4914" spans="1:14" x14ac:dyDescent="0.3">
      <c r="A4914" s="1" t="s">
        <v>4938</v>
      </c>
      <c r="B4914" s="2" t="s">
        <v>19</v>
      </c>
      <c r="C4914" s="2" t="s">
        <v>13</v>
      </c>
      <c r="D4914" s="2">
        <v>36</v>
      </c>
      <c r="E4914" s="2" t="s">
        <v>26</v>
      </c>
      <c r="F4914" s="2" t="s">
        <v>15</v>
      </c>
      <c r="G4914" s="7">
        <v>90.85</v>
      </c>
      <c r="H4914" s="7">
        <v>3186.7</v>
      </c>
      <c r="I4914" s="2" t="s">
        <v>16</v>
      </c>
      <c r="J4914" s="2" t="s">
        <v>16</v>
      </c>
      <c r="K4914" s="2" t="s">
        <v>17</v>
      </c>
      <c r="L4914" s="7">
        <v>3186.7</v>
      </c>
      <c r="M4914" s="2" t="str">
        <f>_xlfn.IFS(TelecomData[[#This Row],[TenureMonths]]&lt;=12, "0-1 Year", TelecomData[[#This Row],[TenureMonths]]&lt;=36, "1-3 Years", TelecomData[[#This Row],[TenureMonths]]&gt;36, "3+ Years")</f>
        <v>1-3 Years</v>
      </c>
      <c r="N4914" s="2" t="str">
        <f>IF(TelecomData[[#This Row],[CleanedTotalCharges]]&gt;=2500,"High Spend", "Standard Spend")</f>
        <v>High Spend</v>
      </c>
    </row>
    <row r="4915" spans="1:14" x14ac:dyDescent="0.3">
      <c r="A4915" s="1" t="s">
        <v>4939</v>
      </c>
      <c r="B4915" s="2" t="s">
        <v>19</v>
      </c>
      <c r="C4915" s="2" t="s">
        <v>35</v>
      </c>
      <c r="D4915" s="2">
        <v>14</v>
      </c>
      <c r="E4915" s="2" t="s">
        <v>14</v>
      </c>
      <c r="F4915" s="2" t="s">
        <v>16</v>
      </c>
      <c r="G4915" s="7">
        <v>76.099999999999994</v>
      </c>
      <c r="H4915" s="7">
        <v>1054.8</v>
      </c>
      <c r="I4915" s="2" t="s">
        <v>15</v>
      </c>
      <c r="J4915" s="2" t="s">
        <v>15</v>
      </c>
      <c r="K4915" s="2" t="s">
        <v>24</v>
      </c>
      <c r="L4915" s="7">
        <v>1054.8</v>
      </c>
      <c r="M4915" s="2" t="str">
        <f>_xlfn.IFS(TelecomData[[#This Row],[TenureMonths]]&lt;=12, "0-1 Year", TelecomData[[#This Row],[TenureMonths]]&lt;=36, "1-3 Years", TelecomData[[#This Row],[TenureMonths]]&gt;36, "3+ Years")</f>
        <v>1-3 Years</v>
      </c>
      <c r="N4915" s="2" t="str">
        <f>IF(TelecomData[[#This Row],[CleanedTotalCharges]]&gt;=2500,"High Spend", "Standard Spend")</f>
        <v>Standard Spend</v>
      </c>
    </row>
    <row r="4916" spans="1:14" x14ac:dyDescent="0.3">
      <c r="A4916" s="1" t="s">
        <v>4940</v>
      </c>
      <c r="B4916" s="2" t="s">
        <v>12</v>
      </c>
      <c r="C4916" s="2" t="s">
        <v>35</v>
      </c>
      <c r="D4916" s="2">
        <v>72</v>
      </c>
      <c r="E4916" s="2" t="s">
        <v>14</v>
      </c>
      <c r="F4916" s="2" t="s">
        <v>16</v>
      </c>
      <c r="G4916" s="7">
        <v>74.55</v>
      </c>
      <c r="H4916" s="7">
        <v>5430.65</v>
      </c>
      <c r="I4916" s="2" t="s">
        <v>15</v>
      </c>
      <c r="J4916" s="2" t="s">
        <v>15</v>
      </c>
      <c r="K4916" s="2" t="s">
        <v>21</v>
      </c>
      <c r="L4916" s="7">
        <v>5430.65</v>
      </c>
      <c r="M4916" s="2" t="str">
        <f>_xlfn.IFS(TelecomData[[#This Row],[TenureMonths]]&lt;=12, "0-1 Year", TelecomData[[#This Row],[TenureMonths]]&lt;=36, "1-3 Years", TelecomData[[#This Row],[TenureMonths]]&gt;36, "3+ Years")</f>
        <v>3+ Years</v>
      </c>
      <c r="N4916" s="2" t="str">
        <f>IF(TelecomData[[#This Row],[CleanedTotalCharges]]&gt;=2500,"High Spend", "Standard Spend")</f>
        <v>High Spend</v>
      </c>
    </row>
    <row r="4917" spans="1:14" x14ac:dyDescent="0.3">
      <c r="A4917" s="1" t="s">
        <v>4941</v>
      </c>
      <c r="B4917" s="2" t="s">
        <v>12</v>
      </c>
      <c r="C4917" s="2" t="s">
        <v>13</v>
      </c>
      <c r="D4917" s="2">
        <v>22</v>
      </c>
      <c r="E4917" s="2" t="s">
        <v>14</v>
      </c>
      <c r="F4917" s="2" t="s">
        <v>15</v>
      </c>
      <c r="G4917" s="7">
        <v>39.200000000000003</v>
      </c>
      <c r="H4917" s="7">
        <v>849.9</v>
      </c>
      <c r="I4917" s="2" t="s">
        <v>15</v>
      </c>
      <c r="J4917" s="2" t="s">
        <v>15</v>
      </c>
      <c r="K4917" s="2" t="s">
        <v>17</v>
      </c>
      <c r="L4917" s="7">
        <v>849.9</v>
      </c>
      <c r="M4917" s="2" t="str">
        <f>_xlfn.IFS(TelecomData[[#This Row],[TenureMonths]]&lt;=12, "0-1 Year", TelecomData[[#This Row],[TenureMonths]]&lt;=36, "1-3 Years", TelecomData[[#This Row],[TenureMonths]]&gt;36, "3+ Years")</f>
        <v>1-3 Years</v>
      </c>
      <c r="N4917" s="2" t="str">
        <f>IF(TelecomData[[#This Row],[CleanedTotalCharges]]&gt;=2500,"High Spend", "Standard Spend")</f>
        <v>Standard Spend</v>
      </c>
    </row>
    <row r="4918" spans="1:14" x14ac:dyDescent="0.3">
      <c r="A4918" s="1" t="s">
        <v>4942</v>
      </c>
      <c r="B4918" s="2" t="s">
        <v>12</v>
      </c>
      <c r="C4918" s="2" t="s">
        <v>13</v>
      </c>
      <c r="D4918" s="2">
        <v>2</v>
      </c>
      <c r="E4918" s="2" t="s">
        <v>26</v>
      </c>
      <c r="F4918" s="2" t="s">
        <v>15</v>
      </c>
      <c r="G4918" s="7">
        <v>79.55</v>
      </c>
      <c r="H4918" s="7">
        <v>151.75</v>
      </c>
      <c r="I4918" s="2" t="s">
        <v>15</v>
      </c>
      <c r="J4918" s="2" t="s">
        <v>15</v>
      </c>
      <c r="K4918" s="2" t="s">
        <v>17</v>
      </c>
      <c r="L4918" s="7">
        <v>151.75</v>
      </c>
      <c r="M4918" s="2" t="str">
        <f>_xlfn.IFS(TelecomData[[#This Row],[TenureMonths]]&lt;=12, "0-1 Year", TelecomData[[#This Row],[TenureMonths]]&lt;=36, "1-3 Years", TelecomData[[#This Row],[TenureMonths]]&gt;36, "3+ Years")</f>
        <v>0-1 Year</v>
      </c>
      <c r="N4918" s="2" t="str">
        <f>IF(TelecomData[[#This Row],[CleanedTotalCharges]]&gt;=2500,"High Spend", "Standard Spend")</f>
        <v>Standard Spend</v>
      </c>
    </row>
    <row r="4919" spans="1:14" x14ac:dyDescent="0.3">
      <c r="A4919" s="1" t="s">
        <v>4943</v>
      </c>
      <c r="B4919" s="2" t="s">
        <v>12</v>
      </c>
      <c r="C4919" s="2" t="s">
        <v>13</v>
      </c>
      <c r="D4919" s="2">
        <v>15</v>
      </c>
      <c r="E4919" s="2" t="s">
        <v>15</v>
      </c>
      <c r="F4919" s="2" t="s">
        <v>36</v>
      </c>
      <c r="G4919" s="7">
        <v>19.600000000000001</v>
      </c>
      <c r="H4919" s="7">
        <v>299.39999999999998</v>
      </c>
      <c r="I4919" s="2" t="s">
        <v>15</v>
      </c>
      <c r="J4919" s="2" t="s">
        <v>15</v>
      </c>
      <c r="K4919" s="2" t="s">
        <v>21</v>
      </c>
      <c r="L4919" s="7">
        <v>299.39999999999998</v>
      </c>
      <c r="M4919" s="2" t="str">
        <f>_xlfn.IFS(TelecomData[[#This Row],[TenureMonths]]&lt;=12, "0-1 Year", TelecomData[[#This Row],[TenureMonths]]&lt;=36, "1-3 Years", TelecomData[[#This Row],[TenureMonths]]&gt;36, "3+ Years")</f>
        <v>1-3 Years</v>
      </c>
      <c r="N4919" s="2" t="str">
        <f>IF(TelecomData[[#This Row],[CleanedTotalCharges]]&gt;=2500,"High Spend", "Standard Spend")</f>
        <v>Standard Spend</v>
      </c>
    </row>
    <row r="4920" spans="1:14" x14ac:dyDescent="0.3">
      <c r="A4920" s="1" t="s">
        <v>4944</v>
      </c>
      <c r="B4920" s="2" t="s">
        <v>19</v>
      </c>
      <c r="C4920" s="2" t="s">
        <v>35</v>
      </c>
      <c r="D4920" s="2">
        <v>51</v>
      </c>
      <c r="E4920" s="2" t="s">
        <v>15</v>
      </c>
      <c r="F4920" s="2" t="s">
        <v>36</v>
      </c>
      <c r="G4920" s="7">
        <v>19.55</v>
      </c>
      <c r="H4920" s="7">
        <v>1086.75</v>
      </c>
      <c r="I4920" s="2" t="s">
        <v>15</v>
      </c>
      <c r="J4920" s="2" t="s">
        <v>15</v>
      </c>
      <c r="K4920" s="2" t="s">
        <v>29</v>
      </c>
      <c r="L4920" s="7">
        <v>1086.75</v>
      </c>
      <c r="M4920" s="2" t="str">
        <f>_xlfn.IFS(TelecomData[[#This Row],[TenureMonths]]&lt;=12, "0-1 Year", TelecomData[[#This Row],[TenureMonths]]&lt;=36, "1-3 Years", TelecomData[[#This Row],[TenureMonths]]&gt;36, "3+ Years")</f>
        <v>3+ Years</v>
      </c>
      <c r="N4920" s="2" t="str">
        <f>IF(TelecomData[[#This Row],[CleanedTotalCharges]]&gt;=2500,"High Spend", "Standard Spend")</f>
        <v>Standard Spend</v>
      </c>
    </row>
    <row r="4921" spans="1:14" x14ac:dyDescent="0.3">
      <c r="A4921" s="1" t="s">
        <v>4945</v>
      </c>
      <c r="B4921" s="2" t="s">
        <v>19</v>
      </c>
      <c r="C4921" s="2" t="s">
        <v>35</v>
      </c>
      <c r="D4921" s="2">
        <v>70</v>
      </c>
      <c r="E4921" s="2" t="s">
        <v>14</v>
      </c>
      <c r="F4921" s="2" t="s">
        <v>16</v>
      </c>
      <c r="G4921" s="7">
        <v>39.15</v>
      </c>
      <c r="H4921" s="7">
        <v>2692.75</v>
      </c>
      <c r="I4921" s="2" t="s">
        <v>15</v>
      </c>
      <c r="J4921" s="2" t="s">
        <v>16</v>
      </c>
      <c r="K4921" s="2" t="s">
        <v>29</v>
      </c>
      <c r="L4921" s="7">
        <v>2692.75</v>
      </c>
      <c r="M4921" s="2" t="str">
        <f>_xlfn.IFS(TelecomData[[#This Row],[TenureMonths]]&lt;=12, "0-1 Year", TelecomData[[#This Row],[TenureMonths]]&lt;=36, "1-3 Years", TelecomData[[#This Row],[TenureMonths]]&gt;36, "3+ Years")</f>
        <v>3+ Years</v>
      </c>
      <c r="N4921" s="2" t="str">
        <f>IF(TelecomData[[#This Row],[CleanedTotalCharges]]&gt;=2500,"High Spend", "Standard Spend")</f>
        <v>High Spend</v>
      </c>
    </row>
    <row r="4922" spans="1:14" x14ac:dyDescent="0.3">
      <c r="A4922" s="1" t="s">
        <v>4946</v>
      </c>
      <c r="B4922" s="2" t="s">
        <v>12</v>
      </c>
      <c r="C4922" s="2" t="s">
        <v>35</v>
      </c>
      <c r="D4922" s="2">
        <v>71</v>
      </c>
      <c r="E4922" s="2" t="s">
        <v>15</v>
      </c>
      <c r="F4922" s="2" t="s">
        <v>36</v>
      </c>
      <c r="G4922" s="7">
        <v>20.100000000000001</v>
      </c>
      <c r="H4922" s="7">
        <v>1389.6</v>
      </c>
      <c r="I4922" s="2" t="s">
        <v>15</v>
      </c>
      <c r="J4922" s="2" t="s">
        <v>15</v>
      </c>
      <c r="K4922" s="2" t="s">
        <v>24</v>
      </c>
      <c r="L4922" s="7">
        <v>1389.6</v>
      </c>
      <c r="M4922" s="2" t="str">
        <f>_xlfn.IFS(TelecomData[[#This Row],[TenureMonths]]&lt;=12, "0-1 Year", TelecomData[[#This Row],[TenureMonths]]&lt;=36, "1-3 Years", TelecomData[[#This Row],[TenureMonths]]&gt;36, "3+ Years")</f>
        <v>3+ Years</v>
      </c>
      <c r="N4922" s="2" t="str">
        <f>IF(TelecomData[[#This Row],[CleanedTotalCharges]]&gt;=2500,"High Spend", "Standard Spend")</f>
        <v>Standard Spend</v>
      </c>
    </row>
    <row r="4923" spans="1:14" x14ac:dyDescent="0.3">
      <c r="A4923" s="1" t="s">
        <v>4947</v>
      </c>
      <c r="B4923" s="2" t="s">
        <v>12</v>
      </c>
      <c r="C4923" s="2" t="s">
        <v>13</v>
      </c>
      <c r="D4923" s="2">
        <v>39</v>
      </c>
      <c r="E4923" s="2" t="s">
        <v>26</v>
      </c>
      <c r="F4923" s="2" t="s">
        <v>16</v>
      </c>
      <c r="G4923" s="7">
        <v>99.95</v>
      </c>
      <c r="H4923" s="7">
        <v>3767.4</v>
      </c>
      <c r="I4923" s="2" t="s">
        <v>15</v>
      </c>
      <c r="J4923" s="2" t="s">
        <v>16</v>
      </c>
      <c r="K4923" s="2" t="s">
        <v>29</v>
      </c>
      <c r="L4923" s="7">
        <v>3767.4</v>
      </c>
      <c r="M4923" s="2" t="str">
        <f>_xlfn.IFS(TelecomData[[#This Row],[TenureMonths]]&lt;=12, "0-1 Year", TelecomData[[#This Row],[TenureMonths]]&lt;=36, "1-3 Years", TelecomData[[#This Row],[TenureMonths]]&gt;36, "3+ Years")</f>
        <v>3+ Years</v>
      </c>
      <c r="N4923" s="2" t="str">
        <f>IF(TelecomData[[#This Row],[CleanedTotalCharges]]&gt;=2500,"High Spend", "Standard Spend")</f>
        <v>High Spend</v>
      </c>
    </row>
    <row r="4924" spans="1:14" x14ac:dyDescent="0.3">
      <c r="A4924" s="1" t="s">
        <v>4948</v>
      </c>
      <c r="B4924" s="2" t="s">
        <v>12</v>
      </c>
      <c r="C4924" s="2" t="s">
        <v>13</v>
      </c>
      <c r="D4924" s="2">
        <v>61</v>
      </c>
      <c r="E4924" s="2" t="s">
        <v>14</v>
      </c>
      <c r="F4924" s="2" t="s">
        <v>15</v>
      </c>
      <c r="G4924" s="7">
        <v>59.8</v>
      </c>
      <c r="H4924" s="7">
        <v>3641.5</v>
      </c>
      <c r="I4924" s="2" t="s">
        <v>15</v>
      </c>
      <c r="J4924" s="2" t="s">
        <v>15</v>
      </c>
      <c r="K4924" s="2" t="s">
        <v>17</v>
      </c>
      <c r="L4924" s="7">
        <v>3641.5</v>
      </c>
      <c r="M4924" s="2" t="str">
        <f>_xlfn.IFS(TelecomData[[#This Row],[TenureMonths]]&lt;=12, "0-1 Year", TelecomData[[#This Row],[TenureMonths]]&lt;=36, "1-3 Years", TelecomData[[#This Row],[TenureMonths]]&gt;36, "3+ Years")</f>
        <v>3+ Years</v>
      </c>
      <c r="N4924" s="2" t="str">
        <f>IF(TelecomData[[#This Row],[CleanedTotalCharges]]&gt;=2500,"High Spend", "Standard Spend")</f>
        <v>High Spend</v>
      </c>
    </row>
    <row r="4925" spans="1:14" x14ac:dyDescent="0.3">
      <c r="A4925" s="1" t="s">
        <v>4949</v>
      </c>
      <c r="B4925" s="2" t="s">
        <v>12</v>
      </c>
      <c r="C4925" s="2" t="s">
        <v>13</v>
      </c>
      <c r="D4925" s="2">
        <v>52</v>
      </c>
      <c r="E4925" s="2" t="s">
        <v>14</v>
      </c>
      <c r="F4925" s="2" t="s">
        <v>15</v>
      </c>
      <c r="G4925" s="7">
        <v>49.75</v>
      </c>
      <c r="H4925" s="7">
        <v>2535.5500000000002</v>
      </c>
      <c r="I4925" s="2" t="s">
        <v>15</v>
      </c>
      <c r="J4925" s="2" t="s">
        <v>16</v>
      </c>
      <c r="K4925" s="2" t="s">
        <v>24</v>
      </c>
      <c r="L4925" s="7">
        <v>2535.5500000000002</v>
      </c>
      <c r="M4925" s="2" t="str">
        <f>_xlfn.IFS(TelecomData[[#This Row],[TenureMonths]]&lt;=12, "0-1 Year", TelecomData[[#This Row],[TenureMonths]]&lt;=36, "1-3 Years", TelecomData[[#This Row],[TenureMonths]]&gt;36, "3+ Years")</f>
        <v>3+ Years</v>
      </c>
      <c r="N4925" s="2" t="str">
        <f>IF(TelecomData[[#This Row],[CleanedTotalCharges]]&gt;=2500,"High Spend", "Standard Spend")</f>
        <v>High Spend</v>
      </c>
    </row>
    <row r="4926" spans="1:14" x14ac:dyDescent="0.3">
      <c r="A4926" s="1" t="s">
        <v>4950</v>
      </c>
      <c r="B4926" s="2" t="s">
        <v>12</v>
      </c>
      <c r="C4926" s="2" t="s">
        <v>13</v>
      </c>
      <c r="D4926" s="2">
        <v>1</v>
      </c>
      <c r="E4926" s="2" t="s">
        <v>14</v>
      </c>
      <c r="F4926" s="2" t="s">
        <v>15</v>
      </c>
      <c r="G4926" s="7">
        <v>35.75</v>
      </c>
      <c r="H4926" s="7">
        <v>35.75</v>
      </c>
      <c r="I4926" s="2" t="s">
        <v>16</v>
      </c>
      <c r="J4926" s="2" t="s">
        <v>16</v>
      </c>
      <c r="K4926" s="2" t="s">
        <v>17</v>
      </c>
      <c r="L4926" s="7">
        <v>35.75</v>
      </c>
      <c r="M4926" s="2" t="str">
        <f>_xlfn.IFS(TelecomData[[#This Row],[TenureMonths]]&lt;=12, "0-1 Year", TelecomData[[#This Row],[TenureMonths]]&lt;=36, "1-3 Years", TelecomData[[#This Row],[TenureMonths]]&gt;36, "3+ Years")</f>
        <v>0-1 Year</v>
      </c>
      <c r="N4926" s="2" t="str">
        <f>IF(TelecomData[[#This Row],[CleanedTotalCharges]]&gt;=2500,"High Spend", "Standard Spend")</f>
        <v>Standard Spend</v>
      </c>
    </row>
    <row r="4927" spans="1:14" x14ac:dyDescent="0.3">
      <c r="A4927" s="1" t="s">
        <v>4951</v>
      </c>
      <c r="B4927" s="2" t="s">
        <v>19</v>
      </c>
      <c r="C4927" s="2" t="s">
        <v>20</v>
      </c>
      <c r="D4927" s="2">
        <v>64</v>
      </c>
      <c r="E4927" s="2" t="s">
        <v>26</v>
      </c>
      <c r="F4927" s="2" t="s">
        <v>16</v>
      </c>
      <c r="G4927" s="7">
        <v>108.5</v>
      </c>
      <c r="H4927" s="7">
        <v>6880.85</v>
      </c>
      <c r="I4927" s="2" t="s">
        <v>15</v>
      </c>
      <c r="J4927" s="2" t="s">
        <v>16</v>
      </c>
      <c r="K4927" s="2" t="s">
        <v>21</v>
      </c>
      <c r="L4927" s="7">
        <v>6880.85</v>
      </c>
      <c r="M4927" s="2" t="str">
        <f>_xlfn.IFS(TelecomData[[#This Row],[TenureMonths]]&lt;=12, "0-1 Year", TelecomData[[#This Row],[TenureMonths]]&lt;=36, "1-3 Years", TelecomData[[#This Row],[TenureMonths]]&gt;36, "3+ Years")</f>
        <v>3+ Years</v>
      </c>
      <c r="N4927" s="2" t="str">
        <f>IF(TelecomData[[#This Row],[CleanedTotalCharges]]&gt;=2500,"High Spend", "Standard Spend")</f>
        <v>High Spend</v>
      </c>
    </row>
    <row r="4928" spans="1:14" x14ac:dyDescent="0.3">
      <c r="A4928" s="1" t="s">
        <v>4952</v>
      </c>
      <c r="B4928" s="2" t="s">
        <v>19</v>
      </c>
      <c r="C4928" s="2" t="s">
        <v>35</v>
      </c>
      <c r="D4928" s="2">
        <v>62</v>
      </c>
      <c r="E4928" s="2" t="s">
        <v>14</v>
      </c>
      <c r="F4928" s="2" t="s">
        <v>16</v>
      </c>
      <c r="G4928" s="7">
        <v>60.15</v>
      </c>
      <c r="H4928" s="7">
        <v>3753.2</v>
      </c>
      <c r="I4928" s="2" t="s">
        <v>15</v>
      </c>
      <c r="J4928" s="2" t="s">
        <v>16</v>
      </c>
      <c r="K4928" s="2" t="s">
        <v>29</v>
      </c>
      <c r="L4928" s="7">
        <v>3753.2</v>
      </c>
      <c r="M4928" s="2" t="str">
        <f>_xlfn.IFS(TelecomData[[#This Row],[TenureMonths]]&lt;=12, "0-1 Year", TelecomData[[#This Row],[TenureMonths]]&lt;=36, "1-3 Years", TelecomData[[#This Row],[TenureMonths]]&gt;36, "3+ Years")</f>
        <v>3+ Years</v>
      </c>
      <c r="N4928" s="2" t="str">
        <f>IF(TelecomData[[#This Row],[CleanedTotalCharges]]&gt;=2500,"High Spend", "Standard Spend")</f>
        <v>High Spend</v>
      </c>
    </row>
    <row r="4929" spans="1:14" x14ac:dyDescent="0.3">
      <c r="A4929" s="1" t="s">
        <v>4953</v>
      </c>
      <c r="B4929" s="2" t="s">
        <v>19</v>
      </c>
      <c r="C4929" s="2" t="s">
        <v>35</v>
      </c>
      <c r="D4929" s="2">
        <v>30</v>
      </c>
      <c r="E4929" s="2" t="s">
        <v>15</v>
      </c>
      <c r="F4929" s="2" t="s">
        <v>36</v>
      </c>
      <c r="G4929" s="7">
        <v>19.05</v>
      </c>
      <c r="H4929" s="7">
        <v>637.54999999999995</v>
      </c>
      <c r="I4929" s="2" t="s">
        <v>15</v>
      </c>
      <c r="J4929" s="2" t="s">
        <v>15</v>
      </c>
      <c r="K4929" s="2" t="s">
        <v>21</v>
      </c>
      <c r="L4929" s="7">
        <v>637.54999999999995</v>
      </c>
      <c r="M4929" s="2" t="str">
        <f>_xlfn.IFS(TelecomData[[#This Row],[TenureMonths]]&lt;=12, "0-1 Year", TelecomData[[#This Row],[TenureMonths]]&lt;=36, "1-3 Years", TelecomData[[#This Row],[TenureMonths]]&gt;36, "3+ Years")</f>
        <v>1-3 Years</v>
      </c>
      <c r="N4929" s="2" t="str">
        <f>IF(TelecomData[[#This Row],[CleanedTotalCharges]]&gt;=2500,"High Spend", "Standard Spend")</f>
        <v>Standard Spend</v>
      </c>
    </row>
    <row r="4930" spans="1:14" x14ac:dyDescent="0.3">
      <c r="A4930" s="1" t="s">
        <v>4954</v>
      </c>
      <c r="B4930" s="2" t="s">
        <v>12</v>
      </c>
      <c r="C4930" s="2" t="s">
        <v>13</v>
      </c>
      <c r="D4930" s="2">
        <v>4</v>
      </c>
      <c r="E4930" s="2" t="s">
        <v>14</v>
      </c>
      <c r="F4930" s="2" t="s">
        <v>15</v>
      </c>
      <c r="G4930" s="7">
        <v>46</v>
      </c>
      <c r="H4930" s="7">
        <v>181.6</v>
      </c>
      <c r="I4930" s="2" t="s">
        <v>16</v>
      </c>
      <c r="J4930" s="2" t="s">
        <v>15</v>
      </c>
      <c r="K4930" s="2" t="s">
        <v>17</v>
      </c>
      <c r="L4930" s="7">
        <v>181.6</v>
      </c>
      <c r="M4930" s="2" t="str">
        <f>_xlfn.IFS(TelecomData[[#This Row],[TenureMonths]]&lt;=12, "0-1 Year", TelecomData[[#This Row],[TenureMonths]]&lt;=36, "1-3 Years", TelecomData[[#This Row],[TenureMonths]]&gt;36, "3+ Years")</f>
        <v>0-1 Year</v>
      </c>
      <c r="N4930" s="2" t="str">
        <f>IF(TelecomData[[#This Row],[CleanedTotalCharges]]&gt;=2500,"High Spend", "Standard Spend")</f>
        <v>Standard Spend</v>
      </c>
    </row>
    <row r="4931" spans="1:14" x14ac:dyDescent="0.3">
      <c r="A4931" s="1" t="s">
        <v>4955</v>
      </c>
      <c r="B4931" s="2" t="s">
        <v>19</v>
      </c>
      <c r="C4931" s="2" t="s">
        <v>20</v>
      </c>
      <c r="D4931" s="2">
        <v>63</v>
      </c>
      <c r="E4931" s="2" t="s">
        <v>14</v>
      </c>
      <c r="F4931" s="2" t="s">
        <v>16</v>
      </c>
      <c r="G4931" s="7">
        <v>84</v>
      </c>
      <c r="H4931" s="7">
        <v>5329.55</v>
      </c>
      <c r="I4931" s="2" t="s">
        <v>15</v>
      </c>
      <c r="J4931" s="2" t="s">
        <v>16</v>
      </c>
      <c r="K4931" s="2" t="s">
        <v>24</v>
      </c>
      <c r="L4931" s="7">
        <v>5329.55</v>
      </c>
      <c r="M4931" s="2" t="str">
        <f>_xlfn.IFS(TelecomData[[#This Row],[TenureMonths]]&lt;=12, "0-1 Year", TelecomData[[#This Row],[TenureMonths]]&lt;=36, "1-3 Years", TelecomData[[#This Row],[TenureMonths]]&gt;36, "3+ Years")</f>
        <v>3+ Years</v>
      </c>
      <c r="N4931" s="2" t="str">
        <f>IF(TelecomData[[#This Row],[CleanedTotalCharges]]&gt;=2500,"High Spend", "Standard Spend")</f>
        <v>High Spend</v>
      </c>
    </row>
    <row r="4932" spans="1:14" x14ac:dyDescent="0.3">
      <c r="A4932" s="1" t="s">
        <v>4956</v>
      </c>
      <c r="B4932" s="2" t="s">
        <v>12</v>
      </c>
      <c r="C4932" s="2" t="s">
        <v>13</v>
      </c>
      <c r="D4932" s="2">
        <v>1</v>
      </c>
      <c r="E4932" s="2" t="s">
        <v>14</v>
      </c>
      <c r="F4932" s="2" t="s">
        <v>15</v>
      </c>
      <c r="G4932" s="7">
        <v>44.55</v>
      </c>
      <c r="H4932" s="7">
        <v>44.55</v>
      </c>
      <c r="I4932" s="2" t="s">
        <v>15</v>
      </c>
      <c r="J4932" s="2" t="s">
        <v>16</v>
      </c>
      <c r="K4932" s="2" t="s">
        <v>29</v>
      </c>
      <c r="L4932" s="7">
        <v>44.55</v>
      </c>
      <c r="M4932" s="2" t="str">
        <f>_xlfn.IFS(TelecomData[[#This Row],[TenureMonths]]&lt;=12, "0-1 Year", TelecomData[[#This Row],[TenureMonths]]&lt;=36, "1-3 Years", TelecomData[[#This Row],[TenureMonths]]&gt;36, "3+ Years")</f>
        <v>0-1 Year</v>
      </c>
      <c r="N4932" s="2" t="str">
        <f>IF(TelecomData[[#This Row],[CleanedTotalCharges]]&gt;=2500,"High Spend", "Standard Spend")</f>
        <v>Standard Spend</v>
      </c>
    </row>
    <row r="4933" spans="1:14" x14ac:dyDescent="0.3">
      <c r="A4933" s="1" t="s">
        <v>4957</v>
      </c>
      <c r="B4933" s="2" t="s">
        <v>19</v>
      </c>
      <c r="C4933" s="2" t="s">
        <v>13</v>
      </c>
      <c r="D4933" s="2">
        <v>15</v>
      </c>
      <c r="E4933" s="2" t="s">
        <v>26</v>
      </c>
      <c r="F4933" s="2" t="s">
        <v>16</v>
      </c>
      <c r="G4933" s="7">
        <v>103.45</v>
      </c>
      <c r="H4933" s="7">
        <v>1539.8</v>
      </c>
      <c r="I4933" s="2" t="s">
        <v>15</v>
      </c>
      <c r="J4933" s="2" t="s">
        <v>16</v>
      </c>
      <c r="K4933" s="2" t="s">
        <v>17</v>
      </c>
      <c r="L4933" s="7">
        <v>1539.8</v>
      </c>
      <c r="M4933" s="2" t="str">
        <f>_xlfn.IFS(TelecomData[[#This Row],[TenureMonths]]&lt;=12, "0-1 Year", TelecomData[[#This Row],[TenureMonths]]&lt;=36, "1-3 Years", TelecomData[[#This Row],[TenureMonths]]&gt;36, "3+ Years")</f>
        <v>1-3 Years</v>
      </c>
      <c r="N4933" s="2" t="str">
        <f>IF(TelecomData[[#This Row],[CleanedTotalCharges]]&gt;=2500,"High Spend", "Standard Spend")</f>
        <v>Standard Spend</v>
      </c>
    </row>
    <row r="4934" spans="1:14" x14ac:dyDescent="0.3">
      <c r="A4934" s="1" t="s">
        <v>4958</v>
      </c>
      <c r="B4934" s="2" t="s">
        <v>19</v>
      </c>
      <c r="C4934" s="2" t="s">
        <v>20</v>
      </c>
      <c r="D4934" s="2">
        <v>27</v>
      </c>
      <c r="E4934" s="2" t="s">
        <v>26</v>
      </c>
      <c r="F4934" s="2" t="s">
        <v>15</v>
      </c>
      <c r="G4934" s="7">
        <v>80.650000000000006</v>
      </c>
      <c r="H4934" s="7">
        <v>2209.75</v>
      </c>
      <c r="I4934" s="2" t="s">
        <v>15</v>
      </c>
      <c r="J4934" s="2" t="s">
        <v>16</v>
      </c>
      <c r="K4934" s="2" t="s">
        <v>29</v>
      </c>
      <c r="L4934" s="7">
        <v>2209.75</v>
      </c>
      <c r="M4934" s="2" t="str">
        <f>_xlfn.IFS(TelecomData[[#This Row],[TenureMonths]]&lt;=12, "0-1 Year", TelecomData[[#This Row],[TenureMonths]]&lt;=36, "1-3 Years", TelecomData[[#This Row],[TenureMonths]]&gt;36, "3+ Years")</f>
        <v>1-3 Years</v>
      </c>
      <c r="N4934" s="2" t="str">
        <f>IF(TelecomData[[#This Row],[CleanedTotalCharges]]&gt;=2500,"High Spend", "Standard Spend")</f>
        <v>Standard Spend</v>
      </c>
    </row>
    <row r="4935" spans="1:14" x14ac:dyDescent="0.3">
      <c r="A4935" s="1" t="s">
        <v>4959</v>
      </c>
      <c r="B4935" s="2" t="s">
        <v>12</v>
      </c>
      <c r="C4935" s="2" t="s">
        <v>13</v>
      </c>
      <c r="D4935" s="2">
        <v>4</v>
      </c>
      <c r="E4935" s="2" t="s">
        <v>14</v>
      </c>
      <c r="F4935" s="2" t="s">
        <v>15</v>
      </c>
      <c r="G4935" s="7">
        <v>57.2</v>
      </c>
      <c r="H4935" s="7">
        <v>223.75</v>
      </c>
      <c r="I4935" s="2" t="s">
        <v>15</v>
      </c>
      <c r="J4935" s="2" t="s">
        <v>16</v>
      </c>
      <c r="K4935" s="2" t="s">
        <v>21</v>
      </c>
      <c r="L4935" s="7">
        <v>223.75</v>
      </c>
      <c r="M4935" s="2" t="str">
        <f>_xlfn.IFS(TelecomData[[#This Row],[TenureMonths]]&lt;=12, "0-1 Year", TelecomData[[#This Row],[TenureMonths]]&lt;=36, "1-3 Years", TelecomData[[#This Row],[TenureMonths]]&gt;36, "3+ Years")</f>
        <v>0-1 Year</v>
      </c>
      <c r="N4935" s="2" t="str">
        <f>IF(TelecomData[[#This Row],[CleanedTotalCharges]]&gt;=2500,"High Spend", "Standard Spend")</f>
        <v>Standard Spend</v>
      </c>
    </row>
    <row r="4936" spans="1:14" x14ac:dyDescent="0.3">
      <c r="A4936" s="1" t="s">
        <v>4960</v>
      </c>
      <c r="B4936" s="2" t="s">
        <v>12</v>
      </c>
      <c r="C4936" s="2" t="s">
        <v>35</v>
      </c>
      <c r="D4936" s="2">
        <v>72</v>
      </c>
      <c r="E4936" s="2" t="s">
        <v>26</v>
      </c>
      <c r="F4936" s="2" t="s">
        <v>15</v>
      </c>
      <c r="G4936" s="7">
        <v>110.75</v>
      </c>
      <c r="H4936" s="7">
        <v>7751.7</v>
      </c>
      <c r="I4936" s="2" t="s">
        <v>15</v>
      </c>
      <c r="J4936" s="2" t="s">
        <v>16</v>
      </c>
      <c r="K4936" s="2" t="s">
        <v>17</v>
      </c>
      <c r="L4936" s="7">
        <v>7751.7</v>
      </c>
      <c r="M4936" s="2" t="str">
        <f>_xlfn.IFS(TelecomData[[#This Row],[TenureMonths]]&lt;=12, "0-1 Year", TelecomData[[#This Row],[TenureMonths]]&lt;=36, "1-3 Years", TelecomData[[#This Row],[TenureMonths]]&gt;36, "3+ Years")</f>
        <v>3+ Years</v>
      </c>
      <c r="N4936" s="2" t="str">
        <f>IF(TelecomData[[#This Row],[CleanedTotalCharges]]&gt;=2500,"High Spend", "Standard Spend")</f>
        <v>High Spend</v>
      </c>
    </row>
    <row r="4937" spans="1:14" x14ac:dyDescent="0.3">
      <c r="A4937" s="1" t="s">
        <v>4961</v>
      </c>
      <c r="B4937" s="2" t="s">
        <v>19</v>
      </c>
      <c r="C4937" s="2" t="s">
        <v>20</v>
      </c>
      <c r="D4937" s="2">
        <v>45</v>
      </c>
      <c r="E4937" s="2" t="s">
        <v>15</v>
      </c>
      <c r="F4937" s="2" t="s">
        <v>36</v>
      </c>
      <c r="G4937" s="7">
        <v>24.7</v>
      </c>
      <c r="H4937" s="7">
        <v>1174.3499999999999</v>
      </c>
      <c r="I4937" s="2" t="s">
        <v>15</v>
      </c>
      <c r="J4937" s="2" t="s">
        <v>15</v>
      </c>
      <c r="K4937" s="2" t="s">
        <v>29</v>
      </c>
      <c r="L4937" s="7">
        <v>1174.3499999999999</v>
      </c>
      <c r="M4937" s="2" t="str">
        <f>_xlfn.IFS(TelecomData[[#This Row],[TenureMonths]]&lt;=12, "0-1 Year", TelecomData[[#This Row],[TenureMonths]]&lt;=36, "1-3 Years", TelecomData[[#This Row],[TenureMonths]]&gt;36, "3+ Years")</f>
        <v>3+ Years</v>
      </c>
      <c r="N4937" s="2" t="str">
        <f>IF(TelecomData[[#This Row],[CleanedTotalCharges]]&gt;=2500,"High Spend", "Standard Spend")</f>
        <v>Standard Spend</v>
      </c>
    </row>
    <row r="4938" spans="1:14" x14ac:dyDescent="0.3">
      <c r="A4938" s="1" t="s">
        <v>4962</v>
      </c>
      <c r="B4938" s="2" t="s">
        <v>12</v>
      </c>
      <c r="C4938" s="2" t="s">
        <v>13</v>
      </c>
      <c r="D4938" s="2">
        <v>45</v>
      </c>
      <c r="E4938" s="2" t="s">
        <v>26</v>
      </c>
      <c r="F4938" s="2" t="s">
        <v>16</v>
      </c>
      <c r="G4938" s="7">
        <v>97.05</v>
      </c>
      <c r="H4938" s="7">
        <v>4385.05</v>
      </c>
      <c r="I4938" s="2" t="s">
        <v>15</v>
      </c>
      <c r="J4938" s="2" t="s">
        <v>16</v>
      </c>
      <c r="K4938" s="2" t="s">
        <v>17</v>
      </c>
      <c r="L4938" s="7">
        <v>4385.05</v>
      </c>
      <c r="M4938" s="2" t="str">
        <f>_xlfn.IFS(TelecomData[[#This Row],[TenureMonths]]&lt;=12, "0-1 Year", TelecomData[[#This Row],[TenureMonths]]&lt;=36, "1-3 Years", TelecomData[[#This Row],[TenureMonths]]&gt;36, "3+ Years")</f>
        <v>3+ Years</v>
      </c>
      <c r="N4938" s="2" t="str">
        <f>IF(TelecomData[[#This Row],[CleanedTotalCharges]]&gt;=2500,"High Spend", "Standard Spend")</f>
        <v>High Spend</v>
      </c>
    </row>
    <row r="4939" spans="1:14" x14ac:dyDescent="0.3">
      <c r="A4939" s="1" t="s">
        <v>4963</v>
      </c>
      <c r="B4939" s="2" t="s">
        <v>12</v>
      </c>
      <c r="C4939" s="2" t="s">
        <v>20</v>
      </c>
      <c r="D4939" s="2">
        <v>36</v>
      </c>
      <c r="E4939" s="2" t="s">
        <v>14</v>
      </c>
      <c r="F4939" s="2" t="s">
        <v>16</v>
      </c>
      <c r="G4939" s="7">
        <v>76.349999999999994</v>
      </c>
      <c r="H4939" s="7">
        <v>2606.35</v>
      </c>
      <c r="I4939" s="2" t="s">
        <v>15</v>
      </c>
      <c r="J4939" s="2" t="s">
        <v>16</v>
      </c>
      <c r="K4939" s="2" t="s">
        <v>21</v>
      </c>
      <c r="L4939" s="7">
        <v>2606.35</v>
      </c>
      <c r="M4939" s="2" t="str">
        <f>_xlfn.IFS(TelecomData[[#This Row],[TenureMonths]]&lt;=12, "0-1 Year", TelecomData[[#This Row],[TenureMonths]]&lt;=36, "1-3 Years", TelecomData[[#This Row],[TenureMonths]]&gt;36, "3+ Years")</f>
        <v>1-3 Years</v>
      </c>
      <c r="N4939" s="2" t="str">
        <f>IF(TelecomData[[#This Row],[CleanedTotalCharges]]&gt;=2500,"High Spend", "Standard Spend")</f>
        <v>High Spend</v>
      </c>
    </row>
    <row r="4940" spans="1:14" x14ac:dyDescent="0.3">
      <c r="A4940" s="1" t="s">
        <v>4964</v>
      </c>
      <c r="B4940" s="2" t="s">
        <v>19</v>
      </c>
      <c r="C4940" s="2" t="s">
        <v>13</v>
      </c>
      <c r="D4940" s="2">
        <v>17</v>
      </c>
      <c r="E4940" s="2" t="s">
        <v>26</v>
      </c>
      <c r="F4940" s="2" t="s">
        <v>15</v>
      </c>
      <c r="G4940" s="7">
        <v>89.4</v>
      </c>
      <c r="H4940" s="7">
        <v>1539.45</v>
      </c>
      <c r="I4940" s="2" t="s">
        <v>16</v>
      </c>
      <c r="J4940" s="2" t="s">
        <v>16</v>
      </c>
      <c r="K4940" s="2" t="s">
        <v>17</v>
      </c>
      <c r="L4940" s="7">
        <v>1539.45</v>
      </c>
      <c r="M4940" s="2" t="str">
        <f>_xlfn.IFS(TelecomData[[#This Row],[TenureMonths]]&lt;=12, "0-1 Year", TelecomData[[#This Row],[TenureMonths]]&lt;=36, "1-3 Years", TelecomData[[#This Row],[TenureMonths]]&gt;36, "3+ Years")</f>
        <v>1-3 Years</v>
      </c>
      <c r="N4940" s="2" t="str">
        <f>IF(TelecomData[[#This Row],[CleanedTotalCharges]]&gt;=2500,"High Spend", "Standard Spend")</f>
        <v>Standard Spend</v>
      </c>
    </row>
    <row r="4941" spans="1:14" x14ac:dyDescent="0.3">
      <c r="A4941" s="1" t="s">
        <v>4965</v>
      </c>
      <c r="B4941" s="2" t="s">
        <v>19</v>
      </c>
      <c r="C4941" s="2" t="s">
        <v>13</v>
      </c>
      <c r="D4941" s="2">
        <v>1</v>
      </c>
      <c r="E4941" s="2" t="s">
        <v>15</v>
      </c>
      <c r="F4941" s="2" t="s">
        <v>36</v>
      </c>
      <c r="G4941" s="7">
        <v>18.899999999999999</v>
      </c>
      <c r="H4941" s="7">
        <v>18.899999999999999</v>
      </c>
      <c r="I4941" s="2" t="s">
        <v>15</v>
      </c>
      <c r="J4941" s="2" t="s">
        <v>15</v>
      </c>
      <c r="K4941" s="2" t="s">
        <v>21</v>
      </c>
      <c r="L4941" s="7">
        <v>18.899999999999999</v>
      </c>
      <c r="M4941" s="2" t="str">
        <f>_xlfn.IFS(TelecomData[[#This Row],[TenureMonths]]&lt;=12, "0-1 Year", TelecomData[[#This Row],[TenureMonths]]&lt;=36, "1-3 Years", TelecomData[[#This Row],[TenureMonths]]&gt;36, "3+ Years")</f>
        <v>0-1 Year</v>
      </c>
      <c r="N4941" s="2" t="str">
        <f>IF(TelecomData[[#This Row],[CleanedTotalCharges]]&gt;=2500,"High Spend", "Standard Spend")</f>
        <v>Standard Spend</v>
      </c>
    </row>
    <row r="4942" spans="1:14" x14ac:dyDescent="0.3">
      <c r="A4942" s="1" t="s">
        <v>4966</v>
      </c>
      <c r="B4942" s="2" t="s">
        <v>19</v>
      </c>
      <c r="C4942" s="2" t="s">
        <v>13</v>
      </c>
      <c r="D4942" s="2">
        <v>16</v>
      </c>
      <c r="E4942" s="2" t="s">
        <v>26</v>
      </c>
      <c r="F4942" s="2" t="s">
        <v>15</v>
      </c>
      <c r="G4942" s="7">
        <v>74.45</v>
      </c>
      <c r="H4942" s="7">
        <v>1261.3499999999999</v>
      </c>
      <c r="I4942" s="2" t="s">
        <v>15</v>
      </c>
      <c r="J4942" s="2" t="s">
        <v>16</v>
      </c>
      <c r="K4942" s="2" t="s">
        <v>24</v>
      </c>
      <c r="L4942" s="7">
        <v>1261.3499999999999</v>
      </c>
      <c r="M4942" s="2" t="str">
        <f>_xlfn.IFS(TelecomData[[#This Row],[TenureMonths]]&lt;=12, "0-1 Year", TelecomData[[#This Row],[TenureMonths]]&lt;=36, "1-3 Years", TelecomData[[#This Row],[TenureMonths]]&gt;36, "3+ Years")</f>
        <v>1-3 Years</v>
      </c>
      <c r="N4942" s="2" t="str">
        <f>IF(TelecomData[[#This Row],[CleanedTotalCharges]]&gt;=2500,"High Spend", "Standard Spend")</f>
        <v>Standard Spend</v>
      </c>
    </row>
    <row r="4943" spans="1:14" x14ac:dyDescent="0.3">
      <c r="A4943" s="1" t="s">
        <v>4967</v>
      </c>
      <c r="B4943" s="2" t="s">
        <v>19</v>
      </c>
      <c r="C4943" s="2" t="s">
        <v>13</v>
      </c>
      <c r="D4943" s="2">
        <v>3</v>
      </c>
      <c r="E4943" s="2" t="s">
        <v>15</v>
      </c>
      <c r="F4943" s="2" t="s">
        <v>36</v>
      </c>
      <c r="G4943" s="7">
        <v>19.8</v>
      </c>
      <c r="H4943" s="7">
        <v>58.15</v>
      </c>
      <c r="I4943" s="2" t="s">
        <v>16</v>
      </c>
      <c r="J4943" s="2" t="s">
        <v>16</v>
      </c>
      <c r="K4943" s="2" t="s">
        <v>21</v>
      </c>
      <c r="L4943" s="7">
        <v>58.15</v>
      </c>
      <c r="M4943" s="2" t="str">
        <f>_xlfn.IFS(TelecomData[[#This Row],[TenureMonths]]&lt;=12, "0-1 Year", TelecomData[[#This Row],[TenureMonths]]&lt;=36, "1-3 Years", TelecomData[[#This Row],[TenureMonths]]&gt;36, "3+ Years")</f>
        <v>0-1 Year</v>
      </c>
      <c r="N4943" s="2" t="str">
        <f>IF(TelecomData[[#This Row],[CleanedTotalCharges]]&gt;=2500,"High Spend", "Standard Spend")</f>
        <v>Standard Spend</v>
      </c>
    </row>
    <row r="4944" spans="1:14" x14ac:dyDescent="0.3">
      <c r="A4944" s="1" t="s">
        <v>4968</v>
      </c>
      <c r="B4944" s="2" t="s">
        <v>19</v>
      </c>
      <c r="C4944" s="2" t="s">
        <v>13</v>
      </c>
      <c r="D4944" s="2">
        <v>4</v>
      </c>
      <c r="E4944" s="2" t="s">
        <v>14</v>
      </c>
      <c r="F4944" s="2" t="s">
        <v>15</v>
      </c>
      <c r="G4944" s="7">
        <v>50.9</v>
      </c>
      <c r="H4944" s="7">
        <v>225.6</v>
      </c>
      <c r="I4944" s="2" t="s">
        <v>16</v>
      </c>
      <c r="J4944" s="2" t="s">
        <v>16</v>
      </c>
      <c r="K4944" s="2" t="s">
        <v>17</v>
      </c>
      <c r="L4944" s="7">
        <v>225.6</v>
      </c>
      <c r="M4944" s="2" t="str">
        <f>_xlfn.IFS(TelecomData[[#This Row],[TenureMonths]]&lt;=12, "0-1 Year", TelecomData[[#This Row],[TenureMonths]]&lt;=36, "1-3 Years", TelecomData[[#This Row],[TenureMonths]]&gt;36, "3+ Years")</f>
        <v>0-1 Year</v>
      </c>
      <c r="N4944" s="2" t="str">
        <f>IF(TelecomData[[#This Row],[CleanedTotalCharges]]&gt;=2500,"High Spend", "Standard Spend")</f>
        <v>Standard Spend</v>
      </c>
    </row>
    <row r="4945" spans="1:14" x14ac:dyDescent="0.3">
      <c r="A4945" s="1" t="s">
        <v>4969</v>
      </c>
      <c r="B4945" s="2" t="s">
        <v>12</v>
      </c>
      <c r="C4945" s="2" t="s">
        <v>35</v>
      </c>
      <c r="D4945" s="2">
        <v>71</v>
      </c>
      <c r="E4945" s="2" t="s">
        <v>14</v>
      </c>
      <c r="F4945" s="2" t="s">
        <v>16</v>
      </c>
      <c r="G4945" s="7">
        <v>84.4</v>
      </c>
      <c r="H4945" s="7">
        <v>5969.3</v>
      </c>
      <c r="I4945" s="2" t="s">
        <v>15</v>
      </c>
      <c r="J4945" s="2" t="s">
        <v>16</v>
      </c>
      <c r="K4945" s="2" t="s">
        <v>29</v>
      </c>
      <c r="L4945" s="7">
        <v>5969.3</v>
      </c>
      <c r="M4945" s="2" t="str">
        <f>_xlfn.IFS(TelecomData[[#This Row],[TenureMonths]]&lt;=12, "0-1 Year", TelecomData[[#This Row],[TenureMonths]]&lt;=36, "1-3 Years", TelecomData[[#This Row],[TenureMonths]]&gt;36, "3+ Years")</f>
        <v>3+ Years</v>
      </c>
      <c r="N4945" s="2" t="str">
        <f>IF(TelecomData[[#This Row],[CleanedTotalCharges]]&gt;=2500,"High Spend", "Standard Spend")</f>
        <v>High Spend</v>
      </c>
    </row>
    <row r="4946" spans="1:14" x14ac:dyDescent="0.3">
      <c r="A4946" s="1" t="s">
        <v>4970</v>
      </c>
      <c r="B4946" s="2" t="s">
        <v>19</v>
      </c>
      <c r="C4946" s="2" t="s">
        <v>13</v>
      </c>
      <c r="D4946" s="2">
        <v>10</v>
      </c>
      <c r="E4946" s="2" t="s">
        <v>15</v>
      </c>
      <c r="F4946" s="2" t="s">
        <v>36</v>
      </c>
      <c r="G4946" s="7">
        <v>24.4</v>
      </c>
      <c r="H4946" s="7">
        <v>253.9</v>
      </c>
      <c r="I4946" s="2" t="s">
        <v>15</v>
      </c>
      <c r="J4946" s="2" t="s">
        <v>16</v>
      </c>
      <c r="K4946" s="2" t="s">
        <v>21</v>
      </c>
      <c r="L4946" s="7">
        <v>253.9</v>
      </c>
      <c r="M4946" s="2" t="str">
        <f>_xlfn.IFS(TelecomData[[#This Row],[TenureMonths]]&lt;=12, "0-1 Year", TelecomData[[#This Row],[TenureMonths]]&lt;=36, "1-3 Years", TelecomData[[#This Row],[TenureMonths]]&gt;36, "3+ Years")</f>
        <v>0-1 Year</v>
      </c>
      <c r="N4946" s="2" t="str">
        <f>IF(TelecomData[[#This Row],[CleanedTotalCharges]]&gt;=2500,"High Spend", "Standard Spend")</f>
        <v>Standard Spend</v>
      </c>
    </row>
    <row r="4947" spans="1:14" x14ac:dyDescent="0.3">
      <c r="A4947" s="1" t="s">
        <v>4971</v>
      </c>
      <c r="B4947" s="2" t="s">
        <v>19</v>
      </c>
      <c r="C4947" s="2" t="s">
        <v>35</v>
      </c>
      <c r="D4947" s="2">
        <v>20</v>
      </c>
      <c r="E4947" s="2" t="s">
        <v>15</v>
      </c>
      <c r="F4947" s="2" t="s">
        <v>36</v>
      </c>
      <c r="G4947" s="7">
        <v>20.05</v>
      </c>
      <c r="H4947" s="7">
        <v>400</v>
      </c>
      <c r="I4947" s="2" t="s">
        <v>15</v>
      </c>
      <c r="J4947" s="2" t="s">
        <v>15</v>
      </c>
      <c r="K4947" s="2" t="s">
        <v>21</v>
      </c>
      <c r="L4947" s="7">
        <v>400</v>
      </c>
      <c r="M4947" s="2" t="str">
        <f>_xlfn.IFS(TelecomData[[#This Row],[TenureMonths]]&lt;=12, "0-1 Year", TelecomData[[#This Row],[TenureMonths]]&lt;=36, "1-3 Years", TelecomData[[#This Row],[TenureMonths]]&gt;36, "3+ Years")</f>
        <v>1-3 Years</v>
      </c>
      <c r="N4947" s="2" t="str">
        <f>IF(TelecomData[[#This Row],[CleanedTotalCharges]]&gt;=2500,"High Spend", "Standard Spend")</f>
        <v>Standard Spend</v>
      </c>
    </row>
    <row r="4948" spans="1:14" x14ac:dyDescent="0.3">
      <c r="A4948" s="1" t="s">
        <v>4972</v>
      </c>
      <c r="B4948" s="2" t="s">
        <v>19</v>
      </c>
      <c r="C4948" s="2" t="s">
        <v>13</v>
      </c>
      <c r="D4948" s="2">
        <v>4</v>
      </c>
      <c r="E4948" s="2" t="s">
        <v>26</v>
      </c>
      <c r="F4948" s="2" t="s">
        <v>15</v>
      </c>
      <c r="G4948" s="7">
        <v>81</v>
      </c>
      <c r="H4948" s="7">
        <v>340.85</v>
      </c>
      <c r="I4948" s="2" t="s">
        <v>16</v>
      </c>
      <c r="J4948" s="2" t="s">
        <v>16</v>
      </c>
      <c r="K4948" s="2" t="s">
        <v>17</v>
      </c>
      <c r="L4948" s="7">
        <v>340.85</v>
      </c>
      <c r="M4948" s="2" t="str">
        <f>_xlfn.IFS(TelecomData[[#This Row],[TenureMonths]]&lt;=12, "0-1 Year", TelecomData[[#This Row],[TenureMonths]]&lt;=36, "1-3 Years", TelecomData[[#This Row],[TenureMonths]]&gt;36, "3+ Years")</f>
        <v>0-1 Year</v>
      </c>
      <c r="N4948" s="2" t="str">
        <f>IF(TelecomData[[#This Row],[CleanedTotalCharges]]&gt;=2500,"High Spend", "Standard Spend")</f>
        <v>Standard Spend</v>
      </c>
    </row>
    <row r="4949" spans="1:14" x14ac:dyDescent="0.3">
      <c r="A4949" s="1" t="s">
        <v>4973</v>
      </c>
      <c r="B4949" s="2" t="s">
        <v>19</v>
      </c>
      <c r="C4949" s="2" t="s">
        <v>13</v>
      </c>
      <c r="D4949" s="2">
        <v>26</v>
      </c>
      <c r="E4949" s="2" t="s">
        <v>26</v>
      </c>
      <c r="F4949" s="2" t="s">
        <v>15</v>
      </c>
      <c r="G4949" s="7">
        <v>98.35</v>
      </c>
      <c r="H4949" s="7">
        <v>2515.3000000000002</v>
      </c>
      <c r="I4949" s="2" t="s">
        <v>16</v>
      </c>
      <c r="J4949" s="2" t="s">
        <v>16</v>
      </c>
      <c r="K4949" s="2" t="s">
        <v>17</v>
      </c>
      <c r="L4949" s="7">
        <v>2515.3000000000002</v>
      </c>
      <c r="M4949" s="2" t="str">
        <f>_xlfn.IFS(TelecomData[[#This Row],[TenureMonths]]&lt;=12, "0-1 Year", TelecomData[[#This Row],[TenureMonths]]&lt;=36, "1-3 Years", TelecomData[[#This Row],[TenureMonths]]&gt;36, "3+ Years")</f>
        <v>1-3 Years</v>
      </c>
      <c r="N4949" s="2" t="str">
        <f>IF(TelecomData[[#This Row],[CleanedTotalCharges]]&gt;=2500,"High Spend", "Standard Spend")</f>
        <v>High Spend</v>
      </c>
    </row>
    <row r="4950" spans="1:14" x14ac:dyDescent="0.3">
      <c r="A4950" s="1" t="s">
        <v>4974</v>
      </c>
      <c r="B4950" s="2" t="s">
        <v>12</v>
      </c>
      <c r="C4950" s="2" t="s">
        <v>13</v>
      </c>
      <c r="D4950" s="2">
        <v>4</v>
      </c>
      <c r="E4950" s="2" t="s">
        <v>14</v>
      </c>
      <c r="F4950" s="2" t="s">
        <v>15</v>
      </c>
      <c r="G4950" s="7">
        <v>55.5</v>
      </c>
      <c r="H4950" s="7">
        <v>227.35</v>
      </c>
      <c r="I4950" s="2" t="s">
        <v>15</v>
      </c>
      <c r="J4950" s="2" t="s">
        <v>15</v>
      </c>
      <c r="K4950" s="2" t="s">
        <v>29</v>
      </c>
      <c r="L4950" s="7">
        <v>227.35</v>
      </c>
      <c r="M4950" s="2" t="str">
        <f>_xlfn.IFS(TelecomData[[#This Row],[TenureMonths]]&lt;=12, "0-1 Year", TelecomData[[#This Row],[TenureMonths]]&lt;=36, "1-3 Years", TelecomData[[#This Row],[TenureMonths]]&gt;36, "3+ Years")</f>
        <v>0-1 Year</v>
      </c>
      <c r="N4950" s="2" t="str">
        <f>IF(TelecomData[[#This Row],[CleanedTotalCharges]]&gt;=2500,"High Spend", "Standard Spend")</f>
        <v>Standard Spend</v>
      </c>
    </row>
    <row r="4951" spans="1:14" x14ac:dyDescent="0.3">
      <c r="A4951" s="1" t="s">
        <v>4975</v>
      </c>
      <c r="B4951" s="2" t="s">
        <v>19</v>
      </c>
      <c r="C4951" s="2" t="s">
        <v>13</v>
      </c>
      <c r="D4951" s="2">
        <v>5</v>
      </c>
      <c r="E4951" s="2" t="s">
        <v>14</v>
      </c>
      <c r="F4951" s="2" t="s">
        <v>15</v>
      </c>
      <c r="G4951" s="7">
        <v>51</v>
      </c>
      <c r="H4951" s="7">
        <v>305.95</v>
      </c>
      <c r="I4951" s="2" t="s">
        <v>16</v>
      </c>
      <c r="J4951" s="2" t="s">
        <v>16</v>
      </c>
      <c r="K4951" s="2" t="s">
        <v>21</v>
      </c>
      <c r="L4951" s="7">
        <v>305.95</v>
      </c>
      <c r="M4951" s="2" t="str">
        <f>_xlfn.IFS(TelecomData[[#This Row],[TenureMonths]]&lt;=12, "0-1 Year", TelecomData[[#This Row],[TenureMonths]]&lt;=36, "1-3 Years", TelecomData[[#This Row],[TenureMonths]]&gt;36, "3+ Years")</f>
        <v>0-1 Year</v>
      </c>
      <c r="N4951" s="2" t="str">
        <f>IF(TelecomData[[#This Row],[CleanedTotalCharges]]&gt;=2500,"High Spend", "Standard Spend")</f>
        <v>Standard Spend</v>
      </c>
    </row>
    <row r="4952" spans="1:14" x14ac:dyDescent="0.3">
      <c r="A4952" s="1" t="s">
        <v>4976</v>
      </c>
      <c r="B4952" s="2" t="s">
        <v>12</v>
      </c>
      <c r="C4952" s="2" t="s">
        <v>13</v>
      </c>
      <c r="D4952" s="2">
        <v>4</v>
      </c>
      <c r="E4952" s="2" t="s">
        <v>26</v>
      </c>
      <c r="F4952" s="2" t="s">
        <v>15</v>
      </c>
      <c r="G4952" s="7">
        <v>91.65</v>
      </c>
      <c r="H4952" s="7">
        <v>365.4</v>
      </c>
      <c r="I4952" s="2" t="s">
        <v>16</v>
      </c>
      <c r="J4952" s="2" t="s">
        <v>16</v>
      </c>
      <c r="K4952" s="2" t="s">
        <v>17</v>
      </c>
      <c r="L4952" s="7">
        <v>365.4</v>
      </c>
      <c r="M4952" s="2" t="str">
        <f>_xlfn.IFS(TelecomData[[#This Row],[TenureMonths]]&lt;=12, "0-1 Year", TelecomData[[#This Row],[TenureMonths]]&lt;=36, "1-3 Years", TelecomData[[#This Row],[TenureMonths]]&gt;36, "3+ Years")</f>
        <v>0-1 Year</v>
      </c>
      <c r="N4952" s="2" t="str">
        <f>IF(TelecomData[[#This Row],[CleanedTotalCharges]]&gt;=2500,"High Spend", "Standard Spend")</f>
        <v>Standard Spend</v>
      </c>
    </row>
    <row r="4953" spans="1:14" x14ac:dyDescent="0.3">
      <c r="A4953" s="1" t="s">
        <v>4977</v>
      </c>
      <c r="B4953" s="2" t="s">
        <v>19</v>
      </c>
      <c r="C4953" s="2" t="s">
        <v>13</v>
      </c>
      <c r="D4953" s="2">
        <v>29</v>
      </c>
      <c r="E4953" s="2" t="s">
        <v>26</v>
      </c>
      <c r="F4953" s="2" t="s">
        <v>15</v>
      </c>
      <c r="G4953" s="7">
        <v>84.3</v>
      </c>
      <c r="H4953" s="7">
        <v>2357.75</v>
      </c>
      <c r="I4953" s="2" t="s">
        <v>15</v>
      </c>
      <c r="J4953" s="2" t="s">
        <v>16</v>
      </c>
      <c r="K4953" s="2" t="s">
        <v>17</v>
      </c>
      <c r="L4953" s="7">
        <v>2357.75</v>
      </c>
      <c r="M4953" s="2" t="str">
        <f>_xlfn.IFS(TelecomData[[#This Row],[TenureMonths]]&lt;=12, "0-1 Year", TelecomData[[#This Row],[TenureMonths]]&lt;=36, "1-3 Years", TelecomData[[#This Row],[TenureMonths]]&gt;36, "3+ Years")</f>
        <v>1-3 Years</v>
      </c>
      <c r="N4953" s="2" t="str">
        <f>IF(TelecomData[[#This Row],[CleanedTotalCharges]]&gt;=2500,"High Spend", "Standard Spend")</f>
        <v>Standard Spend</v>
      </c>
    </row>
    <row r="4954" spans="1:14" x14ac:dyDescent="0.3">
      <c r="A4954" s="1" t="s">
        <v>4978</v>
      </c>
      <c r="B4954" s="2" t="s">
        <v>19</v>
      </c>
      <c r="C4954" s="2" t="s">
        <v>13</v>
      </c>
      <c r="D4954" s="2">
        <v>2</v>
      </c>
      <c r="E4954" s="2" t="s">
        <v>26</v>
      </c>
      <c r="F4954" s="2" t="s">
        <v>15</v>
      </c>
      <c r="G4954" s="7">
        <v>100.2</v>
      </c>
      <c r="H4954" s="7">
        <v>198.5</v>
      </c>
      <c r="I4954" s="2" t="s">
        <v>15</v>
      </c>
      <c r="J4954" s="2" t="s">
        <v>15</v>
      </c>
      <c r="K4954" s="2" t="s">
        <v>17</v>
      </c>
      <c r="L4954" s="7">
        <v>198.5</v>
      </c>
      <c r="M4954" s="2" t="str">
        <f>_xlfn.IFS(TelecomData[[#This Row],[TenureMonths]]&lt;=12, "0-1 Year", TelecomData[[#This Row],[TenureMonths]]&lt;=36, "1-3 Years", TelecomData[[#This Row],[TenureMonths]]&gt;36, "3+ Years")</f>
        <v>0-1 Year</v>
      </c>
      <c r="N4954" s="2" t="str">
        <f>IF(TelecomData[[#This Row],[CleanedTotalCharges]]&gt;=2500,"High Spend", "Standard Spend")</f>
        <v>Standard Spend</v>
      </c>
    </row>
    <row r="4955" spans="1:14" x14ac:dyDescent="0.3">
      <c r="A4955" s="1" t="s">
        <v>4979</v>
      </c>
      <c r="B4955" s="2" t="s">
        <v>12</v>
      </c>
      <c r="C4955" s="2" t="s">
        <v>35</v>
      </c>
      <c r="D4955" s="2">
        <v>29</v>
      </c>
      <c r="E4955" s="2" t="s">
        <v>15</v>
      </c>
      <c r="F4955" s="2" t="s">
        <v>36</v>
      </c>
      <c r="G4955" s="7">
        <v>19.399999999999999</v>
      </c>
      <c r="H4955" s="7">
        <v>554.25</v>
      </c>
      <c r="I4955" s="2" t="s">
        <v>15</v>
      </c>
      <c r="J4955" s="2" t="s">
        <v>15</v>
      </c>
      <c r="K4955" s="2" t="s">
        <v>21</v>
      </c>
      <c r="L4955" s="7">
        <v>554.25</v>
      </c>
      <c r="M4955" s="2" t="str">
        <f>_xlfn.IFS(TelecomData[[#This Row],[TenureMonths]]&lt;=12, "0-1 Year", TelecomData[[#This Row],[TenureMonths]]&lt;=36, "1-3 Years", TelecomData[[#This Row],[TenureMonths]]&gt;36, "3+ Years")</f>
        <v>1-3 Years</v>
      </c>
      <c r="N4955" s="2" t="str">
        <f>IF(TelecomData[[#This Row],[CleanedTotalCharges]]&gt;=2500,"High Spend", "Standard Spend")</f>
        <v>Standard Spend</v>
      </c>
    </row>
    <row r="4956" spans="1:14" x14ac:dyDescent="0.3">
      <c r="A4956" s="1" t="s">
        <v>4980</v>
      </c>
      <c r="B4956" s="2" t="s">
        <v>19</v>
      </c>
      <c r="C4956" s="2" t="s">
        <v>13</v>
      </c>
      <c r="D4956" s="2">
        <v>1</v>
      </c>
      <c r="E4956" s="2" t="s">
        <v>26</v>
      </c>
      <c r="F4956" s="2" t="s">
        <v>15</v>
      </c>
      <c r="G4956" s="7">
        <v>90.85</v>
      </c>
      <c r="H4956" s="7">
        <v>90.85</v>
      </c>
      <c r="I4956" s="2" t="s">
        <v>16</v>
      </c>
      <c r="J4956" s="2" t="s">
        <v>16</v>
      </c>
      <c r="K4956" s="2" t="s">
        <v>17</v>
      </c>
      <c r="L4956" s="7">
        <v>90.85</v>
      </c>
      <c r="M4956" s="2" t="str">
        <f>_xlfn.IFS(TelecomData[[#This Row],[TenureMonths]]&lt;=12, "0-1 Year", TelecomData[[#This Row],[TenureMonths]]&lt;=36, "1-3 Years", TelecomData[[#This Row],[TenureMonths]]&gt;36, "3+ Years")</f>
        <v>0-1 Year</v>
      </c>
      <c r="N4956" s="2" t="str">
        <f>IF(TelecomData[[#This Row],[CleanedTotalCharges]]&gt;=2500,"High Spend", "Standard Spend")</f>
        <v>Standard Spend</v>
      </c>
    </row>
    <row r="4957" spans="1:14" x14ac:dyDescent="0.3">
      <c r="A4957" s="1" t="s">
        <v>4981</v>
      </c>
      <c r="B4957" s="2" t="s">
        <v>19</v>
      </c>
      <c r="C4957" s="2" t="s">
        <v>13</v>
      </c>
      <c r="D4957" s="2">
        <v>1</v>
      </c>
      <c r="E4957" s="2" t="s">
        <v>26</v>
      </c>
      <c r="F4957" s="2" t="s">
        <v>15</v>
      </c>
      <c r="G4957" s="7">
        <v>69.400000000000006</v>
      </c>
      <c r="H4957" s="7">
        <v>69.400000000000006</v>
      </c>
      <c r="I4957" s="2" t="s">
        <v>16</v>
      </c>
      <c r="J4957" s="2" t="s">
        <v>15</v>
      </c>
      <c r="K4957" s="2" t="s">
        <v>21</v>
      </c>
      <c r="L4957" s="7">
        <v>69.400000000000006</v>
      </c>
      <c r="M4957" s="2" t="str">
        <f>_xlfn.IFS(TelecomData[[#This Row],[TenureMonths]]&lt;=12, "0-1 Year", TelecomData[[#This Row],[TenureMonths]]&lt;=36, "1-3 Years", TelecomData[[#This Row],[TenureMonths]]&gt;36, "3+ Years")</f>
        <v>0-1 Year</v>
      </c>
      <c r="N4957" s="2" t="str">
        <f>IF(TelecomData[[#This Row],[CleanedTotalCharges]]&gt;=2500,"High Spend", "Standard Spend")</f>
        <v>Standard Spend</v>
      </c>
    </row>
    <row r="4958" spans="1:14" x14ac:dyDescent="0.3">
      <c r="A4958" s="1" t="s">
        <v>4982</v>
      </c>
      <c r="B4958" s="2" t="s">
        <v>12</v>
      </c>
      <c r="C4958" s="2" t="s">
        <v>13</v>
      </c>
      <c r="D4958" s="2">
        <v>8</v>
      </c>
      <c r="E4958" s="2" t="s">
        <v>26</v>
      </c>
      <c r="F4958" s="2" t="s">
        <v>15</v>
      </c>
      <c r="G4958" s="7">
        <v>94.45</v>
      </c>
      <c r="H4958" s="7">
        <v>742.95</v>
      </c>
      <c r="I4958" s="2" t="s">
        <v>16</v>
      </c>
      <c r="J4958" s="2" t="s">
        <v>16</v>
      </c>
      <c r="K4958" s="2" t="s">
        <v>29</v>
      </c>
      <c r="L4958" s="7">
        <v>742.95</v>
      </c>
      <c r="M4958" s="2" t="str">
        <f>_xlfn.IFS(TelecomData[[#This Row],[TenureMonths]]&lt;=12, "0-1 Year", TelecomData[[#This Row],[TenureMonths]]&lt;=36, "1-3 Years", TelecomData[[#This Row],[TenureMonths]]&gt;36, "3+ Years")</f>
        <v>0-1 Year</v>
      </c>
      <c r="N4958" s="2" t="str">
        <f>IF(TelecomData[[#This Row],[CleanedTotalCharges]]&gt;=2500,"High Spend", "Standard Spend")</f>
        <v>Standard Spend</v>
      </c>
    </row>
    <row r="4959" spans="1:14" x14ac:dyDescent="0.3">
      <c r="A4959" s="1" t="s">
        <v>4983</v>
      </c>
      <c r="B4959" s="2" t="s">
        <v>19</v>
      </c>
      <c r="C4959" s="2" t="s">
        <v>13</v>
      </c>
      <c r="D4959" s="2">
        <v>13</v>
      </c>
      <c r="E4959" s="2" t="s">
        <v>15</v>
      </c>
      <c r="F4959" s="2" t="s">
        <v>36</v>
      </c>
      <c r="G4959" s="7">
        <v>20.399999999999999</v>
      </c>
      <c r="H4959" s="7">
        <v>251.65</v>
      </c>
      <c r="I4959" s="2" t="s">
        <v>15</v>
      </c>
      <c r="J4959" s="2" t="s">
        <v>16</v>
      </c>
      <c r="K4959" s="2" t="s">
        <v>17</v>
      </c>
      <c r="L4959" s="7">
        <v>251.65</v>
      </c>
      <c r="M4959" s="2" t="str">
        <f>_xlfn.IFS(TelecomData[[#This Row],[TenureMonths]]&lt;=12, "0-1 Year", TelecomData[[#This Row],[TenureMonths]]&lt;=36, "1-3 Years", TelecomData[[#This Row],[TenureMonths]]&gt;36, "3+ Years")</f>
        <v>1-3 Years</v>
      </c>
      <c r="N4959" s="2" t="str">
        <f>IF(TelecomData[[#This Row],[CleanedTotalCharges]]&gt;=2500,"High Spend", "Standard Spend")</f>
        <v>Standard Spend</v>
      </c>
    </row>
    <row r="4960" spans="1:14" x14ac:dyDescent="0.3">
      <c r="A4960" s="1" t="s">
        <v>4984</v>
      </c>
      <c r="B4960" s="2" t="s">
        <v>12</v>
      </c>
      <c r="C4960" s="2" t="s">
        <v>13</v>
      </c>
      <c r="D4960" s="2">
        <v>59</v>
      </c>
      <c r="E4960" s="2" t="s">
        <v>26</v>
      </c>
      <c r="F4960" s="2" t="s">
        <v>15</v>
      </c>
      <c r="G4960" s="7">
        <v>94.75</v>
      </c>
      <c r="H4960" s="7">
        <v>5597.65</v>
      </c>
      <c r="I4960" s="2" t="s">
        <v>15</v>
      </c>
      <c r="J4960" s="2" t="s">
        <v>16</v>
      </c>
      <c r="K4960" s="2" t="s">
        <v>17</v>
      </c>
      <c r="L4960" s="7">
        <v>5597.65</v>
      </c>
      <c r="M4960" s="2" t="str">
        <f>_xlfn.IFS(TelecomData[[#This Row],[TenureMonths]]&lt;=12, "0-1 Year", TelecomData[[#This Row],[TenureMonths]]&lt;=36, "1-3 Years", TelecomData[[#This Row],[TenureMonths]]&gt;36, "3+ Years")</f>
        <v>3+ Years</v>
      </c>
      <c r="N4960" s="2" t="str">
        <f>IF(TelecomData[[#This Row],[CleanedTotalCharges]]&gt;=2500,"High Spend", "Standard Spend")</f>
        <v>High Spend</v>
      </c>
    </row>
    <row r="4961" spans="1:14" x14ac:dyDescent="0.3">
      <c r="A4961" s="1" t="s">
        <v>4985</v>
      </c>
      <c r="B4961" s="2" t="s">
        <v>12</v>
      </c>
      <c r="C4961" s="2" t="s">
        <v>13</v>
      </c>
      <c r="D4961" s="2">
        <v>1</v>
      </c>
      <c r="E4961" s="2" t="s">
        <v>15</v>
      </c>
      <c r="F4961" s="2" t="s">
        <v>36</v>
      </c>
      <c r="G4961" s="7">
        <v>20.149999999999999</v>
      </c>
      <c r="H4961" s="7">
        <v>20.149999999999999</v>
      </c>
      <c r="I4961" s="2" t="s">
        <v>16</v>
      </c>
      <c r="J4961" s="2" t="s">
        <v>16</v>
      </c>
      <c r="K4961" s="2" t="s">
        <v>29</v>
      </c>
      <c r="L4961" s="7">
        <v>20.149999999999999</v>
      </c>
      <c r="M4961" s="2" t="str">
        <f>_xlfn.IFS(TelecomData[[#This Row],[TenureMonths]]&lt;=12, "0-1 Year", TelecomData[[#This Row],[TenureMonths]]&lt;=36, "1-3 Years", TelecomData[[#This Row],[TenureMonths]]&gt;36, "3+ Years")</f>
        <v>0-1 Year</v>
      </c>
      <c r="N4961" s="2" t="str">
        <f>IF(TelecomData[[#This Row],[CleanedTotalCharges]]&gt;=2500,"High Spend", "Standard Spend")</f>
        <v>Standard Spend</v>
      </c>
    </row>
    <row r="4962" spans="1:14" x14ac:dyDescent="0.3">
      <c r="A4962" s="1" t="s">
        <v>4986</v>
      </c>
      <c r="B4962" s="2" t="s">
        <v>19</v>
      </c>
      <c r="C4962" s="2" t="s">
        <v>13</v>
      </c>
      <c r="D4962" s="2">
        <v>50</v>
      </c>
      <c r="E4962" s="2" t="s">
        <v>26</v>
      </c>
      <c r="F4962" s="2" t="s">
        <v>15</v>
      </c>
      <c r="G4962" s="7">
        <v>95.7</v>
      </c>
      <c r="H4962" s="7">
        <v>4816.7</v>
      </c>
      <c r="I4962" s="2" t="s">
        <v>16</v>
      </c>
      <c r="J4962" s="2" t="s">
        <v>16</v>
      </c>
      <c r="K4962" s="2" t="s">
        <v>17</v>
      </c>
      <c r="L4962" s="7">
        <v>4816.7</v>
      </c>
      <c r="M4962" s="2" t="str">
        <f>_xlfn.IFS(TelecomData[[#This Row],[TenureMonths]]&lt;=12, "0-1 Year", TelecomData[[#This Row],[TenureMonths]]&lt;=36, "1-3 Years", TelecomData[[#This Row],[TenureMonths]]&gt;36, "3+ Years")</f>
        <v>3+ Years</v>
      </c>
      <c r="N4962" s="2" t="str">
        <f>IF(TelecomData[[#This Row],[CleanedTotalCharges]]&gt;=2500,"High Spend", "Standard Spend")</f>
        <v>High Spend</v>
      </c>
    </row>
    <row r="4963" spans="1:14" x14ac:dyDescent="0.3">
      <c r="A4963" s="1" t="s">
        <v>4987</v>
      </c>
      <c r="B4963" s="2" t="s">
        <v>19</v>
      </c>
      <c r="C4963" s="2" t="s">
        <v>13</v>
      </c>
      <c r="D4963" s="2">
        <v>18</v>
      </c>
      <c r="E4963" s="2" t="s">
        <v>14</v>
      </c>
      <c r="F4963" s="2" t="s">
        <v>15</v>
      </c>
      <c r="G4963" s="7">
        <v>44.35</v>
      </c>
      <c r="H4963" s="7">
        <v>768.05</v>
      </c>
      <c r="I4963" s="2" t="s">
        <v>15</v>
      </c>
      <c r="J4963" s="2" t="s">
        <v>16</v>
      </c>
      <c r="K4963" s="2" t="s">
        <v>24</v>
      </c>
      <c r="L4963" s="7">
        <v>768.05</v>
      </c>
      <c r="M4963" s="2" t="str">
        <f>_xlfn.IFS(TelecomData[[#This Row],[TenureMonths]]&lt;=12, "0-1 Year", TelecomData[[#This Row],[TenureMonths]]&lt;=36, "1-3 Years", TelecomData[[#This Row],[TenureMonths]]&gt;36, "3+ Years")</f>
        <v>1-3 Years</v>
      </c>
      <c r="N4963" s="2" t="str">
        <f>IF(TelecomData[[#This Row],[CleanedTotalCharges]]&gt;=2500,"High Spend", "Standard Spend")</f>
        <v>Standard Spend</v>
      </c>
    </row>
    <row r="4964" spans="1:14" x14ac:dyDescent="0.3">
      <c r="A4964" s="1" t="s">
        <v>4988</v>
      </c>
      <c r="B4964" s="2" t="s">
        <v>12</v>
      </c>
      <c r="C4964" s="2" t="s">
        <v>13</v>
      </c>
      <c r="D4964" s="2">
        <v>17</v>
      </c>
      <c r="E4964" s="2" t="s">
        <v>14</v>
      </c>
      <c r="F4964" s="2" t="s">
        <v>15</v>
      </c>
      <c r="G4964" s="7">
        <v>74.55</v>
      </c>
      <c r="H4964" s="7">
        <v>1215.8</v>
      </c>
      <c r="I4964" s="2" t="s">
        <v>15</v>
      </c>
      <c r="J4964" s="2" t="s">
        <v>15</v>
      </c>
      <c r="K4964" s="2" t="s">
        <v>21</v>
      </c>
      <c r="L4964" s="7">
        <v>1215.8</v>
      </c>
      <c r="M4964" s="2" t="str">
        <f>_xlfn.IFS(TelecomData[[#This Row],[TenureMonths]]&lt;=12, "0-1 Year", TelecomData[[#This Row],[TenureMonths]]&lt;=36, "1-3 Years", TelecomData[[#This Row],[TenureMonths]]&gt;36, "3+ Years")</f>
        <v>1-3 Years</v>
      </c>
      <c r="N4964" s="2" t="str">
        <f>IF(TelecomData[[#This Row],[CleanedTotalCharges]]&gt;=2500,"High Spend", "Standard Spend")</f>
        <v>Standard Spend</v>
      </c>
    </row>
    <row r="4965" spans="1:14" x14ac:dyDescent="0.3">
      <c r="A4965" s="1" t="s">
        <v>4989</v>
      </c>
      <c r="B4965" s="2" t="s">
        <v>19</v>
      </c>
      <c r="C4965" s="2" t="s">
        <v>35</v>
      </c>
      <c r="D4965" s="2">
        <v>47</v>
      </c>
      <c r="E4965" s="2" t="s">
        <v>14</v>
      </c>
      <c r="F4965" s="2" t="s">
        <v>15</v>
      </c>
      <c r="G4965" s="7">
        <v>73.599999999999994</v>
      </c>
      <c r="H4965" s="7">
        <v>3522.65</v>
      </c>
      <c r="I4965" s="2" t="s">
        <v>15</v>
      </c>
      <c r="J4965" s="2" t="s">
        <v>15</v>
      </c>
      <c r="K4965" s="2" t="s">
        <v>17</v>
      </c>
      <c r="L4965" s="7">
        <v>3522.65</v>
      </c>
      <c r="M4965" s="2" t="str">
        <f>_xlfn.IFS(TelecomData[[#This Row],[TenureMonths]]&lt;=12, "0-1 Year", TelecomData[[#This Row],[TenureMonths]]&lt;=36, "1-3 Years", TelecomData[[#This Row],[TenureMonths]]&gt;36, "3+ Years")</f>
        <v>3+ Years</v>
      </c>
      <c r="N4965" s="2" t="str">
        <f>IF(TelecomData[[#This Row],[CleanedTotalCharges]]&gt;=2500,"High Spend", "Standard Spend")</f>
        <v>High Spend</v>
      </c>
    </row>
    <row r="4966" spans="1:14" x14ac:dyDescent="0.3">
      <c r="A4966" s="1" t="s">
        <v>4990</v>
      </c>
      <c r="B4966" s="2" t="s">
        <v>12</v>
      </c>
      <c r="C4966" s="2" t="s">
        <v>13</v>
      </c>
      <c r="D4966" s="2">
        <v>26</v>
      </c>
      <c r="E4966" s="2" t="s">
        <v>26</v>
      </c>
      <c r="F4966" s="2" t="s">
        <v>15</v>
      </c>
      <c r="G4966" s="7">
        <v>74.95</v>
      </c>
      <c r="H4966" s="7">
        <v>1834.95</v>
      </c>
      <c r="I4966" s="2" t="s">
        <v>16</v>
      </c>
      <c r="J4966" s="2" t="s">
        <v>16</v>
      </c>
      <c r="K4966" s="2" t="s">
        <v>24</v>
      </c>
      <c r="L4966" s="7">
        <v>1834.95</v>
      </c>
      <c r="M4966" s="2" t="str">
        <f>_xlfn.IFS(TelecomData[[#This Row],[TenureMonths]]&lt;=12, "0-1 Year", TelecomData[[#This Row],[TenureMonths]]&lt;=36, "1-3 Years", TelecomData[[#This Row],[TenureMonths]]&gt;36, "3+ Years")</f>
        <v>1-3 Years</v>
      </c>
      <c r="N4966" s="2" t="str">
        <f>IF(TelecomData[[#This Row],[CleanedTotalCharges]]&gt;=2500,"High Spend", "Standard Spend")</f>
        <v>Standard Spend</v>
      </c>
    </row>
    <row r="4967" spans="1:14" x14ac:dyDescent="0.3">
      <c r="A4967" s="1" t="s">
        <v>4991</v>
      </c>
      <c r="B4967" s="2" t="s">
        <v>12</v>
      </c>
      <c r="C4967" s="2" t="s">
        <v>13</v>
      </c>
      <c r="D4967" s="2">
        <v>6</v>
      </c>
      <c r="E4967" s="2" t="s">
        <v>14</v>
      </c>
      <c r="F4967" s="2" t="s">
        <v>15</v>
      </c>
      <c r="G4967" s="7">
        <v>47.95</v>
      </c>
      <c r="H4967" s="7">
        <v>305.10000000000002</v>
      </c>
      <c r="I4967" s="2" t="s">
        <v>16</v>
      </c>
      <c r="J4967" s="2" t="s">
        <v>16</v>
      </c>
      <c r="K4967" s="2" t="s">
        <v>17</v>
      </c>
      <c r="L4967" s="7">
        <v>305.10000000000002</v>
      </c>
      <c r="M4967" s="2" t="str">
        <f>_xlfn.IFS(TelecomData[[#This Row],[TenureMonths]]&lt;=12, "0-1 Year", TelecomData[[#This Row],[TenureMonths]]&lt;=36, "1-3 Years", TelecomData[[#This Row],[TenureMonths]]&gt;36, "3+ Years")</f>
        <v>0-1 Year</v>
      </c>
      <c r="N4967" s="2" t="str">
        <f>IF(TelecomData[[#This Row],[CleanedTotalCharges]]&gt;=2500,"High Spend", "Standard Spend")</f>
        <v>Standard Spend</v>
      </c>
    </row>
    <row r="4968" spans="1:14" x14ac:dyDescent="0.3">
      <c r="A4968" s="1" t="s">
        <v>4992</v>
      </c>
      <c r="B4968" s="2" t="s">
        <v>19</v>
      </c>
      <c r="C4968" s="2" t="s">
        <v>13</v>
      </c>
      <c r="D4968" s="2">
        <v>19</v>
      </c>
      <c r="E4968" s="2" t="s">
        <v>14</v>
      </c>
      <c r="F4968" s="2" t="s">
        <v>15</v>
      </c>
      <c r="G4968" s="7">
        <v>50.1</v>
      </c>
      <c r="H4968" s="7">
        <v>910.45</v>
      </c>
      <c r="I4968" s="2" t="s">
        <v>15</v>
      </c>
      <c r="J4968" s="2" t="s">
        <v>15</v>
      </c>
      <c r="K4968" s="2" t="s">
        <v>29</v>
      </c>
      <c r="L4968" s="7">
        <v>910.45</v>
      </c>
      <c r="M4968" s="2" t="str">
        <f>_xlfn.IFS(TelecomData[[#This Row],[TenureMonths]]&lt;=12, "0-1 Year", TelecomData[[#This Row],[TenureMonths]]&lt;=36, "1-3 Years", TelecomData[[#This Row],[TenureMonths]]&gt;36, "3+ Years")</f>
        <v>1-3 Years</v>
      </c>
      <c r="N4968" s="2" t="str">
        <f>IF(TelecomData[[#This Row],[CleanedTotalCharges]]&gt;=2500,"High Spend", "Standard Spend")</f>
        <v>Standard Spend</v>
      </c>
    </row>
    <row r="4969" spans="1:14" x14ac:dyDescent="0.3">
      <c r="A4969" s="1" t="s">
        <v>4993</v>
      </c>
      <c r="B4969" s="2" t="s">
        <v>12</v>
      </c>
      <c r="C4969" s="2" t="s">
        <v>13</v>
      </c>
      <c r="D4969" s="2">
        <v>3</v>
      </c>
      <c r="E4969" s="2" t="s">
        <v>14</v>
      </c>
      <c r="F4969" s="2" t="s">
        <v>16</v>
      </c>
      <c r="G4969" s="7">
        <v>63.6</v>
      </c>
      <c r="H4969" s="7">
        <v>155.65</v>
      </c>
      <c r="I4969" s="2" t="s">
        <v>16</v>
      </c>
      <c r="J4969" s="2" t="s">
        <v>16</v>
      </c>
      <c r="K4969" s="2" t="s">
        <v>17</v>
      </c>
      <c r="L4969" s="7">
        <v>155.65</v>
      </c>
      <c r="M4969" s="2" t="str">
        <f>_xlfn.IFS(TelecomData[[#This Row],[TenureMonths]]&lt;=12, "0-1 Year", TelecomData[[#This Row],[TenureMonths]]&lt;=36, "1-3 Years", TelecomData[[#This Row],[TenureMonths]]&gt;36, "3+ Years")</f>
        <v>0-1 Year</v>
      </c>
      <c r="N4969" s="2" t="str">
        <f>IF(TelecomData[[#This Row],[CleanedTotalCharges]]&gt;=2500,"High Spend", "Standard Spend")</f>
        <v>Standard Spend</v>
      </c>
    </row>
    <row r="4970" spans="1:14" x14ac:dyDescent="0.3">
      <c r="A4970" s="1" t="s">
        <v>4994</v>
      </c>
      <c r="B4970" s="2" t="s">
        <v>12</v>
      </c>
      <c r="C4970" s="2" t="s">
        <v>35</v>
      </c>
      <c r="D4970" s="2">
        <v>68</v>
      </c>
      <c r="E4970" s="2" t="s">
        <v>14</v>
      </c>
      <c r="F4970" s="2" t="s">
        <v>15</v>
      </c>
      <c r="G4970" s="7">
        <v>53</v>
      </c>
      <c r="H4970" s="7">
        <v>3656.25</v>
      </c>
      <c r="I4970" s="2" t="s">
        <v>15</v>
      </c>
      <c r="J4970" s="2" t="s">
        <v>16</v>
      </c>
      <c r="K4970" s="2" t="s">
        <v>17</v>
      </c>
      <c r="L4970" s="7">
        <v>3656.25</v>
      </c>
      <c r="M4970" s="2" t="str">
        <f>_xlfn.IFS(TelecomData[[#This Row],[TenureMonths]]&lt;=12, "0-1 Year", TelecomData[[#This Row],[TenureMonths]]&lt;=36, "1-3 Years", TelecomData[[#This Row],[TenureMonths]]&gt;36, "3+ Years")</f>
        <v>3+ Years</v>
      </c>
      <c r="N4970" s="2" t="str">
        <f>IF(TelecomData[[#This Row],[CleanedTotalCharges]]&gt;=2500,"High Spend", "Standard Spend")</f>
        <v>High Spend</v>
      </c>
    </row>
    <row r="4971" spans="1:14" x14ac:dyDescent="0.3">
      <c r="A4971" s="1" t="s">
        <v>4995</v>
      </c>
      <c r="B4971" s="2" t="s">
        <v>12</v>
      </c>
      <c r="C4971" s="2" t="s">
        <v>13</v>
      </c>
      <c r="D4971" s="2">
        <v>2</v>
      </c>
      <c r="E4971" s="2" t="s">
        <v>15</v>
      </c>
      <c r="F4971" s="2" t="s">
        <v>36</v>
      </c>
      <c r="G4971" s="7">
        <v>19.850000000000001</v>
      </c>
      <c r="H4971" s="7">
        <v>52</v>
      </c>
      <c r="I4971" s="2" t="s">
        <v>15</v>
      </c>
      <c r="J4971" s="2" t="s">
        <v>15</v>
      </c>
      <c r="K4971" s="2" t="s">
        <v>24</v>
      </c>
      <c r="L4971" s="7">
        <v>52</v>
      </c>
      <c r="M4971" s="2" t="str">
        <f>_xlfn.IFS(TelecomData[[#This Row],[TenureMonths]]&lt;=12, "0-1 Year", TelecomData[[#This Row],[TenureMonths]]&lt;=36, "1-3 Years", TelecomData[[#This Row],[TenureMonths]]&gt;36, "3+ Years")</f>
        <v>0-1 Year</v>
      </c>
      <c r="N4971" s="2" t="str">
        <f>IF(TelecomData[[#This Row],[CleanedTotalCharges]]&gt;=2500,"High Spend", "Standard Spend")</f>
        <v>Standard Spend</v>
      </c>
    </row>
    <row r="4972" spans="1:14" x14ac:dyDescent="0.3">
      <c r="A4972" s="1" t="s">
        <v>4996</v>
      </c>
      <c r="B4972" s="2" t="s">
        <v>19</v>
      </c>
      <c r="C4972" s="2" t="s">
        <v>20</v>
      </c>
      <c r="D4972" s="2">
        <v>7</v>
      </c>
      <c r="E4972" s="2" t="s">
        <v>14</v>
      </c>
      <c r="F4972" s="2" t="s">
        <v>15</v>
      </c>
      <c r="G4972" s="7">
        <v>24.35</v>
      </c>
      <c r="H4972" s="7">
        <v>150.85</v>
      </c>
      <c r="I4972" s="2" t="s">
        <v>15</v>
      </c>
      <c r="J4972" s="2" t="s">
        <v>16</v>
      </c>
      <c r="K4972" s="2" t="s">
        <v>29</v>
      </c>
      <c r="L4972" s="7">
        <v>150.85</v>
      </c>
      <c r="M4972" s="2" t="str">
        <f>_xlfn.IFS(TelecomData[[#This Row],[TenureMonths]]&lt;=12, "0-1 Year", TelecomData[[#This Row],[TenureMonths]]&lt;=36, "1-3 Years", TelecomData[[#This Row],[TenureMonths]]&gt;36, "3+ Years")</f>
        <v>0-1 Year</v>
      </c>
      <c r="N4972" s="2" t="str">
        <f>IF(TelecomData[[#This Row],[CleanedTotalCharges]]&gt;=2500,"High Spend", "Standard Spend")</f>
        <v>Standard Spend</v>
      </c>
    </row>
    <row r="4973" spans="1:14" x14ac:dyDescent="0.3">
      <c r="A4973" s="1" t="s">
        <v>4997</v>
      </c>
      <c r="B4973" s="2" t="s">
        <v>12</v>
      </c>
      <c r="C4973" s="2" t="s">
        <v>13</v>
      </c>
      <c r="D4973" s="2">
        <v>18</v>
      </c>
      <c r="E4973" s="2" t="s">
        <v>15</v>
      </c>
      <c r="F4973" s="2" t="s">
        <v>36</v>
      </c>
      <c r="G4973" s="7">
        <v>19.55</v>
      </c>
      <c r="H4973" s="7">
        <v>389.25</v>
      </c>
      <c r="I4973" s="2" t="s">
        <v>15</v>
      </c>
      <c r="J4973" s="2" t="s">
        <v>16</v>
      </c>
      <c r="K4973" s="2" t="s">
        <v>21</v>
      </c>
      <c r="L4973" s="7">
        <v>389.25</v>
      </c>
      <c r="M4973" s="2" t="str">
        <f>_xlfn.IFS(TelecomData[[#This Row],[TenureMonths]]&lt;=12, "0-1 Year", TelecomData[[#This Row],[TenureMonths]]&lt;=36, "1-3 Years", TelecomData[[#This Row],[TenureMonths]]&gt;36, "3+ Years")</f>
        <v>1-3 Years</v>
      </c>
      <c r="N4973" s="2" t="str">
        <f>IF(TelecomData[[#This Row],[CleanedTotalCharges]]&gt;=2500,"High Spend", "Standard Spend")</f>
        <v>Standard Spend</v>
      </c>
    </row>
    <row r="4974" spans="1:14" x14ac:dyDescent="0.3">
      <c r="A4974" s="1" t="s">
        <v>4998</v>
      </c>
      <c r="B4974" s="2" t="s">
        <v>12</v>
      </c>
      <c r="C4974" s="2" t="s">
        <v>35</v>
      </c>
      <c r="D4974" s="2">
        <v>71</v>
      </c>
      <c r="E4974" s="2" t="s">
        <v>15</v>
      </c>
      <c r="F4974" s="2" t="s">
        <v>36</v>
      </c>
      <c r="G4974" s="7">
        <v>25.05</v>
      </c>
      <c r="H4974" s="7">
        <v>1873.7</v>
      </c>
      <c r="I4974" s="2" t="s">
        <v>15</v>
      </c>
      <c r="J4974" s="2" t="s">
        <v>15</v>
      </c>
      <c r="K4974" s="2" t="s">
        <v>29</v>
      </c>
      <c r="L4974" s="7">
        <v>1873.7</v>
      </c>
      <c r="M4974" s="2" t="str">
        <f>_xlfn.IFS(TelecomData[[#This Row],[TenureMonths]]&lt;=12, "0-1 Year", TelecomData[[#This Row],[TenureMonths]]&lt;=36, "1-3 Years", TelecomData[[#This Row],[TenureMonths]]&gt;36, "3+ Years")</f>
        <v>3+ Years</v>
      </c>
      <c r="N4974" s="2" t="str">
        <f>IF(TelecomData[[#This Row],[CleanedTotalCharges]]&gt;=2500,"High Spend", "Standard Spend")</f>
        <v>Standard Spend</v>
      </c>
    </row>
    <row r="4975" spans="1:14" x14ac:dyDescent="0.3">
      <c r="A4975" s="1" t="s">
        <v>4999</v>
      </c>
      <c r="B4975" s="2" t="s">
        <v>19</v>
      </c>
      <c r="C4975" s="2" t="s">
        <v>13</v>
      </c>
      <c r="D4975" s="2">
        <v>13</v>
      </c>
      <c r="E4975" s="2" t="s">
        <v>26</v>
      </c>
      <c r="F4975" s="2" t="s">
        <v>15</v>
      </c>
      <c r="G4975" s="7">
        <v>93.8</v>
      </c>
      <c r="H4975" s="7">
        <v>1261</v>
      </c>
      <c r="I4975" s="2" t="s">
        <v>15</v>
      </c>
      <c r="J4975" s="2" t="s">
        <v>15</v>
      </c>
      <c r="K4975" s="2" t="s">
        <v>29</v>
      </c>
      <c r="L4975" s="7">
        <v>1261</v>
      </c>
      <c r="M4975" s="2" t="str">
        <f>_xlfn.IFS(TelecomData[[#This Row],[TenureMonths]]&lt;=12, "0-1 Year", TelecomData[[#This Row],[TenureMonths]]&lt;=36, "1-3 Years", TelecomData[[#This Row],[TenureMonths]]&gt;36, "3+ Years")</f>
        <v>1-3 Years</v>
      </c>
      <c r="N4975" s="2" t="str">
        <f>IF(TelecomData[[#This Row],[CleanedTotalCharges]]&gt;=2500,"High Spend", "Standard Spend")</f>
        <v>Standard Spend</v>
      </c>
    </row>
    <row r="4976" spans="1:14" x14ac:dyDescent="0.3">
      <c r="A4976" s="1" t="s">
        <v>5000</v>
      </c>
      <c r="B4976" s="2" t="s">
        <v>19</v>
      </c>
      <c r="C4976" s="2" t="s">
        <v>13</v>
      </c>
      <c r="D4976" s="2">
        <v>3</v>
      </c>
      <c r="E4976" s="2" t="s">
        <v>14</v>
      </c>
      <c r="F4976" s="2" t="s">
        <v>16</v>
      </c>
      <c r="G4976" s="7">
        <v>36.85</v>
      </c>
      <c r="H4976" s="7">
        <v>108.7</v>
      </c>
      <c r="I4976" s="2" t="s">
        <v>16</v>
      </c>
      <c r="J4976" s="2" t="s">
        <v>16</v>
      </c>
      <c r="K4976" s="2" t="s">
        <v>21</v>
      </c>
      <c r="L4976" s="7">
        <v>108.7</v>
      </c>
      <c r="M4976" s="2" t="str">
        <f>_xlfn.IFS(TelecomData[[#This Row],[TenureMonths]]&lt;=12, "0-1 Year", TelecomData[[#This Row],[TenureMonths]]&lt;=36, "1-3 Years", TelecomData[[#This Row],[TenureMonths]]&gt;36, "3+ Years")</f>
        <v>0-1 Year</v>
      </c>
      <c r="N4976" s="2" t="str">
        <f>IF(TelecomData[[#This Row],[CleanedTotalCharges]]&gt;=2500,"High Spend", "Standard Spend")</f>
        <v>Standard Spend</v>
      </c>
    </row>
    <row r="4977" spans="1:14" x14ac:dyDescent="0.3">
      <c r="A4977" s="1" t="s">
        <v>5001</v>
      </c>
      <c r="B4977" s="2" t="s">
        <v>19</v>
      </c>
      <c r="C4977" s="2" t="s">
        <v>35</v>
      </c>
      <c r="D4977" s="2">
        <v>72</v>
      </c>
      <c r="E4977" s="2" t="s">
        <v>26</v>
      </c>
      <c r="F4977" s="2" t="s">
        <v>15</v>
      </c>
      <c r="G4977" s="7">
        <v>103.75</v>
      </c>
      <c r="H4977" s="7">
        <v>7346.2</v>
      </c>
      <c r="I4977" s="2" t="s">
        <v>15</v>
      </c>
      <c r="J4977" s="2" t="s">
        <v>16</v>
      </c>
      <c r="K4977" s="2" t="s">
        <v>24</v>
      </c>
      <c r="L4977" s="7">
        <v>7346.2</v>
      </c>
      <c r="M4977" s="2" t="str">
        <f>_xlfn.IFS(TelecomData[[#This Row],[TenureMonths]]&lt;=12, "0-1 Year", TelecomData[[#This Row],[TenureMonths]]&lt;=36, "1-3 Years", TelecomData[[#This Row],[TenureMonths]]&gt;36, "3+ Years")</f>
        <v>3+ Years</v>
      </c>
      <c r="N4977" s="2" t="str">
        <f>IF(TelecomData[[#This Row],[CleanedTotalCharges]]&gt;=2500,"High Spend", "Standard Spend")</f>
        <v>High Spend</v>
      </c>
    </row>
    <row r="4978" spans="1:14" x14ac:dyDescent="0.3">
      <c r="A4978" s="1" t="s">
        <v>5002</v>
      </c>
      <c r="B4978" s="2" t="s">
        <v>19</v>
      </c>
      <c r="C4978" s="2" t="s">
        <v>35</v>
      </c>
      <c r="D4978" s="2">
        <v>66</v>
      </c>
      <c r="E4978" s="2" t="s">
        <v>14</v>
      </c>
      <c r="F4978" s="2" t="s">
        <v>15</v>
      </c>
      <c r="G4978" s="7">
        <v>56.75</v>
      </c>
      <c r="H4978" s="7">
        <v>3708.4</v>
      </c>
      <c r="I4978" s="2" t="s">
        <v>15</v>
      </c>
      <c r="J4978" s="2" t="s">
        <v>16</v>
      </c>
      <c r="K4978" s="2" t="s">
        <v>29</v>
      </c>
      <c r="L4978" s="7">
        <v>3708.4</v>
      </c>
      <c r="M4978" s="2" t="str">
        <f>_xlfn.IFS(TelecomData[[#This Row],[TenureMonths]]&lt;=12, "0-1 Year", TelecomData[[#This Row],[TenureMonths]]&lt;=36, "1-3 Years", TelecomData[[#This Row],[TenureMonths]]&gt;36, "3+ Years")</f>
        <v>3+ Years</v>
      </c>
      <c r="N4978" s="2" t="str">
        <f>IF(TelecomData[[#This Row],[CleanedTotalCharges]]&gt;=2500,"High Spend", "Standard Spend")</f>
        <v>High Spend</v>
      </c>
    </row>
    <row r="4979" spans="1:14" x14ac:dyDescent="0.3">
      <c r="A4979" s="1" t="s">
        <v>5003</v>
      </c>
      <c r="B4979" s="2" t="s">
        <v>19</v>
      </c>
      <c r="C4979" s="2" t="s">
        <v>20</v>
      </c>
      <c r="D4979" s="2">
        <v>24</v>
      </c>
      <c r="E4979" s="2" t="s">
        <v>15</v>
      </c>
      <c r="F4979" s="2" t="s">
        <v>36</v>
      </c>
      <c r="G4979" s="7">
        <v>20.8</v>
      </c>
      <c r="H4979" s="7">
        <v>469.65</v>
      </c>
      <c r="I4979" s="2" t="s">
        <v>15</v>
      </c>
      <c r="J4979" s="2" t="s">
        <v>16</v>
      </c>
      <c r="K4979" s="2" t="s">
        <v>29</v>
      </c>
      <c r="L4979" s="7">
        <v>469.65</v>
      </c>
      <c r="M4979" s="2" t="str">
        <f>_xlfn.IFS(TelecomData[[#This Row],[TenureMonths]]&lt;=12, "0-1 Year", TelecomData[[#This Row],[TenureMonths]]&lt;=36, "1-3 Years", TelecomData[[#This Row],[TenureMonths]]&gt;36, "3+ Years")</f>
        <v>1-3 Years</v>
      </c>
      <c r="N4979" s="2" t="str">
        <f>IF(TelecomData[[#This Row],[CleanedTotalCharges]]&gt;=2500,"High Spend", "Standard Spend")</f>
        <v>Standard Spend</v>
      </c>
    </row>
    <row r="4980" spans="1:14" x14ac:dyDescent="0.3">
      <c r="A4980" s="1" t="s">
        <v>5004</v>
      </c>
      <c r="B4980" s="2" t="s">
        <v>12</v>
      </c>
      <c r="C4980" s="2" t="s">
        <v>13</v>
      </c>
      <c r="D4980" s="2">
        <v>1</v>
      </c>
      <c r="E4980" s="2" t="s">
        <v>14</v>
      </c>
      <c r="F4980" s="2" t="s">
        <v>15</v>
      </c>
      <c r="G4980" s="7">
        <v>44.1</v>
      </c>
      <c r="H4980" s="7">
        <v>44.1</v>
      </c>
      <c r="I4980" s="2" t="s">
        <v>16</v>
      </c>
      <c r="J4980" s="2" t="s">
        <v>16</v>
      </c>
      <c r="K4980" s="2" t="s">
        <v>17</v>
      </c>
      <c r="L4980" s="7">
        <v>44.1</v>
      </c>
      <c r="M4980" s="2" t="str">
        <f>_xlfn.IFS(TelecomData[[#This Row],[TenureMonths]]&lt;=12, "0-1 Year", TelecomData[[#This Row],[TenureMonths]]&lt;=36, "1-3 Years", TelecomData[[#This Row],[TenureMonths]]&gt;36, "3+ Years")</f>
        <v>0-1 Year</v>
      </c>
      <c r="N4980" s="2" t="str">
        <f>IF(TelecomData[[#This Row],[CleanedTotalCharges]]&gt;=2500,"High Spend", "Standard Spend")</f>
        <v>Standard Spend</v>
      </c>
    </row>
    <row r="4981" spans="1:14" x14ac:dyDescent="0.3">
      <c r="A4981" s="1" t="s">
        <v>5005</v>
      </c>
      <c r="B4981" s="2" t="s">
        <v>12</v>
      </c>
      <c r="C4981" s="2" t="s">
        <v>35</v>
      </c>
      <c r="D4981" s="2">
        <v>56</v>
      </c>
      <c r="E4981" s="2" t="s">
        <v>15</v>
      </c>
      <c r="F4981" s="2" t="s">
        <v>36</v>
      </c>
      <c r="G4981" s="7">
        <v>24.45</v>
      </c>
      <c r="H4981" s="7">
        <v>1385.85</v>
      </c>
      <c r="I4981" s="2" t="s">
        <v>15</v>
      </c>
      <c r="J4981" s="2" t="s">
        <v>16</v>
      </c>
      <c r="K4981" s="2" t="s">
        <v>21</v>
      </c>
      <c r="L4981" s="7">
        <v>1385.85</v>
      </c>
      <c r="M4981" s="2" t="str">
        <f>_xlfn.IFS(TelecomData[[#This Row],[TenureMonths]]&lt;=12, "0-1 Year", TelecomData[[#This Row],[TenureMonths]]&lt;=36, "1-3 Years", TelecomData[[#This Row],[TenureMonths]]&gt;36, "3+ Years")</f>
        <v>3+ Years</v>
      </c>
      <c r="N4981" s="2" t="str">
        <f>IF(TelecomData[[#This Row],[CleanedTotalCharges]]&gt;=2500,"High Spend", "Standard Spend")</f>
        <v>Standard Spend</v>
      </c>
    </row>
    <row r="4982" spans="1:14" x14ac:dyDescent="0.3">
      <c r="A4982" s="1" t="s">
        <v>5006</v>
      </c>
      <c r="B4982" s="2" t="s">
        <v>12</v>
      </c>
      <c r="C4982" s="2" t="s">
        <v>20</v>
      </c>
      <c r="D4982" s="2">
        <v>22</v>
      </c>
      <c r="E4982" s="2" t="s">
        <v>15</v>
      </c>
      <c r="F4982" s="2" t="s">
        <v>36</v>
      </c>
      <c r="G4982" s="7">
        <v>25.6</v>
      </c>
      <c r="H4982" s="7">
        <v>548.79999999999995</v>
      </c>
      <c r="I4982" s="2" t="s">
        <v>15</v>
      </c>
      <c r="J4982" s="2" t="s">
        <v>15</v>
      </c>
      <c r="K4982" s="2" t="s">
        <v>24</v>
      </c>
      <c r="L4982" s="7">
        <v>548.79999999999995</v>
      </c>
      <c r="M4982" s="2" t="str">
        <f>_xlfn.IFS(TelecomData[[#This Row],[TenureMonths]]&lt;=12, "0-1 Year", TelecomData[[#This Row],[TenureMonths]]&lt;=36, "1-3 Years", TelecomData[[#This Row],[TenureMonths]]&gt;36, "3+ Years")</f>
        <v>1-3 Years</v>
      </c>
      <c r="N4982" s="2" t="str">
        <f>IF(TelecomData[[#This Row],[CleanedTotalCharges]]&gt;=2500,"High Spend", "Standard Spend")</f>
        <v>Standard Spend</v>
      </c>
    </row>
    <row r="4983" spans="1:14" x14ac:dyDescent="0.3">
      <c r="A4983" s="1" t="s">
        <v>5007</v>
      </c>
      <c r="B4983" s="2" t="s">
        <v>19</v>
      </c>
      <c r="C4983" s="2" t="s">
        <v>13</v>
      </c>
      <c r="D4983" s="2">
        <v>14</v>
      </c>
      <c r="E4983" s="2" t="s">
        <v>14</v>
      </c>
      <c r="F4983" s="2" t="s">
        <v>15</v>
      </c>
      <c r="G4983" s="7">
        <v>50.75</v>
      </c>
      <c r="H4983" s="7">
        <v>712.75</v>
      </c>
      <c r="I4983" s="2" t="s">
        <v>16</v>
      </c>
      <c r="J4983" s="2" t="s">
        <v>16</v>
      </c>
      <c r="K4983" s="2" t="s">
        <v>17</v>
      </c>
      <c r="L4983" s="7">
        <v>712.75</v>
      </c>
      <c r="M4983" s="2" t="str">
        <f>_xlfn.IFS(TelecomData[[#This Row],[TenureMonths]]&lt;=12, "0-1 Year", TelecomData[[#This Row],[TenureMonths]]&lt;=36, "1-3 Years", TelecomData[[#This Row],[TenureMonths]]&gt;36, "3+ Years")</f>
        <v>1-3 Years</v>
      </c>
      <c r="N4983" s="2" t="str">
        <f>IF(TelecomData[[#This Row],[CleanedTotalCharges]]&gt;=2500,"High Spend", "Standard Spend")</f>
        <v>Standard Spend</v>
      </c>
    </row>
    <row r="4984" spans="1:14" x14ac:dyDescent="0.3">
      <c r="A4984" s="1" t="s">
        <v>5008</v>
      </c>
      <c r="B4984" s="2" t="s">
        <v>12</v>
      </c>
      <c r="C4984" s="2" t="s">
        <v>20</v>
      </c>
      <c r="D4984" s="2">
        <v>61</v>
      </c>
      <c r="E4984" s="2" t="s">
        <v>26</v>
      </c>
      <c r="F4984" s="2" t="s">
        <v>15</v>
      </c>
      <c r="G4984" s="7">
        <v>104.4</v>
      </c>
      <c r="H4984" s="7">
        <v>6405</v>
      </c>
      <c r="I4984" s="2" t="s">
        <v>16</v>
      </c>
      <c r="J4984" s="2" t="s">
        <v>16</v>
      </c>
      <c r="K4984" s="2" t="s">
        <v>29</v>
      </c>
      <c r="L4984" s="7">
        <v>6405</v>
      </c>
      <c r="M4984" s="2" t="str">
        <f>_xlfn.IFS(TelecomData[[#This Row],[TenureMonths]]&lt;=12, "0-1 Year", TelecomData[[#This Row],[TenureMonths]]&lt;=36, "1-3 Years", TelecomData[[#This Row],[TenureMonths]]&gt;36, "3+ Years")</f>
        <v>3+ Years</v>
      </c>
      <c r="N4984" s="2" t="str">
        <f>IF(TelecomData[[#This Row],[CleanedTotalCharges]]&gt;=2500,"High Spend", "Standard Spend")</f>
        <v>High Spend</v>
      </c>
    </row>
    <row r="4985" spans="1:14" x14ac:dyDescent="0.3">
      <c r="A4985" s="1" t="s">
        <v>5009</v>
      </c>
      <c r="B4985" s="2" t="s">
        <v>12</v>
      </c>
      <c r="C4985" s="2" t="s">
        <v>13</v>
      </c>
      <c r="D4985" s="2">
        <v>40</v>
      </c>
      <c r="E4985" s="2" t="s">
        <v>14</v>
      </c>
      <c r="F4985" s="2" t="s">
        <v>15</v>
      </c>
      <c r="G4985" s="7">
        <v>39.299999999999997</v>
      </c>
      <c r="H4985" s="7">
        <v>1637.4</v>
      </c>
      <c r="I4985" s="2" t="s">
        <v>16</v>
      </c>
      <c r="J4985" s="2" t="s">
        <v>16</v>
      </c>
      <c r="K4985" s="2" t="s">
        <v>17</v>
      </c>
      <c r="L4985" s="7">
        <v>1637.4</v>
      </c>
      <c r="M4985" s="2" t="str">
        <f>_xlfn.IFS(TelecomData[[#This Row],[TenureMonths]]&lt;=12, "0-1 Year", TelecomData[[#This Row],[TenureMonths]]&lt;=36, "1-3 Years", TelecomData[[#This Row],[TenureMonths]]&gt;36, "3+ Years")</f>
        <v>3+ Years</v>
      </c>
      <c r="N4985" s="2" t="str">
        <f>IF(TelecomData[[#This Row],[CleanedTotalCharges]]&gt;=2500,"High Spend", "Standard Spend")</f>
        <v>Standard Spend</v>
      </c>
    </row>
    <row r="4986" spans="1:14" x14ac:dyDescent="0.3">
      <c r="A4986" s="1" t="s">
        <v>5010</v>
      </c>
      <c r="B4986" s="2" t="s">
        <v>12</v>
      </c>
      <c r="C4986" s="2" t="s">
        <v>13</v>
      </c>
      <c r="D4986" s="2">
        <v>42</v>
      </c>
      <c r="E4986" s="2" t="s">
        <v>14</v>
      </c>
      <c r="F4986" s="2" t="s">
        <v>15</v>
      </c>
      <c r="G4986" s="7">
        <v>59.65</v>
      </c>
      <c r="H4986" s="7">
        <v>2536.5500000000002</v>
      </c>
      <c r="I4986" s="2" t="s">
        <v>15</v>
      </c>
      <c r="J4986" s="2" t="s">
        <v>15</v>
      </c>
      <c r="K4986" s="2" t="s">
        <v>24</v>
      </c>
      <c r="L4986" s="7">
        <v>2536.5500000000002</v>
      </c>
      <c r="M4986" s="2" t="str">
        <f>_xlfn.IFS(TelecomData[[#This Row],[TenureMonths]]&lt;=12, "0-1 Year", TelecomData[[#This Row],[TenureMonths]]&lt;=36, "1-3 Years", TelecomData[[#This Row],[TenureMonths]]&gt;36, "3+ Years")</f>
        <v>3+ Years</v>
      </c>
      <c r="N4986" s="2" t="str">
        <f>IF(TelecomData[[#This Row],[CleanedTotalCharges]]&gt;=2500,"High Spend", "Standard Spend")</f>
        <v>High Spend</v>
      </c>
    </row>
    <row r="4987" spans="1:14" x14ac:dyDescent="0.3">
      <c r="A4987" s="1" t="s">
        <v>5011</v>
      </c>
      <c r="B4987" s="2" t="s">
        <v>12</v>
      </c>
      <c r="C4987" s="2" t="s">
        <v>35</v>
      </c>
      <c r="D4987" s="2">
        <v>72</v>
      </c>
      <c r="E4987" s="2" t="s">
        <v>14</v>
      </c>
      <c r="F4987" s="2" t="s">
        <v>16</v>
      </c>
      <c r="G4987" s="7">
        <v>83.3</v>
      </c>
      <c r="H4987" s="7">
        <v>6042.7</v>
      </c>
      <c r="I4987" s="2" t="s">
        <v>15</v>
      </c>
      <c r="J4987" s="2" t="s">
        <v>16</v>
      </c>
      <c r="K4987" s="2" t="s">
        <v>24</v>
      </c>
      <c r="L4987" s="7">
        <v>6042.7</v>
      </c>
      <c r="M4987" s="2" t="str">
        <f>_xlfn.IFS(TelecomData[[#This Row],[TenureMonths]]&lt;=12, "0-1 Year", TelecomData[[#This Row],[TenureMonths]]&lt;=36, "1-3 Years", TelecomData[[#This Row],[TenureMonths]]&gt;36, "3+ Years")</f>
        <v>3+ Years</v>
      </c>
      <c r="N4987" s="2" t="str">
        <f>IF(TelecomData[[#This Row],[CleanedTotalCharges]]&gt;=2500,"High Spend", "Standard Spend")</f>
        <v>High Spend</v>
      </c>
    </row>
    <row r="4988" spans="1:14" x14ac:dyDescent="0.3">
      <c r="A4988" s="1" t="s">
        <v>5012</v>
      </c>
      <c r="B4988" s="2" t="s">
        <v>12</v>
      </c>
      <c r="C4988" s="2" t="s">
        <v>13</v>
      </c>
      <c r="D4988" s="2">
        <v>12</v>
      </c>
      <c r="E4988" s="2" t="s">
        <v>26</v>
      </c>
      <c r="F4988" s="2" t="s">
        <v>16</v>
      </c>
      <c r="G4988" s="7">
        <v>79.55</v>
      </c>
      <c r="H4988" s="7">
        <v>958.25</v>
      </c>
      <c r="I4988" s="2" t="s">
        <v>15</v>
      </c>
      <c r="J4988" s="2" t="s">
        <v>16</v>
      </c>
      <c r="K4988" s="2" t="s">
        <v>29</v>
      </c>
      <c r="L4988" s="7">
        <v>958.25</v>
      </c>
      <c r="M4988" s="2" t="str">
        <f>_xlfn.IFS(TelecomData[[#This Row],[TenureMonths]]&lt;=12, "0-1 Year", TelecomData[[#This Row],[TenureMonths]]&lt;=36, "1-3 Years", TelecomData[[#This Row],[TenureMonths]]&gt;36, "3+ Years")</f>
        <v>0-1 Year</v>
      </c>
      <c r="N4988" s="2" t="str">
        <f>IF(TelecomData[[#This Row],[CleanedTotalCharges]]&gt;=2500,"High Spend", "Standard Spend")</f>
        <v>Standard Spend</v>
      </c>
    </row>
    <row r="4989" spans="1:14" x14ac:dyDescent="0.3">
      <c r="A4989" s="1" t="s">
        <v>5013</v>
      </c>
      <c r="B4989" s="2" t="s">
        <v>19</v>
      </c>
      <c r="C4989" s="2" t="s">
        <v>35</v>
      </c>
      <c r="D4989" s="2">
        <v>71</v>
      </c>
      <c r="E4989" s="2" t="s">
        <v>15</v>
      </c>
      <c r="F4989" s="2" t="s">
        <v>36</v>
      </c>
      <c r="G4989" s="7">
        <v>24.45</v>
      </c>
      <c r="H4989" s="7">
        <v>1730.65</v>
      </c>
      <c r="I4989" s="2" t="s">
        <v>15</v>
      </c>
      <c r="J4989" s="2" t="s">
        <v>15</v>
      </c>
      <c r="K4989" s="2" t="s">
        <v>24</v>
      </c>
      <c r="L4989" s="7">
        <v>1730.65</v>
      </c>
      <c r="M4989" s="2" t="str">
        <f>_xlfn.IFS(TelecomData[[#This Row],[TenureMonths]]&lt;=12, "0-1 Year", TelecomData[[#This Row],[TenureMonths]]&lt;=36, "1-3 Years", TelecomData[[#This Row],[TenureMonths]]&gt;36, "3+ Years")</f>
        <v>3+ Years</v>
      </c>
      <c r="N4989" s="2" t="str">
        <f>IF(TelecomData[[#This Row],[CleanedTotalCharges]]&gt;=2500,"High Spend", "Standard Spend")</f>
        <v>Standard Spend</v>
      </c>
    </row>
    <row r="4990" spans="1:14" x14ac:dyDescent="0.3">
      <c r="A4990" s="1" t="s">
        <v>5014</v>
      </c>
      <c r="B4990" s="2" t="s">
        <v>12</v>
      </c>
      <c r="C4990" s="2" t="s">
        <v>20</v>
      </c>
      <c r="D4990" s="2">
        <v>26</v>
      </c>
      <c r="E4990" s="2" t="s">
        <v>15</v>
      </c>
      <c r="F4990" s="2" t="s">
        <v>36</v>
      </c>
      <c r="G4990" s="7">
        <v>19.2</v>
      </c>
      <c r="H4990" s="7">
        <v>459.6</v>
      </c>
      <c r="I4990" s="2" t="s">
        <v>15</v>
      </c>
      <c r="J4990" s="2" t="s">
        <v>15</v>
      </c>
      <c r="K4990" s="2" t="s">
        <v>21</v>
      </c>
      <c r="L4990" s="7">
        <v>459.6</v>
      </c>
      <c r="M4990" s="2" t="str">
        <f>_xlfn.IFS(TelecomData[[#This Row],[TenureMonths]]&lt;=12, "0-1 Year", TelecomData[[#This Row],[TenureMonths]]&lt;=36, "1-3 Years", TelecomData[[#This Row],[TenureMonths]]&gt;36, "3+ Years")</f>
        <v>1-3 Years</v>
      </c>
      <c r="N4990" s="2" t="str">
        <f>IF(TelecomData[[#This Row],[CleanedTotalCharges]]&gt;=2500,"High Spend", "Standard Spend")</f>
        <v>Standard Spend</v>
      </c>
    </row>
    <row r="4991" spans="1:14" x14ac:dyDescent="0.3">
      <c r="A4991" s="1" t="s">
        <v>5015</v>
      </c>
      <c r="B4991" s="2" t="s">
        <v>12</v>
      </c>
      <c r="C4991" s="2" t="s">
        <v>13</v>
      </c>
      <c r="D4991" s="2">
        <v>7</v>
      </c>
      <c r="E4991" s="2" t="s">
        <v>14</v>
      </c>
      <c r="F4991" s="2" t="s">
        <v>15</v>
      </c>
      <c r="G4991" s="7">
        <v>29.8</v>
      </c>
      <c r="H4991" s="7">
        <v>201.95</v>
      </c>
      <c r="I4991" s="2" t="s">
        <v>15</v>
      </c>
      <c r="J4991" s="2" t="s">
        <v>15</v>
      </c>
      <c r="K4991" s="2" t="s">
        <v>21</v>
      </c>
      <c r="L4991" s="7">
        <v>201.95</v>
      </c>
      <c r="M4991" s="2" t="str">
        <f>_xlfn.IFS(TelecomData[[#This Row],[TenureMonths]]&lt;=12, "0-1 Year", TelecomData[[#This Row],[TenureMonths]]&lt;=36, "1-3 Years", TelecomData[[#This Row],[TenureMonths]]&gt;36, "3+ Years")</f>
        <v>0-1 Year</v>
      </c>
      <c r="N4991" s="2" t="str">
        <f>IF(TelecomData[[#This Row],[CleanedTotalCharges]]&gt;=2500,"High Spend", "Standard Spend")</f>
        <v>Standard Spend</v>
      </c>
    </row>
    <row r="4992" spans="1:14" x14ac:dyDescent="0.3">
      <c r="A4992" s="1" t="s">
        <v>5016</v>
      </c>
      <c r="B4992" s="2" t="s">
        <v>12</v>
      </c>
      <c r="C4992" s="2" t="s">
        <v>13</v>
      </c>
      <c r="D4992" s="2">
        <v>6</v>
      </c>
      <c r="E4992" s="2" t="s">
        <v>14</v>
      </c>
      <c r="F4992" s="2" t="s">
        <v>15</v>
      </c>
      <c r="G4992" s="7">
        <v>45.5</v>
      </c>
      <c r="H4992" s="7">
        <v>285.2</v>
      </c>
      <c r="I4992" s="2" t="s">
        <v>15</v>
      </c>
      <c r="J4992" s="2" t="s">
        <v>15</v>
      </c>
      <c r="K4992" s="2" t="s">
        <v>21</v>
      </c>
      <c r="L4992" s="7">
        <v>285.2</v>
      </c>
      <c r="M4992" s="2" t="str">
        <f>_xlfn.IFS(TelecomData[[#This Row],[TenureMonths]]&lt;=12, "0-1 Year", TelecomData[[#This Row],[TenureMonths]]&lt;=36, "1-3 Years", TelecomData[[#This Row],[TenureMonths]]&gt;36, "3+ Years")</f>
        <v>0-1 Year</v>
      </c>
      <c r="N4992" s="2" t="str">
        <f>IF(TelecomData[[#This Row],[CleanedTotalCharges]]&gt;=2500,"High Spend", "Standard Spend")</f>
        <v>Standard Spend</v>
      </c>
    </row>
    <row r="4993" spans="1:14" x14ac:dyDescent="0.3">
      <c r="A4993" s="1" t="s">
        <v>5017</v>
      </c>
      <c r="B4993" s="2" t="s">
        <v>12</v>
      </c>
      <c r="C4993" s="2" t="s">
        <v>20</v>
      </c>
      <c r="D4993" s="2">
        <v>58</v>
      </c>
      <c r="E4993" s="2" t="s">
        <v>26</v>
      </c>
      <c r="F4993" s="2" t="s">
        <v>15</v>
      </c>
      <c r="G4993" s="7">
        <v>106.45</v>
      </c>
      <c r="H4993" s="7">
        <v>6145.85</v>
      </c>
      <c r="I4993" s="2" t="s">
        <v>16</v>
      </c>
      <c r="J4993" s="2" t="s">
        <v>16</v>
      </c>
      <c r="K4993" s="2" t="s">
        <v>17</v>
      </c>
      <c r="L4993" s="7">
        <v>6145.85</v>
      </c>
      <c r="M4993" s="2" t="str">
        <f>_xlfn.IFS(TelecomData[[#This Row],[TenureMonths]]&lt;=12, "0-1 Year", TelecomData[[#This Row],[TenureMonths]]&lt;=36, "1-3 Years", TelecomData[[#This Row],[TenureMonths]]&gt;36, "3+ Years")</f>
        <v>3+ Years</v>
      </c>
      <c r="N4993" s="2" t="str">
        <f>IF(TelecomData[[#This Row],[CleanedTotalCharges]]&gt;=2500,"High Spend", "Standard Spend")</f>
        <v>High Spend</v>
      </c>
    </row>
    <row r="4994" spans="1:14" x14ac:dyDescent="0.3">
      <c r="A4994" s="1" t="s">
        <v>5018</v>
      </c>
      <c r="B4994" s="2" t="s">
        <v>19</v>
      </c>
      <c r="C4994" s="2" t="s">
        <v>13</v>
      </c>
      <c r="D4994" s="2">
        <v>51</v>
      </c>
      <c r="E4994" s="2" t="s">
        <v>14</v>
      </c>
      <c r="F4994" s="2" t="s">
        <v>15</v>
      </c>
      <c r="G4994" s="7">
        <v>30.05</v>
      </c>
      <c r="H4994" s="7">
        <v>1529.45</v>
      </c>
      <c r="I4994" s="2" t="s">
        <v>15</v>
      </c>
      <c r="J4994" s="2" t="s">
        <v>16</v>
      </c>
      <c r="K4994" s="2" t="s">
        <v>29</v>
      </c>
      <c r="L4994" s="7">
        <v>1529.45</v>
      </c>
      <c r="M4994" s="2" t="str">
        <f>_xlfn.IFS(TelecomData[[#This Row],[TenureMonths]]&lt;=12, "0-1 Year", TelecomData[[#This Row],[TenureMonths]]&lt;=36, "1-3 Years", TelecomData[[#This Row],[TenureMonths]]&gt;36, "3+ Years")</f>
        <v>3+ Years</v>
      </c>
      <c r="N4994" s="2" t="str">
        <f>IF(TelecomData[[#This Row],[CleanedTotalCharges]]&gt;=2500,"High Spend", "Standard Spend")</f>
        <v>Standard Spend</v>
      </c>
    </row>
    <row r="4995" spans="1:14" x14ac:dyDescent="0.3">
      <c r="A4995" s="1" t="s">
        <v>5019</v>
      </c>
      <c r="B4995" s="2" t="s">
        <v>19</v>
      </c>
      <c r="C4995" s="2" t="s">
        <v>35</v>
      </c>
      <c r="D4995" s="2">
        <v>72</v>
      </c>
      <c r="E4995" s="2" t="s">
        <v>14</v>
      </c>
      <c r="F4995" s="2" t="s">
        <v>16</v>
      </c>
      <c r="G4995" s="7">
        <v>65.650000000000006</v>
      </c>
      <c r="H4995" s="7">
        <v>4664.5</v>
      </c>
      <c r="I4995" s="2" t="s">
        <v>15</v>
      </c>
      <c r="J4995" s="2" t="s">
        <v>16</v>
      </c>
      <c r="K4995" s="2" t="s">
        <v>24</v>
      </c>
      <c r="L4995" s="7">
        <v>4664.5</v>
      </c>
      <c r="M4995" s="2" t="str">
        <f>_xlfn.IFS(TelecomData[[#This Row],[TenureMonths]]&lt;=12, "0-1 Year", TelecomData[[#This Row],[TenureMonths]]&lt;=36, "1-3 Years", TelecomData[[#This Row],[TenureMonths]]&gt;36, "3+ Years")</f>
        <v>3+ Years</v>
      </c>
      <c r="N4995" s="2" t="str">
        <f>IF(TelecomData[[#This Row],[CleanedTotalCharges]]&gt;=2500,"High Spend", "Standard Spend")</f>
        <v>High Spend</v>
      </c>
    </row>
    <row r="4996" spans="1:14" x14ac:dyDescent="0.3">
      <c r="A4996" s="1" t="s">
        <v>5020</v>
      </c>
      <c r="B4996" s="2" t="s">
        <v>12</v>
      </c>
      <c r="C4996" s="2" t="s">
        <v>13</v>
      </c>
      <c r="D4996" s="2">
        <v>18</v>
      </c>
      <c r="E4996" s="2" t="s">
        <v>26</v>
      </c>
      <c r="F4996" s="2" t="s">
        <v>15</v>
      </c>
      <c r="G4996" s="7">
        <v>96.05</v>
      </c>
      <c r="H4996" s="7">
        <v>1740.7</v>
      </c>
      <c r="I4996" s="2" t="s">
        <v>16</v>
      </c>
      <c r="J4996" s="2" t="s">
        <v>16</v>
      </c>
      <c r="K4996" s="2" t="s">
        <v>17</v>
      </c>
      <c r="L4996" s="7">
        <v>1740.7</v>
      </c>
      <c r="M4996" s="2" t="str">
        <f>_xlfn.IFS(TelecomData[[#This Row],[TenureMonths]]&lt;=12, "0-1 Year", TelecomData[[#This Row],[TenureMonths]]&lt;=36, "1-3 Years", TelecomData[[#This Row],[TenureMonths]]&gt;36, "3+ Years")</f>
        <v>1-3 Years</v>
      </c>
      <c r="N4996" s="2" t="str">
        <f>IF(TelecomData[[#This Row],[CleanedTotalCharges]]&gt;=2500,"High Spend", "Standard Spend")</f>
        <v>Standard Spend</v>
      </c>
    </row>
    <row r="4997" spans="1:14" x14ac:dyDescent="0.3">
      <c r="A4997" s="1" t="s">
        <v>5021</v>
      </c>
      <c r="B4997" s="2" t="s">
        <v>12</v>
      </c>
      <c r="C4997" s="2" t="s">
        <v>13</v>
      </c>
      <c r="D4997" s="2">
        <v>7</v>
      </c>
      <c r="E4997" s="2" t="s">
        <v>26</v>
      </c>
      <c r="F4997" s="2" t="s">
        <v>15</v>
      </c>
      <c r="G4997" s="7">
        <v>75.099999999999994</v>
      </c>
      <c r="H4997" s="7">
        <v>552.95000000000005</v>
      </c>
      <c r="I4997" s="2" t="s">
        <v>16</v>
      </c>
      <c r="J4997" s="2" t="s">
        <v>16</v>
      </c>
      <c r="K4997" s="2" t="s">
        <v>24</v>
      </c>
      <c r="L4997" s="7">
        <v>552.95000000000005</v>
      </c>
      <c r="M4997" s="2" t="str">
        <f>_xlfn.IFS(TelecomData[[#This Row],[TenureMonths]]&lt;=12, "0-1 Year", TelecomData[[#This Row],[TenureMonths]]&lt;=36, "1-3 Years", TelecomData[[#This Row],[TenureMonths]]&gt;36, "3+ Years")</f>
        <v>0-1 Year</v>
      </c>
      <c r="N4997" s="2" t="str">
        <f>IF(TelecomData[[#This Row],[CleanedTotalCharges]]&gt;=2500,"High Spend", "Standard Spend")</f>
        <v>Standard Spend</v>
      </c>
    </row>
    <row r="4998" spans="1:14" x14ac:dyDescent="0.3">
      <c r="A4998" s="1" t="s">
        <v>5022</v>
      </c>
      <c r="B4998" s="2" t="s">
        <v>12</v>
      </c>
      <c r="C4998" s="2" t="s">
        <v>35</v>
      </c>
      <c r="D4998" s="2">
        <v>47</v>
      </c>
      <c r="E4998" s="2" t="s">
        <v>14</v>
      </c>
      <c r="F4998" s="2" t="s">
        <v>16</v>
      </c>
      <c r="G4998" s="7">
        <v>74.05</v>
      </c>
      <c r="H4998" s="7">
        <v>3496.3</v>
      </c>
      <c r="I4998" s="2" t="s">
        <v>15</v>
      </c>
      <c r="J4998" s="2" t="s">
        <v>15</v>
      </c>
      <c r="K4998" s="2" t="s">
        <v>21</v>
      </c>
      <c r="L4998" s="7">
        <v>3496.3</v>
      </c>
      <c r="M4998" s="2" t="str">
        <f>_xlfn.IFS(TelecomData[[#This Row],[TenureMonths]]&lt;=12, "0-1 Year", TelecomData[[#This Row],[TenureMonths]]&lt;=36, "1-3 Years", TelecomData[[#This Row],[TenureMonths]]&gt;36, "3+ Years")</f>
        <v>3+ Years</v>
      </c>
      <c r="N4998" s="2" t="str">
        <f>IF(TelecomData[[#This Row],[CleanedTotalCharges]]&gt;=2500,"High Spend", "Standard Spend")</f>
        <v>High Spend</v>
      </c>
    </row>
    <row r="4999" spans="1:14" x14ac:dyDescent="0.3">
      <c r="A4999" s="1" t="s">
        <v>5023</v>
      </c>
      <c r="B4999" s="2" t="s">
        <v>19</v>
      </c>
      <c r="C4999" s="2" t="s">
        <v>13</v>
      </c>
      <c r="D4999" s="2">
        <v>2</v>
      </c>
      <c r="E4999" s="2" t="s">
        <v>14</v>
      </c>
      <c r="F4999" s="2" t="s">
        <v>15</v>
      </c>
      <c r="G4999" s="7">
        <v>44.7</v>
      </c>
      <c r="H4999" s="7">
        <v>93.7</v>
      </c>
      <c r="I4999" s="2" t="s">
        <v>16</v>
      </c>
      <c r="J4999" s="2" t="s">
        <v>16</v>
      </c>
      <c r="K4999" s="2" t="s">
        <v>17</v>
      </c>
      <c r="L4999" s="7">
        <v>93.7</v>
      </c>
      <c r="M4999" s="2" t="str">
        <f>_xlfn.IFS(TelecomData[[#This Row],[TenureMonths]]&lt;=12, "0-1 Year", TelecomData[[#This Row],[TenureMonths]]&lt;=36, "1-3 Years", TelecomData[[#This Row],[TenureMonths]]&gt;36, "3+ Years")</f>
        <v>0-1 Year</v>
      </c>
      <c r="N4999" s="2" t="str">
        <f>IF(TelecomData[[#This Row],[CleanedTotalCharges]]&gt;=2500,"High Spend", "Standard Spend")</f>
        <v>Standard Spend</v>
      </c>
    </row>
    <row r="5000" spans="1:14" x14ac:dyDescent="0.3">
      <c r="A5000" s="1" t="s">
        <v>5024</v>
      </c>
      <c r="B5000" s="2" t="s">
        <v>19</v>
      </c>
      <c r="C5000" s="2" t="s">
        <v>20</v>
      </c>
      <c r="D5000" s="2">
        <v>62</v>
      </c>
      <c r="E5000" s="2" t="s">
        <v>26</v>
      </c>
      <c r="F5000" s="2" t="s">
        <v>16</v>
      </c>
      <c r="G5000" s="7">
        <v>110.75</v>
      </c>
      <c r="H5000" s="7">
        <v>7053.35</v>
      </c>
      <c r="I5000" s="2" t="s">
        <v>15</v>
      </c>
      <c r="J5000" s="2" t="s">
        <v>16</v>
      </c>
      <c r="K5000" s="2" t="s">
        <v>24</v>
      </c>
      <c r="L5000" s="7">
        <v>7053.35</v>
      </c>
      <c r="M5000" s="2" t="str">
        <f>_xlfn.IFS(TelecomData[[#This Row],[TenureMonths]]&lt;=12, "0-1 Year", TelecomData[[#This Row],[TenureMonths]]&lt;=36, "1-3 Years", TelecomData[[#This Row],[TenureMonths]]&gt;36, "3+ Years")</f>
        <v>3+ Years</v>
      </c>
      <c r="N5000" s="2" t="str">
        <f>IF(TelecomData[[#This Row],[CleanedTotalCharges]]&gt;=2500,"High Spend", "Standard Spend")</f>
        <v>High Spend</v>
      </c>
    </row>
    <row r="5001" spans="1:14" x14ac:dyDescent="0.3">
      <c r="A5001" s="1" t="s">
        <v>5025</v>
      </c>
      <c r="B5001" s="2" t="s">
        <v>12</v>
      </c>
      <c r="C5001" s="2" t="s">
        <v>35</v>
      </c>
      <c r="D5001" s="2">
        <v>16</v>
      </c>
      <c r="E5001" s="2" t="s">
        <v>15</v>
      </c>
      <c r="F5001" s="2" t="s">
        <v>36</v>
      </c>
      <c r="G5001" s="7">
        <v>19.7</v>
      </c>
      <c r="H5001" s="7">
        <v>301.55</v>
      </c>
      <c r="I5001" s="2" t="s">
        <v>15</v>
      </c>
      <c r="J5001" s="2" t="s">
        <v>15</v>
      </c>
      <c r="K5001" s="2" t="s">
        <v>21</v>
      </c>
      <c r="L5001" s="7">
        <v>301.55</v>
      </c>
      <c r="M5001" s="2" t="str">
        <f>_xlfn.IFS(TelecomData[[#This Row],[TenureMonths]]&lt;=12, "0-1 Year", TelecomData[[#This Row],[TenureMonths]]&lt;=36, "1-3 Years", TelecomData[[#This Row],[TenureMonths]]&gt;36, "3+ Years")</f>
        <v>1-3 Years</v>
      </c>
      <c r="N5001" s="2" t="str">
        <f>IF(TelecomData[[#This Row],[CleanedTotalCharges]]&gt;=2500,"High Spend", "Standard Spend")</f>
        <v>Standard Spend</v>
      </c>
    </row>
    <row r="5002" spans="1:14" x14ac:dyDescent="0.3">
      <c r="A5002" s="1" t="s">
        <v>5026</v>
      </c>
      <c r="B5002" s="2" t="s">
        <v>19</v>
      </c>
      <c r="C5002" s="2" t="s">
        <v>13</v>
      </c>
      <c r="D5002" s="2">
        <v>6</v>
      </c>
      <c r="E5002" s="2" t="s">
        <v>14</v>
      </c>
      <c r="F5002" s="2" t="s">
        <v>16</v>
      </c>
      <c r="G5002" s="7">
        <v>49.5</v>
      </c>
      <c r="H5002" s="7">
        <v>312.7</v>
      </c>
      <c r="I5002" s="2" t="s">
        <v>15</v>
      </c>
      <c r="J5002" s="2" t="s">
        <v>16</v>
      </c>
      <c r="K5002" s="2" t="s">
        <v>29</v>
      </c>
      <c r="L5002" s="7">
        <v>312.7</v>
      </c>
      <c r="M5002" s="2" t="str">
        <f>_xlfn.IFS(TelecomData[[#This Row],[TenureMonths]]&lt;=12, "0-1 Year", TelecomData[[#This Row],[TenureMonths]]&lt;=36, "1-3 Years", TelecomData[[#This Row],[TenureMonths]]&gt;36, "3+ Years")</f>
        <v>0-1 Year</v>
      </c>
      <c r="N5002" s="2" t="str">
        <f>IF(TelecomData[[#This Row],[CleanedTotalCharges]]&gt;=2500,"High Spend", "Standard Spend")</f>
        <v>Standard Spend</v>
      </c>
    </row>
  </sheetData>
  <conditionalFormatting sqref="A1:A5002">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F828-03BC-4CBB-A5BF-5DEE4D1CC68B}">
  <dimension ref="A1:N5002"/>
  <sheetViews>
    <sheetView topLeftCell="B1" workbookViewId="0">
      <selection activeCell="N2" sqref="N2"/>
    </sheetView>
  </sheetViews>
  <sheetFormatPr defaultRowHeight="14.4" x14ac:dyDescent="0.3"/>
  <cols>
    <col min="1" max="1" width="13.5546875" bestFit="1" customWidth="1"/>
    <col min="2" max="2" width="9" customWidth="1"/>
    <col min="3" max="3" width="15" bestFit="1" customWidth="1"/>
    <col min="4" max="4" width="15.33203125" customWidth="1"/>
    <col min="5" max="5" width="15.6640625" customWidth="1"/>
    <col min="6" max="6" width="16.5546875" bestFit="1" customWidth="1"/>
    <col min="7" max="7" width="16.77734375" customWidth="1"/>
    <col min="8" max="8" width="13.77734375" customWidth="1"/>
    <col min="10" max="10" width="15.77734375" customWidth="1"/>
    <col min="11" max="11" width="22.109375" bestFit="1" customWidth="1"/>
    <col min="12" max="12" width="20.5546875" customWidth="1"/>
    <col min="13" max="13" width="14" customWidth="1"/>
    <col min="14" max="14" width="13.6640625" bestFit="1" customWidth="1"/>
  </cols>
  <sheetData>
    <row r="1" spans="1:14" x14ac:dyDescent="0.3">
      <c r="A1" t="s">
        <v>0</v>
      </c>
      <c r="B1" t="s">
        <v>1</v>
      </c>
      <c r="C1" t="s">
        <v>2</v>
      </c>
      <c r="D1" t="s">
        <v>3</v>
      </c>
      <c r="E1" t="s">
        <v>4</v>
      </c>
      <c r="F1" t="s">
        <v>5</v>
      </c>
      <c r="G1" t="s">
        <v>6</v>
      </c>
      <c r="H1" t="s">
        <v>7</v>
      </c>
      <c r="I1" t="s">
        <v>8</v>
      </c>
      <c r="J1" t="s">
        <v>9</v>
      </c>
      <c r="K1" t="s">
        <v>10</v>
      </c>
      <c r="L1" t="s">
        <v>5027</v>
      </c>
      <c r="M1" t="s">
        <v>5028</v>
      </c>
      <c r="N1" t="s">
        <v>5029</v>
      </c>
    </row>
    <row r="2" spans="1:14" x14ac:dyDescent="0.3">
      <c r="A2" t="s">
        <v>11</v>
      </c>
      <c r="B2" t="s">
        <v>12</v>
      </c>
      <c r="C2" t="s">
        <v>13</v>
      </c>
      <c r="D2">
        <v>1</v>
      </c>
      <c r="E2" t="s">
        <v>14</v>
      </c>
      <c r="F2" t="s">
        <v>15</v>
      </c>
      <c r="G2">
        <v>29.85</v>
      </c>
      <c r="H2">
        <v>29.85</v>
      </c>
      <c r="I2" t="s">
        <v>15</v>
      </c>
      <c r="J2" t="s">
        <v>16</v>
      </c>
      <c r="K2" t="s">
        <v>17</v>
      </c>
      <c r="L2">
        <v>29.85</v>
      </c>
      <c r="M2" t="s">
        <v>5030</v>
      </c>
      <c r="N2" t="s">
        <v>5031</v>
      </c>
    </row>
    <row r="3" spans="1:14" x14ac:dyDescent="0.3">
      <c r="A3" t="s">
        <v>18</v>
      </c>
      <c r="B3" t="s">
        <v>19</v>
      </c>
      <c r="C3" t="s">
        <v>20</v>
      </c>
      <c r="D3">
        <v>34</v>
      </c>
      <c r="E3" t="s">
        <v>14</v>
      </c>
      <c r="F3" t="s">
        <v>15</v>
      </c>
      <c r="G3">
        <v>56.95</v>
      </c>
      <c r="H3">
        <v>1889.5</v>
      </c>
      <c r="I3" t="s">
        <v>15</v>
      </c>
      <c r="J3" t="s">
        <v>15</v>
      </c>
      <c r="K3" t="s">
        <v>21</v>
      </c>
      <c r="L3">
        <v>1889.5</v>
      </c>
      <c r="M3" t="s">
        <v>5032</v>
      </c>
      <c r="N3" t="s">
        <v>5031</v>
      </c>
    </row>
    <row r="4" spans="1:14" x14ac:dyDescent="0.3">
      <c r="A4" t="s">
        <v>22</v>
      </c>
      <c r="B4" t="s">
        <v>19</v>
      </c>
      <c r="C4" t="s">
        <v>13</v>
      </c>
      <c r="D4">
        <v>2</v>
      </c>
      <c r="E4" t="s">
        <v>14</v>
      </c>
      <c r="F4" t="s">
        <v>15</v>
      </c>
      <c r="G4">
        <v>53.85</v>
      </c>
      <c r="H4">
        <v>108.15</v>
      </c>
      <c r="I4" t="s">
        <v>16</v>
      </c>
      <c r="J4" t="s">
        <v>16</v>
      </c>
      <c r="K4" t="s">
        <v>21</v>
      </c>
      <c r="L4">
        <v>108.15</v>
      </c>
      <c r="M4" t="s">
        <v>5030</v>
      </c>
      <c r="N4" t="s">
        <v>5031</v>
      </c>
    </row>
    <row r="5" spans="1:14" x14ac:dyDescent="0.3">
      <c r="A5" t="s">
        <v>23</v>
      </c>
      <c r="B5" t="s">
        <v>19</v>
      </c>
      <c r="C5" t="s">
        <v>20</v>
      </c>
      <c r="D5">
        <v>45</v>
      </c>
      <c r="E5" t="s">
        <v>14</v>
      </c>
      <c r="F5" t="s">
        <v>16</v>
      </c>
      <c r="G5">
        <v>42.3</v>
      </c>
      <c r="H5">
        <v>1840.75</v>
      </c>
      <c r="I5" t="s">
        <v>15</v>
      </c>
      <c r="J5" t="s">
        <v>15</v>
      </c>
      <c r="K5" t="s">
        <v>24</v>
      </c>
      <c r="L5">
        <v>1840.75</v>
      </c>
      <c r="M5" t="s">
        <v>5033</v>
      </c>
      <c r="N5" t="s">
        <v>5031</v>
      </c>
    </row>
    <row r="6" spans="1:14" x14ac:dyDescent="0.3">
      <c r="A6" t="s">
        <v>25</v>
      </c>
      <c r="B6" t="s">
        <v>12</v>
      </c>
      <c r="C6" t="s">
        <v>13</v>
      </c>
      <c r="D6">
        <v>2</v>
      </c>
      <c r="E6" t="s">
        <v>26</v>
      </c>
      <c r="F6" t="s">
        <v>15</v>
      </c>
      <c r="G6">
        <v>70.7</v>
      </c>
      <c r="H6">
        <v>151.65</v>
      </c>
      <c r="I6" t="s">
        <v>16</v>
      </c>
      <c r="J6" t="s">
        <v>16</v>
      </c>
      <c r="K6" t="s">
        <v>17</v>
      </c>
      <c r="L6">
        <v>151.65</v>
      </c>
      <c r="M6" t="s">
        <v>5030</v>
      </c>
      <c r="N6" t="s">
        <v>5031</v>
      </c>
    </row>
    <row r="7" spans="1:14" x14ac:dyDescent="0.3">
      <c r="A7" t="s">
        <v>27</v>
      </c>
      <c r="B7" t="s">
        <v>12</v>
      </c>
      <c r="C7" t="s">
        <v>13</v>
      </c>
      <c r="D7">
        <v>8</v>
      </c>
      <c r="E7" t="s">
        <v>26</v>
      </c>
      <c r="F7" t="s">
        <v>15</v>
      </c>
      <c r="G7">
        <v>99.65</v>
      </c>
      <c r="H7">
        <v>820.5</v>
      </c>
      <c r="I7" t="s">
        <v>16</v>
      </c>
      <c r="J7" t="s">
        <v>16</v>
      </c>
      <c r="K7" t="s">
        <v>17</v>
      </c>
      <c r="L7">
        <v>820.5</v>
      </c>
      <c r="M7" t="s">
        <v>5030</v>
      </c>
      <c r="N7" t="s">
        <v>5031</v>
      </c>
    </row>
    <row r="8" spans="1:14" x14ac:dyDescent="0.3">
      <c r="A8" t="s">
        <v>28</v>
      </c>
      <c r="B8" t="s">
        <v>19</v>
      </c>
      <c r="C8" t="s">
        <v>13</v>
      </c>
      <c r="D8">
        <v>22</v>
      </c>
      <c r="E8" t="s">
        <v>26</v>
      </c>
      <c r="F8" t="s">
        <v>15</v>
      </c>
      <c r="G8">
        <v>89.1</v>
      </c>
      <c r="H8">
        <v>1949.4</v>
      </c>
      <c r="I8" t="s">
        <v>15</v>
      </c>
      <c r="J8" t="s">
        <v>16</v>
      </c>
      <c r="K8" t="s">
        <v>29</v>
      </c>
      <c r="L8">
        <v>1949.4</v>
      </c>
      <c r="M8" t="s">
        <v>5032</v>
      </c>
      <c r="N8" t="s">
        <v>5031</v>
      </c>
    </row>
    <row r="9" spans="1:14" x14ac:dyDescent="0.3">
      <c r="A9" t="s">
        <v>30</v>
      </c>
      <c r="B9" t="s">
        <v>12</v>
      </c>
      <c r="C9" t="s">
        <v>13</v>
      </c>
      <c r="D9">
        <v>10</v>
      </c>
      <c r="E9" t="s">
        <v>14</v>
      </c>
      <c r="F9" t="s">
        <v>15</v>
      </c>
      <c r="G9">
        <v>29.75</v>
      </c>
      <c r="H9">
        <v>301.89999999999998</v>
      </c>
      <c r="I9" t="s">
        <v>15</v>
      </c>
      <c r="J9" t="s">
        <v>15</v>
      </c>
      <c r="K9" t="s">
        <v>21</v>
      </c>
      <c r="L9">
        <v>301.89999999999998</v>
      </c>
      <c r="M9" t="s">
        <v>5030</v>
      </c>
      <c r="N9" t="s">
        <v>5031</v>
      </c>
    </row>
    <row r="10" spans="1:14" x14ac:dyDescent="0.3">
      <c r="A10" t="s">
        <v>31</v>
      </c>
      <c r="B10" t="s">
        <v>12</v>
      </c>
      <c r="C10" t="s">
        <v>13</v>
      </c>
      <c r="D10">
        <v>28</v>
      </c>
      <c r="E10" t="s">
        <v>26</v>
      </c>
      <c r="F10" t="s">
        <v>16</v>
      </c>
      <c r="G10">
        <v>104.8</v>
      </c>
      <c r="H10">
        <v>3046.05</v>
      </c>
      <c r="I10" t="s">
        <v>16</v>
      </c>
      <c r="J10" t="s">
        <v>16</v>
      </c>
      <c r="K10" t="s">
        <v>17</v>
      </c>
      <c r="L10">
        <v>3046.05</v>
      </c>
      <c r="M10" t="s">
        <v>5032</v>
      </c>
      <c r="N10" t="s">
        <v>5034</v>
      </c>
    </row>
    <row r="11" spans="1:14" x14ac:dyDescent="0.3">
      <c r="A11" t="s">
        <v>32</v>
      </c>
      <c r="B11" t="s">
        <v>19</v>
      </c>
      <c r="C11" t="s">
        <v>20</v>
      </c>
      <c r="D11">
        <v>62</v>
      </c>
      <c r="E11" t="s">
        <v>14</v>
      </c>
      <c r="F11" t="s">
        <v>15</v>
      </c>
      <c r="G11">
        <v>56.15</v>
      </c>
      <c r="H11">
        <v>3487.95</v>
      </c>
      <c r="I11" t="s">
        <v>15</v>
      </c>
      <c r="J11" t="s">
        <v>15</v>
      </c>
      <c r="K11" t="s">
        <v>24</v>
      </c>
      <c r="L11">
        <v>3487.95</v>
      </c>
      <c r="M11" t="s">
        <v>5033</v>
      </c>
      <c r="N11" t="s">
        <v>5034</v>
      </c>
    </row>
    <row r="12" spans="1:14" x14ac:dyDescent="0.3">
      <c r="A12" t="s">
        <v>33</v>
      </c>
      <c r="B12" t="s">
        <v>19</v>
      </c>
      <c r="C12" t="s">
        <v>13</v>
      </c>
      <c r="D12">
        <v>13</v>
      </c>
      <c r="E12" t="s">
        <v>14</v>
      </c>
      <c r="F12" t="s">
        <v>15</v>
      </c>
      <c r="G12">
        <v>49.95</v>
      </c>
      <c r="H12">
        <v>587.45000000000005</v>
      </c>
      <c r="I12" t="s">
        <v>15</v>
      </c>
      <c r="J12" t="s">
        <v>16</v>
      </c>
      <c r="K12" t="s">
        <v>21</v>
      </c>
      <c r="L12">
        <v>587.45000000000005</v>
      </c>
      <c r="M12" t="s">
        <v>5032</v>
      </c>
      <c r="N12" t="s">
        <v>5031</v>
      </c>
    </row>
    <row r="13" spans="1:14" x14ac:dyDescent="0.3">
      <c r="A13" t="s">
        <v>34</v>
      </c>
      <c r="B13" t="s">
        <v>19</v>
      </c>
      <c r="C13" t="s">
        <v>35</v>
      </c>
      <c r="D13">
        <v>16</v>
      </c>
      <c r="E13" t="s">
        <v>15</v>
      </c>
      <c r="F13" t="s">
        <v>36</v>
      </c>
      <c r="G13">
        <v>18.95</v>
      </c>
      <c r="H13">
        <v>326.8</v>
      </c>
      <c r="I13" t="s">
        <v>15</v>
      </c>
      <c r="J13" t="s">
        <v>15</v>
      </c>
      <c r="K13" t="s">
        <v>29</v>
      </c>
      <c r="L13">
        <v>326.8</v>
      </c>
      <c r="M13" t="s">
        <v>5032</v>
      </c>
      <c r="N13" t="s">
        <v>5031</v>
      </c>
    </row>
    <row r="14" spans="1:14" x14ac:dyDescent="0.3">
      <c r="A14" t="s">
        <v>37</v>
      </c>
      <c r="B14" t="s">
        <v>19</v>
      </c>
      <c r="C14" t="s">
        <v>20</v>
      </c>
      <c r="D14">
        <v>58</v>
      </c>
      <c r="E14" t="s">
        <v>26</v>
      </c>
      <c r="F14" t="s">
        <v>15</v>
      </c>
      <c r="G14">
        <v>100.35</v>
      </c>
      <c r="H14">
        <v>5681.1</v>
      </c>
      <c r="I14" t="s">
        <v>15</v>
      </c>
      <c r="J14" t="s">
        <v>15</v>
      </c>
      <c r="K14" t="s">
        <v>29</v>
      </c>
      <c r="L14">
        <v>5681.1</v>
      </c>
      <c r="M14" t="s">
        <v>5033</v>
      </c>
      <c r="N14" t="s">
        <v>5034</v>
      </c>
    </row>
    <row r="15" spans="1:14" x14ac:dyDescent="0.3">
      <c r="A15" t="s">
        <v>38</v>
      </c>
      <c r="B15" t="s">
        <v>19</v>
      </c>
      <c r="C15" t="s">
        <v>13</v>
      </c>
      <c r="D15">
        <v>49</v>
      </c>
      <c r="E15" t="s">
        <v>26</v>
      </c>
      <c r="F15" t="s">
        <v>15</v>
      </c>
      <c r="G15">
        <v>103.7</v>
      </c>
      <c r="H15">
        <v>5036.3</v>
      </c>
      <c r="I15" t="s">
        <v>16</v>
      </c>
      <c r="J15" t="s">
        <v>16</v>
      </c>
      <c r="K15" t="s">
        <v>24</v>
      </c>
      <c r="L15">
        <v>5036.3</v>
      </c>
      <c r="M15" t="s">
        <v>5033</v>
      </c>
      <c r="N15" t="s">
        <v>5034</v>
      </c>
    </row>
    <row r="16" spans="1:14" x14ac:dyDescent="0.3">
      <c r="A16" t="s">
        <v>39</v>
      </c>
      <c r="B16" t="s">
        <v>19</v>
      </c>
      <c r="C16" t="s">
        <v>13</v>
      </c>
      <c r="D16">
        <v>25</v>
      </c>
      <c r="E16" t="s">
        <v>26</v>
      </c>
      <c r="F16" t="s">
        <v>16</v>
      </c>
      <c r="G16">
        <v>105.5</v>
      </c>
      <c r="H16">
        <v>2686.05</v>
      </c>
      <c r="I16" t="s">
        <v>15</v>
      </c>
      <c r="J16" t="s">
        <v>16</v>
      </c>
      <c r="K16" t="s">
        <v>17</v>
      </c>
      <c r="L16">
        <v>2686.05</v>
      </c>
      <c r="M16" t="s">
        <v>5032</v>
      </c>
      <c r="N16" t="s">
        <v>5034</v>
      </c>
    </row>
    <row r="17" spans="1:14" x14ac:dyDescent="0.3">
      <c r="A17" t="s">
        <v>40</v>
      </c>
      <c r="B17" t="s">
        <v>12</v>
      </c>
      <c r="C17" t="s">
        <v>35</v>
      </c>
      <c r="D17">
        <v>69</v>
      </c>
      <c r="E17" t="s">
        <v>26</v>
      </c>
      <c r="F17" t="s">
        <v>16</v>
      </c>
      <c r="G17">
        <v>113.25</v>
      </c>
      <c r="H17">
        <v>7895.15</v>
      </c>
      <c r="I17" t="s">
        <v>15</v>
      </c>
      <c r="J17" t="s">
        <v>15</v>
      </c>
      <c r="K17" t="s">
        <v>29</v>
      </c>
      <c r="L17">
        <v>7895.15</v>
      </c>
      <c r="M17" t="s">
        <v>5033</v>
      </c>
      <c r="N17" t="s">
        <v>5034</v>
      </c>
    </row>
    <row r="18" spans="1:14" x14ac:dyDescent="0.3">
      <c r="A18" t="s">
        <v>41</v>
      </c>
      <c r="B18" t="s">
        <v>12</v>
      </c>
      <c r="C18" t="s">
        <v>20</v>
      </c>
      <c r="D18">
        <v>52</v>
      </c>
      <c r="E18" t="s">
        <v>15</v>
      </c>
      <c r="F18" t="s">
        <v>36</v>
      </c>
      <c r="G18">
        <v>20.65</v>
      </c>
      <c r="H18">
        <v>1022.95</v>
      </c>
      <c r="I18" t="s">
        <v>15</v>
      </c>
      <c r="J18" t="s">
        <v>15</v>
      </c>
      <c r="K18" t="s">
        <v>21</v>
      </c>
      <c r="L18">
        <v>1022.95</v>
      </c>
      <c r="M18" t="s">
        <v>5033</v>
      </c>
      <c r="N18" t="s">
        <v>5031</v>
      </c>
    </row>
    <row r="19" spans="1:14" x14ac:dyDescent="0.3">
      <c r="A19" t="s">
        <v>42</v>
      </c>
      <c r="B19" t="s">
        <v>19</v>
      </c>
      <c r="C19" t="s">
        <v>35</v>
      </c>
      <c r="D19">
        <v>71</v>
      </c>
      <c r="E19" t="s">
        <v>26</v>
      </c>
      <c r="F19" t="s">
        <v>15</v>
      </c>
      <c r="G19">
        <v>106.7</v>
      </c>
      <c r="H19">
        <v>7382.25</v>
      </c>
      <c r="I19" t="s">
        <v>15</v>
      </c>
      <c r="J19" t="s">
        <v>15</v>
      </c>
      <c r="K19" t="s">
        <v>24</v>
      </c>
      <c r="L19">
        <v>7382.25</v>
      </c>
      <c r="M19" t="s">
        <v>5033</v>
      </c>
      <c r="N19" t="s">
        <v>5034</v>
      </c>
    </row>
    <row r="20" spans="1:14" x14ac:dyDescent="0.3">
      <c r="A20" t="s">
        <v>43</v>
      </c>
      <c r="B20" t="s">
        <v>12</v>
      </c>
      <c r="C20" t="s">
        <v>13</v>
      </c>
      <c r="D20">
        <v>10</v>
      </c>
      <c r="E20" t="s">
        <v>14</v>
      </c>
      <c r="F20" t="s">
        <v>16</v>
      </c>
      <c r="G20">
        <v>55.2</v>
      </c>
      <c r="H20">
        <v>528.35</v>
      </c>
      <c r="I20" t="s">
        <v>16</v>
      </c>
      <c r="J20" t="s">
        <v>15</v>
      </c>
      <c r="K20" t="s">
        <v>29</v>
      </c>
      <c r="L20">
        <v>528.35</v>
      </c>
      <c r="M20" t="s">
        <v>5030</v>
      </c>
      <c r="N20" t="s">
        <v>5031</v>
      </c>
    </row>
    <row r="21" spans="1:14" x14ac:dyDescent="0.3">
      <c r="A21" t="s">
        <v>44</v>
      </c>
      <c r="B21" t="s">
        <v>12</v>
      </c>
      <c r="C21" t="s">
        <v>13</v>
      </c>
      <c r="D21">
        <v>21</v>
      </c>
      <c r="E21" t="s">
        <v>26</v>
      </c>
      <c r="F21" t="s">
        <v>15</v>
      </c>
      <c r="G21">
        <v>90.05</v>
      </c>
      <c r="H21">
        <v>1862.9</v>
      </c>
      <c r="I21" t="s">
        <v>15</v>
      </c>
      <c r="J21" t="s">
        <v>16</v>
      </c>
      <c r="K21" t="s">
        <v>17</v>
      </c>
      <c r="L21">
        <v>1862.9</v>
      </c>
      <c r="M21" t="s">
        <v>5032</v>
      </c>
      <c r="N21" t="s">
        <v>5031</v>
      </c>
    </row>
    <row r="22" spans="1:14" x14ac:dyDescent="0.3">
      <c r="A22" t="s">
        <v>45</v>
      </c>
      <c r="B22" t="s">
        <v>19</v>
      </c>
      <c r="C22" t="s">
        <v>13</v>
      </c>
      <c r="D22">
        <v>1</v>
      </c>
      <c r="E22" t="s">
        <v>14</v>
      </c>
      <c r="F22" t="s">
        <v>15</v>
      </c>
      <c r="G22">
        <v>39.65</v>
      </c>
      <c r="H22">
        <v>39.65</v>
      </c>
      <c r="I22" t="s">
        <v>16</v>
      </c>
      <c r="J22" t="s">
        <v>16</v>
      </c>
      <c r="K22" t="s">
        <v>17</v>
      </c>
      <c r="L22">
        <v>39.65</v>
      </c>
      <c r="M22" t="s">
        <v>5030</v>
      </c>
      <c r="N22" t="s">
        <v>5031</v>
      </c>
    </row>
    <row r="23" spans="1:14" x14ac:dyDescent="0.3">
      <c r="A23" t="s">
        <v>46</v>
      </c>
      <c r="B23" t="s">
        <v>19</v>
      </c>
      <c r="C23" t="s">
        <v>20</v>
      </c>
      <c r="D23">
        <v>12</v>
      </c>
      <c r="E23" t="s">
        <v>15</v>
      </c>
      <c r="F23" t="s">
        <v>36</v>
      </c>
      <c r="G23">
        <v>19.8</v>
      </c>
      <c r="H23">
        <v>202.25</v>
      </c>
      <c r="I23" t="s">
        <v>15</v>
      </c>
      <c r="J23" t="s">
        <v>15</v>
      </c>
      <c r="K23" t="s">
        <v>24</v>
      </c>
      <c r="L23">
        <v>202.25</v>
      </c>
      <c r="M23" t="s">
        <v>5030</v>
      </c>
      <c r="N23" t="s">
        <v>5031</v>
      </c>
    </row>
    <row r="24" spans="1:14" x14ac:dyDescent="0.3">
      <c r="A24" t="s">
        <v>47</v>
      </c>
      <c r="B24" t="s">
        <v>19</v>
      </c>
      <c r="C24" t="s">
        <v>13</v>
      </c>
      <c r="D24">
        <v>1</v>
      </c>
      <c r="E24" t="s">
        <v>15</v>
      </c>
      <c r="F24" t="s">
        <v>36</v>
      </c>
      <c r="G24">
        <v>20.149999999999999</v>
      </c>
      <c r="H24">
        <v>20.149999999999999</v>
      </c>
      <c r="I24" t="s">
        <v>16</v>
      </c>
      <c r="J24" t="s">
        <v>15</v>
      </c>
      <c r="K24" t="s">
        <v>21</v>
      </c>
      <c r="L24">
        <v>20.149999999999999</v>
      </c>
      <c r="M24" t="s">
        <v>5030</v>
      </c>
      <c r="N24" t="s">
        <v>5031</v>
      </c>
    </row>
    <row r="25" spans="1:14" x14ac:dyDescent="0.3">
      <c r="A25" t="s">
        <v>48</v>
      </c>
      <c r="B25" t="s">
        <v>12</v>
      </c>
      <c r="C25" t="s">
        <v>35</v>
      </c>
      <c r="D25">
        <v>58</v>
      </c>
      <c r="E25" t="s">
        <v>14</v>
      </c>
      <c r="F25" t="s">
        <v>16</v>
      </c>
      <c r="G25">
        <v>59.9</v>
      </c>
      <c r="H25">
        <v>3505.1</v>
      </c>
      <c r="I25" t="s">
        <v>15</v>
      </c>
      <c r="J25" t="s">
        <v>16</v>
      </c>
      <c r="K25" t="s">
        <v>29</v>
      </c>
      <c r="L25">
        <v>3505.1</v>
      </c>
      <c r="M25" t="s">
        <v>5033</v>
      </c>
      <c r="N25" t="s">
        <v>5034</v>
      </c>
    </row>
    <row r="26" spans="1:14" x14ac:dyDescent="0.3">
      <c r="A26" t="s">
        <v>49</v>
      </c>
      <c r="B26" t="s">
        <v>19</v>
      </c>
      <c r="C26" t="s">
        <v>13</v>
      </c>
      <c r="D26">
        <v>49</v>
      </c>
      <c r="E26" t="s">
        <v>14</v>
      </c>
      <c r="F26" t="s">
        <v>16</v>
      </c>
      <c r="G26">
        <v>59.6</v>
      </c>
      <c r="H26">
        <v>2970.3</v>
      </c>
      <c r="I26" t="s">
        <v>15</v>
      </c>
      <c r="J26" t="s">
        <v>15</v>
      </c>
      <c r="K26" t="s">
        <v>29</v>
      </c>
      <c r="L26">
        <v>2970.3</v>
      </c>
      <c r="M26" t="s">
        <v>5033</v>
      </c>
      <c r="N26" t="s">
        <v>5034</v>
      </c>
    </row>
    <row r="27" spans="1:14" x14ac:dyDescent="0.3">
      <c r="A27" t="s">
        <v>50</v>
      </c>
      <c r="B27" t="s">
        <v>12</v>
      </c>
      <c r="C27" t="s">
        <v>13</v>
      </c>
      <c r="D27">
        <v>30</v>
      </c>
      <c r="E27" t="s">
        <v>14</v>
      </c>
      <c r="F27" t="s">
        <v>15</v>
      </c>
      <c r="G27">
        <v>55.3</v>
      </c>
      <c r="H27">
        <v>1530.6</v>
      </c>
      <c r="I27" t="s">
        <v>15</v>
      </c>
      <c r="J27" t="s">
        <v>16</v>
      </c>
      <c r="K27" t="s">
        <v>24</v>
      </c>
      <c r="L27">
        <v>1530.6</v>
      </c>
      <c r="M27" t="s">
        <v>5032</v>
      </c>
      <c r="N27" t="s">
        <v>5031</v>
      </c>
    </row>
    <row r="28" spans="1:14" x14ac:dyDescent="0.3">
      <c r="A28" t="s">
        <v>51</v>
      </c>
      <c r="B28" t="s">
        <v>19</v>
      </c>
      <c r="C28" t="s">
        <v>13</v>
      </c>
      <c r="D28">
        <v>47</v>
      </c>
      <c r="E28" t="s">
        <v>26</v>
      </c>
      <c r="F28" t="s">
        <v>15</v>
      </c>
      <c r="G28">
        <v>99.35</v>
      </c>
      <c r="H28">
        <v>4749.1499999999996</v>
      </c>
      <c r="I28" t="s">
        <v>16</v>
      </c>
      <c r="J28" t="s">
        <v>16</v>
      </c>
      <c r="K28" t="s">
        <v>17</v>
      </c>
      <c r="L28">
        <v>4749.1499999999996</v>
      </c>
      <c r="M28" t="s">
        <v>5033</v>
      </c>
      <c r="N28" t="s">
        <v>5034</v>
      </c>
    </row>
    <row r="29" spans="1:14" x14ac:dyDescent="0.3">
      <c r="A29" t="s">
        <v>52</v>
      </c>
      <c r="B29" t="s">
        <v>19</v>
      </c>
      <c r="C29" t="s">
        <v>13</v>
      </c>
      <c r="D29">
        <v>1</v>
      </c>
      <c r="E29" t="s">
        <v>14</v>
      </c>
      <c r="F29" t="s">
        <v>15</v>
      </c>
      <c r="G29">
        <v>30.2</v>
      </c>
      <c r="H29">
        <v>30.2</v>
      </c>
      <c r="I29" t="s">
        <v>16</v>
      </c>
      <c r="J29" t="s">
        <v>15</v>
      </c>
      <c r="K29" t="s">
        <v>17</v>
      </c>
      <c r="L29">
        <v>30.2</v>
      </c>
      <c r="M29" t="s">
        <v>5030</v>
      </c>
      <c r="N29" t="s">
        <v>5031</v>
      </c>
    </row>
    <row r="30" spans="1:14" x14ac:dyDescent="0.3">
      <c r="A30" t="s">
        <v>53</v>
      </c>
      <c r="B30" t="s">
        <v>19</v>
      </c>
      <c r="C30" t="s">
        <v>35</v>
      </c>
      <c r="D30">
        <v>72</v>
      </c>
      <c r="E30" t="s">
        <v>14</v>
      </c>
      <c r="F30" t="s">
        <v>16</v>
      </c>
      <c r="G30">
        <v>90.25</v>
      </c>
      <c r="H30">
        <v>6369.45</v>
      </c>
      <c r="I30" t="s">
        <v>15</v>
      </c>
      <c r="J30" t="s">
        <v>16</v>
      </c>
      <c r="K30" t="s">
        <v>29</v>
      </c>
      <c r="L30">
        <v>6369.45</v>
      </c>
      <c r="M30" t="s">
        <v>5033</v>
      </c>
      <c r="N30" t="s">
        <v>5034</v>
      </c>
    </row>
    <row r="31" spans="1:14" x14ac:dyDescent="0.3">
      <c r="A31" t="s">
        <v>54</v>
      </c>
      <c r="B31" t="s">
        <v>12</v>
      </c>
      <c r="C31" t="s">
        <v>13</v>
      </c>
      <c r="D31">
        <v>17</v>
      </c>
      <c r="E31" t="s">
        <v>14</v>
      </c>
      <c r="F31" t="s">
        <v>15</v>
      </c>
      <c r="G31">
        <v>64.7</v>
      </c>
      <c r="H31">
        <v>1093.0999999999999</v>
      </c>
      <c r="I31" t="s">
        <v>16</v>
      </c>
      <c r="J31" t="s">
        <v>16</v>
      </c>
      <c r="K31" t="s">
        <v>21</v>
      </c>
      <c r="L31">
        <v>1093.0999999999999</v>
      </c>
      <c r="M31" t="s">
        <v>5032</v>
      </c>
      <c r="N31" t="s">
        <v>5031</v>
      </c>
    </row>
    <row r="32" spans="1:14" x14ac:dyDescent="0.3">
      <c r="A32" t="s">
        <v>55</v>
      </c>
      <c r="B32" t="s">
        <v>12</v>
      </c>
      <c r="C32" t="s">
        <v>35</v>
      </c>
      <c r="D32">
        <v>71</v>
      </c>
      <c r="E32" t="s">
        <v>26</v>
      </c>
      <c r="F32" t="s">
        <v>16</v>
      </c>
      <c r="G32">
        <v>96.35</v>
      </c>
      <c r="H32">
        <v>6766.95</v>
      </c>
      <c r="I32" t="s">
        <v>15</v>
      </c>
      <c r="J32" t="s">
        <v>16</v>
      </c>
      <c r="K32" t="s">
        <v>29</v>
      </c>
      <c r="L32">
        <v>6766.95</v>
      </c>
      <c r="M32" t="s">
        <v>5033</v>
      </c>
      <c r="N32" t="s">
        <v>5034</v>
      </c>
    </row>
    <row r="33" spans="1:14" x14ac:dyDescent="0.3">
      <c r="A33" t="s">
        <v>56</v>
      </c>
      <c r="B33" t="s">
        <v>19</v>
      </c>
      <c r="C33" t="s">
        <v>13</v>
      </c>
      <c r="D33">
        <v>2</v>
      </c>
      <c r="E33" t="s">
        <v>26</v>
      </c>
      <c r="F33" t="s">
        <v>15</v>
      </c>
      <c r="G33">
        <v>95.5</v>
      </c>
      <c r="H33">
        <v>181.65</v>
      </c>
      <c r="I33" t="s">
        <v>15</v>
      </c>
      <c r="J33" t="s">
        <v>16</v>
      </c>
      <c r="K33" t="s">
        <v>29</v>
      </c>
      <c r="L33">
        <v>181.65</v>
      </c>
      <c r="M33" t="s">
        <v>5030</v>
      </c>
      <c r="N33" t="s">
        <v>5031</v>
      </c>
    </row>
    <row r="34" spans="1:14" x14ac:dyDescent="0.3">
      <c r="A34" t="s">
        <v>57</v>
      </c>
      <c r="B34" t="s">
        <v>12</v>
      </c>
      <c r="C34" t="s">
        <v>20</v>
      </c>
      <c r="D34">
        <v>27</v>
      </c>
      <c r="E34" t="s">
        <v>14</v>
      </c>
      <c r="F34" t="s">
        <v>16</v>
      </c>
      <c r="G34">
        <v>66.150000000000006</v>
      </c>
      <c r="H34">
        <v>1874.45</v>
      </c>
      <c r="I34" t="s">
        <v>15</v>
      </c>
      <c r="J34" t="s">
        <v>15</v>
      </c>
      <c r="K34" t="s">
        <v>21</v>
      </c>
      <c r="L34">
        <v>1874.45</v>
      </c>
      <c r="M34" t="s">
        <v>5032</v>
      </c>
      <c r="N34" t="s">
        <v>5031</v>
      </c>
    </row>
    <row r="35" spans="1:14" x14ac:dyDescent="0.3">
      <c r="A35" t="s">
        <v>58</v>
      </c>
      <c r="B35" t="s">
        <v>19</v>
      </c>
      <c r="C35" t="s">
        <v>13</v>
      </c>
      <c r="D35">
        <v>1</v>
      </c>
      <c r="E35" t="s">
        <v>15</v>
      </c>
      <c r="F35" t="s">
        <v>36</v>
      </c>
      <c r="G35">
        <v>20.2</v>
      </c>
      <c r="H35">
        <v>20.2</v>
      </c>
      <c r="I35" t="s">
        <v>15</v>
      </c>
      <c r="J35" t="s">
        <v>15</v>
      </c>
      <c r="K35" t="s">
        <v>24</v>
      </c>
      <c r="L35">
        <v>20.2</v>
      </c>
      <c r="M35" t="s">
        <v>5030</v>
      </c>
      <c r="N35" t="s">
        <v>5031</v>
      </c>
    </row>
    <row r="36" spans="1:14" x14ac:dyDescent="0.3">
      <c r="A36" t="s">
        <v>59</v>
      </c>
      <c r="B36" t="s">
        <v>19</v>
      </c>
      <c r="C36" t="s">
        <v>13</v>
      </c>
      <c r="D36">
        <v>1</v>
      </c>
      <c r="E36" t="s">
        <v>14</v>
      </c>
      <c r="F36" t="s">
        <v>15</v>
      </c>
      <c r="G36">
        <v>45.25</v>
      </c>
      <c r="H36">
        <v>45.25</v>
      </c>
      <c r="I36" t="s">
        <v>15</v>
      </c>
      <c r="J36" t="s">
        <v>15</v>
      </c>
      <c r="K36" t="s">
        <v>24</v>
      </c>
      <c r="L36">
        <v>45.25</v>
      </c>
      <c r="M36" t="s">
        <v>5030</v>
      </c>
      <c r="N36" t="s">
        <v>5031</v>
      </c>
    </row>
    <row r="37" spans="1:14" x14ac:dyDescent="0.3">
      <c r="A37" t="s">
        <v>60</v>
      </c>
      <c r="B37" t="s">
        <v>12</v>
      </c>
      <c r="C37" t="s">
        <v>35</v>
      </c>
      <c r="D37">
        <v>72</v>
      </c>
      <c r="E37" t="s">
        <v>26</v>
      </c>
      <c r="F37" t="s">
        <v>16</v>
      </c>
      <c r="G37">
        <v>99.9</v>
      </c>
      <c r="H37">
        <v>7251.7</v>
      </c>
      <c r="I37" t="s">
        <v>15</v>
      </c>
      <c r="J37" t="s">
        <v>15</v>
      </c>
      <c r="K37" t="s">
        <v>24</v>
      </c>
      <c r="L37">
        <v>7251.7</v>
      </c>
      <c r="M37" t="s">
        <v>5033</v>
      </c>
      <c r="N37" t="s">
        <v>5034</v>
      </c>
    </row>
    <row r="38" spans="1:14" x14ac:dyDescent="0.3">
      <c r="A38" t="s">
        <v>61</v>
      </c>
      <c r="B38" t="s">
        <v>19</v>
      </c>
      <c r="C38" t="s">
        <v>13</v>
      </c>
      <c r="D38">
        <v>5</v>
      </c>
      <c r="E38" t="s">
        <v>26</v>
      </c>
      <c r="F38" t="s">
        <v>15</v>
      </c>
      <c r="G38">
        <v>69.7</v>
      </c>
      <c r="H38">
        <v>316.89999999999998</v>
      </c>
      <c r="I38" t="s">
        <v>16</v>
      </c>
      <c r="J38" t="s">
        <v>16</v>
      </c>
      <c r="K38" t="s">
        <v>17</v>
      </c>
      <c r="L38">
        <v>316.89999999999998</v>
      </c>
      <c r="M38" t="s">
        <v>5030</v>
      </c>
      <c r="N38" t="s">
        <v>5031</v>
      </c>
    </row>
    <row r="39" spans="1:14" x14ac:dyDescent="0.3">
      <c r="A39" t="s">
        <v>62</v>
      </c>
      <c r="B39" t="s">
        <v>12</v>
      </c>
      <c r="C39" t="s">
        <v>13</v>
      </c>
      <c r="D39">
        <v>46</v>
      </c>
      <c r="E39" t="s">
        <v>26</v>
      </c>
      <c r="F39" t="s">
        <v>15</v>
      </c>
      <c r="G39">
        <v>74.8</v>
      </c>
      <c r="H39">
        <v>3548.3</v>
      </c>
      <c r="I39" t="s">
        <v>15</v>
      </c>
      <c r="J39" t="s">
        <v>16</v>
      </c>
      <c r="K39" t="s">
        <v>29</v>
      </c>
      <c r="L39">
        <v>3548.3</v>
      </c>
      <c r="M39" t="s">
        <v>5033</v>
      </c>
      <c r="N39" t="s">
        <v>5034</v>
      </c>
    </row>
    <row r="40" spans="1:14" x14ac:dyDescent="0.3">
      <c r="A40" t="s">
        <v>63</v>
      </c>
      <c r="B40" t="s">
        <v>19</v>
      </c>
      <c r="C40" t="s">
        <v>13</v>
      </c>
      <c r="D40">
        <v>34</v>
      </c>
      <c r="E40" t="s">
        <v>26</v>
      </c>
      <c r="F40" t="s">
        <v>15</v>
      </c>
      <c r="G40">
        <v>106.35</v>
      </c>
      <c r="H40">
        <v>3549.25</v>
      </c>
      <c r="I40" t="s">
        <v>16</v>
      </c>
      <c r="J40" t="s">
        <v>16</v>
      </c>
      <c r="K40" t="s">
        <v>17</v>
      </c>
      <c r="L40">
        <v>3549.25</v>
      </c>
      <c r="M40" t="s">
        <v>5032</v>
      </c>
      <c r="N40" t="s">
        <v>5034</v>
      </c>
    </row>
    <row r="41" spans="1:14" x14ac:dyDescent="0.3">
      <c r="A41" t="s">
        <v>64</v>
      </c>
      <c r="B41" t="s">
        <v>12</v>
      </c>
      <c r="C41" t="s">
        <v>13</v>
      </c>
      <c r="D41">
        <v>11</v>
      </c>
      <c r="E41" t="s">
        <v>26</v>
      </c>
      <c r="F41" t="s">
        <v>15</v>
      </c>
      <c r="G41">
        <v>97.85</v>
      </c>
      <c r="H41">
        <v>1105.4000000000001</v>
      </c>
      <c r="I41" t="s">
        <v>16</v>
      </c>
      <c r="J41" t="s">
        <v>16</v>
      </c>
      <c r="K41" t="s">
        <v>24</v>
      </c>
      <c r="L41">
        <v>1105.4000000000001</v>
      </c>
      <c r="M41" t="s">
        <v>5030</v>
      </c>
      <c r="N41" t="s">
        <v>5031</v>
      </c>
    </row>
    <row r="42" spans="1:14" x14ac:dyDescent="0.3">
      <c r="A42" t="s">
        <v>65</v>
      </c>
      <c r="B42" t="s">
        <v>19</v>
      </c>
      <c r="C42" t="s">
        <v>20</v>
      </c>
      <c r="D42">
        <v>10</v>
      </c>
      <c r="E42" t="s">
        <v>14</v>
      </c>
      <c r="F42" t="s">
        <v>15</v>
      </c>
      <c r="G42">
        <v>49.55</v>
      </c>
      <c r="H42">
        <v>475.7</v>
      </c>
      <c r="I42" t="s">
        <v>15</v>
      </c>
      <c r="J42" t="s">
        <v>15</v>
      </c>
      <c r="K42" t="s">
        <v>21</v>
      </c>
      <c r="L42">
        <v>475.7</v>
      </c>
      <c r="M42" t="s">
        <v>5030</v>
      </c>
      <c r="N42" t="s">
        <v>5031</v>
      </c>
    </row>
    <row r="43" spans="1:14" x14ac:dyDescent="0.3">
      <c r="A43" t="s">
        <v>66</v>
      </c>
      <c r="B43" t="s">
        <v>12</v>
      </c>
      <c r="C43" t="s">
        <v>35</v>
      </c>
      <c r="D43">
        <v>70</v>
      </c>
      <c r="E43" t="s">
        <v>14</v>
      </c>
      <c r="F43" t="s">
        <v>15</v>
      </c>
      <c r="G43">
        <v>69.2</v>
      </c>
      <c r="H43">
        <v>4872.3500000000004</v>
      </c>
      <c r="I43" t="s">
        <v>15</v>
      </c>
      <c r="J43" t="s">
        <v>16</v>
      </c>
      <c r="K43" t="s">
        <v>29</v>
      </c>
      <c r="L43">
        <v>4872.3500000000004</v>
      </c>
      <c r="M43" t="s">
        <v>5033</v>
      </c>
      <c r="N43" t="s">
        <v>5034</v>
      </c>
    </row>
    <row r="44" spans="1:14" x14ac:dyDescent="0.3">
      <c r="A44" t="s">
        <v>67</v>
      </c>
      <c r="B44" t="s">
        <v>12</v>
      </c>
      <c r="C44" t="s">
        <v>20</v>
      </c>
      <c r="D44">
        <v>17</v>
      </c>
      <c r="E44" t="s">
        <v>15</v>
      </c>
      <c r="F44" t="s">
        <v>36</v>
      </c>
      <c r="G44">
        <v>20.75</v>
      </c>
      <c r="H44">
        <v>418.25</v>
      </c>
      <c r="I44" t="s">
        <v>15</v>
      </c>
      <c r="J44" t="s">
        <v>15</v>
      </c>
      <c r="K44" t="s">
        <v>21</v>
      </c>
      <c r="L44">
        <v>418.25</v>
      </c>
      <c r="M44" t="s">
        <v>5032</v>
      </c>
      <c r="N44" t="s">
        <v>5031</v>
      </c>
    </row>
    <row r="45" spans="1:14" x14ac:dyDescent="0.3">
      <c r="A45" t="s">
        <v>68</v>
      </c>
      <c r="B45" t="s">
        <v>12</v>
      </c>
      <c r="C45" t="s">
        <v>35</v>
      </c>
      <c r="D45">
        <v>63</v>
      </c>
      <c r="E45" t="s">
        <v>14</v>
      </c>
      <c r="F45" t="s">
        <v>16</v>
      </c>
      <c r="G45">
        <v>79.849999999999994</v>
      </c>
      <c r="H45">
        <v>4861.45</v>
      </c>
      <c r="I45" t="s">
        <v>15</v>
      </c>
      <c r="J45" t="s">
        <v>16</v>
      </c>
      <c r="K45" t="s">
        <v>29</v>
      </c>
      <c r="L45">
        <v>4861.45</v>
      </c>
      <c r="M45" t="s">
        <v>5033</v>
      </c>
      <c r="N45" t="s">
        <v>5034</v>
      </c>
    </row>
    <row r="46" spans="1:14" x14ac:dyDescent="0.3">
      <c r="A46" t="s">
        <v>69</v>
      </c>
      <c r="B46" t="s">
        <v>12</v>
      </c>
      <c r="C46" t="s">
        <v>13</v>
      </c>
      <c r="D46">
        <v>13</v>
      </c>
      <c r="E46" t="s">
        <v>14</v>
      </c>
      <c r="F46" t="s">
        <v>16</v>
      </c>
      <c r="G46">
        <v>76.2</v>
      </c>
      <c r="H46">
        <v>981.45</v>
      </c>
      <c r="I46" t="s">
        <v>15</v>
      </c>
      <c r="J46" t="s">
        <v>16</v>
      </c>
      <c r="K46" t="s">
        <v>17</v>
      </c>
      <c r="L46">
        <v>981.45</v>
      </c>
      <c r="M46" t="s">
        <v>5032</v>
      </c>
      <c r="N46" t="s">
        <v>5031</v>
      </c>
    </row>
    <row r="47" spans="1:14" x14ac:dyDescent="0.3">
      <c r="A47" t="s">
        <v>70</v>
      </c>
      <c r="B47" t="s">
        <v>12</v>
      </c>
      <c r="C47" t="s">
        <v>13</v>
      </c>
      <c r="D47">
        <v>49</v>
      </c>
      <c r="E47" t="s">
        <v>26</v>
      </c>
      <c r="F47" t="s">
        <v>15</v>
      </c>
      <c r="G47">
        <v>84.5</v>
      </c>
      <c r="H47">
        <v>3906.7</v>
      </c>
      <c r="I47" t="s">
        <v>15</v>
      </c>
      <c r="J47" t="s">
        <v>16</v>
      </c>
      <c r="K47" t="s">
        <v>17</v>
      </c>
      <c r="L47">
        <v>3906.7</v>
      </c>
      <c r="M47" t="s">
        <v>5033</v>
      </c>
      <c r="N47" t="s">
        <v>5034</v>
      </c>
    </row>
    <row r="48" spans="1:14" x14ac:dyDescent="0.3">
      <c r="A48" t="s">
        <v>71</v>
      </c>
      <c r="B48" t="s">
        <v>19</v>
      </c>
      <c r="C48" t="s">
        <v>13</v>
      </c>
      <c r="D48">
        <v>2</v>
      </c>
      <c r="E48" t="s">
        <v>14</v>
      </c>
      <c r="F48" t="s">
        <v>15</v>
      </c>
      <c r="G48">
        <v>49.25</v>
      </c>
      <c r="H48">
        <v>97</v>
      </c>
      <c r="I48" t="s">
        <v>15</v>
      </c>
      <c r="J48" t="s">
        <v>15</v>
      </c>
      <c r="K48" t="s">
        <v>21</v>
      </c>
      <c r="L48">
        <v>97</v>
      </c>
      <c r="M48" t="s">
        <v>5030</v>
      </c>
      <c r="N48" t="s">
        <v>5031</v>
      </c>
    </row>
    <row r="49" spans="1:14" x14ac:dyDescent="0.3">
      <c r="A49" t="s">
        <v>72</v>
      </c>
      <c r="B49" t="s">
        <v>12</v>
      </c>
      <c r="C49" t="s">
        <v>13</v>
      </c>
      <c r="D49">
        <v>2</v>
      </c>
      <c r="E49" t="s">
        <v>26</v>
      </c>
      <c r="F49" t="s">
        <v>15</v>
      </c>
      <c r="G49">
        <v>80.650000000000006</v>
      </c>
      <c r="H49">
        <v>144.15</v>
      </c>
      <c r="I49" t="s">
        <v>16</v>
      </c>
      <c r="J49" t="s">
        <v>16</v>
      </c>
      <c r="K49" t="s">
        <v>17</v>
      </c>
      <c r="L49">
        <v>144.15</v>
      </c>
      <c r="M49" t="s">
        <v>5030</v>
      </c>
      <c r="N49" t="s">
        <v>5031</v>
      </c>
    </row>
    <row r="50" spans="1:14" x14ac:dyDescent="0.3">
      <c r="A50" t="s">
        <v>73</v>
      </c>
      <c r="B50" t="s">
        <v>19</v>
      </c>
      <c r="C50" t="s">
        <v>35</v>
      </c>
      <c r="D50">
        <v>52</v>
      </c>
      <c r="E50" t="s">
        <v>14</v>
      </c>
      <c r="F50" t="s">
        <v>16</v>
      </c>
      <c r="G50">
        <v>79.75</v>
      </c>
      <c r="H50">
        <v>4217.8</v>
      </c>
      <c r="I50" t="s">
        <v>15</v>
      </c>
      <c r="J50" t="s">
        <v>16</v>
      </c>
      <c r="K50" t="s">
        <v>29</v>
      </c>
      <c r="L50">
        <v>4217.8</v>
      </c>
      <c r="M50" t="s">
        <v>5033</v>
      </c>
      <c r="N50" t="s">
        <v>5034</v>
      </c>
    </row>
    <row r="51" spans="1:14" x14ac:dyDescent="0.3">
      <c r="A51" t="s">
        <v>74</v>
      </c>
      <c r="B51" t="s">
        <v>12</v>
      </c>
      <c r="C51" t="s">
        <v>35</v>
      </c>
      <c r="D51">
        <v>69</v>
      </c>
      <c r="E51" t="s">
        <v>14</v>
      </c>
      <c r="F51" t="s">
        <v>16</v>
      </c>
      <c r="G51">
        <v>64.150000000000006</v>
      </c>
      <c r="H51">
        <v>4254.1000000000004</v>
      </c>
      <c r="I51" t="s">
        <v>15</v>
      </c>
      <c r="J51" t="s">
        <v>16</v>
      </c>
      <c r="K51" t="s">
        <v>29</v>
      </c>
      <c r="L51">
        <v>4254.1000000000004</v>
      </c>
      <c r="M51" t="s">
        <v>5033</v>
      </c>
      <c r="N51" t="s">
        <v>5034</v>
      </c>
    </row>
    <row r="52" spans="1:14" x14ac:dyDescent="0.3">
      <c r="A52" t="s">
        <v>75</v>
      </c>
      <c r="B52" t="s">
        <v>12</v>
      </c>
      <c r="C52" t="s">
        <v>13</v>
      </c>
      <c r="D52">
        <v>43</v>
      </c>
      <c r="E52" t="s">
        <v>26</v>
      </c>
      <c r="F52" t="s">
        <v>15</v>
      </c>
      <c r="G52">
        <v>90.25</v>
      </c>
      <c r="H52">
        <v>3838.75</v>
      </c>
      <c r="I52" t="s">
        <v>15</v>
      </c>
      <c r="J52" t="s">
        <v>16</v>
      </c>
      <c r="K52" t="s">
        <v>17</v>
      </c>
      <c r="L52">
        <v>3838.75</v>
      </c>
      <c r="M52" t="s">
        <v>5033</v>
      </c>
      <c r="N52" t="s">
        <v>5034</v>
      </c>
    </row>
    <row r="53" spans="1:14" x14ac:dyDescent="0.3">
      <c r="A53" t="s">
        <v>76</v>
      </c>
      <c r="B53" t="s">
        <v>12</v>
      </c>
      <c r="C53" t="s">
        <v>13</v>
      </c>
      <c r="D53">
        <v>15</v>
      </c>
      <c r="E53" t="s">
        <v>26</v>
      </c>
      <c r="F53" t="s">
        <v>15</v>
      </c>
      <c r="G53">
        <v>99.1</v>
      </c>
      <c r="H53">
        <v>1426.4</v>
      </c>
      <c r="I53" t="s">
        <v>16</v>
      </c>
      <c r="J53" t="s">
        <v>16</v>
      </c>
      <c r="K53" t="s">
        <v>29</v>
      </c>
      <c r="L53">
        <v>1426.4</v>
      </c>
      <c r="M53" t="s">
        <v>5032</v>
      </c>
      <c r="N53" t="s">
        <v>5031</v>
      </c>
    </row>
    <row r="54" spans="1:14" x14ac:dyDescent="0.3">
      <c r="A54" t="s">
        <v>77</v>
      </c>
      <c r="B54" t="s">
        <v>12</v>
      </c>
      <c r="C54" t="s">
        <v>13</v>
      </c>
      <c r="D54">
        <v>25</v>
      </c>
      <c r="E54" t="s">
        <v>14</v>
      </c>
      <c r="F54" t="s">
        <v>16</v>
      </c>
      <c r="G54">
        <v>69.5</v>
      </c>
      <c r="H54">
        <v>1752.65</v>
      </c>
      <c r="I54" t="s">
        <v>15</v>
      </c>
      <c r="J54" t="s">
        <v>16</v>
      </c>
      <c r="K54" t="s">
        <v>29</v>
      </c>
      <c r="L54">
        <v>1752.65</v>
      </c>
      <c r="M54" t="s">
        <v>5032</v>
      </c>
      <c r="N54" t="s">
        <v>5031</v>
      </c>
    </row>
    <row r="55" spans="1:14" x14ac:dyDescent="0.3">
      <c r="A55" t="s">
        <v>78</v>
      </c>
      <c r="B55" t="s">
        <v>12</v>
      </c>
      <c r="C55" t="s">
        <v>13</v>
      </c>
      <c r="D55">
        <v>8</v>
      </c>
      <c r="E55" t="s">
        <v>26</v>
      </c>
      <c r="F55" t="s">
        <v>15</v>
      </c>
      <c r="G55">
        <v>80.650000000000006</v>
      </c>
      <c r="H55">
        <v>633.29999999999995</v>
      </c>
      <c r="I55" t="s">
        <v>16</v>
      </c>
      <c r="J55" t="s">
        <v>16</v>
      </c>
      <c r="K55" t="s">
        <v>29</v>
      </c>
      <c r="L55">
        <v>633.29999999999995</v>
      </c>
      <c r="M55" t="s">
        <v>5030</v>
      </c>
      <c r="N55" t="s">
        <v>5031</v>
      </c>
    </row>
    <row r="56" spans="1:14" x14ac:dyDescent="0.3">
      <c r="A56" t="s">
        <v>79</v>
      </c>
      <c r="B56" t="s">
        <v>12</v>
      </c>
      <c r="C56" t="s">
        <v>20</v>
      </c>
      <c r="D56">
        <v>60</v>
      </c>
      <c r="E56" t="s">
        <v>14</v>
      </c>
      <c r="F56" t="s">
        <v>16</v>
      </c>
      <c r="G56">
        <v>74.849999999999994</v>
      </c>
      <c r="H56">
        <v>4456.3500000000004</v>
      </c>
      <c r="I56" t="s">
        <v>15</v>
      </c>
      <c r="J56" t="s">
        <v>16</v>
      </c>
      <c r="K56" t="s">
        <v>29</v>
      </c>
      <c r="L56">
        <v>4456.3500000000004</v>
      </c>
      <c r="M56" t="s">
        <v>5033</v>
      </c>
      <c r="N56" t="s">
        <v>5034</v>
      </c>
    </row>
    <row r="57" spans="1:14" x14ac:dyDescent="0.3">
      <c r="A57" t="s">
        <v>80</v>
      </c>
      <c r="B57" t="s">
        <v>19</v>
      </c>
      <c r="C57" t="s">
        <v>13</v>
      </c>
      <c r="D57">
        <v>18</v>
      </c>
      <c r="E57" t="s">
        <v>26</v>
      </c>
      <c r="F57" t="s">
        <v>15</v>
      </c>
      <c r="G57">
        <v>95.45</v>
      </c>
      <c r="H57">
        <v>1752.55</v>
      </c>
      <c r="I57" t="s">
        <v>16</v>
      </c>
      <c r="J57" t="s">
        <v>16</v>
      </c>
      <c r="K57" t="s">
        <v>17</v>
      </c>
      <c r="L57">
        <v>1752.55</v>
      </c>
      <c r="M57" t="s">
        <v>5032</v>
      </c>
      <c r="N57" t="s">
        <v>5031</v>
      </c>
    </row>
    <row r="58" spans="1:14" x14ac:dyDescent="0.3">
      <c r="A58" t="s">
        <v>81</v>
      </c>
      <c r="B58" t="s">
        <v>12</v>
      </c>
      <c r="C58" t="s">
        <v>20</v>
      </c>
      <c r="D58">
        <v>63</v>
      </c>
      <c r="E58" t="s">
        <v>26</v>
      </c>
      <c r="F58" t="s">
        <v>15</v>
      </c>
      <c r="G58">
        <v>99.65</v>
      </c>
      <c r="H58">
        <v>6311.2</v>
      </c>
      <c r="I58" t="s">
        <v>15</v>
      </c>
      <c r="J58" t="s">
        <v>16</v>
      </c>
      <c r="K58" t="s">
        <v>29</v>
      </c>
      <c r="L58">
        <v>6311.2</v>
      </c>
      <c r="M58" t="s">
        <v>5033</v>
      </c>
      <c r="N58" t="s">
        <v>5034</v>
      </c>
    </row>
    <row r="59" spans="1:14" x14ac:dyDescent="0.3">
      <c r="A59" t="s">
        <v>82</v>
      </c>
      <c r="B59" t="s">
        <v>19</v>
      </c>
      <c r="C59" t="s">
        <v>20</v>
      </c>
      <c r="D59">
        <v>66</v>
      </c>
      <c r="E59" t="s">
        <v>26</v>
      </c>
      <c r="F59" t="s">
        <v>16</v>
      </c>
      <c r="G59">
        <v>108.45</v>
      </c>
      <c r="H59">
        <v>7076.35</v>
      </c>
      <c r="I59" t="s">
        <v>15</v>
      </c>
      <c r="J59" t="s">
        <v>16</v>
      </c>
      <c r="K59" t="s">
        <v>17</v>
      </c>
      <c r="L59">
        <v>7076.35</v>
      </c>
      <c r="M59" t="s">
        <v>5033</v>
      </c>
      <c r="N59" t="s">
        <v>5034</v>
      </c>
    </row>
    <row r="60" spans="1:14" x14ac:dyDescent="0.3">
      <c r="A60" t="s">
        <v>83</v>
      </c>
      <c r="B60" t="s">
        <v>12</v>
      </c>
      <c r="C60" t="s">
        <v>35</v>
      </c>
      <c r="D60">
        <v>34</v>
      </c>
      <c r="E60" t="s">
        <v>15</v>
      </c>
      <c r="F60" t="s">
        <v>36</v>
      </c>
      <c r="G60">
        <v>24.95</v>
      </c>
      <c r="H60">
        <v>894.3</v>
      </c>
      <c r="I60" t="s">
        <v>15</v>
      </c>
      <c r="J60" t="s">
        <v>15</v>
      </c>
      <c r="K60" t="s">
        <v>29</v>
      </c>
      <c r="L60">
        <v>894.3</v>
      </c>
      <c r="M60" t="s">
        <v>5032</v>
      </c>
      <c r="N60" t="s">
        <v>5031</v>
      </c>
    </row>
    <row r="61" spans="1:14" x14ac:dyDescent="0.3">
      <c r="A61" t="s">
        <v>84</v>
      </c>
      <c r="B61" t="s">
        <v>12</v>
      </c>
      <c r="C61" t="s">
        <v>35</v>
      </c>
      <c r="D61">
        <v>72</v>
      </c>
      <c r="E61" t="s">
        <v>26</v>
      </c>
      <c r="F61" t="s">
        <v>16</v>
      </c>
      <c r="G61">
        <v>107.5</v>
      </c>
      <c r="H61">
        <v>7853.7</v>
      </c>
      <c r="I61" t="s">
        <v>15</v>
      </c>
      <c r="J61" t="s">
        <v>16</v>
      </c>
      <c r="K61" t="s">
        <v>29</v>
      </c>
      <c r="L61">
        <v>7853.7</v>
      </c>
      <c r="M61" t="s">
        <v>5033</v>
      </c>
      <c r="N61" t="s">
        <v>5034</v>
      </c>
    </row>
    <row r="62" spans="1:14" x14ac:dyDescent="0.3">
      <c r="A62" t="s">
        <v>85</v>
      </c>
      <c r="B62" t="s">
        <v>12</v>
      </c>
      <c r="C62" t="s">
        <v>13</v>
      </c>
      <c r="D62">
        <v>47</v>
      </c>
      <c r="E62" t="s">
        <v>26</v>
      </c>
      <c r="F62" t="s">
        <v>15</v>
      </c>
      <c r="G62">
        <v>100.5</v>
      </c>
      <c r="H62">
        <v>4707.1000000000004</v>
      </c>
      <c r="I62" t="s">
        <v>15</v>
      </c>
      <c r="J62" t="s">
        <v>16</v>
      </c>
      <c r="K62" t="s">
        <v>17</v>
      </c>
      <c r="L62">
        <v>4707.1000000000004</v>
      </c>
      <c r="M62" t="s">
        <v>5033</v>
      </c>
      <c r="N62" t="s">
        <v>5034</v>
      </c>
    </row>
    <row r="63" spans="1:14" x14ac:dyDescent="0.3">
      <c r="A63" t="s">
        <v>86</v>
      </c>
      <c r="B63" t="s">
        <v>19</v>
      </c>
      <c r="C63" t="s">
        <v>13</v>
      </c>
      <c r="D63">
        <v>60</v>
      </c>
      <c r="E63" t="s">
        <v>26</v>
      </c>
      <c r="F63" t="s">
        <v>15</v>
      </c>
      <c r="G63">
        <v>89.9</v>
      </c>
      <c r="H63">
        <v>5450.7</v>
      </c>
      <c r="I63" t="s">
        <v>15</v>
      </c>
      <c r="J63" t="s">
        <v>16</v>
      </c>
      <c r="K63" t="s">
        <v>24</v>
      </c>
      <c r="L63">
        <v>5450.7</v>
      </c>
      <c r="M63" t="s">
        <v>5033</v>
      </c>
      <c r="N63" t="s">
        <v>5034</v>
      </c>
    </row>
    <row r="64" spans="1:14" x14ac:dyDescent="0.3">
      <c r="A64" t="s">
        <v>87</v>
      </c>
      <c r="B64" t="s">
        <v>19</v>
      </c>
      <c r="C64" t="s">
        <v>35</v>
      </c>
      <c r="D64">
        <v>72</v>
      </c>
      <c r="E64" t="s">
        <v>14</v>
      </c>
      <c r="F64" t="s">
        <v>15</v>
      </c>
      <c r="G64">
        <v>42.1</v>
      </c>
      <c r="H64">
        <v>2962</v>
      </c>
      <c r="I64" t="s">
        <v>15</v>
      </c>
      <c r="J64" t="s">
        <v>15</v>
      </c>
      <c r="K64" t="s">
        <v>24</v>
      </c>
      <c r="L64">
        <v>2962</v>
      </c>
      <c r="M64" t="s">
        <v>5033</v>
      </c>
      <c r="N64" t="s">
        <v>5034</v>
      </c>
    </row>
    <row r="65" spans="1:14" x14ac:dyDescent="0.3">
      <c r="A65" t="s">
        <v>88</v>
      </c>
      <c r="B65" t="s">
        <v>12</v>
      </c>
      <c r="C65" t="s">
        <v>20</v>
      </c>
      <c r="D65">
        <v>18</v>
      </c>
      <c r="E65" t="s">
        <v>14</v>
      </c>
      <c r="F65" t="s">
        <v>16</v>
      </c>
      <c r="G65">
        <v>54.4</v>
      </c>
      <c r="H65">
        <v>957.1</v>
      </c>
      <c r="I65" t="s">
        <v>15</v>
      </c>
      <c r="J65" t="s">
        <v>16</v>
      </c>
      <c r="K65" t="s">
        <v>29</v>
      </c>
      <c r="L65">
        <v>957.1</v>
      </c>
      <c r="M65" t="s">
        <v>5032</v>
      </c>
      <c r="N65" t="s">
        <v>5031</v>
      </c>
    </row>
    <row r="66" spans="1:14" x14ac:dyDescent="0.3">
      <c r="A66" t="s">
        <v>89</v>
      </c>
      <c r="B66" t="s">
        <v>12</v>
      </c>
      <c r="C66" t="s">
        <v>13</v>
      </c>
      <c r="D66">
        <v>9</v>
      </c>
      <c r="E66" t="s">
        <v>26</v>
      </c>
      <c r="F66" t="s">
        <v>15</v>
      </c>
      <c r="G66">
        <v>94.4</v>
      </c>
      <c r="H66">
        <v>857.25</v>
      </c>
      <c r="I66" t="s">
        <v>16</v>
      </c>
      <c r="J66" t="s">
        <v>15</v>
      </c>
      <c r="K66" t="s">
        <v>17</v>
      </c>
      <c r="L66">
        <v>857.25</v>
      </c>
      <c r="M66" t="s">
        <v>5030</v>
      </c>
      <c r="N66" t="s">
        <v>5031</v>
      </c>
    </row>
    <row r="67" spans="1:14" x14ac:dyDescent="0.3">
      <c r="A67" t="s">
        <v>90</v>
      </c>
      <c r="B67" t="s">
        <v>12</v>
      </c>
      <c r="C67" t="s">
        <v>13</v>
      </c>
      <c r="D67">
        <v>3</v>
      </c>
      <c r="E67" t="s">
        <v>14</v>
      </c>
      <c r="F67" t="s">
        <v>16</v>
      </c>
      <c r="G67">
        <v>75.3</v>
      </c>
      <c r="H67">
        <v>244.1</v>
      </c>
      <c r="I67" t="s">
        <v>15</v>
      </c>
      <c r="J67" t="s">
        <v>16</v>
      </c>
      <c r="K67" t="s">
        <v>17</v>
      </c>
      <c r="L67">
        <v>244.1</v>
      </c>
      <c r="M67" t="s">
        <v>5030</v>
      </c>
      <c r="N67" t="s">
        <v>5031</v>
      </c>
    </row>
    <row r="68" spans="1:14" x14ac:dyDescent="0.3">
      <c r="A68" t="s">
        <v>91</v>
      </c>
      <c r="B68" t="s">
        <v>19</v>
      </c>
      <c r="C68" t="s">
        <v>20</v>
      </c>
      <c r="D68">
        <v>47</v>
      </c>
      <c r="E68" t="s">
        <v>26</v>
      </c>
      <c r="F68" t="s">
        <v>15</v>
      </c>
      <c r="G68">
        <v>78.900000000000006</v>
      </c>
      <c r="H68">
        <v>3650.35</v>
      </c>
      <c r="I68" t="s">
        <v>15</v>
      </c>
      <c r="J68" t="s">
        <v>16</v>
      </c>
      <c r="K68" t="s">
        <v>17</v>
      </c>
      <c r="L68">
        <v>3650.35</v>
      </c>
      <c r="M68" t="s">
        <v>5033</v>
      </c>
      <c r="N68" t="s">
        <v>5034</v>
      </c>
    </row>
    <row r="69" spans="1:14" x14ac:dyDescent="0.3">
      <c r="A69" t="s">
        <v>92</v>
      </c>
      <c r="B69" t="s">
        <v>12</v>
      </c>
      <c r="C69" t="s">
        <v>35</v>
      </c>
      <c r="D69">
        <v>31</v>
      </c>
      <c r="E69" t="s">
        <v>14</v>
      </c>
      <c r="F69" t="s">
        <v>16</v>
      </c>
      <c r="G69">
        <v>79.2</v>
      </c>
      <c r="H69">
        <v>2497.1999999999998</v>
      </c>
      <c r="I69" t="s">
        <v>15</v>
      </c>
      <c r="J69" t="s">
        <v>15</v>
      </c>
      <c r="K69" t="s">
        <v>21</v>
      </c>
      <c r="L69">
        <v>2497.1999999999998</v>
      </c>
      <c r="M69" t="s">
        <v>5032</v>
      </c>
      <c r="N69" t="s">
        <v>5031</v>
      </c>
    </row>
    <row r="70" spans="1:14" x14ac:dyDescent="0.3">
      <c r="A70" t="s">
        <v>93</v>
      </c>
      <c r="B70" t="s">
        <v>12</v>
      </c>
      <c r="C70" t="s">
        <v>35</v>
      </c>
      <c r="D70">
        <v>50</v>
      </c>
      <c r="E70" t="s">
        <v>15</v>
      </c>
      <c r="F70" t="s">
        <v>36</v>
      </c>
      <c r="G70">
        <v>20.149999999999999</v>
      </c>
      <c r="H70">
        <v>930.9</v>
      </c>
      <c r="I70" t="s">
        <v>15</v>
      </c>
      <c r="J70" t="s">
        <v>15</v>
      </c>
      <c r="K70" t="s">
        <v>24</v>
      </c>
      <c r="L70">
        <v>930.9</v>
      </c>
      <c r="M70" t="s">
        <v>5033</v>
      </c>
      <c r="N70" t="s">
        <v>5031</v>
      </c>
    </row>
    <row r="71" spans="1:14" x14ac:dyDescent="0.3">
      <c r="A71" t="s">
        <v>94</v>
      </c>
      <c r="B71" t="s">
        <v>19</v>
      </c>
      <c r="C71" t="s">
        <v>13</v>
      </c>
      <c r="D71">
        <v>10</v>
      </c>
      <c r="E71" t="s">
        <v>26</v>
      </c>
      <c r="F71" t="s">
        <v>15</v>
      </c>
      <c r="G71">
        <v>79.849999999999994</v>
      </c>
      <c r="H71">
        <v>887.35</v>
      </c>
      <c r="I71" t="s">
        <v>15</v>
      </c>
      <c r="J71" t="s">
        <v>16</v>
      </c>
      <c r="K71" t="s">
        <v>21</v>
      </c>
      <c r="L71">
        <v>887.35</v>
      </c>
      <c r="M71" t="s">
        <v>5030</v>
      </c>
      <c r="N71" t="s">
        <v>5031</v>
      </c>
    </row>
    <row r="72" spans="1:14" x14ac:dyDescent="0.3">
      <c r="A72" t="s">
        <v>95</v>
      </c>
      <c r="B72" t="s">
        <v>19</v>
      </c>
      <c r="C72" t="s">
        <v>13</v>
      </c>
      <c r="D72">
        <v>1</v>
      </c>
      <c r="E72" t="s">
        <v>14</v>
      </c>
      <c r="F72" t="s">
        <v>16</v>
      </c>
      <c r="G72">
        <v>49.05</v>
      </c>
      <c r="H72">
        <v>49.05</v>
      </c>
      <c r="I72" t="s">
        <v>15</v>
      </c>
      <c r="J72" t="s">
        <v>15</v>
      </c>
      <c r="K72" t="s">
        <v>21</v>
      </c>
      <c r="L72">
        <v>49.05</v>
      </c>
      <c r="M72" t="s">
        <v>5030</v>
      </c>
      <c r="N72" t="s">
        <v>5031</v>
      </c>
    </row>
    <row r="73" spans="1:14" x14ac:dyDescent="0.3">
      <c r="A73" t="s">
        <v>96</v>
      </c>
      <c r="B73" t="s">
        <v>12</v>
      </c>
      <c r="C73" t="s">
        <v>20</v>
      </c>
      <c r="D73">
        <v>52</v>
      </c>
      <c r="E73" t="s">
        <v>15</v>
      </c>
      <c r="F73" t="s">
        <v>36</v>
      </c>
      <c r="G73">
        <v>20.399999999999999</v>
      </c>
      <c r="H73">
        <v>1090.6500000000001</v>
      </c>
      <c r="I73" t="s">
        <v>15</v>
      </c>
      <c r="J73" t="s">
        <v>16</v>
      </c>
      <c r="K73" t="s">
        <v>17</v>
      </c>
      <c r="L73">
        <v>1090.6500000000001</v>
      </c>
      <c r="M73" t="s">
        <v>5033</v>
      </c>
      <c r="N73" t="s">
        <v>5031</v>
      </c>
    </row>
    <row r="74" spans="1:14" x14ac:dyDescent="0.3">
      <c r="A74" t="s">
        <v>97</v>
      </c>
      <c r="B74" t="s">
        <v>19</v>
      </c>
      <c r="C74" t="s">
        <v>35</v>
      </c>
      <c r="D74">
        <v>64</v>
      </c>
      <c r="E74" t="s">
        <v>26</v>
      </c>
      <c r="F74" t="s">
        <v>16</v>
      </c>
      <c r="G74">
        <v>111.6</v>
      </c>
      <c r="H74">
        <v>7099</v>
      </c>
      <c r="I74" t="s">
        <v>15</v>
      </c>
      <c r="J74" t="s">
        <v>16</v>
      </c>
      <c r="K74" t="s">
        <v>24</v>
      </c>
      <c r="L74">
        <v>7099</v>
      </c>
      <c r="M74" t="s">
        <v>5033</v>
      </c>
      <c r="N74" t="s">
        <v>5034</v>
      </c>
    </row>
    <row r="75" spans="1:14" x14ac:dyDescent="0.3">
      <c r="A75" t="s">
        <v>98</v>
      </c>
      <c r="B75" t="s">
        <v>19</v>
      </c>
      <c r="C75" t="s">
        <v>35</v>
      </c>
      <c r="D75">
        <v>62</v>
      </c>
      <c r="E75" t="s">
        <v>15</v>
      </c>
      <c r="F75" t="s">
        <v>36</v>
      </c>
      <c r="G75">
        <v>24.25</v>
      </c>
      <c r="H75">
        <v>1424.6</v>
      </c>
      <c r="I75" t="s">
        <v>15</v>
      </c>
      <c r="J75" t="s">
        <v>16</v>
      </c>
      <c r="K75" t="s">
        <v>24</v>
      </c>
      <c r="L75">
        <v>1424.6</v>
      </c>
      <c r="M75" t="s">
        <v>5033</v>
      </c>
      <c r="N75" t="s">
        <v>5031</v>
      </c>
    </row>
    <row r="76" spans="1:14" x14ac:dyDescent="0.3">
      <c r="A76" t="s">
        <v>99</v>
      </c>
      <c r="B76" t="s">
        <v>12</v>
      </c>
      <c r="C76" t="s">
        <v>13</v>
      </c>
      <c r="D76">
        <v>3</v>
      </c>
      <c r="E76" t="s">
        <v>14</v>
      </c>
      <c r="F76" t="s">
        <v>16</v>
      </c>
      <c r="G76">
        <v>64.5</v>
      </c>
      <c r="H76">
        <v>177.4</v>
      </c>
      <c r="I76" t="s">
        <v>15</v>
      </c>
      <c r="J76" t="s">
        <v>16</v>
      </c>
      <c r="K76" t="s">
        <v>24</v>
      </c>
      <c r="L76">
        <v>177.4</v>
      </c>
      <c r="M76" t="s">
        <v>5030</v>
      </c>
      <c r="N76" t="s">
        <v>5031</v>
      </c>
    </row>
    <row r="77" spans="1:14" x14ac:dyDescent="0.3">
      <c r="A77" t="s">
        <v>100</v>
      </c>
      <c r="B77" t="s">
        <v>12</v>
      </c>
      <c r="C77" t="s">
        <v>20</v>
      </c>
      <c r="D77">
        <v>56</v>
      </c>
      <c r="E77" t="s">
        <v>26</v>
      </c>
      <c r="F77" t="s">
        <v>15</v>
      </c>
      <c r="G77">
        <v>110.5</v>
      </c>
      <c r="H77">
        <v>6139.5</v>
      </c>
      <c r="I77" t="s">
        <v>15</v>
      </c>
      <c r="J77" t="s">
        <v>15</v>
      </c>
      <c r="K77" t="s">
        <v>17</v>
      </c>
      <c r="L77">
        <v>6139.5</v>
      </c>
      <c r="M77" t="s">
        <v>5033</v>
      </c>
      <c r="N77" t="s">
        <v>5034</v>
      </c>
    </row>
    <row r="78" spans="1:14" x14ac:dyDescent="0.3">
      <c r="A78" t="s">
        <v>101</v>
      </c>
      <c r="B78" t="s">
        <v>12</v>
      </c>
      <c r="C78" t="s">
        <v>20</v>
      </c>
      <c r="D78">
        <v>46</v>
      </c>
      <c r="E78" t="s">
        <v>14</v>
      </c>
      <c r="F78" t="s">
        <v>15</v>
      </c>
      <c r="G78">
        <v>55.65</v>
      </c>
      <c r="H78">
        <v>2688.85</v>
      </c>
      <c r="I78" t="s">
        <v>15</v>
      </c>
      <c r="J78" t="s">
        <v>15</v>
      </c>
      <c r="K78" t="s">
        <v>29</v>
      </c>
      <c r="L78">
        <v>2688.85</v>
      </c>
      <c r="M78" t="s">
        <v>5033</v>
      </c>
      <c r="N78" t="s">
        <v>5034</v>
      </c>
    </row>
    <row r="79" spans="1:14" x14ac:dyDescent="0.3">
      <c r="A79" t="s">
        <v>102</v>
      </c>
      <c r="B79" t="s">
        <v>12</v>
      </c>
      <c r="C79" t="s">
        <v>13</v>
      </c>
      <c r="D79">
        <v>8</v>
      </c>
      <c r="E79" t="s">
        <v>14</v>
      </c>
      <c r="F79" t="s">
        <v>15</v>
      </c>
      <c r="G79">
        <v>54.65</v>
      </c>
      <c r="H79">
        <v>482.25</v>
      </c>
      <c r="I79" t="s">
        <v>15</v>
      </c>
      <c r="J79" t="s">
        <v>15</v>
      </c>
      <c r="K79" t="s">
        <v>21</v>
      </c>
      <c r="L79">
        <v>482.25</v>
      </c>
      <c r="M79" t="s">
        <v>5030</v>
      </c>
      <c r="N79" t="s">
        <v>5031</v>
      </c>
    </row>
    <row r="80" spans="1:14" x14ac:dyDescent="0.3">
      <c r="A80" t="s">
        <v>103</v>
      </c>
      <c r="B80" t="s">
        <v>19</v>
      </c>
      <c r="C80" t="s">
        <v>13</v>
      </c>
      <c r="D80">
        <v>30</v>
      </c>
      <c r="E80" t="s">
        <v>14</v>
      </c>
      <c r="F80" t="s">
        <v>15</v>
      </c>
      <c r="G80">
        <v>74.75</v>
      </c>
      <c r="H80">
        <v>2111.3000000000002</v>
      </c>
      <c r="I80" t="s">
        <v>15</v>
      </c>
      <c r="J80" t="s">
        <v>16</v>
      </c>
      <c r="K80" t="s">
        <v>17</v>
      </c>
      <c r="L80">
        <v>2111.3000000000002</v>
      </c>
      <c r="M80" t="s">
        <v>5032</v>
      </c>
      <c r="N80" t="s">
        <v>5031</v>
      </c>
    </row>
    <row r="81" spans="1:14" x14ac:dyDescent="0.3">
      <c r="A81" t="s">
        <v>104</v>
      </c>
      <c r="B81" t="s">
        <v>12</v>
      </c>
      <c r="C81" t="s">
        <v>20</v>
      </c>
      <c r="D81">
        <v>45</v>
      </c>
      <c r="E81" t="s">
        <v>15</v>
      </c>
      <c r="F81" t="s">
        <v>36</v>
      </c>
      <c r="G81">
        <v>25.9</v>
      </c>
      <c r="H81">
        <v>1216.5999999999999</v>
      </c>
      <c r="I81" t="s">
        <v>15</v>
      </c>
      <c r="J81" t="s">
        <v>16</v>
      </c>
      <c r="K81" t="s">
        <v>29</v>
      </c>
      <c r="L81">
        <v>1216.5999999999999</v>
      </c>
      <c r="M81" t="s">
        <v>5033</v>
      </c>
      <c r="N81" t="s">
        <v>5031</v>
      </c>
    </row>
    <row r="82" spans="1:14" x14ac:dyDescent="0.3">
      <c r="A82" t="s">
        <v>105</v>
      </c>
      <c r="B82" t="s">
        <v>12</v>
      </c>
      <c r="C82" t="s">
        <v>13</v>
      </c>
      <c r="D82">
        <v>1</v>
      </c>
      <c r="E82" t="s">
        <v>26</v>
      </c>
      <c r="F82" t="s">
        <v>15</v>
      </c>
      <c r="G82">
        <v>79.349999999999994</v>
      </c>
      <c r="H82">
        <v>79.349999999999994</v>
      </c>
      <c r="I82" t="s">
        <v>16</v>
      </c>
      <c r="J82" t="s">
        <v>16</v>
      </c>
      <c r="K82" t="s">
        <v>17</v>
      </c>
      <c r="L82">
        <v>79.349999999999994</v>
      </c>
      <c r="M82" t="s">
        <v>5030</v>
      </c>
      <c r="N82" t="s">
        <v>5031</v>
      </c>
    </row>
    <row r="83" spans="1:14" x14ac:dyDescent="0.3">
      <c r="A83" t="s">
        <v>106</v>
      </c>
      <c r="B83" t="s">
        <v>12</v>
      </c>
      <c r="C83" t="s">
        <v>13</v>
      </c>
      <c r="D83">
        <v>11</v>
      </c>
      <c r="E83" t="s">
        <v>14</v>
      </c>
      <c r="F83" t="s">
        <v>15</v>
      </c>
      <c r="G83">
        <v>50.55</v>
      </c>
      <c r="H83">
        <v>565.35</v>
      </c>
      <c r="I83" t="s">
        <v>15</v>
      </c>
      <c r="J83" t="s">
        <v>15</v>
      </c>
      <c r="K83" t="s">
        <v>17</v>
      </c>
      <c r="L83">
        <v>565.35</v>
      </c>
      <c r="M83" t="s">
        <v>5030</v>
      </c>
      <c r="N83" t="s">
        <v>5031</v>
      </c>
    </row>
    <row r="84" spans="1:14" x14ac:dyDescent="0.3">
      <c r="A84" t="s">
        <v>107</v>
      </c>
      <c r="B84" t="s">
        <v>12</v>
      </c>
      <c r="C84" t="s">
        <v>13</v>
      </c>
      <c r="D84">
        <v>7</v>
      </c>
      <c r="E84" t="s">
        <v>26</v>
      </c>
      <c r="F84" t="s">
        <v>15</v>
      </c>
      <c r="G84">
        <v>75.150000000000006</v>
      </c>
      <c r="H84">
        <v>496.9</v>
      </c>
      <c r="I84" t="s">
        <v>16</v>
      </c>
      <c r="J84" t="s">
        <v>16</v>
      </c>
      <c r="K84" t="s">
        <v>24</v>
      </c>
      <c r="L84">
        <v>496.9</v>
      </c>
      <c r="M84" t="s">
        <v>5030</v>
      </c>
      <c r="N84" t="s">
        <v>5031</v>
      </c>
    </row>
    <row r="85" spans="1:14" x14ac:dyDescent="0.3">
      <c r="A85" t="s">
        <v>108</v>
      </c>
      <c r="B85" t="s">
        <v>12</v>
      </c>
      <c r="C85" t="s">
        <v>13</v>
      </c>
      <c r="D85">
        <v>42</v>
      </c>
      <c r="E85" t="s">
        <v>26</v>
      </c>
      <c r="F85" t="s">
        <v>16</v>
      </c>
      <c r="G85">
        <v>103.8</v>
      </c>
      <c r="H85">
        <v>4327.5</v>
      </c>
      <c r="I85" t="s">
        <v>15</v>
      </c>
      <c r="J85" t="s">
        <v>16</v>
      </c>
      <c r="K85" t="s">
        <v>24</v>
      </c>
      <c r="L85">
        <v>4327.5</v>
      </c>
      <c r="M85" t="s">
        <v>5033</v>
      </c>
      <c r="N85" t="s">
        <v>5034</v>
      </c>
    </row>
    <row r="86" spans="1:14" x14ac:dyDescent="0.3">
      <c r="A86" t="s">
        <v>109</v>
      </c>
      <c r="B86" t="s">
        <v>12</v>
      </c>
      <c r="C86" t="s">
        <v>35</v>
      </c>
      <c r="D86">
        <v>49</v>
      </c>
      <c r="E86" t="s">
        <v>15</v>
      </c>
      <c r="F86" t="s">
        <v>36</v>
      </c>
      <c r="G86">
        <v>20.149999999999999</v>
      </c>
      <c r="H86">
        <v>973.35</v>
      </c>
      <c r="I86" t="s">
        <v>15</v>
      </c>
      <c r="J86" t="s">
        <v>16</v>
      </c>
      <c r="K86" t="s">
        <v>24</v>
      </c>
      <c r="L86">
        <v>973.35</v>
      </c>
      <c r="M86" t="s">
        <v>5033</v>
      </c>
      <c r="N86" t="s">
        <v>5031</v>
      </c>
    </row>
    <row r="87" spans="1:14" x14ac:dyDescent="0.3">
      <c r="A87" t="s">
        <v>110</v>
      </c>
      <c r="B87" t="s">
        <v>19</v>
      </c>
      <c r="C87" t="s">
        <v>13</v>
      </c>
      <c r="D87">
        <v>9</v>
      </c>
      <c r="E87" t="s">
        <v>26</v>
      </c>
      <c r="F87" t="s">
        <v>15</v>
      </c>
      <c r="G87">
        <v>99.3</v>
      </c>
      <c r="H87">
        <v>918.75</v>
      </c>
      <c r="I87" t="s">
        <v>15</v>
      </c>
      <c r="J87" t="s">
        <v>16</v>
      </c>
      <c r="K87" t="s">
        <v>29</v>
      </c>
      <c r="L87">
        <v>918.75</v>
      </c>
      <c r="M87" t="s">
        <v>5030</v>
      </c>
      <c r="N87" t="s">
        <v>5031</v>
      </c>
    </row>
    <row r="88" spans="1:14" x14ac:dyDescent="0.3">
      <c r="A88" t="s">
        <v>111</v>
      </c>
      <c r="B88" t="s">
        <v>12</v>
      </c>
      <c r="C88" t="s">
        <v>20</v>
      </c>
      <c r="D88">
        <v>35</v>
      </c>
      <c r="E88" t="s">
        <v>14</v>
      </c>
      <c r="F88" t="s">
        <v>15</v>
      </c>
      <c r="G88">
        <v>62.15</v>
      </c>
      <c r="H88">
        <v>2215.4499999999998</v>
      </c>
      <c r="I88" t="s">
        <v>15</v>
      </c>
      <c r="J88" t="s">
        <v>16</v>
      </c>
      <c r="K88" t="s">
        <v>24</v>
      </c>
      <c r="L88">
        <v>2215.4499999999998</v>
      </c>
      <c r="M88" t="s">
        <v>5032</v>
      </c>
      <c r="N88" t="s">
        <v>5031</v>
      </c>
    </row>
    <row r="89" spans="1:14" x14ac:dyDescent="0.3">
      <c r="A89" t="s">
        <v>112</v>
      </c>
      <c r="B89" t="s">
        <v>12</v>
      </c>
      <c r="C89" t="s">
        <v>35</v>
      </c>
      <c r="D89">
        <v>48</v>
      </c>
      <c r="E89" t="s">
        <v>15</v>
      </c>
      <c r="F89" t="s">
        <v>36</v>
      </c>
      <c r="G89">
        <v>20.65</v>
      </c>
      <c r="H89">
        <v>1057</v>
      </c>
      <c r="I89" t="s">
        <v>15</v>
      </c>
      <c r="J89" t="s">
        <v>15</v>
      </c>
      <c r="K89" t="s">
        <v>24</v>
      </c>
      <c r="L89">
        <v>1057</v>
      </c>
      <c r="M89" t="s">
        <v>5033</v>
      </c>
      <c r="N89" t="s">
        <v>5031</v>
      </c>
    </row>
    <row r="90" spans="1:14" x14ac:dyDescent="0.3">
      <c r="A90" t="s">
        <v>113</v>
      </c>
      <c r="B90" t="s">
        <v>12</v>
      </c>
      <c r="C90" t="s">
        <v>35</v>
      </c>
      <c r="D90">
        <v>46</v>
      </c>
      <c r="E90" t="s">
        <v>15</v>
      </c>
      <c r="F90" t="s">
        <v>36</v>
      </c>
      <c r="G90">
        <v>19.95</v>
      </c>
      <c r="H90">
        <v>927.1</v>
      </c>
      <c r="I90" t="s">
        <v>15</v>
      </c>
      <c r="J90" t="s">
        <v>16</v>
      </c>
      <c r="K90" t="s">
        <v>21</v>
      </c>
      <c r="L90">
        <v>927.1</v>
      </c>
      <c r="M90" t="s">
        <v>5033</v>
      </c>
      <c r="N90" t="s">
        <v>5031</v>
      </c>
    </row>
    <row r="91" spans="1:14" x14ac:dyDescent="0.3">
      <c r="A91" t="s">
        <v>114</v>
      </c>
      <c r="B91" t="s">
        <v>19</v>
      </c>
      <c r="C91" t="s">
        <v>13</v>
      </c>
      <c r="D91">
        <v>29</v>
      </c>
      <c r="E91" t="s">
        <v>14</v>
      </c>
      <c r="F91" t="s">
        <v>15</v>
      </c>
      <c r="G91">
        <v>33.75</v>
      </c>
      <c r="H91">
        <v>1009.25</v>
      </c>
      <c r="I91" t="s">
        <v>15</v>
      </c>
      <c r="J91" t="s">
        <v>15</v>
      </c>
      <c r="K91" t="s">
        <v>21</v>
      </c>
      <c r="L91">
        <v>1009.25</v>
      </c>
      <c r="M91" t="s">
        <v>5032</v>
      </c>
      <c r="N91" t="s">
        <v>5031</v>
      </c>
    </row>
    <row r="92" spans="1:14" x14ac:dyDescent="0.3">
      <c r="A92" t="s">
        <v>115</v>
      </c>
      <c r="B92" t="s">
        <v>19</v>
      </c>
      <c r="C92" t="s">
        <v>13</v>
      </c>
      <c r="D92">
        <v>30</v>
      </c>
      <c r="E92" t="s">
        <v>26</v>
      </c>
      <c r="F92" t="s">
        <v>15</v>
      </c>
      <c r="G92">
        <v>82.05</v>
      </c>
      <c r="H92">
        <v>2570.1999999999998</v>
      </c>
      <c r="I92" t="s">
        <v>15</v>
      </c>
      <c r="J92" t="s">
        <v>15</v>
      </c>
      <c r="K92" t="s">
        <v>24</v>
      </c>
      <c r="L92">
        <v>2570.1999999999998</v>
      </c>
      <c r="M92" t="s">
        <v>5032</v>
      </c>
      <c r="N92" t="s">
        <v>5034</v>
      </c>
    </row>
    <row r="93" spans="1:14" x14ac:dyDescent="0.3">
      <c r="A93" t="s">
        <v>116</v>
      </c>
      <c r="B93" t="s">
        <v>19</v>
      </c>
      <c r="C93" t="s">
        <v>13</v>
      </c>
      <c r="D93">
        <v>1</v>
      </c>
      <c r="E93" t="s">
        <v>26</v>
      </c>
      <c r="F93" t="s">
        <v>16</v>
      </c>
      <c r="G93">
        <v>74.7</v>
      </c>
      <c r="H93">
        <v>74.7</v>
      </c>
      <c r="I93" t="s">
        <v>15</v>
      </c>
      <c r="J93" t="s">
        <v>15</v>
      </c>
      <c r="K93" t="s">
        <v>17</v>
      </c>
      <c r="L93">
        <v>74.7</v>
      </c>
      <c r="M93" t="s">
        <v>5030</v>
      </c>
      <c r="N93" t="s">
        <v>5031</v>
      </c>
    </row>
    <row r="94" spans="1:14" x14ac:dyDescent="0.3">
      <c r="A94" t="s">
        <v>117</v>
      </c>
      <c r="B94" t="s">
        <v>19</v>
      </c>
      <c r="C94" t="s">
        <v>35</v>
      </c>
      <c r="D94">
        <v>66</v>
      </c>
      <c r="E94" t="s">
        <v>14</v>
      </c>
      <c r="F94" t="s">
        <v>16</v>
      </c>
      <c r="G94">
        <v>84</v>
      </c>
      <c r="H94">
        <v>5714.25</v>
      </c>
      <c r="I94" t="s">
        <v>15</v>
      </c>
      <c r="J94" t="s">
        <v>16</v>
      </c>
      <c r="K94" t="s">
        <v>21</v>
      </c>
      <c r="L94">
        <v>5714.25</v>
      </c>
      <c r="M94" t="s">
        <v>5033</v>
      </c>
      <c r="N94" t="s">
        <v>5034</v>
      </c>
    </row>
    <row r="95" spans="1:14" x14ac:dyDescent="0.3">
      <c r="A95" t="s">
        <v>118</v>
      </c>
      <c r="B95" t="s">
        <v>12</v>
      </c>
      <c r="C95" t="s">
        <v>13</v>
      </c>
      <c r="D95">
        <v>65</v>
      </c>
      <c r="E95" t="s">
        <v>26</v>
      </c>
      <c r="F95" t="s">
        <v>15</v>
      </c>
      <c r="G95">
        <v>111.05</v>
      </c>
      <c r="H95">
        <v>7107</v>
      </c>
      <c r="I95" t="s">
        <v>15</v>
      </c>
      <c r="J95" t="s">
        <v>16</v>
      </c>
      <c r="K95" t="s">
        <v>29</v>
      </c>
      <c r="L95">
        <v>7107</v>
      </c>
      <c r="M95" t="s">
        <v>5033</v>
      </c>
      <c r="N95" t="s">
        <v>5034</v>
      </c>
    </row>
    <row r="96" spans="1:14" x14ac:dyDescent="0.3">
      <c r="A96" t="s">
        <v>119</v>
      </c>
      <c r="B96" t="s">
        <v>19</v>
      </c>
      <c r="C96" t="s">
        <v>35</v>
      </c>
      <c r="D96">
        <v>72</v>
      </c>
      <c r="E96" t="s">
        <v>26</v>
      </c>
      <c r="F96" t="s">
        <v>15</v>
      </c>
      <c r="G96">
        <v>100.9</v>
      </c>
      <c r="H96">
        <v>7459.05</v>
      </c>
      <c r="I96" t="s">
        <v>15</v>
      </c>
      <c r="J96" t="s">
        <v>16</v>
      </c>
      <c r="K96" t="s">
        <v>24</v>
      </c>
      <c r="L96">
        <v>7459.05</v>
      </c>
      <c r="M96" t="s">
        <v>5033</v>
      </c>
      <c r="N96" t="s">
        <v>5034</v>
      </c>
    </row>
    <row r="97" spans="1:14" x14ac:dyDescent="0.3">
      <c r="A97" t="s">
        <v>120</v>
      </c>
      <c r="B97" t="s">
        <v>12</v>
      </c>
      <c r="C97" t="s">
        <v>13</v>
      </c>
      <c r="D97">
        <v>12</v>
      </c>
      <c r="E97" t="s">
        <v>26</v>
      </c>
      <c r="F97" t="s">
        <v>15</v>
      </c>
      <c r="G97">
        <v>78.95</v>
      </c>
      <c r="H97">
        <v>927.35</v>
      </c>
      <c r="I97" t="s">
        <v>16</v>
      </c>
      <c r="J97" t="s">
        <v>16</v>
      </c>
      <c r="K97" t="s">
        <v>17</v>
      </c>
      <c r="L97">
        <v>927.35</v>
      </c>
      <c r="M97" t="s">
        <v>5030</v>
      </c>
      <c r="N97" t="s">
        <v>5031</v>
      </c>
    </row>
    <row r="98" spans="1:14" x14ac:dyDescent="0.3">
      <c r="A98" t="s">
        <v>121</v>
      </c>
      <c r="B98" t="s">
        <v>19</v>
      </c>
      <c r="C98" t="s">
        <v>20</v>
      </c>
      <c r="D98">
        <v>71</v>
      </c>
      <c r="E98" t="s">
        <v>14</v>
      </c>
      <c r="F98" t="s">
        <v>16</v>
      </c>
      <c r="G98">
        <v>66.849999999999994</v>
      </c>
      <c r="H98">
        <v>4748.7</v>
      </c>
      <c r="I98" t="s">
        <v>15</v>
      </c>
      <c r="J98" t="s">
        <v>16</v>
      </c>
      <c r="K98" t="s">
        <v>29</v>
      </c>
      <c r="L98">
        <v>4748.7</v>
      </c>
      <c r="M98" t="s">
        <v>5033</v>
      </c>
      <c r="N98" t="s">
        <v>5034</v>
      </c>
    </row>
    <row r="99" spans="1:14" x14ac:dyDescent="0.3">
      <c r="A99" t="s">
        <v>122</v>
      </c>
      <c r="B99" t="s">
        <v>19</v>
      </c>
      <c r="C99" t="s">
        <v>13</v>
      </c>
      <c r="D99">
        <v>5</v>
      </c>
      <c r="E99" t="s">
        <v>15</v>
      </c>
      <c r="F99" t="s">
        <v>36</v>
      </c>
      <c r="G99">
        <v>21.05</v>
      </c>
      <c r="H99">
        <v>113.85</v>
      </c>
      <c r="I99" t="s">
        <v>16</v>
      </c>
      <c r="J99" t="s">
        <v>15</v>
      </c>
      <c r="K99" t="s">
        <v>21</v>
      </c>
      <c r="L99">
        <v>113.85</v>
      </c>
      <c r="M99" t="s">
        <v>5030</v>
      </c>
      <c r="N99" t="s">
        <v>5031</v>
      </c>
    </row>
    <row r="100" spans="1:14" x14ac:dyDescent="0.3">
      <c r="A100" t="s">
        <v>123</v>
      </c>
      <c r="B100" t="s">
        <v>19</v>
      </c>
      <c r="C100" t="s">
        <v>35</v>
      </c>
      <c r="D100">
        <v>52</v>
      </c>
      <c r="E100" t="s">
        <v>15</v>
      </c>
      <c r="F100" t="s">
        <v>36</v>
      </c>
      <c r="G100">
        <v>21</v>
      </c>
      <c r="H100">
        <v>1107.2</v>
      </c>
      <c r="I100" t="s">
        <v>15</v>
      </c>
      <c r="J100" t="s">
        <v>15</v>
      </c>
      <c r="K100" t="s">
        <v>24</v>
      </c>
      <c r="L100">
        <v>1107.2</v>
      </c>
      <c r="M100" t="s">
        <v>5033</v>
      </c>
      <c r="N100" t="s">
        <v>5031</v>
      </c>
    </row>
    <row r="101" spans="1:14" x14ac:dyDescent="0.3">
      <c r="A101" t="s">
        <v>124</v>
      </c>
      <c r="B101" t="s">
        <v>12</v>
      </c>
      <c r="C101" t="s">
        <v>13</v>
      </c>
      <c r="D101">
        <v>25</v>
      </c>
      <c r="E101" t="s">
        <v>26</v>
      </c>
      <c r="F101" t="s">
        <v>15</v>
      </c>
      <c r="G101">
        <v>98.5</v>
      </c>
      <c r="H101">
        <v>2514.5</v>
      </c>
      <c r="I101" t="s">
        <v>16</v>
      </c>
      <c r="J101" t="s">
        <v>16</v>
      </c>
      <c r="K101" t="s">
        <v>17</v>
      </c>
      <c r="L101">
        <v>2514.5</v>
      </c>
      <c r="M101" t="s">
        <v>5032</v>
      </c>
      <c r="N101" t="s">
        <v>5034</v>
      </c>
    </row>
    <row r="102" spans="1:14" x14ac:dyDescent="0.3">
      <c r="A102" t="s">
        <v>125</v>
      </c>
      <c r="B102" t="s">
        <v>19</v>
      </c>
      <c r="C102" t="s">
        <v>13</v>
      </c>
      <c r="D102">
        <v>1</v>
      </c>
      <c r="E102" t="s">
        <v>15</v>
      </c>
      <c r="F102" t="s">
        <v>36</v>
      </c>
      <c r="G102">
        <v>20.2</v>
      </c>
      <c r="H102">
        <v>20.2</v>
      </c>
      <c r="I102" t="s">
        <v>15</v>
      </c>
      <c r="J102" t="s">
        <v>15</v>
      </c>
      <c r="K102" t="s">
        <v>21</v>
      </c>
      <c r="L102">
        <v>20.2</v>
      </c>
      <c r="M102" t="s">
        <v>5030</v>
      </c>
      <c r="N102" t="s">
        <v>5031</v>
      </c>
    </row>
    <row r="103" spans="1:14" x14ac:dyDescent="0.3">
      <c r="A103" t="s">
        <v>126</v>
      </c>
      <c r="B103" t="s">
        <v>12</v>
      </c>
      <c r="C103" t="s">
        <v>13</v>
      </c>
      <c r="D103">
        <v>1</v>
      </c>
      <c r="E103" t="s">
        <v>15</v>
      </c>
      <c r="F103" t="s">
        <v>36</v>
      </c>
      <c r="G103">
        <v>19.45</v>
      </c>
      <c r="H103">
        <v>19.45</v>
      </c>
      <c r="I103" t="s">
        <v>15</v>
      </c>
      <c r="J103" t="s">
        <v>15</v>
      </c>
      <c r="K103" t="s">
        <v>17</v>
      </c>
      <c r="L103">
        <v>19.45</v>
      </c>
      <c r="M103" t="s">
        <v>5030</v>
      </c>
      <c r="N103" t="s">
        <v>5031</v>
      </c>
    </row>
    <row r="104" spans="1:14" x14ac:dyDescent="0.3">
      <c r="A104" t="s">
        <v>127</v>
      </c>
      <c r="B104" t="s">
        <v>19</v>
      </c>
      <c r="C104" t="s">
        <v>20</v>
      </c>
      <c r="D104">
        <v>38</v>
      </c>
      <c r="E104" t="s">
        <v>26</v>
      </c>
      <c r="F104" t="s">
        <v>16</v>
      </c>
      <c r="G104">
        <v>95</v>
      </c>
      <c r="H104">
        <v>3605.6</v>
      </c>
      <c r="I104" t="s">
        <v>15</v>
      </c>
      <c r="J104" t="s">
        <v>15</v>
      </c>
      <c r="K104" t="s">
        <v>24</v>
      </c>
      <c r="L104">
        <v>3605.6</v>
      </c>
      <c r="M104" t="s">
        <v>5033</v>
      </c>
      <c r="N104" t="s">
        <v>5034</v>
      </c>
    </row>
    <row r="105" spans="1:14" x14ac:dyDescent="0.3">
      <c r="A105" t="s">
        <v>128</v>
      </c>
      <c r="B105" t="s">
        <v>12</v>
      </c>
      <c r="C105" t="s">
        <v>20</v>
      </c>
      <c r="D105">
        <v>66</v>
      </c>
      <c r="E105" t="s">
        <v>14</v>
      </c>
      <c r="F105" t="s">
        <v>15</v>
      </c>
      <c r="G105">
        <v>45.55</v>
      </c>
      <c r="H105">
        <v>3027.25</v>
      </c>
      <c r="I105" t="s">
        <v>15</v>
      </c>
      <c r="J105" t="s">
        <v>15</v>
      </c>
      <c r="K105" t="s">
        <v>24</v>
      </c>
      <c r="L105">
        <v>3027.25</v>
      </c>
      <c r="M105" t="s">
        <v>5033</v>
      </c>
      <c r="N105" t="s">
        <v>5034</v>
      </c>
    </row>
    <row r="106" spans="1:14" x14ac:dyDescent="0.3">
      <c r="A106" t="s">
        <v>129</v>
      </c>
      <c r="B106" t="s">
        <v>19</v>
      </c>
      <c r="C106" t="s">
        <v>35</v>
      </c>
      <c r="D106">
        <v>68</v>
      </c>
      <c r="E106" t="s">
        <v>26</v>
      </c>
      <c r="F106" t="s">
        <v>16</v>
      </c>
      <c r="G106">
        <v>110</v>
      </c>
      <c r="H106">
        <v>7611.85</v>
      </c>
      <c r="I106" t="s">
        <v>16</v>
      </c>
      <c r="J106" t="s">
        <v>16</v>
      </c>
      <c r="K106" t="s">
        <v>24</v>
      </c>
      <c r="L106">
        <v>7611.85</v>
      </c>
      <c r="M106" t="s">
        <v>5033</v>
      </c>
      <c r="N106" t="s">
        <v>5034</v>
      </c>
    </row>
    <row r="107" spans="1:14" x14ac:dyDescent="0.3">
      <c r="A107" t="s">
        <v>130</v>
      </c>
      <c r="B107" t="s">
        <v>19</v>
      </c>
      <c r="C107" t="s">
        <v>13</v>
      </c>
      <c r="D107">
        <v>5</v>
      </c>
      <c r="E107" t="s">
        <v>14</v>
      </c>
      <c r="F107" t="s">
        <v>15</v>
      </c>
      <c r="G107">
        <v>24.3</v>
      </c>
      <c r="H107">
        <v>100.2</v>
      </c>
      <c r="I107" t="s">
        <v>15</v>
      </c>
      <c r="J107" t="s">
        <v>15</v>
      </c>
      <c r="K107" t="s">
        <v>21</v>
      </c>
      <c r="L107">
        <v>100.2</v>
      </c>
      <c r="M107" t="s">
        <v>5030</v>
      </c>
      <c r="N107" t="s">
        <v>5031</v>
      </c>
    </row>
    <row r="108" spans="1:14" x14ac:dyDescent="0.3">
      <c r="A108" t="s">
        <v>131</v>
      </c>
      <c r="B108" t="s">
        <v>12</v>
      </c>
      <c r="C108" t="s">
        <v>20</v>
      </c>
      <c r="D108">
        <v>72</v>
      </c>
      <c r="E108" t="s">
        <v>26</v>
      </c>
      <c r="F108" t="s">
        <v>15</v>
      </c>
      <c r="G108">
        <v>104.15</v>
      </c>
      <c r="H108">
        <v>7303.05</v>
      </c>
      <c r="I108" t="s">
        <v>15</v>
      </c>
      <c r="J108" t="s">
        <v>16</v>
      </c>
      <c r="K108" t="s">
        <v>17</v>
      </c>
      <c r="L108">
        <v>7303.05</v>
      </c>
      <c r="M108" t="s">
        <v>5033</v>
      </c>
      <c r="N108" t="s">
        <v>5034</v>
      </c>
    </row>
    <row r="109" spans="1:14" x14ac:dyDescent="0.3">
      <c r="A109" t="s">
        <v>132</v>
      </c>
      <c r="B109" t="s">
        <v>12</v>
      </c>
      <c r="C109" t="s">
        <v>20</v>
      </c>
      <c r="D109">
        <v>32</v>
      </c>
      <c r="E109" t="s">
        <v>14</v>
      </c>
      <c r="F109" t="s">
        <v>15</v>
      </c>
      <c r="G109">
        <v>30.15</v>
      </c>
      <c r="H109">
        <v>927.65</v>
      </c>
      <c r="I109" t="s">
        <v>15</v>
      </c>
      <c r="J109" t="s">
        <v>15</v>
      </c>
      <c r="K109" t="s">
        <v>21</v>
      </c>
      <c r="L109">
        <v>927.65</v>
      </c>
      <c r="M109" t="s">
        <v>5032</v>
      </c>
      <c r="N109" t="s">
        <v>5031</v>
      </c>
    </row>
    <row r="110" spans="1:14" x14ac:dyDescent="0.3">
      <c r="A110" t="s">
        <v>133</v>
      </c>
      <c r="B110" t="s">
        <v>19</v>
      </c>
      <c r="C110" t="s">
        <v>20</v>
      </c>
      <c r="D110">
        <v>43</v>
      </c>
      <c r="E110" t="s">
        <v>26</v>
      </c>
      <c r="F110" t="s">
        <v>15</v>
      </c>
      <c r="G110">
        <v>94.35</v>
      </c>
      <c r="H110">
        <v>3921.3</v>
      </c>
      <c r="I110" t="s">
        <v>15</v>
      </c>
      <c r="J110" t="s">
        <v>15</v>
      </c>
      <c r="K110" t="s">
        <v>21</v>
      </c>
      <c r="L110">
        <v>3921.3</v>
      </c>
      <c r="M110" t="s">
        <v>5033</v>
      </c>
      <c r="N110" t="s">
        <v>5034</v>
      </c>
    </row>
    <row r="111" spans="1:14" x14ac:dyDescent="0.3">
      <c r="A111" t="s">
        <v>134</v>
      </c>
      <c r="B111" t="s">
        <v>19</v>
      </c>
      <c r="C111" t="s">
        <v>35</v>
      </c>
      <c r="D111">
        <v>72</v>
      </c>
      <c r="E111" t="s">
        <v>15</v>
      </c>
      <c r="F111" t="s">
        <v>36</v>
      </c>
      <c r="G111">
        <v>19.399999999999999</v>
      </c>
      <c r="H111">
        <v>1363.25</v>
      </c>
      <c r="I111" t="s">
        <v>15</v>
      </c>
      <c r="J111" t="s">
        <v>15</v>
      </c>
      <c r="K111" t="s">
        <v>29</v>
      </c>
      <c r="L111">
        <v>1363.25</v>
      </c>
      <c r="M111" t="s">
        <v>5033</v>
      </c>
      <c r="N111" t="s">
        <v>5031</v>
      </c>
    </row>
    <row r="112" spans="1:14" x14ac:dyDescent="0.3">
      <c r="A112" t="s">
        <v>135</v>
      </c>
      <c r="B112" t="s">
        <v>19</v>
      </c>
      <c r="C112" t="s">
        <v>13</v>
      </c>
      <c r="D112">
        <v>55</v>
      </c>
      <c r="E112" t="s">
        <v>26</v>
      </c>
      <c r="F112" t="s">
        <v>15</v>
      </c>
      <c r="G112">
        <v>96.75</v>
      </c>
      <c r="H112">
        <v>5238.8999999999996</v>
      </c>
      <c r="I112" t="s">
        <v>16</v>
      </c>
      <c r="J112" t="s">
        <v>16</v>
      </c>
      <c r="K112" t="s">
        <v>17</v>
      </c>
      <c r="L112">
        <v>5238.8999999999996</v>
      </c>
      <c r="M112" t="s">
        <v>5033</v>
      </c>
      <c r="N112" t="s">
        <v>5034</v>
      </c>
    </row>
    <row r="113" spans="1:14" x14ac:dyDescent="0.3">
      <c r="A113" t="s">
        <v>136</v>
      </c>
      <c r="B113" t="s">
        <v>12</v>
      </c>
      <c r="C113" t="s">
        <v>20</v>
      </c>
      <c r="D113">
        <v>52</v>
      </c>
      <c r="E113" t="s">
        <v>14</v>
      </c>
      <c r="F113" t="s">
        <v>16</v>
      </c>
      <c r="G113">
        <v>57.95</v>
      </c>
      <c r="H113">
        <v>3042.25</v>
      </c>
      <c r="I113" t="s">
        <v>15</v>
      </c>
      <c r="J113" t="s">
        <v>15</v>
      </c>
      <c r="K113" t="s">
        <v>29</v>
      </c>
      <c r="L113">
        <v>3042.25</v>
      </c>
      <c r="M113" t="s">
        <v>5033</v>
      </c>
      <c r="N113" t="s">
        <v>5034</v>
      </c>
    </row>
    <row r="114" spans="1:14" x14ac:dyDescent="0.3">
      <c r="A114" t="s">
        <v>137</v>
      </c>
      <c r="B114" t="s">
        <v>12</v>
      </c>
      <c r="C114" t="s">
        <v>13</v>
      </c>
      <c r="D114">
        <v>43</v>
      </c>
      <c r="E114" t="s">
        <v>26</v>
      </c>
      <c r="F114" t="s">
        <v>15</v>
      </c>
      <c r="G114">
        <v>91.65</v>
      </c>
      <c r="H114">
        <v>3954.1</v>
      </c>
      <c r="I114" t="s">
        <v>15</v>
      </c>
      <c r="J114" t="s">
        <v>16</v>
      </c>
      <c r="K114" t="s">
        <v>17</v>
      </c>
      <c r="L114">
        <v>3954.1</v>
      </c>
      <c r="M114" t="s">
        <v>5033</v>
      </c>
      <c r="N114" t="s">
        <v>5034</v>
      </c>
    </row>
    <row r="115" spans="1:14" x14ac:dyDescent="0.3">
      <c r="A115" t="s">
        <v>138</v>
      </c>
      <c r="B115" t="s">
        <v>12</v>
      </c>
      <c r="C115" t="s">
        <v>13</v>
      </c>
      <c r="D115">
        <v>37</v>
      </c>
      <c r="E115" t="s">
        <v>26</v>
      </c>
      <c r="F115" t="s">
        <v>15</v>
      </c>
      <c r="G115">
        <v>76.5</v>
      </c>
      <c r="H115">
        <v>2868.15</v>
      </c>
      <c r="I115" t="s">
        <v>16</v>
      </c>
      <c r="J115" t="s">
        <v>16</v>
      </c>
      <c r="K115" t="s">
        <v>17</v>
      </c>
      <c r="L115">
        <v>2868.15</v>
      </c>
      <c r="M115" t="s">
        <v>5033</v>
      </c>
      <c r="N115" t="s">
        <v>5034</v>
      </c>
    </row>
    <row r="116" spans="1:14" x14ac:dyDescent="0.3">
      <c r="A116" t="s">
        <v>139</v>
      </c>
      <c r="B116" t="s">
        <v>12</v>
      </c>
      <c r="C116" t="s">
        <v>35</v>
      </c>
      <c r="D116">
        <v>64</v>
      </c>
      <c r="E116" t="s">
        <v>14</v>
      </c>
      <c r="F116" t="s">
        <v>16</v>
      </c>
      <c r="G116">
        <v>54.6</v>
      </c>
      <c r="H116">
        <v>3423.5</v>
      </c>
      <c r="I116" t="s">
        <v>15</v>
      </c>
      <c r="J116" t="s">
        <v>16</v>
      </c>
      <c r="K116" t="s">
        <v>17</v>
      </c>
      <c r="L116">
        <v>3423.5</v>
      </c>
      <c r="M116" t="s">
        <v>5033</v>
      </c>
      <c r="N116" t="s">
        <v>5034</v>
      </c>
    </row>
    <row r="117" spans="1:14" x14ac:dyDescent="0.3">
      <c r="A117" t="s">
        <v>140</v>
      </c>
      <c r="B117" t="s">
        <v>19</v>
      </c>
      <c r="C117" t="s">
        <v>13</v>
      </c>
      <c r="D117">
        <v>3</v>
      </c>
      <c r="E117" t="s">
        <v>26</v>
      </c>
      <c r="F117" t="s">
        <v>15</v>
      </c>
      <c r="G117">
        <v>89.85</v>
      </c>
      <c r="H117">
        <v>248.4</v>
      </c>
      <c r="I117" t="s">
        <v>15</v>
      </c>
      <c r="J117" t="s">
        <v>15</v>
      </c>
      <c r="K117" t="s">
        <v>17</v>
      </c>
      <c r="L117">
        <v>248.4</v>
      </c>
      <c r="M117" t="s">
        <v>5030</v>
      </c>
      <c r="N117" t="s">
        <v>5031</v>
      </c>
    </row>
    <row r="118" spans="1:14" x14ac:dyDescent="0.3">
      <c r="A118" t="s">
        <v>141</v>
      </c>
      <c r="B118" t="s">
        <v>12</v>
      </c>
      <c r="C118" t="s">
        <v>35</v>
      </c>
      <c r="D118">
        <v>36</v>
      </c>
      <c r="E118" t="s">
        <v>14</v>
      </c>
      <c r="F118" t="s">
        <v>15</v>
      </c>
      <c r="G118">
        <v>31.05</v>
      </c>
      <c r="H118">
        <v>1126.3499999999999</v>
      </c>
      <c r="I118" t="s">
        <v>15</v>
      </c>
      <c r="J118" t="s">
        <v>15</v>
      </c>
      <c r="K118" t="s">
        <v>24</v>
      </c>
      <c r="L118">
        <v>1126.3499999999999</v>
      </c>
      <c r="M118" t="s">
        <v>5032</v>
      </c>
      <c r="N118" t="s">
        <v>5031</v>
      </c>
    </row>
    <row r="119" spans="1:14" x14ac:dyDescent="0.3">
      <c r="A119" t="s">
        <v>142</v>
      </c>
      <c r="B119" t="s">
        <v>12</v>
      </c>
      <c r="C119" t="s">
        <v>13</v>
      </c>
      <c r="D119">
        <v>10</v>
      </c>
      <c r="E119" t="s">
        <v>26</v>
      </c>
      <c r="F119" t="s">
        <v>15</v>
      </c>
      <c r="G119">
        <v>100.25</v>
      </c>
      <c r="H119">
        <v>1064.6500000000001</v>
      </c>
      <c r="I119" t="s">
        <v>16</v>
      </c>
      <c r="J119" t="s">
        <v>16</v>
      </c>
      <c r="K119" t="s">
        <v>17</v>
      </c>
      <c r="L119">
        <v>1064.6500000000001</v>
      </c>
      <c r="M119" t="s">
        <v>5030</v>
      </c>
      <c r="N119" t="s">
        <v>5031</v>
      </c>
    </row>
    <row r="120" spans="1:14" x14ac:dyDescent="0.3">
      <c r="A120" t="s">
        <v>143</v>
      </c>
      <c r="B120" t="s">
        <v>12</v>
      </c>
      <c r="C120" t="s">
        <v>35</v>
      </c>
      <c r="D120">
        <v>41</v>
      </c>
      <c r="E120" t="s">
        <v>15</v>
      </c>
      <c r="F120" t="s">
        <v>36</v>
      </c>
      <c r="G120">
        <v>20.65</v>
      </c>
      <c r="H120">
        <v>835.15</v>
      </c>
      <c r="I120" t="s">
        <v>15</v>
      </c>
      <c r="J120" t="s">
        <v>15</v>
      </c>
      <c r="K120" t="s">
        <v>21</v>
      </c>
      <c r="L120">
        <v>835.15</v>
      </c>
      <c r="M120" t="s">
        <v>5033</v>
      </c>
      <c r="N120" t="s">
        <v>5031</v>
      </c>
    </row>
    <row r="121" spans="1:14" x14ac:dyDescent="0.3">
      <c r="A121" t="s">
        <v>144</v>
      </c>
      <c r="B121" t="s">
        <v>19</v>
      </c>
      <c r="C121" t="s">
        <v>13</v>
      </c>
      <c r="D121">
        <v>27</v>
      </c>
      <c r="E121" t="s">
        <v>26</v>
      </c>
      <c r="F121" t="s">
        <v>16</v>
      </c>
      <c r="G121">
        <v>85.2</v>
      </c>
      <c r="H121">
        <v>2151.6</v>
      </c>
      <c r="I121" t="s">
        <v>15</v>
      </c>
      <c r="J121" t="s">
        <v>16</v>
      </c>
      <c r="K121" t="s">
        <v>29</v>
      </c>
      <c r="L121">
        <v>2151.6</v>
      </c>
      <c r="M121" t="s">
        <v>5032</v>
      </c>
      <c r="N121" t="s">
        <v>5031</v>
      </c>
    </row>
    <row r="122" spans="1:14" x14ac:dyDescent="0.3">
      <c r="A122" t="s">
        <v>145</v>
      </c>
      <c r="B122" t="s">
        <v>12</v>
      </c>
      <c r="C122" t="s">
        <v>20</v>
      </c>
      <c r="D122">
        <v>56</v>
      </c>
      <c r="E122" t="s">
        <v>26</v>
      </c>
      <c r="F122" t="s">
        <v>15</v>
      </c>
      <c r="G122">
        <v>99.8</v>
      </c>
      <c r="H122">
        <v>5515.45</v>
      </c>
      <c r="I122" t="s">
        <v>15</v>
      </c>
      <c r="J122" t="s">
        <v>16</v>
      </c>
      <c r="K122" t="s">
        <v>29</v>
      </c>
      <c r="L122">
        <v>5515.45</v>
      </c>
      <c r="M122" t="s">
        <v>5033</v>
      </c>
      <c r="N122" t="s">
        <v>5034</v>
      </c>
    </row>
    <row r="123" spans="1:14" x14ac:dyDescent="0.3">
      <c r="A123" t="s">
        <v>146</v>
      </c>
      <c r="B123" t="s">
        <v>12</v>
      </c>
      <c r="C123" t="s">
        <v>13</v>
      </c>
      <c r="D123">
        <v>6</v>
      </c>
      <c r="E123" t="s">
        <v>15</v>
      </c>
      <c r="F123" t="s">
        <v>36</v>
      </c>
      <c r="G123">
        <v>20.7</v>
      </c>
      <c r="H123">
        <v>112.75</v>
      </c>
      <c r="I123" t="s">
        <v>15</v>
      </c>
      <c r="J123" t="s">
        <v>15</v>
      </c>
      <c r="K123" t="s">
        <v>21</v>
      </c>
      <c r="L123">
        <v>112.75</v>
      </c>
      <c r="M123" t="s">
        <v>5030</v>
      </c>
      <c r="N123" t="s">
        <v>5031</v>
      </c>
    </row>
    <row r="124" spans="1:14" x14ac:dyDescent="0.3">
      <c r="A124" t="s">
        <v>147</v>
      </c>
      <c r="B124" t="s">
        <v>19</v>
      </c>
      <c r="C124" t="s">
        <v>13</v>
      </c>
      <c r="D124">
        <v>3</v>
      </c>
      <c r="E124" t="s">
        <v>26</v>
      </c>
      <c r="F124" t="s">
        <v>15</v>
      </c>
      <c r="G124">
        <v>74.400000000000006</v>
      </c>
      <c r="H124">
        <v>229.55</v>
      </c>
      <c r="I124" t="s">
        <v>16</v>
      </c>
      <c r="J124" t="s">
        <v>16</v>
      </c>
      <c r="K124" t="s">
        <v>17</v>
      </c>
      <c r="L124">
        <v>229.55</v>
      </c>
      <c r="M124" t="s">
        <v>5030</v>
      </c>
      <c r="N124" t="s">
        <v>5031</v>
      </c>
    </row>
    <row r="125" spans="1:14" x14ac:dyDescent="0.3">
      <c r="A125" t="s">
        <v>148</v>
      </c>
      <c r="B125" t="s">
        <v>12</v>
      </c>
      <c r="C125" t="s">
        <v>13</v>
      </c>
      <c r="D125">
        <v>7</v>
      </c>
      <c r="E125" t="s">
        <v>14</v>
      </c>
      <c r="F125" t="s">
        <v>15</v>
      </c>
      <c r="G125">
        <v>50.7</v>
      </c>
      <c r="H125">
        <v>350.35</v>
      </c>
      <c r="I125" t="s">
        <v>15</v>
      </c>
      <c r="J125" t="s">
        <v>15</v>
      </c>
      <c r="K125" t="s">
        <v>21</v>
      </c>
      <c r="L125">
        <v>350.35</v>
      </c>
      <c r="M125" t="s">
        <v>5030</v>
      </c>
      <c r="N125" t="s">
        <v>5031</v>
      </c>
    </row>
    <row r="126" spans="1:14" x14ac:dyDescent="0.3">
      <c r="A126" t="s">
        <v>149</v>
      </c>
      <c r="B126" t="s">
        <v>12</v>
      </c>
      <c r="C126" t="s">
        <v>13</v>
      </c>
      <c r="D126">
        <v>4</v>
      </c>
      <c r="E126" t="s">
        <v>15</v>
      </c>
      <c r="F126" t="s">
        <v>36</v>
      </c>
      <c r="G126">
        <v>20.85</v>
      </c>
      <c r="H126">
        <v>62.9</v>
      </c>
      <c r="I126" t="s">
        <v>15</v>
      </c>
      <c r="J126" t="s">
        <v>15</v>
      </c>
      <c r="K126" t="s">
        <v>21</v>
      </c>
      <c r="L126">
        <v>62.9</v>
      </c>
      <c r="M126" t="s">
        <v>5030</v>
      </c>
      <c r="N126" t="s">
        <v>5031</v>
      </c>
    </row>
    <row r="127" spans="1:14" x14ac:dyDescent="0.3">
      <c r="A127" t="s">
        <v>150</v>
      </c>
      <c r="B127" t="s">
        <v>19</v>
      </c>
      <c r="C127" t="s">
        <v>35</v>
      </c>
      <c r="D127">
        <v>33</v>
      </c>
      <c r="E127" t="s">
        <v>26</v>
      </c>
      <c r="F127" t="s">
        <v>16</v>
      </c>
      <c r="G127">
        <v>88.95</v>
      </c>
      <c r="H127">
        <v>3027.65</v>
      </c>
      <c r="I127" t="s">
        <v>15</v>
      </c>
      <c r="J127" t="s">
        <v>16</v>
      </c>
      <c r="K127" t="s">
        <v>17</v>
      </c>
      <c r="L127">
        <v>3027.65</v>
      </c>
      <c r="M127" t="s">
        <v>5032</v>
      </c>
      <c r="N127" t="s">
        <v>5034</v>
      </c>
    </row>
    <row r="128" spans="1:14" x14ac:dyDescent="0.3">
      <c r="A128" t="s">
        <v>151</v>
      </c>
      <c r="B128" t="s">
        <v>12</v>
      </c>
      <c r="C128" t="s">
        <v>13</v>
      </c>
      <c r="D128">
        <v>27</v>
      </c>
      <c r="E128" t="s">
        <v>26</v>
      </c>
      <c r="F128" t="s">
        <v>15</v>
      </c>
      <c r="G128">
        <v>78.05</v>
      </c>
      <c r="H128">
        <v>2135.5</v>
      </c>
      <c r="I128" t="s">
        <v>16</v>
      </c>
      <c r="J128" t="s">
        <v>16</v>
      </c>
      <c r="K128" t="s">
        <v>17</v>
      </c>
      <c r="L128">
        <v>2135.5</v>
      </c>
      <c r="M128" t="s">
        <v>5032</v>
      </c>
      <c r="N128" t="s">
        <v>5031</v>
      </c>
    </row>
    <row r="129" spans="1:14" x14ac:dyDescent="0.3">
      <c r="A129" t="s">
        <v>152</v>
      </c>
      <c r="B129" t="s">
        <v>19</v>
      </c>
      <c r="C129" t="s">
        <v>35</v>
      </c>
      <c r="D129">
        <v>72</v>
      </c>
      <c r="E129" t="s">
        <v>15</v>
      </c>
      <c r="F129" t="s">
        <v>36</v>
      </c>
      <c r="G129">
        <v>23.55</v>
      </c>
      <c r="H129">
        <v>1723.95</v>
      </c>
      <c r="I129" t="s">
        <v>15</v>
      </c>
      <c r="J129" t="s">
        <v>16</v>
      </c>
      <c r="K129" t="s">
        <v>24</v>
      </c>
      <c r="L129">
        <v>1723.95</v>
      </c>
      <c r="M129" t="s">
        <v>5033</v>
      </c>
      <c r="N129" t="s">
        <v>5031</v>
      </c>
    </row>
    <row r="130" spans="1:14" x14ac:dyDescent="0.3">
      <c r="A130" t="s">
        <v>153</v>
      </c>
      <c r="B130" t="s">
        <v>19</v>
      </c>
      <c r="C130" t="s">
        <v>13</v>
      </c>
      <c r="D130">
        <v>1</v>
      </c>
      <c r="E130" t="s">
        <v>15</v>
      </c>
      <c r="F130" t="s">
        <v>36</v>
      </c>
      <c r="G130">
        <v>19.75</v>
      </c>
      <c r="H130">
        <v>19.75</v>
      </c>
      <c r="I130" t="s">
        <v>15</v>
      </c>
      <c r="J130" t="s">
        <v>15</v>
      </c>
      <c r="K130" t="s">
        <v>21</v>
      </c>
      <c r="L130">
        <v>19.75</v>
      </c>
      <c r="M130" t="s">
        <v>5030</v>
      </c>
      <c r="N130" t="s">
        <v>5031</v>
      </c>
    </row>
    <row r="131" spans="1:14" x14ac:dyDescent="0.3">
      <c r="A131" t="s">
        <v>154</v>
      </c>
      <c r="B131" t="s">
        <v>19</v>
      </c>
      <c r="C131" t="s">
        <v>20</v>
      </c>
      <c r="D131">
        <v>71</v>
      </c>
      <c r="E131" t="s">
        <v>14</v>
      </c>
      <c r="F131" t="s">
        <v>15</v>
      </c>
      <c r="G131">
        <v>56.45</v>
      </c>
      <c r="H131">
        <v>3985.35</v>
      </c>
      <c r="I131" t="s">
        <v>15</v>
      </c>
      <c r="J131" t="s">
        <v>16</v>
      </c>
      <c r="K131" t="s">
        <v>17</v>
      </c>
      <c r="L131">
        <v>3985.35</v>
      </c>
      <c r="M131" t="s">
        <v>5033</v>
      </c>
      <c r="N131" t="s">
        <v>5034</v>
      </c>
    </row>
    <row r="132" spans="1:14" x14ac:dyDescent="0.3">
      <c r="A132" t="s">
        <v>155</v>
      </c>
      <c r="B132" t="s">
        <v>12</v>
      </c>
      <c r="C132" t="s">
        <v>13</v>
      </c>
      <c r="D132">
        <v>13</v>
      </c>
      <c r="E132" t="s">
        <v>26</v>
      </c>
      <c r="F132" t="s">
        <v>15</v>
      </c>
      <c r="G132">
        <v>85.95</v>
      </c>
      <c r="H132">
        <v>1215.6500000000001</v>
      </c>
      <c r="I132" t="s">
        <v>15</v>
      </c>
      <c r="J132" t="s">
        <v>16</v>
      </c>
      <c r="K132" t="s">
        <v>17</v>
      </c>
      <c r="L132">
        <v>1215.6500000000001</v>
      </c>
      <c r="M132" t="s">
        <v>5032</v>
      </c>
      <c r="N132" t="s">
        <v>5031</v>
      </c>
    </row>
    <row r="133" spans="1:14" x14ac:dyDescent="0.3">
      <c r="A133" t="s">
        <v>156</v>
      </c>
      <c r="B133" t="s">
        <v>12</v>
      </c>
      <c r="C133" t="s">
        <v>13</v>
      </c>
      <c r="D133">
        <v>25</v>
      </c>
      <c r="E133" t="s">
        <v>14</v>
      </c>
      <c r="F133" t="s">
        <v>15</v>
      </c>
      <c r="G133">
        <v>58.6</v>
      </c>
      <c r="H133">
        <v>1502.65</v>
      </c>
      <c r="I133" t="s">
        <v>16</v>
      </c>
      <c r="J133" t="s">
        <v>16</v>
      </c>
      <c r="K133" t="s">
        <v>29</v>
      </c>
      <c r="L133">
        <v>1502.65</v>
      </c>
      <c r="M133" t="s">
        <v>5032</v>
      </c>
      <c r="N133" t="s">
        <v>5031</v>
      </c>
    </row>
    <row r="134" spans="1:14" x14ac:dyDescent="0.3">
      <c r="A134" t="s">
        <v>157</v>
      </c>
      <c r="B134" t="s">
        <v>19</v>
      </c>
      <c r="C134" t="s">
        <v>35</v>
      </c>
      <c r="D134">
        <v>67</v>
      </c>
      <c r="E134" t="s">
        <v>14</v>
      </c>
      <c r="F134" t="s">
        <v>16</v>
      </c>
      <c r="G134">
        <v>50.55</v>
      </c>
      <c r="H134">
        <v>3260.1</v>
      </c>
      <c r="I134" t="s">
        <v>15</v>
      </c>
      <c r="J134" t="s">
        <v>15</v>
      </c>
      <c r="K134" t="s">
        <v>24</v>
      </c>
      <c r="L134">
        <v>3260.1</v>
      </c>
      <c r="M134" t="s">
        <v>5033</v>
      </c>
      <c r="N134" t="s">
        <v>5034</v>
      </c>
    </row>
    <row r="135" spans="1:14" x14ac:dyDescent="0.3">
      <c r="A135" t="s">
        <v>158</v>
      </c>
      <c r="B135" t="s">
        <v>19</v>
      </c>
      <c r="C135" t="s">
        <v>13</v>
      </c>
      <c r="D135">
        <v>1</v>
      </c>
      <c r="E135" t="s">
        <v>14</v>
      </c>
      <c r="F135" t="s">
        <v>15</v>
      </c>
      <c r="G135">
        <v>35.450000000000003</v>
      </c>
      <c r="H135">
        <v>35.450000000000003</v>
      </c>
      <c r="I135" t="s">
        <v>16</v>
      </c>
      <c r="J135" t="s">
        <v>16</v>
      </c>
      <c r="K135" t="s">
        <v>17</v>
      </c>
      <c r="L135">
        <v>35.450000000000003</v>
      </c>
      <c r="M135" t="s">
        <v>5030</v>
      </c>
      <c r="N135" t="s">
        <v>5031</v>
      </c>
    </row>
    <row r="136" spans="1:14" x14ac:dyDescent="0.3">
      <c r="A136" t="s">
        <v>159</v>
      </c>
      <c r="B136" t="s">
        <v>19</v>
      </c>
      <c r="C136" t="s">
        <v>13</v>
      </c>
      <c r="D136">
        <v>2</v>
      </c>
      <c r="E136" t="s">
        <v>14</v>
      </c>
      <c r="F136" t="s">
        <v>15</v>
      </c>
      <c r="G136">
        <v>44.35</v>
      </c>
      <c r="H136">
        <v>81.25</v>
      </c>
      <c r="I136" t="s">
        <v>16</v>
      </c>
      <c r="J136" t="s">
        <v>15</v>
      </c>
      <c r="K136" t="s">
        <v>17</v>
      </c>
      <c r="L136">
        <v>81.25</v>
      </c>
      <c r="M136" t="s">
        <v>5030</v>
      </c>
      <c r="N136" t="s">
        <v>5031</v>
      </c>
    </row>
    <row r="137" spans="1:14" x14ac:dyDescent="0.3">
      <c r="A137" t="s">
        <v>160</v>
      </c>
      <c r="B137" t="s">
        <v>12</v>
      </c>
      <c r="C137" t="s">
        <v>35</v>
      </c>
      <c r="D137">
        <v>43</v>
      </c>
      <c r="E137" t="s">
        <v>15</v>
      </c>
      <c r="F137" t="s">
        <v>36</v>
      </c>
      <c r="G137">
        <v>25.7</v>
      </c>
      <c r="H137">
        <v>1188.2</v>
      </c>
      <c r="I137" t="s">
        <v>15</v>
      </c>
      <c r="J137" t="s">
        <v>16</v>
      </c>
      <c r="K137" t="s">
        <v>29</v>
      </c>
      <c r="L137">
        <v>1188.2</v>
      </c>
      <c r="M137" t="s">
        <v>5033</v>
      </c>
      <c r="N137" t="s">
        <v>5031</v>
      </c>
    </row>
    <row r="138" spans="1:14" x14ac:dyDescent="0.3">
      <c r="A138" t="s">
        <v>161</v>
      </c>
      <c r="B138" t="s">
        <v>12</v>
      </c>
      <c r="C138" t="s">
        <v>13</v>
      </c>
      <c r="D138">
        <v>23</v>
      </c>
      <c r="E138" t="s">
        <v>26</v>
      </c>
      <c r="F138" t="s">
        <v>15</v>
      </c>
      <c r="G138">
        <v>75</v>
      </c>
      <c r="H138">
        <v>1778.5</v>
      </c>
      <c r="I138" t="s">
        <v>15</v>
      </c>
      <c r="J138" t="s">
        <v>16</v>
      </c>
      <c r="K138" t="s">
        <v>24</v>
      </c>
      <c r="L138">
        <v>1778.5</v>
      </c>
      <c r="M138" t="s">
        <v>5032</v>
      </c>
      <c r="N138" t="s">
        <v>5031</v>
      </c>
    </row>
    <row r="139" spans="1:14" x14ac:dyDescent="0.3">
      <c r="A139" t="s">
        <v>162</v>
      </c>
      <c r="B139" t="s">
        <v>12</v>
      </c>
      <c r="C139" t="s">
        <v>35</v>
      </c>
      <c r="D139">
        <v>64</v>
      </c>
      <c r="E139" t="s">
        <v>15</v>
      </c>
      <c r="F139" t="s">
        <v>36</v>
      </c>
      <c r="G139">
        <v>20.2</v>
      </c>
      <c r="H139">
        <v>1277.75</v>
      </c>
      <c r="I139" t="s">
        <v>15</v>
      </c>
      <c r="J139" t="s">
        <v>15</v>
      </c>
      <c r="K139" t="s">
        <v>21</v>
      </c>
      <c r="L139">
        <v>1277.75</v>
      </c>
      <c r="M139" t="s">
        <v>5033</v>
      </c>
      <c r="N139" t="s">
        <v>5031</v>
      </c>
    </row>
    <row r="140" spans="1:14" x14ac:dyDescent="0.3">
      <c r="A140" t="s">
        <v>163</v>
      </c>
      <c r="B140" t="s">
        <v>19</v>
      </c>
      <c r="C140" t="s">
        <v>35</v>
      </c>
      <c r="D140">
        <v>57</v>
      </c>
      <c r="E140" t="s">
        <v>15</v>
      </c>
      <c r="F140" t="s">
        <v>36</v>
      </c>
      <c r="G140">
        <v>19.600000000000001</v>
      </c>
      <c r="H140">
        <v>1170.55</v>
      </c>
      <c r="I140" t="s">
        <v>15</v>
      </c>
      <c r="J140" t="s">
        <v>16</v>
      </c>
      <c r="K140" t="s">
        <v>21</v>
      </c>
      <c r="L140">
        <v>1170.55</v>
      </c>
      <c r="M140" t="s">
        <v>5033</v>
      </c>
      <c r="N140" t="s">
        <v>5031</v>
      </c>
    </row>
    <row r="141" spans="1:14" x14ac:dyDescent="0.3">
      <c r="A141" t="s">
        <v>164</v>
      </c>
      <c r="B141" t="s">
        <v>12</v>
      </c>
      <c r="C141" t="s">
        <v>13</v>
      </c>
      <c r="D141">
        <v>1</v>
      </c>
      <c r="E141" t="s">
        <v>26</v>
      </c>
      <c r="F141" t="s">
        <v>15</v>
      </c>
      <c r="G141">
        <v>70.45</v>
      </c>
      <c r="H141">
        <v>70.45</v>
      </c>
      <c r="I141" t="s">
        <v>16</v>
      </c>
      <c r="J141" t="s">
        <v>16</v>
      </c>
      <c r="K141" t="s">
        <v>21</v>
      </c>
      <c r="L141">
        <v>70.45</v>
      </c>
      <c r="M141" t="s">
        <v>5030</v>
      </c>
      <c r="N141" t="s">
        <v>5031</v>
      </c>
    </row>
    <row r="142" spans="1:14" x14ac:dyDescent="0.3">
      <c r="A142" t="s">
        <v>165</v>
      </c>
      <c r="B142" t="s">
        <v>12</v>
      </c>
      <c r="C142" t="s">
        <v>35</v>
      </c>
      <c r="D142">
        <v>72</v>
      </c>
      <c r="E142" t="s">
        <v>14</v>
      </c>
      <c r="F142" t="s">
        <v>16</v>
      </c>
      <c r="G142">
        <v>88.05</v>
      </c>
      <c r="H142">
        <v>6425.65</v>
      </c>
      <c r="I142" t="s">
        <v>15</v>
      </c>
      <c r="J142" t="s">
        <v>16</v>
      </c>
      <c r="K142" t="s">
        <v>29</v>
      </c>
      <c r="L142">
        <v>6425.65</v>
      </c>
      <c r="M142" t="s">
        <v>5033</v>
      </c>
      <c r="N142" t="s">
        <v>5034</v>
      </c>
    </row>
    <row r="143" spans="1:14" x14ac:dyDescent="0.3">
      <c r="A143" t="s">
        <v>166</v>
      </c>
      <c r="B143" t="s">
        <v>12</v>
      </c>
      <c r="C143" t="s">
        <v>13</v>
      </c>
      <c r="D143">
        <v>8</v>
      </c>
      <c r="E143" t="s">
        <v>14</v>
      </c>
      <c r="F143" t="s">
        <v>16</v>
      </c>
      <c r="G143">
        <v>71.150000000000006</v>
      </c>
      <c r="H143">
        <v>563.65</v>
      </c>
      <c r="I143" t="s">
        <v>16</v>
      </c>
      <c r="J143" t="s">
        <v>15</v>
      </c>
      <c r="K143" t="s">
        <v>17</v>
      </c>
      <c r="L143">
        <v>563.65</v>
      </c>
      <c r="M143" t="s">
        <v>5030</v>
      </c>
      <c r="N143" t="s">
        <v>5031</v>
      </c>
    </row>
    <row r="144" spans="1:14" x14ac:dyDescent="0.3">
      <c r="A144" t="s">
        <v>167</v>
      </c>
      <c r="B144" t="s">
        <v>12</v>
      </c>
      <c r="C144" t="s">
        <v>35</v>
      </c>
      <c r="D144">
        <v>61</v>
      </c>
      <c r="E144" t="s">
        <v>26</v>
      </c>
      <c r="F144" t="s">
        <v>15</v>
      </c>
      <c r="G144">
        <v>101.05</v>
      </c>
      <c r="H144">
        <v>5971.25</v>
      </c>
      <c r="I144" t="s">
        <v>15</v>
      </c>
      <c r="J144" t="s">
        <v>16</v>
      </c>
      <c r="K144" t="s">
        <v>24</v>
      </c>
      <c r="L144">
        <v>5971.25</v>
      </c>
      <c r="M144" t="s">
        <v>5033</v>
      </c>
      <c r="N144" t="s">
        <v>5034</v>
      </c>
    </row>
    <row r="145" spans="1:14" x14ac:dyDescent="0.3">
      <c r="A145" t="s">
        <v>168</v>
      </c>
      <c r="B145" t="s">
        <v>19</v>
      </c>
      <c r="C145" t="s">
        <v>20</v>
      </c>
      <c r="D145">
        <v>64</v>
      </c>
      <c r="E145" t="s">
        <v>26</v>
      </c>
      <c r="F145" t="s">
        <v>15</v>
      </c>
      <c r="G145">
        <v>84.3</v>
      </c>
      <c r="H145">
        <v>5289.05</v>
      </c>
      <c r="I145" t="s">
        <v>15</v>
      </c>
      <c r="J145" t="s">
        <v>16</v>
      </c>
      <c r="K145" t="s">
        <v>29</v>
      </c>
      <c r="L145">
        <v>5289.05</v>
      </c>
      <c r="M145" t="s">
        <v>5033</v>
      </c>
      <c r="N145" t="s">
        <v>5034</v>
      </c>
    </row>
    <row r="146" spans="1:14" x14ac:dyDescent="0.3">
      <c r="A146" t="s">
        <v>169</v>
      </c>
      <c r="B146" t="s">
        <v>19</v>
      </c>
      <c r="C146" t="s">
        <v>35</v>
      </c>
      <c r="D146">
        <v>71</v>
      </c>
      <c r="E146" t="s">
        <v>15</v>
      </c>
      <c r="F146" t="s">
        <v>36</v>
      </c>
      <c r="G146">
        <v>23.95</v>
      </c>
      <c r="H146">
        <v>1756.2</v>
      </c>
      <c r="I146" t="s">
        <v>15</v>
      </c>
      <c r="J146" t="s">
        <v>15</v>
      </c>
      <c r="K146" t="s">
        <v>24</v>
      </c>
      <c r="L146">
        <v>1756.2</v>
      </c>
      <c r="M146" t="s">
        <v>5033</v>
      </c>
      <c r="N146" t="s">
        <v>5031</v>
      </c>
    </row>
    <row r="147" spans="1:14" x14ac:dyDescent="0.3">
      <c r="A147" t="s">
        <v>170</v>
      </c>
      <c r="B147" t="s">
        <v>12</v>
      </c>
      <c r="C147" t="s">
        <v>35</v>
      </c>
      <c r="D147">
        <v>65</v>
      </c>
      <c r="E147" t="s">
        <v>26</v>
      </c>
      <c r="F147" t="s">
        <v>16</v>
      </c>
      <c r="G147">
        <v>99.05</v>
      </c>
      <c r="H147">
        <v>6416.7</v>
      </c>
      <c r="I147" t="s">
        <v>15</v>
      </c>
      <c r="J147" t="s">
        <v>16</v>
      </c>
      <c r="K147" t="s">
        <v>29</v>
      </c>
      <c r="L147">
        <v>6416.7</v>
      </c>
      <c r="M147" t="s">
        <v>5033</v>
      </c>
      <c r="N147" t="s">
        <v>5034</v>
      </c>
    </row>
    <row r="148" spans="1:14" x14ac:dyDescent="0.3">
      <c r="A148" t="s">
        <v>171</v>
      </c>
      <c r="B148" t="s">
        <v>19</v>
      </c>
      <c r="C148" t="s">
        <v>20</v>
      </c>
      <c r="D148">
        <v>3</v>
      </c>
      <c r="E148" t="s">
        <v>15</v>
      </c>
      <c r="F148" t="s">
        <v>36</v>
      </c>
      <c r="G148">
        <v>19.600000000000001</v>
      </c>
      <c r="H148">
        <v>61.35</v>
      </c>
      <c r="I148" t="s">
        <v>15</v>
      </c>
      <c r="J148" t="s">
        <v>15</v>
      </c>
      <c r="K148" t="s">
        <v>21</v>
      </c>
      <c r="L148">
        <v>61.35</v>
      </c>
      <c r="M148" t="s">
        <v>5030</v>
      </c>
      <c r="N148" t="s">
        <v>5031</v>
      </c>
    </row>
    <row r="149" spans="1:14" x14ac:dyDescent="0.3">
      <c r="A149" t="s">
        <v>172</v>
      </c>
      <c r="B149" t="s">
        <v>19</v>
      </c>
      <c r="C149" t="s">
        <v>13</v>
      </c>
      <c r="D149">
        <v>1</v>
      </c>
      <c r="E149" t="s">
        <v>14</v>
      </c>
      <c r="F149" t="s">
        <v>15</v>
      </c>
      <c r="G149">
        <v>45.65</v>
      </c>
      <c r="H149">
        <v>45.65</v>
      </c>
      <c r="I149" t="s">
        <v>16</v>
      </c>
      <c r="J149" t="s">
        <v>16</v>
      </c>
      <c r="K149" t="s">
        <v>17</v>
      </c>
      <c r="L149">
        <v>45.65</v>
      </c>
      <c r="M149" t="s">
        <v>5030</v>
      </c>
      <c r="N149" t="s">
        <v>5031</v>
      </c>
    </row>
    <row r="150" spans="1:14" x14ac:dyDescent="0.3">
      <c r="A150" t="s">
        <v>173</v>
      </c>
      <c r="B150" t="s">
        <v>19</v>
      </c>
      <c r="C150" t="s">
        <v>20</v>
      </c>
      <c r="D150">
        <v>30</v>
      </c>
      <c r="E150" t="s">
        <v>14</v>
      </c>
      <c r="F150" t="s">
        <v>15</v>
      </c>
      <c r="G150">
        <v>64.5</v>
      </c>
      <c r="H150">
        <v>1929.95</v>
      </c>
      <c r="I150" t="s">
        <v>15</v>
      </c>
      <c r="J150" t="s">
        <v>15</v>
      </c>
      <c r="K150" t="s">
        <v>29</v>
      </c>
      <c r="L150">
        <v>1929.95</v>
      </c>
      <c r="M150" t="s">
        <v>5032</v>
      </c>
      <c r="N150" t="s">
        <v>5031</v>
      </c>
    </row>
    <row r="151" spans="1:14" x14ac:dyDescent="0.3">
      <c r="A151" t="s">
        <v>174</v>
      </c>
      <c r="B151" t="s">
        <v>19</v>
      </c>
      <c r="C151" t="s">
        <v>13</v>
      </c>
      <c r="D151">
        <v>15</v>
      </c>
      <c r="E151" t="s">
        <v>14</v>
      </c>
      <c r="F151" t="s">
        <v>16</v>
      </c>
      <c r="G151">
        <v>69.5</v>
      </c>
      <c r="H151">
        <v>1071.4000000000001</v>
      </c>
      <c r="I151" t="s">
        <v>15</v>
      </c>
      <c r="J151" t="s">
        <v>16</v>
      </c>
      <c r="K151" t="s">
        <v>21</v>
      </c>
      <c r="L151">
        <v>1071.4000000000001</v>
      </c>
      <c r="M151" t="s">
        <v>5032</v>
      </c>
      <c r="N151" t="s">
        <v>5031</v>
      </c>
    </row>
    <row r="152" spans="1:14" x14ac:dyDescent="0.3">
      <c r="A152" t="s">
        <v>175</v>
      </c>
      <c r="B152" t="s">
        <v>12</v>
      </c>
      <c r="C152" t="s">
        <v>13</v>
      </c>
      <c r="D152">
        <v>8</v>
      </c>
      <c r="E152" t="s">
        <v>14</v>
      </c>
      <c r="F152" t="s">
        <v>16</v>
      </c>
      <c r="G152">
        <v>68.55</v>
      </c>
      <c r="H152">
        <v>564.35</v>
      </c>
      <c r="I152" t="s">
        <v>15</v>
      </c>
      <c r="J152" t="s">
        <v>16</v>
      </c>
      <c r="K152" t="s">
        <v>17</v>
      </c>
      <c r="L152">
        <v>564.35</v>
      </c>
      <c r="M152" t="s">
        <v>5030</v>
      </c>
      <c r="N152" t="s">
        <v>5031</v>
      </c>
    </row>
    <row r="153" spans="1:14" x14ac:dyDescent="0.3">
      <c r="A153" t="s">
        <v>176</v>
      </c>
      <c r="B153" t="s">
        <v>19</v>
      </c>
      <c r="C153" t="s">
        <v>13</v>
      </c>
      <c r="D153">
        <v>7</v>
      </c>
      <c r="E153" t="s">
        <v>26</v>
      </c>
      <c r="F153" t="s">
        <v>15</v>
      </c>
      <c r="G153">
        <v>95</v>
      </c>
      <c r="H153">
        <v>655.5</v>
      </c>
      <c r="I153" t="s">
        <v>16</v>
      </c>
      <c r="J153" t="s">
        <v>15</v>
      </c>
      <c r="K153" t="s">
        <v>21</v>
      </c>
      <c r="L153">
        <v>655.5</v>
      </c>
      <c r="M153" t="s">
        <v>5030</v>
      </c>
      <c r="N153" t="s">
        <v>5031</v>
      </c>
    </row>
    <row r="154" spans="1:14" x14ac:dyDescent="0.3">
      <c r="A154" t="s">
        <v>177</v>
      </c>
      <c r="B154" t="s">
        <v>12</v>
      </c>
      <c r="C154" t="s">
        <v>20</v>
      </c>
      <c r="D154">
        <v>70</v>
      </c>
      <c r="E154" t="s">
        <v>26</v>
      </c>
      <c r="F154" t="s">
        <v>15</v>
      </c>
      <c r="G154">
        <v>108.15</v>
      </c>
      <c r="H154">
        <v>7930.55</v>
      </c>
      <c r="I154" t="s">
        <v>15</v>
      </c>
      <c r="J154" t="s">
        <v>16</v>
      </c>
      <c r="K154" t="s">
        <v>29</v>
      </c>
      <c r="L154">
        <v>7930.55</v>
      </c>
      <c r="M154" t="s">
        <v>5033</v>
      </c>
      <c r="N154" t="s">
        <v>5034</v>
      </c>
    </row>
    <row r="155" spans="1:14" x14ac:dyDescent="0.3">
      <c r="A155" t="s">
        <v>178</v>
      </c>
      <c r="B155" t="s">
        <v>19</v>
      </c>
      <c r="C155" t="s">
        <v>35</v>
      </c>
      <c r="D155">
        <v>62</v>
      </c>
      <c r="E155" t="s">
        <v>14</v>
      </c>
      <c r="F155" t="s">
        <v>16</v>
      </c>
      <c r="G155">
        <v>86.1</v>
      </c>
      <c r="H155">
        <v>5215.25</v>
      </c>
      <c r="I155" t="s">
        <v>15</v>
      </c>
      <c r="J155" t="s">
        <v>15</v>
      </c>
      <c r="K155" t="s">
        <v>17</v>
      </c>
      <c r="L155">
        <v>5215.25</v>
      </c>
      <c r="M155" t="s">
        <v>5033</v>
      </c>
      <c r="N155" t="s">
        <v>5034</v>
      </c>
    </row>
    <row r="156" spans="1:14" x14ac:dyDescent="0.3">
      <c r="A156" t="s">
        <v>179</v>
      </c>
      <c r="B156" t="s">
        <v>12</v>
      </c>
      <c r="C156" t="s">
        <v>13</v>
      </c>
      <c r="D156">
        <v>6</v>
      </c>
      <c r="E156" t="s">
        <v>15</v>
      </c>
      <c r="F156" t="s">
        <v>36</v>
      </c>
      <c r="G156">
        <v>19.7</v>
      </c>
      <c r="H156">
        <v>113.5</v>
      </c>
      <c r="I156" t="s">
        <v>15</v>
      </c>
      <c r="J156" t="s">
        <v>15</v>
      </c>
      <c r="K156" t="s">
        <v>21</v>
      </c>
      <c r="L156">
        <v>113.5</v>
      </c>
      <c r="M156" t="s">
        <v>5030</v>
      </c>
      <c r="N156" t="s">
        <v>5031</v>
      </c>
    </row>
    <row r="157" spans="1:14" x14ac:dyDescent="0.3">
      <c r="A157" t="s">
        <v>180</v>
      </c>
      <c r="B157" t="s">
        <v>12</v>
      </c>
      <c r="C157" t="s">
        <v>13</v>
      </c>
      <c r="D157">
        <v>14</v>
      </c>
      <c r="E157" t="s">
        <v>26</v>
      </c>
      <c r="F157" t="s">
        <v>15</v>
      </c>
      <c r="G157">
        <v>80.900000000000006</v>
      </c>
      <c r="H157">
        <v>1152.8</v>
      </c>
      <c r="I157" t="s">
        <v>15</v>
      </c>
      <c r="J157" t="s">
        <v>16</v>
      </c>
      <c r="K157" t="s">
        <v>24</v>
      </c>
      <c r="L157">
        <v>1152.8</v>
      </c>
      <c r="M157" t="s">
        <v>5032</v>
      </c>
      <c r="N157" t="s">
        <v>5031</v>
      </c>
    </row>
    <row r="158" spans="1:14" x14ac:dyDescent="0.3">
      <c r="A158" t="s">
        <v>181</v>
      </c>
      <c r="B158" t="s">
        <v>12</v>
      </c>
      <c r="C158" t="s">
        <v>13</v>
      </c>
      <c r="D158">
        <v>22</v>
      </c>
      <c r="E158" t="s">
        <v>26</v>
      </c>
      <c r="F158" t="s">
        <v>15</v>
      </c>
      <c r="G158">
        <v>84.15</v>
      </c>
      <c r="H158">
        <v>1821.95</v>
      </c>
      <c r="I158" t="s">
        <v>15</v>
      </c>
      <c r="J158" t="s">
        <v>16</v>
      </c>
      <c r="K158" t="s">
        <v>24</v>
      </c>
      <c r="L158">
        <v>1821.95</v>
      </c>
      <c r="M158" t="s">
        <v>5032</v>
      </c>
      <c r="N158" t="s">
        <v>5031</v>
      </c>
    </row>
    <row r="159" spans="1:14" x14ac:dyDescent="0.3">
      <c r="A159" t="s">
        <v>182</v>
      </c>
      <c r="B159" t="s">
        <v>19</v>
      </c>
      <c r="C159" t="s">
        <v>20</v>
      </c>
      <c r="D159">
        <v>22</v>
      </c>
      <c r="E159" t="s">
        <v>15</v>
      </c>
      <c r="F159" t="s">
        <v>36</v>
      </c>
      <c r="G159">
        <v>20.149999999999999</v>
      </c>
      <c r="H159">
        <v>419.9</v>
      </c>
      <c r="I159" t="s">
        <v>15</v>
      </c>
      <c r="J159" t="s">
        <v>15</v>
      </c>
      <c r="K159" t="s">
        <v>21</v>
      </c>
      <c r="L159">
        <v>419.9</v>
      </c>
      <c r="M159" t="s">
        <v>5032</v>
      </c>
      <c r="N159" t="s">
        <v>5031</v>
      </c>
    </row>
    <row r="160" spans="1:14" x14ac:dyDescent="0.3">
      <c r="A160" t="s">
        <v>183</v>
      </c>
      <c r="B160" t="s">
        <v>19</v>
      </c>
      <c r="C160" t="s">
        <v>35</v>
      </c>
      <c r="D160">
        <v>16</v>
      </c>
      <c r="E160" t="s">
        <v>14</v>
      </c>
      <c r="F160" t="s">
        <v>15</v>
      </c>
      <c r="G160">
        <v>64.25</v>
      </c>
      <c r="H160">
        <v>1024</v>
      </c>
      <c r="I160" t="s">
        <v>15</v>
      </c>
      <c r="J160" t="s">
        <v>15</v>
      </c>
      <c r="K160" t="s">
        <v>21</v>
      </c>
      <c r="L160">
        <v>1024</v>
      </c>
      <c r="M160" t="s">
        <v>5032</v>
      </c>
      <c r="N160" t="s">
        <v>5031</v>
      </c>
    </row>
    <row r="161" spans="1:14" x14ac:dyDescent="0.3">
      <c r="A161" t="s">
        <v>184</v>
      </c>
      <c r="B161" t="s">
        <v>19</v>
      </c>
      <c r="C161" t="s">
        <v>35</v>
      </c>
      <c r="D161">
        <v>10</v>
      </c>
      <c r="E161" t="s">
        <v>15</v>
      </c>
      <c r="F161" t="s">
        <v>36</v>
      </c>
      <c r="G161">
        <v>25.7</v>
      </c>
      <c r="H161">
        <v>251.6</v>
      </c>
      <c r="I161" t="s">
        <v>15</v>
      </c>
      <c r="J161" t="s">
        <v>15</v>
      </c>
      <c r="K161" t="s">
        <v>24</v>
      </c>
      <c r="L161">
        <v>251.6</v>
      </c>
      <c r="M161" t="s">
        <v>5030</v>
      </c>
      <c r="N161" t="s">
        <v>5031</v>
      </c>
    </row>
    <row r="162" spans="1:14" x14ac:dyDescent="0.3">
      <c r="A162" t="s">
        <v>185</v>
      </c>
      <c r="B162" t="s">
        <v>12</v>
      </c>
      <c r="C162" t="s">
        <v>13</v>
      </c>
      <c r="D162">
        <v>13</v>
      </c>
      <c r="E162" t="s">
        <v>14</v>
      </c>
      <c r="F162" t="s">
        <v>15</v>
      </c>
      <c r="G162">
        <v>56</v>
      </c>
      <c r="H162">
        <v>764.55</v>
      </c>
      <c r="I162" t="s">
        <v>15</v>
      </c>
      <c r="J162" t="s">
        <v>16</v>
      </c>
      <c r="K162" t="s">
        <v>17</v>
      </c>
      <c r="L162">
        <v>764.55</v>
      </c>
      <c r="M162" t="s">
        <v>5032</v>
      </c>
      <c r="N162" t="s">
        <v>5031</v>
      </c>
    </row>
    <row r="163" spans="1:14" x14ac:dyDescent="0.3">
      <c r="A163" t="s">
        <v>186</v>
      </c>
      <c r="B163" t="s">
        <v>12</v>
      </c>
      <c r="C163" t="s">
        <v>13</v>
      </c>
      <c r="D163">
        <v>20</v>
      </c>
      <c r="E163" t="s">
        <v>26</v>
      </c>
      <c r="F163" t="s">
        <v>15</v>
      </c>
      <c r="G163">
        <v>82.4</v>
      </c>
      <c r="H163">
        <v>1592.35</v>
      </c>
      <c r="I163" t="s">
        <v>16</v>
      </c>
      <c r="J163" t="s">
        <v>15</v>
      </c>
      <c r="K163" t="s">
        <v>17</v>
      </c>
      <c r="L163">
        <v>1592.35</v>
      </c>
      <c r="M163" t="s">
        <v>5032</v>
      </c>
      <c r="N163" t="s">
        <v>5031</v>
      </c>
    </row>
    <row r="164" spans="1:14" x14ac:dyDescent="0.3">
      <c r="A164" t="s">
        <v>187</v>
      </c>
      <c r="B164" t="s">
        <v>12</v>
      </c>
      <c r="C164" t="s">
        <v>13</v>
      </c>
      <c r="D164">
        <v>2</v>
      </c>
      <c r="E164" t="s">
        <v>26</v>
      </c>
      <c r="F164" t="s">
        <v>15</v>
      </c>
      <c r="G164">
        <v>69.7</v>
      </c>
      <c r="H164">
        <v>135.19999999999999</v>
      </c>
      <c r="I164" t="s">
        <v>15</v>
      </c>
      <c r="J164" t="s">
        <v>16</v>
      </c>
      <c r="K164" t="s">
        <v>17</v>
      </c>
      <c r="L164">
        <v>135.19999999999999</v>
      </c>
      <c r="M164" t="s">
        <v>5030</v>
      </c>
      <c r="N164" t="s">
        <v>5031</v>
      </c>
    </row>
    <row r="165" spans="1:14" x14ac:dyDescent="0.3">
      <c r="A165" t="s">
        <v>188</v>
      </c>
      <c r="B165" t="s">
        <v>19</v>
      </c>
      <c r="C165" t="s">
        <v>35</v>
      </c>
      <c r="D165">
        <v>53</v>
      </c>
      <c r="E165" t="s">
        <v>14</v>
      </c>
      <c r="F165" t="s">
        <v>16</v>
      </c>
      <c r="G165">
        <v>73.900000000000006</v>
      </c>
      <c r="H165">
        <v>3958.25</v>
      </c>
      <c r="I165" t="s">
        <v>15</v>
      </c>
      <c r="J165" t="s">
        <v>16</v>
      </c>
      <c r="K165" t="s">
        <v>24</v>
      </c>
      <c r="L165">
        <v>3958.25</v>
      </c>
      <c r="M165" t="s">
        <v>5033</v>
      </c>
      <c r="N165" t="s">
        <v>5034</v>
      </c>
    </row>
    <row r="166" spans="1:14" x14ac:dyDescent="0.3">
      <c r="A166" t="s">
        <v>189</v>
      </c>
      <c r="B166" t="s">
        <v>12</v>
      </c>
      <c r="C166" t="s">
        <v>20</v>
      </c>
      <c r="D166">
        <v>11</v>
      </c>
      <c r="E166" t="s">
        <v>15</v>
      </c>
      <c r="F166" t="s">
        <v>36</v>
      </c>
      <c r="G166">
        <v>20.6</v>
      </c>
      <c r="H166">
        <v>233.9</v>
      </c>
      <c r="I166" t="s">
        <v>15</v>
      </c>
      <c r="J166" t="s">
        <v>15</v>
      </c>
      <c r="K166" t="s">
        <v>21</v>
      </c>
      <c r="L166">
        <v>233.9</v>
      </c>
      <c r="M166" t="s">
        <v>5030</v>
      </c>
      <c r="N166" t="s">
        <v>5031</v>
      </c>
    </row>
    <row r="167" spans="1:14" x14ac:dyDescent="0.3">
      <c r="A167" t="s">
        <v>190</v>
      </c>
      <c r="B167" t="s">
        <v>19</v>
      </c>
      <c r="C167" t="s">
        <v>35</v>
      </c>
      <c r="D167">
        <v>69</v>
      </c>
      <c r="E167" t="s">
        <v>15</v>
      </c>
      <c r="F167" t="s">
        <v>36</v>
      </c>
      <c r="G167">
        <v>19.899999999999999</v>
      </c>
      <c r="H167">
        <v>1363.45</v>
      </c>
      <c r="I167" t="s">
        <v>15</v>
      </c>
      <c r="J167" t="s">
        <v>15</v>
      </c>
      <c r="K167" t="s">
        <v>21</v>
      </c>
      <c r="L167">
        <v>1363.45</v>
      </c>
      <c r="M167" t="s">
        <v>5033</v>
      </c>
      <c r="N167" t="s">
        <v>5031</v>
      </c>
    </row>
    <row r="168" spans="1:14" x14ac:dyDescent="0.3">
      <c r="A168" t="s">
        <v>191</v>
      </c>
      <c r="B168" t="s">
        <v>12</v>
      </c>
      <c r="C168" t="s">
        <v>13</v>
      </c>
      <c r="D168">
        <v>4</v>
      </c>
      <c r="E168" t="s">
        <v>26</v>
      </c>
      <c r="F168" t="s">
        <v>15</v>
      </c>
      <c r="G168">
        <v>70.900000000000006</v>
      </c>
      <c r="H168">
        <v>273</v>
      </c>
      <c r="I168" t="s">
        <v>16</v>
      </c>
      <c r="J168" t="s">
        <v>16</v>
      </c>
      <c r="K168" t="s">
        <v>24</v>
      </c>
      <c r="L168">
        <v>273</v>
      </c>
      <c r="M168" t="s">
        <v>5030</v>
      </c>
      <c r="N168" t="s">
        <v>5031</v>
      </c>
    </row>
    <row r="169" spans="1:14" x14ac:dyDescent="0.3">
      <c r="A169" t="s">
        <v>192</v>
      </c>
      <c r="B169" t="s">
        <v>19</v>
      </c>
      <c r="C169" t="s">
        <v>35</v>
      </c>
      <c r="D169">
        <v>72</v>
      </c>
      <c r="E169" t="s">
        <v>14</v>
      </c>
      <c r="F169" t="s">
        <v>16</v>
      </c>
      <c r="G169">
        <v>89.05</v>
      </c>
      <c r="H169">
        <v>6254.45</v>
      </c>
      <c r="I169" t="s">
        <v>15</v>
      </c>
      <c r="J169" t="s">
        <v>16</v>
      </c>
      <c r="K169" t="s">
        <v>24</v>
      </c>
      <c r="L169">
        <v>6254.45</v>
      </c>
      <c r="M169" t="s">
        <v>5033</v>
      </c>
      <c r="N169" t="s">
        <v>5034</v>
      </c>
    </row>
    <row r="170" spans="1:14" x14ac:dyDescent="0.3">
      <c r="A170" t="s">
        <v>193</v>
      </c>
      <c r="B170" t="s">
        <v>19</v>
      </c>
      <c r="C170" t="s">
        <v>13</v>
      </c>
      <c r="D170">
        <v>58</v>
      </c>
      <c r="E170" t="s">
        <v>14</v>
      </c>
      <c r="F170" t="s">
        <v>15</v>
      </c>
      <c r="G170">
        <v>45.3</v>
      </c>
      <c r="H170">
        <v>2651.2</v>
      </c>
      <c r="I170" t="s">
        <v>16</v>
      </c>
      <c r="J170" t="s">
        <v>16</v>
      </c>
      <c r="K170" t="s">
        <v>17</v>
      </c>
      <c r="L170">
        <v>2651.2</v>
      </c>
      <c r="M170" t="s">
        <v>5033</v>
      </c>
      <c r="N170" t="s">
        <v>5034</v>
      </c>
    </row>
    <row r="171" spans="1:14" x14ac:dyDescent="0.3">
      <c r="A171" t="s">
        <v>194</v>
      </c>
      <c r="B171" t="s">
        <v>12</v>
      </c>
      <c r="C171" t="s">
        <v>13</v>
      </c>
      <c r="D171">
        <v>16</v>
      </c>
      <c r="E171" t="s">
        <v>15</v>
      </c>
      <c r="F171" t="s">
        <v>36</v>
      </c>
      <c r="G171">
        <v>20.399999999999999</v>
      </c>
      <c r="H171">
        <v>321.39999999999998</v>
      </c>
      <c r="I171" t="s">
        <v>15</v>
      </c>
      <c r="J171" t="s">
        <v>15</v>
      </c>
      <c r="K171" t="s">
        <v>17</v>
      </c>
      <c r="L171">
        <v>321.39999999999998</v>
      </c>
      <c r="M171" t="s">
        <v>5032</v>
      </c>
      <c r="N171" t="s">
        <v>5031</v>
      </c>
    </row>
    <row r="172" spans="1:14" x14ac:dyDescent="0.3">
      <c r="A172" t="s">
        <v>195</v>
      </c>
      <c r="B172" t="s">
        <v>19</v>
      </c>
      <c r="C172" t="s">
        <v>20</v>
      </c>
      <c r="D172">
        <v>43</v>
      </c>
      <c r="E172" t="s">
        <v>26</v>
      </c>
      <c r="F172" t="s">
        <v>16</v>
      </c>
      <c r="G172">
        <v>84.25</v>
      </c>
      <c r="H172">
        <v>3539.25</v>
      </c>
      <c r="I172" t="s">
        <v>15</v>
      </c>
      <c r="J172" t="s">
        <v>16</v>
      </c>
      <c r="K172" t="s">
        <v>24</v>
      </c>
      <c r="L172">
        <v>3539.25</v>
      </c>
      <c r="M172" t="s">
        <v>5033</v>
      </c>
      <c r="N172" t="s">
        <v>5034</v>
      </c>
    </row>
    <row r="173" spans="1:14" x14ac:dyDescent="0.3">
      <c r="A173" t="s">
        <v>196</v>
      </c>
      <c r="B173" t="s">
        <v>12</v>
      </c>
      <c r="C173" t="s">
        <v>13</v>
      </c>
      <c r="D173">
        <v>2</v>
      </c>
      <c r="E173" t="s">
        <v>26</v>
      </c>
      <c r="F173" t="s">
        <v>16</v>
      </c>
      <c r="G173">
        <v>104.4</v>
      </c>
      <c r="H173">
        <v>242.8</v>
      </c>
      <c r="I173" t="s">
        <v>16</v>
      </c>
      <c r="J173" t="s">
        <v>16</v>
      </c>
      <c r="K173" t="s">
        <v>17</v>
      </c>
      <c r="L173">
        <v>242.8</v>
      </c>
      <c r="M173" t="s">
        <v>5030</v>
      </c>
      <c r="N173" t="s">
        <v>5031</v>
      </c>
    </row>
    <row r="174" spans="1:14" x14ac:dyDescent="0.3">
      <c r="A174" t="s">
        <v>197</v>
      </c>
      <c r="B174" t="s">
        <v>19</v>
      </c>
      <c r="C174" t="s">
        <v>35</v>
      </c>
      <c r="D174">
        <v>14</v>
      </c>
      <c r="E174" t="s">
        <v>14</v>
      </c>
      <c r="F174" t="s">
        <v>16</v>
      </c>
      <c r="G174">
        <v>81.95</v>
      </c>
      <c r="H174">
        <v>1181.75</v>
      </c>
      <c r="I174" t="s">
        <v>15</v>
      </c>
      <c r="J174" t="s">
        <v>15</v>
      </c>
      <c r="K174" t="s">
        <v>21</v>
      </c>
      <c r="L174">
        <v>1181.75</v>
      </c>
      <c r="M174" t="s">
        <v>5032</v>
      </c>
      <c r="N174" t="s">
        <v>5031</v>
      </c>
    </row>
    <row r="175" spans="1:14" x14ac:dyDescent="0.3">
      <c r="A175" t="s">
        <v>198</v>
      </c>
      <c r="B175" t="s">
        <v>12</v>
      </c>
      <c r="C175" t="s">
        <v>20</v>
      </c>
      <c r="D175">
        <v>53</v>
      </c>
      <c r="E175" t="s">
        <v>26</v>
      </c>
      <c r="F175" t="s">
        <v>15</v>
      </c>
      <c r="G175">
        <v>94.85</v>
      </c>
      <c r="H175">
        <v>5000.2</v>
      </c>
      <c r="I175" t="s">
        <v>16</v>
      </c>
      <c r="J175" t="s">
        <v>16</v>
      </c>
      <c r="K175" t="s">
        <v>24</v>
      </c>
      <c r="L175">
        <v>5000.2</v>
      </c>
      <c r="M175" t="s">
        <v>5033</v>
      </c>
      <c r="N175" t="s">
        <v>5034</v>
      </c>
    </row>
    <row r="176" spans="1:14" x14ac:dyDescent="0.3">
      <c r="A176" t="s">
        <v>199</v>
      </c>
      <c r="B176" t="s">
        <v>12</v>
      </c>
      <c r="C176" t="s">
        <v>20</v>
      </c>
      <c r="D176">
        <v>32</v>
      </c>
      <c r="E176" t="s">
        <v>15</v>
      </c>
      <c r="F176" t="s">
        <v>36</v>
      </c>
      <c r="G176">
        <v>20.55</v>
      </c>
      <c r="H176">
        <v>654.54999999999995</v>
      </c>
      <c r="I176" t="s">
        <v>15</v>
      </c>
      <c r="J176" t="s">
        <v>15</v>
      </c>
      <c r="K176" t="s">
        <v>24</v>
      </c>
      <c r="L176">
        <v>654.54999999999995</v>
      </c>
      <c r="M176" t="s">
        <v>5032</v>
      </c>
      <c r="N176" t="s">
        <v>5031</v>
      </c>
    </row>
    <row r="177" spans="1:14" x14ac:dyDescent="0.3">
      <c r="A177" t="s">
        <v>200</v>
      </c>
      <c r="B177" t="s">
        <v>12</v>
      </c>
      <c r="C177" t="s">
        <v>13</v>
      </c>
      <c r="D177">
        <v>34</v>
      </c>
      <c r="E177" t="s">
        <v>15</v>
      </c>
      <c r="F177" t="s">
        <v>36</v>
      </c>
      <c r="G177">
        <v>24.7</v>
      </c>
      <c r="H177">
        <v>780.2</v>
      </c>
      <c r="I177" t="s">
        <v>15</v>
      </c>
      <c r="J177" t="s">
        <v>15</v>
      </c>
      <c r="K177" t="s">
        <v>17</v>
      </c>
      <c r="L177">
        <v>780.2</v>
      </c>
      <c r="M177" t="s">
        <v>5032</v>
      </c>
      <c r="N177" t="s">
        <v>5031</v>
      </c>
    </row>
    <row r="178" spans="1:14" x14ac:dyDescent="0.3">
      <c r="A178" t="s">
        <v>201</v>
      </c>
      <c r="B178" t="s">
        <v>12</v>
      </c>
      <c r="C178" t="s">
        <v>13</v>
      </c>
      <c r="D178">
        <v>15</v>
      </c>
      <c r="E178" t="s">
        <v>26</v>
      </c>
      <c r="F178" t="s">
        <v>15</v>
      </c>
      <c r="G178">
        <v>74.45</v>
      </c>
      <c r="H178">
        <v>1145.7</v>
      </c>
      <c r="I178" t="s">
        <v>16</v>
      </c>
      <c r="J178" t="s">
        <v>16</v>
      </c>
      <c r="K178" t="s">
        <v>21</v>
      </c>
      <c r="L178">
        <v>1145.7</v>
      </c>
      <c r="M178" t="s">
        <v>5032</v>
      </c>
      <c r="N178" t="s">
        <v>5031</v>
      </c>
    </row>
    <row r="179" spans="1:14" x14ac:dyDescent="0.3">
      <c r="A179" t="s">
        <v>202</v>
      </c>
      <c r="B179" t="s">
        <v>12</v>
      </c>
      <c r="C179" t="s">
        <v>13</v>
      </c>
      <c r="D179">
        <v>7</v>
      </c>
      <c r="E179" t="s">
        <v>26</v>
      </c>
      <c r="F179" t="s">
        <v>15</v>
      </c>
      <c r="G179">
        <v>76.45</v>
      </c>
      <c r="H179">
        <v>503.6</v>
      </c>
      <c r="I179" t="s">
        <v>16</v>
      </c>
      <c r="J179" t="s">
        <v>15</v>
      </c>
      <c r="K179" t="s">
        <v>24</v>
      </c>
      <c r="L179">
        <v>503.6</v>
      </c>
      <c r="M179" t="s">
        <v>5030</v>
      </c>
      <c r="N179" t="s">
        <v>5031</v>
      </c>
    </row>
    <row r="180" spans="1:14" x14ac:dyDescent="0.3">
      <c r="A180" t="s">
        <v>203</v>
      </c>
      <c r="B180" t="s">
        <v>12</v>
      </c>
      <c r="C180" t="s">
        <v>13</v>
      </c>
      <c r="D180">
        <v>15</v>
      </c>
      <c r="E180" t="s">
        <v>26</v>
      </c>
      <c r="F180" t="s">
        <v>15</v>
      </c>
      <c r="G180">
        <v>105.35</v>
      </c>
      <c r="H180">
        <v>1559.25</v>
      </c>
      <c r="I180" t="s">
        <v>15</v>
      </c>
      <c r="J180" t="s">
        <v>16</v>
      </c>
      <c r="K180" t="s">
        <v>24</v>
      </c>
      <c r="L180">
        <v>1559.25</v>
      </c>
      <c r="M180" t="s">
        <v>5032</v>
      </c>
      <c r="N180" t="s">
        <v>5031</v>
      </c>
    </row>
    <row r="181" spans="1:14" x14ac:dyDescent="0.3">
      <c r="A181" t="s">
        <v>204</v>
      </c>
      <c r="B181" t="s">
        <v>19</v>
      </c>
      <c r="C181" t="s">
        <v>20</v>
      </c>
      <c r="D181">
        <v>61</v>
      </c>
      <c r="E181" t="s">
        <v>15</v>
      </c>
      <c r="F181" t="s">
        <v>36</v>
      </c>
      <c r="G181">
        <v>20.55</v>
      </c>
      <c r="H181">
        <v>1252</v>
      </c>
      <c r="I181" t="s">
        <v>15</v>
      </c>
      <c r="J181" t="s">
        <v>16</v>
      </c>
      <c r="K181" t="s">
        <v>29</v>
      </c>
      <c r="L181">
        <v>1252</v>
      </c>
      <c r="M181" t="s">
        <v>5033</v>
      </c>
      <c r="N181" t="s">
        <v>5031</v>
      </c>
    </row>
    <row r="182" spans="1:14" x14ac:dyDescent="0.3">
      <c r="A182" t="s">
        <v>205</v>
      </c>
      <c r="B182" t="s">
        <v>12</v>
      </c>
      <c r="C182" t="s">
        <v>13</v>
      </c>
      <c r="D182">
        <v>1</v>
      </c>
      <c r="E182" t="s">
        <v>14</v>
      </c>
      <c r="F182" t="s">
        <v>15</v>
      </c>
      <c r="G182">
        <v>29.95</v>
      </c>
      <c r="H182">
        <v>29.95</v>
      </c>
      <c r="I182" t="s">
        <v>16</v>
      </c>
      <c r="J182" t="s">
        <v>15</v>
      </c>
      <c r="K182" t="s">
        <v>24</v>
      </c>
      <c r="L182">
        <v>29.95</v>
      </c>
      <c r="M182" t="s">
        <v>5030</v>
      </c>
      <c r="N182" t="s">
        <v>5031</v>
      </c>
    </row>
    <row r="183" spans="1:14" x14ac:dyDescent="0.3">
      <c r="A183" t="s">
        <v>206</v>
      </c>
      <c r="B183" t="s">
        <v>12</v>
      </c>
      <c r="C183" t="s">
        <v>13</v>
      </c>
      <c r="D183">
        <v>1</v>
      </c>
      <c r="E183" t="s">
        <v>14</v>
      </c>
      <c r="F183" t="s">
        <v>15</v>
      </c>
      <c r="G183">
        <v>45.3</v>
      </c>
      <c r="H183">
        <v>45.3</v>
      </c>
      <c r="I183" t="s">
        <v>15</v>
      </c>
      <c r="J183" t="s">
        <v>15</v>
      </c>
      <c r="K183" t="s">
        <v>21</v>
      </c>
      <c r="L183">
        <v>45.3</v>
      </c>
      <c r="M183" t="s">
        <v>5030</v>
      </c>
      <c r="N183" t="s">
        <v>5031</v>
      </c>
    </row>
    <row r="184" spans="1:14" x14ac:dyDescent="0.3">
      <c r="A184" t="s">
        <v>207</v>
      </c>
      <c r="B184" t="s">
        <v>19</v>
      </c>
      <c r="C184" t="s">
        <v>13</v>
      </c>
      <c r="D184">
        <v>8</v>
      </c>
      <c r="E184" t="s">
        <v>26</v>
      </c>
      <c r="F184" t="s">
        <v>15</v>
      </c>
      <c r="G184">
        <v>84.5</v>
      </c>
      <c r="H184">
        <v>662.65</v>
      </c>
      <c r="I184" t="s">
        <v>16</v>
      </c>
      <c r="J184" t="s">
        <v>15</v>
      </c>
      <c r="K184" t="s">
        <v>24</v>
      </c>
      <c r="L184">
        <v>662.65</v>
      </c>
      <c r="M184" t="s">
        <v>5030</v>
      </c>
      <c r="N184" t="s">
        <v>5031</v>
      </c>
    </row>
    <row r="185" spans="1:14" x14ac:dyDescent="0.3">
      <c r="A185" t="s">
        <v>208</v>
      </c>
      <c r="B185" t="s">
        <v>19</v>
      </c>
      <c r="C185" t="s">
        <v>20</v>
      </c>
      <c r="D185">
        <v>33</v>
      </c>
      <c r="E185" t="s">
        <v>14</v>
      </c>
      <c r="F185" t="s">
        <v>15</v>
      </c>
      <c r="G185">
        <v>74.75</v>
      </c>
      <c r="H185">
        <v>2453.3000000000002</v>
      </c>
      <c r="I185" t="s">
        <v>15</v>
      </c>
      <c r="J185" t="s">
        <v>15</v>
      </c>
      <c r="K185" t="s">
        <v>29</v>
      </c>
      <c r="L185">
        <v>2453.3000000000002</v>
      </c>
      <c r="M185" t="s">
        <v>5032</v>
      </c>
      <c r="N185" t="s">
        <v>5031</v>
      </c>
    </row>
    <row r="186" spans="1:14" x14ac:dyDescent="0.3">
      <c r="A186" t="s">
        <v>209</v>
      </c>
      <c r="B186" t="s">
        <v>12</v>
      </c>
      <c r="C186" t="s">
        <v>13</v>
      </c>
      <c r="D186">
        <v>13</v>
      </c>
      <c r="E186" t="s">
        <v>26</v>
      </c>
      <c r="F186" t="s">
        <v>15</v>
      </c>
      <c r="G186">
        <v>79.25</v>
      </c>
      <c r="H186">
        <v>1111.6500000000001</v>
      </c>
      <c r="I186" t="s">
        <v>16</v>
      </c>
      <c r="J186" t="s">
        <v>16</v>
      </c>
      <c r="K186" t="s">
        <v>17</v>
      </c>
      <c r="L186">
        <v>1111.6500000000001</v>
      </c>
      <c r="M186" t="s">
        <v>5032</v>
      </c>
      <c r="N186" t="s">
        <v>5031</v>
      </c>
    </row>
    <row r="187" spans="1:14" x14ac:dyDescent="0.3">
      <c r="A187" t="s">
        <v>210</v>
      </c>
      <c r="B187" t="s">
        <v>12</v>
      </c>
      <c r="C187" t="s">
        <v>13</v>
      </c>
      <c r="D187">
        <v>1</v>
      </c>
      <c r="E187" t="s">
        <v>14</v>
      </c>
      <c r="F187" t="s">
        <v>15</v>
      </c>
      <c r="G187">
        <v>24.8</v>
      </c>
      <c r="H187">
        <v>24.8</v>
      </c>
      <c r="I187" t="s">
        <v>16</v>
      </c>
      <c r="J187" t="s">
        <v>16</v>
      </c>
      <c r="K187" t="s">
        <v>17</v>
      </c>
      <c r="L187">
        <v>24.8</v>
      </c>
      <c r="M187" t="s">
        <v>5030</v>
      </c>
      <c r="N187" t="s">
        <v>5031</v>
      </c>
    </row>
    <row r="188" spans="1:14" x14ac:dyDescent="0.3">
      <c r="A188" t="s">
        <v>211</v>
      </c>
      <c r="B188" t="s">
        <v>19</v>
      </c>
      <c r="C188" t="s">
        <v>13</v>
      </c>
      <c r="D188">
        <v>20</v>
      </c>
      <c r="E188" t="s">
        <v>14</v>
      </c>
      <c r="F188" t="s">
        <v>15</v>
      </c>
      <c r="G188">
        <v>51.8</v>
      </c>
      <c r="H188">
        <v>1023.85</v>
      </c>
      <c r="I188" t="s">
        <v>15</v>
      </c>
      <c r="J188" t="s">
        <v>16</v>
      </c>
      <c r="K188" t="s">
        <v>21</v>
      </c>
      <c r="L188">
        <v>1023.85</v>
      </c>
      <c r="M188" t="s">
        <v>5032</v>
      </c>
      <c r="N188" t="s">
        <v>5031</v>
      </c>
    </row>
    <row r="189" spans="1:14" x14ac:dyDescent="0.3">
      <c r="A189" t="s">
        <v>212</v>
      </c>
      <c r="B189" t="s">
        <v>19</v>
      </c>
      <c r="C189" t="s">
        <v>13</v>
      </c>
      <c r="D189">
        <v>3</v>
      </c>
      <c r="E189" t="s">
        <v>14</v>
      </c>
      <c r="F189" t="s">
        <v>16</v>
      </c>
      <c r="G189">
        <v>30.4</v>
      </c>
      <c r="H189">
        <v>82.15</v>
      </c>
      <c r="I189" t="s">
        <v>15</v>
      </c>
      <c r="J189" t="s">
        <v>15</v>
      </c>
      <c r="K189" t="s">
        <v>17</v>
      </c>
      <c r="L189">
        <v>82.15</v>
      </c>
      <c r="M189" t="s">
        <v>5030</v>
      </c>
      <c r="N189" t="s">
        <v>5031</v>
      </c>
    </row>
    <row r="190" spans="1:14" x14ac:dyDescent="0.3">
      <c r="A190" t="s">
        <v>213</v>
      </c>
      <c r="B190" t="s">
        <v>12</v>
      </c>
      <c r="C190" t="s">
        <v>20</v>
      </c>
      <c r="D190">
        <v>13</v>
      </c>
      <c r="E190" t="s">
        <v>15</v>
      </c>
      <c r="F190" t="s">
        <v>36</v>
      </c>
      <c r="G190">
        <v>19.649999999999999</v>
      </c>
      <c r="H190">
        <v>244.8</v>
      </c>
      <c r="I190" t="s">
        <v>15</v>
      </c>
      <c r="J190" t="s">
        <v>15</v>
      </c>
      <c r="K190" t="s">
        <v>17</v>
      </c>
      <c r="L190">
        <v>244.8</v>
      </c>
      <c r="M190" t="s">
        <v>5032</v>
      </c>
      <c r="N190" t="s">
        <v>5031</v>
      </c>
    </row>
    <row r="191" spans="1:14" x14ac:dyDescent="0.3">
      <c r="A191" t="s">
        <v>214</v>
      </c>
      <c r="B191" t="s">
        <v>12</v>
      </c>
      <c r="C191" t="s">
        <v>13</v>
      </c>
      <c r="D191">
        <v>40</v>
      </c>
      <c r="E191" t="s">
        <v>14</v>
      </c>
      <c r="F191" t="s">
        <v>15</v>
      </c>
      <c r="G191">
        <v>56.6</v>
      </c>
      <c r="H191">
        <v>2379.1</v>
      </c>
      <c r="I191" t="s">
        <v>15</v>
      </c>
      <c r="J191" t="s">
        <v>15</v>
      </c>
      <c r="K191" t="s">
        <v>29</v>
      </c>
      <c r="L191">
        <v>2379.1</v>
      </c>
      <c r="M191" t="s">
        <v>5033</v>
      </c>
      <c r="N191" t="s">
        <v>5031</v>
      </c>
    </row>
    <row r="192" spans="1:14" x14ac:dyDescent="0.3">
      <c r="A192" t="s">
        <v>215</v>
      </c>
      <c r="B192" t="s">
        <v>19</v>
      </c>
      <c r="C192" t="s">
        <v>20</v>
      </c>
      <c r="D192">
        <v>43</v>
      </c>
      <c r="E192" t="s">
        <v>14</v>
      </c>
      <c r="F192" t="s">
        <v>16</v>
      </c>
      <c r="G192">
        <v>71.900000000000006</v>
      </c>
      <c r="H192">
        <v>3173.35</v>
      </c>
      <c r="I192" t="s">
        <v>15</v>
      </c>
      <c r="J192" t="s">
        <v>16</v>
      </c>
      <c r="K192" t="s">
        <v>29</v>
      </c>
      <c r="L192">
        <v>3173.35</v>
      </c>
      <c r="M192" t="s">
        <v>5033</v>
      </c>
      <c r="N192" t="s">
        <v>5034</v>
      </c>
    </row>
    <row r="193" spans="1:14" x14ac:dyDescent="0.3">
      <c r="A193" t="s">
        <v>216</v>
      </c>
      <c r="B193" t="s">
        <v>19</v>
      </c>
      <c r="C193" t="s">
        <v>13</v>
      </c>
      <c r="D193">
        <v>6</v>
      </c>
      <c r="E193" t="s">
        <v>26</v>
      </c>
      <c r="F193" t="s">
        <v>15</v>
      </c>
      <c r="G193">
        <v>91</v>
      </c>
      <c r="H193">
        <v>531</v>
      </c>
      <c r="I193" t="s">
        <v>16</v>
      </c>
      <c r="J193" t="s">
        <v>16</v>
      </c>
      <c r="K193" t="s">
        <v>17</v>
      </c>
      <c r="L193">
        <v>531</v>
      </c>
      <c r="M193" t="s">
        <v>5030</v>
      </c>
      <c r="N193" t="s">
        <v>5031</v>
      </c>
    </row>
    <row r="194" spans="1:14" x14ac:dyDescent="0.3">
      <c r="A194" t="s">
        <v>217</v>
      </c>
      <c r="B194" t="s">
        <v>12</v>
      </c>
      <c r="C194" t="s">
        <v>35</v>
      </c>
      <c r="D194">
        <v>69</v>
      </c>
      <c r="E194" t="s">
        <v>15</v>
      </c>
      <c r="F194" t="s">
        <v>36</v>
      </c>
      <c r="G194">
        <v>19.75</v>
      </c>
      <c r="H194">
        <v>1375.4</v>
      </c>
      <c r="I194" t="s">
        <v>15</v>
      </c>
      <c r="J194" t="s">
        <v>15</v>
      </c>
      <c r="K194" t="s">
        <v>24</v>
      </c>
      <c r="L194">
        <v>1375.4</v>
      </c>
      <c r="M194" t="s">
        <v>5033</v>
      </c>
      <c r="N194" t="s">
        <v>5031</v>
      </c>
    </row>
    <row r="195" spans="1:14" x14ac:dyDescent="0.3">
      <c r="A195" t="s">
        <v>218</v>
      </c>
      <c r="B195" t="s">
        <v>12</v>
      </c>
      <c r="C195" t="s">
        <v>35</v>
      </c>
      <c r="D195">
        <v>72</v>
      </c>
      <c r="E195" t="s">
        <v>26</v>
      </c>
      <c r="F195" t="s">
        <v>15</v>
      </c>
      <c r="G195">
        <v>109.7</v>
      </c>
      <c r="H195">
        <v>8129.3</v>
      </c>
      <c r="I195" t="s">
        <v>15</v>
      </c>
      <c r="J195" t="s">
        <v>15</v>
      </c>
      <c r="K195" t="s">
        <v>29</v>
      </c>
      <c r="L195">
        <v>8129.3</v>
      </c>
      <c r="M195" t="s">
        <v>5033</v>
      </c>
      <c r="N195" t="s">
        <v>5034</v>
      </c>
    </row>
    <row r="196" spans="1:14" x14ac:dyDescent="0.3">
      <c r="A196" t="s">
        <v>219</v>
      </c>
      <c r="B196" t="s">
        <v>19</v>
      </c>
      <c r="C196" t="s">
        <v>35</v>
      </c>
      <c r="D196">
        <v>59</v>
      </c>
      <c r="E196" t="s">
        <v>15</v>
      </c>
      <c r="F196" t="s">
        <v>36</v>
      </c>
      <c r="G196">
        <v>19.3</v>
      </c>
      <c r="H196">
        <v>1192.7</v>
      </c>
      <c r="I196" t="s">
        <v>15</v>
      </c>
      <c r="J196" t="s">
        <v>15</v>
      </c>
      <c r="K196" t="s">
        <v>29</v>
      </c>
      <c r="L196">
        <v>1192.7</v>
      </c>
      <c r="M196" t="s">
        <v>5033</v>
      </c>
      <c r="N196" t="s">
        <v>5031</v>
      </c>
    </row>
    <row r="197" spans="1:14" x14ac:dyDescent="0.3">
      <c r="A197" t="s">
        <v>220</v>
      </c>
      <c r="B197" t="s">
        <v>12</v>
      </c>
      <c r="C197" t="s">
        <v>13</v>
      </c>
      <c r="D197">
        <v>20</v>
      </c>
      <c r="E197" t="s">
        <v>26</v>
      </c>
      <c r="F197" t="s">
        <v>16</v>
      </c>
      <c r="G197">
        <v>96.55</v>
      </c>
      <c r="H197">
        <v>1901.65</v>
      </c>
      <c r="I197" t="s">
        <v>15</v>
      </c>
      <c r="J197" t="s">
        <v>16</v>
      </c>
      <c r="K197" t="s">
        <v>17</v>
      </c>
      <c r="L197">
        <v>1901.65</v>
      </c>
      <c r="M197" t="s">
        <v>5032</v>
      </c>
      <c r="N197" t="s">
        <v>5031</v>
      </c>
    </row>
    <row r="198" spans="1:14" x14ac:dyDescent="0.3">
      <c r="A198" t="s">
        <v>221</v>
      </c>
      <c r="B198" t="s">
        <v>19</v>
      </c>
      <c r="C198" t="s">
        <v>35</v>
      </c>
      <c r="D198">
        <v>24</v>
      </c>
      <c r="E198" t="s">
        <v>15</v>
      </c>
      <c r="F198" t="s">
        <v>36</v>
      </c>
      <c r="G198">
        <v>24.1</v>
      </c>
      <c r="H198">
        <v>587.4</v>
      </c>
      <c r="I198" t="s">
        <v>15</v>
      </c>
      <c r="J198" t="s">
        <v>16</v>
      </c>
      <c r="K198" t="s">
        <v>24</v>
      </c>
      <c r="L198">
        <v>587.4</v>
      </c>
      <c r="M198" t="s">
        <v>5032</v>
      </c>
      <c r="N198" t="s">
        <v>5031</v>
      </c>
    </row>
    <row r="199" spans="1:14" x14ac:dyDescent="0.3">
      <c r="A199" t="s">
        <v>222</v>
      </c>
      <c r="B199" t="s">
        <v>19</v>
      </c>
      <c r="C199" t="s">
        <v>13</v>
      </c>
      <c r="D199">
        <v>59</v>
      </c>
      <c r="E199" t="s">
        <v>26</v>
      </c>
      <c r="F199" t="s">
        <v>16</v>
      </c>
      <c r="G199">
        <v>111.35</v>
      </c>
      <c r="H199">
        <v>6519.75</v>
      </c>
      <c r="I199" t="s">
        <v>15</v>
      </c>
      <c r="J199" t="s">
        <v>16</v>
      </c>
      <c r="K199" t="s">
        <v>17</v>
      </c>
      <c r="L199">
        <v>6519.75</v>
      </c>
      <c r="M199" t="s">
        <v>5033</v>
      </c>
      <c r="N199" t="s">
        <v>5034</v>
      </c>
    </row>
    <row r="200" spans="1:14" x14ac:dyDescent="0.3">
      <c r="A200" t="s">
        <v>223</v>
      </c>
      <c r="B200" t="s">
        <v>19</v>
      </c>
      <c r="C200" t="s">
        <v>35</v>
      </c>
      <c r="D200">
        <v>72</v>
      </c>
      <c r="E200" t="s">
        <v>26</v>
      </c>
      <c r="F200" t="s">
        <v>16</v>
      </c>
      <c r="G200">
        <v>112.25</v>
      </c>
      <c r="H200">
        <v>8041.65</v>
      </c>
      <c r="I200" t="s">
        <v>15</v>
      </c>
      <c r="J200" t="s">
        <v>16</v>
      </c>
      <c r="K200" t="s">
        <v>24</v>
      </c>
      <c r="L200">
        <v>8041.65</v>
      </c>
      <c r="M200" t="s">
        <v>5033</v>
      </c>
      <c r="N200" t="s">
        <v>5034</v>
      </c>
    </row>
    <row r="201" spans="1:14" x14ac:dyDescent="0.3">
      <c r="A201" t="s">
        <v>224</v>
      </c>
      <c r="B201" t="s">
        <v>19</v>
      </c>
      <c r="C201" t="s">
        <v>13</v>
      </c>
      <c r="D201">
        <v>1</v>
      </c>
      <c r="E201" t="s">
        <v>15</v>
      </c>
      <c r="F201" t="s">
        <v>36</v>
      </c>
      <c r="G201">
        <v>20.75</v>
      </c>
      <c r="H201">
        <v>20.75</v>
      </c>
      <c r="I201" t="s">
        <v>15</v>
      </c>
      <c r="J201" t="s">
        <v>15</v>
      </c>
      <c r="K201" t="s">
        <v>21</v>
      </c>
      <c r="L201">
        <v>20.75</v>
      </c>
      <c r="M201" t="s">
        <v>5030</v>
      </c>
      <c r="N201" t="s">
        <v>5031</v>
      </c>
    </row>
    <row r="202" spans="1:14" x14ac:dyDescent="0.3">
      <c r="A202" t="s">
        <v>225</v>
      </c>
      <c r="B202" t="s">
        <v>12</v>
      </c>
      <c r="C202" t="s">
        <v>20</v>
      </c>
      <c r="D202">
        <v>27</v>
      </c>
      <c r="E202" t="s">
        <v>26</v>
      </c>
      <c r="F202" t="s">
        <v>16</v>
      </c>
      <c r="G202">
        <v>101.9</v>
      </c>
      <c r="H202">
        <v>2681.15</v>
      </c>
      <c r="I202" t="s">
        <v>15</v>
      </c>
      <c r="J202" t="s">
        <v>16</v>
      </c>
      <c r="K202" t="s">
        <v>29</v>
      </c>
      <c r="L202">
        <v>2681.15</v>
      </c>
      <c r="M202" t="s">
        <v>5032</v>
      </c>
      <c r="N202" t="s">
        <v>5034</v>
      </c>
    </row>
    <row r="203" spans="1:14" x14ac:dyDescent="0.3">
      <c r="A203" t="s">
        <v>226</v>
      </c>
      <c r="B203" t="s">
        <v>12</v>
      </c>
      <c r="C203" t="s">
        <v>13</v>
      </c>
      <c r="D203">
        <v>14</v>
      </c>
      <c r="E203" t="s">
        <v>26</v>
      </c>
      <c r="F203" t="s">
        <v>16</v>
      </c>
      <c r="G203">
        <v>80.05</v>
      </c>
      <c r="H203">
        <v>1112.3</v>
      </c>
      <c r="I203" t="s">
        <v>15</v>
      </c>
      <c r="J203" t="s">
        <v>16</v>
      </c>
      <c r="K203" t="s">
        <v>29</v>
      </c>
      <c r="L203">
        <v>1112.3</v>
      </c>
      <c r="M203" t="s">
        <v>5032</v>
      </c>
      <c r="N203" t="s">
        <v>5031</v>
      </c>
    </row>
    <row r="204" spans="1:14" x14ac:dyDescent="0.3">
      <c r="A204" t="s">
        <v>227</v>
      </c>
      <c r="B204" t="s">
        <v>19</v>
      </c>
      <c r="C204" t="s">
        <v>35</v>
      </c>
      <c r="D204">
        <v>71</v>
      </c>
      <c r="E204" t="s">
        <v>26</v>
      </c>
      <c r="F204" t="s">
        <v>15</v>
      </c>
      <c r="G204">
        <v>105.55</v>
      </c>
      <c r="H204">
        <v>7405.5</v>
      </c>
      <c r="I204" t="s">
        <v>15</v>
      </c>
      <c r="J204" t="s">
        <v>15</v>
      </c>
      <c r="K204" t="s">
        <v>17</v>
      </c>
      <c r="L204">
        <v>7405.5</v>
      </c>
      <c r="M204" t="s">
        <v>5033</v>
      </c>
      <c r="N204" t="s">
        <v>5034</v>
      </c>
    </row>
    <row r="205" spans="1:14" x14ac:dyDescent="0.3">
      <c r="A205" t="s">
        <v>228</v>
      </c>
      <c r="B205" t="s">
        <v>19</v>
      </c>
      <c r="C205" t="s">
        <v>13</v>
      </c>
      <c r="D205">
        <v>13</v>
      </c>
      <c r="E205" t="s">
        <v>26</v>
      </c>
      <c r="F205" t="s">
        <v>15</v>
      </c>
      <c r="G205">
        <v>78.3</v>
      </c>
      <c r="H205">
        <v>1033.95</v>
      </c>
      <c r="I205" t="s">
        <v>15</v>
      </c>
      <c r="J205" t="s">
        <v>16</v>
      </c>
      <c r="K205" t="s">
        <v>29</v>
      </c>
      <c r="L205">
        <v>1033.95</v>
      </c>
      <c r="M205" t="s">
        <v>5032</v>
      </c>
      <c r="N205" t="s">
        <v>5031</v>
      </c>
    </row>
    <row r="206" spans="1:14" x14ac:dyDescent="0.3">
      <c r="A206" t="s">
        <v>229</v>
      </c>
      <c r="B206" t="s">
        <v>19</v>
      </c>
      <c r="C206" t="s">
        <v>13</v>
      </c>
      <c r="D206">
        <v>44</v>
      </c>
      <c r="E206" t="s">
        <v>26</v>
      </c>
      <c r="F206" t="s">
        <v>15</v>
      </c>
      <c r="G206">
        <v>68.849999999999994</v>
      </c>
      <c r="H206">
        <v>2958.95</v>
      </c>
      <c r="I206" t="s">
        <v>15</v>
      </c>
      <c r="J206" t="s">
        <v>15</v>
      </c>
      <c r="K206" t="s">
        <v>29</v>
      </c>
      <c r="L206">
        <v>2958.95</v>
      </c>
      <c r="M206" t="s">
        <v>5033</v>
      </c>
      <c r="N206" t="s">
        <v>5034</v>
      </c>
    </row>
    <row r="207" spans="1:14" x14ac:dyDescent="0.3">
      <c r="A207" t="s">
        <v>230</v>
      </c>
      <c r="B207" t="s">
        <v>12</v>
      </c>
      <c r="C207" t="s">
        <v>20</v>
      </c>
      <c r="D207">
        <v>33</v>
      </c>
      <c r="E207" t="s">
        <v>26</v>
      </c>
      <c r="F207" t="s">
        <v>16</v>
      </c>
      <c r="G207">
        <v>79.95</v>
      </c>
      <c r="H207">
        <v>2684.85</v>
      </c>
      <c r="I207" t="s">
        <v>15</v>
      </c>
      <c r="J207" t="s">
        <v>16</v>
      </c>
      <c r="K207" t="s">
        <v>24</v>
      </c>
      <c r="L207">
        <v>2684.85</v>
      </c>
      <c r="M207" t="s">
        <v>5032</v>
      </c>
      <c r="N207" t="s">
        <v>5034</v>
      </c>
    </row>
    <row r="208" spans="1:14" x14ac:dyDescent="0.3">
      <c r="A208" t="s">
        <v>231</v>
      </c>
      <c r="B208" t="s">
        <v>19</v>
      </c>
      <c r="C208" t="s">
        <v>35</v>
      </c>
      <c r="D208">
        <v>72</v>
      </c>
      <c r="E208" t="s">
        <v>14</v>
      </c>
      <c r="F208" t="s">
        <v>16</v>
      </c>
      <c r="G208">
        <v>55.45</v>
      </c>
      <c r="H208">
        <v>4179.2</v>
      </c>
      <c r="I208" t="s">
        <v>15</v>
      </c>
      <c r="J208" t="s">
        <v>16</v>
      </c>
      <c r="K208" t="s">
        <v>29</v>
      </c>
      <c r="L208">
        <v>4179.2</v>
      </c>
      <c r="M208" t="s">
        <v>5033</v>
      </c>
      <c r="N208" t="s">
        <v>5034</v>
      </c>
    </row>
    <row r="209" spans="1:14" x14ac:dyDescent="0.3">
      <c r="A209" t="s">
        <v>232</v>
      </c>
      <c r="B209" t="s">
        <v>19</v>
      </c>
      <c r="C209" t="s">
        <v>13</v>
      </c>
      <c r="D209">
        <v>1</v>
      </c>
      <c r="E209" t="s">
        <v>26</v>
      </c>
      <c r="F209" t="s">
        <v>15</v>
      </c>
      <c r="G209">
        <v>79.900000000000006</v>
      </c>
      <c r="H209">
        <v>79.900000000000006</v>
      </c>
      <c r="I209" t="s">
        <v>16</v>
      </c>
      <c r="J209" t="s">
        <v>15</v>
      </c>
      <c r="K209" t="s">
        <v>17</v>
      </c>
      <c r="L209">
        <v>79.900000000000006</v>
      </c>
      <c r="M209" t="s">
        <v>5030</v>
      </c>
      <c r="N209" t="s">
        <v>5031</v>
      </c>
    </row>
    <row r="210" spans="1:14" x14ac:dyDescent="0.3">
      <c r="A210" t="s">
        <v>233</v>
      </c>
      <c r="B210" t="s">
        <v>12</v>
      </c>
      <c r="C210" t="s">
        <v>13</v>
      </c>
      <c r="D210">
        <v>19</v>
      </c>
      <c r="E210" t="s">
        <v>26</v>
      </c>
      <c r="F210" t="s">
        <v>16</v>
      </c>
      <c r="G210">
        <v>106.6</v>
      </c>
      <c r="H210">
        <v>1934.45</v>
      </c>
      <c r="I210" t="s">
        <v>16</v>
      </c>
      <c r="J210" t="s">
        <v>16</v>
      </c>
      <c r="K210" t="s">
        <v>17</v>
      </c>
      <c r="L210">
        <v>1934.45</v>
      </c>
      <c r="M210" t="s">
        <v>5032</v>
      </c>
      <c r="N210" t="s">
        <v>5031</v>
      </c>
    </row>
    <row r="211" spans="1:14" x14ac:dyDescent="0.3">
      <c r="A211" t="s">
        <v>234</v>
      </c>
      <c r="B211" t="s">
        <v>19</v>
      </c>
      <c r="C211" t="s">
        <v>20</v>
      </c>
      <c r="D211">
        <v>64</v>
      </c>
      <c r="E211" t="s">
        <v>26</v>
      </c>
      <c r="F211" t="s">
        <v>16</v>
      </c>
      <c r="G211">
        <v>102.45</v>
      </c>
      <c r="H211">
        <v>6654.1</v>
      </c>
      <c r="I211" t="s">
        <v>15</v>
      </c>
      <c r="J211" t="s">
        <v>16</v>
      </c>
      <c r="K211" t="s">
        <v>29</v>
      </c>
      <c r="L211">
        <v>6654.1</v>
      </c>
      <c r="M211" t="s">
        <v>5033</v>
      </c>
      <c r="N211" t="s">
        <v>5034</v>
      </c>
    </row>
    <row r="212" spans="1:14" x14ac:dyDescent="0.3">
      <c r="A212" t="s">
        <v>235</v>
      </c>
      <c r="B212" t="s">
        <v>19</v>
      </c>
      <c r="C212" t="s">
        <v>13</v>
      </c>
      <c r="D212">
        <v>2</v>
      </c>
      <c r="E212" t="s">
        <v>14</v>
      </c>
      <c r="F212" t="s">
        <v>15</v>
      </c>
      <c r="G212">
        <v>46</v>
      </c>
      <c r="H212">
        <v>84.5</v>
      </c>
      <c r="I212" t="s">
        <v>16</v>
      </c>
      <c r="J212" t="s">
        <v>16</v>
      </c>
      <c r="K212" t="s">
        <v>29</v>
      </c>
      <c r="L212">
        <v>84.5</v>
      </c>
      <c r="M212" t="s">
        <v>5030</v>
      </c>
      <c r="N212" t="s">
        <v>5031</v>
      </c>
    </row>
    <row r="213" spans="1:14" x14ac:dyDescent="0.3">
      <c r="A213" t="s">
        <v>236</v>
      </c>
      <c r="B213" t="s">
        <v>12</v>
      </c>
      <c r="C213" t="s">
        <v>13</v>
      </c>
      <c r="D213">
        <v>1</v>
      </c>
      <c r="E213" t="s">
        <v>14</v>
      </c>
      <c r="F213" t="s">
        <v>15</v>
      </c>
      <c r="G213">
        <v>25.25</v>
      </c>
      <c r="H213">
        <v>25.25</v>
      </c>
      <c r="I213" t="s">
        <v>15</v>
      </c>
      <c r="J213" t="s">
        <v>15</v>
      </c>
      <c r="K213" t="s">
        <v>17</v>
      </c>
      <c r="L213">
        <v>25.25</v>
      </c>
      <c r="M213" t="s">
        <v>5030</v>
      </c>
      <c r="N213" t="s">
        <v>5031</v>
      </c>
    </row>
    <row r="214" spans="1:14" x14ac:dyDescent="0.3">
      <c r="A214" t="s">
        <v>237</v>
      </c>
      <c r="B214" t="s">
        <v>19</v>
      </c>
      <c r="C214" t="s">
        <v>35</v>
      </c>
      <c r="D214">
        <v>61</v>
      </c>
      <c r="E214" t="s">
        <v>15</v>
      </c>
      <c r="F214" t="s">
        <v>36</v>
      </c>
      <c r="G214">
        <v>19.75</v>
      </c>
      <c r="H214">
        <v>1124.2</v>
      </c>
      <c r="I214" t="s">
        <v>15</v>
      </c>
      <c r="J214" t="s">
        <v>15</v>
      </c>
      <c r="K214" t="s">
        <v>21</v>
      </c>
      <c r="L214">
        <v>1124.2</v>
      </c>
      <c r="M214" t="s">
        <v>5033</v>
      </c>
      <c r="N214" t="s">
        <v>5031</v>
      </c>
    </row>
    <row r="215" spans="1:14" x14ac:dyDescent="0.3">
      <c r="A215" t="s">
        <v>238</v>
      </c>
      <c r="B215" t="s">
        <v>12</v>
      </c>
      <c r="C215" t="s">
        <v>20</v>
      </c>
      <c r="D215">
        <v>29</v>
      </c>
      <c r="E215" t="s">
        <v>15</v>
      </c>
      <c r="F215" t="s">
        <v>36</v>
      </c>
      <c r="G215">
        <v>20</v>
      </c>
      <c r="H215">
        <v>540.04999999999995</v>
      </c>
      <c r="I215" t="s">
        <v>15</v>
      </c>
      <c r="J215" t="s">
        <v>15</v>
      </c>
      <c r="K215" t="s">
        <v>17</v>
      </c>
      <c r="L215">
        <v>540.04999999999995</v>
      </c>
      <c r="M215" t="s">
        <v>5032</v>
      </c>
      <c r="N215" t="s">
        <v>5031</v>
      </c>
    </row>
    <row r="216" spans="1:14" x14ac:dyDescent="0.3">
      <c r="A216" t="s">
        <v>239</v>
      </c>
      <c r="B216" t="s">
        <v>19</v>
      </c>
      <c r="C216" t="s">
        <v>13</v>
      </c>
      <c r="D216">
        <v>23</v>
      </c>
      <c r="E216" t="s">
        <v>26</v>
      </c>
      <c r="F216" t="s">
        <v>15</v>
      </c>
      <c r="G216">
        <v>86.8</v>
      </c>
      <c r="H216">
        <v>1975.85</v>
      </c>
      <c r="I216" t="s">
        <v>15</v>
      </c>
      <c r="J216" t="s">
        <v>15</v>
      </c>
      <c r="K216" t="s">
        <v>17</v>
      </c>
      <c r="L216">
        <v>1975.85</v>
      </c>
      <c r="M216" t="s">
        <v>5032</v>
      </c>
      <c r="N216" t="s">
        <v>5031</v>
      </c>
    </row>
    <row r="217" spans="1:14" x14ac:dyDescent="0.3">
      <c r="A217" t="s">
        <v>240</v>
      </c>
      <c r="B217" t="s">
        <v>12</v>
      </c>
      <c r="C217" t="s">
        <v>13</v>
      </c>
      <c r="D217">
        <v>57</v>
      </c>
      <c r="E217" t="s">
        <v>14</v>
      </c>
      <c r="F217" t="s">
        <v>15</v>
      </c>
      <c r="G217">
        <v>58.75</v>
      </c>
      <c r="H217">
        <v>3437.45</v>
      </c>
      <c r="I217" t="s">
        <v>15</v>
      </c>
      <c r="J217" t="s">
        <v>16</v>
      </c>
      <c r="K217" t="s">
        <v>24</v>
      </c>
      <c r="L217">
        <v>3437.45</v>
      </c>
      <c r="M217" t="s">
        <v>5033</v>
      </c>
      <c r="N217" t="s">
        <v>5034</v>
      </c>
    </row>
    <row r="218" spans="1:14" x14ac:dyDescent="0.3">
      <c r="A218" t="s">
        <v>241</v>
      </c>
      <c r="B218" t="s">
        <v>19</v>
      </c>
      <c r="C218" t="s">
        <v>35</v>
      </c>
      <c r="D218">
        <v>72</v>
      </c>
      <c r="E218" t="s">
        <v>14</v>
      </c>
      <c r="F218" t="s">
        <v>16</v>
      </c>
      <c r="G218">
        <v>45.25</v>
      </c>
      <c r="H218">
        <v>3139.8</v>
      </c>
      <c r="I218" t="s">
        <v>15</v>
      </c>
      <c r="J218" t="s">
        <v>15</v>
      </c>
      <c r="K218" t="s">
        <v>29</v>
      </c>
      <c r="L218">
        <v>3139.8</v>
      </c>
      <c r="M218" t="s">
        <v>5033</v>
      </c>
      <c r="N218" t="s">
        <v>5034</v>
      </c>
    </row>
    <row r="219" spans="1:14" x14ac:dyDescent="0.3">
      <c r="A219" t="s">
        <v>242</v>
      </c>
      <c r="B219" t="s">
        <v>19</v>
      </c>
      <c r="C219" t="s">
        <v>35</v>
      </c>
      <c r="D219">
        <v>66</v>
      </c>
      <c r="E219" t="s">
        <v>14</v>
      </c>
      <c r="F219" t="s">
        <v>16</v>
      </c>
      <c r="G219">
        <v>56.6</v>
      </c>
      <c r="H219">
        <v>3789.2</v>
      </c>
      <c r="I219" t="s">
        <v>15</v>
      </c>
      <c r="J219" t="s">
        <v>16</v>
      </c>
      <c r="K219" t="s">
        <v>24</v>
      </c>
      <c r="L219">
        <v>3789.2</v>
      </c>
      <c r="M219" t="s">
        <v>5033</v>
      </c>
      <c r="N219" t="s">
        <v>5034</v>
      </c>
    </row>
    <row r="220" spans="1:14" x14ac:dyDescent="0.3">
      <c r="A220" t="s">
        <v>243</v>
      </c>
      <c r="B220" t="s">
        <v>19</v>
      </c>
      <c r="C220" t="s">
        <v>35</v>
      </c>
      <c r="D220">
        <v>65</v>
      </c>
      <c r="E220" t="s">
        <v>14</v>
      </c>
      <c r="F220" t="s">
        <v>16</v>
      </c>
      <c r="G220">
        <v>84.2</v>
      </c>
      <c r="H220">
        <v>5324.5</v>
      </c>
      <c r="I220" t="s">
        <v>15</v>
      </c>
      <c r="J220" t="s">
        <v>16</v>
      </c>
      <c r="K220" t="s">
        <v>24</v>
      </c>
      <c r="L220">
        <v>5324.5</v>
      </c>
      <c r="M220" t="s">
        <v>5033</v>
      </c>
      <c r="N220" t="s">
        <v>5034</v>
      </c>
    </row>
    <row r="221" spans="1:14" x14ac:dyDescent="0.3">
      <c r="A221" t="s">
        <v>244</v>
      </c>
      <c r="B221" t="s">
        <v>12</v>
      </c>
      <c r="C221" t="s">
        <v>13</v>
      </c>
      <c r="D221">
        <v>8</v>
      </c>
      <c r="E221" t="s">
        <v>26</v>
      </c>
      <c r="F221" t="s">
        <v>15</v>
      </c>
      <c r="G221">
        <v>80</v>
      </c>
      <c r="H221">
        <v>624.6</v>
      </c>
      <c r="I221" t="s">
        <v>15</v>
      </c>
      <c r="J221" t="s">
        <v>16</v>
      </c>
      <c r="K221" t="s">
        <v>24</v>
      </c>
      <c r="L221">
        <v>624.6</v>
      </c>
      <c r="M221" t="s">
        <v>5030</v>
      </c>
      <c r="N221" t="s">
        <v>5031</v>
      </c>
    </row>
    <row r="222" spans="1:14" x14ac:dyDescent="0.3">
      <c r="A222" t="s">
        <v>245</v>
      </c>
      <c r="B222" t="s">
        <v>12</v>
      </c>
      <c r="C222" t="s">
        <v>13</v>
      </c>
      <c r="D222">
        <v>4</v>
      </c>
      <c r="E222" t="s">
        <v>26</v>
      </c>
      <c r="F222" t="s">
        <v>15</v>
      </c>
      <c r="G222">
        <v>70.150000000000006</v>
      </c>
      <c r="H222">
        <v>268.35000000000002</v>
      </c>
      <c r="I222" t="s">
        <v>16</v>
      </c>
      <c r="J222" t="s">
        <v>16</v>
      </c>
      <c r="K222" t="s">
        <v>17</v>
      </c>
      <c r="L222">
        <v>268.35000000000002</v>
      </c>
      <c r="M222" t="s">
        <v>5030</v>
      </c>
      <c r="N222" t="s">
        <v>5031</v>
      </c>
    </row>
    <row r="223" spans="1:14" x14ac:dyDescent="0.3">
      <c r="A223" t="s">
        <v>246</v>
      </c>
      <c r="B223" t="s">
        <v>12</v>
      </c>
      <c r="C223" t="s">
        <v>35</v>
      </c>
      <c r="D223">
        <v>71</v>
      </c>
      <c r="E223" t="s">
        <v>15</v>
      </c>
      <c r="F223" t="s">
        <v>36</v>
      </c>
      <c r="G223">
        <v>24.75</v>
      </c>
      <c r="H223">
        <v>1836.9</v>
      </c>
      <c r="I223" t="s">
        <v>15</v>
      </c>
      <c r="J223" t="s">
        <v>15</v>
      </c>
      <c r="K223" t="s">
        <v>24</v>
      </c>
      <c r="L223">
        <v>1836.9</v>
      </c>
      <c r="M223" t="s">
        <v>5033</v>
      </c>
      <c r="N223" t="s">
        <v>5031</v>
      </c>
    </row>
    <row r="224" spans="1:14" x14ac:dyDescent="0.3">
      <c r="A224" t="s">
        <v>247</v>
      </c>
      <c r="B224" t="s">
        <v>19</v>
      </c>
      <c r="C224" t="s">
        <v>20</v>
      </c>
      <c r="D224">
        <v>1</v>
      </c>
      <c r="E224" t="s">
        <v>15</v>
      </c>
      <c r="F224" t="s">
        <v>36</v>
      </c>
      <c r="G224">
        <v>20.2</v>
      </c>
      <c r="H224">
        <v>20.2</v>
      </c>
      <c r="I224" t="s">
        <v>15</v>
      </c>
      <c r="J224" t="s">
        <v>16</v>
      </c>
      <c r="K224" t="s">
        <v>17</v>
      </c>
      <c r="L224">
        <v>20.2</v>
      </c>
      <c r="M224" t="s">
        <v>5030</v>
      </c>
      <c r="N224" t="s">
        <v>5031</v>
      </c>
    </row>
    <row r="225" spans="1:14" x14ac:dyDescent="0.3">
      <c r="A225" t="s">
        <v>248</v>
      </c>
      <c r="B225" t="s">
        <v>19</v>
      </c>
      <c r="C225" t="s">
        <v>13</v>
      </c>
      <c r="D225">
        <v>4</v>
      </c>
      <c r="E225" t="s">
        <v>14</v>
      </c>
      <c r="F225" t="s">
        <v>16</v>
      </c>
      <c r="G225">
        <v>50.05</v>
      </c>
      <c r="H225">
        <v>179.35</v>
      </c>
      <c r="I225" t="s">
        <v>16</v>
      </c>
      <c r="J225" t="s">
        <v>15</v>
      </c>
      <c r="K225" t="s">
        <v>21</v>
      </c>
      <c r="L225">
        <v>179.35</v>
      </c>
      <c r="M225" t="s">
        <v>5030</v>
      </c>
      <c r="N225" t="s">
        <v>5031</v>
      </c>
    </row>
    <row r="226" spans="1:14" x14ac:dyDescent="0.3">
      <c r="A226" t="s">
        <v>249</v>
      </c>
      <c r="B226" t="s">
        <v>12</v>
      </c>
      <c r="C226" t="s">
        <v>20</v>
      </c>
      <c r="D226">
        <v>12</v>
      </c>
      <c r="E226" t="s">
        <v>15</v>
      </c>
      <c r="F226" t="s">
        <v>36</v>
      </c>
      <c r="G226">
        <v>19.350000000000001</v>
      </c>
      <c r="H226">
        <v>219.35</v>
      </c>
      <c r="I226" t="s">
        <v>15</v>
      </c>
      <c r="J226" t="s">
        <v>16</v>
      </c>
      <c r="K226" t="s">
        <v>24</v>
      </c>
      <c r="L226">
        <v>219.35</v>
      </c>
      <c r="M226" t="s">
        <v>5030</v>
      </c>
      <c r="N226" t="s">
        <v>5031</v>
      </c>
    </row>
    <row r="227" spans="1:14" x14ac:dyDescent="0.3">
      <c r="A227" t="s">
        <v>250</v>
      </c>
      <c r="B227" t="s">
        <v>19</v>
      </c>
      <c r="C227" t="s">
        <v>20</v>
      </c>
      <c r="D227">
        <v>24</v>
      </c>
      <c r="E227" t="s">
        <v>14</v>
      </c>
      <c r="F227" t="s">
        <v>15</v>
      </c>
      <c r="G227">
        <v>50.6</v>
      </c>
      <c r="H227">
        <v>1288.75</v>
      </c>
      <c r="I227" t="s">
        <v>15</v>
      </c>
      <c r="J227" t="s">
        <v>16</v>
      </c>
      <c r="K227" t="s">
        <v>21</v>
      </c>
      <c r="L227">
        <v>1288.75</v>
      </c>
      <c r="M227" t="s">
        <v>5032</v>
      </c>
      <c r="N227" t="s">
        <v>5031</v>
      </c>
    </row>
    <row r="228" spans="1:14" x14ac:dyDescent="0.3">
      <c r="A228" t="s">
        <v>251</v>
      </c>
      <c r="B228" t="s">
        <v>12</v>
      </c>
      <c r="C228" t="s">
        <v>20</v>
      </c>
      <c r="D228">
        <v>31</v>
      </c>
      <c r="E228" t="s">
        <v>14</v>
      </c>
      <c r="F228" t="s">
        <v>16</v>
      </c>
      <c r="G228">
        <v>81.150000000000006</v>
      </c>
      <c r="H228">
        <v>2545.75</v>
      </c>
      <c r="I228" t="s">
        <v>15</v>
      </c>
      <c r="J228" t="s">
        <v>16</v>
      </c>
      <c r="K228" t="s">
        <v>21</v>
      </c>
      <c r="L228">
        <v>2545.75</v>
      </c>
      <c r="M228" t="s">
        <v>5032</v>
      </c>
      <c r="N228" t="s">
        <v>5034</v>
      </c>
    </row>
    <row r="229" spans="1:14" x14ac:dyDescent="0.3">
      <c r="A229" t="s">
        <v>252</v>
      </c>
      <c r="B229" t="s">
        <v>12</v>
      </c>
      <c r="C229" t="s">
        <v>13</v>
      </c>
      <c r="D229">
        <v>1</v>
      </c>
      <c r="E229" t="s">
        <v>14</v>
      </c>
      <c r="F229" t="s">
        <v>15</v>
      </c>
      <c r="G229">
        <v>55.2</v>
      </c>
      <c r="H229">
        <v>55.2</v>
      </c>
      <c r="I229" t="s">
        <v>16</v>
      </c>
      <c r="J229" t="s">
        <v>15</v>
      </c>
      <c r="K229" t="s">
        <v>21</v>
      </c>
      <c r="L229">
        <v>55.2</v>
      </c>
      <c r="M229" t="s">
        <v>5030</v>
      </c>
      <c r="N229" t="s">
        <v>5031</v>
      </c>
    </row>
    <row r="230" spans="1:14" x14ac:dyDescent="0.3">
      <c r="A230" t="s">
        <v>253</v>
      </c>
      <c r="B230" t="s">
        <v>19</v>
      </c>
      <c r="C230" t="s">
        <v>13</v>
      </c>
      <c r="D230">
        <v>30</v>
      </c>
      <c r="E230" t="s">
        <v>26</v>
      </c>
      <c r="F230" t="s">
        <v>16</v>
      </c>
      <c r="G230">
        <v>89.9</v>
      </c>
      <c r="H230">
        <v>2723.15</v>
      </c>
      <c r="I230" t="s">
        <v>15</v>
      </c>
      <c r="J230" t="s">
        <v>16</v>
      </c>
      <c r="K230" t="s">
        <v>29</v>
      </c>
      <c r="L230">
        <v>2723.15</v>
      </c>
      <c r="M230" t="s">
        <v>5032</v>
      </c>
      <c r="N230" t="s">
        <v>5034</v>
      </c>
    </row>
    <row r="231" spans="1:14" x14ac:dyDescent="0.3">
      <c r="A231" t="s">
        <v>254</v>
      </c>
      <c r="B231" t="s">
        <v>12</v>
      </c>
      <c r="C231" t="s">
        <v>35</v>
      </c>
      <c r="D231">
        <v>47</v>
      </c>
      <c r="E231" t="s">
        <v>14</v>
      </c>
      <c r="F231" t="s">
        <v>16</v>
      </c>
      <c r="G231">
        <v>85.3</v>
      </c>
      <c r="H231">
        <v>4107.25</v>
      </c>
      <c r="I231" t="s">
        <v>15</v>
      </c>
      <c r="J231" t="s">
        <v>16</v>
      </c>
      <c r="K231" t="s">
        <v>29</v>
      </c>
      <c r="L231">
        <v>4107.25</v>
      </c>
      <c r="M231" t="s">
        <v>5033</v>
      </c>
      <c r="N231" t="s">
        <v>5034</v>
      </c>
    </row>
    <row r="232" spans="1:14" x14ac:dyDescent="0.3">
      <c r="A232" t="s">
        <v>255</v>
      </c>
      <c r="B232" t="s">
        <v>19</v>
      </c>
      <c r="C232" t="s">
        <v>35</v>
      </c>
      <c r="D232">
        <v>54</v>
      </c>
      <c r="E232" t="s">
        <v>26</v>
      </c>
      <c r="F232" t="s">
        <v>16</v>
      </c>
      <c r="G232">
        <v>108</v>
      </c>
      <c r="H232">
        <v>5760.65</v>
      </c>
      <c r="I232" t="s">
        <v>15</v>
      </c>
      <c r="J232" t="s">
        <v>16</v>
      </c>
      <c r="K232" t="s">
        <v>29</v>
      </c>
      <c r="L232">
        <v>5760.65</v>
      </c>
      <c r="M232" t="s">
        <v>5033</v>
      </c>
      <c r="N232" t="s">
        <v>5034</v>
      </c>
    </row>
    <row r="233" spans="1:14" x14ac:dyDescent="0.3">
      <c r="A233" t="s">
        <v>256</v>
      </c>
      <c r="B233" t="s">
        <v>19</v>
      </c>
      <c r="C233" t="s">
        <v>13</v>
      </c>
      <c r="D233">
        <v>50</v>
      </c>
      <c r="E233" t="s">
        <v>26</v>
      </c>
      <c r="F233" t="s">
        <v>16</v>
      </c>
      <c r="G233">
        <v>93.5</v>
      </c>
      <c r="H233">
        <v>4747.5</v>
      </c>
      <c r="I233" t="s">
        <v>15</v>
      </c>
      <c r="J233" t="s">
        <v>16</v>
      </c>
      <c r="K233" t="s">
        <v>29</v>
      </c>
      <c r="L233">
        <v>4747.5</v>
      </c>
      <c r="M233" t="s">
        <v>5033</v>
      </c>
      <c r="N233" t="s">
        <v>5034</v>
      </c>
    </row>
    <row r="234" spans="1:14" x14ac:dyDescent="0.3">
      <c r="A234" t="s">
        <v>257</v>
      </c>
      <c r="B234" t="s">
        <v>19</v>
      </c>
      <c r="C234" t="s">
        <v>13</v>
      </c>
      <c r="D234">
        <v>1</v>
      </c>
      <c r="E234" t="s">
        <v>26</v>
      </c>
      <c r="F234" t="s">
        <v>15</v>
      </c>
      <c r="G234">
        <v>84.6</v>
      </c>
      <c r="H234">
        <v>84.6</v>
      </c>
      <c r="I234" t="s">
        <v>16</v>
      </c>
      <c r="J234" t="s">
        <v>16</v>
      </c>
      <c r="K234" t="s">
        <v>21</v>
      </c>
      <c r="L234">
        <v>84.6</v>
      </c>
      <c r="M234" t="s">
        <v>5030</v>
      </c>
      <c r="N234" t="s">
        <v>5031</v>
      </c>
    </row>
    <row r="235" spans="1:14" x14ac:dyDescent="0.3">
      <c r="A235" t="s">
        <v>258</v>
      </c>
      <c r="B235" t="s">
        <v>12</v>
      </c>
      <c r="C235" t="s">
        <v>35</v>
      </c>
      <c r="D235">
        <v>72</v>
      </c>
      <c r="E235" t="s">
        <v>15</v>
      </c>
      <c r="F235" t="s">
        <v>36</v>
      </c>
      <c r="G235">
        <v>20.25</v>
      </c>
      <c r="H235">
        <v>1566.9</v>
      </c>
      <c r="I235" t="s">
        <v>15</v>
      </c>
      <c r="J235" t="s">
        <v>15</v>
      </c>
      <c r="K235" t="s">
        <v>29</v>
      </c>
      <c r="L235">
        <v>1566.9</v>
      </c>
      <c r="M235" t="s">
        <v>5033</v>
      </c>
      <c r="N235" t="s">
        <v>5031</v>
      </c>
    </row>
    <row r="236" spans="1:14" x14ac:dyDescent="0.3">
      <c r="A236" t="s">
        <v>259</v>
      </c>
      <c r="B236" t="s">
        <v>12</v>
      </c>
      <c r="C236" t="s">
        <v>13</v>
      </c>
      <c r="D236">
        <v>29</v>
      </c>
      <c r="E236" t="s">
        <v>15</v>
      </c>
      <c r="F236" t="s">
        <v>36</v>
      </c>
      <c r="G236">
        <v>25.15</v>
      </c>
      <c r="H236">
        <v>702</v>
      </c>
      <c r="I236" t="s">
        <v>15</v>
      </c>
      <c r="J236" t="s">
        <v>15</v>
      </c>
      <c r="K236" t="s">
        <v>17</v>
      </c>
      <c r="L236">
        <v>702</v>
      </c>
      <c r="M236" t="s">
        <v>5032</v>
      </c>
      <c r="N236" t="s">
        <v>5031</v>
      </c>
    </row>
    <row r="237" spans="1:14" x14ac:dyDescent="0.3">
      <c r="A237" t="s">
        <v>260</v>
      </c>
      <c r="B237" t="s">
        <v>19</v>
      </c>
      <c r="C237" t="s">
        <v>13</v>
      </c>
      <c r="D237">
        <v>2</v>
      </c>
      <c r="E237" t="s">
        <v>14</v>
      </c>
      <c r="F237" t="s">
        <v>15</v>
      </c>
      <c r="G237">
        <v>54.4</v>
      </c>
      <c r="H237">
        <v>114.1</v>
      </c>
      <c r="I237" t="s">
        <v>16</v>
      </c>
      <c r="J237" t="s">
        <v>16</v>
      </c>
      <c r="K237" t="s">
        <v>21</v>
      </c>
      <c r="L237">
        <v>114.1</v>
      </c>
      <c r="M237" t="s">
        <v>5030</v>
      </c>
      <c r="N237" t="s">
        <v>5031</v>
      </c>
    </row>
    <row r="238" spans="1:14" x14ac:dyDescent="0.3">
      <c r="A238" t="s">
        <v>261</v>
      </c>
      <c r="B238" t="s">
        <v>12</v>
      </c>
      <c r="C238" t="s">
        <v>35</v>
      </c>
      <c r="D238">
        <v>10</v>
      </c>
      <c r="E238" t="s">
        <v>14</v>
      </c>
      <c r="F238" t="s">
        <v>16</v>
      </c>
      <c r="G238">
        <v>29.6</v>
      </c>
      <c r="H238">
        <v>299.05</v>
      </c>
      <c r="I238" t="s">
        <v>15</v>
      </c>
      <c r="J238" t="s">
        <v>16</v>
      </c>
      <c r="K238" t="s">
        <v>21</v>
      </c>
      <c r="L238">
        <v>299.05</v>
      </c>
      <c r="M238" t="s">
        <v>5030</v>
      </c>
      <c r="N238" t="s">
        <v>5031</v>
      </c>
    </row>
    <row r="239" spans="1:14" x14ac:dyDescent="0.3">
      <c r="A239" t="s">
        <v>262</v>
      </c>
      <c r="B239" t="s">
        <v>19</v>
      </c>
      <c r="C239" t="s">
        <v>13</v>
      </c>
      <c r="D239">
        <v>18</v>
      </c>
      <c r="E239" t="s">
        <v>26</v>
      </c>
      <c r="F239" t="s">
        <v>15</v>
      </c>
      <c r="G239">
        <v>73.150000000000006</v>
      </c>
      <c r="H239">
        <v>1305.95</v>
      </c>
      <c r="I239" t="s">
        <v>15</v>
      </c>
      <c r="J239" t="s">
        <v>16</v>
      </c>
      <c r="K239" t="s">
        <v>17</v>
      </c>
      <c r="L239">
        <v>1305.95</v>
      </c>
      <c r="M239" t="s">
        <v>5032</v>
      </c>
      <c r="N239" t="s">
        <v>5031</v>
      </c>
    </row>
    <row r="240" spans="1:14" x14ac:dyDescent="0.3">
      <c r="A240" t="s">
        <v>263</v>
      </c>
      <c r="B240" t="s">
        <v>12</v>
      </c>
      <c r="C240" t="s">
        <v>13</v>
      </c>
      <c r="D240">
        <v>11</v>
      </c>
      <c r="E240" t="s">
        <v>26</v>
      </c>
      <c r="F240" t="s">
        <v>15</v>
      </c>
      <c r="G240">
        <v>95</v>
      </c>
      <c r="H240">
        <v>1120.3</v>
      </c>
      <c r="I240" t="s">
        <v>16</v>
      </c>
      <c r="J240" t="s">
        <v>16</v>
      </c>
      <c r="K240" t="s">
        <v>17</v>
      </c>
      <c r="L240">
        <v>1120.3</v>
      </c>
      <c r="M240" t="s">
        <v>5030</v>
      </c>
      <c r="N240" t="s">
        <v>5031</v>
      </c>
    </row>
    <row r="241" spans="1:14" x14ac:dyDescent="0.3">
      <c r="A241" t="s">
        <v>264</v>
      </c>
      <c r="B241" t="s">
        <v>19</v>
      </c>
      <c r="C241" t="s">
        <v>35</v>
      </c>
      <c r="D241">
        <v>16</v>
      </c>
      <c r="E241" t="s">
        <v>15</v>
      </c>
      <c r="F241" t="s">
        <v>36</v>
      </c>
      <c r="G241">
        <v>19.75</v>
      </c>
      <c r="H241">
        <v>284.35000000000002</v>
      </c>
      <c r="I241" t="s">
        <v>15</v>
      </c>
      <c r="J241" t="s">
        <v>15</v>
      </c>
      <c r="K241" t="s">
        <v>21</v>
      </c>
      <c r="L241">
        <v>284.35000000000002</v>
      </c>
      <c r="M241" t="s">
        <v>5032</v>
      </c>
      <c r="N241" t="s">
        <v>5031</v>
      </c>
    </row>
    <row r="242" spans="1:14" x14ac:dyDescent="0.3">
      <c r="A242" t="s">
        <v>265</v>
      </c>
      <c r="B242" t="s">
        <v>12</v>
      </c>
      <c r="C242" t="s">
        <v>35</v>
      </c>
      <c r="D242">
        <v>72</v>
      </c>
      <c r="E242" t="s">
        <v>14</v>
      </c>
      <c r="F242" t="s">
        <v>16</v>
      </c>
      <c r="G242">
        <v>86.6</v>
      </c>
      <c r="H242">
        <v>6350.5</v>
      </c>
      <c r="I242" t="s">
        <v>15</v>
      </c>
      <c r="J242" t="s">
        <v>15</v>
      </c>
      <c r="K242" t="s">
        <v>24</v>
      </c>
      <c r="L242">
        <v>6350.5</v>
      </c>
      <c r="M242" t="s">
        <v>5033</v>
      </c>
      <c r="N242" t="s">
        <v>5034</v>
      </c>
    </row>
    <row r="243" spans="1:14" x14ac:dyDescent="0.3">
      <c r="A243" t="s">
        <v>266</v>
      </c>
      <c r="B243" t="s">
        <v>19</v>
      </c>
      <c r="C243" t="s">
        <v>35</v>
      </c>
      <c r="D243">
        <v>72</v>
      </c>
      <c r="E243" t="s">
        <v>26</v>
      </c>
      <c r="F243" t="s">
        <v>16</v>
      </c>
      <c r="G243">
        <v>109.2</v>
      </c>
      <c r="H243">
        <v>7878.3</v>
      </c>
      <c r="I243" t="s">
        <v>15</v>
      </c>
      <c r="J243" t="s">
        <v>15</v>
      </c>
      <c r="K243" t="s">
        <v>24</v>
      </c>
      <c r="L243">
        <v>7878.3</v>
      </c>
      <c r="M243" t="s">
        <v>5033</v>
      </c>
      <c r="N243" t="s">
        <v>5034</v>
      </c>
    </row>
    <row r="244" spans="1:14" x14ac:dyDescent="0.3">
      <c r="A244" t="s">
        <v>267</v>
      </c>
      <c r="B244" t="s">
        <v>12</v>
      </c>
      <c r="C244" t="s">
        <v>20</v>
      </c>
      <c r="D244">
        <v>41</v>
      </c>
      <c r="E244" t="s">
        <v>14</v>
      </c>
      <c r="F244" t="s">
        <v>16</v>
      </c>
      <c r="G244">
        <v>74.7</v>
      </c>
      <c r="H244">
        <v>3187.65</v>
      </c>
      <c r="I244" t="s">
        <v>15</v>
      </c>
      <c r="J244" t="s">
        <v>16</v>
      </c>
      <c r="K244" t="s">
        <v>29</v>
      </c>
      <c r="L244">
        <v>3187.65</v>
      </c>
      <c r="M244" t="s">
        <v>5033</v>
      </c>
      <c r="N244" t="s">
        <v>5034</v>
      </c>
    </row>
    <row r="245" spans="1:14" x14ac:dyDescent="0.3">
      <c r="A245" t="s">
        <v>268</v>
      </c>
      <c r="B245" t="s">
        <v>12</v>
      </c>
      <c r="C245" t="s">
        <v>13</v>
      </c>
      <c r="D245">
        <v>65</v>
      </c>
      <c r="E245" t="s">
        <v>26</v>
      </c>
      <c r="F245" t="s">
        <v>15</v>
      </c>
      <c r="G245">
        <v>94.4</v>
      </c>
      <c r="H245">
        <v>6126.15</v>
      </c>
      <c r="I245" t="s">
        <v>15</v>
      </c>
      <c r="J245" t="s">
        <v>15</v>
      </c>
      <c r="K245" t="s">
        <v>17</v>
      </c>
      <c r="L245">
        <v>6126.15</v>
      </c>
      <c r="M245" t="s">
        <v>5033</v>
      </c>
      <c r="N245" t="s">
        <v>5034</v>
      </c>
    </row>
    <row r="246" spans="1:14" x14ac:dyDescent="0.3">
      <c r="A246" t="s">
        <v>269</v>
      </c>
      <c r="B246" t="s">
        <v>12</v>
      </c>
      <c r="C246" t="s">
        <v>13</v>
      </c>
      <c r="D246">
        <v>13</v>
      </c>
      <c r="E246" t="s">
        <v>14</v>
      </c>
      <c r="F246" t="s">
        <v>15</v>
      </c>
      <c r="G246">
        <v>54.8</v>
      </c>
      <c r="H246">
        <v>731.3</v>
      </c>
      <c r="I246" t="s">
        <v>15</v>
      </c>
      <c r="J246" t="s">
        <v>16</v>
      </c>
      <c r="K246" t="s">
        <v>17</v>
      </c>
      <c r="L246">
        <v>731.3</v>
      </c>
      <c r="M246" t="s">
        <v>5032</v>
      </c>
      <c r="N246" t="s">
        <v>5031</v>
      </c>
    </row>
    <row r="247" spans="1:14" x14ac:dyDescent="0.3">
      <c r="A247" t="s">
        <v>270</v>
      </c>
      <c r="B247" t="s">
        <v>19</v>
      </c>
      <c r="C247" t="s">
        <v>13</v>
      </c>
      <c r="D247">
        <v>4</v>
      </c>
      <c r="E247" t="s">
        <v>26</v>
      </c>
      <c r="F247" t="s">
        <v>15</v>
      </c>
      <c r="G247">
        <v>75.349999999999994</v>
      </c>
      <c r="H247">
        <v>273.39999999999998</v>
      </c>
      <c r="I247" t="s">
        <v>15</v>
      </c>
      <c r="J247" t="s">
        <v>15</v>
      </c>
      <c r="K247" t="s">
        <v>17</v>
      </c>
      <c r="L247">
        <v>273.39999999999998</v>
      </c>
      <c r="M247" t="s">
        <v>5030</v>
      </c>
      <c r="N247" t="s">
        <v>5031</v>
      </c>
    </row>
    <row r="248" spans="1:14" x14ac:dyDescent="0.3">
      <c r="A248" t="s">
        <v>271</v>
      </c>
      <c r="B248" t="s">
        <v>19</v>
      </c>
      <c r="C248" t="s">
        <v>20</v>
      </c>
      <c r="D248">
        <v>41</v>
      </c>
      <c r="E248" t="s">
        <v>14</v>
      </c>
      <c r="F248" t="s">
        <v>15</v>
      </c>
      <c r="G248">
        <v>65</v>
      </c>
      <c r="H248">
        <v>2531.8000000000002</v>
      </c>
      <c r="I248" t="s">
        <v>15</v>
      </c>
      <c r="J248" t="s">
        <v>15</v>
      </c>
      <c r="K248" t="s">
        <v>21</v>
      </c>
      <c r="L248">
        <v>2531.8000000000002</v>
      </c>
      <c r="M248" t="s">
        <v>5033</v>
      </c>
      <c r="N248" t="s">
        <v>5034</v>
      </c>
    </row>
    <row r="249" spans="1:14" x14ac:dyDescent="0.3">
      <c r="A249" t="s">
        <v>272</v>
      </c>
      <c r="B249" t="s">
        <v>19</v>
      </c>
      <c r="C249" t="s">
        <v>13</v>
      </c>
      <c r="D249">
        <v>15</v>
      </c>
      <c r="E249" t="s">
        <v>26</v>
      </c>
      <c r="F249" t="s">
        <v>15</v>
      </c>
      <c r="G249">
        <v>74.400000000000006</v>
      </c>
      <c r="H249">
        <v>1074.3</v>
      </c>
      <c r="I249" t="s">
        <v>16</v>
      </c>
      <c r="J249" t="s">
        <v>16</v>
      </c>
      <c r="K249" t="s">
        <v>17</v>
      </c>
      <c r="L249">
        <v>1074.3</v>
      </c>
      <c r="M249" t="s">
        <v>5032</v>
      </c>
      <c r="N249" t="s">
        <v>5031</v>
      </c>
    </row>
    <row r="250" spans="1:14" x14ac:dyDescent="0.3">
      <c r="A250" t="s">
        <v>273</v>
      </c>
      <c r="B250" t="s">
        <v>19</v>
      </c>
      <c r="C250" t="s">
        <v>13</v>
      </c>
      <c r="D250">
        <v>1</v>
      </c>
      <c r="E250" t="s">
        <v>14</v>
      </c>
      <c r="F250" t="s">
        <v>15</v>
      </c>
      <c r="G250">
        <v>48.55</v>
      </c>
      <c r="H250">
        <v>48.55</v>
      </c>
      <c r="I250" t="s">
        <v>16</v>
      </c>
      <c r="J250" t="s">
        <v>16</v>
      </c>
      <c r="K250" t="s">
        <v>21</v>
      </c>
      <c r="L250">
        <v>48.55</v>
      </c>
      <c r="M250" t="s">
        <v>5030</v>
      </c>
      <c r="N250" t="s">
        <v>5031</v>
      </c>
    </row>
    <row r="251" spans="1:14" x14ac:dyDescent="0.3">
      <c r="A251" t="s">
        <v>274</v>
      </c>
      <c r="B251" t="s">
        <v>19</v>
      </c>
      <c r="C251" t="s">
        <v>20</v>
      </c>
      <c r="D251">
        <v>42</v>
      </c>
      <c r="E251" t="s">
        <v>26</v>
      </c>
      <c r="F251" t="s">
        <v>15</v>
      </c>
      <c r="G251">
        <v>99</v>
      </c>
      <c r="H251">
        <v>4298.45</v>
      </c>
      <c r="I251" t="s">
        <v>15</v>
      </c>
      <c r="J251" t="s">
        <v>16</v>
      </c>
      <c r="K251" t="s">
        <v>17</v>
      </c>
      <c r="L251">
        <v>4298.45</v>
      </c>
      <c r="M251" t="s">
        <v>5033</v>
      </c>
      <c r="N251" t="s">
        <v>5034</v>
      </c>
    </row>
    <row r="252" spans="1:14" x14ac:dyDescent="0.3">
      <c r="A252" t="s">
        <v>275</v>
      </c>
      <c r="B252" t="s">
        <v>12</v>
      </c>
      <c r="C252" t="s">
        <v>20</v>
      </c>
      <c r="D252">
        <v>51</v>
      </c>
      <c r="E252" t="s">
        <v>26</v>
      </c>
      <c r="F252" t="s">
        <v>15</v>
      </c>
      <c r="G252">
        <v>93.5</v>
      </c>
      <c r="H252">
        <v>4619.55</v>
      </c>
      <c r="I252" t="s">
        <v>15</v>
      </c>
      <c r="J252" t="s">
        <v>16</v>
      </c>
      <c r="K252" t="s">
        <v>17</v>
      </c>
      <c r="L252">
        <v>4619.55</v>
      </c>
      <c r="M252" t="s">
        <v>5033</v>
      </c>
      <c r="N252" t="s">
        <v>5034</v>
      </c>
    </row>
    <row r="253" spans="1:14" x14ac:dyDescent="0.3">
      <c r="A253" t="s">
        <v>276</v>
      </c>
      <c r="B253" t="s">
        <v>12</v>
      </c>
      <c r="C253" t="s">
        <v>13</v>
      </c>
      <c r="D253">
        <v>2</v>
      </c>
      <c r="E253" t="s">
        <v>26</v>
      </c>
      <c r="F253" t="s">
        <v>15</v>
      </c>
      <c r="G253">
        <v>70.400000000000006</v>
      </c>
      <c r="H253">
        <v>147.15</v>
      </c>
      <c r="I253" t="s">
        <v>16</v>
      </c>
      <c r="J253" t="s">
        <v>15</v>
      </c>
      <c r="K253" t="s">
        <v>17</v>
      </c>
      <c r="L253">
        <v>147.15</v>
      </c>
      <c r="M253" t="s">
        <v>5030</v>
      </c>
      <c r="N253" t="s">
        <v>5031</v>
      </c>
    </row>
    <row r="254" spans="1:14" x14ac:dyDescent="0.3">
      <c r="A254" t="s">
        <v>277</v>
      </c>
      <c r="B254" t="s">
        <v>19</v>
      </c>
      <c r="C254" t="s">
        <v>13</v>
      </c>
      <c r="D254">
        <v>1</v>
      </c>
      <c r="E254" t="s">
        <v>14</v>
      </c>
      <c r="F254" t="s">
        <v>15</v>
      </c>
      <c r="G254">
        <v>40.200000000000003</v>
      </c>
      <c r="H254">
        <v>40.200000000000003</v>
      </c>
      <c r="I254" t="s">
        <v>16</v>
      </c>
      <c r="J254" t="s">
        <v>15</v>
      </c>
      <c r="K254" t="s">
        <v>17</v>
      </c>
      <c r="L254">
        <v>40.200000000000003</v>
      </c>
      <c r="M254" t="s">
        <v>5030</v>
      </c>
      <c r="N254" t="s">
        <v>5031</v>
      </c>
    </row>
    <row r="255" spans="1:14" x14ac:dyDescent="0.3">
      <c r="A255" t="s">
        <v>278</v>
      </c>
      <c r="B255" t="s">
        <v>19</v>
      </c>
      <c r="C255" t="s">
        <v>20</v>
      </c>
      <c r="D255">
        <v>32</v>
      </c>
      <c r="E255" t="s">
        <v>14</v>
      </c>
      <c r="F255" t="s">
        <v>16</v>
      </c>
      <c r="G255">
        <v>83.7</v>
      </c>
      <c r="H255">
        <v>2633.3</v>
      </c>
      <c r="I255" t="s">
        <v>15</v>
      </c>
      <c r="J255" t="s">
        <v>15</v>
      </c>
      <c r="K255" t="s">
        <v>29</v>
      </c>
      <c r="L255">
        <v>2633.3</v>
      </c>
      <c r="M255" t="s">
        <v>5032</v>
      </c>
      <c r="N255" t="s">
        <v>5034</v>
      </c>
    </row>
    <row r="256" spans="1:14" x14ac:dyDescent="0.3">
      <c r="A256" t="s">
        <v>279</v>
      </c>
      <c r="B256" t="s">
        <v>19</v>
      </c>
      <c r="C256" t="s">
        <v>13</v>
      </c>
      <c r="D256">
        <v>10</v>
      </c>
      <c r="E256" t="s">
        <v>15</v>
      </c>
      <c r="F256" t="s">
        <v>36</v>
      </c>
      <c r="G256">
        <v>19.850000000000001</v>
      </c>
      <c r="H256">
        <v>193.05</v>
      </c>
      <c r="I256" t="s">
        <v>15</v>
      </c>
      <c r="J256" t="s">
        <v>16</v>
      </c>
      <c r="K256" t="s">
        <v>21</v>
      </c>
      <c r="L256">
        <v>193.05</v>
      </c>
      <c r="M256" t="s">
        <v>5030</v>
      </c>
      <c r="N256" t="s">
        <v>5031</v>
      </c>
    </row>
    <row r="257" spans="1:14" x14ac:dyDescent="0.3">
      <c r="A257" t="s">
        <v>280</v>
      </c>
      <c r="B257" t="s">
        <v>12</v>
      </c>
      <c r="C257" t="s">
        <v>35</v>
      </c>
      <c r="D257">
        <v>67</v>
      </c>
      <c r="E257" t="s">
        <v>14</v>
      </c>
      <c r="F257" t="s">
        <v>16</v>
      </c>
      <c r="G257">
        <v>59.55</v>
      </c>
      <c r="H257">
        <v>4103.8999999999996</v>
      </c>
      <c r="I257" t="s">
        <v>15</v>
      </c>
      <c r="J257" t="s">
        <v>16</v>
      </c>
      <c r="K257" t="s">
        <v>17</v>
      </c>
      <c r="L257">
        <v>4103.8999999999996</v>
      </c>
      <c r="M257" t="s">
        <v>5033</v>
      </c>
      <c r="N257" t="s">
        <v>5034</v>
      </c>
    </row>
    <row r="258" spans="1:14" x14ac:dyDescent="0.3">
      <c r="A258" t="s">
        <v>281</v>
      </c>
      <c r="B258" t="s">
        <v>12</v>
      </c>
      <c r="C258" t="s">
        <v>35</v>
      </c>
      <c r="D258">
        <v>61</v>
      </c>
      <c r="E258" t="s">
        <v>26</v>
      </c>
      <c r="F258" t="s">
        <v>16</v>
      </c>
      <c r="G258">
        <v>115.1</v>
      </c>
      <c r="H258">
        <v>7008.15</v>
      </c>
      <c r="I258" t="s">
        <v>15</v>
      </c>
      <c r="J258" t="s">
        <v>15</v>
      </c>
      <c r="K258" t="s">
        <v>29</v>
      </c>
      <c r="L258">
        <v>7008.15</v>
      </c>
      <c r="M258" t="s">
        <v>5033</v>
      </c>
      <c r="N258" t="s">
        <v>5034</v>
      </c>
    </row>
    <row r="259" spans="1:14" x14ac:dyDescent="0.3">
      <c r="A259" t="s">
        <v>282</v>
      </c>
      <c r="B259" t="s">
        <v>19</v>
      </c>
      <c r="C259" t="s">
        <v>20</v>
      </c>
      <c r="D259">
        <v>50</v>
      </c>
      <c r="E259" t="s">
        <v>26</v>
      </c>
      <c r="F259" t="s">
        <v>16</v>
      </c>
      <c r="G259">
        <v>114.35</v>
      </c>
      <c r="H259">
        <v>5791.1</v>
      </c>
      <c r="I259" t="s">
        <v>15</v>
      </c>
      <c r="J259" t="s">
        <v>15</v>
      </c>
      <c r="K259" t="s">
        <v>29</v>
      </c>
      <c r="L259">
        <v>5791.1</v>
      </c>
      <c r="M259" t="s">
        <v>5033</v>
      </c>
      <c r="N259" t="s">
        <v>5034</v>
      </c>
    </row>
    <row r="260" spans="1:14" x14ac:dyDescent="0.3">
      <c r="A260" t="s">
        <v>283</v>
      </c>
      <c r="B260" t="s">
        <v>12</v>
      </c>
      <c r="C260" t="s">
        <v>13</v>
      </c>
      <c r="D260">
        <v>2</v>
      </c>
      <c r="E260" t="s">
        <v>14</v>
      </c>
      <c r="F260" t="s">
        <v>15</v>
      </c>
      <c r="G260">
        <v>44.6</v>
      </c>
      <c r="H260">
        <v>80.55</v>
      </c>
      <c r="I260" t="s">
        <v>16</v>
      </c>
      <c r="J260" t="s">
        <v>16</v>
      </c>
      <c r="K260" t="s">
        <v>29</v>
      </c>
      <c r="L260">
        <v>80.55</v>
      </c>
      <c r="M260" t="s">
        <v>5030</v>
      </c>
      <c r="N260" t="s">
        <v>5031</v>
      </c>
    </row>
    <row r="261" spans="1:14" x14ac:dyDescent="0.3">
      <c r="A261" t="s">
        <v>284</v>
      </c>
      <c r="B261" t="s">
        <v>12</v>
      </c>
      <c r="C261" t="s">
        <v>13</v>
      </c>
      <c r="D261">
        <v>29</v>
      </c>
      <c r="E261" t="s">
        <v>14</v>
      </c>
      <c r="F261" t="s">
        <v>15</v>
      </c>
      <c r="G261">
        <v>45</v>
      </c>
      <c r="H261">
        <v>1228.6500000000001</v>
      </c>
      <c r="I261" t="s">
        <v>15</v>
      </c>
      <c r="J261" t="s">
        <v>16</v>
      </c>
      <c r="K261" t="s">
        <v>17</v>
      </c>
      <c r="L261">
        <v>1228.6500000000001</v>
      </c>
      <c r="M261" t="s">
        <v>5032</v>
      </c>
      <c r="N261" t="s">
        <v>5031</v>
      </c>
    </row>
    <row r="262" spans="1:14" x14ac:dyDescent="0.3">
      <c r="A262" t="s">
        <v>285</v>
      </c>
      <c r="B262" t="s">
        <v>19</v>
      </c>
      <c r="C262" t="s">
        <v>13</v>
      </c>
      <c r="D262">
        <v>3</v>
      </c>
      <c r="E262" t="s">
        <v>14</v>
      </c>
      <c r="F262" t="s">
        <v>15</v>
      </c>
      <c r="G262">
        <v>41.15</v>
      </c>
      <c r="H262">
        <v>132.19999999999999</v>
      </c>
      <c r="I262" t="s">
        <v>16</v>
      </c>
      <c r="J262" t="s">
        <v>16</v>
      </c>
      <c r="K262" t="s">
        <v>17</v>
      </c>
      <c r="L262">
        <v>132.19999999999999</v>
      </c>
      <c r="M262" t="s">
        <v>5030</v>
      </c>
      <c r="N262" t="s">
        <v>5031</v>
      </c>
    </row>
    <row r="263" spans="1:14" x14ac:dyDescent="0.3">
      <c r="A263" t="s">
        <v>286</v>
      </c>
      <c r="B263" t="s">
        <v>19</v>
      </c>
      <c r="C263" t="s">
        <v>13</v>
      </c>
      <c r="D263">
        <v>13</v>
      </c>
      <c r="E263" t="s">
        <v>26</v>
      </c>
      <c r="F263" t="s">
        <v>15</v>
      </c>
      <c r="G263">
        <v>106.9</v>
      </c>
      <c r="H263">
        <v>1364.3</v>
      </c>
      <c r="I263" t="s">
        <v>16</v>
      </c>
      <c r="J263" t="s">
        <v>16</v>
      </c>
      <c r="K263" t="s">
        <v>17</v>
      </c>
      <c r="L263">
        <v>1364.3</v>
      </c>
      <c r="M263" t="s">
        <v>5032</v>
      </c>
      <c r="N263" t="s">
        <v>5031</v>
      </c>
    </row>
    <row r="264" spans="1:14" x14ac:dyDescent="0.3">
      <c r="A264" t="s">
        <v>287</v>
      </c>
      <c r="B264" t="s">
        <v>19</v>
      </c>
      <c r="C264" t="s">
        <v>13</v>
      </c>
      <c r="D264">
        <v>57</v>
      </c>
      <c r="E264" t="s">
        <v>26</v>
      </c>
      <c r="F264" t="s">
        <v>15</v>
      </c>
      <c r="G264">
        <v>89.85</v>
      </c>
      <c r="H264">
        <v>4925.3500000000004</v>
      </c>
      <c r="I264" t="s">
        <v>15</v>
      </c>
      <c r="J264" t="s">
        <v>16</v>
      </c>
      <c r="K264" t="s">
        <v>17</v>
      </c>
      <c r="L264">
        <v>4925.3500000000004</v>
      </c>
      <c r="M264" t="s">
        <v>5033</v>
      </c>
      <c r="N264" t="s">
        <v>5034</v>
      </c>
    </row>
    <row r="265" spans="1:14" x14ac:dyDescent="0.3">
      <c r="A265" t="s">
        <v>288</v>
      </c>
      <c r="B265" t="s">
        <v>12</v>
      </c>
      <c r="C265" t="s">
        <v>35</v>
      </c>
      <c r="D265">
        <v>31</v>
      </c>
      <c r="E265" t="s">
        <v>14</v>
      </c>
      <c r="F265" t="s">
        <v>16</v>
      </c>
      <c r="G265">
        <v>49.85</v>
      </c>
      <c r="H265">
        <v>1520.1</v>
      </c>
      <c r="I265" t="s">
        <v>15</v>
      </c>
      <c r="J265" t="s">
        <v>16</v>
      </c>
      <c r="K265" t="s">
        <v>24</v>
      </c>
      <c r="L265">
        <v>1520.1</v>
      </c>
      <c r="M265" t="s">
        <v>5032</v>
      </c>
      <c r="N265" t="s">
        <v>5031</v>
      </c>
    </row>
    <row r="266" spans="1:14" x14ac:dyDescent="0.3">
      <c r="A266" t="s">
        <v>289</v>
      </c>
      <c r="B266" t="s">
        <v>12</v>
      </c>
      <c r="C266" t="s">
        <v>20</v>
      </c>
      <c r="D266">
        <v>45</v>
      </c>
      <c r="E266" t="s">
        <v>26</v>
      </c>
      <c r="F266" t="s">
        <v>16</v>
      </c>
      <c r="G266">
        <v>113.3</v>
      </c>
      <c r="H266">
        <v>5032.25</v>
      </c>
      <c r="I266" t="s">
        <v>15</v>
      </c>
      <c r="J266" t="s">
        <v>15</v>
      </c>
      <c r="K266" t="s">
        <v>21</v>
      </c>
      <c r="L266">
        <v>5032.25</v>
      </c>
      <c r="M266" t="s">
        <v>5033</v>
      </c>
      <c r="N266" t="s">
        <v>5034</v>
      </c>
    </row>
    <row r="267" spans="1:14" x14ac:dyDescent="0.3">
      <c r="A267" t="s">
        <v>290</v>
      </c>
      <c r="B267" t="s">
        <v>12</v>
      </c>
      <c r="C267" t="s">
        <v>35</v>
      </c>
      <c r="D267">
        <v>61</v>
      </c>
      <c r="E267" t="s">
        <v>14</v>
      </c>
      <c r="F267" t="s">
        <v>16</v>
      </c>
      <c r="G267">
        <v>88.1</v>
      </c>
      <c r="H267">
        <v>5526.75</v>
      </c>
      <c r="I267" t="s">
        <v>15</v>
      </c>
      <c r="J267" t="s">
        <v>15</v>
      </c>
      <c r="K267" t="s">
        <v>21</v>
      </c>
      <c r="L267">
        <v>5526.75</v>
      </c>
      <c r="M267" t="s">
        <v>5033</v>
      </c>
      <c r="N267" t="s">
        <v>5034</v>
      </c>
    </row>
    <row r="268" spans="1:14" x14ac:dyDescent="0.3">
      <c r="A268" t="s">
        <v>291</v>
      </c>
      <c r="B268" t="s">
        <v>19</v>
      </c>
      <c r="C268" t="s">
        <v>35</v>
      </c>
      <c r="D268">
        <v>50</v>
      </c>
      <c r="E268" t="s">
        <v>15</v>
      </c>
      <c r="F268" t="s">
        <v>36</v>
      </c>
      <c r="G268">
        <v>24.9</v>
      </c>
      <c r="H268">
        <v>1195.25</v>
      </c>
      <c r="I268" t="s">
        <v>15</v>
      </c>
      <c r="J268" t="s">
        <v>15</v>
      </c>
      <c r="K268" t="s">
        <v>24</v>
      </c>
      <c r="L268">
        <v>1195.25</v>
      </c>
      <c r="M268" t="s">
        <v>5033</v>
      </c>
      <c r="N268" t="s">
        <v>5031</v>
      </c>
    </row>
    <row r="269" spans="1:14" x14ac:dyDescent="0.3">
      <c r="A269" t="s">
        <v>292</v>
      </c>
      <c r="B269" t="s">
        <v>12</v>
      </c>
      <c r="C269" t="s">
        <v>13</v>
      </c>
      <c r="D269">
        <v>19</v>
      </c>
      <c r="E269" t="s">
        <v>26</v>
      </c>
      <c r="F269" t="s">
        <v>16</v>
      </c>
      <c r="G269">
        <v>105</v>
      </c>
      <c r="H269">
        <v>2007.25</v>
      </c>
      <c r="I269" t="s">
        <v>15</v>
      </c>
      <c r="J269" t="s">
        <v>16</v>
      </c>
      <c r="K269" t="s">
        <v>21</v>
      </c>
      <c r="L269">
        <v>2007.25</v>
      </c>
      <c r="M269" t="s">
        <v>5032</v>
      </c>
      <c r="N269" t="s">
        <v>5031</v>
      </c>
    </row>
    <row r="270" spans="1:14" x14ac:dyDescent="0.3">
      <c r="A270" t="s">
        <v>293</v>
      </c>
      <c r="B270" t="s">
        <v>19</v>
      </c>
      <c r="C270" t="s">
        <v>35</v>
      </c>
      <c r="D270">
        <v>59</v>
      </c>
      <c r="E270" t="s">
        <v>15</v>
      </c>
      <c r="F270" t="s">
        <v>36</v>
      </c>
      <c r="G270">
        <v>19.350000000000001</v>
      </c>
      <c r="H270">
        <v>1099.5999999999999</v>
      </c>
      <c r="I270" t="s">
        <v>16</v>
      </c>
      <c r="J270" t="s">
        <v>15</v>
      </c>
      <c r="K270" t="s">
        <v>21</v>
      </c>
      <c r="L270">
        <v>1099.5999999999999</v>
      </c>
      <c r="M270" t="s">
        <v>5033</v>
      </c>
      <c r="N270" t="s">
        <v>5031</v>
      </c>
    </row>
    <row r="271" spans="1:14" x14ac:dyDescent="0.3">
      <c r="A271" t="s">
        <v>294</v>
      </c>
      <c r="B271" t="s">
        <v>12</v>
      </c>
      <c r="C271" t="s">
        <v>35</v>
      </c>
      <c r="D271">
        <v>71</v>
      </c>
      <c r="E271" t="s">
        <v>15</v>
      </c>
      <c r="F271" t="s">
        <v>36</v>
      </c>
      <c r="G271">
        <v>24.25</v>
      </c>
      <c r="H271">
        <v>1732.95</v>
      </c>
      <c r="I271" t="s">
        <v>15</v>
      </c>
      <c r="J271" t="s">
        <v>16</v>
      </c>
      <c r="K271" t="s">
        <v>29</v>
      </c>
      <c r="L271">
        <v>1732.95</v>
      </c>
      <c r="M271" t="s">
        <v>5033</v>
      </c>
      <c r="N271" t="s">
        <v>5031</v>
      </c>
    </row>
    <row r="272" spans="1:14" x14ac:dyDescent="0.3">
      <c r="A272" t="s">
        <v>295</v>
      </c>
      <c r="B272" t="s">
        <v>12</v>
      </c>
      <c r="C272" t="s">
        <v>13</v>
      </c>
      <c r="D272">
        <v>16</v>
      </c>
      <c r="E272" t="s">
        <v>26</v>
      </c>
      <c r="F272" t="s">
        <v>16</v>
      </c>
      <c r="G272">
        <v>94.45</v>
      </c>
      <c r="H272">
        <v>1511.2</v>
      </c>
      <c r="I272" t="s">
        <v>16</v>
      </c>
      <c r="J272" t="s">
        <v>16</v>
      </c>
      <c r="K272" t="s">
        <v>17</v>
      </c>
      <c r="L272">
        <v>1511.2</v>
      </c>
      <c r="M272" t="s">
        <v>5032</v>
      </c>
      <c r="N272" t="s">
        <v>5031</v>
      </c>
    </row>
    <row r="273" spans="1:14" x14ac:dyDescent="0.3">
      <c r="A273" t="s">
        <v>296</v>
      </c>
      <c r="B273" t="s">
        <v>19</v>
      </c>
      <c r="C273" t="s">
        <v>35</v>
      </c>
      <c r="D273">
        <v>57</v>
      </c>
      <c r="E273" t="s">
        <v>14</v>
      </c>
      <c r="F273" t="s">
        <v>16</v>
      </c>
      <c r="G273">
        <v>59.75</v>
      </c>
      <c r="H273">
        <v>3450.15</v>
      </c>
      <c r="I273" t="s">
        <v>15</v>
      </c>
      <c r="J273" t="s">
        <v>16</v>
      </c>
      <c r="K273" t="s">
        <v>17</v>
      </c>
      <c r="L273">
        <v>3450.15</v>
      </c>
      <c r="M273" t="s">
        <v>5033</v>
      </c>
      <c r="N273" t="s">
        <v>5034</v>
      </c>
    </row>
    <row r="274" spans="1:14" x14ac:dyDescent="0.3">
      <c r="A274" t="s">
        <v>297</v>
      </c>
      <c r="B274" t="s">
        <v>19</v>
      </c>
      <c r="C274" t="s">
        <v>13</v>
      </c>
      <c r="D274">
        <v>1</v>
      </c>
      <c r="E274" t="s">
        <v>14</v>
      </c>
      <c r="F274" t="s">
        <v>15</v>
      </c>
      <c r="G274">
        <v>24.8</v>
      </c>
      <c r="H274">
        <v>24.8</v>
      </c>
      <c r="I274" t="s">
        <v>16</v>
      </c>
      <c r="J274" t="s">
        <v>15</v>
      </c>
      <c r="K274" t="s">
        <v>24</v>
      </c>
      <c r="L274">
        <v>24.8</v>
      </c>
      <c r="M274" t="s">
        <v>5030</v>
      </c>
      <c r="N274" t="s">
        <v>5031</v>
      </c>
    </row>
    <row r="275" spans="1:14" x14ac:dyDescent="0.3">
      <c r="A275" t="s">
        <v>298</v>
      </c>
      <c r="B275" t="s">
        <v>19</v>
      </c>
      <c r="C275" t="s">
        <v>13</v>
      </c>
      <c r="D275">
        <v>20</v>
      </c>
      <c r="E275" t="s">
        <v>26</v>
      </c>
      <c r="F275" t="s">
        <v>16</v>
      </c>
      <c r="G275">
        <v>107.05</v>
      </c>
      <c r="H275">
        <v>2172.0500000000002</v>
      </c>
      <c r="I275" t="s">
        <v>15</v>
      </c>
      <c r="J275" t="s">
        <v>15</v>
      </c>
      <c r="K275" t="s">
        <v>17</v>
      </c>
      <c r="L275">
        <v>2172.0500000000002</v>
      </c>
      <c r="M275" t="s">
        <v>5032</v>
      </c>
      <c r="N275" t="s">
        <v>5031</v>
      </c>
    </row>
    <row r="276" spans="1:14" x14ac:dyDescent="0.3">
      <c r="A276" t="s">
        <v>299</v>
      </c>
      <c r="B276" t="s">
        <v>19</v>
      </c>
      <c r="C276" t="s">
        <v>13</v>
      </c>
      <c r="D276">
        <v>1</v>
      </c>
      <c r="E276" t="s">
        <v>26</v>
      </c>
      <c r="F276" t="s">
        <v>15</v>
      </c>
      <c r="G276">
        <v>70.599999999999994</v>
      </c>
      <c r="H276">
        <v>70.599999999999994</v>
      </c>
      <c r="I276" t="s">
        <v>16</v>
      </c>
      <c r="J276" t="s">
        <v>15</v>
      </c>
      <c r="K276" t="s">
        <v>21</v>
      </c>
      <c r="L276">
        <v>70.599999999999994</v>
      </c>
      <c r="M276" t="s">
        <v>5030</v>
      </c>
      <c r="N276" t="s">
        <v>5031</v>
      </c>
    </row>
    <row r="277" spans="1:14" x14ac:dyDescent="0.3">
      <c r="A277" t="s">
        <v>300</v>
      </c>
      <c r="B277" t="s">
        <v>19</v>
      </c>
      <c r="C277" t="s">
        <v>13</v>
      </c>
      <c r="D277">
        <v>5</v>
      </c>
      <c r="E277" t="s">
        <v>26</v>
      </c>
      <c r="F277" t="s">
        <v>16</v>
      </c>
      <c r="G277">
        <v>85.4</v>
      </c>
      <c r="H277">
        <v>401.1</v>
      </c>
      <c r="I277" t="s">
        <v>16</v>
      </c>
      <c r="J277" t="s">
        <v>16</v>
      </c>
      <c r="K277" t="s">
        <v>17</v>
      </c>
      <c r="L277">
        <v>401.1</v>
      </c>
      <c r="M277" t="s">
        <v>5030</v>
      </c>
      <c r="N277" t="s">
        <v>5031</v>
      </c>
    </row>
    <row r="278" spans="1:14" x14ac:dyDescent="0.3">
      <c r="A278" t="s">
        <v>301</v>
      </c>
      <c r="B278" t="s">
        <v>12</v>
      </c>
      <c r="C278" t="s">
        <v>13</v>
      </c>
      <c r="D278">
        <v>52</v>
      </c>
      <c r="E278" t="s">
        <v>26</v>
      </c>
      <c r="F278" t="s">
        <v>15</v>
      </c>
      <c r="G278">
        <v>105.05</v>
      </c>
      <c r="H278">
        <v>5624.85</v>
      </c>
      <c r="I278" t="s">
        <v>16</v>
      </c>
      <c r="J278" t="s">
        <v>16</v>
      </c>
      <c r="K278" t="s">
        <v>17</v>
      </c>
      <c r="L278">
        <v>5624.85</v>
      </c>
      <c r="M278" t="s">
        <v>5033</v>
      </c>
      <c r="N278" t="s">
        <v>5034</v>
      </c>
    </row>
    <row r="279" spans="1:14" x14ac:dyDescent="0.3">
      <c r="A279" t="s">
        <v>302</v>
      </c>
      <c r="B279" t="s">
        <v>19</v>
      </c>
      <c r="C279" t="s">
        <v>13</v>
      </c>
      <c r="D279">
        <v>21</v>
      </c>
      <c r="E279" t="s">
        <v>14</v>
      </c>
      <c r="F279" t="s">
        <v>15</v>
      </c>
      <c r="G279">
        <v>64.95</v>
      </c>
      <c r="H279">
        <v>1339.8</v>
      </c>
      <c r="I279" t="s">
        <v>15</v>
      </c>
      <c r="J279" t="s">
        <v>16</v>
      </c>
      <c r="K279" t="s">
        <v>24</v>
      </c>
      <c r="L279">
        <v>1339.8</v>
      </c>
      <c r="M279" t="s">
        <v>5032</v>
      </c>
      <c r="N279" t="s">
        <v>5031</v>
      </c>
    </row>
    <row r="280" spans="1:14" x14ac:dyDescent="0.3">
      <c r="A280" t="s">
        <v>303</v>
      </c>
      <c r="B280" t="s">
        <v>19</v>
      </c>
      <c r="C280" t="s">
        <v>13</v>
      </c>
      <c r="D280">
        <v>14</v>
      </c>
      <c r="E280" t="s">
        <v>14</v>
      </c>
      <c r="F280" t="s">
        <v>16</v>
      </c>
      <c r="G280">
        <v>55</v>
      </c>
      <c r="H280">
        <v>771.95</v>
      </c>
      <c r="I280" t="s">
        <v>15</v>
      </c>
      <c r="J280" t="s">
        <v>16</v>
      </c>
      <c r="K280" t="s">
        <v>17</v>
      </c>
      <c r="L280">
        <v>771.95</v>
      </c>
      <c r="M280" t="s">
        <v>5032</v>
      </c>
      <c r="N280" t="s">
        <v>5031</v>
      </c>
    </row>
    <row r="281" spans="1:14" x14ac:dyDescent="0.3">
      <c r="A281" t="s">
        <v>304</v>
      </c>
      <c r="B281" t="s">
        <v>12</v>
      </c>
      <c r="C281" t="s">
        <v>13</v>
      </c>
      <c r="D281">
        <v>5</v>
      </c>
      <c r="E281" t="s">
        <v>14</v>
      </c>
      <c r="F281" t="s">
        <v>15</v>
      </c>
      <c r="G281">
        <v>50.55</v>
      </c>
      <c r="H281">
        <v>244.75</v>
      </c>
      <c r="I281" t="s">
        <v>15</v>
      </c>
      <c r="J281" t="s">
        <v>15</v>
      </c>
      <c r="K281" t="s">
        <v>24</v>
      </c>
      <c r="L281">
        <v>244.75</v>
      </c>
      <c r="M281" t="s">
        <v>5030</v>
      </c>
      <c r="N281" t="s">
        <v>5031</v>
      </c>
    </row>
    <row r="282" spans="1:14" x14ac:dyDescent="0.3">
      <c r="A282" t="s">
        <v>305</v>
      </c>
      <c r="B282" t="s">
        <v>12</v>
      </c>
      <c r="C282" t="s">
        <v>13</v>
      </c>
      <c r="D282">
        <v>6</v>
      </c>
      <c r="E282" t="s">
        <v>14</v>
      </c>
      <c r="F282" t="s">
        <v>15</v>
      </c>
      <c r="G282">
        <v>55.15</v>
      </c>
      <c r="H282">
        <v>322.89999999999998</v>
      </c>
      <c r="I282" t="s">
        <v>15</v>
      </c>
      <c r="J282" t="s">
        <v>15</v>
      </c>
      <c r="K282" t="s">
        <v>21</v>
      </c>
      <c r="L282">
        <v>322.89999999999998</v>
      </c>
      <c r="M282" t="s">
        <v>5030</v>
      </c>
      <c r="N282" t="s">
        <v>5031</v>
      </c>
    </row>
    <row r="283" spans="1:14" x14ac:dyDescent="0.3">
      <c r="A283" t="s">
        <v>306</v>
      </c>
      <c r="B283" t="s">
        <v>12</v>
      </c>
      <c r="C283" t="s">
        <v>13</v>
      </c>
      <c r="D283">
        <v>10</v>
      </c>
      <c r="E283" t="s">
        <v>14</v>
      </c>
      <c r="F283" t="s">
        <v>15</v>
      </c>
      <c r="G283">
        <v>51.2</v>
      </c>
      <c r="H283">
        <v>498.25</v>
      </c>
      <c r="I283" t="s">
        <v>15</v>
      </c>
      <c r="J283" t="s">
        <v>15</v>
      </c>
      <c r="K283" t="s">
        <v>17</v>
      </c>
      <c r="L283">
        <v>498.25</v>
      </c>
      <c r="M283" t="s">
        <v>5030</v>
      </c>
      <c r="N283" t="s">
        <v>5031</v>
      </c>
    </row>
    <row r="284" spans="1:14" x14ac:dyDescent="0.3">
      <c r="A284" t="s">
        <v>307</v>
      </c>
      <c r="B284" t="s">
        <v>12</v>
      </c>
      <c r="C284" t="s">
        <v>13</v>
      </c>
      <c r="D284">
        <v>1</v>
      </c>
      <c r="E284" t="s">
        <v>15</v>
      </c>
      <c r="F284" t="s">
        <v>36</v>
      </c>
      <c r="G284">
        <v>25.4</v>
      </c>
      <c r="H284">
        <v>25.4</v>
      </c>
      <c r="I284" t="s">
        <v>15</v>
      </c>
      <c r="J284" t="s">
        <v>15</v>
      </c>
      <c r="K284" t="s">
        <v>21</v>
      </c>
      <c r="L284">
        <v>25.4</v>
      </c>
      <c r="M284" t="s">
        <v>5030</v>
      </c>
      <c r="N284" t="s">
        <v>5031</v>
      </c>
    </row>
    <row r="285" spans="1:14" x14ac:dyDescent="0.3">
      <c r="A285" t="s">
        <v>308</v>
      </c>
      <c r="B285" t="s">
        <v>12</v>
      </c>
      <c r="C285" t="s">
        <v>13</v>
      </c>
      <c r="D285">
        <v>68</v>
      </c>
      <c r="E285" t="s">
        <v>14</v>
      </c>
      <c r="F285" t="s">
        <v>15</v>
      </c>
      <c r="G285">
        <v>54.45</v>
      </c>
      <c r="H285">
        <v>3687.75</v>
      </c>
      <c r="I285" t="s">
        <v>15</v>
      </c>
      <c r="J285" t="s">
        <v>15</v>
      </c>
      <c r="K285" t="s">
        <v>21</v>
      </c>
      <c r="L285">
        <v>3687.75</v>
      </c>
      <c r="M285" t="s">
        <v>5033</v>
      </c>
      <c r="N285" t="s">
        <v>5034</v>
      </c>
    </row>
    <row r="286" spans="1:14" x14ac:dyDescent="0.3">
      <c r="A286" t="s">
        <v>309</v>
      </c>
      <c r="B286" t="s">
        <v>19</v>
      </c>
      <c r="C286" t="s">
        <v>13</v>
      </c>
      <c r="D286">
        <v>18</v>
      </c>
      <c r="E286" t="s">
        <v>26</v>
      </c>
      <c r="F286" t="s">
        <v>15</v>
      </c>
      <c r="G286">
        <v>95.15</v>
      </c>
      <c r="H286">
        <v>1779.95</v>
      </c>
      <c r="I286" t="s">
        <v>16</v>
      </c>
      <c r="J286" t="s">
        <v>15</v>
      </c>
      <c r="K286" t="s">
        <v>21</v>
      </c>
      <c r="L286">
        <v>1779.95</v>
      </c>
      <c r="M286" t="s">
        <v>5032</v>
      </c>
      <c r="N286" t="s">
        <v>5031</v>
      </c>
    </row>
    <row r="287" spans="1:14" x14ac:dyDescent="0.3">
      <c r="A287" t="s">
        <v>310</v>
      </c>
      <c r="B287" t="s">
        <v>12</v>
      </c>
      <c r="C287" t="s">
        <v>20</v>
      </c>
      <c r="D287">
        <v>22</v>
      </c>
      <c r="E287" t="s">
        <v>26</v>
      </c>
      <c r="F287" t="s">
        <v>15</v>
      </c>
      <c r="G287">
        <v>76</v>
      </c>
      <c r="H287">
        <v>1783.6</v>
      </c>
      <c r="I287" t="s">
        <v>15</v>
      </c>
      <c r="J287" t="s">
        <v>16</v>
      </c>
      <c r="K287" t="s">
        <v>29</v>
      </c>
      <c r="L287">
        <v>1783.6</v>
      </c>
      <c r="M287" t="s">
        <v>5032</v>
      </c>
      <c r="N287" t="s">
        <v>5031</v>
      </c>
    </row>
    <row r="288" spans="1:14" x14ac:dyDescent="0.3">
      <c r="A288" t="s">
        <v>311</v>
      </c>
      <c r="B288" t="s">
        <v>12</v>
      </c>
      <c r="C288" t="s">
        <v>13</v>
      </c>
      <c r="D288">
        <v>20</v>
      </c>
      <c r="E288" t="s">
        <v>14</v>
      </c>
      <c r="F288" t="s">
        <v>15</v>
      </c>
      <c r="G288">
        <v>44.35</v>
      </c>
      <c r="H288">
        <v>927.15</v>
      </c>
      <c r="I288" t="s">
        <v>15</v>
      </c>
      <c r="J288" t="s">
        <v>16</v>
      </c>
      <c r="K288" t="s">
        <v>17</v>
      </c>
      <c r="L288">
        <v>927.15</v>
      </c>
      <c r="M288" t="s">
        <v>5032</v>
      </c>
      <c r="N288" t="s">
        <v>5031</v>
      </c>
    </row>
    <row r="289" spans="1:14" x14ac:dyDescent="0.3">
      <c r="A289" t="s">
        <v>312</v>
      </c>
      <c r="B289" t="s">
        <v>19</v>
      </c>
      <c r="C289" t="s">
        <v>13</v>
      </c>
      <c r="D289">
        <v>1</v>
      </c>
      <c r="E289" t="s">
        <v>26</v>
      </c>
      <c r="F289" t="s">
        <v>15</v>
      </c>
      <c r="G289">
        <v>70</v>
      </c>
      <c r="H289">
        <v>70</v>
      </c>
      <c r="I289" t="s">
        <v>16</v>
      </c>
      <c r="J289" t="s">
        <v>15</v>
      </c>
      <c r="K289" t="s">
        <v>17</v>
      </c>
      <c r="L289">
        <v>70</v>
      </c>
      <c r="M289" t="s">
        <v>5030</v>
      </c>
      <c r="N289" t="s">
        <v>5031</v>
      </c>
    </row>
    <row r="290" spans="1:14" x14ac:dyDescent="0.3">
      <c r="A290" t="s">
        <v>313</v>
      </c>
      <c r="B290" t="s">
        <v>19</v>
      </c>
      <c r="C290" t="s">
        <v>13</v>
      </c>
      <c r="D290">
        <v>8</v>
      </c>
      <c r="E290" t="s">
        <v>26</v>
      </c>
      <c r="F290" t="s">
        <v>15</v>
      </c>
      <c r="G290">
        <v>74.5</v>
      </c>
      <c r="H290">
        <v>606.54999999999995</v>
      </c>
      <c r="I290" t="s">
        <v>16</v>
      </c>
      <c r="J290" t="s">
        <v>16</v>
      </c>
      <c r="K290" t="s">
        <v>17</v>
      </c>
      <c r="L290">
        <v>606.54999999999995</v>
      </c>
      <c r="M290" t="s">
        <v>5030</v>
      </c>
      <c r="N290" t="s">
        <v>5031</v>
      </c>
    </row>
    <row r="291" spans="1:14" x14ac:dyDescent="0.3">
      <c r="A291" t="s">
        <v>314</v>
      </c>
      <c r="B291" t="s">
        <v>19</v>
      </c>
      <c r="C291" t="s">
        <v>13</v>
      </c>
      <c r="D291">
        <v>10</v>
      </c>
      <c r="E291" t="s">
        <v>14</v>
      </c>
      <c r="F291" t="s">
        <v>15</v>
      </c>
      <c r="G291">
        <v>44.85</v>
      </c>
      <c r="H291">
        <v>435.4</v>
      </c>
      <c r="I291" t="s">
        <v>16</v>
      </c>
      <c r="J291" t="s">
        <v>16</v>
      </c>
      <c r="K291" t="s">
        <v>29</v>
      </c>
      <c r="L291">
        <v>435.4</v>
      </c>
      <c r="M291" t="s">
        <v>5030</v>
      </c>
      <c r="N291" t="s">
        <v>5031</v>
      </c>
    </row>
    <row r="292" spans="1:14" x14ac:dyDescent="0.3">
      <c r="A292" t="s">
        <v>315</v>
      </c>
      <c r="B292" t="s">
        <v>19</v>
      </c>
      <c r="C292" t="s">
        <v>13</v>
      </c>
      <c r="D292">
        <v>24</v>
      </c>
      <c r="E292" t="s">
        <v>26</v>
      </c>
      <c r="F292" t="s">
        <v>15</v>
      </c>
      <c r="G292">
        <v>76.099999999999994</v>
      </c>
      <c r="H292">
        <v>1712.7</v>
      </c>
      <c r="I292" t="s">
        <v>16</v>
      </c>
      <c r="J292" t="s">
        <v>16</v>
      </c>
      <c r="K292" t="s">
        <v>17</v>
      </c>
      <c r="L292">
        <v>1712.7</v>
      </c>
      <c r="M292" t="s">
        <v>5032</v>
      </c>
      <c r="N292" t="s">
        <v>5031</v>
      </c>
    </row>
    <row r="293" spans="1:14" x14ac:dyDescent="0.3">
      <c r="A293" t="s">
        <v>316</v>
      </c>
      <c r="B293" t="s">
        <v>19</v>
      </c>
      <c r="C293" t="s">
        <v>20</v>
      </c>
      <c r="D293">
        <v>35</v>
      </c>
      <c r="E293" t="s">
        <v>14</v>
      </c>
      <c r="F293" t="s">
        <v>15</v>
      </c>
      <c r="G293">
        <v>61.2</v>
      </c>
      <c r="H293">
        <v>2021.2</v>
      </c>
      <c r="I293" t="s">
        <v>15</v>
      </c>
      <c r="J293" t="s">
        <v>15</v>
      </c>
      <c r="K293" t="s">
        <v>21</v>
      </c>
      <c r="L293">
        <v>2021.2</v>
      </c>
      <c r="M293" t="s">
        <v>5032</v>
      </c>
      <c r="N293" t="s">
        <v>5031</v>
      </c>
    </row>
    <row r="294" spans="1:14" x14ac:dyDescent="0.3">
      <c r="A294" t="s">
        <v>317</v>
      </c>
      <c r="B294" t="s">
        <v>19</v>
      </c>
      <c r="C294" t="s">
        <v>20</v>
      </c>
      <c r="D294">
        <v>23</v>
      </c>
      <c r="E294" t="s">
        <v>26</v>
      </c>
      <c r="F294" t="s">
        <v>16</v>
      </c>
      <c r="G294">
        <v>86.8</v>
      </c>
      <c r="H294">
        <v>1940.8</v>
      </c>
      <c r="I294" t="s">
        <v>15</v>
      </c>
      <c r="J294" t="s">
        <v>15</v>
      </c>
      <c r="K294" t="s">
        <v>21</v>
      </c>
      <c r="L294">
        <v>1940.8</v>
      </c>
      <c r="M294" t="s">
        <v>5032</v>
      </c>
      <c r="N294" t="s">
        <v>5031</v>
      </c>
    </row>
    <row r="295" spans="1:14" x14ac:dyDescent="0.3">
      <c r="A295" t="s">
        <v>318</v>
      </c>
      <c r="B295" t="s">
        <v>12</v>
      </c>
      <c r="C295" t="s">
        <v>13</v>
      </c>
      <c r="D295">
        <v>6</v>
      </c>
      <c r="E295" t="s">
        <v>26</v>
      </c>
      <c r="F295" t="s">
        <v>15</v>
      </c>
      <c r="G295">
        <v>89.35</v>
      </c>
      <c r="H295">
        <v>567.79999999999995</v>
      </c>
      <c r="I295" t="s">
        <v>15</v>
      </c>
      <c r="J295" t="s">
        <v>16</v>
      </c>
      <c r="K295" t="s">
        <v>17</v>
      </c>
      <c r="L295">
        <v>567.79999999999995</v>
      </c>
      <c r="M295" t="s">
        <v>5030</v>
      </c>
      <c r="N295" t="s">
        <v>5031</v>
      </c>
    </row>
    <row r="296" spans="1:14" x14ac:dyDescent="0.3">
      <c r="A296" t="s">
        <v>319</v>
      </c>
      <c r="B296" t="s">
        <v>12</v>
      </c>
      <c r="C296" t="s">
        <v>13</v>
      </c>
      <c r="D296">
        <v>12</v>
      </c>
      <c r="E296" t="s">
        <v>15</v>
      </c>
      <c r="F296" t="s">
        <v>36</v>
      </c>
      <c r="G296">
        <v>19.7</v>
      </c>
      <c r="H296">
        <v>220.35</v>
      </c>
      <c r="I296" t="s">
        <v>15</v>
      </c>
      <c r="J296" t="s">
        <v>15</v>
      </c>
      <c r="K296" t="s">
        <v>21</v>
      </c>
      <c r="L296">
        <v>220.35</v>
      </c>
      <c r="M296" t="s">
        <v>5030</v>
      </c>
      <c r="N296" t="s">
        <v>5031</v>
      </c>
    </row>
    <row r="297" spans="1:14" x14ac:dyDescent="0.3">
      <c r="A297" t="s">
        <v>320</v>
      </c>
      <c r="B297" t="s">
        <v>19</v>
      </c>
      <c r="C297" t="s">
        <v>13</v>
      </c>
      <c r="D297">
        <v>1</v>
      </c>
      <c r="E297" t="s">
        <v>15</v>
      </c>
      <c r="F297" t="s">
        <v>36</v>
      </c>
      <c r="G297">
        <v>20.25</v>
      </c>
      <c r="H297">
        <v>20.25</v>
      </c>
      <c r="I297" t="s">
        <v>15</v>
      </c>
      <c r="J297" t="s">
        <v>15</v>
      </c>
      <c r="K297" t="s">
        <v>21</v>
      </c>
      <c r="L297">
        <v>20.25</v>
      </c>
      <c r="M297" t="s">
        <v>5030</v>
      </c>
      <c r="N297" t="s">
        <v>5031</v>
      </c>
    </row>
    <row r="298" spans="1:14" x14ac:dyDescent="0.3">
      <c r="A298" t="s">
        <v>321</v>
      </c>
      <c r="B298" t="s">
        <v>12</v>
      </c>
      <c r="C298" t="s">
        <v>35</v>
      </c>
      <c r="D298">
        <v>71</v>
      </c>
      <c r="E298" t="s">
        <v>26</v>
      </c>
      <c r="F298" t="s">
        <v>15</v>
      </c>
      <c r="G298">
        <v>76.05</v>
      </c>
      <c r="H298">
        <v>5436.45</v>
      </c>
      <c r="I298" t="s">
        <v>15</v>
      </c>
      <c r="J298" t="s">
        <v>15</v>
      </c>
      <c r="K298" t="s">
        <v>17</v>
      </c>
      <c r="L298">
        <v>5436.45</v>
      </c>
      <c r="M298" t="s">
        <v>5033</v>
      </c>
      <c r="N298" t="s">
        <v>5034</v>
      </c>
    </row>
    <row r="299" spans="1:14" x14ac:dyDescent="0.3">
      <c r="A299" t="s">
        <v>322</v>
      </c>
      <c r="B299" t="s">
        <v>19</v>
      </c>
      <c r="C299" t="s">
        <v>13</v>
      </c>
      <c r="D299">
        <v>35</v>
      </c>
      <c r="E299" t="s">
        <v>26</v>
      </c>
      <c r="F299" t="s">
        <v>15</v>
      </c>
      <c r="G299">
        <v>100.8</v>
      </c>
      <c r="H299">
        <v>3437.5</v>
      </c>
      <c r="I299" t="s">
        <v>15</v>
      </c>
      <c r="J299" t="s">
        <v>16</v>
      </c>
      <c r="K299" t="s">
        <v>17</v>
      </c>
      <c r="L299">
        <v>3437.5</v>
      </c>
      <c r="M299" t="s">
        <v>5032</v>
      </c>
      <c r="N299" t="s">
        <v>5034</v>
      </c>
    </row>
    <row r="300" spans="1:14" x14ac:dyDescent="0.3">
      <c r="A300" t="s">
        <v>323</v>
      </c>
      <c r="B300" t="s">
        <v>19</v>
      </c>
      <c r="C300" t="s">
        <v>13</v>
      </c>
      <c r="D300">
        <v>40</v>
      </c>
      <c r="E300" t="s">
        <v>14</v>
      </c>
      <c r="F300" t="s">
        <v>15</v>
      </c>
      <c r="G300">
        <v>74.55</v>
      </c>
      <c r="H300">
        <v>3015.75</v>
      </c>
      <c r="I300" t="s">
        <v>15</v>
      </c>
      <c r="J300" t="s">
        <v>16</v>
      </c>
      <c r="K300" t="s">
        <v>17</v>
      </c>
      <c r="L300">
        <v>3015.75</v>
      </c>
      <c r="M300" t="s">
        <v>5033</v>
      </c>
      <c r="N300" t="s">
        <v>5034</v>
      </c>
    </row>
    <row r="301" spans="1:14" x14ac:dyDescent="0.3">
      <c r="A301" t="s">
        <v>324</v>
      </c>
      <c r="B301" t="s">
        <v>12</v>
      </c>
      <c r="C301" t="s">
        <v>13</v>
      </c>
      <c r="D301">
        <v>1</v>
      </c>
      <c r="E301" t="s">
        <v>26</v>
      </c>
      <c r="F301" t="s">
        <v>15</v>
      </c>
      <c r="G301">
        <v>73.599999999999994</v>
      </c>
      <c r="H301">
        <v>73.599999999999994</v>
      </c>
      <c r="I301" t="s">
        <v>16</v>
      </c>
      <c r="J301" t="s">
        <v>16</v>
      </c>
      <c r="K301" t="s">
        <v>21</v>
      </c>
      <c r="L301">
        <v>73.599999999999994</v>
      </c>
      <c r="M301" t="s">
        <v>5030</v>
      </c>
      <c r="N301" t="s">
        <v>5031</v>
      </c>
    </row>
    <row r="302" spans="1:14" x14ac:dyDescent="0.3">
      <c r="A302" t="s">
        <v>325</v>
      </c>
      <c r="B302" t="s">
        <v>19</v>
      </c>
      <c r="C302" t="s">
        <v>20</v>
      </c>
      <c r="D302">
        <v>23</v>
      </c>
      <c r="E302" t="s">
        <v>14</v>
      </c>
      <c r="F302" t="s">
        <v>15</v>
      </c>
      <c r="G302">
        <v>64.900000000000006</v>
      </c>
      <c r="H302">
        <v>1509.8</v>
      </c>
      <c r="I302" t="s">
        <v>15</v>
      </c>
      <c r="J302" t="s">
        <v>16</v>
      </c>
      <c r="K302" t="s">
        <v>24</v>
      </c>
      <c r="L302">
        <v>1509.8</v>
      </c>
      <c r="M302" t="s">
        <v>5032</v>
      </c>
      <c r="N302" t="s">
        <v>5031</v>
      </c>
    </row>
    <row r="303" spans="1:14" x14ac:dyDescent="0.3">
      <c r="A303" t="s">
        <v>326</v>
      </c>
      <c r="B303" t="s">
        <v>12</v>
      </c>
      <c r="C303" t="s">
        <v>13</v>
      </c>
      <c r="D303">
        <v>4</v>
      </c>
      <c r="E303" t="s">
        <v>26</v>
      </c>
      <c r="F303" t="s">
        <v>15</v>
      </c>
      <c r="G303">
        <v>95.45</v>
      </c>
      <c r="H303">
        <v>396.1</v>
      </c>
      <c r="I303" t="s">
        <v>16</v>
      </c>
      <c r="J303" t="s">
        <v>16</v>
      </c>
      <c r="K303" t="s">
        <v>17</v>
      </c>
      <c r="L303">
        <v>396.1</v>
      </c>
      <c r="M303" t="s">
        <v>5030</v>
      </c>
      <c r="N303" t="s">
        <v>5031</v>
      </c>
    </row>
    <row r="304" spans="1:14" x14ac:dyDescent="0.3">
      <c r="A304" t="s">
        <v>327</v>
      </c>
      <c r="B304" t="s">
        <v>19</v>
      </c>
      <c r="C304" t="s">
        <v>13</v>
      </c>
      <c r="D304">
        <v>4</v>
      </c>
      <c r="E304" t="s">
        <v>26</v>
      </c>
      <c r="F304" t="s">
        <v>16</v>
      </c>
      <c r="G304">
        <v>90.4</v>
      </c>
      <c r="H304">
        <v>356.65</v>
      </c>
      <c r="I304" t="s">
        <v>15</v>
      </c>
      <c r="J304" t="s">
        <v>16</v>
      </c>
      <c r="K304" t="s">
        <v>17</v>
      </c>
      <c r="L304">
        <v>356.65</v>
      </c>
      <c r="M304" t="s">
        <v>5030</v>
      </c>
      <c r="N304" t="s">
        <v>5031</v>
      </c>
    </row>
    <row r="305" spans="1:14" x14ac:dyDescent="0.3">
      <c r="A305" t="s">
        <v>328</v>
      </c>
      <c r="B305" t="s">
        <v>12</v>
      </c>
      <c r="C305" t="s">
        <v>35</v>
      </c>
      <c r="D305">
        <v>68</v>
      </c>
      <c r="E305" t="s">
        <v>14</v>
      </c>
      <c r="F305" t="s">
        <v>16</v>
      </c>
      <c r="G305">
        <v>60.3</v>
      </c>
      <c r="H305">
        <v>4109</v>
      </c>
      <c r="I305" t="s">
        <v>15</v>
      </c>
      <c r="J305" t="s">
        <v>15</v>
      </c>
      <c r="K305" t="s">
        <v>29</v>
      </c>
      <c r="L305">
        <v>4109</v>
      </c>
      <c r="M305" t="s">
        <v>5033</v>
      </c>
      <c r="N305" t="s">
        <v>5034</v>
      </c>
    </row>
    <row r="306" spans="1:14" x14ac:dyDescent="0.3">
      <c r="A306" t="s">
        <v>329</v>
      </c>
      <c r="B306" t="s">
        <v>19</v>
      </c>
      <c r="C306" t="s">
        <v>13</v>
      </c>
      <c r="D306">
        <v>38</v>
      </c>
      <c r="E306" t="s">
        <v>26</v>
      </c>
      <c r="F306" t="s">
        <v>15</v>
      </c>
      <c r="G306">
        <v>81.849999999999994</v>
      </c>
      <c r="H306">
        <v>3141.7</v>
      </c>
      <c r="I306" t="s">
        <v>15</v>
      </c>
      <c r="J306" t="s">
        <v>16</v>
      </c>
      <c r="K306" t="s">
        <v>21</v>
      </c>
      <c r="L306">
        <v>3141.7</v>
      </c>
      <c r="M306" t="s">
        <v>5033</v>
      </c>
      <c r="N306" t="s">
        <v>5034</v>
      </c>
    </row>
    <row r="307" spans="1:14" x14ac:dyDescent="0.3">
      <c r="A307" t="s">
        <v>330</v>
      </c>
      <c r="B307" t="s">
        <v>19</v>
      </c>
      <c r="C307" t="s">
        <v>35</v>
      </c>
      <c r="D307">
        <v>52</v>
      </c>
      <c r="E307" t="s">
        <v>15</v>
      </c>
      <c r="F307" t="s">
        <v>36</v>
      </c>
      <c r="G307">
        <v>24.8</v>
      </c>
      <c r="H307">
        <v>1229.0999999999999</v>
      </c>
      <c r="I307" t="s">
        <v>15</v>
      </c>
      <c r="J307" t="s">
        <v>15</v>
      </c>
      <c r="K307" t="s">
        <v>21</v>
      </c>
      <c r="L307">
        <v>1229.0999999999999</v>
      </c>
      <c r="M307" t="s">
        <v>5033</v>
      </c>
      <c r="N307" t="s">
        <v>5031</v>
      </c>
    </row>
    <row r="308" spans="1:14" x14ac:dyDescent="0.3">
      <c r="A308" t="s">
        <v>331</v>
      </c>
      <c r="B308" t="s">
        <v>19</v>
      </c>
      <c r="C308" t="s">
        <v>13</v>
      </c>
      <c r="D308">
        <v>32</v>
      </c>
      <c r="E308" t="s">
        <v>26</v>
      </c>
      <c r="F308" t="s">
        <v>15</v>
      </c>
      <c r="G308">
        <v>74.900000000000006</v>
      </c>
      <c r="H308">
        <v>2303.35</v>
      </c>
      <c r="I308" t="s">
        <v>16</v>
      </c>
      <c r="J308" t="s">
        <v>16</v>
      </c>
      <c r="K308" t="s">
        <v>17</v>
      </c>
      <c r="L308">
        <v>2303.35</v>
      </c>
      <c r="M308" t="s">
        <v>5032</v>
      </c>
      <c r="N308" t="s">
        <v>5031</v>
      </c>
    </row>
    <row r="309" spans="1:14" x14ac:dyDescent="0.3">
      <c r="A309" t="s">
        <v>332</v>
      </c>
      <c r="B309" t="s">
        <v>19</v>
      </c>
      <c r="C309" t="s">
        <v>35</v>
      </c>
      <c r="D309">
        <v>29</v>
      </c>
      <c r="E309" t="s">
        <v>14</v>
      </c>
      <c r="F309" t="s">
        <v>16</v>
      </c>
      <c r="G309">
        <v>75.55</v>
      </c>
      <c r="H309">
        <v>2054.4</v>
      </c>
      <c r="I309" t="s">
        <v>15</v>
      </c>
      <c r="J309" t="s">
        <v>15</v>
      </c>
      <c r="K309" t="s">
        <v>21</v>
      </c>
      <c r="L309">
        <v>2054.4</v>
      </c>
      <c r="M309" t="s">
        <v>5032</v>
      </c>
      <c r="N309" t="s">
        <v>5031</v>
      </c>
    </row>
    <row r="310" spans="1:14" x14ac:dyDescent="0.3">
      <c r="A310" t="s">
        <v>333</v>
      </c>
      <c r="B310" t="s">
        <v>19</v>
      </c>
      <c r="C310" t="s">
        <v>13</v>
      </c>
      <c r="D310">
        <v>38</v>
      </c>
      <c r="E310" t="s">
        <v>26</v>
      </c>
      <c r="F310" t="s">
        <v>15</v>
      </c>
      <c r="G310">
        <v>101.15</v>
      </c>
      <c r="H310">
        <v>3741.85</v>
      </c>
      <c r="I310" t="s">
        <v>15</v>
      </c>
      <c r="J310" t="s">
        <v>15</v>
      </c>
      <c r="K310" t="s">
        <v>17</v>
      </c>
      <c r="L310">
        <v>3741.85</v>
      </c>
      <c r="M310" t="s">
        <v>5033</v>
      </c>
      <c r="N310" t="s">
        <v>5034</v>
      </c>
    </row>
    <row r="311" spans="1:14" x14ac:dyDescent="0.3">
      <c r="A311" t="s">
        <v>334</v>
      </c>
      <c r="B311" t="s">
        <v>19</v>
      </c>
      <c r="C311" t="s">
        <v>20</v>
      </c>
      <c r="D311">
        <v>48</v>
      </c>
      <c r="E311" t="s">
        <v>14</v>
      </c>
      <c r="F311" t="s">
        <v>15</v>
      </c>
      <c r="G311">
        <v>78.75</v>
      </c>
      <c r="H311">
        <v>3682.45</v>
      </c>
      <c r="I311" t="s">
        <v>15</v>
      </c>
      <c r="J311" t="s">
        <v>16</v>
      </c>
      <c r="K311" t="s">
        <v>29</v>
      </c>
      <c r="L311">
        <v>3682.45</v>
      </c>
      <c r="M311" t="s">
        <v>5033</v>
      </c>
      <c r="N311" t="s">
        <v>5034</v>
      </c>
    </row>
    <row r="312" spans="1:14" x14ac:dyDescent="0.3">
      <c r="A312" t="s">
        <v>335</v>
      </c>
      <c r="B312" t="s">
        <v>12</v>
      </c>
      <c r="C312" t="s">
        <v>13</v>
      </c>
      <c r="D312">
        <v>1</v>
      </c>
      <c r="E312" t="s">
        <v>15</v>
      </c>
      <c r="F312" t="s">
        <v>36</v>
      </c>
      <c r="G312">
        <v>19.25</v>
      </c>
      <c r="H312">
        <v>19.25</v>
      </c>
      <c r="I312" t="s">
        <v>15</v>
      </c>
      <c r="J312" t="s">
        <v>16</v>
      </c>
      <c r="K312" t="s">
        <v>24</v>
      </c>
      <c r="L312">
        <v>19.25</v>
      </c>
      <c r="M312" t="s">
        <v>5030</v>
      </c>
      <c r="N312" t="s">
        <v>5031</v>
      </c>
    </row>
    <row r="313" spans="1:14" x14ac:dyDescent="0.3">
      <c r="A313" t="s">
        <v>336</v>
      </c>
      <c r="B313" t="s">
        <v>12</v>
      </c>
      <c r="C313" t="s">
        <v>13</v>
      </c>
      <c r="D313">
        <v>22</v>
      </c>
      <c r="E313" t="s">
        <v>26</v>
      </c>
      <c r="F313" t="s">
        <v>16</v>
      </c>
      <c r="G313">
        <v>89.05</v>
      </c>
      <c r="H313">
        <v>1886.25</v>
      </c>
      <c r="I313" t="s">
        <v>15</v>
      </c>
      <c r="J313" t="s">
        <v>16</v>
      </c>
      <c r="K313" t="s">
        <v>17</v>
      </c>
      <c r="L313">
        <v>1886.25</v>
      </c>
      <c r="M313" t="s">
        <v>5032</v>
      </c>
      <c r="N313" t="s">
        <v>5031</v>
      </c>
    </row>
    <row r="314" spans="1:14" x14ac:dyDescent="0.3">
      <c r="A314" t="s">
        <v>337</v>
      </c>
      <c r="B314" t="s">
        <v>12</v>
      </c>
      <c r="C314" t="s">
        <v>35</v>
      </c>
      <c r="D314">
        <v>43</v>
      </c>
      <c r="E314" t="s">
        <v>26</v>
      </c>
      <c r="F314" t="s">
        <v>16</v>
      </c>
      <c r="G314">
        <v>115.05</v>
      </c>
      <c r="H314">
        <v>4895.1000000000004</v>
      </c>
      <c r="I314" t="s">
        <v>15</v>
      </c>
      <c r="J314" t="s">
        <v>15</v>
      </c>
      <c r="K314" t="s">
        <v>29</v>
      </c>
      <c r="L314">
        <v>4895.1000000000004</v>
      </c>
      <c r="M314" t="s">
        <v>5033</v>
      </c>
      <c r="N314" t="s">
        <v>5034</v>
      </c>
    </row>
    <row r="315" spans="1:14" x14ac:dyDescent="0.3">
      <c r="A315" t="s">
        <v>338</v>
      </c>
      <c r="B315" t="s">
        <v>12</v>
      </c>
      <c r="C315" t="s">
        <v>13</v>
      </c>
      <c r="D315">
        <v>5</v>
      </c>
      <c r="E315" t="s">
        <v>26</v>
      </c>
      <c r="F315" t="s">
        <v>15</v>
      </c>
      <c r="G315">
        <v>69.349999999999994</v>
      </c>
      <c r="H315">
        <v>341.6</v>
      </c>
      <c r="I315" t="s">
        <v>15</v>
      </c>
      <c r="J315" t="s">
        <v>16</v>
      </c>
      <c r="K315" t="s">
        <v>17</v>
      </c>
      <c r="L315">
        <v>341.6</v>
      </c>
      <c r="M315" t="s">
        <v>5030</v>
      </c>
      <c r="N315" t="s">
        <v>5031</v>
      </c>
    </row>
    <row r="316" spans="1:14" x14ac:dyDescent="0.3">
      <c r="A316" t="s">
        <v>339</v>
      </c>
      <c r="B316" t="s">
        <v>19</v>
      </c>
      <c r="C316" t="s">
        <v>13</v>
      </c>
      <c r="D316">
        <v>5</v>
      </c>
      <c r="E316" t="s">
        <v>26</v>
      </c>
      <c r="F316" t="s">
        <v>15</v>
      </c>
      <c r="G316">
        <v>80.599999999999994</v>
      </c>
      <c r="H316">
        <v>415.55</v>
      </c>
      <c r="I316" t="s">
        <v>16</v>
      </c>
      <c r="J316" t="s">
        <v>16</v>
      </c>
      <c r="K316" t="s">
        <v>17</v>
      </c>
      <c r="L316">
        <v>415.55</v>
      </c>
      <c r="M316" t="s">
        <v>5030</v>
      </c>
      <c r="N316" t="s">
        <v>5031</v>
      </c>
    </row>
    <row r="317" spans="1:14" x14ac:dyDescent="0.3">
      <c r="A317" t="s">
        <v>340</v>
      </c>
      <c r="B317" t="s">
        <v>19</v>
      </c>
      <c r="C317" t="s">
        <v>20</v>
      </c>
      <c r="D317">
        <v>51</v>
      </c>
      <c r="E317" t="s">
        <v>26</v>
      </c>
      <c r="F317" t="s">
        <v>16</v>
      </c>
      <c r="G317">
        <v>110.05</v>
      </c>
      <c r="H317">
        <v>5686.4</v>
      </c>
      <c r="I317" t="s">
        <v>15</v>
      </c>
      <c r="J317" t="s">
        <v>15</v>
      </c>
      <c r="K317" t="s">
        <v>29</v>
      </c>
      <c r="L317">
        <v>5686.4</v>
      </c>
      <c r="M317" t="s">
        <v>5033</v>
      </c>
      <c r="N317" t="s">
        <v>5034</v>
      </c>
    </row>
    <row r="318" spans="1:14" x14ac:dyDescent="0.3">
      <c r="A318" t="s">
        <v>341</v>
      </c>
      <c r="B318" t="s">
        <v>19</v>
      </c>
      <c r="C318" t="s">
        <v>35</v>
      </c>
      <c r="D318">
        <v>71</v>
      </c>
      <c r="E318" t="s">
        <v>15</v>
      </c>
      <c r="F318" t="s">
        <v>36</v>
      </c>
      <c r="G318">
        <v>19.899999999999999</v>
      </c>
      <c r="H318">
        <v>1355.1</v>
      </c>
      <c r="I318" t="s">
        <v>15</v>
      </c>
      <c r="J318" t="s">
        <v>16</v>
      </c>
      <c r="K318" t="s">
        <v>29</v>
      </c>
      <c r="L318">
        <v>1355.1</v>
      </c>
      <c r="M318" t="s">
        <v>5033</v>
      </c>
      <c r="N318" t="s">
        <v>5031</v>
      </c>
    </row>
    <row r="319" spans="1:14" x14ac:dyDescent="0.3">
      <c r="A319" t="s">
        <v>342</v>
      </c>
      <c r="B319" t="s">
        <v>12</v>
      </c>
      <c r="C319" t="s">
        <v>20</v>
      </c>
      <c r="D319">
        <v>38</v>
      </c>
      <c r="E319" t="s">
        <v>14</v>
      </c>
      <c r="F319" t="s">
        <v>16</v>
      </c>
      <c r="G319">
        <v>80.3</v>
      </c>
      <c r="H319">
        <v>3058.65</v>
      </c>
      <c r="I319" t="s">
        <v>16</v>
      </c>
      <c r="J319" t="s">
        <v>15</v>
      </c>
      <c r="K319" t="s">
        <v>29</v>
      </c>
      <c r="L319">
        <v>3058.65</v>
      </c>
      <c r="M319" t="s">
        <v>5033</v>
      </c>
      <c r="N319" t="s">
        <v>5034</v>
      </c>
    </row>
    <row r="320" spans="1:14" x14ac:dyDescent="0.3">
      <c r="A320" t="s">
        <v>343</v>
      </c>
      <c r="B320" t="s">
        <v>19</v>
      </c>
      <c r="C320" t="s">
        <v>13</v>
      </c>
      <c r="D320">
        <v>24</v>
      </c>
      <c r="E320" t="s">
        <v>26</v>
      </c>
      <c r="F320" t="s">
        <v>15</v>
      </c>
      <c r="G320">
        <v>93.15</v>
      </c>
      <c r="H320">
        <v>2231.0500000000002</v>
      </c>
      <c r="I320" t="s">
        <v>16</v>
      </c>
      <c r="J320" t="s">
        <v>16</v>
      </c>
      <c r="K320" t="s">
        <v>17</v>
      </c>
      <c r="L320">
        <v>2231.0500000000002</v>
      </c>
      <c r="M320" t="s">
        <v>5032</v>
      </c>
      <c r="N320" t="s">
        <v>5031</v>
      </c>
    </row>
    <row r="321" spans="1:14" x14ac:dyDescent="0.3">
      <c r="A321" t="s">
        <v>344</v>
      </c>
      <c r="B321" t="s">
        <v>19</v>
      </c>
      <c r="C321" t="s">
        <v>13</v>
      </c>
      <c r="D321">
        <v>35</v>
      </c>
      <c r="E321" t="s">
        <v>26</v>
      </c>
      <c r="F321" t="s">
        <v>16</v>
      </c>
      <c r="G321">
        <v>91.5</v>
      </c>
      <c r="H321">
        <v>3236.35</v>
      </c>
      <c r="I321" t="s">
        <v>15</v>
      </c>
      <c r="J321" t="s">
        <v>16</v>
      </c>
      <c r="K321" t="s">
        <v>29</v>
      </c>
      <c r="L321">
        <v>3236.35</v>
      </c>
      <c r="M321" t="s">
        <v>5032</v>
      </c>
      <c r="N321" t="s">
        <v>5034</v>
      </c>
    </row>
    <row r="322" spans="1:14" x14ac:dyDescent="0.3">
      <c r="A322" t="s">
        <v>345</v>
      </c>
      <c r="B322" t="s">
        <v>12</v>
      </c>
      <c r="C322" t="s">
        <v>20</v>
      </c>
      <c r="D322">
        <v>54</v>
      </c>
      <c r="E322" t="s">
        <v>14</v>
      </c>
      <c r="F322" t="s">
        <v>16</v>
      </c>
      <c r="G322">
        <v>82.45</v>
      </c>
      <c r="H322">
        <v>4350.1000000000004</v>
      </c>
      <c r="I322" t="s">
        <v>16</v>
      </c>
      <c r="J322" t="s">
        <v>15</v>
      </c>
      <c r="K322" t="s">
        <v>24</v>
      </c>
      <c r="L322">
        <v>4350.1000000000004</v>
      </c>
      <c r="M322" t="s">
        <v>5033</v>
      </c>
      <c r="N322" t="s">
        <v>5034</v>
      </c>
    </row>
    <row r="323" spans="1:14" x14ac:dyDescent="0.3">
      <c r="A323" t="s">
        <v>346</v>
      </c>
      <c r="B323" t="s">
        <v>12</v>
      </c>
      <c r="C323" t="s">
        <v>35</v>
      </c>
      <c r="D323">
        <v>72</v>
      </c>
      <c r="E323" t="s">
        <v>14</v>
      </c>
      <c r="F323" t="s">
        <v>16</v>
      </c>
      <c r="G323">
        <v>60</v>
      </c>
      <c r="H323">
        <v>4264</v>
      </c>
      <c r="I323" t="s">
        <v>15</v>
      </c>
      <c r="J323" t="s">
        <v>16</v>
      </c>
      <c r="K323" t="s">
        <v>17</v>
      </c>
      <c r="L323">
        <v>4264</v>
      </c>
      <c r="M323" t="s">
        <v>5033</v>
      </c>
      <c r="N323" t="s">
        <v>5034</v>
      </c>
    </row>
    <row r="324" spans="1:14" x14ac:dyDescent="0.3">
      <c r="A324" t="s">
        <v>347</v>
      </c>
      <c r="B324" t="s">
        <v>19</v>
      </c>
      <c r="C324" t="s">
        <v>13</v>
      </c>
      <c r="D324">
        <v>1</v>
      </c>
      <c r="E324" t="s">
        <v>14</v>
      </c>
      <c r="F324" t="s">
        <v>15</v>
      </c>
      <c r="G324">
        <v>44.8</v>
      </c>
      <c r="H324">
        <v>44.8</v>
      </c>
      <c r="I324" t="s">
        <v>15</v>
      </c>
      <c r="J324" t="s">
        <v>16</v>
      </c>
      <c r="K324" t="s">
        <v>17</v>
      </c>
      <c r="L324">
        <v>44.8</v>
      </c>
      <c r="M324" t="s">
        <v>5030</v>
      </c>
      <c r="N324" t="s">
        <v>5031</v>
      </c>
    </row>
    <row r="325" spans="1:14" x14ac:dyDescent="0.3">
      <c r="A325" t="s">
        <v>348</v>
      </c>
      <c r="B325" t="s">
        <v>12</v>
      </c>
      <c r="C325" t="s">
        <v>20</v>
      </c>
      <c r="D325">
        <v>9</v>
      </c>
      <c r="E325" t="s">
        <v>14</v>
      </c>
      <c r="F325" t="s">
        <v>15</v>
      </c>
      <c r="G325">
        <v>48.6</v>
      </c>
      <c r="H325">
        <v>422.3</v>
      </c>
      <c r="I325" t="s">
        <v>15</v>
      </c>
      <c r="J325" t="s">
        <v>15</v>
      </c>
      <c r="K325" t="s">
        <v>21</v>
      </c>
      <c r="L325">
        <v>422.3</v>
      </c>
      <c r="M325" t="s">
        <v>5030</v>
      </c>
      <c r="N325" t="s">
        <v>5031</v>
      </c>
    </row>
    <row r="326" spans="1:14" x14ac:dyDescent="0.3">
      <c r="A326" t="s">
        <v>349</v>
      </c>
      <c r="B326" t="s">
        <v>19</v>
      </c>
      <c r="C326" t="s">
        <v>35</v>
      </c>
      <c r="D326">
        <v>69</v>
      </c>
      <c r="E326" t="s">
        <v>14</v>
      </c>
      <c r="F326" t="s">
        <v>16</v>
      </c>
      <c r="G326">
        <v>60.05</v>
      </c>
      <c r="H326">
        <v>4176.7</v>
      </c>
      <c r="I326" t="s">
        <v>15</v>
      </c>
      <c r="J326" t="s">
        <v>16</v>
      </c>
      <c r="K326" t="s">
        <v>24</v>
      </c>
      <c r="L326">
        <v>4176.7</v>
      </c>
      <c r="M326" t="s">
        <v>5033</v>
      </c>
      <c r="N326" t="s">
        <v>5034</v>
      </c>
    </row>
    <row r="327" spans="1:14" x14ac:dyDescent="0.3">
      <c r="A327" t="s">
        <v>350</v>
      </c>
      <c r="B327" t="s">
        <v>12</v>
      </c>
      <c r="C327" t="s">
        <v>13</v>
      </c>
      <c r="D327">
        <v>52</v>
      </c>
      <c r="E327" t="s">
        <v>26</v>
      </c>
      <c r="F327" t="s">
        <v>16</v>
      </c>
      <c r="G327">
        <v>102.7</v>
      </c>
      <c r="H327">
        <v>5138.1000000000004</v>
      </c>
      <c r="I327" t="s">
        <v>15</v>
      </c>
      <c r="J327" t="s">
        <v>16</v>
      </c>
      <c r="K327" t="s">
        <v>29</v>
      </c>
      <c r="L327">
        <v>5138.1000000000004</v>
      </c>
      <c r="M327" t="s">
        <v>5033</v>
      </c>
      <c r="N327" t="s">
        <v>5034</v>
      </c>
    </row>
    <row r="328" spans="1:14" x14ac:dyDescent="0.3">
      <c r="A328" t="s">
        <v>351</v>
      </c>
      <c r="B328" t="s">
        <v>12</v>
      </c>
      <c r="C328" t="s">
        <v>13</v>
      </c>
      <c r="D328">
        <v>11</v>
      </c>
      <c r="E328" t="s">
        <v>26</v>
      </c>
      <c r="F328" t="s">
        <v>16</v>
      </c>
      <c r="G328">
        <v>82.9</v>
      </c>
      <c r="H328">
        <v>880.05</v>
      </c>
      <c r="I328" t="s">
        <v>15</v>
      </c>
      <c r="J328" t="s">
        <v>16</v>
      </c>
      <c r="K328" t="s">
        <v>17</v>
      </c>
      <c r="L328">
        <v>880.05</v>
      </c>
      <c r="M328" t="s">
        <v>5030</v>
      </c>
      <c r="N328" t="s">
        <v>5031</v>
      </c>
    </row>
    <row r="329" spans="1:14" x14ac:dyDescent="0.3">
      <c r="A329" t="s">
        <v>352</v>
      </c>
      <c r="B329" t="s">
        <v>12</v>
      </c>
      <c r="C329" t="s">
        <v>13</v>
      </c>
      <c r="D329">
        <v>2</v>
      </c>
      <c r="E329" t="s">
        <v>26</v>
      </c>
      <c r="F329" t="s">
        <v>15</v>
      </c>
      <c r="G329">
        <v>70.349999999999994</v>
      </c>
      <c r="H329">
        <v>139.05000000000001</v>
      </c>
      <c r="I329" t="s">
        <v>16</v>
      </c>
      <c r="J329" t="s">
        <v>16</v>
      </c>
      <c r="K329" t="s">
        <v>17</v>
      </c>
      <c r="L329">
        <v>139.05000000000001</v>
      </c>
      <c r="M329" t="s">
        <v>5030</v>
      </c>
      <c r="N329" t="s">
        <v>5031</v>
      </c>
    </row>
    <row r="330" spans="1:14" x14ac:dyDescent="0.3">
      <c r="A330" t="s">
        <v>353</v>
      </c>
      <c r="B330" t="s">
        <v>12</v>
      </c>
      <c r="C330" t="s">
        <v>13</v>
      </c>
      <c r="D330">
        <v>28</v>
      </c>
      <c r="E330" t="s">
        <v>14</v>
      </c>
      <c r="F330" t="s">
        <v>15</v>
      </c>
      <c r="G330">
        <v>35.9</v>
      </c>
      <c r="H330">
        <v>973.65</v>
      </c>
      <c r="I330" t="s">
        <v>15</v>
      </c>
      <c r="J330" t="s">
        <v>16</v>
      </c>
      <c r="K330" t="s">
        <v>17</v>
      </c>
      <c r="L330">
        <v>973.65</v>
      </c>
      <c r="M330" t="s">
        <v>5032</v>
      </c>
      <c r="N330" t="s">
        <v>5031</v>
      </c>
    </row>
    <row r="331" spans="1:14" x14ac:dyDescent="0.3">
      <c r="A331" t="s">
        <v>354</v>
      </c>
      <c r="B331" t="s">
        <v>12</v>
      </c>
      <c r="C331" t="s">
        <v>13</v>
      </c>
      <c r="D331">
        <v>17</v>
      </c>
      <c r="E331" t="s">
        <v>26</v>
      </c>
      <c r="F331" t="s">
        <v>15</v>
      </c>
      <c r="G331">
        <v>82.65</v>
      </c>
      <c r="H331">
        <v>1470.05</v>
      </c>
      <c r="I331" t="s">
        <v>15</v>
      </c>
      <c r="J331" t="s">
        <v>16</v>
      </c>
      <c r="K331" t="s">
        <v>29</v>
      </c>
      <c r="L331">
        <v>1470.05</v>
      </c>
      <c r="M331" t="s">
        <v>5032</v>
      </c>
      <c r="N331" t="s">
        <v>5031</v>
      </c>
    </row>
    <row r="332" spans="1:14" x14ac:dyDescent="0.3">
      <c r="A332" t="s">
        <v>355</v>
      </c>
      <c r="B332" t="s">
        <v>12</v>
      </c>
      <c r="C332" t="s">
        <v>35</v>
      </c>
      <c r="D332">
        <v>35</v>
      </c>
      <c r="E332" t="s">
        <v>15</v>
      </c>
      <c r="F332" t="s">
        <v>36</v>
      </c>
      <c r="G332">
        <v>19.850000000000001</v>
      </c>
      <c r="H332">
        <v>739.35</v>
      </c>
      <c r="I332" t="s">
        <v>15</v>
      </c>
      <c r="J332" t="s">
        <v>16</v>
      </c>
      <c r="K332" t="s">
        <v>21</v>
      </c>
      <c r="L332">
        <v>739.35</v>
      </c>
      <c r="M332" t="s">
        <v>5032</v>
      </c>
      <c r="N332" t="s">
        <v>5031</v>
      </c>
    </row>
    <row r="333" spans="1:14" x14ac:dyDescent="0.3">
      <c r="A333" t="s">
        <v>356</v>
      </c>
      <c r="B333" t="s">
        <v>12</v>
      </c>
      <c r="C333" t="s">
        <v>20</v>
      </c>
      <c r="D333">
        <v>8</v>
      </c>
      <c r="E333" t="s">
        <v>15</v>
      </c>
      <c r="F333" t="s">
        <v>36</v>
      </c>
      <c r="G333">
        <v>19.2</v>
      </c>
      <c r="H333">
        <v>161.94999999999999</v>
      </c>
      <c r="I333" t="s">
        <v>15</v>
      </c>
      <c r="J333" t="s">
        <v>16</v>
      </c>
      <c r="K333" t="s">
        <v>21</v>
      </c>
      <c r="L333">
        <v>161.94999999999999</v>
      </c>
      <c r="M333" t="s">
        <v>5030</v>
      </c>
      <c r="N333" t="s">
        <v>5031</v>
      </c>
    </row>
    <row r="334" spans="1:14" x14ac:dyDescent="0.3">
      <c r="A334" t="s">
        <v>357</v>
      </c>
      <c r="B334" t="s">
        <v>19</v>
      </c>
      <c r="C334" t="s">
        <v>20</v>
      </c>
      <c r="D334">
        <v>46</v>
      </c>
      <c r="E334" t="s">
        <v>26</v>
      </c>
      <c r="F334" t="s">
        <v>15</v>
      </c>
      <c r="G334">
        <v>94.9</v>
      </c>
      <c r="H334">
        <v>4422.95</v>
      </c>
      <c r="I334" t="s">
        <v>15</v>
      </c>
      <c r="J334" t="s">
        <v>16</v>
      </c>
      <c r="K334" t="s">
        <v>29</v>
      </c>
      <c r="L334">
        <v>4422.95</v>
      </c>
      <c r="M334" t="s">
        <v>5033</v>
      </c>
      <c r="N334" t="s">
        <v>5034</v>
      </c>
    </row>
    <row r="335" spans="1:14" x14ac:dyDescent="0.3">
      <c r="A335" t="s">
        <v>358</v>
      </c>
      <c r="B335" t="s">
        <v>12</v>
      </c>
      <c r="C335" t="s">
        <v>13</v>
      </c>
      <c r="D335">
        <v>7</v>
      </c>
      <c r="E335" t="s">
        <v>26</v>
      </c>
      <c r="F335" t="s">
        <v>15</v>
      </c>
      <c r="G335">
        <v>73.849999999999994</v>
      </c>
      <c r="H335">
        <v>511.25</v>
      </c>
      <c r="I335" t="s">
        <v>16</v>
      </c>
      <c r="J335" t="s">
        <v>16</v>
      </c>
      <c r="K335" t="s">
        <v>17</v>
      </c>
      <c r="L335">
        <v>511.25</v>
      </c>
      <c r="M335" t="s">
        <v>5030</v>
      </c>
      <c r="N335" t="s">
        <v>5031</v>
      </c>
    </row>
    <row r="336" spans="1:14" x14ac:dyDescent="0.3">
      <c r="A336" t="s">
        <v>359</v>
      </c>
      <c r="B336" t="s">
        <v>12</v>
      </c>
      <c r="C336" t="s">
        <v>13</v>
      </c>
      <c r="D336">
        <v>2</v>
      </c>
      <c r="E336" t="s">
        <v>26</v>
      </c>
      <c r="F336" t="s">
        <v>15</v>
      </c>
      <c r="G336">
        <v>80.599999999999994</v>
      </c>
      <c r="H336">
        <v>155.80000000000001</v>
      </c>
      <c r="I336" t="s">
        <v>16</v>
      </c>
      <c r="J336" t="s">
        <v>15</v>
      </c>
      <c r="K336" t="s">
        <v>21</v>
      </c>
      <c r="L336">
        <v>155.80000000000001</v>
      </c>
      <c r="M336" t="s">
        <v>5030</v>
      </c>
      <c r="N336" t="s">
        <v>5031</v>
      </c>
    </row>
    <row r="337" spans="1:14" x14ac:dyDescent="0.3">
      <c r="A337" t="s">
        <v>360</v>
      </c>
      <c r="B337" t="s">
        <v>19</v>
      </c>
      <c r="C337" t="s">
        <v>20</v>
      </c>
      <c r="D337">
        <v>68</v>
      </c>
      <c r="E337" t="s">
        <v>14</v>
      </c>
      <c r="F337" t="s">
        <v>16</v>
      </c>
      <c r="G337">
        <v>75.8</v>
      </c>
      <c r="H337">
        <v>5293.95</v>
      </c>
      <c r="I337" t="s">
        <v>16</v>
      </c>
      <c r="J337" t="s">
        <v>16</v>
      </c>
      <c r="K337" t="s">
        <v>24</v>
      </c>
      <c r="L337">
        <v>5293.95</v>
      </c>
      <c r="M337" t="s">
        <v>5033</v>
      </c>
      <c r="N337" t="s">
        <v>5034</v>
      </c>
    </row>
    <row r="338" spans="1:14" x14ac:dyDescent="0.3">
      <c r="A338" t="s">
        <v>361</v>
      </c>
      <c r="B338" t="s">
        <v>12</v>
      </c>
      <c r="C338" t="s">
        <v>35</v>
      </c>
      <c r="D338">
        <v>43</v>
      </c>
      <c r="E338" t="s">
        <v>26</v>
      </c>
      <c r="F338" t="s">
        <v>15</v>
      </c>
      <c r="G338">
        <v>104.6</v>
      </c>
      <c r="H338">
        <v>4759.8500000000004</v>
      </c>
      <c r="I338" t="s">
        <v>16</v>
      </c>
      <c r="J338" t="s">
        <v>16</v>
      </c>
      <c r="K338" t="s">
        <v>17</v>
      </c>
      <c r="L338">
        <v>4759.8500000000004</v>
      </c>
      <c r="M338" t="s">
        <v>5033</v>
      </c>
      <c r="N338" t="s">
        <v>5034</v>
      </c>
    </row>
    <row r="339" spans="1:14" x14ac:dyDescent="0.3">
      <c r="A339" t="s">
        <v>362</v>
      </c>
      <c r="B339" t="s">
        <v>12</v>
      </c>
      <c r="C339" t="s">
        <v>35</v>
      </c>
      <c r="D339">
        <v>68</v>
      </c>
      <c r="E339" t="s">
        <v>14</v>
      </c>
      <c r="F339" t="s">
        <v>16</v>
      </c>
      <c r="G339">
        <v>88.15</v>
      </c>
      <c r="H339">
        <v>6148.45</v>
      </c>
      <c r="I339" t="s">
        <v>15</v>
      </c>
      <c r="J339" t="s">
        <v>16</v>
      </c>
      <c r="K339" t="s">
        <v>17</v>
      </c>
      <c r="L339">
        <v>6148.45</v>
      </c>
      <c r="M339" t="s">
        <v>5033</v>
      </c>
      <c r="N339" t="s">
        <v>5034</v>
      </c>
    </row>
    <row r="340" spans="1:14" x14ac:dyDescent="0.3">
      <c r="A340" t="s">
        <v>363</v>
      </c>
      <c r="B340" t="s">
        <v>12</v>
      </c>
      <c r="C340" t="s">
        <v>13</v>
      </c>
      <c r="D340">
        <v>36</v>
      </c>
      <c r="E340" t="s">
        <v>26</v>
      </c>
      <c r="F340" t="s">
        <v>15</v>
      </c>
      <c r="G340">
        <v>94.8</v>
      </c>
      <c r="H340">
        <v>3565.65</v>
      </c>
      <c r="I340" t="s">
        <v>15</v>
      </c>
      <c r="J340" t="s">
        <v>16</v>
      </c>
      <c r="K340" t="s">
        <v>29</v>
      </c>
      <c r="L340">
        <v>3565.65</v>
      </c>
      <c r="M340" t="s">
        <v>5032</v>
      </c>
      <c r="N340" t="s">
        <v>5034</v>
      </c>
    </row>
    <row r="341" spans="1:14" x14ac:dyDescent="0.3">
      <c r="A341" t="s">
        <v>364</v>
      </c>
      <c r="B341" t="s">
        <v>19</v>
      </c>
      <c r="C341" t="s">
        <v>13</v>
      </c>
      <c r="D341">
        <v>63</v>
      </c>
      <c r="E341" t="s">
        <v>26</v>
      </c>
      <c r="F341" t="s">
        <v>15</v>
      </c>
      <c r="G341">
        <v>103.4</v>
      </c>
      <c r="H341">
        <v>6603</v>
      </c>
      <c r="I341" t="s">
        <v>16</v>
      </c>
      <c r="J341" t="s">
        <v>16</v>
      </c>
      <c r="K341" t="s">
        <v>17</v>
      </c>
      <c r="L341">
        <v>6603</v>
      </c>
      <c r="M341" t="s">
        <v>5033</v>
      </c>
      <c r="N341" t="s">
        <v>5034</v>
      </c>
    </row>
    <row r="342" spans="1:14" x14ac:dyDescent="0.3">
      <c r="A342" t="s">
        <v>365</v>
      </c>
      <c r="B342" t="s">
        <v>12</v>
      </c>
      <c r="C342" t="s">
        <v>13</v>
      </c>
      <c r="D342">
        <v>32</v>
      </c>
      <c r="E342" t="s">
        <v>14</v>
      </c>
      <c r="F342" t="s">
        <v>16</v>
      </c>
      <c r="G342">
        <v>54.65</v>
      </c>
      <c r="H342">
        <v>1830.1</v>
      </c>
      <c r="I342" t="s">
        <v>15</v>
      </c>
      <c r="J342" t="s">
        <v>15</v>
      </c>
      <c r="K342" t="s">
        <v>24</v>
      </c>
      <c r="L342">
        <v>1830.1</v>
      </c>
      <c r="M342" t="s">
        <v>5032</v>
      </c>
      <c r="N342" t="s">
        <v>5031</v>
      </c>
    </row>
    <row r="343" spans="1:14" x14ac:dyDescent="0.3">
      <c r="A343" t="s">
        <v>366</v>
      </c>
      <c r="B343" t="s">
        <v>12</v>
      </c>
      <c r="C343" t="s">
        <v>35</v>
      </c>
      <c r="D343">
        <v>71</v>
      </c>
      <c r="E343" t="s">
        <v>14</v>
      </c>
      <c r="F343" t="s">
        <v>16</v>
      </c>
      <c r="G343">
        <v>85.75</v>
      </c>
      <c r="H343">
        <v>6223.8</v>
      </c>
      <c r="I343" t="s">
        <v>15</v>
      </c>
      <c r="J343" t="s">
        <v>15</v>
      </c>
      <c r="K343" t="s">
        <v>29</v>
      </c>
      <c r="L343">
        <v>6223.8</v>
      </c>
      <c r="M343" t="s">
        <v>5033</v>
      </c>
      <c r="N343" t="s">
        <v>5034</v>
      </c>
    </row>
    <row r="344" spans="1:14" x14ac:dyDescent="0.3">
      <c r="A344" t="s">
        <v>367</v>
      </c>
      <c r="B344" t="s">
        <v>12</v>
      </c>
      <c r="C344" t="s">
        <v>13</v>
      </c>
      <c r="D344">
        <v>66</v>
      </c>
      <c r="E344" t="s">
        <v>14</v>
      </c>
      <c r="F344" t="s">
        <v>15</v>
      </c>
      <c r="G344">
        <v>67.45</v>
      </c>
      <c r="H344">
        <v>4508.6499999999996</v>
      </c>
      <c r="I344" t="s">
        <v>15</v>
      </c>
      <c r="J344" t="s">
        <v>16</v>
      </c>
      <c r="K344" t="s">
        <v>24</v>
      </c>
      <c r="L344">
        <v>4508.6499999999996</v>
      </c>
      <c r="M344" t="s">
        <v>5033</v>
      </c>
      <c r="N344" t="s">
        <v>5034</v>
      </c>
    </row>
    <row r="345" spans="1:14" x14ac:dyDescent="0.3">
      <c r="A345" t="s">
        <v>368</v>
      </c>
      <c r="B345" t="s">
        <v>19</v>
      </c>
      <c r="C345" t="s">
        <v>20</v>
      </c>
      <c r="D345">
        <v>63</v>
      </c>
      <c r="E345" t="s">
        <v>15</v>
      </c>
      <c r="F345" t="s">
        <v>36</v>
      </c>
      <c r="G345">
        <v>20.5</v>
      </c>
      <c r="H345">
        <v>1328.15</v>
      </c>
      <c r="I345" t="s">
        <v>15</v>
      </c>
      <c r="J345" t="s">
        <v>15</v>
      </c>
      <c r="K345" t="s">
        <v>21</v>
      </c>
      <c r="L345">
        <v>1328.15</v>
      </c>
      <c r="M345" t="s">
        <v>5033</v>
      </c>
      <c r="N345" t="s">
        <v>5031</v>
      </c>
    </row>
    <row r="346" spans="1:14" x14ac:dyDescent="0.3">
      <c r="A346" t="s">
        <v>369</v>
      </c>
      <c r="B346" t="s">
        <v>12</v>
      </c>
      <c r="C346" t="s">
        <v>20</v>
      </c>
      <c r="D346">
        <v>41</v>
      </c>
      <c r="E346" t="s">
        <v>15</v>
      </c>
      <c r="F346" t="s">
        <v>36</v>
      </c>
      <c r="G346">
        <v>20.25</v>
      </c>
      <c r="H346">
        <v>865</v>
      </c>
      <c r="I346" t="s">
        <v>15</v>
      </c>
      <c r="J346" t="s">
        <v>16</v>
      </c>
      <c r="K346" t="s">
        <v>29</v>
      </c>
      <c r="L346">
        <v>865</v>
      </c>
      <c r="M346" t="s">
        <v>5033</v>
      </c>
      <c r="N346" t="s">
        <v>5031</v>
      </c>
    </row>
    <row r="347" spans="1:14" x14ac:dyDescent="0.3">
      <c r="A347" t="s">
        <v>370</v>
      </c>
      <c r="B347" t="s">
        <v>12</v>
      </c>
      <c r="C347" t="s">
        <v>13</v>
      </c>
      <c r="D347">
        <v>1</v>
      </c>
      <c r="E347" t="s">
        <v>26</v>
      </c>
      <c r="F347" t="s">
        <v>15</v>
      </c>
      <c r="G347">
        <v>72.099999999999994</v>
      </c>
      <c r="H347">
        <v>72.099999999999994</v>
      </c>
      <c r="I347" t="s">
        <v>15</v>
      </c>
      <c r="J347" t="s">
        <v>16</v>
      </c>
      <c r="K347" t="s">
        <v>17</v>
      </c>
      <c r="L347">
        <v>72.099999999999994</v>
      </c>
      <c r="M347" t="s">
        <v>5030</v>
      </c>
      <c r="N347" t="s">
        <v>5031</v>
      </c>
    </row>
    <row r="348" spans="1:14" x14ac:dyDescent="0.3">
      <c r="A348" t="s">
        <v>371</v>
      </c>
      <c r="B348" t="s">
        <v>12</v>
      </c>
      <c r="C348" t="s">
        <v>13</v>
      </c>
      <c r="D348">
        <v>2</v>
      </c>
      <c r="E348" t="s">
        <v>26</v>
      </c>
      <c r="F348" t="s">
        <v>15</v>
      </c>
      <c r="G348">
        <v>90.4</v>
      </c>
      <c r="H348">
        <v>168.2</v>
      </c>
      <c r="I348" t="s">
        <v>16</v>
      </c>
      <c r="J348" t="s">
        <v>16</v>
      </c>
      <c r="K348" t="s">
        <v>17</v>
      </c>
      <c r="L348">
        <v>168.2</v>
      </c>
      <c r="M348" t="s">
        <v>5030</v>
      </c>
      <c r="N348" t="s">
        <v>5031</v>
      </c>
    </row>
    <row r="349" spans="1:14" x14ac:dyDescent="0.3">
      <c r="A349" t="s">
        <v>372</v>
      </c>
      <c r="B349" t="s">
        <v>12</v>
      </c>
      <c r="C349" t="s">
        <v>35</v>
      </c>
      <c r="D349">
        <v>70</v>
      </c>
      <c r="E349" t="s">
        <v>15</v>
      </c>
      <c r="F349" t="s">
        <v>36</v>
      </c>
      <c r="G349">
        <v>19.45</v>
      </c>
      <c r="H349">
        <v>1303.5</v>
      </c>
      <c r="I349" t="s">
        <v>15</v>
      </c>
      <c r="J349" t="s">
        <v>15</v>
      </c>
      <c r="K349" t="s">
        <v>24</v>
      </c>
      <c r="L349">
        <v>1303.5</v>
      </c>
      <c r="M349" t="s">
        <v>5033</v>
      </c>
      <c r="N349" t="s">
        <v>5031</v>
      </c>
    </row>
    <row r="350" spans="1:14" x14ac:dyDescent="0.3">
      <c r="A350" t="s">
        <v>373</v>
      </c>
      <c r="B350" t="s">
        <v>12</v>
      </c>
      <c r="C350" t="s">
        <v>13</v>
      </c>
      <c r="D350">
        <v>23</v>
      </c>
      <c r="E350" t="s">
        <v>14</v>
      </c>
      <c r="F350" t="s">
        <v>15</v>
      </c>
      <c r="G350">
        <v>44.95</v>
      </c>
      <c r="H350">
        <v>996.85</v>
      </c>
      <c r="I350" t="s">
        <v>15</v>
      </c>
      <c r="J350" t="s">
        <v>16</v>
      </c>
      <c r="K350" t="s">
        <v>17</v>
      </c>
      <c r="L350">
        <v>996.85</v>
      </c>
      <c r="M350" t="s">
        <v>5032</v>
      </c>
      <c r="N350" t="s">
        <v>5031</v>
      </c>
    </row>
    <row r="351" spans="1:14" x14ac:dyDescent="0.3">
      <c r="A351" t="s">
        <v>374</v>
      </c>
      <c r="B351" t="s">
        <v>12</v>
      </c>
      <c r="C351" t="s">
        <v>20</v>
      </c>
      <c r="D351">
        <v>64</v>
      </c>
      <c r="E351" t="s">
        <v>26</v>
      </c>
      <c r="F351" t="s">
        <v>15</v>
      </c>
      <c r="G351">
        <v>97</v>
      </c>
      <c r="H351">
        <v>6430.9</v>
      </c>
      <c r="I351" t="s">
        <v>15</v>
      </c>
      <c r="J351" t="s">
        <v>15</v>
      </c>
      <c r="K351" t="s">
        <v>24</v>
      </c>
      <c r="L351">
        <v>6430.9</v>
      </c>
      <c r="M351" t="s">
        <v>5033</v>
      </c>
      <c r="N351" t="s">
        <v>5034</v>
      </c>
    </row>
    <row r="352" spans="1:14" x14ac:dyDescent="0.3">
      <c r="A352" t="s">
        <v>375</v>
      </c>
      <c r="B352" t="s">
        <v>19</v>
      </c>
      <c r="C352" t="s">
        <v>35</v>
      </c>
      <c r="D352">
        <v>37</v>
      </c>
      <c r="E352" t="s">
        <v>14</v>
      </c>
      <c r="F352" t="s">
        <v>16</v>
      </c>
      <c r="G352">
        <v>62.8</v>
      </c>
      <c r="H352">
        <v>2278.75</v>
      </c>
      <c r="I352" t="s">
        <v>15</v>
      </c>
      <c r="J352" t="s">
        <v>16</v>
      </c>
      <c r="K352" t="s">
        <v>29</v>
      </c>
      <c r="L352">
        <v>2278.75</v>
      </c>
      <c r="M352" t="s">
        <v>5033</v>
      </c>
      <c r="N352" t="s">
        <v>5031</v>
      </c>
    </row>
    <row r="353" spans="1:14" x14ac:dyDescent="0.3">
      <c r="A353" t="s">
        <v>376</v>
      </c>
      <c r="B353" t="s">
        <v>19</v>
      </c>
      <c r="C353" t="s">
        <v>20</v>
      </c>
      <c r="D353">
        <v>17</v>
      </c>
      <c r="E353" t="s">
        <v>14</v>
      </c>
      <c r="F353" t="s">
        <v>15</v>
      </c>
      <c r="G353">
        <v>44.6</v>
      </c>
      <c r="H353">
        <v>681.4</v>
      </c>
      <c r="I353" t="s">
        <v>15</v>
      </c>
      <c r="J353" t="s">
        <v>15</v>
      </c>
      <c r="K353" t="s">
        <v>21</v>
      </c>
      <c r="L353">
        <v>681.4</v>
      </c>
      <c r="M353" t="s">
        <v>5032</v>
      </c>
      <c r="N353" t="s">
        <v>5031</v>
      </c>
    </row>
    <row r="354" spans="1:14" x14ac:dyDescent="0.3">
      <c r="A354" t="s">
        <v>377</v>
      </c>
      <c r="B354" t="s">
        <v>12</v>
      </c>
      <c r="C354" t="s">
        <v>13</v>
      </c>
      <c r="D354">
        <v>7</v>
      </c>
      <c r="E354" t="s">
        <v>26</v>
      </c>
      <c r="F354" t="s">
        <v>15</v>
      </c>
      <c r="G354">
        <v>89.15</v>
      </c>
      <c r="H354">
        <v>574.35</v>
      </c>
      <c r="I354" t="s">
        <v>15</v>
      </c>
      <c r="J354" t="s">
        <v>16</v>
      </c>
      <c r="K354" t="s">
        <v>17</v>
      </c>
      <c r="L354">
        <v>574.35</v>
      </c>
      <c r="M354" t="s">
        <v>5030</v>
      </c>
      <c r="N354" t="s">
        <v>5031</v>
      </c>
    </row>
    <row r="355" spans="1:14" x14ac:dyDescent="0.3">
      <c r="A355" t="s">
        <v>378</v>
      </c>
      <c r="B355" t="s">
        <v>19</v>
      </c>
      <c r="C355" t="s">
        <v>13</v>
      </c>
      <c r="D355">
        <v>4</v>
      </c>
      <c r="E355" t="s">
        <v>26</v>
      </c>
      <c r="F355" t="s">
        <v>15</v>
      </c>
      <c r="G355">
        <v>84.8</v>
      </c>
      <c r="H355">
        <v>371.9</v>
      </c>
      <c r="I355" t="s">
        <v>16</v>
      </c>
      <c r="J355" t="s">
        <v>16</v>
      </c>
      <c r="K355" t="s">
        <v>24</v>
      </c>
      <c r="L355">
        <v>371.9</v>
      </c>
      <c r="M355" t="s">
        <v>5030</v>
      </c>
      <c r="N355" t="s">
        <v>5031</v>
      </c>
    </row>
    <row r="356" spans="1:14" x14ac:dyDescent="0.3">
      <c r="A356" t="s">
        <v>379</v>
      </c>
      <c r="B356" t="s">
        <v>12</v>
      </c>
      <c r="C356" t="s">
        <v>13</v>
      </c>
      <c r="D356">
        <v>21</v>
      </c>
      <c r="E356" t="s">
        <v>14</v>
      </c>
      <c r="F356" t="s">
        <v>15</v>
      </c>
      <c r="G356">
        <v>41.9</v>
      </c>
      <c r="H356">
        <v>840.1</v>
      </c>
      <c r="I356" t="s">
        <v>16</v>
      </c>
      <c r="J356" t="s">
        <v>16</v>
      </c>
      <c r="K356" t="s">
        <v>17</v>
      </c>
      <c r="L356">
        <v>840.1</v>
      </c>
      <c r="M356" t="s">
        <v>5032</v>
      </c>
      <c r="N356" t="s">
        <v>5031</v>
      </c>
    </row>
    <row r="357" spans="1:14" x14ac:dyDescent="0.3">
      <c r="A357" t="s">
        <v>380</v>
      </c>
      <c r="B357" t="s">
        <v>12</v>
      </c>
      <c r="C357" t="s">
        <v>13</v>
      </c>
      <c r="D357">
        <v>10</v>
      </c>
      <c r="E357" t="s">
        <v>26</v>
      </c>
      <c r="F357" t="s">
        <v>15</v>
      </c>
      <c r="G357">
        <v>80.25</v>
      </c>
      <c r="H357">
        <v>846</v>
      </c>
      <c r="I357" t="s">
        <v>16</v>
      </c>
      <c r="J357" t="s">
        <v>16</v>
      </c>
      <c r="K357" t="s">
        <v>24</v>
      </c>
      <c r="L357">
        <v>846</v>
      </c>
      <c r="M357" t="s">
        <v>5030</v>
      </c>
      <c r="N357" t="s">
        <v>5031</v>
      </c>
    </row>
    <row r="358" spans="1:14" x14ac:dyDescent="0.3">
      <c r="A358" t="s">
        <v>381</v>
      </c>
      <c r="B358" t="s">
        <v>12</v>
      </c>
      <c r="C358" t="s">
        <v>13</v>
      </c>
      <c r="D358">
        <v>16</v>
      </c>
      <c r="E358" t="s">
        <v>14</v>
      </c>
      <c r="F358" t="s">
        <v>15</v>
      </c>
      <c r="G358">
        <v>54.1</v>
      </c>
      <c r="H358">
        <v>889</v>
      </c>
      <c r="I358" t="s">
        <v>15</v>
      </c>
      <c r="J358" t="s">
        <v>16</v>
      </c>
      <c r="K358" t="s">
        <v>17</v>
      </c>
      <c r="L358">
        <v>889</v>
      </c>
      <c r="M358" t="s">
        <v>5032</v>
      </c>
      <c r="N358" t="s">
        <v>5031</v>
      </c>
    </row>
    <row r="359" spans="1:14" x14ac:dyDescent="0.3">
      <c r="A359" t="s">
        <v>382</v>
      </c>
      <c r="B359" t="s">
        <v>19</v>
      </c>
      <c r="C359" t="s">
        <v>35</v>
      </c>
      <c r="D359">
        <v>64</v>
      </c>
      <c r="E359" t="s">
        <v>26</v>
      </c>
      <c r="F359" t="s">
        <v>16</v>
      </c>
      <c r="G359">
        <v>105.25</v>
      </c>
      <c r="H359">
        <v>6823.4</v>
      </c>
      <c r="I359" t="s">
        <v>15</v>
      </c>
      <c r="J359" t="s">
        <v>16</v>
      </c>
      <c r="K359" t="s">
        <v>17</v>
      </c>
      <c r="L359">
        <v>6823.4</v>
      </c>
      <c r="M359" t="s">
        <v>5033</v>
      </c>
      <c r="N359" t="s">
        <v>5034</v>
      </c>
    </row>
    <row r="360" spans="1:14" x14ac:dyDescent="0.3">
      <c r="A360" t="s">
        <v>383</v>
      </c>
      <c r="B360" t="s">
        <v>19</v>
      </c>
      <c r="C360" t="s">
        <v>13</v>
      </c>
      <c r="D360">
        <v>27</v>
      </c>
      <c r="E360" t="s">
        <v>14</v>
      </c>
      <c r="F360" t="s">
        <v>15</v>
      </c>
      <c r="G360">
        <v>30.75</v>
      </c>
      <c r="H360">
        <v>805.1</v>
      </c>
      <c r="I360" t="s">
        <v>16</v>
      </c>
      <c r="J360" t="s">
        <v>15</v>
      </c>
      <c r="K360" t="s">
        <v>29</v>
      </c>
      <c r="L360">
        <v>805.1</v>
      </c>
      <c r="M360" t="s">
        <v>5032</v>
      </c>
      <c r="N360" t="s">
        <v>5031</v>
      </c>
    </row>
    <row r="361" spans="1:14" x14ac:dyDescent="0.3">
      <c r="A361" t="s">
        <v>384</v>
      </c>
      <c r="B361" t="s">
        <v>19</v>
      </c>
      <c r="C361" t="s">
        <v>20</v>
      </c>
      <c r="D361">
        <v>42</v>
      </c>
      <c r="E361" t="s">
        <v>26</v>
      </c>
      <c r="F361" t="s">
        <v>15</v>
      </c>
      <c r="G361">
        <v>97.1</v>
      </c>
      <c r="H361">
        <v>4016.75</v>
      </c>
      <c r="I361" t="s">
        <v>15</v>
      </c>
      <c r="J361" t="s">
        <v>15</v>
      </c>
      <c r="K361" t="s">
        <v>17</v>
      </c>
      <c r="L361">
        <v>4016.75</v>
      </c>
      <c r="M361" t="s">
        <v>5033</v>
      </c>
      <c r="N361" t="s">
        <v>5034</v>
      </c>
    </row>
    <row r="362" spans="1:14" x14ac:dyDescent="0.3">
      <c r="A362" t="s">
        <v>385</v>
      </c>
      <c r="B362" t="s">
        <v>19</v>
      </c>
      <c r="C362" t="s">
        <v>13</v>
      </c>
      <c r="D362">
        <v>5</v>
      </c>
      <c r="E362" t="s">
        <v>15</v>
      </c>
      <c r="F362" t="s">
        <v>36</v>
      </c>
      <c r="G362">
        <v>20.2</v>
      </c>
      <c r="H362">
        <v>83.75</v>
      </c>
      <c r="I362" t="s">
        <v>15</v>
      </c>
      <c r="J362" t="s">
        <v>15</v>
      </c>
      <c r="K362" t="s">
        <v>21</v>
      </c>
      <c r="L362">
        <v>83.75</v>
      </c>
      <c r="M362" t="s">
        <v>5030</v>
      </c>
      <c r="N362" t="s">
        <v>5031</v>
      </c>
    </row>
    <row r="363" spans="1:14" x14ac:dyDescent="0.3">
      <c r="A363" t="s">
        <v>386</v>
      </c>
      <c r="B363" t="s">
        <v>12</v>
      </c>
      <c r="C363" t="s">
        <v>35</v>
      </c>
      <c r="D363">
        <v>41</v>
      </c>
      <c r="E363" t="s">
        <v>26</v>
      </c>
      <c r="F363" t="s">
        <v>16</v>
      </c>
      <c r="G363">
        <v>98.8</v>
      </c>
      <c r="H363">
        <v>3959.15</v>
      </c>
      <c r="I363" t="s">
        <v>15</v>
      </c>
      <c r="J363" t="s">
        <v>16</v>
      </c>
      <c r="K363" t="s">
        <v>24</v>
      </c>
      <c r="L363">
        <v>3959.15</v>
      </c>
      <c r="M363" t="s">
        <v>5033</v>
      </c>
      <c r="N363" t="s">
        <v>5034</v>
      </c>
    </row>
    <row r="364" spans="1:14" x14ac:dyDescent="0.3">
      <c r="A364" t="s">
        <v>387</v>
      </c>
      <c r="B364" t="s">
        <v>19</v>
      </c>
      <c r="C364" t="s">
        <v>20</v>
      </c>
      <c r="D364">
        <v>58</v>
      </c>
      <c r="E364" t="s">
        <v>14</v>
      </c>
      <c r="F364" t="s">
        <v>15</v>
      </c>
      <c r="G364">
        <v>50.3</v>
      </c>
      <c r="H364">
        <v>2878.55</v>
      </c>
      <c r="I364" t="s">
        <v>15</v>
      </c>
      <c r="J364" t="s">
        <v>15</v>
      </c>
      <c r="K364" t="s">
        <v>29</v>
      </c>
      <c r="L364">
        <v>2878.55</v>
      </c>
      <c r="M364" t="s">
        <v>5033</v>
      </c>
      <c r="N364" t="s">
        <v>5034</v>
      </c>
    </row>
    <row r="365" spans="1:14" x14ac:dyDescent="0.3">
      <c r="A365" t="s">
        <v>388</v>
      </c>
      <c r="B365" t="s">
        <v>12</v>
      </c>
      <c r="C365" t="s">
        <v>35</v>
      </c>
      <c r="D365">
        <v>47</v>
      </c>
      <c r="E365" t="s">
        <v>15</v>
      </c>
      <c r="F365" t="s">
        <v>36</v>
      </c>
      <c r="G365">
        <v>20.55</v>
      </c>
      <c r="H365">
        <v>945.7</v>
      </c>
      <c r="I365" t="s">
        <v>15</v>
      </c>
      <c r="J365" t="s">
        <v>16</v>
      </c>
      <c r="K365" t="s">
        <v>21</v>
      </c>
      <c r="L365">
        <v>945.7</v>
      </c>
      <c r="M365" t="s">
        <v>5033</v>
      </c>
      <c r="N365" t="s">
        <v>5031</v>
      </c>
    </row>
    <row r="366" spans="1:14" x14ac:dyDescent="0.3">
      <c r="A366" t="s">
        <v>389</v>
      </c>
      <c r="B366" t="s">
        <v>19</v>
      </c>
      <c r="C366" t="s">
        <v>13</v>
      </c>
      <c r="D366">
        <v>18</v>
      </c>
      <c r="E366" t="s">
        <v>26</v>
      </c>
      <c r="F366" t="s">
        <v>16</v>
      </c>
      <c r="G366">
        <v>75.900000000000006</v>
      </c>
      <c r="H366">
        <v>1373.05</v>
      </c>
      <c r="I366" t="s">
        <v>15</v>
      </c>
      <c r="J366" t="s">
        <v>16</v>
      </c>
      <c r="K366" t="s">
        <v>24</v>
      </c>
      <c r="L366">
        <v>1373.05</v>
      </c>
      <c r="M366" t="s">
        <v>5032</v>
      </c>
      <c r="N366" t="s">
        <v>5031</v>
      </c>
    </row>
    <row r="367" spans="1:14" x14ac:dyDescent="0.3">
      <c r="A367" t="s">
        <v>390</v>
      </c>
      <c r="B367" t="s">
        <v>19</v>
      </c>
      <c r="C367" t="s">
        <v>13</v>
      </c>
      <c r="D367">
        <v>5</v>
      </c>
      <c r="E367" t="s">
        <v>26</v>
      </c>
      <c r="F367" t="s">
        <v>15</v>
      </c>
      <c r="G367">
        <v>96.5</v>
      </c>
      <c r="H367">
        <v>492.55</v>
      </c>
      <c r="I367" t="s">
        <v>16</v>
      </c>
      <c r="J367" t="s">
        <v>15</v>
      </c>
      <c r="K367" t="s">
        <v>24</v>
      </c>
      <c r="L367">
        <v>492.55</v>
      </c>
      <c r="M367" t="s">
        <v>5030</v>
      </c>
      <c r="N367" t="s">
        <v>5031</v>
      </c>
    </row>
    <row r="368" spans="1:14" x14ac:dyDescent="0.3">
      <c r="A368" t="s">
        <v>391</v>
      </c>
      <c r="B368" t="s">
        <v>19</v>
      </c>
      <c r="C368" t="s">
        <v>13</v>
      </c>
      <c r="D368">
        <v>23</v>
      </c>
      <c r="E368" t="s">
        <v>14</v>
      </c>
      <c r="F368" t="s">
        <v>15</v>
      </c>
      <c r="G368">
        <v>59.95</v>
      </c>
      <c r="H368">
        <v>1406</v>
      </c>
      <c r="I368" t="s">
        <v>15</v>
      </c>
      <c r="J368" t="s">
        <v>16</v>
      </c>
      <c r="K368" t="s">
        <v>24</v>
      </c>
      <c r="L368">
        <v>1406</v>
      </c>
      <c r="M368" t="s">
        <v>5032</v>
      </c>
      <c r="N368" t="s">
        <v>5031</v>
      </c>
    </row>
    <row r="369" spans="1:14" x14ac:dyDescent="0.3">
      <c r="A369" t="s">
        <v>392</v>
      </c>
      <c r="B369" t="s">
        <v>12</v>
      </c>
      <c r="C369" t="s">
        <v>13</v>
      </c>
      <c r="D369">
        <v>1</v>
      </c>
      <c r="E369" t="s">
        <v>15</v>
      </c>
      <c r="F369" t="s">
        <v>36</v>
      </c>
      <c r="G369">
        <v>19.149999999999999</v>
      </c>
      <c r="H369">
        <v>19.149999999999999</v>
      </c>
      <c r="I369" t="s">
        <v>15</v>
      </c>
      <c r="J369" t="s">
        <v>15</v>
      </c>
      <c r="K369" t="s">
        <v>21</v>
      </c>
      <c r="L369">
        <v>19.149999999999999</v>
      </c>
      <c r="M369" t="s">
        <v>5030</v>
      </c>
      <c r="N369" t="s">
        <v>5031</v>
      </c>
    </row>
    <row r="370" spans="1:14" x14ac:dyDescent="0.3">
      <c r="A370" t="s">
        <v>393</v>
      </c>
      <c r="B370" t="s">
        <v>19</v>
      </c>
      <c r="C370" t="s">
        <v>20</v>
      </c>
      <c r="D370">
        <v>71</v>
      </c>
      <c r="E370" t="s">
        <v>26</v>
      </c>
      <c r="F370" t="s">
        <v>15</v>
      </c>
      <c r="G370">
        <v>98.65</v>
      </c>
      <c r="H370">
        <v>6962.85</v>
      </c>
      <c r="I370" t="s">
        <v>15</v>
      </c>
      <c r="J370" t="s">
        <v>16</v>
      </c>
      <c r="K370" t="s">
        <v>29</v>
      </c>
      <c r="L370">
        <v>6962.85</v>
      </c>
      <c r="M370" t="s">
        <v>5033</v>
      </c>
      <c r="N370" t="s">
        <v>5034</v>
      </c>
    </row>
    <row r="371" spans="1:14" x14ac:dyDescent="0.3">
      <c r="A371" t="s">
        <v>394</v>
      </c>
      <c r="B371" t="s">
        <v>19</v>
      </c>
      <c r="C371" t="s">
        <v>35</v>
      </c>
      <c r="D371">
        <v>72</v>
      </c>
      <c r="E371" t="s">
        <v>26</v>
      </c>
      <c r="F371" t="s">
        <v>16</v>
      </c>
      <c r="G371">
        <v>112.6</v>
      </c>
      <c r="H371">
        <v>8126.65</v>
      </c>
      <c r="I371" t="s">
        <v>15</v>
      </c>
      <c r="J371" t="s">
        <v>16</v>
      </c>
      <c r="K371" t="s">
        <v>29</v>
      </c>
      <c r="L371">
        <v>8126.65</v>
      </c>
      <c r="M371" t="s">
        <v>5033</v>
      </c>
      <c r="N371" t="s">
        <v>5034</v>
      </c>
    </row>
    <row r="372" spans="1:14" x14ac:dyDescent="0.3">
      <c r="A372" t="s">
        <v>395</v>
      </c>
      <c r="B372" t="s">
        <v>19</v>
      </c>
      <c r="C372" t="s">
        <v>20</v>
      </c>
      <c r="D372">
        <v>33</v>
      </c>
      <c r="E372" t="s">
        <v>15</v>
      </c>
      <c r="F372" t="s">
        <v>36</v>
      </c>
      <c r="G372">
        <v>20.6</v>
      </c>
      <c r="H372">
        <v>690.25</v>
      </c>
      <c r="I372" t="s">
        <v>15</v>
      </c>
      <c r="J372" t="s">
        <v>15</v>
      </c>
      <c r="K372" t="s">
        <v>21</v>
      </c>
      <c r="L372">
        <v>690.25</v>
      </c>
      <c r="M372" t="s">
        <v>5032</v>
      </c>
      <c r="N372" t="s">
        <v>5031</v>
      </c>
    </row>
    <row r="373" spans="1:14" x14ac:dyDescent="0.3">
      <c r="A373" t="s">
        <v>396</v>
      </c>
      <c r="B373" t="s">
        <v>19</v>
      </c>
      <c r="C373" t="s">
        <v>13</v>
      </c>
      <c r="D373">
        <v>2</v>
      </c>
      <c r="E373" t="s">
        <v>26</v>
      </c>
      <c r="F373" t="s">
        <v>15</v>
      </c>
      <c r="G373">
        <v>85.65</v>
      </c>
      <c r="H373">
        <v>181.5</v>
      </c>
      <c r="I373" t="s">
        <v>16</v>
      </c>
      <c r="J373" t="s">
        <v>16</v>
      </c>
      <c r="K373" t="s">
        <v>17</v>
      </c>
      <c r="L373">
        <v>181.5</v>
      </c>
      <c r="M373" t="s">
        <v>5030</v>
      </c>
      <c r="N373" t="s">
        <v>5031</v>
      </c>
    </row>
    <row r="374" spans="1:14" x14ac:dyDescent="0.3">
      <c r="A374" t="s">
        <v>397</v>
      </c>
      <c r="B374" t="s">
        <v>19</v>
      </c>
      <c r="C374" t="s">
        <v>35</v>
      </c>
      <c r="D374">
        <v>24</v>
      </c>
      <c r="E374" t="s">
        <v>14</v>
      </c>
      <c r="F374" t="s">
        <v>16</v>
      </c>
      <c r="G374">
        <v>35.75</v>
      </c>
      <c r="H374">
        <v>830.8</v>
      </c>
      <c r="I374" t="s">
        <v>15</v>
      </c>
      <c r="J374" t="s">
        <v>15</v>
      </c>
      <c r="K374" t="s">
        <v>21</v>
      </c>
      <c r="L374">
        <v>830.8</v>
      </c>
      <c r="M374" t="s">
        <v>5032</v>
      </c>
      <c r="N374" t="s">
        <v>5031</v>
      </c>
    </row>
    <row r="375" spans="1:14" x14ac:dyDescent="0.3">
      <c r="A375" t="s">
        <v>398</v>
      </c>
      <c r="B375" t="s">
        <v>12</v>
      </c>
      <c r="C375" t="s">
        <v>20</v>
      </c>
      <c r="D375">
        <v>56</v>
      </c>
      <c r="E375" t="s">
        <v>26</v>
      </c>
      <c r="F375" t="s">
        <v>16</v>
      </c>
      <c r="G375">
        <v>99.75</v>
      </c>
      <c r="H375">
        <v>5608.4</v>
      </c>
      <c r="I375" t="s">
        <v>15</v>
      </c>
      <c r="J375" t="s">
        <v>16</v>
      </c>
      <c r="K375" t="s">
        <v>29</v>
      </c>
      <c r="L375">
        <v>5608.4</v>
      </c>
      <c r="M375" t="s">
        <v>5033</v>
      </c>
      <c r="N375" t="s">
        <v>5034</v>
      </c>
    </row>
    <row r="376" spans="1:14" x14ac:dyDescent="0.3">
      <c r="A376" t="s">
        <v>399</v>
      </c>
      <c r="B376" t="s">
        <v>19</v>
      </c>
      <c r="C376" t="s">
        <v>13</v>
      </c>
      <c r="D376">
        <v>37</v>
      </c>
      <c r="E376" t="s">
        <v>26</v>
      </c>
      <c r="F376" t="s">
        <v>15</v>
      </c>
      <c r="G376">
        <v>96.1</v>
      </c>
      <c r="H376">
        <v>3646.8</v>
      </c>
      <c r="I376" t="s">
        <v>15</v>
      </c>
      <c r="J376" t="s">
        <v>16</v>
      </c>
      <c r="K376" t="s">
        <v>29</v>
      </c>
      <c r="L376">
        <v>3646.8</v>
      </c>
      <c r="M376" t="s">
        <v>5033</v>
      </c>
      <c r="N376" t="s">
        <v>5034</v>
      </c>
    </row>
    <row r="377" spans="1:14" x14ac:dyDescent="0.3">
      <c r="A377" t="s">
        <v>400</v>
      </c>
      <c r="B377" t="s">
        <v>12</v>
      </c>
      <c r="C377" t="s">
        <v>20</v>
      </c>
      <c r="D377">
        <v>43</v>
      </c>
      <c r="E377" t="s">
        <v>14</v>
      </c>
      <c r="F377" t="s">
        <v>16</v>
      </c>
      <c r="G377">
        <v>85.1</v>
      </c>
      <c r="H377">
        <v>3662.25</v>
      </c>
      <c r="I377" t="s">
        <v>15</v>
      </c>
      <c r="J377" t="s">
        <v>15</v>
      </c>
      <c r="K377" t="s">
        <v>29</v>
      </c>
      <c r="L377">
        <v>3662.25</v>
      </c>
      <c r="M377" t="s">
        <v>5033</v>
      </c>
      <c r="N377" t="s">
        <v>5034</v>
      </c>
    </row>
    <row r="378" spans="1:14" x14ac:dyDescent="0.3">
      <c r="A378" t="s">
        <v>401</v>
      </c>
      <c r="B378" t="s">
        <v>19</v>
      </c>
      <c r="C378" t="s">
        <v>13</v>
      </c>
      <c r="D378">
        <v>1</v>
      </c>
      <c r="E378" t="s">
        <v>14</v>
      </c>
      <c r="F378" t="s">
        <v>15</v>
      </c>
      <c r="G378">
        <v>25.35</v>
      </c>
      <c r="H378">
        <v>25.35</v>
      </c>
      <c r="I378" t="s">
        <v>15</v>
      </c>
      <c r="J378" t="s">
        <v>15</v>
      </c>
      <c r="K378" t="s">
        <v>21</v>
      </c>
      <c r="L378">
        <v>25.35</v>
      </c>
      <c r="M378" t="s">
        <v>5030</v>
      </c>
      <c r="N378" t="s">
        <v>5031</v>
      </c>
    </row>
    <row r="379" spans="1:14" x14ac:dyDescent="0.3">
      <c r="A379" t="s">
        <v>402</v>
      </c>
      <c r="B379" t="s">
        <v>12</v>
      </c>
      <c r="C379" t="s">
        <v>13</v>
      </c>
      <c r="D379">
        <v>25</v>
      </c>
      <c r="E379" t="s">
        <v>26</v>
      </c>
      <c r="F379" t="s">
        <v>16</v>
      </c>
      <c r="G379">
        <v>104.95</v>
      </c>
      <c r="H379">
        <v>2566.5</v>
      </c>
      <c r="I379" t="s">
        <v>16</v>
      </c>
      <c r="J379" t="s">
        <v>16</v>
      </c>
      <c r="K379" t="s">
        <v>24</v>
      </c>
      <c r="L379">
        <v>2566.5</v>
      </c>
      <c r="M379" t="s">
        <v>5032</v>
      </c>
      <c r="N379" t="s">
        <v>5034</v>
      </c>
    </row>
    <row r="380" spans="1:14" x14ac:dyDescent="0.3">
      <c r="A380" t="s">
        <v>403</v>
      </c>
      <c r="B380" t="s">
        <v>12</v>
      </c>
      <c r="C380" t="s">
        <v>35</v>
      </c>
      <c r="D380">
        <v>61</v>
      </c>
      <c r="E380" t="s">
        <v>14</v>
      </c>
      <c r="F380" t="s">
        <v>16</v>
      </c>
      <c r="G380">
        <v>89.65</v>
      </c>
      <c r="H380">
        <v>5308.7</v>
      </c>
      <c r="I380" t="s">
        <v>15</v>
      </c>
      <c r="J380" t="s">
        <v>15</v>
      </c>
      <c r="K380" t="s">
        <v>17</v>
      </c>
      <c r="L380">
        <v>5308.7</v>
      </c>
      <c r="M380" t="s">
        <v>5033</v>
      </c>
      <c r="N380" t="s">
        <v>5034</v>
      </c>
    </row>
    <row r="381" spans="1:14" x14ac:dyDescent="0.3">
      <c r="A381" t="s">
        <v>404</v>
      </c>
      <c r="B381" t="s">
        <v>19</v>
      </c>
      <c r="C381" t="s">
        <v>20</v>
      </c>
      <c r="D381">
        <v>17</v>
      </c>
      <c r="E381" t="s">
        <v>26</v>
      </c>
      <c r="F381" t="s">
        <v>16</v>
      </c>
      <c r="G381">
        <v>86.75</v>
      </c>
      <c r="H381">
        <v>1410.25</v>
      </c>
      <c r="I381" t="s">
        <v>15</v>
      </c>
      <c r="J381" t="s">
        <v>15</v>
      </c>
      <c r="K381" t="s">
        <v>17</v>
      </c>
      <c r="L381">
        <v>1410.25</v>
      </c>
      <c r="M381" t="s">
        <v>5032</v>
      </c>
      <c r="N381" t="s">
        <v>5031</v>
      </c>
    </row>
    <row r="382" spans="1:14" x14ac:dyDescent="0.3">
      <c r="A382" t="s">
        <v>405</v>
      </c>
      <c r="B382" t="s">
        <v>12</v>
      </c>
      <c r="C382" t="s">
        <v>20</v>
      </c>
      <c r="D382">
        <v>41</v>
      </c>
      <c r="E382" t="s">
        <v>26</v>
      </c>
      <c r="F382" t="s">
        <v>16</v>
      </c>
      <c r="G382">
        <v>86.2</v>
      </c>
      <c r="H382">
        <v>3339.05</v>
      </c>
      <c r="I382" t="s">
        <v>15</v>
      </c>
      <c r="J382" t="s">
        <v>16</v>
      </c>
      <c r="K382" t="s">
        <v>24</v>
      </c>
      <c r="L382">
        <v>3339.05</v>
      </c>
      <c r="M382" t="s">
        <v>5033</v>
      </c>
      <c r="N382" t="s">
        <v>5034</v>
      </c>
    </row>
    <row r="383" spans="1:14" x14ac:dyDescent="0.3">
      <c r="A383" t="s">
        <v>406</v>
      </c>
      <c r="B383" t="s">
        <v>19</v>
      </c>
      <c r="C383" t="s">
        <v>13</v>
      </c>
      <c r="D383">
        <v>1</v>
      </c>
      <c r="E383" t="s">
        <v>14</v>
      </c>
      <c r="F383" t="s">
        <v>15</v>
      </c>
      <c r="G383">
        <v>50.65</v>
      </c>
      <c r="H383">
        <v>50.65</v>
      </c>
      <c r="I383" t="s">
        <v>16</v>
      </c>
      <c r="J383" t="s">
        <v>15</v>
      </c>
      <c r="K383" t="s">
        <v>21</v>
      </c>
      <c r="L383">
        <v>50.65</v>
      </c>
      <c r="M383" t="s">
        <v>5030</v>
      </c>
      <c r="N383" t="s">
        <v>5031</v>
      </c>
    </row>
    <row r="384" spans="1:14" x14ac:dyDescent="0.3">
      <c r="A384" t="s">
        <v>407</v>
      </c>
      <c r="B384" t="s">
        <v>19</v>
      </c>
      <c r="C384" t="s">
        <v>35</v>
      </c>
      <c r="D384">
        <v>72</v>
      </c>
      <c r="E384" t="s">
        <v>14</v>
      </c>
      <c r="F384" t="s">
        <v>16</v>
      </c>
      <c r="G384">
        <v>64.8</v>
      </c>
      <c r="H384">
        <v>4732.3500000000004</v>
      </c>
      <c r="I384" t="s">
        <v>15</v>
      </c>
      <c r="J384" t="s">
        <v>16</v>
      </c>
      <c r="K384" t="s">
        <v>24</v>
      </c>
      <c r="L384">
        <v>4732.3500000000004</v>
      </c>
      <c r="M384" t="s">
        <v>5033</v>
      </c>
      <c r="N384" t="s">
        <v>5034</v>
      </c>
    </row>
    <row r="385" spans="1:14" x14ac:dyDescent="0.3">
      <c r="A385" t="s">
        <v>408</v>
      </c>
      <c r="B385" t="s">
        <v>19</v>
      </c>
      <c r="C385" t="s">
        <v>13</v>
      </c>
      <c r="D385">
        <v>1</v>
      </c>
      <c r="E385" t="s">
        <v>26</v>
      </c>
      <c r="F385" t="s">
        <v>15</v>
      </c>
      <c r="G385">
        <v>90.85</v>
      </c>
      <c r="H385">
        <v>90.85</v>
      </c>
      <c r="I385" t="s">
        <v>16</v>
      </c>
      <c r="J385" t="s">
        <v>16</v>
      </c>
      <c r="K385" t="s">
        <v>29</v>
      </c>
      <c r="L385">
        <v>90.85</v>
      </c>
      <c r="M385" t="s">
        <v>5030</v>
      </c>
      <c r="N385" t="s">
        <v>5031</v>
      </c>
    </row>
    <row r="386" spans="1:14" x14ac:dyDescent="0.3">
      <c r="A386" t="s">
        <v>409</v>
      </c>
      <c r="B386" t="s">
        <v>19</v>
      </c>
      <c r="C386" t="s">
        <v>35</v>
      </c>
      <c r="D386">
        <v>48</v>
      </c>
      <c r="E386" t="s">
        <v>26</v>
      </c>
      <c r="F386" t="s">
        <v>15</v>
      </c>
      <c r="G386">
        <v>108.1</v>
      </c>
      <c r="H386">
        <v>5067.45</v>
      </c>
      <c r="I386" t="s">
        <v>15</v>
      </c>
      <c r="J386" t="s">
        <v>16</v>
      </c>
      <c r="K386" t="s">
        <v>24</v>
      </c>
      <c r="L386">
        <v>5067.45</v>
      </c>
      <c r="M386" t="s">
        <v>5033</v>
      </c>
      <c r="N386" t="s">
        <v>5034</v>
      </c>
    </row>
    <row r="387" spans="1:14" x14ac:dyDescent="0.3">
      <c r="A387" t="s">
        <v>410</v>
      </c>
      <c r="B387" t="s">
        <v>19</v>
      </c>
      <c r="C387" t="s">
        <v>13</v>
      </c>
      <c r="D387">
        <v>11</v>
      </c>
      <c r="E387" t="s">
        <v>15</v>
      </c>
      <c r="F387" t="s">
        <v>36</v>
      </c>
      <c r="G387">
        <v>19.95</v>
      </c>
      <c r="H387">
        <v>214.75</v>
      </c>
      <c r="I387" t="s">
        <v>16</v>
      </c>
      <c r="J387" t="s">
        <v>15</v>
      </c>
      <c r="K387" t="s">
        <v>21</v>
      </c>
      <c r="L387">
        <v>214.75</v>
      </c>
      <c r="M387" t="s">
        <v>5030</v>
      </c>
      <c r="N387" t="s">
        <v>5031</v>
      </c>
    </row>
    <row r="388" spans="1:14" x14ac:dyDescent="0.3">
      <c r="A388" t="s">
        <v>411</v>
      </c>
      <c r="B388" t="s">
        <v>12</v>
      </c>
      <c r="C388" t="s">
        <v>13</v>
      </c>
      <c r="D388">
        <v>55</v>
      </c>
      <c r="E388" t="s">
        <v>26</v>
      </c>
      <c r="F388" t="s">
        <v>15</v>
      </c>
      <c r="G388">
        <v>85.45</v>
      </c>
      <c r="H388">
        <v>4874.7</v>
      </c>
      <c r="I388" t="s">
        <v>16</v>
      </c>
      <c r="J388" t="s">
        <v>16</v>
      </c>
      <c r="K388" t="s">
        <v>17</v>
      </c>
      <c r="L388">
        <v>4874.7</v>
      </c>
      <c r="M388" t="s">
        <v>5033</v>
      </c>
      <c r="N388" t="s">
        <v>5034</v>
      </c>
    </row>
    <row r="389" spans="1:14" x14ac:dyDescent="0.3">
      <c r="A389" t="s">
        <v>412</v>
      </c>
      <c r="B389" t="s">
        <v>12</v>
      </c>
      <c r="C389" t="s">
        <v>20</v>
      </c>
      <c r="D389">
        <v>42</v>
      </c>
      <c r="E389" t="s">
        <v>14</v>
      </c>
      <c r="F389" t="s">
        <v>16</v>
      </c>
      <c r="G389">
        <v>54.75</v>
      </c>
      <c r="H389">
        <v>2348.4499999999998</v>
      </c>
      <c r="I389" t="s">
        <v>15</v>
      </c>
      <c r="J389" t="s">
        <v>16</v>
      </c>
      <c r="K389" t="s">
        <v>17</v>
      </c>
      <c r="L389">
        <v>2348.4499999999998</v>
      </c>
      <c r="M389" t="s">
        <v>5033</v>
      </c>
      <c r="N389" t="s">
        <v>5031</v>
      </c>
    </row>
    <row r="390" spans="1:14" x14ac:dyDescent="0.3">
      <c r="A390" t="s">
        <v>413</v>
      </c>
      <c r="B390" t="s">
        <v>19</v>
      </c>
      <c r="C390" t="s">
        <v>13</v>
      </c>
      <c r="D390">
        <v>44</v>
      </c>
      <c r="E390" t="s">
        <v>26</v>
      </c>
      <c r="F390" t="s">
        <v>15</v>
      </c>
      <c r="G390">
        <v>90.4</v>
      </c>
      <c r="H390">
        <v>4063</v>
      </c>
      <c r="I390" t="s">
        <v>15</v>
      </c>
      <c r="J390" t="s">
        <v>16</v>
      </c>
      <c r="K390" t="s">
        <v>21</v>
      </c>
      <c r="L390">
        <v>4063</v>
      </c>
      <c r="M390" t="s">
        <v>5033</v>
      </c>
      <c r="N390" t="s">
        <v>5034</v>
      </c>
    </row>
    <row r="391" spans="1:14" x14ac:dyDescent="0.3">
      <c r="A391" t="s">
        <v>414</v>
      </c>
      <c r="B391" t="s">
        <v>19</v>
      </c>
      <c r="C391" t="s">
        <v>13</v>
      </c>
      <c r="D391">
        <v>1</v>
      </c>
      <c r="E391" t="s">
        <v>14</v>
      </c>
      <c r="F391" t="s">
        <v>15</v>
      </c>
      <c r="G391">
        <v>44</v>
      </c>
      <c r="H391">
        <v>44</v>
      </c>
      <c r="I391" t="s">
        <v>15</v>
      </c>
      <c r="J391" t="s">
        <v>15</v>
      </c>
      <c r="K391" t="s">
        <v>17</v>
      </c>
      <c r="L391">
        <v>44</v>
      </c>
      <c r="M391" t="s">
        <v>5030</v>
      </c>
      <c r="N391" t="s">
        <v>5031</v>
      </c>
    </row>
    <row r="392" spans="1:14" x14ac:dyDescent="0.3">
      <c r="A392" t="s">
        <v>415</v>
      </c>
      <c r="B392" t="s">
        <v>12</v>
      </c>
      <c r="C392" t="s">
        <v>13</v>
      </c>
      <c r="D392">
        <v>27</v>
      </c>
      <c r="E392" t="s">
        <v>26</v>
      </c>
      <c r="F392" t="s">
        <v>15</v>
      </c>
      <c r="G392">
        <v>95.6</v>
      </c>
      <c r="H392">
        <v>2595.25</v>
      </c>
      <c r="I392" t="s">
        <v>15</v>
      </c>
      <c r="J392" t="s">
        <v>16</v>
      </c>
      <c r="K392" t="s">
        <v>24</v>
      </c>
      <c r="L392">
        <v>2595.25</v>
      </c>
      <c r="M392" t="s">
        <v>5032</v>
      </c>
      <c r="N392" t="s">
        <v>5034</v>
      </c>
    </row>
    <row r="393" spans="1:14" x14ac:dyDescent="0.3">
      <c r="A393" t="s">
        <v>416</v>
      </c>
      <c r="B393" t="s">
        <v>19</v>
      </c>
      <c r="C393" t="s">
        <v>13</v>
      </c>
      <c r="D393">
        <v>27</v>
      </c>
      <c r="E393" t="s">
        <v>14</v>
      </c>
      <c r="F393" t="s">
        <v>16</v>
      </c>
      <c r="G393">
        <v>84.8</v>
      </c>
      <c r="H393">
        <v>2309.5500000000002</v>
      </c>
      <c r="I393" t="s">
        <v>15</v>
      </c>
      <c r="J393" t="s">
        <v>16</v>
      </c>
      <c r="K393" t="s">
        <v>24</v>
      </c>
      <c r="L393">
        <v>2309.5500000000002</v>
      </c>
      <c r="M393" t="s">
        <v>5032</v>
      </c>
      <c r="N393" t="s">
        <v>5031</v>
      </c>
    </row>
    <row r="394" spans="1:14" x14ac:dyDescent="0.3">
      <c r="A394" t="s">
        <v>417</v>
      </c>
      <c r="B394" t="s">
        <v>12</v>
      </c>
      <c r="C394" t="s">
        <v>13</v>
      </c>
      <c r="D394">
        <v>2</v>
      </c>
      <c r="E394" t="s">
        <v>14</v>
      </c>
      <c r="F394" t="s">
        <v>15</v>
      </c>
      <c r="G394">
        <v>44.3</v>
      </c>
      <c r="H394">
        <v>89.3</v>
      </c>
      <c r="I394" t="s">
        <v>15</v>
      </c>
      <c r="J394" t="s">
        <v>16</v>
      </c>
      <c r="K394" t="s">
        <v>17</v>
      </c>
      <c r="L394">
        <v>89.3</v>
      </c>
      <c r="M394" t="s">
        <v>5030</v>
      </c>
      <c r="N394" t="s">
        <v>5031</v>
      </c>
    </row>
    <row r="395" spans="1:14" x14ac:dyDescent="0.3">
      <c r="A395" t="s">
        <v>418</v>
      </c>
      <c r="B395" t="s">
        <v>12</v>
      </c>
      <c r="C395" t="s">
        <v>13</v>
      </c>
      <c r="D395">
        <v>19</v>
      </c>
      <c r="E395" t="s">
        <v>15</v>
      </c>
      <c r="F395" t="s">
        <v>36</v>
      </c>
      <c r="G395">
        <v>19.899999999999999</v>
      </c>
      <c r="H395">
        <v>367.55</v>
      </c>
      <c r="I395" t="s">
        <v>15</v>
      </c>
      <c r="J395" t="s">
        <v>15</v>
      </c>
      <c r="K395" t="s">
        <v>21</v>
      </c>
      <c r="L395">
        <v>367.55</v>
      </c>
      <c r="M395" t="s">
        <v>5032</v>
      </c>
      <c r="N395" t="s">
        <v>5031</v>
      </c>
    </row>
    <row r="396" spans="1:14" x14ac:dyDescent="0.3">
      <c r="A396" t="s">
        <v>419</v>
      </c>
      <c r="B396" t="s">
        <v>12</v>
      </c>
      <c r="C396" t="s">
        <v>13</v>
      </c>
      <c r="D396">
        <v>42</v>
      </c>
      <c r="E396" t="s">
        <v>26</v>
      </c>
      <c r="F396" t="s">
        <v>15</v>
      </c>
      <c r="G396">
        <v>95.05</v>
      </c>
      <c r="H396">
        <v>3944.5</v>
      </c>
      <c r="I396" t="s">
        <v>15</v>
      </c>
      <c r="J396" t="s">
        <v>16</v>
      </c>
      <c r="K396" t="s">
        <v>17</v>
      </c>
      <c r="L396">
        <v>3944.5</v>
      </c>
      <c r="M396" t="s">
        <v>5033</v>
      </c>
      <c r="N396" t="s">
        <v>5034</v>
      </c>
    </row>
    <row r="397" spans="1:14" x14ac:dyDescent="0.3">
      <c r="A397" t="s">
        <v>420</v>
      </c>
      <c r="B397" t="s">
        <v>12</v>
      </c>
      <c r="C397" t="s">
        <v>35</v>
      </c>
      <c r="D397">
        <v>66</v>
      </c>
      <c r="E397" t="s">
        <v>14</v>
      </c>
      <c r="F397" t="s">
        <v>16</v>
      </c>
      <c r="G397">
        <v>90.05</v>
      </c>
      <c r="H397">
        <v>5965.95</v>
      </c>
      <c r="I397" t="s">
        <v>15</v>
      </c>
      <c r="J397" t="s">
        <v>16</v>
      </c>
      <c r="K397" t="s">
        <v>29</v>
      </c>
      <c r="L397">
        <v>5965.95</v>
      </c>
      <c r="M397" t="s">
        <v>5033</v>
      </c>
      <c r="N397" t="s">
        <v>5034</v>
      </c>
    </row>
    <row r="398" spans="1:14" x14ac:dyDescent="0.3">
      <c r="A398" t="s">
        <v>421</v>
      </c>
      <c r="B398" t="s">
        <v>19</v>
      </c>
      <c r="C398" t="s">
        <v>13</v>
      </c>
      <c r="D398">
        <v>33</v>
      </c>
      <c r="E398" t="s">
        <v>26</v>
      </c>
      <c r="F398" t="s">
        <v>16</v>
      </c>
      <c r="G398">
        <v>109.9</v>
      </c>
      <c r="H398">
        <v>3694.7</v>
      </c>
      <c r="I398" t="s">
        <v>15</v>
      </c>
      <c r="J398" t="s">
        <v>16</v>
      </c>
      <c r="K398" t="s">
        <v>24</v>
      </c>
      <c r="L398">
        <v>3694.7</v>
      </c>
      <c r="M398" t="s">
        <v>5032</v>
      </c>
      <c r="N398" t="s">
        <v>5034</v>
      </c>
    </row>
    <row r="399" spans="1:14" x14ac:dyDescent="0.3">
      <c r="A399" t="s">
        <v>422</v>
      </c>
      <c r="B399" t="s">
        <v>12</v>
      </c>
      <c r="C399" t="s">
        <v>13</v>
      </c>
      <c r="D399">
        <v>34</v>
      </c>
      <c r="E399" t="s">
        <v>26</v>
      </c>
      <c r="F399" t="s">
        <v>15</v>
      </c>
      <c r="G399">
        <v>73.95</v>
      </c>
      <c r="H399">
        <v>2524.4499999999998</v>
      </c>
      <c r="I399" t="s">
        <v>16</v>
      </c>
      <c r="J399" t="s">
        <v>16</v>
      </c>
      <c r="K399" t="s">
        <v>29</v>
      </c>
      <c r="L399">
        <v>2524.4499999999998</v>
      </c>
      <c r="M399" t="s">
        <v>5032</v>
      </c>
      <c r="N399" t="s">
        <v>5034</v>
      </c>
    </row>
    <row r="400" spans="1:14" x14ac:dyDescent="0.3">
      <c r="A400" t="s">
        <v>423</v>
      </c>
      <c r="B400" t="s">
        <v>19</v>
      </c>
      <c r="C400" t="s">
        <v>13</v>
      </c>
      <c r="D400">
        <v>33</v>
      </c>
      <c r="E400" t="s">
        <v>14</v>
      </c>
      <c r="F400" t="s">
        <v>16</v>
      </c>
      <c r="G400">
        <v>54.6</v>
      </c>
      <c r="H400">
        <v>1803.7</v>
      </c>
      <c r="I400" t="s">
        <v>15</v>
      </c>
      <c r="J400" t="s">
        <v>16</v>
      </c>
      <c r="K400" t="s">
        <v>17</v>
      </c>
      <c r="L400">
        <v>1803.7</v>
      </c>
      <c r="M400" t="s">
        <v>5032</v>
      </c>
      <c r="N400" t="s">
        <v>5031</v>
      </c>
    </row>
    <row r="401" spans="1:14" x14ac:dyDescent="0.3">
      <c r="A401" t="s">
        <v>424</v>
      </c>
      <c r="B401" t="s">
        <v>12</v>
      </c>
      <c r="C401" t="s">
        <v>20</v>
      </c>
      <c r="D401">
        <v>23</v>
      </c>
      <c r="E401" t="s">
        <v>15</v>
      </c>
      <c r="F401" t="s">
        <v>36</v>
      </c>
      <c r="G401">
        <v>20.05</v>
      </c>
      <c r="H401">
        <v>415.1</v>
      </c>
      <c r="I401" t="s">
        <v>15</v>
      </c>
      <c r="J401" t="s">
        <v>15</v>
      </c>
      <c r="K401" t="s">
        <v>21</v>
      </c>
      <c r="L401">
        <v>415.1</v>
      </c>
      <c r="M401" t="s">
        <v>5032</v>
      </c>
      <c r="N401" t="s">
        <v>5031</v>
      </c>
    </row>
    <row r="402" spans="1:14" x14ac:dyDescent="0.3">
      <c r="A402" t="s">
        <v>425</v>
      </c>
      <c r="B402" t="s">
        <v>12</v>
      </c>
      <c r="C402" t="s">
        <v>20</v>
      </c>
      <c r="D402">
        <v>32</v>
      </c>
      <c r="E402" t="s">
        <v>15</v>
      </c>
      <c r="F402" t="s">
        <v>36</v>
      </c>
      <c r="G402">
        <v>19.75</v>
      </c>
      <c r="H402">
        <v>624.15</v>
      </c>
      <c r="I402" t="s">
        <v>15</v>
      </c>
      <c r="J402" t="s">
        <v>15</v>
      </c>
      <c r="K402" t="s">
        <v>24</v>
      </c>
      <c r="L402">
        <v>624.15</v>
      </c>
      <c r="M402" t="s">
        <v>5032</v>
      </c>
      <c r="N402" t="s">
        <v>5031</v>
      </c>
    </row>
    <row r="403" spans="1:14" x14ac:dyDescent="0.3">
      <c r="A403" t="s">
        <v>426</v>
      </c>
      <c r="B403" t="s">
        <v>12</v>
      </c>
      <c r="C403" t="s">
        <v>20</v>
      </c>
      <c r="D403">
        <v>11</v>
      </c>
      <c r="E403" t="s">
        <v>15</v>
      </c>
      <c r="F403" t="s">
        <v>36</v>
      </c>
      <c r="G403">
        <v>20.05</v>
      </c>
      <c r="H403">
        <v>237.7</v>
      </c>
      <c r="I403" t="s">
        <v>15</v>
      </c>
      <c r="J403" t="s">
        <v>15</v>
      </c>
      <c r="K403" t="s">
        <v>29</v>
      </c>
      <c r="L403">
        <v>237.7</v>
      </c>
      <c r="M403" t="s">
        <v>5030</v>
      </c>
      <c r="N403" t="s">
        <v>5031</v>
      </c>
    </row>
    <row r="404" spans="1:14" x14ac:dyDescent="0.3">
      <c r="A404" t="s">
        <v>427</v>
      </c>
      <c r="B404" t="s">
        <v>19</v>
      </c>
      <c r="C404" t="s">
        <v>13</v>
      </c>
      <c r="D404">
        <v>69</v>
      </c>
      <c r="E404" t="s">
        <v>26</v>
      </c>
      <c r="F404" t="s">
        <v>15</v>
      </c>
      <c r="G404">
        <v>99.45</v>
      </c>
      <c r="H404">
        <v>7007.6</v>
      </c>
      <c r="I404" t="s">
        <v>16</v>
      </c>
      <c r="J404" t="s">
        <v>16</v>
      </c>
      <c r="K404" t="s">
        <v>29</v>
      </c>
      <c r="L404">
        <v>7007.6</v>
      </c>
      <c r="M404" t="s">
        <v>5033</v>
      </c>
      <c r="N404" t="s">
        <v>5034</v>
      </c>
    </row>
    <row r="405" spans="1:14" x14ac:dyDescent="0.3">
      <c r="A405" t="s">
        <v>428</v>
      </c>
      <c r="B405" t="s">
        <v>12</v>
      </c>
      <c r="C405" t="s">
        <v>20</v>
      </c>
      <c r="D405">
        <v>68</v>
      </c>
      <c r="E405" t="s">
        <v>14</v>
      </c>
      <c r="F405" t="s">
        <v>16</v>
      </c>
      <c r="G405">
        <v>55.9</v>
      </c>
      <c r="H405">
        <v>3848.8</v>
      </c>
      <c r="I405" t="s">
        <v>15</v>
      </c>
      <c r="J405" t="s">
        <v>15</v>
      </c>
      <c r="K405" t="s">
        <v>24</v>
      </c>
      <c r="L405">
        <v>3848.8</v>
      </c>
      <c r="M405" t="s">
        <v>5033</v>
      </c>
      <c r="N405" t="s">
        <v>5034</v>
      </c>
    </row>
    <row r="406" spans="1:14" x14ac:dyDescent="0.3">
      <c r="A406" t="s">
        <v>429</v>
      </c>
      <c r="B406" t="s">
        <v>19</v>
      </c>
      <c r="C406" t="s">
        <v>35</v>
      </c>
      <c r="D406">
        <v>20</v>
      </c>
      <c r="E406" t="s">
        <v>15</v>
      </c>
      <c r="F406" t="s">
        <v>36</v>
      </c>
      <c r="G406">
        <v>19.7</v>
      </c>
      <c r="H406">
        <v>419.4</v>
      </c>
      <c r="I406" t="s">
        <v>15</v>
      </c>
      <c r="J406" t="s">
        <v>16</v>
      </c>
      <c r="K406" t="s">
        <v>21</v>
      </c>
      <c r="L406">
        <v>419.4</v>
      </c>
      <c r="M406" t="s">
        <v>5032</v>
      </c>
      <c r="N406" t="s">
        <v>5031</v>
      </c>
    </row>
    <row r="407" spans="1:14" x14ac:dyDescent="0.3">
      <c r="A407" t="s">
        <v>430</v>
      </c>
      <c r="B407" t="s">
        <v>19</v>
      </c>
      <c r="C407" t="s">
        <v>35</v>
      </c>
      <c r="D407">
        <v>72</v>
      </c>
      <c r="E407" t="s">
        <v>15</v>
      </c>
      <c r="F407" t="s">
        <v>36</v>
      </c>
      <c r="G407">
        <v>19.8</v>
      </c>
      <c r="H407">
        <v>1468.75</v>
      </c>
      <c r="I407" t="s">
        <v>15</v>
      </c>
      <c r="J407" t="s">
        <v>16</v>
      </c>
      <c r="K407" t="s">
        <v>29</v>
      </c>
      <c r="L407">
        <v>1468.75</v>
      </c>
      <c r="M407" t="s">
        <v>5033</v>
      </c>
      <c r="N407" t="s">
        <v>5031</v>
      </c>
    </row>
    <row r="408" spans="1:14" x14ac:dyDescent="0.3">
      <c r="A408" t="s">
        <v>431</v>
      </c>
      <c r="B408" t="s">
        <v>19</v>
      </c>
      <c r="C408" t="s">
        <v>20</v>
      </c>
      <c r="D408">
        <v>60</v>
      </c>
      <c r="E408" t="s">
        <v>26</v>
      </c>
      <c r="F408" t="s">
        <v>15</v>
      </c>
      <c r="G408">
        <v>95.4</v>
      </c>
      <c r="H408">
        <v>5812</v>
      </c>
      <c r="I408" t="s">
        <v>15</v>
      </c>
      <c r="J408" t="s">
        <v>16</v>
      </c>
      <c r="K408" t="s">
        <v>24</v>
      </c>
      <c r="L408">
        <v>5812</v>
      </c>
      <c r="M408" t="s">
        <v>5033</v>
      </c>
      <c r="N408" t="s">
        <v>5034</v>
      </c>
    </row>
    <row r="409" spans="1:14" x14ac:dyDescent="0.3">
      <c r="A409" t="s">
        <v>432</v>
      </c>
      <c r="B409" t="s">
        <v>19</v>
      </c>
      <c r="C409" t="s">
        <v>13</v>
      </c>
      <c r="D409">
        <v>32</v>
      </c>
      <c r="E409" t="s">
        <v>26</v>
      </c>
      <c r="F409" t="s">
        <v>15</v>
      </c>
      <c r="G409">
        <v>93.95</v>
      </c>
      <c r="H409">
        <v>2861.45</v>
      </c>
      <c r="I409" t="s">
        <v>15</v>
      </c>
      <c r="J409" t="s">
        <v>16</v>
      </c>
      <c r="K409" t="s">
        <v>21</v>
      </c>
      <c r="L409">
        <v>2861.45</v>
      </c>
      <c r="M409" t="s">
        <v>5032</v>
      </c>
      <c r="N409" t="s">
        <v>5034</v>
      </c>
    </row>
    <row r="410" spans="1:14" x14ac:dyDescent="0.3">
      <c r="A410" t="s">
        <v>433</v>
      </c>
      <c r="B410" t="s">
        <v>12</v>
      </c>
      <c r="C410" t="s">
        <v>13</v>
      </c>
      <c r="D410">
        <v>1</v>
      </c>
      <c r="E410" t="s">
        <v>15</v>
      </c>
      <c r="F410" t="s">
        <v>36</v>
      </c>
      <c r="G410">
        <v>19.899999999999999</v>
      </c>
      <c r="H410">
        <v>19.899999999999999</v>
      </c>
      <c r="I410" t="s">
        <v>16</v>
      </c>
      <c r="J410" t="s">
        <v>16</v>
      </c>
      <c r="K410" t="s">
        <v>21</v>
      </c>
      <c r="L410">
        <v>19.899999999999999</v>
      </c>
      <c r="M410" t="s">
        <v>5030</v>
      </c>
      <c r="N410" t="s">
        <v>5031</v>
      </c>
    </row>
    <row r="411" spans="1:14" x14ac:dyDescent="0.3">
      <c r="A411" t="s">
        <v>434</v>
      </c>
      <c r="B411" t="s">
        <v>19</v>
      </c>
      <c r="C411" t="s">
        <v>13</v>
      </c>
      <c r="D411">
        <v>1</v>
      </c>
      <c r="E411" t="s">
        <v>15</v>
      </c>
      <c r="F411" t="s">
        <v>36</v>
      </c>
      <c r="G411">
        <v>19.600000000000001</v>
      </c>
      <c r="H411">
        <v>19.600000000000001</v>
      </c>
      <c r="I411" t="s">
        <v>16</v>
      </c>
      <c r="J411" t="s">
        <v>16</v>
      </c>
      <c r="K411" t="s">
        <v>21</v>
      </c>
      <c r="L411">
        <v>19.600000000000001</v>
      </c>
      <c r="M411" t="s">
        <v>5030</v>
      </c>
      <c r="N411" t="s">
        <v>5031</v>
      </c>
    </row>
    <row r="412" spans="1:14" x14ac:dyDescent="0.3">
      <c r="A412" t="s">
        <v>435</v>
      </c>
      <c r="B412" t="s">
        <v>19</v>
      </c>
      <c r="C412" t="s">
        <v>13</v>
      </c>
      <c r="D412">
        <v>3</v>
      </c>
      <c r="E412" t="s">
        <v>26</v>
      </c>
      <c r="F412" t="s">
        <v>15</v>
      </c>
      <c r="G412">
        <v>81.349999999999994</v>
      </c>
      <c r="H412">
        <v>233.7</v>
      </c>
      <c r="I412" t="s">
        <v>16</v>
      </c>
      <c r="J412" t="s">
        <v>16</v>
      </c>
      <c r="K412" t="s">
        <v>17</v>
      </c>
      <c r="L412">
        <v>233.7</v>
      </c>
      <c r="M412" t="s">
        <v>5030</v>
      </c>
      <c r="N412" t="s">
        <v>5031</v>
      </c>
    </row>
    <row r="413" spans="1:14" x14ac:dyDescent="0.3">
      <c r="A413" t="s">
        <v>436</v>
      </c>
      <c r="B413" t="s">
        <v>12</v>
      </c>
      <c r="C413" t="s">
        <v>20</v>
      </c>
      <c r="D413">
        <v>46</v>
      </c>
      <c r="E413" t="s">
        <v>15</v>
      </c>
      <c r="F413" t="s">
        <v>36</v>
      </c>
      <c r="G413">
        <v>24.45</v>
      </c>
      <c r="H413">
        <v>1066.1500000000001</v>
      </c>
      <c r="I413" t="s">
        <v>15</v>
      </c>
      <c r="J413" t="s">
        <v>16</v>
      </c>
      <c r="K413" t="s">
        <v>24</v>
      </c>
      <c r="L413">
        <v>1066.1500000000001</v>
      </c>
      <c r="M413" t="s">
        <v>5033</v>
      </c>
      <c r="N413" t="s">
        <v>5031</v>
      </c>
    </row>
    <row r="414" spans="1:14" x14ac:dyDescent="0.3">
      <c r="A414" t="s">
        <v>437</v>
      </c>
      <c r="B414" t="s">
        <v>12</v>
      </c>
      <c r="C414" t="s">
        <v>13</v>
      </c>
      <c r="D414">
        <v>29</v>
      </c>
      <c r="E414" t="s">
        <v>26</v>
      </c>
      <c r="F414" t="s">
        <v>15</v>
      </c>
      <c r="G414">
        <v>74.95</v>
      </c>
      <c r="H414">
        <v>2149.0500000000002</v>
      </c>
      <c r="I414" t="s">
        <v>15</v>
      </c>
      <c r="J414" t="s">
        <v>16</v>
      </c>
      <c r="K414" t="s">
        <v>17</v>
      </c>
      <c r="L414">
        <v>2149.0500000000002</v>
      </c>
      <c r="M414" t="s">
        <v>5032</v>
      </c>
      <c r="N414" t="s">
        <v>5031</v>
      </c>
    </row>
    <row r="415" spans="1:14" x14ac:dyDescent="0.3">
      <c r="A415" t="s">
        <v>438</v>
      </c>
      <c r="B415" t="s">
        <v>19</v>
      </c>
      <c r="C415" t="s">
        <v>13</v>
      </c>
      <c r="D415">
        <v>51</v>
      </c>
      <c r="E415" t="s">
        <v>26</v>
      </c>
      <c r="F415" t="s">
        <v>16</v>
      </c>
      <c r="G415">
        <v>87.35</v>
      </c>
      <c r="H415">
        <v>4473</v>
      </c>
      <c r="I415" t="s">
        <v>15</v>
      </c>
      <c r="J415" t="s">
        <v>16</v>
      </c>
      <c r="K415" t="s">
        <v>17</v>
      </c>
      <c r="L415">
        <v>4473</v>
      </c>
      <c r="M415" t="s">
        <v>5033</v>
      </c>
      <c r="N415" t="s">
        <v>5034</v>
      </c>
    </row>
    <row r="416" spans="1:14" x14ac:dyDescent="0.3">
      <c r="A416" t="s">
        <v>439</v>
      </c>
      <c r="B416" t="s">
        <v>12</v>
      </c>
      <c r="C416" t="s">
        <v>13</v>
      </c>
      <c r="D416">
        <v>48</v>
      </c>
      <c r="E416" t="s">
        <v>26</v>
      </c>
      <c r="F416" t="s">
        <v>15</v>
      </c>
      <c r="G416">
        <v>70.650000000000006</v>
      </c>
      <c r="H416">
        <v>3545.05</v>
      </c>
      <c r="I416" t="s">
        <v>15</v>
      </c>
      <c r="J416" t="s">
        <v>16</v>
      </c>
      <c r="K416" t="s">
        <v>24</v>
      </c>
      <c r="L416">
        <v>3545.05</v>
      </c>
      <c r="M416" t="s">
        <v>5033</v>
      </c>
      <c r="N416" t="s">
        <v>5034</v>
      </c>
    </row>
    <row r="417" spans="1:14" x14ac:dyDescent="0.3">
      <c r="A417" t="s">
        <v>440</v>
      </c>
      <c r="B417" t="s">
        <v>12</v>
      </c>
      <c r="C417" t="s">
        <v>13</v>
      </c>
      <c r="D417">
        <v>16</v>
      </c>
      <c r="E417" t="s">
        <v>26</v>
      </c>
      <c r="F417" t="s">
        <v>15</v>
      </c>
      <c r="G417">
        <v>73.25</v>
      </c>
      <c r="H417">
        <v>1195.75</v>
      </c>
      <c r="I417" t="s">
        <v>15</v>
      </c>
      <c r="J417" t="s">
        <v>15</v>
      </c>
      <c r="K417" t="s">
        <v>24</v>
      </c>
      <c r="L417">
        <v>1195.75</v>
      </c>
      <c r="M417" t="s">
        <v>5032</v>
      </c>
      <c r="N417" t="s">
        <v>5031</v>
      </c>
    </row>
    <row r="418" spans="1:14" x14ac:dyDescent="0.3">
      <c r="A418" t="s">
        <v>441</v>
      </c>
      <c r="B418" t="s">
        <v>19</v>
      </c>
      <c r="C418" t="s">
        <v>35</v>
      </c>
      <c r="D418">
        <v>70</v>
      </c>
      <c r="E418" t="s">
        <v>26</v>
      </c>
      <c r="F418" t="s">
        <v>16</v>
      </c>
      <c r="G418">
        <v>98.7</v>
      </c>
      <c r="H418">
        <v>6858.9</v>
      </c>
      <c r="I418" t="s">
        <v>15</v>
      </c>
      <c r="J418" t="s">
        <v>16</v>
      </c>
      <c r="K418" t="s">
        <v>24</v>
      </c>
      <c r="L418">
        <v>6858.9</v>
      </c>
      <c r="M418" t="s">
        <v>5033</v>
      </c>
      <c r="N418" t="s">
        <v>5034</v>
      </c>
    </row>
    <row r="419" spans="1:14" x14ac:dyDescent="0.3">
      <c r="A419" t="s">
        <v>442</v>
      </c>
      <c r="B419" t="s">
        <v>12</v>
      </c>
      <c r="C419" t="s">
        <v>35</v>
      </c>
      <c r="D419">
        <v>40</v>
      </c>
      <c r="E419" t="s">
        <v>15</v>
      </c>
      <c r="F419" t="s">
        <v>36</v>
      </c>
      <c r="G419">
        <v>24.8</v>
      </c>
      <c r="H419">
        <v>1024.7</v>
      </c>
      <c r="I419" t="s">
        <v>15</v>
      </c>
      <c r="J419" t="s">
        <v>16</v>
      </c>
      <c r="K419" t="s">
        <v>21</v>
      </c>
      <c r="L419">
        <v>1024.7</v>
      </c>
      <c r="M419" t="s">
        <v>5033</v>
      </c>
      <c r="N419" t="s">
        <v>5031</v>
      </c>
    </row>
    <row r="420" spans="1:14" x14ac:dyDescent="0.3">
      <c r="A420" t="s">
        <v>443</v>
      </c>
      <c r="B420" t="s">
        <v>12</v>
      </c>
      <c r="C420" t="s">
        <v>13</v>
      </c>
      <c r="D420">
        <v>22</v>
      </c>
      <c r="E420" t="s">
        <v>26</v>
      </c>
      <c r="F420" t="s">
        <v>15</v>
      </c>
      <c r="G420">
        <v>83.3</v>
      </c>
      <c r="H420">
        <v>1845.9</v>
      </c>
      <c r="I420" t="s">
        <v>16</v>
      </c>
      <c r="J420" t="s">
        <v>15</v>
      </c>
      <c r="K420" t="s">
        <v>17</v>
      </c>
      <c r="L420">
        <v>1845.9</v>
      </c>
      <c r="M420" t="s">
        <v>5032</v>
      </c>
      <c r="N420" t="s">
        <v>5031</v>
      </c>
    </row>
    <row r="421" spans="1:14" x14ac:dyDescent="0.3">
      <c r="A421" t="s">
        <v>444</v>
      </c>
      <c r="B421" t="s">
        <v>12</v>
      </c>
      <c r="C421" t="s">
        <v>13</v>
      </c>
      <c r="D421">
        <v>1</v>
      </c>
      <c r="E421" t="s">
        <v>26</v>
      </c>
      <c r="F421" t="s">
        <v>15</v>
      </c>
      <c r="G421">
        <v>75.3</v>
      </c>
      <c r="H421">
        <v>75.3</v>
      </c>
      <c r="I421" t="s">
        <v>16</v>
      </c>
      <c r="J421" t="s">
        <v>16</v>
      </c>
      <c r="K421" t="s">
        <v>24</v>
      </c>
      <c r="L421">
        <v>75.3</v>
      </c>
      <c r="M421" t="s">
        <v>5030</v>
      </c>
      <c r="N421" t="s">
        <v>5031</v>
      </c>
    </row>
    <row r="422" spans="1:14" x14ac:dyDescent="0.3">
      <c r="A422" t="s">
        <v>445</v>
      </c>
      <c r="B422" t="s">
        <v>12</v>
      </c>
      <c r="C422" t="s">
        <v>13</v>
      </c>
      <c r="D422">
        <v>5</v>
      </c>
      <c r="E422" t="s">
        <v>15</v>
      </c>
      <c r="F422" t="s">
        <v>36</v>
      </c>
      <c r="G422">
        <v>24.3</v>
      </c>
      <c r="H422">
        <v>132.25</v>
      </c>
      <c r="I422" t="s">
        <v>15</v>
      </c>
      <c r="J422" t="s">
        <v>16</v>
      </c>
      <c r="K422" t="s">
        <v>21</v>
      </c>
      <c r="L422">
        <v>132.25</v>
      </c>
      <c r="M422" t="s">
        <v>5030</v>
      </c>
      <c r="N422" t="s">
        <v>5031</v>
      </c>
    </row>
    <row r="423" spans="1:14" x14ac:dyDescent="0.3">
      <c r="A423" t="s">
        <v>446</v>
      </c>
      <c r="B423" t="s">
        <v>12</v>
      </c>
      <c r="C423" t="s">
        <v>13</v>
      </c>
      <c r="D423">
        <v>7</v>
      </c>
      <c r="E423" t="s">
        <v>26</v>
      </c>
      <c r="F423" t="s">
        <v>15</v>
      </c>
      <c r="G423">
        <v>69.849999999999994</v>
      </c>
      <c r="H423">
        <v>515.45000000000005</v>
      </c>
      <c r="I423" t="s">
        <v>15</v>
      </c>
      <c r="J423" t="s">
        <v>16</v>
      </c>
      <c r="K423" t="s">
        <v>24</v>
      </c>
      <c r="L423">
        <v>515.45000000000005</v>
      </c>
      <c r="M423" t="s">
        <v>5030</v>
      </c>
      <c r="N423" t="s">
        <v>5031</v>
      </c>
    </row>
    <row r="424" spans="1:14" x14ac:dyDescent="0.3">
      <c r="A424" t="s">
        <v>447</v>
      </c>
      <c r="B424" t="s">
        <v>19</v>
      </c>
      <c r="C424" t="s">
        <v>20</v>
      </c>
      <c r="D424">
        <v>29</v>
      </c>
      <c r="E424" t="s">
        <v>26</v>
      </c>
      <c r="F424" t="s">
        <v>16</v>
      </c>
      <c r="G424">
        <v>100.55</v>
      </c>
      <c r="H424">
        <v>2830.45</v>
      </c>
      <c r="I424" t="s">
        <v>15</v>
      </c>
      <c r="J424" t="s">
        <v>15</v>
      </c>
      <c r="K424" t="s">
        <v>29</v>
      </c>
      <c r="L424">
        <v>2830.45</v>
      </c>
      <c r="M424" t="s">
        <v>5032</v>
      </c>
      <c r="N424" t="s">
        <v>5034</v>
      </c>
    </row>
    <row r="425" spans="1:14" x14ac:dyDescent="0.3">
      <c r="A425" t="s">
        <v>448</v>
      </c>
      <c r="B425" t="s">
        <v>19</v>
      </c>
      <c r="C425" t="s">
        <v>20</v>
      </c>
      <c r="D425">
        <v>44</v>
      </c>
      <c r="E425" t="s">
        <v>15</v>
      </c>
      <c r="F425" t="s">
        <v>36</v>
      </c>
      <c r="G425">
        <v>25.7</v>
      </c>
      <c r="H425">
        <v>1110.5</v>
      </c>
      <c r="I425" t="s">
        <v>15</v>
      </c>
      <c r="J425" t="s">
        <v>15</v>
      </c>
      <c r="K425" t="s">
        <v>21</v>
      </c>
      <c r="L425">
        <v>1110.5</v>
      </c>
      <c r="M425" t="s">
        <v>5033</v>
      </c>
      <c r="N425" t="s">
        <v>5031</v>
      </c>
    </row>
    <row r="426" spans="1:14" x14ac:dyDescent="0.3">
      <c r="A426" t="s">
        <v>449</v>
      </c>
      <c r="B426" t="s">
        <v>12</v>
      </c>
      <c r="C426" t="s">
        <v>13</v>
      </c>
      <c r="D426">
        <v>10</v>
      </c>
      <c r="E426" t="s">
        <v>14</v>
      </c>
      <c r="F426" t="s">
        <v>15</v>
      </c>
      <c r="G426">
        <v>40.700000000000003</v>
      </c>
      <c r="H426">
        <v>449.3</v>
      </c>
      <c r="I426" t="s">
        <v>15</v>
      </c>
      <c r="J426" t="s">
        <v>15</v>
      </c>
      <c r="K426" t="s">
        <v>24</v>
      </c>
      <c r="L426">
        <v>449.3</v>
      </c>
      <c r="M426" t="s">
        <v>5030</v>
      </c>
      <c r="N426" t="s">
        <v>5031</v>
      </c>
    </row>
    <row r="427" spans="1:14" x14ac:dyDescent="0.3">
      <c r="A427" t="s">
        <v>450</v>
      </c>
      <c r="B427" t="s">
        <v>12</v>
      </c>
      <c r="C427" t="s">
        <v>13</v>
      </c>
      <c r="D427">
        <v>55</v>
      </c>
      <c r="E427" t="s">
        <v>14</v>
      </c>
      <c r="F427" t="s">
        <v>15</v>
      </c>
      <c r="G427">
        <v>51.65</v>
      </c>
      <c r="H427">
        <v>2838.55</v>
      </c>
      <c r="I427" t="s">
        <v>15</v>
      </c>
      <c r="J427" t="s">
        <v>15</v>
      </c>
      <c r="K427" t="s">
        <v>24</v>
      </c>
      <c r="L427">
        <v>2838.55</v>
      </c>
      <c r="M427" t="s">
        <v>5033</v>
      </c>
      <c r="N427" t="s">
        <v>5034</v>
      </c>
    </row>
    <row r="428" spans="1:14" x14ac:dyDescent="0.3">
      <c r="A428" t="s">
        <v>451</v>
      </c>
      <c r="B428" t="s">
        <v>19</v>
      </c>
      <c r="C428" t="s">
        <v>20</v>
      </c>
      <c r="D428">
        <v>52</v>
      </c>
      <c r="E428" t="s">
        <v>26</v>
      </c>
      <c r="F428" t="s">
        <v>15</v>
      </c>
      <c r="G428">
        <v>105.1</v>
      </c>
      <c r="H428">
        <v>5376.4</v>
      </c>
      <c r="I428" t="s">
        <v>15</v>
      </c>
      <c r="J428" t="s">
        <v>16</v>
      </c>
      <c r="K428" t="s">
        <v>24</v>
      </c>
      <c r="L428">
        <v>5376.4</v>
      </c>
      <c r="M428" t="s">
        <v>5033</v>
      </c>
      <c r="N428" t="s">
        <v>5034</v>
      </c>
    </row>
    <row r="429" spans="1:14" x14ac:dyDescent="0.3">
      <c r="A429" t="s">
        <v>452</v>
      </c>
      <c r="B429" t="s">
        <v>12</v>
      </c>
      <c r="C429" t="s">
        <v>13</v>
      </c>
      <c r="D429">
        <v>10</v>
      </c>
      <c r="E429" t="s">
        <v>26</v>
      </c>
      <c r="F429" t="s">
        <v>15</v>
      </c>
      <c r="G429">
        <v>85.95</v>
      </c>
      <c r="H429">
        <v>858.6</v>
      </c>
      <c r="I429" t="s">
        <v>15</v>
      </c>
      <c r="J429" t="s">
        <v>15</v>
      </c>
      <c r="K429" t="s">
        <v>17</v>
      </c>
      <c r="L429">
        <v>858.6</v>
      </c>
      <c r="M429" t="s">
        <v>5030</v>
      </c>
      <c r="N429" t="s">
        <v>5031</v>
      </c>
    </row>
    <row r="430" spans="1:14" x14ac:dyDescent="0.3">
      <c r="A430" t="s">
        <v>453</v>
      </c>
      <c r="B430" t="s">
        <v>19</v>
      </c>
      <c r="C430" t="s">
        <v>13</v>
      </c>
      <c r="D430">
        <v>18</v>
      </c>
      <c r="E430" t="s">
        <v>26</v>
      </c>
      <c r="F430" t="s">
        <v>15</v>
      </c>
      <c r="G430">
        <v>75.599999999999994</v>
      </c>
      <c r="H430">
        <v>1395.05</v>
      </c>
      <c r="I430" t="s">
        <v>15</v>
      </c>
      <c r="J430" t="s">
        <v>16</v>
      </c>
      <c r="K430" t="s">
        <v>24</v>
      </c>
      <c r="L430">
        <v>1395.05</v>
      </c>
      <c r="M430" t="s">
        <v>5032</v>
      </c>
      <c r="N430" t="s">
        <v>5031</v>
      </c>
    </row>
    <row r="431" spans="1:14" x14ac:dyDescent="0.3">
      <c r="A431" t="s">
        <v>454</v>
      </c>
      <c r="B431" t="s">
        <v>12</v>
      </c>
      <c r="C431" t="s">
        <v>20</v>
      </c>
      <c r="D431">
        <v>68</v>
      </c>
      <c r="E431" t="s">
        <v>14</v>
      </c>
      <c r="F431" t="s">
        <v>16</v>
      </c>
      <c r="G431">
        <v>58.25</v>
      </c>
      <c r="H431">
        <v>3975.7</v>
      </c>
      <c r="I431" t="s">
        <v>15</v>
      </c>
      <c r="J431" t="s">
        <v>15</v>
      </c>
      <c r="K431" t="s">
        <v>24</v>
      </c>
      <c r="L431">
        <v>3975.7</v>
      </c>
      <c r="M431" t="s">
        <v>5033</v>
      </c>
      <c r="N431" t="s">
        <v>5034</v>
      </c>
    </row>
    <row r="432" spans="1:14" x14ac:dyDescent="0.3">
      <c r="A432" t="s">
        <v>455</v>
      </c>
      <c r="B432" t="s">
        <v>12</v>
      </c>
      <c r="C432" t="s">
        <v>13</v>
      </c>
      <c r="D432">
        <v>61</v>
      </c>
      <c r="E432" t="s">
        <v>15</v>
      </c>
      <c r="F432" t="s">
        <v>36</v>
      </c>
      <c r="G432">
        <v>19.399999999999999</v>
      </c>
      <c r="H432">
        <v>1182.55</v>
      </c>
      <c r="I432" t="s">
        <v>16</v>
      </c>
      <c r="J432" t="s">
        <v>16</v>
      </c>
      <c r="K432" t="s">
        <v>21</v>
      </c>
      <c r="L432">
        <v>1182.55</v>
      </c>
      <c r="M432" t="s">
        <v>5033</v>
      </c>
      <c r="N432" t="s">
        <v>5031</v>
      </c>
    </row>
    <row r="433" spans="1:14" x14ac:dyDescent="0.3">
      <c r="A433" t="s">
        <v>456</v>
      </c>
      <c r="B433" t="s">
        <v>12</v>
      </c>
      <c r="C433" t="s">
        <v>35</v>
      </c>
      <c r="D433">
        <v>72</v>
      </c>
      <c r="E433" t="s">
        <v>14</v>
      </c>
      <c r="F433" t="s">
        <v>16</v>
      </c>
      <c r="G433">
        <v>65.2</v>
      </c>
      <c r="H433">
        <v>4784.45</v>
      </c>
      <c r="I433" t="s">
        <v>15</v>
      </c>
      <c r="J433" t="s">
        <v>16</v>
      </c>
      <c r="K433" t="s">
        <v>29</v>
      </c>
      <c r="L433">
        <v>4784.45</v>
      </c>
      <c r="M433" t="s">
        <v>5033</v>
      </c>
      <c r="N433" t="s">
        <v>5034</v>
      </c>
    </row>
    <row r="434" spans="1:14" x14ac:dyDescent="0.3">
      <c r="A434" t="s">
        <v>457</v>
      </c>
      <c r="B434" t="s">
        <v>19</v>
      </c>
      <c r="C434" t="s">
        <v>13</v>
      </c>
      <c r="D434">
        <v>2</v>
      </c>
      <c r="E434" t="s">
        <v>14</v>
      </c>
      <c r="F434" t="s">
        <v>15</v>
      </c>
      <c r="G434">
        <v>53.45</v>
      </c>
      <c r="H434">
        <v>119.5</v>
      </c>
      <c r="I434" t="s">
        <v>15</v>
      </c>
      <c r="J434" t="s">
        <v>15</v>
      </c>
      <c r="K434" t="s">
        <v>17</v>
      </c>
      <c r="L434">
        <v>119.5</v>
      </c>
      <c r="M434" t="s">
        <v>5030</v>
      </c>
      <c r="N434" t="s">
        <v>5031</v>
      </c>
    </row>
    <row r="435" spans="1:14" x14ac:dyDescent="0.3">
      <c r="A435" t="s">
        <v>458</v>
      </c>
      <c r="B435" t="s">
        <v>19</v>
      </c>
      <c r="C435" t="s">
        <v>13</v>
      </c>
      <c r="D435">
        <v>12</v>
      </c>
      <c r="E435" t="s">
        <v>14</v>
      </c>
      <c r="F435" t="s">
        <v>15</v>
      </c>
      <c r="G435">
        <v>45.4</v>
      </c>
      <c r="H435">
        <v>518.9</v>
      </c>
      <c r="I435" t="s">
        <v>16</v>
      </c>
      <c r="J435" t="s">
        <v>16</v>
      </c>
      <c r="K435" t="s">
        <v>24</v>
      </c>
      <c r="L435">
        <v>518.9</v>
      </c>
      <c r="M435" t="s">
        <v>5030</v>
      </c>
      <c r="N435" t="s">
        <v>5031</v>
      </c>
    </row>
    <row r="436" spans="1:14" x14ac:dyDescent="0.3">
      <c r="A436" t="s">
        <v>459</v>
      </c>
      <c r="B436" t="s">
        <v>19</v>
      </c>
      <c r="C436" t="s">
        <v>35</v>
      </c>
      <c r="D436">
        <v>41</v>
      </c>
      <c r="E436" t="s">
        <v>15</v>
      </c>
      <c r="F436" t="s">
        <v>36</v>
      </c>
      <c r="G436">
        <v>19.75</v>
      </c>
      <c r="H436">
        <v>899.45</v>
      </c>
      <c r="I436" t="s">
        <v>15</v>
      </c>
      <c r="J436" t="s">
        <v>16</v>
      </c>
      <c r="K436" t="s">
        <v>17</v>
      </c>
      <c r="L436">
        <v>899.45</v>
      </c>
      <c r="M436" t="s">
        <v>5033</v>
      </c>
      <c r="N436" t="s">
        <v>5031</v>
      </c>
    </row>
    <row r="437" spans="1:14" x14ac:dyDescent="0.3">
      <c r="A437" t="s">
        <v>460</v>
      </c>
      <c r="B437" t="s">
        <v>12</v>
      </c>
      <c r="C437" t="s">
        <v>13</v>
      </c>
      <c r="D437">
        <v>26</v>
      </c>
      <c r="E437" t="s">
        <v>14</v>
      </c>
      <c r="F437" t="s">
        <v>16</v>
      </c>
      <c r="G437">
        <v>44.45</v>
      </c>
      <c r="H437">
        <v>1183.8</v>
      </c>
      <c r="I437" t="s">
        <v>15</v>
      </c>
      <c r="J437" t="s">
        <v>16</v>
      </c>
      <c r="K437" t="s">
        <v>29</v>
      </c>
      <c r="L437">
        <v>1183.8</v>
      </c>
      <c r="M437" t="s">
        <v>5032</v>
      </c>
      <c r="N437" t="s">
        <v>5031</v>
      </c>
    </row>
    <row r="438" spans="1:14" x14ac:dyDescent="0.3">
      <c r="A438" t="s">
        <v>461</v>
      </c>
      <c r="B438" t="s">
        <v>19</v>
      </c>
      <c r="C438" t="s">
        <v>20</v>
      </c>
      <c r="D438">
        <v>36</v>
      </c>
      <c r="E438" t="s">
        <v>15</v>
      </c>
      <c r="F438" t="s">
        <v>36</v>
      </c>
      <c r="G438">
        <v>20.85</v>
      </c>
      <c r="H438">
        <v>720.05</v>
      </c>
      <c r="I438" t="s">
        <v>15</v>
      </c>
      <c r="J438" t="s">
        <v>15</v>
      </c>
      <c r="K438" t="s">
        <v>24</v>
      </c>
      <c r="L438">
        <v>720.05</v>
      </c>
      <c r="M438" t="s">
        <v>5032</v>
      </c>
      <c r="N438" t="s">
        <v>5031</v>
      </c>
    </row>
    <row r="439" spans="1:14" x14ac:dyDescent="0.3">
      <c r="A439" t="s">
        <v>462</v>
      </c>
      <c r="B439" t="s">
        <v>19</v>
      </c>
      <c r="C439" t="s">
        <v>35</v>
      </c>
      <c r="D439">
        <v>72</v>
      </c>
      <c r="E439" t="s">
        <v>26</v>
      </c>
      <c r="F439" t="s">
        <v>16</v>
      </c>
      <c r="G439">
        <v>114.05</v>
      </c>
      <c r="H439">
        <v>8468.2000000000007</v>
      </c>
      <c r="I439" t="s">
        <v>15</v>
      </c>
      <c r="J439" t="s">
        <v>16</v>
      </c>
      <c r="K439" t="s">
        <v>29</v>
      </c>
      <c r="L439">
        <v>8468.2000000000007</v>
      </c>
      <c r="M439" t="s">
        <v>5033</v>
      </c>
      <c r="N439" t="s">
        <v>5034</v>
      </c>
    </row>
    <row r="440" spans="1:14" x14ac:dyDescent="0.3">
      <c r="A440" t="s">
        <v>463</v>
      </c>
      <c r="B440" t="s">
        <v>19</v>
      </c>
      <c r="C440" t="s">
        <v>13</v>
      </c>
      <c r="D440">
        <v>35</v>
      </c>
      <c r="E440" t="s">
        <v>26</v>
      </c>
      <c r="F440" t="s">
        <v>16</v>
      </c>
      <c r="G440">
        <v>89.85</v>
      </c>
      <c r="H440">
        <v>3161.2</v>
      </c>
      <c r="I440" t="s">
        <v>15</v>
      </c>
      <c r="J440" t="s">
        <v>16</v>
      </c>
      <c r="K440" t="s">
        <v>24</v>
      </c>
      <c r="L440">
        <v>3161.2</v>
      </c>
      <c r="M440" t="s">
        <v>5032</v>
      </c>
      <c r="N440" t="s">
        <v>5034</v>
      </c>
    </row>
    <row r="441" spans="1:14" x14ac:dyDescent="0.3">
      <c r="A441" t="s">
        <v>464</v>
      </c>
      <c r="B441" t="s">
        <v>19</v>
      </c>
      <c r="C441" t="s">
        <v>13</v>
      </c>
      <c r="D441">
        <v>1</v>
      </c>
      <c r="E441" t="s">
        <v>14</v>
      </c>
      <c r="F441" t="s">
        <v>16</v>
      </c>
      <c r="G441">
        <v>55.05</v>
      </c>
      <c r="H441">
        <v>55.05</v>
      </c>
      <c r="I441" t="s">
        <v>15</v>
      </c>
      <c r="J441" t="s">
        <v>15</v>
      </c>
      <c r="K441" t="s">
        <v>21</v>
      </c>
      <c r="L441">
        <v>55.05</v>
      </c>
      <c r="M441" t="s">
        <v>5030</v>
      </c>
      <c r="N441" t="s">
        <v>5031</v>
      </c>
    </row>
    <row r="442" spans="1:14" x14ac:dyDescent="0.3">
      <c r="A442" t="s">
        <v>465</v>
      </c>
      <c r="B442" t="s">
        <v>12</v>
      </c>
      <c r="C442" t="s">
        <v>13</v>
      </c>
      <c r="D442">
        <v>16</v>
      </c>
      <c r="E442" t="s">
        <v>26</v>
      </c>
      <c r="F442" t="s">
        <v>16</v>
      </c>
      <c r="G442">
        <v>112.95</v>
      </c>
      <c r="H442">
        <v>1882.55</v>
      </c>
      <c r="I442" t="s">
        <v>15</v>
      </c>
      <c r="J442" t="s">
        <v>16</v>
      </c>
      <c r="K442" t="s">
        <v>17</v>
      </c>
      <c r="L442">
        <v>1882.55</v>
      </c>
      <c r="M442" t="s">
        <v>5032</v>
      </c>
      <c r="N442" t="s">
        <v>5031</v>
      </c>
    </row>
    <row r="443" spans="1:14" x14ac:dyDescent="0.3">
      <c r="A443" t="s">
        <v>466</v>
      </c>
      <c r="B443" t="s">
        <v>12</v>
      </c>
      <c r="C443" t="s">
        <v>13</v>
      </c>
      <c r="D443">
        <v>49</v>
      </c>
      <c r="E443" t="s">
        <v>26</v>
      </c>
      <c r="F443" t="s">
        <v>15</v>
      </c>
      <c r="G443">
        <v>101.55</v>
      </c>
      <c r="H443">
        <v>5070.3999999999996</v>
      </c>
      <c r="I443" t="s">
        <v>15</v>
      </c>
      <c r="J443" t="s">
        <v>15</v>
      </c>
      <c r="K443" t="s">
        <v>29</v>
      </c>
      <c r="L443">
        <v>5070.3999999999996</v>
      </c>
      <c r="M443" t="s">
        <v>5033</v>
      </c>
      <c r="N443" t="s">
        <v>5034</v>
      </c>
    </row>
    <row r="444" spans="1:14" x14ac:dyDescent="0.3">
      <c r="A444" t="s">
        <v>467</v>
      </c>
      <c r="B444" t="s">
        <v>12</v>
      </c>
      <c r="C444" t="s">
        <v>20</v>
      </c>
      <c r="D444">
        <v>54</v>
      </c>
      <c r="E444" t="s">
        <v>26</v>
      </c>
      <c r="F444" t="s">
        <v>16</v>
      </c>
      <c r="G444">
        <v>114.65</v>
      </c>
      <c r="H444">
        <v>6049.5</v>
      </c>
      <c r="I444" t="s">
        <v>15</v>
      </c>
      <c r="J444" t="s">
        <v>16</v>
      </c>
      <c r="K444" t="s">
        <v>21</v>
      </c>
      <c r="L444">
        <v>6049.5</v>
      </c>
      <c r="M444" t="s">
        <v>5033</v>
      </c>
      <c r="N444" t="s">
        <v>5034</v>
      </c>
    </row>
    <row r="445" spans="1:14" x14ac:dyDescent="0.3">
      <c r="A445" t="s">
        <v>468</v>
      </c>
      <c r="B445" t="s">
        <v>12</v>
      </c>
      <c r="C445" t="s">
        <v>13</v>
      </c>
      <c r="D445">
        <v>18</v>
      </c>
      <c r="E445" t="s">
        <v>14</v>
      </c>
      <c r="F445" t="s">
        <v>15</v>
      </c>
      <c r="G445">
        <v>64.8</v>
      </c>
      <c r="H445">
        <v>1166.7</v>
      </c>
      <c r="I445" t="s">
        <v>15</v>
      </c>
      <c r="J445" t="s">
        <v>15</v>
      </c>
      <c r="K445" t="s">
        <v>17</v>
      </c>
      <c r="L445">
        <v>1166.7</v>
      </c>
      <c r="M445" t="s">
        <v>5032</v>
      </c>
      <c r="N445" t="s">
        <v>5031</v>
      </c>
    </row>
    <row r="446" spans="1:14" x14ac:dyDescent="0.3">
      <c r="A446" t="s">
        <v>469</v>
      </c>
      <c r="B446" t="s">
        <v>12</v>
      </c>
      <c r="C446" t="s">
        <v>13</v>
      </c>
      <c r="D446">
        <v>36</v>
      </c>
      <c r="E446" t="s">
        <v>26</v>
      </c>
      <c r="F446" t="s">
        <v>15</v>
      </c>
      <c r="G446">
        <v>80.400000000000006</v>
      </c>
      <c r="H446">
        <v>2937.65</v>
      </c>
      <c r="I446" t="s">
        <v>15</v>
      </c>
      <c r="J446" t="s">
        <v>15</v>
      </c>
      <c r="K446" t="s">
        <v>17</v>
      </c>
      <c r="L446">
        <v>2937.65</v>
      </c>
      <c r="M446" t="s">
        <v>5032</v>
      </c>
      <c r="N446" t="s">
        <v>5034</v>
      </c>
    </row>
    <row r="447" spans="1:14" x14ac:dyDescent="0.3">
      <c r="A447" t="s">
        <v>470</v>
      </c>
      <c r="B447" t="s">
        <v>12</v>
      </c>
      <c r="C447" t="s">
        <v>13</v>
      </c>
      <c r="D447">
        <v>60</v>
      </c>
      <c r="E447" t="s">
        <v>26</v>
      </c>
      <c r="F447" t="s">
        <v>15</v>
      </c>
      <c r="G447">
        <v>105.9</v>
      </c>
      <c r="H447">
        <v>6396.45</v>
      </c>
      <c r="I447" t="s">
        <v>16</v>
      </c>
      <c r="J447" t="s">
        <v>16</v>
      </c>
      <c r="K447" t="s">
        <v>17</v>
      </c>
      <c r="L447">
        <v>6396.45</v>
      </c>
      <c r="M447" t="s">
        <v>5033</v>
      </c>
      <c r="N447" t="s">
        <v>5034</v>
      </c>
    </row>
    <row r="448" spans="1:14" x14ac:dyDescent="0.3">
      <c r="A448" t="s">
        <v>471</v>
      </c>
      <c r="B448" t="s">
        <v>12</v>
      </c>
      <c r="C448" t="s">
        <v>13</v>
      </c>
      <c r="D448">
        <v>1</v>
      </c>
      <c r="E448" t="s">
        <v>26</v>
      </c>
      <c r="F448" t="s">
        <v>15</v>
      </c>
      <c r="G448">
        <v>69.55</v>
      </c>
      <c r="H448">
        <v>69.55</v>
      </c>
      <c r="I448" t="s">
        <v>16</v>
      </c>
      <c r="J448" t="s">
        <v>15</v>
      </c>
      <c r="K448" t="s">
        <v>21</v>
      </c>
      <c r="L448">
        <v>69.55</v>
      </c>
      <c r="M448" t="s">
        <v>5030</v>
      </c>
      <c r="N448" t="s">
        <v>5031</v>
      </c>
    </row>
    <row r="449" spans="1:14" x14ac:dyDescent="0.3">
      <c r="A449" t="s">
        <v>472</v>
      </c>
      <c r="B449" t="s">
        <v>12</v>
      </c>
      <c r="C449" t="s">
        <v>35</v>
      </c>
      <c r="D449">
        <v>52</v>
      </c>
      <c r="E449" t="s">
        <v>15</v>
      </c>
      <c r="F449" t="s">
        <v>36</v>
      </c>
      <c r="G449">
        <v>25.05</v>
      </c>
      <c r="H449">
        <v>1270.25</v>
      </c>
      <c r="I449" t="s">
        <v>15</v>
      </c>
      <c r="J449" t="s">
        <v>16</v>
      </c>
      <c r="K449" t="s">
        <v>24</v>
      </c>
      <c r="L449">
        <v>1270.25</v>
      </c>
      <c r="M449" t="s">
        <v>5033</v>
      </c>
      <c r="N449" t="s">
        <v>5031</v>
      </c>
    </row>
    <row r="450" spans="1:14" x14ac:dyDescent="0.3">
      <c r="A450" t="s">
        <v>473</v>
      </c>
      <c r="B450" t="s">
        <v>19</v>
      </c>
      <c r="C450" t="s">
        <v>13</v>
      </c>
      <c r="D450">
        <v>8</v>
      </c>
      <c r="E450" t="s">
        <v>26</v>
      </c>
      <c r="F450" t="s">
        <v>15</v>
      </c>
      <c r="G450">
        <v>94.75</v>
      </c>
      <c r="H450">
        <v>759.55</v>
      </c>
      <c r="I450" t="s">
        <v>15</v>
      </c>
      <c r="J450" t="s">
        <v>16</v>
      </c>
      <c r="K450" t="s">
        <v>17</v>
      </c>
      <c r="L450">
        <v>759.55</v>
      </c>
      <c r="M450" t="s">
        <v>5030</v>
      </c>
      <c r="N450" t="s">
        <v>5031</v>
      </c>
    </row>
    <row r="451" spans="1:14" x14ac:dyDescent="0.3">
      <c r="A451" t="s">
        <v>474</v>
      </c>
      <c r="B451" t="s">
        <v>19</v>
      </c>
      <c r="C451" t="s">
        <v>35</v>
      </c>
      <c r="D451">
        <v>72</v>
      </c>
      <c r="E451" t="s">
        <v>26</v>
      </c>
      <c r="F451" t="s">
        <v>16</v>
      </c>
      <c r="G451">
        <v>105.5</v>
      </c>
      <c r="H451">
        <v>7611.55</v>
      </c>
      <c r="I451" t="s">
        <v>15</v>
      </c>
      <c r="J451" t="s">
        <v>15</v>
      </c>
      <c r="K451" t="s">
        <v>24</v>
      </c>
      <c r="L451">
        <v>7611.55</v>
      </c>
      <c r="M451" t="s">
        <v>5033</v>
      </c>
      <c r="N451" t="s">
        <v>5034</v>
      </c>
    </row>
    <row r="452" spans="1:14" x14ac:dyDescent="0.3">
      <c r="A452" t="s">
        <v>475</v>
      </c>
      <c r="B452" t="s">
        <v>12</v>
      </c>
      <c r="C452" t="s">
        <v>20</v>
      </c>
      <c r="D452">
        <v>64</v>
      </c>
      <c r="E452" t="s">
        <v>15</v>
      </c>
      <c r="F452" t="s">
        <v>36</v>
      </c>
      <c r="G452">
        <v>24.7</v>
      </c>
      <c r="H452">
        <v>1642.75</v>
      </c>
      <c r="I452" t="s">
        <v>15</v>
      </c>
      <c r="J452" t="s">
        <v>15</v>
      </c>
      <c r="K452" t="s">
        <v>21</v>
      </c>
      <c r="L452">
        <v>1642.75</v>
      </c>
      <c r="M452" t="s">
        <v>5033</v>
      </c>
      <c r="N452" t="s">
        <v>5031</v>
      </c>
    </row>
    <row r="453" spans="1:14" x14ac:dyDescent="0.3">
      <c r="A453" t="s">
        <v>476</v>
      </c>
      <c r="B453" t="s">
        <v>12</v>
      </c>
      <c r="C453" t="s">
        <v>13</v>
      </c>
      <c r="D453">
        <v>22</v>
      </c>
      <c r="E453" t="s">
        <v>14</v>
      </c>
      <c r="F453" t="s">
        <v>16</v>
      </c>
      <c r="G453">
        <v>69.75</v>
      </c>
      <c r="H453">
        <v>1545.4</v>
      </c>
      <c r="I453" t="s">
        <v>15</v>
      </c>
      <c r="J453" t="s">
        <v>16</v>
      </c>
      <c r="K453" t="s">
        <v>21</v>
      </c>
      <c r="L453">
        <v>1545.4</v>
      </c>
      <c r="M453" t="s">
        <v>5032</v>
      </c>
      <c r="N453" t="s">
        <v>5031</v>
      </c>
    </row>
    <row r="454" spans="1:14" x14ac:dyDescent="0.3">
      <c r="A454" t="s">
        <v>477</v>
      </c>
      <c r="B454" t="s">
        <v>19</v>
      </c>
      <c r="C454" t="s">
        <v>13</v>
      </c>
      <c r="D454">
        <v>60</v>
      </c>
      <c r="E454" t="s">
        <v>14</v>
      </c>
      <c r="F454" t="s">
        <v>16</v>
      </c>
      <c r="G454">
        <v>60.2</v>
      </c>
      <c r="H454">
        <v>3582.4</v>
      </c>
      <c r="I454" t="s">
        <v>15</v>
      </c>
      <c r="J454" t="s">
        <v>16</v>
      </c>
      <c r="K454" t="s">
        <v>24</v>
      </c>
      <c r="L454">
        <v>3582.4</v>
      </c>
      <c r="M454" t="s">
        <v>5033</v>
      </c>
      <c r="N454" t="s">
        <v>5034</v>
      </c>
    </row>
    <row r="455" spans="1:14" x14ac:dyDescent="0.3">
      <c r="A455" t="s">
        <v>478</v>
      </c>
      <c r="B455" t="s">
        <v>12</v>
      </c>
      <c r="C455" t="s">
        <v>13</v>
      </c>
      <c r="D455">
        <v>28</v>
      </c>
      <c r="E455" t="s">
        <v>26</v>
      </c>
      <c r="F455" t="s">
        <v>15</v>
      </c>
      <c r="G455">
        <v>81.05</v>
      </c>
      <c r="H455">
        <v>2227.1</v>
      </c>
      <c r="I455" t="s">
        <v>16</v>
      </c>
      <c r="J455" t="s">
        <v>16</v>
      </c>
      <c r="K455" t="s">
        <v>17</v>
      </c>
      <c r="L455">
        <v>2227.1</v>
      </c>
      <c r="M455" t="s">
        <v>5032</v>
      </c>
      <c r="N455" t="s">
        <v>5031</v>
      </c>
    </row>
    <row r="456" spans="1:14" x14ac:dyDescent="0.3">
      <c r="A456" t="s">
        <v>479</v>
      </c>
      <c r="B456" t="s">
        <v>12</v>
      </c>
      <c r="C456" t="s">
        <v>35</v>
      </c>
      <c r="D456">
        <v>61</v>
      </c>
      <c r="E456" t="s">
        <v>15</v>
      </c>
      <c r="F456" t="s">
        <v>36</v>
      </c>
      <c r="G456">
        <v>24.4</v>
      </c>
      <c r="H456">
        <v>1417.9</v>
      </c>
      <c r="I456" t="s">
        <v>15</v>
      </c>
      <c r="J456" t="s">
        <v>15</v>
      </c>
      <c r="K456" t="s">
        <v>21</v>
      </c>
      <c r="L456">
        <v>1417.9</v>
      </c>
      <c r="M456" t="s">
        <v>5033</v>
      </c>
      <c r="N456" t="s">
        <v>5031</v>
      </c>
    </row>
    <row r="457" spans="1:14" x14ac:dyDescent="0.3">
      <c r="A457" t="s">
        <v>480</v>
      </c>
      <c r="B457" t="s">
        <v>12</v>
      </c>
      <c r="C457" t="s">
        <v>13</v>
      </c>
      <c r="D457">
        <v>24</v>
      </c>
      <c r="E457" t="s">
        <v>26</v>
      </c>
      <c r="F457" t="s">
        <v>15</v>
      </c>
      <c r="G457">
        <v>104.15</v>
      </c>
      <c r="H457">
        <v>2494.65</v>
      </c>
      <c r="I457" t="s">
        <v>15</v>
      </c>
      <c r="J457" t="s">
        <v>16</v>
      </c>
      <c r="K457" t="s">
        <v>17</v>
      </c>
      <c r="L457">
        <v>2494.65</v>
      </c>
      <c r="M457" t="s">
        <v>5032</v>
      </c>
      <c r="N457" t="s">
        <v>5031</v>
      </c>
    </row>
    <row r="458" spans="1:14" x14ac:dyDescent="0.3">
      <c r="A458" t="s">
        <v>481</v>
      </c>
      <c r="B458" t="s">
        <v>19</v>
      </c>
      <c r="C458" t="s">
        <v>20</v>
      </c>
      <c r="D458">
        <v>28</v>
      </c>
      <c r="E458" t="s">
        <v>26</v>
      </c>
      <c r="F458" t="s">
        <v>16</v>
      </c>
      <c r="G458">
        <v>92.9</v>
      </c>
      <c r="H458">
        <v>2768.35</v>
      </c>
      <c r="I458" t="s">
        <v>15</v>
      </c>
      <c r="J458" t="s">
        <v>15</v>
      </c>
      <c r="K458" t="s">
        <v>24</v>
      </c>
      <c r="L458">
        <v>2768.35</v>
      </c>
      <c r="M458" t="s">
        <v>5032</v>
      </c>
      <c r="N458" t="s">
        <v>5034</v>
      </c>
    </row>
    <row r="459" spans="1:14" x14ac:dyDescent="0.3">
      <c r="A459" t="s">
        <v>482</v>
      </c>
      <c r="B459" t="s">
        <v>12</v>
      </c>
      <c r="C459" t="s">
        <v>35</v>
      </c>
      <c r="D459">
        <v>30</v>
      </c>
      <c r="E459" t="s">
        <v>14</v>
      </c>
      <c r="F459" t="s">
        <v>16</v>
      </c>
      <c r="G459">
        <v>80.8</v>
      </c>
      <c r="H459">
        <v>2369.3000000000002</v>
      </c>
      <c r="I459" t="s">
        <v>15</v>
      </c>
      <c r="J459" t="s">
        <v>15</v>
      </c>
      <c r="K459" t="s">
        <v>24</v>
      </c>
      <c r="L459">
        <v>2369.3000000000002</v>
      </c>
      <c r="M459" t="s">
        <v>5032</v>
      </c>
      <c r="N459" t="s">
        <v>5031</v>
      </c>
    </row>
    <row r="460" spans="1:14" x14ac:dyDescent="0.3">
      <c r="A460" t="s">
        <v>483</v>
      </c>
      <c r="B460" t="s">
        <v>19</v>
      </c>
      <c r="C460" t="s">
        <v>13</v>
      </c>
      <c r="D460">
        <v>2</v>
      </c>
      <c r="E460" t="s">
        <v>15</v>
      </c>
      <c r="F460" t="s">
        <v>36</v>
      </c>
      <c r="G460">
        <v>20</v>
      </c>
      <c r="H460">
        <v>38</v>
      </c>
      <c r="I460" t="s">
        <v>15</v>
      </c>
      <c r="J460" t="s">
        <v>15</v>
      </c>
      <c r="K460" t="s">
        <v>21</v>
      </c>
      <c r="L460">
        <v>38</v>
      </c>
      <c r="M460" t="s">
        <v>5030</v>
      </c>
      <c r="N460" t="s">
        <v>5031</v>
      </c>
    </row>
    <row r="461" spans="1:14" x14ac:dyDescent="0.3">
      <c r="A461" t="s">
        <v>484</v>
      </c>
      <c r="B461" t="s">
        <v>19</v>
      </c>
      <c r="C461" t="s">
        <v>13</v>
      </c>
      <c r="D461">
        <v>1</v>
      </c>
      <c r="E461" t="s">
        <v>26</v>
      </c>
      <c r="F461" t="s">
        <v>15</v>
      </c>
      <c r="G461">
        <v>75.099999999999994</v>
      </c>
      <c r="H461">
        <v>75.099999999999994</v>
      </c>
      <c r="I461" t="s">
        <v>15</v>
      </c>
      <c r="J461" t="s">
        <v>16</v>
      </c>
      <c r="K461" t="s">
        <v>17</v>
      </c>
      <c r="L461">
        <v>75.099999999999994</v>
      </c>
      <c r="M461" t="s">
        <v>5030</v>
      </c>
      <c r="N461" t="s">
        <v>5031</v>
      </c>
    </row>
    <row r="462" spans="1:14" x14ac:dyDescent="0.3">
      <c r="A462" t="s">
        <v>485</v>
      </c>
      <c r="B462" t="s">
        <v>19</v>
      </c>
      <c r="C462" t="s">
        <v>13</v>
      </c>
      <c r="D462">
        <v>6</v>
      </c>
      <c r="E462" t="s">
        <v>15</v>
      </c>
      <c r="F462" t="s">
        <v>36</v>
      </c>
      <c r="G462">
        <v>19.649999999999999</v>
      </c>
      <c r="H462">
        <v>100.9</v>
      </c>
      <c r="I462" t="s">
        <v>15</v>
      </c>
      <c r="J462" t="s">
        <v>15</v>
      </c>
      <c r="K462" t="s">
        <v>21</v>
      </c>
      <c r="L462">
        <v>100.9</v>
      </c>
      <c r="M462" t="s">
        <v>5030</v>
      </c>
      <c r="N462" t="s">
        <v>5031</v>
      </c>
    </row>
    <row r="463" spans="1:14" x14ac:dyDescent="0.3">
      <c r="A463" t="s">
        <v>486</v>
      </c>
      <c r="B463" t="s">
        <v>12</v>
      </c>
      <c r="C463" t="s">
        <v>13</v>
      </c>
      <c r="D463">
        <v>24</v>
      </c>
      <c r="E463" t="s">
        <v>14</v>
      </c>
      <c r="F463" t="s">
        <v>15</v>
      </c>
      <c r="G463">
        <v>69.45</v>
      </c>
      <c r="H463">
        <v>1614.05</v>
      </c>
      <c r="I463" t="s">
        <v>15</v>
      </c>
      <c r="J463" t="s">
        <v>16</v>
      </c>
      <c r="K463" t="s">
        <v>24</v>
      </c>
      <c r="L463">
        <v>1614.05</v>
      </c>
      <c r="M463" t="s">
        <v>5032</v>
      </c>
      <c r="N463" t="s">
        <v>5031</v>
      </c>
    </row>
    <row r="464" spans="1:14" x14ac:dyDescent="0.3">
      <c r="A464" t="s">
        <v>487</v>
      </c>
      <c r="B464" t="s">
        <v>19</v>
      </c>
      <c r="C464" t="s">
        <v>13</v>
      </c>
      <c r="D464">
        <v>4</v>
      </c>
      <c r="E464" t="s">
        <v>26</v>
      </c>
      <c r="F464" t="s">
        <v>15</v>
      </c>
      <c r="G464">
        <v>101.15</v>
      </c>
      <c r="H464">
        <v>385.9</v>
      </c>
      <c r="I464" t="s">
        <v>16</v>
      </c>
      <c r="J464" t="s">
        <v>15</v>
      </c>
      <c r="K464" t="s">
        <v>17</v>
      </c>
      <c r="L464">
        <v>385.9</v>
      </c>
      <c r="M464" t="s">
        <v>5030</v>
      </c>
      <c r="N464" t="s">
        <v>5031</v>
      </c>
    </row>
    <row r="465" spans="1:14" x14ac:dyDescent="0.3">
      <c r="A465" t="s">
        <v>488</v>
      </c>
      <c r="B465" t="s">
        <v>19</v>
      </c>
      <c r="C465" t="s">
        <v>13</v>
      </c>
      <c r="D465">
        <v>7</v>
      </c>
      <c r="E465" t="s">
        <v>26</v>
      </c>
      <c r="F465" t="s">
        <v>15</v>
      </c>
      <c r="G465">
        <v>99.8</v>
      </c>
      <c r="H465">
        <v>673.25</v>
      </c>
      <c r="I465" t="s">
        <v>16</v>
      </c>
      <c r="J465" t="s">
        <v>16</v>
      </c>
      <c r="K465" t="s">
        <v>17</v>
      </c>
      <c r="L465">
        <v>673.25</v>
      </c>
      <c r="M465" t="s">
        <v>5030</v>
      </c>
      <c r="N465" t="s">
        <v>5031</v>
      </c>
    </row>
    <row r="466" spans="1:14" x14ac:dyDescent="0.3">
      <c r="A466" t="s">
        <v>489</v>
      </c>
      <c r="B466" t="s">
        <v>19</v>
      </c>
      <c r="C466" t="s">
        <v>35</v>
      </c>
      <c r="D466">
        <v>72</v>
      </c>
      <c r="E466" t="s">
        <v>26</v>
      </c>
      <c r="F466" t="s">
        <v>16</v>
      </c>
      <c r="G466">
        <v>116.05</v>
      </c>
      <c r="H466">
        <v>8404.9</v>
      </c>
      <c r="I466" t="s">
        <v>15</v>
      </c>
      <c r="J466" t="s">
        <v>16</v>
      </c>
      <c r="K466" t="s">
        <v>24</v>
      </c>
      <c r="L466">
        <v>8404.9</v>
      </c>
      <c r="M466" t="s">
        <v>5033</v>
      </c>
      <c r="N466" t="s">
        <v>5034</v>
      </c>
    </row>
    <row r="467" spans="1:14" x14ac:dyDescent="0.3">
      <c r="A467" t="s">
        <v>490</v>
      </c>
      <c r="B467" t="s">
        <v>19</v>
      </c>
      <c r="C467" t="s">
        <v>35</v>
      </c>
      <c r="D467">
        <v>70</v>
      </c>
      <c r="E467" t="s">
        <v>14</v>
      </c>
      <c r="F467" t="s">
        <v>16</v>
      </c>
      <c r="G467">
        <v>40.049999999999997</v>
      </c>
      <c r="H467">
        <v>2799.75</v>
      </c>
      <c r="I467" t="s">
        <v>15</v>
      </c>
      <c r="J467" t="s">
        <v>16</v>
      </c>
      <c r="K467" t="s">
        <v>21</v>
      </c>
      <c r="L467">
        <v>2799.75</v>
      </c>
      <c r="M467" t="s">
        <v>5033</v>
      </c>
      <c r="N467" t="s">
        <v>5034</v>
      </c>
    </row>
    <row r="468" spans="1:14" x14ac:dyDescent="0.3">
      <c r="A468" t="s">
        <v>491</v>
      </c>
      <c r="B468" t="s">
        <v>19</v>
      </c>
      <c r="C468" t="s">
        <v>35</v>
      </c>
      <c r="D468">
        <v>64</v>
      </c>
      <c r="E468" t="s">
        <v>26</v>
      </c>
      <c r="F468" t="s">
        <v>16</v>
      </c>
      <c r="G468">
        <v>102.1</v>
      </c>
      <c r="H468">
        <v>6538.45</v>
      </c>
      <c r="I468" t="s">
        <v>15</v>
      </c>
      <c r="J468" t="s">
        <v>15</v>
      </c>
      <c r="K468" t="s">
        <v>17</v>
      </c>
      <c r="L468">
        <v>6538.45</v>
      </c>
      <c r="M468" t="s">
        <v>5033</v>
      </c>
      <c r="N468" t="s">
        <v>5034</v>
      </c>
    </row>
    <row r="469" spans="1:14" x14ac:dyDescent="0.3">
      <c r="A469" t="s">
        <v>492</v>
      </c>
      <c r="B469" t="s">
        <v>19</v>
      </c>
      <c r="C469" t="s">
        <v>20</v>
      </c>
      <c r="D469">
        <v>72</v>
      </c>
      <c r="E469" t="s">
        <v>26</v>
      </c>
      <c r="F469" t="s">
        <v>15</v>
      </c>
      <c r="G469">
        <v>89.7</v>
      </c>
      <c r="H469">
        <v>6588.95</v>
      </c>
      <c r="I469" t="s">
        <v>15</v>
      </c>
      <c r="J469" t="s">
        <v>16</v>
      </c>
      <c r="K469" t="s">
        <v>17</v>
      </c>
      <c r="L469">
        <v>6588.95</v>
      </c>
      <c r="M469" t="s">
        <v>5033</v>
      </c>
      <c r="N469" t="s">
        <v>5034</v>
      </c>
    </row>
    <row r="470" spans="1:14" x14ac:dyDescent="0.3">
      <c r="A470" t="s">
        <v>493</v>
      </c>
      <c r="B470" t="s">
        <v>12</v>
      </c>
      <c r="C470" t="s">
        <v>35</v>
      </c>
      <c r="D470">
        <v>44</v>
      </c>
      <c r="E470" t="s">
        <v>15</v>
      </c>
      <c r="F470" t="s">
        <v>36</v>
      </c>
      <c r="G470">
        <v>19.899999999999999</v>
      </c>
      <c r="H470">
        <v>868.1</v>
      </c>
      <c r="I470" t="s">
        <v>15</v>
      </c>
      <c r="J470" t="s">
        <v>15</v>
      </c>
      <c r="K470" t="s">
        <v>21</v>
      </c>
      <c r="L470">
        <v>868.1</v>
      </c>
      <c r="M470" t="s">
        <v>5033</v>
      </c>
      <c r="N470" t="s">
        <v>5031</v>
      </c>
    </row>
    <row r="471" spans="1:14" x14ac:dyDescent="0.3">
      <c r="A471" t="s">
        <v>494</v>
      </c>
      <c r="B471" t="s">
        <v>12</v>
      </c>
      <c r="C471" t="s">
        <v>13</v>
      </c>
      <c r="D471">
        <v>13</v>
      </c>
      <c r="E471" t="s">
        <v>14</v>
      </c>
      <c r="F471" t="s">
        <v>15</v>
      </c>
      <c r="G471">
        <v>55.95</v>
      </c>
      <c r="H471">
        <v>734.35</v>
      </c>
      <c r="I471" t="s">
        <v>16</v>
      </c>
      <c r="J471" t="s">
        <v>15</v>
      </c>
      <c r="K471" t="s">
        <v>17</v>
      </c>
      <c r="L471">
        <v>734.35</v>
      </c>
      <c r="M471" t="s">
        <v>5032</v>
      </c>
      <c r="N471" t="s">
        <v>5031</v>
      </c>
    </row>
    <row r="472" spans="1:14" x14ac:dyDescent="0.3">
      <c r="A472" t="s">
        <v>495</v>
      </c>
      <c r="B472" t="s">
        <v>12</v>
      </c>
      <c r="C472" t="s">
        <v>20</v>
      </c>
      <c r="D472">
        <v>17</v>
      </c>
      <c r="E472" t="s">
        <v>15</v>
      </c>
      <c r="F472" t="s">
        <v>36</v>
      </c>
      <c r="G472">
        <v>20.65</v>
      </c>
      <c r="H472">
        <v>330.6</v>
      </c>
      <c r="I472" t="s">
        <v>15</v>
      </c>
      <c r="J472" t="s">
        <v>15</v>
      </c>
      <c r="K472" t="s">
        <v>21</v>
      </c>
      <c r="L472">
        <v>330.6</v>
      </c>
      <c r="M472" t="s">
        <v>5032</v>
      </c>
      <c r="N472" t="s">
        <v>5031</v>
      </c>
    </row>
    <row r="473" spans="1:14" x14ac:dyDescent="0.3">
      <c r="A473" t="s">
        <v>496</v>
      </c>
      <c r="B473" t="s">
        <v>19</v>
      </c>
      <c r="C473" t="s">
        <v>13</v>
      </c>
      <c r="D473">
        <v>1</v>
      </c>
      <c r="E473" t="s">
        <v>14</v>
      </c>
      <c r="F473" t="s">
        <v>15</v>
      </c>
      <c r="G473">
        <v>55</v>
      </c>
      <c r="H473">
        <v>55</v>
      </c>
      <c r="I473" t="s">
        <v>16</v>
      </c>
      <c r="J473" t="s">
        <v>16</v>
      </c>
      <c r="K473" t="s">
        <v>17</v>
      </c>
      <c r="L473">
        <v>55</v>
      </c>
      <c r="M473" t="s">
        <v>5030</v>
      </c>
      <c r="N473" t="s">
        <v>5031</v>
      </c>
    </row>
    <row r="474" spans="1:14" x14ac:dyDescent="0.3">
      <c r="A474" t="s">
        <v>497</v>
      </c>
      <c r="B474" t="s">
        <v>19</v>
      </c>
      <c r="C474" t="s">
        <v>13</v>
      </c>
      <c r="D474">
        <v>9</v>
      </c>
      <c r="E474" t="s">
        <v>14</v>
      </c>
      <c r="F474" t="s">
        <v>15</v>
      </c>
      <c r="G474">
        <v>70.05</v>
      </c>
      <c r="H474">
        <v>564.4</v>
      </c>
      <c r="I474" t="s">
        <v>15</v>
      </c>
      <c r="J474" t="s">
        <v>16</v>
      </c>
      <c r="K474" t="s">
        <v>21</v>
      </c>
      <c r="L474">
        <v>564.4</v>
      </c>
      <c r="M474" t="s">
        <v>5030</v>
      </c>
      <c r="N474" t="s">
        <v>5031</v>
      </c>
    </row>
    <row r="475" spans="1:14" x14ac:dyDescent="0.3">
      <c r="A475" t="s">
        <v>498</v>
      </c>
      <c r="B475" t="s">
        <v>19</v>
      </c>
      <c r="C475" t="s">
        <v>13</v>
      </c>
      <c r="D475">
        <v>24</v>
      </c>
      <c r="E475" t="s">
        <v>14</v>
      </c>
      <c r="F475" t="s">
        <v>16</v>
      </c>
      <c r="G475">
        <v>53.6</v>
      </c>
      <c r="H475">
        <v>1315.35</v>
      </c>
      <c r="I475" t="s">
        <v>15</v>
      </c>
      <c r="J475" t="s">
        <v>15</v>
      </c>
      <c r="K475" t="s">
        <v>21</v>
      </c>
      <c r="L475">
        <v>1315.35</v>
      </c>
      <c r="M475" t="s">
        <v>5032</v>
      </c>
      <c r="N475" t="s">
        <v>5031</v>
      </c>
    </row>
    <row r="476" spans="1:14" x14ac:dyDescent="0.3">
      <c r="A476" t="s">
        <v>499</v>
      </c>
      <c r="B476" t="s">
        <v>12</v>
      </c>
      <c r="C476" t="s">
        <v>13</v>
      </c>
      <c r="D476">
        <v>1</v>
      </c>
      <c r="E476" t="s">
        <v>26</v>
      </c>
      <c r="F476" t="s">
        <v>15</v>
      </c>
      <c r="G476">
        <v>74.7</v>
      </c>
      <c r="H476">
        <v>74.7</v>
      </c>
      <c r="I476" t="s">
        <v>16</v>
      </c>
      <c r="J476" t="s">
        <v>16</v>
      </c>
      <c r="K476" t="s">
        <v>17</v>
      </c>
      <c r="L476">
        <v>74.7</v>
      </c>
      <c r="M476" t="s">
        <v>5030</v>
      </c>
      <c r="N476" t="s">
        <v>5031</v>
      </c>
    </row>
    <row r="477" spans="1:14" x14ac:dyDescent="0.3">
      <c r="A477" t="s">
        <v>500</v>
      </c>
      <c r="B477" t="s">
        <v>19</v>
      </c>
      <c r="C477" t="s">
        <v>13</v>
      </c>
      <c r="D477">
        <v>24</v>
      </c>
      <c r="E477" t="s">
        <v>26</v>
      </c>
      <c r="F477" t="s">
        <v>15</v>
      </c>
      <c r="G477">
        <v>80.25</v>
      </c>
      <c r="H477">
        <v>1861.5</v>
      </c>
      <c r="I477" t="s">
        <v>16</v>
      </c>
      <c r="J477" t="s">
        <v>16</v>
      </c>
      <c r="K477" t="s">
        <v>17</v>
      </c>
      <c r="L477">
        <v>1861.5</v>
      </c>
      <c r="M477" t="s">
        <v>5032</v>
      </c>
      <c r="N477" t="s">
        <v>5031</v>
      </c>
    </row>
    <row r="478" spans="1:14" x14ac:dyDescent="0.3">
      <c r="A478" t="s">
        <v>501</v>
      </c>
      <c r="B478" t="s">
        <v>19</v>
      </c>
      <c r="C478" t="s">
        <v>13</v>
      </c>
      <c r="D478">
        <v>35</v>
      </c>
      <c r="E478" t="s">
        <v>14</v>
      </c>
      <c r="F478" t="s">
        <v>16</v>
      </c>
      <c r="G478">
        <v>76.05</v>
      </c>
      <c r="H478">
        <v>2747.2</v>
      </c>
      <c r="I478" t="s">
        <v>15</v>
      </c>
      <c r="J478" t="s">
        <v>16</v>
      </c>
      <c r="K478" t="s">
        <v>17</v>
      </c>
      <c r="L478">
        <v>2747.2</v>
      </c>
      <c r="M478" t="s">
        <v>5032</v>
      </c>
      <c r="N478" t="s">
        <v>5034</v>
      </c>
    </row>
    <row r="479" spans="1:14" x14ac:dyDescent="0.3">
      <c r="A479" t="s">
        <v>502</v>
      </c>
      <c r="B479" t="s">
        <v>12</v>
      </c>
      <c r="C479" t="s">
        <v>13</v>
      </c>
      <c r="D479">
        <v>7</v>
      </c>
      <c r="E479" t="s">
        <v>14</v>
      </c>
      <c r="F479" t="s">
        <v>16</v>
      </c>
      <c r="G479">
        <v>75.7</v>
      </c>
      <c r="H479">
        <v>554.04999999999995</v>
      </c>
      <c r="I479" t="s">
        <v>15</v>
      </c>
      <c r="J479" t="s">
        <v>16</v>
      </c>
      <c r="K479" t="s">
        <v>17</v>
      </c>
      <c r="L479">
        <v>554.04999999999995</v>
      </c>
      <c r="M479" t="s">
        <v>5030</v>
      </c>
      <c r="N479" t="s">
        <v>5031</v>
      </c>
    </row>
    <row r="480" spans="1:14" x14ac:dyDescent="0.3">
      <c r="A480" t="s">
        <v>503</v>
      </c>
      <c r="B480" t="s">
        <v>19</v>
      </c>
      <c r="C480" t="s">
        <v>13</v>
      </c>
      <c r="D480">
        <v>5</v>
      </c>
      <c r="E480" t="s">
        <v>26</v>
      </c>
      <c r="F480" t="s">
        <v>16</v>
      </c>
      <c r="G480">
        <v>96.1</v>
      </c>
      <c r="H480">
        <v>453.4</v>
      </c>
      <c r="I480" t="s">
        <v>16</v>
      </c>
      <c r="J480" t="s">
        <v>16</v>
      </c>
      <c r="K480" t="s">
        <v>17</v>
      </c>
      <c r="L480">
        <v>453.4</v>
      </c>
      <c r="M480" t="s">
        <v>5030</v>
      </c>
      <c r="N480" t="s">
        <v>5031</v>
      </c>
    </row>
    <row r="481" spans="1:14" x14ac:dyDescent="0.3">
      <c r="A481" t="s">
        <v>504</v>
      </c>
      <c r="B481" t="s">
        <v>12</v>
      </c>
      <c r="C481" t="s">
        <v>13</v>
      </c>
      <c r="D481">
        <v>15</v>
      </c>
      <c r="E481" t="s">
        <v>26</v>
      </c>
      <c r="F481" t="s">
        <v>15</v>
      </c>
      <c r="G481">
        <v>69</v>
      </c>
      <c r="H481">
        <v>994.8</v>
      </c>
      <c r="I481" t="s">
        <v>16</v>
      </c>
      <c r="J481" t="s">
        <v>15</v>
      </c>
      <c r="K481" t="s">
        <v>24</v>
      </c>
      <c r="L481">
        <v>994.8</v>
      </c>
      <c r="M481" t="s">
        <v>5032</v>
      </c>
      <c r="N481" t="s">
        <v>5031</v>
      </c>
    </row>
    <row r="482" spans="1:14" x14ac:dyDescent="0.3">
      <c r="A482" t="s">
        <v>505</v>
      </c>
      <c r="B482" t="s">
        <v>19</v>
      </c>
      <c r="C482" t="s">
        <v>35</v>
      </c>
      <c r="D482">
        <v>11</v>
      </c>
      <c r="E482" t="s">
        <v>15</v>
      </c>
      <c r="F482" t="s">
        <v>36</v>
      </c>
      <c r="G482">
        <v>19.649999999999999</v>
      </c>
      <c r="H482">
        <v>225.75</v>
      </c>
      <c r="I482" t="s">
        <v>15</v>
      </c>
      <c r="J482" t="s">
        <v>15</v>
      </c>
      <c r="K482" t="s">
        <v>21</v>
      </c>
      <c r="L482">
        <v>225.75</v>
      </c>
      <c r="M482" t="s">
        <v>5030</v>
      </c>
      <c r="N482" t="s">
        <v>5031</v>
      </c>
    </row>
    <row r="483" spans="1:14" x14ac:dyDescent="0.3">
      <c r="A483" t="s">
        <v>506</v>
      </c>
      <c r="B483" t="s">
        <v>12</v>
      </c>
      <c r="C483" t="s">
        <v>13</v>
      </c>
      <c r="D483">
        <v>48</v>
      </c>
      <c r="E483" t="s">
        <v>14</v>
      </c>
      <c r="F483" t="s">
        <v>15</v>
      </c>
      <c r="G483">
        <v>45.3</v>
      </c>
      <c r="H483">
        <v>2145</v>
      </c>
      <c r="I483" t="s">
        <v>16</v>
      </c>
      <c r="J483" t="s">
        <v>16</v>
      </c>
      <c r="K483" t="s">
        <v>24</v>
      </c>
      <c r="L483">
        <v>2145</v>
      </c>
      <c r="M483" t="s">
        <v>5033</v>
      </c>
      <c r="N483" t="s">
        <v>5031</v>
      </c>
    </row>
    <row r="484" spans="1:14" x14ac:dyDescent="0.3">
      <c r="A484" t="s">
        <v>507</v>
      </c>
      <c r="B484" t="s">
        <v>12</v>
      </c>
      <c r="C484" t="s">
        <v>13</v>
      </c>
      <c r="D484">
        <v>20</v>
      </c>
      <c r="E484" t="s">
        <v>26</v>
      </c>
      <c r="F484" t="s">
        <v>15</v>
      </c>
      <c r="G484">
        <v>81.45</v>
      </c>
      <c r="H484">
        <v>1671.6</v>
      </c>
      <c r="I484" t="s">
        <v>15</v>
      </c>
      <c r="J484" t="s">
        <v>16</v>
      </c>
      <c r="K484" t="s">
        <v>17</v>
      </c>
      <c r="L484">
        <v>1671.6</v>
      </c>
      <c r="M484" t="s">
        <v>5032</v>
      </c>
      <c r="N484" t="s">
        <v>5031</v>
      </c>
    </row>
    <row r="485" spans="1:14" x14ac:dyDescent="0.3">
      <c r="A485" t="s">
        <v>508</v>
      </c>
      <c r="B485" t="s">
        <v>12</v>
      </c>
      <c r="C485" t="s">
        <v>20</v>
      </c>
      <c r="D485">
        <v>72</v>
      </c>
      <c r="E485" t="s">
        <v>26</v>
      </c>
      <c r="F485" t="s">
        <v>16</v>
      </c>
      <c r="G485">
        <v>108.5</v>
      </c>
      <c r="H485">
        <v>8003.8</v>
      </c>
      <c r="I485" t="s">
        <v>15</v>
      </c>
      <c r="J485" t="s">
        <v>16</v>
      </c>
      <c r="K485" t="s">
        <v>24</v>
      </c>
      <c r="L485">
        <v>8003.8</v>
      </c>
      <c r="M485" t="s">
        <v>5033</v>
      </c>
      <c r="N485" t="s">
        <v>5034</v>
      </c>
    </row>
    <row r="486" spans="1:14" x14ac:dyDescent="0.3">
      <c r="A486" t="s">
        <v>509</v>
      </c>
      <c r="B486" t="s">
        <v>12</v>
      </c>
      <c r="C486" t="s">
        <v>13</v>
      </c>
      <c r="D486">
        <v>8</v>
      </c>
      <c r="E486" t="s">
        <v>26</v>
      </c>
      <c r="F486" t="s">
        <v>15</v>
      </c>
      <c r="G486">
        <v>83.55</v>
      </c>
      <c r="H486">
        <v>680.05</v>
      </c>
      <c r="I486" t="s">
        <v>16</v>
      </c>
      <c r="J486" t="s">
        <v>16</v>
      </c>
      <c r="K486" t="s">
        <v>17</v>
      </c>
      <c r="L486">
        <v>680.05</v>
      </c>
      <c r="M486" t="s">
        <v>5030</v>
      </c>
      <c r="N486" t="s">
        <v>5031</v>
      </c>
    </row>
    <row r="487" spans="1:14" x14ac:dyDescent="0.3">
      <c r="A487" t="s">
        <v>510</v>
      </c>
      <c r="B487" t="s">
        <v>19</v>
      </c>
      <c r="C487" t="s">
        <v>35</v>
      </c>
      <c r="D487">
        <v>72</v>
      </c>
      <c r="E487" t="s">
        <v>26</v>
      </c>
      <c r="F487" t="s">
        <v>15</v>
      </c>
      <c r="G487">
        <v>84.5</v>
      </c>
      <c r="H487">
        <v>6130.85</v>
      </c>
      <c r="I487" t="s">
        <v>15</v>
      </c>
      <c r="J487" t="s">
        <v>16</v>
      </c>
      <c r="K487" t="s">
        <v>29</v>
      </c>
      <c r="L487">
        <v>6130.85</v>
      </c>
      <c r="M487" t="s">
        <v>5033</v>
      </c>
      <c r="N487" t="s">
        <v>5034</v>
      </c>
    </row>
    <row r="488" spans="1:14" x14ac:dyDescent="0.3">
      <c r="A488" t="s">
        <v>511</v>
      </c>
      <c r="B488" t="s">
        <v>12</v>
      </c>
      <c r="C488" t="s">
        <v>13</v>
      </c>
      <c r="D488">
        <v>15</v>
      </c>
      <c r="E488" t="s">
        <v>26</v>
      </c>
      <c r="F488" t="s">
        <v>15</v>
      </c>
      <c r="G488">
        <v>100.15</v>
      </c>
      <c r="H488">
        <v>1415</v>
      </c>
      <c r="I488" t="s">
        <v>15</v>
      </c>
      <c r="J488" t="s">
        <v>16</v>
      </c>
      <c r="K488" t="s">
        <v>17</v>
      </c>
      <c r="L488">
        <v>1415</v>
      </c>
      <c r="M488" t="s">
        <v>5032</v>
      </c>
      <c r="N488" t="s">
        <v>5031</v>
      </c>
    </row>
    <row r="489" spans="1:14" x14ac:dyDescent="0.3">
      <c r="A489" t="s">
        <v>512</v>
      </c>
      <c r="B489" t="s">
        <v>19</v>
      </c>
      <c r="C489" t="s">
        <v>35</v>
      </c>
      <c r="D489">
        <v>72</v>
      </c>
      <c r="E489" t="s">
        <v>14</v>
      </c>
      <c r="F489" t="s">
        <v>16</v>
      </c>
      <c r="G489">
        <v>88.6</v>
      </c>
      <c r="H489">
        <v>6201.95</v>
      </c>
      <c r="I489" t="s">
        <v>15</v>
      </c>
      <c r="J489" t="s">
        <v>16</v>
      </c>
      <c r="K489" t="s">
        <v>24</v>
      </c>
      <c r="L489">
        <v>6201.95</v>
      </c>
      <c r="M489" t="s">
        <v>5033</v>
      </c>
      <c r="N489" t="s">
        <v>5034</v>
      </c>
    </row>
    <row r="490" spans="1:14" x14ac:dyDescent="0.3">
      <c r="A490" t="s">
        <v>513</v>
      </c>
      <c r="B490" t="s">
        <v>12</v>
      </c>
      <c r="C490" t="s">
        <v>35</v>
      </c>
      <c r="D490">
        <v>0</v>
      </c>
      <c r="E490" t="s">
        <v>14</v>
      </c>
      <c r="F490" t="s">
        <v>16</v>
      </c>
      <c r="G490">
        <v>52.55</v>
      </c>
      <c r="H490" t="s">
        <v>514</v>
      </c>
      <c r="I490" t="s">
        <v>15</v>
      </c>
      <c r="J490" t="s">
        <v>16</v>
      </c>
      <c r="K490" t="s">
        <v>24</v>
      </c>
      <c r="L490">
        <v>0</v>
      </c>
      <c r="M490" t="s">
        <v>5030</v>
      </c>
      <c r="N490" t="s">
        <v>5034</v>
      </c>
    </row>
    <row r="491" spans="1:14" x14ac:dyDescent="0.3">
      <c r="A491" t="s">
        <v>515</v>
      </c>
      <c r="B491" t="s">
        <v>19</v>
      </c>
      <c r="C491" t="s">
        <v>13</v>
      </c>
      <c r="D491">
        <v>1</v>
      </c>
      <c r="E491" t="s">
        <v>26</v>
      </c>
      <c r="F491" t="s">
        <v>15</v>
      </c>
      <c r="G491">
        <v>74.349999999999994</v>
      </c>
      <c r="H491">
        <v>74.349999999999994</v>
      </c>
      <c r="I491" t="s">
        <v>16</v>
      </c>
      <c r="J491" t="s">
        <v>16</v>
      </c>
      <c r="K491" t="s">
        <v>17</v>
      </c>
      <c r="L491">
        <v>74.349999999999994</v>
      </c>
      <c r="M491" t="s">
        <v>5030</v>
      </c>
      <c r="N491" t="s">
        <v>5031</v>
      </c>
    </row>
    <row r="492" spans="1:14" x14ac:dyDescent="0.3">
      <c r="A492" t="s">
        <v>516</v>
      </c>
      <c r="B492" t="s">
        <v>19</v>
      </c>
      <c r="C492" t="s">
        <v>35</v>
      </c>
      <c r="D492">
        <v>63</v>
      </c>
      <c r="E492" t="s">
        <v>26</v>
      </c>
      <c r="F492" t="s">
        <v>15</v>
      </c>
      <c r="G492">
        <v>104.8</v>
      </c>
      <c r="H492">
        <v>6597.25</v>
      </c>
      <c r="I492" t="s">
        <v>15</v>
      </c>
      <c r="J492" t="s">
        <v>16</v>
      </c>
      <c r="K492" t="s">
        <v>24</v>
      </c>
      <c r="L492">
        <v>6597.25</v>
      </c>
      <c r="M492" t="s">
        <v>5033</v>
      </c>
      <c r="N492" t="s">
        <v>5034</v>
      </c>
    </row>
    <row r="493" spans="1:14" x14ac:dyDescent="0.3">
      <c r="A493" t="s">
        <v>517</v>
      </c>
      <c r="B493" t="s">
        <v>12</v>
      </c>
      <c r="C493" t="s">
        <v>13</v>
      </c>
      <c r="D493">
        <v>2</v>
      </c>
      <c r="E493" t="s">
        <v>14</v>
      </c>
      <c r="F493" t="s">
        <v>15</v>
      </c>
      <c r="G493">
        <v>59</v>
      </c>
      <c r="H493">
        <v>114.15</v>
      </c>
      <c r="I493" t="s">
        <v>15</v>
      </c>
      <c r="J493" t="s">
        <v>16</v>
      </c>
      <c r="K493" t="s">
        <v>17</v>
      </c>
      <c r="L493">
        <v>114.15</v>
      </c>
      <c r="M493" t="s">
        <v>5030</v>
      </c>
      <c r="N493" t="s">
        <v>5031</v>
      </c>
    </row>
    <row r="494" spans="1:14" x14ac:dyDescent="0.3">
      <c r="A494" t="s">
        <v>518</v>
      </c>
      <c r="B494" t="s">
        <v>12</v>
      </c>
      <c r="C494" t="s">
        <v>13</v>
      </c>
      <c r="D494">
        <v>2</v>
      </c>
      <c r="E494" t="s">
        <v>26</v>
      </c>
      <c r="F494" t="s">
        <v>15</v>
      </c>
      <c r="G494">
        <v>74.400000000000006</v>
      </c>
      <c r="H494">
        <v>139.4</v>
      </c>
      <c r="I494" t="s">
        <v>16</v>
      </c>
      <c r="J494" t="s">
        <v>16</v>
      </c>
      <c r="K494" t="s">
        <v>17</v>
      </c>
      <c r="L494">
        <v>139.4</v>
      </c>
      <c r="M494" t="s">
        <v>5030</v>
      </c>
      <c r="N494" t="s">
        <v>5031</v>
      </c>
    </row>
    <row r="495" spans="1:14" x14ac:dyDescent="0.3">
      <c r="A495" t="s">
        <v>519</v>
      </c>
      <c r="B495" t="s">
        <v>19</v>
      </c>
      <c r="C495" t="s">
        <v>20</v>
      </c>
      <c r="D495">
        <v>61</v>
      </c>
      <c r="E495" t="s">
        <v>14</v>
      </c>
      <c r="F495" t="s">
        <v>15</v>
      </c>
      <c r="G495">
        <v>64.05</v>
      </c>
      <c r="H495">
        <v>3902.6</v>
      </c>
      <c r="I495" t="s">
        <v>15</v>
      </c>
      <c r="J495" t="s">
        <v>15</v>
      </c>
      <c r="K495" t="s">
        <v>24</v>
      </c>
      <c r="L495">
        <v>3902.6</v>
      </c>
      <c r="M495" t="s">
        <v>5033</v>
      </c>
      <c r="N495" t="s">
        <v>5034</v>
      </c>
    </row>
    <row r="496" spans="1:14" x14ac:dyDescent="0.3">
      <c r="A496" t="s">
        <v>520</v>
      </c>
      <c r="B496" t="s">
        <v>19</v>
      </c>
      <c r="C496" t="s">
        <v>13</v>
      </c>
      <c r="D496">
        <v>1</v>
      </c>
      <c r="E496" t="s">
        <v>15</v>
      </c>
      <c r="F496" t="s">
        <v>36</v>
      </c>
      <c r="G496">
        <v>20.399999999999999</v>
      </c>
      <c r="H496">
        <v>20.399999999999999</v>
      </c>
      <c r="I496" t="s">
        <v>15</v>
      </c>
      <c r="J496" t="s">
        <v>15</v>
      </c>
      <c r="K496" t="s">
        <v>21</v>
      </c>
      <c r="L496">
        <v>20.399999999999999</v>
      </c>
      <c r="M496" t="s">
        <v>5030</v>
      </c>
      <c r="N496" t="s">
        <v>5031</v>
      </c>
    </row>
    <row r="497" spans="1:14" x14ac:dyDescent="0.3">
      <c r="A497" t="s">
        <v>521</v>
      </c>
      <c r="B497" t="s">
        <v>19</v>
      </c>
      <c r="C497" t="s">
        <v>20</v>
      </c>
      <c r="D497">
        <v>22</v>
      </c>
      <c r="E497" t="s">
        <v>14</v>
      </c>
      <c r="F497" t="s">
        <v>15</v>
      </c>
      <c r="G497">
        <v>43.75</v>
      </c>
      <c r="H497">
        <v>903.6</v>
      </c>
      <c r="I497" t="s">
        <v>16</v>
      </c>
      <c r="J497" t="s">
        <v>16</v>
      </c>
      <c r="K497" t="s">
        <v>24</v>
      </c>
      <c r="L497">
        <v>903.6</v>
      </c>
      <c r="M497" t="s">
        <v>5032</v>
      </c>
      <c r="N497" t="s">
        <v>5031</v>
      </c>
    </row>
    <row r="498" spans="1:14" x14ac:dyDescent="0.3">
      <c r="A498" t="s">
        <v>522</v>
      </c>
      <c r="B498" t="s">
        <v>19</v>
      </c>
      <c r="C498" t="s">
        <v>13</v>
      </c>
      <c r="D498">
        <v>28</v>
      </c>
      <c r="E498" t="s">
        <v>14</v>
      </c>
      <c r="F498" t="s">
        <v>16</v>
      </c>
      <c r="G498">
        <v>60.9</v>
      </c>
      <c r="H498">
        <v>1785.65</v>
      </c>
      <c r="I498" t="s">
        <v>15</v>
      </c>
      <c r="J498" t="s">
        <v>15</v>
      </c>
      <c r="K498" t="s">
        <v>21</v>
      </c>
      <c r="L498">
        <v>1785.65</v>
      </c>
      <c r="M498" t="s">
        <v>5032</v>
      </c>
      <c r="N498" t="s">
        <v>5031</v>
      </c>
    </row>
    <row r="499" spans="1:14" x14ac:dyDescent="0.3">
      <c r="A499" t="s">
        <v>523</v>
      </c>
      <c r="B499" t="s">
        <v>12</v>
      </c>
      <c r="C499" t="s">
        <v>35</v>
      </c>
      <c r="D499">
        <v>70</v>
      </c>
      <c r="E499" t="s">
        <v>15</v>
      </c>
      <c r="F499" t="s">
        <v>36</v>
      </c>
      <c r="G499">
        <v>19.8</v>
      </c>
      <c r="H499">
        <v>1397.65</v>
      </c>
      <c r="I499" t="s">
        <v>15</v>
      </c>
      <c r="J499" t="s">
        <v>15</v>
      </c>
      <c r="K499" t="s">
        <v>24</v>
      </c>
      <c r="L499">
        <v>1397.65</v>
      </c>
      <c r="M499" t="s">
        <v>5033</v>
      </c>
      <c r="N499" t="s">
        <v>5031</v>
      </c>
    </row>
    <row r="500" spans="1:14" x14ac:dyDescent="0.3">
      <c r="A500" t="s">
        <v>524</v>
      </c>
      <c r="B500" t="s">
        <v>12</v>
      </c>
      <c r="C500" t="s">
        <v>13</v>
      </c>
      <c r="D500">
        <v>5</v>
      </c>
      <c r="E500" t="s">
        <v>14</v>
      </c>
      <c r="F500" t="s">
        <v>15</v>
      </c>
      <c r="G500">
        <v>28.45</v>
      </c>
      <c r="H500">
        <v>131.05000000000001</v>
      </c>
      <c r="I500" t="s">
        <v>16</v>
      </c>
      <c r="J500" t="s">
        <v>15</v>
      </c>
      <c r="K500" t="s">
        <v>17</v>
      </c>
      <c r="L500">
        <v>131.05000000000001</v>
      </c>
      <c r="M500" t="s">
        <v>5030</v>
      </c>
      <c r="N500" t="s">
        <v>5031</v>
      </c>
    </row>
    <row r="501" spans="1:14" x14ac:dyDescent="0.3">
      <c r="A501" t="s">
        <v>525</v>
      </c>
      <c r="B501" t="s">
        <v>12</v>
      </c>
      <c r="C501" t="s">
        <v>13</v>
      </c>
      <c r="D501">
        <v>12</v>
      </c>
      <c r="E501" t="s">
        <v>26</v>
      </c>
      <c r="F501" t="s">
        <v>15</v>
      </c>
      <c r="G501">
        <v>99.7</v>
      </c>
      <c r="H501">
        <v>1238.45</v>
      </c>
      <c r="I501" t="s">
        <v>16</v>
      </c>
      <c r="J501" t="s">
        <v>16</v>
      </c>
      <c r="K501" t="s">
        <v>24</v>
      </c>
      <c r="L501">
        <v>1238.45</v>
      </c>
      <c r="M501" t="s">
        <v>5030</v>
      </c>
      <c r="N501" t="s">
        <v>5031</v>
      </c>
    </row>
    <row r="502" spans="1:14" x14ac:dyDescent="0.3">
      <c r="A502" t="s">
        <v>526</v>
      </c>
      <c r="B502" t="s">
        <v>19</v>
      </c>
      <c r="C502" t="s">
        <v>20</v>
      </c>
      <c r="D502">
        <v>34</v>
      </c>
      <c r="E502" t="s">
        <v>26</v>
      </c>
      <c r="F502" t="s">
        <v>16</v>
      </c>
      <c r="G502">
        <v>116.25</v>
      </c>
      <c r="H502">
        <v>3899.05</v>
      </c>
      <c r="I502" t="s">
        <v>15</v>
      </c>
      <c r="J502" t="s">
        <v>15</v>
      </c>
      <c r="K502" t="s">
        <v>29</v>
      </c>
      <c r="L502">
        <v>3899.05</v>
      </c>
      <c r="M502" t="s">
        <v>5032</v>
      </c>
      <c r="N502" t="s">
        <v>5034</v>
      </c>
    </row>
    <row r="503" spans="1:14" x14ac:dyDescent="0.3">
      <c r="A503" t="s">
        <v>527</v>
      </c>
      <c r="B503" t="s">
        <v>12</v>
      </c>
      <c r="C503" t="s">
        <v>35</v>
      </c>
      <c r="D503">
        <v>71</v>
      </c>
      <c r="E503" t="s">
        <v>26</v>
      </c>
      <c r="F503" t="s">
        <v>15</v>
      </c>
      <c r="G503">
        <v>80.7</v>
      </c>
      <c r="H503">
        <v>5676</v>
      </c>
      <c r="I503" t="s">
        <v>15</v>
      </c>
      <c r="J503" t="s">
        <v>16</v>
      </c>
      <c r="K503" t="s">
        <v>29</v>
      </c>
      <c r="L503">
        <v>5676</v>
      </c>
      <c r="M503" t="s">
        <v>5033</v>
      </c>
      <c r="N503" t="s">
        <v>5034</v>
      </c>
    </row>
    <row r="504" spans="1:14" x14ac:dyDescent="0.3">
      <c r="A504" t="s">
        <v>528</v>
      </c>
      <c r="B504" t="s">
        <v>12</v>
      </c>
      <c r="C504" t="s">
        <v>20</v>
      </c>
      <c r="D504">
        <v>70</v>
      </c>
      <c r="E504" t="s">
        <v>14</v>
      </c>
      <c r="F504" t="s">
        <v>15</v>
      </c>
      <c r="G504">
        <v>65.2</v>
      </c>
      <c r="H504">
        <v>4543.1499999999996</v>
      </c>
      <c r="I504" t="s">
        <v>15</v>
      </c>
      <c r="J504" t="s">
        <v>15</v>
      </c>
      <c r="K504" t="s">
        <v>24</v>
      </c>
      <c r="L504">
        <v>4543.1499999999996</v>
      </c>
      <c r="M504" t="s">
        <v>5033</v>
      </c>
      <c r="N504" t="s">
        <v>5034</v>
      </c>
    </row>
    <row r="505" spans="1:14" x14ac:dyDescent="0.3">
      <c r="A505" t="s">
        <v>529</v>
      </c>
      <c r="B505" t="s">
        <v>12</v>
      </c>
      <c r="C505" t="s">
        <v>13</v>
      </c>
      <c r="D505">
        <v>52</v>
      </c>
      <c r="E505" t="s">
        <v>26</v>
      </c>
      <c r="F505" t="s">
        <v>16</v>
      </c>
      <c r="G505">
        <v>84.05</v>
      </c>
      <c r="H505">
        <v>4326.8</v>
      </c>
      <c r="I505" t="s">
        <v>15</v>
      </c>
      <c r="J505" t="s">
        <v>16</v>
      </c>
      <c r="K505" t="s">
        <v>24</v>
      </c>
      <c r="L505">
        <v>4326.8</v>
      </c>
      <c r="M505" t="s">
        <v>5033</v>
      </c>
      <c r="N505" t="s">
        <v>5034</v>
      </c>
    </row>
    <row r="506" spans="1:14" x14ac:dyDescent="0.3">
      <c r="A506" t="s">
        <v>530</v>
      </c>
      <c r="B506" t="s">
        <v>19</v>
      </c>
      <c r="C506" t="s">
        <v>35</v>
      </c>
      <c r="D506">
        <v>69</v>
      </c>
      <c r="E506" t="s">
        <v>14</v>
      </c>
      <c r="F506" t="s">
        <v>16</v>
      </c>
      <c r="G506">
        <v>79.45</v>
      </c>
      <c r="H506">
        <v>5502.55</v>
      </c>
      <c r="I506" t="s">
        <v>15</v>
      </c>
      <c r="J506" t="s">
        <v>16</v>
      </c>
      <c r="K506" t="s">
        <v>29</v>
      </c>
      <c r="L506">
        <v>5502.55</v>
      </c>
      <c r="M506" t="s">
        <v>5033</v>
      </c>
      <c r="N506" t="s">
        <v>5034</v>
      </c>
    </row>
    <row r="507" spans="1:14" x14ac:dyDescent="0.3">
      <c r="A507" t="s">
        <v>531</v>
      </c>
      <c r="B507" t="s">
        <v>12</v>
      </c>
      <c r="C507" t="s">
        <v>13</v>
      </c>
      <c r="D507">
        <v>20</v>
      </c>
      <c r="E507" t="s">
        <v>26</v>
      </c>
      <c r="F507" t="s">
        <v>15</v>
      </c>
      <c r="G507">
        <v>94.1</v>
      </c>
      <c r="H507">
        <v>1782.4</v>
      </c>
      <c r="I507" t="s">
        <v>16</v>
      </c>
      <c r="J507" t="s">
        <v>16</v>
      </c>
      <c r="K507" t="s">
        <v>17</v>
      </c>
      <c r="L507">
        <v>1782.4</v>
      </c>
      <c r="M507" t="s">
        <v>5032</v>
      </c>
      <c r="N507" t="s">
        <v>5031</v>
      </c>
    </row>
    <row r="508" spans="1:14" x14ac:dyDescent="0.3">
      <c r="A508" t="s">
        <v>532</v>
      </c>
      <c r="B508" t="s">
        <v>19</v>
      </c>
      <c r="C508" t="s">
        <v>13</v>
      </c>
      <c r="D508">
        <v>11</v>
      </c>
      <c r="E508" t="s">
        <v>26</v>
      </c>
      <c r="F508" t="s">
        <v>15</v>
      </c>
      <c r="G508">
        <v>78</v>
      </c>
      <c r="H508">
        <v>851.8</v>
      </c>
      <c r="I508" t="s">
        <v>15</v>
      </c>
      <c r="J508" t="s">
        <v>16</v>
      </c>
      <c r="K508" t="s">
        <v>21</v>
      </c>
      <c r="L508">
        <v>851.8</v>
      </c>
      <c r="M508" t="s">
        <v>5030</v>
      </c>
      <c r="N508" t="s">
        <v>5031</v>
      </c>
    </row>
    <row r="509" spans="1:14" x14ac:dyDescent="0.3">
      <c r="A509" t="s">
        <v>533</v>
      </c>
      <c r="B509" t="s">
        <v>19</v>
      </c>
      <c r="C509" t="s">
        <v>13</v>
      </c>
      <c r="D509">
        <v>2</v>
      </c>
      <c r="E509" t="s">
        <v>26</v>
      </c>
      <c r="F509" t="s">
        <v>16</v>
      </c>
      <c r="G509">
        <v>94.2</v>
      </c>
      <c r="H509">
        <v>167.5</v>
      </c>
      <c r="I509" t="s">
        <v>16</v>
      </c>
      <c r="J509" t="s">
        <v>16</v>
      </c>
      <c r="K509" t="s">
        <v>17</v>
      </c>
      <c r="L509">
        <v>167.5</v>
      </c>
      <c r="M509" t="s">
        <v>5030</v>
      </c>
      <c r="N509" t="s">
        <v>5031</v>
      </c>
    </row>
    <row r="510" spans="1:14" x14ac:dyDescent="0.3">
      <c r="A510" t="s">
        <v>534</v>
      </c>
      <c r="B510" t="s">
        <v>12</v>
      </c>
      <c r="C510" t="s">
        <v>13</v>
      </c>
      <c r="D510">
        <v>6</v>
      </c>
      <c r="E510" t="s">
        <v>26</v>
      </c>
      <c r="F510" t="s">
        <v>16</v>
      </c>
      <c r="G510">
        <v>80.5</v>
      </c>
      <c r="H510">
        <v>502.85</v>
      </c>
      <c r="I510" t="s">
        <v>16</v>
      </c>
      <c r="J510" t="s">
        <v>16</v>
      </c>
      <c r="K510" t="s">
        <v>17</v>
      </c>
      <c r="L510">
        <v>502.85</v>
      </c>
      <c r="M510" t="s">
        <v>5030</v>
      </c>
      <c r="N510" t="s">
        <v>5031</v>
      </c>
    </row>
    <row r="511" spans="1:14" x14ac:dyDescent="0.3">
      <c r="A511" t="s">
        <v>535</v>
      </c>
      <c r="B511" t="s">
        <v>12</v>
      </c>
      <c r="C511" t="s">
        <v>13</v>
      </c>
      <c r="D511">
        <v>1</v>
      </c>
      <c r="E511" t="s">
        <v>15</v>
      </c>
      <c r="F511" t="s">
        <v>36</v>
      </c>
      <c r="G511">
        <v>19.850000000000001</v>
      </c>
      <c r="H511">
        <v>19.850000000000001</v>
      </c>
      <c r="I511" t="s">
        <v>15</v>
      </c>
      <c r="J511" t="s">
        <v>15</v>
      </c>
      <c r="K511" t="s">
        <v>21</v>
      </c>
      <c r="L511">
        <v>19.850000000000001</v>
      </c>
      <c r="M511" t="s">
        <v>5030</v>
      </c>
      <c r="N511" t="s">
        <v>5031</v>
      </c>
    </row>
    <row r="512" spans="1:14" x14ac:dyDescent="0.3">
      <c r="A512" t="s">
        <v>536</v>
      </c>
      <c r="B512" t="s">
        <v>19</v>
      </c>
      <c r="C512" t="s">
        <v>20</v>
      </c>
      <c r="D512">
        <v>20</v>
      </c>
      <c r="E512" t="s">
        <v>26</v>
      </c>
      <c r="F512" t="s">
        <v>16</v>
      </c>
      <c r="G512">
        <v>94.3</v>
      </c>
      <c r="H512">
        <v>1818.3</v>
      </c>
      <c r="I512" t="s">
        <v>15</v>
      </c>
      <c r="J512" t="s">
        <v>15</v>
      </c>
      <c r="K512" t="s">
        <v>29</v>
      </c>
      <c r="L512">
        <v>1818.3</v>
      </c>
      <c r="M512" t="s">
        <v>5032</v>
      </c>
      <c r="N512" t="s">
        <v>5031</v>
      </c>
    </row>
    <row r="513" spans="1:14" x14ac:dyDescent="0.3">
      <c r="A513" t="s">
        <v>537</v>
      </c>
      <c r="B513" t="s">
        <v>19</v>
      </c>
      <c r="C513" t="s">
        <v>13</v>
      </c>
      <c r="D513">
        <v>61</v>
      </c>
      <c r="E513" t="s">
        <v>26</v>
      </c>
      <c r="F513" t="s">
        <v>15</v>
      </c>
      <c r="G513">
        <v>106.45</v>
      </c>
      <c r="H513">
        <v>6300.15</v>
      </c>
      <c r="I513" t="s">
        <v>15</v>
      </c>
      <c r="J513" t="s">
        <v>16</v>
      </c>
      <c r="K513" t="s">
        <v>17</v>
      </c>
      <c r="L513">
        <v>6300.15</v>
      </c>
      <c r="M513" t="s">
        <v>5033</v>
      </c>
      <c r="N513" t="s">
        <v>5034</v>
      </c>
    </row>
    <row r="514" spans="1:14" x14ac:dyDescent="0.3">
      <c r="A514" t="s">
        <v>538</v>
      </c>
      <c r="B514" t="s">
        <v>12</v>
      </c>
      <c r="C514" t="s">
        <v>13</v>
      </c>
      <c r="D514">
        <v>5</v>
      </c>
      <c r="E514" t="s">
        <v>26</v>
      </c>
      <c r="F514" t="s">
        <v>15</v>
      </c>
      <c r="G514">
        <v>74.349999999999994</v>
      </c>
      <c r="H514">
        <v>334.8</v>
      </c>
      <c r="I514" t="s">
        <v>16</v>
      </c>
      <c r="J514" t="s">
        <v>16</v>
      </c>
      <c r="K514" t="s">
        <v>17</v>
      </c>
      <c r="L514">
        <v>334.8</v>
      </c>
      <c r="M514" t="s">
        <v>5030</v>
      </c>
      <c r="N514" t="s">
        <v>5031</v>
      </c>
    </row>
    <row r="515" spans="1:14" x14ac:dyDescent="0.3">
      <c r="A515" t="s">
        <v>539</v>
      </c>
      <c r="B515" t="s">
        <v>12</v>
      </c>
      <c r="C515" t="s">
        <v>13</v>
      </c>
      <c r="D515">
        <v>56</v>
      </c>
      <c r="E515" t="s">
        <v>26</v>
      </c>
      <c r="F515" t="s">
        <v>16</v>
      </c>
      <c r="G515">
        <v>105.45</v>
      </c>
      <c r="H515">
        <v>5916.95</v>
      </c>
      <c r="I515" t="s">
        <v>15</v>
      </c>
      <c r="J515" t="s">
        <v>16</v>
      </c>
      <c r="K515" t="s">
        <v>24</v>
      </c>
      <c r="L515">
        <v>5916.95</v>
      </c>
      <c r="M515" t="s">
        <v>5033</v>
      </c>
      <c r="N515" t="s">
        <v>5034</v>
      </c>
    </row>
    <row r="516" spans="1:14" x14ac:dyDescent="0.3">
      <c r="A516" t="s">
        <v>540</v>
      </c>
      <c r="B516" t="s">
        <v>19</v>
      </c>
      <c r="C516" t="s">
        <v>13</v>
      </c>
      <c r="D516">
        <v>30</v>
      </c>
      <c r="E516" t="s">
        <v>26</v>
      </c>
      <c r="F516" t="s">
        <v>16</v>
      </c>
      <c r="G516">
        <v>95</v>
      </c>
      <c r="H516">
        <v>2852.4</v>
      </c>
      <c r="I516" t="s">
        <v>15</v>
      </c>
      <c r="J516" t="s">
        <v>16</v>
      </c>
      <c r="K516" t="s">
        <v>29</v>
      </c>
      <c r="L516">
        <v>2852.4</v>
      </c>
      <c r="M516" t="s">
        <v>5032</v>
      </c>
      <c r="N516" t="s">
        <v>5034</v>
      </c>
    </row>
    <row r="517" spans="1:14" x14ac:dyDescent="0.3">
      <c r="A517" t="s">
        <v>541</v>
      </c>
      <c r="B517" t="s">
        <v>19</v>
      </c>
      <c r="C517" t="s">
        <v>13</v>
      </c>
      <c r="D517">
        <v>40</v>
      </c>
      <c r="E517" t="s">
        <v>26</v>
      </c>
      <c r="F517" t="s">
        <v>16</v>
      </c>
      <c r="G517">
        <v>104.8</v>
      </c>
      <c r="H517">
        <v>4131.95</v>
      </c>
      <c r="I517" t="s">
        <v>16</v>
      </c>
      <c r="J517" t="s">
        <v>15</v>
      </c>
      <c r="K517" t="s">
        <v>24</v>
      </c>
      <c r="L517">
        <v>4131.95</v>
      </c>
      <c r="M517" t="s">
        <v>5033</v>
      </c>
      <c r="N517" t="s">
        <v>5034</v>
      </c>
    </row>
    <row r="518" spans="1:14" x14ac:dyDescent="0.3">
      <c r="A518" t="s">
        <v>542</v>
      </c>
      <c r="B518" t="s">
        <v>12</v>
      </c>
      <c r="C518" t="s">
        <v>20</v>
      </c>
      <c r="D518">
        <v>28</v>
      </c>
      <c r="E518" t="s">
        <v>14</v>
      </c>
      <c r="F518" t="s">
        <v>16</v>
      </c>
      <c r="G518">
        <v>54.3</v>
      </c>
      <c r="H518">
        <v>1546.3</v>
      </c>
      <c r="I518" t="s">
        <v>15</v>
      </c>
      <c r="J518" t="s">
        <v>15</v>
      </c>
      <c r="K518" t="s">
        <v>21</v>
      </c>
      <c r="L518">
        <v>1546.3</v>
      </c>
      <c r="M518" t="s">
        <v>5032</v>
      </c>
      <c r="N518" t="s">
        <v>5031</v>
      </c>
    </row>
    <row r="519" spans="1:14" x14ac:dyDescent="0.3">
      <c r="A519" t="s">
        <v>543</v>
      </c>
      <c r="B519" t="s">
        <v>12</v>
      </c>
      <c r="C519" t="s">
        <v>13</v>
      </c>
      <c r="D519">
        <v>5</v>
      </c>
      <c r="E519" t="s">
        <v>26</v>
      </c>
      <c r="F519" t="s">
        <v>15</v>
      </c>
      <c r="G519">
        <v>70.05</v>
      </c>
      <c r="H519">
        <v>302.60000000000002</v>
      </c>
      <c r="I519" t="s">
        <v>15</v>
      </c>
      <c r="J519" t="s">
        <v>15</v>
      </c>
      <c r="K519" t="s">
        <v>17</v>
      </c>
      <c r="L519">
        <v>302.60000000000002</v>
      </c>
      <c r="M519" t="s">
        <v>5030</v>
      </c>
      <c r="N519" t="s">
        <v>5031</v>
      </c>
    </row>
    <row r="520" spans="1:14" x14ac:dyDescent="0.3">
      <c r="A520" t="s">
        <v>544</v>
      </c>
      <c r="B520" t="s">
        <v>12</v>
      </c>
      <c r="C520" t="s">
        <v>13</v>
      </c>
      <c r="D520">
        <v>27</v>
      </c>
      <c r="E520" t="s">
        <v>26</v>
      </c>
      <c r="F520" t="s">
        <v>15</v>
      </c>
      <c r="G520">
        <v>75.2</v>
      </c>
      <c r="H520">
        <v>1929.35</v>
      </c>
      <c r="I520" t="s">
        <v>16</v>
      </c>
      <c r="J520" t="s">
        <v>16</v>
      </c>
      <c r="K520" t="s">
        <v>24</v>
      </c>
      <c r="L520">
        <v>1929.35</v>
      </c>
      <c r="M520" t="s">
        <v>5032</v>
      </c>
      <c r="N520" t="s">
        <v>5031</v>
      </c>
    </row>
    <row r="521" spans="1:14" x14ac:dyDescent="0.3">
      <c r="A521" t="s">
        <v>545</v>
      </c>
      <c r="B521" t="s">
        <v>19</v>
      </c>
      <c r="C521" t="s">
        <v>13</v>
      </c>
      <c r="D521">
        <v>12</v>
      </c>
      <c r="E521" t="s">
        <v>15</v>
      </c>
      <c r="F521" t="s">
        <v>36</v>
      </c>
      <c r="G521">
        <v>20.05</v>
      </c>
      <c r="H521">
        <v>265.45</v>
      </c>
      <c r="I521" t="s">
        <v>15</v>
      </c>
      <c r="J521" t="s">
        <v>15</v>
      </c>
      <c r="K521" t="s">
        <v>29</v>
      </c>
      <c r="L521">
        <v>265.45</v>
      </c>
      <c r="M521" t="s">
        <v>5030</v>
      </c>
      <c r="N521" t="s">
        <v>5031</v>
      </c>
    </row>
    <row r="522" spans="1:14" x14ac:dyDescent="0.3">
      <c r="A522" t="s">
        <v>546</v>
      </c>
      <c r="B522" t="s">
        <v>19</v>
      </c>
      <c r="C522" t="s">
        <v>20</v>
      </c>
      <c r="D522">
        <v>67</v>
      </c>
      <c r="E522" t="s">
        <v>26</v>
      </c>
      <c r="F522" t="s">
        <v>15</v>
      </c>
      <c r="G522">
        <v>105.4</v>
      </c>
      <c r="H522">
        <v>6989.45</v>
      </c>
      <c r="I522" t="s">
        <v>15</v>
      </c>
      <c r="J522" t="s">
        <v>16</v>
      </c>
      <c r="K522" t="s">
        <v>17</v>
      </c>
      <c r="L522">
        <v>6989.45</v>
      </c>
      <c r="M522" t="s">
        <v>5033</v>
      </c>
      <c r="N522" t="s">
        <v>5034</v>
      </c>
    </row>
    <row r="523" spans="1:14" x14ac:dyDescent="0.3">
      <c r="A523" t="s">
        <v>547</v>
      </c>
      <c r="B523" t="s">
        <v>19</v>
      </c>
      <c r="C523" t="s">
        <v>13</v>
      </c>
      <c r="D523">
        <v>29</v>
      </c>
      <c r="E523" t="s">
        <v>14</v>
      </c>
      <c r="F523" t="s">
        <v>15</v>
      </c>
      <c r="G523">
        <v>51.6</v>
      </c>
      <c r="H523">
        <v>1442</v>
      </c>
      <c r="I523" t="s">
        <v>15</v>
      </c>
      <c r="J523" t="s">
        <v>16</v>
      </c>
      <c r="K523" t="s">
        <v>17</v>
      </c>
      <c r="L523">
        <v>1442</v>
      </c>
      <c r="M523" t="s">
        <v>5032</v>
      </c>
      <c r="N523" t="s">
        <v>5031</v>
      </c>
    </row>
    <row r="524" spans="1:14" x14ac:dyDescent="0.3">
      <c r="A524" t="s">
        <v>548</v>
      </c>
      <c r="B524" t="s">
        <v>19</v>
      </c>
      <c r="C524" t="s">
        <v>13</v>
      </c>
      <c r="D524">
        <v>55</v>
      </c>
      <c r="E524" t="s">
        <v>26</v>
      </c>
      <c r="F524" t="s">
        <v>15</v>
      </c>
      <c r="G524">
        <v>85.5</v>
      </c>
      <c r="H524">
        <v>4713.3999999999996</v>
      </c>
      <c r="I524" t="s">
        <v>15</v>
      </c>
      <c r="J524" t="s">
        <v>15</v>
      </c>
      <c r="K524" t="s">
        <v>24</v>
      </c>
      <c r="L524">
        <v>4713.3999999999996</v>
      </c>
      <c r="M524" t="s">
        <v>5033</v>
      </c>
      <c r="N524" t="s">
        <v>5034</v>
      </c>
    </row>
    <row r="525" spans="1:14" x14ac:dyDescent="0.3">
      <c r="A525" t="s">
        <v>549</v>
      </c>
      <c r="B525" t="s">
        <v>12</v>
      </c>
      <c r="C525" t="s">
        <v>13</v>
      </c>
      <c r="D525">
        <v>23</v>
      </c>
      <c r="E525" t="s">
        <v>26</v>
      </c>
      <c r="F525" t="s">
        <v>15</v>
      </c>
      <c r="G525">
        <v>75.599999999999994</v>
      </c>
      <c r="H525">
        <v>1758.6</v>
      </c>
      <c r="I525" t="s">
        <v>16</v>
      </c>
      <c r="J525" t="s">
        <v>15</v>
      </c>
      <c r="K525" t="s">
        <v>24</v>
      </c>
      <c r="L525">
        <v>1758.6</v>
      </c>
      <c r="M525" t="s">
        <v>5032</v>
      </c>
      <c r="N525" t="s">
        <v>5031</v>
      </c>
    </row>
    <row r="526" spans="1:14" x14ac:dyDescent="0.3">
      <c r="A526" t="s">
        <v>550</v>
      </c>
      <c r="B526" t="s">
        <v>19</v>
      </c>
      <c r="C526" t="s">
        <v>13</v>
      </c>
      <c r="D526">
        <v>34</v>
      </c>
      <c r="E526" t="s">
        <v>26</v>
      </c>
      <c r="F526" t="s">
        <v>15</v>
      </c>
      <c r="G526">
        <v>100.05</v>
      </c>
      <c r="H526">
        <v>3480</v>
      </c>
      <c r="I526" t="s">
        <v>16</v>
      </c>
      <c r="J526" t="s">
        <v>16</v>
      </c>
      <c r="K526" t="s">
        <v>17</v>
      </c>
      <c r="L526">
        <v>3480</v>
      </c>
      <c r="M526" t="s">
        <v>5032</v>
      </c>
      <c r="N526" t="s">
        <v>5034</v>
      </c>
    </row>
    <row r="527" spans="1:14" x14ac:dyDescent="0.3">
      <c r="A527" t="s">
        <v>551</v>
      </c>
      <c r="B527" t="s">
        <v>19</v>
      </c>
      <c r="C527" t="s">
        <v>20</v>
      </c>
      <c r="D527">
        <v>52</v>
      </c>
      <c r="E527" t="s">
        <v>26</v>
      </c>
      <c r="F527" t="s">
        <v>15</v>
      </c>
      <c r="G527">
        <v>91.25</v>
      </c>
      <c r="H527">
        <v>4738.3</v>
      </c>
      <c r="I527" t="s">
        <v>15</v>
      </c>
      <c r="J527" t="s">
        <v>15</v>
      </c>
      <c r="K527" t="s">
        <v>17</v>
      </c>
      <c r="L527">
        <v>4738.3</v>
      </c>
      <c r="M527" t="s">
        <v>5033</v>
      </c>
      <c r="N527" t="s">
        <v>5034</v>
      </c>
    </row>
    <row r="528" spans="1:14" x14ac:dyDescent="0.3">
      <c r="A528" t="s">
        <v>552</v>
      </c>
      <c r="B528" t="s">
        <v>19</v>
      </c>
      <c r="C528" t="s">
        <v>35</v>
      </c>
      <c r="D528">
        <v>72</v>
      </c>
      <c r="E528" t="s">
        <v>26</v>
      </c>
      <c r="F528" t="s">
        <v>16</v>
      </c>
      <c r="G528">
        <v>115.75</v>
      </c>
      <c r="H528">
        <v>8399.15</v>
      </c>
      <c r="I528" t="s">
        <v>15</v>
      </c>
      <c r="J528" t="s">
        <v>16</v>
      </c>
      <c r="K528" t="s">
        <v>29</v>
      </c>
      <c r="L528">
        <v>8399.15</v>
      </c>
      <c r="M528" t="s">
        <v>5033</v>
      </c>
      <c r="N528" t="s">
        <v>5034</v>
      </c>
    </row>
    <row r="529" spans="1:14" x14ac:dyDescent="0.3">
      <c r="A529" t="s">
        <v>553</v>
      </c>
      <c r="B529" t="s">
        <v>19</v>
      </c>
      <c r="C529" t="s">
        <v>20</v>
      </c>
      <c r="D529">
        <v>58</v>
      </c>
      <c r="E529" t="s">
        <v>26</v>
      </c>
      <c r="F529" t="s">
        <v>16</v>
      </c>
      <c r="G529">
        <v>94.7</v>
      </c>
      <c r="H529">
        <v>5430.35</v>
      </c>
      <c r="I529" t="s">
        <v>15</v>
      </c>
      <c r="J529" t="s">
        <v>16</v>
      </c>
      <c r="K529" t="s">
        <v>29</v>
      </c>
      <c r="L529">
        <v>5430.35</v>
      </c>
      <c r="M529" t="s">
        <v>5033</v>
      </c>
      <c r="N529" t="s">
        <v>5034</v>
      </c>
    </row>
    <row r="530" spans="1:14" x14ac:dyDescent="0.3">
      <c r="A530" t="s">
        <v>554</v>
      </c>
      <c r="B530" t="s">
        <v>19</v>
      </c>
      <c r="C530" t="s">
        <v>35</v>
      </c>
      <c r="D530">
        <v>35</v>
      </c>
      <c r="E530" t="s">
        <v>15</v>
      </c>
      <c r="F530" t="s">
        <v>36</v>
      </c>
      <c r="G530">
        <v>19.600000000000001</v>
      </c>
      <c r="H530">
        <v>686.95</v>
      </c>
      <c r="I530" t="s">
        <v>15</v>
      </c>
      <c r="J530" t="s">
        <v>15</v>
      </c>
      <c r="K530" t="s">
        <v>21</v>
      </c>
      <c r="L530">
        <v>686.95</v>
      </c>
      <c r="M530" t="s">
        <v>5032</v>
      </c>
      <c r="N530" t="s">
        <v>5031</v>
      </c>
    </row>
    <row r="531" spans="1:14" x14ac:dyDescent="0.3">
      <c r="A531" t="s">
        <v>555</v>
      </c>
      <c r="B531" t="s">
        <v>12</v>
      </c>
      <c r="C531" t="s">
        <v>35</v>
      </c>
      <c r="D531">
        <v>56</v>
      </c>
      <c r="E531" t="s">
        <v>26</v>
      </c>
      <c r="F531" t="s">
        <v>16</v>
      </c>
      <c r="G531">
        <v>99.9</v>
      </c>
      <c r="H531">
        <v>5706.3</v>
      </c>
      <c r="I531" t="s">
        <v>15</v>
      </c>
      <c r="J531" t="s">
        <v>16</v>
      </c>
      <c r="K531" t="s">
        <v>24</v>
      </c>
      <c r="L531">
        <v>5706.3</v>
      </c>
      <c r="M531" t="s">
        <v>5033</v>
      </c>
      <c r="N531" t="s">
        <v>5034</v>
      </c>
    </row>
    <row r="532" spans="1:14" x14ac:dyDescent="0.3">
      <c r="A532" t="s">
        <v>556</v>
      </c>
      <c r="B532" t="s">
        <v>12</v>
      </c>
      <c r="C532" t="s">
        <v>35</v>
      </c>
      <c r="D532">
        <v>24</v>
      </c>
      <c r="E532" t="s">
        <v>15</v>
      </c>
      <c r="F532" t="s">
        <v>36</v>
      </c>
      <c r="G532">
        <v>21.1</v>
      </c>
      <c r="H532">
        <v>490.65</v>
      </c>
      <c r="I532" t="s">
        <v>15</v>
      </c>
      <c r="J532" t="s">
        <v>16</v>
      </c>
      <c r="K532" t="s">
        <v>29</v>
      </c>
      <c r="L532">
        <v>490.65</v>
      </c>
      <c r="M532" t="s">
        <v>5032</v>
      </c>
      <c r="N532" t="s">
        <v>5031</v>
      </c>
    </row>
    <row r="533" spans="1:14" x14ac:dyDescent="0.3">
      <c r="A533" t="s">
        <v>557</v>
      </c>
      <c r="B533" t="s">
        <v>19</v>
      </c>
      <c r="C533" t="s">
        <v>35</v>
      </c>
      <c r="D533">
        <v>70</v>
      </c>
      <c r="E533" t="s">
        <v>15</v>
      </c>
      <c r="F533" t="s">
        <v>36</v>
      </c>
      <c r="G533">
        <v>20.05</v>
      </c>
      <c r="H533">
        <v>1360.25</v>
      </c>
      <c r="I533" t="s">
        <v>15</v>
      </c>
      <c r="J533" t="s">
        <v>15</v>
      </c>
      <c r="K533" t="s">
        <v>29</v>
      </c>
      <c r="L533">
        <v>1360.25</v>
      </c>
      <c r="M533" t="s">
        <v>5033</v>
      </c>
      <c r="N533" t="s">
        <v>5031</v>
      </c>
    </row>
    <row r="534" spans="1:14" x14ac:dyDescent="0.3">
      <c r="A534" t="s">
        <v>558</v>
      </c>
      <c r="B534" t="s">
        <v>19</v>
      </c>
      <c r="C534" t="s">
        <v>13</v>
      </c>
      <c r="D534">
        <v>2</v>
      </c>
      <c r="E534" t="s">
        <v>26</v>
      </c>
      <c r="F534" t="s">
        <v>15</v>
      </c>
      <c r="G534">
        <v>79.95</v>
      </c>
      <c r="H534">
        <v>174.45</v>
      </c>
      <c r="I534" t="s">
        <v>15</v>
      </c>
      <c r="J534" t="s">
        <v>16</v>
      </c>
      <c r="K534" t="s">
        <v>17</v>
      </c>
      <c r="L534">
        <v>174.45</v>
      </c>
      <c r="M534" t="s">
        <v>5030</v>
      </c>
      <c r="N534" t="s">
        <v>5031</v>
      </c>
    </row>
    <row r="535" spans="1:14" x14ac:dyDescent="0.3">
      <c r="A535" t="s">
        <v>559</v>
      </c>
      <c r="B535" t="s">
        <v>19</v>
      </c>
      <c r="C535" t="s">
        <v>20</v>
      </c>
      <c r="D535">
        <v>68</v>
      </c>
      <c r="E535" t="s">
        <v>26</v>
      </c>
      <c r="F535" t="s">
        <v>16</v>
      </c>
      <c r="G535">
        <v>107.15</v>
      </c>
      <c r="H535">
        <v>7379.8</v>
      </c>
      <c r="I535" t="s">
        <v>15</v>
      </c>
      <c r="J535" t="s">
        <v>16</v>
      </c>
      <c r="K535" t="s">
        <v>29</v>
      </c>
      <c r="L535">
        <v>7379.8</v>
      </c>
      <c r="M535" t="s">
        <v>5033</v>
      </c>
      <c r="N535" t="s">
        <v>5034</v>
      </c>
    </row>
    <row r="536" spans="1:14" x14ac:dyDescent="0.3">
      <c r="A536" t="s">
        <v>560</v>
      </c>
      <c r="B536" t="s">
        <v>12</v>
      </c>
      <c r="C536" t="s">
        <v>13</v>
      </c>
      <c r="D536">
        <v>1</v>
      </c>
      <c r="E536" t="s">
        <v>26</v>
      </c>
      <c r="F536" t="s">
        <v>15</v>
      </c>
      <c r="G536">
        <v>85</v>
      </c>
      <c r="H536">
        <v>85</v>
      </c>
      <c r="I536" t="s">
        <v>16</v>
      </c>
      <c r="J536" t="s">
        <v>16</v>
      </c>
      <c r="K536" t="s">
        <v>17</v>
      </c>
      <c r="L536">
        <v>85</v>
      </c>
      <c r="M536" t="s">
        <v>5030</v>
      </c>
      <c r="N536" t="s">
        <v>5031</v>
      </c>
    </row>
    <row r="537" spans="1:14" x14ac:dyDescent="0.3">
      <c r="A537" t="s">
        <v>561</v>
      </c>
      <c r="B537" t="s">
        <v>19</v>
      </c>
      <c r="C537" t="s">
        <v>13</v>
      </c>
      <c r="D537">
        <v>12</v>
      </c>
      <c r="E537" t="s">
        <v>26</v>
      </c>
      <c r="F537" t="s">
        <v>15</v>
      </c>
      <c r="G537">
        <v>89.55</v>
      </c>
      <c r="H537">
        <v>1021.75</v>
      </c>
      <c r="I537" t="s">
        <v>15</v>
      </c>
      <c r="J537" t="s">
        <v>16</v>
      </c>
      <c r="K537" t="s">
        <v>17</v>
      </c>
      <c r="L537">
        <v>1021.75</v>
      </c>
      <c r="M537" t="s">
        <v>5030</v>
      </c>
      <c r="N537" t="s">
        <v>5031</v>
      </c>
    </row>
    <row r="538" spans="1:14" x14ac:dyDescent="0.3">
      <c r="A538" t="s">
        <v>562</v>
      </c>
      <c r="B538" t="s">
        <v>12</v>
      </c>
      <c r="C538" t="s">
        <v>13</v>
      </c>
      <c r="D538">
        <v>63</v>
      </c>
      <c r="E538" t="s">
        <v>26</v>
      </c>
      <c r="F538" t="s">
        <v>15</v>
      </c>
      <c r="G538">
        <v>81.55</v>
      </c>
      <c r="H538">
        <v>5029.05</v>
      </c>
      <c r="I538" t="s">
        <v>15</v>
      </c>
      <c r="J538" t="s">
        <v>16</v>
      </c>
      <c r="K538" t="s">
        <v>24</v>
      </c>
      <c r="L538">
        <v>5029.05</v>
      </c>
      <c r="M538" t="s">
        <v>5033</v>
      </c>
      <c r="N538" t="s">
        <v>5034</v>
      </c>
    </row>
    <row r="539" spans="1:14" x14ac:dyDescent="0.3">
      <c r="A539" t="s">
        <v>563</v>
      </c>
      <c r="B539" t="s">
        <v>12</v>
      </c>
      <c r="C539" t="s">
        <v>20</v>
      </c>
      <c r="D539">
        <v>33</v>
      </c>
      <c r="E539" t="s">
        <v>14</v>
      </c>
      <c r="F539" t="s">
        <v>15</v>
      </c>
      <c r="G539">
        <v>58.45</v>
      </c>
      <c r="H539">
        <v>1955.4</v>
      </c>
      <c r="I539" t="s">
        <v>15</v>
      </c>
      <c r="J539" t="s">
        <v>16</v>
      </c>
      <c r="K539" t="s">
        <v>21</v>
      </c>
      <c r="L539">
        <v>1955.4</v>
      </c>
      <c r="M539" t="s">
        <v>5032</v>
      </c>
      <c r="N539" t="s">
        <v>5031</v>
      </c>
    </row>
    <row r="540" spans="1:14" x14ac:dyDescent="0.3">
      <c r="A540" t="s">
        <v>564</v>
      </c>
      <c r="B540" t="s">
        <v>12</v>
      </c>
      <c r="C540" t="s">
        <v>20</v>
      </c>
      <c r="D540">
        <v>69</v>
      </c>
      <c r="E540" t="s">
        <v>26</v>
      </c>
      <c r="F540" t="s">
        <v>15</v>
      </c>
      <c r="G540">
        <v>95.65</v>
      </c>
      <c r="H540">
        <v>6744.2</v>
      </c>
      <c r="I540" t="s">
        <v>15</v>
      </c>
      <c r="J540" t="s">
        <v>16</v>
      </c>
      <c r="K540" t="s">
        <v>29</v>
      </c>
      <c r="L540">
        <v>6744.2</v>
      </c>
      <c r="M540" t="s">
        <v>5033</v>
      </c>
      <c r="N540" t="s">
        <v>5034</v>
      </c>
    </row>
    <row r="541" spans="1:14" x14ac:dyDescent="0.3">
      <c r="A541" t="s">
        <v>565</v>
      </c>
      <c r="B541" t="s">
        <v>12</v>
      </c>
      <c r="C541" t="s">
        <v>35</v>
      </c>
      <c r="D541">
        <v>60</v>
      </c>
      <c r="E541" t="s">
        <v>14</v>
      </c>
      <c r="F541" t="s">
        <v>16</v>
      </c>
      <c r="G541">
        <v>80.599999999999994</v>
      </c>
      <c r="H541">
        <v>4946.7</v>
      </c>
      <c r="I541" t="s">
        <v>15</v>
      </c>
      <c r="J541" t="s">
        <v>16</v>
      </c>
      <c r="K541" t="s">
        <v>24</v>
      </c>
      <c r="L541">
        <v>4946.7</v>
      </c>
      <c r="M541" t="s">
        <v>5033</v>
      </c>
      <c r="N541" t="s">
        <v>5034</v>
      </c>
    </row>
    <row r="542" spans="1:14" x14ac:dyDescent="0.3">
      <c r="A542" t="s">
        <v>566</v>
      </c>
      <c r="B542" t="s">
        <v>12</v>
      </c>
      <c r="C542" t="s">
        <v>35</v>
      </c>
      <c r="D542">
        <v>72</v>
      </c>
      <c r="E542" t="s">
        <v>26</v>
      </c>
      <c r="F542" t="s">
        <v>16</v>
      </c>
      <c r="G542">
        <v>113.1</v>
      </c>
      <c r="H542">
        <v>8248.5</v>
      </c>
      <c r="I542" t="s">
        <v>15</v>
      </c>
      <c r="J542" t="s">
        <v>16</v>
      </c>
      <c r="K542" t="s">
        <v>24</v>
      </c>
      <c r="L542">
        <v>8248.5</v>
      </c>
      <c r="M542" t="s">
        <v>5033</v>
      </c>
      <c r="N542" t="s">
        <v>5034</v>
      </c>
    </row>
    <row r="543" spans="1:14" x14ac:dyDescent="0.3">
      <c r="A543" t="s">
        <v>567</v>
      </c>
      <c r="B543" t="s">
        <v>12</v>
      </c>
      <c r="C543" t="s">
        <v>13</v>
      </c>
      <c r="D543">
        <v>11</v>
      </c>
      <c r="E543" t="s">
        <v>14</v>
      </c>
      <c r="F543" t="s">
        <v>15</v>
      </c>
      <c r="G543">
        <v>58.95</v>
      </c>
      <c r="H543">
        <v>601.6</v>
      </c>
      <c r="I543" t="s">
        <v>15</v>
      </c>
      <c r="J543" t="s">
        <v>16</v>
      </c>
      <c r="K543" t="s">
        <v>21</v>
      </c>
      <c r="L543">
        <v>601.6</v>
      </c>
      <c r="M543" t="s">
        <v>5030</v>
      </c>
      <c r="N543" t="s">
        <v>5031</v>
      </c>
    </row>
    <row r="544" spans="1:14" x14ac:dyDescent="0.3">
      <c r="A544" t="s">
        <v>568</v>
      </c>
      <c r="B544" t="s">
        <v>12</v>
      </c>
      <c r="C544" t="s">
        <v>13</v>
      </c>
      <c r="D544">
        <v>1</v>
      </c>
      <c r="E544" t="s">
        <v>15</v>
      </c>
      <c r="F544" t="s">
        <v>36</v>
      </c>
      <c r="G544">
        <v>19.55</v>
      </c>
      <c r="H544">
        <v>19.55</v>
      </c>
      <c r="I544" t="s">
        <v>15</v>
      </c>
      <c r="J544" t="s">
        <v>15</v>
      </c>
      <c r="K544" t="s">
        <v>21</v>
      </c>
      <c r="L544">
        <v>19.55</v>
      </c>
      <c r="M544" t="s">
        <v>5030</v>
      </c>
      <c r="N544" t="s">
        <v>5031</v>
      </c>
    </row>
    <row r="545" spans="1:14" x14ac:dyDescent="0.3">
      <c r="A545" t="s">
        <v>569</v>
      </c>
      <c r="B545" t="s">
        <v>19</v>
      </c>
      <c r="C545" t="s">
        <v>13</v>
      </c>
      <c r="D545">
        <v>10</v>
      </c>
      <c r="E545" t="s">
        <v>26</v>
      </c>
      <c r="F545" t="s">
        <v>15</v>
      </c>
      <c r="G545">
        <v>86.05</v>
      </c>
      <c r="H545">
        <v>834.1</v>
      </c>
      <c r="I545" t="s">
        <v>16</v>
      </c>
      <c r="J545" t="s">
        <v>16</v>
      </c>
      <c r="K545" t="s">
        <v>24</v>
      </c>
      <c r="L545">
        <v>834.1</v>
      </c>
      <c r="M545" t="s">
        <v>5030</v>
      </c>
      <c r="N545" t="s">
        <v>5031</v>
      </c>
    </row>
    <row r="546" spans="1:14" x14ac:dyDescent="0.3">
      <c r="A546" t="s">
        <v>570</v>
      </c>
      <c r="B546" t="s">
        <v>19</v>
      </c>
      <c r="C546" t="s">
        <v>13</v>
      </c>
      <c r="D546">
        <v>13</v>
      </c>
      <c r="E546" t="s">
        <v>14</v>
      </c>
      <c r="F546" t="s">
        <v>16</v>
      </c>
      <c r="G546">
        <v>45.55</v>
      </c>
      <c r="H546">
        <v>597</v>
      </c>
      <c r="I546" t="s">
        <v>16</v>
      </c>
      <c r="J546" t="s">
        <v>16</v>
      </c>
      <c r="K546" t="s">
        <v>29</v>
      </c>
      <c r="L546">
        <v>597</v>
      </c>
      <c r="M546" t="s">
        <v>5032</v>
      </c>
      <c r="N546" t="s">
        <v>5031</v>
      </c>
    </row>
    <row r="547" spans="1:14" x14ac:dyDescent="0.3">
      <c r="A547" t="s">
        <v>571</v>
      </c>
      <c r="B547" t="s">
        <v>19</v>
      </c>
      <c r="C547" t="s">
        <v>20</v>
      </c>
      <c r="D547">
        <v>34</v>
      </c>
      <c r="E547" t="s">
        <v>26</v>
      </c>
      <c r="F547" t="s">
        <v>15</v>
      </c>
      <c r="G547">
        <v>78.95</v>
      </c>
      <c r="H547">
        <v>2647.2</v>
      </c>
      <c r="I547" t="s">
        <v>15</v>
      </c>
      <c r="J547" t="s">
        <v>16</v>
      </c>
      <c r="K547" t="s">
        <v>24</v>
      </c>
      <c r="L547">
        <v>2647.2</v>
      </c>
      <c r="M547" t="s">
        <v>5032</v>
      </c>
      <c r="N547" t="s">
        <v>5034</v>
      </c>
    </row>
    <row r="548" spans="1:14" x14ac:dyDescent="0.3">
      <c r="A548" t="s">
        <v>572</v>
      </c>
      <c r="B548" t="s">
        <v>19</v>
      </c>
      <c r="C548" t="s">
        <v>13</v>
      </c>
      <c r="D548">
        <v>39</v>
      </c>
      <c r="E548" t="s">
        <v>26</v>
      </c>
      <c r="F548" t="s">
        <v>15</v>
      </c>
      <c r="G548">
        <v>86.3</v>
      </c>
      <c r="H548">
        <v>3266</v>
      </c>
      <c r="I548" t="s">
        <v>16</v>
      </c>
      <c r="J548" t="s">
        <v>16</v>
      </c>
      <c r="K548" t="s">
        <v>21</v>
      </c>
      <c r="L548">
        <v>3266</v>
      </c>
      <c r="M548" t="s">
        <v>5033</v>
      </c>
      <c r="N548" t="s">
        <v>5034</v>
      </c>
    </row>
    <row r="549" spans="1:14" x14ac:dyDescent="0.3">
      <c r="A549" t="s">
        <v>573</v>
      </c>
      <c r="B549" t="s">
        <v>12</v>
      </c>
      <c r="C549" t="s">
        <v>20</v>
      </c>
      <c r="D549">
        <v>65</v>
      </c>
      <c r="E549" t="s">
        <v>26</v>
      </c>
      <c r="F549" t="s">
        <v>16</v>
      </c>
      <c r="G549">
        <v>105.05</v>
      </c>
      <c r="H549">
        <v>6744.25</v>
      </c>
      <c r="I549" t="s">
        <v>15</v>
      </c>
      <c r="J549" t="s">
        <v>16</v>
      </c>
      <c r="K549" t="s">
        <v>24</v>
      </c>
      <c r="L549">
        <v>6744.25</v>
      </c>
      <c r="M549" t="s">
        <v>5033</v>
      </c>
      <c r="N549" t="s">
        <v>5034</v>
      </c>
    </row>
    <row r="550" spans="1:14" x14ac:dyDescent="0.3">
      <c r="A550" t="s">
        <v>574</v>
      </c>
      <c r="B550" t="s">
        <v>19</v>
      </c>
      <c r="C550" t="s">
        <v>20</v>
      </c>
      <c r="D550">
        <v>50</v>
      </c>
      <c r="E550" t="s">
        <v>26</v>
      </c>
      <c r="F550" t="s">
        <v>15</v>
      </c>
      <c r="G550">
        <v>101.9</v>
      </c>
      <c r="H550">
        <v>5265.5</v>
      </c>
      <c r="I550" t="s">
        <v>15</v>
      </c>
      <c r="J550" t="s">
        <v>16</v>
      </c>
      <c r="K550" t="s">
        <v>24</v>
      </c>
      <c r="L550">
        <v>5265.5</v>
      </c>
      <c r="M550" t="s">
        <v>5033</v>
      </c>
      <c r="N550" t="s">
        <v>5034</v>
      </c>
    </row>
    <row r="551" spans="1:14" x14ac:dyDescent="0.3">
      <c r="A551" t="s">
        <v>575</v>
      </c>
      <c r="B551" t="s">
        <v>19</v>
      </c>
      <c r="C551" t="s">
        <v>13</v>
      </c>
      <c r="D551">
        <v>15</v>
      </c>
      <c r="E551" t="s">
        <v>15</v>
      </c>
      <c r="F551" t="s">
        <v>36</v>
      </c>
      <c r="G551">
        <v>19.75</v>
      </c>
      <c r="H551">
        <v>311.60000000000002</v>
      </c>
      <c r="I551" t="s">
        <v>15</v>
      </c>
      <c r="J551" t="s">
        <v>15</v>
      </c>
      <c r="K551" t="s">
        <v>21</v>
      </c>
      <c r="L551">
        <v>311.60000000000002</v>
      </c>
      <c r="M551" t="s">
        <v>5032</v>
      </c>
      <c r="N551" t="s">
        <v>5031</v>
      </c>
    </row>
    <row r="552" spans="1:14" x14ac:dyDescent="0.3">
      <c r="A552" t="s">
        <v>576</v>
      </c>
      <c r="B552" t="s">
        <v>19</v>
      </c>
      <c r="C552" t="s">
        <v>35</v>
      </c>
      <c r="D552">
        <v>72</v>
      </c>
      <c r="E552" t="s">
        <v>26</v>
      </c>
      <c r="F552" t="s">
        <v>15</v>
      </c>
      <c r="G552">
        <v>110.3</v>
      </c>
      <c r="H552">
        <v>7966.9</v>
      </c>
      <c r="I552" t="s">
        <v>15</v>
      </c>
      <c r="J552" t="s">
        <v>16</v>
      </c>
      <c r="K552" t="s">
        <v>24</v>
      </c>
      <c r="L552">
        <v>7966.9</v>
      </c>
      <c r="M552" t="s">
        <v>5033</v>
      </c>
      <c r="N552" t="s">
        <v>5034</v>
      </c>
    </row>
    <row r="553" spans="1:14" x14ac:dyDescent="0.3">
      <c r="A553" t="s">
        <v>577</v>
      </c>
      <c r="B553" t="s">
        <v>12</v>
      </c>
      <c r="C553" t="s">
        <v>35</v>
      </c>
      <c r="D553">
        <v>72</v>
      </c>
      <c r="E553" t="s">
        <v>26</v>
      </c>
      <c r="F553" t="s">
        <v>16</v>
      </c>
      <c r="G553">
        <v>115.6</v>
      </c>
      <c r="H553">
        <v>8220.4</v>
      </c>
      <c r="I553" t="s">
        <v>15</v>
      </c>
      <c r="J553" t="s">
        <v>16</v>
      </c>
      <c r="K553" t="s">
        <v>24</v>
      </c>
      <c r="L553">
        <v>8220.4</v>
      </c>
      <c r="M553" t="s">
        <v>5033</v>
      </c>
      <c r="N553" t="s">
        <v>5034</v>
      </c>
    </row>
    <row r="554" spans="1:14" x14ac:dyDescent="0.3">
      <c r="A554" t="s">
        <v>578</v>
      </c>
      <c r="B554" t="s">
        <v>19</v>
      </c>
      <c r="C554" t="s">
        <v>35</v>
      </c>
      <c r="D554">
        <v>55</v>
      </c>
      <c r="E554" t="s">
        <v>15</v>
      </c>
      <c r="F554" t="s">
        <v>36</v>
      </c>
      <c r="G554">
        <v>19.350000000000001</v>
      </c>
      <c r="H554">
        <v>1153.25</v>
      </c>
      <c r="I554" t="s">
        <v>15</v>
      </c>
      <c r="J554" t="s">
        <v>15</v>
      </c>
      <c r="K554" t="s">
        <v>24</v>
      </c>
      <c r="L554">
        <v>1153.25</v>
      </c>
      <c r="M554" t="s">
        <v>5033</v>
      </c>
      <c r="N554" t="s">
        <v>5031</v>
      </c>
    </row>
    <row r="555" spans="1:14" x14ac:dyDescent="0.3">
      <c r="A555" t="s">
        <v>579</v>
      </c>
      <c r="B555" t="s">
        <v>12</v>
      </c>
      <c r="C555" t="s">
        <v>35</v>
      </c>
      <c r="D555">
        <v>23</v>
      </c>
      <c r="E555" t="s">
        <v>15</v>
      </c>
      <c r="F555" t="s">
        <v>36</v>
      </c>
      <c r="G555">
        <v>25.6</v>
      </c>
      <c r="H555">
        <v>514.75</v>
      </c>
      <c r="I555" t="s">
        <v>15</v>
      </c>
      <c r="J555" t="s">
        <v>16</v>
      </c>
      <c r="K555" t="s">
        <v>29</v>
      </c>
      <c r="L555">
        <v>514.75</v>
      </c>
      <c r="M555" t="s">
        <v>5032</v>
      </c>
      <c r="N555" t="s">
        <v>5031</v>
      </c>
    </row>
    <row r="556" spans="1:14" x14ac:dyDescent="0.3">
      <c r="A556" t="s">
        <v>580</v>
      </c>
      <c r="B556" t="s">
        <v>19</v>
      </c>
      <c r="C556" t="s">
        <v>13</v>
      </c>
      <c r="D556">
        <v>32</v>
      </c>
      <c r="E556" t="s">
        <v>26</v>
      </c>
      <c r="F556" t="s">
        <v>15</v>
      </c>
      <c r="G556">
        <v>80.349999999999994</v>
      </c>
      <c r="H556">
        <v>2596.15</v>
      </c>
      <c r="I556" t="s">
        <v>16</v>
      </c>
      <c r="J556" t="s">
        <v>16</v>
      </c>
      <c r="K556" t="s">
        <v>24</v>
      </c>
      <c r="L556">
        <v>2596.15</v>
      </c>
      <c r="M556" t="s">
        <v>5032</v>
      </c>
      <c r="N556" t="s">
        <v>5034</v>
      </c>
    </row>
    <row r="557" spans="1:14" x14ac:dyDescent="0.3">
      <c r="A557" t="s">
        <v>581</v>
      </c>
      <c r="B557" t="s">
        <v>12</v>
      </c>
      <c r="C557" t="s">
        <v>20</v>
      </c>
      <c r="D557">
        <v>56</v>
      </c>
      <c r="E557" t="s">
        <v>14</v>
      </c>
      <c r="F557" t="s">
        <v>15</v>
      </c>
      <c r="G557">
        <v>68.75</v>
      </c>
      <c r="H557">
        <v>3808</v>
      </c>
      <c r="I557" t="s">
        <v>15</v>
      </c>
      <c r="J557" t="s">
        <v>16</v>
      </c>
      <c r="K557" t="s">
        <v>24</v>
      </c>
      <c r="L557">
        <v>3808</v>
      </c>
      <c r="M557" t="s">
        <v>5033</v>
      </c>
      <c r="N557" t="s">
        <v>5034</v>
      </c>
    </row>
    <row r="558" spans="1:14" x14ac:dyDescent="0.3">
      <c r="A558" t="s">
        <v>582</v>
      </c>
      <c r="B558" t="s">
        <v>12</v>
      </c>
      <c r="C558" t="s">
        <v>13</v>
      </c>
      <c r="D558">
        <v>1</v>
      </c>
      <c r="E558" t="s">
        <v>15</v>
      </c>
      <c r="F558" t="s">
        <v>36</v>
      </c>
      <c r="G558">
        <v>19.899999999999999</v>
      </c>
      <c r="H558">
        <v>19.899999999999999</v>
      </c>
      <c r="I558" t="s">
        <v>15</v>
      </c>
      <c r="J558" t="s">
        <v>15</v>
      </c>
      <c r="K558" t="s">
        <v>24</v>
      </c>
      <c r="L558">
        <v>19.899999999999999</v>
      </c>
      <c r="M558" t="s">
        <v>5030</v>
      </c>
      <c r="N558" t="s">
        <v>5031</v>
      </c>
    </row>
    <row r="559" spans="1:14" x14ac:dyDescent="0.3">
      <c r="A559" t="s">
        <v>583</v>
      </c>
      <c r="B559" t="s">
        <v>19</v>
      </c>
      <c r="C559" t="s">
        <v>20</v>
      </c>
      <c r="D559">
        <v>38</v>
      </c>
      <c r="E559" t="s">
        <v>14</v>
      </c>
      <c r="F559" t="s">
        <v>16</v>
      </c>
      <c r="G559">
        <v>70.599999999999994</v>
      </c>
      <c r="H559">
        <v>2708.2</v>
      </c>
      <c r="I559" t="s">
        <v>15</v>
      </c>
      <c r="J559" t="s">
        <v>15</v>
      </c>
      <c r="K559" t="s">
        <v>21</v>
      </c>
      <c r="L559">
        <v>2708.2</v>
      </c>
      <c r="M559" t="s">
        <v>5033</v>
      </c>
      <c r="N559" t="s">
        <v>5034</v>
      </c>
    </row>
    <row r="560" spans="1:14" x14ac:dyDescent="0.3">
      <c r="A560" t="s">
        <v>584</v>
      </c>
      <c r="B560" t="s">
        <v>19</v>
      </c>
      <c r="C560" t="s">
        <v>13</v>
      </c>
      <c r="D560">
        <v>11</v>
      </c>
      <c r="E560" t="s">
        <v>26</v>
      </c>
      <c r="F560" t="s">
        <v>15</v>
      </c>
      <c r="G560">
        <v>70.2</v>
      </c>
      <c r="H560">
        <v>760.05</v>
      </c>
      <c r="I560" t="s">
        <v>15</v>
      </c>
      <c r="J560" t="s">
        <v>15</v>
      </c>
      <c r="K560" t="s">
        <v>17</v>
      </c>
      <c r="L560">
        <v>760.05</v>
      </c>
      <c r="M560" t="s">
        <v>5030</v>
      </c>
      <c r="N560" t="s">
        <v>5031</v>
      </c>
    </row>
    <row r="561" spans="1:14" x14ac:dyDescent="0.3">
      <c r="A561" t="s">
        <v>585</v>
      </c>
      <c r="B561" t="s">
        <v>19</v>
      </c>
      <c r="C561" t="s">
        <v>13</v>
      </c>
      <c r="D561">
        <v>1</v>
      </c>
      <c r="E561" t="s">
        <v>14</v>
      </c>
      <c r="F561" t="s">
        <v>16</v>
      </c>
      <c r="G561">
        <v>49.3</v>
      </c>
      <c r="H561">
        <v>49.3</v>
      </c>
      <c r="I561" t="s">
        <v>15</v>
      </c>
      <c r="J561" t="s">
        <v>16</v>
      </c>
      <c r="K561" t="s">
        <v>17</v>
      </c>
      <c r="L561">
        <v>49.3</v>
      </c>
      <c r="M561" t="s">
        <v>5030</v>
      </c>
      <c r="N561" t="s">
        <v>5031</v>
      </c>
    </row>
    <row r="562" spans="1:14" x14ac:dyDescent="0.3">
      <c r="A562" t="s">
        <v>586</v>
      </c>
      <c r="B562" t="s">
        <v>19</v>
      </c>
      <c r="C562" t="s">
        <v>20</v>
      </c>
      <c r="D562">
        <v>56</v>
      </c>
      <c r="E562" t="s">
        <v>26</v>
      </c>
      <c r="F562" t="s">
        <v>16</v>
      </c>
      <c r="G562">
        <v>107.25</v>
      </c>
      <c r="H562">
        <v>6033.3</v>
      </c>
      <c r="I562" t="s">
        <v>15</v>
      </c>
      <c r="J562" t="s">
        <v>16</v>
      </c>
      <c r="K562" t="s">
        <v>17</v>
      </c>
      <c r="L562">
        <v>6033.3</v>
      </c>
      <c r="M562" t="s">
        <v>5033</v>
      </c>
      <c r="N562" t="s">
        <v>5034</v>
      </c>
    </row>
    <row r="563" spans="1:14" x14ac:dyDescent="0.3">
      <c r="A563" t="s">
        <v>587</v>
      </c>
      <c r="B563" t="s">
        <v>19</v>
      </c>
      <c r="C563" t="s">
        <v>13</v>
      </c>
      <c r="D563">
        <v>3</v>
      </c>
      <c r="E563" t="s">
        <v>15</v>
      </c>
      <c r="F563" t="s">
        <v>36</v>
      </c>
      <c r="G563">
        <v>23.6</v>
      </c>
      <c r="H563">
        <v>89.05</v>
      </c>
      <c r="I563" t="s">
        <v>15</v>
      </c>
      <c r="J563" t="s">
        <v>16</v>
      </c>
      <c r="K563" t="s">
        <v>21</v>
      </c>
      <c r="L563">
        <v>89.05</v>
      </c>
      <c r="M563" t="s">
        <v>5030</v>
      </c>
      <c r="N563" t="s">
        <v>5031</v>
      </c>
    </row>
    <row r="564" spans="1:14" x14ac:dyDescent="0.3">
      <c r="A564" t="s">
        <v>588</v>
      </c>
      <c r="B564" t="s">
        <v>19</v>
      </c>
      <c r="C564" t="s">
        <v>13</v>
      </c>
      <c r="D564">
        <v>7</v>
      </c>
      <c r="E564" t="s">
        <v>14</v>
      </c>
      <c r="F564" t="s">
        <v>15</v>
      </c>
      <c r="G564">
        <v>69.7</v>
      </c>
      <c r="H564">
        <v>516.15</v>
      </c>
      <c r="I564" t="s">
        <v>15</v>
      </c>
      <c r="J564" t="s">
        <v>15</v>
      </c>
      <c r="K564" t="s">
        <v>29</v>
      </c>
      <c r="L564">
        <v>516.15</v>
      </c>
      <c r="M564" t="s">
        <v>5030</v>
      </c>
      <c r="N564" t="s">
        <v>5031</v>
      </c>
    </row>
    <row r="565" spans="1:14" x14ac:dyDescent="0.3">
      <c r="A565" t="s">
        <v>589</v>
      </c>
      <c r="B565" t="s">
        <v>19</v>
      </c>
      <c r="C565" t="s">
        <v>35</v>
      </c>
      <c r="D565">
        <v>59</v>
      </c>
      <c r="E565" t="s">
        <v>26</v>
      </c>
      <c r="F565" t="s">
        <v>15</v>
      </c>
      <c r="G565">
        <v>99.5</v>
      </c>
      <c r="H565">
        <v>5861.75</v>
      </c>
      <c r="I565" t="s">
        <v>15</v>
      </c>
      <c r="J565" t="s">
        <v>16</v>
      </c>
      <c r="K565" t="s">
        <v>29</v>
      </c>
      <c r="L565">
        <v>5861.75</v>
      </c>
      <c r="M565" t="s">
        <v>5033</v>
      </c>
      <c r="N565" t="s">
        <v>5034</v>
      </c>
    </row>
    <row r="566" spans="1:14" x14ac:dyDescent="0.3">
      <c r="A566" t="s">
        <v>590</v>
      </c>
      <c r="B566" t="s">
        <v>19</v>
      </c>
      <c r="C566" t="s">
        <v>13</v>
      </c>
      <c r="D566">
        <v>7</v>
      </c>
      <c r="E566" t="s">
        <v>14</v>
      </c>
      <c r="F566" t="s">
        <v>16</v>
      </c>
      <c r="G566">
        <v>64.3</v>
      </c>
      <c r="H566">
        <v>445.95</v>
      </c>
      <c r="I566" t="s">
        <v>15</v>
      </c>
      <c r="J566" t="s">
        <v>15</v>
      </c>
      <c r="K566" t="s">
        <v>24</v>
      </c>
      <c r="L566">
        <v>445.95</v>
      </c>
      <c r="M566" t="s">
        <v>5030</v>
      </c>
      <c r="N566" t="s">
        <v>5031</v>
      </c>
    </row>
    <row r="567" spans="1:14" x14ac:dyDescent="0.3">
      <c r="A567" t="s">
        <v>591</v>
      </c>
      <c r="B567" t="s">
        <v>19</v>
      </c>
      <c r="C567" t="s">
        <v>35</v>
      </c>
      <c r="D567">
        <v>71</v>
      </c>
      <c r="E567" t="s">
        <v>14</v>
      </c>
      <c r="F567" t="s">
        <v>16</v>
      </c>
      <c r="G567">
        <v>70.849999999999994</v>
      </c>
      <c r="H567">
        <v>4973.3999999999996</v>
      </c>
      <c r="I567" t="s">
        <v>15</v>
      </c>
      <c r="J567" t="s">
        <v>16</v>
      </c>
      <c r="K567" t="s">
        <v>29</v>
      </c>
      <c r="L567">
        <v>4973.3999999999996</v>
      </c>
      <c r="M567" t="s">
        <v>5033</v>
      </c>
      <c r="N567" t="s">
        <v>5034</v>
      </c>
    </row>
    <row r="568" spans="1:14" x14ac:dyDescent="0.3">
      <c r="A568" t="s">
        <v>592</v>
      </c>
      <c r="B568" t="s">
        <v>19</v>
      </c>
      <c r="C568" t="s">
        <v>20</v>
      </c>
      <c r="D568">
        <v>15</v>
      </c>
      <c r="E568" t="s">
        <v>26</v>
      </c>
      <c r="F568" t="s">
        <v>16</v>
      </c>
      <c r="G568">
        <v>101.9</v>
      </c>
      <c r="H568">
        <v>1667.25</v>
      </c>
      <c r="I568" t="s">
        <v>15</v>
      </c>
      <c r="J568" t="s">
        <v>15</v>
      </c>
      <c r="K568" t="s">
        <v>17</v>
      </c>
      <c r="L568">
        <v>1667.25</v>
      </c>
      <c r="M568" t="s">
        <v>5032</v>
      </c>
      <c r="N568" t="s">
        <v>5031</v>
      </c>
    </row>
    <row r="569" spans="1:14" x14ac:dyDescent="0.3">
      <c r="A569" t="s">
        <v>593</v>
      </c>
      <c r="B569" t="s">
        <v>19</v>
      </c>
      <c r="C569" t="s">
        <v>35</v>
      </c>
      <c r="D569">
        <v>71</v>
      </c>
      <c r="E569" t="s">
        <v>14</v>
      </c>
      <c r="F569" t="s">
        <v>16</v>
      </c>
      <c r="G569">
        <v>73.5</v>
      </c>
      <c r="H569">
        <v>5357.75</v>
      </c>
      <c r="I569" t="s">
        <v>15</v>
      </c>
      <c r="J569" t="s">
        <v>15</v>
      </c>
      <c r="K569" t="s">
        <v>29</v>
      </c>
      <c r="L569">
        <v>5357.75</v>
      </c>
      <c r="M569" t="s">
        <v>5033</v>
      </c>
      <c r="N569" t="s">
        <v>5034</v>
      </c>
    </row>
    <row r="570" spans="1:14" x14ac:dyDescent="0.3">
      <c r="A570" t="s">
        <v>594</v>
      </c>
      <c r="B570" t="s">
        <v>12</v>
      </c>
      <c r="C570" t="s">
        <v>13</v>
      </c>
      <c r="D570">
        <v>35</v>
      </c>
      <c r="E570" t="s">
        <v>26</v>
      </c>
      <c r="F570" t="s">
        <v>15</v>
      </c>
      <c r="G570">
        <v>100.25</v>
      </c>
      <c r="H570">
        <v>3527.6</v>
      </c>
      <c r="I570" t="s">
        <v>16</v>
      </c>
      <c r="J570" t="s">
        <v>16</v>
      </c>
      <c r="K570" t="s">
        <v>17</v>
      </c>
      <c r="L570">
        <v>3527.6</v>
      </c>
      <c r="M570" t="s">
        <v>5032</v>
      </c>
      <c r="N570" t="s">
        <v>5034</v>
      </c>
    </row>
    <row r="571" spans="1:14" x14ac:dyDescent="0.3">
      <c r="A571" t="s">
        <v>595</v>
      </c>
      <c r="B571" t="s">
        <v>12</v>
      </c>
      <c r="C571" t="s">
        <v>20</v>
      </c>
      <c r="D571">
        <v>11</v>
      </c>
      <c r="E571" t="s">
        <v>14</v>
      </c>
      <c r="F571" t="s">
        <v>16</v>
      </c>
      <c r="G571">
        <v>40.4</v>
      </c>
      <c r="H571">
        <v>422.6</v>
      </c>
      <c r="I571" t="s">
        <v>15</v>
      </c>
      <c r="J571" t="s">
        <v>16</v>
      </c>
      <c r="K571" t="s">
        <v>29</v>
      </c>
      <c r="L571">
        <v>422.6</v>
      </c>
      <c r="M571" t="s">
        <v>5030</v>
      </c>
      <c r="N571" t="s">
        <v>5031</v>
      </c>
    </row>
    <row r="572" spans="1:14" x14ac:dyDescent="0.3">
      <c r="A572" t="s">
        <v>596</v>
      </c>
      <c r="B572" t="s">
        <v>12</v>
      </c>
      <c r="C572" t="s">
        <v>35</v>
      </c>
      <c r="D572">
        <v>60</v>
      </c>
      <c r="E572" t="s">
        <v>15</v>
      </c>
      <c r="F572" t="s">
        <v>36</v>
      </c>
      <c r="G572">
        <v>19.25</v>
      </c>
      <c r="H572">
        <v>1103.25</v>
      </c>
      <c r="I572" t="s">
        <v>15</v>
      </c>
      <c r="J572" t="s">
        <v>16</v>
      </c>
      <c r="K572" t="s">
        <v>29</v>
      </c>
      <c r="L572">
        <v>1103.25</v>
      </c>
      <c r="M572" t="s">
        <v>5033</v>
      </c>
      <c r="N572" t="s">
        <v>5031</v>
      </c>
    </row>
    <row r="573" spans="1:14" x14ac:dyDescent="0.3">
      <c r="A573" t="s">
        <v>597</v>
      </c>
      <c r="B573" t="s">
        <v>19</v>
      </c>
      <c r="C573" t="s">
        <v>35</v>
      </c>
      <c r="D573">
        <v>47</v>
      </c>
      <c r="E573" t="s">
        <v>14</v>
      </c>
      <c r="F573" t="s">
        <v>16</v>
      </c>
      <c r="G573">
        <v>59.6</v>
      </c>
      <c r="H573">
        <v>2754</v>
      </c>
      <c r="I573" t="s">
        <v>15</v>
      </c>
      <c r="J573" t="s">
        <v>15</v>
      </c>
      <c r="K573" t="s">
        <v>24</v>
      </c>
      <c r="L573">
        <v>2754</v>
      </c>
      <c r="M573" t="s">
        <v>5033</v>
      </c>
      <c r="N573" t="s">
        <v>5034</v>
      </c>
    </row>
    <row r="574" spans="1:14" x14ac:dyDescent="0.3">
      <c r="A574" t="s">
        <v>598</v>
      </c>
      <c r="B574" t="s">
        <v>12</v>
      </c>
      <c r="C574" t="s">
        <v>20</v>
      </c>
      <c r="D574">
        <v>11</v>
      </c>
      <c r="E574" t="s">
        <v>14</v>
      </c>
      <c r="F574" t="s">
        <v>16</v>
      </c>
      <c r="G574">
        <v>64.900000000000006</v>
      </c>
      <c r="H574">
        <v>697.25</v>
      </c>
      <c r="I574" t="s">
        <v>15</v>
      </c>
      <c r="J574" t="s">
        <v>15</v>
      </c>
      <c r="K574" t="s">
        <v>29</v>
      </c>
      <c r="L574">
        <v>697.25</v>
      </c>
      <c r="M574" t="s">
        <v>5030</v>
      </c>
      <c r="N574" t="s">
        <v>5031</v>
      </c>
    </row>
    <row r="575" spans="1:14" x14ac:dyDescent="0.3">
      <c r="A575" t="s">
        <v>599</v>
      </c>
      <c r="B575" t="s">
        <v>19</v>
      </c>
      <c r="C575" t="s">
        <v>20</v>
      </c>
      <c r="D575">
        <v>56</v>
      </c>
      <c r="E575" t="s">
        <v>26</v>
      </c>
      <c r="F575" t="s">
        <v>15</v>
      </c>
      <c r="G575">
        <v>100.3</v>
      </c>
      <c r="H575">
        <v>5614.45</v>
      </c>
      <c r="I575" t="s">
        <v>16</v>
      </c>
      <c r="J575" t="s">
        <v>15</v>
      </c>
      <c r="K575" t="s">
        <v>29</v>
      </c>
      <c r="L575">
        <v>5614.45</v>
      </c>
      <c r="M575" t="s">
        <v>5033</v>
      </c>
      <c r="N575" t="s">
        <v>5034</v>
      </c>
    </row>
    <row r="576" spans="1:14" x14ac:dyDescent="0.3">
      <c r="A576" t="s">
        <v>600</v>
      </c>
      <c r="B576" t="s">
        <v>12</v>
      </c>
      <c r="C576" t="s">
        <v>13</v>
      </c>
      <c r="D576">
        <v>28</v>
      </c>
      <c r="E576" t="s">
        <v>26</v>
      </c>
      <c r="F576" t="s">
        <v>16</v>
      </c>
      <c r="G576">
        <v>110.85</v>
      </c>
      <c r="H576">
        <v>3204.4</v>
      </c>
      <c r="I576" t="s">
        <v>15</v>
      </c>
      <c r="J576" t="s">
        <v>16</v>
      </c>
      <c r="K576" t="s">
        <v>17</v>
      </c>
      <c r="L576">
        <v>3204.4</v>
      </c>
      <c r="M576" t="s">
        <v>5032</v>
      </c>
      <c r="N576" t="s">
        <v>5034</v>
      </c>
    </row>
    <row r="577" spans="1:14" x14ac:dyDescent="0.3">
      <c r="A577" t="s">
        <v>601</v>
      </c>
      <c r="B577" t="s">
        <v>19</v>
      </c>
      <c r="C577" t="s">
        <v>35</v>
      </c>
      <c r="D577">
        <v>61</v>
      </c>
      <c r="E577" t="s">
        <v>14</v>
      </c>
      <c r="F577" t="s">
        <v>16</v>
      </c>
      <c r="G577">
        <v>81.05</v>
      </c>
      <c r="H577">
        <v>4747.6499999999996</v>
      </c>
      <c r="I577" t="s">
        <v>15</v>
      </c>
      <c r="J577" t="s">
        <v>16</v>
      </c>
      <c r="K577" t="s">
        <v>21</v>
      </c>
      <c r="L577">
        <v>4747.6499999999996</v>
      </c>
      <c r="M577" t="s">
        <v>5033</v>
      </c>
      <c r="N577" t="s">
        <v>5034</v>
      </c>
    </row>
    <row r="578" spans="1:14" x14ac:dyDescent="0.3">
      <c r="A578" t="s">
        <v>602</v>
      </c>
      <c r="B578" t="s">
        <v>19</v>
      </c>
      <c r="C578" t="s">
        <v>20</v>
      </c>
      <c r="D578">
        <v>31</v>
      </c>
      <c r="E578" t="s">
        <v>26</v>
      </c>
      <c r="F578" t="s">
        <v>15</v>
      </c>
      <c r="G578">
        <v>98.05</v>
      </c>
      <c r="H578">
        <v>3082.1</v>
      </c>
      <c r="I578" t="s">
        <v>15</v>
      </c>
      <c r="J578" t="s">
        <v>15</v>
      </c>
      <c r="K578" t="s">
        <v>24</v>
      </c>
      <c r="L578">
        <v>3082.1</v>
      </c>
      <c r="M578" t="s">
        <v>5032</v>
      </c>
      <c r="N578" t="s">
        <v>5034</v>
      </c>
    </row>
    <row r="579" spans="1:14" x14ac:dyDescent="0.3">
      <c r="A579" t="s">
        <v>603</v>
      </c>
      <c r="B579" t="s">
        <v>19</v>
      </c>
      <c r="C579" t="s">
        <v>13</v>
      </c>
      <c r="D579">
        <v>9</v>
      </c>
      <c r="E579" t="s">
        <v>26</v>
      </c>
      <c r="F579" t="s">
        <v>15</v>
      </c>
      <c r="G579">
        <v>70.5</v>
      </c>
      <c r="H579">
        <v>597.9</v>
      </c>
      <c r="I579" t="s">
        <v>15</v>
      </c>
      <c r="J579" t="s">
        <v>16</v>
      </c>
      <c r="K579" t="s">
        <v>17</v>
      </c>
      <c r="L579">
        <v>597.9</v>
      </c>
      <c r="M579" t="s">
        <v>5030</v>
      </c>
      <c r="N579" t="s">
        <v>5031</v>
      </c>
    </row>
    <row r="580" spans="1:14" x14ac:dyDescent="0.3">
      <c r="A580" t="s">
        <v>604</v>
      </c>
      <c r="B580" t="s">
        <v>19</v>
      </c>
      <c r="C580" t="s">
        <v>13</v>
      </c>
      <c r="D580">
        <v>35</v>
      </c>
      <c r="E580" t="s">
        <v>26</v>
      </c>
      <c r="F580" t="s">
        <v>15</v>
      </c>
      <c r="G580">
        <v>94.55</v>
      </c>
      <c r="H580">
        <v>3365.4</v>
      </c>
      <c r="I580" t="s">
        <v>15</v>
      </c>
      <c r="J580" t="s">
        <v>16</v>
      </c>
      <c r="K580" t="s">
        <v>17</v>
      </c>
      <c r="L580">
        <v>3365.4</v>
      </c>
      <c r="M580" t="s">
        <v>5032</v>
      </c>
      <c r="N580" t="s">
        <v>5034</v>
      </c>
    </row>
    <row r="581" spans="1:14" x14ac:dyDescent="0.3">
      <c r="A581" t="s">
        <v>605</v>
      </c>
      <c r="B581" t="s">
        <v>19</v>
      </c>
      <c r="C581" t="s">
        <v>13</v>
      </c>
      <c r="D581">
        <v>2</v>
      </c>
      <c r="E581" t="s">
        <v>15</v>
      </c>
      <c r="F581" t="s">
        <v>36</v>
      </c>
      <c r="G581">
        <v>19.649999999999999</v>
      </c>
      <c r="H581">
        <v>38.799999999999997</v>
      </c>
      <c r="I581" t="s">
        <v>15</v>
      </c>
      <c r="J581" t="s">
        <v>16</v>
      </c>
      <c r="K581" t="s">
        <v>21</v>
      </c>
      <c r="L581">
        <v>38.799999999999997</v>
      </c>
      <c r="M581" t="s">
        <v>5030</v>
      </c>
      <c r="N581" t="s">
        <v>5031</v>
      </c>
    </row>
    <row r="582" spans="1:14" x14ac:dyDescent="0.3">
      <c r="A582" t="s">
        <v>606</v>
      </c>
      <c r="B582" t="s">
        <v>12</v>
      </c>
      <c r="C582" t="s">
        <v>13</v>
      </c>
      <c r="D582">
        <v>12</v>
      </c>
      <c r="E582" t="s">
        <v>15</v>
      </c>
      <c r="F582" t="s">
        <v>36</v>
      </c>
      <c r="G582">
        <v>19</v>
      </c>
      <c r="H582">
        <v>233.55</v>
      </c>
      <c r="I582" t="s">
        <v>16</v>
      </c>
      <c r="J582" t="s">
        <v>15</v>
      </c>
      <c r="K582" t="s">
        <v>21</v>
      </c>
      <c r="L582">
        <v>233.55</v>
      </c>
      <c r="M582" t="s">
        <v>5030</v>
      </c>
      <c r="N582" t="s">
        <v>5031</v>
      </c>
    </row>
    <row r="583" spans="1:14" x14ac:dyDescent="0.3">
      <c r="A583" t="s">
        <v>607</v>
      </c>
      <c r="B583" t="s">
        <v>12</v>
      </c>
      <c r="C583" t="s">
        <v>13</v>
      </c>
      <c r="D583">
        <v>1</v>
      </c>
      <c r="E583" t="s">
        <v>26</v>
      </c>
      <c r="F583" t="s">
        <v>15</v>
      </c>
      <c r="G583">
        <v>75.3</v>
      </c>
      <c r="H583">
        <v>75.3</v>
      </c>
      <c r="I583" t="s">
        <v>16</v>
      </c>
      <c r="J583" t="s">
        <v>15</v>
      </c>
      <c r="K583" t="s">
        <v>21</v>
      </c>
      <c r="L583">
        <v>75.3</v>
      </c>
      <c r="M583" t="s">
        <v>5030</v>
      </c>
      <c r="N583" t="s">
        <v>5031</v>
      </c>
    </row>
    <row r="584" spans="1:14" x14ac:dyDescent="0.3">
      <c r="A584" t="s">
        <v>608</v>
      </c>
      <c r="B584" t="s">
        <v>12</v>
      </c>
      <c r="C584" t="s">
        <v>13</v>
      </c>
      <c r="D584">
        <v>4</v>
      </c>
      <c r="E584" t="s">
        <v>26</v>
      </c>
      <c r="F584" t="s">
        <v>15</v>
      </c>
      <c r="G584">
        <v>89.2</v>
      </c>
      <c r="H584">
        <v>346.2</v>
      </c>
      <c r="I584" t="s">
        <v>16</v>
      </c>
      <c r="J584" t="s">
        <v>16</v>
      </c>
      <c r="K584" t="s">
        <v>17</v>
      </c>
      <c r="L584">
        <v>346.2</v>
      </c>
      <c r="M584" t="s">
        <v>5030</v>
      </c>
      <c r="N584" t="s">
        <v>5031</v>
      </c>
    </row>
    <row r="585" spans="1:14" x14ac:dyDescent="0.3">
      <c r="A585" t="s">
        <v>609</v>
      </c>
      <c r="B585" t="s">
        <v>12</v>
      </c>
      <c r="C585" t="s">
        <v>13</v>
      </c>
      <c r="D585">
        <v>1</v>
      </c>
      <c r="E585" t="s">
        <v>15</v>
      </c>
      <c r="F585" t="s">
        <v>36</v>
      </c>
      <c r="G585">
        <v>19</v>
      </c>
      <c r="H585">
        <v>19</v>
      </c>
      <c r="I585" t="s">
        <v>15</v>
      </c>
      <c r="J585" t="s">
        <v>16</v>
      </c>
      <c r="K585" t="s">
        <v>21</v>
      </c>
      <c r="L585">
        <v>19</v>
      </c>
      <c r="M585" t="s">
        <v>5030</v>
      </c>
      <c r="N585" t="s">
        <v>5031</v>
      </c>
    </row>
    <row r="586" spans="1:14" x14ac:dyDescent="0.3">
      <c r="A586" t="s">
        <v>610</v>
      </c>
      <c r="B586" t="s">
        <v>12</v>
      </c>
      <c r="C586" t="s">
        <v>13</v>
      </c>
      <c r="D586">
        <v>3</v>
      </c>
      <c r="E586" t="s">
        <v>15</v>
      </c>
      <c r="F586" t="s">
        <v>36</v>
      </c>
      <c r="G586">
        <v>20</v>
      </c>
      <c r="H586">
        <v>61.7</v>
      </c>
      <c r="I586" t="s">
        <v>15</v>
      </c>
      <c r="J586" t="s">
        <v>16</v>
      </c>
      <c r="K586" t="s">
        <v>21</v>
      </c>
      <c r="L586">
        <v>61.7</v>
      </c>
      <c r="M586" t="s">
        <v>5030</v>
      </c>
      <c r="N586" t="s">
        <v>5031</v>
      </c>
    </row>
    <row r="587" spans="1:14" x14ac:dyDescent="0.3">
      <c r="A587" t="s">
        <v>611</v>
      </c>
      <c r="B587" t="s">
        <v>12</v>
      </c>
      <c r="C587" t="s">
        <v>13</v>
      </c>
      <c r="D587">
        <v>1</v>
      </c>
      <c r="E587" t="s">
        <v>26</v>
      </c>
      <c r="F587" t="s">
        <v>15</v>
      </c>
      <c r="G587">
        <v>85.7</v>
      </c>
      <c r="H587">
        <v>85.7</v>
      </c>
      <c r="I587" t="s">
        <v>16</v>
      </c>
      <c r="J587" t="s">
        <v>16</v>
      </c>
      <c r="K587" t="s">
        <v>17</v>
      </c>
      <c r="L587">
        <v>85.7</v>
      </c>
      <c r="M587" t="s">
        <v>5030</v>
      </c>
      <c r="N587" t="s">
        <v>5031</v>
      </c>
    </row>
    <row r="588" spans="1:14" x14ac:dyDescent="0.3">
      <c r="A588" t="s">
        <v>612</v>
      </c>
      <c r="B588" t="s">
        <v>19</v>
      </c>
      <c r="C588" t="s">
        <v>35</v>
      </c>
      <c r="D588">
        <v>52</v>
      </c>
      <c r="E588" t="s">
        <v>14</v>
      </c>
      <c r="F588" t="s">
        <v>15</v>
      </c>
      <c r="G588">
        <v>63.25</v>
      </c>
      <c r="H588">
        <v>3342.45</v>
      </c>
      <c r="I588" t="s">
        <v>15</v>
      </c>
      <c r="J588" t="s">
        <v>16</v>
      </c>
      <c r="K588" t="s">
        <v>29</v>
      </c>
      <c r="L588">
        <v>3342.45</v>
      </c>
      <c r="M588" t="s">
        <v>5033</v>
      </c>
      <c r="N588" t="s">
        <v>5034</v>
      </c>
    </row>
    <row r="589" spans="1:14" x14ac:dyDescent="0.3">
      <c r="A589" t="s">
        <v>613</v>
      </c>
      <c r="B589" t="s">
        <v>19</v>
      </c>
      <c r="C589" t="s">
        <v>20</v>
      </c>
      <c r="D589">
        <v>5</v>
      </c>
      <c r="E589" t="s">
        <v>15</v>
      </c>
      <c r="F589" t="s">
        <v>36</v>
      </c>
      <c r="G589">
        <v>20.100000000000001</v>
      </c>
      <c r="H589">
        <v>85.1</v>
      </c>
      <c r="I589" t="s">
        <v>15</v>
      </c>
      <c r="J589" t="s">
        <v>15</v>
      </c>
      <c r="K589" t="s">
        <v>21</v>
      </c>
      <c r="L589">
        <v>85.1</v>
      </c>
      <c r="M589" t="s">
        <v>5030</v>
      </c>
      <c r="N589" t="s">
        <v>5031</v>
      </c>
    </row>
    <row r="590" spans="1:14" x14ac:dyDescent="0.3">
      <c r="A590" t="s">
        <v>614</v>
      </c>
      <c r="B590" t="s">
        <v>19</v>
      </c>
      <c r="C590" t="s">
        <v>35</v>
      </c>
      <c r="D590">
        <v>72</v>
      </c>
      <c r="E590" t="s">
        <v>26</v>
      </c>
      <c r="F590" t="s">
        <v>15</v>
      </c>
      <c r="G590">
        <v>99.15</v>
      </c>
      <c r="H590">
        <v>7422.1</v>
      </c>
      <c r="I590" t="s">
        <v>15</v>
      </c>
      <c r="J590" t="s">
        <v>16</v>
      </c>
      <c r="K590" t="s">
        <v>17</v>
      </c>
      <c r="L590">
        <v>7422.1</v>
      </c>
      <c r="M590" t="s">
        <v>5033</v>
      </c>
      <c r="N590" t="s">
        <v>5034</v>
      </c>
    </row>
    <row r="591" spans="1:14" x14ac:dyDescent="0.3">
      <c r="A591" t="s">
        <v>615</v>
      </c>
      <c r="B591" t="s">
        <v>19</v>
      </c>
      <c r="C591" t="s">
        <v>35</v>
      </c>
      <c r="D591">
        <v>71</v>
      </c>
      <c r="E591" t="s">
        <v>14</v>
      </c>
      <c r="F591" t="s">
        <v>16</v>
      </c>
      <c r="G591">
        <v>90.4</v>
      </c>
      <c r="H591">
        <v>6668.05</v>
      </c>
      <c r="I591" t="s">
        <v>15</v>
      </c>
      <c r="J591" t="s">
        <v>15</v>
      </c>
      <c r="K591" t="s">
        <v>17</v>
      </c>
      <c r="L591">
        <v>6668.05</v>
      </c>
      <c r="M591" t="s">
        <v>5033</v>
      </c>
      <c r="N591" t="s">
        <v>5034</v>
      </c>
    </row>
    <row r="592" spans="1:14" x14ac:dyDescent="0.3">
      <c r="A592" t="s">
        <v>616</v>
      </c>
      <c r="B592" t="s">
        <v>19</v>
      </c>
      <c r="C592" t="s">
        <v>35</v>
      </c>
      <c r="D592">
        <v>72</v>
      </c>
      <c r="E592" t="s">
        <v>26</v>
      </c>
      <c r="F592" t="s">
        <v>16</v>
      </c>
      <c r="G592">
        <v>111.9</v>
      </c>
      <c r="H592">
        <v>8071.05</v>
      </c>
      <c r="I592" t="s">
        <v>15</v>
      </c>
      <c r="J592" t="s">
        <v>16</v>
      </c>
      <c r="K592" t="s">
        <v>29</v>
      </c>
      <c r="L592">
        <v>8071.05</v>
      </c>
      <c r="M592" t="s">
        <v>5033</v>
      </c>
      <c r="N592" t="s">
        <v>5034</v>
      </c>
    </row>
    <row r="593" spans="1:14" x14ac:dyDescent="0.3">
      <c r="A593" t="s">
        <v>617</v>
      </c>
      <c r="B593" t="s">
        <v>19</v>
      </c>
      <c r="C593" t="s">
        <v>20</v>
      </c>
      <c r="D593">
        <v>46</v>
      </c>
      <c r="E593" t="s">
        <v>15</v>
      </c>
      <c r="F593" t="s">
        <v>36</v>
      </c>
      <c r="G593">
        <v>24.9</v>
      </c>
      <c r="H593">
        <v>1174.8</v>
      </c>
      <c r="I593" t="s">
        <v>15</v>
      </c>
      <c r="J593" t="s">
        <v>15</v>
      </c>
      <c r="K593" t="s">
        <v>17</v>
      </c>
      <c r="L593">
        <v>1174.8</v>
      </c>
      <c r="M593" t="s">
        <v>5033</v>
      </c>
      <c r="N593" t="s">
        <v>5031</v>
      </c>
    </row>
    <row r="594" spans="1:14" x14ac:dyDescent="0.3">
      <c r="A594" t="s">
        <v>618</v>
      </c>
      <c r="B594" t="s">
        <v>19</v>
      </c>
      <c r="C594" t="s">
        <v>35</v>
      </c>
      <c r="D594">
        <v>63</v>
      </c>
      <c r="E594" t="s">
        <v>14</v>
      </c>
      <c r="F594" t="s">
        <v>15</v>
      </c>
      <c r="G594">
        <v>83.5</v>
      </c>
      <c r="H594">
        <v>5435</v>
      </c>
      <c r="I594" t="s">
        <v>15</v>
      </c>
      <c r="J594" t="s">
        <v>15</v>
      </c>
      <c r="K594" t="s">
        <v>29</v>
      </c>
      <c r="L594">
        <v>5435</v>
      </c>
      <c r="M594" t="s">
        <v>5033</v>
      </c>
      <c r="N594" t="s">
        <v>5034</v>
      </c>
    </row>
    <row r="595" spans="1:14" x14ac:dyDescent="0.3">
      <c r="A595" t="s">
        <v>619</v>
      </c>
      <c r="B595" t="s">
        <v>19</v>
      </c>
      <c r="C595" t="s">
        <v>13</v>
      </c>
      <c r="D595">
        <v>30</v>
      </c>
      <c r="E595" t="s">
        <v>26</v>
      </c>
      <c r="F595" t="s">
        <v>15</v>
      </c>
      <c r="G595">
        <v>84.3</v>
      </c>
      <c r="H595">
        <v>2438.6</v>
      </c>
      <c r="I595" t="s">
        <v>15</v>
      </c>
      <c r="J595" t="s">
        <v>16</v>
      </c>
      <c r="K595" t="s">
        <v>29</v>
      </c>
      <c r="L595">
        <v>2438.6</v>
      </c>
      <c r="M595" t="s">
        <v>5032</v>
      </c>
      <c r="N595" t="s">
        <v>5031</v>
      </c>
    </row>
    <row r="596" spans="1:14" x14ac:dyDescent="0.3">
      <c r="A596" t="s">
        <v>620</v>
      </c>
      <c r="B596" t="s">
        <v>19</v>
      </c>
      <c r="C596" t="s">
        <v>13</v>
      </c>
      <c r="D596">
        <v>1</v>
      </c>
      <c r="E596" t="s">
        <v>14</v>
      </c>
      <c r="F596" t="s">
        <v>15</v>
      </c>
      <c r="G596">
        <v>45.6</v>
      </c>
      <c r="H596">
        <v>45.6</v>
      </c>
      <c r="I596" t="s">
        <v>15</v>
      </c>
      <c r="J596" t="s">
        <v>15</v>
      </c>
      <c r="K596" t="s">
        <v>21</v>
      </c>
      <c r="L596">
        <v>45.6</v>
      </c>
      <c r="M596" t="s">
        <v>5030</v>
      </c>
      <c r="N596" t="s">
        <v>5031</v>
      </c>
    </row>
    <row r="597" spans="1:14" x14ac:dyDescent="0.3">
      <c r="A597" t="s">
        <v>621</v>
      </c>
      <c r="B597" t="s">
        <v>12</v>
      </c>
      <c r="C597" t="s">
        <v>13</v>
      </c>
      <c r="D597">
        <v>12</v>
      </c>
      <c r="E597" t="s">
        <v>14</v>
      </c>
      <c r="F597" t="s">
        <v>16</v>
      </c>
      <c r="G597">
        <v>61.65</v>
      </c>
      <c r="H597">
        <v>713.75</v>
      </c>
      <c r="I597" t="s">
        <v>16</v>
      </c>
      <c r="J597" t="s">
        <v>16</v>
      </c>
      <c r="K597" t="s">
        <v>21</v>
      </c>
      <c r="L597">
        <v>713.75</v>
      </c>
      <c r="M597" t="s">
        <v>5030</v>
      </c>
      <c r="N597" t="s">
        <v>5031</v>
      </c>
    </row>
    <row r="598" spans="1:14" x14ac:dyDescent="0.3">
      <c r="A598" t="s">
        <v>622</v>
      </c>
      <c r="B598" t="s">
        <v>19</v>
      </c>
      <c r="C598" t="s">
        <v>35</v>
      </c>
      <c r="D598">
        <v>16</v>
      </c>
      <c r="E598" t="s">
        <v>14</v>
      </c>
      <c r="F598" t="s">
        <v>16</v>
      </c>
      <c r="G598">
        <v>54.85</v>
      </c>
      <c r="H598">
        <v>916.15</v>
      </c>
      <c r="I598" t="s">
        <v>15</v>
      </c>
      <c r="J598" t="s">
        <v>15</v>
      </c>
      <c r="K598" t="s">
        <v>21</v>
      </c>
      <c r="L598">
        <v>916.15</v>
      </c>
      <c r="M598" t="s">
        <v>5032</v>
      </c>
      <c r="N598" t="s">
        <v>5031</v>
      </c>
    </row>
    <row r="599" spans="1:14" x14ac:dyDescent="0.3">
      <c r="A599" t="s">
        <v>623</v>
      </c>
      <c r="B599" t="s">
        <v>19</v>
      </c>
      <c r="C599" t="s">
        <v>13</v>
      </c>
      <c r="D599">
        <v>4</v>
      </c>
      <c r="E599" t="s">
        <v>14</v>
      </c>
      <c r="F599" t="s">
        <v>16</v>
      </c>
      <c r="G599">
        <v>65.55</v>
      </c>
      <c r="H599">
        <v>237.2</v>
      </c>
      <c r="I599" t="s">
        <v>15</v>
      </c>
      <c r="J599" t="s">
        <v>15</v>
      </c>
      <c r="K599" t="s">
        <v>21</v>
      </c>
      <c r="L599">
        <v>237.2</v>
      </c>
      <c r="M599" t="s">
        <v>5030</v>
      </c>
      <c r="N599" t="s">
        <v>5031</v>
      </c>
    </row>
    <row r="600" spans="1:14" x14ac:dyDescent="0.3">
      <c r="A600" t="s">
        <v>624</v>
      </c>
      <c r="B600" t="s">
        <v>19</v>
      </c>
      <c r="C600" t="s">
        <v>20</v>
      </c>
      <c r="D600">
        <v>51</v>
      </c>
      <c r="E600" t="s">
        <v>26</v>
      </c>
      <c r="F600" t="s">
        <v>15</v>
      </c>
      <c r="G600">
        <v>90.35</v>
      </c>
      <c r="H600">
        <v>4614.55</v>
      </c>
      <c r="I600" t="s">
        <v>15</v>
      </c>
      <c r="J600" t="s">
        <v>16</v>
      </c>
      <c r="K600" t="s">
        <v>29</v>
      </c>
      <c r="L600">
        <v>4614.55</v>
      </c>
      <c r="M600" t="s">
        <v>5033</v>
      </c>
      <c r="N600" t="s">
        <v>5034</v>
      </c>
    </row>
    <row r="601" spans="1:14" x14ac:dyDescent="0.3">
      <c r="A601" t="s">
        <v>625</v>
      </c>
      <c r="B601" t="s">
        <v>19</v>
      </c>
      <c r="C601" t="s">
        <v>35</v>
      </c>
      <c r="D601">
        <v>65</v>
      </c>
      <c r="E601" t="s">
        <v>15</v>
      </c>
      <c r="F601" t="s">
        <v>36</v>
      </c>
      <c r="G601">
        <v>20.399999999999999</v>
      </c>
      <c r="H601">
        <v>1414.45</v>
      </c>
      <c r="I601" t="s">
        <v>15</v>
      </c>
      <c r="J601" t="s">
        <v>16</v>
      </c>
      <c r="K601" t="s">
        <v>29</v>
      </c>
      <c r="L601">
        <v>1414.45</v>
      </c>
      <c r="M601" t="s">
        <v>5033</v>
      </c>
      <c r="N601" t="s">
        <v>5031</v>
      </c>
    </row>
    <row r="602" spans="1:14" x14ac:dyDescent="0.3">
      <c r="A602" t="s">
        <v>626</v>
      </c>
      <c r="B602" t="s">
        <v>19</v>
      </c>
      <c r="C602" t="s">
        <v>13</v>
      </c>
      <c r="D602">
        <v>16</v>
      </c>
      <c r="E602" t="s">
        <v>26</v>
      </c>
      <c r="F602" t="s">
        <v>16</v>
      </c>
      <c r="G602">
        <v>74.55</v>
      </c>
      <c r="H602">
        <v>1170.5</v>
      </c>
      <c r="I602" t="s">
        <v>15</v>
      </c>
      <c r="J602" t="s">
        <v>16</v>
      </c>
      <c r="K602" t="s">
        <v>29</v>
      </c>
      <c r="L602">
        <v>1170.5</v>
      </c>
      <c r="M602" t="s">
        <v>5032</v>
      </c>
      <c r="N602" t="s">
        <v>5031</v>
      </c>
    </row>
    <row r="603" spans="1:14" x14ac:dyDescent="0.3">
      <c r="A603" t="s">
        <v>627</v>
      </c>
      <c r="B603" t="s">
        <v>19</v>
      </c>
      <c r="C603" t="s">
        <v>20</v>
      </c>
      <c r="D603">
        <v>2</v>
      </c>
      <c r="E603" t="s">
        <v>15</v>
      </c>
      <c r="F603" t="s">
        <v>36</v>
      </c>
      <c r="G603">
        <v>19.95</v>
      </c>
      <c r="H603">
        <v>47.7</v>
      </c>
      <c r="I603" t="s">
        <v>15</v>
      </c>
      <c r="J603" t="s">
        <v>15</v>
      </c>
      <c r="K603" t="s">
        <v>21</v>
      </c>
      <c r="L603">
        <v>47.7</v>
      </c>
      <c r="M603" t="s">
        <v>5030</v>
      </c>
      <c r="N603" t="s">
        <v>5031</v>
      </c>
    </row>
    <row r="604" spans="1:14" x14ac:dyDescent="0.3">
      <c r="A604" t="s">
        <v>628</v>
      </c>
      <c r="B604" t="s">
        <v>12</v>
      </c>
      <c r="C604" t="s">
        <v>20</v>
      </c>
      <c r="D604">
        <v>66</v>
      </c>
      <c r="E604" t="s">
        <v>26</v>
      </c>
      <c r="F604" t="s">
        <v>15</v>
      </c>
      <c r="G604">
        <v>74.25</v>
      </c>
      <c r="H604">
        <v>4859.25</v>
      </c>
      <c r="I604" t="s">
        <v>15</v>
      </c>
      <c r="J604" t="s">
        <v>16</v>
      </c>
      <c r="K604" t="s">
        <v>24</v>
      </c>
      <c r="L604">
        <v>4859.25</v>
      </c>
      <c r="M604" t="s">
        <v>5033</v>
      </c>
      <c r="N604" t="s">
        <v>5034</v>
      </c>
    </row>
    <row r="605" spans="1:14" x14ac:dyDescent="0.3">
      <c r="A605" t="s">
        <v>629</v>
      </c>
      <c r="B605" t="s">
        <v>19</v>
      </c>
      <c r="C605" t="s">
        <v>35</v>
      </c>
      <c r="D605">
        <v>46</v>
      </c>
      <c r="E605" t="s">
        <v>26</v>
      </c>
      <c r="F605" t="s">
        <v>16</v>
      </c>
      <c r="G605">
        <v>108.65</v>
      </c>
      <c r="H605">
        <v>4903.2</v>
      </c>
      <c r="I605" t="s">
        <v>15</v>
      </c>
      <c r="J605" t="s">
        <v>15</v>
      </c>
      <c r="K605" t="s">
        <v>17</v>
      </c>
      <c r="L605">
        <v>4903.2</v>
      </c>
      <c r="M605" t="s">
        <v>5033</v>
      </c>
      <c r="N605" t="s">
        <v>5034</v>
      </c>
    </row>
    <row r="606" spans="1:14" x14ac:dyDescent="0.3">
      <c r="A606" t="s">
        <v>630</v>
      </c>
      <c r="B606" t="s">
        <v>12</v>
      </c>
      <c r="C606" t="s">
        <v>20</v>
      </c>
      <c r="D606">
        <v>32</v>
      </c>
      <c r="E606" t="s">
        <v>26</v>
      </c>
      <c r="F606" t="s">
        <v>16</v>
      </c>
      <c r="G606">
        <v>109.55</v>
      </c>
      <c r="H606">
        <v>3608</v>
      </c>
      <c r="I606" t="s">
        <v>15</v>
      </c>
      <c r="J606" t="s">
        <v>16</v>
      </c>
      <c r="K606" t="s">
        <v>24</v>
      </c>
      <c r="L606">
        <v>3608</v>
      </c>
      <c r="M606" t="s">
        <v>5032</v>
      </c>
      <c r="N606" t="s">
        <v>5034</v>
      </c>
    </row>
    <row r="607" spans="1:14" x14ac:dyDescent="0.3">
      <c r="A607" t="s">
        <v>631</v>
      </c>
      <c r="B607" t="s">
        <v>19</v>
      </c>
      <c r="C607" t="s">
        <v>35</v>
      </c>
      <c r="D607">
        <v>72</v>
      </c>
      <c r="E607" t="s">
        <v>14</v>
      </c>
      <c r="F607" t="s">
        <v>16</v>
      </c>
      <c r="G607">
        <v>86.65</v>
      </c>
      <c r="H607">
        <v>6094.25</v>
      </c>
      <c r="I607" t="s">
        <v>15</v>
      </c>
      <c r="J607" t="s">
        <v>15</v>
      </c>
      <c r="K607" t="s">
        <v>29</v>
      </c>
      <c r="L607">
        <v>6094.25</v>
      </c>
      <c r="M607" t="s">
        <v>5033</v>
      </c>
      <c r="N607" t="s">
        <v>5034</v>
      </c>
    </row>
    <row r="608" spans="1:14" x14ac:dyDescent="0.3">
      <c r="A608" t="s">
        <v>632</v>
      </c>
      <c r="B608" t="s">
        <v>19</v>
      </c>
      <c r="C608" t="s">
        <v>35</v>
      </c>
      <c r="D608">
        <v>38</v>
      </c>
      <c r="E608" t="s">
        <v>14</v>
      </c>
      <c r="F608" t="s">
        <v>16</v>
      </c>
      <c r="G608">
        <v>81</v>
      </c>
      <c r="H608">
        <v>3084.9</v>
      </c>
      <c r="I608" t="s">
        <v>15</v>
      </c>
      <c r="J608" t="s">
        <v>15</v>
      </c>
      <c r="K608" t="s">
        <v>29</v>
      </c>
      <c r="L608">
        <v>3084.9</v>
      </c>
      <c r="M608" t="s">
        <v>5033</v>
      </c>
      <c r="N608" t="s">
        <v>5034</v>
      </c>
    </row>
    <row r="609" spans="1:14" x14ac:dyDescent="0.3">
      <c r="A609" t="s">
        <v>633</v>
      </c>
      <c r="B609" t="s">
        <v>19</v>
      </c>
      <c r="C609" t="s">
        <v>20</v>
      </c>
      <c r="D609">
        <v>51</v>
      </c>
      <c r="E609" t="s">
        <v>14</v>
      </c>
      <c r="F609" t="s">
        <v>16</v>
      </c>
      <c r="G609">
        <v>47.85</v>
      </c>
      <c r="H609">
        <v>2356.75</v>
      </c>
      <c r="I609" t="s">
        <v>15</v>
      </c>
      <c r="J609" t="s">
        <v>15</v>
      </c>
      <c r="K609" t="s">
        <v>29</v>
      </c>
      <c r="L609">
        <v>2356.75</v>
      </c>
      <c r="M609" t="s">
        <v>5033</v>
      </c>
      <c r="N609" t="s">
        <v>5031</v>
      </c>
    </row>
    <row r="610" spans="1:14" x14ac:dyDescent="0.3">
      <c r="A610" t="s">
        <v>634</v>
      </c>
      <c r="B610" t="s">
        <v>19</v>
      </c>
      <c r="C610" t="s">
        <v>35</v>
      </c>
      <c r="D610">
        <v>72</v>
      </c>
      <c r="E610" t="s">
        <v>26</v>
      </c>
      <c r="F610" t="s">
        <v>16</v>
      </c>
      <c r="G610">
        <v>114.55</v>
      </c>
      <c r="H610">
        <v>8306.0499999999993</v>
      </c>
      <c r="I610" t="s">
        <v>15</v>
      </c>
      <c r="J610" t="s">
        <v>15</v>
      </c>
      <c r="K610" t="s">
        <v>24</v>
      </c>
      <c r="L610">
        <v>8306.0499999999993</v>
      </c>
      <c r="M610" t="s">
        <v>5033</v>
      </c>
      <c r="N610" t="s">
        <v>5034</v>
      </c>
    </row>
    <row r="611" spans="1:14" x14ac:dyDescent="0.3">
      <c r="A611" t="s">
        <v>635</v>
      </c>
      <c r="B611" t="s">
        <v>12</v>
      </c>
      <c r="C611" t="s">
        <v>13</v>
      </c>
      <c r="D611">
        <v>65</v>
      </c>
      <c r="E611" t="s">
        <v>26</v>
      </c>
      <c r="F611" t="s">
        <v>15</v>
      </c>
      <c r="G611">
        <v>105.25</v>
      </c>
      <c r="H611">
        <v>6786.4</v>
      </c>
      <c r="I611" t="s">
        <v>16</v>
      </c>
      <c r="J611" t="s">
        <v>15</v>
      </c>
      <c r="K611" t="s">
        <v>24</v>
      </c>
      <c r="L611">
        <v>6786.4</v>
      </c>
      <c r="M611" t="s">
        <v>5033</v>
      </c>
      <c r="N611" t="s">
        <v>5034</v>
      </c>
    </row>
    <row r="612" spans="1:14" x14ac:dyDescent="0.3">
      <c r="A612" t="s">
        <v>636</v>
      </c>
      <c r="B612" t="s">
        <v>19</v>
      </c>
      <c r="C612" t="s">
        <v>13</v>
      </c>
      <c r="D612">
        <v>9</v>
      </c>
      <c r="E612" t="s">
        <v>14</v>
      </c>
      <c r="F612" t="s">
        <v>15</v>
      </c>
      <c r="G612">
        <v>29.95</v>
      </c>
      <c r="H612">
        <v>248.95</v>
      </c>
      <c r="I612" t="s">
        <v>16</v>
      </c>
      <c r="J612" t="s">
        <v>16</v>
      </c>
      <c r="K612" t="s">
        <v>17</v>
      </c>
      <c r="L612">
        <v>248.95</v>
      </c>
      <c r="M612" t="s">
        <v>5030</v>
      </c>
      <c r="N612" t="s">
        <v>5031</v>
      </c>
    </row>
    <row r="613" spans="1:14" x14ac:dyDescent="0.3">
      <c r="A613" t="s">
        <v>637</v>
      </c>
      <c r="B613" t="s">
        <v>12</v>
      </c>
      <c r="C613" t="s">
        <v>13</v>
      </c>
      <c r="D613">
        <v>9</v>
      </c>
      <c r="E613" t="s">
        <v>14</v>
      </c>
      <c r="F613" t="s">
        <v>16</v>
      </c>
      <c r="G613">
        <v>65</v>
      </c>
      <c r="H613">
        <v>663.05</v>
      </c>
      <c r="I613" t="s">
        <v>16</v>
      </c>
      <c r="J613" t="s">
        <v>15</v>
      </c>
      <c r="K613" t="s">
        <v>21</v>
      </c>
      <c r="L613">
        <v>663.05</v>
      </c>
      <c r="M613" t="s">
        <v>5030</v>
      </c>
      <c r="N613" t="s">
        <v>5031</v>
      </c>
    </row>
    <row r="614" spans="1:14" x14ac:dyDescent="0.3">
      <c r="A614" t="s">
        <v>638</v>
      </c>
      <c r="B614" t="s">
        <v>19</v>
      </c>
      <c r="C614" t="s">
        <v>35</v>
      </c>
      <c r="D614">
        <v>66</v>
      </c>
      <c r="E614" t="s">
        <v>15</v>
      </c>
      <c r="F614" t="s">
        <v>36</v>
      </c>
      <c r="G614">
        <v>20.55</v>
      </c>
      <c r="H614">
        <v>1357.1</v>
      </c>
      <c r="I614" t="s">
        <v>15</v>
      </c>
      <c r="J614" t="s">
        <v>15</v>
      </c>
      <c r="K614" t="s">
        <v>21</v>
      </c>
      <c r="L614">
        <v>1357.1</v>
      </c>
      <c r="M614" t="s">
        <v>5033</v>
      </c>
      <c r="N614" t="s">
        <v>5031</v>
      </c>
    </row>
    <row r="615" spans="1:14" x14ac:dyDescent="0.3">
      <c r="A615" t="s">
        <v>639</v>
      </c>
      <c r="B615" t="s">
        <v>12</v>
      </c>
      <c r="C615" t="s">
        <v>20</v>
      </c>
      <c r="D615">
        <v>44</v>
      </c>
      <c r="E615" t="s">
        <v>26</v>
      </c>
      <c r="F615" t="s">
        <v>15</v>
      </c>
      <c r="G615">
        <v>109.8</v>
      </c>
      <c r="H615">
        <v>4860.3500000000004</v>
      </c>
      <c r="I615" t="s">
        <v>15</v>
      </c>
      <c r="J615" t="s">
        <v>16</v>
      </c>
      <c r="K615" t="s">
        <v>29</v>
      </c>
      <c r="L615">
        <v>4860.3500000000004</v>
      </c>
      <c r="M615" t="s">
        <v>5033</v>
      </c>
      <c r="N615" t="s">
        <v>5034</v>
      </c>
    </row>
    <row r="616" spans="1:14" x14ac:dyDescent="0.3">
      <c r="A616" t="s">
        <v>640</v>
      </c>
      <c r="B616" t="s">
        <v>19</v>
      </c>
      <c r="C616" t="s">
        <v>35</v>
      </c>
      <c r="D616">
        <v>50</v>
      </c>
      <c r="E616" t="s">
        <v>14</v>
      </c>
      <c r="F616" t="s">
        <v>16</v>
      </c>
      <c r="G616">
        <v>69.5</v>
      </c>
      <c r="H616">
        <v>3418.2</v>
      </c>
      <c r="I616" t="s">
        <v>15</v>
      </c>
      <c r="J616" t="s">
        <v>15</v>
      </c>
      <c r="K616" t="s">
        <v>24</v>
      </c>
      <c r="L616">
        <v>3418.2</v>
      </c>
      <c r="M616" t="s">
        <v>5033</v>
      </c>
      <c r="N616" t="s">
        <v>5034</v>
      </c>
    </row>
    <row r="617" spans="1:14" x14ac:dyDescent="0.3">
      <c r="A617" t="s">
        <v>641</v>
      </c>
      <c r="B617" t="s">
        <v>12</v>
      </c>
      <c r="C617" t="s">
        <v>13</v>
      </c>
      <c r="D617">
        <v>15</v>
      </c>
      <c r="E617" t="s">
        <v>14</v>
      </c>
      <c r="F617" t="s">
        <v>15</v>
      </c>
      <c r="G617">
        <v>48.85</v>
      </c>
      <c r="H617">
        <v>631.4</v>
      </c>
      <c r="I617" t="s">
        <v>15</v>
      </c>
      <c r="J617" t="s">
        <v>15</v>
      </c>
      <c r="K617" t="s">
        <v>21</v>
      </c>
      <c r="L617">
        <v>631.4</v>
      </c>
      <c r="M617" t="s">
        <v>5032</v>
      </c>
      <c r="N617" t="s">
        <v>5031</v>
      </c>
    </row>
    <row r="618" spans="1:14" x14ac:dyDescent="0.3">
      <c r="A618" t="s">
        <v>642</v>
      </c>
      <c r="B618" t="s">
        <v>19</v>
      </c>
      <c r="C618" t="s">
        <v>13</v>
      </c>
      <c r="D618">
        <v>8</v>
      </c>
      <c r="E618" t="s">
        <v>14</v>
      </c>
      <c r="F618" t="s">
        <v>15</v>
      </c>
      <c r="G618">
        <v>25.25</v>
      </c>
      <c r="H618">
        <v>186.3</v>
      </c>
      <c r="I618" t="s">
        <v>15</v>
      </c>
      <c r="J618" t="s">
        <v>16</v>
      </c>
      <c r="K618" t="s">
        <v>29</v>
      </c>
      <c r="L618">
        <v>186.3</v>
      </c>
      <c r="M618" t="s">
        <v>5030</v>
      </c>
      <c r="N618" t="s">
        <v>5031</v>
      </c>
    </row>
    <row r="619" spans="1:14" x14ac:dyDescent="0.3">
      <c r="A619" t="s">
        <v>643</v>
      </c>
      <c r="B619" t="s">
        <v>12</v>
      </c>
      <c r="C619" t="s">
        <v>20</v>
      </c>
      <c r="D619">
        <v>66</v>
      </c>
      <c r="E619" t="s">
        <v>26</v>
      </c>
      <c r="F619" t="s">
        <v>16</v>
      </c>
      <c r="G619">
        <v>102.85</v>
      </c>
      <c r="H619">
        <v>6976.75</v>
      </c>
      <c r="I619" t="s">
        <v>15</v>
      </c>
      <c r="J619" t="s">
        <v>16</v>
      </c>
      <c r="K619" t="s">
        <v>29</v>
      </c>
      <c r="L619">
        <v>6976.75</v>
      </c>
      <c r="M619" t="s">
        <v>5033</v>
      </c>
      <c r="N619" t="s">
        <v>5034</v>
      </c>
    </row>
    <row r="620" spans="1:14" x14ac:dyDescent="0.3">
      <c r="A620" t="s">
        <v>644</v>
      </c>
      <c r="B620" t="s">
        <v>12</v>
      </c>
      <c r="C620" t="s">
        <v>13</v>
      </c>
      <c r="D620">
        <v>57</v>
      </c>
      <c r="E620" t="s">
        <v>26</v>
      </c>
      <c r="F620" t="s">
        <v>16</v>
      </c>
      <c r="G620">
        <v>87.55</v>
      </c>
      <c r="H620">
        <v>4884.8500000000004</v>
      </c>
      <c r="I620" t="s">
        <v>15</v>
      </c>
      <c r="J620" t="s">
        <v>16</v>
      </c>
      <c r="K620" t="s">
        <v>24</v>
      </c>
      <c r="L620">
        <v>4884.8500000000004</v>
      </c>
      <c r="M620" t="s">
        <v>5033</v>
      </c>
      <c r="N620" t="s">
        <v>5034</v>
      </c>
    </row>
    <row r="621" spans="1:14" x14ac:dyDescent="0.3">
      <c r="A621" t="s">
        <v>645</v>
      </c>
      <c r="B621" t="s">
        <v>12</v>
      </c>
      <c r="C621" t="s">
        <v>13</v>
      </c>
      <c r="D621">
        <v>7</v>
      </c>
      <c r="E621" t="s">
        <v>26</v>
      </c>
      <c r="F621" t="s">
        <v>15</v>
      </c>
      <c r="G621">
        <v>78.55</v>
      </c>
      <c r="H621">
        <v>522.95000000000005</v>
      </c>
      <c r="I621" t="s">
        <v>15</v>
      </c>
      <c r="J621" t="s">
        <v>16</v>
      </c>
      <c r="K621" t="s">
        <v>24</v>
      </c>
      <c r="L621">
        <v>522.95000000000005</v>
      </c>
      <c r="M621" t="s">
        <v>5030</v>
      </c>
      <c r="N621" t="s">
        <v>5031</v>
      </c>
    </row>
    <row r="622" spans="1:14" x14ac:dyDescent="0.3">
      <c r="A622" t="s">
        <v>646</v>
      </c>
      <c r="B622" t="s">
        <v>19</v>
      </c>
      <c r="C622" t="s">
        <v>13</v>
      </c>
      <c r="D622">
        <v>10</v>
      </c>
      <c r="E622" t="s">
        <v>14</v>
      </c>
      <c r="F622" t="s">
        <v>15</v>
      </c>
      <c r="G622">
        <v>34.549999999999997</v>
      </c>
      <c r="H622">
        <v>362.6</v>
      </c>
      <c r="I622" t="s">
        <v>15</v>
      </c>
      <c r="J622" t="s">
        <v>16</v>
      </c>
      <c r="K622" t="s">
        <v>24</v>
      </c>
      <c r="L622">
        <v>362.6</v>
      </c>
      <c r="M622" t="s">
        <v>5030</v>
      </c>
      <c r="N622" t="s">
        <v>5031</v>
      </c>
    </row>
    <row r="623" spans="1:14" x14ac:dyDescent="0.3">
      <c r="A623" t="s">
        <v>647</v>
      </c>
      <c r="B623" t="s">
        <v>12</v>
      </c>
      <c r="C623" t="s">
        <v>20</v>
      </c>
      <c r="D623">
        <v>62</v>
      </c>
      <c r="E623" t="s">
        <v>26</v>
      </c>
      <c r="F623" t="s">
        <v>15</v>
      </c>
      <c r="G623">
        <v>92.05</v>
      </c>
      <c r="H623">
        <v>5755.8</v>
      </c>
      <c r="I623" t="s">
        <v>15</v>
      </c>
      <c r="J623" t="s">
        <v>16</v>
      </c>
      <c r="K623" t="s">
        <v>17</v>
      </c>
      <c r="L623">
        <v>5755.8</v>
      </c>
      <c r="M623" t="s">
        <v>5033</v>
      </c>
      <c r="N623" t="s">
        <v>5034</v>
      </c>
    </row>
    <row r="624" spans="1:14" x14ac:dyDescent="0.3">
      <c r="A624" t="s">
        <v>648</v>
      </c>
      <c r="B624" t="s">
        <v>19</v>
      </c>
      <c r="C624" t="s">
        <v>20</v>
      </c>
      <c r="D624">
        <v>40</v>
      </c>
      <c r="E624" t="s">
        <v>26</v>
      </c>
      <c r="F624" t="s">
        <v>15</v>
      </c>
      <c r="G624">
        <v>85.05</v>
      </c>
      <c r="H624">
        <v>3355.65</v>
      </c>
      <c r="I624" t="s">
        <v>15</v>
      </c>
      <c r="J624" t="s">
        <v>16</v>
      </c>
      <c r="K624" t="s">
        <v>17</v>
      </c>
      <c r="L624">
        <v>3355.65</v>
      </c>
      <c r="M624" t="s">
        <v>5033</v>
      </c>
      <c r="N624" t="s">
        <v>5034</v>
      </c>
    </row>
    <row r="625" spans="1:14" x14ac:dyDescent="0.3">
      <c r="A625" t="s">
        <v>649</v>
      </c>
      <c r="B625" t="s">
        <v>12</v>
      </c>
      <c r="C625" t="s">
        <v>35</v>
      </c>
      <c r="D625">
        <v>20</v>
      </c>
      <c r="E625" t="s">
        <v>15</v>
      </c>
      <c r="F625" t="s">
        <v>36</v>
      </c>
      <c r="G625">
        <v>19.7</v>
      </c>
      <c r="H625">
        <v>406.95</v>
      </c>
      <c r="I625" t="s">
        <v>15</v>
      </c>
      <c r="J625" t="s">
        <v>15</v>
      </c>
      <c r="K625" t="s">
        <v>21</v>
      </c>
      <c r="L625">
        <v>406.95</v>
      </c>
      <c r="M625" t="s">
        <v>5032</v>
      </c>
      <c r="N625" t="s">
        <v>5031</v>
      </c>
    </row>
    <row r="626" spans="1:14" x14ac:dyDescent="0.3">
      <c r="A626" t="s">
        <v>650</v>
      </c>
      <c r="B626" t="s">
        <v>12</v>
      </c>
      <c r="C626" t="s">
        <v>13</v>
      </c>
      <c r="D626">
        <v>7</v>
      </c>
      <c r="E626" t="s">
        <v>15</v>
      </c>
      <c r="F626" t="s">
        <v>36</v>
      </c>
      <c r="G626">
        <v>20</v>
      </c>
      <c r="H626">
        <v>137.6</v>
      </c>
      <c r="I626" t="s">
        <v>16</v>
      </c>
      <c r="J626" t="s">
        <v>15</v>
      </c>
      <c r="K626" t="s">
        <v>24</v>
      </c>
      <c r="L626">
        <v>137.6</v>
      </c>
      <c r="M626" t="s">
        <v>5030</v>
      </c>
      <c r="N626" t="s">
        <v>5031</v>
      </c>
    </row>
    <row r="627" spans="1:14" x14ac:dyDescent="0.3">
      <c r="A627" t="s">
        <v>651</v>
      </c>
      <c r="B627" t="s">
        <v>12</v>
      </c>
      <c r="C627" t="s">
        <v>13</v>
      </c>
      <c r="D627">
        <v>25</v>
      </c>
      <c r="E627" t="s">
        <v>26</v>
      </c>
      <c r="F627" t="s">
        <v>16</v>
      </c>
      <c r="G627">
        <v>95.15</v>
      </c>
      <c r="H627">
        <v>2395.6999999999998</v>
      </c>
      <c r="I627" t="s">
        <v>15</v>
      </c>
      <c r="J627" t="s">
        <v>16</v>
      </c>
      <c r="K627" t="s">
        <v>17</v>
      </c>
      <c r="L627">
        <v>2395.6999999999998</v>
      </c>
      <c r="M627" t="s">
        <v>5032</v>
      </c>
      <c r="N627" t="s">
        <v>5031</v>
      </c>
    </row>
    <row r="628" spans="1:14" x14ac:dyDescent="0.3">
      <c r="A628" t="s">
        <v>652</v>
      </c>
      <c r="B628" t="s">
        <v>19</v>
      </c>
      <c r="C628" t="s">
        <v>13</v>
      </c>
      <c r="D628">
        <v>23</v>
      </c>
      <c r="E628" t="s">
        <v>26</v>
      </c>
      <c r="F628" t="s">
        <v>15</v>
      </c>
      <c r="G628">
        <v>84.25</v>
      </c>
      <c r="H628">
        <v>1968.1</v>
      </c>
      <c r="I628" t="s">
        <v>15</v>
      </c>
      <c r="J628" t="s">
        <v>15</v>
      </c>
      <c r="K628" t="s">
        <v>17</v>
      </c>
      <c r="L628">
        <v>1968.1</v>
      </c>
      <c r="M628" t="s">
        <v>5032</v>
      </c>
      <c r="N628" t="s">
        <v>5031</v>
      </c>
    </row>
    <row r="629" spans="1:14" x14ac:dyDescent="0.3">
      <c r="A629" t="s">
        <v>653</v>
      </c>
      <c r="B629" t="s">
        <v>12</v>
      </c>
      <c r="C629" t="s">
        <v>20</v>
      </c>
      <c r="D629">
        <v>66</v>
      </c>
      <c r="E629" t="s">
        <v>26</v>
      </c>
      <c r="F629" t="s">
        <v>15</v>
      </c>
      <c r="G629">
        <v>104.6</v>
      </c>
      <c r="H629">
        <v>6819.45</v>
      </c>
      <c r="I629" t="s">
        <v>15</v>
      </c>
      <c r="J629" t="s">
        <v>15</v>
      </c>
      <c r="K629" t="s">
        <v>29</v>
      </c>
      <c r="L629">
        <v>6819.45</v>
      </c>
      <c r="M629" t="s">
        <v>5033</v>
      </c>
      <c r="N629" t="s">
        <v>5034</v>
      </c>
    </row>
    <row r="630" spans="1:14" x14ac:dyDescent="0.3">
      <c r="A630" t="s">
        <v>654</v>
      </c>
      <c r="B630" t="s">
        <v>12</v>
      </c>
      <c r="C630" t="s">
        <v>35</v>
      </c>
      <c r="D630">
        <v>72</v>
      </c>
      <c r="E630" t="s">
        <v>26</v>
      </c>
      <c r="F630" t="s">
        <v>16</v>
      </c>
      <c r="G630">
        <v>111.65</v>
      </c>
      <c r="H630">
        <v>7943.45</v>
      </c>
      <c r="I630" t="s">
        <v>15</v>
      </c>
      <c r="J630" t="s">
        <v>15</v>
      </c>
      <c r="K630" t="s">
        <v>17</v>
      </c>
      <c r="L630">
        <v>7943.45</v>
      </c>
      <c r="M630" t="s">
        <v>5033</v>
      </c>
      <c r="N630" t="s">
        <v>5034</v>
      </c>
    </row>
    <row r="631" spans="1:14" x14ac:dyDescent="0.3">
      <c r="A631" t="s">
        <v>655</v>
      </c>
      <c r="B631" t="s">
        <v>19</v>
      </c>
      <c r="C631" t="s">
        <v>13</v>
      </c>
      <c r="D631">
        <v>49</v>
      </c>
      <c r="E631" t="s">
        <v>26</v>
      </c>
      <c r="F631" t="s">
        <v>15</v>
      </c>
      <c r="G631">
        <v>90.05</v>
      </c>
      <c r="H631">
        <v>4547.25</v>
      </c>
      <c r="I631" t="s">
        <v>16</v>
      </c>
      <c r="J631" t="s">
        <v>15</v>
      </c>
      <c r="K631" t="s">
        <v>29</v>
      </c>
      <c r="L631">
        <v>4547.25</v>
      </c>
      <c r="M631" t="s">
        <v>5033</v>
      </c>
      <c r="N631" t="s">
        <v>5034</v>
      </c>
    </row>
    <row r="632" spans="1:14" x14ac:dyDescent="0.3">
      <c r="A632" t="s">
        <v>656</v>
      </c>
      <c r="B632" t="s">
        <v>19</v>
      </c>
      <c r="C632" t="s">
        <v>13</v>
      </c>
      <c r="D632">
        <v>43</v>
      </c>
      <c r="E632" t="s">
        <v>26</v>
      </c>
      <c r="F632" t="s">
        <v>16</v>
      </c>
      <c r="G632">
        <v>110.75</v>
      </c>
      <c r="H632">
        <v>4687.8999999999996</v>
      </c>
      <c r="I632" t="s">
        <v>16</v>
      </c>
      <c r="J632" t="s">
        <v>16</v>
      </c>
      <c r="K632" t="s">
        <v>24</v>
      </c>
      <c r="L632">
        <v>4687.8999999999996</v>
      </c>
      <c r="M632" t="s">
        <v>5033</v>
      </c>
      <c r="N632" t="s">
        <v>5034</v>
      </c>
    </row>
    <row r="633" spans="1:14" x14ac:dyDescent="0.3">
      <c r="A633" t="s">
        <v>657</v>
      </c>
      <c r="B633" t="s">
        <v>12</v>
      </c>
      <c r="C633" t="s">
        <v>13</v>
      </c>
      <c r="D633">
        <v>46</v>
      </c>
      <c r="E633" t="s">
        <v>14</v>
      </c>
      <c r="F633" t="s">
        <v>15</v>
      </c>
      <c r="G633">
        <v>55</v>
      </c>
      <c r="H633">
        <v>2473.9499999999998</v>
      </c>
      <c r="I633" t="s">
        <v>15</v>
      </c>
      <c r="J633" t="s">
        <v>15</v>
      </c>
      <c r="K633" t="s">
        <v>24</v>
      </c>
      <c r="L633">
        <v>2473.9499999999998</v>
      </c>
      <c r="M633" t="s">
        <v>5033</v>
      </c>
      <c r="N633" t="s">
        <v>5031</v>
      </c>
    </row>
    <row r="634" spans="1:14" x14ac:dyDescent="0.3">
      <c r="A634" t="s">
        <v>658</v>
      </c>
      <c r="B634" t="s">
        <v>19</v>
      </c>
      <c r="C634" t="s">
        <v>35</v>
      </c>
      <c r="D634">
        <v>72</v>
      </c>
      <c r="E634" t="s">
        <v>14</v>
      </c>
      <c r="F634" t="s">
        <v>16</v>
      </c>
      <c r="G634">
        <v>89.85</v>
      </c>
      <c r="H634">
        <v>6562.9</v>
      </c>
      <c r="I634" t="s">
        <v>15</v>
      </c>
      <c r="J634" t="s">
        <v>15</v>
      </c>
      <c r="K634" t="s">
        <v>29</v>
      </c>
      <c r="L634">
        <v>6562.9</v>
      </c>
      <c r="M634" t="s">
        <v>5033</v>
      </c>
      <c r="N634" t="s">
        <v>5034</v>
      </c>
    </row>
    <row r="635" spans="1:14" x14ac:dyDescent="0.3">
      <c r="A635" t="s">
        <v>659</v>
      </c>
      <c r="B635" t="s">
        <v>19</v>
      </c>
      <c r="C635" t="s">
        <v>20</v>
      </c>
      <c r="D635">
        <v>10</v>
      </c>
      <c r="E635" t="s">
        <v>15</v>
      </c>
      <c r="F635" t="s">
        <v>36</v>
      </c>
      <c r="G635">
        <v>20.350000000000001</v>
      </c>
      <c r="H635">
        <v>176.3</v>
      </c>
      <c r="I635" t="s">
        <v>15</v>
      </c>
      <c r="J635" t="s">
        <v>15</v>
      </c>
      <c r="K635" t="s">
        <v>21</v>
      </c>
      <c r="L635">
        <v>176.3</v>
      </c>
      <c r="M635" t="s">
        <v>5030</v>
      </c>
      <c r="N635" t="s">
        <v>5031</v>
      </c>
    </row>
    <row r="636" spans="1:14" x14ac:dyDescent="0.3">
      <c r="A636" t="s">
        <v>660</v>
      </c>
      <c r="B636" t="s">
        <v>12</v>
      </c>
      <c r="C636" t="s">
        <v>20</v>
      </c>
      <c r="D636">
        <v>40</v>
      </c>
      <c r="E636" t="s">
        <v>14</v>
      </c>
      <c r="F636" t="s">
        <v>16</v>
      </c>
      <c r="G636">
        <v>54.55</v>
      </c>
      <c r="H636">
        <v>2236.1999999999998</v>
      </c>
      <c r="I636" t="s">
        <v>15</v>
      </c>
      <c r="J636" t="s">
        <v>16</v>
      </c>
      <c r="K636" t="s">
        <v>24</v>
      </c>
      <c r="L636">
        <v>2236.1999999999998</v>
      </c>
      <c r="M636" t="s">
        <v>5033</v>
      </c>
      <c r="N636" t="s">
        <v>5031</v>
      </c>
    </row>
    <row r="637" spans="1:14" x14ac:dyDescent="0.3">
      <c r="A637" t="s">
        <v>661</v>
      </c>
      <c r="B637" t="s">
        <v>12</v>
      </c>
      <c r="C637" t="s">
        <v>13</v>
      </c>
      <c r="D637">
        <v>65</v>
      </c>
      <c r="E637" t="s">
        <v>26</v>
      </c>
      <c r="F637" t="s">
        <v>15</v>
      </c>
      <c r="G637">
        <v>105.5</v>
      </c>
      <c r="H637">
        <v>6985.65</v>
      </c>
      <c r="I637" t="s">
        <v>16</v>
      </c>
      <c r="J637" t="s">
        <v>16</v>
      </c>
      <c r="K637" t="s">
        <v>17</v>
      </c>
      <c r="L637">
        <v>6985.65</v>
      </c>
      <c r="M637" t="s">
        <v>5033</v>
      </c>
      <c r="N637" t="s">
        <v>5034</v>
      </c>
    </row>
    <row r="638" spans="1:14" x14ac:dyDescent="0.3">
      <c r="A638" t="s">
        <v>662</v>
      </c>
      <c r="B638" t="s">
        <v>19</v>
      </c>
      <c r="C638" t="s">
        <v>35</v>
      </c>
      <c r="D638">
        <v>31</v>
      </c>
      <c r="E638" t="s">
        <v>26</v>
      </c>
      <c r="F638" t="s">
        <v>16</v>
      </c>
      <c r="G638">
        <v>99.45</v>
      </c>
      <c r="H638">
        <v>3109.9</v>
      </c>
      <c r="I638" t="s">
        <v>15</v>
      </c>
      <c r="J638" t="s">
        <v>15</v>
      </c>
      <c r="K638" t="s">
        <v>24</v>
      </c>
      <c r="L638">
        <v>3109.9</v>
      </c>
      <c r="M638" t="s">
        <v>5032</v>
      </c>
      <c r="N638" t="s">
        <v>5034</v>
      </c>
    </row>
    <row r="639" spans="1:14" x14ac:dyDescent="0.3">
      <c r="A639" t="s">
        <v>663</v>
      </c>
      <c r="B639" t="s">
        <v>12</v>
      </c>
      <c r="C639" t="s">
        <v>35</v>
      </c>
      <c r="D639">
        <v>68</v>
      </c>
      <c r="E639" t="s">
        <v>14</v>
      </c>
      <c r="F639" t="s">
        <v>16</v>
      </c>
      <c r="G639">
        <v>70.900000000000006</v>
      </c>
      <c r="H639">
        <v>4911.3500000000004</v>
      </c>
      <c r="I639" t="s">
        <v>15</v>
      </c>
      <c r="J639" t="s">
        <v>15</v>
      </c>
      <c r="K639" t="s">
        <v>29</v>
      </c>
      <c r="L639">
        <v>4911.3500000000004</v>
      </c>
      <c r="M639" t="s">
        <v>5033</v>
      </c>
      <c r="N639" t="s">
        <v>5034</v>
      </c>
    </row>
    <row r="640" spans="1:14" x14ac:dyDescent="0.3">
      <c r="A640" t="s">
        <v>664</v>
      </c>
      <c r="B640" t="s">
        <v>19</v>
      </c>
      <c r="C640" t="s">
        <v>20</v>
      </c>
      <c r="D640">
        <v>56</v>
      </c>
      <c r="E640" t="s">
        <v>26</v>
      </c>
      <c r="F640" t="s">
        <v>15</v>
      </c>
      <c r="G640">
        <v>104.55</v>
      </c>
      <c r="H640">
        <v>5794.65</v>
      </c>
      <c r="I640" t="s">
        <v>16</v>
      </c>
      <c r="J640" t="s">
        <v>16</v>
      </c>
      <c r="K640" t="s">
        <v>24</v>
      </c>
      <c r="L640">
        <v>5794.65</v>
      </c>
      <c r="M640" t="s">
        <v>5033</v>
      </c>
      <c r="N640" t="s">
        <v>5034</v>
      </c>
    </row>
    <row r="641" spans="1:14" x14ac:dyDescent="0.3">
      <c r="A641" t="s">
        <v>665</v>
      </c>
      <c r="B641" t="s">
        <v>19</v>
      </c>
      <c r="C641" t="s">
        <v>13</v>
      </c>
      <c r="D641">
        <v>10</v>
      </c>
      <c r="E641" t="s">
        <v>26</v>
      </c>
      <c r="F641" t="s">
        <v>15</v>
      </c>
      <c r="G641">
        <v>85.25</v>
      </c>
      <c r="H641">
        <v>855.3</v>
      </c>
      <c r="I641" t="s">
        <v>16</v>
      </c>
      <c r="J641" t="s">
        <v>16</v>
      </c>
      <c r="K641" t="s">
        <v>17</v>
      </c>
      <c r="L641">
        <v>855.3</v>
      </c>
      <c r="M641" t="s">
        <v>5030</v>
      </c>
      <c r="N641" t="s">
        <v>5031</v>
      </c>
    </row>
    <row r="642" spans="1:14" x14ac:dyDescent="0.3">
      <c r="A642" t="s">
        <v>666</v>
      </c>
      <c r="B642" t="s">
        <v>19</v>
      </c>
      <c r="C642" t="s">
        <v>35</v>
      </c>
      <c r="D642">
        <v>68</v>
      </c>
      <c r="E642" t="s">
        <v>15</v>
      </c>
      <c r="F642" t="s">
        <v>36</v>
      </c>
      <c r="G642">
        <v>25.4</v>
      </c>
      <c r="H642">
        <v>1620.2</v>
      </c>
      <c r="I642" t="s">
        <v>15</v>
      </c>
      <c r="J642" t="s">
        <v>15</v>
      </c>
      <c r="K642" t="s">
        <v>24</v>
      </c>
      <c r="L642">
        <v>1620.2</v>
      </c>
      <c r="M642" t="s">
        <v>5033</v>
      </c>
      <c r="N642" t="s">
        <v>5031</v>
      </c>
    </row>
    <row r="643" spans="1:14" x14ac:dyDescent="0.3">
      <c r="A643" t="s">
        <v>667</v>
      </c>
      <c r="B643" t="s">
        <v>12</v>
      </c>
      <c r="C643" t="s">
        <v>13</v>
      </c>
      <c r="D643">
        <v>43</v>
      </c>
      <c r="E643" t="s">
        <v>14</v>
      </c>
      <c r="F643" t="s">
        <v>15</v>
      </c>
      <c r="G643">
        <v>56.15</v>
      </c>
      <c r="H643">
        <v>2499.3000000000002</v>
      </c>
      <c r="I643" t="s">
        <v>16</v>
      </c>
      <c r="J643" t="s">
        <v>15</v>
      </c>
      <c r="K643" t="s">
        <v>17</v>
      </c>
      <c r="L643">
        <v>2499.3000000000002</v>
      </c>
      <c r="M643" t="s">
        <v>5033</v>
      </c>
      <c r="N643" t="s">
        <v>5031</v>
      </c>
    </row>
    <row r="644" spans="1:14" x14ac:dyDescent="0.3">
      <c r="A644" t="s">
        <v>668</v>
      </c>
      <c r="B644" t="s">
        <v>19</v>
      </c>
      <c r="C644" t="s">
        <v>13</v>
      </c>
      <c r="D644">
        <v>1</v>
      </c>
      <c r="E644" t="s">
        <v>26</v>
      </c>
      <c r="F644" t="s">
        <v>15</v>
      </c>
      <c r="G644">
        <v>89.55</v>
      </c>
      <c r="H644">
        <v>89.55</v>
      </c>
      <c r="I644" t="s">
        <v>16</v>
      </c>
      <c r="J644" t="s">
        <v>16</v>
      </c>
      <c r="K644" t="s">
        <v>17</v>
      </c>
      <c r="L644">
        <v>89.55</v>
      </c>
      <c r="M644" t="s">
        <v>5030</v>
      </c>
      <c r="N644" t="s">
        <v>5031</v>
      </c>
    </row>
    <row r="645" spans="1:14" x14ac:dyDescent="0.3">
      <c r="A645" t="s">
        <v>669</v>
      </c>
      <c r="B645" t="s">
        <v>12</v>
      </c>
      <c r="C645" t="s">
        <v>20</v>
      </c>
      <c r="D645">
        <v>49</v>
      </c>
      <c r="E645" t="s">
        <v>26</v>
      </c>
      <c r="F645" t="s">
        <v>15</v>
      </c>
      <c r="G645">
        <v>89.85</v>
      </c>
      <c r="H645">
        <v>4287.2</v>
      </c>
      <c r="I645" t="s">
        <v>15</v>
      </c>
      <c r="J645" t="s">
        <v>16</v>
      </c>
      <c r="K645" t="s">
        <v>24</v>
      </c>
      <c r="L645">
        <v>4287.2</v>
      </c>
      <c r="M645" t="s">
        <v>5033</v>
      </c>
      <c r="N645" t="s">
        <v>5034</v>
      </c>
    </row>
    <row r="646" spans="1:14" x14ac:dyDescent="0.3">
      <c r="A646" t="s">
        <v>670</v>
      </c>
      <c r="B646" t="s">
        <v>12</v>
      </c>
      <c r="C646" t="s">
        <v>13</v>
      </c>
      <c r="D646">
        <v>15</v>
      </c>
      <c r="E646" t="s">
        <v>15</v>
      </c>
      <c r="F646" t="s">
        <v>36</v>
      </c>
      <c r="G646">
        <v>25.25</v>
      </c>
      <c r="H646">
        <v>394.85</v>
      </c>
      <c r="I646" t="s">
        <v>15</v>
      </c>
      <c r="J646" t="s">
        <v>16</v>
      </c>
      <c r="K646" t="s">
        <v>17</v>
      </c>
      <c r="L646">
        <v>394.85</v>
      </c>
      <c r="M646" t="s">
        <v>5032</v>
      </c>
      <c r="N646" t="s">
        <v>5031</v>
      </c>
    </row>
    <row r="647" spans="1:14" x14ac:dyDescent="0.3">
      <c r="A647" t="s">
        <v>671</v>
      </c>
      <c r="B647" t="s">
        <v>19</v>
      </c>
      <c r="C647" t="s">
        <v>13</v>
      </c>
      <c r="D647">
        <v>20</v>
      </c>
      <c r="E647" t="s">
        <v>26</v>
      </c>
      <c r="F647" t="s">
        <v>15</v>
      </c>
      <c r="G647">
        <v>94.55</v>
      </c>
      <c r="H647">
        <v>1899.65</v>
      </c>
      <c r="I647" t="s">
        <v>16</v>
      </c>
      <c r="J647" t="s">
        <v>16</v>
      </c>
      <c r="K647" t="s">
        <v>17</v>
      </c>
      <c r="L647">
        <v>1899.65</v>
      </c>
      <c r="M647" t="s">
        <v>5032</v>
      </c>
      <c r="N647" t="s">
        <v>5031</v>
      </c>
    </row>
    <row r="648" spans="1:14" x14ac:dyDescent="0.3">
      <c r="A648" t="s">
        <v>672</v>
      </c>
      <c r="B648" t="s">
        <v>19</v>
      </c>
      <c r="C648" t="s">
        <v>13</v>
      </c>
      <c r="D648">
        <v>1</v>
      </c>
      <c r="E648" t="s">
        <v>14</v>
      </c>
      <c r="F648" t="s">
        <v>15</v>
      </c>
      <c r="G648">
        <v>45.7</v>
      </c>
      <c r="H648">
        <v>45.7</v>
      </c>
      <c r="I648" t="s">
        <v>16</v>
      </c>
      <c r="J648" t="s">
        <v>16</v>
      </c>
      <c r="K648" t="s">
        <v>21</v>
      </c>
      <c r="L648">
        <v>45.7</v>
      </c>
      <c r="M648" t="s">
        <v>5030</v>
      </c>
      <c r="N648" t="s">
        <v>5031</v>
      </c>
    </row>
    <row r="649" spans="1:14" x14ac:dyDescent="0.3">
      <c r="A649" t="s">
        <v>673</v>
      </c>
      <c r="B649" t="s">
        <v>19</v>
      </c>
      <c r="C649" t="s">
        <v>20</v>
      </c>
      <c r="D649">
        <v>50</v>
      </c>
      <c r="E649" t="s">
        <v>14</v>
      </c>
      <c r="F649" t="s">
        <v>16</v>
      </c>
      <c r="G649">
        <v>69.650000000000006</v>
      </c>
      <c r="H649">
        <v>3442.15</v>
      </c>
      <c r="I649" t="s">
        <v>15</v>
      </c>
      <c r="J649" t="s">
        <v>16</v>
      </c>
      <c r="K649" t="s">
        <v>17</v>
      </c>
      <c r="L649">
        <v>3442.15</v>
      </c>
      <c r="M649" t="s">
        <v>5033</v>
      </c>
      <c r="N649" t="s">
        <v>5034</v>
      </c>
    </row>
    <row r="650" spans="1:14" x14ac:dyDescent="0.3">
      <c r="A650" t="s">
        <v>674</v>
      </c>
      <c r="B650" t="s">
        <v>12</v>
      </c>
      <c r="C650" t="s">
        <v>13</v>
      </c>
      <c r="D650">
        <v>2</v>
      </c>
      <c r="E650" t="s">
        <v>26</v>
      </c>
      <c r="F650" t="s">
        <v>15</v>
      </c>
      <c r="G650">
        <v>89.5</v>
      </c>
      <c r="H650">
        <v>161.5</v>
      </c>
      <c r="I650" t="s">
        <v>16</v>
      </c>
      <c r="J650" t="s">
        <v>15</v>
      </c>
      <c r="K650" t="s">
        <v>17</v>
      </c>
      <c r="L650">
        <v>161.5</v>
      </c>
      <c r="M650" t="s">
        <v>5030</v>
      </c>
      <c r="N650" t="s">
        <v>5031</v>
      </c>
    </row>
    <row r="651" spans="1:14" x14ac:dyDescent="0.3">
      <c r="A651" t="s">
        <v>675</v>
      </c>
      <c r="B651" t="s">
        <v>19</v>
      </c>
      <c r="C651" t="s">
        <v>13</v>
      </c>
      <c r="D651">
        <v>24</v>
      </c>
      <c r="E651" t="s">
        <v>26</v>
      </c>
      <c r="F651" t="s">
        <v>15</v>
      </c>
      <c r="G651">
        <v>70</v>
      </c>
      <c r="H651">
        <v>1732.6</v>
      </c>
      <c r="I651" t="s">
        <v>15</v>
      </c>
      <c r="J651" t="s">
        <v>15</v>
      </c>
      <c r="K651" t="s">
        <v>29</v>
      </c>
      <c r="L651">
        <v>1732.6</v>
      </c>
      <c r="M651" t="s">
        <v>5032</v>
      </c>
      <c r="N651" t="s">
        <v>5031</v>
      </c>
    </row>
    <row r="652" spans="1:14" x14ac:dyDescent="0.3">
      <c r="A652" t="s">
        <v>676</v>
      </c>
      <c r="B652" t="s">
        <v>12</v>
      </c>
      <c r="C652" t="s">
        <v>13</v>
      </c>
      <c r="D652">
        <v>3</v>
      </c>
      <c r="E652" t="s">
        <v>26</v>
      </c>
      <c r="F652" t="s">
        <v>15</v>
      </c>
      <c r="G652">
        <v>69.55</v>
      </c>
      <c r="H652">
        <v>222.3</v>
      </c>
      <c r="I652" t="s">
        <v>16</v>
      </c>
      <c r="J652" t="s">
        <v>16</v>
      </c>
      <c r="K652" t="s">
        <v>24</v>
      </c>
      <c r="L652">
        <v>222.3</v>
      </c>
      <c r="M652" t="s">
        <v>5030</v>
      </c>
      <c r="N652" t="s">
        <v>5031</v>
      </c>
    </row>
    <row r="653" spans="1:14" x14ac:dyDescent="0.3">
      <c r="A653" t="s">
        <v>677</v>
      </c>
      <c r="B653" t="s">
        <v>12</v>
      </c>
      <c r="C653" t="s">
        <v>13</v>
      </c>
      <c r="D653">
        <v>1</v>
      </c>
      <c r="E653" t="s">
        <v>26</v>
      </c>
      <c r="F653" t="s">
        <v>15</v>
      </c>
      <c r="G653">
        <v>74.599999999999994</v>
      </c>
      <c r="H653">
        <v>74.599999999999994</v>
      </c>
      <c r="I653" t="s">
        <v>16</v>
      </c>
      <c r="J653" t="s">
        <v>16</v>
      </c>
      <c r="K653" t="s">
        <v>21</v>
      </c>
      <c r="L653">
        <v>74.599999999999994</v>
      </c>
      <c r="M653" t="s">
        <v>5030</v>
      </c>
      <c r="N653" t="s">
        <v>5031</v>
      </c>
    </row>
    <row r="654" spans="1:14" x14ac:dyDescent="0.3">
      <c r="A654" t="s">
        <v>678</v>
      </c>
      <c r="B654" t="s">
        <v>19</v>
      </c>
      <c r="C654" t="s">
        <v>35</v>
      </c>
      <c r="D654">
        <v>35</v>
      </c>
      <c r="E654" t="s">
        <v>15</v>
      </c>
      <c r="F654" t="s">
        <v>36</v>
      </c>
      <c r="G654">
        <v>20.100000000000001</v>
      </c>
      <c r="H654">
        <v>655.29999999999995</v>
      </c>
      <c r="I654" t="s">
        <v>15</v>
      </c>
      <c r="J654" t="s">
        <v>15</v>
      </c>
      <c r="K654" t="s">
        <v>21</v>
      </c>
      <c r="L654">
        <v>655.29999999999995</v>
      </c>
      <c r="M654" t="s">
        <v>5032</v>
      </c>
      <c r="N654" t="s">
        <v>5031</v>
      </c>
    </row>
    <row r="655" spans="1:14" x14ac:dyDescent="0.3">
      <c r="A655" t="s">
        <v>679</v>
      </c>
      <c r="B655" t="s">
        <v>12</v>
      </c>
      <c r="C655" t="s">
        <v>13</v>
      </c>
      <c r="D655">
        <v>17</v>
      </c>
      <c r="E655" t="s">
        <v>15</v>
      </c>
      <c r="F655" t="s">
        <v>36</v>
      </c>
      <c r="G655">
        <v>24.8</v>
      </c>
      <c r="H655">
        <v>475.25</v>
      </c>
      <c r="I655" t="s">
        <v>15</v>
      </c>
      <c r="J655" t="s">
        <v>15</v>
      </c>
      <c r="K655" t="s">
        <v>21</v>
      </c>
      <c r="L655">
        <v>475.25</v>
      </c>
      <c r="M655" t="s">
        <v>5032</v>
      </c>
      <c r="N655" t="s">
        <v>5031</v>
      </c>
    </row>
    <row r="656" spans="1:14" x14ac:dyDescent="0.3">
      <c r="A656" t="s">
        <v>680</v>
      </c>
      <c r="B656" t="s">
        <v>12</v>
      </c>
      <c r="C656" t="s">
        <v>13</v>
      </c>
      <c r="D656">
        <v>8</v>
      </c>
      <c r="E656" t="s">
        <v>15</v>
      </c>
      <c r="F656" t="s">
        <v>36</v>
      </c>
      <c r="G656">
        <v>19.649999999999999</v>
      </c>
      <c r="H656">
        <v>164.3</v>
      </c>
      <c r="I656" t="s">
        <v>16</v>
      </c>
      <c r="J656" t="s">
        <v>15</v>
      </c>
      <c r="K656" t="s">
        <v>17</v>
      </c>
      <c r="L656">
        <v>164.3</v>
      </c>
      <c r="M656" t="s">
        <v>5030</v>
      </c>
      <c r="N656" t="s">
        <v>5031</v>
      </c>
    </row>
    <row r="657" spans="1:14" x14ac:dyDescent="0.3">
      <c r="A657" t="s">
        <v>681</v>
      </c>
      <c r="B657" t="s">
        <v>19</v>
      </c>
      <c r="C657" t="s">
        <v>13</v>
      </c>
      <c r="D657">
        <v>10</v>
      </c>
      <c r="E657" t="s">
        <v>26</v>
      </c>
      <c r="F657" t="s">
        <v>16</v>
      </c>
      <c r="G657">
        <v>95.1</v>
      </c>
      <c r="H657">
        <v>865.1</v>
      </c>
      <c r="I657" t="s">
        <v>15</v>
      </c>
      <c r="J657" t="s">
        <v>16</v>
      </c>
      <c r="K657" t="s">
        <v>29</v>
      </c>
      <c r="L657">
        <v>865.1</v>
      </c>
      <c r="M657" t="s">
        <v>5030</v>
      </c>
      <c r="N657" t="s">
        <v>5031</v>
      </c>
    </row>
    <row r="658" spans="1:14" x14ac:dyDescent="0.3">
      <c r="A658" t="s">
        <v>682</v>
      </c>
      <c r="B658" t="s">
        <v>19</v>
      </c>
      <c r="C658" t="s">
        <v>35</v>
      </c>
      <c r="D658">
        <v>68</v>
      </c>
      <c r="E658" t="s">
        <v>14</v>
      </c>
      <c r="F658" t="s">
        <v>16</v>
      </c>
      <c r="G658">
        <v>88.85</v>
      </c>
      <c r="H658">
        <v>6132.7</v>
      </c>
      <c r="I658" t="s">
        <v>15</v>
      </c>
      <c r="J658" t="s">
        <v>16</v>
      </c>
      <c r="K658" t="s">
        <v>29</v>
      </c>
      <c r="L658">
        <v>6132.7</v>
      </c>
      <c r="M658" t="s">
        <v>5033</v>
      </c>
      <c r="N658" t="s">
        <v>5034</v>
      </c>
    </row>
    <row r="659" spans="1:14" x14ac:dyDescent="0.3">
      <c r="A659" t="s">
        <v>683</v>
      </c>
      <c r="B659" t="s">
        <v>19</v>
      </c>
      <c r="C659" t="s">
        <v>20</v>
      </c>
      <c r="D659">
        <v>45</v>
      </c>
      <c r="E659" t="s">
        <v>14</v>
      </c>
      <c r="F659" t="s">
        <v>15</v>
      </c>
      <c r="G659">
        <v>78.8</v>
      </c>
      <c r="H659">
        <v>3597.5</v>
      </c>
      <c r="I659" t="s">
        <v>15</v>
      </c>
      <c r="J659" t="s">
        <v>15</v>
      </c>
      <c r="K659" t="s">
        <v>24</v>
      </c>
      <c r="L659">
        <v>3597.5</v>
      </c>
      <c r="M659" t="s">
        <v>5033</v>
      </c>
      <c r="N659" t="s">
        <v>5034</v>
      </c>
    </row>
    <row r="660" spans="1:14" x14ac:dyDescent="0.3">
      <c r="A660" t="s">
        <v>684</v>
      </c>
      <c r="B660" t="s">
        <v>19</v>
      </c>
      <c r="C660" t="s">
        <v>20</v>
      </c>
      <c r="D660">
        <v>2</v>
      </c>
      <c r="E660" t="s">
        <v>15</v>
      </c>
      <c r="F660" t="s">
        <v>36</v>
      </c>
      <c r="G660">
        <v>19.850000000000001</v>
      </c>
      <c r="H660">
        <v>35.9</v>
      </c>
      <c r="I660" t="s">
        <v>16</v>
      </c>
      <c r="J660" t="s">
        <v>15</v>
      </c>
      <c r="K660" t="s">
        <v>21</v>
      </c>
      <c r="L660">
        <v>35.9</v>
      </c>
      <c r="M660" t="s">
        <v>5030</v>
      </c>
      <c r="N660" t="s">
        <v>5031</v>
      </c>
    </row>
    <row r="661" spans="1:14" x14ac:dyDescent="0.3">
      <c r="A661" t="s">
        <v>685</v>
      </c>
      <c r="B661" t="s">
        <v>19</v>
      </c>
      <c r="C661" t="s">
        <v>13</v>
      </c>
      <c r="D661">
        <v>37</v>
      </c>
      <c r="E661" t="s">
        <v>15</v>
      </c>
      <c r="F661" t="s">
        <v>36</v>
      </c>
      <c r="G661">
        <v>20.350000000000001</v>
      </c>
      <c r="H661">
        <v>697.65</v>
      </c>
      <c r="I661" t="s">
        <v>15</v>
      </c>
      <c r="J661" t="s">
        <v>15</v>
      </c>
      <c r="K661" t="s">
        <v>24</v>
      </c>
      <c r="L661">
        <v>697.65</v>
      </c>
      <c r="M661" t="s">
        <v>5033</v>
      </c>
      <c r="N661" t="s">
        <v>5031</v>
      </c>
    </row>
    <row r="662" spans="1:14" x14ac:dyDescent="0.3">
      <c r="A662" t="s">
        <v>686</v>
      </c>
      <c r="B662" t="s">
        <v>12</v>
      </c>
      <c r="C662" t="s">
        <v>13</v>
      </c>
      <c r="D662">
        <v>4</v>
      </c>
      <c r="E662" t="s">
        <v>14</v>
      </c>
      <c r="F662" t="s">
        <v>15</v>
      </c>
      <c r="G662">
        <v>24.25</v>
      </c>
      <c r="H662">
        <v>96.05</v>
      </c>
      <c r="I662" t="s">
        <v>16</v>
      </c>
      <c r="J662" t="s">
        <v>16</v>
      </c>
      <c r="K662" t="s">
        <v>21</v>
      </c>
      <c r="L662">
        <v>96.05</v>
      </c>
      <c r="M662" t="s">
        <v>5030</v>
      </c>
      <c r="N662" t="s">
        <v>5031</v>
      </c>
    </row>
    <row r="663" spans="1:14" x14ac:dyDescent="0.3">
      <c r="A663" t="s">
        <v>687</v>
      </c>
      <c r="B663" t="s">
        <v>12</v>
      </c>
      <c r="C663" t="s">
        <v>13</v>
      </c>
      <c r="D663">
        <v>10</v>
      </c>
      <c r="E663" t="s">
        <v>14</v>
      </c>
      <c r="F663" t="s">
        <v>15</v>
      </c>
      <c r="G663">
        <v>45.25</v>
      </c>
      <c r="H663">
        <v>428.7</v>
      </c>
      <c r="I663" t="s">
        <v>15</v>
      </c>
      <c r="J663" t="s">
        <v>15</v>
      </c>
      <c r="K663" t="s">
        <v>21</v>
      </c>
      <c r="L663">
        <v>428.7</v>
      </c>
      <c r="M663" t="s">
        <v>5030</v>
      </c>
      <c r="N663" t="s">
        <v>5031</v>
      </c>
    </row>
    <row r="664" spans="1:14" x14ac:dyDescent="0.3">
      <c r="A664" t="s">
        <v>688</v>
      </c>
      <c r="B664" t="s">
        <v>19</v>
      </c>
      <c r="C664" t="s">
        <v>13</v>
      </c>
      <c r="D664">
        <v>1</v>
      </c>
      <c r="E664" t="s">
        <v>15</v>
      </c>
      <c r="F664" t="s">
        <v>36</v>
      </c>
      <c r="G664">
        <v>20.05</v>
      </c>
      <c r="H664">
        <v>20.05</v>
      </c>
      <c r="I664" t="s">
        <v>15</v>
      </c>
      <c r="J664" t="s">
        <v>15</v>
      </c>
      <c r="K664" t="s">
        <v>21</v>
      </c>
      <c r="L664">
        <v>20.05</v>
      </c>
      <c r="M664" t="s">
        <v>5030</v>
      </c>
      <c r="N664" t="s">
        <v>5031</v>
      </c>
    </row>
    <row r="665" spans="1:14" x14ac:dyDescent="0.3">
      <c r="A665" t="s">
        <v>689</v>
      </c>
      <c r="B665" t="s">
        <v>19</v>
      </c>
      <c r="C665" t="s">
        <v>35</v>
      </c>
      <c r="D665">
        <v>65</v>
      </c>
      <c r="E665" t="s">
        <v>14</v>
      </c>
      <c r="F665" t="s">
        <v>15</v>
      </c>
      <c r="G665">
        <v>69.55</v>
      </c>
      <c r="H665">
        <v>4459.1499999999996</v>
      </c>
      <c r="I665" t="s">
        <v>15</v>
      </c>
      <c r="J665" t="s">
        <v>16</v>
      </c>
      <c r="K665" t="s">
        <v>21</v>
      </c>
      <c r="L665">
        <v>4459.1499999999996</v>
      </c>
      <c r="M665" t="s">
        <v>5033</v>
      </c>
      <c r="N665" t="s">
        <v>5034</v>
      </c>
    </row>
    <row r="666" spans="1:14" x14ac:dyDescent="0.3">
      <c r="A666" t="s">
        <v>690</v>
      </c>
      <c r="B666" t="s">
        <v>12</v>
      </c>
      <c r="C666" t="s">
        <v>35</v>
      </c>
      <c r="D666">
        <v>57</v>
      </c>
      <c r="E666" t="s">
        <v>15</v>
      </c>
      <c r="F666" t="s">
        <v>36</v>
      </c>
      <c r="G666">
        <v>19.5</v>
      </c>
      <c r="H666">
        <v>1167.5999999999999</v>
      </c>
      <c r="I666" t="s">
        <v>15</v>
      </c>
      <c r="J666" t="s">
        <v>15</v>
      </c>
      <c r="K666" t="s">
        <v>24</v>
      </c>
      <c r="L666">
        <v>1167.5999999999999</v>
      </c>
      <c r="M666" t="s">
        <v>5033</v>
      </c>
      <c r="N666" t="s">
        <v>5031</v>
      </c>
    </row>
    <row r="667" spans="1:14" x14ac:dyDescent="0.3">
      <c r="A667" t="s">
        <v>691</v>
      </c>
      <c r="B667" t="s">
        <v>12</v>
      </c>
      <c r="C667" t="s">
        <v>13</v>
      </c>
      <c r="D667">
        <v>3</v>
      </c>
      <c r="E667" t="s">
        <v>26</v>
      </c>
      <c r="F667" t="s">
        <v>15</v>
      </c>
      <c r="G667">
        <v>74.75</v>
      </c>
      <c r="H667">
        <v>238.1</v>
      </c>
      <c r="I667" t="s">
        <v>15</v>
      </c>
      <c r="J667" t="s">
        <v>16</v>
      </c>
      <c r="K667" t="s">
        <v>21</v>
      </c>
      <c r="L667">
        <v>238.1</v>
      </c>
      <c r="M667" t="s">
        <v>5030</v>
      </c>
      <c r="N667" t="s">
        <v>5031</v>
      </c>
    </row>
    <row r="668" spans="1:14" x14ac:dyDescent="0.3">
      <c r="A668" t="s">
        <v>692</v>
      </c>
      <c r="B668" t="s">
        <v>12</v>
      </c>
      <c r="C668" t="s">
        <v>13</v>
      </c>
      <c r="D668">
        <v>2</v>
      </c>
      <c r="E668" t="s">
        <v>26</v>
      </c>
      <c r="F668" t="s">
        <v>15</v>
      </c>
      <c r="G668">
        <v>69.650000000000006</v>
      </c>
      <c r="H668">
        <v>145.15</v>
      </c>
      <c r="I668" t="s">
        <v>16</v>
      </c>
      <c r="J668" t="s">
        <v>15</v>
      </c>
      <c r="K668" t="s">
        <v>17</v>
      </c>
      <c r="L668">
        <v>145.15</v>
      </c>
      <c r="M668" t="s">
        <v>5030</v>
      </c>
      <c r="N668" t="s">
        <v>5031</v>
      </c>
    </row>
    <row r="669" spans="1:14" x14ac:dyDescent="0.3">
      <c r="A669" t="s">
        <v>693</v>
      </c>
      <c r="B669" t="s">
        <v>19</v>
      </c>
      <c r="C669" t="s">
        <v>13</v>
      </c>
      <c r="D669">
        <v>49</v>
      </c>
      <c r="E669" t="s">
        <v>14</v>
      </c>
      <c r="F669" t="s">
        <v>15</v>
      </c>
      <c r="G669">
        <v>30.2</v>
      </c>
      <c r="H669">
        <v>1453.1</v>
      </c>
      <c r="I669" t="s">
        <v>15</v>
      </c>
      <c r="J669" t="s">
        <v>16</v>
      </c>
      <c r="K669" t="s">
        <v>24</v>
      </c>
      <c r="L669">
        <v>1453.1</v>
      </c>
      <c r="M669" t="s">
        <v>5033</v>
      </c>
      <c r="N669" t="s">
        <v>5031</v>
      </c>
    </row>
    <row r="670" spans="1:14" x14ac:dyDescent="0.3">
      <c r="A670" t="s">
        <v>694</v>
      </c>
      <c r="B670" t="s">
        <v>12</v>
      </c>
      <c r="C670" t="s">
        <v>13</v>
      </c>
      <c r="D670">
        <v>4</v>
      </c>
      <c r="E670" t="s">
        <v>14</v>
      </c>
      <c r="F670" t="s">
        <v>15</v>
      </c>
      <c r="G670">
        <v>45.65</v>
      </c>
      <c r="H670">
        <v>191.05</v>
      </c>
      <c r="I670" t="s">
        <v>16</v>
      </c>
      <c r="J670" t="s">
        <v>15</v>
      </c>
      <c r="K670" t="s">
        <v>21</v>
      </c>
      <c r="L670">
        <v>191.05</v>
      </c>
      <c r="M670" t="s">
        <v>5030</v>
      </c>
      <c r="N670" t="s">
        <v>5031</v>
      </c>
    </row>
    <row r="671" spans="1:14" x14ac:dyDescent="0.3">
      <c r="A671" t="s">
        <v>695</v>
      </c>
      <c r="B671" t="s">
        <v>12</v>
      </c>
      <c r="C671" t="s">
        <v>35</v>
      </c>
      <c r="D671">
        <v>70</v>
      </c>
      <c r="E671" t="s">
        <v>14</v>
      </c>
      <c r="F671" t="s">
        <v>16</v>
      </c>
      <c r="G671">
        <v>57.8</v>
      </c>
      <c r="H671">
        <v>4039.3</v>
      </c>
      <c r="I671" t="s">
        <v>15</v>
      </c>
      <c r="J671" t="s">
        <v>15</v>
      </c>
      <c r="K671" t="s">
        <v>24</v>
      </c>
      <c r="L671">
        <v>4039.3</v>
      </c>
      <c r="M671" t="s">
        <v>5033</v>
      </c>
      <c r="N671" t="s">
        <v>5034</v>
      </c>
    </row>
    <row r="672" spans="1:14" x14ac:dyDescent="0.3">
      <c r="A672" t="s">
        <v>696</v>
      </c>
      <c r="B672" t="s">
        <v>12</v>
      </c>
      <c r="C672" t="s">
        <v>20</v>
      </c>
      <c r="D672">
        <v>53</v>
      </c>
      <c r="E672" t="s">
        <v>15</v>
      </c>
      <c r="F672" t="s">
        <v>36</v>
      </c>
      <c r="G672">
        <v>19.850000000000001</v>
      </c>
      <c r="H672">
        <v>1039.45</v>
      </c>
      <c r="I672" t="s">
        <v>15</v>
      </c>
      <c r="J672" t="s">
        <v>16</v>
      </c>
      <c r="K672" t="s">
        <v>24</v>
      </c>
      <c r="L672">
        <v>1039.45</v>
      </c>
      <c r="M672" t="s">
        <v>5033</v>
      </c>
      <c r="N672" t="s">
        <v>5031</v>
      </c>
    </row>
    <row r="673" spans="1:14" x14ac:dyDescent="0.3">
      <c r="A673" t="s">
        <v>697</v>
      </c>
      <c r="B673" t="s">
        <v>19</v>
      </c>
      <c r="C673" t="s">
        <v>35</v>
      </c>
      <c r="D673">
        <v>53</v>
      </c>
      <c r="E673" t="s">
        <v>15</v>
      </c>
      <c r="F673" t="s">
        <v>36</v>
      </c>
      <c r="G673">
        <v>25.55</v>
      </c>
      <c r="H673">
        <v>1336.1</v>
      </c>
      <c r="I673" t="s">
        <v>15</v>
      </c>
      <c r="J673" t="s">
        <v>15</v>
      </c>
      <c r="K673" t="s">
        <v>29</v>
      </c>
      <c r="L673">
        <v>1336.1</v>
      </c>
      <c r="M673" t="s">
        <v>5033</v>
      </c>
      <c r="N673" t="s">
        <v>5031</v>
      </c>
    </row>
    <row r="674" spans="1:14" x14ac:dyDescent="0.3">
      <c r="A674" t="s">
        <v>698</v>
      </c>
      <c r="B674" t="s">
        <v>12</v>
      </c>
      <c r="C674" t="s">
        <v>13</v>
      </c>
      <c r="D674">
        <v>1</v>
      </c>
      <c r="E674" t="s">
        <v>26</v>
      </c>
      <c r="F674" t="s">
        <v>15</v>
      </c>
      <c r="G674">
        <v>75.05</v>
      </c>
      <c r="H674">
        <v>75.05</v>
      </c>
      <c r="I674" t="s">
        <v>16</v>
      </c>
      <c r="J674" t="s">
        <v>16</v>
      </c>
      <c r="K674" t="s">
        <v>21</v>
      </c>
      <c r="L674">
        <v>75.05</v>
      </c>
      <c r="M674" t="s">
        <v>5030</v>
      </c>
      <c r="N674" t="s">
        <v>5031</v>
      </c>
    </row>
    <row r="675" spans="1:14" x14ac:dyDescent="0.3">
      <c r="A675" t="s">
        <v>699</v>
      </c>
      <c r="B675" t="s">
        <v>19</v>
      </c>
      <c r="C675" t="s">
        <v>13</v>
      </c>
      <c r="D675">
        <v>22</v>
      </c>
      <c r="E675" t="s">
        <v>15</v>
      </c>
      <c r="F675" t="s">
        <v>36</v>
      </c>
      <c r="G675">
        <v>24.85</v>
      </c>
      <c r="H675">
        <v>493.4</v>
      </c>
      <c r="I675" t="s">
        <v>15</v>
      </c>
      <c r="J675" t="s">
        <v>16</v>
      </c>
      <c r="K675" t="s">
        <v>29</v>
      </c>
      <c r="L675">
        <v>493.4</v>
      </c>
      <c r="M675" t="s">
        <v>5032</v>
      </c>
      <c r="N675" t="s">
        <v>5031</v>
      </c>
    </row>
    <row r="676" spans="1:14" x14ac:dyDescent="0.3">
      <c r="A676" t="s">
        <v>700</v>
      </c>
      <c r="B676" t="s">
        <v>19</v>
      </c>
      <c r="C676" t="s">
        <v>13</v>
      </c>
      <c r="D676">
        <v>52</v>
      </c>
      <c r="E676" t="s">
        <v>14</v>
      </c>
      <c r="F676" t="s">
        <v>15</v>
      </c>
      <c r="G676">
        <v>49.15</v>
      </c>
      <c r="H676">
        <v>2550.9</v>
      </c>
      <c r="I676" t="s">
        <v>16</v>
      </c>
      <c r="J676" t="s">
        <v>16</v>
      </c>
      <c r="K676" t="s">
        <v>17</v>
      </c>
      <c r="L676">
        <v>2550.9</v>
      </c>
      <c r="M676" t="s">
        <v>5033</v>
      </c>
      <c r="N676" t="s">
        <v>5034</v>
      </c>
    </row>
    <row r="677" spans="1:14" x14ac:dyDescent="0.3">
      <c r="A677" t="s">
        <v>701</v>
      </c>
      <c r="B677" t="s">
        <v>19</v>
      </c>
      <c r="C677" t="s">
        <v>35</v>
      </c>
      <c r="D677">
        <v>65</v>
      </c>
      <c r="E677" t="s">
        <v>26</v>
      </c>
      <c r="F677" t="s">
        <v>16</v>
      </c>
      <c r="G677">
        <v>110.35</v>
      </c>
      <c r="H677">
        <v>7246.15</v>
      </c>
      <c r="I677" t="s">
        <v>15</v>
      </c>
      <c r="J677" t="s">
        <v>16</v>
      </c>
      <c r="K677" t="s">
        <v>17</v>
      </c>
      <c r="L677">
        <v>7246.15</v>
      </c>
      <c r="M677" t="s">
        <v>5033</v>
      </c>
      <c r="N677" t="s">
        <v>5034</v>
      </c>
    </row>
    <row r="678" spans="1:14" x14ac:dyDescent="0.3">
      <c r="A678" t="s">
        <v>702</v>
      </c>
      <c r="B678" t="s">
        <v>12</v>
      </c>
      <c r="C678" t="s">
        <v>20</v>
      </c>
      <c r="D678">
        <v>48</v>
      </c>
      <c r="E678" t="s">
        <v>15</v>
      </c>
      <c r="F678" t="s">
        <v>36</v>
      </c>
      <c r="G678">
        <v>24.55</v>
      </c>
      <c r="H678">
        <v>1203.95</v>
      </c>
      <c r="I678" t="s">
        <v>15</v>
      </c>
      <c r="J678" t="s">
        <v>15</v>
      </c>
      <c r="K678" t="s">
        <v>24</v>
      </c>
      <c r="L678">
        <v>1203.95</v>
      </c>
      <c r="M678" t="s">
        <v>5033</v>
      </c>
      <c r="N678" t="s">
        <v>5031</v>
      </c>
    </row>
    <row r="679" spans="1:14" x14ac:dyDescent="0.3">
      <c r="A679" t="s">
        <v>703</v>
      </c>
      <c r="B679" t="s">
        <v>12</v>
      </c>
      <c r="C679" t="s">
        <v>13</v>
      </c>
      <c r="D679">
        <v>2</v>
      </c>
      <c r="E679" t="s">
        <v>14</v>
      </c>
      <c r="F679" t="s">
        <v>15</v>
      </c>
      <c r="G679">
        <v>34.700000000000003</v>
      </c>
      <c r="H679">
        <v>62.25</v>
      </c>
      <c r="I679" t="s">
        <v>16</v>
      </c>
      <c r="J679" t="s">
        <v>16</v>
      </c>
      <c r="K679" t="s">
        <v>17</v>
      </c>
      <c r="L679">
        <v>62.25</v>
      </c>
      <c r="M679" t="s">
        <v>5030</v>
      </c>
      <c r="N679" t="s">
        <v>5031</v>
      </c>
    </row>
    <row r="680" spans="1:14" x14ac:dyDescent="0.3">
      <c r="A680" t="s">
        <v>704</v>
      </c>
      <c r="B680" t="s">
        <v>19</v>
      </c>
      <c r="C680" t="s">
        <v>13</v>
      </c>
      <c r="D680">
        <v>3</v>
      </c>
      <c r="E680" t="s">
        <v>26</v>
      </c>
      <c r="F680" t="s">
        <v>15</v>
      </c>
      <c r="G680">
        <v>107.95</v>
      </c>
      <c r="H680">
        <v>313.60000000000002</v>
      </c>
      <c r="I680" t="s">
        <v>15</v>
      </c>
      <c r="J680" t="s">
        <v>15</v>
      </c>
      <c r="K680" t="s">
        <v>21</v>
      </c>
      <c r="L680">
        <v>313.60000000000002</v>
      </c>
      <c r="M680" t="s">
        <v>5030</v>
      </c>
      <c r="N680" t="s">
        <v>5031</v>
      </c>
    </row>
    <row r="681" spans="1:14" x14ac:dyDescent="0.3">
      <c r="A681" t="s">
        <v>705</v>
      </c>
      <c r="B681" t="s">
        <v>19</v>
      </c>
      <c r="C681" t="s">
        <v>13</v>
      </c>
      <c r="D681">
        <v>45</v>
      </c>
      <c r="E681" t="s">
        <v>26</v>
      </c>
      <c r="F681" t="s">
        <v>15</v>
      </c>
      <c r="G681">
        <v>81.400000000000006</v>
      </c>
      <c r="H681">
        <v>3775.85</v>
      </c>
      <c r="I681" t="s">
        <v>15</v>
      </c>
      <c r="J681" t="s">
        <v>15</v>
      </c>
      <c r="K681" t="s">
        <v>24</v>
      </c>
      <c r="L681">
        <v>3775.85</v>
      </c>
      <c r="M681" t="s">
        <v>5033</v>
      </c>
      <c r="N681" t="s">
        <v>5034</v>
      </c>
    </row>
    <row r="682" spans="1:14" x14ac:dyDescent="0.3">
      <c r="A682" t="s">
        <v>706</v>
      </c>
      <c r="B682" t="s">
        <v>19</v>
      </c>
      <c r="C682" t="s">
        <v>13</v>
      </c>
      <c r="D682">
        <v>1</v>
      </c>
      <c r="E682" t="s">
        <v>26</v>
      </c>
      <c r="F682" t="s">
        <v>15</v>
      </c>
      <c r="G682">
        <v>80</v>
      </c>
      <c r="H682">
        <v>80</v>
      </c>
      <c r="I682" t="s">
        <v>16</v>
      </c>
      <c r="J682" t="s">
        <v>15</v>
      </c>
      <c r="K682" t="s">
        <v>17</v>
      </c>
      <c r="L682">
        <v>80</v>
      </c>
      <c r="M682" t="s">
        <v>5030</v>
      </c>
      <c r="N682" t="s">
        <v>5031</v>
      </c>
    </row>
    <row r="683" spans="1:14" x14ac:dyDescent="0.3">
      <c r="A683" t="s">
        <v>707</v>
      </c>
      <c r="B683" t="s">
        <v>12</v>
      </c>
      <c r="C683" t="s">
        <v>35</v>
      </c>
      <c r="D683">
        <v>61</v>
      </c>
      <c r="E683" t="s">
        <v>14</v>
      </c>
      <c r="F683" t="s">
        <v>16</v>
      </c>
      <c r="G683">
        <v>73.8</v>
      </c>
      <c r="H683">
        <v>4616.05</v>
      </c>
      <c r="I683" t="s">
        <v>15</v>
      </c>
      <c r="J683" t="s">
        <v>16</v>
      </c>
      <c r="K683" t="s">
        <v>24</v>
      </c>
      <c r="L683">
        <v>4616.05</v>
      </c>
      <c r="M683" t="s">
        <v>5033</v>
      </c>
      <c r="N683" t="s">
        <v>5034</v>
      </c>
    </row>
    <row r="684" spans="1:14" x14ac:dyDescent="0.3">
      <c r="A684" t="s">
        <v>708</v>
      </c>
      <c r="B684" t="s">
        <v>19</v>
      </c>
      <c r="C684" t="s">
        <v>13</v>
      </c>
      <c r="D684">
        <v>3</v>
      </c>
      <c r="E684" t="s">
        <v>14</v>
      </c>
      <c r="F684" t="s">
        <v>16</v>
      </c>
      <c r="G684">
        <v>64.400000000000006</v>
      </c>
      <c r="H684">
        <v>195.65</v>
      </c>
      <c r="I684" t="s">
        <v>15</v>
      </c>
      <c r="J684" t="s">
        <v>16</v>
      </c>
      <c r="K684" t="s">
        <v>29</v>
      </c>
      <c r="L684">
        <v>195.65</v>
      </c>
      <c r="M684" t="s">
        <v>5030</v>
      </c>
      <c r="N684" t="s">
        <v>5031</v>
      </c>
    </row>
    <row r="685" spans="1:14" x14ac:dyDescent="0.3">
      <c r="A685" t="s">
        <v>709</v>
      </c>
      <c r="B685" t="s">
        <v>12</v>
      </c>
      <c r="C685" t="s">
        <v>20</v>
      </c>
      <c r="D685">
        <v>40</v>
      </c>
      <c r="E685" t="s">
        <v>26</v>
      </c>
      <c r="F685" t="s">
        <v>16</v>
      </c>
      <c r="G685">
        <v>103.75</v>
      </c>
      <c r="H685">
        <v>4188.3999999999996</v>
      </c>
      <c r="I685" t="s">
        <v>15</v>
      </c>
      <c r="J685" t="s">
        <v>16</v>
      </c>
      <c r="K685" t="s">
        <v>29</v>
      </c>
      <c r="L685">
        <v>4188.3999999999996</v>
      </c>
      <c r="M685" t="s">
        <v>5033</v>
      </c>
      <c r="N685" t="s">
        <v>5034</v>
      </c>
    </row>
    <row r="686" spans="1:14" x14ac:dyDescent="0.3">
      <c r="A686" t="s">
        <v>710</v>
      </c>
      <c r="B686" t="s">
        <v>12</v>
      </c>
      <c r="C686" t="s">
        <v>13</v>
      </c>
      <c r="D686">
        <v>1</v>
      </c>
      <c r="E686" t="s">
        <v>26</v>
      </c>
      <c r="F686" t="s">
        <v>15</v>
      </c>
      <c r="G686">
        <v>71.099999999999994</v>
      </c>
      <c r="H686">
        <v>71.099999999999994</v>
      </c>
      <c r="I686" t="s">
        <v>15</v>
      </c>
      <c r="J686" t="s">
        <v>15</v>
      </c>
      <c r="K686" t="s">
        <v>21</v>
      </c>
      <c r="L686">
        <v>71.099999999999994</v>
      </c>
      <c r="M686" t="s">
        <v>5030</v>
      </c>
      <c r="N686" t="s">
        <v>5031</v>
      </c>
    </row>
    <row r="687" spans="1:14" x14ac:dyDescent="0.3">
      <c r="A687" t="s">
        <v>711</v>
      </c>
      <c r="B687" t="s">
        <v>12</v>
      </c>
      <c r="C687" t="s">
        <v>13</v>
      </c>
      <c r="D687">
        <v>1</v>
      </c>
      <c r="E687" t="s">
        <v>14</v>
      </c>
      <c r="F687" t="s">
        <v>16</v>
      </c>
      <c r="G687">
        <v>49.9</v>
      </c>
      <c r="H687">
        <v>49.9</v>
      </c>
      <c r="I687" t="s">
        <v>15</v>
      </c>
      <c r="J687" t="s">
        <v>16</v>
      </c>
      <c r="K687" t="s">
        <v>17</v>
      </c>
      <c r="L687">
        <v>49.9</v>
      </c>
      <c r="M687" t="s">
        <v>5030</v>
      </c>
      <c r="N687" t="s">
        <v>5031</v>
      </c>
    </row>
    <row r="688" spans="1:14" x14ac:dyDescent="0.3">
      <c r="A688" t="s">
        <v>712</v>
      </c>
      <c r="B688" t="s">
        <v>19</v>
      </c>
      <c r="C688" t="s">
        <v>20</v>
      </c>
      <c r="D688">
        <v>51</v>
      </c>
      <c r="E688" t="s">
        <v>15</v>
      </c>
      <c r="F688" t="s">
        <v>36</v>
      </c>
      <c r="G688">
        <v>24.6</v>
      </c>
      <c r="H688">
        <v>1266.4000000000001</v>
      </c>
      <c r="I688" t="s">
        <v>15</v>
      </c>
      <c r="J688" t="s">
        <v>16</v>
      </c>
      <c r="K688" t="s">
        <v>24</v>
      </c>
      <c r="L688">
        <v>1266.4000000000001</v>
      </c>
      <c r="M688" t="s">
        <v>5033</v>
      </c>
      <c r="N688" t="s">
        <v>5031</v>
      </c>
    </row>
    <row r="689" spans="1:14" x14ac:dyDescent="0.3">
      <c r="A689" t="s">
        <v>713</v>
      </c>
      <c r="B689" t="s">
        <v>19</v>
      </c>
      <c r="C689" t="s">
        <v>13</v>
      </c>
      <c r="D689">
        <v>2</v>
      </c>
      <c r="E689" t="s">
        <v>14</v>
      </c>
      <c r="F689" t="s">
        <v>15</v>
      </c>
      <c r="G689">
        <v>49.25</v>
      </c>
      <c r="H689">
        <v>91.1</v>
      </c>
      <c r="I689" t="s">
        <v>16</v>
      </c>
      <c r="J689" t="s">
        <v>16</v>
      </c>
      <c r="K689" t="s">
        <v>17</v>
      </c>
      <c r="L689">
        <v>91.1</v>
      </c>
      <c r="M689" t="s">
        <v>5030</v>
      </c>
      <c r="N689" t="s">
        <v>5031</v>
      </c>
    </row>
    <row r="690" spans="1:14" x14ac:dyDescent="0.3">
      <c r="A690" t="s">
        <v>714</v>
      </c>
      <c r="B690" t="s">
        <v>19</v>
      </c>
      <c r="C690" t="s">
        <v>20</v>
      </c>
      <c r="D690">
        <v>52</v>
      </c>
      <c r="E690" t="s">
        <v>14</v>
      </c>
      <c r="F690" t="s">
        <v>15</v>
      </c>
      <c r="G690">
        <v>30.1</v>
      </c>
      <c r="H690">
        <v>1623.4</v>
      </c>
      <c r="I690" t="s">
        <v>15</v>
      </c>
      <c r="J690" t="s">
        <v>15</v>
      </c>
      <c r="K690" t="s">
        <v>21</v>
      </c>
      <c r="L690">
        <v>1623.4</v>
      </c>
      <c r="M690" t="s">
        <v>5033</v>
      </c>
      <c r="N690" t="s">
        <v>5031</v>
      </c>
    </row>
    <row r="691" spans="1:14" x14ac:dyDescent="0.3">
      <c r="A691" t="s">
        <v>715</v>
      </c>
      <c r="B691" t="s">
        <v>19</v>
      </c>
      <c r="C691" t="s">
        <v>13</v>
      </c>
      <c r="D691">
        <v>51</v>
      </c>
      <c r="E691" t="s">
        <v>26</v>
      </c>
      <c r="F691" t="s">
        <v>15</v>
      </c>
      <c r="G691">
        <v>83.4</v>
      </c>
      <c r="H691">
        <v>4149.45</v>
      </c>
      <c r="I691" t="s">
        <v>15</v>
      </c>
      <c r="J691" t="s">
        <v>15</v>
      </c>
      <c r="K691" t="s">
        <v>24</v>
      </c>
      <c r="L691">
        <v>4149.45</v>
      </c>
      <c r="M691" t="s">
        <v>5033</v>
      </c>
      <c r="N691" t="s">
        <v>5034</v>
      </c>
    </row>
    <row r="692" spans="1:14" x14ac:dyDescent="0.3">
      <c r="A692" t="s">
        <v>716</v>
      </c>
      <c r="B692" t="s">
        <v>19</v>
      </c>
      <c r="C692" t="s">
        <v>13</v>
      </c>
      <c r="D692">
        <v>1</v>
      </c>
      <c r="E692" t="s">
        <v>15</v>
      </c>
      <c r="F692" t="s">
        <v>36</v>
      </c>
      <c r="G692">
        <v>20.45</v>
      </c>
      <c r="H692">
        <v>20.45</v>
      </c>
      <c r="I692" t="s">
        <v>15</v>
      </c>
      <c r="J692" t="s">
        <v>16</v>
      </c>
      <c r="K692" t="s">
        <v>21</v>
      </c>
      <c r="L692">
        <v>20.45</v>
      </c>
      <c r="M692" t="s">
        <v>5030</v>
      </c>
      <c r="N692" t="s">
        <v>5031</v>
      </c>
    </row>
    <row r="693" spans="1:14" x14ac:dyDescent="0.3">
      <c r="A693" t="s">
        <v>717</v>
      </c>
      <c r="B693" t="s">
        <v>19</v>
      </c>
      <c r="C693" t="s">
        <v>20</v>
      </c>
      <c r="D693">
        <v>31</v>
      </c>
      <c r="E693" t="s">
        <v>14</v>
      </c>
      <c r="F693" t="s">
        <v>16</v>
      </c>
      <c r="G693">
        <v>75.25</v>
      </c>
      <c r="H693">
        <v>2344.5</v>
      </c>
      <c r="I693" t="s">
        <v>15</v>
      </c>
      <c r="J693" t="s">
        <v>16</v>
      </c>
      <c r="K693" t="s">
        <v>24</v>
      </c>
      <c r="L693">
        <v>2344.5</v>
      </c>
      <c r="M693" t="s">
        <v>5032</v>
      </c>
      <c r="N693" t="s">
        <v>5031</v>
      </c>
    </row>
    <row r="694" spans="1:14" x14ac:dyDescent="0.3">
      <c r="A694" t="s">
        <v>718</v>
      </c>
      <c r="B694" t="s">
        <v>19</v>
      </c>
      <c r="C694" t="s">
        <v>20</v>
      </c>
      <c r="D694">
        <v>47</v>
      </c>
      <c r="E694" t="s">
        <v>15</v>
      </c>
      <c r="F694" t="s">
        <v>36</v>
      </c>
      <c r="G694">
        <v>20.55</v>
      </c>
      <c r="H694">
        <v>1013.05</v>
      </c>
      <c r="I694" t="s">
        <v>15</v>
      </c>
      <c r="J694" t="s">
        <v>15</v>
      </c>
      <c r="K694" t="s">
        <v>29</v>
      </c>
      <c r="L694">
        <v>1013.05</v>
      </c>
      <c r="M694" t="s">
        <v>5033</v>
      </c>
      <c r="N694" t="s">
        <v>5031</v>
      </c>
    </row>
    <row r="695" spans="1:14" x14ac:dyDescent="0.3">
      <c r="A695" t="s">
        <v>719</v>
      </c>
      <c r="B695" t="s">
        <v>12</v>
      </c>
      <c r="C695" t="s">
        <v>13</v>
      </c>
      <c r="D695">
        <v>3</v>
      </c>
      <c r="E695" t="s">
        <v>26</v>
      </c>
      <c r="F695" t="s">
        <v>15</v>
      </c>
      <c r="G695">
        <v>75.099999999999994</v>
      </c>
      <c r="H695">
        <v>270.7</v>
      </c>
      <c r="I695" t="s">
        <v>16</v>
      </c>
      <c r="J695" t="s">
        <v>16</v>
      </c>
      <c r="K695" t="s">
        <v>29</v>
      </c>
      <c r="L695">
        <v>270.7</v>
      </c>
      <c r="M695" t="s">
        <v>5030</v>
      </c>
      <c r="N695" t="s">
        <v>5031</v>
      </c>
    </row>
    <row r="696" spans="1:14" x14ac:dyDescent="0.3">
      <c r="A696" t="s">
        <v>720</v>
      </c>
      <c r="B696" t="s">
        <v>12</v>
      </c>
      <c r="C696" t="s">
        <v>20</v>
      </c>
      <c r="D696">
        <v>22</v>
      </c>
      <c r="E696" t="s">
        <v>15</v>
      </c>
      <c r="F696" t="s">
        <v>36</v>
      </c>
      <c r="G696">
        <v>20.05</v>
      </c>
      <c r="H696">
        <v>417</v>
      </c>
      <c r="I696" t="s">
        <v>15</v>
      </c>
      <c r="J696" t="s">
        <v>16</v>
      </c>
      <c r="K696" t="s">
        <v>21</v>
      </c>
      <c r="L696">
        <v>417</v>
      </c>
      <c r="M696" t="s">
        <v>5032</v>
      </c>
      <c r="N696" t="s">
        <v>5031</v>
      </c>
    </row>
    <row r="697" spans="1:14" x14ac:dyDescent="0.3">
      <c r="A697" t="s">
        <v>721</v>
      </c>
      <c r="B697" t="s">
        <v>12</v>
      </c>
      <c r="C697" t="s">
        <v>13</v>
      </c>
      <c r="D697">
        <v>1</v>
      </c>
      <c r="E697" t="s">
        <v>15</v>
      </c>
      <c r="F697" t="s">
        <v>36</v>
      </c>
      <c r="G697">
        <v>20.65</v>
      </c>
      <c r="H697">
        <v>20.65</v>
      </c>
      <c r="I697" t="s">
        <v>15</v>
      </c>
      <c r="J697" t="s">
        <v>16</v>
      </c>
      <c r="K697" t="s">
        <v>21</v>
      </c>
      <c r="L697">
        <v>20.65</v>
      </c>
      <c r="M697" t="s">
        <v>5030</v>
      </c>
      <c r="N697" t="s">
        <v>5031</v>
      </c>
    </row>
    <row r="698" spans="1:14" x14ac:dyDescent="0.3">
      <c r="A698" t="s">
        <v>722</v>
      </c>
      <c r="B698" t="s">
        <v>19</v>
      </c>
      <c r="C698" t="s">
        <v>35</v>
      </c>
      <c r="D698">
        <v>72</v>
      </c>
      <c r="E698" t="s">
        <v>14</v>
      </c>
      <c r="F698" t="s">
        <v>16</v>
      </c>
      <c r="G698">
        <v>85.15</v>
      </c>
      <c r="H698">
        <v>6316.2</v>
      </c>
      <c r="I698" t="s">
        <v>15</v>
      </c>
      <c r="J698" t="s">
        <v>16</v>
      </c>
      <c r="K698" t="s">
        <v>24</v>
      </c>
      <c r="L698">
        <v>6316.2</v>
      </c>
      <c r="M698" t="s">
        <v>5033</v>
      </c>
      <c r="N698" t="s">
        <v>5034</v>
      </c>
    </row>
    <row r="699" spans="1:14" x14ac:dyDescent="0.3">
      <c r="A699" t="s">
        <v>723</v>
      </c>
      <c r="B699" t="s">
        <v>19</v>
      </c>
      <c r="C699" t="s">
        <v>13</v>
      </c>
      <c r="D699">
        <v>3</v>
      </c>
      <c r="E699" t="s">
        <v>14</v>
      </c>
      <c r="F699" t="s">
        <v>15</v>
      </c>
      <c r="G699">
        <v>50.15</v>
      </c>
      <c r="H699">
        <v>168.15</v>
      </c>
      <c r="I699" t="s">
        <v>16</v>
      </c>
      <c r="J699" t="s">
        <v>16</v>
      </c>
      <c r="K699" t="s">
        <v>17</v>
      </c>
      <c r="L699">
        <v>168.15</v>
      </c>
      <c r="M699" t="s">
        <v>5030</v>
      </c>
      <c r="N699" t="s">
        <v>5031</v>
      </c>
    </row>
    <row r="700" spans="1:14" x14ac:dyDescent="0.3">
      <c r="A700" t="s">
        <v>724</v>
      </c>
      <c r="B700" t="s">
        <v>19</v>
      </c>
      <c r="C700" t="s">
        <v>20</v>
      </c>
      <c r="D700">
        <v>47</v>
      </c>
      <c r="E700" t="s">
        <v>26</v>
      </c>
      <c r="F700" t="s">
        <v>15</v>
      </c>
      <c r="G700">
        <v>84.95</v>
      </c>
      <c r="H700">
        <v>4018.05</v>
      </c>
      <c r="I700" t="s">
        <v>15</v>
      </c>
      <c r="J700" t="s">
        <v>16</v>
      </c>
      <c r="K700" t="s">
        <v>24</v>
      </c>
      <c r="L700">
        <v>4018.05</v>
      </c>
      <c r="M700" t="s">
        <v>5033</v>
      </c>
      <c r="N700" t="s">
        <v>5034</v>
      </c>
    </row>
    <row r="701" spans="1:14" x14ac:dyDescent="0.3">
      <c r="A701" t="s">
        <v>725</v>
      </c>
      <c r="B701" t="s">
        <v>19</v>
      </c>
      <c r="C701" t="s">
        <v>35</v>
      </c>
      <c r="D701">
        <v>72</v>
      </c>
      <c r="E701" t="s">
        <v>14</v>
      </c>
      <c r="F701" t="s">
        <v>16</v>
      </c>
      <c r="G701">
        <v>66.5</v>
      </c>
      <c r="H701">
        <v>4811.6000000000004</v>
      </c>
      <c r="I701" t="s">
        <v>15</v>
      </c>
      <c r="J701" t="s">
        <v>16</v>
      </c>
      <c r="K701" t="s">
        <v>29</v>
      </c>
      <c r="L701">
        <v>4811.6000000000004</v>
      </c>
      <c r="M701" t="s">
        <v>5033</v>
      </c>
      <c r="N701" t="s">
        <v>5034</v>
      </c>
    </row>
    <row r="702" spans="1:14" x14ac:dyDescent="0.3">
      <c r="A702" t="s">
        <v>726</v>
      </c>
      <c r="B702" t="s">
        <v>19</v>
      </c>
      <c r="C702" t="s">
        <v>35</v>
      </c>
      <c r="D702">
        <v>66</v>
      </c>
      <c r="E702" t="s">
        <v>14</v>
      </c>
      <c r="F702" t="s">
        <v>15</v>
      </c>
      <c r="G702">
        <v>63.3</v>
      </c>
      <c r="H702">
        <v>4189.7</v>
      </c>
      <c r="I702" t="s">
        <v>15</v>
      </c>
      <c r="J702" t="s">
        <v>16</v>
      </c>
      <c r="K702" t="s">
        <v>24</v>
      </c>
      <c r="L702">
        <v>4189.7</v>
      </c>
      <c r="M702" t="s">
        <v>5033</v>
      </c>
      <c r="N702" t="s">
        <v>5034</v>
      </c>
    </row>
    <row r="703" spans="1:14" x14ac:dyDescent="0.3">
      <c r="A703" t="s">
        <v>727</v>
      </c>
      <c r="B703" t="s">
        <v>19</v>
      </c>
      <c r="C703" t="s">
        <v>13</v>
      </c>
      <c r="D703">
        <v>35</v>
      </c>
      <c r="E703" t="s">
        <v>26</v>
      </c>
      <c r="F703" t="s">
        <v>15</v>
      </c>
      <c r="G703">
        <v>83.15</v>
      </c>
      <c r="H703">
        <v>2848.45</v>
      </c>
      <c r="I703" t="s">
        <v>15</v>
      </c>
      <c r="J703" t="s">
        <v>15</v>
      </c>
      <c r="K703" t="s">
        <v>17</v>
      </c>
      <c r="L703">
        <v>2848.45</v>
      </c>
      <c r="M703" t="s">
        <v>5032</v>
      </c>
      <c r="N703" t="s">
        <v>5034</v>
      </c>
    </row>
    <row r="704" spans="1:14" x14ac:dyDescent="0.3">
      <c r="A704" t="s">
        <v>728</v>
      </c>
      <c r="B704" t="s">
        <v>19</v>
      </c>
      <c r="C704" t="s">
        <v>13</v>
      </c>
      <c r="D704">
        <v>29</v>
      </c>
      <c r="E704" t="s">
        <v>26</v>
      </c>
      <c r="F704" t="s">
        <v>15</v>
      </c>
      <c r="G704">
        <v>84.9</v>
      </c>
      <c r="H704">
        <v>2516.1999999999998</v>
      </c>
      <c r="I704" t="s">
        <v>15</v>
      </c>
      <c r="J704" t="s">
        <v>16</v>
      </c>
      <c r="K704" t="s">
        <v>17</v>
      </c>
      <c r="L704">
        <v>2516.1999999999998</v>
      </c>
      <c r="M704" t="s">
        <v>5032</v>
      </c>
      <c r="N704" t="s">
        <v>5034</v>
      </c>
    </row>
    <row r="705" spans="1:14" x14ac:dyDescent="0.3">
      <c r="A705" t="s">
        <v>729</v>
      </c>
      <c r="B705" t="s">
        <v>12</v>
      </c>
      <c r="C705" t="s">
        <v>13</v>
      </c>
      <c r="D705">
        <v>2</v>
      </c>
      <c r="E705" t="s">
        <v>15</v>
      </c>
      <c r="F705" t="s">
        <v>36</v>
      </c>
      <c r="G705">
        <v>20.55</v>
      </c>
      <c r="H705">
        <v>33.6</v>
      </c>
      <c r="I705" t="s">
        <v>15</v>
      </c>
      <c r="J705" t="s">
        <v>16</v>
      </c>
      <c r="K705" t="s">
        <v>21</v>
      </c>
      <c r="L705">
        <v>33.6</v>
      </c>
      <c r="M705" t="s">
        <v>5030</v>
      </c>
      <c r="N705" t="s">
        <v>5031</v>
      </c>
    </row>
    <row r="706" spans="1:14" x14ac:dyDescent="0.3">
      <c r="A706" t="s">
        <v>730</v>
      </c>
      <c r="B706" t="s">
        <v>19</v>
      </c>
      <c r="C706" t="s">
        <v>13</v>
      </c>
      <c r="D706">
        <v>4</v>
      </c>
      <c r="E706" t="s">
        <v>14</v>
      </c>
      <c r="F706" t="s">
        <v>15</v>
      </c>
      <c r="G706">
        <v>49.25</v>
      </c>
      <c r="H706">
        <v>208.45</v>
      </c>
      <c r="I706" t="s">
        <v>15</v>
      </c>
      <c r="J706" t="s">
        <v>15</v>
      </c>
      <c r="K706" t="s">
        <v>21</v>
      </c>
      <c r="L706">
        <v>208.45</v>
      </c>
      <c r="M706" t="s">
        <v>5030</v>
      </c>
      <c r="N706" t="s">
        <v>5031</v>
      </c>
    </row>
    <row r="707" spans="1:14" x14ac:dyDescent="0.3">
      <c r="A707" t="s">
        <v>731</v>
      </c>
      <c r="B707" t="s">
        <v>12</v>
      </c>
      <c r="C707" t="s">
        <v>13</v>
      </c>
      <c r="D707">
        <v>25</v>
      </c>
      <c r="E707" t="s">
        <v>26</v>
      </c>
      <c r="F707" t="s">
        <v>15</v>
      </c>
      <c r="G707">
        <v>79.849999999999994</v>
      </c>
      <c r="H707">
        <v>2015.35</v>
      </c>
      <c r="I707" t="s">
        <v>16</v>
      </c>
      <c r="J707" t="s">
        <v>16</v>
      </c>
      <c r="K707" t="s">
        <v>24</v>
      </c>
      <c r="L707">
        <v>2015.35</v>
      </c>
      <c r="M707" t="s">
        <v>5032</v>
      </c>
      <c r="N707" t="s">
        <v>5031</v>
      </c>
    </row>
    <row r="708" spans="1:14" x14ac:dyDescent="0.3">
      <c r="A708" t="s">
        <v>732</v>
      </c>
      <c r="B708" t="s">
        <v>12</v>
      </c>
      <c r="C708" t="s">
        <v>35</v>
      </c>
      <c r="D708">
        <v>65</v>
      </c>
      <c r="E708" t="s">
        <v>14</v>
      </c>
      <c r="F708" t="s">
        <v>16</v>
      </c>
      <c r="G708">
        <v>59.6</v>
      </c>
      <c r="H708">
        <v>3739.8</v>
      </c>
      <c r="I708" t="s">
        <v>15</v>
      </c>
      <c r="J708" t="s">
        <v>16</v>
      </c>
      <c r="K708" t="s">
        <v>21</v>
      </c>
      <c r="L708">
        <v>3739.8</v>
      </c>
      <c r="M708" t="s">
        <v>5033</v>
      </c>
      <c r="N708" t="s">
        <v>5034</v>
      </c>
    </row>
    <row r="709" spans="1:14" x14ac:dyDescent="0.3">
      <c r="A709" t="s">
        <v>733</v>
      </c>
      <c r="B709" t="s">
        <v>19</v>
      </c>
      <c r="C709" t="s">
        <v>20</v>
      </c>
      <c r="D709">
        <v>27</v>
      </c>
      <c r="E709" t="s">
        <v>26</v>
      </c>
      <c r="F709" t="s">
        <v>16</v>
      </c>
      <c r="G709">
        <v>104.65</v>
      </c>
      <c r="H709">
        <v>2964</v>
      </c>
      <c r="I709" t="s">
        <v>15</v>
      </c>
      <c r="J709" t="s">
        <v>16</v>
      </c>
      <c r="K709" t="s">
        <v>24</v>
      </c>
      <c r="L709">
        <v>2964</v>
      </c>
      <c r="M709" t="s">
        <v>5032</v>
      </c>
      <c r="N709" t="s">
        <v>5034</v>
      </c>
    </row>
    <row r="710" spans="1:14" x14ac:dyDescent="0.3">
      <c r="A710" t="s">
        <v>734</v>
      </c>
      <c r="B710" t="s">
        <v>19</v>
      </c>
      <c r="C710" t="s">
        <v>13</v>
      </c>
      <c r="D710">
        <v>29</v>
      </c>
      <c r="E710" t="s">
        <v>26</v>
      </c>
      <c r="F710" t="s">
        <v>15</v>
      </c>
      <c r="G710">
        <v>75.3</v>
      </c>
      <c r="H710">
        <v>2263.4</v>
      </c>
      <c r="I710" t="s">
        <v>15</v>
      </c>
      <c r="J710" t="s">
        <v>16</v>
      </c>
      <c r="K710" t="s">
        <v>29</v>
      </c>
      <c r="L710">
        <v>2263.4</v>
      </c>
      <c r="M710" t="s">
        <v>5032</v>
      </c>
      <c r="N710" t="s">
        <v>5031</v>
      </c>
    </row>
    <row r="711" spans="1:14" x14ac:dyDescent="0.3">
      <c r="A711" t="s">
        <v>735</v>
      </c>
      <c r="B711" t="s">
        <v>19</v>
      </c>
      <c r="C711" t="s">
        <v>13</v>
      </c>
      <c r="D711">
        <v>29</v>
      </c>
      <c r="E711" t="s">
        <v>14</v>
      </c>
      <c r="F711" t="s">
        <v>15</v>
      </c>
      <c r="G711">
        <v>80.099999999999994</v>
      </c>
      <c r="H711">
        <v>2211.8000000000002</v>
      </c>
      <c r="I711" t="s">
        <v>15</v>
      </c>
      <c r="J711" t="s">
        <v>15</v>
      </c>
      <c r="K711" t="s">
        <v>29</v>
      </c>
      <c r="L711">
        <v>2211.8000000000002</v>
      </c>
      <c r="M711" t="s">
        <v>5032</v>
      </c>
      <c r="N711" t="s">
        <v>5031</v>
      </c>
    </row>
    <row r="712" spans="1:14" x14ac:dyDescent="0.3">
      <c r="A712" t="s">
        <v>736</v>
      </c>
      <c r="B712" t="s">
        <v>19</v>
      </c>
      <c r="C712" t="s">
        <v>13</v>
      </c>
      <c r="D712">
        <v>1</v>
      </c>
      <c r="E712" t="s">
        <v>15</v>
      </c>
      <c r="F712" t="s">
        <v>36</v>
      </c>
      <c r="G712">
        <v>19.55</v>
      </c>
      <c r="H712">
        <v>19.55</v>
      </c>
      <c r="I712" t="s">
        <v>16</v>
      </c>
      <c r="J712" t="s">
        <v>15</v>
      </c>
      <c r="K712" t="s">
        <v>21</v>
      </c>
      <c r="L712">
        <v>19.55</v>
      </c>
      <c r="M712" t="s">
        <v>5030</v>
      </c>
      <c r="N712" t="s">
        <v>5031</v>
      </c>
    </row>
    <row r="713" spans="1:14" x14ac:dyDescent="0.3">
      <c r="A713" t="s">
        <v>737</v>
      </c>
      <c r="B713" t="s">
        <v>12</v>
      </c>
      <c r="C713" t="s">
        <v>13</v>
      </c>
      <c r="D713">
        <v>20</v>
      </c>
      <c r="E713" t="s">
        <v>26</v>
      </c>
      <c r="F713" t="s">
        <v>16</v>
      </c>
      <c r="G713">
        <v>81</v>
      </c>
      <c r="H713">
        <v>1683.7</v>
      </c>
      <c r="I713" t="s">
        <v>15</v>
      </c>
      <c r="J713" t="s">
        <v>16</v>
      </c>
      <c r="K713" t="s">
        <v>21</v>
      </c>
      <c r="L713">
        <v>1683.7</v>
      </c>
      <c r="M713" t="s">
        <v>5032</v>
      </c>
      <c r="N713" t="s">
        <v>5031</v>
      </c>
    </row>
    <row r="714" spans="1:14" x14ac:dyDescent="0.3">
      <c r="A714" t="s">
        <v>738</v>
      </c>
      <c r="B714" t="s">
        <v>12</v>
      </c>
      <c r="C714" t="s">
        <v>35</v>
      </c>
      <c r="D714">
        <v>58</v>
      </c>
      <c r="E714" t="s">
        <v>15</v>
      </c>
      <c r="F714" t="s">
        <v>36</v>
      </c>
      <c r="G714">
        <v>24.7</v>
      </c>
      <c r="H714">
        <v>1519</v>
      </c>
      <c r="I714" t="s">
        <v>15</v>
      </c>
      <c r="J714" t="s">
        <v>16</v>
      </c>
      <c r="K714" t="s">
        <v>29</v>
      </c>
      <c r="L714">
        <v>1519</v>
      </c>
      <c r="M714" t="s">
        <v>5033</v>
      </c>
      <c r="N714" t="s">
        <v>5031</v>
      </c>
    </row>
    <row r="715" spans="1:14" x14ac:dyDescent="0.3">
      <c r="A715" t="s">
        <v>739</v>
      </c>
      <c r="B715" t="s">
        <v>12</v>
      </c>
      <c r="C715" t="s">
        <v>13</v>
      </c>
      <c r="D715">
        <v>14</v>
      </c>
      <c r="E715" t="s">
        <v>26</v>
      </c>
      <c r="F715" t="s">
        <v>16</v>
      </c>
      <c r="G715">
        <v>86</v>
      </c>
      <c r="H715">
        <v>1164.05</v>
      </c>
      <c r="I715" t="s">
        <v>15</v>
      </c>
      <c r="J715" t="s">
        <v>16</v>
      </c>
      <c r="K715" t="s">
        <v>21</v>
      </c>
      <c r="L715">
        <v>1164.05</v>
      </c>
      <c r="M715" t="s">
        <v>5032</v>
      </c>
      <c r="N715" t="s">
        <v>5031</v>
      </c>
    </row>
    <row r="716" spans="1:14" x14ac:dyDescent="0.3">
      <c r="A716" t="s">
        <v>740</v>
      </c>
      <c r="B716" t="s">
        <v>19</v>
      </c>
      <c r="C716" t="s">
        <v>35</v>
      </c>
      <c r="D716">
        <v>72</v>
      </c>
      <c r="E716" t="s">
        <v>15</v>
      </c>
      <c r="F716" t="s">
        <v>36</v>
      </c>
      <c r="G716">
        <v>25.4</v>
      </c>
      <c r="H716">
        <v>1710.9</v>
      </c>
      <c r="I716" t="s">
        <v>15</v>
      </c>
      <c r="J716" t="s">
        <v>15</v>
      </c>
      <c r="K716" t="s">
        <v>21</v>
      </c>
      <c r="L716">
        <v>1710.9</v>
      </c>
      <c r="M716" t="s">
        <v>5033</v>
      </c>
      <c r="N716" t="s">
        <v>5031</v>
      </c>
    </row>
    <row r="717" spans="1:14" x14ac:dyDescent="0.3">
      <c r="A717" t="s">
        <v>741</v>
      </c>
      <c r="B717" t="s">
        <v>19</v>
      </c>
      <c r="C717" t="s">
        <v>13</v>
      </c>
      <c r="D717">
        <v>46</v>
      </c>
      <c r="E717" t="s">
        <v>26</v>
      </c>
      <c r="F717" t="s">
        <v>15</v>
      </c>
      <c r="G717">
        <v>89.15</v>
      </c>
      <c r="H717">
        <v>4245.55</v>
      </c>
      <c r="I717" t="s">
        <v>15</v>
      </c>
      <c r="J717" t="s">
        <v>16</v>
      </c>
      <c r="K717" t="s">
        <v>29</v>
      </c>
      <c r="L717">
        <v>4245.55</v>
      </c>
      <c r="M717" t="s">
        <v>5033</v>
      </c>
      <c r="N717" t="s">
        <v>5034</v>
      </c>
    </row>
    <row r="718" spans="1:14" x14ac:dyDescent="0.3">
      <c r="A718" t="s">
        <v>742</v>
      </c>
      <c r="B718" t="s">
        <v>12</v>
      </c>
      <c r="C718" t="s">
        <v>35</v>
      </c>
      <c r="D718">
        <v>71</v>
      </c>
      <c r="E718" t="s">
        <v>14</v>
      </c>
      <c r="F718" t="s">
        <v>16</v>
      </c>
      <c r="G718">
        <v>58.25</v>
      </c>
      <c r="H718">
        <v>4145.8999999999996</v>
      </c>
      <c r="I718" t="s">
        <v>15</v>
      </c>
      <c r="J718" t="s">
        <v>15</v>
      </c>
      <c r="K718" t="s">
        <v>24</v>
      </c>
      <c r="L718">
        <v>4145.8999999999996</v>
      </c>
      <c r="M718" t="s">
        <v>5033</v>
      </c>
      <c r="N718" t="s">
        <v>5034</v>
      </c>
    </row>
    <row r="719" spans="1:14" x14ac:dyDescent="0.3">
      <c r="A719" t="s">
        <v>743</v>
      </c>
      <c r="B719" t="s">
        <v>19</v>
      </c>
      <c r="C719" t="s">
        <v>13</v>
      </c>
      <c r="D719">
        <v>32</v>
      </c>
      <c r="E719" t="s">
        <v>26</v>
      </c>
      <c r="F719" t="s">
        <v>15</v>
      </c>
      <c r="G719">
        <v>85.65</v>
      </c>
      <c r="H719">
        <v>2664.3</v>
      </c>
      <c r="I719" t="s">
        <v>15</v>
      </c>
      <c r="J719" t="s">
        <v>16</v>
      </c>
      <c r="K719" t="s">
        <v>24</v>
      </c>
      <c r="L719">
        <v>2664.3</v>
      </c>
      <c r="M719" t="s">
        <v>5032</v>
      </c>
      <c r="N719" t="s">
        <v>5034</v>
      </c>
    </row>
    <row r="720" spans="1:14" x14ac:dyDescent="0.3">
      <c r="A720" t="s">
        <v>744</v>
      </c>
      <c r="B720" t="s">
        <v>12</v>
      </c>
      <c r="C720" t="s">
        <v>13</v>
      </c>
      <c r="D720">
        <v>26</v>
      </c>
      <c r="E720" t="s">
        <v>14</v>
      </c>
      <c r="F720" t="s">
        <v>15</v>
      </c>
      <c r="G720">
        <v>50.35</v>
      </c>
      <c r="H720">
        <v>1277.5</v>
      </c>
      <c r="I720" t="s">
        <v>15</v>
      </c>
      <c r="J720" t="s">
        <v>16</v>
      </c>
      <c r="K720" t="s">
        <v>29</v>
      </c>
      <c r="L720">
        <v>1277.5</v>
      </c>
      <c r="M720" t="s">
        <v>5032</v>
      </c>
      <c r="N720" t="s">
        <v>5031</v>
      </c>
    </row>
    <row r="721" spans="1:14" x14ac:dyDescent="0.3">
      <c r="A721" t="s">
        <v>745</v>
      </c>
      <c r="B721" t="s">
        <v>19</v>
      </c>
      <c r="C721" t="s">
        <v>13</v>
      </c>
      <c r="D721">
        <v>68</v>
      </c>
      <c r="E721" t="s">
        <v>26</v>
      </c>
      <c r="F721" t="s">
        <v>15</v>
      </c>
      <c r="G721">
        <v>80.349999999999994</v>
      </c>
      <c r="H721">
        <v>5589.3</v>
      </c>
      <c r="I721" t="s">
        <v>15</v>
      </c>
      <c r="J721" t="s">
        <v>16</v>
      </c>
      <c r="K721" t="s">
        <v>29</v>
      </c>
      <c r="L721">
        <v>5589.3</v>
      </c>
      <c r="M721" t="s">
        <v>5033</v>
      </c>
      <c r="N721" t="s">
        <v>5034</v>
      </c>
    </row>
    <row r="722" spans="1:14" x14ac:dyDescent="0.3">
      <c r="A722" t="s">
        <v>746</v>
      </c>
      <c r="B722" t="s">
        <v>19</v>
      </c>
      <c r="C722" t="s">
        <v>20</v>
      </c>
      <c r="D722">
        <v>2</v>
      </c>
      <c r="E722" t="s">
        <v>15</v>
      </c>
      <c r="F722" t="s">
        <v>36</v>
      </c>
      <c r="G722">
        <v>20.2</v>
      </c>
      <c r="H722">
        <v>34.75</v>
      </c>
      <c r="I722" t="s">
        <v>15</v>
      </c>
      <c r="J722" t="s">
        <v>15</v>
      </c>
      <c r="K722" t="s">
        <v>21</v>
      </c>
      <c r="L722">
        <v>34.75</v>
      </c>
      <c r="M722" t="s">
        <v>5030</v>
      </c>
      <c r="N722" t="s">
        <v>5031</v>
      </c>
    </row>
    <row r="723" spans="1:14" x14ac:dyDescent="0.3">
      <c r="A723" t="s">
        <v>747</v>
      </c>
      <c r="B723" t="s">
        <v>19</v>
      </c>
      <c r="C723" t="s">
        <v>35</v>
      </c>
      <c r="D723">
        <v>61</v>
      </c>
      <c r="E723" t="s">
        <v>15</v>
      </c>
      <c r="F723" t="s">
        <v>36</v>
      </c>
      <c r="G723">
        <v>20.55</v>
      </c>
      <c r="H723">
        <v>1305.95</v>
      </c>
      <c r="I723" t="s">
        <v>15</v>
      </c>
      <c r="J723" t="s">
        <v>15</v>
      </c>
      <c r="K723" t="s">
        <v>29</v>
      </c>
      <c r="L723">
        <v>1305.95</v>
      </c>
      <c r="M723" t="s">
        <v>5033</v>
      </c>
      <c r="N723" t="s">
        <v>5031</v>
      </c>
    </row>
    <row r="724" spans="1:14" x14ac:dyDescent="0.3">
      <c r="A724" t="s">
        <v>748</v>
      </c>
      <c r="B724" t="s">
        <v>12</v>
      </c>
      <c r="C724" t="s">
        <v>13</v>
      </c>
      <c r="D724">
        <v>4</v>
      </c>
      <c r="E724" t="s">
        <v>26</v>
      </c>
      <c r="F724" t="s">
        <v>15</v>
      </c>
      <c r="G724">
        <v>85.95</v>
      </c>
      <c r="H724">
        <v>381.3</v>
      </c>
      <c r="I724" t="s">
        <v>16</v>
      </c>
      <c r="J724" t="s">
        <v>16</v>
      </c>
      <c r="K724" t="s">
        <v>17</v>
      </c>
      <c r="L724">
        <v>381.3</v>
      </c>
      <c r="M724" t="s">
        <v>5030</v>
      </c>
      <c r="N724" t="s">
        <v>5031</v>
      </c>
    </row>
    <row r="725" spans="1:14" x14ac:dyDescent="0.3">
      <c r="A725" t="s">
        <v>749</v>
      </c>
      <c r="B725" t="s">
        <v>19</v>
      </c>
      <c r="C725" t="s">
        <v>13</v>
      </c>
      <c r="D725">
        <v>3</v>
      </c>
      <c r="E725" t="s">
        <v>14</v>
      </c>
      <c r="F725" t="s">
        <v>15</v>
      </c>
      <c r="G725">
        <v>45.35</v>
      </c>
      <c r="H725">
        <v>141.5</v>
      </c>
      <c r="I725" t="s">
        <v>16</v>
      </c>
      <c r="J725" t="s">
        <v>16</v>
      </c>
      <c r="K725" t="s">
        <v>17</v>
      </c>
      <c r="L725">
        <v>141.5</v>
      </c>
      <c r="M725" t="s">
        <v>5030</v>
      </c>
      <c r="N725" t="s">
        <v>5031</v>
      </c>
    </row>
    <row r="726" spans="1:14" x14ac:dyDescent="0.3">
      <c r="A726" t="s">
        <v>750</v>
      </c>
      <c r="B726" t="s">
        <v>19</v>
      </c>
      <c r="C726" t="s">
        <v>13</v>
      </c>
      <c r="D726">
        <v>33</v>
      </c>
      <c r="E726" t="s">
        <v>26</v>
      </c>
      <c r="F726" t="s">
        <v>15</v>
      </c>
      <c r="G726">
        <v>94.5</v>
      </c>
      <c r="H726">
        <v>3105.55</v>
      </c>
      <c r="I726" t="s">
        <v>16</v>
      </c>
      <c r="J726" t="s">
        <v>16</v>
      </c>
      <c r="K726" t="s">
        <v>17</v>
      </c>
      <c r="L726">
        <v>3105.55</v>
      </c>
      <c r="M726" t="s">
        <v>5032</v>
      </c>
      <c r="N726" t="s">
        <v>5034</v>
      </c>
    </row>
    <row r="727" spans="1:14" x14ac:dyDescent="0.3">
      <c r="A727" t="s">
        <v>751</v>
      </c>
      <c r="B727" t="s">
        <v>19</v>
      </c>
      <c r="C727" t="s">
        <v>13</v>
      </c>
      <c r="D727">
        <v>9</v>
      </c>
      <c r="E727" t="s">
        <v>15</v>
      </c>
      <c r="F727" t="s">
        <v>36</v>
      </c>
      <c r="G727">
        <v>21.25</v>
      </c>
      <c r="H727">
        <v>204.55</v>
      </c>
      <c r="I727" t="s">
        <v>15</v>
      </c>
      <c r="J727" t="s">
        <v>16</v>
      </c>
      <c r="K727" t="s">
        <v>21</v>
      </c>
      <c r="L727">
        <v>204.55</v>
      </c>
      <c r="M727" t="s">
        <v>5030</v>
      </c>
      <c r="N727" t="s">
        <v>5031</v>
      </c>
    </row>
    <row r="728" spans="1:14" x14ac:dyDescent="0.3">
      <c r="A728" t="s">
        <v>752</v>
      </c>
      <c r="B728" t="s">
        <v>12</v>
      </c>
      <c r="C728" t="s">
        <v>35</v>
      </c>
      <c r="D728">
        <v>22</v>
      </c>
      <c r="E728" t="s">
        <v>15</v>
      </c>
      <c r="F728" t="s">
        <v>36</v>
      </c>
      <c r="G728">
        <v>26.25</v>
      </c>
      <c r="H728">
        <v>605.9</v>
      </c>
      <c r="I728" t="s">
        <v>15</v>
      </c>
      <c r="J728" t="s">
        <v>15</v>
      </c>
      <c r="K728" t="s">
        <v>21</v>
      </c>
      <c r="L728">
        <v>605.9</v>
      </c>
      <c r="M728" t="s">
        <v>5032</v>
      </c>
      <c r="N728" t="s">
        <v>5031</v>
      </c>
    </row>
    <row r="729" spans="1:14" x14ac:dyDescent="0.3">
      <c r="A729" t="s">
        <v>753</v>
      </c>
      <c r="B729" t="s">
        <v>12</v>
      </c>
      <c r="C729" t="s">
        <v>13</v>
      </c>
      <c r="D729">
        <v>5</v>
      </c>
      <c r="E729" t="s">
        <v>26</v>
      </c>
      <c r="F729" t="s">
        <v>15</v>
      </c>
      <c r="G729">
        <v>80.849999999999994</v>
      </c>
      <c r="H729">
        <v>356.1</v>
      </c>
      <c r="I729" t="s">
        <v>15</v>
      </c>
      <c r="J729" t="s">
        <v>16</v>
      </c>
      <c r="K729" t="s">
        <v>17</v>
      </c>
      <c r="L729">
        <v>356.1</v>
      </c>
      <c r="M729" t="s">
        <v>5030</v>
      </c>
      <c r="N729" t="s">
        <v>5031</v>
      </c>
    </row>
    <row r="730" spans="1:14" x14ac:dyDescent="0.3">
      <c r="A730" t="s">
        <v>754</v>
      </c>
      <c r="B730" t="s">
        <v>12</v>
      </c>
      <c r="C730" t="s">
        <v>13</v>
      </c>
      <c r="D730">
        <v>30</v>
      </c>
      <c r="E730" t="s">
        <v>26</v>
      </c>
      <c r="F730" t="s">
        <v>15</v>
      </c>
      <c r="G730">
        <v>91.7</v>
      </c>
      <c r="H730">
        <v>2758.15</v>
      </c>
      <c r="I730" t="s">
        <v>16</v>
      </c>
      <c r="J730" t="s">
        <v>15</v>
      </c>
      <c r="K730" t="s">
        <v>29</v>
      </c>
      <c r="L730">
        <v>2758.15</v>
      </c>
      <c r="M730" t="s">
        <v>5032</v>
      </c>
      <c r="N730" t="s">
        <v>5034</v>
      </c>
    </row>
    <row r="731" spans="1:14" x14ac:dyDescent="0.3">
      <c r="A731" t="s">
        <v>755</v>
      </c>
      <c r="B731" t="s">
        <v>19</v>
      </c>
      <c r="C731" t="s">
        <v>35</v>
      </c>
      <c r="D731">
        <v>65</v>
      </c>
      <c r="E731" t="s">
        <v>14</v>
      </c>
      <c r="F731" t="s">
        <v>16</v>
      </c>
      <c r="G731">
        <v>74.2</v>
      </c>
      <c r="H731">
        <v>4805.6499999999996</v>
      </c>
      <c r="I731" t="s">
        <v>15</v>
      </c>
      <c r="J731" t="s">
        <v>16</v>
      </c>
      <c r="K731" t="s">
        <v>29</v>
      </c>
      <c r="L731">
        <v>4805.6499999999996</v>
      </c>
      <c r="M731" t="s">
        <v>5033</v>
      </c>
      <c r="N731" t="s">
        <v>5034</v>
      </c>
    </row>
    <row r="732" spans="1:14" x14ac:dyDescent="0.3">
      <c r="A732" t="s">
        <v>756</v>
      </c>
      <c r="B732" t="s">
        <v>12</v>
      </c>
      <c r="C732" t="s">
        <v>13</v>
      </c>
      <c r="D732">
        <v>45</v>
      </c>
      <c r="E732" t="s">
        <v>26</v>
      </c>
      <c r="F732" t="s">
        <v>16</v>
      </c>
      <c r="G732">
        <v>87.25</v>
      </c>
      <c r="H732">
        <v>3941.7</v>
      </c>
      <c r="I732" t="s">
        <v>16</v>
      </c>
      <c r="J732" t="s">
        <v>16</v>
      </c>
      <c r="K732" t="s">
        <v>17</v>
      </c>
      <c r="L732">
        <v>3941.7</v>
      </c>
      <c r="M732" t="s">
        <v>5033</v>
      </c>
      <c r="N732" t="s">
        <v>5034</v>
      </c>
    </row>
    <row r="733" spans="1:14" x14ac:dyDescent="0.3">
      <c r="A733" t="s">
        <v>757</v>
      </c>
      <c r="B733" t="s">
        <v>19</v>
      </c>
      <c r="C733" t="s">
        <v>13</v>
      </c>
      <c r="D733">
        <v>5</v>
      </c>
      <c r="E733" t="s">
        <v>15</v>
      </c>
      <c r="F733" t="s">
        <v>36</v>
      </c>
      <c r="G733">
        <v>20.350000000000001</v>
      </c>
      <c r="H733">
        <v>92.75</v>
      </c>
      <c r="I733" t="s">
        <v>15</v>
      </c>
      <c r="J733" t="s">
        <v>15</v>
      </c>
      <c r="K733" t="s">
        <v>21</v>
      </c>
      <c r="L733">
        <v>92.75</v>
      </c>
      <c r="M733" t="s">
        <v>5030</v>
      </c>
      <c r="N733" t="s">
        <v>5031</v>
      </c>
    </row>
    <row r="734" spans="1:14" x14ac:dyDescent="0.3">
      <c r="A734" t="s">
        <v>758</v>
      </c>
      <c r="B734" t="s">
        <v>19</v>
      </c>
      <c r="C734" t="s">
        <v>13</v>
      </c>
      <c r="D734">
        <v>25</v>
      </c>
      <c r="E734" t="s">
        <v>26</v>
      </c>
      <c r="F734" t="s">
        <v>15</v>
      </c>
      <c r="G734">
        <v>75.5</v>
      </c>
      <c r="H734">
        <v>1901.05</v>
      </c>
      <c r="I734" t="s">
        <v>15</v>
      </c>
      <c r="J734" t="s">
        <v>16</v>
      </c>
      <c r="K734" t="s">
        <v>17</v>
      </c>
      <c r="L734">
        <v>1901.05</v>
      </c>
      <c r="M734" t="s">
        <v>5032</v>
      </c>
      <c r="N734" t="s">
        <v>5031</v>
      </c>
    </row>
    <row r="735" spans="1:14" x14ac:dyDescent="0.3">
      <c r="A735" t="s">
        <v>759</v>
      </c>
      <c r="B735" t="s">
        <v>12</v>
      </c>
      <c r="C735" t="s">
        <v>35</v>
      </c>
      <c r="D735">
        <v>72</v>
      </c>
      <c r="E735" t="s">
        <v>26</v>
      </c>
      <c r="F735" t="s">
        <v>15</v>
      </c>
      <c r="G735">
        <v>79.05</v>
      </c>
      <c r="H735">
        <v>5730.7</v>
      </c>
      <c r="I735" t="s">
        <v>15</v>
      </c>
      <c r="J735" t="s">
        <v>15</v>
      </c>
      <c r="K735" t="s">
        <v>24</v>
      </c>
      <c r="L735">
        <v>5730.7</v>
      </c>
      <c r="M735" t="s">
        <v>5033</v>
      </c>
      <c r="N735" t="s">
        <v>5034</v>
      </c>
    </row>
    <row r="736" spans="1:14" x14ac:dyDescent="0.3">
      <c r="A736" t="s">
        <v>760</v>
      </c>
      <c r="B736" t="s">
        <v>12</v>
      </c>
      <c r="C736" t="s">
        <v>13</v>
      </c>
      <c r="D736">
        <v>27</v>
      </c>
      <c r="E736" t="s">
        <v>26</v>
      </c>
      <c r="F736" t="s">
        <v>15</v>
      </c>
      <c r="G736">
        <v>90.15</v>
      </c>
      <c r="H736">
        <v>2423.4</v>
      </c>
      <c r="I736" t="s">
        <v>15</v>
      </c>
      <c r="J736" t="s">
        <v>15</v>
      </c>
      <c r="K736" t="s">
        <v>24</v>
      </c>
      <c r="L736">
        <v>2423.4</v>
      </c>
      <c r="M736" t="s">
        <v>5032</v>
      </c>
      <c r="N736" t="s">
        <v>5031</v>
      </c>
    </row>
    <row r="737" spans="1:14" x14ac:dyDescent="0.3">
      <c r="A737" t="s">
        <v>761</v>
      </c>
      <c r="B737" t="s">
        <v>19</v>
      </c>
      <c r="C737" t="s">
        <v>13</v>
      </c>
      <c r="D737">
        <v>32</v>
      </c>
      <c r="E737" t="s">
        <v>14</v>
      </c>
      <c r="F737" t="s">
        <v>15</v>
      </c>
      <c r="G737">
        <v>50.6</v>
      </c>
      <c r="H737">
        <v>1653.45</v>
      </c>
      <c r="I737" t="s">
        <v>15</v>
      </c>
      <c r="J737" t="s">
        <v>15</v>
      </c>
      <c r="K737" t="s">
        <v>29</v>
      </c>
      <c r="L737">
        <v>1653.45</v>
      </c>
      <c r="M737" t="s">
        <v>5032</v>
      </c>
      <c r="N737" t="s">
        <v>5031</v>
      </c>
    </row>
    <row r="738" spans="1:14" x14ac:dyDescent="0.3">
      <c r="A738" t="s">
        <v>762</v>
      </c>
      <c r="B738" t="s">
        <v>12</v>
      </c>
      <c r="C738" t="s">
        <v>20</v>
      </c>
      <c r="D738">
        <v>30</v>
      </c>
      <c r="E738" t="s">
        <v>26</v>
      </c>
      <c r="F738" t="s">
        <v>16</v>
      </c>
      <c r="G738">
        <v>110.45</v>
      </c>
      <c r="H738">
        <v>3327.05</v>
      </c>
      <c r="I738" t="s">
        <v>15</v>
      </c>
      <c r="J738" t="s">
        <v>15</v>
      </c>
      <c r="K738" t="s">
        <v>29</v>
      </c>
      <c r="L738">
        <v>3327.05</v>
      </c>
      <c r="M738" t="s">
        <v>5032</v>
      </c>
      <c r="N738" t="s">
        <v>5034</v>
      </c>
    </row>
    <row r="739" spans="1:14" x14ac:dyDescent="0.3">
      <c r="A739" t="s">
        <v>763</v>
      </c>
      <c r="B739" t="s">
        <v>19</v>
      </c>
      <c r="C739" t="s">
        <v>35</v>
      </c>
      <c r="D739">
        <v>70</v>
      </c>
      <c r="E739" t="s">
        <v>26</v>
      </c>
      <c r="F739" t="s">
        <v>16</v>
      </c>
      <c r="G739">
        <v>101</v>
      </c>
      <c r="H739">
        <v>7085.5</v>
      </c>
      <c r="I739" t="s">
        <v>15</v>
      </c>
      <c r="J739" t="s">
        <v>15</v>
      </c>
      <c r="K739" t="s">
        <v>29</v>
      </c>
      <c r="L739">
        <v>7085.5</v>
      </c>
      <c r="M739" t="s">
        <v>5033</v>
      </c>
      <c r="N739" t="s">
        <v>5034</v>
      </c>
    </row>
    <row r="740" spans="1:14" x14ac:dyDescent="0.3">
      <c r="A740" t="s">
        <v>764</v>
      </c>
      <c r="B740" t="s">
        <v>19</v>
      </c>
      <c r="C740" t="s">
        <v>13</v>
      </c>
      <c r="D740">
        <v>42</v>
      </c>
      <c r="E740" t="s">
        <v>26</v>
      </c>
      <c r="F740" t="s">
        <v>15</v>
      </c>
      <c r="G740">
        <v>79.349999999999994</v>
      </c>
      <c r="H740">
        <v>3344.1</v>
      </c>
      <c r="I740" t="s">
        <v>15</v>
      </c>
      <c r="J740" t="s">
        <v>16</v>
      </c>
      <c r="K740" t="s">
        <v>24</v>
      </c>
      <c r="L740">
        <v>3344.1</v>
      </c>
      <c r="M740" t="s">
        <v>5033</v>
      </c>
      <c r="N740" t="s">
        <v>5034</v>
      </c>
    </row>
    <row r="741" spans="1:14" x14ac:dyDescent="0.3">
      <c r="A741" t="s">
        <v>765</v>
      </c>
      <c r="B741" t="s">
        <v>12</v>
      </c>
      <c r="C741" t="s">
        <v>35</v>
      </c>
      <c r="D741">
        <v>72</v>
      </c>
      <c r="E741" t="s">
        <v>14</v>
      </c>
      <c r="F741" t="s">
        <v>16</v>
      </c>
      <c r="G741">
        <v>89.85</v>
      </c>
      <c r="H741">
        <v>6697.35</v>
      </c>
      <c r="I741" t="s">
        <v>15</v>
      </c>
      <c r="J741" t="s">
        <v>16</v>
      </c>
      <c r="K741" t="s">
        <v>24</v>
      </c>
      <c r="L741">
        <v>6697.35</v>
      </c>
      <c r="M741" t="s">
        <v>5033</v>
      </c>
      <c r="N741" t="s">
        <v>5034</v>
      </c>
    </row>
    <row r="742" spans="1:14" x14ac:dyDescent="0.3">
      <c r="A742" t="s">
        <v>766</v>
      </c>
      <c r="B742" t="s">
        <v>12</v>
      </c>
      <c r="C742" t="s">
        <v>35</v>
      </c>
      <c r="D742">
        <v>47</v>
      </c>
      <c r="E742" t="s">
        <v>14</v>
      </c>
      <c r="F742" t="s">
        <v>16</v>
      </c>
      <c r="G742">
        <v>65</v>
      </c>
      <c r="H742">
        <v>2879.9</v>
      </c>
      <c r="I742" t="s">
        <v>15</v>
      </c>
      <c r="J742" t="s">
        <v>16</v>
      </c>
      <c r="K742" t="s">
        <v>21</v>
      </c>
      <c r="L742">
        <v>2879.9</v>
      </c>
      <c r="M742" t="s">
        <v>5033</v>
      </c>
      <c r="N742" t="s">
        <v>5034</v>
      </c>
    </row>
    <row r="743" spans="1:14" x14ac:dyDescent="0.3">
      <c r="A743" t="s">
        <v>767</v>
      </c>
      <c r="B743" t="s">
        <v>12</v>
      </c>
      <c r="C743" t="s">
        <v>13</v>
      </c>
      <c r="D743">
        <v>2</v>
      </c>
      <c r="E743" t="s">
        <v>26</v>
      </c>
      <c r="F743" t="s">
        <v>15</v>
      </c>
      <c r="G743">
        <v>80.45</v>
      </c>
      <c r="H743">
        <v>137.1</v>
      </c>
      <c r="I743" t="s">
        <v>15</v>
      </c>
      <c r="J743" t="s">
        <v>16</v>
      </c>
      <c r="K743" t="s">
        <v>17</v>
      </c>
      <c r="L743">
        <v>137.1</v>
      </c>
      <c r="M743" t="s">
        <v>5030</v>
      </c>
      <c r="N743" t="s">
        <v>5031</v>
      </c>
    </row>
    <row r="744" spans="1:14" x14ac:dyDescent="0.3">
      <c r="A744" t="s">
        <v>768</v>
      </c>
      <c r="B744" t="s">
        <v>19</v>
      </c>
      <c r="C744" t="s">
        <v>13</v>
      </c>
      <c r="D744">
        <v>10</v>
      </c>
      <c r="E744" t="s">
        <v>26</v>
      </c>
      <c r="F744" t="s">
        <v>15</v>
      </c>
      <c r="G744">
        <v>98.55</v>
      </c>
      <c r="H744">
        <v>1008.55</v>
      </c>
      <c r="I744" t="s">
        <v>16</v>
      </c>
      <c r="J744" t="s">
        <v>15</v>
      </c>
      <c r="K744" t="s">
        <v>17</v>
      </c>
      <c r="L744">
        <v>1008.55</v>
      </c>
      <c r="M744" t="s">
        <v>5030</v>
      </c>
      <c r="N744" t="s">
        <v>5031</v>
      </c>
    </row>
    <row r="745" spans="1:14" x14ac:dyDescent="0.3">
      <c r="A745" t="s">
        <v>769</v>
      </c>
      <c r="B745" t="s">
        <v>12</v>
      </c>
      <c r="C745" t="s">
        <v>35</v>
      </c>
      <c r="D745">
        <v>61</v>
      </c>
      <c r="E745" t="s">
        <v>15</v>
      </c>
      <c r="F745" t="s">
        <v>36</v>
      </c>
      <c r="G745">
        <v>24.1</v>
      </c>
      <c r="H745">
        <v>1551.6</v>
      </c>
      <c r="I745" t="s">
        <v>15</v>
      </c>
      <c r="J745" t="s">
        <v>16</v>
      </c>
      <c r="K745" t="s">
        <v>21</v>
      </c>
      <c r="L745">
        <v>1551.6</v>
      </c>
      <c r="M745" t="s">
        <v>5033</v>
      </c>
      <c r="N745" t="s">
        <v>5031</v>
      </c>
    </row>
    <row r="746" spans="1:14" x14ac:dyDescent="0.3">
      <c r="A746" t="s">
        <v>770</v>
      </c>
      <c r="B746" t="s">
        <v>12</v>
      </c>
      <c r="C746" t="s">
        <v>13</v>
      </c>
      <c r="D746">
        <v>5</v>
      </c>
      <c r="E746" t="s">
        <v>14</v>
      </c>
      <c r="F746" t="s">
        <v>15</v>
      </c>
      <c r="G746">
        <v>44.05</v>
      </c>
      <c r="H746">
        <v>202.15</v>
      </c>
      <c r="I746" t="s">
        <v>15</v>
      </c>
      <c r="J746" t="s">
        <v>16</v>
      </c>
      <c r="K746" t="s">
        <v>29</v>
      </c>
      <c r="L746">
        <v>202.15</v>
      </c>
      <c r="M746" t="s">
        <v>5030</v>
      </c>
      <c r="N746" t="s">
        <v>5031</v>
      </c>
    </row>
    <row r="747" spans="1:14" x14ac:dyDescent="0.3">
      <c r="A747" t="s">
        <v>771</v>
      </c>
      <c r="B747" t="s">
        <v>12</v>
      </c>
      <c r="C747" t="s">
        <v>35</v>
      </c>
      <c r="D747">
        <v>72</v>
      </c>
      <c r="E747" t="s">
        <v>26</v>
      </c>
      <c r="F747" t="s">
        <v>16</v>
      </c>
      <c r="G747">
        <v>110.8</v>
      </c>
      <c r="H747">
        <v>7882.25</v>
      </c>
      <c r="I747" t="s">
        <v>15</v>
      </c>
      <c r="J747" t="s">
        <v>16</v>
      </c>
      <c r="K747" t="s">
        <v>29</v>
      </c>
      <c r="L747">
        <v>7882.25</v>
      </c>
      <c r="M747" t="s">
        <v>5033</v>
      </c>
      <c r="N747" t="s">
        <v>5034</v>
      </c>
    </row>
    <row r="748" spans="1:14" x14ac:dyDescent="0.3">
      <c r="A748" t="s">
        <v>772</v>
      </c>
      <c r="B748" t="s">
        <v>19</v>
      </c>
      <c r="C748" t="s">
        <v>35</v>
      </c>
      <c r="D748">
        <v>72</v>
      </c>
      <c r="E748" t="s">
        <v>26</v>
      </c>
      <c r="F748" t="s">
        <v>16</v>
      </c>
      <c r="G748">
        <v>114.95</v>
      </c>
      <c r="H748">
        <v>8196.4</v>
      </c>
      <c r="I748" t="s">
        <v>15</v>
      </c>
      <c r="J748" t="s">
        <v>16</v>
      </c>
      <c r="K748" t="s">
        <v>24</v>
      </c>
      <c r="L748">
        <v>8196.4</v>
      </c>
      <c r="M748" t="s">
        <v>5033</v>
      </c>
      <c r="N748" t="s">
        <v>5034</v>
      </c>
    </row>
    <row r="749" spans="1:14" x14ac:dyDescent="0.3">
      <c r="A749" t="s">
        <v>773</v>
      </c>
      <c r="B749" t="s">
        <v>12</v>
      </c>
      <c r="C749" t="s">
        <v>13</v>
      </c>
      <c r="D749">
        <v>3</v>
      </c>
      <c r="E749" t="s">
        <v>26</v>
      </c>
      <c r="F749" t="s">
        <v>15</v>
      </c>
      <c r="G749">
        <v>75.05</v>
      </c>
      <c r="H749">
        <v>202.9</v>
      </c>
      <c r="I749" t="s">
        <v>15</v>
      </c>
      <c r="J749" t="s">
        <v>15</v>
      </c>
      <c r="K749" t="s">
        <v>21</v>
      </c>
      <c r="L749">
        <v>202.9</v>
      </c>
      <c r="M749" t="s">
        <v>5030</v>
      </c>
      <c r="N749" t="s">
        <v>5031</v>
      </c>
    </row>
    <row r="750" spans="1:14" x14ac:dyDescent="0.3">
      <c r="A750" t="s">
        <v>774</v>
      </c>
      <c r="B750" t="s">
        <v>19</v>
      </c>
      <c r="C750" t="s">
        <v>35</v>
      </c>
      <c r="D750">
        <v>48</v>
      </c>
      <c r="E750" t="s">
        <v>15</v>
      </c>
      <c r="F750" t="s">
        <v>36</v>
      </c>
      <c r="G750">
        <v>19.25</v>
      </c>
      <c r="H750">
        <v>855.1</v>
      </c>
      <c r="I750" t="s">
        <v>15</v>
      </c>
      <c r="J750" t="s">
        <v>15</v>
      </c>
      <c r="K750" t="s">
        <v>21</v>
      </c>
      <c r="L750">
        <v>855.1</v>
      </c>
      <c r="M750" t="s">
        <v>5033</v>
      </c>
      <c r="N750" t="s">
        <v>5031</v>
      </c>
    </row>
    <row r="751" spans="1:14" x14ac:dyDescent="0.3">
      <c r="A751" t="s">
        <v>775</v>
      </c>
      <c r="B751" t="s">
        <v>12</v>
      </c>
      <c r="C751" t="s">
        <v>20</v>
      </c>
      <c r="D751">
        <v>63</v>
      </c>
      <c r="E751" t="s">
        <v>26</v>
      </c>
      <c r="F751" t="s">
        <v>16</v>
      </c>
      <c r="G751">
        <v>90.05</v>
      </c>
      <c r="H751">
        <v>5817</v>
      </c>
      <c r="I751" t="s">
        <v>15</v>
      </c>
      <c r="J751" t="s">
        <v>16</v>
      </c>
      <c r="K751" t="s">
        <v>29</v>
      </c>
      <c r="L751">
        <v>5817</v>
      </c>
      <c r="M751" t="s">
        <v>5033</v>
      </c>
      <c r="N751" t="s">
        <v>5034</v>
      </c>
    </row>
    <row r="752" spans="1:14" x14ac:dyDescent="0.3">
      <c r="A752" t="s">
        <v>776</v>
      </c>
      <c r="B752" t="s">
        <v>12</v>
      </c>
      <c r="C752" t="s">
        <v>13</v>
      </c>
      <c r="D752">
        <v>27</v>
      </c>
      <c r="E752" t="s">
        <v>14</v>
      </c>
      <c r="F752" t="s">
        <v>15</v>
      </c>
      <c r="G752">
        <v>56.7</v>
      </c>
      <c r="H752">
        <v>1652.95</v>
      </c>
      <c r="I752" t="s">
        <v>15</v>
      </c>
      <c r="J752" t="s">
        <v>16</v>
      </c>
      <c r="K752" t="s">
        <v>21</v>
      </c>
      <c r="L752">
        <v>1652.95</v>
      </c>
      <c r="M752" t="s">
        <v>5032</v>
      </c>
      <c r="N752" t="s">
        <v>5031</v>
      </c>
    </row>
    <row r="753" spans="1:14" x14ac:dyDescent="0.3">
      <c r="A753" t="s">
        <v>777</v>
      </c>
      <c r="B753" t="s">
        <v>19</v>
      </c>
      <c r="C753" t="s">
        <v>35</v>
      </c>
      <c r="D753">
        <v>70</v>
      </c>
      <c r="E753" t="s">
        <v>14</v>
      </c>
      <c r="F753" t="s">
        <v>15</v>
      </c>
      <c r="G753">
        <v>80.150000000000006</v>
      </c>
      <c r="H753">
        <v>5600.15</v>
      </c>
      <c r="I753" t="s">
        <v>15</v>
      </c>
      <c r="J753" t="s">
        <v>16</v>
      </c>
      <c r="K753" t="s">
        <v>29</v>
      </c>
      <c r="L753">
        <v>5600.15</v>
      </c>
      <c r="M753" t="s">
        <v>5033</v>
      </c>
      <c r="N753" t="s">
        <v>5034</v>
      </c>
    </row>
    <row r="754" spans="1:14" x14ac:dyDescent="0.3">
      <c r="A754" t="s">
        <v>778</v>
      </c>
      <c r="B754" t="s">
        <v>19</v>
      </c>
      <c r="C754" t="s">
        <v>13</v>
      </c>
      <c r="D754">
        <v>7</v>
      </c>
      <c r="E754" t="s">
        <v>14</v>
      </c>
      <c r="F754" t="s">
        <v>16</v>
      </c>
      <c r="G754">
        <v>71.349999999999994</v>
      </c>
      <c r="H754">
        <v>515.75</v>
      </c>
      <c r="I754" t="s">
        <v>15</v>
      </c>
      <c r="J754" t="s">
        <v>16</v>
      </c>
      <c r="K754" t="s">
        <v>29</v>
      </c>
      <c r="L754">
        <v>515.75</v>
      </c>
      <c r="M754" t="s">
        <v>5030</v>
      </c>
      <c r="N754" t="s">
        <v>5031</v>
      </c>
    </row>
    <row r="755" spans="1:14" x14ac:dyDescent="0.3">
      <c r="A755" t="s">
        <v>779</v>
      </c>
      <c r="B755" t="s">
        <v>19</v>
      </c>
      <c r="C755" t="s">
        <v>35</v>
      </c>
      <c r="D755">
        <v>0</v>
      </c>
      <c r="E755" t="s">
        <v>15</v>
      </c>
      <c r="F755" t="s">
        <v>36</v>
      </c>
      <c r="G755">
        <v>20.25</v>
      </c>
      <c r="H755" t="s">
        <v>514</v>
      </c>
      <c r="I755" t="s">
        <v>15</v>
      </c>
      <c r="J755" t="s">
        <v>15</v>
      </c>
      <c r="K755" t="s">
        <v>21</v>
      </c>
      <c r="L755">
        <v>0</v>
      </c>
      <c r="M755" t="s">
        <v>5030</v>
      </c>
      <c r="N755" t="s">
        <v>5034</v>
      </c>
    </row>
    <row r="756" spans="1:14" x14ac:dyDescent="0.3">
      <c r="A756" t="s">
        <v>780</v>
      </c>
      <c r="B756" t="s">
        <v>12</v>
      </c>
      <c r="C756" t="s">
        <v>13</v>
      </c>
      <c r="D756">
        <v>2</v>
      </c>
      <c r="E756" t="s">
        <v>26</v>
      </c>
      <c r="F756" t="s">
        <v>15</v>
      </c>
      <c r="G756">
        <v>90.35</v>
      </c>
      <c r="H756">
        <v>190.5</v>
      </c>
      <c r="I756" t="s">
        <v>15</v>
      </c>
      <c r="J756" t="s">
        <v>15</v>
      </c>
      <c r="K756" t="s">
        <v>17</v>
      </c>
      <c r="L756">
        <v>190.5</v>
      </c>
      <c r="M756" t="s">
        <v>5030</v>
      </c>
      <c r="N756" t="s">
        <v>5031</v>
      </c>
    </row>
    <row r="757" spans="1:14" x14ac:dyDescent="0.3">
      <c r="A757" t="s">
        <v>781</v>
      </c>
      <c r="B757" t="s">
        <v>19</v>
      </c>
      <c r="C757" t="s">
        <v>13</v>
      </c>
      <c r="D757">
        <v>20</v>
      </c>
      <c r="E757" t="s">
        <v>26</v>
      </c>
      <c r="F757" t="s">
        <v>15</v>
      </c>
      <c r="G757">
        <v>98.55</v>
      </c>
      <c r="H757">
        <v>1842.8</v>
      </c>
      <c r="I757" t="s">
        <v>16</v>
      </c>
      <c r="J757" t="s">
        <v>16</v>
      </c>
      <c r="K757" t="s">
        <v>17</v>
      </c>
      <c r="L757">
        <v>1842.8</v>
      </c>
      <c r="M757" t="s">
        <v>5032</v>
      </c>
      <c r="N757" t="s">
        <v>5031</v>
      </c>
    </row>
    <row r="758" spans="1:14" x14ac:dyDescent="0.3">
      <c r="A758" t="s">
        <v>782</v>
      </c>
      <c r="B758" t="s">
        <v>19</v>
      </c>
      <c r="C758" t="s">
        <v>35</v>
      </c>
      <c r="D758">
        <v>66</v>
      </c>
      <c r="E758" t="s">
        <v>15</v>
      </c>
      <c r="F758" t="s">
        <v>36</v>
      </c>
      <c r="G758">
        <v>19.7</v>
      </c>
      <c r="H758">
        <v>1253.8</v>
      </c>
      <c r="I758" t="s">
        <v>15</v>
      </c>
      <c r="J758" t="s">
        <v>15</v>
      </c>
      <c r="K758" t="s">
        <v>24</v>
      </c>
      <c r="L758">
        <v>1253.8</v>
      </c>
      <c r="M758" t="s">
        <v>5033</v>
      </c>
      <c r="N758" t="s">
        <v>5031</v>
      </c>
    </row>
    <row r="759" spans="1:14" x14ac:dyDescent="0.3">
      <c r="A759" t="s">
        <v>783</v>
      </c>
      <c r="B759" t="s">
        <v>12</v>
      </c>
      <c r="C759" t="s">
        <v>13</v>
      </c>
      <c r="D759">
        <v>3</v>
      </c>
      <c r="E759" t="s">
        <v>15</v>
      </c>
      <c r="F759" t="s">
        <v>36</v>
      </c>
      <c r="G759">
        <v>19.850000000000001</v>
      </c>
      <c r="H759">
        <v>57.2</v>
      </c>
      <c r="I759" t="s">
        <v>15</v>
      </c>
      <c r="J759" t="s">
        <v>15</v>
      </c>
      <c r="K759" t="s">
        <v>21</v>
      </c>
      <c r="L759">
        <v>57.2</v>
      </c>
      <c r="M759" t="s">
        <v>5030</v>
      </c>
      <c r="N759" t="s">
        <v>5031</v>
      </c>
    </row>
    <row r="760" spans="1:14" x14ac:dyDescent="0.3">
      <c r="A760" t="s">
        <v>784</v>
      </c>
      <c r="B760" t="s">
        <v>12</v>
      </c>
      <c r="C760" t="s">
        <v>13</v>
      </c>
      <c r="D760">
        <v>15</v>
      </c>
      <c r="E760" t="s">
        <v>26</v>
      </c>
      <c r="F760" t="s">
        <v>15</v>
      </c>
      <c r="G760">
        <v>85.9</v>
      </c>
      <c r="H760">
        <v>1269.55</v>
      </c>
      <c r="I760" t="s">
        <v>16</v>
      </c>
      <c r="J760" t="s">
        <v>16</v>
      </c>
      <c r="K760" t="s">
        <v>24</v>
      </c>
      <c r="L760">
        <v>1269.55</v>
      </c>
      <c r="M760" t="s">
        <v>5032</v>
      </c>
      <c r="N760" t="s">
        <v>5031</v>
      </c>
    </row>
    <row r="761" spans="1:14" x14ac:dyDescent="0.3">
      <c r="A761" t="s">
        <v>785</v>
      </c>
      <c r="B761" t="s">
        <v>12</v>
      </c>
      <c r="C761" t="s">
        <v>35</v>
      </c>
      <c r="D761">
        <v>72</v>
      </c>
      <c r="E761" t="s">
        <v>26</v>
      </c>
      <c r="F761" t="s">
        <v>16</v>
      </c>
      <c r="G761">
        <v>90.35</v>
      </c>
      <c r="H761">
        <v>6563.4</v>
      </c>
      <c r="I761" t="s">
        <v>15</v>
      </c>
      <c r="J761" t="s">
        <v>16</v>
      </c>
      <c r="K761" t="s">
        <v>24</v>
      </c>
      <c r="L761">
        <v>6563.4</v>
      </c>
      <c r="M761" t="s">
        <v>5033</v>
      </c>
      <c r="N761" t="s">
        <v>5034</v>
      </c>
    </row>
    <row r="762" spans="1:14" x14ac:dyDescent="0.3">
      <c r="A762" t="s">
        <v>786</v>
      </c>
      <c r="B762" t="s">
        <v>19</v>
      </c>
      <c r="C762" t="s">
        <v>13</v>
      </c>
      <c r="D762">
        <v>1</v>
      </c>
      <c r="E762" t="s">
        <v>15</v>
      </c>
      <c r="F762" t="s">
        <v>36</v>
      </c>
      <c r="G762">
        <v>20.8</v>
      </c>
      <c r="H762">
        <v>20.8</v>
      </c>
      <c r="I762" t="s">
        <v>15</v>
      </c>
      <c r="J762" t="s">
        <v>15</v>
      </c>
      <c r="K762" t="s">
        <v>21</v>
      </c>
      <c r="L762">
        <v>20.8</v>
      </c>
      <c r="M762" t="s">
        <v>5030</v>
      </c>
      <c r="N762" t="s">
        <v>5031</v>
      </c>
    </row>
    <row r="763" spans="1:14" x14ac:dyDescent="0.3">
      <c r="A763" t="s">
        <v>787</v>
      </c>
      <c r="B763" t="s">
        <v>12</v>
      </c>
      <c r="C763" t="s">
        <v>13</v>
      </c>
      <c r="D763">
        <v>22</v>
      </c>
      <c r="E763" t="s">
        <v>26</v>
      </c>
      <c r="F763" t="s">
        <v>15</v>
      </c>
      <c r="G763">
        <v>89.25</v>
      </c>
      <c r="H763">
        <v>1907.85</v>
      </c>
      <c r="I763" t="s">
        <v>16</v>
      </c>
      <c r="J763" t="s">
        <v>15</v>
      </c>
      <c r="K763" t="s">
        <v>17</v>
      </c>
      <c r="L763">
        <v>1907.85</v>
      </c>
      <c r="M763" t="s">
        <v>5032</v>
      </c>
      <c r="N763" t="s">
        <v>5031</v>
      </c>
    </row>
    <row r="764" spans="1:14" x14ac:dyDescent="0.3">
      <c r="A764" t="s">
        <v>788</v>
      </c>
      <c r="B764" t="s">
        <v>19</v>
      </c>
      <c r="C764" t="s">
        <v>13</v>
      </c>
      <c r="D764">
        <v>3</v>
      </c>
      <c r="E764" t="s">
        <v>26</v>
      </c>
      <c r="F764" t="s">
        <v>15</v>
      </c>
      <c r="G764">
        <v>70.3</v>
      </c>
      <c r="H764">
        <v>208.85</v>
      </c>
      <c r="I764" t="s">
        <v>16</v>
      </c>
      <c r="J764" t="s">
        <v>16</v>
      </c>
      <c r="K764" t="s">
        <v>17</v>
      </c>
      <c r="L764">
        <v>208.85</v>
      </c>
      <c r="M764" t="s">
        <v>5030</v>
      </c>
      <c r="N764" t="s">
        <v>5031</v>
      </c>
    </row>
    <row r="765" spans="1:14" x14ac:dyDescent="0.3">
      <c r="A765" t="s">
        <v>789</v>
      </c>
      <c r="B765" t="s">
        <v>12</v>
      </c>
      <c r="C765" t="s">
        <v>35</v>
      </c>
      <c r="D765">
        <v>72</v>
      </c>
      <c r="E765" t="s">
        <v>14</v>
      </c>
      <c r="F765" t="s">
        <v>16</v>
      </c>
      <c r="G765">
        <v>66.849999999999994</v>
      </c>
      <c r="H765">
        <v>4758.8</v>
      </c>
      <c r="I765" t="s">
        <v>15</v>
      </c>
      <c r="J765" t="s">
        <v>15</v>
      </c>
      <c r="K765" t="s">
        <v>24</v>
      </c>
      <c r="L765">
        <v>4758.8</v>
      </c>
      <c r="M765" t="s">
        <v>5033</v>
      </c>
      <c r="N765" t="s">
        <v>5034</v>
      </c>
    </row>
    <row r="766" spans="1:14" x14ac:dyDescent="0.3">
      <c r="A766" t="s">
        <v>790</v>
      </c>
      <c r="B766" t="s">
        <v>19</v>
      </c>
      <c r="C766" t="s">
        <v>35</v>
      </c>
      <c r="D766">
        <v>65</v>
      </c>
      <c r="E766" t="s">
        <v>15</v>
      </c>
      <c r="F766" t="s">
        <v>36</v>
      </c>
      <c r="G766">
        <v>19.899999999999999</v>
      </c>
      <c r="H766">
        <v>1292.5999999999999</v>
      </c>
      <c r="I766" t="s">
        <v>15</v>
      </c>
      <c r="J766" t="s">
        <v>15</v>
      </c>
      <c r="K766" t="s">
        <v>21</v>
      </c>
      <c r="L766">
        <v>1292.5999999999999</v>
      </c>
      <c r="M766" t="s">
        <v>5033</v>
      </c>
      <c r="N766" t="s">
        <v>5031</v>
      </c>
    </row>
    <row r="767" spans="1:14" x14ac:dyDescent="0.3">
      <c r="A767" t="s">
        <v>791</v>
      </c>
      <c r="B767" t="s">
        <v>12</v>
      </c>
      <c r="C767" t="s">
        <v>13</v>
      </c>
      <c r="D767">
        <v>11</v>
      </c>
      <c r="E767" t="s">
        <v>14</v>
      </c>
      <c r="F767" t="s">
        <v>15</v>
      </c>
      <c r="G767">
        <v>35.799999999999997</v>
      </c>
      <c r="H767">
        <v>363.15</v>
      </c>
      <c r="I767" t="s">
        <v>15</v>
      </c>
      <c r="J767" t="s">
        <v>16</v>
      </c>
      <c r="K767" t="s">
        <v>21</v>
      </c>
      <c r="L767">
        <v>363.15</v>
      </c>
      <c r="M767" t="s">
        <v>5030</v>
      </c>
      <c r="N767" t="s">
        <v>5031</v>
      </c>
    </row>
    <row r="768" spans="1:14" x14ac:dyDescent="0.3">
      <c r="A768" t="s">
        <v>792</v>
      </c>
      <c r="B768" t="s">
        <v>19</v>
      </c>
      <c r="C768" t="s">
        <v>13</v>
      </c>
      <c r="D768">
        <v>22</v>
      </c>
      <c r="E768" t="s">
        <v>26</v>
      </c>
      <c r="F768" t="s">
        <v>15</v>
      </c>
      <c r="G768">
        <v>78.849999999999994</v>
      </c>
      <c r="H768">
        <v>1600.25</v>
      </c>
      <c r="I768" t="s">
        <v>15</v>
      </c>
      <c r="J768" t="s">
        <v>16</v>
      </c>
      <c r="K768" t="s">
        <v>21</v>
      </c>
      <c r="L768">
        <v>1600.25</v>
      </c>
      <c r="M768" t="s">
        <v>5032</v>
      </c>
      <c r="N768" t="s">
        <v>5031</v>
      </c>
    </row>
    <row r="769" spans="1:14" x14ac:dyDescent="0.3">
      <c r="A769" t="s">
        <v>793</v>
      </c>
      <c r="B769" t="s">
        <v>19</v>
      </c>
      <c r="C769" t="s">
        <v>20</v>
      </c>
      <c r="D769">
        <v>14</v>
      </c>
      <c r="E769" t="s">
        <v>15</v>
      </c>
      <c r="F769" t="s">
        <v>36</v>
      </c>
      <c r="G769">
        <v>20.399999999999999</v>
      </c>
      <c r="H769">
        <v>275.7</v>
      </c>
      <c r="I769" t="s">
        <v>15</v>
      </c>
      <c r="J769" t="s">
        <v>15</v>
      </c>
      <c r="K769" t="s">
        <v>24</v>
      </c>
      <c r="L769">
        <v>275.7</v>
      </c>
      <c r="M769" t="s">
        <v>5032</v>
      </c>
      <c r="N769" t="s">
        <v>5031</v>
      </c>
    </row>
    <row r="770" spans="1:14" x14ac:dyDescent="0.3">
      <c r="A770" t="s">
        <v>794</v>
      </c>
      <c r="B770" t="s">
        <v>19</v>
      </c>
      <c r="C770" t="s">
        <v>13</v>
      </c>
      <c r="D770">
        <v>41</v>
      </c>
      <c r="E770" t="s">
        <v>26</v>
      </c>
      <c r="F770" t="s">
        <v>16</v>
      </c>
      <c r="G770">
        <v>74.25</v>
      </c>
      <c r="H770">
        <v>3089.1</v>
      </c>
      <c r="I770" t="s">
        <v>15</v>
      </c>
      <c r="J770" t="s">
        <v>16</v>
      </c>
      <c r="K770" t="s">
        <v>17</v>
      </c>
      <c r="L770">
        <v>3089.1</v>
      </c>
      <c r="M770" t="s">
        <v>5033</v>
      </c>
      <c r="N770" t="s">
        <v>5034</v>
      </c>
    </row>
    <row r="771" spans="1:14" x14ac:dyDescent="0.3">
      <c r="A771" t="s">
        <v>795</v>
      </c>
      <c r="B771" t="s">
        <v>19</v>
      </c>
      <c r="C771" t="s">
        <v>20</v>
      </c>
      <c r="D771">
        <v>17</v>
      </c>
      <c r="E771" t="s">
        <v>14</v>
      </c>
      <c r="F771" t="s">
        <v>15</v>
      </c>
      <c r="G771">
        <v>64.8</v>
      </c>
      <c r="H771">
        <v>1175.5999999999999</v>
      </c>
      <c r="I771" t="s">
        <v>15</v>
      </c>
      <c r="J771" t="s">
        <v>15</v>
      </c>
      <c r="K771" t="s">
        <v>21</v>
      </c>
      <c r="L771">
        <v>1175.5999999999999</v>
      </c>
      <c r="M771" t="s">
        <v>5032</v>
      </c>
      <c r="N771" t="s">
        <v>5031</v>
      </c>
    </row>
    <row r="772" spans="1:14" x14ac:dyDescent="0.3">
      <c r="A772" t="s">
        <v>796</v>
      </c>
      <c r="B772" t="s">
        <v>19</v>
      </c>
      <c r="C772" t="s">
        <v>13</v>
      </c>
      <c r="D772">
        <v>11</v>
      </c>
      <c r="E772" t="s">
        <v>15</v>
      </c>
      <c r="F772" t="s">
        <v>36</v>
      </c>
      <c r="G772">
        <v>20.45</v>
      </c>
      <c r="H772">
        <v>237.3</v>
      </c>
      <c r="I772" t="s">
        <v>15</v>
      </c>
      <c r="J772" t="s">
        <v>16</v>
      </c>
      <c r="K772" t="s">
        <v>29</v>
      </c>
      <c r="L772">
        <v>237.3</v>
      </c>
      <c r="M772" t="s">
        <v>5030</v>
      </c>
      <c r="N772" t="s">
        <v>5031</v>
      </c>
    </row>
    <row r="773" spans="1:14" x14ac:dyDescent="0.3">
      <c r="A773" t="s">
        <v>797</v>
      </c>
      <c r="B773" t="s">
        <v>19</v>
      </c>
      <c r="C773" t="s">
        <v>13</v>
      </c>
      <c r="D773">
        <v>15</v>
      </c>
      <c r="E773" t="s">
        <v>26</v>
      </c>
      <c r="F773" t="s">
        <v>15</v>
      </c>
      <c r="G773">
        <v>93.35</v>
      </c>
      <c r="H773">
        <v>1444.65</v>
      </c>
      <c r="I773" t="s">
        <v>16</v>
      </c>
      <c r="J773" t="s">
        <v>16</v>
      </c>
      <c r="K773" t="s">
        <v>17</v>
      </c>
      <c r="L773">
        <v>1444.65</v>
      </c>
      <c r="M773" t="s">
        <v>5032</v>
      </c>
      <c r="N773" t="s">
        <v>5031</v>
      </c>
    </row>
    <row r="774" spans="1:14" x14ac:dyDescent="0.3">
      <c r="A774" t="s">
        <v>798</v>
      </c>
      <c r="B774" t="s">
        <v>12</v>
      </c>
      <c r="C774" t="s">
        <v>13</v>
      </c>
      <c r="D774">
        <v>1</v>
      </c>
      <c r="E774" t="s">
        <v>15</v>
      </c>
      <c r="F774" t="s">
        <v>36</v>
      </c>
      <c r="G774">
        <v>19.899999999999999</v>
      </c>
      <c r="H774">
        <v>19.899999999999999</v>
      </c>
      <c r="I774" t="s">
        <v>16</v>
      </c>
      <c r="J774" t="s">
        <v>15</v>
      </c>
      <c r="K774" t="s">
        <v>21</v>
      </c>
      <c r="L774">
        <v>19.899999999999999</v>
      </c>
      <c r="M774" t="s">
        <v>5030</v>
      </c>
      <c r="N774" t="s">
        <v>5031</v>
      </c>
    </row>
    <row r="775" spans="1:14" x14ac:dyDescent="0.3">
      <c r="A775" t="s">
        <v>799</v>
      </c>
      <c r="B775" t="s">
        <v>12</v>
      </c>
      <c r="C775" t="s">
        <v>13</v>
      </c>
      <c r="D775">
        <v>5</v>
      </c>
      <c r="E775" t="s">
        <v>26</v>
      </c>
      <c r="F775" t="s">
        <v>15</v>
      </c>
      <c r="G775">
        <v>88.9</v>
      </c>
      <c r="H775">
        <v>454.15</v>
      </c>
      <c r="I775" t="s">
        <v>16</v>
      </c>
      <c r="J775" t="s">
        <v>16</v>
      </c>
      <c r="K775" t="s">
        <v>21</v>
      </c>
      <c r="L775">
        <v>454.15</v>
      </c>
      <c r="M775" t="s">
        <v>5030</v>
      </c>
      <c r="N775" t="s">
        <v>5031</v>
      </c>
    </row>
    <row r="776" spans="1:14" x14ac:dyDescent="0.3">
      <c r="A776" t="s">
        <v>800</v>
      </c>
      <c r="B776" t="s">
        <v>19</v>
      </c>
      <c r="C776" t="s">
        <v>20</v>
      </c>
      <c r="D776">
        <v>33</v>
      </c>
      <c r="E776" t="s">
        <v>26</v>
      </c>
      <c r="F776" t="s">
        <v>15</v>
      </c>
      <c r="G776">
        <v>95.8</v>
      </c>
      <c r="H776">
        <v>3036.75</v>
      </c>
      <c r="I776" t="s">
        <v>16</v>
      </c>
      <c r="J776" t="s">
        <v>16</v>
      </c>
      <c r="K776" t="s">
        <v>17</v>
      </c>
      <c r="L776">
        <v>3036.75</v>
      </c>
      <c r="M776" t="s">
        <v>5032</v>
      </c>
      <c r="N776" t="s">
        <v>5034</v>
      </c>
    </row>
    <row r="777" spans="1:14" x14ac:dyDescent="0.3">
      <c r="A777" t="s">
        <v>801</v>
      </c>
      <c r="B777" t="s">
        <v>12</v>
      </c>
      <c r="C777" t="s">
        <v>35</v>
      </c>
      <c r="D777">
        <v>72</v>
      </c>
      <c r="E777" t="s">
        <v>26</v>
      </c>
      <c r="F777" t="s">
        <v>15</v>
      </c>
      <c r="G777">
        <v>110.65</v>
      </c>
      <c r="H777">
        <v>8065.65</v>
      </c>
      <c r="I777" t="s">
        <v>15</v>
      </c>
      <c r="J777" t="s">
        <v>16</v>
      </c>
      <c r="K777" t="s">
        <v>29</v>
      </c>
      <c r="L777">
        <v>8065.65</v>
      </c>
      <c r="M777" t="s">
        <v>5033</v>
      </c>
      <c r="N777" t="s">
        <v>5034</v>
      </c>
    </row>
    <row r="778" spans="1:14" x14ac:dyDescent="0.3">
      <c r="A778" t="s">
        <v>802</v>
      </c>
      <c r="B778" t="s">
        <v>12</v>
      </c>
      <c r="C778" t="s">
        <v>13</v>
      </c>
      <c r="D778">
        <v>3</v>
      </c>
      <c r="E778" t="s">
        <v>14</v>
      </c>
      <c r="F778" t="s">
        <v>15</v>
      </c>
      <c r="G778">
        <v>40.299999999999997</v>
      </c>
      <c r="H778">
        <v>92.5</v>
      </c>
      <c r="I778" t="s">
        <v>15</v>
      </c>
      <c r="J778" t="s">
        <v>15</v>
      </c>
      <c r="K778" t="s">
        <v>21</v>
      </c>
      <c r="L778">
        <v>92.5</v>
      </c>
      <c r="M778" t="s">
        <v>5030</v>
      </c>
      <c r="N778" t="s">
        <v>5031</v>
      </c>
    </row>
    <row r="779" spans="1:14" x14ac:dyDescent="0.3">
      <c r="A779" t="s">
        <v>803</v>
      </c>
      <c r="B779" t="s">
        <v>19</v>
      </c>
      <c r="C779" t="s">
        <v>13</v>
      </c>
      <c r="D779">
        <v>2</v>
      </c>
      <c r="E779" t="s">
        <v>26</v>
      </c>
      <c r="F779" t="s">
        <v>15</v>
      </c>
      <c r="G779">
        <v>82</v>
      </c>
      <c r="H779">
        <v>184.65</v>
      </c>
      <c r="I779" t="s">
        <v>16</v>
      </c>
      <c r="J779" t="s">
        <v>16</v>
      </c>
      <c r="K779" t="s">
        <v>17</v>
      </c>
      <c r="L779">
        <v>184.65</v>
      </c>
      <c r="M779" t="s">
        <v>5030</v>
      </c>
      <c r="N779" t="s">
        <v>5031</v>
      </c>
    </row>
    <row r="780" spans="1:14" x14ac:dyDescent="0.3">
      <c r="A780" t="s">
        <v>804</v>
      </c>
      <c r="B780" t="s">
        <v>12</v>
      </c>
      <c r="C780" t="s">
        <v>20</v>
      </c>
      <c r="D780">
        <v>59</v>
      </c>
      <c r="E780" t="s">
        <v>26</v>
      </c>
      <c r="F780" t="s">
        <v>16</v>
      </c>
      <c r="G780">
        <v>107</v>
      </c>
      <c r="H780">
        <v>6152.3</v>
      </c>
      <c r="I780" t="s">
        <v>15</v>
      </c>
      <c r="J780" t="s">
        <v>16</v>
      </c>
      <c r="K780" t="s">
        <v>29</v>
      </c>
      <c r="L780">
        <v>6152.3</v>
      </c>
      <c r="M780" t="s">
        <v>5033</v>
      </c>
      <c r="N780" t="s">
        <v>5034</v>
      </c>
    </row>
    <row r="781" spans="1:14" x14ac:dyDescent="0.3">
      <c r="A781" t="s">
        <v>805</v>
      </c>
      <c r="B781" t="s">
        <v>19</v>
      </c>
      <c r="C781" t="s">
        <v>13</v>
      </c>
      <c r="D781">
        <v>2</v>
      </c>
      <c r="E781" t="s">
        <v>14</v>
      </c>
      <c r="F781" t="s">
        <v>15</v>
      </c>
      <c r="G781">
        <v>45.35</v>
      </c>
      <c r="H781">
        <v>89.5</v>
      </c>
      <c r="I781" t="s">
        <v>16</v>
      </c>
      <c r="J781" t="s">
        <v>15</v>
      </c>
      <c r="K781" t="s">
        <v>17</v>
      </c>
      <c r="L781">
        <v>89.5</v>
      </c>
      <c r="M781" t="s">
        <v>5030</v>
      </c>
      <c r="N781" t="s">
        <v>5031</v>
      </c>
    </row>
    <row r="782" spans="1:14" x14ac:dyDescent="0.3">
      <c r="A782" t="s">
        <v>806</v>
      </c>
      <c r="B782" t="s">
        <v>19</v>
      </c>
      <c r="C782" t="s">
        <v>35</v>
      </c>
      <c r="D782">
        <v>71</v>
      </c>
      <c r="E782" t="s">
        <v>14</v>
      </c>
      <c r="F782" t="s">
        <v>16</v>
      </c>
      <c r="G782">
        <v>73.349999999999994</v>
      </c>
      <c r="H782">
        <v>5154.5</v>
      </c>
      <c r="I782" t="s">
        <v>15</v>
      </c>
      <c r="J782" t="s">
        <v>16</v>
      </c>
      <c r="K782" t="s">
        <v>29</v>
      </c>
      <c r="L782">
        <v>5154.5</v>
      </c>
      <c r="M782" t="s">
        <v>5033</v>
      </c>
      <c r="N782" t="s">
        <v>5034</v>
      </c>
    </row>
    <row r="783" spans="1:14" x14ac:dyDescent="0.3">
      <c r="A783" t="s">
        <v>807</v>
      </c>
      <c r="B783" t="s">
        <v>12</v>
      </c>
      <c r="C783" t="s">
        <v>13</v>
      </c>
      <c r="D783">
        <v>5</v>
      </c>
      <c r="E783" t="s">
        <v>14</v>
      </c>
      <c r="F783" t="s">
        <v>15</v>
      </c>
      <c r="G783">
        <v>44.8</v>
      </c>
      <c r="H783">
        <v>220.45</v>
      </c>
      <c r="I783" t="s">
        <v>15</v>
      </c>
      <c r="J783" t="s">
        <v>15</v>
      </c>
      <c r="K783" t="s">
        <v>21</v>
      </c>
      <c r="L783">
        <v>220.45</v>
      </c>
      <c r="M783" t="s">
        <v>5030</v>
      </c>
      <c r="N783" t="s">
        <v>5031</v>
      </c>
    </row>
    <row r="784" spans="1:14" x14ac:dyDescent="0.3">
      <c r="A784" t="s">
        <v>808</v>
      </c>
      <c r="B784" t="s">
        <v>19</v>
      </c>
      <c r="C784" t="s">
        <v>13</v>
      </c>
      <c r="D784">
        <v>27</v>
      </c>
      <c r="E784" t="s">
        <v>14</v>
      </c>
      <c r="F784" t="s">
        <v>15</v>
      </c>
      <c r="G784">
        <v>54.75</v>
      </c>
      <c r="H784">
        <v>1510.3</v>
      </c>
      <c r="I784" t="s">
        <v>15</v>
      </c>
      <c r="J784" t="s">
        <v>16</v>
      </c>
      <c r="K784" t="s">
        <v>29</v>
      </c>
      <c r="L784">
        <v>1510.3</v>
      </c>
      <c r="M784" t="s">
        <v>5032</v>
      </c>
      <c r="N784" t="s">
        <v>5031</v>
      </c>
    </row>
    <row r="785" spans="1:14" x14ac:dyDescent="0.3">
      <c r="A785" t="s">
        <v>809</v>
      </c>
      <c r="B785" t="s">
        <v>12</v>
      </c>
      <c r="C785" t="s">
        <v>13</v>
      </c>
      <c r="D785">
        <v>1</v>
      </c>
      <c r="E785" t="s">
        <v>14</v>
      </c>
      <c r="F785" t="s">
        <v>16</v>
      </c>
      <c r="G785">
        <v>52.2</v>
      </c>
      <c r="H785">
        <v>52.2</v>
      </c>
      <c r="I785" t="s">
        <v>16</v>
      </c>
      <c r="J785" t="s">
        <v>16</v>
      </c>
      <c r="K785" t="s">
        <v>17</v>
      </c>
      <c r="L785">
        <v>52.2</v>
      </c>
      <c r="M785" t="s">
        <v>5030</v>
      </c>
      <c r="N785" t="s">
        <v>5031</v>
      </c>
    </row>
    <row r="786" spans="1:14" x14ac:dyDescent="0.3">
      <c r="A786" t="s">
        <v>810</v>
      </c>
      <c r="B786" t="s">
        <v>19</v>
      </c>
      <c r="C786" t="s">
        <v>20</v>
      </c>
      <c r="D786">
        <v>63</v>
      </c>
      <c r="E786" t="s">
        <v>14</v>
      </c>
      <c r="F786" t="s">
        <v>16</v>
      </c>
      <c r="G786">
        <v>40.6</v>
      </c>
      <c r="H786">
        <v>2588.9499999999998</v>
      </c>
      <c r="I786" t="s">
        <v>15</v>
      </c>
      <c r="J786" t="s">
        <v>16</v>
      </c>
      <c r="K786" t="s">
        <v>24</v>
      </c>
      <c r="L786">
        <v>2588.9499999999998</v>
      </c>
      <c r="M786" t="s">
        <v>5033</v>
      </c>
      <c r="N786" t="s">
        <v>5034</v>
      </c>
    </row>
    <row r="787" spans="1:14" x14ac:dyDescent="0.3">
      <c r="A787" t="s">
        <v>811</v>
      </c>
      <c r="B787" t="s">
        <v>12</v>
      </c>
      <c r="C787" t="s">
        <v>20</v>
      </c>
      <c r="D787">
        <v>46</v>
      </c>
      <c r="E787" t="s">
        <v>26</v>
      </c>
      <c r="F787" t="s">
        <v>15</v>
      </c>
      <c r="G787">
        <v>110</v>
      </c>
      <c r="H787">
        <v>4874.8</v>
      </c>
      <c r="I787" t="s">
        <v>16</v>
      </c>
      <c r="J787" t="s">
        <v>16</v>
      </c>
      <c r="K787" t="s">
        <v>17</v>
      </c>
      <c r="L787">
        <v>4874.8</v>
      </c>
      <c r="M787" t="s">
        <v>5033</v>
      </c>
      <c r="N787" t="s">
        <v>5034</v>
      </c>
    </row>
    <row r="788" spans="1:14" x14ac:dyDescent="0.3">
      <c r="A788" t="s">
        <v>812</v>
      </c>
      <c r="B788" t="s">
        <v>19</v>
      </c>
      <c r="C788" t="s">
        <v>35</v>
      </c>
      <c r="D788">
        <v>72</v>
      </c>
      <c r="E788" t="s">
        <v>14</v>
      </c>
      <c r="F788" t="s">
        <v>15</v>
      </c>
      <c r="G788">
        <v>55.3</v>
      </c>
      <c r="H788">
        <v>3983.6</v>
      </c>
      <c r="I788" t="s">
        <v>15</v>
      </c>
      <c r="J788" t="s">
        <v>15</v>
      </c>
      <c r="K788" t="s">
        <v>24</v>
      </c>
      <c r="L788">
        <v>3983.6</v>
      </c>
      <c r="M788" t="s">
        <v>5033</v>
      </c>
      <c r="N788" t="s">
        <v>5034</v>
      </c>
    </row>
    <row r="789" spans="1:14" x14ac:dyDescent="0.3">
      <c r="A789" t="s">
        <v>813</v>
      </c>
      <c r="B789" t="s">
        <v>12</v>
      </c>
      <c r="C789" t="s">
        <v>13</v>
      </c>
      <c r="D789">
        <v>34</v>
      </c>
      <c r="E789" t="s">
        <v>14</v>
      </c>
      <c r="F789" t="s">
        <v>16</v>
      </c>
      <c r="G789">
        <v>60.85</v>
      </c>
      <c r="H789">
        <v>2003.6</v>
      </c>
      <c r="I789" t="s">
        <v>15</v>
      </c>
      <c r="J789" t="s">
        <v>16</v>
      </c>
      <c r="K789" t="s">
        <v>24</v>
      </c>
      <c r="L789">
        <v>2003.6</v>
      </c>
      <c r="M789" t="s">
        <v>5032</v>
      </c>
      <c r="N789" t="s">
        <v>5031</v>
      </c>
    </row>
    <row r="790" spans="1:14" x14ac:dyDescent="0.3">
      <c r="A790" t="s">
        <v>814</v>
      </c>
      <c r="B790" t="s">
        <v>12</v>
      </c>
      <c r="C790" t="s">
        <v>20</v>
      </c>
      <c r="D790">
        <v>24</v>
      </c>
      <c r="E790" t="s">
        <v>14</v>
      </c>
      <c r="F790" t="s">
        <v>15</v>
      </c>
      <c r="G790">
        <v>78.400000000000006</v>
      </c>
      <c r="H790">
        <v>1832.4</v>
      </c>
      <c r="I790" t="s">
        <v>15</v>
      </c>
      <c r="J790" t="s">
        <v>15</v>
      </c>
      <c r="K790" t="s">
        <v>17</v>
      </c>
      <c r="L790">
        <v>1832.4</v>
      </c>
      <c r="M790" t="s">
        <v>5032</v>
      </c>
      <c r="N790" t="s">
        <v>5031</v>
      </c>
    </row>
    <row r="791" spans="1:14" x14ac:dyDescent="0.3">
      <c r="A791" t="s">
        <v>815</v>
      </c>
      <c r="B791" t="s">
        <v>19</v>
      </c>
      <c r="C791" t="s">
        <v>35</v>
      </c>
      <c r="D791">
        <v>72</v>
      </c>
      <c r="E791" t="s">
        <v>14</v>
      </c>
      <c r="F791" t="s">
        <v>16</v>
      </c>
      <c r="G791">
        <v>69.650000000000006</v>
      </c>
      <c r="H791">
        <v>4908.25</v>
      </c>
      <c r="I791" t="s">
        <v>15</v>
      </c>
      <c r="J791" t="s">
        <v>15</v>
      </c>
      <c r="K791" t="s">
        <v>24</v>
      </c>
      <c r="L791">
        <v>4908.25</v>
      </c>
      <c r="M791" t="s">
        <v>5033</v>
      </c>
      <c r="N791" t="s">
        <v>5034</v>
      </c>
    </row>
    <row r="792" spans="1:14" x14ac:dyDescent="0.3">
      <c r="A792" t="s">
        <v>816</v>
      </c>
      <c r="B792" t="s">
        <v>12</v>
      </c>
      <c r="C792" t="s">
        <v>35</v>
      </c>
      <c r="D792">
        <v>60</v>
      </c>
      <c r="E792" t="s">
        <v>14</v>
      </c>
      <c r="F792" t="s">
        <v>16</v>
      </c>
      <c r="G792">
        <v>59.85</v>
      </c>
      <c r="H792">
        <v>3590.2</v>
      </c>
      <c r="I792" t="s">
        <v>15</v>
      </c>
      <c r="J792" t="s">
        <v>15</v>
      </c>
      <c r="K792" t="s">
        <v>29</v>
      </c>
      <c r="L792">
        <v>3590.2</v>
      </c>
      <c r="M792" t="s">
        <v>5033</v>
      </c>
      <c r="N792" t="s">
        <v>5034</v>
      </c>
    </row>
    <row r="793" spans="1:14" x14ac:dyDescent="0.3">
      <c r="A793" t="s">
        <v>817</v>
      </c>
      <c r="B793" t="s">
        <v>19</v>
      </c>
      <c r="C793" t="s">
        <v>20</v>
      </c>
      <c r="D793">
        <v>68</v>
      </c>
      <c r="E793" t="s">
        <v>14</v>
      </c>
      <c r="F793" t="s">
        <v>15</v>
      </c>
      <c r="G793">
        <v>76.900000000000006</v>
      </c>
      <c r="H793">
        <v>5023</v>
      </c>
      <c r="I793" t="s">
        <v>15</v>
      </c>
      <c r="J793" t="s">
        <v>16</v>
      </c>
      <c r="K793" t="s">
        <v>29</v>
      </c>
      <c r="L793">
        <v>5023</v>
      </c>
      <c r="M793" t="s">
        <v>5033</v>
      </c>
      <c r="N793" t="s">
        <v>5034</v>
      </c>
    </row>
    <row r="794" spans="1:14" x14ac:dyDescent="0.3">
      <c r="A794" t="s">
        <v>818</v>
      </c>
      <c r="B794" t="s">
        <v>12</v>
      </c>
      <c r="C794" t="s">
        <v>35</v>
      </c>
      <c r="D794">
        <v>8</v>
      </c>
      <c r="E794" t="s">
        <v>15</v>
      </c>
      <c r="F794" t="s">
        <v>36</v>
      </c>
      <c r="G794">
        <v>19.850000000000001</v>
      </c>
      <c r="H794">
        <v>146.6</v>
      </c>
      <c r="I794" t="s">
        <v>15</v>
      </c>
      <c r="J794" t="s">
        <v>16</v>
      </c>
      <c r="K794" t="s">
        <v>21</v>
      </c>
      <c r="L794">
        <v>146.6</v>
      </c>
      <c r="M794" t="s">
        <v>5030</v>
      </c>
      <c r="N794" t="s">
        <v>5031</v>
      </c>
    </row>
    <row r="795" spans="1:14" x14ac:dyDescent="0.3">
      <c r="A795" t="s">
        <v>819</v>
      </c>
      <c r="B795" t="s">
        <v>12</v>
      </c>
      <c r="C795" t="s">
        <v>35</v>
      </c>
      <c r="D795">
        <v>34</v>
      </c>
      <c r="E795" t="s">
        <v>14</v>
      </c>
      <c r="F795" t="s">
        <v>16</v>
      </c>
      <c r="G795">
        <v>67.650000000000006</v>
      </c>
      <c r="H795">
        <v>2339.3000000000002</v>
      </c>
      <c r="I795" t="s">
        <v>15</v>
      </c>
      <c r="J795" t="s">
        <v>15</v>
      </c>
      <c r="K795" t="s">
        <v>29</v>
      </c>
      <c r="L795">
        <v>2339.3000000000002</v>
      </c>
      <c r="M795" t="s">
        <v>5032</v>
      </c>
      <c r="N795" t="s">
        <v>5031</v>
      </c>
    </row>
    <row r="796" spans="1:14" x14ac:dyDescent="0.3">
      <c r="A796" t="s">
        <v>820</v>
      </c>
      <c r="B796" t="s">
        <v>12</v>
      </c>
      <c r="C796" t="s">
        <v>13</v>
      </c>
      <c r="D796">
        <v>6</v>
      </c>
      <c r="E796" t="s">
        <v>14</v>
      </c>
      <c r="F796" t="s">
        <v>15</v>
      </c>
      <c r="G796">
        <v>45</v>
      </c>
      <c r="H796">
        <v>298.7</v>
      </c>
      <c r="I796" t="s">
        <v>15</v>
      </c>
      <c r="J796" t="s">
        <v>15</v>
      </c>
      <c r="K796" t="s">
        <v>29</v>
      </c>
      <c r="L796">
        <v>298.7</v>
      </c>
      <c r="M796" t="s">
        <v>5030</v>
      </c>
      <c r="N796" t="s">
        <v>5031</v>
      </c>
    </row>
    <row r="797" spans="1:14" x14ac:dyDescent="0.3">
      <c r="A797" t="s">
        <v>821</v>
      </c>
      <c r="B797" t="s">
        <v>19</v>
      </c>
      <c r="C797" t="s">
        <v>13</v>
      </c>
      <c r="D797">
        <v>2</v>
      </c>
      <c r="E797" t="s">
        <v>14</v>
      </c>
      <c r="F797" t="s">
        <v>16</v>
      </c>
      <c r="G797">
        <v>64.2</v>
      </c>
      <c r="H797">
        <v>143.65</v>
      </c>
      <c r="I797" t="s">
        <v>15</v>
      </c>
      <c r="J797" t="s">
        <v>16</v>
      </c>
      <c r="K797" t="s">
        <v>21</v>
      </c>
      <c r="L797">
        <v>143.65</v>
      </c>
      <c r="M797" t="s">
        <v>5030</v>
      </c>
      <c r="N797" t="s">
        <v>5031</v>
      </c>
    </row>
    <row r="798" spans="1:14" x14ac:dyDescent="0.3">
      <c r="A798" t="s">
        <v>822</v>
      </c>
      <c r="B798" t="s">
        <v>19</v>
      </c>
      <c r="C798" t="s">
        <v>20</v>
      </c>
      <c r="D798">
        <v>31</v>
      </c>
      <c r="E798" t="s">
        <v>26</v>
      </c>
      <c r="F798" t="s">
        <v>16</v>
      </c>
      <c r="G798">
        <v>81.7</v>
      </c>
      <c r="H798">
        <v>2548.65</v>
      </c>
      <c r="I798" t="s">
        <v>15</v>
      </c>
      <c r="J798" t="s">
        <v>15</v>
      </c>
      <c r="K798" t="s">
        <v>29</v>
      </c>
      <c r="L798">
        <v>2548.65</v>
      </c>
      <c r="M798" t="s">
        <v>5032</v>
      </c>
      <c r="N798" t="s">
        <v>5034</v>
      </c>
    </row>
    <row r="799" spans="1:14" x14ac:dyDescent="0.3">
      <c r="A799" t="s">
        <v>823</v>
      </c>
      <c r="B799" t="s">
        <v>12</v>
      </c>
      <c r="C799" t="s">
        <v>13</v>
      </c>
      <c r="D799">
        <v>20</v>
      </c>
      <c r="E799" t="s">
        <v>15</v>
      </c>
      <c r="F799" t="s">
        <v>36</v>
      </c>
      <c r="G799">
        <v>25.55</v>
      </c>
      <c r="H799">
        <v>507.4</v>
      </c>
      <c r="I799" t="s">
        <v>15</v>
      </c>
      <c r="J799" t="s">
        <v>16</v>
      </c>
      <c r="K799" t="s">
        <v>24</v>
      </c>
      <c r="L799">
        <v>507.4</v>
      </c>
      <c r="M799" t="s">
        <v>5032</v>
      </c>
      <c r="N799" t="s">
        <v>5031</v>
      </c>
    </row>
    <row r="800" spans="1:14" x14ac:dyDescent="0.3">
      <c r="A800" t="s">
        <v>824</v>
      </c>
      <c r="B800" t="s">
        <v>12</v>
      </c>
      <c r="C800" t="s">
        <v>13</v>
      </c>
      <c r="D800">
        <v>1</v>
      </c>
      <c r="E800" t="s">
        <v>15</v>
      </c>
      <c r="F800" t="s">
        <v>36</v>
      </c>
      <c r="G800">
        <v>20</v>
      </c>
      <c r="H800">
        <v>20</v>
      </c>
      <c r="I800" t="s">
        <v>15</v>
      </c>
      <c r="J800" t="s">
        <v>15</v>
      </c>
      <c r="K800" t="s">
        <v>17</v>
      </c>
      <c r="L800">
        <v>20</v>
      </c>
      <c r="M800" t="s">
        <v>5030</v>
      </c>
      <c r="N800" t="s">
        <v>5031</v>
      </c>
    </row>
    <row r="801" spans="1:14" x14ac:dyDescent="0.3">
      <c r="A801" t="s">
        <v>825</v>
      </c>
      <c r="B801" t="s">
        <v>19</v>
      </c>
      <c r="C801" t="s">
        <v>20</v>
      </c>
      <c r="D801">
        <v>62</v>
      </c>
      <c r="E801" t="s">
        <v>26</v>
      </c>
      <c r="F801" t="s">
        <v>15</v>
      </c>
      <c r="G801">
        <v>96.75</v>
      </c>
      <c r="H801">
        <v>6125.4</v>
      </c>
      <c r="I801" t="s">
        <v>16</v>
      </c>
      <c r="J801" t="s">
        <v>16</v>
      </c>
      <c r="K801" t="s">
        <v>17</v>
      </c>
      <c r="L801">
        <v>6125.4</v>
      </c>
      <c r="M801" t="s">
        <v>5033</v>
      </c>
      <c r="N801" t="s">
        <v>5034</v>
      </c>
    </row>
    <row r="802" spans="1:14" x14ac:dyDescent="0.3">
      <c r="A802" t="s">
        <v>826</v>
      </c>
      <c r="B802" t="s">
        <v>12</v>
      </c>
      <c r="C802" t="s">
        <v>35</v>
      </c>
      <c r="D802">
        <v>70</v>
      </c>
      <c r="E802" t="s">
        <v>26</v>
      </c>
      <c r="F802" t="s">
        <v>15</v>
      </c>
      <c r="G802">
        <v>75.650000000000006</v>
      </c>
      <c r="H802">
        <v>5411.4</v>
      </c>
      <c r="I802" t="s">
        <v>15</v>
      </c>
      <c r="J802" t="s">
        <v>16</v>
      </c>
      <c r="K802" t="s">
        <v>29</v>
      </c>
      <c r="L802">
        <v>5411.4</v>
      </c>
      <c r="M802" t="s">
        <v>5033</v>
      </c>
      <c r="N802" t="s">
        <v>5034</v>
      </c>
    </row>
    <row r="803" spans="1:14" x14ac:dyDescent="0.3">
      <c r="A803" t="s">
        <v>827</v>
      </c>
      <c r="B803" t="s">
        <v>12</v>
      </c>
      <c r="C803" t="s">
        <v>13</v>
      </c>
      <c r="D803">
        <v>10</v>
      </c>
      <c r="E803" t="s">
        <v>26</v>
      </c>
      <c r="F803" t="s">
        <v>16</v>
      </c>
      <c r="G803">
        <v>98.5</v>
      </c>
      <c r="H803">
        <v>1058.25</v>
      </c>
      <c r="I803" t="s">
        <v>16</v>
      </c>
      <c r="J803" t="s">
        <v>16</v>
      </c>
      <c r="K803" t="s">
        <v>17</v>
      </c>
      <c r="L803">
        <v>1058.25</v>
      </c>
      <c r="M803" t="s">
        <v>5030</v>
      </c>
      <c r="N803" t="s">
        <v>5031</v>
      </c>
    </row>
    <row r="804" spans="1:14" x14ac:dyDescent="0.3">
      <c r="A804" t="s">
        <v>828</v>
      </c>
      <c r="B804" t="s">
        <v>19</v>
      </c>
      <c r="C804" t="s">
        <v>35</v>
      </c>
      <c r="D804">
        <v>39</v>
      </c>
      <c r="E804" t="s">
        <v>15</v>
      </c>
      <c r="F804" t="s">
        <v>36</v>
      </c>
      <c r="G804">
        <v>23.8</v>
      </c>
      <c r="H804">
        <v>903.8</v>
      </c>
      <c r="I804" t="s">
        <v>15</v>
      </c>
      <c r="J804" t="s">
        <v>16</v>
      </c>
      <c r="K804" t="s">
        <v>21</v>
      </c>
      <c r="L804">
        <v>903.8</v>
      </c>
      <c r="M804" t="s">
        <v>5033</v>
      </c>
      <c r="N804" t="s">
        <v>5031</v>
      </c>
    </row>
    <row r="805" spans="1:14" x14ac:dyDescent="0.3">
      <c r="A805" t="s">
        <v>829</v>
      </c>
      <c r="B805" t="s">
        <v>12</v>
      </c>
      <c r="C805" t="s">
        <v>35</v>
      </c>
      <c r="D805">
        <v>46</v>
      </c>
      <c r="E805" t="s">
        <v>14</v>
      </c>
      <c r="F805" t="s">
        <v>16</v>
      </c>
      <c r="G805">
        <v>64.2</v>
      </c>
      <c r="H805">
        <v>3009.5</v>
      </c>
      <c r="I805" t="s">
        <v>15</v>
      </c>
      <c r="J805" t="s">
        <v>16</v>
      </c>
      <c r="K805" t="s">
        <v>29</v>
      </c>
      <c r="L805">
        <v>3009.5</v>
      </c>
      <c r="M805" t="s">
        <v>5033</v>
      </c>
      <c r="N805" t="s">
        <v>5034</v>
      </c>
    </row>
    <row r="806" spans="1:14" x14ac:dyDescent="0.3">
      <c r="A806" t="s">
        <v>830</v>
      </c>
      <c r="B806" t="s">
        <v>19</v>
      </c>
      <c r="C806" t="s">
        <v>13</v>
      </c>
      <c r="D806">
        <v>6</v>
      </c>
      <c r="E806" t="s">
        <v>26</v>
      </c>
      <c r="F806" t="s">
        <v>15</v>
      </c>
      <c r="G806">
        <v>85.35</v>
      </c>
      <c r="H806">
        <v>489.45</v>
      </c>
      <c r="I806" t="s">
        <v>16</v>
      </c>
      <c r="J806" t="s">
        <v>16</v>
      </c>
      <c r="K806" t="s">
        <v>17</v>
      </c>
      <c r="L806">
        <v>489.45</v>
      </c>
      <c r="M806" t="s">
        <v>5030</v>
      </c>
      <c r="N806" t="s">
        <v>5031</v>
      </c>
    </row>
    <row r="807" spans="1:14" x14ac:dyDescent="0.3">
      <c r="A807" t="s">
        <v>831</v>
      </c>
      <c r="B807" t="s">
        <v>12</v>
      </c>
      <c r="C807" t="s">
        <v>35</v>
      </c>
      <c r="D807">
        <v>72</v>
      </c>
      <c r="E807" t="s">
        <v>14</v>
      </c>
      <c r="F807" t="s">
        <v>15</v>
      </c>
      <c r="G807">
        <v>76.8</v>
      </c>
      <c r="H807">
        <v>5468.45</v>
      </c>
      <c r="I807" t="s">
        <v>15</v>
      </c>
      <c r="J807" t="s">
        <v>16</v>
      </c>
      <c r="K807" t="s">
        <v>24</v>
      </c>
      <c r="L807">
        <v>5468.45</v>
      </c>
      <c r="M807" t="s">
        <v>5033</v>
      </c>
      <c r="N807" t="s">
        <v>5034</v>
      </c>
    </row>
    <row r="808" spans="1:14" x14ac:dyDescent="0.3">
      <c r="A808" t="s">
        <v>832</v>
      </c>
      <c r="B808" t="s">
        <v>19</v>
      </c>
      <c r="C808" t="s">
        <v>13</v>
      </c>
      <c r="D808">
        <v>18</v>
      </c>
      <c r="E808" t="s">
        <v>14</v>
      </c>
      <c r="F808" t="s">
        <v>16</v>
      </c>
      <c r="G808">
        <v>55.2</v>
      </c>
      <c r="H808">
        <v>1058.0999999999999</v>
      </c>
      <c r="I808" t="s">
        <v>15</v>
      </c>
      <c r="J808" t="s">
        <v>15</v>
      </c>
      <c r="K808" t="s">
        <v>29</v>
      </c>
      <c r="L808">
        <v>1058.0999999999999</v>
      </c>
      <c r="M808" t="s">
        <v>5032</v>
      </c>
      <c r="N808" t="s">
        <v>5031</v>
      </c>
    </row>
    <row r="809" spans="1:14" x14ac:dyDescent="0.3">
      <c r="A809" t="s">
        <v>833</v>
      </c>
      <c r="B809" t="s">
        <v>19</v>
      </c>
      <c r="C809" t="s">
        <v>35</v>
      </c>
      <c r="D809">
        <v>71</v>
      </c>
      <c r="E809" t="s">
        <v>26</v>
      </c>
      <c r="F809" t="s">
        <v>16</v>
      </c>
      <c r="G809">
        <v>108.55</v>
      </c>
      <c r="H809">
        <v>7616</v>
      </c>
      <c r="I809" t="s">
        <v>15</v>
      </c>
      <c r="J809" t="s">
        <v>16</v>
      </c>
      <c r="K809" t="s">
        <v>29</v>
      </c>
      <c r="L809">
        <v>7616</v>
      </c>
      <c r="M809" t="s">
        <v>5033</v>
      </c>
      <c r="N809" t="s">
        <v>5034</v>
      </c>
    </row>
    <row r="810" spans="1:14" x14ac:dyDescent="0.3">
      <c r="A810" t="s">
        <v>834</v>
      </c>
      <c r="B810" t="s">
        <v>19</v>
      </c>
      <c r="C810" t="s">
        <v>13</v>
      </c>
      <c r="D810">
        <v>40</v>
      </c>
      <c r="E810" t="s">
        <v>26</v>
      </c>
      <c r="F810" t="s">
        <v>15</v>
      </c>
      <c r="G810">
        <v>101.3</v>
      </c>
      <c r="H810">
        <v>4113.1000000000004</v>
      </c>
      <c r="I810" t="s">
        <v>16</v>
      </c>
      <c r="J810" t="s">
        <v>16</v>
      </c>
      <c r="K810" t="s">
        <v>17</v>
      </c>
      <c r="L810">
        <v>4113.1000000000004</v>
      </c>
      <c r="M810" t="s">
        <v>5033</v>
      </c>
      <c r="N810" t="s">
        <v>5034</v>
      </c>
    </row>
    <row r="811" spans="1:14" x14ac:dyDescent="0.3">
      <c r="A811" t="s">
        <v>835</v>
      </c>
      <c r="B811" t="s">
        <v>19</v>
      </c>
      <c r="C811" t="s">
        <v>13</v>
      </c>
      <c r="D811">
        <v>1</v>
      </c>
      <c r="E811" t="s">
        <v>26</v>
      </c>
      <c r="F811" t="s">
        <v>15</v>
      </c>
      <c r="G811">
        <v>69.55</v>
      </c>
      <c r="H811">
        <v>69.55</v>
      </c>
      <c r="I811" t="s">
        <v>16</v>
      </c>
      <c r="J811" t="s">
        <v>16</v>
      </c>
      <c r="K811" t="s">
        <v>17</v>
      </c>
      <c r="L811">
        <v>69.55</v>
      </c>
      <c r="M811" t="s">
        <v>5030</v>
      </c>
      <c r="N811" t="s">
        <v>5031</v>
      </c>
    </row>
    <row r="812" spans="1:14" x14ac:dyDescent="0.3">
      <c r="A812" t="s">
        <v>836</v>
      </c>
      <c r="B812" t="s">
        <v>19</v>
      </c>
      <c r="C812" t="s">
        <v>20</v>
      </c>
      <c r="D812">
        <v>58</v>
      </c>
      <c r="E812" t="s">
        <v>26</v>
      </c>
      <c r="F812" t="s">
        <v>15</v>
      </c>
      <c r="G812">
        <v>103.25</v>
      </c>
      <c r="H812">
        <v>6017.65</v>
      </c>
      <c r="I812" t="s">
        <v>16</v>
      </c>
      <c r="J812" t="s">
        <v>16</v>
      </c>
      <c r="K812" t="s">
        <v>24</v>
      </c>
      <c r="L812">
        <v>6017.65</v>
      </c>
      <c r="M812" t="s">
        <v>5033</v>
      </c>
      <c r="N812" t="s">
        <v>5034</v>
      </c>
    </row>
    <row r="813" spans="1:14" x14ac:dyDescent="0.3">
      <c r="A813" t="s">
        <v>837</v>
      </c>
      <c r="B813" t="s">
        <v>19</v>
      </c>
      <c r="C813" t="s">
        <v>35</v>
      </c>
      <c r="D813">
        <v>70</v>
      </c>
      <c r="E813" t="s">
        <v>26</v>
      </c>
      <c r="F813" t="s">
        <v>16</v>
      </c>
      <c r="G813">
        <v>104</v>
      </c>
      <c r="H813">
        <v>7250.15</v>
      </c>
      <c r="I813" t="s">
        <v>16</v>
      </c>
      <c r="J813" t="s">
        <v>16</v>
      </c>
      <c r="K813" t="s">
        <v>29</v>
      </c>
      <c r="L813">
        <v>7250.15</v>
      </c>
      <c r="M813" t="s">
        <v>5033</v>
      </c>
      <c r="N813" t="s">
        <v>5034</v>
      </c>
    </row>
    <row r="814" spans="1:14" x14ac:dyDescent="0.3">
      <c r="A814" t="s">
        <v>838</v>
      </c>
      <c r="B814" t="s">
        <v>12</v>
      </c>
      <c r="C814" t="s">
        <v>35</v>
      </c>
      <c r="D814">
        <v>42</v>
      </c>
      <c r="E814" t="s">
        <v>15</v>
      </c>
      <c r="F814" t="s">
        <v>36</v>
      </c>
      <c r="G814">
        <v>25.25</v>
      </c>
      <c r="H814">
        <v>1108.2</v>
      </c>
      <c r="I814" t="s">
        <v>15</v>
      </c>
      <c r="J814" t="s">
        <v>15</v>
      </c>
      <c r="K814" t="s">
        <v>17</v>
      </c>
      <c r="L814">
        <v>1108.2</v>
      </c>
      <c r="M814" t="s">
        <v>5033</v>
      </c>
      <c r="N814" t="s">
        <v>5031</v>
      </c>
    </row>
    <row r="815" spans="1:14" x14ac:dyDescent="0.3">
      <c r="A815" t="s">
        <v>839</v>
      </c>
      <c r="B815" t="s">
        <v>19</v>
      </c>
      <c r="C815" t="s">
        <v>20</v>
      </c>
      <c r="D815">
        <v>34</v>
      </c>
      <c r="E815" t="s">
        <v>14</v>
      </c>
      <c r="F815" t="s">
        <v>15</v>
      </c>
      <c r="G815">
        <v>30.4</v>
      </c>
      <c r="H815">
        <v>938.65</v>
      </c>
      <c r="I815" t="s">
        <v>15</v>
      </c>
      <c r="J815" t="s">
        <v>15</v>
      </c>
      <c r="K815" t="s">
        <v>24</v>
      </c>
      <c r="L815">
        <v>938.65</v>
      </c>
      <c r="M815" t="s">
        <v>5032</v>
      </c>
      <c r="N815" t="s">
        <v>5031</v>
      </c>
    </row>
    <row r="816" spans="1:14" x14ac:dyDescent="0.3">
      <c r="A816" t="s">
        <v>840</v>
      </c>
      <c r="B816" t="s">
        <v>19</v>
      </c>
      <c r="C816" t="s">
        <v>13</v>
      </c>
      <c r="D816">
        <v>5</v>
      </c>
      <c r="E816" t="s">
        <v>15</v>
      </c>
      <c r="F816" t="s">
        <v>36</v>
      </c>
      <c r="G816">
        <v>20.05</v>
      </c>
      <c r="H816">
        <v>94.15</v>
      </c>
      <c r="I816" t="s">
        <v>15</v>
      </c>
      <c r="J816" t="s">
        <v>15</v>
      </c>
      <c r="K816" t="s">
        <v>24</v>
      </c>
      <c r="L816">
        <v>94.15</v>
      </c>
      <c r="M816" t="s">
        <v>5030</v>
      </c>
      <c r="N816" t="s">
        <v>5031</v>
      </c>
    </row>
    <row r="817" spans="1:14" x14ac:dyDescent="0.3">
      <c r="A817" t="s">
        <v>841</v>
      </c>
      <c r="B817" t="s">
        <v>12</v>
      </c>
      <c r="C817" t="s">
        <v>13</v>
      </c>
      <c r="D817">
        <v>25</v>
      </c>
      <c r="E817" t="s">
        <v>26</v>
      </c>
      <c r="F817" t="s">
        <v>15</v>
      </c>
      <c r="G817">
        <v>84.6</v>
      </c>
      <c r="H817">
        <v>2088.0500000000002</v>
      </c>
      <c r="I817" t="s">
        <v>15</v>
      </c>
      <c r="J817" t="s">
        <v>16</v>
      </c>
      <c r="K817" t="s">
        <v>21</v>
      </c>
      <c r="L817">
        <v>2088.0500000000002</v>
      </c>
      <c r="M817" t="s">
        <v>5032</v>
      </c>
      <c r="N817" t="s">
        <v>5031</v>
      </c>
    </row>
    <row r="818" spans="1:14" x14ac:dyDescent="0.3">
      <c r="A818" t="s">
        <v>842</v>
      </c>
      <c r="B818" t="s">
        <v>12</v>
      </c>
      <c r="C818" t="s">
        <v>13</v>
      </c>
      <c r="D818">
        <v>2</v>
      </c>
      <c r="E818" t="s">
        <v>26</v>
      </c>
      <c r="F818" t="s">
        <v>15</v>
      </c>
      <c r="G818">
        <v>86.2</v>
      </c>
      <c r="H818">
        <v>178.7</v>
      </c>
      <c r="I818" t="s">
        <v>16</v>
      </c>
      <c r="J818" t="s">
        <v>16</v>
      </c>
      <c r="K818" t="s">
        <v>21</v>
      </c>
      <c r="L818">
        <v>178.7</v>
      </c>
      <c r="M818" t="s">
        <v>5030</v>
      </c>
      <c r="N818" t="s">
        <v>5031</v>
      </c>
    </row>
    <row r="819" spans="1:14" x14ac:dyDescent="0.3">
      <c r="A819" t="s">
        <v>843</v>
      </c>
      <c r="B819" t="s">
        <v>12</v>
      </c>
      <c r="C819" t="s">
        <v>20</v>
      </c>
      <c r="D819">
        <v>55</v>
      </c>
      <c r="E819" t="s">
        <v>26</v>
      </c>
      <c r="F819" t="s">
        <v>16</v>
      </c>
      <c r="G819">
        <v>103.7</v>
      </c>
      <c r="H819">
        <v>5656.75</v>
      </c>
      <c r="I819" t="s">
        <v>15</v>
      </c>
      <c r="J819" t="s">
        <v>16</v>
      </c>
      <c r="K819" t="s">
        <v>24</v>
      </c>
      <c r="L819">
        <v>5656.75</v>
      </c>
      <c r="M819" t="s">
        <v>5033</v>
      </c>
      <c r="N819" t="s">
        <v>5034</v>
      </c>
    </row>
    <row r="820" spans="1:14" x14ac:dyDescent="0.3">
      <c r="A820" t="s">
        <v>844</v>
      </c>
      <c r="B820" t="s">
        <v>19</v>
      </c>
      <c r="C820" t="s">
        <v>13</v>
      </c>
      <c r="D820">
        <v>21</v>
      </c>
      <c r="E820" t="s">
        <v>26</v>
      </c>
      <c r="F820" t="s">
        <v>16</v>
      </c>
      <c r="G820">
        <v>111.2</v>
      </c>
      <c r="H820">
        <v>2317.1</v>
      </c>
      <c r="I820" t="s">
        <v>16</v>
      </c>
      <c r="J820" t="s">
        <v>16</v>
      </c>
      <c r="K820" t="s">
        <v>17</v>
      </c>
      <c r="L820">
        <v>2317.1</v>
      </c>
      <c r="M820" t="s">
        <v>5032</v>
      </c>
      <c r="N820" t="s">
        <v>5031</v>
      </c>
    </row>
    <row r="821" spans="1:14" x14ac:dyDescent="0.3">
      <c r="A821" t="s">
        <v>845</v>
      </c>
      <c r="B821" t="s">
        <v>19</v>
      </c>
      <c r="C821" t="s">
        <v>35</v>
      </c>
      <c r="D821">
        <v>70</v>
      </c>
      <c r="E821" t="s">
        <v>26</v>
      </c>
      <c r="F821" t="s">
        <v>16</v>
      </c>
      <c r="G821">
        <v>88</v>
      </c>
      <c r="H821">
        <v>5986.45</v>
      </c>
      <c r="I821" t="s">
        <v>15</v>
      </c>
      <c r="J821" t="s">
        <v>16</v>
      </c>
      <c r="K821" t="s">
        <v>29</v>
      </c>
      <c r="L821">
        <v>5986.45</v>
      </c>
      <c r="M821" t="s">
        <v>5033</v>
      </c>
      <c r="N821" t="s">
        <v>5034</v>
      </c>
    </row>
    <row r="822" spans="1:14" x14ac:dyDescent="0.3">
      <c r="A822" t="s">
        <v>846</v>
      </c>
      <c r="B822" t="s">
        <v>12</v>
      </c>
      <c r="C822" t="s">
        <v>13</v>
      </c>
      <c r="D822">
        <v>61</v>
      </c>
      <c r="E822" t="s">
        <v>26</v>
      </c>
      <c r="F822" t="s">
        <v>16</v>
      </c>
      <c r="G822">
        <v>106.35</v>
      </c>
      <c r="H822">
        <v>6751.35</v>
      </c>
      <c r="I822" t="s">
        <v>15</v>
      </c>
      <c r="J822" t="s">
        <v>16</v>
      </c>
      <c r="K822" t="s">
        <v>17</v>
      </c>
      <c r="L822">
        <v>6751.35</v>
      </c>
      <c r="M822" t="s">
        <v>5033</v>
      </c>
      <c r="N822" t="s">
        <v>5034</v>
      </c>
    </row>
    <row r="823" spans="1:14" x14ac:dyDescent="0.3">
      <c r="A823" t="s">
        <v>847</v>
      </c>
      <c r="B823" t="s">
        <v>19</v>
      </c>
      <c r="C823" t="s">
        <v>35</v>
      </c>
      <c r="D823">
        <v>43</v>
      </c>
      <c r="E823" t="s">
        <v>14</v>
      </c>
      <c r="F823" t="s">
        <v>16</v>
      </c>
      <c r="G823">
        <v>79.150000000000006</v>
      </c>
      <c r="H823">
        <v>3566.6</v>
      </c>
      <c r="I823" t="s">
        <v>15</v>
      </c>
      <c r="J823" t="s">
        <v>16</v>
      </c>
      <c r="K823" t="s">
        <v>29</v>
      </c>
      <c r="L823">
        <v>3566.6</v>
      </c>
      <c r="M823" t="s">
        <v>5033</v>
      </c>
      <c r="N823" t="s">
        <v>5034</v>
      </c>
    </row>
    <row r="824" spans="1:14" x14ac:dyDescent="0.3">
      <c r="A824" t="s">
        <v>848</v>
      </c>
      <c r="B824" t="s">
        <v>19</v>
      </c>
      <c r="C824" t="s">
        <v>20</v>
      </c>
      <c r="D824">
        <v>47</v>
      </c>
      <c r="E824" t="s">
        <v>26</v>
      </c>
      <c r="F824" t="s">
        <v>15</v>
      </c>
      <c r="G824">
        <v>103.1</v>
      </c>
      <c r="H824">
        <v>4889.3</v>
      </c>
      <c r="I824" t="s">
        <v>15</v>
      </c>
      <c r="J824" t="s">
        <v>16</v>
      </c>
      <c r="K824" t="s">
        <v>17</v>
      </c>
      <c r="L824">
        <v>4889.3</v>
      </c>
      <c r="M824" t="s">
        <v>5033</v>
      </c>
      <c r="N824" t="s">
        <v>5034</v>
      </c>
    </row>
    <row r="825" spans="1:14" x14ac:dyDescent="0.3">
      <c r="A825" t="s">
        <v>849</v>
      </c>
      <c r="B825" t="s">
        <v>19</v>
      </c>
      <c r="C825" t="s">
        <v>13</v>
      </c>
      <c r="D825">
        <v>5</v>
      </c>
      <c r="E825" t="s">
        <v>14</v>
      </c>
      <c r="F825" t="s">
        <v>16</v>
      </c>
      <c r="G825">
        <v>63.95</v>
      </c>
      <c r="H825">
        <v>318.10000000000002</v>
      </c>
      <c r="I825" t="s">
        <v>15</v>
      </c>
      <c r="J825" t="s">
        <v>16</v>
      </c>
      <c r="K825" t="s">
        <v>29</v>
      </c>
      <c r="L825">
        <v>318.10000000000002</v>
      </c>
      <c r="M825" t="s">
        <v>5030</v>
      </c>
      <c r="N825" t="s">
        <v>5031</v>
      </c>
    </row>
    <row r="826" spans="1:14" x14ac:dyDescent="0.3">
      <c r="A826" t="s">
        <v>850</v>
      </c>
      <c r="B826" t="s">
        <v>12</v>
      </c>
      <c r="C826" t="s">
        <v>35</v>
      </c>
      <c r="D826">
        <v>62</v>
      </c>
      <c r="E826" t="s">
        <v>15</v>
      </c>
      <c r="F826" t="s">
        <v>36</v>
      </c>
      <c r="G826">
        <v>25.8</v>
      </c>
      <c r="H826">
        <v>1563.95</v>
      </c>
      <c r="I826" t="s">
        <v>15</v>
      </c>
      <c r="J826" t="s">
        <v>16</v>
      </c>
      <c r="K826" t="s">
        <v>29</v>
      </c>
      <c r="L826">
        <v>1563.95</v>
      </c>
      <c r="M826" t="s">
        <v>5033</v>
      </c>
      <c r="N826" t="s">
        <v>5031</v>
      </c>
    </row>
    <row r="827" spans="1:14" x14ac:dyDescent="0.3">
      <c r="A827" t="s">
        <v>851</v>
      </c>
      <c r="B827" t="s">
        <v>12</v>
      </c>
      <c r="C827" t="s">
        <v>13</v>
      </c>
      <c r="D827">
        <v>16</v>
      </c>
      <c r="E827" t="s">
        <v>26</v>
      </c>
      <c r="F827" t="s">
        <v>15</v>
      </c>
      <c r="G827">
        <v>89.45</v>
      </c>
      <c r="H827">
        <v>1430.25</v>
      </c>
      <c r="I827" t="s">
        <v>16</v>
      </c>
      <c r="J827" t="s">
        <v>16</v>
      </c>
      <c r="K827" t="s">
        <v>29</v>
      </c>
      <c r="L827">
        <v>1430.25</v>
      </c>
      <c r="M827" t="s">
        <v>5032</v>
      </c>
      <c r="N827" t="s">
        <v>5031</v>
      </c>
    </row>
    <row r="828" spans="1:14" x14ac:dyDescent="0.3">
      <c r="A828" t="s">
        <v>852</v>
      </c>
      <c r="B828" t="s">
        <v>19</v>
      </c>
      <c r="C828" t="s">
        <v>13</v>
      </c>
      <c r="D828">
        <v>7</v>
      </c>
      <c r="E828" t="s">
        <v>26</v>
      </c>
      <c r="F828" t="s">
        <v>15</v>
      </c>
      <c r="G828">
        <v>95.6</v>
      </c>
      <c r="H828">
        <v>644.35</v>
      </c>
      <c r="I828" t="s">
        <v>16</v>
      </c>
      <c r="J828" t="s">
        <v>16</v>
      </c>
      <c r="K828" t="s">
        <v>24</v>
      </c>
      <c r="L828">
        <v>644.35</v>
      </c>
      <c r="M828" t="s">
        <v>5030</v>
      </c>
      <c r="N828" t="s">
        <v>5031</v>
      </c>
    </row>
    <row r="829" spans="1:14" x14ac:dyDescent="0.3">
      <c r="A829" t="s">
        <v>853</v>
      </c>
      <c r="B829" t="s">
        <v>12</v>
      </c>
      <c r="C829" t="s">
        <v>13</v>
      </c>
      <c r="D829">
        <v>14</v>
      </c>
      <c r="E829" t="s">
        <v>15</v>
      </c>
      <c r="F829" t="s">
        <v>36</v>
      </c>
      <c r="G829">
        <v>25.55</v>
      </c>
      <c r="H829">
        <v>372.45</v>
      </c>
      <c r="I829" t="s">
        <v>15</v>
      </c>
      <c r="J829" t="s">
        <v>15</v>
      </c>
      <c r="K829" t="s">
        <v>21</v>
      </c>
      <c r="L829">
        <v>372.45</v>
      </c>
      <c r="M829" t="s">
        <v>5032</v>
      </c>
      <c r="N829" t="s">
        <v>5031</v>
      </c>
    </row>
    <row r="830" spans="1:14" x14ac:dyDescent="0.3">
      <c r="A830" t="s">
        <v>854</v>
      </c>
      <c r="B830" t="s">
        <v>19</v>
      </c>
      <c r="C830" t="s">
        <v>20</v>
      </c>
      <c r="D830">
        <v>60</v>
      </c>
      <c r="E830" t="s">
        <v>26</v>
      </c>
      <c r="F830" t="s">
        <v>15</v>
      </c>
      <c r="G830">
        <v>90.95</v>
      </c>
      <c r="H830">
        <v>5453.4</v>
      </c>
      <c r="I830" t="s">
        <v>16</v>
      </c>
      <c r="J830" t="s">
        <v>15</v>
      </c>
      <c r="K830" t="s">
        <v>17</v>
      </c>
      <c r="L830">
        <v>5453.4</v>
      </c>
      <c r="M830" t="s">
        <v>5033</v>
      </c>
      <c r="N830" t="s">
        <v>5034</v>
      </c>
    </row>
    <row r="831" spans="1:14" x14ac:dyDescent="0.3">
      <c r="A831" t="s">
        <v>855</v>
      </c>
      <c r="B831" t="s">
        <v>19</v>
      </c>
      <c r="C831" t="s">
        <v>13</v>
      </c>
      <c r="D831">
        <v>34</v>
      </c>
      <c r="E831" t="s">
        <v>14</v>
      </c>
      <c r="F831" t="s">
        <v>16</v>
      </c>
      <c r="G831">
        <v>44.85</v>
      </c>
      <c r="H831">
        <v>1442.6</v>
      </c>
      <c r="I831" t="s">
        <v>15</v>
      </c>
      <c r="J831" t="s">
        <v>16</v>
      </c>
      <c r="K831" t="s">
        <v>17</v>
      </c>
      <c r="L831">
        <v>1442.6</v>
      </c>
      <c r="M831" t="s">
        <v>5032</v>
      </c>
      <c r="N831" t="s">
        <v>5031</v>
      </c>
    </row>
    <row r="832" spans="1:14" x14ac:dyDescent="0.3">
      <c r="A832" t="s">
        <v>856</v>
      </c>
      <c r="B832" t="s">
        <v>12</v>
      </c>
      <c r="C832" t="s">
        <v>20</v>
      </c>
      <c r="D832">
        <v>50</v>
      </c>
      <c r="E832" t="s">
        <v>26</v>
      </c>
      <c r="F832" t="s">
        <v>16</v>
      </c>
      <c r="G832">
        <v>108.55</v>
      </c>
      <c r="H832">
        <v>5610.7</v>
      </c>
      <c r="I832" t="s">
        <v>16</v>
      </c>
      <c r="J832" t="s">
        <v>15</v>
      </c>
      <c r="K832" t="s">
        <v>17</v>
      </c>
      <c r="L832">
        <v>5610.7</v>
      </c>
      <c r="M832" t="s">
        <v>5033</v>
      </c>
      <c r="N832" t="s">
        <v>5034</v>
      </c>
    </row>
    <row r="833" spans="1:14" x14ac:dyDescent="0.3">
      <c r="A833" t="s">
        <v>857</v>
      </c>
      <c r="B833" t="s">
        <v>19</v>
      </c>
      <c r="C833" t="s">
        <v>35</v>
      </c>
      <c r="D833">
        <v>38</v>
      </c>
      <c r="E833" t="s">
        <v>15</v>
      </c>
      <c r="F833" t="s">
        <v>36</v>
      </c>
      <c r="G833">
        <v>25.05</v>
      </c>
      <c r="H833">
        <v>963.95</v>
      </c>
      <c r="I833" t="s">
        <v>15</v>
      </c>
      <c r="J833" t="s">
        <v>15</v>
      </c>
      <c r="K833" t="s">
        <v>29</v>
      </c>
      <c r="L833">
        <v>963.95</v>
      </c>
      <c r="M833" t="s">
        <v>5033</v>
      </c>
      <c r="N833" t="s">
        <v>5031</v>
      </c>
    </row>
    <row r="834" spans="1:14" x14ac:dyDescent="0.3">
      <c r="A834" t="s">
        <v>858</v>
      </c>
      <c r="B834" t="s">
        <v>12</v>
      </c>
      <c r="C834" t="s">
        <v>20</v>
      </c>
      <c r="D834">
        <v>70</v>
      </c>
      <c r="E834" t="s">
        <v>14</v>
      </c>
      <c r="F834" t="s">
        <v>16</v>
      </c>
      <c r="G834">
        <v>74.099999999999994</v>
      </c>
      <c r="H834">
        <v>5222.3</v>
      </c>
      <c r="I834" t="s">
        <v>15</v>
      </c>
      <c r="J834" t="s">
        <v>15</v>
      </c>
      <c r="K834" t="s">
        <v>29</v>
      </c>
      <c r="L834">
        <v>5222.3</v>
      </c>
      <c r="M834" t="s">
        <v>5033</v>
      </c>
      <c r="N834" t="s">
        <v>5034</v>
      </c>
    </row>
    <row r="835" spans="1:14" x14ac:dyDescent="0.3">
      <c r="A835" t="s">
        <v>859</v>
      </c>
      <c r="B835" t="s">
        <v>12</v>
      </c>
      <c r="C835" t="s">
        <v>13</v>
      </c>
      <c r="D835">
        <v>37</v>
      </c>
      <c r="E835" t="s">
        <v>26</v>
      </c>
      <c r="F835" t="s">
        <v>15</v>
      </c>
      <c r="G835">
        <v>88.8</v>
      </c>
      <c r="H835">
        <v>3340.55</v>
      </c>
      <c r="I835" t="s">
        <v>15</v>
      </c>
      <c r="J835" t="s">
        <v>16</v>
      </c>
      <c r="K835" t="s">
        <v>17</v>
      </c>
      <c r="L835">
        <v>3340.55</v>
      </c>
      <c r="M835" t="s">
        <v>5033</v>
      </c>
      <c r="N835" t="s">
        <v>5034</v>
      </c>
    </row>
    <row r="836" spans="1:14" x14ac:dyDescent="0.3">
      <c r="A836" t="s">
        <v>860</v>
      </c>
      <c r="B836" t="s">
        <v>12</v>
      </c>
      <c r="C836" t="s">
        <v>13</v>
      </c>
      <c r="D836">
        <v>4</v>
      </c>
      <c r="E836" t="s">
        <v>26</v>
      </c>
      <c r="F836" t="s">
        <v>15</v>
      </c>
      <c r="G836">
        <v>78.849999999999994</v>
      </c>
      <c r="H836">
        <v>292.8</v>
      </c>
      <c r="I836" t="s">
        <v>16</v>
      </c>
      <c r="J836" t="s">
        <v>16</v>
      </c>
      <c r="K836" t="s">
        <v>17</v>
      </c>
      <c r="L836">
        <v>292.8</v>
      </c>
      <c r="M836" t="s">
        <v>5030</v>
      </c>
      <c r="N836" t="s">
        <v>5031</v>
      </c>
    </row>
    <row r="837" spans="1:14" x14ac:dyDescent="0.3">
      <c r="A837" t="s">
        <v>861</v>
      </c>
      <c r="B837" t="s">
        <v>19</v>
      </c>
      <c r="C837" t="s">
        <v>13</v>
      </c>
      <c r="D837">
        <v>60</v>
      </c>
      <c r="E837" t="s">
        <v>26</v>
      </c>
      <c r="F837" t="s">
        <v>15</v>
      </c>
      <c r="G837">
        <v>93.25</v>
      </c>
      <c r="H837">
        <v>5774.55</v>
      </c>
      <c r="I837" t="s">
        <v>15</v>
      </c>
      <c r="J837" t="s">
        <v>16</v>
      </c>
      <c r="K837" t="s">
        <v>17</v>
      </c>
      <c r="L837">
        <v>5774.55</v>
      </c>
      <c r="M837" t="s">
        <v>5033</v>
      </c>
      <c r="N837" t="s">
        <v>5034</v>
      </c>
    </row>
    <row r="838" spans="1:14" x14ac:dyDescent="0.3">
      <c r="A838" t="s">
        <v>862</v>
      </c>
      <c r="B838" t="s">
        <v>19</v>
      </c>
      <c r="C838" t="s">
        <v>20</v>
      </c>
      <c r="D838">
        <v>62</v>
      </c>
      <c r="E838" t="s">
        <v>14</v>
      </c>
      <c r="F838" t="s">
        <v>16</v>
      </c>
      <c r="G838">
        <v>71.400000000000006</v>
      </c>
      <c r="H838">
        <v>4487.3</v>
      </c>
      <c r="I838" t="s">
        <v>15</v>
      </c>
      <c r="J838" t="s">
        <v>15</v>
      </c>
      <c r="K838" t="s">
        <v>29</v>
      </c>
      <c r="L838">
        <v>4487.3</v>
      </c>
      <c r="M838" t="s">
        <v>5033</v>
      </c>
      <c r="N838" t="s">
        <v>5034</v>
      </c>
    </row>
    <row r="839" spans="1:14" x14ac:dyDescent="0.3">
      <c r="A839" t="s">
        <v>863</v>
      </c>
      <c r="B839" t="s">
        <v>19</v>
      </c>
      <c r="C839" t="s">
        <v>13</v>
      </c>
      <c r="D839">
        <v>1</v>
      </c>
      <c r="E839" t="s">
        <v>14</v>
      </c>
      <c r="F839" t="s">
        <v>15</v>
      </c>
      <c r="G839">
        <v>44.4</v>
      </c>
      <c r="H839">
        <v>44.4</v>
      </c>
      <c r="I839" t="s">
        <v>16</v>
      </c>
      <c r="J839" t="s">
        <v>15</v>
      </c>
      <c r="K839" t="s">
        <v>21</v>
      </c>
      <c r="L839">
        <v>44.4</v>
      </c>
      <c r="M839" t="s">
        <v>5030</v>
      </c>
      <c r="N839" t="s">
        <v>5031</v>
      </c>
    </row>
    <row r="840" spans="1:14" x14ac:dyDescent="0.3">
      <c r="A840" t="s">
        <v>864</v>
      </c>
      <c r="B840" t="s">
        <v>19</v>
      </c>
      <c r="C840" t="s">
        <v>13</v>
      </c>
      <c r="D840">
        <v>36</v>
      </c>
      <c r="E840" t="s">
        <v>14</v>
      </c>
      <c r="F840" t="s">
        <v>16</v>
      </c>
      <c r="G840">
        <v>79.2</v>
      </c>
      <c r="H840">
        <v>2854.95</v>
      </c>
      <c r="I840" t="s">
        <v>15</v>
      </c>
      <c r="J840" t="s">
        <v>16</v>
      </c>
      <c r="K840" t="s">
        <v>29</v>
      </c>
      <c r="L840">
        <v>2854.95</v>
      </c>
      <c r="M840" t="s">
        <v>5032</v>
      </c>
      <c r="N840" t="s">
        <v>5034</v>
      </c>
    </row>
    <row r="841" spans="1:14" x14ac:dyDescent="0.3">
      <c r="A841" t="s">
        <v>865</v>
      </c>
      <c r="B841" t="s">
        <v>19</v>
      </c>
      <c r="C841" t="s">
        <v>35</v>
      </c>
      <c r="D841">
        <v>44</v>
      </c>
      <c r="E841" t="s">
        <v>15</v>
      </c>
      <c r="F841" t="s">
        <v>36</v>
      </c>
      <c r="G841">
        <v>20.399999999999999</v>
      </c>
      <c r="H841">
        <v>905.55</v>
      </c>
      <c r="I841" t="s">
        <v>15</v>
      </c>
      <c r="J841" t="s">
        <v>15</v>
      </c>
      <c r="K841" t="s">
        <v>29</v>
      </c>
      <c r="L841">
        <v>905.55</v>
      </c>
      <c r="M841" t="s">
        <v>5033</v>
      </c>
      <c r="N841" t="s">
        <v>5031</v>
      </c>
    </row>
    <row r="842" spans="1:14" x14ac:dyDescent="0.3">
      <c r="A842" t="s">
        <v>866</v>
      </c>
      <c r="B842" t="s">
        <v>12</v>
      </c>
      <c r="C842" t="s">
        <v>20</v>
      </c>
      <c r="D842">
        <v>55</v>
      </c>
      <c r="E842" t="s">
        <v>26</v>
      </c>
      <c r="F842" t="s">
        <v>15</v>
      </c>
      <c r="G842">
        <v>100</v>
      </c>
      <c r="H842">
        <v>5509.3</v>
      </c>
      <c r="I842" t="s">
        <v>16</v>
      </c>
      <c r="J842" t="s">
        <v>16</v>
      </c>
      <c r="K842" t="s">
        <v>17</v>
      </c>
      <c r="L842">
        <v>5509.3</v>
      </c>
      <c r="M842" t="s">
        <v>5033</v>
      </c>
      <c r="N842" t="s">
        <v>5034</v>
      </c>
    </row>
    <row r="843" spans="1:14" x14ac:dyDescent="0.3">
      <c r="A843" t="s">
        <v>867</v>
      </c>
      <c r="B843" t="s">
        <v>12</v>
      </c>
      <c r="C843" t="s">
        <v>35</v>
      </c>
      <c r="D843">
        <v>72</v>
      </c>
      <c r="E843" t="s">
        <v>26</v>
      </c>
      <c r="F843" t="s">
        <v>15</v>
      </c>
      <c r="G843">
        <v>105</v>
      </c>
      <c r="H843">
        <v>7589.8</v>
      </c>
      <c r="I843" t="s">
        <v>15</v>
      </c>
      <c r="J843" t="s">
        <v>16</v>
      </c>
      <c r="K843" t="s">
        <v>29</v>
      </c>
      <c r="L843">
        <v>7589.8</v>
      </c>
      <c r="M843" t="s">
        <v>5033</v>
      </c>
      <c r="N843" t="s">
        <v>5034</v>
      </c>
    </row>
    <row r="844" spans="1:14" x14ac:dyDescent="0.3">
      <c r="A844" t="s">
        <v>868</v>
      </c>
      <c r="B844" t="s">
        <v>12</v>
      </c>
      <c r="C844" t="s">
        <v>20</v>
      </c>
      <c r="D844">
        <v>12</v>
      </c>
      <c r="E844" t="s">
        <v>15</v>
      </c>
      <c r="F844" t="s">
        <v>36</v>
      </c>
      <c r="G844">
        <v>19.8</v>
      </c>
      <c r="H844">
        <v>229.6</v>
      </c>
      <c r="I844" t="s">
        <v>16</v>
      </c>
      <c r="J844" t="s">
        <v>15</v>
      </c>
      <c r="K844" t="s">
        <v>24</v>
      </c>
      <c r="L844">
        <v>229.6</v>
      </c>
      <c r="M844" t="s">
        <v>5030</v>
      </c>
      <c r="N844" t="s">
        <v>5031</v>
      </c>
    </row>
    <row r="845" spans="1:14" x14ac:dyDescent="0.3">
      <c r="A845" t="s">
        <v>869</v>
      </c>
      <c r="B845" t="s">
        <v>12</v>
      </c>
      <c r="C845" t="s">
        <v>13</v>
      </c>
      <c r="D845">
        <v>13</v>
      </c>
      <c r="E845" t="s">
        <v>14</v>
      </c>
      <c r="F845" t="s">
        <v>15</v>
      </c>
      <c r="G845">
        <v>30.85</v>
      </c>
      <c r="H845">
        <v>394.1</v>
      </c>
      <c r="I845" t="s">
        <v>15</v>
      </c>
      <c r="J845" t="s">
        <v>16</v>
      </c>
      <c r="K845" t="s">
        <v>24</v>
      </c>
      <c r="L845">
        <v>394.1</v>
      </c>
      <c r="M845" t="s">
        <v>5032</v>
      </c>
      <c r="N845" t="s">
        <v>5031</v>
      </c>
    </row>
    <row r="846" spans="1:14" x14ac:dyDescent="0.3">
      <c r="A846" t="s">
        <v>870</v>
      </c>
      <c r="B846" t="s">
        <v>19</v>
      </c>
      <c r="C846" t="s">
        <v>13</v>
      </c>
      <c r="D846">
        <v>1</v>
      </c>
      <c r="E846" t="s">
        <v>26</v>
      </c>
      <c r="F846" t="s">
        <v>15</v>
      </c>
      <c r="G846">
        <v>89.9</v>
      </c>
      <c r="H846">
        <v>89.9</v>
      </c>
      <c r="I846" t="s">
        <v>16</v>
      </c>
      <c r="J846" t="s">
        <v>16</v>
      </c>
      <c r="K846" t="s">
        <v>17</v>
      </c>
      <c r="L846">
        <v>89.9</v>
      </c>
      <c r="M846" t="s">
        <v>5030</v>
      </c>
      <c r="N846" t="s">
        <v>5031</v>
      </c>
    </row>
    <row r="847" spans="1:14" x14ac:dyDescent="0.3">
      <c r="A847" t="s">
        <v>871</v>
      </c>
      <c r="B847" t="s">
        <v>12</v>
      </c>
      <c r="C847" t="s">
        <v>20</v>
      </c>
      <c r="D847">
        <v>15</v>
      </c>
      <c r="E847" t="s">
        <v>15</v>
      </c>
      <c r="F847" t="s">
        <v>36</v>
      </c>
      <c r="G847">
        <v>20.55</v>
      </c>
      <c r="H847">
        <v>295.95</v>
      </c>
      <c r="I847" t="s">
        <v>15</v>
      </c>
      <c r="J847" t="s">
        <v>15</v>
      </c>
      <c r="K847" t="s">
        <v>21</v>
      </c>
      <c r="L847">
        <v>295.95</v>
      </c>
      <c r="M847" t="s">
        <v>5032</v>
      </c>
      <c r="N847" t="s">
        <v>5031</v>
      </c>
    </row>
    <row r="848" spans="1:14" x14ac:dyDescent="0.3">
      <c r="A848" t="s">
        <v>872</v>
      </c>
      <c r="B848" t="s">
        <v>12</v>
      </c>
      <c r="C848" t="s">
        <v>35</v>
      </c>
      <c r="D848">
        <v>65</v>
      </c>
      <c r="E848" t="s">
        <v>14</v>
      </c>
      <c r="F848" t="s">
        <v>16</v>
      </c>
      <c r="G848">
        <v>84.85</v>
      </c>
      <c r="H848">
        <v>5459.2</v>
      </c>
      <c r="I848" t="s">
        <v>15</v>
      </c>
      <c r="J848" t="s">
        <v>16</v>
      </c>
      <c r="K848" t="s">
        <v>24</v>
      </c>
      <c r="L848">
        <v>5459.2</v>
      </c>
      <c r="M848" t="s">
        <v>5033</v>
      </c>
      <c r="N848" t="s">
        <v>5034</v>
      </c>
    </row>
    <row r="849" spans="1:14" x14ac:dyDescent="0.3">
      <c r="A849" t="s">
        <v>873</v>
      </c>
      <c r="B849" t="s">
        <v>12</v>
      </c>
      <c r="C849" t="s">
        <v>20</v>
      </c>
      <c r="D849">
        <v>12</v>
      </c>
      <c r="E849" t="s">
        <v>14</v>
      </c>
      <c r="F849" t="s">
        <v>16</v>
      </c>
      <c r="G849">
        <v>33.15</v>
      </c>
      <c r="H849">
        <v>444.75</v>
      </c>
      <c r="I849" t="s">
        <v>15</v>
      </c>
      <c r="J849" t="s">
        <v>15</v>
      </c>
      <c r="K849" t="s">
        <v>29</v>
      </c>
      <c r="L849">
        <v>444.75</v>
      </c>
      <c r="M849" t="s">
        <v>5030</v>
      </c>
      <c r="N849" t="s">
        <v>5031</v>
      </c>
    </row>
    <row r="850" spans="1:14" x14ac:dyDescent="0.3">
      <c r="A850" t="s">
        <v>874</v>
      </c>
      <c r="B850" t="s">
        <v>19</v>
      </c>
      <c r="C850" t="s">
        <v>35</v>
      </c>
      <c r="D850">
        <v>72</v>
      </c>
      <c r="E850" t="s">
        <v>14</v>
      </c>
      <c r="F850" t="s">
        <v>16</v>
      </c>
      <c r="G850">
        <v>92</v>
      </c>
      <c r="H850">
        <v>6782.15</v>
      </c>
      <c r="I850" t="s">
        <v>15</v>
      </c>
      <c r="J850" t="s">
        <v>16</v>
      </c>
      <c r="K850" t="s">
        <v>29</v>
      </c>
      <c r="L850">
        <v>6782.15</v>
      </c>
      <c r="M850" t="s">
        <v>5033</v>
      </c>
      <c r="N850" t="s">
        <v>5034</v>
      </c>
    </row>
    <row r="851" spans="1:14" x14ac:dyDescent="0.3">
      <c r="A851" t="s">
        <v>875</v>
      </c>
      <c r="B851" t="s">
        <v>12</v>
      </c>
      <c r="C851" t="s">
        <v>35</v>
      </c>
      <c r="D851">
        <v>72</v>
      </c>
      <c r="E851" t="s">
        <v>14</v>
      </c>
      <c r="F851" t="s">
        <v>16</v>
      </c>
      <c r="G851">
        <v>89.8</v>
      </c>
      <c r="H851">
        <v>6510.45</v>
      </c>
      <c r="I851" t="s">
        <v>15</v>
      </c>
      <c r="J851" t="s">
        <v>15</v>
      </c>
      <c r="K851" t="s">
        <v>29</v>
      </c>
      <c r="L851">
        <v>6510.45</v>
      </c>
      <c r="M851" t="s">
        <v>5033</v>
      </c>
      <c r="N851" t="s">
        <v>5034</v>
      </c>
    </row>
    <row r="852" spans="1:14" x14ac:dyDescent="0.3">
      <c r="A852" t="s">
        <v>876</v>
      </c>
      <c r="B852" t="s">
        <v>12</v>
      </c>
      <c r="C852" t="s">
        <v>35</v>
      </c>
      <c r="D852">
        <v>72</v>
      </c>
      <c r="E852" t="s">
        <v>26</v>
      </c>
      <c r="F852" t="s">
        <v>16</v>
      </c>
      <c r="G852">
        <v>115.8</v>
      </c>
      <c r="H852">
        <v>8476.5</v>
      </c>
      <c r="I852" t="s">
        <v>15</v>
      </c>
      <c r="J852" t="s">
        <v>16</v>
      </c>
      <c r="K852" t="s">
        <v>24</v>
      </c>
      <c r="L852">
        <v>8476.5</v>
      </c>
      <c r="M852" t="s">
        <v>5033</v>
      </c>
      <c r="N852" t="s">
        <v>5034</v>
      </c>
    </row>
    <row r="853" spans="1:14" x14ac:dyDescent="0.3">
      <c r="A853" t="s">
        <v>877</v>
      </c>
      <c r="B853" t="s">
        <v>19</v>
      </c>
      <c r="C853" t="s">
        <v>35</v>
      </c>
      <c r="D853">
        <v>52</v>
      </c>
      <c r="E853" t="s">
        <v>14</v>
      </c>
      <c r="F853" t="s">
        <v>16</v>
      </c>
      <c r="G853">
        <v>85.15</v>
      </c>
      <c r="H853">
        <v>4461.8500000000004</v>
      </c>
      <c r="I853" t="s">
        <v>15</v>
      </c>
      <c r="J853" t="s">
        <v>16</v>
      </c>
      <c r="K853" t="s">
        <v>21</v>
      </c>
      <c r="L853">
        <v>4461.8500000000004</v>
      </c>
      <c r="M853" t="s">
        <v>5033</v>
      </c>
      <c r="N853" t="s">
        <v>5034</v>
      </c>
    </row>
    <row r="854" spans="1:14" x14ac:dyDescent="0.3">
      <c r="A854" t="s">
        <v>878</v>
      </c>
      <c r="B854" t="s">
        <v>19</v>
      </c>
      <c r="C854" t="s">
        <v>13</v>
      </c>
      <c r="D854">
        <v>2</v>
      </c>
      <c r="E854" t="s">
        <v>15</v>
      </c>
      <c r="F854" t="s">
        <v>36</v>
      </c>
      <c r="G854">
        <v>24.85</v>
      </c>
      <c r="H854">
        <v>62</v>
      </c>
      <c r="I854" t="s">
        <v>15</v>
      </c>
      <c r="J854" t="s">
        <v>15</v>
      </c>
      <c r="K854" t="s">
        <v>21</v>
      </c>
      <c r="L854">
        <v>62</v>
      </c>
      <c r="M854" t="s">
        <v>5030</v>
      </c>
      <c r="N854" t="s">
        <v>5031</v>
      </c>
    </row>
    <row r="855" spans="1:14" x14ac:dyDescent="0.3">
      <c r="A855" t="s">
        <v>879</v>
      </c>
      <c r="B855" t="s">
        <v>12</v>
      </c>
      <c r="C855" t="s">
        <v>13</v>
      </c>
      <c r="D855">
        <v>5</v>
      </c>
      <c r="E855" t="s">
        <v>14</v>
      </c>
      <c r="F855" t="s">
        <v>16</v>
      </c>
      <c r="G855">
        <v>64.349999999999994</v>
      </c>
      <c r="H855">
        <v>352.65</v>
      </c>
      <c r="I855" t="s">
        <v>15</v>
      </c>
      <c r="J855" t="s">
        <v>16</v>
      </c>
      <c r="K855" t="s">
        <v>17</v>
      </c>
      <c r="L855">
        <v>352.65</v>
      </c>
      <c r="M855" t="s">
        <v>5030</v>
      </c>
      <c r="N855" t="s">
        <v>5031</v>
      </c>
    </row>
    <row r="856" spans="1:14" x14ac:dyDescent="0.3">
      <c r="A856" t="s">
        <v>880</v>
      </c>
      <c r="B856" t="s">
        <v>12</v>
      </c>
      <c r="C856" t="s">
        <v>35</v>
      </c>
      <c r="D856">
        <v>68</v>
      </c>
      <c r="E856" t="s">
        <v>15</v>
      </c>
      <c r="F856" t="s">
        <v>36</v>
      </c>
      <c r="G856">
        <v>20.5</v>
      </c>
      <c r="H856">
        <v>1424.9</v>
      </c>
      <c r="I856" t="s">
        <v>15</v>
      </c>
      <c r="J856" t="s">
        <v>15</v>
      </c>
      <c r="K856" t="s">
        <v>29</v>
      </c>
      <c r="L856">
        <v>1424.9</v>
      </c>
      <c r="M856" t="s">
        <v>5033</v>
      </c>
      <c r="N856" t="s">
        <v>5031</v>
      </c>
    </row>
    <row r="857" spans="1:14" x14ac:dyDescent="0.3">
      <c r="A857" t="s">
        <v>881</v>
      </c>
      <c r="B857" t="s">
        <v>12</v>
      </c>
      <c r="C857" t="s">
        <v>20</v>
      </c>
      <c r="D857">
        <v>62</v>
      </c>
      <c r="E857" t="s">
        <v>26</v>
      </c>
      <c r="F857" t="s">
        <v>15</v>
      </c>
      <c r="G857">
        <v>100.15</v>
      </c>
      <c r="H857">
        <v>6413.65</v>
      </c>
      <c r="I857" t="s">
        <v>16</v>
      </c>
      <c r="J857" t="s">
        <v>16</v>
      </c>
      <c r="K857" t="s">
        <v>17</v>
      </c>
      <c r="L857">
        <v>6413.65</v>
      </c>
      <c r="M857" t="s">
        <v>5033</v>
      </c>
      <c r="N857" t="s">
        <v>5034</v>
      </c>
    </row>
    <row r="858" spans="1:14" x14ac:dyDescent="0.3">
      <c r="A858" t="s">
        <v>882</v>
      </c>
      <c r="B858" t="s">
        <v>19</v>
      </c>
      <c r="C858" t="s">
        <v>35</v>
      </c>
      <c r="D858">
        <v>72</v>
      </c>
      <c r="E858" t="s">
        <v>14</v>
      </c>
      <c r="F858" t="s">
        <v>16</v>
      </c>
      <c r="G858">
        <v>86.05</v>
      </c>
      <c r="H858">
        <v>6309.65</v>
      </c>
      <c r="I858" t="s">
        <v>15</v>
      </c>
      <c r="J858" t="s">
        <v>15</v>
      </c>
      <c r="K858" t="s">
        <v>29</v>
      </c>
      <c r="L858">
        <v>6309.65</v>
      </c>
      <c r="M858" t="s">
        <v>5033</v>
      </c>
      <c r="N858" t="s">
        <v>5034</v>
      </c>
    </row>
    <row r="859" spans="1:14" x14ac:dyDescent="0.3">
      <c r="A859" t="s">
        <v>883</v>
      </c>
      <c r="B859" t="s">
        <v>19</v>
      </c>
      <c r="C859" t="s">
        <v>13</v>
      </c>
      <c r="D859">
        <v>1</v>
      </c>
      <c r="E859" t="s">
        <v>14</v>
      </c>
      <c r="F859" t="s">
        <v>15</v>
      </c>
      <c r="G859">
        <v>50.8</v>
      </c>
      <c r="H859">
        <v>50.8</v>
      </c>
      <c r="I859" t="s">
        <v>16</v>
      </c>
      <c r="J859" t="s">
        <v>15</v>
      </c>
      <c r="K859" t="s">
        <v>17</v>
      </c>
      <c r="L859">
        <v>50.8</v>
      </c>
      <c r="M859" t="s">
        <v>5030</v>
      </c>
      <c r="N859" t="s">
        <v>5031</v>
      </c>
    </row>
    <row r="860" spans="1:14" x14ac:dyDescent="0.3">
      <c r="A860" t="s">
        <v>884</v>
      </c>
      <c r="B860" t="s">
        <v>12</v>
      </c>
      <c r="C860" t="s">
        <v>20</v>
      </c>
      <c r="D860">
        <v>66</v>
      </c>
      <c r="E860" t="s">
        <v>26</v>
      </c>
      <c r="F860" t="s">
        <v>16</v>
      </c>
      <c r="G860">
        <v>89</v>
      </c>
      <c r="H860">
        <v>5898.6</v>
      </c>
      <c r="I860" t="s">
        <v>15</v>
      </c>
      <c r="J860" t="s">
        <v>15</v>
      </c>
      <c r="K860" t="s">
        <v>17</v>
      </c>
      <c r="L860">
        <v>5898.6</v>
      </c>
      <c r="M860" t="s">
        <v>5033</v>
      </c>
      <c r="N860" t="s">
        <v>5034</v>
      </c>
    </row>
    <row r="861" spans="1:14" x14ac:dyDescent="0.3">
      <c r="A861" t="s">
        <v>885</v>
      </c>
      <c r="B861" t="s">
        <v>19</v>
      </c>
      <c r="C861" t="s">
        <v>35</v>
      </c>
      <c r="D861">
        <v>72</v>
      </c>
      <c r="E861" t="s">
        <v>14</v>
      </c>
      <c r="F861" t="s">
        <v>16</v>
      </c>
      <c r="G861">
        <v>64.8</v>
      </c>
      <c r="H861">
        <v>4719.75</v>
      </c>
      <c r="I861" t="s">
        <v>15</v>
      </c>
      <c r="J861" t="s">
        <v>16</v>
      </c>
      <c r="K861" t="s">
        <v>29</v>
      </c>
      <c r="L861">
        <v>4719.75</v>
      </c>
      <c r="M861" t="s">
        <v>5033</v>
      </c>
      <c r="N861" t="s">
        <v>5034</v>
      </c>
    </row>
    <row r="862" spans="1:14" x14ac:dyDescent="0.3">
      <c r="A862" t="s">
        <v>886</v>
      </c>
      <c r="B862" t="s">
        <v>19</v>
      </c>
      <c r="C862" t="s">
        <v>20</v>
      </c>
      <c r="D862">
        <v>26</v>
      </c>
      <c r="E862" t="s">
        <v>15</v>
      </c>
      <c r="F862" t="s">
        <v>36</v>
      </c>
      <c r="G862">
        <v>19.8</v>
      </c>
      <c r="H862">
        <v>457.3</v>
      </c>
      <c r="I862" t="s">
        <v>15</v>
      </c>
      <c r="J862" t="s">
        <v>15</v>
      </c>
      <c r="K862" t="s">
        <v>29</v>
      </c>
      <c r="L862">
        <v>457.3</v>
      </c>
      <c r="M862" t="s">
        <v>5032</v>
      </c>
      <c r="N862" t="s">
        <v>5031</v>
      </c>
    </row>
    <row r="863" spans="1:14" x14ac:dyDescent="0.3">
      <c r="A863" t="s">
        <v>887</v>
      </c>
      <c r="B863" t="s">
        <v>19</v>
      </c>
      <c r="C863" t="s">
        <v>35</v>
      </c>
      <c r="D863">
        <v>64</v>
      </c>
      <c r="E863" t="s">
        <v>26</v>
      </c>
      <c r="F863" t="s">
        <v>15</v>
      </c>
      <c r="G863">
        <v>93.4</v>
      </c>
      <c r="H863">
        <v>5822.3</v>
      </c>
      <c r="I863" t="s">
        <v>15</v>
      </c>
      <c r="J863" t="s">
        <v>15</v>
      </c>
      <c r="K863" t="s">
        <v>24</v>
      </c>
      <c r="L863">
        <v>5822.3</v>
      </c>
      <c r="M863" t="s">
        <v>5033</v>
      </c>
      <c r="N863" t="s">
        <v>5034</v>
      </c>
    </row>
    <row r="864" spans="1:14" x14ac:dyDescent="0.3">
      <c r="A864" t="s">
        <v>888</v>
      </c>
      <c r="B864" t="s">
        <v>19</v>
      </c>
      <c r="C864" t="s">
        <v>13</v>
      </c>
      <c r="D864">
        <v>20</v>
      </c>
      <c r="E864" t="s">
        <v>26</v>
      </c>
      <c r="F864" t="s">
        <v>15</v>
      </c>
      <c r="G864">
        <v>73.650000000000006</v>
      </c>
      <c r="H864">
        <v>1463.5</v>
      </c>
      <c r="I864" t="s">
        <v>16</v>
      </c>
      <c r="J864" t="s">
        <v>16</v>
      </c>
      <c r="K864" t="s">
        <v>17</v>
      </c>
      <c r="L864">
        <v>1463.5</v>
      </c>
      <c r="M864" t="s">
        <v>5032</v>
      </c>
      <c r="N864" t="s">
        <v>5031</v>
      </c>
    </row>
    <row r="865" spans="1:14" x14ac:dyDescent="0.3">
      <c r="A865" t="s">
        <v>889</v>
      </c>
      <c r="B865" t="s">
        <v>12</v>
      </c>
      <c r="C865" t="s">
        <v>13</v>
      </c>
      <c r="D865">
        <v>3</v>
      </c>
      <c r="E865" t="s">
        <v>26</v>
      </c>
      <c r="F865" t="s">
        <v>15</v>
      </c>
      <c r="G865">
        <v>95.1</v>
      </c>
      <c r="H865">
        <v>307.39999999999998</v>
      </c>
      <c r="I865" t="s">
        <v>16</v>
      </c>
      <c r="J865" t="s">
        <v>16</v>
      </c>
      <c r="K865" t="s">
        <v>17</v>
      </c>
      <c r="L865">
        <v>307.39999999999998</v>
      </c>
      <c r="M865" t="s">
        <v>5030</v>
      </c>
      <c r="N865" t="s">
        <v>5031</v>
      </c>
    </row>
    <row r="866" spans="1:14" x14ac:dyDescent="0.3">
      <c r="A866" t="s">
        <v>890</v>
      </c>
      <c r="B866" t="s">
        <v>19</v>
      </c>
      <c r="C866" t="s">
        <v>13</v>
      </c>
      <c r="D866">
        <v>22</v>
      </c>
      <c r="E866" t="s">
        <v>26</v>
      </c>
      <c r="F866" t="s">
        <v>15</v>
      </c>
      <c r="G866">
        <v>94.65</v>
      </c>
      <c r="H866">
        <v>2104.5500000000002</v>
      </c>
      <c r="I866" t="s">
        <v>16</v>
      </c>
      <c r="J866" t="s">
        <v>16</v>
      </c>
      <c r="K866" t="s">
        <v>29</v>
      </c>
      <c r="L866">
        <v>2104.5500000000002</v>
      </c>
      <c r="M866" t="s">
        <v>5032</v>
      </c>
      <c r="N866" t="s">
        <v>5031</v>
      </c>
    </row>
    <row r="867" spans="1:14" x14ac:dyDescent="0.3">
      <c r="A867" t="s">
        <v>891</v>
      </c>
      <c r="B867" t="s">
        <v>19</v>
      </c>
      <c r="C867" t="s">
        <v>13</v>
      </c>
      <c r="D867">
        <v>4</v>
      </c>
      <c r="E867" t="s">
        <v>26</v>
      </c>
      <c r="F867" t="s">
        <v>16</v>
      </c>
      <c r="G867">
        <v>80.599999999999994</v>
      </c>
      <c r="H867">
        <v>319.14999999999998</v>
      </c>
      <c r="I867" t="s">
        <v>16</v>
      </c>
      <c r="J867" t="s">
        <v>16</v>
      </c>
      <c r="K867" t="s">
        <v>21</v>
      </c>
      <c r="L867">
        <v>319.14999999999998</v>
      </c>
      <c r="M867" t="s">
        <v>5030</v>
      </c>
      <c r="N867" t="s">
        <v>5031</v>
      </c>
    </row>
    <row r="868" spans="1:14" x14ac:dyDescent="0.3">
      <c r="A868" t="s">
        <v>892</v>
      </c>
      <c r="B868" t="s">
        <v>19</v>
      </c>
      <c r="C868" t="s">
        <v>35</v>
      </c>
      <c r="D868">
        <v>62</v>
      </c>
      <c r="E868" t="s">
        <v>14</v>
      </c>
      <c r="F868" t="s">
        <v>16</v>
      </c>
      <c r="G868">
        <v>39</v>
      </c>
      <c r="H868">
        <v>2337.4499999999998</v>
      </c>
      <c r="I868" t="s">
        <v>15</v>
      </c>
      <c r="J868" t="s">
        <v>16</v>
      </c>
      <c r="K868" t="s">
        <v>24</v>
      </c>
      <c r="L868">
        <v>2337.4499999999998</v>
      </c>
      <c r="M868" t="s">
        <v>5033</v>
      </c>
      <c r="N868" t="s">
        <v>5031</v>
      </c>
    </row>
    <row r="869" spans="1:14" x14ac:dyDescent="0.3">
      <c r="A869" t="s">
        <v>893</v>
      </c>
      <c r="B869" t="s">
        <v>12</v>
      </c>
      <c r="C869" t="s">
        <v>13</v>
      </c>
      <c r="D869">
        <v>5</v>
      </c>
      <c r="E869" t="s">
        <v>15</v>
      </c>
      <c r="F869" t="s">
        <v>36</v>
      </c>
      <c r="G869">
        <v>20.5</v>
      </c>
      <c r="H869">
        <v>104.3</v>
      </c>
      <c r="I869" t="s">
        <v>15</v>
      </c>
      <c r="J869" t="s">
        <v>16</v>
      </c>
      <c r="K869" t="s">
        <v>21</v>
      </c>
      <c r="L869">
        <v>104.3</v>
      </c>
      <c r="M869" t="s">
        <v>5030</v>
      </c>
      <c r="N869" t="s">
        <v>5031</v>
      </c>
    </row>
    <row r="870" spans="1:14" x14ac:dyDescent="0.3">
      <c r="A870" t="s">
        <v>894</v>
      </c>
      <c r="B870" t="s">
        <v>19</v>
      </c>
      <c r="C870" t="s">
        <v>20</v>
      </c>
      <c r="D870">
        <v>59</v>
      </c>
      <c r="E870" t="s">
        <v>26</v>
      </c>
      <c r="F870" t="s">
        <v>15</v>
      </c>
      <c r="G870">
        <v>85.55</v>
      </c>
      <c r="H870">
        <v>5084.6499999999996</v>
      </c>
      <c r="I870" t="s">
        <v>16</v>
      </c>
      <c r="J870" t="s">
        <v>15</v>
      </c>
      <c r="K870" t="s">
        <v>17</v>
      </c>
      <c r="L870">
        <v>5084.6499999999996</v>
      </c>
      <c r="M870" t="s">
        <v>5033</v>
      </c>
      <c r="N870" t="s">
        <v>5034</v>
      </c>
    </row>
    <row r="871" spans="1:14" x14ac:dyDescent="0.3">
      <c r="A871" t="s">
        <v>895</v>
      </c>
      <c r="B871" t="s">
        <v>19</v>
      </c>
      <c r="C871" t="s">
        <v>35</v>
      </c>
      <c r="D871">
        <v>3</v>
      </c>
      <c r="E871" t="s">
        <v>15</v>
      </c>
      <c r="F871" t="s">
        <v>36</v>
      </c>
      <c r="G871">
        <v>26.4</v>
      </c>
      <c r="H871">
        <v>121.25</v>
      </c>
      <c r="I871" t="s">
        <v>15</v>
      </c>
      <c r="J871" t="s">
        <v>16</v>
      </c>
      <c r="K871" t="s">
        <v>21</v>
      </c>
      <c r="L871">
        <v>121.25</v>
      </c>
      <c r="M871" t="s">
        <v>5030</v>
      </c>
      <c r="N871" t="s">
        <v>5031</v>
      </c>
    </row>
    <row r="872" spans="1:14" x14ac:dyDescent="0.3">
      <c r="A872" t="s">
        <v>896</v>
      </c>
      <c r="B872" t="s">
        <v>12</v>
      </c>
      <c r="C872" t="s">
        <v>35</v>
      </c>
      <c r="D872">
        <v>72</v>
      </c>
      <c r="E872" t="s">
        <v>26</v>
      </c>
      <c r="F872" t="s">
        <v>16</v>
      </c>
      <c r="G872">
        <v>98.2</v>
      </c>
      <c r="H872">
        <v>7015.9</v>
      </c>
      <c r="I872" t="s">
        <v>15</v>
      </c>
      <c r="J872" t="s">
        <v>16</v>
      </c>
      <c r="K872" t="s">
        <v>24</v>
      </c>
      <c r="L872">
        <v>7015.9</v>
      </c>
      <c r="M872" t="s">
        <v>5033</v>
      </c>
      <c r="N872" t="s">
        <v>5034</v>
      </c>
    </row>
    <row r="873" spans="1:14" x14ac:dyDescent="0.3">
      <c r="A873" t="s">
        <v>897</v>
      </c>
      <c r="B873" t="s">
        <v>19</v>
      </c>
      <c r="C873" t="s">
        <v>20</v>
      </c>
      <c r="D873">
        <v>57</v>
      </c>
      <c r="E873" t="s">
        <v>26</v>
      </c>
      <c r="F873" t="s">
        <v>15</v>
      </c>
      <c r="G873">
        <v>97.55</v>
      </c>
      <c r="H873">
        <v>5598</v>
      </c>
      <c r="I873" t="s">
        <v>15</v>
      </c>
      <c r="J873" t="s">
        <v>16</v>
      </c>
      <c r="K873" t="s">
        <v>29</v>
      </c>
      <c r="L873">
        <v>5598</v>
      </c>
      <c r="M873" t="s">
        <v>5033</v>
      </c>
      <c r="N873" t="s">
        <v>5034</v>
      </c>
    </row>
    <row r="874" spans="1:14" x14ac:dyDescent="0.3">
      <c r="A874" t="s">
        <v>898</v>
      </c>
      <c r="B874" t="s">
        <v>19</v>
      </c>
      <c r="C874" t="s">
        <v>35</v>
      </c>
      <c r="D874">
        <v>66</v>
      </c>
      <c r="E874" t="s">
        <v>15</v>
      </c>
      <c r="F874" t="s">
        <v>36</v>
      </c>
      <c r="G874">
        <v>19.95</v>
      </c>
      <c r="H874">
        <v>1269.0999999999999</v>
      </c>
      <c r="I874" t="s">
        <v>15</v>
      </c>
      <c r="J874" t="s">
        <v>15</v>
      </c>
      <c r="K874" t="s">
        <v>29</v>
      </c>
      <c r="L874">
        <v>1269.0999999999999</v>
      </c>
      <c r="M874" t="s">
        <v>5033</v>
      </c>
      <c r="N874" t="s">
        <v>5031</v>
      </c>
    </row>
    <row r="875" spans="1:14" x14ac:dyDescent="0.3">
      <c r="A875" t="s">
        <v>899</v>
      </c>
      <c r="B875" t="s">
        <v>12</v>
      </c>
      <c r="C875" t="s">
        <v>13</v>
      </c>
      <c r="D875">
        <v>60</v>
      </c>
      <c r="E875" t="s">
        <v>14</v>
      </c>
      <c r="F875" t="s">
        <v>15</v>
      </c>
      <c r="G875">
        <v>50.8</v>
      </c>
      <c r="H875">
        <v>3027.4</v>
      </c>
      <c r="I875" t="s">
        <v>16</v>
      </c>
      <c r="J875" t="s">
        <v>16</v>
      </c>
      <c r="K875" t="s">
        <v>17</v>
      </c>
      <c r="L875">
        <v>3027.4</v>
      </c>
      <c r="M875" t="s">
        <v>5033</v>
      </c>
      <c r="N875" t="s">
        <v>5034</v>
      </c>
    </row>
    <row r="876" spans="1:14" x14ac:dyDescent="0.3">
      <c r="A876" t="s">
        <v>900</v>
      </c>
      <c r="B876" t="s">
        <v>19</v>
      </c>
      <c r="C876" t="s">
        <v>35</v>
      </c>
      <c r="D876">
        <v>45</v>
      </c>
      <c r="E876" t="s">
        <v>26</v>
      </c>
      <c r="F876" t="s">
        <v>15</v>
      </c>
      <c r="G876">
        <v>99.7</v>
      </c>
      <c r="H876">
        <v>4634.3500000000004</v>
      </c>
      <c r="I876" t="s">
        <v>15</v>
      </c>
      <c r="J876" t="s">
        <v>15</v>
      </c>
      <c r="K876" t="s">
        <v>24</v>
      </c>
      <c r="L876">
        <v>4634.3500000000004</v>
      </c>
      <c r="M876" t="s">
        <v>5033</v>
      </c>
      <c r="N876" t="s">
        <v>5034</v>
      </c>
    </row>
    <row r="877" spans="1:14" x14ac:dyDescent="0.3">
      <c r="A877" t="s">
        <v>901</v>
      </c>
      <c r="B877" t="s">
        <v>12</v>
      </c>
      <c r="C877" t="s">
        <v>13</v>
      </c>
      <c r="D877">
        <v>3</v>
      </c>
      <c r="E877" t="s">
        <v>14</v>
      </c>
      <c r="F877" t="s">
        <v>15</v>
      </c>
      <c r="G877">
        <v>34.799999999999997</v>
      </c>
      <c r="H877">
        <v>113.95</v>
      </c>
      <c r="I877" t="s">
        <v>15</v>
      </c>
      <c r="J877" t="s">
        <v>16</v>
      </c>
      <c r="K877" t="s">
        <v>29</v>
      </c>
      <c r="L877">
        <v>113.95</v>
      </c>
      <c r="M877" t="s">
        <v>5030</v>
      </c>
      <c r="N877" t="s">
        <v>5031</v>
      </c>
    </row>
    <row r="878" spans="1:14" x14ac:dyDescent="0.3">
      <c r="A878" t="s">
        <v>902</v>
      </c>
      <c r="B878" t="s">
        <v>12</v>
      </c>
      <c r="C878" t="s">
        <v>13</v>
      </c>
      <c r="D878">
        <v>15</v>
      </c>
      <c r="E878" t="s">
        <v>26</v>
      </c>
      <c r="F878" t="s">
        <v>16</v>
      </c>
      <c r="G878">
        <v>105.1</v>
      </c>
      <c r="H878">
        <v>1582.75</v>
      </c>
      <c r="I878" t="s">
        <v>16</v>
      </c>
      <c r="J878" t="s">
        <v>15</v>
      </c>
      <c r="K878" t="s">
        <v>17</v>
      </c>
      <c r="L878">
        <v>1582.75</v>
      </c>
      <c r="M878" t="s">
        <v>5032</v>
      </c>
      <c r="N878" t="s">
        <v>5031</v>
      </c>
    </row>
    <row r="879" spans="1:14" x14ac:dyDescent="0.3">
      <c r="A879" t="s">
        <v>903</v>
      </c>
      <c r="B879" t="s">
        <v>12</v>
      </c>
      <c r="C879" t="s">
        <v>20</v>
      </c>
      <c r="D879">
        <v>51</v>
      </c>
      <c r="E879" t="s">
        <v>14</v>
      </c>
      <c r="F879" t="s">
        <v>16</v>
      </c>
      <c r="G879">
        <v>60.15</v>
      </c>
      <c r="H879">
        <v>3077</v>
      </c>
      <c r="I879" t="s">
        <v>15</v>
      </c>
      <c r="J879" t="s">
        <v>15</v>
      </c>
      <c r="K879" t="s">
        <v>24</v>
      </c>
      <c r="L879">
        <v>3077</v>
      </c>
      <c r="M879" t="s">
        <v>5033</v>
      </c>
      <c r="N879" t="s">
        <v>5034</v>
      </c>
    </row>
    <row r="880" spans="1:14" x14ac:dyDescent="0.3">
      <c r="A880" t="s">
        <v>904</v>
      </c>
      <c r="B880" t="s">
        <v>12</v>
      </c>
      <c r="C880" t="s">
        <v>20</v>
      </c>
      <c r="D880">
        <v>60</v>
      </c>
      <c r="E880" t="s">
        <v>14</v>
      </c>
      <c r="F880" t="s">
        <v>16</v>
      </c>
      <c r="G880">
        <v>64.75</v>
      </c>
      <c r="H880">
        <v>4039.5</v>
      </c>
      <c r="I880" t="s">
        <v>15</v>
      </c>
      <c r="J880" t="s">
        <v>15</v>
      </c>
      <c r="K880" t="s">
        <v>17</v>
      </c>
      <c r="L880">
        <v>4039.5</v>
      </c>
      <c r="M880" t="s">
        <v>5033</v>
      </c>
      <c r="N880" t="s">
        <v>5034</v>
      </c>
    </row>
    <row r="881" spans="1:14" x14ac:dyDescent="0.3">
      <c r="A881" t="s">
        <v>905</v>
      </c>
      <c r="B881" t="s">
        <v>19</v>
      </c>
      <c r="C881" t="s">
        <v>13</v>
      </c>
      <c r="D881">
        <v>33</v>
      </c>
      <c r="E881" t="s">
        <v>14</v>
      </c>
      <c r="F881" t="s">
        <v>15</v>
      </c>
      <c r="G881">
        <v>54.65</v>
      </c>
      <c r="H881">
        <v>1665.2</v>
      </c>
      <c r="I881" t="s">
        <v>15</v>
      </c>
      <c r="J881" t="s">
        <v>16</v>
      </c>
      <c r="K881" t="s">
        <v>24</v>
      </c>
      <c r="L881">
        <v>1665.2</v>
      </c>
      <c r="M881" t="s">
        <v>5032</v>
      </c>
      <c r="N881" t="s">
        <v>5031</v>
      </c>
    </row>
    <row r="882" spans="1:14" x14ac:dyDescent="0.3">
      <c r="A882" t="s">
        <v>906</v>
      </c>
      <c r="B882" t="s">
        <v>19</v>
      </c>
      <c r="C882" t="s">
        <v>13</v>
      </c>
      <c r="D882">
        <v>10</v>
      </c>
      <c r="E882" t="s">
        <v>26</v>
      </c>
      <c r="F882" t="s">
        <v>16</v>
      </c>
      <c r="G882">
        <v>110.1</v>
      </c>
      <c r="H882">
        <v>1043.3</v>
      </c>
      <c r="I882" t="s">
        <v>16</v>
      </c>
      <c r="J882" t="s">
        <v>16</v>
      </c>
      <c r="K882" t="s">
        <v>17</v>
      </c>
      <c r="L882">
        <v>1043.3</v>
      </c>
      <c r="M882" t="s">
        <v>5030</v>
      </c>
      <c r="N882" t="s">
        <v>5031</v>
      </c>
    </row>
    <row r="883" spans="1:14" x14ac:dyDescent="0.3">
      <c r="A883" t="s">
        <v>907</v>
      </c>
      <c r="B883" t="s">
        <v>19</v>
      </c>
      <c r="C883" t="s">
        <v>20</v>
      </c>
      <c r="D883">
        <v>26</v>
      </c>
      <c r="E883" t="s">
        <v>15</v>
      </c>
      <c r="F883" t="s">
        <v>36</v>
      </c>
      <c r="G883">
        <v>19.3</v>
      </c>
      <c r="H883">
        <v>504.2</v>
      </c>
      <c r="I883" t="s">
        <v>15</v>
      </c>
      <c r="J883" t="s">
        <v>15</v>
      </c>
      <c r="K883" t="s">
        <v>29</v>
      </c>
      <c r="L883">
        <v>504.2</v>
      </c>
      <c r="M883" t="s">
        <v>5032</v>
      </c>
      <c r="N883" t="s">
        <v>5031</v>
      </c>
    </row>
    <row r="884" spans="1:14" x14ac:dyDescent="0.3">
      <c r="A884" t="s">
        <v>908</v>
      </c>
      <c r="B884" t="s">
        <v>12</v>
      </c>
      <c r="C884" t="s">
        <v>13</v>
      </c>
      <c r="D884">
        <v>6</v>
      </c>
      <c r="E884" t="s">
        <v>26</v>
      </c>
      <c r="F884" t="s">
        <v>15</v>
      </c>
      <c r="G884">
        <v>83.9</v>
      </c>
      <c r="H884">
        <v>497.55</v>
      </c>
      <c r="I884" t="s">
        <v>16</v>
      </c>
      <c r="J884" t="s">
        <v>15</v>
      </c>
      <c r="K884" t="s">
        <v>17</v>
      </c>
      <c r="L884">
        <v>497.55</v>
      </c>
      <c r="M884" t="s">
        <v>5030</v>
      </c>
      <c r="N884" t="s">
        <v>5031</v>
      </c>
    </row>
    <row r="885" spans="1:14" x14ac:dyDescent="0.3">
      <c r="A885" t="s">
        <v>909</v>
      </c>
      <c r="B885" t="s">
        <v>12</v>
      </c>
      <c r="C885" t="s">
        <v>20</v>
      </c>
      <c r="D885">
        <v>67</v>
      </c>
      <c r="E885" t="s">
        <v>26</v>
      </c>
      <c r="F885" t="s">
        <v>16</v>
      </c>
      <c r="G885">
        <v>111.25</v>
      </c>
      <c r="H885">
        <v>7511.65</v>
      </c>
      <c r="I885" t="s">
        <v>15</v>
      </c>
      <c r="J885" t="s">
        <v>16</v>
      </c>
      <c r="K885" t="s">
        <v>17</v>
      </c>
      <c r="L885">
        <v>7511.65</v>
      </c>
      <c r="M885" t="s">
        <v>5033</v>
      </c>
      <c r="N885" t="s">
        <v>5034</v>
      </c>
    </row>
    <row r="886" spans="1:14" x14ac:dyDescent="0.3">
      <c r="A886" t="s">
        <v>910</v>
      </c>
      <c r="B886" t="s">
        <v>12</v>
      </c>
      <c r="C886" t="s">
        <v>20</v>
      </c>
      <c r="D886">
        <v>49</v>
      </c>
      <c r="E886" t="s">
        <v>14</v>
      </c>
      <c r="F886" t="s">
        <v>16</v>
      </c>
      <c r="G886">
        <v>35.799999999999997</v>
      </c>
      <c r="H886">
        <v>1782</v>
      </c>
      <c r="I886" t="s">
        <v>15</v>
      </c>
      <c r="J886" t="s">
        <v>16</v>
      </c>
      <c r="K886" t="s">
        <v>29</v>
      </c>
      <c r="L886">
        <v>1782</v>
      </c>
      <c r="M886" t="s">
        <v>5033</v>
      </c>
      <c r="N886" t="s">
        <v>5031</v>
      </c>
    </row>
    <row r="887" spans="1:14" x14ac:dyDescent="0.3">
      <c r="A887" t="s">
        <v>911</v>
      </c>
      <c r="B887" t="s">
        <v>19</v>
      </c>
      <c r="C887" t="s">
        <v>13</v>
      </c>
      <c r="D887">
        <v>1</v>
      </c>
      <c r="E887" t="s">
        <v>15</v>
      </c>
      <c r="F887" t="s">
        <v>36</v>
      </c>
      <c r="G887">
        <v>20.05</v>
      </c>
      <c r="H887">
        <v>20.05</v>
      </c>
      <c r="I887" t="s">
        <v>15</v>
      </c>
      <c r="J887" t="s">
        <v>16</v>
      </c>
      <c r="K887" t="s">
        <v>21</v>
      </c>
      <c r="L887">
        <v>20.05</v>
      </c>
      <c r="M887" t="s">
        <v>5030</v>
      </c>
      <c r="N887" t="s">
        <v>5031</v>
      </c>
    </row>
    <row r="888" spans="1:14" x14ac:dyDescent="0.3">
      <c r="A888" t="s">
        <v>912</v>
      </c>
      <c r="B888" t="s">
        <v>12</v>
      </c>
      <c r="C888" t="s">
        <v>13</v>
      </c>
      <c r="D888">
        <v>7</v>
      </c>
      <c r="E888" t="s">
        <v>26</v>
      </c>
      <c r="F888" t="s">
        <v>15</v>
      </c>
      <c r="G888">
        <v>84.35</v>
      </c>
      <c r="H888">
        <v>609.65</v>
      </c>
      <c r="I888" t="s">
        <v>15</v>
      </c>
      <c r="J888" t="s">
        <v>16</v>
      </c>
      <c r="K888" t="s">
        <v>17</v>
      </c>
      <c r="L888">
        <v>609.65</v>
      </c>
      <c r="M888" t="s">
        <v>5030</v>
      </c>
      <c r="N888" t="s">
        <v>5031</v>
      </c>
    </row>
    <row r="889" spans="1:14" x14ac:dyDescent="0.3">
      <c r="A889" t="s">
        <v>913</v>
      </c>
      <c r="B889" t="s">
        <v>12</v>
      </c>
      <c r="C889" t="s">
        <v>20</v>
      </c>
      <c r="D889">
        <v>27</v>
      </c>
      <c r="E889" t="s">
        <v>26</v>
      </c>
      <c r="F889" t="s">
        <v>15</v>
      </c>
      <c r="G889">
        <v>110.5</v>
      </c>
      <c r="H889">
        <v>2857.6</v>
      </c>
      <c r="I889" t="s">
        <v>15</v>
      </c>
      <c r="J889" t="s">
        <v>16</v>
      </c>
      <c r="K889" t="s">
        <v>24</v>
      </c>
      <c r="L889">
        <v>2857.6</v>
      </c>
      <c r="M889" t="s">
        <v>5032</v>
      </c>
      <c r="N889" t="s">
        <v>5034</v>
      </c>
    </row>
    <row r="890" spans="1:14" x14ac:dyDescent="0.3">
      <c r="A890" t="s">
        <v>914</v>
      </c>
      <c r="B890" t="s">
        <v>19</v>
      </c>
      <c r="C890" t="s">
        <v>20</v>
      </c>
      <c r="D890">
        <v>37</v>
      </c>
      <c r="E890" t="s">
        <v>26</v>
      </c>
      <c r="F890" t="s">
        <v>15</v>
      </c>
      <c r="G890">
        <v>91.2</v>
      </c>
      <c r="H890">
        <v>3247.55</v>
      </c>
      <c r="I890" t="s">
        <v>15</v>
      </c>
      <c r="J890" t="s">
        <v>15</v>
      </c>
      <c r="K890" t="s">
        <v>29</v>
      </c>
      <c r="L890">
        <v>3247.55</v>
      </c>
      <c r="M890" t="s">
        <v>5033</v>
      </c>
      <c r="N890" t="s">
        <v>5034</v>
      </c>
    </row>
    <row r="891" spans="1:14" x14ac:dyDescent="0.3">
      <c r="A891" t="s">
        <v>915</v>
      </c>
      <c r="B891" t="s">
        <v>12</v>
      </c>
      <c r="C891" t="s">
        <v>13</v>
      </c>
      <c r="D891">
        <v>63</v>
      </c>
      <c r="E891" t="s">
        <v>26</v>
      </c>
      <c r="F891" t="s">
        <v>15</v>
      </c>
      <c r="G891">
        <v>100.55</v>
      </c>
      <c r="H891">
        <v>6215.35</v>
      </c>
      <c r="I891" t="s">
        <v>16</v>
      </c>
      <c r="J891" t="s">
        <v>16</v>
      </c>
      <c r="K891" t="s">
        <v>17</v>
      </c>
      <c r="L891">
        <v>6215.35</v>
      </c>
      <c r="M891" t="s">
        <v>5033</v>
      </c>
      <c r="N891" t="s">
        <v>5034</v>
      </c>
    </row>
    <row r="892" spans="1:14" x14ac:dyDescent="0.3">
      <c r="A892" t="s">
        <v>916</v>
      </c>
      <c r="B892" t="s">
        <v>19</v>
      </c>
      <c r="C892" t="s">
        <v>13</v>
      </c>
      <c r="D892">
        <v>31</v>
      </c>
      <c r="E892" t="s">
        <v>26</v>
      </c>
      <c r="F892" t="s">
        <v>16</v>
      </c>
      <c r="G892">
        <v>89.3</v>
      </c>
      <c r="H892">
        <v>2823</v>
      </c>
      <c r="I892" t="s">
        <v>15</v>
      </c>
      <c r="J892" t="s">
        <v>15</v>
      </c>
      <c r="K892" t="s">
        <v>17</v>
      </c>
      <c r="L892">
        <v>2823</v>
      </c>
      <c r="M892" t="s">
        <v>5032</v>
      </c>
      <c r="N892" t="s">
        <v>5034</v>
      </c>
    </row>
    <row r="893" spans="1:14" x14ac:dyDescent="0.3">
      <c r="A893" t="s">
        <v>917</v>
      </c>
      <c r="B893" t="s">
        <v>19</v>
      </c>
      <c r="C893" t="s">
        <v>13</v>
      </c>
      <c r="D893">
        <v>50</v>
      </c>
      <c r="E893" t="s">
        <v>26</v>
      </c>
      <c r="F893" t="s">
        <v>15</v>
      </c>
      <c r="G893">
        <v>103.85</v>
      </c>
      <c r="H893">
        <v>5017.8999999999996</v>
      </c>
      <c r="I893" t="s">
        <v>16</v>
      </c>
      <c r="J893" t="s">
        <v>16</v>
      </c>
      <c r="K893" t="s">
        <v>24</v>
      </c>
      <c r="L893">
        <v>5017.8999999999996</v>
      </c>
      <c r="M893" t="s">
        <v>5033</v>
      </c>
      <c r="N893" t="s">
        <v>5034</v>
      </c>
    </row>
    <row r="894" spans="1:14" x14ac:dyDescent="0.3">
      <c r="A894" t="s">
        <v>918</v>
      </c>
      <c r="B894" t="s">
        <v>19</v>
      </c>
      <c r="C894" t="s">
        <v>13</v>
      </c>
      <c r="D894">
        <v>32</v>
      </c>
      <c r="E894" t="s">
        <v>26</v>
      </c>
      <c r="F894" t="s">
        <v>15</v>
      </c>
      <c r="G894">
        <v>81.099999999999994</v>
      </c>
      <c r="H894">
        <v>2619.25</v>
      </c>
      <c r="I894" t="s">
        <v>15</v>
      </c>
      <c r="J894" t="s">
        <v>16</v>
      </c>
      <c r="K894" t="s">
        <v>29</v>
      </c>
      <c r="L894">
        <v>2619.25</v>
      </c>
      <c r="M894" t="s">
        <v>5032</v>
      </c>
      <c r="N894" t="s">
        <v>5034</v>
      </c>
    </row>
    <row r="895" spans="1:14" x14ac:dyDescent="0.3">
      <c r="A895" t="s">
        <v>919</v>
      </c>
      <c r="B895" t="s">
        <v>12</v>
      </c>
      <c r="C895" t="s">
        <v>13</v>
      </c>
      <c r="D895">
        <v>1</v>
      </c>
      <c r="E895" t="s">
        <v>14</v>
      </c>
      <c r="F895" t="s">
        <v>15</v>
      </c>
      <c r="G895">
        <v>24.6</v>
      </c>
      <c r="H895">
        <v>24.6</v>
      </c>
      <c r="I895" t="s">
        <v>16</v>
      </c>
      <c r="J895" t="s">
        <v>15</v>
      </c>
      <c r="K895" t="s">
        <v>17</v>
      </c>
      <c r="L895">
        <v>24.6</v>
      </c>
      <c r="M895" t="s">
        <v>5030</v>
      </c>
      <c r="N895" t="s">
        <v>5031</v>
      </c>
    </row>
    <row r="896" spans="1:14" x14ac:dyDescent="0.3">
      <c r="A896" t="s">
        <v>920</v>
      </c>
      <c r="B896" t="s">
        <v>12</v>
      </c>
      <c r="C896" t="s">
        <v>20</v>
      </c>
      <c r="D896">
        <v>63</v>
      </c>
      <c r="E896" t="s">
        <v>26</v>
      </c>
      <c r="F896" t="s">
        <v>16</v>
      </c>
      <c r="G896">
        <v>81.2</v>
      </c>
      <c r="H896">
        <v>4965.1000000000004</v>
      </c>
      <c r="I896" t="s">
        <v>15</v>
      </c>
      <c r="J896" t="s">
        <v>16</v>
      </c>
      <c r="K896" t="s">
        <v>29</v>
      </c>
      <c r="L896">
        <v>4965.1000000000004</v>
      </c>
      <c r="M896" t="s">
        <v>5033</v>
      </c>
      <c r="N896" t="s">
        <v>5034</v>
      </c>
    </row>
    <row r="897" spans="1:14" x14ac:dyDescent="0.3">
      <c r="A897" t="s">
        <v>921</v>
      </c>
      <c r="B897" t="s">
        <v>19</v>
      </c>
      <c r="C897" t="s">
        <v>13</v>
      </c>
      <c r="D897">
        <v>30</v>
      </c>
      <c r="E897" t="s">
        <v>26</v>
      </c>
      <c r="F897" t="s">
        <v>15</v>
      </c>
      <c r="G897">
        <v>94.3</v>
      </c>
      <c r="H897">
        <v>2679.7</v>
      </c>
      <c r="I897" t="s">
        <v>15</v>
      </c>
      <c r="J897" t="s">
        <v>16</v>
      </c>
      <c r="K897" t="s">
        <v>29</v>
      </c>
      <c r="L897">
        <v>2679.7</v>
      </c>
      <c r="M897" t="s">
        <v>5032</v>
      </c>
      <c r="N897" t="s">
        <v>5034</v>
      </c>
    </row>
    <row r="898" spans="1:14" x14ac:dyDescent="0.3">
      <c r="A898" t="s">
        <v>922</v>
      </c>
      <c r="B898" t="s">
        <v>19</v>
      </c>
      <c r="C898" t="s">
        <v>35</v>
      </c>
      <c r="D898">
        <v>71</v>
      </c>
      <c r="E898" t="s">
        <v>26</v>
      </c>
      <c r="F898" t="s">
        <v>16</v>
      </c>
      <c r="G898">
        <v>116.1</v>
      </c>
      <c r="H898">
        <v>8310.5499999999993</v>
      </c>
      <c r="I898" t="s">
        <v>15</v>
      </c>
      <c r="J898" t="s">
        <v>16</v>
      </c>
      <c r="K898" t="s">
        <v>24</v>
      </c>
      <c r="L898">
        <v>8310.5499999999993</v>
      </c>
      <c r="M898" t="s">
        <v>5033</v>
      </c>
      <c r="N898" t="s">
        <v>5034</v>
      </c>
    </row>
    <row r="899" spans="1:14" x14ac:dyDescent="0.3">
      <c r="A899" t="s">
        <v>923</v>
      </c>
      <c r="B899" t="s">
        <v>12</v>
      </c>
      <c r="C899" t="s">
        <v>35</v>
      </c>
      <c r="D899">
        <v>53</v>
      </c>
      <c r="E899" t="s">
        <v>26</v>
      </c>
      <c r="F899" t="s">
        <v>15</v>
      </c>
      <c r="G899">
        <v>105.55</v>
      </c>
      <c r="H899">
        <v>5682.25</v>
      </c>
      <c r="I899" t="s">
        <v>15</v>
      </c>
      <c r="J899" t="s">
        <v>15</v>
      </c>
      <c r="K899" t="s">
        <v>17</v>
      </c>
      <c r="L899">
        <v>5682.25</v>
      </c>
      <c r="M899" t="s">
        <v>5033</v>
      </c>
      <c r="N899" t="s">
        <v>5034</v>
      </c>
    </row>
    <row r="900" spans="1:14" x14ac:dyDescent="0.3">
      <c r="A900" t="s">
        <v>924</v>
      </c>
      <c r="B900" t="s">
        <v>12</v>
      </c>
      <c r="C900" t="s">
        <v>13</v>
      </c>
      <c r="D900">
        <v>12</v>
      </c>
      <c r="E900" t="s">
        <v>26</v>
      </c>
      <c r="F900" t="s">
        <v>16</v>
      </c>
      <c r="G900">
        <v>98.9</v>
      </c>
      <c r="H900">
        <v>1120.95</v>
      </c>
      <c r="I900" t="s">
        <v>16</v>
      </c>
      <c r="J900" t="s">
        <v>16</v>
      </c>
      <c r="K900" t="s">
        <v>24</v>
      </c>
      <c r="L900">
        <v>1120.95</v>
      </c>
      <c r="M900" t="s">
        <v>5030</v>
      </c>
      <c r="N900" t="s">
        <v>5031</v>
      </c>
    </row>
    <row r="901" spans="1:14" x14ac:dyDescent="0.3">
      <c r="A901" t="s">
        <v>925</v>
      </c>
      <c r="B901" t="s">
        <v>19</v>
      </c>
      <c r="C901" t="s">
        <v>13</v>
      </c>
      <c r="D901">
        <v>50</v>
      </c>
      <c r="E901" t="s">
        <v>26</v>
      </c>
      <c r="F901" t="s">
        <v>15</v>
      </c>
      <c r="G901">
        <v>94.4</v>
      </c>
      <c r="H901">
        <v>4914.8999999999996</v>
      </c>
      <c r="I901" t="s">
        <v>15</v>
      </c>
      <c r="J901" t="s">
        <v>16</v>
      </c>
      <c r="K901" t="s">
        <v>29</v>
      </c>
      <c r="L901">
        <v>4914.8999999999996</v>
      </c>
      <c r="M901" t="s">
        <v>5033</v>
      </c>
      <c r="N901" t="s">
        <v>5034</v>
      </c>
    </row>
    <row r="902" spans="1:14" x14ac:dyDescent="0.3">
      <c r="A902" t="s">
        <v>926</v>
      </c>
      <c r="B902" t="s">
        <v>12</v>
      </c>
      <c r="C902" t="s">
        <v>13</v>
      </c>
      <c r="D902">
        <v>2</v>
      </c>
      <c r="E902" t="s">
        <v>15</v>
      </c>
      <c r="F902" t="s">
        <v>36</v>
      </c>
      <c r="G902">
        <v>19.5</v>
      </c>
      <c r="H902">
        <v>27.55</v>
      </c>
      <c r="I902" t="s">
        <v>15</v>
      </c>
      <c r="J902" t="s">
        <v>15</v>
      </c>
      <c r="K902" t="s">
        <v>21</v>
      </c>
      <c r="L902">
        <v>27.55</v>
      </c>
      <c r="M902" t="s">
        <v>5030</v>
      </c>
      <c r="N902" t="s">
        <v>5031</v>
      </c>
    </row>
    <row r="903" spans="1:14" x14ac:dyDescent="0.3">
      <c r="A903" t="s">
        <v>927</v>
      </c>
      <c r="B903" t="s">
        <v>12</v>
      </c>
      <c r="C903" t="s">
        <v>13</v>
      </c>
      <c r="D903">
        <v>9</v>
      </c>
      <c r="E903" t="s">
        <v>26</v>
      </c>
      <c r="F903" t="s">
        <v>15</v>
      </c>
      <c r="G903">
        <v>98.3</v>
      </c>
      <c r="H903">
        <v>923.5</v>
      </c>
      <c r="I903" t="s">
        <v>16</v>
      </c>
      <c r="J903" t="s">
        <v>15</v>
      </c>
      <c r="K903" t="s">
        <v>29</v>
      </c>
      <c r="L903">
        <v>923.5</v>
      </c>
      <c r="M903" t="s">
        <v>5030</v>
      </c>
      <c r="N903" t="s">
        <v>5031</v>
      </c>
    </row>
    <row r="904" spans="1:14" x14ac:dyDescent="0.3">
      <c r="A904" t="s">
        <v>928</v>
      </c>
      <c r="B904" t="s">
        <v>19</v>
      </c>
      <c r="C904" t="s">
        <v>13</v>
      </c>
      <c r="D904">
        <v>17</v>
      </c>
      <c r="E904" t="s">
        <v>26</v>
      </c>
      <c r="F904" t="s">
        <v>15</v>
      </c>
      <c r="G904">
        <v>93.85</v>
      </c>
      <c r="H904">
        <v>1625.65</v>
      </c>
      <c r="I904" t="s">
        <v>16</v>
      </c>
      <c r="J904" t="s">
        <v>15</v>
      </c>
      <c r="K904" t="s">
        <v>17</v>
      </c>
      <c r="L904">
        <v>1625.65</v>
      </c>
      <c r="M904" t="s">
        <v>5032</v>
      </c>
      <c r="N904" t="s">
        <v>5031</v>
      </c>
    </row>
    <row r="905" spans="1:14" x14ac:dyDescent="0.3">
      <c r="A905" t="s">
        <v>929</v>
      </c>
      <c r="B905" t="s">
        <v>12</v>
      </c>
      <c r="C905" t="s">
        <v>20</v>
      </c>
      <c r="D905">
        <v>56</v>
      </c>
      <c r="E905" t="s">
        <v>26</v>
      </c>
      <c r="F905" t="s">
        <v>15</v>
      </c>
      <c r="G905">
        <v>105.6</v>
      </c>
      <c r="H905">
        <v>6068.65</v>
      </c>
      <c r="I905" t="s">
        <v>15</v>
      </c>
      <c r="J905" t="s">
        <v>16</v>
      </c>
      <c r="K905" t="s">
        <v>29</v>
      </c>
      <c r="L905">
        <v>6068.65</v>
      </c>
      <c r="M905" t="s">
        <v>5033</v>
      </c>
      <c r="N905" t="s">
        <v>5034</v>
      </c>
    </row>
    <row r="906" spans="1:14" x14ac:dyDescent="0.3">
      <c r="A906" t="s">
        <v>930</v>
      </c>
      <c r="B906" t="s">
        <v>19</v>
      </c>
      <c r="C906" t="s">
        <v>35</v>
      </c>
      <c r="D906">
        <v>67</v>
      </c>
      <c r="E906" t="s">
        <v>14</v>
      </c>
      <c r="F906" t="s">
        <v>15</v>
      </c>
      <c r="G906">
        <v>81.349999999999994</v>
      </c>
      <c r="H906">
        <v>5398.6</v>
      </c>
      <c r="I906" t="s">
        <v>15</v>
      </c>
      <c r="J906" t="s">
        <v>15</v>
      </c>
      <c r="K906" t="s">
        <v>29</v>
      </c>
      <c r="L906">
        <v>5398.6</v>
      </c>
      <c r="M906" t="s">
        <v>5033</v>
      </c>
      <c r="N906" t="s">
        <v>5034</v>
      </c>
    </row>
    <row r="907" spans="1:14" x14ac:dyDescent="0.3">
      <c r="A907" t="s">
        <v>931</v>
      </c>
      <c r="B907" t="s">
        <v>19</v>
      </c>
      <c r="C907" t="s">
        <v>13</v>
      </c>
      <c r="D907">
        <v>9</v>
      </c>
      <c r="E907" t="s">
        <v>26</v>
      </c>
      <c r="F907" t="s">
        <v>15</v>
      </c>
      <c r="G907">
        <v>100.5</v>
      </c>
      <c r="H907">
        <v>918.6</v>
      </c>
      <c r="I907" t="s">
        <v>16</v>
      </c>
      <c r="J907" t="s">
        <v>16</v>
      </c>
      <c r="K907" t="s">
        <v>17</v>
      </c>
      <c r="L907">
        <v>918.6</v>
      </c>
      <c r="M907" t="s">
        <v>5030</v>
      </c>
      <c r="N907" t="s">
        <v>5031</v>
      </c>
    </row>
    <row r="908" spans="1:14" x14ac:dyDescent="0.3">
      <c r="A908" t="s">
        <v>932</v>
      </c>
      <c r="B908" t="s">
        <v>19</v>
      </c>
      <c r="C908" t="s">
        <v>13</v>
      </c>
      <c r="D908">
        <v>4</v>
      </c>
      <c r="E908" t="s">
        <v>14</v>
      </c>
      <c r="F908" t="s">
        <v>15</v>
      </c>
      <c r="G908">
        <v>56.4</v>
      </c>
      <c r="H908">
        <v>234.85</v>
      </c>
      <c r="I908" t="s">
        <v>15</v>
      </c>
      <c r="J908" t="s">
        <v>16</v>
      </c>
      <c r="K908" t="s">
        <v>17</v>
      </c>
      <c r="L908">
        <v>234.85</v>
      </c>
      <c r="M908" t="s">
        <v>5030</v>
      </c>
      <c r="N908" t="s">
        <v>5031</v>
      </c>
    </row>
    <row r="909" spans="1:14" x14ac:dyDescent="0.3">
      <c r="A909" t="s">
        <v>933</v>
      </c>
      <c r="B909" t="s">
        <v>19</v>
      </c>
      <c r="C909" t="s">
        <v>20</v>
      </c>
      <c r="D909">
        <v>19</v>
      </c>
      <c r="E909" t="s">
        <v>14</v>
      </c>
      <c r="F909" t="s">
        <v>16</v>
      </c>
      <c r="G909">
        <v>65.349999999999994</v>
      </c>
      <c r="H909">
        <v>1231.8499999999999</v>
      </c>
      <c r="I909" t="s">
        <v>15</v>
      </c>
      <c r="J909" t="s">
        <v>16</v>
      </c>
      <c r="K909" t="s">
        <v>24</v>
      </c>
      <c r="L909">
        <v>1231.8499999999999</v>
      </c>
      <c r="M909" t="s">
        <v>5032</v>
      </c>
      <c r="N909" t="s">
        <v>5031</v>
      </c>
    </row>
    <row r="910" spans="1:14" x14ac:dyDescent="0.3">
      <c r="A910" t="s">
        <v>934</v>
      </c>
      <c r="B910" t="s">
        <v>12</v>
      </c>
      <c r="C910" t="s">
        <v>13</v>
      </c>
      <c r="D910">
        <v>8</v>
      </c>
      <c r="E910" t="s">
        <v>15</v>
      </c>
      <c r="F910" t="s">
        <v>36</v>
      </c>
      <c r="G910">
        <v>19.95</v>
      </c>
      <c r="H910">
        <v>170.9</v>
      </c>
      <c r="I910" t="s">
        <v>15</v>
      </c>
      <c r="J910" t="s">
        <v>15</v>
      </c>
      <c r="K910" t="s">
        <v>21</v>
      </c>
      <c r="L910">
        <v>170.9</v>
      </c>
      <c r="M910" t="s">
        <v>5030</v>
      </c>
      <c r="N910" t="s">
        <v>5031</v>
      </c>
    </row>
    <row r="911" spans="1:14" x14ac:dyDescent="0.3">
      <c r="A911" t="s">
        <v>935</v>
      </c>
      <c r="B911" t="s">
        <v>12</v>
      </c>
      <c r="C911" t="s">
        <v>35</v>
      </c>
      <c r="D911">
        <v>71</v>
      </c>
      <c r="E911" t="s">
        <v>26</v>
      </c>
      <c r="F911" t="s">
        <v>16</v>
      </c>
      <c r="G911">
        <v>111.25</v>
      </c>
      <c r="H911">
        <v>7984.15</v>
      </c>
      <c r="I911" t="s">
        <v>15</v>
      </c>
      <c r="J911" t="s">
        <v>16</v>
      </c>
      <c r="K911" t="s">
        <v>17</v>
      </c>
      <c r="L911">
        <v>7984.15</v>
      </c>
      <c r="M911" t="s">
        <v>5033</v>
      </c>
      <c r="N911" t="s">
        <v>5034</v>
      </c>
    </row>
    <row r="912" spans="1:14" x14ac:dyDescent="0.3">
      <c r="A912" t="s">
        <v>936</v>
      </c>
      <c r="B912" t="s">
        <v>19</v>
      </c>
      <c r="C912" t="s">
        <v>13</v>
      </c>
      <c r="D912">
        <v>10</v>
      </c>
      <c r="E912" t="s">
        <v>26</v>
      </c>
      <c r="F912" t="s">
        <v>15</v>
      </c>
      <c r="G912">
        <v>72.849999999999994</v>
      </c>
      <c r="H912">
        <v>688.65</v>
      </c>
      <c r="I912" t="s">
        <v>16</v>
      </c>
      <c r="J912" t="s">
        <v>16</v>
      </c>
      <c r="K912" t="s">
        <v>17</v>
      </c>
      <c r="L912">
        <v>688.65</v>
      </c>
      <c r="M912" t="s">
        <v>5030</v>
      </c>
      <c r="N912" t="s">
        <v>5031</v>
      </c>
    </row>
    <row r="913" spans="1:14" x14ac:dyDescent="0.3">
      <c r="A913" t="s">
        <v>937</v>
      </c>
      <c r="B913" t="s">
        <v>12</v>
      </c>
      <c r="C913" t="s">
        <v>13</v>
      </c>
      <c r="D913">
        <v>15</v>
      </c>
      <c r="E913" t="s">
        <v>26</v>
      </c>
      <c r="F913" t="s">
        <v>15</v>
      </c>
      <c r="G913">
        <v>89</v>
      </c>
      <c r="H913">
        <v>1288.3</v>
      </c>
      <c r="I913" t="s">
        <v>15</v>
      </c>
      <c r="J913" t="s">
        <v>15</v>
      </c>
      <c r="K913" t="s">
        <v>29</v>
      </c>
      <c r="L913">
        <v>1288.3</v>
      </c>
      <c r="M913" t="s">
        <v>5032</v>
      </c>
      <c r="N913" t="s">
        <v>5031</v>
      </c>
    </row>
    <row r="914" spans="1:14" x14ac:dyDescent="0.3">
      <c r="A914" t="s">
        <v>938</v>
      </c>
      <c r="B914" t="s">
        <v>19</v>
      </c>
      <c r="C914" t="s">
        <v>20</v>
      </c>
      <c r="D914">
        <v>72</v>
      </c>
      <c r="E914" t="s">
        <v>26</v>
      </c>
      <c r="F914" t="s">
        <v>15</v>
      </c>
      <c r="G914">
        <v>106.1</v>
      </c>
      <c r="H914">
        <v>7848.5</v>
      </c>
      <c r="I914" t="s">
        <v>15</v>
      </c>
      <c r="J914" t="s">
        <v>16</v>
      </c>
      <c r="K914" t="s">
        <v>24</v>
      </c>
      <c r="L914">
        <v>7848.5</v>
      </c>
      <c r="M914" t="s">
        <v>5033</v>
      </c>
      <c r="N914" t="s">
        <v>5034</v>
      </c>
    </row>
    <row r="915" spans="1:14" x14ac:dyDescent="0.3">
      <c r="A915" t="s">
        <v>939</v>
      </c>
      <c r="B915" t="s">
        <v>19</v>
      </c>
      <c r="C915" t="s">
        <v>20</v>
      </c>
      <c r="D915">
        <v>12</v>
      </c>
      <c r="E915" t="s">
        <v>15</v>
      </c>
      <c r="F915" t="s">
        <v>36</v>
      </c>
      <c r="G915">
        <v>20.05</v>
      </c>
      <c r="H915">
        <v>267</v>
      </c>
      <c r="I915" t="s">
        <v>15</v>
      </c>
      <c r="J915" t="s">
        <v>15</v>
      </c>
      <c r="K915" t="s">
        <v>29</v>
      </c>
      <c r="L915">
        <v>267</v>
      </c>
      <c r="M915" t="s">
        <v>5030</v>
      </c>
      <c r="N915" t="s">
        <v>5031</v>
      </c>
    </row>
    <row r="916" spans="1:14" x14ac:dyDescent="0.3">
      <c r="A916" t="s">
        <v>940</v>
      </c>
      <c r="B916" t="s">
        <v>19</v>
      </c>
      <c r="C916" t="s">
        <v>35</v>
      </c>
      <c r="D916">
        <v>72</v>
      </c>
      <c r="E916" t="s">
        <v>15</v>
      </c>
      <c r="F916" t="s">
        <v>36</v>
      </c>
      <c r="G916">
        <v>25.2</v>
      </c>
      <c r="H916">
        <v>1798.9</v>
      </c>
      <c r="I916" t="s">
        <v>15</v>
      </c>
      <c r="J916" t="s">
        <v>16</v>
      </c>
      <c r="K916" t="s">
        <v>24</v>
      </c>
      <c r="L916">
        <v>1798.9</v>
      </c>
      <c r="M916" t="s">
        <v>5033</v>
      </c>
      <c r="N916" t="s">
        <v>5031</v>
      </c>
    </row>
    <row r="917" spans="1:14" x14ac:dyDescent="0.3">
      <c r="A917" t="s">
        <v>941</v>
      </c>
      <c r="B917" t="s">
        <v>19</v>
      </c>
      <c r="C917" t="s">
        <v>13</v>
      </c>
      <c r="D917">
        <v>1</v>
      </c>
      <c r="E917" t="s">
        <v>26</v>
      </c>
      <c r="F917" t="s">
        <v>15</v>
      </c>
      <c r="G917">
        <v>73.55</v>
      </c>
      <c r="H917">
        <v>73.55</v>
      </c>
      <c r="I917" t="s">
        <v>16</v>
      </c>
      <c r="J917" t="s">
        <v>16</v>
      </c>
      <c r="K917" t="s">
        <v>17</v>
      </c>
      <c r="L917">
        <v>73.55</v>
      </c>
      <c r="M917" t="s">
        <v>5030</v>
      </c>
      <c r="N917" t="s">
        <v>5031</v>
      </c>
    </row>
    <row r="918" spans="1:14" x14ac:dyDescent="0.3">
      <c r="A918" t="s">
        <v>942</v>
      </c>
      <c r="B918" t="s">
        <v>12</v>
      </c>
      <c r="C918" t="s">
        <v>13</v>
      </c>
      <c r="D918">
        <v>23</v>
      </c>
      <c r="E918" t="s">
        <v>26</v>
      </c>
      <c r="F918" t="s">
        <v>15</v>
      </c>
      <c r="G918">
        <v>75.400000000000006</v>
      </c>
      <c r="H918">
        <v>1643.55</v>
      </c>
      <c r="I918" t="s">
        <v>15</v>
      </c>
      <c r="J918" t="s">
        <v>16</v>
      </c>
      <c r="K918" t="s">
        <v>24</v>
      </c>
      <c r="L918">
        <v>1643.55</v>
      </c>
      <c r="M918" t="s">
        <v>5032</v>
      </c>
      <c r="N918" t="s">
        <v>5031</v>
      </c>
    </row>
    <row r="919" spans="1:14" x14ac:dyDescent="0.3">
      <c r="A919" t="s">
        <v>943</v>
      </c>
      <c r="B919" t="s">
        <v>19</v>
      </c>
      <c r="C919" t="s">
        <v>35</v>
      </c>
      <c r="D919">
        <v>72</v>
      </c>
      <c r="E919" t="s">
        <v>14</v>
      </c>
      <c r="F919" t="s">
        <v>16</v>
      </c>
      <c r="G919">
        <v>65.55</v>
      </c>
      <c r="H919">
        <v>4807.45</v>
      </c>
      <c r="I919" t="s">
        <v>15</v>
      </c>
      <c r="J919" t="s">
        <v>16</v>
      </c>
      <c r="K919" t="s">
        <v>24</v>
      </c>
      <c r="L919">
        <v>4807.45</v>
      </c>
      <c r="M919" t="s">
        <v>5033</v>
      </c>
      <c r="N919" t="s">
        <v>5034</v>
      </c>
    </row>
    <row r="920" spans="1:14" x14ac:dyDescent="0.3">
      <c r="A920" t="s">
        <v>944</v>
      </c>
      <c r="B920" t="s">
        <v>12</v>
      </c>
      <c r="C920" t="s">
        <v>13</v>
      </c>
      <c r="D920">
        <v>26</v>
      </c>
      <c r="E920" t="s">
        <v>26</v>
      </c>
      <c r="F920" t="s">
        <v>15</v>
      </c>
      <c r="G920">
        <v>80.7</v>
      </c>
      <c r="H920">
        <v>2193</v>
      </c>
      <c r="I920" t="s">
        <v>15</v>
      </c>
      <c r="J920" t="s">
        <v>16</v>
      </c>
      <c r="K920" t="s">
        <v>17</v>
      </c>
      <c r="L920">
        <v>2193</v>
      </c>
      <c r="M920" t="s">
        <v>5032</v>
      </c>
      <c r="N920" t="s">
        <v>5031</v>
      </c>
    </row>
    <row r="921" spans="1:14" x14ac:dyDescent="0.3">
      <c r="A921" t="s">
        <v>945</v>
      </c>
      <c r="B921" t="s">
        <v>12</v>
      </c>
      <c r="C921" t="s">
        <v>20</v>
      </c>
      <c r="D921">
        <v>21</v>
      </c>
      <c r="E921" t="s">
        <v>26</v>
      </c>
      <c r="F921" t="s">
        <v>16</v>
      </c>
      <c r="G921">
        <v>104.55</v>
      </c>
      <c r="H921">
        <v>2239.4</v>
      </c>
      <c r="I921" t="s">
        <v>15</v>
      </c>
      <c r="J921" t="s">
        <v>16</v>
      </c>
      <c r="K921" t="s">
        <v>21</v>
      </c>
      <c r="L921">
        <v>2239.4</v>
      </c>
      <c r="M921" t="s">
        <v>5032</v>
      </c>
      <c r="N921" t="s">
        <v>5031</v>
      </c>
    </row>
    <row r="922" spans="1:14" x14ac:dyDescent="0.3">
      <c r="A922" t="s">
        <v>946</v>
      </c>
      <c r="B922" t="s">
        <v>19</v>
      </c>
      <c r="C922" t="s">
        <v>20</v>
      </c>
      <c r="D922">
        <v>60</v>
      </c>
      <c r="E922" t="s">
        <v>15</v>
      </c>
      <c r="F922" t="s">
        <v>36</v>
      </c>
      <c r="G922">
        <v>24.15</v>
      </c>
      <c r="H922">
        <v>1505.9</v>
      </c>
      <c r="I922" t="s">
        <v>15</v>
      </c>
      <c r="J922" t="s">
        <v>15</v>
      </c>
      <c r="K922" t="s">
        <v>24</v>
      </c>
      <c r="L922">
        <v>1505.9</v>
      </c>
      <c r="M922" t="s">
        <v>5033</v>
      </c>
      <c r="N922" t="s">
        <v>5031</v>
      </c>
    </row>
    <row r="923" spans="1:14" x14ac:dyDescent="0.3">
      <c r="A923" t="s">
        <v>947</v>
      </c>
      <c r="B923" t="s">
        <v>19</v>
      </c>
      <c r="C923" t="s">
        <v>13</v>
      </c>
      <c r="D923">
        <v>12</v>
      </c>
      <c r="E923" t="s">
        <v>15</v>
      </c>
      <c r="F923" t="s">
        <v>36</v>
      </c>
      <c r="G923">
        <v>20.45</v>
      </c>
      <c r="H923">
        <v>255.35</v>
      </c>
      <c r="I923" t="s">
        <v>15</v>
      </c>
      <c r="J923" t="s">
        <v>15</v>
      </c>
      <c r="K923" t="s">
        <v>21</v>
      </c>
      <c r="L923">
        <v>255.35</v>
      </c>
      <c r="M923" t="s">
        <v>5030</v>
      </c>
      <c r="N923" t="s">
        <v>5031</v>
      </c>
    </row>
    <row r="924" spans="1:14" x14ac:dyDescent="0.3">
      <c r="A924" t="s">
        <v>948</v>
      </c>
      <c r="B924" t="s">
        <v>19</v>
      </c>
      <c r="C924" t="s">
        <v>13</v>
      </c>
      <c r="D924">
        <v>16</v>
      </c>
      <c r="E924" t="s">
        <v>26</v>
      </c>
      <c r="F924" t="s">
        <v>15</v>
      </c>
      <c r="G924">
        <v>75.400000000000006</v>
      </c>
      <c r="H924">
        <v>1189.4000000000001</v>
      </c>
      <c r="I924" t="s">
        <v>15</v>
      </c>
      <c r="J924" t="s">
        <v>16</v>
      </c>
      <c r="K924" t="s">
        <v>17</v>
      </c>
      <c r="L924">
        <v>1189.4000000000001</v>
      </c>
      <c r="M924" t="s">
        <v>5032</v>
      </c>
      <c r="N924" t="s">
        <v>5031</v>
      </c>
    </row>
    <row r="925" spans="1:14" x14ac:dyDescent="0.3">
      <c r="A925" t="s">
        <v>949</v>
      </c>
      <c r="B925" t="s">
        <v>12</v>
      </c>
      <c r="C925" t="s">
        <v>20</v>
      </c>
      <c r="D925">
        <v>63</v>
      </c>
      <c r="E925" t="s">
        <v>14</v>
      </c>
      <c r="F925" t="s">
        <v>15</v>
      </c>
      <c r="G925">
        <v>79.7</v>
      </c>
      <c r="H925">
        <v>4786.1499999999996</v>
      </c>
      <c r="I925" t="s">
        <v>15</v>
      </c>
      <c r="J925" t="s">
        <v>16</v>
      </c>
      <c r="K925" t="s">
        <v>29</v>
      </c>
      <c r="L925">
        <v>4786.1499999999996</v>
      </c>
      <c r="M925" t="s">
        <v>5033</v>
      </c>
      <c r="N925" t="s">
        <v>5034</v>
      </c>
    </row>
    <row r="926" spans="1:14" x14ac:dyDescent="0.3">
      <c r="A926" t="s">
        <v>950</v>
      </c>
      <c r="B926" t="s">
        <v>12</v>
      </c>
      <c r="C926" t="s">
        <v>13</v>
      </c>
      <c r="D926">
        <v>22</v>
      </c>
      <c r="E926" t="s">
        <v>26</v>
      </c>
      <c r="F926" t="s">
        <v>15</v>
      </c>
      <c r="G926">
        <v>81.7</v>
      </c>
      <c r="H926">
        <v>1820.9</v>
      </c>
      <c r="I926" t="s">
        <v>15</v>
      </c>
      <c r="J926" t="s">
        <v>15</v>
      </c>
      <c r="K926" t="s">
        <v>17</v>
      </c>
      <c r="L926">
        <v>1820.9</v>
      </c>
      <c r="M926" t="s">
        <v>5032</v>
      </c>
      <c r="N926" t="s">
        <v>5031</v>
      </c>
    </row>
    <row r="927" spans="1:14" x14ac:dyDescent="0.3">
      <c r="A927" t="s">
        <v>951</v>
      </c>
      <c r="B927" t="s">
        <v>12</v>
      </c>
      <c r="C927" t="s">
        <v>13</v>
      </c>
      <c r="D927">
        <v>32</v>
      </c>
      <c r="E927" t="s">
        <v>14</v>
      </c>
      <c r="F927" t="s">
        <v>16</v>
      </c>
      <c r="G927">
        <v>76.3</v>
      </c>
      <c r="H927">
        <v>2404.15</v>
      </c>
      <c r="I927" t="s">
        <v>15</v>
      </c>
      <c r="J927" t="s">
        <v>15</v>
      </c>
      <c r="K927" t="s">
        <v>24</v>
      </c>
      <c r="L927">
        <v>2404.15</v>
      </c>
      <c r="M927" t="s">
        <v>5032</v>
      </c>
      <c r="N927" t="s">
        <v>5031</v>
      </c>
    </row>
    <row r="928" spans="1:14" x14ac:dyDescent="0.3">
      <c r="A928" t="s">
        <v>952</v>
      </c>
      <c r="B928" t="s">
        <v>12</v>
      </c>
      <c r="C928" t="s">
        <v>13</v>
      </c>
      <c r="D928">
        <v>3</v>
      </c>
      <c r="E928" t="s">
        <v>26</v>
      </c>
      <c r="F928" t="s">
        <v>15</v>
      </c>
      <c r="G928">
        <v>79.400000000000006</v>
      </c>
      <c r="H928">
        <v>205.05</v>
      </c>
      <c r="I928" t="s">
        <v>16</v>
      </c>
      <c r="J928" t="s">
        <v>16</v>
      </c>
      <c r="K928" t="s">
        <v>17</v>
      </c>
      <c r="L928">
        <v>205.05</v>
      </c>
      <c r="M928" t="s">
        <v>5030</v>
      </c>
      <c r="N928" t="s">
        <v>5031</v>
      </c>
    </row>
    <row r="929" spans="1:14" x14ac:dyDescent="0.3">
      <c r="A929" t="s">
        <v>953</v>
      </c>
      <c r="B929" t="s">
        <v>12</v>
      </c>
      <c r="C929" t="s">
        <v>13</v>
      </c>
      <c r="D929">
        <v>13</v>
      </c>
      <c r="E929" t="s">
        <v>26</v>
      </c>
      <c r="F929" t="s">
        <v>15</v>
      </c>
      <c r="G929">
        <v>81.150000000000006</v>
      </c>
      <c r="H929">
        <v>952.3</v>
      </c>
      <c r="I929" t="s">
        <v>16</v>
      </c>
      <c r="J929" t="s">
        <v>16</v>
      </c>
      <c r="K929" t="s">
        <v>17</v>
      </c>
      <c r="L929">
        <v>952.3</v>
      </c>
      <c r="M929" t="s">
        <v>5032</v>
      </c>
      <c r="N929" t="s">
        <v>5031</v>
      </c>
    </row>
    <row r="930" spans="1:14" x14ac:dyDescent="0.3">
      <c r="A930" t="s">
        <v>954</v>
      </c>
      <c r="B930" t="s">
        <v>12</v>
      </c>
      <c r="C930" t="s">
        <v>35</v>
      </c>
      <c r="D930">
        <v>68</v>
      </c>
      <c r="E930" t="s">
        <v>26</v>
      </c>
      <c r="F930" t="s">
        <v>16</v>
      </c>
      <c r="G930">
        <v>103.75</v>
      </c>
      <c r="H930">
        <v>7039.45</v>
      </c>
      <c r="I930" t="s">
        <v>15</v>
      </c>
      <c r="J930" t="s">
        <v>16</v>
      </c>
      <c r="K930" t="s">
        <v>29</v>
      </c>
      <c r="L930">
        <v>7039.45</v>
      </c>
      <c r="M930" t="s">
        <v>5033</v>
      </c>
      <c r="N930" t="s">
        <v>5034</v>
      </c>
    </row>
    <row r="931" spans="1:14" x14ac:dyDescent="0.3">
      <c r="A931" t="s">
        <v>955</v>
      </c>
      <c r="B931" t="s">
        <v>12</v>
      </c>
      <c r="C931" t="s">
        <v>20</v>
      </c>
      <c r="D931">
        <v>30</v>
      </c>
      <c r="E931" t="s">
        <v>26</v>
      </c>
      <c r="F931" t="s">
        <v>15</v>
      </c>
      <c r="G931">
        <v>86.45</v>
      </c>
      <c r="H931">
        <v>2538.0500000000002</v>
      </c>
      <c r="I931" t="s">
        <v>15</v>
      </c>
      <c r="J931" t="s">
        <v>15</v>
      </c>
      <c r="K931" t="s">
        <v>17</v>
      </c>
      <c r="L931">
        <v>2538.0500000000002</v>
      </c>
      <c r="M931" t="s">
        <v>5032</v>
      </c>
      <c r="N931" t="s">
        <v>5034</v>
      </c>
    </row>
    <row r="932" spans="1:14" x14ac:dyDescent="0.3">
      <c r="A932" t="s">
        <v>956</v>
      </c>
      <c r="B932" t="s">
        <v>12</v>
      </c>
      <c r="C932" t="s">
        <v>13</v>
      </c>
      <c r="D932">
        <v>16</v>
      </c>
      <c r="E932" t="s">
        <v>26</v>
      </c>
      <c r="F932" t="s">
        <v>15</v>
      </c>
      <c r="G932">
        <v>75.099999999999994</v>
      </c>
      <c r="H932">
        <v>1212.8499999999999</v>
      </c>
      <c r="I932" t="s">
        <v>15</v>
      </c>
      <c r="J932" t="s">
        <v>15</v>
      </c>
      <c r="K932" t="s">
        <v>24</v>
      </c>
      <c r="L932">
        <v>1212.8499999999999</v>
      </c>
      <c r="M932" t="s">
        <v>5032</v>
      </c>
      <c r="N932" t="s">
        <v>5031</v>
      </c>
    </row>
    <row r="933" spans="1:14" x14ac:dyDescent="0.3">
      <c r="A933" t="s">
        <v>957</v>
      </c>
      <c r="B933" t="s">
        <v>19</v>
      </c>
      <c r="C933" t="s">
        <v>35</v>
      </c>
      <c r="D933">
        <v>33</v>
      </c>
      <c r="E933" t="s">
        <v>26</v>
      </c>
      <c r="F933" t="s">
        <v>16</v>
      </c>
      <c r="G933">
        <v>80.599999999999994</v>
      </c>
      <c r="H933">
        <v>2651.1</v>
      </c>
      <c r="I933" t="s">
        <v>15</v>
      </c>
      <c r="J933" t="s">
        <v>15</v>
      </c>
      <c r="K933" t="s">
        <v>24</v>
      </c>
      <c r="L933">
        <v>2651.1</v>
      </c>
      <c r="M933" t="s">
        <v>5032</v>
      </c>
      <c r="N933" t="s">
        <v>5034</v>
      </c>
    </row>
    <row r="934" spans="1:14" x14ac:dyDescent="0.3">
      <c r="A934" t="s">
        <v>958</v>
      </c>
      <c r="B934" t="s">
        <v>19</v>
      </c>
      <c r="C934" t="s">
        <v>35</v>
      </c>
      <c r="D934">
        <v>72</v>
      </c>
      <c r="E934" t="s">
        <v>15</v>
      </c>
      <c r="F934" t="s">
        <v>36</v>
      </c>
      <c r="G934">
        <v>19.3</v>
      </c>
      <c r="H934">
        <v>1304.8</v>
      </c>
      <c r="I934" t="s">
        <v>15</v>
      </c>
      <c r="J934" t="s">
        <v>15</v>
      </c>
      <c r="K934" t="s">
        <v>29</v>
      </c>
      <c r="L934">
        <v>1304.8</v>
      </c>
      <c r="M934" t="s">
        <v>5033</v>
      </c>
      <c r="N934" t="s">
        <v>5031</v>
      </c>
    </row>
    <row r="935" spans="1:14" x14ac:dyDescent="0.3">
      <c r="A935" t="s">
        <v>959</v>
      </c>
      <c r="B935" t="s">
        <v>12</v>
      </c>
      <c r="C935" t="s">
        <v>13</v>
      </c>
      <c r="D935">
        <v>4</v>
      </c>
      <c r="E935" t="s">
        <v>26</v>
      </c>
      <c r="F935" t="s">
        <v>15</v>
      </c>
      <c r="G935">
        <v>84.6</v>
      </c>
      <c r="H935">
        <v>360.1</v>
      </c>
      <c r="I935" t="s">
        <v>16</v>
      </c>
      <c r="J935" t="s">
        <v>16</v>
      </c>
      <c r="K935" t="s">
        <v>17</v>
      </c>
      <c r="L935">
        <v>360.1</v>
      </c>
      <c r="M935" t="s">
        <v>5030</v>
      </c>
      <c r="N935" t="s">
        <v>5031</v>
      </c>
    </row>
    <row r="936" spans="1:14" x14ac:dyDescent="0.3">
      <c r="A936" t="s">
        <v>960</v>
      </c>
      <c r="B936" t="s">
        <v>12</v>
      </c>
      <c r="C936" t="s">
        <v>20</v>
      </c>
      <c r="D936">
        <v>12</v>
      </c>
      <c r="E936" t="s">
        <v>14</v>
      </c>
      <c r="F936" t="s">
        <v>16</v>
      </c>
      <c r="G936">
        <v>33.6</v>
      </c>
      <c r="H936">
        <v>435.45</v>
      </c>
      <c r="I936" t="s">
        <v>15</v>
      </c>
      <c r="J936" t="s">
        <v>16</v>
      </c>
      <c r="K936" t="s">
        <v>21</v>
      </c>
      <c r="L936">
        <v>435.45</v>
      </c>
      <c r="M936" t="s">
        <v>5030</v>
      </c>
      <c r="N936" t="s">
        <v>5031</v>
      </c>
    </row>
    <row r="937" spans="1:14" x14ac:dyDescent="0.3">
      <c r="A937" t="s">
        <v>961</v>
      </c>
      <c r="B937" t="s">
        <v>12</v>
      </c>
      <c r="C937" t="s">
        <v>13</v>
      </c>
      <c r="D937">
        <v>4</v>
      </c>
      <c r="E937" t="s">
        <v>26</v>
      </c>
      <c r="F937" t="s">
        <v>15</v>
      </c>
      <c r="G937">
        <v>83.25</v>
      </c>
      <c r="H937">
        <v>308.05</v>
      </c>
      <c r="I937" t="s">
        <v>15</v>
      </c>
      <c r="J937" t="s">
        <v>16</v>
      </c>
      <c r="K937" t="s">
        <v>17</v>
      </c>
      <c r="L937">
        <v>308.05</v>
      </c>
      <c r="M937" t="s">
        <v>5030</v>
      </c>
      <c r="N937" t="s">
        <v>5031</v>
      </c>
    </row>
    <row r="938" spans="1:14" x14ac:dyDescent="0.3">
      <c r="A938" t="s">
        <v>962</v>
      </c>
      <c r="B938" t="s">
        <v>12</v>
      </c>
      <c r="C938" t="s">
        <v>35</v>
      </c>
      <c r="D938">
        <v>0</v>
      </c>
      <c r="E938" t="s">
        <v>14</v>
      </c>
      <c r="F938" t="s">
        <v>15</v>
      </c>
      <c r="G938">
        <v>80.849999999999994</v>
      </c>
      <c r="H938" t="s">
        <v>514</v>
      </c>
      <c r="I938" t="s">
        <v>15</v>
      </c>
      <c r="J938" t="s">
        <v>15</v>
      </c>
      <c r="K938" t="s">
        <v>21</v>
      </c>
      <c r="L938">
        <v>0</v>
      </c>
      <c r="M938" t="s">
        <v>5030</v>
      </c>
      <c r="N938" t="s">
        <v>5034</v>
      </c>
    </row>
    <row r="939" spans="1:14" x14ac:dyDescent="0.3">
      <c r="A939" t="s">
        <v>963</v>
      </c>
      <c r="B939" t="s">
        <v>12</v>
      </c>
      <c r="C939" t="s">
        <v>13</v>
      </c>
      <c r="D939">
        <v>6</v>
      </c>
      <c r="E939" t="s">
        <v>26</v>
      </c>
      <c r="F939" t="s">
        <v>15</v>
      </c>
      <c r="G939">
        <v>79.05</v>
      </c>
      <c r="H939">
        <v>434.5</v>
      </c>
      <c r="I939" t="s">
        <v>16</v>
      </c>
      <c r="J939" t="s">
        <v>16</v>
      </c>
      <c r="K939" t="s">
        <v>17</v>
      </c>
      <c r="L939">
        <v>434.5</v>
      </c>
      <c r="M939" t="s">
        <v>5030</v>
      </c>
      <c r="N939" t="s">
        <v>5031</v>
      </c>
    </row>
    <row r="940" spans="1:14" x14ac:dyDescent="0.3">
      <c r="A940" t="s">
        <v>964</v>
      </c>
      <c r="B940" t="s">
        <v>12</v>
      </c>
      <c r="C940" t="s">
        <v>20</v>
      </c>
      <c r="D940">
        <v>65</v>
      </c>
      <c r="E940" t="s">
        <v>26</v>
      </c>
      <c r="F940" t="s">
        <v>16</v>
      </c>
      <c r="G940">
        <v>108.05</v>
      </c>
      <c r="H940">
        <v>7118.9</v>
      </c>
      <c r="I940" t="s">
        <v>15</v>
      </c>
      <c r="J940" t="s">
        <v>16</v>
      </c>
      <c r="K940" t="s">
        <v>29</v>
      </c>
      <c r="L940">
        <v>7118.9</v>
      </c>
      <c r="M940" t="s">
        <v>5033</v>
      </c>
      <c r="N940" t="s">
        <v>5034</v>
      </c>
    </row>
    <row r="941" spans="1:14" x14ac:dyDescent="0.3">
      <c r="A941" t="s">
        <v>965</v>
      </c>
      <c r="B941" t="s">
        <v>12</v>
      </c>
      <c r="C941" t="s">
        <v>13</v>
      </c>
      <c r="D941">
        <v>15</v>
      </c>
      <c r="E941" t="s">
        <v>15</v>
      </c>
      <c r="F941" t="s">
        <v>36</v>
      </c>
      <c r="G941">
        <v>19.899999999999999</v>
      </c>
      <c r="H941">
        <v>320.45</v>
      </c>
      <c r="I941" t="s">
        <v>15</v>
      </c>
      <c r="J941" t="s">
        <v>15</v>
      </c>
      <c r="K941" t="s">
        <v>21</v>
      </c>
      <c r="L941">
        <v>320.45</v>
      </c>
      <c r="M941" t="s">
        <v>5032</v>
      </c>
      <c r="N941" t="s">
        <v>5031</v>
      </c>
    </row>
    <row r="942" spans="1:14" x14ac:dyDescent="0.3">
      <c r="A942" t="s">
        <v>966</v>
      </c>
      <c r="B942" t="s">
        <v>12</v>
      </c>
      <c r="C942" t="s">
        <v>20</v>
      </c>
      <c r="D942">
        <v>24</v>
      </c>
      <c r="E942" t="s">
        <v>15</v>
      </c>
      <c r="F942" t="s">
        <v>36</v>
      </c>
      <c r="G942">
        <v>21.05</v>
      </c>
      <c r="H942">
        <v>531.54999999999995</v>
      </c>
      <c r="I942" t="s">
        <v>15</v>
      </c>
      <c r="J942" t="s">
        <v>15</v>
      </c>
      <c r="K942" t="s">
        <v>24</v>
      </c>
      <c r="L942">
        <v>531.54999999999995</v>
      </c>
      <c r="M942" t="s">
        <v>5032</v>
      </c>
      <c r="N942" t="s">
        <v>5031</v>
      </c>
    </row>
    <row r="943" spans="1:14" x14ac:dyDescent="0.3">
      <c r="A943" t="s">
        <v>967</v>
      </c>
      <c r="B943" t="s">
        <v>12</v>
      </c>
      <c r="C943" t="s">
        <v>13</v>
      </c>
      <c r="D943">
        <v>13</v>
      </c>
      <c r="E943" t="s">
        <v>14</v>
      </c>
      <c r="F943" t="s">
        <v>15</v>
      </c>
      <c r="G943">
        <v>30.15</v>
      </c>
      <c r="H943">
        <v>382.2</v>
      </c>
      <c r="I943" t="s">
        <v>15</v>
      </c>
      <c r="J943" t="s">
        <v>15</v>
      </c>
      <c r="K943" t="s">
        <v>17</v>
      </c>
      <c r="L943">
        <v>382.2</v>
      </c>
      <c r="M943" t="s">
        <v>5032</v>
      </c>
      <c r="N943" t="s">
        <v>5031</v>
      </c>
    </row>
    <row r="944" spans="1:14" x14ac:dyDescent="0.3">
      <c r="A944" t="s">
        <v>968</v>
      </c>
      <c r="B944" t="s">
        <v>19</v>
      </c>
      <c r="C944" t="s">
        <v>13</v>
      </c>
      <c r="D944">
        <v>24</v>
      </c>
      <c r="E944" t="s">
        <v>26</v>
      </c>
      <c r="F944" t="s">
        <v>15</v>
      </c>
      <c r="G944">
        <v>79.849999999999994</v>
      </c>
      <c r="H944">
        <v>2001</v>
      </c>
      <c r="I944" t="s">
        <v>15</v>
      </c>
      <c r="J944" t="s">
        <v>16</v>
      </c>
      <c r="K944" t="s">
        <v>29</v>
      </c>
      <c r="L944">
        <v>2001</v>
      </c>
      <c r="M944" t="s">
        <v>5032</v>
      </c>
      <c r="N944" t="s">
        <v>5031</v>
      </c>
    </row>
    <row r="945" spans="1:14" x14ac:dyDescent="0.3">
      <c r="A945" t="s">
        <v>969</v>
      </c>
      <c r="B945" t="s">
        <v>12</v>
      </c>
      <c r="C945" t="s">
        <v>35</v>
      </c>
      <c r="D945">
        <v>72</v>
      </c>
      <c r="E945" t="s">
        <v>14</v>
      </c>
      <c r="F945" t="s">
        <v>16</v>
      </c>
      <c r="G945">
        <v>65.5</v>
      </c>
      <c r="H945">
        <v>4919.7</v>
      </c>
      <c r="I945" t="s">
        <v>15</v>
      </c>
      <c r="J945" t="s">
        <v>15</v>
      </c>
      <c r="K945" t="s">
        <v>24</v>
      </c>
      <c r="L945">
        <v>4919.7</v>
      </c>
      <c r="M945" t="s">
        <v>5033</v>
      </c>
      <c r="N945" t="s">
        <v>5034</v>
      </c>
    </row>
    <row r="946" spans="1:14" x14ac:dyDescent="0.3">
      <c r="A946" t="s">
        <v>970</v>
      </c>
      <c r="B946" t="s">
        <v>12</v>
      </c>
      <c r="C946" t="s">
        <v>13</v>
      </c>
      <c r="D946">
        <v>54</v>
      </c>
      <c r="E946" t="s">
        <v>26</v>
      </c>
      <c r="F946" t="s">
        <v>15</v>
      </c>
      <c r="G946">
        <v>104.1</v>
      </c>
      <c r="H946">
        <v>5645.8</v>
      </c>
      <c r="I946" t="s">
        <v>15</v>
      </c>
      <c r="J946" t="s">
        <v>16</v>
      </c>
      <c r="K946" t="s">
        <v>24</v>
      </c>
      <c r="L946">
        <v>5645.8</v>
      </c>
      <c r="M946" t="s">
        <v>5033</v>
      </c>
      <c r="N946" t="s">
        <v>5034</v>
      </c>
    </row>
    <row r="947" spans="1:14" x14ac:dyDescent="0.3">
      <c r="A947" t="s">
        <v>971</v>
      </c>
      <c r="B947" t="s">
        <v>12</v>
      </c>
      <c r="C947" t="s">
        <v>13</v>
      </c>
      <c r="D947">
        <v>3</v>
      </c>
      <c r="E947" t="s">
        <v>26</v>
      </c>
      <c r="F947" t="s">
        <v>15</v>
      </c>
      <c r="G947">
        <v>74.400000000000006</v>
      </c>
      <c r="H947">
        <v>215.8</v>
      </c>
      <c r="I947" t="s">
        <v>16</v>
      </c>
      <c r="J947" t="s">
        <v>15</v>
      </c>
      <c r="K947" t="s">
        <v>24</v>
      </c>
      <c r="L947">
        <v>215.8</v>
      </c>
      <c r="M947" t="s">
        <v>5030</v>
      </c>
      <c r="N947" t="s">
        <v>5031</v>
      </c>
    </row>
    <row r="948" spans="1:14" x14ac:dyDescent="0.3">
      <c r="A948" t="s">
        <v>972</v>
      </c>
      <c r="B948" t="s">
        <v>19</v>
      </c>
      <c r="C948" t="s">
        <v>13</v>
      </c>
      <c r="D948">
        <v>4</v>
      </c>
      <c r="E948" t="s">
        <v>15</v>
      </c>
      <c r="F948" t="s">
        <v>36</v>
      </c>
      <c r="G948">
        <v>20.5</v>
      </c>
      <c r="H948">
        <v>77.599999999999994</v>
      </c>
      <c r="I948" t="s">
        <v>15</v>
      </c>
      <c r="J948" t="s">
        <v>16</v>
      </c>
      <c r="K948" t="s">
        <v>21</v>
      </c>
      <c r="L948">
        <v>77.599999999999994</v>
      </c>
      <c r="M948" t="s">
        <v>5030</v>
      </c>
      <c r="N948" t="s">
        <v>5031</v>
      </c>
    </row>
    <row r="949" spans="1:14" x14ac:dyDescent="0.3">
      <c r="A949" t="s">
        <v>973</v>
      </c>
      <c r="B949" t="s">
        <v>12</v>
      </c>
      <c r="C949" t="s">
        <v>13</v>
      </c>
      <c r="D949">
        <v>32</v>
      </c>
      <c r="E949" t="s">
        <v>26</v>
      </c>
      <c r="F949" t="s">
        <v>15</v>
      </c>
      <c r="G949">
        <v>91.35</v>
      </c>
      <c r="H949">
        <v>2896.55</v>
      </c>
      <c r="I949" t="s">
        <v>15</v>
      </c>
      <c r="J949" t="s">
        <v>16</v>
      </c>
      <c r="K949" t="s">
        <v>21</v>
      </c>
      <c r="L949">
        <v>2896.55</v>
      </c>
      <c r="M949" t="s">
        <v>5032</v>
      </c>
      <c r="N949" t="s">
        <v>5034</v>
      </c>
    </row>
    <row r="950" spans="1:14" x14ac:dyDescent="0.3">
      <c r="A950" t="s">
        <v>974</v>
      </c>
      <c r="B950" t="s">
        <v>19</v>
      </c>
      <c r="C950" t="s">
        <v>13</v>
      </c>
      <c r="D950">
        <v>35</v>
      </c>
      <c r="E950" t="s">
        <v>26</v>
      </c>
      <c r="F950" t="s">
        <v>15</v>
      </c>
      <c r="G950">
        <v>99.05</v>
      </c>
      <c r="H950">
        <v>3395.8</v>
      </c>
      <c r="I950" t="s">
        <v>16</v>
      </c>
      <c r="J950" t="s">
        <v>16</v>
      </c>
      <c r="K950" t="s">
        <v>17</v>
      </c>
      <c r="L950">
        <v>3395.8</v>
      </c>
      <c r="M950" t="s">
        <v>5032</v>
      </c>
      <c r="N950" t="s">
        <v>5034</v>
      </c>
    </row>
    <row r="951" spans="1:14" x14ac:dyDescent="0.3">
      <c r="A951" t="s">
        <v>975</v>
      </c>
      <c r="B951" t="s">
        <v>19</v>
      </c>
      <c r="C951" t="s">
        <v>35</v>
      </c>
      <c r="D951">
        <v>35</v>
      </c>
      <c r="E951" t="s">
        <v>15</v>
      </c>
      <c r="F951" t="s">
        <v>36</v>
      </c>
      <c r="G951">
        <v>20.5</v>
      </c>
      <c r="H951">
        <v>759.35</v>
      </c>
      <c r="I951" t="s">
        <v>15</v>
      </c>
      <c r="J951" t="s">
        <v>15</v>
      </c>
      <c r="K951" t="s">
        <v>24</v>
      </c>
      <c r="L951">
        <v>759.35</v>
      </c>
      <c r="M951" t="s">
        <v>5032</v>
      </c>
      <c r="N951" t="s">
        <v>5031</v>
      </c>
    </row>
    <row r="952" spans="1:14" x14ac:dyDescent="0.3">
      <c r="A952" t="s">
        <v>976</v>
      </c>
      <c r="B952" t="s">
        <v>19</v>
      </c>
      <c r="C952" t="s">
        <v>13</v>
      </c>
      <c r="D952">
        <v>2</v>
      </c>
      <c r="E952" t="s">
        <v>14</v>
      </c>
      <c r="F952" t="s">
        <v>15</v>
      </c>
      <c r="G952">
        <v>44.95</v>
      </c>
      <c r="H952">
        <v>85.15</v>
      </c>
      <c r="I952" t="s">
        <v>16</v>
      </c>
      <c r="J952" t="s">
        <v>15</v>
      </c>
      <c r="K952" t="s">
        <v>21</v>
      </c>
      <c r="L952">
        <v>85.15</v>
      </c>
      <c r="M952" t="s">
        <v>5030</v>
      </c>
      <c r="N952" t="s">
        <v>5031</v>
      </c>
    </row>
    <row r="953" spans="1:14" x14ac:dyDescent="0.3">
      <c r="A953" t="s">
        <v>977</v>
      </c>
      <c r="B953" t="s">
        <v>12</v>
      </c>
      <c r="C953" t="s">
        <v>13</v>
      </c>
      <c r="D953">
        <v>8</v>
      </c>
      <c r="E953" t="s">
        <v>26</v>
      </c>
      <c r="F953" t="s">
        <v>15</v>
      </c>
      <c r="G953">
        <v>75.599999999999994</v>
      </c>
      <c r="H953">
        <v>535.54999999999995</v>
      </c>
      <c r="I953" t="s">
        <v>15</v>
      </c>
      <c r="J953" t="s">
        <v>15</v>
      </c>
      <c r="K953" t="s">
        <v>17</v>
      </c>
      <c r="L953">
        <v>535.54999999999995</v>
      </c>
      <c r="M953" t="s">
        <v>5030</v>
      </c>
      <c r="N953" t="s">
        <v>5031</v>
      </c>
    </row>
    <row r="954" spans="1:14" x14ac:dyDescent="0.3">
      <c r="A954" t="s">
        <v>978</v>
      </c>
      <c r="B954" t="s">
        <v>19</v>
      </c>
      <c r="C954" t="s">
        <v>13</v>
      </c>
      <c r="D954">
        <v>22</v>
      </c>
      <c r="E954" t="s">
        <v>14</v>
      </c>
      <c r="F954" t="s">
        <v>16</v>
      </c>
      <c r="G954">
        <v>55.1</v>
      </c>
      <c r="H954">
        <v>1253.1500000000001</v>
      </c>
      <c r="I954" t="s">
        <v>15</v>
      </c>
      <c r="J954" t="s">
        <v>15</v>
      </c>
      <c r="K954" t="s">
        <v>21</v>
      </c>
      <c r="L954">
        <v>1253.1500000000001</v>
      </c>
      <c r="M954" t="s">
        <v>5032</v>
      </c>
      <c r="N954" t="s">
        <v>5031</v>
      </c>
    </row>
    <row r="955" spans="1:14" x14ac:dyDescent="0.3">
      <c r="A955" t="s">
        <v>979</v>
      </c>
      <c r="B955" t="s">
        <v>12</v>
      </c>
      <c r="C955" t="s">
        <v>13</v>
      </c>
      <c r="D955">
        <v>15</v>
      </c>
      <c r="E955" t="s">
        <v>14</v>
      </c>
      <c r="F955" t="s">
        <v>16</v>
      </c>
      <c r="G955">
        <v>58.95</v>
      </c>
      <c r="H955">
        <v>955.15</v>
      </c>
      <c r="I955" t="s">
        <v>15</v>
      </c>
      <c r="J955" t="s">
        <v>15</v>
      </c>
      <c r="K955" t="s">
        <v>17</v>
      </c>
      <c r="L955">
        <v>955.15</v>
      </c>
      <c r="M955" t="s">
        <v>5032</v>
      </c>
      <c r="N955" t="s">
        <v>5031</v>
      </c>
    </row>
    <row r="956" spans="1:14" x14ac:dyDescent="0.3">
      <c r="A956" t="s">
        <v>980</v>
      </c>
      <c r="B956" t="s">
        <v>19</v>
      </c>
      <c r="C956" t="s">
        <v>13</v>
      </c>
      <c r="D956">
        <v>22</v>
      </c>
      <c r="E956" t="s">
        <v>26</v>
      </c>
      <c r="F956" t="s">
        <v>15</v>
      </c>
      <c r="G956">
        <v>95.1</v>
      </c>
      <c r="H956">
        <v>2162.6</v>
      </c>
      <c r="I956" t="s">
        <v>15</v>
      </c>
      <c r="J956" t="s">
        <v>16</v>
      </c>
      <c r="K956" t="s">
        <v>17</v>
      </c>
      <c r="L956">
        <v>2162.6</v>
      </c>
      <c r="M956" t="s">
        <v>5032</v>
      </c>
      <c r="N956" t="s">
        <v>5031</v>
      </c>
    </row>
    <row r="957" spans="1:14" x14ac:dyDescent="0.3">
      <c r="A957" t="s">
        <v>981</v>
      </c>
      <c r="B957" t="s">
        <v>19</v>
      </c>
      <c r="C957" t="s">
        <v>13</v>
      </c>
      <c r="D957">
        <v>1</v>
      </c>
      <c r="E957" t="s">
        <v>14</v>
      </c>
      <c r="F957" t="s">
        <v>15</v>
      </c>
      <c r="G957">
        <v>44.7</v>
      </c>
      <c r="H957">
        <v>44.7</v>
      </c>
      <c r="I957" t="s">
        <v>16</v>
      </c>
      <c r="J957" t="s">
        <v>15</v>
      </c>
      <c r="K957" t="s">
        <v>29</v>
      </c>
      <c r="L957">
        <v>44.7</v>
      </c>
      <c r="M957" t="s">
        <v>5030</v>
      </c>
      <c r="N957" t="s">
        <v>5031</v>
      </c>
    </row>
    <row r="958" spans="1:14" x14ac:dyDescent="0.3">
      <c r="A958" t="s">
        <v>982</v>
      </c>
      <c r="B958" t="s">
        <v>12</v>
      </c>
      <c r="C958" t="s">
        <v>35</v>
      </c>
      <c r="D958">
        <v>71</v>
      </c>
      <c r="E958" t="s">
        <v>15</v>
      </c>
      <c r="F958" t="s">
        <v>36</v>
      </c>
      <c r="G958">
        <v>25.45</v>
      </c>
      <c r="H958">
        <v>1813.35</v>
      </c>
      <c r="I958" t="s">
        <v>15</v>
      </c>
      <c r="J958" t="s">
        <v>15</v>
      </c>
      <c r="K958" t="s">
        <v>24</v>
      </c>
      <c r="L958">
        <v>1813.35</v>
      </c>
      <c r="M958" t="s">
        <v>5033</v>
      </c>
      <c r="N958" t="s">
        <v>5031</v>
      </c>
    </row>
    <row r="959" spans="1:14" x14ac:dyDescent="0.3">
      <c r="A959" t="s">
        <v>983</v>
      </c>
      <c r="B959" t="s">
        <v>19</v>
      </c>
      <c r="C959" t="s">
        <v>13</v>
      </c>
      <c r="D959">
        <v>4</v>
      </c>
      <c r="E959" t="s">
        <v>14</v>
      </c>
      <c r="F959" t="s">
        <v>15</v>
      </c>
      <c r="G959">
        <v>56.75</v>
      </c>
      <c r="H959">
        <v>245.15</v>
      </c>
      <c r="I959" t="s">
        <v>15</v>
      </c>
      <c r="J959" t="s">
        <v>15</v>
      </c>
      <c r="K959" t="s">
        <v>17</v>
      </c>
      <c r="L959">
        <v>245.15</v>
      </c>
      <c r="M959" t="s">
        <v>5030</v>
      </c>
      <c r="N959" t="s">
        <v>5031</v>
      </c>
    </row>
    <row r="960" spans="1:14" x14ac:dyDescent="0.3">
      <c r="A960" t="s">
        <v>984</v>
      </c>
      <c r="B960" t="s">
        <v>19</v>
      </c>
      <c r="C960" t="s">
        <v>13</v>
      </c>
      <c r="D960">
        <v>25</v>
      </c>
      <c r="E960" t="s">
        <v>14</v>
      </c>
      <c r="F960" t="s">
        <v>16</v>
      </c>
      <c r="G960">
        <v>81.75</v>
      </c>
      <c r="H960">
        <v>2028.8</v>
      </c>
      <c r="I960" t="s">
        <v>15</v>
      </c>
      <c r="J960" t="s">
        <v>15</v>
      </c>
      <c r="K960" t="s">
        <v>24</v>
      </c>
      <c r="L960">
        <v>2028.8</v>
      </c>
      <c r="M960" t="s">
        <v>5032</v>
      </c>
      <c r="N960" t="s">
        <v>5031</v>
      </c>
    </row>
    <row r="961" spans="1:14" x14ac:dyDescent="0.3">
      <c r="A961" t="s">
        <v>985</v>
      </c>
      <c r="B961" t="s">
        <v>12</v>
      </c>
      <c r="C961" t="s">
        <v>13</v>
      </c>
      <c r="D961">
        <v>32</v>
      </c>
      <c r="E961" t="s">
        <v>26</v>
      </c>
      <c r="F961" t="s">
        <v>15</v>
      </c>
      <c r="G961">
        <v>86.1</v>
      </c>
      <c r="H961">
        <v>2723.75</v>
      </c>
      <c r="I961" t="s">
        <v>15</v>
      </c>
      <c r="J961" t="s">
        <v>16</v>
      </c>
      <c r="K961" t="s">
        <v>17</v>
      </c>
      <c r="L961">
        <v>2723.75</v>
      </c>
      <c r="M961" t="s">
        <v>5032</v>
      </c>
      <c r="N961" t="s">
        <v>5034</v>
      </c>
    </row>
    <row r="962" spans="1:14" x14ac:dyDescent="0.3">
      <c r="A962" t="s">
        <v>986</v>
      </c>
      <c r="B962" t="s">
        <v>19</v>
      </c>
      <c r="C962" t="s">
        <v>13</v>
      </c>
      <c r="D962">
        <v>7</v>
      </c>
      <c r="E962" t="s">
        <v>14</v>
      </c>
      <c r="F962" t="s">
        <v>15</v>
      </c>
      <c r="G962">
        <v>29.8</v>
      </c>
      <c r="H962">
        <v>220.45</v>
      </c>
      <c r="I962" t="s">
        <v>15</v>
      </c>
      <c r="J962" t="s">
        <v>15</v>
      </c>
      <c r="K962" t="s">
        <v>24</v>
      </c>
      <c r="L962">
        <v>220.45</v>
      </c>
      <c r="M962" t="s">
        <v>5030</v>
      </c>
      <c r="N962" t="s">
        <v>5031</v>
      </c>
    </row>
    <row r="963" spans="1:14" x14ac:dyDescent="0.3">
      <c r="A963" t="s">
        <v>987</v>
      </c>
      <c r="B963" t="s">
        <v>19</v>
      </c>
      <c r="C963" t="s">
        <v>20</v>
      </c>
      <c r="D963">
        <v>17</v>
      </c>
      <c r="E963" t="s">
        <v>15</v>
      </c>
      <c r="F963" t="s">
        <v>36</v>
      </c>
      <c r="G963">
        <v>20.5</v>
      </c>
      <c r="H963">
        <v>365.8</v>
      </c>
      <c r="I963" t="s">
        <v>15</v>
      </c>
      <c r="J963" t="s">
        <v>16</v>
      </c>
      <c r="K963" t="s">
        <v>21</v>
      </c>
      <c r="L963">
        <v>365.8</v>
      </c>
      <c r="M963" t="s">
        <v>5032</v>
      </c>
      <c r="N963" t="s">
        <v>5031</v>
      </c>
    </row>
    <row r="964" spans="1:14" x14ac:dyDescent="0.3">
      <c r="A964" t="s">
        <v>988</v>
      </c>
      <c r="B964" t="s">
        <v>19</v>
      </c>
      <c r="C964" t="s">
        <v>13</v>
      </c>
      <c r="D964">
        <v>8</v>
      </c>
      <c r="E964" t="s">
        <v>14</v>
      </c>
      <c r="F964" t="s">
        <v>15</v>
      </c>
      <c r="G964">
        <v>60.9</v>
      </c>
      <c r="H964">
        <v>551.95000000000005</v>
      </c>
      <c r="I964" t="s">
        <v>15</v>
      </c>
      <c r="J964" t="s">
        <v>15</v>
      </c>
      <c r="K964" t="s">
        <v>24</v>
      </c>
      <c r="L964">
        <v>551.95000000000005</v>
      </c>
      <c r="M964" t="s">
        <v>5030</v>
      </c>
      <c r="N964" t="s">
        <v>5031</v>
      </c>
    </row>
    <row r="965" spans="1:14" x14ac:dyDescent="0.3">
      <c r="A965" t="s">
        <v>989</v>
      </c>
      <c r="B965" t="s">
        <v>12</v>
      </c>
      <c r="C965" t="s">
        <v>35</v>
      </c>
      <c r="D965">
        <v>56</v>
      </c>
      <c r="E965" t="s">
        <v>14</v>
      </c>
      <c r="F965" t="s">
        <v>16</v>
      </c>
      <c r="G965">
        <v>73.25</v>
      </c>
      <c r="H965">
        <v>4054.2</v>
      </c>
      <c r="I965" t="s">
        <v>15</v>
      </c>
      <c r="J965" t="s">
        <v>15</v>
      </c>
      <c r="K965" t="s">
        <v>24</v>
      </c>
      <c r="L965">
        <v>4054.2</v>
      </c>
      <c r="M965" t="s">
        <v>5033</v>
      </c>
      <c r="N965" t="s">
        <v>5034</v>
      </c>
    </row>
    <row r="966" spans="1:14" x14ac:dyDescent="0.3">
      <c r="A966" t="s">
        <v>990</v>
      </c>
      <c r="B966" t="s">
        <v>19</v>
      </c>
      <c r="C966" t="s">
        <v>13</v>
      </c>
      <c r="D966">
        <v>1</v>
      </c>
      <c r="E966" t="s">
        <v>14</v>
      </c>
      <c r="F966" t="s">
        <v>15</v>
      </c>
      <c r="G966">
        <v>45.7</v>
      </c>
      <c r="H966">
        <v>45.7</v>
      </c>
      <c r="I966" t="s">
        <v>16</v>
      </c>
      <c r="J966" t="s">
        <v>16</v>
      </c>
      <c r="K966" t="s">
        <v>21</v>
      </c>
      <c r="L966">
        <v>45.7</v>
      </c>
      <c r="M966" t="s">
        <v>5030</v>
      </c>
      <c r="N966" t="s">
        <v>5031</v>
      </c>
    </row>
    <row r="967" spans="1:14" x14ac:dyDescent="0.3">
      <c r="A967" t="s">
        <v>991</v>
      </c>
      <c r="B967" t="s">
        <v>19</v>
      </c>
      <c r="C967" t="s">
        <v>13</v>
      </c>
      <c r="D967">
        <v>8</v>
      </c>
      <c r="E967" t="s">
        <v>26</v>
      </c>
      <c r="F967" t="s">
        <v>16</v>
      </c>
      <c r="G967">
        <v>100.3</v>
      </c>
      <c r="H967">
        <v>832.35</v>
      </c>
      <c r="I967" t="s">
        <v>16</v>
      </c>
      <c r="J967" t="s">
        <v>15</v>
      </c>
      <c r="K967" t="s">
        <v>29</v>
      </c>
      <c r="L967">
        <v>832.35</v>
      </c>
      <c r="M967" t="s">
        <v>5030</v>
      </c>
      <c r="N967" t="s">
        <v>5031</v>
      </c>
    </row>
    <row r="968" spans="1:14" x14ac:dyDescent="0.3">
      <c r="A968" t="s">
        <v>992</v>
      </c>
      <c r="B968" t="s">
        <v>19</v>
      </c>
      <c r="C968" t="s">
        <v>13</v>
      </c>
      <c r="D968">
        <v>7</v>
      </c>
      <c r="E968" t="s">
        <v>15</v>
      </c>
      <c r="F968" t="s">
        <v>36</v>
      </c>
      <c r="G968">
        <v>19.25</v>
      </c>
      <c r="H968">
        <v>112.3</v>
      </c>
      <c r="I968" t="s">
        <v>16</v>
      </c>
      <c r="J968" t="s">
        <v>15</v>
      </c>
      <c r="K968" t="s">
        <v>17</v>
      </c>
      <c r="L968">
        <v>112.3</v>
      </c>
      <c r="M968" t="s">
        <v>5030</v>
      </c>
      <c r="N968" t="s">
        <v>5031</v>
      </c>
    </row>
    <row r="969" spans="1:14" x14ac:dyDescent="0.3">
      <c r="A969" t="s">
        <v>993</v>
      </c>
      <c r="B969" t="s">
        <v>19</v>
      </c>
      <c r="C969" t="s">
        <v>13</v>
      </c>
      <c r="D969">
        <v>3</v>
      </c>
      <c r="E969" t="s">
        <v>15</v>
      </c>
      <c r="F969" t="s">
        <v>36</v>
      </c>
      <c r="G969">
        <v>20.85</v>
      </c>
      <c r="H969">
        <v>60.65</v>
      </c>
      <c r="I969" t="s">
        <v>15</v>
      </c>
      <c r="J969" t="s">
        <v>15</v>
      </c>
      <c r="K969" t="s">
        <v>21</v>
      </c>
      <c r="L969">
        <v>60.65</v>
      </c>
      <c r="M969" t="s">
        <v>5030</v>
      </c>
      <c r="N969" t="s">
        <v>5031</v>
      </c>
    </row>
    <row r="970" spans="1:14" x14ac:dyDescent="0.3">
      <c r="A970" t="s">
        <v>994</v>
      </c>
      <c r="B970" t="s">
        <v>12</v>
      </c>
      <c r="C970" t="s">
        <v>35</v>
      </c>
      <c r="D970">
        <v>71</v>
      </c>
      <c r="E970" t="s">
        <v>14</v>
      </c>
      <c r="F970" t="s">
        <v>16</v>
      </c>
      <c r="G970">
        <v>77.349999999999994</v>
      </c>
      <c r="H970">
        <v>5550.1</v>
      </c>
      <c r="I970" t="s">
        <v>15</v>
      </c>
      <c r="J970" t="s">
        <v>15</v>
      </c>
      <c r="K970" t="s">
        <v>29</v>
      </c>
      <c r="L970">
        <v>5550.1</v>
      </c>
      <c r="M970" t="s">
        <v>5033</v>
      </c>
      <c r="N970" t="s">
        <v>5034</v>
      </c>
    </row>
    <row r="971" spans="1:14" x14ac:dyDescent="0.3">
      <c r="A971" t="s">
        <v>995</v>
      </c>
      <c r="B971" t="s">
        <v>12</v>
      </c>
      <c r="C971" t="s">
        <v>13</v>
      </c>
      <c r="D971">
        <v>2</v>
      </c>
      <c r="E971" t="s">
        <v>26</v>
      </c>
      <c r="F971" t="s">
        <v>15</v>
      </c>
      <c r="G971">
        <v>96</v>
      </c>
      <c r="H971">
        <v>174.8</v>
      </c>
      <c r="I971" t="s">
        <v>16</v>
      </c>
      <c r="J971" t="s">
        <v>16</v>
      </c>
      <c r="K971" t="s">
        <v>17</v>
      </c>
      <c r="L971">
        <v>174.8</v>
      </c>
      <c r="M971" t="s">
        <v>5030</v>
      </c>
      <c r="N971" t="s">
        <v>5031</v>
      </c>
    </row>
    <row r="972" spans="1:14" x14ac:dyDescent="0.3">
      <c r="A972" t="s">
        <v>996</v>
      </c>
      <c r="B972" t="s">
        <v>12</v>
      </c>
      <c r="C972" t="s">
        <v>13</v>
      </c>
      <c r="D972">
        <v>1</v>
      </c>
      <c r="E972" t="s">
        <v>26</v>
      </c>
      <c r="F972" t="s">
        <v>15</v>
      </c>
      <c r="G972">
        <v>90.55</v>
      </c>
      <c r="H972">
        <v>90.55</v>
      </c>
      <c r="I972" t="s">
        <v>16</v>
      </c>
      <c r="J972" t="s">
        <v>15</v>
      </c>
      <c r="K972" t="s">
        <v>17</v>
      </c>
      <c r="L972">
        <v>90.55</v>
      </c>
      <c r="M972" t="s">
        <v>5030</v>
      </c>
      <c r="N972" t="s">
        <v>5031</v>
      </c>
    </row>
    <row r="973" spans="1:14" x14ac:dyDescent="0.3">
      <c r="A973" t="s">
        <v>997</v>
      </c>
      <c r="B973" t="s">
        <v>19</v>
      </c>
      <c r="C973" t="s">
        <v>13</v>
      </c>
      <c r="D973">
        <v>49</v>
      </c>
      <c r="E973" t="s">
        <v>26</v>
      </c>
      <c r="F973" t="s">
        <v>15</v>
      </c>
      <c r="G973">
        <v>93.85</v>
      </c>
      <c r="H973">
        <v>4733.1000000000004</v>
      </c>
      <c r="I973" t="s">
        <v>15</v>
      </c>
      <c r="J973" t="s">
        <v>16</v>
      </c>
      <c r="K973" t="s">
        <v>24</v>
      </c>
      <c r="L973">
        <v>4733.1000000000004</v>
      </c>
      <c r="M973" t="s">
        <v>5033</v>
      </c>
      <c r="N973" t="s">
        <v>5034</v>
      </c>
    </row>
    <row r="974" spans="1:14" x14ac:dyDescent="0.3">
      <c r="A974" t="s">
        <v>998</v>
      </c>
      <c r="B974" t="s">
        <v>19</v>
      </c>
      <c r="C974" t="s">
        <v>35</v>
      </c>
      <c r="D974">
        <v>58</v>
      </c>
      <c r="E974" t="s">
        <v>14</v>
      </c>
      <c r="F974" t="s">
        <v>16</v>
      </c>
      <c r="G974">
        <v>70.099999999999994</v>
      </c>
      <c r="H974">
        <v>4048.95</v>
      </c>
      <c r="I974" t="s">
        <v>15</v>
      </c>
      <c r="J974" t="s">
        <v>15</v>
      </c>
      <c r="K974" t="s">
        <v>24</v>
      </c>
      <c r="L974">
        <v>4048.95</v>
      </c>
      <c r="M974" t="s">
        <v>5033</v>
      </c>
      <c r="N974" t="s">
        <v>5034</v>
      </c>
    </row>
    <row r="975" spans="1:14" x14ac:dyDescent="0.3">
      <c r="A975" t="s">
        <v>999</v>
      </c>
      <c r="B975" t="s">
        <v>19</v>
      </c>
      <c r="C975" t="s">
        <v>13</v>
      </c>
      <c r="D975">
        <v>44</v>
      </c>
      <c r="E975" t="s">
        <v>14</v>
      </c>
      <c r="F975" t="s">
        <v>15</v>
      </c>
      <c r="G975">
        <v>30.35</v>
      </c>
      <c r="H975">
        <v>1359.7</v>
      </c>
      <c r="I975" t="s">
        <v>16</v>
      </c>
      <c r="J975" t="s">
        <v>16</v>
      </c>
      <c r="K975" t="s">
        <v>17</v>
      </c>
      <c r="L975">
        <v>1359.7</v>
      </c>
      <c r="M975" t="s">
        <v>5033</v>
      </c>
      <c r="N975" t="s">
        <v>5031</v>
      </c>
    </row>
    <row r="976" spans="1:14" x14ac:dyDescent="0.3">
      <c r="A976" t="s">
        <v>1000</v>
      </c>
      <c r="B976" t="s">
        <v>12</v>
      </c>
      <c r="C976" t="s">
        <v>35</v>
      </c>
      <c r="D976">
        <v>59</v>
      </c>
      <c r="E976" t="s">
        <v>14</v>
      </c>
      <c r="F976" t="s">
        <v>16</v>
      </c>
      <c r="G976">
        <v>75.95</v>
      </c>
      <c r="H976">
        <v>4542.3500000000004</v>
      </c>
      <c r="I976" t="s">
        <v>15</v>
      </c>
      <c r="J976" t="s">
        <v>16</v>
      </c>
      <c r="K976" t="s">
        <v>29</v>
      </c>
      <c r="L976">
        <v>4542.3500000000004</v>
      </c>
      <c r="M976" t="s">
        <v>5033</v>
      </c>
      <c r="N976" t="s">
        <v>5034</v>
      </c>
    </row>
    <row r="977" spans="1:14" x14ac:dyDescent="0.3">
      <c r="A977" t="s">
        <v>1001</v>
      </c>
      <c r="B977" t="s">
        <v>19</v>
      </c>
      <c r="C977" t="s">
        <v>35</v>
      </c>
      <c r="D977">
        <v>71</v>
      </c>
      <c r="E977" t="s">
        <v>26</v>
      </c>
      <c r="F977" t="s">
        <v>16</v>
      </c>
      <c r="G977">
        <v>108.05</v>
      </c>
      <c r="H977">
        <v>7532.15</v>
      </c>
      <c r="I977" t="s">
        <v>16</v>
      </c>
      <c r="J977" t="s">
        <v>16</v>
      </c>
      <c r="K977" t="s">
        <v>17</v>
      </c>
      <c r="L977">
        <v>7532.15</v>
      </c>
      <c r="M977" t="s">
        <v>5033</v>
      </c>
      <c r="N977" t="s">
        <v>5034</v>
      </c>
    </row>
    <row r="978" spans="1:14" x14ac:dyDescent="0.3">
      <c r="A978" t="s">
        <v>1002</v>
      </c>
      <c r="B978" t="s">
        <v>19</v>
      </c>
      <c r="C978" t="s">
        <v>13</v>
      </c>
      <c r="D978">
        <v>1</v>
      </c>
      <c r="E978" t="s">
        <v>26</v>
      </c>
      <c r="F978" t="s">
        <v>15</v>
      </c>
      <c r="G978">
        <v>69.900000000000006</v>
      </c>
      <c r="H978">
        <v>69.900000000000006</v>
      </c>
      <c r="I978" t="s">
        <v>16</v>
      </c>
      <c r="J978" t="s">
        <v>16</v>
      </c>
      <c r="K978" t="s">
        <v>17</v>
      </c>
      <c r="L978">
        <v>69.900000000000006</v>
      </c>
      <c r="M978" t="s">
        <v>5030</v>
      </c>
      <c r="N978" t="s">
        <v>5031</v>
      </c>
    </row>
    <row r="979" spans="1:14" x14ac:dyDescent="0.3">
      <c r="A979" t="s">
        <v>1003</v>
      </c>
      <c r="B979" t="s">
        <v>12</v>
      </c>
      <c r="C979" t="s">
        <v>13</v>
      </c>
      <c r="D979">
        <v>11</v>
      </c>
      <c r="E979" t="s">
        <v>26</v>
      </c>
      <c r="F979" t="s">
        <v>15</v>
      </c>
      <c r="G979">
        <v>75.25</v>
      </c>
      <c r="H979">
        <v>888.65</v>
      </c>
      <c r="I979" t="s">
        <v>15</v>
      </c>
      <c r="J979" t="s">
        <v>15</v>
      </c>
      <c r="K979" t="s">
        <v>17</v>
      </c>
      <c r="L979">
        <v>888.65</v>
      </c>
      <c r="M979" t="s">
        <v>5030</v>
      </c>
      <c r="N979" t="s">
        <v>5031</v>
      </c>
    </row>
    <row r="980" spans="1:14" x14ac:dyDescent="0.3">
      <c r="A980" t="s">
        <v>1004</v>
      </c>
      <c r="B980" t="s">
        <v>19</v>
      </c>
      <c r="C980" t="s">
        <v>20</v>
      </c>
      <c r="D980">
        <v>62</v>
      </c>
      <c r="E980" t="s">
        <v>26</v>
      </c>
      <c r="F980" t="s">
        <v>15</v>
      </c>
      <c r="G980">
        <v>103.75</v>
      </c>
      <c r="H980">
        <v>6383.35</v>
      </c>
      <c r="I980" t="s">
        <v>16</v>
      </c>
      <c r="J980" t="s">
        <v>16</v>
      </c>
      <c r="K980" t="s">
        <v>17</v>
      </c>
      <c r="L980">
        <v>6383.35</v>
      </c>
      <c r="M980" t="s">
        <v>5033</v>
      </c>
      <c r="N980" t="s">
        <v>5034</v>
      </c>
    </row>
    <row r="981" spans="1:14" x14ac:dyDescent="0.3">
      <c r="A981" t="s">
        <v>1005</v>
      </c>
      <c r="B981" t="s">
        <v>12</v>
      </c>
      <c r="C981" t="s">
        <v>20</v>
      </c>
      <c r="D981">
        <v>35</v>
      </c>
      <c r="E981" t="s">
        <v>14</v>
      </c>
      <c r="F981" t="s">
        <v>16</v>
      </c>
      <c r="G981">
        <v>54.95</v>
      </c>
      <c r="H981">
        <v>1916</v>
      </c>
      <c r="I981" t="s">
        <v>15</v>
      </c>
      <c r="J981" t="s">
        <v>16</v>
      </c>
      <c r="K981" t="s">
        <v>24</v>
      </c>
      <c r="L981">
        <v>1916</v>
      </c>
      <c r="M981" t="s">
        <v>5032</v>
      </c>
      <c r="N981" t="s">
        <v>5031</v>
      </c>
    </row>
    <row r="982" spans="1:14" x14ac:dyDescent="0.3">
      <c r="A982" t="s">
        <v>1006</v>
      </c>
      <c r="B982" t="s">
        <v>12</v>
      </c>
      <c r="C982" t="s">
        <v>13</v>
      </c>
      <c r="D982">
        <v>20</v>
      </c>
      <c r="E982" t="s">
        <v>15</v>
      </c>
      <c r="F982" t="s">
        <v>36</v>
      </c>
      <c r="G982">
        <v>19.5</v>
      </c>
      <c r="H982">
        <v>413</v>
      </c>
      <c r="I982" t="s">
        <v>15</v>
      </c>
      <c r="J982" t="s">
        <v>16</v>
      </c>
      <c r="K982" t="s">
        <v>24</v>
      </c>
      <c r="L982">
        <v>413</v>
      </c>
      <c r="M982" t="s">
        <v>5032</v>
      </c>
      <c r="N982" t="s">
        <v>5031</v>
      </c>
    </row>
    <row r="983" spans="1:14" x14ac:dyDescent="0.3">
      <c r="A983" t="s">
        <v>1007</v>
      </c>
      <c r="B983" t="s">
        <v>19</v>
      </c>
      <c r="C983" t="s">
        <v>35</v>
      </c>
      <c r="D983">
        <v>40</v>
      </c>
      <c r="E983" t="s">
        <v>15</v>
      </c>
      <c r="F983" t="s">
        <v>36</v>
      </c>
      <c r="G983">
        <v>19.600000000000001</v>
      </c>
      <c r="H983">
        <v>808.95</v>
      </c>
      <c r="I983" t="s">
        <v>15</v>
      </c>
      <c r="J983" t="s">
        <v>15</v>
      </c>
      <c r="K983" t="s">
        <v>21</v>
      </c>
      <c r="L983">
        <v>808.95</v>
      </c>
      <c r="M983" t="s">
        <v>5033</v>
      </c>
      <c r="N983" t="s">
        <v>5031</v>
      </c>
    </row>
    <row r="984" spans="1:14" x14ac:dyDescent="0.3">
      <c r="A984" t="s">
        <v>1008</v>
      </c>
      <c r="B984" t="s">
        <v>12</v>
      </c>
      <c r="C984" t="s">
        <v>20</v>
      </c>
      <c r="D984">
        <v>39</v>
      </c>
      <c r="E984" t="s">
        <v>14</v>
      </c>
      <c r="F984" t="s">
        <v>15</v>
      </c>
      <c r="G984">
        <v>47.85</v>
      </c>
      <c r="H984">
        <v>1886.4</v>
      </c>
      <c r="I984" t="s">
        <v>15</v>
      </c>
      <c r="J984" t="s">
        <v>16</v>
      </c>
      <c r="K984" t="s">
        <v>17</v>
      </c>
      <c r="L984">
        <v>1886.4</v>
      </c>
      <c r="M984" t="s">
        <v>5033</v>
      </c>
      <c r="N984" t="s">
        <v>5031</v>
      </c>
    </row>
    <row r="985" spans="1:14" x14ac:dyDescent="0.3">
      <c r="A985" t="s">
        <v>1009</v>
      </c>
      <c r="B985" t="s">
        <v>19</v>
      </c>
      <c r="C985" t="s">
        <v>13</v>
      </c>
      <c r="D985">
        <v>1</v>
      </c>
      <c r="E985" t="s">
        <v>26</v>
      </c>
      <c r="F985" t="s">
        <v>15</v>
      </c>
      <c r="G985">
        <v>86.6</v>
      </c>
      <c r="H985">
        <v>86.6</v>
      </c>
      <c r="I985" t="s">
        <v>16</v>
      </c>
      <c r="J985" t="s">
        <v>16</v>
      </c>
      <c r="K985" t="s">
        <v>17</v>
      </c>
      <c r="L985">
        <v>86.6</v>
      </c>
      <c r="M985" t="s">
        <v>5030</v>
      </c>
      <c r="N985" t="s">
        <v>5031</v>
      </c>
    </row>
    <row r="986" spans="1:14" x14ac:dyDescent="0.3">
      <c r="A986" t="s">
        <v>1010</v>
      </c>
      <c r="B986" t="s">
        <v>12</v>
      </c>
      <c r="C986" t="s">
        <v>35</v>
      </c>
      <c r="D986">
        <v>72</v>
      </c>
      <c r="E986" t="s">
        <v>15</v>
      </c>
      <c r="F986" t="s">
        <v>36</v>
      </c>
      <c r="G986">
        <v>23.75</v>
      </c>
      <c r="H986">
        <v>1679.25</v>
      </c>
      <c r="I986" t="s">
        <v>15</v>
      </c>
      <c r="J986" t="s">
        <v>15</v>
      </c>
      <c r="K986" t="s">
        <v>24</v>
      </c>
      <c r="L986">
        <v>1679.25</v>
      </c>
      <c r="M986" t="s">
        <v>5033</v>
      </c>
      <c r="N986" t="s">
        <v>5031</v>
      </c>
    </row>
    <row r="987" spans="1:14" x14ac:dyDescent="0.3">
      <c r="A987" t="s">
        <v>1011</v>
      </c>
      <c r="B987" t="s">
        <v>12</v>
      </c>
      <c r="C987" t="s">
        <v>13</v>
      </c>
      <c r="D987">
        <v>33</v>
      </c>
      <c r="E987" t="s">
        <v>26</v>
      </c>
      <c r="F987" t="s">
        <v>15</v>
      </c>
      <c r="G987">
        <v>80.599999999999994</v>
      </c>
      <c r="H987">
        <v>2656.5</v>
      </c>
      <c r="I987" t="s">
        <v>16</v>
      </c>
      <c r="J987" t="s">
        <v>16</v>
      </c>
      <c r="K987" t="s">
        <v>24</v>
      </c>
      <c r="L987">
        <v>2656.5</v>
      </c>
      <c r="M987" t="s">
        <v>5032</v>
      </c>
      <c r="N987" t="s">
        <v>5034</v>
      </c>
    </row>
    <row r="988" spans="1:14" x14ac:dyDescent="0.3">
      <c r="A988" t="s">
        <v>1012</v>
      </c>
      <c r="B988" t="s">
        <v>12</v>
      </c>
      <c r="C988" t="s">
        <v>13</v>
      </c>
      <c r="D988">
        <v>12</v>
      </c>
      <c r="E988" t="s">
        <v>14</v>
      </c>
      <c r="F988" t="s">
        <v>15</v>
      </c>
      <c r="G988">
        <v>43.8</v>
      </c>
      <c r="H988">
        <v>540.95000000000005</v>
      </c>
      <c r="I988" t="s">
        <v>15</v>
      </c>
      <c r="J988" t="s">
        <v>15</v>
      </c>
      <c r="K988" t="s">
        <v>24</v>
      </c>
      <c r="L988">
        <v>540.95000000000005</v>
      </c>
      <c r="M988" t="s">
        <v>5030</v>
      </c>
      <c r="N988" t="s">
        <v>5031</v>
      </c>
    </row>
    <row r="989" spans="1:14" x14ac:dyDescent="0.3">
      <c r="A989" t="s">
        <v>1013</v>
      </c>
      <c r="B989" t="s">
        <v>19</v>
      </c>
      <c r="C989" t="s">
        <v>13</v>
      </c>
      <c r="D989">
        <v>1</v>
      </c>
      <c r="E989" t="s">
        <v>15</v>
      </c>
      <c r="F989" t="s">
        <v>36</v>
      </c>
      <c r="G989">
        <v>19.75</v>
      </c>
      <c r="H989">
        <v>19.75</v>
      </c>
      <c r="I989" t="s">
        <v>15</v>
      </c>
      <c r="J989" t="s">
        <v>15</v>
      </c>
      <c r="K989" t="s">
        <v>24</v>
      </c>
      <c r="L989">
        <v>19.75</v>
      </c>
      <c r="M989" t="s">
        <v>5030</v>
      </c>
      <c r="N989" t="s">
        <v>5031</v>
      </c>
    </row>
    <row r="990" spans="1:14" x14ac:dyDescent="0.3">
      <c r="A990" t="s">
        <v>1014</v>
      </c>
      <c r="B990" t="s">
        <v>19</v>
      </c>
      <c r="C990" t="s">
        <v>13</v>
      </c>
      <c r="D990">
        <v>27</v>
      </c>
      <c r="E990" t="s">
        <v>15</v>
      </c>
      <c r="F990" t="s">
        <v>36</v>
      </c>
      <c r="G990">
        <v>19.149999999999999</v>
      </c>
      <c r="H990">
        <v>537.35</v>
      </c>
      <c r="I990" t="s">
        <v>15</v>
      </c>
      <c r="J990" t="s">
        <v>15</v>
      </c>
      <c r="K990" t="s">
        <v>21</v>
      </c>
      <c r="L990">
        <v>537.35</v>
      </c>
      <c r="M990" t="s">
        <v>5032</v>
      </c>
      <c r="N990" t="s">
        <v>5031</v>
      </c>
    </row>
    <row r="991" spans="1:14" x14ac:dyDescent="0.3">
      <c r="A991" t="s">
        <v>1015</v>
      </c>
      <c r="B991" t="s">
        <v>19</v>
      </c>
      <c r="C991" t="s">
        <v>20</v>
      </c>
      <c r="D991">
        <v>34</v>
      </c>
      <c r="E991" t="s">
        <v>15</v>
      </c>
      <c r="F991" t="s">
        <v>36</v>
      </c>
      <c r="G991">
        <v>19.600000000000001</v>
      </c>
      <c r="H991">
        <v>678.8</v>
      </c>
      <c r="I991" t="s">
        <v>15</v>
      </c>
      <c r="J991" t="s">
        <v>15</v>
      </c>
      <c r="K991" t="s">
        <v>29</v>
      </c>
      <c r="L991">
        <v>678.8</v>
      </c>
      <c r="M991" t="s">
        <v>5032</v>
      </c>
      <c r="N991" t="s">
        <v>5031</v>
      </c>
    </row>
    <row r="992" spans="1:14" x14ac:dyDescent="0.3">
      <c r="A992" t="s">
        <v>1016</v>
      </c>
      <c r="B992" t="s">
        <v>12</v>
      </c>
      <c r="C992" t="s">
        <v>35</v>
      </c>
      <c r="D992">
        <v>56</v>
      </c>
      <c r="E992" t="s">
        <v>26</v>
      </c>
      <c r="F992" t="s">
        <v>15</v>
      </c>
      <c r="G992">
        <v>80.3</v>
      </c>
      <c r="H992">
        <v>4513.6499999999996</v>
      </c>
      <c r="I992" t="s">
        <v>15</v>
      </c>
      <c r="J992" t="s">
        <v>15</v>
      </c>
      <c r="K992" t="s">
        <v>24</v>
      </c>
      <c r="L992">
        <v>4513.6499999999996</v>
      </c>
      <c r="M992" t="s">
        <v>5033</v>
      </c>
      <c r="N992" t="s">
        <v>5034</v>
      </c>
    </row>
    <row r="993" spans="1:14" x14ac:dyDescent="0.3">
      <c r="A993" t="s">
        <v>1017</v>
      </c>
      <c r="B993" t="s">
        <v>12</v>
      </c>
      <c r="C993" t="s">
        <v>35</v>
      </c>
      <c r="D993">
        <v>58</v>
      </c>
      <c r="E993" t="s">
        <v>15</v>
      </c>
      <c r="F993" t="s">
        <v>36</v>
      </c>
      <c r="G993">
        <v>24.35</v>
      </c>
      <c r="H993">
        <v>1423.85</v>
      </c>
      <c r="I993" t="s">
        <v>15</v>
      </c>
      <c r="J993" t="s">
        <v>15</v>
      </c>
      <c r="K993" t="s">
        <v>29</v>
      </c>
      <c r="L993">
        <v>1423.85</v>
      </c>
      <c r="M993" t="s">
        <v>5033</v>
      </c>
      <c r="N993" t="s">
        <v>5031</v>
      </c>
    </row>
    <row r="994" spans="1:14" x14ac:dyDescent="0.3">
      <c r="A994" t="s">
        <v>1018</v>
      </c>
      <c r="B994" t="s">
        <v>12</v>
      </c>
      <c r="C994" t="s">
        <v>35</v>
      </c>
      <c r="D994">
        <v>22</v>
      </c>
      <c r="E994" t="s">
        <v>15</v>
      </c>
      <c r="F994" t="s">
        <v>36</v>
      </c>
      <c r="G994">
        <v>25.25</v>
      </c>
      <c r="H994">
        <v>555.4</v>
      </c>
      <c r="I994" t="s">
        <v>15</v>
      </c>
      <c r="J994" t="s">
        <v>15</v>
      </c>
      <c r="K994" t="s">
        <v>29</v>
      </c>
      <c r="L994">
        <v>555.4</v>
      </c>
      <c r="M994" t="s">
        <v>5032</v>
      </c>
      <c r="N994" t="s">
        <v>5031</v>
      </c>
    </row>
    <row r="995" spans="1:14" x14ac:dyDescent="0.3">
      <c r="A995" t="s">
        <v>1019</v>
      </c>
      <c r="B995" t="s">
        <v>12</v>
      </c>
      <c r="C995" t="s">
        <v>35</v>
      </c>
      <c r="D995">
        <v>10</v>
      </c>
      <c r="E995" t="s">
        <v>15</v>
      </c>
      <c r="F995" t="s">
        <v>36</v>
      </c>
      <c r="G995">
        <v>26.1</v>
      </c>
      <c r="H995">
        <v>225.55</v>
      </c>
      <c r="I995" t="s">
        <v>15</v>
      </c>
      <c r="J995" t="s">
        <v>15</v>
      </c>
      <c r="K995" t="s">
        <v>29</v>
      </c>
      <c r="L995">
        <v>225.55</v>
      </c>
      <c r="M995" t="s">
        <v>5030</v>
      </c>
      <c r="N995" t="s">
        <v>5031</v>
      </c>
    </row>
    <row r="996" spans="1:14" x14ac:dyDescent="0.3">
      <c r="A996" t="s">
        <v>1020</v>
      </c>
      <c r="B996" t="s">
        <v>19</v>
      </c>
      <c r="C996" t="s">
        <v>35</v>
      </c>
      <c r="D996">
        <v>13</v>
      </c>
      <c r="E996" t="s">
        <v>15</v>
      </c>
      <c r="F996" t="s">
        <v>36</v>
      </c>
      <c r="G996">
        <v>20</v>
      </c>
      <c r="H996">
        <v>268.45</v>
      </c>
      <c r="I996" t="s">
        <v>15</v>
      </c>
      <c r="J996" t="s">
        <v>15</v>
      </c>
      <c r="K996" t="s">
        <v>29</v>
      </c>
      <c r="L996">
        <v>268.45</v>
      </c>
      <c r="M996" t="s">
        <v>5032</v>
      </c>
      <c r="N996" t="s">
        <v>5031</v>
      </c>
    </row>
    <row r="997" spans="1:14" x14ac:dyDescent="0.3">
      <c r="A997" t="s">
        <v>1021</v>
      </c>
      <c r="B997" t="s">
        <v>12</v>
      </c>
      <c r="C997" t="s">
        <v>13</v>
      </c>
      <c r="D997">
        <v>35</v>
      </c>
      <c r="E997" t="s">
        <v>26</v>
      </c>
      <c r="F997" t="s">
        <v>16</v>
      </c>
      <c r="G997">
        <v>85.3</v>
      </c>
      <c r="H997">
        <v>2917.5</v>
      </c>
      <c r="I997" t="s">
        <v>16</v>
      </c>
      <c r="J997" t="s">
        <v>15</v>
      </c>
      <c r="K997" t="s">
        <v>29</v>
      </c>
      <c r="L997">
        <v>2917.5</v>
      </c>
      <c r="M997" t="s">
        <v>5032</v>
      </c>
      <c r="N997" t="s">
        <v>5034</v>
      </c>
    </row>
    <row r="998" spans="1:14" x14ac:dyDescent="0.3">
      <c r="A998" t="s">
        <v>1022</v>
      </c>
      <c r="B998" t="s">
        <v>12</v>
      </c>
      <c r="C998" t="s">
        <v>13</v>
      </c>
      <c r="D998">
        <v>34</v>
      </c>
      <c r="E998" t="s">
        <v>26</v>
      </c>
      <c r="F998" t="s">
        <v>15</v>
      </c>
      <c r="G998">
        <v>70</v>
      </c>
      <c r="H998">
        <v>2416.1</v>
      </c>
      <c r="I998" t="s">
        <v>16</v>
      </c>
      <c r="J998" t="s">
        <v>16</v>
      </c>
      <c r="K998" t="s">
        <v>29</v>
      </c>
      <c r="L998">
        <v>2416.1</v>
      </c>
      <c r="M998" t="s">
        <v>5032</v>
      </c>
      <c r="N998" t="s">
        <v>5031</v>
      </c>
    </row>
    <row r="999" spans="1:14" x14ac:dyDescent="0.3">
      <c r="A999" t="s">
        <v>1023</v>
      </c>
      <c r="B999" t="s">
        <v>12</v>
      </c>
      <c r="C999" t="s">
        <v>13</v>
      </c>
      <c r="D999">
        <v>4</v>
      </c>
      <c r="E999" t="s">
        <v>26</v>
      </c>
      <c r="F999" t="s">
        <v>15</v>
      </c>
      <c r="G999">
        <v>94.3</v>
      </c>
      <c r="H999">
        <v>424.45</v>
      </c>
      <c r="I999" t="s">
        <v>16</v>
      </c>
      <c r="J999" t="s">
        <v>16</v>
      </c>
      <c r="K999" t="s">
        <v>17</v>
      </c>
      <c r="L999">
        <v>424.45</v>
      </c>
      <c r="M999" t="s">
        <v>5030</v>
      </c>
      <c r="N999" t="s">
        <v>5031</v>
      </c>
    </row>
    <row r="1000" spans="1:14" x14ac:dyDescent="0.3">
      <c r="A1000" t="s">
        <v>1024</v>
      </c>
      <c r="B1000" t="s">
        <v>19</v>
      </c>
      <c r="C1000" t="s">
        <v>35</v>
      </c>
      <c r="D1000">
        <v>72</v>
      </c>
      <c r="E1000" t="s">
        <v>15</v>
      </c>
      <c r="F1000" t="s">
        <v>36</v>
      </c>
      <c r="G1000">
        <v>20.7</v>
      </c>
      <c r="H1000">
        <v>1492.1</v>
      </c>
      <c r="I1000" t="s">
        <v>15</v>
      </c>
      <c r="J1000" t="s">
        <v>15</v>
      </c>
      <c r="K1000" t="s">
        <v>24</v>
      </c>
      <c r="L1000">
        <v>1492.1</v>
      </c>
      <c r="M1000" t="s">
        <v>5033</v>
      </c>
      <c r="N1000" t="s">
        <v>5031</v>
      </c>
    </row>
    <row r="1001" spans="1:14" x14ac:dyDescent="0.3">
      <c r="A1001" t="s">
        <v>1025</v>
      </c>
      <c r="B1001" t="s">
        <v>19</v>
      </c>
      <c r="C1001" t="s">
        <v>13</v>
      </c>
      <c r="D1001">
        <v>2</v>
      </c>
      <c r="E1001" t="s">
        <v>14</v>
      </c>
      <c r="F1001" t="s">
        <v>16</v>
      </c>
      <c r="G1001">
        <v>70.3</v>
      </c>
      <c r="H1001">
        <v>132.4</v>
      </c>
      <c r="I1001" t="s">
        <v>15</v>
      </c>
      <c r="J1001" t="s">
        <v>15</v>
      </c>
      <c r="K1001" t="s">
        <v>17</v>
      </c>
      <c r="L1001">
        <v>132.4</v>
      </c>
      <c r="M1001" t="s">
        <v>5030</v>
      </c>
      <c r="N1001" t="s">
        <v>5031</v>
      </c>
    </row>
    <row r="1002" spans="1:14" x14ac:dyDescent="0.3">
      <c r="A1002" t="s">
        <v>1026</v>
      </c>
      <c r="B1002" t="s">
        <v>12</v>
      </c>
      <c r="C1002" t="s">
        <v>13</v>
      </c>
      <c r="D1002">
        <v>7</v>
      </c>
      <c r="E1002" t="s">
        <v>26</v>
      </c>
      <c r="F1002" t="s">
        <v>15</v>
      </c>
      <c r="G1002">
        <v>95.35</v>
      </c>
      <c r="H1002">
        <v>660.9</v>
      </c>
      <c r="I1002" t="s">
        <v>16</v>
      </c>
      <c r="J1002" t="s">
        <v>16</v>
      </c>
      <c r="K1002" t="s">
        <v>17</v>
      </c>
      <c r="L1002">
        <v>660.9</v>
      </c>
      <c r="M1002" t="s">
        <v>5030</v>
      </c>
      <c r="N1002" t="s">
        <v>5031</v>
      </c>
    </row>
    <row r="1003" spans="1:14" x14ac:dyDescent="0.3">
      <c r="A1003" t="s">
        <v>1027</v>
      </c>
      <c r="B1003" t="s">
        <v>19</v>
      </c>
      <c r="C1003" t="s">
        <v>13</v>
      </c>
      <c r="D1003">
        <v>27</v>
      </c>
      <c r="E1003" t="s">
        <v>26</v>
      </c>
      <c r="F1003" t="s">
        <v>15</v>
      </c>
      <c r="G1003">
        <v>75.5</v>
      </c>
      <c r="H1003">
        <v>1893.95</v>
      </c>
      <c r="I1003" t="s">
        <v>16</v>
      </c>
      <c r="J1003" t="s">
        <v>16</v>
      </c>
      <c r="K1003" t="s">
        <v>17</v>
      </c>
      <c r="L1003">
        <v>1893.95</v>
      </c>
      <c r="M1003" t="s">
        <v>5032</v>
      </c>
      <c r="N1003" t="s">
        <v>5031</v>
      </c>
    </row>
    <row r="1004" spans="1:14" x14ac:dyDescent="0.3">
      <c r="A1004" t="s">
        <v>1028</v>
      </c>
      <c r="B1004" t="s">
        <v>19</v>
      </c>
      <c r="C1004" t="s">
        <v>13</v>
      </c>
      <c r="D1004">
        <v>4</v>
      </c>
      <c r="E1004" t="s">
        <v>26</v>
      </c>
      <c r="F1004" t="s">
        <v>15</v>
      </c>
      <c r="G1004">
        <v>69.55</v>
      </c>
      <c r="H1004">
        <v>284.89999999999998</v>
      </c>
      <c r="I1004" t="s">
        <v>15</v>
      </c>
      <c r="J1004" t="s">
        <v>16</v>
      </c>
      <c r="K1004" t="s">
        <v>21</v>
      </c>
      <c r="L1004">
        <v>284.89999999999998</v>
      </c>
      <c r="M1004" t="s">
        <v>5030</v>
      </c>
      <c r="N1004" t="s">
        <v>5031</v>
      </c>
    </row>
    <row r="1005" spans="1:14" x14ac:dyDescent="0.3">
      <c r="A1005" t="s">
        <v>1029</v>
      </c>
      <c r="B1005" t="s">
        <v>12</v>
      </c>
      <c r="C1005" t="s">
        <v>35</v>
      </c>
      <c r="D1005">
        <v>37</v>
      </c>
      <c r="E1005" t="s">
        <v>15</v>
      </c>
      <c r="F1005" t="s">
        <v>36</v>
      </c>
      <c r="G1005">
        <v>19.850000000000001</v>
      </c>
      <c r="H1005">
        <v>784.25</v>
      </c>
      <c r="I1005" t="s">
        <v>15</v>
      </c>
      <c r="J1005" t="s">
        <v>15</v>
      </c>
      <c r="K1005" t="s">
        <v>21</v>
      </c>
      <c r="L1005">
        <v>784.25</v>
      </c>
      <c r="M1005" t="s">
        <v>5033</v>
      </c>
      <c r="N1005" t="s">
        <v>5031</v>
      </c>
    </row>
    <row r="1006" spans="1:14" x14ac:dyDescent="0.3">
      <c r="A1006" t="s">
        <v>1030</v>
      </c>
      <c r="B1006" t="s">
        <v>19</v>
      </c>
      <c r="C1006" t="s">
        <v>13</v>
      </c>
      <c r="D1006">
        <v>21</v>
      </c>
      <c r="E1006" t="s">
        <v>15</v>
      </c>
      <c r="F1006" t="s">
        <v>36</v>
      </c>
      <c r="G1006">
        <v>20</v>
      </c>
      <c r="H1006">
        <v>417.7</v>
      </c>
      <c r="I1006" t="s">
        <v>15</v>
      </c>
      <c r="J1006" t="s">
        <v>15</v>
      </c>
      <c r="K1006" t="s">
        <v>21</v>
      </c>
      <c r="L1006">
        <v>417.7</v>
      </c>
      <c r="M1006" t="s">
        <v>5032</v>
      </c>
      <c r="N1006" t="s">
        <v>5031</v>
      </c>
    </row>
    <row r="1007" spans="1:14" x14ac:dyDescent="0.3">
      <c r="A1007" t="s">
        <v>1031</v>
      </c>
      <c r="B1007" t="s">
        <v>12</v>
      </c>
      <c r="C1007" t="s">
        <v>20</v>
      </c>
      <c r="D1007">
        <v>53</v>
      </c>
      <c r="E1007" t="s">
        <v>26</v>
      </c>
      <c r="F1007" t="s">
        <v>15</v>
      </c>
      <c r="G1007">
        <v>95.85</v>
      </c>
      <c r="H1007">
        <v>5016.25</v>
      </c>
      <c r="I1007" t="s">
        <v>15</v>
      </c>
      <c r="J1007" t="s">
        <v>16</v>
      </c>
      <c r="K1007" t="s">
        <v>29</v>
      </c>
      <c r="L1007">
        <v>5016.25</v>
      </c>
      <c r="M1007" t="s">
        <v>5033</v>
      </c>
      <c r="N1007" t="s">
        <v>5034</v>
      </c>
    </row>
    <row r="1008" spans="1:14" x14ac:dyDescent="0.3">
      <c r="A1008" t="s">
        <v>1032</v>
      </c>
      <c r="B1008" t="s">
        <v>12</v>
      </c>
      <c r="C1008" t="s">
        <v>13</v>
      </c>
      <c r="D1008">
        <v>18</v>
      </c>
      <c r="E1008" t="s">
        <v>26</v>
      </c>
      <c r="F1008" t="s">
        <v>16</v>
      </c>
      <c r="G1008">
        <v>90.1</v>
      </c>
      <c r="H1008">
        <v>1612.75</v>
      </c>
      <c r="I1008" t="s">
        <v>16</v>
      </c>
      <c r="J1008" t="s">
        <v>16</v>
      </c>
      <c r="K1008" t="s">
        <v>17</v>
      </c>
      <c r="L1008">
        <v>1612.75</v>
      </c>
      <c r="M1008" t="s">
        <v>5032</v>
      </c>
      <c r="N1008" t="s">
        <v>5031</v>
      </c>
    </row>
    <row r="1009" spans="1:14" x14ac:dyDescent="0.3">
      <c r="A1009" t="s">
        <v>1033</v>
      </c>
      <c r="B1009" t="s">
        <v>12</v>
      </c>
      <c r="C1009" t="s">
        <v>13</v>
      </c>
      <c r="D1009">
        <v>2</v>
      </c>
      <c r="E1009" t="s">
        <v>26</v>
      </c>
      <c r="F1009" t="s">
        <v>15</v>
      </c>
      <c r="G1009">
        <v>68.95</v>
      </c>
      <c r="H1009">
        <v>119.75</v>
      </c>
      <c r="I1009" t="s">
        <v>16</v>
      </c>
      <c r="J1009" t="s">
        <v>15</v>
      </c>
      <c r="K1009" t="s">
        <v>17</v>
      </c>
      <c r="L1009">
        <v>119.75</v>
      </c>
      <c r="M1009" t="s">
        <v>5030</v>
      </c>
      <c r="N1009" t="s">
        <v>5031</v>
      </c>
    </row>
    <row r="1010" spans="1:14" x14ac:dyDescent="0.3">
      <c r="A1010" t="s">
        <v>1034</v>
      </c>
      <c r="B1010" t="s">
        <v>19</v>
      </c>
      <c r="C1010" t="s">
        <v>13</v>
      </c>
      <c r="D1010">
        <v>32</v>
      </c>
      <c r="E1010" t="s">
        <v>26</v>
      </c>
      <c r="F1010" t="s">
        <v>15</v>
      </c>
      <c r="G1010">
        <v>99.55</v>
      </c>
      <c r="H1010">
        <v>3204.65</v>
      </c>
      <c r="I1010" t="s">
        <v>16</v>
      </c>
      <c r="J1010" t="s">
        <v>16</v>
      </c>
      <c r="K1010" t="s">
        <v>29</v>
      </c>
      <c r="L1010">
        <v>3204.65</v>
      </c>
      <c r="M1010" t="s">
        <v>5032</v>
      </c>
      <c r="N1010" t="s">
        <v>5034</v>
      </c>
    </row>
    <row r="1011" spans="1:14" x14ac:dyDescent="0.3">
      <c r="A1011" t="s">
        <v>1035</v>
      </c>
      <c r="B1011" t="s">
        <v>19</v>
      </c>
      <c r="C1011" t="s">
        <v>20</v>
      </c>
      <c r="D1011">
        <v>23</v>
      </c>
      <c r="E1011" t="s">
        <v>15</v>
      </c>
      <c r="F1011" t="s">
        <v>36</v>
      </c>
      <c r="G1011">
        <v>20.75</v>
      </c>
      <c r="H1011">
        <v>485.2</v>
      </c>
      <c r="I1011" t="s">
        <v>15</v>
      </c>
      <c r="J1011" t="s">
        <v>16</v>
      </c>
      <c r="K1011" t="s">
        <v>17</v>
      </c>
      <c r="L1011">
        <v>485.2</v>
      </c>
      <c r="M1011" t="s">
        <v>5032</v>
      </c>
      <c r="N1011" t="s">
        <v>5031</v>
      </c>
    </row>
    <row r="1012" spans="1:14" x14ac:dyDescent="0.3">
      <c r="A1012" t="s">
        <v>1036</v>
      </c>
      <c r="B1012" t="s">
        <v>19</v>
      </c>
      <c r="C1012" t="s">
        <v>13</v>
      </c>
      <c r="D1012">
        <v>3</v>
      </c>
      <c r="E1012" t="s">
        <v>14</v>
      </c>
      <c r="F1012" t="s">
        <v>15</v>
      </c>
      <c r="G1012">
        <v>50.15</v>
      </c>
      <c r="H1012">
        <v>160.85</v>
      </c>
      <c r="I1012" t="s">
        <v>15</v>
      </c>
      <c r="J1012" t="s">
        <v>16</v>
      </c>
      <c r="K1012" t="s">
        <v>21</v>
      </c>
      <c r="L1012">
        <v>160.85</v>
      </c>
      <c r="M1012" t="s">
        <v>5030</v>
      </c>
      <c r="N1012" t="s">
        <v>5031</v>
      </c>
    </row>
    <row r="1013" spans="1:14" x14ac:dyDescent="0.3">
      <c r="A1013" t="s">
        <v>1037</v>
      </c>
      <c r="B1013" t="s">
        <v>12</v>
      </c>
      <c r="C1013" t="s">
        <v>35</v>
      </c>
      <c r="D1013">
        <v>71</v>
      </c>
      <c r="E1013" t="s">
        <v>14</v>
      </c>
      <c r="F1013" t="s">
        <v>16</v>
      </c>
      <c r="G1013">
        <v>58.65</v>
      </c>
      <c r="H1013">
        <v>4145.25</v>
      </c>
      <c r="I1013" t="s">
        <v>15</v>
      </c>
      <c r="J1013" t="s">
        <v>15</v>
      </c>
      <c r="K1013" t="s">
        <v>21</v>
      </c>
      <c r="L1013">
        <v>4145.25</v>
      </c>
      <c r="M1013" t="s">
        <v>5033</v>
      </c>
      <c r="N1013" t="s">
        <v>5034</v>
      </c>
    </row>
    <row r="1014" spans="1:14" x14ac:dyDescent="0.3">
      <c r="A1014" t="s">
        <v>1038</v>
      </c>
      <c r="B1014" t="s">
        <v>19</v>
      </c>
      <c r="C1014" t="s">
        <v>13</v>
      </c>
      <c r="D1014">
        <v>9</v>
      </c>
      <c r="E1014" t="s">
        <v>26</v>
      </c>
      <c r="F1014" t="s">
        <v>16</v>
      </c>
      <c r="G1014">
        <v>95.9</v>
      </c>
      <c r="H1014">
        <v>827.45</v>
      </c>
      <c r="I1014" t="s">
        <v>15</v>
      </c>
      <c r="J1014" t="s">
        <v>16</v>
      </c>
      <c r="K1014" t="s">
        <v>24</v>
      </c>
      <c r="L1014">
        <v>827.45</v>
      </c>
      <c r="M1014" t="s">
        <v>5030</v>
      </c>
      <c r="N1014" t="s">
        <v>5031</v>
      </c>
    </row>
    <row r="1015" spans="1:14" x14ac:dyDescent="0.3">
      <c r="A1015" t="s">
        <v>1039</v>
      </c>
      <c r="B1015" t="s">
        <v>12</v>
      </c>
      <c r="C1015" t="s">
        <v>13</v>
      </c>
      <c r="D1015">
        <v>1</v>
      </c>
      <c r="E1015" t="s">
        <v>14</v>
      </c>
      <c r="F1015" t="s">
        <v>15</v>
      </c>
      <c r="G1015">
        <v>49.5</v>
      </c>
      <c r="H1015">
        <v>49.5</v>
      </c>
      <c r="I1015" t="s">
        <v>15</v>
      </c>
      <c r="J1015" t="s">
        <v>15</v>
      </c>
      <c r="K1015" t="s">
        <v>17</v>
      </c>
      <c r="L1015">
        <v>49.5</v>
      </c>
      <c r="M1015" t="s">
        <v>5030</v>
      </c>
      <c r="N1015" t="s">
        <v>5031</v>
      </c>
    </row>
    <row r="1016" spans="1:14" x14ac:dyDescent="0.3">
      <c r="A1016" t="s">
        <v>1040</v>
      </c>
      <c r="B1016" t="s">
        <v>19</v>
      </c>
      <c r="C1016" t="s">
        <v>13</v>
      </c>
      <c r="D1016">
        <v>18</v>
      </c>
      <c r="E1016" t="s">
        <v>14</v>
      </c>
      <c r="F1016" t="s">
        <v>15</v>
      </c>
      <c r="G1016">
        <v>57.45</v>
      </c>
      <c r="H1016">
        <v>990.85</v>
      </c>
      <c r="I1016" t="s">
        <v>16</v>
      </c>
      <c r="J1016" t="s">
        <v>15</v>
      </c>
      <c r="K1016" t="s">
        <v>17</v>
      </c>
      <c r="L1016">
        <v>990.85</v>
      </c>
      <c r="M1016" t="s">
        <v>5032</v>
      </c>
      <c r="N1016" t="s">
        <v>5031</v>
      </c>
    </row>
    <row r="1017" spans="1:14" x14ac:dyDescent="0.3">
      <c r="A1017" t="s">
        <v>1041</v>
      </c>
      <c r="B1017" t="s">
        <v>19</v>
      </c>
      <c r="C1017" t="s">
        <v>20</v>
      </c>
      <c r="D1017">
        <v>12</v>
      </c>
      <c r="E1017" t="s">
        <v>14</v>
      </c>
      <c r="F1017" t="s">
        <v>15</v>
      </c>
      <c r="G1017">
        <v>53.65</v>
      </c>
      <c r="H1017">
        <v>696.35</v>
      </c>
      <c r="I1017" t="s">
        <v>16</v>
      </c>
      <c r="J1017" t="s">
        <v>15</v>
      </c>
      <c r="K1017" t="s">
        <v>29</v>
      </c>
      <c r="L1017">
        <v>696.35</v>
      </c>
      <c r="M1017" t="s">
        <v>5030</v>
      </c>
      <c r="N1017" t="s">
        <v>5031</v>
      </c>
    </row>
    <row r="1018" spans="1:14" x14ac:dyDescent="0.3">
      <c r="A1018" t="s">
        <v>1042</v>
      </c>
      <c r="B1018" t="s">
        <v>19</v>
      </c>
      <c r="C1018" t="s">
        <v>35</v>
      </c>
      <c r="D1018">
        <v>71</v>
      </c>
      <c r="E1018" t="s">
        <v>14</v>
      </c>
      <c r="F1018" t="s">
        <v>16</v>
      </c>
      <c r="G1018">
        <v>80.099999999999994</v>
      </c>
      <c r="H1018">
        <v>5585.4</v>
      </c>
      <c r="I1018" t="s">
        <v>15</v>
      </c>
      <c r="J1018" t="s">
        <v>16</v>
      </c>
      <c r="K1018" t="s">
        <v>21</v>
      </c>
      <c r="L1018">
        <v>5585.4</v>
      </c>
      <c r="M1018" t="s">
        <v>5033</v>
      </c>
      <c r="N1018" t="s">
        <v>5034</v>
      </c>
    </row>
    <row r="1019" spans="1:14" x14ac:dyDescent="0.3">
      <c r="A1019" t="s">
        <v>1043</v>
      </c>
      <c r="B1019" t="s">
        <v>12</v>
      </c>
      <c r="C1019" t="s">
        <v>20</v>
      </c>
      <c r="D1019">
        <v>64</v>
      </c>
      <c r="E1019" t="s">
        <v>15</v>
      </c>
      <c r="F1019" t="s">
        <v>36</v>
      </c>
      <c r="G1019">
        <v>24.4</v>
      </c>
      <c r="H1019">
        <v>1601.2</v>
      </c>
      <c r="I1019" t="s">
        <v>15</v>
      </c>
      <c r="J1019" t="s">
        <v>16</v>
      </c>
      <c r="K1019" t="s">
        <v>24</v>
      </c>
      <c r="L1019">
        <v>1601.2</v>
      </c>
      <c r="M1019" t="s">
        <v>5033</v>
      </c>
      <c r="N1019" t="s">
        <v>5031</v>
      </c>
    </row>
    <row r="1020" spans="1:14" x14ac:dyDescent="0.3">
      <c r="A1020" t="s">
        <v>1044</v>
      </c>
      <c r="B1020" t="s">
        <v>19</v>
      </c>
      <c r="C1020" t="s">
        <v>13</v>
      </c>
      <c r="D1020">
        <v>4</v>
      </c>
      <c r="E1020" t="s">
        <v>14</v>
      </c>
      <c r="F1020" t="s">
        <v>16</v>
      </c>
      <c r="G1020">
        <v>40.049999999999997</v>
      </c>
      <c r="H1020">
        <v>162.44999999999999</v>
      </c>
      <c r="I1020" t="s">
        <v>15</v>
      </c>
      <c r="J1020" t="s">
        <v>16</v>
      </c>
      <c r="K1020" t="s">
        <v>17</v>
      </c>
      <c r="L1020">
        <v>162.44999999999999</v>
      </c>
      <c r="M1020" t="s">
        <v>5030</v>
      </c>
      <c r="N1020" t="s">
        <v>5031</v>
      </c>
    </row>
    <row r="1021" spans="1:14" x14ac:dyDescent="0.3">
      <c r="A1021" t="s">
        <v>1045</v>
      </c>
      <c r="B1021" t="s">
        <v>12</v>
      </c>
      <c r="C1021" t="s">
        <v>13</v>
      </c>
      <c r="D1021">
        <v>23</v>
      </c>
      <c r="E1021" t="s">
        <v>15</v>
      </c>
      <c r="F1021" t="s">
        <v>36</v>
      </c>
      <c r="G1021">
        <v>19.5</v>
      </c>
      <c r="H1021">
        <v>470.2</v>
      </c>
      <c r="I1021" t="s">
        <v>15</v>
      </c>
      <c r="J1021" t="s">
        <v>16</v>
      </c>
      <c r="K1021" t="s">
        <v>21</v>
      </c>
      <c r="L1021">
        <v>470.2</v>
      </c>
      <c r="M1021" t="s">
        <v>5032</v>
      </c>
      <c r="N1021" t="s">
        <v>5031</v>
      </c>
    </row>
    <row r="1022" spans="1:14" x14ac:dyDescent="0.3">
      <c r="A1022" t="s">
        <v>1046</v>
      </c>
      <c r="B1022" t="s">
        <v>12</v>
      </c>
      <c r="C1022" t="s">
        <v>13</v>
      </c>
      <c r="D1022">
        <v>39</v>
      </c>
      <c r="E1022" t="s">
        <v>14</v>
      </c>
      <c r="F1022" t="s">
        <v>15</v>
      </c>
      <c r="G1022">
        <v>51.05</v>
      </c>
      <c r="H1022">
        <v>2066</v>
      </c>
      <c r="I1022" t="s">
        <v>15</v>
      </c>
      <c r="J1022" t="s">
        <v>15</v>
      </c>
      <c r="K1022" t="s">
        <v>29</v>
      </c>
      <c r="L1022">
        <v>2066</v>
      </c>
      <c r="M1022" t="s">
        <v>5033</v>
      </c>
      <c r="N1022" t="s">
        <v>5031</v>
      </c>
    </row>
    <row r="1023" spans="1:14" x14ac:dyDescent="0.3">
      <c r="A1023" t="s">
        <v>1047</v>
      </c>
      <c r="B1023" t="s">
        <v>19</v>
      </c>
      <c r="C1023" t="s">
        <v>20</v>
      </c>
      <c r="D1023">
        <v>28</v>
      </c>
      <c r="E1023" t="s">
        <v>14</v>
      </c>
      <c r="F1023" t="s">
        <v>16</v>
      </c>
      <c r="G1023">
        <v>54.35</v>
      </c>
      <c r="H1023">
        <v>1426.45</v>
      </c>
      <c r="I1023" t="s">
        <v>15</v>
      </c>
      <c r="J1023" t="s">
        <v>15</v>
      </c>
      <c r="K1023" t="s">
        <v>21</v>
      </c>
      <c r="L1023">
        <v>1426.45</v>
      </c>
      <c r="M1023" t="s">
        <v>5032</v>
      </c>
      <c r="N1023" t="s">
        <v>5031</v>
      </c>
    </row>
    <row r="1024" spans="1:14" x14ac:dyDescent="0.3">
      <c r="A1024" t="s">
        <v>1048</v>
      </c>
      <c r="B1024" t="s">
        <v>12</v>
      </c>
      <c r="C1024" t="s">
        <v>13</v>
      </c>
      <c r="D1024">
        <v>5</v>
      </c>
      <c r="E1024" t="s">
        <v>26</v>
      </c>
      <c r="F1024" t="s">
        <v>15</v>
      </c>
      <c r="G1024">
        <v>84.7</v>
      </c>
      <c r="H1024">
        <v>392.5</v>
      </c>
      <c r="I1024" t="s">
        <v>15</v>
      </c>
      <c r="J1024" t="s">
        <v>16</v>
      </c>
      <c r="K1024" t="s">
        <v>17</v>
      </c>
      <c r="L1024">
        <v>392.5</v>
      </c>
      <c r="M1024" t="s">
        <v>5030</v>
      </c>
      <c r="N1024" t="s">
        <v>5031</v>
      </c>
    </row>
    <row r="1025" spans="1:14" x14ac:dyDescent="0.3">
      <c r="A1025" t="s">
        <v>1049</v>
      </c>
      <c r="B1025" t="s">
        <v>12</v>
      </c>
      <c r="C1025" t="s">
        <v>13</v>
      </c>
      <c r="D1025">
        <v>45</v>
      </c>
      <c r="E1025" t="s">
        <v>26</v>
      </c>
      <c r="F1025" t="s">
        <v>15</v>
      </c>
      <c r="G1025">
        <v>86.1</v>
      </c>
      <c r="H1025">
        <v>3861.45</v>
      </c>
      <c r="I1025" t="s">
        <v>15</v>
      </c>
      <c r="J1025" t="s">
        <v>16</v>
      </c>
      <c r="K1025" t="s">
        <v>17</v>
      </c>
      <c r="L1025">
        <v>3861.45</v>
      </c>
      <c r="M1025" t="s">
        <v>5033</v>
      </c>
      <c r="N1025" t="s">
        <v>5034</v>
      </c>
    </row>
    <row r="1026" spans="1:14" x14ac:dyDescent="0.3">
      <c r="A1026" t="s">
        <v>1050</v>
      </c>
      <c r="B1026" t="s">
        <v>19</v>
      </c>
      <c r="C1026" t="s">
        <v>13</v>
      </c>
      <c r="D1026">
        <v>37</v>
      </c>
      <c r="E1026" t="s">
        <v>26</v>
      </c>
      <c r="F1026" t="s">
        <v>15</v>
      </c>
      <c r="G1026">
        <v>70.349999999999994</v>
      </c>
      <c r="H1026">
        <v>2552.9</v>
      </c>
      <c r="I1026" t="s">
        <v>15</v>
      </c>
      <c r="J1026" t="s">
        <v>16</v>
      </c>
      <c r="K1026" t="s">
        <v>21</v>
      </c>
      <c r="L1026">
        <v>2552.9</v>
      </c>
      <c r="M1026" t="s">
        <v>5033</v>
      </c>
      <c r="N1026" t="s">
        <v>5034</v>
      </c>
    </row>
    <row r="1027" spans="1:14" x14ac:dyDescent="0.3">
      <c r="A1027" t="s">
        <v>1051</v>
      </c>
      <c r="B1027" t="s">
        <v>12</v>
      </c>
      <c r="C1027" t="s">
        <v>35</v>
      </c>
      <c r="D1027">
        <v>60</v>
      </c>
      <c r="E1027" t="s">
        <v>26</v>
      </c>
      <c r="F1027" t="s">
        <v>16</v>
      </c>
      <c r="G1027">
        <v>110</v>
      </c>
      <c r="H1027">
        <v>6668.35</v>
      </c>
      <c r="I1027" t="s">
        <v>15</v>
      </c>
      <c r="J1027" t="s">
        <v>16</v>
      </c>
      <c r="K1027" t="s">
        <v>24</v>
      </c>
      <c r="L1027">
        <v>6668.35</v>
      </c>
      <c r="M1027" t="s">
        <v>5033</v>
      </c>
      <c r="N1027" t="s">
        <v>5034</v>
      </c>
    </row>
    <row r="1028" spans="1:14" x14ac:dyDescent="0.3">
      <c r="A1028" t="s">
        <v>1052</v>
      </c>
      <c r="B1028" t="s">
        <v>19</v>
      </c>
      <c r="C1028" t="s">
        <v>13</v>
      </c>
      <c r="D1028">
        <v>8</v>
      </c>
      <c r="E1028" t="s">
        <v>26</v>
      </c>
      <c r="F1028" t="s">
        <v>15</v>
      </c>
      <c r="G1028">
        <v>100.6</v>
      </c>
      <c r="H1028">
        <v>819.4</v>
      </c>
      <c r="I1028" t="s">
        <v>16</v>
      </c>
      <c r="J1028" t="s">
        <v>16</v>
      </c>
      <c r="K1028" t="s">
        <v>17</v>
      </c>
      <c r="L1028">
        <v>819.4</v>
      </c>
      <c r="M1028" t="s">
        <v>5030</v>
      </c>
      <c r="N1028" t="s">
        <v>5031</v>
      </c>
    </row>
    <row r="1029" spans="1:14" x14ac:dyDescent="0.3">
      <c r="A1029" t="s">
        <v>1053</v>
      </c>
      <c r="B1029" t="s">
        <v>12</v>
      </c>
      <c r="C1029" t="s">
        <v>20</v>
      </c>
      <c r="D1029">
        <v>47</v>
      </c>
      <c r="E1029" t="s">
        <v>26</v>
      </c>
      <c r="F1029" t="s">
        <v>15</v>
      </c>
      <c r="G1029">
        <v>94.9</v>
      </c>
      <c r="H1029">
        <v>4615.25</v>
      </c>
      <c r="I1029" t="s">
        <v>15</v>
      </c>
      <c r="J1029" t="s">
        <v>15</v>
      </c>
      <c r="K1029" t="s">
        <v>29</v>
      </c>
      <c r="L1029">
        <v>4615.25</v>
      </c>
      <c r="M1029" t="s">
        <v>5033</v>
      </c>
      <c r="N1029" t="s">
        <v>5034</v>
      </c>
    </row>
    <row r="1030" spans="1:14" x14ac:dyDescent="0.3">
      <c r="A1030" t="s">
        <v>1054</v>
      </c>
      <c r="B1030" t="s">
        <v>19</v>
      </c>
      <c r="C1030" t="s">
        <v>13</v>
      </c>
      <c r="D1030">
        <v>26</v>
      </c>
      <c r="E1030" t="s">
        <v>26</v>
      </c>
      <c r="F1030" t="s">
        <v>15</v>
      </c>
      <c r="G1030">
        <v>83.75</v>
      </c>
      <c r="H1030">
        <v>2070.6</v>
      </c>
      <c r="I1030" t="s">
        <v>16</v>
      </c>
      <c r="J1030" t="s">
        <v>16</v>
      </c>
      <c r="K1030" t="s">
        <v>17</v>
      </c>
      <c r="L1030">
        <v>2070.6</v>
      </c>
      <c r="M1030" t="s">
        <v>5032</v>
      </c>
      <c r="N1030" t="s">
        <v>5031</v>
      </c>
    </row>
    <row r="1031" spans="1:14" x14ac:dyDescent="0.3">
      <c r="A1031" t="s">
        <v>1055</v>
      </c>
      <c r="B1031" t="s">
        <v>12</v>
      </c>
      <c r="C1031" t="s">
        <v>13</v>
      </c>
      <c r="D1031">
        <v>3</v>
      </c>
      <c r="E1031" t="s">
        <v>26</v>
      </c>
      <c r="F1031" t="s">
        <v>16</v>
      </c>
      <c r="G1031">
        <v>88.3</v>
      </c>
      <c r="H1031">
        <v>273.75</v>
      </c>
      <c r="I1031" t="s">
        <v>16</v>
      </c>
      <c r="J1031" t="s">
        <v>16</v>
      </c>
      <c r="K1031" t="s">
        <v>21</v>
      </c>
      <c r="L1031">
        <v>273.75</v>
      </c>
      <c r="M1031" t="s">
        <v>5030</v>
      </c>
      <c r="N1031" t="s">
        <v>5031</v>
      </c>
    </row>
    <row r="1032" spans="1:14" x14ac:dyDescent="0.3">
      <c r="A1032" t="s">
        <v>1056</v>
      </c>
      <c r="B1032" t="s">
        <v>12</v>
      </c>
      <c r="C1032" t="s">
        <v>13</v>
      </c>
      <c r="D1032">
        <v>50</v>
      </c>
      <c r="E1032" t="s">
        <v>26</v>
      </c>
      <c r="F1032" t="s">
        <v>15</v>
      </c>
      <c r="G1032">
        <v>69.75</v>
      </c>
      <c r="H1032">
        <v>3557.7</v>
      </c>
      <c r="I1032" t="s">
        <v>15</v>
      </c>
      <c r="J1032" t="s">
        <v>16</v>
      </c>
      <c r="K1032" t="s">
        <v>24</v>
      </c>
      <c r="L1032">
        <v>3557.7</v>
      </c>
      <c r="M1032" t="s">
        <v>5033</v>
      </c>
      <c r="N1032" t="s">
        <v>5034</v>
      </c>
    </row>
    <row r="1033" spans="1:14" x14ac:dyDescent="0.3">
      <c r="A1033" t="s">
        <v>1057</v>
      </c>
      <c r="B1033" t="s">
        <v>19</v>
      </c>
      <c r="C1033" t="s">
        <v>13</v>
      </c>
      <c r="D1033">
        <v>27</v>
      </c>
      <c r="E1033" t="s">
        <v>14</v>
      </c>
      <c r="F1033" t="s">
        <v>16</v>
      </c>
      <c r="G1033">
        <v>71.599999999999994</v>
      </c>
      <c r="H1033">
        <v>1957.1</v>
      </c>
      <c r="I1033" t="s">
        <v>15</v>
      </c>
      <c r="J1033" t="s">
        <v>15</v>
      </c>
      <c r="K1033" t="s">
        <v>24</v>
      </c>
      <c r="L1033">
        <v>1957.1</v>
      </c>
      <c r="M1033" t="s">
        <v>5032</v>
      </c>
      <c r="N1033" t="s">
        <v>5031</v>
      </c>
    </row>
    <row r="1034" spans="1:14" x14ac:dyDescent="0.3">
      <c r="A1034" t="s">
        <v>1058</v>
      </c>
      <c r="B1034" t="s">
        <v>12</v>
      </c>
      <c r="C1034" t="s">
        <v>13</v>
      </c>
      <c r="D1034">
        <v>8</v>
      </c>
      <c r="E1034" t="s">
        <v>26</v>
      </c>
      <c r="F1034" t="s">
        <v>15</v>
      </c>
      <c r="G1034">
        <v>92.1</v>
      </c>
      <c r="H1034">
        <v>729.95</v>
      </c>
      <c r="I1034" t="s">
        <v>16</v>
      </c>
      <c r="J1034" t="s">
        <v>16</v>
      </c>
      <c r="K1034" t="s">
        <v>17</v>
      </c>
      <c r="L1034">
        <v>729.95</v>
      </c>
      <c r="M1034" t="s">
        <v>5030</v>
      </c>
      <c r="N1034" t="s">
        <v>5031</v>
      </c>
    </row>
    <row r="1035" spans="1:14" x14ac:dyDescent="0.3">
      <c r="A1035" t="s">
        <v>1059</v>
      </c>
      <c r="B1035" t="s">
        <v>12</v>
      </c>
      <c r="C1035" t="s">
        <v>35</v>
      </c>
      <c r="D1035">
        <v>62</v>
      </c>
      <c r="E1035" t="s">
        <v>15</v>
      </c>
      <c r="F1035" t="s">
        <v>36</v>
      </c>
      <c r="G1035">
        <v>23.65</v>
      </c>
      <c r="H1035">
        <v>1416.75</v>
      </c>
      <c r="I1035" t="s">
        <v>15</v>
      </c>
      <c r="J1035" t="s">
        <v>15</v>
      </c>
      <c r="K1035" t="s">
        <v>24</v>
      </c>
      <c r="L1035">
        <v>1416.75</v>
      </c>
      <c r="M1035" t="s">
        <v>5033</v>
      </c>
      <c r="N1035" t="s">
        <v>5031</v>
      </c>
    </row>
    <row r="1036" spans="1:14" x14ac:dyDescent="0.3">
      <c r="A1036" t="s">
        <v>1060</v>
      </c>
      <c r="B1036" t="s">
        <v>12</v>
      </c>
      <c r="C1036" t="s">
        <v>35</v>
      </c>
      <c r="D1036">
        <v>71</v>
      </c>
      <c r="E1036" t="s">
        <v>14</v>
      </c>
      <c r="F1036" t="s">
        <v>16</v>
      </c>
      <c r="G1036">
        <v>81.849999999999994</v>
      </c>
      <c r="H1036">
        <v>5924.4</v>
      </c>
      <c r="I1036" t="s">
        <v>15</v>
      </c>
      <c r="J1036" t="s">
        <v>15</v>
      </c>
      <c r="K1036" t="s">
        <v>24</v>
      </c>
      <c r="L1036">
        <v>5924.4</v>
      </c>
      <c r="M1036" t="s">
        <v>5033</v>
      </c>
      <c r="N1036" t="s">
        <v>5034</v>
      </c>
    </row>
    <row r="1037" spans="1:14" x14ac:dyDescent="0.3">
      <c r="A1037" t="s">
        <v>1061</v>
      </c>
      <c r="B1037" t="s">
        <v>19</v>
      </c>
      <c r="C1037" t="s">
        <v>35</v>
      </c>
      <c r="D1037">
        <v>66</v>
      </c>
      <c r="E1037" t="s">
        <v>15</v>
      </c>
      <c r="F1037" t="s">
        <v>36</v>
      </c>
      <c r="G1037">
        <v>25.1</v>
      </c>
      <c r="H1037">
        <v>1697.7</v>
      </c>
      <c r="I1037" t="s">
        <v>15</v>
      </c>
      <c r="J1037" t="s">
        <v>15</v>
      </c>
      <c r="K1037" t="s">
        <v>21</v>
      </c>
      <c r="L1037">
        <v>1697.7</v>
      </c>
      <c r="M1037" t="s">
        <v>5033</v>
      </c>
      <c r="N1037" t="s">
        <v>5031</v>
      </c>
    </row>
    <row r="1038" spans="1:14" x14ac:dyDescent="0.3">
      <c r="A1038" t="s">
        <v>1062</v>
      </c>
      <c r="B1038" t="s">
        <v>19</v>
      </c>
      <c r="C1038" t="s">
        <v>35</v>
      </c>
      <c r="D1038">
        <v>68</v>
      </c>
      <c r="E1038" t="s">
        <v>26</v>
      </c>
      <c r="F1038" t="s">
        <v>16</v>
      </c>
      <c r="G1038">
        <v>114.7</v>
      </c>
      <c r="H1038">
        <v>7849.85</v>
      </c>
      <c r="I1038" t="s">
        <v>15</v>
      </c>
      <c r="J1038" t="s">
        <v>16</v>
      </c>
      <c r="K1038" t="s">
        <v>24</v>
      </c>
      <c r="L1038">
        <v>7849.85</v>
      </c>
      <c r="M1038" t="s">
        <v>5033</v>
      </c>
      <c r="N1038" t="s">
        <v>5034</v>
      </c>
    </row>
    <row r="1039" spans="1:14" x14ac:dyDescent="0.3">
      <c r="A1039" t="s">
        <v>1063</v>
      </c>
      <c r="B1039" t="s">
        <v>12</v>
      </c>
      <c r="C1039" t="s">
        <v>13</v>
      </c>
      <c r="D1039">
        <v>13</v>
      </c>
      <c r="E1039" t="s">
        <v>14</v>
      </c>
      <c r="F1039" t="s">
        <v>15</v>
      </c>
      <c r="G1039">
        <v>49.15</v>
      </c>
      <c r="H1039">
        <v>649.4</v>
      </c>
      <c r="I1039" t="s">
        <v>15</v>
      </c>
      <c r="J1039" t="s">
        <v>15</v>
      </c>
      <c r="K1039" t="s">
        <v>17</v>
      </c>
      <c r="L1039">
        <v>649.4</v>
      </c>
      <c r="M1039" t="s">
        <v>5032</v>
      </c>
      <c r="N1039" t="s">
        <v>5031</v>
      </c>
    </row>
    <row r="1040" spans="1:14" x14ac:dyDescent="0.3">
      <c r="A1040" t="s">
        <v>1064</v>
      </c>
      <c r="B1040" t="s">
        <v>19</v>
      </c>
      <c r="C1040" t="s">
        <v>20</v>
      </c>
      <c r="D1040">
        <v>56</v>
      </c>
      <c r="E1040" t="s">
        <v>26</v>
      </c>
      <c r="F1040" t="s">
        <v>15</v>
      </c>
      <c r="G1040">
        <v>80.900000000000006</v>
      </c>
      <c r="H1040">
        <v>4557.5</v>
      </c>
      <c r="I1040" t="s">
        <v>15</v>
      </c>
      <c r="J1040" t="s">
        <v>16</v>
      </c>
      <c r="K1040" t="s">
        <v>17</v>
      </c>
      <c r="L1040">
        <v>4557.5</v>
      </c>
      <c r="M1040" t="s">
        <v>5033</v>
      </c>
      <c r="N1040" t="s">
        <v>5034</v>
      </c>
    </row>
    <row r="1041" spans="1:14" x14ac:dyDescent="0.3">
      <c r="A1041" t="s">
        <v>1065</v>
      </c>
      <c r="B1041" t="s">
        <v>19</v>
      </c>
      <c r="C1041" t="s">
        <v>13</v>
      </c>
      <c r="D1041">
        <v>38</v>
      </c>
      <c r="E1041" t="s">
        <v>26</v>
      </c>
      <c r="F1041" t="s">
        <v>15</v>
      </c>
      <c r="G1041">
        <v>79.45</v>
      </c>
      <c r="H1041">
        <v>3013.05</v>
      </c>
      <c r="I1041" t="s">
        <v>16</v>
      </c>
      <c r="J1041" t="s">
        <v>16</v>
      </c>
      <c r="K1041" t="s">
        <v>17</v>
      </c>
      <c r="L1041">
        <v>3013.05</v>
      </c>
      <c r="M1041" t="s">
        <v>5033</v>
      </c>
      <c r="N1041" t="s">
        <v>5034</v>
      </c>
    </row>
    <row r="1042" spans="1:14" x14ac:dyDescent="0.3">
      <c r="A1042" t="s">
        <v>1066</v>
      </c>
      <c r="B1042" t="s">
        <v>19</v>
      </c>
      <c r="C1042" t="s">
        <v>13</v>
      </c>
      <c r="D1042">
        <v>14</v>
      </c>
      <c r="E1042" t="s">
        <v>26</v>
      </c>
      <c r="F1042" t="s">
        <v>15</v>
      </c>
      <c r="G1042">
        <v>90.45</v>
      </c>
      <c r="H1042">
        <v>1266.0999999999999</v>
      </c>
      <c r="I1042" t="s">
        <v>16</v>
      </c>
      <c r="J1042" t="s">
        <v>15</v>
      </c>
      <c r="K1042" t="s">
        <v>29</v>
      </c>
      <c r="L1042">
        <v>1266.0999999999999</v>
      </c>
      <c r="M1042" t="s">
        <v>5032</v>
      </c>
      <c r="N1042" t="s">
        <v>5031</v>
      </c>
    </row>
    <row r="1043" spans="1:14" x14ac:dyDescent="0.3">
      <c r="A1043" t="s">
        <v>1067</v>
      </c>
      <c r="B1043" t="s">
        <v>12</v>
      </c>
      <c r="C1043" t="s">
        <v>20</v>
      </c>
      <c r="D1043">
        <v>16</v>
      </c>
      <c r="E1043" t="s">
        <v>15</v>
      </c>
      <c r="F1043" t="s">
        <v>36</v>
      </c>
      <c r="G1043">
        <v>19.3</v>
      </c>
      <c r="H1043">
        <v>360.35</v>
      </c>
      <c r="I1043" t="s">
        <v>15</v>
      </c>
      <c r="J1043" t="s">
        <v>16</v>
      </c>
      <c r="K1043" t="s">
        <v>24</v>
      </c>
      <c r="L1043">
        <v>360.35</v>
      </c>
      <c r="M1043" t="s">
        <v>5032</v>
      </c>
      <c r="N1043" t="s">
        <v>5031</v>
      </c>
    </row>
    <row r="1044" spans="1:14" x14ac:dyDescent="0.3">
      <c r="A1044" t="s">
        <v>1068</v>
      </c>
      <c r="B1044" t="s">
        <v>12</v>
      </c>
      <c r="C1044" t="s">
        <v>13</v>
      </c>
      <c r="D1044">
        <v>14</v>
      </c>
      <c r="E1044" t="s">
        <v>26</v>
      </c>
      <c r="F1044" t="s">
        <v>15</v>
      </c>
      <c r="G1044">
        <v>70.2</v>
      </c>
      <c r="H1044">
        <v>1046.5</v>
      </c>
      <c r="I1044" t="s">
        <v>15</v>
      </c>
      <c r="J1044" t="s">
        <v>15</v>
      </c>
      <c r="K1044" t="s">
        <v>17</v>
      </c>
      <c r="L1044">
        <v>1046.5</v>
      </c>
      <c r="M1044" t="s">
        <v>5032</v>
      </c>
      <c r="N1044" t="s">
        <v>5031</v>
      </c>
    </row>
    <row r="1045" spans="1:14" x14ac:dyDescent="0.3">
      <c r="A1045" t="s">
        <v>1069</v>
      </c>
      <c r="B1045" t="s">
        <v>19</v>
      </c>
      <c r="C1045" t="s">
        <v>13</v>
      </c>
      <c r="D1045">
        <v>32</v>
      </c>
      <c r="E1045" t="s">
        <v>26</v>
      </c>
      <c r="F1045" t="s">
        <v>15</v>
      </c>
      <c r="G1045">
        <v>69.75</v>
      </c>
      <c r="H1045">
        <v>2347.9</v>
      </c>
      <c r="I1045" t="s">
        <v>16</v>
      </c>
      <c r="J1045" t="s">
        <v>16</v>
      </c>
      <c r="K1045" t="s">
        <v>24</v>
      </c>
      <c r="L1045">
        <v>2347.9</v>
      </c>
      <c r="M1045" t="s">
        <v>5032</v>
      </c>
      <c r="N1045" t="s">
        <v>5031</v>
      </c>
    </row>
    <row r="1046" spans="1:14" x14ac:dyDescent="0.3">
      <c r="A1046" t="s">
        <v>1070</v>
      </c>
      <c r="B1046" t="s">
        <v>12</v>
      </c>
      <c r="C1046" t="s">
        <v>20</v>
      </c>
      <c r="D1046">
        <v>8</v>
      </c>
      <c r="E1046" t="s">
        <v>14</v>
      </c>
      <c r="F1046" t="s">
        <v>16</v>
      </c>
      <c r="G1046">
        <v>54.25</v>
      </c>
      <c r="H1046">
        <v>447.75</v>
      </c>
      <c r="I1046" t="s">
        <v>15</v>
      </c>
      <c r="J1046" t="s">
        <v>15</v>
      </c>
      <c r="K1046" t="s">
        <v>24</v>
      </c>
      <c r="L1046">
        <v>447.75</v>
      </c>
      <c r="M1046" t="s">
        <v>5030</v>
      </c>
      <c r="N1046" t="s">
        <v>5031</v>
      </c>
    </row>
    <row r="1047" spans="1:14" x14ac:dyDescent="0.3">
      <c r="A1047" t="s">
        <v>1071</v>
      </c>
      <c r="B1047" t="s">
        <v>12</v>
      </c>
      <c r="C1047" t="s">
        <v>13</v>
      </c>
      <c r="D1047">
        <v>43</v>
      </c>
      <c r="E1047" t="s">
        <v>26</v>
      </c>
      <c r="F1047" t="s">
        <v>15</v>
      </c>
      <c r="G1047">
        <v>99.3</v>
      </c>
      <c r="H1047">
        <v>4209.95</v>
      </c>
      <c r="I1047" t="s">
        <v>15</v>
      </c>
      <c r="J1047" t="s">
        <v>16</v>
      </c>
      <c r="K1047" t="s">
        <v>24</v>
      </c>
      <c r="L1047">
        <v>4209.95</v>
      </c>
      <c r="M1047" t="s">
        <v>5033</v>
      </c>
      <c r="N1047" t="s">
        <v>5034</v>
      </c>
    </row>
    <row r="1048" spans="1:14" x14ac:dyDescent="0.3">
      <c r="A1048" t="s">
        <v>1072</v>
      </c>
      <c r="B1048" t="s">
        <v>12</v>
      </c>
      <c r="C1048" t="s">
        <v>20</v>
      </c>
      <c r="D1048">
        <v>52</v>
      </c>
      <c r="E1048" t="s">
        <v>14</v>
      </c>
      <c r="F1048" t="s">
        <v>16</v>
      </c>
      <c r="G1048">
        <v>74</v>
      </c>
      <c r="H1048">
        <v>3877.65</v>
      </c>
      <c r="I1048" t="s">
        <v>15</v>
      </c>
      <c r="J1048" t="s">
        <v>15</v>
      </c>
      <c r="K1048" t="s">
        <v>29</v>
      </c>
      <c r="L1048">
        <v>3877.65</v>
      </c>
      <c r="M1048" t="s">
        <v>5033</v>
      </c>
      <c r="N1048" t="s">
        <v>5034</v>
      </c>
    </row>
    <row r="1049" spans="1:14" x14ac:dyDescent="0.3">
      <c r="A1049" t="s">
        <v>1073</v>
      </c>
      <c r="B1049" t="s">
        <v>19</v>
      </c>
      <c r="C1049" t="s">
        <v>13</v>
      </c>
      <c r="D1049">
        <v>3</v>
      </c>
      <c r="E1049" t="s">
        <v>14</v>
      </c>
      <c r="F1049" t="s">
        <v>16</v>
      </c>
      <c r="G1049">
        <v>50.25</v>
      </c>
      <c r="H1049">
        <v>152.30000000000001</v>
      </c>
      <c r="I1049" t="s">
        <v>15</v>
      </c>
      <c r="J1049" t="s">
        <v>16</v>
      </c>
      <c r="K1049" t="s">
        <v>21</v>
      </c>
      <c r="L1049">
        <v>152.30000000000001</v>
      </c>
      <c r="M1049" t="s">
        <v>5030</v>
      </c>
      <c r="N1049" t="s">
        <v>5031</v>
      </c>
    </row>
    <row r="1050" spans="1:14" x14ac:dyDescent="0.3">
      <c r="A1050" t="s">
        <v>1074</v>
      </c>
      <c r="B1050" t="s">
        <v>19</v>
      </c>
      <c r="C1050" t="s">
        <v>20</v>
      </c>
      <c r="D1050">
        <v>29</v>
      </c>
      <c r="E1050" t="s">
        <v>15</v>
      </c>
      <c r="F1050" t="s">
        <v>36</v>
      </c>
      <c r="G1050">
        <v>19.8</v>
      </c>
      <c r="H1050">
        <v>572.20000000000005</v>
      </c>
      <c r="I1050" t="s">
        <v>15</v>
      </c>
      <c r="J1050" t="s">
        <v>16</v>
      </c>
      <c r="K1050" t="s">
        <v>21</v>
      </c>
      <c r="L1050">
        <v>572.20000000000005</v>
      </c>
      <c r="M1050" t="s">
        <v>5032</v>
      </c>
      <c r="N1050" t="s">
        <v>5031</v>
      </c>
    </row>
    <row r="1051" spans="1:14" x14ac:dyDescent="0.3">
      <c r="A1051" t="s">
        <v>1075</v>
      </c>
      <c r="B1051" t="s">
        <v>12</v>
      </c>
      <c r="C1051" t="s">
        <v>13</v>
      </c>
      <c r="D1051">
        <v>1</v>
      </c>
      <c r="E1051" t="s">
        <v>15</v>
      </c>
      <c r="F1051" t="s">
        <v>36</v>
      </c>
      <c r="G1051">
        <v>19.649999999999999</v>
      </c>
      <c r="H1051">
        <v>19.649999999999999</v>
      </c>
      <c r="I1051" t="s">
        <v>16</v>
      </c>
      <c r="J1051" t="s">
        <v>15</v>
      </c>
      <c r="K1051" t="s">
        <v>21</v>
      </c>
      <c r="L1051">
        <v>19.649999999999999</v>
      </c>
      <c r="M1051" t="s">
        <v>5030</v>
      </c>
      <c r="N1051" t="s">
        <v>5031</v>
      </c>
    </row>
    <row r="1052" spans="1:14" x14ac:dyDescent="0.3">
      <c r="A1052" t="s">
        <v>1076</v>
      </c>
      <c r="B1052" t="s">
        <v>19</v>
      </c>
      <c r="C1052" t="s">
        <v>13</v>
      </c>
      <c r="D1052">
        <v>12</v>
      </c>
      <c r="E1052" t="s">
        <v>14</v>
      </c>
      <c r="F1052" t="s">
        <v>16</v>
      </c>
      <c r="G1052">
        <v>43.65</v>
      </c>
      <c r="H1052">
        <v>526.95000000000005</v>
      </c>
      <c r="I1052" t="s">
        <v>16</v>
      </c>
      <c r="J1052" t="s">
        <v>16</v>
      </c>
      <c r="K1052" t="s">
        <v>17</v>
      </c>
      <c r="L1052">
        <v>526.95000000000005</v>
      </c>
      <c r="M1052" t="s">
        <v>5030</v>
      </c>
      <c r="N1052" t="s">
        <v>5031</v>
      </c>
    </row>
    <row r="1053" spans="1:14" x14ac:dyDescent="0.3">
      <c r="A1053" t="s">
        <v>1077</v>
      </c>
      <c r="B1053" t="s">
        <v>12</v>
      </c>
      <c r="C1053" t="s">
        <v>13</v>
      </c>
      <c r="D1053">
        <v>16</v>
      </c>
      <c r="E1053" t="s">
        <v>14</v>
      </c>
      <c r="F1053" t="s">
        <v>15</v>
      </c>
      <c r="G1053">
        <v>35.5</v>
      </c>
      <c r="H1053">
        <v>552.70000000000005</v>
      </c>
      <c r="I1053" t="s">
        <v>15</v>
      </c>
      <c r="J1053" t="s">
        <v>16</v>
      </c>
      <c r="K1053" t="s">
        <v>29</v>
      </c>
      <c r="L1053">
        <v>552.70000000000005</v>
      </c>
      <c r="M1053" t="s">
        <v>5032</v>
      </c>
      <c r="N1053" t="s">
        <v>5031</v>
      </c>
    </row>
    <row r="1054" spans="1:14" x14ac:dyDescent="0.3">
      <c r="A1054" t="s">
        <v>1078</v>
      </c>
      <c r="B1054" t="s">
        <v>12</v>
      </c>
      <c r="C1054" t="s">
        <v>20</v>
      </c>
      <c r="D1054">
        <v>40</v>
      </c>
      <c r="E1054" t="s">
        <v>14</v>
      </c>
      <c r="F1054" t="s">
        <v>16</v>
      </c>
      <c r="G1054">
        <v>80.75</v>
      </c>
      <c r="H1054">
        <v>3208.65</v>
      </c>
      <c r="I1054" t="s">
        <v>15</v>
      </c>
      <c r="J1054" t="s">
        <v>16</v>
      </c>
      <c r="K1054" t="s">
        <v>21</v>
      </c>
      <c r="L1054">
        <v>3208.65</v>
      </c>
      <c r="M1054" t="s">
        <v>5033</v>
      </c>
      <c r="N1054" t="s">
        <v>5034</v>
      </c>
    </row>
    <row r="1055" spans="1:14" x14ac:dyDescent="0.3">
      <c r="A1055" t="s">
        <v>1079</v>
      </c>
      <c r="B1055" t="s">
        <v>12</v>
      </c>
      <c r="C1055" t="s">
        <v>13</v>
      </c>
      <c r="D1055">
        <v>5</v>
      </c>
      <c r="E1055" t="s">
        <v>14</v>
      </c>
      <c r="F1055" t="s">
        <v>15</v>
      </c>
      <c r="G1055">
        <v>39.5</v>
      </c>
      <c r="H1055">
        <v>210.75</v>
      </c>
      <c r="I1055" t="s">
        <v>16</v>
      </c>
      <c r="J1055" t="s">
        <v>15</v>
      </c>
      <c r="K1055" t="s">
        <v>17</v>
      </c>
      <c r="L1055">
        <v>210.75</v>
      </c>
      <c r="M1055" t="s">
        <v>5030</v>
      </c>
      <c r="N1055" t="s">
        <v>5031</v>
      </c>
    </row>
    <row r="1056" spans="1:14" x14ac:dyDescent="0.3">
      <c r="A1056" t="s">
        <v>1080</v>
      </c>
      <c r="B1056" t="s">
        <v>19</v>
      </c>
      <c r="C1056" t="s">
        <v>13</v>
      </c>
      <c r="D1056">
        <v>40</v>
      </c>
      <c r="E1056" t="s">
        <v>26</v>
      </c>
      <c r="F1056" t="s">
        <v>15</v>
      </c>
      <c r="G1056">
        <v>97.1</v>
      </c>
      <c r="H1056">
        <v>3706.95</v>
      </c>
      <c r="I1056" t="s">
        <v>16</v>
      </c>
      <c r="J1056" t="s">
        <v>16</v>
      </c>
      <c r="K1056" t="s">
        <v>24</v>
      </c>
      <c r="L1056">
        <v>3706.95</v>
      </c>
      <c r="M1056" t="s">
        <v>5033</v>
      </c>
      <c r="N1056" t="s">
        <v>5034</v>
      </c>
    </row>
    <row r="1057" spans="1:14" x14ac:dyDescent="0.3">
      <c r="A1057" t="s">
        <v>1081</v>
      </c>
      <c r="B1057" t="s">
        <v>12</v>
      </c>
      <c r="C1057" t="s">
        <v>20</v>
      </c>
      <c r="D1057">
        <v>36</v>
      </c>
      <c r="E1057" t="s">
        <v>15</v>
      </c>
      <c r="F1057" t="s">
        <v>36</v>
      </c>
      <c r="G1057">
        <v>19.55</v>
      </c>
      <c r="H1057">
        <v>620.75</v>
      </c>
      <c r="I1057" t="s">
        <v>15</v>
      </c>
      <c r="J1057" t="s">
        <v>15</v>
      </c>
      <c r="K1057" t="s">
        <v>21</v>
      </c>
      <c r="L1057">
        <v>620.75</v>
      </c>
      <c r="M1057" t="s">
        <v>5032</v>
      </c>
      <c r="N1057" t="s">
        <v>5031</v>
      </c>
    </row>
    <row r="1058" spans="1:14" x14ac:dyDescent="0.3">
      <c r="A1058" t="s">
        <v>1082</v>
      </c>
      <c r="B1058" t="s">
        <v>12</v>
      </c>
      <c r="C1058" t="s">
        <v>13</v>
      </c>
      <c r="D1058">
        <v>5</v>
      </c>
      <c r="E1058" t="s">
        <v>26</v>
      </c>
      <c r="F1058" t="s">
        <v>15</v>
      </c>
      <c r="G1058">
        <v>80</v>
      </c>
      <c r="H1058">
        <v>412.5</v>
      </c>
      <c r="I1058" t="s">
        <v>16</v>
      </c>
      <c r="J1058" t="s">
        <v>16</v>
      </c>
      <c r="K1058" t="s">
        <v>17</v>
      </c>
      <c r="L1058">
        <v>412.5</v>
      </c>
      <c r="M1058" t="s">
        <v>5030</v>
      </c>
      <c r="N1058" t="s">
        <v>5031</v>
      </c>
    </row>
    <row r="1059" spans="1:14" x14ac:dyDescent="0.3">
      <c r="A1059" t="s">
        <v>1083</v>
      </c>
      <c r="B1059" t="s">
        <v>12</v>
      </c>
      <c r="C1059" t="s">
        <v>13</v>
      </c>
      <c r="D1059">
        <v>10</v>
      </c>
      <c r="E1059" t="s">
        <v>26</v>
      </c>
      <c r="F1059" t="s">
        <v>15</v>
      </c>
      <c r="G1059">
        <v>84.7</v>
      </c>
      <c r="H1059">
        <v>832.05</v>
      </c>
      <c r="I1059" t="s">
        <v>16</v>
      </c>
      <c r="J1059" t="s">
        <v>16</v>
      </c>
      <c r="K1059" t="s">
        <v>21</v>
      </c>
      <c r="L1059">
        <v>832.05</v>
      </c>
      <c r="M1059" t="s">
        <v>5030</v>
      </c>
      <c r="N1059" t="s">
        <v>5031</v>
      </c>
    </row>
    <row r="1060" spans="1:14" x14ac:dyDescent="0.3">
      <c r="A1060" t="s">
        <v>1084</v>
      </c>
      <c r="B1060" t="s">
        <v>19</v>
      </c>
      <c r="C1060" t="s">
        <v>13</v>
      </c>
      <c r="D1060">
        <v>2</v>
      </c>
      <c r="E1060" t="s">
        <v>26</v>
      </c>
      <c r="F1060" t="s">
        <v>15</v>
      </c>
      <c r="G1060">
        <v>89.55</v>
      </c>
      <c r="H1060">
        <v>185.55</v>
      </c>
      <c r="I1060" t="s">
        <v>16</v>
      </c>
      <c r="J1060" t="s">
        <v>16</v>
      </c>
      <c r="K1060" t="s">
        <v>24</v>
      </c>
      <c r="L1060">
        <v>185.55</v>
      </c>
      <c r="M1060" t="s">
        <v>5030</v>
      </c>
      <c r="N1060" t="s">
        <v>5031</v>
      </c>
    </row>
    <row r="1061" spans="1:14" x14ac:dyDescent="0.3">
      <c r="A1061" t="s">
        <v>1085</v>
      </c>
      <c r="B1061" t="s">
        <v>19</v>
      </c>
      <c r="C1061" t="s">
        <v>13</v>
      </c>
      <c r="D1061">
        <v>23</v>
      </c>
      <c r="E1061" t="s">
        <v>26</v>
      </c>
      <c r="F1061" t="s">
        <v>16</v>
      </c>
      <c r="G1061">
        <v>90.6</v>
      </c>
      <c r="H1061">
        <v>1943.2</v>
      </c>
      <c r="I1061" t="s">
        <v>16</v>
      </c>
      <c r="J1061" t="s">
        <v>16</v>
      </c>
      <c r="K1061" t="s">
        <v>17</v>
      </c>
      <c r="L1061">
        <v>1943.2</v>
      </c>
      <c r="M1061" t="s">
        <v>5032</v>
      </c>
      <c r="N1061" t="s">
        <v>5031</v>
      </c>
    </row>
    <row r="1062" spans="1:14" x14ac:dyDescent="0.3">
      <c r="A1062" t="s">
        <v>1086</v>
      </c>
      <c r="B1062" t="s">
        <v>19</v>
      </c>
      <c r="C1062" t="s">
        <v>20</v>
      </c>
      <c r="D1062">
        <v>26</v>
      </c>
      <c r="E1062" t="s">
        <v>15</v>
      </c>
      <c r="F1062" t="s">
        <v>36</v>
      </c>
      <c r="G1062">
        <v>20.05</v>
      </c>
      <c r="H1062">
        <v>505.9</v>
      </c>
      <c r="I1062" t="s">
        <v>15</v>
      </c>
      <c r="J1062" t="s">
        <v>16</v>
      </c>
      <c r="K1062" t="s">
        <v>24</v>
      </c>
      <c r="L1062">
        <v>505.9</v>
      </c>
      <c r="M1062" t="s">
        <v>5032</v>
      </c>
      <c r="N1062" t="s">
        <v>5031</v>
      </c>
    </row>
    <row r="1063" spans="1:14" x14ac:dyDescent="0.3">
      <c r="A1063" t="s">
        <v>1087</v>
      </c>
      <c r="B1063" t="s">
        <v>12</v>
      </c>
      <c r="C1063" t="s">
        <v>35</v>
      </c>
      <c r="D1063">
        <v>72</v>
      </c>
      <c r="E1063" t="s">
        <v>26</v>
      </c>
      <c r="F1063" t="s">
        <v>15</v>
      </c>
      <c r="G1063">
        <v>112.4</v>
      </c>
      <c r="H1063">
        <v>8046.85</v>
      </c>
      <c r="I1063" t="s">
        <v>15</v>
      </c>
      <c r="J1063" t="s">
        <v>16</v>
      </c>
      <c r="K1063" t="s">
        <v>17</v>
      </c>
      <c r="L1063">
        <v>8046.85</v>
      </c>
      <c r="M1063" t="s">
        <v>5033</v>
      </c>
      <c r="N1063" t="s">
        <v>5034</v>
      </c>
    </row>
    <row r="1064" spans="1:14" x14ac:dyDescent="0.3">
      <c r="A1064" t="s">
        <v>1088</v>
      </c>
      <c r="B1064" t="s">
        <v>12</v>
      </c>
      <c r="C1064" t="s">
        <v>13</v>
      </c>
      <c r="D1064">
        <v>34</v>
      </c>
      <c r="E1064" t="s">
        <v>14</v>
      </c>
      <c r="F1064" t="s">
        <v>16</v>
      </c>
      <c r="G1064">
        <v>50.2</v>
      </c>
      <c r="H1064">
        <v>1815.3</v>
      </c>
      <c r="I1064" t="s">
        <v>15</v>
      </c>
      <c r="J1064" t="s">
        <v>15</v>
      </c>
      <c r="K1064" t="s">
        <v>24</v>
      </c>
      <c r="L1064">
        <v>1815.3</v>
      </c>
      <c r="M1064" t="s">
        <v>5032</v>
      </c>
      <c r="N1064" t="s">
        <v>5031</v>
      </c>
    </row>
    <row r="1065" spans="1:14" x14ac:dyDescent="0.3">
      <c r="A1065" t="s">
        <v>1089</v>
      </c>
      <c r="B1065" t="s">
        <v>19</v>
      </c>
      <c r="C1065" t="s">
        <v>13</v>
      </c>
      <c r="D1065">
        <v>10</v>
      </c>
      <c r="E1065" t="s">
        <v>14</v>
      </c>
      <c r="F1065" t="s">
        <v>16</v>
      </c>
      <c r="G1065">
        <v>62.25</v>
      </c>
      <c r="H1065">
        <v>612.95000000000005</v>
      </c>
      <c r="I1065" t="s">
        <v>15</v>
      </c>
      <c r="J1065" t="s">
        <v>15</v>
      </c>
      <c r="K1065" t="s">
        <v>24</v>
      </c>
      <c r="L1065">
        <v>612.95000000000005</v>
      </c>
      <c r="M1065" t="s">
        <v>5030</v>
      </c>
      <c r="N1065" t="s">
        <v>5031</v>
      </c>
    </row>
    <row r="1066" spans="1:14" x14ac:dyDescent="0.3">
      <c r="A1066" t="s">
        <v>1090</v>
      </c>
      <c r="B1066" t="s">
        <v>12</v>
      </c>
      <c r="C1066" t="s">
        <v>20</v>
      </c>
      <c r="D1066">
        <v>14</v>
      </c>
      <c r="E1066" t="s">
        <v>14</v>
      </c>
      <c r="F1066" t="s">
        <v>16</v>
      </c>
      <c r="G1066">
        <v>55.7</v>
      </c>
      <c r="H1066">
        <v>795.15</v>
      </c>
      <c r="I1066" t="s">
        <v>15</v>
      </c>
      <c r="J1066" t="s">
        <v>15</v>
      </c>
      <c r="K1066" t="s">
        <v>21</v>
      </c>
      <c r="L1066">
        <v>795.15</v>
      </c>
      <c r="M1066" t="s">
        <v>5032</v>
      </c>
      <c r="N1066" t="s">
        <v>5031</v>
      </c>
    </row>
    <row r="1067" spans="1:14" x14ac:dyDescent="0.3">
      <c r="A1067" t="s">
        <v>1091</v>
      </c>
      <c r="B1067" t="s">
        <v>12</v>
      </c>
      <c r="C1067" t="s">
        <v>13</v>
      </c>
      <c r="D1067">
        <v>23</v>
      </c>
      <c r="E1067" t="s">
        <v>26</v>
      </c>
      <c r="F1067" t="s">
        <v>15</v>
      </c>
      <c r="G1067">
        <v>90.05</v>
      </c>
      <c r="H1067">
        <v>2169.8000000000002</v>
      </c>
      <c r="I1067" t="s">
        <v>16</v>
      </c>
      <c r="J1067" t="s">
        <v>16</v>
      </c>
      <c r="K1067" t="s">
        <v>24</v>
      </c>
      <c r="L1067">
        <v>2169.8000000000002</v>
      </c>
      <c r="M1067" t="s">
        <v>5032</v>
      </c>
      <c r="N1067" t="s">
        <v>5031</v>
      </c>
    </row>
    <row r="1068" spans="1:14" x14ac:dyDescent="0.3">
      <c r="A1068" t="s">
        <v>1092</v>
      </c>
      <c r="B1068" t="s">
        <v>19</v>
      </c>
      <c r="C1068" t="s">
        <v>35</v>
      </c>
      <c r="D1068">
        <v>47</v>
      </c>
      <c r="E1068" t="s">
        <v>15</v>
      </c>
      <c r="F1068" t="s">
        <v>36</v>
      </c>
      <c r="G1068">
        <v>19.649999999999999</v>
      </c>
      <c r="H1068">
        <v>973.1</v>
      </c>
      <c r="I1068" t="s">
        <v>15</v>
      </c>
      <c r="J1068" t="s">
        <v>15</v>
      </c>
      <c r="K1068" t="s">
        <v>21</v>
      </c>
      <c r="L1068">
        <v>973.1</v>
      </c>
      <c r="M1068" t="s">
        <v>5033</v>
      </c>
      <c r="N1068" t="s">
        <v>5031</v>
      </c>
    </row>
    <row r="1069" spans="1:14" x14ac:dyDescent="0.3">
      <c r="A1069" t="s">
        <v>1093</v>
      </c>
      <c r="B1069" t="s">
        <v>19</v>
      </c>
      <c r="C1069" t="s">
        <v>13</v>
      </c>
      <c r="D1069">
        <v>24</v>
      </c>
      <c r="E1069" t="s">
        <v>26</v>
      </c>
      <c r="F1069" t="s">
        <v>16</v>
      </c>
      <c r="G1069">
        <v>89.25</v>
      </c>
      <c r="H1069">
        <v>2210.1999999999998</v>
      </c>
      <c r="I1069" t="s">
        <v>15</v>
      </c>
      <c r="J1069" t="s">
        <v>16</v>
      </c>
      <c r="K1069" t="s">
        <v>17</v>
      </c>
      <c r="L1069">
        <v>2210.1999999999998</v>
      </c>
      <c r="M1069" t="s">
        <v>5032</v>
      </c>
      <c r="N1069" t="s">
        <v>5031</v>
      </c>
    </row>
    <row r="1070" spans="1:14" x14ac:dyDescent="0.3">
      <c r="A1070" t="s">
        <v>1094</v>
      </c>
      <c r="B1070" t="s">
        <v>19</v>
      </c>
      <c r="C1070" t="s">
        <v>13</v>
      </c>
      <c r="D1070">
        <v>49</v>
      </c>
      <c r="E1070" t="s">
        <v>26</v>
      </c>
      <c r="F1070" t="s">
        <v>15</v>
      </c>
      <c r="G1070">
        <v>99.05</v>
      </c>
      <c r="H1070">
        <v>4853.75</v>
      </c>
      <c r="I1070" t="s">
        <v>16</v>
      </c>
      <c r="J1070" t="s">
        <v>16</v>
      </c>
      <c r="K1070" t="s">
        <v>24</v>
      </c>
      <c r="L1070">
        <v>4853.75</v>
      </c>
      <c r="M1070" t="s">
        <v>5033</v>
      </c>
      <c r="N1070" t="s">
        <v>5034</v>
      </c>
    </row>
    <row r="1071" spans="1:14" x14ac:dyDescent="0.3">
      <c r="A1071" t="s">
        <v>1095</v>
      </c>
      <c r="B1071" t="s">
        <v>19</v>
      </c>
      <c r="C1071" t="s">
        <v>20</v>
      </c>
      <c r="D1071">
        <v>20</v>
      </c>
      <c r="E1071" t="s">
        <v>14</v>
      </c>
      <c r="F1071" t="s">
        <v>16</v>
      </c>
      <c r="G1071">
        <v>54</v>
      </c>
      <c r="H1071">
        <v>1055.9000000000001</v>
      </c>
      <c r="I1071" t="s">
        <v>15</v>
      </c>
      <c r="J1071" t="s">
        <v>15</v>
      </c>
      <c r="K1071" t="s">
        <v>21</v>
      </c>
      <c r="L1071">
        <v>1055.9000000000001</v>
      </c>
      <c r="M1071" t="s">
        <v>5032</v>
      </c>
      <c r="N1071" t="s">
        <v>5031</v>
      </c>
    </row>
    <row r="1072" spans="1:14" x14ac:dyDescent="0.3">
      <c r="A1072" t="s">
        <v>1096</v>
      </c>
      <c r="B1072" t="s">
        <v>12</v>
      </c>
      <c r="C1072" t="s">
        <v>13</v>
      </c>
      <c r="D1072">
        <v>2</v>
      </c>
      <c r="E1072" t="s">
        <v>26</v>
      </c>
      <c r="F1072" t="s">
        <v>15</v>
      </c>
      <c r="G1072">
        <v>69.75</v>
      </c>
      <c r="H1072">
        <v>144.55000000000001</v>
      </c>
      <c r="I1072" t="s">
        <v>16</v>
      </c>
      <c r="J1072" t="s">
        <v>15</v>
      </c>
      <c r="K1072" t="s">
        <v>24</v>
      </c>
      <c r="L1072">
        <v>144.55000000000001</v>
      </c>
      <c r="M1072" t="s">
        <v>5030</v>
      </c>
      <c r="N1072" t="s">
        <v>5031</v>
      </c>
    </row>
    <row r="1073" spans="1:14" x14ac:dyDescent="0.3">
      <c r="A1073" t="s">
        <v>1097</v>
      </c>
      <c r="B1073" t="s">
        <v>12</v>
      </c>
      <c r="C1073" t="s">
        <v>13</v>
      </c>
      <c r="D1073">
        <v>2</v>
      </c>
      <c r="E1073" t="s">
        <v>14</v>
      </c>
      <c r="F1073" t="s">
        <v>15</v>
      </c>
      <c r="G1073">
        <v>49.05</v>
      </c>
      <c r="H1073">
        <v>91.1</v>
      </c>
      <c r="I1073" t="s">
        <v>16</v>
      </c>
      <c r="J1073" t="s">
        <v>16</v>
      </c>
      <c r="K1073" t="s">
        <v>29</v>
      </c>
      <c r="L1073">
        <v>91.1</v>
      </c>
      <c r="M1073" t="s">
        <v>5030</v>
      </c>
      <c r="N1073" t="s">
        <v>5031</v>
      </c>
    </row>
    <row r="1074" spans="1:14" x14ac:dyDescent="0.3">
      <c r="A1074" t="s">
        <v>1098</v>
      </c>
      <c r="B1074" t="s">
        <v>19</v>
      </c>
      <c r="C1074" t="s">
        <v>35</v>
      </c>
      <c r="D1074">
        <v>22</v>
      </c>
      <c r="E1074" t="s">
        <v>14</v>
      </c>
      <c r="F1074" t="s">
        <v>16</v>
      </c>
      <c r="G1074">
        <v>56.75</v>
      </c>
      <c r="H1074">
        <v>1304.8499999999999</v>
      </c>
      <c r="I1074" t="s">
        <v>15</v>
      </c>
      <c r="J1074" t="s">
        <v>15</v>
      </c>
      <c r="K1074" t="s">
        <v>24</v>
      </c>
      <c r="L1074">
        <v>1304.8499999999999</v>
      </c>
      <c r="M1074" t="s">
        <v>5032</v>
      </c>
      <c r="N1074" t="s">
        <v>5031</v>
      </c>
    </row>
    <row r="1075" spans="1:14" x14ac:dyDescent="0.3">
      <c r="A1075" t="s">
        <v>1099</v>
      </c>
      <c r="B1075" t="s">
        <v>19</v>
      </c>
      <c r="C1075" t="s">
        <v>13</v>
      </c>
      <c r="D1075">
        <v>7</v>
      </c>
      <c r="E1075" t="s">
        <v>26</v>
      </c>
      <c r="F1075" t="s">
        <v>15</v>
      </c>
      <c r="G1075">
        <v>98.05</v>
      </c>
      <c r="H1075">
        <v>713</v>
      </c>
      <c r="I1075" t="s">
        <v>16</v>
      </c>
      <c r="J1075" t="s">
        <v>16</v>
      </c>
      <c r="K1075" t="s">
        <v>24</v>
      </c>
      <c r="L1075">
        <v>713</v>
      </c>
      <c r="M1075" t="s">
        <v>5030</v>
      </c>
      <c r="N1075" t="s">
        <v>5031</v>
      </c>
    </row>
    <row r="1076" spans="1:14" x14ac:dyDescent="0.3">
      <c r="A1076" t="s">
        <v>1100</v>
      </c>
      <c r="B1076" t="s">
        <v>19</v>
      </c>
      <c r="C1076" t="s">
        <v>13</v>
      </c>
      <c r="D1076">
        <v>1</v>
      </c>
      <c r="E1076" t="s">
        <v>15</v>
      </c>
      <c r="F1076" t="s">
        <v>36</v>
      </c>
      <c r="G1076">
        <v>21.1</v>
      </c>
      <c r="H1076">
        <v>21.1</v>
      </c>
      <c r="I1076" t="s">
        <v>15</v>
      </c>
      <c r="J1076" t="s">
        <v>15</v>
      </c>
      <c r="K1076" t="s">
        <v>21</v>
      </c>
      <c r="L1076">
        <v>21.1</v>
      </c>
      <c r="M1076" t="s">
        <v>5030</v>
      </c>
      <c r="N1076" t="s">
        <v>5031</v>
      </c>
    </row>
    <row r="1077" spans="1:14" x14ac:dyDescent="0.3">
      <c r="A1077" t="s">
        <v>1101</v>
      </c>
      <c r="B1077" t="s">
        <v>12</v>
      </c>
      <c r="C1077" t="s">
        <v>13</v>
      </c>
      <c r="D1077">
        <v>59</v>
      </c>
      <c r="E1077" t="s">
        <v>26</v>
      </c>
      <c r="F1077" t="s">
        <v>16</v>
      </c>
      <c r="G1077">
        <v>96.65</v>
      </c>
      <c r="H1077">
        <v>5580.8</v>
      </c>
      <c r="I1077" t="s">
        <v>15</v>
      </c>
      <c r="J1077" t="s">
        <v>16</v>
      </c>
      <c r="K1077" t="s">
        <v>24</v>
      </c>
      <c r="L1077">
        <v>5580.8</v>
      </c>
      <c r="M1077" t="s">
        <v>5033</v>
      </c>
      <c r="N1077" t="s">
        <v>5034</v>
      </c>
    </row>
    <row r="1078" spans="1:14" x14ac:dyDescent="0.3">
      <c r="A1078" t="s">
        <v>1102</v>
      </c>
      <c r="B1078" t="s">
        <v>12</v>
      </c>
      <c r="C1078" t="s">
        <v>20</v>
      </c>
      <c r="D1078">
        <v>58</v>
      </c>
      <c r="E1078" t="s">
        <v>15</v>
      </c>
      <c r="F1078" t="s">
        <v>36</v>
      </c>
      <c r="G1078">
        <v>24.5</v>
      </c>
      <c r="H1078">
        <v>1497.9</v>
      </c>
      <c r="I1078" t="s">
        <v>15</v>
      </c>
      <c r="J1078" t="s">
        <v>16</v>
      </c>
      <c r="K1078" t="s">
        <v>29</v>
      </c>
      <c r="L1078">
        <v>1497.9</v>
      </c>
      <c r="M1078" t="s">
        <v>5033</v>
      </c>
      <c r="N1078" t="s">
        <v>5031</v>
      </c>
    </row>
    <row r="1079" spans="1:14" x14ac:dyDescent="0.3">
      <c r="A1079" t="s">
        <v>1103</v>
      </c>
      <c r="B1079" t="s">
        <v>12</v>
      </c>
      <c r="C1079" t="s">
        <v>13</v>
      </c>
      <c r="D1079">
        <v>41</v>
      </c>
      <c r="E1079" t="s">
        <v>26</v>
      </c>
      <c r="F1079" t="s">
        <v>16</v>
      </c>
      <c r="G1079">
        <v>114.5</v>
      </c>
      <c r="H1079">
        <v>4527.45</v>
      </c>
      <c r="I1079" t="s">
        <v>16</v>
      </c>
      <c r="J1079" t="s">
        <v>16</v>
      </c>
      <c r="K1079" t="s">
        <v>24</v>
      </c>
      <c r="L1079">
        <v>4527.45</v>
      </c>
      <c r="M1079" t="s">
        <v>5033</v>
      </c>
      <c r="N1079" t="s">
        <v>5034</v>
      </c>
    </row>
    <row r="1080" spans="1:14" x14ac:dyDescent="0.3">
      <c r="A1080" t="s">
        <v>1104</v>
      </c>
      <c r="B1080" t="s">
        <v>12</v>
      </c>
      <c r="C1080" t="s">
        <v>35</v>
      </c>
      <c r="D1080">
        <v>59</v>
      </c>
      <c r="E1080" t="s">
        <v>26</v>
      </c>
      <c r="F1080" t="s">
        <v>15</v>
      </c>
      <c r="G1080">
        <v>79.2</v>
      </c>
      <c r="H1080">
        <v>4590.3500000000004</v>
      </c>
      <c r="I1080" t="s">
        <v>15</v>
      </c>
      <c r="J1080" t="s">
        <v>16</v>
      </c>
      <c r="K1080" t="s">
        <v>29</v>
      </c>
      <c r="L1080">
        <v>4590.3500000000004</v>
      </c>
      <c r="M1080" t="s">
        <v>5033</v>
      </c>
      <c r="N1080" t="s">
        <v>5034</v>
      </c>
    </row>
    <row r="1081" spans="1:14" x14ac:dyDescent="0.3">
      <c r="A1081" t="s">
        <v>1105</v>
      </c>
      <c r="B1081" t="s">
        <v>12</v>
      </c>
      <c r="C1081" t="s">
        <v>13</v>
      </c>
      <c r="D1081">
        <v>3</v>
      </c>
      <c r="E1081" t="s">
        <v>26</v>
      </c>
      <c r="F1081" t="s">
        <v>15</v>
      </c>
      <c r="G1081">
        <v>69.55</v>
      </c>
      <c r="H1081">
        <v>200.2</v>
      </c>
      <c r="I1081" t="s">
        <v>15</v>
      </c>
      <c r="J1081" t="s">
        <v>16</v>
      </c>
      <c r="K1081" t="s">
        <v>17</v>
      </c>
      <c r="L1081">
        <v>200.2</v>
      </c>
      <c r="M1081" t="s">
        <v>5030</v>
      </c>
      <c r="N1081" t="s">
        <v>5031</v>
      </c>
    </row>
    <row r="1082" spans="1:14" x14ac:dyDescent="0.3">
      <c r="A1082" t="s">
        <v>1106</v>
      </c>
      <c r="B1082" t="s">
        <v>19</v>
      </c>
      <c r="C1082" t="s">
        <v>35</v>
      </c>
      <c r="D1082">
        <v>32</v>
      </c>
      <c r="E1082" t="s">
        <v>15</v>
      </c>
      <c r="F1082" t="s">
        <v>36</v>
      </c>
      <c r="G1082">
        <v>20.05</v>
      </c>
      <c r="H1082">
        <v>614.45000000000005</v>
      </c>
      <c r="I1082" t="s">
        <v>15</v>
      </c>
      <c r="J1082" t="s">
        <v>16</v>
      </c>
      <c r="K1082" t="s">
        <v>24</v>
      </c>
      <c r="L1082">
        <v>614.45000000000005</v>
      </c>
      <c r="M1082" t="s">
        <v>5032</v>
      </c>
      <c r="N1082" t="s">
        <v>5031</v>
      </c>
    </row>
    <row r="1083" spans="1:14" x14ac:dyDescent="0.3">
      <c r="A1083" t="s">
        <v>1107</v>
      </c>
      <c r="B1083" t="s">
        <v>19</v>
      </c>
      <c r="C1083" t="s">
        <v>13</v>
      </c>
      <c r="D1083">
        <v>46</v>
      </c>
      <c r="E1083" t="s">
        <v>26</v>
      </c>
      <c r="F1083" t="s">
        <v>15</v>
      </c>
      <c r="G1083">
        <v>98.85</v>
      </c>
      <c r="H1083">
        <v>4564.8999999999996</v>
      </c>
      <c r="I1083" t="s">
        <v>15</v>
      </c>
      <c r="J1083" t="s">
        <v>16</v>
      </c>
      <c r="K1083" t="s">
        <v>17</v>
      </c>
      <c r="L1083">
        <v>4564.8999999999996</v>
      </c>
      <c r="M1083" t="s">
        <v>5033</v>
      </c>
      <c r="N1083" t="s">
        <v>5034</v>
      </c>
    </row>
    <row r="1084" spans="1:14" x14ac:dyDescent="0.3">
      <c r="A1084" t="s">
        <v>1108</v>
      </c>
      <c r="B1084" t="s">
        <v>19</v>
      </c>
      <c r="C1084" t="s">
        <v>35</v>
      </c>
      <c r="D1084">
        <v>0</v>
      </c>
      <c r="E1084" t="s">
        <v>15</v>
      </c>
      <c r="F1084" t="s">
        <v>36</v>
      </c>
      <c r="G1084">
        <v>25.75</v>
      </c>
      <c r="H1084" t="s">
        <v>514</v>
      </c>
      <c r="I1084" t="s">
        <v>15</v>
      </c>
      <c r="J1084" t="s">
        <v>15</v>
      </c>
      <c r="K1084" t="s">
        <v>21</v>
      </c>
      <c r="L1084">
        <v>0</v>
      </c>
      <c r="M1084" t="s">
        <v>5030</v>
      </c>
      <c r="N1084" t="s">
        <v>5034</v>
      </c>
    </row>
    <row r="1085" spans="1:14" x14ac:dyDescent="0.3">
      <c r="A1085" t="s">
        <v>1109</v>
      </c>
      <c r="B1085" t="s">
        <v>19</v>
      </c>
      <c r="C1085" t="s">
        <v>13</v>
      </c>
      <c r="D1085">
        <v>2</v>
      </c>
      <c r="E1085" t="s">
        <v>26</v>
      </c>
      <c r="F1085" t="s">
        <v>15</v>
      </c>
      <c r="G1085">
        <v>80.95</v>
      </c>
      <c r="H1085">
        <v>171.15</v>
      </c>
      <c r="I1085" t="s">
        <v>16</v>
      </c>
      <c r="J1085" t="s">
        <v>16</v>
      </c>
      <c r="K1085" t="s">
        <v>17</v>
      </c>
      <c r="L1085">
        <v>171.15</v>
      </c>
      <c r="M1085" t="s">
        <v>5030</v>
      </c>
      <c r="N1085" t="s">
        <v>5031</v>
      </c>
    </row>
    <row r="1086" spans="1:14" x14ac:dyDescent="0.3">
      <c r="A1086" t="s">
        <v>1110</v>
      </c>
      <c r="B1086" t="s">
        <v>12</v>
      </c>
      <c r="C1086" t="s">
        <v>20</v>
      </c>
      <c r="D1086">
        <v>52</v>
      </c>
      <c r="E1086" t="s">
        <v>15</v>
      </c>
      <c r="F1086" t="s">
        <v>36</v>
      </c>
      <c r="G1086">
        <v>19.600000000000001</v>
      </c>
      <c r="H1086">
        <v>1012.4</v>
      </c>
      <c r="I1086" t="s">
        <v>15</v>
      </c>
      <c r="J1086" t="s">
        <v>15</v>
      </c>
      <c r="K1086" t="s">
        <v>29</v>
      </c>
      <c r="L1086">
        <v>1012.4</v>
      </c>
      <c r="M1086" t="s">
        <v>5033</v>
      </c>
      <c r="N1086" t="s">
        <v>5031</v>
      </c>
    </row>
    <row r="1087" spans="1:14" x14ac:dyDescent="0.3">
      <c r="A1087" t="s">
        <v>1111</v>
      </c>
      <c r="B1087" t="s">
        <v>12</v>
      </c>
      <c r="C1087" t="s">
        <v>13</v>
      </c>
      <c r="D1087">
        <v>13</v>
      </c>
      <c r="E1087" t="s">
        <v>26</v>
      </c>
      <c r="F1087" t="s">
        <v>15</v>
      </c>
      <c r="G1087">
        <v>74.3</v>
      </c>
      <c r="H1087">
        <v>940.35</v>
      </c>
      <c r="I1087" t="s">
        <v>16</v>
      </c>
      <c r="J1087" t="s">
        <v>16</v>
      </c>
      <c r="K1087" t="s">
        <v>17</v>
      </c>
      <c r="L1087">
        <v>940.35</v>
      </c>
      <c r="M1087" t="s">
        <v>5032</v>
      </c>
      <c r="N1087" t="s">
        <v>5031</v>
      </c>
    </row>
    <row r="1088" spans="1:14" x14ac:dyDescent="0.3">
      <c r="A1088" t="s">
        <v>1112</v>
      </c>
      <c r="B1088" t="s">
        <v>12</v>
      </c>
      <c r="C1088" t="s">
        <v>13</v>
      </c>
      <c r="D1088">
        <v>11</v>
      </c>
      <c r="E1088" t="s">
        <v>26</v>
      </c>
      <c r="F1088" t="s">
        <v>15</v>
      </c>
      <c r="G1088">
        <v>89.7</v>
      </c>
      <c r="H1088">
        <v>1047.7</v>
      </c>
      <c r="I1088" t="s">
        <v>16</v>
      </c>
      <c r="J1088" t="s">
        <v>15</v>
      </c>
      <c r="K1088" t="s">
        <v>24</v>
      </c>
      <c r="L1088">
        <v>1047.7</v>
      </c>
      <c r="M1088" t="s">
        <v>5030</v>
      </c>
      <c r="N1088" t="s">
        <v>5031</v>
      </c>
    </row>
    <row r="1089" spans="1:14" x14ac:dyDescent="0.3">
      <c r="A1089" t="s">
        <v>1113</v>
      </c>
      <c r="B1089" t="s">
        <v>19</v>
      </c>
      <c r="C1089" t="s">
        <v>13</v>
      </c>
      <c r="D1089">
        <v>32</v>
      </c>
      <c r="E1089" t="s">
        <v>26</v>
      </c>
      <c r="F1089" t="s">
        <v>16</v>
      </c>
      <c r="G1089">
        <v>87.65</v>
      </c>
      <c r="H1089">
        <v>2766.4</v>
      </c>
      <c r="I1089" t="s">
        <v>15</v>
      </c>
      <c r="J1089" t="s">
        <v>15</v>
      </c>
      <c r="K1089" t="s">
        <v>24</v>
      </c>
      <c r="L1089">
        <v>2766.4</v>
      </c>
      <c r="M1089" t="s">
        <v>5032</v>
      </c>
      <c r="N1089" t="s">
        <v>5034</v>
      </c>
    </row>
    <row r="1090" spans="1:14" x14ac:dyDescent="0.3">
      <c r="A1090" t="s">
        <v>1114</v>
      </c>
      <c r="B1090" t="s">
        <v>19</v>
      </c>
      <c r="C1090" t="s">
        <v>13</v>
      </c>
      <c r="D1090">
        <v>17</v>
      </c>
      <c r="E1090" t="s">
        <v>26</v>
      </c>
      <c r="F1090" t="s">
        <v>15</v>
      </c>
      <c r="G1090">
        <v>100.45</v>
      </c>
      <c r="H1090">
        <v>1622.45</v>
      </c>
      <c r="I1090" t="s">
        <v>16</v>
      </c>
      <c r="J1090" t="s">
        <v>16</v>
      </c>
      <c r="K1090" t="s">
        <v>29</v>
      </c>
      <c r="L1090">
        <v>1622.45</v>
      </c>
      <c r="M1090" t="s">
        <v>5032</v>
      </c>
      <c r="N1090" t="s">
        <v>5031</v>
      </c>
    </row>
    <row r="1091" spans="1:14" x14ac:dyDescent="0.3">
      <c r="A1091" t="s">
        <v>1115</v>
      </c>
      <c r="B1091" t="s">
        <v>12</v>
      </c>
      <c r="C1091" t="s">
        <v>13</v>
      </c>
      <c r="D1091">
        <v>16</v>
      </c>
      <c r="E1091" t="s">
        <v>26</v>
      </c>
      <c r="F1091" t="s">
        <v>15</v>
      </c>
      <c r="G1091">
        <v>74.75</v>
      </c>
      <c r="H1091">
        <v>1129.3499999999999</v>
      </c>
      <c r="I1091" t="s">
        <v>15</v>
      </c>
      <c r="J1091" t="s">
        <v>16</v>
      </c>
      <c r="K1091" t="s">
        <v>29</v>
      </c>
      <c r="L1091">
        <v>1129.3499999999999</v>
      </c>
      <c r="M1091" t="s">
        <v>5032</v>
      </c>
      <c r="N1091" t="s">
        <v>5031</v>
      </c>
    </row>
    <row r="1092" spans="1:14" x14ac:dyDescent="0.3">
      <c r="A1092" t="s">
        <v>1116</v>
      </c>
      <c r="B1092" t="s">
        <v>12</v>
      </c>
      <c r="C1092" t="s">
        <v>20</v>
      </c>
      <c r="D1092">
        <v>51</v>
      </c>
      <c r="E1092" t="s">
        <v>26</v>
      </c>
      <c r="F1092" t="s">
        <v>15</v>
      </c>
      <c r="G1092">
        <v>107.45</v>
      </c>
      <c r="H1092">
        <v>5680.9</v>
      </c>
      <c r="I1092" t="s">
        <v>15</v>
      </c>
      <c r="J1092" t="s">
        <v>15</v>
      </c>
      <c r="K1092" t="s">
        <v>24</v>
      </c>
      <c r="L1092">
        <v>5680.9</v>
      </c>
      <c r="M1092" t="s">
        <v>5033</v>
      </c>
      <c r="N1092" t="s">
        <v>5034</v>
      </c>
    </row>
    <row r="1093" spans="1:14" x14ac:dyDescent="0.3">
      <c r="A1093" t="s">
        <v>1117</v>
      </c>
      <c r="B1093" t="s">
        <v>19</v>
      </c>
      <c r="C1093" t="s">
        <v>20</v>
      </c>
      <c r="D1093">
        <v>29</v>
      </c>
      <c r="E1093" t="s">
        <v>14</v>
      </c>
      <c r="F1093" t="s">
        <v>16</v>
      </c>
      <c r="G1093">
        <v>75.349999999999994</v>
      </c>
      <c r="H1093">
        <v>2243.9</v>
      </c>
      <c r="I1093" t="s">
        <v>15</v>
      </c>
      <c r="J1093" t="s">
        <v>16</v>
      </c>
      <c r="K1093" t="s">
        <v>24</v>
      </c>
      <c r="L1093">
        <v>2243.9</v>
      </c>
      <c r="M1093" t="s">
        <v>5032</v>
      </c>
      <c r="N1093" t="s">
        <v>5031</v>
      </c>
    </row>
    <row r="1094" spans="1:14" x14ac:dyDescent="0.3">
      <c r="A1094" t="s">
        <v>1118</v>
      </c>
      <c r="B1094" t="s">
        <v>19</v>
      </c>
      <c r="C1094" t="s">
        <v>35</v>
      </c>
      <c r="D1094">
        <v>70</v>
      </c>
      <c r="E1094" t="s">
        <v>14</v>
      </c>
      <c r="F1094" t="s">
        <v>16</v>
      </c>
      <c r="G1094">
        <v>64.95</v>
      </c>
      <c r="H1094">
        <v>4523.25</v>
      </c>
      <c r="I1094" t="s">
        <v>15</v>
      </c>
      <c r="J1094" t="s">
        <v>15</v>
      </c>
      <c r="K1094" t="s">
        <v>29</v>
      </c>
      <c r="L1094">
        <v>4523.25</v>
      </c>
      <c r="M1094" t="s">
        <v>5033</v>
      </c>
      <c r="N1094" t="s">
        <v>5034</v>
      </c>
    </row>
    <row r="1095" spans="1:14" x14ac:dyDescent="0.3">
      <c r="A1095" t="s">
        <v>1119</v>
      </c>
      <c r="B1095" t="s">
        <v>12</v>
      </c>
      <c r="C1095" t="s">
        <v>35</v>
      </c>
      <c r="D1095">
        <v>71</v>
      </c>
      <c r="E1095" t="s">
        <v>26</v>
      </c>
      <c r="F1095" t="s">
        <v>16</v>
      </c>
      <c r="G1095">
        <v>100.45</v>
      </c>
      <c r="H1095">
        <v>7159.7</v>
      </c>
      <c r="I1095" t="s">
        <v>15</v>
      </c>
      <c r="J1095" t="s">
        <v>15</v>
      </c>
      <c r="K1095" t="s">
        <v>17</v>
      </c>
      <c r="L1095">
        <v>7159.7</v>
      </c>
      <c r="M1095" t="s">
        <v>5033</v>
      </c>
      <c r="N1095" t="s">
        <v>5034</v>
      </c>
    </row>
    <row r="1096" spans="1:14" x14ac:dyDescent="0.3">
      <c r="A1096" t="s">
        <v>1120</v>
      </c>
      <c r="B1096" t="s">
        <v>19</v>
      </c>
      <c r="C1096" t="s">
        <v>20</v>
      </c>
      <c r="D1096">
        <v>41</v>
      </c>
      <c r="E1096" t="s">
        <v>14</v>
      </c>
      <c r="F1096" t="s">
        <v>15</v>
      </c>
      <c r="G1096">
        <v>68.5</v>
      </c>
      <c r="H1096">
        <v>2839.95</v>
      </c>
      <c r="I1096" t="s">
        <v>15</v>
      </c>
      <c r="J1096" t="s">
        <v>15</v>
      </c>
      <c r="K1096" t="s">
        <v>24</v>
      </c>
      <c r="L1096">
        <v>2839.95</v>
      </c>
      <c r="M1096" t="s">
        <v>5033</v>
      </c>
      <c r="N1096" t="s">
        <v>5034</v>
      </c>
    </row>
    <row r="1097" spans="1:14" x14ac:dyDescent="0.3">
      <c r="A1097" t="s">
        <v>1121</v>
      </c>
      <c r="B1097" t="s">
        <v>19</v>
      </c>
      <c r="C1097" t="s">
        <v>13</v>
      </c>
      <c r="D1097">
        <v>1</v>
      </c>
      <c r="E1097" t="s">
        <v>26</v>
      </c>
      <c r="F1097" t="s">
        <v>15</v>
      </c>
      <c r="G1097">
        <v>80.55</v>
      </c>
      <c r="H1097">
        <v>80.55</v>
      </c>
      <c r="I1097" t="s">
        <v>15</v>
      </c>
      <c r="J1097" t="s">
        <v>16</v>
      </c>
      <c r="K1097" t="s">
        <v>17</v>
      </c>
      <c r="L1097">
        <v>80.55</v>
      </c>
      <c r="M1097" t="s">
        <v>5030</v>
      </c>
      <c r="N1097" t="s">
        <v>5031</v>
      </c>
    </row>
    <row r="1098" spans="1:14" x14ac:dyDescent="0.3">
      <c r="A1098" t="s">
        <v>1122</v>
      </c>
      <c r="B1098" t="s">
        <v>12</v>
      </c>
      <c r="C1098" t="s">
        <v>13</v>
      </c>
      <c r="D1098">
        <v>7</v>
      </c>
      <c r="E1098" t="s">
        <v>14</v>
      </c>
      <c r="F1098" t="s">
        <v>16</v>
      </c>
      <c r="G1098">
        <v>81.25</v>
      </c>
      <c r="H1098">
        <v>580.1</v>
      </c>
      <c r="I1098" t="s">
        <v>15</v>
      </c>
      <c r="J1098" t="s">
        <v>15</v>
      </c>
      <c r="K1098" t="s">
        <v>24</v>
      </c>
      <c r="L1098">
        <v>580.1</v>
      </c>
      <c r="M1098" t="s">
        <v>5030</v>
      </c>
      <c r="N1098" t="s">
        <v>5031</v>
      </c>
    </row>
    <row r="1099" spans="1:14" x14ac:dyDescent="0.3">
      <c r="A1099" t="s">
        <v>1123</v>
      </c>
      <c r="B1099" t="s">
        <v>19</v>
      </c>
      <c r="C1099" t="s">
        <v>20</v>
      </c>
      <c r="D1099">
        <v>25</v>
      </c>
      <c r="E1099" t="s">
        <v>26</v>
      </c>
      <c r="F1099" t="s">
        <v>15</v>
      </c>
      <c r="G1099">
        <v>90.4</v>
      </c>
      <c r="H1099">
        <v>2178.6</v>
      </c>
      <c r="I1099" t="s">
        <v>16</v>
      </c>
      <c r="J1099" t="s">
        <v>16</v>
      </c>
      <c r="K1099" t="s">
        <v>17</v>
      </c>
      <c r="L1099">
        <v>2178.6</v>
      </c>
      <c r="M1099" t="s">
        <v>5032</v>
      </c>
      <c r="N1099" t="s">
        <v>5031</v>
      </c>
    </row>
    <row r="1100" spans="1:14" x14ac:dyDescent="0.3">
      <c r="A1100" t="s">
        <v>1124</v>
      </c>
      <c r="B1100" t="s">
        <v>19</v>
      </c>
      <c r="C1100" t="s">
        <v>20</v>
      </c>
      <c r="D1100">
        <v>67</v>
      </c>
      <c r="E1100" t="s">
        <v>26</v>
      </c>
      <c r="F1100" t="s">
        <v>16</v>
      </c>
      <c r="G1100">
        <v>89.55</v>
      </c>
      <c r="H1100">
        <v>6038.55</v>
      </c>
      <c r="I1100" t="s">
        <v>15</v>
      </c>
      <c r="J1100" t="s">
        <v>15</v>
      </c>
      <c r="K1100" t="s">
        <v>17</v>
      </c>
      <c r="L1100">
        <v>6038.55</v>
      </c>
      <c r="M1100" t="s">
        <v>5033</v>
      </c>
      <c r="N1100" t="s">
        <v>5034</v>
      </c>
    </row>
    <row r="1101" spans="1:14" x14ac:dyDescent="0.3">
      <c r="A1101" t="s">
        <v>1125</v>
      </c>
      <c r="B1101" t="s">
        <v>19</v>
      </c>
      <c r="C1101" t="s">
        <v>13</v>
      </c>
      <c r="D1101">
        <v>5</v>
      </c>
      <c r="E1101" t="s">
        <v>14</v>
      </c>
      <c r="F1101" t="s">
        <v>16</v>
      </c>
      <c r="G1101">
        <v>55.7</v>
      </c>
      <c r="H1101">
        <v>259.39999999999998</v>
      </c>
      <c r="I1101" t="s">
        <v>15</v>
      </c>
      <c r="J1101" t="s">
        <v>16</v>
      </c>
      <c r="K1101" t="s">
        <v>21</v>
      </c>
      <c r="L1101">
        <v>259.39999999999998</v>
      </c>
      <c r="M1101" t="s">
        <v>5030</v>
      </c>
      <c r="N1101" t="s">
        <v>5031</v>
      </c>
    </row>
    <row r="1102" spans="1:14" x14ac:dyDescent="0.3">
      <c r="A1102" t="s">
        <v>1126</v>
      </c>
      <c r="B1102" t="s">
        <v>19</v>
      </c>
      <c r="C1102" t="s">
        <v>13</v>
      </c>
      <c r="D1102">
        <v>15</v>
      </c>
      <c r="E1102" t="s">
        <v>15</v>
      </c>
      <c r="F1102" t="s">
        <v>36</v>
      </c>
      <c r="G1102">
        <v>24.8</v>
      </c>
      <c r="H1102">
        <v>324.14999999999998</v>
      </c>
      <c r="I1102" t="s">
        <v>15</v>
      </c>
      <c r="J1102" t="s">
        <v>16</v>
      </c>
      <c r="K1102" t="s">
        <v>17</v>
      </c>
      <c r="L1102">
        <v>324.14999999999998</v>
      </c>
      <c r="M1102" t="s">
        <v>5032</v>
      </c>
      <c r="N1102" t="s">
        <v>5031</v>
      </c>
    </row>
    <row r="1103" spans="1:14" x14ac:dyDescent="0.3">
      <c r="A1103" t="s">
        <v>1127</v>
      </c>
      <c r="B1103" t="s">
        <v>12</v>
      </c>
      <c r="C1103" t="s">
        <v>13</v>
      </c>
      <c r="D1103">
        <v>20</v>
      </c>
      <c r="E1103" t="s">
        <v>15</v>
      </c>
      <c r="F1103" t="s">
        <v>36</v>
      </c>
      <c r="G1103">
        <v>20</v>
      </c>
      <c r="H1103">
        <v>417.65</v>
      </c>
      <c r="I1103" t="s">
        <v>15</v>
      </c>
      <c r="J1103" t="s">
        <v>15</v>
      </c>
      <c r="K1103" t="s">
        <v>17</v>
      </c>
      <c r="L1103">
        <v>417.65</v>
      </c>
      <c r="M1103" t="s">
        <v>5032</v>
      </c>
      <c r="N1103" t="s">
        <v>5031</v>
      </c>
    </row>
    <row r="1104" spans="1:14" x14ac:dyDescent="0.3">
      <c r="A1104" t="s">
        <v>1128</v>
      </c>
      <c r="B1104" t="s">
        <v>19</v>
      </c>
      <c r="C1104" t="s">
        <v>13</v>
      </c>
      <c r="D1104">
        <v>3</v>
      </c>
      <c r="E1104" t="s">
        <v>14</v>
      </c>
      <c r="F1104" t="s">
        <v>15</v>
      </c>
      <c r="G1104">
        <v>56.15</v>
      </c>
      <c r="H1104">
        <v>168.15</v>
      </c>
      <c r="I1104" t="s">
        <v>16</v>
      </c>
      <c r="J1104" t="s">
        <v>16</v>
      </c>
      <c r="K1104" t="s">
        <v>21</v>
      </c>
      <c r="L1104">
        <v>168.15</v>
      </c>
      <c r="M1104" t="s">
        <v>5030</v>
      </c>
      <c r="N1104" t="s">
        <v>5031</v>
      </c>
    </row>
    <row r="1105" spans="1:14" x14ac:dyDescent="0.3">
      <c r="A1105" t="s">
        <v>1129</v>
      </c>
      <c r="B1105" t="s">
        <v>19</v>
      </c>
      <c r="C1105" t="s">
        <v>20</v>
      </c>
      <c r="D1105">
        <v>54</v>
      </c>
      <c r="E1105" t="s">
        <v>26</v>
      </c>
      <c r="F1105" t="s">
        <v>16</v>
      </c>
      <c r="G1105">
        <v>105.2</v>
      </c>
      <c r="H1105">
        <v>5637.85</v>
      </c>
      <c r="I1105" t="s">
        <v>15</v>
      </c>
      <c r="J1105" t="s">
        <v>16</v>
      </c>
      <c r="K1105" t="s">
        <v>17</v>
      </c>
      <c r="L1105">
        <v>5637.85</v>
      </c>
      <c r="M1105" t="s">
        <v>5033</v>
      </c>
      <c r="N1105" t="s">
        <v>5034</v>
      </c>
    </row>
    <row r="1106" spans="1:14" x14ac:dyDescent="0.3">
      <c r="A1106" t="s">
        <v>1130</v>
      </c>
      <c r="B1106" t="s">
        <v>19</v>
      </c>
      <c r="C1106" t="s">
        <v>20</v>
      </c>
      <c r="D1106">
        <v>42</v>
      </c>
      <c r="E1106" t="s">
        <v>15</v>
      </c>
      <c r="F1106" t="s">
        <v>36</v>
      </c>
      <c r="G1106">
        <v>19.55</v>
      </c>
      <c r="H1106">
        <v>839.4</v>
      </c>
      <c r="I1106" t="s">
        <v>15</v>
      </c>
      <c r="J1106" t="s">
        <v>16</v>
      </c>
      <c r="K1106" t="s">
        <v>21</v>
      </c>
      <c r="L1106">
        <v>839.4</v>
      </c>
      <c r="M1106" t="s">
        <v>5033</v>
      </c>
      <c r="N1106" t="s">
        <v>5031</v>
      </c>
    </row>
    <row r="1107" spans="1:14" x14ac:dyDescent="0.3">
      <c r="A1107" t="s">
        <v>1131</v>
      </c>
      <c r="B1107" t="s">
        <v>12</v>
      </c>
      <c r="C1107" t="s">
        <v>13</v>
      </c>
      <c r="D1107">
        <v>9</v>
      </c>
      <c r="E1107" t="s">
        <v>26</v>
      </c>
      <c r="F1107" t="s">
        <v>15</v>
      </c>
      <c r="G1107">
        <v>79.75</v>
      </c>
      <c r="H1107">
        <v>769.1</v>
      </c>
      <c r="I1107" t="s">
        <v>15</v>
      </c>
      <c r="J1107" t="s">
        <v>16</v>
      </c>
      <c r="K1107" t="s">
        <v>17</v>
      </c>
      <c r="L1107">
        <v>769.1</v>
      </c>
      <c r="M1107" t="s">
        <v>5030</v>
      </c>
      <c r="N1107" t="s">
        <v>5031</v>
      </c>
    </row>
    <row r="1108" spans="1:14" x14ac:dyDescent="0.3">
      <c r="A1108" t="s">
        <v>1132</v>
      </c>
      <c r="B1108" t="s">
        <v>12</v>
      </c>
      <c r="C1108" t="s">
        <v>35</v>
      </c>
      <c r="D1108">
        <v>63</v>
      </c>
      <c r="E1108" t="s">
        <v>26</v>
      </c>
      <c r="F1108" t="s">
        <v>15</v>
      </c>
      <c r="G1108">
        <v>97.45</v>
      </c>
      <c r="H1108">
        <v>6253</v>
      </c>
      <c r="I1108" t="s">
        <v>15</v>
      </c>
      <c r="J1108" t="s">
        <v>15</v>
      </c>
      <c r="K1108" t="s">
        <v>24</v>
      </c>
      <c r="L1108">
        <v>6253</v>
      </c>
      <c r="M1108" t="s">
        <v>5033</v>
      </c>
      <c r="N1108" t="s">
        <v>5034</v>
      </c>
    </row>
    <row r="1109" spans="1:14" x14ac:dyDescent="0.3">
      <c r="A1109" t="s">
        <v>1133</v>
      </c>
      <c r="B1109" t="s">
        <v>12</v>
      </c>
      <c r="C1109" t="s">
        <v>35</v>
      </c>
      <c r="D1109">
        <v>69</v>
      </c>
      <c r="E1109" t="s">
        <v>15</v>
      </c>
      <c r="F1109" t="s">
        <v>36</v>
      </c>
      <c r="G1109">
        <v>24.25</v>
      </c>
      <c r="H1109">
        <v>1641.8</v>
      </c>
      <c r="I1109" t="s">
        <v>15</v>
      </c>
      <c r="J1109" t="s">
        <v>15</v>
      </c>
      <c r="K1109" t="s">
        <v>24</v>
      </c>
      <c r="L1109">
        <v>1641.8</v>
      </c>
      <c r="M1109" t="s">
        <v>5033</v>
      </c>
      <c r="N1109" t="s">
        <v>5031</v>
      </c>
    </row>
    <row r="1110" spans="1:14" x14ac:dyDescent="0.3">
      <c r="A1110" t="s">
        <v>1134</v>
      </c>
      <c r="B1110" t="s">
        <v>12</v>
      </c>
      <c r="C1110" t="s">
        <v>35</v>
      </c>
      <c r="D1110">
        <v>69</v>
      </c>
      <c r="E1110" t="s">
        <v>15</v>
      </c>
      <c r="F1110" t="s">
        <v>36</v>
      </c>
      <c r="G1110">
        <v>24.6</v>
      </c>
      <c r="H1110">
        <v>1678.05</v>
      </c>
      <c r="I1110" t="s">
        <v>15</v>
      </c>
      <c r="J1110" t="s">
        <v>15</v>
      </c>
      <c r="K1110" t="s">
        <v>29</v>
      </c>
      <c r="L1110">
        <v>1678.05</v>
      </c>
      <c r="M1110" t="s">
        <v>5033</v>
      </c>
      <c r="N1110" t="s">
        <v>5031</v>
      </c>
    </row>
    <row r="1111" spans="1:14" x14ac:dyDescent="0.3">
      <c r="A1111" t="s">
        <v>1135</v>
      </c>
      <c r="B1111" t="s">
        <v>19</v>
      </c>
      <c r="C1111" t="s">
        <v>13</v>
      </c>
      <c r="D1111">
        <v>40</v>
      </c>
      <c r="E1111" t="s">
        <v>14</v>
      </c>
      <c r="F1111" t="s">
        <v>15</v>
      </c>
      <c r="G1111">
        <v>50.15</v>
      </c>
      <c r="H1111">
        <v>2058.5</v>
      </c>
      <c r="I1111" t="s">
        <v>15</v>
      </c>
      <c r="J1111" t="s">
        <v>16</v>
      </c>
      <c r="K1111" t="s">
        <v>21</v>
      </c>
      <c r="L1111">
        <v>2058.5</v>
      </c>
      <c r="M1111" t="s">
        <v>5033</v>
      </c>
      <c r="N1111" t="s">
        <v>5031</v>
      </c>
    </row>
    <row r="1112" spans="1:14" x14ac:dyDescent="0.3">
      <c r="A1112" t="s">
        <v>1136</v>
      </c>
      <c r="B1112" t="s">
        <v>19</v>
      </c>
      <c r="C1112" t="s">
        <v>35</v>
      </c>
      <c r="D1112">
        <v>60</v>
      </c>
      <c r="E1112" t="s">
        <v>14</v>
      </c>
      <c r="F1112" t="s">
        <v>15</v>
      </c>
      <c r="G1112">
        <v>39.6</v>
      </c>
      <c r="H1112">
        <v>2424.5</v>
      </c>
      <c r="I1112" t="s">
        <v>15</v>
      </c>
      <c r="J1112" t="s">
        <v>15</v>
      </c>
      <c r="K1112" t="s">
        <v>24</v>
      </c>
      <c r="L1112">
        <v>2424.5</v>
      </c>
      <c r="M1112" t="s">
        <v>5033</v>
      </c>
      <c r="N1112" t="s">
        <v>5031</v>
      </c>
    </row>
    <row r="1113" spans="1:14" x14ac:dyDescent="0.3">
      <c r="A1113" t="s">
        <v>1137</v>
      </c>
      <c r="B1113" t="s">
        <v>12</v>
      </c>
      <c r="C1113" t="s">
        <v>13</v>
      </c>
      <c r="D1113">
        <v>4</v>
      </c>
      <c r="E1113" t="s">
        <v>26</v>
      </c>
      <c r="F1113" t="s">
        <v>16</v>
      </c>
      <c r="G1113">
        <v>94.4</v>
      </c>
      <c r="H1113">
        <v>387.2</v>
      </c>
      <c r="I1113" t="s">
        <v>16</v>
      </c>
      <c r="J1113" t="s">
        <v>16</v>
      </c>
      <c r="K1113" t="s">
        <v>24</v>
      </c>
      <c r="L1113">
        <v>387.2</v>
      </c>
      <c r="M1113" t="s">
        <v>5030</v>
      </c>
      <c r="N1113" t="s">
        <v>5031</v>
      </c>
    </row>
    <row r="1114" spans="1:14" x14ac:dyDescent="0.3">
      <c r="A1114" t="s">
        <v>1138</v>
      </c>
      <c r="B1114" t="s">
        <v>12</v>
      </c>
      <c r="C1114" t="s">
        <v>35</v>
      </c>
      <c r="D1114">
        <v>71</v>
      </c>
      <c r="E1114" t="s">
        <v>14</v>
      </c>
      <c r="F1114" t="s">
        <v>16</v>
      </c>
      <c r="G1114">
        <v>89.85</v>
      </c>
      <c r="H1114">
        <v>6293.45</v>
      </c>
      <c r="I1114" t="s">
        <v>15</v>
      </c>
      <c r="J1114" t="s">
        <v>15</v>
      </c>
      <c r="K1114" t="s">
        <v>21</v>
      </c>
      <c r="L1114">
        <v>6293.45</v>
      </c>
      <c r="M1114" t="s">
        <v>5033</v>
      </c>
      <c r="N1114" t="s">
        <v>5034</v>
      </c>
    </row>
    <row r="1115" spans="1:14" x14ac:dyDescent="0.3">
      <c r="A1115" t="s">
        <v>1139</v>
      </c>
      <c r="B1115" t="s">
        <v>12</v>
      </c>
      <c r="C1115" t="s">
        <v>13</v>
      </c>
      <c r="D1115">
        <v>37</v>
      </c>
      <c r="E1115" t="s">
        <v>26</v>
      </c>
      <c r="F1115" t="s">
        <v>15</v>
      </c>
      <c r="G1115">
        <v>78.95</v>
      </c>
      <c r="H1115">
        <v>2839.65</v>
      </c>
      <c r="I1115" t="s">
        <v>16</v>
      </c>
      <c r="J1115" t="s">
        <v>16</v>
      </c>
      <c r="K1115" t="s">
        <v>29</v>
      </c>
      <c r="L1115">
        <v>2839.65</v>
      </c>
      <c r="M1115" t="s">
        <v>5033</v>
      </c>
      <c r="N1115" t="s">
        <v>5034</v>
      </c>
    </row>
    <row r="1116" spans="1:14" x14ac:dyDescent="0.3">
      <c r="A1116" t="s">
        <v>1140</v>
      </c>
      <c r="B1116" t="s">
        <v>19</v>
      </c>
      <c r="C1116" t="s">
        <v>13</v>
      </c>
      <c r="D1116">
        <v>32</v>
      </c>
      <c r="E1116" t="s">
        <v>26</v>
      </c>
      <c r="F1116" t="s">
        <v>15</v>
      </c>
      <c r="G1116">
        <v>98.85</v>
      </c>
      <c r="H1116">
        <v>3145.9</v>
      </c>
      <c r="I1116" t="s">
        <v>15</v>
      </c>
      <c r="J1116" t="s">
        <v>16</v>
      </c>
      <c r="K1116" t="s">
        <v>29</v>
      </c>
      <c r="L1116">
        <v>3145.9</v>
      </c>
      <c r="M1116" t="s">
        <v>5032</v>
      </c>
      <c r="N1116" t="s">
        <v>5034</v>
      </c>
    </row>
    <row r="1117" spans="1:14" x14ac:dyDescent="0.3">
      <c r="A1117" t="s">
        <v>1141</v>
      </c>
      <c r="B1117" t="s">
        <v>19</v>
      </c>
      <c r="C1117" t="s">
        <v>35</v>
      </c>
      <c r="D1117">
        <v>39</v>
      </c>
      <c r="E1117" t="s">
        <v>14</v>
      </c>
      <c r="F1117" t="s">
        <v>16</v>
      </c>
      <c r="G1117">
        <v>53.85</v>
      </c>
      <c r="H1117">
        <v>2200.6999999999998</v>
      </c>
      <c r="I1117" t="s">
        <v>15</v>
      </c>
      <c r="J1117" t="s">
        <v>16</v>
      </c>
      <c r="K1117" t="s">
        <v>29</v>
      </c>
      <c r="L1117">
        <v>2200.6999999999998</v>
      </c>
      <c r="M1117" t="s">
        <v>5033</v>
      </c>
      <c r="N1117" t="s">
        <v>5031</v>
      </c>
    </row>
    <row r="1118" spans="1:14" x14ac:dyDescent="0.3">
      <c r="A1118" t="s">
        <v>1142</v>
      </c>
      <c r="B1118" t="s">
        <v>12</v>
      </c>
      <c r="C1118" t="s">
        <v>20</v>
      </c>
      <c r="D1118">
        <v>38</v>
      </c>
      <c r="E1118" t="s">
        <v>15</v>
      </c>
      <c r="F1118" t="s">
        <v>36</v>
      </c>
      <c r="G1118">
        <v>24.25</v>
      </c>
      <c r="H1118">
        <v>914.4</v>
      </c>
      <c r="I1118" t="s">
        <v>15</v>
      </c>
      <c r="J1118" t="s">
        <v>16</v>
      </c>
      <c r="K1118" t="s">
        <v>17</v>
      </c>
      <c r="L1118">
        <v>914.4</v>
      </c>
      <c r="M1118" t="s">
        <v>5033</v>
      </c>
      <c r="N1118" t="s">
        <v>5031</v>
      </c>
    </row>
    <row r="1119" spans="1:14" x14ac:dyDescent="0.3">
      <c r="A1119" t="s">
        <v>1143</v>
      </c>
      <c r="B1119" t="s">
        <v>19</v>
      </c>
      <c r="C1119" t="s">
        <v>35</v>
      </c>
      <c r="D1119">
        <v>52</v>
      </c>
      <c r="E1119" t="s">
        <v>26</v>
      </c>
      <c r="F1119" t="s">
        <v>15</v>
      </c>
      <c r="G1119">
        <v>89.45</v>
      </c>
      <c r="H1119">
        <v>4577.75</v>
      </c>
      <c r="I1119" t="s">
        <v>15</v>
      </c>
      <c r="J1119" t="s">
        <v>16</v>
      </c>
      <c r="K1119" t="s">
        <v>29</v>
      </c>
      <c r="L1119">
        <v>4577.75</v>
      </c>
      <c r="M1119" t="s">
        <v>5033</v>
      </c>
      <c r="N1119" t="s">
        <v>5034</v>
      </c>
    </row>
    <row r="1120" spans="1:14" x14ac:dyDescent="0.3">
      <c r="A1120" t="s">
        <v>1144</v>
      </c>
      <c r="B1120" t="s">
        <v>12</v>
      </c>
      <c r="C1120" t="s">
        <v>13</v>
      </c>
      <c r="D1120">
        <v>48</v>
      </c>
      <c r="E1120" t="s">
        <v>26</v>
      </c>
      <c r="F1120" t="s">
        <v>15</v>
      </c>
      <c r="G1120">
        <v>105.25</v>
      </c>
      <c r="H1120">
        <v>4997.5</v>
      </c>
      <c r="I1120" t="s">
        <v>15</v>
      </c>
      <c r="J1120" t="s">
        <v>16</v>
      </c>
      <c r="K1120" t="s">
        <v>29</v>
      </c>
      <c r="L1120">
        <v>4997.5</v>
      </c>
      <c r="M1120" t="s">
        <v>5033</v>
      </c>
      <c r="N1120" t="s">
        <v>5034</v>
      </c>
    </row>
    <row r="1121" spans="1:14" x14ac:dyDescent="0.3">
      <c r="A1121" t="s">
        <v>1145</v>
      </c>
      <c r="B1121" t="s">
        <v>19</v>
      </c>
      <c r="C1121" t="s">
        <v>35</v>
      </c>
      <c r="D1121">
        <v>70</v>
      </c>
      <c r="E1121" t="s">
        <v>14</v>
      </c>
      <c r="F1121" t="s">
        <v>16</v>
      </c>
      <c r="G1121">
        <v>59.5</v>
      </c>
      <c r="H1121">
        <v>4144.8</v>
      </c>
      <c r="I1121" t="s">
        <v>15</v>
      </c>
      <c r="J1121" t="s">
        <v>15</v>
      </c>
      <c r="K1121" t="s">
        <v>24</v>
      </c>
      <c r="L1121">
        <v>4144.8</v>
      </c>
      <c r="M1121" t="s">
        <v>5033</v>
      </c>
      <c r="N1121" t="s">
        <v>5034</v>
      </c>
    </row>
    <row r="1122" spans="1:14" x14ac:dyDescent="0.3">
      <c r="A1122" t="s">
        <v>1146</v>
      </c>
      <c r="B1122" t="s">
        <v>19</v>
      </c>
      <c r="C1122" t="s">
        <v>13</v>
      </c>
      <c r="D1122">
        <v>20</v>
      </c>
      <c r="E1122" t="s">
        <v>26</v>
      </c>
      <c r="F1122" t="s">
        <v>15</v>
      </c>
      <c r="G1122">
        <v>70.55</v>
      </c>
      <c r="H1122">
        <v>1493.55</v>
      </c>
      <c r="I1122" t="s">
        <v>15</v>
      </c>
      <c r="J1122" t="s">
        <v>15</v>
      </c>
      <c r="K1122" t="s">
        <v>29</v>
      </c>
      <c r="L1122">
        <v>1493.55</v>
      </c>
      <c r="M1122" t="s">
        <v>5032</v>
      </c>
      <c r="N1122" t="s">
        <v>5031</v>
      </c>
    </row>
    <row r="1123" spans="1:14" x14ac:dyDescent="0.3">
      <c r="A1123" t="s">
        <v>1147</v>
      </c>
      <c r="B1123" t="s">
        <v>12</v>
      </c>
      <c r="C1123" t="s">
        <v>20</v>
      </c>
      <c r="D1123">
        <v>50</v>
      </c>
      <c r="E1123" t="s">
        <v>14</v>
      </c>
      <c r="F1123" t="s">
        <v>16</v>
      </c>
      <c r="G1123">
        <v>82.5</v>
      </c>
      <c r="H1123">
        <v>4179.1000000000004</v>
      </c>
      <c r="I1123" t="s">
        <v>15</v>
      </c>
      <c r="J1123" t="s">
        <v>16</v>
      </c>
      <c r="K1123" t="s">
        <v>29</v>
      </c>
      <c r="L1123">
        <v>4179.1000000000004</v>
      </c>
      <c r="M1123" t="s">
        <v>5033</v>
      </c>
      <c r="N1123" t="s">
        <v>5034</v>
      </c>
    </row>
    <row r="1124" spans="1:14" x14ac:dyDescent="0.3">
      <c r="A1124" t="s">
        <v>1148</v>
      </c>
      <c r="B1124" t="s">
        <v>12</v>
      </c>
      <c r="C1124" t="s">
        <v>20</v>
      </c>
      <c r="D1124">
        <v>19</v>
      </c>
      <c r="E1124" t="s">
        <v>14</v>
      </c>
      <c r="F1124" t="s">
        <v>15</v>
      </c>
      <c r="G1124">
        <v>44.85</v>
      </c>
      <c r="H1124">
        <v>893.55</v>
      </c>
      <c r="I1124" t="s">
        <v>16</v>
      </c>
      <c r="J1124" t="s">
        <v>16</v>
      </c>
      <c r="K1124" t="s">
        <v>29</v>
      </c>
      <c r="L1124">
        <v>893.55</v>
      </c>
      <c r="M1124" t="s">
        <v>5032</v>
      </c>
      <c r="N1124" t="s">
        <v>5031</v>
      </c>
    </row>
    <row r="1125" spans="1:14" x14ac:dyDescent="0.3">
      <c r="A1125" t="s">
        <v>1149</v>
      </c>
      <c r="B1125" t="s">
        <v>19</v>
      </c>
      <c r="C1125" t="s">
        <v>20</v>
      </c>
      <c r="D1125">
        <v>25</v>
      </c>
      <c r="E1125" t="s">
        <v>14</v>
      </c>
      <c r="F1125" t="s">
        <v>15</v>
      </c>
      <c r="G1125">
        <v>61.6</v>
      </c>
      <c r="H1125">
        <v>1611</v>
      </c>
      <c r="I1125" t="s">
        <v>15</v>
      </c>
      <c r="J1125" t="s">
        <v>16</v>
      </c>
      <c r="K1125" t="s">
        <v>24</v>
      </c>
      <c r="L1125">
        <v>1611</v>
      </c>
      <c r="M1125" t="s">
        <v>5032</v>
      </c>
      <c r="N1125" t="s">
        <v>5031</v>
      </c>
    </row>
    <row r="1126" spans="1:14" x14ac:dyDescent="0.3">
      <c r="A1126" t="s">
        <v>1150</v>
      </c>
      <c r="B1126" t="s">
        <v>19</v>
      </c>
      <c r="C1126" t="s">
        <v>13</v>
      </c>
      <c r="D1126">
        <v>12</v>
      </c>
      <c r="E1126" t="s">
        <v>14</v>
      </c>
      <c r="F1126" t="s">
        <v>15</v>
      </c>
      <c r="G1126">
        <v>49.05</v>
      </c>
      <c r="H1126">
        <v>593.04999999999995</v>
      </c>
      <c r="I1126" t="s">
        <v>15</v>
      </c>
      <c r="J1126" t="s">
        <v>16</v>
      </c>
      <c r="K1126" t="s">
        <v>24</v>
      </c>
      <c r="L1126">
        <v>593.04999999999995</v>
      </c>
      <c r="M1126" t="s">
        <v>5030</v>
      </c>
      <c r="N1126" t="s">
        <v>5031</v>
      </c>
    </row>
    <row r="1127" spans="1:14" x14ac:dyDescent="0.3">
      <c r="A1127" t="s">
        <v>1151</v>
      </c>
      <c r="B1127" t="s">
        <v>19</v>
      </c>
      <c r="C1127" t="s">
        <v>13</v>
      </c>
      <c r="D1127">
        <v>39</v>
      </c>
      <c r="E1127" t="s">
        <v>26</v>
      </c>
      <c r="F1127" t="s">
        <v>15</v>
      </c>
      <c r="G1127">
        <v>105.65</v>
      </c>
      <c r="H1127">
        <v>4284.8</v>
      </c>
      <c r="I1127" t="s">
        <v>16</v>
      </c>
      <c r="J1127" t="s">
        <v>16</v>
      </c>
      <c r="K1127" t="s">
        <v>17</v>
      </c>
      <c r="L1127">
        <v>4284.8</v>
      </c>
      <c r="M1127" t="s">
        <v>5033</v>
      </c>
      <c r="N1127" t="s">
        <v>5034</v>
      </c>
    </row>
    <row r="1128" spans="1:14" x14ac:dyDescent="0.3">
      <c r="A1128" t="s">
        <v>1152</v>
      </c>
      <c r="B1128" t="s">
        <v>19</v>
      </c>
      <c r="C1128" t="s">
        <v>13</v>
      </c>
      <c r="D1128">
        <v>7</v>
      </c>
      <c r="E1128" t="s">
        <v>26</v>
      </c>
      <c r="F1128" t="s">
        <v>15</v>
      </c>
      <c r="G1128">
        <v>74.650000000000006</v>
      </c>
      <c r="H1128">
        <v>544.54999999999995</v>
      </c>
      <c r="I1128" t="s">
        <v>16</v>
      </c>
      <c r="J1128" t="s">
        <v>15</v>
      </c>
      <c r="K1128" t="s">
        <v>21</v>
      </c>
      <c r="L1128">
        <v>544.54999999999995</v>
      </c>
      <c r="M1128" t="s">
        <v>5030</v>
      </c>
      <c r="N1128" t="s">
        <v>5031</v>
      </c>
    </row>
    <row r="1129" spans="1:14" x14ac:dyDescent="0.3">
      <c r="A1129" t="s">
        <v>1153</v>
      </c>
      <c r="B1129" t="s">
        <v>12</v>
      </c>
      <c r="C1129" t="s">
        <v>20</v>
      </c>
      <c r="D1129">
        <v>23</v>
      </c>
      <c r="E1129" t="s">
        <v>14</v>
      </c>
      <c r="F1129" t="s">
        <v>16</v>
      </c>
      <c r="G1129">
        <v>66.25</v>
      </c>
      <c r="H1129">
        <v>1533.8</v>
      </c>
      <c r="I1129" t="s">
        <v>15</v>
      </c>
      <c r="J1129" t="s">
        <v>16</v>
      </c>
      <c r="K1129" t="s">
        <v>21</v>
      </c>
      <c r="L1129">
        <v>1533.8</v>
      </c>
      <c r="M1129" t="s">
        <v>5032</v>
      </c>
      <c r="N1129" t="s">
        <v>5031</v>
      </c>
    </row>
    <row r="1130" spans="1:14" x14ac:dyDescent="0.3">
      <c r="A1130" t="s">
        <v>1154</v>
      </c>
      <c r="B1130" t="s">
        <v>19</v>
      </c>
      <c r="C1130" t="s">
        <v>13</v>
      </c>
      <c r="D1130">
        <v>27</v>
      </c>
      <c r="E1130" t="s">
        <v>15</v>
      </c>
      <c r="F1130" t="s">
        <v>36</v>
      </c>
      <c r="G1130">
        <v>19.399999999999999</v>
      </c>
      <c r="H1130">
        <v>529.79999999999995</v>
      </c>
      <c r="I1130" t="s">
        <v>15</v>
      </c>
      <c r="J1130" t="s">
        <v>16</v>
      </c>
      <c r="K1130" t="s">
        <v>17</v>
      </c>
      <c r="L1130">
        <v>529.79999999999995</v>
      </c>
      <c r="M1130" t="s">
        <v>5032</v>
      </c>
      <c r="N1130" t="s">
        <v>5031</v>
      </c>
    </row>
    <row r="1131" spans="1:14" x14ac:dyDescent="0.3">
      <c r="A1131" t="s">
        <v>1155</v>
      </c>
      <c r="B1131" t="s">
        <v>19</v>
      </c>
      <c r="C1131" t="s">
        <v>13</v>
      </c>
      <c r="D1131">
        <v>47</v>
      </c>
      <c r="E1131" t="s">
        <v>26</v>
      </c>
      <c r="F1131" t="s">
        <v>15</v>
      </c>
      <c r="G1131">
        <v>86.05</v>
      </c>
      <c r="H1131">
        <v>3865.6</v>
      </c>
      <c r="I1131" t="s">
        <v>15</v>
      </c>
      <c r="J1131" t="s">
        <v>16</v>
      </c>
      <c r="K1131" t="s">
        <v>29</v>
      </c>
      <c r="L1131">
        <v>3865.6</v>
      </c>
      <c r="M1131" t="s">
        <v>5033</v>
      </c>
      <c r="N1131" t="s">
        <v>5034</v>
      </c>
    </row>
    <row r="1132" spans="1:14" x14ac:dyDescent="0.3">
      <c r="A1132" t="s">
        <v>1156</v>
      </c>
      <c r="B1132" t="s">
        <v>19</v>
      </c>
      <c r="C1132" t="s">
        <v>35</v>
      </c>
      <c r="D1132">
        <v>26</v>
      </c>
      <c r="E1132" t="s">
        <v>15</v>
      </c>
      <c r="F1132" t="s">
        <v>36</v>
      </c>
      <c r="G1132">
        <v>19.149999999999999</v>
      </c>
      <c r="H1132">
        <v>515.75</v>
      </c>
      <c r="I1132" t="s">
        <v>15</v>
      </c>
      <c r="J1132" t="s">
        <v>16</v>
      </c>
      <c r="K1132" t="s">
        <v>29</v>
      </c>
      <c r="L1132">
        <v>515.75</v>
      </c>
      <c r="M1132" t="s">
        <v>5032</v>
      </c>
      <c r="N1132" t="s">
        <v>5031</v>
      </c>
    </row>
    <row r="1133" spans="1:14" x14ac:dyDescent="0.3">
      <c r="A1133" t="s">
        <v>1157</v>
      </c>
      <c r="B1133" t="s">
        <v>12</v>
      </c>
      <c r="C1133" t="s">
        <v>13</v>
      </c>
      <c r="D1133">
        <v>14</v>
      </c>
      <c r="E1133" t="s">
        <v>14</v>
      </c>
      <c r="F1133" t="s">
        <v>15</v>
      </c>
      <c r="G1133">
        <v>64.7</v>
      </c>
      <c r="H1133">
        <v>941</v>
      </c>
      <c r="I1133" t="s">
        <v>16</v>
      </c>
      <c r="J1133" t="s">
        <v>16</v>
      </c>
      <c r="K1133" t="s">
        <v>24</v>
      </c>
      <c r="L1133">
        <v>941</v>
      </c>
      <c r="M1133" t="s">
        <v>5032</v>
      </c>
      <c r="N1133" t="s">
        <v>5031</v>
      </c>
    </row>
    <row r="1134" spans="1:14" x14ac:dyDescent="0.3">
      <c r="A1134" t="s">
        <v>1158</v>
      </c>
      <c r="B1134" t="s">
        <v>12</v>
      </c>
      <c r="C1134" t="s">
        <v>13</v>
      </c>
      <c r="D1134">
        <v>11</v>
      </c>
      <c r="E1134" t="s">
        <v>26</v>
      </c>
      <c r="F1134" t="s">
        <v>16</v>
      </c>
      <c r="G1134">
        <v>104.05</v>
      </c>
      <c r="H1134">
        <v>1133.6500000000001</v>
      </c>
      <c r="I1134" t="s">
        <v>16</v>
      </c>
      <c r="J1134" t="s">
        <v>16</v>
      </c>
      <c r="K1134" t="s">
        <v>24</v>
      </c>
      <c r="L1134">
        <v>1133.6500000000001</v>
      </c>
      <c r="M1134" t="s">
        <v>5030</v>
      </c>
      <c r="N1134" t="s">
        <v>5031</v>
      </c>
    </row>
    <row r="1135" spans="1:14" x14ac:dyDescent="0.3">
      <c r="A1135" t="s">
        <v>1159</v>
      </c>
      <c r="B1135" t="s">
        <v>19</v>
      </c>
      <c r="C1135" t="s">
        <v>13</v>
      </c>
      <c r="D1135">
        <v>2</v>
      </c>
      <c r="E1135" t="s">
        <v>15</v>
      </c>
      <c r="F1135" t="s">
        <v>36</v>
      </c>
      <c r="G1135">
        <v>19.25</v>
      </c>
      <c r="H1135">
        <v>48.35</v>
      </c>
      <c r="I1135" t="s">
        <v>15</v>
      </c>
      <c r="J1135" t="s">
        <v>15</v>
      </c>
      <c r="K1135" t="s">
        <v>21</v>
      </c>
      <c r="L1135">
        <v>48.35</v>
      </c>
      <c r="M1135" t="s">
        <v>5030</v>
      </c>
      <c r="N1135" t="s">
        <v>5031</v>
      </c>
    </row>
    <row r="1136" spans="1:14" x14ac:dyDescent="0.3">
      <c r="A1136" t="s">
        <v>1160</v>
      </c>
      <c r="B1136" t="s">
        <v>12</v>
      </c>
      <c r="C1136" t="s">
        <v>13</v>
      </c>
      <c r="D1136">
        <v>26</v>
      </c>
      <c r="E1136" t="s">
        <v>26</v>
      </c>
      <c r="F1136" t="s">
        <v>15</v>
      </c>
      <c r="G1136">
        <v>81.95</v>
      </c>
      <c r="H1136">
        <v>2070.0500000000002</v>
      </c>
      <c r="I1136" t="s">
        <v>15</v>
      </c>
      <c r="J1136" t="s">
        <v>15</v>
      </c>
      <c r="K1136" t="s">
        <v>17</v>
      </c>
      <c r="L1136">
        <v>2070.0500000000002</v>
      </c>
      <c r="M1136" t="s">
        <v>5032</v>
      </c>
      <c r="N1136" t="s">
        <v>5031</v>
      </c>
    </row>
    <row r="1137" spans="1:14" x14ac:dyDescent="0.3">
      <c r="A1137" t="s">
        <v>1161</v>
      </c>
      <c r="B1137" t="s">
        <v>12</v>
      </c>
      <c r="C1137" t="s">
        <v>35</v>
      </c>
      <c r="D1137">
        <v>72</v>
      </c>
      <c r="E1137" t="s">
        <v>26</v>
      </c>
      <c r="F1137" t="s">
        <v>16</v>
      </c>
      <c r="G1137">
        <v>114.65</v>
      </c>
      <c r="H1137">
        <v>8333.9500000000007</v>
      </c>
      <c r="I1137" t="s">
        <v>15</v>
      </c>
      <c r="J1137" t="s">
        <v>16</v>
      </c>
      <c r="K1137" t="s">
        <v>24</v>
      </c>
      <c r="L1137">
        <v>8333.9500000000007</v>
      </c>
      <c r="M1137" t="s">
        <v>5033</v>
      </c>
      <c r="N1137" t="s">
        <v>5034</v>
      </c>
    </row>
    <row r="1138" spans="1:14" x14ac:dyDescent="0.3">
      <c r="A1138" t="s">
        <v>1162</v>
      </c>
      <c r="B1138" t="s">
        <v>12</v>
      </c>
      <c r="C1138" t="s">
        <v>35</v>
      </c>
      <c r="D1138">
        <v>63</v>
      </c>
      <c r="E1138" t="s">
        <v>15</v>
      </c>
      <c r="F1138" t="s">
        <v>36</v>
      </c>
      <c r="G1138">
        <v>20</v>
      </c>
      <c r="H1138">
        <v>1209.25</v>
      </c>
      <c r="I1138" t="s">
        <v>15</v>
      </c>
      <c r="J1138" t="s">
        <v>15</v>
      </c>
      <c r="K1138" t="s">
        <v>29</v>
      </c>
      <c r="L1138">
        <v>1209.25</v>
      </c>
      <c r="M1138" t="s">
        <v>5033</v>
      </c>
      <c r="N1138" t="s">
        <v>5031</v>
      </c>
    </row>
    <row r="1139" spans="1:14" x14ac:dyDescent="0.3">
      <c r="A1139" t="s">
        <v>1163</v>
      </c>
      <c r="B1139" t="s">
        <v>19</v>
      </c>
      <c r="C1139" t="s">
        <v>35</v>
      </c>
      <c r="D1139">
        <v>71</v>
      </c>
      <c r="E1139" t="s">
        <v>15</v>
      </c>
      <c r="F1139" t="s">
        <v>36</v>
      </c>
      <c r="G1139">
        <v>19.8</v>
      </c>
      <c r="H1139">
        <v>1396.25</v>
      </c>
      <c r="I1139" t="s">
        <v>15</v>
      </c>
      <c r="J1139" t="s">
        <v>15</v>
      </c>
      <c r="K1139" t="s">
        <v>21</v>
      </c>
      <c r="L1139">
        <v>1396.25</v>
      </c>
      <c r="M1139" t="s">
        <v>5033</v>
      </c>
      <c r="N1139" t="s">
        <v>5031</v>
      </c>
    </row>
    <row r="1140" spans="1:14" x14ac:dyDescent="0.3">
      <c r="A1140" t="s">
        <v>1164</v>
      </c>
      <c r="B1140" t="s">
        <v>19</v>
      </c>
      <c r="C1140" t="s">
        <v>13</v>
      </c>
      <c r="D1140">
        <v>11</v>
      </c>
      <c r="E1140" t="s">
        <v>14</v>
      </c>
      <c r="F1140" t="s">
        <v>15</v>
      </c>
      <c r="G1140">
        <v>65.150000000000006</v>
      </c>
      <c r="H1140">
        <v>723.35</v>
      </c>
      <c r="I1140" t="s">
        <v>15</v>
      </c>
      <c r="J1140" t="s">
        <v>16</v>
      </c>
      <c r="K1140" t="s">
        <v>24</v>
      </c>
      <c r="L1140">
        <v>723.35</v>
      </c>
      <c r="M1140" t="s">
        <v>5030</v>
      </c>
      <c r="N1140" t="s">
        <v>5031</v>
      </c>
    </row>
    <row r="1141" spans="1:14" x14ac:dyDescent="0.3">
      <c r="A1141" t="s">
        <v>1165</v>
      </c>
      <c r="B1141" t="s">
        <v>19</v>
      </c>
      <c r="C1141" t="s">
        <v>20</v>
      </c>
      <c r="D1141">
        <v>14</v>
      </c>
      <c r="E1141" t="s">
        <v>15</v>
      </c>
      <c r="F1141" t="s">
        <v>36</v>
      </c>
      <c r="G1141">
        <v>19.649999999999999</v>
      </c>
      <c r="H1141">
        <v>228.65</v>
      </c>
      <c r="I1141" t="s">
        <v>15</v>
      </c>
      <c r="J1141" t="s">
        <v>15</v>
      </c>
      <c r="K1141" t="s">
        <v>21</v>
      </c>
      <c r="L1141">
        <v>228.65</v>
      </c>
      <c r="M1141" t="s">
        <v>5032</v>
      </c>
      <c r="N1141" t="s">
        <v>5031</v>
      </c>
    </row>
    <row r="1142" spans="1:14" x14ac:dyDescent="0.3">
      <c r="A1142" t="s">
        <v>1166</v>
      </c>
      <c r="B1142" t="s">
        <v>12</v>
      </c>
      <c r="C1142" t="s">
        <v>35</v>
      </c>
      <c r="D1142">
        <v>13</v>
      </c>
      <c r="E1142" t="s">
        <v>14</v>
      </c>
      <c r="F1142" t="s">
        <v>16</v>
      </c>
      <c r="G1142">
        <v>88.95</v>
      </c>
      <c r="H1142">
        <v>1161.75</v>
      </c>
      <c r="I1142" t="s">
        <v>15</v>
      </c>
      <c r="J1142" t="s">
        <v>15</v>
      </c>
      <c r="K1142" t="s">
        <v>29</v>
      </c>
      <c r="L1142">
        <v>1161.75</v>
      </c>
      <c r="M1142" t="s">
        <v>5032</v>
      </c>
      <c r="N1142" t="s">
        <v>5031</v>
      </c>
    </row>
    <row r="1143" spans="1:14" x14ac:dyDescent="0.3">
      <c r="A1143" t="s">
        <v>1167</v>
      </c>
      <c r="B1143" t="s">
        <v>19</v>
      </c>
      <c r="C1143" t="s">
        <v>13</v>
      </c>
      <c r="D1143">
        <v>6</v>
      </c>
      <c r="E1143" t="s">
        <v>15</v>
      </c>
      <c r="F1143" t="s">
        <v>36</v>
      </c>
      <c r="G1143">
        <v>20.2</v>
      </c>
      <c r="H1143">
        <v>98.35</v>
      </c>
      <c r="I1143" t="s">
        <v>15</v>
      </c>
      <c r="J1143" t="s">
        <v>16</v>
      </c>
      <c r="K1143" t="s">
        <v>21</v>
      </c>
      <c r="L1143">
        <v>98.35</v>
      </c>
      <c r="M1143" t="s">
        <v>5030</v>
      </c>
      <c r="N1143" t="s">
        <v>5031</v>
      </c>
    </row>
    <row r="1144" spans="1:14" x14ac:dyDescent="0.3">
      <c r="A1144" t="s">
        <v>1168</v>
      </c>
      <c r="B1144" t="s">
        <v>19</v>
      </c>
      <c r="C1144" t="s">
        <v>13</v>
      </c>
      <c r="D1144">
        <v>11</v>
      </c>
      <c r="E1144" t="s">
        <v>26</v>
      </c>
      <c r="F1144" t="s">
        <v>15</v>
      </c>
      <c r="G1144">
        <v>75.2</v>
      </c>
      <c r="H1144">
        <v>775.3</v>
      </c>
      <c r="I1144" t="s">
        <v>15</v>
      </c>
      <c r="J1144" t="s">
        <v>16</v>
      </c>
      <c r="K1144" t="s">
        <v>29</v>
      </c>
      <c r="L1144">
        <v>775.3</v>
      </c>
      <c r="M1144" t="s">
        <v>5030</v>
      </c>
      <c r="N1144" t="s">
        <v>5031</v>
      </c>
    </row>
    <row r="1145" spans="1:14" x14ac:dyDescent="0.3">
      <c r="A1145" t="s">
        <v>1169</v>
      </c>
      <c r="B1145" t="s">
        <v>19</v>
      </c>
      <c r="C1145" t="s">
        <v>13</v>
      </c>
      <c r="D1145">
        <v>18</v>
      </c>
      <c r="E1145" t="s">
        <v>14</v>
      </c>
      <c r="F1145" t="s">
        <v>15</v>
      </c>
      <c r="G1145">
        <v>56.8</v>
      </c>
      <c r="H1145">
        <v>1074.6500000000001</v>
      </c>
      <c r="I1145" t="s">
        <v>15</v>
      </c>
      <c r="J1145" t="s">
        <v>15</v>
      </c>
      <c r="K1145" t="s">
        <v>29</v>
      </c>
      <c r="L1145">
        <v>1074.6500000000001</v>
      </c>
      <c r="M1145" t="s">
        <v>5032</v>
      </c>
      <c r="N1145" t="s">
        <v>5031</v>
      </c>
    </row>
    <row r="1146" spans="1:14" x14ac:dyDescent="0.3">
      <c r="A1146" t="s">
        <v>1170</v>
      </c>
      <c r="B1146" t="s">
        <v>19</v>
      </c>
      <c r="C1146" t="s">
        <v>13</v>
      </c>
      <c r="D1146">
        <v>1</v>
      </c>
      <c r="E1146" t="s">
        <v>14</v>
      </c>
      <c r="F1146" t="s">
        <v>15</v>
      </c>
      <c r="G1146">
        <v>35.549999999999997</v>
      </c>
      <c r="H1146">
        <v>35.549999999999997</v>
      </c>
      <c r="I1146" t="s">
        <v>16</v>
      </c>
      <c r="J1146" t="s">
        <v>16</v>
      </c>
      <c r="K1146" t="s">
        <v>17</v>
      </c>
      <c r="L1146">
        <v>35.549999999999997</v>
      </c>
      <c r="M1146" t="s">
        <v>5030</v>
      </c>
      <c r="N1146" t="s">
        <v>5031</v>
      </c>
    </row>
    <row r="1147" spans="1:14" x14ac:dyDescent="0.3">
      <c r="A1147" t="s">
        <v>1171</v>
      </c>
      <c r="B1147" t="s">
        <v>12</v>
      </c>
      <c r="C1147" t="s">
        <v>13</v>
      </c>
      <c r="D1147">
        <v>32</v>
      </c>
      <c r="E1147" t="s">
        <v>26</v>
      </c>
      <c r="F1147" t="s">
        <v>15</v>
      </c>
      <c r="G1147">
        <v>75.5</v>
      </c>
      <c r="H1147">
        <v>2324.6999999999998</v>
      </c>
      <c r="I1147" t="s">
        <v>15</v>
      </c>
      <c r="J1147" t="s">
        <v>16</v>
      </c>
      <c r="K1147" t="s">
        <v>24</v>
      </c>
      <c r="L1147">
        <v>2324.6999999999998</v>
      </c>
      <c r="M1147" t="s">
        <v>5032</v>
      </c>
      <c r="N1147" t="s">
        <v>5031</v>
      </c>
    </row>
    <row r="1148" spans="1:14" x14ac:dyDescent="0.3">
      <c r="A1148" t="s">
        <v>1172</v>
      </c>
      <c r="B1148" t="s">
        <v>19</v>
      </c>
      <c r="C1148" t="s">
        <v>20</v>
      </c>
      <c r="D1148">
        <v>29</v>
      </c>
      <c r="E1148" t="s">
        <v>14</v>
      </c>
      <c r="F1148" t="s">
        <v>16</v>
      </c>
      <c r="G1148">
        <v>35.6</v>
      </c>
      <c r="H1148">
        <v>1072.5999999999999</v>
      </c>
      <c r="I1148" t="s">
        <v>15</v>
      </c>
      <c r="J1148" t="s">
        <v>15</v>
      </c>
      <c r="K1148" t="s">
        <v>21</v>
      </c>
      <c r="L1148">
        <v>1072.5999999999999</v>
      </c>
      <c r="M1148" t="s">
        <v>5032</v>
      </c>
      <c r="N1148" t="s">
        <v>5031</v>
      </c>
    </row>
    <row r="1149" spans="1:14" x14ac:dyDescent="0.3">
      <c r="A1149" t="s">
        <v>1173</v>
      </c>
      <c r="B1149" t="s">
        <v>12</v>
      </c>
      <c r="C1149" t="s">
        <v>13</v>
      </c>
      <c r="D1149">
        <v>3</v>
      </c>
      <c r="E1149" t="s">
        <v>14</v>
      </c>
      <c r="F1149" t="s">
        <v>15</v>
      </c>
      <c r="G1149">
        <v>60.25</v>
      </c>
      <c r="H1149">
        <v>170.5</v>
      </c>
      <c r="I1149" t="s">
        <v>15</v>
      </c>
      <c r="J1149" t="s">
        <v>16</v>
      </c>
      <c r="K1149" t="s">
        <v>17</v>
      </c>
      <c r="L1149">
        <v>170.5</v>
      </c>
      <c r="M1149" t="s">
        <v>5030</v>
      </c>
      <c r="N1149" t="s">
        <v>5031</v>
      </c>
    </row>
    <row r="1150" spans="1:14" x14ac:dyDescent="0.3">
      <c r="A1150" t="s">
        <v>1174</v>
      </c>
      <c r="B1150" t="s">
        <v>12</v>
      </c>
      <c r="C1150" t="s">
        <v>13</v>
      </c>
      <c r="D1150">
        <v>2</v>
      </c>
      <c r="E1150" t="s">
        <v>26</v>
      </c>
      <c r="F1150" t="s">
        <v>15</v>
      </c>
      <c r="G1150">
        <v>95.15</v>
      </c>
      <c r="H1150">
        <v>196.9</v>
      </c>
      <c r="I1150" t="s">
        <v>16</v>
      </c>
      <c r="J1150" t="s">
        <v>16</v>
      </c>
      <c r="K1150" t="s">
        <v>17</v>
      </c>
      <c r="L1150">
        <v>196.9</v>
      </c>
      <c r="M1150" t="s">
        <v>5030</v>
      </c>
      <c r="N1150" t="s">
        <v>5031</v>
      </c>
    </row>
    <row r="1151" spans="1:14" x14ac:dyDescent="0.3">
      <c r="A1151" t="s">
        <v>1175</v>
      </c>
      <c r="B1151" t="s">
        <v>19</v>
      </c>
      <c r="C1151" t="s">
        <v>13</v>
      </c>
      <c r="D1151">
        <v>13</v>
      </c>
      <c r="E1151" t="s">
        <v>26</v>
      </c>
      <c r="F1151" t="s">
        <v>15</v>
      </c>
      <c r="G1151">
        <v>96.65</v>
      </c>
      <c r="H1151">
        <v>1162.8499999999999</v>
      </c>
      <c r="I1151" t="s">
        <v>16</v>
      </c>
      <c r="J1151" t="s">
        <v>16</v>
      </c>
      <c r="K1151" t="s">
        <v>21</v>
      </c>
      <c r="L1151">
        <v>1162.8499999999999</v>
      </c>
      <c r="M1151" t="s">
        <v>5032</v>
      </c>
      <c r="N1151" t="s">
        <v>5031</v>
      </c>
    </row>
    <row r="1152" spans="1:14" x14ac:dyDescent="0.3">
      <c r="A1152" t="s">
        <v>1176</v>
      </c>
      <c r="B1152" t="s">
        <v>12</v>
      </c>
      <c r="C1152" t="s">
        <v>13</v>
      </c>
      <c r="D1152">
        <v>41</v>
      </c>
      <c r="E1152" t="s">
        <v>14</v>
      </c>
      <c r="F1152" t="s">
        <v>15</v>
      </c>
      <c r="G1152">
        <v>40.35</v>
      </c>
      <c r="H1152">
        <v>1677.85</v>
      </c>
      <c r="I1152" t="s">
        <v>15</v>
      </c>
      <c r="J1152" t="s">
        <v>16</v>
      </c>
      <c r="K1152" t="s">
        <v>17</v>
      </c>
      <c r="L1152">
        <v>1677.85</v>
      </c>
      <c r="M1152" t="s">
        <v>5033</v>
      </c>
      <c r="N1152" t="s">
        <v>5031</v>
      </c>
    </row>
    <row r="1153" spans="1:14" x14ac:dyDescent="0.3">
      <c r="A1153" t="s">
        <v>1177</v>
      </c>
      <c r="B1153" t="s">
        <v>12</v>
      </c>
      <c r="C1153" t="s">
        <v>13</v>
      </c>
      <c r="D1153">
        <v>1</v>
      </c>
      <c r="E1153" t="s">
        <v>15</v>
      </c>
      <c r="F1153" t="s">
        <v>36</v>
      </c>
      <c r="G1153">
        <v>18.850000000000001</v>
      </c>
      <c r="H1153">
        <v>18.850000000000001</v>
      </c>
      <c r="I1153" t="s">
        <v>15</v>
      </c>
      <c r="J1153" t="s">
        <v>15</v>
      </c>
      <c r="K1153" t="s">
        <v>17</v>
      </c>
      <c r="L1153">
        <v>18.850000000000001</v>
      </c>
      <c r="M1153" t="s">
        <v>5030</v>
      </c>
      <c r="N1153" t="s">
        <v>5031</v>
      </c>
    </row>
    <row r="1154" spans="1:14" x14ac:dyDescent="0.3">
      <c r="A1154" t="s">
        <v>1178</v>
      </c>
      <c r="B1154" t="s">
        <v>19</v>
      </c>
      <c r="C1154" t="s">
        <v>13</v>
      </c>
      <c r="D1154">
        <v>7</v>
      </c>
      <c r="E1154" t="s">
        <v>14</v>
      </c>
      <c r="F1154" t="s">
        <v>15</v>
      </c>
      <c r="G1154">
        <v>54.85</v>
      </c>
      <c r="H1154">
        <v>370.4</v>
      </c>
      <c r="I1154" t="s">
        <v>15</v>
      </c>
      <c r="J1154" t="s">
        <v>15</v>
      </c>
      <c r="K1154" t="s">
        <v>21</v>
      </c>
      <c r="L1154">
        <v>370.4</v>
      </c>
      <c r="M1154" t="s">
        <v>5030</v>
      </c>
      <c r="N1154" t="s">
        <v>5031</v>
      </c>
    </row>
    <row r="1155" spans="1:14" x14ac:dyDescent="0.3">
      <c r="A1155" t="s">
        <v>1179</v>
      </c>
      <c r="B1155" t="s">
        <v>12</v>
      </c>
      <c r="C1155" t="s">
        <v>20</v>
      </c>
      <c r="D1155">
        <v>52</v>
      </c>
      <c r="E1155" t="s">
        <v>14</v>
      </c>
      <c r="F1155" t="s">
        <v>15</v>
      </c>
      <c r="G1155">
        <v>64.3</v>
      </c>
      <c r="H1155">
        <v>3410.6</v>
      </c>
      <c r="I1155" t="s">
        <v>15</v>
      </c>
      <c r="J1155" t="s">
        <v>16</v>
      </c>
      <c r="K1155" t="s">
        <v>21</v>
      </c>
      <c r="L1155">
        <v>3410.6</v>
      </c>
      <c r="M1155" t="s">
        <v>5033</v>
      </c>
      <c r="N1155" t="s">
        <v>5034</v>
      </c>
    </row>
    <row r="1156" spans="1:14" x14ac:dyDescent="0.3">
      <c r="A1156" t="s">
        <v>1180</v>
      </c>
      <c r="B1156" t="s">
        <v>12</v>
      </c>
      <c r="C1156" t="s">
        <v>35</v>
      </c>
      <c r="D1156">
        <v>45</v>
      </c>
      <c r="E1156" t="s">
        <v>15</v>
      </c>
      <c r="F1156" t="s">
        <v>36</v>
      </c>
      <c r="G1156">
        <v>24.65</v>
      </c>
      <c r="H1156">
        <v>1138.8</v>
      </c>
      <c r="I1156" t="s">
        <v>15</v>
      </c>
      <c r="J1156" t="s">
        <v>16</v>
      </c>
      <c r="K1156" t="s">
        <v>24</v>
      </c>
      <c r="L1156">
        <v>1138.8</v>
      </c>
      <c r="M1156" t="s">
        <v>5033</v>
      </c>
      <c r="N1156" t="s">
        <v>5031</v>
      </c>
    </row>
    <row r="1157" spans="1:14" x14ac:dyDescent="0.3">
      <c r="A1157" t="s">
        <v>1181</v>
      </c>
      <c r="B1157" t="s">
        <v>19</v>
      </c>
      <c r="C1157" t="s">
        <v>35</v>
      </c>
      <c r="D1157">
        <v>70</v>
      </c>
      <c r="E1157" t="s">
        <v>14</v>
      </c>
      <c r="F1157" t="s">
        <v>16</v>
      </c>
      <c r="G1157">
        <v>76.099999999999994</v>
      </c>
      <c r="H1157">
        <v>5264.25</v>
      </c>
      <c r="I1157" t="s">
        <v>15</v>
      </c>
      <c r="J1157" t="s">
        <v>15</v>
      </c>
      <c r="K1157" t="s">
        <v>29</v>
      </c>
      <c r="L1157">
        <v>5264.25</v>
      </c>
      <c r="M1157" t="s">
        <v>5033</v>
      </c>
      <c r="N1157" t="s">
        <v>5034</v>
      </c>
    </row>
    <row r="1158" spans="1:14" x14ac:dyDescent="0.3">
      <c r="A1158" t="s">
        <v>1182</v>
      </c>
      <c r="B1158" t="s">
        <v>12</v>
      </c>
      <c r="C1158" t="s">
        <v>35</v>
      </c>
      <c r="D1158">
        <v>53</v>
      </c>
      <c r="E1158" t="s">
        <v>15</v>
      </c>
      <c r="F1158" t="s">
        <v>36</v>
      </c>
      <c r="G1158">
        <v>18.7</v>
      </c>
      <c r="H1158">
        <v>1005.7</v>
      </c>
      <c r="I1158" t="s">
        <v>15</v>
      </c>
      <c r="J1158" t="s">
        <v>15</v>
      </c>
      <c r="K1158" t="s">
        <v>21</v>
      </c>
      <c r="L1158">
        <v>1005.7</v>
      </c>
      <c r="M1158" t="s">
        <v>5033</v>
      </c>
      <c r="N1158" t="s">
        <v>5031</v>
      </c>
    </row>
    <row r="1159" spans="1:14" x14ac:dyDescent="0.3">
      <c r="A1159" t="s">
        <v>1183</v>
      </c>
      <c r="B1159" t="s">
        <v>12</v>
      </c>
      <c r="C1159" t="s">
        <v>20</v>
      </c>
      <c r="D1159">
        <v>62</v>
      </c>
      <c r="E1159" t="s">
        <v>26</v>
      </c>
      <c r="F1159" t="s">
        <v>15</v>
      </c>
      <c r="G1159">
        <v>97.95</v>
      </c>
      <c r="H1159">
        <v>5936.55</v>
      </c>
      <c r="I1159" t="s">
        <v>15</v>
      </c>
      <c r="J1159" t="s">
        <v>16</v>
      </c>
      <c r="K1159" t="s">
        <v>29</v>
      </c>
      <c r="L1159">
        <v>5936.55</v>
      </c>
      <c r="M1159" t="s">
        <v>5033</v>
      </c>
      <c r="N1159" t="s">
        <v>5034</v>
      </c>
    </row>
    <row r="1160" spans="1:14" x14ac:dyDescent="0.3">
      <c r="A1160" t="s">
        <v>1184</v>
      </c>
      <c r="B1160" t="s">
        <v>12</v>
      </c>
      <c r="C1160" t="s">
        <v>13</v>
      </c>
      <c r="D1160">
        <v>60</v>
      </c>
      <c r="E1160" t="s">
        <v>26</v>
      </c>
      <c r="F1160" t="s">
        <v>15</v>
      </c>
      <c r="G1160">
        <v>94.1</v>
      </c>
      <c r="H1160">
        <v>5475.9</v>
      </c>
      <c r="I1160" t="s">
        <v>15</v>
      </c>
      <c r="J1160" t="s">
        <v>16</v>
      </c>
      <c r="K1160" t="s">
        <v>29</v>
      </c>
      <c r="L1160">
        <v>5475.9</v>
      </c>
      <c r="M1160" t="s">
        <v>5033</v>
      </c>
      <c r="N1160" t="s">
        <v>5034</v>
      </c>
    </row>
    <row r="1161" spans="1:14" x14ac:dyDescent="0.3">
      <c r="A1161" t="s">
        <v>1185</v>
      </c>
      <c r="B1161" t="s">
        <v>12</v>
      </c>
      <c r="C1161" t="s">
        <v>13</v>
      </c>
      <c r="D1161">
        <v>3</v>
      </c>
      <c r="E1161" t="s">
        <v>26</v>
      </c>
      <c r="F1161" t="s">
        <v>15</v>
      </c>
      <c r="G1161">
        <v>80.400000000000006</v>
      </c>
      <c r="H1161">
        <v>224.05</v>
      </c>
      <c r="I1161" t="s">
        <v>16</v>
      </c>
      <c r="J1161" t="s">
        <v>16</v>
      </c>
      <c r="K1161" t="s">
        <v>17</v>
      </c>
      <c r="L1161">
        <v>224.05</v>
      </c>
      <c r="M1161" t="s">
        <v>5030</v>
      </c>
      <c r="N1161" t="s">
        <v>5031</v>
      </c>
    </row>
    <row r="1162" spans="1:14" x14ac:dyDescent="0.3">
      <c r="A1162" t="s">
        <v>1186</v>
      </c>
      <c r="B1162" t="s">
        <v>12</v>
      </c>
      <c r="C1162" t="s">
        <v>13</v>
      </c>
      <c r="D1162">
        <v>23</v>
      </c>
      <c r="E1162" t="s">
        <v>26</v>
      </c>
      <c r="F1162" t="s">
        <v>15</v>
      </c>
      <c r="G1162">
        <v>95.1</v>
      </c>
      <c r="H1162">
        <v>2326.0500000000002</v>
      </c>
      <c r="I1162" t="s">
        <v>15</v>
      </c>
      <c r="J1162" t="s">
        <v>16</v>
      </c>
      <c r="K1162" t="s">
        <v>17</v>
      </c>
      <c r="L1162">
        <v>2326.0500000000002</v>
      </c>
      <c r="M1162" t="s">
        <v>5032</v>
      </c>
      <c r="N1162" t="s">
        <v>5031</v>
      </c>
    </row>
    <row r="1163" spans="1:14" x14ac:dyDescent="0.3">
      <c r="A1163" t="s">
        <v>1187</v>
      </c>
      <c r="B1163" t="s">
        <v>19</v>
      </c>
      <c r="C1163" t="s">
        <v>13</v>
      </c>
      <c r="D1163">
        <v>1</v>
      </c>
      <c r="E1163" t="s">
        <v>14</v>
      </c>
      <c r="F1163" t="s">
        <v>15</v>
      </c>
      <c r="G1163">
        <v>31.35</v>
      </c>
      <c r="H1163">
        <v>31.35</v>
      </c>
      <c r="I1163" t="s">
        <v>16</v>
      </c>
      <c r="J1163" t="s">
        <v>16</v>
      </c>
      <c r="K1163" t="s">
        <v>21</v>
      </c>
      <c r="L1163">
        <v>31.35</v>
      </c>
      <c r="M1163" t="s">
        <v>5030</v>
      </c>
      <c r="N1163" t="s">
        <v>5031</v>
      </c>
    </row>
    <row r="1164" spans="1:14" x14ac:dyDescent="0.3">
      <c r="A1164" t="s">
        <v>1188</v>
      </c>
      <c r="B1164" t="s">
        <v>12</v>
      </c>
      <c r="C1164" t="s">
        <v>20</v>
      </c>
      <c r="D1164">
        <v>67</v>
      </c>
      <c r="E1164" t="s">
        <v>14</v>
      </c>
      <c r="F1164" t="s">
        <v>16</v>
      </c>
      <c r="G1164">
        <v>72.349999999999994</v>
      </c>
      <c r="H1164">
        <v>4991.5</v>
      </c>
      <c r="I1164" t="s">
        <v>15</v>
      </c>
      <c r="J1164" t="s">
        <v>16</v>
      </c>
      <c r="K1164" t="s">
        <v>24</v>
      </c>
      <c r="L1164">
        <v>4991.5</v>
      </c>
      <c r="M1164" t="s">
        <v>5033</v>
      </c>
      <c r="N1164" t="s">
        <v>5034</v>
      </c>
    </row>
    <row r="1165" spans="1:14" x14ac:dyDescent="0.3">
      <c r="A1165" t="s">
        <v>1189</v>
      </c>
      <c r="B1165" t="s">
        <v>12</v>
      </c>
      <c r="C1165" t="s">
        <v>13</v>
      </c>
      <c r="D1165">
        <v>12</v>
      </c>
      <c r="E1165" t="s">
        <v>26</v>
      </c>
      <c r="F1165" t="s">
        <v>15</v>
      </c>
      <c r="G1165">
        <v>89.75</v>
      </c>
      <c r="H1165">
        <v>1052.4000000000001</v>
      </c>
      <c r="I1165" t="s">
        <v>16</v>
      </c>
      <c r="J1165" t="s">
        <v>16</v>
      </c>
      <c r="K1165" t="s">
        <v>24</v>
      </c>
      <c r="L1165">
        <v>1052.4000000000001</v>
      </c>
      <c r="M1165" t="s">
        <v>5030</v>
      </c>
      <c r="N1165" t="s">
        <v>5031</v>
      </c>
    </row>
    <row r="1166" spans="1:14" x14ac:dyDescent="0.3">
      <c r="A1166" t="s">
        <v>1190</v>
      </c>
      <c r="B1166" t="s">
        <v>12</v>
      </c>
      <c r="C1166" t="s">
        <v>35</v>
      </c>
      <c r="D1166">
        <v>71</v>
      </c>
      <c r="E1166" t="s">
        <v>14</v>
      </c>
      <c r="F1166" t="s">
        <v>16</v>
      </c>
      <c r="G1166">
        <v>82.7</v>
      </c>
      <c r="H1166">
        <v>5831.2</v>
      </c>
      <c r="I1166" t="s">
        <v>15</v>
      </c>
      <c r="J1166" t="s">
        <v>16</v>
      </c>
      <c r="K1166" t="s">
        <v>24</v>
      </c>
      <c r="L1166">
        <v>5831.2</v>
      </c>
      <c r="M1166" t="s">
        <v>5033</v>
      </c>
      <c r="N1166" t="s">
        <v>5034</v>
      </c>
    </row>
    <row r="1167" spans="1:14" x14ac:dyDescent="0.3">
      <c r="A1167" t="s">
        <v>1191</v>
      </c>
      <c r="B1167" t="s">
        <v>19</v>
      </c>
      <c r="C1167" t="s">
        <v>20</v>
      </c>
      <c r="D1167">
        <v>25</v>
      </c>
      <c r="E1167" t="s">
        <v>15</v>
      </c>
      <c r="F1167" t="s">
        <v>36</v>
      </c>
      <c r="G1167">
        <v>19.899999999999999</v>
      </c>
      <c r="H1167">
        <v>510.8</v>
      </c>
      <c r="I1167" t="s">
        <v>15</v>
      </c>
      <c r="J1167" t="s">
        <v>15</v>
      </c>
      <c r="K1167" t="s">
        <v>29</v>
      </c>
      <c r="L1167">
        <v>510.8</v>
      </c>
      <c r="M1167" t="s">
        <v>5032</v>
      </c>
      <c r="N1167" t="s">
        <v>5031</v>
      </c>
    </row>
    <row r="1168" spans="1:14" x14ac:dyDescent="0.3">
      <c r="A1168" t="s">
        <v>1192</v>
      </c>
      <c r="B1168" t="s">
        <v>12</v>
      </c>
      <c r="C1168" t="s">
        <v>13</v>
      </c>
      <c r="D1168">
        <v>5</v>
      </c>
      <c r="E1168" t="s">
        <v>14</v>
      </c>
      <c r="F1168" t="s">
        <v>15</v>
      </c>
      <c r="G1168">
        <v>53.8</v>
      </c>
      <c r="H1168">
        <v>283.95</v>
      </c>
      <c r="I1168" t="s">
        <v>15</v>
      </c>
      <c r="J1168" t="s">
        <v>16</v>
      </c>
      <c r="K1168" t="s">
        <v>17</v>
      </c>
      <c r="L1168">
        <v>283.95</v>
      </c>
      <c r="M1168" t="s">
        <v>5030</v>
      </c>
      <c r="N1168" t="s">
        <v>5031</v>
      </c>
    </row>
    <row r="1169" spans="1:14" x14ac:dyDescent="0.3">
      <c r="A1169" t="s">
        <v>1193</v>
      </c>
      <c r="B1169" t="s">
        <v>19</v>
      </c>
      <c r="C1169" t="s">
        <v>20</v>
      </c>
      <c r="D1169">
        <v>26</v>
      </c>
      <c r="E1169" t="s">
        <v>14</v>
      </c>
      <c r="F1169" t="s">
        <v>15</v>
      </c>
      <c r="G1169">
        <v>51.55</v>
      </c>
      <c r="H1169">
        <v>1295.4000000000001</v>
      </c>
      <c r="I1169" t="s">
        <v>15</v>
      </c>
      <c r="J1169" t="s">
        <v>16</v>
      </c>
      <c r="K1169" t="s">
        <v>29</v>
      </c>
      <c r="L1169">
        <v>1295.4000000000001</v>
      </c>
      <c r="M1169" t="s">
        <v>5032</v>
      </c>
      <c r="N1169" t="s">
        <v>5031</v>
      </c>
    </row>
    <row r="1170" spans="1:14" x14ac:dyDescent="0.3">
      <c r="A1170" t="s">
        <v>1194</v>
      </c>
      <c r="B1170" t="s">
        <v>19</v>
      </c>
      <c r="C1170" t="s">
        <v>20</v>
      </c>
      <c r="D1170">
        <v>1</v>
      </c>
      <c r="E1170" t="s">
        <v>15</v>
      </c>
      <c r="F1170" t="s">
        <v>36</v>
      </c>
      <c r="G1170">
        <v>19.649999999999999</v>
      </c>
      <c r="H1170">
        <v>19.649999999999999</v>
      </c>
      <c r="I1170" t="s">
        <v>15</v>
      </c>
      <c r="J1170" t="s">
        <v>15</v>
      </c>
      <c r="K1170" t="s">
        <v>21</v>
      </c>
      <c r="L1170">
        <v>19.649999999999999</v>
      </c>
      <c r="M1170" t="s">
        <v>5030</v>
      </c>
      <c r="N1170" t="s">
        <v>5031</v>
      </c>
    </row>
    <row r="1171" spans="1:14" x14ac:dyDescent="0.3">
      <c r="A1171" t="s">
        <v>1195</v>
      </c>
      <c r="B1171" t="s">
        <v>19</v>
      </c>
      <c r="C1171" t="s">
        <v>20</v>
      </c>
      <c r="D1171">
        <v>70</v>
      </c>
      <c r="E1171" t="s">
        <v>14</v>
      </c>
      <c r="F1171" t="s">
        <v>15</v>
      </c>
      <c r="G1171">
        <v>44.05</v>
      </c>
      <c r="H1171">
        <v>3011.65</v>
      </c>
      <c r="I1171" t="s">
        <v>15</v>
      </c>
      <c r="J1171" t="s">
        <v>16</v>
      </c>
      <c r="K1171" t="s">
        <v>29</v>
      </c>
      <c r="L1171">
        <v>3011.65</v>
      </c>
      <c r="M1171" t="s">
        <v>5033</v>
      </c>
      <c r="N1171" t="s">
        <v>5034</v>
      </c>
    </row>
    <row r="1172" spans="1:14" x14ac:dyDescent="0.3">
      <c r="A1172" t="s">
        <v>1196</v>
      </c>
      <c r="B1172" t="s">
        <v>19</v>
      </c>
      <c r="C1172" t="s">
        <v>35</v>
      </c>
      <c r="D1172">
        <v>72</v>
      </c>
      <c r="E1172" t="s">
        <v>26</v>
      </c>
      <c r="F1172" t="s">
        <v>16</v>
      </c>
      <c r="G1172">
        <v>114</v>
      </c>
      <c r="H1172">
        <v>8093.15</v>
      </c>
      <c r="I1172" t="s">
        <v>15</v>
      </c>
      <c r="J1172" t="s">
        <v>16</v>
      </c>
      <c r="K1172" t="s">
        <v>17</v>
      </c>
      <c r="L1172">
        <v>8093.15</v>
      </c>
      <c r="M1172" t="s">
        <v>5033</v>
      </c>
      <c r="N1172" t="s">
        <v>5034</v>
      </c>
    </row>
    <row r="1173" spans="1:14" x14ac:dyDescent="0.3">
      <c r="A1173" t="s">
        <v>1197</v>
      </c>
      <c r="B1173" t="s">
        <v>19</v>
      </c>
      <c r="C1173" t="s">
        <v>20</v>
      </c>
      <c r="D1173">
        <v>60</v>
      </c>
      <c r="E1173" t="s">
        <v>26</v>
      </c>
      <c r="F1173" t="s">
        <v>15</v>
      </c>
      <c r="G1173">
        <v>94.4</v>
      </c>
      <c r="H1173">
        <v>5610.25</v>
      </c>
      <c r="I1173" t="s">
        <v>16</v>
      </c>
      <c r="J1173" t="s">
        <v>16</v>
      </c>
      <c r="K1173" t="s">
        <v>17</v>
      </c>
      <c r="L1173">
        <v>5610.25</v>
      </c>
      <c r="M1173" t="s">
        <v>5033</v>
      </c>
      <c r="N1173" t="s">
        <v>5034</v>
      </c>
    </row>
    <row r="1174" spans="1:14" x14ac:dyDescent="0.3">
      <c r="A1174" t="s">
        <v>1198</v>
      </c>
      <c r="B1174" t="s">
        <v>12</v>
      </c>
      <c r="C1174" t="s">
        <v>13</v>
      </c>
      <c r="D1174">
        <v>32</v>
      </c>
      <c r="E1174" t="s">
        <v>26</v>
      </c>
      <c r="F1174" t="s">
        <v>15</v>
      </c>
      <c r="G1174">
        <v>100.4</v>
      </c>
      <c r="H1174">
        <v>3217.65</v>
      </c>
      <c r="I1174" t="s">
        <v>15</v>
      </c>
      <c r="J1174" t="s">
        <v>16</v>
      </c>
      <c r="K1174" t="s">
        <v>17</v>
      </c>
      <c r="L1174">
        <v>3217.65</v>
      </c>
      <c r="M1174" t="s">
        <v>5032</v>
      </c>
      <c r="N1174" t="s">
        <v>5034</v>
      </c>
    </row>
    <row r="1175" spans="1:14" x14ac:dyDescent="0.3">
      <c r="A1175" t="s">
        <v>1199</v>
      </c>
      <c r="B1175" t="s">
        <v>19</v>
      </c>
      <c r="C1175" t="s">
        <v>13</v>
      </c>
      <c r="D1175">
        <v>1</v>
      </c>
      <c r="E1175" t="s">
        <v>15</v>
      </c>
      <c r="F1175" t="s">
        <v>36</v>
      </c>
      <c r="G1175">
        <v>19.850000000000001</v>
      </c>
      <c r="H1175">
        <v>19.850000000000001</v>
      </c>
      <c r="I1175" t="s">
        <v>16</v>
      </c>
      <c r="J1175" t="s">
        <v>16</v>
      </c>
      <c r="K1175" t="s">
        <v>17</v>
      </c>
      <c r="L1175">
        <v>19.850000000000001</v>
      </c>
      <c r="M1175" t="s">
        <v>5030</v>
      </c>
      <c r="N1175" t="s">
        <v>5031</v>
      </c>
    </row>
    <row r="1176" spans="1:14" x14ac:dyDescent="0.3">
      <c r="A1176" t="s">
        <v>1200</v>
      </c>
      <c r="B1176" t="s">
        <v>12</v>
      </c>
      <c r="C1176" t="s">
        <v>20</v>
      </c>
      <c r="D1176">
        <v>14</v>
      </c>
      <c r="E1176" t="s">
        <v>14</v>
      </c>
      <c r="F1176" t="s">
        <v>15</v>
      </c>
      <c r="G1176">
        <v>54.25</v>
      </c>
      <c r="H1176">
        <v>773.2</v>
      </c>
      <c r="I1176" t="s">
        <v>15</v>
      </c>
      <c r="J1176" t="s">
        <v>16</v>
      </c>
      <c r="K1176" t="s">
        <v>21</v>
      </c>
      <c r="L1176">
        <v>773.2</v>
      </c>
      <c r="M1176" t="s">
        <v>5032</v>
      </c>
      <c r="N1176" t="s">
        <v>5031</v>
      </c>
    </row>
    <row r="1177" spans="1:14" x14ac:dyDescent="0.3">
      <c r="A1177" t="s">
        <v>1201</v>
      </c>
      <c r="B1177" t="s">
        <v>12</v>
      </c>
      <c r="C1177" t="s">
        <v>13</v>
      </c>
      <c r="D1177">
        <v>13</v>
      </c>
      <c r="E1177" t="s">
        <v>26</v>
      </c>
      <c r="F1177" t="s">
        <v>15</v>
      </c>
      <c r="G1177">
        <v>80</v>
      </c>
      <c r="H1177">
        <v>1029.3499999999999</v>
      </c>
      <c r="I1177" t="s">
        <v>15</v>
      </c>
      <c r="J1177" t="s">
        <v>16</v>
      </c>
      <c r="K1177" t="s">
        <v>29</v>
      </c>
      <c r="L1177">
        <v>1029.3499999999999</v>
      </c>
      <c r="M1177" t="s">
        <v>5032</v>
      </c>
      <c r="N1177" t="s">
        <v>5031</v>
      </c>
    </row>
    <row r="1178" spans="1:14" x14ac:dyDescent="0.3">
      <c r="A1178" t="s">
        <v>1202</v>
      </c>
      <c r="B1178" t="s">
        <v>12</v>
      </c>
      <c r="C1178" t="s">
        <v>13</v>
      </c>
      <c r="D1178">
        <v>6</v>
      </c>
      <c r="E1178" t="s">
        <v>26</v>
      </c>
      <c r="F1178" t="s">
        <v>16</v>
      </c>
      <c r="G1178">
        <v>109.9</v>
      </c>
      <c r="H1178">
        <v>669.45</v>
      </c>
      <c r="I1178" t="s">
        <v>16</v>
      </c>
      <c r="J1178" t="s">
        <v>16</v>
      </c>
      <c r="K1178" t="s">
        <v>29</v>
      </c>
      <c r="L1178">
        <v>669.45</v>
      </c>
      <c r="M1178" t="s">
        <v>5030</v>
      </c>
      <c r="N1178" t="s">
        <v>5031</v>
      </c>
    </row>
    <row r="1179" spans="1:14" x14ac:dyDescent="0.3">
      <c r="A1179" t="s">
        <v>1203</v>
      </c>
      <c r="B1179" t="s">
        <v>12</v>
      </c>
      <c r="C1179" t="s">
        <v>35</v>
      </c>
      <c r="D1179">
        <v>46</v>
      </c>
      <c r="E1179" t="s">
        <v>14</v>
      </c>
      <c r="F1179" t="s">
        <v>15</v>
      </c>
      <c r="G1179">
        <v>79.2</v>
      </c>
      <c r="H1179">
        <v>3593.8</v>
      </c>
      <c r="I1179" t="s">
        <v>15</v>
      </c>
      <c r="J1179" t="s">
        <v>15</v>
      </c>
      <c r="K1179" t="s">
        <v>21</v>
      </c>
      <c r="L1179">
        <v>3593.8</v>
      </c>
      <c r="M1179" t="s">
        <v>5033</v>
      </c>
      <c r="N1179" t="s">
        <v>5034</v>
      </c>
    </row>
    <row r="1180" spans="1:14" x14ac:dyDescent="0.3">
      <c r="A1180" t="s">
        <v>1204</v>
      </c>
      <c r="B1180" t="s">
        <v>19</v>
      </c>
      <c r="C1180" t="s">
        <v>13</v>
      </c>
      <c r="D1180">
        <v>15</v>
      </c>
      <c r="E1180" t="s">
        <v>26</v>
      </c>
      <c r="F1180" t="s">
        <v>16</v>
      </c>
      <c r="G1180">
        <v>101.35</v>
      </c>
      <c r="H1180">
        <v>1553.95</v>
      </c>
      <c r="I1180" t="s">
        <v>16</v>
      </c>
      <c r="J1180" t="s">
        <v>16</v>
      </c>
      <c r="K1180" t="s">
        <v>17</v>
      </c>
      <c r="L1180">
        <v>1553.95</v>
      </c>
      <c r="M1180" t="s">
        <v>5032</v>
      </c>
      <c r="N1180" t="s">
        <v>5031</v>
      </c>
    </row>
    <row r="1181" spans="1:14" x14ac:dyDescent="0.3">
      <c r="A1181" t="s">
        <v>1205</v>
      </c>
      <c r="B1181" t="s">
        <v>19</v>
      </c>
      <c r="C1181" t="s">
        <v>13</v>
      </c>
      <c r="D1181">
        <v>43</v>
      </c>
      <c r="E1181" t="s">
        <v>26</v>
      </c>
      <c r="F1181" t="s">
        <v>16</v>
      </c>
      <c r="G1181">
        <v>94.3</v>
      </c>
      <c r="H1181">
        <v>3953.15</v>
      </c>
      <c r="I1181" t="s">
        <v>15</v>
      </c>
      <c r="J1181" t="s">
        <v>16</v>
      </c>
      <c r="K1181" t="s">
        <v>17</v>
      </c>
      <c r="L1181">
        <v>3953.15</v>
      </c>
      <c r="M1181" t="s">
        <v>5033</v>
      </c>
      <c r="N1181" t="s">
        <v>5034</v>
      </c>
    </row>
    <row r="1182" spans="1:14" x14ac:dyDescent="0.3">
      <c r="A1182" t="s">
        <v>1206</v>
      </c>
      <c r="B1182" t="s">
        <v>19</v>
      </c>
      <c r="C1182" t="s">
        <v>35</v>
      </c>
      <c r="D1182">
        <v>39</v>
      </c>
      <c r="E1182" t="s">
        <v>14</v>
      </c>
      <c r="F1182" t="s">
        <v>16</v>
      </c>
      <c r="G1182">
        <v>49.8</v>
      </c>
      <c r="H1182">
        <v>1971.15</v>
      </c>
      <c r="I1182" t="s">
        <v>15</v>
      </c>
      <c r="J1182" t="s">
        <v>16</v>
      </c>
      <c r="K1182" t="s">
        <v>24</v>
      </c>
      <c r="L1182">
        <v>1971.15</v>
      </c>
      <c r="M1182" t="s">
        <v>5033</v>
      </c>
      <c r="N1182" t="s">
        <v>5031</v>
      </c>
    </row>
    <row r="1183" spans="1:14" x14ac:dyDescent="0.3">
      <c r="A1183" t="s">
        <v>1207</v>
      </c>
      <c r="B1183" t="s">
        <v>19</v>
      </c>
      <c r="C1183" t="s">
        <v>13</v>
      </c>
      <c r="D1183">
        <v>21</v>
      </c>
      <c r="E1183" t="s">
        <v>14</v>
      </c>
      <c r="F1183" t="s">
        <v>15</v>
      </c>
      <c r="G1183">
        <v>60.05</v>
      </c>
      <c r="H1183">
        <v>1236.1500000000001</v>
      </c>
      <c r="I1183" t="s">
        <v>16</v>
      </c>
      <c r="J1183" t="s">
        <v>16</v>
      </c>
      <c r="K1183" t="s">
        <v>24</v>
      </c>
      <c r="L1183">
        <v>1236.1500000000001</v>
      </c>
      <c r="M1183" t="s">
        <v>5032</v>
      </c>
      <c r="N1183" t="s">
        <v>5031</v>
      </c>
    </row>
    <row r="1184" spans="1:14" x14ac:dyDescent="0.3">
      <c r="A1184" t="s">
        <v>1208</v>
      </c>
      <c r="B1184" t="s">
        <v>19</v>
      </c>
      <c r="C1184" t="s">
        <v>13</v>
      </c>
      <c r="D1184">
        <v>57</v>
      </c>
      <c r="E1184" t="s">
        <v>14</v>
      </c>
      <c r="F1184" t="s">
        <v>15</v>
      </c>
      <c r="G1184">
        <v>53.75</v>
      </c>
      <c r="H1184">
        <v>3196</v>
      </c>
      <c r="I1184" t="s">
        <v>15</v>
      </c>
      <c r="J1184" t="s">
        <v>16</v>
      </c>
      <c r="K1184" t="s">
        <v>17</v>
      </c>
      <c r="L1184">
        <v>3196</v>
      </c>
      <c r="M1184" t="s">
        <v>5033</v>
      </c>
      <c r="N1184" t="s">
        <v>5034</v>
      </c>
    </row>
    <row r="1185" spans="1:14" x14ac:dyDescent="0.3">
      <c r="A1185" t="s">
        <v>1209</v>
      </c>
      <c r="B1185" t="s">
        <v>12</v>
      </c>
      <c r="C1185" t="s">
        <v>20</v>
      </c>
      <c r="D1185">
        <v>53</v>
      </c>
      <c r="E1185" t="s">
        <v>26</v>
      </c>
      <c r="F1185" t="s">
        <v>16</v>
      </c>
      <c r="G1185">
        <v>93.45</v>
      </c>
      <c r="H1185">
        <v>4872.2</v>
      </c>
      <c r="I1185" t="s">
        <v>15</v>
      </c>
      <c r="J1185" t="s">
        <v>16</v>
      </c>
      <c r="K1185" t="s">
        <v>17</v>
      </c>
      <c r="L1185">
        <v>4872.2</v>
      </c>
      <c r="M1185" t="s">
        <v>5033</v>
      </c>
      <c r="N1185" t="s">
        <v>5034</v>
      </c>
    </row>
    <row r="1186" spans="1:14" x14ac:dyDescent="0.3">
      <c r="A1186" t="s">
        <v>1210</v>
      </c>
      <c r="B1186" t="s">
        <v>19</v>
      </c>
      <c r="C1186" t="s">
        <v>13</v>
      </c>
      <c r="D1186">
        <v>18</v>
      </c>
      <c r="E1186" t="s">
        <v>26</v>
      </c>
      <c r="F1186" t="s">
        <v>15</v>
      </c>
      <c r="G1186">
        <v>87.9</v>
      </c>
      <c r="H1186">
        <v>1500.5</v>
      </c>
      <c r="I1186" t="s">
        <v>15</v>
      </c>
      <c r="J1186" t="s">
        <v>16</v>
      </c>
      <c r="K1186" t="s">
        <v>21</v>
      </c>
      <c r="L1186">
        <v>1500.5</v>
      </c>
      <c r="M1186" t="s">
        <v>5032</v>
      </c>
      <c r="N1186" t="s">
        <v>5031</v>
      </c>
    </row>
    <row r="1187" spans="1:14" x14ac:dyDescent="0.3">
      <c r="A1187" t="s">
        <v>1211</v>
      </c>
      <c r="B1187" t="s">
        <v>12</v>
      </c>
      <c r="C1187" t="s">
        <v>13</v>
      </c>
      <c r="D1187">
        <v>1</v>
      </c>
      <c r="E1187" t="s">
        <v>14</v>
      </c>
      <c r="F1187" t="s">
        <v>15</v>
      </c>
      <c r="G1187">
        <v>60.15</v>
      </c>
      <c r="H1187">
        <v>60.15</v>
      </c>
      <c r="I1187" t="s">
        <v>16</v>
      </c>
      <c r="J1187" t="s">
        <v>16</v>
      </c>
      <c r="K1187" t="s">
        <v>17</v>
      </c>
      <c r="L1187">
        <v>60.15</v>
      </c>
      <c r="M1187" t="s">
        <v>5030</v>
      </c>
      <c r="N1187" t="s">
        <v>5031</v>
      </c>
    </row>
    <row r="1188" spans="1:14" x14ac:dyDescent="0.3">
      <c r="A1188" t="s">
        <v>1212</v>
      </c>
      <c r="B1188" t="s">
        <v>12</v>
      </c>
      <c r="C1188" t="s">
        <v>20</v>
      </c>
      <c r="D1188">
        <v>58</v>
      </c>
      <c r="E1188" t="s">
        <v>14</v>
      </c>
      <c r="F1188" t="s">
        <v>16</v>
      </c>
      <c r="G1188">
        <v>61.05</v>
      </c>
      <c r="H1188">
        <v>3478.75</v>
      </c>
      <c r="I1188" t="s">
        <v>15</v>
      </c>
      <c r="J1188" t="s">
        <v>16</v>
      </c>
      <c r="K1188" t="s">
        <v>24</v>
      </c>
      <c r="L1188">
        <v>3478.75</v>
      </c>
      <c r="M1188" t="s">
        <v>5033</v>
      </c>
      <c r="N1188" t="s">
        <v>5034</v>
      </c>
    </row>
    <row r="1189" spans="1:14" x14ac:dyDescent="0.3">
      <c r="A1189" t="s">
        <v>1213</v>
      </c>
      <c r="B1189" t="s">
        <v>12</v>
      </c>
      <c r="C1189" t="s">
        <v>35</v>
      </c>
      <c r="D1189">
        <v>71</v>
      </c>
      <c r="E1189" t="s">
        <v>26</v>
      </c>
      <c r="F1189" t="s">
        <v>15</v>
      </c>
      <c r="G1189">
        <v>104.05</v>
      </c>
      <c r="H1189">
        <v>7413.55</v>
      </c>
      <c r="I1189" t="s">
        <v>15</v>
      </c>
      <c r="J1189" t="s">
        <v>15</v>
      </c>
      <c r="K1189" t="s">
        <v>24</v>
      </c>
      <c r="L1189">
        <v>7413.55</v>
      </c>
      <c r="M1189" t="s">
        <v>5033</v>
      </c>
      <c r="N1189" t="s">
        <v>5034</v>
      </c>
    </row>
    <row r="1190" spans="1:14" x14ac:dyDescent="0.3">
      <c r="A1190" t="s">
        <v>1214</v>
      </c>
      <c r="B1190" t="s">
        <v>12</v>
      </c>
      <c r="C1190" t="s">
        <v>20</v>
      </c>
      <c r="D1190">
        <v>35</v>
      </c>
      <c r="E1190" t="s">
        <v>26</v>
      </c>
      <c r="F1190" t="s">
        <v>16</v>
      </c>
      <c r="G1190">
        <v>99.25</v>
      </c>
      <c r="H1190">
        <v>3532</v>
      </c>
      <c r="I1190" t="s">
        <v>15</v>
      </c>
      <c r="J1190" t="s">
        <v>16</v>
      </c>
      <c r="K1190" t="s">
        <v>17</v>
      </c>
      <c r="L1190">
        <v>3532</v>
      </c>
      <c r="M1190" t="s">
        <v>5032</v>
      </c>
      <c r="N1190" t="s">
        <v>5034</v>
      </c>
    </row>
    <row r="1191" spans="1:14" x14ac:dyDescent="0.3">
      <c r="A1191" t="s">
        <v>1215</v>
      </c>
      <c r="B1191" t="s">
        <v>19</v>
      </c>
      <c r="C1191" t="s">
        <v>13</v>
      </c>
      <c r="D1191">
        <v>3</v>
      </c>
      <c r="E1191" t="s">
        <v>26</v>
      </c>
      <c r="F1191" t="s">
        <v>15</v>
      </c>
      <c r="G1191">
        <v>85.7</v>
      </c>
      <c r="H1191">
        <v>256.75</v>
      </c>
      <c r="I1191" t="s">
        <v>15</v>
      </c>
      <c r="J1191" t="s">
        <v>15</v>
      </c>
      <c r="K1191" t="s">
        <v>29</v>
      </c>
      <c r="L1191">
        <v>256.75</v>
      </c>
      <c r="M1191" t="s">
        <v>5030</v>
      </c>
      <c r="N1191" t="s">
        <v>5031</v>
      </c>
    </row>
    <row r="1192" spans="1:14" x14ac:dyDescent="0.3">
      <c r="A1192" t="s">
        <v>1216</v>
      </c>
      <c r="B1192" t="s">
        <v>19</v>
      </c>
      <c r="C1192" t="s">
        <v>20</v>
      </c>
      <c r="D1192">
        <v>38</v>
      </c>
      <c r="E1192" t="s">
        <v>26</v>
      </c>
      <c r="F1192" t="s">
        <v>15</v>
      </c>
      <c r="G1192">
        <v>104.85</v>
      </c>
      <c r="H1192">
        <v>3887.25</v>
      </c>
      <c r="I1192" t="s">
        <v>15</v>
      </c>
      <c r="J1192" t="s">
        <v>16</v>
      </c>
      <c r="K1192" t="s">
        <v>17</v>
      </c>
      <c r="L1192">
        <v>3887.25</v>
      </c>
      <c r="M1192" t="s">
        <v>5033</v>
      </c>
      <c r="N1192" t="s">
        <v>5034</v>
      </c>
    </row>
    <row r="1193" spans="1:14" x14ac:dyDescent="0.3">
      <c r="A1193" t="s">
        <v>1217</v>
      </c>
      <c r="B1193" t="s">
        <v>19</v>
      </c>
      <c r="C1193" t="s">
        <v>35</v>
      </c>
      <c r="D1193">
        <v>35</v>
      </c>
      <c r="E1193" t="s">
        <v>14</v>
      </c>
      <c r="F1193" t="s">
        <v>16</v>
      </c>
      <c r="G1193">
        <v>69.150000000000006</v>
      </c>
      <c r="H1193">
        <v>2490.15</v>
      </c>
      <c r="I1193" t="s">
        <v>15</v>
      </c>
      <c r="J1193" t="s">
        <v>16</v>
      </c>
      <c r="K1193" t="s">
        <v>29</v>
      </c>
      <c r="L1193">
        <v>2490.15</v>
      </c>
      <c r="M1193" t="s">
        <v>5032</v>
      </c>
      <c r="N1193" t="s">
        <v>5031</v>
      </c>
    </row>
    <row r="1194" spans="1:14" x14ac:dyDescent="0.3">
      <c r="A1194" t="s">
        <v>1218</v>
      </c>
      <c r="B1194" t="s">
        <v>19</v>
      </c>
      <c r="C1194" t="s">
        <v>13</v>
      </c>
      <c r="D1194">
        <v>7</v>
      </c>
      <c r="E1194" t="s">
        <v>26</v>
      </c>
      <c r="F1194" t="s">
        <v>15</v>
      </c>
      <c r="G1194">
        <v>90.45</v>
      </c>
      <c r="H1194">
        <v>593.45000000000005</v>
      </c>
      <c r="I1194" t="s">
        <v>16</v>
      </c>
      <c r="J1194" t="s">
        <v>16</v>
      </c>
      <c r="K1194" t="s">
        <v>17</v>
      </c>
      <c r="L1194">
        <v>593.45000000000005</v>
      </c>
      <c r="M1194" t="s">
        <v>5030</v>
      </c>
      <c r="N1194" t="s">
        <v>5031</v>
      </c>
    </row>
    <row r="1195" spans="1:14" x14ac:dyDescent="0.3">
      <c r="A1195" t="s">
        <v>1219</v>
      </c>
      <c r="B1195" t="s">
        <v>12</v>
      </c>
      <c r="C1195" t="s">
        <v>35</v>
      </c>
      <c r="D1195">
        <v>47</v>
      </c>
      <c r="E1195" t="s">
        <v>14</v>
      </c>
      <c r="F1195" t="s">
        <v>16</v>
      </c>
      <c r="G1195">
        <v>74.45</v>
      </c>
      <c r="H1195">
        <v>3510.3</v>
      </c>
      <c r="I1195" t="s">
        <v>15</v>
      </c>
      <c r="J1195" t="s">
        <v>15</v>
      </c>
      <c r="K1195" t="s">
        <v>21</v>
      </c>
      <c r="L1195">
        <v>3510.3</v>
      </c>
      <c r="M1195" t="s">
        <v>5033</v>
      </c>
      <c r="N1195" t="s">
        <v>5034</v>
      </c>
    </row>
    <row r="1196" spans="1:14" x14ac:dyDescent="0.3">
      <c r="A1196" t="s">
        <v>1220</v>
      </c>
      <c r="B1196" t="s">
        <v>12</v>
      </c>
      <c r="C1196" t="s">
        <v>13</v>
      </c>
      <c r="D1196">
        <v>14</v>
      </c>
      <c r="E1196" t="s">
        <v>14</v>
      </c>
      <c r="F1196" t="s">
        <v>15</v>
      </c>
      <c r="G1196">
        <v>50.45</v>
      </c>
      <c r="H1196">
        <v>765.45</v>
      </c>
      <c r="I1196" t="s">
        <v>15</v>
      </c>
      <c r="J1196" t="s">
        <v>15</v>
      </c>
      <c r="K1196" t="s">
        <v>17</v>
      </c>
      <c r="L1196">
        <v>765.45</v>
      </c>
      <c r="M1196" t="s">
        <v>5032</v>
      </c>
      <c r="N1196" t="s">
        <v>5031</v>
      </c>
    </row>
    <row r="1197" spans="1:14" x14ac:dyDescent="0.3">
      <c r="A1197" t="s">
        <v>1221</v>
      </c>
      <c r="B1197" t="s">
        <v>12</v>
      </c>
      <c r="C1197" t="s">
        <v>13</v>
      </c>
      <c r="D1197">
        <v>20</v>
      </c>
      <c r="E1197" t="s">
        <v>14</v>
      </c>
      <c r="F1197" t="s">
        <v>15</v>
      </c>
      <c r="G1197">
        <v>60</v>
      </c>
      <c r="H1197">
        <v>1259.3499999999999</v>
      </c>
      <c r="I1197" t="s">
        <v>15</v>
      </c>
      <c r="J1197" t="s">
        <v>16</v>
      </c>
      <c r="K1197" t="s">
        <v>17</v>
      </c>
      <c r="L1197">
        <v>1259.3499999999999</v>
      </c>
      <c r="M1197" t="s">
        <v>5032</v>
      </c>
      <c r="N1197" t="s">
        <v>5031</v>
      </c>
    </row>
    <row r="1198" spans="1:14" x14ac:dyDescent="0.3">
      <c r="A1198" t="s">
        <v>1222</v>
      </c>
      <c r="B1198" t="s">
        <v>19</v>
      </c>
      <c r="C1198" t="s">
        <v>35</v>
      </c>
      <c r="D1198">
        <v>66</v>
      </c>
      <c r="E1198" t="s">
        <v>14</v>
      </c>
      <c r="F1198" t="s">
        <v>16</v>
      </c>
      <c r="G1198">
        <v>85.25</v>
      </c>
      <c r="H1198">
        <v>5538.35</v>
      </c>
      <c r="I1198" t="s">
        <v>15</v>
      </c>
      <c r="J1198" t="s">
        <v>15</v>
      </c>
      <c r="K1198" t="s">
        <v>17</v>
      </c>
      <c r="L1198">
        <v>5538.35</v>
      </c>
      <c r="M1198" t="s">
        <v>5033</v>
      </c>
      <c r="N1198" t="s">
        <v>5034</v>
      </c>
    </row>
    <row r="1199" spans="1:14" x14ac:dyDescent="0.3">
      <c r="A1199" t="s">
        <v>1223</v>
      </c>
      <c r="B1199" t="s">
        <v>19</v>
      </c>
      <c r="C1199" t="s">
        <v>13</v>
      </c>
      <c r="D1199">
        <v>15</v>
      </c>
      <c r="E1199" t="s">
        <v>15</v>
      </c>
      <c r="F1199" t="s">
        <v>36</v>
      </c>
      <c r="G1199">
        <v>19.45</v>
      </c>
      <c r="H1199">
        <v>340.85</v>
      </c>
      <c r="I1199" t="s">
        <v>15</v>
      </c>
      <c r="J1199" t="s">
        <v>16</v>
      </c>
      <c r="K1199" t="s">
        <v>29</v>
      </c>
      <c r="L1199">
        <v>340.85</v>
      </c>
      <c r="M1199" t="s">
        <v>5032</v>
      </c>
      <c r="N1199" t="s">
        <v>5031</v>
      </c>
    </row>
    <row r="1200" spans="1:14" x14ac:dyDescent="0.3">
      <c r="A1200" t="s">
        <v>1224</v>
      </c>
      <c r="B1200" t="s">
        <v>12</v>
      </c>
      <c r="C1200" t="s">
        <v>35</v>
      </c>
      <c r="D1200">
        <v>42</v>
      </c>
      <c r="E1200" t="s">
        <v>15</v>
      </c>
      <c r="F1200" t="s">
        <v>36</v>
      </c>
      <c r="G1200">
        <v>20.75</v>
      </c>
      <c r="H1200">
        <v>844.45</v>
      </c>
      <c r="I1200" t="s">
        <v>15</v>
      </c>
      <c r="J1200" t="s">
        <v>16</v>
      </c>
      <c r="K1200" t="s">
        <v>24</v>
      </c>
      <c r="L1200">
        <v>844.45</v>
      </c>
      <c r="M1200" t="s">
        <v>5033</v>
      </c>
      <c r="N1200" t="s">
        <v>5031</v>
      </c>
    </row>
    <row r="1201" spans="1:14" x14ac:dyDescent="0.3">
      <c r="A1201" t="s">
        <v>1225</v>
      </c>
      <c r="B1201" t="s">
        <v>12</v>
      </c>
      <c r="C1201" t="s">
        <v>13</v>
      </c>
      <c r="D1201">
        <v>17</v>
      </c>
      <c r="E1201" t="s">
        <v>26</v>
      </c>
      <c r="F1201" t="s">
        <v>15</v>
      </c>
      <c r="G1201">
        <v>78.900000000000006</v>
      </c>
      <c r="H1201">
        <v>1348.95</v>
      </c>
      <c r="I1201" t="s">
        <v>15</v>
      </c>
      <c r="J1201" t="s">
        <v>15</v>
      </c>
      <c r="K1201" t="s">
        <v>17</v>
      </c>
      <c r="L1201">
        <v>1348.95</v>
      </c>
      <c r="M1201" t="s">
        <v>5032</v>
      </c>
      <c r="N1201" t="s">
        <v>5031</v>
      </c>
    </row>
    <row r="1202" spans="1:14" x14ac:dyDescent="0.3">
      <c r="A1202" t="s">
        <v>1226</v>
      </c>
      <c r="B1202" t="s">
        <v>19</v>
      </c>
      <c r="C1202" t="s">
        <v>20</v>
      </c>
      <c r="D1202">
        <v>37</v>
      </c>
      <c r="E1202" t="s">
        <v>26</v>
      </c>
      <c r="F1202" t="s">
        <v>16</v>
      </c>
      <c r="G1202">
        <v>104.5</v>
      </c>
      <c r="H1202">
        <v>3778</v>
      </c>
      <c r="I1202" t="s">
        <v>15</v>
      </c>
      <c r="J1202" t="s">
        <v>16</v>
      </c>
      <c r="K1202" t="s">
        <v>29</v>
      </c>
      <c r="L1202">
        <v>3778</v>
      </c>
      <c r="M1202" t="s">
        <v>5033</v>
      </c>
      <c r="N1202" t="s">
        <v>5034</v>
      </c>
    </row>
    <row r="1203" spans="1:14" x14ac:dyDescent="0.3">
      <c r="A1203" t="s">
        <v>1227</v>
      </c>
      <c r="B1203" t="s">
        <v>12</v>
      </c>
      <c r="C1203" t="s">
        <v>13</v>
      </c>
      <c r="D1203">
        <v>12</v>
      </c>
      <c r="E1203" t="s">
        <v>14</v>
      </c>
      <c r="F1203" t="s">
        <v>15</v>
      </c>
      <c r="G1203">
        <v>49.4</v>
      </c>
      <c r="H1203">
        <v>611.65</v>
      </c>
      <c r="I1203" t="s">
        <v>15</v>
      </c>
      <c r="J1203" t="s">
        <v>16</v>
      </c>
      <c r="K1203" t="s">
        <v>17</v>
      </c>
      <c r="L1203">
        <v>611.65</v>
      </c>
      <c r="M1203" t="s">
        <v>5030</v>
      </c>
      <c r="N1203" t="s">
        <v>5031</v>
      </c>
    </row>
    <row r="1204" spans="1:14" x14ac:dyDescent="0.3">
      <c r="A1204" t="s">
        <v>1228</v>
      </c>
      <c r="B1204" t="s">
        <v>19</v>
      </c>
      <c r="C1204" t="s">
        <v>20</v>
      </c>
      <c r="D1204">
        <v>53</v>
      </c>
      <c r="E1204" t="s">
        <v>26</v>
      </c>
      <c r="F1204" t="s">
        <v>15</v>
      </c>
      <c r="G1204">
        <v>94.25</v>
      </c>
      <c r="H1204">
        <v>4867.95</v>
      </c>
      <c r="I1204" t="s">
        <v>16</v>
      </c>
      <c r="J1204" t="s">
        <v>16</v>
      </c>
      <c r="K1204" t="s">
        <v>24</v>
      </c>
      <c r="L1204">
        <v>4867.95</v>
      </c>
      <c r="M1204" t="s">
        <v>5033</v>
      </c>
      <c r="N1204" t="s">
        <v>5034</v>
      </c>
    </row>
    <row r="1205" spans="1:14" x14ac:dyDescent="0.3">
      <c r="A1205" t="s">
        <v>1229</v>
      </c>
      <c r="B1205" t="s">
        <v>12</v>
      </c>
      <c r="C1205" t="s">
        <v>35</v>
      </c>
      <c r="D1205">
        <v>60</v>
      </c>
      <c r="E1205" t="s">
        <v>15</v>
      </c>
      <c r="F1205" t="s">
        <v>36</v>
      </c>
      <c r="G1205">
        <v>25</v>
      </c>
      <c r="H1205">
        <v>1505.05</v>
      </c>
      <c r="I1205" t="s">
        <v>15</v>
      </c>
      <c r="J1205" t="s">
        <v>15</v>
      </c>
      <c r="K1205" t="s">
        <v>21</v>
      </c>
      <c r="L1205">
        <v>1505.05</v>
      </c>
      <c r="M1205" t="s">
        <v>5033</v>
      </c>
      <c r="N1205" t="s">
        <v>5031</v>
      </c>
    </row>
    <row r="1206" spans="1:14" x14ac:dyDescent="0.3">
      <c r="A1206" t="s">
        <v>1230</v>
      </c>
      <c r="B1206" t="s">
        <v>19</v>
      </c>
      <c r="C1206" t="s">
        <v>13</v>
      </c>
      <c r="D1206">
        <v>18</v>
      </c>
      <c r="E1206" t="s">
        <v>14</v>
      </c>
      <c r="F1206" t="s">
        <v>15</v>
      </c>
      <c r="G1206">
        <v>25.55</v>
      </c>
      <c r="H1206">
        <v>467.85</v>
      </c>
      <c r="I1206" t="s">
        <v>15</v>
      </c>
      <c r="J1206" t="s">
        <v>15</v>
      </c>
      <c r="K1206" t="s">
        <v>29</v>
      </c>
      <c r="L1206">
        <v>467.85</v>
      </c>
      <c r="M1206" t="s">
        <v>5032</v>
      </c>
      <c r="N1206" t="s">
        <v>5031</v>
      </c>
    </row>
    <row r="1207" spans="1:14" x14ac:dyDescent="0.3">
      <c r="A1207" t="s">
        <v>1231</v>
      </c>
      <c r="B1207" t="s">
        <v>19</v>
      </c>
      <c r="C1207" t="s">
        <v>13</v>
      </c>
      <c r="D1207">
        <v>1</v>
      </c>
      <c r="E1207" t="s">
        <v>26</v>
      </c>
      <c r="F1207" t="s">
        <v>15</v>
      </c>
      <c r="G1207">
        <v>74.900000000000006</v>
      </c>
      <c r="H1207">
        <v>74.900000000000006</v>
      </c>
      <c r="I1207" t="s">
        <v>16</v>
      </c>
      <c r="J1207" t="s">
        <v>16</v>
      </c>
      <c r="K1207" t="s">
        <v>17</v>
      </c>
      <c r="L1207">
        <v>74.900000000000006</v>
      </c>
      <c r="M1207" t="s">
        <v>5030</v>
      </c>
      <c r="N1207" t="s">
        <v>5031</v>
      </c>
    </row>
    <row r="1208" spans="1:14" x14ac:dyDescent="0.3">
      <c r="A1208" t="s">
        <v>1232</v>
      </c>
      <c r="B1208" t="s">
        <v>12</v>
      </c>
      <c r="C1208" t="s">
        <v>13</v>
      </c>
      <c r="D1208">
        <v>3</v>
      </c>
      <c r="E1208" t="s">
        <v>26</v>
      </c>
      <c r="F1208" t="s">
        <v>15</v>
      </c>
      <c r="G1208">
        <v>70.150000000000006</v>
      </c>
      <c r="H1208">
        <v>194.2</v>
      </c>
      <c r="I1208" t="s">
        <v>15</v>
      </c>
      <c r="J1208" t="s">
        <v>16</v>
      </c>
      <c r="K1208" t="s">
        <v>17</v>
      </c>
      <c r="L1208">
        <v>194.2</v>
      </c>
      <c r="M1208" t="s">
        <v>5030</v>
      </c>
      <c r="N1208" t="s">
        <v>5031</v>
      </c>
    </row>
    <row r="1209" spans="1:14" x14ac:dyDescent="0.3">
      <c r="A1209" t="s">
        <v>1233</v>
      </c>
      <c r="B1209" t="s">
        <v>12</v>
      </c>
      <c r="C1209" t="s">
        <v>13</v>
      </c>
      <c r="D1209">
        <v>9</v>
      </c>
      <c r="E1209" t="s">
        <v>14</v>
      </c>
      <c r="F1209" t="s">
        <v>16</v>
      </c>
      <c r="G1209">
        <v>69.400000000000006</v>
      </c>
      <c r="H1209">
        <v>571.45000000000005</v>
      </c>
      <c r="I1209" t="s">
        <v>15</v>
      </c>
      <c r="J1209" t="s">
        <v>16</v>
      </c>
      <c r="K1209" t="s">
        <v>29</v>
      </c>
      <c r="L1209">
        <v>571.45000000000005</v>
      </c>
      <c r="M1209" t="s">
        <v>5030</v>
      </c>
      <c r="N1209" t="s">
        <v>5031</v>
      </c>
    </row>
    <row r="1210" spans="1:14" x14ac:dyDescent="0.3">
      <c r="A1210" t="s">
        <v>1234</v>
      </c>
      <c r="B1210" t="s">
        <v>12</v>
      </c>
      <c r="C1210" t="s">
        <v>13</v>
      </c>
      <c r="D1210">
        <v>1</v>
      </c>
      <c r="E1210" t="s">
        <v>26</v>
      </c>
      <c r="F1210" t="s">
        <v>15</v>
      </c>
      <c r="G1210">
        <v>80.25</v>
      </c>
      <c r="H1210">
        <v>80.25</v>
      </c>
      <c r="I1210" t="s">
        <v>16</v>
      </c>
      <c r="J1210" t="s">
        <v>16</v>
      </c>
      <c r="K1210" t="s">
        <v>17</v>
      </c>
      <c r="L1210">
        <v>80.25</v>
      </c>
      <c r="M1210" t="s">
        <v>5030</v>
      </c>
      <c r="N1210" t="s">
        <v>5031</v>
      </c>
    </row>
    <row r="1211" spans="1:14" x14ac:dyDescent="0.3">
      <c r="A1211" t="s">
        <v>1235</v>
      </c>
      <c r="B1211" t="s">
        <v>19</v>
      </c>
      <c r="C1211" t="s">
        <v>20</v>
      </c>
      <c r="D1211">
        <v>56</v>
      </c>
      <c r="E1211" t="s">
        <v>26</v>
      </c>
      <c r="F1211" t="s">
        <v>15</v>
      </c>
      <c r="G1211">
        <v>93.15</v>
      </c>
      <c r="H1211">
        <v>5253.95</v>
      </c>
      <c r="I1211" t="s">
        <v>15</v>
      </c>
      <c r="J1211" t="s">
        <v>16</v>
      </c>
      <c r="K1211" t="s">
        <v>17</v>
      </c>
      <c r="L1211">
        <v>5253.95</v>
      </c>
      <c r="M1211" t="s">
        <v>5033</v>
      </c>
      <c r="N1211" t="s">
        <v>5034</v>
      </c>
    </row>
    <row r="1212" spans="1:14" x14ac:dyDescent="0.3">
      <c r="A1212" t="s">
        <v>1236</v>
      </c>
      <c r="B1212" t="s">
        <v>19</v>
      </c>
      <c r="C1212" t="s">
        <v>13</v>
      </c>
      <c r="D1212">
        <v>17</v>
      </c>
      <c r="E1212" t="s">
        <v>26</v>
      </c>
      <c r="F1212" t="s">
        <v>15</v>
      </c>
      <c r="G1212">
        <v>69</v>
      </c>
      <c r="H1212">
        <v>1149.6500000000001</v>
      </c>
      <c r="I1212" t="s">
        <v>16</v>
      </c>
      <c r="J1212" t="s">
        <v>16</v>
      </c>
      <c r="K1212" t="s">
        <v>17</v>
      </c>
      <c r="L1212">
        <v>1149.6500000000001</v>
      </c>
      <c r="M1212" t="s">
        <v>5032</v>
      </c>
      <c r="N1212" t="s">
        <v>5031</v>
      </c>
    </row>
    <row r="1213" spans="1:14" x14ac:dyDescent="0.3">
      <c r="A1213" t="s">
        <v>1237</v>
      </c>
      <c r="B1213" t="s">
        <v>12</v>
      </c>
      <c r="C1213" t="s">
        <v>13</v>
      </c>
      <c r="D1213">
        <v>11</v>
      </c>
      <c r="E1213" t="s">
        <v>14</v>
      </c>
      <c r="F1213" t="s">
        <v>16</v>
      </c>
      <c r="G1213">
        <v>66.349999999999994</v>
      </c>
      <c r="H1213">
        <v>740.8</v>
      </c>
      <c r="I1213" t="s">
        <v>16</v>
      </c>
      <c r="J1213" t="s">
        <v>16</v>
      </c>
      <c r="K1213" t="s">
        <v>17</v>
      </c>
      <c r="L1213">
        <v>740.8</v>
      </c>
      <c r="M1213" t="s">
        <v>5030</v>
      </c>
      <c r="N1213" t="s">
        <v>5031</v>
      </c>
    </row>
    <row r="1214" spans="1:14" x14ac:dyDescent="0.3">
      <c r="A1214" t="s">
        <v>1238</v>
      </c>
      <c r="B1214" t="s">
        <v>19</v>
      </c>
      <c r="C1214" t="s">
        <v>13</v>
      </c>
      <c r="D1214">
        <v>7</v>
      </c>
      <c r="E1214" t="s">
        <v>26</v>
      </c>
      <c r="F1214" t="s">
        <v>15</v>
      </c>
      <c r="G1214">
        <v>69.55</v>
      </c>
      <c r="H1214">
        <v>521.35</v>
      </c>
      <c r="I1214" t="s">
        <v>15</v>
      </c>
      <c r="J1214" t="s">
        <v>16</v>
      </c>
      <c r="K1214" t="s">
        <v>17</v>
      </c>
      <c r="L1214">
        <v>521.35</v>
      </c>
      <c r="M1214" t="s">
        <v>5030</v>
      </c>
      <c r="N1214" t="s">
        <v>5031</v>
      </c>
    </row>
    <row r="1215" spans="1:14" x14ac:dyDescent="0.3">
      <c r="A1215" t="s">
        <v>1239</v>
      </c>
      <c r="B1215" t="s">
        <v>12</v>
      </c>
      <c r="C1215" t="s">
        <v>35</v>
      </c>
      <c r="D1215">
        <v>69</v>
      </c>
      <c r="E1215" t="s">
        <v>15</v>
      </c>
      <c r="F1215" t="s">
        <v>36</v>
      </c>
      <c r="G1215">
        <v>20.2</v>
      </c>
      <c r="H1215">
        <v>1412.65</v>
      </c>
      <c r="I1215" t="s">
        <v>15</v>
      </c>
      <c r="J1215" t="s">
        <v>15</v>
      </c>
      <c r="K1215" t="s">
        <v>24</v>
      </c>
      <c r="L1215">
        <v>1412.65</v>
      </c>
      <c r="M1215" t="s">
        <v>5033</v>
      </c>
      <c r="N1215" t="s">
        <v>5031</v>
      </c>
    </row>
    <row r="1216" spans="1:14" x14ac:dyDescent="0.3">
      <c r="A1216" t="s">
        <v>1240</v>
      </c>
      <c r="B1216" t="s">
        <v>19</v>
      </c>
      <c r="C1216" t="s">
        <v>13</v>
      </c>
      <c r="D1216">
        <v>19</v>
      </c>
      <c r="E1216" t="s">
        <v>26</v>
      </c>
      <c r="F1216" t="s">
        <v>15</v>
      </c>
      <c r="G1216">
        <v>86</v>
      </c>
      <c r="H1216">
        <v>1532.45</v>
      </c>
      <c r="I1216" t="s">
        <v>16</v>
      </c>
      <c r="J1216" t="s">
        <v>16</v>
      </c>
      <c r="K1216" t="s">
        <v>24</v>
      </c>
      <c r="L1216">
        <v>1532.45</v>
      </c>
      <c r="M1216" t="s">
        <v>5032</v>
      </c>
      <c r="N1216" t="s">
        <v>5031</v>
      </c>
    </row>
    <row r="1217" spans="1:14" x14ac:dyDescent="0.3">
      <c r="A1217" t="s">
        <v>1241</v>
      </c>
      <c r="B1217" t="s">
        <v>12</v>
      </c>
      <c r="C1217" t="s">
        <v>13</v>
      </c>
      <c r="D1217">
        <v>3</v>
      </c>
      <c r="E1217" t="s">
        <v>26</v>
      </c>
      <c r="F1217" t="s">
        <v>15</v>
      </c>
      <c r="G1217">
        <v>80.3</v>
      </c>
      <c r="H1217">
        <v>250.05</v>
      </c>
      <c r="I1217" t="s">
        <v>16</v>
      </c>
      <c r="J1217" t="s">
        <v>16</v>
      </c>
      <c r="K1217" t="s">
        <v>17</v>
      </c>
      <c r="L1217">
        <v>250.05</v>
      </c>
      <c r="M1217" t="s">
        <v>5030</v>
      </c>
      <c r="N1217" t="s">
        <v>5031</v>
      </c>
    </row>
    <row r="1218" spans="1:14" x14ac:dyDescent="0.3">
      <c r="A1218" t="s">
        <v>1242</v>
      </c>
      <c r="B1218" t="s">
        <v>19</v>
      </c>
      <c r="C1218" t="s">
        <v>35</v>
      </c>
      <c r="D1218">
        <v>54</v>
      </c>
      <c r="E1218" t="s">
        <v>15</v>
      </c>
      <c r="F1218" t="s">
        <v>36</v>
      </c>
      <c r="G1218">
        <v>20.399999999999999</v>
      </c>
      <c r="H1218">
        <v>1090.5999999999999</v>
      </c>
      <c r="I1218" t="s">
        <v>15</v>
      </c>
      <c r="J1218" t="s">
        <v>15</v>
      </c>
      <c r="K1218" t="s">
        <v>29</v>
      </c>
      <c r="L1218">
        <v>1090.5999999999999</v>
      </c>
      <c r="M1218" t="s">
        <v>5033</v>
      </c>
      <c r="N1218" t="s">
        <v>5031</v>
      </c>
    </row>
    <row r="1219" spans="1:14" x14ac:dyDescent="0.3">
      <c r="A1219" t="s">
        <v>1243</v>
      </c>
      <c r="B1219" t="s">
        <v>19</v>
      </c>
      <c r="C1219" t="s">
        <v>20</v>
      </c>
      <c r="D1219">
        <v>62</v>
      </c>
      <c r="E1219" t="s">
        <v>15</v>
      </c>
      <c r="F1219" t="s">
        <v>36</v>
      </c>
      <c r="G1219">
        <v>23.75</v>
      </c>
      <c r="H1219">
        <v>1446.8</v>
      </c>
      <c r="I1219" t="s">
        <v>15</v>
      </c>
      <c r="J1219" t="s">
        <v>16</v>
      </c>
      <c r="K1219" t="s">
        <v>29</v>
      </c>
      <c r="L1219">
        <v>1446.8</v>
      </c>
      <c r="M1219" t="s">
        <v>5033</v>
      </c>
      <c r="N1219" t="s">
        <v>5031</v>
      </c>
    </row>
    <row r="1220" spans="1:14" x14ac:dyDescent="0.3">
      <c r="A1220" t="s">
        <v>1244</v>
      </c>
      <c r="B1220" t="s">
        <v>19</v>
      </c>
      <c r="C1220" t="s">
        <v>13</v>
      </c>
      <c r="D1220">
        <v>24</v>
      </c>
      <c r="E1220" t="s">
        <v>26</v>
      </c>
      <c r="F1220" t="s">
        <v>15</v>
      </c>
      <c r="G1220">
        <v>90.55</v>
      </c>
      <c r="H1220">
        <v>2282.5500000000002</v>
      </c>
      <c r="I1220" t="s">
        <v>16</v>
      </c>
      <c r="J1220" t="s">
        <v>16</v>
      </c>
      <c r="K1220" t="s">
        <v>29</v>
      </c>
      <c r="L1220">
        <v>2282.5500000000002</v>
      </c>
      <c r="M1220" t="s">
        <v>5032</v>
      </c>
      <c r="N1220" t="s">
        <v>5031</v>
      </c>
    </row>
    <row r="1221" spans="1:14" x14ac:dyDescent="0.3">
      <c r="A1221" t="s">
        <v>1245</v>
      </c>
      <c r="B1221" t="s">
        <v>12</v>
      </c>
      <c r="C1221" t="s">
        <v>13</v>
      </c>
      <c r="D1221">
        <v>62</v>
      </c>
      <c r="E1221" t="s">
        <v>14</v>
      </c>
      <c r="F1221" t="s">
        <v>15</v>
      </c>
      <c r="G1221">
        <v>70.45</v>
      </c>
      <c r="H1221">
        <v>4300.45</v>
      </c>
      <c r="I1221" t="s">
        <v>15</v>
      </c>
      <c r="J1221" t="s">
        <v>16</v>
      </c>
      <c r="K1221" t="s">
        <v>29</v>
      </c>
      <c r="L1221">
        <v>4300.45</v>
      </c>
      <c r="M1221" t="s">
        <v>5033</v>
      </c>
      <c r="N1221" t="s">
        <v>5034</v>
      </c>
    </row>
    <row r="1222" spans="1:14" x14ac:dyDescent="0.3">
      <c r="A1222" t="s">
        <v>1246</v>
      </c>
      <c r="B1222" t="s">
        <v>19</v>
      </c>
      <c r="C1222" t="s">
        <v>13</v>
      </c>
      <c r="D1222">
        <v>17</v>
      </c>
      <c r="E1222" t="s">
        <v>14</v>
      </c>
      <c r="F1222" t="s">
        <v>15</v>
      </c>
      <c r="G1222">
        <v>65.75</v>
      </c>
      <c r="H1222">
        <v>1111.2</v>
      </c>
      <c r="I1222" t="s">
        <v>15</v>
      </c>
      <c r="J1222" t="s">
        <v>15</v>
      </c>
      <c r="K1222" t="s">
        <v>24</v>
      </c>
      <c r="L1222">
        <v>1111.2</v>
      </c>
      <c r="M1222" t="s">
        <v>5032</v>
      </c>
      <c r="N1222" t="s">
        <v>5031</v>
      </c>
    </row>
    <row r="1223" spans="1:14" x14ac:dyDescent="0.3">
      <c r="A1223" t="s">
        <v>1247</v>
      </c>
      <c r="B1223" t="s">
        <v>19</v>
      </c>
      <c r="C1223" t="s">
        <v>13</v>
      </c>
      <c r="D1223">
        <v>9</v>
      </c>
      <c r="E1223" t="s">
        <v>14</v>
      </c>
      <c r="F1223" t="s">
        <v>15</v>
      </c>
      <c r="G1223">
        <v>24.6</v>
      </c>
      <c r="H1223">
        <v>190.1</v>
      </c>
      <c r="I1223" t="s">
        <v>15</v>
      </c>
      <c r="J1223" t="s">
        <v>16</v>
      </c>
      <c r="K1223" t="s">
        <v>21</v>
      </c>
      <c r="L1223">
        <v>190.1</v>
      </c>
      <c r="M1223" t="s">
        <v>5030</v>
      </c>
      <c r="N1223" t="s">
        <v>5031</v>
      </c>
    </row>
    <row r="1224" spans="1:14" x14ac:dyDescent="0.3">
      <c r="A1224" t="s">
        <v>1248</v>
      </c>
      <c r="B1224" t="s">
        <v>19</v>
      </c>
      <c r="C1224" t="s">
        <v>35</v>
      </c>
      <c r="D1224">
        <v>64</v>
      </c>
      <c r="E1224" t="s">
        <v>14</v>
      </c>
      <c r="F1224" t="s">
        <v>16</v>
      </c>
      <c r="G1224">
        <v>69.25</v>
      </c>
      <c r="H1224">
        <v>4447.75</v>
      </c>
      <c r="I1224" t="s">
        <v>15</v>
      </c>
      <c r="J1224" t="s">
        <v>15</v>
      </c>
      <c r="K1224" t="s">
        <v>21</v>
      </c>
      <c r="L1224">
        <v>4447.75</v>
      </c>
      <c r="M1224" t="s">
        <v>5033</v>
      </c>
      <c r="N1224" t="s">
        <v>5034</v>
      </c>
    </row>
    <row r="1225" spans="1:14" x14ac:dyDescent="0.3">
      <c r="A1225" t="s">
        <v>1249</v>
      </c>
      <c r="B1225" t="s">
        <v>12</v>
      </c>
      <c r="C1225" t="s">
        <v>13</v>
      </c>
      <c r="D1225">
        <v>2</v>
      </c>
      <c r="E1225" t="s">
        <v>26</v>
      </c>
      <c r="F1225" t="s">
        <v>15</v>
      </c>
      <c r="G1225">
        <v>75.900000000000006</v>
      </c>
      <c r="H1225">
        <v>143.35</v>
      </c>
      <c r="I1225" t="s">
        <v>16</v>
      </c>
      <c r="J1225" t="s">
        <v>16</v>
      </c>
      <c r="K1225" t="s">
        <v>17</v>
      </c>
      <c r="L1225">
        <v>143.35</v>
      </c>
      <c r="M1225" t="s">
        <v>5030</v>
      </c>
      <c r="N1225" t="s">
        <v>5031</v>
      </c>
    </row>
    <row r="1226" spans="1:14" x14ac:dyDescent="0.3">
      <c r="A1226" t="s">
        <v>1250</v>
      </c>
      <c r="B1226" t="s">
        <v>19</v>
      </c>
      <c r="C1226" t="s">
        <v>13</v>
      </c>
      <c r="D1226">
        <v>1</v>
      </c>
      <c r="E1226" t="s">
        <v>14</v>
      </c>
      <c r="F1226" t="s">
        <v>15</v>
      </c>
      <c r="G1226">
        <v>45.85</v>
      </c>
      <c r="H1226">
        <v>45.85</v>
      </c>
      <c r="I1226" t="s">
        <v>16</v>
      </c>
      <c r="J1226" t="s">
        <v>16</v>
      </c>
      <c r="K1226" t="s">
        <v>21</v>
      </c>
      <c r="L1226">
        <v>45.85</v>
      </c>
      <c r="M1226" t="s">
        <v>5030</v>
      </c>
      <c r="N1226" t="s">
        <v>5031</v>
      </c>
    </row>
    <row r="1227" spans="1:14" x14ac:dyDescent="0.3">
      <c r="A1227" t="s">
        <v>1251</v>
      </c>
      <c r="B1227" t="s">
        <v>12</v>
      </c>
      <c r="C1227" t="s">
        <v>13</v>
      </c>
      <c r="D1227">
        <v>16</v>
      </c>
      <c r="E1227" t="s">
        <v>14</v>
      </c>
      <c r="F1227" t="s">
        <v>16</v>
      </c>
      <c r="G1227">
        <v>49.95</v>
      </c>
      <c r="H1227">
        <v>810.2</v>
      </c>
      <c r="I1227" t="s">
        <v>16</v>
      </c>
      <c r="J1227" t="s">
        <v>16</v>
      </c>
      <c r="K1227" t="s">
        <v>17</v>
      </c>
      <c r="L1227">
        <v>810.2</v>
      </c>
      <c r="M1227" t="s">
        <v>5032</v>
      </c>
      <c r="N1227" t="s">
        <v>5031</v>
      </c>
    </row>
    <row r="1228" spans="1:14" x14ac:dyDescent="0.3">
      <c r="A1228" t="s">
        <v>1252</v>
      </c>
      <c r="B1228" t="s">
        <v>12</v>
      </c>
      <c r="C1228" t="s">
        <v>35</v>
      </c>
      <c r="D1228">
        <v>72</v>
      </c>
      <c r="E1228" t="s">
        <v>15</v>
      </c>
      <c r="F1228" t="s">
        <v>36</v>
      </c>
      <c r="G1228">
        <v>24.65</v>
      </c>
      <c r="H1228">
        <v>1830.05</v>
      </c>
      <c r="I1228" t="s">
        <v>15</v>
      </c>
      <c r="J1228" t="s">
        <v>15</v>
      </c>
      <c r="K1228" t="s">
        <v>24</v>
      </c>
      <c r="L1228">
        <v>1830.05</v>
      </c>
      <c r="M1228" t="s">
        <v>5033</v>
      </c>
      <c r="N1228" t="s">
        <v>5031</v>
      </c>
    </row>
    <row r="1229" spans="1:14" x14ac:dyDescent="0.3">
      <c r="A1229" t="s">
        <v>1253</v>
      </c>
      <c r="B1229" t="s">
        <v>19</v>
      </c>
      <c r="C1229" t="s">
        <v>20</v>
      </c>
      <c r="D1229">
        <v>30</v>
      </c>
      <c r="E1229" t="s">
        <v>26</v>
      </c>
      <c r="F1229" t="s">
        <v>15</v>
      </c>
      <c r="G1229">
        <v>90.4</v>
      </c>
      <c r="H1229">
        <v>2820.65</v>
      </c>
      <c r="I1229" t="s">
        <v>15</v>
      </c>
      <c r="J1229" t="s">
        <v>15</v>
      </c>
      <c r="K1229" t="s">
        <v>24</v>
      </c>
      <c r="L1229">
        <v>2820.65</v>
      </c>
      <c r="M1229" t="s">
        <v>5032</v>
      </c>
      <c r="N1229" t="s">
        <v>5034</v>
      </c>
    </row>
    <row r="1230" spans="1:14" x14ac:dyDescent="0.3">
      <c r="A1230" t="s">
        <v>1254</v>
      </c>
      <c r="B1230" t="s">
        <v>12</v>
      </c>
      <c r="C1230" t="s">
        <v>13</v>
      </c>
      <c r="D1230">
        <v>49</v>
      </c>
      <c r="E1230" t="s">
        <v>26</v>
      </c>
      <c r="F1230" t="s">
        <v>15</v>
      </c>
      <c r="G1230">
        <v>100.85</v>
      </c>
      <c r="H1230">
        <v>4847.3500000000004</v>
      </c>
      <c r="I1230" t="s">
        <v>15</v>
      </c>
      <c r="J1230" t="s">
        <v>16</v>
      </c>
      <c r="K1230" t="s">
        <v>21</v>
      </c>
      <c r="L1230">
        <v>4847.3500000000004</v>
      </c>
      <c r="M1230" t="s">
        <v>5033</v>
      </c>
      <c r="N1230" t="s">
        <v>5034</v>
      </c>
    </row>
    <row r="1231" spans="1:14" x14ac:dyDescent="0.3">
      <c r="A1231" t="s">
        <v>1255</v>
      </c>
      <c r="B1231" t="s">
        <v>19</v>
      </c>
      <c r="C1231" t="s">
        <v>35</v>
      </c>
      <c r="D1231">
        <v>61</v>
      </c>
      <c r="E1231" t="s">
        <v>14</v>
      </c>
      <c r="F1231" t="s">
        <v>16</v>
      </c>
      <c r="G1231">
        <v>75.349999999999994</v>
      </c>
      <c r="H1231">
        <v>4729.3</v>
      </c>
      <c r="I1231" t="s">
        <v>15</v>
      </c>
      <c r="J1231" t="s">
        <v>15</v>
      </c>
      <c r="K1231" t="s">
        <v>29</v>
      </c>
      <c r="L1231">
        <v>4729.3</v>
      </c>
      <c r="M1231" t="s">
        <v>5033</v>
      </c>
      <c r="N1231" t="s">
        <v>5034</v>
      </c>
    </row>
    <row r="1232" spans="1:14" x14ac:dyDescent="0.3">
      <c r="A1232" t="s">
        <v>1256</v>
      </c>
      <c r="B1232" t="s">
        <v>19</v>
      </c>
      <c r="C1232" t="s">
        <v>13</v>
      </c>
      <c r="D1232">
        <v>47</v>
      </c>
      <c r="E1232" t="s">
        <v>26</v>
      </c>
      <c r="F1232" t="s">
        <v>15</v>
      </c>
      <c r="G1232">
        <v>87.2</v>
      </c>
      <c r="H1232">
        <v>4017.45</v>
      </c>
      <c r="I1232" t="s">
        <v>15</v>
      </c>
      <c r="J1232" t="s">
        <v>15</v>
      </c>
      <c r="K1232" t="s">
        <v>17</v>
      </c>
      <c r="L1232">
        <v>4017.45</v>
      </c>
      <c r="M1232" t="s">
        <v>5033</v>
      </c>
      <c r="N1232" t="s">
        <v>5034</v>
      </c>
    </row>
    <row r="1233" spans="1:14" x14ac:dyDescent="0.3">
      <c r="A1233" t="s">
        <v>1257</v>
      </c>
      <c r="B1233" t="s">
        <v>19</v>
      </c>
      <c r="C1233" t="s">
        <v>13</v>
      </c>
      <c r="D1233">
        <v>20</v>
      </c>
      <c r="E1233" t="s">
        <v>14</v>
      </c>
      <c r="F1233" t="s">
        <v>15</v>
      </c>
      <c r="G1233">
        <v>64.400000000000006</v>
      </c>
      <c r="H1233">
        <v>1398.6</v>
      </c>
      <c r="I1233" t="s">
        <v>15</v>
      </c>
      <c r="J1233" t="s">
        <v>15</v>
      </c>
      <c r="K1233" t="s">
        <v>29</v>
      </c>
      <c r="L1233">
        <v>1398.6</v>
      </c>
      <c r="M1233" t="s">
        <v>5032</v>
      </c>
      <c r="N1233" t="s">
        <v>5031</v>
      </c>
    </row>
    <row r="1234" spans="1:14" x14ac:dyDescent="0.3">
      <c r="A1234" t="s">
        <v>1258</v>
      </c>
      <c r="B1234" t="s">
        <v>19</v>
      </c>
      <c r="C1234" t="s">
        <v>13</v>
      </c>
      <c r="D1234">
        <v>34</v>
      </c>
      <c r="E1234" t="s">
        <v>26</v>
      </c>
      <c r="F1234" t="s">
        <v>15</v>
      </c>
      <c r="G1234">
        <v>78.3</v>
      </c>
      <c r="H1234">
        <v>2564.3000000000002</v>
      </c>
      <c r="I1234" t="s">
        <v>16</v>
      </c>
      <c r="J1234" t="s">
        <v>15</v>
      </c>
      <c r="K1234" t="s">
        <v>17</v>
      </c>
      <c r="L1234">
        <v>2564.3000000000002</v>
      </c>
      <c r="M1234" t="s">
        <v>5032</v>
      </c>
      <c r="N1234" t="s">
        <v>5034</v>
      </c>
    </row>
    <row r="1235" spans="1:14" x14ac:dyDescent="0.3">
      <c r="A1235" t="s">
        <v>1259</v>
      </c>
      <c r="B1235" t="s">
        <v>12</v>
      </c>
      <c r="C1235" t="s">
        <v>35</v>
      </c>
      <c r="D1235">
        <v>70</v>
      </c>
      <c r="E1235" t="s">
        <v>15</v>
      </c>
      <c r="F1235" t="s">
        <v>36</v>
      </c>
      <c r="G1235">
        <v>24.7</v>
      </c>
      <c r="H1235">
        <v>1685.9</v>
      </c>
      <c r="I1235" t="s">
        <v>15</v>
      </c>
      <c r="J1235" t="s">
        <v>15</v>
      </c>
      <c r="K1235" t="s">
        <v>24</v>
      </c>
      <c r="L1235">
        <v>1685.9</v>
      </c>
      <c r="M1235" t="s">
        <v>5033</v>
      </c>
      <c r="N1235" t="s">
        <v>5031</v>
      </c>
    </row>
    <row r="1236" spans="1:14" x14ac:dyDescent="0.3">
      <c r="A1236" t="s">
        <v>1260</v>
      </c>
      <c r="B1236" t="s">
        <v>19</v>
      </c>
      <c r="C1236" t="s">
        <v>20</v>
      </c>
      <c r="D1236">
        <v>54</v>
      </c>
      <c r="E1236" t="s">
        <v>26</v>
      </c>
      <c r="F1236" t="s">
        <v>16</v>
      </c>
      <c r="G1236">
        <v>105.85</v>
      </c>
      <c r="H1236">
        <v>5826.65</v>
      </c>
      <c r="I1236" t="s">
        <v>15</v>
      </c>
      <c r="J1236" t="s">
        <v>16</v>
      </c>
      <c r="K1236" t="s">
        <v>17</v>
      </c>
      <c r="L1236">
        <v>5826.65</v>
      </c>
      <c r="M1236" t="s">
        <v>5033</v>
      </c>
      <c r="N1236" t="s">
        <v>5034</v>
      </c>
    </row>
    <row r="1237" spans="1:14" x14ac:dyDescent="0.3">
      <c r="A1237" t="s">
        <v>1261</v>
      </c>
      <c r="B1237" t="s">
        <v>19</v>
      </c>
      <c r="C1237" t="s">
        <v>20</v>
      </c>
      <c r="D1237">
        <v>61</v>
      </c>
      <c r="E1237" t="s">
        <v>26</v>
      </c>
      <c r="F1237" t="s">
        <v>16</v>
      </c>
      <c r="G1237">
        <v>98.3</v>
      </c>
      <c r="H1237">
        <v>6066.55</v>
      </c>
      <c r="I1237" t="s">
        <v>15</v>
      </c>
      <c r="J1237" t="s">
        <v>16</v>
      </c>
      <c r="K1237" t="s">
        <v>21</v>
      </c>
      <c r="L1237">
        <v>6066.55</v>
      </c>
      <c r="M1237" t="s">
        <v>5033</v>
      </c>
      <c r="N1237" t="s">
        <v>5034</v>
      </c>
    </row>
    <row r="1238" spans="1:14" x14ac:dyDescent="0.3">
      <c r="A1238" t="s">
        <v>1262</v>
      </c>
      <c r="B1238" t="s">
        <v>19</v>
      </c>
      <c r="C1238" t="s">
        <v>13</v>
      </c>
      <c r="D1238">
        <v>3</v>
      </c>
      <c r="E1238" t="s">
        <v>26</v>
      </c>
      <c r="F1238" t="s">
        <v>15</v>
      </c>
      <c r="G1238">
        <v>76.95</v>
      </c>
      <c r="H1238">
        <v>228.4</v>
      </c>
      <c r="I1238" t="s">
        <v>16</v>
      </c>
      <c r="J1238" t="s">
        <v>16</v>
      </c>
      <c r="K1238" t="s">
        <v>17</v>
      </c>
      <c r="L1238">
        <v>228.4</v>
      </c>
      <c r="M1238" t="s">
        <v>5030</v>
      </c>
      <c r="N1238" t="s">
        <v>5031</v>
      </c>
    </row>
    <row r="1239" spans="1:14" x14ac:dyDescent="0.3">
      <c r="A1239" t="s">
        <v>1263</v>
      </c>
      <c r="B1239" t="s">
        <v>19</v>
      </c>
      <c r="C1239" t="s">
        <v>20</v>
      </c>
      <c r="D1239">
        <v>13</v>
      </c>
      <c r="E1239" t="s">
        <v>15</v>
      </c>
      <c r="F1239" t="s">
        <v>36</v>
      </c>
      <c r="G1239">
        <v>19.45</v>
      </c>
      <c r="H1239">
        <v>270.2</v>
      </c>
      <c r="I1239" t="s">
        <v>15</v>
      </c>
      <c r="J1239" t="s">
        <v>15</v>
      </c>
      <c r="K1239" t="s">
        <v>21</v>
      </c>
      <c r="L1239">
        <v>270.2</v>
      </c>
      <c r="M1239" t="s">
        <v>5032</v>
      </c>
      <c r="N1239" t="s">
        <v>5031</v>
      </c>
    </row>
    <row r="1240" spans="1:14" x14ac:dyDescent="0.3">
      <c r="A1240" t="s">
        <v>1264</v>
      </c>
      <c r="B1240" t="s">
        <v>12</v>
      </c>
      <c r="C1240" t="s">
        <v>13</v>
      </c>
      <c r="D1240">
        <v>16</v>
      </c>
      <c r="E1240" t="s">
        <v>26</v>
      </c>
      <c r="F1240" t="s">
        <v>15</v>
      </c>
      <c r="G1240">
        <v>96.15</v>
      </c>
      <c r="H1240">
        <v>1529.2</v>
      </c>
      <c r="I1240" t="s">
        <v>16</v>
      </c>
      <c r="J1240" t="s">
        <v>16</v>
      </c>
      <c r="K1240" t="s">
        <v>17</v>
      </c>
      <c r="L1240">
        <v>1529.2</v>
      </c>
      <c r="M1240" t="s">
        <v>5032</v>
      </c>
      <c r="N1240" t="s">
        <v>5031</v>
      </c>
    </row>
    <row r="1241" spans="1:14" x14ac:dyDescent="0.3">
      <c r="A1241" t="s">
        <v>1265</v>
      </c>
      <c r="B1241" t="s">
        <v>12</v>
      </c>
      <c r="C1241" t="s">
        <v>13</v>
      </c>
      <c r="D1241">
        <v>3</v>
      </c>
      <c r="E1241" t="s">
        <v>14</v>
      </c>
      <c r="F1241" t="s">
        <v>15</v>
      </c>
      <c r="G1241">
        <v>58.7</v>
      </c>
      <c r="H1241">
        <v>168.6</v>
      </c>
      <c r="I1241" t="s">
        <v>15</v>
      </c>
      <c r="J1241" t="s">
        <v>16</v>
      </c>
      <c r="K1241" t="s">
        <v>29</v>
      </c>
      <c r="L1241">
        <v>168.6</v>
      </c>
      <c r="M1241" t="s">
        <v>5030</v>
      </c>
      <c r="N1241" t="s">
        <v>5031</v>
      </c>
    </row>
    <row r="1242" spans="1:14" x14ac:dyDescent="0.3">
      <c r="A1242" t="s">
        <v>1266</v>
      </c>
      <c r="B1242" t="s">
        <v>19</v>
      </c>
      <c r="C1242" t="s">
        <v>13</v>
      </c>
      <c r="D1242">
        <v>25</v>
      </c>
      <c r="E1242" t="s">
        <v>15</v>
      </c>
      <c r="F1242" t="s">
        <v>36</v>
      </c>
      <c r="G1242">
        <v>20.149999999999999</v>
      </c>
      <c r="H1242">
        <v>536.35</v>
      </c>
      <c r="I1242" t="s">
        <v>15</v>
      </c>
      <c r="J1242" t="s">
        <v>16</v>
      </c>
      <c r="K1242" t="s">
        <v>21</v>
      </c>
      <c r="L1242">
        <v>536.35</v>
      </c>
      <c r="M1242" t="s">
        <v>5032</v>
      </c>
      <c r="N1242" t="s">
        <v>5031</v>
      </c>
    </row>
    <row r="1243" spans="1:14" x14ac:dyDescent="0.3">
      <c r="A1243" t="s">
        <v>1267</v>
      </c>
      <c r="B1243" t="s">
        <v>19</v>
      </c>
      <c r="C1243" t="s">
        <v>13</v>
      </c>
      <c r="D1243">
        <v>30</v>
      </c>
      <c r="E1243" t="s">
        <v>14</v>
      </c>
      <c r="F1243" t="s">
        <v>15</v>
      </c>
      <c r="G1243">
        <v>64.5</v>
      </c>
      <c r="H1243">
        <v>1888.45</v>
      </c>
      <c r="I1243" t="s">
        <v>15</v>
      </c>
      <c r="J1243" t="s">
        <v>16</v>
      </c>
      <c r="K1243" t="s">
        <v>21</v>
      </c>
      <c r="L1243">
        <v>1888.45</v>
      </c>
      <c r="M1243" t="s">
        <v>5032</v>
      </c>
      <c r="N1243" t="s">
        <v>5031</v>
      </c>
    </row>
    <row r="1244" spans="1:14" x14ac:dyDescent="0.3">
      <c r="A1244" t="s">
        <v>1268</v>
      </c>
      <c r="B1244" t="s">
        <v>12</v>
      </c>
      <c r="C1244" t="s">
        <v>13</v>
      </c>
      <c r="D1244">
        <v>21</v>
      </c>
      <c r="E1244" t="s">
        <v>14</v>
      </c>
      <c r="F1244" t="s">
        <v>15</v>
      </c>
      <c r="G1244">
        <v>28.5</v>
      </c>
      <c r="H1244">
        <v>629.35</v>
      </c>
      <c r="I1244" t="s">
        <v>15</v>
      </c>
      <c r="J1244" t="s">
        <v>15</v>
      </c>
      <c r="K1244" t="s">
        <v>17</v>
      </c>
      <c r="L1244">
        <v>629.35</v>
      </c>
      <c r="M1244" t="s">
        <v>5032</v>
      </c>
      <c r="N1244" t="s">
        <v>5031</v>
      </c>
    </row>
    <row r="1245" spans="1:14" x14ac:dyDescent="0.3">
      <c r="A1245" t="s">
        <v>1269</v>
      </c>
      <c r="B1245" t="s">
        <v>19</v>
      </c>
      <c r="C1245" t="s">
        <v>13</v>
      </c>
      <c r="D1245">
        <v>1</v>
      </c>
      <c r="E1245" t="s">
        <v>14</v>
      </c>
      <c r="F1245" t="s">
        <v>15</v>
      </c>
      <c r="G1245">
        <v>45.3</v>
      </c>
      <c r="H1245">
        <v>45.3</v>
      </c>
      <c r="I1245" t="s">
        <v>16</v>
      </c>
      <c r="J1245" t="s">
        <v>15</v>
      </c>
      <c r="K1245" t="s">
        <v>17</v>
      </c>
      <c r="L1245">
        <v>45.3</v>
      </c>
      <c r="M1245" t="s">
        <v>5030</v>
      </c>
      <c r="N1245" t="s">
        <v>5031</v>
      </c>
    </row>
    <row r="1246" spans="1:14" x14ac:dyDescent="0.3">
      <c r="A1246" t="s">
        <v>1270</v>
      </c>
      <c r="B1246" t="s">
        <v>12</v>
      </c>
      <c r="C1246" t="s">
        <v>13</v>
      </c>
      <c r="D1246">
        <v>15</v>
      </c>
      <c r="E1246" t="s">
        <v>15</v>
      </c>
      <c r="F1246" t="s">
        <v>36</v>
      </c>
      <c r="G1246">
        <v>19.399999999999999</v>
      </c>
      <c r="H1246">
        <v>289.3</v>
      </c>
      <c r="I1246" t="s">
        <v>16</v>
      </c>
      <c r="J1246" t="s">
        <v>15</v>
      </c>
      <c r="K1246" t="s">
        <v>24</v>
      </c>
      <c r="L1246">
        <v>289.3</v>
      </c>
      <c r="M1246" t="s">
        <v>5032</v>
      </c>
      <c r="N1246" t="s">
        <v>5031</v>
      </c>
    </row>
    <row r="1247" spans="1:14" x14ac:dyDescent="0.3">
      <c r="A1247" t="s">
        <v>1271</v>
      </c>
      <c r="B1247" t="s">
        <v>19</v>
      </c>
      <c r="C1247" t="s">
        <v>13</v>
      </c>
      <c r="D1247">
        <v>23</v>
      </c>
      <c r="E1247" t="s">
        <v>26</v>
      </c>
      <c r="F1247" t="s">
        <v>15</v>
      </c>
      <c r="G1247">
        <v>90.45</v>
      </c>
      <c r="H1247">
        <v>2117.25</v>
      </c>
      <c r="I1247" t="s">
        <v>15</v>
      </c>
      <c r="J1247" t="s">
        <v>16</v>
      </c>
      <c r="K1247" t="s">
        <v>17</v>
      </c>
      <c r="L1247">
        <v>2117.25</v>
      </c>
      <c r="M1247" t="s">
        <v>5032</v>
      </c>
      <c r="N1247" t="s">
        <v>5031</v>
      </c>
    </row>
    <row r="1248" spans="1:14" x14ac:dyDescent="0.3">
      <c r="A1248" t="s">
        <v>1272</v>
      </c>
      <c r="B1248" t="s">
        <v>12</v>
      </c>
      <c r="C1248" t="s">
        <v>13</v>
      </c>
      <c r="D1248">
        <v>45</v>
      </c>
      <c r="E1248" t="s">
        <v>26</v>
      </c>
      <c r="F1248" t="s">
        <v>15</v>
      </c>
      <c r="G1248">
        <v>105.15</v>
      </c>
      <c r="H1248">
        <v>4730.8999999999996</v>
      </c>
      <c r="I1248" t="s">
        <v>15</v>
      </c>
      <c r="J1248" t="s">
        <v>16</v>
      </c>
      <c r="K1248" t="s">
        <v>17</v>
      </c>
      <c r="L1248">
        <v>4730.8999999999996</v>
      </c>
      <c r="M1248" t="s">
        <v>5033</v>
      </c>
      <c r="N1248" t="s">
        <v>5034</v>
      </c>
    </row>
    <row r="1249" spans="1:14" x14ac:dyDescent="0.3">
      <c r="A1249" t="s">
        <v>1273</v>
      </c>
      <c r="B1249" t="s">
        <v>12</v>
      </c>
      <c r="C1249" t="s">
        <v>20</v>
      </c>
      <c r="D1249">
        <v>24</v>
      </c>
      <c r="E1249" t="s">
        <v>26</v>
      </c>
      <c r="F1249" t="s">
        <v>15</v>
      </c>
      <c r="G1249">
        <v>83.15</v>
      </c>
      <c r="H1249">
        <v>2033.05</v>
      </c>
      <c r="I1249" t="s">
        <v>15</v>
      </c>
      <c r="J1249" t="s">
        <v>15</v>
      </c>
      <c r="K1249" t="s">
        <v>24</v>
      </c>
      <c r="L1249">
        <v>2033.05</v>
      </c>
      <c r="M1249" t="s">
        <v>5032</v>
      </c>
      <c r="N1249" t="s">
        <v>5031</v>
      </c>
    </row>
    <row r="1250" spans="1:14" x14ac:dyDescent="0.3">
      <c r="A1250" t="s">
        <v>1274</v>
      </c>
      <c r="B1250" t="s">
        <v>12</v>
      </c>
      <c r="C1250" t="s">
        <v>13</v>
      </c>
      <c r="D1250">
        <v>11</v>
      </c>
      <c r="E1250" t="s">
        <v>26</v>
      </c>
      <c r="F1250" t="s">
        <v>16</v>
      </c>
      <c r="G1250">
        <v>90.15</v>
      </c>
      <c r="H1250">
        <v>987.95</v>
      </c>
      <c r="I1250" t="s">
        <v>16</v>
      </c>
      <c r="J1250" t="s">
        <v>15</v>
      </c>
      <c r="K1250" t="s">
        <v>17</v>
      </c>
      <c r="L1250">
        <v>987.95</v>
      </c>
      <c r="M1250" t="s">
        <v>5030</v>
      </c>
      <c r="N1250" t="s">
        <v>5031</v>
      </c>
    </row>
    <row r="1251" spans="1:14" x14ac:dyDescent="0.3">
      <c r="A1251" t="s">
        <v>1275</v>
      </c>
      <c r="B1251" t="s">
        <v>19</v>
      </c>
      <c r="C1251" t="s">
        <v>13</v>
      </c>
      <c r="D1251">
        <v>1</v>
      </c>
      <c r="E1251" t="s">
        <v>14</v>
      </c>
      <c r="F1251" t="s">
        <v>15</v>
      </c>
      <c r="G1251">
        <v>45.05</v>
      </c>
      <c r="H1251">
        <v>45.05</v>
      </c>
      <c r="I1251" t="s">
        <v>16</v>
      </c>
      <c r="J1251" t="s">
        <v>15</v>
      </c>
      <c r="K1251" t="s">
        <v>21</v>
      </c>
      <c r="L1251">
        <v>45.05</v>
      </c>
      <c r="M1251" t="s">
        <v>5030</v>
      </c>
      <c r="N1251" t="s">
        <v>5031</v>
      </c>
    </row>
    <row r="1252" spans="1:14" x14ac:dyDescent="0.3">
      <c r="A1252" t="s">
        <v>1276</v>
      </c>
      <c r="B1252" t="s">
        <v>12</v>
      </c>
      <c r="C1252" t="s">
        <v>35</v>
      </c>
      <c r="D1252">
        <v>56</v>
      </c>
      <c r="E1252" t="s">
        <v>26</v>
      </c>
      <c r="F1252" t="s">
        <v>16</v>
      </c>
      <c r="G1252">
        <v>103.2</v>
      </c>
      <c r="H1252">
        <v>5744.35</v>
      </c>
      <c r="I1252" t="s">
        <v>15</v>
      </c>
      <c r="J1252" t="s">
        <v>15</v>
      </c>
      <c r="K1252" t="s">
        <v>24</v>
      </c>
      <c r="L1252">
        <v>5744.35</v>
      </c>
      <c r="M1252" t="s">
        <v>5033</v>
      </c>
      <c r="N1252" t="s">
        <v>5034</v>
      </c>
    </row>
    <row r="1253" spans="1:14" x14ac:dyDescent="0.3">
      <c r="A1253" t="s">
        <v>1277</v>
      </c>
      <c r="B1253" t="s">
        <v>12</v>
      </c>
      <c r="C1253" t="s">
        <v>13</v>
      </c>
      <c r="D1253">
        <v>1</v>
      </c>
      <c r="E1253" t="s">
        <v>26</v>
      </c>
      <c r="F1253" t="s">
        <v>15</v>
      </c>
      <c r="G1253">
        <v>75.8</v>
      </c>
      <c r="H1253">
        <v>75.8</v>
      </c>
      <c r="I1253" t="s">
        <v>16</v>
      </c>
      <c r="J1253" t="s">
        <v>15</v>
      </c>
      <c r="K1253" t="s">
        <v>17</v>
      </c>
      <c r="L1253">
        <v>75.8</v>
      </c>
      <c r="M1253" t="s">
        <v>5030</v>
      </c>
      <c r="N1253" t="s">
        <v>5031</v>
      </c>
    </row>
    <row r="1254" spans="1:14" x14ac:dyDescent="0.3">
      <c r="A1254" t="s">
        <v>1278</v>
      </c>
      <c r="B1254" t="s">
        <v>19</v>
      </c>
      <c r="C1254" t="s">
        <v>13</v>
      </c>
      <c r="D1254">
        <v>1</v>
      </c>
      <c r="E1254" t="s">
        <v>15</v>
      </c>
      <c r="F1254" t="s">
        <v>36</v>
      </c>
      <c r="G1254">
        <v>19.45</v>
      </c>
      <c r="H1254">
        <v>19.45</v>
      </c>
      <c r="I1254" t="s">
        <v>15</v>
      </c>
      <c r="J1254" t="s">
        <v>15</v>
      </c>
      <c r="K1254" t="s">
        <v>17</v>
      </c>
      <c r="L1254">
        <v>19.45</v>
      </c>
      <c r="M1254" t="s">
        <v>5030</v>
      </c>
      <c r="N1254" t="s">
        <v>5031</v>
      </c>
    </row>
    <row r="1255" spans="1:14" x14ac:dyDescent="0.3">
      <c r="A1255" t="s">
        <v>1279</v>
      </c>
      <c r="B1255" t="s">
        <v>12</v>
      </c>
      <c r="C1255" t="s">
        <v>13</v>
      </c>
      <c r="D1255">
        <v>7</v>
      </c>
      <c r="E1255" t="s">
        <v>26</v>
      </c>
      <c r="F1255" t="s">
        <v>15</v>
      </c>
      <c r="G1255">
        <v>79.3</v>
      </c>
      <c r="H1255">
        <v>523.15</v>
      </c>
      <c r="I1255" t="s">
        <v>16</v>
      </c>
      <c r="J1255" t="s">
        <v>16</v>
      </c>
      <c r="K1255" t="s">
        <v>17</v>
      </c>
      <c r="L1255">
        <v>523.15</v>
      </c>
      <c r="M1255" t="s">
        <v>5030</v>
      </c>
      <c r="N1255" t="s">
        <v>5031</v>
      </c>
    </row>
    <row r="1256" spans="1:14" x14ac:dyDescent="0.3">
      <c r="A1256" t="s">
        <v>1280</v>
      </c>
      <c r="B1256" t="s">
        <v>12</v>
      </c>
      <c r="C1256" t="s">
        <v>35</v>
      </c>
      <c r="D1256">
        <v>55</v>
      </c>
      <c r="E1256" t="s">
        <v>26</v>
      </c>
      <c r="F1256" t="s">
        <v>16</v>
      </c>
      <c r="G1256">
        <v>88.8</v>
      </c>
      <c r="H1256">
        <v>4805.3</v>
      </c>
      <c r="I1256" t="s">
        <v>15</v>
      </c>
      <c r="J1256" t="s">
        <v>15</v>
      </c>
      <c r="K1256" t="s">
        <v>29</v>
      </c>
      <c r="L1256">
        <v>4805.3</v>
      </c>
      <c r="M1256" t="s">
        <v>5033</v>
      </c>
      <c r="N1256" t="s">
        <v>5034</v>
      </c>
    </row>
    <row r="1257" spans="1:14" x14ac:dyDescent="0.3">
      <c r="A1257" t="s">
        <v>1281</v>
      </c>
      <c r="B1257" t="s">
        <v>12</v>
      </c>
      <c r="C1257" t="s">
        <v>13</v>
      </c>
      <c r="D1257">
        <v>2</v>
      </c>
      <c r="E1257" t="s">
        <v>14</v>
      </c>
      <c r="F1257" t="s">
        <v>16</v>
      </c>
      <c r="G1257">
        <v>30.9</v>
      </c>
      <c r="H1257">
        <v>59.05</v>
      </c>
      <c r="I1257" t="s">
        <v>16</v>
      </c>
      <c r="J1257" t="s">
        <v>16</v>
      </c>
      <c r="K1257" t="s">
        <v>17</v>
      </c>
      <c r="L1257">
        <v>59.05</v>
      </c>
      <c r="M1257" t="s">
        <v>5030</v>
      </c>
      <c r="N1257" t="s">
        <v>5031</v>
      </c>
    </row>
    <row r="1258" spans="1:14" x14ac:dyDescent="0.3">
      <c r="A1258" t="s">
        <v>1282</v>
      </c>
      <c r="B1258" t="s">
        <v>12</v>
      </c>
      <c r="C1258" t="s">
        <v>35</v>
      </c>
      <c r="D1258">
        <v>72</v>
      </c>
      <c r="E1258" t="s">
        <v>14</v>
      </c>
      <c r="F1258" t="s">
        <v>16</v>
      </c>
      <c r="G1258">
        <v>85.9</v>
      </c>
      <c r="H1258">
        <v>6110.75</v>
      </c>
      <c r="I1258" t="s">
        <v>15</v>
      </c>
      <c r="J1258" t="s">
        <v>16</v>
      </c>
      <c r="K1258" t="s">
        <v>29</v>
      </c>
      <c r="L1258">
        <v>6110.75</v>
      </c>
      <c r="M1258" t="s">
        <v>5033</v>
      </c>
      <c r="N1258" t="s">
        <v>5034</v>
      </c>
    </row>
    <row r="1259" spans="1:14" x14ac:dyDescent="0.3">
      <c r="A1259" t="s">
        <v>1283</v>
      </c>
      <c r="B1259" t="s">
        <v>12</v>
      </c>
      <c r="C1259" t="s">
        <v>20</v>
      </c>
      <c r="D1259">
        <v>45</v>
      </c>
      <c r="E1259" t="s">
        <v>14</v>
      </c>
      <c r="F1259" t="s">
        <v>15</v>
      </c>
      <c r="G1259">
        <v>34.200000000000003</v>
      </c>
      <c r="H1259">
        <v>1596.6</v>
      </c>
      <c r="I1259" t="s">
        <v>15</v>
      </c>
      <c r="J1259" t="s">
        <v>15</v>
      </c>
      <c r="K1259" t="s">
        <v>17</v>
      </c>
      <c r="L1259">
        <v>1596.6</v>
      </c>
      <c r="M1259" t="s">
        <v>5033</v>
      </c>
      <c r="N1259" t="s">
        <v>5031</v>
      </c>
    </row>
    <row r="1260" spans="1:14" x14ac:dyDescent="0.3">
      <c r="A1260" t="s">
        <v>1284</v>
      </c>
      <c r="B1260" t="s">
        <v>12</v>
      </c>
      <c r="C1260" t="s">
        <v>35</v>
      </c>
      <c r="D1260">
        <v>47</v>
      </c>
      <c r="E1260" t="s">
        <v>15</v>
      </c>
      <c r="F1260" t="s">
        <v>36</v>
      </c>
      <c r="G1260">
        <v>20.149999999999999</v>
      </c>
      <c r="H1260">
        <v>1046.2</v>
      </c>
      <c r="I1260" t="s">
        <v>15</v>
      </c>
      <c r="J1260" t="s">
        <v>15</v>
      </c>
      <c r="K1260" t="s">
        <v>21</v>
      </c>
      <c r="L1260">
        <v>1046.2</v>
      </c>
      <c r="M1260" t="s">
        <v>5033</v>
      </c>
      <c r="N1260" t="s">
        <v>5031</v>
      </c>
    </row>
    <row r="1261" spans="1:14" x14ac:dyDescent="0.3">
      <c r="A1261" t="s">
        <v>1285</v>
      </c>
      <c r="B1261" t="s">
        <v>12</v>
      </c>
      <c r="C1261" t="s">
        <v>20</v>
      </c>
      <c r="D1261">
        <v>46</v>
      </c>
      <c r="E1261" t="s">
        <v>26</v>
      </c>
      <c r="F1261" t="s">
        <v>15</v>
      </c>
      <c r="G1261">
        <v>95.25</v>
      </c>
      <c r="H1261">
        <v>4424.2</v>
      </c>
      <c r="I1261" t="s">
        <v>16</v>
      </c>
      <c r="J1261" t="s">
        <v>15</v>
      </c>
      <c r="K1261" t="s">
        <v>29</v>
      </c>
      <c r="L1261">
        <v>4424.2</v>
      </c>
      <c r="M1261" t="s">
        <v>5033</v>
      </c>
      <c r="N1261" t="s">
        <v>5034</v>
      </c>
    </row>
    <row r="1262" spans="1:14" x14ac:dyDescent="0.3">
      <c r="A1262" t="s">
        <v>1286</v>
      </c>
      <c r="B1262" t="s">
        <v>19</v>
      </c>
      <c r="C1262" t="s">
        <v>13</v>
      </c>
      <c r="D1262">
        <v>2</v>
      </c>
      <c r="E1262" t="s">
        <v>14</v>
      </c>
      <c r="F1262" t="s">
        <v>15</v>
      </c>
      <c r="G1262">
        <v>50.3</v>
      </c>
      <c r="H1262">
        <v>92.75</v>
      </c>
      <c r="I1262" t="s">
        <v>15</v>
      </c>
      <c r="J1262" t="s">
        <v>16</v>
      </c>
      <c r="K1262" t="s">
        <v>21</v>
      </c>
      <c r="L1262">
        <v>92.75</v>
      </c>
      <c r="M1262" t="s">
        <v>5030</v>
      </c>
      <c r="N1262" t="s">
        <v>5031</v>
      </c>
    </row>
    <row r="1263" spans="1:14" x14ac:dyDescent="0.3">
      <c r="A1263" t="s">
        <v>1287</v>
      </c>
      <c r="B1263" t="s">
        <v>12</v>
      </c>
      <c r="C1263" t="s">
        <v>13</v>
      </c>
      <c r="D1263">
        <v>2</v>
      </c>
      <c r="E1263" t="s">
        <v>26</v>
      </c>
      <c r="F1263" t="s">
        <v>16</v>
      </c>
      <c r="G1263">
        <v>80.150000000000006</v>
      </c>
      <c r="H1263">
        <v>194.55</v>
      </c>
      <c r="I1263" t="s">
        <v>15</v>
      </c>
      <c r="J1263" t="s">
        <v>16</v>
      </c>
      <c r="K1263" t="s">
        <v>17</v>
      </c>
      <c r="L1263">
        <v>194.55</v>
      </c>
      <c r="M1263" t="s">
        <v>5030</v>
      </c>
      <c r="N1263" t="s">
        <v>5031</v>
      </c>
    </row>
    <row r="1264" spans="1:14" x14ac:dyDescent="0.3">
      <c r="A1264" t="s">
        <v>1288</v>
      </c>
      <c r="B1264" t="s">
        <v>12</v>
      </c>
      <c r="C1264" t="s">
        <v>13</v>
      </c>
      <c r="D1264">
        <v>12</v>
      </c>
      <c r="E1264" t="s">
        <v>14</v>
      </c>
      <c r="F1264" t="s">
        <v>15</v>
      </c>
      <c r="G1264">
        <v>51.25</v>
      </c>
      <c r="H1264">
        <v>612.1</v>
      </c>
      <c r="I1264" t="s">
        <v>15</v>
      </c>
      <c r="J1264" t="s">
        <v>16</v>
      </c>
      <c r="K1264" t="s">
        <v>17</v>
      </c>
      <c r="L1264">
        <v>612.1</v>
      </c>
      <c r="M1264" t="s">
        <v>5030</v>
      </c>
      <c r="N1264" t="s">
        <v>5031</v>
      </c>
    </row>
    <row r="1265" spans="1:14" x14ac:dyDescent="0.3">
      <c r="A1265" t="s">
        <v>1289</v>
      </c>
      <c r="B1265" t="s">
        <v>12</v>
      </c>
      <c r="C1265" t="s">
        <v>13</v>
      </c>
      <c r="D1265">
        <v>68</v>
      </c>
      <c r="E1265" t="s">
        <v>26</v>
      </c>
      <c r="F1265" t="s">
        <v>15</v>
      </c>
      <c r="G1265">
        <v>89.6</v>
      </c>
      <c r="H1265">
        <v>6127.6</v>
      </c>
      <c r="I1265" t="s">
        <v>16</v>
      </c>
      <c r="J1265" t="s">
        <v>16</v>
      </c>
      <c r="K1265" t="s">
        <v>24</v>
      </c>
      <c r="L1265">
        <v>6127.6</v>
      </c>
      <c r="M1265" t="s">
        <v>5033</v>
      </c>
      <c r="N1265" t="s">
        <v>5034</v>
      </c>
    </row>
    <row r="1266" spans="1:14" x14ac:dyDescent="0.3">
      <c r="A1266" t="s">
        <v>1290</v>
      </c>
      <c r="B1266" t="s">
        <v>19</v>
      </c>
      <c r="C1266" t="s">
        <v>35</v>
      </c>
      <c r="D1266">
        <v>69</v>
      </c>
      <c r="E1266" t="s">
        <v>26</v>
      </c>
      <c r="F1266" t="s">
        <v>16</v>
      </c>
      <c r="G1266">
        <v>95.2</v>
      </c>
      <c r="H1266">
        <v>6671.7</v>
      </c>
      <c r="I1266" t="s">
        <v>15</v>
      </c>
      <c r="J1266" t="s">
        <v>16</v>
      </c>
      <c r="K1266" t="s">
        <v>29</v>
      </c>
      <c r="L1266">
        <v>6671.7</v>
      </c>
      <c r="M1266" t="s">
        <v>5033</v>
      </c>
      <c r="N1266" t="s">
        <v>5034</v>
      </c>
    </row>
    <row r="1267" spans="1:14" x14ac:dyDescent="0.3">
      <c r="A1267" t="s">
        <v>1291</v>
      </c>
      <c r="B1267" t="s">
        <v>19</v>
      </c>
      <c r="C1267" t="s">
        <v>20</v>
      </c>
      <c r="D1267">
        <v>56</v>
      </c>
      <c r="E1267" t="s">
        <v>26</v>
      </c>
      <c r="F1267" t="s">
        <v>15</v>
      </c>
      <c r="G1267">
        <v>94.8</v>
      </c>
      <c r="H1267">
        <v>5264.3</v>
      </c>
      <c r="I1267" t="s">
        <v>15</v>
      </c>
      <c r="J1267" t="s">
        <v>15</v>
      </c>
      <c r="K1267" t="s">
        <v>29</v>
      </c>
      <c r="L1267">
        <v>5264.3</v>
      </c>
      <c r="M1267" t="s">
        <v>5033</v>
      </c>
      <c r="N1267" t="s">
        <v>5034</v>
      </c>
    </row>
    <row r="1268" spans="1:14" x14ac:dyDescent="0.3">
      <c r="A1268" t="s">
        <v>1292</v>
      </c>
      <c r="B1268" t="s">
        <v>12</v>
      </c>
      <c r="C1268" t="s">
        <v>13</v>
      </c>
      <c r="D1268">
        <v>4</v>
      </c>
      <c r="E1268" t="s">
        <v>26</v>
      </c>
      <c r="F1268" t="s">
        <v>15</v>
      </c>
      <c r="G1268">
        <v>80.25</v>
      </c>
      <c r="H1268">
        <v>303.7</v>
      </c>
      <c r="I1268" t="s">
        <v>15</v>
      </c>
      <c r="J1268" t="s">
        <v>16</v>
      </c>
      <c r="K1268" t="s">
        <v>17</v>
      </c>
      <c r="L1268">
        <v>303.7</v>
      </c>
      <c r="M1268" t="s">
        <v>5030</v>
      </c>
      <c r="N1268" t="s">
        <v>5031</v>
      </c>
    </row>
    <row r="1269" spans="1:14" x14ac:dyDescent="0.3">
      <c r="A1269" t="s">
        <v>1293</v>
      </c>
      <c r="B1269" t="s">
        <v>19</v>
      </c>
      <c r="C1269" t="s">
        <v>35</v>
      </c>
      <c r="D1269">
        <v>64</v>
      </c>
      <c r="E1269" t="s">
        <v>14</v>
      </c>
      <c r="F1269" t="s">
        <v>16</v>
      </c>
      <c r="G1269">
        <v>76.099999999999994</v>
      </c>
      <c r="H1269">
        <v>4818.8</v>
      </c>
      <c r="I1269" t="s">
        <v>15</v>
      </c>
      <c r="J1269" t="s">
        <v>16</v>
      </c>
      <c r="K1269" t="s">
        <v>24</v>
      </c>
      <c r="L1269">
        <v>4818.8</v>
      </c>
      <c r="M1269" t="s">
        <v>5033</v>
      </c>
      <c r="N1269" t="s">
        <v>5034</v>
      </c>
    </row>
    <row r="1270" spans="1:14" x14ac:dyDescent="0.3">
      <c r="A1270" t="s">
        <v>1294</v>
      </c>
      <c r="B1270" t="s">
        <v>19</v>
      </c>
      <c r="C1270" t="s">
        <v>20</v>
      </c>
      <c r="D1270">
        <v>59</v>
      </c>
      <c r="E1270" t="s">
        <v>26</v>
      </c>
      <c r="F1270" t="s">
        <v>15</v>
      </c>
      <c r="G1270">
        <v>110.15</v>
      </c>
      <c r="H1270">
        <v>6448.05</v>
      </c>
      <c r="I1270" t="s">
        <v>16</v>
      </c>
      <c r="J1270" t="s">
        <v>16</v>
      </c>
      <c r="K1270" t="s">
        <v>17</v>
      </c>
      <c r="L1270">
        <v>6448.05</v>
      </c>
      <c r="M1270" t="s">
        <v>5033</v>
      </c>
      <c r="N1270" t="s">
        <v>5034</v>
      </c>
    </row>
    <row r="1271" spans="1:14" x14ac:dyDescent="0.3">
      <c r="A1271" t="s">
        <v>1295</v>
      </c>
      <c r="B1271" t="s">
        <v>19</v>
      </c>
      <c r="C1271" t="s">
        <v>35</v>
      </c>
      <c r="D1271">
        <v>62</v>
      </c>
      <c r="E1271" t="s">
        <v>26</v>
      </c>
      <c r="F1271" t="s">
        <v>16</v>
      </c>
      <c r="G1271">
        <v>115.55</v>
      </c>
      <c r="H1271">
        <v>7159.05</v>
      </c>
      <c r="I1271" t="s">
        <v>15</v>
      </c>
      <c r="J1271" t="s">
        <v>15</v>
      </c>
      <c r="K1271" t="s">
        <v>24</v>
      </c>
      <c r="L1271">
        <v>7159.05</v>
      </c>
      <c r="M1271" t="s">
        <v>5033</v>
      </c>
      <c r="N1271" t="s">
        <v>5034</v>
      </c>
    </row>
    <row r="1272" spans="1:14" x14ac:dyDescent="0.3">
      <c r="A1272" t="s">
        <v>1296</v>
      </c>
      <c r="B1272" t="s">
        <v>19</v>
      </c>
      <c r="C1272" t="s">
        <v>35</v>
      </c>
      <c r="D1272">
        <v>63</v>
      </c>
      <c r="E1272" t="s">
        <v>15</v>
      </c>
      <c r="F1272" t="s">
        <v>36</v>
      </c>
      <c r="G1272">
        <v>24.65</v>
      </c>
      <c r="H1272">
        <v>1574.5</v>
      </c>
      <c r="I1272" t="s">
        <v>15</v>
      </c>
      <c r="J1272" t="s">
        <v>15</v>
      </c>
      <c r="K1272" t="s">
        <v>29</v>
      </c>
      <c r="L1272">
        <v>1574.5</v>
      </c>
      <c r="M1272" t="s">
        <v>5033</v>
      </c>
      <c r="N1272" t="s">
        <v>5031</v>
      </c>
    </row>
    <row r="1273" spans="1:14" x14ac:dyDescent="0.3">
      <c r="A1273" t="s">
        <v>1297</v>
      </c>
      <c r="B1273" t="s">
        <v>12</v>
      </c>
      <c r="C1273" t="s">
        <v>20</v>
      </c>
      <c r="D1273">
        <v>53</v>
      </c>
      <c r="E1273" t="s">
        <v>14</v>
      </c>
      <c r="F1273" t="s">
        <v>16</v>
      </c>
      <c r="G1273">
        <v>53.6</v>
      </c>
      <c r="H1273">
        <v>2879.2</v>
      </c>
      <c r="I1273" t="s">
        <v>15</v>
      </c>
      <c r="J1273" t="s">
        <v>16</v>
      </c>
      <c r="K1273" t="s">
        <v>17</v>
      </c>
      <c r="L1273">
        <v>2879.2</v>
      </c>
      <c r="M1273" t="s">
        <v>5033</v>
      </c>
      <c r="N1273" t="s">
        <v>5034</v>
      </c>
    </row>
    <row r="1274" spans="1:14" x14ac:dyDescent="0.3">
      <c r="A1274" t="s">
        <v>1298</v>
      </c>
      <c r="B1274" t="s">
        <v>19</v>
      </c>
      <c r="C1274" t="s">
        <v>13</v>
      </c>
      <c r="D1274">
        <v>5</v>
      </c>
      <c r="E1274" t="s">
        <v>15</v>
      </c>
      <c r="F1274" t="s">
        <v>36</v>
      </c>
      <c r="G1274">
        <v>19.45</v>
      </c>
      <c r="H1274">
        <v>86.05</v>
      </c>
      <c r="I1274" t="s">
        <v>15</v>
      </c>
      <c r="J1274" t="s">
        <v>15</v>
      </c>
      <c r="K1274" t="s">
        <v>21</v>
      </c>
      <c r="L1274">
        <v>86.05</v>
      </c>
      <c r="M1274" t="s">
        <v>5030</v>
      </c>
      <c r="N1274" t="s">
        <v>5031</v>
      </c>
    </row>
    <row r="1275" spans="1:14" x14ac:dyDescent="0.3">
      <c r="A1275" t="s">
        <v>1299</v>
      </c>
      <c r="B1275" t="s">
        <v>19</v>
      </c>
      <c r="C1275" t="s">
        <v>13</v>
      </c>
      <c r="D1275">
        <v>49</v>
      </c>
      <c r="E1275" t="s">
        <v>26</v>
      </c>
      <c r="F1275" t="s">
        <v>15</v>
      </c>
      <c r="G1275">
        <v>88.2</v>
      </c>
      <c r="H1275">
        <v>4159.45</v>
      </c>
      <c r="I1275" t="s">
        <v>15</v>
      </c>
      <c r="J1275" t="s">
        <v>16</v>
      </c>
      <c r="K1275" t="s">
        <v>17</v>
      </c>
      <c r="L1275">
        <v>4159.45</v>
      </c>
      <c r="M1275" t="s">
        <v>5033</v>
      </c>
      <c r="N1275" t="s">
        <v>5034</v>
      </c>
    </row>
    <row r="1276" spans="1:14" x14ac:dyDescent="0.3">
      <c r="A1276" t="s">
        <v>1300</v>
      </c>
      <c r="B1276" t="s">
        <v>12</v>
      </c>
      <c r="C1276" t="s">
        <v>35</v>
      </c>
      <c r="D1276">
        <v>62</v>
      </c>
      <c r="E1276" t="s">
        <v>26</v>
      </c>
      <c r="F1276" t="s">
        <v>15</v>
      </c>
      <c r="G1276">
        <v>101.15</v>
      </c>
      <c r="H1276">
        <v>6638.35</v>
      </c>
      <c r="I1276" t="s">
        <v>15</v>
      </c>
      <c r="J1276" t="s">
        <v>16</v>
      </c>
      <c r="K1276" t="s">
        <v>24</v>
      </c>
      <c r="L1276">
        <v>6638.35</v>
      </c>
      <c r="M1276" t="s">
        <v>5033</v>
      </c>
      <c r="N1276" t="s">
        <v>5034</v>
      </c>
    </row>
    <row r="1277" spans="1:14" x14ac:dyDescent="0.3">
      <c r="A1277" t="s">
        <v>1301</v>
      </c>
      <c r="B1277" t="s">
        <v>12</v>
      </c>
      <c r="C1277" t="s">
        <v>35</v>
      </c>
      <c r="D1277">
        <v>55</v>
      </c>
      <c r="E1277" t="s">
        <v>14</v>
      </c>
      <c r="F1277" t="s">
        <v>16</v>
      </c>
      <c r="G1277">
        <v>56.8</v>
      </c>
      <c r="H1277">
        <v>3112.05</v>
      </c>
      <c r="I1277" t="s">
        <v>15</v>
      </c>
      <c r="J1277" t="s">
        <v>15</v>
      </c>
      <c r="K1277" t="s">
        <v>21</v>
      </c>
      <c r="L1277">
        <v>3112.05</v>
      </c>
      <c r="M1277" t="s">
        <v>5033</v>
      </c>
      <c r="N1277" t="s">
        <v>5034</v>
      </c>
    </row>
    <row r="1278" spans="1:14" x14ac:dyDescent="0.3">
      <c r="A1278" t="s">
        <v>1302</v>
      </c>
      <c r="B1278" t="s">
        <v>12</v>
      </c>
      <c r="C1278" t="s">
        <v>35</v>
      </c>
      <c r="D1278">
        <v>71</v>
      </c>
      <c r="E1278" t="s">
        <v>26</v>
      </c>
      <c r="F1278" t="s">
        <v>16</v>
      </c>
      <c r="G1278">
        <v>99.4</v>
      </c>
      <c r="H1278">
        <v>7168.25</v>
      </c>
      <c r="I1278" t="s">
        <v>15</v>
      </c>
      <c r="J1278" t="s">
        <v>16</v>
      </c>
      <c r="K1278" t="s">
        <v>17</v>
      </c>
      <c r="L1278">
        <v>7168.25</v>
      </c>
      <c r="M1278" t="s">
        <v>5033</v>
      </c>
      <c r="N1278" t="s">
        <v>5034</v>
      </c>
    </row>
    <row r="1279" spans="1:14" x14ac:dyDescent="0.3">
      <c r="A1279" t="s">
        <v>1303</v>
      </c>
      <c r="B1279" t="s">
        <v>12</v>
      </c>
      <c r="C1279" t="s">
        <v>35</v>
      </c>
      <c r="D1279">
        <v>72</v>
      </c>
      <c r="E1279" t="s">
        <v>15</v>
      </c>
      <c r="F1279" t="s">
        <v>36</v>
      </c>
      <c r="G1279">
        <v>20.100000000000001</v>
      </c>
      <c r="H1279">
        <v>1326.25</v>
      </c>
      <c r="I1279" t="s">
        <v>15</v>
      </c>
      <c r="J1279" t="s">
        <v>16</v>
      </c>
      <c r="K1279" t="s">
        <v>29</v>
      </c>
      <c r="L1279">
        <v>1326.25</v>
      </c>
      <c r="M1279" t="s">
        <v>5033</v>
      </c>
      <c r="N1279" t="s">
        <v>5031</v>
      </c>
    </row>
    <row r="1280" spans="1:14" x14ac:dyDescent="0.3">
      <c r="A1280" t="s">
        <v>1304</v>
      </c>
      <c r="B1280" t="s">
        <v>19</v>
      </c>
      <c r="C1280" t="s">
        <v>20</v>
      </c>
      <c r="D1280">
        <v>36</v>
      </c>
      <c r="E1280" t="s">
        <v>14</v>
      </c>
      <c r="F1280" t="s">
        <v>16</v>
      </c>
      <c r="G1280">
        <v>60.7</v>
      </c>
      <c r="H1280">
        <v>2234.5500000000002</v>
      </c>
      <c r="I1280" t="s">
        <v>15</v>
      </c>
      <c r="J1280" t="s">
        <v>15</v>
      </c>
      <c r="K1280" t="s">
        <v>29</v>
      </c>
      <c r="L1280">
        <v>2234.5500000000002</v>
      </c>
      <c r="M1280" t="s">
        <v>5032</v>
      </c>
      <c r="N1280" t="s">
        <v>5031</v>
      </c>
    </row>
    <row r="1281" spans="1:14" x14ac:dyDescent="0.3">
      <c r="A1281" t="s">
        <v>1305</v>
      </c>
      <c r="B1281" t="s">
        <v>19</v>
      </c>
      <c r="C1281" t="s">
        <v>20</v>
      </c>
      <c r="D1281">
        <v>25</v>
      </c>
      <c r="E1281" t="s">
        <v>15</v>
      </c>
      <c r="F1281" t="s">
        <v>36</v>
      </c>
      <c r="G1281">
        <v>20.95</v>
      </c>
      <c r="H1281">
        <v>495.15</v>
      </c>
      <c r="I1281" t="s">
        <v>15</v>
      </c>
      <c r="J1281" t="s">
        <v>16</v>
      </c>
      <c r="K1281" t="s">
        <v>24</v>
      </c>
      <c r="L1281">
        <v>495.15</v>
      </c>
      <c r="M1281" t="s">
        <v>5032</v>
      </c>
      <c r="N1281" t="s">
        <v>5031</v>
      </c>
    </row>
    <row r="1282" spans="1:14" x14ac:dyDescent="0.3">
      <c r="A1282" t="s">
        <v>1306</v>
      </c>
      <c r="B1282" t="s">
        <v>12</v>
      </c>
      <c r="C1282" t="s">
        <v>35</v>
      </c>
      <c r="D1282">
        <v>72</v>
      </c>
      <c r="E1282" t="s">
        <v>26</v>
      </c>
      <c r="F1282" t="s">
        <v>16</v>
      </c>
      <c r="G1282">
        <v>114.85</v>
      </c>
      <c r="H1282">
        <v>8317.9500000000007</v>
      </c>
      <c r="I1282" t="s">
        <v>15</v>
      </c>
      <c r="J1282" t="s">
        <v>16</v>
      </c>
      <c r="K1282" t="s">
        <v>24</v>
      </c>
      <c r="L1282">
        <v>8317.9500000000007</v>
      </c>
      <c r="M1282" t="s">
        <v>5033</v>
      </c>
      <c r="N1282" t="s">
        <v>5034</v>
      </c>
    </row>
    <row r="1283" spans="1:14" x14ac:dyDescent="0.3">
      <c r="A1283" t="s">
        <v>1307</v>
      </c>
      <c r="B1283" t="s">
        <v>12</v>
      </c>
      <c r="C1283" t="s">
        <v>20</v>
      </c>
      <c r="D1283">
        <v>36</v>
      </c>
      <c r="E1283" t="s">
        <v>15</v>
      </c>
      <c r="F1283" t="s">
        <v>36</v>
      </c>
      <c r="G1283">
        <v>19.25</v>
      </c>
      <c r="H1283">
        <v>679.8</v>
      </c>
      <c r="I1283" t="s">
        <v>15</v>
      </c>
      <c r="J1283" t="s">
        <v>16</v>
      </c>
      <c r="K1283" t="s">
        <v>24</v>
      </c>
      <c r="L1283">
        <v>679.8</v>
      </c>
      <c r="M1283" t="s">
        <v>5032</v>
      </c>
      <c r="N1283" t="s">
        <v>5031</v>
      </c>
    </row>
    <row r="1284" spans="1:14" x14ac:dyDescent="0.3">
      <c r="A1284" t="s">
        <v>1308</v>
      </c>
      <c r="B1284" t="s">
        <v>19</v>
      </c>
      <c r="C1284" t="s">
        <v>13</v>
      </c>
      <c r="D1284">
        <v>1</v>
      </c>
      <c r="E1284" t="s">
        <v>14</v>
      </c>
      <c r="F1284" t="s">
        <v>15</v>
      </c>
      <c r="G1284">
        <v>62.8</v>
      </c>
      <c r="H1284">
        <v>62.8</v>
      </c>
      <c r="I1284" t="s">
        <v>15</v>
      </c>
      <c r="J1284" t="s">
        <v>16</v>
      </c>
      <c r="K1284" t="s">
        <v>21</v>
      </c>
      <c r="L1284">
        <v>62.8</v>
      </c>
      <c r="M1284" t="s">
        <v>5030</v>
      </c>
      <c r="N1284" t="s">
        <v>5031</v>
      </c>
    </row>
    <row r="1285" spans="1:14" x14ac:dyDescent="0.3">
      <c r="A1285" t="s">
        <v>1309</v>
      </c>
      <c r="B1285" t="s">
        <v>12</v>
      </c>
      <c r="C1285" t="s">
        <v>35</v>
      </c>
      <c r="D1285">
        <v>72</v>
      </c>
      <c r="E1285" t="s">
        <v>26</v>
      </c>
      <c r="F1285" t="s">
        <v>15</v>
      </c>
      <c r="G1285">
        <v>105.5</v>
      </c>
      <c r="H1285">
        <v>7544</v>
      </c>
      <c r="I1285" t="s">
        <v>15</v>
      </c>
      <c r="J1285" t="s">
        <v>16</v>
      </c>
      <c r="K1285" t="s">
        <v>17</v>
      </c>
      <c r="L1285">
        <v>7544</v>
      </c>
      <c r="M1285" t="s">
        <v>5033</v>
      </c>
      <c r="N1285" t="s">
        <v>5034</v>
      </c>
    </row>
    <row r="1286" spans="1:14" x14ac:dyDescent="0.3">
      <c r="A1286" t="s">
        <v>1310</v>
      </c>
      <c r="B1286" t="s">
        <v>19</v>
      </c>
      <c r="C1286" t="s">
        <v>35</v>
      </c>
      <c r="D1286">
        <v>59</v>
      </c>
      <c r="E1286" t="s">
        <v>15</v>
      </c>
      <c r="F1286" t="s">
        <v>36</v>
      </c>
      <c r="G1286">
        <v>19.850000000000001</v>
      </c>
      <c r="H1286">
        <v>1188.25</v>
      </c>
      <c r="I1286" t="s">
        <v>15</v>
      </c>
      <c r="J1286" t="s">
        <v>15</v>
      </c>
      <c r="K1286" t="s">
        <v>21</v>
      </c>
      <c r="L1286">
        <v>1188.25</v>
      </c>
      <c r="M1286" t="s">
        <v>5033</v>
      </c>
      <c r="N1286" t="s">
        <v>5031</v>
      </c>
    </row>
    <row r="1287" spans="1:14" x14ac:dyDescent="0.3">
      <c r="A1287" t="s">
        <v>1311</v>
      </c>
      <c r="B1287" t="s">
        <v>19</v>
      </c>
      <c r="C1287" t="s">
        <v>13</v>
      </c>
      <c r="D1287">
        <v>7</v>
      </c>
      <c r="E1287" t="s">
        <v>26</v>
      </c>
      <c r="F1287" t="s">
        <v>15</v>
      </c>
      <c r="G1287">
        <v>89.5</v>
      </c>
      <c r="H1287">
        <v>676.7</v>
      </c>
      <c r="I1287" t="s">
        <v>16</v>
      </c>
      <c r="J1287" t="s">
        <v>16</v>
      </c>
      <c r="K1287" t="s">
        <v>17</v>
      </c>
      <c r="L1287">
        <v>676.7</v>
      </c>
      <c r="M1287" t="s">
        <v>5030</v>
      </c>
      <c r="N1287" t="s">
        <v>5031</v>
      </c>
    </row>
    <row r="1288" spans="1:14" x14ac:dyDescent="0.3">
      <c r="A1288" t="s">
        <v>1312</v>
      </c>
      <c r="B1288" t="s">
        <v>12</v>
      </c>
      <c r="C1288" t="s">
        <v>20</v>
      </c>
      <c r="D1288">
        <v>1</v>
      </c>
      <c r="E1288" t="s">
        <v>14</v>
      </c>
      <c r="F1288" t="s">
        <v>16</v>
      </c>
      <c r="G1288">
        <v>74.099999999999994</v>
      </c>
      <c r="H1288">
        <v>74.099999999999994</v>
      </c>
      <c r="I1288" t="s">
        <v>15</v>
      </c>
      <c r="J1288" t="s">
        <v>15</v>
      </c>
      <c r="K1288" t="s">
        <v>29</v>
      </c>
      <c r="L1288">
        <v>74.099999999999994</v>
      </c>
      <c r="M1288" t="s">
        <v>5030</v>
      </c>
      <c r="N1288" t="s">
        <v>5031</v>
      </c>
    </row>
    <row r="1289" spans="1:14" x14ac:dyDescent="0.3">
      <c r="A1289" t="s">
        <v>1313</v>
      </c>
      <c r="B1289" t="s">
        <v>12</v>
      </c>
      <c r="C1289" t="s">
        <v>13</v>
      </c>
      <c r="D1289">
        <v>30</v>
      </c>
      <c r="E1289" t="s">
        <v>26</v>
      </c>
      <c r="F1289" t="s">
        <v>16</v>
      </c>
      <c r="G1289">
        <v>107.5</v>
      </c>
      <c r="H1289">
        <v>3242.5</v>
      </c>
      <c r="I1289" t="s">
        <v>15</v>
      </c>
      <c r="J1289" t="s">
        <v>16</v>
      </c>
      <c r="K1289" t="s">
        <v>17</v>
      </c>
      <c r="L1289">
        <v>3242.5</v>
      </c>
      <c r="M1289" t="s">
        <v>5032</v>
      </c>
      <c r="N1289" t="s">
        <v>5034</v>
      </c>
    </row>
    <row r="1290" spans="1:14" x14ac:dyDescent="0.3">
      <c r="A1290" t="s">
        <v>1314</v>
      </c>
      <c r="B1290" t="s">
        <v>19</v>
      </c>
      <c r="C1290" t="s">
        <v>35</v>
      </c>
      <c r="D1290">
        <v>64</v>
      </c>
      <c r="E1290" t="s">
        <v>15</v>
      </c>
      <c r="F1290" t="s">
        <v>36</v>
      </c>
      <c r="G1290">
        <v>19.55</v>
      </c>
      <c r="H1290">
        <v>1240.1500000000001</v>
      </c>
      <c r="I1290" t="s">
        <v>15</v>
      </c>
      <c r="J1290" t="s">
        <v>15</v>
      </c>
      <c r="K1290" t="s">
        <v>21</v>
      </c>
      <c r="L1290">
        <v>1240.1500000000001</v>
      </c>
      <c r="M1290" t="s">
        <v>5033</v>
      </c>
      <c r="N1290" t="s">
        <v>5031</v>
      </c>
    </row>
    <row r="1291" spans="1:14" x14ac:dyDescent="0.3">
      <c r="A1291" t="s">
        <v>1315</v>
      </c>
      <c r="B1291" t="s">
        <v>19</v>
      </c>
      <c r="C1291" t="s">
        <v>20</v>
      </c>
      <c r="D1291">
        <v>63</v>
      </c>
      <c r="E1291" t="s">
        <v>14</v>
      </c>
      <c r="F1291" t="s">
        <v>16</v>
      </c>
      <c r="G1291">
        <v>68.8</v>
      </c>
      <c r="H1291">
        <v>4111.3500000000004</v>
      </c>
      <c r="I1291" t="s">
        <v>15</v>
      </c>
      <c r="J1291" t="s">
        <v>15</v>
      </c>
      <c r="K1291" t="s">
        <v>24</v>
      </c>
      <c r="L1291">
        <v>4111.3500000000004</v>
      </c>
      <c r="M1291" t="s">
        <v>5033</v>
      </c>
      <c r="N1291" t="s">
        <v>5034</v>
      </c>
    </row>
    <row r="1292" spans="1:14" x14ac:dyDescent="0.3">
      <c r="A1292" t="s">
        <v>1316</v>
      </c>
      <c r="B1292" t="s">
        <v>19</v>
      </c>
      <c r="C1292" t="s">
        <v>35</v>
      </c>
      <c r="D1292">
        <v>72</v>
      </c>
      <c r="E1292" t="s">
        <v>14</v>
      </c>
      <c r="F1292" t="s">
        <v>15</v>
      </c>
      <c r="G1292">
        <v>84.45</v>
      </c>
      <c r="H1292">
        <v>5899.85</v>
      </c>
      <c r="I1292" t="s">
        <v>15</v>
      </c>
      <c r="J1292" t="s">
        <v>15</v>
      </c>
      <c r="K1292" t="s">
        <v>29</v>
      </c>
      <c r="L1292">
        <v>5899.85</v>
      </c>
      <c r="M1292" t="s">
        <v>5033</v>
      </c>
      <c r="N1292" t="s">
        <v>5034</v>
      </c>
    </row>
    <row r="1293" spans="1:14" x14ac:dyDescent="0.3">
      <c r="A1293" t="s">
        <v>1317</v>
      </c>
      <c r="B1293" t="s">
        <v>19</v>
      </c>
      <c r="C1293" t="s">
        <v>13</v>
      </c>
      <c r="D1293">
        <v>8</v>
      </c>
      <c r="E1293" t="s">
        <v>26</v>
      </c>
      <c r="F1293" t="s">
        <v>15</v>
      </c>
      <c r="G1293">
        <v>75</v>
      </c>
      <c r="H1293">
        <v>632.95000000000005</v>
      </c>
      <c r="I1293" t="s">
        <v>16</v>
      </c>
      <c r="J1293" t="s">
        <v>15</v>
      </c>
      <c r="K1293" t="s">
        <v>17</v>
      </c>
      <c r="L1293">
        <v>632.95000000000005</v>
      </c>
      <c r="M1293" t="s">
        <v>5030</v>
      </c>
      <c r="N1293" t="s">
        <v>5031</v>
      </c>
    </row>
    <row r="1294" spans="1:14" x14ac:dyDescent="0.3">
      <c r="A1294" t="s">
        <v>1318</v>
      </c>
      <c r="B1294" t="s">
        <v>12</v>
      </c>
      <c r="C1294" t="s">
        <v>35</v>
      </c>
      <c r="D1294">
        <v>62</v>
      </c>
      <c r="E1294" t="s">
        <v>14</v>
      </c>
      <c r="F1294" t="s">
        <v>16</v>
      </c>
      <c r="G1294">
        <v>84.5</v>
      </c>
      <c r="H1294">
        <v>5193.2</v>
      </c>
      <c r="I1294" t="s">
        <v>15</v>
      </c>
      <c r="J1294" t="s">
        <v>15</v>
      </c>
      <c r="K1294" t="s">
        <v>24</v>
      </c>
      <c r="L1294">
        <v>5193.2</v>
      </c>
      <c r="M1294" t="s">
        <v>5033</v>
      </c>
      <c r="N1294" t="s">
        <v>5034</v>
      </c>
    </row>
    <row r="1295" spans="1:14" x14ac:dyDescent="0.3">
      <c r="A1295" t="s">
        <v>1319</v>
      </c>
      <c r="B1295" t="s">
        <v>19</v>
      </c>
      <c r="C1295" t="s">
        <v>35</v>
      </c>
      <c r="D1295">
        <v>67</v>
      </c>
      <c r="E1295" t="s">
        <v>26</v>
      </c>
      <c r="F1295" t="s">
        <v>16</v>
      </c>
      <c r="G1295">
        <v>111.2</v>
      </c>
      <c r="H1295">
        <v>7530.8</v>
      </c>
      <c r="I1295" t="s">
        <v>15</v>
      </c>
      <c r="J1295" t="s">
        <v>16</v>
      </c>
      <c r="K1295" t="s">
        <v>24</v>
      </c>
      <c r="L1295">
        <v>7530.8</v>
      </c>
      <c r="M1295" t="s">
        <v>5033</v>
      </c>
      <c r="N1295" t="s">
        <v>5034</v>
      </c>
    </row>
    <row r="1296" spans="1:14" x14ac:dyDescent="0.3">
      <c r="A1296" t="s">
        <v>1320</v>
      </c>
      <c r="B1296" t="s">
        <v>19</v>
      </c>
      <c r="C1296" t="s">
        <v>13</v>
      </c>
      <c r="D1296">
        <v>6</v>
      </c>
      <c r="E1296" t="s">
        <v>14</v>
      </c>
      <c r="F1296" t="s">
        <v>15</v>
      </c>
      <c r="G1296">
        <v>44.75</v>
      </c>
      <c r="H1296">
        <v>270.95</v>
      </c>
      <c r="I1296" t="s">
        <v>16</v>
      </c>
      <c r="J1296" t="s">
        <v>15</v>
      </c>
      <c r="K1296" t="s">
        <v>17</v>
      </c>
      <c r="L1296">
        <v>270.95</v>
      </c>
      <c r="M1296" t="s">
        <v>5030</v>
      </c>
      <c r="N1296" t="s">
        <v>5031</v>
      </c>
    </row>
    <row r="1297" spans="1:14" x14ac:dyDescent="0.3">
      <c r="A1297" t="s">
        <v>1321</v>
      </c>
      <c r="B1297" t="s">
        <v>12</v>
      </c>
      <c r="C1297" t="s">
        <v>35</v>
      </c>
      <c r="D1297">
        <v>70</v>
      </c>
      <c r="E1297" t="s">
        <v>14</v>
      </c>
      <c r="F1297" t="s">
        <v>16</v>
      </c>
      <c r="G1297">
        <v>80.599999999999994</v>
      </c>
      <c r="H1297">
        <v>5460.2</v>
      </c>
      <c r="I1297" t="s">
        <v>15</v>
      </c>
      <c r="J1297" t="s">
        <v>16</v>
      </c>
      <c r="K1297" t="s">
        <v>24</v>
      </c>
      <c r="L1297">
        <v>5460.2</v>
      </c>
      <c r="M1297" t="s">
        <v>5033</v>
      </c>
      <c r="N1297" t="s">
        <v>5034</v>
      </c>
    </row>
    <row r="1298" spans="1:14" x14ac:dyDescent="0.3">
      <c r="A1298" t="s">
        <v>1322</v>
      </c>
      <c r="B1298" t="s">
        <v>12</v>
      </c>
      <c r="C1298" t="s">
        <v>13</v>
      </c>
      <c r="D1298">
        <v>20</v>
      </c>
      <c r="E1298" t="s">
        <v>26</v>
      </c>
      <c r="F1298" t="s">
        <v>15</v>
      </c>
      <c r="G1298">
        <v>80.7</v>
      </c>
      <c r="H1298">
        <v>1614.2</v>
      </c>
      <c r="I1298" t="s">
        <v>15</v>
      </c>
      <c r="J1298" t="s">
        <v>15</v>
      </c>
      <c r="K1298" t="s">
        <v>24</v>
      </c>
      <c r="L1298">
        <v>1614.2</v>
      </c>
      <c r="M1298" t="s">
        <v>5032</v>
      </c>
      <c r="N1298" t="s">
        <v>5031</v>
      </c>
    </row>
    <row r="1299" spans="1:14" x14ac:dyDescent="0.3">
      <c r="A1299" t="s">
        <v>1323</v>
      </c>
      <c r="B1299" t="s">
        <v>12</v>
      </c>
      <c r="C1299" t="s">
        <v>13</v>
      </c>
      <c r="D1299">
        <v>5</v>
      </c>
      <c r="E1299" t="s">
        <v>26</v>
      </c>
      <c r="F1299" t="s">
        <v>15</v>
      </c>
      <c r="G1299">
        <v>75.599999999999994</v>
      </c>
      <c r="H1299">
        <v>402.5</v>
      </c>
      <c r="I1299" t="s">
        <v>15</v>
      </c>
      <c r="J1299" t="s">
        <v>15</v>
      </c>
      <c r="K1299" t="s">
        <v>17</v>
      </c>
      <c r="L1299">
        <v>402.5</v>
      </c>
      <c r="M1299" t="s">
        <v>5030</v>
      </c>
      <c r="N1299" t="s">
        <v>5031</v>
      </c>
    </row>
    <row r="1300" spans="1:14" x14ac:dyDescent="0.3">
      <c r="A1300" t="s">
        <v>1324</v>
      </c>
      <c r="B1300" t="s">
        <v>12</v>
      </c>
      <c r="C1300" t="s">
        <v>20</v>
      </c>
      <c r="D1300">
        <v>24</v>
      </c>
      <c r="E1300" t="s">
        <v>14</v>
      </c>
      <c r="F1300" t="s">
        <v>15</v>
      </c>
      <c r="G1300">
        <v>57.6</v>
      </c>
      <c r="H1300">
        <v>1367.75</v>
      </c>
      <c r="I1300" t="s">
        <v>15</v>
      </c>
      <c r="J1300" t="s">
        <v>15</v>
      </c>
      <c r="K1300" t="s">
        <v>17</v>
      </c>
      <c r="L1300">
        <v>1367.75</v>
      </c>
      <c r="M1300" t="s">
        <v>5032</v>
      </c>
      <c r="N1300" t="s">
        <v>5031</v>
      </c>
    </row>
    <row r="1301" spans="1:14" x14ac:dyDescent="0.3">
      <c r="A1301" t="s">
        <v>1325</v>
      </c>
      <c r="B1301" t="s">
        <v>12</v>
      </c>
      <c r="C1301" t="s">
        <v>13</v>
      </c>
      <c r="D1301">
        <v>11</v>
      </c>
      <c r="E1301" t="s">
        <v>14</v>
      </c>
      <c r="F1301" t="s">
        <v>15</v>
      </c>
      <c r="G1301">
        <v>44.05</v>
      </c>
      <c r="H1301">
        <v>483.7</v>
      </c>
      <c r="I1301" t="s">
        <v>16</v>
      </c>
      <c r="J1301" t="s">
        <v>16</v>
      </c>
      <c r="K1301" t="s">
        <v>17</v>
      </c>
      <c r="L1301">
        <v>483.7</v>
      </c>
      <c r="M1301" t="s">
        <v>5030</v>
      </c>
      <c r="N1301" t="s">
        <v>5031</v>
      </c>
    </row>
    <row r="1302" spans="1:14" x14ac:dyDescent="0.3">
      <c r="A1302" t="s">
        <v>1326</v>
      </c>
      <c r="B1302" t="s">
        <v>19</v>
      </c>
      <c r="C1302" t="s">
        <v>35</v>
      </c>
      <c r="D1302">
        <v>72</v>
      </c>
      <c r="E1302" t="s">
        <v>26</v>
      </c>
      <c r="F1302" t="s">
        <v>16</v>
      </c>
      <c r="G1302">
        <v>110.6</v>
      </c>
      <c r="H1302">
        <v>7962.2</v>
      </c>
      <c r="I1302" t="s">
        <v>15</v>
      </c>
      <c r="J1302" t="s">
        <v>16</v>
      </c>
      <c r="K1302" t="s">
        <v>29</v>
      </c>
      <c r="L1302">
        <v>7962.2</v>
      </c>
      <c r="M1302" t="s">
        <v>5033</v>
      </c>
      <c r="N1302" t="s">
        <v>5034</v>
      </c>
    </row>
    <row r="1303" spans="1:14" x14ac:dyDescent="0.3">
      <c r="A1303" t="s">
        <v>1327</v>
      </c>
      <c r="B1303" t="s">
        <v>12</v>
      </c>
      <c r="C1303" t="s">
        <v>35</v>
      </c>
      <c r="D1303">
        <v>66</v>
      </c>
      <c r="E1303" t="s">
        <v>14</v>
      </c>
      <c r="F1303" t="s">
        <v>16</v>
      </c>
      <c r="G1303">
        <v>58.2</v>
      </c>
      <c r="H1303">
        <v>3810.8</v>
      </c>
      <c r="I1303" t="s">
        <v>15</v>
      </c>
      <c r="J1303" t="s">
        <v>16</v>
      </c>
      <c r="K1303" t="s">
        <v>29</v>
      </c>
      <c r="L1303">
        <v>3810.8</v>
      </c>
      <c r="M1303" t="s">
        <v>5033</v>
      </c>
      <c r="N1303" t="s">
        <v>5034</v>
      </c>
    </row>
    <row r="1304" spans="1:14" x14ac:dyDescent="0.3">
      <c r="A1304" t="s">
        <v>1328</v>
      </c>
      <c r="B1304" t="s">
        <v>12</v>
      </c>
      <c r="C1304" t="s">
        <v>35</v>
      </c>
      <c r="D1304">
        <v>45</v>
      </c>
      <c r="E1304" t="s">
        <v>14</v>
      </c>
      <c r="F1304" t="s">
        <v>16</v>
      </c>
      <c r="G1304">
        <v>81</v>
      </c>
      <c r="H1304">
        <v>3533.6</v>
      </c>
      <c r="I1304" t="s">
        <v>15</v>
      </c>
      <c r="J1304" t="s">
        <v>16</v>
      </c>
      <c r="K1304" t="s">
        <v>21</v>
      </c>
      <c r="L1304">
        <v>3533.6</v>
      </c>
      <c r="M1304" t="s">
        <v>5033</v>
      </c>
      <c r="N1304" t="s">
        <v>5034</v>
      </c>
    </row>
    <row r="1305" spans="1:14" x14ac:dyDescent="0.3">
      <c r="A1305" t="s">
        <v>1329</v>
      </c>
      <c r="B1305" t="s">
        <v>12</v>
      </c>
      <c r="C1305" t="s">
        <v>35</v>
      </c>
      <c r="D1305">
        <v>69</v>
      </c>
      <c r="E1305" t="s">
        <v>15</v>
      </c>
      <c r="F1305" t="s">
        <v>36</v>
      </c>
      <c r="G1305">
        <v>19.7</v>
      </c>
      <c r="H1305">
        <v>1396.9</v>
      </c>
      <c r="I1305" t="s">
        <v>15</v>
      </c>
      <c r="J1305" t="s">
        <v>15</v>
      </c>
      <c r="K1305" t="s">
        <v>24</v>
      </c>
      <c r="L1305">
        <v>1396.9</v>
      </c>
      <c r="M1305" t="s">
        <v>5033</v>
      </c>
      <c r="N1305" t="s">
        <v>5031</v>
      </c>
    </row>
    <row r="1306" spans="1:14" x14ac:dyDescent="0.3">
      <c r="A1306" t="s">
        <v>1330</v>
      </c>
      <c r="B1306" t="s">
        <v>19</v>
      </c>
      <c r="C1306" t="s">
        <v>13</v>
      </c>
      <c r="D1306">
        <v>15</v>
      </c>
      <c r="E1306" t="s">
        <v>26</v>
      </c>
      <c r="F1306" t="s">
        <v>15</v>
      </c>
      <c r="G1306">
        <v>85.6</v>
      </c>
      <c r="H1306">
        <v>1345.55</v>
      </c>
      <c r="I1306" t="s">
        <v>16</v>
      </c>
      <c r="J1306" t="s">
        <v>16</v>
      </c>
      <c r="K1306" t="s">
        <v>24</v>
      </c>
      <c r="L1306">
        <v>1345.55</v>
      </c>
      <c r="M1306" t="s">
        <v>5032</v>
      </c>
      <c r="N1306" t="s">
        <v>5031</v>
      </c>
    </row>
    <row r="1307" spans="1:14" x14ac:dyDescent="0.3">
      <c r="A1307" t="s">
        <v>1331</v>
      </c>
      <c r="B1307" t="s">
        <v>12</v>
      </c>
      <c r="C1307" t="s">
        <v>13</v>
      </c>
      <c r="D1307">
        <v>28</v>
      </c>
      <c r="E1307" t="s">
        <v>14</v>
      </c>
      <c r="F1307" t="s">
        <v>15</v>
      </c>
      <c r="G1307">
        <v>59.55</v>
      </c>
      <c r="H1307">
        <v>1646.45</v>
      </c>
      <c r="I1307" t="s">
        <v>15</v>
      </c>
      <c r="J1307" t="s">
        <v>16</v>
      </c>
      <c r="K1307" t="s">
        <v>24</v>
      </c>
      <c r="L1307">
        <v>1646.45</v>
      </c>
      <c r="M1307" t="s">
        <v>5032</v>
      </c>
      <c r="N1307" t="s">
        <v>5031</v>
      </c>
    </row>
    <row r="1308" spans="1:14" x14ac:dyDescent="0.3">
      <c r="A1308" t="s">
        <v>1332</v>
      </c>
      <c r="B1308" t="s">
        <v>12</v>
      </c>
      <c r="C1308" t="s">
        <v>20</v>
      </c>
      <c r="D1308">
        <v>70</v>
      </c>
      <c r="E1308" t="s">
        <v>26</v>
      </c>
      <c r="F1308" t="s">
        <v>16</v>
      </c>
      <c r="G1308">
        <v>115.55</v>
      </c>
      <c r="H1308">
        <v>8127.6</v>
      </c>
      <c r="I1308" t="s">
        <v>16</v>
      </c>
      <c r="J1308" t="s">
        <v>15</v>
      </c>
      <c r="K1308" t="s">
        <v>29</v>
      </c>
      <c r="L1308">
        <v>8127.6</v>
      </c>
      <c r="M1308" t="s">
        <v>5033</v>
      </c>
      <c r="N1308" t="s">
        <v>5034</v>
      </c>
    </row>
    <row r="1309" spans="1:14" x14ac:dyDescent="0.3">
      <c r="A1309" t="s">
        <v>1333</v>
      </c>
      <c r="B1309" t="s">
        <v>12</v>
      </c>
      <c r="C1309" t="s">
        <v>20</v>
      </c>
      <c r="D1309">
        <v>36</v>
      </c>
      <c r="E1309" t="s">
        <v>14</v>
      </c>
      <c r="F1309" t="s">
        <v>16</v>
      </c>
      <c r="G1309">
        <v>75.55</v>
      </c>
      <c r="H1309">
        <v>2680.15</v>
      </c>
      <c r="I1309" t="s">
        <v>15</v>
      </c>
      <c r="J1309" t="s">
        <v>16</v>
      </c>
      <c r="K1309" t="s">
        <v>21</v>
      </c>
      <c r="L1309">
        <v>2680.15</v>
      </c>
      <c r="M1309" t="s">
        <v>5032</v>
      </c>
      <c r="N1309" t="s">
        <v>5034</v>
      </c>
    </row>
    <row r="1310" spans="1:14" x14ac:dyDescent="0.3">
      <c r="A1310" t="s">
        <v>1334</v>
      </c>
      <c r="B1310" t="s">
        <v>19</v>
      </c>
      <c r="C1310" t="s">
        <v>13</v>
      </c>
      <c r="D1310">
        <v>16</v>
      </c>
      <c r="E1310" t="s">
        <v>26</v>
      </c>
      <c r="F1310" t="s">
        <v>15</v>
      </c>
      <c r="G1310">
        <v>86.6</v>
      </c>
      <c r="H1310">
        <v>1281</v>
      </c>
      <c r="I1310" t="s">
        <v>16</v>
      </c>
      <c r="J1310" t="s">
        <v>16</v>
      </c>
      <c r="K1310" t="s">
        <v>17</v>
      </c>
      <c r="L1310">
        <v>1281</v>
      </c>
      <c r="M1310" t="s">
        <v>5032</v>
      </c>
      <c r="N1310" t="s">
        <v>5031</v>
      </c>
    </row>
    <row r="1311" spans="1:14" x14ac:dyDescent="0.3">
      <c r="A1311" t="s">
        <v>1335</v>
      </c>
      <c r="B1311" t="s">
        <v>12</v>
      </c>
      <c r="C1311" t="s">
        <v>13</v>
      </c>
      <c r="D1311">
        <v>18</v>
      </c>
      <c r="E1311" t="s">
        <v>26</v>
      </c>
      <c r="F1311" t="s">
        <v>15</v>
      </c>
      <c r="G1311">
        <v>85.2</v>
      </c>
      <c r="H1311">
        <v>1553.9</v>
      </c>
      <c r="I1311" t="s">
        <v>16</v>
      </c>
      <c r="J1311" t="s">
        <v>16</v>
      </c>
      <c r="K1311" t="s">
        <v>17</v>
      </c>
      <c r="L1311">
        <v>1553.9</v>
      </c>
      <c r="M1311" t="s">
        <v>5032</v>
      </c>
      <c r="N1311" t="s">
        <v>5031</v>
      </c>
    </row>
    <row r="1312" spans="1:14" x14ac:dyDescent="0.3">
      <c r="A1312" t="s">
        <v>1336</v>
      </c>
      <c r="B1312" t="s">
        <v>12</v>
      </c>
      <c r="C1312" t="s">
        <v>13</v>
      </c>
      <c r="D1312">
        <v>34</v>
      </c>
      <c r="E1312" t="s">
        <v>26</v>
      </c>
      <c r="F1312" t="s">
        <v>15</v>
      </c>
      <c r="G1312">
        <v>97.65</v>
      </c>
      <c r="H1312">
        <v>3207.55</v>
      </c>
      <c r="I1312" t="s">
        <v>16</v>
      </c>
      <c r="J1312" t="s">
        <v>16</v>
      </c>
      <c r="K1312" t="s">
        <v>17</v>
      </c>
      <c r="L1312">
        <v>3207.55</v>
      </c>
      <c r="M1312" t="s">
        <v>5032</v>
      </c>
      <c r="N1312" t="s">
        <v>5034</v>
      </c>
    </row>
    <row r="1313" spans="1:14" x14ac:dyDescent="0.3">
      <c r="A1313" t="s">
        <v>1337</v>
      </c>
      <c r="B1313" t="s">
        <v>19</v>
      </c>
      <c r="C1313" t="s">
        <v>20</v>
      </c>
      <c r="D1313">
        <v>42</v>
      </c>
      <c r="E1313" t="s">
        <v>14</v>
      </c>
      <c r="F1313" t="s">
        <v>15</v>
      </c>
      <c r="G1313">
        <v>45.1</v>
      </c>
      <c r="H1313">
        <v>2049.0500000000002</v>
      </c>
      <c r="I1313" t="s">
        <v>15</v>
      </c>
      <c r="J1313" t="s">
        <v>16</v>
      </c>
      <c r="K1313" t="s">
        <v>29</v>
      </c>
      <c r="L1313">
        <v>2049.0500000000002</v>
      </c>
      <c r="M1313" t="s">
        <v>5033</v>
      </c>
      <c r="N1313" t="s">
        <v>5031</v>
      </c>
    </row>
    <row r="1314" spans="1:14" x14ac:dyDescent="0.3">
      <c r="A1314" t="s">
        <v>1338</v>
      </c>
      <c r="B1314" t="s">
        <v>19</v>
      </c>
      <c r="C1314" t="s">
        <v>20</v>
      </c>
      <c r="D1314">
        <v>48</v>
      </c>
      <c r="E1314" t="s">
        <v>14</v>
      </c>
      <c r="F1314" t="s">
        <v>16</v>
      </c>
      <c r="G1314">
        <v>70.95</v>
      </c>
      <c r="H1314">
        <v>3629.2</v>
      </c>
      <c r="I1314" t="s">
        <v>15</v>
      </c>
      <c r="J1314" t="s">
        <v>16</v>
      </c>
      <c r="K1314" t="s">
        <v>24</v>
      </c>
      <c r="L1314">
        <v>3629.2</v>
      </c>
      <c r="M1314" t="s">
        <v>5033</v>
      </c>
      <c r="N1314" t="s">
        <v>5034</v>
      </c>
    </row>
    <row r="1315" spans="1:14" x14ac:dyDescent="0.3">
      <c r="A1315" t="s">
        <v>1339</v>
      </c>
      <c r="B1315" t="s">
        <v>19</v>
      </c>
      <c r="C1315" t="s">
        <v>13</v>
      </c>
      <c r="D1315">
        <v>47</v>
      </c>
      <c r="E1315" t="s">
        <v>26</v>
      </c>
      <c r="F1315" t="s">
        <v>16</v>
      </c>
      <c r="G1315">
        <v>109.55</v>
      </c>
      <c r="H1315">
        <v>5124.55</v>
      </c>
      <c r="I1315" t="s">
        <v>16</v>
      </c>
      <c r="J1315" t="s">
        <v>16</v>
      </c>
      <c r="K1315" t="s">
        <v>17</v>
      </c>
      <c r="L1315">
        <v>5124.55</v>
      </c>
      <c r="M1315" t="s">
        <v>5033</v>
      </c>
      <c r="N1315" t="s">
        <v>5034</v>
      </c>
    </row>
    <row r="1316" spans="1:14" x14ac:dyDescent="0.3">
      <c r="A1316" t="s">
        <v>1340</v>
      </c>
      <c r="B1316" t="s">
        <v>12</v>
      </c>
      <c r="C1316" t="s">
        <v>20</v>
      </c>
      <c r="D1316">
        <v>39</v>
      </c>
      <c r="E1316" t="s">
        <v>26</v>
      </c>
      <c r="F1316" t="s">
        <v>16</v>
      </c>
      <c r="G1316">
        <v>89.55</v>
      </c>
      <c r="H1316">
        <v>3474.45</v>
      </c>
      <c r="I1316" t="s">
        <v>16</v>
      </c>
      <c r="J1316" t="s">
        <v>16</v>
      </c>
      <c r="K1316" t="s">
        <v>17</v>
      </c>
      <c r="L1316">
        <v>3474.45</v>
      </c>
      <c r="M1316" t="s">
        <v>5033</v>
      </c>
      <c r="N1316" t="s">
        <v>5034</v>
      </c>
    </row>
    <row r="1317" spans="1:14" x14ac:dyDescent="0.3">
      <c r="A1317" t="s">
        <v>1341</v>
      </c>
      <c r="B1317" t="s">
        <v>12</v>
      </c>
      <c r="C1317" t="s">
        <v>35</v>
      </c>
      <c r="D1317">
        <v>11</v>
      </c>
      <c r="E1317" t="s">
        <v>15</v>
      </c>
      <c r="F1317" t="s">
        <v>36</v>
      </c>
      <c r="G1317">
        <v>20.9</v>
      </c>
      <c r="H1317">
        <v>202.3</v>
      </c>
      <c r="I1317" t="s">
        <v>15</v>
      </c>
      <c r="J1317" t="s">
        <v>15</v>
      </c>
      <c r="K1317" t="s">
        <v>29</v>
      </c>
      <c r="L1317">
        <v>202.3</v>
      </c>
      <c r="M1317" t="s">
        <v>5030</v>
      </c>
      <c r="N1317" t="s">
        <v>5031</v>
      </c>
    </row>
    <row r="1318" spans="1:14" x14ac:dyDescent="0.3">
      <c r="A1318" t="s">
        <v>1342</v>
      </c>
      <c r="B1318" t="s">
        <v>19</v>
      </c>
      <c r="C1318" t="s">
        <v>13</v>
      </c>
      <c r="D1318">
        <v>7</v>
      </c>
      <c r="E1318" t="s">
        <v>15</v>
      </c>
      <c r="F1318" t="s">
        <v>36</v>
      </c>
      <c r="G1318">
        <v>19.95</v>
      </c>
      <c r="H1318">
        <v>147.5</v>
      </c>
      <c r="I1318" t="s">
        <v>15</v>
      </c>
      <c r="J1318" t="s">
        <v>16</v>
      </c>
      <c r="K1318" t="s">
        <v>21</v>
      </c>
      <c r="L1318">
        <v>147.5</v>
      </c>
      <c r="M1318" t="s">
        <v>5030</v>
      </c>
      <c r="N1318" t="s">
        <v>5031</v>
      </c>
    </row>
    <row r="1319" spans="1:14" x14ac:dyDescent="0.3">
      <c r="A1319" t="s">
        <v>1343</v>
      </c>
      <c r="B1319" t="s">
        <v>12</v>
      </c>
      <c r="C1319" t="s">
        <v>13</v>
      </c>
      <c r="D1319">
        <v>3</v>
      </c>
      <c r="E1319" t="s">
        <v>15</v>
      </c>
      <c r="F1319" t="s">
        <v>36</v>
      </c>
      <c r="G1319">
        <v>24.6</v>
      </c>
      <c r="H1319">
        <v>86.35</v>
      </c>
      <c r="I1319" t="s">
        <v>15</v>
      </c>
      <c r="J1319" t="s">
        <v>15</v>
      </c>
      <c r="K1319" t="s">
        <v>21</v>
      </c>
      <c r="L1319">
        <v>86.35</v>
      </c>
      <c r="M1319" t="s">
        <v>5030</v>
      </c>
      <c r="N1319" t="s">
        <v>5031</v>
      </c>
    </row>
    <row r="1320" spans="1:14" x14ac:dyDescent="0.3">
      <c r="A1320" t="s">
        <v>1344</v>
      </c>
      <c r="B1320" t="s">
        <v>19</v>
      </c>
      <c r="C1320" t="s">
        <v>13</v>
      </c>
      <c r="D1320">
        <v>8</v>
      </c>
      <c r="E1320" t="s">
        <v>14</v>
      </c>
      <c r="F1320" t="s">
        <v>15</v>
      </c>
      <c r="G1320">
        <v>66.7</v>
      </c>
      <c r="H1320">
        <v>579</v>
      </c>
      <c r="I1320" t="s">
        <v>15</v>
      </c>
      <c r="J1320" t="s">
        <v>16</v>
      </c>
      <c r="K1320" t="s">
        <v>17</v>
      </c>
      <c r="L1320">
        <v>579</v>
      </c>
      <c r="M1320" t="s">
        <v>5030</v>
      </c>
      <c r="N1320" t="s">
        <v>5031</v>
      </c>
    </row>
    <row r="1321" spans="1:14" x14ac:dyDescent="0.3">
      <c r="A1321" t="s">
        <v>1345</v>
      </c>
      <c r="B1321" t="s">
        <v>19</v>
      </c>
      <c r="C1321" t="s">
        <v>13</v>
      </c>
      <c r="D1321">
        <v>1</v>
      </c>
      <c r="E1321" t="s">
        <v>15</v>
      </c>
      <c r="F1321" t="s">
        <v>36</v>
      </c>
      <c r="G1321">
        <v>19.45</v>
      </c>
      <c r="H1321">
        <v>19.45</v>
      </c>
      <c r="I1321" t="s">
        <v>16</v>
      </c>
      <c r="J1321" t="s">
        <v>16</v>
      </c>
      <c r="K1321" t="s">
        <v>21</v>
      </c>
      <c r="L1321">
        <v>19.45</v>
      </c>
      <c r="M1321" t="s">
        <v>5030</v>
      </c>
      <c r="N1321" t="s">
        <v>5031</v>
      </c>
    </row>
    <row r="1322" spans="1:14" x14ac:dyDescent="0.3">
      <c r="A1322" t="s">
        <v>1346</v>
      </c>
      <c r="B1322" t="s">
        <v>19</v>
      </c>
      <c r="C1322" t="s">
        <v>20</v>
      </c>
      <c r="D1322">
        <v>32</v>
      </c>
      <c r="E1322" t="s">
        <v>26</v>
      </c>
      <c r="F1322" t="s">
        <v>15</v>
      </c>
      <c r="G1322">
        <v>94.8</v>
      </c>
      <c r="H1322">
        <v>3131.55</v>
      </c>
      <c r="I1322" t="s">
        <v>15</v>
      </c>
      <c r="J1322" t="s">
        <v>15</v>
      </c>
      <c r="K1322" t="s">
        <v>21</v>
      </c>
      <c r="L1322">
        <v>3131.55</v>
      </c>
      <c r="M1322" t="s">
        <v>5032</v>
      </c>
      <c r="N1322" t="s">
        <v>5034</v>
      </c>
    </row>
    <row r="1323" spans="1:14" x14ac:dyDescent="0.3">
      <c r="A1323" t="s">
        <v>1347</v>
      </c>
      <c r="B1323" t="s">
        <v>19</v>
      </c>
      <c r="C1323" t="s">
        <v>20</v>
      </c>
      <c r="D1323">
        <v>60</v>
      </c>
      <c r="E1323" t="s">
        <v>14</v>
      </c>
      <c r="F1323" t="s">
        <v>16</v>
      </c>
      <c r="G1323">
        <v>65.849999999999994</v>
      </c>
      <c r="H1323">
        <v>3928.3</v>
      </c>
      <c r="I1323" t="s">
        <v>15</v>
      </c>
      <c r="J1323" t="s">
        <v>16</v>
      </c>
      <c r="K1323" t="s">
        <v>24</v>
      </c>
      <c r="L1323">
        <v>3928.3</v>
      </c>
      <c r="M1323" t="s">
        <v>5033</v>
      </c>
      <c r="N1323" t="s">
        <v>5034</v>
      </c>
    </row>
    <row r="1324" spans="1:14" x14ac:dyDescent="0.3">
      <c r="A1324" t="s">
        <v>1348</v>
      </c>
      <c r="B1324" t="s">
        <v>12</v>
      </c>
      <c r="C1324" t="s">
        <v>13</v>
      </c>
      <c r="D1324">
        <v>10</v>
      </c>
      <c r="E1324" t="s">
        <v>15</v>
      </c>
      <c r="F1324" t="s">
        <v>36</v>
      </c>
      <c r="G1324">
        <v>19.95</v>
      </c>
      <c r="H1324">
        <v>187.75</v>
      </c>
      <c r="I1324" t="s">
        <v>15</v>
      </c>
      <c r="J1324" t="s">
        <v>16</v>
      </c>
      <c r="K1324" t="s">
        <v>24</v>
      </c>
      <c r="L1324">
        <v>187.75</v>
      </c>
      <c r="M1324" t="s">
        <v>5030</v>
      </c>
      <c r="N1324" t="s">
        <v>5031</v>
      </c>
    </row>
    <row r="1325" spans="1:14" x14ac:dyDescent="0.3">
      <c r="A1325" t="s">
        <v>1349</v>
      </c>
      <c r="B1325" t="s">
        <v>12</v>
      </c>
      <c r="C1325" t="s">
        <v>35</v>
      </c>
      <c r="D1325">
        <v>71</v>
      </c>
      <c r="E1325" t="s">
        <v>15</v>
      </c>
      <c r="F1325" t="s">
        <v>36</v>
      </c>
      <c r="G1325">
        <v>24.65</v>
      </c>
      <c r="H1325">
        <v>1710.15</v>
      </c>
      <c r="I1325" t="s">
        <v>15</v>
      </c>
      <c r="J1325" t="s">
        <v>16</v>
      </c>
      <c r="K1325" t="s">
        <v>24</v>
      </c>
      <c r="L1325">
        <v>1710.15</v>
      </c>
      <c r="M1325" t="s">
        <v>5033</v>
      </c>
      <c r="N1325" t="s">
        <v>5031</v>
      </c>
    </row>
    <row r="1326" spans="1:14" x14ac:dyDescent="0.3">
      <c r="A1326" t="s">
        <v>1350</v>
      </c>
      <c r="B1326" t="s">
        <v>12</v>
      </c>
      <c r="C1326" t="s">
        <v>13</v>
      </c>
      <c r="D1326">
        <v>4</v>
      </c>
      <c r="E1326" t="s">
        <v>15</v>
      </c>
      <c r="F1326" t="s">
        <v>36</v>
      </c>
      <c r="G1326">
        <v>20.350000000000001</v>
      </c>
      <c r="H1326">
        <v>76.349999999999994</v>
      </c>
      <c r="I1326" t="s">
        <v>16</v>
      </c>
      <c r="J1326" t="s">
        <v>15</v>
      </c>
      <c r="K1326" t="s">
        <v>21</v>
      </c>
      <c r="L1326">
        <v>76.349999999999994</v>
      </c>
      <c r="M1326" t="s">
        <v>5030</v>
      </c>
      <c r="N1326" t="s">
        <v>5031</v>
      </c>
    </row>
    <row r="1327" spans="1:14" x14ac:dyDescent="0.3">
      <c r="A1327" t="s">
        <v>1351</v>
      </c>
      <c r="B1327" t="s">
        <v>12</v>
      </c>
      <c r="C1327" t="s">
        <v>13</v>
      </c>
      <c r="D1327">
        <v>1</v>
      </c>
      <c r="E1327" t="s">
        <v>26</v>
      </c>
      <c r="F1327" t="s">
        <v>15</v>
      </c>
      <c r="G1327">
        <v>69.25</v>
      </c>
      <c r="H1327">
        <v>69.25</v>
      </c>
      <c r="I1327" t="s">
        <v>16</v>
      </c>
      <c r="J1327" t="s">
        <v>16</v>
      </c>
      <c r="K1327" t="s">
        <v>17</v>
      </c>
      <c r="L1327">
        <v>69.25</v>
      </c>
      <c r="M1327" t="s">
        <v>5030</v>
      </c>
      <c r="N1327" t="s">
        <v>5031</v>
      </c>
    </row>
    <row r="1328" spans="1:14" x14ac:dyDescent="0.3">
      <c r="A1328" t="s">
        <v>1352</v>
      </c>
      <c r="B1328" t="s">
        <v>12</v>
      </c>
      <c r="C1328" t="s">
        <v>20</v>
      </c>
      <c r="D1328">
        <v>43</v>
      </c>
      <c r="E1328" t="s">
        <v>14</v>
      </c>
      <c r="F1328" t="s">
        <v>16</v>
      </c>
      <c r="G1328">
        <v>51.25</v>
      </c>
      <c r="H1328">
        <v>2151.6</v>
      </c>
      <c r="I1328" t="s">
        <v>15</v>
      </c>
      <c r="J1328" t="s">
        <v>16</v>
      </c>
      <c r="K1328" t="s">
        <v>24</v>
      </c>
      <c r="L1328">
        <v>2151.6</v>
      </c>
      <c r="M1328" t="s">
        <v>5033</v>
      </c>
      <c r="N1328" t="s">
        <v>5031</v>
      </c>
    </row>
    <row r="1329" spans="1:14" x14ac:dyDescent="0.3">
      <c r="A1329" t="s">
        <v>1353</v>
      </c>
      <c r="B1329" t="s">
        <v>19</v>
      </c>
      <c r="C1329" t="s">
        <v>20</v>
      </c>
      <c r="D1329">
        <v>59</v>
      </c>
      <c r="E1329" t="s">
        <v>26</v>
      </c>
      <c r="F1329" t="s">
        <v>15</v>
      </c>
      <c r="G1329">
        <v>99.5</v>
      </c>
      <c r="H1329">
        <v>5961.1</v>
      </c>
      <c r="I1329" t="s">
        <v>16</v>
      </c>
      <c r="J1329" t="s">
        <v>16</v>
      </c>
      <c r="K1329" t="s">
        <v>24</v>
      </c>
      <c r="L1329">
        <v>5961.1</v>
      </c>
      <c r="M1329" t="s">
        <v>5033</v>
      </c>
      <c r="N1329" t="s">
        <v>5034</v>
      </c>
    </row>
    <row r="1330" spans="1:14" x14ac:dyDescent="0.3">
      <c r="A1330" t="s">
        <v>1354</v>
      </c>
      <c r="B1330" t="s">
        <v>12</v>
      </c>
      <c r="C1330" t="s">
        <v>13</v>
      </c>
      <c r="D1330">
        <v>23</v>
      </c>
      <c r="E1330" t="s">
        <v>14</v>
      </c>
      <c r="F1330" t="s">
        <v>16</v>
      </c>
      <c r="G1330">
        <v>54.25</v>
      </c>
      <c r="H1330">
        <v>1221.55</v>
      </c>
      <c r="I1330" t="s">
        <v>15</v>
      </c>
      <c r="J1330" t="s">
        <v>15</v>
      </c>
      <c r="K1330" t="s">
        <v>17</v>
      </c>
      <c r="L1330">
        <v>1221.55</v>
      </c>
      <c r="M1330" t="s">
        <v>5032</v>
      </c>
      <c r="N1330" t="s">
        <v>5031</v>
      </c>
    </row>
    <row r="1331" spans="1:14" x14ac:dyDescent="0.3">
      <c r="A1331" t="s">
        <v>1355</v>
      </c>
      <c r="B1331" t="s">
        <v>12</v>
      </c>
      <c r="C1331" t="s">
        <v>35</v>
      </c>
      <c r="D1331">
        <v>72</v>
      </c>
      <c r="E1331" t="s">
        <v>15</v>
      </c>
      <c r="F1331" t="s">
        <v>36</v>
      </c>
      <c r="G1331">
        <v>19.399999999999999</v>
      </c>
      <c r="H1331">
        <v>1496.45</v>
      </c>
      <c r="I1331" t="s">
        <v>15</v>
      </c>
      <c r="J1331" t="s">
        <v>15</v>
      </c>
      <c r="K1331" t="s">
        <v>24</v>
      </c>
      <c r="L1331">
        <v>1496.45</v>
      </c>
      <c r="M1331" t="s">
        <v>5033</v>
      </c>
      <c r="N1331" t="s">
        <v>5031</v>
      </c>
    </row>
    <row r="1332" spans="1:14" x14ac:dyDescent="0.3">
      <c r="A1332" t="s">
        <v>1356</v>
      </c>
      <c r="B1332" t="s">
        <v>19</v>
      </c>
      <c r="C1332" t="s">
        <v>20</v>
      </c>
      <c r="D1332">
        <v>22</v>
      </c>
      <c r="E1332" t="s">
        <v>14</v>
      </c>
      <c r="F1332" t="s">
        <v>16</v>
      </c>
      <c r="G1332">
        <v>56.25</v>
      </c>
      <c r="H1332">
        <v>1292.2</v>
      </c>
      <c r="I1332" t="s">
        <v>15</v>
      </c>
      <c r="J1332" t="s">
        <v>16</v>
      </c>
      <c r="K1332" t="s">
        <v>29</v>
      </c>
      <c r="L1332">
        <v>1292.2</v>
      </c>
      <c r="M1332" t="s">
        <v>5032</v>
      </c>
      <c r="N1332" t="s">
        <v>5031</v>
      </c>
    </row>
    <row r="1333" spans="1:14" x14ac:dyDescent="0.3">
      <c r="A1333" t="s">
        <v>1357</v>
      </c>
      <c r="B1333" t="s">
        <v>12</v>
      </c>
      <c r="C1333" t="s">
        <v>13</v>
      </c>
      <c r="D1333">
        <v>1</v>
      </c>
      <c r="E1333" t="s">
        <v>14</v>
      </c>
      <c r="F1333" t="s">
        <v>15</v>
      </c>
      <c r="G1333">
        <v>25.15</v>
      </c>
      <c r="H1333">
        <v>25.15</v>
      </c>
      <c r="I1333" t="s">
        <v>15</v>
      </c>
      <c r="J1333" t="s">
        <v>16</v>
      </c>
      <c r="K1333" t="s">
        <v>21</v>
      </c>
      <c r="L1333">
        <v>25.15</v>
      </c>
      <c r="M1333" t="s">
        <v>5030</v>
      </c>
      <c r="N1333" t="s">
        <v>5031</v>
      </c>
    </row>
    <row r="1334" spans="1:14" x14ac:dyDescent="0.3">
      <c r="A1334" t="s">
        <v>1358</v>
      </c>
      <c r="B1334" t="s">
        <v>19</v>
      </c>
      <c r="C1334" t="s">
        <v>35</v>
      </c>
      <c r="D1334">
        <v>69</v>
      </c>
      <c r="E1334" t="s">
        <v>15</v>
      </c>
      <c r="F1334" t="s">
        <v>36</v>
      </c>
      <c r="G1334">
        <v>23.95</v>
      </c>
      <c r="H1334">
        <v>1713.1</v>
      </c>
      <c r="I1334" t="s">
        <v>15</v>
      </c>
      <c r="J1334" t="s">
        <v>15</v>
      </c>
      <c r="K1334" t="s">
        <v>24</v>
      </c>
      <c r="L1334">
        <v>1713.1</v>
      </c>
      <c r="M1334" t="s">
        <v>5033</v>
      </c>
      <c r="N1334" t="s">
        <v>5031</v>
      </c>
    </row>
    <row r="1335" spans="1:14" x14ac:dyDescent="0.3">
      <c r="A1335" t="s">
        <v>1359</v>
      </c>
      <c r="B1335" t="s">
        <v>19</v>
      </c>
      <c r="C1335" t="s">
        <v>20</v>
      </c>
      <c r="D1335">
        <v>50</v>
      </c>
      <c r="E1335" t="s">
        <v>14</v>
      </c>
      <c r="F1335" t="s">
        <v>16</v>
      </c>
      <c r="G1335">
        <v>35.4</v>
      </c>
      <c r="H1335">
        <v>1748.9</v>
      </c>
      <c r="I1335" t="s">
        <v>15</v>
      </c>
      <c r="J1335" t="s">
        <v>16</v>
      </c>
      <c r="K1335" t="s">
        <v>21</v>
      </c>
      <c r="L1335">
        <v>1748.9</v>
      </c>
      <c r="M1335" t="s">
        <v>5033</v>
      </c>
      <c r="N1335" t="s">
        <v>5031</v>
      </c>
    </row>
    <row r="1336" spans="1:14" x14ac:dyDescent="0.3">
      <c r="A1336" t="s">
        <v>1360</v>
      </c>
      <c r="B1336" t="s">
        <v>12</v>
      </c>
      <c r="C1336" t="s">
        <v>13</v>
      </c>
      <c r="D1336">
        <v>1</v>
      </c>
      <c r="E1336" t="s">
        <v>14</v>
      </c>
      <c r="F1336" t="s">
        <v>15</v>
      </c>
      <c r="G1336">
        <v>25.2</v>
      </c>
      <c r="H1336">
        <v>25.2</v>
      </c>
      <c r="I1336" t="s">
        <v>16</v>
      </c>
      <c r="J1336" t="s">
        <v>16</v>
      </c>
      <c r="K1336" t="s">
        <v>17</v>
      </c>
      <c r="L1336">
        <v>25.2</v>
      </c>
      <c r="M1336" t="s">
        <v>5030</v>
      </c>
      <c r="N1336" t="s">
        <v>5031</v>
      </c>
    </row>
    <row r="1337" spans="1:14" x14ac:dyDescent="0.3">
      <c r="A1337" t="s">
        <v>1361</v>
      </c>
      <c r="B1337" t="s">
        <v>19</v>
      </c>
      <c r="C1337" t="s">
        <v>13</v>
      </c>
      <c r="D1337">
        <v>2</v>
      </c>
      <c r="E1337" t="s">
        <v>14</v>
      </c>
      <c r="F1337" t="s">
        <v>15</v>
      </c>
      <c r="G1337">
        <v>45</v>
      </c>
      <c r="H1337">
        <v>96.45</v>
      </c>
      <c r="I1337" t="s">
        <v>16</v>
      </c>
      <c r="J1337" t="s">
        <v>16</v>
      </c>
      <c r="K1337" t="s">
        <v>21</v>
      </c>
      <c r="L1337">
        <v>96.45</v>
      </c>
      <c r="M1337" t="s">
        <v>5030</v>
      </c>
      <c r="N1337" t="s">
        <v>5031</v>
      </c>
    </row>
    <row r="1338" spans="1:14" x14ac:dyDescent="0.3">
      <c r="A1338" t="s">
        <v>1362</v>
      </c>
      <c r="B1338" t="s">
        <v>12</v>
      </c>
      <c r="C1338" t="s">
        <v>13</v>
      </c>
      <c r="D1338">
        <v>15</v>
      </c>
      <c r="E1338" t="s">
        <v>26</v>
      </c>
      <c r="F1338" t="s">
        <v>15</v>
      </c>
      <c r="G1338">
        <v>75.349999999999994</v>
      </c>
      <c r="H1338">
        <v>1114.55</v>
      </c>
      <c r="I1338" t="s">
        <v>15</v>
      </c>
      <c r="J1338" t="s">
        <v>15</v>
      </c>
      <c r="K1338" t="s">
        <v>24</v>
      </c>
      <c r="L1338">
        <v>1114.55</v>
      </c>
      <c r="M1338" t="s">
        <v>5032</v>
      </c>
      <c r="N1338" t="s">
        <v>5031</v>
      </c>
    </row>
    <row r="1339" spans="1:14" x14ac:dyDescent="0.3">
      <c r="A1339" t="s">
        <v>1363</v>
      </c>
      <c r="B1339" t="s">
        <v>19</v>
      </c>
      <c r="C1339" t="s">
        <v>35</v>
      </c>
      <c r="D1339">
        <v>31</v>
      </c>
      <c r="E1339" t="s">
        <v>15</v>
      </c>
      <c r="F1339" t="s">
        <v>36</v>
      </c>
      <c r="G1339">
        <v>20.399999999999999</v>
      </c>
      <c r="H1339">
        <v>609.1</v>
      </c>
      <c r="I1339" t="s">
        <v>15</v>
      </c>
      <c r="J1339" t="s">
        <v>15</v>
      </c>
      <c r="K1339" t="s">
        <v>24</v>
      </c>
      <c r="L1339">
        <v>609.1</v>
      </c>
      <c r="M1339" t="s">
        <v>5032</v>
      </c>
      <c r="N1339" t="s">
        <v>5031</v>
      </c>
    </row>
    <row r="1340" spans="1:14" x14ac:dyDescent="0.3">
      <c r="A1340" t="s">
        <v>1364</v>
      </c>
      <c r="B1340" t="s">
        <v>19</v>
      </c>
      <c r="C1340" t="s">
        <v>13</v>
      </c>
      <c r="D1340">
        <v>1</v>
      </c>
      <c r="E1340" t="s">
        <v>15</v>
      </c>
      <c r="F1340" t="s">
        <v>36</v>
      </c>
      <c r="G1340">
        <v>20.149999999999999</v>
      </c>
      <c r="H1340">
        <v>20.149999999999999</v>
      </c>
      <c r="I1340" t="s">
        <v>16</v>
      </c>
      <c r="J1340" t="s">
        <v>15</v>
      </c>
      <c r="K1340" t="s">
        <v>21</v>
      </c>
      <c r="L1340">
        <v>20.149999999999999</v>
      </c>
      <c r="M1340" t="s">
        <v>5030</v>
      </c>
      <c r="N1340" t="s">
        <v>5031</v>
      </c>
    </row>
    <row r="1341" spans="1:14" x14ac:dyDescent="0.3">
      <c r="A1341" t="s">
        <v>1365</v>
      </c>
      <c r="B1341" t="s">
        <v>19</v>
      </c>
      <c r="C1341" t="s">
        <v>13</v>
      </c>
      <c r="D1341">
        <v>66</v>
      </c>
      <c r="E1341" t="s">
        <v>26</v>
      </c>
      <c r="F1341" t="s">
        <v>15</v>
      </c>
      <c r="G1341">
        <v>105</v>
      </c>
      <c r="H1341">
        <v>7133.25</v>
      </c>
      <c r="I1341" t="s">
        <v>16</v>
      </c>
      <c r="J1341" t="s">
        <v>16</v>
      </c>
      <c r="K1341" t="s">
        <v>29</v>
      </c>
      <c r="L1341">
        <v>7133.25</v>
      </c>
      <c r="M1341" t="s">
        <v>5033</v>
      </c>
      <c r="N1341" t="s">
        <v>5034</v>
      </c>
    </row>
    <row r="1342" spans="1:14" x14ac:dyDescent="0.3">
      <c r="A1342" t="s">
        <v>1366</v>
      </c>
      <c r="B1342" t="s">
        <v>12</v>
      </c>
      <c r="C1342" t="s">
        <v>35</v>
      </c>
      <c r="D1342">
        <v>0</v>
      </c>
      <c r="E1342" t="s">
        <v>14</v>
      </c>
      <c r="F1342" t="s">
        <v>16</v>
      </c>
      <c r="G1342">
        <v>56.05</v>
      </c>
      <c r="H1342" t="s">
        <v>514</v>
      </c>
      <c r="I1342" t="s">
        <v>15</v>
      </c>
      <c r="J1342" t="s">
        <v>15</v>
      </c>
      <c r="K1342" t="s">
        <v>29</v>
      </c>
      <c r="L1342">
        <v>0</v>
      </c>
      <c r="M1342" t="s">
        <v>5030</v>
      </c>
      <c r="N1342" t="s">
        <v>5034</v>
      </c>
    </row>
    <row r="1343" spans="1:14" x14ac:dyDescent="0.3">
      <c r="A1343" t="s">
        <v>1367</v>
      </c>
      <c r="B1343" t="s">
        <v>19</v>
      </c>
      <c r="C1343" t="s">
        <v>13</v>
      </c>
      <c r="D1343">
        <v>3</v>
      </c>
      <c r="E1343" t="s">
        <v>14</v>
      </c>
      <c r="F1343" t="s">
        <v>15</v>
      </c>
      <c r="G1343">
        <v>54.7</v>
      </c>
      <c r="H1343">
        <v>169.45</v>
      </c>
      <c r="I1343" t="s">
        <v>16</v>
      </c>
      <c r="J1343" t="s">
        <v>16</v>
      </c>
      <c r="K1343" t="s">
        <v>29</v>
      </c>
      <c r="L1343">
        <v>169.45</v>
      </c>
      <c r="M1343" t="s">
        <v>5030</v>
      </c>
      <c r="N1343" t="s">
        <v>5031</v>
      </c>
    </row>
    <row r="1344" spans="1:14" x14ac:dyDescent="0.3">
      <c r="A1344" t="s">
        <v>1368</v>
      </c>
      <c r="B1344" t="s">
        <v>12</v>
      </c>
      <c r="C1344" t="s">
        <v>35</v>
      </c>
      <c r="D1344">
        <v>8</v>
      </c>
      <c r="E1344" t="s">
        <v>15</v>
      </c>
      <c r="F1344" t="s">
        <v>36</v>
      </c>
      <c r="G1344">
        <v>20</v>
      </c>
      <c r="H1344">
        <v>141.6</v>
      </c>
      <c r="I1344" t="s">
        <v>15</v>
      </c>
      <c r="J1344" t="s">
        <v>15</v>
      </c>
      <c r="K1344" t="s">
        <v>21</v>
      </c>
      <c r="L1344">
        <v>141.6</v>
      </c>
      <c r="M1344" t="s">
        <v>5030</v>
      </c>
      <c r="N1344" t="s">
        <v>5031</v>
      </c>
    </row>
    <row r="1345" spans="1:14" x14ac:dyDescent="0.3">
      <c r="A1345" t="s">
        <v>1369</v>
      </c>
      <c r="B1345" t="s">
        <v>19</v>
      </c>
      <c r="C1345" t="s">
        <v>20</v>
      </c>
      <c r="D1345">
        <v>64</v>
      </c>
      <c r="E1345" t="s">
        <v>14</v>
      </c>
      <c r="F1345" t="s">
        <v>15</v>
      </c>
      <c r="G1345">
        <v>73.05</v>
      </c>
      <c r="H1345">
        <v>4688.6499999999996</v>
      </c>
      <c r="I1345" t="s">
        <v>15</v>
      </c>
      <c r="J1345" t="s">
        <v>16</v>
      </c>
      <c r="K1345" t="s">
        <v>29</v>
      </c>
      <c r="L1345">
        <v>4688.6499999999996</v>
      </c>
      <c r="M1345" t="s">
        <v>5033</v>
      </c>
      <c r="N1345" t="s">
        <v>5034</v>
      </c>
    </row>
    <row r="1346" spans="1:14" x14ac:dyDescent="0.3">
      <c r="A1346" t="s">
        <v>1370</v>
      </c>
      <c r="B1346" t="s">
        <v>12</v>
      </c>
      <c r="C1346" t="s">
        <v>13</v>
      </c>
      <c r="D1346">
        <v>28</v>
      </c>
      <c r="E1346" t="s">
        <v>15</v>
      </c>
      <c r="F1346" t="s">
        <v>36</v>
      </c>
      <c r="G1346">
        <v>20.5</v>
      </c>
      <c r="H1346">
        <v>563.04999999999995</v>
      </c>
      <c r="I1346" t="s">
        <v>15</v>
      </c>
      <c r="J1346" t="s">
        <v>15</v>
      </c>
      <c r="K1346" t="s">
        <v>21</v>
      </c>
      <c r="L1346">
        <v>563.04999999999995</v>
      </c>
      <c r="M1346" t="s">
        <v>5032</v>
      </c>
      <c r="N1346" t="s">
        <v>5031</v>
      </c>
    </row>
    <row r="1347" spans="1:14" x14ac:dyDescent="0.3">
      <c r="A1347" t="s">
        <v>1371</v>
      </c>
      <c r="B1347" t="s">
        <v>12</v>
      </c>
      <c r="C1347" t="s">
        <v>20</v>
      </c>
      <c r="D1347">
        <v>57</v>
      </c>
      <c r="E1347" t="s">
        <v>26</v>
      </c>
      <c r="F1347" t="s">
        <v>15</v>
      </c>
      <c r="G1347">
        <v>100.75</v>
      </c>
      <c r="H1347">
        <v>5985</v>
      </c>
      <c r="I1347" t="s">
        <v>15</v>
      </c>
      <c r="J1347" t="s">
        <v>16</v>
      </c>
      <c r="K1347" t="s">
        <v>29</v>
      </c>
      <c r="L1347">
        <v>5985</v>
      </c>
      <c r="M1347" t="s">
        <v>5033</v>
      </c>
      <c r="N1347" t="s">
        <v>5034</v>
      </c>
    </row>
    <row r="1348" spans="1:14" x14ac:dyDescent="0.3">
      <c r="A1348" t="s">
        <v>1372</v>
      </c>
      <c r="B1348" t="s">
        <v>12</v>
      </c>
      <c r="C1348" t="s">
        <v>13</v>
      </c>
      <c r="D1348">
        <v>14</v>
      </c>
      <c r="E1348" t="s">
        <v>26</v>
      </c>
      <c r="F1348" t="s">
        <v>15</v>
      </c>
      <c r="G1348">
        <v>87.25</v>
      </c>
      <c r="H1348">
        <v>1258.5999999999999</v>
      </c>
      <c r="I1348" t="s">
        <v>16</v>
      </c>
      <c r="J1348" t="s">
        <v>16</v>
      </c>
      <c r="K1348" t="s">
        <v>17</v>
      </c>
      <c r="L1348">
        <v>1258.5999999999999</v>
      </c>
      <c r="M1348" t="s">
        <v>5032</v>
      </c>
      <c r="N1348" t="s">
        <v>5031</v>
      </c>
    </row>
    <row r="1349" spans="1:14" x14ac:dyDescent="0.3">
      <c r="A1349" t="s">
        <v>1373</v>
      </c>
      <c r="B1349" t="s">
        <v>19</v>
      </c>
      <c r="C1349" t="s">
        <v>35</v>
      </c>
      <c r="D1349">
        <v>19</v>
      </c>
      <c r="E1349" t="s">
        <v>15</v>
      </c>
      <c r="F1349" t="s">
        <v>36</v>
      </c>
      <c r="G1349">
        <v>19.95</v>
      </c>
      <c r="H1349">
        <v>373.5</v>
      </c>
      <c r="I1349" t="s">
        <v>15</v>
      </c>
      <c r="J1349" t="s">
        <v>16</v>
      </c>
      <c r="K1349" t="s">
        <v>21</v>
      </c>
      <c r="L1349">
        <v>373.5</v>
      </c>
      <c r="M1349" t="s">
        <v>5032</v>
      </c>
      <c r="N1349" t="s">
        <v>5031</v>
      </c>
    </row>
    <row r="1350" spans="1:14" x14ac:dyDescent="0.3">
      <c r="A1350" t="s">
        <v>1374</v>
      </c>
      <c r="B1350" t="s">
        <v>19</v>
      </c>
      <c r="C1350" t="s">
        <v>13</v>
      </c>
      <c r="D1350">
        <v>10</v>
      </c>
      <c r="E1350" t="s">
        <v>26</v>
      </c>
      <c r="F1350" t="s">
        <v>15</v>
      </c>
      <c r="G1350">
        <v>79.95</v>
      </c>
      <c r="H1350">
        <v>857.2</v>
      </c>
      <c r="I1350" t="s">
        <v>16</v>
      </c>
      <c r="J1350" t="s">
        <v>16</v>
      </c>
      <c r="K1350" t="s">
        <v>17</v>
      </c>
      <c r="L1350">
        <v>857.2</v>
      </c>
      <c r="M1350" t="s">
        <v>5030</v>
      </c>
      <c r="N1350" t="s">
        <v>5031</v>
      </c>
    </row>
    <row r="1351" spans="1:14" x14ac:dyDescent="0.3">
      <c r="A1351" t="s">
        <v>1375</v>
      </c>
      <c r="B1351" t="s">
        <v>12</v>
      </c>
      <c r="C1351" t="s">
        <v>13</v>
      </c>
      <c r="D1351">
        <v>51</v>
      </c>
      <c r="E1351" t="s">
        <v>14</v>
      </c>
      <c r="F1351" t="s">
        <v>15</v>
      </c>
      <c r="G1351">
        <v>49.65</v>
      </c>
      <c r="H1351">
        <v>2553.35</v>
      </c>
      <c r="I1351" t="s">
        <v>15</v>
      </c>
      <c r="J1351" t="s">
        <v>16</v>
      </c>
      <c r="K1351" t="s">
        <v>17</v>
      </c>
      <c r="L1351">
        <v>2553.35</v>
      </c>
      <c r="M1351" t="s">
        <v>5033</v>
      </c>
      <c r="N1351" t="s">
        <v>5034</v>
      </c>
    </row>
    <row r="1352" spans="1:14" x14ac:dyDescent="0.3">
      <c r="A1352" t="s">
        <v>1376</v>
      </c>
      <c r="B1352" t="s">
        <v>12</v>
      </c>
      <c r="C1352" t="s">
        <v>35</v>
      </c>
      <c r="D1352">
        <v>67</v>
      </c>
      <c r="E1352" t="s">
        <v>14</v>
      </c>
      <c r="F1352" t="s">
        <v>15</v>
      </c>
      <c r="G1352">
        <v>65.650000000000006</v>
      </c>
      <c r="H1352">
        <v>4322.8500000000004</v>
      </c>
      <c r="I1352" t="s">
        <v>15</v>
      </c>
      <c r="J1352" t="s">
        <v>15</v>
      </c>
      <c r="K1352" t="s">
        <v>21</v>
      </c>
      <c r="L1352">
        <v>4322.8500000000004</v>
      </c>
      <c r="M1352" t="s">
        <v>5033</v>
      </c>
      <c r="N1352" t="s">
        <v>5034</v>
      </c>
    </row>
    <row r="1353" spans="1:14" x14ac:dyDescent="0.3">
      <c r="A1353" t="s">
        <v>1377</v>
      </c>
      <c r="B1353" t="s">
        <v>19</v>
      </c>
      <c r="C1353" t="s">
        <v>13</v>
      </c>
      <c r="D1353">
        <v>11</v>
      </c>
      <c r="E1353" t="s">
        <v>15</v>
      </c>
      <c r="F1353" t="s">
        <v>36</v>
      </c>
      <c r="G1353">
        <v>20.45</v>
      </c>
      <c r="H1353">
        <v>250.8</v>
      </c>
      <c r="I1353" t="s">
        <v>15</v>
      </c>
      <c r="J1353" t="s">
        <v>16</v>
      </c>
      <c r="K1353" t="s">
        <v>17</v>
      </c>
      <c r="L1353">
        <v>250.8</v>
      </c>
      <c r="M1353" t="s">
        <v>5030</v>
      </c>
      <c r="N1353" t="s">
        <v>5031</v>
      </c>
    </row>
    <row r="1354" spans="1:14" x14ac:dyDescent="0.3">
      <c r="A1354" t="s">
        <v>1378</v>
      </c>
      <c r="B1354" t="s">
        <v>19</v>
      </c>
      <c r="C1354" t="s">
        <v>35</v>
      </c>
      <c r="D1354">
        <v>72</v>
      </c>
      <c r="E1354" t="s">
        <v>14</v>
      </c>
      <c r="F1354" t="s">
        <v>16</v>
      </c>
      <c r="G1354">
        <v>60.95</v>
      </c>
      <c r="H1354">
        <v>4549.05</v>
      </c>
      <c r="I1354" t="s">
        <v>15</v>
      </c>
      <c r="J1354" t="s">
        <v>15</v>
      </c>
      <c r="K1354" t="s">
        <v>24</v>
      </c>
      <c r="L1354">
        <v>4549.05</v>
      </c>
      <c r="M1354" t="s">
        <v>5033</v>
      </c>
      <c r="N1354" t="s">
        <v>5034</v>
      </c>
    </row>
    <row r="1355" spans="1:14" x14ac:dyDescent="0.3">
      <c r="A1355" t="s">
        <v>1379</v>
      </c>
      <c r="B1355" t="s">
        <v>19</v>
      </c>
      <c r="C1355" t="s">
        <v>20</v>
      </c>
      <c r="D1355">
        <v>66</v>
      </c>
      <c r="E1355" t="s">
        <v>15</v>
      </c>
      <c r="F1355" t="s">
        <v>36</v>
      </c>
      <c r="G1355">
        <v>20.350000000000001</v>
      </c>
      <c r="H1355">
        <v>1359.5</v>
      </c>
      <c r="I1355" t="s">
        <v>15</v>
      </c>
      <c r="J1355" t="s">
        <v>16</v>
      </c>
      <c r="K1355" t="s">
        <v>17</v>
      </c>
      <c r="L1355">
        <v>1359.5</v>
      </c>
      <c r="M1355" t="s">
        <v>5033</v>
      </c>
      <c r="N1355" t="s">
        <v>5031</v>
      </c>
    </row>
    <row r="1356" spans="1:14" x14ac:dyDescent="0.3">
      <c r="A1356" t="s">
        <v>1380</v>
      </c>
      <c r="B1356" t="s">
        <v>12</v>
      </c>
      <c r="C1356" t="s">
        <v>13</v>
      </c>
      <c r="D1356">
        <v>18</v>
      </c>
      <c r="E1356" t="s">
        <v>26</v>
      </c>
      <c r="F1356" t="s">
        <v>16</v>
      </c>
      <c r="G1356">
        <v>88.35</v>
      </c>
      <c r="H1356">
        <v>1639.3</v>
      </c>
      <c r="I1356" t="s">
        <v>16</v>
      </c>
      <c r="J1356" t="s">
        <v>16</v>
      </c>
      <c r="K1356" t="s">
        <v>17</v>
      </c>
      <c r="L1356">
        <v>1639.3</v>
      </c>
      <c r="M1356" t="s">
        <v>5032</v>
      </c>
      <c r="N1356" t="s">
        <v>5031</v>
      </c>
    </row>
    <row r="1357" spans="1:14" x14ac:dyDescent="0.3">
      <c r="A1357" t="s">
        <v>1381</v>
      </c>
      <c r="B1357" t="s">
        <v>12</v>
      </c>
      <c r="C1357" t="s">
        <v>13</v>
      </c>
      <c r="D1357">
        <v>9</v>
      </c>
      <c r="E1357" t="s">
        <v>15</v>
      </c>
      <c r="F1357" t="s">
        <v>36</v>
      </c>
      <c r="G1357">
        <v>19.5</v>
      </c>
      <c r="H1357">
        <v>178.85</v>
      </c>
      <c r="I1357" t="s">
        <v>15</v>
      </c>
      <c r="J1357" t="s">
        <v>16</v>
      </c>
      <c r="K1357" t="s">
        <v>17</v>
      </c>
      <c r="L1357">
        <v>178.85</v>
      </c>
      <c r="M1357" t="s">
        <v>5030</v>
      </c>
      <c r="N1357" t="s">
        <v>5031</v>
      </c>
    </row>
    <row r="1358" spans="1:14" x14ac:dyDescent="0.3">
      <c r="A1358" t="s">
        <v>1382</v>
      </c>
      <c r="B1358" t="s">
        <v>12</v>
      </c>
      <c r="C1358" t="s">
        <v>13</v>
      </c>
      <c r="D1358">
        <v>9</v>
      </c>
      <c r="E1358" t="s">
        <v>26</v>
      </c>
      <c r="F1358" t="s">
        <v>15</v>
      </c>
      <c r="G1358">
        <v>75.2</v>
      </c>
      <c r="H1358">
        <v>633.85</v>
      </c>
      <c r="I1358" t="s">
        <v>15</v>
      </c>
      <c r="J1358" t="s">
        <v>16</v>
      </c>
      <c r="K1358" t="s">
        <v>29</v>
      </c>
      <c r="L1358">
        <v>633.85</v>
      </c>
      <c r="M1358" t="s">
        <v>5030</v>
      </c>
      <c r="N1358" t="s">
        <v>5031</v>
      </c>
    </row>
    <row r="1359" spans="1:14" x14ac:dyDescent="0.3">
      <c r="A1359" t="s">
        <v>1383</v>
      </c>
      <c r="B1359" t="s">
        <v>19</v>
      </c>
      <c r="C1359" t="s">
        <v>13</v>
      </c>
      <c r="D1359">
        <v>48</v>
      </c>
      <c r="E1359" t="s">
        <v>26</v>
      </c>
      <c r="F1359" t="s">
        <v>15</v>
      </c>
      <c r="G1359">
        <v>111.45</v>
      </c>
      <c r="H1359">
        <v>5315.1</v>
      </c>
      <c r="I1359" t="s">
        <v>15</v>
      </c>
      <c r="J1359" t="s">
        <v>16</v>
      </c>
      <c r="K1359" t="s">
        <v>24</v>
      </c>
      <c r="L1359">
        <v>5315.1</v>
      </c>
      <c r="M1359" t="s">
        <v>5033</v>
      </c>
      <c r="N1359" t="s">
        <v>5034</v>
      </c>
    </row>
    <row r="1360" spans="1:14" x14ac:dyDescent="0.3">
      <c r="A1360" t="s">
        <v>1384</v>
      </c>
      <c r="B1360" t="s">
        <v>19</v>
      </c>
      <c r="C1360" t="s">
        <v>13</v>
      </c>
      <c r="D1360">
        <v>10</v>
      </c>
      <c r="E1360" t="s">
        <v>26</v>
      </c>
      <c r="F1360" t="s">
        <v>15</v>
      </c>
      <c r="G1360">
        <v>70.150000000000006</v>
      </c>
      <c r="H1360">
        <v>735.5</v>
      </c>
      <c r="I1360" t="s">
        <v>15</v>
      </c>
      <c r="J1360" t="s">
        <v>15</v>
      </c>
      <c r="K1360" t="s">
        <v>21</v>
      </c>
      <c r="L1360">
        <v>735.5</v>
      </c>
      <c r="M1360" t="s">
        <v>5030</v>
      </c>
      <c r="N1360" t="s">
        <v>5031</v>
      </c>
    </row>
    <row r="1361" spans="1:14" x14ac:dyDescent="0.3">
      <c r="A1361" t="s">
        <v>1385</v>
      </c>
      <c r="B1361" t="s">
        <v>12</v>
      </c>
      <c r="C1361" t="s">
        <v>13</v>
      </c>
      <c r="D1361">
        <v>9</v>
      </c>
      <c r="E1361" t="s">
        <v>26</v>
      </c>
      <c r="F1361" t="s">
        <v>15</v>
      </c>
      <c r="G1361">
        <v>94.75</v>
      </c>
      <c r="H1361">
        <v>889.9</v>
      </c>
      <c r="I1361" t="s">
        <v>16</v>
      </c>
      <c r="J1361" t="s">
        <v>16</v>
      </c>
      <c r="K1361" t="s">
        <v>17</v>
      </c>
      <c r="L1361">
        <v>889.9</v>
      </c>
      <c r="M1361" t="s">
        <v>5030</v>
      </c>
      <c r="N1361" t="s">
        <v>5031</v>
      </c>
    </row>
    <row r="1362" spans="1:14" x14ac:dyDescent="0.3">
      <c r="A1362" t="s">
        <v>1386</v>
      </c>
      <c r="B1362" t="s">
        <v>12</v>
      </c>
      <c r="C1362" t="s">
        <v>13</v>
      </c>
      <c r="D1362">
        <v>13</v>
      </c>
      <c r="E1362" t="s">
        <v>26</v>
      </c>
      <c r="F1362" t="s">
        <v>15</v>
      </c>
      <c r="G1362">
        <v>95.05</v>
      </c>
      <c r="H1362">
        <v>1290</v>
      </c>
      <c r="I1362" t="s">
        <v>16</v>
      </c>
      <c r="J1362" t="s">
        <v>16</v>
      </c>
      <c r="K1362" t="s">
        <v>17</v>
      </c>
      <c r="L1362">
        <v>1290</v>
      </c>
      <c r="M1362" t="s">
        <v>5032</v>
      </c>
      <c r="N1362" t="s">
        <v>5031</v>
      </c>
    </row>
    <row r="1363" spans="1:14" x14ac:dyDescent="0.3">
      <c r="A1363" t="s">
        <v>1387</v>
      </c>
      <c r="B1363" t="s">
        <v>19</v>
      </c>
      <c r="C1363" t="s">
        <v>13</v>
      </c>
      <c r="D1363">
        <v>4</v>
      </c>
      <c r="E1363" t="s">
        <v>26</v>
      </c>
      <c r="F1363" t="s">
        <v>15</v>
      </c>
      <c r="G1363">
        <v>78.45</v>
      </c>
      <c r="H1363">
        <v>330.05</v>
      </c>
      <c r="I1363" t="s">
        <v>16</v>
      </c>
      <c r="J1363" t="s">
        <v>15</v>
      </c>
      <c r="K1363" t="s">
        <v>17</v>
      </c>
      <c r="L1363">
        <v>330.05</v>
      </c>
      <c r="M1363" t="s">
        <v>5030</v>
      </c>
      <c r="N1363" t="s">
        <v>5031</v>
      </c>
    </row>
    <row r="1364" spans="1:14" x14ac:dyDescent="0.3">
      <c r="A1364" t="s">
        <v>1388</v>
      </c>
      <c r="B1364" t="s">
        <v>19</v>
      </c>
      <c r="C1364" t="s">
        <v>13</v>
      </c>
      <c r="D1364">
        <v>4</v>
      </c>
      <c r="E1364" t="s">
        <v>26</v>
      </c>
      <c r="F1364" t="s">
        <v>15</v>
      </c>
      <c r="G1364">
        <v>70.2</v>
      </c>
      <c r="H1364">
        <v>237.95</v>
      </c>
      <c r="I1364" t="s">
        <v>16</v>
      </c>
      <c r="J1364" t="s">
        <v>16</v>
      </c>
      <c r="K1364" t="s">
        <v>17</v>
      </c>
      <c r="L1364">
        <v>237.95</v>
      </c>
      <c r="M1364" t="s">
        <v>5030</v>
      </c>
      <c r="N1364" t="s">
        <v>5031</v>
      </c>
    </row>
    <row r="1365" spans="1:14" x14ac:dyDescent="0.3">
      <c r="A1365" t="s">
        <v>1389</v>
      </c>
      <c r="B1365" t="s">
        <v>12</v>
      </c>
      <c r="C1365" t="s">
        <v>35</v>
      </c>
      <c r="D1365">
        <v>72</v>
      </c>
      <c r="E1365" t="s">
        <v>14</v>
      </c>
      <c r="F1365" t="s">
        <v>16</v>
      </c>
      <c r="G1365">
        <v>92</v>
      </c>
      <c r="H1365">
        <v>6474.4</v>
      </c>
      <c r="I1365" t="s">
        <v>15</v>
      </c>
      <c r="J1365" t="s">
        <v>15</v>
      </c>
      <c r="K1365" t="s">
        <v>24</v>
      </c>
      <c r="L1365">
        <v>6474.4</v>
      </c>
      <c r="M1365" t="s">
        <v>5033</v>
      </c>
      <c r="N1365" t="s">
        <v>5034</v>
      </c>
    </row>
    <row r="1366" spans="1:14" x14ac:dyDescent="0.3">
      <c r="A1366" t="s">
        <v>1390</v>
      </c>
      <c r="B1366" t="s">
        <v>12</v>
      </c>
      <c r="C1366" t="s">
        <v>35</v>
      </c>
      <c r="D1366">
        <v>51</v>
      </c>
      <c r="E1366" t="s">
        <v>14</v>
      </c>
      <c r="F1366" t="s">
        <v>16</v>
      </c>
      <c r="G1366">
        <v>85.5</v>
      </c>
      <c r="H1366">
        <v>4421.95</v>
      </c>
      <c r="I1366" t="s">
        <v>15</v>
      </c>
      <c r="J1366" t="s">
        <v>15</v>
      </c>
      <c r="K1366" t="s">
        <v>29</v>
      </c>
      <c r="L1366">
        <v>4421.95</v>
      </c>
      <c r="M1366" t="s">
        <v>5033</v>
      </c>
      <c r="N1366" t="s">
        <v>5034</v>
      </c>
    </row>
    <row r="1367" spans="1:14" x14ac:dyDescent="0.3">
      <c r="A1367" t="s">
        <v>1391</v>
      </c>
      <c r="B1367" t="s">
        <v>19</v>
      </c>
      <c r="C1367" t="s">
        <v>13</v>
      </c>
      <c r="D1367">
        <v>59</v>
      </c>
      <c r="E1367" t="s">
        <v>14</v>
      </c>
      <c r="F1367" t="s">
        <v>15</v>
      </c>
      <c r="G1367">
        <v>41.05</v>
      </c>
      <c r="H1367">
        <v>2452.6999999999998</v>
      </c>
      <c r="I1367" t="s">
        <v>16</v>
      </c>
      <c r="J1367" t="s">
        <v>16</v>
      </c>
      <c r="K1367" t="s">
        <v>24</v>
      </c>
      <c r="L1367">
        <v>2452.6999999999998</v>
      </c>
      <c r="M1367" t="s">
        <v>5033</v>
      </c>
      <c r="N1367" t="s">
        <v>5031</v>
      </c>
    </row>
    <row r="1368" spans="1:14" x14ac:dyDescent="0.3">
      <c r="A1368" t="s">
        <v>1392</v>
      </c>
      <c r="B1368" t="s">
        <v>19</v>
      </c>
      <c r="C1368" t="s">
        <v>13</v>
      </c>
      <c r="D1368">
        <v>10</v>
      </c>
      <c r="E1368" t="s">
        <v>26</v>
      </c>
      <c r="F1368" t="s">
        <v>15</v>
      </c>
      <c r="G1368">
        <v>85.6</v>
      </c>
      <c r="H1368">
        <v>813.85</v>
      </c>
      <c r="I1368" t="s">
        <v>16</v>
      </c>
      <c r="J1368" t="s">
        <v>16</v>
      </c>
      <c r="K1368" t="s">
        <v>17</v>
      </c>
      <c r="L1368">
        <v>813.85</v>
      </c>
      <c r="M1368" t="s">
        <v>5030</v>
      </c>
      <c r="N1368" t="s">
        <v>5031</v>
      </c>
    </row>
    <row r="1369" spans="1:14" x14ac:dyDescent="0.3">
      <c r="A1369" t="s">
        <v>1393</v>
      </c>
      <c r="B1369" t="s">
        <v>19</v>
      </c>
      <c r="C1369" t="s">
        <v>13</v>
      </c>
      <c r="D1369">
        <v>61</v>
      </c>
      <c r="E1369" t="s">
        <v>26</v>
      </c>
      <c r="F1369" t="s">
        <v>15</v>
      </c>
      <c r="G1369">
        <v>82.15</v>
      </c>
      <c r="H1369">
        <v>4904.8500000000004</v>
      </c>
      <c r="I1369" t="s">
        <v>15</v>
      </c>
      <c r="J1369" t="s">
        <v>16</v>
      </c>
      <c r="K1369" t="s">
        <v>17</v>
      </c>
      <c r="L1369">
        <v>4904.8500000000004</v>
      </c>
      <c r="M1369" t="s">
        <v>5033</v>
      </c>
      <c r="N1369" t="s">
        <v>5034</v>
      </c>
    </row>
    <row r="1370" spans="1:14" x14ac:dyDescent="0.3">
      <c r="A1370" t="s">
        <v>1394</v>
      </c>
      <c r="B1370" t="s">
        <v>19</v>
      </c>
      <c r="C1370" t="s">
        <v>20</v>
      </c>
      <c r="D1370">
        <v>54</v>
      </c>
      <c r="E1370" t="s">
        <v>26</v>
      </c>
      <c r="F1370" t="s">
        <v>16</v>
      </c>
      <c r="G1370">
        <v>84.4</v>
      </c>
      <c r="H1370">
        <v>4484.05</v>
      </c>
      <c r="I1370" t="s">
        <v>15</v>
      </c>
      <c r="J1370" t="s">
        <v>15</v>
      </c>
      <c r="K1370" t="s">
        <v>17</v>
      </c>
      <c r="L1370">
        <v>4484.05</v>
      </c>
      <c r="M1370" t="s">
        <v>5033</v>
      </c>
      <c r="N1370" t="s">
        <v>5034</v>
      </c>
    </row>
    <row r="1371" spans="1:14" x14ac:dyDescent="0.3">
      <c r="A1371" t="s">
        <v>1395</v>
      </c>
      <c r="B1371" t="s">
        <v>12</v>
      </c>
      <c r="C1371" t="s">
        <v>13</v>
      </c>
      <c r="D1371">
        <v>33</v>
      </c>
      <c r="E1371" t="s">
        <v>14</v>
      </c>
      <c r="F1371" t="s">
        <v>15</v>
      </c>
      <c r="G1371">
        <v>60.9</v>
      </c>
      <c r="H1371">
        <v>2033.85</v>
      </c>
      <c r="I1371" t="s">
        <v>15</v>
      </c>
      <c r="J1371" t="s">
        <v>16</v>
      </c>
      <c r="K1371" t="s">
        <v>21</v>
      </c>
      <c r="L1371">
        <v>2033.85</v>
      </c>
      <c r="M1371" t="s">
        <v>5032</v>
      </c>
      <c r="N1371" t="s">
        <v>5031</v>
      </c>
    </row>
    <row r="1372" spans="1:14" x14ac:dyDescent="0.3">
      <c r="A1372" t="s">
        <v>1396</v>
      </c>
      <c r="B1372" t="s">
        <v>12</v>
      </c>
      <c r="C1372" t="s">
        <v>35</v>
      </c>
      <c r="D1372">
        <v>27</v>
      </c>
      <c r="E1372" t="s">
        <v>15</v>
      </c>
      <c r="F1372" t="s">
        <v>36</v>
      </c>
      <c r="G1372">
        <v>20.25</v>
      </c>
      <c r="H1372">
        <v>538.20000000000005</v>
      </c>
      <c r="I1372" t="s">
        <v>15</v>
      </c>
      <c r="J1372" t="s">
        <v>16</v>
      </c>
      <c r="K1372" t="s">
        <v>24</v>
      </c>
      <c r="L1372">
        <v>538.20000000000005</v>
      </c>
      <c r="M1372" t="s">
        <v>5032</v>
      </c>
      <c r="N1372" t="s">
        <v>5031</v>
      </c>
    </row>
    <row r="1373" spans="1:14" x14ac:dyDescent="0.3">
      <c r="A1373" t="s">
        <v>1397</v>
      </c>
      <c r="B1373" t="s">
        <v>12</v>
      </c>
      <c r="C1373" t="s">
        <v>13</v>
      </c>
      <c r="D1373">
        <v>1</v>
      </c>
      <c r="E1373" t="s">
        <v>26</v>
      </c>
      <c r="F1373" t="s">
        <v>15</v>
      </c>
      <c r="G1373">
        <v>79.2</v>
      </c>
      <c r="H1373">
        <v>79.2</v>
      </c>
      <c r="I1373" t="s">
        <v>16</v>
      </c>
      <c r="J1373" t="s">
        <v>16</v>
      </c>
      <c r="K1373" t="s">
        <v>17</v>
      </c>
      <c r="L1373">
        <v>79.2</v>
      </c>
      <c r="M1373" t="s">
        <v>5030</v>
      </c>
      <c r="N1373" t="s">
        <v>5031</v>
      </c>
    </row>
    <row r="1374" spans="1:14" x14ac:dyDescent="0.3">
      <c r="A1374" t="s">
        <v>1398</v>
      </c>
      <c r="B1374" t="s">
        <v>19</v>
      </c>
      <c r="C1374" t="s">
        <v>13</v>
      </c>
      <c r="D1374">
        <v>23</v>
      </c>
      <c r="E1374" t="s">
        <v>26</v>
      </c>
      <c r="F1374" t="s">
        <v>15</v>
      </c>
      <c r="G1374">
        <v>95.3</v>
      </c>
      <c r="H1374">
        <v>2192.9</v>
      </c>
      <c r="I1374" t="s">
        <v>15</v>
      </c>
      <c r="J1374" t="s">
        <v>15</v>
      </c>
      <c r="K1374" t="s">
        <v>21</v>
      </c>
      <c r="L1374">
        <v>2192.9</v>
      </c>
      <c r="M1374" t="s">
        <v>5032</v>
      </c>
      <c r="N1374" t="s">
        <v>5031</v>
      </c>
    </row>
    <row r="1375" spans="1:14" x14ac:dyDescent="0.3">
      <c r="A1375" t="s">
        <v>1399</v>
      </c>
      <c r="B1375" t="s">
        <v>19</v>
      </c>
      <c r="C1375" t="s">
        <v>13</v>
      </c>
      <c r="D1375">
        <v>1</v>
      </c>
      <c r="E1375" t="s">
        <v>15</v>
      </c>
      <c r="F1375" t="s">
        <v>36</v>
      </c>
      <c r="G1375">
        <v>19.850000000000001</v>
      </c>
      <c r="H1375">
        <v>19.850000000000001</v>
      </c>
      <c r="I1375" t="s">
        <v>15</v>
      </c>
      <c r="J1375" t="s">
        <v>15</v>
      </c>
      <c r="K1375" t="s">
        <v>21</v>
      </c>
      <c r="L1375">
        <v>19.850000000000001</v>
      </c>
      <c r="M1375" t="s">
        <v>5030</v>
      </c>
      <c r="N1375" t="s">
        <v>5031</v>
      </c>
    </row>
    <row r="1376" spans="1:14" x14ac:dyDescent="0.3">
      <c r="A1376" t="s">
        <v>1400</v>
      </c>
      <c r="B1376" t="s">
        <v>19</v>
      </c>
      <c r="C1376" t="s">
        <v>35</v>
      </c>
      <c r="D1376">
        <v>45</v>
      </c>
      <c r="E1376" t="s">
        <v>14</v>
      </c>
      <c r="F1376" t="s">
        <v>16</v>
      </c>
      <c r="G1376">
        <v>84.35</v>
      </c>
      <c r="H1376">
        <v>3858.05</v>
      </c>
      <c r="I1376" t="s">
        <v>15</v>
      </c>
      <c r="J1376" t="s">
        <v>16</v>
      </c>
      <c r="K1376" t="s">
        <v>21</v>
      </c>
      <c r="L1376">
        <v>3858.05</v>
      </c>
      <c r="M1376" t="s">
        <v>5033</v>
      </c>
      <c r="N1376" t="s">
        <v>5034</v>
      </c>
    </row>
    <row r="1377" spans="1:14" x14ac:dyDescent="0.3">
      <c r="A1377" t="s">
        <v>1401</v>
      </c>
      <c r="B1377" t="s">
        <v>12</v>
      </c>
      <c r="C1377" t="s">
        <v>35</v>
      </c>
      <c r="D1377">
        <v>39</v>
      </c>
      <c r="E1377" t="s">
        <v>15</v>
      </c>
      <c r="F1377" t="s">
        <v>36</v>
      </c>
      <c r="G1377">
        <v>19.850000000000001</v>
      </c>
      <c r="H1377">
        <v>854.8</v>
      </c>
      <c r="I1377" t="s">
        <v>15</v>
      </c>
      <c r="J1377" t="s">
        <v>16</v>
      </c>
      <c r="K1377" t="s">
        <v>24</v>
      </c>
      <c r="L1377">
        <v>854.8</v>
      </c>
      <c r="M1377" t="s">
        <v>5033</v>
      </c>
      <c r="N1377" t="s">
        <v>5031</v>
      </c>
    </row>
    <row r="1378" spans="1:14" x14ac:dyDescent="0.3">
      <c r="A1378" t="s">
        <v>1402</v>
      </c>
      <c r="B1378" t="s">
        <v>19</v>
      </c>
      <c r="C1378" t="s">
        <v>20</v>
      </c>
      <c r="D1378">
        <v>5</v>
      </c>
      <c r="E1378" t="s">
        <v>14</v>
      </c>
      <c r="F1378" t="s">
        <v>15</v>
      </c>
      <c r="G1378">
        <v>70</v>
      </c>
      <c r="H1378">
        <v>347.4</v>
      </c>
      <c r="I1378" t="s">
        <v>16</v>
      </c>
      <c r="J1378" t="s">
        <v>16</v>
      </c>
      <c r="K1378" t="s">
        <v>21</v>
      </c>
      <c r="L1378">
        <v>347.4</v>
      </c>
      <c r="M1378" t="s">
        <v>5030</v>
      </c>
      <c r="N1378" t="s">
        <v>5031</v>
      </c>
    </row>
    <row r="1379" spans="1:14" x14ac:dyDescent="0.3">
      <c r="A1379" t="s">
        <v>1403</v>
      </c>
      <c r="B1379" t="s">
        <v>19</v>
      </c>
      <c r="C1379" t="s">
        <v>35</v>
      </c>
      <c r="D1379">
        <v>72</v>
      </c>
      <c r="E1379" t="s">
        <v>14</v>
      </c>
      <c r="F1379" t="s">
        <v>16</v>
      </c>
      <c r="G1379">
        <v>82.3</v>
      </c>
      <c r="H1379">
        <v>5815.15</v>
      </c>
      <c r="I1379" t="s">
        <v>15</v>
      </c>
      <c r="J1379" t="s">
        <v>15</v>
      </c>
      <c r="K1379" t="s">
        <v>24</v>
      </c>
      <c r="L1379">
        <v>5815.15</v>
      </c>
      <c r="M1379" t="s">
        <v>5033</v>
      </c>
      <c r="N1379" t="s">
        <v>5034</v>
      </c>
    </row>
    <row r="1380" spans="1:14" x14ac:dyDescent="0.3">
      <c r="A1380" t="s">
        <v>1404</v>
      </c>
      <c r="B1380" t="s">
        <v>12</v>
      </c>
      <c r="C1380" t="s">
        <v>13</v>
      </c>
      <c r="D1380">
        <v>58</v>
      </c>
      <c r="E1380" t="s">
        <v>14</v>
      </c>
      <c r="F1380" t="s">
        <v>15</v>
      </c>
      <c r="G1380">
        <v>66.8</v>
      </c>
      <c r="H1380">
        <v>3970.4</v>
      </c>
      <c r="I1380" t="s">
        <v>15</v>
      </c>
      <c r="J1380" t="s">
        <v>16</v>
      </c>
      <c r="K1380" t="s">
        <v>24</v>
      </c>
      <c r="L1380">
        <v>3970.4</v>
      </c>
      <c r="M1380" t="s">
        <v>5033</v>
      </c>
      <c r="N1380" t="s">
        <v>5034</v>
      </c>
    </row>
    <row r="1381" spans="1:14" x14ac:dyDescent="0.3">
      <c r="A1381" t="s">
        <v>1405</v>
      </c>
      <c r="B1381" t="s">
        <v>12</v>
      </c>
      <c r="C1381" t="s">
        <v>35</v>
      </c>
      <c r="D1381">
        <v>70</v>
      </c>
      <c r="E1381" t="s">
        <v>14</v>
      </c>
      <c r="F1381" t="s">
        <v>16</v>
      </c>
      <c r="G1381">
        <v>44.6</v>
      </c>
      <c r="H1381">
        <v>3058.15</v>
      </c>
      <c r="I1381" t="s">
        <v>15</v>
      </c>
      <c r="J1381" t="s">
        <v>16</v>
      </c>
      <c r="K1381" t="s">
        <v>24</v>
      </c>
      <c r="L1381">
        <v>3058.15</v>
      </c>
      <c r="M1381" t="s">
        <v>5033</v>
      </c>
      <c r="N1381" t="s">
        <v>5034</v>
      </c>
    </row>
    <row r="1382" spans="1:14" x14ac:dyDescent="0.3">
      <c r="A1382" t="s">
        <v>1406</v>
      </c>
      <c r="B1382" t="s">
        <v>19</v>
      </c>
      <c r="C1382" t="s">
        <v>20</v>
      </c>
      <c r="D1382">
        <v>61</v>
      </c>
      <c r="E1382" t="s">
        <v>26</v>
      </c>
      <c r="F1382" t="s">
        <v>16</v>
      </c>
      <c r="G1382">
        <v>98.45</v>
      </c>
      <c r="H1382">
        <v>6145.2</v>
      </c>
      <c r="I1382" t="s">
        <v>15</v>
      </c>
      <c r="J1382" t="s">
        <v>16</v>
      </c>
      <c r="K1382" t="s">
        <v>24</v>
      </c>
      <c r="L1382">
        <v>6145.2</v>
      </c>
      <c r="M1382" t="s">
        <v>5033</v>
      </c>
      <c r="N1382" t="s">
        <v>5034</v>
      </c>
    </row>
    <row r="1383" spans="1:14" x14ac:dyDescent="0.3">
      <c r="A1383" t="s">
        <v>1407</v>
      </c>
      <c r="B1383" t="s">
        <v>19</v>
      </c>
      <c r="C1383" t="s">
        <v>13</v>
      </c>
      <c r="D1383">
        <v>2</v>
      </c>
      <c r="E1383" t="s">
        <v>26</v>
      </c>
      <c r="F1383" t="s">
        <v>15</v>
      </c>
      <c r="G1383">
        <v>70.7</v>
      </c>
      <c r="H1383">
        <v>129.19999999999999</v>
      </c>
      <c r="I1383" t="s">
        <v>15</v>
      </c>
      <c r="J1383" t="s">
        <v>15</v>
      </c>
      <c r="K1383" t="s">
        <v>21</v>
      </c>
      <c r="L1383">
        <v>129.19999999999999</v>
      </c>
      <c r="M1383" t="s">
        <v>5030</v>
      </c>
      <c r="N1383" t="s">
        <v>5031</v>
      </c>
    </row>
    <row r="1384" spans="1:14" x14ac:dyDescent="0.3">
      <c r="A1384" t="s">
        <v>1408</v>
      </c>
      <c r="B1384" t="s">
        <v>12</v>
      </c>
      <c r="C1384" t="s">
        <v>20</v>
      </c>
      <c r="D1384">
        <v>46</v>
      </c>
      <c r="E1384" t="s">
        <v>15</v>
      </c>
      <c r="F1384" t="s">
        <v>36</v>
      </c>
      <c r="G1384">
        <v>24.95</v>
      </c>
      <c r="H1384">
        <v>1165.9000000000001</v>
      </c>
      <c r="I1384" t="s">
        <v>15</v>
      </c>
      <c r="J1384" t="s">
        <v>15</v>
      </c>
      <c r="K1384" t="s">
        <v>21</v>
      </c>
      <c r="L1384">
        <v>1165.9000000000001</v>
      </c>
      <c r="M1384" t="s">
        <v>5033</v>
      </c>
      <c r="N1384" t="s">
        <v>5031</v>
      </c>
    </row>
    <row r="1385" spans="1:14" x14ac:dyDescent="0.3">
      <c r="A1385" t="s">
        <v>1409</v>
      </c>
      <c r="B1385" t="s">
        <v>12</v>
      </c>
      <c r="C1385" t="s">
        <v>13</v>
      </c>
      <c r="D1385">
        <v>1</v>
      </c>
      <c r="E1385" t="s">
        <v>14</v>
      </c>
      <c r="F1385" t="s">
        <v>15</v>
      </c>
      <c r="G1385">
        <v>49.95</v>
      </c>
      <c r="H1385">
        <v>49.95</v>
      </c>
      <c r="I1385" t="s">
        <v>16</v>
      </c>
      <c r="J1385" t="s">
        <v>16</v>
      </c>
      <c r="K1385" t="s">
        <v>24</v>
      </c>
      <c r="L1385">
        <v>49.95</v>
      </c>
      <c r="M1385" t="s">
        <v>5030</v>
      </c>
      <c r="N1385" t="s">
        <v>5031</v>
      </c>
    </row>
    <row r="1386" spans="1:14" x14ac:dyDescent="0.3">
      <c r="A1386" t="s">
        <v>1410</v>
      </c>
      <c r="B1386" t="s">
        <v>12</v>
      </c>
      <c r="C1386" t="s">
        <v>13</v>
      </c>
      <c r="D1386">
        <v>22</v>
      </c>
      <c r="E1386" t="s">
        <v>26</v>
      </c>
      <c r="F1386" t="s">
        <v>15</v>
      </c>
      <c r="G1386">
        <v>69.25</v>
      </c>
      <c r="H1386">
        <v>1554</v>
      </c>
      <c r="I1386" t="s">
        <v>16</v>
      </c>
      <c r="J1386" t="s">
        <v>16</v>
      </c>
      <c r="K1386" t="s">
        <v>17</v>
      </c>
      <c r="L1386">
        <v>1554</v>
      </c>
      <c r="M1386" t="s">
        <v>5032</v>
      </c>
      <c r="N1386" t="s">
        <v>5031</v>
      </c>
    </row>
    <row r="1387" spans="1:14" x14ac:dyDescent="0.3">
      <c r="A1387" t="s">
        <v>1411</v>
      </c>
      <c r="B1387" t="s">
        <v>12</v>
      </c>
      <c r="C1387" t="s">
        <v>35</v>
      </c>
      <c r="D1387">
        <v>48</v>
      </c>
      <c r="E1387" t="s">
        <v>26</v>
      </c>
      <c r="F1387" t="s">
        <v>16</v>
      </c>
      <c r="G1387">
        <v>102.5</v>
      </c>
      <c r="H1387">
        <v>4904.25</v>
      </c>
      <c r="I1387" t="s">
        <v>15</v>
      </c>
      <c r="J1387" t="s">
        <v>16</v>
      </c>
      <c r="K1387" t="s">
        <v>29</v>
      </c>
      <c r="L1387">
        <v>4904.25</v>
      </c>
      <c r="M1387" t="s">
        <v>5033</v>
      </c>
      <c r="N1387" t="s">
        <v>5034</v>
      </c>
    </row>
    <row r="1388" spans="1:14" x14ac:dyDescent="0.3">
      <c r="A1388" t="s">
        <v>1412</v>
      </c>
      <c r="B1388" t="s">
        <v>19</v>
      </c>
      <c r="C1388" t="s">
        <v>35</v>
      </c>
      <c r="D1388">
        <v>64</v>
      </c>
      <c r="E1388" t="s">
        <v>14</v>
      </c>
      <c r="F1388" t="s">
        <v>16</v>
      </c>
      <c r="G1388">
        <v>86.55</v>
      </c>
      <c r="H1388">
        <v>5632.55</v>
      </c>
      <c r="I1388" t="s">
        <v>15</v>
      </c>
      <c r="J1388" t="s">
        <v>15</v>
      </c>
      <c r="K1388" t="s">
        <v>29</v>
      </c>
      <c r="L1388">
        <v>5632.55</v>
      </c>
      <c r="M1388" t="s">
        <v>5033</v>
      </c>
      <c r="N1388" t="s">
        <v>5034</v>
      </c>
    </row>
    <row r="1389" spans="1:14" x14ac:dyDescent="0.3">
      <c r="A1389" t="s">
        <v>1413</v>
      </c>
      <c r="B1389" t="s">
        <v>19</v>
      </c>
      <c r="C1389" t="s">
        <v>35</v>
      </c>
      <c r="D1389">
        <v>72</v>
      </c>
      <c r="E1389" t="s">
        <v>15</v>
      </c>
      <c r="F1389" t="s">
        <v>36</v>
      </c>
      <c r="G1389">
        <v>24.3</v>
      </c>
      <c r="H1389">
        <v>1643.25</v>
      </c>
      <c r="I1389" t="s">
        <v>15</v>
      </c>
      <c r="J1389" t="s">
        <v>15</v>
      </c>
      <c r="K1389" t="s">
        <v>24</v>
      </c>
      <c r="L1389">
        <v>1643.25</v>
      </c>
      <c r="M1389" t="s">
        <v>5033</v>
      </c>
      <c r="N1389" t="s">
        <v>5031</v>
      </c>
    </row>
    <row r="1390" spans="1:14" x14ac:dyDescent="0.3">
      <c r="A1390" t="s">
        <v>1414</v>
      </c>
      <c r="B1390" t="s">
        <v>12</v>
      </c>
      <c r="C1390" t="s">
        <v>13</v>
      </c>
      <c r="D1390">
        <v>12</v>
      </c>
      <c r="E1390" t="s">
        <v>14</v>
      </c>
      <c r="F1390" t="s">
        <v>15</v>
      </c>
      <c r="G1390">
        <v>58.35</v>
      </c>
      <c r="H1390">
        <v>740.55</v>
      </c>
      <c r="I1390" t="s">
        <v>15</v>
      </c>
      <c r="J1390" t="s">
        <v>16</v>
      </c>
      <c r="K1390" t="s">
        <v>29</v>
      </c>
      <c r="L1390">
        <v>740.55</v>
      </c>
      <c r="M1390" t="s">
        <v>5030</v>
      </c>
      <c r="N1390" t="s">
        <v>5031</v>
      </c>
    </row>
    <row r="1391" spans="1:14" x14ac:dyDescent="0.3">
      <c r="A1391" t="s">
        <v>1415</v>
      </c>
      <c r="B1391" t="s">
        <v>12</v>
      </c>
      <c r="C1391" t="s">
        <v>13</v>
      </c>
      <c r="D1391">
        <v>34</v>
      </c>
      <c r="E1391" t="s">
        <v>26</v>
      </c>
      <c r="F1391" t="s">
        <v>15</v>
      </c>
      <c r="G1391">
        <v>94.25</v>
      </c>
      <c r="H1391">
        <v>3217.55</v>
      </c>
      <c r="I1391" t="s">
        <v>16</v>
      </c>
      <c r="J1391" t="s">
        <v>16</v>
      </c>
      <c r="K1391" t="s">
        <v>17</v>
      </c>
      <c r="L1391">
        <v>3217.55</v>
      </c>
      <c r="M1391" t="s">
        <v>5032</v>
      </c>
      <c r="N1391" t="s">
        <v>5034</v>
      </c>
    </row>
    <row r="1392" spans="1:14" x14ac:dyDescent="0.3">
      <c r="A1392" t="s">
        <v>1416</v>
      </c>
      <c r="B1392" t="s">
        <v>12</v>
      </c>
      <c r="C1392" t="s">
        <v>35</v>
      </c>
      <c r="D1392">
        <v>72</v>
      </c>
      <c r="E1392" t="s">
        <v>14</v>
      </c>
      <c r="F1392" t="s">
        <v>15</v>
      </c>
      <c r="G1392">
        <v>68.75</v>
      </c>
      <c r="H1392">
        <v>4888.2</v>
      </c>
      <c r="I1392" t="s">
        <v>15</v>
      </c>
      <c r="J1392" t="s">
        <v>15</v>
      </c>
      <c r="K1392" t="s">
        <v>29</v>
      </c>
      <c r="L1392">
        <v>4888.2</v>
      </c>
      <c r="M1392" t="s">
        <v>5033</v>
      </c>
      <c r="N1392" t="s">
        <v>5034</v>
      </c>
    </row>
    <row r="1393" spans="1:14" x14ac:dyDescent="0.3">
      <c r="A1393" t="s">
        <v>1417</v>
      </c>
      <c r="B1393" t="s">
        <v>19</v>
      </c>
      <c r="C1393" t="s">
        <v>13</v>
      </c>
      <c r="D1393">
        <v>29</v>
      </c>
      <c r="E1393" t="s">
        <v>26</v>
      </c>
      <c r="F1393" t="s">
        <v>15</v>
      </c>
      <c r="G1393">
        <v>85.8</v>
      </c>
      <c r="H1393">
        <v>2440.25</v>
      </c>
      <c r="I1393" t="s">
        <v>15</v>
      </c>
      <c r="J1393" t="s">
        <v>16</v>
      </c>
      <c r="K1393" t="s">
        <v>17</v>
      </c>
      <c r="L1393">
        <v>2440.25</v>
      </c>
      <c r="M1393" t="s">
        <v>5032</v>
      </c>
      <c r="N1393" t="s">
        <v>5031</v>
      </c>
    </row>
    <row r="1394" spans="1:14" x14ac:dyDescent="0.3">
      <c r="A1394" t="s">
        <v>1418</v>
      </c>
      <c r="B1394" t="s">
        <v>19</v>
      </c>
      <c r="C1394" t="s">
        <v>20</v>
      </c>
      <c r="D1394">
        <v>33</v>
      </c>
      <c r="E1394" t="s">
        <v>15</v>
      </c>
      <c r="F1394" t="s">
        <v>36</v>
      </c>
      <c r="G1394">
        <v>20.100000000000001</v>
      </c>
      <c r="H1394">
        <v>620.54999999999995</v>
      </c>
      <c r="I1394" t="s">
        <v>15</v>
      </c>
      <c r="J1394" t="s">
        <v>15</v>
      </c>
      <c r="K1394" t="s">
        <v>29</v>
      </c>
      <c r="L1394">
        <v>620.54999999999995</v>
      </c>
      <c r="M1394" t="s">
        <v>5032</v>
      </c>
      <c r="N1394" t="s">
        <v>5031</v>
      </c>
    </row>
    <row r="1395" spans="1:14" x14ac:dyDescent="0.3">
      <c r="A1395" t="s">
        <v>1419</v>
      </c>
      <c r="B1395" t="s">
        <v>12</v>
      </c>
      <c r="C1395" t="s">
        <v>13</v>
      </c>
      <c r="D1395">
        <v>1</v>
      </c>
      <c r="E1395" t="s">
        <v>15</v>
      </c>
      <c r="F1395" t="s">
        <v>36</v>
      </c>
      <c r="G1395">
        <v>20.350000000000001</v>
      </c>
      <c r="H1395">
        <v>20.350000000000001</v>
      </c>
      <c r="I1395" t="s">
        <v>15</v>
      </c>
      <c r="J1395" t="s">
        <v>15</v>
      </c>
      <c r="K1395" t="s">
        <v>21</v>
      </c>
      <c r="L1395">
        <v>20.350000000000001</v>
      </c>
      <c r="M1395" t="s">
        <v>5030</v>
      </c>
      <c r="N1395" t="s">
        <v>5031</v>
      </c>
    </row>
    <row r="1396" spans="1:14" x14ac:dyDescent="0.3">
      <c r="A1396" t="s">
        <v>1420</v>
      </c>
      <c r="B1396" t="s">
        <v>12</v>
      </c>
      <c r="C1396" t="s">
        <v>20</v>
      </c>
      <c r="D1396">
        <v>62</v>
      </c>
      <c r="E1396" t="s">
        <v>26</v>
      </c>
      <c r="F1396" t="s">
        <v>16</v>
      </c>
      <c r="G1396">
        <v>110.8</v>
      </c>
      <c r="H1396">
        <v>6840.95</v>
      </c>
      <c r="I1396" t="s">
        <v>15</v>
      </c>
      <c r="J1396" t="s">
        <v>16</v>
      </c>
      <c r="K1396" t="s">
        <v>17</v>
      </c>
      <c r="L1396">
        <v>6840.95</v>
      </c>
      <c r="M1396" t="s">
        <v>5033</v>
      </c>
      <c r="N1396" t="s">
        <v>5034</v>
      </c>
    </row>
    <row r="1397" spans="1:14" x14ac:dyDescent="0.3">
      <c r="A1397" t="s">
        <v>1421</v>
      </c>
      <c r="B1397" t="s">
        <v>19</v>
      </c>
      <c r="C1397" t="s">
        <v>20</v>
      </c>
      <c r="D1397">
        <v>41</v>
      </c>
      <c r="E1397" t="s">
        <v>14</v>
      </c>
      <c r="F1397" t="s">
        <v>15</v>
      </c>
      <c r="G1397">
        <v>73</v>
      </c>
      <c r="H1397">
        <v>3001.2</v>
      </c>
      <c r="I1397" t="s">
        <v>16</v>
      </c>
      <c r="J1397" t="s">
        <v>16</v>
      </c>
      <c r="K1397" t="s">
        <v>17</v>
      </c>
      <c r="L1397">
        <v>3001.2</v>
      </c>
      <c r="M1397" t="s">
        <v>5033</v>
      </c>
      <c r="N1397" t="s">
        <v>5034</v>
      </c>
    </row>
    <row r="1398" spans="1:14" x14ac:dyDescent="0.3">
      <c r="A1398" t="s">
        <v>1422</v>
      </c>
      <c r="B1398" t="s">
        <v>12</v>
      </c>
      <c r="C1398" t="s">
        <v>20</v>
      </c>
      <c r="D1398">
        <v>64</v>
      </c>
      <c r="E1398" t="s">
        <v>26</v>
      </c>
      <c r="F1398" t="s">
        <v>15</v>
      </c>
      <c r="G1398">
        <v>100.05</v>
      </c>
      <c r="H1398">
        <v>6254.2</v>
      </c>
      <c r="I1398" t="s">
        <v>16</v>
      </c>
      <c r="J1398" t="s">
        <v>16</v>
      </c>
      <c r="K1398" t="s">
        <v>29</v>
      </c>
      <c r="L1398">
        <v>6254.2</v>
      </c>
      <c r="M1398" t="s">
        <v>5033</v>
      </c>
      <c r="N1398" t="s">
        <v>5034</v>
      </c>
    </row>
    <row r="1399" spans="1:14" x14ac:dyDescent="0.3">
      <c r="A1399" t="s">
        <v>1423</v>
      </c>
      <c r="B1399" t="s">
        <v>12</v>
      </c>
      <c r="C1399" t="s">
        <v>13</v>
      </c>
      <c r="D1399">
        <v>4</v>
      </c>
      <c r="E1399" t="s">
        <v>26</v>
      </c>
      <c r="F1399" t="s">
        <v>15</v>
      </c>
      <c r="G1399">
        <v>82.85</v>
      </c>
      <c r="H1399">
        <v>319.60000000000002</v>
      </c>
      <c r="I1399" t="s">
        <v>15</v>
      </c>
      <c r="J1399" t="s">
        <v>16</v>
      </c>
      <c r="K1399" t="s">
        <v>29</v>
      </c>
      <c r="L1399">
        <v>319.60000000000002</v>
      </c>
      <c r="M1399" t="s">
        <v>5030</v>
      </c>
      <c r="N1399" t="s">
        <v>5031</v>
      </c>
    </row>
    <row r="1400" spans="1:14" x14ac:dyDescent="0.3">
      <c r="A1400" t="s">
        <v>1424</v>
      </c>
      <c r="B1400" t="s">
        <v>12</v>
      </c>
      <c r="C1400" t="s">
        <v>13</v>
      </c>
      <c r="D1400">
        <v>24</v>
      </c>
      <c r="E1400" t="s">
        <v>26</v>
      </c>
      <c r="F1400" t="s">
        <v>16</v>
      </c>
      <c r="G1400">
        <v>84.35</v>
      </c>
      <c r="H1400">
        <v>1938.05</v>
      </c>
      <c r="I1400" t="s">
        <v>15</v>
      </c>
      <c r="J1400" t="s">
        <v>16</v>
      </c>
      <c r="K1400" t="s">
        <v>17</v>
      </c>
      <c r="L1400">
        <v>1938.05</v>
      </c>
      <c r="M1400" t="s">
        <v>5032</v>
      </c>
      <c r="N1400" t="s">
        <v>5031</v>
      </c>
    </row>
    <row r="1401" spans="1:14" x14ac:dyDescent="0.3">
      <c r="A1401" t="s">
        <v>1425</v>
      </c>
      <c r="B1401" t="s">
        <v>12</v>
      </c>
      <c r="C1401" t="s">
        <v>20</v>
      </c>
      <c r="D1401">
        <v>14</v>
      </c>
      <c r="E1401" t="s">
        <v>15</v>
      </c>
      <c r="F1401" t="s">
        <v>36</v>
      </c>
      <c r="G1401">
        <v>19.55</v>
      </c>
      <c r="H1401">
        <v>294.5</v>
      </c>
      <c r="I1401" t="s">
        <v>15</v>
      </c>
      <c r="J1401" t="s">
        <v>15</v>
      </c>
      <c r="K1401" t="s">
        <v>21</v>
      </c>
      <c r="L1401">
        <v>294.5</v>
      </c>
      <c r="M1401" t="s">
        <v>5032</v>
      </c>
      <c r="N1401" t="s">
        <v>5031</v>
      </c>
    </row>
    <row r="1402" spans="1:14" x14ac:dyDescent="0.3">
      <c r="A1402" t="s">
        <v>1426</v>
      </c>
      <c r="B1402" t="s">
        <v>19</v>
      </c>
      <c r="C1402" t="s">
        <v>13</v>
      </c>
      <c r="D1402">
        <v>3</v>
      </c>
      <c r="E1402" t="s">
        <v>15</v>
      </c>
      <c r="F1402" t="s">
        <v>36</v>
      </c>
      <c r="G1402">
        <v>19.95</v>
      </c>
      <c r="H1402">
        <v>58.3</v>
      </c>
      <c r="I1402" t="s">
        <v>15</v>
      </c>
      <c r="J1402" t="s">
        <v>15</v>
      </c>
      <c r="K1402" t="s">
        <v>21</v>
      </c>
      <c r="L1402">
        <v>58.3</v>
      </c>
      <c r="M1402" t="s">
        <v>5030</v>
      </c>
      <c r="N1402" t="s">
        <v>5031</v>
      </c>
    </row>
    <row r="1403" spans="1:14" x14ac:dyDescent="0.3">
      <c r="A1403" t="s">
        <v>1427</v>
      </c>
      <c r="B1403" t="s">
        <v>12</v>
      </c>
      <c r="C1403" t="s">
        <v>13</v>
      </c>
      <c r="D1403">
        <v>4</v>
      </c>
      <c r="E1403" t="s">
        <v>26</v>
      </c>
      <c r="F1403" t="s">
        <v>15</v>
      </c>
      <c r="G1403">
        <v>99.8</v>
      </c>
      <c r="H1403">
        <v>442.85</v>
      </c>
      <c r="I1403" t="s">
        <v>16</v>
      </c>
      <c r="J1403" t="s">
        <v>16</v>
      </c>
      <c r="K1403" t="s">
        <v>29</v>
      </c>
      <c r="L1403">
        <v>442.85</v>
      </c>
      <c r="M1403" t="s">
        <v>5030</v>
      </c>
      <c r="N1403" t="s">
        <v>5031</v>
      </c>
    </row>
    <row r="1404" spans="1:14" x14ac:dyDescent="0.3">
      <c r="A1404" t="s">
        <v>1428</v>
      </c>
      <c r="B1404" t="s">
        <v>12</v>
      </c>
      <c r="C1404" t="s">
        <v>13</v>
      </c>
      <c r="D1404">
        <v>18</v>
      </c>
      <c r="E1404" t="s">
        <v>14</v>
      </c>
      <c r="F1404" t="s">
        <v>15</v>
      </c>
      <c r="G1404">
        <v>35</v>
      </c>
      <c r="H1404">
        <v>553</v>
      </c>
      <c r="I1404" t="s">
        <v>16</v>
      </c>
      <c r="J1404" t="s">
        <v>16</v>
      </c>
      <c r="K1404" t="s">
        <v>17</v>
      </c>
      <c r="L1404">
        <v>553</v>
      </c>
      <c r="M1404" t="s">
        <v>5032</v>
      </c>
      <c r="N1404" t="s">
        <v>5031</v>
      </c>
    </row>
    <row r="1405" spans="1:14" x14ac:dyDescent="0.3">
      <c r="A1405" t="s">
        <v>1429</v>
      </c>
      <c r="B1405" t="s">
        <v>19</v>
      </c>
      <c r="C1405" t="s">
        <v>13</v>
      </c>
      <c r="D1405">
        <v>8</v>
      </c>
      <c r="E1405" t="s">
        <v>14</v>
      </c>
      <c r="F1405" t="s">
        <v>15</v>
      </c>
      <c r="G1405">
        <v>66.25</v>
      </c>
      <c r="H1405">
        <v>546.45000000000005</v>
      </c>
      <c r="I1405" t="s">
        <v>15</v>
      </c>
      <c r="J1405" t="s">
        <v>16</v>
      </c>
      <c r="K1405" t="s">
        <v>17</v>
      </c>
      <c r="L1405">
        <v>546.45000000000005</v>
      </c>
      <c r="M1405" t="s">
        <v>5030</v>
      </c>
      <c r="N1405" t="s">
        <v>5031</v>
      </c>
    </row>
    <row r="1406" spans="1:14" x14ac:dyDescent="0.3">
      <c r="A1406" t="s">
        <v>1430</v>
      </c>
      <c r="B1406" t="s">
        <v>12</v>
      </c>
      <c r="C1406" t="s">
        <v>35</v>
      </c>
      <c r="D1406">
        <v>35</v>
      </c>
      <c r="E1406" t="s">
        <v>15</v>
      </c>
      <c r="F1406" t="s">
        <v>36</v>
      </c>
      <c r="G1406">
        <v>23.3</v>
      </c>
      <c r="H1406">
        <v>797.1</v>
      </c>
      <c r="I1406" t="s">
        <v>15</v>
      </c>
      <c r="J1406" t="s">
        <v>15</v>
      </c>
      <c r="K1406" t="s">
        <v>24</v>
      </c>
      <c r="L1406">
        <v>797.1</v>
      </c>
      <c r="M1406" t="s">
        <v>5032</v>
      </c>
      <c r="N1406" t="s">
        <v>5031</v>
      </c>
    </row>
    <row r="1407" spans="1:14" x14ac:dyDescent="0.3">
      <c r="A1407" t="s">
        <v>1431</v>
      </c>
      <c r="B1407" t="s">
        <v>12</v>
      </c>
      <c r="C1407" t="s">
        <v>13</v>
      </c>
      <c r="D1407">
        <v>1</v>
      </c>
      <c r="E1407" t="s">
        <v>26</v>
      </c>
      <c r="F1407" t="s">
        <v>15</v>
      </c>
      <c r="G1407">
        <v>76</v>
      </c>
      <c r="H1407">
        <v>76</v>
      </c>
      <c r="I1407" t="s">
        <v>16</v>
      </c>
      <c r="J1407" t="s">
        <v>15</v>
      </c>
      <c r="K1407" t="s">
        <v>17</v>
      </c>
      <c r="L1407">
        <v>76</v>
      </c>
      <c r="M1407" t="s">
        <v>5030</v>
      </c>
      <c r="N1407" t="s">
        <v>5031</v>
      </c>
    </row>
    <row r="1408" spans="1:14" x14ac:dyDescent="0.3">
      <c r="A1408" t="s">
        <v>1432</v>
      </c>
      <c r="B1408" t="s">
        <v>19</v>
      </c>
      <c r="C1408" t="s">
        <v>35</v>
      </c>
      <c r="D1408">
        <v>66</v>
      </c>
      <c r="E1408" t="s">
        <v>15</v>
      </c>
      <c r="F1408" t="s">
        <v>36</v>
      </c>
      <c r="G1408">
        <v>25.3</v>
      </c>
      <c r="H1408">
        <v>1673.8</v>
      </c>
      <c r="I1408" t="s">
        <v>15</v>
      </c>
      <c r="J1408" t="s">
        <v>16</v>
      </c>
      <c r="K1408" t="s">
        <v>29</v>
      </c>
      <c r="L1408">
        <v>1673.8</v>
      </c>
      <c r="M1408" t="s">
        <v>5033</v>
      </c>
      <c r="N1408" t="s">
        <v>5031</v>
      </c>
    </row>
    <row r="1409" spans="1:14" x14ac:dyDescent="0.3">
      <c r="A1409" t="s">
        <v>1433</v>
      </c>
      <c r="B1409" t="s">
        <v>19</v>
      </c>
      <c r="C1409" t="s">
        <v>35</v>
      </c>
      <c r="D1409">
        <v>8</v>
      </c>
      <c r="E1409" t="s">
        <v>14</v>
      </c>
      <c r="F1409" t="s">
        <v>16</v>
      </c>
      <c r="G1409">
        <v>44.55</v>
      </c>
      <c r="H1409">
        <v>343.45</v>
      </c>
      <c r="I1409" t="s">
        <v>15</v>
      </c>
      <c r="J1409" t="s">
        <v>16</v>
      </c>
      <c r="K1409" t="s">
        <v>21</v>
      </c>
      <c r="L1409">
        <v>343.45</v>
      </c>
      <c r="M1409" t="s">
        <v>5030</v>
      </c>
      <c r="N1409" t="s">
        <v>5031</v>
      </c>
    </row>
    <row r="1410" spans="1:14" x14ac:dyDescent="0.3">
      <c r="A1410" t="s">
        <v>1434</v>
      </c>
      <c r="B1410" t="s">
        <v>12</v>
      </c>
      <c r="C1410" t="s">
        <v>20</v>
      </c>
      <c r="D1410">
        <v>71</v>
      </c>
      <c r="E1410" t="s">
        <v>26</v>
      </c>
      <c r="F1410" t="s">
        <v>15</v>
      </c>
      <c r="G1410">
        <v>104.1</v>
      </c>
      <c r="H1410">
        <v>7412.25</v>
      </c>
      <c r="I1410" t="s">
        <v>15</v>
      </c>
      <c r="J1410" t="s">
        <v>16</v>
      </c>
      <c r="K1410" t="s">
        <v>29</v>
      </c>
      <c r="L1410">
        <v>7412.25</v>
      </c>
      <c r="M1410" t="s">
        <v>5033</v>
      </c>
      <c r="N1410" t="s">
        <v>5034</v>
      </c>
    </row>
    <row r="1411" spans="1:14" x14ac:dyDescent="0.3">
      <c r="A1411" t="s">
        <v>1435</v>
      </c>
      <c r="B1411" t="s">
        <v>12</v>
      </c>
      <c r="C1411" t="s">
        <v>13</v>
      </c>
      <c r="D1411">
        <v>43</v>
      </c>
      <c r="E1411" t="s">
        <v>26</v>
      </c>
      <c r="F1411" t="s">
        <v>15</v>
      </c>
      <c r="G1411">
        <v>92.55</v>
      </c>
      <c r="H1411">
        <v>4039</v>
      </c>
      <c r="I1411" t="s">
        <v>15</v>
      </c>
      <c r="J1411" t="s">
        <v>16</v>
      </c>
      <c r="K1411" t="s">
        <v>24</v>
      </c>
      <c r="L1411">
        <v>4039</v>
      </c>
      <c r="M1411" t="s">
        <v>5033</v>
      </c>
      <c r="N1411" t="s">
        <v>5034</v>
      </c>
    </row>
    <row r="1412" spans="1:14" x14ac:dyDescent="0.3">
      <c r="A1412" t="s">
        <v>1436</v>
      </c>
      <c r="B1412" t="s">
        <v>12</v>
      </c>
      <c r="C1412" t="s">
        <v>13</v>
      </c>
      <c r="D1412">
        <v>2</v>
      </c>
      <c r="E1412" t="s">
        <v>26</v>
      </c>
      <c r="F1412" t="s">
        <v>15</v>
      </c>
      <c r="G1412">
        <v>93.85</v>
      </c>
      <c r="H1412">
        <v>170.85</v>
      </c>
      <c r="I1412" t="s">
        <v>16</v>
      </c>
      <c r="J1412" t="s">
        <v>16</v>
      </c>
      <c r="K1412" t="s">
        <v>17</v>
      </c>
      <c r="L1412">
        <v>170.85</v>
      </c>
      <c r="M1412" t="s">
        <v>5030</v>
      </c>
      <c r="N1412" t="s">
        <v>5031</v>
      </c>
    </row>
    <row r="1413" spans="1:14" x14ac:dyDescent="0.3">
      <c r="A1413" t="s">
        <v>1437</v>
      </c>
      <c r="B1413" t="s">
        <v>19</v>
      </c>
      <c r="C1413" t="s">
        <v>13</v>
      </c>
      <c r="D1413">
        <v>29</v>
      </c>
      <c r="E1413" t="s">
        <v>26</v>
      </c>
      <c r="F1413" t="s">
        <v>15</v>
      </c>
      <c r="G1413">
        <v>101.45</v>
      </c>
      <c r="H1413">
        <v>2948.6</v>
      </c>
      <c r="I1413" t="s">
        <v>15</v>
      </c>
      <c r="J1413" t="s">
        <v>16</v>
      </c>
      <c r="K1413" t="s">
        <v>24</v>
      </c>
      <c r="L1413">
        <v>2948.6</v>
      </c>
      <c r="M1413" t="s">
        <v>5032</v>
      </c>
      <c r="N1413" t="s">
        <v>5034</v>
      </c>
    </row>
    <row r="1414" spans="1:14" x14ac:dyDescent="0.3">
      <c r="A1414" t="s">
        <v>1438</v>
      </c>
      <c r="B1414" t="s">
        <v>12</v>
      </c>
      <c r="C1414" t="s">
        <v>13</v>
      </c>
      <c r="D1414">
        <v>15</v>
      </c>
      <c r="E1414" t="s">
        <v>26</v>
      </c>
      <c r="F1414" t="s">
        <v>15</v>
      </c>
      <c r="G1414">
        <v>84.3</v>
      </c>
      <c r="H1414">
        <v>1308.4000000000001</v>
      </c>
      <c r="I1414" t="s">
        <v>16</v>
      </c>
      <c r="J1414" t="s">
        <v>16</v>
      </c>
      <c r="K1414" t="s">
        <v>17</v>
      </c>
      <c r="L1414">
        <v>1308.4000000000001</v>
      </c>
      <c r="M1414" t="s">
        <v>5032</v>
      </c>
      <c r="N1414" t="s">
        <v>5031</v>
      </c>
    </row>
    <row r="1415" spans="1:14" x14ac:dyDescent="0.3">
      <c r="A1415" t="s">
        <v>1439</v>
      </c>
      <c r="B1415" t="s">
        <v>19</v>
      </c>
      <c r="C1415" t="s">
        <v>35</v>
      </c>
      <c r="D1415">
        <v>65</v>
      </c>
      <c r="E1415" t="s">
        <v>26</v>
      </c>
      <c r="F1415" t="s">
        <v>16</v>
      </c>
      <c r="G1415">
        <v>94.55</v>
      </c>
      <c r="H1415">
        <v>6078.75</v>
      </c>
      <c r="I1415" t="s">
        <v>15</v>
      </c>
      <c r="J1415" t="s">
        <v>15</v>
      </c>
      <c r="K1415" t="s">
        <v>29</v>
      </c>
      <c r="L1415">
        <v>6078.75</v>
      </c>
      <c r="M1415" t="s">
        <v>5033</v>
      </c>
      <c r="N1415" t="s">
        <v>5034</v>
      </c>
    </row>
    <row r="1416" spans="1:14" x14ac:dyDescent="0.3">
      <c r="A1416" t="s">
        <v>1440</v>
      </c>
      <c r="B1416" t="s">
        <v>19</v>
      </c>
      <c r="C1416" t="s">
        <v>13</v>
      </c>
      <c r="D1416">
        <v>35</v>
      </c>
      <c r="E1416" t="s">
        <v>26</v>
      </c>
      <c r="F1416" t="s">
        <v>16</v>
      </c>
      <c r="G1416">
        <v>95.5</v>
      </c>
      <c r="H1416">
        <v>3418.2</v>
      </c>
      <c r="I1416" t="s">
        <v>15</v>
      </c>
      <c r="J1416" t="s">
        <v>15</v>
      </c>
      <c r="K1416" t="s">
        <v>17</v>
      </c>
      <c r="L1416">
        <v>3418.2</v>
      </c>
      <c r="M1416" t="s">
        <v>5032</v>
      </c>
      <c r="N1416" t="s">
        <v>5034</v>
      </c>
    </row>
    <row r="1417" spans="1:14" x14ac:dyDescent="0.3">
      <c r="A1417" t="s">
        <v>1441</v>
      </c>
      <c r="B1417" t="s">
        <v>19</v>
      </c>
      <c r="C1417" t="s">
        <v>20</v>
      </c>
      <c r="D1417">
        <v>64</v>
      </c>
      <c r="E1417" t="s">
        <v>26</v>
      </c>
      <c r="F1417" t="s">
        <v>15</v>
      </c>
      <c r="G1417">
        <v>100.3</v>
      </c>
      <c r="H1417">
        <v>6603.8</v>
      </c>
      <c r="I1417" t="s">
        <v>15</v>
      </c>
      <c r="J1417" t="s">
        <v>16</v>
      </c>
      <c r="K1417" t="s">
        <v>29</v>
      </c>
      <c r="L1417">
        <v>6603.8</v>
      </c>
      <c r="M1417" t="s">
        <v>5033</v>
      </c>
      <c r="N1417" t="s">
        <v>5034</v>
      </c>
    </row>
    <row r="1418" spans="1:14" x14ac:dyDescent="0.3">
      <c r="A1418" t="s">
        <v>1442</v>
      </c>
      <c r="B1418" t="s">
        <v>12</v>
      </c>
      <c r="C1418" t="s">
        <v>35</v>
      </c>
      <c r="D1418">
        <v>58</v>
      </c>
      <c r="E1418" t="s">
        <v>14</v>
      </c>
      <c r="F1418" t="s">
        <v>16</v>
      </c>
      <c r="G1418">
        <v>55.5</v>
      </c>
      <c r="H1418">
        <v>3166.9</v>
      </c>
      <c r="I1418" t="s">
        <v>15</v>
      </c>
      <c r="J1418" t="s">
        <v>16</v>
      </c>
      <c r="K1418" t="s">
        <v>29</v>
      </c>
      <c r="L1418">
        <v>3166.9</v>
      </c>
      <c r="M1418" t="s">
        <v>5033</v>
      </c>
      <c r="N1418" t="s">
        <v>5034</v>
      </c>
    </row>
    <row r="1419" spans="1:14" x14ac:dyDescent="0.3">
      <c r="A1419" t="s">
        <v>1443</v>
      </c>
      <c r="B1419" t="s">
        <v>12</v>
      </c>
      <c r="C1419" t="s">
        <v>13</v>
      </c>
      <c r="D1419">
        <v>18</v>
      </c>
      <c r="E1419" t="s">
        <v>14</v>
      </c>
      <c r="F1419" t="s">
        <v>15</v>
      </c>
      <c r="G1419">
        <v>49.85</v>
      </c>
      <c r="H1419">
        <v>865.75</v>
      </c>
      <c r="I1419" t="s">
        <v>15</v>
      </c>
      <c r="J1419" t="s">
        <v>16</v>
      </c>
      <c r="K1419" t="s">
        <v>29</v>
      </c>
      <c r="L1419">
        <v>865.75</v>
      </c>
      <c r="M1419" t="s">
        <v>5032</v>
      </c>
      <c r="N1419" t="s">
        <v>5031</v>
      </c>
    </row>
    <row r="1420" spans="1:14" x14ac:dyDescent="0.3">
      <c r="A1420" t="s">
        <v>1444</v>
      </c>
      <c r="B1420" t="s">
        <v>19</v>
      </c>
      <c r="C1420" t="s">
        <v>13</v>
      </c>
      <c r="D1420">
        <v>67</v>
      </c>
      <c r="E1420" t="s">
        <v>26</v>
      </c>
      <c r="F1420" t="s">
        <v>15</v>
      </c>
      <c r="G1420">
        <v>89.55</v>
      </c>
      <c r="H1420">
        <v>6373.1</v>
      </c>
      <c r="I1420" t="s">
        <v>15</v>
      </c>
      <c r="J1420" t="s">
        <v>16</v>
      </c>
      <c r="K1420" t="s">
        <v>24</v>
      </c>
      <c r="L1420">
        <v>6373.1</v>
      </c>
      <c r="M1420" t="s">
        <v>5033</v>
      </c>
      <c r="N1420" t="s">
        <v>5034</v>
      </c>
    </row>
    <row r="1421" spans="1:14" x14ac:dyDescent="0.3">
      <c r="A1421" t="s">
        <v>1445</v>
      </c>
      <c r="B1421" t="s">
        <v>19</v>
      </c>
      <c r="C1421" t="s">
        <v>35</v>
      </c>
      <c r="D1421">
        <v>63</v>
      </c>
      <c r="E1421" t="s">
        <v>15</v>
      </c>
      <c r="F1421" t="s">
        <v>36</v>
      </c>
      <c r="G1421">
        <v>19.149999999999999</v>
      </c>
      <c r="H1421">
        <v>1177.05</v>
      </c>
      <c r="I1421" t="s">
        <v>15</v>
      </c>
      <c r="J1421" t="s">
        <v>16</v>
      </c>
      <c r="K1421" t="s">
        <v>21</v>
      </c>
      <c r="L1421">
        <v>1177.05</v>
      </c>
      <c r="M1421" t="s">
        <v>5033</v>
      </c>
      <c r="N1421" t="s">
        <v>5031</v>
      </c>
    </row>
    <row r="1422" spans="1:14" x14ac:dyDescent="0.3">
      <c r="A1422" t="s">
        <v>1446</v>
      </c>
      <c r="B1422" t="s">
        <v>12</v>
      </c>
      <c r="C1422" t="s">
        <v>13</v>
      </c>
      <c r="D1422">
        <v>60</v>
      </c>
      <c r="E1422" t="s">
        <v>26</v>
      </c>
      <c r="F1422" t="s">
        <v>15</v>
      </c>
      <c r="G1422">
        <v>99.8</v>
      </c>
      <c r="H1422">
        <v>5985.75</v>
      </c>
      <c r="I1422" t="s">
        <v>15</v>
      </c>
      <c r="J1422" t="s">
        <v>16</v>
      </c>
      <c r="K1422" t="s">
        <v>17</v>
      </c>
      <c r="L1422">
        <v>5985.75</v>
      </c>
      <c r="M1422" t="s">
        <v>5033</v>
      </c>
      <c r="N1422" t="s">
        <v>5034</v>
      </c>
    </row>
    <row r="1423" spans="1:14" x14ac:dyDescent="0.3">
      <c r="A1423" t="s">
        <v>1447</v>
      </c>
      <c r="B1423" t="s">
        <v>19</v>
      </c>
      <c r="C1423" t="s">
        <v>13</v>
      </c>
      <c r="D1423">
        <v>9</v>
      </c>
      <c r="E1423" t="s">
        <v>26</v>
      </c>
      <c r="F1423" t="s">
        <v>15</v>
      </c>
      <c r="G1423">
        <v>84.4</v>
      </c>
      <c r="H1423">
        <v>732.5</v>
      </c>
      <c r="I1423" t="s">
        <v>16</v>
      </c>
      <c r="J1423" t="s">
        <v>16</v>
      </c>
      <c r="K1423" t="s">
        <v>29</v>
      </c>
      <c r="L1423">
        <v>732.5</v>
      </c>
      <c r="M1423" t="s">
        <v>5030</v>
      </c>
      <c r="N1423" t="s">
        <v>5031</v>
      </c>
    </row>
    <row r="1424" spans="1:14" x14ac:dyDescent="0.3">
      <c r="A1424" t="s">
        <v>1448</v>
      </c>
      <c r="B1424" t="s">
        <v>12</v>
      </c>
      <c r="C1424" t="s">
        <v>35</v>
      </c>
      <c r="D1424">
        <v>70</v>
      </c>
      <c r="E1424" t="s">
        <v>26</v>
      </c>
      <c r="F1424" t="s">
        <v>16</v>
      </c>
      <c r="G1424">
        <v>113.05</v>
      </c>
      <c r="H1424">
        <v>7869.05</v>
      </c>
      <c r="I1424" t="s">
        <v>15</v>
      </c>
      <c r="J1424" t="s">
        <v>16</v>
      </c>
      <c r="K1424" t="s">
        <v>29</v>
      </c>
      <c r="L1424">
        <v>7869.05</v>
      </c>
      <c r="M1424" t="s">
        <v>5033</v>
      </c>
      <c r="N1424" t="s">
        <v>5034</v>
      </c>
    </row>
    <row r="1425" spans="1:14" x14ac:dyDescent="0.3">
      <c r="A1425" t="s">
        <v>1449</v>
      </c>
      <c r="B1425" t="s">
        <v>19</v>
      </c>
      <c r="C1425" t="s">
        <v>13</v>
      </c>
      <c r="D1425">
        <v>15</v>
      </c>
      <c r="E1425" t="s">
        <v>26</v>
      </c>
      <c r="F1425" t="s">
        <v>15</v>
      </c>
      <c r="G1425">
        <v>101.1</v>
      </c>
      <c r="H1425">
        <v>1504.05</v>
      </c>
      <c r="I1425" t="s">
        <v>16</v>
      </c>
      <c r="J1425" t="s">
        <v>16</v>
      </c>
      <c r="K1425" t="s">
        <v>17</v>
      </c>
      <c r="L1425">
        <v>1504.05</v>
      </c>
      <c r="M1425" t="s">
        <v>5032</v>
      </c>
      <c r="N1425" t="s">
        <v>5031</v>
      </c>
    </row>
    <row r="1426" spans="1:14" x14ac:dyDescent="0.3">
      <c r="A1426" t="s">
        <v>1450</v>
      </c>
      <c r="B1426" t="s">
        <v>12</v>
      </c>
      <c r="C1426" t="s">
        <v>20</v>
      </c>
      <c r="D1426">
        <v>48</v>
      </c>
      <c r="E1426" t="s">
        <v>15</v>
      </c>
      <c r="F1426" t="s">
        <v>36</v>
      </c>
      <c r="G1426">
        <v>19.95</v>
      </c>
      <c r="H1426">
        <v>936.7</v>
      </c>
      <c r="I1426" t="s">
        <v>15</v>
      </c>
      <c r="J1426" t="s">
        <v>15</v>
      </c>
      <c r="K1426" t="s">
        <v>21</v>
      </c>
      <c r="L1426">
        <v>936.7</v>
      </c>
      <c r="M1426" t="s">
        <v>5033</v>
      </c>
      <c r="N1426" t="s">
        <v>5031</v>
      </c>
    </row>
    <row r="1427" spans="1:14" x14ac:dyDescent="0.3">
      <c r="A1427" t="s">
        <v>1451</v>
      </c>
      <c r="B1427" t="s">
        <v>19</v>
      </c>
      <c r="C1427" t="s">
        <v>13</v>
      </c>
      <c r="D1427">
        <v>12</v>
      </c>
      <c r="E1427" t="s">
        <v>14</v>
      </c>
      <c r="F1427" t="s">
        <v>16</v>
      </c>
      <c r="G1427">
        <v>74.150000000000006</v>
      </c>
      <c r="H1427">
        <v>741.4</v>
      </c>
      <c r="I1427" t="s">
        <v>15</v>
      </c>
      <c r="J1427" t="s">
        <v>16</v>
      </c>
      <c r="K1427" t="s">
        <v>17</v>
      </c>
      <c r="L1427">
        <v>741.4</v>
      </c>
      <c r="M1427" t="s">
        <v>5030</v>
      </c>
      <c r="N1427" t="s">
        <v>5031</v>
      </c>
    </row>
    <row r="1428" spans="1:14" x14ac:dyDescent="0.3">
      <c r="A1428" t="s">
        <v>1452</v>
      </c>
      <c r="B1428" t="s">
        <v>19</v>
      </c>
      <c r="C1428" t="s">
        <v>20</v>
      </c>
      <c r="D1428">
        <v>71</v>
      </c>
      <c r="E1428" t="s">
        <v>26</v>
      </c>
      <c r="F1428" t="s">
        <v>16</v>
      </c>
      <c r="G1428">
        <v>92</v>
      </c>
      <c r="H1428">
        <v>6585.2</v>
      </c>
      <c r="I1428" t="s">
        <v>15</v>
      </c>
      <c r="J1428" t="s">
        <v>16</v>
      </c>
      <c r="K1428" t="s">
        <v>17</v>
      </c>
      <c r="L1428">
        <v>6585.2</v>
      </c>
      <c r="M1428" t="s">
        <v>5033</v>
      </c>
      <c r="N1428" t="s">
        <v>5034</v>
      </c>
    </row>
    <row r="1429" spans="1:14" x14ac:dyDescent="0.3">
      <c r="A1429" t="s">
        <v>1453</v>
      </c>
      <c r="B1429" t="s">
        <v>19</v>
      </c>
      <c r="C1429" t="s">
        <v>13</v>
      </c>
      <c r="D1429">
        <v>44</v>
      </c>
      <c r="E1429" t="s">
        <v>26</v>
      </c>
      <c r="F1429" t="s">
        <v>15</v>
      </c>
      <c r="G1429">
        <v>73.849999999999994</v>
      </c>
      <c r="H1429">
        <v>3122.4</v>
      </c>
      <c r="I1429" t="s">
        <v>15</v>
      </c>
      <c r="J1429" t="s">
        <v>15</v>
      </c>
      <c r="K1429" t="s">
        <v>17</v>
      </c>
      <c r="L1429">
        <v>3122.4</v>
      </c>
      <c r="M1429" t="s">
        <v>5033</v>
      </c>
      <c r="N1429" t="s">
        <v>5034</v>
      </c>
    </row>
    <row r="1430" spans="1:14" x14ac:dyDescent="0.3">
      <c r="A1430" t="s">
        <v>1454</v>
      </c>
      <c r="B1430" t="s">
        <v>19</v>
      </c>
      <c r="C1430" t="s">
        <v>13</v>
      </c>
      <c r="D1430">
        <v>1</v>
      </c>
      <c r="E1430" t="s">
        <v>14</v>
      </c>
      <c r="F1430" t="s">
        <v>15</v>
      </c>
      <c r="G1430">
        <v>50.45</v>
      </c>
      <c r="H1430">
        <v>50.45</v>
      </c>
      <c r="I1430" t="s">
        <v>16</v>
      </c>
      <c r="J1430" t="s">
        <v>16</v>
      </c>
      <c r="K1430" t="s">
        <v>17</v>
      </c>
      <c r="L1430">
        <v>50.45</v>
      </c>
      <c r="M1430" t="s">
        <v>5030</v>
      </c>
      <c r="N1430" t="s">
        <v>5031</v>
      </c>
    </row>
    <row r="1431" spans="1:14" x14ac:dyDescent="0.3">
      <c r="A1431" t="s">
        <v>1455</v>
      </c>
      <c r="B1431" t="s">
        <v>19</v>
      </c>
      <c r="C1431" t="s">
        <v>35</v>
      </c>
      <c r="D1431">
        <v>45</v>
      </c>
      <c r="E1431" t="s">
        <v>15</v>
      </c>
      <c r="F1431" t="s">
        <v>36</v>
      </c>
      <c r="G1431">
        <v>24.45</v>
      </c>
      <c r="H1431">
        <v>1088.25</v>
      </c>
      <c r="I1431" t="s">
        <v>15</v>
      </c>
      <c r="J1431" t="s">
        <v>15</v>
      </c>
      <c r="K1431" t="s">
        <v>21</v>
      </c>
      <c r="L1431">
        <v>1088.25</v>
      </c>
      <c r="M1431" t="s">
        <v>5033</v>
      </c>
      <c r="N1431" t="s">
        <v>5031</v>
      </c>
    </row>
    <row r="1432" spans="1:14" x14ac:dyDescent="0.3">
      <c r="A1432" t="s">
        <v>1456</v>
      </c>
      <c r="B1432" t="s">
        <v>12</v>
      </c>
      <c r="C1432" t="s">
        <v>20</v>
      </c>
      <c r="D1432">
        <v>23</v>
      </c>
      <c r="E1432" t="s">
        <v>15</v>
      </c>
      <c r="F1432" t="s">
        <v>36</v>
      </c>
      <c r="G1432">
        <v>24.8</v>
      </c>
      <c r="H1432">
        <v>615.35</v>
      </c>
      <c r="I1432" t="s">
        <v>15</v>
      </c>
      <c r="J1432" t="s">
        <v>15</v>
      </c>
      <c r="K1432" t="s">
        <v>29</v>
      </c>
      <c r="L1432">
        <v>615.35</v>
      </c>
      <c r="M1432" t="s">
        <v>5032</v>
      </c>
      <c r="N1432" t="s">
        <v>5031</v>
      </c>
    </row>
    <row r="1433" spans="1:14" x14ac:dyDescent="0.3">
      <c r="A1433" t="s">
        <v>1457</v>
      </c>
      <c r="B1433" t="s">
        <v>12</v>
      </c>
      <c r="C1433" t="s">
        <v>20</v>
      </c>
      <c r="D1433">
        <v>43</v>
      </c>
      <c r="E1433" t="s">
        <v>14</v>
      </c>
      <c r="F1433" t="s">
        <v>16</v>
      </c>
      <c r="G1433">
        <v>64.849999999999994</v>
      </c>
      <c r="H1433">
        <v>2908.2</v>
      </c>
      <c r="I1433" t="s">
        <v>15</v>
      </c>
      <c r="J1433" t="s">
        <v>16</v>
      </c>
      <c r="K1433" t="s">
        <v>24</v>
      </c>
      <c r="L1433">
        <v>2908.2</v>
      </c>
      <c r="M1433" t="s">
        <v>5033</v>
      </c>
      <c r="N1433" t="s">
        <v>5034</v>
      </c>
    </row>
    <row r="1434" spans="1:14" x14ac:dyDescent="0.3">
      <c r="A1434" t="s">
        <v>1458</v>
      </c>
      <c r="B1434" t="s">
        <v>19</v>
      </c>
      <c r="C1434" t="s">
        <v>13</v>
      </c>
      <c r="D1434">
        <v>35</v>
      </c>
      <c r="E1434" t="s">
        <v>15</v>
      </c>
      <c r="F1434" t="s">
        <v>36</v>
      </c>
      <c r="G1434">
        <v>20.75</v>
      </c>
      <c r="H1434">
        <v>739.9</v>
      </c>
      <c r="I1434" t="s">
        <v>15</v>
      </c>
      <c r="J1434" t="s">
        <v>15</v>
      </c>
      <c r="K1434" t="s">
        <v>24</v>
      </c>
      <c r="L1434">
        <v>739.9</v>
      </c>
      <c r="M1434" t="s">
        <v>5032</v>
      </c>
      <c r="N1434" t="s">
        <v>5031</v>
      </c>
    </row>
    <row r="1435" spans="1:14" x14ac:dyDescent="0.3">
      <c r="A1435" t="s">
        <v>1459</v>
      </c>
      <c r="B1435" t="s">
        <v>19</v>
      </c>
      <c r="C1435" t="s">
        <v>13</v>
      </c>
      <c r="D1435">
        <v>9</v>
      </c>
      <c r="E1435" t="s">
        <v>14</v>
      </c>
      <c r="F1435" t="s">
        <v>16</v>
      </c>
      <c r="G1435">
        <v>68.95</v>
      </c>
      <c r="H1435">
        <v>593.85</v>
      </c>
      <c r="I1435" t="s">
        <v>15</v>
      </c>
      <c r="J1435" t="s">
        <v>16</v>
      </c>
      <c r="K1435" t="s">
        <v>21</v>
      </c>
      <c r="L1435">
        <v>593.85</v>
      </c>
      <c r="M1435" t="s">
        <v>5030</v>
      </c>
      <c r="N1435" t="s">
        <v>5031</v>
      </c>
    </row>
    <row r="1436" spans="1:14" x14ac:dyDescent="0.3">
      <c r="A1436" t="s">
        <v>1460</v>
      </c>
      <c r="B1436" t="s">
        <v>19</v>
      </c>
      <c r="C1436" t="s">
        <v>13</v>
      </c>
      <c r="D1436">
        <v>12</v>
      </c>
      <c r="E1436" t="s">
        <v>26</v>
      </c>
      <c r="F1436" t="s">
        <v>16</v>
      </c>
      <c r="G1436">
        <v>99.95</v>
      </c>
      <c r="H1436">
        <v>1132.75</v>
      </c>
      <c r="I1436" t="s">
        <v>16</v>
      </c>
      <c r="J1436" t="s">
        <v>16</v>
      </c>
      <c r="K1436" t="s">
        <v>21</v>
      </c>
      <c r="L1436">
        <v>1132.75</v>
      </c>
      <c r="M1436" t="s">
        <v>5030</v>
      </c>
      <c r="N1436" t="s">
        <v>5031</v>
      </c>
    </row>
    <row r="1437" spans="1:14" x14ac:dyDescent="0.3">
      <c r="A1437" t="s">
        <v>1461</v>
      </c>
      <c r="B1437" t="s">
        <v>12</v>
      </c>
      <c r="C1437" t="s">
        <v>13</v>
      </c>
      <c r="D1437">
        <v>65</v>
      </c>
      <c r="E1437" t="s">
        <v>26</v>
      </c>
      <c r="F1437" t="s">
        <v>15</v>
      </c>
      <c r="G1437">
        <v>109.4</v>
      </c>
      <c r="H1437">
        <v>7227.45</v>
      </c>
      <c r="I1437" t="s">
        <v>15</v>
      </c>
      <c r="J1437" t="s">
        <v>16</v>
      </c>
      <c r="K1437" t="s">
        <v>29</v>
      </c>
      <c r="L1437">
        <v>7227.45</v>
      </c>
      <c r="M1437" t="s">
        <v>5033</v>
      </c>
      <c r="N1437" t="s">
        <v>5034</v>
      </c>
    </row>
    <row r="1438" spans="1:14" x14ac:dyDescent="0.3">
      <c r="A1438" t="s">
        <v>1462</v>
      </c>
      <c r="B1438" t="s">
        <v>12</v>
      </c>
      <c r="C1438" t="s">
        <v>13</v>
      </c>
      <c r="D1438">
        <v>2</v>
      </c>
      <c r="E1438" t="s">
        <v>26</v>
      </c>
      <c r="F1438" t="s">
        <v>15</v>
      </c>
      <c r="G1438">
        <v>91.4</v>
      </c>
      <c r="H1438">
        <v>193.6</v>
      </c>
      <c r="I1438" t="s">
        <v>16</v>
      </c>
      <c r="J1438" t="s">
        <v>16</v>
      </c>
      <c r="K1438" t="s">
        <v>17</v>
      </c>
      <c r="L1438">
        <v>193.6</v>
      </c>
      <c r="M1438" t="s">
        <v>5030</v>
      </c>
      <c r="N1438" t="s">
        <v>5031</v>
      </c>
    </row>
    <row r="1439" spans="1:14" x14ac:dyDescent="0.3">
      <c r="A1439" t="s">
        <v>1463</v>
      </c>
      <c r="B1439" t="s">
        <v>19</v>
      </c>
      <c r="C1439" t="s">
        <v>13</v>
      </c>
      <c r="D1439">
        <v>27</v>
      </c>
      <c r="E1439" t="s">
        <v>14</v>
      </c>
      <c r="F1439" t="s">
        <v>15</v>
      </c>
      <c r="G1439">
        <v>49</v>
      </c>
      <c r="H1439">
        <v>1291.3499999999999</v>
      </c>
      <c r="I1439" t="s">
        <v>15</v>
      </c>
      <c r="J1439" t="s">
        <v>15</v>
      </c>
      <c r="K1439" t="s">
        <v>21</v>
      </c>
      <c r="L1439">
        <v>1291.3499999999999</v>
      </c>
      <c r="M1439" t="s">
        <v>5032</v>
      </c>
      <c r="N1439" t="s">
        <v>5031</v>
      </c>
    </row>
    <row r="1440" spans="1:14" x14ac:dyDescent="0.3">
      <c r="A1440" t="s">
        <v>1464</v>
      </c>
      <c r="B1440" t="s">
        <v>12</v>
      </c>
      <c r="C1440" t="s">
        <v>20</v>
      </c>
      <c r="D1440">
        <v>40</v>
      </c>
      <c r="E1440" t="s">
        <v>14</v>
      </c>
      <c r="F1440" t="s">
        <v>15</v>
      </c>
      <c r="G1440">
        <v>50.25</v>
      </c>
      <c r="H1440">
        <v>2023.55</v>
      </c>
      <c r="I1440" t="s">
        <v>15</v>
      </c>
      <c r="J1440" t="s">
        <v>16</v>
      </c>
      <c r="K1440" t="s">
        <v>21</v>
      </c>
      <c r="L1440">
        <v>2023.55</v>
      </c>
      <c r="M1440" t="s">
        <v>5033</v>
      </c>
      <c r="N1440" t="s">
        <v>5031</v>
      </c>
    </row>
    <row r="1441" spans="1:14" x14ac:dyDescent="0.3">
      <c r="A1441" t="s">
        <v>1465</v>
      </c>
      <c r="B1441" t="s">
        <v>12</v>
      </c>
      <c r="C1441" t="s">
        <v>13</v>
      </c>
      <c r="D1441">
        <v>5</v>
      </c>
      <c r="E1441" t="s">
        <v>26</v>
      </c>
      <c r="F1441" t="s">
        <v>15</v>
      </c>
      <c r="G1441">
        <v>75.55</v>
      </c>
      <c r="H1441">
        <v>349.65</v>
      </c>
      <c r="I1441" t="s">
        <v>16</v>
      </c>
      <c r="J1441" t="s">
        <v>16</v>
      </c>
      <c r="K1441" t="s">
        <v>29</v>
      </c>
      <c r="L1441">
        <v>349.65</v>
      </c>
      <c r="M1441" t="s">
        <v>5030</v>
      </c>
      <c r="N1441" t="s">
        <v>5031</v>
      </c>
    </row>
    <row r="1442" spans="1:14" x14ac:dyDescent="0.3">
      <c r="A1442" t="s">
        <v>1466</v>
      </c>
      <c r="B1442" t="s">
        <v>19</v>
      </c>
      <c r="C1442" t="s">
        <v>20</v>
      </c>
      <c r="D1442">
        <v>8</v>
      </c>
      <c r="E1442" t="s">
        <v>15</v>
      </c>
      <c r="F1442" t="s">
        <v>36</v>
      </c>
      <c r="G1442">
        <v>19.899999999999999</v>
      </c>
      <c r="H1442">
        <v>153.94999999999999</v>
      </c>
      <c r="I1442" t="s">
        <v>15</v>
      </c>
      <c r="J1442" t="s">
        <v>15</v>
      </c>
      <c r="K1442" t="s">
        <v>29</v>
      </c>
      <c r="L1442">
        <v>153.94999999999999</v>
      </c>
      <c r="M1442" t="s">
        <v>5030</v>
      </c>
      <c r="N1442" t="s">
        <v>5031</v>
      </c>
    </row>
    <row r="1443" spans="1:14" x14ac:dyDescent="0.3">
      <c r="A1443" t="s">
        <v>1467</v>
      </c>
      <c r="B1443" t="s">
        <v>12</v>
      </c>
      <c r="C1443" t="s">
        <v>20</v>
      </c>
      <c r="D1443">
        <v>58</v>
      </c>
      <c r="E1443" t="s">
        <v>26</v>
      </c>
      <c r="F1443" t="s">
        <v>15</v>
      </c>
      <c r="G1443">
        <v>97.8</v>
      </c>
      <c r="H1443">
        <v>5458.8</v>
      </c>
      <c r="I1443" t="s">
        <v>15</v>
      </c>
      <c r="J1443" t="s">
        <v>16</v>
      </c>
      <c r="K1443" t="s">
        <v>24</v>
      </c>
      <c r="L1443">
        <v>5458.8</v>
      </c>
      <c r="M1443" t="s">
        <v>5033</v>
      </c>
      <c r="N1443" t="s">
        <v>5034</v>
      </c>
    </row>
    <row r="1444" spans="1:14" x14ac:dyDescent="0.3">
      <c r="A1444" t="s">
        <v>1468</v>
      </c>
      <c r="B1444" t="s">
        <v>12</v>
      </c>
      <c r="C1444" t="s">
        <v>20</v>
      </c>
      <c r="D1444">
        <v>52</v>
      </c>
      <c r="E1444" t="s">
        <v>26</v>
      </c>
      <c r="F1444" t="s">
        <v>15</v>
      </c>
      <c r="G1444">
        <v>100.3</v>
      </c>
      <c r="H1444">
        <v>5244.45</v>
      </c>
      <c r="I1444" t="s">
        <v>15</v>
      </c>
      <c r="J1444" t="s">
        <v>15</v>
      </c>
      <c r="K1444" t="s">
        <v>17</v>
      </c>
      <c r="L1444">
        <v>5244.45</v>
      </c>
      <c r="M1444" t="s">
        <v>5033</v>
      </c>
      <c r="N1444" t="s">
        <v>5034</v>
      </c>
    </row>
    <row r="1445" spans="1:14" x14ac:dyDescent="0.3">
      <c r="A1445" t="s">
        <v>1469</v>
      </c>
      <c r="B1445" t="s">
        <v>19</v>
      </c>
      <c r="C1445" t="s">
        <v>13</v>
      </c>
      <c r="D1445">
        <v>3</v>
      </c>
      <c r="E1445" t="s">
        <v>14</v>
      </c>
      <c r="F1445" t="s">
        <v>16</v>
      </c>
      <c r="G1445">
        <v>55.8</v>
      </c>
      <c r="H1445">
        <v>154.55000000000001</v>
      </c>
      <c r="I1445" t="s">
        <v>15</v>
      </c>
      <c r="J1445" t="s">
        <v>16</v>
      </c>
      <c r="K1445" t="s">
        <v>21</v>
      </c>
      <c r="L1445">
        <v>154.55000000000001</v>
      </c>
      <c r="M1445" t="s">
        <v>5030</v>
      </c>
      <c r="N1445" t="s">
        <v>5031</v>
      </c>
    </row>
    <row r="1446" spans="1:14" x14ac:dyDescent="0.3">
      <c r="A1446" t="s">
        <v>1470</v>
      </c>
      <c r="B1446" t="s">
        <v>19</v>
      </c>
      <c r="C1446" t="s">
        <v>35</v>
      </c>
      <c r="D1446">
        <v>41</v>
      </c>
      <c r="E1446" t="s">
        <v>26</v>
      </c>
      <c r="F1446" t="s">
        <v>16</v>
      </c>
      <c r="G1446">
        <v>111.15</v>
      </c>
      <c r="H1446">
        <v>4507.1499999999996</v>
      </c>
      <c r="I1446" t="s">
        <v>15</v>
      </c>
      <c r="J1446" t="s">
        <v>16</v>
      </c>
      <c r="K1446" t="s">
        <v>17</v>
      </c>
      <c r="L1446">
        <v>4507.1499999999996</v>
      </c>
      <c r="M1446" t="s">
        <v>5033</v>
      </c>
      <c r="N1446" t="s">
        <v>5034</v>
      </c>
    </row>
    <row r="1447" spans="1:14" x14ac:dyDescent="0.3">
      <c r="A1447" t="s">
        <v>1471</v>
      </c>
      <c r="B1447" t="s">
        <v>19</v>
      </c>
      <c r="C1447" t="s">
        <v>13</v>
      </c>
      <c r="D1447">
        <v>20</v>
      </c>
      <c r="E1447" t="s">
        <v>26</v>
      </c>
      <c r="F1447" t="s">
        <v>16</v>
      </c>
      <c r="G1447">
        <v>98.55</v>
      </c>
      <c r="H1447">
        <v>2031.95</v>
      </c>
      <c r="I1447" t="s">
        <v>15</v>
      </c>
      <c r="J1447" t="s">
        <v>16</v>
      </c>
      <c r="K1447" t="s">
        <v>21</v>
      </c>
      <c r="L1447">
        <v>2031.95</v>
      </c>
      <c r="M1447" t="s">
        <v>5032</v>
      </c>
      <c r="N1447" t="s">
        <v>5031</v>
      </c>
    </row>
    <row r="1448" spans="1:14" x14ac:dyDescent="0.3">
      <c r="A1448" t="s">
        <v>1472</v>
      </c>
      <c r="B1448" t="s">
        <v>19</v>
      </c>
      <c r="C1448" t="s">
        <v>13</v>
      </c>
      <c r="D1448">
        <v>1</v>
      </c>
      <c r="E1448" t="s">
        <v>14</v>
      </c>
      <c r="F1448" t="s">
        <v>15</v>
      </c>
      <c r="G1448">
        <v>50.05</v>
      </c>
      <c r="H1448">
        <v>50.05</v>
      </c>
      <c r="I1448" t="s">
        <v>15</v>
      </c>
      <c r="J1448" t="s">
        <v>16</v>
      </c>
      <c r="K1448" t="s">
        <v>17</v>
      </c>
      <c r="L1448">
        <v>50.05</v>
      </c>
      <c r="M1448" t="s">
        <v>5030</v>
      </c>
      <c r="N1448" t="s">
        <v>5031</v>
      </c>
    </row>
    <row r="1449" spans="1:14" x14ac:dyDescent="0.3">
      <c r="A1449" t="s">
        <v>1473</v>
      </c>
      <c r="B1449" t="s">
        <v>19</v>
      </c>
      <c r="C1449" t="s">
        <v>13</v>
      </c>
      <c r="D1449">
        <v>4</v>
      </c>
      <c r="E1449" t="s">
        <v>26</v>
      </c>
      <c r="F1449" t="s">
        <v>16</v>
      </c>
      <c r="G1449">
        <v>80.8</v>
      </c>
      <c r="H1449">
        <v>332.45</v>
      </c>
      <c r="I1449" t="s">
        <v>16</v>
      </c>
      <c r="J1449" t="s">
        <v>15</v>
      </c>
      <c r="K1449" t="s">
        <v>29</v>
      </c>
      <c r="L1449">
        <v>332.45</v>
      </c>
      <c r="M1449" t="s">
        <v>5030</v>
      </c>
      <c r="N1449" t="s">
        <v>5031</v>
      </c>
    </row>
    <row r="1450" spans="1:14" x14ac:dyDescent="0.3">
      <c r="A1450" t="s">
        <v>1474</v>
      </c>
      <c r="B1450" t="s">
        <v>19</v>
      </c>
      <c r="C1450" t="s">
        <v>13</v>
      </c>
      <c r="D1450">
        <v>23</v>
      </c>
      <c r="E1450" t="s">
        <v>15</v>
      </c>
      <c r="F1450" t="s">
        <v>36</v>
      </c>
      <c r="G1450">
        <v>20.85</v>
      </c>
      <c r="H1450">
        <v>473.9</v>
      </c>
      <c r="I1450" t="s">
        <v>15</v>
      </c>
      <c r="J1450" t="s">
        <v>15</v>
      </c>
      <c r="K1450" t="s">
        <v>17</v>
      </c>
      <c r="L1450">
        <v>473.9</v>
      </c>
      <c r="M1450" t="s">
        <v>5032</v>
      </c>
      <c r="N1450" t="s">
        <v>5031</v>
      </c>
    </row>
    <row r="1451" spans="1:14" x14ac:dyDescent="0.3">
      <c r="A1451" t="s">
        <v>1475</v>
      </c>
      <c r="B1451" t="s">
        <v>12</v>
      </c>
      <c r="C1451" t="s">
        <v>13</v>
      </c>
      <c r="D1451">
        <v>6</v>
      </c>
      <c r="E1451" t="s">
        <v>15</v>
      </c>
      <c r="F1451" t="s">
        <v>36</v>
      </c>
      <c r="G1451">
        <v>19.5</v>
      </c>
      <c r="H1451">
        <v>106.8</v>
      </c>
      <c r="I1451" t="s">
        <v>15</v>
      </c>
      <c r="J1451" t="s">
        <v>15</v>
      </c>
      <c r="K1451" t="s">
        <v>24</v>
      </c>
      <c r="L1451">
        <v>106.8</v>
      </c>
      <c r="M1451" t="s">
        <v>5030</v>
      </c>
      <c r="N1451" t="s">
        <v>5031</v>
      </c>
    </row>
    <row r="1452" spans="1:14" x14ac:dyDescent="0.3">
      <c r="A1452" t="s">
        <v>1476</v>
      </c>
      <c r="B1452" t="s">
        <v>19</v>
      </c>
      <c r="C1452" t="s">
        <v>13</v>
      </c>
      <c r="D1452">
        <v>8</v>
      </c>
      <c r="E1452" t="s">
        <v>15</v>
      </c>
      <c r="F1452" t="s">
        <v>36</v>
      </c>
      <c r="G1452">
        <v>19.350000000000001</v>
      </c>
      <c r="H1452">
        <v>152.6</v>
      </c>
      <c r="I1452" t="s">
        <v>15</v>
      </c>
      <c r="J1452" t="s">
        <v>16</v>
      </c>
      <c r="K1452" t="s">
        <v>21</v>
      </c>
      <c r="L1452">
        <v>152.6</v>
      </c>
      <c r="M1452" t="s">
        <v>5030</v>
      </c>
      <c r="N1452" t="s">
        <v>5031</v>
      </c>
    </row>
    <row r="1453" spans="1:14" x14ac:dyDescent="0.3">
      <c r="A1453" t="s">
        <v>1477</v>
      </c>
      <c r="B1453" t="s">
        <v>19</v>
      </c>
      <c r="C1453" t="s">
        <v>13</v>
      </c>
      <c r="D1453">
        <v>18</v>
      </c>
      <c r="E1453" t="s">
        <v>14</v>
      </c>
      <c r="F1453" t="s">
        <v>15</v>
      </c>
      <c r="G1453">
        <v>69.5</v>
      </c>
      <c r="H1453">
        <v>1199.4000000000001</v>
      </c>
      <c r="I1453" t="s">
        <v>15</v>
      </c>
      <c r="J1453" t="s">
        <v>15</v>
      </c>
      <c r="K1453" t="s">
        <v>21</v>
      </c>
      <c r="L1453">
        <v>1199.4000000000001</v>
      </c>
      <c r="M1453" t="s">
        <v>5032</v>
      </c>
      <c r="N1453" t="s">
        <v>5031</v>
      </c>
    </row>
    <row r="1454" spans="1:14" x14ac:dyDescent="0.3">
      <c r="A1454" t="s">
        <v>1478</v>
      </c>
      <c r="B1454" t="s">
        <v>19</v>
      </c>
      <c r="C1454" t="s">
        <v>13</v>
      </c>
      <c r="D1454">
        <v>52</v>
      </c>
      <c r="E1454" t="s">
        <v>14</v>
      </c>
      <c r="F1454" t="s">
        <v>15</v>
      </c>
      <c r="G1454">
        <v>48.8</v>
      </c>
      <c r="H1454">
        <v>2555.0500000000002</v>
      </c>
      <c r="I1454" t="s">
        <v>15</v>
      </c>
      <c r="J1454" t="s">
        <v>16</v>
      </c>
      <c r="K1454" t="s">
        <v>29</v>
      </c>
      <c r="L1454">
        <v>2555.0500000000002</v>
      </c>
      <c r="M1454" t="s">
        <v>5033</v>
      </c>
      <c r="N1454" t="s">
        <v>5034</v>
      </c>
    </row>
    <row r="1455" spans="1:14" x14ac:dyDescent="0.3">
      <c r="A1455" t="s">
        <v>1479</v>
      </c>
      <c r="B1455" t="s">
        <v>19</v>
      </c>
      <c r="C1455" t="s">
        <v>13</v>
      </c>
      <c r="D1455">
        <v>31</v>
      </c>
      <c r="E1455" t="s">
        <v>26</v>
      </c>
      <c r="F1455" t="s">
        <v>15</v>
      </c>
      <c r="G1455">
        <v>94.5</v>
      </c>
      <c r="H1455">
        <v>2979.2</v>
      </c>
      <c r="I1455" t="s">
        <v>15</v>
      </c>
      <c r="J1455" t="s">
        <v>16</v>
      </c>
      <c r="K1455" t="s">
        <v>17</v>
      </c>
      <c r="L1455">
        <v>2979.2</v>
      </c>
      <c r="M1455" t="s">
        <v>5032</v>
      </c>
      <c r="N1455" t="s">
        <v>5034</v>
      </c>
    </row>
    <row r="1456" spans="1:14" x14ac:dyDescent="0.3">
      <c r="A1456" t="s">
        <v>1480</v>
      </c>
      <c r="B1456" t="s">
        <v>19</v>
      </c>
      <c r="C1456" t="s">
        <v>13</v>
      </c>
      <c r="D1456">
        <v>29</v>
      </c>
      <c r="E1456" t="s">
        <v>15</v>
      </c>
      <c r="F1456" t="s">
        <v>36</v>
      </c>
      <c r="G1456">
        <v>20.65</v>
      </c>
      <c r="H1456">
        <v>654.85</v>
      </c>
      <c r="I1456" t="s">
        <v>15</v>
      </c>
      <c r="J1456" t="s">
        <v>16</v>
      </c>
      <c r="K1456" t="s">
        <v>21</v>
      </c>
      <c r="L1456">
        <v>654.85</v>
      </c>
      <c r="M1456" t="s">
        <v>5032</v>
      </c>
      <c r="N1456" t="s">
        <v>5031</v>
      </c>
    </row>
    <row r="1457" spans="1:14" x14ac:dyDescent="0.3">
      <c r="A1457" t="s">
        <v>1481</v>
      </c>
      <c r="B1457" t="s">
        <v>12</v>
      </c>
      <c r="C1457" t="s">
        <v>35</v>
      </c>
      <c r="D1457">
        <v>36</v>
      </c>
      <c r="E1457" t="s">
        <v>26</v>
      </c>
      <c r="F1457" t="s">
        <v>16</v>
      </c>
      <c r="G1457">
        <v>106.05</v>
      </c>
      <c r="H1457">
        <v>3834.4</v>
      </c>
      <c r="I1457" t="s">
        <v>15</v>
      </c>
      <c r="J1457" t="s">
        <v>16</v>
      </c>
      <c r="K1457" t="s">
        <v>29</v>
      </c>
      <c r="L1457">
        <v>3834.4</v>
      </c>
      <c r="M1457" t="s">
        <v>5032</v>
      </c>
      <c r="N1457" t="s">
        <v>5034</v>
      </c>
    </row>
    <row r="1458" spans="1:14" x14ac:dyDescent="0.3">
      <c r="A1458" t="s">
        <v>1482</v>
      </c>
      <c r="B1458" t="s">
        <v>12</v>
      </c>
      <c r="C1458" t="s">
        <v>13</v>
      </c>
      <c r="D1458">
        <v>16</v>
      </c>
      <c r="E1458" t="s">
        <v>26</v>
      </c>
      <c r="F1458" t="s">
        <v>15</v>
      </c>
      <c r="G1458">
        <v>100</v>
      </c>
      <c r="H1458">
        <v>1534.75</v>
      </c>
      <c r="I1458" t="s">
        <v>16</v>
      </c>
      <c r="J1458" t="s">
        <v>16</v>
      </c>
      <c r="K1458" t="s">
        <v>17</v>
      </c>
      <c r="L1458">
        <v>1534.75</v>
      </c>
      <c r="M1458" t="s">
        <v>5032</v>
      </c>
      <c r="N1458" t="s">
        <v>5031</v>
      </c>
    </row>
    <row r="1459" spans="1:14" x14ac:dyDescent="0.3">
      <c r="A1459" t="s">
        <v>1483</v>
      </c>
      <c r="B1459" t="s">
        <v>19</v>
      </c>
      <c r="C1459" t="s">
        <v>20</v>
      </c>
      <c r="D1459">
        <v>42</v>
      </c>
      <c r="E1459" t="s">
        <v>26</v>
      </c>
      <c r="F1459" t="s">
        <v>16</v>
      </c>
      <c r="G1459">
        <v>108.3</v>
      </c>
      <c r="H1459">
        <v>4586.1499999999996</v>
      </c>
      <c r="I1459" t="s">
        <v>15</v>
      </c>
      <c r="J1459" t="s">
        <v>16</v>
      </c>
      <c r="K1459" t="s">
        <v>17</v>
      </c>
      <c r="L1459">
        <v>4586.1499999999996</v>
      </c>
      <c r="M1459" t="s">
        <v>5033</v>
      </c>
      <c r="N1459" t="s">
        <v>5034</v>
      </c>
    </row>
    <row r="1460" spans="1:14" x14ac:dyDescent="0.3">
      <c r="A1460" t="s">
        <v>1484</v>
      </c>
      <c r="B1460" t="s">
        <v>19</v>
      </c>
      <c r="C1460" t="s">
        <v>13</v>
      </c>
      <c r="D1460">
        <v>1</v>
      </c>
      <c r="E1460" t="s">
        <v>15</v>
      </c>
      <c r="F1460" t="s">
        <v>36</v>
      </c>
      <c r="G1460">
        <v>20.55</v>
      </c>
      <c r="H1460">
        <v>20.55</v>
      </c>
      <c r="I1460" t="s">
        <v>16</v>
      </c>
      <c r="J1460" t="s">
        <v>15</v>
      </c>
      <c r="K1460" t="s">
        <v>17</v>
      </c>
      <c r="L1460">
        <v>20.55</v>
      </c>
      <c r="M1460" t="s">
        <v>5030</v>
      </c>
      <c r="N1460" t="s">
        <v>5031</v>
      </c>
    </row>
    <row r="1461" spans="1:14" x14ac:dyDescent="0.3">
      <c r="A1461" t="s">
        <v>1485</v>
      </c>
      <c r="B1461" t="s">
        <v>12</v>
      </c>
      <c r="C1461" t="s">
        <v>35</v>
      </c>
      <c r="D1461">
        <v>60</v>
      </c>
      <c r="E1461" t="s">
        <v>26</v>
      </c>
      <c r="F1461" t="s">
        <v>15</v>
      </c>
      <c r="G1461">
        <v>99.65</v>
      </c>
      <c r="H1461">
        <v>5941.05</v>
      </c>
      <c r="I1461" t="s">
        <v>15</v>
      </c>
      <c r="J1461" t="s">
        <v>16</v>
      </c>
      <c r="K1461" t="s">
        <v>17</v>
      </c>
      <c r="L1461">
        <v>5941.05</v>
      </c>
      <c r="M1461" t="s">
        <v>5033</v>
      </c>
      <c r="N1461" t="s">
        <v>5034</v>
      </c>
    </row>
    <row r="1462" spans="1:14" x14ac:dyDescent="0.3">
      <c r="A1462" t="s">
        <v>1486</v>
      </c>
      <c r="B1462" t="s">
        <v>19</v>
      </c>
      <c r="C1462" t="s">
        <v>13</v>
      </c>
      <c r="D1462">
        <v>5</v>
      </c>
      <c r="E1462" t="s">
        <v>26</v>
      </c>
      <c r="F1462" t="s">
        <v>15</v>
      </c>
      <c r="G1462">
        <v>85.3</v>
      </c>
      <c r="H1462">
        <v>424.15</v>
      </c>
      <c r="I1462" t="s">
        <v>16</v>
      </c>
      <c r="J1462" t="s">
        <v>16</v>
      </c>
      <c r="K1462" t="s">
        <v>17</v>
      </c>
      <c r="L1462">
        <v>424.15</v>
      </c>
      <c r="M1462" t="s">
        <v>5030</v>
      </c>
      <c r="N1462" t="s">
        <v>5031</v>
      </c>
    </row>
    <row r="1463" spans="1:14" x14ac:dyDescent="0.3">
      <c r="A1463" t="s">
        <v>1487</v>
      </c>
      <c r="B1463" t="s">
        <v>19</v>
      </c>
      <c r="C1463" t="s">
        <v>13</v>
      </c>
      <c r="D1463">
        <v>22</v>
      </c>
      <c r="E1463" t="s">
        <v>26</v>
      </c>
      <c r="F1463" t="s">
        <v>16</v>
      </c>
      <c r="G1463">
        <v>95.9</v>
      </c>
      <c r="H1463">
        <v>2234.9499999999998</v>
      </c>
      <c r="I1463" t="s">
        <v>15</v>
      </c>
      <c r="J1463" t="s">
        <v>15</v>
      </c>
      <c r="K1463" t="s">
        <v>29</v>
      </c>
      <c r="L1463">
        <v>2234.9499999999998</v>
      </c>
      <c r="M1463" t="s">
        <v>5032</v>
      </c>
      <c r="N1463" t="s">
        <v>5031</v>
      </c>
    </row>
    <row r="1464" spans="1:14" x14ac:dyDescent="0.3">
      <c r="A1464" t="s">
        <v>1488</v>
      </c>
      <c r="B1464" t="s">
        <v>19</v>
      </c>
      <c r="C1464" t="s">
        <v>20</v>
      </c>
      <c r="D1464">
        <v>36</v>
      </c>
      <c r="E1464" t="s">
        <v>15</v>
      </c>
      <c r="F1464" t="s">
        <v>36</v>
      </c>
      <c r="G1464">
        <v>20</v>
      </c>
      <c r="H1464">
        <v>666.75</v>
      </c>
      <c r="I1464" t="s">
        <v>15</v>
      </c>
      <c r="J1464" t="s">
        <v>15</v>
      </c>
      <c r="K1464" t="s">
        <v>21</v>
      </c>
      <c r="L1464">
        <v>666.75</v>
      </c>
      <c r="M1464" t="s">
        <v>5032</v>
      </c>
      <c r="N1464" t="s">
        <v>5031</v>
      </c>
    </row>
    <row r="1465" spans="1:14" x14ac:dyDescent="0.3">
      <c r="A1465" t="s">
        <v>1489</v>
      </c>
      <c r="B1465" t="s">
        <v>12</v>
      </c>
      <c r="C1465" t="s">
        <v>13</v>
      </c>
      <c r="D1465">
        <v>4</v>
      </c>
      <c r="E1465" t="s">
        <v>26</v>
      </c>
      <c r="F1465" t="s">
        <v>15</v>
      </c>
      <c r="G1465">
        <v>70.400000000000006</v>
      </c>
      <c r="H1465">
        <v>281</v>
      </c>
      <c r="I1465" t="s">
        <v>16</v>
      </c>
      <c r="J1465" t="s">
        <v>15</v>
      </c>
      <c r="K1465" t="s">
        <v>17</v>
      </c>
      <c r="L1465">
        <v>281</v>
      </c>
      <c r="M1465" t="s">
        <v>5030</v>
      </c>
      <c r="N1465" t="s">
        <v>5031</v>
      </c>
    </row>
    <row r="1466" spans="1:14" x14ac:dyDescent="0.3">
      <c r="A1466" t="s">
        <v>1490</v>
      </c>
      <c r="B1466" t="s">
        <v>19</v>
      </c>
      <c r="C1466" t="s">
        <v>13</v>
      </c>
      <c r="D1466">
        <v>9</v>
      </c>
      <c r="E1466" t="s">
        <v>14</v>
      </c>
      <c r="F1466" t="s">
        <v>16</v>
      </c>
      <c r="G1466">
        <v>64.95</v>
      </c>
      <c r="H1466">
        <v>547.79999999999995</v>
      </c>
      <c r="I1466" t="s">
        <v>15</v>
      </c>
      <c r="J1466" t="s">
        <v>15</v>
      </c>
      <c r="K1466" t="s">
        <v>21</v>
      </c>
      <c r="L1466">
        <v>547.79999999999995</v>
      </c>
      <c r="M1466" t="s">
        <v>5030</v>
      </c>
      <c r="N1466" t="s">
        <v>5031</v>
      </c>
    </row>
    <row r="1467" spans="1:14" x14ac:dyDescent="0.3">
      <c r="A1467" t="s">
        <v>1491</v>
      </c>
      <c r="B1467" t="s">
        <v>19</v>
      </c>
      <c r="C1467" t="s">
        <v>13</v>
      </c>
      <c r="D1467">
        <v>1</v>
      </c>
      <c r="E1467" t="s">
        <v>26</v>
      </c>
      <c r="F1467" t="s">
        <v>15</v>
      </c>
      <c r="G1467">
        <v>74.599999999999994</v>
      </c>
      <c r="H1467">
        <v>74.599999999999994</v>
      </c>
      <c r="I1467" t="s">
        <v>15</v>
      </c>
      <c r="J1467" t="s">
        <v>15</v>
      </c>
      <c r="K1467" t="s">
        <v>29</v>
      </c>
      <c r="L1467">
        <v>74.599999999999994</v>
      </c>
      <c r="M1467" t="s">
        <v>5030</v>
      </c>
      <c r="N1467" t="s">
        <v>5031</v>
      </c>
    </row>
    <row r="1468" spans="1:14" x14ac:dyDescent="0.3">
      <c r="A1468" t="s">
        <v>1492</v>
      </c>
      <c r="B1468" t="s">
        <v>19</v>
      </c>
      <c r="C1468" t="s">
        <v>13</v>
      </c>
      <c r="D1468">
        <v>12</v>
      </c>
      <c r="E1468" t="s">
        <v>14</v>
      </c>
      <c r="F1468" t="s">
        <v>15</v>
      </c>
      <c r="G1468">
        <v>49.2</v>
      </c>
      <c r="H1468">
        <v>571.15</v>
      </c>
      <c r="I1468" t="s">
        <v>15</v>
      </c>
      <c r="J1468" t="s">
        <v>16</v>
      </c>
      <c r="K1468" t="s">
        <v>17</v>
      </c>
      <c r="L1468">
        <v>571.15</v>
      </c>
      <c r="M1468" t="s">
        <v>5030</v>
      </c>
      <c r="N1468" t="s">
        <v>5031</v>
      </c>
    </row>
    <row r="1469" spans="1:14" x14ac:dyDescent="0.3">
      <c r="A1469" t="s">
        <v>1493</v>
      </c>
      <c r="B1469" t="s">
        <v>12</v>
      </c>
      <c r="C1469" t="s">
        <v>20</v>
      </c>
      <c r="D1469">
        <v>23</v>
      </c>
      <c r="E1469" t="s">
        <v>14</v>
      </c>
      <c r="F1469" t="s">
        <v>16</v>
      </c>
      <c r="G1469">
        <v>73.75</v>
      </c>
      <c r="H1469">
        <v>1756.6</v>
      </c>
      <c r="I1469" t="s">
        <v>15</v>
      </c>
      <c r="J1469" t="s">
        <v>16</v>
      </c>
      <c r="K1469" t="s">
        <v>21</v>
      </c>
      <c r="L1469">
        <v>1756.6</v>
      </c>
      <c r="M1469" t="s">
        <v>5032</v>
      </c>
      <c r="N1469" t="s">
        <v>5031</v>
      </c>
    </row>
    <row r="1470" spans="1:14" x14ac:dyDescent="0.3">
      <c r="A1470" t="s">
        <v>1494</v>
      </c>
      <c r="B1470" t="s">
        <v>19</v>
      </c>
      <c r="C1470" t="s">
        <v>20</v>
      </c>
      <c r="D1470">
        <v>62</v>
      </c>
      <c r="E1470" t="s">
        <v>26</v>
      </c>
      <c r="F1470" t="s">
        <v>15</v>
      </c>
      <c r="G1470">
        <v>92.3</v>
      </c>
      <c r="H1470">
        <v>5731.45</v>
      </c>
      <c r="I1470" t="s">
        <v>15</v>
      </c>
      <c r="J1470" t="s">
        <v>16</v>
      </c>
      <c r="K1470" t="s">
        <v>24</v>
      </c>
      <c r="L1470">
        <v>5731.45</v>
      </c>
      <c r="M1470" t="s">
        <v>5033</v>
      </c>
      <c r="N1470" t="s">
        <v>5034</v>
      </c>
    </row>
    <row r="1471" spans="1:14" x14ac:dyDescent="0.3">
      <c r="A1471" t="s">
        <v>1495</v>
      </c>
      <c r="B1471" t="s">
        <v>19</v>
      </c>
      <c r="C1471" t="s">
        <v>13</v>
      </c>
      <c r="D1471">
        <v>37</v>
      </c>
      <c r="E1471" t="s">
        <v>26</v>
      </c>
      <c r="F1471" t="s">
        <v>16</v>
      </c>
      <c r="G1471">
        <v>98.8</v>
      </c>
      <c r="H1471">
        <v>3475.55</v>
      </c>
      <c r="I1471" t="s">
        <v>16</v>
      </c>
      <c r="J1471" t="s">
        <v>15</v>
      </c>
      <c r="K1471" t="s">
        <v>24</v>
      </c>
      <c r="L1471">
        <v>3475.55</v>
      </c>
      <c r="M1471" t="s">
        <v>5033</v>
      </c>
      <c r="N1471" t="s">
        <v>5034</v>
      </c>
    </row>
    <row r="1472" spans="1:14" x14ac:dyDescent="0.3">
      <c r="A1472" t="s">
        <v>1496</v>
      </c>
      <c r="B1472" t="s">
        <v>12</v>
      </c>
      <c r="C1472" t="s">
        <v>13</v>
      </c>
      <c r="D1472">
        <v>8</v>
      </c>
      <c r="E1472" t="s">
        <v>15</v>
      </c>
      <c r="F1472" t="s">
        <v>36</v>
      </c>
      <c r="G1472">
        <v>19.2</v>
      </c>
      <c r="H1472">
        <v>156.85</v>
      </c>
      <c r="I1472" t="s">
        <v>15</v>
      </c>
      <c r="J1472" t="s">
        <v>15</v>
      </c>
      <c r="K1472" t="s">
        <v>21</v>
      </c>
      <c r="L1472">
        <v>156.85</v>
      </c>
      <c r="M1472" t="s">
        <v>5030</v>
      </c>
      <c r="N1472" t="s">
        <v>5031</v>
      </c>
    </row>
    <row r="1473" spans="1:14" x14ac:dyDescent="0.3">
      <c r="A1473" t="s">
        <v>1497</v>
      </c>
      <c r="B1473" t="s">
        <v>19</v>
      </c>
      <c r="C1473" t="s">
        <v>13</v>
      </c>
      <c r="D1473">
        <v>31</v>
      </c>
      <c r="E1473" t="s">
        <v>26</v>
      </c>
      <c r="F1473" t="s">
        <v>15</v>
      </c>
      <c r="G1473">
        <v>88.65</v>
      </c>
      <c r="H1473">
        <v>2683.2</v>
      </c>
      <c r="I1473" t="s">
        <v>15</v>
      </c>
      <c r="J1473" t="s">
        <v>15</v>
      </c>
      <c r="K1473" t="s">
        <v>29</v>
      </c>
      <c r="L1473">
        <v>2683.2</v>
      </c>
      <c r="M1473" t="s">
        <v>5032</v>
      </c>
      <c r="N1473" t="s">
        <v>5034</v>
      </c>
    </row>
    <row r="1474" spans="1:14" x14ac:dyDescent="0.3">
      <c r="A1474" t="s">
        <v>1498</v>
      </c>
      <c r="B1474" t="s">
        <v>19</v>
      </c>
      <c r="C1474" t="s">
        <v>13</v>
      </c>
      <c r="D1474">
        <v>13</v>
      </c>
      <c r="E1474" t="s">
        <v>26</v>
      </c>
      <c r="F1474" t="s">
        <v>15</v>
      </c>
      <c r="G1474">
        <v>74.400000000000006</v>
      </c>
      <c r="H1474">
        <v>896.75</v>
      </c>
      <c r="I1474" t="s">
        <v>16</v>
      </c>
      <c r="J1474" t="s">
        <v>16</v>
      </c>
      <c r="K1474" t="s">
        <v>29</v>
      </c>
      <c r="L1474">
        <v>896.75</v>
      </c>
      <c r="M1474" t="s">
        <v>5032</v>
      </c>
      <c r="N1474" t="s">
        <v>5031</v>
      </c>
    </row>
    <row r="1475" spans="1:14" x14ac:dyDescent="0.3">
      <c r="A1475" t="s">
        <v>1499</v>
      </c>
      <c r="B1475" t="s">
        <v>12</v>
      </c>
      <c r="C1475" t="s">
        <v>13</v>
      </c>
      <c r="D1475">
        <v>24</v>
      </c>
      <c r="E1475" t="s">
        <v>26</v>
      </c>
      <c r="F1475" t="s">
        <v>15</v>
      </c>
      <c r="G1475">
        <v>98.75</v>
      </c>
      <c r="H1475">
        <v>2407.3000000000002</v>
      </c>
      <c r="I1475" t="s">
        <v>16</v>
      </c>
      <c r="J1475" t="s">
        <v>16</v>
      </c>
      <c r="K1475" t="s">
        <v>17</v>
      </c>
      <c r="L1475">
        <v>2407.3000000000002</v>
      </c>
      <c r="M1475" t="s">
        <v>5032</v>
      </c>
      <c r="N1475" t="s">
        <v>5031</v>
      </c>
    </row>
    <row r="1476" spans="1:14" x14ac:dyDescent="0.3">
      <c r="A1476" t="s">
        <v>1500</v>
      </c>
      <c r="B1476" t="s">
        <v>19</v>
      </c>
      <c r="C1476" t="s">
        <v>13</v>
      </c>
      <c r="D1476">
        <v>45</v>
      </c>
      <c r="E1476" t="s">
        <v>26</v>
      </c>
      <c r="F1476" t="s">
        <v>15</v>
      </c>
      <c r="G1476">
        <v>95.95</v>
      </c>
      <c r="H1476">
        <v>4456.6499999999996</v>
      </c>
      <c r="I1476" t="s">
        <v>15</v>
      </c>
      <c r="J1476" t="s">
        <v>16</v>
      </c>
      <c r="K1476" t="s">
        <v>24</v>
      </c>
      <c r="L1476">
        <v>4456.6499999999996</v>
      </c>
      <c r="M1476" t="s">
        <v>5033</v>
      </c>
      <c r="N1476" t="s">
        <v>5034</v>
      </c>
    </row>
    <row r="1477" spans="1:14" x14ac:dyDescent="0.3">
      <c r="A1477" t="s">
        <v>1501</v>
      </c>
      <c r="B1477" t="s">
        <v>12</v>
      </c>
      <c r="C1477" t="s">
        <v>35</v>
      </c>
      <c r="D1477">
        <v>69</v>
      </c>
      <c r="E1477" t="s">
        <v>26</v>
      </c>
      <c r="F1477" t="s">
        <v>16</v>
      </c>
      <c r="G1477">
        <v>105.4</v>
      </c>
      <c r="H1477">
        <v>6998.95</v>
      </c>
      <c r="I1477" t="s">
        <v>15</v>
      </c>
      <c r="J1477" t="s">
        <v>15</v>
      </c>
      <c r="K1477" t="s">
        <v>29</v>
      </c>
      <c r="L1477">
        <v>6998.95</v>
      </c>
      <c r="M1477" t="s">
        <v>5033</v>
      </c>
      <c r="N1477" t="s">
        <v>5034</v>
      </c>
    </row>
    <row r="1478" spans="1:14" x14ac:dyDescent="0.3">
      <c r="A1478" t="s">
        <v>1502</v>
      </c>
      <c r="B1478" t="s">
        <v>19</v>
      </c>
      <c r="C1478" t="s">
        <v>13</v>
      </c>
      <c r="D1478">
        <v>2</v>
      </c>
      <c r="E1478" t="s">
        <v>15</v>
      </c>
      <c r="F1478" t="s">
        <v>36</v>
      </c>
      <c r="G1478">
        <v>20.25</v>
      </c>
      <c r="H1478">
        <v>36.799999999999997</v>
      </c>
      <c r="I1478" t="s">
        <v>15</v>
      </c>
      <c r="J1478" t="s">
        <v>15</v>
      </c>
      <c r="K1478" t="s">
        <v>21</v>
      </c>
      <c r="L1478">
        <v>36.799999999999997</v>
      </c>
      <c r="M1478" t="s">
        <v>5030</v>
      </c>
      <c r="N1478" t="s">
        <v>5031</v>
      </c>
    </row>
    <row r="1479" spans="1:14" x14ac:dyDescent="0.3">
      <c r="A1479" t="s">
        <v>1503</v>
      </c>
      <c r="B1479" t="s">
        <v>19</v>
      </c>
      <c r="C1479" t="s">
        <v>20</v>
      </c>
      <c r="D1479">
        <v>61</v>
      </c>
      <c r="E1479" t="s">
        <v>26</v>
      </c>
      <c r="F1479" t="s">
        <v>15</v>
      </c>
      <c r="G1479">
        <v>106</v>
      </c>
      <c r="H1479">
        <v>6547.7</v>
      </c>
      <c r="I1479" t="s">
        <v>16</v>
      </c>
      <c r="J1479" t="s">
        <v>16</v>
      </c>
      <c r="K1479" t="s">
        <v>17</v>
      </c>
      <c r="L1479">
        <v>6547.7</v>
      </c>
      <c r="M1479" t="s">
        <v>5033</v>
      </c>
      <c r="N1479" t="s">
        <v>5034</v>
      </c>
    </row>
    <row r="1480" spans="1:14" x14ac:dyDescent="0.3">
      <c r="A1480" t="s">
        <v>1504</v>
      </c>
      <c r="B1480" t="s">
        <v>19</v>
      </c>
      <c r="C1480" t="s">
        <v>13</v>
      </c>
      <c r="D1480">
        <v>41</v>
      </c>
      <c r="E1480" t="s">
        <v>26</v>
      </c>
      <c r="F1480" t="s">
        <v>15</v>
      </c>
      <c r="G1480">
        <v>104.7</v>
      </c>
      <c r="H1480">
        <v>4346.3999999999996</v>
      </c>
      <c r="I1480" t="s">
        <v>16</v>
      </c>
      <c r="J1480" t="s">
        <v>16</v>
      </c>
      <c r="K1480" t="s">
        <v>17</v>
      </c>
      <c r="L1480">
        <v>4346.3999999999996</v>
      </c>
      <c r="M1480" t="s">
        <v>5033</v>
      </c>
      <c r="N1480" t="s">
        <v>5034</v>
      </c>
    </row>
    <row r="1481" spans="1:14" x14ac:dyDescent="0.3">
      <c r="A1481" t="s">
        <v>1505</v>
      </c>
      <c r="B1481" t="s">
        <v>12</v>
      </c>
      <c r="C1481" t="s">
        <v>20</v>
      </c>
      <c r="D1481">
        <v>44</v>
      </c>
      <c r="E1481" t="s">
        <v>14</v>
      </c>
      <c r="F1481" t="s">
        <v>15</v>
      </c>
      <c r="G1481">
        <v>49.05</v>
      </c>
      <c r="H1481">
        <v>2265</v>
      </c>
      <c r="I1481" t="s">
        <v>15</v>
      </c>
      <c r="J1481" t="s">
        <v>16</v>
      </c>
      <c r="K1481" t="s">
        <v>17</v>
      </c>
      <c r="L1481">
        <v>2265</v>
      </c>
      <c r="M1481" t="s">
        <v>5033</v>
      </c>
      <c r="N1481" t="s">
        <v>5031</v>
      </c>
    </row>
    <row r="1482" spans="1:14" x14ac:dyDescent="0.3">
      <c r="A1482" t="s">
        <v>1506</v>
      </c>
      <c r="B1482" t="s">
        <v>19</v>
      </c>
      <c r="C1482" t="s">
        <v>20</v>
      </c>
      <c r="D1482">
        <v>39</v>
      </c>
      <c r="E1482" t="s">
        <v>14</v>
      </c>
      <c r="F1482" t="s">
        <v>16</v>
      </c>
      <c r="G1482">
        <v>35.549999999999997</v>
      </c>
      <c r="H1482">
        <v>1309.1500000000001</v>
      </c>
      <c r="I1482" t="s">
        <v>15</v>
      </c>
      <c r="J1482" t="s">
        <v>15</v>
      </c>
      <c r="K1482" t="s">
        <v>21</v>
      </c>
      <c r="L1482">
        <v>1309.1500000000001</v>
      </c>
      <c r="M1482" t="s">
        <v>5033</v>
      </c>
      <c r="N1482" t="s">
        <v>5031</v>
      </c>
    </row>
    <row r="1483" spans="1:14" x14ac:dyDescent="0.3">
      <c r="A1483" t="s">
        <v>1507</v>
      </c>
      <c r="B1483" t="s">
        <v>19</v>
      </c>
      <c r="C1483" t="s">
        <v>35</v>
      </c>
      <c r="D1483">
        <v>72</v>
      </c>
      <c r="E1483" t="s">
        <v>14</v>
      </c>
      <c r="F1483" t="s">
        <v>16</v>
      </c>
      <c r="G1483">
        <v>65.099999999999994</v>
      </c>
      <c r="H1483">
        <v>4754.3</v>
      </c>
      <c r="I1483" t="s">
        <v>15</v>
      </c>
      <c r="J1483" t="s">
        <v>16</v>
      </c>
      <c r="K1483" t="s">
        <v>29</v>
      </c>
      <c r="L1483">
        <v>4754.3</v>
      </c>
      <c r="M1483" t="s">
        <v>5033</v>
      </c>
      <c r="N1483" t="s">
        <v>5034</v>
      </c>
    </row>
    <row r="1484" spans="1:14" x14ac:dyDescent="0.3">
      <c r="A1484" t="s">
        <v>1508</v>
      </c>
      <c r="B1484" t="s">
        <v>12</v>
      </c>
      <c r="C1484" t="s">
        <v>13</v>
      </c>
      <c r="D1484">
        <v>13</v>
      </c>
      <c r="E1484" t="s">
        <v>26</v>
      </c>
      <c r="F1484" t="s">
        <v>15</v>
      </c>
      <c r="G1484">
        <v>96.85</v>
      </c>
      <c r="H1484">
        <v>1235.55</v>
      </c>
      <c r="I1484" t="s">
        <v>15</v>
      </c>
      <c r="J1484" t="s">
        <v>16</v>
      </c>
      <c r="K1484" t="s">
        <v>17</v>
      </c>
      <c r="L1484">
        <v>1235.55</v>
      </c>
      <c r="M1484" t="s">
        <v>5032</v>
      </c>
      <c r="N1484" t="s">
        <v>5031</v>
      </c>
    </row>
    <row r="1485" spans="1:14" x14ac:dyDescent="0.3">
      <c r="A1485" t="s">
        <v>1509</v>
      </c>
      <c r="B1485" t="s">
        <v>12</v>
      </c>
      <c r="C1485" t="s">
        <v>20</v>
      </c>
      <c r="D1485">
        <v>51</v>
      </c>
      <c r="E1485" t="s">
        <v>14</v>
      </c>
      <c r="F1485" t="s">
        <v>16</v>
      </c>
      <c r="G1485">
        <v>69.75</v>
      </c>
      <c r="H1485">
        <v>3562.5</v>
      </c>
      <c r="I1485" t="s">
        <v>15</v>
      </c>
      <c r="J1485" t="s">
        <v>16</v>
      </c>
      <c r="K1485" t="s">
        <v>29</v>
      </c>
      <c r="L1485">
        <v>3562.5</v>
      </c>
      <c r="M1485" t="s">
        <v>5033</v>
      </c>
      <c r="N1485" t="s">
        <v>5034</v>
      </c>
    </row>
    <row r="1486" spans="1:14" x14ac:dyDescent="0.3">
      <c r="A1486" t="s">
        <v>1510</v>
      </c>
      <c r="B1486" t="s">
        <v>12</v>
      </c>
      <c r="C1486" t="s">
        <v>35</v>
      </c>
      <c r="D1486">
        <v>71</v>
      </c>
      <c r="E1486" t="s">
        <v>26</v>
      </c>
      <c r="F1486" t="s">
        <v>15</v>
      </c>
      <c r="G1486">
        <v>99.2</v>
      </c>
      <c r="H1486">
        <v>7213.75</v>
      </c>
      <c r="I1486" t="s">
        <v>15</v>
      </c>
      <c r="J1486" t="s">
        <v>16</v>
      </c>
      <c r="K1486" t="s">
        <v>17</v>
      </c>
      <c r="L1486">
        <v>7213.75</v>
      </c>
      <c r="M1486" t="s">
        <v>5033</v>
      </c>
      <c r="N1486" t="s">
        <v>5034</v>
      </c>
    </row>
    <row r="1487" spans="1:14" x14ac:dyDescent="0.3">
      <c r="A1487" t="s">
        <v>1511</v>
      </c>
      <c r="B1487" t="s">
        <v>19</v>
      </c>
      <c r="C1487" t="s">
        <v>13</v>
      </c>
      <c r="D1487">
        <v>22</v>
      </c>
      <c r="E1487" t="s">
        <v>26</v>
      </c>
      <c r="F1487" t="s">
        <v>15</v>
      </c>
      <c r="G1487">
        <v>96.7</v>
      </c>
      <c r="H1487">
        <v>2082.9499999999998</v>
      </c>
      <c r="I1487" t="s">
        <v>16</v>
      </c>
      <c r="J1487" t="s">
        <v>16</v>
      </c>
      <c r="K1487" t="s">
        <v>17</v>
      </c>
      <c r="L1487">
        <v>2082.9499999999998</v>
      </c>
      <c r="M1487" t="s">
        <v>5032</v>
      </c>
      <c r="N1487" t="s">
        <v>5031</v>
      </c>
    </row>
    <row r="1488" spans="1:14" x14ac:dyDescent="0.3">
      <c r="A1488" t="s">
        <v>1512</v>
      </c>
      <c r="B1488" t="s">
        <v>12</v>
      </c>
      <c r="C1488" t="s">
        <v>13</v>
      </c>
      <c r="D1488">
        <v>2</v>
      </c>
      <c r="E1488" t="s">
        <v>14</v>
      </c>
      <c r="F1488" t="s">
        <v>16</v>
      </c>
      <c r="G1488">
        <v>55.05</v>
      </c>
      <c r="H1488">
        <v>102.75</v>
      </c>
      <c r="I1488" t="s">
        <v>16</v>
      </c>
      <c r="J1488" t="s">
        <v>16</v>
      </c>
      <c r="K1488" t="s">
        <v>29</v>
      </c>
      <c r="L1488">
        <v>102.75</v>
      </c>
      <c r="M1488" t="s">
        <v>5030</v>
      </c>
      <c r="N1488" t="s">
        <v>5031</v>
      </c>
    </row>
    <row r="1489" spans="1:14" x14ac:dyDescent="0.3">
      <c r="A1489" t="s">
        <v>1513</v>
      </c>
      <c r="B1489" t="s">
        <v>12</v>
      </c>
      <c r="C1489" t="s">
        <v>20</v>
      </c>
      <c r="D1489">
        <v>56</v>
      </c>
      <c r="E1489" t="s">
        <v>26</v>
      </c>
      <c r="F1489" t="s">
        <v>15</v>
      </c>
      <c r="G1489">
        <v>106.8</v>
      </c>
      <c r="H1489">
        <v>5914.4</v>
      </c>
      <c r="I1489" t="s">
        <v>15</v>
      </c>
      <c r="J1489" t="s">
        <v>16</v>
      </c>
      <c r="K1489" t="s">
        <v>17</v>
      </c>
      <c r="L1489">
        <v>5914.4</v>
      </c>
      <c r="M1489" t="s">
        <v>5033</v>
      </c>
      <c r="N1489" t="s">
        <v>5034</v>
      </c>
    </row>
    <row r="1490" spans="1:14" x14ac:dyDescent="0.3">
      <c r="A1490" t="s">
        <v>1514</v>
      </c>
      <c r="B1490" t="s">
        <v>19</v>
      </c>
      <c r="C1490" t="s">
        <v>13</v>
      </c>
      <c r="D1490">
        <v>1</v>
      </c>
      <c r="E1490" t="s">
        <v>14</v>
      </c>
      <c r="F1490" t="s">
        <v>15</v>
      </c>
      <c r="G1490">
        <v>51.25</v>
      </c>
      <c r="H1490">
        <v>51.25</v>
      </c>
      <c r="I1490" t="s">
        <v>15</v>
      </c>
      <c r="J1490" t="s">
        <v>15</v>
      </c>
      <c r="K1490" t="s">
        <v>21</v>
      </c>
      <c r="L1490">
        <v>51.25</v>
      </c>
      <c r="M1490" t="s">
        <v>5030</v>
      </c>
      <c r="N1490" t="s">
        <v>5031</v>
      </c>
    </row>
    <row r="1491" spans="1:14" x14ac:dyDescent="0.3">
      <c r="A1491" t="s">
        <v>1515</v>
      </c>
      <c r="B1491" t="s">
        <v>12</v>
      </c>
      <c r="C1491" t="s">
        <v>20</v>
      </c>
      <c r="D1491">
        <v>23</v>
      </c>
      <c r="E1491" t="s">
        <v>14</v>
      </c>
      <c r="F1491" t="s">
        <v>16</v>
      </c>
      <c r="G1491">
        <v>57.75</v>
      </c>
      <c r="H1491">
        <v>1282.8499999999999</v>
      </c>
      <c r="I1491" t="s">
        <v>15</v>
      </c>
      <c r="J1491" t="s">
        <v>16</v>
      </c>
      <c r="K1491" t="s">
        <v>21</v>
      </c>
      <c r="L1491">
        <v>1282.8499999999999</v>
      </c>
      <c r="M1491" t="s">
        <v>5032</v>
      </c>
      <c r="N1491" t="s">
        <v>5031</v>
      </c>
    </row>
    <row r="1492" spans="1:14" x14ac:dyDescent="0.3">
      <c r="A1492" t="s">
        <v>1516</v>
      </c>
      <c r="B1492" t="s">
        <v>12</v>
      </c>
      <c r="C1492" t="s">
        <v>20</v>
      </c>
      <c r="D1492">
        <v>66</v>
      </c>
      <c r="E1492" t="s">
        <v>14</v>
      </c>
      <c r="F1492" t="s">
        <v>15</v>
      </c>
      <c r="G1492">
        <v>70.849999999999994</v>
      </c>
      <c r="H1492">
        <v>4738.8500000000004</v>
      </c>
      <c r="I1492" t="s">
        <v>15</v>
      </c>
      <c r="J1492" t="s">
        <v>16</v>
      </c>
      <c r="K1492" t="s">
        <v>24</v>
      </c>
      <c r="L1492">
        <v>4738.8500000000004</v>
      </c>
      <c r="M1492" t="s">
        <v>5033</v>
      </c>
      <c r="N1492" t="s">
        <v>5034</v>
      </c>
    </row>
    <row r="1493" spans="1:14" x14ac:dyDescent="0.3">
      <c r="A1493" t="s">
        <v>1517</v>
      </c>
      <c r="B1493" t="s">
        <v>12</v>
      </c>
      <c r="C1493" t="s">
        <v>13</v>
      </c>
      <c r="D1493">
        <v>1</v>
      </c>
      <c r="E1493" t="s">
        <v>15</v>
      </c>
      <c r="F1493" t="s">
        <v>36</v>
      </c>
      <c r="G1493">
        <v>19.55</v>
      </c>
      <c r="H1493">
        <v>19.55</v>
      </c>
      <c r="I1493" t="s">
        <v>15</v>
      </c>
      <c r="J1493" t="s">
        <v>15</v>
      </c>
      <c r="K1493" t="s">
        <v>21</v>
      </c>
      <c r="L1493">
        <v>19.55</v>
      </c>
      <c r="M1493" t="s">
        <v>5030</v>
      </c>
      <c r="N1493" t="s">
        <v>5031</v>
      </c>
    </row>
    <row r="1494" spans="1:14" x14ac:dyDescent="0.3">
      <c r="A1494" t="s">
        <v>1518</v>
      </c>
      <c r="B1494" t="s">
        <v>19</v>
      </c>
      <c r="C1494" t="s">
        <v>13</v>
      </c>
      <c r="D1494">
        <v>19</v>
      </c>
      <c r="E1494" t="s">
        <v>26</v>
      </c>
      <c r="F1494" t="s">
        <v>15</v>
      </c>
      <c r="G1494">
        <v>88.2</v>
      </c>
      <c r="H1494">
        <v>1775.8</v>
      </c>
      <c r="I1494" t="s">
        <v>16</v>
      </c>
      <c r="J1494" t="s">
        <v>16</v>
      </c>
      <c r="K1494" t="s">
        <v>17</v>
      </c>
      <c r="L1494">
        <v>1775.8</v>
      </c>
      <c r="M1494" t="s">
        <v>5032</v>
      </c>
      <c r="N1494" t="s">
        <v>5031</v>
      </c>
    </row>
    <row r="1495" spans="1:14" x14ac:dyDescent="0.3">
      <c r="A1495" t="s">
        <v>1519</v>
      </c>
      <c r="B1495" t="s">
        <v>19</v>
      </c>
      <c r="C1495" t="s">
        <v>13</v>
      </c>
      <c r="D1495">
        <v>11</v>
      </c>
      <c r="E1495" t="s">
        <v>26</v>
      </c>
      <c r="F1495" t="s">
        <v>15</v>
      </c>
      <c r="G1495">
        <v>79.5</v>
      </c>
      <c r="H1495">
        <v>795.65</v>
      </c>
      <c r="I1495" t="s">
        <v>15</v>
      </c>
      <c r="J1495" t="s">
        <v>16</v>
      </c>
      <c r="K1495" t="s">
        <v>24</v>
      </c>
      <c r="L1495">
        <v>795.65</v>
      </c>
      <c r="M1495" t="s">
        <v>5030</v>
      </c>
      <c r="N1495" t="s">
        <v>5031</v>
      </c>
    </row>
    <row r="1496" spans="1:14" x14ac:dyDescent="0.3">
      <c r="A1496" t="s">
        <v>1520</v>
      </c>
      <c r="B1496" t="s">
        <v>12</v>
      </c>
      <c r="C1496" t="s">
        <v>20</v>
      </c>
      <c r="D1496">
        <v>8</v>
      </c>
      <c r="E1496" t="s">
        <v>15</v>
      </c>
      <c r="F1496" t="s">
        <v>36</v>
      </c>
      <c r="G1496">
        <v>19.75</v>
      </c>
      <c r="H1496">
        <v>145</v>
      </c>
      <c r="I1496" t="s">
        <v>16</v>
      </c>
      <c r="J1496" t="s">
        <v>16</v>
      </c>
      <c r="K1496" t="s">
        <v>21</v>
      </c>
      <c r="L1496">
        <v>145</v>
      </c>
      <c r="M1496" t="s">
        <v>5030</v>
      </c>
      <c r="N1496" t="s">
        <v>5031</v>
      </c>
    </row>
    <row r="1497" spans="1:14" x14ac:dyDescent="0.3">
      <c r="A1497" t="s">
        <v>1521</v>
      </c>
      <c r="B1497" t="s">
        <v>12</v>
      </c>
      <c r="C1497" t="s">
        <v>13</v>
      </c>
      <c r="D1497">
        <v>52</v>
      </c>
      <c r="E1497" t="s">
        <v>26</v>
      </c>
      <c r="F1497" t="s">
        <v>15</v>
      </c>
      <c r="G1497">
        <v>98.15</v>
      </c>
      <c r="H1497">
        <v>4993.3999999999996</v>
      </c>
      <c r="I1497" t="s">
        <v>15</v>
      </c>
      <c r="J1497" t="s">
        <v>15</v>
      </c>
      <c r="K1497" t="s">
        <v>24</v>
      </c>
      <c r="L1497">
        <v>4993.3999999999996</v>
      </c>
      <c r="M1497" t="s">
        <v>5033</v>
      </c>
      <c r="N1497" t="s">
        <v>5034</v>
      </c>
    </row>
    <row r="1498" spans="1:14" x14ac:dyDescent="0.3">
      <c r="A1498" t="s">
        <v>1522</v>
      </c>
      <c r="B1498" t="s">
        <v>19</v>
      </c>
      <c r="C1498" t="s">
        <v>13</v>
      </c>
      <c r="D1498">
        <v>3</v>
      </c>
      <c r="E1498" t="s">
        <v>15</v>
      </c>
      <c r="F1498" t="s">
        <v>36</v>
      </c>
      <c r="G1498">
        <v>20.25</v>
      </c>
      <c r="H1498">
        <v>61.45</v>
      </c>
      <c r="I1498" t="s">
        <v>15</v>
      </c>
      <c r="J1498" t="s">
        <v>16</v>
      </c>
      <c r="K1498" t="s">
        <v>17</v>
      </c>
      <c r="L1498">
        <v>61.45</v>
      </c>
      <c r="M1498" t="s">
        <v>5030</v>
      </c>
      <c r="N1498" t="s">
        <v>5031</v>
      </c>
    </row>
    <row r="1499" spans="1:14" x14ac:dyDescent="0.3">
      <c r="A1499" t="s">
        <v>1523</v>
      </c>
      <c r="B1499" t="s">
        <v>12</v>
      </c>
      <c r="C1499" t="s">
        <v>13</v>
      </c>
      <c r="D1499">
        <v>51</v>
      </c>
      <c r="E1499" t="s">
        <v>26</v>
      </c>
      <c r="F1499" t="s">
        <v>15</v>
      </c>
      <c r="G1499">
        <v>79.150000000000006</v>
      </c>
      <c r="H1499">
        <v>4018.55</v>
      </c>
      <c r="I1499" t="s">
        <v>15</v>
      </c>
      <c r="J1499" t="s">
        <v>16</v>
      </c>
      <c r="K1499" t="s">
        <v>24</v>
      </c>
      <c r="L1499">
        <v>4018.55</v>
      </c>
      <c r="M1499" t="s">
        <v>5033</v>
      </c>
      <c r="N1499" t="s">
        <v>5034</v>
      </c>
    </row>
    <row r="1500" spans="1:14" x14ac:dyDescent="0.3">
      <c r="A1500" t="s">
        <v>1524</v>
      </c>
      <c r="B1500" t="s">
        <v>19</v>
      </c>
      <c r="C1500" t="s">
        <v>13</v>
      </c>
      <c r="D1500">
        <v>15</v>
      </c>
      <c r="E1500" t="s">
        <v>26</v>
      </c>
      <c r="F1500" t="s">
        <v>15</v>
      </c>
      <c r="G1500">
        <v>75.650000000000006</v>
      </c>
      <c r="H1500">
        <v>1146.6500000000001</v>
      </c>
      <c r="I1500" t="s">
        <v>16</v>
      </c>
      <c r="J1500" t="s">
        <v>15</v>
      </c>
      <c r="K1500" t="s">
        <v>17</v>
      </c>
      <c r="L1500">
        <v>1146.6500000000001</v>
      </c>
      <c r="M1500" t="s">
        <v>5032</v>
      </c>
      <c r="N1500" t="s">
        <v>5031</v>
      </c>
    </row>
    <row r="1501" spans="1:14" x14ac:dyDescent="0.3">
      <c r="A1501" t="s">
        <v>1525</v>
      </c>
      <c r="B1501" t="s">
        <v>19</v>
      </c>
      <c r="C1501" t="s">
        <v>13</v>
      </c>
      <c r="D1501">
        <v>64</v>
      </c>
      <c r="E1501" t="s">
        <v>26</v>
      </c>
      <c r="F1501" t="s">
        <v>15</v>
      </c>
      <c r="G1501">
        <v>94.25</v>
      </c>
      <c r="H1501">
        <v>6081.4</v>
      </c>
      <c r="I1501" t="s">
        <v>15</v>
      </c>
      <c r="J1501" t="s">
        <v>16</v>
      </c>
      <c r="K1501" t="s">
        <v>17</v>
      </c>
      <c r="L1501">
        <v>6081.4</v>
      </c>
      <c r="M1501" t="s">
        <v>5033</v>
      </c>
      <c r="N1501" t="s">
        <v>5034</v>
      </c>
    </row>
    <row r="1502" spans="1:14" x14ac:dyDescent="0.3">
      <c r="A1502" t="s">
        <v>1526</v>
      </c>
      <c r="B1502" t="s">
        <v>12</v>
      </c>
      <c r="C1502" t="s">
        <v>13</v>
      </c>
      <c r="D1502">
        <v>37</v>
      </c>
      <c r="E1502" t="s">
        <v>14</v>
      </c>
      <c r="F1502" t="s">
        <v>15</v>
      </c>
      <c r="G1502">
        <v>40.200000000000003</v>
      </c>
      <c r="H1502">
        <v>1478.85</v>
      </c>
      <c r="I1502" t="s">
        <v>15</v>
      </c>
      <c r="J1502" t="s">
        <v>16</v>
      </c>
      <c r="K1502" t="s">
        <v>29</v>
      </c>
      <c r="L1502">
        <v>1478.85</v>
      </c>
      <c r="M1502" t="s">
        <v>5033</v>
      </c>
      <c r="N1502" t="s">
        <v>5031</v>
      </c>
    </row>
    <row r="1503" spans="1:14" x14ac:dyDescent="0.3">
      <c r="A1503" t="s">
        <v>1527</v>
      </c>
      <c r="B1503" t="s">
        <v>19</v>
      </c>
      <c r="C1503" t="s">
        <v>35</v>
      </c>
      <c r="D1503">
        <v>13</v>
      </c>
      <c r="E1503" t="s">
        <v>15</v>
      </c>
      <c r="F1503" t="s">
        <v>36</v>
      </c>
      <c r="G1503">
        <v>19.95</v>
      </c>
      <c r="H1503">
        <v>243.65</v>
      </c>
      <c r="I1503" t="s">
        <v>15</v>
      </c>
      <c r="J1503" t="s">
        <v>15</v>
      </c>
      <c r="K1503" t="s">
        <v>21</v>
      </c>
      <c r="L1503">
        <v>243.65</v>
      </c>
      <c r="M1503" t="s">
        <v>5032</v>
      </c>
      <c r="N1503" t="s">
        <v>5031</v>
      </c>
    </row>
    <row r="1504" spans="1:14" x14ac:dyDescent="0.3">
      <c r="A1504" t="s">
        <v>1528</v>
      </c>
      <c r="B1504" t="s">
        <v>19</v>
      </c>
      <c r="C1504" t="s">
        <v>20</v>
      </c>
      <c r="D1504">
        <v>49</v>
      </c>
      <c r="E1504" t="s">
        <v>14</v>
      </c>
      <c r="F1504" t="s">
        <v>15</v>
      </c>
      <c r="G1504">
        <v>55.35</v>
      </c>
      <c r="H1504">
        <v>2633.95</v>
      </c>
      <c r="I1504" t="s">
        <v>15</v>
      </c>
      <c r="J1504" t="s">
        <v>16</v>
      </c>
      <c r="K1504" t="s">
        <v>17</v>
      </c>
      <c r="L1504">
        <v>2633.95</v>
      </c>
      <c r="M1504" t="s">
        <v>5033</v>
      </c>
      <c r="N1504" t="s">
        <v>5034</v>
      </c>
    </row>
    <row r="1505" spans="1:14" x14ac:dyDescent="0.3">
      <c r="A1505" t="s">
        <v>1529</v>
      </c>
      <c r="B1505" t="s">
        <v>12</v>
      </c>
      <c r="C1505" t="s">
        <v>20</v>
      </c>
      <c r="D1505">
        <v>45</v>
      </c>
      <c r="E1505" t="s">
        <v>26</v>
      </c>
      <c r="F1505" t="s">
        <v>15</v>
      </c>
      <c r="G1505">
        <v>102.15</v>
      </c>
      <c r="H1505">
        <v>4735.3500000000004</v>
      </c>
      <c r="I1505" t="s">
        <v>15</v>
      </c>
      <c r="J1505" t="s">
        <v>16</v>
      </c>
      <c r="K1505" t="s">
        <v>24</v>
      </c>
      <c r="L1505">
        <v>4735.3500000000004</v>
      </c>
      <c r="M1505" t="s">
        <v>5033</v>
      </c>
      <c r="N1505" t="s">
        <v>5034</v>
      </c>
    </row>
    <row r="1506" spans="1:14" x14ac:dyDescent="0.3">
      <c r="A1506" t="s">
        <v>1530</v>
      </c>
      <c r="B1506" t="s">
        <v>12</v>
      </c>
      <c r="C1506" t="s">
        <v>13</v>
      </c>
      <c r="D1506">
        <v>18</v>
      </c>
      <c r="E1506" t="s">
        <v>26</v>
      </c>
      <c r="F1506" t="s">
        <v>15</v>
      </c>
      <c r="G1506">
        <v>71.099999999999994</v>
      </c>
      <c r="H1506">
        <v>1247.75</v>
      </c>
      <c r="I1506" t="s">
        <v>15</v>
      </c>
      <c r="J1506" t="s">
        <v>16</v>
      </c>
      <c r="K1506" t="s">
        <v>17</v>
      </c>
      <c r="L1506">
        <v>1247.75</v>
      </c>
      <c r="M1506" t="s">
        <v>5032</v>
      </c>
      <c r="N1506" t="s">
        <v>5031</v>
      </c>
    </row>
    <row r="1507" spans="1:14" x14ac:dyDescent="0.3">
      <c r="A1507" t="s">
        <v>1531</v>
      </c>
      <c r="B1507" t="s">
        <v>19</v>
      </c>
      <c r="C1507" t="s">
        <v>13</v>
      </c>
      <c r="D1507">
        <v>1</v>
      </c>
      <c r="E1507" t="s">
        <v>26</v>
      </c>
      <c r="F1507" t="s">
        <v>15</v>
      </c>
      <c r="G1507">
        <v>74.7</v>
      </c>
      <c r="H1507">
        <v>74.7</v>
      </c>
      <c r="I1507" t="s">
        <v>16</v>
      </c>
      <c r="J1507" t="s">
        <v>16</v>
      </c>
      <c r="K1507" t="s">
        <v>17</v>
      </c>
      <c r="L1507">
        <v>74.7</v>
      </c>
      <c r="M1507" t="s">
        <v>5030</v>
      </c>
      <c r="N1507" t="s">
        <v>5031</v>
      </c>
    </row>
    <row r="1508" spans="1:14" x14ac:dyDescent="0.3">
      <c r="A1508" t="s">
        <v>1532</v>
      </c>
      <c r="B1508" t="s">
        <v>19</v>
      </c>
      <c r="C1508" t="s">
        <v>35</v>
      </c>
      <c r="D1508">
        <v>68</v>
      </c>
      <c r="E1508" t="s">
        <v>14</v>
      </c>
      <c r="F1508" t="s">
        <v>15</v>
      </c>
      <c r="G1508">
        <v>54.1</v>
      </c>
      <c r="H1508">
        <v>3794.5</v>
      </c>
      <c r="I1508" t="s">
        <v>15</v>
      </c>
      <c r="J1508" t="s">
        <v>16</v>
      </c>
      <c r="K1508" t="s">
        <v>24</v>
      </c>
      <c r="L1508">
        <v>3794.5</v>
      </c>
      <c r="M1508" t="s">
        <v>5033</v>
      </c>
      <c r="N1508" t="s">
        <v>5034</v>
      </c>
    </row>
    <row r="1509" spans="1:14" x14ac:dyDescent="0.3">
      <c r="A1509" t="s">
        <v>1533</v>
      </c>
      <c r="B1509" t="s">
        <v>19</v>
      </c>
      <c r="C1509" t="s">
        <v>35</v>
      </c>
      <c r="D1509">
        <v>54</v>
      </c>
      <c r="E1509" t="s">
        <v>15</v>
      </c>
      <c r="F1509" t="s">
        <v>36</v>
      </c>
      <c r="G1509">
        <v>19.649999999999999</v>
      </c>
      <c r="H1509">
        <v>1008.7</v>
      </c>
      <c r="I1509" t="s">
        <v>15</v>
      </c>
      <c r="J1509" t="s">
        <v>15</v>
      </c>
      <c r="K1509" t="s">
        <v>29</v>
      </c>
      <c r="L1509">
        <v>1008.7</v>
      </c>
      <c r="M1509" t="s">
        <v>5033</v>
      </c>
      <c r="N1509" t="s">
        <v>5031</v>
      </c>
    </row>
    <row r="1510" spans="1:14" x14ac:dyDescent="0.3">
      <c r="A1510" t="s">
        <v>1534</v>
      </c>
      <c r="B1510" t="s">
        <v>12</v>
      </c>
      <c r="C1510" t="s">
        <v>13</v>
      </c>
      <c r="D1510">
        <v>23</v>
      </c>
      <c r="E1510" t="s">
        <v>26</v>
      </c>
      <c r="F1510" t="s">
        <v>15</v>
      </c>
      <c r="G1510">
        <v>88.45</v>
      </c>
      <c r="H1510">
        <v>2130.5500000000002</v>
      </c>
      <c r="I1510" t="s">
        <v>15</v>
      </c>
      <c r="J1510" t="s">
        <v>16</v>
      </c>
      <c r="K1510" t="s">
        <v>24</v>
      </c>
      <c r="L1510">
        <v>2130.5500000000002</v>
      </c>
      <c r="M1510" t="s">
        <v>5032</v>
      </c>
      <c r="N1510" t="s">
        <v>5031</v>
      </c>
    </row>
    <row r="1511" spans="1:14" x14ac:dyDescent="0.3">
      <c r="A1511" t="s">
        <v>1535</v>
      </c>
      <c r="B1511" t="s">
        <v>19</v>
      </c>
      <c r="C1511" t="s">
        <v>13</v>
      </c>
      <c r="D1511">
        <v>17</v>
      </c>
      <c r="E1511" t="s">
        <v>26</v>
      </c>
      <c r="F1511" t="s">
        <v>15</v>
      </c>
      <c r="G1511">
        <v>76.650000000000006</v>
      </c>
      <c r="H1511">
        <v>1313.55</v>
      </c>
      <c r="I1511" t="s">
        <v>16</v>
      </c>
      <c r="J1511" t="s">
        <v>16</v>
      </c>
      <c r="K1511" t="s">
        <v>17</v>
      </c>
      <c r="L1511">
        <v>1313.55</v>
      </c>
      <c r="M1511" t="s">
        <v>5032</v>
      </c>
      <c r="N1511" t="s">
        <v>5031</v>
      </c>
    </row>
    <row r="1512" spans="1:14" x14ac:dyDescent="0.3">
      <c r="A1512" t="s">
        <v>1536</v>
      </c>
      <c r="B1512" t="s">
        <v>19</v>
      </c>
      <c r="C1512" t="s">
        <v>35</v>
      </c>
      <c r="D1512">
        <v>71</v>
      </c>
      <c r="E1512" t="s">
        <v>14</v>
      </c>
      <c r="F1512" t="s">
        <v>16</v>
      </c>
      <c r="G1512">
        <v>80.400000000000006</v>
      </c>
      <c r="H1512">
        <v>5727.15</v>
      </c>
      <c r="I1512" t="s">
        <v>15</v>
      </c>
      <c r="J1512" t="s">
        <v>15</v>
      </c>
      <c r="K1512" t="s">
        <v>29</v>
      </c>
      <c r="L1512">
        <v>5727.15</v>
      </c>
      <c r="M1512" t="s">
        <v>5033</v>
      </c>
      <c r="N1512" t="s">
        <v>5034</v>
      </c>
    </row>
    <row r="1513" spans="1:14" x14ac:dyDescent="0.3">
      <c r="A1513" t="s">
        <v>1537</v>
      </c>
      <c r="B1513" t="s">
        <v>12</v>
      </c>
      <c r="C1513" t="s">
        <v>35</v>
      </c>
      <c r="D1513">
        <v>67</v>
      </c>
      <c r="E1513" t="s">
        <v>15</v>
      </c>
      <c r="F1513" t="s">
        <v>36</v>
      </c>
      <c r="G1513">
        <v>19.25</v>
      </c>
      <c r="H1513">
        <v>1372.9</v>
      </c>
      <c r="I1513" t="s">
        <v>15</v>
      </c>
      <c r="J1513" t="s">
        <v>16</v>
      </c>
      <c r="K1513" t="s">
        <v>24</v>
      </c>
      <c r="L1513">
        <v>1372.9</v>
      </c>
      <c r="M1513" t="s">
        <v>5033</v>
      </c>
      <c r="N1513" t="s">
        <v>5031</v>
      </c>
    </row>
    <row r="1514" spans="1:14" x14ac:dyDescent="0.3">
      <c r="A1514" t="s">
        <v>1538</v>
      </c>
      <c r="B1514" t="s">
        <v>12</v>
      </c>
      <c r="C1514" t="s">
        <v>13</v>
      </c>
      <c r="D1514">
        <v>14</v>
      </c>
      <c r="E1514" t="s">
        <v>26</v>
      </c>
      <c r="F1514" t="s">
        <v>15</v>
      </c>
      <c r="G1514">
        <v>84.8</v>
      </c>
      <c r="H1514">
        <v>1203.9000000000001</v>
      </c>
      <c r="I1514" t="s">
        <v>15</v>
      </c>
      <c r="J1514" t="s">
        <v>16</v>
      </c>
      <c r="K1514" t="s">
        <v>17</v>
      </c>
      <c r="L1514">
        <v>1203.9000000000001</v>
      </c>
      <c r="M1514" t="s">
        <v>5032</v>
      </c>
      <c r="N1514" t="s">
        <v>5031</v>
      </c>
    </row>
    <row r="1515" spans="1:14" x14ac:dyDescent="0.3">
      <c r="A1515" t="s">
        <v>1539</v>
      </c>
      <c r="B1515" t="s">
        <v>12</v>
      </c>
      <c r="C1515" t="s">
        <v>13</v>
      </c>
      <c r="D1515">
        <v>1</v>
      </c>
      <c r="E1515" t="s">
        <v>14</v>
      </c>
      <c r="F1515" t="s">
        <v>15</v>
      </c>
      <c r="G1515">
        <v>25.8</v>
      </c>
      <c r="H1515">
        <v>25.8</v>
      </c>
      <c r="I1515" t="s">
        <v>16</v>
      </c>
      <c r="J1515" t="s">
        <v>16</v>
      </c>
      <c r="K1515" t="s">
        <v>21</v>
      </c>
      <c r="L1515">
        <v>25.8</v>
      </c>
      <c r="M1515" t="s">
        <v>5030</v>
      </c>
      <c r="N1515" t="s">
        <v>5031</v>
      </c>
    </row>
    <row r="1516" spans="1:14" x14ac:dyDescent="0.3">
      <c r="A1516" t="s">
        <v>1540</v>
      </c>
      <c r="B1516" t="s">
        <v>12</v>
      </c>
      <c r="C1516" t="s">
        <v>35</v>
      </c>
      <c r="D1516">
        <v>63</v>
      </c>
      <c r="E1516" t="s">
        <v>15</v>
      </c>
      <c r="F1516" t="s">
        <v>36</v>
      </c>
      <c r="G1516">
        <v>19.5</v>
      </c>
      <c r="H1516">
        <v>1215.0999999999999</v>
      </c>
      <c r="I1516" t="s">
        <v>15</v>
      </c>
      <c r="J1516" t="s">
        <v>15</v>
      </c>
      <c r="K1516" t="s">
        <v>29</v>
      </c>
      <c r="L1516">
        <v>1215.0999999999999</v>
      </c>
      <c r="M1516" t="s">
        <v>5033</v>
      </c>
      <c r="N1516" t="s">
        <v>5031</v>
      </c>
    </row>
    <row r="1517" spans="1:14" x14ac:dyDescent="0.3">
      <c r="A1517" t="s">
        <v>1541</v>
      </c>
      <c r="B1517" t="s">
        <v>12</v>
      </c>
      <c r="C1517" t="s">
        <v>20</v>
      </c>
      <c r="D1517">
        <v>41</v>
      </c>
      <c r="E1517" t="s">
        <v>14</v>
      </c>
      <c r="F1517" t="s">
        <v>16</v>
      </c>
      <c r="G1517">
        <v>68.599999999999994</v>
      </c>
      <c r="H1517">
        <v>2877.05</v>
      </c>
      <c r="I1517" t="s">
        <v>15</v>
      </c>
      <c r="J1517" t="s">
        <v>16</v>
      </c>
      <c r="K1517" t="s">
        <v>17</v>
      </c>
      <c r="L1517">
        <v>2877.05</v>
      </c>
      <c r="M1517" t="s">
        <v>5033</v>
      </c>
      <c r="N1517" t="s">
        <v>5034</v>
      </c>
    </row>
    <row r="1518" spans="1:14" x14ac:dyDescent="0.3">
      <c r="A1518" t="s">
        <v>1542</v>
      </c>
      <c r="B1518" t="s">
        <v>12</v>
      </c>
      <c r="C1518" t="s">
        <v>13</v>
      </c>
      <c r="D1518">
        <v>17</v>
      </c>
      <c r="E1518" t="s">
        <v>26</v>
      </c>
      <c r="F1518" t="s">
        <v>15</v>
      </c>
      <c r="G1518">
        <v>92.6</v>
      </c>
      <c r="H1518">
        <v>1579.7</v>
      </c>
      <c r="I1518" t="s">
        <v>15</v>
      </c>
      <c r="J1518" t="s">
        <v>15</v>
      </c>
      <c r="K1518" t="s">
        <v>17</v>
      </c>
      <c r="L1518">
        <v>1579.7</v>
      </c>
      <c r="M1518" t="s">
        <v>5032</v>
      </c>
      <c r="N1518" t="s">
        <v>5031</v>
      </c>
    </row>
    <row r="1519" spans="1:14" x14ac:dyDescent="0.3">
      <c r="A1519" t="s">
        <v>1543</v>
      </c>
      <c r="B1519" t="s">
        <v>19</v>
      </c>
      <c r="C1519" t="s">
        <v>20</v>
      </c>
      <c r="D1519">
        <v>56</v>
      </c>
      <c r="E1519" t="s">
        <v>26</v>
      </c>
      <c r="F1519" t="s">
        <v>15</v>
      </c>
      <c r="G1519">
        <v>100.55</v>
      </c>
      <c r="H1519">
        <v>5514.95</v>
      </c>
      <c r="I1519" t="s">
        <v>15</v>
      </c>
      <c r="J1519" t="s">
        <v>16</v>
      </c>
      <c r="K1519" t="s">
        <v>17</v>
      </c>
      <c r="L1519">
        <v>5514.95</v>
      </c>
      <c r="M1519" t="s">
        <v>5033</v>
      </c>
      <c r="N1519" t="s">
        <v>5034</v>
      </c>
    </row>
    <row r="1520" spans="1:14" x14ac:dyDescent="0.3">
      <c r="A1520" t="s">
        <v>1544</v>
      </c>
      <c r="B1520" t="s">
        <v>12</v>
      </c>
      <c r="C1520" t="s">
        <v>13</v>
      </c>
      <c r="D1520">
        <v>5</v>
      </c>
      <c r="E1520" t="s">
        <v>15</v>
      </c>
      <c r="F1520" t="s">
        <v>36</v>
      </c>
      <c r="G1520">
        <v>20.55</v>
      </c>
      <c r="H1520">
        <v>96.1</v>
      </c>
      <c r="I1520" t="s">
        <v>15</v>
      </c>
      <c r="J1520" t="s">
        <v>15</v>
      </c>
      <c r="K1520" t="s">
        <v>29</v>
      </c>
      <c r="L1520">
        <v>96.1</v>
      </c>
      <c r="M1520" t="s">
        <v>5030</v>
      </c>
      <c r="N1520" t="s">
        <v>5031</v>
      </c>
    </row>
    <row r="1521" spans="1:14" x14ac:dyDescent="0.3">
      <c r="A1521" t="s">
        <v>1545</v>
      </c>
      <c r="B1521" t="s">
        <v>12</v>
      </c>
      <c r="C1521" t="s">
        <v>13</v>
      </c>
      <c r="D1521">
        <v>2</v>
      </c>
      <c r="E1521" t="s">
        <v>14</v>
      </c>
      <c r="F1521" t="s">
        <v>15</v>
      </c>
      <c r="G1521">
        <v>42.6</v>
      </c>
      <c r="H1521">
        <v>72.400000000000006</v>
      </c>
      <c r="I1521" t="s">
        <v>16</v>
      </c>
      <c r="J1521" t="s">
        <v>16</v>
      </c>
      <c r="K1521" t="s">
        <v>17</v>
      </c>
      <c r="L1521">
        <v>72.400000000000006</v>
      </c>
      <c r="M1521" t="s">
        <v>5030</v>
      </c>
      <c r="N1521" t="s">
        <v>5031</v>
      </c>
    </row>
    <row r="1522" spans="1:14" x14ac:dyDescent="0.3">
      <c r="A1522" t="s">
        <v>1546</v>
      </c>
      <c r="B1522" t="s">
        <v>12</v>
      </c>
      <c r="C1522" t="s">
        <v>13</v>
      </c>
      <c r="D1522">
        <v>3</v>
      </c>
      <c r="E1522" t="s">
        <v>15</v>
      </c>
      <c r="F1522" t="s">
        <v>36</v>
      </c>
      <c r="G1522">
        <v>19.600000000000001</v>
      </c>
      <c r="H1522">
        <v>55.25</v>
      </c>
      <c r="I1522" t="s">
        <v>15</v>
      </c>
      <c r="J1522" t="s">
        <v>16</v>
      </c>
      <c r="K1522" t="s">
        <v>21</v>
      </c>
      <c r="L1522">
        <v>55.25</v>
      </c>
      <c r="M1522" t="s">
        <v>5030</v>
      </c>
      <c r="N1522" t="s">
        <v>5031</v>
      </c>
    </row>
    <row r="1523" spans="1:14" x14ac:dyDescent="0.3">
      <c r="A1523" t="s">
        <v>1547</v>
      </c>
      <c r="B1523" t="s">
        <v>19</v>
      </c>
      <c r="C1523" t="s">
        <v>20</v>
      </c>
      <c r="D1523">
        <v>37</v>
      </c>
      <c r="E1523" t="s">
        <v>14</v>
      </c>
      <c r="F1523" t="s">
        <v>16</v>
      </c>
      <c r="G1523">
        <v>67.45</v>
      </c>
      <c r="H1523">
        <v>2443.3000000000002</v>
      </c>
      <c r="I1523" t="s">
        <v>15</v>
      </c>
      <c r="J1523" t="s">
        <v>15</v>
      </c>
      <c r="K1523" t="s">
        <v>17</v>
      </c>
      <c r="L1523">
        <v>2443.3000000000002</v>
      </c>
      <c r="M1523" t="s">
        <v>5033</v>
      </c>
      <c r="N1523" t="s">
        <v>5031</v>
      </c>
    </row>
    <row r="1524" spans="1:14" x14ac:dyDescent="0.3">
      <c r="A1524" t="s">
        <v>1548</v>
      </c>
      <c r="B1524" t="s">
        <v>12</v>
      </c>
      <c r="C1524" t="s">
        <v>13</v>
      </c>
      <c r="D1524">
        <v>29</v>
      </c>
      <c r="E1524" t="s">
        <v>14</v>
      </c>
      <c r="F1524" t="s">
        <v>15</v>
      </c>
      <c r="G1524">
        <v>68.849999999999994</v>
      </c>
      <c r="H1524">
        <v>1970.5</v>
      </c>
      <c r="I1524" t="s">
        <v>16</v>
      </c>
      <c r="J1524" t="s">
        <v>16</v>
      </c>
      <c r="K1524" t="s">
        <v>24</v>
      </c>
      <c r="L1524">
        <v>1970.5</v>
      </c>
      <c r="M1524" t="s">
        <v>5032</v>
      </c>
      <c r="N1524" t="s">
        <v>5031</v>
      </c>
    </row>
    <row r="1525" spans="1:14" x14ac:dyDescent="0.3">
      <c r="A1525" t="s">
        <v>1549</v>
      </c>
      <c r="B1525" t="s">
        <v>19</v>
      </c>
      <c r="C1525" t="s">
        <v>13</v>
      </c>
      <c r="D1525">
        <v>8</v>
      </c>
      <c r="E1525" t="s">
        <v>14</v>
      </c>
      <c r="F1525" t="s">
        <v>15</v>
      </c>
      <c r="G1525">
        <v>43.55</v>
      </c>
      <c r="H1525">
        <v>335.4</v>
      </c>
      <c r="I1525" t="s">
        <v>15</v>
      </c>
      <c r="J1525" t="s">
        <v>15</v>
      </c>
      <c r="K1525" t="s">
        <v>21</v>
      </c>
      <c r="L1525">
        <v>335.4</v>
      </c>
      <c r="M1525" t="s">
        <v>5030</v>
      </c>
      <c r="N1525" t="s">
        <v>5031</v>
      </c>
    </row>
    <row r="1526" spans="1:14" x14ac:dyDescent="0.3">
      <c r="A1526" t="s">
        <v>1550</v>
      </c>
      <c r="B1526" t="s">
        <v>12</v>
      </c>
      <c r="C1526" t="s">
        <v>13</v>
      </c>
      <c r="D1526">
        <v>63</v>
      </c>
      <c r="E1526" t="s">
        <v>26</v>
      </c>
      <c r="F1526" t="s">
        <v>16</v>
      </c>
      <c r="G1526">
        <v>109.85</v>
      </c>
      <c r="H1526">
        <v>7002.95</v>
      </c>
      <c r="I1526" t="s">
        <v>15</v>
      </c>
      <c r="J1526" t="s">
        <v>16</v>
      </c>
      <c r="K1526" t="s">
        <v>29</v>
      </c>
      <c r="L1526">
        <v>7002.95</v>
      </c>
      <c r="M1526" t="s">
        <v>5033</v>
      </c>
      <c r="N1526" t="s">
        <v>5034</v>
      </c>
    </row>
    <row r="1527" spans="1:14" x14ac:dyDescent="0.3">
      <c r="A1527" t="s">
        <v>1551</v>
      </c>
      <c r="B1527" t="s">
        <v>12</v>
      </c>
      <c r="C1527" t="s">
        <v>13</v>
      </c>
      <c r="D1527">
        <v>7</v>
      </c>
      <c r="E1527" t="s">
        <v>15</v>
      </c>
      <c r="F1527" t="s">
        <v>36</v>
      </c>
      <c r="G1527">
        <v>20.65</v>
      </c>
      <c r="H1527">
        <v>158.94999999999999</v>
      </c>
      <c r="I1527" t="s">
        <v>15</v>
      </c>
      <c r="J1527" t="s">
        <v>15</v>
      </c>
      <c r="K1527" t="s">
        <v>21</v>
      </c>
      <c r="L1527">
        <v>158.94999999999999</v>
      </c>
      <c r="M1527" t="s">
        <v>5030</v>
      </c>
      <c r="N1527" t="s">
        <v>5031</v>
      </c>
    </row>
    <row r="1528" spans="1:14" x14ac:dyDescent="0.3">
      <c r="A1528" t="s">
        <v>1552</v>
      </c>
      <c r="B1528" t="s">
        <v>12</v>
      </c>
      <c r="C1528" t="s">
        <v>13</v>
      </c>
      <c r="D1528">
        <v>3</v>
      </c>
      <c r="E1528" t="s">
        <v>26</v>
      </c>
      <c r="F1528" t="s">
        <v>15</v>
      </c>
      <c r="G1528">
        <v>95.4</v>
      </c>
      <c r="H1528">
        <v>293.14999999999998</v>
      </c>
      <c r="I1528" t="s">
        <v>15</v>
      </c>
      <c r="J1528" t="s">
        <v>15</v>
      </c>
      <c r="K1528" t="s">
        <v>17</v>
      </c>
      <c r="L1528">
        <v>293.14999999999998</v>
      </c>
      <c r="M1528" t="s">
        <v>5030</v>
      </c>
      <c r="N1528" t="s">
        <v>5031</v>
      </c>
    </row>
    <row r="1529" spans="1:14" x14ac:dyDescent="0.3">
      <c r="A1529" t="s">
        <v>1553</v>
      </c>
      <c r="B1529" t="s">
        <v>19</v>
      </c>
      <c r="C1529" t="s">
        <v>35</v>
      </c>
      <c r="D1529">
        <v>72</v>
      </c>
      <c r="E1529" t="s">
        <v>15</v>
      </c>
      <c r="F1529" t="s">
        <v>36</v>
      </c>
      <c r="G1529">
        <v>21</v>
      </c>
      <c r="H1529">
        <v>1493.75</v>
      </c>
      <c r="I1529" t="s">
        <v>15</v>
      </c>
      <c r="J1529" t="s">
        <v>15</v>
      </c>
      <c r="K1529" t="s">
        <v>24</v>
      </c>
      <c r="L1529">
        <v>1493.75</v>
      </c>
      <c r="M1529" t="s">
        <v>5033</v>
      </c>
      <c r="N1529" t="s">
        <v>5031</v>
      </c>
    </row>
    <row r="1530" spans="1:14" x14ac:dyDescent="0.3">
      <c r="A1530" t="s">
        <v>1554</v>
      </c>
      <c r="B1530" t="s">
        <v>12</v>
      </c>
      <c r="C1530" t="s">
        <v>13</v>
      </c>
      <c r="D1530">
        <v>19</v>
      </c>
      <c r="E1530" t="s">
        <v>14</v>
      </c>
      <c r="F1530" t="s">
        <v>15</v>
      </c>
      <c r="G1530">
        <v>56.2</v>
      </c>
      <c r="H1530">
        <v>1093.4000000000001</v>
      </c>
      <c r="I1530" t="s">
        <v>15</v>
      </c>
      <c r="J1530" t="s">
        <v>16</v>
      </c>
      <c r="K1530" t="s">
        <v>17</v>
      </c>
      <c r="L1530">
        <v>1093.4000000000001</v>
      </c>
      <c r="M1530" t="s">
        <v>5032</v>
      </c>
      <c r="N1530" t="s">
        <v>5031</v>
      </c>
    </row>
    <row r="1531" spans="1:14" x14ac:dyDescent="0.3">
      <c r="A1531" t="s">
        <v>1555</v>
      </c>
      <c r="B1531" t="s">
        <v>12</v>
      </c>
      <c r="C1531" t="s">
        <v>35</v>
      </c>
      <c r="D1531">
        <v>59</v>
      </c>
      <c r="E1531" t="s">
        <v>15</v>
      </c>
      <c r="F1531" t="s">
        <v>36</v>
      </c>
      <c r="G1531">
        <v>18.399999999999999</v>
      </c>
      <c r="H1531">
        <v>1057.8499999999999</v>
      </c>
      <c r="I1531" t="s">
        <v>15</v>
      </c>
      <c r="J1531" t="s">
        <v>15</v>
      </c>
      <c r="K1531" t="s">
        <v>24</v>
      </c>
      <c r="L1531">
        <v>1057.8499999999999</v>
      </c>
      <c r="M1531" t="s">
        <v>5033</v>
      </c>
      <c r="N1531" t="s">
        <v>5031</v>
      </c>
    </row>
    <row r="1532" spans="1:14" x14ac:dyDescent="0.3">
      <c r="A1532" t="s">
        <v>1556</v>
      </c>
      <c r="B1532" t="s">
        <v>19</v>
      </c>
      <c r="C1532" t="s">
        <v>13</v>
      </c>
      <c r="D1532">
        <v>2</v>
      </c>
      <c r="E1532" t="s">
        <v>26</v>
      </c>
      <c r="F1532" t="s">
        <v>16</v>
      </c>
      <c r="G1532">
        <v>90</v>
      </c>
      <c r="H1532">
        <v>190.05</v>
      </c>
      <c r="I1532" t="s">
        <v>16</v>
      </c>
      <c r="J1532" t="s">
        <v>15</v>
      </c>
      <c r="K1532" t="s">
        <v>29</v>
      </c>
      <c r="L1532">
        <v>190.05</v>
      </c>
      <c r="M1532" t="s">
        <v>5030</v>
      </c>
      <c r="N1532" t="s">
        <v>5031</v>
      </c>
    </row>
    <row r="1533" spans="1:14" x14ac:dyDescent="0.3">
      <c r="A1533" t="s">
        <v>1557</v>
      </c>
      <c r="B1533" t="s">
        <v>12</v>
      </c>
      <c r="C1533" t="s">
        <v>13</v>
      </c>
      <c r="D1533">
        <v>35</v>
      </c>
      <c r="E1533" t="s">
        <v>15</v>
      </c>
      <c r="F1533" t="s">
        <v>36</v>
      </c>
      <c r="G1533">
        <v>25.75</v>
      </c>
      <c r="H1533">
        <v>882.55</v>
      </c>
      <c r="I1533" t="s">
        <v>15</v>
      </c>
      <c r="J1533" t="s">
        <v>16</v>
      </c>
      <c r="K1533" t="s">
        <v>17</v>
      </c>
      <c r="L1533">
        <v>882.55</v>
      </c>
      <c r="M1533" t="s">
        <v>5032</v>
      </c>
      <c r="N1533" t="s">
        <v>5031</v>
      </c>
    </row>
    <row r="1534" spans="1:14" x14ac:dyDescent="0.3">
      <c r="A1534" t="s">
        <v>1558</v>
      </c>
      <c r="B1534" t="s">
        <v>19</v>
      </c>
      <c r="C1534" t="s">
        <v>13</v>
      </c>
      <c r="D1534">
        <v>14</v>
      </c>
      <c r="E1534" t="s">
        <v>15</v>
      </c>
      <c r="F1534" t="s">
        <v>36</v>
      </c>
      <c r="G1534">
        <v>19.600000000000001</v>
      </c>
      <c r="H1534">
        <v>300.39999999999998</v>
      </c>
      <c r="I1534" t="s">
        <v>15</v>
      </c>
      <c r="J1534" t="s">
        <v>15</v>
      </c>
      <c r="K1534" t="s">
        <v>29</v>
      </c>
      <c r="L1534">
        <v>300.39999999999998</v>
      </c>
      <c r="M1534" t="s">
        <v>5032</v>
      </c>
      <c r="N1534" t="s">
        <v>5031</v>
      </c>
    </row>
    <row r="1535" spans="1:14" x14ac:dyDescent="0.3">
      <c r="A1535" t="s">
        <v>1559</v>
      </c>
      <c r="B1535" t="s">
        <v>12</v>
      </c>
      <c r="C1535" t="s">
        <v>13</v>
      </c>
      <c r="D1535">
        <v>14</v>
      </c>
      <c r="E1535" t="s">
        <v>26</v>
      </c>
      <c r="F1535" t="s">
        <v>15</v>
      </c>
      <c r="G1535">
        <v>75.349999999999994</v>
      </c>
      <c r="H1535">
        <v>1025.95</v>
      </c>
      <c r="I1535" t="s">
        <v>16</v>
      </c>
      <c r="J1535" t="s">
        <v>15</v>
      </c>
      <c r="K1535" t="s">
        <v>17</v>
      </c>
      <c r="L1535">
        <v>1025.95</v>
      </c>
      <c r="M1535" t="s">
        <v>5032</v>
      </c>
      <c r="N1535" t="s">
        <v>5031</v>
      </c>
    </row>
    <row r="1536" spans="1:14" x14ac:dyDescent="0.3">
      <c r="A1536" t="s">
        <v>1560</v>
      </c>
      <c r="B1536" t="s">
        <v>12</v>
      </c>
      <c r="C1536" t="s">
        <v>35</v>
      </c>
      <c r="D1536">
        <v>69</v>
      </c>
      <c r="E1536" t="s">
        <v>15</v>
      </c>
      <c r="F1536" t="s">
        <v>36</v>
      </c>
      <c r="G1536">
        <v>19.8</v>
      </c>
      <c r="H1536">
        <v>1436.95</v>
      </c>
      <c r="I1536" t="s">
        <v>15</v>
      </c>
      <c r="J1536" t="s">
        <v>15</v>
      </c>
      <c r="K1536" t="s">
        <v>29</v>
      </c>
      <c r="L1536">
        <v>1436.95</v>
      </c>
      <c r="M1536" t="s">
        <v>5033</v>
      </c>
      <c r="N1536" t="s">
        <v>5031</v>
      </c>
    </row>
    <row r="1537" spans="1:14" x14ac:dyDescent="0.3">
      <c r="A1537" t="s">
        <v>1561</v>
      </c>
      <c r="B1537" t="s">
        <v>19</v>
      </c>
      <c r="C1537" t="s">
        <v>13</v>
      </c>
      <c r="D1537">
        <v>7</v>
      </c>
      <c r="E1537" t="s">
        <v>14</v>
      </c>
      <c r="F1537" t="s">
        <v>16</v>
      </c>
      <c r="G1537">
        <v>64.2</v>
      </c>
      <c r="H1537">
        <v>475</v>
      </c>
      <c r="I1537" t="s">
        <v>15</v>
      </c>
      <c r="J1537" t="s">
        <v>15</v>
      </c>
      <c r="K1537" t="s">
        <v>17</v>
      </c>
      <c r="L1537">
        <v>475</v>
      </c>
      <c r="M1537" t="s">
        <v>5030</v>
      </c>
      <c r="N1537" t="s">
        <v>5031</v>
      </c>
    </row>
    <row r="1538" spans="1:14" x14ac:dyDescent="0.3">
      <c r="A1538" t="s">
        <v>1562</v>
      </c>
      <c r="B1538" t="s">
        <v>19</v>
      </c>
      <c r="C1538" t="s">
        <v>35</v>
      </c>
      <c r="D1538">
        <v>69</v>
      </c>
      <c r="E1538" t="s">
        <v>14</v>
      </c>
      <c r="F1538" t="s">
        <v>16</v>
      </c>
      <c r="G1538">
        <v>75.75</v>
      </c>
      <c r="H1538">
        <v>5388.15</v>
      </c>
      <c r="I1538" t="s">
        <v>15</v>
      </c>
      <c r="J1538" t="s">
        <v>16</v>
      </c>
      <c r="K1538" t="s">
        <v>24</v>
      </c>
      <c r="L1538">
        <v>5388.15</v>
      </c>
      <c r="M1538" t="s">
        <v>5033</v>
      </c>
      <c r="N1538" t="s">
        <v>5034</v>
      </c>
    </row>
    <row r="1539" spans="1:14" x14ac:dyDescent="0.3">
      <c r="A1539" t="s">
        <v>1563</v>
      </c>
      <c r="B1539" t="s">
        <v>12</v>
      </c>
      <c r="C1539" t="s">
        <v>35</v>
      </c>
      <c r="D1539">
        <v>72</v>
      </c>
      <c r="E1539" t="s">
        <v>14</v>
      </c>
      <c r="F1539" t="s">
        <v>16</v>
      </c>
      <c r="G1539">
        <v>78.95</v>
      </c>
      <c r="H1539">
        <v>5730.15</v>
      </c>
      <c r="I1539" t="s">
        <v>15</v>
      </c>
      <c r="J1539" t="s">
        <v>16</v>
      </c>
      <c r="K1539" t="s">
        <v>17</v>
      </c>
      <c r="L1539">
        <v>5730.15</v>
      </c>
      <c r="M1539" t="s">
        <v>5033</v>
      </c>
      <c r="N1539" t="s">
        <v>5034</v>
      </c>
    </row>
    <row r="1540" spans="1:14" x14ac:dyDescent="0.3">
      <c r="A1540" t="s">
        <v>1564</v>
      </c>
      <c r="B1540" t="s">
        <v>19</v>
      </c>
      <c r="C1540" t="s">
        <v>13</v>
      </c>
      <c r="D1540">
        <v>8</v>
      </c>
      <c r="E1540" t="s">
        <v>26</v>
      </c>
      <c r="F1540" t="s">
        <v>15</v>
      </c>
      <c r="G1540">
        <v>100.85</v>
      </c>
      <c r="H1540">
        <v>819.55</v>
      </c>
      <c r="I1540" t="s">
        <v>16</v>
      </c>
      <c r="J1540" t="s">
        <v>15</v>
      </c>
      <c r="K1540" t="s">
        <v>17</v>
      </c>
      <c r="L1540">
        <v>819.55</v>
      </c>
      <c r="M1540" t="s">
        <v>5030</v>
      </c>
      <c r="N1540" t="s">
        <v>5031</v>
      </c>
    </row>
    <row r="1541" spans="1:14" x14ac:dyDescent="0.3">
      <c r="A1541" t="s">
        <v>1565</v>
      </c>
      <c r="B1541" t="s">
        <v>12</v>
      </c>
      <c r="C1541" t="s">
        <v>13</v>
      </c>
      <c r="D1541">
        <v>4</v>
      </c>
      <c r="E1541" t="s">
        <v>14</v>
      </c>
      <c r="F1541" t="s">
        <v>15</v>
      </c>
      <c r="G1541">
        <v>50.3</v>
      </c>
      <c r="H1541">
        <v>217.1</v>
      </c>
      <c r="I1541" t="s">
        <v>15</v>
      </c>
      <c r="J1541" t="s">
        <v>15</v>
      </c>
      <c r="K1541" t="s">
        <v>17</v>
      </c>
      <c r="L1541">
        <v>217.1</v>
      </c>
      <c r="M1541" t="s">
        <v>5030</v>
      </c>
      <c r="N1541" t="s">
        <v>5031</v>
      </c>
    </row>
    <row r="1542" spans="1:14" x14ac:dyDescent="0.3">
      <c r="A1542" t="s">
        <v>1566</v>
      </c>
      <c r="B1542" t="s">
        <v>19</v>
      </c>
      <c r="C1542" t="s">
        <v>13</v>
      </c>
      <c r="D1542">
        <v>63</v>
      </c>
      <c r="E1542" t="s">
        <v>26</v>
      </c>
      <c r="F1542" t="s">
        <v>15</v>
      </c>
      <c r="G1542">
        <v>80.3</v>
      </c>
      <c r="H1542">
        <v>4896.3500000000004</v>
      </c>
      <c r="I1542" t="s">
        <v>15</v>
      </c>
      <c r="J1542" t="s">
        <v>16</v>
      </c>
      <c r="K1542" t="s">
        <v>29</v>
      </c>
      <c r="L1542">
        <v>4896.3500000000004</v>
      </c>
      <c r="M1542" t="s">
        <v>5033</v>
      </c>
      <c r="N1542" t="s">
        <v>5034</v>
      </c>
    </row>
    <row r="1543" spans="1:14" x14ac:dyDescent="0.3">
      <c r="A1543" t="s">
        <v>1567</v>
      </c>
      <c r="B1543" t="s">
        <v>19</v>
      </c>
      <c r="C1543" t="s">
        <v>35</v>
      </c>
      <c r="D1543">
        <v>72</v>
      </c>
      <c r="E1543" t="s">
        <v>15</v>
      </c>
      <c r="F1543" t="s">
        <v>36</v>
      </c>
      <c r="G1543">
        <v>19.850000000000001</v>
      </c>
      <c r="H1543">
        <v>1434.1</v>
      </c>
      <c r="I1543" t="s">
        <v>15</v>
      </c>
      <c r="J1543" t="s">
        <v>15</v>
      </c>
      <c r="K1543" t="s">
        <v>24</v>
      </c>
      <c r="L1543">
        <v>1434.1</v>
      </c>
      <c r="M1543" t="s">
        <v>5033</v>
      </c>
      <c r="N1543" t="s">
        <v>5031</v>
      </c>
    </row>
    <row r="1544" spans="1:14" x14ac:dyDescent="0.3">
      <c r="A1544" t="s">
        <v>1568</v>
      </c>
      <c r="B1544" t="s">
        <v>12</v>
      </c>
      <c r="C1544" t="s">
        <v>35</v>
      </c>
      <c r="D1544">
        <v>46</v>
      </c>
      <c r="E1544" t="s">
        <v>15</v>
      </c>
      <c r="F1544" t="s">
        <v>36</v>
      </c>
      <c r="G1544">
        <v>21.1</v>
      </c>
      <c r="H1544">
        <v>937.1</v>
      </c>
      <c r="I1544" t="s">
        <v>15</v>
      </c>
      <c r="J1544" t="s">
        <v>16</v>
      </c>
      <c r="K1544" t="s">
        <v>17</v>
      </c>
      <c r="L1544">
        <v>937.1</v>
      </c>
      <c r="M1544" t="s">
        <v>5033</v>
      </c>
      <c r="N1544" t="s">
        <v>5031</v>
      </c>
    </row>
    <row r="1545" spans="1:14" x14ac:dyDescent="0.3">
      <c r="A1545" t="s">
        <v>1569</v>
      </c>
      <c r="B1545" t="s">
        <v>12</v>
      </c>
      <c r="C1545" t="s">
        <v>13</v>
      </c>
      <c r="D1545">
        <v>5</v>
      </c>
      <c r="E1545" t="s">
        <v>26</v>
      </c>
      <c r="F1545" t="s">
        <v>15</v>
      </c>
      <c r="G1545">
        <v>69.95</v>
      </c>
      <c r="H1545">
        <v>330.15</v>
      </c>
      <c r="I1545" t="s">
        <v>16</v>
      </c>
      <c r="J1545" t="s">
        <v>15</v>
      </c>
      <c r="K1545" t="s">
        <v>17</v>
      </c>
      <c r="L1545">
        <v>330.15</v>
      </c>
      <c r="M1545" t="s">
        <v>5030</v>
      </c>
      <c r="N1545" t="s">
        <v>5031</v>
      </c>
    </row>
    <row r="1546" spans="1:14" x14ac:dyDescent="0.3">
      <c r="A1546" t="s">
        <v>1570</v>
      </c>
      <c r="B1546" t="s">
        <v>19</v>
      </c>
      <c r="C1546" t="s">
        <v>13</v>
      </c>
      <c r="D1546">
        <v>30</v>
      </c>
      <c r="E1546" t="s">
        <v>14</v>
      </c>
      <c r="F1546" t="s">
        <v>15</v>
      </c>
      <c r="G1546">
        <v>50</v>
      </c>
      <c r="H1546">
        <v>1474.9</v>
      </c>
      <c r="I1546" t="s">
        <v>15</v>
      </c>
      <c r="J1546" t="s">
        <v>16</v>
      </c>
      <c r="K1546" t="s">
        <v>21</v>
      </c>
      <c r="L1546">
        <v>1474.9</v>
      </c>
      <c r="M1546" t="s">
        <v>5032</v>
      </c>
      <c r="N1546" t="s">
        <v>5031</v>
      </c>
    </row>
    <row r="1547" spans="1:14" x14ac:dyDescent="0.3">
      <c r="A1547" t="s">
        <v>1571</v>
      </c>
      <c r="B1547" t="s">
        <v>19</v>
      </c>
      <c r="C1547" t="s">
        <v>35</v>
      </c>
      <c r="D1547">
        <v>63</v>
      </c>
      <c r="E1547" t="s">
        <v>26</v>
      </c>
      <c r="F1547" t="s">
        <v>15</v>
      </c>
      <c r="G1547">
        <v>104.75</v>
      </c>
      <c r="H1547">
        <v>6536.5</v>
      </c>
      <c r="I1547" t="s">
        <v>15</v>
      </c>
      <c r="J1547" t="s">
        <v>16</v>
      </c>
      <c r="K1547" t="s">
        <v>24</v>
      </c>
      <c r="L1547">
        <v>6536.5</v>
      </c>
      <c r="M1547" t="s">
        <v>5033</v>
      </c>
      <c r="N1547" t="s">
        <v>5034</v>
      </c>
    </row>
    <row r="1548" spans="1:14" x14ac:dyDescent="0.3">
      <c r="A1548" t="s">
        <v>1572</v>
      </c>
      <c r="B1548" t="s">
        <v>12</v>
      </c>
      <c r="C1548" t="s">
        <v>35</v>
      </c>
      <c r="D1548">
        <v>60</v>
      </c>
      <c r="E1548" t="s">
        <v>15</v>
      </c>
      <c r="F1548" t="s">
        <v>36</v>
      </c>
      <c r="G1548">
        <v>19.850000000000001</v>
      </c>
      <c r="H1548">
        <v>1128.0999999999999</v>
      </c>
      <c r="I1548" t="s">
        <v>15</v>
      </c>
      <c r="J1548" t="s">
        <v>15</v>
      </c>
      <c r="K1548" t="s">
        <v>24</v>
      </c>
      <c r="L1548">
        <v>1128.0999999999999</v>
      </c>
      <c r="M1548" t="s">
        <v>5033</v>
      </c>
      <c r="N1548" t="s">
        <v>5031</v>
      </c>
    </row>
    <row r="1549" spans="1:14" x14ac:dyDescent="0.3">
      <c r="A1549" t="s">
        <v>1573</v>
      </c>
      <c r="B1549" t="s">
        <v>12</v>
      </c>
      <c r="C1549" t="s">
        <v>20</v>
      </c>
      <c r="D1549">
        <v>63</v>
      </c>
      <c r="E1549" t="s">
        <v>26</v>
      </c>
      <c r="F1549" t="s">
        <v>15</v>
      </c>
      <c r="G1549">
        <v>107.5</v>
      </c>
      <c r="H1549">
        <v>6873.75</v>
      </c>
      <c r="I1549" t="s">
        <v>16</v>
      </c>
      <c r="J1549" t="s">
        <v>16</v>
      </c>
      <c r="K1549" t="s">
        <v>17</v>
      </c>
      <c r="L1549">
        <v>6873.75</v>
      </c>
      <c r="M1549" t="s">
        <v>5033</v>
      </c>
      <c r="N1549" t="s">
        <v>5034</v>
      </c>
    </row>
    <row r="1550" spans="1:14" x14ac:dyDescent="0.3">
      <c r="A1550" t="s">
        <v>1574</v>
      </c>
      <c r="B1550" t="s">
        <v>19</v>
      </c>
      <c r="C1550" t="s">
        <v>13</v>
      </c>
      <c r="D1550">
        <v>25</v>
      </c>
      <c r="E1550" t="s">
        <v>26</v>
      </c>
      <c r="F1550" t="s">
        <v>16</v>
      </c>
      <c r="G1550">
        <v>85.9</v>
      </c>
      <c r="H1550">
        <v>2199.0500000000002</v>
      </c>
      <c r="I1550" t="s">
        <v>15</v>
      </c>
      <c r="J1550" t="s">
        <v>15</v>
      </c>
      <c r="K1550" t="s">
        <v>17</v>
      </c>
      <c r="L1550">
        <v>2199.0500000000002</v>
      </c>
      <c r="M1550" t="s">
        <v>5032</v>
      </c>
      <c r="N1550" t="s">
        <v>5031</v>
      </c>
    </row>
    <row r="1551" spans="1:14" x14ac:dyDescent="0.3">
      <c r="A1551" t="s">
        <v>1575</v>
      </c>
      <c r="B1551" t="s">
        <v>19</v>
      </c>
      <c r="C1551" t="s">
        <v>13</v>
      </c>
      <c r="D1551">
        <v>1</v>
      </c>
      <c r="E1551" t="s">
        <v>14</v>
      </c>
      <c r="F1551" t="s">
        <v>15</v>
      </c>
      <c r="G1551">
        <v>45.85</v>
      </c>
      <c r="H1551">
        <v>45.85</v>
      </c>
      <c r="I1551" t="s">
        <v>16</v>
      </c>
      <c r="J1551" t="s">
        <v>16</v>
      </c>
      <c r="K1551" t="s">
        <v>21</v>
      </c>
      <c r="L1551">
        <v>45.85</v>
      </c>
      <c r="M1551" t="s">
        <v>5030</v>
      </c>
      <c r="N1551" t="s">
        <v>5031</v>
      </c>
    </row>
    <row r="1552" spans="1:14" x14ac:dyDescent="0.3">
      <c r="A1552" t="s">
        <v>1576</v>
      </c>
      <c r="B1552" t="s">
        <v>19</v>
      </c>
      <c r="C1552" t="s">
        <v>13</v>
      </c>
      <c r="D1552">
        <v>6</v>
      </c>
      <c r="E1552" t="s">
        <v>26</v>
      </c>
      <c r="F1552" t="s">
        <v>15</v>
      </c>
      <c r="G1552">
        <v>80.8</v>
      </c>
      <c r="H1552">
        <v>457.1</v>
      </c>
      <c r="I1552" t="s">
        <v>15</v>
      </c>
      <c r="J1552" t="s">
        <v>16</v>
      </c>
      <c r="K1552" t="s">
        <v>17</v>
      </c>
      <c r="L1552">
        <v>457.1</v>
      </c>
      <c r="M1552" t="s">
        <v>5030</v>
      </c>
      <c r="N1552" t="s">
        <v>5031</v>
      </c>
    </row>
    <row r="1553" spans="1:14" x14ac:dyDescent="0.3">
      <c r="A1553" t="s">
        <v>1577</v>
      </c>
      <c r="B1553" t="s">
        <v>19</v>
      </c>
      <c r="C1553" t="s">
        <v>35</v>
      </c>
      <c r="D1553">
        <v>22</v>
      </c>
      <c r="E1553" t="s">
        <v>15</v>
      </c>
      <c r="F1553" t="s">
        <v>36</v>
      </c>
      <c r="G1553">
        <v>25.25</v>
      </c>
      <c r="H1553">
        <v>566.5</v>
      </c>
      <c r="I1553" t="s">
        <v>15</v>
      </c>
      <c r="J1553" t="s">
        <v>15</v>
      </c>
      <c r="K1553" t="s">
        <v>21</v>
      </c>
      <c r="L1553">
        <v>566.5</v>
      </c>
      <c r="M1553" t="s">
        <v>5032</v>
      </c>
      <c r="N1553" t="s">
        <v>5031</v>
      </c>
    </row>
    <row r="1554" spans="1:14" x14ac:dyDescent="0.3">
      <c r="A1554" t="s">
        <v>1578</v>
      </c>
      <c r="B1554" t="s">
        <v>12</v>
      </c>
      <c r="C1554" t="s">
        <v>35</v>
      </c>
      <c r="D1554">
        <v>31</v>
      </c>
      <c r="E1554" t="s">
        <v>14</v>
      </c>
      <c r="F1554" t="s">
        <v>16</v>
      </c>
      <c r="G1554">
        <v>80.55</v>
      </c>
      <c r="H1554">
        <v>2471.6</v>
      </c>
      <c r="I1554" t="s">
        <v>15</v>
      </c>
      <c r="J1554" t="s">
        <v>15</v>
      </c>
      <c r="K1554" t="s">
        <v>24</v>
      </c>
      <c r="L1554">
        <v>2471.6</v>
      </c>
      <c r="M1554" t="s">
        <v>5032</v>
      </c>
      <c r="N1554" t="s">
        <v>5031</v>
      </c>
    </row>
    <row r="1555" spans="1:14" x14ac:dyDescent="0.3">
      <c r="A1555" t="s">
        <v>1579</v>
      </c>
      <c r="B1555" t="s">
        <v>12</v>
      </c>
      <c r="C1555" t="s">
        <v>13</v>
      </c>
      <c r="D1555">
        <v>39</v>
      </c>
      <c r="E1555" t="s">
        <v>26</v>
      </c>
      <c r="F1555" t="s">
        <v>16</v>
      </c>
      <c r="G1555">
        <v>81.5</v>
      </c>
      <c r="H1555">
        <v>3107.3</v>
      </c>
      <c r="I1555" t="s">
        <v>15</v>
      </c>
      <c r="J1555" t="s">
        <v>16</v>
      </c>
      <c r="K1555" t="s">
        <v>24</v>
      </c>
      <c r="L1555">
        <v>3107.3</v>
      </c>
      <c r="M1555" t="s">
        <v>5033</v>
      </c>
      <c r="N1555" t="s">
        <v>5034</v>
      </c>
    </row>
    <row r="1556" spans="1:14" x14ac:dyDescent="0.3">
      <c r="A1556" t="s">
        <v>1580</v>
      </c>
      <c r="B1556" t="s">
        <v>19</v>
      </c>
      <c r="C1556" t="s">
        <v>13</v>
      </c>
      <c r="D1556">
        <v>26</v>
      </c>
      <c r="E1556" t="s">
        <v>15</v>
      </c>
      <c r="F1556" t="s">
        <v>36</v>
      </c>
      <c r="G1556">
        <v>20.9</v>
      </c>
      <c r="H1556">
        <v>518.29999999999995</v>
      </c>
      <c r="I1556" t="s">
        <v>15</v>
      </c>
      <c r="J1556" t="s">
        <v>15</v>
      </c>
      <c r="K1556" t="s">
        <v>21</v>
      </c>
      <c r="L1556">
        <v>518.29999999999995</v>
      </c>
      <c r="M1556" t="s">
        <v>5032</v>
      </c>
      <c r="N1556" t="s">
        <v>5031</v>
      </c>
    </row>
    <row r="1557" spans="1:14" x14ac:dyDescent="0.3">
      <c r="A1557" t="s">
        <v>1581</v>
      </c>
      <c r="B1557" t="s">
        <v>12</v>
      </c>
      <c r="C1557" t="s">
        <v>20</v>
      </c>
      <c r="D1557">
        <v>53</v>
      </c>
      <c r="E1557" t="s">
        <v>26</v>
      </c>
      <c r="F1557" t="s">
        <v>15</v>
      </c>
      <c r="G1557">
        <v>106.1</v>
      </c>
      <c r="H1557">
        <v>5769.75</v>
      </c>
      <c r="I1557" t="s">
        <v>16</v>
      </c>
      <c r="J1557" t="s">
        <v>16</v>
      </c>
      <c r="K1557" t="s">
        <v>24</v>
      </c>
      <c r="L1557">
        <v>5769.75</v>
      </c>
      <c r="M1557" t="s">
        <v>5033</v>
      </c>
      <c r="N1557" t="s">
        <v>5034</v>
      </c>
    </row>
    <row r="1558" spans="1:14" x14ac:dyDescent="0.3">
      <c r="A1558" t="s">
        <v>1582</v>
      </c>
      <c r="B1558" t="s">
        <v>12</v>
      </c>
      <c r="C1558" t="s">
        <v>13</v>
      </c>
      <c r="D1558">
        <v>1</v>
      </c>
      <c r="E1558" t="s">
        <v>26</v>
      </c>
      <c r="F1558" t="s">
        <v>16</v>
      </c>
      <c r="G1558">
        <v>91.7</v>
      </c>
      <c r="H1558">
        <v>91.7</v>
      </c>
      <c r="I1558" t="s">
        <v>16</v>
      </c>
      <c r="J1558" t="s">
        <v>15</v>
      </c>
      <c r="K1558" t="s">
        <v>17</v>
      </c>
      <c r="L1558">
        <v>91.7</v>
      </c>
      <c r="M1558" t="s">
        <v>5030</v>
      </c>
      <c r="N1558" t="s">
        <v>5031</v>
      </c>
    </row>
    <row r="1559" spans="1:14" x14ac:dyDescent="0.3">
      <c r="A1559" t="s">
        <v>1583</v>
      </c>
      <c r="B1559" t="s">
        <v>19</v>
      </c>
      <c r="C1559" t="s">
        <v>13</v>
      </c>
      <c r="D1559">
        <v>12</v>
      </c>
      <c r="E1559" t="s">
        <v>14</v>
      </c>
      <c r="F1559" t="s">
        <v>16</v>
      </c>
      <c r="G1559">
        <v>67.25</v>
      </c>
      <c r="H1559">
        <v>832.3</v>
      </c>
      <c r="I1559" t="s">
        <v>15</v>
      </c>
      <c r="J1559" t="s">
        <v>16</v>
      </c>
      <c r="K1559" t="s">
        <v>17</v>
      </c>
      <c r="L1559">
        <v>832.3</v>
      </c>
      <c r="M1559" t="s">
        <v>5030</v>
      </c>
      <c r="N1559" t="s">
        <v>5031</v>
      </c>
    </row>
    <row r="1560" spans="1:14" x14ac:dyDescent="0.3">
      <c r="A1560" t="s">
        <v>1584</v>
      </c>
      <c r="B1560" t="s">
        <v>12</v>
      </c>
      <c r="C1560" t="s">
        <v>13</v>
      </c>
      <c r="D1560">
        <v>16</v>
      </c>
      <c r="E1560" t="s">
        <v>26</v>
      </c>
      <c r="F1560" t="s">
        <v>15</v>
      </c>
      <c r="G1560">
        <v>95.6</v>
      </c>
      <c r="H1560">
        <v>1555.65</v>
      </c>
      <c r="I1560" t="s">
        <v>16</v>
      </c>
      <c r="J1560" t="s">
        <v>16</v>
      </c>
      <c r="K1560" t="s">
        <v>29</v>
      </c>
      <c r="L1560">
        <v>1555.65</v>
      </c>
      <c r="M1560" t="s">
        <v>5032</v>
      </c>
      <c r="N1560" t="s">
        <v>5031</v>
      </c>
    </row>
    <row r="1561" spans="1:14" x14ac:dyDescent="0.3">
      <c r="A1561" t="s">
        <v>1585</v>
      </c>
      <c r="B1561" t="s">
        <v>12</v>
      </c>
      <c r="C1561" t="s">
        <v>13</v>
      </c>
      <c r="D1561">
        <v>2</v>
      </c>
      <c r="E1561" t="s">
        <v>15</v>
      </c>
      <c r="F1561" t="s">
        <v>36</v>
      </c>
      <c r="G1561">
        <v>20.350000000000001</v>
      </c>
      <c r="H1561">
        <v>45.3</v>
      </c>
      <c r="I1561" t="s">
        <v>15</v>
      </c>
      <c r="J1561" t="s">
        <v>15</v>
      </c>
      <c r="K1561" t="s">
        <v>21</v>
      </c>
      <c r="L1561">
        <v>45.3</v>
      </c>
      <c r="M1561" t="s">
        <v>5030</v>
      </c>
      <c r="N1561" t="s">
        <v>5031</v>
      </c>
    </row>
    <row r="1562" spans="1:14" x14ac:dyDescent="0.3">
      <c r="A1562" t="s">
        <v>1586</v>
      </c>
      <c r="B1562" t="s">
        <v>19</v>
      </c>
      <c r="C1562" t="s">
        <v>20</v>
      </c>
      <c r="D1562">
        <v>39</v>
      </c>
      <c r="E1562" t="s">
        <v>14</v>
      </c>
      <c r="F1562" t="s">
        <v>16</v>
      </c>
      <c r="G1562">
        <v>45.05</v>
      </c>
      <c r="H1562">
        <v>1790.6</v>
      </c>
      <c r="I1562" t="s">
        <v>15</v>
      </c>
      <c r="J1562" t="s">
        <v>15</v>
      </c>
      <c r="K1562" t="s">
        <v>24</v>
      </c>
      <c r="L1562">
        <v>1790.6</v>
      </c>
      <c r="M1562" t="s">
        <v>5033</v>
      </c>
      <c r="N1562" t="s">
        <v>5031</v>
      </c>
    </row>
    <row r="1563" spans="1:14" x14ac:dyDescent="0.3">
      <c r="A1563" t="s">
        <v>1587</v>
      </c>
      <c r="B1563" t="s">
        <v>19</v>
      </c>
      <c r="C1563" t="s">
        <v>13</v>
      </c>
      <c r="D1563">
        <v>1</v>
      </c>
      <c r="E1563" t="s">
        <v>26</v>
      </c>
      <c r="F1563" t="s">
        <v>15</v>
      </c>
      <c r="G1563">
        <v>74.95</v>
      </c>
      <c r="H1563">
        <v>74.95</v>
      </c>
      <c r="I1563" t="s">
        <v>16</v>
      </c>
      <c r="J1563" t="s">
        <v>16</v>
      </c>
      <c r="K1563" t="s">
        <v>17</v>
      </c>
      <c r="L1563">
        <v>74.95</v>
      </c>
      <c r="M1563" t="s">
        <v>5030</v>
      </c>
      <c r="N1563" t="s">
        <v>5031</v>
      </c>
    </row>
    <row r="1564" spans="1:14" x14ac:dyDescent="0.3">
      <c r="A1564" t="s">
        <v>1588</v>
      </c>
      <c r="B1564" t="s">
        <v>12</v>
      </c>
      <c r="C1564" t="s">
        <v>13</v>
      </c>
      <c r="D1564">
        <v>7</v>
      </c>
      <c r="E1564" t="s">
        <v>14</v>
      </c>
      <c r="F1564" t="s">
        <v>16</v>
      </c>
      <c r="G1564">
        <v>34.65</v>
      </c>
      <c r="H1564">
        <v>246.6</v>
      </c>
      <c r="I1564" t="s">
        <v>15</v>
      </c>
      <c r="J1564" t="s">
        <v>15</v>
      </c>
      <c r="K1564" t="s">
        <v>21</v>
      </c>
      <c r="L1564">
        <v>246.6</v>
      </c>
      <c r="M1564" t="s">
        <v>5030</v>
      </c>
      <c r="N1564" t="s">
        <v>5031</v>
      </c>
    </row>
    <row r="1565" spans="1:14" x14ac:dyDescent="0.3">
      <c r="A1565" t="s">
        <v>1589</v>
      </c>
      <c r="B1565" t="s">
        <v>19</v>
      </c>
      <c r="C1565" t="s">
        <v>13</v>
      </c>
      <c r="D1565">
        <v>4</v>
      </c>
      <c r="E1565" t="s">
        <v>26</v>
      </c>
      <c r="F1565" t="s">
        <v>15</v>
      </c>
      <c r="G1565">
        <v>69.349999999999994</v>
      </c>
      <c r="H1565">
        <v>261.64999999999998</v>
      </c>
      <c r="I1565" t="s">
        <v>15</v>
      </c>
      <c r="J1565" t="s">
        <v>15</v>
      </c>
      <c r="K1565" t="s">
        <v>17</v>
      </c>
      <c r="L1565">
        <v>261.64999999999998</v>
      </c>
      <c r="M1565" t="s">
        <v>5030</v>
      </c>
      <c r="N1565" t="s">
        <v>5031</v>
      </c>
    </row>
    <row r="1566" spans="1:14" x14ac:dyDescent="0.3">
      <c r="A1566" t="s">
        <v>1590</v>
      </c>
      <c r="B1566" t="s">
        <v>19</v>
      </c>
      <c r="C1566" t="s">
        <v>13</v>
      </c>
      <c r="D1566">
        <v>10</v>
      </c>
      <c r="E1566" t="s">
        <v>26</v>
      </c>
      <c r="F1566" t="s">
        <v>15</v>
      </c>
      <c r="G1566">
        <v>95.35</v>
      </c>
      <c r="H1566">
        <v>898.35</v>
      </c>
      <c r="I1566" t="s">
        <v>16</v>
      </c>
      <c r="J1566" t="s">
        <v>16</v>
      </c>
      <c r="K1566" t="s">
        <v>17</v>
      </c>
      <c r="L1566">
        <v>898.35</v>
      </c>
      <c r="M1566" t="s">
        <v>5030</v>
      </c>
      <c r="N1566" t="s">
        <v>5031</v>
      </c>
    </row>
    <row r="1567" spans="1:14" x14ac:dyDescent="0.3">
      <c r="A1567" t="s">
        <v>1591</v>
      </c>
      <c r="B1567" t="s">
        <v>12</v>
      </c>
      <c r="C1567" t="s">
        <v>13</v>
      </c>
      <c r="D1567">
        <v>55</v>
      </c>
      <c r="E1567" t="s">
        <v>26</v>
      </c>
      <c r="F1567" t="s">
        <v>15</v>
      </c>
      <c r="G1567">
        <v>81.55</v>
      </c>
      <c r="H1567">
        <v>4509.5</v>
      </c>
      <c r="I1567" t="s">
        <v>15</v>
      </c>
      <c r="J1567" t="s">
        <v>16</v>
      </c>
      <c r="K1567" t="s">
        <v>17</v>
      </c>
      <c r="L1567">
        <v>4509.5</v>
      </c>
      <c r="M1567" t="s">
        <v>5033</v>
      </c>
      <c r="N1567" t="s">
        <v>5034</v>
      </c>
    </row>
    <row r="1568" spans="1:14" x14ac:dyDescent="0.3">
      <c r="A1568" t="s">
        <v>1592</v>
      </c>
      <c r="B1568" t="s">
        <v>19</v>
      </c>
      <c r="C1568" t="s">
        <v>35</v>
      </c>
      <c r="D1568">
        <v>72</v>
      </c>
      <c r="E1568" t="s">
        <v>14</v>
      </c>
      <c r="F1568" t="s">
        <v>15</v>
      </c>
      <c r="G1568">
        <v>75.400000000000006</v>
      </c>
      <c r="H1568">
        <v>5480.25</v>
      </c>
      <c r="I1568" t="s">
        <v>15</v>
      </c>
      <c r="J1568" t="s">
        <v>16</v>
      </c>
      <c r="K1568" t="s">
        <v>24</v>
      </c>
      <c r="L1568">
        <v>5480.25</v>
      </c>
      <c r="M1568" t="s">
        <v>5033</v>
      </c>
      <c r="N1568" t="s">
        <v>5034</v>
      </c>
    </row>
    <row r="1569" spans="1:14" x14ac:dyDescent="0.3">
      <c r="A1569" t="s">
        <v>1593</v>
      </c>
      <c r="B1569" t="s">
        <v>12</v>
      </c>
      <c r="C1569" t="s">
        <v>13</v>
      </c>
      <c r="D1569">
        <v>10</v>
      </c>
      <c r="E1569" t="s">
        <v>14</v>
      </c>
      <c r="F1569" t="s">
        <v>15</v>
      </c>
      <c r="G1569">
        <v>67.8</v>
      </c>
      <c r="H1569">
        <v>653.15</v>
      </c>
      <c r="I1569" t="s">
        <v>15</v>
      </c>
      <c r="J1569" t="s">
        <v>16</v>
      </c>
      <c r="K1569" t="s">
        <v>29</v>
      </c>
      <c r="L1569">
        <v>653.15</v>
      </c>
      <c r="M1569" t="s">
        <v>5030</v>
      </c>
      <c r="N1569" t="s">
        <v>5031</v>
      </c>
    </row>
    <row r="1570" spans="1:14" x14ac:dyDescent="0.3">
      <c r="A1570" t="s">
        <v>1594</v>
      </c>
      <c r="B1570" t="s">
        <v>19</v>
      </c>
      <c r="C1570" t="s">
        <v>13</v>
      </c>
      <c r="D1570">
        <v>11</v>
      </c>
      <c r="E1570" t="s">
        <v>26</v>
      </c>
      <c r="F1570" t="s">
        <v>16</v>
      </c>
      <c r="G1570">
        <v>111.4</v>
      </c>
      <c r="H1570">
        <v>1183.05</v>
      </c>
      <c r="I1570" t="s">
        <v>15</v>
      </c>
      <c r="J1570" t="s">
        <v>16</v>
      </c>
      <c r="K1570" t="s">
        <v>17</v>
      </c>
      <c r="L1570">
        <v>1183.05</v>
      </c>
      <c r="M1570" t="s">
        <v>5030</v>
      </c>
      <c r="N1570" t="s">
        <v>5031</v>
      </c>
    </row>
    <row r="1571" spans="1:14" x14ac:dyDescent="0.3">
      <c r="A1571" t="s">
        <v>1595</v>
      </c>
      <c r="B1571" t="s">
        <v>12</v>
      </c>
      <c r="C1571" t="s">
        <v>13</v>
      </c>
      <c r="D1571">
        <v>15</v>
      </c>
      <c r="E1571" t="s">
        <v>14</v>
      </c>
      <c r="F1571" t="s">
        <v>15</v>
      </c>
      <c r="G1571">
        <v>46.3</v>
      </c>
      <c r="H1571">
        <v>639.45000000000005</v>
      </c>
      <c r="I1571" t="s">
        <v>15</v>
      </c>
      <c r="J1571" t="s">
        <v>15</v>
      </c>
      <c r="K1571" t="s">
        <v>17</v>
      </c>
      <c r="L1571">
        <v>639.45000000000005</v>
      </c>
      <c r="M1571" t="s">
        <v>5032</v>
      </c>
      <c r="N1571" t="s">
        <v>5031</v>
      </c>
    </row>
    <row r="1572" spans="1:14" x14ac:dyDescent="0.3">
      <c r="A1572" t="s">
        <v>1596</v>
      </c>
      <c r="B1572" t="s">
        <v>12</v>
      </c>
      <c r="C1572" t="s">
        <v>35</v>
      </c>
      <c r="D1572">
        <v>23</v>
      </c>
      <c r="E1572" t="s">
        <v>15</v>
      </c>
      <c r="F1572" t="s">
        <v>36</v>
      </c>
      <c r="G1572">
        <v>20.399999999999999</v>
      </c>
      <c r="H1572">
        <v>478.75</v>
      </c>
      <c r="I1572" t="s">
        <v>15</v>
      </c>
      <c r="J1572" t="s">
        <v>15</v>
      </c>
      <c r="K1572" t="s">
        <v>24</v>
      </c>
      <c r="L1572">
        <v>478.75</v>
      </c>
      <c r="M1572" t="s">
        <v>5032</v>
      </c>
      <c r="N1572" t="s">
        <v>5031</v>
      </c>
    </row>
    <row r="1573" spans="1:14" x14ac:dyDescent="0.3">
      <c r="A1573" t="s">
        <v>1597</v>
      </c>
      <c r="B1573" t="s">
        <v>19</v>
      </c>
      <c r="C1573" t="s">
        <v>13</v>
      </c>
      <c r="D1573">
        <v>1</v>
      </c>
      <c r="E1573" t="s">
        <v>15</v>
      </c>
      <c r="F1573" t="s">
        <v>36</v>
      </c>
      <c r="G1573">
        <v>20.05</v>
      </c>
      <c r="H1573">
        <v>20.05</v>
      </c>
      <c r="I1573" t="s">
        <v>15</v>
      </c>
      <c r="J1573" t="s">
        <v>15</v>
      </c>
      <c r="K1573" t="s">
        <v>21</v>
      </c>
      <c r="L1573">
        <v>20.05</v>
      </c>
      <c r="M1573" t="s">
        <v>5030</v>
      </c>
      <c r="N1573" t="s">
        <v>5031</v>
      </c>
    </row>
    <row r="1574" spans="1:14" x14ac:dyDescent="0.3">
      <c r="A1574" t="s">
        <v>1598</v>
      </c>
      <c r="B1574" t="s">
        <v>12</v>
      </c>
      <c r="C1574" t="s">
        <v>13</v>
      </c>
      <c r="D1574">
        <v>3</v>
      </c>
      <c r="E1574" t="s">
        <v>14</v>
      </c>
      <c r="F1574" t="s">
        <v>15</v>
      </c>
      <c r="G1574">
        <v>45</v>
      </c>
      <c r="H1574">
        <v>127.1</v>
      </c>
      <c r="I1574" t="s">
        <v>16</v>
      </c>
      <c r="J1574" t="s">
        <v>15</v>
      </c>
      <c r="K1574" t="s">
        <v>17</v>
      </c>
      <c r="L1574">
        <v>127.1</v>
      </c>
      <c r="M1574" t="s">
        <v>5030</v>
      </c>
      <c r="N1574" t="s">
        <v>5031</v>
      </c>
    </row>
    <row r="1575" spans="1:14" x14ac:dyDescent="0.3">
      <c r="A1575" t="s">
        <v>1599</v>
      </c>
      <c r="B1575" t="s">
        <v>19</v>
      </c>
      <c r="C1575" t="s">
        <v>20</v>
      </c>
      <c r="D1575">
        <v>47</v>
      </c>
      <c r="E1575" t="s">
        <v>26</v>
      </c>
      <c r="F1575" t="s">
        <v>15</v>
      </c>
      <c r="G1575">
        <v>96.1</v>
      </c>
      <c r="H1575">
        <v>4391.45</v>
      </c>
      <c r="I1575" t="s">
        <v>15</v>
      </c>
      <c r="J1575" t="s">
        <v>16</v>
      </c>
      <c r="K1575" t="s">
        <v>17</v>
      </c>
      <c r="L1575">
        <v>4391.45</v>
      </c>
      <c r="M1575" t="s">
        <v>5033</v>
      </c>
      <c r="N1575" t="s">
        <v>5034</v>
      </c>
    </row>
    <row r="1576" spans="1:14" x14ac:dyDescent="0.3">
      <c r="A1576" t="s">
        <v>1600</v>
      </c>
      <c r="B1576" t="s">
        <v>12</v>
      </c>
      <c r="C1576" t="s">
        <v>20</v>
      </c>
      <c r="D1576">
        <v>15</v>
      </c>
      <c r="E1576" t="s">
        <v>15</v>
      </c>
      <c r="F1576" t="s">
        <v>36</v>
      </c>
      <c r="G1576">
        <v>19.649999999999999</v>
      </c>
      <c r="H1576">
        <v>270.60000000000002</v>
      </c>
      <c r="I1576" t="s">
        <v>15</v>
      </c>
      <c r="J1576" t="s">
        <v>15</v>
      </c>
      <c r="K1576" t="s">
        <v>21</v>
      </c>
      <c r="L1576">
        <v>270.60000000000002</v>
      </c>
      <c r="M1576" t="s">
        <v>5032</v>
      </c>
      <c r="N1576" t="s">
        <v>5031</v>
      </c>
    </row>
    <row r="1577" spans="1:14" x14ac:dyDescent="0.3">
      <c r="A1577" t="s">
        <v>1601</v>
      </c>
      <c r="B1577" t="s">
        <v>19</v>
      </c>
      <c r="C1577" t="s">
        <v>13</v>
      </c>
      <c r="D1577">
        <v>66</v>
      </c>
      <c r="E1577" t="s">
        <v>26</v>
      </c>
      <c r="F1577" t="s">
        <v>15</v>
      </c>
      <c r="G1577">
        <v>99.5</v>
      </c>
      <c r="H1577">
        <v>6710.5</v>
      </c>
      <c r="I1577" t="s">
        <v>16</v>
      </c>
      <c r="J1577" t="s">
        <v>15</v>
      </c>
      <c r="K1577" t="s">
        <v>17</v>
      </c>
      <c r="L1577">
        <v>6710.5</v>
      </c>
      <c r="M1577" t="s">
        <v>5033</v>
      </c>
      <c r="N1577" t="s">
        <v>5034</v>
      </c>
    </row>
    <row r="1578" spans="1:14" x14ac:dyDescent="0.3">
      <c r="A1578" t="s">
        <v>1602</v>
      </c>
      <c r="B1578" t="s">
        <v>12</v>
      </c>
      <c r="C1578" t="s">
        <v>20</v>
      </c>
      <c r="D1578">
        <v>68</v>
      </c>
      <c r="E1578" t="s">
        <v>14</v>
      </c>
      <c r="F1578" t="s">
        <v>16</v>
      </c>
      <c r="G1578">
        <v>60.65</v>
      </c>
      <c r="H1578">
        <v>3975.9</v>
      </c>
      <c r="I1578" t="s">
        <v>15</v>
      </c>
      <c r="J1578" t="s">
        <v>16</v>
      </c>
      <c r="K1578" t="s">
        <v>24</v>
      </c>
      <c r="L1578">
        <v>3975.9</v>
      </c>
      <c r="M1578" t="s">
        <v>5033</v>
      </c>
      <c r="N1578" t="s">
        <v>5034</v>
      </c>
    </row>
    <row r="1579" spans="1:14" x14ac:dyDescent="0.3">
      <c r="A1579" t="s">
        <v>1603</v>
      </c>
      <c r="B1579" t="s">
        <v>12</v>
      </c>
      <c r="C1579" t="s">
        <v>20</v>
      </c>
      <c r="D1579">
        <v>17</v>
      </c>
      <c r="E1579" t="s">
        <v>26</v>
      </c>
      <c r="F1579" t="s">
        <v>16</v>
      </c>
      <c r="G1579">
        <v>98.6</v>
      </c>
      <c r="H1579">
        <v>1704.95</v>
      </c>
      <c r="I1579" t="s">
        <v>16</v>
      </c>
      <c r="J1579" t="s">
        <v>15</v>
      </c>
      <c r="K1579" t="s">
        <v>24</v>
      </c>
      <c r="L1579">
        <v>1704.95</v>
      </c>
      <c r="M1579" t="s">
        <v>5032</v>
      </c>
      <c r="N1579" t="s">
        <v>5031</v>
      </c>
    </row>
    <row r="1580" spans="1:14" x14ac:dyDescent="0.3">
      <c r="A1580" t="s">
        <v>1604</v>
      </c>
      <c r="B1580" t="s">
        <v>12</v>
      </c>
      <c r="C1580" t="s">
        <v>13</v>
      </c>
      <c r="D1580">
        <v>7</v>
      </c>
      <c r="E1580" t="s">
        <v>14</v>
      </c>
      <c r="F1580" t="s">
        <v>16</v>
      </c>
      <c r="G1580">
        <v>59.5</v>
      </c>
      <c r="H1580">
        <v>415.95</v>
      </c>
      <c r="I1580" t="s">
        <v>16</v>
      </c>
      <c r="J1580" t="s">
        <v>16</v>
      </c>
      <c r="K1580" t="s">
        <v>21</v>
      </c>
      <c r="L1580">
        <v>415.95</v>
      </c>
      <c r="M1580" t="s">
        <v>5030</v>
      </c>
      <c r="N1580" t="s">
        <v>5031</v>
      </c>
    </row>
    <row r="1581" spans="1:14" x14ac:dyDescent="0.3">
      <c r="A1581" t="s">
        <v>1605</v>
      </c>
      <c r="B1581" t="s">
        <v>19</v>
      </c>
      <c r="C1581" t="s">
        <v>13</v>
      </c>
      <c r="D1581">
        <v>12</v>
      </c>
      <c r="E1581" t="s">
        <v>26</v>
      </c>
      <c r="F1581" t="s">
        <v>15</v>
      </c>
      <c r="G1581">
        <v>80.45</v>
      </c>
      <c r="H1581">
        <v>950.2</v>
      </c>
      <c r="I1581" t="s">
        <v>16</v>
      </c>
      <c r="J1581" t="s">
        <v>16</v>
      </c>
      <c r="K1581" t="s">
        <v>17</v>
      </c>
      <c r="L1581">
        <v>950.2</v>
      </c>
      <c r="M1581" t="s">
        <v>5030</v>
      </c>
      <c r="N1581" t="s">
        <v>5031</v>
      </c>
    </row>
    <row r="1582" spans="1:14" x14ac:dyDescent="0.3">
      <c r="A1582" t="s">
        <v>1606</v>
      </c>
      <c r="B1582" t="s">
        <v>12</v>
      </c>
      <c r="C1582" t="s">
        <v>20</v>
      </c>
      <c r="D1582">
        <v>21</v>
      </c>
      <c r="E1582" t="s">
        <v>14</v>
      </c>
      <c r="F1582" t="s">
        <v>15</v>
      </c>
      <c r="G1582">
        <v>71.7</v>
      </c>
      <c r="H1582">
        <v>1497.05</v>
      </c>
      <c r="I1582" t="s">
        <v>15</v>
      </c>
      <c r="J1582" t="s">
        <v>15</v>
      </c>
      <c r="K1582" t="s">
        <v>24</v>
      </c>
      <c r="L1582">
        <v>1497.05</v>
      </c>
      <c r="M1582" t="s">
        <v>5032</v>
      </c>
      <c r="N1582" t="s">
        <v>5031</v>
      </c>
    </row>
    <row r="1583" spans="1:14" x14ac:dyDescent="0.3">
      <c r="A1583" t="s">
        <v>1607</v>
      </c>
      <c r="B1583" t="s">
        <v>19</v>
      </c>
      <c r="C1583" t="s">
        <v>13</v>
      </c>
      <c r="D1583">
        <v>21</v>
      </c>
      <c r="E1583" t="s">
        <v>14</v>
      </c>
      <c r="F1583" t="s">
        <v>16</v>
      </c>
      <c r="G1583">
        <v>36</v>
      </c>
      <c r="H1583">
        <v>780.15</v>
      </c>
      <c r="I1583" t="s">
        <v>15</v>
      </c>
      <c r="J1583" t="s">
        <v>16</v>
      </c>
      <c r="K1583" t="s">
        <v>21</v>
      </c>
      <c r="L1583">
        <v>780.15</v>
      </c>
      <c r="M1583" t="s">
        <v>5032</v>
      </c>
      <c r="N1583" t="s">
        <v>5031</v>
      </c>
    </row>
    <row r="1584" spans="1:14" x14ac:dyDescent="0.3">
      <c r="A1584" t="s">
        <v>1608</v>
      </c>
      <c r="B1584" t="s">
        <v>12</v>
      </c>
      <c r="C1584" t="s">
        <v>20</v>
      </c>
      <c r="D1584">
        <v>56</v>
      </c>
      <c r="E1584" t="s">
        <v>14</v>
      </c>
      <c r="F1584" t="s">
        <v>15</v>
      </c>
      <c r="G1584">
        <v>65.2</v>
      </c>
      <c r="H1584">
        <v>3512.15</v>
      </c>
      <c r="I1584" t="s">
        <v>15</v>
      </c>
      <c r="J1584" t="s">
        <v>15</v>
      </c>
      <c r="K1584" t="s">
        <v>24</v>
      </c>
      <c r="L1584">
        <v>3512.15</v>
      </c>
      <c r="M1584" t="s">
        <v>5033</v>
      </c>
      <c r="N1584" t="s">
        <v>5034</v>
      </c>
    </row>
    <row r="1585" spans="1:14" x14ac:dyDescent="0.3">
      <c r="A1585" t="s">
        <v>1609</v>
      </c>
      <c r="B1585" t="s">
        <v>12</v>
      </c>
      <c r="C1585" t="s">
        <v>13</v>
      </c>
      <c r="D1585">
        <v>6</v>
      </c>
      <c r="E1585" t="s">
        <v>14</v>
      </c>
      <c r="F1585" t="s">
        <v>15</v>
      </c>
      <c r="G1585">
        <v>48.95</v>
      </c>
      <c r="H1585">
        <v>273.25</v>
      </c>
      <c r="I1585" t="s">
        <v>15</v>
      </c>
      <c r="J1585" t="s">
        <v>16</v>
      </c>
      <c r="K1585" t="s">
        <v>29</v>
      </c>
      <c r="L1585">
        <v>273.25</v>
      </c>
      <c r="M1585" t="s">
        <v>5030</v>
      </c>
      <c r="N1585" t="s">
        <v>5031</v>
      </c>
    </row>
    <row r="1586" spans="1:14" x14ac:dyDescent="0.3">
      <c r="A1586" t="s">
        <v>1610</v>
      </c>
      <c r="B1586" t="s">
        <v>12</v>
      </c>
      <c r="C1586" t="s">
        <v>35</v>
      </c>
      <c r="D1586">
        <v>65</v>
      </c>
      <c r="E1586" t="s">
        <v>14</v>
      </c>
      <c r="F1586" t="s">
        <v>15</v>
      </c>
      <c r="G1586">
        <v>53.5</v>
      </c>
      <c r="H1586">
        <v>3517.9</v>
      </c>
      <c r="I1586" t="s">
        <v>15</v>
      </c>
      <c r="J1586" t="s">
        <v>16</v>
      </c>
      <c r="K1586" t="s">
        <v>24</v>
      </c>
      <c r="L1586">
        <v>3517.9</v>
      </c>
      <c r="M1586" t="s">
        <v>5033</v>
      </c>
      <c r="N1586" t="s">
        <v>5034</v>
      </c>
    </row>
    <row r="1587" spans="1:14" x14ac:dyDescent="0.3">
      <c r="A1587" t="s">
        <v>1611</v>
      </c>
      <c r="B1587" t="s">
        <v>19</v>
      </c>
      <c r="C1587" t="s">
        <v>20</v>
      </c>
      <c r="D1587">
        <v>42</v>
      </c>
      <c r="E1587" t="s">
        <v>14</v>
      </c>
      <c r="F1587" t="s">
        <v>16</v>
      </c>
      <c r="G1587">
        <v>80.45</v>
      </c>
      <c r="H1587">
        <v>3375.9</v>
      </c>
      <c r="I1587" t="s">
        <v>15</v>
      </c>
      <c r="J1587" t="s">
        <v>15</v>
      </c>
      <c r="K1587" t="s">
        <v>29</v>
      </c>
      <c r="L1587">
        <v>3375.9</v>
      </c>
      <c r="M1587" t="s">
        <v>5033</v>
      </c>
      <c r="N1587" t="s">
        <v>5034</v>
      </c>
    </row>
    <row r="1588" spans="1:14" x14ac:dyDescent="0.3">
      <c r="A1588" t="s">
        <v>1612</v>
      </c>
      <c r="B1588" t="s">
        <v>12</v>
      </c>
      <c r="C1588" t="s">
        <v>35</v>
      </c>
      <c r="D1588">
        <v>68</v>
      </c>
      <c r="E1588" t="s">
        <v>26</v>
      </c>
      <c r="F1588" t="s">
        <v>16</v>
      </c>
      <c r="G1588">
        <v>109.05</v>
      </c>
      <c r="H1588">
        <v>7508.55</v>
      </c>
      <c r="I1588" t="s">
        <v>15</v>
      </c>
      <c r="J1588" t="s">
        <v>16</v>
      </c>
      <c r="K1588" t="s">
        <v>24</v>
      </c>
      <c r="L1588">
        <v>7508.55</v>
      </c>
      <c r="M1588" t="s">
        <v>5033</v>
      </c>
      <c r="N1588" t="s">
        <v>5034</v>
      </c>
    </row>
    <row r="1589" spans="1:14" x14ac:dyDescent="0.3">
      <c r="A1589" t="s">
        <v>1613</v>
      </c>
      <c r="B1589" t="s">
        <v>19</v>
      </c>
      <c r="C1589" t="s">
        <v>35</v>
      </c>
      <c r="D1589">
        <v>48</v>
      </c>
      <c r="E1589" t="s">
        <v>15</v>
      </c>
      <c r="F1589" t="s">
        <v>36</v>
      </c>
      <c r="G1589">
        <v>26.3</v>
      </c>
      <c r="H1589">
        <v>1245.05</v>
      </c>
      <c r="I1589" t="s">
        <v>15</v>
      </c>
      <c r="J1589" t="s">
        <v>15</v>
      </c>
      <c r="K1589" t="s">
        <v>24</v>
      </c>
      <c r="L1589">
        <v>1245.05</v>
      </c>
      <c r="M1589" t="s">
        <v>5033</v>
      </c>
      <c r="N1589" t="s">
        <v>5031</v>
      </c>
    </row>
    <row r="1590" spans="1:14" x14ac:dyDescent="0.3">
      <c r="A1590" t="s">
        <v>1614</v>
      </c>
      <c r="B1590" t="s">
        <v>12</v>
      </c>
      <c r="C1590" t="s">
        <v>20</v>
      </c>
      <c r="D1590">
        <v>50</v>
      </c>
      <c r="E1590" t="s">
        <v>26</v>
      </c>
      <c r="F1590" t="s">
        <v>16</v>
      </c>
      <c r="G1590">
        <v>106.8</v>
      </c>
      <c r="H1590">
        <v>5347.95</v>
      </c>
      <c r="I1590" t="s">
        <v>15</v>
      </c>
      <c r="J1590" t="s">
        <v>16</v>
      </c>
      <c r="K1590" t="s">
        <v>17</v>
      </c>
      <c r="L1590">
        <v>5347.95</v>
      </c>
      <c r="M1590" t="s">
        <v>5033</v>
      </c>
      <c r="N1590" t="s">
        <v>5034</v>
      </c>
    </row>
    <row r="1591" spans="1:14" x14ac:dyDescent="0.3">
      <c r="A1591" t="s">
        <v>1615</v>
      </c>
      <c r="B1591" t="s">
        <v>12</v>
      </c>
      <c r="C1591" t="s">
        <v>13</v>
      </c>
      <c r="D1591">
        <v>7</v>
      </c>
      <c r="E1591" t="s">
        <v>14</v>
      </c>
      <c r="F1591" t="s">
        <v>15</v>
      </c>
      <c r="G1591">
        <v>64.95</v>
      </c>
      <c r="H1591">
        <v>493.65</v>
      </c>
      <c r="I1591" t="s">
        <v>15</v>
      </c>
      <c r="J1591" t="s">
        <v>16</v>
      </c>
      <c r="K1591" t="s">
        <v>17</v>
      </c>
      <c r="L1591">
        <v>493.65</v>
      </c>
      <c r="M1591" t="s">
        <v>5030</v>
      </c>
      <c r="N1591" t="s">
        <v>5031</v>
      </c>
    </row>
    <row r="1592" spans="1:14" x14ac:dyDescent="0.3">
      <c r="A1592" t="s">
        <v>1616</v>
      </c>
      <c r="B1592" t="s">
        <v>12</v>
      </c>
      <c r="C1592" t="s">
        <v>35</v>
      </c>
      <c r="D1592">
        <v>63</v>
      </c>
      <c r="E1592" t="s">
        <v>15</v>
      </c>
      <c r="F1592" t="s">
        <v>36</v>
      </c>
      <c r="G1592">
        <v>19.350000000000001</v>
      </c>
      <c r="H1592">
        <v>1263.8499999999999</v>
      </c>
      <c r="I1592" t="s">
        <v>15</v>
      </c>
      <c r="J1592" t="s">
        <v>15</v>
      </c>
      <c r="K1592" t="s">
        <v>17</v>
      </c>
      <c r="L1592">
        <v>1263.8499999999999</v>
      </c>
      <c r="M1592" t="s">
        <v>5033</v>
      </c>
      <c r="N1592" t="s">
        <v>5031</v>
      </c>
    </row>
    <row r="1593" spans="1:14" x14ac:dyDescent="0.3">
      <c r="A1593" t="s">
        <v>1617</v>
      </c>
      <c r="B1593" t="s">
        <v>19</v>
      </c>
      <c r="C1593" t="s">
        <v>13</v>
      </c>
      <c r="D1593">
        <v>17</v>
      </c>
      <c r="E1593" t="s">
        <v>15</v>
      </c>
      <c r="F1593" t="s">
        <v>36</v>
      </c>
      <c r="G1593">
        <v>21.1</v>
      </c>
      <c r="H1593">
        <v>385.55</v>
      </c>
      <c r="I1593" t="s">
        <v>15</v>
      </c>
      <c r="J1593" t="s">
        <v>15</v>
      </c>
      <c r="K1593" t="s">
        <v>29</v>
      </c>
      <c r="L1593">
        <v>385.55</v>
      </c>
      <c r="M1593" t="s">
        <v>5032</v>
      </c>
      <c r="N1593" t="s">
        <v>5031</v>
      </c>
    </row>
    <row r="1594" spans="1:14" x14ac:dyDescent="0.3">
      <c r="A1594" t="s">
        <v>1618</v>
      </c>
      <c r="B1594" t="s">
        <v>12</v>
      </c>
      <c r="C1594" t="s">
        <v>13</v>
      </c>
      <c r="D1594">
        <v>42</v>
      </c>
      <c r="E1594" t="s">
        <v>26</v>
      </c>
      <c r="F1594" t="s">
        <v>15</v>
      </c>
      <c r="G1594">
        <v>77.95</v>
      </c>
      <c r="H1594">
        <v>3384</v>
      </c>
      <c r="I1594" t="s">
        <v>16</v>
      </c>
      <c r="J1594" t="s">
        <v>16</v>
      </c>
      <c r="K1594" t="s">
        <v>29</v>
      </c>
      <c r="L1594">
        <v>3384</v>
      </c>
      <c r="M1594" t="s">
        <v>5033</v>
      </c>
      <c r="N1594" t="s">
        <v>5034</v>
      </c>
    </row>
    <row r="1595" spans="1:14" x14ac:dyDescent="0.3">
      <c r="A1595" t="s">
        <v>1619</v>
      </c>
      <c r="B1595" t="s">
        <v>19</v>
      </c>
      <c r="C1595" t="s">
        <v>13</v>
      </c>
      <c r="D1595">
        <v>4</v>
      </c>
      <c r="E1595" t="s">
        <v>15</v>
      </c>
      <c r="F1595" t="s">
        <v>36</v>
      </c>
      <c r="G1595">
        <v>18.850000000000001</v>
      </c>
      <c r="H1595">
        <v>84.2</v>
      </c>
      <c r="I1595" t="s">
        <v>15</v>
      </c>
      <c r="J1595" t="s">
        <v>15</v>
      </c>
      <c r="K1595" t="s">
        <v>21</v>
      </c>
      <c r="L1595">
        <v>84.2</v>
      </c>
      <c r="M1595" t="s">
        <v>5030</v>
      </c>
      <c r="N1595" t="s">
        <v>5031</v>
      </c>
    </row>
    <row r="1596" spans="1:14" x14ac:dyDescent="0.3">
      <c r="A1596" t="s">
        <v>1620</v>
      </c>
      <c r="B1596" t="s">
        <v>12</v>
      </c>
      <c r="C1596" t="s">
        <v>35</v>
      </c>
      <c r="D1596">
        <v>62</v>
      </c>
      <c r="E1596" t="s">
        <v>15</v>
      </c>
      <c r="F1596" t="s">
        <v>36</v>
      </c>
      <c r="G1596">
        <v>26</v>
      </c>
      <c r="H1596">
        <v>1638.7</v>
      </c>
      <c r="I1596" t="s">
        <v>15</v>
      </c>
      <c r="J1596" t="s">
        <v>15</v>
      </c>
      <c r="K1596" t="s">
        <v>24</v>
      </c>
      <c r="L1596">
        <v>1638.7</v>
      </c>
      <c r="M1596" t="s">
        <v>5033</v>
      </c>
      <c r="N1596" t="s">
        <v>5031</v>
      </c>
    </row>
    <row r="1597" spans="1:14" x14ac:dyDescent="0.3">
      <c r="A1597" t="s">
        <v>1621</v>
      </c>
      <c r="B1597" t="s">
        <v>19</v>
      </c>
      <c r="C1597" t="s">
        <v>13</v>
      </c>
      <c r="D1597">
        <v>2</v>
      </c>
      <c r="E1597" t="s">
        <v>26</v>
      </c>
      <c r="F1597" t="s">
        <v>15</v>
      </c>
      <c r="G1597">
        <v>74.7</v>
      </c>
      <c r="H1597">
        <v>165.4</v>
      </c>
      <c r="I1597" t="s">
        <v>16</v>
      </c>
      <c r="J1597" t="s">
        <v>16</v>
      </c>
      <c r="K1597" t="s">
        <v>17</v>
      </c>
      <c r="L1597">
        <v>165.4</v>
      </c>
      <c r="M1597" t="s">
        <v>5030</v>
      </c>
      <c r="N1597" t="s">
        <v>5031</v>
      </c>
    </row>
    <row r="1598" spans="1:14" x14ac:dyDescent="0.3">
      <c r="A1598" t="s">
        <v>1622</v>
      </c>
      <c r="B1598" t="s">
        <v>12</v>
      </c>
      <c r="C1598" t="s">
        <v>13</v>
      </c>
      <c r="D1598">
        <v>2</v>
      </c>
      <c r="E1598" t="s">
        <v>26</v>
      </c>
      <c r="F1598" t="s">
        <v>15</v>
      </c>
      <c r="G1598">
        <v>70.349999999999994</v>
      </c>
      <c r="H1598">
        <v>120.25</v>
      </c>
      <c r="I1598" t="s">
        <v>15</v>
      </c>
      <c r="J1598" t="s">
        <v>16</v>
      </c>
      <c r="K1598" t="s">
        <v>17</v>
      </c>
      <c r="L1598">
        <v>120.25</v>
      </c>
      <c r="M1598" t="s">
        <v>5030</v>
      </c>
      <c r="N1598" t="s">
        <v>5031</v>
      </c>
    </row>
    <row r="1599" spans="1:14" x14ac:dyDescent="0.3">
      <c r="A1599" t="s">
        <v>1623</v>
      </c>
      <c r="B1599" t="s">
        <v>19</v>
      </c>
      <c r="C1599" t="s">
        <v>35</v>
      </c>
      <c r="D1599">
        <v>48</v>
      </c>
      <c r="E1599" t="s">
        <v>26</v>
      </c>
      <c r="F1599" t="s">
        <v>15</v>
      </c>
      <c r="G1599">
        <v>96.9</v>
      </c>
      <c r="H1599">
        <v>4473.45</v>
      </c>
      <c r="I1599" t="s">
        <v>15</v>
      </c>
      <c r="J1599" t="s">
        <v>16</v>
      </c>
      <c r="K1599" t="s">
        <v>24</v>
      </c>
      <c r="L1599">
        <v>4473.45</v>
      </c>
      <c r="M1599" t="s">
        <v>5033</v>
      </c>
      <c r="N1599" t="s">
        <v>5034</v>
      </c>
    </row>
    <row r="1600" spans="1:14" x14ac:dyDescent="0.3">
      <c r="A1600" t="s">
        <v>1624</v>
      </c>
      <c r="B1600" t="s">
        <v>19</v>
      </c>
      <c r="C1600" t="s">
        <v>35</v>
      </c>
      <c r="D1600">
        <v>27</v>
      </c>
      <c r="E1600" t="s">
        <v>15</v>
      </c>
      <c r="F1600" t="s">
        <v>36</v>
      </c>
      <c r="G1600">
        <v>19.55</v>
      </c>
      <c r="H1600">
        <v>520.54999999999995</v>
      </c>
      <c r="I1600" t="s">
        <v>15</v>
      </c>
      <c r="J1600" t="s">
        <v>15</v>
      </c>
      <c r="K1600" t="s">
        <v>24</v>
      </c>
      <c r="L1600">
        <v>520.54999999999995</v>
      </c>
      <c r="M1600" t="s">
        <v>5032</v>
      </c>
      <c r="N1600" t="s">
        <v>5031</v>
      </c>
    </row>
    <row r="1601" spans="1:14" x14ac:dyDescent="0.3">
      <c r="A1601" t="s">
        <v>1625</v>
      </c>
      <c r="B1601" t="s">
        <v>12</v>
      </c>
      <c r="C1601" t="s">
        <v>35</v>
      </c>
      <c r="D1601">
        <v>70</v>
      </c>
      <c r="E1601" t="s">
        <v>14</v>
      </c>
      <c r="F1601" t="s">
        <v>16</v>
      </c>
      <c r="G1601">
        <v>80.400000000000006</v>
      </c>
      <c r="H1601">
        <v>5717.85</v>
      </c>
      <c r="I1601" t="s">
        <v>15</v>
      </c>
      <c r="J1601" t="s">
        <v>16</v>
      </c>
      <c r="K1601" t="s">
        <v>24</v>
      </c>
      <c r="L1601">
        <v>5717.85</v>
      </c>
      <c r="M1601" t="s">
        <v>5033</v>
      </c>
      <c r="N1601" t="s">
        <v>5034</v>
      </c>
    </row>
    <row r="1602" spans="1:14" x14ac:dyDescent="0.3">
      <c r="A1602" t="s">
        <v>1626</v>
      </c>
      <c r="B1602" t="s">
        <v>19</v>
      </c>
      <c r="C1602" t="s">
        <v>13</v>
      </c>
      <c r="D1602">
        <v>1</v>
      </c>
      <c r="E1602" t="s">
        <v>26</v>
      </c>
      <c r="F1602" t="s">
        <v>15</v>
      </c>
      <c r="G1602">
        <v>88.8</v>
      </c>
      <c r="H1602">
        <v>88.8</v>
      </c>
      <c r="I1602" t="s">
        <v>16</v>
      </c>
      <c r="J1602" t="s">
        <v>16</v>
      </c>
      <c r="K1602" t="s">
        <v>17</v>
      </c>
      <c r="L1602">
        <v>88.8</v>
      </c>
      <c r="M1602" t="s">
        <v>5030</v>
      </c>
      <c r="N1602" t="s">
        <v>5031</v>
      </c>
    </row>
    <row r="1603" spans="1:14" x14ac:dyDescent="0.3">
      <c r="A1603" t="s">
        <v>1627</v>
      </c>
      <c r="B1603" t="s">
        <v>19</v>
      </c>
      <c r="C1603" t="s">
        <v>20</v>
      </c>
      <c r="D1603">
        <v>46</v>
      </c>
      <c r="E1603" t="s">
        <v>26</v>
      </c>
      <c r="F1603" t="s">
        <v>15</v>
      </c>
      <c r="G1603">
        <v>94.65</v>
      </c>
      <c r="H1603">
        <v>4312.5</v>
      </c>
      <c r="I1603" t="s">
        <v>15</v>
      </c>
      <c r="J1603" t="s">
        <v>16</v>
      </c>
      <c r="K1603" t="s">
        <v>17</v>
      </c>
      <c r="L1603">
        <v>4312.5</v>
      </c>
      <c r="M1603" t="s">
        <v>5033</v>
      </c>
      <c r="N1603" t="s">
        <v>5034</v>
      </c>
    </row>
    <row r="1604" spans="1:14" x14ac:dyDescent="0.3">
      <c r="A1604" t="s">
        <v>1628</v>
      </c>
      <c r="B1604" t="s">
        <v>19</v>
      </c>
      <c r="C1604" t="s">
        <v>13</v>
      </c>
      <c r="D1604">
        <v>30</v>
      </c>
      <c r="E1604" t="s">
        <v>26</v>
      </c>
      <c r="F1604" t="s">
        <v>15</v>
      </c>
      <c r="G1604">
        <v>90.25</v>
      </c>
      <c r="H1604">
        <v>2755.35</v>
      </c>
      <c r="I1604" t="s">
        <v>16</v>
      </c>
      <c r="J1604" t="s">
        <v>16</v>
      </c>
      <c r="K1604" t="s">
        <v>17</v>
      </c>
      <c r="L1604">
        <v>2755.35</v>
      </c>
      <c r="M1604" t="s">
        <v>5032</v>
      </c>
      <c r="N1604" t="s">
        <v>5034</v>
      </c>
    </row>
    <row r="1605" spans="1:14" x14ac:dyDescent="0.3">
      <c r="A1605" t="s">
        <v>1629</v>
      </c>
      <c r="B1605" t="s">
        <v>12</v>
      </c>
      <c r="C1605" t="s">
        <v>13</v>
      </c>
      <c r="D1605">
        <v>15</v>
      </c>
      <c r="E1605" t="s">
        <v>14</v>
      </c>
      <c r="F1605" t="s">
        <v>15</v>
      </c>
      <c r="G1605">
        <v>64.650000000000006</v>
      </c>
      <c r="H1605">
        <v>994.55</v>
      </c>
      <c r="I1605" t="s">
        <v>16</v>
      </c>
      <c r="J1605" t="s">
        <v>16</v>
      </c>
      <c r="K1605" t="s">
        <v>24</v>
      </c>
      <c r="L1605">
        <v>994.55</v>
      </c>
      <c r="M1605" t="s">
        <v>5032</v>
      </c>
      <c r="N1605" t="s">
        <v>5031</v>
      </c>
    </row>
    <row r="1606" spans="1:14" x14ac:dyDescent="0.3">
      <c r="A1606" t="s">
        <v>1630</v>
      </c>
      <c r="B1606" t="s">
        <v>19</v>
      </c>
      <c r="C1606" t="s">
        <v>20</v>
      </c>
      <c r="D1606">
        <v>69</v>
      </c>
      <c r="E1606" t="s">
        <v>26</v>
      </c>
      <c r="F1606" t="s">
        <v>15</v>
      </c>
      <c r="G1606">
        <v>95.75</v>
      </c>
      <c r="H1606">
        <v>6511.25</v>
      </c>
      <c r="I1606" t="s">
        <v>15</v>
      </c>
      <c r="J1606" t="s">
        <v>15</v>
      </c>
      <c r="K1606" t="s">
        <v>29</v>
      </c>
      <c r="L1606">
        <v>6511.25</v>
      </c>
      <c r="M1606" t="s">
        <v>5033</v>
      </c>
      <c r="N1606" t="s">
        <v>5034</v>
      </c>
    </row>
    <row r="1607" spans="1:14" x14ac:dyDescent="0.3">
      <c r="A1607" t="s">
        <v>1631</v>
      </c>
      <c r="B1607" t="s">
        <v>19</v>
      </c>
      <c r="C1607" t="s">
        <v>35</v>
      </c>
      <c r="D1607">
        <v>65</v>
      </c>
      <c r="E1607" t="s">
        <v>15</v>
      </c>
      <c r="F1607" t="s">
        <v>36</v>
      </c>
      <c r="G1607">
        <v>19.55</v>
      </c>
      <c r="H1607">
        <v>1218.6500000000001</v>
      </c>
      <c r="I1607" t="s">
        <v>15</v>
      </c>
      <c r="J1607" t="s">
        <v>16</v>
      </c>
      <c r="K1607" t="s">
        <v>29</v>
      </c>
      <c r="L1607">
        <v>1218.6500000000001</v>
      </c>
      <c r="M1607" t="s">
        <v>5033</v>
      </c>
      <c r="N1607" t="s">
        <v>5031</v>
      </c>
    </row>
    <row r="1608" spans="1:14" x14ac:dyDescent="0.3">
      <c r="A1608" t="s">
        <v>1632</v>
      </c>
      <c r="B1608" t="s">
        <v>19</v>
      </c>
      <c r="C1608" t="s">
        <v>35</v>
      </c>
      <c r="D1608">
        <v>72</v>
      </c>
      <c r="E1608" t="s">
        <v>26</v>
      </c>
      <c r="F1608" t="s">
        <v>16</v>
      </c>
      <c r="G1608">
        <v>104.1</v>
      </c>
      <c r="H1608">
        <v>7447.7</v>
      </c>
      <c r="I1608" t="s">
        <v>15</v>
      </c>
      <c r="J1608" t="s">
        <v>16</v>
      </c>
      <c r="K1608" t="s">
        <v>29</v>
      </c>
      <c r="L1608">
        <v>7447.7</v>
      </c>
      <c r="M1608" t="s">
        <v>5033</v>
      </c>
      <c r="N1608" t="s">
        <v>5034</v>
      </c>
    </row>
    <row r="1609" spans="1:14" x14ac:dyDescent="0.3">
      <c r="A1609" t="s">
        <v>1633</v>
      </c>
      <c r="B1609" t="s">
        <v>19</v>
      </c>
      <c r="C1609" t="s">
        <v>13</v>
      </c>
      <c r="D1609">
        <v>13</v>
      </c>
      <c r="E1609" t="s">
        <v>26</v>
      </c>
      <c r="F1609" t="s">
        <v>16</v>
      </c>
      <c r="G1609">
        <v>89.05</v>
      </c>
      <c r="H1609">
        <v>1169.3499999999999</v>
      </c>
      <c r="I1609" t="s">
        <v>16</v>
      </c>
      <c r="J1609" t="s">
        <v>16</v>
      </c>
      <c r="K1609" t="s">
        <v>24</v>
      </c>
      <c r="L1609">
        <v>1169.3499999999999</v>
      </c>
      <c r="M1609" t="s">
        <v>5032</v>
      </c>
      <c r="N1609" t="s">
        <v>5031</v>
      </c>
    </row>
    <row r="1610" spans="1:14" x14ac:dyDescent="0.3">
      <c r="A1610" t="s">
        <v>1634</v>
      </c>
      <c r="B1610" t="s">
        <v>19</v>
      </c>
      <c r="C1610" t="s">
        <v>20</v>
      </c>
      <c r="D1610">
        <v>17</v>
      </c>
      <c r="E1610" t="s">
        <v>15</v>
      </c>
      <c r="F1610" t="s">
        <v>36</v>
      </c>
      <c r="G1610">
        <v>20.100000000000001</v>
      </c>
      <c r="H1610">
        <v>279.5</v>
      </c>
      <c r="I1610" t="s">
        <v>15</v>
      </c>
      <c r="J1610" t="s">
        <v>16</v>
      </c>
      <c r="K1610" t="s">
        <v>21</v>
      </c>
      <c r="L1610">
        <v>279.5</v>
      </c>
      <c r="M1610" t="s">
        <v>5032</v>
      </c>
      <c r="N1610" t="s">
        <v>5031</v>
      </c>
    </row>
    <row r="1611" spans="1:14" x14ac:dyDescent="0.3">
      <c r="A1611" t="s">
        <v>1635</v>
      </c>
      <c r="B1611" t="s">
        <v>19</v>
      </c>
      <c r="C1611" t="s">
        <v>20</v>
      </c>
      <c r="D1611">
        <v>51</v>
      </c>
      <c r="E1611" t="s">
        <v>26</v>
      </c>
      <c r="F1611" t="s">
        <v>16</v>
      </c>
      <c r="G1611">
        <v>111.55</v>
      </c>
      <c r="H1611">
        <v>5720.35</v>
      </c>
      <c r="I1611" t="s">
        <v>15</v>
      </c>
      <c r="J1611" t="s">
        <v>16</v>
      </c>
      <c r="K1611" t="s">
        <v>17</v>
      </c>
      <c r="L1611">
        <v>5720.35</v>
      </c>
      <c r="M1611" t="s">
        <v>5033</v>
      </c>
      <c r="N1611" t="s">
        <v>5034</v>
      </c>
    </row>
    <row r="1612" spans="1:14" x14ac:dyDescent="0.3">
      <c r="A1612" t="s">
        <v>1636</v>
      </c>
      <c r="B1612" t="s">
        <v>19</v>
      </c>
      <c r="C1612" t="s">
        <v>35</v>
      </c>
      <c r="D1612">
        <v>51</v>
      </c>
      <c r="E1612" t="s">
        <v>14</v>
      </c>
      <c r="F1612" t="s">
        <v>16</v>
      </c>
      <c r="G1612">
        <v>60.5</v>
      </c>
      <c r="H1612">
        <v>3121.45</v>
      </c>
      <c r="I1612" t="s">
        <v>15</v>
      </c>
      <c r="J1612" t="s">
        <v>15</v>
      </c>
      <c r="K1612" t="s">
        <v>29</v>
      </c>
      <c r="L1612">
        <v>3121.45</v>
      </c>
      <c r="M1612" t="s">
        <v>5033</v>
      </c>
      <c r="N1612" t="s">
        <v>5034</v>
      </c>
    </row>
    <row r="1613" spans="1:14" x14ac:dyDescent="0.3">
      <c r="A1613" t="s">
        <v>1637</v>
      </c>
      <c r="B1613" t="s">
        <v>12</v>
      </c>
      <c r="C1613" t="s">
        <v>35</v>
      </c>
      <c r="D1613">
        <v>72</v>
      </c>
      <c r="E1613" t="s">
        <v>14</v>
      </c>
      <c r="F1613" t="s">
        <v>16</v>
      </c>
      <c r="G1613">
        <v>90.95</v>
      </c>
      <c r="H1613">
        <v>6468.6</v>
      </c>
      <c r="I1613" t="s">
        <v>15</v>
      </c>
      <c r="J1613" t="s">
        <v>16</v>
      </c>
      <c r="K1613" t="s">
        <v>24</v>
      </c>
      <c r="L1613">
        <v>6468.6</v>
      </c>
      <c r="M1613" t="s">
        <v>5033</v>
      </c>
      <c r="N1613" t="s">
        <v>5034</v>
      </c>
    </row>
    <row r="1614" spans="1:14" x14ac:dyDescent="0.3">
      <c r="A1614" t="s">
        <v>1638</v>
      </c>
      <c r="B1614" t="s">
        <v>19</v>
      </c>
      <c r="C1614" t="s">
        <v>20</v>
      </c>
      <c r="D1614">
        <v>67</v>
      </c>
      <c r="E1614" t="s">
        <v>26</v>
      </c>
      <c r="F1614" t="s">
        <v>15</v>
      </c>
      <c r="G1614">
        <v>87.4</v>
      </c>
      <c r="H1614">
        <v>5918.8</v>
      </c>
      <c r="I1614" t="s">
        <v>16</v>
      </c>
      <c r="J1614" t="s">
        <v>15</v>
      </c>
      <c r="K1614" t="s">
        <v>17</v>
      </c>
      <c r="L1614">
        <v>5918.8</v>
      </c>
      <c r="M1614" t="s">
        <v>5033</v>
      </c>
      <c r="N1614" t="s">
        <v>5034</v>
      </c>
    </row>
    <row r="1615" spans="1:14" x14ac:dyDescent="0.3">
      <c r="A1615" t="s">
        <v>1639</v>
      </c>
      <c r="B1615" t="s">
        <v>19</v>
      </c>
      <c r="C1615" t="s">
        <v>13</v>
      </c>
      <c r="D1615">
        <v>34</v>
      </c>
      <c r="E1615" t="s">
        <v>15</v>
      </c>
      <c r="F1615" t="s">
        <v>36</v>
      </c>
      <c r="G1615">
        <v>19.7</v>
      </c>
      <c r="H1615">
        <v>675.6</v>
      </c>
      <c r="I1615" t="s">
        <v>15</v>
      </c>
      <c r="J1615" t="s">
        <v>15</v>
      </c>
      <c r="K1615" t="s">
        <v>21</v>
      </c>
      <c r="L1615">
        <v>675.6</v>
      </c>
      <c r="M1615" t="s">
        <v>5032</v>
      </c>
      <c r="N1615" t="s">
        <v>5031</v>
      </c>
    </row>
    <row r="1616" spans="1:14" x14ac:dyDescent="0.3">
      <c r="A1616" t="s">
        <v>1640</v>
      </c>
      <c r="B1616" t="s">
        <v>19</v>
      </c>
      <c r="C1616" t="s">
        <v>35</v>
      </c>
      <c r="D1616">
        <v>67</v>
      </c>
      <c r="E1616" t="s">
        <v>14</v>
      </c>
      <c r="F1616" t="s">
        <v>16</v>
      </c>
      <c r="G1616">
        <v>50.95</v>
      </c>
      <c r="H1616">
        <v>3521.7</v>
      </c>
      <c r="I1616" t="s">
        <v>15</v>
      </c>
      <c r="J1616" t="s">
        <v>16</v>
      </c>
      <c r="K1616" t="s">
        <v>24</v>
      </c>
      <c r="L1616">
        <v>3521.7</v>
      </c>
      <c r="M1616" t="s">
        <v>5033</v>
      </c>
      <c r="N1616" t="s">
        <v>5034</v>
      </c>
    </row>
    <row r="1617" spans="1:14" x14ac:dyDescent="0.3">
      <c r="A1617" t="s">
        <v>1641</v>
      </c>
      <c r="B1617" t="s">
        <v>12</v>
      </c>
      <c r="C1617" t="s">
        <v>20</v>
      </c>
      <c r="D1617">
        <v>49</v>
      </c>
      <c r="E1617" t="s">
        <v>15</v>
      </c>
      <c r="F1617" t="s">
        <v>36</v>
      </c>
      <c r="G1617">
        <v>20.05</v>
      </c>
      <c r="H1617">
        <v>923.1</v>
      </c>
      <c r="I1617" t="s">
        <v>15</v>
      </c>
      <c r="J1617" t="s">
        <v>16</v>
      </c>
      <c r="K1617" t="s">
        <v>24</v>
      </c>
      <c r="L1617">
        <v>923.1</v>
      </c>
      <c r="M1617" t="s">
        <v>5033</v>
      </c>
      <c r="N1617" t="s">
        <v>5031</v>
      </c>
    </row>
    <row r="1618" spans="1:14" x14ac:dyDescent="0.3">
      <c r="A1618" t="s">
        <v>1642</v>
      </c>
      <c r="B1618" t="s">
        <v>19</v>
      </c>
      <c r="C1618" t="s">
        <v>35</v>
      </c>
      <c r="D1618">
        <v>53</v>
      </c>
      <c r="E1618" t="s">
        <v>15</v>
      </c>
      <c r="F1618" t="s">
        <v>36</v>
      </c>
      <c r="G1618">
        <v>19.399999999999999</v>
      </c>
      <c r="H1618">
        <v>1110.3499999999999</v>
      </c>
      <c r="I1618" t="s">
        <v>15</v>
      </c>
      <c r="J1618" t="s">
        <v>16</v>
      </c>
      <c r="K1618" t="s">
        <v>21</v>
      </c>
      <c r="L1618">
        <v>1110.3499999999999</v>
      </c>
      <c r="M1618" t="s">
        <v>5033</v>
      </c>
      <c r="N1618" t="s">
        <v>5031</v>
      </c>
    </row>
    <row r="1619" spans="1:14" x14ac:dyDescent="0.3">
      <c r="A1619" t="s">
        <v>1643</v>
      </c>
      <c r="B1619" t="s">
        <v>19</v>
      </c>
      <c r="C1619" t="s">
        <v>13</v>
      </c>
      <c r="D1619">
        <v>27</v>
      </c>
      <c r="E1619" t="s">
        <v>14</v>
      </c>
      <c r="F1619" t="s">
        <v>16</v>
      </c>
      <c r="G1619">
        <v>59.45</v>
      </c>
      <c r="H1619">
        <v>1611.65</v>
      </c>
      <c r="I1619" t="s">
        <v>15</v>
      </c>
      <c r="J1619" t="s">
        <v>15</v>
      </c>
      <c r="K1619" t="s">
        <v>17</v>
      </c>
      <c r="L1619">
        <v>1611.65</v>
      </c>
      <c r="M1619" t="s">
        <v>5032</v>
      </c>
      <c r="N1619" t="s">
        <v>5031</v>
      </c>
    </row>
    <row r="1620" spans="1:14" x14ac:dyDescent="0.3">
      <c r="A1620" t="s">
        <v>1644</v>
      </c>
      <c r="B1620" t="s">
        <v>12</v>
      </c>
      <c r="C1620" t="s">
        <v>13</v>
      </c>
      <c r="D1620">
        <v>23</v>
      </c>
      <c r="E1620" t="s">
        <v>26</v>
      </c>
      <c r="F1620" t="s">
        <v>15</v>
      </c>
      <c r="G1620">
        <v>94.75</v>
      </c>
      <c r="H1620">
        <v>2293.6</v>
      </c>
      <c r="I1620" t="s">
        <v>16</v>
      </c>
      <c r="J1620" t="s">
        <v>16</v>
      </c>
      <c r="K1620" t="s">
        <v>17</v>
      </c>
      <c r="L1620">
        <v>2293.6</v>
      </c>
      <c r="M1620" t="s">
        <v>5032</v>
      </c>
      <c r="N1620" t="s">
        <v>5031</v>
      </c>
    </row>
    <row r="1621" spans="1:14" x14ac:dyDescent="0.3">
      <c r="A1621" t="s">
        <v>1645</v>
      </c>
      <c r="B1621" t="s">
        <v>19</v>
      </c>
      <c r="C1621" t="s">
        <v>35</v>
      </c>
      <c r="D1621">
        <v>69</v>
      </c>
      <c r="E1621" t="s">
        <v>14</v>
      </c>
      <c r="F1621" t="s">
        <v>16</v>
      </c>
      <c r="G1621">
        <v>81.5</v>
      </c>
      <c r="H1621">
        <v>5553.25</v>
      </c>
      <c r="I1621" t="s">
        <v>15</v>
      </c>
      <c r="J1621" t="s">
        <v>16</v>
      </c>
      <c r="K1621" t="s">
        <v>29</v>
      </c>
      <c r="L1621">
        <v>5553.25</v>
      </c>
      <c r="M1621" t="s">
        <v>5033</v>
      </c>
      <c r="N1621" t="s">
        <v>5034</v>
      </c>
    </row>
    <row r="1622" spans="1:14" x14ac:dyDescent="0.3">
      <c r="A1622" t="s">
        <v>1646</v>
      </c>
      <c r="B1622" t="s">
        <v>12</v>
      </c>
      <c r="C1622" t="s">
        <v>13</v>
      </c>
      <c r="D1622">
        <v>2</v>
      </c>
      <c r="E1622" t="s">
        <v>14</v>
      </c>
      <c r="F1622" t="s">
        <v>16</v>
      </c>
      <c r="G1622">
        <v>29.05</v>
      </c>
      <c r="H1622">
        <v>44.75</v>
      </c>
      <c r="I1622" t="s">
        <v>15</v>
      </c>
      <c r="J1622" t="s">
        <v>15</v>
      </c>
      <c r="K1622" t="s">
        <v>24</v>
      </c>
      <c r="L1622">
        <v>44.75</v>
      </c>
      <c r="M1622" t="s">
        <v>5030</v>
      </c>
      <c r="N1622" t="s">
        <v>5031</v>
      </c>
    </row>
    <row r="1623" spans="1:14" x14ac:dyDescent="0.3">
      <c r="A1623" t="s">
        <v>1647</v>
      </c>
      <c r="B1623" t="s">
        <v>12</v>
      </c>
      <c r="C1623" t="s">
        <v>13</v>
      </c>
      <c r="D1623">
        <v>35</v>
      </c>
      <c r="E1623" t="s">
        <v>26</v>
      </c>
      <c r="F1623" t="s">
        <v>15</v>
      </c>
      <c r="G1623">
        <v>86.45</v>
      </c>
      <c r="H1623">
        <v>3029.1</v>
      </c>
      <c r="I1623" t="s">
        <v>16</v>
      </c>
      <c r="J1623" t="s">
        <v>16</v>
      </c>
      <c r="K1623" t="s">
        <v>17</v>
      </c>
      <c r="L1623">
        <v>3029.1</v>
      </c>
      <c r="M1623" t="s">
        <v>5032</v>
      </c>
      <c r="N1623" t="s">
        <v>5034</v>
      </c>
    </row>
    <row r="1624" spans="1:14" x14ac:dyDescent="0.3">
      <c r="A1624" t="s">
        <v>1648</v>
      </c>
      <c r="B1624" t="s">
        <v>12</v>
      </c>
      <c r="C1624" t="s">
        <v>20</v>
      </c>
      <c r="D1624">
        <v>46</v>
      </c>
      <c r="E1624" t="s">
        <v>14</v>
      </c>
      <c r="F1624" t="s">
        <v>16</v>
      </c>
      <c r="G1624">
        <v>70.599999999999994</v>
      </c>
      <c r="H1624">
        <v>3231.05</v>
      </c>
      <c r="I1624" t="s">
        <v>15</v>
      </c>
      <c r="J1624" t="s">
        <v>15</v>
      </c>
      <c r="K1624" t="s">
        <v>21</v>
      </c>
      <c r="L1624">
        <v>3231.05</v>
      </c>
      <c r="M1624" t="s">
        <v>5033</v>
      </c>
      <c r="N1624" t="s">
        <v>5034</v>
      </c>
    </row>
    <row r="1625" spans="1:14" x14ac:dyDescent="0.3">
      <c r="A1625" t="s">
        <v>1649</v>
      </c>
      <c r="B1625" t="s">
        <v>12</v>
      </c>
      <c r="C1625" t="s">
        <v>35</v>
      </c>
      <c r="D1625">
        <v>54</v>
      </c>
      <c r="E1625" t="s">
        <v>26</v>
      </c>
      <c r="F1625" t="s">
        <v>15</v>
      </c>
      <c r="G1625">
        <v>97.2</v>
      </c>
      <c r="H1625">
        <v>5129.45</v>
      </c>
      <c r="I1625" t="s">
        <v>15</v>
      </c>
      <c r="J1625" t="s">
        <v>16</v>
      </c>
      <c r="K1625" t="s">
        <v>24</v>
      </c>
      <c r="L1625">
        <v>5129.45</v>
      </c>
      <c r="M1625" t="s">
        <v>5033</v>
      </c>
      <c r="N1625" t="s">
        <v>5034</v>
      </c>
    </row>
    <row r="1626" spans="1:14" x14ac:dyDescent="0.3">
      <c r="A1626" t="s">
        <v>1650</v>
      </c>
      <c r="B1626" t="s">
        <v>12</v>
      </c>
      <c r="C1626" t="s">
        <v>20</v>
      </c>
      <c r="D1626">
        <v>56</v>
      </c>
      <c r="E1626" t="s">
        <v>26</v>
      </c>
      <c r="F1626" t="s">
        <v>15</v>
      </c>
      <c r="G1626">
        <v>98.25</v>
      </c>
      <c r="H1626">
        <v>5508.35</v>
      </c>
      <c r="I1626" t="s">
        <v>16</v>
      </c>
      <c r="J1626" t="s">
        <v>16</v>
      </c>
      <c r="K1626" t="s">
        <v>17</v>
      </c>
      <c r="L1626">
        <v>5508.35</v>
      </c>
      <c r="M1626" t="s">
        <v>5033</v>
      </c>
      <c r="N1626" t="s">
        <v>5034</v>
      </c>
    </row>
    <row r="1627" spans="1:14" x14ac:dyDescent="0.3">
      <c r="A1627" t="s">
        <v>1651</v>
      </c>
      <c r="B1627" t="s">
        <v>12</v>
      </c>
      <c r="C1627" t="s">
        <v>13</v>
      </c>
      <c r="D1627">
        <v>9</v>
      </c>
      <c r="E1627" t="s">
        <v>26</v>
      </c>
      <c r="F1627" t="s">
        <v>15</v>
      </c>
      <c r="G1627">
        <v>75.75</v>
      </c>
      <c r="H1627">
        <v>655.9</v>
      </c>
      <c r="I1627" t="s">
        <v>16</v>
      </c>
      <c r="J1627" t="s">
        <v>16</v>
      </c>
      <c r="K1627" t="s">
        <v>24</v>
      </c>
      <c r="L1627">
        <v>655.9</v>
      </c>
      <c r="M1627" t="s">
        <v>5030</v>
      </c>
      <c r="N1627" t="s">
        <v>5031</v>
      </c>
    </row>
    <row r="1628" spans="1:14" x14ac:dyDescent="0.3">
      <c r="A1628" t="s">
        <v>1652</v>
      </c>
      <c r="B1628" t="s">
        <v>19</v>
      </c>
      <c r="C1628" t="s">
        <v>13</v>
      </c>
      <c r="D1628">
        <v>20</v>
      </c>
      <c r="E1628" t="s">
        <v>14</v>
      </c>
      <c r="F1628" t="s">
        <v>16</v>
      </c>
      <c r="G1628">
        <v>59.2</v>
      </c>
      <c r="H1628">
        <v>1191.2</v>
      </c>
      <c r="I1628" t="s">
        <v>15</v>
      </c>
      <c r="J1628" t="s">
        <v>15</v>
      </c>
      <c r="K1628" t="s">
        <v>24</v>
      </c>
      <c r="L1628">
        <v>1191.2</v>
      </c>
      <c r="M1628" t="s">
        <v>5032</v>
      </c>
      <c r="N1628" t="s">
        <v>5031</v>
      </c>
    </row>
    <row r="1629" spans="1:14" x14ac:dyDescent="0.3">
      <c r="A1629" t="s">
        <v>1653</v>
      </c>
      <c r="B1629" t="s">
        <v>19</v>
      </c>
      <c r="C1629" t="s">
        <v>13</v>
      </c>
      <c r="D1629">
        <v>11</v>
      </c>
      <c r="E1629" t="s">
        <v>26</v>
      </c>
      <c r="F1629" t="s">
        <v>15</v>
      </c>
      <c r="G1629">
        <v>75.900000000000006</v>
      </c>
      <c r="H1629">
        <v>866.4</v>
      </c>
      <c r="I1629" t="s">
        <v>15</v>
      </c>
      <c r="J1629" t="s">
        <v>16</v>
      </c>
      <c r="K1629" t="s">
        <v>21</v>
      </c>
      <c r="L1629">
        <v>866.4</v>
      </c>
      <c r="M1629" t="s">
        <v>5030</v>
      </c>
      <c r="N1629" t="s">
        <v>5031</v>
      </c>
    </row>
    <row r="1630" spans="1:14" x14ac:dyDescent="0.3">
      <c r="A1630" t="s">
        <v>1654</v>
      </c>
      <c r="B1630" t="s">
        <v>12</v>
      </c>
      <c r="C1630" t="s">
        <v>13</v>
      </c>
      <c r="D1630">
        <v>30</v>
      </c>
      <c r="E1630" t="s">
        <v>26</v>
      </c>
      <c r="F1630" t="s">
        <v>15</v>
      </c>
      <c r="G1630">
        <v>90.05</v>
      </c>
      <c r="H1630">
        <v>2627.2</v>
      </c>
      <c r="I1630" t="s">
        <v>15</v>
      </c>
      <c r="J1630" t="s">
        <v>16</v>
      </c>
      <c r="K1630" t="s">
        <v>17</v>
      </c>
      <c r="L1630">
        <v>2627.2</v>
      </c>
      <c r="M1630" t="s">
        <v>5032</v>
      </c>
      <c r="N1630" t="s">
        <v>5034</v>
      </c>
    </row>
    <row r="1631" spans="1:14" x14ac:dyDescent="0.3">
      <c r="A1631" t="s">
        <v>1655</v>
      </c>
      <c r="B1631" t="s">
        <v>19</v>
      </c>
      <c r="C1631" t="s">
        <v>35</v>
      </c>
      <c r="D1631">
        <v>68</v>
      </c>
      <c r="E1631" t="s">
        <v>14</v>
      </c>
      <c r="F1631" t="s">
        <v>15</v>
      </c>
      <c r="G1631">
        <v>70.95</v>
      </c>
      <c r="H1631">
        <v>4741.45</v>
      </c>
      <c r="I1631" t="s">
        <v>15</v>
      </c>
      <c r="J1631" t="s">
        <v>15</v>
      </c>
      <c r="K1631" t="s">
        <v>24</v>
      </c>
      <c r="L1631">
        <v>4741.45</v>
      </c>
      <c r="M1631" t="s">
        <v>5033</v>
      </c>
      <c r="N1631" t="s">
        <v>5034</v>
      </c>
    </row>
    <row r="1632" spans="1:14" x14ac:dyDescent="0.3">
      <c r="A1632" t="s">
        <v>1656</v>
      </c>
      <c r="B1632" t="s">
        <v>19</v>
      </c>
      <c r="C1632" t="s">
        <v>13</v>
      </c>
      <c r="D1632">
        <v>38</v>
      </c>
      <c r="E1632" t="s">
        <v>26</v>
      </c>
      <c r="F1632" t="s">
        <v>15</v>
      </c>
      <c r="G1632">
        <v>102.6</v>
      </c>
      <c r="H1632">
        <v>4009.2</v>
      </c>
      <c r="I1632" t="s">
        <v>15</v>
      </c>
      <c r="J1632" t="s">
        <v>16</v>
      </c>
      <c r="K1632" t="s">
        <v>17</v>
      </c>
      <c r="L1632">
        <v>4009.2</v>
      </c>
      <c r="M1632" t="s">
        <v>5033</v>
      </c>
      <c r="N1632" t="s">
        <v>5034</v>
      </c>
    </row>
    <row r="1633" spans="1:14" x14ac:dyDescent="0.3">
      <c r="A1633" t="s">
        <v>1657</v>
      </c>
      <c r="B1633" t="s">
        <v>12</v>
      </c>
      <c r="C1633" t="s">
        <v>13</v>
      </c>
      <c r="D1633">
        <v>17</v>
      </c>
      <c r="E1633" t="s">
        <v>26</v>
      </c>
      <c r="F1633" t="s">
        <v>15</v>
      </c>
      <c r="G1633">
        <v>85.35</v>
      </c>
      <c r="H1633">
        <v>1463.45</v>
      </c>
      <c r="I1633" t="s">
        <v>16</v>
      </c>
      <c r="J1633" t="s">
        <v>16</v>
      </c>
      <c r="K1633" t="s">
        <v>24</v>
      </c>
      <c r="L1633">
        <v>1463.45</v>
      </c>
      <c r="M1633" t="s">
        <v>5032</v>
      </c>
      <c r="N1633" t="s">
        <v>5031</v>
      </c>
    </row>
    <row r="1634" spans="1:14" x14ac:dyDescent="0.3">
      <c r="A1634" t="s">
        <v>1658</v>
      </c>
      <c r="B1634" t="s">
        <v>19</v>
      </c>
      <c r="C1634" t="s">
        <v>20</v>
      </c>
      <c r="D1634">
        <v>48</v>
      </c>
      <c r="E1634" t="s">
        <v>26</v>
      </c>
      <c r="F1634" t="s">
        <v>15</v>
      </c>
      <c r="G1634">
        <v>106.1</v>
      </c>
      <c r="H1634">
        <v>5082.8</v>
      </c>
      <c r="I1634" t="s">
        <v>16</v>
      </c>
      <c r="J1634" t="s">
        <v>16</v>
      </c>
      <c r="K1634" t="s">
        <v>29</v>
      </c>
      <c r="L1634">
        <v>5082.8</v>
      </c>
      <c r="M1634" t="s">
        <v>5033</v>
      </c>
      <c r="N1634" t="s">
        <v>5034</v>
      </c>
    </row>
    <row r="1635" spans="1:14" x14ac:dyDescent="0.3">
      <c r="A1635" t="s">
        <v>1659</v>
      </c>
      <c r="B1635" t="s">
        <v>12</v>
      </c>
      <c r="C1635" t="s">
        <v>13</v>
      </c>
      <c r="D1635">
        <v>1</v>
      </c>
      <c r="E1635" t="s">
        <v>14</v>
      </c>
      <c r="F1635" t="s">
        <v>15</v>
      </c>
      <c r="G1635">
        <v>43.8</v>
      </c>
      <c r="H1635">
        <v>43.8</v>
      </c>
      <c r="I1635" t="s">
        <v>15</v>
      </c>
      <c r="J1635" t="s">
        <v>15</v>
      </c>
      <c r="K1635" t="s">
        <v>17</v>
      </c>
      <c r="L1635">
        <v>43.8</v>
      </c>
      <c r="M1635" t="s">
        <v>5030</v>
      </c>
      <c r="N1635" t="s">
        <v>5031</v>
      </c>
    </row>
    <row r="1636" spans="1:14" x14ac:dyDescent="0.3">
      <c r="A1636" t="s">
        <v>1660</v>
      </c>
      <c r="B1636" t="s">
        <v>19</v>
      </c>
      <c r="C1636" t="s">
        <v>35</v>
      </c>
      <c r="D1636">
        <v>63</v>
      </c>
      <c r="E1636" t="s">
        <v>14</v>
      </c>
      <c r="F1636" t="s">
        <v>15</v>
      </c>
      <c r="G1636">
        <v>59</v>
      </c>
      <c r="H1636">
        <v>3707.6</v>
      </c>
      <c r="I1636" t="s">
        <v>15</v>
      </c>
      <c r="J1636" t="s">
        <v>15</v>
      </c>
      <c r="K1636" t="s">
        <v>17</v>
      </c>
      <c r="L1636">
        <v>3707.6</v>
      </c>
      <c r="M1636" t="s">
        <v>5033</v>
      </c>
      <c r="N1636" t="s">
        <v>5034</v>
      </c>
    </row>
    <row r="1637" spans="1:14" x14ac:dyDescent="0.3">
      <c r="A1637" t="s">
        <v>1661</v>
      </c>
      <c r="B1637" t="s">
        <v>12</v>
      </c>
      <c r="C1637" t="s">
        <v>20</v>
      </c>
      <c r="D1637">
        <v>3</v>
      </c>
      <c r="E1637" t="s">
        <v>14</v>
      </c>
      <c r="F1637" t="s">
        <v>15</v>
      </c>
      <c r="G1637">
        <v>69.95</v>
      </c>
      <c r="H1637">
        <v>220.45</v>
      </c>
      <c r="I1637" t="s">
        <v>15</v>
      </c>
      <c r="J1637" t="s">
        <v>16</v>
      </c>
      <c r="K1637" t="s">
        <v>17</v>
      </c>
      <c r="L1637">
        <v>220.45</v>
      </c>
      <c r="M1637" t="s">
        <v>5030</v>
      </c>
      <c r="N1637" t="s">
        <v>5031</v>
      </c>
    </row>
    <row r="1638" spans="1:14" x14ac:dyDescent="0.3">
      <c r="A1638" t="s">
        <v>1662</v>
      </c>
      <c r="B1638" t="s">
        <v>12</v>
      </c>
      <c r="C1638" t="s">
        <v>20</v>
      </c>
      <c r="D1638">
        <v>48</v>
      </c>
      <c r="E1638" t="s">
        <v>15</v>
      </c>
      <c r="F1638" t="s">
        <v>36</v>
      </c>
      <c r="G1638">
        <v>24.35</v>
      </c>
      <c r="H1638">
        <v>1133.7</v>
      </c>
      <c r="I1638" t="s">
        <v>15</v>
      </c>
      <c r="J1638" t="s">
        <v>15</v>
      </c>
      <c r="K1638" t="s">
        <v>24</v>
      </c>
      <c r="L1638">
        <v>1133.7</v>
      </c>
      <c r="M1638" t="s">
        <v>5033</v>
      </c>
      <c r="N1638" t="s">
        <v>5031</v>
      </c>
    </row>
    <row r="1639" spans="1:14" x14ac:dyDescent="0.3">
      <c r="A1639" t="s">
        <v>1663</v>
      </c>
      <c r="B1639" t="s">
        <v>19</v>
      </c>
      <c r="C1639" t="s">
        <v>20</v>
      </c>
      <c r="D1639">
        <v>66</v>
      </c>
      <c r="E1639" t="s">
        <v>14</v>
      </c>
      <c r="F1639" t="s">
        <v>16</v>
      </c>
      <c r="G1639">
        <v>29.45</v>
      </c>
      <c r="H1639">
        <v>1983.15</v>
      </c>
      <c r="I1639" t="s">
        <v>15</v>
      </c>
      <c r="J1639" t="s">
        <v>15</v>
      </c>
      <c r="K1639" t="s">
        <v>29</v>
      </c>
      <c r="L1639">
        <v>1983.15</v>
      </c>
      <c r="M1639" t="s">
        <v>5033</v>
      </c>
      <c r="N1639" t="s">
        <v>5031</v>
      </c>
    </row>
    <row r="1640" spans="1:14" x14ac:dyDescent="0.3">
      <c r="A1640" t="s">
        <v>1664</v>
      </c>
      <c r="B1640" t="s">
        <v>12</v>
      </c>
      <c r="C1640" t="s">
        <v>35</v>
      </c>
      <c r="D1640">
        <v>68</v>
      </c>
      <c r="E1640" t="s">
        <v>26</v>
      </c>
      <c r="F1640" t="s">
        <v>15</v>
      </c>
      <c r="G1640">
        <v>84.4</v>
      </c>
      <c r="H1640">
        <v>5746.75</v>
      </c>
      <c r="I1640" t="s">
        <v>15</v>
      </c>
      <c r="J1640" t="s">
        <v>16</v>
      </c>
      <c r="K1640" t="s">
        <v>29</v>
      </c>
      <c r="L1640">
        <v>5746.75</v>
      </c>
      <c r="M1640" t="s">
        <v>5033</v>
      </c>
      <c r="N1640" t="s">
        <v>5034</v>
      </c>
    </row>
    <row r="1641" spans="1:14" x14ac:dyDescent="0.3">
      <c r="A1641" t="s">
        <v>1665</v>
      </c>
      <c r="B1641" t="s">
        <v>19</v>
      </c>
      <c r="C1641" t="s">
        <v>13</v>
      </c>
      <c r="D1641">
        <v>17</v>
      </c>
      <c r="E1641" t="s">
        <v>14</v>
      </c>
      <c r="F1641" t="s">
        <v>15</v>
      </c>
      <c r="G1641">
        <v>45.05</v>
      </c>
      <c r="H1641">
        <v>770.6</v>
      </c>
      <c r="I1641" t="s">
        <v>16</v>
      </c>
      <c r="J1641" t="s">
        <v>16</v>
      </c>
      <c r="K1641" t="s">
        <v>17</v>
      </c>
      <c r="L1641">
        <v>770.6</v>
      </c>
      <c r="M1641" t="s">
        <v>5032</v>
      </c>
      <c r="N1641" t="s">
        <v>5031</v>
      </c>
    </row>
    <row r="1642" spans="1:14" x14ac:dyDescent="0.3">
      <c r="A1642" t="s">
        <v>1666</v>
      </c>
      <c r="B1642" t="s">
        <v>12</v>
      </c>
      <c r="C1642" t="s">
        <v>20</v>
      </c>
      <c r="D1642">
        <v>7</v>
      </c>
      <c r="E1642" t="s">
        <v>15</v>
      </c>
      <c r="F1642" t="s">
        <v>36</v>
      </c>
      <c r="G1642">
        <v>20.65</v>
      </c>
      <c r="H1642">
        <v>134.05000000000001</v>
      </c>
      <c r="I1642" t="s">
        <v>15</v>
      </c>
      <c r="J1642" t="s">
        <v>15</v>
      </c>
      <c r="K1642" t="s">
        <v>21</v>
      </c>
      <c r="L1642">
        <v>134.05000000000001</v>
      </c>
      <c r="M1642" t="s">
        <v>5030</v>
      </c>
      <c r="N1642" t="s">
        <v>5031</v>
      </c>
    </row>
    <row r="1643" spans="1:14" x14ac:dyDescent="0.3">
      <c r="A1643" t="s">
        <v>1667</v>
      </c>
      <c r="B1643" t="s">
        <v>19</v>
      </c>
      <c r="C1643" t="s">
        <v>35</v>
      </c>
      <c r="D1643">
        <v>72</v>
      </c>
      <c r="E1643" t="s">
        <v>14</v>
      </c>
      <c r="F1643" t="s">
        <v>16</v>
      </c>
      <c r="G1643">
        <v>87.1</v>
      </c>
      <c r="H1643">
        <v>6230.1</v>
      </c>
      <c r="I1643" t="s">
        <v>15</v>
      </c>
      <c r="J1643" t="s">
        <v>16</v>
      </c>
      <c r="K1643" t="s">
        <v>24</v>
      </c>
      <c r="L1643">
        <v>6230.1</v>
      </c>
      <c r="M1643" t="s">
        <v>5033</v>
      </c>
      <c r="N1643" t="s">
        <v>5034</v>
      </c>
    </row>
    <row r="1644" spans="1:14" x14ac:dyDescent="0.3">
      <c r="A1644" t="s">
        <v>1668</v>
      </c>
      <c r="B1644" t="s">
        <v>12</v>
      </c>
      <c r="C1644" t="s">
        <v>13</v>
      </c>
      <c r="D1644">
        <v>29</v>
      </c>
      <c r="E1644" t="s">
        <v>15</v>
      </c>
      <c r="F1644" t="s">
        <v>36</v>
      </c>
      <c r="G1644">
        <v>19.850000000000001</v>
      </c>
      <c r="H1644">
        <v>573.04999999999995</v>
      </c>
      <c r="I1644" t="s">
        <v>15</v>
      </c>
      <c r="J1644" t="s">
        <v>15</v>
      </c>
      <c r="K1644" t="s">
        <v>21</v>
      </c>
      <c r="L1644">
        <v>573.04999999999995</v>
      </c>
      <c r="M1644" t="s">
        <v>5032</v>
      </c>
      <c r="N1644" t="s">
        <v>5031</v>
      </c>
    </row>
    <row r="1645" spans="1:14" x14ac:dyDescent="0.3">
      <c r="A1645" t="s">
        <v>1669</v>
      </c>
      <c r="B1645" t="s">
        <v>19</v>
      </c>
      <c r="C1645" t="s">
        <v>13</v>
      </c>
      <c r="D1645">
        <v>37</v>
      </c>
      <c r="E1645" t="s">
        <v>26</v>
      </c>
      <c r="F1645" t="s">
        <v>16</v>
      </c>
      <c r="G1645">
        <v>90.35</v>
      </c>
      <c r="H1645">
        <v>3419.3</v>
      </c>
      <c r="I1645" t="s">
        <v>15</v>
      </c>
      <c r="J1645" t="s">
        <v>16</v>
      </c>
      <c r="K1645" t="s">
        <v>17</v>
      </c>
      <c r="L1645">
        <v>3419.3</v>
      </c>
      <c r="M1645" t="s">
        <v>5033</v>
      </c>
      <c r="N1645" t="s">
        <v>5034</v>
      </c>
    </row>
    <row r="1646" spans="1:14" x14ac:dyDescent="0.3">
      <c r="A1646" t="s">
        <v>1670</v>
      </c>
      <c r="B1646" t="s">
        <v>12</v>
      </c>
      <c r="C1646" t="s">
        <v>13</v>
      </c>
      <c r="D1646">
        <v>34</v>
      </c>
      <c r="E1646" t="s">
        <v>26</v>
      </c>
      <c r="F1646" t="s">
        <v>15</v>
      </c>
      <c r="G1646">
        <v>109.8</v>
      </c>
      <c r="H1646">
        <v>3587.25</v>
      </c>
      <c r="I1646" t="s">
        <v>16</v>
      </c>
      <c r="J1646" t="s">
        <v>16</v>
      </c>
      <c r="K1646" t="s">
        <v>21</v>
      </c>
      <c r="L1646">
        <v>3587.25</v>
      </c>
      <c r="M1646" t="s">
        <v>5032</v>
      </c>
      <c r="N1646" t="s">
        <v>5034</v>
      </c>
    </row>
    <row r="1647" spans="1:14" x14ac:dyDescent="0.3">
      <c r="A1647" t="s">
        <v>1671</v>
      </c>
      <c r="B1647" t="s">
        <v>12</v>
      </c>
      <c r="C1647" t="s">
        <v>13</v>
      </c>
      <c r="D1647">
        <v>42</v>
      </c>
      <c r="E1647" t="s">
        <v>26</v>
      </c>
      <c r="F1647" t="s">
        <v>15</v>
      </c>
      <c r="G1647">
        <v>84.65</v>
      </c>
      <c r="H1647">
        <v>3541.35</v>
      </c>
      <c r="I1647" t="s">
        <v>16</v>
      </c>
      <c r="J1647" t="s">
        <v>16</v>
      </c>
      <c r="K1647" t="s">
        <v>17</v>
      </c>
      <c r="L1647">
        <v>3541.35</v>
      </c>
      <c r="M1647" t="s">
        <v>5033</v>
      </c>
      <c r="N1647" t="s">
        <v>5034</v>
      </c>
    </row>
    <row r="1648" spans="1:14" x14ac:dyDescent="0.3">
      <c r="A1648" t="s">
        <v>1672</v>
      </c>
      <c r="B1648" t="s">
        <v>12</v>
      </c>
      <c r="C1648" t="s">
        <v>20</v>
      </c>
      <c r="D1648">
        <v>59</v>
      </c>
      <c r="E1648" t="s">
        <v>14</v>
      </c>
      <c r="F1648" t="s">
        <v>16</v>
      </c>
      <c r="G1648">
        <v>65.5</v>
      </c>
      <c r="H1648">
        <v>3801.3</v>
      </c>
      <c r="I1648" t="s">
        <v>15</v>
      </c>
      <c r="J1648" t="s">
        <v>15</v>
      </c>
      <c r="K1648" t="s">
        <v>21</v>
      </c>
      <c r="L1648">
        <v>3801.3</v>
      </c>
      <c r="M1648" t="s">
        <v>5033</v>
      </c>
      <c r="N1648" t="s">
        <v>5034</v>
      </c>
    </row>
    <row r="1649" spans="1:14" x14ac:dyDescent="0.3">
      <c r="A1649" t="s">
        <v>1673</v>
      </c>
      <c r="B1649" t="s">
        <v>19</v>
      </c>
      <c r="C1649" t="s">
        <v>13</v>
      </c>
      <c r="D1649">
        <v>11</v>
      </c>
      <c r="E1649" t="s">
        <v>26</v>
      </c>
      <c r="F1649" t="s">
        <v>15</v>
      </c>
      <c r="G1649">
        <v>79.5</v>
      </c>
      <c r="H1649">
        <v>868.5</v>
      </c>
      <c r="I1649" t="s">
        <v>16</v>
      </c>
      <c r="J1649" t="s">
        <v>16</v>
      </c>
      <c r="K1649" t="s">
        <v>24</v>
      </c>
      <c r="L1649">
        <v>868.5</v>
      </c>
      <c r="M1649" t="s">
        <v>5030</v>
      </c>
      <c r="N1649" t="s">
        <v>5031</v>
      </c>
    </row>
    <row r="1650" spans="1:14" x14ac:dyDescent="0.3">
      <c r="A1650" t="s">
        <v>1674</v>
      </c>
      <c r="B1650" t="s">
        <v>19</v>
      </c>
      <c r="C1650" t="s">
        <v>13</v>
      </c>
      <c r="D1650">
        <v>60</v>
      </c>
      <c r="E1650" t="s">
        <v>26</v>
      </c>
      <c r="F1650" t="s">
        <v>15</v>
      </c>
      <c r="G1650">
        <v>80.95</v>
      </c>
      <c r="H1650">
        <v>4859.1000000000004</v>
      </c>
      <c r="I1650" t="s">
        <v>15</v>
      </c>
      <c r="J1650" t="s">
        <v>16</v>
      </c>
      <c r="K1650" t="s">
        <v>17</v>
      </c>
      <c r="L1650">
        <v>4859.1000000000004</v>
      </c>
      <c r="M1650" t="s">
        <v>5033</v>
      </c>
      <c r="N1650" t="s">
        <v>5034</v>
      </c>
    </row>
    <row r="1651" spans="1:14" x14ac:dyDescent="0.3">
      <c r="A1651" t="s">
        <v>1675</v>
      </c>
      <c r="B1651" t="s">
        <v>12</v>
      </c>
      <c r="C1651" t="s">
        <v>13</v>
      </c>
      <c r="D1651">
        <v>27</v>
      </c>
      <c r="E1651" t="s">
        <v>14</v>
      </c>
      <c r="F1651" t="s">
        <v>16</v>
      </c>
      <c r="G1651">
        <v>56.15</v>
      </c>
      <c r="H1651">
        <v>1439.35</v>
      </c>
      <c r="I1651" t="s">
        <v>15</v>
      </c>
      <c r="J1651" t="s">
        <v>16</v>
      </c>
      <c r="K1651" t="s">
        <v>21</v>
      </c>
      <c r="L1651">
        <v>1439.35</v>
      </c>
      <c r="M1651" t="s">
        <v>5032</v>
      </c>
      <c r="N1651" t="s">
        <v>5031</v>
      </c>
    </row>
    <row r="1652" spans="1:14" x14ac:dyDescent="0.3">
      <c r="A1652" t="s">
        <v>1676</v>
      </c>
      <c r="B1652" t="s">
        <v>12</v>
      </c>
      <c r="C1652" t="s">
        <v>13</v>
      </c>
      <c r="D1652">
        <v>1</v>
      </c>
      <c r="E1652" t="s">
        <v>26</v>
      </c>
      <c r="F1652" t="s">
        <v>15</v>
      </c>
      <c r="G1652">
        <v>85.8</v>
      </c>
      <c r="H1652">
        <v>85.8</v>
      </c>
      <c r="I1652" t="s">
        <v>16</v>
      </c>
      <c r="J1652" t="s">
        <v>15</v>
      </c>
      <c r="K1652" t="s">
        <v>21</v>
      </c>
      <c r="L1652">
        <v>85.8</v>
      </c>
      <c r="M1652" t="s">
        <v>5030</v>
      </c>
      <c r="N1652" t="s">
        <v>5031</v>
      </c>
    </row>
    <row r="1653" spans="1:14" x14ac:dyDescent="0.3">
      <c r="A1653" t="s">
        <v>1677</v>
      </c>
      <c r="B1653" t="s">
        <v>19</v>
      </c>
      <c r="C1653" t="s">
        <v>13</v>
      </c>
      <c r="D1653">
        <v>1</v>
      </c>
      <c r="E1653" t="s">
        <v>26</v>
      </c>
      <c r="F1653" t="s">
        <v>15</v>
      </c>
      <c r="G1653">
        <v>79.099999999999994</v>
      </c>
      <c r="H1653">
        <v>79.099999999999994</v>
      </c>
      <c r="I1653" t="s">
        <v>16</v>
      </c>
      <c r="J1653" t="s">
        <v>16</v>
      </c>
      <c r="K1653" t="s">
        <v>17</v>
      </c>
      <c r="L1653">
        <v>79.099999999999994</v>
      </c>
      <c r="M1653" t="s">
        <v>5030</v>
      </c>
      <c r="N1653" t="s">
        <v>5031</v>
      </c>
    </row>
    <row r="1654" spans="1:14" x14ac:dyDescent="0.3">
      <c r="A1654" t="s">
        <v>1678</v>
      </c>
      <c r="B1654" t="s">
        <v>19</v>
      </c>
      <c r="C1654" t="s">
        <v>13</v>
      </c>
      <c r="D1654">
        <v>17</v>
      </c>
      <c r="E1654" t="s">
        <v>14</v>
      </c>
      <c r="F1654" t="s">
        <v>15</v>
      </c>
      <c r="G1654">
        <v>34.4</v>
      </c>
      <c r="H1654">
        <v>592.75</v>
      </c>
      <c r="I1654" t="s">
        <v>15</v>
      </c>
      <c r="J1654" t="s">
        <v>15</v>
      </c>
      <c r="K1654" t="s">
        <v>21</v>
      </c>
      <c r="L1654">
        <v>592.75</v>
      </c>
      <c r="M1654" t="s">
        <v>5032</v>
      </c>
      <c r="N1654" t="s">
        <v>5031</v>
      </c>
    </row>
    <row r="1655" spans="1:14" x14ac:dyDescent="0.3">
      <c r="A1655" t="s">
        <v>1679</v>
      </c>
      <c r="B1655" t="s">
        <v>19</v>
      </c>
      <c r="C1655" t="s">
        <v>35</v>
      </c>
      <c r="D1655">
        <v>58</v>
      </c>
      <c r="E1655" t="s">
        <v>15</v>
      </c>
      <c r="F1655" t="s">
        <v>36</v>
      </c>
      <c r="G1655">
        <v>20.75</v>
      </c>
      <c r="H1655">
        <v>1185.95</v>
      </c>
      <c r="I1655" t="s">
        <v>15</v>
      </c>
      <c r="J1655" t="s">
        <v>15</v>
      </c>
      <c r="K1655" t="s">
        <v>21</v>
      </c>
      <c r="L1655">
        <v>1185.95</v>
      </c>
      <c r="M1655" t="s">
        <v>5033</v>
      </c>
      <c r="N1655" t="s">
        <v>5031</v>
      </c>
    </row>
    <row r="1656" spans="1:14" x14ac:dyDescent="0.3">
      <c r="A1656" t="s">
        <v>1680</v>
      </c>
      <c r="B1656" t="s">
        <v>19</v>
      </c>
      <c r="C1656" t="s">
        <v>20</v>
      </c>
      <c r="D1656">
        <v>1</v>
      </c>
      <c r="E1656" t="s">
        <v>15</v>
      </c>
      <c r="F1656" t="s">
        <v>36</v>
      </c>
      <c r="G1656">
        <v>18.8</v>
      </c>
      <c r="H1656">
        <v>18.8</v>
      </c>
      <c r="I1656" t="s">
        <v>15</v>
      </c>
      <c r="J1656" t="s">
        <v>15</v>
      </c>
      <c r="K1656" t="s">
        <v>21</v>
      </c>
      <c r="L1656">
        <v>18.8</v>
      </c>
      <c r="M1656" t="s">
        <v>5030</v>
      </c>
      <c r="N1656" t="s">
        <v>5031</v>
      </c>
    </row>
    <row r="1657" spans="1:14" x14ac:dyDescent="0.3">
      <c r="A1657" t="s">
        <v>1681</v>
      </c>
      <c r="B1657" t="s">
        <v>12</v>
      </c>
      <c r="C1657" t="s">
        <v>13</v>
      </c>
      <c r="D1657">
        <v>3</v>
      </c>
      <c r="E1657" t="s">
        <v>14</v>
      </c>
      <c r="F1657" t="s">
        <v>15</v>
      </c>
      <c r="G1657">
        <v>44.3</v>
      </c>
      <c r="H1657">
        <v>134.5</v>
      </c>
      <c r="I1657" t="s">
        <v>16</v>
      </c>
      <c r="J1657" t="s">
        <v>15</v>
      </c>
      <c r="K1657" t="s">
        <v>21</v>
      </c>
      <c r="L1657">
        <v>134.5</v>
      </c>
      <c r="M1657" t="s">
        <v>5030</v>
      </c>
      <c r="N1657" t="s">
        <v>5031</v>
      </c>
    </row>
    <row r="1658" spans="1:14" x14ac:dyDescent="0.3">
      <c r="A1658" t="s">
        <v>1682</v>
      </c>
      <c r="B1658" t="s">
        <v>12</v>
      </c>
      <c r="C1658" t="s">
        <v>13</v>
      </c>
      <c r="D1658">
        <v>53</v>
      </c>
      <c r="E1658" t="s">
        <v>26</v>
      </c>
      <c r="F1658" t="s">
        <v>15</v>
      </c>
      <c r="G1658">
        <v>90.8</v>
      </c>
      <c r="H1658">
        <v>4921.2</v>
      </c>
      <c r="I1658" t="s">
        <v>15</v>
      </c>
      <c r="J1658" t="s">
        <v>15</v>
      </c>
      <c r="K1658" t="s">
        <v>17</v>
      </c>
      <c r="L1658">
        <v>4921.2</v>
      </c>
      <c r="M1658" t="s">
        <v>5033</v>
      </c>
      <c r="N1658" t="s">
        <v>5034</v>
      </c>
    </row>
    <row r="1659" spans="1:14" x14ac:dyDescent="0.3">
      <c r="A1659" t="s">
        <v>1683</v>
      </c>
      <c r="B1659" t="s">
        <v>19</v>
      </c>
      <c r="C1659" t="s">
        <v>13</v>
      </c>
      <c r="D1659">
        <v>35</v>
      </c>
      <c r="E1659" t="s">
        <v>15</v>
      </c>
      <c r="F1659" t="s">
        <v>36</v>
      </c>
      <c r="G1659">
        <v>25.6</v>
      </c>
      <c r="H1659">
        <v>901.25</v>
      </c>
      <c r="I1659" t="s">
        <v>15</v>
      </c>
      <c r="J1659" t="s">
        <v>16</v>
      </c>
      <c r="K1659" t="s">
        <v>17</v>
      </c>
      <c r="L1659">
        <v>901.25</v>
      </c>
      <c r="M1659" t="s">
        <v>5032</v>
      </c>
      <c r="N1659" t="s">
        <v>5031</v>
      </c>
    </row>
    <row r="1660" spans="1:14" x14ac:dyDescent="0.3">
      <c r="A1660" t="s">
        <v>1684</v>
      </c>
      <c r="B1660" t="s">
        <v>19</v>
      </c>
      <c r="C1660" t="s">
        <v>13</v>
      </c>
      <c r="D1660">
        <v>50</v>
      </c>
      <c r="E1660" t="s">
        <v>26</v>
      </c>
      <c r="F1660" t="s">
        <v>15</v>
      </c>
      <c r="G1660">
        <v>105.95</v>
      </c>
      <c r="H1660">
        <v>5341.8</v>
      </c>
      <c r="I1660" t="s">
        <v>16</v>
      </c>
      <c r="J1660" t="s">
        <v>15</v>
      </c>
      <c r="K1660" t="s">
        <v>29</v>
      </c>
      <c r="L1660">
        <v>5341.8</v>
      </c>
      <c r="M1660" t="s">
        <v>5033</v>
      </c>
      <c r="N1660" t="s">
        <v>5034</v>
      </c>
    </row>
    <row r="1661" spans="1:14" x14ac:dyDescent="0.3">
      <c r="A1661" t="s">
        <v>1685</v>
      </c>
      <c r="B1661" t="s">
        <v>19</v>
      </c>
      <c r="C1661" t="s">
        <v>35</v>
      </c>
      <c r="D1661">
        <v>68</v>
      </c>
      <c r="E1661" t="s">
        <v>14</v>
      </c>
      <c r="F1661" t="s">
        <v>16</v>
      </c>
      <c r="G1661">
        <v>70.8</v>
      </c>
      <c r="H1661">
        <v>4859.95</v>
      </c>
      <c r="I1661" t="s">
        <v>15</v>
      </c>
      <c r="J1661" t="s">
        <v>15</v>
      </c>
      <c r="K1661" t="s">
        <v>29</v>
      </c>
      <c r="L1661">
        <v>4859.95</v>
      </c>
      <c r="M1661" t="s">
        <v>5033</v>
      </c>
      <c r="N1661" t="s">
        <v>5034</v>
      </c>
    </row>
    <row r="1662" spans="1:14" x14ac:dyDescent="0.3">
      <c r="A1662" t="s">
        <v>1686</v>
      </c>
      <c r="B1662" t="s">
        <v>19</v>
      </c>
      <c r="C1662" t="s">
        <v>13</v>
      </c>
      <c r="D1662">
        <v>47</v>
      </c>
      <c r="E1662" t="s">
        <v>15</v>
      </c>
      <c r="F1662" t="s">
        <v>36</v>
      </c>
      <c r="G1662">
        <v>25.4</v>
      </c>
      <c r="H1662">
        <v>1139.2</v>
      </c>
      <c r="I1662" t="s">
        <v>15</v>
      </c>
      <c r="J1662" t="s">
        <v>15</v>
      </c>
      <c r="K1662" t="s">
        <v>17</v>
      </c>
      <c r="L1662">
        <v>1139.2</v>
      </c>
      <c r="M1662" t="s">
        <v>5033</v>
      </c>
      <c r="N1662" t="s">
        <v>5031</v>
      </c>
    </row>
    <row r="1663" spans="1:14" x14ac:dyDescent="0.3">
      <c r="A1663" t="s">
        <v>1687</v>
      </c>
      <c r="B1663" t="s">
        <v>12</v>
      </c>
      <c r="C1663" t="s">
        <v>13</v>
      </c>
      <c r="D1663">
        <v>65</v>
      </c>
      <c r="E1663" t="s">
        <v>26</v>
      </c>
      <c r="F1663" t="s">
        <v>15</v>
      </c>
      <c r="G1663">
        <v>108.8</v>
      </c>
      <c r="H1663">
        <v>7082.45</v>
      </c>
      <c r="I1663" t="s">
        <v>15</v>
      </c>
      <c r="J1663" t="s">
        <v>16</v>
      </c>
      <c r="K1663" t="s">
        <v>24</v>
      </c>
      <c r="L1663">
        <v>7082.45</v>
      </c>
      <c r="M1663" t="s">
        <v>5033</v>
      </c>
      <c r="N1663" t="s">
        <v>5034</v>
      </c>
    </row>
    <row r="1664" spans="1:14" x14ac:dyDescent="0.3">
      <c r="A1664" t="s">
        <v>1688</v>
      </c>
      <c r="B1664" t="s">
        <v>19</v>
      </c>
      <c r="C1664" t="s">
        <v>13</v>
      </c>
      <c r="D1664">
        <v>5</v>
      </c>
      <c r="E1664" t="s">
        <v>26</v>
      </c>
      <c r="F1664" t="s">
        <v>15</v>
      </c>
      <c r="G1664">
        <v>69.75</v>
      </c>
      <c r="H1664">
        <v>324.60000000000002</v>
      </c>
      <c r="I1664" t="s">
        <v>16</v>
      </c>
      <c r="J1664" t="s">
        <v>16</v>
      </c>
      <c r="K1664" t="s">
        <v>17</v>
      </c>
      <c r="L1664">
        <v>324.60000000000002</v>
      </c>
      <c r="M1664" t="s">
        <v>5030</v>
      </c>
      <c r="N1664" t="s">
        <v>5031</v>
      </c>
    </row>
    <row r="1665" spans="1:14" x14ac:dyDescent="0.3">
      <c r="A1665" t="s">
        <v>1689</v>
      </c>
      <c r="B1665" t="s">
        <v>19</v>
      </c>
      <c r="C1665" t="s">
        <v>13</v>
      </c>
      <c r="D1665">
        <v>51</v>
      </c>
      <c r="E1665" t="s">
        <v>26</v>
      </c>
      <c r="F1665" t="s">
        <v>15</v>
      </c>
      <c r="G1665">
        <v>94.65</v>
      </c>
      <c r="H1665">
        <v>4812.75</v>
      </c>
      <c r="I1665" t="s">
        <v>16</v>
      </c>
      <c r="J1665" t="s">
        <v>16</v>
      </c>
      <c r="K1665" t="s">
        <v>17</v>
      </c>
      <c r="L1665">
        <v>4812.75</v>
      </c>
      <c r="M1665" t="s">
        <v>5033</v>
      </c>
      <c r="N1665" t="s">
        <v>5034</v>
      </c>
    </row>
    <row r="1666" spans="1:14" x14ac:dyDescent="0.3">
      <c r="A1666" t="s">
        <v>1690</v>
      </c>
      <c r="B1666" t="s">
        <v>12</v>
      </c>
      <c r="C1666" t="s">
        <v>13</v>
      </c>
      <c r="D1666">
        <v>46</v>
      </c>
      <c r="E1666" t="s">
        <v>26</v>
      </c>
      <c r="F1666" t="s">
        <v>15</v>
      </c>
      <c r="G1666">
        <v>96.05</v>
      </c>
      <c r="H1666">
        <v>4399.5</v>
      </c>
      <c r="I1666" t="s">
        <v>16</v>
      </c>
      <c r="J1666" t="s">
        <v>15</v>
      </c>
      <c r="K1666" t="s">
        <v>24</v>
      </c>
      <c r="L1666">
        <v>4399.5</v>
      </c>
      <c r="M1666" t="s">
        <v>5033</v>
      </c>
      <c r="N1666" t="s">
        <v>5034</v>
      </c>
    </row>
    <row r="1667" spans="1:14" x14ac:dyDescent="0.3">
      <c r="A1667" t="s">
        <v>1691</v>
      </c>
      <c r="B1667" t="s">
        <v>12</v>
      </c>
      <c r="C1667" t="s">
        <v>13</v>
      </c>
      <c r="D1667">
        <v>9</v>
      </c>
      <c r="E1667" t="s">
        <v>26</v>
      </c>
      <c r="F1667" t="s">
        <v>15</v>
      </c>
      <c r="G1667">
        <v>76.849999999999994</v>
      </c>
      <c r="H1667">
        <v>663.55</v>
      </c>
      <c r="I1667" t="s">
        <v>15</v>
      </c>
      <c r="J1667" t="s">
        <v>16</v>
      </c>
      <c r="K1667" t="s">
        <v>17</v>
      </c>
      <c r="L1667">
        <v>663.55</v>
      </c>
      <c r="M1667" t="s">
        <v>5030</v>
      </c>
      <c r="N1667" t="s">
        <v>5031</v>
      </c>
    </row>
    <row r="1668" spans="1:14" x14ac:dyDescent="0.3">
      <c r="A1668" t="s">
        <v>1692</v>
      </c>
      <c r="B1668" t="s">
        <v>12</v>
      </c>
      <c r="C1668" t="s">
        <v>35</v>
      </c>
      <c r="D1668">
        <v>8</v>
      </c>
      <c r="E1668" t="s">
        <v>15</v>
      </c>
      <c r="F1668" t="s">
        <v>36</v>
      </c>
      <c r="G1668">
        <v>20.25</v>
      </c>
      <c r="H1668">
        <v>174.65</v>
      </c>
      <c r="I1668" t="s">
        <v>15</v>
      </c>
      <c r="J1668" t="s">
        <v>15</v>
      </c>
      <c r="K1668" t="s">
        <v>21</v>
      </c>
      <c r="L1668">
        <v>174.65</v>
      </c>
      <c r="M1668" t="s">
        <v>5030</v>
      </c>
      <c r="N1668" t="s">
        <v>5031</v>
      </c>
    </row>
    <row r="1669" spans="1:14" x14ac:dyDescent="0.3">
      <c r="A1669" t="s">
        <v>1693</v>
      </c>
      <c r="B1669" t="s">
        <v>19</v>
      </c>
      <c r="C1669" t="s">
        <v>20</v>
      </c>
      <c r="D1669">
        <v>14</v>
      </c>
      <c r="E1669" t="s">
        <v>15</v>
      </c>
      <c r="F1669" t="s">
        <v>36</v>
      </c>
      <c r="G1669">
        <v>24.8</v>
      </c>
      <c r="H1669">
        <v>321.7</v>
      </c>
      <c r="I1669" t="s">
        <v>15</v>
      </c>
      <c r="J1669" t="s">
        <v>16</v>
      </c>
      <c r="K1669" t="s">
        <v>29</v>
      </c>
      <c r="L1669">
        <v>321.7</v>
      </c>
      <c r="M1669" t="s">
        <v>5032</v>
      </c>
      <c r="N1669" t="s">
        <v>5031</v>
      </c>
    </row>
    <row r="1670" spans="1:14" x14ac:dyDescent="0.3">
      <c r="A1670" t="s">
        <v>1694</v>
      </c>
      <c r="B1670" t="s">
        <v>12</v>
      </c>
      <c r="C1670" t="s">
        <v>13</v>
      </c>
      <c r="D1670">
        <v>45</v>
      </c>
      <c r="E1670" t="s">
        <v>26</v>
      </c>
      <c r="F1670" t="s">
        <v>16</v>
      </c>
      <c r="G1670">
        <v>115.65</v>
      </c>
      <c r="H1670">
        <v>5125.5</v>
      </c>
      <c r="I1670" t="s">
        <v>15</v>
      </c>
      <c r="J1670" t="s">
        <v>16</v>
      </c>
      <c r="K1670" t="s">
        <v>17</v>
      </c>
      <c r="L1670">
        <v>5125.5</v>
      </c>
      <c r="M1670" t="s">
        <v>5033</v>
      </c>
      <c r="N1670" t="s">
        <v>5034</v>
      </c>
    </row>
    <row r="1671" spans="1:14" x14ac:dyDescent="0.3">
      <c r="A1671" t="s">
        <v>1695</v>
      </c>
      <c r="B1671" t="s">
        <v>12</v>
      </c>
      <c r="C1671" t="s">
        <v>13</v>
      </c>
      <c r="D1671">
        <v>8</v>
      </c>
      <c r="E1671" t="s">
        <v>26</v>
      </c>
      <c r="F1671" t="s">
        <v>15</v>
      </c>
      <c r="G1671">
        <v>74.599999999999994</v>
      </c>
      <c r="H1671">
        <v>548.9</v>
      </c>
      <c r="I1671" t="s">
        <v>15</v>
      </c>
      <c r="J1671" t="s">
        <v>16</v>
      </c>
      <c r="K1671" t="s">
        <v>29</v>
      </c>
      <c r="L1671">
        <v>548.9</v>
      </c>
      <c r="M1671" t="s">
        <v>5030</v>
      </c>
      <c r="N1671" t="s">
        <v>5031</v>
      </c>
    </row>
    <row r="1672" spans="1:14" x14ac:dyDescent="0.3">
      <c r="A1672" t="s">
        <v>1696</v>
      </c>
      <c r="B1672" t="s">
        <v>19</v>
      </c>
      <c r="C1672" t="s">
        <v>13</v>
      </c>
      <c r="D1672">
        <v>1</v>
      </c>
      <c r="E1672" t="s">
        <v>14</v>
      </c>
      <c r="F1672" t="s">
        <v>15</v>
      </c>
      <c r="G1672">
        <v>50.15</v>
      </c>
      <c r="H1672">
        <v>50.15</v>
      </c>
      <c r="I1672" t="s">
        <v>16</v>
      </c>
      <c r="J1672" t="s">
        <v>16</v>
      </c>
      <c r="K1672" t="s">
        <v>21</v>
      </c>
      <c r="L1672">
        <v>50.15</v>
      </c>
      <c r="M1672" t="s">
        <v>5030</v>
      </c>
      <c r="N1672" t="s">
        <v>5031</v>
      </c>
    </row>
    <row r="1673" spans="1:14" x14ac:dyDescent="0.3">
      <c r="A1673" t="s">
        <v>1697</v>
      </c>
      <c r="B1673" t="s">
        <v>19</v>
      </c>
      <c r="C1673" t="s">
        <v>20</v>
      </c>
      <c r="D1673">
        <v>66</v>
      </c>
      <c r="E1673" t="s">
        <v>26</v>
      </c>
      <c r="F1673" t="s">
        <v>15</v>
      </c>
      <c r="G1673">
        <v>103.15</v>
      </c>
      <c r="H1673">
        <v>7031.3</v>
      </c>
      <c r="I1673" t="s">
        <v>15</v>
      </c>
      <c r="J1673" t="s">
        <v>16</v>
      </c>
      <c r="K1673" t="s">
        <v>24</v>
      </c>
      <c r="L1673">
        <v>7031.3</v>
      </c>
      <c r="M1673" t="s">
        <v>5033</v>
      </c>
      <c r="N1673" t="s">
        <v>5034</v>
      </c>
    </row>
    <row r="1674" spans="1:14" x14ac:dyDescent="0.3">
      <c r="A1674" t="s">
        <v>1698</v>
      </c>
      <c r="B1674" t="s">
        <v>19</v>
      </c>
      <c r="C1674" t="s">
        <v>35</v>
      </c>
      <c r="D1674">
        <v>72</v>
      </c>
      <c r="E1674" t="s">
        <v>14</v>
      </c>
      <c r="F1674" t="s">
        <v>16</v>
      </c>
      <c r="G1674">
        <v>72.099999999999994</v>
      </c>
      <c r="H1674">
        <v>5016.6499999999996</v>
      </c>
      <c r="I1674" t="s">
        <v>15</v>
      </c>
      <c r="J1674" t="s">
        <v>15</v>
      </c>
      <c r="K1674" t="s">
        <v>29</v>
      </c>
      <c r="L1674">
        <v>5016.6499999999996</v>
      </c>
      <c r="M1674" t="s">
        <v>5033</v>
      </c>
      <c r="N1674" t="s">
        <v>5034</v>
      </c>
    </row>
    <row r="1675" spans="1:14" x14ac:dyDescent="0.3">
      <c r="A1675" t="s">
        <v>1699</v>
      </c>
      <c r="B1675" t="s">
        <v>12</v>
      </c>
      <c r="C1675" t="s">
        <v>13</v>
      </c>
      <c r="D1675">
        <v>41</v>
      </c>
      <c r="E1675" t="s">
        <v>26</v>
      </c>
      <c r="F1675" t="s">
        <v>16</v>
      </c>
      <c r="G1675">
        <v>113.6</v>
      </c>
      <c r="H1675">
        <v>4594.95</v>
      </c>
      <c r="I1675" t="s">
        <v>16</v>
      </c>
      <c r="J1675" t="s">
        <v>16</v>
      </c>
      <c r="K1675" t="s">
        <v>24</v>
      </c>
      <c r="L1675">
        <v>4594.95</v>
      </c>
      <c r="M1675" t="s">
        <v>5033</v>
      </c>
      <c r="N1675" t="s">
        <v>5034</v>
      </c>
    </row>
    <row r="1676" spans="1:14" x14ac:dyDescent="0.3">
      <c r="A1676" t="s">
        <v>1700</v>
      </c>
      <c r="B1676" t="s">
        <v>12</v>
      </c>
      <c r="C1676" t="s">
        <v>35</v>
      </c>
      <c r="D1676">
        <v>23</v>
      </c>
      <c r="E1676" t="s">
        <v>15</v>
      </c>
      <c r="F1676" t="s">
        <v>36</v>
      </c>
      <c r="G1676">
        <v>25.1</v>
      </c>
      <c r="H1676">
        <v>611.45000000000005</v>
      </c>
      <c r="I1676" t="s">
        <v>15</v>
      </c>
      <c r="J1676" t="s">
        <v>15</v>
      </c>
      <c r="K1676" t="s">
        <v>21</v>
      </c>
      <c r="L1676">
        <v>611.45000000000005</v>
      </c>
      <c r="M1676" t="s">
        <v>5032</v>
      </c>
      <c r="N1676" t="s">
        <v>5031</v>
      </c>
    </row>
    <row r="1677" spans="1:14" x14ac:dyDescent="0.3">
      <c r="A1677" t="s">
        <v>1701</v>
      </c>
      <c r="B1677" t="s">
        <v>12</v>
      </c>
      <c r="C1677" t="s">
        <v>13</v>
      </c>
      <c r="D1677">
        <v>29</v>
      </c>
      <c r="E1677" t="s">
        <v>26</v>
      </c>
      <c r="F1677" t="s">
        <v>15</v>
      </c>
      <c r="G1677">
        <v>78.900000000000006</v>
      </c>
      <c r="H1677">
        <v>2384.15</v>
      </c>
      <c r="I1677" t="s">
        <v>16</v>
      </c>
      <c r="J1677" t="s">
        <v>16</v>
      </c>
      <c r="K1677" t="s">
        <v>17</v>
      </c>
      <c r="L1677">
        <v>2384.15</v>
      </c>
      <c r="M1677" t="s">
        <v>5032</v>
      </c>
      <c r="N1677" t="s">
        <v>5031</v>
      </c>
    </row>
    <row r="1678" spans="1:14" x14ac:dyDescent="0.3">
      <c r="A1678" t="s">
        <v>1702</v>
      </c>
      <c r="B1678" t="s">
        <v>12</v>
      </c>
      <c r="C1678" t="s">
        <v>13</v>
      </c>
      <c r="D1678">
        <v>4</v>
      </c>
      <c r="E1678" t="s">
        <v>26</v>
      </c>
      <c r="F1678" t="s">
        <v>15</v>
      </c>
      <c r="G1678">
        <v>80.150000000000006</v>
      </c>
      <c r="H1678">
        <v>319.85000000000002</v>
      </c>
      <c r="I1678" t="s">
        <v>15</v>
      </c>
      <c r="J1678" t="s">
        <v>16</v>
      </c>
      <c r="K1678" t="s">
        <v>17</v>
      </c>
      <c r="L1678">
        <v>319.85000000000002</v>
      </c>
      <c r="M1678" t="s">
        <v>5030</v>
      </c>
      <c r="N1678" t="s">
        <v>5031</v>
      </c>
    </row>
    <row r="1679" spans="1:14" x14ac:dyDescent="0.3">
      <c r="A1679" t="s">
        <v>1703</v>
      </c>
      <c r="B1679" t="s">
        <v>19</v>
      </c>
      <c r="C1679" t="s">
        <v>35</v>
      </c>
      <c r="D1679">
        <v>6</v>
      </c>
      <c r="E1679" t="s">
        <v>15</v>
      </c>
      <c r="F1679" t="s">
        <v>36</v>
      </c>
      <c r="G1679">
        <v>25.4</v>
      </c>
      <c r="H1679">
        <v>153.30000000000001</v>
      </c>
      <c r="I1679" t="s">
        <v>15</v>
      </c>
      <c r="J1679" t="s">
        <v>15</v>
      </c>
      <c r="K1679" t="s">
        <v>21</v>
      </c>
      <c r="L1679">
        <v>153.30000000000001</v>
      </c>
      <c r="M1679" t="s">
        <v>5030</v>
      </c>
      <c r="N1679" t="s">
        <v>5031</v>
      </c>
    </row>
    <row r="1680" spans="1:14" x14ac:dyDescent="0.3">
      <c r="A1680" t="s">
        <v>1704</v>
      </c>
      <c r="B1680" t="s">
        <v>12</v>
      </c>
      <c r="C1680" t="s">
        <v>20</v>
      </c>
      <c r="D1680">
        <v>67</v>
      </c>
      <c r="E1680" t="s">
        <v>26</v>
      </c>
      <c r="F1680" t="s">
        <v>16</v>
      </c>
      <c r="G1680">
        <v>105.4</v>
      </c>
      <c r="H1680">
        <v>7035.6</v>
      </c>
      <c r="I1680" t="s">
        <v>15</v>
      </c>
      <c r="J1680" t="s">
        <v>16</v>
      </c>
      <c r="K1680" t="s">
        <v>29</v>
      </c>
      <c r="L1680">
        <v>7035.6</v>
      </c>
      <c r="M1680" t="s">
        <v>5033</v>
      </c>
      <c r="N1680" t="s">
        <v>5034</v>
      </c>
    </row>
    <row r="1681" spans="1:14" x14ac:dyDescent="0.3">
      <c r="A1681" t="s">
        <v>1705</v>
      </c>
      <c r="B1681" t="s">
        <v>19</v>
      </c>
      <c r="C1681" t="s">
        <v>13</v>
      </c>
      <c r="D1681">
        <v>7</v>
      </c>
      <c r="E1681" t="s">
        <v>14</v>
      </c>
      <c r="F1681" t="s">
        <v>15</v>
      </c>
      <c r="G1681">
        <v>45.75</v>
      </c>
      <c r="H1681">
        <v>344.2</v>
      </c>
      <c r="I1681" t="s">
        <v>15</v>
      </c>
      <c r="J1681" t="s">
        <v>16</v>
      </c>
      <c r="K1681" t="s">
        <v>21</v>
      </c>
      <c r="L1681">
        <v>344.2</v>
      </c>
      <c r="M1681" t="s">
        <v>5030</v>
      </c>
      <c r="N1681" t="s">
        <v>5031</v>
      </c>
    </row>
    <row r="1682" spans="1:14" x14ac:dyDescent="0.3">
      <c r="A1682" t="s">
        <v>1706</v>
      </c>
      <c r="B1682" t="s">
        <v>19</v>
      </c>
      <c r="C1682" t="s">
        <v>20</v>
      </c>
      <c r="D1682">
        <v>56</v>
      </c>
      <c r="E1682" t="s">
        <v>15</v>
      </c>
      <c r="F1682" t="s">
        <v>36</v>
      </c>
      <c r="G1682">
        <v>24.45</v>
      </c>
      <c r="H1682">
        <v>1431.65</v>
      </c>
      <c r="I1682" t="s">
        <v>15</v>
      </c>
      <c r="J1682" t="s">
        <v>16</v>
      </c>
      <c r="K1682" t="s">
        <v>21</v>
      </c>
      <c r="L1682">
        <v>1431.65</v>
      </c>
      <c r="M1682" t="s">
        <v>5033</v>
      </c>
      <c r="N1682" t="s">
        <v>5031</v>
      </c>
    </row>
    <row r="1683" spans="1:14" x14ac:dyDescent="0.3">
      <c r="A1683" t="s">
        <v>1707</v>
      </c>
      <c r="B1683" t="s">
        <v>12</v>
      </c>
      <c r="C1683" t="s">
        <v>35</v>
      </c>
      <c r="D1683">
        <v>72</v>
      </c>
      <c r="E1683" t="s">
        <v>15</v>
      </c>
      <c r="F1683" t="s">
        <v>36</v>
      </c>
      <c r="G1683">
        <v>25</v>
      </c>
      <c r="H1683">
        <v>1849.2</v>
      </c>
      <c r="I1683" t="s">
        <v>15</v>
      </c>
      <c r="J1683" t="s">
        <v>15</v>
      </c>
      <c r="K1683" t="s">
        <v>29</v>
      </c>
      <c r="L1683">
        <v>1849.2</v>
      </c>
      <c r="M1683" t="s">
        <v>5033</v>
      </c>
      <c r="N1683" t="s">
        <v>5031</v>
      </c>
    </row>
    <row r="1684" spans="1:14" x14ac:dyDescent="0.3">
      <c r="A1684" t="s">
        <v>1708</v>
      </c>
      <c r="B1684" t="s">
        <v>19</v>
      </c>
      <c r="C1684" t="s">
        <v>35</v>
      </c>
      <c r="D1684">
        <v>72</v>
      </c>
      <c r="E1684" t="s">
        <v>14</v>
      </c>
      <c r="F1684" t="s">
        <v>15</v>
      </c>
      <c r="G1684">
        <v>85.25</v>
      </c>
      <c r="H1684">
        <v>6083.1</v>
      </c>
      <c r="I1684" t="s">
        <v>15</v>
      </c>
      <c r="J1684" t="s">
        <v>16</v>
      </c>
      <c r="K1684" t="s">
        <v>17</v>
      </c>
      <c r="L1684">
        <v>6083.1</v>
      </c>
      <c r="M1684" t="s">
        <v>5033</v>
      </c>
      <c r="N1684" t="s">
        <v>5034</v>
      </c>
    </row>
    <row r="1685" spans="1:14" x14ac:dyDescent="0.3">
      <c r="A1685" t="s">
        <v>1709</v>
      </c>
      <c r="B1685" t="s">
        <v>19</v>
      </c>
      <c r="C1685" t="s">
        <v>35</v>
      </c>
      <c r="D1685">
        <v>23</v>
      </c>
      <c r="E1685" t="s">
        <v>15</v>
      </c>
      <c r="F1685" t="s">
        <v>36</v>
      </c>
      <c r="G1685">
        <v>19.600000000000001</v>
      </c>
      <c r="H1685">
        <v>426.65</v>
      </c>
      <c r="I1685" t="s">
        <v>15</v>
      </c>
      <c r="J1685" t="s">
        <v>15</v>
      </c>
      <c r="K1685" t="s">
        <v>29</v>
      </c>
      <c r="L1685">
        <v>426.65</v>
      </c>
      <c r="M1685" t="s">
        <v>5032</v>
      </c>
      <c r="N1685" t="s">
        <v>5031</v>
      </c>
    </row>
    <row r="1686" spans="1:14" x14ac:dyDescent="0.3">
      <c r="A1686" t="s">
        <v>1710</v>
      </c>
      <c r="B1686" t="s">
        <v>12</v>
      </c>
      <c r="C1686" t="s">
        <v>13</v>
      </c>
      <c r="D1686">
        <v>35</v>
      </c>
      <c r="E1686" t="s">
        <v>14</v>
      </c>
      <c r="F1686" t="s">
        <v>15</v>
      </c>
      <c r="G1686">
        <v>50.15</v>
      </c>
      <c r="H1686">
        <v>1655.35</v>
      </c>
      <c r="I1686" t="s">
        <v>15</v>
      </c>
      <c r="J1686" t="s">
        <v>15</v>
      </c>
      <c r="K1686" t="s">
        <v>21</v>
      </c>
      <c r="L1686">
        <v>1655.35</v>
      </c>
      <c r="M1686" t="s">
        <v>5032</v>
      </c>
      <c r="N1686" t="s">
        <v>5031</v>
      </c>
    </row>
    <row r="1687" spans="1:14" x14ac:dyDescent="0.3">
      <c r="A1687" t="s">
        <v>1711</v>
      </c>
      <c r="B1687" t="s">
        <v>19</v>
      </c>
      <c r="C1687" t="s">
        <v>13</v>
      </c>
      <c r="D1687">
        <v>27</v>
      </c>
      <c r="E1687" t="s">
        <v>26</v>
      </c>
      <c r="F1687" t="s">
        <v>15</v>
      </c>
      <c r="G1687">
        <v>70.55</v>
      </c>
      <c r="H1687">
        <v>1943.9</v>
      </c>
      <c r="I1687" t="s">
        <v>15</v>
      </c>
      <c r="J1687" t="s">
        <v>16</v>
      </c>
      <c r="K1687" t="s">
        <v>17</v>
      </c>
      <c r="L1687">
        <v>1943.9</v>
      </c>
      <c r="M1687" t="s">
        <v>5032</v>
      </c>
      <c r="N1687" t="s">
        <v>5031</v>
      </c>
    </row>
    <row r="1688" spans="1:14" x14ac:dyDescent="0.3">
      <c r="A1688" t="s">
        <v>1712</v>
      </c>
      <c r="B1688" t="s">
        <v>12</v>
      </c>
      <c r="C1688" t="s">
        <v>13</v>
      </c>
      <c r="D1688">
        <v>26</v>
      </c>
      <c r="E1688" t="s">
        <v>14</v>
      </c>
      <c r="F1688" t="s">
        <v>16</v>
      </c>
      <c r="G1688">
        <v>60.05</v>
      </c>
      <c r="H1688">
        <v>1616.15</v>
      </c>
      <c r="I1688" t="s">
        <v>16</v>
      </c>
      <c r="J1688" t="s">
        <v>16</v>
      </c>
      <c r="K1688" t="s">
        <v>17</v>
      </c>
      <c r="L1688">
        <v>1616.15</v>
      </c>
      <c r="M1688" t="s">
        <v>5032</v>
      </c>
      <c r="N1688" t="s">
        <v>5031</v>
      </c>
    </row>
    <row r="1689" spans="1:14" x14ac:dyDescent="0.3">
      <c r="A1689" t="s">
        <v>1713</v>
      </c>
      <c r="B1689" t="s">
        <v>19</v>
      </c>
      <c r="C1689" t="s">
        <v>20</v>
      </c>
      <c r="D1689">
        <v>12</v>
      </c>
      <c r="E1689" t="s">
        <v>15</v>
      </c>
      <c r="F1689" t="s">
        <v>36</v>
      </c>
      <c r="G1689">
        <v>26.4</v>
      </c>
      <c r="H1689">
        <v>314.95</v>
      </c>
      <c r="I1689" t="s">
        <v>15</v>
      </c>
      <c r="J1689" t="s">
        <v>15</v>
      </c>
      <c r="K1689" t="s">
        <v>21</v>
      </c>
      <c r="L1689">
        <v>314.95</v>
      </c>
      <c r="M1689" t="s">
        <v>5030</v>
      </c>
      <c r="N1689" t="s">
        <v>5031</v>
      </c>
    </row>
    <row r="1690" spans="1:14" x14ac:dyDescent="0.3">
      <c r="A1690" t="s">
        <v>1714</v>
      </c>
      <c r="B1690" t="s">
        <v>12</v>
      </c>
      <c r="C1690" t="s">
        <v>35</v>
      </c>
      <c r="D1690">
        <v>40</v>
      </c>
      <c r="E1690" t="s">
        <v>15</v>
      </c>
      <c r="F1690" t="s">
        <v>36</v>
      </c>
      <c r="G1690">
        <v>20.149999999999999</v>
      </c>
      <c r="H1690">
        <v>804.85</v>
      </c>
      <c r="I1690" t="s">
        <v>15</v>
      </c>
      <c r="J1690" t="s">
        <v>15</v>
      </c>
      <c r="K1690" t="s">
        <v>21</v>
      </c>
      <c r="L1690">
        <v>804.85</v>
      </c>
      <c r="M1690" t="s">
        <v>5033</v>
      </c>
      <c r="N1690" t="s">
        <v>5031</v>
      </c>
    </row>
    <row r="1691" spans="1:14" x14ac:dyDescent="0.3">
      <c r="A1691" t="s">
        <v>1715</v>
      </c>
      <c r="B1691" t="s">
        <v>19</v>
      </c>
      <c r="C1691" t="s">
        <v>13</v>
      </c>
      <c r="D1691">
        <v>7</v>
      </c>
      <c r="E1691" t="s">
        <v>14</v>
      </c>
      <c r="F1691" t="s">
        <v>15</v>
      </c>
      <c r="G1691">
        <v>58.85</v>
      </c>
      <c r="H1691">
        <v>465.7</v>
      </c>
      <c r="I1691" t="s">
        <v>15</v>
      </c>
      <c r="J1691" t="s">
        <v>15</v>
      </c>
      <c r="K1691" t="s">
        <v>21</v>
      </c>
      <c r="L1691">
        <v>465.7</v>
      </c>
      <c r="M1691" t="s">
        <v>5030</v>
      </c>
      <c r="N1691" t="s">
        <v>5031</v>
      </c>
    </row>
    <row r="1692" spans="1:14" x14ac:dyDescent="0.3">
      <c r="A1692" t="s">
        <v>1716</v>
      </c>
      <c r="B1692" t="s">
        <v>19</v>
      </c>
      <c r="C1692" t="s">
        <v>13</v>
      </c>
      <c r="D1692">
        <v>70</v>
      </c>
      <c r="E1692" t="s">
        <v>26</v>
      </c>
      <c r="F1692" t="s">
        <v>15</v>
      </c>
      <c r="G1692">
        <v>97.55</v>
      </c>
      <c r="H1692">
        <v>6669.05</v>
      </c>
      <c r="I1692" t="s">
        <v>15</v>
      </c>
      <c r="J1692" t="s">
        <v>16</v>
      </c>
      <c r="K1692" t="s">
        <v>29</v>
      </c>
      <c r="L1692">
        <v>6669.05</v>
      </c>
      <c r="M1692" t="s">
        <v>5033</v>
      </c>
      <c r="N1692" t="s">
        <v>5034</v>
      </c>
    </row>
    <row r="1693" spans="1:14" x14ac:dyDescent="0.3">
      <c r="A1693" t="s">
        <v>1717</v>
      </c>
      <c r="B1693" t="s">
        <v>19</v>
      </c>
      <c r="C1693" t="s">
        <v>35</v>
      </c>
      <c r="D1693">
        <v>60</v>
      </c>
      <c r="E1693" t="s">
        <v>15</v>
      </c>
      <c r="F1693" t="s">
        <v>36</v>
      </c>
      <c r="G1693">
        <v>19.649999999999999</v>
      </c>
      <c r="H1693">
        <v>1161.75</v>
      </c>
      <c r="I1693" t="s">
        <v>15</v>
      </c>
      <c r="J1693" t="s">
        <v>15</v>
      </c>
      <c r="K1693" t="s">
        <v>29</v>
      </c>
      <c r="L1693">
        <v>1161.75</v>
      </c>
      <c r="M1693" t="s">
        <v>5033</v>
      </c>
      <c r="N1693" t="s">
        <v>5031</v>
      </c>
    </row>
    <row r="1694" spans="1:14" x14ac:dyDescent="0.3">
      <c r="A1694" t="s">
        <v>1718</v>
      </c>
      <c r="B1694" t="s">
        <v>19</v>
      </c>
      <c r="C1694" t="s">
        <v>20</v>
      </c>
      <c r="D1694">
        <v>39</v>
      </c>
      <c r="E1694" t="s">
        <v>14</v>
      </c>
      <c r="F1694" t="s">
        <v>15</v>
      </c>
      <c r="G1694">
        <v>25.25</v>
      </c>
      <c r="H1694">
        <v>947.75</v>
      </c>
      <c r="I1694" t="s">
        <v>15</v>
      </c>
      <c r="J1694" t="s">
        <v>16</v>
      </c>
      <c r="K1694" t="s">
        <v>29</v>
      </c>
      <c r="L1694">
        <v>947.75</v>
      </c>
      <c r="M1694" t="s">
        <v>5033</v>
      </c>
      <c r="N1694" t="s">
        <v>5031</v>
      </c>
    </row>
    <row r="1695" spans="1:14" x14ac:dyDescent="0.3">
      <c r="A1695" t="s">
        <v>1719</v>
      </c>
      <c r="B1695" t="s">
        <v>19</v>
      </c>
      <c r="C1695" t="s">
        <v>35</v>
      </c>
      <c r="D1695">
        <v>72</v>
      </c>
      <c r="E1695" t="s">
        <v>26</v>
      </c>
      <c r="F1695" t="s">
        <v>16</v>
      </c>
      <c r="G1695">
        <v>114.45</v>
      </c>
      <c r="H1695">
        <v>8375.0499999999993</v>
      </c>
      <c r="I1695" t="s">
        <v>15</v>
      </c>
      <c r="J1695" t="s">
        <v>15</v>
      </c>
      <c r="K1695" t="s">
        <v>29</v>
      </c>
      <c r="L1695">
        <v>8375.0499999999993</v>
      </c>
      <c r="M1695" t="s">
        <v>5033</v>
      </c>
      <c r="N1695" t="s">
        <v>5034</v>
      </c>
    </row>
    <row r="1696" spans="1:14" x14ac:dyDescent="0.3">
      <c r="A1696" t="s">
        <v>1720</v>
      </c>
      <c r="B1696" t="s">
        <v>12</v>
      </c>
      <c r="C1696" t="s">
        <v>13</v>
      </c>
      <c r="D1696">
        <v>1</v>
      </c>
      <c r="E1696" t="s">
        <v>14</v>
      </c>
      <c r="F1696" t="s">
        <v>15</v>
      </c>
      <c r="G1696">
        <v>34.700000000000003</v>
      </c>
      <c r="H1696">
        <v>34.700000000000003</v>
      </c>
      <c r="I1696" t="s">
        <v>16</v>
      </c>
      <c r="J1696" t="s">
        <v>16</v>
      </c>
      <c r="K1696" t="s">
        <v>17</v>
      </c>
      <c r="L1696">
        <v>34.700000000000003</v>
      </c>
      <c r="M1696" t="s">
        <v>5030</v>
      </c>
      <c r="N1696" t="s">
        <v>5031</v>
      </c>
    </row>
    <row r="1697" spans="1:14" x14ac:dyDescent="0.3">
      <c r="A1697" t="s">
        <v>1721</v>
      </c>
      <c r="B1697" t="s">
        <v>19</v>
      </c>
      <c r="C1697" t="s">
        <v>20</v>
      </c>
      <c r="D1697">
        <v>54</v>
      </c>
      <c r="E1697" t="s">
        <v>14</v>
      </c>
      <c r="F1697" t="s">
        <v>16</v>
      </c>
      <c r="G1697">
        <v>70.7</v>
      </c>
      <c r="H1697">
        <v>3770</v>
      </c>
      <c r="I1697" t="s">
        <v>15</v>
      </c>
      <c r="J1697" t="s">
        <v>16</v>
      </c>
      <c r="K1697" t="s">
        <v>17</v>
      </c>
      <c r="L1697">
        <v>3770</v>
      </c>
      <c r="M1697" t="s">
        <v>5033</v>
      </c>
      <c r="N1697" t="s">
        <v>5034</v>
      </c>
    </row>
    <row r="1698" spans="1:14" x14ac:dyDescent="0.3">
      <c r="A1698" t="s">
        <v>1722</v>
      </c>
      <c r="B1698" t="s">
        <v>19</v>
      </c>
      <c r="C1698" t="s">
        <v>13</v>
      </c>
      <c r="D1698">
        <v>3</v>
      </c>
      <c r="E1698" t="s">
        <v>26</v>
      </c>
      <c r="F1698" t="s">
        <v>15</v>
      </c>
      <c r="G1698">
        <v>85.3</v>
      </c>
      <c r="H1698">
        <v>264.8</v>
      </c>
      <c r="I1698" t="s">
        <v>16</v>
      </c>
      <c r="J1698" t="s">
        <v>16</v>
      </c>
      <c r="K1698" t="s">
        <v>17</v>
      </c>
      <c r="L1698">
        <v>264.8</v>
      </c>
      <c r="M1698" t="s">
        <v>5030</v>
      </c>
      <c r="N1698" t="s">
        <v>5031</v>
      </c>
    </row>
    <row r="1699" spans="1:14" x14ac:dyDescent="0.3">
      <c r="A1699" t="s">
        <v>1723</v>
      </c>
      <c r="B1699" t="s">
        <v>12</v>
      </c>
      <c r="C1699" t="s">
        <v>35</v>
      </c>
      <c r="D1699">
        <v>63</v>
      </c>
      <c r="E1699" t="s">
        <v>14</v>
      </c>
      <c r="F1699" t="s">
        <v>16</v>
      </c>
      <c r="G1699">
        <v>75.55</v>
      </c>
      <c r="H1699">
        <v>4707.8500000000004</v>
      </c>
      <c r="I1699" t="s">
        <v>15</v>
      </c>
      <c r="J1699" t="s">
        <v>15</v>
      </c>
      <c r="K1699" t="s">
        <v>29</v>
      </c>
      <c r="L1699">
        <v>4707.8500000000004</v>
      </c>
      <c r="M1699" t="s">
        <v>5033</v>
      </c>
      <c r="N1699" t="s">
        <v>5034</v>
      </c>
    </row>
    <row r="1700" spans="1:14" x14ac:dyDescent="0.3">
      <c r="A1700" t="s">
        <v>1724</v>
      </c>
      <c r="B1700" t="s">
        <v>19</v>
      </c>
      <c r="C1700" t="s">
        <v>35</v>
      </c>
      <c r="D1700">
        <v>71</v>
      </c>
      <c r="E1700" t="s">
        <v>26</v>
      </c>
      <c r="F1700" t="s">
        <v>16</v>
      </c>
      <c r="G1700">
        <v>84.8</v>
      </c>
      <c r="H1700">
        <v>6152.4</v>
      </c>
      <c r="I1700" t="s">
        <v>15</v>
      </c>
      <c r="J1700" t="s">
        <v>16</v>
      </c>
      <c r="K1700" t="s">
        <v>17</v>
      </c>
      <c r="L1700">
        <v>6152.4</v>
      </c>
      <c r="M1700" t="s">
        <v>5033</v>
      </c>
      <c r="N1700" t="s">
        <v>5034</v>
      </c>
    </row>
    <row r="1701" spans="1:14" x14ac:dyDescent="0.3">
      <c r="A1701" t="s">
        <v>1725</v>
      </c>
      <c r="B1701" t="s">
        <v>12</v>
      </c>
      <c r="C1701" t="s">
        <v>20</v>
      </c>
      <c r="D1701">
        <v>42</v>
      </c>
      <c r="E1701" t="s">
        <v>15</v>
      </c>
      <c r="F1701" t="s">
        <v>36</v>
      </c>
      <c r="G1701">
        <v>20.65</v>
      </c>
      <c r="H1701">
        <v>958.1</v>
      </c>
      <c r="I1701" t="s">
        <v>15</v>
      </c>
      <c r="J1701" t="s">
        <v>16</v>
      </c>
      <c r="K1701" t="s">
        <v>21</v>
      </c>
      <c r="L1701">
        <v>958.1</v>
      </c>
      <c r="M1701" t="s">
        <v>5033</v>
      </c>
      <c r="N1701" t="s">
        <v>5031</v>
      </c>
    </row>
    <row r="1702" spans="1:14" x14ac:dyDescent="0.3">
      <c r="A1702" t="s">
        <v>1726</v>
      </c>
      <c r="B1702" t="s">
        <v>19</v>
      </c>
      <c r="C1702" t="s">
        <v>35</v>
      </c>
      <c r="D1702">
        <v>47</v>
      </c>
      <c r="E1702" t="s">
        <v>15</v>
      </c>
      <c r="F1702" t="s">
        <v>36</v>
      </c>
      <c r="G1702">
        <v>20.45</v>
      </c>
      <c r="H1702">
        <v>943</v>
      </c>
      <c r="I1702" t="s">
        <v>15</v>
      </c>
      <c r="J1702" t="s">
        <v>15</v>
      </c>
      <c r="K1702" t="s">
        <v>24</v>
      </c>
      <c r="L1702">
        <v>943</v>
      </c>
      <c r="M1702" t="s">
        <v>5033</v>
      </c>
      <c r="N1702" t="s">
        <v>5031</v>
      </c>
    </row>
    <row r="1703" spans="1:14" x14ac:dyDescent="0.3">
      <c r="A1703" t="s">
        <v>1727</v>
      </c>
      <c r="B1703" t="s">
        <v>12</v>
      </c>
      <c r="C1703" t="s">
        <v>20</v>
      </c>
      <c r="D1703">
        <v>66</v>
      </c>
      <c r="E1703" t="s">
        <v>26</v>
      </c>
      <c r="F1703" t="s">
        <v>15</v>
      </c>
      <c r="G1703">
        <v>102.45</v>
      </c>
      <c r="H1703">
        <v>6615.15</v>
      </c>
      <c r="I1703" t="s">
        <v>16</v>
      </c>
      <c r="J1703" t="s">
        <v>16</v>
      </c>
      <c r="K1703" t="s">
        <v>29</v>
      </c>
      <c r="L1703">
        <v>6615.15</v>
      </c>
      <c r="M1703" t="s">
        <v>5033</v>
      </c>
      <c r="N1703" t="s">
        <v>5034</v>
      </c>
    </row>
    <row r="1704" spans="1:14" x14ac:dyDescent="0.3">
      <c r="A1704" t="s">
        <v>1728</v>
      </c>
      <c r="B1704" t="s">
        <v>12</v>
      </c>
      <c r="C1704" t="s">
        <v>13</v>
      </c>
      <c r="D1704">
        <v>21</v>
      </c>
      <c r="E1704" t="s">
        <v>26</v>
      </c>
      <c r="F1704" t="s">
        <v>15</v>
      </c>
      <c r="G1704">
        <v>104.4</v>
      </c>
      <c r="H1704">
        <v>2200.25</v>
      </c>
      <c r="I1704" t="s">
        <v>16</v>
      </c>
      <c r="J1704" t="s">
        <v>16</v>
      </c>
      <c r="K1704" t="s">
        <v>24</v>
      </c>
      <c r="L1704">
        <v>2200.25</v>
      </c>
      <c r="M1704" t="s">
        <v>5032</v>
      </c>
      <c r="N1704" t="s">
        <v>5031</v>
      </c>
    </row>
    <row r="1705" spans="1:14" x14ac:dyDescent="0.3">
      <c r="A1705" t="s">
        <v>1729</v>
      </c>
      <c r="B1705" t="s">
        <v>19</v>
      </c>
      <c r="C1705" t="s">
        <v>13</v>
      </c>
      <c r="D1705">
        <v>11</v>
      </c>
      <c r="E1705" t="s">
        <v>14</v>
      </c>
      <c r="F1705" t="s">
        <v>16</v>
      </c>
      <c r="G1705">
        <v>35.65</v>
      </c>
      <c r="H1705">
        <v>425.1</v>
      </c>
      <c r="I1705" t="s">
        <v>15</v>
      </c>
      <c r="J1705" t="s">
        <v>16</v>
      </c>
      <c r="K1705" t="s">
        <v>17</v>
      </c>
      <c r="L1705">
        <v>425.1</v>
      </c>
      <c r="M1705" t="s">
        <v>5030</v>
      </c>
      <c r="N1705" t="s">
        <v>5031</v>
      </c>
    </row>
    <row r="1706" spans="1:14" x14ac:dyDescent="0.3">
      <c r="A1706" t="s">
        <v>1730</v>
      </c>
      <c r="B1706" t="s">
        <v>19</v>
      </c>
      <c r="C1706" t="s">
        <v>13</v>
      </c>
      <c r="D1706">
        <v>1</v>
      </c>
      <c r="E1706" t="s">
        <v>26</v>
      </c>
      <c r="F1706" t="s">
        <v>15</v>
      </c>
      <c r="G1706">
        <v>99.75</v>
      </c>
      <c r="H1706">
        <v>99.75</v>
      </c>
      <c r="I1706" t="s">
        <v>16</v>
      </c>
      <c r="J1706" t="s">
        <v>16</v>
      </c>
      <c r="K1706" t="s">
        <v>17</v>
      </c>
      <c r="L1706">
        <v>99.75</v>
      </c>
      <c r="M1706" t="s">
        <v>5030</v>
      </c>
      <c r="N1706" t="s">
        <v>5031</v>
      </c>
    </row>
    <row r="1707" spans="1:14" x14ac:dyDescent="0.3">
      <c r="A1707" t="s">
        <v>1731</v>
      </c>
      <c r="B1707" t="s">
        <v>12</v>
      </c>
      <c r="C1707" t="s">
        <v>13</v>
      </c>
      <c r="D1707">
        <v>55</v>
      </c>
      <c r="E1707" t="s">
        <v>26</v>
      </c>
      <c r="F1707" t="s">
        <v>16</v>
      </c>
      <c r="G1707">
        <v>90.45</v>
      </c>
      <c r="H1707">
        <v>5044.8</v>
      </c>
      <c r="I1707" t="s">
        <v>15</v>
      </c>
      <c r="J1707" t="s">
        <v>15</v>
      </c>
      <c r="K1707" t="s">
        <v>17</v>
      </c>
      <c r="L1707">
        <v>5044.8</v>
      </c>
      <c r="M1707" t="s">
        <v>5033</v>
      </c>
      <c r="N1707" t="s">
        <v>5034</v>
      </c>
    </row>
    <row r="1708" spans="1:14" x14ac:dyDescent="0.3">
      <c r="A1708" t="s">
        <v>1732</v>
      </c>
      <c r="B1708" t="s">
        <v>19</v>
      </c>
      <c r="C1708" t="s">
        <v>35</v>
      </c>
      <c r="D1708">
        <v>69</v>
      </c>
      <c r="E1708" t="s">
        <v>26</v>
      </c>
      <c r="F1708" t="s">
        <v>16</v>
      </c>
      <c r="G1708">
        <v>97.65</v>
      </c>
      <c r="H1708">
        <v>6743.55</v>
      </c>
      <c r="I1708" t="s">
        <v>15</v>
      </c>
      <c r="J1708" t="s">
        <v>16</v>
      </c>
      <c r="K1708" t="s">
        <v>29</v>
      </c>
      <c r="L1708">
        <v>6743.55</v>
      </c>
      <c r="M1708" t="s">
        <v>5033</v>
      </c>
      <c r="N1708" t="s">
        <v>5034</v>
      </c>
    </row>
    <row r="1709" spans="1:14" x14ac:dyDescent="0.3">
      <c r="A1709" t="s">
        <v>1733</v>
      </c>
      <c r="B1709" t="s">
        <v>12</v>
      </c>
      <c r="C1709" t="s">
        <v>13</v>
      </c>
      <c r="D1709">
        <v>3</v>
      </c>
      <c r="E1709" t="s">
        <v>26</v>
      </c>
      <c r="F1709" t="s">
        <v>15</v>
      </c>
      <c r="G1709">
        <v>73.849999999999994</v>
      </c>
      <c r="H1709">
        <v>196.4</v>
      </c>
      <c r="I1709" t="s">
        <v>15</v>
      </c>
      <c r="J1709" t="s">
        <v>15</v>
      </c>
      <c r="K1709" t="s">
        <v>17</v>
      </c>
      <c r="L1709">
        <v>196.4</v>
      </c>
      <c r="M1709" t="s">
        <v>5030</v>
      </c>
      <c r="N1709" t="s">
        <v>5031</v>
      </c>
    </row>
    <row r="1710" spans="1:14" x14ac:dyDescent="0.3">
      <c r="A1710" t="s">
        <v>1734</v>
      </c>
      <c r="B1710" t="s">
        <v>19</v>
      </c>
      <c r="C1710" t="s">
        <v>13</v>
      </c>
      <c r="D1710">
        <v>4</v>
      </c>
      <c r="E1710" t="s">
        <v>14</v>
      </c>
      <c r="F1710" t="s">
        <v>16</v>
      </c>
      <c r="G1710">
        <v>74.400000000000006</v>
      </c>
      <c r="H1710">
        <v>299.7</v>
      </c>
      <c r="I1710" t="s">
        <v>16</v>
      </c>
      <c r="J1710" t="s">
        <v>16</v>
      </c>
      <c r="K1710" t="s">
        <v>17</v>
      </c>
      <c r="L1710">
        <v>299.7</v>
      </c>
      <c r="M1710" t="s">
        <v>5030</v>
      </c>
      <c r="N1710" t="s">
        <v>5031</v>
      </c>
    </row>
    <row r="1711" spans="1:14" x14ac:dyDescent="0.3">
      <c r="A1711" t="s">
        <v>1735</v>
      </c>
      <c r="B1711" t="s">
        <v>19</v>
      </c>
      <c r="C1711" t="s">
        <v>35</v>
      </c>
      <c r="D1711">
        <v>30</v>
      </c>
      <c r="E1711" t="s">
        <v>14</v>
      </c>
      <c r="F1711" t="s">
        <v>16</v>
      </c>
      <c r="G1711">
        <v>69.099999999999994</v>
      </c>
      <c r="H1711">
        <v>2093.9</v>
      </c>
      <c r="I1711" t="s">
        <v>15</v>
      </c>
      <c r="J1711" t="s">
        <v>16</v>
      </c>
      <c r="K1711" t="s">
        <v>29</v>
      </c>
      <c r="L1711">
        <v>2093.9</v>
      </c>
      <c r="M1711" t="s">
        <v>5032</v>
      </c>
      <c r="N1711" t="s">
        <v>5031</v>
      </c>
    </row>
    <row r="1712" spans="1:14" x14ac:dyDescent="0.3">
      <c r="A1712" t="s">
        <v>1736</v>
      </c>
      <c r="B1712" t="s">
        <v>12</v>
      </c>
      <c r="C1712" t="s">
        <v>13</v>
      </c>
      <c r="D1712">
        <v>5</v>
      </c>
      <c r="E1712" t="s">
        <v>26</v>
      </c>
      <c r="F1712" t="s">
        <v>16</v>
      </c>
      <c r="G1712">
        <v>82.75</v>
      </c>
      <c r="H1712">
        <v>417.75</v>
      </c>
      <c r="I1712" t="s">
        <v>15</v>
      </c>
      <c r="J1712" t="s">
        <v>16</v>
      </c>
      <c r="K1712" t="s">
        <v>17</v>
      </c>
      <c r="L1712">
        <v>417.75</v>
      </c>
      <c r="M1712" t="s">
        <v>5030</v>
      </c>
      <c r="N1712" t="s">
        <v>5031</v>
      </c>
    </row>
    <row r="1713" spans="1:14" x14ac:dyDescent="0.3">
      <c r="A1713" t="s">
        <v>1737</v>
      </c>
      <c r="B1713" t="s">
        <v>12</v>
      </c>
      <c r="C1713" t="s">
        <v>35</v>
      </c>
      <c r="D1713">
        <v>71</v>
      </c>
      <c r="E1713" t="s">
        <v>15</v>
      </c>
      <c r="F1713" t="s">
        <v>36</v>
      </c>
      <c r="G1713">
        <v>24.4</v>
      </c>
      <c r="H1713">
        <v>1725.4</v>
      </c>
      <c r="I1713" t="s">
        <v>15</v>
      </c>
      <c r="J1713" t="s">
        <v>16</v>
      </c>
      <c r="K1713" t="s">
        <v>29</v>
      </c>
      <c r="L1713">
        <v>1725.4</v>
      </c>
      <c r="M1713" t="s">
        <v>5033</v>
      </c>
      <c r="N1713" t="s">
        <v>5031</v>
      </c>
    </row>
    <row r="1714" spans="1:14" x14ac:dyDescent="0.3">
      <c r="A1714" t="s">
        <v>1738</v>
      </c>
      <c r="B1714" t="s">
        <v>12</v>
      </c>
      <c r="C1714" t="s">
        <v>20</v>
      </c>
      <c r="D1714">
        <v>29</v>
      </c>
      <c r="E1714" t="s">
        <v>14</v>
      </c>
      <c r="F1714" t="s">
        <v>15</v>
      </c>
      <c r="G1714">
        <v>55.25</v>
      </c>
      <c r="H1714">
        <v>1620.2</v>
      </c>
      <c r="I1714" t="s">
        <v>15</v>
      </c>
      <c r="J1714" t="s">
        <v>16</v>
      </c>
      <c r="K1714" t="s">
        <v>17</v>
      </c>
      <c r="L1714">
        <v>1620.2</v>
      </c>
      <c r="M1714" t="s">
        <v>5032</v>
      </c>
      <c r="N1714" t="s">
        <v>5031</v>
      </c>
    </row>
    <row r="1715" spans="1:14" x14ac:dyDescent="0.3">
      <c r="A1715" t="s">
        <v>1739</v>
      </c>
      <c r="B1715" t="s">
        <v>19</v>
      </c>
      <c r="C1715" t="s">
        <v>13</v>
      </c>
      <c r="D1715">
        <v>52</v>
      </c>
      <c r="E1715" t="s">
        <v>14</v>
      </c>
      <c r="F1715" t="s">
        <v>16</v>
      </c>
      <c r="G1715">
        <v>61.35</v>
      </c>
      <c r="H1715">
        <v>3169.55</v>
      </c>
      <c r="I1715" t="s">
        <v>15</v>
      </c>
      <c r="J1715" t="s">
        <v>15</v>
      </c>
      <c r="K1715" t="s">
        <v>24</v>
      </c>
      <c r="L1715">
        <v>3169.55</v>
      </c>
      <c r="M1715" t="s">
        <v>5033</v>
      </c>
      <c r="N1715" t="s">
        <v>5034</v>
      </c>
    </row>
    <row r="1716" spans="1:14" x14ac:dyDescent="0.3">
      <c r="A1716" t="s">
        <v>1740</v>
      </c>
      <c r="B1716" t="s">
        <v>19</v>
      </c>
      <c r="C1716" t="s">
        <v>20</v>
      </c>
      <c r="D1716">
        <v>68</v>
      </c>
      <c r="E1716" t="s">
        <v>14</v>
      </c>
      <c r="F1716" t="s">
        <v>15</v>
      </c>
      <c r="G1716">
        <v>76.75</v>
      </c>
      <c r="H1716">
        <v>5233.25</v>
      </c>
      <c r="I1716" t="s">
        <v>15</v>
      </c>
      <c r="J1716" t="s">
        <v>15</v>
      </c>
      <c r="K1716" t="s">
        <v>29</v>
      </c>
      <c r="L1716">
        <v>5233.25</v>
      </c>
      <c r="M1716" t="s">
        <v>5033</v>
      </c>
      <c r="N1716" t="s">
        <v>5034</v>
      </c>
    </row>
    <row r="1717" spans="1:14" x14ac:dyDescent="0.3">
      <c r="A1717" t="s">
        <v>1741</v>
      </c>
      <c r="B1717" t="s">
        <v>12</v>
      </c>
      <c r="C1717" t="s">
        <v>35</v>
      </c>
      <c r="D1717">
        <v>46</v>
      </c>
      <c r="E1717" t="s">
        <v>15</v>
      </c>
      <c r="F1717" t="s">
        <v>36</v>
      </c>
      <c r="G1717">
        <v>19.399999999999999</v>
      </c>
      <c r="H1717">
        <v>967.85</v>
      </c>
      <c r="I1717" t="s">
        <v>15</v>
      </c>
      <c r="J1717" t="s">
        <v>15</v>
      </c>
      <c r="K1717" t="s">
        <v>21</v>
      </c>
      <c r="L1717">
        <v>967.85</v>
      </c>
      <c r="M1717" t="s">
        <v>5033</v>
      </c>
      <c r="N1717" t="s">
        <v>5031</v>
      </c>
    </row>
    <row r="1718" spans="1:14" x14ac:dyDescent="0.3">
      <c r="A1718" t="s">
        <v>1742</v>
      </c>
      <c r="B1718" t="s">
        <v>19</v>
      </c>
      <c r="C1718" t="s">
        <v>13</v>
      </c>
      <c r="D1718">
        <v>8</v>
      </c>
      <c r="E1718" t="s">
        <v>14</v>
      </c>
      <c r="F1718" t="s">
        <v>15</v>
      </c>
      <c r="G1718">
        <v>54.75</v>
      </c>
      <c r="H1718">
        <v>438.05</v>
      </c>
      <c r="I1718" t="s">
        <v>15</v>
      </c>
      <c r="J1718" t="s">
        <v>16</v>
      </c>
      <c r="K1718" t="s">
        <v>29</v>
      </c>
      <c r="L1718">
        <v>438.05</v>
      </c>
      <c r="M1718" t="s">
        <v>5030</v>
      </c>
      <c r="N1718" t="s">
        <v>5031</v>
      </c>
    </row>
    <row r="1719" spans="1:14" x14ac:dyDescent="0.3">
      <c r="A1719" t="s">
        <v>1743</v>
      </c>
      <c r="B1719" t="s">
        <v>19</v>
      </c>
      <c r="C1719" t="s">
        <v>35</v>
      </c>
      <c r="D1719">
        <v>72</v>
      </c>
      <c r="E1719" t="s">
        <v>15</v>
      </c>
      <c r="F1719" t="s">
        <v>36</v>
      </c>
      <c r="G1719">
        <v>19.7</v>
      </c>
      <c r="H1719">
        <v>1421.9</v>
      </c>
      <c r="I1719" t="s">
        <v>15</v>
      </c>
      <c r="J1719" t="s">
        <v>15</v>
      </c>
      <c r="K1719" t="s">
        <v>29</v>
      </c>
      <c r="L1719">
        <v>1421.9</v>
      </c>
      <c r="M1719" t="s">
        <v>5033</v>
      </c>
      <c r="N1719" t="s">
        <v>5031</v>
      </c>
    </row>
    <row r="1720" spans="1:14" x14ac:dyDescent="0.3">
      <c r="A1720" t="s">
        <v>1744</v>
      </c>
      <c r="B1720" t="s">
        <v>12</v>
      </c>
      <c r="C1720" t="s">
        <v>20</v>
      </c>
      <c r="D1720">
        <v>17</v>
      </c>
      <c r="E1720" t="s">
        <v>15</v>
      </c>
      <c r="F1720" t="s">
        <v>36</v>
      </c>
      <c r="G1720">
        <v>19.899999999999999</v>
      </c>
      <c r="H1720">
        <v>323.14999999999998</v>
      </c>
      <c r="I1720" t="s">
        <v>15</v>
      </c>
      <c r="J1720" t="s">
        <v>15</v>
      </c>
      <c r="K1720" t="s">
        <v>24</v>
      </c>
      <c r="L1720">
        <v>323.14999999999998</v>
      </c>
      <c r="M1720" t="s">
        <v>5032</v>
      </c>
      <c r="N1720" t="s">
        <v>5031</v>
      </c>
    </row>
    <row r="1721" spans="1:14" x14ac:dyDescent="0.3">
      <c r="A1721" t="s">
        <v>1745</v>
      </c>
      <c r="B1721" t="s">
        <v>19</v>
      </c>
      <c r="C1721" t="s">
        <v>13</v>
      </c>
      <c r="D1721">
        <v>3</v>
      </c>
      <c r="E1721" t="s">
        <v>26</v>
      </c>
      <c r="F1721" t="s">
        <v>16</v>
      </c>
      <c r="G1721">
        <v>107.95</v>
      </c>
      <c r="H1721">
        <v>318.60000000000002</v>
      </c>
      <c r="I1721" t="s">
        <v>15</v>
      </c>
      <c r="J1721" t="s">
        <v>16</v>
      </c>
      <c r="K1721" t="s">
        <v>17</v>
      </c>
      <c r="L1721">
        <v>318.60000000000002</v>
      </c>
      <c r="M1721" t="s">
        <v>5030</v>
      </c>
      <c r="N1721" t="s">
        <v>5031</v>
      </c>
    </row>
    <row r="1722" spans="1:14" x14ac:dyDescent="0.3">
      <c r="A1722" t="s">
        <v>1746</v>
      </c>
      <c r="B1722" t="s">
        <v>12</v>
      </c>
      <c r="C1722" t="s">
        <v>13</v>
      </c>
      <c r="D1722">
        <v>2</v>
      </c>
      <c r="E1722" t="s">
        <v>26</v>
      </c>
      <c r="F1722" t="s">
        <v>15</v>
      </c>
      <c r="G1722">
        <v>83.8</v>
      </c>
      <c r="H1722">
        <v>163.69999999999999</v>
      </c>
      <c r="I1722" t="s">
        <v>15</v>
      </c>
      <c r="J1722" t="s">
        <v>16</v>
      </c>
      <c r="K1722" t="s">
        <v>24</v>
      </c>
      <c r="L1722">
        <v>163.69999999999999</v>
      </c>
      <c r="M1722" t="s">
        <v>5030</v>
      </c>
      <c r="N1722" t="s">
        <v>5031</v>
      </c>
    </row>
    <row r="1723" spans="1:14" x14ac:dyDescent="0.3">
      <c r="A1723" t="s">
        <v>1747</v>
      </c>
      <c r="B1723" t="s">
        <v>12</v>
      </c>
      <c r="C1723" t="s">
        <v>13</v>
      </c>
      <c r="D1723">
        <v>9</v>
      </c>
      <c r="E1723" t="s">
        <v>26</v>
      </c>
      <c r="F1723" t="s">
        <v>15</v>
      </c>
      <c r="G1723">
        <v>74.25</v>
      </c>
      <c r="H1723">
        <v>639.65</v>
      </c>
      <c r="I1723" t="s">
        <v>16</v>
      </c>
      <c r="J1723" t="s">
        <v>16</v>
      </c>
      <c r="K1723" t="s">
        <v>29</v>
      </c>
      <c r="L1723">
        <v>639.65</v>
      </c>
      <c r="M1723" t="s">
        <v>5030</v>
      </c>
      <c r="N1723" t="s">
        <v>5031</v>
      </c>
    </row>
    <row r="1724" spans="1:14" x14ac:dyDescent="0.3">
      <c r="A1724" t="s">
        <v>1748</v>
      </c>
      <c r="B1724" t="s">
        <v>12</v>
      </c>
      <c r="C1724" t="s">
        <v>20</v>
      </c>
      <c r="D1724">
        <v>51</v>
      </c>
      <c r="E1724" t="s">
        <v>14</v>
      </c>
      <c r="F1724" t="s">
        <v>15</v>
      </c>
      <c r="G1724">
        <v>56.4</v>
      </c>
      <c r="H1724">
        <v>2928.5</v>
      </c>
      <c r="I1724" t="s">
        <v>15</v>
      </c>
      <c r="J1724" t="s">
        <v>16</v>
      </c>
      <c r="K1724" t="s">
        <v>29</v>
      </c>
      <c r="L1724">
        <v>2928.5</v>
      </c>
      <c r="M1724" t="s">
        <v>5033</v>
      </c>
      <c r="N1724" t="s">
        <v>5034</v>
      </c>
    </row>
    <row r="1725" spans="1:14" x14ac:dyDescent="0.3">
      <c r="A1725" t="s">
        <v>1749</v>
      </c>
      <c r="B1725" t="s">
        <v>12</v>
      </c>
      <c r="C1725" t="s">
        <v>35</v>
      </c>
      <c r="D1725">
        <v>6</v>
      </c>
      <c r="E1725" t="s">
        <v>15</v>
      </c>
      <c r="F1725" t="s">
        <v>36</v>
      </c>
      <c r="G1725">
        <v>20.100000000000001</v>
      </c>
      <c r="H1725">
        <v>100.35</v>
      </c>
      <c r="I1725" t="s">
        <v>15</v>
      </c>
      <c r="J1725" t="s">
        <v>15</v>
      </c>
      <c r="K1725" t="s">
        <v>21</v>
      </c>
      <c r="L1725">
        <v>100.35</v>
      </c>
      <c r="M1725" t="s">
        <v>5030</v>
      </c>
      <c r="N1725" t="s">
        <v>5031</v>
      </c>
    </row>
    <row r="1726" spans="1:14" x14ac:dyDescent="0.3">
      <c r="A1726" t="s">
        <v>1750</v>
      </c>
      <c r="B1726" t="s">
        <v>12</v>
      </c>
      <c r="C1726" t="s">
        <v>13</v>
      </c>
      <c r="D1726">
        <v>3</v>
      </c>
      <c r="E1726" t="s">
        <v>26</v>
      </c>
      <c r="F1726" t="s">
        <v>15</v>
      </c>
      <c r="G1726">
        <v>94.9</v>
      </c>
      <c r="H1726">
        <v>273.2</v>
      </c>
      <c r="I1726" t="s">
        <v>15</v>
      </c>
      <c r="J1726" t="s">
        <v>15</v>
      </c>
      <c r="K1726" t="s">
        <v>17</v>
      </c>
      <c r="L1726">
        <v>273.2</v>
      </c>
      <c r="M1726" t="s">
        <v>5030</v>
      </c>
      <c r="N1726" t="s">
        <v>5031</v>
      </c>
    </row>
    <row r="1727" spans="1:14" x14ac:dyDescent="0.3">
      <c r="A1727" t="s">
        <v>1751</v>
      </c>
      <c r="B1727" t="s">
        <v>12</v>
      </c>
      <c r="C1727" t="s">
        <v>13</v>
      </c>
      <c r="D1727">
        <v>17</v>
      </c>
      <c r="E1727" t="s">
        <v>26</v>
      </c>
      <c r="F1727" t="s">
        <v>15</v>
      </c>
      <c r="G1727">
        <v>94.2</v>
      </c>
      <c r="H1727">
        <v>1608.15</v>
      </c>
      <c r="I1727" t="s">
        <v>15</v>
      </c>
      <c r="J1727" t="s">
        <v>16</v>
      </c>
      <c r="K1727" t="s">
        <v>17</v>
      </c>
      <c r="L1727">
        <v>1608.15</v>
      </c>
      <c r="M1727" t="s">
        <v>5032</v>
      </c>
      <c r="N1727" t="s">
        <v>5031</v>
      </c>
    </row>
    <row r="1728" spans="1:14" x14ac:dyDescent="0.3">
      <c r="A1728" t="s">
        <v>1752</v>
      </c>
      <c r="B1728" t="s">
        <v>19</v>
      </c>
      <c r="C1728" t="s">
        <v>13</v>
      </c>
      <c r="D1728">
        <v>30</v>
      </c>
      <c r="E1728" t="s">
        <v>14</v>
      </c>
      <c r="F1728" t="s">
        <v>15</v>
      </c>
      <c r="G1728">
        <v>49.9</v>
      </c>
      <c r="H1728">
        <v>1441.95</v>
      </c>
      <c r="I1728" t="s">
        <v>15</v>
      </c>
      <c r="J1728" t="s">
        <v>15</v>
      </c>
      <c r="K1728" t="s">
        <v>17</v>
      </c>
      <c r="L1728">
        <v>1441.95</v>
      </c>
      <c r="M1728" t="s">
        <v>5032</v>
      </c>
      <c r="N1728" t="s">
        <v>5031</v>
      </c>
    </row>
    <row r="1729" spans="1:14" x14ac:dyDescent="0.3">
      <c r="A1729" t="s">
        <v>1753</v>
      </c>
      <c r="B1729" t="s">
        <v>19</v>
      </c>
      <c r="C1729" t="s">
        <v>13</v>
      </c>
      <c r="D1729">
        <v>31</v>
      </c>
      <c r="E1729" t="s">
        <v>14</v>
      </c>
      <c r="F1729" t="s">
        <v>16</v>
      </c>
      <c r="G1729">
        <v>71.05</v>
      </c>
      <c r="H1729">
        <v>2168.15</v>
      </c>
      <c r="I1729" t="s">
        <v>15</v>
      </c>
      <c r="J1729" t="s">
        <v>16</v>
      </c>
      <c r="K1729" t="s">
        <v>17</v>
      </c>
      <c r="L1729">
        <v>2168.15</v>
      </c>
      <c r="M1729" t="s">
        <v>5032</v>
      </c>
      <c r="N1729" t="s">
        <v>5031</v>
      </c>
    </row>
    <row r="1730" spans="1:14" x14ac:dyDescent="0.3">
      <c r="A1730" t="s">
        <v>1754</v>
      </c>
      <c r="B1730" t="s">
        <v>12</v>
      </c>
      <c r="C1730" t="s">
        <v>35</v>
      </c>
      <c r="D1730">
        <v>45</v>
      </c>
      <c r="E1730" t="s">
        <v>14</v>
      </c>
      <c r="F1730" t="s">
        <v>16</v>
      </c>
      <c r="G1730">
        <v>81.650000000000006</v>
      </c>
      <c r="H1730">
        <v>3618.7</v>
      </c>
      <c r="I1730" t="s">
        <v>15</v>
      </c>
      <c r="J1730" t="s">
        <v>15</v>
      </c>
      <c r="K1730" t="s">
        <v>24</v>
      </c>
      <c r="L1730">
        <v>3618.7</v>
      </c>
      <c r="M1730" t="s">
        <v>5033</v>
      </c>
      <c r="N1730" t="s">
        <v>5034</v>
      </c>
    </row>
    <row r="1731" spans="1:14" x14ac:dyDescent="0.3">
      <c r="A1731" t="s">
        <v>1755</v>
      </c>
      <c r="B1731" t="s">
        <v>19</v>
      </c>
      <c r="C1731" t="s">
        <v>20</v>
      </c>
      <c r="D1731">
        <v>64</v>
      </c>
      <c r="E1731" t="s">
        <v>26</v>
      </c>
      <c r="F1731" t="s">
        <v>15</v>
      </c>
      <c r="G1731">
        <v>89.45</v>
      </c>
      <c r="H1731">
        <v>5692.65</v>
      </c>
      <c r="I1731" t="s">
        <v>15</v>
      </c>
      <c r="J1731" t="s">
        <v>15</v>
      </c>
      <c r="K1731" t="s">
        <v>24</v>
      </c>
      <c r="L1731">
        <v>5692.65</v>
      </c>
      <c r="M1731" t="s">
        <v>5033</v>
      </c>
      <c r="N1731" t="s">
        <v>5034</v>
      </c>
    </row>
    <row r="1732" spans="1:14" x14ac:dyDescent="0.3">
      <c r="A1732" t="s">
        <v>1756</v>
      </c>
      <c r="B1732" t="s">
        <v>19</v>
      </c>
      <c r="C1732" t="s">
        <v>13</v>
      </c>
      <c r="D1732">
        <v>1</v>
      </c>
      <c r="E1732" t="s">
        <v>14</v>
      </c>
      <c r="F1732" t="s">
        <v>15</v>
      </c>
      <c r="G1732">
        <v>59.85</v>
      </c>
      <c r="H1732">
        <v>59.85</v>
      </c>
      <c r="I1732" t="s">
        <v>16</v>
      </c>
      <c r="J1732" t="s">
        <v>16</v>
      </c>
      <c r="K1732" t="s">
        <v>17</v>
      </c>
      <c r="L1732">
        <v>59.85</v>
      </c>
      <c r="M1732" t="s">
        <v>5030</v>
      </c>
      <c r="N1732" t="s">
        <v>5031</v>
      </c>
    </row>
    <row r="1733" spans="1:14" x14ac:dyDescent="0.3">
      <c r="A1733" t="s">
        <v>1757</v>
      </c>
      <c r="B1733" t="s">
        <v>12</v>
      </c>
      <c r="C1733" t="s">
        <v>13</v>
      </c>
      <c r="D1733">
        <v>1</v>
      </c>
      <c r="E1733" t="s">
        <v>26</v>
      </c>
      <c r="F1733" t="s">
        <v>15</v>
      </c>
      <c r="G1733">
        <v>69.599999999999994</v>
      </c>
      <c r="H1733">
        <v>69.599999999999994</v>
      </c>
      <c r="I1733" t="s">
        <v>16</v>
      </c>
      <c r="J1733" t="s">
        <v>16</v>
      </c>
      <c r="K1733" t="s">
        <v>17</v>
      </c>
      <c r="L1733">
        <v>69.599999999999994</v>
      </c>
      <c r="M1733" t="s">
        <v>5030</v>
      </c>
      <c r="N1733" t="s">
        <v>5031</v>
      </c>
    </row>
    <row r="1734" spans="1:14" x14ac:dyDescent="0.3">
      <c r="A1734" t="s">
        <v>1758</v>
      </c>
      <c r="B1734" t="s">
        <v>19</v>
      </c>
      <c r="C1734" t="s">
        <v>20</v>
      </c>
      <c r="D1734">
        <v>61</v>
      </c>
      <c r="E1734" t="s">
        <v>26</v>
      </c>
      <c r="F1734" t="s">
        <v>15</v>
      </c>
      <c r="G1734">
        <v>99</v>
      </c>
      <c r="H1734">
        <v>5969.3</v>
      </c>
      <c r="I1734" t="s">
        <v>15</v>
      </c>
      <c r="J1734" t="s">
        <v>15</v>
      </c>
      <c r="K1734" t="s">
        <v>17</v>
      </c>
      <c r="L1734">
        <v>5969.3</v>
      </c>
      <c r="M1734" t="s">
        <v>5033</v>
      </c>
      <c r="N1734" t="s">
        <v>5034</v>
      </c>
    </row>
    <row r="1735" spans="1:14" x14ac:dyDescent="0.3">
      <c r="A1735" t="s">
        <v>1759</v>
      </c>
      <c r="B1735" t="s">
        <v>19</v>
      </c>
      <c r="C1735" t="s">
        <v>13</v>
      </c>
      <c r="D1735">
        <v>1</v>
      </c>
      <c r="E1735" t="s">
        <v>15</v>
      </c>
      <c r="F1735" t="s">
        <v>36</v>
      </c>
      <c r="G1735">
        <v>19.05</v>
      </c>
      <c r="H1735">
        <v>19.05</v>
      </c>
      <c r="I1735" t="s">
        <v>15</v>
      </c>
      <c r="J1735" t="s">
        <v>15</v>
      </c>
      <c r="K1735" t="s">
        <v>21</v>
      </c>
      <c r="L1735">
        <v>19.05</v>
      </c>
      <c r="M1735" t="s">
        <v>5030</v>
      </c>
      <c r="N1735" t="s">
        <v>5031</v>
      </c>
    </row>
    <row r="1736" spans="1:14" x14ac:dyDescent="0.3">
      <c r="A1736" t="s">
        <v>1760</v>
      </c>
      <c r="B1736" t="s">
        <v>19</v>
      </c>
      <c r="C1736" t="s">
        <v>13</v>
      </c>
      <c r="D1736">
        <v>9</v>
      </c>
      <c r="E1736" t="s">
        <v>14</v>
      </c>
      <c r="F1736" t="s">
        <v>15</v>
      </c>
      <c r="G1736">
        <v>45.4</v>
      </c>
      <c r="H1736">
        <v>418.8</v>
      </c>
      <c r="I1736" t="s">
        <v>16</v>
      </c>
      <c r="J1736" t="s">
        <v>16</v>
      </c>
      <c r="K1736" t="s">
        <v>17</v>
      </c>
      <c r="L1736">
        <v>418.8</v>
      </c>
      <c r="M1736" t="s">
        <v>5030</v>
      </c>
      <c r="N1736" t="s">
        <v>5031</v>
      </c>
    </row>
    <row r="1737" spans="1:14" x14ac:dyDescent="0.3">
      <c r="A1737" t="s">
        <v>1761</v>
      </c>
      <c r="B1737" t="s">
        <v>19</v>
      </c>
      <c r="C1737" t="s">
        <v>35</v>
      </c>
      <c r="D1737">
        <v>72</v>
      </c>
      <c r="E1737" t="s">
        <v>26</v>
      </c>
      <c r="F1737" t="s">
        <v>16</v>
      </c>
      <c r="G1737">
        <v>114.45</v>
      </c>
      <c r="H1737">
        <v>8100.55</v>
      </c>
      <c r="I1737" t="s">
        <v>15</v>
      </c>
      <c r="J1737" t="s">
        <v>15</v>
      </c>
      <c r="K1737" t="s">
        <v>24</v>
      </c>
      <c r="L1737">
        <v>8100.55</v>
      </c>
      <c r="M1737" t="s">
        <v>5033</v>
      </c>
      <c r="N1737" t="s">
        <v>5034</v>
      </c>
    </row>
    <row r="1738" spans="1:14" x14ac:dyDescent="0.3">
      <c r="A1738" t="s">
        <v>1762</v>
      </c>
      <c r="B1738" t="s">
        <v>12</v>
      </c>
      <c r="C1738" t="s">
        <v>13</v>
      </c>
      <c r="D1738">
        <v>1</v>
      </c>
      <c r="E1738" t="s">
        <v>15</v>
      </c>
      <c r="F1738" t="s">
        <v>36</v>
      </c>
      <c r="G1738">
        <v>19.5</v>
      </c>
      <c r="H1738">
        <v>19.5</v>
      </c>
      <c r="I1738" t="s">
        <v>16</v>
      </c>
      <c r="J1738" t="s">
        <v>15</v>
      </c>
      <c r="K1738" t="s">
        <v>21</v>
      </c>
      <c r="L1738">
        <v>19.5</v>
      </c>
      <c r="M1738" t="s">
        <v>5030</v>
      </c>
      <c r="N1738" t="s">
        <v>5031</v>
      </c>
    </row>
    <row r="1739" spans="1:14" x14ac:dyDescent="0.3">
      <c r="A1739" t="s">
        <v>1763</v>
      </c>
      <c r="B1739" t="s">
        <v>12</v>
      </c>
      <c r="C1739" t="s">
        <v>13</v>
      </c>
      <c r="D1739">
        <v>7</v>
      </c>
      <c r="E1739" t="s">
        <v>14</v>
      </c>
      <c r="F1739" t="s">
        <v>15</v>
      </c>
      <c r="G1739">
        <v>44.25</v>
      </c>
      <c r="H1739">
        <v>313.45</v>
      </c>
      <c r="I1739" t="s">
        <v>15</v>
      </c>
      <c r="J1739" t="s">
        <v>16</v>
      </c>
      <c r="K1739" t="s">
        <v>21</v>
      </c>
      <c r="L1739">
        <v>313.45</v>
      </c>
      <c r="M1739" t="s">
        <v>5030</v>
      </c>
      <c r="N1739" t="s">
        <v>5031</v>
      </c>
    </row>
    <row r="1740" spans="1:14" x14ac:dyDescent="0.3">
      <c r="A1740" t="s">
        <v>1764</v>
      </c>
      <c r="B1740" t="s">
        <v>12</v>
      </c>
      <c r="C1740" t="s">
        <v>20</v>
      </c>
      <c r="D1740">
        <v>66</v>
      </c>
      <c r="E1740" t="s">
        <v>26</v>
      </c>
      <c r="F1740" t="s">
        <v>16</v>
      </c>
      <c r="G1740">
        <v>90.55</v>
      </c>
      <c r="H1740">
        <v>6130.95</v>
      </c>
      <c r="I1740" t="s">
        <v>15</v>
      </c>
      <c r="J1740" t="s">
        <v>16</v>
      </c>
      <c r="K1740" t="s">
        <v>24</v>
      </c>
      <c r="L1740">
        <v>6130.95</v>
      </c>
      <c r="M1740" t="s">
        <v>5033</v>
      </c>
      <c r="N1740" t="s">
        <v>5034</v>
      </c>
    </row>
    <row r="1741" spans="1:14" x14ac:dyDescent="0.3">
      <c r="A1741" t="s">
        <v>1765</v>
      </c>
      <c r="B1741" t="s">
        <v>19</v>
      </c>
      <c r="C1741" t="s">
        <v>13</v>
      </c>
      <c r="D1741">
        <v>1</v>
      </c>
      <c r="E1741" t="s">
        <v>26</v>
      </c>
      <c r="F1741" t="s">
        <v>15</v>
      </c>
      <c r="G1741">
        <v>69.900000000000006</v>
      </c>
      <c r="H1741">
        <v>69.900000000000006</v>
      </c>
      <c r="I1741" t="s">
        <v>16</v>
      </c>
      <c r="J1741" t="s">
        <v>16</v>
      </c>
      <c r="K1741" t="s">
        <v>17</v>
      </c>
      <c r="L1741">
        <v>69.900000000000006</v>
      </c>
      <c r="M1741" t="s">
        <v>5030</v>
      </c>
      <c r="N1741" t="s">
        <v>5031</v>
      </c>
    </row>
    <row r="1742" spans="1:14" x14ac:dyDescent="0.3">
      <c r="A1742" t="s">
        <v>1766</v>
      </c>
      <c r="B1742" t="s">
        <v>19</v>
      </c>
      <c r="C1742" t="s">
        <v>13</v>
      </c>
      <c r="D1742">
        <v>40</v>
      </c>
      <c r="E1742" t="s">
        <v>15</v>
      </c>
      <c r="F1742" t="s">
        <v>36</v>
      </c>
      <c r="G1742">
        <v>20.399999999999999</v>
      </c>
      <c r="H1742">
        <v>745.3</v>
      </c>
      <c r="I1742" t="s">
        <v>15</v>
      </c>
      <c r="J1742" t="s">
        <v>16</v>
      </c>
      <c r="K1742" t="s">
        <v>24</v>
      </c>
      <c r="L1742">
        <v>745.3</v>
      </c>
      <c r="M1742" t="s">
        <v>5033</v>
      </c>
      <c r="N1742" t="s">
        <v>5031</v>
      </c>
    </row>
    <row r="1743" spans="1:14" x14ac:dyDescent="0.3">
      <c r="A1743" t="s">
        <v>1767</v>
      </c>
      <c r="B1743" t="s">
        <v>19</v>
      </c>
      <c r="C1743" t="s">
        <v>13</v>
      </c>
      <c r="D1743">
        <v>16</v>
      </c>
      <c r="E1743" t="s">
        <v>14</v>
      </c>
      <c r="F1743" t="s">
        <v>15</v>
      </c>
      <c r="G1743">
        <v>71.400000000000006</v>
      </c>
      <c r="H1743">
        <v>1212.0999999999999</v>
      </c>
      <c r="I1743" t="s">
        <v>15</v>
      </c>
      <c r="J1743" t="s">
        <v>16</v>
      </c>
      <c r="K1743" t="s">
        <v>24</v>
      </c>
      <c r="L1743">
        <v>1212.0999999999999</v>
      </c>
      <c r="M1743" t="s">
        <v>5032</v>
      </c>
      <c r="N1743" t="s">
        <v>5031</v>
      </c>
    </row>
    <row r="1744" spans="1:14" x14ac:dyDescent="0.3">
      <c r="A1744" t="s">
        <v>1768</v>
      </c>
      <c r="B1744" t="s">
        <v>12</v>
      </c>
      <c r="C1744" t="s">
        <v>13</v>
      </c>
      <c r="D1744">
        <v>2</v>
      </c>
      <c r="E1744" t="s">
        <v>26</v>
      </c>
      <c r="F1744" t="s">
        <v>15</v>
      </c>
      <c r="G1744">
        <v>87.15</v>
      </c>
      <c r="H1744">
        <v>183.75</v>
      </c>
      <c r="I1744" t="s">
        <v>16</v>
      </c>
      <c r="J1744" t="s">
        <v>16</v>
      </c>
      <c r="K1744" t="s">
        <v>24</v>
      </c>
      <c r="L1744">
        <v>183.75</v>
      </c>
      <c r="M1744" t="s">
        <v>5030</v>
      </c>
      <c r="N1744" t="s">
        <v>5031</v>
      </c>
    </row>
    <row r="1745" spans="1:14" x14ac:dyDescent="0.3">
      <c r="A1745" t="s">
        <v>1769</v>
      </c>
      <c r="B1745" t="s">
        <v>19</v>
      </c>
      <c r="C1745" t="s">
        <v>35</v>
      </c>
      <c r="D1745">
        <v>67</v>
      </c>
      <c r="E1745" t="s">
        <v>15</v>
      </c>
      <c r="F1745" t="s">
        <v>36</v>
      </c>
      <c r="G1745">
        <v>24.85</v>
      </c>
      <c r="H1745">
        <v>1583.5</v>
      </c>
      <c r="I1745" t="s">
        <v>15</v>
      </c>
      <c r="J1745" t="s">
        <v>15</v>
      </c>
      <c r="K1745" t="s">
        <v>29</v>
      </c>
      <c r="L1745">
        <v>1583.5</v>
      </c>
      <c r="M1745" t="s">
        <v>5033</v>
      </c>
      <c r="N1745" t="s">
        <v>5031</v>
      </c>
    </row>
    <row r="1746" spans="1:14" x14ac:dyDescent="0.3">
      <c r="A1746" t="s">
        <v>1770</v>
      </c>
      <c r="B1746" t="s">
        <v>12</v>
      </c>
      <c r="C1746" t="s">
        <v>20</v>
      </c>
      <c r="D1746">
        <v>41</v>
      </c>
      <c r="E1746" t="s">
        <v>26</v>
      </c>
      <c r="F1746" t="s">
        <v>15</v>
      </c>
      <c r="G1746">
        <v>104.45</v>
      </c>
      <c r="H1746">
        <v>4162.05</v>
      </c>
      <c r="I1746" t="s">
        <v>15</v>
      </c>
      <c r="J1746" t="s">
        <v>16</v>
      </c>
      <c r="K1746" t="s">
        <v>24</v>
      </c>
      <c r="L1746">
        <v>4162.05</v>
      </c>
      <c r="M1746" t="s">
        <v>5033</v>
      </c>
      <c r="N1746" t="s">
        <v>5034</v>
      </c>
    </row>
    <row r="1747" spans="1:14" x14ac:dyDescent="0.3">
      <c r="A1747" t="s">
        <v>1771</v>
      </c>
      <c r="B1747" t="s">
        <v>12</v>
      </c>
      <c r="C1747" t="s">
        <v>35</v>
      </c>
      <c r="D1747">
        <v>56</v>
      </c>
      <c r="E1747" t="s">
        <v>15</v>
      </c>
      <c r="F1747" t="s">
        <v>36</v>
      </c>
      <c r="G1747">
        <v>19.8</v>
      </c>
      <c r="H1747">
        <v>1119.9000000000001</v>
      </c>
      <c r="I1747" t="s">
        <v>15</v>
      </c>
      <c r="J1747" t="s">
        <v>16</v>
      </c>
      <c r="K1747" t="s">
        <v>29</v>
      </c>
      <c r="L1747">
        <v>1119.9000000000001</v>
      </c>
      <c r="M1747" t="s">
        <v>5033</v>
      </c>
      <c r="N1747" t="s">
        <v>5031</v>
      </c>
    </row>
    <row r="1748" spans="1:14" x14ac:dyDescent="0.3">
      <c r="A1748" t="s">
        <v>1772</v>
      </c>
      <c r="B1748" t="s">
        <v>12</v>
      </c>
      <c r="C1748" t="s">
        <v>35</v>
      </c>
      <c r="D1748">
        <v>72</v>
      </c>
      <c r="E1748" t="s">
        <v>26</v>
      </c>
      <c r="F1748" t="s">
        <v>16</v>
      </c>
      <c r="G1748">
        <v>116.45</v>
      </c>
      <c r="H1748">
        <v>8013.55</v>
      </c>
      <c r="I1748" t="s">
        <v>15</v>
      </c>
      <c r="J1748" t="s">
        <v>16</v>
      </c>
      <c r="K1748" t="s">
        <v>24</v>
      </c>
      <c r="L1748">
        <v>8013.55</v>
      </c>
      <c r="M1748" t="s">
        <v>5033</v>
      </c>
      <c r="N1748" t="s">
        <v>5034</v>
      </c>
    </row>
    <row r="1749" spans="1:14" x14ac:dyDescent="0.3">
      <c r="A1749" t="s">
        <v>1773</v>
      </c>
      <c r="B1749" t="s">
        <v>12</v>
      </c>
      <c r="C1749" t="s">
        <v>13</v>
      </c>
      <c r="D1749">
        <v>3</v>
      </c>
      <c r="E1749" t="s">
        <v>26</v>
      </c>
      <c r="F1749" t="s">
        <v>15</v>
      </c>
      <c r="G1749">
        <v>84.75</v>
      </c>
      <c r="H1749">
        <v>264.85000000000002</v>
      </c>
      <c r="I1749" t="s">
        <v>16</v>
      </c>
      <c r="J1749" t="s">
        <v>16</v>
      </c>
      <c r="K1749" t="s">
        <v>24</v>
      </c>
      <c r="L1749">
        <v>264.85000000000002</v>
      </c>
      <c r="M1749" t="s">
        <v>5030</v>
      </c>
      <c r="N1749" t="s">
        <v>5031</v>
      </c>
    </row>
    <row r="1750" spans="1:14" x14ac:dyDescent="0.3">
      <c r="A1750" t="s">
        <v>1774</v>
      </c>
      <c r="B1750" t="s">
        <v>12</v>
      </c>
      <c r="C1750" t="s">
        <v>35</v>
      </c>
      <c r="D1750">
        <v>54</v>
      </c>
      <c r="E1750" t="s">
        <v>15</v>
      </c>
      <c r="F1750" t="s">
        <v>36</v>
      </c>
      <c r="G1750">
        <v>20.05</v>
      </c>
      <c r="H1750">
        <v>1102.4000000000001</v>
      </c>
      <c r="I1750" t="s">
        <v>15</v>
      </c>
      <c r="J1750" t="s">
        <v>15</v>
      </c>
      <c r="K1750" t="s">
        <v>29</v>
      </c>
      <c r="L1750">
        <v>1102.4000000000001</v>
      </c>
      <c r="M1750" t="s">
        <v>5033</v>
      </c>
      <c r="N1750" t="s">
        <v>5031</v>
      </c>
    </row>
    <row r="1751" spans="1:14" x14ac:dyDescent="0.3">
      <c r="A1751" t="s">
        <v>1775</v>
      </c>
      <c r="B1751" t="s">
        <v>19</v>
      </c>
      <c r="C1751" t="s">
        <v>13</v>
      </c>
      <c r="D1751">
        <v>52</v>
      </c>
      <c r="E1751" t="s">
        <v>26</v>
      </c>
      <c r="F1751" t="s">
        <v>16</v>
      </c>
      <c r="G1751">
        <v>110.75</v>
      </c>
      <c r="H1751">
        <v>5832</v>
      </c>
      <c r="I1751" t="s">
        <v>15</v>
      </c>
      <c r="J1751" t="s">
        <v>16</v>
      </c>
      <c r="K1751" t="s">
        <v>17</v>
      </c>
      <c r="L1751">
        <v>5832</v>
      </c>
      <c r="M1751" t="s">
        <v>5033</v>
      </c>
      <c r="N1751" t="s">
        <v>5034</v>
      </c>
    </row>
    <row r="1752" spans="1:14" x14ac:dyDescent="0.3">
      <c r="A1752" t="s">
        <v>1776</v>
      </c>
      <c r="B1752" t="s">
        <v>12</v>
      </c>
      <c r="C1752" t="s">
        <v>35</v>
      </c>
      <c r="D1752">
        <v>50</v>
      </c>
      <c r="E1752" t="s">
        <v>26</v>
      </c>
      <c r="F1752" t="s">
        <v>16</v>
      </c>
      <c r="G1752">
        <v>89.7</v>
      </c>
      <c r="H1752">
        <v>4304.5</v>
      </c>
      <c r="I1752" t="s">
        <v>15</v>
      </c>
      <c r="J1752" t="s">
        <v>16</v>
      </c>
      <c r="K1752" t="s">
        <v>24</v>
      </c>
      <c r="L1752">
        <v>4304.5</v>
      </c>
      <c r="M1752" t="s">
        <v>5033</v>
      </c>
      <c r="N1752" t="s">
        <v>5034</v>
      </c>
    </row>
    <row r="1753" spans="1:14" x14ac:dyDescent="0.3">
      <c r="A1753" t="s">
        <v>1777</v>
      </c>
      <c r="B1753" t="s">
        <v>19</v>
      </c>
      <c r="C1753" t="s">
        <v>13</v>
      </c>
      <c r="D1753">
        <v>14</v>
      </c>
      <c r="E1753" t="s">
        <v>26</v>
      </c>
      <c r="F1753" t="s">
        <v>16</v>
      </c>
      <c r="G1753">
        <v>89.95</v>
      </c>
      <c r="H1753">
        <v>1178.4000000000001</v>
      </c>
      <c r="I1753" t="s">
        <v>16</v>
      </c>
      <c r="J1753" t="s">
        <v>16</v>
      </c>
      <c r="K1753" t="s">
        <v>17</v>
      </c>
      <c r="L1753">
        <v>1178.4000000000001</v>
      </c>
      <c r="M1753" t="s">
        <v>5032</v>
      </c>
      <c r="N1753" t="s">
        <v>5031</v>
      </c>
    </row>
    <row r="1754" spans="1:14" x14ac:dyDescent="0.3">
      <c r="A1754" t="s">
        <v>1778</v>
      </c>
      <c r="B1754" t="s">
        <v>19</v>
      </c>
      <c r="C1754" t="s">
        <v>20</v>
      </c>
      <c r="D1754">
        <v>27</v>
      </c>
      <c r="E1754" t="s">
        <v>14</v>
      </c>
      <c r="F1754" t="s">
        <v>15</v>
      </c>
      <c r="G1754">
        <v>48.7</v>
      </c>
      <c r="H1754">
        <v>1421.75</v>
      </c>
      <c r="I1754" t="s">
        <v>15</v>
      </c>
      <c r="J1754" t="s">
        <v>15</v>
      </c>
      <c r="K1754" t="s">
        <v>29</v>
      </c>
      <c r="L1754">
        <v>1421.75</v>
      </c>
      <c r="M1754" t="s">
        <v>5032</v>
      </c>
      <c r="N1754" t="s">
        <v>5031</v>
      </c>
    </row>
    <row r="1755" spans="1:14" x14ac:dyDescent="0.3">
      <c r="A1755" t="s">
        <v>1779</v>
      </c>
      <c r="B1755" t="s">
        <v>12</v>
      </c>
      <c r="C1755" t="s">
        <v>35</v>
      </c>
      <c r="D1755">
        <v>72</v>
      </c>
      <c r="E1755" t="s">
        <v>26</v>
      </c>
      <c r="F1755" t="s">
        <v>16</v>
      </c>
      <c r="G1755">
        <v>96.6</v>
      </c>
      <c r="H1755">
        <v>6827.5</v>
      </c>
      <c r="I1755" t="s">
        <v>15</v>
      </c>
      <c r="J1755" t="s">
        <v>16</v>
      </c>
      <c r="K1755" t="s">
        <v>24</v>
      </c>
      <c r="L1755">
        <v>6827.5</v>
      </c>
      <c r="M1755" t="s">
        <v>5033</v>
      </c>
      <c r="N1755" t="s">
        <v>5034</v>
      </c>
    </row>
    <row r="1756" spans="1:14" x14ac:dyDescent="0.3">
      <c r="A1756" t="s">
        <v>1780</v>
      </c>
      <c r="B1756" t="s">
        <v>19</v>
      </c>
      <c r="C1756" t="s">
        <v>20</v>
      </c>
      <c r="D1756">
        <v>62</v>
      </c>
      <c r="E1756" t="s">
        <v>14</v>
      </c>
      <c r="F1756" t="s">
        <v>15</v>
      </c>
      <c r="G1756">
        <v>74.3</v>
      </c>
      <c r="H1756">
        <v>4698.05</v>
      </c>
      <c r="I1756" t="s">
        <v>15</v>
      </c>
      <c r="J1756" t="s">
        <v>16</v>
      </c>
      <c r="K1756" t="s">
        <v>29</v>
      </c>
      <c r="L1756">
        <v>4698.05</v>
      </c>
      <c r="M1756" t="s">
        <v>5033</v>
      </c>
      <c r="N1756" t="s">
        <v>5034</v>
      </c>
    </row>
    <row r="1757" spans="1:14" x14ac:dyDescent="0.3">
      <c r="A1757" t="s">
        <v>1781</v>
      </c>
      <c r="B1757" t="s">
        <v>12</v>
      </c>
      <c r="C1757" t="s">
        <v>13</v>
      </c>
      <c r="D1757">
        <v>12</v>
      </c>
      <c r="E1757" t="s">
        <v>14</v>
      </c>
      <c r="F1757" t="s">
        <v>16</v>
      </c>
      <c r="G1757">
        <v>54.3</v>
      </c>
      <c r="H1757">
        <v>654.5</v>
      </c>
      <c r="I1757" t="s">
        <v>15</v>
      </c>
      <c r="J1757" t="s">
        <v>16</v>
      </c>
      <c r="K1757" t="s">
        <v>17</v>
      </c>
      <c r="L1757">
        <v>654.5</v>
      </c>
      <c r="M1757" t="s">
        <v>5030</v>
      </c>
      <c r="N1757" t="s">
        <v>5031</v>
      </c>
    </row>
    <row r="1758" spans="1:14" x14ac:dyDescent="0.3">
      <c r="A1758" t="s">
        <v>1782</v>
      </c>
      <c r="B1758" t="s">
        <v>12</v>
      </c>
      <c r="C1758" t="s">
        <v>20</v>
      </c>
      <c r="D1758">
        <v>44</v>
      </c>
      <c r="E1758" t="s">
        <v>14</v>
      </c>
      <c r="F1758" t="s">
        <v>16</v>
      </c>
      <c r="G1758">
        <v>74.849999999999994</v>
      </c>
      <c r="H1758">
        <v>3268.05</v>
      </c>
      <c r="I1758" t="s">
        <v>15</v>
      </c>
      <c r="J1758" t="s">
        <v>15</v>
      </c>
      <c r="K1758" t="s">
        <v>24</v>
      </c>
      <c r="L1758">
        <v>3268.05</v>
      </c>
      <c r="M1758" t="s">
        <v>5033</v>
      </c>
      <c r="N1758" t="s">
        <v>5034</v>
      </c>
    </row>
    <row r="1759" spans="1:14" x14ac:dyDescent="0.3">
      <c r="A1759" t="s">
        <v>1783</v>
      </c>
      <c r="B1759" t="s">
        <v>19</v>
      </c>
      <c r="C1759" t="s">
        <v>35</v>
      </c>
      <c r="D1759">
        <v>54</v>
      </c>
      <c r="E1759" t="s">
        <v>26</v>
      </c>
      <c r="F1759" t="s">
        <v>16</v>
      </c>
      <c r="G1759">
        <v>79.95</v>
      </c>
      <c r="H1759">
        <v>4362.05</v>
      </c>
      <c r="I1759" t="s">
        <v>15</v>
      </c>
      <c r="J1759" t="s">
        <v>16</v>
      </c>
      <c r="K1759" t="s">
        <v>24</v>
      </c>
      <c r="L1759">
        <v>4362.05</v>
      </c>
      <c r="M1759" t="s">
        <v>5033</v>
      </c>
      <c r="N1759" t="s">
        <v>5034</v>
      </c>
    </row>
    <row r="1760" spans="1:14" x14ac:dyDescent="0.3">
      <c r="A1760" t="s">
        <v>1784</v>
      </c>
      <c r="B1760" t="s">
        <v>12</v>
      </c>
      <c r="C1760" t="s">
        <v>35</v>
      </c>
      <c r="D1760">
        <v>68</v>
      </c>
      <c r="E1760" t="s">
        <v>15</v>
      </c>
      <c r="F1760" t="s">
        <v>36</v>
      </c>
      <c r="G1760">
        <v>20.05</v>
      </c>
      <c r="H1760">
        <v>1386.9</v>
      </c>
      <c r="I1760" t="s">
        <v>15</v>
      </c>
      <c r="J1760" t="s">
        <v>15</v>
      </c>
      <c r="K1760" t="s">
        <v>24</v>
      </c>
      <c r="L1760">
        <v>1386.9</v>
      </c>
      <c r="M1760" t="s">
        <v>5033</v>
      </c>
      <c r="N1760" t="s">
        <v>5031</v>
      </c>
    </row>
    <row r="1761" spans="1:14" x14ac:dyDescent="0.3">
      <c r="A1761" t="s">
        <v>1785</v>
      </c>
      <c r="B1761" t="s">
        <v>19</v>
      </c>
      <c r="C1761" t="s">
        <v>13</v>
      </c>
      <c r="D1761">
        <v>20</v>
      </c>
      <c r="E1761" t="s">
        <v>15</v>
      </c>
      <c r="F1761" t="s">
        <v>36</v>
      </c>
      <c r="G1761">
        <v>19.399999999999999</v>
      </c>
      <c r="H1761">
        <v>415.4</v>
      </c>
      <c r="I1761" t="s">
        <v>15</v>
      </c>
      <c r="J1761" t="s">
        <v>15</v>
      </c>
      <c r="K1761" t="s">
        <v>21</v>
      </c>
      <c r="L1761">
        <v>415.4</v>
      </c>
      <c r="M1761" t="s">
        <v>5032</v>
      </c>
      <c r="N1761" t="s">
        <v>5031</v>
      </c>
    </row>
    <row r="1762" spans="1:14" x14ac:dyDescent="0.3">
      <c r="A1762" t="s">
        <v>1786</v>
      </c>
      <c r="B1762" t="s">
        <v>19</v>
      </c>
      <c r="C1762" t="s">
        <v>20</v>
      </c>
      <c r="D1762">
        <v>50</v>
      </c>
      <c r="E1762" t="s">
        <v>14</v>
      </c>
      <c r="F1762" t="s">
        <v>15</v>
      </c>
      <c r="G1762">
        <v>54.9</v>
      </c>
      <c r="H1762">
        <v>2614.1</v>
      </c>
      <c r="I1762" t="s">
        <v>15</v>
      </c>
      <c r="J1762" t="s">
        <v>15</v>
      </c>
      <c r="K1762" t="s">
        <v>24</v>
      </c>
      <c r="L1762">
        <v>2614.1</v>
      </c>
      <c r="M1762" t="s">
        <v>5033</v>
      </c>
      <c r="N1762" t="s">
        <v>5034</v>
      </c>
    </row>
    <row r="1763" spans="1:14" x14ac:dyDescent="0.3">
      <c r="A1763" t="s">
        <v>1787</v>
      </c>
      <c r="B1763" t="s">
        <v>19</v>
      </c>
      <c r="C1763" t="s">
        <v>35</v>
      </c>
      <c r="D1763">
        <v>58</v>
      </c>
      <c r="E1763" t="s">
        <v>15</v>
      </c>
      <c r="F1763" t="s">
        <v>36</v>
      </c>
      <c r="G1763">
        <v>24.45</v>
      </c>
      <c r="H1763">
        <v>1513.6</v>
      </c>
      <c r="I1763" t="s">
        <v>15</v>
      </c>
      <c r="J1763" t="s">
        <v>16</v>
      </c>
      <c r="K1763" t="s">
        <v>29</v>
      </c>
      <c r="L1763">
        <v>1513.6</v>
      </c>
      <c r="M1763" t="s">
        <v>5033</v>
      </c>
      <c r="N1763" t="s">
        <v>5031</v>
      </c>
    </row>
    <row r="1764" spans="1:14" x14ac:dyDescent="0.3">
      <c r="A1764" t="s">
        <v>1788</v>
      </c>
      <c r="B1764" t="s">
        <v>19</v>
      </c>
      <c r="C1764" t="s">
        <v>13</v>
      </c>
      <c r="D1764">
        <v>35</v>
      </c>
      <c r="E1764" t="s">
        <v>26</v>
      </c>
      <c r="F1764" t="s">
        <v>15</v>
      </c>
      <c r="G1764">
        <v>89.65</v>
      </c>
      <c r="H1764">
        <v>3161.6</v>
      </c>
      <c r="I1764" t="s">
        <v>15</v>
      </c>
      <c r="J1764" t="s">
        <v>16</v>
      </c>
      <c r="K1764" t="s">
        <v>24</v>
      </c>
      <c r="L1764">
        <v>3161.6</v>
      </c>
      <c r="M1764" t="s">
        <v>5032</v>
      </c>
      <c r="N1764" t="s">
        <v>5034</v>
      </c>
    </row>
    <row r="1765" spans="1:14" x14ac:dyDescent="0.3">
      <c r="A1765" t="s">
        <v>1789</v>
      </c>
      <c r="B1765" t="s">
        <v>12</v>
      </c>
      <c r="C1765" t="s">
        <v>13</v>
      </c>
      <c r="D1765">
        <v>2</v>
      </c>
      <c r="E1765" t="s">
        <v>14</v>
      </c>
      <c r="F1765" t="s">
        <v>15</v>
      </c>
      <c r="G1765">
        <v>45.4</v>
      </c>
      <c r="H1765">
        <v>80.95</v>
      </c>
      <c r="I1765" t="s">
        <v>15</v>
      </c>
      <c r="J1765" t="s">
        <v>16</v>
      </c>
      <c r="K1765" t="s">
        <v>17</v>
      </c>
      <c r="L1765">
        <v>80.95</v>
      </c>
      <c r="M1765" t="s">
        <v>5030</v>
      </c>
      <c r="N1765" t="s">
        <v>5031</v>
      </c>
    </row>
    <row r="1766" spans="1:14" x14ac:dyDescent="0.3">
      <c r="A1766" t="s">
        <v>1790</v>
      </c>
      <c r="B1766" t="s">
        <v>19</v>
      </c>
      <c r="C1766" t="s">
        <v>35</v>
      </c>
      <c r="D1766">
        <v>63</v>
      </c>
      <c r="E1766" t="s">
        <v>14</v>
      </c>
      <c r="F1766" t="s">
        <v>16</v>
      </c>
      <c r="G1766">
        <v>75.7</v>
      </c>
      <c r="H1766">
        <v>4676.7</v>
      </c>
      <c r="I1766" t="s">
        <v>15</v>
      </c>
      <c r="J1766" t="s">
        <v>15</v>
      </c>
      <c r="K1766" t="s">
        <v>21</v>
      </c>
      <c r="L1766">
        <v>4676.7</v>
      </c>
      <c r="M1766" t="s">
        <v>5033</v>
      </c>
      <c r="N1766" t="s">
        <v>5034</v>
      </c>
    </row>
    <row r="1767" spans="1:14" x14ac:dyDescent="0.3">
      <c r="A1767" t="s">
        <v>1791</v>
      </c>
      <c r="B1767" t="s">
        <v>12</v>
      </c>
      <c r="C1767" t="s">
        <v>20</v>
      </c>
      <c r="D1767">
        <v>58</v>
      </c>
      <c r="E1767" t="s">
        <v>26</v>
      </c>
      <c r="F1767" t="s">
        <v>15</v>
      </c>
      <c r="G1767">
        <v>110.65</v>
      </c>
      <c r="H1767">
        <v>6526.65</v>
      </c>
      <c r="I1767" t="s">
        <v>15</v>
      </c>
      <c r="J1767" t="s">
        <v>16</v>
      </c>
      <c r="K1767" t="s">
        <v>29</v>
      </c>
      <c r="L1767">
        <v>6526.65</v>
      </c>
      <c r="M1767" t="s">
        <v>5033</v>
      </c>
      <c r="N1767" t="s">
        <v>5034</v>
      </c>
    </row>
    <row r="1768" spans="1:14" x14ac:dyDescent="0.3">
      <c r="A1768" t="s">
        <v>1792</v>
      </c>
      <c r="B1768" t="s">
        <v>12</v>
      </c>
      <c r="C1768" t="s">
        <v>20</v>
      </c>
      <c r="D1768">
        <v>27</v>
      </c>
      <c r="E1768" t="s">
        <v>15</v>
      </c>
      <c r="F1768" t="s">
        <v>36</v>
      </c>
      <c r="G1768">
        <v>20.55</v>
      </c>
      <c r="H1768">
        <v>583.29999999999995</v>
      </c>
      <c r="I1768" t="s">
        <v>15</v>
      </c>
      <c r="J1768" t="s">
        <v>16</v>
      </c>
      <c r="K1768" t="s">
        <v>21</v>
      </c>
      <c r="L1768">
        <v>583.29999999999995</v>
      </c>
      <c r="M1768" t="s">
        <v>5032</v>
      </c>
      <c r="N1768" t="s">
        <v>5031</v>
      </c>
    </row>
    <row r="1769" spans="1:14" x14ac:dyDescent="0.3">
      <c r="A1769" t="s">
        <v>1793</v>
      </c>
      <c r="B1769" t="s">
        <v>12</v>
      </c>
      <c r="C1769" t="s">
        <v>35</v>
      </c>
      <c r="D1769">
        <v>71</v>
      </c>
      <c r="E1769" t="s">
        <v>26</v>
      </c>
      <c r="F1769" t="s">
        <v>16</v>
      </c>
      <c r="G1769">
        <v>115.15</v>
      </c>
      <c r="H1769">
        <v>8078.1</v>
      </c>
      <c r="I1769" t="s">
        <v>15</v>
      </c>
      <c r="J1769" t="s">
        <v>16</v>
      </c>
      <c r="K1769" t="s">
        <v>29</v>
      </c>
      <c r="L1769">
        <v>8078.1</v>
      </c>
      <c r="M1769" t="s">
        <v>5033</v>
      </c>
      <c r="N1769" t="s">
        <v>5034</v>
      </c>
    </row>
    <row r="1770" spans="1:14" x14ac:dyDescent="0.3">
      <c r="A1770" t="s">
        <v>1794</v>
      </c>
      <c r="B1770" t="s">
        <v>12</v>
      </c>
      <c r="C1770" t="s">
        <v>20</v>
      </c>
      <c r="D1770">
        <v>63</v>
      </c>
      <c r="E1770" t="s">
        <v>14</v>
      </c>
      <c r="F1770" t="s">
        <v>15</v>
      </c>
      <c r="G1770">
        <v>58.55</v>
      </c>
      <c r="H1770">
        <v>3503.5</v>
      </c>
      <c r="I1770" t="s">
        <v>15</v>
      </c>
      <c r="J1770" t="s">
        <v>15</v>
      </c>
      <c r="K1770" t="s">
        <v>29</v>
      </c>
      <c r="L1770">
        <v>3503.5</v>
      </c>
      <c r="M1770" t="s">
        <v>5033</v>
      </c>
      <c r="N1770" t="s">
        <v>5034</v>
      </c>
    </row>
    <row r="1771" spans="1:14" x14ac:dyDescent="0.3">
      <c r="A1771" t="s">
        <v>1795</v>
      </c>
      <c r="B1771" t="s">
        <v>19</v>
      </c>
      <c r="C1771" t="s">
        <v>13</v>
      </c>
      <c r="D1771">
        <v>71</v>
      </c>
      <c r="E1771" t="s">
        <v>26</v>
      </c>
      <c r="F1771" t="s">
        <v>15</v>
      </c>
      <c r="G1771">
        <v>93.25</v>
      </c>
      <c r="H1771">
        <v>6669.45</v>
      </c>
      <c r="I1771" t="s">
        <v>15</v>
      </c>
      <c r="J1771" t="s">
        <v>16</v>
      </c>
      <c r="K1771" t="s">
        <v>24</v>
      </c>
      <c r="L1771">
        <v>6669.45</v>
      </c>
      <c r="M1771" t="s">
        <v>5033</v>
      </c>
      <c r="N1771" t="s">
        <v>5034</v>
      </c>
    </row>
    <row r="1772" spans="1:14" x14ac:dyDescent="0.3">
      <c r="A1772" t="s">
        <v>1796</v>
      </c>
      <c r="B1772" t="s">
        <v>12</v>
      </c>
      <c r="C1772" t="s">
        <v>13</v>
      </c>
      <c r="D1772">
        <v>41</v>
      </c>
      <c r="E1772" t="s">
        <v>26</v>
      </c>
      <c r="F1772" t="s">
        <v>15</v>
      </c>
      <c r="G1772">
        <v>113.2</v>
      </c>
      <c r="H1772">
        <v>4689.5</v>
      </c>
      <c r="I1772" t="s">
        <v>16</v>
      </c>
      <c r="J1772" t="s">
        <v>16</v>
      </c>
      <c r="K1772" t="s">
        <v>17</v>
      </c>
      <c r="L1772">
        <v>4689.5</v>
      </c>
      <c r="M1772" t="s">
        <v>5033</v>
      </c>
      <c r="N1772" t="s">
        <v>5034</v>
      </c>
    </row>
    <row r="1773" spans="1:14" x14ac:dyDescent="0.3">
      <c r="A1773" t="s">
        <v>1797</v>
      </c>
      <c r="B1773" t="s">
        <v>19</v>
      </c>
      <c r="C1773" t="s">
        <v>13</v>
      </c>
      <c r="D1773">
        <v>13</v>
      </c>
      <c r="E1773" t="s">
        <v>26</v>
      </c>
      <c r="F1773" t="s">
        <v>15</v>
      </c>
      <c r="G1773">
        <v>90.5</v>
      </c>
      <c r="H1773">
        <v>1201.1500000000001</v>
      </c>
      <c r="I1773" t="s">
        <v>16</v>
      </c>
      <c r="J1773" t="s">
        <v>16</v>
      </c>
      <c r="K1773" t="s">
        <v>17</v>
      </c>
      <c r="L1773">
        <v>1201.1500000000001</v>
      </c>
      <c r="M1773" t="s">
        <v>5032</v>
      </c>
      <c r="N1773" t="s">
        <v>5031</v>
      </c>
    </row>
    <row r="1774" spans="1:14" x14ac:dyDescent="0.3">
      <c r="A1774" t="s">
        <v>1798</v>
      </c>
      <c r="B1774" t="s">
        <v>19</v>
      </c>
      <c r="C1774" t="s">
        <v>13</v>
      </c>
      <c r="D1774">
        <v>2</v>
      </c>
      <c r="E1774" t="s">
        <v>26</v>
      </c>
      <c r="F1774" t="s">
        <v>15</v>
      </c>
      <c r="G1774">
        <v>79</v>
      </c>
      <c r="H1774">
        <v>143.65</v>
      </c>
      <c r="I1774" t="s">
        <v>16</v>
      </c>
      <c r="J1774" t="s">
        <v>15</v>
      </c>
      <c r="K1774" t="s">
        <v>17</v>
      </c>
      <c r="L1774">
        <v>143.65</v>
      </c>
      <c r="M1774" t="s">
        <v>5030</v>
      </c>
      <c r="N1774" t="s">
        <v>5031</v>
      </c>
    </row>
    <row r="1775" spans="1:14" x14ac:dyDescent="0.3">
      <c r="A1775" t="s">
        <v>1799</v>
      </c>
      <c r="B1775" t="s">
        <v>12</v>
      </c>
      <c r="C1775" t="s">
        <v>35</v>
      </c>
      <c r="D1775">
        <v>68</v>
      </c>
      <c r="E1775" t="s">
        <v>15</v>
      </c>
      <c r="F1775" t="s">
        <v>36</v>
      </c>
      <c r="G1775">
        <v>19.350000000000001</v>
      </c>
      <c r="H1775">
        <v>1292.6500000000001</v>
      </c>
      <c r="I1775" t="s">
        <v>15</v>
      </c>
      <c r="J1775" t="s">
        <v>16</v>
      </c>
      <c r="K1775" t="s">
        <v>24</v>
      </c>
      <c r="L1775">
        <v>1292.6500000000001</v>
      </c>
      <c r="M1775" t="s">
        <v>5033</v>
      </c>
      <c r="N1775" t="s">
        <v>5031</v>
      </c>
    </row>
    <row r="1776" spans="1:14" x14ac:dyDescent="0.3">
      <c r="A1776" t="s">
        <v>1800</v>
      </c>
      <c r="B1776" t="s">
        <v>19</v>
      </c>
      <c r="C1776" t="s">
        <v>13</v>
      </c>
      <c r="D1776">
        <v>1</v>
      </c>
      <c r="E1776" t="s">
        <v>14</v>
      </c>
      <c r="F1776" t="s">
        <v>15</v>
      </c>
      <c r="G1776">
        <v>48.75</v>
      </c>
      <c r="H1776">
        <v>48.75</v>
      </c>
      <c r="I1776" t="s">
        <v>15</v>
      </c>
      <c r="J1776" t="s">
        <v>16</v>
      </c>
      <c r="K1776" t="s">
        <v>21</v>
      </c>
      <c r="L1776">
        <v>48.75</v>
      </c>
      <c r="M1776" t="s">
        <v>5030</v>
      </c>
      <c r="N1776" t="s">
        <v>5031</v>
      </c>
    </row>
    <row r="1777" spans="1:14" x14ac:dyDescent="0.3">
      <c r="A1777" t="s">
        <v>1801</v>
      </c>
      <c r="B1777" t="s">
        <v>19</v>
      </c>
      <c r="C1777" t="s">
        <v>35</v>
      </c>
      <c r="D1777">
        <v>65</v>
      </c>
      <c r="E1777" t="s">
        <v>26</v>
      </c>
      <c r="F1777" t="s">
        <v>16</v>
      </c>
      <c r="G1777">
        <v>109.05</v>
      </c>
      <c r="H1777">
        <v>7108.2</v>
      </c>
      <c r="I1777" t="s">
        <v>15</v>
      </c>
      <c r="J1777" t="s">
        <v>16</v>
      </c>
      <c r="K1777" t="s">
        <v>17</v>
      </c>
      <c r="L1777">
        <v>7108.2</v>
      </c>
      <c r="M1777" t="s">
        <v>5033</v>
      </c>
      <c r="N1777" t="s">
        <v>5034</v>
      </c>
    </row>
    <row r="1778" spans="1:14" x14ac:dyDescent="0.3">
      <c r="A1778" t="s">
        <v>1802</v>
      </c>
      <c r="B1778" t="s">
        <v>19</v>
      </c>
      <c r="C1778" t="s">
        <v>35</v>
      </c>
      <c r="D1778">
        <v>72</v>
      </c>
      <c r="E1778" t="s">
        <v>15</v>
      </c>
      <c r="F1778" t="s">
        <v>36</v>
      </c>
      <c r="G1778">
        <v>25</v>
      </c>
      <c r="H1778">
        <v>1802.55</v>
      </c>
      <c r="I1778" t="s">
        <v>15</v>
      </c>
      <c r="J1778" t="s">
        <v>16</v>
      </c>
      <c r="K1778" t="s">
        <v>24</v>
      </c>
      <c r="L1778">
        <v>1802.55</v>
      </c>
      <c r="M1778" t="s">
        <v>5033</v>
      </c>
      <c r="N1778" t="s">
        <v>5031</v>
      </c>
    </row>
    <row r="1779" spans="1:14" x14ac:dyDescent="0.3">
      <c r="A1779" t="s">
        <v>1803</v>
      </c>
      <c r="B1779" t="s">
        <v>12</v>
      </c>
      <c r="C1779" t="s">
        <v>13</v>
      </c>
      <c r="D1779">
        <v>28</v>
      </c>
      <c r="E1779" t="s">
        <v>14</v>
      </c>
      <c r="F1779" t="s">
        <v>16</v>
      </c>
      <c r="G1779">
        <v>54.9</v>
      </c>
      <c r="H1779">
        <v>1505.15</v>
      </c>
      <c r="I1779" t="s">
        <v>15</v>
      </c>
      <c r="J1779" t="s">
        <v>16</v>
      </c>
      <c r="K1779" t="s">
        <v>29</v>
      </c>
      <c r="L1779">
        <v>1505.15</v>
      </c>
      <c r="M1779" t="s">
        <v>5032</v>
      </c>
      <c r="N1779" t="s">
        <v>5031</v>
      </c>
    </row>
    <row r="1780" spans="1:14" x14ac:dyDescent="0.3">
      <c r="A1780" t="s">
        <v>1804</v>
      </c>
      <c r="B1780" t="s">
        <v>19</v>
      </c>
      <c r="C1780" t="s">
        <v>35</v>
      </c>
      <c r="D1780">
        <v>72</v>
      </c>
      <c r="E1780" t="s">
        <v>15</v>
      </c>
      <c r="F1780" t="s">
        <v>36</v>
      </c>
      <c r="G1780">
        <v>24.75</v>
      </c>
      <c r="H1780">
        <v>1859.1</v>
      </c>
      <c r="I1780" t="s">
        <v>15</v>
      </c>
      <c r="J1780" t="s">
        <v>15</v>
      </c>
      <c r="K1780" t="s">
        <v>29</v>
      </c>
      <c r="L1780">
        <v>1859.1</v>
      </c>
      <c r="M1780" t="s">
        <v>5033</v>
      </c>
      <c r="N1780" t="s">
        <v>5031</v>
      </c>
    </row>
    <row r="1781" spans="1:14" x14ac:dyDescent="0.3">
      <c r="A1781" t="s">
        <v>1805</v>
      </c>
      <c r="B1781" t="s">
        <v>12</v>
      </c>
      <c r="C1781" t="s">
        <v>13</v>
      </c>
      <c r="D1781">
        <v>2</v>
      </c>
      <c r="E1781" t="s">
        <v>26</v>
      </c>
      <c r="F1781" t="s">
        <v>15</v>
      </c>
      <c r="G1781">
        <v>91.15</v>
      </c>
      <c r="H1781">
        <v>168.5</v>
      </c>
      <c r="I1781" t="s">
        <v>15</v>
      </c>
      <c r="J1781" t="s">
        <v>16</v>
      </c>
      <c r="K1781" t="s">
        <v>17</v>
      </c>
      <c r="L1781">
        <v>168.5</v>
      </c>
      <c r="M1781" t="s">
        <v>5030</v>
      </c>
      <c r="N1781" t="s">
        <v>5031</v>
      </c>
    </row>
    <row r="1782" spans="1:14" x14ac:dyDescent="0.3">
      <c r="A1782" t="s">
        <v>1806</v>
      </c>
      <c r="B1782" t="s">
        <v>12</v>
      </c>
      <c r="C1782" t="s">
        <v>20</v>
      </c>
      <c r="D1782">
        <v>18</v>
      </c>
      <c r="E1782" t="s">
        <v>15</v>
      </c>
      <c r="F1782" t="s">
        <v>36</v>
      </c>
      <c r="G1782">
        <v>20.149999999999999</v>
      </c>
      <c r="H1782">
        <v>390.85</v>
      </c>
      <c r="I1782" t="s">
        <v>16</v>
      </c>
      <c r="J1782" t="s">
        <v>15</v>
      </c>
      <c r="K1782" t="s">
        <v>24</v>
      </c>
      <c r="L1782">
        <v>390.85</v>
      </c>
      <c r="M1782" t="s">
        <v>5032</v>
      </c>
      <c r="N1782" t="s">
        <v>5031</v>
      </c>
    </row>
    <row r="1783" spans="1:14" x14ac:dyDescent="0.3">
      <c r="A1783" t="s">
        <v>1807</v>
      </c>
      <c r="B1783" t="s">
        <v>19</v>
      </c>
      <c r="C1783" t="s">
        <v>20</v>
      </c>
      <c r="D1783">
        <v>60</v>
      </c>
      <c r="E1783" t="s">
        <v>26</v>
      </c>
      <c r="F1783" t="s">
        <v>15</v>
      </c>
      <c r="G1783">
        <v>104.35</v>
      </c>
      <c r="H1783">
        <v>6339.45</v>
      </c>
      <c r="I1783" t="s">
        <v>15</v>
      </c>
      <c r="J1783" t="s">
        <v>16</v>
      </c>
      <c r="K1783" t="s">
        <v>17</v>
      </c>
      <c r="L1783">
        <v>6339.45</v>
      </c>
      <c r="M1783" t="s">
        <v>5033</v>
      </c>
      <c r="N1783" t="s">
        <v>5034</v>
      </c>
    </row>
    <row r="1784" spans="1:14" x14ac:dyDescent="0.3">
      <c r="A1784" t="s">
        <v>1808</v>
      </c>
      <c r="B1784" t="s">
        <v>12</v>
      </c>
      <c r="C1784" t="s">
        <v>13</v>
      </c>
      <c r="D1784">
        <v>26</v>
      </c>
      <c r="E1784" t="s">
        <v>14</v>
      </c>
      <c r="F1784" t="s">
        <v>16</v>
      </c>
      <c r="G1784">
        <v>66.05</v>
      </c>
      <c r="H1784">
        <v>1652.4</v>
      </c>
      <c r="I1784" t="s">
        <v>15</v>
      </c>
      <c r="J1784" t="s">
        <v>16</v>
      </c>
      <c r="K1784" t="s">
        <v>17</v>
      </c>
      <c r="L1784">
        <v>1652.4</v>
      </c>
      <c r="M1784" t="s">
        <v>5032</v>
      </c>
      <c r="N1784" t="s">
        <v>5031</v>
      </c>
    </row>
    <row r="1785" spans="1:14" x14ac:dyDescent="0.3">
      <c r="A1785" t="s">
        <v>1809</v>
      </c>
      <c r="B1785" t="s">
        <v>19</v>
      </c>
      <c r="C1785" t="s">
        <v>13</v>
      </c>
      <c r="D1785">
        <v>1</v>
      </c>
      <c r="E1785" t="s">
        <v>26</v>
      </c>
      <c r="F1785" t="s">
        <v>15</v>
      </c>
      <c r="G1785">
        <v>71.650000000000006</v>
      </c>
      <c r="H1785">
        <v>71.650000000000006</v>
      </c>
      <c r="I1785" t="s">
        <v>16</v>
      </c>
      <c r="J1785" t="s">
        <v>16</v>
      </c>
      <c r="K1785" t="s">
        <v>17</v>
      </c>
      <c r="L1785">
        <v>71.650000000000006</v>
      </c>
      <c r="M1785" t="s">
        <v>5030</v>
      </c>
      <c r="N1785" t="s">
        <v>5031</v>
      </c>
    </row>
    <row r="1786" spans="1:14" x14ac:dyDescent="0.3">
      <c r="A1786" t="s">
        <v>1810</v>
      </c>
      <c r="B1786" t="s">
        <v>12</v>
      </c>
      <c r="C1786" t="s">
        <v>13</v>
      </c>
      <c r="D1786">
        <v>4</v>
      </c>
      <c r="E1786" t="s">
        <v>15</v>
      </c>
      <c r="F1786" t="s">
        <v>36</v>
      </c>
      <c r="G1786">
        <v>20.350000000000001</v>
      </c>
      <c r="H1786">
        <v>77.5</v>
      </c>
      <c r="I1786" t="s">
        <v>16</v>
      </c>
      <c r="J1786" t="s">
        <v>15</v>
      </c>
      <c r="K1786" t="s">
        <v>21</v>
      </c>
      <c r="L1786">
        <v>77.5</v>
      </c>
      <c r="M1786" t="s">
        <v>5030</v>
      </c>
      <c r="N1786" t="s">
        <v>5031</v>
      </c>
    </row>
    <row r="1787" spans="1:14" x14ac:dyDescent="0.3">
      <c r="A1787" t="s">
        <v>1811</v>
      </c>
      <c r="B1787" t="s">
        <v>19</v>
      </c>
      <c r="C1787" t="s">
        <v>35</v>
      </c>
      <c r="D1787">
        <v>68</v>
      </c>
      <c r="E1787" t="s">
        <v>14</v>
      </c>
      <c r="F1787" t="s">
        <v>16</v>
      </c>
      <c r="G1787">
        <v>92.2</v>
      </c>
      <c r="H1787">
        <v>6392.85</v>
      </c>
      <c r="I1787" t="s">
        <v>15</v>
      </c>
      <c r="J1787" t="s">
        <v>16</v>
      </c>
      <c r="K1787" t="s">
        <v>29</v>
      </c>
      <c r="L1787">
        <v>6392.85</v>
      </c>
      <c r="M1787" t="s">
        <v>5033</v>
      </c>
      <c r="N1787" t="s">
        <v>5034</v>
      </c>
    </row>
    <row r="1788" spans="1:14" x14ac:dyDescent="0.3">
      <c r="A1788" t="s">
        <v>1812</v>
      </c>
      <c r="B1788" t="s">
        <v>12</v>
      </c>
      <c r="C1788" t="s">
        <v>13</v>
      </c>
      <c r="D1788">
        <v>38</v>
      </c>
      <c r="E1788" t="s">
        <v>26</v>
      </c>
      <c r="F1788" t="s">
        <v>16</v>
      </c>
      <c r="G1788">
        <v>84.25</v>
      </c>
      <c r="H1788">
        <v>3264.5</v>
      </c>
      <c r="I1788" t="s">
        <v>16</v>
      </c>
      <c r="J1788" t="s">
        <v>16</v>
      </c>
      <c r="K1788" t="s">
        <v>29</v>
      </c>
      <c r="L1788">
        <v>3264.5</v>
      </c>
      <c r="M1788" t="s">
        <v>5033</v>
      </c>
      <c r="N1788" t="s">
        <v>5034</v>
      </c>
    </row>
    <row r="1789" spans="1:14" x14ac:dyDescent="0.3">
      <c r="A1789" t="s">
        <v>1813</v>
      </c>
      <c r="B1789" t="s">
        <v>12</v>
      </c>
      <c r="C1789" t="s">
        <v>20</v>
      </c>
      <c r="D1789">
        <v>42</v>
      </c>
      <c r="E1789" t="s">
        <v>26</v>
      </c>
      <c r="F1789" t="s">
        <v>15</v>
      </c>
      <c r="G1789">
        <v>105.2</v>
      </c>
      <c r="H1789">
        <v>4599.1499999999996</v>
      </c>
      <c r="I1789" t="s">
        <v>15</v>
      </c>
      <c r="J1789" t="s">
        <v>16</v>
      </c>
      <c r="K1789" t="s">
        <v>24</v>
      </c>
      <c r="L1789">
        <v>4599.1499999999996</v>
      </c>
      <c r="M1789" t="s">
        <v>5033</v>
      </c>
      <c r="N1789" t="s">
        <v>5034</v>
      </c>
    </row>
    <row r="1790" spans="1:14" x14ac:dyDescent="0.3">
      <c r="A1790" t="s">
        <v>1814</v>
      </c>
      <c r="B1790" t="s">
        <v>12</v>
      </c>
      <c r="C1790" t="s">
        <v>35</v>
      </c>
      <c r="D1790">
        <v>57</v>
      </c>
      <c r="E1790" t="s">
        <v>15</v>
      </c>
      <c r="F1790" t="s">
        <v>36</v>
      </c>
      <c r="G1790">
        <v>19.600000000000001</v>
      </c>
      <c r="H1790">
        <v>1134.25</v>
      </c>
      <c r="I1790" t="s">
        <v>15</v>
      </c>
      <c r="J1790" t="s">
        <v>16</v>
      </c>
      <c r="K1790" t="s">
        <v>24</v>
      </c>
      <c r="L1790">
        <v>1134.25</v>
      </c>
      <c r="M1790" t="s">
        <v>5033</v>
      </c>
      <c r="N1790" t="s">
        <v>5031</v>
      </c>
    </row>
    <row r="1791" spans="1:14" x14ac:dyDescent="0.3">
      <c r="A1791" t="s">
        <v>1815</v>
      </c>
      <c r="B1791" t="s">
        <v>19</v>
      </c>
      <c r="C1791" t="s">
        <v>13</v>
      </c>
      <c r="D1791">
        <v>54</v>
      </c>
      <c r="E1791" t="s">
        <v>14</v>
      </c>
      <c r="F1791" t="s">
        <v>15</v>
      </c>
      <c r="G1791">
        <v>30.4</v>
      </c>
      <c r="H1791">
        <v>1621.35</v>
      </c>
      <c r="I1791" t="s">
        <v>15</v>
      </c>
      <c r="J1791" t="s">
        <v>15</v>
      </c>
      <c r="K1791" t="s">
        <v>17</v>
      </c>
      <c r="L1791">
        <v>1621.35</v>
      </c>
      <c r="M1791" t="s">
        <v>5033</v>
      </c>
      <c r="N1791" t="s">
        <v>5031</v>
      </c>
    </row>
    <row r="1792" spans="1:14" x14ac:dyDescent="0.3">
      <c r="A1792" t="s">
        <v>1816</v>
      </c>
      <c r="B1792" t="s">
        <v>12</v>
      </c>
      <c r="C1792" t="s">
        <v>13</v>
      </c>
      <c r="D1792">
        <v>12</v>
      </c>
      <c r="E1792" t="s">
        <v>26</v>
      </c>
      <c r="F1792" t="s">
        <v>15</v>
      </c>
      <c r="G1792">
        <v>78.099999999999994</v>
      </c>
      <c r="H1792">
        <v>947.3</v>
      </c>
      <c r="I1792" t="s">
        <v>16</v>
      </c>
      <c r="J1792" t="s">
        <v>15</v>
      </c>
      <c r="K1792" t="s">
        <v>24</v>
      </c>
      <c r="L1792">
        <v>947.3</v>
      </c>
      <c r="M1792" t="s">
        <v>5030</v>
      </c>
      <c r="N1792" t="s">
        <v>5031</v>
      </c>
    </row>
    <row r="1793" spans="1:14" x14ac:dyDescent="0.3">
      <c r="A1793" t="s">
        <v>1817</v>
      </c>
      <c r="B1793" t="s">
        <v>12</v>
      </c>
      <c r="C1793" t="s">
        <v>20</v>
      </c>
      <c r="D1793">
        <v>44</v>
      </c>
      <c r="E1793" t="s">
        <v>14</v>
      </c>
      <c r="F1793" t="s">
        <v>15</v>
      </c>
      <c r="G1793">
        <v>61.5</v>
      </c>
      <c r="H1793">
        <v>2722.2</v>
      </c>
      <c r="I1793" t="s">
        <v>15</v>
      </c>
      <c r="J1793" t="s">
        <v>16</v>
      </c>
      <c r="K1793" t="s">
        <v>21</v>
      </c>
      <c r="L1793">
        <v>2722.2</v>
      </c>
      <c r="M1793" t="s">
        <v>5033</v>
      </c>
      <c r="N1793" t="s">
        <v>5034</v>
      </c>
    </row>
    <row r="1794" spans="1:14" x14ac:dyDescent="0.3">
      <c r="A1794" t="s">
        <v>1818</v>
      </c>
      <c r="B1794" t="s">
        <v>19</v>
      </c>
      <c r="C1794" t="s">
        <v>13</v>
      </c>
      <c r="D1794">
        <v>42</v>
      </c>
      <c r="E1794" t="s">
        <v>14</v>
      </c>
      <c r="F1794" t="s">
        <v>15</v>
      </c>
      <c r="G1794">
        <v>69.400000000000006</v>
      </c>
      <c r="H1794">
        <v>3058.3</v>
      </c>
      <c r="I1794" t="s">
        <v>15</v>
      </c>
      <c r="J1794" t="s">
        <v>16</v>
      </c>
      <c r="K1794" t="s">
        <v>24</v>
      </c>
      <c r="L1794">
        <v>3058.3</v>
      </c>
      <c r="M1794" t="s">
        <v>5033</v>
      </c>
      <c r="N1794" t="s">
        <v>5034</v>
      </c>
    </row>
    <row r="1795" spans="1:14" x14ac:dyDescent="0.3">
      <c r="A1795" t="s">
        <v>1819</v>
      </c>
      <c r="B1795" t="s">
        <v>19</v>
      </c>
      <c r="C1795" t="s">
        <v>35</v>
      </c>
      <c r="D1795">
        <v>72</v>
      </c>
      <c r="E1795" t="s">
        <v>15</v>
      </c>
      <c r="F1795" t="s">
        <v>36</v>
      </c>
      <c r="G1795">
        <v>24.75</v>
      </c>
      <c r="H1795">
        <v>1769.6</v>
      </c>
      <c r="I1795" t="s">
        <v>15</v>
      </c>
      <c r="J1795" t="s">
        <v>15</v>
      </c>
      <c r="K1795" t="s">
        <v>24</v>
      </c>
      <c r="L1795">
        <v>1769.6</v>
      </c>
      <c r="M1795" t="s">
        <v>5033</v>
      </c>
      <c r="N1795" t="s">
        <v>5031</v>
      </c>
    </row>
    <row r="1796" spans="1:14" x14ac:dyDescent="0.3">
      <c r="A1796" t="s">
        <v>1820</v>
      </c>
      <c r="B1796" t="s">
        <v>12</v>
      </c>
      <c r="C1796" t="s">
        <v>35</v>
      </c>
      <c r="D1796">
        <v>71</v>
      </c>
      <c r="E1796" t="s">
        <v>14</v>
      </c>
      <c r="F1796" t="s">
        <v>16</v>
      </c>
      <c r="G1796">
        <v>91.05</v>
      </c>
      <c r="H1796">
        <v>6293.75</v>
      </c>
      <c r="I1796" t="s">
        <v>15</v>
      </c>
      <c r="J1796" t="s">
        <v>15</v>
      </c>
      <c r="K1796" t="s">
        <v>21</v>
      </c>
      <c r="L1796">
        <v>6293.75</v>
      </c>
      <c r="M1796" t="s">
        <v>5033</v>
      </c>
      <c r="N1796" t="s">
        <v>5034</v>
      </c>
    </row>
    <row r="1797" spans="1:14" x14ac:dyDescent="0.3">
      <c r="A1797" t="s">
        <v>1821</v>
      </c>
      <c r="B1797" t="s">
        <v>12</v>
      </c>
      <c r="C1797" t="s">
        <v>13</v>
      </c>
      <c r="D1797">
        <v>19</v>
      </c>
      <c r="E1797" t="s">
        <v>26</v>
      </c>
      <c r="F1797" t="s">
        <v>15</v>
      </c>
      <c r="G1797">
        <v>89.65</v>
      </c>
      <c r="H1797">
        <v>1761.05</v>
      </c>
      <c r="I1797" t="s">
        <v>16</v>
      </c>
      <c r="J1797" t="s">
        <v>15</v>
      </c>
      <c r="K1797" t="s">
        <v>21</v>
      </c>
      <c r="L1797">
        <v>1761.05</v>
      </c>
      <c r="M1797" t="s">
        <v>5032</v>
      </c>
      <c r="N1797" t="s">
        <v>5031</v>
      </c>
    </row>
    <row r="1798" spans="1:14" x14ac:dyDescent="0.3">
      <c r="A1798" t="s">
        <v>1822</v>
      </c>
      <c r="B1798" t="s">
        <v>12</v>
      </c>
      <c r="C1798" t="s">
        <v>13</v>
      </c>
      <c r="D1798">
        <v>23</v>
      </c>
      <c r="E1798" t="s">
        <v>14</v>
      </c>
      <c r="F1798" t="s">
        <v>16</v>
      </c>
      <c r="G1798">
        <v>73.650000000000006</v>
      </c>
      <c r="H1798">
        <v>1642.75</v>
      </c>
      <c r="I1798" t="s">
        <v>15</v>
      </c>
      <c r="J1798" t="s">
        <v>16</v>
      </c>
      <c r="K1798" t="s">
        <v>29</v>
      </c>
      <c r="L1798">
        <v>1642.75</v>
      </c>
      <c r="M1798" t="s">
        <v>5032</v>
      </c>
      <c r="N1798" t="s">
        <v>5031</v>
      </c>
    </row>
    <row r="1799" spans="1:14" x14ac:dyDescent="0.3">
      <c r="A1799" t="s">
        <v>1823</v>
      </c>
      <c r="B1799" t="s">
        <v>12</v>
      </c>
      <c r="C1799" t="s">
        <v>35</v>
      </c>
      <c r="D1799">
        <v>30</v>
      </c>
      <c r="E1799" t="s">
        <v>15</v>
      </c>
      <c r="F1799" t="s">
        <v>36</v>
      </c>
      <c r="G1799">
        <v>19.399999999999999</v>
      </c>
      <c r="H1799">
        <v>578.5</v>
      </c>
      <c r="I1799" t="s">
        <v>15</v>
      </c>
      <c r="J1799" t="s">
        <v>15</v>
      </c>
      <c r="K1799" t="s">
        <v>29</v>
      </c>
      <c r="L1799">
        <v>578.5</v>
      </c>
      <c r="M1799" t="s">
        <v>5032</v>
      </c>
      <c r="N1799" t="s">
        <v>5031</v>
      </c>
    </row>
    <row r="1800" spans="1:14" x14ac:dyDescent="0.3">
      <c r="A1800" t="s">
        <v>1824</v>
      </c>
      <c r="B1800" t="s">
        <v>19</v>
      </c>
      <c r="C1800" t="s">
        <v>20</v>
      </c>
      <c r="D1800">
        <v>35</v>
      </c>
      <c r="E1800" t="s">
        <v>15</v>
      </c>
      <c r="F1800" t="s">
        <v>36</v>
      </c>
      <c r="G1800">
        <v>26.2</v>
      </c>
      <c r="H1800">
        <v>954.9</v>
      </c>
      <c r="I1800" t="s">
        <v>15</v>
      </c>
      <c r="J1800" t="s">
        <v>15</v>
      </c>
      <c r="K1800" t="s">
        <v>24</v>
      </c>
      <c r="L1800">
        <v>954.9</v>
      </c>
      <c r="M1800" t="s">
        <v>5032</v>
      </c>
      <c r="N1800" t="s">
        <v>5031</v>
      </c>
    </row>
    <row r="1801" spans="1:14" x14ac:dyDescent="0.3">
      <c r="A1801" t="s">
        <v>1825</v>
      </c>
      <c r="B1801" t="s">
        <v>12</v>
      </c>
      <c r="C1801" t="s">
        <v>13</v>
      </c>
      <c r="D1801">
        <v>10</v>
      </c>
      <c r="E1801" t="s">
        <v>26</v>
      </c>
      <c r="F1801" t="s">
        <v>15</v>
      </c>
      <c r="G1801">
        <v>98.7</v>
      </c>
      <c r="H1801">
        <v>973.25</v>
      </c>
      <c r="I1801" t="s">
        <v>16</v>
      </c>
      <c r="J1801" t="s">
        <v>16</v>
      </c>
      <c r="K1801" t="s">
        <v>17</v>
      </c>
      <c r="L1801">
        <v>973.25</v>
      </c>
      <c r="M1801" t="s">
        <v>5030</v>
      </c>
      <c r="N1801" t="s">
        <v>5031</v>
      </c>
    </row>
    <row r="1802" spans="1:14" x14ac:dyDescent="0.3">
      <c r="A1802" t="s">
        <v>1826</v>
      </c>
      <c r="B1802" t="s">
        <v>19</v>
      </c>
      <c r="C1802" t="s">
        <v>13</v>
      </c>
      <c r="D1802">
        <v>1</v>
      </c>
      <c r="E1802" t="s">
        <v>14</v>
      </c>
      <c r="F1802" t="s">
        <v>15</v>
      </c>
      <c r="G1802">
        <v>43.85</v>
      </c>
      <c r="H1802">
        <v>43.85</v>
      </c>
      <c r="I1802" t="s">
        <v>15</v>
      </c>
      <c r="J1802" t="s">
        <v>16</v>
      </c>
      <c r="K1802" t="s">
        <v>24</v>
      </c>
      <c r="L1802">
        <v>43.85</v>
      </c>
      <c r="M1802" t="s">
        <v>5030</v>
      </c>
      <c r="N1802" t="s">
        <v>5031</v>
      </c>
    </row>
    <row r="1803" spans="1:14" x14ac:dyDescent="0.3">
      <c r="A1803" t="s">
        <v>1827</v>
      </c>
      <c r="B1803" t="s">
        <v>19</v>
      </c>
      <c r="C1803" t="s">
        <v>13</v>
      </c>
      <c r="D1803">
        <v>22</v>
      </c>
      <c r="E1803" t="s">
        <v>26</v>
      </c>
      <c r="F1803" t="s">
        <v>15</v>
      </c>
      <c r="G1803">
        <v>69.7</v>
      </c>
      <c r="H1803">
        <v>1490.4</v>
      </c>
      <c r="I1803" t="s">
        <v>15</v>
      </c>
      <c r="J1803" t="s">
        <v>16</v>
      </c>
      <c r="K1803" t="s">
        <v>21</v>
      </c>
      <c r="L1803">
        <v>1490.4</v>
      </c>
      <c r="M1803" t="s">
        <v>5032</v>
      </c>
      <c r="N1803" t="s">
        <v>5031</v>
      </c>
    </row>
    <row r="1804" spans="1:14" x14ac:dyDescent="0.3">
      <c r="A1804" t="s">
        <v>1828</v>
      </c>
      <c r="B1804" t="s">
        <v>19</v>
      </c>
      <c r="C1804" t="s">
        <v>35</v>
      </c>
      <c r="D1804">
        <v>7</v>
      </c>
      <c r="E1804" t="s">
        <v>14</v>
      </c>
      <c r="F1804" t="s">
        <v>15</v>
      </c>
      <c r="G1804">
        <v>38.549999999999997</v>
      </c>
      <c r="H1804">
        <v>280</v>
      </c>
      <c r="I1804" t="s">
        <v>15</v>
      </c>
      <c r="J1804" t="s">
        <v>15</v>
      </c>
      <c r="K1804" t="s">
        <v>21</v>
      </c>
      <c r="L1804">
        <v>280</v>
      </c>
      <c r="M1804" t="s">
        <v>5030</v>
      </c>
      <c r="N1804" t="s">
        <v>5031</v>
      </c>
    </row>
    <row r="1805" spans="1:14" x14ac:dyDescent="0.3">
      <c r="A1805" t="s">
        <v>1829</v>
      </c>
      <c r="B1805" t="s">
        <v>12</v>
      </c>
      <c r="C1805" t="s">
        <v>35</v>
      </c>
      <c r="D1805">
        <v>36</v>
      </c>
      <c r="E1805" t="s">
        <v>14</v>
      </c>
      <c r="F1805" t="s">
        <v>16</v>
      </c>
      <c r="G1805">
        <v>53.1</v>
      </c>
      <c r="H1805">
        <v>1901.25</v>
      </c>
      <c r="I1805" t="s">
        <v>15</v>
      </c>
      <c r="J1805" t="s">
        <v>16</v>
      </c>
      <c r="K1805" t="s">
        <v>21</v>
      </c>
      <c r="L1805">
        <v>1901.25</v>
      </c>
      <c r="M1805" t="s">
        <v>5032</v>
      </c>
      <c r="N1805" t="s">
        <v>5031</v>
      </c>
    </row>
    <row r="1806" spans="1:14" x14ac:dyDescent="0.3">
      <c r="A1806" t="s">
        <v>1830</v>
      </c>
      <c r="B1806" t="s">
        <v>12</v>
      </c>
      <c r="C1806" t="s">
        <v>13</v>
      </c>
      <c r="D1806">
        <v>34</v>
      </c>
      <c r="E1806" t="s">
        <v>15</v>
      </c>
      <c r="F1806" t="s">
        <v>36</v>
      </c>
      <c r="G1806">
        <v>20.65</v>
      </c>
      <c r="H1806">
        <v>716.4</v>
      </c>
      <c r="I1806" t="s">
        <v>15</v>
      </c>
      <c r="J1806" t="s">
        <v>15</v>
      </c>
      <c r="K1806" t="s">
        <v>21</v>
      </c>
      <c r="L1806">
        <v>716.4</v>
      </c>
      <c r="M1806" t="s">
        <v>5032</v>
      </c>
      <c r="N1806" t="s">
        <v>5031</v>
      </c>
    </row>
    <row r="1807" spans="1:14" x14ac:dyDescent="0.3">
      <c r="A1807" t="s">
        <v>1831</v>
      </c>
      <c r="B1807" t="s">
        <v>19</v>
      </c>
      <c r="C1807" t="s">
        <v>35</v>
      </c>
      <c r="D1807">
        <v>72</v>
      </c>
      <c r="E1807" t="s">
        <v>14</v>
      </c>
      <c r="F1807" t="s">
        <v>15</v>
      </c>
      <c r="G1807">
        <v>64.45</v>
      </c>
      <c r="H1807">
        <v>4720</v>
      </c>
      <c r="I1807" t="s">
        <v>15</v>
      </c>
      <c r="J1807" t="s">
        <v>15</v>
      </c>
      <c r="K1807" t="s">
        <v>29</v>
      </c>
      <c r="L1807">
        <v>4720</v>
      </c>
      <c r="M1807" t="s">
        <v>5033</v>
      </c>
      <c r="N1807" t="s">
        <v>5034</v>
      </c>
    </row>
    <row r="1808" spans="1:14" x14ac:dyDescent="0.3">
      <c r="A1808" t="s">
        <v>1832</v>
      </c>
      <c r="B1808" t="s">
        <v>19</v>
      </c>
      <c r="C1808" t="s">
        <v>35</v>
      </c>
      <c r="D1808">
        <v>36</v>
      </c>
      <c r="E1808" t="s">
        <v>15</v>
      </c>
      <c r="F1808" t="s">
        <v>36</v>
      </c>
      <c r="G1808">
        <v>25.1</v>
      </c>
      <c r="H1808">
        <v>930.95</v>
      </c>
      <c r="I1808" t="s">
        <v>15</v>
      </c>
      <c r="J1808" t="s">
        <v>15</v>
      </c>
      <c r="K1808" t="s">
        <v>29</v>
      </c>
      <c r="L1808">
        <v>930.95</v>
      </c>
      <c r="M1808" t="s">
        <v>5032</v>
      </c>
      <c r="N1808" t="s">
        <v>5031</v>
      </c>
    </row>
    <row r="1809" spans="1:14" x14ac:dyDescent="0.3">
      <c r="A1809" t="s">
        <v>1833</v>
      </c>
      <c r="B1809" t="s">
        <v>12</v>
      </c>
      <c r="C1809" t="s">
        <v>13</v>
      </c>
      <c r="D1809">
        <v>1</v>
      </c>
      <c r="E1809" t="s">
        <v>26</v>
      </c>
      <c r="F1809" t="s">
        <v>15</v>
      </c>
      <c r="G1809">
        <v>76.349999999999994</v>
      </c>
      <c r="H1809">
        <v>76.349999999999994</v>
      </c>
      <c r="I1809" t="s">
        <v>16</v>
      </c>
      <c r="J1809" t="s">
        <v>15</v>
      </c>
      <c r="K1809" t="s">
        <v>17</v>
      </c>
      <c r="L1809">
        <v>76.349999999999994</v>
      </c>
      <c r="M1809" t="s">
        <v>5030</v>
      </c>
      <c r="N1809" t="s">
        <v>5031</v>
      </c>
    </row>
    <row r="1810" spans="1:14" x14ac:dyDescent="0.3">
      <c r="A1810" t="s">
        <v>1834</v>
      </c>
      <c r="B1810" t="s">
        <v>12</v>
      </c>
      <c r="C1810" t="s">
        <v>13</v>
      </c>
      <c r="D1810">
        <v>23</v>
      </c>
      <c r="E1810" t="s">
        <v>26</v>
      </c>
      <c r="F1810" t="s">
        <v>15</v>
      </c>
      <c r="G1810">
        <v>79.150000000000006</v>
      </c>
      <c r="H1810">
        <v>1676.95</v>
      </c>
      <c r="I1810" t="s">
        <v>16</v>
      </c>
      <c r="J1810" t="s">
        <v>16</v>
      </c>
      <c r="K1810" t="s">
        <v>17</v>
      </c>
      <c r="L1810">
        <v>1676.95</v>
      </c>
      <c r="M1810" t="s">
        <v>5032</v>
      </c>
      <c r="N1810" t="s">
        <v>5031</v>
      </c>
    </row>
    <row r="1811" spans="1:14" x14ac:dyDescent="0.3">
      <c r="A1811" t="s">
        <v>1835</v>
      </c>
      <c r="B1811" t="s">
        <v>19</v>
      </c>
      <c r="C1811" t="s">
        <v>13</v>
      </c>
      <c r="D1811">
        <v>32</v>
      </c>
      <c r="E1811" t="s">
        <v>26</v>
      </c>
      <c r="F1811" t="s">
        <v>15</v>
      </c>
      <c r="G1811">
        <v>85</v>
      </c>
      <c r="H1811">
        <v>2642.05</v>
      </c>
      <c r="I1811" t="s">
        <v>16</v>
      </c>
      <c r="J1811" t="s">
        <v>16</v>
      </c>
      <c r="K1811" t="s">
        <v>17</v>
      </c>
      <c r="L1811">
        <v>2642.05</v>
      </c>
      <c r="M1811" t="s">
        <v>5032</v>
      </c>
      <c r="N1811" t="s">
        <v>5034</v>
      </c>
    </row>
    <row r="1812" spans="1:14" x14ac:dyDescent="0.3">
      <c r="A1812" t="s">
        <v>1836</v>
      </c>
      <c r="B1812" t="s">
        <v>12</v>
      </c>
      <c r="C1812" t="s">
        <v>20</v>
      </c>
      <c r="D1812">
        <v>71</v>
      </c>
      <c r="E1812" t="s">
        <v>26</v>
      </c>
      <c r="F1812" t="s">
        <v>16</v>
      </c>
      <c r="G1812">
        <v>95.15</v>
      </c>
      <c r="H1812">
        <v>6770.85</v>
      </c>
      <c r="I1812" t="s">
        <v>15</v>
      </c>
      <c r="J1812" t="s">
        <v>16</v>
      </c>
      <c r="K1812" t="s">
        <v>29</v>
      </c>
      <c r="L1812">
        <v>6770.85</v>
      </c>
      <c r="M1812" t="s">
        <v>5033</v>
      </c>
      <c r="N1812" t="s">
        <v>5034</v>
      </c>
    </row>
    <row r="1813" spans="1:14" x14ac:dyDescent="0.3">
      <c r="A1813" t="s">
        <v>1837</v>
      </c>
      <c r="B1813" t="s">
        <v>12</v>
      </c>
      <c r="C1813" t="s">
        <v>13</v>
      </c>
      <c r="D1813">
        <v>23</v>
      </c>
      <c r="E1813" t="s">
        <v>26</v>
      </c>
      <c r="F1813" t="s">
        <v>15</v>
      </c>
      <c r="G1813">
        <v>79.349999999999994</v>
      </c>
      <c r="H1813">
        <v>1835.3</v>
      </c>
      <c r="I1813" t="s">
        <v>15</v>
      </c>
      <c r="J1813" t="s">
        <v>16</v>
      </c>
      <c r="K1813" t="s">
        <v>21</v>
      </c>
      <c r="L1813">
        <v>1835.3</v>
      </c>
      <c r="M1813" t="s">
        <v>5032</v>
      </c>
      <c r="N1813" t="s">
        <v>5031</v>
      </c>
    </row>
    <row r="1814" spans="1:14" x14ac:dyDescent="0.3">
      <c r="A1814" t="s">
        <v>1838</v>
      </c>
      <c r="B1814" t="s">
        <v>19</v>
      </c>
      <c r="C1814" t="s">
        <v>20</v>
      </c>
      <c r="D1814">
        <v>17</v>
      </c>
      <c r="E1814" t="s">
        <v>26</v>
      </c>
      <c r="F1814" t="s">
        <v>15</v>
      </c>
      <c r="G1814">
        <v>96.65</v>
      </c>
      <c r="H1814">
        <v>1588.25</v>
      </c>
      <c r="I1814" t="s">
        <v>15</v>
      </c>
      <c r="J1814" t="s">
        <v>16</v>
      </c>
      <c r="K1814" t="s">
        <v>24</v>
      </c>
      <c r="L1814">
        <v>1588.25</v>
      </c>
      <c r="M1814" t="s">
        <v>5032</v>
      </c>
      <c r="N1814" t="s">
        <v>5031</v>
      </c>
    </row>
    <row r="1815" spans="1:14" x14ac:dyDescent="0.3">
      <c r="A1815" t="s">
        <v>1839</v>
      </c>
      <c r="B1815" t="s">
        <v>19</v>
      </c>
      <c r="C1815" t="s">
        <v>13</v>
      </c>
      <c r="D1815">
        <v>1</v>
      </c>
      <c r="E1815" t="s">
        <v>14</v>
      </c>
      <c r="F1815" t="s">
        <v>16</v>
      </c>
      <c r="G1815">
        <v>75.5</v>
      </c>
      <c r="H1815">
        <v>75.5</v>
      </c>
      <c r="I1815" t="s">
        <v>15</v>
      </c>
      <c r="J1815" t="s">
        <v>16</v>
      </c>
      <c r="K1815" t="s">
        <v>17</v>
      </c>
      <c r="L1815">
        <v>75.5</v>
      </c>
      <c r="M1815" t="s">
        <v>5030</v>
      </c>
      <c r="N1815" t="s">
        <v>5031</v>
      </c>
    </row>
    <row r="1816" spans="1:14" x14ac:dyDescent="0.3">
      <c r="A1816" t="s">
        <v>1840</v>
      </c>
      <c r="B1816" t="s">
        <v>19</v>
      </c>
      <c r="C1816" t="s">
        <v>35</v>
      </c>
      <c r="D1816">
        <v>12</v>
      </c>
      <c r="E1816" t="s">
        <v>15</v>
      </c>
      <c r="F1816" t="s">
        <v>36</v>
      </c>
      <c r="G1816">
        <v>19.7</v>
      </c>
      <c r="H1816">
        <v>258.35000000000002</v>
      </c>
      <c r="I1816" t="s">
        <v>15</v>
      </c>
      <c r="J1816" t="s">
        <v>15</v>
      </c>
      <c r="K1816" t="s">
        <v>21</v>
      </c>
      <c r="L1816">
        <v>258.35000000000002</v>
      </c>
      <c r="M1816" t="s">
        <v>5030</v>
      </c>
      <c r="N1816" t="s">
        <v>5031</v>
      </c>
    </row>
    <row r="1817" spans="1:14" x14ac:dyDescent="0.3">
      <c r="A1817" t="s">
        <v>1841</v>
      </c>
      <c r="B1817" t="s">
        <v>12</v>
      </c>
      <c r="C1817" t="s">
        <v>35</v>
      </c>
      <c r="D1817">
        <v>72</v>
      </c>
      <c r="E1817" t="s">
        <v>15</v>
      </c>
      <c r="F1817" t="s">
        <v>36</v>
      </c>
      <c r="G1817">
        <v>20.5</v>
      </c>
      <c r="H1817">
        <v>1502.25</v>
      </c>
      <c r="I1817" t="s">
        <v>15</v>
      </c>
      <c r="J1817" t="s">
        <v>15</v>
      </c>
      <c r="K1817" t="s">
        <v>29</v>
      </c>
      <c r="L1817">
        <v>1502.25</v>
      </c>
      <c r="M1817" t="s">
        <v>5033</v>
      </c>
      <c r="N1817" t="s">
        <v>5031</v>
      </c>
    </row>
    <row r="1818" spans="1:14" x14ac:dyDescent="0.3">
      <c r="A1818" t="s">
        <v>1842</v>
      </c>
      <c r="B1818" t="s">
        <v>19</v>
      </c>
      <c r="C1818" t="s">
        <v>13</v>
      </c>
      <c r="D1818">
        <v>1</v>
      </c>
      <c r="E1818" t="s">
        <v>15</v>
      </c>
      <c r="F1818" t="s">
        <v>36</v>
      </c>
      <c r="G1818">
        <v>19.2</v>
      </c>
      <c r="H1818">
        <v>19.2</v>
      </c>
      <c r="I1818" t="s">
        <v>15</v>
      </c>
      <c r="J1818" t="s">
        <v>15</v>
      </c>
      <c r="K1818" t="s">
        <v>21</v>
      </c>
      <c r="L1818">
        <v>19.2</v>
      </c>
      <c r="M1818" t="s">
        <v>5030</v>
      </c>
      <c r="N1818" t="s">
        <v>5031</v>
      </c>
    </row>
    <row r="1819" spans="1:14" x14ac:dyDescent="0.3">
      <c r="A1819" t="s">
        <v>1843</v>
      </c>
      <c r="B1819" t="s">
        <v>19</v>
      </c>
      <c r="C1819" t="s">
        <v>35</v>
      </c>
      <c r="D1819">
        <v>72</v>
      </c>
      <c r="E1819" t="s">
        <v>26</v>
      </c>
      <c r="F1819" t="s">
        <v>15</v>
      </c>
      <c r="G1819">
        <v>98.35</v>
      </c>
      <c r="H1819">
        <v>6929.4</v>
      </c>
      <c r="I1819" t="s">
        <v>15</v>
      </c>
      <c r="J1819" t="s">
        <v>15</v>
      </c>
      <c r="K1819" t="s">
        <v>24</v>
      </c>
      <c r="L1819">
        <v>6929.4</v>
      </c>
      <c r="M1819" t="s">
        <v>5033</v>
      </c>
      <c r="N1819" t="s">
        <v>5034</v>
      </c>
    </row>
    <row r="1820" spans="1:14" x14ac:dyDescent="0.3">
      <c r="A1820" t="s">
        <v>1844</v>
      </c>
      <c r="B1820" t="s">
        <v>19</v>
      </c>
      <c r="C1820" t="s">
        <v>13</v>
      </c>
      <c r="D1820">
        <v>60</v>
      </c>
      <c r="E1820" t="s">
        <v>26</v>
      </c>
      <c r="F1820" t="s">
        <v>15</v>
      </c>
      <c r="G1820">
        <v>74.349999999999994</v>
      </c>
      <c r="H1820">
        <v>4453.3</v>
      </c>
      <c r="I1820" t="s">
        <v>15</v>
      </c>
      <c r="J1820" t="s">
        <v>15</v>
      </c>
      <c r="K1820" t="s">
        <v>24</v>
      </c>
      <c r="L1820">
        <v>4453.3</v>
      </c>
      <c r="M1820" t="s">
        <v>5033</v>
      </c>
      <c r="N1820" t="s">
        <v>5034</v>
      </c>
    </row>
    <row r="1821" spans="1:14" x14ac:dyDescent="0.3">
      <c r="A1821" t="s">
        <v>1845</v>
      </c>
      <c r="B1821" t="s">
        <v>12</v>
      </c>
      <c r="C1821" t="s">
        <v>35</v>
      </c>
      <c r="D1821">
        <v>61</v>
      </c>
      <c r="E1821" t="s">
        <v>14</v>
      </c>
      <c r="F1821" t="s">
        <v>16</v>
      </c>
      <c r="G1821">
        <v>51.35</v>
      </c>
      <c r="H1821">
        <v>3244.4</v>
      </c>
      <c r="I1821" t="s">
        <v>15</v>
      </c>
      <c r="J1821" t="s">
        <v>15</v>
      </c>
      <c r="K1821" t="s">
        <v>29</v>
      </c>
      <c r="L1821">
        <v>3244.4</v>
      </c>
      <c r="M1821" t="s">
        <v>5033</v>
      </c>
      <c r="N1821" t="s">
        <v>5034</v>
      </c>
    </row>
    <row r="1822" spans="1:14" x14ac:dyDescent="0.3">
      <c r="A1822" t="s">
        <v>1846</v>
      </c>
      <c r="B1822" t="s">
        <v>12</v>
      </c>
      <c r="C1822" t="s">
        <v>13</v>
      </c>
      <c r="D1822">
        <v>6</v>
      </c>
      <c r="E1822" t="s">
        <v>14</v>
      </c>
      <c r="F1822" t="s">
        <v>15</v>
      </c>
      <c r="G1822">
        <v>45.65</v>
      </c>
      <c r="H1822">
        <v>323.45</v>
      </c>
      <c r="I1822" t="s">
        <v>15</v>
      </c>
      <c r="J1822" t="s">
        <v>15</v>
      </c>
      <c r="K1822" t="s">
        <v>21</v>
      </c>
      <c r="L1822">
        <v>323.45</v>
      </c>
      <c r="M1822" t="s">
        <v>5030</v>
      </c>
      <c r="N1822" t="s">
        <v>5031</v>
      </c>
    </row>
    <row r="1823" spans="1:14" x14ac:dyDescent="0.3">
      <c r="A1823" t="s">
        <v>1847</v>
      </c>
      <c r="B1823" t="s">
        <v>19</v>
      </c>
      <c r="C1823" t="s">
        <v>13</v>
      </c>
      <c r="D1823">
        <v>32</v>
      </c>
      <c r="E1823" t="s">
        <v>26</v>
      </c>
      <c r="F1823" t="s">
        <v>15</v>
      </c>
      <c r="G1823">
        <v>85.3</v>
      </c>
      <c r="H1823">
        <v>2661.1</v>
      </c>
      <c r="I1823" t="s">
        <v>16</v>
      </c>
      <c r="J1823" t="s">
        <v>15</v>
      </c>
      <c r="K1823" t="s">
        <v>17</v>
      </c>
      <c r="L1823">
        <v>2661.1</v>
      </c>
      <c r="M1823" t="s">
        <v>5032</v>
      </c>
      <c r="N1823" t="s">
        <v>5034</v>
      </c>
    </row>
    <row r="1824" spans="1:14" x14ac:dyDescent="0.3">
      <c r="A1824" t="s">
        <v>1848</v>
      </c>
      <c r="B1824" t="s">
        <v>12</v>
      </c>
      <c r="C1824" t="s">
        <v>13</v>
      </c>
      <c r="D1824">
        <v>31</v>
      </c>
      <c r="E1824" t="s">
        <v>26</v>
      </c>
      <c r="F1824" t="s">
        <v>15</v>
      </c>
      <c r="G1824">
        <v>86.55</v>
      </c>
      <c r="H1824">
        <v>2697.4</v>
      </c>
      <c r="I1824" t="s">
        <v>16</v>
      </c>
      <c r="J1824" t="s">
        <v>16</v>
      </c>
      <c r="K1824" t="s">
        <v>29</v>
      </c>
      <c r="L1824">
        <v>2697.4</v>
      </c>
      <c r="M1824" t="s">
        <v>5032</v>
      </c>
      <c r="N1824" t="s">
        <v>5034</v>
      </c>
    </row>
    <row r="1825" spans="1:14" x14ac:dyDescent="0.3">
      <c r="A1825" t="s">
        <v>1849</v>
      </c>
      <c r="B1825" t="s">
        <v>19</v>
      </c>
      <c r="C1825" t="s">
        <v>13</v>
      </c>
      <c r="D1825">
        <v>19</v>
      </c>
      <c r="E1825" t="s">
        <v>26</v>
      </c>
      <c r="F1825" t="s">
        <v>15</v>
      </c>
      <c r="G1825">
        <v>73.849999999999994</v>
      </c>
      <c r="H1825">
        <v>1424.5</v>
      </c>
      <c r="I1825" t="s">
        <v>16</v>
      </c>
      <c r="J1825" t="s">
        <v>16</v>
      </c>
      <c r="K1825" t="s">
        <v>29</v>
      </c>
      <c r="L1825">
        <v>1424.5</v>
      </c>
      <c r="M1825" t="s">
        <v>5032</v>
      </c>
      <c r="N1825" t="s">
        <v>5031</v>
      </c>
    </row>
    <row r="1826" spans="1:14" x14ac:dyDescent="0.3">
      <c r="A1826" t="s">
        <v>1850</v>
      </c>
      <c r="B1826" t="s">
        <v>19</v>
      </c>
      <c r="C1826" t="s">
        <v>35</v>
      </c>
      <c r="D1826">
        <v>72</v>
      </c>
      <c r="E1826" t="s">
        <v>15</v>
      </c>
      <c r="F1826" t="s">
        <v>36</v>
      </c>
      <c r="G1826">
        <v>20.3</v>
      </c>
      <c r="H1826">
        <v>1401.15</v>
      </c>
      <c r="I1826" t="s">
        <v>15</v>
      </c>
      <c r="J1826" t="s">
        <v>15</v>
      </c>
      <c r="K1826" t="s">
        <v>24</v>
      </c>
      <c r="L1826">
        <v>1401.15</v>
      </c>
      <c r="M1826" t="s">
        <v>5033</v>
      </c>
      <c r="N1826" t="s">
        <v>5031</v>
      </c>
    </row>
    <row r="1827" spans="1:14" x14ac:dyDescent="0.3">
      <c r="A1827" t="s">
        <v>1851</v>
      </c>
      <c r="B1827" t="s">
        <v>12</v>
      </c>
      <c r="C1827" t="s">
        <v>13</v>
      </c>
      <c r="D1827">
        <v>32</v>
      </c>
      <c r="E1827" t="s">
        <v>14</v>
      </c>
      <c r="F1827" t="s">
        <v>15</v>
      </c>
      <c r="G1827">
        <v>54.2</v>
      </c>
      <c r="H1827">
        <v>1739.6</v>
      </c>
      <c r="I1827" t="s">
        <v>15</v>
      </c>
      <c r="J1827" t="s">
        <v>16</v>
      </c>
      <c r="K1827" t="s">
        <v>17</v>
      </c>
      <c r="L1827">
        <v>1739.6</v>
      </c>
      <c r="M1827" t="s">
        <v>5032</v>
      </c>
      <c r="N1827" t="s">
        <v>5031</v>
      </c>
    </row>
    <row r="1828" spans="1:14" x14ac:dyDescent="0.3">
      <c r="A1828" t="s">
        <v>1852</v>
      </c>
      <c r="B1828" t="s">
        <v>19</v>
      </c>
      <c r="C1828" t="s">
        <v>13</v>
      </c>
      <c r="D1828">
        <v>65</v>
      </c>
      <c r="E1828" t="s">
        <v>26</v>
      </c>
      <c r="F1828" t="s">
        <v>15</v>
      </c>
      <c r="G1828">
        <v>90.65</v>
      </c>
      <c r="H1828">
        <v>5931</v>
      </c>
      <c r="I1828" t="s">
        <v>15</v>
      </c>
      <c r="J1828" t="s">
        <v>16</v>
      </c>
      <c r="K1828" t="s">
        <v>17</v>
      </c>
      <c r="L1828">
        <v>5931</v>
      </c>
      <c r="M1828" t="s">
        <v>5033</v>
      </c>
      <c r="N1828" t="s">
        <v>5034</v>
      </c>
    </row>
    <row r="1829" spans="1:14" x14ac:dyDescent="0.3">
      <c r="A1829" t="s">
        <v>1853</v>
      </c>
      <c r="B1829" t="s">
        <v>12</v>
      </c>
      <c r="C1829" t="s">
        <v>13</v>
      </c>
      <c r="D1829">
        <v>45</v>
      </c>
      <c r="E1829" t="s">
        <v>14</v>
      </c>
      <c r="F1829" t="s">
        <v>15</v>
      </c>
      <c r="G1829">
        <v>50.9</v>
      </c>
      <c r="H1829">
        <v>2333.85</v>
      </c>
      <c r="I1829" t="s">
        <v>15</v>
      </c>
      <c r="J1829" t="s">
        <v>16</v>
      </c>
      <c r="K1829" t="s">
        <v>24</v>
      </c>
      <c r="L1829">
        <v>2333.85</v>
      </c>
      <c r="M1829" t="s">
        <v>5033</v>
      </c>
      <c r="N1829" t="s">
        <v>5031</v>
      </c>
    </row>
    <row r="1830" spans="1:14" x14ac:dyDescent="0.3">
      <c r="A1830" t="s">
        <v>1854</v>
      </c>
      <c r="B1830" t="s">
        <v>19</v>
      </c>
      <c r="C1830" t="s">
        <v>20</v>
      </c>
      <c r="D1830">
        <v>42</v>
      </c>
      <c r="E1830" t="s">
        <v>15</v>
      </c>
      <c r="F1830" t="s">
        <v>36</v>
      </c>
      <c r="G1830">
        <v>25.05</v>
      </c>
      <c r="H1830">
        <v>949.85</v>
      </c>
      <c r="I1830" t="s">
        <v>15</v>
      </c>
      <c r="J1830" t="s">
        <v>15</v>
      </c>
      <c r="K1830" t="s">
        <v>17</v>
      </c>
      <c r="L1830">
        <v>949.85</v>
      </c>
      <c r="M1830" t="s">
        <v>5033</v>
      </c>
      <c r="N1830" t="s">
        <v>5031</v>
      </c>
    </row>
    <row r="1831" spans="1:14" x14ac:dyDescent="0.3">
      <c r="A1831" t="s">
        <v>1855</v>
      </c>
      <c r="B1831" t="s">
        <v>19</v>
      </c>
      <c r="C1831" t="s">
        <v>13</v>
      </c>
      <c r="D1831">
        <v>8</v>
      </c>
      <c r="E1831" t="s">
        <v>26</v>
      </c>
      <c r="F1831" t="s">
        <v>15</v>
      </c>
      <c r="G1831">
        <v>74.849999999999994</v>
      </c>
      <c r="H1831">
        <v>572.45000000000005</v>
      </c>
      <c r="I1831" t="s">
        <v>15</v>
      </c>
      <c r="J1831" t="s">
        <v>16</v>
      </c>
      <c r="K1831" t="s">
        <v>17</v>
      </c>
      <c r="L1831">
        <v>572.45000000000005</v>
      </c>
      <c r="M1831" t="s">
        <v>5030</v>
      </c>
      <c r="N1831" t="s">
        <v>5031</v>
      </c>
    </row>
    <row r="1832" spans="1:14" x14ac:dyDescent="0.3">
      <c r="A1832" t="s">
        <v>1856</v>
      </c>
      <c r="B1832" t="s">
        <v>19</v>
      </c>
      <c r="C1832" t="s">
        <v>35</v>
      </c>
      <c r="D1832">
        <v>32</v>
      </c>
      <c r="E1832" t="s">
        <v>15</v>
      </c>
      <c r="F1832" t="s">
        <v>36</v>
      </c>
      <c r="G1832">
        <v>20.5</v>
      </c>
      <c r="H1832">
        <v>696.8</v>
      </c>
      <c r="I1832" t="s">
        <v>15</v>
      </c>
      <c r="J1832" t="s">
        <v>15</v>
      </c>
      <c r="K1832" t="s">
        <v>21</v>
      </c>
      <c r="L1832">
        <v>696.8</v>
      </c>
      <c r="M1832" t="s">
        <v>5032</v>
      </c>
      <c r="N1832" t="s">
        <v>5031</v>
      </c>
    </row>
    <row r="1833" spans="1:14" x14ac:dyDescent="0.3">
      <c r="A1833" t="s">
        <v>1857</v>
      </c>
      <c r="B1833" t="s">
        <v>12</v>
      </c>
      <c r="C1833" t="s">
        <v>13</v>
      </c>
      <c r="D1833">
        <v>22</v>
      </c>
      <c r="E1833" t="s">
        <v>14</v>
      </c>
      <c r="F1833" t="s">
        <v>16</v>
      </c>
      <c r="G1833">
        <v>63.55</v>
      </c>
      <c r="H1833">
        <v>1381.8</v>
      </c>
      <c r="I1833" t="s">
        <v>15</v>
      </c>
      <c r="J1833" t="s">
        <v>16</v>
      </c>
      <c r="K1833" t="s">
        <v>21</v>
      </c>
      <c r="L1833">
        <v>1381.8</v>
      </c>
      <c r="M1833" t="s">
        <v>5032</v>
      </c>
      <c r="N1833" t="s">
        <v>5031</v>
      </c>
    </row>
    <row r="1834" spans="1:14" x14ac:dyDescent="0.3">
      <c r="A1834" t="s">
        <v>1858</v>
      </c>
      <c r="B1834" t="s">
        <v>19</v>
      </c>
      <c r="C1834" t="s">
        <v>13</v>
      </c>
      <c r="D1834">
        <v>57</v>
      </c>
      <c r="E1834" t="s">
        <v>14</v>
      </c>
      <c r="F1834" t="s">
        <v>15</v>
      </c>
      <c r="G1834">
        <v>44.85</v>
      </c>
      <c r="H1834">
        <v>2572.9499999999998</v>
      </c>
      <c r="I1834" t="s">
        <v>16</v>
      </c>
      <c r="J1834" t="s">
        <v>16</v>
      </c>
      <c r="K1834" t="s">
        <v>17</v>
      </c>
      <c r="L1834">
        <v>2572.9499999999998</v>
      </c>
      <c r="M1834" t="s">
        <v>5033</v>
      </c>
      <c r="N1834" t="s">
        <v>5034</v>
      </c>
    </row>
    <row r="1835" spans="1:14" x14ac:dyDescent="0.3">
      <c r="A1835" t="s">
        <v>1859</v>
      </c>
      <c r="B1835" t="s">
        <v>19</v>
      </c>
      <c r="C1835" t="s">
        <v>13</v>
      </c>
      <c r="D1835">
        <v>1</v>
      </c>
      <c r="E1835" t="s">
        <v>14</v>
      </c>
      <c r="F1835" t="s">
        <v>15</v>
      </c>
      <c r="G1835">
        <v>47.95</v>
      </c>
      <c r="H1835">
        <v>47.95</v>
      </c>
      <c r="I1835" t="s">
        <v>15</v>
      </c>
      <c r="J1835" t="s">
        <v>15</v>
      </c>
      <c r="K1835" t="s">
        <v>17</v>
      </c>
      <c r="L1835">
        <v>47.95</v>
      </c>
      <c r="M1835" t="s">
        <v>5030</v>
      </c>
      <c r="N1835" t="s">
        <v>5031</v>
      </c>
    </row>
    <row r="1836" spans="1:14" x14ac:dyDescent="0.3">
      <c r="A1836" t="s">
        <v>1860</v>
      </c>
      <c r="B1836" t="s">
        <v>19</v>
      </c>
      <c r="C1836" t="s">
        <v>13</v>
      </c>
      <c r="D1836">
        <v>1</v>
      </c>
      <c r="E1836" t="s">
        <v>14</v>
      </c>
      <c r="F1836" t="s">
        <v>15</v>
      </c>
      <c r="G1836">
        <v>45.1</v>
      </c>
      <c r="H1836">
        <v>45.1</v>
      </c>
      <c r="I1836" t="s">
        <v>16</v>
      </c>
      <c r="J1836" t="s">
        <v>15</v>
      </c>
      <c r="K1836" t="s">
        <v>17</v>
      </c>
      <c r="L1836">
        <v>45.1</v>
      </c>
      <c r="M1836" t="s">
        <v>5030</v>
      </c>
      <c r="N1836" t="s">
        <v>5031</v>
      </c>
    </row>
    <row r="1837" spans="1:14" x14ac:dyDescent="0.3">
      <c r="A1837" t="s">
        <v>1861</v>
      </c>
      <c r="B1837" t="s">
        <v>12</v>
      </c>
      <c r="C1837" t="s">
        <v>13</v>
      </c>
      <c r="D1837">
        <v>1</v>
      </c>
      <c r="E1837" t="s">
        <v>14</v>
      </c>
      <c r="F1837" t="s">
        <v>15</v>
      </c>
      <c r="G1837">
        <v>45</v>
      </c>
      <c r="H1837">
        <v>45</v>
      </c>
      <c r="I1837" t="s">
        <v>15</v>
      </c>
      <c r="J1837" t="s">
        <v>16</v>
      </c>
      <c r="K1837" t="s">
        <v>17</v>
      </c>
      <c r="L1837">
        <v>45</v>
      </c>
      <c r="M1837" t="s">
        <v>5030</v>
      </c>
      <c r="N1837" t="s">
        <v>5031</v>
      </c>
    </row>
    <row r="1838" spans="1:14" x14ac:dyDescent="0.3">
      <c r="A1838" t="s">
        <v>1862</v>
      </c>
      <c r="B1838" t="s">
        <v>19</v>
      </c>
      <c r="C1838" t="s">
        <v>13</v>
      </c>
      <c r="D1838">
        <v>24</v>
      </c>
      <c r="E1838" t="s">
        <v>26</v>
      </c>
      <c r="F1838" t="s">
        <v>16</v>
      </c>
      <c r="G1838">
        <v>96</v>
      </c>
      <c r="H1838">
        <v>2122.4499999999998</v>
      </c>
      <c r="I1838" t="s">
        <v>16</v>
      </c>
      <c r="J1838" t="s">
        <v>16</v>
      </c>
      <c r="K1838" t="s">
        <v>17</v>
      </c>
      <c r="L1838">
        <v>2122.4499999999998</v>
      </c>
      <c r="M1838" t="s">
        <v>5032</v>
      </c>
      <c r="N1838" t="s">
        <v>5031</v>
      </c>
    </row>
    <row r="1839" spans="1:14" x14ac:dyDescent="0.3">
      <c r="A1839" t="s">
        <v>1863</v>
      </c>
      <c r="B1839" t="s">
        <v>19</v>
      </c>
      <c r="C1839" t="s">
        <v>13</v>
      </c>
      <c r="D1839">
        <v>1</v>
      </c>
      <c r="E1839" t="s">
        <v>15</v>
      </c>
      <c r="F1839" t="s">
        <v>36</v>
      </c>
      <c r="G1839">
        <v>20.05</v>
      </c>
      <c r="H1839">
        <v>20.05</v>
      </c>
      <c r="I1839" t="s">
        <v>16</v>
      </c>
      <c r="J1839" t="s">
        <v>15</v>
      </c>
      <c r="K1839" t="s">
        <v>24</v>
      </c>
      <c r="L1839">
        <v>20.05</v>
      </c>
      <c r="M1839" t="s">
        <v>5030</v>
      </c>
      <c r="N1839" t="s">
        <v>5031</v>
      </c>
    </row>
    <row r="1840" spans="1:14" x14ac:dyDescent="0.3">
      <c r="A1840" t="s">
        <v>1864</v>
      </c>
      <c r="B1840" t="s">
        <v>19</v>
      </c>
      <c r="C1840" t="s">
        <v>13</v>
      </c>
      <c r="D1840">
        <v>54</v>
      </c>
      <c r="E1840" t="s">
        <v>26</v>
      </c>
      <c r="F1840" t="s">
        <v>15</v>
      </c>
      <c r="G1840">
        <v>90.05</v>
      </c>
      <c r="H1840">
        <v>4931.8</v>
      </c>
      <c r="I1840" t="s">
        <v>15</v>
      </c>
      <c r="J1840" t="s">
        <v>16</v>
      </c>
      <c r="K1840" t="s">
        <v>17</v>
      </c>
      <c r="L1840">
        <v>4931.8</v>
      </c>
      <c r="M1840" t="s">
        <v>5033</v>
      </c>
      <c r="N1840" t="s">
        <v>5034</v>
      </c>
    </row>
    <row r="1841" spans="1:14" x14ac:dyDescent="0.3">
      <c r="A1841" t="s">
        <v>1865</v>
      </c>
      <c r="B1841" t="s">
        <v>12</v>
      </c>
      <c r="C1841" t="s">
        <v>35</v>
      </c>
      <c r="D1841">
        <v>4</v>
      </c>
      <c r="E1841" t="s">
        <v>15</v>
      </c>
      <c r="F1841" t="s">
        <v>36</v>
      </c>
      <c r="G1841">
        <v>25.3</v>
      </c>
      <c r="H1841">
        <v>116.95</v>
      </c>
      <c r="I1841" t="s">
        <v>15</v>
      </c>
      <c r="J1841" t="s">
        <v>16</v>
      </c>
      <c r="K1841" t="s">
        <v>29</v>
      </c>
      <c r="L1841">
        <v>116.95</v>
      </c>
      <c r="M1841" t="s">
        <v>5030</v>
      </c>
      <c r="N1841" t="s">
        <v>5031</v>
      </c>
    </row>
    <row r="1842" spans="1:14" x14ac:dyDescent="0.3">
      <c r="A1842" t="s">
        <v>1866</v>
      </c>
      <c r="B1842" t="s">
        <v>19</v>
      </c>
      <c r="C1842" t="s">
        <v>35</v>
      </c>
      <c r="D1842">
        <v>65</v>
      </c>
      <c r="E1842" t="s">
        <v>26</v>
      </c>
      <c r="F1842" t="s">
        <v>16</v>
      </c>
      <c r="G1842">
        <v>108.65</v>
      </c>
      <c r="H1842">
        <v>6937.95</v>
      </c>
      <c r="I1842" t="s">
        <v>16</v>
      </c>
      <c r="J1842" t="s">
        <v>15</v>
      </c>
      <c r="K1842" t="s">
        <v>24</v>
      </c>
      <c r="L1842">
        <v>6937.95</v>
      </c>
      <c r="M1842" t="s">
        <v>5033</v>
      </c>
      <c r="N1842" t="s">
        <v>5034</v>
      </c>
    </row>
    <row r="1843" spans="1:14" x14ac:dyDescent="0.3">
      <c r="A1843" t="s">
        <v>1867</v>
      </c>
      <c r="B1843" t="s">
        <v>12</v>
      </c>
      <c r="C1843" t="s">
        <v>20</v>
      </c>
      <c r="D1843">
        <v>56</v>
      </c>
      <c r="E1843" t="s">
        <v>15</v>
      </c>
      <c r="F1843" t="s">
        <v>36</v>
      </c>
      <c r="G1843">
        <v>24.3</v>
      </c>
      <c r="H1843">
        <v>1261.7</v>
      </c>
      <c r="I1843" t="s">
        <v>15</v>
      </c>
      <c r="J1843" t="s">
        <v>15</v>
      </c>
      <c r="K1843" t="s">
        <v>17</v>
      </c>
      <c r="L1843">
        <v>1261.7</v>
      </c>
      <c r="M1843" t="s">
        <v>5033</v>
      </c>
      <c r="N1843" t="s">
        <v>5031</v>
      </c>
    </row>
    <row r="1844" spans="1:14" x14ac:dyDescent="0.3">
      <c r="A1844" t="s">
        <v>1868</v>
      </c>
      <c r="B1844" t="s">
        <v>19</v>
      </c>
      <c r="C1844" t="s">
        <v>13</v>
      </c>
      <c r="D1844">
        <v>45</v>
      </c>
      <c r="E1844" t="s">
        <v>14</v>
      </c>
      <c r="F1844" t="s">
        <v>15</v>
      </c>
      <c r="G1844">
        <v>75.95</v>
      </c>
      <c r="H1844">
        <v>3273.8</v>
      </c>
      <c r="I1844" t="s">
        <v>15</v>
      </c>
      <c r="J1844" t="s">
        <v>16</v>
      </c>
      <c r="K1844" t="s">
        <v>17</v>
      </c>
      <c r="L1844">
        <v>3273.8</v>
      </c>
      <c r="M1844" t="s">
        <v>5033</v>
      </c>
      <c r="N1844" t="s">
        <v>5034</v>
      </c>
    </row>
    <row r="1845" spans="1:14" x14ac:dyDescent="0.3">
      <c r="A1845" t="s">
        <v>1869</v>
      </c>
      <c r="B1845" t="s">
        <v>12</v>
      </c>
      <c r="C1845" t="s">
        <v>35</v>
      </c>
      <c r="D1845">
        <v>71</v>
      </c>
      <c r="E1845" t="s">
        <v>15</v>
      </c>
      <c r="F1845" t="s">
        <v>36</v>
      </c>
      <c r="G1845">
        <v>19.7</v>
      </c>
      <c r="H1845">
        <v>1415.85</v>
      </c>
      <c r="I1845" t="s">
        <v>15</v>
      </c>
      <c r="J1845" t="s">
        <v>15</v>
      </c>
      <c r="K1845" t="s">
        <v>29</v>
      </c>
      <c r="L1845">
        <v>1415.85</v>
      </c>
      <c r="M1845" t="s">
        <v>5033</v>
      </c>
      <c r="N1845" t="s">
        <v>5031</v>
      </c>
    </row>
    <row r="1846" spans="1:14" x14ac:dyDescent="0.3">
      <c r="A1846" t="s">
        <v>1870</v>
      </c>
      <c r="B1846" t="s">
        <v>19</v>
      </c>
      <c r="C1846" t="s">
        <v>20</v>
      </c>
      <c r="D1846">
        <v>59</v>
      </c>
      <c r="E1846" t="s">
        <v>14</v>
      </c>
      <c r="F1846" t="s">
        <v>15</v>
      </c>
      <c r="G1846">
        <v>66.400000000000006</v>
      </c>
      <c r="H1846">
        <v>3958.2</v>
      </c>
      <c r="I1846" t="s">
        <v>15</v>
      </c>
      <c r="J1846" t="s">
        <v>15</v>
      </c>
      <c r="K1846" t="s">
        <v>29</v>
      </c>
      <c r="L1846">
        <v>3958.2</v>
      </c>
      <c r="M1846" t="s">
        <v>5033</v>
      </c>
      <c r="N1846" t="s">
        <v>5034</v>
      </c>
    </row>
    <row r="1847" spans="1:14" x14ac:dyDescent="0.3">
      <c r="A1847" t="s">
        <v>1871</v>
      </c>
      <c r="B1847" t="s">
        <v>19</v>
      </c>
      <c r="C1847" t="s">
        <v>20</v>
      </c>
      <c r="D1847">
        <v>69</v>
      </c>
      <c r="E1847" t="s">
        <v>14</v>
      </c>
      <c r="F1847" t="s">
        <v>15</v>
      </c>
      <c r="G1847">
        <v>35.75</v>
      </c>
      <c r="H1847">
        <v>2492.25</v>
      </c>
      <c r="I1847" t="s">
        <v>15</v>
      </c>
      <c r="J1847" t="s">
        <v>16</v>
      </c>
      <c r="K1847" t="s">
        <v>24</v>
      </c>
      <c r="L1847">
        <v>2492.25</v>
      </c>
      <c r="M1847" t="s">
        <v>5033</v>
      </c>
      <c r="N1847" t="s">
        <v>5031</v>
      </c>
    </row>
    <row r="1848" spans="1:14" x14ac:dyDescent="0.3">
      <c r="A1848" t="s">
        <v>1872</v>
      </c>
      <c r="B1848" t="s">
        <v>19</v>
      </c>
      <c r="C1848" t="s">
        <v>20</v>
      </c>
      <c r="D1848">
        <v>19</v>
      </c>
      <c r="E1848" t="s">
        <v>15</v>
      </c>
      <c r="F1848" t="s">
        <v>36</v>
      </c>
      <c r="G1848">
        <v>18.8</v>
      </c>
      <c r="H1848">
        <v>279.2</v>
      </c>
      <c r="I1848" t="s">
        <v>15</v>
      </c>
      <c r="J1848" t="s">
        <v>15</v>
      </c>
      <c r="K1848" t="s">
        <v>21</v>
      </c>
      <c r="L1848">
        <v>279.2</v>
      </c>
      <c r="M1848" t="s">
        <v>5032</v>
      </c>
      <c r="N1848" t="s">
        <v>5031</v>
      </c>
    </row>
    <row r="1849" spans="1:14" x14ac:dyDescent="0.3">
      <c r="A1849" t="s">
        <v>1873</v>
      </c>
      <c r="B1849" t="s">
        <v>12</v>
      </c>
      <c r="C1849" t="s">
        <v>35</v>
      </c>
      <c r="D1849">
        <v>55</v>
      </c>
      <c r="E1849" t="s">
        <v>15</v>
      </c>
      <c r="F1849" t="s">
        <v>36</v>
      </c>
      <c r="G1849">
        <v>19.399999999999999</v>
      </c>
      <c r="H1849">
        <v>1083</v>
      </c>
      <c r="I1849" t="s">
        <v>15</v>
      </c>
      <c r="J1849" t="s">
        <v>15</v>
      </c>
      <c r="K1849" t="s">
        <v>29</v>
      </c>
      <c r="L1849">
        <v>1083</v>
      </c>
      <c r="M1849" t="s">
        <v>5033</v>
      </c>
      <c r="N1849" t="s">
        <v>5031</v>
      </c>
    </row>
    <row r="1850" spans="1:14" x14ac:dyDescent="0.3">
      <c r="A1850" t="s">
        <v>1874</v>
      </c>
      <c r="B1850" t="s">
        <v>12</v>
      </c>
      <c r="C1850" t="s">
        <v>20</v>
      </c>
      <c r="D1850">
        <v>38</v>
      </c>
      <c r="E1850" t="s">
        <v>15</v>
      </c>
      <c r="F1850" t="s">
        <v>36</v>
      </c>
      <c r="G1850">
        <v>19.3</v>
      </c>
      <c r="H1850">
        <v>755.5</v>
      </c>
      <c r="I1850" t="s">
        <v>15</v>
      </c>
      <c r="J1850" t="s">
        <v>15</v>
      </c>
      <c r="K1850" t="s">
        <v>21</v>
      </c>
      <c r="L1850">
        <v>755.5</v>
      </c>
      <c r="M1850" t="s">
        <v>5033</v>
      </c>
      <c r="N1850" t="s">
        <v>5031</v>
      </c>
    </row>
    <row r="1851" spans="1:14" x14ac:dyDescent="0.3">
      <c r="A1851" t="s">
        <v>1875</v>
      </c>
      <c r="B1851" t="s">
        <v>19</v>
      </c>
      <c r="C1851" t="s">
        <v>13</v>
      </c>
      <c r="D1851">
        <v>10</v>
      </c>
      <c r="E1851" t="s">
        <v>14</v>
      </c>
      <c r="F1851" t="s">
        <v>15</v>
      </c>
      <c r="G1851">
        <v>45.55</v>
      </c>
      <c r="H1851">
        <v>402.6</v>
      </c>
      <c r="I1851" t="s">
        <v>16</v>
      </c>
      <c r="J1851" t="s">
        <v>16</v>
      </c>
      <c r="K1851" t="s">
        <v>17</v>
      </c>
      <c r="L1851">
        <v>402.6</v>
      </c>
      <c r="M1851" t="s">
        <v>5030</v>
      </c>
      <c r="N1851" t="s">
        <v>5031</v>
      </c>
    </row>
    <row r="1852" spans="1:14" x14ac:dyDescent="0.3">
      <c r="A1852" t="s">
        <v>1876</v>
      </c>
      <c r="B1852" t="s">
        <v>12</v>
      </c>
      <c r="C1852" t="s">
        <v>13</v>
      </c>
      <c r="D1852">
        <v>47</v>
      </c>
      <c r="E1852" t="s">
        <v>14</v>
      </c>
      <c r="F1852" t="s">
        <v>15</v>
      </c>
      <c r="G1852">
        <v>67.45</v>
      </c>
      <c r="H1852">
        <v>3252</v>
      </c>
      <c r="I1852" t="s">
        <v>15</v>
      </c>
      <c r="J1852" t="s">
        <v>16</v>
      </c>
      <c r="K1852" t="s">
        <v>29</v>
      </c>
      <c r="L1852">
        <v>3252</v>
      </c>
      <c r="M1852" t="s">
        <v>5033</v>
      </c>
      <c r="N1852" t="s">
        <v>5034</v>
      </c>
    </row>
    <row r="1853" spans="1:14" x14ac:dyDescent="0.3">
      <c r="A1853" t="s">
        <v>1877</v>
      </c>
      <c r="B1853" t="s">
        <v>12</v>
      </c>
      <c r="C1853" t="s">
        <v>13</v>
      </c>
      <c r="D1853">
        <v>2</v>
      </c>
      <c r="E1853" t="s">
        <v>14</v>
      </c>
      <c r="F1853" t="s">
        <v>15</v>
      </c>
      <c r="G1853">
        <v>35.1</v>
      </c>
      <c r="H1853">
        <v>68.75</v>
      </c>
      <c r="I1853" t="s">
        <v>16</v>
      </c>
      <c r="J1853" t="s">
        <v>16</v>
      </c>
      <c r="K1853" t="s">
        <v>17</v>
      </c>
      <c r="L1853">
        <v>68.75</v>
      </c>
      <c r="M1853" t="s">
        <v>5030</v>
      </c>
      <c r="N1853" t="s">
        <v>5031</v>
      </c>
    </row>
    <row r="1854" spans="1:14" x14ac:dyDescent="0.3">
      <c r="A1854" t="s">
        <v>1878</v>
      </c>
      <c r="B1854" t="s">
        <v>19</v>
      </c>
      <c r="C1854" t="s">
        <v>13</v>
      </c>
      <c r="D1854">
        <v>1</v>
      </c>
      <c r="E1854" t="s">
        <v>14</v>
      </c>
      <c r="F1854" t="s">
        <v>15</v>
      </c>
      <c r="G1854">
        <v>46.2</v>
      </c>
      <c r="H1854">
        <v>46.2</v>
      </c>
      <c r="I1854" t="s">
        <v>16</v>
      </c>
      <c r="J1854" t="s">
        <v>15</v>
      </c>
      <c r="K1854" t="s">
        <v>29</v>
      </c>
      <c r="L1854">
        <v>46.2</v>
      </c>
      <c r="M1854" t="s">
        <v>5030</v>
      </c>
      <c r="N1854" t="s">
        <v>5031</v>
      </c>
    </row>
    <row r="1855" spans="1:14" x14ac:dyDescent="0.3">
      <c r="A1855" t="s">
        <v>1879</v>
      </c>
      <c r="B1855" t="s">
        <v>12</v>
      </c>
      <c r="C1855" t="s">
        <v>13</v>
      </c>
      <c r="D1855">
        <v>1</v>
      </c>
      <c r="E1855" t="s">
        <v>14</v>
      </c>
      <c r="F1855" t="s">
        <v>15</v>
      </c>
      <c r="G1855">
        <v>45.15</v>
      </c>
      <c r="H1855">
        <v>45.15</v>
      </c>
      <c r="I1855" t="s">
        <v>16</v>
      </c>
      <c r="J1855" t="s">
        <v>15</v>
      </c>
      <c r="K1855" t="s">
        <v>17</v>
      </c>
      <c r="L1855">
        <v>45.15</v>
      </c>
      <c r="M1855" t="s">
        <v>5030</v>
      </c>
      <c r="N1855" t="s">
        <v>5031</v>
      </c>
    </row>
    <row r="1856" spans="1:14" x14ac:dyDescent="0.3">
      <c r="A1856" t="s">
        <v>1880</v>
      </c>
      <c r="B1856" t="s">
        <v>19</v>
      </c>
      <c r="C1856" t="s">
        <v>13</v>
      </c>
      <c r="D1856">
        <v>1</v>
      </c>
      <c r="E1856" t="s">
        <v>14</v>
      </c>
      <c r="F1856" t="s">
        <v>15</v>
      </c>
      <c r="G1856">
        <v>43.3</v>
      </c>
      <c r="H1856">
        <v>43.3</v>
      </c>
      <c r="I1856" t="s">
        <v>16</v>
      </c>
      <c r="J1856" t="s">
        <v>16</v>
      </c>
      <c r="K1856" t="s">
        <v>17</v>
      </c>
      <c r="L1856">
        <v>43.3</v>
      </c>
      <c r="M1856" t="s">
        <v>5030</v>
      </c>
      <c r="N1856" t="s">
        <v>5031</v>
      </c>
    </row>
    <row r="1857" spans="1:14" x14ac:dyDescent="0.3">
      <c r="A1857" t="s">
        <v>1881</v>
      </c>
      <c r="B1857" t="s">
        <v>19</v>
      </c>
      <c r="C1857" t="s">
        <v>35</v>
      </c>
      <c r="D1857">
        <v>46</v>
      </c>
      <c r="E1857" t="s">
        <v>15</v>
      </c>
      <c r="F1857" t="s">
        <v>36</v>
      </c>
      <c r="G1857">
        <v>20.100000000000001</v>
      </c>
      <c r="H1857">
        <v>936.85</v>
      </c>
      <c r="I1857" t="s">
        <v>15</v>
      </c>
      <c r="J1857" t="s">
        <v>16</v>
      </c>
      <c r="K1857" t="s">
        <v>21</v>
      </c>
      <c r="L1857">
        <v>936.85</v>
      </c>
      <c r="M1857" t="s">
        <v>5033</v>
      </c>
      <c r="N1857" t="s">
        <v>5031</v>
      </c>
    </row>
    <row r="1858" spans="1:14" x14ac:dyDescent="0.3">
      <c r="A1858" t="s">
        <v>1882</v>
      </c>
      <c r="B1858" t="s">
        <v>12</v>
      </c>
      <c r="C1858" t="s">
        <v>13</v>
      </c>
      <c r="D1858">
        <v>38</v>
      </c>
      <c r="E1858" t="s">
        <v>14</v>
      </c>
      <c r="F1858" t="s">
        <v>15</v>
      </c>
      <c r="G1858">
        <v>57.15</v>
      </c>
      <c r="H1858">
        <v>2250.65</v>
      </c>
      <c r="I1858" t="s">
        <v>16</v>
      </c>
      <c r="J1858" t="s">
        <v>16</v>
      </c>
      <c r="K1858" t="s">
        <v>29</v>
      </c>
      <c r="L1858">
        <v>2250.65</v>
      </c>
      <c r="M1858" t="s">
        <v>5033</v>
      </c>
      <c r="N1858" t="s">
        <v>5031</v>
      </c>
    </row>
    <row r="1859" spans="1:14" x14ac:dyDescent="0.3">
      <c r="A1859" t="s">
        <v>1883</v>
      </c>
      <c r="B1859" t="s">
        <v>12</v>
      </c>
      <c r="C1859" t="s">
        <v>35</v>
      </c>
      <c r="D1859">
        <v>65</v>
      </c>
      <c r="E1859" t="s">
        <v>14</v>
      </c>
      <c r="F1859" t="s">
        <v>16</v>
      </c>
      <c r="G1859">
        <v>58.9</v>
      </c>
      <c r="H1859">
        <v>3857.1</v>
      </c>
      <c r="I1859" t="s">
        <v>15</v>
      </c>
      <c r="J1859" t="s">
        <v>15</v>
      </c>
      <c r="K1859" t="s">
        <v>29</v>
      </c>
      <c r="L1859">
        <v>3857.1</v>
      </c>
      <c r="M1859" t="s">
        <v>5033</v>
      </c>
      <c r="N1859" t="s">
        <v>5034</v>
      </c>
    </row>
    <row r="1860" spans="1:14" x14ac:dyDescent="0.3">
      <c r="A1860" t="s">
        <v>1884</v>
      </c>
      <c r="B1860" t="s">
        <v>12</v>
      </c>
      <c r="C1860" t="s">
        <v>13</v>
      </c>
      <c r="D1860">
        <v>19</v>
      </c>
      <c r="E1860" t="s">
        <v>26</v>
      </c>
      <c r="F1860" t="s">
        <v>15</v>
      </c>
      <c r="G1860">
        <v>73.2</v>
      </c>
      <c r="H1860">
        <v>1441.1</v>
      </c>
      <c r="I1860" t="s">
        <v>16</v>
      </c>
      <c r="J1860" t="s">
        <v>16</v>
      </c>
      <c r="K1860" t="s">
        <v>17</v>
      </c>
      <c r="L1860">
        <v>1441.1</v>
      </c>
      <c r="M1860" t="s">
        <v>5032</v>
      </c>
      <c r="N1860" t="s">
        <v>5031</v>
      </c>
    </row>
    <row r="1861" spans="1:14" x14ac:dyDescent="0.3">
      <c r="A1861" t="s">
        <v>1885</v>
      </c>
      <c r="B1861" t="s">
        <v>19</v>
      </c>
      <c r="C1861" t="s">
        <v>13</v>
      </c>
      <c r="D1861">
        <v>52</v>
      </c>
      <c r="E1861" t="s">
        <v>26</v>
      </c>
      <c r="F1861" t="s">
        <v>15</v>
      </c>
      <c r="G1861">
        <v>85.35</v>
      </c>
      <c r="H1861">
        <v>4338.6000000000004</v>
      </c>
      <c r="I1861" t="s">
        <v>16</v>
      </c>
      <c r="J1861" t="s">
        <v>16</v>
      </c>
      <c r="K1861" t="s">
        <v>17</v>
      </c>
      <c r="L1861">
        <v>4338.6000000000004</v>
      </c>
      <c r="M1861" t="s">
        <v>5033</v>
      </c>
      <c r="N1861" t="s">
        <v>5034</v>
      </c>
    </row>
    <row r="1862" spans="1:14" x14ac:dyDescent="0.3">
      <c r="A1862" t="s">
        <v>1886</v>
      </c>
      <c r="B1862" t="s">
        <v>19</v>
      </c>
      <c r="C1862" t="s">
        <v>35</v>
      </c>
      <c r="D1862">
        <v>71</v>
      </c>
      <c r="E1862" t="s">
        <v>15</v>
      </c>
      <c r="F1862" t="s">
        <v>36</v>
      </c>
      <c r="G1862">
        <v>19.45</v>
      </c>
      <c r="H1862">
        <v>1378.45</v>
      </c>
      <c r="I1862" t="s">
        <v>15</v>
      </c>
      <c r="J1862" t="s">
        <v>15</v>
      </c>
      <c r="K1862" t="s">
        <v>21</v>
      </c>
      <c r="L1862">
        <v>1378.45</v>
      </c>
      <c r="M1862" t="s">
        <v>5033</v>
      </c>
      <c r="N1862" t="s">
        <v>5031</v>
      </c>
    </row>
    <row r="1863" spans="1:14" x14ac:dyDescent="0.3">
      <c r="A1863" t="s">
        <v>1887</v>
      </c>
      <c r="B1863" t="s">
        <v>12</v>
      </c>
      <c r="C1863" t="s">
        <v>13</v>
      </c>
      <c r="D1863">
        <v>1</v>
      </c>
      <c r="E1863" t="s">
        <v>14</v>
      </c>
      <c r="F1863" t="s">
        <v>15</v>
      </c>
      <c r="G1863">
        <v>45.95</v>
      </c>
      <c r="H1863">
        <v>45.95</v>
      </c>
      <c r="I1863" t="s">
        <v>16</v>
      </c>
      <c r="J1863" t="s">
        <v>15</v>
      </c>
      <c r="K1863" t="s">
        <v>21</v>
      </c>
      <c r="L1863">
        <v>45.95</v>
      </c>
      <c r="M1863" t="s">
        <v>5030</v>
      </c>
      <c r="N1863" t="s">
        <v>5031</v>
      </c>
    </row>
    <row r="1864" spans="1:14" x14ac:dyDescent="0.3">
      <c r="A1864" t="s">
        <v>1888</v>
      </c>
      <c r="B1864" t="s">
        <v>12</v>
      </c>
      <c r="C1864" t="s">
        <v>13</v>
      </c>
      <c r="D1864">
        <v>52</v>
      </c>
      <c r="E1864" t="s">
        <v>14</v>
      </c>
      <c r="F1864" t="s">
        <v>16</v>
      </c>
      <c r="G1864">
        <v>50.5</v>
      </c>
      <c r="H1864">
        <v>2566.3000000000002</v>
      </c>
      <c r="I1864" t="s">
        <v>15</v>
      </c>
      <c r="J1864" t="s">
        <v>16</v>
      </c>
      <c r="K1864" t="s">
        <v>17</v>
      </c>
      <c r="L1864">
        <v>2566.3000000000002</v>
      </c>
      <c r="M1864" t="s">
        <v>5033</v>
      </c>
      <c r="N1864" t="s">
        <v>5034</v>
      </c>
    </row>
    <row r="1865" spans="1:14" x14ac:dyDescent="0.3">
      <c r="A1865" t="s">
        <v>1889</v>
      </c>
      <c r="B1865" t="s">
        <v>19</v>
      </c>
      <c r="C1865" t="s">
        <v>20</v>
      </c>
      <c r="D1865">
        <v>6</v>
      </c>
      <c r="E1865" t="s">
        <v>15</v>
      </c>
      <c r="F1865" t="s">
        <v>36</v>
      </c>
      <c r="G1865">
        <v>25.1</v>
      </c>
      <c r="H1865">
        <v>171</v>
      </c>
      <c r="I1865" t="s">
        <v>15</v>
      </c>
      <c r="J1865" t="s">
        <v>15</v>
      </c>
      <c r="K1865" t="s">
        <v>21</v>
      </c>
      <c r="L1865">
        <v>171</v>
      </c>
      <c r="M1865" t="s">
        <v>5030</v>
      </c>
      <c r="N1865" t="s">
        <v>5031</v>
      </c>
    </row>
    <row r="1866" spans="1:14" x14ac:dyDescent="0.3">
      <c r="A1866" t="s">
        <v>1890</v>
      </c>
      <c r="B1866" t="s">
        <v>12</v>
      </c>
      <c r="C1866" t="s">
        <v>20</v>
      </c>
      <c r="D1866">
        <v>26</v>
      </c>
      <c r="E1866" t="s">
        <v>14</v>
      </c>
      <c r="F1866" t="s">
        <v>15</v>
      </c>
      <c r="G1866">
        <v>60.7</v>
      </c>
      <c r="H1866">
        <v>1597.4</v>
      </c>
      <c r="I1866" t="s">
        <v>15</v>
      </c>
      <c r="J1866" t="s">
        <v>15</v>
      </c>
      <c r="K1866" t="s">
        <v>21</v>
      </c>
      <c r="L1866">
        <v>1597.4</v>
      </c>
      <c r="M1866" t="s">
        <v>5032</v>
      </c>
      <c r="N1866" t="s">
        <v>5031</v>
      </c>
    </row>
    <row r="1867" spans="1:14" x14ac:dyDescent="0.3">
      <c r="A1867" t="s">
        <v>1891</v>
      </c>
      <c r="B1867" t="s">
        <v>19</v>
      </c>
      <c r="C1867" t="s">
        <v>20</v>
      </c>
      <c r="D1867">
        <v>48</v>
      </c>
      <c r="E1867" t="s">
        <v>26</v>
      </c>
      <c r="F1867" t="s">
        <v>15</v>
      </c>
      <c r="G1867">
        <v>99</v>
      </c>
      <c r="H1867">
        <v>4744.3500000000004</v>
      </c>
      <c r="I1867" t="s">
        <v>15</v>
      </c>
      <c r="J1867" t="s">
        <v>16</v>
      </c>
      <c r="K1867" t="s">
        <v>17</v>
      </c>
      <c r="L1867">
        <v>4744.3500000000004</v>
      </c>
      <c r="M1867" t="s">
        <v>5033</v>
      </c>
      <c r="N1867" t="s">
        <v>5034</v>
      </c>
    </row>
    <row r="1868" spans="1:14" x14ac:dyDescent="0.3">
      <c r="A1868" t="s">
        <v>1892</v>
      </c>
      <c r="B1868" t="s">
        <v>12</v>
      </c>
      <c r="C1868" t="s">
        <v>20</v>
      </c>
      <c r="D1868">
        <v>64</v>
      </c>
      <c r="E1868" t="s">
        <v>26</v>
      </c>
      <c r="F1868" t="s">
        <v>16</v>
      </c>
      <c r="G1868">
        <v>104.4</v>
      </c>
      <c r="H1868">
        <v>6721.6</v>
      </c>
      <c r="I1868" t="s">
        <v>15</v>
      </c>
      <c r="J1868" t="s">
        <v>16</v>
      </c>
      <c r="K1868" t="s">
        <v>24</v>
      </c>
      <c r="L1868">
        <v>6721.6</v>
      </c>
      <c r="M1868" t="s">
        <v>5033</v>
      </c>
      <c r="N1868" t="s">
        <v>5034</v>
      </c>
    </row>
    <row r="1869" spans="1:14" x14ac:dyDescent="0.3">
      <c r="A1869" t="s">
        <v>1893</v>
      </c>
      <c r="B1869" t="s">
        <v>12</v>
      </c>
      <c r="C1869" t="s">
        <v>13</v>
      </c>
      <c r="D1869">
        <v>3</v>
      </c>
      <c r="E1869" t="s">
        <v>26</v>
      </c>
      <c r="F1869" t="s">
        <v>15</v>
      </c>
      <c r="G1869">
        <v>83.75</v>
      </c>
      <c r="H1869">
        <v>247.25</v>
      </c>
      <c r="I1869" t="s">
        <v>16</v>
      </c>
      <c r="J1869" t="s">
        <v>15</v>
      </c>
      <c r="K1869" t="s">
        <v>17</v>
      </c>
      <c r="L1869">
        <v>247.25</v>
      </c>
      <c r="M1869" t="s">
        <v>5030</v>
      </c>
      <c r="N1869" t="s">
        <v>5031</v>
      </c>
    </row>
    <row r="1870" spans="1:14" x14ac:dyDescent="0.3">
      <c r="A1870" t="s">
        <v>1894</v>
      </c>
      <c r="B1870" t="s">
        <v>19</v>
      </c>
      <c r="C1870" t="s">
        <v>13</v>
      </c>
      <c r="D1870">
        <v>1</v>
      </c>
      <c r="E1870" t="s">
        <v>14</v>
      </c>
      <c r="F1870" t="s">
        <v>15</v>
      </c>
      <c r="G1870">
        <v>44.05</v>
      </c>
      <c r="H1870">
        <v>44.05</v>
      </c>
      <c r="I1870" t="s">
        <v>15</v>
      </c>
      <c r="J1870" t="s">
        <v>16</v>
      </c>
      <c r="K1870" t="s">
        <v>24</v>
      </c>
      <c r="L1870">
        <v>44.05</v>
      </c>
      <c r="M1870" t="s">
        <v>5030</v>
      </c>
      <c r="N1870" t="s">
        <v>5031</v>
      </c>
    </row>
    <row r="1871" spans="1:14" x14ac:dyDescent="0.3">
      <c r="A1871" t="s">
        <v>1895</v>
      </c>
      <c r="B1871" t="s">
        <v>19</v>
      </c>
      <c r="C1871" t="s">
        <v>35</v>
      </c>
      <c r="D1871">
        <v>72</v>
      </c>
      <c r="E1871" t="s">
        <v>15</v>
      </c>
      <c r="F1871" t="s">
        <v>36</v>
      </c>
      <c r="G1871">
        <v>24.1</v>
      </c>
      <c r="H1871">
        <v>1734.65</v>
      </c>
      <c r="I1871" t="s">
        <v>15</v>
      </c>
      <c r="J1871" t="s">
        <v>15</v>
      </c>
      <c r="K1871" t="s">
        <v>29</v>
      </c>
      <c r="L1871">
        <v>1734.65</v>
      </c>
      <c r="M1871" t="s">
        <v>5033</v>
      </c>
      <c r="N1871" t="s">
        <v>5031</v>
      </c>
    </row>
    <row r="1872" spans="1:14" x14ac:dyDescent="0.3">
      <c r="A1872" t="s">
        <v>1896</v>
      </c>
      <c r="B1872" t="s">
        <v>19</v>
      </c>
      <c r="C1872" t="s">
        <v>13</v>
      </c>
      <c r="D1872">
        <v>1</v>
      </c>
      <c r="E1872" t="s">
        <v>14</v>
      </c>
      <c r="F1872" t="s">
        <v>15</v>
      </c>
      <c r="G1872">
        <v>45.55</v>
      </c>
      <c r="H1872">
        <v>45.55</v>
      </c>
      <c r="I1872" t="s">
        <v>15</v>
      </c>
      <c r="J1872" t="s">
        <v>16</v>
      </c>
      <c r="K1872" t="s">
        <v>21</v>
      </c>
      <c r="L1872">
        <v>45.55</v>
      </c>
      <c r="M1872" t="s">
        <v>5030</v>
      </c>
      <c r="N1872" t="s">
        <v>5031</v>
      </c>
    </row>
    <row r="1873" spans="1:14" x14ac:dyDescent="0.3">
      <c r="A1873" t="s">
        <v>1897</v>
      </c>
      <c r="B1873" t="s">
        <v>12</v>
      </c>
      <c r="C1873" t="s">
        <v>13</v>
      </c>
      <c r="D1873">
        <v>51</v>
      </c>
      <c r="E1873" t="s">
        <v>26</v>
      </c>
      <c r="F1873" t="s">
        <v>15</v>
      </c>
      <c r="G1873">
        <v>93.8</v>
      </c>
      <c r="H1873">
        <v>4539.3500000000004</v>
      </c>
      <c r="I1873" t="s">
        <v>15</v>
      </c>
      <c r="J1873" t="s">
        <v>16</v>
      </c>
      <c r="K1873" t="s">
        <v>17</v>
      </c>
      <c r="L1873">
        <v>4539.3500000000004</v>
      </c>
      <c r="M1873" t="s">
        <v>5033</v>
      </c>
      <c r="N1873" t="s">
        <v>5034</v>
      </c>
    </row>
    <row r="1874" spans="1:14" x14ac:dyDescent="0.3">
      <c r="A1874" t="s">
        <v>1898</v>
      </c>
      <c r="B1874" t="s">
        <v>12</v>
      </c>
      <c r="C1874" t="s">
        <v>35</v>
      </c>
      <c r="D1874">
        <v>41</v>
      </c>
      <c r="E1874" t="s">
        <v>15</v>
      </c>
      <c r="F1874" t="s">
        <v>36</v>
      </c>
      <c r="G1874">
        <v>19.7</v>
      </c>
      <c r="H1874">
        <v>804.25</v>
      </c>
      <c r="I1874" t="s">
        <v>15</v>
      </c>
      <c r="J1874" t="s">
        <v>15</v>
      </c>
      <c r="K1874" t="s">
        <v>24</v>
      </c>
      <c r="L1874">
        <v>804.25</v>
      </c>
      <c r="M1874" t="s">
        <v>5033</v>
      </c>
      <c r="N1874" t="s">
        <v>5031</v>
      </c>
    </row>
    <row r="1875" spans="1:14" x14ac:dyDescent="0.3">
      <c r="A1875" t="s">
        <v>1899</v>
      </c>
      <c r="B1875" t="s">
        <v>12</v>
      </c>
      <c r="C1875" t="s">
        <v>35</v>
      </c>
      <c r="D1875">
        <v>72</v>
      </c>
      <c r="E1875" t="s">
        <v>14</v>
      </c>
      <c r="F1875" t="s">
        <v>15</v>
      </c>
      <c r="G1875">
        <v>70.650000000000006</v>
      </c>
      <c r="H1875">
        <v>5011.1499999999996</v>
      </c>
      <c r="I1875" t="s">
        <v>15</v>
      </c>
      <c r="J1875" t="s">
        <v>16</v>
      </c>
      <c r="K1875" t="s">
        <v>29</v>
      </c>
      <c r="L1875">
        <v>5011.1499999999996</v>
      </c>
      <c r="M1875" t="s">
        <v>5033</v>
      </c>
      <c r="N1875" t="s">
        <v>5034</v>
      </c>
    </row>
    <row r="1876" spans="1:14" x14ac:dyDescent="0.3">
      <c r="A1876" t="s">
        <v>1900</v>
      </c>
      <c r="B1876" t="s">
        <v>12</v>
      </c>
      <c r="C1876" t="s">
        <v>35</v>
      </c>
      <c r="D1876">
        <v>43</v>
      </c>
      <c r="E1876" t="s">
        <v>14</v>
      </c>
      <c r="F1876" t="s">
        <v>16</v>
      </c>
      <c r="G1876">
        <v>86.45</v>
      </c>
      <c r="H1876">
        <v>3574.5</v>
      </c>
      <c r="I1876" t="s">
        <v>15</v>
      </c>
      <c r="J1876" t="s">
        <v>15</v>
      </c>
      <c r="K1876" t="s">
        <v>29</v>
      </c>
      <c r="L1876">
        <v>3574.5</v>
      </c>
      <c r="M1876" t="s">
        <v>5033</v>
      </c>
      <c r="N1876" t="s">
        <v>5034</v>
      </c>
    </row>
    <row r="1877" spans="1:14" x14ac:dyDescent="0.3">
      <c r="A1877" t="s">
        <v>1901</v>
      </c>
      <c r="B1877" t="s">
        <v>19</v>
      </c>
      <c r="C1877" t="s">
        <v>35</v>
      </c>
      <c r="D1877">
        <v>72</v>
      </c>
      <c r="E1877" t="s">
        <v>26</v>
      </c>
      <c r="F1877" t="s">
        <v>16</v>
      </c>
      <c r="G1877">
        <v>114.1</v>
      </c>
      <c r="H1877">
        <v>8086.4</v>
      </c>
      <c r="I1877" t="s">
        <v>15</v>
      </c>
      <c r="J1877" t="s">
        <v>16</v>
      </c>
      <c r="K1877" t="s">
        <v>29</v>
      </c>
      <c r="L1877">
        <v>8086.4</v>
      </c>
      <c r="M1877" t="s">
        <v>5033</v>
      </c>
      <c r="N1877" t="s">
        <v>5034</v>
      </c>
    </row>
    <row r="1878" spans="1:14" x14ac:dyDescent="0.3">
      <c r="A1878" t="s">
        <v>1902</v>
      </c>
      <c r="B1878" t="s">
        <v>19</v>
      </c>
      <c r="C1878" t="s">
        <v>20</v>
      </c>
      <c r="D1878">
        <v>47</v>
      </c>
      <c r="E1878" t="s">
        <v>26</v>
      </c>
      <c r="F1878" t="s">
        <v>15</v>
      </c>
      <c r="G1878">
        <v>95.2</v>
      </c>
      <c r="H1878">
        <v>4563</v>
      </c>
      <c r="I1878" t="s">
        <v>15</v>
      </c>
      <c r="J1878" t="s">
        <v>16</v>
      </c>
      <c r="K1878" t="s">
        <v>29</v>
      </c>
      <c r="L1878">
        <v>4563</v>
      </c>
      <c r="M1878" t="s">
        <v>5033</v>
      </c>
      <c r="N1878" t="s">
        <v>5034</v>
      </c>
    </row>
    <row r="1879" spans="1:14" x14ac:dyDescent="0.3">
      <c r="A1879" t="s">
        <v>1903</v>
      </c>
      <c r="B1879" t="s">
        <v>19</v>
      </c>
      <c r="C1879" t="s">
        <v>35</v>
      </c>
      <c r="D1879">
        <v>72</v>
      </c>
      <c r="E1879" t="s">
        <v>14</v>
      </c>
      <c r="F1879" t="s">
        <v>16</v>
      </c>
      <c r="G1879">
        <v>88.55</v>
      </c>
      <c r="H1879">
        <v>6362.35</v>
      </c>
      <c r="I1879" t="s">
        <v>15</v>
      </c>
      <c r="J1879" t="s">
        <v>15</v>
      </c>
      <c r="K1879" t="s">
        <v>29</v>
      </c>
      <c r="L1879">
        <v>6362.35</v>
      </c>
      <c r="M1879" t="s">
        <v>5033</v>
      </c>
      <c r="N1879" t="s">
        <v>5034</v>
      </c>
    </row>
    <row r="1880" spans="1:14" x14ac:dyDescent="0.3">
      <c r="A1880" t="s">
        <v>1904</v>
      </c>
      <c r="B1880" t="s">
        <v>19</v>
      </c>
      <c r="C1880" t="s">
        <v>13</v>
      </c>
      <c r="D1880">
        <v>3</v>
      </c>
      <c r="E1880" t="s">
        <v>15</v>
      </c>
      <c r="F1880" t="s">
        <v>36</v>
      </c>
      <c r="G1880">
        <v>20.75</v>
      </c>
      <c r="H1880">
        <v>67.099999999999994</v>
      </c>
      <c r="I1880" t="s">
        <v>15</v>
      </c>
      <c r="J1880" t="s">
        <v>16</v>
      </c>
      <c r="K1880" t="s">
        <v>29</v>
      </c>
      <c r="L1880">
        <v>67.099999999999994</v>
      </c>
      <c r="M1880" t="s">
        <v>5030</v>
      </c>
      <c r="N1880" t="s">
        <v>5031</v>
      </c>
    </row>
    <row r="1881" spans="1:14" x14ac:dyDescent="0.3">
      <c r="A1881" t="s">
        <v>1905</v>
      </c>
      <c r="B1881" t="s">
        <v>19</v>
      </c>
      <c r="C1881" t="s">
        <v>13</v>
      </c>
      <c r="D1881">
        <v>1</v>
      </c>
      <c r="E1881" t="s">
        <v>26</v>
      </c>
      <c r="F1881" t="s">
        <v>15</v>
      </c>
      <c r="G1881">
        <v>70.05</v>
      </c>
      <c r="H1881">
        <v>70.05</v>
      </c>
      <c r="I1881" t="s">
        <v>16</v>
      </c>
      <c r="J1881" t="s">
        <v>16</v>
      </c>
      <c r="K1881" t="s">
        <v>17</v>
      </c>
      <c r="L1881">
        <v>70.05</v>
      </c>
      <c r="M1881" t="s">
        <v>5030</v>
      </c>
      <c r="N1881" t="s">
        <v>5031</v>
      </c>
    </row>
    <row r="1882" spans="1:14" x14ac:dyDescent="0.3">
      <c r="A1882" t="s">
        <v>1906</v>
      </c>
      <c r="B1882" t="s">
        <v>19</v>
      </c>
      <c r="C1882" t="s">
        <v>13</v>
      </c>
      <c r="D1882">
        <v>2</v>
      </c>
      <c r="E1882" t="s">
        <v>26</v>
      </c>
      <c r="F1882" t="s">
        <v>15</v>
      </c>
      <c r="G1882">
        <v>86</v>
      </c>
      <c r="H1882">
        <v>165.45</v>
      </c>
      <c r="I1882" t="s">
        <v>16</v>
      </c>
      <c r="J1882" t="s">
        <v>16</v>
      </c>
      <c r="K1882" t="s">
        <v>17</v>
      </c>
      <c r="L1882">
        <v>165.45</v>
      </c>
      <c r="M1882" t="s">
        <v>5030</v>
      </c>
      <c r="N1882" t="s">
        <v>5031</v>
      </c>
    </row>
    <row r="1883" spans="1:14" x14ac:dyDescent="0.3">
      <c r="A1883" t="s">
        <v>1907</v>
      </c>
      <c r="B1883" t="s">
        <v>19</v>
      </c>
      <c r="C1883" t="s">
        <v>13</v>
      </c>
      <c r="D1883">
        <v>26</v>
      </c>
      <c r="E1883" t="s">
        <v>14</v>
      </c>
      <c r="F1883" t="s">
        <v>15</v>
      </c>
      <c r="G1883">
        <v>44.65</v>
      </c>
      <c r="H1883">
        <v>1156.55</v>
      </c>
      <c r="I1883" t="s">
        <v>15</v>
      </c>
      <c r="J1883" t="s">
        <v>16</v>
      </c>
      <c r="K1883" t="s">
        <v>24</v>
      </c>
      <c r="L1883">
        <v>1156.55</v>
      </c>
      <c r="M1883" t="s">
        <v>5032</v>
      </c>
      <c r="N1883" t="s">
        <v>5031</v>
      </c>
    </row>
    <row r="1884" spans="1:14" x14ac:dyDescent="0.3">
      <c r="A1884" t="s">
        <v>1908</v>
      </c>
      <c r="B1884" t="s">
        <v>19</v>
      </c>
      <c r="C1884" t="s">
        <v>13</v>
      </c>
      <c r="D1884">
        <v>29</v>
      </c>
      <c r="E1884" t="s">
        <v>14</v>
      </c>
      <c r="F1884" t="s">
        <v>15</v>
      </c>
      <c r="G1884">
        <v>60.2</v>
      </c>
      <c r="H1884">
        <v>1834.15</v>
      </c>
      <c r="I1884" t="s">
        <v>15</v>
      </c>
      <c r="J1884" t="s">
        <v>16</v>
      </c>
      <c r="K1884" t="s">
        <v>21</v>
      </c>
      <c r="L1884">
        <v>1834.15</v>
      </c>
      <c r="M1884" t="s">
        <v>5032</v>
      </c>
      <c r="N1884" t="s">
        <v>5031</v>
      </c>
    </row>
    <row r="1885" spans="1:14" x14ac:dyDescent="0.3">
      <c r="A1885" t="s">
        <v>1909</v>
      </c>
      <c r="B1885" t="s">
        <v>12</v>
      </c>
      <c r="C1885" t="s">
        <v>13</v>
      </c>
      <c r="D1885">
        <v>35</v>
      </c>
      <c r="E1885" t="s">
        <v>26</v>
      </c>
      <c r="F1885" t="s">
        <v>16</v>
      </c>
      <c r="G1885">
        <v>100.5</v>
      </c>
      <c r="H1885">
        <v>3653.35</v>
      </c>
      <c r="I1885" t="s">
        <v>16</v>
      </c>
      <c r="J1885" t="s">
        <v>16</v>
      </c>
      <c r="K1885" t="s">
        <v>24</v>
      </c>
      <c r="L1885">
        <v>3653.35</v>
      </c>
      <c r="M1885" t="s">
        <v>5032</v>
      </c>
      <c r="N1885" t="s">
        <v>5034</v>
      </c>
    </row>
    <row r="1886" spans="1:14" x14ac:dyDescent="0.3">
      <c r="A1886" t="s">
        <v>1910</v>
      </c>
      <c r="B1886" t="s">
        <v>19</v>
      </c>
      <c r="C1886" t="s">
        <v>20</v>
      </c>
      <c r="D1886">
        <v>27</v>
      </c>
      <c r="E1886" t="s">
        <v>14</v>
      </c>
      <c r="F1886" t="s">
        <v>15</v>
      </c>
      <c r="G1886">
        <v>55.45</v>
      </c>
      <c r="H1886">
        <v>1477.65</v>
      </c>
      <c r="I1886" t="s">
        <v>15</v>
      </c>
      <c r="J1886" t="s">
        <v>15</v>
      </c>
      <c r="K1886" t="s">
        <v>24</v>
      </c>
      <c r="L1886">
        <v>1477.65</v>
      </c>
      <c r="M1886" t="s">
        <v>5032</v>
      </c>
      <c r="N1886" t="s">
        <v>5031</v>
      </c>
    </row>
    <row r="1887" spans="1:14" x14ac:dyDescent="0.3">
      <c r="A1887" t="s">
        <v>1911</v>
      </c>
      <c r="B1887" t="s">
        <v>19</v>
      </c>
      <c r="C1887" t="s">
        <v>13</v>
      </c>
      <c r="D1887">
        <v>24</v>
      </c>
      <c r="E1887" t="s">
        <v>14</v>
      </c>
      <c r="F1887" t="s">
        <v>16</v>
      </c>
      <c r="G1887">
        <v>70.3</v>
      </c>
      <c r="H1887">
        <v>1706.45</v>
      </c>
      <c r="I1887" t="s">
        <v>15</v>
      </c>
      <c r="J1887" t="s">
        <v>16</v>
      </c>
      <c r="K1887" t="s">
        <v>29</v>
      </c>
      <c r="L1887">
        <v>1706.45</v>
      </c>
      <c r="M1887" t="s">
        <v>5032</v>
      </c>
      <c r="N1887" t="s">
        <v>5031</v>
      </c>
    </row>
    <row r="1888" spans="1:14" x14ac:dyDescent="0.3">
      <c r="A1888" t="s">
        <v>1912</v>
      </c>
      <c r="B1888" t="s">
        <v>19</v>
      </c>
      <c r="C1888" t="s">
        <v>35</v>
      </c>
      <c r="D1888">
        <v>67</v>
      </c>
      <c r="E1888" t="s">
        <v>14</v>
      </c>
      <c r="F1888" t="s">
        <v>16</v>
      </c>
      <c r="G1888">
        <v>60.4</v>
      </c>
      <c r="H1888">
        <v>3953.7</v>
      </c>
      <c r="I1888" t="s">
        <v>15</v>
      </c>
      <c r="J1888" t="s">
        <v>16</v>
      </c>
      <c r="K1888" t="s">
        <v>24</v>
      </c>
      <c r="L1888">
        <v>3953.7</v>
      </c>
      <c r="M1888" t="s">
        <v>5033</v>
      </c>
      <c r="N1888" t="s">
        <v>5034</v>
      </c>
    </row>
    <row r="1889" spans="1:14" x14ac:dyDescent="0.3">
      <c r="A1889" t="s">
        <v>1913</v>
      </c>
      <c r="B1889" t="s">
        <v>12</v>
      </c>
      <c r="C1889" t="s">
        <v>13</v>
      </c>
      <c r="D1889">
        <v>16</v>
      </c>
      <c r="E1889" t="s">
        <v>26</v>
      </c>
      <c r="F1889" t="s">
        <v>15</v>
      </c>
      <c r="G1889">
        <v>72.650000000000006</v>
      </c>
      <c r="H1889">
        <v>1194.3</v>
      </c>
      <c r="I1889" t="s">
        <v>16</v>
      </c>
      <c r="J1889" t="s">
        <v>15</v>
      </c>
      <c r="K1889" t="s">
        <v>17</v>
      </c>
      <c r="L1889">
        <v>1194.3</v>
      </c>
      <c r="M1889" t="s">
        <v>5032</v>
      </c>
      <c r="N1889" t="s">
        <v>5031</v>
      </c>
    </row>
    <row r="1890" spans="1:14" x14ac:dyDescent="0.3">
      <c r="A1890" t="s">
        <v>1914</v>
      </c>
      <c r="B1890" t="s">
        <v>12</v>
      </c>
      <c r="C1890" t="s">
        <v>20</v>
      </c>
      <c r="D1890">
        <v>23</v>
      </c>
      <c r="E1890" t="s">
        <v>14</v>
      </c>
      <c r="F1890" t="s">
        <v>15</v>
      </c>
      <c r="G1890">
        <v>55.8</v>
      </c>
      <c r="H1890">
        <v>1327.85</v>
      </c>
      <c r="I1890" t="s">
        <v>15</v>
      </c>
      <c r="J1890" t="s">
        <v>15</v>
      </c>
      <c r="K1890" t="s">
        <v>24</v>
      </c>
      <c r="L1890">
        <v>1327.85</v>
      </c>
      <c r="M1890" t="s">
        <v>5032</v>
      </c>
      <c r="N1890" t="s">
        <v>5031</v>
      </c>
    </row>
    <row r="1891" spans="1:14" x14ac:dyDescent="0.3">
      <c r="A1891" t="s">
        <v>1915</v>
      </c>
      <c r="B1891" t="s">
        <v>19</v>
      </c>
      <c r="C1891" t="s">
        <v>13</v>
      </c>
      <c r="D1891">
        <v>14</v>
      </c>
      <c r="E1891" t="s">
        <v>14</v>
      </c>
      <c r="F1891" t="s">
        <v>15</v>
      </c>
      <c r="G1891">
        <v>31.1</v>
      </c>
      <c r="H1891">
        <v>419.7</v>
      </c>
      <c r="I1891" t="s">
        <v>15</v>
      </c>
      <c r="J1891" t="s">
        <v>16</v>
      </c>
      <c r="K1891" t="s">
        <v>21</v>
      </c>
      <c r="L1891">
        <v>419.7</v>
      </c>
      <c r="M1891" t="s">
        <v>5032</v>
      </c>
      <c r="N1891" t="s">
        <v>5031</v>
      </c>
    </row>
    <row r="1892" spans="1:14" x14ac:dyDescent="0.3">
      <c r="A1892" t="s">
        <v>1916</v>
      </c>
      <c r="B1892" t="s">
        <v>12</v>
      </c>
      <c r="C1892" t="s">
        <v>13</v>
      </c>
      <c r="D1892">
        <v>1</v>
      </c>
      <c r="E1892" t="s">
        <v>15</v>
      </c>
      <c r="F1892" t="s">
        <v>36</v>
      </c>
      <c r="G1892">
        <v>21</v>
      </c>
      <c r="H1892">
        <v>21</v>
      </c>
      <c r="I1892" t="s">
        <v>16</v>
      </c>
      <c r="J1892" t="s">
        <v>16</v>
      </c>
      <c r="K1892" t="s">
        <v>17</v>
      </c>
      <c r="L1892">
        <v>21</v>
      </c>
      <c r="M1892" t="s">
        <v>5030</v>
      </c>
      <c r="N1892" t="s">
        <v>5031</v>
      </c>
    </row>
    <row r="1893" spans="1:14" x14ac:dyDescent="0.3">
      <c r="A1893" t="s">
        <v>1917</v>
      </c>
      <c r="B1893" t="s">
        <v>12</v>
      </c>
      <c r="C1893" t="s">
        <v>13</v>
      </c>
      <c r="D1893">
        <v>1</v>
      </c>
      <c r="E1893" t="s">
        <v>14</v>
      </c>
      <c r="F1893" t="s">
        <v>15</v>
      </c>
      <c r="G1893">
        <v>45.1</v>
      </c>
      <c r="H1893">
        <v>45.1</v>
      </c>
      <c r="I1893" t="s">
        <v>16</v>
      </c>
      <c r="J1893" t="s">
        <v>15</v>
      </c>
      <c r="K1893" t="s">
        <v>21</v>
      </c>
      <c r="L1893">
        <v>45.1</v>
      </c>
      <c r="M1893" t="s">
        <v>5030</v>
      </c>
      <c r="N1893" t="s">
        <v>5031</v>
      </c>
    </row>
    <row r="1894" spans="1:14" x14ac:dyDescent="0.3">
      <c r="A1894" t="s">
        <v>1918</v>
      </c>
      <c r="B1894" t="s">
        <v>19</v>
      </c>
      <c r="C1894" t="s">
        <v>13</v>
      </c>
      <c r="D1894">
        <v>4</v>
      </c>
      <c r="E1894" t="s">
        <v>14</v>
      </c>
      <c r="F1894" t="s">
        <v>15</v>
      </c>
      <c r="G1894">
        <v>50.95</v>
      </c>
      <c r="H1894">
        <v>207.35</v>
      </c>
      <c r="I1894" t="s">
        <v>15</v>
      </c>
      <c r="J1894" t="s">
        <v>16</v>
      </c>
      <c r="K1894" t="s">
        <v>29</v>
      </c>
      <c r="L1894">
        <v>207.35</v>
      </c>
      <c r="M1894" t="s">
        <v>5030</v>
      </c>
      <c r="N1894" t="s">
        <v>5031</v>
      </c>
    </row>
    <row r="1895" spans="1:14" x14ac:dyDescent="0.3">
      <c r="A1895" t="s">
        <v>1919</v>
      </c>
      <c r="B1895" t="s">
        <v>19</v>
      </c>
      <c r="C1895" t="s">
        <v>13</v>
      </c>
      <c r="D1895">
        <v>16</v>
      </c>
      <c r="E1895" t="s">
        <v>14</v>
      </c>
      <c r="F1895" t="s">
        <v>15</v>
      </c>
      <c r="G1895">
        <v>69.099999999999994</v>
      </c>
      <c r="H1895">
        <v>1083.7</v>
      </c>
      <c r="I1895" t="s">
        <v>15</v>
      </c>
      <c r="J1895" t="s">
        <v>16</v>
      </c>
      <c r="K1895" t="s">
        <v>17</v>
      </c>
      <c r="L1895">
        <v>1083.7</v>
      </c>
      <c r="M1895" t="s">
        <v>5032</v>
      </c>
      <c r="N1895" t="s">
        <v>5031</v>
      </c>
    </row>
    <row r="1896" spans="1:14" x14ac:dyDescent="0.3">
      <c r="A1896" t="s">
        <v>1920</v>
      </c>
      <c r="B1896" t="s">
        <v>12</v>
      </c>
      <c r="C1896" t="s">
        <v>13</v>
      </c>
      <c r="D1896">
        <v>46</v>
      </c>
      <c r="E1896" t="s">
        <v>14</v>
      </c>
      <c r="F1896" t="s">
        <v>15</v>
      </c>
      <c r="G1896">
        <v>43.95</v>
      </c>
      <c r="H1896">
        <v>2007.85</v>
      </c>
      <c r="I1896" t="s">
        <v>15</v>
      </c>
      <c r="J1896" t="s">
        <v>16</v>
      </c>
      <c r="K1896" t="s">
        <v>17</v>
      </c>
      <c r="L1896">
        <v>2007.85</v>
      </c>
      <c r="M1896" t="s">
        <v>5033</v>
      </c>
      <c r="N1896" t="s">
        <v>5031</v>
      </c>
    </row>
    <row r="1897" spans="1:14" x14ac:dyDescent="0.3">
      <c r="A1897" t="s">
        <v>1921</v>
      </c>
      <c r="B1897" t="s">
        <v>19</v>
      </c>
      <c r="C1897" t="s">
        <v>35</v>
      </c>
      <c r="D1897">
        <v>68</v>
      </c>
      <c r="E1897" t="s">
        <v>14</v>
      </c>
      <c r="F1897" t="s">
        <v>16</v>
      </c>
      <c r="G1897">
        <v>86.5</v>
      </c>
      <c r="H1897">
        <v>5882.75</v>
      </c>
      <c r="I1897" t="s">
        <v>15</v>
      </c>
      <c r="J1897" t="s">
        <v>16</v>
      </c>
      <c r="K1897" t="s">
        <v>24</v>
      </c>
      <c r="L1897">
        <v>5882.75</v>
      </c>
      <c r="M1897" t="s">
        <v>5033</v>
      </c>
      <c r="N1897" t="s">
        <v>5034</v>
      </c>
    </row>
    <row r="1898" spans="1:14" x14ac:dyDescent="0.3">
      <c r="A1898" t="s">
        <v>1922</v>
      </c>
      <c r="B1898" t="s">
        <v>19</v>
      </c>
      <c r="C1898" t="s">
        <v>13</v>
      </c>
      <c r="D1898">
        <v>38</v>
      </c>
      <c r="E1898" t="s">
        <v>14</v>
      </c>
      <c r="F1898" t="s">
        <v>16</v>
      </c>
      <c r="G1898">
        <v>69.95</v>
      </c>
      <c r="H1898">
        <v>2657.55</v>
      </c>
      <c r="I1898" t="s">
        <v>15</v>
      </c>
      <c r="J1898" t="s">
        <v>15</v>
      </c>
      <c r="K1898" t="s">
        <v>17</v>
      </c>
      <c r="L1898">
        <v>2657.55</v>
      </c>
      <c r="M1898" t="s">
        <v>5033</v>
      </c>
      <c r="N1898" t="s">
        <v>5034</v>
      </c>
    </row>
    <row r="1899" spans="1:14" x14ac:dyDescent="0.3">
      <c r="A1899" t="s">
        <v>1923</v>
      </c>
      <c r="B1899" t="s">
        <v>19</v>
      </c>
      <c r="C1899" t="s">
        <v>13</v>
      </c>
      <c r="D1899">
        <v>30</v>
      </c>
      <c r="E1899" t="s">
        <v>14</v>
      </c>
      <c r="F1899" t="s">
        <v>15</v>
      </c>
      <c r="G1899">
        <v>50.4</v>
      </c>
      <c r="H1899">
        <v>1527.5</v>
      </c>
      <c r="I1899" t="s">
        <v>16</v>
      </c>
      <c r="J1899" t="s">
        <v>16</v>
      </c>
      <c r="K1899" t="s">
        <v>24</v>
      </c>
      <c r="L1899">
        <v>1527.5</v>
      </c>
      <c r="M1899" t="s">
        <v>5032</v>
      </c>
      <c r="N1899" t="s">
        <v>5031</v>
      </c>
    </row>
    <row r="1900" spans="1:14" x14ac:dyDescent="0.3">
      <c r="A1900" t="s">
        <v>1924</v>
      </c>
      <c r="B1900" t="s">
        <v>12</v>
      </c>
      <c r="C1900" t="s">
        <v>13</v>
      </c>
      <c r="D1900">
        <v>5</v>
      </c>
      <c r="E1900" t="s">
        <v>26</v>
      </c>
      <c r="F1900" t="s">
        <v>15</v>
      </c>
      <c r="G1900">
        <v>78.95</v>
      </c>
      <c r="H1900">
        <v>378.4</v>
      </c>
      <c r="I1900" t="s">
        <v>16</v>
      </c>
      <c r="J1900" t="s">
        <v>15</v>
      </c>
      <c r="K1900" t="s">
        <v>17</v>
      </c>
      <c r="L1900">
        <v>378.4</v>
      </c>
      <c r="M1900" t="s">
        <v>5030</v>
      </c>
      <c r="N1900" t="s">
        <v>5031</v>
      </c>
    </row>
    <row r="1901" spans="1:14" x14ac:dyDescent="0.3">
      <c r="A1901" t="s">
        <v>1925</v>
      </c>
      <c r="B1901" t="s">
        <v>19</v>
      </c>
      <c r="C1901" t="s">
        <v>13</v>
      </c>
      <c r="D1901">
        <v>17</v>
      </c>
      <c r="E1901" t="s">
        <v>26</v>
      </c>
      <c r="F1901" t="s">
        <v>15</v>
      </c>
      <c r="G1901">
        <v>90.95</v>
      </c>
      <c r="H1901">
        <v>1612.2</v>
      </c>
      <c r="I1901" t="s">
        <v>15</v>
      </c>
      <c r="J1901" t="s">
        <v>16</v>
      </c>
      <c r="K1901" t="s">
        <v>29</v>
      </c>
      <c r="L1901">
        <v>1612.2</v>
      </c>
      <c r="M1901" t="s">
        <v>5032</v>
      </c>
      <c r="N1901" t="s">
        <v>5031</v>
      </c>
    </row>
    <row r="1902" spans="1:14" x14ac:dyDescent="0.3">
      <c r="A1902" t="s">
        <v>1926</v>
      </c>
      <c r="B1902" t="s">
        <v>19</v>
      </c>
      <c r="C1902" t="s">
        <v>35</v>
      </c>
      <c r="D1902">
        <v>4</v>
      </c>
      <c r="E1902" t="s">
        <v>15</v>
      </c>
      <c r="F1902" t="s">
        <v>36</v>
      </c>
      <c r="G1902">
        <v>19.899999999999999</v>
      </c>
      <c r="H1902">
        <v>76.650000000000006</v>
      </c>
      <c r="I1902" t="s">
        <v>15</v>
      </c>
      <c r="J1902" t="s">
        <v>15</v>
      </c>
      <c r="K1902" t="s">
        <v>21</v>
      </c>
      <c r="L1902">
        <v>76.650000000000006</v>
      </c>
      <c r="M1902" t="s">
        <v>5030</v>
      </c>
      <c r="N1902" t="s">
        <v>5031</v>
      </c>
    </row>
    <row r="1903" spans="1:14" x14ac:dyDescent="0.3">
      <c r="A1903" t="s">
        <v>1927</v>
      </c>
      <c r="B1903" t="s">
        <v>12</v>
      </c>
      <c r="C1903" t="s">
        <v>20</v>
      </c>
      <c r="D1903">
        <v>12</v>
      </c>
      <c r="E1903" t="s">
        <v>15</v>
      </c>
      <c r="F1903" t="s">
        <v>36</v>
      </c>
      <c r="G1903">
        <v>20.149999999999999</v>
      </c>
      <c r="H1903">
        <v>260.7</v>
      </c>
      <c r="I1903" t="s">
        <v>15</v>
      </c>
      <c r="J1903" t="s">
        <v>15</v>
      </c>
      <c r="K1903" t="s">
        <v>17</v>
      </c>
      <c r="L1903">
        <v>260.7</v>
      </c>
      <c r="M1903" t="s">
        <v>5030</v>
      </c>
      <c r="N1903" t="s">
        <v>5031</v>
      </c>
    </row>
    <row r="1904" spans="1:14" x14ac:dyDescent="0.3">
      <c r="A1904" t="s">
        <v>1928</v>
      </c>
      <c r="B1904" t="s">
        <v>19</v>
      </c>
      <c r="C1904" t="s">
        <v>35</v>
      </c>
      <c r="D1904">
        <v>72</v>
      </c>
      <c r="E1904" t="s">
        <v>14</v>
      </c>
      <c r="F1904" t="s">
        <v>16</v>
      </c>
      <c r="G1904">
        <v>90.6</v>
      </c>
      <c r="H1904">
        <v>6441.85</v>
      </c>
      <c r="I1904" t="s">
        <v>15</v>
      </c>
      <c r="J1904" t="s">
        <v>16</v>
      </c>
      <c r="K1904" t="s">
        <v>29</v>
      </c>
      <c r="L1904">
        <v>6441.85</v>
      </c>
      <c r="M1904" t="s">
        <v>5033</v>
      </c>
      <c r="N1904" t="s">
        <v>5034</v>
      </c>
    </row>
    <row r="1905" spans="1:14" x14ac:dyDescent="0.3">
      <c r="A1905" t="s">
        <v>1929</v>
      </c>
      <c r="B1905" t="s">
        <v>19</v>
      </c>
      <c r="C1905" t="s">
        <v>13</v>
      </c>
      <c r="D1905">
        <v>3</v>
      </c>
      <c r="E1905" t="s">
        <v>26</v>
      </c>
      <c r="F1905" t="s">
        <v>15</v>
      </c>
      <c r="G1905">
        <v>92</v>
      </c>
      <c r="H1905">
        <v>266.8</v>
      </c>
      <c r="I1905" t="s">
        <v>15</v>
      </c>
      <c r="J1905" t="s">
        <v>16</v>
      </c>
      <c r="K1905" t="s">
        <v>17</v>
      </c>
      <c r="L1905">
        <v>266.8</v>
      </c>
      <c r="M1905" t="s">
        <v>5030</v>
      </c>
      <c r="N1905" t="s">
        <v>5031</v>
      </c>
    </row>
    <row r="1906" spans="1:14" x14ac:dyDescent="0.3">
      <c r="A1906" t="s">
        <v>1930</v>
      </c>
      <c r="B1906" t="s">
        <v>19</v>
      </c>
      <c r="C1906" t="s">
        <v>13</v>
      </c>
      <c r="D1906">
        <v>56</v>
      </c>
      <c r="E1906" t="s">
        <v>26</v>
      </c>
      <c r="F1906" t="s">
        <v>16</v>
      </c>
      <c r="G1906">
        <v>94.45</v>
      </c>
      <c r="H1906">
        <v>5124.6000000000004</v>
      </c>
      <c r="I1906" t="s">
        <v>16</v>
      </c>
      <c r="J1906" t="s">
        <v>16</v>
      </c>
      <c r="K1906" t="s">
        <v>17</v>
      </c>
      <c r="L1906">
        <v>5124.6000000000004</v>
      </c>
      <c r="M1906" t="s">
        <v>5033</v>
      </c>
      <c r="N1906" t="s">
        <v>5034</v>
      </c>
    </row>
    <row r="1907" spans="1:14" x14ac:dyDescent="0.3">
      <c r="A1907" t="s">
        <v>1931</v>
      </c>
      <c r="B1907" t="s">
        <v>12</v>
      </c>
      <c r="C1907" t="s">
        <v>20</v>
      </c>
      <c r="D1907">
        <v>41</v>
      </c>
      <c r="E1907" t="s">
        <v>15</v>
      </c>
      <c r="F1907" t="s">
        <v>36</v>
      </c>
      <c r="G1907">
        <v>24.85</v>
      </c>
      <c r="H1907">
        <v>962.25</v>
      </c>
      <c r="I1907" t="s">
        <v>15</v>
      </c>
      <c r="J1907" t="s">
        <v>16</v>
      </c>
      <c r="K1907" t="s">
        <v>21</v>
      </c>
      <c r="L1907">
        <v>962.25</v>
      </c>
      <c r="M1907" t="s">
        <v>5033</v>
      </c>
      <c r="N1907" t="s">
        <v>5031</v>
      </c>
    </row>
    <row r="1908" spans="1:14" x14ac:dyDescent="0.3">
      <c r="A1908" t="s">
        <v>1932</v>
      </c>
      <c r="B1908" t="s">
        <v>19</v>
      </c>
      <c r="C1908" t="s">
        <v>20</v>
      </c>
      <c r="D1908">
        <v>40</v>
      </c>
      <c r="E1908" t="s">
        <v>14</v>
      </c>
      <c r="F1908" t="s">
        <v>16</v>
      </c>
      <c r="G1908">
        <v>36</v>
      </c>
      <c r="H1908">
        <v>1382.9</v>
      </c>
      <c r="I1908" t="s">
        <v>15</v>
      </c>
      <c r="J1908" t="s">
        <v>15</v>
      </c>
      <c r="K1908" t="s">
        <v>29</v>
      </c>
      <c r="L1908">
        <v>1382.9</v>
      </c>
      <c r="M1908" t="s">
        <v>5033</v>
      </c>
      <c r="N1908" t="s">
        <v>5031</v>
      </c>
    </row>
    <row r="1909" spans="1:14" x14ac:dyDescent="0.3">
      <c r="A1909" t="s">
        <v>1933</v>
      </c>
      <c r="B1909" t="s">
        <v>12</v>
      </c>
      <c r="C1909" t="s">
        <v>13</v>
      </c>
      <c r="D1909">
        <v>7</v>
      </c>
      <c r="E1909" t="s">
        <v>14</v>
      </c>
      <c r="F1909" t="s">
        <v>16</v>
      </c>
      <c r="G1909">
        <v>78.5</v>
      </c>
      <c r="H1909">
        <v>571.04999999999995</v>
      </c>
      <c r="I1909" t="s">
        <v>15</v>
      </c>
      <c r="J1909" t="s">
        <v>16</v>
      </c>
      <c r="K1909" t="s">
        <v>17</v>
      </c>
      <c r="L1909">
        <v>571.04999999999995</v>
      </c>
      <c r="M1909" t="s">
        <v>5030</v>
      </c>
      <c r="N1909" t="s">
        <v>5031</v>
      </c>
    </row>
    <row r="1910" spans="1:14" x14ac:dyDescent="0.3">
      <c r="A1910" t="s">
        <v>1934</v>
      </c>
      <c r="B1910" t="s">
        <v>19</v>
      </c>
      <c r="C1910" t="s">
        <v>35</v>
      </c>
      <c r="D1910">
        <v>69</v>
      </c>
      <c r="E1910" t="s">
        <v>15</v>
      </c>
      <c r="F1910" t="s">
        <v>36</v>
      </c>
      <c r="G1910">
        <v>19.95</v>
      </c>
      <c r="H1910">
        <v>1399.35</v>
      </c>
      <c r="I1910" t="s">
        <v>15</v>
      </c>
      <c r="J1910" t="s">
        <v>15</v>
      </c>
      <c r="K1910" t="s">
        <v>29</v>
      </c>
      <c r="L1910">
        <v>1399.35</v>
      </c>
      <c r="M1910" t="s">
        <v>5033</v>
      </c>
      <c r="N1910" t="s">
        <v>5031</v>
      </c>
    </row>
    <row r="1911" spans="1:14" x14ac:dyDescent="0.3">
      <c r="A1911" t="s">
        <v>1935</v>
      </c>
      <c r="B1911" t="s">
        <v>19</v>
      </c>
      <c r="C1911" t="s">
        <v>20</v>
      </c>
      <c r="D1911">
        <v>7</v>
      </c>
      <c r="E1911" t="s">
        <v>15</v>
      </c>
      <c r="F1911" t="s">
        <v>36</v>
      </c>
      <c r="G1911">
        <v>20.65</v>
      </c>
      <c r="H1911">
        <v>150</v>
      </c>
      <c r="I1911" t="s">
        <v>15</v>
      </c>
      <c r="J1911" t="s">
        <v>15</v>
      </c>
      <c r="K1911" t="s">
        <v>21</v>
      </c>
      <c r="L1911">
        <v>150</v>
      </c>
      <c r="M1911" t="s">
        <v>5030</v>
      </c>
      <c r="N1911" t="s">
        <v>5031</v>
      </c>
    </row>
    <row r="1912" spans="1:14" x14ac:dyDescent="0.3">
      <c r="A1912" t="s">
        <v>1936</v>
      </c>
      <c r="B1912" t="s">
        <v>12</v>
      </c>
      <c r="C1912" t="s">
        <v>13</v>
      </c>
      <c r="D1912">
        <v>5</v>
      </c>
      <c r="E1912" t="s">
        <v>14</v>
      </c>
      <c r="F1912" t="s">
        <v>15</v>
      </c>
      <c r="G1912">
        <v>30.5</v>
      </c>
      <c r="H1912">
        <v>167.2</v>
      </c>
      <c r="I1912" t="s">
        <v>15</v>
      </c>
      <c r="J1912" t="s">
        <v>16</v>
      </c>
      <c r="K1912" t="s">
        <v>17</v>
      </c>
      <c r="L1912">
        <v>167.2</v>
      </c>
      <c r="M1912" t="s">
        <v>5030</v>
      </c>
      <c r="N1912" t="s">
        <v>5031</v>
      </c>
    </row>
    <row r="1913" spans="1:14" x14ac:dyDescent="0.3">
      <c r="A1913" t="s">
        <v>1937</v>
      </c>
      <c r="B1913" t="s">
        <v>12</v>
      </c>
      <c r="C1913" t="s">
        <v>35</v>
      </c>
      <c r="D1913">
        <v>72</v>
      </c>
      <c r="E1913" t="s">
        <v>26</v>
      </c>
      <c r="F1913" t="s">
        <v>16</v>
      </c>
      <c r="G1913">
        <v>106.1</v>
      </c>
      <c r="H1913">
        <v>7657.4</v>
      </c>
      <c r="I1913" t="s">
        <v>15</v>
      </c>
      <c r="J1913" t="s">
        <v>15</v>
      </c>
      <c r="K1913" t="s">
        <v>29</v>
      </c>
      <c r="L1913">
        <v>7657.4</v>
      </c>
      <c r="M1913" t="s">
        <v>5033</v>
      </c>
      <c r="N1913" t="s">
        <v>5034</v>
      </c>
    </row>
    <row r="1914" spans="1:14" x14ac:dyDescent="0.3">
      <c r="A1914" t="s">
        <v>1938</v>
      </c>
      <c r="B1914" t="s">
        <v>19</v>
      </c>
      <c r="C1914" t="s">
        <v>20</v>
      </c>
      <c r="D1914">
        <v>44</v>
      </c>
      <c r="E1914" t="s">
        <v>15</v>
      </c>
      <c r="F1914" t="s">
        <v>36</v>
      </c>
      <c r="G1914">
        <v>20.5</v>
      </c>
      <c r="H1914">
        <v>865.05</v>
      </c>
      <c r="I1914" t="s">
        <v>15</v>
      </c>
      <c r="J1914" t="s">
        <v>16</v>
      </c>
      <c r="K1914" t="s">
        <v>24</v>
      </c>
      <c r="L1914">
        <v>865.05</v>
      </c>
      <c r="M1914" t="s">
        <v>5033</v>
      </c>
      <c r="N1914" t="s">
        <v>5031</v>
      </c>
    </row>
    <row r="1915" spans="1:14" x14ac:dyDescent="0.3">
      <c r="A1915" t="s">
        <v>1939</v>
      </c>
      <c r="B1915" t="s">
        <v>12</v>
      </c>
      <c r="C1915" t="s">
        <v>20</v>
      </c>
      <c r="D1915">
        <v>65</v>
      </c>
      <c r="E1915" t="s">
        <v>26</v>
      </c>
      <c r="F1915" t="s">
        <v>15</v>
      </c>
      <c r="G1915">
        <v>95.5</v>
      </c>
      <c r="H1915">
        <v>6153.85</v>
      </c>
      <c r="I1915" t="s">
        <v>15</v>
      </c>
      <c r="J1915" t="s">
        <v>16</v>
      </c>
      <c r="K1915" t="s">
        <v>17</v>
      </c>
      <c r="L1915">
        <v>6153.85</v>
      </c>
      <c r="M1915" t="s">
        <v>5033</v>
      </c>
      <c r="N1915" t="s">
        <v>5034</v>
      </c>
    </row>
    <row r="1916" spans="1:14" x14ac:dyDescent="0.3">
      <c r="A1916" t="s">
        <v>1940</v>
      </c>
      <c r="B1916" t="s">
        <v>12</v>
      </c>
      <c r="C1916" t="s">
        <v>13</v>
      </c>
      <c r="D1916">
        <v>3</v>
      </c>
      <c r="E1916" t="s">
        <v>14</v>
      </c>
      <c r="F1916" t="s">
        <v>16</v>
      </c>
      <c r="G1916">
        <v>64.599999999999994</v>
      </c>
      <c r="H1916">
        <v>174.2</v>
      </c>
      <c r="I1916" t="s">
        <v>15</v>
      </c>
      <c r="J1916" t="s">
        <v>15</v>
      </c>
      <c r="K1916" t="s">
        <v>17</v>
      </c>
      <c r="L1916">
        <v>174.2</v>
      </c>
      <c r="M1916" t="s">
        <v>5030</v>
      </c>
      <c r="N1916" t="s">
        <v>5031</v>
      </c>
    </row>
    <row r="1917" spans="1:14" x14ac:dyDescent="0.3">
      <c r="A1917" t="s">
        <v>1941</v>
      </c>
      <c r="B1917" t="s">
        <v>19</v>
      </c>
      <c r="C1917" t="s">
        <v>13</v>
      </c>
      <c r="D1917">
        <v>24</v>
      </c>
      <c r="E1917" t="s">
        <v>14</v>
      </c>
      <c r="F1917" t="s">
        <v>16</v>
      </c>
      <c r="G1917">
        <v>51.1</v>
      </c>
      <c r="H1917">
        <v>1269.5999999999999</v>
      </c>
      <c r="I1917" t="s">
        <v>15</v>
      </c>
      <c r="J1917" t="s">
        <v>16</v>
      </c>
      <c r="K1917" t="s">
        <v>29</v>
      </c>
      <c r="L1917">
        <v>1269.5999999999999</v>
      </c>
      <c r="M1917" t="s">
        <v>5032</v>
      </c>
      <c r="N1917" t="s">
        <v>5031</v>
      </c>
    </row>
    <row r="1918" spans="1:14" x14ac:dyDescent="0.3">
      <c r="A1918" t="s">
        <v>1942</v>
      </c>
      <c r="B1918" t="s">
        <v>12</v>
      </c>
      <c r="C1918" t="s">
        <v>13</v>
      </c>
      <c r="D1918">
        <v>44</v>
      </c>
      <c r="E1918" t="s">
        <v>26</v>
      </c>
      <c r="F1918" t="s">
        <v>15</v>
      </c>
      <c r="G1918">
        <v>84.8</v>
      </c>
      <c r="H1918">
        <v>3862.55</v>
      </c>
      <c r="I1918" t="s">
        <v>16</v>
      </c>
      <c r="J1918" t="s">
        <v>16</v>
      </c>
      <c r="K1918" t="s">
        <v>24</v>
      </c>
      <c r="L1918">
        <v>3862.55</v>
      </c>
      <c r="M1918" t="s">
        <v>5033</v>
      </c>
      <c r="N1918" t="s">
        <v>5034</v>
      </c>
    </row>
    <row r="1919" spans="1:14" x14ac:dyDescent="0.3">
      <c r="A1919" t="s">
        <v>1943</v>
      </c>
      <c r="B1919" t="s">
        <v>12</v>
      </c>
      <c r="C1919" t="s">
        <v>35</v>
      </c>
      <c r="D1919">
        <v>72</v>
      </c>
      <c r="E1919" t="s">
        <v>14</v>
      </c>
      <c r="F1919" t="s">
        <v>16</v>
      </c>
      <c r="G1919">
        <v>89.1</v>
      </c>
      <c r="H1919">
        <v>6352.4</v>
      </c>
      <c r="I1919" t="s">
        <v>15</v>
      </c>
      <c r="J1919" t="s">
        <v>15</v>
      </c>
      <c r="K1919" t="s">
        <v>29</v>
      </c>
      <c r="L1919">
        <v>6352.4</v>
      </c>
      <c r="M1919" t="s">
        <v>5033</v>
      </c>
      <c r="N1919" t="s">
        <v>5034</v>
      </c>
    </row>
    <row r="1920" spans="1:14" x14ac:dyDescent="0.3">
      <c r="A1920" t="s">
        <v>1944</v>
      </c>
      <c r="B1920" t="s">
        <v>19</v>
      </c>
      <c r="C1920" t="s">
        <v>13</v>
      </c>
      <c r="D1920">
        <v>24</v>
      </c>
      <c r="E1920" t="s">
        <v>14</v>
      </c>
      <c r="F1920" t="s">
        <v>16</v>
      </c>
      <c r="G1920">
        <v>54.95</v>
      </c>
      <c r="H1920">
        <v>1348.5</v>
      </c>
      <c r="I1920" t="s">
        <v>15</v>
      </c>
      <c r="J1920" t="s">
        <v>15</v>
      </c>
      <c r="K1920" t="s">
        <v>17</v>
      </c>
      <c r="L1920">
        <v>1348.5</v>
      </c>
      <c r="M1920" t="s">
        <v>5032</v>
      </c>
      <c r="N1920" t="s">
        <v>5031</v>
      </c>
    </row>
    <row r="1921" spans="1:14" x14ac:dyDescent="0.3">
      <c r="A1921" t="s">
        <v>1945</v>
      </c>
      <c r="B1921" t="s">
        <v>19</v>
      </c>
      <c r="C1921" t="s">
        <v>13</v>
      </c>
      <c r="D1921">
        <v>1</v>
      </c>
      <c r="E1921" t="s">
        <v>14</v>
      </c>
      <c r="F1921" t="s">
        <v>15</v>
      </c>
      <c r="G1921">
        <v>50.9</v>
      </c>
      <c r="H1921">
        <v>50.9</v>
      </c>
      <c r="I1921" t="s">
        <v>16</v>
      </c>
      <c r="J1921" t="s">
        <v>15</v>
      </c>
      <c r="K1921" t="s">
        <v>21</v>
      </c>
      <c r="L1921">
        <v>50.9</v>
      </c>
      <c r="M1921" t="s">
        <v>5030</v>
      </c>
      <c r="N1921" t="s">
        <v>5031</v>
      </c>
    </row>
    <row r="1922" spans="1:14" x14ac:dyDescent="0.3">
      <c r="A1922" t="s">
        <v>1946</v>
      </c>
      <c r="B1922" t="s">
        <v>19</v>
      </c>
      <c r="C1922" t="s">
        <v>13</v>
      </c>
      <c r="D1922">
        <v>22</v>
      </c>
      <c r="E1922" t="s">
        <v>15</v>
      </c>
      <c r="F1922" t="s">
        <v>36</v>
      </c>
      <c r="G1922">
        <v>20.45</v>
      </c>
      <c r="H1922">
        <v>471.55</v>
      </c>
      <c r="I1922" t="s">
        <v>15</v>
      </c>
      <c r="J1922" t="s">
        <v>16</v>
      </c>
      <c r="K1922" t="s">
        <v>24</v>
      </c>
      <c r="L1922">
        <v>471.55</v>
      </c>
      <c r="M1922" t="s">
        <v>5032</v>
      </c>
      <c r="N1922" t="s">
        <v>5031</v>
      </c>
    </row>
    <row r="1923" spans="1:14" x14ac:dyDescent="0.3">
      <c r="A1923" t="s">
        <v>1947</v>
      </c>
      <c r="B1923" t="s">
        <v>19</v>
      </c>
      <c r="C1923" t="s">
        <v>35</v>
      </c>
      <c r="D1923">
        <v>70</v>
      </c>
      <c r="E1923" t="s">
        <v>14</v>
      </c>
      <c r="F1923" t="s">
        <v>16</v>
      </c>
      <c r="G1923">
        <v>85.95</v>
      </c>
      <c r="H1923">
        <v>5931.75</v>
      </c>
      <c r="I1923" t="s">
        <v>15</v>
      </c>
      <c r="J1923" t="s">
        <v>16</v>
      </c>
      <c r="K1923" t="s">
        <v>29</v>
      </c>
      <c r="L1923">
        <v>5931.75</v>
      </c>
      <c r="M1923" t="s">
        <v>5033</v>
      </c>
      <c r="N1923" t="s">
        <v>5034</v>
      </c>
    </row>
    <row r="1924" spans="1:14" x14ac:dyDescent="0.3">
      <c r="A1924" t="s">
        <v>1948</v>
      </c>
      <c r="B1924" t="s">
        <v>19</v>
      </c>
      <c r="C1924" t="s">
        <v>13</v>
      </c>
      <c r="D1924">
        <v>25</v>
      </c>
      <c r="E1924" t="s">
        <v>14</v>
      </c>
      <c r="F1924" t="s">
        <v>15</v>
      </c>
      <c r="G1924">
        <v>60.35</v>
      </c>
      <c r="H1924">
        <v>1404.65</v>
      </c>
      <c r="I1924" t="s">
        <v>15</v>
      </c>
      <c r="J1924" t="s">
        <v>15</v>
      </c>
      <c r="K1924" t="s">
        <v>17</v>
      </c>
      <c r="L1924">
        <v>1404.65</v>
      </c>
      <c r="M1924" t="s">
        <v>5032</v>
      </c>
      <c r="N1924" t="s">
        <v>5031</v>
      </c>
    </row>
    <row r="1925" spans="1:14" x14ac:dyDescent="0.3">
      <c r="A1925" t="s">
        <v>1949</v>
      </c>
      <c r="B1925" t="s">
        <v>19</v>
      </c>
      <c r="C1925" t="s">
        <v>35</v>
      </c>
      <c r="D1925">
        <v>37</v>
      </c>
      <c r="E1925" t="s">
        <v>15</v>
      </c>
      <c r="F1925" t="s">
        <v>36</v>
      </c>
      <c r="G1925">
        <v>19.8</v>
      </c>
      <c r="H1925">
        <v>726.1</v>
      </c>
      <c r="I1925" t="s">
        <v>15</v>
      </c>
      <c r="J1925" t="s">
        <v>15</v>
      </c>
      <c r="K1925" t="s">
        <v>24</v>
      </c>
      <c r="L1925">
        <v>726.1</v>
      </c>
      <c r="M1925" t="s">
        <v>5033</v>
      </c>
      <c r="N1925" t="s">
        <v>5031</v>
      </c>
    </row>
    <row r="1926" spans="1:14" x14ac:dyDescent="0.3">
      <c r="A1926" t="s">
        <v>1950</v>
      </c>
      <c r="B1926" t="s">
        <v>12</v>
      </c>
      <c r="C1926" t="s">
        <v>13</v>
      </c>
      <c r="D1926">
        <v>22</v>
      </c>
      <c r="E1926" t="s">
        <v>26</v>
      </c>
      <c r="F1926" t="s">
        <v>15</v>
      </c>
      <c r="G1926">
        <v>85.35</v>
      </c>
      <c r="H1926">
        <v>1961.6</v>
      </c>
      <c r="I1926" t="s">
        <v>15</v>
      </c>
      <c r="J1926" t="s">
        <v>15</v>
      </c>
      <c r="K1926" t="s">
        <v>24</v>
      </c>
      <c r="L1926">
        <v>1961.6</v>
      </c>
      <c r="M1926" t="s">
        <v>5032</v>
      </c>
      <c r="N1926" t="s">
        <v>5031</v>
      </c>
    </row>
    <row r="1927" spans="1:14" x14ac:dyDescent="0.3">
      <c r="A1927" t="s">
        <v>1951</v>
      </c>
      <c r="B1927" t="s">
        <v>12</v>
      </c>
      <c r="C1927" t="s">
        <v>35</v>
      </c>
      <c r="D1927">
        <v>59</v>
      </c>
      <c r="E1927" t="s">
        <v>14</v>
      </c>
      <c r="F1927" t="s">
        <v>16</v>
      </c>
      <c r="G1927">
        <v>72.099999999999994</v>
      </c>
      <c r="H1927">
        <v>4194.8500000000004</v>
      </c>
      <c r="I1927" t="s">
        <v>15</v>
      </c>
      <c r="J1927" t="s">
        <v>16</v>
      </c>
      <c r="K1927" t="s">
        <v>24</v>
      </c>
      <c r="L1927">
        <v>4194.8500000000004</v>
      </c>
      <c r="M1927" t="s">
        <v>5033</v>
      </c>
      <c r="N1927" t="s">
        <v>5034</v>
      </c>
    </row>
    <row r="1928" spans="1:14" x14ac:dyDescent="0.3">
      <c r="A1928" t="s">
        <v>1952</v>
      </c>
      <c r="B1928" t="s">
        <v>19</v>
      </c>
      <c r="C1928" t="s">
        <v>13</v>
      </c>
      <c r="D1928">
        <v>49</v>
      </c>
      <c r="E1928" t="s">
        <v>26</v>
      </c>
      <c r="F1928" t="s">
        <v>15</v>
      </c>
      <c r="G1928">
        <v>99.8</v>
      </c>
      <c r="H1928">
        <v>4872.45</v>
      </c>
      <c r="I1928" t="s">
        <v>16</v>
      </c>
      <c r="J1928" t="s">
        <v>16</v>
      </c>
      <c r="K1928" t="s">
        <v>17</v>
      </c>
      <c r="L1928">
        <v>4872.45</v>
      </c>
      <c r="M1928" t="s">
        <v>5033</v>
      </c>
      <c r="N1928" t="s">
        <v>5034</v>
      </c>
    </row>
    <row r="1929" spans="1:14" x14ac:dyDescent="0.3">
      <c r="A1929" t="s">
        <v>1953</v>
      </c>
      <c r="B1929" t="s">
        <v>19</v>
      </c>
      <c r="C1929" t="s">
        <v>13</v>
      </c>
      <c r="D1929">
        <v>47</v>
      </c>
      <c r="E1929" t="s">
        <v>26</v>
      </c>
      <c r="F1929" t="s">
        <v>16</v>
      </c>
      <c r="G1929">
        <v>107.35</v>
      </c>
      <c r="H1929">
        <v>5118.95</v>
      </c>
      <c r="I1929" t="s">
        <v>16</v>
      </c>
      <c r="J1929" t="s">
        <v>16</v>
      </c>
      <c r="K1929" t="s">
        <v>24</v>
      </c>
      <c r="L1929">
        <v>5118.95</v>
      </c>
      <c r="M1929" t="s">
        <v>5033</v>
      </c>
      <c r="N1929" t="s">
        <v>5034</v>
      </c>
    </row>
    <row r="1930" spans="1:14" x14ac:dyDescent="0.3">
      <c r="A1930" t="s">
        <v>1954</v>
      </c>
      <c r="B1930" t="s">
        <v>12</v>
      </c>
      <c r="C1930" t="s">
        <v>13</v>
      </c>
      <c r="D1930">
        <v>31</v>
      </c>
      <c r="E1930" t="s">
        <v>15</v>
      </c>
      <c r="F1930" t="s">
        <v>36</v>
      </c>
      <c r="G1930">
        <v>19.55</v>
      </c>
      <c r="H1930">
        <v>658.95</v>
      </c>
      <c r="I1930" t="s">
        <v>16</v>
      </c>
      <c r="J1930" t="s">
        <v>16</v>
      </c>
      <c r="K1930" t="s">
        <v>21</v>
      </c>
      <c r="L1930">
        <v>658.95</v>
      </c>
      <c r="M1930" t="s">
        <v>5032</v>
      </c>
      <c r="N1930" t="s">
        <v>5031</v>
      </c>
    </row>
    <row r="1931" spans="1:14" x14ac:dyDescent="0.3">
      <c r="A1931" t="s">
        <v>1955</v>
      </c>
      <c r="B1931" t="s">
        <v>19</v>
      </c>
      <c r="C1931" t="s">
        <v>13</v>
      </c>
      <c r="D1931">
        <v>1</v>
      </c>
      <c r="E1931" t="s">
        <v>26</v>
      </c>
      <c r="F1931" t="s">
        <v>15</v>
      </c>
      <c r="G1931">
        <v>81.05</v>
      </c>
      <c r="H1931">
        <v>81.05</v>
      </c>
      <c r="I1931" t="s">
        <v>15</v>
      </c>
      <c r="J1931" t="s">
        <v>16</v>
      </c>
      <c r="K1931" t="s">
        <v>17</v>
      </c>
      <c r="L1931">
        <v>81.05</v>
      </c>
      <c r="M1931" t="s">
        <v>5030</v>
      </c>
      <c r="N1931" t="s">
        <v>5031</v>
      </c>
    </row>
    <row r="1932" spans="1:14" x14ac:dyDescent="0.3">
      <c r="A1932" t="s">
        <v>1956</v>
      </c>
      <c r="B1932" t="s">
        <v>19</v>
      </c>
      <c r="C1932" t="s">
        <v>13</v>
      </c>
      <c r="D1932">
        <v>3</v>
      </c>
      <c r="E1932" t="s">
        <v>15</v>
      </c>
      <c r="F1932" t="s">
        <v>36</v>
      </c>
      <c r="G1932">
        <v>20.5</v>
      </c>
      <c r="H1932">
        <v>76.95</v>
      </c>
      <c r="I1932" t="s">
        <v>15</v>
      </c>
      <c r="J1932" t="s">
        <v>16</v>
      </c>
      <c r="K1932" t="s">
        <v>17</v>
      </c>
      <c r="L1932">
        <v>76.95</v>
      </c>
      <c r="M1932" t="s">
        <v>5030</v>
      </c>
      <c r="N1932" t="s">
        <v>5031</v>
      </c>
    </row>
    <row r="1933" spans="1:14" x14ac:dyDescent="0.3">
      <c r="A1933" t="s">
        <v>1957</v>
      </c>
      <c r="B1933" t="s">
        <v>12</v>
      </c>
      <c r="C1933" t="s">
        <v>20</v>
      </c>
      <c r="D1933">
        <v>53</v>
      </c>
      <c r="E1933" t="s">
        <v>26</v>
      </c>
      <c r="F1933" t="s">
        <v>16</v>
      </c>
      <c r="G1933">
        <v>111.8</v>
      </c>
      <c r="H1933">
        <v>5809.75</v>
      </c>
      <c r="I1933" t="s">
        <v>15</v>
      </c>
      <c r="J1933" t="s">
        <v>16</v>
      </c>
      <c r="K1933" t="s">
        <v>24</v>
      </c>
      <c r="L1933">
        <v>5809.75</v>
      </c>
      <c r="M1933" t="s">
        <v>5033</v>
      </c>
      <c r="N1933" t="s">
        <v>5034</v>
      </c>
    </row>
    <row r="1934" spans="1:14" x14ac:dyDescent="0.3">
      <c r="A1934" t="s">
        <v>1958</v>
      </c>
      <c r="B1934" t="s">
        <v>19</v>
      </c>
      <c r="C1934" t="s">
        <v>13</v>
      </c>
      <c r="D1934">
        <v>1</v>
      </c>
      <c r="E1934" t="s">
        <v>15</v>
      </c>
      <c r="F1934" t="s">
        <v>36</v>
      </c>
      <c r="G1934">
        <v>20.2</v>
      </c>
      <c r="H1934">
        <v>20.2</v>
      </c>
      <c r="I1934" t="s">
        <v>15</v>
      </c>
      <c r="J1934" t="s">
        <v>15</v>
      </c>
      <c r="K1934" t="s">
        <v>21</v>
      </c>
      <c r="L1934">
        <v>20.2</v>
      </c>
      <c r="M1934" t="s">
        <v>5030</v>
      </c>
      <c r="N1934" t="s">
        <v>5031</v>
      </c>
    </row>
    <row r="1935" spans="1:14" x14ac:dyDescent="0.3">
      <c r="A1935" t="s">
        <v>1959</v>
      </c>
      <c r="B1935" t="s">
        <v>19</v>
      </c>
      <c r="C1935" t="s">
        <v>20</v>
      </c>
      <c r="D1935">
        <v>20</v>
      </c>
      <c r="E1935" t="s">
        <v>15</v>
      </c>
      <c r="F1935" t="s">
        <v>36</v>
      </c>
      <c r="G1935">
        <v>19.7</v>
      </c>
      <c r="H1935">
        <v>415.9</v>
      </c>
      <c r="I1935" t="s">
        <v>15</v>
      </c>
      <c r="J1935" t="s">
        <v>16</v>
      </c>
      <c r="K1935" t="s">
        <v>21</v>
      </c>
      <c r="L1935">
        <v>415.9</v>
      </c>
      <c r="M1935" t="s">
        <v>5032</v>
      </c>
      <c r="N1935" t="s">
        <v>5031</v>
      </c>
    </row>
    <row r="1936" spans="1:14" x14ac:dyDescent="0.3">
      <c r="A1936" t="s">
        <v>1960</v>
      </c>
      <c r="B1936" t="s">
        <v>12</v>
      </c>
      <c r="C1936" t="s">
        <v>13</v>
      </c>
      <c r="D1936">
        <v>3</v>
      </c>
      <c r="E1936" t="s">
        <v>26</v>
      </c>
      <c r="F1936" t="s">
        <v>15</v>
      </c>
      <c r="G1936">
        <v>79.099999999999994</v>
      </c>
      <c r="H1936">
        <v>246.5</v>
      </c>
      <c r="I1936" t="s">
        <v>16</v>
      </c>
      <c r="J1936" t="s">
        <v>16</v>
      </c>
      <c r="K1936" t="s">
        <v>17</v>
      </c>
      <c r="L1936">
        <v>246.5</v>
      </c>
      <c r="M1936" t="s">
        <v>5030</v>
      </c>
      <c r="N1936" t="s">
        <v>5031</v>
      </c>
    </row>
    <row r="1937" spans="1:14" x14ac:dyDescent="0.3">
      <c r="A1937" t="s">
        <v>1961</v>
      </c>
      <c r="B1937" t="s">
        <v>12</v>
      </c>
      <c r="C1937" t="s">
        <v>20</v>
      </c>
      <c r="D1937">
        <v>51</v>
      </c>
      <c r="E1937" t="s">
        <v>15</v>
      </c>
      <c r="F1937" t="s">
        <v>36</v>
      </c>
      <c r="G1937">
        <v>19.850000000000001</v>
      </c>
      <c r="H1937">
        <v>996.95</v>
      </c>
      <c r="I1937" t="s">
        <v>15</v>
      </c>
      <c r="J1937" t="s">
        <v>16</v>
      </c>
      <c r="K1937" t="s">
        <v>24</v>
      </c>
      <c r="L1937">
        <v>996.95</v>
      </c>
      <c r="M1937" t="s">
        <v>5033</v>
      </c>
      <c r="N1937" t="s">
        <v>5031</v>
      </c>
    </row>
    <row r="1938" spans="1:14" x14ac:dyDescent="0.3">
      <c r="A1938" t="s">
        <v>1962</v>
      </c>
      <c r="B1938" t="s">
        <v>12</v>
      </c>
      <c r="C1938" t="s">
        <v>20</v>
      </c>
      <c r="D1938">
        <v>51</v>
      </c>
      <c r="E1938" t="s">
        <v>14</v>
      </c>
      <c r="F1938" t="s">
        <v>16</v>
      </c>
      <c r="G1938">
        <v>60.5</v>
      </c>
      <c r="H1938">
        <v>3145.15</v>
      </c>
      <c r="I1938" t="s">
        <v>15</v>
      </c>
      <c r="J1938" t="s">
        <v>16</v>
      </c>
      <c r="K1938" t="s">
        <v>24</v>
      </c>
      <c r="L1938">
        <v>3145.15</v>
      </c>
      <c r="M1938" t="s">
        <v>5033</v>
      </c>
      <c r="N1938" t="s">
        <v>5034</v>
      </c>
    </row>
    <row r="1939" spans="1:14" x14ac:dyDescent="0.3">
      <c r="A1939" t="s">
        <v>1963</v>
      </c>
      <c r="B1939" t="s">
        <v>12</v>
      </c>
      <c r="C1939" t="s">
        <v>35</v>
      </c>
      <c r="D1939">
        <v>13</v>
      </c>
      <c r="E1939" t="s">
        <v>15</v>
      </c>
      <c r="F1939" t="s">
        <v>36</v>
      </c>
      <c r="G1939">
        <v>19.55</v>
      </c>
      <c r="H1939">
        <v>265.3</v>
      </c>
      <c r="I1939" t="s">
        <v>15</v>
      </c>
      <c r="J1939" t="s">
        <v>15</v>
      </c>
      <c r="K1939" t="s">
        <v>21</v>
      </c>
      <c r="L1939">
        <v>265.3</v>
      </c>
      <c r="M1939" t="s">
        <v>5032</v>
      </c>
      <c r="N1939" t="s">
        <v>5031</v>
      </c>
    </row>
    <row r="1940" spans="1:14" x14ac:dyDescent="0.3">
      <c r="A1940" t="s">
        <v>1964</v>
      </c>
      <c r="B1940" t="s">
        <v>12</v>
      </c>
      <c r="C1940" t="s">
        <v>13</v>
      </c>
      <c r="D1940">
        <v>1</v>
      </c>
      <c r="E1940" t="s">
        <v>15</v>
      </c>
      <c r="F1940" t="s">
        <v>36</v>
      </c>
      <c r="G1940">
        <v>20.9</v>
      </c>
      <c r="H1940">
        <v>20.9</v>
      </c>
      <c r="I1940" t="s">
        <v>15</v>
      </c>
      <c r="J1940" t="s">
        <v>15</v>
      </c>
      <c r="K1940" t="s">
        <v>21</v>
      </c>
      <c r="L1940">
        <v>20.9</v>
      </c>
      <c r="M1940" t="s">
        <v>5030</v>
      </c>
      <c r="N1940" t="s">
        <v>5031</v>
      </c>
    </row>
    <row r="1941" spans="1:14" x14ac:dyDescent="0.3">
      <c r="A1941" t="s">
        <v>1965</v>
      </c>
      <c r="B1941" t="s">
        <v>19</v>
      </c>
      <c r="C1941" t="s">
        <v>13</v>
      </c>
      <c r="D1941">
        <v>1</v>
      </c>
      <c r="E1941" t="s">
        <v>15</v>
      </c>
      <c r="F1941" t="s">
        <v>36</v>
      </c>
      <c r="G1941">
        <v>21.05</v>
      </c>
      <c r="H1941">
        <v>21.05</v>
      </c>
      <c r="I1941" t="s">
        <v>15</v>
      </c>
      <c r="J1941" t="s">
        <v>16</v>
      </c>
      <c r="K1941" t="s">
        <v>21</v>
      </c>
      <c r="L1941">
        <v>21.05</v>
      </c>
      <c r="M1941" t="s">
        <v>5030</v>
      </c>
      <c r="N1941" t="s">
        <v>5031</v>
      </c>
    </row>
    <row r="1942" spans="1:14" x14ac:dyDescent="0.3">
      <c r="A1942" t="s">
        <v>1966</v>
      </c>
      <c r="B1942" t="s">
        <v>19</v>
      </c>
      <c r="C1942" t="s">
        <v>20</v>
      </c>
      <c r="D1942">
        <v>63</v>
      </c>
      <c r="E1942" t="s">
        <v>14</v>
      </c>
      <c r="F1942" t="s">
        <v>16</v>
      </c>
      <c r="G1942">
        <v>71.5</v>
      </c>
      <c r="H1942">
        <v>4576.3</v>
      </c>
      <c r="I1942" t="s">
        <v>15</v>
      </c>
      <c r="J1942" t="s">
        <v>15</v>
      </c>
      <c r="K1942" t="s">
        <v>17</v>
      </c>
      <c r="L1942">
        <v>4576.3</v>
      </c>
      <c r="M1942" t="s">
        <v>5033</v>
      </c>
      <c r="N1942" t="s">
        <v>5034</v>
      </c>
    </row>
    <row r="1943" spans="1:14" x14ac:dyDescent="0.3">
      <c r="A1943" t="s">
        <v>1967</v>
      </c>
      <c r="B1943" t="s">
        <v>19</v>
      </c>
      <c r="C1943" t="s">
        <v>13</v>
      </c>
      <c r="D1943">
        <v>3</v>
      </c>
      <c r="E1943" t="s">
        <v>14</v>
      </c>
      <c r="F1943" t="s">
        <v>15</v>
      </c>
      <c r="G1943">
        <v>54.65</v>
      </c>
      <c r="H1943">
        <v>189.1</v>
      </c>
      <c r="I1943" t="s">
        <v>15</v>
      </c>
      <c r="J1943" t="s">
        <v>15</v>
      </c>
      <c r="K1943" t="s">
        <v>21</v>
      </c>
      <c r="L1943">
        <v>189.1</v>
      </c>
      <c r="M1943" t="s">
        <v>5030</v>
      </c>
      <c r="N1943" t="s">
        <v>5031</v>
      </c>
    </row>
    <row r="1944" spans="1:14" x14ac:dyDescent="0.3">
      <c r="A1944" t="s">
        <v>1968</v>
      </c>
      <c r="B1944" t="s">
        <v>19</v>
      </c>
      <c r="C1944" t="s">
        <v>35</v>
      </c>
      <c r="D1944">
        <v>46</v>
      </c>
      <c r="E1944" t="s">
        <v>15</v>
      </c>
      <c r="F1944" t="s">
        <v>36</v>
      </c>
      <c r="G1944">
        <v>19.2</v>
      </c>
      <c r="H1944">
        <v>908.15</v>
      </c>
      <c r="I1944" t="s">
        <v>15</v>
      </c>
      <c r="J1944" t="s">
        <v>15</v>
      </c>
      <c r="K1944" t="s">
        <v>29</v>
      </c>
      <c r="L1944">
        <v>908.15</v>
      </c>
      <c r="M1944" t="s">
        <v>5033</v>
      </c>
      <c r="N1944" t="s">
        <v>5031</v>
      </c>
    </row>
    <row r="1945" spans="1:14" x14ac:dyDescent="0.3">
      <c r="A1945" t="s">
        <v>1969</v>
      </c>
      <c r="B1945" t="s">
        <v>19</v>
      </c>
      <c r="C1945" t="s">
        <v>13</v>
      </c>
      <c r="D1945">
        <v>1</v>
      </c>
      <c r="E1945" t="s">
        <v>14</v>
      </c>
      <c r="F1945" t="s">
        <v>15</v>
      </c>
      <c r="G1945">
        <v>49.8</v>
      </c>
      <c r="H1945">
        <v>49.8</v>
      </c>
      <c r="I1945" t="s">
        <v>15</v>
      </c>
      <c r="J1945" t="s">
        <v>16</v>
      </c>
      <c r="K1945" t="s">
        <v>29</v>
      </c>
      <c r="L1945">
        <v>49.8</v>
      </c>
      <c r="M1945" t="s">
        <v>5030</v>
      </c>
      <c r="N1945" t="s">
        <v>5031</v>
      </c>
    </row>
    <row r="1946" spans="1:14" x14ac:dyDescent="0.3">
      <c r="A1946" t="s">
        <v>1970</v>
      </c>
      <c r="B1946" t="s">
        <v>19</v>
      </c>
      <c r="C1946" t="s">
        <v>13</v>
      </c>
      <c r="D1946">
        <v>8</v>
      </c>
      <c r="E1946" t="s">
        <v>14</v>
      </c>
      <c r="F1946" t="s">
        <v>15</v>
      </c>
      <c r="G1946">
        <v>25.5</v>
      </c>
      <c r="H1946">
        <v>215.2</v>
      </c>
      <c r="I1946" t="s">
        <v>16</v>
      </c>
      <c r="J1946" t="s">
        <v>15</v>
      </c>
      <c r="K1946" t="s">
        <v>21</v>
      </c>
      <c r="L1946">
        <v>215.2</v>
      </c>
      <c r="M1946" t="s">
        <v>5030</v>
      </c>
      <c r="N1946" t="s">
        <v>5031</v>
      </c>
    </row>
    <row r="1947" spans="1:14" x14ac:dyDescent="0.3">
      <c r="A1947" t="s">
        <v>1971</v>
      </c>
      <c r="B1947" t="s">
        <v>12</v>
      </c>
      <c r="C1947" t="s">
        <v>35</v>
      </c>
      <c r="D1947">
        <v>71</v>
      </c>
      <c r="E1947" t="s">
        <v>15</v>
      </c>
      <c r="F1947" t="s">
        <v>36</v>
      </c>
      <c r="G1947">
        <v>20.5</v>
      </c>
      <c r="H1947">
        <v>1500.95</v>
      </c>
      <c r="I1947" t="s">
        <v>15</v>
      </c>
      <c r="J1947" t="s">
        <v>15</v>
      </c>
      <c r="K1947" t="s">
        <v>24</v>
      </c>
      <c r="L1947">
        <v>1500.95</v>
      </c>
      <c r="M1947" t="s">
        <v>5033</v>
      </c>
      <c r="N1947" t="s">
        <v>5031</v>
      </c>
    </row>
    <row r="1948" spans="1:14" x14ac:dyDescent="0.3">
      <c r="A1948" t="s">
        <v>1972</v>
      </c>
      <c r="B1948" t="s">
        <v>19</v>
      </c>
      <c r="C1948" t="s">
        <v>13</v>
      </c>
      <c r="D1948">
        <v>55</v>
      </c>
      <c r="E1948" t="s">
        <v>26</v>
      </c>
      <c r="F1948" t="s">
        <v>15</v>
      </c>
      <c r="G1948">
        <v>90.4</v>
      </c>
      <c r="H1948">
        <v>5099.1499999999996</v>
      </c>
      <c r="I1948" t="s">
        <v>15</v>
      </c>
      <c r="J1948" t="s">
        <v>16</v>
      </c>
      <c r="K1948" t="s">
        <v>29</v>
      </c>
      <c r="L1948">
        <v>5099.1499999999996</v>
      </c>
      <c r="M1948" t="s">
        <v>5033</v>
      </c>
      <c r="N1948" t="s">
        <v>5034</v>
      </c>
    </row>
    <row r="1949" spans="1:14" x14ac:dyDescent="0.3">
      <c r="A1949" t="s">
        <v>1973</v>
      </c>
      <c r="B1949" t="s">
        <v>12</v>
      </c>
      <c r="C1949" t="s">
        <v>20</v>
      </c>
      <c r="D1949">
        <v>70</v>
      </c>
      <c r="E1949" t="s">
        <v>26</v>
      </c>
      <c r="F1949" t="s">
        <v>16</v>
      </c>
      <c r="G1949">
        <v>90.25</v>
      </c>
      <c r="H1949">
        <v>6385.95</v>
      </c>
      <c r="I1949" t="s">
        <v>15</v>
      </c>
      <c r="J1949" t="s">
        <v>16</v>
      </c>
      <c r="K1949" t="s">
        <v>24</v>
      </c>
      <c r="L1949">
        <v>6385.95</v>
      </c>
      <c r="M1949" t="s">
        <v>5033</v>
      </c>
      <c r="N1949" t="s">
        <v>5034</v>
      </c>
    </row>
    <row r="1950" spans="1:14" x14ac:dyDescent="0.3">
      <c r="A1950" t="s">
        <v>1974</v>
      </c>
      <c r="B1950" t="s">
        <v>12</v>
      </c>
      <c r="C1950" t="s">
        <v>13</v>
      </c>
      <c r="D1950">
        <v>2</v>
      </c>
      <c r="E1950" t="s">
        <v>26</v>
      </c>
      <c r="F1950" t="s">
        <v>15</v>
      </c>
      <c r="G1950">
        <v>80.75</v>
      </c>
      <c r="H1950">
        <v>159.44999999999999</v>
      </c>
      <c r="I1950" t="s">
        <v>16</v>
      </c>
      <c r="J1950" t="s">
        <v>15</v>
      </c>
      <c r="K1950" t="s">
        <v>17</v>
      </c>
      <c r="L1950">
        <v>159.44999999999999</v>
      </c>
      <c r="M1950" t="s">
        <v>5030</v>
      </c>
      <c r="N1950" t="s">
        <v>5031</v>
      </c>
    </row>
    <row r="1951" spans="1:14" x14ac:dyDescent="0.3">
      <c r="A1951" t="s">
        <v>1975</v>
      </c>
      <c r="B1951" t="s">
        <v>19</v>
      </c>
      <c r="C1951" t="s">
        <v>35</v>
      </c>
      <c r="D1951">
        <v>67</v>
      </c>
      <c r="E1951" t="s">
        <v>26</v>
      </c>
      <c r="F1951" t="s">
        <v>16</v>
      </c>
      <c r="G1951">
        <v>104.6</v>
      </c>
      <c r="H1951">
        <v>6885.75</v>
      </c>
      <c r="I1951" t="s">
        <v>15</v>
      </c>
      <c r="J1951" t="s">
        <v>15</v>
      </c>
      <c r="K1951" t="s">
        <v>24</v>
      </c>
      <c r="L1951">
        <v>6885.75</v>
      </c>
      <c r="M1951" t="s">
        <v>5033</v>
      </c>
      <c r="N1951" t="s">
        <v>5034</v>
      </c>
    </row>
    <row r="1952" spans="1:14" x14ac:dyDescent="0.3">
      <c r="A1952" t="s">
        <v>1976</v>
      </c>
      <c r="B1952" t="s">
        <v>19</v>
      </c>
      <c r="C1952" t="s">
        <v>13</v>
      </c>
      <c r="D1952">
        <v>65</v>
      </c>
      <c r="E1952" t="s">
        <v>26</v>
      </c>
      <c r="F1952" t="s">
        <v>15</v>
      </c>
      <c r="G1952">
        <v>91.85</v>
      </c>
      <c r="H1952">
        <v>5940.85</v>
      </c>
      <c r="I1952" t="s">
        <v>16</v>
      </c>
      <c r="J1952" t="s">
        <v>16</v>
      </c>
      <c r="K1952" t="s">
        <v>24</v>
      </c>
      <c r="L1952">
        <v>5940.85</v>
      </c>
      <c r="M1952" t="s">
        <v>5033</v>
      </c>
      <c r="N1952" t="s">
        <v>5034</v>
      </c>
    </row>
    <row r="1953" spans="1:14" x14ac:dyDescent="0.3">
      <c r="A1953" t="s">
        <v>1977</v>
      </c>
      <c r="B1953" t="s">
        <v>19</v>
      </c>
      <c r="C1953" t="s">
        <v>13</v>
      </c>
      <c r="D1953">
        <v>14</v>
      </c>
      <c r="E1953" t="s">
        <v>14</v>
      </c>
      <c r="F1953" t="s">
        <v>15</v>
      </c>
      <c r="G1953">
        <v>50.2</v>
      </c>
      <c r="H1953">
        <v>668.85</v>
      </c>
      <c r="I1953" t="s">
        <v>15</v>
      </c>
      <c r="J1953" t="s">
        <v>15</v>
      </c>
      <c r="K1953" t="s">
        <v>29</v>
      </c>
      <c r="L1953">
        <v>668.85</v>
      </c>
      <c r="M1953" t="s">
        <v>5032</v>
      </c>
      <c r="N1953" t="s">
        <v>5031</v>
      </c>
    </row>
    <row r="1954" spans="1:14" x14ac:dyDescent="0.3">
      <c r="A1954" t="s">
        <v>1978</v>
      </c>
      <c r="B1954" t="s">
        <v>12</v>
      </c>
      <c r="C1954" t="s">
        <v>13</v>
      </c>
      <c r="D1954">
        <v>20</v>
      </c>
      <c r="E1954" t="s">
        <v>26</v>
      </c>
      <c r="F1954" t="s">
        <v>16</v>
      </c>
      <c r="G1954">
        <v>95.5</v>
      </c>
      <c r="H1954">
        <v>1916.2</v>
      </c>
      <c r="I1954" t="s">
        <v>15</v>
      </c>
      <c r="J1954" t="s">
        <v>16</v>
      </c>
      <c r="K1954" t="s">
        <v>24</v>
      </c>
      <c r="L1954">
        <v>1916.2</v>
      </c>
      <c r="M1954" t="s">
        <v>5032</v>
      </c>
      <c r="N1954" t="s">
        <v>5031</v>
      </c>
    </row>
    <row r="1955" spans="1:14" x14ac:dyDescent="0.3">
      <c r="A1955" t="s">
        <v>1979</v>
      </c>
      <c r="B1955" t="s">
        <v>19</v>
      </c>
      <c r="C1955" t="s">
        <v>13</v>
      </c>
      <c r="D1955">
        <v>1</v>
      </c>
      <c r="E1955" t="s">
        <v>26</v>
      </c>
      <c r="F1955" t="s">
        <v>15</v>
      </c>
      <c r="G1955">
        <v>75.349999999999994</v>
      </c>
      <c r="H1955">
        <v>75.349999999999994</v>
      </c>
      <c r="I1955" t="s">
        <v>16</v>
      </c>
      <c r="J1955" t="s">
        <v>16</v>
      </c>
      <c r="K1955" t="s">
        <v>17</v>
      </c>
      <c r="L1955">
        <v>75.349999999999994</v>
      </c>
      <c r="M1955" t="s">
        <v>5030</v>
      </c>
      <c r="N1955" t="s">
        <v>5031</v>
      </c>
    </row>
    <row r="1956" spans="1:14" x14ac:dyDescent="0.3">
      <c r="A1956" t="s">
        <v>1980</v>
      </c>
      <c r="B1956" t="s">
        <v>19</v>
      </c>
      <c r="C1956" t="s">
        <v>13</v>
      </c>
      <c r="D1956">
        <v>1</v>
      </c>
      <c r="E1956" t="s">
        <v>26</v>
      </c>
      <c r="F1956" t="s">
        <v>15</v>
      </c>
      <c r="G1956">
        <v>75.45</v>
      </c>
      <c r="H1956">
        <v>75.45</v>
      </c>
      <c r="I1956" t="s">
        <v>16</v>
      </c>
      <c r="J1956" t="s">
        <v>16</v>
      </c>
      <c r="K1956" t="s">
        <v>17</v>
      </c>
      <c r="L1956">
        <v>75.45</v>
      </c>
      <c r="M1956" t="s">
        <v>5030</v>
      </c>
      <c r="N1956" t="s">
        <v>5031</v>
      </c>
    </row>
    <row r="1957" spans="1:14" x14ac:dyDescent="0.3">
      <c r="A1957" t="s">
        <v>1981</v>
      </c>
      <c r="B1957" t="s">
        <v>12</v>
      </c>
      <c r="C1957" t="s">
        <v>13</v>
      </c>
      <c r="D1957">
        <v>49</v>
      </c>
      <c r="E1957" t="s">
        <v>26</v>
      </c>
      <c r="F1957" t="s">
        <v>15</v>
      </c>
      <c r="G1957">
        <v>95.4</v>
      </c>
      <c r="H1957">
        <v>4613.95</v>
      </c>
      <c r="I1957" t="s">
        <v>15</v>
      </c>
      <c r="J1957" t="s">
        <v>16</v>
      </c>
      <c r="K1957" t="s">
        <v>24</v>
      </c>
      <c r="L1957">
        <v>4613.95</v>
      </c>
      <c r="M1957" t="s">
        <v>5033</v>
      </c>
      <c r="N1957" t="s">
        <v>5034</v>
      </c>
    </row>
    <row r="1958" spans="1:14" x14ac:dyDescent="0.3">
      <c r="A1958" t="s">
        <v>1982</v>
      </c>
      <c r="B1958" t="s">
        <v>12</v>
      </c>
      <c r="C1958" t="s">
        <v>35</v>
      </c>
      <c r="D1958">
        <v>72</v>
      </c>
      <c r="E1958" t="s">
        <v>26</v>
      </c>
      <c r="F1958" t="s">
        <v>15</v>
      </c>
      <c r="G1958">
        <v>101.3</v>
      </c>
      <c r="H1958">
        <v>7261.25</v>
      </c>
      <c r="I1958" t="s">
        <v>15</v>
      </c>
      <c r="J1958" t="s">
        <v>16</v>
      </c>
      <c r="K1958" t="s">
        <v>24</v>
      </c>
      <c r="L1958">
        <v>7261.25</v>
      </c>
      <c r="M1958" t="s">
        <v>5033</v>
      </c>
      <c r="N1958" t="s">
        <v>5034</v>
      </c>
    </row>
    <row r="1959" spans="1:14" x14ac:dyDescent="0.3">
      <c r="A1959" t="s">
        <v>1983</v>
      </c>
      <c r="B1959" t="s">
        <v>12</v>
      </c>
      <c r="C1959" t="s">
        <v>13</v>
      </c>
      <c r="D1959">
        <v>46</v>
      </c>
      <c r="E1959" t="s">
        <v>14</v>
      </c>
      <c r="F1959" t="s">
        <v>15</v>
      </c>
      <c r="G1959">
        <v>53.1</v>
      </c>
      <c r="H1959">
        <v>2459.8000000000002</v>
      </c>
      <c r="I1959" t="s">
        <v>15</v>
      </c>
      <c r="J1959" t="s">
        <v>15</v>
      </c>
      <c r="K1959" t="s">
        <v>17</v>
      </c>
      <c r="L1959">
        <v>2459.8000000000002</v>
      </c>
      <c r="M1959" t="s">
        <v>5033</v>
      </c>
      <c r="N1959" t="s">
        <v>5031</v>
      </c>
    </row>
    <row r="1960" spans="1:14" x14ac:dyDescent="0.3">
      <c r="A1960" t="s">
        <v>1984</v>
      </c>
      <c r="B1960" t="s">
        <v>19</v>
      </c>
      <c r="C1960" t="s">
        <v>13</v>
      </c>
      <c r="D1960">
        <v>24</v>
      </c>
      <c r="E1960" t="s">
        <v>26</v>
      </c>
      <c r="F1960" t="s">
        <v>15</v>
      </c>
      <c r="G1960">
        <v>84.85</v>
      </c>
      <c r="H1960">
        <v>2048.8000000000002</v>
      </c>
      <c r="I1960" t="s">
        <v>15</v>
      </c>
      <c r="J1960" t="s">
        <v>16</v>
      </c>
      <c r="K1960" t="s">
        <v>24</v>
      </c>
      <c r="L1960">
        <v>2048.8000000000002</v>
      </c>
      <c r="M1960" t="s">
        <v>5032</v>
      </c>
      <c r="N1960" t="s">
        <v>5031</v>
      </c>
    </row>
    <row r="1961" spans="1:14" x14ac:dyDescent="0.3">
      <c r="A1961" t="s">
        <v>1985</v>
      </c>
      <c r="B1961" t="s">
        <v>12</v>
      </c>
      <c r="C1961" t="s">
        <v>13</v>
      </c>
      <c r="D1961">
        <v>5</v>
      </c>
      <c r="E1961" t="s">
        <v>14</v>
      </c>
      <c r="F1961" t="s">
        <v>16</v>
      </c>
      <c r="G1961">
        <v>34.25</v>
      </c>
      <c r="H1961">
        <v>163.55000000000001</v>
      </c>
      <c r="I1961" t="s">
        <v>15</v>
      </c>
      <c r="J1961" t="s">
        <v>15</v>
      </c>
      <c r="K1961" t="s">
        <v>17</v>
      </c>
      <c r="L1961">
        <v>163.55000000000001</v>
      </c>
      <c r="M1961" t="s">
        <v>5030</v>
      </c>
      <c r="N1961" t="s">
        <v>5031</v>
      </c>
    </row>
    <row r="1962" spans="1:14" x14ac:dyDescent="0.3">
      <c r="A1962" t="s">
        <v>1986</v>
      </c>
      <c r="B1962" t="s">
        <v>12</v>
      </c>
      <c r="C1962" t="s">
        <v>13</v>
      </c>
      <c r="D1962">
        <v>33</v>
      </c>
      <c r="E1962" t="s">
        <v>26</v>
      </c>
      <c r="F1962" t="s">
        <v>16</v>
      </c>
      <c r="G1962">
        <v>88.6</v>
      </c>
      <c r="H1962">
        <v>2888.7</v>
      </c>
      <c r="I1962" t="s">
        <v>15</v>
      </c>
      <c r="J1962" t="s">
        <v>15</v>
      </c>
      <c r="K1962" t="s">
        <v>29</v>
      </c>
      <c r="L1962">
        <v>2888.7</v>
      </c>
      <c r="M1962" t="s">
        <v>5032</v>
      </c>
      <c r="N1962" t="s">
        <v>5034</v>
      </c>
    </row>
    <row r="1963" spans="1:14" x14ac:dyDescent="0.3">
      <c r="A1963" t="s">
        <v>1987</v>
      </c>
      <c r="B1963" t="s">
        <v>12</v>
      </c>
      <c r="C1963" t="s">
        <v>20</v>
      </c>
      <c r="D1963">
        <v>42</v>
      </c>
      <c r="E1963" t="s">
        <v>14</v>
      </c>
      <c r="F1963" t="s">
        <v>15</v>
      </c>
      <c r="G1963">
        <v>60.15</v>
      </c>
      <c r="H1963">
        <v>2421.6</v>
      </c>
      <c r="I1963" t="s">
        <v>15</v>
      </c>
      <c r="J1963" t="s">
        <v>16</v>
      </c>
      <c r="K1963" t="s">
        <v>24</v>
      </c>
      <c r="L1963">
        <v>2421.6</v>
      </c>
      <c r="M1963" t="s">
        <v>5033</v>
      </c>
      <c r="N1963" t="s">
        <v>5031</v>
      </c>
    </row>
    <row r="1964" spans="1:14" x14ac:dyDescent="0.3">
      <c r="A1964" t="s">
        <v>1988</v>
      </c>
      <c r="B1964" t="s">
        <v>19</v>
      </c>
      <c r="C1964" t="s">
        <v>20</v>
      </c>
      <c r="D1964">
        <v>23</v>
      </c>
      <c r="E1964" t="s">
        <v>26</v>
      </c>
      <c r="F1964" t="s">
        <v>15</v>
      </c>
      <c r="G1964">
        <v>99.95</v>
      </c>
      <c r="H1964">
        <v>2292.75</v>
      </c>
      <c r="I1964" t="s">
        <v>15</v>
      </c>
      <c r="J1964" t="s">
        <v>16</v>
      </c>
      <c r="K1964" t="s">
        <v>29</v>
      </c>
      <c r="L1964">
        <v>2292.75</v>
      </c>
      <c r="M1964" t="s">
        <v>5032</v>
      </c>
      <c r="N1964" t="s">
        <v>5031</v>
      </c>
    </row>
    <row r="1965" spans="1:14" x14ac:dyDescent="0.3">
      <c r="A1965" t="s">
        <v>1989</v>
      </c>
      <c r="B1965" t="s">
        <v>19</v>
      </c>
      <c r="C1965" t="s">
        <v>13</v>
      </c>
      <c r="D1965">
        <v>8</v>
      </c>
      <c r="E1965" t="s">
        <v>26</v>
      </c>
      <c r="F1965" t="s">
        <v>15</v>
      </c>
      <c r="G1965">
        <v>70.7</v>
      </c>
      <c r="H1965">
        <v>553.4</v>
      </c>
      <c r="I1965" t="s">
        <v>15</v>
      </c>
      <c r="J1965" t="s">
        <v>15</v>
      </c>
      <c r="K1965" t="s">
        <v>24</v>
      </c>
      <c r="L1965">
        <v>553.4</v>
      </c>
      <c r="M1965" t="s">
        <v>5030</v>
      </c>
      <c r="N1965" t="s">
        <v>5031</v>
      </c>
    </row>
    <row r="1966" spans="1:14" x14ac:dyDescent="0.3">
      <c r="A1966" t="s">
        <v>1990</v>
      </c>
      <c r="B1966" t="s">
        <v>19</v>
      </c>
      <c r="C1966" t="s">
        <v>20</v>
      </c>
      <c r="D1966">
        <v>66</v>
      </c>
      <c r="E1966" t="s">
        <v>14</v>
      </c>
      <c r="F1966" t="s">
        <v>15</v>
      </c>
      <c r="G1966">
        <v>54.8</v>
      </c>
      <c r="H1966">
        <v>3465.7</v>
      </c>
      <c r="I1966" t="s">
        <v>15</v>
      </c>
      <c r="J1966" t="s">
        <v>16</v>
      </c>
      <c r="K1966" t="s">
        <v>21</v>
      </c>
      <c r="L1966">
        <v>3465.7</v>
      </c>
      <c r="M1966" t="s">
        <v>5033</v>
      </c>
      <c r="N1966" t="s">
        <v>5034</v>
      </c>
    </row>
    <row r="1967" spans="1:14" x14ac:dyDescent="0.3">
      <c r="A1967" t="s">
        <v>1991</v>
      </c>
      <c r="B1967" t="s">
        <v>19</v>
      </c>
      <c r="C1967" t="s">
        <v>13</v>
      </c>
      <c r="D1967">
        <v>24</v>
      </c>
      <c r="E1967" t="s">
        <v>14</v>
      </c>
      <c r="F1967" t="s">
        <v>15</v>
      </c>
      <c r="G1967">
        <v>49.55</v>
      </c>
      <c r="H1967">
        <v>1210.4000000000001</v>
      </c>
      <c r="I1967" t="s">
        <v>16</v>
      </c>
      <c r="J1967" t="s">
        <v>16</v>
      </c>
      <c r="K1967" t="s">
        <v>24</v>
      </c>
      <c r="L1967">
        <v>1210.4000000000001</v>
      </c>
      <c r="M1967" t="s">
        <v>5032</v>
      </c>
      <c r="N1967" t="s">
        <v>5031</v>
      </c>
    </row>
    <row r="1968" spans="1:14" x14ac:dyDescent="0.3">
      <c r="A1968" t="s">
        <v>1992</v>
      </c>
      <c r="B1968" t="s">
        <v>19</v>
      </c>
      <c r="C1968" t="s">
        <v>13</v>
      </c>
      <c r="D1968">
        <v>24</v>
      </c>
      <c r="E1968" t="s">
        <v>14</v>
      </c>
      <c r="F1968" t="s">
        <v>15</v>
      </c>
      <c r="G1968">
        <v>54.8</v>
      </c>
      <c r="H1968">
        <v>1291.3</v>
      </c>
      <c r="I1968" t="s">
        <v>15</v>
      </c>
      <c r="J1968" t="s">
        <v>15</v>
      </c>
      <c r="K1968" t="s">
        <v>29</v>
      </c>
      <c r="L1968">
        <v>1291.3</v>
      </c>
      <c r="M1968" t="s">
        <v>5032</v>
      </c>
      <c r="N1968" t="s">
        <v>5031</v>
      </c>
    </row>
    <row r="1969" spans="1:14" x14ac:dyDescent="0.3">
      <c r="A1969" t="s">
        <v>1993</v>
      </c>
      <c r="B1969" t="s">
        <v>19</v>
      </c>
      <c r="C1969" t="s">
        <v>20</v>
      </c>
      <c r="D1969">
        <v>69</v>
      </c>
      <c r="E1969" t="s">
        <v>14</v>
      </c>
      <c r="F1969" t="s">
        <v>16</v>
      </c>
      <c r="G1969">
        <v>78.599999999999994</v>
      </c>
      <c r="H1969">
        <v>5356.45</v>
      </c>
      <c r="I1969" t="s">
        <v>16</v>
      </c>
      <c r="J1969" t="s">
        <v>16</v>
      </c>
      <c r="K1969" t="s">
        <v>29</v>
      </c>
      <c r="L1969">
        <v>5356.45</v>
      </c>
      <c r="M1969" t="s">
        <v>5033</v>
      </c>
      <c r="N1969" t="s">
        <v>5034</v>
      </c>
    </row>
    <row r="1970" spans="1:14" x14ac:dyDescent="0.3">
      <c r="A1970" t="s">
        <v>1994</v>
      </c>
      <c r="B1970" t="s">
        <v>12</v>
      </c>
      <c r="C1970" t="s">
        <v>20</v>
      </c>
      <c r="D1970">
        <v>53</v>
      </c>
      <c r="E1970" t="s">
        <v>26</v>
      </c>
      <c r="F1970" t="s">
        <v>15</v>
      </c>
      <c r="G1970">
        <v>100.3</v>
      </c>
      <c r="H1970">
        <v>5200.8</v>
      </c>
      <c r="I1970" t="s">
        <v>15</v>
      </c>
      <c r="J1970" t="s">
        <v>16</v>
      </c>
      <c r="K1970" t="s">
        <v>21</v>
      </c>
      <c r="L1970">
        <v>5200.8</v>
      </c>
      <c r="M1970" t="s">
        <v>5033</v>
      </c>
      <c r="N1970" t="s">
        <v>5034</v>
      </c>
    </row>
    <row r="1971" spans="1:14" x14ac:dyDescent="0.3">
      <c r="A1971" t="s">
        <v>1995</v>
      </c>
      <c r="B1971" t="s">
        <v>12</v>
      </c>
      <c r="C1971" t="s">
        <v>35</v>
      </c>
      <c r="D1971">
        <v>60</v>
      </c>
      <c r="E1971" t="s">
        <v>14</v>
      </c>
      <c r="F1971" t="s">
        <v>15</v>
      </c>
      <c r="G1971">
        <v>53.6</v>
      </c>
      <c r="H1971">
        <v>3237.05</v>
      </c>
      <c r="I1971" t="s">
        <v>15</v>
      </c>
      <c r="J1971" t="s">
        <v>15</v>
      </c>
      <c r="K1971" t="s">
        <v>17</v>
      </c>
      <c r="L1971">
        <v>3237.05</v>
      </c>
      <c r="M1971" t="s">
        <v>5033</v>
      </c>
      <c r="N1971" t="s">
        <v>5034</v>
      </c>
    </row>
    <row r="1972" spans="1:14" x14ac:dyDescent="0.3">
      <c r="A1972" t="s">
        <v>1996</v>
      </c>
      <c r="B1972" t="s">
        <v>12</v>
      </c>
      <c r="C1972" t="s">
        <v>13</v>
      </c>
      <c r="D1972">
        <v>7</v>
      </c>
      <c r="E1972" t="s">
        <v>26</v>
      </c>
      <c r="F1972" t="s">
        <v>15</v>
      </c>
      <c r="G1972">
        <v>81.099999999999994</v>
      </c>
      <c r="H1972">
        <v>576.65</v>
      </c>
      <c r="I1972" t="s">
        <v>16</v>
      </c>
      <c r="J1972" t="s">
        <v>16</v>
      </c>
      <c r="K1972" t="s">
        <v>17</v>
      </c>
      <c r="L1972">
        <v>576.65</v>
      </c>
      <c r="M1972" t="s">
        <v>5030</v>
      </c>
      <c r="N1972" t="s">
        <v>5031</v>
      </c>
    </row>
    <row r="1973" spans="1:14" x14ac:dyDescent="0.3">
      <c r="A1973" t="s">
        <v>1997</v>
      </c>
      <c r="B1973" t="s">
        <v>12</v>
      </c>
      <c r="C1973" t="s">
        <v>20</v>
      </c>
      <c r="D1973">
        <v>20</v>
      </c>
      <c r="E1973" t="s">
        <v>15</v>
      </c>
      <c r="F1973" t="s">
        <v>36</v>
      </c>
      <c r="G1973">
        <v>19.350000000000001</v>
      </c>
      <c r="H1973">
        <v>433.75</v>
      </c>
      <c r="I1973" t="s">
        <v>15</v>
      </c>
      <c r="J1973" t="s">
        <v>16</v>
      </c>
      <c r="K1973" t="s">
        <v>29</v>
      </c>
      <c r="L1973">
        <v>433.75</v>
      </c>
      <c r="M1973" t="s">
        <v>5032</v>
      </c>
      <c r="N1973" t="s">
        <v>5031</v>
      </c>
    </row>
    <row r="1974" spans="1:14" x14ac:dyDescent="0.3">
      <c r="A1974" t="s">
        <v>1998</v>
      </c>
      <c r="B1974" t="s">
        <v>12</v>
      </c>
      <c r="C1974" t="s">
        <v>13</v>
      </c>
      <c r="D1974">
        <v>23</v>
      </c>
      <c r="E1974" t="s">
        <v>26</v>
      </c>
      <c r="F1974" t="s">
        <v>15</v>
      </c>
      <c r="G1974">
        <v>85.6</v>
      </c>
      <c r="H1974">
        <v>1868.4</v>
      </c>
      <c r="I1974" t="s">
        <v>15</v>
      </c>
      <c r="J1974" t="s">
        <v>15</v>
      </c>
      <c r="K1974" t="s">
        <v>17</v>
      </c>
      <c r="L1974">
        <v>1868.4</v>
      </c>
      <c r="M1974" t="s">
        <v>5032</v>
      </c>
      <c r="N1974" t="s">
        <v>5031</v>
      </c>
    </row>
    <row r="1975" spans="1:14" x14ac:dyDescent="0.3">
      <c r="A1975" t="s">
        <v>1999</v>
      </c>
      <c r="B1975" t="s">
        <v>19</v>
      </c>
      <c r="C1975" t="s">
        <v>35</v>
      </c>
      <c r="D1975">
        <v>72</v>
      </c>
      <c r="E1975" t="s">
        <v>14</v>
      </c>
      <c r="F1975" t="s">
        <v>16</v>
      </c>
      <c r="G1975">
        <v>80.8</v>
      </c>
      <c r="H1975">
        <v>5728.55</v>
      </c>
      <c r="I1975" t="s">
        <v>15</v>
      </c>
      <c r="J1975" t="s">
        <v>16</v>
      </c>
      <c r="K1975" t="s">
        <v>17</v>
      </c>
      <c r="L1975">
        <v>5728.55</v>
      </c>
      <c r="M1975" t="s">
        <v>5033</v>
      </c>
      <c r="N1975" t="s">
        <v>5034</v>
      </c>
    </row>
    <row r="1976" spans="1:14" x14ac:dyDescent="0.3">
      <c r="A1976" t="s">
        <v>2000</v>
      </c>
      <c r="B1976" t="s">
        <v>19</v>
      </c>
      <c r="C1976" t="s">
        <v>13</v>
      </c>
      <c r="D1976">
        <v>11</v>
      </c>
      <c r="E1976" t="s">
        <v>26</v>
      </c>
      <c r="F1976" t="s">
        <v>15</v>
      </c>
      <c r="G1976">
        <v>74.95</v>
      </c>
      <c r="H1976">
        <v>825.7</v>
      </c>
      <c r="I1976" t="s">
        <v>16</v>
      </c>
      <c r="J1976" t="s">
        <v>16</v>
      </c>
      <c r="K1976" t="s">
        <v>17</v>
      </c>
      <c r="L1976">
        <v>825.7</v>
      </c>
      <c r="M1976" t="s">
        <v>5030</v>
      </c>
      <c r="N1976" t="s">
        <v>5031</v>
      </c>
    </row>
    <row r="1977" spans="1:14" x14ac:dyDescent="0.3">
      <c r="A1977" t="s">
        <v>2001</v>
      </c>
      <c r="B1977" t="s">
        <v>19</v>
      </c>
      <c r="C1977" t="s">
        <v>35</v>
      </c>
      <c r="D1977">
        <v>21</v>
      </c>
      <c r="E1977" t="s">
        <v>15</v>
      </c>
      <c r="F1977" t="s">
        <v>36</v>
      </c>
      <c r="G1977">
        <v>19.600000000000001</v>
      </c>
      <c r="H1977">
        <v>390.4</v>
      </c>
      <c r="I1977" t="s">
        <v>15</v>
      </c>
      <c r="J1977" t="s">
        <v>15</v>
      </c>
      <c r="K1977" t="s">
        <v>21</v>
      </c>
      <c r="L1977">
        <v>390.4</v>
      </c>
      <c r="M1977" t="s">
        <v>5032</v>
      </c>
      <c r="N1977" t="s">
        <v>5031</v>
      </c>
    </row>
    <row r="1978" spans="1:14" x14ac:dyDescent="0.3">
      <c r="A1978" t="s">
        <v>2002</v>
      </c>
      <c r="B1978" t="s">
        <v>19</v>
      </c>
      <c r="C1978" t="s">
        <v>13</v>
      </c>
      <c r="D1978">
        <v>1</v>
      </c>
      <c r="E1978" t="s">
        <v>26</v>
      </c>
      <c r="F1978" t="s">
        <v>15</v>
      </c>
      <c r="G1978">
        <v>93.55</v>
      </c>
      <c r="H1978">
        <v>93.55</v>
      </c>
      <c r="I1978" t="s">
        <v>16</v>
      </c>
      <c r="J1978" t="s">
        <v>16</v>
      </c>
      <c r="K1978" t="s">
        <v>17</v>
      </c>
      <c r="L1978">
        <v>93.55</v>
      </c>
      <c r="M1978" t="s">
        <v>5030</v>
      </c>
      <c r="N1978" t="s">
        <v>5031</v>
      </c>
    </row>
    <row r="1979" spans="1:14" x14ac:dyDescent="0.3">
      <c r="A1979" t="s">
        <v>2003</v>
      </c>
      <c r="B1979" t="s">
        <v>19</v>
      </c>
      <c r="C1979" t="s">
        <v>13</v>
      </c>
      <c r="D1979">
        <v>31</v>
      </c>
      <c r="E1979" t="s">
        <v>26</v>
      </c>
      <c r="F1979" t="s">
        <v>15</v>
      </c>
      <c r="G1979">
        <v>90.7</v>
      </c>
      <c r="H1979">
        <v>2845.15</v>
      </c>
      <c r="I1979" t="s">
        <v>15</v>
      </c>
      <c r="J1979" t="s">
        <v>16</v>
      </c>
      <c r="K1979" t="s">
        <v>17</v>
      </c>
      <c r="L1979">
        <v>2845.15</v>
      </c>
      <c r="M1979" t="s">
        <v>5032</v>
      </c>
      <c r="N1979" t="s">
        <v>5034</v>
      </c>
    </row>
    <row r="1980" spans="1:14" x14ac:dyDescent="0.3">
      <c r="A1980" t="s">
        <v>2004</v>
      </c>
      <c r="B1980" t="s">
        <v>12</v>
      </c>
      <c r="C1980" t="s">
        <v>35</v>
      </c>
      <c r="D1980">
        <v>57</v>
      </c>
      <c r="E1980" t="s">
        <v>14</v>
      </c>
      <c r="F1980" t="s">
        <v>16</v>
      </c>
      <c r="G1980">
        <v>69.75</v>
      </c>
      <c r="H1980">
        <v>3894.4</v>
      </c>
      <c r="I1980" t="s">
        <v>15</v>
      </c>
      <c r="J1980" t="s">
        <v>15</v>
      </c>
      <c r="K1980" t="s">
        <v>21</v>
      </c>
      <c r="L1980">
        <v>3894.4</v>
      </c>
      <c r="M1980" t="s">
        <v>5033</v>
      </c>
      <c r="N1980" t="s">
        <v>5034</v>
      </c>
    </row>
    <row r="1981" spans="1:14" x14ac:dyDescent="0.3">
      <c r="A1981" t="s">
        <v>2005</v>
      </c>
      <c r="B1981" t="s">
        <v>12</v>
      </c>
      <c r="C1981" t="s">
        <v>35</v>
      </c>
      <c r="D1981">
        <v>45</v>
      </c>
      <c r="E1981" t="s">
        <v>15</v>
      </c>
      <c r="F1981" t="s">
        <v>36</v>
      </c>
      <c r="G1981">
        <v>20</v>
      </c>
      <c r="H1981">
        <v>886.4</v>
      </c>
      <c r="I1981" t="s">
        <v>15</v>
      </c>
      <c r="J1981" t="s">
        <v>16</v>
      </c>
      <c r="K1981" t="s">
        <v>24</v>
      </c>
      <c r="L1981">
        <v>886.4</v>
      </c>
      <c r="M1981" t="s">
        <v>5033</v>
      </c>
      <c r="N1981" t="s">
        <v>5031</v>
      </c>
    </row>
    <row r="1982" spans="1:14" x14ac:dyDescent="0.3">
      <c r="A1982" t="s">
        <v>2006</v>
      </c>
      <c r="B1982" t="s">
        <v>19</v>
      </c>
      <c r="C1982" t="s">
        <v>13</v>
      </c>
      <c r="D1982">
        <v>10</v>
      </c>
      <c r="E1982" t="s">
        <v>26</v>
      </c>
      <c r="F1982" t="s">
        <v>15</v>
      </c>
      <c r="G1982">
        <v>95.25</v>
      </c>
      <c r="H1982">
        <v>1021.55</v>
      </c>
      <c r="I1982" t="s">
        <v>15</v>
      </c>
      <c r="J1982" t="s">
        <v>16</v>
      </c>
      <c r="K1982" t="s">
        <v>17</v>
      </c>
      <c r="L1982">
        <v>1021.55</v>
      </c>
      <c r="M1982" t="s">
        <v>5030</v>
      </c>
      <c r="N1982" t="s">
        <v>5031</v>
      </c>
    </row>
    <row r="1983" spans="1:14" x14ac:dyDescent="0.3">
      <c r="A1983" t="s">
        <v>2007</v>
      </c>
      <c r="B1983" t="s">
        <v>12</v>
      </c>
      <c r="C1983" t="s">
        <v>13</v>
      </c>
      <c r="D1983">
        <v>58</v>
      </c>
      <c r="E1983" t="s">
        <v>26</v>
      </c>
      <c r="F1983" t="s">
        <v>16</v>
      </c>
      <c r="G1983">
        <v>102.1</v>
      </c>
      <c r="H1983">
        <v>5885.4</v>
      </c>
      <c r="I1983" t="s">
        <v>16</v>
      </c>
      <c r="J1983" t="s">
        <v>16</v>
      </c>
      <c r="K1983" t="s">
        <v>29</v>
      </c>
      <c r="L1983">
        <v>5885.4</v>
      </c>
      <c r="M1983" t="s">
        <v>5033</v>
      </c>
      <c r="N1983" t="s">
        <v>5034</v>
      </c>
    </row>
    <row r="1984" spans="1:14" x14ac:dyDescent="0.3">
      <c r="A1984" t="s">
        <v>2008</v>
      </c>
      <c r="B1984" t="s">
        <v>19</v>
      </c>
      <c r="C1984" t="s">
        <v>13</v>
      </c>
      <c r="D1984">
        <v>14</v>
      </c>
      <c r="E1984" t="s">
        <v>15</v>
      </c>
      <c r="F1984" t="s">
        <v>36</v>
      </c>
      <c r="G1984">
        <v>19.95</v>
      </c>
      <c r="H1984">
        <v>268.39999999999998</v>
      </c>
      <c r="I1984" t="s">
        <v>15</v>
      </c>
      <c r="J1984" t="s">
        <v>15</v>
      </c>
      <c r="K1984" t="s">
        <v>21</v>
      </c>
      <c r="L1984">
        <v>268.39999999999998</v>
      </c>
      <c r="M1984" t="s">
        <v>5032</v>
      </c>
      <c r="N1984" t="s">
        <v>5031</v>
      </c>
    </row>
    <row r="1985" spans="1:14" x14ac:dyDescent="0.3">
      <c r="A1985" t="s">
        <v>2009</v>
      </c>
      <c r="B1985" t="s">
        <v>19</v>
      </c>
      <c r="C1985" t="s">
        <v>20</v>
      </c>
      <c r="D1985">
        <v>27</v>
      </c>
      <c r="E1985" t="s">
        <v>14</v>
      </c>
      <c r="F1985" t="s">
        <v>16</v>
      </c>
      <c r="G1985">
        <v>80.849999999999994</v>
      </c>
      <c r="H1985">
        <v>2204.35</v>
      </c>
      <c r="I1985" t="s">
        <v>15</v>
      </c>
      <c r="J1985" t="s">
        <v>15</v>
      </c>
      <c r="K1985" t="s">
        <v>21</v>
      </c>
      <c r="L1985">
        <v>2204.35</v>
      </c>
      <c r="M1985" t="s">
        <v>5032</v>
      </c>
      <c r="N1985" t="s">
        <v>5031</v>
      </c>
    </row>
    <row r="1986" spans="1:14" x14ac:dyDescent="0.3">
      <c r="A1986" t="s">
        <v>2010</v>
      </c>
      <c r="B1986" t="s">
        <v>12</v>
      </c>
      <c r="C1986" t="s">
        <v>13</v>
      </c>
      <c r="D1986">
        <v>14</v>
      </c>
      <c r="E1986" t="s">
        <v>26</v>
      </c>
      <c r="F1986" t="s">
        <v>15</v>
      </c>
      <c r="G1986">
        <v>90.9</v>
      </c>
      <c r="H1986">
        <v>1259</v>
      </c>
      <c r="I1986" t="s">
        <v>16</v>
      </c>
      <c r="J1986" t="s">
        <v>16</v>
      </c>
      <c r="K1986" t="s">
        <v>24</v>
      </c>
      <c r="L1986">
        <v>1259</v>
      </c>
      <c r="M1986" t="s">
        <v>5032</v>
      </c>
      <c r="N1986" t="s">
        <v>5031</v>
      </c>
    </row>
    <row r="1987" spans="1:14" x14ac:dyDescent="0.3">
      <c r="A1987" t="s">
        <v>2011</v>
      </c>
      <c r="B1987" t="s">
        <v>12</v>
      </c>
      <c r="C1987" t="s">
        <v>13</v>
      </c>
      <c r="D1987">
        <v>12</v>
      </c>
      <c r="E1987" t="s">
        <v>14</v>
      </c>
      <c r="F1987" t="s">
        <v>15</v>
      </c>
      <c r="G1987">
        <v>29.2</v>
      </c>
      <c r="H1987">
        <v>309.10000000000002</v>
      </c>
      <c r="I1987" t="s">
        <v>16</v>
      </c>
      <c r="J1987" t="s">
        <v>15</v>
      </c>
      <c r="K1987" t="s">
        <v>21</v>
      </c>
      <c r="L1987">
        <v>309.10000000000002</v>
      </c>
      <c r="M1987" t="s">
        <v>5030</v>
      </c>
      <c r="N1987" t="s">
        <v>5031</v>
      </c>
    </row>
    <row r="1988" spans="1:14" x14ac:dyDescent="0.3">
      <c r="A1988" t="s">
        <v>2012</v>
      </c>
      <c r="B1988" t="s">
        <v>12</v>
      </c>
      <c r="C1988" t="s">
        <v>35</v>
      </c>
      <c r="D1988">
        <v>69</v>
      </c>
      <c r="E1988" t="s">
        <v>26</v>
      </c>
      <c r="F1988" t="s">
        <v>16</v>
      </c>
      <c r="G1988">
        <v>93.3</v>
      </c>
      <c r="H1988">
        <v>6398.05</v>
      </c>
      <c r="I1988" t="s">
        <v>15</v>
      </c>
      <c r="J1988" t="s">
        <v>16</v>
      </c>
      <c r="K1988" t="s">
        <v>24</v>
      </c>
      <c r="L1988">
        <v>6398.05</v>
      </c>
      <c r="M1988" t="s">
        <v>5033</v>
      </c>
      <c r="N1988" t="s">
        <v>5034</v>
      </c>
    </row>
    <row r="1989" spans="1:14" x14ac:dyDescent="0.3">
      <c r="A1989" t="s">
        <v>2013</v>
      </c>
      <c r="B1989" t="s">
        <v>12</v>
      </c>
      <c r="C1989" t="s">
        <v>13</v>
      </c>
      <c r="D1989">
        <v>25</v>
      </c>
      <c r="E1989" t="s">
        <v>26</v>
      </c>
      <c r="F1989" t="s">
        <v>15</v>
      </c>
      <c r="G1989">
        <v>89.15</v>
      </c>
      <c r="H1989">
        <v>2257.75</v>
      </c>
      <c r="I1989" t="s">
        <v>16</v>
      </c>
      <c r="J1989" t="s">
        <v>16</v>
      </c>
      <c r="K1989" t="s">
        <v>24</v>
      </c>
      <c r="L1989">
        <v>2257.75</v>
      </c>
      <c r="M1989" t="s">
        <v>5032</v>
      </c>
      <c r="N1989" t="s">
        <v>5031</v>
      </c>
    </row>
    <row r="1990" spans="1:14" x14ac:dyDescent="0.3">
      <c r="A1990" t="s">
        <v>2014</v>
      </c>
      <c r="B1990" t="s">
        <v>19</v>
      </c>
      <c r="C1990" t="s">
        <v>20</v>
      </c>
      <c r="D1990">
        <v>58</v>
      </c>
      <c r="E1990" t="s">
        <v>26</v>
      </c>
      <c r="F1990" t="s">
        <v>15</v>
      </c>
      <c r="G1990">
        <v>108.85</v>
      </c>
      <c r="H1990">
        <v>6287.25</v>
      </c>
      <c r="I1990" t="s">
        <v>16</v>
      </c>
      <c r="J1990" t="s">
        <v>16</v>
      </c>
      <c r="K1990" t="s">
        <v>17</v>
      </c>
      <c r="L1990">
        <v>6287.25</v>
      </c>
      <c r="M1990" t="s">
        <v>5033</v>
      </c>
      <c r="N1990" t="s">
        <v>5034</v>
      </c>
    </row>
    <row r="1991" spans="1:14" x14ac:dyDescent="0.3">
      <c r="A1991" t="s">
        <v>2015</v>
      </c>
      <c r="B1991" t="s">
        <v>12</v>
      </c>
      <c r="C1991" t="s">
        <v>35</v>
      </c>
      <c r="D1991">
        <v>35</v>
      </c>
      <c r="E1991" t="s">
        <v>14</v>
      </c>
      <c r="F1991" t="s">
        <v>16</v>
      </c>
      <c r="G1991">
        <v>46.35</v>
      </c>
      <c r="H1991">
        <v>1662.05</v>
      </c>
      <c r="I1991" t="s">
        <v>15</v>
      </c>
      <c r="J1991" t="s">
        <v>16</v>
      </c>
      <c r="K1991" t="s">
        <v>29</v>
      </c>
      <c r="L1991">
        <v>1662.05</v>
      </c>
      <c r="M1991" t="s">
        <v>5032</v>
      </c>
      <c r="N1991" t="s">
        <v>5031</v>
      </c>
    </row>
    <row r="1992" spans="1:14" x14ac:dyDescent="0.3">
      <c r="A1992" t="s">
        <v>2016</v>
      </c>
      <c r="B1992" t="s">
        <v>12</v>
      </c>
      <c r="C1992" t="s">
        <v>13</v>
      </c>
      <c r="D1992">
        <v>16</v>
      </c>
      <c r="E1992" t="s">
        <v>26</v>
      </c>
      <c r="F1992" t="s">
        <v>15</v>
      </c>
      <c r="G1992">
        <v>84.75</v>
      </c>
      <c r="H1992">
        <v>1350.15</v>
      </c>
      <c r="I1992" t="s">
        <v>16</v>
      </c>
      <c r="J1992" t="s">
        <v>16</v>
      </c>
      <c r="K1992" t="s">
        <v>17</v>
      </c>
      <c r="L1992">
        <v>1350.15</v>
      </c>
      <c r="M1992" t="s">
        <v>5032</v>
      </c>
      <c r="N1992" t="s">
        <v>5031</v>
      </c>
    </row>
    <row r="1993" spans="1:14" x14ac:dyDescent="0.3">
      <c r="A1993" t="s">
        <v>2017</v>
      </c>
      <c r="B1993" t="s">
        <v>19</v>
      </c>
      <c r="C1993" t="s">
        <v>20</v>
      </c>
      <c r="D1993">
        <v>45</v>
      </c>
      <c r="E1993" t="s">
        <v>14</v>
      </c>
      <c r="F1993" t="s">
        <v>15</v>
      </c>
      <c r="G1993">
        <v>78.75</v>
      </c>
      <c r="H1993">
        <v>3600.65</v>
      </c>
      <c r="I1993" t="s">
        <v>15</v>
      </c>
      <c r="J1993" t="s">
        <v>15</v>
      </c>
      <c r="K1993" t="s">
        <v>29</v>
      </c>
      <c r="L1993">
        <v>3600.65</v>
      </c>
      <c r="M1993" t="s">
        <v>5033</v>
      </c>
      <c r="N1993" t="s">
        <v>5034</v>
      </c>
    </row>
    <row r="1994" spans="1:14" x14ac:dyDescent="0.3">
      <c r="A1994" t="s">
        <v>2018</v>
      </c>
      <c r="B1994" t="s">
        <v>12</v>
      </c>
      <c r="C1994" t="s">
        <v>13</v>
      </c>
      <c r="D1994">
        <v>17</v>
      </c>
      <c r="E1994" t="s">
        <v>26</v>
      </c>
      <c r="F1994" t="s">
        <v>15</v>
      </c>
      <c r="G1994">
        <v>83.55</v>
      </c>
      <c r="H1994">
        <v>1329.15</v>
      </c>
      <c r="I1994" t="s">
        <v>15</v>
      </c>
      <c r="J1994" t="s">
        <v>16</v>
      </c>
      <c r="K1994" t="s">
        <v>17</v>
      </c>
      <c r="L1994">
        <v>1329.15</v>
      </c>
      <c r="M1994" t="s">
        <v>5032</v>
      </c>
      <c r="N1994" t="s">
        <v>5031</v>
      </c>
    </row>
    <row r="1995" spans="1:14" x14ac:dyDescent="0.3">
      <c r="A1995" t="s">
        <v>2019</v>
      </c>
      <c r="B1995" t="s">
        <v>12</v>
      </c>
      <c r="C1995" t="s">
        <v>13</v>
      </c>
      <c r="D1995">
        <v>1</v>
      </c>
      <c r="E1995" t="s">
        <v>14</v>
      </c>
      <c r="F1995" t="s">
        <v>15</v>
      </c>
      <c r="G1995">
        <v>45.7</v>
      </c>
      <c r="H1995">
        <v>45.7</v>
      </c>
      <c r="I1995" t="s">
        <v>16</v>
      </c>
      <c r="J1995" t="s">
        <v>16</v>
      </c>
      <c r="K1995" t="s">
        <v>17</v>
      </c>
      <c r="L1995">
        <v>45.7</v>
      </c>
      <c r="M1995" t="s">
        <v>5030</v>
      </c>
      <c r="N1995" t="s">
        <v>5031</v>
      </c>
    </row>
    <row r="1996" spans="1:14" x14ac:dyDescent="0.3">
      <c r="A1996" t="s">
        <v>2020</v>
      </c>
      <c r="B1996" t="s">
        <v>19</v>
      </c>
      <c r="C1996" t="s">
        <v>20</v>
      </c>
      <c r="D1996">
        <v>22</v>
      </c>
      <c r="E1996" t="s">
        <v>15</v>
      </c>
      <c r="F1996" t="s">
        <v>36</v>
      </c>
      <c r="G1996">
        <v>19.600000000000001</v>
      </c>
      <c r="H1996">
        <v>422.5</v>
      </c>
      <c r="I1996" t="s">
        <v>15</v>
      </c>
      <c r="J1996" t="s">
        <v>15</v>
      </c>
      <c r="K1996" t="s">
        <v>21</v>
      </c>
      <c r="L1996">
        <v>422.5</v>
      </c>
      <c r="M1996" t="s">
        <v>5032</v>
      </c>
      <c r="N1996" t="s">
        <v>5031</v>
      </c>
    </row>
    <row r="1997" spans="1:14" x14ac:dyDescent="0.3">
      <c r="A1997" t="s">
        <v>2021</v>
      </c>
      <c r="B1997" t="s">
        <v>12</v>
      </c>
      <c r="C1997" t="s">
        <v>13</v>
      </c>
      <c r="D1997">
        <v>1</v>
      </c>
      <c r="E1997" t="s">
        <v>26</v>
      </c>
      <c r="F1997" t="s">
        <v>15</v>
      </c>
      <c r="G1997">
        <v>69.95</v>
      </c>
      <c r="H1997">
        <v>69.95</v>
      </c>
      <c r="I1997" t="s">
        <v>16</v>
      </c>
      <c r="J1997" t="s">
        <v>16</v>
      </c>
      <c r="K1997" t="s">
        <v>17</v>
      </c>
      <c r="L1997">
        <v>69.95</v>
      </c>
      <c r="M1997" t="s">
        <v>5030</v>
      </c>
      <c r="N1997" t="s">
        <v>5031</v>
      </c>
    </row>
    <row r="1998" spans="1:14" x14ac:dyDescent="0.3">
      <c r="A1998" t="s">
        <v>2022</v>
      </c>
      <c r="B1998" t="s">
        <v>19</v>
      </c>
      <c r="C1998" t="s">
        <v>35</v>
      </c>
      <c r="D1998">
        <v>67</v>
      </c>
      <c r="E1998" t="s">
        <v>14</v>
      </c>
      <c r="F1998" t="s">
        <v>16</v>
      </c>
      <c r="G1998">
        <v>67.849999999999994</v>
      </c>
      <c r="H1998">
        <v>4627.6499999999996</v>
      </c>
      <c r="I1998" t="s">
        <v>15</v>
      </c>
      <c r="J1998" t="s">
        <v>15</v>
      </c>
      <c r="K1998" t="s">
        <v>21</v>
      </c>
      <c r="L1998">
        <v>4627.6499999999996</v>
      </c>
      <c r="M1998" t="s">
        <v>5033</v>
      </c>
      <c r="N1998" t="s">
        <v>5034</v>
      </c>
    </row>
    <row r="1999" spans="1:14" x14ac:dyDescent="0.3">
      <c r="A1999" t="s">
        <v>2023</v>
      </c>
      <c r="B1999" t="s">
        <v>12</v>
      </c>
      <c r="C1999" t="s">
        <v>35</v>
      </c>
      <c r="D1999">
        <v>67</v>
      </c>
      <c r="E1999" t="s">
        <v>26</v>
      </c>
      <c r="F1999" t="s">
        <v>16</v>
      </c>
      <c r="G1999">
        <v>105.65</v>
      </c>
      <c r="H1999">
        <v>6717.9</v>
      </c>
      <c r="I1999" t="s">
        <v>15</v>
      </c>
      <c r="J1999" t="s">
        <v>16</v>
      </c>
      <c r="K1999" t="s">
        <v>24</v>
      </c>
      <c r="L1999">
        <v>6717.9</v>
      </c>
      <c r="M1999" t="s">
        <v>5033</v>
      </c>
      <c r="N1999" t="s">
        <v>5034</v>
      </c>
    </row>
    <row r="2000" spans="1:14" x14ac:dyDescent="0.3">
      <c r="A2000" t="s">
        <v>2024</v>
      </c>
      <c r="B2000" t="s">
        <v>12</v>
      </c>
      <c r="C2000" t="s">
        <v>13</v>
      </c>
      <c r="D2000">
        <v>2</v>
      </c>
      <c r="E2000" t="s">
        <v>14</v>
      </c>
      <c r="F2000" t="s">
        <v>15</v>
      </c>
      <c r="G2000">
        <v>44.6</v>
      </c>
      <c r="H2000">
        <v>97.1</v>
      </c>
      <c r="I2000" t="s">
        <v>16</v>
      </c>
      <c r="J2000" t="s">
        <v>15</v>
      </c>
      <c r="K2000" t="s">
        <v>17</v>
      </c>
      <c r="L2000">
        <v>97.1</v>
      </c>
      <c r="M2000" t="s">
        <v>5030</v>
      </c>
      <c r="N2000" t="s">
        <v>5031</v>
      </c>
    </row>
    <row r="2001" spans="1:14" x14ac:dyDescent="0.3">
      <c r="A2001" t="s">
        <v>2025</v>
      </c>
      <c r="B2001" t="s">
        <v>19</v>
      </c>
      <c r="C2001" t="s">
        <v>13</v>
      </c>
      <c r="D2001">
        <v>23</v>
      </c>
      <c r="E2001" t="s">
        <v>26</v>
      </c>
      <c r="F2001" t="s">
        <v>15</v>
      </c>
      <c r="G2001">
        <v>74.95</v>
      </c>
      <c r="H2001">
        <v>1710.45</v>
      </c>
      <c r="I2001" t="s">
        <v>16</v>
      </c>
      <c r="J2001" t="s">
        <v>16</v>
      </c>
      <c r="K2001" t="s">
        <v>17</v>
      </c>
      <c r="L2001">
        <v>1710.45</v>
      </c>
      <c r="M2001" t="s">
        <v>5032</v>
      </c>
      <c r="N2001" t="s">
        <v>5031</v>
      </c>
    </row>
    <row r="2002" spans="1:14" x14ac:dyDescent="0.3">
      <c r="A2002" t="s">
        <v>2026</v>
      </c>
      <c r="B2002" t="s">
        <v>12</v>
      </c>
      <c r="C2002" t="s">
        <v>13</v>
      </c>
      <c r="D2002">
        <v>9</v>
      </c>
      <c r="E2002" t="s">
        <v>26</v>
      </c>
      <c r="F2002" t="s">
        <v>15</v>
      </c>
      <c r="G2002">
        <v>75.5</v>
      </c>
      <c r="H2002">
        <v>637.4</v>
      </c>
      <c r="I2002" t="s">
        <v>15</v>
      </c>
      <c r="J2002" t="s">
        <v>15</v>
      </c>
      <c r="K2002" t="s">
        <v>29</v>
      </c>
      <c r="L2002">
        <v>637.4</v>
      </c>
      <c r="M2002" t="s">
        <v>5030</v>
      </c>
      <c r="N2002" t="s">
        <v>5031</v>
      </c>
    </row>
    <row r="2003" spans="1:14" x14ac:dyDescent="0.3">
      <c r="A2003" t="s">
        <v>2027</v>
      </c>
      <c r="B2003" t="s">
        <v>12</v>
      </c>
      <c r="C2003" t="s">
        <v>13</v>
      </c>
      <c r="D2003">
        <v>5</v>
      </c>
      <c r="E2003" t="s">
        <v>15</v>
      </c>
      <c r="F2003" t="s">
        <v>36</v>
      </c>
      <c r="G2003">
        <v>20.149999999999999</v>
      </c>
      <c r="H2003">
        <v>117.95</v>
      </c>
      <c r="I2003" t="s">
        <v>15</v>
      </c>
      <c r="J2003" t="s">
        <v>15</v>
      </c>
      <c r="K2003" t="s">
        <v>21</v>
      </c>
      <c r="L2003">
        <v>117.95</v>
      </c>
      <c r="M2003" t="s">
        <v>5030</v>
      </c>
      <c r="N2003" t="s">
        <v>5031</v>
      </c>
    </row>
    <row r="2004" spans="1:14" x14ac:dyDescent="0.3">
      <c r="A2004" t="s">
        <v>2028</v>
      </c>
      <c r="B2004" t="s">
        <v>19</v>
      </c>
      <c r="C2004" t="s">
        <v>35</v>
      </c>
      <c r="D2004">
        <v>54</v>
      </c>
      <c r="E2004" t="s">
        <v>14</v>
      </c>
      <c r="F2004" t="s">
        <v>16</v>
      </c>
      <c r="G2004">
        <v>45.2</v>
      </c>
      <c r="H2004">
        <v>2460.5500000000002</v>
      </c>
      <c r="I2004" t="s">
        <v>15</v>
      </c>
      <c r="J2004" t="s">
        <v>15</v>
      </c>
      <c r="K2004" t="s">
        <v>29</v>
      </c>
      <c r="L2004">
        <v>2460.5500000000002</v>
      </c>
      <c r="M2004" t="s">
        <v>5033</v>
      </c>
      <c r="N2004" t="s">
        <v>5031</v>
      </c>
    </row>
    <row r="2005" spans="1:14" x14ac:dyDescent="0.3">
      <c r="A2005" t="s">
        <v>2029</v>
      </c>
      <c r="B2005" t="s">
        <v>12</v>
      </c>
      <c r="C2005" t="s">
        <v>35</v>
      </c>
      <c r="D2005">
        <v>57</v>
      </c>
      <c r="E2005" t="s">
        <v>26</v>
      </c>
      <c r="F2005" t="s">
        <v>15</v>
      </c>
      <c r="G2005">
        <v>95.25</v>
      </c>
      <c r="H2005">
        <v>5464.65</v>
      </c>
      <c r="I2005" t="s">
        <v>16</v>
      </c>
      <c r="J2005" t="s">
        <v>16</v>
      </c>
      <c r="K2005" t="s">
        <v>17</v>
      </c>
      <c r="L2005">
        <v>5464.65</v>
      </c>
      <c r="M2005" t="s">
        <v>5033</v>
      </c>
      <c r="N2005" t="s">
        <v>5034</v>
      </c>
    </row>
    <row r="2006" spans="1:14" x14ac:dyDescent="0.3">
      <c r="A2006" t="s">
        <v>2030</v>
      </c>
      <c r="B2006" t="s">
        <v>19</v>
      </c>
      <c r="C2006" t="s">
        <v>13</v>
      </c>
      <c r="D2006">
        <v>24</v>
      </c>
      <c r="E2006" t="s">
        <v>26</v>
      </c>
      <c r="F2006" t="s">
        <v>15</v>
      </c>
      <c r="G2006">
        <v>89.85</v>
      </c>
      <c r="H2006">
        <v>2165.0500000000002</v>
      </c>
      <c r="I2006" t="s">
        <v>16</v>
      </c>
      <c r="J2006" t="s">
        <v>16</v>
      </c>
      <c r="K2006" t="s">
        <v>21</v>
      </c>
      <c r="L2006">
        <v>2165.0500000000002</v>
      </c>
      <c r="M2006" t="s">
        <v>5032</v>
      </c>
      <c r="N2006" t="s">
        <v>5031</v>
      </c>
    </row>
    <row r="2007" spans="1:14" x14ac:dyDescent="0.3">
      <c r="A2007" t="s">
        <v>2031</v>
      </c>
      <c r="B2007" t="s">
        <v>12</v>
      </c>
      <c r="C2007" t="s">
        <v>20</v>
      </c>
      <c r="D2007">
        <v>49</v>
      </c>
      <c r="E2007" t="s">
        <v>26</v>
      </c>
      <c r="F2007" t="s">
        <v>15</v>
      </c>
      <c r="G2007">
        <v>100.45</v>
      </c>
      <c r="H2007">
        <v>4941.8</v>
      </c>
      <c r="I2007" t="s">
        <v>16</v>
      </c>
      <c r="J2007" t="s">
        <v>15</v>
      </c>
      <c r="K2007" t="s">
        <v>21</v>
      </c>
      <c r="L2007">
        <v>4941.8</v>
      </c>
      <c r="M2007" t="s">
        <v>5033</v>
      </c>
      <c r="N2007" t="s">
        <v>5034</v>
      </c>
    </row>
    <row r="2008" spans="1:14" x14ac:dyDescent="0.3">
      <c r="A2008" t="s">
        <v>2032</v>
      </c>
      <c r="B2008" t="s">
        <v>19</v>
      </c>
      <c r="C2008" t="s">
        <v>13</v>
      </c>
      <c r="D2008">
        <v>5</v>
      </c>
      <c r="E2008" t="s">
        <v>14</v>
      </c>
      <c r="F2008" t="s">
        <v>15</v>
      </c>
      <c r="G2008">
        <v>47.15</v>
      </c>
      <c r="H2008">
        <v>223.15</v>
      </c>
      <c r="I2008" t="s">
        <v>16</v>
      </c>
      <c r="J2008" t="s">
        <v>15</v>
      </c>
      <c r="K2008" t="s">
        <v>17</v>
      </c>
      <c r="L2008">
        <v>223.15</v>
      </c>
      <c r="M2008" t="s">
        <v>5030</v>
      </c>
      <c r="N2008" t="s">
        <v>5031</v>
      </c>
    </row>
    <row r="2009" spans="1:14" x14ac:dyDescent="0.3">
      <c r="A2009" t="s">
        <v>2033</v>
      </c>
      <c r="B2009" t="s">
        <v>19</v>
      </c>
      <c r="C2009" t="s">
        <v>13</v>
      </c>
      <c r="D2009">
        <v>2</v>
      </c>
      <c r="E2009" t="s">
        <v>26</v>
      </c>
      <c r="F2009" t="s">
        <v>15</v>
      </c>
      <c r="G2009">
        <v>80.2</v>
      </c>
      <c r="H2009">
        <v>181.1</v>
      </c>
      <c r="I2009" t="s">
        <v>16</v>
      </c>
      <c r="J2009" t="s">
        <v>16</v>
      </c>
      <c r="K2009" t="s">
        <v>17</v>
      </c>
      <c r="L2009">
        <v>181.1</v>
      </c>
      <c r="M2009" t="s">
        <v>5030</v>
      </c>
      <c r="N2009" t="s">
        <v>5031</v>
      </c>
    </row>
    <row r="2010" spans="1:14" x14ac:dyDescent="0.3">
      <c r="A2010" t="s">
        <v>2034</v>
      </c>
      <c r="B2010" t="s">
        <v>12</v>
      </c>
      <c r="C2010" t="s">
        <v>13</v>
      </c>
      <c r="D2010">
        <v>4</v>
      </c>
      <c r="E2010" t="s">
        <v>26</v>
      </c>
      <c r="F2010" t="s">
        <v>16</v>
      </c>
      <c r="G2010">
        <v>87.1</v>
      </c>
      <c r="H2010">
        <v>341.45</v>
      </c>
      <c r="I2010" t="s">
        <v>16</v>
      </c>
      <c r="J2010" t="s">
        <v>16</v>
      </c>
      <c r="K2010" t="s">
        <v>21</v>
      </c>
      <c r="L2010">
        <v>341.45</v>
      </c>
      <c r="M2010" t="s">
        <v>5030</v>
      </c>
      <c r="N2010" t="s">
        <v>5031</v>
      </c>
    </row>
    <row r="2011" spans="1:14" x14ac:dyDescent="0.3">
      <c r="A2011" t="s">
        <v>2035</v>
      </c>
      <c r="B2011" t="s">
        <v>19</v>
      </c>
      <c r="C2011" t="s">
        <v>35</v>
      </c>
      <c r="D2011">
        <v>70</v>
      </c>
      <c r="E2011" t="s">
        <v>14</v>
      </c>
      <c r="F2011" t="s">
        <v>16</v>
      </c>
      <c r="G2011">
        <v>79.25</v>
      </c>
      <c r="H2011">
        <v>5731.85</v>
      </c>
      <c r="I2011" t="s">
        <v>15</v>
      </c>
      <c r="J2011" t="s">
        <v>16</v>
      </c>
      <c r="K2011" t="s">
        <v>24</v>
      </c>
      <c r="L2011">
        <v>5731.85</v>
      </c>
      <c r="M2011" t="s">
        <v>5033</v>
      </c>
      <c r="N2011" t="s">
        <v>5034</v>
      </c>
    </row>
    <row r="2012" spans="1:14" x14ac:dyDescent="0.3">
      <c r="A2012" t="s">
        <v>2036</v>
      </c>
      <c r="B2012" t="s">
        <v>19</v>
      </c>
      <c r="C2012" t="s">
        <v>13</v>
      </c>
      <c r="D2012">
        <v>5</v>
      </c>
      <c r="E2012" t="s">
        <v>26</v>
      </c>
      <c r="F2012" t="s">
        <v>15</v>
      </c>
      <c r="G2012">
        <v>75.900000000000006</v>
      </c>
      <c r="H2012">
        <v>357.75</v>
      </c>
      <c r="I2012" t="s">
        <v>16</v>
      </c>
      <c r="J2012" t="s">
        <v>16</v>
      </c>
      <c r="K2012" t="s">
        <v>24</v>
      </c>
      <c r="L2012">
        <v>357.75</v>
      </c>
      <c r="M2012" t="s">
        <v>5030</v>
      </c>
      <c r="N2012" t="s">
        <v>5031</v>
      </c>
    </row>
    <row r="2013" spans="1:14" x14ac:dyDescent="0.3">
      <c r="A2013" t="s">
        <v>2037</v>
      </c>
      <c r="B2013" t="s">
        <v>19</v>
      </c>
      <c r="C2013" t="s">
        <v>13</v>
      </c>
      <c r="D2013">
        <v>53</v>
      </c>
      <c r="E2013" t="s">
        <v>14</v>
      </c>
      <c r="F2013" t="s">
        <v>16</v>
      </c>
      <c r="G2013">
        <v>85.7</v>
      </c>
      <c r="H2013">
        <v>4616.1000000000004</v>
      </c>
      <c r="I2013" t="s">
        <v>15</v>
      </c>
      <c r="J2013" t="s">
        <v>15</v>
      </c>
      <c r="K2013" t="s">
        <v>17</v>
      </c>
      <c r="L2013">
        <v>4616.1000000000004</v>
      </c>
      <c r="M2013" t="s">
        <v>5033</v>
      </c>
      <c r="N2013" t="s">
        <v>5034</v>
      </c>
    </row>
    <row r="2014" spans="1:14" x14ac:dyDescent="0.3">
      <c r="A2014" t="s">
        <v>2038</v>
      </c>
      <c r="B2014" t="s">
        <v>12</v>
      </c>
      <c r="C2014" t="s">
        <v>13</v>
      </c>
      <c r="D2014">
        <v>47</v>
      </c>
      <c r="E2014" t="s">
        <v>26</v>
      </c>
      <c r="F2014" t="s">
        <v>15</v>
      </c>
      <c r="G2014">
        <v>98.75</v>
      </c>
      <c r="H2014">
        <v>4533.7</v>
      </c>
      <c r="I2014" t="s">
        <v>16</v>
      </c>
      <c r="J2014" t="s">
        <v>16</v>
      </c>
      <c r="K2014" t="s">
        <v>17</v>
      </c>
      <c r="L2014">
        <v>4533.7</v>
      </c>
      <c r="M2014" t="s">
        <v>5033</v>
      </c>
      <c r="N2014" t="s">
        <v>5034</v>
      </c>
    </row>
    <row r="2015" spans="1:14" x14ac:dyDescent="0.3">
      <c r="A2015" t="s">
        <v>2039</v>
      </c>
      <c r="B2015" t="s">
        <v>12</v>
      </c>
      <c r="C2015" t="s">
        <v>20</v>
      </c>
      <c r="D2015">
        <v>31</v>
      </c>
      <c r="E2015" t="s">
        <v>15</v>
      </c>
      <c r="F2015" t="s">
        <v>36</v>
      </c>
      <c r="G2015">
        <v>20.100000000000001</v>
      </c>
      <c r="H2015">
        <v>589.25</v>
      </c>
      <c r="I2015" t="s">
        <v>15</v>
      </c>
      <c r="J2015" t="s">
        <v>15</v>
      </c>
      <c r="K2015" t="s">
        <v>29</v>
      </c>
      <c r="L2015">
        <v>589.25</v>
      </c>
      <c r="M2015" t="s">
        <v>5032</v>
      </c>
      <c r="N2015" t="s">
        <v>5031</v>
      </c>
    </row>
    <row r="2016" spans="1:14" x14ac:dyDescent="0.3">
      <c r="A2016" t="s">
        <v>2040</v>
      </c>
      <c r="B2016" t="s">
        <v>19</v>
      </c>
      <c r="C2016" t="s">
        <v>13</v>
      </c>
      <c r="D2016">
        <v>13</v>
      </c>
      <c r="E2016" t="s">
        <v>14</v>
      </c>
      <c r="F2016" t="s">
        <v>16</v>
      </c>
      <c r="G2016">
        <v>61.8</v>
      </c>
      <c r="H2016">
        <v>750.1</v>
      </c>
      <c r="I2016" t="s">
        <v>15</v>
      </c>
      <c r="J2016" t="s">
        <v>15</v>
      </c>
      <c r="K2016" t="s">
        <v>24</v>
      </c>
      <c r="L2016">
        <v>750.1</v>
      </c>
      <c r="M2016" t="s">
        <v>5032</v>
      </c>
      <c r="N2016" t="s">
        <v>5031</v>
      </c>
    </row>
    <row r="2017" spans="1:14" x14ac:dyDescent="0.3">
      <c r="A2017" t="s">
        <v>2041</v>
      </c>
      <c r="B2017" t="s">
        <v>12</v>
      </c>
      <c r="C2017" t="s">
        <v>13</v>
      </c>
      <c r="D2017">
        <v>28</v>
      </c>
      <c r="E2017" t="s">
        <v>14</v>
      </c>
      <c r="F2017" t="s">
        <v>15</v>
      </c>
      <c r="G2017">
        <v>49.9</v>
      </c>
      <c r="H2017">
        <v>1410.25</v>
      </c>
      <c r="I2017" t="s">
        <v>15</v>
      </c>
      <c r="J2017" t="s">
        <v>15</v>
      </c>
      <c r="K2017" t="s">
        <v>21</v>
      </c>
      <c r="L2017">
        <v>1410.25</v>
      </c>
      <c r="M2017" t="s">
        <v>5032</v>
      </c>
      <c r="N2017" t="s">
        <v>5031</v>
      </c>
    </row>
    <row r="2018" spans="1:14" x14ac:dyDescent="0.3">
      <c r="A2018" t="s">
        <v>2042</v>
      </c>
      <c r="B2018" t="s">
        <v>12</v>
      </c>
      <c r="C2018" t="s">
        <v>13</v>
      </c>
      <c r="D2018">
        <v>10</v>
      </c>
      <c r="E2018" t="s">
        <v>26</v>
      </c>
      <c r="F2018" t="s">
        <v>15</v>
      </c>
      <c r="G2018">
        <v>86.45</v>
      </c>
      <c r="H2018">
        <v>830.85</v>
      </c>
      <c r="I2018" t="s">
        <v>16</v>
      </c>
      <c r="J2018" t="s">
        <v>15</v>
      </c>
      <c r="K2018" t="s">
        <v>17</v>
      </c>
      <c r="L2018">
        <v>830.85</v>
      </c>
      <c r="M2018" t="s">
        <v>5030</v>
      </c>
      <c r="N2018" t="s">
        <v>5031</v>
      </c>
    </row>
    <row r="2019" spans="1:14" x14ac:dyDescent="0.3">
      <c r="A2019" t="s">
        <v>2043</v>
      </c>
      <c r="B2019" t="s">
        <v>19</v>
      </c>
      <c r="C2019" t="s">
        <v>35</v>
      </c>
      <c r="D2019">
        <v>38</v>
      </c>
      <c r="E2019" t="s">
        <v>15</v>
      </c>
      <c r="F2019" t="s">
        <v>36</v>
      </c>
      <c r="G2019">
        <v>20.399999999999999</v>
      </c>
      <c r="H2019">
        <v>743.5</v>
      </c>
      <c r="I2019" t="s">
        <v>15</v>
      </c>
      <c r="J2019" t="s">
        <v>15</v>
      </c>
      <c r="K2019" t="s">
        <v>24</v>
      </c>
      <c r="L2019">
        <v>743.5</v>
      </c>
      <c r="M2019" t="s">
        <v>5033</v>
      </c>
      <c r="N2019" t="s">
        <v>5031</v>
      </c>
    </row>
    <row r="2020" spans="1:14" x14ac:dyDescent="0.3">
      <c r="A2020" t="s">
        <v>2044</v>
      </c>
      <c r="B2020" t="s">
        <v>12</v>
      </c>
      <c r="C2020" t="s">
        <v>13</v>
      </c>
      <c r="D2020">
        <v>1</v>
      </c>
      <c r="E2020" t="s">
        <v>14</v>
      </c>
      <c r="F2020" t="s">
        <v>15</v>
      </c>
      <c r="G2020">
        <v>45.3</v>
      </c>
      <c r="H2020">
        <v>45.3</v>
      </c>
      <c r="I2020" t="s">
        <v>16</v>
      </c>
      <c r="J2020" t="s">
        <v>16</v>
      </c>
      <c r="K2020" t="s">
        <v>21</v>
      </c>
      <c r="L2020">
        <v>45.3</v>
      </c>
      <c r="M2020" t="s">
        <v>5030</v>
      </c>
      <c r="N2020" t="s">
        <v>5031</v>
      </c>
    </row>
    <row r="2021" spans="1:14" x14ac:dyDescent="0.3">
      <c r="A2021" t="s">
        <v>2045</v>
      </c>
      <c r="B2021" t="s">
        <v>19</v>
      </c>
      <c r="C2021" t="s">
        <v>20</v>
      </c>
      <c r="D2021">
        <v>67</v>
      </c>
      <c r="E2021" t="s">
        <v>26</v>
      </c>
      <c r="F2021" t="s">
        <v>15</v>
      </c>
      <c r="G2021">
        <v>104.1</v>
      </c>
      <c r="H2021">
        <v>7040.85</v>
      </c>
      <c r="I2021" t="s">
        <v>16</v>
      </c>
      <c r="J2021" t="s">
        <v>15</v>
      </c>
      <c r="K2021" t="s">
        <v>17</v>
      </c>
      <c r="L2021">
        <v>7040.85</v>
      </c>
      <c r="M2021" t="s">
        <v>5033</v>
      </c>
      <c r="N2021" t="s">
        <v>5034</v>
      </c>
    </row>
    <row r="2022" spans="1:14" x14ac:dyDescent="0.3">
      <c r="A2022" t="s">
        <v>2046</v>
      </c>
      <c r="B2022" t="s">
        <v>19</v>
      </c>
      <c r="C2022" t="s">
        <v>20</v>
      </c>
      <c r="D2022">
        <v>52</v>
      </c>
      <c r="E2022" t="s">
        <v>14</v>
      </c>
      <c r="F2022" t="s">
        <v>15</v>
      </c>
      <c r="G2022">
        <v>75.400000000000006</v>
      </c>
      <c r="H2022">
        <v>3865.45</v>
      </c>
      <c r="I2022" t="s">
        <v>15</v>
      </c>
      <c r="J2022" t="s">
        <v>16</v>
      </c>
      <c r="K2022" t="s">
        <v>21</v>
      </c>
      <c r="L2022">
        <v>3865.45</v>
      </c>
      <c r="M2022" t="s">
        <v>5033</v>
      </c>
      <c r="N2022" t="s">
        <v>5034</v>
      </c>
    </row>
    <row r="2023" spans="1:14" x14ac:dyDescent="0.3">
      <c r="A2023" t="s">
        <v>2047</v>
      </c>
      <c r="B2023" t="s">
        <v>19</v>
      </c>
      <c r="C2023" t="s">
        <v>35</v>
      </c>
      <c r="D2023">
        <v>62</v>
      </c>
      <c r="E2023" t="s">
        <v>26</v>
      </c>
      <c r="F2023" t="s">
        <v>16</v>
      </c>
      <c r="G2023">
        <v>108.15</v>
      </c>
      <c r="H2023">
        <v>6825.65</v>
      </c>
      <c r="I2023" t="s">
        <v>15</v>
      </c>
      <c r="J2023" t="s">
        <v>15</v>
      </c>
      <c r="K2023" t="s">
        <v>21</v>
      </c>
      <c r="L2023">
        <v>6825.65</v>
      </c>
      <c r="M2023" t="s">
        <v>5033</v>
      </c>
      <c r="N2023" t="s">
        <v>5034</v>
      </c>
    </row>
    <row r="2024" spans="1:14" x14ac:dyDescent="0.3">
      <c r="A2024" t="s">
        <v>2048</v>
      </c>
      <c r="B2024" t="s">
        <v>12</v>
      </c>
      <c r="C2024" t="s">
        <v>13</v>
      </c>
      <c r="D2024">
        <v>16</v>
      </c>
      <c r="E2024" t="s">
        <v>26</v>
      </c>
      <c r="F2024" t="s">
        <v>15</v>
      </c>
      <c r="G2024">
        <v>86.25</v>
      </c>
      <c r="H2024">
        <v>1340.1</v>
      </c>
      <c r="I2024" t="s">
        <v>15</v>
      </c>
      <c r="J2024" t="s">
        <v>16</v>
      </c>
      <c r="K2024" t="s">
        <v>17</v>
      </c>
      <c r="L2024">
        <v>1340.1</v>
      </c>
      <c r="M2024" t="s">
        <v>5032</v>
      </c>
      <c r="N2024" t="s">
        <v>5031</v>
      </c>
    </row>
    <row r="2025" spans="1:14" x14ac:dyDescent="0.3">
      <c r="A2025" t="s">
        <v>2049</v>
      </c>
      <c r="B2025" t="s">
        <v>12</v>
      </c>
      <c r="C2025" t="s">
        <v>13</v>
      </c>
      <c r="D2025">
        <v>5</v>
      </c>
      <c r="E2025" t="s">
        <v>26</v>
      </c>
      <c r="F2025" t="s">
        <v>15</v>
      </c>
      <c r="G2025">
        <v>81</v>
      </c>
      <c r="H2025">
        <v>371.65</v>
      </c>
      <c r="I2025" t="s">
        <v>16</v>
      </c>
      <c r="J2025" t="s">
        <v>16</v>
      </c>
      <c r="K2025" t="s">
        <v>17</v>
      </c>
      <c r="L2025">
        <v>371.65</v>
      </c>
      <c r="M2025" t="s">
        <v>5030</v>
      </c>
      <c r="N2025" t="s">
        <v>5031</v>
      </c>
    </row>
    <row r="2026" spans="1:14" x14ac:dyDescent="0.3">
      <c r="A2026" t="s">
        <v>2050</v>
      </c>
      <c r="B2026" t="s">
        <v>19</v>
      </c>
      <c r="C2026" t="s">
        <v>20</v>
      </c>
      <c r="D2026">
        <v>12</v>
      </c>
      <c r="E2026" t="s">
        <v>26</v>
      </c>
      <c r="F2026" t="s">
        <v>15</v>
      </c>
      <c r="G2026">
        <v>95.7</v>
      </c>
      <c r="H2026">
        <v>1184</v>
      </c>
      <c r="I2026" t="s">
        <v>15</v>
      </c>
      <c r="J2026" t="s">
        <v>15</v>
      </c>
      <c r="K2026" t="s">
        <v>17</v>
      </c>
      <c r="L2026">
        <v>1184</v>
      </c>
      <c r="M2026" t="s">
        <v>5030</v>
      </c>
      <c r="N2026" t="s">
        <v>5031</v>
      </c>
    </row>
    <row r="2027" spans="1:14" x14ac:dyDescent="0.3">
      <c r="A2027" t="s">
        <v>2051</v>
      </c>
      <c r="B2027" t="s">
        <v>12</v>
      </c>
      <c r="C2027" t="s">
        <v>35</v>
      </c>
      <c r="D2027">
        <v>72</v>
      </c>
      <c r="E2027" t="s">
        <v>26</v>
      </c>
      <c r="F2027" t="s">
        <v>16</v>
      </c>
      <c r="G2027">
        <v>116.85</v>
      </c>
      <c r="H2027">
        <v>8477.7000000000007</v>
      </c>
      <c r="I2027" t="s">
        <v>15</v>
      </c>
      <c r="J2027" t="s">
        <v>16</v>
      </c>
      <c r="K2027" t="s">
        <v>24</v>
      </c>
      <c r="L2027">
        <v>8477.7000000000007</v>
      </c>
      <c r="M2027" t="s">
        <v>5033</v>
      </c>
      <c r="N2027" t="s">
        <v>5034</v>
      </c>
    </row>
    <row r="2028" spans="1:14" x14ac:dyDescent="0.3">
      <c r="A2028" t="s">
        <v>2052</v>
      </c>
      <c r="B2028" t="s">
        <v>19</v>
      </c>
      <c r="C2028" t="s">
        <v>20</v>
      </c>
      <c r="D2028">
        <v>71</v>
      </c>
      <c r="E2028" t="s">
        <v>26</v>
      </c>
      <c r="F2028" t="s">
        <v>16</v>
      </c>
      <c r="G2028">
        <v>105.75</v>
      </c>
      <c r="H2028">
        <v>7382.85</v>
      </c>
      <c r="I2028" t="s">
        <v>15</v>
      </c>
      <c r="J2028" t="s">
        <v>15</v>
      </c>
      <c r="K2028" t="s">
        <v>24</v>
      </c>
      <c r="L2028">
        <v>7382.85</v>
      </c>
      <c r="M2028" t="s">
        <v>5033</v>
      </c>
      <c r="N2028" t="s">
        <v>5034</v>
      </c>
    </row>
    <row r="2029" spans="1:14" x14ac:dyDescent="0.3">
      <c r="A2029" t="s">
        <v>2053</v>
      </c>
      <c r="B2029" t="s">
        <v>12</v>
      </c>
      <c r="C2029" t="s">
        <v>20</v>
      </c>
      <c r="D2029">
        <v>24</v>
      </c>
      <c r="E2029" t="s">
        <v>15</v>
      </c>
      <c r="F2029" t="s">
        <v>36</v>
      </c>
      <c r="G2029">
        <v>20.149999999999999</v>
      </c>
      <c r="H2029">
        <v>456.85</v>
      </c>
      <c r="I2029" t="s">
        <v>15</v>
      </c>
      <c r="J2029" t="s">
        <v>15</v>
      </c>
      <c r="K2029" t="s">
        <v>21</v>
      </c>
      <c r="L2029">
        <v>456.85</v>
      </c>
      <c r="M2029" t="s">
        <v>5032</v>
      </c>
      <c r="N2029" t="s">
        <v>5031</v>
      </c>
    </row>
    <row r="2030" spans="1:14" x14ac:dyDescent="0.3">
      <c r="A2030" t="s">
        <v>2054</v>
      </c>
      <c r="B2030" t="s">
        <v>12</v>
      </c>
      <c r="C2030" t="s">
        <v>35</v>
      </c>
      <c r="D2030">
        <v>15</v>
      </c>
      <c r="E2030" t="s">
        <v>15</v>
      </c>
      <c r="F2030" t="s">
        <v>36</v>
      </c>
      <c r="G2030">
        <v>19.600000000000001</v>
      </c>
      <c r="H2030">
        <v>331.6</v>
      </c>
      <c r="I2030" t="s">
        <v>15</v>
      </c>
      <c r="J2030" t="s">
        <v>15</v>
      </c>
      <c r="K2030" t="s">
        <v>21</v>
      </c>
      <c r="L2030">
        <v>331.6</v>
      </c>
      <c r="M2030" t="s">
        <v>5032</v>
      </c>
      <c r="N2030" t="s">
        <v>5031</v>
      </c>
    </row>
    <row r="2031" spans="1:14" x14ac:dyDescent="0.3">
      <c r="A2031" t="s">
        <v>2055</v>
      </c>
      <c r="B2031" t="s">
        <v>19</v>
      </c>
      <c r="C2031" t="s">
        <v>20</v>
      </c>
      <c r="D2031">
        <v>67</v>
      </c>
      <c r="E2031" t="s">
        <v>26</v>
      </c>
      <c r="F2031" t="s">
        <v>15</v>
      </c>
      <c r="G2031">
        <v>90.6</v>
      </c>
      <c r="H2031">
        <v>6056.15</v>
      </c>
      <c r="I2031" t="s">
        <v>16</v>
      </c>
      <c r="J2031" t="s">
        <v>16</v>
      </c>
      <c r="K2031" t="s">
        <v>29</v>
      </c>
      <c r="L2031">
        <v>6056.15</v>
      </c>
      <c r="M2031" t="s">
        <v>5033</v>
      </c>
      <c r="N2031" t="s">
        <v>5034</v>
      </c>
    </row>
    <row r="2032" spans="1:14" x14ac:dyDescent="0.3">
      <c r="A2032" t="s">
        <v>2056</v>
      </c>
      <c r="B2032" t="s">
        <v>19</v>
      </c>
      <c r="C2032" t="s">
        <v>13</v>
      </c>
      <c r="D2032">
        <v>2</v>
      </c>
      <c r="E2032" t="s">
        <v>14</v>
      </c>
      <c r="F2032" t="s">
        <v>15</v>
      </c>
      <c r="G2032">
        <v>60.95</v>
      </c>
      <c r="H2032">
        <v>134.6</v>
      </c>
      <c r="I2032" t="s">
        <v>15</v>
      </c>
      <c r="J2032" t="s">
        <v>15</v>
      </c>
      <c r="K2032" t="s">
        <v>24</v>
      </c>
      <c r="L2032">
        <v>134.6</v>
      </c>
      <c r="M2032" t="s">
        <v>5030</v>
      </c>
      <c r="N2032" t="s">
        <v>5031</v>
      </c>
    </row>
    <row r="2033" spans="1:14" x14ac:dyDescent="0.3">
      <c r="A2033" t="s">
        <v>2057</v>
      </c>
      <c r="B2033" t="s">
        <v>12</v>
      </c>
      <c r="C2033" t="s">
        <v>13</v>
      </c>
      <c r="D2033">
        <v>5</v>
      </c>
      <c r="E2033" t="s">
        <v>14</v>
      </c>
      <c r="F2033" t="s">
        <v>15</v>
      </c>
      <c r="G2033">
        <v>25.05</v>
      </c>
      <c r="H2033">
        <v>125.5</v>
      </c>
      <c r="I2033" t="s">
        <v>15</v>
      </c>
      <c r="J2033" t="s">
        <v>15</v>
      </c>
      <c r="K2033" t="s">
        <v>21</v>
      </c>
      <c r="L2033">
        <v>125.5</v>
      </c>
      <c r="M2033" t="s">
        <v>5030</v>
      </c>
      <c r="N2033" t="s">
        <v>5031</v>
      </c>
    </row>
    <row r="2034" spans="1:14" x14ac:dyDescent="0.3">
      <c r="A2034" t="s">
        <v>2058</v>
      </c>
      <c r="B2034" t="s">
        <v>12</v>
      </c>
      <c r="C2034" t="s">
        <v>13</v>
      </c>
      <c r="D2034">
        <v>15</v>
      </c>
      <c r="E2034" t="s">
        <v>26</v>
      </c>
      <c r="F2034" t="s">
        <v>15</v>
      </c>
      <c r="G2034">
        <v>88.15</v>
      </c>
      <c r="H2034">
        <v>1390.6</v>
      </c>
      <c r="I2034" t="s">
        <v>16</v>
      </c>
      <c r="J2034" t="s">
        <v>15</v>
      </c>
      <c r="K2034" t="s">
        <v>17</v>
      </c>
      <c r="L2034">
        <v>1390.6</v>
      </c>
      <c r="M2034" t="s">
        <v>5032</v>
      </c>
      <c r="N2034" t="s">
        <v>5031</v>
      </c>
    </row>
    <row r="2035" spans="1:14" x14ac:dyDescent="0.3">
      <c r="A2035" t="s">
        <v>2059</v>
      </c>
      <c r="B2035" t="s">
        <v>19</v>
      </c>
      <c r="C2035" t="s">
        <v>13</v>
      </c>
      <c r="D2035">
        <v>1</v>
      </c>
      <c r="E2035" t="s">
        <v>15</v>
      </c>
      <c r="F2035" t="s">
        <v>36</v>
      </c>
      <c r="G2035">
        <v>20.2</v>
      </c>
      <c r="H2035">
        <v>20.2</v>
      </c>
      <c r="I2035" t="s">
        <v>16</v>
      </c>
      <c r="J2035" t="s">
        <v>16</v>
      </c>
      <c r="K2035" t="s">
        <v>21</v>
      </c>
      <c r="L2035">
        <v>20.2</v>
      </c>
      <c r="M2035" t="s">
        <v>5030</v>
      </c>
      <c r="N2035" t="s">
        <v>5031</v>
      </c>
    </row>
    <row r="2036" spans="1:14" x14ac:dyDescent="0.3">
      <c r="A2036" t="s">
        <v>2060</v>
      </c>
      <c r="B2036" t="s">
        <v>19</v>
      </c>
      <c r="C2036" t="s">
        <v>20</v>
      </c>
      <c r="D2036">
        <v>41</v>
      </c>
      <c r="E2036" t="s">
        <v>14</v>
      </c>
      <c r="F2036" t="s">
        <v>15</v>
      </c>
      <c r="G2036">
        <v>60.3</v>
      </c>
      <c r="H2036">
        <v>2511.3000000000002</v>
      </c>
      <c r="I2036" t="s">
        <v>15</v>
      </c>
      <c r="J2036" t="s">
        <v>16</v>
      </c>
      <c r="K2036" t="s">
        <v>24</v>
      </c>
      <c r="L2036">
        <v>2511.3000000000002</v>
      </c>
      <c r="M2036" t="s">
        <v>5033</v>
      </c>
      <c r="N2036" t="s">
        <v>5034</v>
      </c>
    </row>
    <row r="2037" spans="1:14" x14ac:dyDescent="0.3">
      <c r="A2037" t="s">
        <v>2061</v>
      </c>
      <c r="B2037" t="s">
        <v>12</v>
      </c>
      <c r="C2037" t="s">
        <v>13</v>
      </c>
      <c r="D2037">
        <v>43</v>
      </c>
      <c r="E2037" t="s">
        <v>14</v>
      </c>
      <c r="F2037" t="s">
        <v>15</v>
      </c>
      <c r="G2037">
        <v>63.95</v>
      </c>
      <c r="H2037">
        <v>2737.05</v>
      </c>
      <c r="I2037" t="s">
        <v>15</v>
      </c>
      <c r="J2037" t="s">
        <v>16</v>
      </c>
      <c r="K2037" t="s">
        <v>17</v>
      </c>
      <c r="L2037">
        <v>2737.05</v>
      </c>
      <c r="M2037" t="s">
        <v>5033</v>
      </c>
      <c r="N2037" t="s">
        <v>5034</v>
      </c>
    </row>
    <row r="2038" spans="1:14" x14ac:dyDescent="0.3">
      <c r="A2038" t="s">
        <v>2062</v>
      </c>
      <c r="B2038" t="s">
        <v>19</v>
      </c>
      <c r="C2038" t="s">
        <v>13</v>
      </c>
      <c r="D2038">
        <v>1</v>
      </c>
      <c r="E2038" t="s">
        <v>26</v>
      </c>
      <c r="F2038" t="s">
        <v>15</v>
      </c>
      <c r="G2038">
        <v>74.3</v>
      </c>
      <c r="H2038">
        <v>74.3</v>
      </c>
      <c r="I2038" t="s">
        <v>15</v>
      </c>
      <c r="J2038" t="s">
        <v>15</v>
      </c>
      <c r="K2038" t="s">
        <v>17</v>
      </c>
      <c r="L2038">
        <v>74.3</v>
      </c>
      <c r="M2038" t="s">
        <v>5030</v>
      </c>
      <c r="N2038" t="s">
        <v>5031</v>
      </c>
    </row>
    <row r="2039" spans="1:14" x14ac:dyDescent="0.3">
      <c r="A2039" t="s">
        <v>2063</v>
      </c>
      <c r="B2039" t="s">
        <v>12</v>
      </c>
      <c r="C2039" t="s">
        <v>13</v>
      </c>
      <c r="D2039">
        <v>1</v>
      </c>
      <c r="E2039" t="s">
        <v>26</v>
      </c>
      <c r="F2039" t="s">
        <v>15</v>
      </c>
      <c r="G2039">
        <v>70.599999999999994</v>
      </c>
      <c r="H2039">
        <v>70.599999999999994</v>
      </c>
      <c r="I2039" t="s">
        <v>15</v>
      </c>
      <c r="J2039" t="s">
        <v>16</v>
      </c>
      <c r="K2039" t="s">
        <v>21</v>
      </c>
      <c r="L2039">
        <v>70.599999999999994</v>
      </c>
      <c r="M2039" t="s">
        <v>5030</v>
      </c>
      <c r="N2039" t="s">
        <v>5031</v>
      </c>
    </row>
    <row r="2040" spans="1:14" x14ac:dyDescent="0.3">
      <c r="A2040" t="s">
        <v>2064</v>
      </c>
      <c r="B2040" t="s">
        <v>12</v>
      </c>
      <c r="C2040" t="s">
        <v>13</v>
      </c>
      <c r="D2040">
        <v>26</v>
      </c>
      <c r="E2040" t="s">
        <v>26</v>
      </c>
      <c r="F2040" t="s">
        <v>15</v>
      </c>
      <c r="G2040">
        <v>90.8</v>
      </c>
      <c r="H2040">
        <v>2361.8000000000002</v>
      </c>
      <c r="I2040" t="s">
        <v>16</v>
      </c>
      <c r="J2040" t="s">
        <v>16</v>
      </c>
      <c r="K2040" t="s">
        <v>17</v>
      </c>
      <c r="L2040">
        <v>2361.8000000000002</v>
      </c>
      <c r="M2040" t="s">
        <v>5032</v>
      </c>
      <c r="N2040" t="s">
        <v>5031</v>
      </c>
    </row>
    <row r="2041" spans="1:14" x14ac:dyDescent="0.3">
      <c r="A2041" t="s">
        <v>2065</v>
      </c>
      <c r="B2041" t="s">
        <v>19</v>
      </c>
      <c r="C2041" t="s">
        <v>13</v>
      </c>
      <c r="D2041">
        <v>22</v>
      </c>
      <c r="E2041" t="s">
        <v>26</v>
      </c>
      <c r="F2041" t="s">
        <v>15</v>
      </c>
      <c r="G2041">
        <v>79.349999999999994</v>
      </c>
      <c r="H2041">
        <v>1730.35</v>
      </c>
      <c r="I2041" t="s">
        <v>16</v>
      </c>
      <c r="J2041" t="s">
        <v>16</v>
      </c>
      <c r="K2041" t="s">
        <v>17</v>
      </c>
      <c r="L2041">
        <v>1730.35</v>
      </c>
      <c r="M2041" t="s">
        <v>5032</v>
      </c>
      <c r="N2041" t="s">
        <v>5031</v>
      </c>
    </row>
    <row r="2042" spans="1:14" x14ac:dyDescent="0.3">
      <c r="A2042" t="s">
        <v>2066</v>
      </c>
      <c r="B2042" t="s">
        <v>19</v>
      </c>
      <c r="C2042" t="s">
        <v>35</v>
      </c>
      <c r="D2042">
        <v>71</v>
      </c>
      <c r="E2042" t="s">
        <v>14</v>
      </c>
      <c r="F2042" t="s">
        <v>16</v>
      </c>
      <c r="G2042">
        <v>90.55</v>
      </c>
      <c r="H2042">
        <v>6404</v>
      </c>
      <c r="I2042" t="s">
        <v>15</v>
      </c>
      <c r="J2042" t="s">
        <v>15</v>
      </c>
      <c r="K2042" t="s">
        <v>24</v>
      </c>
      <c r="L2042">
        <v>6404</v>
      </c>
      <c r="M2042" t="s">
        <v>5033</v>
      </c>
      <c r="N2042" t="s">
        <v>5034</v>
      </c>
    </row>
    <row r="2043" spans="1:14" x14ac:dyDescent="0.3">
      <c r="A2043" t="s">
        <v>2067</v>
      </c>
      <c r="B2043" t="s">
        <v>19</v>
      </c>
      <c r="C2043" t="s">
        <v>35</v>
      </c>
      <c r="D2043">
        <v>7</v>
      </c>
      <c r="E2043" t="s">
        <v>15</v>
      </c>
      <c r="F2043" t="s">
        <v>36</v>
      </c>
      <c r="G2043">
        <v>19.45</v>
      </c>
      <c r="H2043">
        <v>165.35</v>
      </c>
      <c r="I2043" t="s">
        <v>15</v>
      </c>
      <c r="J2043" t="s">
        <v>15</v>
      </c>
      <c r="K2043" t="s">
        <v>21</v>
      </c>
      <c r="L2043">
        <v>165.35</v>
      </c>
      <c r="M2043" t="s">
        <v>5030</v>
      </c>
      <c r="N2043" t="s">
        <v>5031</v>
      </c>
    </row>
    <row r="2044" spans="1:14" x14ac:dyDescent="0.3">
      <c r="A2044" t="s">
        <v>2068</v>
      </c>
      <c r="B2044" t="s">
        <v>12</v>
      </c>
      <c r="C2044" t="s">
        <v>13</v>
      </c>
      <c r="D2044">
        <v>28</v>
      </c>
      <c r="E2044" t="s">
        <v>14</v>
      </c>
      <c r="F2044" t="s">
        <v>16</v>
      </c>
      <c r="G2044">
        <v>64.45</v>
      </c>
      <c r="H2044">
        <v>1867.6</v>
      </c>
      <c r="I2044" t="s">
        <v>15</v>
      </c>
      <c r="J2044" t="s">
        <v>15</v>
      </c>
      <c r="K2044" t="s">
        <v>24</v>
      </c>
      <c r="L2044">
        <v>1867.6</v>
      </c>
      <c r="M2044" t="s">
        <v>5032</v>
      </c>
      <c r="N2044" t="s">
        <v>5031</v>
      </c>
    </row>
    <row r="2045" spans="1:14" x14ac:dyDescent="0.3">
      <c r="A2045" t="s">
        <v>2069</v>
      </c>
      <c r="B2045" t="s">
        <v>19</v>
      </c>
      <c r="C2045" t="s">
        <v>13</v>
      </c>
      <c r="D2045">
        <v>16</v>
      </c>
      <c r="E2045" t="s">
        <v>26</v>
      </c>
      <c r="F2045" t="s">
        <v>15</v>
      </c>
      <c r="G2045">
        <v>69.650000000000006</v>
      </c>
      <c r="H2045">
        <v>1043.3</v>
      </c>
      <c r="I2045" t="s">
        <v>15</v>
      </c>
      <c r="J2045" t="s">
        <v>15</v>
      </c>
      <c r="K2045" t="s">
        <v>17</v>
      </c>
      <c r="L2045">
        <v>1043.3</v>
      </c>
      <c r="M2045" t="s">
        <v>5032</v>
      </c>
      <c r="N2045" t="s">
        <v>5031</v>
      </c>
    </row>
    <row r="2046" spans="1:14" x14ac:dyDescent="0.3">
      <c r="A2046" t="s">
        <v>2070</v>
      </c>
      <c r="B2046" t="s">
        <v>19</v>
      </c>
      <c r="C2046" t="s">
        <v>20</v>
      </c>
      <c r="D2046">
        <v>7</v>
      </c>
      <c r="E2046" t="s">
        <v>15</v>
      </c>
      <c r="F2046" t="s">
        <v>36</v>
      </c>
      <c r="G2046">
        <v>19.5</v>
      </c>
      <c r="H2046">
        <v>128.6</v>
      </c>
      <c r="I2046" t="s">
        <v>15</v>
      </c>
      <c r="J2046" t="s">
        <v>15</v>
      </c>
      <c r="K2046" t="s">
        <v>21</v>
      </c>
      <c r="L2046">
        <v>128.6</v>
      </c>
      <c r="M2046" t="s">
        <v>5030</v>
      </c>
      <c r="N2046" t="s">
        <v>5031</v>
      </c>
    </row>
    <row r="2047" spans="1:14" x14ac:dyDescent="0.3">
      <c r="A2047" t="s">
        <v>2071</v>
      </c>
      <c r="B2047" t="s">
        <v>12</v>
      </c>
      <c r="C2047" t="s">
        <v>35</v>
      </c>
      <c r="D2047">
        <v>69</v>
      </c>
      <c r="E2047" t="s">
        <v>26</v>
      </c>
      <c r="F2047" t="s">
        <v>16</v>
      </c>
      <c r="G2047">
        <v>110.5</v>
      </c>
      <c r="H2047">
        <v>7455.45</v>
      </c>
      <c r="I2047" t="s">
        <v>15</v>
      </c>
      <c r="J2047" t="s">
        <v>16</v>
      </c>
      <c r="K2047" t="s">
        <v>24</v>
      </c>
      <c r="L2047">
        <v>7455.45</v>
      </c>
      <c r="M2047" t="s">
        <v>5033</v>
      </c>
      <c r="N2047" t="s">
        <v>5034</v>
      </c>
    </row>
    <row r="2048" spans="1:14" x14ac:dyDescent="0.3">
      <c r="A2048" t="s">
        <v>2072</v>
      </c>
      <c r="B2048" t="s">
        <v>12</v>
      </c>
      <c r="C2048" t="s">
        <v>13</v>
      </c>
      <c r="D2048">
        <v>1</v>
      </c>
      <c r="E2048" t="s">
        <v>14</v>
      </c>
      <c r="F2048" t="s">
        <v>15</v>
      </c>
      <c r="G2048">
        <v>24.7</v>
      </c>
      <c r="H2048">
        <v>24.7</v>
      </c>
      <c r="I2048" t="s">
        <v>15</v>
      </c>
      <c r="J2048" t="s">
        <v>15</v>
      </c>
      <c r="K2048" t="s">
        <v>21</v>
      </c>
      <c r="L2048">
        <v>24.7</v>
      </c>
      <c r="M2048" t="s">
        <v>5030</v>
      </c>
      <c r="N2048" t="s">
        <v>5031</v>
      </c>
    </row>
    <row r="2049" spans="1:14" x14ac:dyDescent="0.3">
      <c r="A2049" t="s">
        <v>2073</v>
      </c>
      <c r="B2049" t="s">
        <v>19</v>
      </c>
      <c r="C2049" t="s">
        <v>13</v>
      </c>
      <c r="D2049">
        <v>3</v>
      </c>
      <c r="E2049" t="s">
        <v>14</v>
      </c>
      <c r="F2049" t="s">
        <v>15</v>
      </c>
      <c r="G2049">
        <v>77.400000000000006</v>
      </c>
      <c r="H2049">
        <v>206.15</v>
      </c>
      <c r="I2049" t="s">
        <v>15</v>
      </c>
      <c r="J2049" t="s">
        <v>16</v>
      </c>
      <c r="K2049" t="s">
        <v>17</v>
      </c>
      <c r="L2049">
        <v>206.15</v>
      </c>
      <c r="M2049" t="s">
        <v>5030</v>
      </c>
      <c r="N2049" t="s">
        <v>5031</v>
      </c>
    </row>
    <row r="2050" spans="1:14" x14ac:dyDescent="0.3">
      <c r="A2050" t="s">
        <v>2074</v>
      </c>
      <c r="B2050" t="s">
        <v>19</v>
      </c>
      <c r="C2050" t="s">
        <v>13</v>
      </c>
      <c r="D2050">
        <v>21</v>
      </c>
      <c r="E2050" t="s">
        <v>26</v>
      </c>
      <c r="F2050" t="s">
        <v>15</v>
      </c>
      <c r="G2050">
        <v>96.8</v>
      </c>
      <c r="H2050">
        <v>2030.3</v>
      </c>
      <c r="I2050" t="s">
        <v>16</v>
      </c>
      <c r="J2050" t="s">
        <v>16</v>
      </c>
      <c r="K2050" t="s">
        <v>24</v>
      </c>
      <c r="L2050">
        <v>2030.3</v>
      </c>
      <c r="M2050" t="s">
        <v>5032</v>
      </c>
      <c r="N2050" t="s">
        <v>5031</v>
      </c>
    </row>
    <row r="2051" spans="1:14" x14ac:dyDescent="0.3">
      <c r="A2051" t="s">
        <v>2075</v>
      </c>
      <c r="B2051" t="s">
        <v>12</v>
      </c>
      <c r="C2051" t="s">
        <v>13</v>
      </c>
      <c r="D2051">
        <v>69</v>
      </c>
      <c r="E2051" t="s">
        <v>26</v>
      </c>
      <c r="F2051" t="s">
        <v>15</v>
      </c>
      <c r="G2051">
        <v>85.4</v>
      </c>
      <c r="H2051">
        <v>5869.4</v>
      </c>
      <c r="I2051" t="s">
        <v>15</v>
      </c>
      <c r="J2051" t="s">
        <v>16</v>
      </c>
      <c r="K2051" t="s">
        <v>24</v>
      </c>
      <c r="L2051">
        <v>5869.4</v>
      </c>
      <c r="M2051" t="s">
        <v>5033</v>
      </c>
      <c r="N2051" t="s">
        <v>5034</v>
      </c>
    </row>
    <row r="2052" spans="1:14" x14ac:dyDescent="0.3">
      <c r="A2052" t="s">
        <v>2076</v>
      </c>
      <c r="B2052" t="s">
        <v>12</v>
      </c>
      <c r="C2052" t="s">
        <v>35</v>
      </c>
      <c r="D2052">
        <v>71</v>
      </c>
      <c r="E2052" t="s">
        <v>14</v>
      </c>
      <c r="F2052" t="s">
        <v>16</v>
      </c>
      <c r="G2052">
        <v>47.6</v>
      </c>
      <c r="H2052">
        <v>3377.8</v>
      </c>
      <c r="I2052" t="s">
        <v>15</v>
      </c>
      <c r="J2052" t="s">
        <v>16</v>
      </c>
      <c r="K2052" t="s">
        <v>24</v>
      </c>
      <c r="L2052">
        <v>3377.8</v>
      </c>
      <c r="M2052" t="s">
        <v>5033</v>
      </c>
      <c r="N2052" t="s">
        <v>5034</v>
      </c>
    </row>
    <row r="2053" spans="1:14" x14ac:dyDescent="0.3">
      <c r="A2053" t="s">
        <v>2077</v>
      </c>
      <c r="B2053" t="s">
        <v>12</v>
      </c>
      <c r="C2053" t="s">
        <v>35</v>
      </c>
      <c r="D2053">
        <v>69</v>
      </c>
      <c r="E2053" t="s">
        <v>15</v>
      </c>
      <c r="F2053" t="s">
        <v>36</v>
      </c>
      <c r="G2053">
        <v>19.399999999999999</v>
      </c>
      <c r="H2053">
        <v>1346.2</v>
      </c>
      <c r="I2053" t="s">
        <v>15</v>
      </c>
      <c r="J2053" t="s">
        <v>15</v>
      </c>
      <c r="K2053" t="s">
        <v>21</v>
      </c>
      <c r="L2053">
        <v>1346.2</v>
      </c>
      <c r="M2053" t="s">
        <v>5033</v>
      </c>
      <c r="N2053" t="s">
        <v>5031</v>
      </c>
    </row>
    <row r="2054" spans="1:14" x14ac:dyDescent="0.3">
      <c r="A2054" t="s">
        <v>2078</v>
      </c>
      <c r="B2054" t="s">
        <v>12</v>
      </c>
      <c r="C2054" t="s">
        <v>13</v>
      </c>
      <c r="D2054">
        <v>48</v>
      </c>
      <c r="E2054" t="s">
        <v>26</v>
      </c>
      <c r="F2054" t="s">
        <v>16</v>
      </c>
      <c r="G2054">
        <v>103.85</v>
      </c>
      <c r="H2054">
        <v>4946.05</v>
      </c>
      <c r="I2054" t="s">
        <v>15</v>
      </c>
      <c r="J2054" t="s">
        <v>16</v>
      </c>
      <c r="K2054" t="s">
        <v>17</v>
      </c>
      <c r="L2054">
        <v>4946.05</v>
      </c>
      <c r="M2054" t="s">
        <v>5033</v>
      </c>
      <c r="N2054" t="s">
        <v>5034</v>
      </c>
    </row>
    <row r="2055" spans="1:14" x14ac:dyDescent="0.3">
      <c r="A2055" t="s">
        <v>2079</v>
      </c>
      <c r="B2055" t="s">
        <v>19</v>
      </c>
      <c r="C2055" t="s">
        <v>13</v>
      </c>
      <c r="D2055">
        <v>47</v>
      </c>
      <c r="E2055" t="s">
        <v>26</v>
      </c>
      <c r="F2055" t="s">
        <v>15</v>
      </c>
      <c r="G2055">
        <v>83.35</v>
      </c>
      <c r="H2055">
        <v>4065</v>
      </c>
      <c r="I2055" t="s">
        <v>16</v>
      </c>
      <c r="J2055" t="s">
        <v>16</v>
      </c>
      <c r="K2055" t="s">
        <v>24</v>
      </c>
      <c r="L2055">
        <v>4065</v>
      </c>
      <c r="M2055" t="s">
        <v>5033</v>
      </c>
      <c r="N2055" t="s">
        <v>5034</v>
      </c>
    </row>
    <row r="2056" spans="1:14" x14ac:dyDescent="0.3">
      <c r="A2056" t="s">
        <v>2080</v>
      </c>
      <c r="B2056" t="s">
        <v>12</v>
      </c>
      <c r="C2056" t="s">
        <v>13</v>
      </c>
      <c r="D2056">
        <v>2</v>
      </c>
      <c r="E2056" t="s">
        <v>14</v>
      </c>
      <c r="F2056" t="s">
        <v>15</v>
      </c>
      <c r="G2056">
        <v>49.4</v>
      </c>
      <c r="H2056">
        <v>106.55</v>
      </c>
      <c r="I2056" t="s">
        <v>16</v>
      </c>
      <c r="J2056" t="s">
        <v>16</v>
      </c>
      <c r="K2056" t="s">
        <v>17</v>
      </c>
      <c r="L2056">
        <v>106.55</v>
      </c>
      <c r="M2056" t="s">
        <v>5030</v>
      </c>
      <c r="N2056" t="s">
        <v>5031</v>
      </c>
    </row>
    <row r="2057" spans="1:14" x14ac:dyDescent="0.3">
      <c r="A2057" t="s">
        <v>2081</v>
      </c>
      <c r="B2057" t="s">
        <v>19</v>
      </c>
      <c r="C2057" t="s">
        <v>13</v>
      </c>
      <c r="D2057">
        <v>45</v>
      </c>
      <c r="E2057" t="s">
        <v>26</v>
      </c>
      <c r="F2057" t="s">
        <v>16</v>
      </c>
      <c r="G2057">
        <v>108.45</v>
      </c>
      <c r="H2057">
        <v>4964.7</v>
      </c>
      <c r="I2057" t="s">
        <v>15</v>
      </c>
      <c r="J2057" t="s">
        <v>16</v>
      </c>
      <c r="K2057" t="s">
        <v>29</v>
      </c>
      <c r="L2057">
        <v>4964.7</v>
      </c>
      <c r="M2057" t="s">
        <v>5033</v>
      </c>
      <c r="N2057" t="s">
        <v>5034</v>
      </c>
    </row>
    <row r="2058" spans="1:14" x14ac:dyDescent="0.3">
      <c r="A2058" t="s">
        <v>2082</v>
      </c>
      <c r="B2058" t="s">
        <v>19</v>
      </c>
      <c r="C2058" t="s">
        <v>13</v>
      </c>
      <c r="D2058">
        <v>51</v>
      </c>
      <c r="E2058" t="s">
        <v>26</v>
      </c>
      <c r="F2058" t="s">
        <v>15</v>
      </c>
      <c r="G2058">
        <v>81</v>
      </c>
      <c r="H2058">
        <v>4085.75</v>
      </c>
      <c r="I2058" t="s">
        <v>15</v>
      </c>
      <c r="J2058" t="s">
        <v>15</v>
      </c>
      <c r="K2058" t="s">
        <v>24</v>
      </c>
      <c r="L2058">
        <v>4085.75</v>
      </c>
      <c r="M2058" t="s">
        <v>5033</v>
      </c>
      <c r="N2058" t="s">
        <v>5034</v>
      </c>
    </row>
    <row r="2059" spans="1:14" x14ac:dyDescent="0.3">
      <c r="A2059" t="s">
        <v>2083</v>
      </c>
      <c r="B2059" t="s">
        <v>12</v>
      </c>
      <c r="C2059" t="s">
        <v>13</v>
      </c>
      <c r="D2059">
        <v>22</v>
      </c>
      <c r="E2059" t="s">
        <v>14</v>
      </c>
      <c r="F2059" t="s">
        <v>16</v>
      </c>
      <c r="G2059">
        <v>79.2</v>
      </c>
      <c r="H2059">
        <v>1742.75</v>
      </c>
      <c r="I2059" t="s">
        <v>16</v>
      </c>
      <c r="J2059" t="s">
        <v>16</v>
      </c>
      <c r="K2059" t="s">
        <v>17</v>
      </c>
      <c r="L2059">
        <v>1742.75</v>
      </c>
      <c r="M2059" t="s">
        <v>5032</v>
      </c>
      <c r="N2059" t="s">
        <v>5031</v>
      </c>
    </row>
    <row r="2060" spans="1:14" x14ac:dyDescent="0.3">
      <c r="A2060" t="s">
        <v>2084</v>
      </c>
      <c r="B2060" t="s">
        <v>19</v>
      </c>
      <c r="C2060" t="s">
        <v>35</v>
      </c>
      <c r="D2060">
        <v>72</v>
      </c>
      <c r="E2060" t="s">
        <v>14</v>
      </c>
      <c r="F2060" t="s">
        <v>16</v>
      </c>
      <c r="G2060">
        <v>86.65</v>
      </c>
      <c r="H2060">
        <v>6224.8</v>
      </c>
      <c r="I2060" t="s">
        <v>15</v>
      </c>
      <c r="J2060" t="s">
        <v>15</v>
      </c>
      <c r="K2060" t="s">
        <v>24</v>
      </c>
      <c r="L2060">
        <v>6224.8</v>
      </c>
      <c r="M2060" t="s">
        <v>5033</v>
      </c>
      <c r="N2060" t="s">
        <v>5034</v>
      </c>
    </row>
    <row r="2061" spans="1:14" x14ac:dyDescent="0.3">
      <c r="A2061" t="s">
        <v>2085</v>
      </c>
      <c r="B2061" t="s">
        <v>19</v>
      </c>
      <c r="C2061" t="s">
        <v>13</v>
      </c>
      <c r="D2061">
        <v>37</v>
      </c>
      <c r="E2061" t="s">
        <v>26</v>
      </c>
      <c r="F2061" t="s">
        <v>15</v>
      </c>
      <c r="G2061">
        <v>92.95</v>
      </c>
      <c r="H2061">
        <v>3415.25</v>
      </c>
      <c r="I2061" t="s">
        <v>15</v>
      </c>
      <c r="J2061" t="s">
        <v>16</v>
      </c>
      <c r="K2061" t="s">
        <v>17</v>
      </c>
      <c r="L2061">
        <v>3415.25</v>
      </c>
      <c r="M2061" t="s">
        <v>5033</v>
      </c>
      <c r="N2061" t="s">
        <v>5034</v>
      </c>
    </row>
    <row r="2062" spans="1:14" x14ac:dyDescent="0.3">
      <c r="A2062" t="s">
        <v>2086</v>
      </c>
      <c r="B2062" t="s">
        <v>19</v>
      </c>
      <c r="C2062" t="s">
        <v>35</v>
      </c>
      <c r="D2062">
        <v>71</v>
      </c>
      <c r="E2062" t="s">
        <v>14</v>
      </c>
      <c r="F2062" t="s">
        <v>16</v>
      </c>
      <c r="G2062">
        <v>90.35</v>
      </c>
      <c r="H2062">
        <v>6325.25</v>
      </c>
      <c r="I2062" t="s">
        <v>15</v>
      </c>
      <c r="J2062" t="s">
        <v>15</v>
      </c>
      <c r="K2062" t="s">
        <v>17</v>
      </c>
      <c r="L2062">
        <v>6325.25</v>
      </c>
      <c r="M2062" t="s">
        <v>5033</v>
      </c>
      <c r="N2062" t="s">
        <v>5034</v>
      </c>
    </row>
    <row r="2063" spans="1:14" x14ac:dyDescent="0.3">
      <c r="A2063" t="s">
        <v>2087</v>
      </c>
      <c r="B2063" t="s">
        <v>19</v>
      </c>
      <c r="C2063" t="s">
        <v>13</v>
      </c>
      <c r="D2063">
        <v>7</v>
      </c>
      <c r="E2063" t="s">
        <v>14</v>
      </c>
      <c r="F2063" t="s">
        <v>15</v>
      </c>
      <c r="G2063">
        <v>48.7</v>
      </c>
      <c r="H2063">
        <v>340.25</v>
      </c>
      <c r="I2063" t="s">
        <v>16</v>
      </c>
      <c r="J2063" t="s">
        <v>15</v>
      </c>
      <c r="K2063" t="s">
        <v>17</v>
      </c>
      <c r="L2063">
        <v>340.25</v>
      </c>
      <c r="M2063" t="s">
        <v>5030</v>
      </c>
      <c r="N2063" t="s">
        <v>5031</v>
      </c>
    </row>
    <row r="2064" spans="1:14" x14ac:dyDescent="0.3">
      <c r="A2064" t="s">
        <v>2088</v>
      </c>
      <c r="B2064" t="s">
        <v>12</v>
      </c>
      <c r="C2064" t="s">
        <v>35</v>
      </c>
      <c r="D2064">
        <v>66</v>
      </c>
      <c r="E2064" t="s">
        <v>15</v>
      </c>
      <c r="F2064" t="s">
        <v>36</v>
      </c>
      <c r="G2064">
        <v>25.15</v>
      </c>
      <c r="H2064">
        <v>1683.6</v>
      </c>
      <c r="I2064" t="s">
        <v>15</v>
      </c>
      <c r="J2064" t="s">
        <v>16</v>
      </c>
      <c r="K2064" t="s">
        <v>29</v>
      </c>
      <c r="L2064">
        <v>1683.6</v>
      </c>
      <c r="M2064" t="s">
        <v>5033</v>
      </c>
      <c r="N2064" t="s">
        <v>5031</v>
      </c>
    </row>
    <row r="2065" spans="1:14" x14ac:dyDescent="0.3">
      <c r="A2065" t="s">
        <v>2089</v>
      </c>
      <c r="B2065" t="s">
        <v>19</v>
      </c>
      <c r="C2065" t="s">
        <v>20</v>
      </c>
      <c r="D2065">
        <v>51</v>
      </c>
      <c r="E2065" t="s">
        <v>14</v>
      </c>
      <c r="F2065" t="s">
        <v>16</v>
      </c>
      <c r="G2065">
        <v>76.400000000000006</v>
      </c>
      <c r="H2065">
        <v>3966.3</v>
      </c>
      <c r="I2065" t="s">
        <v>15</v>
      </c>
      <c r="J2065" t="s">
        <v>16</v>
      </c>
      <c r="K2065" t="s">
        <v>24</v>
      </c>
      <c r="L2065">
        <v>3966.3</v>
      </c>
      <c r="M2065" t="s">
        <v>5033</v>
      </c>
      <c r="N2065" t="s">
        <v>5034</v>
      </c>
    </row>
    <row r="2066" spans="1:14" x14ac:dyDescent="0.3">
      <c r="A2066" t="s">
        <v>2090</v>
      </c>
      <c r="B2066" t="s">
        <v>12</v>
      </c>
      <c r="C2066" t="s">
        <v>20</v>
      </c>
      <c r="D2066">
        <v>30</v>
      </c>
      <c r="E2066" t="s">
        <v>15</v>
      </c>
      <c r="F2066" t="s">
        <v>36</v>
      </c>
      <c r="G2066">
        <v>19.55</v>
      </c>
      <c r="H2066">
        <v>608.5</v>
      </c>
      <c r="I2066" t="s">
        <v>15</v>
      </c>
      <c r="J2066" t="s">
        <v>15</v>
      </c>
      <c r="K2066" t="s">
        <v>24</v>
      </c>
      <c r="L2066">
        <v>608.5</v>
      </c>
      <c r="M2066" t="s">
        <v>5032</v>
      </c>
      <c r="N2066" t="s">
        <v>5031</v>
      </c>
    </row>
    <row r="2067" spans="1:14" x14ac:dyDescent="0.3">
      <c r="A2067" t="s">
        <v>2091</v>
      </c>
      <c r="B2067" t="s">
        <v>12</v>
      </c>
      <c r="C2067" t="s">
        <v>13</v>
      </c>
      <c r="D2067">
        <v>34</v>
      </c>
      <c r="E2067" t="s">
        <v>26</v>
      </c>
      <c r="F2067" t="s">
        <v>15</v>
      </c>
      <c r="G2067">
        <v>85.35</v>
      </c>
      <c r="H2067">
        <v>2896.6</v>
      </c>
      <c r="I2067" t="s">
        <v>15</v>
      </c>
      <c r="J2067" t="s">
        <v>15</v>
      </c>
      <c r="K2067" t="s">
        <v>17</v>
      </c>
      <c r="L2067">
        <v>2896.6</v>
      </c>
      <c r="M2067" t="s">
        <v>5032</v>
      </c>
      <c r="N2067" t="s">
        <v>5034</v>
      </c>
    </row>
    <row r="2068" spans="1:14" x14ac:dyDescent="0.3">
      <c r="A2068" t="s">
        <v>2092</v>
      </c>
      <c r="B2068" t="s">
        <v>19</v>
      </c>
      <c r="C2068" t="s">
        <v>35</v>
      </c>
      <c r="D2068">
        <v>64</v>
      </c>
      <c r="E2068" t="s">
        <v>15</v>
      </c>
      <c r="F2068" t="s">
        <v>36</v>
      </c>
      <c r="G2068">
        <v>24.8</v>
      </c>
      <c r="H2068">
        <v>1514.85</v>
      </c>
      <c r="I2068" t="s">
        <v>15</v>
      </c>
      <c r="J2068" t="s">
        <v>16</v>
      </c>
      <c r="K2068" t="s">
        <v>21</v>
      </c>
      <c r="L2068">
        <v>1514.85</v>
      </c>
      <c r="M2068" t="s">
        <v>5033</v>
      </c>
      <c r="N2068" t="s">
        <v>5031</v>
      </c>
    </row>
    <row r="2069" spans="1:14" x14ac:dyDescent="0.3">
      <c r="A2069" t="s">
        <v>2093</v>
      </c>
      <c r="B2069" t="s">
        <v>19</v>
      </c>
      <c r="C2069" t="s">
        <v>20</v>
      </c>
      <c r="D2069">
        <v>65</v>
      </c>
      <c r="E2069" t="s">
        <v>26</v>
      </c>
      <c r="F2069" t="s">
        <v>15</v>
      </c>
      <c r="G2069">
        <v>103.15</v>
      </c>
      <c r="H2069">
        <v>6792.45</v>
      </c>
      <c r="I2069" t="s">
        <v>15</v>
      </c>
      <c r="J2069" t="s">
        <v>16</v>
      </c>
      <c r="K2069" t="s">
        <v>24</v>
      </c>
      <c r="L2069">
        <v>6792.45</v>
      </c>
      <c r="M2069" t="s">
        <v>5033</v>
      </c>
      <c r="N2069" t="s">
        <v>5034</v>
      </c>
    </row>
    <row r="2070" spans="1:14" x14ac:dyDescent="0.3">
      <c r="A2070" t="s">
        <v>2094</v>
      </c>
      <c r="B2070" t="s">
        <v>19</v>
      </c>
      <c r="C2070" t="s">
        <v>13</v>
      </c>
      <c r="D2070">
        <v>47</v>
      </c>
      <c r="E2070" t="s">
        <v>26</v>
      </c>
      <c r="F2070" t="s">
        <v>16</v>
      </c>
      <c r="G2070">
        <v>100.75</v>
      </c>
      <c r="H2070">
        <v>4669.2</v>
      </c>
      <c r="I2070" t="s">
        <v>15</v>
      </c>
      <c r="J2070" t="s">
        <v>15</v>
      </c>
      <c r="K2070" t="s">
        <v>21</v>
      </c>
      <c r="L2070">
        <v>4669.2</v>
      </c>
      <c r="M2070" t="s">
        <v>5033</v>
      </c>
      <c r="N2070" t="s">
        <v>5034</v>
      </c>
    </row>
    <row r="2071" spans="1:14" x14ac:dyDescent="0.3">
      <c r="A2071" t="s">
        <v>2095</v>
      </c>
      <c r="B2071" t="s">
        <v>12</v>
      </c>
      <c r="C2071" t="s">
        <v>13</v>
      </c>
      <c r="D2071">
        <v>1</v>
      </c>
      <c r="E2071" t="s">
        <v>26</v>
      </c>
      <c r="F2071" t="s">
        <v>15</v>
      </c>
      <c r="G2071">
        <v>95.6</v>
      </c>
      <c r="H2071">
        <v>95.6</v>
      </c>
      <c r="I2071" t="s">
        <v>16</v>
      </c>
      <c r="J2071" t="s">
        <v>16</v>
      </c>
      <c r="K2071" t="s">
        <v>17</v>
      </c>
      <c r="L2071">
        <v>95.6</v>
      </c>
      <c r="M2071" t="s">
        <v>5030</v>
      </c>
      <c r="N2071" t="s">
        <v>5031</v>
      </c>
    </row>
    <row r="2072" spans="1:14" x14ac:dyDescent="0.3">
      <c r="A2072" t="s">
        <v>2096</v>
      </c>
      <c r="B2072" t="s">
        <v>12</v>
      </c>
      <c r="C2072" t="s">
        <v>13</v>
      </c>
      <c r="D2072">
        <v>49</v>
      </c>
      <c r="E2072" t="s">
        <v>14</v>
      </c>
      <c r="F2072" t="s">
        <v>15</v>
      </c>
      <c r="G2072">
        <v>59.75</v>
      </c>
      <c r="H2072">
        <v>2934.3</v>
      </c>
      <c r="I2072" t="s">
        <v>16</v>
      </c>
      <c r="J2072" t="s">
        <v>16</v>
      </c>
      <c r="K2072" t="s">
        <v>29</v>
      </c>
      <c r="L2072">
        <v>2934.3</v>
      </c>
      <c r="M2072" t="s">
        <v>5033</v>
      </c>
      <c r="N2072" t="s">
        <v>5034</v>
      </c>
    </row>
    <row r="2073" spans="1:14" x14ac:dyDescent="0.3">
      <c r="A2073" t="s">
        <v>2097</v>
      </c>
      <c r="B2073" t="s">
        <v>12</v>
      </c>
      <c r="C2073" t="s">
        <v>35</v>
      </c>
      <c r="D2073">
        <v>67</v>
      </c>
      <c r="E2073" t="s">
        <v>26</v>
      </c>
      <c r="F2073" t="s">
        <v>16</v>
      </c>
      <c r="G2073">
        <v>94.1</v>
      </c>
      <c r="H2073">
        <v>6302.8</v>
      </c>
      <c r="I2073" t="s">
        <v>15</v>
      </c>
      <c r="J2073" t="s">
        <v>15</v>
      </c>
      <c r="K2073" t="s">
        <v>29</v>
      </c>
      <c r="L2073">
        <v>6302.8</v>
      </c>
      <c r="M2073" t="s">
        <v>5033</v>
      </c>
      <c r="N2073" t="s">
        <v>5034</v>
      </c>
    </row>
    <row r="2074" spans="1:14" x14ac:dyDescent="0.3">
      <c r="A2074" t="s">
        <v>2098</v>
      </c>
      <c r="B2074" t="s">
        <v>19</v>
      </c>
      <c r="C2074" t="s">
        <v>20</v>
      </c>
      <c r="D2074">
        <v>39</v>
      </c>
      <c r="E2074" t="s">
        <v>15</v>
      </c>
      <c r="F2074" t="s">
        <v>36</v>
      </c>
      <c r="G2074">
        <v>19.350000000000001</v>
      </c>
      <c r="H2074">
        <v>779.2</v>
      </c>
      <c r="I2074" t="s">
        <v>15</v>
      </c>
      <c r="J2074" t="s">
        <v>15</v>
      </c>
      <c r="K2074" t="s">
        <v>24</v>
      </c>
      <c r="L2074">
        <v>779.2</v>
      </c>
      <c r="M2074" t="s">
        <v>5033</v>
      </c>
      <c r="N2074" t="s">
        <v>5031</v>
      </c>
    </row>
    <row r="2075" spans="1:14" x14ac:dyDescent="0.3">
      <c r="A2075" t="s">
        <v>2099</v>
      </c>
      <c r="B2075" t="s">
        <v>19</v>
      </c>
      <c r="C2075" t="s">
        <v>13</v>
      </c>
      <c r="D2075">
        <v>14</v>
      </c>
      <c r="E2075" t="s">
        <v>15</v>
      </c>
      <c r="F2075" t="s">
        <v>36</v>
      </c>
      <c r="G2075">
        <v>19.899999999999999</v>
      </c>
      <c r="H2075">
        <v>283.75</v>
      </c>
      <c r="I2075" t="s">
        <v>15</v>
      </c>
      <c r="J2075" t="s">
        <v>15</v>
      </c>
      <c r="K2075" t="s">
        <v>21</v>
      </c>
      <c r="L2075">
        <v>283.75</v>
      </c>
      <c r="M2075" t="s">
        <v>5032</v>
      </c>
      <c r="N2075" t="s">
        <v>5031</v>
      </c>
    </row>
    <row r="2076" spans="1:14" x14ac:dyDescent="0.3">
      <c r="A2076" t="s">
        <v>2100</v>
      </c>
      <c r="B2076" t="s">
        <v>12</v>
      </c>
      <c r="C2076" t="s">
        <v>13</v>
      </c>
      <c r="D2076">
        <v>43</v>
      </c>
      <c r="E2076" t="s">
        <v>26</v>
      </c>
      <c r="F2076" t="s">
        <v>16</v>
      </c>
      <c r="G2076">
        <v>108.15</v>
      </c>
      <c r="H2076">
        <v>4600.7</v>
      </c>
      <c r="I2076" t="s">
        <v>16</v>
      </c>
      <c r="J2076" t="s">
        <v>16</v>
      </c>
      <c r="K2076" t="s">
        <v>29</v>
      </c>
      <c r="L2076">
        <v>4600.7</v>
      </c>
      <c r="M2076" t="s">
        <v>5033</v>
      </c>
      <c r="N2076" t="s">
        <v>5034</v>
      </c>
    </row>
    <row r="2077" spans="1:14" x14ac:dyDescent="0.3">
      <c r="A2077" t="s">
        <v>2101</v>
      </c>
      <c r="B2077" t="s">
        <v>19</v>
      </c>
      <c r="C2077" t="s">
        <v>13</v>
      </c>
      <c r="D2077">
        <v>56</v>
      </c>
      <c r="E2077" t="s">
        <v>26</v>
      </c>
      <c r="F2077" t="s">
        <v>15</v>
      </c>
      <c r="G2077">
        <v>101.05</v>
      </c>
      <c r="H2077">
        <v>5594</v>
      </c>
      <c r="I2077" t="s">
        <v>15</v>
      </c>
      <c r="J2077" t="s">
        <v>16</v>
      </c>
      <c r="K2077" t="s">
        <v>17</v>
      </c>
      <c r="L2077">
        <v>5594</v>
      </c>
      <c r="M2077" t="s">
        <v>5033</v>
      </c>
      <c r="N2077" t="s">
        <v>5034</v>
      </c>
    </row>
    <row r="2078" spans="1:14" x14ac:dyDescent="0.3">
      <c r="A2078" t="s">
        <v>2102</v>
      </c>
      <c r="B2078" t="s">
        <v>12</v>
      </c>
      <c r="C2078" t="s">
        <v>20</v>
      </c>
      <c r="D2078">
        <v>14</v>
      </c>
      <c r="E2078" t="s">
        <v>14</v>
      </c>
      <c r="F2078" t="s">
        <v>16</v>
      </c>
      <c r="G2078">
        <v>59.1</v>
      </c>
      <c r="H2078">
        <v>772.85</v>
      </c>
      <c r="I2078" t="s">
        <v>15</v>
      </c>
      <c r="J2078" t="s">
        <v>15</v>
      </c>
      <c r="K2078" t="s">
        <v>29</v>
      </c>
      <c r="L2078">
        <v>772.85</v>
      </c>
      <c r="M2078" t="s">
        <v>5032</v>
      </c>
      <c r="N2078" t="s">
        <v>5031</v>
      </c>
    </row>
    <row r="2079" spans="1:14" x14ac:dyDescent="0.3">
      <c r="A2079" t="s">
        <v>2103</v>
      </c>
      <c r="B2079" t="s">
        <v>12</v>
      </c>
      <c r="C2079" t="s">
        <v>13</v>
      </c>
      <c r="D2079">
        <v>1</v>
      </c>
      <c r="E2079" t="s">
        <v>26</v>
      </c>
      <c r="F2079" t="s">
        <v>15</v>
      </c>
      <c r="G2079">
        <v>71.349999999999994</v>
      </c>
      <c r="H2079">
        <v>71.349999999999994</v>
      </c>
      <c r="I2079" t="s">
        <v>16</v>
      </c>
      <c r="J2079" t="s">
        <v>15</v>
      </c>
      <c r="K2079" t="s">
        <v>17</v>
      </c>
      <c r="L2079">
        <v>71.349999999999994</v>
      </c>
      <c r="M2079" t="s">
        <v>5030</v>
      </c>
      <c r="N2079" t="s">
        <v>5031</v>
      </c>
    </row>
    <row r="2080" spans="1:14" x14ac:dyDescent="0.3">
      <c r="A2080" t="s">
        <v>2104</v>
      </c>
      <c r="B2080" t="s">
        <v>19</v>
      </c>
      <c r="C2080" t="s">
        <v>20</v>
      </c>
      <c r="D2080">
        <v>16</v>
      </c>
      <c r="E2080" t="s">
        <v>14</v>
      </c>
      <c r="F2080" t="s">
        <v>15</v>
      </c>
      <c r="G2080">
        <v>55.85</v>
      </c>
      <c r="H2080">
        <v>857.8</v>
      </c>
      <c r="I2080" t="s">
        <v>15</v>
      </c>
      <c r="J2080" t="s">
        <v>16</v>
      </c>
      <c r="K2080" t="s">
        <v>21</v>
      </c>
      <c r="L2080">
        <v>857.8</v>
      </c>
      <c r="M2080" t="s">
        <v>5032</v>
      </c>
      <c r="N2080" t="s">
        <v>5031</v>
      </c>
    </row>
    <row r="2081" spans="1:14" x14ac:dyDescent="0.3">
      <c r="A2081" t="s">
        <v>2105</v>
      </c>
      <c r="B2081" t="s">
        <v>19</v>
      </c>
      <c r="C2081" t="s">
        <v>13</v>
      </c>
      <c r="D2081">
        <v>70</v>
      </c>
      <c r="E2081" t="s">
        <v>26</v>
      </c>
      <c r="F2081" t="s">
        <v>15</v>
      </c>
      <c r="G2081">
        <v>106.05</v>
      </c>
      <c r="H2081">
        <v>7554.05</v>
      </c>
      <c r="I2081" t="s">
        <v>15</v>
      </c>
      <c r="J2081" t="s">
        <v>16</v>
      </c>
      <c r="K2081" t="s">
        <v>17</v>
      </c>
      <c r="L2081">
        <v>7554.05</v>
      </c>
      <c r="M2081" t="s">
        <v>5033</v>
      </c>
      <c r="N2081" t="s">
        <v>5034</v>
      </c>
    </row>
    <row r="2082" spans="1:14" x14ac:dyDescent="0.3">
      <c r="A2082" t="s">
        <v>2106</v>
      </c>
      <c r="B2082" t="s">
        <v>19</v>
      </c>
      <c r="C2082" t="s">
        <v>35</v>
      </c>
      <c r="D2082">
        <v>72</v>
      </c>
      <c r="E2082" t="s">
        <v>14</v>
      </c>
      <c r="F2082" t="s">
        <v>15</v>
      </c>
      <c r="G2082">
        <v>84.1</v>
      </c>
      <c r="H2082">
        <v>5981.65</v>
      </c>
      <c r="I2082" t="s">
        <v>15</v>
      </c>
      <c r="J2082" t="s">
        <v>16</v>
      </c>
      <c r="K2082" t="s">
        <v>29</v>
      </c>
      <c r="L2082">
        <v>5981.65</v>
      </c>
      <c r="M2082" t="s">
        <v>5033</v>
      </c>
      <c r="N2082" t="s">
        <v>5034</v>
      </c>
    </row>
    <row r="2083" spans="1:14" x14ac:dyDescent="0.3">
      <c r="A2083" t="s">
        <v>2107</v>
      </c>
      <c r="B2083" t="s">
        <v>12</v>
      </c>
      <c r="C2083" t="s">
        <v>13</v>
      </c>
      <c r="D2083">
        <v>23</v>
      </c>
      <c r="E2083" t="s">
        <v>26</v>
      </c>
      <c r="F2083" t="s">
        <v>15</v>
      </c>
      <c r="G2083">
        <v>75.3</v>
      </c>
      <c r="H2083">
        <v>1702.9</v>
      </c>
      <c r="I2083" t="s">
        <v>15</v>
      </c>
      <c r="J2083" t="s">
        <v>16</v>
      </c>
      <c r="K2083" t="s">
        <v>29</v>
      </c>
      <c r="L2083">
        <v>1702.9</v>
      </c>
      <c r="M2083" t="s">
        <v>5032</v>
      </c>
      <c r="N2083" t="s">
        <v>5031</v>
      </c>
    </row>
    <row r="2084" spans="1:14" x14ac:dyDescent="0.3">
      <c r="A2084" t="s">
        <v>2108</v>
      </c>
      <c r="B2084" t="s">
        <v>19</v>
      </c>
      <c r="C2084" t="s">
        <v>13</v>
      </c>
      <c r="D2084">
        <v>21</v>
      </c>
      <c r="E2084" t="s">
        <v>15</v>
      </c>
      <c r="F2084" t="s">
        <v>36</v>
      </c>
      <c r="G2084">
        <v>24.7</v>
      </c>
      <c r="H2084">
        <v>467.15</v>
      </c>
      <c r="I2084" t="s">
        <v>15</v>
      </c>
      <c r="J2084" t="s">
        <v>15</v>
      </c>
      <c r="K2084" t="s">
        <v>21</v>
      </c>
      <c r="L2084">
        <v>467.15</v>
      </c>
      <c r="M2084" t="s">
        <v>5032</v>
      </c>
      <c r="N2084" t="s">
        <v>5031</v>
      </c>
    </row>
    <row r="2085" spans="1:14" x14ac:dyDescent="0.3">
      <c r="A2085" t="s">
        <v>2109</v>
      </c>
      <c r="B2085" t="s">
        <v>12</v>
      </c>
      <c r="C2085" t="s">
        <v>13</v>
      </c>
      <c r="D2085">
        <v>1</v>
      </c>
      <c r="E2085" t="s">
        <v>15</v>
      </c>
      <c r="F2085" t="s">
        <v>36</v>
      </c>
      <c r="G2085">
        <v>20.149999999999999</v>
      </c>
      <c r="H2085">
        <v>20.149999999999999</v>
      </c>
      <c r="I2085" t="s">
        <v>16</v>
      </c>
      <c r="J2085" t="s">
        <v>16</v>
      </c>
      <c r="K2085" t="s">
        <v>21</v>
      </c>
      <c r="L2085">
        <v>20.149999999999999</v>
      </c>
      <c r="M2085" t="s">
        <v>5030</v>
      </c>
      <c r="N2085" t="s">
        <v>5031</v>
      </c>
    </row>
    <row r="2086" spans="1:14" x14ac:dyDescent="0.3">
      <c r="A2086" t="s">
        <v>2110</v>
      </c>
      <c r="B2086" t="s">
        <v>19</v>
      </c>
      <c r="C2086" t="s">
        <v>13</v>
      </c>
      <c r="D2086">
        <v>1</v>
      </c>
      <c r="E2086" t="s">
        <v>26</v>
      </c>
      <c r="F2086" t="s">
        <v>15</v>
      </c>
      <c r="G2086">
        <v>69.75</v>
      </c>
      <c r="H2086">
        <v>69.75</v>
      </c>
      <c r="I2086" t="s">
        <v>16</v>
      </c>
      <c r="J2086" t="s">
        <v>15</v>
      </c>
      <c r="K2086" t="s">
        <v>24</v>
      </c>
      <c r="L2086">
        <v>69.75</v>
      </c>
      <c r="M2086" t="s">
        <v>5030</v>
      </c>
      <c r="N2086" t="s">
        <v>5031</v>
      </c>
    </row>
    <row r="2087" spans="1:14" x14ac:dyDescent="0.3">
      <c r="A2087" t="s">
        <v>2111</v>
      </c>
      <c r="B2087" t="s">
        <v>12</v>
      </c>
      <c r="C2087" t="s">
        <v>13</v>
      </c>
      <c r="D2087">
        <v>32</v>
      </c>
      <c r="E2087" t="s">
        <v>26</v>
      </c>
      <c r="F2087" t="s">
        <v>15</v>
      </c>
      <c r="G2087">
        <v>93.2</v>
      </c>
      <c r="H2087">
        <v>2931</v>
      </c>
      <c r="I2087" t="s">
        <v>16</v>
      </c>
      <c r="J2087" t="s">
        <v>16</v>
      </c>
      <c r="K2087" t="s">
        <v>17</v>
      </c>
      <c r="L2087">
        <v>2931</v>
      </c>
      <c r="M2087" t="s">
        <v>5032</v>
      </c>
      <c r="N2087" t="s">
        <v>5034</v>
      </c>
    </row>
    <row r="2088" spans="1:14" x14ac:dyDescent="0.3">
      <c r="A2088" t="s">
        <v>2112</v>
      </c>
      <c r="B2088" t="s">
        <v>19</v>
      </c>
      <c r="C2088" t="s">
        <v>13</v>
      </c>
      <c r="D2088">
        <v>17</v>
      </c>
      <c r="E2088" t="s">
        <v>26</v>
      </c>
      <c r="F2088" t="s">
        <v>15</v>
      </c>
      <c r="G2088">
        <v>80.849999999999994</v>
      </c>
      <c r="H2088">
        <v>1400.85</v>
      </c>
      <c r="I2088" t="s">
        <v>16</v>
      </c>
      <c r="J2088" t="s">
        <v>15</v>
      </c>
      <c r="K2088" t="s">
        <v>17</v>
      </c>
      <c r="L2088">
        <v>1400.85</v>
      </c>
      <c r="M2088" t="s">
        <v>5032</v>
      </c>
      <c r="N2088" t="s">
        <v>5031</v>
      </c>
    </row>
    <row r="2089" spans="1:14" x14ac:dyDescent="0.3">
      <c r="A2089" t="s">
        <v>2113</v>
      </c>
      <c r="B2089" t="s">
        <v>12</v>
      </c>
      <c r="C2089" t="s">
        <v>13</v>
      </c>
      <c r="D2089">
        <v>4</v>
      </c>
      <c r="E2089" t="s">
        <v>14</v>
      </c>
      <c r="F2089" t="s">
        <v>15</v>
      </c>
      <c r="G2089">
        <v>33.65</v>
      </c>
      <c r="H2089">
        <v>137.85</v>
      </c>
      <c r="I2089" t="s">
        <v>16</v>
      </c>
      <c r="J2089" t="s">
        <v>16</v>
      </c>
      <c r="K2089" t="s">
        <v>17</v>
      </c>
      <c r="L2089">
        <v>137.85</v>
      </c>
      <c r="M2089" t="s">
        <v>5030</v>
      </c>
      <c r="N2089" t="s">
        <v>5031</v>
      </c>
    </row>
    <row r="2090" spans="1:14" x14ac:dyDescent="0.3">
      <c r="A2090" t="s">
        <v>2114</v>
      </c>
      <c r="B2090" t="s">
        <v>12</v>
      </c>
      <c r="C2090" t="s">
        <v>20</v>
      </c>
      <c r="D2090">
        <v>36</v>
      </c>
      <c r="E2090" t="s">
        <v>14</v>
      </c>
      <c r="F2090" t="s">
        <v>15</v>
      </c>
      <c r="G2090">
        <v>55.8</v>
      </c>
      <c r="H2090">
        <v>1941.5</v>
      </c>
      <c r="I2090" t="s">
        <v>15</v>
      </c>
      <c r="J2090" t="s">
        <v>15</v>
      </c>
      <c r="K2090" t="s">
        <v>17</v>
      </c>
      <c r="L2090">
        <v>1941.5</v>
      </c>
      <c r="M2090" t="s">
        <v>5032</v>
      </c>
      <c r="N2090" t="s">
        <v>5031</v>
      </c>
    </row>
    <row r="2091" spans="1:14" x14ac:dyDescent="0.3">
      <c r="A2091" t="s">
        <v>2115</v>
      </c>
      <c r="B2091" t="s">
        <v>12</v>
      </c>
      <c r="C2091" t="s">
        <v>35</v>
      </c>
      <c r="D2091">
        <v>50</v>
      </c>
      <c r="E2091" t="s">
        <v>14</v>
      </c>
      <c r="F2091" t="s">
        <v>16</v>
      </c>
      <c r="G2091">
        <v>39.700000000000003</v>
      </c>
      <c r="H2091">
        <v>1932.75</v>
      </c>
      <c r="I2091" t="s">
        <v>15</v>
      </c>
      <c r="J2091" t="s">
        <v>15</v>
      </c>
      <c r="K2091" t="s">
        <v>29</v>
      </c>
      <c r="L2091">
        <v>1932.75</v>
      </c>
      <c r="M2091" t="s">
        <v>5033</v>
      </c>
      <c r="N2091" t="s">
        <v>5031</v>
      </c>
    </row>
    <row r="2092" spans="1:14" x14ac:dyDescent="0.3">
      <c r="A2092" t="s">
        <v>2116</v>
      </c>
      <c r="B2092" t="s">
        <v>12</v>
      </c>
      <c r="C2092" t="s">
        <v>13</v>
      </c>
      <c r="D2092">
        <v>48</v>
      </c>
      <c r="E2092" t="s">
        <v>14</v>
      </c>
      <c r="F2092" t="s">
        <v>16</v>
      </c>
      <c r="G2092">
        <v>29.5</v>
      </c>
      <c r="H2092">
        <v>1423.05</v>
      </c>
      <c r="I2092" t="s">
        <v>15</v>
      </c>
      <c r="J2092" t="s">
        <v>16</v>
      </c>
      <c r="K2092" t="s">
        <v>29</v>
      </c>
      <c r="L2092">
        <v>1423.05</v>
      </c>
      <c r="M2092" t="s">
        <v>5033</v>
      </c>
      <c r="N2092" t="s">
        <v>5031</v>
      </c>
    </row>
    <row r="2093" spans="1:14" x14ac:dyDescent="0.3">
      <c r="A2093" t="s">
        <v>2117</v>
      </c>
      <c r="B2093" t="s">
        <v>12</v>
      </c>
      <c r="C2093" t="s">
        <v>35</v>
      </c>
      <c r="D2093">
        <v>50</v>
      </c>
      <c r="E2093" t="s">
        <v>15</v>
      </c>
      <c r="F2093" t="s">
        <v>36</v>
      </c>
      <c r="G2093">
        <v>20.149999999999999</v>
      </c>
      <c r="H2093">
        <v>970.85</v>
      </c>
      <c r="I2093" t="s">
        <v>15</v>
      </c>
      <c r="J2093" t="s">
        <v>15</v>
      </c>
      <c r="K2093" t="s">
        <v>29</v>
      </c>
      <c r="L2093">
        <v>970.85</v>
      </c>
      <c r="M2093" t="s">
        <v>5033</v>
      </c>
      <c r="N2093" t="s">
        <v>5031</v>
      </c>
    </row>
    <row r="2094" spans="1:14" x14ac:dyDescent="0.3">
      <c r="A2094" t="s">
        <v>2118</v>
      </c>
      <c r="B2094" t="s">
        <v>19</v>
      </c>
      <c r="C2094" t="s">
        <v>35</v>
      </c>
      <c r="D2094">
        <v>72</v>
      </c>
      <c r="E2094" t="s">
        <v>14</v>
      </c>
      <c r="F2094" t="s">
        <v>16</v>
      </c>
      <c r="G2094">
        <v>79.55</v>
      </c>
      <c r="H2094">
        <v>5810.9</v>
      </c>
      <c r="I2094" t="s">
        <v>15</v>
      </c>
      <c r="J2094" t="s">
        <v>15</v>
      </c>
      <c r="K2094" t="s">
        <v>29</v>
      </c>
      <c r="L2094">
        <v>5810.9</v>
      </c>
      <c r="M2094" t="s">
        <v>5033</v>
      </c>
      <c r="N2094" t="s">
        <v>5034</v>
      </c>
    </row>
    <row r="2095" spans="1:14" x14ac:dyDescent="0.3">
      <c r="A2095" t="s">
        <v>2119</v>
      </c>
      <c r="B2095" t="s">
        <v>19</v>
      </c>
      <c r="C2095" t="s">
        <v>13</v>
      </c>
      <c r="D2095">
        <v>10</v>
      </c>
      <c r="E2095" t="s">
        <v>15</v>
      </c>
      <c r="F2095" t="s">
        <v>36</v>
      </c>
      <c r="G2095">
        <v>24.8</v>
      </c>
      <c r="H2095">
        <v>223.9</v>
      </c>
      <c r="I2095" t="s">
        <v>15</v>
      </c>
      <c r="J2095" t="s">
        <v>15</v>
      </c>
      <c r="K2095" t="s">
        <v>29</v>
      </c>
      <c r="L2095">
        <v>223.9</v>
      </c>
      <c r="M2095" t="s">
        <v>5030</v>
      </c>
      <c r="N2095" t="s">
        <v>5031</v>
      </c>
    </row>
    <row r="2096" spans="1:14" x14ac:dyDescent="0.3">
      <c r="A2096" t="s">
        <v>2120</v>
      </c>
      <c r="B2096" t="s">
        <v>12</v>
      </c>
      <c r="C2096" t="s">
        <v>13</v>
      </c>
      <c r="D2096">
        <v>18</v>
      </c>
      <c r="E2096" t="s">
        <v>15</v>
      </c>
      <c r="F2096" t="s">
        <v>36</v>
      </c>
      <c r="G2096">
        <v>19.649999999999999</v>
      </c>
      <c r="H2096">
        <v>391.7</v>
      </c>
      <c r="I2096" t="s">
        <v>15</v>
      </c>
      <c r="J2096" t="s">
        <v>15</v>
      </c>
      <c r="K2096" t="s">
        <v>21</v>
      </c>
      <c r="L2096">
        <v>391.7</v>
      </c>
      <c r="M2096" t="s">
        <v>5032</v>
      </c>
      <c r="N2096" t="s">
        <v>5031</v>
      </c>
    </row>
    <row r="2097" spans="1:14" x14ac:dyDescent="0.3">
      <c r="A2097" t="s">
        <v>2121</v>
      </c>
      <c r="B2097" t="s">
        <v>19</v>
      </c>
      <c r="C2097" t="s">
        <v>13</v>
      </c>
      <c r="D2097">
        <v>1</v>
      </c>
      <c r="E2097" t="s">
        <v>26</v>
      </c>
      <c r="F2097" t="s">
        <v>15</v>
      </c>
      <c r="G2097">
        <v>79.95</v>
      </c>
      <c r="H2097">
        <v>79.95</v>
      </c>
      <c r="I2097" t="s">
        <v>16</v>
      </c>
      <c r="J2097" t="s">
        <v>16</v>
      </c>
      <c r="K2097" t="s">
        <v>17</v>
      </c>
      <c r="L2097">
        <v>79.95</v>
      </c>
      <c r="M2097" t="s">
        <v>5030</v>
      </c>
      <c r="N2097" t="s">
        <v>5031</v>
      </c>
    </row>
    <row r="2098" spans="1:14" x14ac:dyDescent="0.3">
      <c r="A2098" t="s">
        <v>2122</v>
      </c>
      <c r="B2098" t="s">
        <v>12</v>
      </c>
      <c r="C2098" t="s">
        <v>13</v>
      </c>
      <c r="D2098">
        <v>1</v>
      </c>
      <c r="E2098" t="s">
        <v>15</v>
      </c>
      <c r="F2098" t="s">
        <v>36</v>
      </c>
      <c r="G2098">
        <v>19.3</v>
      </c>
      <c r="H2098">
        <v>19.3</v>
      </c>
      <c r="I2098" t="s">
        <v>16</v>
      </c>
      <c r="J2098" t="s">
        <v>15</v>
      </c>
      <c r="K2098" t="s">
        <v>17</v>
      </c>
      <c r="L2098">
        <v>19.3</v>
      </c>
      <c r="M2098" t="s">
        <v>5030</v>
      </c>
      <c r="N2098" t="s">
        <v>5031</v>
      </c>
    </row>
    <row r="2099" spans="1:14" x14ac:dyDescent="0.3">
      <c r="A2099" t="s">
        <v>2123</v>
      </c>
      <c r="B2099" t="s">
        <v>19</v>
      </c>
      <c r="C2099" t="s">
        <v>13</v>
      </c>
      <c r="D2099">
        <v>9</v>
      </c>
      <c r="E2099" t="s">
        <v>26</v>
      </c>
      <c r="F2099" t="s">
        <v>15</v>
      </c>
      <c r="G2099">
        <v>94.05</v>
      </c>
      <c r="H2099">
        <v>811.65</v>
      </c>
      <c r="I2099" t="s">
        <v>15</v>
      </c>
      <c r="J2099" t="s">
        <v>16</v>
      </c>
      <c r="K2099" t="s">
        <v>17</v>
      </c>
      <c r="L2099">
        <v>811.65</v>
      </c>
      <c r="M2099" t="s">
        <v>5030</v>
      </c>
      <c r="N2099" t="s">
        <v>5031</v>
      </c>
    </row>
    <row r="2100" spans="1:14" x14ac:dyDescent="0.3">
      <c r="A2100" t="s">
        <v>2124</v>
      </c>
      <c r="B2100" t="s">
        <v>19</v>
      </c>
      <c r="C2100" t="s">
        <v>13</v>
      </c>
      <c r="D2100">
        <v>2</v>
      </c>
      <c r="E2100" t="s">
        <v>26</v>
      </c>
      <c r="F2100" t="s">
        <v>15</v>
      </c>
      <c r="G2100">
        <v>90.75</v>
      </c>
      <c r="H2100">
        <v>174.75</v>
      </c>
      <c r="I2100" t="s">
        <v>15</v>
      </c>
      <c r="J2100" t="s">
        <v>15</v>
      </c>
      <c r="K2100" t="s">
        <v>21</v>
      </c>
      <c r="L2100">
        <v>174.75</v>
      </c>
      <c r="M2100" t="s">
        <v>5030</v>
      </c>
      <c r="N2100" t="s">
        <v>5031</v>
      </c>
    </row>
    <row r="2101" spans="1:14" x14ac:dyDescent="0.3">
      <c r="A2101" t="s">
        <v>2125</v>
      </c>
      <c r="B2101" t="s">
        <v>12</v>
      </c>
      <c r="C2101" t="s">
        <v>13</v>
      </c>
      <c r="D2101">
        <v>40</v>
      </c>
      <c r="E2101" t="s">
        <v>26</v>
      </c>
      <c r="F2101" t="s">
        <v>16</v>
      </c>
      <c r="G2101">
        <v>78.849999999999994</v>
      </c>
      <c r="H2101">
        <v>3126.85</v>
      </c>
      <c r="I2101" t="s">
        <v>15</v>
      </c>
      <c r="J2101" t="s">
        <v>16</v>
      </c>
      <c r="K2101" t="s">
        <v>29</v>
      </c>
      <c r="L2101">
        <v>3126.85</v>
      </c>
      <c r="M2101" t="s">
        <v>5033</v>
      </c>
      <c r="N2101" t="s">
        <v>5034</v>
      </c>
    </row>
    <row r="2102" spans="1:14" x14ac:dyDescent="0.3">
      <c r="A2102" t="s">
        <v>2126</v>
      </c>
      <c r="B2102" t="s">
        <v>19</v>
      </c>
      <c r="C2102" t="s">
        <v>20</v>
      </c>
      <c r="D2102">
        <v>69</v>
      </c>
      <c r="E2102" t="s">
        <v>26</v>
      </c>
      <c r="F2102" t="s">
        <v>15</v>
      </c>
      <c r="G2102">
        <v>99.5</v>
      </c>
      <c r="H2102">
        <v>6841.45</v>
      </c>
      <c r="I2102" t="s">
        <v>15</v>
      </c>
      <c r="J2102" t="s">
        <v>15</v>
      </c>
      <c r="K2102" t="s">
        <v>24</v>
      </c>
      <c r="L2102">
        <v>6841.45</v>
      </c>
      <c r="M2102" t="s">
        <v>5033</v>
      </c>
      <c r="N2102" t="s">
        <v>5034</v>
      </c>
    </row>
    <row r="2103" spans="1:14" x14ac:dyDescent="0.3">
      <c r="A2103" t="s">
        <v>2127</v>
      </c>
      <c r="B2103" t="s">
        <v>12</v>
      </c>
      <c r="C2103" t="s">
        <v>20</v>
      </c>
      <c r="D2103">
        <v>37</v>
      </c>
      <c r="E2103" t="s">
        <v>26</v>
      </c>
      <c r="F2103" t="s">
        <v>16</v>
      </c>
      <c r="G2103">
        <v>99.2</v>
      </c>
      <c r="H2103">
        <v>3754.6</v>
      </c>
      <c r="I2103" t="s">
        <v>16</v>
      </c>
      <c r="J2103" t="s">
        <v>16</v>
      </c>
      <c r="K2103" t="s">
        <v>17</v>
      </c>
      <c r="L2103">
        <v>3754.6</v>
      </c>
      <c r="M2103" t="s">
        <v>5033</v>
      </c>
      <c r="N2103" t="s">
        <v>5034</v>
      </c>
    </row>
    <row r="2104" spans="1:14" x14ac:dyDescent="0.3">
      <c r="A2104" t="s">
        <v>2128</v>
      </c>
      <c r="B2104" t="s">
        <v>19</v>
      </c>
      <c r="C2104" t="s">
        <v>13</v>
      </c>
      <c r="D2104">
        <v>18</v>
      </c>
      <c r="E2104" t="s">
        <v>26</v>
      </c>
      <c r="F2104" t="s">
        <v>15</v>
      </c>
      <c r="G2104">
        <v>80.55</v>
      </c>
      <c r="H2104">
        <v>1406.65</v>
      </c>
      <c r="I2104" t="s">
        <v>15</v>
      </c>
      <c r="J2104" t="s">
        <v>16</v>
      </c>
      <c r="K2104" t="s">
        <v>29</v>
      </c>
      <c r="L2104">
        <v>1406.65</v>
      </c>
      <c r="M2104" t="s">
        <v>5032</v>
      </c>
      <c r="N2104" t="s">
        <v>5031</v>
      </c>
    </row>
    <row r="2105" spans="1:14" x14ac:dyDescent="0.3">
      <c r="A2105" t="s">
        <v>2129</v>
      </c>
      <c r="B2105" t="s">
        <v>19</v>
      </c>
      <c r="C2105" t="s">
        <v>13</v>
      </c>
      <c r="D2105">
        <v>11</v>
      </c>
      <c r="E2105" t="s">
        <v>26</v>
      </c>
      <c r="F2105" t="s">
        <v>15</v>
      </c>
      <c r="G2105">
        <v>70.2</v>
      </c>
      <c r="H2105">
        <v>834.7</v>
      </c>
      <c r="I2105" t="s">
        <v>15</v>
      </c>
      <c r="J2105" t="s">
        <v>16</v>
      </c>
      <c r="K2105" t="s">
        <v>17</v>
      </c>
      <c r="L2105">
        <v>834.7</v>
      </c>
      <c r="M2105" t="s">
        <v>5030</v>
      </c>
      <c r="N2105" t="s">
        <v>5031</v>
      </c>
    </row>
    <row r="2106" spans="1:14" x14ac:dyDescent="0.3">
      <c r="A2106" t="s">
        <v>2130</v>
      </c>
      <c r="B2106" t="s">
        <v>12</v>
      </c>
      <c r="C2106" t="s">
        <v>13</v>
      </c>
      <c r="D2106">
        <v>8</v>
      </c>
      <c r="E2106" t="s">
        <v>26</v>
      </c>
      <c r="F2106" t="s">
        <v>15</v>
      </c>
      <c r="G2106">
        <v>85.2</v>
      </c>
      <c r="H2106">
        <v>627.4</v>
      </c>
      <c r="I2106" t="s">
        <v>16</v>
      </c>
      <c r="J2106" t="s">
        <v>16</v>
      </c>
      <c r="K2106" t="s">
        <v>29</v>
      </c>
      <c r="L2106">
        <v>627.4</v>
      </c>
      <c r="M2106" t="s">
        <v>5030</v>
      </c>
      <c r="N2106" t="s">
        <v>5031</v>
      </c>
    </row>
    <row r="2107" spans="1:14" x14ac:dyDescent="0.3">
      <c r="A2107" t="s">
        <v>2131</v>
      </c>
      <c r="B2107" t="s">
        <v>12</v>
      </c>
      <c r="C2107" t="s">
        <v>13</v>
      </c>
      <c r="D2107">
        <v>3</v>
      </c>
      <c r="E2107" t="s">
        <v>26</v>
      </c>
      <c r="F2107" t="s">
        <v>15</v>
      </c>
      <c r="G2107">
        <v>75.25</v>
      </c>
      <c r="H2107">
        <v>242</v>
      </c>
      <c r="I2107" t="s">
        <v>16</v>
      </c>
      <c r="J2107" t="s">
        <v>15</v>
      </c>
      <c r="K2107" t="s">
        <v>17</v>
      </c>
      <c r="L2107">
        <v>242</v>
      </c>
      <c r="M2107" t="s">
        <v>5030</v>
      </c>
      <c r="N2107" t="s">
        <v>5031</v>
      </c>
    </row>
    <row r="2108" spans="1:14" x14ac:dyDescent="0.3">
      <c r="A2108" t="s">
        <v>2132</v>
      </c>
      <c r="B2108" t="s">
        <v>19</v>
      </c>
      <c r="C2108" t="s">
        <v>20</v>
      </c>
      <c r="D2108">
        <v>55</v>
      </c>
      <c r="E2108" t="s">
        <v>14</v>
      </c>
      <c r="F2108" t="s">
        <v>15</v>
      </c>
      <c r="G2108">
        <v>59.45</v>
      </c>
      <c r="H2108">
        <v>3157</v>
      </c>
      <c r="I2108" t="s">
        <v>15</v>
      </c>
      <c r="J2108" t="s">
        <v>15</v>
      </c>
      <c r="K2108" t="s">
        <v>29</v>
      </c>
      <c r="L2108">
        <v>3157</v>
      </c>
      <c r="M2108" t="s">
        <v>5033</v>
      </c>
      <c r="N2108" t="s">
        <v>5034</v>
      </c>
    </row>
    <row r="2109" spans="1:14" x14ac:dyDescent="0.3">
      <c r="A2109" t="s">
        <v>2133</v>
      </c>
      <c r="B2109" t="s">
        <v>19</v>
      </c>
      <c r="C2109" t="s">
        <v>13</v>
      </c>
      <c r="D2109">
        <v>33</v>
      </c>
      <c r="E2109" t="s">
        <v>26</v>
      </c>
      <c r="F2109" t="s">
        <v>15</v>
      </c>
      <c r="G2109">
        <v>93.35</v>
      </c>
      <c r="H2109">
        <v>3092</v>
      </c>
      <c r="I2109" t="s">
        <v>15</v>
      </c>
      <c r="J2109" t="s">
        <v>16</v>
      </c>
      <c r="K2109" t="s">
        <v>17</v>
      </c>
      <c r="L2109">
        <v>3092</v>
      </c>
      <c r="M2109" t="s">
        <v>5032</v>
      </c>
      <c r="N2109" t="s">
        <v>5034</v>
      </c>
    </row>
    <row r="2110" spans="1:14" x14ac:dyDescent="0.3">
      <c r="A2110" t="s">
        <v>2134</v>
      </c>
      <c r="B2110" t="s">
        <v>12</v>
      </c>
      <c r="C2110" t="s">
        <v>13</v>
      </c>
      <c r="D2110">
        <v>46</v>
      </c>
      <c r="E2110" t="s">
        <v>14</v>
      </c>
      <c r="F2110" t="s">
        <v>15</v>
      </c>
      <c r="G2110">
        <v>44.95</v>
      </c>
      <c r="H2110">
        <v>2168.9</v>
      </c>
      <c r="I2110" t="s">
        <v>15</v>
      </c>
      <c r="J2110" t="s">
        <v>15</v>
      </c>
      <c r="K2110" t="s">
        <v>24</v>
      </c>
      <c r="L2110">
        <v>2168.9</v>
      </c>
      <c r="M2110" t="s">
        <v>5033</v>
      </c>
      <c r="N2110" t="s">
        <v>5031</v>
      </c>
    </row>
    <row r="2111" spans="1:14" x14ac:dyDescent="0.3">
      <c r="A2111" t="s">
        <v>2135</v>
      </c>
      <c r="B2111" t="s">
        <v>19</v>
      </c>
      <c r="C2111" t="s">
        <v>35</v>
      </c>
      <c r="D2111">
        <v>34</v>
      </c>
      <c r="E2111" t="s">
        <v>15</v>
      </c>
      <c r="F2111" t="s">
        <v>36</v>
      </c>
      <c r="G2111">
        <v>26.1</v>
      </c>
      <c r="H2111">
        <v>980.35</v>
      </c>
      <c r="I2111" t="s">
        <v>15</v>
      </c>
      <c r="J2111" t="s">
        <v>15</v>
      </c>
      <c r="K2111" t="s">
        <v>24</v>
      </c>
      <c r="L2111">
        <v>980.35</v>
      </c>
      <c r="M2111" t="s">
        <v>5032</v>
      </c>
      <c r="N2111" t="s">
        <v>5031</v>
      </c>
    </row>
    <row r="2112" spans="1:14" x14ac:dyDescent="0.3">
      <c r="A2112" t="s">
        <v>2136</v>
      </c>
      <c r="B2112" t="s">
        <v>12</v>
      </c>
      <c r="C2112" t="s">
        <v>13</v>
      </c>
      <c r="D2112">
        <v>3</v>
      </c>
      <c r="E2112" t="s">
        <v>15</v>
      </c>
      <c r="F2112" t="s">
        <v>36</v>
      </c>
      <c r="G2112">
        <v>20.2</v>
      </c>
      <c r="H2112">
        <v>65.95</v>
      </c>
      <c r="I2112" t="s">
        <v>15</v>
      </c>
      <c r="J2112" t="s">
        <v>15</v>
      </c>
      <c r="K2112" t="s">
        <v>17</v>
      </c>
      <c r="L2112">
        <v>65.95</v>
      </c>
      <c r="M2112" t="s">
        <v>5030</v>
      </c>
      <c r="N2112" t="s">
        <v>5031</v>
      </c>
    </row>
    <row r="2113" spans="1:14" x14ac:dyDescent="0.3">
      <c r="A2113" t="s">
        <v>2137</v>
      </c>
      <c r="B2113" t="s">
        <v>19</v>
      </c>
      <c r="C2113" t="s">
        <v>35</v>
      </c>
      <c r="D2113">
        <v>30</v>
      </c>
      <c r="E2113" t="s">
        <v>15</v>
      </c>
      <c r="F2113" t="s">
        <v>36</v>
      </c>
      <c r="G2113">
        <v>21.25</v>
      </c>
      <c r="H2113">
        <v>711.9</v>
      </c>
      <c r="I2113" t="s">
        <v>15</v>
      </c>
      <c r="J2113" t="s">
        <v>15</v>
      </c>
      <c r="K2113" t="s">
        <v>21</v>
      </c>
      <c r="L2113">
        <v>711.9</v>
      </c>
      <c r="M2113" t="s">
        <v>5032</v>
      </c>
      <c r="N2113" t="s">
        <v>5031</v>
      </c>
    </row>
    <row r="2114" spans="1:14" x14ac:dyDescent="0.3">
      <c r="A2114" t="s">
        <v>2138</v>
      </c>
      <c r="B2114" t="s">
        <v>12</v>
      </c>
      <c r="C2114" t="s">
        <v>20</v>
      </c>
      <c r="D2114">
        <v>33</v>
      </c>
      <c r="E2114" t="s">
        <v>14</v>
      </c>
      <c r="F2114" t="s">
        <v>16</v>
      </c>
      <c r="G2114">
        <v>59.4</v>
      </c>
      <c r="H2114">
        <v>1952.8</v>
      </c>
      <c r="I2114" t="s">
        <v>15</v>
      </c>
      <c r="J2114" t="s">
        <v>15</v>
      </c>
      <c r="K2114" t="s">
        <v>17</v>
      </c>
      <c r="L2114">
        <v>1952.8</v>
      </c>
      <c r="M2114" t="s">
        <v>5032</v>
      </c>
      <c r="N2114" t="s">
        <v>5031</v>
      </c>
    </row>
    <row r="2115" spans="1:14" x14ac:dyDescent="0.3">
      <c r="A2115" t="s">
        <v>2139</v>
      </c>
      <c r="B2115" t="s">
        <v>19</v>
      </c>
      <c r="C2115" t="s">
        <v>20</v>
      </c>
      <c r="D2115">
        <v>45</v>
      </c>
      <c r="E2115" t="s">
        <v>26</v>
      </c>
      <c r="F2115" t="s">
        <v>15</v>
      </c>
      <c r="G2115">
        <v>95</v>
      </c>
      <c r="H2115">
        <v>4368.8500000000004</v>
      </c>
      <c r="I2115" t="s">
        <v>15</v>
      </c>
      <c r="J2115" t="s">
        <v>16</v>
      </c>
      <c r="K2115" t="s">
        <v>29</v>
      </c>
      <c r="L2115">
        <v>4368.8500000000004</v>
      </c>
      <c r="M2115" t="s">
        <v>5033</v>
      </c>
      <c r="N2115" t="s">
        <v>5034</v>
      </c>
    </row>
    <row r="2116" spans="1:14" x14ac:dyDescent="0.3">
      <c r="A2116" t="s">
        <v>2140</v>
      </c>
      <c r="B2116" t="s">
        <v>19</v>
      </c>
      <c r="C2116" t="s">
        <v>13</v>
      </c>
      <c r="D2116">
        <v>40</v>
      </c>
      <c r="E2116" t="s">
        <v>14</v>
      </c>
      <c r="F2116" t="s">
        <v>16</v>
      </c>
      <c r="G2116">
        <v>61.9</v>
      </c>
      <c r="H2116">
        <v>2647.1</v>
      </c>
      <c r="I2116" t="s">
        <v>15</v>
      </c>
      <c r="J2116" t="s">
        <v>16</v>
      </c>
      <c r="K2116" t="s">
        <v>21</v>
      </c>
      <c r="L2116">
        <v>2647.1</v>
      </c>
      <c r="M2116" t="s">
        <v>5033</v>
      </c>
      <c r="N2116" t="s">
        <v>5034</v>
      </c>
    </row>
    <row r="2117" spans="1:14" x14ac:dyDescent="0.3">
      <c r="A2117" t="s">
        <v>2141</v>
      </c>
      <c r="B2117" t="s">
        <v>12</v>
      </c>
      <c r="C2117" t="s">
        <v>35</v>
      </c>
      <c r="D2117">
        <v>71</v>
      </c>
      <c r="E2117" t="s">
        <v>26</v>
      </c>
      <c r="F2117" t="s">
        <v>16</v>
      </c>
      <c r="G2117">
        <v>118.65</v>
      </c>
      <c r="H2117">
        <v>8477.6</v>
      </c>
      <c r="I2117" t="s">
        <v>15</v>
      </c>
      <c r="J2117" t="s">
        <v>16</v>
      </c>
      <c r="K2117" t="s">
        <v>17</v>
      </c>
      <c r="L2117">
        <v>8477.6</v>
      </c>
      <c r="M2117" t="s">
        <v>5033</v>
      </c>
      <c r="N2117" t="s">
        <v>5034</v>
      </c>
    </row>
    <row r="2118" spans="1:14" x14ac:dyDescent="0.3">
      <c r="A2118" t="s">
        <v>2142</v>
      </c>
      <c r="B2118" t="s">
        <v>19</v>
      </c>
      <c r="C2118" t="s">
        <v>13</v>
      </c>
      <c r="D2118">
        <v>1</v>
      </c>
      <c r="E2118" t="s">
        <v>14</v>
      </c>
      <c r="F2118" t="s">
        <v>15</v>
      </c>
      <c r="G2118">
        <v>54.35</v>
      </c>
      <c r="H2118">
        <v>54.35</v>
      </c>
      <c r="I2118" t="s">
        <v>16</v>
      </c>
      <c r="J2118" t="s">
        <v>15</v>
      </c>
      <c r="K2118" t="s">
        <v>17</v>
      </c>
      <c r="L2118">
        <v>54.35</v>
      </c>
      <c r="M2118" t="s">
        <v>5030</v>
      </c>
      <c r="N2118" t="s">
        <v>5031</v>
      </c>
    </row>
    <row r="2119" spans="1:14" x14ac:dyDescent="0.3">
      <c r="A2119" t="s">
        <v>2143</v>
      </c>
      <c r="B2119" t="s">
        <v>12</v>
      </c>
      <c r="C2119" t="s">
        <v>35</v>
      </c>
      <c r="D2119">
        <v>72</v>
      </c>
      <c r="E2119" t="s">
        <v>14</v>
      </c>
      <c r="F2119" t="s">
        <v>16</v>
      </c>
      <c r="G2119">
        <v>64.45</v>
      </c>
      <c r="H2119">
        <v>4528</v>
      </c>
      <c r="I2119" t="s">
        <v>15</v>
      </c>
      <c r="J2119" t="s">
        <v>15</v>
      </c>
      <c r="K2119" t="s">
        <v>24</v>
      </c>
      <c r="L2119">
        <v>4528</v>
      </c>
      <c r="M2119" t="s">
        <v>5033</v>
      </c>
      <c r="N2119" t="s">
        <v>5034</v>
      </c>
    </row>
    <row r="2120" spans="1:14" x14ac:dyDescent="0.3">
      <c r="A2120" t="s">
        <v>2144</v>
      </c>
      <c r="B2120" t="s">
        <v>12</v>
      </c>
      <c r="C2120" t="s">
        <v>13</v>
      </c>
      <c r="D2120">
        <v>22</v>
      </c>
      <c r="E2120" t="s">
        <v>26</v>
      </c>
      <c r="F2120" t="s">
        <v>15</v>
      </c>
      <c r="G2120">
        <v>80.150000000000006</v>
      </c>
      <c r="H2120">
        <v>1790.65</v>
      </c>
      <c r="I2120" t="s">
        <v>15</v>
      </c>
      <c r="J2120" t="s">
        <v>16</v>
      </c>
      <c r="K2120" t="s">
        <v>17</v>
      </c>
      <c r="L2120">
        <v>1790.65</v>
      </c>
      <c r="M2120" t="s">
        <v>5032</v>
      </c>
      <c r="N2120" t="s">
        <v>5031</v>
      </c>
    </row>
    <row r="2121" spans="1:14" x14ac:dyDescent="0.3">
      <c r="A2121" t="s">
        <v>2145</v>
      </c>
      <c r="B2121" t="s">
        <v>19</v>
      </c>
      <c r="C2121" t="s">
        <v>20</v>
      </c>
      <c r="D2121">
        <v>46</v>
      </c>
      <c r="E2121" t="s">
        <v>15</v>
      </c>
      <c r="F2121" t="s">
        <v>36</v>
      </c>
      <c r="G2121">
        <v>20.2</v>
      </c>
      <c r="H2121">
        <v>845.6</v>
      </c>
      <c r="I2121" t="s">
        <v>15</v>
      </c>
      <c r="J2121" t="s">
        <v>16</v>
      </c>
      <c r="K2121" t="s">
        <v>24</v>
      </c>
      <c r="L2121">
        <v>845.6</v>
      </c>
      <c r="M2121" t="s">
        <v>5033</v>
      </c>
      <c r="N2121" t="s">
        <v>5031</v>
      </c>
    </row>
    <row r="2122" spans="1:14" x14ac:dyDescent="0.3">
      <c r="A2122" t="s">
        <v>2146</v>
      </c>
      <c r="B2122" t="s">
        <v>12</v>
      </c>
      <c r="C2122" t="s">
        <v>35</v>
      </c>
      <c r="D2122">
        <v>55</v>
      </c>
      <c r="E2122" t="s">
        <v>15</v>
      </c>
      <c r="F2122" t="s">
        <v>36</v>
      </c>
      <c r="G2122">
        <v>21</v>
      </c>
      <c r="H2122">
        <v>1210.3</v>
      </c>
      <c r="I2122" t="s">
        <v>15</v>
      </c>
      <c r="J2122" t="s">
        <v>15</v>
      </c>
      <c r="K2122" t="s">
        <v>21</v>
      </c>
      <c r="L2122">
        <v>1210.3</v>
      </c>
      <c r="M2122" t="s">
        <v>5033</v>
      </c>
      <c r="N2122" t="s">
        <v>5031</v>
      </c>
    </row>
    <row r="2123" spans="1:14" x14ac:dyDescent="0.3">
      <c r="A2123" t="s">
        <v>2147</v>
      </c>
      <c r="B2123" t="s">
        <v>19</v>
      </c>
      <c r="C2123" t="s">
        <v>13</v>
      </c>
      <c r="D2123">
        <v>1</v>
      </c>
      <c r="E2123" t="s">
        <v>15</v>
      </c>
      <c r="F2123" t="s">
        <v>36</v>
      </c>
      <c r="G2123">
        <v>20.45</v>
      </c>
      <c r="H2123">
        <v>20.45</v>
      </c>
      <c r="I2123" t="s">
        <v>15</v>
      </c>
      <c r="J2123" t="s">
        <v>15</v>
      </c>
      <c r="K2123" t="s">
        <v>21</v>
      </c>
      <c r="L2123">
        <v>20.45</v>
      </c>
      <c r="M2123" t="s">
        <v>5030</v>
      </c>
      <c r="N2123" t="s">
        <v>5031</v>
      </c>
    </row>
    <row r="2124" spans="1:14" x14ac:dyDescent="0.3">
      <c r="A2124" t="s">
        <v>2148</v>
      </c>
      <c r="B2124" t="s">
        <v>12</v>
      </c>
      <c r="C2124" t="s">
        <v>20</v>
      </c>
      <c r="D2124">
        <v>12</v>
      </c>
      <c r="E2124" t="s">
        <v>14</v>
      </c>
      <c r="F2124" t="s">
        <v>16</v>
      </c>
      <c r="G2124">
        <v>75.849999999999994</v>
      </c>
      <c r="H2124">
        <v>854.45</v>
      </c>
      <c r="I2124" t="s">
        <v>15</v>
      </c>
      <c r="J2124" t="s">
        <v>16</v>
      </c>
      <c r="K2124" t="s">
        <v>21</v>
      </c>
      <c r="L2124">
        <v>854.45</v>
      </c>
      <c r="M2124" t="s">
        <v>5030</v>
      </c>
      <c r="N2124" t="s">
        <v>5031</v>
      </c>
    </row>
    <row r="2125" spans="1:14" x14ac:dyDescent="0.3">
      <c r="A2125" t="s">
        <v>2149</v>
      </c>
      <c r="B2125" t="s">
        <v>19</v>
      </c>
      <c r="C2125" t="s">
        <v>13</v>
      </c>
      <c r="D2125">
        <v>31</v>
      </c>
      <c r="E2125" t="s">
        <v>26</v>
      </c>
      <c r="F2125" t="s">
        <v>15</v>
      </c>
      <c r="G2125">
        <v>80.45</v>
      </c>
      <c r="H2125">
        <v>2429.1</v>
      </c>
      <c r="I2125" t="s">
        <v>15</v>
      </c>
      <c r="J2125" t="s">
        <v>16</v>
      </c>
      <c r="K2125" t="s">
        <v>17</v>
      </c>
      <c r="L2125">
        <v>2429.1</v>
      </c>
      <c r="M2125" t="s">
        <v>5032</v>
      </c>
      <c r="N2125" t="s">
        <v>5031</v>
      </c>
    </row>
    <row r="2126" spans="1:14" x14ac:dyDescent="0.3">
      <c r="A2126" t="s">
        <v>2150</v>
      </c>
      <c r="B2126" t="s">
        <v>19</v>
      </c>
      <c r="C2126" t="s">
        <v>13</v>
      </c>
      <c r="D2126">
        <v>5</v>
      </c>
      <c r="E2126" t="s">
        <v>14</v>
      </c>
      <c r="F2126" t="s">
        <v>15</v>
      </c>
      <c r="G2126">
        <v>24.95</v>
      </c>
      <c r="H2126">
        <v>100.4</v>
      </c>
      <c r="I2126" t="s">
        <v>16</v>
      </c>
      <c r="J2126" t="s">
        <v>16</v>
      </c>
      <c r="K2126" t="s">
        <v>17</v>
      </c>
      <c r="L2126">
        <v>100.4</v>
      </c>
      <c r="M2126" t="s">
        <v>5030</v>
      </c>
      <c r="N2126" t="s">
        <v>5031</v>
      </c>
    </row>
    <row r="2127" spans="1:14" x14ac:dyDescent="0.3">
      <c r="A2127" t="s">
        <v>2151</v>
      </c>
      <c r="B2127" t="s">
        <v>12</v>
      </c>
      <c r="C2127" t="s">
        <v>35</v>
      </c>
      <c r="D2127">
        <v>67</v>
      </c>
      <c r="E2127" t="s">
        <v>14</v>
      </c>
      <c r="F2127" t="s">
        <v>15</v>
      </c>
      <c r="G2127">
        <v>75.5</v>
      </c>
      <c r="H2127">
        <v>5229.45</v>
      </c>
      <c r="I2127" t="s">
        <v>15</v>
      </c>
      <c r="J2127" t="s">
        <v>16</v>
      </c>
      <c r="K2127" t="s">
        <v>17</v>
      </c>
      <c r="L2127">
        <v>5229.45</v>
      </c>
      <c r="M2127" t="s">
        <v>5033</v>
      </c>
      <c r="N2127" t="s">
        <v>5034</v>
      </c>
    </row>
    <row r="2128" spans="1:14" x14ac:dyDescent="0.3">
      <c r="A2128" t="s">
        <v>2152</v>
      </c>
      <c r="B2128" t="s">
        <v>19</v>
      </c>
      <c r="C2128" t="s">
        <v>13</v>
      </c>
      <c r="D2128">
        <v>1</v>
      </c>
      <c r="E2128" t="s">
        <v>14</v>
      </c>
      <c r="F2128" t="s">
        <v>15</v>
      </c>
      <c r="G2128">
        <v>44.45</v>
      </c>
      <c r="H2128">
        <v>44.45</v>
      </c>
      <c r="I2128" t="s">
        <v>15</v>
      </c>
      <c r="J2128" t="s">
        <v>15</v>
      </c>
      <c r="K2128" t="s">
        <v>21</v>
      </c>
      <c r="L2128">
        <v>44.45</v>
      </c>
      <c r="M2128" t="s">
        <v>5030</v>
      </c>
      <c r="N2128" t="s">
        <v>5031</v>
      </c>
    </row>
    <row r="2129" spans="1:14" x14ac:dyDescent="0.3">
      <c r="A2129" t="s">
        <v>2153</v>
      </c>
      <c r="B2129" t="s">
        <v>19</v>
      </c>
      <c r="C2129" t="s">
        <v>20</v>
      </c>
      <c r="D2129">
        <v>40</v>
      </c>
      <c r="E2129" t="s">
        <v>14</v>
      </c>
      <c r="F2129" t="s">
        <v>15</v>
      </c>
      <c r="G2129">
        <v>42.35</v>
      </c>
      <c r="H2129">
        <v>1716.45</v>
      </c>
      <c r="I2129" t="s">
        <v>16</v>
      </c>
      <c r="J2129" t="s">
        <v>16</v>
      </c>
      <c r="K2129" t="s">
        <v>17</v>
      </c>
      <c r="L2129">
        <v>1716.45</v>
      </c>
      <c r="M2129" t="s">
        <v>5033</v>
      </c>
      <c r="N2129" t="s">
        <v>5031</v>
      </c>
    </row>
    <row r="2130" spans="1:14" x14ac:dyDescent="0.3">
      <c r="A2130" t="s">
        <v>2154</v>
      </c>
      <c r="B2130" t="s">
        <v>19</v>
      </c>
      <c r="C2130" t="s">
        <v>13</v>
      </c>
      <c r="D2130">
        <v>41</v>
      </c>
      <c r="E2130" t="s">
        <v>14</v>
      </c>
      <c r="F2130" t="s">
        <v>15</v>
      </c>
      <c r="G2130">
        <v>74.55</v>
      </c>
      <c r="H2130">
        <v>3023.55</v>
      </c>
      <c r="I2130" t="s">
        <v>15</v>
      </c>
      <c r="J2130" t="s">
        <v>16</v>
      </c>
      <c r="K2130" t="s">
        <v>29</v>
      </c>
      <c r="L2130">
        <v>3023.55</v>
      </c>
      <c r="M2130" t="s">
        <v>5033</v>
      </c>
      <c r="N2130" t="s">
        <v>5034</v>
      </c>
    </row>
    <row r="2131" spans="1:14" x14ac:dyDescent="0.3">
      <c r="A2131" t="s">
        <v>2155</v>
      </c>
      <c r="B2131" t="s">
        <v>19</v>
      </c>
      <c r="C2131" t="s">
        <v>13</v>
      </c>
      <c r="D2131">
        <v>1</v>
      </c>
      <c r="E2131" t="s">
        <v>26</v>
      </c>
      <c r="F2131" t="s">
        <v>15</v>
      </c>
      <c r="G2131">
        <v>75.3</v>
      </c>
      <c r="H2131">
        <v>75.3</v>
      </c>
      <c r="I2131" t="s">
        <v>16</v>
      </c>
      <c r="J2131" t="s">
        <v>16</v>
      </c>
      <c r="K2131" t="s">
        <v>17</v>
      </c>
      <c r="L2131">
        <v>75.3</v>
      </c>
      <c r="M2131" t="s">
        <v>5030</v>
      </c>
      <c r="N2131" t="s">
        <v>5031</v>
      </c>
    </row>
    <row r="2132" spans="1:14" x14ac:dyDescent="0.3">
      <c r="A2132" t="s">
        <v>2156</v>
      </c>
      <c r="B2132" t="s">
        <v>19</v>
      </c>
      <c r="C2132" t="s">
        <v>20</v>
      </c>
      <c r="D2132">
        <v>51</v>
      </c>
      <c r="E2132" t="s">
        <v>26</v>
      </c>
      <c r="F2132" t="s">
        <v>15</v>
      </c>
      <c r="G2132">
        <v>94.8</v>
      </c>
      <c r="H2132">
        <v>4837.6000000000004</v>
      </c>
      <c r="I2132" t="s">
        <v>16</v>
      </c>
      <c r="J2132" t="s">
        <v>16</v>
      </c>
      <c r="K2132" t="s">
        <v>17</v>
      </c>
      <c r="L2132">
        <v>4837.6000000000004</v>
      </c>
      <c r="M2132" t="s">
        <v>5033</v>
      </c>
      <c r="N2132" t="s">
        <v>5034</v>
      </c>
    </row>
    <row r="2133" spans="1:14" x14ac:dyDescent="0.3">
      <c r="A2133" t="s">
        <v>2157</v>
      </c>
      <c r="B2133" t="s">
        <v>19</v>
      </c>
      <c r="C2133" t="s">
        <v>35</v>
      </c>
      <c r="D2133">
        <v>42</v>
      </c>
      <c r="E2133" t="s">
        <v>14</v>
      </c>
      <c r="F2133" t="s">
        <v>16</v>
      </c>
      <c r="G2133">
        <v>48.15</v>
      </c>
      <c r="H2133">
        <v>2032.3</v>
      </c>
      <c r="I2133" t="s">
        <v>15</v>
      </c>
      <c r="J2133" t="s">
        <v>15</v>
      </c>
      <c r="K2133" t="s">
        <v>29</v>
      </c>
      <c r="L2133">
        <v>2032.3</v>
      </c>
      <c r="M2133" t="s">
        <v>5033</v>
      </c>
      <c r="N2133" t="s">
        <v>5031</v>
      </c>
    </row>
    <row r="2134" spans="1:14" x14ac:dyDescent="0.3">
      <c r="A2134" t="s">
        <v>2158</v>
      </c>
      <c r="B2134" t="s">
        <v>19</v>
      </c>
      <c r="C2134" t="s">
        <v>20</v>
      </c>
      <c r="D2134">
        <v>23</v>
      </c>
      <c r="E2134" t="s">
        <v>15</v>
      </c>
      <c r="F2134" t="s">
        <v>36</v>
      </c>
      <c r="G2134">
        <v>19.649999999999999</v>
      </c>
      <c r="H2134">
        <v>436.9</v>
      </c>
      <c r="I2134" t="s">
        <v>15</v>
      </c>
      <c r="J2134" t="s">
        <v>15</v>
      </c>
      <c r="K2134" t="s">
        <v>21</v>
      </c>
      <c r="L2134">
        <v>436.9</v>
      </c>
      <c r="M2134" t="s">
        <v>5032</v>
      </c>
      <c r="N2134" t="s">
        <v>5031</v>
      </c>
    </row>
    <row r="2135" spans="1:14" x14ac:dyDescent="0.3">
      <c r="A2135" t="s">
        <v>2159</v>
      </c>
      <c r="B2135" t="s">
        <v>12</v>
      </c>
      <c r="C2135" t="s">
        <v>13</v>
      </c>
      <c r="D2135">
        <v>1</v>
      </c>
      <c r="E2135" t="s">
        <v>26</v>
      </c>
      <c r="F2135" t="s">
        <v>15</v>
      </c>
      <c r="G2135">
        <v>70.55</v>
      </c>
      <c r="H2135">
        <v>70.55</v>
      </c>
      <c r="I2135" t="s">
        <v>16</v>
      </c>
      <c r="J2135" t="s">
        <v>16</v>
      </c>
      <c r="K2135" t="s">
        <v>17</v>
      </c>
      <c r="L2135">
        <v>70.55</v>
      </c>
      <c r="M2135" t="s">
        <v>5030</v>
      </c>
      <c r="N2135" t="s">
        <v>5031</v>
      </c>
    </row>
    <row r="2136" spans="1:14" x14ac:dyDescent="0.3">
      <c r="A2136" t="s">
        <v>2160</v>
      </c>
      <c r="B2136" t="s">
        <v>12</v>
      </c>
      <c r="C2136" t="s">
        <v>13</v>
      </c>
      <c r="D2136">
        <v>1</v>
      </c>
      <c r="E2136" t="s">
        <v>15</v>
      </c>
      <c r="F2136" t="s">
        <v>36</v>
      </c>
      <c r="G2136">
        <v>20.149999999999999</v>
      </c>
      <c r="H2136">
        <v>20.149999999999999</v>
      </c>
      <c r="I2136" t="s">
        <v>15</v>
      </c>
      <c r="J2136" t="s">
        <v>15</v>
      </c>
      <c r="K2136" t="s">
        <v>21</v>
      </c>
      <c r="L2136">
        <v>20.149999999999999</v>
      </c>
      <c r="M2136" t="s">
        <v>5030</v>
      </c>
      <c r="N2136" t="s">
        <v>5031</v>
      </c>
    </row>
    <row r="2137" spans="1:14" x14ac:dyDescent="0.3">
      <c r="A2137" t="s">
        <v>2161</v>
      </c>
      <c r="B2137" t="s">
        <v>12</v>
      </c>
      <c r="C2137" t="s">
        <v>13</v>
      </c>
      <c r="D2137">
        <v>56</v>
      </c>
      <c r="E2137" t="s">
        <v>26</v>
      </c>
      <c r="F2137" t="s">
        <v>15</v>
      </c>
      <c r="G2137">
        <v>106.6</v>
      </c>
      <c r="H2137">
        <v>5893.95</v>
      </c>
      <c r="I2137" t="s">
        <v>15</v>
      </c>
      <c r="J2137" t="s">
        <v>16</v>
      </c>
      <c r="K2137" t="s">
        <v>29</v>
      </c>
      <c r="L2137">
        <v>5893.95</v>
      </c>
      <c r="M2137" t="s">
        <v>5033</v>
      </c>
      <c r="N2137" t="s">
        <v>5034</v>
      </c>
    </row>
    <row r="2138" spans="1:14" x14ac:dyDescent="0.3">
      <c r="A2138" t="s">
        <v>2162</v>
      </c>
      <c r="B2138" t="s">
        <v>19</v>
      </c>
      <c r="C2138" t="s">
        <v>13</v>
      </c>
      <c r="D2138">
        <v>15</v>
      </c>
      <c r="E2138" t="s">
        <v>26</v>
      </c>
      <c r="F2138" t="s">
        <v>15</v>
      </c>
      <c r="G2138">
        <v>91</v>
      </c>
      <c r="H2138">
        <v>1430.05</v>
      </c>
      <c r="I2138" t="s">
        <v>15</v>
      </c>
      <c r="J2138" t="s">
        <v>16</v>
      </c>
      <c r="K2138" t="s">
        <v>17</v>
      </c>
      <c r="L2138">
        <v>1430.05</v>
      </c>
      <c r="M2138" t="s">
        <v>5032</v>
      </c>
      <c r="N2138" t="s">
        <v>5031</v>
      </c>
    </row>
    <row r="2139" spans="1:14" x14ac:dyDescent="0.3">
      <c r="A2139" t="s">
        <v>2163</v>
      </c>
      <c r="B2139" t="s">
        <v>19</v>
      </c>
      <c r="C2139" t="s">
        <v>35</v>
      </c>
      <c r="D2139">
        <v>12</v>
      </c>
      <c r="E2139" t="s">
        <v>15</v>
      </c>
      <c r="F2139" t="s">
        <v>36</v>
      </c>
      <c r="G2139">
        <v>25.4</v>
      </c>
      <c r="H2139">
        <v>313</v>
      </c>
      <c r="I2139" t="s">
        <v>15</v>
      </c>
      <c r="J2139" t="s">
        <v>16</v>
      </c>
      <c r="K2139" t="s">
        <v>24</v>
      </c>
      <c r="L2139">
        <v>313</v>
      </c>
      <c r="M2139" t="s">
        <v>5030</v>
      </c>
      <c r="N2139" t="s">
        <v>5031</v>
      </c>
    </row>
    <row r="2140" spans="1:14" x14ac:dyDescent="0.3">
      <c r="A2140" t="s">
        <v>2164</v>
      </c>
      <c r="B2140" t="s">
        <v>12</v>
      </c>
      <c r="C2140" t="s">
        <v>35</v>
      </c>
      <c r="D2140">
        <v>54</v>
      </c>
      <c r="E2140" t="s">
        <v>14</v>
      </c>
      <c r="F2140" t="s">
        <v>16</v>
      </c>
      <c r="G2140">
        <v>69.95</v>
      </c>
      <c r="H2140">
        <v>3871.85</v>
      </c>
      <c r="I2140" t="s">
        <v>15</v>
      </c>
      <c r="J2140" t="s">
        <v>15</v>
      </c>
      <c r="K2140" t="s">
        <v>24</v>
      </c>
      <c r="L2140">
        <v>3871.85</v>
      </c>
      <c r="M2140" t="s">
        <v>5033</v>
      </c>
      <c r="N2140" t="s">
        <v>5034</v>
      </c>
    </row>
    <row r="2141" spans="1:14" x14ac:dyDescent="0.3">
      <c r="A2141" t="s">
        <v>2165</v>
      </c>
      <c r="B2141" t="s">
        <v>12</v>
      </c>
      <c r="C2141" t="s">
        <v>13</v>
      </c>
      <c r="D2141">
        <v>7</v>
      </c>
      <c r="E2141" t="s">
        <v>14</v>
      </c>
      <c r="F2141" t="s">
        <v>15</v>
      </c>
      <c r="G2141">
        <v>66.849999999999994</v>
      </c>
      <c r="H2141">
        <v>458.1</v>
      </c>
      <c r="I2141" t="s">
        <v>15</v>
      </c>
      <c r="J2141" t="s">
        <v>16</v>
      </c>
      <c r="K2141" t="s">
        <v>17</v>
      </c>
      <c r="L2141">
        <v>458.1</v>
      </c>
      <c r="M2141" t="s">
        <v>5030</v>
      </c>
      <c r="N2141" t="s">
        <v>5031</v>
      </c>
    </row>
    <row r="2142" spans="1:14" x14ac:dyDescent="0.3">
      <c r="A2142" t="s">
        <v>2166</v>
      </c>
      <c r="B2142" t="s">
        <v>12</v>
      </c>
      <c r="C2142" t="s">
        <v>13</v>
      </c>
      <c r="D2142">
        <v>33</v>
      </c>
      <c r="E2142" t="s">
        <v>26</v>
      </c>
      <c r="F2142" t="s">
        <v>15</v>
      </c>
      <c r="G2142">
        <v>86.15</v>
      </c>
      <c r="H2142">
        <v>2745.7</v>
      </c>
      <c r="I2142" t="s">
        <v>16</v>
      </c>
      <c r="J2142" t="s">
        <v>15</v>
      </c>
      <c r="K2142" t="s">
        <v>29</v>
      </c>
      <c r="L2142">
        <v>2745.7</v>
      </c>
      <c r="M2142" t="s">
        <v>5032</v>
      </c>
      <c r="N2142" t="s">
        <v>5034</v>
      </c>
    </row>
    <row r="2143" spans="1:14" x14ac:dyDescent="0.3">
      <c r="A2143" t="s">
        <v>2167</v>
      </c>
      <c r="B2143" t="s">
        <v>19</v>
      </c>
      <c r="C2143" t="s">
        <v>13</v>
      </c>
      <c r="D2143">
        <v>16</v>
      </c>
      <c r="E2143" t="s">
        <v>15</v>
      </c>
      <c r="F2143" t="s">
        <v>36</v>
      </c>
      <c r="G2143">
        <v>20.149999999999999</v>
      </c>
      <c r="H2143">
        <v>341.35</v>
      </c>
      <c r="I2143" t="s">
        <v>15</v>
      </c>
      <c r="J2143" t="s">
        <v>15</v>
      </c>
      <c r="K2143" t="s">
        <v>17</v>
      </c>
      <c r="L2143">
        <v>341.35</v>
      </c>
      <c r="M2143" t="s">
        <v>5032</v>
      </c>
      <c r="N2143" t="s">
        <v>5031</v>
      </c>
    </row>
    <row r="2144" spans="1:14" x14ac:dyDescent="0.3">
      <c r="A2144" t="s">
        <v>2168</v>
      </c>
      <c r="B2144" t="s">
        <v>12</v>
      </c>
      <c r="C2144" t="s">
        <v>20</v>
      </c>
      <c r="D2144">
        <v>21</v>
      </c>
      <c r="E2144" t="s">
        <v>14</v>
      </c>
      <c r="F2144" t="s">
        <v>15</v>
      </c>
      <c r="G2144">
        <v>64.849999999999994</v>
      </c>
      <c r="H2144">
        <v>1336.8</v>
      </c>
      <c r="I2144" t="s">
        <v>15</v>
      </c>
      <c r="J2144" t="s">
        <v>15</v>
      </c>
      <c r="K2144" t="s">
        <v>21</v>
      </c>
      <c r="L2144">
        <v>1336.8</v>
      </c>
      <c r="M2144" t="s">
        <v>5032</v>
      </c>
      <c r="N2144" t="s">
        <v>5031</v>
      </c>
    </row>
    <row r="2145" spans="1:14" x14ac:dyDescent="0.3">
      <c r="A2145" t="s">
        <v>2169</v>
      </c>
      <c r="B2145" t="s">
        <v>19</v>
      </c>
      <c r="C2145" t="s">
        <v>35</v>
      </c>
      <c r="D2145">
        <v>30</v>
      </c>
      <c r="E2145" t="s">
        <v>14</v>
      </c>
      <c r="F2145" t="s">
        <v>15</v>
      </c>
      <c r="G2145">
        <v>74.849999999999994</v>
      </c>
      <c r="H2145">
        <v>2181.75</v>
      </c>
      <c r="I2145" t="s">
        <v>15</v>
      </c>
      <c r="J2145" t="s">
        <v>15</v>
      </c>
      <c r="K2145" t="s">
        <v>17</v>
      </c>
      <c r="L2145">
        <v>2181.75</v>
      </c>
      <c r="M2145" t="s">
        <v>5032</v>
      </c>
      <c r="N2145" t="s">
        <v>5031</v>
      </c>
    </row>
    <row r="2146" spans="1:14" x14ac:dyDescent="0.3">
      <c r="A2146" t="s">
        <v>2170</v>
      </c>
      <c r="B2146" t="s">
        <v>19</v>
      </c>
      <c r="C2146" t="s">
        <v>13</v>
      </c>
      <c r="D2146">
        <v>3</v>
      </c>
      <c r="E2146" t="s">
        <v>14</v>
      </c>
      <c r="F2146" t="s">
        <v>16</v>
      </c>
      <c r="G2146">
        <v>50.5</v>
      </c>
      <c r="H2146">
        <v>147.75</v>
      </c>
      <c r="I2146" t="s">
        <v>15</v>
      </c>
      <c r="J2146" t="s">
        <v>16</v>
      </c>
      <c r="K2146" t="s">
        <v>21</v>
      </c>
      <c r="L2146">
        <v>147.75</v>
      </c>
      <c r="M2146" t="s">
        <v>5030</v>
      </c>
      <c r="N2146" t="s">
        <v>5031</v>
      </c>
    </row>
    <row r="2147" spans="1:14" x14ac:dyDescent="0.3">
      <c r="A2147" t="s">
        <v>2171</v>
      </c>
      <c r="B2147" t="s">
        <v>19</v>
      </c>
      <c r="C2147" t="s">
        <v>13</v>
      </c>
      <c r="D2147">
        <v>11</v>
      </c>
      <c r="E2147" t="s">
        <v>26</v>
      </c>
      <c r="F2147" t="s">
        <v>15</v>
      </c>
      <c r="G2147">
        <v>72.900000000000006</v>
      </c>
      <c r="H2147">
        <v>818.45</v>
      </c>
      <c r="I2147" t="s">
        <v>15</v>
      </c>
      <c r="J2147" t="s">
        <v>15</v>
      </c>
      <c r="K2147" t="s">
        <v>17</v>
      </c>
      <c r="L2147">
        <v>818.45</v>
      </c>
      <c r="M2147" t="s">
        <v>5030</v>
      </c>
      <c r="N2147" t="s">
        <v>5031</v>
      </c>
    </row>
    <row r="2148" spans="1:14" x14ac:dyDescent="0.3">
      <c r="A2148" t="s">
        <v>2172</v>
      </c>
      <c r="B2148" t="s">
        <v>12</v>
      </c>
      <c r="C2148" t="s">
        <v>20</v>
      </c>
      <c r="D2148">
        <v>62</v>
      </c>
      <c r="E2148" t="s">
        <v>26</v>
      </c>
      <c r="F2148" t="s">
        <v>16</v>
      </c>
      <c r="G2148">
        <v>115.05</v>
      </c>
      <c r="H2148">
        <v>7133.45</v>
      </c>
      <c r="I2148" t="s">
        <v>15</v>
      </c>
      <c r="J2148" t="s">
        <v>16</v>
      </c>
      <c r="K2148" t="s">
        <v>29</v>
      </c>
      <c r="L2148">
        <v>7133.45</v>
      </c>
      <c r="M2148" t="s">
        <v>5033</v>
      </c>
      <c r="N2148" t="s">
        <v>5034</v>
      </c>
    </row>
    <row r="2149" spans="1:14" x14ac:dyDescent="0.3">
      <c r="A2149" t="s">
        <v>2173</v>
      </c>
      <c r="B2149" t="s">
        <v>19</v>
      </c>
      <c r="C2149" t="s">
        <v>13</v>
      </c>
      <c r="D2149">
        <v>18</v>
      </c>
      <c r="E2149" t="s">
        <v>15</v>
      </c>
      <c r="F2149" t="s">
        <v>36</v>
      </c>
      <c r="G2149">
        <v>19</v>
      </c>
      <c r="H2149">
        <v>348.8</v>
      </c>
      <c r="I2149" t="s">
        <v>15</v>
      </c>
      <c r="J2149" t="s">
        <v>15</v>
      </c>
      <c r="K2149" t="s">
        <v>17</v>
      </c>
      <c r="L2149">
        <v>348.8</v>
      </c>
      <c r="M2149" t="s">
        <v>5032</v>
      </c>
      <c r="N2149" t="s">
        <v>5031</v>
      </c>
    </row>
    <row r="2150" spans="1:14" x14ac:dyDescent="0.3">
      <c r="A2150" t="s">
        <v>2174</v>
      </c>
      <c r="B2150" t="s">
        <v>19</v>
      </c>
      <c r="C2150" t="s">
        <v>13</v>
      </c>
      <c r="D2150">
        <v>6</v>
      </c>
      <c r="E2150" t="s">
        <v>15</v>
      </c>
      <c r="F2150" t="s">
        <v>36</v>
      </c>
      <c r="G2150">
        <v>19.55</v>
      </c>
      <c r="H2150">
        <v>128.6</v>
      </c>
      <c r="I2150" t="s">
        <v>15</v>
      </c>
      <c r="J2150" t="s">
        <v>15</v>
      </c>
      <c r="K2150" t="s">
        <v>21</v>
      </c>
      <c r="L2150">
        <v>128.6</v>
      </c>
      <c r="M2150" t="s">
        <v>5030</v>
      </c>
      <c r="N2150" t="s">
        <v>5031</v>
      </c>
    </row>
    <row r="2151" spans="1:14" x14ac:dyDescent="0.3">
      <c r="A2151" t="s">
        <v>2175</v>
      </c>
      <c r="B2151" t="s">
        <v>12</v>
      </c>
      <c r="C2151" t="s">
        <v>20</v>
      </c>
      <c r="D2151">
        <v>46</v>
      </c>
      <c r="E2151" t="s">
        <v>26</v>
      </c>
      <c r="F2151" t="s">
        <v>15</v>
      </c>
      <c r="G2151">
        <v>101.1</v>
      </c>
      <c r="H2151">
        <v>4674.3999999999996</v>
      </c>
      <c r="I2151" t="s">
        <v>15</v>
      </c>
      <c r="J2151" t="s">
        <v>16</v>
      </c>
      <c r="K2151" t="s">
        <v>17</v>
      </c>
      <c r="L2151">
        <v>4674.3999999999996</v>
      </c>
      <c r="M2151" t="s">
        <v>5033</v>
      </c>
      <c r="N2151" t="s">
        <v>5034</v>
      </c>
    </row>
    <row r="2152" spans="1:14" x14ac:dyDescent="0.3">
      <c r="A2152" t="s">
        <v>2176</v>
      </c>
      <c r="B2152" t="s">
        <v>19</v>
      </c>
      <c r="C2152" t="s">
        <v>13</v>
      </c>
      <c r="D2152">
        <v>21</v>
      </c>
      <c r="E2152" t="s">
        <v>26</v>
      </c>
      <c r="F2152" t="s">
        <v>15</v>
      </c>
      <c r="G2152">
        <v>84.1</v>
      </c>
      <c r="H2152">
        <v>1737.45</v>
      </c>
      <c r="I2152" t="s">
        <v>15</v>
      </c>
      <c r="J2152" t="s">
        <v>16</v>
      </c>
      <c r="K2152" t="s">
        <v>17</v>
      </c>
      <c r="L2152">
        <v>1737.45</v>
      </c>
      <c r="M2152" t="s">
        <v>5032</v>
      </c>
      <c r="N2152" t="s">
        <v>5031</v>
      </c>
    </row>
    <row r="2153" spans="1:14" x14ac:dyDescent="0.3">
      <c r="A2153" t="s">
        <v>2177</v>
      </c>
      <c r="B2153" t="s">
        <v>19</v>
      </c>
      <c r="C2153" t="s">
        <v>35</v>
      </c>
      <c r="D2153">
        <v>68</v>
      </c>
      <c r="E2153" t="s">
        <v>15</v>
      </c>
      <c r="F2153" t="s">
        <v>36</v>
      </c>
      <c r="G2153">
        <v>24.15</v>
      </c>
      <c r="H2153">
        <v>1498.85</v>
      </c>
      <c r="I2153" t="s">
        <v>15</v>
      </c>
      <c r="J2153" t="s">
        <v>16</v>
      </c>
      <c r="K2153" t="s">
        <v>24</v>
      </c>
      <c r="L2153">
        <v>1498.85</v>
      </c>
      <c r="M2153" t="s">
        <v>5033</v>
      </c>
      <c r="N2153" t="s">
        <v>5031</v>
      </c>
    </row>
    <row r="2154" spans="1:14" x14ac:dyDescent="0.3">
      <c r="A2154" t="s">
        <v>2178</v>
      </c>
      <c r="B2154" t="s">
        <v>12</v>
      </c>
      <c r="C2154" t="s">
        <v>13</v>
      </c>
      <c r="D2154">
        <v>1</v>
      </c>
      <c r="E2154" t="s">
        <v>14</v>
      </c>
      <c r="F2154" t="s">
        <v>15</v>
      </c>
      <c r="G2154">
        <v>50.1</v>
      </c>
      <c r="H2154">
        <v>50.1</v>
      </c>
      <c r="I2154" t="s">
        <v>15</v>
      </c>
      <c r="J2154" t="s">
        <v>16</v>
      </c>
      <c r="K2154" t="s">
        <v>17</v>
      </c>
      <c r="L2154">
        <v>50.1</v>
      </c>
      <c r="M2154" t="s">
        <v>5030</v>
      </c>
      <c r="N2154" t="s">
        <v>5031</v>
      </c>
    </row>
    <row r="2155" spans="1:14" x14ac:dyDescent="0.3">
      <c r="A2155" t="s">
        <v>2179</v>
      </c>
      <c r="B2155" t="s">
        <v>12</v>
      </c>
      <c r="C2155" t="s">
        <v>13</v>
      </c>
      <c r="D2155">
        <v>25</v>
      </c>
      <c r="E2155" t="s">
        <v>26</v>
      </c>
      <c r="F2155" t="s">
        <v>15</v>
      </c>
      <c r="G2155">
        <v>74.599999999999994</v>
      </c>
      <c r="H2155">
        <v>1797.75</v>
      </c>
      <c r="I2155" t="s">
        <v>15</v>
      </c>
      <c r="J2155" t="s">
        <v>16</v>
      </c>
      <c r="K2155" t="s">
        <v>17</v>
      </c>
      <c r="L2155">
        <v>1797.75</v>
      </c>
      <c r="M2155" t="s">
        <v>5032</v>
      </c>
      <c r="N2155" t="s">
        <v>5031</v>
      </c>
    </row>
    <row r="2156" spans="1:14" x14ac:dyDescent="0.3">
      <c r="A2156" t="s">
        <v>2180</v>
      </c>
      <c r="B2156" t="s">
        <v>12</v>
      </c>
      <c r="C2156" t="s">
        <v>35</v>
      </c>
      <c r="D2156">
        <v>24</v>
      </c>
      <c r="E2156" t="s">
        <v>15</v>
      </c>
      <c r="F2156" t="s">
        <v>36</v>
      </c>
      <c r="G2156">
        <v>19.75</v>
      </c>
      <c r="H2156">
        <v>498.1</v>
      </c>
      <c r="I2156" t="s">
        <v>15</v>
      </c>
      <c r="J2156" t="s">
        <v>15</v>
      </c>
      <c r="K2156" t="s">
        <v>21</v>
      </c>
      <c r="L2156">
        <v>498.1</v>
      </c>
      <c r="M2156" t="s">
        <v>5032</v>
      </c>
      <c r="N2156" t="s">
        <v>5031</v>
      </c>
    </row>
    <row r="2157" spans="1:14" x14ac:dyDescent="0.3">
      <c r="A2157" t="s">
        <v>2181</v>
      </c>
      <c r="B2157" t="s">
        <v>12</v>
      </c>
      <c r="C2157" t="s">
        <v>13</v>
      </c>
      <c r="D2157">
        <v>30</v>
      </c>
      <c r="E2157" t="s">
        <v>26</v>
      </c>
      <c r="F2157" t="s">
        <v>15</v>
      </c>
      <c r="G2157">
        <v>85</v>
      </c>
      <c r="H2157">
        <v>2624.25</v>
      </c>
      <c r="I2157" t="s">
        <v>16</v>
      </c>
      <c r="J2157" t="s">
        <v>16</v>
      </c>
      <c r="K2157" t="s">
        <v>17</v>
      </c>
      <c r="L2157">
        <v>2624.25</v>
      </c>
      <c r="M2157" t="s">
        <v>5032</v>
      </c>
      <c r="N2157" t="s">
        <v>5034</v>
      </c>
    </row>
    <row r="2158" spans="1:14" x14ac:dyDescent="0.3">
      <c r="A2158" t="s">
        <v>2182</v>
      </c>
      <c r="B2158" t="s">
        <v>12</v>
      </c>
      <c r="C2158" t="s">
        <v>13</v>
      </c>
      <c r="D2158">
        <v>2</v>
      </c>
      <c r="E2158" t="s">
        <v>26</v>
      </c>
      <c r="F2158" t="s">
        <v>15</v>
      </c>
      <c r="G2158">
        <v>80.55</v>
      </c>
      <c r="H2158">
        <v>184.1</v>
      </c>
      <c r="I2158" t="s">
        <v>16</v>
      </c>
      <c r="J2158" t="s">
        <v>15</v>
      </c>
      <c r="K2158" t="s">
        <v>17</v>
      </c>
      <c r="L2158">
        <v>184.1</v>
      </c>
      <c r="M2158" t="s">
        <v>5030</v>
      </c>
      <c r="N2158" t="s">
        <v>5031</v>
      </c>
    </row>
    <row r="2159" spans="1:14" x14ac:dyDescent="0.3">
      <c r="A2159" t="s">
        <v>2183</v>
      </c>
      <c r="B2159" t="s">
        <v>19</v>
      </c>
      <c r="C2159" t="s">
        <v>20</v>
      </c>
      <c r="D2159">
        <v>51</v>
      </c>
      <c r="E2159" t="s">
        <v>26</v>
      </c>
      <c r="F2159" t="s">
        <v>15</v>
      </c>
      <c r="G2159">
        <v>106.8</v>
      </c>
      <c r="H2159">
        <v>5498.8</v>
      </c>
      <c r="I2159" t="s">
        <v>15</v>
      </c>
      <c r="J2159" t="s">
        <v>16</v>
      </c>
      <c r="K2159" t="s">
        <v>24</v>
      </c>
      <c r="L2159">
        <v>5498.8</v>
      </c>
      <c r="M2159" t="s">
        <v>5033</v>
      </c>
      <c r="N2159" t="s">
        <v>5034</v>
      </c>
    </row>
    <row r="2160" spans="1:14" x14ac:dyDescent="0.3">
      <c r="A2160" t="s">
        <v>2184</v>
      </c>
      <c r="B2160" t="s">
        <v>12</v>
      </c>
      <c r="C2160" t="s">
        <v>35</v>
      </c>
      <c r="D2160">
        <v>57</v>
      </c>
      <c r="E2160" t="s">
        <v>14</v>
      </c>
      <c r="F2160" t="s">
        <v>16</v>
      </c>
      <c r="G2160">
        <v>84.5</v>
      </c>
      <c r="H2160">
        <v>4845.3999999999996</v>
      </c>
      <c r="I2160" t="s">
        <v>15</v>
      </c>
      <c r="J2160" t="s">
        <v>16</v>
      </c>
      <c r="K2160" t="s">
        <v>17</v>
      </c>
      <c r="L2160">
        <v>4845.3999999999996</v>
      </c>
      <c r="M2160" t="s">
        <v>5033</v>
      </c>
      <c r="N2160" t="s">
        <v>5034</v>
      </c>
    </row>
    <row r="2161" spans="1:14" x14ac:dyDescent="0.3">
      <c r="A2161" t="s">
        <v>2185</v>
      </c>
      <c r="B2161" t="s">
        <v>12</v>
      </c>
      <c r="C2161" t="s">
        <v>35</v>
      </c>
      <c r="D2161">
        <v>15</v>
      </c>
      <c r="E2161" t="s">
        <v>15</v>
      </c>
      <c r="F2161" t="s">
        <v>36</v>
      </c>
      <c r="G2161">
        <v>25.05</v>
      </c>
      <c r="H2161">
        <v>369.1</v>
      </c>
      <c r="I2161" t="s">
        <v>15</v>
      </c>
      <c r="J2161" t="s">
        <v>15</v>
      </c>
      <c r="K2161" t="s">
        <v>24</v>
      </c>
      <c r="L2161">
        <v>369.1</v>
      </c>
      <c r="M2161" t="s">
        <v>5032</v>
      </c>
      <c r="N2161" t="s">
        <v>5031</v>
      </c>
    </row>
    <row r="2162" spans="1:14" x14ac:dyDescent="0.3">
      <c r="A2162" t="s">
        <v>2186</v>
      </c>
      <c r="B2162" t="s">
        <v>12</v>
      </c>
      <c r="C2162" t="s">
        <v>35</v>
      </c>
      <c r="D2162">
        <v>72</v>
      </c>
      <c r="E2162" t="s">
        <v>14</v>
      </c>
      <c r="F2162" t="s">
        <v>16</v>
      </c>
      <c r="G2162">
        <v>83.7</v>
      </c>
      <c r="H2162">
        <v>6096.9</v>
      </c>
      <c r="I2162" t="s">
        <v>15</v>
      </c>
      <c r="J2162" t="s">
        <v>16</v>
      </c>
      <c r="K2162" t="s">
        <v>24</v>
      </c>
      <c r="L2162">
        <v>6096.9</v>
      </c>
      <c r="M2162" t="s">
        <v>5033</v>
      </c>
      <c r="N2162" t="s">
        <v>5034</v>
      </c>
    </row>
    <row r="2163" spans="1:14" x14ac:dyDescent="0.3">
      <c r="A2163" t="s">
        <v>2187</v>
      </c>
      <c r="B2163" t="s">
        <v>12</v>
      </c>
      <c r="C2163" t="s">
        <v>13</v>
      </c>
      <c r="D2163">
        <v>2</v>
      </c>
      <c r="E2163" t="s">
        <v>26</v>
      </c>
      <c r="F2163" t="s">
        <v>15</v>
      </c>
      <c r="G2163">
        <v>75.8</v>
      </c>
      <c r="H2163">
        <v>160.75</v>
      </c>
      <c r="I2163" t="s">
        <v>16</v>
      </c>
      <c r="J2163" t="s">
        <v>16</v>
      </c>
      <c r="K2163" t="s">
        <v>17</v>
      </c>
      <c r="L2163">
        <v>160.75</v>
      </c>
      <c r="M2163" t="s">
        <v>5030</v>
      </c>
      <c r="N2163" t="s">
        <v>5031</v>
      </c>
    </row>
    <row r="2164" spans="1:14" x14ac:dyDescent="0.3">
      <c r="A2164" t="s">
        <v>2188</v>
      </c>
      <c r="B2164" t="s">
        <v>19</v>
      </c>
      <c r="C2164" t="s">
        <v>13</v>
      </c>
      <c r="D2164">
        <v>28</v>
      </c>
      <c r="E2164" t="s">
        <v>26</v>
      </c>
      <c r="F2164" t="s">
        <v>15</v>
      </c>
      <c r="G2164">
        <v>96.6</v>
      </c>
      <c r="H2164">
        <v>2684.35</v>
      </c>
      <c r="I2164" t="s">
        <v>15</v>
      </c>
      <c r="J2164" t="s">
        <v>15</v>
      </c>
      <c r="K2164" t="s">
        <v>29</v>
      </c>
      <c r="L2164">
        <v>2684.35</v>
      </c>
      <c r="M2164" t="s">
        <v>5032</v>
      </c>
      <c r="N2164" t="s">
        <v>5034</v>
      </c>
    </row>
    <row r="2165" spans="1:14" x14ac:dyDescent="0.3">
      <c r="A2165" t="s">
        <v>2189</v>
      </c>
      <c r="B2165" t="s">
        <v>19</v>
      </c>
      <c r="C2165" t="s">
        <v>13</v>
      </c>
      <c r="D2165">
        <v>29</v>
      </c>
      <c r="E2165" t="s">
        <v>26</v>
      </c>
      <c r="F2165" t="s">
        <v>15</v>
      </c>
      <c r="G2165">
        <v>98.5</v>
      </c>
      <c r="H2165">
        <v>3004.15</v>
      </c>
      <c r="I2165" t="s">
        <v>16</v>
      </c>
      <c r="J2165" t="s">
        <v>16</v>
      </c>
      <c r="K2165" t="s">
        <v>17</v>
      </c>
      <c r="L2165">
        <v>3004.15</v>
      </c>
      <c r="M2165" t="s">
        <v>5032</v>
      </c>
      <c r="N2165" t="s">
        <v>5034</v>
      </c>
    </row>
    <row r="2166" spans="1:14" x14ac:dyDescent="0.3">
      <c r="A2166" t="s">
        <v>2190</v>
      </c>
      <c r="B2166" t="s">
        <v>19</v>
      </c>
      <c r="C2166" t="s">
        <v>35</v>
      </c>
      <c r="D2166">
        <v>70</v>
      </c>
      <c r="E2166" t="s">
        <v>26</v>
      </c>
      <c r="F2166" t="s">
        <v>16</v>
      </c>
      <c r="G2166">
        <v>101.1</v>
      </c>
      <c r="H2166">
        <v>6994.8</v>
      </c>
      <c r="I2166" t="s">
        <v>15</v>
      </c>
      <c r="J2166" t="s">
        <v>16</v>
      </c>
      <c r="K2166" t="s">
        <v>29</v>
      </c>
      <c r="L2166">
        <v>6994.8</v>
      </c>
      <c r="M2166" t="s">
        <v>5033</v>
      </c>
      <c r="N2166" t="s">
        <v>5034</v>
      </c>
    </row>
    <row r="2167" spans="1:14" x14ac:dyDescent="0.3">
      <c r="A2167" t="s">
        <v>2191</v>
      </c>
      <c r="B2167" t="s">
        <v>12</v>
      </c>
      <c r="C2167" t="s">
        <v>20</v>
      </c>
      <c r="D2167">
        <v>13</v>
      </c>
      <c r="E2167" t="s">
        <v>15</v>
      </c>
      <c r="F2167" t="s">
        <v>36</v>
      </c>
      <c r="G2167">
        <v>20.2</v>
      </c>
      <c r="H2167">
        <v>273.25</v>
      </c>
      <c r="I2167" t="s">
        <v>15</v>
      </c>
      <c r="J2167" t="s">
        <v>15</v>
      </c>
      <c r="K2167" t="s">
        <v>21</v>
      </c>
      <c r="L2167">
        <v>273.25</v>
      </c>
      <c r="M2167" t="s">
        <v>5032</v>
      </c>
      <c r="N2167" t="s">
        <v>5031</v>
      </c>
    </row>
    <row r="2168" spans="1:14" x14ac:dyDescent="0.3">
      <c r="A2168" t="s">
        <v>2192</v>
      </c>
      <c r="B2168" t="s">
        <v>12</v>
      </c>
      <c r="C2168" t="s">
        <v>20</v>
      </c>
      <c r="D2168">
        <v>59</v>
      </c>
      <c r="E2168" t="s">
        <v>26</v>
      </c>
      <c r="F2168" t="s">
        <v>16</v>
      </c>
      <c r="G2168">
        <v>94.05</v>
      </c>
      <c r="H2168">
        <v>5483.9</v>
      </c>
      <c r="I2168" t="s">
        <v>15</v>
      </c>
      <c r="J2168" t="s">
        <v>16</v>
      </c>
      <c r="K2168" t="s">
        <v>17</v>
      </c>
      <c r="L2168">
        <v>5483.9</v>
      </c>
      <c r="M2168" t="s">
        <v>5033</v>
      </c>
      <c r="N2168" t="s">
        <v>5034</v>
      </c>
    </row>
    <row r="2169" spans="1:14" x14ac:dyDescent="0.3">
      <c r="A2169" t="s">
        <v>2193</v>
      </c>
      <c r="B2169" t="s">
        <v>19</v>
      </c>
      <c r="C2169" t="s">
        <v>13</v>
      </c>
      <c r="D2169">
        <v>13</v>
      </c>
      <c r="E2169" t="s">
        <v>26</v>
      </c>
      <c r="F2169" t="s">
        <v>15</v>
      </c>
      <c r="G2169">
        <v>95.25</v>
      </c>
      <c r="H2169">
        <v>1233.6500000000001</v>
      </c>
      <c r="I2169" t="s">
        <v>16</v>
      </c>
      <c r="J2169" t="s">
        <v>16</v>
      </c>
      <c r="K2169" t="s">
        <v>17</v>
      </c>
      <c r="L2169">
        <v>1233.6500000000001</v>
      </c>
      <c r="M2169" t="s">
        <v>5032</v>
      </c>
      <c r="N2169" t="s">
        <v>5031</v>
      </c>
    </row>
    <row r="2170" spans="1:14" x14ac:dyDescent="0.3">
      <c r="A2170" t="s">
        <v>2194</v>
      </c>
      <c r="B2170" t="s">
        <v>19</v>
      </c>
      <c r="C2170" t="s">
        <v>13</v>
      </c>
      <c r="D2170">
        <v>7</v>
      </c>
      <c r="E2170" t="s">
        <v>26</v>
      </c>
      <c r="F2170" t="s">
        <v>15</v>
      </c>
      <c r="G2170">
        <v>74.400000000000006</v>
      </c>
      <c r="H2170">
        <v>527.9</v>
      </c>
      <c r="I2170" t="s">
        <v>16</v>
      </c>
      <c r="J2170" t="s">
        <v>16</v>
      </c>
      <c r="K2170" t="s">
        <v>21</v>
      </c>
      <c r="L2170">
        <v>527.9</v>
      </c>
      <c r="M2170" t="s">
        <v>5030</v>
      </c>
      <c r="N2170" t="s">
        <v>5031</v>
      </c>
    </row>
    <row r="2171" spans="1:14" x14ac:dyDescent="0.3">
      <c r="A2171" t="s">
        <v>2195</v>
      </c>
      <c r="B2171" t="s">
        <v>12</v>
      </c>
      <c r="C2171" t="s">
        <v>35</v>
      </c>
      <c r="D2171">
        <v>62</v>
      </c>
      <c r="E2171" t="s">
        <v>14</v>
      </c>
      <c r="F2171" t="s">
        <v>16</v>
      </c>
      <c r="G2171">
        <v>81</v>
      </c>
      <c r="H2171">
        <v>4985.8999999999996</v>
      </c>
      <c r="I2171" t="s">
        <v>15</v>
      </c>
      <c r="J2171" t="s">
        <v>15</v>
      </c>
      <c r="K2171" t="s">
        <v>21</v>
      </c>
      <c r="L2171">
        <v>4985.8999999999996</v>
      </c>
      <c r="M2171" t="s">
        <v>5033</v>
      </c>
      <c r="N2171" t="s">
        <v>5034</v>
      </c>
    </row>
    <row r="2172" spans="1:14" x14ac:dyDescent="0.3">
      <c r="A2172" t="s">
        <v>2196</v>
      </c>
      <c r="B2172" t="s">
        <v>12</v>
      </c>
      <c r="C2172" t="s">
        <v>20</v>
      </c>
      <c r="D2172">
        <v>21</v>
      </c>
      <c r="E2172" t="s">
        <v>14</v>
      </c>
      <c r="F2172" t="s">
        <v>16</v>
      </c>
      <c r="G2172">
        <v>60.25</v>
      </c>
      <c r="H2172">
        <v>1258.3499999999999</v>
      </c>
      <c r="I2172" t="s">
        <v>15</v>
      </c>
      <c r="J2172" t="s">
        <v>16</v>
      </c>
      <c r="K2172" t="s">
        <v>17</v>
      </c>
      <c r="L2172">
        <v>1258.3499999999999</v>
      </c>
      <c r="M2172" t="s">
        <v>5032</v>
      </c>
      <c r="N2172" t="s">
        <v>5031</v>
      </c>
    </row>
    <row r="2173" spans="1:14" x14ac:dyDescent="0.3">
      <c r="A2173" t="s">
        <v>2197</v>
      </c>
      <c r="B2173" t="s">
        <v>12</v>
      </c>
      <c r="C2173" t="s">
        <v>13</v>
      </c>
      <c r="D2173">
        <v>2</v>
      </c>
      <c r="E2173" t="s">
        <v>14</v>
      </c>
      <c r="F2173" t="s">
        <v>15</v>
      </c>
      <c r="G2173">
        <v>60.85</v>
      </c>
      <c r="H2173">
        <v>111.4</v>
      </c>
      <c r="I2173" t="s">
        <v>15</v>
      </c>
      <c r="J2173" t="s">
        <v>15</v>
      </c>
      <c r="K2173" t="s">
        <v>17</v>
      </c>
      <c r="L2173">
        <v>111.4</v>
      </c>
      <c r="M2173" t="s">
        <v>5030</v>
      </c>
      <c r="N2173" t="s">
        <v>5031</v>
      </c>
    </row>
    <row r="2174" spans="1:14" x14ac:dyDescent="0.3">
      <c r="A2174" t="s">
        <v>2198</v>
      </c>
      <c r="B2174" t="s">
        <v>12</v>
      </c>
      <c r="C2174" t="s">
        <v>13</v>
      </c>
      <c r="D2174">
        <v>1</v>
      </c>
      <c r="E2174" t="s">
        <v>14</v>
      </c>
      <c r="F2174" t="s">
        <v>15</v>
      </c>
      <c r="G2174">
        <v>43.95</v>
      </c>
      <c r="H2174">
        <v>43.95</v>
      </c>
      <c r="I2174" t="s">
        <v>15</v>
      </c>
      <c r="J2174" t="s">
        <v>15</v>
      </c>
      <c r="K2174" t="s">
        <v>29</v>
      </c>
      <c r="L2174">
        <v>43.95</v>
      </c>
      <c r="M2174" t="s">
        <v>5030</v>
      </c>
      <c r="N2174" t="s">
        <v>5031</v>
      </c>
    </row>
    <row r="2175" spans="1:14" x14ac:dyDescent="0.3">
      <c r="A2175" t="s">
        <v>2199</v>
      </c>
      <c r="B2175" t="s">
        <v>19</v>
      </c>
      <c r="C2175" t="s">
        <v>13</v>
      </c>
      <c r="D2175">
        <v>4</v>
      </c>
      <c r="E2175" t="s">
        <v>26</v>
      </c>
      <c r="F2175" t="s">
        <v>15</v>
      </c>
      <c r="G2175">
        <v>86.05</v>
      </c>
      <c r="H2175">
        <v>308.10000000000002</v>
      </c>
      <c r="I2175" t="s">
        <v>15</v>
      </c>
      <c r="J2175" t="s">
        <v>15</v>
      </c>
      <c r="K2175" t="s">
        <v>17</v>
      </c>
      <c r="L2175">
        <v>308.10000000000002</v>
      </c>
      <c r="M2175" t="s">
        <v>5030</v>
      </c>
      <c r="N2175" t="s">
        <v>5031</v>
      </c>
    </row>
    <row r="2176" spans="1:14" x14ac:dyDescent="0.3">
      <c r="A2176" t="s">
        <v>2200</v>
      </c>
      <c r="B2176" t="s">
        <v>12</v>
      </c>
      <c r="C2176" t="s">
        <v>20</v>
      </c>
      <c r="D2176">
        <v>19</v>
      </c>
      <c r="E2176" t="s">
        <v>15</v>
      </c>
      <c r="F2176" t="s">
        <v>36</v>
      </c>
      <c r="G2176">
        <v>20.25</v>
      </c>
      <c r="H2176">
        <v>383.65</v>
      </c>
      <c r="I2176" t="s">
        <v>15</v>
      </c>
      <c r="J2176" t="s">
        <v>15</v>
      </c>
      <c r="K2176" t="s">
        <v>29</v>
      </c>
      <c r="L2176">
        <v>383.65</v>
      </c>
      <c r="M2176" t="s">
        <v>5032</v>
      </c>
      <c r="N2176" t="s">
        <v>5031</v>
      </c>
    </row>
    <row r="2177" spans="1:14" x14ac:dyDescent="0.3">
      <c r="A2177" t="s">
        <v>2201</v>
      </c>
      <c r="B2177" t="s">
        <v>12</v>
      </c>
      <c r="C2177" t="s">
        <v>13</v>
      </c>
      <c r="D2177">
        <v>30</v>
      </c>
      <c r="E2177" t="s">
        <v>26</v>
      </c>
      <c r="F2177" t="s">
        <v>16</v>
      </c>
      <c r="G2177">
        <v>85.15</v>
      </c>
      <c r="H2177">
        <v>2555.9</v>
      </c>
      <c r="I2177" t="s">
        <v>16</v>
      </c>
      <c r="J2177" t="s">
        <v>15</v>
      </c>
      <c r="K2177" t="s">
        <v>17</v>
      </c>
      <c r="L2177">
        <v>2555.9</v>
      </c>
      <c r="M2177" t="s">
        <v>5032</v>
      </c>
      <c r="N2177" t="s">
        <v>5034</v>
      </c>
    </row>
    <row r="2178" spans="1:14" x14ac:dyDescent="0.3">
      <c r="A2178" t="s">
        <v>2202</v>
      </c>
      <c r="B2178" t="s">
        <v>19</v>
      </c>
      <c r="C2178" t="s">
        <v>35</v>
      </c>
      <c r="D2178">
        <v>67</v>
      </c>
      <c r="E2178" t="s">
        <v>15</v>
      </c>
      <c r="F2178" t="s">
        <v>36</v>
      </c>
      <c r="G2178">
        <v>19.399999999999999</v>
      </c>
      <c r="H2178">
        <v>1284.2</v>
      </c>
      <c r="I2178" t="s">
        <v>15</v>
      </c>
      <c r="J2178" t="s">
        <v>16</v>
      </c>
      <c r="K2178" t="s">
        <v>29</v>
      </c>
      <c r="L2178">
        <v>1284.2</v>
      </c>
      <c r="M2178" t="s">
        <v>5033</v>
      </c>
      <c r="N2178" t="s">
        <v>5031</v>
      </c>
    </row>
    <row r="2179" spans="1:14" x14ac:dyDescent="0.3">
      <c r="A2179" t="s">
        <v>2203</v>
      </c>
      <c r="B2179" t="s">
        <v>19</v>
      </c>
      <c r="C2179" t="s">
        <v>35</v>
      </c>
      <c r="D2179">
        <v>72</v>
      </c>
      <c r="E2179" t="s">
        <v>26</v>
      </c>
      <c r="F2179" t="s">
        <v>15</v>
      </c>
      <c r="G2179">
        <v>102.65</v>
      </c>
      <c r="H2179">
        <v>7550.3</v>
      </c>
      <c r="I2179" t="s">
        <v>15</v>
      </c>
      <c r="J2179" t="s">
        <v>16</v>
      </c>
      <c r="K2179" t="s">
        <v>29</v>
      </c>
      <c r="L2179">
        <v>7550.3</v>
      </c>
      <c r="M2179" t="s">
        <v>5033</v>
      </c>
      <c r="N2179" t="s">
        <v>5034</v>
      </c>
    </row>
    <row r="2180" spans="1:14" x14ac:dyDescent="0.3">
      <c r="A2180" t="s">
        <v>2204</v>
      </c>
      <c r="B2180" t="s">
        <v>19</v>
      </c>
      <c r="C2180" t="s">
        <v>35</v>
      </c>
      <c r="D2180">
        <v>53</v>
      </c>
      <c r="E2180" t="s">
        <v>15</v>
      </c>
      <c r="F2180" t="s">
        <v>36</v>
      </c>
      <c r="G2180">
        <v>19.899999999999999</v>
      </c>
      <c r="H2180">
        <v>1110.05</v>
      </c>
      <c r="I2180" t="s">
        <v>15</v>
      </c>
      <c r="J2180" t="s">
        <v>15</v>
      </c>
      <c r="K2180" t="s">
        <v>29</v>
      </c>
      <c r="L2180">
        <v>1110.05</v>
      </c>
      <c r="M2180" t="s">
        <v>5033</v>
      </c>
      <c r="N2180" t="s">
        <v>5031</v>
      </c>
    </row>
    <row r="2181" spans="1:14" x14ac:dyDescent="0.3">
      <c r="A2181" t="s">
        <v>2205</v>
      </c>
      <c r="B2181" t="s">
        <v>12</v>
      </c>
      <c r="C2181" t="s">
        <v>20</v>
      </c>
      <c r="D2181">
        <v>5</v>
      </c>
      <c r="E2181" t="s">
        <v>15</v>
      </c>
      <c r="F2181" t="s">
        <v>36</v>
      </c>
      <c r="G2181">
        <v>19.55</v>
      </c>
      <c r="H2181">
        <v>99.6</v>
      </c>
      <c r="I2181" t="s">
        <v>15</v>
      </c>
      <c r="J2181" t="s">
        <v>15</v>
      </c>
      <c r="K2181" t="s">
        <v>17</v>
      </c>
      <c r="L2181">
        <v>99.6</v>
      </c>
      <c r="M2181" t="s">
        <v>5030</v>
      </c>
      <c r="N2181" t="s">
        <v>5031</v>
      </c>
    </row>
    <row r="2182" spans="1:14" x14ac:dyDescent="0.3">
      <c r="A2182" t="s">
        <v>2206</v>
      </c>
      <c r="B2182" t="s">
        <v>19</v>
      </c>
      <c r="C2182" t="s">
        <v>35</v>
      </c>
      <c r="D2182">
        <v>71</v>
      </c>
      <c r="E2182" t="s">
        <v>26</v>
      </c>
      <c r="F2182" t="s">
        <v>16</v>
      </c>
      <c r="G2182">
        <v>95.5</v>
      </c>
      <c r="H2182">
        <v>6707.15</v>
      </c>
      <c r="I2182" t="s">
        <v>15</v>
      </c>
      <c r="J2182" t="s">
        <v>16</v>
      </c>
      <c r="K2182" t="s">
        <v>29</v>
      </c>
      <c r="L2182">
        <v>6707.15</v>
      </c>
      <c r="M2182" t="s">
        <v>5033</v>
      </c>
      <c r="N2182" t="s">
        <v>5034</v>
      </c>
    </row>
    <row r="2183" spans="1:14" x14ac:dyDescent="0.3">
      <c r="A2183" t="s">
        <v>2207</v>
      </c>
      <c r="B2183" t="s">
        <v>12</v>
      </c>
      <c r="C2183" t="s">
        <v>20</v>
      </c>
      <c r="D2183">
        <v>50</v>
      </c>
      <c r="E2183" t="s">
        <v>14</v>
      </c>
      <c r="F2183" t="s">
        <v>16</v>
      </c>
      <c r="G2183">
        <v>84.15</v>
      </c>
      <c r="H2183">
        <v>4164.3999999999996</v>
      </c>
      <c r="I2183" t="s">
        <v>15</v>
      </c>
      <c r="J2183" t="s">
        <v>16</v>
      </c>
      <c r="K2183" t="s">
        <v>29</v>
      </c>
      <c r="L2183">
        <v>4164.3999999999996</v>
      </c>
      <c r="M2183" t="s">
        <v>5033</v>
      </c>
      <c r="N2183" t="s">
        <v>5034</v>
      </c>
    </row>
    <row r="2184" spans="1:14" x14ac:dyDescent="0.3">
      <c r="A2184" t="s">
        <v>2208</v>
      </c>
      <c r="B2184" t="s">
        <v>19</v>
      </c>
      <c r="C2184" t="s">
        <v>35</v>
      </c>
      <c r="D2184">
        <v>56</v>
      </c>
      <c r="E2184" t="s">
        <v>26</v>
      </c>
      <c r="F2184" t="s">
        <v>16</v>
      </c>
      <c r="G2184">
        <v>103.2</v>
      </c>
      <c r="H2184">
        <v>5873.75</v>
      </c>
      <c r="I2184" t="s">
        <v>15</v>
      </c>
      <c r="J2184" t="s">
        <v>16</v>
      </c>
      <c r="K2184" t="s">
        <v>17</v>
      </c>
      <c r="L2184">
        <v>5873.75</v>
      </c>
      <c r="M2184" t="s">
        <v>5033</v>
      </c>
      <c r="N2184" t="s">
        <v>5034</v>
      </c>
    </row>
    <row r="2185" spans="1:14" x14ac:dyDescent="0.3">
      <c r="A2185" t="s">
        <v>2209</v>
      </c>
      <c r="B2185" t="s">
        <v>19</v>
      </c>
      <c r="C2185" t="s">
        <v>13</v>
      </c>
      <c r="D2185">
        <v>2</v>
      </c>
      <c r="E2185" t="s">
        <v>14</v>
      </c>
      <c r="F2185" t="s">
        <v>16</v>
      </c>
      <c r="G2185">
        <v>50.2</v>
      </c>
      <c r="H2185">
        <v>109.25</v>
      </c>
      <c r="I2185" t="s">
        <v>15</v>
      </c>
      <c r="J2185" t="s">
        <v>16</v>
      </c>
      <c r="K2185" t="s">
        <v>29</v>
      </c>
      <c r="L2185">
        <v>109.25</v>
      </c>
      <c r="M2185" t="s">
        <v>5030</v>
      </c>
      <c r="N2185" t="s">
        <v>5031</v>
      </c>
    </row>
    <row r="2186" spans="1:14" x14ac:dyDescent="0.3">
      <c r="A2186" t="s">
        <v>2210</v>
      </c>
      <c r="B2186" t="s">
        <v>12</v>
      </c>
      <c r="C2186" t="s">
        <v>13</v>
      </c>
      <c r="D2186">
        <v>2</v>
      </c>
      <c r="E2186" t="s">
        <v>26</v>
      </c>
      <c r="F2186" t="s">
        <v>15</v>
      </c>
      <c r="G2186">
        <v>88.55</v>
      </c>
      <c r="H2186">
        <v>179.25</v>
      </c>
      <c r="I2186" t="s">
        <v>16</v>
      </c>
      <c r="J2186" t="s">
        <v>16</v>
      </c>
      <c r="K2186" t="s">
        <v>17</v>
      </c>
      <c r="L2186">
        <v>179.25</v>
      </c>
      <c r="M2186" t="s">
        <v>5030</v>
      </c>
      <c r="N2186" t="s">
        <v>5031</v>
      </c>
    </row>
    <row r="2187" spans="1:14" x14ac:dyDescent="0.3">
      <c r="A2187" t="s">
        <v>2211</v>
      </c>
      <c r="B2187" t="s">
        <v>19</v>
      </c>
      <c r="C2187" t="s">
        <v>13</v>
      </c>
      <c r="D2187">
        <v>24</v>
      </c>
      <c r="E2187" t="s">
        <v>14</v>
      </c>
      <c r="F2187" t="s">
        <v>15</v>
      </c>
      <c r="G2187">
        <v>54.75</v>
      </c>
      <c r="H2187">
        <v>1338.15</v>
      </c>
      <c r="I2187" t="s">
        <v>16</v>
      </c>
      <c r="J2187" t="s">
        <v>15</v>
      </c>
      <c r="K2187" t="s">
        <v>17</v>
      </c>
      <c r="L2187">
        <v>1338.15</v>
      </c>
      <c r="M2187" t="s">
        <v>5032</v>
      </c>
      <c r="N2187" t="s">
        <v>5031</v>
      </c>
    </row>
    <row r="2188" spans="1:14" x14ac:dyDescent="0.3">
      <c r="A2188" t="s">
        <v>2212</v>
      </c>
      <c r="B2188" t="s">
        <v>19</v>
      </c>
      <c r="C2188" t="s">
        <v>35</v>
      </c>
      <c r="D2188">
        <v>46</v>
      </c>
      <c r="E2188" t="s">
        <v>15</v>
      </c>
      <c r="F2188" t="s">
        <v>36</v>
      </c>
      <c r="G2188">
        <v>19.95</v>
      </c>
      <c r="H2188">
        <v>862.4</v>
      </c>
      <c r="I2188" t="s">
        <v>15</v>
      </c>
      <c r="J2188" t="s">
        <v>15</v>
      </c>
      <c r="K2188" t="s">
        <v>29</v>
      </c>
      <c r="L2188">
        <v>862.4</v>
      </c>
      <c r="M2188" t="s">
        <v>5033</v>
      </c>
      <c r="N2188" t="s">
        <v>5031</v>
      </c>
    </row>
    <row r="2189" spans="1:14" x14ac:dyDescent="0.3">
      <c r="A2189" t="s">
        <v>2213</v>
      </c>
      <c r="B2189" t="s">
        <v>19</v>
      </c>
      <c r="C2189" t="s">
        <v>35</v>
      </c>
      <c r="D2189">
        <v>71</v>
      </c>
      <c r="E2189" t="s">
        <v>26</v>
      </c>
      <c r="F2189" t="s">
        <v>16</v>
      </c>
      <c r="G2189">
        <v>116.25</v>
      </c>
      <c r="H2189">
        <v>8564.75</v>
      </c>
      <c r="I2189" t="s">
        <v>15</v>
      </c>
      <c r="J2189" t="s">
        <v>16</v>
      </c>
      <c r="K2189" t="s">
        <v>17</v>
      </c>
      <c r="L2189">
        <v>8564.75</v>
      </c>
      <c r="M2189" t="s">
        <v>5033</v>
      </c>
      <c r="N2189" t="s">
        <v>5034</v>
      </c>
    </row>
    <row r="2190" spans="1:14" x14ac:dyDescent="0.3">
      <c r="A2190" t="s">
        <v>2214</v>
      </c>
      <c r="B2190" t="s">
        <v>12</v>
      </c>
      <c r="C2190" t="s">
        <v>13</v>
      </c>
      <c r="D2190">
        <v>29</v>
      </c>
      <c r="E2190" t="s">
        <v>14</v>
      </c>
      <c r="F2190" t="s">
        <v>16</v>
      </c>
      <c r="G2190">
        <v>31.2</v>
      </c>
      <c r="H2190">
        <v>926.2</v>
      </c>
      <c r="I2190" t="s">
        <v>15</v>
      </c>
      <c r="J2190" t="s">
        <v>16</v>
      </c>
      <c r="K2190" t="s">
        <v>17</v>
      </c>
      <c r="L2190">
        <v>926.2</v>
      </c>
      <c r="M2190" t="s">
        <v>5032</v>
      </c>
      <c r="N2190" t="s">
        <v>5031</v>
      </c>
    </row>
    <row r="2191" spans="1:14" x14ac:dyDescent="0.3">
      <c r="A2191" t="s">
        <v>2215</v>
      </c>
      <c r="B2191" t="s">
        <v>19</v>
      </c>
      <c r="C2191" t="s">
        <v>35</v>
      </c>
      <c r="D2191">
        <v>69</v>
      </c>
      <c r="E2191" t="s">
        <v>15</v>
      </c>
      <c r="F2191" t="s">
        <v>36</v>
      </c>
      <c r="G2191">
        <v>24.45</v>
      </c>
      <c r="H2191">
        <v>1718.2</v>
      </c>
      <c r="I2191" t="s">
        <v>15</v>
      </c>
      <c r="J2191" t="s">
        <v>15</v>
      </c>
      <c r="K2191" t="s">
        <v>24</v>
      </c>
      <c r="L2191">
        <v>1718.2</v>
      </c>
      <c r="M2191" t="s">
        <v>5033</v>
      </c>
      <c r="N2191" t="s">
        <v>5031</v>
      </c>
    </row>
    <row r="2192" spans="1:14" x14ac:dyDescent="0.3">
      <c r="A2192" t="s">
        <v>2216</v>
      </c>
      <c r="B2192" t="s">
        <v>19</v>
      </c>
      <c r="C2192" t="s">
        <v>35</v>
      </c>
      <c r="D2192">
        <v>71</v>
      </c>
      <c r="E2192" t="s">
        <v>14</v>
      </c>
      <c r="F2192" t="s">
        <v>16</v>
      </c>
      <c r="G2192">
        <v>84.2</v>
      </c>
      <c r="H2192">
        <v>5956.85</v>
      </c>
      <c r="I2192" t="s">
        <v>15</v>
      </c>
      <c r="J2192" t="s">
        <v>15</v>
      </c>
      <c r="K2192" t="s">
        <v>29</v>
      </c>
      <c r="L2192">
        <v>5956.85</v>
      </c>
      <c r="M2192" t="s">
        <v>5033</v>
      </c>
      <c r="N2192" t="s">
        <v>5034</v>
      </c>
    </row>
    <row r="2193" spans="1:14" x14ac:dyDescent="0.3">
      <c r="A2193" t="s">
        <v>2217</v>
      </c>
      <c r="B2193" t="s">
        <v>12</v>
      </c>
      <c r="C2193" t="s">
        <v>13</v>
      </c>
      <c r="D2193">
        <v>1</v>
      </c>
      <c r="E2193" t="s">
        <v>26</v>
      </c>
      <c r="F2193" t="s">
        <v>15</v>
      </c>
      <c r="G2193">
        <v>91.3</v>
      </c>
      <c r="H2193">
        <v>91.3</v>
      </c>
      <c r="I2193" t="s">
        <v>16</v>
      </c>
      <c r="J2193" t="s">
        <v>16</v>
      </c>
      <c r="K2193" t="s">
        <v>17</v>
      </c>
      <c r="L2193">
        <v>91.3</v>
      </c>
      <c r="M2193" t="s">
        <v>5030</v>
      </c>
      <c r="N2193" t="s">
        <v>5031</v>
      </c>
    </row>
    <row r="2194" spans="1:14" x14ac:dyDescent="0.3">
      <c r="A2194" t="s">
        <v>2218</v>
      </c>
      <c r="B2194" t="s">
        <v>19</v>
      </c>
      <c r="C2194" t="s">
        <v>35</v>
      </c>
      <c r="D2194">
        <v>56</v>
      </c>
      <c r="E2194" t="s">
        <v>14</v>
      </c>
      <c r="F2194" t="s">
        <v>16</v>
      </c>
      <c r="G2194">
        <v>85.65</v>
      </c>
      <c r="H2194">
        <v>4824.45</v>
      </c>
      <c r="I2194" t="s">
        <v>15</v>
      </c>
      <c r="J2194" t="s">
        <v>16</v>
      </c>
      <c r="K2194" t="s">
        <v>24</v>
      </c>
      <c r="L2194">
        <v>4824.45</v>
      </c>
      <c r="M2194" t="s">
        <v>5033</v>
      </c>
      <c r="N2194" t="s">
        <v>5034</v>
      </c>
    </row>
    <row r="2195" spans="1:14" x14ac:dyDescent="0.3">
      <c r="A2195" t="s">
        <v>2219</v>
      </c>
      <c r="B2195" t="s">
        <v>19</v>
      </c>
      <c r="C2195" t="s">
        <v>20</v>
      </c>
      <c r="D2195">
        <v>56</v>
      </c>
      <c r="E2195" t="s">
        <v>15</v>
      </c>
      <c r="F2195" t="s">
        <v>36</v>
      </c>
      <c r="G2195">
        <v>21.2</v>
      </c>
      <c r="H2195">
        <v>1238.6500000000001</v>
      </c>
      <c r="I2195" t="s">
        <v>15</v>
      </c>
      <c r="J2195" t="s">
        <v>16</v>
      </c>
      <c r="K2195" t="s">
        <v>21</v>
      </c>
      <c r="L2195">
        <v>1238.6500000000001</v>
      </c>
      <c r="M2195" t="s">
        <v>5033</v>
      </c>
      <c r="N2195" t="s">
        <v>5031</v>
      </c>
    </row>
    <row r="2196" spans="1:14" x14ac:dyDescent="0.3">
      <c r="A2196" t="s">
        <v>2220</v>
      </c>
      <c r="B2196" t="s">
        <v>19</v>
      </c>
      <c r="C2196" t="s">
        <v>13</v>
      </c>
      <c r="D2196">
        <v>1</v>
      </c>
      <c r="E2196" t="s">
        <v>26</v>
      </c>
      <c r="F2196" t="s">
        <v>15</v>
      </c>
      <c r="G2196">
        <v>79.5</v>
      </c>
      <c r="H2196">
        <v>79.5</v>
      </c>
      <c r="I2196" t="s">
        <v>16</v>
      </c>
      <c r="J2196" t="s">
        <v>16</v>
      </c>
      <c r="K2196" t="s">
        <v>17</v>
      </c>
      <c r="L2196">
        <v>79.5</v>
      </c>
      <c r="M2196" t="s">
        <v>5030</v>
      </c>
      <c r="N2196" t="s">
        <v>5031</v>
      </c>
    </row>
    <row r="2197" spans="1:14" x14ac:dyDescent="0.3">
      <c r="A2197" t="s">
        <v>2221</v>
      </c>
      <c r="B2197" t="s">
        <v>12</v>
      </c>
      <c r="C2197" t="s">
        <v>20</v>
      </c>
      <c r="D2197">
        <v>28</v>
      </c>
      <c r="E2197" t="s">
        <v>15</v>
      </c>
      <c r="F2197" t="s">
        <v>36</v>
      </c>
      <c r="G2197">
        <v>25.55</v>
      </c>
      <c r="H2197">
        <v>672.2</v>
      </c>
      <c r="I2197" t="s">
        <v>15</v>
      </c>
      <c r="J2197" t="s">
        <v>15</v>
      </c>
      <c r="K2197" t="s">
        <v>21</v>
      </c>
      <c r="L2197">
        <v>672.2</v>
      </c>
      <c r="M2197" t="s">
        <v>5032</v>
      </c>
      <c r="N2197" t="s">
        <v>5031</v>
      </c>
    </row>
    <row r="2198" spans="1:14" x14ac:dyDescent="0.3">
      <c r="A2198" t="s">
        <v>2222</v>
      </c>
      <c r="B2198" t="s">
        <v>12</v>
      </c>
      <c r="C2198" t="s">
        <v>13</v>
      </c>
      <c r="D2198">
        <v>19</v>
      </c>
      <c r="E2198" t="s">
        <v>15</v>
      </c>
      <c r="F2198" t="s">
        <v>36</v>
      </c>
      <c r="G2198">
        <v>20.2</v>
      </c>
      <c r="H2198">
        <v>382.2</v>
      </c>
      <c r="I2198" t="s">
        <v>15</v>
      </c>
      <c r="J2198" t="s">
        <v>15</v>
      </c>
      <c r="K2198" t="s">
        <v>21</v>
      </c>
      <c r="L2198">
        <v>382.2</v>
      </c>
      <c r="M2198" t="s">
        <v>5032</v>
      </c>
      <c r="N2198" t="s">
        <v>5031</v>
      </c>
    </row>
    <row r="2199" spans="1:14" x14ac:dyDescent="0.3">
      <c r="A2199" t="s">
        <v>2223</v>
      </c>
      <c r="B2199" t="s">
        <v>19</v>
      </c>
      <c r="C2199" t="s">
        <v>13</v>
      </c>
      <c r="D2199">
        <v>66</v>
      </c>
      <c r="E2199" t="s">
        <v>14</v>
      </c>
      <c r="F2199" t="s">
        <v>16</v>
      </c>
      <c r="G2199">
        <v>63.85</v>
      </c>
      <c r="H2199">
        <v>4264.6000000000004</v>
      </c>
      <c r="I2199" t="s">
        <v>15</v>
      </c>
      <c r="J2199" t="s">
        <v>15</v>
      </c>
      <c r="K2199" t="s">
        <v>17</v>
      </c>
      <c r="L2199">
        <v>4264.6000000000004</v>
      </c>
      <c r="M2199" t="s">
        <v>5033</v>
      </c>
      <c r="N2199" t="s">
        <v>5034</v>
      </c>
    </row>
    <row r="2200" spans="1:14" x14ac:dyDescent="0.3">
      <c r="A2200" t="s">
        <v>2224</v>
      </c>
      <c r="B2200" t="s">
        <v>12</v>
      </c>
      <c r="C2200" t="s">
        <v>20</v>
      </c>
      <c r="D2200">
        <v>17</v>
      </c>
      <c r="E2200" t="s">
        <v>14</v>
      </c>
      <c r="F2200" t="s">
        <v>16</v>
      </c>
      <c r="G2200">
        <v>61.95</v>
      </c>
      <c r="H2200">
        <v>1070.7</v>
      </c>
      <c r="I2200" t="s">
        <v>15</v>
      </c>
      <c r="J2200" t="s">
        <v>16</v>
      </c>
      <c r="K2200" t="s">
        <v>21</v>
      </c>
      <c r="L2200">
        <v>1070.7</v>
      </c>
      <c r="M2200" t="s">
        <v>5032</v>
      </c>
      <c r="N2200" t="s">
        <v>5031</v>
      </c>
    </row>
    <row r="2201" spans="1:14" x14ac:dyDescent="0.3">
      <c r="A2201" t="s">
        <v>2225</v>
      </c>
      <c r="B2201" t="s">
        <v>19</v>
      </c>
      <c r="C2201" t="s">
        <v>35</v>
      </c>
      <c r="D2201">
        <v>52</v>
      </c>
      <c r="E2201" t="s">
        <v>15</v>
      </c>
      <c r="F2201" t="s">
        <v>36</v>
      </c>
      <c r="G2201">
        <v>25.75</v>
      </c>
      <c r="H2201">
        <v>1345.85</v>
      </c>
      <c r="I2201" t="s">
        <v>15</v>
      </c>
      <c r="J2201" t="s">
        <v>15</v>
      </c>
      <c r="K2201" t="s">
        <v>21</v>
      </c>
      <c r="L2201">
        <v>1345.85</v>
      </c>
      <c r="M2201" t="s">
        <v>5033</v>
      </c>
      <c r="N2201" t="s">
        <v>5031</v>
      </c>
    </row>
    <row r="2202" spans="1:14" x14ac:dyDescent="0.3">
      <c r="A2202" t="s">
        <v>2226</v>
      </c>
      <c r="B2202" t="s">
        <v>12</v>
      </c>
      <c r="C2202" t="s">
        <v>20</v>
      </c>
      <c r="D2202">
        <v>19</v>
      </c>
      <c r="E2202" t="s">
        <v>14</v>
      </c>
      <c r="F2202" t="s">
        <v>15</v>
      </c>
      <c r="G2202">
        <v>58.2</v>
      </c>
      <c r="H2202">
        <v>1045.25</v>
      </c>
      <c r="I2202" t="s">
        <v>15</v>
      </c>
      <c r="J2202" t="s">
        <v>15</v>
      </c>
      <c r="K2202" t="s">
        <v>17</v>
      </c>
      <c r="L2202">
        <v>1045.25</v>
      </c>
      <c r="M2202" t="s">
        <v>5032</v>
      </c>
      <c r="N2202" t="s">
        <v>5031</v>
      </c>
    </row>
    <row r="2203" spans="1:14" x14ac:dyDescent="0.3">
      <c r="A2203" t="s">
        <v>2227</v>
      </c>
      <c r="B2203" t="s">
        <v>12</v>
      </c>
      <c r="C2203" t="s">
        <v>20</v>
      </c>
      <c r="D2203">
        <v>36</v>
      </c>
      <c r="E2203" t="s">
        <v>14</v>
      </c>
      <c r="F2203" t="s">
        <v>16</v>
      </c>
      <c r="G2203">
        <v>85.85</v>
      </c>
      <c r="H2203">
        <v>3003.55</v>
      </c>
      <c r="I2203" t="s">
        <v>15</v>
      </c>
      <c r="J2203" t="s">
        <v>15</v>
      </c>
      <c r="K2203" t="s">
        <v>24</v>
      </c>
      <c r="L2203">
        <v>3003.55</v>
      </c>
      <c r="M2203" t="s">
        <v>5032</v>
      </c>
      <c r="N2203" t="s">
        <v>5034</v>
      </c>
    </row>
    <row r="2204" spans="1:14" x14ac:dyDescent="0.3">
      <c r="A2204" t="s">
        <v>2228</v>
      </c>
      <c r="B2204" t="s">
        <v>19</v>
      </c>
      <c r="C2204" t="s">
        <v>13</v>
      </c>
      <c r="D2204">
        <v>7</v>
      </c>
      <c r="E2204" t="s">
        <v>26</v>
      </c>
      <c r="F2204" t="s">
        <v>15</v>
      </c>
      <c r="G2204">
        <v>70.099999999999994</v>
      </c>
      <c r="H2204">
        <v>467.55</v>
      </c>
      <c r="I2204" t="s">
        <v>16</v>
      </c>
      <c r="J2204" t="s">
        <v>16</v>
      </c>
      <c r="K2204" t="s">
        <v>21</v>
      </c>
      <c r="L2204">
        <v>467.55</v>
      </c>
      <c r="M2204" t="s">
        <v>5030</v>
      </c>
      <c r="N2204" t="s">
        <v>5031</v>
      </c>
    </row>
    <row r="2205" spans="1:14" x14ac:dyDescent="0.3">
      <c r="A2205" t="s">
        <v>2229</v>
      </c>
      <c r="B2205" t="s">
        <v>19</v>
      </c>
      <c r="C2205" t="s">
        <v>20</v>
      </c>
      <c r="D2205">
        <v>72</v>
      </c>
      <c r="E2205" t="s">
        <v>26</v>
      </c>
      <c r="F2205" t="s">
        <v>16</v>
      </c>
      <c r="G2205">
        <v>104.9</v>
      </c>
      <c r="H2205">
        <v>7537.5</v>
      </c>
      <c r="I2205" t="s">
        <v>15</v>
      </c>
      <c r="J2205" t="s">
        <v>16</v>
      </c>
      <c r="K2205" t="s">
        <v>29</v>
      </c>
      <c r="L2205">
        <v>7537.5</v>
      </c>
      <c r="M2205" t="s">
        <v>5033</v>
      </c>
      <c r="N2205" t="s">
        <v>5034</v>
      </c>
    </row>
    <row r="2206" spans="1:14" x14ac:dyDescent="0.3">
      <c r="A2206" t="s">
        <v>2230</v>
      </c>
      <c r="B2206" t="s">
        <v>19</v>
      </c>
      <c r="C2206" t="s">
        <v>20</v>
      </c>
      <c r="D2206">
        <v>67</v>
      </c>
      <c r="E2206" t="s">
        <v>26</v>
      </c>
      <c r="F2206" t="s">
        <v>15</v>
      </c>
      <c r="G2206">
        <v>111.3</v>
      </c>
      <c r="H2206">
        <v>7482.1</v>
      </c>
      <c r="I2206" t="s">
        <v>16</v>
      </c>
      <c r="J2206" t="s">
        <v>16</v>
      </c>
      <c r="K2206" t="s">
        <v>17</v>
      </c>
      <c r="L2206">
        <v>7482.1</v>
      </c>
      <c r="M2206" t="s">
        <v>5033</v>
      </c>
      <c r="N2206" t="s">
        <v>5034</v>
      </c>
    </row>
    <row r="2207" spans="1:14" x14ac:dyDescent="0.3">
      <c r="A2207" t="s">
        <v>2231</v>
      </c>
      <c r="B2207" t="s">
        <v>19</v>
      </c>
      <c r="C2207" t="s">
        <v>20</v>
      </c>
      <c r="D2207">
        <v>34</v>
      </c>
      <c r="E2207" t="s">
        <v>26</v>
      </c>
      <c r="F2207" t="s">
        <v>15</v>
      </c>
      <c r="G2207">
        <v>99.85</v>
      </c>
      <c r="H2207">
        <v>3343.15</v>
      </c>
      <c r="I2207" t="s">
        <v>15</v>
      </c>
      <c r="J2207" t="s">
        <v>16</v>
      </c>
      <c r="K2207" t="s">
        <v>17</v>
      </c>
      <c r="L2207">
        <v>3343.15</v>
      </c>
      <c r="M2207" t="s">
        <v>5032</v>
      </c>
      <c r="N2207" t="s">
        <v>5034</v>
      </c>
    </row>
    <row r="2208" spans="1:14" x14ac:dyDescent="0.3">
      <c r="A2208" t="s">
        <v>2232</v>
      </c>
      <c r="B2208" t="s">
        <v>19</v>
      </c>
      <c r="C2208" t="s">
        <v>13</v>
      </c>
      <c r="D2208">
        <v>57</v>
      </c>
      <c r="E2208" t="s">
        <v>26</v>
      </c>
      <c r="F2208" t="s">
        <v>15</v>
      </c>
      <c r="G2208">
        <v>95.25</v>
      </c>
      <c r="H2208">
        <v>5427.05</v>
      </c>
      <c r="I2208" t="s">
        <v>16</v>
      </c>
      <c r="J2208" t="s">
        <v>16</v>
      </c>
      <c r="K2208" t="s">
        <v>24</v>
      </c>
      <c r="L2208">
        <v>5427.05</v>
      </c>
      <c r="M2208" t="s">
        <v>5033</v>
      </c>
      <c r="N2208" t="s">
        <v>5034</v>
      </c>
    </row>
    <row r="2209" spans="1:14" x14ac:dyDescent="0.3">
      <c r="A2209" t="s">
        <v>2233</v>
      </c>
      <c r="B2209" t="s">
        <v>12</v>
      </c>
      <c r="C2209" t="s">
        <v>13</v>
      </c>
      <c r="D2209">
        <v>7</v>
      </c>
      <c r="E2209" t="s">
        <v>26</v>
      </c>
      <c r="F2209" t="s">
        <v>15</v>
      </c>
      <c r="G2209">
        <v>86.25</v>
      </c>
      <c r="H2209">
        <v>587.1</v>
      </c>
      <c r="I2209" t="s">
        <v>16</v>
      </c>
      <c r="J2209" t="s">
        <v>16</v>
      </c>
      <c r="K2209" t="s">
        <v>17</v>
      </c>
      <c r="L2209">
        <v>587.1</v>
      </c>
      <c r="M2209" t="s">
        <v>5030</v>
      </c>
      <c r="N2209" t="s">
        <v>5031</v>
      </c>
    </row>
    <row r="2210" spans="1:14" x14ac:dyDescent="0.3">
      <c r="A2210" t="s">
        <v>2234</v>
      </c>
      <c r="B2210" t="s">
        <v>12</v>
      </c>
      <c r="C2210" t="s">
        <v>13</v>
      </c>
      <c r="D2210">
        <v>1</v>
      </c>
      <c r="E2210" t="s">
        <v>26</v>
      </c>
      <c r="F2210" t="s">
        <v>15</v>
      </c>
      <c r="G2210">
        <v>100.8</v>
      </c>
      <c r="H2210">
        <v>100.8</v>
      </c>
      <c r="I2210" t="s">
        <v>16</v>
      </c>
      <c r="J2210" t="s">
        <v>16</v>
      </c>
      <c r="K2210" t="s">
        <v>17</v>
      </c>
      <c r="L2210">
        <v>100.8</v>
      </c>
      <c r="M2210" t="s">
        <v>5030</v>
      </c>
      <c r="N2210" t="s">
        <v>5031</v>
      </c>
    </row>
    <row r="2211" spans="1:14" x14ac:dyDescent="0.3">
      <c r="A2211" t="s">
        <v>2235</v>
      </c>
      <c r="B2211" t="s">
        <v>19</v>
      </c>
      <c r="C2211" t="s">
        <v>13</v>
      </c>
      <c r="D2211">
        <v>8</v>
      </c>
      <c r="E2211" t="s">
        <v>15</v>
      </c>
      <c r="F2211" t="s">
        <v>36</v>
      </c>
      <c r="G2211">
        <v>19.55</v>
      </c>
      <c r="H2211">
        <v>161.15</v>
      </c>
      <c r="I2211" t="s">
        <v>15</v>
      </c>
      <c r="J2211" t="s">
        <v>16</v>
      </c>
      <c r="K2211" t="s">
        <v>24</v>
      </c>
      <c r="L2211">
        <v>161.15</v>
      </c>
      <c r="M2211" t="s">
        <v>5030</v>
      </c>
      <c r="N2211" t="s">
        <v>5031</v>
      </c>
    </row>
    <row r="2212" spans="1:14" x14ac:dyDescent="0.3">
      <c r="A2212" t="s">
        <v>2236</v>
      </c>
      <c r="B2212" t="s">
        <v>12</v>
      </c>
      <c r="C2212" t="s">
        <v>35</v>
      </c>
      <c r="D2212">
        <v>69</v>
      </c>
      <c r="E2212" t="s">
        <v>26</v>
      </c>
      <c r="F2212" t="s">
        <v>16</v>
      </c>
      <c r="G2212">
        <v>104</v>
      </c>
      <c r="H2212">
        <v>7028.5</v>
      </c>
      <c r="I2212" t="s">
        <v>15</v>
      </c>
      <c r="J2212" t="s">
        <v>15</v>
      </c>
      <c r="K2212" t="s">
        <v>17</v>
      </c>
      <c r="L2212">
        <v>7028.5</v>
      </c>
      <c r="M2212" t="s">
        <v>5033</v>
      </c>
      <c r="N2212" t="s">
        <v>5034</v>
      </c>
    </row>
    <row r="2213" spans="1:14" x14ac:dyDescent="0.3">
      <c r="A2213" t="s">
        <v>2237</v>
      </c>
      <c r="B2213" t="s">
        <v>12</v>
      </c>
      <c r="C2213" t="s">
        <v>20</v>
      </c>
      <c r="D2213">
        <v>50</v>
      </c>
      <c r="E2213" t="s">
        <v>26</v>
      </c>
      <c r="F2213" t="s">
        <v>15</v>
      </c>
      <c r="G2213">
        <v>104.4</v>
      </c>
      <c r="H2213">
        <v>5232.8999999999996</v>
      </c>
      <c r="I2213" t="s">
        <v>15</v>
      </c>
      <c r="J2213" t="s">
        <v>16</v>
      </c>
      <c r="K2213" t="s">
        <v>21</v>
      </c>
      <c r="L2213">
        <v>5232.8999999999996</v>
      </c>
      <c r="M2213" t="s">
        <v>5033</v>
      </c>
      <c r="N2213" t="s">
        <v>5034</v>
      </c>
    </row>
    <row r="2214" spans="1:14" x14ac:dyDescent="0.3">
      <c r="A2214" t="s">
        <v>2238</v>
      </c>
      <c r="B2214" t="s">
        <v>19</v>
      </c>
      <c r="C2214" t="s">
        <v>20</v>
      </c>
      <c r="D2214">
        <v>10</v>
      </c>
      <c r="E2214" t="s">
        <v>15</v>
      </c>
      <c r="F2214" t="s">
        <v>36</v>
      </c>
      <c r="G2214">
        <v>19.5</v>
      </c>
      <c r="H2214">
        <v>225.85</v>
      </c>
      <c r="I2214" t="s">
        <v>15</v>
      </c>
      <c r="J2214" t="s">
        <v>15</v>
      </c>
      <c r="K2214" t="s">
        <v>21</v>
      </c>
      <c r="L2214">
        <v>225.85</v>
      </c>
      <c r="M2214" t="s">
        <v>5030</v>
      </c>
      <c r="N2214" t="s">
        <v>5031</v>
      </c>
    </row>
    <row r="2215" spans="1:14" x14ac:dyDescent="0.3">
      <c r="A2215" t="s">
        <v>2239</v>
      </c>
      <c r="B2215" t="s">
        <v>12</v>
      </c>
      <c r="C2215" t="s">
        <v>35</v>
      </c>
      <c r="D2215">
        <v>12</v>
      </c>
      <c r="E2215" t="s">
        <v>15</v>
      </c>
      <c r="F2215" t="s">
        <v>36</v>
      </c>
      <c r="G2215">
        <v>25.25</v>
      </c>
      <c r="H2215">
        <v>274.7</v>
      </c>
      <c r="I2215" t="s">
        <v>15</v>
      </c>
      <c r="J2215" t="s">
        <v>15</v>
      </c>
      <c r="K2215" t="s">
        <v>29</v>
      </c>
      <c r="L2215">
        <v>274.7</v>
      </c>
      <c r="M2215" t="s">
        <v>5030</v>
      </c>
      <c r="N2215" t="s">
        <v>5031</v>
      </c>
    </row>
    <row r="2216" spans="1:14" x14ac:dyDescent="0.3">
      <c r="A2216" t="s">
        <v>2240</v>
      </c>
      <c r="B2216" t="s">
        <v>12</v>
      </c>
      <c r="C2216" t="s">
        <v>13</v>
      </c>
      <c r="D2216">
        <v>14</v>
      </c>
      <c r="E2216" t="s">
        <v>26</v>
      </c>
      <c r="F2216" t="s">
        <v>15</v>
      </c>
      <c r="G2216">
        <v>86.3</v>
      </c>
      <c r="H2216">
        <v>1180.95</v>
      </c>
      <c r="I2216" t="s">
        <v>16</v>
      </c>
      <c r="J2216" t="s">
        <v>16</v>
      </c>
      <c r="K2216" t="s">
        <v>17</v>
      </c>
      <c r="L2216">
        <v>1180.95</v>
      </c>
      <c r="M2216" t="s">
        <v>5032</v>
      </c>
      <c r="N2216" t="s">
        <v>5031</v>
      </c>
    </row>
    <row r="2217" spans="1:14" x14ac:dyDescent="0.3">
      <c r="A2217" t="s">
        <v>2241</v>
      </c>
      <c r="B2217" t="s">
        <v>12</v>
      </c>
      <c r="C2217" t="s">
        <v>35</v>
      </c>
      <c r="D2217">
        <v>70</v>
      </c>
      <c r="E2217" t="s">
        <v>14</v>
      </c>
      <c r="F2217" t="s">
        <v>16</v>
      </c>
      <c r="G2217">
        <v>49.85</v>
      </c>
      <c r="H2217">
        <v>3370.2</v>
      </c>
      <c r="I2217" t="s">
        <v>15</v>
      </c>
      <c r="J2217" t="s">
        <v>16</v>
      </c>
      <c r="K2217" t="s">
        <v>24</v>
      </c>
      <c r="L2217">
        <v>3370.2</v>
      </c>
      <c r="M2217" t="s">
        <v>5033</v>
      </c>
      <c r="N2217" t="s">
        <v>5034</v>
      </c>
    </row>
    <row r="2218" spans="1:14" x14ac:dyDescent="0.3">
      <c r="A2218" t="s">
        <v>2242</v>
      </c>
      <c r="B2218" t="s">
        <v>12</v>
      </c>
      <c r="C2218" t="s">
        <v>13</v>
      </c>
      <c r="D2218">
        <v>64</v>
      </c>
      <c r="E2218" t="s">
        <v>26</v>
      </c>
      <c r="F2218" t="s">
        <v>16</v>
      </c>
      <c r="G2218">
        <v>108.95</v>
      </c>
      <c r="H2218">
        <v>7111.3</v>
      </c>
      <c r="I2218" t="s">
        <v>15</v>
      </c>
      <c r="J2218" t="s">
        <v>16</v>
      </c>
      <c r="K2218" t="s">
        <v>24</v>
      </c>
      <c r="L2218">
        <v>7111.3</v>
      </c>
      <c r="M2218" t="s">
        <v>5033</v>
      </c>
      <c r="N2218" t="s">
        <v>5034</v>
      </c>
    </row>
    <row r="2219" spans="1:14" x14ac:dyDescent="0.3">
      <c r="A2219" t="s">
        <v>2243</v>
      </c>
      <c r="B2219" t="s">
        <v>12</v>
      </c>
      <c r="C2219" t="s">
        <v>35</v>
      </c>
      <c r="D2219">
        <v>66</v>
      </c>
      <c r="E2219" t="s">
        <v>14</v>
      </c>
      <c r="F2219" t="s">
        <v>16</v>
      </c>
      <c r="G2219">
        <v>89.9</v>
      </c>
      <c r="H2219">
        <v>5958.85</v>
      </c>
      <c r="I2219" t="s">
        <v>15</v>
      </c>
      <c r="J2219" t="s">
        <v>15</v>
      </c>
      <c r="K2219" t="s">
        <v>29</v>
      </c>
      <c r="L2219">
        <v>5958.85</v>
      </c>
      <c r="M2219" t="s">
        <v>5033</v>
      </c>
      <c r="N2219" t="s">
        <v>5034</v>
      </c>
    </row>
    <row r="2220" spans="1:14" x14ac:dyDescent="0.3">
      <c r="A2220" t="s">
        <v>2244</v>
      </c>
      <c r="B2220" t="s">
        <v>12</v>
      </c>
      <c r="C2220" t="s">
        <v>35</v>
      </c>
      <c r="D2220">
        <v>71</v>
      </c>
      <c r="E2220" t="s">
        <v>14</v>
      </c>
      <c r="F2220" t="s">
        <v>16</v>
      </c>
      <c r="G2220">
        <v>82</v>
      </c>
      <c r="H2220">
        <v>5999.85</v>
      </c>
      <c r="I2220" t="s">
        <v>15</v>
      </c>
      <c r="J2220" t="s">
        <v>16</v>
      </c>
      <c r="K2220" t="s">
        <v>29</v>
      </c>
      <c r="L2220">
        <v>5999.85</v>
      </c>
      <c r="M2220" t="s">
        <v>5033</v>
      </c>
      <c r="N2220" t="s">
        <v>5034</v>
      </c>
    </row>
    <row r="2221" spans="1:14" x14ac:dyDescent="0.3">
      <c r="A2221" t="s">
        <v>2245</v>
      </c>
      <c r="B2221" t="s">
        <v>19</v>
      </c>
      <c r="C2221" t="s">
        <v>13</v>
      </c>
      <c r="D2221">
        <v>20</v>
      </c>
      <c r="E2221" t="s">
        <v>26</v>
      </c>
      <c r="F2221" t="s">
        <v>15</v>
      </c>
      <c r="G2221">
        <v>89.95</v>
      </c>
      <c r="H2221">
        <v>1648.45</v>
      </c>
      <c r="I2221" t="s">
        <v>15</v>
      </c>
      <c r="J2221" t="s">
        <v>15</v>
      </c>
      <c r="K2221" t="s">
        <v>17</v>
      </c>
      <c r="L2221">
        <v>1648.45</v>
      </c>
      <c r="M2221" t="s">
        <v>5032</v>
      </c>
      <c r="N2221" t="s">
        <v>5031</v>
      </c>
    </row>
    <row r="2222" spans="1:14" x14ac:dyDescent="0.3">
      <c r="A2222" t="s">
        <v>2246</v>
      </c>
      <c r="B2222" t="s">
        <v>19</v>
      </c>
      <c r="C2222" t="s">
        <v>35</v>
      </c>
      <c r="D2222">
        <v>72</v>
      </c>
      <c r="E2222" t="s">
        <v>14</v>
      </c>
      <c r="F2222" t="s">
        <v>16</v>
      </c>
      <c r="G2222">
        <v>79.349999999999994</v>
      </c>
      <c r="H2222">
        <v>5753.25</v>
      </c>
      <c r="I2222" t="s">
        <v>15</v>
      </c>
      <c r="J2222" t="s">
        <v>16</v>
      </c>
      <c r="K2222" t="s">
        <v>24</v>
      </c>
      <c r="L2222">
        <v>5753.25</v>
      </c>
      <c r="M2222" t="s">
        <v>5033</v>
      </c>
      <c r="N2222" t="s">
        <v>5034</v>
      </c>
    </row>
    <row r="2223" spans="1:14" x14ac:dyDescent="0.3">
      <c r="A2223" t="s">
        <v>2247</v>
      </c>
      <c r="B2223" t="s">
        <v>12</v>
      </c>
      <c r="C2223" t="s">
        <v>35</v>
      </c>
      <c r="D2223">
        <v>71</v>
      </c>
      <c r="E2223" t="s">
        <v>14</v>
      </c>
      <c r="F2223" t="s">
        <v>16</v>
      </c>
      <c r="G2223">
        <v>64.05</v>
      </c>
      <c r="H2223">
        <v>4492.8999999999996</v>
      </c>
      <c r="I2223" t="s">
        <v>15</v>
      </c>
      <c r="J2223" t="s">
        <v>15</v>
      </c>
      <c r="K2223" t="s">
        <v>29</v>
      </c>
      <c r="L2223">
        <v>4492.8999999999996</v>
      </c>
      <c r="M2223" t="s">
        <v>5033</v>
      </c>
      <c r="N2223" t="s">
        <v>5034</v>
      </c>
    </row>
    <row r="2224" spans="1:14" x14ac:dyDescent="0.3">
      <c r="A2224" t="s">
        <v>2248</v>
      </c>
      <c r="B2224" t="s">
        <v>19</v>
      </c>
      <c r="C2224" t="s">
        <v>13</v>
      </c>
      <c r="D2224">
        <v>38</v>
      </c>
      <c r="E2224" t="s">
        <v>26</v>
      </c>
      <c r="F2224" t="s">
        <v>15</v>
      </c>
      <c r="G2224">
        <v>101.15</v>
      </c>
      <c r="H2224">
        <v>3956.7</v>
      </c>
      <c r="I2224" t="s">
        <v>15</v>
      </c>
      <c r="J2224" t="s">
        <v>16</v>
      </c>
      <c r="K2224" t="s">
        <v>29</v>
      </c>
      <c r="L2224">
        <v>3956.7</v>
      </c>
      <c r="M2224" t="s">
        <v>5033</v>
      </c>
      <c r="N2224" t="s">
        <v>5034</v>
      </c>
    </row>
    <row r="2225" spans="1:14" x14ac:dyDescent="0.3">
      <c r="A2225" t="s">
        <v>2249</v>
      </c>
      <c r="B2225" t="s">
        <v>12</v>
      </c>
      <c r="C2225" t="s">
        <v>13</v>
      </c>
      <c r="D2225">
        <v>28</v>
      </c>
      <c r="E2225" t="s">
        <v>26</v>
      </c>
      <c r="F2225" t="s">
        <v>15</v>
      </c>
      <c r="G2225">
        <v>89.95</v>
      </c>
      <c r="H2225">
        <v>2625.55</v>
      </c>
      <c r="I2225" t="s">
        <v>16</v>
      </c>
      <c r="J2225" t="s">
        <v>16</v>
      </c>
      <c r="K2225" t="s">
        <v>17</v>
      </c>
      <c r="L2225">
        <v>2625.55</v>
      </c>
      <c r="M2225" t="s">
        <v>5032</v>
      </c>
      <c r="N2225" t="s">
        <v>5034</v>
      </c>
    </row>
    <row r="2226" spans="1:14" x14ac:dyDescent="0.3">
      <c r="A2226" t="s">
        <v>2250</v>
      </c>
      <c r="B2226" t="s">
        <v>19</v>
      </c>
      <c r="C2226" t="s">
        <v>13</v>
      </c>
      <c r="D2226">
        <v>17</v>
      </c>
      <c r="E2226" t="s">
        <v>26</v>
      </c>
      <c r="F2226" t="s">
        <v>15</v>
      </c>
      <c r="G2226">
        <v>76.45</v>
      </c>
      <c r="H2226">
        <v>1233.4000000000001</v>
      </c>
      <c r="I2226" t="s">
        <v>16</v>
      </c>
      <c r="J2226" t="s">
        <v>16</v>
      </c>
      <c r="K2226" t="s">
        <v>17</v>
      </c>
      <c r="L2226">
        <v>1233.4000000000001</v>
      </c>
      <c r="M2226" t="s">
        <v>5032</v>
      </c>
      <c r="N2226" t="s">
        <v>5031</v>
      </c>
    </row>
    <row r="2227" spans="1:14" x14ac:dyDescent="0.3">
      <c r="A2227" t="s">
        <v>2251</v>
      </c>
      <c r="B2227" t="s">
        <v>19</v>
      </c>
      <c r="C2227" t="s">
        <v>20</v>
      </c>
      <c r="D2227">
        <v>33</v>
      </c>
      <c r="E2227" t="s">
        <v>14</v>
      </c>
      <c r="F2227" t="s">
        <v>15</v>
      </c>
      <c r="G2227">
        <v>39.1</v>
      </c>
      <c r="H2227">
        <v>1309</v>
      </c>
      <c r="I2227" t="s">
        <v>15</v>
      </c>
      <c r="J2227" t="s">
        <v>16</v>
      </c>
      <c r="K2227" t="s">
        <v>17</v>
      </c>
      <c r="L2227">
        <v>1309</v>
      </c>
      <c r="M2227" t="s">
        <v>5032</v>
      </c>
      <c r="N2227" t="s">
        <v>5031</v>
      </c>
    </row>
    <row r="2228" spans="1:14" x14ac:dyDescent="0.3">
      <c r="A2228" t="s">
        <v>2252</v>
      </c>
      <c r="B2228" t="s">
        <v>12</v>
      </c>
      <c r="C2228" t="s">
        <v>35</v>
      </c>
      <c r="D2228">
        <v>23</v>
      </c>
      <c r="E2228" t="s">
        <v>14</v>
      </c>
      <c r="F2228" t="s">
        <v>16</v>
      </c>
      <c r="G2228">
        <v>34.6</v>
      </c>
      <c r="H2228">
        <v>813.45</v>
      </c>
      <c r="I2228" t="s">
        <v>15</v>
      </c>
      <c r="J2228" t="s">
        <v>15</v>
      </c>
      <c r="K2228" t="s">
        <v>21</v>
      </c>
      <c r="L2228">
        <v>813.45</v>
      </c>
      <c r="M2228" t="s">
        <v>5032</v>
      </c>
      <c r="N2228" t="s">
        <v>5031</v>
      </c>
    </row>
    <row r="2229" spans="1:14" x14ac:dyDescent="0.3">
      <c r="A2229" t="s">
        <v>2253</v>
      </c>
      <c r="B2229" t="s">
        <v>19</v>
      </c>
      <c r="C2229" t="s">
        <v>20</v>
      </c>
      <c r="D2229">
        <v>58</v>
      </c>
      <c r="E2229" t="s">
        <v>15</v>
      </c>
      <c r="F2229" t="s">
        <v>36</v>
      </c>
      <c r="G2229">
        <v>19.55</v>
      </c>
      <c r="H2229">
        <v>1108.8</v>
      </c>
      <c r="I2229" t="s">
        <v>15</v>
      </c>
      <c r="J2229" t="s">
        <v>16</v>
      </c>
      <c r="K2229" t="s">
        <v>17</v>
      </c>
      <c r="L2229">
        <v>1108.8</v>
      </c>
      <c r="M2229" t="s">
        <v>5033</v>
      </c>
      <c r="N2229" t="s">
        <v>5031</v>
      </c>
    </row>
    <row r="2230" spans="1:14" x14ac:dyDescent="0.3">
      <c r="A2230" t="s">
        <v>2254</v>
      </c>
      <c r="B2230" t="s">
        <v>12</v>
      </c>
      <c r="C2230" t="s">
        <v>35</v>
      </c>
      <c r="D2230">
        <v>70</v>
      </c>
      <c r="E2230" t="s">
        <v>26</v>
      </c>
      <c r="F2230" t="s">
        <v>16</v>
      </c>
      <c r="G2230">
        <v>104.45</v>
      </c>
      <c r="H2230">
        <v>7349.35</v>
      </c>
      <c r="I2230" t="s">
        <v>15</v>
      </c>
      <c r="J2230" t="s">
        <v>16</v>
      </c>
      <c r="K2230" t="s">
        <v>24</v>
      </c>
      <c r="L2230">
        <v>7349.35</v>
      </c>
      <c r="M2230" t="s">
        <v>5033</v>
      </c>
      <c r="N2230" t="s">
        <v>5034</v>
      </c>
    </row>
    <row r="2231" spans="1:14" x14ac:dyDescent="0.3">
      <c r="A2231" t="s">
        <v>2255</v>
      </c>
      <c r="B2231" t="s">
        <v>19</v>
      </c>
      <c r="C2231" t="s">
        <v>13</v>
      </c>
      <c r="D2231">
        <v>4</v>
      </c>
      <c r="E2231" t="s">
        <v>26</v>
      </c>
      <c r="F2231" t="s">
        <v>15</v>
      </c>
      <c r="G2231">
        <v>70.5</v>
      </c>
      <c r="H2231">
        <v>294.2</v>
      </c>
      <c r="I2231" t="s">
        <v>15</v>
      </c>
      <c r="J2231" t="s">
        <v>15</v>
      </c>
      <c r="K2231" t="s">
        <v>17</v>
      </c>
      <c r="L2231">
        <v>294.2</v>
      </c>
      <c r="M2231" t="s">
        <v>5030</v>
      </c>
      <c r="N2231" t="s">
        <v>5031</v>
      </c>
    </row>
    <row r="2232" spans="1:14" x14ac:dyDescent="0.3">
      <c r="A2232" t="s">
        <v>2256</v>
      </c>
      <c r="B2232" t="s">
        <v>19</v>
      </c>
      <c r="C2232" t="s">
        <v>35</v>
      </c>
      <c r="D2232">
        <v>45</v>
      </c>
      <c r="E2232" t="s">
        <v>15</v>
      </c>
      <c r="F2232" t="s">
        <v>36</v>
      </c>
      <c r="G2232">
        <v>20.350000000000001</v>
      </c>
      <c r="H2232">
        <v>929.2</v>
      </c>
      <c r="I2232" t="s">
        <v>15</v>
      </c>
      <c r="J2232" t="s">
        <v>15</v>
      </c>
      <c r="K2232" t="s">
        <v>21</v>
      </c>
      <c r="L2232">
        <v>929.2</v>
      </c>
      <c r="M2232" t="s">
        <v>5033</v>
      </c>
      <c r="N2232" t="s">
        <v>5031</v>
      </c>
    </row>
    <row r="2233" spans="1:14" x14ac:dyDescent="0.3">
      <c r="A2233" t="s">
        <v>2257</v>
      </c>
      <c r="B2233" t="s">
        <v>19</v>
      </c>
      <c r="C2233" t="s">
        <v>13</v>
      </c>
      <c r="D2233">
        <v>10</v>
      </c>
      <c r="E2233" t="s">
        <v>26</v>
      </c>
      <c r="F2233" t="s">
        <v>15</v>
      </c>
      <c r="G2233">
        <v>70</v>
      </c>
      <c r="H2233">
        <v>740</v>
      </c>
      <c r="I2233" t="s">
        <v>16</v>
      </c>
      <c r="J2233" t="s">
        <v>16</v>
      </c>
      <c r="K2233" t="s">
        <v>17</v>
      </c>
      <c r="L2233">
        <v>740</v>
      </c>
      <c r="M2233" t="s">
        <v>5030</v>
      </c>
      <c r="N2233" t="s">
        <v>5031</v>
      </c>
    </row>
    <row r="2234" spans="1:14" x14ac:dyDescent="0.3">
      <c r="A2234" t="s">
        <v>2258</v>
      </c>
      <c r="B2234" t="s">
        <v>19</v>
      </c>
      <c r="C2234" t="s">
        <v>35</v>
      </c>
      <c r="D2234">
        <v>36</v>
      </c>
      <c r="E2234" t="s">
        <v>15</v>
      </c>
      <c r="F2234" t="s">
        <v>36</v>
      </c>
      <c r="G2234">
        <v>19.45</v>
      </c>
      <c r="H2234">
        <v>754.5</v>
      </c>
      <c r="I2234" t="s">
        <v>15</v>
      </c>
      <c r="J2234" t="s">
        <v>15</v>
      </c>
      <c r="K2234" t="s">
        <v>29</v>
      </c>
      <c r="L2234">
        <v>754.5</v>
      </c>
      <c r="M2234" t="s">
        <v>5032</v>
      </c>
      <c r="N2234" t="s">
        <v>5031</v>
      </c>
    </row>
    <row r="2235" spans="1:14" x14ac:dyDescent="0.3">
      <c r="A2235" t="s">
        <v>2259</v>
      </c>
      <c r="B2235" t="s">
        <v>19</v>
      </c>
      <c r="C2235" t="s">
        <v>13</v>
      </c>
      <c r="D2235">
        <v>54</v>
      </c>
      <c r="E2235" t="s">
        <v>14</v>
      </c>
      <c r="F2235" t="s">
        <v>16</v>
      </c>
      <c r="G2235">
        <v>69.900000000000006</v>
      </c>
      <c r="H2235">
        <v>3883.3</v>
      </c>
      <c r="I2235" t="s">
        <v>15</v>
      </c>
      <c r="J2235" t="s">
        <v>16</v>
      </c>
      <c r="K2235" t="s">
        <v>21</v>
      </c>
      <c r="L2235">
        <v>3883.3</v>
      </c>
      <c r="M2235" t="s">
        <v>5033</v>
      </c>
      <c r="N2235" t="s">
        <v>5034</v>
      </c>
    </row>
    <row r="2236" spans="1:14" x14ac:dyDescent="0.3">
      <c r="A2236" t="s">
        <v>2260</v>
      </c>
      <c r="B2236" t="s">
        <v>19</v>
      </c>
      <c r="C2236" t="s">
        <v>35</v>
      </c>
      <c r="D2236">
        <v>23</v>
      </c>
      <c r="E2236" t="s">
        <v>14</v>
      </c>
      <c r="F2236" t="s">
        <v>16</v>
      </c>
      <c r="G2236">
        <v>59.7</v>
      </c>
      <c r="H2236">
        <v>1414.2</v>
      </c>
      <c r="I2236" t="s">
        <v>15</v>
      </c>
      <c r="J2236" t="s">
        <v>15</v>
      </c>
      <c r="K2236" t="s">
        <v>21</v>
      </c>
      <c r="L2236">
        <v>1414.2</v>
      </c>
      <c r="M2236" t="s">
        <v>5032</v>
      </c>
      <c r="N2236" t="s">
        <v>5031</v>
      </c>
    </row>
    <row r="2237" spans="1:14" x14ac:dyDescent="0.3">
      <c r="A2237" t="s">
        <v>2261</v>
      </c>
      <c r="B2237" t="s">
        <v>12</v>
      </c>
      <c r="C2237" t="s">
        <v>20</v>
      </c>
      <c r="D2237">
        <v>41</v>
      </c>
      <c r="E2237" t="s">
        <v>14</v>
      </c>
      <c r="F2237" t="s">
        <v>15</v>
      </c>
      <c r="G2237">
        <v>78.349999999999994</v>
      </c>
      <c r="H2237">
        <v>3211.2</v>
      </c>
      <c r="I2237" t="s">
        <v>15</v>
      </c>
      <c r="J2237" t="s">
        <v>16</v>
      </c>
      <c r="K2237" t="s">
        <v>29</v>
      </c>
      <c r="L2237">
        <v>3211.2</v>
      </c>
      <c r="M2237" t="s">
        <v>5033</v>
      </c>
      <c r="N2237" t="s">
        <v>5034</v>
      </c>
    </row>
    <row r="2238" spans="1:14" x14ac:dyDescent="0.3">
      <c r="A2238" t="s">
        <v>2262</v>
      </c>
      <c r="B2238" t="s">
        <v>19</v>
      </c>
      <c r="C2238" t="s">
        <v>13</v>
      </c>
      <c r="D2238">
        <v>5</v>
      </c>
      <c r="E2238" t="s">
        <v>26</v>
      </c>
      <c r="F2238" t="s">
        <v>15</v>
      </c>
      <c r="G2238">
        <v>71.45</v>
      </c>
      <c r="H2238">
        <v>371.6</v>
      </c>
      <c r="I2238" t="s">
        <v>15</v>
      </c>
      <c r="J2238" t="s">
        <v>16</v>
      </c>
      <c r="K2238" t="s">
        <v>21</v>
      </c>
      <c r="L2238">
        <v>371.6</v>
      </c>
      <c r="M2238" t="s">
        <v>5030</v>
      </c>
      <c r="N2238" t="s">
        <v>5031</v>
      </c>
    </row>
    <row r="2239" spans="1:14" x14ac:dyDescent="0.3">
      <c r="A2239" t="s">
        <v>2263</v>
      </c>
      <c r="B2239" t="s">
        <v>19</v>
      </c>
      <c r="C2239" t="s">
        <v>20</v>
      </c>
      <c r="D2239">
        <v>27</v>
      </c>
      <c r="E2239" t="s">
        <v>14</v>
      </c>
      <c r="F2239" t="s">
        <v>15</v>
      </c>
      <c r="G2239">
        <v>45.85</v>
      </c>
      <c r="H2239">
        <v>1246.4000000000001</v>
      </c>
      <c r="I2239" t="s">
        <v>15</v>
      </c>
      <c r="J2239" t="s">
        <v>16</v>
      </c>
      <c r="K2239" t="s">
        <v>29</v>
      </c>
      <c r="L2239">
        <v>1246.4000000000001</v>
      </c>
      <c r="M2239" t="s">
        <v>5032</v>
      </c>
      <c r="N2239" t="s">
        <v>5031</v>
      </c>
    </row>
    <row r="2240" spans="1:14" x14ac:dyDescent="0.3">
      <c r="A2240" t="s">
        <v>2264</v>
      </c>
      <c r="B2240" t="s">
        <v>12</v>
      </c>
      <c r="C2240" t="s">
        <v>13</v>
      </c>
      <c r="D2240">
        <v>1</v>
      </c>
      <c r="E2240" t="s">
        <v>26</v>
      </c>
      <c r="F2240" t="s">
        <v>16</v>
      </c>
      <c r="G2240">
        <v>95.85</v>
      </c>
      <c r="H2240">
        <v>95.85</v>
      </c>
      <c r="I2240" t="s">
        <v>15</v>
      </c>
      <c r="J2240" t="s">
        <v>16</v>
      </c>
      <c r="K2240" t="s">
        <v>17</v>
      </c>
      <c r="L2240">
        <v>95.85</v>
      </c>
      <c r="M2240" t="s">
        <v>5030</v>
      </c>
      <c r="N2240" t="s">
        <v>5031</v>
      </c>
    </row>
    <row r="2241" spans="1:14" x14ac:dyDescent="0.3">
      <c r="A2241" t="s">
        <v>2265</v>
      </c>
      <c r="B2241" t="s">
        <v>12</v>
      </c>
      <c r="C2241" t="s">
        <v>35</v>
      </c>
      <c r="D2241">
        <v>67</v>
      </c>
      <c r="E2241" t="s">
        <v>14</v>
      </c>
      <c r="F2241" t="s">
        <v>16</v>
      </c>
      <c r="G2241">
        <v>35.700000000000003</v>
      </c>
      <c r="H2241">
        <v>2545.6999999999998</v>
      </c>
      <c r="I2241" t="s">
        <v>15</v>
      </c>
      <c r="J2241" t="s">
        <v>15</v>
      </c>
      <c r="K2241" t="s">
        <v>29</v>
      </c>
      <c r="L2241">
        <v>2545.6999999999998</v>
      </c>
      <c r="M2241" t="s">
        <v>5033</v>
      </c>
      <c r="N2241" t="s">
        <v>5034</v>
      </c>
    </row>
    <row r="2242" spans="1:14" x14ac:dyDescent="0.3">
      <c r="A2242" t="s">
        <v>2266</v>
      </c>
      <c r="B2242" t="s">
        <v>12</v>
      </c>
      <c r="C2242" t="s">
        <v>35</v>
      </c>
      <c r="D2242">
        <v>72</v>
      </c>
      <c r="E2242" t="s">
        <v>14</v>
      </c>
      <c r="F2242" t="s">
        <v>16</v>
      </c>
      <c r="G2242">
        <v>89.55</v>
      </c>
      <c r="H2242">
        <v>6448.85</v>
      </c>
      <c r="I2242" t="s">
        <v>15</v>
      </c>
      <c r="J2242" t="s">
        <v>16</v>
      </c>
      <c r="K2242" t="s">
        <v>29</v>
      </c>
      <c r="L2242">
        <v>6448.85</v>
      </c>
      <c r="M2242" t="s">
        <v>5033</v>
      </c>
      <c r="N2242" t="s">
        <v>5034</v>
      </c>
    </row>
    <row r="2243" spans="1:14" x14ac:dyDescent="0.3">
      <c r="A2243" t="s">
        <v>2267</v>
      </c>
      <c r="B2243" t="s">
        <v>12</v>
      </c>
      <c r="C2243" t="s">
        <v>35</v>
      </c>
      <c r="D2243">
        <v>56</v>
      </c>
      <c r="E2243" t="s">
        <v>15</v>
      </c>
      <c r="F2243" t="s">
        <v>36</v>
      </c>
      <c r="G2243">
        <v>24.95</v>
      </c>
      <c r="H2243">
        <v>1468.9</v>
      </c>
      <c r="I2243" t="s">
        <v>15</v>
      </c>
      <c r="J2243" t="s">
        <v>16</v>
      </c>
      <c r="K2243" t="s">
        <v>29</v>
      </c>
      <c r="L2243">
        <v>1468.9</v>
      </c>
      <c r="M2243" t="s">
        <v>5033</v>
      </c>
      <c r="N2243" t="s">
        <v>5031</v>
      </c>
    </row>
    <row r="2244" spans="1:14" x14ac:dyDescent="0.3">
      <c r="A2244" t="s">
        <v>2268</v>
      </c>
      <c r="B2244" t="s">
        <v>19</v>
      </c>
      <c r="C2244" t="s">
        <v>20</v>
      </c>
      <c r="D2244">
        <v>44</v>
      </c>
      <c r="E2244" t="s">
        <v>15</v>
      </c>
      <c r="F2244" t="s">
        <v>36</v>
      </c>
      <c r="G2244">
        <v>24.85</v>
      </c>
      <c r="H2244">
        <v>1013.6</v>
      </c>
      <c r="I2244" t="s">
        <v>15</v>
      </c>
      <c r="J2244" t="s">
        <v>15</v>
      </c>
      <c r="K2244" t="s">
        <v>17</v>
      </c>
      <c r="L2244">
        <v>1013.6</v>
      </c>
      <c r="M2244" t="s">
        <v>5033</v>
      </c>
      <c r="N2244" t="s">
        <v>5031</v>
      </c>
    </row>
    <row r="2245" spans="1:14" x14ac:dyDescent="0.3">
      <c r="A2245" t="s">
        <v>2269</v>
      </c>
      <c r="B2245" t="s">
        <v>12</v>
      </c>
      <c r="C2245" t="s">
        <v>13</v>
      </c>
      <c r="D2245">
        <v>66</v>
      </c>
      <c r="E2245" t="s">
        <v>26</v>
      </c>
      <c r="F2245" t="s">
        <v>15</v>
      </c>
      <c r="G2245">
        <v>100.8</v>
      </c>
      <c r="H2245">
        <v>6690.75</v>
      </c>
      <c r="I2245" t="s">
        <v>15</v>
      </c>
      <c r="J2245" t="s">
        <v>16</v>
      </c>
      <c r="K2245" t="s">
        <v>17</v>
      </c>
      <c r="L2245">
        <v>6690.75</v>
      </c>
      <c r="M2245" t="s">
        <v>5033</v>
      </c>
      <c r="N2245" t="s">
        <v>5034</v>
      </c>
    </row>
    <row r="2246" spans="1:14" x14ac:dyDescent="0.3">
      <c r="A2246" t="s">
        <v>2270</v>
      </c>
      <c r="B2246" t="s">
        <v>12</v>
      </c>
      <c r="C2246" t="s">
        <v>20</v>
      </c>
      <c r="D2246">
        <v>34</v>
      </c>
      <c r="E2246" t="s">
        <v>14</v>
      </c>
      <c r="F2246" t="s">
        <v>16</v>
      </c>
      <c r="G2246">
        <v>64.400000000000006</v>
      </c>
      <c r="H2246">
        <v>2088.75</v>
      </c>
      <c r="I2246" t="s">
        <v>16</v>
      </c>
      <c r="J2246" t="s">
        <v>16</v>
      </c>
      <c r="K2246" t="s">
        <v>21</v>
      </c>
      <c r="L2246">
        <v>2088.75</v>
      </c>
      <c r="M2246" t="s">
        <v>5032</v>
      </c>
      <c r="N2246" t="s">
        <v>5031</v>
      </c>
    </row>
    <row r="2247" spans="1:14" x14ac:dyDescent="0.3">
      <c r="A2247" t="s">
        <v>2271</v>
      </c>
      <c r="B2247" t="s">
        <v>12</v>
      </c>
      <c r="C2247" t="s">
        <v>35</v>
      </c>
      <c r="D2247">
        <v>69</v>
      </c>
      <c r="E2247" t="s">
        <v>26</v>
      </c>
      <c r="F2247" t="s">
        <v>16</v>
      </c>
      <c r="G2247">
        <v>105.35</v>
      </c>
      <c r="H2247">
        <v>7240.65</v>
      </c>
      <c r="I2247" t="s">
        <v>15</v>
      </c>
      <c r="J2247" t="s">
        <v>15</v>
      </c>
      <c r="K2247" t="s">
        <v>24</v>
      </c>
      <c r="L2247">
        <v>7240.65</v>
      </c>
      <c r="M2247" t="s">
        <v>5033</v>
      </c>
      <c r="N2247" t="s">
        <v>5034</v>
      </c>
    </row>
    <row r="2248" spans="1:14" x14ac:dyDescent="0.3">
      <c r="A2248" t="s">
        <v>2272</v>
      </c>
      <c r="B2248" t="s">
        <v>12</v>
      </c>
      <c r="C2248" t="s">
        <v>13</v>
      </c>
      <c r="D2248">
        <v>1</v>
      </c>
      <c r="E2248" t="s">
        <v>26</v>
      </c>
      <c r="F2248" t="s">
        <v>15</v>
      </c>
      <c r="G2248">
        <v>102.45</v>
      </c>
      <c r="H2248">
        <v>102.45</v>
      </c>
      <c r="I2248" t="s">
        <v>16</v>
      </c>
      <c r="J2248" t="s">
        <v>16</v>
      </c>
      <c r="K2248" t="s">
        <v>17</v>
      </c>
      <c r="L2248">
        <v>102.45</v>
      </c>
      <c r="M2248" t="s">
        <v>5030</v>
      </c>
      <c r="N2248" t="s">
        <v>5031</v>
      </c>
    </row>
    <row r="2249" spans="1:14" x14ac:dyDescent="0.3">
      <c r="A2249" t="s">
        <v>2273</v>
      </c>
      <c r="B2249" t="s">
        <v>12</v>
      </c>
      <c r="C2249" t="s">
        <v>35</v>
      </c>
      <c r="D2249">
        <v>40</v>
      </c>
      <c r="E2249" t="s">
        <v>15</v>
      </c>
      <c r="F2249" t="s">
        <v>36</v>
      </c>
      <c r="G2249">
        <v>19.649999999999999</v>
      </c>
      <c r="H2249">
        <v>830.25</v>
      </c>
      <c r="I2249" t="s">
        <v>15</v>
      </c>
      <c r="J2249" t="s">
        <v>15</v>
      </c>
      <c r="K2249" t="s">
        <v>29</v>
      </c>
      <c r="L2249">
        <v>830.25</v>
      </c>
      <c r="M2249" t="s">
        <v>5033</v>
      </c>
      <c r="N2249" t="s">
        <v>5031</v>
      </c>
    </row>
    <row r="2250" spans="1:14" x14ac:dyDescent="0.3">
      <c r="A2250" t="s">
        <v>2274</v>
      </c>
      <c r="B2250" t="s">
        <v>19</v>
      </c>
      <c r="C2250" t="s">
        <v>13</v>
      </c>
      <c r="D2250">
        <v>30</v>
      </c>
      <c r="E2250" t="s">
        <v>14</v>
      </c>
      <c r="F2250" t="s">
        <v>15</v>
      </c>
      <c r="G2250">
        <v>54.45</v>
      </c>
      <c r="H2250">
        <v>1588.7</v>
      </c>
      <c r="I2250" t="s">
        <v>15</v>
      </c>
      <c r="J2250" t="s">
        <v>16</v>
      </c>
      <c r="K2250" t="s">
        <v>24</v>
      </c>
      <c r="L2250">
        <v>1588.7</v>
      </c>
      <c r="M2250" t="s">
        <v>5032</v>
      </c>
      <c r="N2250" t="s">
        <v>5031</v>
      </c>
    </row>
    <row r="2251" spans="1:14" x14ac:dyDescent="0.3">
      <c r="A2251" t="s">
        <v>2275</v>
      </c>
      <c r="B2251" t="s">
        <v>12</v>
      </c>
      <c r="C2251" t="s">
        <v>13</v>
      </c>
      <c r="D2251">
        <v>11</v>
      </c>
      <c r="E2251" t="s">
        <v>14</v>
      </c>
      <c r="F2251" t="s">
        <v>16</v>
      </c>
      <c r="G2251">
        <v>70.5</v>
      </c>
      <c r="H2251">
        <v>829.3</v>
      </c>
      <c r="I2251" t="s">
        <v>15</v>
      </c>
      <c r="J2251" t="s">
        <v>15</v>
      </c>
      <c r="K2251" t="s">
        <v>21</v>
      </c>
      <c r="L2251">
        <v>829.3</v>
      </c>
      <c r="M2251" t="s">
        <v>5030</v>
      </c>
      <c r="N2251" t="s">
        <v>5031</v>
      </c>
    </row>
    <row r="2252" spans="1:14" x14ac:dyDescent="0.3">
      <c r="A2252" t="s">
        <v>2276</v>
      </c>
      <c r="B2252" t="s">
        <v>12</v>
      </c>
      <c r="C2252" t="s">
        <v>20</v>
      </c>
      <c r="D2252">
        <v>15</v>
      </c>
      <c r="E2252" t="s">
        <v>15</v>
      </c>
      <c r="F2252" t="s">
        <v>36</v>
      </c>
      <c r="G2252">
        <v>20.100000000000001</v>
      </c>
      <c r="H2252">
        <v>302.45</v>
      </c>
      <c r="I2252" t="s">
        <v>15</v>
      </c>
      <c r="J2252" t="s">
        <v>15</v>
      </c>
      <c r="K2252" t="s">
        <v>29</v>
      </c>
      <c r="L2252">
        <v>302.45</v>
      </c>
      <c r="M2252" t="s">
        <v>5032</v>
      </c>
      <c r="N2252" t="s">
        <v>5031</v>
      </c>
    </row>
    <row r="2253" spans="1:14" x14ac:dyDescent="0.3">
      <c r="A2253" t="s">
        <v>2277</v>
      </c>
      <c r="B2253" t="s">
        <v>19</v>
      </c>
      <c r="C2253" t="s">
        <v>13</v>
      </c>
      <c r="D2253">
        <v>11</v>
      </c>
      <c r="E2253" t="s">
        <v>14</v>
      </c>
      <c r="F2253" t="s">
        <v>15</v>
      </c>
      <c r="G2253">
        <v>69.349999999999994</v>
      </c>
      <c r="H2253">
        <v>712.25</v>
      </c>
      <c r="I2253" t="s">
        <v>15</v>
      </c>
      <c r="J2253" t="s">
        <v>16</v>
      </c>
      <c r="K2253" t="s">
        <v>17</v>
      </c>
      <c r="L2253">
        <v>712.25</v>
      </c>
      <c r="M2253" t="s">
        <v>5030</v>
      </c>
      <c r="N2253" t="s">
        <v>5031</v>
      </c>
    </row>
    <row r="2254" spans="1:14" x14ac:dyDescent="0.3">
      <c r="A2254" t="s">
        <v>2278</v>
      </c>
      <c r="B2254" t="s">
        <v>12</v>
      </c>
      <c r="C2254" t="s">
        <v>20</v>
      </c>
      <c r="D2254">
        <v>64</v>
      </c>
      <c r="E2254" t="s">
        <v>15</v>
      </c>
      <c r="F2254" t="s">
        <v>36</v>
      </c>
      <c r="G2254">
        <v>19.8</v>
      </c>
      <c r="H2254">
        <v>1336.65</v>
      </c>
      <c r="I2254" t="s">
        <v>15</v>
      </c>
      <c r="J2254" t="s">
        <v>15</v>
      </c>
      <c r="K2254" t="s">
        <v>24</v>
      </c>
      <c r="L2254">
        <v>1336.65</v>
      </c>
      <c r="M2254" t="s">
        <v>5033</v>
      </c>
      <c r="N2254" t="s">
        <v>5031</v>
      </c>
    </row>
    <row r="2255" spans="1:14" x14ac:dyDescent="0.3">
      <c r="A2255" t="s">
        <v>2279</v>
      </c>
      <c r="B2255" t="s">
        <v>19</v>
      </c>
      <c r="C2255" t="s">
        <v>35</v>
      </c>
      <c r="D2255">
        <v>72</v>
      </c>
      <c r="E2255" t="s">
        <v>14</v>
      </c>
      <c r="F2255" t="s">
        <v>16</v>
      </c>
      <c r="G2255">
        <v>74.400000000000006</v>
      </c>
      <c r="H2255">
        <v>5360.75</v>
      </c>
      <c r="I2255" t="s">
        <v>15</v>
      </c>
      <c r="J2255" t="s">
        <v>15</v>
      </c>
      <c r="K2255" t="s">
        <v>24</v>
      </c>
      <c r="L2255">
        <v>5360.75</v>
      </c>
      <c r="M2255" t="s">
        <v>5033</v>
      </c>
      <c r="N2255" t="s">
        <v>5034</v>
      </c>
    </row>
    <row r="2256" spans="1:14" x14ac:dyDescent="0.3">
      <c r="A2256" t="s">
        <v>2280</v>
      </c>
      <c r="B2256" t="s">
        <v>19</v>
      </c>
      <c r="C2256" t="s">
        <v>35</v>
      </c>
      <c r="D2256">
        <v>72</v>
      </c>
      <c r="E2256" t="s">
        <v>26</v>
      </c>
      <c r="F2256" t="s">
        <v>16</v>
      </c>
      <c r="G2256">
        <v>93.05</v>
      </c>
      <c r="H2256">
        <v>6735.05</v>
      </c>
      <c r="I2256" t="s">
        <v>15</v>
      </c>
      <c r="J2256" t="s">
        <v>16</v>
      </c>
      <c r="K2256" t="s">
        <v>24</v>
      </c>
      <c r="L2256">
        <v>6735.05</v>
      </c>
      <c r="M2256" t="s">
        <v>5033</v>
      </c>
      <c r="N2256" t="s">
        <v>5034</v>
      </c>
    </row>
    <row r="2257" spans="1:14" x14ac:dyDescent="0.3">
      <c r="A2257" t="s">
        <v>2281</v>
      </c>
      <c r="B2257" t="s">
        <v>12</v>
      </c>
      <c r="C2257" t="s">
        <v>13</v>
      </c>
      <c r="D2257">
        <v>1</v>
      </c>
      <c r="E2257" t="s">
        <v>14</v>
      </c>
      <c r="F2257" t="s">
        <v>15</v>
      </c>
      <c r="G2257">
        <v>51.2</v>
      </c>
      <c r="H2257">
        <v>51.2</v>
      </c>
      <c r="I2257" t="s">
        <v>15</v>
      </c>
      <c r="J2257" t="s">
        <v>15</v>
      </c>
      <c r="K2257" t="s">
        <v>21</v>
      </c>
      <c r="L2257">
        <v>51.2</v>
      </c>
      <c r="M2257" t="s">
        <v>5030</v>
      </c>
      <c r="N2257" t="s">
        <v>5031</v>
      </c>
    </row>
    <row r="2258" spans="1:14" x14ac:dyDescent="0.3">
      <c r="A2258" t="s">
        <v>2282</v>
      </c>
      <c r="B2258" t="s">
        <v>12</v>
      </c>
      <c r="C2258" t="s">
        <v>20</v>
      </c>
      <c r="D2258">
        <v>15</v>
      </c>
      <c r="E2258" t="s">
        <v>14</v>
      </c>
      <c r="F2258" t="s">
        <v>16</v>
      </c>
      <c r="G2258">
        <v>65.599999999999994</v>
      </c>
      <c r="H2258">
        <v>1010</v>
      </c>
      <c r="I2258" t="s">
        <v>15</v>
      </c>
      <c r="J2258" t="s">
        <v>15</v>
      </c>
      <c r="K2258" t="s">
        <v>29</v>
      </c>
      <c r="L2258">
        <v>1010</v>
      </c>
      <c r="M2258" t="s">
        <v>5032</v>
      </c>
      <c r="N2258" t="s">
        <v>5031</v>
      </c>
    </row>
    <row r="2259" spans="1:14" x14ac:dyDescent="0.3">
      <c r="A2259" t="s">
        <v>2283</v>
      </c>
      <c r="B2259" t="s">
        <v>12</v>
      </c>
      <c r="C2259" t="s">
        <v>20</v>
      </c>
      <c r="D2259">
        <v>60</v>
      </c>
      <c r="E2259" t="s">
        <v>14</v>
      </c>
      <c r="F2259" t="s">
        <v>16</v>
      </c>
      <c r="G2259">
        <v>80.55</v>
      </c>
      <c r="H2259">
        <v>4847.05</v>
      </c>
      <c r="I2259" t="s">
        <v>15</v>
      </c>
      <c r="J2259" t="s">
        <v>15</v>
      </c>
      <c r="K2259" t="s">
        <v>29</v>
      </c>
      <c r="L2259">
        <v>4847.05</v>
      </c>
      <c r="M2259" t="s">
        <v>5033</v>
      </c>
      <c r="N2259" t="s">
        <v>5034</v>
      </c>
    </row>
    <row r="2260" spans="1:14" x14ac:dyDescent="0.3">
      <c r="A2260" t="s">
        <v>2284</v>
      </c>
      <c r="B2260" t="s">
        <v>19</v>
      </c>
      <c r="C2260" t="s">
        <v>20</v>
      </c>
      <c r="D2260">
        <v>56</v>
      </c>
      <c r="E2260" t="s">
        <v>14</v>
      </c>
      <c r="F2260" t="s">
        <v>15</v>
      </c>
      <c r="G2260">
        <v>52.7</v>
      </c>
      <c r="H2260">
        <v>3019.7</v>
      </c>
      <c r="I2260" t="s">
        <v>15</v>
      </c>
      <c r="J2260" t="s">
        <v>15</v>
      </c>
      <c r="K2260" t="s">
        <v>21</v>
      </c>
      <c r="L2260">
        <v>3019.7</v>
      </c>
      <c r="M2260" t="s">
        <v>5033</v>
      </c>
      <c r="N2260" t="s">
        <v>5034</v>
      </c>
    </row>
    <row r="2261" spans="1:14" x14ac:dyDescent="0.3">
      <c r="A2261" t="s">
        <v>2285</v>
      </c>
      <c r="B2261" t="s">
        <v>12</v>
      </c>
      <c r="C2261" t="s">
        <v>35</v>
      </c>
      <c r="D2261">
        <v>8</v>
      </c>
      <c r="E2261" t="s">
        <v>15</v>
      </c>
      <c r="F2261" t="s">
        <v>36</v>
      </c>
      <c r="G2261">
        <v>20.85</v>
      </c>
      <c r="H2261">
        <v>161.65</v>
      </c>
      <c r="I2261" t="s">
        <v>15</v>
      </c>
      <c r="J2261" t="s">
        <v>15</v>
      </c>
      <c r="K2261" t="s">
        <v>21</v>
      </c>
      <c r="L2261">
        <v>161.65</v>
      </c>
      <c r="M2261" t="s">
        <v>5030</v>
      </c>
      <c r="N2261" t="s">
        <v>5031</v>
      </c>
    </row>
    <row r="2262" spans="1:14" x14ac:dyDescent="0.3">
      <c r="A2262" t="s">
        <v>2286</v>
      </c>
      <c r="B2262" t="s">
        <v>12</v>
      </c>
      <c r="C2262" t="s">
        <v>13</v>
      </c>
      <c r="D2262">
        <v>3</v>
      </c>
      <c r="E2262" t="s">
        <v>26</v>
      </c>
      <c r="F2262" t="s">
        <v>16</v>
      </c>
      <c r="G2262">
        <v>80.099999999999994</v>
      </c>
      <c r="H2262">
        <v>217.55</v>
      </c>
      <c r="I2262" t="s">
        <v>16</v>
      </c>
      <c r="J2262" t="s">
        <v>15</v>
      </c>
      <c r="K2262" t="s">
        <v>29</v>
      </c>
      <c r="L2262">
        <v>217.55</v>
      </c>
      <c r="M2262" t="s">
        <v>5030</v>
      </c>
      <c r="N2262" t="s">
        <v>5031</v>
      </c>
    </row>
    <row r="2263" spans="1:14" x14ac:dyDescent="0.3">
      <c r="A2263" t="s">
        <v>2287</v>
      </c>
      <c r="B2263" t="s">
        <v>12</v>
      </c>
      <c r="C2263" t="s">
        <v>13</v>
      </c>
      <c r="D2263">
        <v>49</v>
      </c>
      <c r="E2263" t="s">
        <v>14</v>
      </c>
      <c r="F2263" t="s">
        <v>15</v>
      </c>
      <c r="G2263">
        <v>52.15</v>
      </c>
      <c r="H2263">
        <v>2583.75</v>
      </c>
      <c r="I2263" t="s">
        <v>15</v>
      </c>
      <c r="J2263" t="s">
        <v>16</v>
      </c>
      <c r="K2263" t="s">
        <v>29</v>
      </c>
      <c r="L2263">
        <v>2583.75</v>
      </c>
      <c r="M2263" t="s">
        <v>5033</v>
      </c>
      <c r="N2263" t="s">
        <v>5034</v>
      </c>
    </row>
    <row r="2264" spans="1:14" x14ac:dyDescent="0.3">
      <c r="A2264" t="s">
        <v>2288</v>
      </c>
      <c r="B2264" t="s">
        <v>12</v>
      </c>
      <c r="C2264" t="s">
        <v>13</v>
      </c>
      <c r="D2264">
        <v>2</v>
      </c>
      <c r="E2264" t="s">
        <v>26</v>
      </c>
      <c r="F2264" t="s">
        <v>15</v>
      </c>
      <c r="G2264">
        <v>80.2</v>
      </c>
      <c r="H2264">
        <v>146.05000000000001</v>
      </c>
      <c r="I2264" t="s">
        <v>16</v>
      </c>
      <c r="J2264" t="s">
        <v>16</v>
      </c>
      <c r="K2264" t="s">
        <v>17</v>
      </c>
      <c r="L2264">
        <v>146.05000000000001</v>
      </c>
      <c r="M2264" t="s">
        <v>5030</v>
      </c>
      <c r="N2264" t="s">
        <v>5031</v>
      </c>
    </row>
    <row r="2265" spans="1:14" x14ac:dyDescent="0.3">
      <c r="A2265" t="s">
        <v>2289</v>
      </c>
      <c r="B2265" t="s">
        <v>12</v>
      </c>
      <c r="C2265" t="s">
        <v>13</v>
      </c>
      <c r="D2265">
        <v>6</v>
      </c>
      <c r="E2265" t="s">
        <v>26</v>
      </c>
      <c r="F2265" t="s">
        <v>16</v>
      </c>
      <c r="G2265">
        <v>98.15</v>
      </c>
      <c r="H2265">
        <v>567.45000000000005</v>
      </c>
      <c r="I2265" t="s">
        <v>16</v>
      </c>
      <c r="J2265" t="s">
        <v>16</v>
      </c>
      <c r="K2265" t="s">
        <v>24</v>
      </c>
      <c r="L2265">
        <v>567.45000000000005</v>
      </c>
      <c r="M2265" t="s">
        <v>5030</v>
      </c>
      <c r="N2265" t="s">
        <v>5031</v>
      </c>
    </row>
    <row r="2266" spans="1:14" x14ac:dyDescent="0.3">
      <c r="A2266" t="s">
        <v>2290</v>
      </c>
      <c r="B2266" t="s">
        <v>19</v>
      </c>
      <c r="C2266" t="s">
        <v>35</v>
      </c>
      <c r="D2266">
        <v>70</v>
      </c>
      <c r="E2266" t="s">
        <v>26</v>
      </c>
      <c r="F2266" t="s">
        <v>16</v>
      </c>
      <c r="G2266">
        <v>114.95</v>
      </c>
      <c r="H2266">
        <v>7711.25</v>
      </c>
      <c r="I2266" t="s">
        <v>15</v>
      </c>
      <c r="J2266" t="s">
        <v>16</v>
      </c>
      <c r="K2266" t="s">
        <v>24</v>
      </c>
      <c r="L2266">
        <v>7711.25</v>
      </c>
      <c r="M2266" t="s">
        <v>5033</v>
      </c>
      <c r="N2266" t="s">
        <v>5034</v>
      </c>
    </row>
    <row r="2267" spans="1:14" x14ac:dyDescent="0.3">
      <c r="A2267" t="s">
        <v>2291</v>
      </c>
      <c r="B2267" t="s">
        <v>19</v>
      </c>
      <c r="C2267" t="s">
        <v>13</v>
      </c>
      <c r="D2267">
        <v>12</v>
      </c>
      <c r="E2267" t="s">
        <v>26</v>
      </c>
      <c r="F2267" t="s">
        <v>16</v>
      </c>
      <c r="G2267">
        <v>112.95</v>
      </c>
      <c r="H2267">
        <v>1384.75</v>
      </c>
      <c r="I2267" t="s">
        <v>16</v>
      </c>
      <c r="J2267" t="s">
        <v>16</v>
      </c>
      <c r="K2267" t="s">
        <v>21</v>
      </c>
      <c r="L2267">
        <v>1384.75</v>
      </c>
      <c r="M2267" t="s">
        <v>5030</v>
      </c>
      <c r="N2267" t="s">
        <v>5031</v>
      </c>
    </row>
    <row r="2268" spans="1:14" x14ac:dyDescent="0.3">
      <c r="A2268" t="s">
        <v>2292</v>
      </c>
      <c r="B2268" t="s">
        <v>19</v>
      </c>
      <c r="C2268" t="s">
        <v>20</v>
      </c>
      <c r="D2268">
        <v>52</v>
      </c>
      <c r="E2268" t="s">
        <v>26</v>
      </c>
      <c r="F2268" t="s">
        <v>16</v>
      </c>
      <c r="G2268">
        <v>104.45</v>
      </c>
      <c r="H2268">
        <v>5481.25</v>
      </c>
      <c r="I2268" t="s">
        <v>15</v>
      </c>
      <c r="J2268" t="s">
        <v>16</v>
      </c>
      <c r="K2268" t="s">
        <v>24</v>
      </c>
      <c r="L2268">
        <v>5481.25</v>
      </c>
      <c r="M2268" t="s">
        <v>5033</v>
      </c>
      <c r="N2268" t="s">
        <v>5034</v>
      </c>
    </row>
    <row r="2269" spans="1:14" x14ac:dyDescent="0.3">
      <c r="A2269" t="s">
        <v>2293</v>
      </c>
      <c r="B2269" t="s">
        <v>12</v>
      </c>
      <c r="C2269" t="s">
        <v>35</v>
      </c>
      <c r="D2269">
        <v>72</v>
      </c>
      <c r="E2269" t="s">
        <v>26</v>
      </c>
      <c r="F2269" t="s">
        <v>16</v>
      </c>
      <c r="G2269">
        <v>113.65</v>
      </c>
      <c r="H2269">
        <v>8124.2</v>
      </c>
      <c r="I2269" t="s">
        <v>15</v>
      </c>
      <c r="J2269" t="s">
        <v>16</v>
      </c>
      <c r="K2269" t="s">
        <v>29</v>
      </c>
      <c r="L2269">
        <v>8124.2</v>
      </c>
      <c r="M2269" t="s">
        <v>5033</v>
      </c>
      <c r="N2269" t="s">
        <v>5034</v>
      </c>
    </row>
    <row r="2270" spans="1:14" x14ac:dyDescent="0.3">
      <c r="A2270" t="s">
        <v>2294</v>
      </c>
      <c r="B2270" t="s">
        <v>12</v>
      </c>
      <c r="C2270" t="s">
        <v>35</v>
      </c>
      <c r="D2270">
        <v>40</v>
      </c>
      <c r="E2270" t="s">
        <v>15</v>
      </c>
      <c r="F2270" t="s">
        <v>36</v>
      </c>
      <c r="G2270">
        <v>20.6</v>
      </c>
      <c r="H2270">
        <v>827.3</v>
      </c>
      <c r="I2270" t="s">
        <v>15</v>
      </c>
      <c r="J2270" t="s">
        <v>16</v>
      </c>
      <c r="K2270" t="s">
        <v>24</v>
      </c>
      <c r="L2270">
        <v>827.3</v>
      </c>
      <c r="M2270" t="s">
        <v>5033</v>
      </c>
      <c r="N2270" t="s">
        <v>5031</v>
      </c>
    </row>
    <row r="2271" spans="1:14" x14ac:dyDescent="0.3">
      <c r="A2271" t="s">
        <v>2295</v>
      </c>
      <c r="B2271" t="s">
        <v>12</v>
      </c>
      <c r="C2271" t="s">
        <v>13</v>
      </c>
      <c r="D2271">
        <v>1</v>
      </c>
      <c r="E2271" t="s">
        <v>26</v>
      </c>
      <c r="F2271" t="s">
        <v>15</v>
      </c>
      <c r="G2271">
        <v>70.900000000000006</v>
      </c>
      <c r="H2271">
        <v>70.900000000000006</v>
      </c>
      <c r="I2271" t="s">
        <v>16</v>
      </c>
      <c r="J2271" t="s">
        <v>15</v>
      </c>
      <c r="K2271" t="s">
        <v>21</v>
      </c>
      <c r="L2271">
        <v>70.900000000000006</v>
      </c>
      <c r="M2271" t="s">
        <v>5030</v>
      </c>
      <c r="N2271" t="s">
        <v>5031</v>
      </c>
    </row>
    <row r="2272" spans="1:14" x14ac:dyDescent="0.3">
      <c r="A2272" t="s">
        <v>2296</v>
      </c>
      <c r="B2272" t="s">
        <v>12</v>
      </c>
      <c r="C2272" t="s">
        <v>13</v>
      </c>
      <c r="D2272">
        <v>3</v>
      </c>
      <c r="E2272" t="s">
        <v>26</v>
      </c>
      <c r="F2272" t="s">
        <v>15</v>
      </c>
      <c r="G2272">
        <v>86.85</v>
      </c>
      <c r="H2272">
        <v>220.95</v>
      </c>
      <c r="I2272" t="s">
        <v>16</v>
      </c>
      <c r="J2272" t="s">
        <v>16</v>
      </c>
      <c r="K2272" t="s">
        <v>17</v>
      </c>
      <c r="L2272">
        <v>220.95</v>
      </c>
      <c r="M2272" t="s">
        <v>5030</v>
      </c>
      <c r="N2272" t="s">
        <v>5031</v>
      </c>
    </row>
    <row r="2273" spans="1:14" x14ac:dyDescent="0.3">
      <c r="A2273" t="s">
        <v>2297</v>
      </c>
      <c r="B2273" t="s">
        <v>12</v>
      </c>
      <c r="C2273" t="s">
        <v>13</v>
      </c>
      <c r="D2273">
        <v>40</v>
      </c>
      <c r="E2273" t="s">
        <v>26</v>
      </c>
      <c r="F2273" t="s">
        <v>15</v>
      </c>
      <c r="G2273">
        <v>91.55</v>
      </c>
      <c r="H2273">
        <v>3673.6</v>
      </c>
      <c r="I2273" t="s">
        <v>15</v>
      </c>
      <c r="J2273" t="s">
        <v>16</v>
      </c>
      <c r="K2273" t="s">
        <v>17</v>
      </c>
      <c r="L2273">
        <v>3673.6</v>
      </c>
      <c r="M2273" t="s">
        <v>5033</v>
      </c>
      <c r="N2273" t="s">
        <v>5034</v>
      </c>
    </row>
    <row r="2274" spans="1:14" x14ac:dyDescent="0.3">
      <c r="A2274" t="s">
        <v>2298</v>
      </c>
      <c r="B2274" t="s">
        <v>19</v>
      </c>
      <c r="C2274" t="s">
        <v>13</v>
      </c>
      <c r="D2274">
        <v>1</v>
      </c>
      <c r="E2274" t="s">
        <v>14</v>
      </c>
      <c r="F2274" t="s">
        <v>15</v>
      </c>
      <c r="G2274">
        <v>49.85</v>
      </c>
      <c r="H2274">
        <v>49.85</v>
      </c>
      <c r="I2274" t="s">
        <v>15</v>
      </c>
      <c r="J2274" t="s">
        <v>16</v>
      </c>
      <c r="K2274" t="s">
        <v>17</v>
      </c>
      <c r="L2274">
        <v>49.85</v>
      </c>
      <c r="M2274" t="s">
        <v>5030</v>
      </c>
      <c r="N2274" t="s">
        <v>5031</v>
      </c>
    </row>
    <row r="2275" spans="1:14" x14ac:dyDescent="0.3">
      <c r="A2275" t="s">
        <v>2299</v>
      </c>
      <c r="B2275" t="s">
        <v>19</v>
      </c>
      <c r="C2275" t="s">
        <v>20</v>
      </c>
      <c r="D2275">
        <v>30</v>
      </c>
      <c r="E2275" t="s">
        <v>15</v>
      </c>
      <c r="F2275" t="s">
        <v>36</v>
      </c>
      <c r="G2275">
        <v>19.8</v>
      </c>
      <c r="H2275">
        <v>576.65</v>
      </c>
      <c r="I2275" t="s">
        <v>15</v>
      </c>
      <c r="J2275" t="s">
        <v>15</v>
      </c>
      <c r="K2275" t="s">
        <v>29</v>
      </c>
      <c r="L2275">
        <v>576.65</v>
      </c>
      <c r="M2275" t="s">
        <v>5032</v>
      </c>
      <c r="N2275" t="s">
        <v>5031</v>
      </c>
    </row>
    <row r="2276" spans="1:14" x14ac:dyDescent="0.3">
      <c r="A2276" t="s">
        <v>2300</v>
      </c>
      <c r="B2276" t="s">
        <v>19</v>
      </c>
      <c r="C2276" t="s">
        <v>13</v>
      </c>
      <c r="D2276">
        <v>23</v>
      </c>
      <c r="E2276" t="s">
        <v>26</v>
      </c>
      <c r="F2276" t="s">
        <v>16</v>
      </c>
      <c r="G2276">
        <v>99.85</v>
      </c>
      <c r="H2276">
        <v>2331.3000000000002</v>
      </c>
      <c r="I2276" t="s">
        <v>16</v>
      </c>
      <c r="J2276" t="s">
        <v>16</v>
      </c>
      <c r="K2276" t="s">
        <v>17</v>
      </c>
      <c r="L2276">
        <v>2331.3000000000002</v>
      </c>
      <c r="M2276" t="s">
        <v>5032</v>
      </c>
      <c r="N2276" t="s">
        <v>5031</v>
      </c>
    </row>
    <row r="2277" spans="1:14" x14ac:dyDescent="0.3">
      <c r="A2277" t="s">
        <v>2301</v>
      </c>
      <c r="B2277" t="s">
        <v>19</v>
      </c>
      <c r="C2277" t="s">
        <v>13</v>
      </c>
      <c r="D2277">
        <v>1</v>
      </c>
      <c r="E2277" t="s">
        <v>26</v>
      </c>
      <c r="F2277" t="s">
        <v>15</v>
      </c>
      <c r="G2277">
        <v>74.5</v>
      </c>
      <c r="H2277">
        <v>74.5</v>
      </c>
      <c r="I2277" t="s">
        <v>16</v>
      </c>
      <c r="J2277" t="s">
        <v>16</v>
      </c>
      <c r="K2277" t="s">
        <v>17</v>
      </c>
      <c r="L2277">
        <v>74.5</v>
      </c>
      <c r="M2277" t="s">
        <v>5030</v>
      </c>
      <c r="N2277" t="s">
        <v>5031</v>
      </c>
    </row>
    <row r="2278" spans="1:14" x14ac:dyDescent="0.3">
      <c r="A2278" t="s">
        <v>2302</v>
      </c>
      <c r="B2278" t="s">
        <v>12</v>
      </c>
      <c r="C2278" t="s">
        <v>13</v>
      </c>
      <c r="D2278">
        <v>44</v>
      </c>
      <c r="E2278" t="s">
        <v>26</v>
      </c>
      <c r="F2278" t="s">
        <v>16</v>
      </c>
      <c r="G2278">
        <v>104.15</v>
      </c>
      <c r="H2278">
        <v>4495.6499999999996</v>
      </c>
      <c r="I2278" t="s">
        <v>15</v>
      </c>
      <c r="J2278" t="s">
        <v>15</v>
      </c>
      <c r="K2278" t="s">
        <v>17</v>
      </c>
      <c r="L2278">
        <v>4495.6499999999996</v>
      </c>
      <c r="M2278" t="s">
        <v>5033</v>
      </c>
      <c r="N2278" t="s">
        <v>5034</v>
      </c>
    </row>
    <row r="2279" spans="1:14" x14ac:dyDescent="0.3">
      <c r="A2279" t="s">
        <v>2303</v>
      </c>
      <c r="B2279" t="s">
        <v>19</v>
      </c>
      <c r="C2279" t="s">
        <v>13</v>
      </c>
      <c r="D2279">
        <v>65</v>
      </c>
      <c r="E2279" t="s">
        <v>26</v>
      </c>
      <c r="F2279" t="s">
        <v>16</v>
      </c>
      <c r="G2279">
        <v>109.15</v>
      </c>
      <c r="H2279">
        <v>6941.2</v>
      </c>
      <c r="I2279" t="s">
        <v>16</v>
      </c>
      <c r="J2279" t="s">
        <v>16</v>
      </c>
      <c r="K2279" t="s">
        <v>17</v>
      </c>
      <c r="L2279">
        <v>6941.2</v>
      </c>
      <c r="M2279" t="s">
        <v>5033</v>
      </c>
      <c r="N2279" t="s">
        <v>5034</v>
      </c>
    </row>
    <row r="2280" spans="1:14" x14ac:dyDescent="0.3">
      <c r="A2280" t="s">
        <v>2304</v>
      </c>
      <c r="B2280" t="s">
        <v>12</v>
      </c>
      <c r="C2280" t="s">
        <v>13</v>
      </c>
      <c r="D2280">
        <v>7</v>
      </c>
      <c r="E2280" t="s">
        <v>14</v>
      </c>
      <c r="F2280" t="s">
        <v>15</v>
      </c>
      <c r="G2280">
        <v>48.2</v>
      </c>
      <c r="H2280">
        <v>340.35</v>
      </c>
      <c r="I2280" t="s">
        <v>15</v>
      </c>
      <c r="J2280" t="s">
        <v>16</v>
      </c>
      <c r="K2280" t="s">
        <v>17</v>
      </c>
      <c r="L2280">
        <v>340.35</v>
      </c>
      <c r="M2280" t="s">
        <v>5030</v>
      </c>
      <c r="N2280" t="s">
        <v>5031</v>
      </c>
    </row>
    <row r="2281" spans="1:14" x14ac:dyDescent="0.3">
      <c r="A2281" t="s">
        <v>2305</v>
      </c>
      <c r="B2281" t="s">
        <v>19</v>
      </c>
      <c r="C2281" t="s">
        <v>35</v>
      </c>
      <c r="D2281">
        <v>72</v>
      </c>
      <c r="E2281" t="s">
        <v>15</v>
      </c>
      <c r="F2281" t="s">
        <v>36</v>
      </c>
      <c r="G2281">
        <v>25.1</v>
      </c>
      <c r="H2281">
        <v>1789.9</v>
      </c>
      <c r="I2281" t="s">
        <v>15</v>
      </c>
      <c r="J2281" t="s">
        <v>16</v>
      </c>
      <c r="K2281" t="s">
        <v>29</v>
      </c>
      <c r="L2281">
        <v>1789.9</v>
      </c>
      <c r="M2281" t="s">
        <v>5033</v>
      </c>
      <c r="N2281" t="s">
        <v>5031</v>
      </c>
    </row>
    <row r="2282" spans="1:14" x14ac:dyDescent="0.3">
      <c r="A2282" t="s">
        <v>2306</v>
      </c>
      <c r="B2282" t="s">
        <v>12</v>
      </c>
      <c r="C2282" t="s">
        <v>13</v>
      </c>
      <c r="D2282">
        <v>8</v>
      </c>
      <c r="E2282" t="s">
        <v>26</v>
      </c>
      <c r="F2282" t="s">
        <v>16</v>
      </c>
      <c r="G2282">
        <v>100.15</v>
      </c>
      <c r="H2282">
        <v>908.55</v>
      </c>
      <c r="I2282" t="s">
        <v>15</v>
      </c>
      <c r="J2282" t="s">
        <v>16</v>
      </c>
      <c r="K2282" t="s">
        <v>29</v>
      </c>
      <c r="L2282">
        <v>908.55</v>
      </c>
      <c r="M2282" t="s">
        <v>5030</v>
      </c>
      <c r="N2282" t="s">
        <v>5031</v>
      </c>
    </row>
    <row r="2283" spans="1:14" x14ac:dyDescent="0.3">
      <c r="A2283" t="s">
        <v>2307</v>
      </c>
      <c r="B2283" t="s">
        <v>12</v>
      </c>
      <c r="C2283" t="s">
        <v>13</v>
      </c>
      <c r="D2283">
        <v>16</v>
      </c>
      <c r="E2283" t="s">
        <v>14</v>
      </c>
      <c r="F2283" t="s">
        <v>15</v>
      </c>
      <c r="G2283">
        <v>65.2</v>
      </c>
      <c r="H2283">
        <v>1043.3499999999999</v>
      </c>
      <c r="I2283" t="s">
        <v>16</v>
      </c>
      <c r="J2283" t="s">
        <v>16</v>
      </c>
      <c r="K2283" t="s">
        <v>29</v>
      </c>
      <c r="L2283">
        <v>1043.3499999999999</v>
      </c>
      <c r="M2283" t="s">
        <v>5032</v>
      </c>
      <c r="N2283" t="s">
        <v>5031</v>
      </c>
    </row>
    <row r="2284" spans="1:14" x14ac:dyDescent="0.3">
      <c r="A2284" t="s">
        <v>2308</v>
      </c>
      <c r="B2284" t="s">
        <v>19</v>
      </c>
      <c r="C2284" t="s">
        <v>13</v>
      </c>
      <c r="D2284">
        <v>66</v>
      </c>
      <c r="E2284" t="s">
        <v>26</v>
      </c>
      <c r="F2284" t="s">
        <v>15</v>
      </c>
      <c r="G2284">
        <v>99.5</v>
      </c>
      <c r="H2284">
        <v>6822.15</v>
      </c>
      <c r="I2284" t="s">
        <v>16</v>
      </c>
      <c r="J2284" t="s">
        <v>16</v>
      </c>
      <c r="K2284" t="s">
        <v>29</v>
      </c>
      <c r="L2284">
        <v>6822.15</v>
      </c>
      <c r="M2284" t="s">
        <v>5033</v>
      </c>
      <c r="N2284" t="s">
        <v>5034</v>
      </c>
    </row>
    <row r="2285" spans="1:14" x14ac:dyDescent="0.3">
      <c r="A2285" t="s">
        <v>2309</v>
      </c>
      <c r="B2285" t="s">
        <v>19</v>
      </c>
      <c r="C2285" t="s">
        <v>13</v>
      </c>
      <c r="D2285">
        <v>1</v>
      </c>
      <c r="E2285" t="s">
        <v>26</v>
      </c>
      <c r="F2285" t="s">
        <v>15</v>
      </c>
      <c r="G2285">
        <v>71.55</v>
      </c>
      <c r="H2285">
        <v>71.55</v>
      </c>
      <c r="I2285" t="s">
        <v>16</v>
      </c>
      <c r="J2285" t="s">
        <v>16</v>
      </c>
      <c r="K2285" t="s">
        <v>21</v>
      </c>
      <c r="L2285">
        <v>71.55</v>
      </c>
      <c r="M2285" t="s">
        <v>5030</v>
      </c>
      <c r="N2285" t="s">
        <v>5031</v>
      </c>
    </row>
    <row r="2286" spans="1:14" x14ac:dyDescent="0.3">
      <c r="A2286" t="s">
        <v>2310</v>
      </c>
      <c r="B2286" t="s">
        <v>19</v>
      </c>
      <c r="C2286" t="s">
        <v>13</v>
      </c>
      <c r="D2286">
        <v>3</v>
      </c>
      <c r="E2286" t="s">
        <v>14</v>
      </c>
      <c r="F2286" t="s">
        <v>15</v>
      </c>
      <c r="G2286">
        <v>55.9</v>
      </c>
      <c r="H2286">
        <v>157.55000000000001</v>
      </c>
      <c r="I2286" t="s">
        <v>15</v>
      </c>
      <c r="J2286" t="s">
        <v>15</v>
      </c>
      <c r="K2286" t="s">
        <v>21</v>
      </c>
      <c r="L2286">
        <v>157.55000000000001</v>
      </c>
      <c r="M2286" t="s">
        <v>5030</v>
      </c>
      <c r="N2286" t="s">
        <v>5031</v>
      </c>
    </row>
    <row r="2287" spans="1:14" x14ac:dyDescent="0.3">
      <c r="A2287" t="s">
        <v>2311</v>
      </c>
      <c r="B2287" t="s">
        <v>19</v>
      </c>
      <c r="C2287" t="s">
        <v>13</v>
      </c>
      <c r="D2287">
        <v>53</v>
      </c>
      <c r="E2287" t="s">
        <v>26</v>
      </c>
      <c r="F2287" t="s">
        <v>15</v>
      </c>
      <c r="G2287">
        <v>93.9</v>
      </c>
      <c r="H2287">
        <v>5029.2</v>
      </c>
      <c r="I2287" t="s">
        <v>16</v>
      </c>
      <c r="J2287" t="s">
        <v>15</v>
      </c>
      <c r="K2287" t="s">
        <v>17</v>
      </c>
      <c r="L2287">
        <v>5029.2</v>
      </c>
      <c r="M2287" t="s">
        <v>5033</v>
      </c>
      <c r="N2287" t="s">
        <v>5034</v>
      </c>
    </row>
    <row r="2288" spans="1:14" x14ac:dyDescent="0.3">
      <c r="A2288" t="s">
        <v>2312</v>
      </c>
      <c r="B2288" t="s">
        <v>19</v>
      </c>
      <c r="C2288" t="s">
        <v>13</v>
      </c>
      <c r="D2288">
        <v>8</v>
      </c>
      <c r="E2288" t="s">
        <v>14</v>
      </c>
      <c r="F2288" t="s">
        <v>16</v>
      </c>
      <c r="G2288">
        <v>64.400000000000006</v>
      </c>
      <c r="H2288">
        <v>581.70000000000005</v>
      </c>
      <c r="I2288" t="s">
        <v>15</v>
      </c>
      <c r="J2288" t="s">
        <v>16</v>
      </c>
      <c r="K2288" t="s">
        <v>29</v>
      </c>
      <c r="L2288">
        <v>581.70000000000005</v>
      </c>
      <c r="M2288" t="s">
        <v>5030</v>
      </c>
      <c r="N2288" t="s">
        <v>5031</v>
      </c>
    </row>
    <row r="2289" spans="1:14" x14ac:dyDescent="0.3">
      <c r="A2289" t="s">
        <v>2313</v>
      </c>
      <c r="B2289" t="s">
        <v>19</v>
      </c>
      <c r="C2289" t="s">
        <v>35</v>
      </c>
      <c r="D2289">
        <v>69</v>
      </c>
      <c r="E2289" t="s">
        <v>26</v>
      </c>
      <c r="F2289" t="s">
        <v>16</v>
      </c>
      <c r="G2289">
        <v>108.4</v>
      </c>
      <c r="H2289">
        <v>7318.2</v>
      </c>
      <c r="I2289" t="s">
        <v>16</v>
      </c>
      <c r="J2289" t="s">
        <v>16</v>
      </c>
      <c r="K2289" t="s">
        <v>24</v>
      </c>
      <c r="L2289">
        <v>7318.2</v>
      </c>
      <c r="M2289" t="s">
        <v>5033</v>
      </c>
      <c r="N2289" t="s">
        <v>5034</v>
      </c>
    </row>
    <row r="2290" spans="1:14" x14ac:dyDescent="0.3">
      <c r="A2290" t="s">
        <v>2314</v>
      </c>
      <c r="B2290" t="s">
        <v>12</v>
      </c>
      <c r="C2290" t="s">
        <v>13</v>
      </c>
      <c r="D2290">
        <v>5</v>
      </c>
      <c r="E2290" t="s">
        <v>26</v>
      </c>
      <c r="F2290" t="s">
        <v>15</v>
      </c>
      <c r="G2290">
        <v>85.3</v>
      </c>
      <c r="H2290">
        <v>420.45</v>
      </c>
      <c r="I2290" t="s">
        <v>15</v>
      </c>
      <c r="J2290" t="s">
        <v>16</v>
      </c>
      <c r="K2290" t="s">
        <v>21</v>
      </c>
      <c r="L2290">
        <v>420.45</v>
      </c>
      <c r="M2290" t="s">
        <v>5030</v>
      </c>
      <c r="N2290" t="s">
        <v>5031</v>
      </c>
    </row>
    <row r="2291" spans="1:14" x14ac:dyDescent="0.3">
      <c r="A2291" t="s">
        <v>2315</v>
      </c>
      <c r="B2291" t="s">
        <v>12</v>
      </c>
      <c r="C2291" t="s">
        <v>35</v>
      </c>
      <c r="D2291">
        <v>72</v>
      </c>
      <c r="E2291" t="s">
        <v>26</v>
      </c>
      <c r="F2291" t="s">
        <v>16</v>
      </c>
      <c r="G2291">
        <v>107.45</v>
      </c>
      <c r="H2291">
        <v>7576.7</v>
      </c>
      <c r="I2291" t="s">
        <v>15</v>
      </c>
      <c r="J2291" t="s">
        <v>15</v>
      </c>
      <c r="K2291" t="s">
        <v>21</v>
      </c>
      <c r="L2291">
        <v>7576.7</v>
      </c>
      <c r="M2291" t="s">
        <v>5033</v>
      </c>
      <c r="N2291" t="s">
        <v>5034</v>
      </c>
    </row>
    <row r="2292" spans="1:14" x14ac:dyDescent="0.3">
      <c r="A2292" t="s">
        <v>2316</v>
      </c>
      <c r="B2292" t="s">
        <v>12</v>
      </c>
      <c r="C2292" t="s">
        <v>13</v>
      </c>
      <c r="D2292">
        <v>13</v>
      </c>
      <c r="E2292" t="s">
        <v>14</v>
      </c>
      <c r="F2292" t="s">
        <v>15</v>
      </c>
      <c r="G2292">
        <v>48.75</v>
      </c>
      <c r="H2292">
        <v>633.4</v>
      </c>
      <c r="I2292" t="s">
        <v>16</v>
      </c>
      <c r="J2292" t="s">
        <v>16</v>
      </c>
      <c r="K2292" t="s">
        <v>24</v>
      </c>
      <c r="L2292">
        <v>633.4</v>
      </c>
      <c r="M2292" t="s">
        <v>5032</v>
      </c>
      <c r="N2292" t="s">
        <v>5031</v>
      </c>
    </row>
    <row r="2293" spans="1:14" x14ac:dyDescent="0.3">
      <c r="A2293" t="s">
        <v>2317</v>
      </c>
      <c r="B2293" t="s">
        <v>12</v>
      </c>
      <c r="C2293" t="s">
        <v>13</v>
      </c>
      <c r="D2293">
        <v>4</v>
      </c>
      <c r="E2293" t="s">
        <v>26</v>
      </c>
      <c r="F2293" t="s">
        <v>15</v>
      </c>
      <c r="G2293">
        <v>85.65</v>
      </c>
      <c r="H2293">
        <v>321.64999999999998</v>
      </c>
      <c r="I2293" t="s">
        <v>16</v>
      </c>
      <c r="J2293" t="s">
        <v>16</v>
      </c>
      <c r="K2293" t="s">
        <v>17</v>
      </c>
      <c r="L2293">
        <v>321.64999999999998</v>
      </c>
      <c r="M2293" t="s">
        <v>5030</v>
      </c>
      <c r="N2293" t="s">
        <v>5031</v>
      </c>
    </row>
    <row r="2294" spans="1:14" x14ac:dyDescent="0.3">
      <c r="A2294" t="s">
        <v>2318</v>
      </c>
      <c r="B2294" t="s">
        <v>12</v>
      </c>
      <c r="C2294" t="s">
        <v>35</v>
      </c>
      <c r="D2294">
        <v>54</v>
      </c>
      <c r="E2294" t="s">
        <v>14</v>
      </c>
      <c r="F2294" t="s">
        <v>16</v>
      </c>
      <c r="G2294">
        <v>91.3</v>
      </c>
      <c r="H2294">
        <v>4965</v>
      </c>
      <c r="I2294" t="s">
        <v>15</v>
      </c>
      <c r="J2294" t="s">
        <v>15</v>
      </c>
      <c r="K2294" t="s">
        <v>29</v>
      </c>
      <c r="L2294">
        <v>4965</v>
      </c>
      <c r="M2294" t="s">
        <v>5033</v>
      </c>
      <c r="N2294" t="s">
        <v>5034</v>
      </c>
    </row>
    <row r="2295" spans="1:14" x14ac:dyDescent="0.3">
      <c r="A2295" t="s">
        <v>2319</v>
      </c>
      <c r="B2295" t="s">
        <v>19</v>
      </c>
      <c r="C2295" t="s">
        <v>35</v>
      </c>
      <c r="D2295">
        <v>72</v>
      </c>
      <c r="E2295" t="s">
        <v>14</v>
      </c>
      <c r="F2295" t="s">
        <v>16</v>
      </c>
      <c r="G2295">
        <v>85.95</v>
      </c>
      <c r="H2295">
        <v>6151.9</v>
      </c>
      <c r="I2295" t="s">
        <v>15</v>
      </c>
      <c r="J2295" t="s">
        <v>15</v>
      </c>
      <c r="K2295" t="s">
        <v>24</v>
      </c>
      <c r="L2295">
        <v>6151.9</v>
      </c>
      <c r="M2295" t="s">
        <v>5033</v>
      </c>
      <c r="N2295" t="s">
        <v>5034</v>
      </c>
    </row>
    <row r="2296" spans="1:14" x14ac:dyDescent="0.3">
      <c r="A2296" t="s">
        <v>2320</v>
      </c>
      <c r="B2296" t="s">
        <v>19</v>
      </c>
      <c r="C2296" t="s">
        <v>13</v>
      </c>
      <c r="D2296">
        <v>12</v>
      </c>
      <c r="E2296" t="s">
        <v>26</v>
      </c>
      <c r="F2296" t="s">
        <v>15</v>
      </c>
      <c r="G2296">
        <v>106.7</v>
      </c>
      <c r="H2296">
        <v>1253.9000000000001</v>
      </c>
      <c r="I2296" t="s">
        <v>16</v>
      </c>
      <c r="J2296" t="s">
        <v>16</v>
      </c>
      <c r="K2296" t="s">
        <v>17</v>
      </c>
      <c r="L2296">
        <v>1253.9000000000001</v>
      </c>
      <c r="M2296" t="s">
        <v>5030</v>
      </c>
      <c r="N2296" t="s">
        <v>5031</v>
      </c>
    </row>
    <row r="2297" spans="1:14" x14ac:dyDescent="0.3">
      <c r="A2297" t="s">
        <v>2321</v>
      </c>
      <c r="B2297" t="s">
        <v>19</v>
      </c>
      <c r="C2297" t="s">
        <v>13</v>
      </c>
      <c r="D2297">
        <v>1</v>
      </c>
      <c r="E2297" t="s">
        <v>14</v>
      </c>
      <c r="F2297" t="s">
        <v>15</v>
      </c>
      <c r="G2297">
        <v>25.15</v>
      </c>
      <c r="H2297">
        <v>25.15</v>
      </c>
      <c r="I2297" t="s">
        <v>16</v>
      </c>
      <c r="J2297" t="s">
        <v>16</v>
      </c>
      <c r="K2297" t="s">
        <v>17</v>
      </c>
      <c r="L2297">
        <v>25.15</v>
      </c>
      <c r="M2297" t="s">
        <v>5030</v>
      </c>
      <c r="N2297" t="s">
        <v>5031</v>
      </c>
    </row>
    <row r="2298" spans="1:14" x14ac:dyDescent="0.3">
      <c r="A2298" t="s">
        <v>2322</v>
      </c>
      <c r="B2298" t="s">
        <v>19</v>
      </c>
      <c r="C2298" t="s">
        <v>13</v>
      </c>
      <c r="D2298">
        <v>1</v>
      </c>
      <c r="E2298" t="s">
        <v>14</v>
      </c>
      <c r="F2298" t="s">
        <v>15</v>
      </c>
      <c r="G2298">
        <v>45.2</v>
      </c>
      <c r="H2298">
        <v>45.2</v>
      </c>
      <c r="I2298" t="s">
        <v>15</v>
      </c>
      <c r="J2298" t="s">
        <v>15</v>
      </c>
      <c r="K2298" t="s">
        <v>17</v>
      </c>
      <c r="L2298">
        <v>45.2</v>
      </c>
      <c r="M2298" t="s">
        <v>5030</v>
      </c>
      <c r="N2298" t="s">
        <v>5031</v>
      </c>
    </row>
    <row r="2299" spans="1:14" x14ac:dyDescent="0.3">
      <c r="A2299" t="s">
        <v>2323</v>
      </c>
      <c r="B2299" t="s">
        <v>12</v>
      </c>
      <c r="C2299" t="s">
        <v>20</v>
      </c>
      <c r="D2299">
        <v>54</v>
      </c>
      <c r="E2299" t="s">
        <v>26</v>
      </c>
      <c r="F2299" t="s">
        <v>16</v>
      </c>
      <c r="G2299">
        <v>110.35</v>
      </c>
      <c r="H2299">
        <v>5893.15</v>
      </c>
      <c r="I2299" t="s">
        <v>16</v>
      </c>
      <c r="J2299" t="s">
        <v>15</v>
      </c>
      <c r="K2299" t="s">
        <v>17</v>
      </c>
      <c r="L2299">
        <v>5893.15</v>
      </c>
      <c r="M2299" t="s">
        <v>5033</v>
      </c>
      <c r="N2299" t="s">
        <v>5034</v>
      </c>
    </row>
    <row r="2300" spans="1:14" x14ac:dyDescent="0.3">
      <c r="A2300" t="s">
        <v>2324</v>
      </c>
      <c r="B2300" t="s">
        <v>19</v>
      </c>
      <c r="C2300" t="s">
        <v>35</v>
      </c>
      <c r="D2300">
        <v>69</v>
      </c>
      <c r="E2300" t="s">
        <v>26</v>
      </c>
      <c r="F2300" t="s">
        <v>15</v>
      </c>
      <c r="G2300">
        <v>79.2</v>
      </c>
      <c r="H2300">
        <v>5420.65</v>
      </c>
      <c r="I2300" t="s">
        <v>15</v>
      </c>
      <c r="J2300" t="s">
        <v>16</v>
      </c>
      <c r="K2300" t="s">
        <v>29</v>
      </c>
      <c r="L2300">
        <v>5420.65</v>
      </c>
      <c r="M2300" t="s">
        <v>5033</v>
      </c>
      <c r="N2300" t="s">
        <v>5034</v>
      </c>
    </row>
    <row r="2301" spans="1:14" x14ac:dyDescent="0.3">
      <c r="A2301" t="s">
        <v>2325</v>
      </c>
      <c r="B2301" t="s">
        <v>12</v>
      </c>
      <c r="C2301" t="s">
        <v>35</v>
      </c>
      <c r="D2301">
        <v>48</v>
      </c>
      <c r="E2301" t="s">
        <v>14</v>
      </c>
      <c r="F2301" t="s">
        <v>15</v>
      </c>
      <c r="G2301">
        <v>55.5</v>
      </c>
      <c r="H2301">
        <v>2627.35</v>
      </c>
      <c r="I2301" t="s">
        <v>15</v>
      </c>
      <c r="J2301" t="s">
        <v>15</v>
      </c>
      <c r="K2301" t="s">
        <v>29</v>
      </c>
      <c r="L2301">
        <v>2627.35</v>
      </c>
      <c r="M2301" t="s">
        <v>5033</v>
      </c>
      <c r="N2301" t="s">
        <v>5034</v>
      </c>
    </row>
    <row r="2302" spans="1:14" x14ac:dyDescent="0.3">
      <c r="A2302" t="s">
        <v>2326</v>
      </c>
      <c r="B2302" t="s">
        <v>12</v>
      </c>
      <c r="C2302" t="s">
        <v>20</v>
      </c>
      <c r="D2302">
        <v>48</v>
      </c>
      <c r="E2302" t="s">
        <v>26</v>
      </c>
      <c r="F2302" t="s">
        <v>15</v>
      </c>
      <c r="G2302">
        <v>103.25</v>
      </c>
      <c r="H2302">
        <v>5037.55</v>
      </c>
      <c r="I2302" t="s">
        <v>16</v>
      </c>
      <c r="J2302" t="s">
        <v>16</v>
      </c>
      <c r="K2302" t="s">
        <v>29</v>
      </c>
      <c r="L2302">
        <v>5037.55</v>
      </c>
      <c r="M2302" t="s">
        <v>5033</v>
      </c>
      <c r="N2302" t="s">
        <v>5034</v>
      </c>
    </row>
    <row r="2303" spans="1:14" x14ac:dyDescent="0.3">
      <c r="A2303" t="s">
        <v>2327</v>
      </c>
      <c r="B2303" t="s">
        <v>12</v>
      </c>
      <c r="C2303" t="s">
        <v>13</v>
      </c>
      <c r="D2303">
        <v>8</v>
      </c>
      <c r="E2303" t="s">
        <v>26</v>
      </c>
      <c r="F2303" t="s">
        <v>16</v>
      </c>
      <c r="G2303">
        <v>90.25</v>
      </c>
      <c r="H2303">
        <v>743.75</v>
      </c>
      <c r="I2303" t="s">
        <v>15</v>
      </c>
      <c r="J2303" t="s">
        <v>16</v>
      </c>
      <c r="K2303" t="s">
        <v>17</v>
      </c>
      <c r="L2303">
        <v>743.75</v>
      </c>
      <c r="M2303" t="s">
        <v>5030</v>
      </c>
      <c r="N2303" t="s">
        <v>5031</v>
      </c>
    </row>
    <row r="2304" spans="1:14" x14ac:dyDescent="0.3">
      <c r="A2304" t="s">
        <v>2328</v>
      </c>
      <c r="B2304" t="s">
        <v>19</v>
      </c>
      <c r="C2304" t="s">
        <v>35</v>
      </c>
      <c r="D2304">
        <v>71</v>
      </c>
      <c r="E2304" t="s">
        <v>14</v>
      </c>
      <c r="F2304" t="s">
        <v>16</v>
      </c>
      <c r="G2304">
        <v>91.25</v>
      </c>
      <c r="H2304">
        <v>6589.6</v>
      </c>
      <c r="I2304" t="s">
        <v>15</v>
      </c>
      <c r="J2304" t="s">
        <v>16</v>
      </c>
      <c r="K2304" t="s">
        <v>21</v>
      </c>
      <c r="L2304">
        <v>6589.6</v>
      </c>
      <c r="M2304" t="s">
        <v>5033</v>
      </c>
      <c r="N2304" t="s">
        <v>5034</v>
      </c>
    </row>
    <row r="2305" spans="1:14" x14ac:dyDescent="0.3">
      <c r="A2305" t="s">
        <v>2329</v>
      </c>
      <c r="B2305" t="s">
        <v>19</v>
      </c>
      <c r="C2305" t="s">
        <v>13</v>
      </c>
      <c r="D2305">
        <v>2</v>
      </c>
      <c r="E2305" t="s">
        <v>14</v>
      </c>
      <c r="F2305" t="s">
        <v>15</v>
      </c>
      <c r="G2305">
        <v>47.8</v>
      </c>
      <c r="H2305">
        <v>92.45</v>
      </c>
      <c r="I2305" t="s">
        <v>16</v>
      </c>
      <c r="J2305" t="s">
        <v>16</v>
      </c>
      <c r="K2305" t="s">
        <v>17</v>
      </c>
      <c r="L2305">
        <v>92.45</v>
      </c>
      <c r="M2305" t="s">
        <v>5030</v>
      </c>
      <c r="N2305" t="s">
        <v>5031</v>
      </c>
    </row>
    <row r="2306" spans="1:14" x14ac:dyDescent="0.3">
      <c r="A2306" t="s">
        <v>2330</v>
      </c>
      <c r="B2306" t="s">
        <v>19</v>
      </c>
      <c r="C2306" t="s">
        <v>20</v>
      </c>
      <c r="D2306">
        <v>67</v>
      </c>
      <c r="E2306" t="s">
        <v>26</v>
      </c>
      <c r="F2306" t="s">
        <v>15</v>
      </c>
      <c r="G2306">
        <v>100.9</v>
      </c>
      <c r="H2306">
        <v>6733.15</v>
      </c>
      <c r="I2306" t="s">
        <v>15</v>
      </c>
      <c r="J2306" t="s">
        <v>16</v>
      </c>
      <c r="K2306" t="s">
        <v>29</v>
      </c>
      <c r="L2306">
        <v>6733.15</v>
      </c>
      <c r="M2306" t="s">
        <v>5033</v>
      </c>
      <c r="N2306" t="s">
        <v>5034</v>
      </c>
    </row>
    <row r="2307" spans="1:14" x14ac:dyDescent="0.3">
      <c r="A2307" t="s">
        <v>2331</v>
      </c>
      <c r="B2307" t="s">
        <v>19</v>
      </c>
      <c r="C2307" t="s">
        <v>13</v>
      </c>
      <c r="D2307">
        <v>34</v>
      </c>
      <c r="E2307" t="s">
        <v>26</v>
      </c>
      <c r="F2307" t="s">
        <v>15</v>
      </c>
      <c r="G2307">
        <v>97.7</v>
      </c>
      <c r="H2307">
        <v>3410</v>
      </c>
      <c r="I2307" t="s">
        <v>15</v>
      </c>
      <c r="J2307" t="s">
        <v>16</v>
      </c>
      <c r="K2307" t="s">
        <v>24</v>
      </c>
      <c r="L2307">
        <v>3410</v>
      </c>
      <c r="M2307" t="s">
        <v>5032</v>
      </c>
      <c r="N2307" t="s">
        <v>5034</v>
      </c>
    </row>
    <row r="2308" spans="1:14" x14ac:dyDescent="0.3">
      <c r="A2308" t="s">
        <v>2332</v>
      </c>
      <c r="B2308" t="s">
        <v>12</v>
      </c>
      <c r="C2308" t="s">
        <v>13</v>
      </c>
      <c r="D2308">
        <v>3</v>
      </c>
      <c r="E2308" t="s">
        <v>26</v>
      </c>
      <c r="F2308" t="s">
        <v>15</v>
      </c>
      <c r="G2308">
        <v>69.849999999999994</v>
      </c>
      <c r="H2308">
        <v>199.85</v>
      </c>
      <c r="I2308" t="s">
        <v>15</v>
      </c>
      <c r="J2308" t="s">
        <v>16</v>
      </c>
      <c r="K2308" t="s">
        <v>17</v>
      </c>
      <c r="L2308">
        <v>199.85</v>
      </c>
      <c r="M2308" t="s">
        <v>5030</v>
      </c>
      <c r="N2308" t="s">
        <v>5031</v>
      </c>
    </row>
    <row r="2309" spans="1:14" x14ac:dyDescent="0.3">
      <c r="A2309" t="s">
        <v>2333</v>
      </c>
      <c r="B2309" t="s">
        <v>12</v>
      </c>
      <c r="C2309" t="s">
        <v>20</v>
      </c>
      <c r="D2309">
        <v>9</v>
      </c>
      <c r="E2309" t="s">
        <v>14</v>
      </c>
      <c r="F2309" t="s">
        <v>16</v>
      </c>
      <c r="G2309">
        <v>65.599999999999994</v>
      </c>
      <c r="H2309">
        <v>593.29999999999995</v>
      </c>
      <c r="I2309" t="s">
        <v>15</v>
      </c>
      <c r="J2309" t="s">
        <v>16</v>
      </c>
      <c r="K2309" t="s">
        <v>21</v>
      </c>
      <c r="L2309">
        <v>593.29999999999995</v>
      </c>
      <c r="M2309" t="s">
        <v>5030</v>
      </c>
      <c r="N2309" t="s">
        <v>5031</v>
      </c>
    </row>
    <row r="2310" spans="1:14" x14ac:dyDescent="0.3">
      <c r="A2310" t="s">
        <v>2334</v>
      </c>
      <c r="B2310" t="s">
        <v>19</v>
      </c>
      <c r="C2310" t="s">
        <v>20</v>
      </c>
      <c r="D2310">
        <v>71</v>
      </c>
      <c r="E2310" t="s">
        <v>26</v>
      </c>
      <c r="F2310" t="s">
        <v>15</v>
      </c>
      <c r="G2310">
        <v>104.65</v>
      </c>
      <c r="H2310">
        <v>7288.4</v>
      </c>
      <c r="I2310" t="s">
        <v>15</v>
      </c>
      <c r="J2310" t="s">
        <v>16</v>
      </c>
      <c r="K2310" t="s">
        <v>24</v>
      </c>
      <c r="L2310">
        <v>7288.4</v>
      </c>
      <c r="M2310" t="s">
        <v>5033</v>
      </c>
      <c r="N2310" t="s">
        <v>5034</v>
      </c>
    </row>
    <row r="2311" spans="1:14" x14ac:dyDescent="0.3">
      <c r="A2311" t="s">
        <v>2335</v>
      </c>
      <c r="B2311" t="s">
        <v>19</v>
      </c>
      <c r="C2311" t="s">
        <v>35</v>
      </c>
      <c r="D2311">
        <v>57</v>
      </c>
      <c r="E2311" t="s">
        <v>26</v>
      </c>
      <c r="F2311" t="s">
        <v>16</v>
      </c>
      <c r="G2311">
        <v>90.45</v>
      </c>
      <c r="H2311">
        <v>5229.8</v>
      </c>
      <c r="I2311" t="s">
        <v>15</v>
      </c>
      <c r="J2311" t="s">
        <v>16</v>
      </c>
      <c r="K2311" t="s">
        <v>29</v>
      </c>
      <c r="L2311">
        <v>5229.8</v>
      </c>
      <c r="M2311" t="s">
        <v>5033</v>
      </c>
      <c r="N2311" t="s">
        <v>5034</v>
      </c>
    </row>
    <row r="2312" spans="1:14" x14ac:dyDescent="0.3">
      <c r="A2312" t="s">
        <v>2336</v>
      </c>
      <c r="B2312" t="s">
        <v>19</v>
      </c>
      <c r="C2312" t="s">
        <v>35</v>
      </c>
      <c r="D2312">
        <v>72</v>
      </c>
      <c r="E2312" t="s">
        <v>14</v>
      </c>
      <c r="F2312" t="s">
        <v>16</v>
      </c>
      <c r="G2312">
        <v>63.7</v>
      </c>
      <c r="H2312">
        <v>4464.8</v>
      </c>
      <c r="I2312" t="s">
        <v>15</v>
      </c>
      <c r="J2312" t="s">
        <v>16</v>
      </c>
      <c r="K2312" t="s">
        <v>24</v>
      </c>
      <c r="L2312">
        <v>4464.8</v>
      </c>
      <c r="M2312" t="s">
        <v>5033</v>
      </c>
      <c r="N2312" t="s">
        <v>5034</v>
      </c>
    </row>
    <row r="2313" spans="1:14" x14ac:dyDescent="0.3">
      <c r="A2313" t="s">
        <v>2337</v>
      </c>
      <c r="B2313" t="s">
        <v>12</v>
      </c>
      <c r="C2313" t="s">
        <v>13</v>
      </c>
      <c r="D2313">
        <v>48</v>
      </c>
      <c r="E2313" t="s">
        <v>26</v>
      </c>
      <c r="F2313" t="s">
        <v>16</v>
      </c>
      <c r="G2313">
        <v>104.5</v>
      </c>
      <c r="H2313">
        <v>5068.05</v>
      </c>
      <c r="I2313" t="s">
        <v>15</v>
      </c>
      <c r="J2313" t="s">
        <v>16</v>
      </c>
      <c r="K2313" t="s">
        <v>17</v>
      </c>
      <c r="L2313">
        <v>5068.05</v>
      </c>
      <c r="M2313" t="s">
        <v>5033</v>
      </c>
      <c r="N2313" t="s">
        <v>5034</v>
      </c>
    </row>
    <row r="2314" spans="1:14" x14ac:dyDescent="0.3">
      <c r="A2314" t="s">
        <v>2338</v>
      </c>
      <c r="B2314" t="s">
        <v>19</v>
      </c>
      <c r="C2314" t="s">
        <v>20</v>
      </c>
      <c r="D2314">
        <v>18</v>
      </c>
      <c r="E2314" t="s">
        <v>15</v>
      </c>
      <c r="F2314" t="s">
        <v>36</v>
      </c>
      <c r="G2314">
        <v>20.100000000000001</v>
      </c>
      <c r="H2314">
        <v>401.85</v>
      </c>
      <c r="I2314" t="s">
        <v>15</v>
      </c>
      <c r="J2314" t="s">
        <v>15</v>
      </c>
      <c r="K2314" t="s">
        <v>21</v>
      </c>
      <c r="L2314">
        <v>401.85</v>
      </c>
      <c r="M2314" t="s">
        <v>5032</v>
      </c>
      <c r="N2314" t="s">
        <v>5031</v>
      </c>
    </row>
    <row r="2315" spans="1:14" x14ac:dyDescent="0.3">
      <c r="A2315" t="s">
        <v>2339</v>
      </c>
      <c r="B2315" t="s">
        <v>19</v>
      </c>
      <c r="C2315" t="s">
        <v>20</v>
      </c>
      <c r="D2315">
        <v>43</v>
      </c>
      <c r="E2315" t="s">
        <v>26</v>
      </c>
      <c r="F2315" t="s">
        <v>16</v>
      </c>
      <c r="G2315">
        <v>104.3</v>
      </c>
      <c r="H2315">
        <v>4451.8500000000004</v>
      </c>
      <c r="I2315" t="s">
        <v>15</v>
      </c>
      <c r="J2315" t="s">
        <v>16</v>
      </c>
      <c r="K2315" t="s">
        <v>29</v>
      </c>
      <c r="L2315">
        <v>4451.8500000000004</v>
      </c>
      <c r="M2315" t="s">
        <v>5033</v>
      </c>
      <c r="N2315" t="s">
        <v>5034</v>
      </c>
    </row>
    <row r="2316" spans="1:14" x14ac:dyDescent="0.3">
      <c r="A2316" t="s">
        <v>2340</v>
      </c>
      <c r="B2316" t="s">
        <v>12</v>
      </c>
      <c r="C2316" t="s">
        <v>35</v>
      </c>
      <c r="D2316">
        <v>72</v>
      </c>
      <c r="E2316" t="s">
        <v>14</v>
      </c>
      <c r="F2316" t="s">
        <v>16</v>
      </c>
      <c r="G2316">
        <v>93.25</v>
      </c>
      <c r="H2316">
        <v>6688.95</v>
      </c>
      <c r="I2316" t="s">
        <v>15</v>
      </c>
      <c r="J2316" t="s">
        <v>16</v>
      </c>
      <c r="K2316" t="s">
        <v>24</v>
      </c>
      <c r="L2316">
        <v>6688.95</v>
      </c>
      <c r="M2316" t="s">
        <v>5033</v>
      </c>
      <c r="N2316" t="s">
        <v>5034</v>
      </c>
    </row>
    <row r="2317" spans="1:14" x14ac:dyDescent="0.3">
      <c r="A2317" t="s">
        <v>2341</v>
      </c>
      <c r="B2317" t="s">
        <v>19</v>
      </c>
      <c r="C2317" t="s">
        <v>20</v>
      </c>
      <c r="D2317">
        <v>35</v>
      </c>
      <c r="E2317" t="s">
        <v>14</v>
      </c>
      <c r="F2317" t="s">
        <v>16</v>
      </c>
      <c r="G2317">
        <v>73.45</v>
      </c>
      <c r="H2317">
        <v>2661.1</v>
      </c>
      <c r="I2317" t="s">
        <v>15</v>
      </c>
      <c r="J2317" t="s">
        <v>16</v>
      </c>
      <c r="K2317" t="s">
        <v>24</v>
      </c>
      <c r="L2317">
        <v>2661.1</v>
      </c>
      <c r="M2317" t="s">
        <v>5032</v>
      </c>
      <c r="N2317" t="s">
        <v>5034</v>
      </c>
    </row>
    <row r="2318" spans="1:14" x14ac:dyDescent="0.3">
      <c r="A2318" t="s">
        <v>2342</v>
      </c>
      <c r="B2318" t="s">
        <v>19</v>
      </c>
      <c r="C2318" t="s">
        <v>13</v>
      </c>
      <c r="D2318">
        <v>4</v>
      </c>
      <c r="E2318" t="s">
        <v>15</v>
      </c>
      <c r="F2318" t="s">
        <v>36</v>
      </c>
      <c r="G2318">
        <v>20.7</v>
      </c>
      <c r="H2318">
        <v>73.05</v>
      </c>
      <c r="I2318" t="s">
        <v>15</v>
      </c>
      <c r="J2318" t="s">
        <v>15</v>
      </c>
      <c r="K2318" t="s">
        <v>21</v>
      </c>
      <c r="L2318">
        <v>73.05</v>
      </c>
      <c r="M2318" t="s">
        <v>5030</v>
      </c>
      <c r="N2318" t="s">
        <v>5031</v>
      </c>
    </row>
    <row r="2319" spans="1:14" x14ac:dyDescent="0.3">
      <c r="A2319" t="s">
        <v>2343</v>
      </c>
      <c r="B2319" t="s">
        <v>12</v>
      </c>
      <c r="C2319" t="s">
        <v>35</v>
      </c>
      <c r="D2319">
        <v>49</v>
      </c>
      <c r="E2319" t="s">
        <v>15</v>
      </c>
      <c r="F2319" t="s">
        <v>36</v>
      </c>
      <c r="G2319">
        <v>25.25</v>
      </c>
      <c r="H2319">
        <v>1211.6500000000001</v>
      </c>
      <c r="I2319" t="s">
        <v>15</v>
      </c>
      <c r="J2319" t="s">
        <v>15</v>
      </c>
      <c r="K2319" t="s">
        <v>21</v>
      </c>
      <c r="L2319">
        <v>1211.6500000000001</v>
      </c>
      <c r="M2319" t="s">
        <v>5033</v>
      </c>
      <c r="N2319" t="s">
        <v>5031</v>
      </c>
    </row>
    <row r="2320" spans="1:14" x14ac:dyDescent="0.3">
      <c r="A2320" t="s">
        <v>2344</v>
      </c>
      <c r="B2320" t="s">
        <v>12</v>
      </c>
      <c r="C2320" t="s">
        <v>35</v>
      </c>
      <c r="D2320">
        <v>71</v>
      </c>
      <c r="E2320" t="s">
        <v>26</v>
      </c>
      <c r="F2320" t="s">
        <v>15</v>
      </c>
      <c r="G2320">
        <v>100.5</v>
      </c>
      <c r="H2320">
        <v>7030.65</v>
      </c>
      <c r="I2320" t="s">
        <v>15</v>
      </c>
      <c r="J2320" t="s">
        <v>15</v>
      </c>
      <c r="K2320" t="s">
        <v>24</v>
      </c>
      <c r="L2320">
        <v>7030.65</v>
      </c>
      <c r="M2320" t="s">
        <v>5033</v>
      </c>
      <c r="N2320" t="s">
        <v>5034</v>
      </c>
    </row>
    <row r="2321" spans="1:14" x14ac:dyDescent="0.3">
      <c r="A2321" t="s">
        <v>2345</v>
      </c>
      <c r="B2321" t="s">
        <v>19</v>
      </c>
      <c r="C2321" t="s">
        <v>13</v>
      </c>
      <c r="D2321">
        <v>11</v>
      </c>
      <c r="E2321" t="s">
        <v>26</v>
      </c>
      <c r="F2321" t="s">
        <v>15</v>
      </c>
      <c r="G2321">
        <v>90.6</v>
      </c>
      <c r="H2321">
        <v>1020.2</v>
      </c>
      <c r="I2321" t="s">
        <v>15</v>
      </c>
      <c r="J2321" t="s">
        <v>15</v>
      </c>
      <c r="K2321" t="s">
        <v>17</v>
      </c>
      <c r="L2321">
        <v>1020.2</v>
      </c>
      <c r="M2321" t="s">
        <v>5030</v>
      </c>
      <c r="N2321" t="s">
        <v>5031</v>
      </c>
    </row>
    <row r="2322" spans="1:14" x14ac:dyDescent="0.3">
      <c r="A2322" t="s">
        <v>2346</v>
      </c>
      <c r="B2322" t="s">
        <v>19</v>
      </c>
      <c r="C2322" t="s">
        <v>35</v>
      </c>
      <c r="D2322">
        <v>63</v>
      </c>
      <c r="E2322" t="s">
        <v>14</v>
      </c>
      <c r="F2322" t="s">
        <v>16</v>
      </c>
      <c r="G2322">
        <v>89.4</v>
      </c>
      <c r="H2322">
        <v>5597.65</v>
      </c>
      <c r="I2322" t="s">
        <v>15</v>
      </c>
      <c r="J2322" t="s">
        <v>16</v>
      </c>
      <c r="K2322" t="s">
        <v>29</v>
      </c>
      <c r="L2322">
        <v>5597.65</v>
      </c>
      <c r="M2322" t="s">
        <v>5033</v>
      </c>
      <c r="N2322" t="s">
        <v>5034</v>
      </c>
    </row>
    <row r="2323" spans="1:14" x14ac:dyDescent="0.3">
      <c r="A2323" t="s">
        <v>2347</v>
      </c>
      <c r="B2323" t="s">
        <v>12</v>
      </c>
      <c r="C2323" t="s">
        <v>13</v>
      </c>
      <c r="D2323">
        <v>65</v>
      </c>
      <c r="E2323" t="s">
        <v>26</v>
      </c>
      <c r="F2323" t="s">
        <v>15</v>
      </c>
      <c r="G2323">
        <v>95.45</v>
      </c>
      <c r="H2323">
        <v>6223.3</v>
      </c>
      <c r="I2323" t="s">
        <v>15</v>
      </c>
      <c r="J2323" t="s">
        <v>16</v>
      </c>
      <c r="K2323" t="s">
        <v>24</v>
      </c>
      <c r="L2323">
        <v>6223.3</v>
      </c>
      <c r="M2323" t="s">
        <v>5033</v>
      </c>
      <c r="N2323" t="s">
        <v>5034</v>
      </c>
    </row>
    <row r="2324" spans="1:14" x14ac:dyDescent="0.3">
      <c r="A2324" t="s">
        <v>2348</v>
      </c>
      <c r="B2324" t="s">
        <v>12</v>
      </c>
      <c r="C2324" t="s">
        <v>35</v>
      </c>
      <c r="D2324">
        <v>49</v>
      </c>
      <c r="E2324" t="s">
        <v>15</v>
      </c>
      <c r="F2324" t="s">
        <v>36</v>
      </c>
      <c r="G2324">
        <v>20.45</v>
      </c>
      <c r="H2324">
        <v>1024.6500000000001</v>
      </c>
      <c r="I2324" t="s">
        <v>15</v>
      </c>
      <c r="J2324" t="s">
        <v>15</v>
      </c>
      <c r="K2324" t="s">
        <v>29</v>
      </c>
      <c r="L2324">
        <v>1024.6500000000001</v>
      </c>
      <c r="M2324" t="s">
        <v>5033</v>
      </c>
      <c r="N2324" t="s">
        <v>5031</v>
      </c>
    </row>
    <row r="2325" spans="1:14" x14ac:dyDescent="0.3">
      <c r="A2325" t="s">
        <v>2349</v>
      </c>
      <c r="B2325" t="s">
        <v>12</v>
      </c>
      <c r="C2325" t="s">
        <v>13</v>
      </c>
      <c r="D2325">
        <v>29</v>
      </c>
      <c r="E2325" t="s">
        <v>26</v>
      </c>
      <c r="F2325" t="s">
        <v>15</v>
      </c>
      <c r="G2325">
        <v>98.6</v>
      </c>
      <c r="H2325">
        <v>2933.2</v>
      </c>
      <c r="I2325" t="s">
        <v>16</v>
      </c>
      <c r="J2325" t="s">
        <v>16</v>
      </c>
      <c r="K2325" t="s">
        <v>29</v>
      </c>
      <c r="L2325">
        <v>2933.2</v>
      </c>
      <c r="M2325" t="s">
        <v>5032</v>
      </c>
      <c r="N2325" t="s">
        <v>5034</v>
      </c>
    </row>
    <row r="2326" spans="1:14" x14ac:dyDescent="0.3">
      <c r="A2326" t="s">
        <v>2350</v>
      </c>
      <c r="B2326" t="s">
        <v>12</v>
      </c>
      <c r="C2326" t="s">
        <v>13</v>
      </c>
      <c r="D2326">
        <v>15</v>
      </c>
      <c r="E2326" t="s">
        <v>26</v>
      </c>
      <c r="F2326" t="s">
        <v>16</v>
      </c>
      <c r="G2326">
        <v>83.05</v>
      </c>
      <c r="H2326">
        <v>1258.3</v>
      </c>
      <c r="I2326" t="s">
        <v>16</v>
      </c>
      <c r="J2326" t="s">
        <v>16</v>
      </c>
      <c r="K2326" t="s">
        <v>17</v>
      </c>
      <c r="L2326">
        <v>1258.3</v>
      </c>
      <c r="M2326" t="s">
        <v>5032</v>
      </c>
      <c r="N2326" t="s">
        <v>5031</v>
      </c>
    </row>
    <row r="2327" spans="1:14" x14ac:dyDescent="0.3">
      <c r="A2327" t="s">
        <v>2351</v>
      </c>
      <c r="B2327" t="s">
        <v>12</v>
      </c>
      <c r="C2327" t="s">
        <v>13</v>
      </c>
      <c r="D2327">
        <v>4</v>
      </c>
      <c r="E2327" t="s">
        <v>15</v>
      </c>
      <c r="F2327" t="s">
        <v>36</v>
      </c>
      <c r="G2327">
        <v>19.95</v>
      </c>
      <c r="H2327">
        <v>82.9</v>
      </c>
      <c r="I2327" t="s">
        <v>15</v>
      </c>
      <c r="J2327" t="s">
        <v>16</v>
      </c>
      <c r="K2327" t="s">
        <v>17</v>
      </c>
      <c r="L2327">
        <v>82.9</v>
      </c>
      <c r="M2327" t="s">
        <v>5030</v>
      </c>
      <c r="N2327" t="s">
        <v>5031</v>
      </c>
    </row>
    <row r="2328" spans="1:14" x14ac:dyDescent="0.3">
      <c r="A2328" t="s">
        <v>2352</v>
      </c>
      <c r="B2328" t="s">
        <v>12</v>
      </c>
      <c r="C2328" t="s">
        <v>20</v>
      </c>
      <c r="D2328">
        <v>72</v>
      </c>
      <c r="E2328" t="s">
        <v>26</v>
      </c>
      <c r="F2328" t="s">
        <v>16</v>
      </c>
      <c r="G2328">
        <v>109.15</v>
      </c>
      <c r="H2328">
        <v>7789.6</v>
      </c>
      <c r="I2328" t="s">
        <v>15</v>
      </c>
      <c r="J2328" t="s">
        <v>15</v>
      </c>
      <c r="K2328" t="s">
        <v>29</v>
      </c>
      <c r="L2328">
        <v>7789.6</v>
      </c>
      <c r="M2328" t="s">
        <v>5033</v>
      </c>
      <c r="N2328" t="s">
        <v>5034</v>
      </c>
    </row>
    <row r="2329" spans="1:14" x14ac:dyDescent="0.3">
      <c r="A2329" t="s">
        <v>2353</v>
      </c>
      <c r="B2329" t="s">
        <v>12</v>
      </c>
      <c r="C2329" t="s">
        <v>13</v>
      </c>
      <c r="D2329">
        <v>26</v>
      </c>
      <c r="E2329" t="s">
        <v>26</v>
      </c>
      <c r="F2329" t="s">
        <v>15</v>
      </c>
      <c r="G2329">
        <v>85.7</v>
      </c>
      <c r="H2329">
        <v>2067</v>
      </c>
      <c r="I2329" t="s">
        <v>15</v>
      </c>
      <c r="J2329" t="s">
        <v>16</v>
      </c>
      <c r="K2329" t="s">
        <v>29</v>
      </c>
      <c r="L2329">
        <v>2067</v>
      </c>
      <c r="M2329" t="s">
        <v>5032</v>
      </c>
      <c r="N2329" t="s">
        <v>5031</v>
      </c>
    </row>
    <row r="2330" spans="1:14" x14ac:dyDescent="0.3">
      <c r="A2330" t="s">
        <v>2354</v>
      </c>
      <c r="B2330" t="s">
        <v>12</v>
      </c>
      <c r="C2330" t="s">
        <v>13</v>
      </c>
      <c r="D2330">
        <v>35</v>
      </c>
      <c r="E2330" t="s">
        <v>26</v>
      </c>
      <c r="F2330" t="s">
        <v>15</v>
      </c>
      <c r="G2330">
        <v>102.05</v>
      </c>
      <c r="H2330">
        <v>3452.55</v>
      </c>
      <c r="I2330" t="s">
        <v>15</v>
      </c>
      <c r="J2330" t="s">
        <v>15</v>
      </c>
      <c r="K2330" t="s">
        <v>24</v>
      </c>
      <c r="L2330">
        <v>3452.55</v>
      </c>
      <c r="M2330" t="s">
        <v>5032</v>
      </c>
      <c r="N2330" t="s">
        <v>5034</v>
      </c>
    </row>
    <row r="2331" spans="1:14" x14ac:dyDescent="0.3">
      <c r="A2331" t="s">
        <v>2355</v>
      </c>
      <c r="B2331" t="s">
        <v>12</v>
      </c>
      <c r="C2331" t="s">
        <v>20</v>
      </c>
      <c r="D2331">
        <v>57</v>
      </c>
      <c r="E2331" t="s">
        <v>26</v>
      </c>
      <c r="F2331" t="s">
        <v>16</v>
      </c>
      <c r="G2331">
        <v>94.7</v>
      </c>
      <c r="H2331">
        <v>5468.95</v>
      </c>
      <c r="I2331" t="s">
        <v>15</v>
      </c>
      <c r="J2331" t="s">
        <v>15</v>
      </c>
      <c r="K2331" t="s">
        <v>17</v>
      </c>
      <c r="L2331">
        <v>5468.95</v>
      </c>
      <c r="M2331" t="s">
        <v>5033</v>
      </c>
      <c r="N2331" t="s">
        <v>5034</v>
      </c>
    </row>
    <row r="2332" spans="1:14" x14ac:dyDescent="0.3">
      <c r="A2332" t="s">
        <v>2356</v>
      </c>
      <c r="B2332" t="s">
        <v>19</v>
      </c>
      <c r="C2332" t="s">
        <v>13</v>
      </c>
      <c r="D2332">
        <v>28</v>
      </c>
      <c r="E2332" t="s">
        <v>14</v>
      </c>
      <c r="F2332" t="s">
        <v>15</v>
      </c>
      <c r="G2332">
        <v>64.400000000000006</v>
      </c>
      <c r="H2332">
        <v>1802.15</v>
      </c>
      <c r="I2332" t="s">
        <v>15</v>
      </c>
      <c r="J2332" t="s">
        <v>15</v>
      </c>
      <c r="K2332" t="s">
        <v>17</v>
      </c>
      <c r="L2332">
        <v>1802.15</v>
      </c>
      <c r="M2332" t="s">
        <v>5032</v>
      </c>
      <c r="N2332" t="s">
        <v>5031</v>
      </c>
    </row>
    <row r="2333" spans="1:14" x14ac:dyDescent="0.3">
      <c r="A2333" t="s">
        <v>2357</v>
      </c>
      <c r="B2333" t="s">
        <v>12</v>
      </c>
      <c r="C2333" t="s">
        <v>20</v>
      </c>
      <c r="D2333">
        <v>25</v>
      </c>
      <c r="E2333" t="s">
        <v>15</v>
      </c>
      <c r="F2333" t="s">
        <v>36</v>
      </c>
      <c r="G2333">
        <v>26.8</v>
      </c>
      <c r="H2333">
        <v>733.55</v>
      </c>
      <c r="I2333" t="s">
        <v>15</v>
      </c>
      <c r="J2333" t="s">
        <v>16</v>
      </c>
      <c r="K2333" t="s">
        <v>21</v>
      </c>
      <c r="L2333">
        <v>733.55</v>
      </c>
      <c r="M2333" t="s">
        <v>5032</v>
      </c>
      <c r="N2333" t="s">
        <v>5031</v>
      </c>
    </row>
    <row r="2334" spans="1:14" x14ac:dyDescent="0.3">
      <c r="A2334" t="s">
        <v>2358</v>
      </c>
      <c r="B2334" t="s">
        <v>12</v>
      </c>
      <c r="C2334" t="s">
        <v>20</v>
      </c>
      <c r="D2334">
        <v>47</v>
      </c>
      <c r="E2334" t="s">
        <v>14</v>
      </c>
      <c r="F2334" t="s">
        <v>15</v>
      </c>
      <c r="G2334">
        <v>66.05</v>
      </c>
      <c r="H2334">
        <v>3021.45</v>
      </c>
      <c r="I2334" t="s">
        <v>15</v>
      </c>
      <c r="J2334" t="s">
        <v>16</v>
      </c>
      <c r="K2334" t="s">
        <v>29</v>
      </c>
      <c r="L2334">
        <v>3021.45</v>
      </c>
      <c r="M2334" t="s">
        <v>5033</v>
      </c>
      <c r="N2334" t="s">
        <v>5034</v>
      </c>
    </row>
    <row r="2335" spans="1:14" x14ac:dyDescent="0.3">
      <c r="A2335" t="s">
        <v>2359</v>
      </c>
      <c r="B2335" t="s">
        <v>12</v>
      </c>
      <c r="C2335" t="s">
        <v>13</v>
      </c>
      <c r="D2335">
        <v>57</v>
      </c>
      <c r="E2335" t="s">
        <v>14</v>
      </c>
      <c r="F2335" t="s">
        <v>16</v>
      </c>
      <c r="G2335">
        <v>65.2</v>
      </c>
      <c r="H2335">
        <v>3687.85</v>
      </c>
      <c r="I2335" t="s">
        <v>15</v>
      </c>
      <c r="J2335" t="s">
        <v>15</v>
      </c>
      <c r="K2335" t="s">
        <v>24</v>
      </c>
      <c r="L2335">
        <v>3687.85</v>
      </c>
      <c r="M2335" t="s">
        <v>5033</v>
      </c>
      <c r="N2335" t="s">
        <v>5034</v>
      </c>
    </row>
    <row r="2336" spans="1:14" x14ac:dyDescent="0.3">
      <c r="A2336" t="s">
        <v>2360</v>
      </c>
      <c r="B2336" t="s">
        <v>19</v>
      </c>
      <c r="C2336" t="s">
        <v>13</v>
      </c>
      <c r="D2336">
        <v>16</v>
      </c>
      <c r="E2336" t="s">
        <v>26</v>
      </c>
      <c r="F2336" t="s">
        <v>15</v>
      </c>
      <c r="G2336">
        <v>85.05</v>
      </c>
      <c r="H2336">
        <v>1391.15</v>
      </c>
      <c r="I2336" t="s">
        <v>15</v>
      </c>
      <c r="J2336" t="s">
        <v>16</v>
      </c>
      <c r="K2336" t="s">
        <v>29</v>
      </c>
      <c r="L2336">
        <v>1391.15</v>
      </c>
      <c r="M2336" t="s">
        <v>5032</v>
      </c>
      <c r="N2336" t="s">
        <v>5031</v>
      </c>
    </row>
    <row r="2337" spans="1:14" x14ac:dyDescent="0.3">
      <c r="A2337" t="s">
        <v>2361</v>
      </c>
      <c r="B2337" t="s">
        <v>19</v>
      </c>
      <c r="C2337" t="s">
        <v>13</v>
      </c>
      <c r="D2337">
        <v>5</v>
      </c>
      <c r="E2337" t="s">
        <v>14</v>
      </c>
      <c r="F2337" t="s">
        <v>15</v>
      </c>
      <c r="G2337">
        <v>55.8</v>
      </c>
      <c r="H2337">
        <v>274.35000000000002</v>
      </c>
      <c r="I2337" t="s">
        <v>15</v>
      </c>
      <c r="J2337" t="s">
        <v>16</v>
      </c>
      <c r="K2337" t="s">
        <v>21</v>
      </c>
      <c r="L2337">
        <v>274.35000000000002</v>
      </c>
      <c r="M2337" t="s">
        <v>5030</v>
      </c>
      <c r="N2337" t="s">
        <v>5031</v>
      </c>
    </row>
    <row r="2338" spans="1:14" x14ac:dyDescent="0.3">
      <c r="A2338" t="s">
        <v>2362</v>
      </c>
      <c r="B2338" t="s">
        <v>19</v>
      </c>
      <c r="C2338" t="s">
        <v>13</v>
      </c>
      <c r="D2338">
        <v>17</v>
      </c>
      <c r="E2338" t="s">
        <v>26</v>
      </c>
      <c r="F2338" t="s">
        <v>15</v>
      </c>
      <c r="G2338">
        <v>70.400000000000006</v>
      </c>
      <c r="H2338">
        <v>1214.05</v>
      </c>
      <c r="I2338" t="s">
        <v>16</v>
      </c>
      <c r="J2338" t="s">
        <v>16</v>
      </c>
      <c r="K2338" t="s">
        <v>24</v>
      </c>
      <c r="L2338">
        <v>1214.05</v>
      </c>
      <c r="M2338" t="s">
        <v>5032</v>
      </c>
      <c r="N2338" t="s">
        <v>5031</v>
      </c>
    </row>
    <row r="2339" spans="1:14" x14ac:dyDescent="0.3">
      <c r="A2339" t="s">
        <v>2363</v>
      </c>
      <c r="B2339" t="s">
        <v>12</v>
      </c>
      <c r="C2339" t="s">
        <v>20</v>
      </c>
      <c r="D2339">
        <v>56</v>
      </c>
      <c r="E2339" t="s">
        <v>26</v>
      </c>
      <c r="F2339" t="s">
        <v>15</v>
      </c>
      <c r="G2339">
        <v>104.75</v>
      </c>
      <c r="H2339">
        <v>5510.65</v>
      </c>
      <c r="I2339" t="s">
        <v>16</v>
      </c>
      <c r="J2339" t="s">
        <v>16</v>
      </c>
      <c r="K2339" t="s">
        <v>24</v>
      </c>
      <c r="L2339">
        <v>5510.65</v>
      </c>
      <c r="M2339" t="s">
        <v>5033</v>
      </c>
      <c r="N2339" t="s">
        <v>5034</v>
      </c>
    </row>
    <row r="2340" spans="1:14" x14ac:dyDescent="0.3">
      <c r="A2340" t="s">
        <v>2364</v>
      </c>
      <c r="B2340" t="s">
        <v>19</v>
      </c>
      <c r="C2340" t="s">
        <v>35</v>
      </c>
      <c r="D2340">
        <v>72</v>
      </c>
      <c r="E2340" t="s">
        <v>15</v>
      </c>
      <c r="F2340" t="s">
        <v>36</v>
      </c>
      <c r="G2340">
        <v>19.95</v>
      </c>
      <c r="H2340">
        <v>1322.85</v>
      </c>
      <c r="I2340" t="s">
        <v>15</v>
      </c>
      <c r="J2340" t="s">
        <v>15</v>
      </c>
      <c r="K2340" t="s">
        <v>24</v>
      </c>
      <c r="L2340">
        <v>1322.85</v>
      </c>
      <c r="M2340" t="s">
        <v>5033</v>
      </c>
      <c r="N2340" t="s">
        <v>5031</v>
      </c>
    </row>
    <row r="2341" spans="1:14" x14ac:dyDescent="0.3">
      <c r="A2341" t="s">
        <v>2365</v>
      </c>
      <c r="B2341" t="s">
        <v>12</v>
      </c>
      <c r="C2341" t="s">
        <v>13</v>
      </c>
      <c r="D2341">
        <v>21</v>
      </c>
      <c r="E2341" t="s">
        <v>26</v>
      </c>
      <c r="F2341" t="s">
        <v>15</v>
      </c>
      <c r="G2341">
        <v>94.25</v>
      </c>
      <c r="H2341">
        <v>1973.75</v>
      </c>
      <c r="I2341" t="s">
        <v>16</v>
      </c>
      <c r="J2341" t="s">
        <v>16</v>
      </c>
      <c r="K2341" t="s">
        <v>17</v>
      </c>
      <c r="L2341">
        <v>1973.75</v>
      </c>
      <c r="M2341" t="s">
        <v>5032</v>
      </c>
      <c r="N2341" t="s">
        <v>5031</v>
      </c>
    </row>
    <row r="2342" spans="1:14" x14ac:dyDescent="0.3">
      <c r="A2342" t="s">
        <v>2366</v>
      </c>
      <c r="B2342" t="s">
        <v>12</v>
      </c>
      <c r="C2342" t="s">
        <v>20</v>
      </c>
      <c r="D2342">
        <v>48</v>
      </c>
      <c r="E2342" t="s">
        <v>14</v>
      </c>
      <c r="F2342" t="s">
        <v>15</v>
      </c>
      <c r="G2342">
        <v>45</v>
      </c>
      <c r="H2342">
        <v>2196.3000000000002</v>
      </c>
      <c r="I2342" t="s">
        <v>15</v>
      </c>
      <c r="J2342" t="s">
        <v>15</v>
      </c>
      <c r="K2342" t="s">
        <v>29</v>
      </c>
      <c r="L2342">
        <v>2196.3000000000002</v>
      </c>
      <c r="M2342" t="s">
        <v>5033</v>
      </c>
      <c r="N2342" t="s">
        <v>5031</v>
      </c>
    </row>
    <row r="2343" spans="1:14" x14ac:dyDescent="0.3">
      <c r="A2343" t="s">
        <v>2367</v>
      </c>
      <c r="B2343" t="s">
        <v>12</v>
      </c>
      <c r="C2343" t="s">
        <v>35</v>
      </c>
      <c r="D2343">
        <v>68</v>
      </c>
      <c r="E2343" t="s">
        <v>26</v>
      </c>
      <c r="F2343" t="s">
        <v>16</v>
      </c>
      <c r="G2343">
        <v>114.9</v>
      </c>
      <c r="H2343">
        <v>7843.55</v>
      </c>
      <c r="I2343" t="s">
        <v>15</v>
      </c>
      <c r="J2343" t="s">
        <v>15</v>
      </c>
      <c r="K2343" t="s">
        <v>24</v>
      </c>
      <c r="L2343">
        <v>7843.55</v>
      </c>
      <c r="M2343" t="s">
        <v>5033</v>
      </c>
      <c r="N2343" t="s">
        <v>5034</v>
      </c>
    </row>
    <row r="2344" spans="1:14" x14ac:dyDescent="0.3">
      <c r="A2344" t="s">
        <v>2368</v>
      </c>
      <c r="B2344" t="s">
        <v>12</v>
      </c>
      <c r="C2344" t="s">
        <v>13</v>
      </c>
      <c r="D2344">
        <v>30</v>
      </c>
      <c r="E2344" t="s">
        <v>26</v>
      </c>
      <c r="F2344" t="s">
        <v>16</v>
      </c>
      <c r="G2344">
        <v>106.4</v>
      </c>
      <c r="H2344">
        <v>3211.9</v>
      </c>
      <c r="I2344" t="s">
        <v>15</v>
      </c>
      <c r="J2344" t="s">
        <v>15</v>
      </c>
      <c r="K2344" t="s">
        <v>24</v>
      </c>
      <c r="L2344">
        <v>3211.9</v>
      </c>
      <c r="M2344" t="s">
        <v>5032</v>
      </c>
      <c r="N2344" t="s">
        <v>5034</v>
      </c>
    </row>
    <row r="2345" spans="1:14" x14ac:dyDescent="0.3">
      <c r="A2345" t="s">
        <v>2369</v>
      </c>
      <c r="B2345" t="s">
        <v>12</v>
      </c>
      <c r="C2345" t="s">
        <v>13</v>
      </c>
      <c r="D2345">
        <v>3</v>
      </c>
      <c r="E2345" t="s">
        <v>14</v>
      </c>
      <c r="F2345" t="s">
        <v>15</v>
      </c>
      <c r="G2345">
        <v>46.1</v>
      </c>
      <c r="H2345">
        <v>130.15</v>
      </c>
      <c r="I2345" t="s">
        <v>15</v>
      </c>
      <c r="J2345" t="s">
        <v>16</v>
      </c>
      <c r="K2345" t="s">
        <v>21</v>
      </c>
      <c r="L2345">
        <v>130.15</v>
      </c>
      <c r="M2345" t="s">
        <v>5030</v>
      </c>
      <c r="N2345" t="s">
        <v>5031</v>
      </c>
    </row>
    <row r="2346" spans="1:14" x14ac:dyDescent="0.3">
      <c r="A2346" t="s">
        <v>2370</v>
      </c>
      <c r="B2346" t="s">
        <v>12</v>
      </c>
      <c r="C2346" t="s">
        <v>35</v>
      </c>
      <c r="D2346">
        <v>14</v>
      </c>
      <c r="E2346" t="s">
        <v>14</v>
      </c>
      <c r="F2346" t="s">
        <v>16</v>
      </c>
      <c r="G2346">
        <v>39.700000000000003</v>
      </c>
      <c r="H2346">
        <v>692.35</v>
      </c>
      <c r="I2346" t="s">
        <v>15</v>
      </c>
      <c r="J2346" t="s">
        <v>15</v>
      </c>
      <c r="K2346" t="s">
        <v>21</v>
      </c>
      <c r="L2346">
        <v>692.35</v>
      </c>
      <c r="M2346" t="s">
        <v>5032</v>
      </c>
      <c r="N2346" t="s">
        <v>5031</v>
      </c>
    </row>
    <row r="2347" spans="1:14" x14ac:dyDescent="0.3">
      <c r="A2347" t="s">
        <v>2371</v>
      </c>
      <c r="B2347" t="s">
        <v>12</v>
      </c>
      <c r="C2347" t="s">
        <v>13</v>
      </c>
      <c r="D2347">
        <v>4</v>
      </c>
      <c r="E2347" t="s">
        <v>15</v>
      </c>
      <c r="F2347" t="s">
        <v>36</v>
      </c>
      <c r="G2347">
        <v>20.05</v>
      </c>
      <c r="H2347">
        <v>85.5</v>
      </c>
      <c r="I2347" t="s">
        <v>15</v>
      </c>
      <c r="J2347" t="s">
        <v>16</v>
      </c>
      <c r="K2347" t="s">
        <v>24</v>
      </c>
      <c r="L2347">
        <v>85.5</v>
      </c>
      <c r="M2347" t="s">
        <v>5030</v>
      </c>
      <c r="N2347" t="s">
        <v>5031</v>
      </c>
    </row>
    <row r="2348" spans="1:14" x14ac:dyDescent="0.3">
      <c r="A2348" t="s">
        <v>2372</v>
      </c>
      <c r="B2348" t="s">
        <v>12</v>
      </c>
      <c r="C2348" t="s">
        <v>35</v>
      </c>
      <c r="D2348">
        <v>71</v>
      </c>
      <c r="E2348" t="s">
        <v>26</v>
      </c>
      <c r="F2348" t="s">
        <v>15</v>
      </c>
      <c r="G2348">
        <v>95.75</v>
      </c>
      <c r="H2348">
        <v>6849.4</v>
      </c>
      <c r="I2348" t="s">
        <v>15</v>
      </c>
      <c r="J2348" t="s">
        <v>16</v>
      </c>
      <c r="K2348" t="s">
        <v>29</v>
      </c>
      <c r="L2348">
        <v>6849.4</v>
      </c>
      <c r="M2348" t="s">
        <v>5033</v>
      </c>
      <c r="N2348" t="s">
        <v>5034</v>
      </c>
    </row>
    <row r="2349" spans="1:14" x14ac:dyDescent="0.3">
      <c r="A2349" t="s">
        <v>2373</v>
      </c>
      <c r="B2349" t="s">
        <v>19</v>
      </c>
      <c r="C2349" t="s">
        <v>20</v>
      </c>
      <c r="D2349">
        <v>8</v>
      </c>
      <c r="E2349" t="s">
        <v>15</v>
      </c>
      <c r="F2349" t="s">
        <v>36</v>
      </c>
      <c r="G2349">
        <v>24.4</v>
      </c>
      <c r="H2349">
        <v>203.95</v>
      </c>
      <c r="I2349" t="s">
        <v>15</v>
      </c>
      <c r="J2349" t="s">
        <v>15</v>
      </c>
      <c r="K2349" t="s">
        <v>21</v>
      </c>
      <c r="L2349">
        <v>203.95</v>
      </c>
      <c r="M2349" t="s">
        <v>5030</v>
      </c>
      <c r="N2349" t="s">
        <v>5031</v>
      </c>
    </row>
    <row r="2350" spans="1:14" x14ac:dyDescent="0.3">
      <c r="A2350" t="s">
        <v>2374</v>
      </c>
      <c r="B2350" t="s">
        <v>19</v>
      </c>
      <c r="C2350" t="s">
        <v>13</v>
      </c>
      <c r="D2350">
        <v>61</v>
      </c>
      <c r="E2350" t="s">
        <v>14</v>
      </c>
      <c r="F2350" t="s">
        <v>15</v>
      </c>
      <c r="G2350">
        <v>33.6</v>
      </c>
      <c r="H2350">
        <v>2117.1999999999998</v>
      </c>
      <c r="I2350" t="s">
        <v>15</v>
      </c>
      <c r="J2350" t="s">
        <v>15</v>
      </c>
      <c r="K2350" t="s">
        <v>24</v>
      </c>
      <c r="L2350">
        <v>2117.1999999999998</v>
      </c>
      <c r="M2350" t="s">
        <v>5033</v>
      </c>
      <c r="N2350" t="s">
        <v>5031</v>
      </c>
    </row>
    <row r="2351" spans="1:14" x14ac:dyDescent="0.3">
      <c r="A2351" t="s">
        <v>2375</v>
      </c>
      <c r="B2351" t="s">
        <v>19</v>
      </c>
      <c r="C2351" t="s">
        <v>35</v>
      </c>
      <c r="D2351">
        <v>72</v>
      </c>
      <c r="E2351" t="s">
        <v>26</v>
      </c>
      <c r="F2351" t="s">
        <v>16</v>
      </c>
      <c r="G2351">
        <v>90.45</v>
      </c>
      <c r="H2351">
        <v>6565.85</v>
      </c>
      <c r="I2351" t="s">
        <v>15</v>
      </c>
      <c r="J2351" t="s">
        <v>15</v>
      </c>
      <c r="K2351" t="s">
        <v>24</v>
      </c>
      <c r="L2351">
        <v>6565.85</v>
      </c>
      <c r="M2351" t="s">
        <v>5033</v>
      </c>
      <c r="N2351" t="s">
        <v>5034</v>
      </c>
    </row>
    <row r="2352" spans="1:14" x14ac:dyDescent="0.3">
      <c r="A2352" t="s">
        <v>2376</v>
      </c>
      <c r="B2352" t="s">
        <v>12</v>
      </c>
      <c r="C2352" t="s">
        <v>13</v>
      </c>
      <c r="D2352">
        <v>5</v>
      </c>
      <c r="E2352" t="s">
        <v>26</v>
      </c>
      <c r="F2352" t="s">
        <v>15</v>
      </c>
      <c r="G2352">
        <v>84</v>
      </c>
      <c r="H2352">
        <v>424.75</v>
      </c>
      <c r="I2352" t="s">
        <v>15</v>
      </c>
      <c r="J2352" t="s">
        <v>16</v>
      </c>
      <c r="K2352" t="s">
        <v>17</v>
      </c>
      <c r="L2352">
        <v>424.75</v>
      </c>
      <c r="M2352" t="s">
        <v>5030</v>
      </c>
      <c r="N2352" t="s">
        <v>5031</v>
      </c>
    </row>
    <row r="2353" spans="1:14" x14ac:dyDescent="0.3">
      <c r="A2353" t="s">
        <v>2377</v>
      </c>
      <c r="B2353" t="s">
        <v>12</v>
      </c>
      <c r="C2353" t="s">
        <v>35</v>
      </c>
      <c r="D2353">
        <v>49</v>
      </c>
      <c r="E2353" t="s">
        <v>14</v>
      </c>
      <c r="F2353" t="s">
        <v>16</v>
      </c>
      <c r="G2353">
        <v>67.400000000000006</v>
      </c>
      <c r="H2353">
        <v>3306.85</v>
      </c>
      <c r="I2353" t="s">
        <v>15</v>
      </c>
      <c r="J2353" t="s">
        <v>15</v>
      </c>
      <c r="K2353" t="s">
        <v>24</v>
      </c>
      <c r="L2353">
        <v>3306.85</v>
      </c>
      <c r="M2353" t="s">
        <v>5033</v>
      </c>
      <c r="N2353" t="s">
        <v>5034</v>
      </c>
    </row>
    <row r="2354" spans="1:14" x14ac:dyDescent="0.3">
      <c r="A2354" t="s">
        <v>2378</v>
      </c>
      <c r="B2354" t="s">
        <v>19</v>
      </c>
      <c r="C2354" t="s">
        <v>13</v>
      </c>
      <c r="D2354">
        <v>8</v>
      </c>
      <c r="E2354" t="s">
        <v>15</v>
      </c>
      <c r="F2354" t="s">
        <v>36</v>
      </c>
      <c r="G2354">
        <v>19.7</v>
      </c>
      <c r="H2354">
        <v>168.9</v>
      </c>
      <c r="I2354" t="s">
        <v>15</v>
      </c>
      <c r="J2354" t="s">
        <v>16</v>
      </c>
      <c r="K2354" t="s">
        <v>24</v>
      </c>
      <c r="L2354">
        <v>168.9</v>
      </c>
      <c r="M2354" t="s">
        <v>5030</v>
      </c>
      <c r="N2354" t="s">
        <v>5031</v>
      </c>
    </row>
    <row r="2355" spans="1:14" x14ac:dyDescent="0.3">
      <c r="A2355" t="s">
        <v>2379</v>
      </c>
      <c r="B2355" t="s">
        <v>19</v>
      </c>
      <c r="C2355" t="s">
        <v>13</v>
      </c>
      <c r="D2355">
        <v>3</v>
      </c>
      <c r="E2355" t="s">
        <v>26</v>
      </c>
      <c r="F2355" t="s">
        <v>15</v>
      </c>
      <c r="G2355">
        <v>80.349999999999994</v>
      </c>
      <c r="H2355">
        <v>253.8</v>
      </c>
      <c r="I2355" t="s">
        <v>15</v>
      </c>
      <c r="J2355" t="s">
        <v>16</v>
      </c>
      <c r="K2355" t="s">
        <v>17</v>
      </c>
      <c r="L2355">
        <v>253.8</v>
      </c>
      <c r="M2355" t="s">
        <v>5030</v>
      </c>
      <c r="N2355" t="s">
        <v>5031</v>
      </c>
    </row>
    <row r="2356" spans="1:14" x14ac:dyDescent="0.3">
      <c r="A2356" t="s">
        <v>2380</v>
      </c>
      <c r="B2356" t="s">
        <v>19</v>
      </c>
      <c r="C2356" t="s">
        <v>35</v>
      </c>
      <c r="D2356">
        <v>9</v>
      </c>
      <c r="E2356" t="s">
        <v>15</v>
      </c>
      <c r="F2356" t="s">
        <v>36</v>
      </c>
      <c r="G2356">
        <v>19.600000000000001</v>
      </c>
      <c r="H2356">
        <v>197.4</v>
      </c>
      <c r="I2356" t="s">
        <v>15</v>
      </c>
      <c r="J2356" t="s">
        <v>15</v>
      </c>
      <c r="K2356" t="s">
        <v>21</v>
      </c>
      <c r="L2356">
        <v>197.4</v>
      </c>
      <c r="M2356" t="s">
        <v>5030</v>
      </c>
      <c r="N2356" t="s">
        <v>5031</v>
      </c>
    </row>
    <row r="2357" spans="1:14" x14ac:dyDescent="0.3">
      <c r="A2357" t="s">
        <v>2381</v>
      </c>
      <c r="B2357" t="s">
        <v>19</v>
      </c>
      <c r="C2357" t="s">
        <v>35</v>
      </c>
      <c r="D2357">
        <v>67</v>
      </c>
      <c r="E2357" t="s">
        <v>14</v>
      </c>
      <c r="F2357" t="s">
        <v>15</v>
      </c>
      <c r="G2357">
        <v>54.2</v>
      </c>
      <c r="H2357">
        <v>3838.2</v>
      </c>
      <c r="I2357" t="s">
        <v>15</v>
      </c>
      <c r="J2357" t="s">
        <v>16</v>
      </c>
      <c r="K2357" t="s">
        <v>24</v>
      </c>
      <c r="L2357">
        <v>3838.2</v>
      </c>
      <c r="M2357" t="s">
        <v>5033</v>
      </c>
      <c r="N2357" t="s">
        <v>5034</v>
      </c>
    </row>
    <row r="2358" spans="1:14" x14ac:dyDescent="0.3">
      <c r="A2358" t="s">
        <v>2382</v>
      </c>
      <c r="B2358" t="s">
        <v>19</v>
      </c>
      <c r="C2358" t="s">
        <v>13</v>
      </c>
      <c r="D2358">
        <v>46</v>
      </c>
      <c r="E2358" t="s">
        <v>14</v>
      </c>
      <c r="F2358" t="s">
        <v>15</v>
      </c>
      <c r="G2358">
        <v>45.2</v>
      </c>
      <c r="H2358">
        <v>2065.15</v>
      </c>
      <c r="I2358" t="s">
        <v>15</v>
      </c>
      <c r="J2358" t="s">
        <v>16</v>
      </c>
      <c r="K2358" t="s">
        <v>29</v>
      </c>
      <c r="L2358">
        <v>2065.15</v>
      </c>
      <c r="M2358" t="s">
        <v>5033</v>
      </c>
      <c r="N2358" t="s">
        <v>5031</v>
      </c>
    </row>
    <row r="2359" spans="1:14" x14ac:dyDescent="0.3">
      <c r="A2359" t="s">
        <v>2383</v>
      </c>
      <c r="B2359" t="s">
        <v>12</v>
      </c>
      <c r="C2359" t="s">
        <v>20</v>
      </c>
      <c r="D2359">
        <v>67</v>
      </c>
      <c r="E2359" t="s">
        <v>14</v>
      </c>
      <c r="F2359" t="s">
        <v>15</v>
      </c>
      <c r="G2359">
        <v>75.099999999999994</v>
      </c>
      <c r="H2359">
        <v>5064.45</v>
      </c>
      <c r="I2359" t="s">
        <v>15</v>
      </c>
      <c r="J2359" t="s">
        <v>15</v>
      </c>
      <c r="K2359" t="s">
        <v>21</v>
      </c>
      <c r="L2359">
        <v>5064.45</v>
      </c>
      <c r="M2359" t="s">
        <v>5033</v>
      </c>
      <c r="N2359" t="s">
        <v>5034</v>
      </c>
    </row>
    <row r="2360" spans="1:14" x14ac:dyDescent="0.3">
      <c r="A2360" t="s">
        <v>2384</v>
      </c>
      <c r="B2360" t="s">
        <v>12</v>
      </c>
      <c r="C2360" t="s">
        <v>20</v>
      </c>
      <c r="D2360">
        <v>55</v>
      </c>
      <c r="E2360" t="s">
        <v>15</v>
      </c>
      <c r="F2360" t="s">
        <v>36</v>
      </c>
      <c r="G2360">
        <v>19.7</v>
      </c>
      <c r="H2360">
        <v>1140.05</v>
      </c>
      <c r="I2360" t="s">
        <v>15</v>
      </c>
      <c r="J2360" t="s">
        <v>15</v>
      </c>
      <c r="K2360" t="s">
        <v>17</v>
      </c>
      <c r="L2360">
        <v>1140.05</v>
      </c>
      <c r="M2360" t="s">
        <v>5033</v>
      </c>
      <c r="N2360" t="s">
        <v>5031</v>
      </c>
    </row>
    <row r="2361" spans="1:14" x14ac:dyDescent="0.3">
      <c r="A2361" t="s">
        <v>2385</v>
      </c>
      <c r="B2361" t="s">
        <v>19</v>
      </c>
      <c r="C2361" t="s">
        <v>13</v>
      </c>
      <c r="D2361">
        <v>33</v>
      </c>
      <c r="E2361" t="s">
        <v>14</v>
      </c>
      <c r="F2361" t="s">
        <v>15</v>
      </c>
      <c r="G2361">
        <v>72.75</v>
      </c>
      <c r="H2361">
        <v>2447.4499999999998</v>
      </c>
      <c r="I2361" t="s">
        <v>15</v>
      </c>
      <c r="J2361" t="s">
        <v>16</v>
      </c>
      <c r="K2361" t="s">
        <v>24</v>
      </c>
      <c r="L2361">
        <v>2447.4499999999998</v>
      </c>
      <c r="M2361" t="s">
        <v>5032</v>
      </c>
      <c r="N2361" t="s">
        <v>5031</v>
      </c>
    </row>
    <row r="2362" spans="1:14" x14ac:dyDescent="0.3">
      <c r="A2362" t="s">
        <v>2386</v>
      </c>
      <c r="B2362" t="s">
        <v>19</v>
      </c>
      <c r="C2362" t="s">
        <v>35</v>
      </c>
      <c r="D2362">
        <v>62</v>
      </c>
      <c r="E2362" t="s">
        <v>15</v>
      </c>
      <c r="F2362" t="s">
        <v>36</v>
      </c>
      <c r="G2362">
        <v>20.05</v>
      </c>
      <c r="H2362">
        <v>1263.9000000000001</v>
      </c>
      <c r="I2362" t="s">
        <v>15</v>
      </c>
      <c r="J2362" t="s">
        <v>15</v>
      </c>
      <c r="K2362" t="s">
        <v>29</v>
      </c>
      <c r="L2362">
        <v>1263.9000000000001</v>
      </c>
      <c r="M2362" t="s">
        <v>5033</v>
      </c>
      <c r="N2362" t="s">
        <v>5031</v>
      </c>
    </row>
    <row r="2363" spans="1:14" x14ac:dyDescent="0.3">
      <c r="A2363" t="s">
        <v>2387</v>
      </c>
      <c r="B2363" t="s">
        <v>12</v>
      </c>
      <c r="C2363" t="s">
        <v>13</v>
      </c>
      <c r="D2363">
        <v>1</v>
      </c>
      <c r="E2363" t="s">
        <v>14</v>
      </c>
      <c r="F2363" t="s">
        <v>15</v>
      </c>
      <c r="G2363">
        <v>45.95</v>
      </c>
      <c r="H2363">
        <v>45.95</v>
      </c>
      <c r="I2363" t="s">
        <v>16</v>
      </c>
      <c r="J2363" t="s">
        <v>15</v>
      </c>
      <c r="K2363" t="s">
        <v>21</v>
      </c>
      <c r="L2363">
        <v>45.95</v>
      </c>
      <c r="M2363" t="s">
        <v>5030</v>
      </c>
      <c r="N2363" t="s">
        <v>5031</v>
      </c>
    </row>
    <row r="2364" spans="1:14" x14ac:dyDescent="0.3">
      <c r="A2364" t="s">
        <v>2388</v>
      </c>
      <c r="B2364" t="s">
        <v>19</v>
      </c>
      <c r="C2364" t="s">
        <v>13</v>
      </c>
      <c r="D2364">
        <v>49</v>
      </c>
      <c r="E2364" t="s">
        <v>14</v>
      </c>
      <c r="F2364" t="s">
        <v>15</v>
      </c>
      <c r="G2364">
        <v>39.200000000000003</v>
      </c>
      <c r="H2364">
        <v>1838.15</v>
      </c>
      <c r="I2364" t="s">
        <v>15</v>
      </c>
      <c r="J2364" t="s">
        <v>16</v>
      </c>
      <c r="K2364" t="s">
        <v>17</v>
      </c>
      <c r="L2364">
        <v>1838.15</v>
      </c>
      <c r="M2364" t="s">
        <v>5033</v>
      </c>
      <c r="N2364" t="s">
        <v>5031</v>
      </c>
    </row>
    <row r="2365" spans="1:14" x14ac:dyDescent="0.3">
      <c r="A2365" t="s">
        <v>2389</v>
      </c>
      <c r="B2365" t="s">
        <v>19</v>
      </c>
      <c r="C2365" t="s">
        <v>13</v>
      </c>
      <c r="D2365">
        <v>1</v>
      </c>
      <c r="E2365" t="s">
        <v>14</v>
      </c>
      <c r="F2365" t="s">
        <v>15</v>
      </c>
      <c r="G2365">
        <v>44.75</v>
      </c>
      <c r="H2365">
        <v>44.75</v>
      </c>
      <c r="I2365" t="s">
        <v>15</v>
      </c>
      <c r="J2365" t="s">
        <v>16</v>
      </c>
      <c r="K2365" t="s">
        <v>17</v>
      </c>
      <c r="L2365">
        <v>44.75</v>
      </c>
      <c r="M2365" t="s">
        <v>5030</v>
      </c>
      <c r="N2365" t="s">
        <v>5031</v>
      </c>
    </row>
    <row r="2366" spans="1:14" x14ac:dyDescent="0.3">
      <c r="A2366" t="s">
        <v>2390</v>
      </c>
      <c r="B2366" t="s">
        <v>19</v>
      </c>
      <c r="C2366" t="s">
        <v>13</v>
      </c>
      <c r="D2366">
        <v>14</v>
      </c>
      <c r="E2366" t="s">
        <v>26</v>
      </c>
      <c r="F2366" t="s">
        <v>15</v>
      </c>
      <c r="G2366">
        <v>82.65</v>
      </c>
      <c r="H2366">
        <v>1185</v>
      </c>
      <c r="I2366" t="s">
        <v>15</v>
      </c>
      <c r="J2366" t="s">
        <v>16</v>
      </c>
      <c r="K2366" t="s">
        <v>17</v>
      </c>
      <c r="L2366">
        <v>1185</v>
      </c>
      <c r="M2366" t="s">
        <v>5032</v>
      </c>
      <c r="N2366" t="s">
        <v>5031</v>
      </c>
    </row>
    <row r="2367" spans="1:14" x14ac:dyDescent="0.3">
      <c r="A2367" t="s">
        <v>2391</v>
      </c>
      <c r="B2367" t="s">
        <v>19</v>
      </c>
      <c r="C2367" t="s">
        <v>13</v>
      </c>
      <c r="D2367">
        <v>18</v>
      </c>
      <c r="E2367" t="s">
        <v>26</v>
      </c>
      <c r="F2367" t="s">
        <v>16</v>
      </c>
      <c r="G2367">
        <v>93.9</v>
      </c>
      <c r="H2367">
        <v>1743.9</v>
      </c>
      <c r="I2367" t="s">
        <v>15</v>
      </c>
      <c r="J2367" t="s">
        <v>15</v>
      </c>
      <c r="K2367" t="s">
        <v>24</v>
      </c>
      <c r="L2367">
        <v>1743.9</v>
      </c>
      <c r="M2367" t="s">
        <v>5032</v>
      </c>
      <c r="N2367" t="s">
        <v>5031</v>
      </c>
    </row>
    <row r="2368" spans="1:14" x14ac:dyDescent="0.3">
      <c r="A2368" t="s">
        <v>2392</v>
      </c>
      <c r="B2368" t="s">
        <v>12</v>
      </c>
      <c r="C2368" t="s">
        <v>13</v>
      </c>
      <c r="D2368">
        <v>1</v>
      </c>
      <c r="E2368" t="s">
        <v>26</v>
      </c>
      <c r="F2368" t="s">
        <v>15</v>
      </c>
      <c r="G2368">
        <v>70.150000000000006</v>
      </c>
      <c r="H2368">
        <v>70.150000000000006</v>
      </c>
      <c r="I2368" t="s">
        <v>16</v>
      </c>
      <c r="J2368" t="s">
        <v>16</v>
      </c>
      <c r="K2368" t="s">
        <v>17</v>
      </c>
      <c r="L2368">
        <v>70.150000000000006</v>
      </c>
      <c r="M2368" t="s">
        <v>5030</v>
      </c>
      <c r="N2368" t="s">
        <v>5031</v>
      </c>
    </row>
    <row r="2369" spans="1:14" x14ac:dyDescent="0.3">
      <c r="A2369" t="s">
        <v>2393</v>
      </c>
      <c r="B2369" t="s">
        <v>12</v>
      </c>
      <c r="C2369" t="s">
        <v>13</v>
      </c>
      <c r="D2369">
        <v>1</v>
      </c>
      <c r="E2369" t="s">
        <v>26</v>
      </c>
      <c r="F2369" t="s">
        <v>15</v>
      </c>
      <c r="G2369">
        <v>85.55</v>
      </c>
      <c r="H2369">
        <v>85.55</v>
      </c>
      <c r="I2369" t="s">
        <v>16</v>
      </c>
      <c r="J2369" t="s">
        <v>16</v>
      </c>
      <c r="K2369" t="s">
        <v>29</v>
      </c>
      <c r="L2369">
        <v>85.55</v>
      </c>
      <c r="M2369" t="s">
        <v>5030</v>
      </c>
      <c r="N2369" t="s">
        <v>5031</v>
      </c>
    </row>
    <row r="2370" spans="1:14" x14ac:dyDescent="0.3">
      <c r="A2370" t="s">
        <v>2394</v>
      </c>
      <c r="B2370" t="s">
        <v>12</v>
      </c>
      <c r="C2370" t="s">
        <v>35</v>
      </c>
      <c r="D2370">
        <v>72</v>
      </c>
      <c r="E2370" t="s">
        <v>26</v>
      </c>
      <c r="F2370" t="s">
        <v>16</v>
      </c>
      <c r="G2370">
        <v>117.15</v>
      </c>
      <c r="H2370">
        <v>8529.5</v>
      </c>
      <c r="I2370" t="s">
        <v>15</v>
      </c>
      <c r="J2370" t="s">
        <v>16</v>
      </c>
      <c r="K2370" t="s">
        <v>29</v>
      </c>
      <c r="L2370">
        <v>8529.5</v>
      </c>
      <c r="M2370" t="s">
        <v>5033</v>
      </c>
      <c r="N2370" t="s">
        <v>5034</v>
      </c>
    </row>
    <row r="2371" spans="1:14" x14ac:dyDescent="0.3">
      <c r="A2371" t="s">
        <v>2395</v>
      </c>
      <c r="B2371" t="s">
        <v>19</v>
      </c>
      <c r="C2371" t="s">
        <v>35</v>
      </c>
      <c r="D2371">
        <v>64</v>
      </c>
      <c r="E2371" t="s">
        <v>26</v>
      </c>
      <c r="F2371" t="s">
        <v>16</v>
      </c>
      <c r="G2371">
        <v>99.25</v>
      </c>
      <c r="H2371">
        <v>6549.45</v>
      </c>
      <c r="I2371" t="s">
        <v>15</v>
      </c>
      <c r="J2371" t="s">
        <v>15</v>
      </c>
      <c r="K2371" t="s">
        <v>29</v>
      </c>
      <c r="L2371">
        <v>6549.45</v>
      </c>
      <c r="M2371" t="s">
        <v>5033</v>
      </c>
      <c r="N2371" t="s">
        <v>5034</v>
      </c>
    </row>
    <row r="2372" spans="1:14" x14ac:dyDescent="0.3">
      <c r="A2372" t="s">
        <v>2396</v>
      </c>
      <c r="B2372" t="s">
        <v>19</v>
      </c>
      <c r="C2372" t="s">
        <v>35</v>
      </c>
      <c r="D2372">
        <v>69</v>
      </c>
      <c r="E2372" t="s">
        <v>26</v>
      </c>
      <c r="F2372" t="s">
        <v>16</v>
      </c>
      <c r="G2372">
        <v>112.55</v>
      </c>
      <c r="H2372">
        <v>7806.5</v>
      </c>
      <c r="I2372" t="s">
        <v>15</v>
      </c>
      <c r="J2372" t="s">
        <v>16</v>
      </c>
      <c r="K2372" t="s">
        <v>24</v>
      </c>
      <c r="L2372">
        <v>7806.5</v>
      </c>
      <c r="M2372" t="s">
        <v>5033</v>
      </c>
      <c r="N2372" t="s">
        <v>5034</v>
      </c>
    </row>
    <row r="2373" spans="1:14" x14ac:dyDescent="0.3">
      <c r="A2373" t="s">
        <v>2397</v>
      </c>
      <c r="B2373" t="s">
        <v>12</v>
      </c>
      <c r="C2373" t="s">
        <v>13</v>
      </c>
      <c r="D2373">
        <v>1</v>
      </c>
      <c r="E2373" t="s">
        <v>15</v>
      </c>
      <c r="F2373" t="s">
        <v>36</v>
      </c>
      <c r="G2373">
        <v>25.7</v>
      </c>
      <c r="H2373">
        <v>25.7</v>
      </c>
      <c r="I2373" t="s">
        <v>15</v>
      </c>
      <c r="J2373" t="s">
        <v>16</v>
      </c>
      <c r="K2373" t="s">
        <v>17</v>
      </c>
      <c r="L2373">
        <v>25.7</v>
      </c>
      <c r="M2373" t="s">
        <v>5030</v>
      </c>
      <c r="N2373" t="s">
        <v>5031</v>
      </c>
    </row>
    <row r="2374" spans="1:14" x14ac:dyDescent="0.3">
      <c r="A2374" t="s">
        <v>2398</v>
      </c>
      <c r="B2374" t="s">
        <v>19</v>
      </c>
      <c r="C2374" t="s">
        <v>35</v>
      </c>
      <c r="D2374">
        <v>71</v>
      </c>
      <c r="E2374" t="s">
        <v>14</v>
      </c>
      <c r="F2374" t="s">
        <v>16</v>
      </c>
      <c r="G2374">
        <v>90.3</v>
      </c>
      <c r="H2374">
        <v>6287.3</v>
      </c>
      <c r="I2374" t="s">
        <v>15</v>
      </c>
      <c r="J2374" t="s">
        <v>15</v>
      </c>
      <c r="K2374" t="s">
        <v>29</v>
      </c>
      <c r="L2374">
        <v>6287.3</v>
      </c>
      <c r="M2374" t="s">
        <v>5033</v>
      </c>
      <c r="N2374" t="s">
        <v>5034</v>
      </c>
    </row>
    <row r="2375" spans="1:14" x14ac:dyDescent="0.3">
      <c r="A2375" t="s">
        <v>2399</v>
      </c>
      <c r="B2375" t="s">
        <v>12</v>
      </c>
      <c r="C2375" t="s">
        <v>20</v>
      </c>
      <c r="D2375">
        <v>66</v>
      </c>
      <c r="E2375" t="s">
        <v>14</v>
      </c>
      <c r="F2375" t="s">
        <v>16</v>
      </c>
      <c r="G2375">
        <v>49.4</v>
      </c>
      <c r="H2375">
        <v>3251.85</v>
      </c>
      <c r="I2375" t="s">
        <v>15</v>
      </c>
      <c r="J2375" t="s">
        <v>16</v>
      </c>
      <c r="K2375" t="s">
        <v>29</v>
      </c>
      <c r="L2375">
        <v>3251.85</v>
      </c>
      <c r="M2375" t="s">
        <v>5033</v>
      </c>
      <c r="N2375" t="s">
        <v>5034</v>
      </c>
    </row>
    <row r="2376" spans="1:14" x14ac:dyDescent="0.3">
      <c r="A2376" t="s">
        <v>2400</v>
      </c>
      <c r="B2376" t="s">
        <v>19</v>
      </c>
      <c r="C2376" t="s">
        <v>13</v>
      </c>
      <c r="D2376">
        <v>2</v>
      </c>
      <c r="E2376" t="s">
        <v>15</v>
      </c>
      <c r="F2376" t="s">
        <v>36</v>
      </c>
      <c r="G2376">
        <v>19.399999999999999</v>
      </c>
      <c r="H2376">
        <v>50.6</v>
      </c>
      <c r="I2376" t="s">
        <v>15</v>
      </c>
      <c r="J2376" t="s">
        <v>15</v>
      </c>
      <c r="K2376" t="s">
        <v>21</v>
      </c>
      <c r="L2376">
        <v>50.6</v>
      </c>
      <c r="M2376" t="s">
        <v>5030</v>
      </c>
      <c r="N2376" t="s">
        <v>5031</v>
      </c>
    </row>
    <row r="2377" spans="1:14" x14ac:dyDescent="0.3">
      <c r="A2377" t="s">
        <v>2401</v>
      </c>
      <c r="B2377" t="s">
        <v>12</v>
      </c>
      <c r="C2377" t="s">
        <v>35</v>
      </c>
      <c r="D2377">
        <v>71</v>
      </c>
      <c r="E2377" t="s">
        <v>26</v>
      </c>
      <c r="F2377" t="s">
        <v>16</v>
      </c>
      <c r="G2377">
        <v>109.7</v>
      </c>
      <c r="H2377">
        <v>7904.25</v>
      </c>
      <c r="I2377" t="s">
        <v>15</v>
      </c>
      <c r="J2377" t="s">
        <v>16</v>
      </c>
      <c r="K2377" t="s">
        <v>24</v>
      </c>
      <c r="L2377">
        <v>7904.25</v>
      </c>
      <c r="M2377" t="s">
        <v>5033</v>
      </c>
      <c r="N2377" t="s">
        <v>5034</v>
      </c>
    </row>
    <row r="2378" spans="1:14" x14ac:dyDescent="0.3">
      <c r="A2378" t="s">
        <v>2402</v>
      </c>
      <c r="B2378" t="s">
        <v>19</v>
      </c>
      <c r="C2378" t="s">
        <v>20</v>
      </c>
      <c r="D2378">
        <v>11</v>
      </c>
      <c r="E2378" t="s">
        <v>14</v>
      </c>
      <c r="F2378" t="s">
        <v>15</v>
      </c>
      <c r="G2378">
        <v>61.25</v>
      </c>
      <c r="H2378">
        <v>729.95</v>
      </c>
      <c r="I2378" t="s">
        <v>15</v>
      </c>
      <c r="J2378" t="s">
        <v>16</v>
      </c>
      <c r="K2378" t="s">
        <v>17</v>
      </c>
      <c r="L2378">
        <v>729.95</v>
      </c>
      <c r="M2378" t="s">
        <v>5030</v>
      </c>
      <c r="N2378" t="s">
        <v>5031</v>
      </c>
    </row>
    <row r="2379" spans="1:14" x14ac:dyDescent="0.3">
      <c r="A2379" t="s">
        <v>2403</v>
      </c>
      <c r="B2379" t="s">
        <v>19</v>
      </c>
      <c r="C2379" t="s">
        <v>13</v>
      </c>
      <c r="D2379">
        <v>47</v>
      </c>
      <c r="E2379" t="s">
        <v>14</v>
      </c>
      <c r="F2379" t="s">
        <v>15</v>
      </c>
      <c r="G2379">
        <v>55.3</v>
      </c>
      <c r="H2379">
        <v>2654.05</v>
      </c>
      <c r="I2379" t="s">
        <v>15</v>
      </c>
      <c r="J2379" t="s">
        <v>16</v>
      </c>
      <c r="K2379" t="s">
        <v>17</v>
      </c>
      <c r="L2379">
        <v>2654.05</v>
      </c>
      <c r="M2379" t="s">
        <v>5033</v>
      </c>
      <c r="N2379" t="s">
        <v>5034</v>
      </c>
    </row>
    <row r="2380" spans="1:14" x14ac:dyDescent="0.3">
      <c r="A2380" t="s">
        <v>2404</v>
      </c>
      <c r="B2380" t="s">
        <v>12</v>
      </c>
      <c r="C2380" t="s">
        <v>13</v>
      </c>
      <c r="D2380">
        <v>35</v>
      </c>
      <c r="E2380" t="s">
        <v>26</v>
      </c>
      <c r="F2380" t="s">
        <v>15</v>
      </c>
      <c r="G2380">
        <v>70.3</v>
      </c>
      <c r="H2380">
        <v>2416.5500000000002</v>
      </c>
      <c r="I2380" t="s">
        <v>16</v>
      </c>
      <c r="J2380" t="s">
        <v>16</v>
      </c>
      <c r="K2380" t="s">
        <v>17</v>
      </c>
      <c r="L2380">
        <v>2416.5500000000002</v>
      </c>
      <c r="M2380" t="s">
        <v>5032</v>
      </c>
      <c r="N2380" t="s">
        <v>5031</v>
      </c>
    </row>
    <row r="2381" spans="1:14" x14ac:dyDescent="0.3">
      <c r="A2381" t="s">
        <v>2405</v>
      </c>
      <c r="B2381" t="s">
        <v>19</v>
      </c>
      <c r="C2381" t="s">
        <v>13</v>
      </c>
      <c r="D2381">
        <v>32</v>
      </c>
      <c r="E2381" t="s">
        <v>26</v>
      </c>
      <c r="F2381" t="s">
        <v>15</v>
      </c>
      <c r="G2381">
        <v>106.35</v>
      </c>
      <c r="H2381">
        <v>3520.75</v>
      </c>
      <c r="I2381" t="s">
        <v>16</v>
      </c>
      <c r="J2381" t="s">
        <v>15</v>
      </c>
      <c r="K2381" t="s">
        <v>24</v>
      </c>
      <c r="L2381">
        <v>3520.75</v>
      </c>
      <c r="M2381" t="s">
        <v>5032</v>
      </c>
      <c r="N2381" t="s">
        <v>5034</v>
      </c>
    </row>
    <row r="2382" spans="1:14" x14ac:dyDescent="0.3">
      <c r="A2382" t="s">
        <v>2406</v>
      </c>
      <c r="B2382" t="s">
        <v>19</v>
      </c>
      <c r="C2382" t="s">
        <v>13</v>
      </c>
      <c r="D2382">
        <v>60</v>
      </c>
      <c r="E2382" t="s">
        <v>26</v>
      </c>
      <c r="F2382" t="s">
        <v>16</v>
      </c>
      <c r="G2382">
        <v>103.75</v>
      </c>
      <c r="H2382">
        <v>5969.95</v>
      </c>
      <c r="I2382" t="s">
        <v>15</v>
      </c>
      <c r="J2382" t="s">
        <v>16</v>
      </c>
      <c r="K2382" t="s">
        <v>24</v>
      </c>
      <c r="L2382">
        <v>5969.95</v>
      </c>
      <c r="M2382" t="s">
        <v>5033</v>
      </c>
      <c r="N2382" t="s">
        <v>5034</v>
      </c>
    </row>
    <row r="2383" spans="1:14" x14ac:dyDescent="0.3">
      <c r="A2383" t="s">
        <v>2407</v>
      </c>
      <c r="B2383" t="s">
        <v>19</v>
      </c>
      <c r="C2383" t="s">
        <v>20</v>
      </c>
      <c r="D2383">
        <v>11</v>
      </c>
      <c r="E2383" t="s">
        <v>15</v>
      </c>
      <c r="F2383" t="s">
        <v>36</v>
      </c>
      <c r="G2383">
        <v>19.5</v>
      </c>
      <c r="H2383">
        <v>226.8</v>
      </c>
      <c r="I2383" t="s">
        <v>15</v>
      </c>
      <c r="J2383" t="s">
        <v>15</v>
      </c>
      <c r="K2383" t="s">
        <v>21</v>
      </c>
      <c r="L2383">
        <v>226.8</v>
      </c>
      <c r="M2383" t="s">
        <v>5030</v>
      </c>
      <c r="N2383" t="s">
        <v>5031</v>
      </c>
    </row>
    <row r="2384" spans="1:14" x14ac:dyDescent="0.3">
      <c r="A2384" t="s">
        <v>2408</v>
      </c>
      <c r="B2384" t="s">
        <v>12</v>
      </c>
      <c r="C2384" t="s">
        <v>20</v>
      </c>
      <c r="D2384">
        <v>29</v>
      </c>
      <c r="E2384" t="s">
        <v>14</v>
      </c>
      <c r="F2384" t="s">
        <v>16</v>
      </c>
      <c r="G2384">
        <v>39.5</v>
      </c>
      <c r="H2384">
        <v>1082.75</v>
      </c>
      <c r="I2384" t="s">
        <v>15</v>
      </c>
      <c r="J2384" t="s">
        <v>15</v>
      </c>
      <c r="K2384" t="s">
        <v>29</v>
      </c>
      <c r="L2384">
        <v>1082.75</v>
      </c>
      <c r="M2384" t="s">
        <v>5032</v>
      </c>
      <c r="N2384" t="s">
        <v>5031</v>
      </c>
    </row>
    <row r="2385" spans="1:14" x14ac:dyDescent="0.3">
      <c r="A2385" t="s">
        <v>2409</v>
      </c>
      <c r="B2385" t="s">
        <v>19</v>
      </c>
      <c r="C2385" t="s">
        <v>13</v>
      </c>
      <c r="D2385">
        <v>21</v>
      </c>
      <c r="E2385" t="s">
        <v>14</v>
      </c>
      <c r="F2385" t="s">
        <v>15</v>
      </c>
      <c r="G2385">
        <v>26.05</v>
      </c>
      <c r="H2385">
        <v>565.75</v>
      </c>
      <c r="I2385" t="s">
        <v>15</v>
      </c>
      <c r="J2385" t="s">
        <v>16</v>
      </c>
      <c r="K2385" t="s">
        <v>17</v>
      </c>
      <c r="L2385">
        <v>565.75</v>
      </c>
      <c r="M2385" t="s">
        <v>5032</v>
      </c>
      <c r="N2385" t="s">
        <v>5031</v>
      </c>
    </row>
    <row r="2386" spans="1:14" x14ac:dyDescent="0.3">
      <c r="A2386" t="s">
        <v>2410</v>
      </c>
      <c r="B2386" t="s">
        <v>19</v>
      </c>
      <c r="C2386" t="s">
        <v>13</v>
      </c>
      <c r="D2386">
        <v>48</v>
      </c>
      <c r="E2386" t="s">
        <v>26</v>
      </c>
      <c r="F2386" t="s">
        <v>15</v>
      </c>
      <c r="G2386">
        <v>91.05</v>
      </c>
      <c r="H2386">
        <v>4370.75</v>
      </c>
      <c r="I2386" t="s">
        <v>15</v>
      </c>
      <c r="J2386" t="s">
        <v>16</v>
      </c>
      <c r="K2386" t="s">
        <v>29</v>
      </c>
      <c r="L2386">
        <v>4370.75</v>
      </c>
      <c r="M2386" t="s">
        <v>5033</v>
      </c>
      <c r="N2386" t="s">
        <v>5034</v>
      </c>
    </row>
    <row r="2387" spans="1:14" x14ac:dyDescent="0.3">
      <c r="A2387" t="s">
        <v>2411</v>
      </c>
      <c r="B2387" t="s">
        <v>12</v>
      </c>
      <c r="C2387" t="s">
        <v>13</v>
      </c>
      <c r="D2387">
        <v>3</v>
      </c>
      <c r="E2387" t="s">
        <v>14</v>
      </c>
      <c r="F2387" t="s">
        <v>15</v>
      </c>
      <c r="G2387">
        <v>29.65</v>
      </c>
      <c r="H2387">
        <v>90.05</v>
      </c>
      <c r="I2387" t="s">
        <v>15</v>
      </c>
      <c r="J2387" t="s">
        <v>15</v>
      </c>
      <c r="K2387" t="s">
        <v>21</v>
      </c>
      <c r="L2387">
        <v>90.05</v>
      </c>
      <c r="M2387" t="s">
        <v>5030</v>
      </c>
      <c r="N2387" t="s">
        <v>5031</v>
      </c>
    </row>
    <row r="2388" spans="1:14" x14ac:dyDescent="0.3">
      <c r="A2388" t="s">
        <v>2412</v>
      </c>
      <c r="B2388" t="s">
        <v>12</v>
      </c>
      <c r="C2388" t="s">
        <v>13</v>
      </c>
      <c r="D2388">
        <v>43</v>
      </c>
      <c r="E2388" t="s">
        <v>14</v>
      </c>
      <c r="F2388" t="s">
        <v>15</v>
      </c>
      <c r="G2388">
        <v>50.2</v>
      </c>
      <c r="H2388">
        <v>2169.4</v>
      </c>
      <c r="I2388" t="s">
        <v>15</v>
      </c>
      <c r="J2388" t="s">
        <v>15</v>
      </c>
      <c r="K2388" t="s">
        <v>21</v>
      </c>
      <c r="L2388">
        <v>2169.4</v>
      </c>
      <c r="M2388" t="s">
        <v>5033</v>
      </c>
      <c r="N2388" t="s">
        <v>5031</v>
      </c>
    </row>
    <row r="2389" spans="1:14" x14ac:dyDescent="0.3">
      <c r="A2389" t="s">
        <v>2413</v>
      </c>
      <c r="B2389" t="s">
        <v>19</v>
      </c>
      <c r="C2389" t="s">
        <v>13</v>
      </c>
      <c r="D2389">
        <v>5</v>
      </c>
      <c r="E2389" t="s">
        <v>26</v>
      </c>
      <c r="F2389" t="s">
        <v>15</v>
      </c>
      <c r="G2389">
        <v>105.3</v>
      </c>
      <c r="H2389">
        <v>550.6</v>
      </c>
      <c r="I2389" t="s">
        <v>15</v>
      </c>
      <c r="J2389" t="s">
        <v>15</v>
      </c>
      <c r="K2389" t="s">
        <v>17</v>
      </c>
      <c r="L2389">
        <v>550.6</v>
      </c>
      <c r="M2389" t="s">
        <v>5030</v>
      </c>
      <c r="N2389" t="s">
        <v>5031</v>
      </c>
    </row>
    <row r="2390" spans="1:14" x14ac:dyDescent="0.3">
      <c r="A2390" t="s">
        <v>2414</v>
      </c>
      <c r="B2390" t="s">
        <v>12</v>
      </c>
      <c r="C2390" t="s">
        <v>13</v>
      </c>
      <c r="D2390">
        <v>1</v>
      </c>
      <c r="E2390" t="s">
        <v>14</v>
      </c>
      <c r="F2390" t="s">
        <v>15</v>
      </c>
      <c r="G2390">
        <v>55.45</v>
      </c>
      <c r="H2390">
        <v>55.45</v>
      </c>
      <c r="I2390" t="s">
        <v>15</v>
      </c>
      <c r="J2390" t="s">
        <v>16</v>
      </c>
      <c r="K2390" t="s">
        <v>17</v>
      </c>
      <c r="L2390">
        <v>55.45</v>
      </c>
      <c r="M2390" t="s">
        <v>5030</v>
      </c>
      <c r="N2390" t="s">
        <v>5031</v>
      </c>
    </row>
    <row r="2391" spans="1:14" x14ac:dyDescent="0.3">
      <c r="A2391" t="s">
        <v>2415</v>
      </c>
      <c r="B2391" t="s">
        <v>19</v>
      </c>
      <c r="C2391" t="s">
        <v>20</v>
      </c>
      <c r="D2391">
        <v>71</v>
      </c>
      <c r="E2391" t="s">
        <v>14</v>
      </c>
      <c r="F2391" t="s">
        <v>16</v>
      </c>
      <c r="G2391">
        <v>85.45</v>
      </c>
      <c r="H2391">
        <v>6300.85</v>
      </c>
      <c r="I2391" t="s">
        <v>15</v>
      </c>
      <c r="J2391" t="s">
        <v>15</v>
      </c>
      <c r="K2391" t="s">
        <v>17</v>
      </c>
      <c r="L2391">
        <v>6300.85</v>
      </c>
      <c r="M2391" t="s">
        <v>5033</v>
      </c>
      <c r="N2391" t="s">
        <v>5034</v>
      </c>
    </row>
    <row r="2392" spans="1:14" x14ac:dyDescent="0.3">
      <c r="A2392" t="s">
        <v>2416</v>
      </c>
      <c r="B2392" t="s">
        <v>12</v>
      </c>
      <c r="C2392" t="s">
        <v>20</v>
      </c>
      <c r="D2392">
        <v>8</v>
      </c>
      <c r="E2392" t="s">
        <v>15</v>
      </c>
      <c r="F2392" t="s">
        <v>36</v>
      </c>
      <c r="G2392">
        <v>19.8</v>
      </c>
      <c r="H2392">
        <v>160.05000000000001</v>
      </c>
      <c r="I2392" t="s">
        <v>15</v>
      </c>
      <c r="J2392" t="s">
        <v>15</v>
      </c>
      <c r="K2392" t="s">
        <v>17</v>
      </c>
      <c r="L2392">
        <v>160.05000000000001</v>
      </c>
      <c r="M2392" t="s">
        <v>5030</v>
      </c>
      <c r="N2392" t="s">
        <v>5031</v>
      </c>
    </row>
    <row r="2393" spans="1:14" x14ac:dyDescent="0.3">
      <c r="A2393" t="s">
        <v>2417</v>
      </c>
      <c r="B2393" t="s">
        <v>19</v>
      </c>
      <c r="C2393" t="s">
        <v>13</v>
      </c>
      <c r="D2393">
        <v>8</v>
      </c>
      <c r="E2393" t="s">
        <v>14</v>
      </c>
      <c r="F2393" t="s">
        <v>15</v>
      </c>
      <c r="G2393">
        <v>59.25</v>
      </c>
      <c r="H2393">
        <v>436.6</v>
      </c>
      <c r="I2393" t="s">
        <v>15</v>
      </c>
      <c r="J2393" t="s">
        <v>16</v>
      </c>
      <c r="K2393" t="s">
        <v>17</v>
      </c>
      <c r="L2393">
        <v>436.6</v>
      </c>
      <c r="M2393" t="s">
        <v>5030</v>
      </c>
      <c r="N2393" t="s">
        <v>5031</v>
      </c>
    </row>
    <row r="2394" spans="1:14" x14ac:dyDescent="0.3">
      <c r="A2394" t="s">
        <v>2418</v>
      </c>
      <c r="B2394" t="s">
        <v>19</v>
      </c>
      <c r="C2394" t="s">
        <v>13</v>
      </c>
      <c r="D2394">
        <v>20</v>
      </c>
      <c r="E2394" t="s">
        <v>26</v>
      </c>
      <c r="F2394" t="s">
        <v>15</v>
      </c>
      <c r="G2394">
        <v>90.7</v>
      </c>
      <c r="H2394">
        <v>1781.35</v>
      </c>
      <c r="I2394" t="s">
        <v>15</v>
      </c>
      <c r="J2394" t="s">
        <v>16</v>
      </c>
      <c r="K2394" t="s">
        <v>29</v>
      </c>
      <c r="L2394">
        <v>1781.35</v>
      </c>
      <c r="M2394" t="s">
        <v>5032</v>
      </c>
      <c r="N2394" t="s">
        <v>5031</v>
      </c>
    </row>
    <row r="2395" spans="1:14" x14ac:dyDescent="0.3">
      <c r="A2395" t="s">
        <v>2419</v>
      </c>
      <c r="B2395" t="s">
        <v>12</v>
      </c>
      <c r="C2395" t="s">
        <v>20</v>
      </c>
      <c r="D2395">
        <v>33</v>
      </c>
      <c r="E2395" t="s">
        <v>26</v>
      </c>
      <c r="F2395" t="s">
        <v>15</v>
      </c>
      <c r="G2395">
        <v>103.7</v>
      </c>
      <c r="H2395">
        <v>3467</v>
      </c>
      <c r="I2395" t="s">
        <v>16</v>
      </c>
      <c r="J2395" t="s">
        <v>16</v>
      </c>
      <c r="K2395" t="s">
        <v>21</v>
      </c>
      <c r="L2395">
        <v>3467</v>
      </c>
      <c r="M2395" t="s">
        <v>5032</v>
      </c>
      <c r="N2395" t="s">
        <v>5034</v>
      </c>
    </row>
    <row r="2396" spans="1:14" x14ac:dyDescent="0.3">
      <c r="A2396" t="s">
        <v>2420</v>
      </c>
      <c r="B2396" t="s">
        <v>19</v>
      </c>
      <c r="C2396" t="s">
        <v>20</v>
      </c>
      <c r="D2396">
        <v>71</v>
      </c>
      <c r="E2396" t="s">
        <v>26</v>
      </c>
      <c r="F2396" t="s">
        <v>15</v>
      </c>
      <c r="G2396">
        <v>79.05</v>
      </c>
      <c r="H2396">
        <v>5552.5</v>
      </c>
      <c r="I2396" t="s">
        <v>15</v>
      </c>
      <c r="J2396" t="s">
        <v>16</v>
      </c>
      <c r="K2396" t="s">
        <v>29</v>
      </c>
      <c r="L2396">
        <v>5552.5</v>
      </c>
      <c r="M2396" t="s">
        <v>5033</v>
      </c>
      <c r="N2396" t="s">
        <v>5034</v>
      </c>
    </row>
    <row r="2397" spans="1:14" x14ac:dyDescent="0.3">
      <c r="A2397" t="s">
        <v>2421</v>
      </c>
      <c r="B2397" t="s">
        <v>12</v>
      </c>
      <c r="C2397" t="s">
        <v>20</v>
      </c>
      <c r="D2397">
        <v>31</v>
      </c>
      <c r="E2397" t="s">
        <v>26</v>
      </c>
      <c r="F2397" t="s">
        <v>15</v>
      </c>
      <c r="G2397">
        <v>90.7</v>
      </c>
      <c r="H2397">
        <v>2835.5</v>
      </c>
      <c r="I2397" t="s">
        <v>15</v>
      </c>
      <c r="J2397" t="s">
        <v>16</v>
      </c>
      <c r="K2397" t="s">
        <v>17</v>
      </c>
      <c r="L2397">
        <v>2835.5</v>
      </c>
      <c r="M2397" t="s">
        <v>5032</v>
      </c>
      <c r="N2397" t="s">
        <v>5034</v>
      </c>
    </row>
    <row r="2398" spans="1:14" x14ac:dyDescent="0.3">
      <c r="A2398" t="s">
        <v>2422</v>
      </c>
      <c r="B2398" t="s">
        <v>12</v>
      </c>
      <c r="C2398" t="s">
        <v>20</v>
      </c>
      <c r="D2398">
        <v>38</v>
      </c>
      <c r="E2398" t="s">
        <v>26</v>
      </c>
      <c r="F2398" t="s">
        <v>15</v>
      </c>
      <c r="G2398">
        <v>95</v>
      </c>
      <c r="H2398">
        <v>3591.25</v>
      </c>
      <c r="I2398" t="s">
        <v>15</v>
      </c>
      <c r="J2398" t="s">
        <v>15</v>
      </c>
      <c r="K2398" t="s">
        <v>29</v>
      </c>
      <c r="L2398">
        <v>3591.25</v>
      </c>
      <c r="M2398" t="s">
        <v>5033</v>
      </c>
      <c r="N2398" t="s">
        <v>5034</v>
      </c>
    </row>
    <row r="2399" spans="1:14" x14ac:dyDescent="0.3">
      <c r="A2399" t="s">
        <v>2423</v>
      </c>
      <c r="B2399" t="s">
        <v>19</v>
      </c>
      <c r="C2399" t="s">
        <v>13</v>
      </c>
      <c r="D2399">
        <v>1</v>
      </c>
      <c r="E2399" t="s">
        <v>26</v>
      </c>
      <c r="F2399" t="s">
        <v>15</v>
      </c>
      <c r="G2399">
        <v>88.35</v>
      </c>
      <c r="H2399">
        <v>88.35</v>
      </c>
      <c r="I2399" t="s">
        <v>16</v>
      </c>
      <c r="J2399" t="s">
        <v>16</v>
      </c>
      <c r="K2399" t="s">
        <v>17</v>
      </c>
      <c r="L2399">
        <v>88.35</v>
      </c>
      <c r="M2399" t="s">
        <v>5030</v>
      </c>
      <c r="N2399" t="s">
        <v>5031</v>
      </c>
    </row>
    <row r="2400" spans="1:14" x14ac:dyDescent="0.3">
      <c r="A2400" t="s">
        <v>2424</v>
      </c>
      <c r="B2400" t="s">
        <v>12</v>
      </c>
      <c r="C2400" t="s">
        <v>13</v>
      </c>
      <c r="D2400">
        <v>2</v>
      </c>
      <c r="E2400" t="s">
        <v>14</v>
      </c>
      <c r="F2400" t="s">
        <v>15</v>
      </c>
      <c r="G2400">
        <v>30.25</v>
      </c>
      <c r="H2400">
        <v>63.75</v>
      </c>
      <c r="I2400" t="s">
        <v>15</v>
      </c>
      <c r="J2400" t="s">
        <v>16</v>
      </c>
      <c r="K2400" t="s">
        <v>21</v>
      </c>
      <c r="L2400">
        <v>63.75</v>
      </c>
      <c r="M2400" t="s">
        <v>5030</v>
      </c>
      <c r="N2400" t="s">
        <v>5031</v>
      </c>
    </row>
    <row r="2401" spans="1:14" x14ac:dyDescent="0.3">
      <c r="A2401" t="s">
        <v>2425</v>
      </c>
      <c r="B2401" t="s">
        <v>12</v>
      </c>
      <c r="C2401" t="s">
        <v>13</v>
      </c>
      <c r="D2401">
        <v>12</v>
      </c>
      <c r="E2401" t="s">
        <v>14</v>
      </c>
      <c r="F2401" t="s">
        <v>15</v>
      </c>
      <c r="G2401">
        <v>49.85</v>
      </c>
      <c r="H2401">
        <v>617.15</v>
      </c>
      <c r="I2401" t="s">
        <v>15</v>
      </c>
      <c r="J2401" t="s">
        <v>16</v>
      </c>
      <c r="K2401" t="s">
        <v>24</v>
      </c>
      <c r="L2401">
        <v>617.15</v>
      </c>
      <c r="M2401" t="s">
        <v>5030</v>
      </c>
      <c r="N2401" t="s">
        <v>5031</v>
      </c>
    </row>
    <row r="2402" spans="1:14" x14ac:dyDescent="0.3">
      <c r="A2402" t="s">
        <v>2426</v>
      </c>
      <c r="B2402" t="s">
        <v>12</v>
      </c>
      <c r="C2402" t="s">
        <v>13</v>
      </c>
      <c r="D2402">
        <v>9</v>
      </c>
      <c r="E2402" t="s">
        <v>26</v>
      </c>
      <c r="F2402" t="s">
        <v>16</v>
      </c>
      <c r="G2402">
        <v>93</v>
      </c>
      <c r="H2402">
        <v>870.25</v>
      </c>
      <c r="I2402" t="s">
        <v>15</v>
      </c>
      <c r="J2402" t="s">
        <v>15</v>
      </c>
      <c r="K2402" t="s">
        <v>24</v>
      </c>
      <c r="L2402">
        <v>870.25</v>
      </c>
      <c r="M2402" t="s">
        <v>5030</v>
      </c>
      <c r="N2402" t="s">
        <v>5031</v>
      </c>
    </row>
    <row r="2403" spans="1:14" x14ac:dyDescent="0.3">
      <c r="A2403" t="s">
        <v>2427</v>
      </c>
      <c r="B2403" t="s">
        <v>19</v>
      </c>
      <c r="C2403" t="s">
        <v>13</v>
      </c>
      <c r="D2403">
        <v>11</v>
      </c>
      <c r="E2403" t="s">
        <v>14</v>
      </c>
      <c r="F2403" t="s">
        <v>16</v>
      </c>
      <c r="G2403">
        <v>54.55</v>
      </c>
      <c r="H2403">
        <v>601.25</v>
      </c>
      <c r="I2403" t="s">
        <v>15</v>
      </c>
      <c r="J2403" t="s">
        <v>16</v>
      </c>
      <c r="K2403" t="s">
        <v>17</v>
      </c>
      <c r="L2403">
        <v>601.25</v>
      </c>
      <c r="M2403" t="s">
        <v>5030</v>
      </c>
      <c r="N2403" t="s">
        <v>5031</v>
      </c>
    </row>
    <row r="2404" spans="1:14" x14ac:dyDescent="0.3">
      <c r="A2404" t="s">
        <v>2428</v>
      </c>
      <c r="B2404" t="s">
        <v>19</v>
      </c>
      <c r="C2404" t="s">
        <v>13</v>
      </c>
      <c r="D2404">
        <v>6</v>
      </c>
      <c r="E2404" t="s">
        <v>15</v>
      </c>
      <c r="F2404" t="s">
        <v>36</v>
      </c>
      <c r="G2404">
        <v>19.7</v>
      </c>
      <c r="H2404">
        <v>111.65</v>
      </c>
      <c r="I2404" t="s">
        <v>15</v>
      </c>
      <c r="J2404" t="s">
        <v>15</v>
      </c>
      <c r="K2404" t="s">
        <v>21</v>
      </c>
      <c r="L2404">
        <v>111.65</v>
      </c>
      <c r="M2404" t="s">
        <v>5030</v>
      </c>
      <c r="N2404" t="s">
        <v>5031</v>
      </c>
    </row>
    <row r="2405" spans="1:14" x14ac:dyDescent="0.3">
      <c r="A2405" t="s">
        <v>2429</v>
      </c>
      <c r="B2405" t="s">
        <v>12</v>
      </c>
      <c r="C2405" t="s">
        <v>20</v>
      </c>
      <c r="D2405">
        <v>71</v>
      </c>
      <c r="E2405" t="s">
        <v>14</v>
      </c>
      <c r="F2405" t="s">
        <v>16</v>
      </c>
      <c r="G2405">
        <v>84.8</v>
      </c>
      <c r="H2405">
        <v>6046.1</v>
      </c>
      <c r="I2405" t="s">
        <v>15</v>
      </c>
      <c r="J2405" t="s">
        <v>16</v>
      </c>
      <c r="K2405" t="s">
        <v>24</v>
      </c>
      <c r="L2405">
        <v>6046.1</v>
      </c>
      <c r="M2405" t="s">
        <v>5033</v>
      </c>
      <c r="N2405" t="s">
        <v>5034</v>
      </c>
    </row>
    <row r="2406" spans="1:14" x14ac:dyDescent="0.3">
      <c r="A2406" t="s">
        <v>2430</v>
      </c>
      <c r="B2406" t="s">
        <v>12</v>
      </c>
      <c r="C2406" t="s">
        <v>20</v>
      </c>
      <c r="D2406">
        <v>42</v>
      </c>
      <c r="E2406" t="s">
        <v>26</v>
      </c>
      <c r="F2406" t="s">
        <v>15</v>
      </c>
      <c r="G2406">
        <v>94.45</v>
      </c>
      <c r="H2406">
        <v>3923.8</v>
      </c>
      <c r="I2406" t="s">
        <v>15</v>
      </c>
      <c r="J2406" t="s">
        <v>16</v>
      </c>
      <c r="K2406" t="s">
        <v>29</v>
      </c>
      <c r="L2406">
        <v>3923.8</v>
      </c>
      <c r="M2406" t="s">
        <v>5033</v>
      </c>
      <c r="N2406" t="s">
        <v>5034</v>
      </c>
    </row>
    <row r="2407" spans="1:14" x14ac:dyDescent="0.3">
      <c r="A2407" t="s">
        <v>2431</v>
      </c>
      <c r="B2407" t="s">
        <v>12</v>
      </c>
      <c r="C2407" t="s">
        <v>13</v>
      </c>
      <c r="D2407">
        <v>8</v>
      </c>
      <c r="E2407" t="s">
        <v>26</v>
      </c>
      <c r="F2407" t="s">
        <v>15</v>
      </c>
      <c r="G2407">
        <v>94.2</v>
      </c>
      <c r="H2407">
        <v>777.3</v>
      </c>
      <c r="I2407" t="s">
        <v>16</v>
      </c>
      <c r="J2407" t="s">
        <v>16</v>
      </c>
      <c r="K2407" t="s">
        <v>17</v>
      </c>
      <c r="L2407">
        <v>777.3</v>
      </c>
      <c r="M2407" t="s">
        <v>5030</v>
      </c>
      <c r="N2407" t="s">
        <v>5031</v>
      </c>
    </row>
    <row r="2408" spans="1:14" x14ac:dyDescent="0.3">
      <c r="A2408" t="s">
        <v>2432</v>
      </c>
      <c r="B2408" t="s">
        <v>12</v>
      </c>
      <c r="C2408" t="s">
        <v>13</v>
      </c>
      <c r="D2408">
        <v>5</v>
      </c>
      <c r="E2408" t="s">
        <v>26</v>
      </c>
      <c r="F2408" t="s">
        <v>15</v>
      </c>
      <c r="G2408">
        <v>96.25</v>
      </c>
      <c r="H2408">
        <v>512.45000000000005</v>
      </c>
      <c r="I2408" t="s">
        <v>16</v>
      </c>
      <c r="J2408" t="s">
        <v>16</v>
      </c>
      <c r="K2408" t="s">
        <v>17</v>
      </c>
      <c r="L2408">
        <v>512.45000000000005</v>
      </c>
      <c r="M2408" t="s">
        <v>5030</v>
      </c>
      <c r="N2408" t="s">
        <v>5031</v>
      </c>
    </row>
    <row r="2409" spans="1:14" x14ac:dyDescent="0.3">
      <c r="A2409" t="s">
        <v>2433</v>
      </c>
      <c r="B2409" t="s">
        <v>12</v>
      </c>
      <c r="C2409" t="s">
        <v>13</v>
      </c>
      <c r="D2409">
        <v>2</v>
      </c>
      <c r="E2409" t="s">
        <v>26</v>
      </c>
      <c r="F2409" t="s">
        <v>15</v>
      </c>
      <c r="G2409">
        <v>70.7</v>
      </c>
      <c r="H2409">
        <v>141.44999999999999</v>
      </c>
      <c r="I2409" t="s">
        <v>16</v>
      </c>
      <c r="J2409" t="s">
        <v>16</v>
      </c>
      <c r="K2409" t="s">
        <v>17</v>
      </c>
      <c r="L2409">
        <v>141.44999999999999</v>
      </c>
      <c r="M2409" t="s">
        <v>5030</v>
      </c>
      <c r="N2409" t="s">
        <v>5031</v>
      </c>
    </row>
    <row r="2410" spans="1:14" x14ac:dyDescent="0.3">
      <c r="A2410" t="s">
        <v>2434</v>
      </c>
      <c r="B2410" t="s">
        <v>12</v>
      </c>
      <c r="C2410" t="s">
        <v>35</v>
      </c>
      <c r="D2410">
        <v>45</v>
      </c>
      <c r="E2410" t="s">
        <v>15</v>
      </c>
      <c r="F2410" t="s">
        <v>36</v>
      </c>
      <c r="G2410">
        <v>20.85</v>
      </c>
      <c r="H2410">
        <v>892.15</v>
      </c>
      <c r="I2410" t="s">
        <v>15</v>
      </c>
      <c r="J2410" t="s">
        <v>15</v>
      </c>
      <c r="K2410" t="s">
        <v>21</v>
      </c>
      <c r="L2410">
        <v>892.15</v>
      </c>
      <c r="M2410" t="s">
        <v>5033</v>
      </c>
      <c r="N2410" t="s">
        <v>5031</v>
      </c>
    </row>
    <row r="2411" spans="1:14" x14ac:dyDescent="0.3">
      <c r="A2411" t="s">
        <v>2435</v>
      </c>
      <c r="B2411" t="s">
        <v>19</v>
      </c>
      <c r="C2411" t="s">
        <v>20</v>
      </c>
      <c r="D2411">
        <v>28</v>
      </c>
      <c r="E2411" t="s">
        <v>14</v>
      </c>
      <c r="F2411" t="s">
        <v>16</v>
      </c>
      <c r="G2411">
        <v>60</v>
      </c>
      <c r="H2411">
        <v>1682.05</v>
      </c>
      <c r="I2411" t="s">
        <v>15</v>
      </c>
      <c r="J2411" t="s">
        <v>16</v>
      </c>
      <c r="K2411" t="s">
        <v>29</v>
      </c>
      <c r="L2411">
        <v>1682.05</v>
      </c>
      <c r="M2411" t="s">
        <v>5032</v>
      </c>
      <c r="N2411" t="s">
        <v>5031</v>
      </c>
    </row>
    <row r="2412" spans="1:14" x14ac:dyDescent="0.3">
      <c r="A2412" t="s">
        <v>2436</v>
      </c>
      <c r="B2412" t="s">
        <v>12</v>
      </c>
      <c r="C2412" t="s">
        <v>13</v>
      </c>
      <c r="D2412">
        <v>43</v>
      </c>
      <c r="E2412" t="s">
        <v>26</v>
      </c>
      <c r="F2412" t="s">
        <v>15</v>
      </c>
      <c r="G2412">
        <v>80.45</v>
      </c>
      <c r="H2412">
        <v>3398.9</v>
      </c>
      <c r="I2412" t="s">
        <v>15</v>
      </c>
      <c r="J2412" t="s">
        <v>15</v>
      </c>
      <c r="K2412" t="s">
        <v>17</v>
      </c>
      <c r="L2412">
        <v>3398.9</v>
      </c>
      <c r="M2412" t="s">
        <v>5033</v>
      </c>
      <c r="N2412" t="s">
        <v>5034</v>
      </c>
    </row>
    <row r="2413" spans="1:14" x14ac:dyDescent="0.3">
      <c r="A2413" t="s">
        <v>2437</v>
      </c>
      <c r="B2413" t="s">
        <v>19</v>
      </c>
      <c r="C2413" t="s">
        <v>35</v>
      </c>
      <c r="D2413">
        <v>60</v>
      </c>
      <c r="E2413" t="s">
        <v>14</v>
      </c>
      <c r="F2413" t="s">
        <v>16</v>
      </c>
      <c r="G2413">
        <v>84.95</v>
      </c>
      <c r="H2413">
        <v>4984.8500000000004</v>
      </c>
      <c r="I2413" t="s">
        <v>15</v>
      </c>
      <c r="J2413" t="s">
        <v>16</v>
      </c>
      <c r="K2413" t="s">
        <v>17</v>
      </c>
      <c r="L2413">
        <v>4984.8500000000004</v>
      </c>
      <c r="M2413" t="s">
        <v>5033</v>
      </c>
      <c r="N2413" t="s">
        <v>5034</v>
      </c>
    </row>
    <row r="2414" spans="1:14" x14ac:dyDescent="0.3">
      <c r="A2414" t="s">
        <v>2438</v>
      </c>
      <c r="B2414" t="s">
        <v>12</v>
      </c>
      <c r="C2414" t="s">
        <v>20</v>
      </c>
      <c r="D2414">
        <v>42</v>
      </c>
      <c r="E2414" t="s">
        <v>14</v>
      </c>
      <c r="F2414" t="s">
        <v>16</v>
      </c>
      <c r="G2414">
        <v>33.549999999999997</v>
      </c>
      <c r="H2414">
        <v>1445.3</v>
      </c>
      <c r="I2414" t="s">
        <v>16</v>
      </c>
      <c r="J2414" t="s">
        <v>15</v>
      </c>
      <c r="K2414" t="s">
        <v>21</v>
      </c>
      <c r="L2414">
        <v>1445.3</v>
      </c>
      <c r="M2414" t="s">
        <v>5033</v>
      </c>
      <c r="N2414" t="s">
        <v>5031</v>
      </c>
    </row>
    <row r="2415" spans="1:14" x14ac:dyDescent="0.3">
      <c r="A2415" t="s">
        <v>2439</v>
      </c>
      <c r="B2415" t="s">
        <v>19</v>
      </c>
      <c r="C2415" t="s">
        <v>35</v>
      </c>
      <c r="D2415">
        <v>7</v>
      </c>
      <c r="E2415" t="s">
        <v>14</v>
      </c>
      <c r="F2415" t="s">
        <v>16</v>
      </c>
      <c r="G2415">
        <v>49.65</v>
      </c>
      <c r="H2415">
        <v>305.55</v>
      </c>
      <c r="I2415" t="s">
        <v>15</v>
      </c>
      <c r="J2415" t="s">
        <v>15</v>
      </c>
      <c r="K2415" t="s">
        <v>29</v>
      </c>
      <c r="L2415">
        <v>305.55</v>
      </c>
      <c r="M2415" t="s">
        <v>5030</v>
      </c>
      <c r="N2415" t="s">
        <v>5031</v>
      </c>
    </row>
    <row r="2416" spans="1:14" x14ac:dyDescent="0.3">
      <c r="A2416" t="s">
        <v>2440</v>
      </c>
      <c r="B2416" t="s">
        <v>12</v>
      </c>
      <c r="C2416" t="s">
        <v>20</v>
      </c>
      <c r="D2416">
        <v>25</v>
      </c>
      <c r="E2416" t="s">
        <v>15</v>
      </c>
      <c r="F2416" t="s">
        <v>36</v>
      </c>
      <c r="G2416">
        <v>20.2</v>
      </c>
      <c r="H2416">
        <v>507.9</v>
      </c>
      <c r="I2416" t="s">
        <v>15</v>
      </c>
      <c r="J2416" t="s">
        <v>16</v>
      </c>
      <c r="K2416" t="s">
        <v>24</v>
      </c>
      <c r="L2416">
        <v>507.9</v>
      </c>
      <c r="M2416" t="s">
        <v>5032</v>
      </c>
      <c r="N2416" t="s">
        <v>5031</v>
      </c>
    </row>
    <row r="2417" spans="1:14" x14ac:dyDescent="0.3">
      <c r="A2417" t="s">
        <v>2441</v>
      </c>
      <c r="B2417" t="s">
        <v>12</v>
      </c>
      <c r="C2417" t="s">
        <v>13</v>
      </c>
      <c r="D2417">
        <v>40</v>
      </c>
      <c r="E2417" t="s">
        <v>26</v>
      </c>
      <c r="F2417" t="s">
        <v>15</v>
      </c>
      <c r="G2417">
        <v>94.55</v>
      </c>
      <c r="H2417">
        <v>3640.45</v>
      </c>
      <c r="I2417" t="s">
        <v>16</v>
      </c>
      <c r="J2417" t="s">
        <v>16</v>
      </c>
      <c r="K2417" t="s">
        <v>29</v>
      </c>
      <c r="L2417">
        <v>3640.45</v>
      </c>
      <c r="M2417" t="s">
        <v>5033</v>
      </c>
      <c r="N2417" t="s">
        <v>5034</v>
      </c>
    </row>
    <row r="2418" spans="1:14" x14ac:dyDescent="0.3">
      <c r="A2418" t="s">
        <v>2442</v>
      </c>
      <c r="B2418" t="s">
        <v>19</v>
      </c>
      <c r="C2418" t="s">
        <v>20</v>
      </c>
      <c r="D2418">
        <v>27</v>
      </c>
      <c r="E2418" t="s">
        <v>26</v>
      </c>
      <c r="F2418" t="s">
        <v>15</v>
      </c>
      <c r="G2418">
        <v>100.5</v>
      </c>
      <c r="H2418">
        <v>2673.45</v>
      </c>
      <c r="I2418" t="s">
        <v>15</v>
      </c>
      <c r="J2418" t="s">
        <v>16</v>
      </c>
      <c r="K2418" t="s">
        <v>24</v>
      </c>
      <c r="L2418">
        <v>2673.45</v>
      </c>
      <c r="M2418" t="s">
        <v>5032</v>
      </c>
      <c r="N2418" t="s">
        <v>5034</v>
      </c>
    </row>
    <row r="2419" spans="1:14" x14ac:dyDescent="0.3">
      <c r="A2419" t="s">
        <v>2443</v>
      </c>
      <c r="B2419" t="s">
        <v>19</v>
      </c>
      <c r="C2419" t="s">
        <v>13</v>
      </c>
      <c r="D2419">
        <v>10</v>
      </c>
      <c r="E2419" t="s">
        <v>14</v>
      </c>
      <c r="F2419" t="s">
        <v>16</v>
      </c>
      <c r="G2419">
        <v>35.75</v>
      </c>
      <c r="H2419">
        <v>389.8</v>
      </c>
      <c r="I2419" t="s">
        <v>15</v>
      </c>
      <c r="J2419" t="s">
        <v>15</v>
      </c>
      <c r="K2419" t="s">
        <v>17</v>
      </c>
      <c r="L2419">
        <v>389.8</v>
      </c>
      <c r="M2419" t="s">
        <v>5030</v>
      </c>
      <c r="N2419" t="s">
        <v>5031</v>
      </c>
    </row>
    <row r="2420" spans="1:14" x14ac:dyDescent="0.3">
      <c r="A2420" t="s">
        <v>2444</v>
      </c>
      <c r="B2420" t="s">
        <v>12</v>
      </c>
      <c r="C2420" t="s">
        <v>13</v>
      </c>
      <c r="D2420">
        <v>27</v>
      </c>
      <c r="E2420" t="s">
        <v>26</v>
      </c>
      <c r="F2420" t="s">
        <v>15</v>
      </c>
      <c r="G2420">
        <v>86.45</v>
      </c>
      <c r="H2420">
        <v>2401.0500000000002</v>
      </c>
      <c r="I2420" t="s">
        <v>15</v>
      </c>
      <c r="J2420" t="s">
        <v>16</v>
      </c>
      <c r="K2420" t="s">
        <v>24</v>
      </c>
      <c r="L2420">
        <v>2401.0500000000002</v>
      </c>
      <c r="M2420" t="s">
        <v>5032</v>
      </c>
      <c r="N2420" t="s">
        <v>5031</v>
      </c>
    </row>
    <row r="2421" spans="1:14" x14ac:dyDescent="0.3">
      <c r="A2421" t="s">
        <v>2445</v>
      </c>
      <c r="B2421" t="s">
        <v>12</v>
      </c>
      <c r="C2421" t="s">
        <v>20</v>
      </c>
      <c r="D2421">
        <v>11</v>
      </c>
      <c r="E2421" t="s">
        <v>14</v>
      </c>
      <c r="F2421" t="s">
        <v>16</v>
      </c>
      <c r="G2421">
        <v>53.8</v>
      </c>
      <c r="H2421">
        <v>651.54999999999995</v>
      </c>
      <c r="I2421" t="s">
        <v>15</v>
      </c>
      <c r="J2421" t="s">
        <v>15</v>
      </c>
      <c r="K2421" t="s">
        <v>24</v>
      </c>
      <c r="L2421">
        <v>651.54999999999995</v>
      </c>
      <c r="M2421" t="s">
        <v>5030</v>
      </c>
      <c r="N2421" t="s">
        <v>5031</v>
      </c>
    </row>
    <row r="2422" spans="1:14" x14ac:dyDescent="0.3">
      <c r="A2422" t="s">
        <v>2446</v>
      </c>
      <c r="B2422" t="s">
        <v>19</v>
      </c>
      <c r="C2422" t="s">
        <v>13</v>
      </c>
      <c r="D2422">
        <v>4</v>
      </c>
      <c r="E2422" t="s">
        <v>14</v>
      </c>
      <c r="F2422" t="s">
        <v>15</v>
      </c>
      <c r="G2422">
        <v>38.549999999999997</v>
      </c>
      <c r="H2422">
        <v>156.1</v>
      </c>
      <c r="I2422" t="s">
        <v>15</v>
      </c>
      <c r="J2422" t="s">
        <v>15</v>
      </c>
      <c r="K2422" t="s">
        <v>29</v>
      </c>
      <c r="L2422">
        <v>156.1</v>
      </c>
      <c r="M2422" t="s">
        <v>5030</v>
      </c>
      <c r="N2422" t="s">
        <v>5031</v>
      </c>
    </row>
    <row r="2423" spans="1:14" x14ac:dyDescent="0.3">
      <c r="A2423" t="s">
        <v>2447</v>
      </c>
      <c r="B2423" t="s">
        <v>19</v>
      </c>
      <c r="C2423" t="s">
        <v>13</v>
      </c>
      <c r="D2423">
        <v>68</v>
      </c>
      <c r="E2423" t="s">
        <v>14</v>
      </c>
      <c r="F2423" t="s">
        <v>15</v>
      </c>
      <c r="G2423">
        <v>39.9</v>
      </c>
      <c r="H2423">
        <v>2796.35</v>
      </c>
      <c r="I2423" t="s">
        <v>15</v>
      </c>
      <c r="J2423" t="s">
        <v>16</v>
      </c>
      <c r="K2423" t="s">
        <v>24</v>
      </c>
      <c r="L2423">
        <v>2796.35</v>
      </c>
      <c r="M2423" t="s">
        <v>5033</v>
      </c>
      <c r="N2423" t="s">
        <v>5034</v>
      </c>
    </row>
    <row r="2424" spans="1:14" x14ac:dyDescent="0.3">
      <c r="A2424" t="s">
        <v>2448</v>
      </c>
      <c r="B2424" t="s">
        <v>19</v>
      </c>
      <c r="C2424" t="s">
        <v>13</v>
      </c>
      <c r="D2424">
        <v>1</v>
      </c>
      <c r="E2424" t="s">
        <v>26</v>
      </c>
      <c r="F2424" t="s">
        <v>15</v>
      </c>
      <c r="G2424">
        <v>70.05</v>
      </c>
      <c r="H2424">
        <v>70.05</v>
      </c>
      <c r="I2424" t="s">
        <v>15</v>
      </c>
      <c r="J2424" t="s">
        <v>16</v>
      </c>
      <c r="K2424" t="s">
        <v>17</v>
      </c>
      <c r="L2424">
        <v>70.05</v>
      </c>
      <c r="M2424" t="s">
        <v>5030</v>
      </c>
      <c r="N2424" t="s">
        <v>5031</v>
      </c>
    </row>
    <row r="2425" spans="1:14" x14ac:dyDescent="0.3">
      <c r="A2425" t="s">
        <v>2449</v>
      </c>
      <c r="B2425" t="s">
        <v>12</v>
      </c>
      <c r="C2425" t="s">
        <v>20</v>
      </c>
      <c r="D2425">
        <v>18</v>
      </c>
      <c r="E2425" t="s">
        <v>15</v>
      </c>
      <c r="F2425" t="s">
        <v>36</v>
      </c>
      <c r="G2425">
        <v>20.100000000000001</v>
      </c>
      <c r="H2425">
        <v>407.05</v>
      </c>
      <c r="I2425" t="s">
        <v>15</v>
      </c>
      <c r="J2425" t="s">
        <v>15</v>
      </c>
      <c r="K2425" t="s">
        <v>21</v>
      </c>
      <c r="L2425">
        <v>407.05</v>
      </c>
      <c r="M2425" t="s">
        <v>5032</v>
      </c>
      <c r="N2425" t="s">
        <v>5031</v>
      </c>
    </row>
    <row r="2426" spans="1:14" x14ac:dyDescent="0.3">
      <c r="A2426" t="s">
        <v>2450</v>
      </c>
      <c r="B2426" t="s">
        <v>12</v>
      </c>
      <c r="C2426" t="s">
        <v>35</v>
      </c>
      <c r="D2426">
        <v>57</v>
      </c>
      <c r="E2426" t="s">
        <v>26</v>
      </c>
      <c r="F2426" t="s">
        <v>15</v>
      </c>
      <c r="G2426">
        <v>112.95</v>
      </c>
      <c r="H2426">
        <v>6465</v>
      </c>
      <c r="I2426" t="s">
        <v>16</v>
      </c>
      <c r="J2426" t="s">
        <v>16</v>
      </c>
      <c r="K2426" t="s">
        <v>24</v>
      </c>
      <c r="L2426">
        <v>6465</v>
      </c>
      <c r="M2426" t="s">
        <v>5033</v>
      </c>
      <c r="N2426" t="s">
        <v>5034</v>
      </c>
    </row>
    <row r="2427" spans="1:14" x14ac:dyDescent="0.3">
      <c r="A2427" t="s">
        <v>2451</v>
      </c>
      <c r="B2427" t="s">
        <v>19</v>
      </c>
      <c r="C2427" t="s">
        <v>13</v>
      </c>
      <c r="D2427">
        <v>26</v>
      </c>
      <c r="E2427" t="s">
        <v>15</v>
      </c>
      <c r="F2427" t="s">
        <v>36</v>
      </c>
      <c r="G2427">
        <v>20.3</v>
      </c>
      <c r="H2427">
        <v>511.25</v>
      </c>
      <c r="I2427" t="s">
        <v>15</v>
      </c>
      <c r="J2427" t="s">
        <v>16</v>
      </c>
      <c r="K2427" t="s">
        <v>17</v>
      </c>
      <c r="L2427">
        <v>511.25</v>
      </c>
      <c r="M2427" t="s">
        <v>5032</v>
      </c>
      <c r="N2427" t="s">
        <v>5031</v>
      </c>
    </row>
    <row r="2428" spans="1:14" x14ac:dyDescent="0.3">
      <c r="A2428" t="s">
        <v>2452</v>
      </c>
      <c r="B2428" t="s">
        <v>12</v>
      </c>
      <c r="C2428" t="s">
        <v>13</v>
      </c>
      <c r="D2428">
        <v>17</v>
      </c>
      <c r="E2428" t="s">
        <v>14</v>
      </c>
      <c r="F2428" t="s">
        <v>15</v>
      </c>
      <c r="G2428">
        <v>35.65</v>
      </c>
      <c r="H2428">
        <v>646.04999999999995</v>
      </c>
      <c r="I2428" t="s">
        <v>15</v>
      </c>
      <c r="J2428" t="s">
        <v>16</v>
      </c>
      <c r="K2428" t="s">
        <v>29</v>
      </c>
      <c r="L2428">
        <v>646.04999999999995</v>
      </c>
      <c r="M2428" t="s">
        <v>5032</v>
      </c>
      <c r="N2428" t="s">
        <v>5031</v>
      </c>
    </row>
    <row r="2429" spans="1:14" x14ac:dyDescent="0.3">
      <c r="A2429" t="s">
        <v>2453</v>
      </c>
      <c r="B2429" t="s">
        <v>19</v>
      </c>
      <c r="C2429" t="s">
        <v>13</v>
      </c>
      <c r="D2429">
        <v>1</v>
      </c>
      <c r="E2429" t="s">
        <v>14</v>
      </c>
      <c r="F2429" t="s">
        <v>15</v>
      </c>
      <c r="G2429">
        <v>35.9</v>
      </c>
      <c r="H2429">
        <v>35.9</v>
      </c>
      <c r="I2429" t="s">
        <v>16</v>
      </c>
      <c r="J2429" t="s">
        <v>15</v>
      </c>
      <c r="K2429" t="s">
        <v>17</v>
      </c>
      <c r="L2429">
        <v>35.9</v>
      </c>
      <c r="M2429" t="s">
        <v>5030</v>
      </c>
      <c r="N2429" t="s">
        <v>5031</v>
      </c>
    </row>
    <row r="2430" spans="1:14" x14ac:dyDescent="0.3">
      <c r="A2430" t="s">
        <v>2454</v>
      </c>
      <c r="B2430" t="s">
        <v>19</v>
      </c>
      <c r="C2430" t="s">
        <v>13</v>
      </c>
      <c r="D2430">
        <v>38</v>
      </c>
      <c r="E2430" t="s">
        <v>26</v>
      </c>
      <c r="F2430" t="s">
        <v>15</v>
      </c>
      <c r="G2430">
        <v>99.25</v>
      </c>
      <c r="H2430">
        <v>3777.15</v>
      </c>
      <c r="I2430" t="s">
        <v>16</v>
      </c>
      <c r="J2430" t="s">
        <v>16</v>
      </c>
      <c r="K2430" t="s">
        <v>24</v>
      </c>
      <c r="L2430">
        <v>3777.15</v>
      </c>
      <c r="M2430" t="s">
        <v>5033</v>
      </c>
      <c r="N2430" t="s">
        <v>5034</v>
      </c>
    </row>
    <row r="2431" spans="1:14" x14ac:dyDescent="0.3">
      <c r="A2431" t="s">
        <v>2455</v>
      </c>
      <c r="B2431" t="s">
        <v>19</v>
      </c>
      <c r="C2431" t="s">
        <v>20</v>
      </c>
      <c r="D2431">
        <v>59</v>
      </c>
      <c r="E2431" t="s">
        <v>26</v>
      </c>
      <c r="F2431" t="s">
        <v>15</v>
      </c>
      <c r="G2431">
        <v>82.95</v>
      </c>
      <c r="H2431">
        <v>4903.1499999999996</v>
      </c>
      <c r="I2431" t="s">
        <v>15</v>
      </c>
      <c r="J2431" t="s">
        <v>16</v>
      </c>
      <c r="K2431" t="s">
        <v>29</v>
      </c>
      <c r="L2431">
        <v>4903.1499999999996</v>
      </c>
      <c r="M2431" t="s">
        <v>5033</v>
      </c>
      <c r="N2431" t="s">
        <v>5034</v>
      </c>
    </row>
    <row r="2432" spans="1:14" x14ac:dyDescent="0.3">
      <c r="A2432" t="s">
        <v>2456</v>
      </c>
      <c r="B2432" t="s">
        <v>19</v>
      </c>
      <c r="C2432" t="s">
        <v>35</v>
      </c>
      <c r="D2432">
        <v>30</v>
      </c>
      <c r="E2432" t="s">
        <v>14</v>
      </c>
      <c r="F2432" t="s">
        <v>15</v>
      </c>
      <c r="G2432">
        <v>55.65</v>
      </c>
      <c r="H2432">
        <v>1653.85</v>
      </c>
      <c r="I2432" t="s">
        <v>15</v>
      </c>
      <c r="J2432" t="s">
        <v>16</v>
      </c>
      <c r="K2432" t="s">
        <v>21</v>
      </c>
      <c r="L2432">
        <v>1653.85</v>
      </c>
      <c r="M2432" t="s">
        <v>5032</v>
      </c>
      <c r="N2432" t="s">
        <v>5031</v>
      </c>
    </row>
    <row r="2433" spans="1:14" x14ac:dyDescent="0.3">
      <c r="A2433" t="s">
        <v>2457</v>
      </c>
      <c r="B2433" t="s">
        <v>19</v>
      </c>
      <c r="C2433" t="s">
        <v>13</v>
      </c>
      <c r="D2433">
        <v>2</v>
      </c>
      <c r="E2433" t="s">
        <v>14</v>
      </c>
      <c r="F2433" t="s">
        <v>15</v>
      </c>
      <c r="G2433">
        <v>24.45</v>
      </c>
      <c r="H2433">
        <v>47.5</v>
      </c>
      <c r="I2433" t="s">
        <v>16</v>
      </c>
      <c r="J2433" t="s">
        <v>16</v>
      </c>
      <c r="K2433" t="s">
        <v>21</v>
      </c>
      <c r="L2433">
        <v>47.5</v>
      </c>
      <c r="M2433" t="s">
        <v>5030</v>
      </c>
      <c r="N2433" t="s">
        <v>5031</v>
      </c>
    </row>
    <row r="2434" spans="1:14" x14ac:dyDescent="0.3">
      <c r="A2434" t="s">
        <v>2458</v>
      </c>
      <c r="B2434" t="s">
        <v>12</v>
      </c>
      <c r="C2434" t="s">
        <v>20</v>
      </c>
      <c r="D2434">
        <v>50</v>
      </c>
      <c r="E2434" t="s">
        <v>15</v>
      </c>
      <c r="F2434" t="s">
        <v>36</v>
      </c>
      <c r="G2434">
        <v>25.2</v>
      </c>
      <c r="H2434">
        <v>1306.3</v>
      </c>
      <c r="I2434" t="s">
        <v>15</v>
      </c>
      <c r="J2434" t="s">
        <v>15</v>
      </c>
      <c r="K2434" t="s">
        <v>17</v>
      </c>
      <c r="L2434">
        <v>1306.3</v>
      </c>
      <c r="M2434" t="s">
        <v>5033</v>
      </c>
      <c r="N2434" t="s">
        <v>5031</v>
      </c>
    </row>
    <row r="2435" spans="1:14" x14ac:dyDescent="0.3">
      <c r="A2435" t="s">
        <v>2459</v>
      </c>
      <c r="B2435" t="s">
        <v>19</v>
      </c>
      <c r="C2435" t="s">
        <v>20</v>
      </c>
      <c r="D2435">
        <v>9</v>
      </c>
      <c r="E2435" t="s">
        <v>14</v>
      </c>
      <c r="F2435" t="s">
        <v>16</v>
      </c>
      <c r="G2435">
        <v>50.8</v>
      </c>
      <c r="H2435">
        <v>463.6</v>
      </c>
      <c r="I2435" t="s">
        <v>15</v>
      </c>
      <c r="J2435" t="s">
        <v>15</v>
      </c>
      <c r="K2435" t="s">
        <v>21</v>
      </c>
      <c r="L2435">
        <v>463.6</v>
      </c>
      <c r="M2435" t="s">
        <v>5030</v>
      </c>
      <c r="N2435" t="s">
        <v>5031</v>
      </c>
    </row>
    <row r="2436" spans="1:14" x14ac:dyDescent="0.3">
      <c r="A2436" t="s">
        <v>2460</v>
      </c>
      <c r="B2436" t="s">
        <v>12</v>
      </c>
      <c r="C2436" t="s">
        <v>13</v>
      </c>
      <c r="D2436">
        <v>3</v>
      </c>
      <c r="E2436" t="s">
        <v>15</v>
      </c>
      <c r="F2436" t="s">
        <v>36</v>
      </c>
      <c r="G2436">
        <v>19.649999999999999</v>
      </c>
      <c r="H2436">
        <v>60.65</v>
      </c>
      <c r="I2436" t="s">
        <v>15</v>
      </c>
      <c r="J2436" t="s">
        <v>15</v>
      </c>
      <c r="K2436" t="s">
        <v>21</v>
      </c>
      <c r="L2436">
        <v>60.65</v>
      </c>
      <c r="M2436" t="s">
        <v>5030</v>
      </c>
      <c r="N2436" t="s">
        <v>5031</v>
      </c>
    </row>
    <row r="2437" spans="1:14" x14ac:dyDescent="0.3">
      <c r="A2437" t="s">
        <v>2461</v>
      </c>
      <c r="B2437" t="s">
        <v>12</v>
      </c>
      <c r="C2437" t="s">
        <v>13</v>
      </c>
      <c r="D2437">
        <v>14</v>
      </c>
      <c r="E2437" t="s">
        <v>14</v>
      </c>
      <c r="F2437" t="s">
        <v>15</v>
      </c>
      <c r="G2437">
        <v>59.8</v>
      </c>
      <c r="H2437">
        <v>824.85</v>
      </c>
      <c r="I2437" t="s">
        <v>15</v>
      </c>
      <c r="J2437" t="s">
        <v>16</v>
      </c>
      <c r="K2437" t="s">
        <v>29</v>
      </c>
      <c r="L2437">
        <v>824.85</v>
      </c>
      <c r="M2437" t="s">
        <v>5032</v>
      </c>
      <c r="N2437" t="s">
        <v>5031</v>
      </c>
    </row>
    <row r="2438" spans="1:14" x14ac:dyDescent="0.3">
      <c r="A2438" t="s">
        <v>2462</v>
      </c>
      <c r="B2438" t="s">
        <v>12</v>
      </c>
      <c r="C2438" t="s">
        <v>13</v>
      </c>
      <c r="D2438">
        <v>31</v>
      </c>
      <c r="E2438" t="s">
        <v>26</v>
      </c>
      <c r="F2438" t="s">
        <v>15</v>
      </c>
      <c r="G2438">
        <v>73.55</v>
      </c>
      <c r="H2438">
        <v>2094.65</v>
      </c>
      <c r="I2438" t="s">
        <v>15</v>
      </c>
      <c r="J2438" t="s">
        <v>16</v>
      </c>
      <c r="K2438" t="s">
        <v>29</v>
      </c>
      <c r="L2438">
        <v>2094.65</v>
      </c>
      <c r="M2438" t="s">
        <v>5032</v>
      </c>
      <c r="N2438" t="s">
        <v>5031</v>
      </c>
    </row>
    <row r="2439" spans="1:14" x14ac:dyDescent="0.3">
      <c r="A2439" t="s">
        <v>2463</v>
      </c>
      <c r="B2439" t="s">
        <v>12</v>
      </c>
      <c r="C2439" t="s">
        <v>13</v>
      </c>
      <c r="D2439">
        <v>7</v>
      </c>
      <c r="E2439" t="s">
        <v>14</v>
      </c>
      <c r="F2439" t="s">
        <v>15</v>
      </c>
      <c r="G2439">
        <v>61.4</v>
      </c>
      <c r="H2439">
        <v>438.9</v>
      </c>
      <c r="I2439" t="s">
        <v>15</v>
      </c>
      <c r="J2439" t="s">
        <v>15</v>
      </c>
      <c r="K2439" t="s">
        <v>17</v>
      </c>
      <c r="L2439">
        <v>438.9</v>
      </c>
      <c r="M2439" t="s">
        <v>5030</v>
      </c>
      <c r="N2439" t="s">
        <v>5031</v>
      </c>
    </row>
    <row r="2440" spans="1:14" x14ac:dyDescent="0.3">
      <c r="A2440" t="s">
        <v>2464</v>
      </c>
      <c r="B2440" t="s">
        <v>12</v>
      </c>
      <c r="C2440" t="s">
        <v>13</v>
      </c>
      <c r="D2440">
        <v>8</v>
      </c>
      <c r="E2440" t="s">
        <v>26</v>
      </c>
      <c r="F2440" t="s">
        <v>16</v>
      </c>
      <c r="G2440">
        <v>103.35</v>
      </c>
      <c r="H2440">
        <v>847.3</v>
      </c>
      <c r="I2440" t="s">
        <v>16</v>
      </c>
      <c r="J2440" t="s">
        <v>16</v>
      </c>
      <c r="K2440" t="s">
        <v>24</v>
      </c>
      <c r="L2440">
        <v>847.3</v>
      </c>
      <c r="M2440" t="s">
        <v>5030</v>
      </c>
      <c r="N2440" t="s">
        <v>5031</v>
      </c>
    </row>
    <row r="2441" spans="1:14" x14ac:dyDescent="0.3">
      <c r="A2441" t="s">
        <v>2465</v>
      </c>
      <c r="B2441" t="s">
        <v>19</v>
      </c>
      <c r="C2441" t="s">
        <v>20</v>
      </c>
      <c r="D2441">
        <v>17</v>
      </c>
      <c r="E2441" t="s">
        <v>15</v>
      </c>
      <c r="F2441" t="s">
        <v>36</v>
      </c>
      <c r="G2441">
        <v>19.899999999999999</v>
      </c>
      <c r="H2441">
        <v>329.75</v>
      </c>
      <c r="I2441" t="s">
        <v>15</v>
      </c>
      <c r="J2441" t="s">
        <v>15</v>
      </c>
      <c r="K2441" t="s">
        <v>24</v>
      </c>
      <c r="L2441">
        <v>329.75</v>
      </c>
      <c r="M2441" t="s">
        <v>5032</v>
      </c>
      <c r="N2441" t="s">
        <v>5031</v>
      </c>
    </row>
    <row r="2442" spans="1:14" x14ac:dyDescent="0.3">
      <c r="A2442" t="s">
        <v>2466</v>
      </c>
      <c r="B2442" t="s">
        <v>19</v>
      </c>
      <c r="C2442" t="s">
        <v>13</v>
      </c>
      <c r="D2442">
        <v>32</v>
      </c>
      <c r="E2442" t="s">
        <v>15</v>
      </c>
      <c r="F2442" t="s">
        <v>36</v>
      </c>
      <c r="G2442">
        <v>19.45</v>
      </c>
      <c r="H2442">
        <v>674.55</v>
      </c>
      <c r="I2442" t="s">
        <v>15</v>
      </c>
      <c r="J2442" t="s">
        <v>16</v>
      </c>
      <c r="K2442" t="s">
        <v>29</v>
      </c>
      <c r="L2442">
        <v>674.55</v>
      </c>
      <c r="M2442" t="s">
        <v>5032</v>
      </c>
      <c r="N2442" t="s">
        <v>5031</v>
      </c>
    </row>
    <row r="2443" spans="1:14" x14ac:dyDescent="0.3">
      <c r="A2443" t="s">
        <v>2467</v>
      </c>
      <c r="B2443" t="s">
        <v>12</v>
      </c>
      <c r="C2443" t="s">
        <v>13</v>
      </c>
      <c r="D2443">
        <v>2</v>
      </c>
      <c r="E2443" t="s">
        <v>26</v>
      </c>
      <c r="F2443" t="s">
        <v>15</v>
      </c>
      <c r="G2443">
        <v>81.5</v>
      </c>
      <c r="H2443">
        <v>162.55000000000001</v>
      </c>
      <c r="I2443" t="s">
        <v>15</v>
      </c>
      <c r="J2443" t="s">
        <v>15</v>
      </c>
      <c r="K2443" t="s">
        <v>21</v>
      </c>
      <c r="L2443">
        <v>162.55000000000001</v>
      </c>
      <c r="M2443" t="s">
        <v>5030</v>
      </c>
      <c r="N2443" t="s">
        <v>5031</v>
      </c>
    </row>
    <row r="2444" spans="1:14" x14ac:dyDescent="0.3">
      <c r="A2444" t="s">
        <v>2468</v>
      </c>
      <c r="B2444" t="s">
        <v>19</v>
      </c>
      <c r="C2444" t="s">
        <v>13</v>
      </c>
      <c r="D2444">
        <v>7</v>
      </c>
      <c r="E2444" t="s">
        <v>26</v>
      </c>
      <c r="F2444" t="s">
        <v>15</v>
      </c>
      <c r="G2444">
        <v>84.8</v>
      </c>
      <c r="H2444">
        <v>546.95000000000005</v>
      </c>
      <c r="I2444" t="s">
        <v>16</v>
      </c>
      <c r="J2444" t="s">
        <v>16</v>
      </c>
      <c r="K2444" t="s">
        <v>17</v>
      </c>
      <c r="L2444">
        <v>546.95000000000005</v>
      </c>
      <c r="M2444" t="s">
        <v>5030</v>
      </c>
      <c r="N2444" t="s">
        <v>5031</v>
      </c>
    </row>
    <row r="2445" spans="1:14" x14ac:dyDescent="0.3">
      <c r="A2445" t="s">
        <v>2469</v>
      </c>
      <c r="B2445" t="s">
        <v>12</v>
      </c>
      <c r="C2445" t="s">
        <v>35</v>
      </c>
      <c r="D2445">
        <v>72</v>
      </c>
      <c r="E2445" t="s">
        <v>26</v>
      </c>
      <c r="F2445" t="s">
        <v>15</v>
      </c>
      <c r="G2445">
        <v>109.55</v>
      </c>
      <c r="H2445">
        <v>7887.25</v>
      </c>
      <c r="I2445" t="s">
        <v>15</v>
      </c>
      <c r="J2445" t="s">
        <v>15</v>
      </c>
      <c r="K2445" t="s">
        <v>29</v>
      </c>
      <c r="L2445">
        <v>7887.25</v>
      </c>
      <c r="M2445" t="s">
        <v>5033</v>
      </c>
      <c r="N2445" t="s">
        <v>5034</v>
      </c>
    </row>
    <row r="2446" spans="1:14" x14ac:dyDescent="0.3">
      <c r="A2446" t="s">
        <v>2470</v>
      </c>
      <c r="B2446" t="s">
        <v>12</v>
      </c>
      <c r="C2446" t="s">
        <v>13</v>
      </c>
      <c r="D2446">
        <v>31</v>
      </c>
      <c r="E2446" t="s">
        <v>26</v>
      </c>
      <c r="F2446" t="s">
        <v>15</v>
      </c>
      <c r="G2446">
        <v>99.95</v>
      </c>
      <c r="H2446">
        <v>3186.65</v>
      </c>
      <c r="I2446" t="s">
        <v>16</v>
      </c>
      <c r="J2446" t="s">
        <v>16</v>
      </c>
      <c r="K2446" t="s">
        <v>17</v>
      </c>
      <c r="L2446">
        <v>3186.65</v>
      </c>
      <c r="M2446" t="s">
        <v>5032</v>
      </c>
      <c r="N2446" t="s">
        <v>5034</v>
      </c>
    </row>
    <row r="2447" spans="1:14" x14ac:dyDescent="0.3">
      <c r="A2447" t="s">
        <v>2471</v>
      </c>
      <c r="B2447" t="s">
        <v>12</v>
      </c>
      <c r="C2447" t="s">
        <v>13</v>
      </c>
      <c r="D2447">
        <v>27</v>
      </c>
      <c r="E2447" t="s">
        <v>26</v>
      </c>
      <c r="F2447" t="s">
        <v>15</v>
      </c>
      <c r="G2447">
        <v>74.400000000000006</v>
      </c>
      <c r="H2447">
        <v>1972.35</v>
      </c>
      <c r="I2447" t="s">
        <v>15</v>
      </c>
      <c r="J2447" t="s">
        <v>15</v>
      </c>
      <c r="K2447" t="s">
        <v>21</v>
      </c>
      <c r="L2447">
        <v>1972.35</v>
      </c>
      <c r="M2447" t="s">
        <v>5032</v>
      </c>
      <c r="N2447" t="s">
        <v>5031</v>
      </c>
    </row>
    <row r="2448" spans="1:14" x14ac:dyDescent="0.3">
      <c r="A2448" t="s">
        <v>2472</v>
      </c>
      <c r="B2448" t="s">
        <v>12</v>
      </c>
      <c r="C2448" t="s">
        <v>13</v>
      </c>
      <c r="D2448">
        <v>18</v>
      </c>
      <c r="E2448" t="s">
        <v>26</v>
      </c>
      <c r="F2448" t="s">
        <v>15</v>
      </c>
      <c r="G2448">
        <v>90</v>
      </c>
      <c r="H2448">
        <v>1527.35</v>
      </c>
      <c r="I2448" t="s">
        <v>16</v>
      </c>
      <c r="J2448" t="s">
        <v>16</v>
      </c>
      <c r="K2448" t="s">
        <v>29</v>
      </c>
      <c r="L2448">
        <v>1527.35</v>
      </c>
      <c r="M2448" t="s">
        <v>5032</v>
      </c>
      <c r="N2448" t="s">
        <v>5031</v>
      </c>
    </row>
    <row r="2449" spans="1:14" x14ac:dyDescent="0.3">
      <c r="A2449" t="s">
        <v>2473</v>
      </c>
      <c r="B2449" t="s">
        <v>19</v>
      </c>
      <c r="C2449" t="s">
        <v>13</v>
      </c>
      <c r="D2449">
        <v>7</v>
      </c>
      <c r="E2449" t="s">
        <v>26</v>
      </c>
      <c r="F2449" t="s">
        <v>15</v>
      </c>
      <c r="G2449">
        <v>74.900000000000006</v>
      </c>
      <c r="H2449">
        <v>490.55</v>
      </c>
      <c r="I2449" t="s">
        <v>15</v>
      </c>
      <c r="J2449" t="s">
        <v>16</v>
      </c>
      <c r="K2449" t="s">
        <v>17</v>
      </c>
      <c r="L2449">
        <v>490.55</v>
      </c>
      <c r="M2449" t="s">
        <v>5030</v>
      </c>
      <c r="N2449" t="s">
        <v>5031</v>
      </c>
    </row>
    <row r="2450" spans="1:14" x14ac:dyDescent="0.3">
      <c r="A2450" t="s">
        <v>2474</v>
      </c>
      <c r="B2450" t="s">
        <v>12</v>
      </c>
      <c r="C2450" t="s">
        <v>13</v>
      </c>
      <c r="D2450">
        <v>14</v>
      </c>
      <c r="E2450" t="s">
        <v>26</v>
      </c>
      <c r="F2450" t="s">
        <v>15</v>
      </c>
      <c r="G2450">
        <v>104.85</v>
      </c>
      <c r="H2450">
        <v>1531.4</v>
      </c>
      <c r="I2450" t="s">
        <v>16</v>
      </c>
      <c r="J2450" t="s">
        <v>16</v>
      </c>
      <c r="K2450" t="s">
        <v>17</v>
      </c>
      <c r="L2450">
        <v>1531.4</v>
      </c>
      <c r="M2450" t="s">
        <v>5032</v>
      </c>
      <c r="N2450" t="s">
        <v>5031</v>
      </c>
    </row>
    <row r="2451" spans="1:14" x14ac:dyDescent="0.3">
      <c r="A2451" t="s">
        <v>2475</v>
      </c>
      <c r="B2451" t="s">
        <v>19</v>
      </c>
      <c r="C2451" t="s">
        <v>13</v>
      </c>
      <c r="D2451">
        <v>11</v>
      </c>
      <c r="E2451" t="s">
        <v>14</v>
      </c>
      <c r="F2451" t="s">
        <v>15</v>
      </c>
      <c r="G2451">
        <v>59.65</v>
      </c>
      <c r="H2451">
        <v>683.25</v>
      </c>
      <c r="I2451" t="s">
        <v>15</v>
      </c>
      <c r="J2451" t="s">
        <v>16</v>
      </c>
      <c r="K2451" t="s">
        <v>24</v>
      </c>
      <c r="L2451">
        <v>683.25</v>
      </c>
      <c r="M2451" t="s">
        <v>5030</v>
      </c>
      <c r="N2451" t="s">
        <v>5031</v>
      </c>
    </row>
    <row r="2452" spans="1:14" x14ac:dyDescent="0.3">
      <c r="A2452" t="s">
        <v>2476</v>
      </c>
      <c r="B2452" t="s">
        <v>12</v>
      </c>
      <c r="C2452" t="s">
        <v>35</v>
      </c>
      <c r="D2452">
        <v>72</v>
      </c>
      <c r="E2452" t="s">
        <v>26</v>
      </c>
      <c r="F2452" t="s">
        <v>16</v>
      </c>
      <c r="G2452">
        <v>110.45</v>
      </c>
      <c r="H2452">
        <v>8058.85</v>
      </c>
      <c r="I2452" t="s">
        <v>15</v>
      </c>
      <c r="J2452" t="s">
        <v>16</v>
      </c>
      <c r="K2452" t="s">
        <v>24</v>
      </c>
      <c r="L2452">
        <v>8058.85</v>
      </c>
      <c r="M2452" t="s">
        <v>5033</v>
      </c>
      <c r="N2452" t="s">
        <v>5034</v>
      </c>
    </row>
    <row r="2453" spans="1:14" x14ac:dyDescent="0.3">
      <c r="A2453" t="s">
        <v>2477</v>
      </c>
      <c r="B2453" t="s">
        <v>19</v>
      </c>
      <c r="C2453" t="s">
        <v>20</v>
      </c>
      <c r="D2453">
        <v>28</v>
      </c>
      <c r="E2453" t="s">
        <v>26</v>
      </c>
      <c r="F2453" t="s">
        <v>15</v>
      </c>
      <c r="G2453">
        <v>106.1</v>
      </c>
      <c r="H2453">
        <v>2847.4</v>
      </c>
      <c r="I2453" t="s">
        <v>16</v>
      </c>
      <c r="J2453" t="s">
        <v>15</v>
      </c>
      <c r="K2453" t="s">
        <v>17</v>
      </c>
      <c r="L2453">
        <v>2847.4</v>
      </c>
      <c r="M2453" t="s">
        <v>5032</v>
      </c>
      <c r="N2453" t="s">
        <v>5034</v>
      </c>
    </row>
    <row r="2454" spans="1:14" x14ac:dyDescent="0.3">
      <c r="A2454" t="s">
        <v>2478</v>
      </c>
      <c r="B2454" t="s">
        <v>19</v>
      </c>
      <c r="C2454" t="s">
        <v>13</v>
      </c>
      <c r="D2454">
        <v>15</v>
      </c>
      <c r="E2454" t="s">
        <v>26</v>
      </c>
      <c r="F2454" t="s">
        <v>15</v>
      </c>
      <c r="G2454">
        <v>74.2</v>
      </c>
      <c r="H2454">
        <v>1133.9000000000001</v>
      </c>
      <c r="I2454" t="s">
        <v>16</v>
      </c>
      <c r="J2454" t="s">
        <v>16</v>
      </c>
      <c r="K2454" t="s">
        <v>29</v>
      </c>
      <c r="L2454">
        <v>1133.9000000000001</v>
      </c>
      <c r="M2454" t="s">
        <v>5032</v>
      </c>
      <c r="N2454" t="s">
        <v>5031</v>
      </c>
    </row>
    <row r="2455" spans="1:14" x14ac:dyDescent="0.3">
      <c r="A2455" t="s">
        <v>2479</v>
      </c>
      <c r="B2455" t="s">
        <v>12</v>
      </c>
      <c r="C2455" t="s">
        <v>13</v>
      </c>
      <c r="D2455">
        <v>4</v>
      </c>
      <c r="E2455" t="s">
        <v>26</v>
      </c>
      <c r="F2455" t="s">
        <v>15</v>
      </c>
      <c r="G2455">
        <v>74.45</v>
      </c>
      <c r="H2455">
        <v>294.45</v>
      </c>
      <c r="I2455" t="s">
        <v>15</v>
      </c>
      <c r="J2455" t="s">
        <v>16</v>
      </c>
      <c r="K2455" t="s">
        <v>17</v>
      </c>
      <c r="L2455">
        <v>294.45</v>
      </c>
      <c r="M2455" t="s">
        <v>5030</v>
      </c>
      <c r="N2455" t="s">
        <v>5031</v>
      </c>
    </row>
    <row r="2456" spans="1:14" x14ac:dyDescent="0.3">
      <c r="A2456" t="s">
        <v>2480</v>
      </c>
      <c r="B2456" t="s">
        <v>12</v>
      </c>
      <c r="C2456" t="s">
        <v>35</v>
      </c>
      <c r="D2456">
        <v>71</v>
      </c>
      <c r="E2456" t="s">
        <v>15</v>
      </c>
      <c r="F2456" t="s">
        <v>36</v>
      </c>
      <c r="G2456">
        <v>24.55</v>
      </c>
      <c r="H2456">
        <v>1719.15</v>
      </c>
      <c r="I2456" t="s">
        <v>15</v>
      </c>
      <c r="J2456" t="s">
        <v>15</v>
      </c>
      <c r="K2456" t="s">
        <v>17</v>
      </c>
      <c r="L2456">
        <v>1719.15</v>
      </c>
      <c r="M2456" t="s">
        <v>5033</v>
      </c>
      <c r="N2456" t="s">
        <v>5031</v>
      </c>
    </row>
    <row r="2457" spans="1:14" x14ac:dyDescent="0.3">
      <c r="A2457" t="s">
        <v>2481</v>
      </c>
      <c r="B2457" t="s">
        <v>12</v>
      </c>
      <c r="C2457" t="s">
        <v>13</v>
      </c>
      <c r="D2457">
        <v>5</v>
      </c>
      <c r="E2457" t="s">
        <v>26</v>
      </c>
      <c r="F2457" t="s">
        <v>16</v>
      </c>
      <c r="G2457">
        <v>89.35</v>
      </c>
      <c r="H2457">
        <v>461.7</v>
      </c>
      <c r="I2457" t="s">
        <v>16</v>
      </c>
      <c r="J2457" t="s">
        <v>16</v>
      </c>
      <c r="K2457" t="s">
        <v>17</v>
      </c>
      <c r="L2457">
        <v>461.7</v>
      </c>
      <c r="M2457" t="s">
        <v>5030</v>
      </c>
      <c r="N2457" t="s">
        <v>5031</v>
      </c>
    </row>
    <row r="2458" spans="1:14" x14ac:dyDescent="0.3">
      <c r="A2458" t="s">
        <v>2482</v>
      </c>
      <c r="B2458" t="s">
        <v>19</v>
      </c>
      <c r="C2458" t="s">
        <v>35</v>
      </c>
      <c r="D2458">
        <v>47</v>
      </c>
      <c r="E2458" t="s">
        <v>15</v>
      </c>
      <c r="F2458" t="s">
        <v>36</v>
      </c>
      <c r="G2458">
        <v>24.55</v>
      </c>
      <c r="H2458">
        <v>1160.45</v>
      </c>
      <c r="I2458" t="s">
        <v>15</v>
      </c>
      <c r="J2458" t="s">
        <v>15</v>
      </c>
      <c r="K2458" t="s">
        <v>21</v>
      </c>
      <c r="L2458">
        <v>1160.45</v>
      </c>
      <c r="M2458" t="s">
        <v>5033</v>
      </c>
      <c r="N2458" t="s">
        <v>5031</v>
      </c>
    </row>
    <row r="2459" spans="1:14" x14ac:dyDescent="0.3">
      <c r="A2459" t="s">
        <v>2483</v>
      </c>
      <c r="B2459" t="s">
        <v>19</v>
      </c>
      <c r="C2459" t="s">
        <v>20</v>
      </c>
      <c r="D2459">
        <v>57</v>
      </c>
      <c r="E2459" t="s">
        <v>26</v>
      </c>
      <c r="F2459" t="s">
        <v>15</v>
      </c>
      <c r="G2459">
        <v>90.65</v>
      </c>
      <c r="H2459">
        <v>5199.8</v>
      </c>
      <c r="I2459" t="s">
        <v>15</v>
      </c>
      <c r="J2459" t="s">
        <v>16</v>
      </c>
      <c r="K2459" t="s">
        <v>17</v>
      </c>
      <c r="L2459">
        <v>5199.8</v>
      </c>
      <c r="M2459" t="s">
        <v>5033</v>
      </c>
      <c r="N2459" t="s">
        <v>5034</v>
      </c>
    </row>
    <row r="2460" spans="1:14" x14ac:dyDescent="0.3">
      <c r="A2460" t="s">
        <v>2484</v>
      </c>
      <c r="B2460" t="s">
        <v>19</v>
      </c>
      <c r="C2460" t="s">
        <v>35</v>
      </c>
      <c r="D2460">
        <v>50</v>
      </c>
      <c r="E2460" t="s">
        <v>26</v>
      </c>
      <c r="F2460" t="s">
        <v>15</v>
      </c>
      <c r="G2460">
        <v>105.05</v>
      </c>
      <c r="H2460">
        <v>5163.3</v>
      </c>
      <c r="I2460" t="s">
        <v>15</v>
      </c>
      <c r="J2460" t="s">
        <v>16</v>
      </c>
      <c r="K2460" t="s">
        <v>29</v>
      </c>
      <c r="L2460">
        <v>5163.3</v>
      </c>
      <c r="M2460" t="s">
        <v>5033</v>
      </c>
      <c r="N2460" t="s">
        <v>5034</v>
      </c>
    </row>
    <row r="2461" spans="1:14" x14ac:dyDescent="0.3">
      <c r="A2461" t="s">
        <v>2485</v>
      </c>
      <c r="B2461" t="s">
        <v>19</v>
      </c>
      <c r="C2461" t="s">
        <v>13</v>
      </c>
      <c r="D2461">
        <v>8</v>
      </c>
      <c r="E2461" t="s">
        <v>15</v>
      </c>
      <c r="F2461" t="s">
        <v>36</v>
      </c>
      <c r="G2461">
        <v>20.45</v>
      </c>
      <c r="H2461">
        <v>162.30000000000001</v>
      </c>
      <c r="I2461" t="s">
        <v>15</v>
      </c>
      <c r="J2461" t="s">
        <v>16</v>
      </c>
      <c r="K2461" t="s">
        <v>29</v>
      </c>
      <c r="L2461">
        <v>162.30000000000001</v>
      </c>
      <c r="M2461" t="s">
        <v>5030</v>
      </c>
      <c r="N2461" t="s">
        <v>5031</v>
      </c>
    </row>
    <row r="2462" spans="1:14" x14ac:dyDescent="0.3">
      <c r="A2462" t="s">
        <v>2486</v>
      </c>
      <c r="B2462" t="s">
        <v>12</v>
      </c>
      <c r="C2462" t="s">
        <v>35</v>
      </c>
      <c r="D2462">
        <v>48</v>
      </c>
      <c r="E2462" t="s">
        <v>15</v>
      </c>
      <c r="F2462" t="s">
        <v>36</v>
      </c>
      <c r="G2462">
        <v>19.55</v>
      </c>
      <c r="H2462">
        <v>883.35</v>
      </c>
      <c r="I2462" t="s">
        <v>15</v>
      </c>
      <c r="J2462" t="s">
        <v>15</v>
      </c>
      <c r="K2462" t="s">
        <v>21</v>
      </c>
      <c r="L2462">
        <v>883.35</v>
      </c>
      <c r="M2462" t="s">
        <v>5033</v>
      </c>
      <c r="N2462" t="s">
        <v>5031</v>
      </c>
    </row>
    <row r="2463" spans="1:14" x14ac:dyDescent="0.3">
      <c r="A2463" t="s">
        <v>2487</v>
      </c>
      <c r="B2463" t="s">
        <v>12</v>
      </c>
      <c r="C2463" t="s">
        <v>20</v>
      </c>
      <c r="D2463">
        <v>70</v>
      </c>
      <c r="E2463" t="s">
        <v>15</v>
      </c>
      <c r="F2463" t="s">
        <v>36</v>
      </c>
      <c r="G2463">
        <v>19.7</v>
      </c>
      <c r="H2463">
        <v>1341.5</v>
      </c>
      <c r="I2463" t="s">
        <v>15</v>
      </c>
      <c r="J2463" t="s">
        <v>15</v>
      </c>
      <c r="K2463" t="s">
        <v>24</v>
      </c>
      <c r="L2463">
        <v>1341.5</v>
      </c>
      <c r="M2463" t="s">
        <v>5033</v>
      </c>
      <c r="N2463" t="s">
        <v>5031</v>
      </c>
    </row>
    <row r="2464" spans="1:14" x14ac:dyDescent="0.3">
      <c r="A2464" t="s">
        <v>2488</v>
      </c>
      <c r="B2464" t="s">
        <v>19</v>
      </c>
      <c r="C2464" t="s">
        <v>13</v>
      </c>
      <c r="D2464">
        <v>1</v>
      </c>
      <c r="E2464" t="s">
        <v>14</v>
      </c>
      <c r="F2464" t="s">
        <v>16</v>
      </c>
      <c r="G2464">
        <v>70.45</v>
      </c>
      <c r="H2464">
        <v>70.45</v>
      </c>
      <c r="I2464" t="s">
        <v>15</v>
      </c>
      <c r="J2464" t="s">
        <v>16</v>
      </c>
      <c r="K2464" t="s">
        <v>24</v>
      </c>
      <c r="L2464">
        <v>70.45</v>
      </c>
      <c r="M2464" t="s">
        <v>5030</v>
      </c>
      <c r="N2464" t="s">
        <v>5031</v>
      </c>
    </row>
    <row r="2465" spans="1:14" x14ac:dyDescent="0.3">
      <c r="A2465" t="s">
        <v>2489</v>
      </c>
      <c r="B2465" t="s">
        <v>19</v>
      </c>
      <c r="C2465" t="s">
        <v>13</v>
      </c>
      <c r="D2465">
        <v>8</v>
      </c>
      <c r="E2465" t="s">
        <v>26</v>
      </c>
      <c r="F2465" t="s">
        <v>15</v>
      </c>
      <c r="G2465">
        <v>85.65</v>
      </c>
      <c r="H2465">
        <v>659.45</v>
      </c>
      <c r="I2465" t="s">
        <v>15</v>
      </c>
      <c r="J2465" t="s">
        <v>16</v>
      </c>
      <c r="K2465" t="s">
        <v>24</v>
      </c>
      <c r="L2465">
        <v>659.45</v>
      </c>
      <c r="M2465" t="s">
        <v>5030</v>
      </c>
      <c r="N2465" t="s">
        <v>5031</v>
      </c>
    </row>
    <row r="2466" spans="1:14" x14ac:dyDescent="0.3">
      <c r="A2466" t="s">
        <v>2490</v>
      </c>
      <c r="B2466" t="s">
        <v>12</v>
      </c>
      <c r="C2466" t="s">
        <v>13</v>
      </c>
      <c r="D2466">
        <v>1</v>
      </c>
      <c r="E2466" t="s">
        <v>26</v>
      </c>
      <c r="F2466" t="s">
        <v>15</v>
      </c>
      <c r="G2466">
        <v>77.150000000000006</v>
      </c>
      <c r="H2466">
        <v>77.150000000000006</v>
      </c>
      <c r="I2466" t="s">
        <v>16</v>
      </c>
      <c r="J2466" t="s">
        <v>16</v>
      </c>
      <c r="K2466" t="s">
        <v>17</v>
      </c>
      <c r="L2466">
        <v>77.150000000000006</v>
      </c>
      <c r="M2466" t="s">
        <v>5030</v>
      </c>
      <c r="N2466" t="s">
        <v>5031</v>
      </c>
    </row>
    <row r="2467" spans="1:14" x14ac:dyDescent="0.3">
      <c r="A2467" t="s">
        <v>2491</v>
      </c>
      <c r="B2467" t="s">
        <v>19</v>
      </c>
      <c r="C2467" t="s">
        <v>13</v>
      </c>
      <c r="D2467">
        <v>1</v>
      </c>
      <c r="E2467" t="s">
        <v>14</v>
      </c>
      <c r="F2467" t="s">
        <v>15</v>
      </c>
      <c r="G2467">
        <v>35.25</v>
      </c>
      <c r="H2467">
        <v>35.25</v>
      </c>
      <c r="I2467" t="s">
        <v>16</v>
      </c>
      <c r="J2467" t="s">
        <v>16</v>
      </c>
      <c r="K2467" t="s">
        <v>24</v>
      </c>
      <c r="L2467">
        <v>35.25</v>
      </c>
      <c r="M2467" t="s">
        <v>5030</v>
      </c>
      <c r="N2467" t="s">
        <v>5031</v>
      </c>
    </row>
    <row r="2468" spans="1:14" x14ac:dyDescent="0.3">
      <c r="A2468" t="s">
        <v>2492</v>
      </c>
      <c r="B2468" t="s">
        <v>19</v>
      </c>
      <c r="C2468" t="s">
        <v>35</v>
      </c>
      <c r="D2468">
        <v>60</v>
      </c>
      <c r="E2468" t="s">
        <v>15</v>
      </c>
      <c r="F2468" t="s">
        <v>36</v>
      </c>
      <c r="G2468">
        <v>20.55</v>
      </c>
      <c r="H2468">
        <v>1205.05</v>
      </c>
      <c r="I2468" t="s">
        <v>15</v>
      </c>
      <c r="J2468" t="s">
        <v>15</v>
      </c>
      <c r="K2468" t="s">
        <v>21</v>
      </c>
      <c r="L2468">
        <v>1205.05</v>
      </c>
      <c r="M2468" t="s">
        <v>5033</v>
      </c>
      <c r="N2468" t="s">
        <v>5031</v>
      </c>
    </row>
    <row r="2469" spans="1:14" x14ac:dyDescent="0.3">
      <c r="A2469" t="s">
        <v>2493</v>
      </c>
      <c r="B2469" t="s">
        <v>19</v>
      </c>
      <c r="C2469" t="s">
        <v>20</v>
      </c>
      <c r="D2469">
        <v>49</v>
      </c>
      <c r="E2469" t="s">
        <v>26</v>
      </c>
      <c r="F2469" t="s">
        <v>16</v>
      </c>
      <c r="G2469">
        <v>97.95</v>
      </c>
      <c r="H2469">
        <v>4917.8999999999996</v>
      </c>
      <c r="I2469" t="s">
        <v>15</v>
      </c>
      <c r="J2469" t="s">
        <v>16</v>
      </c>
      <c r="K2469" t="s">
        <v>17</v>
      </c>
      <c r="L2469">
        <v>4917.8999999999996</v>
      </c>
      <c r="M2469" t="s">
        <v>5033</v>
      </c>
      <c r="N2469" t="s">
        <v>5034</v>
      </c>
    </row>
    <row r="2470" spans="1:14" x14ac:dyDescent="0.3">
      <c r="A2470" t="s">
        <v>2494</v>
      </c>
      <c r="B2470" t="s">
        <v>19</v>
      </c>
      <c r="C2470" t="s">
        <v>13</v>
      </c>
      <c r="D2470">
        <v>4</v>
      </c>
      <c r="E2470" t="s">
        <v>14</v>
      </c>
      <c r="F2470" t="s">
        <v>15</v>
      </c>
      <c r="G2470">
        <v>48.55</v>
      </c>
      <c r="H2470">
        <v>201</v>
      </c>
      <c r="I2470" t="s">
        <v>16</v>
      </c>
      <c r="J2470" t="s">
        <v>16</v>
      </c>
      <c r="K2470" t="s">
        <v>17</v>
      </c>
      <c r="L2470">
        <v>201</v>
      </c>
      <c r="M2470" t="s">
        <v>5030</v>
      </c>
      <c r="N2470" t="s">
        <v>5031</v>
      </c>
    </row>
    <row r="2471" spans="1:14" x14ac:dyDescent="0.3">
      <c r="A2471" t="s">
        <v>2495</v>
      </c>
      <c r="B2471" t="s">
        <v>12</v>
      </c>
      <c r="C2471" t="s">
        <v>20</v>
      </c>
      <c r="D2471">
        <v>29</v>
      </c>
      <c r="E2471" t="s">
        <v>15</v>
      </c>
      <c r="F2471" t="s">
        <v>36</v>
      </c>
      <c r="G2471">
        <v>20</v>
      </c>
      <c r="H2471">
        <v>599.29999999999995</v>
      </c>
      <c r="I2471" t="s">
        <v>15</v>
      </c>
      <c r="J2471" t="s">
        <v>15</v>
      </c>
      <c r="K2471" t="s">
        <v>21</v>
      </c>
      <c r="L2471">
        <v>599.29999999999995</v>
      </c>
      <c r="M2471" t="s">
        <v>5032</v>
      </c>
      <c r="N2471" t="s">
        <v>5031</v>
      </c>
    </row>
    <row r="2472" spans="1:14" x14ac:dyDescent="0.3">
      <c r="A2472" t="s">
        <v>2496</v>
      </c>
      <c r="B2472" t="s">
        <v>12</v>
      </c>
      <c r="C2472" t="s">
        <v>35</v>
      </c>
      <c r="D2472">
        <v>67</v>
      </c>
      <c r="E2472" t="s">
        <v>15</v>
      </c>
      <c r="F2472" t="s">
        <v>36</v>
      </c>
      <c r="G2472">
        <v>25.25</v>
      </c>
      <c r="H2472">
        <v>1733.15</v>
      </c>
      <c r="I2472" t="s">
        <v>15</v>
      </c>
      <c r="J2472" t="s">
        <v>16</v>
      </c>
      <c r="K2472" t="s">
        <v>29</v>
      </c>
      <c r="L2472">
        <v>1733.15</v>
      </c>
      <c r="M2472" t="s">
        <v>5033</v>
      </c>
      <c r="N2472" t="s">
        <v>5031</v>
      </c>
    </row>
    <row r="2473" spans="1:14" x14ac:dyDescent="0.3">
      <c r="A2473" t="s">
        <v>2497</v>
      </c>
      <c r="B2473" t="s">
        <v>12</v>
      </c>
      <c r="C2473" t="s">
        <v>13</v>
      </c>
      <c r="D2473">
        <v>53</v>
      </c>
      <c r="E2473" t="s">
        <v>26</v>
      </c>
      <c r="F2473" t="s">
        <v>15</v>
      </c>
      <c r="G2473">
        <v>98.4</v>
      </c>
      <c r="H2473">
        <v>5149.5</v>
      </c>
      <c r="I2473" t="s">
        <v>16</v>
      </c>
      <c r="J2473" t="s">
        <v>16</v>
      </c>
      <c r="K2473" t="s">
        <v>29</v>
      </c>
      <c r="L2473">
        <v>5149.5</v>
      </c>
      <c r="M2473" t="s">
        <v>5033</v>
      </c>
      <c r="N2473" t="s">
        <v>5034</v>
      </c>
    </row>
    <row r="2474" spans="1:14" x14ac:dyDescent="0.3">
      <c r="A2474" t="s">
        <v>2498</v>
      </c>
      <c r="B2474" t="s">
        <v>19</v>
      </c>
      <c r="C2474" t="s">
        <v>35</v>
      </c>
      <c r="D2474">
        <v>67</v>
      </c>
      <c r="E2474" t="s">
        <v>14</v>
      </c>
      <c r="F2474" t="s">
        <v>16</v>
      </c>
      <c r="G2474">
        <v>70.900000000000006</v>
      </c>
      <c r="H2474">
        <v>4677.1000000000004</v>
      </c>
      <c r="I2474" t="s">
        <v>15</v>
      </c>
      <c r="J2474" t="s">
        <v>15</v>
      </c>
      <c r="K2474" t="s">
        <v>29</v>
      </c>
      <c r="L2474">
        <v>4677.1000000000004</v>
      </c>
      <c r="M2474" t="s">
        <v>5033</v>
      </c>
      <c r="N2474" t="s">
        <v>5034</v>
      </c>
    </row>
    <row r="2475" spans="1:14" x14ac:dyDescent="0.3">
      <c r="A2475" t="s">
        <v>2499</v>
      </c>
      <c r="B2475" t="s">
        <v>12</v>
      </c>
      <c r="C2475" t="s">
        <v>13</v>
      </c>
      <c r="D2475">
        <v>6</v>
      </c>
      <c r="E2475" t="s">
        <v>15</v>
      </c>
      <c r="F2475" t="s">
        <v>36</v>
      </c>
      <c r="G2475">
        <v>19.850000000000001</v>
      </c>
      <c r="H2475">
        <v>119.3</v>
      </c>
      <c r="I2475" t="s">
        <v>15</v>
      </c>
      <c r="J2475" t="s">
        <v>15</v>
      </c>
      <c r="K2475" t="s">
        <v>21</v>
      </c>
      <c r="L2475">
        <v>119.3</v>
      </c>
      <c r="M2475" t="s">
        <v>5030</v>
      </c>
      <c r="N2475" t="s">
        <v>5031</v>
      </c>
    </row>
    <row r="2476" spans="1:14" x14ac:dyDescent="0.3">
      <c r="A2476" t="s">
        <v>2500</v>
      </c>
      <c r="B2476" t="s">
        <v>12</v>
      </c>
      <c r="C2476" t="s">
        <v>13</v>
      </c>
      <c r="D2476">
        <v>47</v>
      </c>
      <c r="E2476" t="s">
        <v>26</v>
      </c>
      <c r="F2476" t="s">
        <v>15</v>
      </c>
      <c r="G2476">
        <v>106.35</v>
      </c>
      <c r="H2476">
        <v>4849.1000000000004</v>
      </c>
      <c r="I2476" t="s">
        <v>15</v>
      </c>
      <c r="J2476" t="s">
        <v>16</v>
      </c>
      <c r="K2476" t="s">
        <v>17</v>
      </c>
      <c r="L2476">
        <v>4849.1000000000004</v>
      </c>
      <c r="M2476" t="s">
        <v>5033</v>
      </c>
      <c r="N2476" t="s">
        <v>5034</v>
      </c>
    </row>
    <row r="2477" spans="1:14" x14ac:dyDescent="0.3">
      <c r="A2477" t="s">
        <v>2501</v>
      </c>
      <c r="B2477" t="s">
        <v>12</v>
      </c>
      <c r="C2477" t="s">
        <v>35</v>
      </c>
      <c r="D2477">
        <v>53</v>
      </c>
      <c r="E2477" t="s">
        <v>26</v>
      </c>
      <c r="F2477" t="s">
        <v>16</v>
      </c>
      <c r="G2477">
        <v>99.5</v>
      </c>
      <c r="H2477">
        <v>5424.25</v>
      </c>
      <c r="I2477" t="s">
        <v>15</v>
      </c>
      <c r="J2477" t="s">
        <v>15</v>
      </c>
      <c r="K2477" t="s">
        <v>21</v>
      </c>
      <c r="L2477">
        <v>5424.25</v>
      </c>
      <c r="M2477" t="s">
        <v>5033</v>
      </c>
      <c r="N2477" t="s">
        <v>5034</v>
      </c>
    </row>
    <row r="2478" spans="1:14" x14ac:dyDescent="0.3">
      <c r="A2478" t="s">
        <v>2502</v>
      </c>
      <c r="B2478" t="s">
        <v>19</v>
      </c>
      <c r="C2478" t="s">
        <v>35</v>
      </c>
      <c r="D2478">
        <v>69</v>
      </c>
      <c r="E2478" t="s">
        <v>14</v>
      </c>
      <c r="F2478" t="s">
        <v>16</v>
      </c>
      <c r="G2478">
        <v>84.7</v>
      </c>
      <c r="H2478">
        <v>5878.9</v>
      </c>
      <c r="I2478" t="s">
        <v>15</v>
      </c>
      <c r="J2478" t="s">
        <v>16</v>
      </c>
      <c r="K2478" t="s">
        <v>21</v>
      </c>
      <c r="L2478">
        <v>5878.9</v>
      </c>
      <c r="M2478" t="s">
        <v>5033</v>
      </c>
      <c r="N2478" t="s">
        <v>5034</v>
      </c>
    </row>
    <row r="2479" spans="1:14" x14ac:dyDescent="0.3">
      <c r="A2479" t="s">
        <v>2503</v>
      </c>
      <c r="B2479" t="s">
        <v>19</v>
      </c>
      <c r="C2479" t="s">
        <v>13</v>
      </c>
      <c r="D2479">
        <v>3</v>
      </c>
      <c r="E2479" t="s">
        <v>26</v>
      </c>
      <c r="F2479" t="s">
        <v>15</v>
      </c>
      <c r="G2479">
        <v>86.05</v>
      </c>
      <c r="H2479">
        <v>244.85</v>
      </c>
      <c r="I2479" t="s">
        <v>15</v>
      </c>
      <c r="J2479" t="s">
        <v>16</v>
      </c>
      <c r="K2479" t="s">
        <v>21</v>
      </c>
      <c r="L2479">
        <v>244.85</v>
      </c>
      <c r="M2479" t="s">
        <v>5030</v>
      </c>
      <c r="N2479" t="s">
        <v>5031</v>
      </c>
    </row>
    <row r="2480" spans="1:14" x14ac:dyDescent="0.3">
      <c r="A2480" t="s">
        <v>2504</v>
      </c>
      <c r="B2480" t="s">
        <v>19</v>
      </c>
      <c r="C2480" t="s">
        <v>13</v>
      </c>
      <c r="D2480">
        <v>4</v>
      </c>
      <c r="E2480" t="s">
        <v>14</v>
      </c>
      <c r="F2480" t="s">
        <v>15</v>
      </c>
      <c r="G2480">
        <v>44.55</v>
      </c>
      <c r="H2480">
        <v>220.75</v>
      </c>
      <c r="I2480" t="s">
        <v>15</v>
      </c>
      <c r="J2480" t="s">
        <v>15</v>
      </c>
      <c r="K2480" t="s">
        <v>21</v>
      </c>
      <c r="L2480">
        <v>220.75</v>
      </c>
      <c r="M2480" t="s">
        <v>5030</v>
      </c>
      <c r="N2480" t="s">
        <v>5031</v>
      </c>
    </row>
    <row r="2481" spans="1:14" x14ac:dyDescent="0.3">
      <c r="A2481" t="s">
        <v>2505</v>
      </c>
      <c r="B2481" t="s">
        <v>19</v>
      </c>
      <c r="C2481" t="s">
        <v>35</v>
      </c>
      <c r="D2481">
        <v>56</v>
      </c>
      <c r="E2481" t="s">
        <v>14</v>
      </c>
      <c r="F2481" t="s">
        <v>16</v>
      </c>
      <c r="G2481">
        <v>75.849999999999994</v>
      </c>
      <c r="H2481">
        <v>4261.2</v>
      </c>
      <c r="I2481" t="s">
        <v>15</v>
      </c>
      <c r="J2481" t="s">
        <v>16</v>
      </c>
      <c r="K2481" t="s">
        <v>29</v>
      </c>
      <c r="L2481">
        <v>4261.2</v>
      </c>
      <c r="M2481" t="s">
        <v>5033</v>
      </c>
      <c r="N2481" t="s">
        <v>5034</v>
      </c>
    </row>
    <row r="2482" spans="1:14" x14ac:dyDescent="0.3">
      <c r="A2482" t="s">
        <v>2506</v>
      </c>
      <c r="B2482" t="s">
        <v>19</v>
      </c>
      <c r="C2482" t="s">
        <v>13</v>
      </c>
      <c r="D2482">
        <v>59</v>
      </c>
      <c r="E2482" t="s">
        <v>26</v>
      </c>
      <c r="F2482" t="s">
        <v>15</v>
      </c>
      <c r="G2482">
        <v>93.85</v>
      </c>
      <c r="H2482">
        <v>5574.75</v>
      </c>
      <c r="I2482" t="s">
        <v>16</v>
      </c>
      <c r="J2482" t="s">
        <v>16</v>
      </c>
      <c r="K2482" t="s">
        <v>24</v>
      </c>
      <c r="L2482">
        <v>5574.75</v>
      </c>
      <c r="M2482" t="s">
        <v>5033</v>
      </c>
      <c r="N2482" t="s">
        <v>5034</v>
      </c>
    </row>
    <row r="2483" spans="1:14" x14ac:dyDescent="0.3">
      <c r="A2483" t="s">
        <v>2507</v>
      </c>
      <c r="B2483" t="s">
        <v>19</v>
      </c>
      <c r="C2483" t="s">
        <v>35</v>
      </c>
      <c r="D2483">
        <v>61</v>
      </c>
      <c r="E2483" t="s">
        <v>15</v>
      </c>
      <c r="F2483" t="s">
        <v>36</v>
      </c>
      <c r="G2483">
        <v>25</v>
      </c>
      <c r="H2483">
        <v>1501.75</v>
      </c>
      <c r="I2483" t="s">
        <v>15</v>
      </c>
      <c r="J2483" t="s">
        <v>15</v>
      </c>
      <c r="K2483" t="s">
        <v>24</v>
      </c>
      <c r="L2483">
        <v>1501.75</v>
      </c>
      <c r="M2483" t="s">
        <v>5033</v>
      </c>
      <c r="N2483" t="s">
        <v>5031</v>
      </c>
    </row>
    <row r="2484" spans="1:14" x14ac:dyDescent="0.3">
      <c r="A2484" t="s">
        <v>2508</v>
      </c>
      <c r="B2484" t="s">
        <v>12</v>
      </c>
      <c r="C2484" t="s">
        <v>13</v>
      </c>
      <c r="D2484">
        <v>2</v>
      </c>
      <c r="E2484" t="s">
        <v>14</v>
      </c>
      <c r="F2484" t="s">
        <v>15</v>
      </c>
      <c r="G2484">
        <v>45</v>
      </c>
      <c r="H2484">
        <v>89.75</v>
      </c>
      <c r="I2484" t="s">
        <v>15</v>
      </c>
      <c r="J2484" t="s">
        <v>16</v>
      </c>
      <c r="K2484" t="s">
        <v>17</v>
      </c>
      <c r="L2484">
        <v>89.75</v>
      </c>
      <c r="M2484" t="s">
        <v>5030</v>
      </c>
      <c r="N2484" t="s">
        <v>5031</v>
      </c>
    </row>
    <row r="2485" spans="1:14" x14ac:dyDescent="0.3">
      <c r="A2485" t="s">
        <v>2509</v>
      </c>
      <c r="B2485" t="s">
        <v>19</v>
      </c>
      <c r="C2485" t="s">
        <v>13</v>
      </c>
      <c r="D2485">
        <v>46</v>
      </c>
      <c r="E2485" t="s">
        <v>26</v>
      </c>
      <c r="F2485" t="s">
        <v>15</v>
      </c>
      <c r="G2485">
        <v>100.7</v>
      </c>
      <c r="H2485">
        <v>4541.2</v>
      </c>
      <c r="I2485" t="s">
        <v>16</v>
      </c>
      <c r="J2485" t="s">
        <v>16</v>
      </c>
      <c r="K2485" t="s">
        <v>17</v>
      </c>
      <c r="L2485">
        <v>4541.2</v>
      </c>
      <c r="M2485" t="s">
        <v>5033</v>
      </c>
      <c r="N2485" t="s">
        <v>5034</v>
      </c>
    </row>
    <row r="2486" spans="1:14" x14ac:dyDescent="0.3">
      <c r="A2486" t="s">
        <v>2510</v>
      </c>
      <c r="B2486" t="s">
        <v>19</v>
      </c>
      <c r="C2486" t="s">
        <v>13</v>
      </c>
      <c r="D2486">
        <v>12</v>
      </c>
      <c r="E2486" t="s">
        <v>15</v>
      </c>
      <c r="F2486" t="s">
        <v>36</v>
      </c>
      <c r="G2486">
        <v>20.5</v>
      </c>
      <c r="H2486">
        <v>255.5</v>
      </c>
      <c r="I2486" t="s">
        <v>15</v>
      </c>
      <c r="J2486" t="s">
        <v>15</v>
      </c>
      <c r="K2486" t="s">
        <v>21</v>
      </c>
      <c r="L2486">
        <v>255.5</v>
      </c>
      <c r="M2486" t="s">
        <v>5030</v>
      </c>
      <c r="N2486" t="s">
        <v>5031</v>
      </c>
    </row>
    <row r="2487" spans="1:14" x14ac:dyDescent="0.3">
      <c r="A2487" t="s">
        <v>2511</v>
      </c>
      <c r="B2487" t="s">
        <v>12</v>
      </c>
      <c r="C2487" t="s">
        <v>13</v>
      </c>
      <c r="D2487">
        <v>14</v>
      </c>
      <c r="E2487" t="s">
        <v>26</v>
      </c>
      <c r="F2487" t="s">
        <v>15</v>
      </c>
      <c r="G2487">
        <v>80.45</v>
      </c>
      <c r="H2487">
        <v>1072</v>
      </c>
      <c r="I2487" t="s">
        <v>16</v>
      </c>
      <c r="J2487" t="s">
        <v>16</v>
      </c>
      <c r="K2487" t="s">
        <v>17</v>
      </c>
      <c r="L2487">
        <v>1072</v>
      </c>
      <c r="M2487" t="s">
        <v>5032</v>
      </c>
      <c r="N2487" t="s">
        <v>5031</v>
      </c>
    </row>
    <row r="2488" spans="1:14" x14ac:dyDescent="0.3">
      <c r="A2488" t="s">
        <v>2512</v>
      </c>
      <c r="B2488" t="s">
        <v>12</v>
      </c>
      <c r="C2488" t="s">
        <v>20</v>
      </c>
      <c r="D2488">
        <v>28</v>
      </c>
      <c r="E2488" t="s">
        <v>26</v>
      </c>
      <c r="F2488" t="s">
        <v>16</v>
      </c>
      <c r="G2488">
        <v>90.45</v>
      </c>
      <c r="H2488">
        <v>2509.25</v>
      </c>
      <c r="I2488" t="s">
        <v>15</v>
      </c>
      <c r="J2488" t="s">
        <v>16</v>
      </c>
      <c r="K2488" t="s">
        <v>17</v>
      </c>
      <c r="L2488">
        <v>2509.25</v>
      </c>
      <c r="M2488" t="s">
        <v>5032</v>
      </c>
      <c r="N2488" t="s">
        <v>5034</v>
      </c>
    </row>
    <row r="2489" spans="1:14" x14ac:dyDescent="0.3">
      <c r="A2489" t="s">
        <v>2513</v>
      </c>
      <c r="B2489" t="s">
        <v>19</v>
      </c>
      <c r="C2489" t="s">
        <v>13</v>
      </c>
      <c r="D2489">
        <v>24</v>
      </c>
      <c r="E2489" t="s">
        <v>14</v>
      </c>
      <c r="F2489" t="s">
        <v>16</v>
      </c>
      <c r="G2489">
        <v>60.45</v>
      </c>
      <c r="H2489">
        <v>1440.75</v>
      </c>
      <c r="I2489" t="s">
        <v>15</v>
      </c>
      <c r="J2489" t="s">
        <v>15</v>
      </c>
      <c r="K2489" t="s">
        <v>24</v>
      </c>
      <c r="L2489">
        <v>1440.75</v>
      </c>
      <c r="M2489" t="s">
        <v>5032</v>
      </c>
      <c r="N2489" t="s">
        <v>5031</v>
      </c>
    </row>
    <row r="2490" spans="1:14" x14ac:dyDescent="0.3">
      <c r="A2490" t="s">
        <v>2514</v>
      </c>
      <c r="B2490" t="s">
        <v>19</v>
      </c>
      <c r="C2490" t="s">
        <v>13</v>
      </c>
      <c r="D2490">
        <v>31</v>
      </c>
      <c r="E2490" t="s">
        <v>14</v>
      </c>
      <c r="F2490" t="s">
        <v>16</v>
      </c>
      <c r="G2490">
        <v>55.25</v>
      </c>
      <c r="H2490">
        <v>1715.65</v>
      </c>
      <c r="I2490" t="s">
        <v>16</v>
      </c>
      <c r="J2490" t="s">
        <v>16</v>
      </c>
      <c r="K2490" t="s">
        <v>17</v>
      </c>
      <c r="L2490">
        <v>1715.65</v>
      </c>
      <c r="M2490" t="s">
        <v>5032</v>
      </c>
      <c r="N2490" t="s">
        <v>5031</v>
      </c>
    </row>
    <row r="2491" spans="1:14" x14ac:dyDescent="0.3">
      <c r="A2491" t="s">
        <v>2515</v>
      </c>
      <c r="B2491" t="s">
        <v>12</v>
      </c>
      <c r="C2491" t="s">
        <v>20</v>
      </c>
      <c r="D2491">
        <v>68</v>
      </c>
      <c r="E2491" t="s">
        <v>14</v>
      </c>
      <c r="F2491" t="s">
        <v>16</v>
      </c>
      <c r="G2491">
        <v>78.45</v>
      </c>
      <c r="H2491">
        <v>5333.35</v>
      </c>
      <c r="I2491" t="s">
        <v>15</v>
      </c>
      <c r="J2491" t="s">
        <v>16</v>
      </c>
      <c r="K2491" t="s">
        <v>17</v>
      </c>
      <c r="L2491">
        <v>5333.35</v>
      </c>
      <c r="M2491" t="s">
        <v>5033</v>
      </c>
      <c r="N2491" t="s">
        <v>5034</v>
      </c>
    </row>
    <row r="2492" spans="1:14" x14ac:dyDescent="0.3">
      <c r="A2492" t="s">
        <v>2516</v>
      </c>
      <c r="B2492" t="s">
        <v>19</v>
      </c>
      <c r="C2492" t="s">
        <v>35</v>
      </c>
      <c r="D2492">
        <v>39</v>
      </c>
      <c r="E2492" t="s">
        <v>26</v>
      </c>
      <c r="F2492" t="s">
        <v>16</v>
      </c>
      <c r="G2492">
        <v>100.55</v>
      </c>
      <c r="H2492">
        <v>3895.35</v>
      </c>
      <c r="I2492" t="s">
        <v>15</v>
      </c>
      <c r="J2492" t="s">
        <v>15</v>
      </c>
      <c r="K2492" t="s">
        <v>21</v>
      </c>
      <c r="L2492">
        <v>3895.35</v>
      </c>
      <c r="M2492" t="s">
        <v>5033</v>
      </c>
      <c r="N2492" t="s">
        <v>5034</v>
      </c>
    </row>
    <row r="2493" spans="1:14" x14ac:dyDescent="0.3">
      <c r="A2493" t="s">
        <v>2517</v>
      </c>
      <c r="B2493" t="s">
        <v>12</v>
      </c>
      <c r="C2493" t="s">
        <v>13</v>
      </c>
      <c r="D2493">
        <v>42</v>
      </c>
      <c r="E2493" t="s">
        <v>15</v>
      </c>
      <c r="F2493" t="s">
        <v>36</v>
      </c>
      <c r="G2493">
        <v>20.350000000000001</v>
      </c>
      <c r="H2493">
        <v>869.9</v>
      </c>
      <c r="I2493" t="s">
        <v>15</v>
      </c>
      <c r="J2493" t="s">
        <v>15</v>
      </c>
      <c r="K2493" t="s">
        <v>29</v>
      </c>
      <c r="L2493">
        <v>869.9</v>
      </c>
      <c r="M2493" t="s">
        <v>5033</v>
      </c>
      <c r="N2493" t="s">
        <v>5031</v>
      </c>
    </row>
    <row r="2494" spans="1:14" x14ac:dyDescent="0.3">
      <c r="A2494" t="s">
        <v>2518</v>
      </c>
      <c r="B2494" t="s">
        <v>19</v>
      </c>
      <c r="C2494" t="s">
        <v>13</v>
      </c>
      <c r="D2494">
        <v>13</v>
      </c>
      <c r="E2494" t="s">
        <v>14</v>
      </c>
      <c r="F2494" t="s">
        <v>16</v>
      </c>
      <c r="G2494">
        <v>54.45</v>
      </c>
      <c r="H2494">
        <v>706.85</v>
      </c>
      <c r="I2494" t="s">
        <v>16</v>
      </c>
      <c r="J2494" t="s">
        <v>16</v>
      </c>
      <c r="K2494" t="s">
        <v>17</v>
      </c>
      <c r="L2494">
        <v>706.85</v>
      </c>
      <c r="M2494" t="s">
        <v>5032</v>
      </c>
      <c r="N2494" t="s">
        <v>5031</v>
      </c>
    </row>
    <row r="2495" spans="1:14" x14ac:dyDescent="0.3">
      <c r="A2495" t="s">
        <v>2519</v>
      </c>
      <c r="B2495" t="s">
        <v>12</v>
      </c>
      <c r="C2495" t="s">
        <v>13</v>
      </c>
      <c r="D2495">
        <v>6</v>
      </c>
      <c r="E2495" t="s">
        <v>26</v>
      </c>
      <c r="F2495" t="s">
        <v>15</v>
      </c>
      <c r="G2495">
        <v>90.75</v>
      </c>
      <c r="H2495">
        <v>512.25</v>
      </c>
      <c r="I2495" t="s">
        <v>15</v>
      </c>
      <c r="J2495" t="s">
        <v>16</v>
      </c>
      <c r="K2495" t="s">
        <v>17</v>
      </c>
      <c r="L2495">
        <v>512.25</v>
      </c>
      <c r="M2495" t="s">
        <v>5030</v>
      </c>
      <c r="N2495" t="s">
        <v>5031</v>
      </c>
    </row>
    <row r="2496" spans="1:14" x14ac:dyDescent="0.3">
      <c r="A2496" t="s">
        <v>2520</v>
      </c>
      <c r="B2496" t="s">
        <v>19</v>
      </c>
      <c r="C2496" t="s">
        <v>13</v>
      </c>
      <c r="D2496">
        <v>35</v>
      </c>
      <c r="E2496" t="s">
        <v>26</v>
      </c>
      <c r="F2496" t="s">
        <v>15</v>
      </c>
      <c r="G2496">
        <v>75.349999999999994</v>
      </c>
      <c r="H2496">
        <v>2636.05</v>
      </c>
      <c r="I2496" t="s">
        <v>16</v>
      </c>
      <c r="J2496" t="s">
        <v>15</v>
      </c>
      <c r="K2496" t="s">
        <v>29</v>
      </c>
      <c r="L2496">
        <v>2636.05</v>
      </c>
      <c r="M2496" t="s">
        <v>5032</v>
      </c>
      <c r="N2496" t="s">
        <v>5034</v>
      </c>
    </row>
    <row r="2497" spans="1:14" x14ac:dyDescent="0.3">
      <c r="A2497" t="s">
        <v>2521</v>
      </c>
      <c r="B2497" t="s">
        <v>12</v>
      </c>
      <c r="C2497" t="s">
        <v>20</v>
      </c>
      <c r="D2497">
        <v>38</v>
      </c>
      <c r="E2497" t="s">
        <v>15</v>
      </c>
      <c r="F2497" t="s">
        <v>36</v>
      </c>
      <c r="G2497">
        <v>20.25</v>
      </c>
      <c r="H2497">
        <v>814.75</v>
      </c>
      <c r="I2497" t="s">
        <v>15</v>
      </c>
      <c r="J2497" t="s">
        <v>16</v>
      </c>
      <c r="K2497" t="s">
        <v>29</v>
      </c>
      <c r="L2497">
        <v>814.75</v>
      </c>
      <c r="M2497" t="s">
        <v>5033</v>
      </c>
      <c r="N2497" t="s">
        <v>5031</v>
      </c>
    </row>
    <row r="2498" spans="1:14" x14ac:dyDescent="0.3">
      <c r="A2498" t="s">
        <v>2522</v>
      </c>
      <c r="B2498" t="s">
        <v>19</v>
      </c>
      <c r="C2498" t="s">
        <v>35</v>
      </c>
      <c r="D2498">
        <v>18</v>
      </c>
      <c r="E2498" t="s">
        <v>15</v>
      </c>
      <c r="F2498" t="s">
        <v>36</v>
      </c>
      <c r="G2498">
        <v>20.05</v>
      </c>
      <c r="H2498">
        <v>388.6</v>
      </c>
      <c r="I2498" t="s">
        <v>15</v>
      </c>
      <c r="J2498" t="s">
        <v>15</v>
      </c>
      <c r="K2498" t="s">
        <v>29</v>
      </c>
      <c r="L2498">
        <v>388.6</v>
      </c>
      <c r="M2498" t="s">
        <v>5032</v>
      </c>
      <c r="N2498" t="s">
        <v>5031</v>
      </c>
    </row>
    <row r="2499" spans="1:14" x14ac:dyDescent="0.3">
      <c r="A2499" t="s">
        <v>2523</v>
      </c>
      <c r="B2499" t="s">
        <v>12</v>
      </c>
      <c r="C2499" t="s">
        <v>13</v>
      </c>
      <c r="D2499">
        <v>4</v>
      </c>
      <c r="E2499" t="s">
        <v>15</v>
      </c>
      <c r="F2499" t="s">
        <v>36</v>
      </c>
      <c r="G2499">
        <v>19.600000000000001</v>
      </c>
      <c r="H2499">
        <v>93.45</v>
      </c>
      <c r="I2499" t="s">
        <v>15</v>
      </c>
      <c r="J2499" t="s">
        <v>15</v>
      </c>
      <c r="K2499" t="s">
        <v>21</v>
      </c>
      <c r="L2499">
        <v>93.45</v>
      </c>
      <c r="M2499" t="s">
        <v>5030</v>
      </c>
      <c r="N2499" t="s">
        <v>5031</v>
      </c>
    </row>
    <row r="2500" spans="1:14" x14ac:dyDescent="0.3">
      <c r="A2500" t="s">
        <v>2524</v>
      </c>
      <c r="B2500" t="s">
        <v>19</v>
      </c>
      <c r="C2500" t="s">
        <v>13</v>
      </c>
      <c r="D2500">
        <v>27</v>
      </c>
      <c r="E2500" t="s">
        <v>14</v>
      </c>
      <c r="F2500" t="s">
        <v>16</v>
      </c>
      <c r="G2500">
        <v>53.8</v>
      </c>
      <c r="H2500">
        <v>1389.85</v>
      </c>
      <c r="I2500" t="s">
        <v>15</v>
      </c>
      <c r="J2500" t="s">
        <v>16</v>
      </c>
      <c r="K2500" t="s">
        <v>17</v>
      </c>
      <c r="L2500">
        <v>1389.85</v>
      </c>
      <c r="M2500" t="s">
        <v>5032</v>
      </c>
      <c r="N2500" t="s">
        <v>5031</v>
      </c>
    </row>
    <row r="2501" spans="1:14" x14ac:dyDescent="0.3">
      <c r="A2501" t="s">
        <v>2525</v>
      </c>
      <c r="B2501" t="s">
        <v>19</v>
      </c>
      <c r="C2501" t="s">
        <v>20</v>
      </c>
      <c r="D2501">
        <v>41</v>
      </c>
      <c r="E2501" t="s">
        <v>14</v>
      </c>
      <c r="F2501" t="s">
        <v>15</v>
      </c>
      <c r="G2501">
        <v>70.2</v>
      </c>
      <c r="H2501">
        <v>2894.55</v>
      </c>
      <c r="I2501" t="s">
        <v>15</v>
      </c>
      <c r="J2501" t="s">
        <v>15</v>
      </c>
      <c r="K2501" t="s">
        <v>21</v>
      </c>
      <c r="L2501">
        <v>2894.55</v>
      </c>
      <c r="M2501" t="s">
        <v>5033</v>
      </c>
      <c r="N2501" t="s">
        <v>5034</v>
      </c>
    </row>
    <row r="2502" spans="1:14" x14ac:dyDescent="0.3">
      <c r="A2502" t="s">
        <v>2526</v>
      </c>
      <c r="B2502" t="s">
        <v>19</v>
      </c>
      <c r="C2502" t="s">
        <v>20</v>
      </c>
      <c r="D2502">
        <v>50</v>
      </c>
      <c r="E2502" t="s">
        <v>14</v>
      </c>
      <c r="F2502" t="s">
        <v>16</v>
      </c>
      <c r="G2502">
        <v>75.5</v>
      </c>
      <c r="H2502">
        <v>4025.6</v>
      </c>
      <c r="I2502" t="s">
        <v>15</v>
      </c>
      <c r="J2502" t="s">
        <v>15</v>
      </c>
      <c r="K2502" t="s">
        <v>17</v>
      </c>
      <c r="L2502">
        <v>4025.6</v>
      </c>
      <c r="M2502" t="s">
        <v>5033</v>
      </c>
      <c r="N2502" t="s">
        <v>5034</v>
      </c>
    </row>
    <row r="2503" spans="1:14" x14ac:dyDescent="0.3">
      <c r="A2503" t="s">
        <v>2527</v>
      </c>
      <c r="B2503" t="s">
        <v>19</v>
      </c>
      <c r="C2503" t="s">
        <v>35</v>
      </c>
      <c r="D2503">
        <v>72</v>
      </c>
      <c r="E2503" t="s">
        <v>15</v>
      </c>
      <c r="F2503" t="s">
        <v>36</v>
      </c>
      <c r="G2503">
        <v>20.350000000000001</v>
      </c>
      <c r="H2503">
        <v>1354.4</v>
      </c>
      <c r="I2503" t="s">
        <v>15</v>
      </c>
      <c r="J2503" t="s">
        <v>15</v>
      </c>
      <c r="K2503" t="s">
        <v>17</v>
      </c>
      <c r="L2503">
        <v>1354.4</v>
      </c>
      <c r="M2503" t="s">
        <v>5033</v>
      </c>
      <c r="N2503" t="s">
        <v>5031</v>
      </c>
    </row>
    <row r="2504" spans="1:14" x14ac:dyDescent="0.3">
      <c r="A2504" t="s">
        <v>2528</v>
      </c>
      <c r="B2504" t="s">
        <v>12</v>
      </c>
      <c r="C2504" t="s">
        <v>20</v>
      </c>
      <c r="D2504">
        <v>70</v>
      </c>
      <c r="E2504" t="s">
        <v>15</v>
      </c>
      <c r="F2504" t="s">
        <v>36</v>
      </c>
      <c r="G2504">
        <v>26.05</v>
      </c>
      <c r="H2504">
        <v>1856.4</v>
      </c>
      <c r="I2504" t="s">
        <v>15</v>
      </c>
      <c r="J2504" t="s">
        <v>15</v>
      </c>
      <c r="K2504" t="s">
        <v>29</v>
      </c>
      <c r="L2504">
        <v>1856.4</v>
      </c>
      <c r="M2504" t="s">
        <v>5033</v>
      </c>
      <c r="N2504" t="s">
        <v>5031</v>
      </c>
    </row>
    <row r="2505" spans="1:14" x14ac:dyDescent="0.3">
      <c r="A2505" t="s">
        <v>2529</v>
      </c>
      <c r="B2505" t="s">
        <v>19</v>
      </c>
      <c r="C2505" t="s">
        <v>20</v>
      </c>
      <c r="D2505">
        <v>44</v>
      </c>
      <c r="E2505" t="s">
        <v>15</v>
      </c>
      <c r="F2505" t="s">
        <v>36</v>
      </c>
      <c r="G2505">
        <v>20.6</v>
      </c>
      <c r="H2505">
        <v>926</v>
      </c>
      <c r="I2505" t="s">
        <v>15</v>
      </c>
      <c r="J2505" t="s">
        <v>15</v>
      </c>
      <c r="K2505" t="s">
        <v>24</v>
      </c>
      <c r="L2505">
        <v>926</v>
      </c>
      <c r="M2505" t="s">
        <v>5033</v>
      </c>
      <c r="N2505" t="s">
        <v>5031</v>
      </c>
    </row>
    <row r="2506" spans="1:14" x14ac:dyDescent="0.3">
      <c r="A2506" t="s">
        <v>2530</v>
      </c>
      <c r="B2506" t="s">
        <v>19</v>
      </c>
      <c r="C2506" t="s">
        <v>13</v>
      </c>
      <c r="D2506">
        <v>2</v>
      </c>
      <c r="E2506" t="s">
        <v>26</v>
      </c>
      <c r="F2506" t="s">
        <v>15</v>
      </c>
      <c r="G2506">
        <v>75.7</v>
      </c>
      <c r="H2506">
        <v>189.2</v>
      </c>
      <c r="I2506" t="s">
        <v>16</v>
      </c>
      <c r="J2506" t="s">
        <v>16</v>
      </c>
      <c r="K2506" t="s">
        <v>17</v>
      </c>
      <c r="L2506">
        <v>189.2</v>
      </c>
      <c r="M2506" t="s">
        <v>5030</v>
      </c>
      <c r="N2506" t="s">
        <v>5031</v>
      </c>
    </row>
    <row r="2507" spans="1:14" x14ac:dyDescent="0.3">
      <c r="A2507" t="s">
        <v>2531</v>
      </c>
      <c r="B2507" t="s">
        <v>12</v>
      </c>
      <c r="C2507" t="s">
        <v>20</v>
      </c>
      <c r="D2507">
        <v>34</v>
      </c>
      <c r="E2507" t="s">
        <v>15</v>
      </c>
      <c r="F2507" t="s">
        <v>36</v>
      </c>
      <c r="G2507">
        <v>20.100000000000001</v>
      </c>
      <c r="H2507">
        <v>682.1</v>
      </c>
      <c r="I2507" t="s">
        <v>15</v>
      </c>
      <c r="J2507" t="s">
        <v>16</v>
      </c>
      <c r="K2507" t="s">
        <v>24</v>
      </c>
      <c r="L2507">
        <v>682.1</v>
      </c>
      <c r="M2507" t="s">
        <v>5032</v>
      </c>
      <c r="N2507" t="s">
        <v>5031</v>
      </c>
    </row>
    <row r="2508" spans="1:14" x14ac:dyDescent="0.3">
      <c r="A2508" t="s">
        <v>2532</v>
      </c>
      <c r="B2508" t="s">
        <v>12</v>
      </c>
      <c r="C2508" t="s">
        <v>35</v>
      </c>
      <c r="D2508">
        <v>72</v>
      </c>
      <c r="E2508" t="s">
        <v>15</v>
      </c>
      <c r="F2508" t="s">
        <v>36</v>
      </c>
      <c r="G2508">
        <v>24.3</v>
      </c>
      <c r="H2508">
        <v>1778.7</v>
      </c>
      <c r="I2508" t="s">
        <v>15</v>
      </c>
      <c r="J2508" t="s">
        <v>15</v>
      </c>
      <c r="K2508" t="s">
        <v>24</v>
      </c>
      <c r="L2508">
        <v>1778.7</v>
      </c>
      <c r="M2508" t="s">
        <v>5033</v>
      </c>
      <c r="N2508" t="s">
        <v>5031</v>
      </c>
    </row>
    <row r="2509" spans="1:14" x14ac:dyDescent="0.3">
      <c r="A2509" t="s">
        <v>2533</v>
      </c>
      <c r="B2509" t="s">
        <v>19</v>
      </c>
      <c r="C2509" t="s">
        <v>35</v>
      </c>
      <c r="D2509">
        <v>71</v>
      </c>
      <c r="E2509" t="s">
        <v>15</v>
      </c>
      <c r="F2509" t="s">
        <v>36</v>
      </c>
      <c r="G2509">
        <v>24.5</v>
      </c>
      <c r="H2509">
        <v>1816.2</v>
      </c>
      <c r="I2509" t="s">
        <v>15</v>
      </c>
      <c r="J2509" t="s">
        <v>16</v>
      </c>
      <c r="K2509" t="s">
        <v>17</v>
      </c>
      <c r="L2509">
        <v>1816.2</v>
      </c>
      <c r="M2509" t="s">
        <v>5033</v>
      </c>
      <c r="N2509" t="s">
        <v>5031</v>
      </c>
    </row>
    <row r="2510" spans="1:14" x14ac:dyDescent="0.3">
      <c r="A2510" t="s">
        <v>2534</v>
      </c>
      <c r="B2510" t="s">
        <v>12</v>
      </c>
      <c r="C2510" t="s">
        <v>35</v>
      </c>
      <c r="D2510">
        <v>64</v>
      </c>
      <c r="E2510" t="s">
        <v>26</v>
      </c>
      <c r="F2510" t="s">
        <v>16</v>
      </c>
      <c r="G2510">
        <v>110.5</v>
      </c>
      <c r="H2510">
        <v>7069.25</v>
      </c>
      <c r="I2510" t="s">
        <v>15</v>
      </c>
      <c r="J2510" t="s">
        <v>16</v>
      </c>
      <c r="K2510" t="s">
        <v>29</v>
      </c>
      <c r="L2510">
        <v>7069.25</v>
      </c>
      <c r="M2510" t="s">
        <v>5033</v>
      </c>
      <c r="N2510" t="s">
        <v>5034</v>
      </c>
    </row>
    <row r="2511" spans="1:14" x14ac:dyDescent="0.3">
      <c r="A2511" t="s">
        <v>2535</v>
      </c>
      <c r="B2511" t="s">
        <v>12</v>
      </c>
      <c r="C2511" t="s">
        <v>35</v>
      </c>
      <c r="D2511">
        <v>72</v>
      </c>
      <c r="E2511" t="s">
        <v>15</v>
      </c>
      <c r="F2511" t="s">
        <v>36</v>
      </c>
      <c r="G2511">
        <v>25.25</v>
      </c>
      <c r="H2511">
        <v>1841.2</v>
      </c>
      <c r="I2511" t="s">
        <v>15</v>
      </c>
      <c r="J2511" t="s">
        <v>16</v>
      </c>
      <c r="K2511" t="s">
        <v>24</v>
      </c>
      <c r="L2511">
        <v>1841.2</v>
      </c>
      <c r="M2511" t="s">
        <v>5033</v>
      </c>
      <c r="N2511" t="s">
        <v>5031</v>
      </c>
    </row>
    <row r="2512" spans="1:14" x14ac:dyDescent="0.3">
      <c r="A2512" t="s">
        <v>2536</v>
      </c>
      <c r="B2512" t="s">
        <v>19</v>
      </c>
      <c r="C2512" t="s">
        <v>13</v>
      </c>
      <c r="D2512">
        <v>1</v>
      </c>
      <c r="E2512" t="s">
        <v>26</v>
      </c>
      <c r="F2512" t="s">
        <v>15</v>
      </c>
      <c r="G2512">
        <v>74.25</v>
      </c>
      <c r="H2512">
        <v>74.25</v>
      </c>
      <c r="I2512" t="s">
        <v>16</v>
      </c>
      <c r="J2512" t="s">
        <v>16</v>
      </c>
      <c r="K2512" t="s">
        <v>21</v>
      </c>
      <c r="L2512">
        <v>74.25</v>
      </c>
      <c r="M2512" t="s">
        <v>5030</v>
      </c>
      <c r="N2512" t="s">
        <v>5031</v>
      </c>
    </row>
    <row r="2513" spans="1:14" x14ac:dyDescent="0.3">
      <c r="A2513" t="s">
        <v>2537</v>
      </c>
      <c r="B2513" t="s">
        <v>19</v>
      </c>
      <c r="C2513" t="s">
        <v>20</v>
      </c>
      <c r="D2513">
        <v>29</v>
      </c>
      <c r="E2513" t="s">
        <v>26</v>
      </c>
      <c r="F2513" t="s">
        <v>15</v>
      </c>
      <c r="G2513">
        <v>90.1</v>
      </c>
      <c r="H2513">
        <v>2656.7</v>
      </c>
      <c r="I2513" t="s">
        <v>15</v>
      </c>
      <c r="J2513" t="s">
        <v>15</v>
      </c>
      <c r="K2513" t="s">
        <v>24</v>
      </c>
      <c r="L2513">
        <v>2656.7</v>
      </c>
      <c r="M2513" t="s">
        <v>5032</v>
      </c>
      <c r="N2513" t="s">
        <v>5034</v>
      </c>
    </row>
    <row r="2514" spans="1:14" x14ac:dyDescent="0.3">
      <c r="A2514" t="s">
        <v>2538</v>
      </c>
      <c r="B2514" t="s">
        <v>12</v>
      </c>
      <c r="C2514" t="s">
        <v>20</v>
      </c>
      <c r="D2514">
        <v>23</v>
      </c>
      <c r="E2514" t="s">
        <v>14</v>
      </c>
      <c r="F2514" t="s">
        <v>16</v>
      </c>
      <c r="G2514">
        <v>68.75</v>
      </c>
      <c r="H2514">
        <v>1689.45</v>
      </c>
      <c r="I2514" t="s">
        <v>15</v>
      </c>
      <c r="J2514" t="s">
        <v>16</v>
      </c>
      <c r="K2514" t="s">
        <v>24</v>
      </c>
      <c r="L2514">
        <v>1689.45</v>
      </c>
      <c r="M2514" t="s">
        <v>5032</v>
      </c>
      <c r="N2514" t="s">
        <v>5031</v>
      </c>
    </row>
    <row r="2515" spans="1:14" x14ac:dyDescent="0.3">
      <c r="A2515" t="s">
        <v>2539</v>
      </c>
      <c r="B2515" t="s">
        <v>19</v>
      </c>
      <c r="C2515" t="s">
        <v>35</v>
      </c>
      <c r="D2515">
        <v>52</v>
      </c>
      <c r="E2515" t="s">
        <v>15</v>
      </c>
      <c r="F2515" t="s">
        <v>36</v>
      </c>
      <c r="G2515">
        <v>19.2</v>
      </c>
      <c r="H2515">
        <v>1054.75</v>
      </c>
      <c r="I2515" t="s">
        <v>15</v>
      </c>
      <c r="J2515" t="s">
        <v>15</v>
      </c>
      <c r="K2515" t="s">
        <v>21</v>
      </c>
      <c r="L2515">
        <v>1054.75</v>
      </c>
      <c r="M2515" t="s">
        <v>5033</v>
      </c>
      <c r="N2515" t="s">
        <v>5031</v>
      </c>
    </row>
    <row r="2516" spans="1:14" x14ac:dyDescent="0.3">
      <c r="A2516" t="s">
        <v>2540</v>
      </c>
      <c r="B2516" t="s">
        <v>12</v>
      </c>
      <c r="C2516" t="s">
        <v>13</v>
      </c>
      <c r="D2516">
        <v>25</v>
      </c>
      <c r="E2516" t="s">
        <v>26</v>
      </c>
      <c r="F2516" t="s">
        <v>15</v>
      </c>
      <c r="G2516">
        <v>89.7</v>
      </c>
      <c r="H2516">
        <v>2187.5500000000002</v>
      </c>
      <c r="I2516" t="s">
        <v>16</v>
      </c>
      <c r="J2516" t="s">
        <v>16</v>
      </c>
      <c r="K2516" t="s">
        <v>17</v>
      </c>
      <c r="L2516">
        <v>2187.5500000000002</v>
      </c>
      <c r="M2516" t="s">
        <v>5032</v>
      </c>
      <c r="N2516" t="s">
        <v>5031</v>
      </c>
    </row>
    <row r="2517" spans="1:14" x14ac:dyDescent="0.3">
      <c r="A2517" t="s">
        <v>2541</v>
      </c>
      <c r="B2517" t="s">
        <v>12</v>
      </c>
      <c r="C2517" t="s">
        <v>35</v>
      </c>
      <c r="D2517">
        <v>64</v>
      </c>
      <c r="E2517" t="s">
        <v>26</v>
      </c>
      <c r="F2517" t="s">
        <v>16</v>
      </c>
      <c r="G2517">
        <v>115.1</v>
      </c>
      <c r="H2517">
        <v>7334.05</v>
      </c>
      <c r="I2517" t="s">
        <v>15</v>
      </c>
      <c r="J2517" t="s">
        <v>16</v>
      </c>
      <c r="K2517" t="s">
        <v>24</v>
      </c>
      <c r="L2517">
        <v>7334.05</v>
      </c>
      <c r="M2517" t="s">
        <v>5033</v>
      </c>
      <c r="N2517" t="s">
        <v>5034</v>
      </c>
    </row>
    <row r="2518" spans="1:14" x14ac:dyDescent="0.3">
      <c r="A2518" t="s">
        <v>2542</v>
      </c>
      <c r="B2518" t="s">
        <v>12</v>
      </c>
      <c r="C2518" t="s">
        <v>13</v>
      </c>
      <c r="D2518">
        <v>16</v>
      </c>
      <c r="E2518" t="s">
        <v>26</v>
      </c>
      <c r="F2518" t="s">
        <v>15</v>
      </c>
      <c r="G2518">
        <v>96.4</v>
      </c>
      <c r="H2518">
        <v>1581.2</v>
      </c>
      <c r="I2518" t="s">
        <v>16</v>
      </c>
      <c r="J2518" t="s">
        <v>16</v>
      </c>
      <c r="K2518" t="s">
        <v>17</v>
      </c>
      <c r="L2518">
        <v>1581.2</v>
      </c>
      <c r="M2518" t="s">
        <v>5032</v>
      </c>
      <c r="N2518" t="s">
        <v>5031</v>
      </c>
    </row>
    <row r="2519" spans="1:14" x14ac:dyDescent="0.3">
      <c r="A2519" t="s">
        <v>2543</v>
      </c>
      <c r="B2519" t="s">
        <v>19</v>
      </c>
      <c r="C2519" t="s">
        <v>13</v>
      </c>
      <c r="D2519">
        <v>1</v>
      </c>
      <c r="E2519" t="s">
        <v>26</v>
      </c>
      <c r="F2519" t="s">
        <v>15</v>
      </c>
      <c r="G2519">
        <v>69.5</v>
      </c>
      <c r="H2519">
        <v>69.5</v>
      </c>
      <c r="I2519" t="s">
        <v>16</v>
      </c>
      <c r="J2519" t="s">
        <v>16</v>
      </c>
      <c r="K2519" t="s">
        <v>24</v>
      </c>
      <c r="L2519">
        <v>69.5</v>
      </c>
      <c r="M2519" t="s">
        <v>5030</v>
      </c>
      <c r="N2519" t="s">
        <v>5031</v>
      </c>
    </row>
    <row r="2520" spans="1:14" x14ac:dyDescent="0.3">
      <c r="A2520" t="s">
        <v>2544</v>
      </c>
      <c r="B2520" t="s">
        <v>19</v>
      </c>
      <c r="C2520" t="s">
        <v>13</v>
      </c>
      <c r="D2520">
        <v>24</v>
      </c>
      <c r="E2520" t="s">
        <v>26</v>
      </c>
      <c r="F2520" t="s">
        <v>15</v>
      </c>
      <c r="G2520">
        <v>99.65</v>
      </c>
      <c r="H2520">
        <v>2404.85</v>
      </c>
      <c r="I2520" t="s">
        <v>15</v>
      </c>
      <c r="J2520" t="s">
        <v>16</v>
      </c>
      <c r="K2520" t="s">
        <v>24</v>
      </c>
      <c r="L2520">
        <v>2404.85</v>
      </c>
      <c r="M2520" t="s">
        <v>5032</v>
      </c>
      <c r="N2520" t="s">
        <v>5031</v>
      </c>
    </row>
    <row r="2521" spans="1:14" x14ac:dyDescent="0.3">
      <c r="A2521" t="s">
        <v>2545</v>
      </c>
      <c r="B2521" t="s">
        <v>19</v>
      </c>
      <c r="C2521" t="s">
        <v>13</v>
      </c>
      <c r="D2521">
        <v>2</v>
      </c>
      <c r="E2521" t="s">
        <v>26</v>
      </c>
      <c r="F2521" t="s">
        <v>15</v>
      </c>
      <c r="G2521">
        <v>91.45</v>
      </c>
      <c r="H2521">
        <v>171.45</v>
      </c>
      <c r="I2521" t="s">
        <v>15</v>
      </c>
      <c r="J2521" t="s">
        <v>16</v>
      </c>
      <c r="K2521" t="s">
        <v>17</v>
      </c>
      <c r="L2521">
        <v>171.45</v>
      </c>
      <c r="M2521" t="s">
        <v>5030</v>
      </c>
      <c r="N2521" t="s">
        <v>5031</v>
      </c>
    </row>
    <row r="2522" spans="1:14" x14ac:dyDescent="0.3">
      <c r="A2522" t="s">
        <v>2546</v>
      </c>
      <c r="B2522" t="s">
        <v>12</v>
      </c>
      <c r="C2522" t="s">
        <v>35</v>
      </c>
      <c r="D2522">
        <v>34</v>
      </c>
      <c r="E2522" t="s">
        <v>14</v>
      </c>
      <c r="F2522" t="s">
        <v>16</v>
      </c>
      <c r="G2522">
        <v>84.75</v>
      </c>
      <c r="H2522">
        <v>2839.45</v>
      </c>
      <c r="I2522" t="s">
        <v>15</v>
      </c>
      <c r="J2522" t="s">
        <v>15</v>
      </c>
      <c r="K2522" t="s">
        <v>21</v>
      </c>
      <c r="L2522">
        <v>2839.45</v>
      </c>
      <c r="M2522" t="s">
        <v>5032</v>
      </c>
      <c r="N2522" t="s">
        <v>5034</v>
      </c>
    </row>
    <row r="2523" spans="1:14" x14ac:dyDescent="0.3">
      <c r="A2523" t="s">
        <v>2547</v>
      </c>
      <c r="B2523" t="s">
        <v>19</v>
      </c>
      <c r="C2523" t="s">
        <v>13</v>
      </c>
      <c r="D2523">
        <v>36</v>
      </c>
      <c r="E2523" t="s">
        <v>26</v>
      </c>
      <c r="F2523" t="s">
        <v>15</v>
      </c>
      <c r="G2523">
        <v>85.25</v>
      </c>
      <c r="H2523">
        <v>3132.75</v>
      </c>
      <c r="I2523" t="s">
        <v>16</v>
      </c>
      <c r="J2523" t="s">
        <v>16</v>
      </c>
      <c r="K2523" t="s">
        <v>29</v>
      </c>
      <c r="L2523">
        <v>3132.75</v>
      </c>
      <c r="M2523" t="s">
        <v>5032</v>
      </c>
      <c r="N2523" t="s">
        <v>5034</v>
      </c>
    </row>
    <row r="2524" spans="1:14" x14ac:dyDescent="0.3">
      <c r="A2524" t="s">
        <v>2548</v>
      </c>
      <c r="B2524" t="s">
        <v>19</v>
      </c>
      <c r="C2524" t="s">
        <v>20</v>
      </c>
      <c r="D2524">
        <v>53</v>
      </c>
      <c r="E2524" t="s">
        <v>14</v>
      </c>
      <c r="F2524" t="s">
        <v>16</v>
      </c>
      <c r="G2524">
        <v>78.75</v>
      </c>
      <c r="H2524">
        <v>3942.45</v>
      </c>
      <c r="I2524" t="s">
        <v>15</v>
      </c>
      <c r="J2524" t="s">
        <v>16</v>
      </c>
      <c r="K2524" t="s">
        <v>21</v>
      </c>
      <c r="L2524">
        <v>3942.45</v>
      </c>
      <c r="M2524" t="s">
        <v>5033</v>
      </c>
      <c r="N2524" t="s">
        <v>5034</v>
      </c>
    </row>
    <row r="2525" spans="1:14" x14ac:dyDescent="0.3">
      <c r="A2525" t="s">
        <v>2549</v>
      </c>
      <c r="B2525" t="s">
        <v>12</v>
      </c>
      <c r="C2525" t="s">
        <v>35</v>
      </c>
      <c r="D2525">
        <v>47</v>
      </c>
      <c r="E2525" t="s">
        <v>15</v>
      </c>
      <c r="F2525" t="s">
        <v>36</v>
      </c>
      <c r="G2525">
        <v>20.25</v>
      </c>
      <c r="H2525">
        <v>873.4</v>
      </c>
      <c r="I2525" t="s">
        <v>15</v>
      </c>
      <c r="J2525" t="s">
        <v>15</v>
      </c>
      <c r="K2525" t="s">
        <v>29</v>
      </c>
      <c r="L2525">
        <v>873.4</v>
      </c>
      <c r="M2525" t="s">
        <v>5033</v>
      </c>
      <c r="N2525" t="s">
        <v>5031</v>
      </c>
    </row>
    <row r="2526" spans="1:14" x14ac:dyDescent="0.3">
      <c r="A2526" t="s">
        <v>2550</v>
      </c>
      <c r="B2526" t="s">
        <v>19</v>
      </c>
      <c r="C2526" t="s">
        <v>35</v>
      </c>
      <c r="D2526">
        <v>72</v>
      </c>
      <c r="E2526" t="s">
        <v>15</v>
      </c>
      <c r="F2526" t="s">
        <v>36</v>
      </c>
      <c r="G2526">
        <v>19.899999999999999</v>
      </c>
      <c r="H2526">
        <v>1529.65</v>
      </c>
      <c r="I2526" t="s">
        <v>15</v>
      </c>
      <c r="J2526" t="s">
        <v>15</v>
      </c>
      <c r="K2526" t="s">
        <v>29</v>
      </c>
      <c r="L2526">
        <v>1529.65</v>
      </c>
      <c r="M2526" t="s">
        <v>5033</v>
      </c>
      <c r="N2526" t="s">
        <v>5031</v>
      </c>
    </row>
    <row r="2527" spans="1:14" x14ac:dyDescent="0.3">
      <c r="A2527" t="s">
        <v>2551</v>
      </c>
      <c r="B2527" t="s">
        <v>19</v>
      </c>
      <c r="C2527" t="s">
        <v>35</v>
      </c>
      <c r="D2527">
        <v>72</v>
      </c>
      <c r="E2527" t="s">
        <v>26</v>
      </c>
      <c r="F2527" t="s">
        <v>16</v>
      </c>
      <c r="G2527">
        <v>97.75</v>
      </c>
      <c r="H2527">
        <v>6991.6</v>
      </c>
      <c r="I2527" t="s">
        <v>15</v>
      </c>
      <c r="J2527" t="s">
        <v>16</v>
      </c>
      <c r="K2527" t="s">
        <v>29</v>
      </c>
      <c r="L2527">
        <v>6991.6</v>
      </c>
      <c r="M2527" t="s">
        <v>5033</v>
      </c>
      <c r="N2527" t="s">
        <v>5034</v>
      </c>
    </row>
    <row r="2528" spans="1:14" x14ac:dyDescent="0.3">
      <c r="A2528" t="s">
        <v>2552</v>
      </c>
      <c r="B2528" t="s">
        <v>19</v>
      </c>
      <c r="C2528" t="s">
        <v>13</v>
      </c>
      <c r="D2528">
        <v>1</v>
      </c>
      <c r="E2528" t="s">
        <v>15</v>
      </c>
      <c r="F2528" t="s">
        <v>36</v>
      </c>
      <c r="G2528">
        <v>19.399999999999999</v>
      </c>
      <c r="H2528">
        <v>19.399999999999999</v>
      </c>
      <c r="I2528" t="s">
        <v>16</v>
      </c>
      <c r="J2528" t="s">
        <v>15</v>
      </c>
      <c r="K2528" t="s">
        <v>21</v>
      </c>
      <c r="L2528">
        <v>19.399999999999999</v>
      </c>
      <c r="M2528" t="s">
        <v>5030</v>
      </c>
      <c r="N2528" t="s">
        <v>5031</v>
      </c>
    </row>
    <row r="2529" spans="1:14" x14ac:dyDescent="0.3">
      <c r="A2529" t="s">
        <v>2553</v>
      </c>
      <c r="B2529" t="s">
        <v>12</v>
      </c>
      <c r="C2529" t="s">
        <v>13</v>
      </c>
      <c r="D2529">
        <v>9</v>
      </c>
      <c r="E2529" t="s">
        <v>26</v>
      </c>
      <c r="F2529" t="s">
        <v>15</v>
      </c>
      <c r="G2529">
        <v>83.3</v>
      </c>
      <c r="H2529">
        <v>803.3</v>
      </c>
      <c r="I2529" t="s">
        <v>16</v>
      </c>
      <c r="J2529" t="s">
        <v>16</v>
      </c>
      <c r="K2529" t="s">
        <v>17</v>
      </c>
      <c r="L2529">
        <v>803.3</v>
      </c>
      <c r="M2529" t="s">
        <v>5030</v>
      </c>
      <c r="N2529" t="s">
        <v>5031</v>
      </c>
    </row>
    <row r="2530" spans="1:14" x14ac:dyDescent="0.3">
      <c r="A2530" t="s">
        <v>2554</v>
      </c>
      <c r="B2530" t="s">
        <v>12</v>
      </c>
      <c r="C2530" t="s">
        <v>13</v>
      </c>
      <c r="D2530">
        <v>8</v>
      </c>
      <c r="E2530" t="s">
        <v>26</v>
      </c>
      <c r="F2530" t="s">
        <v>15</v>
      </c>
      <c r="G2530">
        <v>80.099999999999994</v>
      </c>
      <c r="H2530">
        <v>679.3</v>
      </c>
      <c r="I2530" t="s">
        <v>16</v>
      </c>
      <c r="J2530" t="s">
        <v>16</v>
      </c>
      <c r="K2530" t="s">
        <v>24</v>
      </c>
      <c r="L2530">
        <v>679.3</v>
      </c>
      <c r="M2530" t="s">
        <v>5030</v>
      </c>
      <c r="N2530" t="s">
        <v>5031</v>
      </c>
    </row>
    <row r="2531" spans="1:14" x14ac:dyDescent="0.3">
      <c r="A2531" t="s">
        <v>2555</v>
      </c>
      <c r="B2531" t="s">
        <v>19</v>
      </c>
      <c r="C2531" t="s">
        <v>20</v>
      </c>
      <c r="D2531">
        <v>45</v>
      </c>
      <c r="E2531" t="s">
        <v>14</v>
      </c>
      <c r="F2531" t="s">
        <v>15</v>
      </c>
      <c r="G2531">
        <v>62.7</v>
      </c>
      <c r="H2531">
        <v>2791.5</v>
      </c>
      <c r="I2531" t="s">
        <v>16</v>
      </c>
      <c r="J2531" t="s">
        <v>15</v>
      </c>
      <c r="K2531" t="s">
        <v>29</v>
      </c>
      <c r="L2531">
        <v>2791.5</v>
      </c>
      <c r="M2531" t="s">
        <v>5033</v>
      </c>
      <c r="N2531" t="s">
        <v>5034</v>
      </c>
    </row>
    <row r="2532" spans="1:14" x14ac:dyDescent="0.3">
      <c r="A2532" t="s">
        <v>2556</v>
      </c>
      <c r="B2532" t="s">
        <v>12</v>
      </c>
      <c r="C2532" t="s">
        <v>13</v>
      </c>
      <c r="D2532">
        <v>7</v>
      </c>
      <c r="E2532" t="s">
        <v>26</v>
      </c>
      <c r="F2532" t="s">
        <v>16</v>
      </c>
      <c r="G2532">
        <v>100.4</v>
      </c>
      <c r="H2532">
        <v>715</v>
      </c>
      <c r="I2532" t="s">
        <v>15</v>
      </c>
      <c r="J2532" t="s">
        <v>16</v>
      </c>
      <c r="K2532" t="s">
        <v>17</v>
      </c>
      <c r="L2532">
        <v>715</v>
      </c>
      <c r="M2532" t="s">
        <v>5030</v>
      </c>
      <c r="N2532" t="s">
        <v>5031</v>
      </c>
    </row>
    <row r="2533" spans="1:14" x14ac:dyDescent="0.3">
      <c r="A2533" t="s">
        <v>2557</v>
      </c>
      <c r="B2533" t="s">
        <v>12</v>
      </c>
      <c r="C2533" t="s">
        <v>35</v>
      </c>
      <c r="D2533">
        <v>71</v>
      </c>
      <c r="E2533" t="s">
        <v>15</v>
      </c>
      <c r="F2533" t="s">
        <v>36</v>
      </c>
      <c r="G2533">
        <v>24.45</v>
      </c>
      <c r="H2533">
        <v>1681.6</v>
      </c>
      <c r="I2533" t="s">
        <v>15</v>
      </c>
      <c r="J2533" t="s">
        <v>16</v>
      </c>
      <c r="K2533" t="s">
        <v>29</v>
      </c>
      <c r="L2533">
        <v>1681.6</v>
      </c>
      <c r="M2533" t="s">
        <v>5033</v>
      </c>
      <c r="N2533" t="s">
        <v>5031</v>
      </c>
    </row>
    <row r="2534" spans="1:14" x14ac:dyDescent="0.3">
      <c r="A2534" t="s">
        <v>2558</v>
      </c>
      <c r="B2534" t="s">
        <v>12</v>
      </c>
      <c r="C2534" t="s">
        <v>20</v>
      </c>
      <c r="D2534">
        <v>41</v>
      </c>
      <c r="E2534" t="s">
        <v>26</v>
      </c>
      <c r="F2534" t="s">
        <v>16</v>
      </c>
      <c r="G2534">
        <v>101.1</v>
      </c>
      <c r="H2534">
        <v>4016.2</v>
      </c>
      <c r="I2534" t="s">
        <v>15</v>
      </c>
      <c r="J2534" t="s">
        <v>16</v>
      </c>
      <c r="K2534" t="s">
        <v>24</v>
      </c>
      <c r="L2534">
        <v>4016.2</v>
      </c>
      <c r="M2534" t="s">
        <v>5033</v>
      </c>
      <c r="N2534" t="s">
        <v>5034</v>
      </c>
    </row>
    <row r="2535" spans="1:14" x14ac:dyDescent="0.3">
      <c r="A2535" t="s">
        <v>2559</v>
      </c>
      <c r="B2535" t="s">
        <v>19</v>
      </c>
      <c r="C2535" t="s">
        <v>35</v>
      </c>
      <c r="D2535">
        <v>67</v>
      </c>
      <c r="E2535" t="s">
        <v>14</v>
      </c>
      <c r="F2535" t="s">
        <v>15</v>
      </c>
      <c r="G2535">
        <v>50.9</v>
      </c>
      <c r="H2535">
        <v>3281.65</v>
      </c>
      <c r="I2535" t="s">
        <v>15</v>
      </c>
      <c r="J2535" t="s">
        <v>15</v>
      </c>
      <c r="K2535" t="s">
        <v>29</v>
      </c>
      <c r="L2535">
        <v>3281.65</v>
      </c>
      <c r="M2535" t="s">
        <v>5033</v>
      </c>
      <c r="N2535" t="s">
        <v>5034</v>
      </c>
    </row>
    <row r="2536" spans="1:14" x14ac:dyDescent="0.3">
      <c r="A2536" t="s">
        <v>2560</v>
      </c>
      <c r="B2536" t="s">
        <v>19</v>
      </c>
      <c r="C2536" t="s">
        <v>20</v>
      </c>
      <c r="D2536">
        <v>69</v>
      </c>
      <c r="E2536" t="s">
        <v>26</v>
      </c>
      <c r="F2536" t="s">
        <v>16</v>
      </c>
      <c r="G2536">
        <v>107.2</v>
      </c>
      <c r="H2536">
        <v>7317.1</v>
      </c>
      <c r="I2536" t="s">
        <v>15</v>
      </c>
      <c r="J2536" t="s">
        <v>16</v>
      </c>
      <c r="K2536" t="s">
        <v>29</v>
      </c>
      <c r="L2536">
        <v>7317.1</v>
      </c>
      <c r="M2536" t="s">
        <v>5033</v>
      </c>
      <c r="N2536" t="s">
        <v>5034</v>
      </c>
    </row>
    <row r="2537" spans="1:14" x14ac:dyDescent="0.3">
      <c r="A2537" t="s">
        <v>2561</v>
      </c>
      <c r="B2537" t="s">
        <v>12</v>
      </c>
      <c r="C2537" t="s">
        <v>35</v>
      </c>
      <c r="D2537">
        <v>70</v>
      </c>
      <c r="E2537" t="s">
        <v>14</v>
      </c>
      <c r="F2537" t="s">
        <v>16</v>
      </c>
      <c r="G2537">
        <v>92.2</v>
      </c>
      <c r="H2537">
        <v>6474.45</v>
      </c>
      <c r="I2537" t="s">
        <v>15</v>
      </c>
      <c r="J2537" t="s">
        <v>16</v>
      </c>
      <c r="K2537" t="s">
        <v>24</v>
      </c>
      <c r="L2537">
        <v>6474.45</v>
      </c>
      <c r="M2537" t="s">
        <v>5033</v>
      </c>
      <c r="N2537" t="s">
        <v>5034</v>
      </c>
    </row>
    <row r="2538" spans="1:14" x14ac:dyDescent="0.3">
      <c r="A2538" t="s">
        <v>2562</v>
      </c>
      <c r="B2538" t="s">
        <v>19</v>
      </c>
      <c r="C2538" t="s">
        <v>20</v>
      </c>
      <c r="D2538">
        <v>25</v>
      </c>
      <c r="E2538" t="s">
        <v>15</v>
      </c>
      <c r="F2538" t="s">
        <v>36</v>
      </c>
      <c r="G2538">
        <v>25.3</v>
      </c>
      <c r="H2538">
        <v>676.35</v>
      </c>
      <c r="I2538" t="s">
        <v>16</v>
      </c>
      <c r="J2538" t="s">
        <v>15</v>
      </c>
      <c r="K2538" t="s">
        <v>24</v>
      </c>
      <c r="L2538">
        <v>676.35</v>
      </c>
      <c r="M2538" t="s">
        <v>5032</v>
      </c>
      <c r="N2538" t="s">
        <v>5031</v>
      </c>
    </row>
    <row r="2539" spans="1:14" x14ac:dyDescent="0.3">
      <c r="A2539" t="s">
        <v>2563</v>
      </c>
      <c r="B2539" t="s">
        <v>19</v>
      </c>
      <c r="C2539" t="s">
        <v>35</v>
      </c>
      <c r="D2539">
        <v>72</v>
      </c>
      <c r="E2539" t="s">
        <v>26</v>
      </c>
      <c r="F2539" t="s">
        <v>16</v>
      </c>
      <c r="G2539">
        <v>113.4</v>
      </c>
      <c r="H2539">
        <v>8164.1</v>
      </c>
      <c r="I2539" t="s">
        <v>15</v>
      </c>
      <c r="J2539" t="s">
        <v>15</v>
      </c>
      <c r="K2539" t="s">
        <v>24</v>
      </c>
      <c r="L2539">
        <v>8164.1</v>
      </c>
      <c r="M2539" t="s">
        <v>5033</v>
      </c>
      <c r="N2539" t="s">
        <v>5034</v>
      </c>
    </row>
    <row r="2540" spans="1:14" x14ac:dyDescent="0.3">
      <c r="A2540" t="s">
        <v>2564</v>
      </c>
      <c r="B2540" t="s">
        <v>19</v>
      </c>
      <c r="C2540" t="s">
        <v>35</v>
      </c>
      <c r="D2540">
        <v>34</v>
      </c>
      <c r="E2540" t="s">
        <v>14</v>
      </c>
      <c r="F2540" t="s">
        <v>16</v>
      </c>
      <c r="G2540">
        <v>40.549999999999997</v>
      </c>
      <c r="H2540">
        <v>1325.85</v>
      </c>
      <c r="I2540" t="s">
        <v>15</v>
      </c>
      <c r="J2540" t="s">
        <v>16</v>
      </c>
      <c r="K2540" t="s">
        <v>17</v>
      </c>
      <c r="L2540">
        <v>1325.85</v>
      </c>
      <c r="M2540" t="s">
        <v>5032</v>
      </c>
      <c r="N2540" t="s">
        <v>5031</v>
      </c>
    </row>
    <row r="2541" spans="1:14" x14ac:dyDescent="0.3">
      <c r="A2541" t="s">
        <v>2565</v>
      </c>
      <c r="B2541" t="s">
        <v>12</v>
      </c>
      <c r="C2541" t="s">
        <v>35</v>
      </c>
      <c r="D2541">
        <v>65</v>
      </c>
      <c r="E2541" t="s">
        <v>15</v>
      </c>
      <c r="F2541" t="s">
        <v>36</v>
      </c>
      <c r="G2541">
        <v>26</v>
      </c>
      <c r="H2541">
        <v>1654.85</v>
      </c>
      <c r="I2541" t="s">
        <v>15</v>
      </c>
      <c r="J2541" t="s">
        <v>15</v>
      </c>
      <c r="K2541" t="s">
        <v>29</v>
      </c>
      <c r="L2541">
        <v>1654.85</v>
      </c>
      <c r="M2541" t="s">
        <v>5033</v>
      </c>
      <c r="N2541" t="s">
        <v>5031</v>
      </c>
    </row>
    <row r="2542" spans="1:14" x14ac:dyDescent="0.3">
      <c r="A2542" t="s">
        <v>2566</v>
      </c>
      <c r="B2542" t="s">
        <v>12</v>
      </c>
      <c r="C2542" t="s">
        <v>35</v>
      </c>
      <c r="D2542">
        <v>70</v>
      </c>
      <c r="E2542" t="s">
        <v>26</v>
      </c>
      <c r="F2542" t="s">
        <v>16</v>
      </c>
      <c r="G2542">
        <v>111.95</v>
      </c>
      <c r="H2542">
        <v>7795.95</v>
      </c>
      <c r="I2542" t="s">
        <v>15</v>
      </c>
      <c r="J2542" t="s">
        <v>16</v>
      </c>
      <c r="K2542" t="s">
        <v>29</v>
      </c>
      <c r="L2542">
        <v>7795.95</v>
      </c>
      <c r="M2542" t="s">
        <v>5033</v>
      </c>
      <c r="N2542" t="s">
        <v>5034</v>
      </c>
    </row>
    <row r="2543" spans="1:14" x14ac:dyDescent="0.3">
      <c r="A2543" t="s">
        <v>2567</v>
      </c>
      <c r="B2543" t="s">
        <v>12</v>
      </c>
      <c r="C2543" t="s">
        <v>35</v>
      </c>
      <c r="D2543">
        <v>72</v>
      </c>
      <c r="E2543" t="s">
        <v>14</v>
      </c>
      <c r="F2543" t="s">
        <v>15</v>
      </c>
      <c r="G2543">
        <v>53.8</v>
      </c>
      <c r="H2543">
        <v>3952.45</v>
      </c>
      <c r="I2543" t="s">
        <v>15</v>
      </c>
      <c r="J2543" t="s">
        <v>16</v>
      </c>
      <c r="K2543" t="s">
        <v>29</v>
      </c>
      <c r="L2543">
        <v>3952.45</v>
      </c>
      <c r="M2543" t="s">
        <v>5033</v>
      </c>
      <c r="N2543" t="s">
        <v>5034</v>
      </c>
    </row>
    <row r="2544" spans="1:14" x14ac:dyDescent="0.3">
      <c r="A2544" t="s">
        <v>2568</v>
      </c>
      <c r="B2544" t="s">
        <v>19</v>
      </c>
      <c r="C2544" t="s">
        <v>20</v>
      </c>
      <c r="D2544">
        <v>35</v>
      </c>
      <c r="E2544" t="s">
        <v>14</v>
      </c>
      <c r="F2544" t="s">
        <v>16</v>
      </c>
      <c r="G2544">
        <v>72.099999999999994</v>
      </c>
      <c r="H2544">
        <v>2495.15</v>
      </c>
      <c r="I2544" t="s">
        <v>15</v>
      </c>
      <c r="J2544" t="s">
        <v>16</v>
      </c>
      <c r="K2544" t="s">
        <v>21</v>
      </c>
      <c r="L2544">
        <v>2495.15</v>
      </c>
      <c r="M2544" t="s">
        <v>5032</v>
      </c>
      <c r="N2544" t="s">
        <v>5031</v>
      </c>
    </row>
    <row r="2545" spans="1:14" x14ac:dyDescent="0.3">
      <c r="A2545" t="s">
        <v>2569</v>
      </c>
      <c r="B2545" t="s">
        <v>19</v>
      </c>
      <c r="C2545" t="s">
        <v>13</v>
      </c>
      <c r="D2545">
        <v>13</v>
      </c>
      <c r="E2545" t="s">
        <v>26</v>
      </c>
      <c r="F2545" t="s">
        <v>15</v>
      </c>
      <c r="G2545">
        <v>98.15</v>
      </c>
      <c r="H2545">
        <v>1230.25</v>
      </c>
      <c r="I2545" t="s">
        <v>16</v>
      </c>
      <c r="J2545" t="s">
        <v>15</v>
      </c>
      <c r="K2545" t="s">
        <v>21</v>
      </c>
      <c r="L2545">
        <v>1230.25</v>
      </c>
      <c r="M2545" t="s">
        <v>5032</v>
      </c>
      <c r="N2545" t="s">
        <v>5031</v>
      </c>
    </row>
    <row r="2546" spans="1:14" x14ac:dyDescent="0.3">
      <c r="A2546" t="s">
        <v>2570</v>
      </c>
      <c r="B2546" t="s">
        <v>12</v>
      </c>
      <c r="C2546" t="s">
        <v>20</v>
      </c>
      <c r="D2546">
        <v>12</v>
      </c>
      <c r="E2546" t="s">
        <v>14</v>
      </c>
      <c r="F2546" t="s">
        <v>15</v>
      </c>
      <c r="G2546">
        <v>78.849999999999994</v>
      </c>
      <c r="H2546">
        <v>876.75</v>
      </c>
      <c r="I2546" t="s">
        <v>15</v>
      </c>
      <c r="J2546" t="s">
        <v>15</v>
      </c>
      <c r="K2546" t="s">
        <v>17</v>
      </c>
      <c r="L2546">
        <v>876.75</v>
      </c>
      <c r="M2546" t="s">
        <v>5030</v>
      </c>
      <c r="N2546" t="s">
        <v>5031</v>
      </c>
    </row>
    <row r="2547" spans="1:14" x14ac:dyDescent="0.3">
      <c r="A2547" t="s">
        <v>2571</v>
      </c>
      <c r="B2547" t="s">
        <v>12</v>
      </c>
      <c r="C2547" t="s">
        <v>20</v>
      </c>
      <c r="D2547">
        <v>62</v>
      </c>
      <c r="E2547" t="s">
        <v>14</v>
      </c>
      <c r="F2547" t="s">
        <v>16</v>
      </c>
      <c r="G2547">
        <v>70.75</v>
      </c>
      <c r="H2547">
        <v>4263.45</v>
      </c>
      <c r="I2547" t="s">
        <v>15</v>
      </c>
      <c r="J2547" t="s">
        <v>16</v>
      </c>
      <c r="K2547" t="s">
        <v>24</v>
      </c>
      <c r="L2547">
        <v>4263.45</v>
      </c>
      <c r="M2547" t="s">
        <v>5033</v>
      </c>
      <c r="N2547" t="s">
        <v>5034</v>
      </c>
    </row>
    <row r="2548" spans="1:14" x14ac:dyDescent="0.3">
      <c r="A2548" t="s">
        <v>2572</v>
      </c>
      <c r="B2548" t="s">
        <v>12</v>
      </c>
      <c r="C2548" t="s">
        <v>13</v>
      </c>
      <c r="D2548">
        <v>25</v>
      </c>
      <c r="E2548" t="s">
        <v>14</v>
      </c>
      <c r="F2548" t="s">
        <v>16</v>
      </c>
      <c r="G2548">
        <v>76.150000000000006</v>
      </c>
      <c r="H2548">
        <v>1992.95</v>
      </c>
      <c r="I2548" t="s">
        <v>15</v>
      </c>
      <c r="J2548" t="s">
        <v>16</v>
      </c>
      <c r="K2548" t="s">
        <v>29</v>
      </c>
      <c r="L2548">
        <v>1992.95</v>
      </c>
      <c r="M2548" t="s">
        <v>5032</v>
      </c>
      <c r="N2548" t="s">
        <v>5031</v>
      </c>
    </row>
    <row r="2549" spans="1:14" x14ac:dyDescent="0.3">
      <c r="A2549" t="s">
        <v>2573</v>
      </c>
      <c r="B2549" t="s">
        <v>12</v>
      </c>
      <c r="C2549" t="s">
        <v>35</v>
      </c>
      <c r="D2549">
        <v>52</v>
      </c>
      <c r="E2549" t="s">
        <v>14</v>
      </c>
      <c r="F2549" t="s">
        <v>16</v>
      </c>
      <c r="G2549">
        <v>39.1</v>
      </c>
      <c r="H2549">
        <v>1982.1</v>
      </c>
      <c r="I2549" t="s">
        <v>15</v>
      </c>
      <c r="J2549" t="s">
        <v>15</v>
      </c>
      <c r="K2549" t="s">
        <v>21</v>
      </c>
      <c r="L2549">
        <v>1982.1</v>
      </c>
      <c r="M2549" t="s">
        <v>5033</v>
      </c>
      <c r="N2549" t="s">
        <v>5031</v>
      </c>
    </row>
    <row r="2550" spans="1:14" x14ac:dyDescent="0.3">
      <c r="A2550" t="s">
        <v>2574</v>
      </c>
      <c r="B2550" t="s">
        <v>19</v>
      </c>
      <c r="C2550" t="s">
        <v>13</v>
      </c>
      <c r="D2550">
        <v>8</v>
      </c>
      <c r="E2550" t="s">
        <v>26</v>
      </c>
      <c r="F2550" t="s">
        <v>15</v>
      </c>
      <c r="G2550">
        <v>69.95</v>
      </c>
      <c r="H2550">
        <v>562.70000000000005</v>
      </c>
      <c r="I2550" t="s">
        <v>15</v>
      </c>
      <c r="J2550" t="s">
        <v>16</v>
      </c>
      <c r="K2550" t="s">
        <v>29</v>
      </c>
      <c r="L2550">
        <v>562.70000000000005</v>
      </c>
      <c r="M2550" t="s">
        <v>5030</v>
      </c>
      <c r="N2550" t="s">
        <v>5031</v>
      </c>
    </row>
    <row r="2551" spans="1:14" x14ac:dyDescent="0.3">
      <c r="A2551" t="s">
        <v>2575</v>
      </c>
      <c r="B2551" t="s">
        <v>19</v>
      </c>
      <c r="C2551" t="s">
        <v>13</v>
      </c>
      <c r="D2551">
        <v>2</v>
      </c>
      <c r="E2551" t="s">
        <v>15</v>
      </c>
      <c r="F2551" t="s">
        <v>36</v>
      </c>
      <c r="G2551">
        <v>20.05</v>
      </c>
      <c r="H2551">
        <v>33.700000000000003</v>
      </c>
      <c r="I2551" t="s">
        <v>15</v>
      </c>
      <c r="J2551" t="s">
        <v>15</v>
      </c>
      <c r="K2551" t="s">
        <v>21</v>
      </c>
      <c r="L2551">
        <v>33.700000000000003</v>
      </c>
      <c r="M2551" t="s">
        <v>5030</v>
      </c>
      <c r="N2551" t="s">
        <v>5031</v>
      </c>
    </row>
    <row r="2552" spans="1:14" x14ac:dyDescent="0.3">
      <c r="A2552" t="s">
        <v>2576</v>
      </c>
      <c r="B2552" t="s">
        <v>12</v>
      </c>
      <c r="C2552" t="s">
        <v>35</v>
      </c>
      <c r="D2552">
        <v>56</v>
      </c>
      <c r="E2552" t="s">
        <v>15</v>
      </c>
      <c r="F2552" t="s">
        <v>36</v>
      </c>
      <c r="G2552">
        <v>20.05</v>
      </c>
      <c r="H2552">
        <v>1090.0999999999999</v>
      </c>
      <c r="I2552" t="s">
        <v>15</v>
      </c>
      <c r="J2552" t="s">
        <v>15</v>
      </c>
      <c r="K2552" t="s">
        <v>21</v>
      </c>
      <c r="L2552">
        <v>1090.0999999999999</v>
      </c>
      <c r="M2552" t="s">
        <v>5033</v>
      </c>
      <c r="N2552" t="s">
        <v>5031</v>
      </c>
    </row>
    <row r="2553" spans="1:14" x14ac:dyDescent="0.3">
      <c r="A2553" t="s">
        <v>2577</v>
      </c>
      <c r="B2553" t="s">
        <v>12</v>
      </c>
      <c r="C2553" t="s">
        <v>13</v>
      </c>
      <c r="D2553">
        <v>12</v>
      </c>
      <c r="E2553" t="s">
        <v>15</v>
      </c>
      <c r="F2553" t="s">
        <v>36</v>
      </c>
      <c r="G2553">
        <v>19.45</v>
      </c>
      <c r="H2553">
        <v>227.45</v>
      </c>
      <c r="I2553" t="s">
        <v>15</v>
      </c>
      <c r="J2553" t="s">
        <v>15</v>
      </c>
      <c r="K2553" t="s">
        <v>24</v>
      </c>
      <c r="L2553">
        <v>227.45</v>
      </c>
      <c r="M2553" t="s">
        <v>5030</v>
      </c>
      <c r="N2553" t="s">
        <v>5031</v>
      </c>
    </row>
    <row r="2554" spans="1:14" x14ac:dyDescent="0.3">
      <c r="A2554" t="s">
        <v>2578</v>
      </c>
      <c r="B2554" t="s">
        <v>12</v>
      </c>
      <c r="C2554" t="s">
        <v>20</v>
      </c>
      <c r="D2554">
        <v>47</v>
      </c>
      <c r="E2554" t="s">
        <v>15</v>
      </c>
      <c r="F2554" t="s">
        <v>36</v>
      </c>
      <c r="G2554">
        <v>26.9</v>
      </c>
      <c r="H2554">
        <v>1250.8499999999999</v>
      </c>
      <c r="I2554" t="s">
        <v>15</v>
      </c>
      <c r="J2554" t="s">
        <v>15</v>
      </c>
      <c r="K2554" t="s">
        <v>17</v>
      </c>
      <c r="L2554">
        <v>1250.8499999999999</v>
      </c>
      <c r="M2554" t="s">
        <v>5033</v>
      </c>
      <c r="N2554" t="s">
        <v>5031</v>
      </c>
    </row>
    <row r="2555" spans="1:14" x14ac:dyDescent="0.3">
      <c r="A2555" t="s">
        <v>2579</v>
      </c>
      <c r="B2555" t="s">
        <v>19</v>
      </c>
      <c r="C2555" t="s">
        <v>13</v>
      </c>
      <c r="D2555">
        <v>2</v>
      </c>
      <c r="E2555" t="s">
        <v>15</v>
      </c>
      <c r="F2555" t="s">
        <v>36</v>
      </c>
      <c r="G2555">
        <v>19.2</v>
      </c>
      <c r="H2555">
        <v>37.200000000000003</v>
      </c>
      <c r="I2555" t="s">
        <v>15</v>
      </c>
      <c r="J2555" t="s">
        <v>15</v>
      </c>
      <c r="K2555" t="s">
        <v>17</v>
      </c>
      <c r="L2555">
        <v>37.200000000000003</v>
      </c>
      <c r="M2555" t="s">
        <v>5030</v>
      </c>
      <c r="N2555" t="s">
        <v>5031</v>
      </c>
    </row>
    <row r="2556" spans="1:14" x14ac:dyDescent="0.3">
      <c r="A2556" t="s">
        <v>2580</v>
      </c>
      <c r="B2556" t="s">
        <v>12</v>
      </c>
      <c r="C2556" t="s">
        <v>13</v>
      </c>
      <c r="D2556">
        <v>18</v>
      </c>
      <c r="E2556" t="s">
        <v>14</v>
      </c>
      <c r="F2556" t="s">
        <v>15</v>
      </c>
      <c r="G2556">
        <v>50</v>
      </c>
      <c r="H2556">
        <v>892.7</v>
      </c>
      <c r="I2556" t="s">
        <v>15</v>
      </c>
      <c r="J2556" t="s">
        <v>16</v>
      </c>
      <c r="K2556" t="s">
        <v>21</v>
      </c>
      <c r="L2556">
        <v>892.7</v>
      </c>
      <c r="M2556" t="s">
        <v>5032</v>
      </c>
      <c r="N2556" t="s">
        <v>5031</v>
      </c>
    </row>
    <row r="2557" spans="1:14" x14ac:dyDescent="0.3">
      <c r="A2557" t="s">
        <v>2581</v>
      </c>
      <c r="B2557" t="s">
        <v>12</v>
      </c>
      <c r="C2557" t="s">
        <v>13</v>
      </c>
      <c r="D2557">
        <v>8</v>
      </c>
      <c r="E2557" t="s">
        <v>14</v>
      </c>
      <c r="F2557" t="s">
        <v>15</v>
      </c>
      <c r="G2557">
        <v>60</v>
      </c>
      <c r="H2557">
        <v>487.75</v>
      </c>
      <c r="I2557" t="s">
        <v>15</v>
      </c>
      <c r="J2557" t="s">
        <v>16</v>
      </c>
      <c r="K2557" t="s">
        <v>17</v>
      </c>
      <c r="L2557">
        <v>487.75</v>
      </c>
      <c r="M2557" t="s">
        <v>5030</v>
      </c>
      <c r="N2557" t="s">
        <v>5031</v>
      </c>
    </row>
    <row r="2558" spans="1:14" x14ac:dyDescent="0.3">
      <c r="A2558" t="s">
        <v>2582</v>
      </c>
      <c r="B2558" t="s">
        <v>19</v>
      </c>
      <c r="C2558" t="s">
        <v>13</v>
      </c>
      <c r="D2558">
        <v>45</v>
      </c>
      <c r="E2558" t="s">
        <v>26</v>
      </c>
      <c r="F2558" t="s">
        <v>15</v>
      </c>
      <c r="G2558">
        <v>84.55</v>
      </c>
      <c r="H2558">
        <v>3713.95</v>
      </c>
      <c r="I2558" t="s">
        <v>15</v>
      </c>
      <c r="J2558" t="s">
        <v>16</v>
      </c>
      <c r="K2558" t="s">
        <v>21</v>
      </c>
      <c r="L2558">
        <v>3713.95</v>
      </c>
      <c r="M2558" t="s">
        <v>5033</v>
      </c>
      <c r="N2558" t="s">
        <v>5034</v>
      </c>
    </row>
    <row r="2559" spans="1:14" x14ac:dyDescent="0.3">
      <c r="A2559" t="s">
        <v>2583</v>
      </c>
      <c r="B2559" t="s">
        <v>19</v>
      </c>
      <c r="C2559" t="s">
        <v>13</v>
      </c>
      <c r="D2559">
        <v>3</v>
      </c>
      <c r="E2559" t="s">
        <v>14</v>
      </c>
      <c r="F2559" t="s">
        <v>15</v>
      </c>
      <c r="G2559">
        <v>45.45</v>
      </c>
      <c r="H2559">
        <v>141.69999999999999</v>
      </c>
      <c r="I2559" t="s">
        <v>15</v>
      </c>
      <c r="J2559" t="s">
        <v>15</v>
      </c>
      <c r="K2559" t="s">
        <v>21</v>
      </c>
      <c r="L2559">
        <v>141.69999999999999</v>
      </c>
      <c r="M2559" t="s">
        <v>5030</v>
      </c>
      <c r="N2559" t="s">
        <v>5031</v>
      </c>
    </row>
    <row r="2560" spans="1:14" x14ac:dyDescent="0.3">
      <c r="A2560" t="s">
        <v>2584</v>
      </c>
      <c r="B2560" t="s">
        <v>12</v>
      </c>
      <c r="C2560" t="s">
        <v>20</v>
      </c>
      <c r="D2560">
        <v>38</v>
      </c>
      <c r="E2560" t="s">
        <v>15</v>
      </c>
      <c r="F2560" t="s">
        <v>36</v>
      </c>
      <c r="G2560">
        <v>20.05</v>
      </c>
      <c r="H2560">
        <v>678.2</v>
      </c>
      <c r="I2560" t="s">
        <v>15</v>
      </c>
      <c r="J2560" t="s">
        <v>15</v>
      </c>
      <c r="K2560" t="s">
        <v>21</v>
      </c>
      <c r="L2560">
        <v>678.2</v>
      </c>
      <c r="M2560" t="s">
        <v>5033</v>
      </c>
      <c r="N2560" t="s">
        <v>5031</v>
      </c>
    </row>
    <row r="2561" spans="1:14" x14ac:dyDescent="0.3">
      <c r="A2561" t="s">
        <v>2585</v>
      </c>
      <c r="B2561" t="s">
        <v>19</v>
      </c>
      <c r="C2561" t="s">
        <v>35</v>
      </c>
      <c r="D2561">
        <v>72</v>
      </c>
      <c r="E2561" t="s">
        <v>26</v>
      </c>
      <c r="F2561" t="s">
        <v>16</v>
      </c>
      <c r="G2561">
        <v>115.55</v>
      </c>
      <c r="H2561">
        <v>8425.2999999999993</v>
      </c>
      <c r="I2561" t="s">
        <v>15</v>
      </c>
      <c r="J2561" t="s">
        <v>16</v>
      </c>
      <c r="K2561" t="s">
        <v>17</v>
      </c>
      <c r="L2561">
        <v>8425.2999999999993</v>
      </c>
      <c r="M2561" t="s">
        <v>5033</v>
      </c>
      <c r="N2561" t="s">
        <v>5034</v>
      </c>
    </row>
    <row r="2562" spans="1:14" x14ac:dyDescent="0.3">
      <c r="A2562" t="s">
        <v>2586</v>
      </c>
      <c r="B2562" t="s">
        <v>19</v>
      </c>
      <c r="C2562" t="s">
        <v>13</v>
      </c>
      <c r="D2562">
        <v>46</v>
      </c>
      <c r="E2562" t="s">
        <v>26</v>
      </c>
      <c r="F2562" t="s">
        <v>15</v>
      </c>
      <c r="G2562">
        <v>93.7</v>
      </c>
      <c r="H2562">
        <v>4154.8</v>
      </c>
      <c r="I2562" t="s">
        <v>16</v>
      </c>
      <c r="J2562" t="s">
        <v>16</v>
      </c>
      <c r="K2562" t="s">
        <v>17</v>
      </c>
      <c r="L2562">
        <v>4154.8</v>
      </c>
      <c r="M2562" t="s">
        <v>5033</v>
      </c>
      <c r="N2562" t="s">
        <v>5034</v>
      </c>
    </row>
    <row r="2563" spans="1:14" x14ac:dyDescent="0.3">
      <c r="A2563" t="s">
        <v>2587</v>
      </c>
      <c r="B2563" t="s">
        <v>12</v>
      </c>
      <c r="C2563" t="s">
        <v>35</v>
      </c>
      <c r="D2563">
        <v>71</v>
      </c>
      <c r="E2563" t="s">
        <v>26</v>
      </c>
      <c r="F2563" t="s">
        <v>15</v>
      </c>
      <c r="G2563">
        <v>99</v>
      </c>
      <c r="H2563">
        <v>7061.65</v>
      </c>
      <c r="I2563" t="s">
        <v>15</v>
      </c>
      <c r="J2563" t="s">
        <v>16</v>
      </c>
      <c r="K2563" t="s">
        <v>29</v>
      </c>
      <c r="L2563">
        <v>7061.65</v>
      </c>
      <c r="M2563" t="s">
        <v>5033</v>
      </c>
      <c r="N2563" t="s">
        <v>5034</v>
      </c>
    </row>
    <row r="2564" spans="1:14" x14ac:dyDescent="0.3">
      <c r="A2564" t="s">
        <v>2588</v>
      </c>
      <c r="B2564" t="s">
        <v>19</v>
      </c>
      <c r="C2564" t="s">
        <v>35</v>
      </c>
      <c r="D2564">
        <v>66</v>
      </c>
      <c r="E2564" t="s">
        <v>14</v>
      </c>
      <c r="F2564" t="s">
        <v>16</v>
      </c>
      <c r="G2564">
        <v>50.55</v>
      </c>
      <c r="H2564">
        <v>3364.55</v>
      </c>
      <c r="I2564" t="s">
        <v>15</v>
      </c>
      <c r="J2564" t="s">
        <v>15</v>
      </c>
      <c r="K2564" t="s">
        <v>24</v>
      </c>
      <c r="L2564">
        <v>3364.55</v>
      </c>
      <c r="M2564" t="s">
        <v>5033</v>
      </c>
      <c r="N2564" t="s">
        <v>5034</v>
      </c>
    </row>
    <row r="2565" spans="1:14" x14ac:dyDescent="0.3">
      <c r="A2565" t="s">
        <v>2589</v>
      </c>
      <c r="B2565" t="s">
        <v>19</v>
      </c>
      <c r="C2565" t="s">
        <v>13</v>
      </c>
      <c r="D2565">
        <v>25</v>
      </c>
      <c r="E2565" t="s">
        <v>26</v>
      </c>
      <c r="F2565" t="s">
        <v>15</v>
      </c>
      <c r="G2565">
        <v>105.95</v>
      </c>
      <c r="H2565">
        <v>2655.25</v>
      </c>
      <c r="I2565" t="s">
        <v>16</v>
      </c>
      <c r="J2565" t="s">
        <v>15</v>
      </c>
      <c r="K2565" t="s">
        <v>21</v>
      </c>
      <c r="L2565">
        <v>2655.25</v>
      </c>
      <c r="M2565" t="s">
        <v>5032</v>
      </c>
      <c r="N2565" t="s">
        <v>5034</v>
      </c>
    </row>
    <row r="2566" spans="1:14" x14ac:dyDescent="0.3">
      <c r="A2566" t="s">
        <v>2590</v>
      </c>
      <c r="B2566" t="s">
        <v>19</v>
      </c>
      <c r="C2566" t="s">
        <v>20</v>
      </c>
      <c r="D2566">
        <v>18</v>
      </c>
      <c r="E2566" t="s">
        <v>14</v>
      </c>
      <c r="F2566" t="s">
        <v>16</v>
      </c>
      <c r="G2566">
        <v>82</v>
      </c>
      <c r="H2566">
        <v>1425.45</v>
      </c>
      <c r="I2566" t="s">
        <v>16</v>
      </c>
      <c r="J2566" t="s">
        <v>16</v>
      </c>
      <c r="K2566" t="s">
        <v>29</v>
      </c>
      <c r="L2566">
        <v>1425.45</v>
      </c>
      <c r="M2566" t="s">
        <v>5032</v>
      </c>
      <c r="N2566" t="s">
        <v>5031</v>
      </c>
    </row>
    <row r="2567" spans="1:14" x14ac:dyDescent="0.3">
      <c r="A2567" t="s">
        <v>2591</v>
      </c>
      <c r="B2567" t="s">
        <v>12</v>
      </c>
      <c r="C2567" t="s">
        <v>35</v>
      </c>
      <c r="D2567">
        <v>13</v>
      </c>
      <c r="E2567" t="s">
        <v>15</v>
      </c>
      <c r="F2567" t="s">
        <v>36</v>
      </c>
      <c r="G2567">
        <v>25</v>
      </c>
      <c r="H2567">
        <v>332.5</v>
      </c>
      <c r="I2567" t="s">
        <v>15</v>
      </c>
      <c r="J2567" t="s">
        <v>16</v>
      </c>
      <c r="K2567" t="s">
        <v>24</v>
      </c>
      <c r="L2567">
        <v>332.5</v>
      </c>
      <c r="M2567" t="s">
        <v>5032</v>
      </c>
      <c r="N2567" t="s">
        <v>5031</v>
      </c>
    </row>
    <row r="2568" spans="1:14" x14ac:dyDescent="0.3">
      <c r="A2568" t="s">
        <v>2592</v>
      </c>
      <c r="B2568" t="s">
        <v>12</v>
      </c>
      <c r="C2568" t="s">
        <v>35</v>
      </c>
      <c r="D2568">
        <v>65</v>
      </c>
      <c r="E2568" t="s">
        <v>14</v>
      </c>
      <c r="F2568" t="s">
        <v>16</v>
      </c>
      <c r="G2568">
        <v>91.55</v>
      </c>
      <c r="H2568">
        <v>5963.95</v>
      </c>
      <c r="I2568" t="s">
        <v>15</v>
      </c>
      <c r="J2568" t="s">
        <v>15</v>
      </c>
      <c r="K2568" t="s">
        <v>24</v>
      </c>
      <c r="L2568">
        <v>5963.95</v>
      </c>
      <c r="M2568" t="s">
        <v>5033</v>
      </c>
      <c r="N2568" t="s">
        <v>5034</v>
      </c>
    </row>
    <row r="2569" spans="1:14" x14ac:dyDescent="0.3">
      <c r="A2569" t="s">
        <v>2593</v>
      </c>
      <c r="B2569" t="s">
        <v>19</v>
      </c>
      <c r="C2569" t="s">
        <v>13</v>
      </c>
      <c r="D2569">
        <v>60</v>
      </c>
      <c r="E2569" t="s">
        <v>26</v>
      </c>
      <c r="F2569" t="s">
        <v>15</v>
      </c>
      <c r="G2569">
        <v>95.75</v>
      </c>
      <c r="H2569">
        <v>5742.9</v>
      </c>
      <c r="I2569" t="s">
        <v>16</v>
      </c>
      <c r="J2569" t="s">
        <v>16</v>
      </c>
      <c r="K2569" t="s">
        <v>17</v>
      </c>
      <c r="L2569">
        <v>5742.9</v>
      </c>
      <c r="M2569" t="s">
        <v>5033</v>
      </c>
      <c r="N2569" t="s">
        <v>5034</v>
      </c>
    </row>
    <row r="2570" spans="1:14" x14ac:dyDescent="0.3">
      <c r="A2570" t="s">
        <v>2594</v>
      </c>
      <c r="B2570" t="s">
        <v>19</v>
      </c>
      <c r="C2570" t="s">
        <v>35</v>
      </c>
      <c r="D2570">
        <v>15</v>
      </c>
      <c r="E2570" t="s">
        <v>15</v>
      </c>
      <c r="F2570" t="s">
        <v>36</v>
      </c>
      <c r="G2570">
        <v>19.350000000000001</v>
      </c>
      <c r="H2570">
        <v>278.85000000000002</v>
      </c>
      <c r="I2570" t="s">
        <v>15</v>
      </c>
      <c r="J2570" t="s">
        <v>15</v>
      </c>
      <c r="K2570" t="s">
        <v>21</v>
      </c>
      <c r="L2570">
        <v>278.85000000000002</v>
      </c>
      <c r="M2570" t="s">
        <v>5032</v>
      </c>
      <c r="N2570" t="s">
        <v>5031</v>
      </c>
    </row>
    <row r="2571" spans="1:14" x14ac:dyDescent="0.3">
      <c r="A2571" t="s">
        <v>2595</v>
      </c>
      <c r="B2571" t="s">
        <v>12</v>
      </c>
      <c r="C2571" t="s">
        <v>35</v>
      </c>
      <c r="D2571">
        <v>72</v>
      </c>
      <c r="E2571" t="s">
        <v>15</v>
      </c>
      <c r="F2571" t="s">
        <v>36</v>
      </c>
      <c r="G2571">
        <v>24.85</v>
      </c>
      <c r="H2571">
        <v>1871.85</v>
      </c>
      <c r="I2571" t="s">
        <v>15</v>
      </c>
      <c r="J2571" t="s">
        <v>15</v>
      </c>
      <c r="K2571" t="s">
        <v>29</v>
      </c>
      <c r="L2571">
        <v>1871.85</v>
      </c>
      <c r="M2571" t="s">
        <v>5033</v>
      </c>
      <c r="N2571" t="s">
        <v>5031</v>
      </c>
    </row>
    <row r="2572" spans="1:14" x14ac:dyDescent="0.3">
      <c r="A2572" t="s">
        <v>2596</v>
      </c>
      <c r="B2572" t="s">
        <v>19</v>
      </c>
      <c r="C2572" t="s">
        <v>13</v>
      </c>
      <c r="D2572">
        <v>30</v>
      </c>
      <c r="E2572" t="s">
        <v>26</v>
      </c>
      <c r="F2572" t="s">
        <v>15</v>
      </c>
      <c r="G2572">
        <v>94.05</v>
      </c>
      <c r="H2572">
        <v>2866.45</v>
      </c>
      <c r="I2572" t="s">
        <v>16</v>
      </c>
      <c r="J2572" t="s">
        <v>16</v>
      </c>
      <c r="K2572" t="s">
        <v>29</v>
      </c>
      <c r="L2572">
        <v>2866.45</v>
      </c>
      <c r="M2572" t="s">
        <v>5032</v>
      </c>
      <c r="N2572" t="s">
        <v>5034</v>
      </c>
    </row>
    <row r="2573" spans="1:14" x14ac:dyDescent="0.3">
      <c r="A2573" t="s">
        <v>2597</v>
      </c>
      <c r="B2573" t="s">
        <v>12</v>
      </c>
      <c r="C2573" t="s">
        <v>35</v>
      </c>
      <c r="D2573">
        <v>42</v>
      </c>
      <c r="E2573" t="s">
        <v>26</v>
      </c>
      <c r="F2573" t="s">
        <v>16</v>
      </c>
      <c r="G2573">
        <v>100.4</v>
      </c>
      <c r="H2573">
        <v>4303.6499999999996</v>
      </c>
      <c r="I2573" t="s">
        <v>15</v>
      </c>
      <c r="J2573" t="s">
        <v>16</v>
      </c>
      <c r="K2573" t="s">
        <v>17</v>
      </c>
      <c r="L2573">
        <v>4303.6499999999996</v>
      </c>
      <c r="M2573" t="s">
        <v>5033</v>
      </c>
      <c r="N2573" t="s">
        <v>5034</v>
      </c>
    </row>
    <row r="2574" spans="1:14" x14ac:dyDescent="0.3">
      <c r="A2574" t="s">
        <v>2598</v>
      </c>
      <c r="B2574" t="s">
        <v>12</v>
      </c>
      <c r="C2574" t="s">
        <v>35</v>
      </c>
      <c r="D2574">
        <v>71</v>
      </c>
      <c r="E2574" t="s">
        <v>15</v>
      </c>
      <c r="F2574" t="s">
        <v>36</v>
      </c>
      <c r="G2574">
        <v>25</v>
      </c>
      <c r="H2574">
        <v>1753</v>
      </c>
      <c r="I2574" t="s">
        <v>15</v>
      </c>
      <c r="J2574" t="s">
        <v>15</v>
      </c>
      <c r="K2574" t="s">
        <v>24</v>
      </c>
      <c r="L2574">
        <v>1753</v>
      </c>
      <c r="M2574" t="s">
        <v>5033</v>
      </c>
      <c r="N2574" t="s">
        <v>5031</v>
      </c>
    </row>
    <row r="2575" spans="1:14" x14ac:dyDescent="0.3">
      <c r="A2575" t="s">
        <v>2599</v>
      </c>
      <c r="B2575" t="s">
        <v>12</v>
      </c>
      <c r="C2575" t="s">
        <v>13</v>
      </c>
      <c r="D2575">
        <v>1</v>
      </c>
      <c r="E2575" t="s">
        <v>14</v>
      </c>
      <c r="F2575" t="s">
        <v>15</v>
      </c>
      <c r="G2575">
        <v>54.75</v>
      </c>
      <c r="H2575">
        <v>54.75</v>
      </c>
      <c r="I2575" t="s">
        <v>16</v>
      </c>
      <c r="J2575" t="s">
        <v>16</v>
      </c>
      <c r="K2575" t="s">
        <v>21</v>
      </c>
      <c r="L2575">
        <v>54.75</v>
      </c>
      <c r="M2575" t="s">
        <v>5030</v>
      </c>
      <c r="N2575" t="s">
        <v>5031</v>
      </c>
    </row>
    <row r="2576" spans="1:14" x14ac:dyDescent="0.3">
      <c r="A2576" t="s">
        <v>2600</v>
      </c>
      <c r="B2576" t="s">
        <v>19</v>
      </c>
      <c r="C2576" t="s">
        <v>13</v>
      </c>
      <c r="D2576">
        <v>39</v>
      </c>
      <c r="E2576" t="s">
        <v>26</v>
      </c>
      <c r="F2576" t="s">
        <v>15</v>
      </c>
      <c r="G2576">
        <v>95.65</v>
      </c>
      <c r="H2576">
        <v>3759.05</v>
      </c>
      <c r="I2576" t="s">
        <v>16</v>
      </c>
      <c r="J2576" t="s">
        <v>16</v>
      </c>
      <c r="K2576" t="s">
        <v>24</v>
      </c>
      <c r="L2576">
        <v>3759.05</v>
      </c>
      <c r="M2576" t="s">
        <v>5033</v>
      </c>
      <c r="N2576" t="s">
        <v>5034</v>
      </c>
    </row>
    <row r="2577" spans="1:14" x14ac:dyDescent="0.3">
      <c r="A2577" t="s">
        <v>2601</v>
      </c>
      <c r="B2577" t="s">
        <v>12</v>
      </c>
      <c r="C2577" t="s">
        <v>13</v>
      </c>
      <c r="D2577">
        <v>35</v>
      </c>
      <c r="E2577" t="s">
        <v>15</v>
      </c>
      <c r="F2577" t="s">
        <v>36</v>
      </c>
      <c r="G2577">
        <v>19.25</v>
      </c>
      <c r="H2577">
        <v>617.65</v>
      </c>
      <c r="I2577" t="s">
        <v>15</v>
      </c>
      <c r="J2577" t="s">
        <v>15</v>
      </c>
      <c r="K2577" t="s">
        <v>24</v>
      </c>
      <c r="L2577">
        <v>617.65</v>
      </c>
      <c r="M2577" t="s">
        <v>5032</v>
      </c>
      <c r="N2577" t="s">
        <v>5031</v>
      </c>
    </row>
    <row r="2578" spans="1:14" x14ac:dyDescent="0.3">
      <c r="A2578" t="s">
        <v>2602</v>
      </c>
      <c r="B2578" t="s">
        <v>12</v>
      </c>
      <c r="C2578" t="s">
        <v>13</v>
      </c>
      <c r="D2578">
        <v>53</v>
      </c>
      <c r="E2578" t="s">
        <v>26</v>
      </c>
      <c r="F2578" t="s">
        <v>16</v>
      </c>
      <c r="G2578">
        <v>108.25</v>
      </c>
      <c r="H2578">
        <v>5935.1</v>
      </c>
      <c r="I2578" t="s">
        <v>15</v>
      </c>
      <c r="J2578" t="s">
        <v>16</v>
      </c>
      <c r="K2578" t="s">
        <v>24</v>
      </c>
      <c r="L2578">
        <v>5935.1</v>
      </c>
      <c r="M2578" t="s">
        <v>5033</v>
      </c>
      <c r="N2578" t="s">
        <v>5034</v>
      </c>
    </row>
    <row r="2579" spans="1:14" x14ac:dyDescent="0.3">
      <c r="A2579" t="s">
        <v>2603</v>
      </c>
      <c r="B2579" t="s">
        <v>12</v>
      </c>
      <c r="C2579" t="s">
        <v>13</v>
      </c>
      <c r="D2579">
        <v>1</v>
      </c>
      <c r="E2579" t="s">
        <v>26</v>
      </c>
      <c r="F2579" t="s">
        <v>15</v>
      </c>
      <c r="G2579">
        <v>94.6</v>
      </c>
      <c r="H2579">
        <v>94.6</v>
      </c>
      <c r="I2579" t="s">
        <v>16</v>
      </c>
      <c r="J2579" t="s">
        <v>16</v>
      </c>
      <c r="K2579" t="s">
        <v>17</v>
      </c>
      <c r="L2579">
        <v>94.6</v>
      </c>
      <c r="M2579" t="s">
        <v>5030</v>
      </c>
      <c r="N2579" t="s">
        <v>5031</v>
      </c>
    </row>
    <row r="2580" spans="1:14" x14ac:dyDescent="0.3">
      <c r="A2580" t="s">
        <v>2604</v>
      </c>
      <c r="B2580" t="s">
        <v>12</v>
      </c>
      <c r="C2580" t="s">
        <v>13</v>
      </c>
      <c r="D2580">
        <v>31</v>
      </c>
      <c r="E2580" t="s">
        <v>26</v>
      </c>
      <c r="F2580" t="s">
        <v>16</v>
      </c>
      <c r="G2580">
        <v>98.9</v>
      </c>
      <c r="H2580">
        <v>2911.3</v>
      </c>
      <c r="I2580" t="s">
        <v>16</v>
      </c>
      <c r="J2580" t="s">
        <v>16</v>
      </c>
      <c r="K2580" t="s">
        <v>17</v>
      </c>
      <c r="L2580">
        <v>2911.3</v>
      </c>
      <c r="M2580" t="s">
        <v>5032</v>
      </c>
      <c r="N2580" t="s">
        <v>5034</v>
      </c>
    </row>
    <row r="2581" spans="1:14" x14ac:dyDescent="0.3">
      <c r="A2581" t="s">
        <v>2605</v>
      </c>
      <c r="B2581" t="s">
        <v>19</v>
      </c>
      <c r="C2581" t="s">
        <v>35</v>
      </c>
      <c r="D2581">
        <v>48</v>
      </c>
      <c r="E2581" t="s">
        <v>15</v>
      </c>
      <c r="F2581" t="s">
        <v>36</v>
      </c>
      <c r="G2581">
        <v>20.149999999999999</v>
      </c>
      <c r="H2581">
        <v>982.95</v>
      </c>
      <c r="I2581" t="s">
        <v>15</v>
      </c>
      <c r="J2581" t="s">
        <v>15</v>
      </c>
      <c r="K2581" t="s">
        <v>29</v>
      </c>
      <c r="L2581">
        <v>982.95</v>
      </c>
      <c r="M2581" t="s">
        <v>5033</v>
      </c>
      <c r="N2581" t="s">
        <v>5031</v>
      </c>
    </row>
    <row r="2582" spans="1:14" x14ac:dyDescent="0.3">
      <c r="A2582" t="s">
        <v>2606</v>
      </c>
      <c r="B2582" t="s">
        <v>12</v>
      </c>
      <c r="C2582" t="s">
        <v>13</v>
      </c>
      <c r="D2582">
        <v>30</v>
      </c>
      <c r="E2582" t="s">
        <v>26</v>
      </c>
      <c r="F2582" t="s">
        <v>16</v>
      </c>
      <c r="G2582">
        <v>101.3</v>
      </c>
      <c r="H2582">
        <v>2974.5</v>
      </c>
      <c r="I2582" t="s">
        <v>15</v>
      </c>
      <c r="J2582" t="s">
        <v>16</v>
      </c>
      <c r="K2582" t="s">
        <v>17</v>
      </c>
      <c r="L2582">
        <v>2974.5</v>
      </c>
      <c r="M2582" t="s">
        <v>5032</v>
      </c>
      <c r="N2582" t="s">
        <v>5034</v>
      </c>
    </row>
    <row r="2583" spans="1:14" x14ac:dyDescent="0.3">
      <c r="A2583" t="s">
        <v>2607</v>
      </c>
      <c r="B2583" t="s">
        <v>19</v>
      </c>
      <c r="C2583" t="s">
        <v>13</v>
      </c>
      <c r="D2583">
        <v>10</v>
      </c>
      <c r="E2583" t="s">
        <v>15</v>
      </c>
      <c r="F2583" t="s">
        <v>36</v>
      </c>
      <c r="G2583">
        <v>20</v>
      </c>
      <c r="H2583">
        <v>198.7</v>
      </c>
      <c r="I2583" t="s">
        <v>15</v>
      </c>
      <c r="J2583" t="s">
        <v>15</v>
      </c>
      <c r="K2583" t="s">
        <v>29</v>
      </c>
      <c r="L2583">
        <v>198.7</v>
      </c>
      <c r="M2583" t="s">
        <v>5030</v>
      </c>
      <c r="N2583" t="s">
        <v>5031</v>
      </c>
    </row>
    <row r="2584" spans="1:14" x14ac:dyDescent="0.3">
      <c r="A2584" t="s">
        <v>2608</v>
      </c>
      <c r="B2584" t="s">
        <v>12</v>
      </c>
      <c r="C2584" t="s">
        <v>13</v>
      </c>
      <c r="D2584">
        <v>12</v>
      </c>
      <c r="E2584" t="s">
        <v>26</v>
      </c>
      <c r="F2584" t="s">
        <v>15</v>
      </c>
      <c r="G2584">
        <v>105.3</v>
      </c>
      <c r="H2584">
        <v>1275.6500000000001</v>
      </c>
      <c r="I2584" t="s">
        <v>15</v>
      </c>
      <c r="J2584" t="s">
        <v>16</v>
      </c>
      <c r="K2584" t="s">
        <v>17</v>
      </c>
      <c r="L2584">
        <v>1275.6500000000001</v>
      </c>
      <c r="M2584" t="s">
        <v>5030</v>
      </c>
      <c r="N2584" t="s">
        <v>5031</v>
      </c>
    </row>
    <row r="2585" spans="1:14" x14ac:dyDescent="0.3">
      <c r="A2585" t="s">
        <v>2609</v>
      </c>
      <c r="B2585" t="s">
        <v>12</v>
      </c>
      <c r="C2585" t="s">
        <v>35</v>
      </c>
      <c r="D2585">
        <v>57</v>
      </c>
      <c r="E2585" t="s">
        <v>14</v>
      </c>
      <c r="F2585" t="s">
        <v>16</v>
      </c>
      <c r="G2585">
        <v>69.849999999999994</v>
      </c>
      <c r="H2585">
        <v>4003</v>
      </c>
      <c r="I2585" t="s">
        <v>15</v>
      </c>
      <c r="J2585" t="s">
        <v>15</v>
      </c>
      <c r="K2585" t="s">
        <v>24</v>
      </c>
      <c r="L2585">
        <v>4003</v>
      </c>
      <c r="M2585" t="s">
        <v>5033</v>
      </c>
      <c r="N2585" t="s">
        <v>5034</v>
      </c>
    </row>
    <row r="2586" spans="1:14" x14ac:dyDescent="0.3">
      <c r="A2586" t="s">
        <v>2610</v>
      </c>
      <c r="B2586" t="s">
        <v>12</v>
      </c>
      <c r="C2586" t="s">
        <v>13</v>
      </c>
      <c r="D2586">
        <v>58</v>
      </c>
      <c r="E2586" t="s">
        <v>14</v>
      </c>
      <c r="F2586" t="s">
        <v>15</v>
      </c>
      <c r="G2586">
        <v>65.25</v>
      </c>
      <c r="H2586">
        <v>3791.6</v>
      </c>
      <c r="I2586" t="s">
        <v>15</v>
      </c>
      <c r="J2586" t="s">
        <v>16</v>
      </c>
      <c r="K2586" t="s">
        <v>29</v>
      </c>
      <c r="L2586">
        <v>3791.6</v>
      </c>
      <c r="M2586" t="s">
        <v>5033</v>
      </c>
      <c r="N2586" t="s">
        <v>5034</v>
      </c>
    </row>
    <row r="2587" spans="1:14" x14ac:dyDescent="0.3">
      <c r="A2587" t="s">
        <v>2611</v>
      </c>
      <c r="B2587" t="s">
        <v>12</v>
      </c>
      <c r="C2587" t="s">
        <v>35</v>
      </c>
      <c r="D2587">
        <v>37</v>
      </c>
      <c r="E2587" t="s">
        <v>15</v>
      </c>
      <c r="F2587" t="s">
        <v>36</v>
      </c>
      <c r="G2587">
        <v>19.8</v>
      </c>
      <c r="H2587">
        <v>813.3</v>
      </c>
      <c r="I2587" t="s">
        <v>15</v>
      </c>
      <c r="J2587" t="s">
        <v>15</v>
      </c>
      <c r="K2587" t="s">
        <v>21</v>
      </c>
      <c r="L2587">
        <v>813.3</v>
      </c>
      <c r="M2587" t="s">
        <v>5033</v>
      </c>
      <c r="N2587" t="s">
        <v>5031</v>
      </c>
    </row>
    <row r="2588" spans="1:14" x14ac:dyDescent="0.3">
      <c r="A2588" t="s">
        <v>2612</v>
      </c>
      <c r="B2588" t="s">
        <v>12</v>
      </c>
      <c r="C2588" t="s">
        <v>13</v>
      </c>
      <c r="D2588">
        <v>44</v>
      </c>
      <c r="E2588" t="s">
        <v>15</v>
      </c>
      <c r="F2588" t="s">
        <v>36</v>
      </c>
      <c r="G2588">
        <v>19.600000000000001</v>
      </c>
      <c r="H2588">
        <v>780.25</v>
      </c>
      <c r="I2588" t="s">
        <v>15</v>
      </c>
      <c r="J2588" t="s">
        <v>15</v>
      </c>
      <c r="K2588" t="s">
        <v>21</v>
      </c>
      <c r="L2588">
        <v>780.25</v>
      </c>
      <c r="M2588" t="s">
        <v>5033</v>
      </c>
      <c r="N2588" t="s">
        <v>5031</v>
      </c>
    </row>
    <row r="2589" spans="1:14" x14ac:dyDescent="0.3">
      <c r="A2589" t="s">
        <v>2613</v>
      </c>
      <c r="B2589" t="s">
        <v>19</v>
      </c>
      <c r="C2589" t="s">
        <v>20</v>
      </c>
      <c r="D2589">
        <v>27</v>
      </c>
      <c r="E2589" t="s">
        <v>15</v>
      </c>
      <c r="F2589" t="s">
        <v>36</v>
      </c>
      <c r="G2589">
        <v>20.05</v>
      </c>
      <c r="H2589">
        <v>552.9</v>
      </c>
      <c r="I2589" t="s">
        <v>15</v>
      </c>
      <c r="J2589" t="s">
        <v>15</v>
      </c>
      <c r="K2589" t="s">
        <v>29</v>
      </c>
      <c r="L2589">
        <v>552.9</v>
      </c>
      <c r="M2589" t="s">
        <v>5032</v>
      </c>
      <c r="N2589" t="s">
        <v>5031</v>
      </c>
    </row>
    <row r="2590" spans="1:14" x14ac:dyDescent="0.3">
      <c r="A2590" t="s">
        <v>2614</v>
      </c>
      <c r="B2590" t="s">
        <v>12</v>
      </c>
      <c r="C2590" t="s">
        <v>13</v>
      </c>
      <c r="D2590">
        <v>8</v>
      </c>
      <c r="E2590" t="s">
        <v>14</v>
      </c>
      <c r="F2590" t="s">
        <v>16</v>
      </c>
      <c r="G2590">
        <v>49.4</v>
      </c>
      <c r="H2590">
        <v>408.25</v>
      </c>
      <c r="I2590" t="s">
        <v>15</v>
      </c>
      <c r="J2590" t="s">
        <v>15</v>
      </c>
      <c r="K2590" t="s">
        <v>17</v>
      </c>
      <c r="L2590">
        <v>408.25</v>
      </c>
      <c r="M2590" t="s">
        <v>5030</v>
      </c>
      <c r="N2590" t="s">
        <v>5031</v>
      </c>
    </row>
    <row r="2591" spans="1:14" x14ac:dyDescent="0.3">
      <c r="A2591" t="s">
        <v>2615</v>
      </c>
      <c r="B2591" t="s">
        <v>19</v>
      </c>
      <c r="C2591" t="s">
        <v>13</v>
      </c>
      <c r="D2591">
        <v>3</v>
      </c>
      <c r="E2591" t="s">
        <v>26</v>
      </c>
      <c r="F2591" t="s">
        <v>15</v>
      </c>
      <c r="G2591">
        <v>76.05</v>
      </c>
      <c r="H2591">
        <v>231.8</v>
      </c>
      <c r="I2591" t="s">
        <v>16</v>
      </c>
      <c r="J2591" t="s">
        <v>16</v>
      </c>
      <c r="K2591" t="s">
        <v>17</v>
      </c>
      <c r="L2591">
        <v>231.8</v>
      </c>
      <c r="M2591" t="s">
        <v>5030</v>
      </c>
      <c r="N2591" t="s">
        <v>5031</v>
      </c>
    </row>
    <row r="2592" spans="1:14" x14ac:dyDescent="0.3">
      <c r="A2592" t="s">
        <v>2616</v>
      </c>
      <c r="B2592" t="s">
        <v>12</v>
      </c>
      <c r="C2592" t="s">
        <v>13</v>
      </c>
      <c r="D2592">
        <v>25</v>
      </c>
      <c r="E2592" t="s">
        <v>26</v>
      </c>
      <c r="F2592" t="s">
        <v>15</v>
      </c>
      <c r="G2592">
        <v>88.4</v>
      </c>
      <c r="H2592">
        <v>2191.15</v>
      </c>
      <c r="I2592" t="s">
        <v>15</v>
      </c>
      <c r="J2592" t="s">
        <v>15</v>
      </c>
      <c r="K2592" t="s">
        <v>24</v>
      </c>
      <c r="L2592">
        <v>2191.15</v>
      </c>
      <c r="M2592" t="s">
        <v>5032</v>
      </c>
      <c r="N2592" t="s">
        <v>5031</v>
      </c>
    </row>
    <row r="2593" spans="1:14" x14ac:dyDescent="0.3">
      <c r="A2593" t="s">
        <v>2617</v>
      </c>
      <c r="B2593" t="s">
        <v>12</v>
      </c>
      <c r="C2593" t="s">
        <v>13</v>
      </c>
      <c r="D2593">
        <v>57</v>
      </c>
      <c r="E2593" t="s">
        <v>26</v>
      </c>
      <c r="F2593" t="s">
        <v>15</v>
      </c>
      <c r="G2593">
        <v>100.6</v>
      </c>
      <c r="H2593">
        <v>5611.7</v>
      </c>
      <c r="I2593" t="s">
        <v>15</v>
      </c>
      <c r="J2593" t="s">
        <v>16</v>
      </c>
      <c r="K2593" t="s">
        <v>17</v>
      </c>
      <c r="L2593">
        <v>5611.7</v>
      </c>
      <c r="M2593" t="s">
        <v>5033</v>
      </c>
      <c r="N2593" t="s">
        <v>5034</v>
      </c>
    </row>
    <row r="2594" spans="1:14" x14ac:dyDescent="0.3">
      <c r="A2594" t="s">
        <v>2618</v>
      </c>
      <c r="B2594" t="s">
        <v>12</v>
      </c>
      <c r="C2594" t="s">
        <v>13</v>
      </c>
      <c r="D2594">
        <v>12</v>
      </c>
      <c r="E2594" t="s">
        <v>15</v>
      </c>
      <c r="F2594" t="s">
        <v>36</v>
      </c>
      <c r="G2594">
        <v>19.45</v>
      </c>
      <c r="H2594">
        <v>246.25</v>
      </c>
      <c r="I2594" t="s">
        <v>15</v>
      </c>
      <c r="J2594" t="s">
        <v>15</v>
      </c>
      <c r="K2594" t="s">
        <v>21</v>
      </c>
      <c r="L2594">
        <v>246.25</v>
      </c>
      <c r="M2594" t="s">
        <v>5030</v>
      </c>
      <c r="N2594" t="s">
        <v>5031</v>
      </c>
    </row>
    <row r="2595" spans="1:14" x14ac:dyDescent="0.3">
      <c r="A2595" t="s">
        <v>2619</v>
      </c>
      <c r="B2595" t="s">
        <v>12</v>
      </c>
      <c r="C2595" t="s">
        <v>35</v>
      </c>
      <c r="D2595">
        <v>62</v>
      </c>
      <c r="E2595" t="s">
        <v>15</v>
      </c>
      <c r="F2595" t="s">
        <v>36</v>
      </c>
      <c r="G2595">
        <v>20.3</v>
      </c>
      <c r="H2595">
        <v>1296.1500000000001</v>
      </c>
      <c r="I2595" t="s">
        <v>15</v>
      </c>
      <c r="J2595" t="s">
        <v>15</v>
      </c>
      <c r="K2595" t="s">
        <v>24</v>
      </c>
      <c r="L2595">
        <v>1296.1500000000001</v>
      </c>
      <c r="M2595" t="s">
        <v>5033</v>
      </c>
      <c r="N2595" t="s">
        <v>5031</v>
      </c>
    </row>
    <row r="2596" spans="1:14" x14ac:dyDescent="0.3">
      <c r="A2596" t="s">
        <v>2620</v>
      </c>
      <c r="B2596" t="s">
        <v>12</v>
      </c>
      <c r="C2596" t="s">
        <v>35</v>
      </c>
      <c r="D2596">
        <v>65</v>
      </c>
      <c r="E2596" t="s">
        <v>26</v>
      </c>
      <c r="F2596" t="s">
        <v>16</v>
      </c>
      <c r="G2596">
        <v>107.65</v>
      </c>
      <c r="H2596">
        <v>7082.85</v>
      </c>
      <c r="I2596" t="s">
        <v>15</v>
      </c>
      <c r="J2596" t="s">
        <v>16</v>
      </c>
      <c r="K2596" t="s">
        <v>24</v>
      </c>
      <c r="L2596">
        <v>7082.85</v>
      </c>
      <c r="M2596" t="s">
        <v>5033</v>
      </c>
      <c r="N2596" t="s">
        <v>5034</v>
      </c>
    </row>
    <row r="2597" spans="1:14" x14ac:dyDescent="0.3">
      <c r="A2597" t="s">
        <v>2621</v>
      </c>
      <c r="B2597" t="s">
        <v>12</v>
      </c>
      <c r="C2597" t="s">
        <v>35</v>
      </c>
      <c r="D2597">
        <v>71</v>
      </c>
      <c r="E2597" t="s">
        <v>14</v>
      </c>
      <c r="F2597" t="s">
        <v>16</v>
      </c>
      <c r="G2597">
        <v>80.45</v>
      </c>
      <c r="H2597">
        <v>5662.25</v>
      </c>
      <c r="I2597" t="s">
        <v>15</v>
      </c>
      <c r="J2597" t="s">
        <v>16</v>
      </c>
      <c r="K2597" t="s">
        <v>24</v>
      </c>
      <c r="L2597">
        <v>5662.25</v>
      </c>
      <c r="M2597" t="s">
        <v>5033</v>
      </c>
      <c r="N2597" t="s">
        <v>5034</v>
      </c>
    </row>
    <row r="2598" spans="1:14" x14ac:dyDescent="0.3">
      <c r="A2598" t="s">
        <v>2622</v>
      </c>
      <c r="B2598" t="s">
        <v>12</v>
      </c>
      <c r="C2598" t="s">
        <v>20</v>
      </c>
      <c r="D2598">
        <v>21</v>
      </c>
      <c r="E2598" t="s">
        <v>14</v>
      </c>
      <c r="F2598" t="s">
        <v>15</v>
      </c>
      <c r="G2598">
        <v>58.85</v>
      </c>
      <c r="H2598">
        <v>1215.45</v>
      </c>
      <c r="I2598" t="s">
        <v>15</v>
      </c>
      <c r="J2598" t="s">
        <v>16</v>
      </c>
      <c r="K2598" t="s">
        <v>29</v>
      </c>
      <c r="L2598">
        <v>1215.45</v>
      </c>
      <c r="M2598" t="s">
        <v>5032</v>
      </c>
      <c r="N2598" t="s">
        <v>5031</v>
      </c>
    </row>
    <row r="2599" spans="1:14" x14ac:dyDescent="0.3">
      <c r="A2599" t="s">
        <v>2623</v>
      </c>
      <c r="B2599" t="s">
        <v>19</v>
      </c>
      <c r="C2599" t="s">
        <v>20</v>
      </c>
      <c r="D2599">
        <v>71</v>
      </c>
      <c r="E2599" t="s">
        <v>26</v>
      </c>
      <c r="F2599" t="s">
        <v>15</v>
      </c>
      <c r="G2599">
        <v>109.6</v>
      </c>
      <c r="H2599">
        <v>7854.15</v>
      </c>
      <c r="I2599" t="s">
        <v>15</v>
      </c>
      <c r="J2599" t="s">
        <v>16</v>
      </c>
      <c r="K2599" t="s">
        <v>17</v>
      </c>
      <c r="L2599">
        <v>7854.15</v>
      </c>
      <c r="M2599" t="s">
        <v>5033</v>
      </c>
      <c r="N2599" t="s">
        <v>5034</v>
      </c>
    </row>
    <row r="2600" spans="1:14" x14ac:dyDescent="0.3">
      <c r="A2600" t="s">
        <v>2624</v>
      </c>
      <c r="B2600" t="s">
        <v>12</v>
      </c>
      <c r="C2600" t="s">
        <v>13</v>
      </c>
      <c r="D2600">
        <v>7</v>
      </c>
      <c r="E2600" t="s">
        <v>26</v>
      </c>
      <c r="F2600" t="s">
        <v>15</v>
      </c>
      <c r="G2600">
        <v>75.150000000000006</v>
      </c>
      <c r="H2600">
        <v>525</v>
      </c>
      <c r="I2600" t="s">
        <v>15</v>
      </c>
      <c r="J2600" t="s">
        <v>16</v>
      </c>
      <c r="K2600" t="s">
        <v>17</v>
      </c>
      <c r="L2600">
        <v>525</v>
      </c>
      <c r="M2600" t="s">
        <v>5030</v>
      </c>
      <c r="N2600" t="s">
        <v>5031</v>
      </c>
    </row>
    <row r="2601" spans="1:14" x14ac:dyDescent="0.3">
      <c r="A2601" t="s">
        <v>2625</v>
      </c>
      <c r="B2601" t="s">
        <v>12</v>
      </c>
      <c r="C2601" t="s">
        <v>35</v>
      </c>
      <c r="D2601">
        <v>72</v>
      </c>
      <c r="E2601" t="s">
        <v>14</v>
      </c>
      <c r="F2601" t="s">
        <v>16</v>
      </c>
      <c r="G2601">
        <v>73</v>
      </c>
      <c r="H2601">
        <v>5265.2</v>
      </c>
      <c r="I2601" t="s">
        <v>15</v>
      </c>
      <c r="J2601" t="s">
        <v>16</v>
      </c>
      <c r="K2601" t="s">
        <v>29</v>
      </c>
      <c r="L2601">
        <v>5265.2</v>
      </c>
      <c r="M2601" t="s">
        <v>5033</v>
      </c>
      <c r="N2601" t="s">
        <v>5034</v>
      </c>
    </row>
    <row r="2602" spans="1:14" x14ac:dyDescent="0.3">
      <c r="A2602" t="s">
        <v>2626</v>
      </c>
      <c r="B2602" t="s">
        <v>12</v>
      </c>
      <c r="C2602" t="s">
        <v>13</v>
      </c>
      <c r="D2602">
        <v>1</v>
      </c>
      <c r="E2602" t="s">
        <v>26</v>
      </c>
      <c r="F2602" t="s">
        <v>15</v>
      </c>
      <c r="G2602">
        <v>70.099999999999994</v>
      </c>
      <c r="H2602">
        <v>70.099999999999994</v>
      </c>
      <c r="I2602" t="s">
        <v>15</v>
      </c>
      <c r="J2602" t="s">
        <v>15</v>
      </c>
      <c r="K2602" t="s">
        <v>17</v>
      </c>
      <c r="L2602">
        <v>70.099999999999994</v>
      </c>
      <c r="M2602" t="s">
        <v>5030</v>
      </c>
      <c r="N2602" t="s">
        <v>5031</v>
      </c>
    </row>
    <row r="2603" spans="1:14" x14ac:dyDescent="0.3">
      <c r="A2603" t="s">
        <v>2627</v>
      </c>
      <c r="B2603" t="s">
        <v>12</v>
      </c>
      <c r="C2603" t="s">
        <v>35</v>
      </c>
      <c r="D2603">
        <v>72</v>
      </c>
      <c r="E2603" t="s">
        <v>26</v>
      </c>
      <c r="F2603" t="s">
        <v>16</v>
      </c>
      <c r="G2603">
        <v>98.65</v>
      </c>
      <c r="H2603">
        <v>7129.45</v>
      </c>
      <c r="I2603" t="s">
        <v>15</v>
      </c>
      <c r="J2603" t="s">
        <v>16</v>
      </c>
      <c r="K2603" t="s">
        <v>24</v>
      </c>
      <c r="L2603">
        <v>7129.45</v>
      </c>
      <c r="M2603" t="s">
        <v>5033</v>
      </c>
      <c r="N2603" t="s">
        <v>5034</v>
      </c>
    </row>
    <row r="2604" spans="1:14" x14ac:dyDescent="0.3">
      <c r="A2604" t="s">
        <v>2628</v>
      </c>
      <c r="B2604" t="s">
        <v>12</v>
      </c>
      <c r="C2604" t="s">
        <v>20</v>
      </c>
      <c r="D2604">
        <v>64</v>
      </c>
      <c r="E2604" t="s">
        <v>26</v>
      </c>
      <c r="F2604" t="s">
        <v>16</v>
      </c>
      <c r="G2604">
        <v>111.45</v>
      </c>
      <c r="H2604">
        <v>7266.95</v>
      </c>
      <c r="I2604" t="s">
        <v>15</v>
      </c>
      <c r="J2604" t="s">
        <v>16</v>
      </c>
      <c r="K2604" t="s">
        <v>17</v>
      </c>
      <c r="L2604">
        <v>7266.95</v>
      </c>
      <c r="M2604" t="s">
        <v>5033</v>
      </c>
      <c r="N2604" t="s">
        <v>5034</v>
      </c>
    </row>
    <row r="2605" spans="1:14" x14ac:dyDescent="0.3">
      <c r="A2605" t="s">
        <v>2629</v>
      </c>
      <c r="B2605" t="s">
        <v>12</v>
      </c>
      <c r="C2605" t="s">
        <v>35</v>
      </c>
      <c r="D2605">
        <v>72</v>
      </c>
      <c r="E2605" t="s">
        <v>26</v>
      </c>
      <c r="F2605" t="s">
        <v>16</v>
      </c>
      <c r="G2605">
        <v>114.9</v>
      </c>
      <c r="H2605">
        <v>8496.7000000000007</v>
      </c>
      <c r="I2605" t="s">
        <v>15</v>
      </c>
      <c r="J2605" t="s">
        <v>16</v>
      </c>
      <c r="K2605" t="s">
        <v>17</v>
      </c>
      <c r="L2605">
        <v>8496.7000000000007</v>
      </c>
      <c r="M2605" t="s">
        <v>5033</v>
      </c>
      <c r="N2605" t="s">
        <v>5034</v>
      </c>
    </row>
    <row r="2606" spans="1:14" x14ac:dyDescent="0.3">
      <c r="A2606" t="s">
        <v>2630</v>
      </c>
      <c r="B2606" t="s">
        <v>12</v>
      </c>
      <c r="C2606" t="s">
        <v>13</v>
      </c>
      <c r="D2606">
        <v>29</v>
      </c>
      <c r="E2606" t="s">
        <v>26</v>
      </c>
      <c r="F2606" t="s">
        <v>15</v>
      </c>
      <c r="G2606">
        <v>100.55</v>
      </c>
      <c r="H2606">
        <v>2878.75</v>
      </c>
      <c r="I2606" t="s">
        <v>15</v>
      </c>
      <c r="J2606" t="s">
        <v>15</v>
      </c>
      <c r="K2606" t="s">
        <v>24</v>
      </c>
      <c r="L2606">
        <v>2878.75</v>
      </c>
      <c r="M2606" t="s">
        <v>5032</v>
      </c>
      <c r="N2606" t="s">
        <v>5034</v>
      </c>
    </row>
    <row r="2607" spans="1:14" x14ac:dyDescent="0.3">
      <c r="A2607" t="s">
        <v>2631</v>
      </c>
      <c r="B2607" t="s">
        <v>12</v>
      </c>
      <c r="C2607" t="s">
        <v>35</v>
      </c>
      <c r="D2607">
        <v>13</v>
      </c>
      <c r="E2607" t="s">
        <v>15</v>
      </c>
      <c r="F2607" t="s">
        <v>36</v>
      </c>
      <c r="G2607">
        <v>20.399999999999999</v>
      </c>
      <c r="H2607">
        <v>261.3</v>
      </c>
      <c r="I2607" t="s">
        <v>15</v>
      </c>
      <c r="J2607" t="s">
        <v>16</v>
      </c>
      <c r="K2607" t="s">
        <v>21</v>
      </c>
      <c r="L2607">
        <v>261.3</v>
      </c>
      <c r="M2607" t="s">
        <v>5032</v>
      </c>
      <c r="N2607" t="s">
        <v>5031</v>
      </c>
    </row>
    <row r="2608" spans="1:14" x14ac:dyDescent="0.3">
      <c r="A2608" t="s">
        <v>2632</v>
      </c>
      <c r="B2608" t="s">
        <v>12</v>
      </c>
      <c r="C2608" t="s">
        <v>13</v>
      </c>
      <c r="D2608">
        <v>31</v>
      </c>
      <c r="E2608" t="s">
        <v>26</v>
      </c>
      <c r="F2608" t="s">
        <v>15</v>
      </c>
      <c r="G2608">
        <v>104.35</v>
      </c>
      <c r="H2608">
        <v>3205.6</v>
      </c>
      <c r="I2608" t="s">
        <v>15</v>
      </c>
      <c r="J2608" t="s">
        <v>15</v>
      </c>
      <c r="K2608" t="s">
        <v>17</v>
      </c>
      <c r="L2608">
        <v>3205.6</v>
      </c>
      <c r="M2608" t="s">
        <v>5032</v>
      </c>
      <c r="N2608" t="s">
        <v>5034</v>
      </c>
    </row>
    <row r="2609" spans="1:14" x14ac:dyDescent="0.3">
      <c r="A2609" t="s">
        <v>2633</v>
      </c>
      <c r="B2609" t="s">
        <v>19</v>
      </c>
      <c r="C2609" t="s">
        <v>13</v>
      </c>
      <c r="D2609">
        <v>1</v>
      </c>
      <c r="E2609" t="s">
        <v>26</v>
      </c>
      <c r="F2609" t="s">
        <v>15</v>
      </c>
      <c r="G2609">
        <v>69.75</v>
      </c>
      <c r="H2609">
        <v>69.75</v>
      </c>
      <c r="I2609" t="s">
        <v>16</v>
      </c>
      <c r="J2609" t="s">
        <v>16</v>
      </c>
      <c r="K2609" t="s">
        <v>17</v>
      </c>
      <c r="L2609">
        <v>69.75</v>
      </c>
      <c r="M2609" t="s">
        <v>5030</v>
      </c>
      <c r="N2609" t="s">
        <v>5031</v>
      </c>
    </row>
    <row r="2610" spans="1:14" x14ac:dyDescent="0.3">
      <c r="A2610" t="s">
        <v>2634</v>
      </c>
      <c r="B2610" t="s">
        <v>19</v>
      </c>
      <c r="C2610" t="s">
        <v>13</v>
      </c>
      <c r="D2610">
        <v>7</v>
      </c>
      <c r="E2610" t="s">
        <v>14</v>
      </c>
      <c r="F2610" t="s">
        <v>16</v>
      </c>
      <c r="G2610">
        <v>34.5</v>
      </c>
      <c r="H2610">
        <v>279.25</v>
      </c>
      <c r="I2610" t="s">
        <v>16</v>
      </c>
      <c r="J2610" t="s">
        <v>16</v>
      </c>
      <c r="K2610" t="s">
        <v>17</v>
      </c>
      <c r="L2610">
        <v>279.25</v>
      </c>
      <c r="M2610" t="s">
        <v>5030</v>
      </c>
      <c r="N2610" t="s">
        <v>5031</v>
      </c>
    </row>
    <row r="2611" spans="1:14" x14ac:dyDescent="0.3">
      <c r="A2611" t="s">
        <v>2635</v>
      </c>
      <c r="B2611" t="s">
        <v>19</v>
      </c>
      <c r="C2611" t="s">
        <v>13</v>
      </c>
      <c r="D2611">
        <v>61</v>
      </c>
      <c r="E2611" t="s">
        <v>26</v>
      </c>
      <c r="F2611" t="s">
        <v>15</v>
      </c>
      <c r="G2611">
        <v>105.55</v>
      </c>
      <c r="H2611">
        <v>6281.45</v>
      </c>
      <c r="I2611" t="s">
        <v>16</v>
      </c>
      <c r="J2611" t="s">
        <v>16</v>
      </c>
      <c r="K2611" t="s">
        <v>17</v>
      </c>
      <c r="L2611">
        <v>6281.45</v>
      </c>
      <c r="M2611" t="s">
        <v>5033</v>
      </c>
      <c r="N2611" t="s">
        <v>5034</v>
      </c>
    </row>
    <row r="2612" spans="1:14" x14ac:dyDescent="0.3">
      <c r="A2612" t="s">
        <v>2636</v>
      </c>
      <c r="B2612" t="s">
        <v>12</v>
      </c>
      <c r="C2612" t="s">
        <v>13</v>
      </c>
      <c r="D2612">
        <v>39</v>
      </c>
      <c r="E2612" t="s">
        <v>14</v>
      </c>
      <c r="F2612" t="s">
        <v>15</v>
      </c>
      <c r="G2612">
        <v>30.1</v>
      </c>
      <c r="H2612">
        <v>1131.3</v>
      </c>
      <c r="I2612" t="s">
        <v>16</v>
      </c>
      <c r="J2612" t="s">
        <v>15</v>
      </c>
      <c r="K2612" t="s">
        <v>29</v>
      </c>
      <c r="L2612">
        <v>1131.3</v>
      </c>
      <c r="M2612" t="s">
        <v>5033</v>
      </c>
      <c r="N2612" t="s">
        <v>5031</v>
      </c>
    </row>
    <row r="2613" spans="1:14" x14ac:dyDescent="0.3">
      <c r="A2613" t="s">
        <v>2637</v>
      </c>
      <c r="B2613" t="s">
        <v>19</v>
      </c>
      <c r="C2613" t="s">
        <v>13</v>
      </c>
      <c r="D2613">
        <v>10</v>
      </c>
      <c r="E2613" t="s">
        <v>26</v>
      </c>
      <c r="F2613" t="s">
        <v>15</v>
      </c>
      <c r="G2613">
        <v>70.3</v>
      </c>
      <c r="H2613">
        <v>738.2</v>
      </c>
      <c r="I2613" t="s">
        <v>16</v>
      </c>
      <c r="J2613" t="s">
        <v>16</v>
      </c>
      <c r="K2613" t="s">
        <v>17</v>
      </c>
      <c r="L2613">
        <v>738.2</v>
      </c>
      <c r="M2613" t="s">
        <v>5030</v>
      </c>
      <c r="N2613" t="s">
        <v>5031</v>
      </c>
    </row>
    <row r="2614" spans="1:14" x14ac:dyDescent="0.3">
      <c r="A2614" t="s">
        <v>2638</v>
      </c>
      <c r="B2614" t="s">
        <v>12</v>
      </c>
      <c r="C2614" t="s">
        <v>13</v>
      </c>
      <c r="D2614">
        <v>14</v>
      </c>
      <c r="E2614" t="s">
        <v>14</v>
      </c>
      <c r="F2614" t="s">
        <v>16</v>
      </c>
      <c r="G2614">
        <v>80.45</v>
      </c>
      <c r="H2614">
        <v>1137.05</v>
      </c>
      <c r="I2614" t="s">
        <v>15</v>
      </c>
      <c r="J2614" t="s">
        <v>15</v>
      </c>
      <c r="K2614" t="s">
        <v>29</v>
      </c>
      <c r="L2614">
        <v>1137.05</v>
      </c>
      <c r="M2614" t="s">
        <v>5032</v>
      </c>
      <c r="N2614" t="s">
        <v>5031</v>
      </c>
    </row>
    <row r="2615" spans="1:14" x14ac:dyDescent="0.3">
      <c r="A2615" t="s">
        <v>2639</v>
      </c>
      <c r="B2615" t="s">
        <v>12</v>
      </c>
      <c r="C2615" t="s">
        <v>13</v>
      </c>
      <c r="D2615">
        <v>1</v>
      </c>
      <c r="E2615" t="s">
        <v>26</v>
      </c>
      <c r="F2615" t="s">
        <v>15</v>
      </c>
      <c r="G2615">
        <v>80.2</v>
      </c>
      <c r="H2615">
        <v>80.2</v>
      </c>
      <c r="I2615" t="s">
        <v>16</v>
      </c>
      <c r="J2615" t="s">
        <v>16</v>
      </c>
      <c r="K2615" t="s">
        <v>21</v>
      </c>
      <c r="L2615">
        <v>80.2</v>
      </c>
      <c r="M2615" t="s">
        <v>5030</v>
      </c>
      <c r="N2615" t="s">
        <v>5031</v>
      </c>
    </row>
    <row r="2616" spans="1:14" x14ac:dyDescent="0.3">
      <c r="A2616" t="s">
        <v>2640</v>
      </c>
      <c r="B2616" t="s">
        <v>12</v>
      </c>
      <c r="C2616" t="s">
        <v>20</v>
      </c>
      <c r="D2616">
        <v>67</v>
      </c>
      <c r="E2616" t="s">
        <v>26</v>
      </c>
      <c r="F2616" t="s">
        <v>16</v>
      </c>
      <c r="G2616">
        <v>94.35</v>
      </c>
      <c r="H2616">
        <v>6341.45</v>
      </c>
      <c r="I2616" t="s">
        <v>16</v>
      </c>
      <c r="J2616" t="s">
        <v>16</v>
      </c>
      <c r="K2616" t="s">
        <v>29</v>
      </c>
      <c r="L2616">
        <v>6341.45</v>
      </c>
      <c r="M2616" t="s">
        <v>5033</v>
      </c>
      <c r="N2616" t="s">
        <v>5034</v>
      </c>
    </row>
    <row r="2617" spans="1:14" x14ac:dyDescent="0.3">
      <c r="A2617" t="s">
        <v>2641</v>
      </c>
      <c r="B2617" t="s">
        <v>12</v>
      </c>
      <c r="C2617" t="s">
        <v>35</v>
      </c>
      <c r="D2617">
        <v>72</v>
      </c>
      <c r="E2617" t="s">
        <v>14</v>
      </c>
      <c r="F2617" t="s">
        <v>16</v>
      </c>
      <c r="G2617">
        <v>91.35</v>
      </c>
      <c r="H2617">
        <v>6697.2</v>
      </c>
      <c r="I2617" t="s">
        <v>15</v>
      </c>
      <c r="J2617" t="s">
        <v>16</v>
      </c>
      <c r="K2617" t="s">
        <v>24</v>
      </c>
      <c r="L2617">
        <v>6697.2</v>
      </c>
      <c r="M2617" t="s">
        <v>5033</v>
      </c>
      <c r="N2617" t="s">
        <v>5034</v>
      </c>
    </row>
    <row r="2618" spans="1:14" x14ac:dyDescent="0.3">
      <c r="A2618" t="s">
        <v>2642</v>
      </c>
      <c r="B2618" t="s">
        <v>19</v>
      </c>
      <c r="C2618" t="s">
        <v>13</v>
      </c>
      <c r="D2618">
        <v>6</v>
      </c>
      <c r="E2618" t="s">
        <v>14</v>
      </c>
      <c r="F2618" t="s">
        <v>15</v>
      </c>
      <c r="G2618">
        <v>44.6</v>
      </c>
      <c r="H2618">
        <v>260.8</v>
      </c>
      <c r="I2618" t="s">
        <v>16</v>
      </c>
      <c r="J2618" t="s">
        <v>16</v>
      </c>
      <c r="K2618" t="s">
        <v>24</v>
      </c>
      <c r="L2618">
        <v>260.8</v>
      </c>
      <c r="M2618" t="s">
        <v>5030</v>
      </c>
      <c r="N2618" t="s">
        <v>5031</v>
      </c>
    </row>
    <row r="2619" spans="1:14" x14ac:dyDescent="0.3">
      <c r="A2619" t="s">
        <v>2643</v>
      </c>
      <c r="B2619" t="s">
        <v>12</v>
      </c>
      <c r="C2619" t="s">
        <v>13</v>
      </c>
      <c r="D2619">
        <v>1</v>
      </c>
      <c r="E2619" t="s">
        <v>15</v>
      </c>
      <c r="F2619" t="s">
        <v>36</v>
      </c>
      <c r="G2619">
        <v>19.600000000000001</v>
      </c>
      <c r="H2619">
        <v>19.600000000000001</v>
      </c>
      <c r="I2619" t="s">
        <v>16</v>
      </c>
      <c r="J2619" t="s">
        <v>16</v>
      </c>
      <c r="K2619" t="s">
        <v>21</v>
      </c>
      <c r="L2619">
        <v>19.600000000000001</v>
      </c>
      <c r="M2619" t="s">
        <v>5030</v>
      </c>
      <c r="N2619" t="s">
        <v>5031</v>
      </c>
    </row>
    <row r="2620" spans="1:14" x14ac:dyDescent="0.3">
      <c r="A2620" t="s">
        <v>2644</v>
      </c>
      <c r="B2620" t="s">
        <v>19</v>
      </c>
      <c r="C2620" t="s">
        <v>20</v>
      </c>
      <c r="D2620">
        <v>25</v>
      </c>
      <c r="E2620" t="s">
        <v>15</v>
      </c>
      <c r="F2620" t="s">
        <v>36</v>
      </c>
      <c r="G2620">
        <v>19.899999999999999</v>
      </c>
      <c r="H2620">
        <v>505.45</v>
      </c>
      <c r="I2620" t="s">
        <v>15</v>
      </c>
      <c r="J2620" t="s">
        <v>15</v>
      </c>
      <c r="K2620" t="s">
        <v>17</v>
      </c>
      <c r="L2620">
        <v>505.45</v>
      </c>
      <c r="M2620" t="s">
        <v>5032</v>
      </c>
      <c r="N2620" t="s">
        <v>5031</v>
      </c>
    </row>
    <row r="2621" spans="1:14" x14ac:dyDescent="0.3">
      <c r="A2621" t="s">
        <v>2645</v>
      </c>
      <c r="B2621" t="s">
        <v>12</v>
      </c>
      <c r="C2621" t="s">
        <v>13</v>
      </c>
      <c r="D2621">
        <v>33</v>
      </c>
      <c r="E2621" t="s">
        <v>26</v>
      </c>
      <c r="F2621" t="s">
        <v>16</v>
      </c>
      <c r="G2621">
        <v>110.45</v>
      </c>
      <c r="H2621">
        <v>3655.45</v>
      </c>
      <c r="I2621" t="s">
        <v>16</v>
      </c>
      <c r="J2621" t="s">
        <v>16</v>
      </c>
      <c r="K2621" t="s">
        <v>17</v>
      </c>
      <c r="L2621">
        <v>3655.45</v>
      </c>
      <c r="M2621" t="s">
        <v>5032</v>
      </c>
      <c r="N2621" t="s">
        <v>5034</v>
      </c>
    </row>
    <row r="2622" spans="1:14" x14ac:dyDescent="0.3">
      <c r="A2622" t="s">
        <v>2646</v>
      </c>
      <c r="B2622" t="s">
        <v>19</v>
      </c>
      <c r="C2622" t="s">
        <v>13</v>
      </c>
      <c r="D2622">
        <v>18</v>
      </c>
      <c r="E2622" t="s">
        <v>14</v>
      </c>
      <c r="F2622" t="s">
        <v>16</v>
      </c>
      <c r="G2622">
        <v>68.349999999999994</v>
      </c>
      <c r="H2622">
        <v>1299.8</v>
      </c>
      <c r="I2622" t="s">
        <v>15</v>
      </c>
      <c r="J2622" t="s">
        <v>16</v>
      </c>
      <c r="K2622" t="s">
        <v>17</v>
      </c>
      <c r="L2622">
        <v>1299.8</v>
      </c>
      <c r="M2622" t="s">
        <v>5032</v>
      </c>
      <c r="N2622" t="s">
        <v>5031</v>
      </c>
    </row>
    <row r="2623" spans="1:14" x14ac:dyDescent="0.3">
      <c r="A2623" t="s">
        <v>2647</v>
      </c>
      <c r="B2623" t="s">
        <v>19</v>
      </c>
      <c r="C2623" t="s">
        <v>35</v>
      </c>
      <c r="D2623">
        <v>71</v>
      </c>
      <c r="E2623" t="s">
        <v>14</v>
      </c>
      <c r="F2623" t="s">
        <v>16</v>
      </c>
      <c r="G2623">
        <v>79.099999999999994</v>
      </c>
      <c r="H2623">
        <v>5564.85</v>
      </c>
      <c r="I2623" t="s">
        <v>15</v>
      </c>
      <c r="J2623" t="s">
        <v>16</v>
      </c>
      <c r="K2623" t="s">
        <v>29</v>
      </c>
      <c r="L2623">
        <v>5564.85</v>
      </c>
      <c r="M2623" t="s">
        <v>5033</v>
      </c>
      <c r="N2623" t="s">
        <v>5034</v>
      </c>
    </row>
    <row r="2624" spans="1:14" x14ac:dyDescent="0.3">
      <c r="A2624" t="s">
        <v>2648</v>
      </c>
      <c r="B2624" t="s">
        <v>19</v>
      </c>
      <c r="C2624" t="s">
        <v>20</v>
      </c>
      <c r="D2624">
        <v>28</v>
      </c>
      <c r="E2624" t="s">
        <v>14</v>
      </c>
      <c r="F2624" t="s">
        <v>15</v>
      </c>
      <c r="G2624">
        <v>51</v>
      </c>
      <c r="H2624">
        <v>1381.8</v>
      </c>
      <c r="I2624" t="s">
        <v>15</v>
      </c>
      <c r="J2624" t="s">
        <v>16</v>
      </c>
      <c r="K2624" t="s">
        <v>17</v>
      </c>
      <c r="L2624">
        <v>1381.8</v>
      </c>
      <c r="M2624" t="s">
        <v>5032</v>
      </c>
      <c r="N2624" t="s">
        <v>5031</v>
      </c>
    </row>
    <row r="2625" spans="1:14" x14ac:dyDescent="0.3">
      <c r="A2625" t="s">
        <v>2649</v>
      </c>
      <c r="B2625" t="s">
        <v>12</v>
      </c>
      <c r="C2625" t="s">
        <v>13</v>
      </c>
      <c r="D2625">
        <v>2</v>
      </c>
      <c r="E2625" t="s">
        <v>26</v>
      </c>
      <c r="F2625" t="s">
        <v>15</v>
      </c>
      <c r="G2625">
        <v>80.55</v>
      </c>
      <c r="H2625">
        <v>188.1</v>
      </c>
      <c r="I2625" t="s">
        <v>15</v>
      </c>
      <c r="J2625" t="s">
        <v>15</v>
      </c>
      <c r="K2625" t="s">
        <v>29</v>
      </c>
      <c r="L2625">
        <v>188.1</v>
      </c>
      <c r="M2625" t="s">
        <v>5030</v>
      </c>
      <c r="N2625" t="s">
        <v>5031</v>
      </c>
    </row>
    <row r="2626" spans="1:14" x14ac:dyDescent="0.3">
      <c r="A2626" t="s">
        <v>2650</v>
      </c>
      <c r="B2626" t="s">
        <v>19</v>
      </c>
      <c r="C2626" t="s">
        <v>13</v>
      </c>
      <c r="D2626">
        <v>17</v>
      </c>
      <c r="E2626" t="s">
        <v>14</v>
      </c>
      <c r="F2626" t="s">
        <v>16</v>
      </c>
      <c r="G2626">
        <v>66.7</v>
      </c>
      <c r="H2626">
        <v>1077.05</v>
      </c>
      <c r="I2626" t="s">
        <v>15</v>
      </c>
      <c r="J2626" t="s">
        <v>16</v>
      </c>
      <c r="K2626" t="s">
        <v>21</v>
      </c>
      <c r="L2626">
        <v>1077.05</v>
      </c>
      <c r="M2626" t="s">
        <v>5032</v>
      </c>
      <c r="N2626" t="s">
        <v>5031</v>
      </c>
    </row>
    <row r="2627" spans="1:14" x14ac:dyDescent="0.3">
      <c r="A2627" t="s">
        <v>2651</v>
      </c>
      <c r="B2627" t="s">
        <v>19</v>
      </c>
      <c r="C2627" t="s">
        <v>13</v>
      </c>
      <c r="D2627">
        <v>56</v>
      </c>
      <c r="E2627" t="s">
        <v>26</v>
      </c>
      <c r="F2627" t="s">
        <v>15</v>
      </c>
      <c r="G2627">
        <v>86.4</v>
      </c>
      <c r="H2627">
        <v>4922.3999999999996</v>
      </c>
      <c r="I2627" t="s">
        <v>15</v>
      </c>
      <c r="J2627" t="s">
        <v>16</v>
      </c>
      <c r="K2627" t="s">
        <v>17</v>
      </c>
      <c r="L2627">
        <v>4922.3999999999996</v>
      </c>
      <c r="M2627" t="s">
        <v>5033</v>
      </c>
      <c r="N2627" t="s">
        <v>5034</v>
      </c>
    </row>
    <row r="2628" spans="1:14" x14ac:dyDescent="0.3">
      <c r="A2628" t="s">
        <v>2652</v>
      </c>
      <c r="B2628" t="s">
        <v>12</v>
      </c>
      <c r="C2628" t="s">
        <v>20</v>
      </c>
      <c r="D2628">
        <v>60</v>
      </c>
      <c r="E2628" t="s">
        <v>14</v>
      </c>
      <c r="F2628" t="s">
        <v>15</v>
      </c>
      <c r="G2628">
        <v>50.05</v>
      </c>
      <c r="H2628">
        <v>2911.5</v>
      </c>
      <c r="I2628" t="s">
        <v>15</v>
      </c>
      <c r="J2628" t="s">
        <v>15</v>
      </c>
      <c r="K2628" t="s">
        <v>17</v>
      </c>
      <c r="L2628">
        <v>2911.5</v>
      </c>
      <c r="M2628" t="s">
        <v>5033</v>
      </c>
      <c r="N2628" t="s">
        <v>5034</v>
      </c>
    </row>
    <row r="2629" spans="1:14" x14ac:dyDescent="0.3">
      <c r="A2629" t="s">
        <v>2653</v>
      </c>
      <c r="B2629" t="s">
        <v>12</v>
      </c>
      <c r="C2629" t="s">
        <v>35</v>
      </c>
      <c r="D2629">
        <v>33</v>
      </c>
      <c r="E2629" t="s">
        <v>15</v>
      </c>
      <c r="F2629" t="s">
        <v>36</v>
      </c>
      <c r="G2629">
        <v>25.7</v>
      </c>
      <c r="H2629">
        <v>826.1</v>
      </c>
      <c r="I2629" t="s">
        <v>15</v>
      </c>
      <c r="J2629" t="s">
        <v>15</v>
      </c>
      <c r="K2629" t="s">
        <v>29</v>
      </c>
      <c r="L2629">
        <v>826.1</v>
      </c>
      <c r="M2629" t="s">
        <v>5032</v>
      </c>
      <c r="N2629" t="s">
        <v>5031</v>
      </c>
    </row>
    <row r="2630" spans="1:14" x14ac:dyDescent="0.3">
      <c r="A2630" t="s">
        <v>2654</v>
      </c>
      <c r="B2630" t="s">
        <v>12</v>
      </c>
      <c r="C2630" t="s">
        <v>13</v>
      </c>
      <c r="D2630">
        <v>1</v>
      </c>
      <c r="E2630" t="s">
        <v>26</v>
      </c>
      <c r="F2630" t="s">
        <v>16</v>
      </c>
      <c r="G2630">
        <v>83.4</v>
      </c>
      <c r="H2630">
        <v>83.4</v>
      </c>
      <c r="I2630" t="s">
        <v>15</v>
      </c>
      <c r="J2630" t="s">
        <v>16</v>
      </c>
      <c r="K2630" t="s">
        <v>21</v>
      </c>
      <c r="L2630">
        <v>83.4</v>
      </c>
      <c r="M2630" t="s">
        <v>5030</v>
      </c>
      <c r="N2630" t="s">
        <v>5031</v>
      </c>
    </row>
    <row r="2631" spans="1:14" x14ac:dyDescent="0.3">
      <c r="A2631" t="s">
        <v>2655</v>
      </c>
      <c r="B2631" t="s">
        <v>19</v>
      </c>
      <c r="C2631" t="s">
        <v>13</v>
      </c>
      <c r="D2631">
        <v>2</v>
      </c>
      <c r="E2631" t="s">
        <v>26</v>
      </c>
      <c r="F2631" t="s">
        <v>15</v>
      </c>
      <c r="G2631">
        <v>70.7</v>
      </c>
      <c r="H2631">
        <v>140.69999999999999</v>
      </c>
      <c r="I2631" t="s">
        <v>16</v>
      </c>
      <c r="J2631" t="s">
        <v>15</v>
      </c>
      <c r="K2631" t="s">
        <v>29</v>
      </c>
      <c r="L2631">
        <v>140.69999999999999</v>
      </c>
      <c r="M2631" t="s">
        <v>5030</v>
      </c>
      <c r="N2631" t="s">
        <v>5031</v>
      </c>
    </row>
    <row r="2632" spans="1:14" x14ac:dyDescent="0.3">
      <c r="A2632" t="s">
        <v>2656</v>
      </c>
      <c r="B2632" t="s">
        <v>19</v>
      </c>
      <c r="C2632" t="s">
        <v>35</v>
      </c>
      <c r="D2632">
        <v>63</v>
      </c>
      <c r="E2632" t="s">
        <v>26</v>
      </c>
      <c r="F2632" t="s">
        <v>16</v>
      </c>
      <c r="G2632">
        <v>84.65</v>
      </c>
      <c r="H2632">
        <v>5377.8</v>
      </c>
      <c r="I2632" t="s">
        <v>15</v>
      </c>
      <c r="J2632" t="s">
        <v>16</v>
      </c>
      <c r="K2632" t="s">
        <v>29</v>
      </c>
      <c r="L2632">
        <v>5377.8</v>
      </c>
      <c r="M2632" t="s">
        <v>5033</v>
      </c>
      <c r="N2632" t="s">
        <v>5034</v>
      </c>
    </row>
    <row r="2633" spans="1:14" x14ac:dyDescent="0.3">
      <c r="A2633" t="s">
        <v>2657</v>
      </c>
      <c r="B2633" t="s">
        <v>19</v>
      </c>
      <c r="C2633" t="s">
        <v>13</v>
      </c>
      <c r="D2633">
        <v>7</v>
      </c>
      <c r="E2633" t="s">
        <v>26</v>
      </c>
      <c r="F2633" t="s">
        <v>15</v>
      </c>
      <c r="G2633">
        <v>99.25</v>
      </c>
      <c r="H2633">
        <v>665.45</v>
      </c>
      <c r="I2633" t="s">
        <v>16</v>
      </c>
      <c r="J2633" t="s">
        <v>16</v>
      </c>
      <c r="K2633" t="s">
        <v>17</v>
      </c>
      <c r="L2633">
        <v>665.45</v>
      </c>
      <c r="M2633" t="s">
        <v>5030</v>
      </c>
      <c r="N2633" t="s">
        <v>5031</v>
      </c>
    </row>
    <row r="2634" spans="1:14" x14ac:dyDescent="0.3">
      <c r="A2634" t="s">
        <v>2658</v>
      </c>
      <c r="B2634" t="s">
        <v>12</v>
      </c>
      <c r="C2634" t="s">
        <v>35</v>
      </c>
      <c r="D2634">
        <v>55</v>
      </c>
      <c r="E2634" t="s">
        <v>14</v>
      </c>
      <c r="F2634" t="s">
        <v>15</v>
      </c>
      <c r="G2634">
        <v>64.75</v>
      </c>
      <c r="H2634">
        <v>3617.1</v>
      </c>
      <c r="I2634" t="s">
        <v>15</v>
      </c>
      <c r="J2634" t="s">
        <v>16</v>
      </c>
      <c r="K2634" t="s">
        <v>21</v>
      </c>
      <c r="L2634">
        <v>3617.1</v>
      </c>
      <c r="M2634" t="s">
        <v>5033</v>
      </c>
      <c r="N2634" t="s">
        <v>5034</v>
      </c>
    </row>
    <row r="2635" spans="1:14" x14ac:dyDescent="0.3">
      <c r="A2635" t="s">
        <v>2659</v>
      </c>
      <c r="B2635" t="s">
        <v>12</v>
      </c>
      <c r="C2635" t="s">
        <v>20</v>
      </c>
      <c r="D2635">
        <v>65</v>
      </c>
      <c r="E2635" t="s">
        <v>26</v>
      </c>
      <c r="F2635" t="s">
        <v>16</v>
      </c>
      <c r="G2635">
        <v>100.15</v>
      </c>
      <c r="H2635">
        <v>6643.5</v>
      </c>
      <c r="I2635" t="s">
        <v>15</v>
      </c>
      <c r="J2635" t="s">
        <v>16</v>
      </c>
      <c r="K2635" t="s">
        <v>24</v>
      </c>
      <c r="L2635">
        <v>6643.5</v>
      </c>
      <c r="M2635" t="s">
        <v>5033</v>
      </c>
      <c r="N2635" t="s">
        <v>5034</v>
      </c>
    </row>
    <row r="2636" spans="1:14" x14ac:dyDescent="0.3">
      <c r="A2636" t="s">
        <v>2660</v>
      </c>
      <c r="B2636" t="s">
        <v>19</v>
      </c>
      <c r="C2636" t="s">
        <v>13</v>
      </c>
      <c r="D2636">
        <v>1</v>
      </c>
      <c r="E2636" t="s">
        <v>26</v>
      </c>
      <c r="F2636" t="s">
        <v>16</v>
      </c>
      <c r="G2636">
        <v>84.8</v>
      </c>
      <c r="H2636">
        <v>84.8</v>
      </c>
      <c r="I2636" t="s">
        <v>16</v>
      </c>
      <c r="J2636" t="s">
        <v>16</v>
      </c>
      <c r="K2636" t="s">
        <v>17</v>
      </c>
      <c r="L2636">
        <v>84.8</v>
      </c>
      <c r="M2636" t="s">
        <v>5030</v>
      </c>
      <c r="N2636" t="s">
        <v>5031</v>
      </c>
    </row>
    <row r="2637" spans="1:14" x14ac:dyDescent="0.3">
      <c r="A2637" t="s">
        <v>2661</v>
      </c>
      <c r="B2637" t="s">
        <v>19</v>
      </c>
      <c r="C2637" t="s">
        <v>35</v>
      </c>
      <c r="D2637">
        <v>63</v>
      </c>
      <c r="E2637" t="s">
        <v>15</v>
      </c>
      <c r="F2637" t="s">
        <v>36</v>
      </c>
      <c r="G2637">
        <v>25.25</v>
      </c>
      <c r="H2637">
        <v>1559.3</v>
      </c>
      <c r="I2637" t="s">
        <v>15</v>
      </c>
      <c r="J2637" t="s">
        <v>15</v>
      </c>
      <c r="K2637" t="s">
        <v>21</v>
      </c>
      <c r="L2637">
        <v>1559.3</v>
      </c>
      <c r="M2637" t="s">
        <v>5033</v>
      </c>
      <c r="N2637" t="s">
        <v>5031</v>
      </c>
    </row>
    <row r="2638" spans="1:14" x14ac:dyDescent="0.3">
      <c r="A2638" t="s">
        <v>2662</v>
      </c>
      <c r="B2638" t="s">
        <v>12</v>
      </c>
      <c r="C2638" t="s">
        <v>35</v>
      </c>
      <c r="D2638">
        <v>70</v>
      </c>
      <c r="E2638" t="s">
        <v>26</v>
      </c>
      <c r="F2638" t="s">
        <v>16</v>
      </c>
      <c r="G2638">
        <v>113</v>
      </c>
      <c r="H2638">
        <v>7987.6</v>
      </c>
      <c r="I2638" t="s">
        <v>15</v>
      </c>
      <c r="J2638" t="s">
        <v>16</v>
      </c>
      <c r="K2638" t="s">
        <v>29</v>
      </c>
      <c r="L2638">
        <v>7987.6</v>
      </c>
      <c r="M2638" t="s">
        <v>5033</v>
      </c>
      <c r="N2638" t="s">
        <v>5034</v>
      </c>
    </row>
    <row r="2639" spans="1:14" x14ac:dyDescent="0.3">
      <c r="A2639" t="s">
        <v>2663</v>
      </c>
      <c r="B2639" t="s">
        <v>12</v>
      </c>
      <c r="C2639" t="s">
        <v>35</v>
      </c>
      <c r="D2639">
        <v>36</v>
      </c>
      <c r="E2639" t="s">
        <v>14</v>
      </c>
      <c r="F2639" t="s">
        <v>16</v>
      </c>
      <c r="G2639">
        <v>40.65</v>
      </c>
      <c r="H2639">
        <v>1547.35</v>
      </c>
      <c r="I2639" t="s">
        <v>15</v>
      </c>
      <c r="J2639" t="s">
        <v>15</v>
      </c>
      <c r="K2639" t="s">
        <v>29</v>
      </c>
      <c r="L2639">
        <v>1547.35</v>
      </c>
      <c r="M2639" t="s">
        <v>5032</v>
      </c>
      <c r="N2639" t="s">
        <v>5031</v>
      </c>
    </row>
    <row r="2640" spans="1:14" x14ac:dyDescent="0.3">
      <c r="A2640" t="s">
        <v>2664</v>
      </c>
      <c r="B2640" t="s">
        <v>19</v>
      </c>
      <c r="C2640" t="s">
        <v>20</v>
      </c>
      <c r="D2640">
        <v>52</v>
      </c>
      <c r="E2640" t="s">
        <v>26</v>
      </c>
      <c r="F2640" t="s">
        <v>16</v>
      </c>
      <c r="G2640">
        <v>105</v>
      </c>
      <c r="H2640">
        <v>5426.85</v>
      </c>
      <c r="I2640" t="s">
        <v>16</v>
      </c>
      <c r="J2640" t="s">
        <v>16</v>
      </c>
      <c r="K2640" t="s">
        <v>24</v>
      </c>
      <c r="L2640">
        <v>5426.85</v>
      </c>
      <c r="M2640" t="s">
        <v>5033</v>
      </c>
      <c r="N2640" t="s">
        <v>5034</v>
      </c>
    </row>
    <row r="2641" spans="1:14" x14ac:dyDescent="0.3">
      <c r="A2641" t="s">
        <v>2665</v>
      </c>
      <c r="B2641" t="s">
        <v>19</v>
      </c>
      <c r="C2641" t="s">
        <v>13</v>
      </c>
      <c r="D2641">
        <v>22</v>
      </c>
      <c r="E2641" t="s">
        <v>14</v>
      </c>
      <c r="F2641" t="s">
        <v>15</v>
      </c>
      <c r="G2641">
        <v>54.45</v>
      </c>
      <c r="H2641">
        <v>1127.3499999999999</v>
      </c>
      <c r="I2641" t="s">
        <v>16</v>
      </c>
      <c r="J2641" t="s">
        <v>16</v>
      </c>
      <c r="K2641" t="s">
        <v>17</v>
      </c>
      <c r="L2641">
        <v>1127.3499999999999</v>
      </c>
      <c r="M2641" t="s">
        <v>5032</v>
      </c>
      <c r="N2641" t="s">
        <v>5031</v>
      </c>
    </row>
    <row r="2642" spans="1:14" x14ac:dyDescent="0.3">
      <c r="A2642" t="s">
        <v>2666</v>
      </c>
      <c r="B2642" t="s">
        <v>19</v>
      </c>
      <c r="C2642" t="s">
        <v>13</v>
      </c>
      <c r="D2642">
        <v>22</v>
      </c>
      <c r="E2642" t="s">
        <v>26</v>
      </c>
      <c r="F2642" t="s">
        <v>16</v>
      </c>
      <c r="G2642">
        <v>94.95</v>
      </c>
      <c r="H2642">
        <v>2142.8000000000002</v>
      </c>
      <c r="I2642" t="s">
        <v>15</v>
      </c>
      <c r="J2642" t="s">
        <v>16</v>
      </c>
      <c r="K2642" t="s">
        <v>24</v>
      </c>
      <c r="L2642">
        <v>2142.8000000000002</v>
      </c>
      <c r="M2642" t="s">
        <v>5032</v>
      </c>
      <c r="N2642" t="s">
        <v>5031</v>
      </c>
    </row>
    <row r="2643" spans="1:14" x14ac:dyDescent="0.3">
      <c r="A2643" t="s">
        <v>2667</v>
      </c>
      <c r="B2643" t="s">
        <v>12</v>
      </c>
      <c r="C2643" t="s">
        <v>13</v>
      </c>
      <c r="D2643">
        <v>5</v>
      </c>
      <c r="E2643" t="s">
        <v>14</v>
      </c>
      <c r="F2643" t="s">
        <v>16</v>
      </c>
      <c r="G2643">
        <v>59.9</v>
      </c>
      <c r="H2643">
        <v>287.85000000000002</v>
      </c>
      <c r="I2643" t="s">
        <v>15</v>
      </c>
      <c r="J2643" t="s">
        <v>15</v>
      </c>
      <c r="K2643" t="s">
        <v>29</v>
      </c>
      <c r="L2643">
        <v>287.85000000000002</v>
      </c>
      <c r="M2643" t="s">
        <v>5030</v>
      </c>
      <c r="N2643" t="s">
        <v>5031</v>
      </c>
    </row>
    <row r="2644" spans="1:14" x14ac:dyDescent="0.3">
      <c r="A2644" t="s">
        <v>2668</v>
      </c>
      <c r="B2644" t="s">
        <v>12</v>
      </c>
      <c r="C2644" t="s">
        <v>13</v>
      </c>
      <c r="D2644">
        <v>47</v>
      </c>
      <c r="E2644" t="s">
        <v>26</v>
      </c>
      <c r="F2644" t="s">
        <v>15</v>
      </c>
      <c r="G2644">
        <v>85.3</v>
      </c>
      <c r="H2644">
        <v>4045.65</v>
      </c>
      <c r="I2644" t="s">
        <v>16</v>
      </c>
      <c r="J2644" t="s">
        <v>16</v>
      </c>
      <c r="K2644" t="s">
        <v>17</v>
      </c>
      <c r="L2644">
        <v>4045.65</v>
      </c>
      <c r="M2644" t="s">
        <v>5033</v>
      </c>
      <c r="N2644" t="s">
        <v>5034</v>
      </c>
    </row>
    <row r="2645" spans="1:14" x14ac:dyDescent="0.3">
      <c r="A2645" t="s">
        <v>2669</v>
      </c>
      <c r="B2645" t="s">
        <v>12</v>
      </c>
      <c r="C2645" t="s">
        <v>13</v>
      </c>
      <c r="D2645">
        <v>33</v>
      </c>
      <c r="E2645" t="s">
        <v>26</v>
      </c>
      <c r="F2645" t="s">
        <v>15</v>
      </c>
      <c r="G2645">
        <v>83.35</v>
      </c>
      <c r="H2645">
        <v>2757.85</v>
      </c>
      <c r="I2645" t="s">
        <v>16</v>
      </c>
      <c r="J2645" t="s">
        <v>16</v>
      </c>
      <c r="K2645" t="s">
        <v>17</v>
      </c>
      <c r="L2645">
        <v>2757.85</v>
      </c>
      <c r="M2645" t="s">
        <v>5032</v>
      </c>
      <c r="N2645" t="s">
        <v>5034</v>
      </c>
    </row>
    <row r="2646" spans="1:14" x14ac:dyDescent="0.3">
      <c r="A2646" t="s">
        <v>2670</v>
      </c>
      <c r="B2646" t="s">
        <v>19</v>
      </c>
      <c r="C2646" t="s">
        <v>13</v>
      </c>
      <c r="D2646">
        <v>18</v>
      </c>
      <c r="E2646" t="s">
        <v>14</v>
      </c>
      <c r="F2646" t="s">
        <v>15</v>
      </c>
      <c r="G2646">
        <v>33.5</v>
      </c>
      <c r="H2646">
        <v>600</v>
      </c>
      <c r="I2646" t="s">
        <v>16</v>
      </c>
      <c r="J2646" t="s">
        <v>16</v>
      </c>
      <c r="K2646" t="s">
        <v>29</v>
      </c>
      <c r="L2646">
        <v>600</v>
      </c>
      <c r="M2646" t="s">
        <v>5032</v>
      </c>
      <c r="N2646" t="s">
        <v>5031</v>
      </c>
    </row>
    <row r="2647" spans="1:14" x14ac:dyDescent="0.3">
      <c r="A2647" t="s">
        <v>2671</v>
      </c>
      <c r="B2647" t="s">
        <v>12</v>
      </c>
      <c r="C2647" t="s">
        <v>13</v>
      </c>
      <c r="D2647">
        <v>1</v>
      </c>
      <c r="E2647" t="s">
        <v>15</v>
      </c>
      <c r="F2647" t="s">
        <v>36</v>
      </c>
      <c r="G2647">
        <v>19.8</v>
      </c>
      <c r="H2647">
        <v>19.8</v>
      </c>
      <c r="I2647" t="s">
        <v>15</v>
      </c>
      <c r="J2647" t="s">
        <v>15</v>
      </c>
      <c r="K2647" t="s">
        <v>29</v>
      </c>
      <c r="L2647">
        <v>19.8</v>
      </c>
      <c r="M2647" t="s">
        <v>5030</v>
      </c>
      <c r="N2647" t="s">
        <v>5031</v>
      </c>
    </row>
    <row r="2648" spans="1:14" x14ac:dyDescent="0.3">
      <c r="A2648" t="s">
        <v>2672</v>
      </c>
      <c r="B2648" t="s">
        <v>19</v>
      </c>
      <c r="C2648" t="s">
        <v>35</v>
      </c>
      <c r="D2648">
        <v>56</v>
      </c>
      <c r="E2648" t="s">
        <v>14</v>
      </c>
      <c r="F2648" t="s">
        <v>16</v>
      </c>
      <c r="G2648">
        <v>81.8</v>
      </c>
      <c r="H2648">
        <v>4534.45</v>
      </c>
      <c r="I2648" t="s">
        <v>15</v>
      </c>
      <c r="J2648" t="s">
        <v>16</v>
      </c>
      <c r="K2648" t="s">
        <v>29</v>
      </c>
      <c r="L2648">
        <v>4534.45</v>
      </c>
      <c r="M2648" t="s">
        <v>5033</v>
      </c>
      <c r="N2648" t="s">
        <v>5034</v>
      </c>
    </row>
    <row r="2649" spans="1:14" x14ac:dyDescent="0.3">
      <c r="A2649" t="s">
        <v>2673</v>
      </c>
      <c r="B2649" t="s">
        <v>12</v>
      </c>
      <c r="C2649" t="s">
        <v>13</v>
      </c>
      <c r="D2649">
        <v>2</v>
      </c>
      <c r="E2649" t="s">
        <v>15</v>
      </c>
      <c r="F2649" t="s">
        <v>36</v>
      </c>
      <c r="G2649">
        <v>20</v>
      </c>
      <c r="H2649">
        <v>40.9</v>
      </c>
      <c r="I2649" t="s">
        <v>15</v>
      </c>
      <c r="J2649" t="s">
        <v>16</v>
      </c>
      <c r="K2649" t="s">
        <v>21</v>
      </c>
      <c r="L2649">
        <v>40.9</v>
      </c>
      <c r="M2649" t="s">
        <v>5030</v>
      </c>
      <c r="N2649" t="s">
        <v>5031</v>
      </c>
    </row>
    <row r="2650" spans="1:14" x14ac:dyDescent="0.3">
      <c r="A2650" t="s">
        <v>2674</v>
      </c>
      <c r="B2650" t="s">
        <v>19</v>
      </c>
      <c r="C2650" t="s">
        <v>13</v>
      </c>
      <c r="D2650">
        <v>35</v>
      </c>
      <c r="E2650" t="s">
        <v>14</v>
      </c>
      <c r="F2650" t="s">
        <v>15</v>
      </c>
      <c r="G2650">
        <v>59.6</v>
      </c>
      <c r="H2650">
        <v>2094.9</v>
      </c>
      <c r="I2650" t="s">
        <v>15</v>
      </c>
      <c r="J2650" t="s">
        <v>16</v>
      </c>
      <c r="K2650" t="s">
        <v>17</v>
      </c>
      <c r="L2650">
        <v>2094.9</v>
      </c>
      <c r="M2650" t="s">
        <v>5032</v>
      </c>
      <c r="N2650" t="s">
        <v>5031</v>
      </c>
    </row>
    <row r="2651" spans="1:14" x14ac:dyDescent="0.3">
      <c r="A2651" t="s">
        <v>2675</v>
      </c>
      <c r="B2651" t="s">
        <v>12</v>
      </c>
      <c r="C2651" t="s">
        <v>35</v>
      </c>
      <c r="D2651">
        <v>64</v>
      </c>
      <c r="E2651" t="s">
        <v>15</v>
      </c>
      <c r="F2651" t="s">
        <v>36</v>
      </c>
      <c r="G2651">
        <v>25</v>
      </c>
      <c r="H2651">
        <v>1584.8</v>
      </c>
      <c r="I2651" t="s">
        <v>15</v>
      </c>
      <c r="J2651" t="s">
        <v>15</v>
      </c>
      <c r="K2651" t="s">
        <v>29</v>
      </c>
      <c r="L2651">
        <v>1584.8</v>
      </c>
      <c r="M2651" t="s">
        <v>5033</v>
      </c>
      <c r="N2651" t="s">
        <v>5031</v>
      </c>
    </row>
    <row r="2652" spans="1:14" x14ac:dyDescent="0.3">
      <c r="A2652" t="s">
        <v>2676</v>
      </c>
      <c r="B2652" t="s">
        <v>12</v>
      </c>
      <c r="C2652" t="s">
        <v>13</v>
      </c>
      <c r="D2652">
        <v>15</v>
      </c>
      <c r="E2652" t="s">
        <v>26</v>
      </c>
      <c r="F2652" t="s">
        <v>15</v>
      </c>
      <c r="G2652">
        <v>84.35</v>
      </c>
      <c r="H2652">
        <v>1302.6500000000001</v>
      </c>
      <c r="I2652" t="s">
        <v>15</v>
      </c>
      <c r="J2652" t="s">
        <v>16</v>
      </c>
      <c r="K2652" t="s">
        <v>29</v>
      </c>
      <c r="L2652">
        <v>1302.6500000000001</v>
      </c>
      <c r="M2652" t="s">
        <v>5032</v>
      </c>
      <c r="N2652" t="s">
        <v>5031</v>
      </c>
    </row>
    <row r="2653" spans="1:14" x14ac:dyDescent="0.3">
      <c r="A2653" t="s">
        <v>2677</v>
      </c>
      <c r="B2653" t="s">
        <v>19</v>
      </c>
      <c r="C2653" t="s">
        <v>13</v>
      </c>
      <c r="D2653">
        <v>24</v>
      </c>
      <c r="E2653" t="s">
        <v>26</v>
      </c>
      <c r="F2653" t="s">
        <v>15</v>
      </c>
      <c r="G2653">
        <v>90.35</v>
      </c>
      <c r="H2653">
        <v>2238.5</v>
      </c>
      <c r="I2653" t="s">
        <v>16</v>
      </c>
      <c r="J2653" t="s">
        <v>16</v>
      </c>
      <c r="K2653" t="s">
        <v>17</v>
      </c>
      <c r="L2653">
        <v>2238.5</v>
      </c>
      <c r="M2653" t="s">
        <v>5032</v>
      </c>
      <c r="N2653" t="s">
        <v>5031</v>
      </c>
    </row>
    <row r="2654" spans="1:14" x14ac:dyDescent="0.3">
      <c r="A2654" t="s">
        <v>2678</v>
      </c>
      <c r="B2654" t="s">
        <v>19</v>
      </c>
      <c r="C2654" t="s">
        <v>13</v>
      </c>
      <c r="D2654">
        <v>1</v>
      </c>
      <c r="E2654" t="s">
        <v>14</v>
      </c>
      <c r="F2654" t="s">
        <v>15</v>
      </c>
      <c r="G2654">
        <v>55.55</v>
      </c>
      <c r="H2654">
        <v>55.55</v>
      </c>
      <c r="I2654" t="s">
        <v>15</v>
      </c>
      <c r="J2654" t="s">
        <v>15</v>
      </c>
      <c r="K2654" t="s">
        <v>21</v>
      </c>
      <c r="L2654">
        <v>55.55</v>
      </c>
      <c r="M2654" t="s">
        <v>5030</v>
      </c>
      <c r="N2654" t="s">
        <v>5031</v>
      </c>
    </row>
    <row r="2655" spans="1:14" x14ac:dyDescent="0.3">
      <c r="A2655" t="s">
        <v>2679</v>
      </c>
      <c r="B2655" t="s">
        <v>12</v>
      </c>
      <c r="C2655" t="s">
        <v>35</v>
      </c>
      <c r="D2655">
        <v>70</v>
      </c>
      <c r="E2655" t="s">
        <v>14</v>
      </c>
      <c r="F2655" t="s">
        <v>16</v>
      </c>
      <c r="G2655">
        <v>75.349999999999994</v>
      </c>
      <c r="H2655">
        <v>5437.75</v>
      </c>
      <c r="I2655" t="s">
        <v>15</v>
      </c>
      <c r="J2655" t="s">
        <v>15</v>
      </c>
      <c r="K2655" t="s">
        <v>29</v>
      </c>
      <c r="L2655">
        <v>5437.75</v>
      </c>
      <c r="M2655" t="s">
        <v>5033</v>
      </c>
      <c r="N2655" t="s">
        <v>5034</v>
      </c>
    </row>
    <row r="2656" spans="1:14" x14ac:dyDescent="0.3">
      <c r="A2656" t="s">
        <v>2680</v>
      </c>
      <c r="B2656" t="s">
        <v>19</v>
      </c>
      <c r="C2656" t="s">
        <v>13</v>
      </c>
      <c r="D2656">
        <v>1</v>
      </c>
      <c r="E2656" t="s">
        <v>26</v>
      </c>
      <c r="F2656" t="s">
        <v>15</v>
      </c>
      <c r="G2656">
        <v>90.75</v>
      </c>
      <c r="H2656">
        <v>90.75</v>
      </c>
      <c r="I2656" t="s">
        <v>16</v>
      </c>
      <c r="J2656" t="s">
        <v>16</v>
      </c>
      <c r="K2656" t="s">
        <v>17</v>
      </c>
      <c r="L2656">
        <v>90.75</v>
      </c>
      <c r="M2656" t="s">
        <v>5030</v>
      </c>
      <c r="N2656" t="s">
        <v>5031</v>
      </c>
    </row>
    <row r="2657" spans="1:14" x14ac:dyDescent="0.3">
      <c r="A2657" t="s">
        <v>2681</v>
      </c>
      <c r="B2657" t="s">
        <v>12</v>
      </c>
      <c r="C2657" t="s">
        <v>13</v>
      </c>
      <c r="D2657">
        <v>4</v>
      </c>
      <c r="E2657" t="s">
        <v>26</v>
      </c>
      <c r="F2657" t="s">
        <v>15</v>
      </c>
      <c r="G2657">
        <v>89.6</v>
      </c>
      <c r="H2657">
        <v>365.65</v>
      </c>
      <c r="I2657" t="s">
        <v>16</v>
      </c>
      <c r="J2657" t="s">
        <v>15</v>
      </c>
      <c r="K2657" t="s">
        <v>21</v>
      </c>
      <c r="L2657">
        <v>365.65</v>
      </c>
      <c r="M2657" t="s">
        <v>5030</v>
      </c>
      <c r="N2657" t="s">
        <v>5031</v>
      </c>
    </row>
    <row r="2658" spans="1:14" x14ac:dyDescent="0.3">
      <c r="A2658" t="s">
        <v>2682</v>
      </c>
      <c r="B2658" t="s">
        <v>12</v>
      </c>
      <c r="C2658" t="s">
        <v>20</v>
      </c>
      <c r="D2658">
        <v>39</v>
      </c>
      <c r="E2658" t="s">
        <v>14</v>
      </c>
      <c r="F2658" t="s">
        <v>16</v>
      </c>
      <c r="G2658">
        <v>59.3</v>
      </c>
      <c r="H2658">
        <v>2209.15</v>
      </c>
      <c r="I2658" t="s">
        <v>15</v>
      </c>
      <c r="J2658" t="s">
        <v>15</v>
      </c>
      <c r="K2658" t="s">
        <v>17</v>
      </c>
      <c r="L2658">
        <v>2209.15</v>
      </c>
      <c r="M2658" t="s">
        <v>5033</v>
      </c>
      <c r="N2658" t="s">
        <v>5031</v>
      </c>
    </row>
    <row r="2659" spans="1:14" x14ac:dyDescent="0.3">
      <c r="A2659" t="s">
        <v>2683</v>
      </c>
      <c r="B2659" t="s">
        <v>12</v>
      </c>
      <c r="C2659" t="s">
        <v>13</v>
      </c>
      <c r="D2659">
        <v>29</v>
      </c>
      <c r="E2659" t="s">
        <v>14</v>
      </c>
      <c r="F2659" t="s">
        <v>15</v>
      </c>
      <c r="G2659">
        <v>66.099999999999994</v>
      </c>
      <c r="H2659">
        <v>1912.15</v>
      </c>
      <c r="I2659" t="s">
        <v>15</v>
      </c>
      <c r="J2659" t="s">
        <v>16</v>
      </c>
      <c r="K2659" t="s">
        <v>17</v>
      </c>
      <c r="L2659">
        <v>1912.15</v>
      </c>
      <c r="M2659" t="s">
        <v>5032</v>
      </c>
      <c r="N2659" t="s">
        <v>5031</v>
      </c>
    </row>
    <row r="2660" spans="1:14" x14ac:dyDescent="0.3">
      <c r="A2660" t="s">
        <v>2684</v>
      </c>
      <c r="B2660" t="s">
        <v>12</v>
      </c>
      <c r="C2660" t="s">
        <v>35</v>
      </c>
      <c r="D2660">
        <v>14</v>
      </c>
      <c r="E2660" t="s">
        <v>15</v>
      </c>
      <c r="F2660" t="s">
        <v>36</v>
      </c>
      <c r="G2660">
        <v>18.8</v>
      </c>
      <c r="H2660">
        <v>255.55</v>
      </c>
      <c r="I2660" t="s">
        <v>15</v>
      </c>
      <c r="J2660" t="s">
        <v>15</v>
      </c>
      <c r="K2660" t="s">
        <v>21</v>
      </c>
      <c r="L2660">
        <v>255.55</v>
      </c>
      <c r="M2660" t="s">
        <v>5032</v>
      </c>
      <c r="N2660" t="s">
        <v>5031</v>
      </c>
    </row>
    <row r="2661" spans="1:14" x14ac:dyDescent="0.3">
      <c r="A2661" t="s">
        <v>2685</v>
      </c>
      <c r="B2661" t="s">
        <v>12</v>
      </c>
      <c r="C2661" t="s">
        <v>35</v>
      </c>
      <c r="D2661">
        <v>61</v>
      </c>
      <c r="E2661" t="s">
        <v>14</v>
      </c>
      <c r="F2661" t="s">
        <v>16</v>
      </c>
      <c r="G2661">
        <v>86.45</v>
      </c>
      <c r="H2661">
        <v>5175.3</v>
      </c>
      <c r="I2661" t="s">
        <v>15</v>
      </c>
      <c r="J2661" t="s">
        <v>15</v>
      </c>
      <c r="K2661" t="s">
        <v>29</v>
      </c>
      <c r="L2661">
        <v>5175.3</v>
      </c>
      <c r="M2661" t="s">
        <v>5033</v>
      </c>
      <c r="N2661" t="s">
        <v>5034</v>
      </c>
    </row>
    <row r="2662" spans="1:14" x14ac:dyDescent="0.3">
      <c r="A2662" t="s">
        <v>2686</v>
      </c>
      <c r="B2662" t="s">
        <v>19</v>
      </c>
      <c r="C2662" t="s">
        <v>13</v>
      </c>
      <c r="D2662">
        <v>13</v>
      </c>
      <c r="E2662" t="s">
        <v>14</v>
      </c>
      <c r="F2662" t="s">
        <v>15</v>
      </c>
      <c r="G2662">
        <v>52.1</v>
      </c>
      <c r="H2662">
        <v>670.65</v>
      </c>
      <c r="I2662" t="s">
        <v>15</v>
      </c>
      <c r="J2662" t="s">
        <v>16</v>
      </c>
      <c r="K2662" t="s">
        <v>29</v>
      </c>
      <c r="L2662">
        <v>670.65</v>
      </c>
      <c r="M2662" t="s">
        <v>5032</v>
      </c>
      <c r="N2662" t="s">
        <v>5031</v>
      </c>
    </row>
    <row r="2663" spans="1:14" x14ac:dyDescent="0.3">
      <c r="A2663" t="s">
        <v>2687</v>
      </c>
      <c r="B2663" t="s">
        <v>12</v>
      </c>
      <c r="C2663" t="s">
        <v>35</v>
      </c>
      <c r="D2663">
        <v>66</v>
      </c>
      <c r="E2663" t="s">
        <v>14</v>
      </c>
      <c r="F2663" t="s">
        <v>16</v>
      </c>
      <c r="G2663">
        <v>47.4</v>
      </c>
      <c r="H2663">
        <v>3177.25</v>
      </c>
      <c r="I2663" t="s">
        <v>15</v>
      </c>
      <c r="J2663" t="s">
        <v>16</v>
      </c>
      <c r="K2663" t="s">
        <v>21</v>
      </c>
      <c r="L2663">
        <v>3177.25</v>
      </c>
      <c r="M2663" t="s">
        <v>5033</v>
      </c>
      <c r="N2663" t="s">
        <v>5034</v>
      </c>
    </row>
    <row r="2664" spans="1:14" x14ac:dyDescent="0.3">
      <c r="A2664" t="s">
        <v>2688</v>
      </c>
      <c r="B2664" t="s">
        <v>19</v>
      </c>
      <c r="C2664" t="s">
        <v>13</v>
      </c>
      <c r="D2664">
        <v>2</v>
      </c>
      <c r="E2664" t="s">
        <v>14</v>
      </c>
      <c r="F2664" t="s">
        <v>15</v>
      </c>
      <c r="G2664">
        <v>49.25</v>
      </c>
      <c r="H2664">
        <v>90.35</v>
      </c>
      <c r="I2664" t="s">
        <v>16</v>
      </c>
      <c r="J2664" t="s">
        <v>16</v>
      </c>
      <c r="K2664" t="s">
        <v>17</v>
      </c>
      <c r="L2664">
        <v>90.35</v>
      </c>
      <c r="M2664" t="s">
        <v>5030</v>
      </c>
      <c r="N2664" t="s">
        <v>5031</v>
      </c>
    </row>
    <row r="2665" spans="1:14" x14ac:dyDescent="0.3">
      <c r="A2665" t="s">
        <v>2689</v>
      </c>
      <c r="B2665" t="s">
        <v>12</v>
      </c>
      <c r="C2665" t="s">
        <v>20</v>
      </c>
      <c r="D2665">
        <v>59</v>
      </c>
      <c r="E2665" t="s">
        <v>26</v>
      </c>
      <c r="F2665" t="s">
        <v>15</v>
      </c>
      <c r="G2665">
        <v>109.15</v>
      </c>
      <c r="H2665">
        <v>6557.75</v>
      </c>
      <c r="I2665" t="s">
        <v>15</v>
      </c>
      <c r="J2665" t="s">
        <v>16</v>
      </c>
      <c r="K2665" t="s">
        <v>29</v>
      </c>
      <c r="L2665">
        <v>6557.75</v>
      </c>
      <c r="M2665" t="s">
        <v>5033</v>
      </c>
      <c r="N2665" t="s">
        <v>5034</v>
      </c>
    </row>
    <row r="2666" spans="1:14" x14ac:dyDescent="0.3">
      <c r="A2666" t="s">
        <v>2690</v>
      </c>
      <c r="B2666" t="s">
        <v>19</v>
      </c>
      <c r="C2666" t="s">
        <v>20</v>
      </c>
      <c r="D2666">
        <v>62</v>
      </c>
      <c r="E2666" t="s">
        <v>26</v>
      </c>
      <c r="F2666" t="s">
        <v>15</v>
      </c>
      <c r="G2666">
        <v>94.95</v>
      </c>
      <c r="H2666">
        <v>5791.85</v>
      </c>
      <c r="I2666" t="s">
        <v>15</v>
      </c>
      <c r="J2666" t="s">
        <v>16</v>
      </c>
      <c r="K2666" t="s">
        <v>29</v>
      </c>
      <c r="L2666">
        <v>5791.85</v>
      </c>
      <c r="M2666" t="s">
        <v>5033</v>
      </c>
      <c r="N2666" t="s">
        <v>5034</v>
      </c>
    </row>
    <row r="2667" spans="1:14" x14ac:dyDescent="0.3">
      <c r="A2667" t="s">
        <v>2691</v>
      </c>
      <c r="B2667" t="s">
        <v>19</v>
      </c>
      <c r="C2667" t="s">
        <v>20</v>
      </c>
      <c r="D2667">
        <v>33</v>
      </c>
      <c r="E2667" t="s">
        <v>26</v>
      </c>
      <c r="F2667" t="s">
        <v>16</v>
      </c>
      <c r="G2667">
        <v>93.55</v>
      </c>
      <c r="H2667">
        <v>3055.5</v>
      </c>
      <c r="I2667" t="s">
        <v>15</v>
      </c>
      <c r="J2667" t="s">
        <v>16</v>
      </c>
      <c r="K2667" t="s">
        <v>17</v>
      </c>
      <c r="L2667">
        <v>3055.5</v>
      </c>
      <c r="M2667" t="s">
        <v>5032</v>
      </c>
      <c r="N2667" t="s">
        <v>5034</v>
      </c>
    </row>
    <row r="2668" spans="1:14" x14ac:dyDescent="0.3">
      <c r="A2668" t="s">
        <v>2692</v>
      </c>
      <c r="B2668" t="s">
        <v>19</v>
      </c>
      <c r="C2668" t="s">
        <v>35</v>
      </c>
      <c r="D2668">
        <v>66</v>
      </c>
      <c r="E2668" t="s">
        <v>14</v>
      </c>
      <c r="F2668" t="s">
        <v>16</v>
      </c>
      <c r="G2668">
        <v>79.5</v>
      </c>
      <c r="H2668">
        <v>5196.1000000000004</v>
      </c>
      <c r="I2668" t="s">
        <v>15</v>
      </c>
      <c r="J2668" t="s">
        <v>16</v>
      </c>
      <c r="K2668" t="s">
        <v>29</v>
      </c>
      <c r="L2668">
        <v>5196.1000000000004</v>
      </c>
      <c r="M2668" t="s">
        <v>5033</v>
      </c>
      <c r="N2668" t="s">
        <v>5034</v>
      </c>
    </row>
    <row r="2669" spans="1:14" x14ac:dyDescent="0.3">
      <c r="A2669" t="s">
        <v>2693</v>
      </c>
      <c r="B2669" t="s">
        <v>12</v>
      </c>
      <c r="C2669" t="s">
        <v>35</v>
      </c>
      <c r="D2669">
        <v>72</v>
      </c>
      <c r="E2669" t="s">
        <v>26</v>
      </c>
      <c r="F2669" t="s">
        <v>16</v>
      </c>
      <c r="G2669">
        <v>115.05</v>
      </c>
      <c r="H2669">
        <v>8405</v>
      </c>
      <c r="I2669" t="s">
        <v>15</v>
      </c>
      <c r="J2669" t="s">
        <v>15</v>
      </c>
      <c r="K2669" t="s">
        <v>29</v>
      </c>
      <c r="L2669">
        <v>8405</v>
      </c>
      <c r="M2669" t="s">
        <v>5033</v>
      </c>
      <c r="N2669" t="s">
        <v>5034</v>
      </c>
    </row>
    <row r="2670" spans="1:14" x14ac:dyDescent="0.3">
      <c r="A2670" t="s">
        <v>2694</v>
      </c>
      <c r="B2670" t="s">
        <v>19</v>
      </c>
      <c r="C2670" t="s">
        <v>13</v>
      </c>
      <c r="D2670">
        <v>1</v>
      </c>
      <c r="E2670" t="s">
        <v>15</v>
      </c>
      <c r="F2670" t="s">
        <v>36</v>
      </c>
      <c r="G2670">
        <v>19.75</v>
      </c>
      <c r="H2670">
        <v>19.75</v>
      </c>
      <c r="I2670" t="s">
        <v>16</v>
      </c>
      <c r="J2670" t="s">
        <v>15</v>
      </c>
      <c r="K2670" t="s">
        <v>21</v>
      </c>
      <c r="L2670">
        <v>19.75</v>
      </c>
      <c r="M2670" t="s">
        <v>5030</v>
      </c>
      <c r="N2670" t="s">
        <v>5031</v>
      </c>
    </row>
    <row r="2671" spans="1:14" x14ac:dyDescent="0.3">
      <c r="A2671" t="s">
        <v>2695</v>
      </c>
      <c r="B2671" t="s">
        <v>12</v>
      </c>
      <c r="C2671" t="s">
        <v>13</v>
      </c>
      <c r="D2671">
        <v>19</v>
      </c>
      <c r="E2671" t="s">
        <v>26</v>
      </c>
      <c r="F2671" t="s">
        <v>15</v>
      </c>
      <c r="G2671">
        <v>95.15</v>
      </c>
      <c r="H2671">
        <v>1789.25</v>
      </c>
      <c r="I2671" t="s">
        <v>16</v>
      </c>
      <c r="J2671" t="s">
        <v>16</v>
      </c>
      <c r="K2671" t="s">
        <v>17</v>
      </c>
      <c r="L2671">
        <v>1789.25</v>
      </c>
      <c r="M2671" t="s">
        <v>5032</v>
      </c>
      <c r="N2671" t="s">
        <v>5031</v>
      </c>
    </row>
    <row r="2672" spans="1:14" x14ac:dyDescent="0.3">
      <c r="A2672" t="s">
        <v>2696</v>
      </c>
      <c r="B2672" t="s">
        <v>12</v>
      </c>
      <c r="C2672" t="s">
        <v>20</v>
      </c>
      <c r="D2672">
        <v>51</v>
      </c>
      <c r="E2672" t="s">
        <v>26</v>
      </c>
      <c r="F2672" t="s">
        <v>16</v>
      </c>
      <c r="G2672">
        <v>95.15</v>
      </c>
      <c r="H2672">
        <v>5000.05</v>
      </c>
      <c r="I2672" t="s">
        <v>15</v>
      </c>
      <c r="J2672" t="s">
        <v>16</v>
      </c>
      <c r="K2672" t="s">
        <v>21</v>
      </c>
      <c r="L2672">
        <v>5000.05</v>
      </c>
      <c r="M2672" t="s">
        <v>5033</v>
      </c>
      <c r="N2672" t="s">
        <v>5034</v>
      </c>
    </row>
    <row r="2673" spans="1:14" x14ac:dyDescent="0.3">
      <c r="A2673" t="s">
        <v>2697</v>
      </c>
      <c r="B2673" t="s">
        <v>19</v>
      </c>
      <c r="C2673" t="s">
        <v>13</v>
      </c>
      <c r="D2673">
        <v>63</v>
      </c>
      <c r="E2673" t="s">
        <v>26</v>
      </c>
      <c r="F2673" t="s">
        <v>16</v>
      </c>
      <c r="G2673">
        <v>105.4</v>
      </c>
      <c r="H2673">
        <v>6713.2</v>
      </c>
      <c r="I2673" t="s">
        <v>15</v>
      </c>
      <c r="J2673" t="s">
        <v>15</v>
      </c>
      <c r="K2673" t="s">
        <v>17</v>
      </c>
      <c r="L2673">
        <v>6713.2</v>
      </c>
      <c r="M2673" t="s">
        <v>5033</v>
      </c>
      <c r="N2673" t="s">
        <v>5034</v>
      </c>
    </row>
    <row r="2674" spans="1:14" x14ac:dyDescent="0.3">
      <c r="A2674" t="s">
        <v>2698</v>
      </c>
      <c r="B2674" t="s">
        <v>19</v>
      </c>
      <c r="C2674" t="s">
        <v>20</v>
      </c>
      <c r="D2674">
        <v>27</v>
      </c>
      <c r="E2674" t="s">
        <v>15</v>
      </c>
      <c r="F2674" t="s">
        <v>36</v>
      </c>
      <c r="G2674">
        <v>20.100000000000001</v>
      </c>
      <c r="H2674">
        <v>562.6</v>
      </c>
      <c r="I2674" t="s">
        <v>15</v>
      </c>
      <c r="J2674" t="s">
        <v>15</v>
      </c>
      <c r="K2674" t="s">
        <v>24</v>
      </c>
      <c r="L2674">
        <v>562.6</v>
      </c>
      <c r="M2674" t="s">
        <v>5032</v>
      </c>
      <c r="N2674" t="s">
        <v>5031</v>
      </c>
    </row>
    <row r="2675" spans="1:14" x14ac:dyDescent="0.3">
      <c r="A2675" t="s">
        <v>2699</v>
      </c>
      <c r="B2675" t="s">
        <v>19</v>
      </c>
      <c r="C2675" t="s">
        <v>13</v>
      </c>
      <c r="D2675">
        <v>22</v>
      </c>
      <c r="E2675" t="s">
        <v>26</v>
      </c>
      <c r="F2675" t="s">
        <v>15</v>
      </c>
      <c r="G2675">
        <v>101.35</v>
      </c>
      <c r="H2675">
        <v>2317.1</v>
      </c>
      <c r="I2675" t="s">
        <v>16</v>
      </c>
      <c r="J2675" t="s">
        <v>16</v>
      </c>
      <c r="K2675" t="s">
        <v>24</v>
      </c>
      <c r="L2675">
        <v>2317.1</v>
      </c>
      <c r="M2675" t="s">
        <v>5032</v>
      </c>
      <c r="N2675" t="s">
        <v>5031</v>
      </c>
    </row>
    <row r="2676" spans="1:14" x14ac:dyDescent="0.3">
      <c r="A2676" t="s">
        <v>2700</v>
      </c>
      <c r="B2676" t="s">
        <v>12</v>
      </c>
      <c r="C2676" t="s">
        <v>13</v>
      </c>
      <c r="D2676">
        <v>4</v>
      </c>
      <c r="E2676" t="s">
        <v>15</v>
      </c>
      <c r="F2676" t="s">
        <v>36</v>
      </c>
      <c r="G2676">
        <v>20.05</v>
      </c>
      <c r="H2676">
        <v>91.45</v>
      </c>
      <c r="I2676" t="s">
        <v>15</v>
      </c>
      <c r="J2676" t="s">
        <v>15</v>
      </c>
      <c r="K2676" t="s">
        <v>21</v>
      </c>
      <c r="L2676">
        <v>91.45</v>
      </c>
      <c r="M2676" t="s">
        <v>5030</v>
      </c>
      <c r="N2676" t="s">
        <v>5031</v>
      </c>
    </row>
    <row r="2677" spans="1:14" x14ac:dyDescent="0.3">
      <c r="A2677" t="s">
        <v>2701</v>
      </c>
      <c r="B2677" t="s">
        <v>19</v>
      </c>
      <c r="C2677" t="s">
        <v>35</v>
      </c>
      <c r="D2677">
        <v>42</v>
      </c>
      <c r="E2677" t="s">
        <v>15</v>
      </c>
      <c r="F2677" t="s">
        <v>36</v>
      </c>
      <c r="G2677">
        <v>20.7</v>
      </c>
      <c r="H2677">
        <v>828.85</v>
      </c>
      <c r="I2677" t="s">
        <v>15</v>
      </c>
      <c r="J2677" t="s">
        <v>15</v>
      </c>
      <c r="K2677" t="s">
        <v>21</v>
      </c>
      <c r="L2677">
        <v>828.85</v>
      </c>
      <c r="M2677" t="s">
        <v>5033</v>
      </c>
      <c r="N2677" t="s">
        <v>5031</v>
      </c>
    </row>
    <row r="2678" spans="1:14" x14ac:dyDescent="0.3">
      <c r="A2678" t="s">
        <v>2702</v>
      </c>
      <c r="B2678" t="s">
        <v>12</v>
      </c>
      <c r="C2678" t="s">
        <v>20</v>
      </c>
      <c r="D2678">
        <v>29</v>
      </c>
      <c r="E2678" t="s">
        <v>15</v>
      </c>
      <c r="F2678" t="s">
        <v>36</v>
      </c>
      <c r="G2678">
        <v>20.350000000000001</v>
      </c>
      <c r="H2678">
        <v>617.35</v>
      </c>
      <c r="I2678" t="s">
        <v>15</v>
      </c>
      <c r="J2678" t="s">
        <v>15</v>
      </c>
      <c r="K2678" t="s">
        <v>21</v>
      </c>
      <c r="L2678">
        <v>617.35</v>
      </c>
      <c r="M2678" t="s">
        <v>5032</v>
      </c>
      <c r="N2678" t="s">
        <v>5031</v>
      </c>
    </row>
    <row r="2679" spans="1:14" x14ac:dyDescent="0.3">
      <c r="A2679" t="s">
        <v>2703</v>
      </c>
      <c r="B2679" t="s">
        <v>12</v>
      </c>
      <c r="C2679" t="s">
        <v>13</v>
      </c>
      <c r="D2679">
        <v>4</v>
      </c>
      <c r="E2679" t="s">
        <v>26</v>
      </c>
      <c r="F2679" t="s">
        <v>15</v>
      </c>
      <c r="G2679">
        <v>70.05</v>
      </c>
      <c r="H2679">
        <v>266.89999999999998</v>
      </c>
      <c r="I2679" t="s">
        <v>16</v>
      </c>
      <c r="J2679" t="s">
        <v>16</v>
      </c>
      <c r="K2679" t="s">
        <v>29</v>
      </c>
      <c r="L2679">
        <v>266.89999999999998</v>
      </c>
      <c r="M2679" t="s">
        <v>5030</v>
      </c>
      <c r="N2679" t="s">
        <v>5031</v>
      </c>
    </row>
    <row r="2680" spans="1:14" x14ac:dyDescent="0.3">
      <c r="A2680" t="s">
        <v>2704</v>
      </c>
      <c r="B2680" t="s">
        <v>19</v>
      </c>
      <c r="C2680" t="s">
        <v>20</v>
      </c>
      <c r="D2680">
        <v>30</v>
      </c>
      <c r="E2680" t="s">
        <v>15</v>
      </c>
      <c r="F2680" t="s">
        <v>36</v>
      </c>
      <c r="G2680">
        <v>19.7</v>
      </c>
      <c r="H2680">
        <v>625.04999999999995</v>
      </c>
      <c r="I2680" t="s">
        <v>15</v>
      </c>
      <c r="J2680" t="s">
        <v>15</v>
      </c>
      <c r="K2680" t="s">
        <v>21</v>
      </c>
      <c r="L2680">
        <v>625.04999999999995</v>
      </c>
      <c r="M2680" t="s">
        <v>5032</v>
      </c>
      <c r="N2680" t="s">
        <v>5031</v>
      </c>
    </row>
    <row r="2681" spans="1:14" x14ac:dyDescent="0.3">
      <c r="A2681" t="s">
        <v>2705</v>
      </c>
      <c r="B2681" t="s">
        <v>19</v>
      </c>
      <c r="C2681" t="s">
        <v>13</v>
      </c>
      <c r="D2681">
        <v>4</v>
      </c>
      <c r="E2681" t="s">
        <v>26</v>
      </c>
      <c r="F2681" t="s">
        <v>15</v>
      </c>
      <c r="G2681">
        <v>74.650000000000006</v>
      </c>
      <c r="H2681">
        <v>301.39999999999998</v>
      </c>
      <c r="I2681" t="s">
        <v>16</v>
      </c>
      <c r="J2681" t="s">
        <v>16</v>
      </c>
      <c r="K2681" t="s">
        <v>17</v>
      </c>
      <c r="L2681">
        <v>301.39999999999998</v>
      </c>
      <c r="M2681" t="s">
        <v>5030</v>
      </c>
      <c r="N2681" t="s">
        <v>5031</v>
      </c>
    </row>
    <row r="2682" spans="1:14" x14ac:dyDescent="0.3">
      <c r="A2682" t="s">
        <v>2706</v>
      </c>
      <c r="B2682" t="s">
        <v>19</v>
      </c>
      <c r="C2682" t="s">
        <v>35</v>
      </c>
      <c r="D2682">
        <v>71</v>
      </c>
      <c r="E2682" t="s">
        <v>14</v>
      </c>
      <c r="F2682" t="s">
        <v>16</v>
      </c>
      <c r="G2682">
        <v>85.45</v>
      </c>
      <c r="H2682">
        <v>6029.9</v>
      </c>
      <c r="I2682" t="s">
        <v>15</v>
      </c>
      <c r="J2682" t="s">
        <v>15</v>
      </c>
      <c r="K2682" t="s">
        <v>24</v>
      </c>
      <c r="L2682">
        <v>6029.9</v>
      </c>
      <c r="M2682" t="s">
        <v>5033</v>
      </c>
      <c r="N2682" t="s">
        <v>5034</v>
      </c>
    </row>
    <row r="2683" spans="1:14" x14ac:dyDescent="0.3">
      <c r="A2683" t="s">
        <v>2707</v>
      </c>
      <c r="B2683" t="s">
        <v>19</v>
      </c>
      <c r="C2683" t="s">
        <v>35</v>
      </c>
      <c r="D2683">
        <v>46</v>
      </c>
      <c r="E2683" t="s">
        <v>14</v>
      </c>
      <c r="F2683" t="s">
        <v>16</v>
      </c>
      <c r="G2683">
        <v>40.4</v>
      </c>
      <c r="H2683">
        <v>1842.7</v>
      </c>
      <c r="I2683" t="s">
        <v>15</v>
      </c>
      <c r="J2683" t="s">
        <v>15</v>
      </c>
      <c r="K2683" t="s">
        <v>29</v>
      </c>
      <c r="L2683">
        <v>1842.7</v>
      </c>
      <c r="M2683" t="s">
        <v>5033</v>
      </c>
      <c r="N2683" t="s">
        <v>5031</v>
      </c>
    </row>
    <row r="2684" spans="1:14" x14ac:dyDescent="0.3">
      <c r="A2684" t="s">
        <v>2708</v>
      </c>
      <c r="B2684" t="s">
        <v>19</v>
      </c>
      <c r="C2684" t="s">
        <v>13</v>
      </c>
      <c r="D2684">
        <v>4</v>
      </c>
      <c r="E2684" t="s">
        <v>14</v>
      </c>
      <c r="F2684" t="s">
        <v>15</v>
      </c>
      <c r="G2684">
        <v>50.4</v>
      </c>
      <c r="H2684">
        <v>206.6</v>
      </c>
      <c r="I2684" t="s">
        <v>16</v>
      </c>
      <c r="J2684" t="s">
        <v>15</v>
      </c>
      <c r="K2684" t="s">
        <v>21</v>
      </c>
      <c r="L2684">
        <v>206.6</v>
      </c>
      <c r="M2684" t="s">
        <v>5030</v>
      </c>
      <c r="N2684" t="s">
        <v>5031</v>
      </c>
    </row>
    <row r="2685" spans="1:14" x14ac:dyDescent="0.3">
      <c r="A2685" t="s">
        <v>2709</v>
      </c>
      <c r="B2685" t="s">
        <v>12</v>
      </c>
      <c r="C2685" t="s">
        <v>13</v>
      </c>
      <c r="D2685">
        <v>7</v>
      </c>
      <c r="E2685" t="s">
        <v>26</v>
      </c>
      <c r="F2685" t="s">
        <v>15</v>
      </c>
      <c r="G2685">
        <v>79.650000000000006</v>
      </c>
      <c r="H2685">
        <v>604.70000000000005</v>
      </c>
      <c r="I2685" t="s">
        <v>16</v>
      </c>
      <c r="J2685" t="s">
        <v>16</v>
      </c>
      <c r="K2685" t="s">
        <v>21</v>
      </c>
      <c r="L2685">
        <v>604.70000000000005</v>
      </c>
      <c r="M2685" t="s">
        <v>5030</v>
      </c>
      <c r="N2685" t="s">
        <v>5031</v>
      </c>
    </row>
    <row r="2686" spans="1:14" x14ac:dyDescent="0.3">
      <c r="A2686" t="s">
        <v>2710</v>
      </c>
      <c r="B2686" t="s">
        <v>19</v>
      </c>
      <c r="C2686" t="s">
        <v>20</v>
      </c>
      <c r="D2686">
        <v>69</v>
      </c>
      <c r="E2686" t="s">
        <v>26</v>
      </c>
      <c r="F2686" t="s">
        <v>16</v>
      </c>
      <c r="G2686">
        <v>105.2</v>
      </c>
      <c r="H2686">
        <v>7386.05</v>
      </c>
      <c r="I2686" t="s">
        <v>15</v>
      </c>
      <c r="J2686" t="s">
        <v>16</v>
      </c>
      <c r="K2686" t="s">
        <v>24</v>
      </c>
      <c r="L2686">
        <v>7386.05</v>
      </c>
      <c r="M2686" t="s">
        <v>5033</v>
      </c>
      <c r="N2686" t="s">
        <v>5034</v>
      </c>
    </row>
    <row r="2687" spans="1:14" x14ac:dyDescent="0.3">
      <c r="A2687" t="s">
        <v>2711</v>
      </c>
      <c r="B2687" t="s">
        <v>12</v>
      </c>
      <c r="C2687" t="s">
        <v>35</v>
      </c>
      <c r="D2687">
        <v>72</v>
      </c>
      <c r="E2687" t="s">
        <v>26</v>
      </c>
      <c r="F2687" t="s">
        <v>15</v>
      </c>
      <c r="G2687">
        <v>100.65</v>
      </c>
      <c r="H2687">
        <v>7334.05</v>
      </c>
      <c r="I2687" t="s">
        <v>15</v>
      </c>
      <c r="J2687" t="s">
        <v>15</v>
      </c>
      <c r="K2687" t="s">
        <v>24</v>
      </c>
      <c r="L2687">
        <v>7334.05</v>
      </c>
      <c r="M2687" t="s">
        <v>5033</v>
      </c>
      <c r="N2687" t="s">
        <v>5034</v>
      </c>
    </row>
    <row r="2688" spans="1:14" x14ac:dyDescent="0.3">
      <c r="A2688" t="s">
        <v>2712</v>
      </c>
      <c r="B2688" t="s">
        <v>19</v>
      </c>
      <c r="C2688" t="s">
        <v>13</v>
      </c>
      <c r="D2688">
        <v>19</v>
      </c>
      <c r="E2688" t="s">
        <v>26</v>
      </c>
      <c r="F2688" t="s">
        <v>15</v>
      </c>
      <c r="G2688">
        <v>79.849999999999994</v>
      </c>
      <c r="H2688">
        <v>1471.75</v>
      </c>
      <c r="I2688" t="s">
        <v>16</v>
      </c>
      <c r="J2688" t="s">
        <v>16</v>
      </c>
      <c r="K2688" t="s">
        <v>17</v>
      </c>
      <c r="L2688">
        <v>1471.75</v>
      </c>
      <c r="M2688" t="s">
        <v>5032</v>
      </c>
      <c r="N2688" t="s">
        <v>5031</v>
      </c>
    </row>
    <row r="2689" spans="1:14" x14ac:dyDescent="0.3">
      <c r="A2689" t="s">
        <v>2713</v>
      </c>
      <c r="B2689" t="s">
        <v>19</v>
      </c>
      <c r="C2689" t="s">
        <v>13</v>
      </c>
      <c r="D2689">
        <v>28</v>
      </c>
      <c r="E2689" t="s">
        <v>26</v>
      </c>
      <c r="F2689" t="s">
        <v>16</v>
      </c>
      <c r="G2689">
        <v>91</v>
      </c>
      <c r="H2689">
        <v>2626.15</v>
      </c>
      <c r="I2689" t="s">
        <v>15</v>
      </c>
      <c r="J2689" t="s">
        <v>15</v>
      </c>
      <c r="K2689" t="s">
        <v>17</v>
      </c>
      <c r="L2689">
        <v>2626.15</v>
      </c>
      <c r="M2689" t="s">
        <v>5032</v>
      </c>
      <c r="N2689" t="s">
        <v>5034</v>
      </c>
    </row>
    <row r="2690" spans="1:14" x14ac:dyDescent="0.3">
      <c r="A2690" t="s">
        <v>2714</v>
      </c>
      <c r="B2690" t="s">
        <v>19</v>
      </c>
      <c r="C2690" t="s">
        <v>13</v>
      </c>
      <c r="D2690">
        <v>5</v>
      </c>
      <c r="E2690" t="s">
        <v>26</v>
      </c>
      <c r="F2690" t="s">
        <v>15</v>
      </c>
      <c r="G2690">
        <v>78.75</v>
      </c>
      <c r="H2690">
        <v>412.1</v>
      </c>
      <c r="I2690" t="s">
        <v>16</v>
      </c>
      <c r="J2690" t="s">
        <v>16</v>
      </c>
      <c r="K2690" t="s">
        <v>17</v>
      </c>
      <c r="L2690">
        <v>412.1</v>
      </c>
      <c r="M2690" t="s">
        <v>5030</v>
      </c>
      <c r="N2690" t="s">
        <v>5031</v>
      </c>
    </row>
    <row r="2691" spans="1:14" x14ac:dyDescent="0.3">
      <c r="A2691" t="s">
        <v>2715</v>
      </c>
      <c r="B2691" t="s">
        <v>12</v>
      </c>
      <c r="C2691" t="s">
        <v>35</v>
      </c>
      <c r="D2691">
        <v>72</v>
      </c>
      <c r="E2691" t="s">
        <v>26</v>
      </c>
      <c r="F2691" t="s">
        <v>16</v>
      </c>
      <c r="G2691">
        <v>116.75</v>
      </c>
      <c r="H2691">
        <v>8277.0499999999993</v>
      </c>
      <c r="I2691" t="s">
        <v>15</v>
      </c>
      <c r="J2691" t="s">
        <v>16</v>
      </c>
      <c r="K2691" t="s">
        <v>29</v>
      </c>
      <c r="L2691">
        <v>8277.0499999999993</v>
      </c>
      <c r="M2691" t="s">
        <v>5033</v>
      </c>
      <c r="N2691" t="s">
        <v>5034</v>
      </c>
    </row>
    <row r="2692" spans="1:14" x14ac:dyDescent="0.3">
      <c r="A2692" t="s">
        <v>2716</v>
      </c>
      <c r="B2692" t="s">
        <v>19</v>
      </c>
      <c r="C2692" t="s">
        <v>13</v>
      </c>
      <c r="D2692">
        <v>8</v>
      </c>
      <c r="E2692" t="s">
        <v>26</v>
      </c>
      <c r="F2692" t="s">
        <v>15</v>
      </c>
      <c r="G2692">
        <v>80.45</v>
      </c>
      <c r="H2692">
        <v>583.45000000000005</v>
      </c>
      <c r="I2692" t="s">
        <v>16</v>
      </c>
      <c r="J2692" t="s">
        <v>16</v>
      </c>
      <c r="K2692" t="s">
        <v>29</v>
      </c>
      <c r="L2692">
        <v>583.45000000000005</v>
      </c>
      <c r="M2692" t="s">
        <v>5030</v>
      </c>
      <c r="N2692" t="s">
        <v>5031</v>
      </c>
    </row>
    <row r="2693" spans="1:14" x14ac:dyDescent="0.3">
      <c r="A2693" t="s">
        <v>2717</v>
      </c>
      <c r="B2693" t="s">
        <v>12</v>
      </c>
      <c r="C2693" t="s">
        <v>20</v>
      </c>
      <c r="D2693">
        <v>7</v>
      </c>
      <c r="E2693" t="s">
        <v>14</v>
      </c>
      <c r="F2693" t="s">
        <v>15</v>
      </c>
      <c r="G2693">
        <v>59.1</v>
      </c>
      <c r="H2693">
        <v>369.25</v>
      </c>
      <c r="I2693" t="s">
        <v>15</v>
      </c>
      <c r="J2693" t="s">
        <v>16</v>
      </c>
      <c r="K2693" t="s">
        <v>17</v>
      </c>
      <c r="L2693">
        <v>369.25</v>
      </c>
      <c r="M2693" t="s">
        <v>5030</v>
      </c>
      <c r="N2693" t="s">
        <v>5031</v>
      </c>
    </row>
    <row r="2694" spans="1:14" x14ac:dyDescent="0.3">
      <c r="A2694" t="s">
        <v>2718</v>
      </c>
      <c r="B2694" t="s">
        <v>12</v>
      </c>
      <c r="C2694" t="s">
        <v>13</v>
      </c>
      <c r="D2694">
        <v>22</v>
      </c>
      <c r="E2694" t="s">
        <v>14</v>
      </c>
      <c r="F2694" t="s">
        <v>15</v>
      </c>
      <c r="G2694">
        <v>49.8</v>
      </c>
      <c r="H2694">
        <v>1049.05</v>
      </c>
      <c r="I2694" t="s">
        <v>15</v>
      </c>
      <c r="J2694" t="s">
        <v>16</v>
      </c>
      <c r="K2694" t="s">
        <v>17</v>
      </c>
      <c r="L2694">
        <v>1049.05</v>
      </c>
      <c r="M2694" t="s">
        <v>5032</v>
      </c>
      <c r="N2694" t="s">
        <v>5031</v>
      </c>
    </row>
    <row r="2695" spans="1:14" x14ac:dyDescent="0.3">
      <c r="A2695" t="s">
        <v>2719</v>
      </c>
      <c r="B2695" t="s">
        <v>19</v>
      </c>
      <c r="C2695" t="s">
        <v>35</v>
      </c>
      <c r="D2695">
        <v>72</v>
      </c>
      <c r="E2695" t="s">
        <v>15</v>
      </c>
      <c r="F2695" t="s">
        <v>36</v>
      </c>
      <c r="G2695">
        <v>19.3</v>
      </c>
      <c r="H2695">
        <v>1414.8</v>
      </c>
      <c r="I2695" t="s">
        <v>15</v>
      </c>
      <c r="J2695" t="s">
        <v>15</v>
      </c>
      <c r="K2695" t="s">
        <v>24</v>
      </c>
      <c r="L2695">
        <v>1414.8</v>
      </c>
      <c r="M2695" t="s">
        <v>5033</v>
      </c>
      <c r="N2695" t="s">
        <v>5031</v>
      </c>
    </row>
    <row r="2696" spans="1:14" x14ac:dyDescent="0.3">
      <c r="A2696" t="s">
        <v>2720</v>
      </c>
      <c r="B2696" t="s">
        <v>19</v>
      </c>
      <c r="C2696" t="s">
        <v>13</v>
      </c>
      <c r="D2696">
        <v>8</v>
      </c>
      <c r="E2696" t="s">
        <v>15</v>
      </c>
      <c r="F2696" t="s">
        <v>36</v>
      </c>
      <c r="G2696">
        <v>19.649999999999999</v>
      </c>
      <c r="H2696">
        <v>169.75</v>
      </c>
      <c r="I2696" t="s">
        <v>15</v>
      </c>
      <c r="J2696" t="s">
        <v>15</v>
      </c>
      <c r="K2696" t="s">
        <v>29</v>
      </c>
      <c r="L2696">
        <v>169.75</v>
      </c>
      <c r="M2696" t="s">
        <v>5030</v>
      </c>
      <c r="N2696" t="s">
        <v>5031</v>
      </c>
    </row>
    <row r="2697" spans="1:14" x14ac:dyDescent="0.3">
      <c r="A2697" t="s">
        <v>2721</v>
      </c>
      <c r="B2697" t="s">
        <v>19</v>
      </c>
      <c r="C2697" t="s">
        <v>20</v>
      </c>
      <c r="D2697">
        <v>52</v>
      </c>
      <c r="E2697" t="s">
        <v>14</v>
      </c>
      <c r="F2697" t="s">
        <v>16</v>
      </c>
      <c r="G2697">
        <v>81.400000000000006</v>
      </c>
      <c r="H2697">
        <v>4354.45</v>
      </c>
      <c r="I2697" t="s">
        <v>15</v>
      </c>
      <c r="J2697" t="s">
        <v>16</v>
      </c>
      <c r="K2697" t="s">
        <v>29</v>
      </c>
      <c r="L2697">
        <v>4354.45</v>
      </c>
      <c r="M2697" t="s">
        <v>5033</v>
      </c>
      <c r="N2697" t="s">
        <v>5034</v>
      </c>
    </row>
    <row r="2698" spans="1:14" x14ac:dyDescent="0.3">
      <c r="A2698" t="s">
        <v>2722</v>
      </c>
      <c r="B2698" t="s">
        <v>12</v>
      </c>
      <c r="C2698" t="s">
        <v>35</v>
      </c>
      <c r="D2698">
        <v>68</v>
      </c>
      <c r="E2698" t="s">
        <v>14</v>
      </c>
      <c r="F2698" t="s">
        <v>16</v>
      </c>
      <c r="G2698">
        <v>38.9</v>
      </c>
      <c r="H2698">
        <v>2719.2</v>
      </c>
      <c r="I2698" t="s">
        <v>15</v>
      </c>
      <c r="J2698" t="s">
        <v>15</v>
      </c>
      <c r="K2698" t="s">
        <v>21</v>
      </c>
      <c r="L2698">
        <v>2719.2</v>
      </c>
      <c r="M2698" t="s">
        <v>5033</v>
      </c>
      <c r="N2698" t="s">
        <v>5034</v>
      </c>
    </row>
    <row r="2699" spans="1:14" x14ac:dyDescent="0.3">
      <c r="A2699" t="s">
        <v>2723</v>
      </c>
      <c r="B2699" t="s">
        <v>12</v>
      </c>
      <c r="C2699" t="s">
        <v>35</v>
      </c>
      <c r="D2699">
        <v>71</v>
      </c>
      <c r="E2699" t="s">
        <v>14</v>
      </c>
      <c r="F2699" t="s">
        <v>16</v>
      </c>
      <c r="G2699">
        <v>87.95</v>
      </c>
      <c r="H2699">
        <v>6365.35</v>
      </c>
      <c r="I2699" t="s">
        <v>15</v>
      </c>
      <c r="J2699" t="s">
        <v>15</v>
      </c>
      <c r="K2699" t="s">
        <v>24</v>
      </c>
      <c r="L2699">
        <v>6365.35</v>
      </c>
      <c r="M2699" t="s">
        <v>5033</v>
      </c>
      <c r="N2699" t="s">
        <v>5034</v>
      </c>
    </row>
    <row r="2700" spans="1:14" x14ac:dyDescent="0.3">
      <c r="A2700" t="s">
        <v>2724</v>
      </c>
      <c r="B2700" t="s">
        <v>19</v>
      </c>
      <c r="C2700" t="s">
        <v>13</v>
      </c>
      <c r="D2700">
        <v>2</v>
      </c>
      <c r="E2700" t="s">
        <v>15</v>
      </c>
      <c r="F2700" t="s">
        <v>36</v>
      </c>
      <c r="G2700">
        <v>19.850000000000001</v>
      </c>
      <c r="H2700">
        <v>51.6</v>
      </c>
      <c r="I2700" t="s">
        <v>15</v>
      </c>
      <c r="J2700" t="s">
        <v>15</v>
      </c>
      <c r="K2700" t="s">
        <v>21</v>
      </c>
      <c r="L2700">
        <v>51.6</v>
      </c>
      <c r="M2700" t="s">
        <v>5030</v>
      </c>
      <c r="N2700" t="s">
        <v>5031</v>
      </c>
    </row>
    <row r="2701" spans="1:14" x14ac:dyDescent="0.3">
      <c r="A2701" t="s">
        <v>2725</v>
      </c>
      <c r="B2701" t="s">
        <v>12</v>
      </c>
      <c r="C2701" t="s">
        <v>13</v>
      </c>
      <c r="D2701">
        <v>34</v>
      </c>
      <c r="E2701" t="s">
        <v>26</v>
      </c>
      <c r="F2701" t="s">
        <v>16</v>
      </c>
      <c r="G2701">
        <v>96.35</v>
      </c>
      <c r="H2701">
        <v>3190.25</v>
      </c>
      <c r="I2701" t="s">
        <v>15</v>
      </c>
      <c r="J2701" t="s">
        <v>16</v>
      </c>
      <c r="K2701" t="s">
        <v>17</v>
      </c>
      <c r="L2701">
        <v>3190.25</v>
      </c>
      <c r="M2701" t="s">
        <v>5032</v>
      </c>
      <c r="N2701" t="s">
        <v>5034</v>
      </c>
    </row>
    <row r="2702" spans="1:14" x14ac:dyDescent="0.3">
      <c r="A2702" t="s">
        <v>2726</v>
      </c>
      <c r="B2702" t="s">
        <v>12</v>
      </c>
      <c r="C2702" t="s">
        <v>13</v>
      </c>
      <c r="D2702">
        <v>35</v>
      </c>
      <c r="E2702" t="s">
        <v>14</v>
      </c>
      <c r="F2702" t="s">
        <v>15</v>
      </c>
      <c r="G2702">
        <v>24.15</v>
      </c>
      <c r="H2702">
        <v>812.5</v>
      </c>
      <c r="I2702" t="s">
        <v>15</v>
      </c>
      <c r="J2702" t="s">
        <v>15</v>
      </c>
      <c r="K2702" t="s">
        <v>17</v>
      </c>
      <c r="L2702">
        <v>812.5</v>
      </c>
      <c r="M2702" t="s">
        <v>5032</v>
      </c>
      <c r="N2702" t="s">
        <v>5031</v>
      </c>
    </row>
    <row r="2703" spans="1:14" x14ac:dyDescent="0.3">
      <c r="A2703" t="s">
        <v>2727</v>
      </c>
      <c r="B2703" t="s">
        <v>12</v>
      </c>
      <c r="C2703" t="s">
        <v>20</v>
      </c>
      <c r="D2703">
        <v>61</v>
      </c>
      <c r="E2703" t="s">
        <v>15</v>
      </c>
      <c r="F2703" t="s">
        <v>36</v>
      </c>
      <c r="G2703">
        <v>19.100000000000001</v>
      </c>
      <c r="H2703">
        <v>1143.8</v>
      </c>
      <c r="I2703" t="s">
        <v>15</v>
      </c>
      <c r="J2703" t="s">
        <v>15</v>
      </c>
      <c r="K2703" t="s">
        <v>29</v>
      </c>
      <c r="L2703">
        <v>1143.8</v>
      </c>
      <c r="M2703" t="s">
        <v>5033</v>
      </c>
      <c r="N2703" t="s">
        <v>5031</v>
      </c>
    </row>
    <row r="2704" spans="1:14" x14ac:dyDescent="0.3">
      <c r="A2704" t="s">
        <v>2728</v>
      </c>
      <c r="B2704" t="s">
        <v>19</v>
      </c>
      <c r="C2704" t="s">
        <v>13</v>
      </c>
      <c r="D2704">
        <v>1</v>
      </c>
      <c r="E2704" t="s">
        <v>14</v>
      </c>
      <c r="F2704" t="s">
        <v>15</v>
      </c>
      <c r="G2704">
        <v>44</v>
      </c>
      <c r="H2704">
        <v>44</v>
      </c>
      <c r="I2704" t="s">
        <v>15</v>
      </c>
      <c r="J2704" t="s">
        <v>15</v>
      </c>
      <c r="K2704" t="s">
        <v>17</v>
      </c>
      <c r="L2704">
        <v>44</v>
      </c>
      <c r="M2704" t="s">
        <v>5030</v>
      </c>
      <c r="N2704" t="s">
        <v>5031</v>
      </c>
    </row>
    <row r="2705" spans="1:14" x14ac:dyDescent="0.3">
      <c r="A2705" t="s">
        <v>2729</v>
      </c>
      <c r="B2705" t="s">
        <v>12</v>
      </c>
      <c r="C2705" t="s">
        <v>13</v>
      </c>
      <c r="D2705">
        <v>1</v>
      </c>
      <c r="E2705" t="s">
        <v>14</v>
      </c>
      <c r="F2705" t="s">
        <v>15</v>
      </c>
      <c r="G2705">
        <v>50.1</v>
      </c>
      <c r="H2705">
        <v>50.1</v>
      </c>
      <c r="I2705" t="s">
        <v>16</v>
      </c>
      <c r="J2705" t="s">
        <v>16</v>
      </c>
      <c r="K2705" t="s">
        <v>21</v>
      </c>
      <c r="L2705">
        <v>50.1</v>
      </c>
      <c r="M2705" t="s">
        <v>5030</v>
      </c>
      <c r="N2705" t="s">
        <v>5031</v>
      </c>
    </row>
    <row r="2706" spans="1:14" x14ac:dyDescent="0.3">
      <c r="A2706" t="s">
        <v>2730</v>
      </c>
      <c r="B2706" t="s">
        <v>12</v>
      </c>
      <c r="C2706" t="s">
        <v>20</v>
      </c>
      <c r="D2706">
        <v>53</v>
      </c>
      <c r="E2706" t="s">
        <v>14</v>
      </c>
      <c r="F2706" t="s">
        <v>15</v>
      </c>
      <c r="G2706">
        <v>60.6</v>
      </c>
      <c r="H2706">
        <v>3297</v>
      </c>
      <c r="I2706" t="s">
        <v>15</v>
      </c>
      <c r="J2706" t="s">
        <v>15</v>
      </c>
      <c r="K2706" t="s">
        <v>29</v>
      </c>
      <c r="L2706">
        <v>3297</v>
      </c>
      <c r="M2706" t="s">
        <v>5033</v>
      </c>
      <c r="N2706" t="s">
        <v>5034</v>
      </c>
    </row>
    <row r="2707" spans="1:14" x14ac:dyDescent="0.3">
      <c r="A2707" t="s">
        <v>2731</v>
      </c>
      <c r="B2707" t="s">
        <v>12</v>
      </c>
      <c r="C2707" t="s">
        <v>35</v>
      </c>
      <c r="D2707">
        <v>72</v>
      </c>
      <c r="E2707" t="s">
        <v>15</v>
      </c>
      <c r="F2707" t="s">
        <v>36</v>
      </c>
      <c r="G2707">
        <v>25.65</v>
      </c>
      <c r="H2707">
        <v>1887</v>
      </c>
      <c r="I2707" t="s">
        <v>15</v>
      </c>
      <c r="J2707" t="s">
        <v>15</v>
      </c>
      <c r="K2707" t="s">
        <v>24</v>
      </c>
      <c r="L2707">
        <v>1887</v>
      </c>
      <c r="M2707" t="s">
        <v>5033</v>
      </c>
      <c r="N2707" t="s">
        <v>5031</v>
      </c>
    </row>
    <row r="2708" spans="1:14" x14ac:dyDescent="0.3">
      <c r="A2708" t="s">
        <v>2732</v>
      </c>
      <c r="B2708" t="s">
        <v>19</v>
      </c>
      <c r="C2708" t="s">
        <v>13</v>
      </c>
      <c r="D2708">
        <v>2</v>
      </c>
      <c r="E2708" t="s">
        <v>26</v>
      </c>
      <c r="F2708" t="s">
        <v>15</v>
      </c>
      <c r="G2708">
        <v>76.400000000000006</v>
      </c>
      <c r="H2708">
        <v>151.80000000000001</v>
      </c>
      <c r="I2708" t="s">
        <v>16</v>
      </c>
      <c r="J2708" t="s">
        <v>15</v>
      </c>
      <c r="K2708" t="s">
        <v>17</v>
      </c>
      <c r="L2708">
        <v>151.80000000000001</v>
      </c>
      <c r="M2708" t="s">
        <v>5030</v>
      </c>
      <c r="N2708" t="s">
        <v>5031</v>
      </c>
    </row>
    <row r="2709" spans="1:14" x14ac:dyDescent="0.3">
      <c r="A2709" t="s">
        <v>2733</v>
      </c>
      <c r="B2709" t="s">
        <v>19</v>
      </c>
      <c r="C2709" t="s">
        <v>13</v>
      </c>
      <c r="D2709">
        <v>3</v>
      </c>
      <c r="E2709" t="s">
        <v>26</v>
      </c>
      <c r="F2709" t="s">
        <v>16</v>
      </c>
      <c r="G2709">
        <v>98.7</v>
      </c>
      <c r="H2709">
        <v>293.64999999999998</v>
      </c>
      <c r="I2709" t="s">
        <v>16</v>
      </c>
      <c r="J2709" t="s">
        <v>16</v>
      </c>
      <c r="K2709" t="s">
        <v>17</v>
      </c>
      <c r="L2709">
        <v>293.64999999999998</v>
      </c>
      <c r="M2709" t="s">
        <v>5030</v>
      </c>
      <c r="N2709" t="s">
        <v>5031</v>
      </c>
    </row>
    <row r="2710" spans="1:14" x14ac:dyDescent="0.3">
      <c r="A2710" t="s">
        <v>2734</v>
      </c>
      <c r="B2710" t="s">
        <v>12</v>
      </c>
      <c r="C2710" t="s">
        <v>13</v>
      </c>
      <c r="D2710">
        <v>13</v>
      </c>
      <c r="E2710" t="s">
        <v>26</v>
      </c>
      <c r="F2710" t="s">
        <v>15</v>
      </c>
      <c r="G2710">
        <v>100.8</v>
      </c>
      <c r="H2710">
        <v>1308.0999999999999</v>
      </c>
      <c r="I2710" t="s">
        <v>16</v>
      </c>
      <c r="J2710" t="s">
        <v>16</v>
      </c>
      <c r="K2710" t="s">
        <v>17</v>
      </c>
      <c r="L2710">
        <v>1308.0999999999999</v>
      </c>
      <c r="M2710" t="s">
        <v>5032</v>
      </c>
      <c r="N2710" t="s">
        <v>5031</v>
      </c>
    </row>
    <row r="2711" spans="1:14" x14ac:dyDescent="0.3">
      <c r="A2711" t="s">
        <v>2735</v>
      </c>
      <c r="B2711" t="s">
        <v>19</v>
      </c>
      <c r="C2711" t="s">
        <v>13</v>
      </c>
      <c r="D2711">
        <v>41</v>
      </c>
      <c r="E2711" t="s">
        <v>14</v>
      </c>
      <c r="F2711" t="s">
        <v>15</v>
      </c>
      <c r="G2711">
        <v>53.95</v>
      </c>
      <c r="H2711">
        <v>2215.4</v>
      </c>
      <c r="I2711" t="s">
        <v>15</v>
      </c>
      <c r="J2711" t="s">
        <v>16</v>
      </c>
      <c r="K2711" t="s">
        <v>17</v>
      </c>
      <c r="L2711">
        <v>2215.4</v>
      </c>
      <c r="M2711" t="s">
        <v>5033</v>
      </c>
      <c r="N2711" t="s">
        <v>5031</v>
      </c>
    </row>
    <row r="2712" spans="1:14" x14ac:dyDescent="0.3">
      <c r="A2712" t="s">
        <v>2736</v>
      </c>
      <c r="B2712" t="s">
        <v>12</v>
      </c>
      <c r="C2712" t="s">
        <v>20</v>
      </c>
      <c r="D2712">
        <v>24</v>
      </c>
      <c r="E2712" t="s">
        <v>15</v>
      </c>
      <c r="F2712" t="s">
        <v>36</v>
      </c>
      <c r="G2712">
        <v>20.399999999999999</v>
      </c>
      <c r="H2712">
        <v>482.8</v>
      </c>
      <c r="I2712" t="s">
        <v>15</v>
      </c>
      <c r="J2712" t="s">
        <v>15</v>
      </c>
      <c r="K2712" t="s">
        <v>29</v>
      </c>
      <c r="L2712">
        <v>482.8</v>
      </c>
      <c r="M2712" t="s">
        <v>5032</v>
      </c>
      <c r="N2712" t="s">
        <v>5031</v>
      </c>
    </row>
    <row r="2713" spans="1:14" x14ac:dyDescent="0.3">
      <c r="A2713" t="s">
        <v>2737</v>
      </c>
      <c r="B2713" t="s">
        <v>12</v>
      </c>
      <c r="C2713" t="s">
        <v>20</v>
      </c>
      <c r="D2713">
        <v>28</v>
      </c>
      <c r="E2713" t="s">
        <v>26</v>
      </c>
      <c r="F2713" t="s">
        <v>15</v>
      </c>
      <c r="G2713">
        <v>90.1</v>
      </c>
      <c r="H2713">
        <v>2598.9499999999998</v>
      </c>
      <c r="I2713" t="s">
        <v>16</v>
      </c>
      <c r="J2713" t="s">
        <v>16</v>
      </c>
      <c r="K2713" t="s">
        <v>24</v>
      </c>
      <c r="L2713">
        <v>2598.9499999999998</v>
      </c>
      <c r="M2713" t="s">
        <v>5032</v>
      </c>
      <c r="N2713" t="s">
        <v>5034</v>
      </c>
    </row>
    <row r="2714" spans="1:14" x14ac:dyDescent="0.3">
      <c r="A2714" t="s">
        <v>2738</v>
      </c>
      <c r="B2714" t="s">
        <v>19</v>
      </c>
      <c r="C2714" t="s">
        <v>13</v>
      </c>
      <c r="D2714">
        <v>8</v>
      </c>
      <c r="E2714" t="s">
        <v>14</v>
      </c>
      <c r="F2714" t="s">
        <v>15</v>
      </c>
      <c r="G2714">
        <v>29.35</v>
      </c>
      <c r="H2714">
        <v>216.45</v>
      </c>
      <c r="I2714" t="s">
        <v>15</v>
      </c>
      <c r="J2714" t="s">
        <v>15</v>
      </c>
      <c r="K2714" t="s">
        <v>21</v>
      </c>
      <c r="L2714">
        <v>216.45</v>
      </c>
      <c r="M2714" t="s">
        <v>5030</v>
      </c>
      <c r="N2714" t="s">
        <v>5031</v>
      </c>
    </row>
    <row r="2715" spans="1:14" x14ac:dyDescent="0.3">
      <c r="A2715" t="s">
        <v>2739</v>
      </c>
      <c r="B2715" t="s">
        <v>19</v>
      </c>
      <c r="C2715" t="s">
        <v>13</v>
      </c>
      <c r="D2715">
        <v>1</v>
      </c>
      <c r="E2715" t="s">
        <v>15</v>
      </c>
      <c r="F2715" t="s">
        <v>36</v>
      </c>
      <c r="G2715">
        <v>20.45</v>
      </c>
      <c r="H2715">
        <v>20.45</v>
      </c>
      <c r="I2715" t="s">
        <v>15</v>
      </c>
      <c r="J2715" t="s">
        <v>16</v>
      </c>
      <c r="K2715" t="s">
        <v>21</v>
      </c>
      <c r="L2715">
        <v>20.45</v>
      </c>
      <c r="M2715" t="s">
        <v>5030</v>
      </c>
      <c r="N2715" t="s">
        <v>5031</v>
      </c>
    </row>
    <row r="2716" spans="1:14" x14ac:dyDescent="0.3">
      <c r="A2716" t="s">
        <v>2740</v>
      </c>
      <c r="B2716" t="s">
        <v>12</v>
      </c>
      <c r="C2716" t="s">
        <v>35</v>
      </c>
      <c r="D2716">
        <v>54</v>
      </c>
      <c r="E2716" t="s">
        <v>26</v>
      </c>
      <c r="F2716" t="s">
        <v>16</v>
      </c>
      <c r="G2716">
        <v>95.1</v>
      </c>
      <c r="H2716">
        <v>5064.8500000000004</v>
      </c>
      <c r="I2716" t="s">
        <v>15</v>
      </c>
      <c r="J2716" t="s">
        <v>16</v>
      </c>
      <c r="K2716" t="s">
        <v>24</v>
      </c>
      <c r="L2716">
        <v>5064.8500000000004</v>
      </c>
      <c r="M2716" t="s">
        <v>5033</v>
      </c>
      <c r="N2716" t="s">
        <v>5034</v>
      </c>
    </row>
    <row r="2717" spans="1:14" x14ac:dyDescent="0.3">
      <c r="A2717" t="s">
        <v>2741</v>
      </c>
      <c r="B2717" t="s">
        <v>19</v>
      </c>
      <c r="C2717" t="s">
        <v>13</v>
      </c>
      <c r="D2717">
        <v>41</v>
      </c>
      <c r="E2717" t="s">
        <v>15</v>
      </c>
      <c r="F2717" t="s">
        <v>36</v>
      </c>
      <c r="G2717">
        <v>25.25</v>
      </c>
      <c r="H2717">
        <v>996.45</v>
      </c>
      <c r="I2717" t="s">
        <v>15</v>
      </c>
      <c r="J2717" t="s">
        <v>16</v>
      </c>
      <c r="K2717" t="s">
        <v>24</v>
      </c>
      <c r="L2717">
        <v>996.45</v>
      </c>
      <c r="M2717" t="s">
        <v>5033</v>
      </c>
      <c r="N2717" t="s">
        <v>5031</v>
      </c>
    </row>
    <row r="2718" spans="1:14" x14ac:dyDescent="0.3">
      <c r="A2718" t="s">
        <v>2742</v>
      </c>
      <c r="B2718" t="s">
        <v>12</v>
      </c>
      <c r="C2718" t="s">
        <v>13</v>
      </c>
      <c r="D2718">
        <v>19</v>
      </c>
      <c r="E2718" t="s">
        <v>14</v>
      </c>
      <c r="F2718" t="s">
        <v>15</v>
      </c>
      <c r="G2718">
        <v>44.9</v>
      </c>
      <c r="H2718">
        <v>839.65</v>
      </c>
      <c r="I2718" t="s">
        <v>15</v>
      </c>
      <c r="J2718" t="s">
        <v>15</v>
      </c>
      <c r="K2718" t="s">
        <v>21</v>
      </c>
      <c r="L2718">
        <v>839.65</v>
      </c>
      <c r="M2718" t="s">
        <v>5032</v>
      </c>
      <c r="N2718" t="s">
        <v>5031</v>
      </c>
    </row>
    <row r="2719" spans="1:14" x14ac:dyDescent="0.3">
      <c r="A2719" t="s">
        <v>2743</v>
      </c>
      <c r="B2719" t="s">
        <v>12</v>
      </c>
      <c r="C2719" t="s">
        <v>35</v>
      </c>
      <c r="D2719">
        <v>72</v>
      </c>
      <c r="E2719" t="s">
        <v>14</v>
      </c>
      <c r="F2719" t="s">
        <v>16</v>
      </c>
      <c r="G2719">
        <v>92.65</v>
      </c>
      <c r="H2719">
        <v>6733</v>
      </c>
      <c r="I2719" t="s">
        <v>15</v>
      </c>
      <c r="J2719" t="s">
        <v>15</v>
      </c>
      <c r="K2719" t="s">
        <v>24</v>
      </c>
      <c r="L2719">
        <v>6733</v>
      </c>
      <c r="M2719" t="s">
        <v>5033</v>
      </c>
      <c r="N2719" t="s">
        <v>5034</v>
      </c>
    </row>
    <row r="2720" spans="1:14" x14ac:dyDescent="0.3">
      <c r="A2720" t="s">
        <v>2744</v>
      </c>
      <c r="B2720" t="s">
        <v>19</v>
      </c>
      <c r="C2720" t="s">
        <v>35</v>
      </c>
      <c r="D2720">
        <v>62</v>
      </c>
      <c r="E2720" t="s">
        <v>14</v>
      </c>
      <c r="F2720" t="s">
        <v>16</v>
      </c>
      <c r="G2720">
        <v>43.7</v>
      </c>
      <c r="H2720">
        <v>2618.3000000000002</v>
      </c>
      <c r="I2720" t="s">
        <v>15</v>
      </c>
      <c r="J2720" t="s">
        <v>16</v>
      </c>
      <c r="K2720" t="s">
        <v>24</v>
      </c>
      <c r="L2720">
        <v>2618.3000000000002</v>
      </c>
      <c r="M2720" t="s">
        <v>5033</v>
      </c>
      <c r="N2720" t="s">
        <v>5034</v>
      </c>
    </row>
    <row r="2721" spans="1:14" x14ac:dyDescent="0.3">
      <c r="A2721" t="s">
        <v>2745</v>
      </c>
      <c r="B2721" t="s">
        <v>12</v>
      </c>
      <c r="C2721" t="s">
        <v>35</v>
      </c>
      <c r="D2721">
        <v>56</v>
      </c>
      <c r="E2721" t="s">
        <v>14</v>
      </c>
      <c r="F2721" t="s">
        <v>16</v>
      </c>
      <c r="G2721">
        <v>72.599999999999994</v>
      </c>
      <c r="H2721">
        <v>4084.35</v>
      </c>
      <c r="I2721" t="s">
        <v>15</v>
      </c>
      <c r="J2721" t="s">
        <v>16</v>
      </c>
      <c r="K2721" t="s">
        <v>29</v>
      </c>
      <c r="L2721">
        <v>4084.35</v>
      </c>
      <c r="M2721" t="s">
        <v>5033</v>
      </c>
      <c r="N2721" t="s">
        <v>5034</v>
      </c>
    </row>
    <row r="2722" spans="1:14" x14ac:dyDescent="0.3">
      <c r="A2722" t="s">
        <v>2746</v>
      </c>
      <c r="B2722" t="s">
        <v>19</v>
      </c>
      <c r="C2722" t="s">
        <v>13</v>
      </c>
      <c r="D2722">
        <v>15</v>
      </c>
      <c r="E2722" t="s">
        <v>14</v>
      </c>
      <c r="F2722" t="s">
        <v>15</v>
      </c>
      <c r="G2722">
        <v>51.55</v>
      </c>
      <c r="H2722">
        <v>765.5</v>
      </c>
      <c r="I2722" t="s">
        <v>16</v>
      </c>
      <c r="J2722" t="s">
        <v>15</v>
      </c>
      <c r="K2722" t="s">
        <v>17</v>
      </c>
      <c r="L2722">
        <v>765.5</v>
      </c>
      <c r="M2722" t="s">
        <v>5032</v>
      </c>
      <c r="N2722" t="s">
        <v>5031</v>
      </c>
    </row>
    <row r="2723" spans="1:14" x14ac:dyDescent="0.3">
      <c r="A2723" t="s">
        <v>2747</v>
      </c>
      <c r="B2723" t="s">
        <v>19</v>
      </c>
      <c r="C2723" t="s">
        <v>13</v>
      </c>
      <c r="D2723">
        <v>10</v>
      </c>
      <c r="E2723" t="s">
        <v>26</v>
      </c>
      <c r="F2723" t="s">
        <v>15</v>
      </c>
      <c r="G2723">
        <v>79.25</v>
      </c>
      <c r="H2723">
        <v>793.55</v>
      </c>
      <c r="I2723" t="s">
        <v>16</v>
      </c>
      <c r="J2723" t="s">
        <v>16</v>
      </c>
      <c r="K2723" t="s">
        <v>17</v>
      </c>
      <c r="L2723">
        <v>793.55</v>
      </c>
      <c r="M2723" t="s">
        <v>5030</v>
      </c>
      <c r="N2723" t="s">
        <v>5031</v>
      </c>
    </row>
    <row r="2724" spans="1:14" x14ac:dyDescent="0.3">
      <c r="A2724" t="s">
        <v>2748</v>
      </c>
      <c r="B2724" t="s">
        <v>19</v>
      </c>
      <c r="C2724" t="s">
        <v>35</v>
      </c>
      <c r="D2724">
        <v>32</v>
      </c>
      <c r="E2724" t="s">
        <v>15</v>
      </c>
      <c r="F2724" t="s">
        <v>36</v>
      </c>
      <c r="G2724">
        <v>18.95</v>
      </c>
      <c r="H2724">
        <v>613.95000000000005</v>
      </c>
      <c r="I2724" t="s">
        <v>15</v>
      </c>
      <c r="J2724" t="s">
        <v>15</v>
      </c>
      <c r="K2724" t="s">
        <v>21</v>
      </c>
      <c r="L2724">
        <v>613.95000000000005</v>
      </c>
      <c r="M2724" t="s">
        <v>5032</v>
      </c>
      <c r="N2724" t="s">
        <v>5031</v>
      </c>
    </row>
    <row r="2725" spans="1:14" x14ac:dyDescent="0.3">
      <c r="A2725" t="s">
        <v>2749</v>
      </c>
      <c r="B2725" t="s">
        <v>19</v>
      </c>
      <c r="C2725" t="s">
        <v>13</v>
      </c>
      <c r="D2725">
        <v>21</v>
      </c>
      <c r="E2725" t="s">
        <v>15</v>
      </c>
      <c r="F2725" t="s">
        <v>36</v>
      </c>
      <c r="G2725">
        <v>20.5</v>
      </c>
      <c r="H2725">
        <v>402.85</v>
      </c>
      <c r="I2725" t="s">
        <v>15</v>
      </c>
      <c r="J2725" t="s">
        <v>15</v>
      </c>
      <c r="K2725" t="s">
        <v>29</v>
      </c>
      <c r="L2725">
        <v>402.85</v>
      </c>
      <c r="M2725" t="s">
        <v>5032</v>
      </c>
      <c r="N2725" t="s">
        <v>5031</v>
      </c>
    </row>
    <row r="2726" spans="1:14" x14ac:dyDescent="0.3">
      <c r="A2726" t="s">
        <v>2750</v>
      </c>
      <c r="B2726" t="s">
        <v>19</v>
      </c>
      <c r="C2726" t="s">
        <v>20</v>
      </c>
      <c r="D2726">
        <v>62</v>
      </c>
      <c r="E2726" t="s">
        <v>15</v>
      </c>
      <c r="F2726" t="s">
        <v>36</v>
      </c>
      <c r="G2726">
        <v>19.95</v>
      </c>
      <c r="H2726">
        <v>1244.8</v>
      </c>
      <c r="I2726" t="s">
        <v>15</v>
      </c>
      <c r="J2726" t="s">
        <v>15</v>
      </c>
      <c r="K2726" t="s">
        <v>24</v>
      </c>
      <c r="L2726">
        <v>1244.8</v>
      </c>
      <c r="M2726" t="s">
        <v>5033</v>
      </c>
      <c r="N2726" t="s">
        <v>5031</v>
      </c>
    </row>
    <row r="2727" spans="1:14" x14ac:dyDescent="0.3">
      <c r="A2727" t="s">
        <v>2751</v>
      </c>
      <c r="B2727" t="s">
        <v>12</v>
      </c>
      <c r="C2727" t="s">
        <v>13</v>
      </c>
      <c r="D2727">
        <v>2</v>
      </c>
      <c r="E2727" t="s">
        <v>14</v>
      </c>
      <c r="F2727" t="s">
        <v>15</v>
      </c>
      <c r="G2727">
        <v>24.5</v>
      </c>
      <c r="H2727">
        <v>46.4</v>
      </c>
      <c r="I2727" t="s">
        <v>15</v>
      </c>
      <c r="J2727" t="s">
        <v>15</v>
      </c>
      <c r="K2727" t="s">
        <v>17</v>
      </c>
      <c r="L2727">
        <v>46.4</v>
      </c>
      <c r="M2727" t="s">
        <v>5030</v>
      </c>
      <c r="N2727" t="s">
        <v>5031</v>
      </c>
    </row>
    <row r="2728" spans="1:14" x14ac:dyDescent="0.3">
      <c r="A2728" t="s">
        <v>2752</v>
      </c>
      <c r="B2728" t="s">
        <v>19</v>
      </c>
      <c r="C2728" t="s">
        <v>35</v>
      </c>
      <c r="D2728">
        <v>27</v>
      </c>
      <c r="E2728" t="s">
        <v>15</v>
      </c>
      <c r="F2728" t="s">
        <v>36</v>
      </c>
      <c r="G2728">
        <v>20.6</v>
      </c>
      <c r="H2728">
        <v>581.85</v>
      </c>
      <c r="I2728" t="s">
        <v>15</v>
      </c>
      <c r="J2728" t="s">
        <v>15</v>
      </c>
      <c r="K2728" t="s">
        <v>21</v>
      </c>
      <c r="L2728">
        <v>581.85</v>
      </c>
      <c r="M2728" t="s">
        <v>5032</v>
      </c>
      <c r="N2728" t="s">
        <v>5031</v>
      </c>
    </row>
    <row r="2729" spans="1:14" x14ac:dyDescent="0.3">
      <c r="A2729" t="s">
        <v>2753</v>
      </c>
      <c r="B2729" t="s">
        <v>19</v>
      </c>
      <c r="C2729" t="s">
        <v>13</v>
      </c>
      <c r="D2729">
        <v>5</v>
      </c>
      <c r="E2729" t="s">
        <v>26</v>
      </c>
      <c r="F2729" t="s">
        <v>15</v>
      </c>
      <c r="G2729">
        <v>94.85</v>
      </c>
      <c r="H2729">
        <v>462.8</v>
      </c>
      <c r="I2729" t="s">
        <v>16</v>
      </c>
      <c r="J2729" t="s">
        <v>16</v>
      </c>
      <c r="K2729" t="s">
        <v>24</v>
      </c>
      <c r="L2729">
        <v>462.8</v>
      </c>
      <c r="M2729" t="s">
        <v>5030</v>
      </c>
      <c r="N2729" t="s">
        <v>5031</v>
      </c>
    </row>
    <row r="2730" spans="1:14" x14ac:dyDescent="0.3">
      <c r="A2730" t="s">
        <v>2754</v>
      </c>
      <c r="B2730" t="s">
        <v>12</v>
      </c>
      <c r="C2730" t="s">
        <v>20</v>
      </c>
      <c r="D2730">
        <v>25</v>
      </c>
      <c r="E2730" t="s">
        <v>14</v>
      </c>
      <c r="F2730" t="s">
        <v>15</v>
      </c>
      <c r="G2730">
        <v>61.05</v>
      </c>
      <c r="H2730">
        <v>1540.2</v>
      </c>
      <c r="I2730" t="s">
        <v>15</v>
      </c>
      <c r="J2730" t="s">
        <v>15</v>
      </c>
      <c r="K2730" t="s">
        <v>17</v>
      </c>
      <c r="L2730">
        <v>1540.2</v>
      </c>
      <c r="M2730" t="s">
        <v>5032</v>
      </c>
      <c r="N2730" t="s">
        <v>5031</v>
      </c>
    </row>
    <row r="2731" spans="1:14" x14ac:dyDescent="0.3">
      <c r="A2731" t="s">
        <v>2755</v>
      </c>
      <c r="B2731" t="s">
        <v>12</v>
      </c>
      <c r="C2731" t="s">
        <v>13</v>
      </c>
      <c r="D2731">
        <v>2</v>
      </c>
      <c r="E2731" t="s">
        <v>26</v>
      </c>
      <c r="F2731" t="s">
        <v>15</v>
      </c>
      <c r="G2731">
        <v>85.7</v>
      </c>
      <c r="H2731">
        <v>169.8</v>
      </c>
      <c r="I2731" t="s">
        <v>16</v>
      </c>
      <c r="J2731" t="s">
        <v>16</v>
      </c>
      <c r="K2731" t="s">
        <v>17</v>
      </c>
      <c r="L2731">
        <v>169.8</v>
      </c>
      <c r="M2731" t="s">
        <v>5030</v>
      </c>
      <c r="N2731" t="s">
        <v>5031</v>
      </c>
    </row>
    <row r="2732" spans="1:14" x14ac:dyDescent="0.3">
      <c r="A2732" t="s">
        <v>2756</v>
      </c>
      <c r="B2732" t="s">
        <v>19</v>
      </c>
      <c r="C2732" t="s">
        <v>20</v>
      </c>
      <c r="D2732">
        <v>49</v>
      </c>
      <c r="E2732" t="s">
        <v>26</v>
      </c>
      <c r="F2732" t="s">
        <v>16</v>
      </c>
      <c r="G2732">
        <v>106.65</v>
      </c>
      <c r="H2732">
        <v>5168.1000000000004</v>
      </c>
      <c r="I2732" t="s">
        <v>15</v>
      </c>
      <c r="J2732" t="s">
        <v>16</v>
      </c>
      <c r="K2732" t="s">
        <v>24</v>
      </c>
      <c r="L2732">
        <v>5168.1000000000004</v>
      </c>
      <c r="M2732" t="s">
        <v>5033</v>
      </c>
      <c r="N2732" t="s">
        <v>5034</v>
      </c>
    </row>
    <row r="2733" spans="1:14" x14ac:dyDescent="0.3">
      <c r="A2733" t="s">
        <v>2757</v>
      </c>
      <c r="B2733" t="s">
        <v>12</v>
      </c>
      <c r="C2733" t="s">
        <v>13</v>
      </c>
      <c r="D2733">
        <v>63</v>
      </c>
      <c r="E2733" t="s">
        <v>26</v>
      </c>
      <c r="F2733" t="s">
        <v>15</v>
      </c>
      <c r="G2733">
        <v>108.25</v>
      </c>
      <c r="H2733">
        <v>6780.1</v>
      </c>
      <c r="I2733" t="s">
        <v>15</v>
      </c>
      <c r="J2733" t="s">
        <v>15</v>
      </c>
      <c r="K2733" t="s">
        <v>29</v>
      </c>
      <c r="L2733">
        <v>6780.1</v>
      </c>
      <c r="M2733" t="s">
        <v>5033</v>
      </c>
      <c r="N2733" t="s">
        <v>5034</v>
      </c>
    </row>
    <row r="2734" spans="1:14" x14ac:dyDescent="0.3">
      <c r="A2734" t="s">
        <v>2758</v>
      </c>
      <c r="B2734" t="s">
        <v>12</v>
      </c>
      <c r="C2734" t="s">
        <v>13</v>
      </c>
      <c r="D2734">
        <v>4</v>
      </c>
      <c r="E2734" t="s">
        <v>15</v>
      </c>
      <c r="F2734" t="s">
        <v>36</v>
      </c>
      <c r="G2734">
        <v>20.399999999999999</v>
      </c>
      <c r="H2734">
        <v>94.5</v>
      </c>
      <c r="I2734" t="s">
        <v>15</v>
      </c>
      <c r="J2734" t="s">
        <v>15</v>
      </c>
      <c r="K2734" t="s">
        <v>29</v>
      </c>
      <c r="L2734">
        <v>94.5</v>
      </c>
      <c r="M2734" t="s">
        <v>5030</v>
      </c>
      <c r="N2734" t="s">
        <v>5031</v>
      </c>
    </row>
    <row r="2735" spans="1:14" x14ac:dyDescent="0.3">
      <c r="A2735" t="s">
        <v>2759</v>
      </c>
      <c r="B2735" t="s">
        <v>12</v>
      </c>
      <c r="C2735" t="s">
        <v>13</v>
      </c>
      <c r="D2735">
        <v>1</v>
      </c>
      <c r="E2735" t="s">
        <v>14</v>
      </c>
      <c r="F2735" t="s">
        <v>15</v>
      </c>
      <c r="G2735">
        <v>55.3</v>
      </c>
      <c r="H2735">
        <v>55.3</v>
      </c>
      <c r="I2735" t="s">
        <v>15</v>
      </c>
      <c r="J2735" t="s">
        <v>16</v>
      </c>
      <c r="K2735" t="s">
        <v>21</v>
      </c>
      <c r="L2735">
        <v>55.3</v>
      </c>
      <c r="M2735" t="s">
        <v>5030</v>
      </c>
      <c r="N2735" t="s">
        <v>5031</v>
      </c>
    </row>
    <row r="2736" spans="1:14" x14ac:dyDescent="0.3">
      <c r="A2736" t="s">
        <v>2760</v>
      </c>
      <c r="B2736" t="s">
        <v>19</v>
      </c>
      <c r="C2736" t="s">
        <v>13</v>
      </c>
      <c r="D2736">
        <v>11</v>
      </c>
      <c r="E2736" t="s">
        <v>15</v>
      </c>
      <c r="F2736" t="s">
        <v>36</v>
      </c>
      <c r="G2736">
        <v>20.25</v>
      </c>
      <c r="H2736">
        <v>208</v>
      </c>
      <c r="I2736" t="s">
        <v>15</v>
      </c>
      <c r="J2736" t="s">
        <v>15</v>
      </c>
      <c r="K2736" t="s">
        <v>21</v>
      </c>
      <c r="L2736">
        <v>208</v>
      </c>
      <c r="M2736" t="s">
        <v>5030</v>
      </c>
      <c r="N2736" t="s">
        <v>5031</v>
      </c>
    </row>
    <row r="2737" spans="1:14" x14ac:dyDescent="0.3">
      <c r="A2737" t="s">
        <v>2761</v>
      </c>
      <c r="B2737" t="s">
        <v>19</v>
      </c>
      <c r="C2737" t="s">
        <v>13</v>
      </c>
      <c r="D2737">
        <v>52</v>
      </c>
      <c r="E2737" t="s">
        <v>26</v>
      </c>
      <c r="F2737" t="s">
        <v>15</v>
      </c>
      <c r="G2737">
        <v>72.95</v>
      </c>
      <c r="H2737">
        <v>3829.75</v>
      </c>
      <c r="I2737" t="s">
        <v>15</v>
      </c>
      <c r="J2737" t="s">
        <v>16</v>
      </c>
      <c r="K2737" t="s">
        <v>24</v>
      </c>
      <c r="L2737">
        <v>3829.75</v>
      </c>
      <c r="M2737" t="s">
        <v>5033</v>
      </c>
      <c r="N2737" t="s">
        <v>5034</v>
      </c>
    </row>
    <row r="2738" spans="1:14" x14ac:dyDescent="0.3">
      <c r="A2738" t="s">
        <v>2762</v>
      </c>
      <c r="B2738" t="s">
        <v>12</v>
      </c>
      <c r="C2738" t="s">
        <v>13</v>
      </c>
      <c r="D2738">
        <v>60</v>
      </c>
      <c r="E2738" t="s">
        <v>26</v>
      </c>
      <c r="F2738" t="s">
        <v>15</v>
      </c>
      <c r="G2738">
        <v>89.45</v>
      </c>
      <c r="H2738">
        <v>5294.6</v>
      </c>
      <c r="I2738" t="s">
        <v>15</v>
      </c>
      <c r="J2738" t="s">
        <v>15</v>
      </c>
      <c r="K2738" t="s">
        <v>17</v>
      </c>
      <c r="L2738">
        <v>5294.6</v>
      </c>
      <c r="M2738" t="s">
        <v>5033</v>
      </c>
      <c r="N2738" t="s">
        <v>5034</v>
      </c>
    </row>
    <row r="2739" spans="1:14" x14ac:dyDescent="0.3">
      <c r="A2739" t="s">
        <v>2763</v>
      </c>
      <c r="B2739" t="s">
        <v>19</v>
      </c>
      <c r="C2739" t="s">
        <v>20</v>
      </c>
      <c r="D2739">
        <v>64</v>
      </c>
      <c r="E2739" t="s">
        <v>26</v>
      </c>
      <c r="F2739" t="s">
        <v>16</v>
      </c>
      <c r="G2739">
        <v>104.65</v>
      </c>
      <c r="H2739">
        <v>6889.8</v>
      </c>
      <c r="I2739" t="s">
        <v>15</v>
      </c>
      <c r="J2739" t="s">
        <v>16</v>
      </c>
      <c r="K2739" t="s">
        <v>29</v>
      </c>
      <c r="L2739">
        <v>6889.8</v>
      </c>
      <c r="M2739" t="s">
        <v>5033</v>
      </c>
      <c r="N2739" t="s">
        <v>5034</v>
      </c>
    </row>
    <row r="2740" spans="1:14" x14ac:dyDescent="0.3">
      <c r="A2740" t="s">
        <v>2764</v>
      </c>
      <c r="B2740" t="s">
        <v>12</v>
      </c>
      <c r="C2740" t="s">
        <v>35</v>
      </c>
      <c r="D2740">
        <v>43</v>
      </c>
      <c r="E2740" t="s">
        <v>14</v>
      </c>
      <c r="F2740" t="s">
        <v>15</v>
      </c>
      <c r="G2740">
        <v>75.2</v>
      </c>
      <c r="H2740">
        <v>3254.35</v>
      </c>
      <c r="I2740" t="s">
        <v>15</v>
      </c>
      <c r="J2740" t="s">
        <v>15</v>
      </c>
      <c r="K2740" t="s">
        <v>24</v>
      </c>
      <c r="L2740">
        <v>3254.35</v>
      </c>
      <c r="M2740" t="s">
        <v>5033</v>
      </c>
      <c r="N2740" t="s">
        <v>5034</v>
      </c>
    </row>
    <row r="2741" spans="1:14" x14ac:dyDescent="0.3">
      <c r="A2741" t="s">
        <v>2765</v>
      </c>
      <c r="B2741" t="s">
        <v>12</v>
      </c>
      <c r="C2741" t="s">
        <v>20</v>
      </c>
      <c r="D2741">
        <v>61</v>
      </c>
      <c r="E2741" t="s">
        <v>26</v>
      </c>
      <c r="F2741" t="s">
        <v>16</v>
      </c>
      <c r="G2741">
        <v>101.15</v>
      </c>
      <c r="H2741">
        <v>6383.9</v>
      </c>
      <c r="I2741" t="s">
        <v>15</v>
      </c>
      <c r="J2741" t="s">
        <v>15</v>
      </c>
      <c r="K2741" t="s">
        <v>24</v>
      </c>
      <c r="L2741">
        <v>6383.9</v>
      </c>
      <c r="M2741" t="s">
        <v>5033</v>
      </c>
      <c r="N2741" t="s">
        <v>5034</v>
      </c>
    </row>
    <row r="2742" spans="1:14" x14ac:dyDescent="0.3">
      <c r="A2742" t="s">
        <v>2766</v>
      </c>
      <c r="B2742" t="s">
        <v>12</v>
      </c>
      <c r="C2742" t="s">
        <v>13</v>
      </c>
      <c r="D2742">
        <v>1</v>
      </c>
      <c r="E2742" t="s">
        <v>14</v>
      </c>
      <c r="F2742" t="s">
        <v>15</v>
      </c>
      <c r="G2742">
        <v>44.4</v>
      </c>
      <c r="H2742">
        <v>44.4</v>
      </c>
      <c r="I2742" t="s">
        <v>16</v>
      </c>
      <c r="J2742" t="s">
        <v>15</v>
      </c>
      <c r="K2742" t="s">
        <v>21</v>
      </c>
      <c r="L2742">
        <v>44.4</v>
      </c>
      <c r="M2742" t="s">
        <v>5030</v>
      </c>
      <c r="N2742" t="s">
        <v>5031</v>
      </c>
    </row>
    <row r="2743" spans="1:14" x14ac:dyDescent="0.3">
      <c r="A2743" t="s">
        <v>2767</v>
      </c>
      <c r="B2743" t="s">
        <v>19</v>
      </c>
      <c r="C2743" t="s">
        <v>13</v>
      </c>
      <c r="D2743">
        <v>5</v>
      </c>
      <c r="E2743" t="s">
        <v>26</v>
      </c>
      <c r="F2743" t="s">
        <v>15</v>
      </c>
      <c r="G2743">
        <v>89.5</v>
      </c>
      <c r="H2743">
        <v>477.7</v>
      </c>
      <c r="I2743" t="s">
        <v>16</v>
      </c>
      <c r="J2743" t="s">
        <v>16</v>
      </c>
      <c r="K2743" t="s">
        <v>17</v>
      </c>
      <c r="L2743">
        <v>477.7</v>
      </c>
      <c r="M2743" t="s">
        <v>5030</v>
      </c>
      <c r="N2743" t="s">
        <v>5031</v>
      </c>
    </row>
    <row r="2744" spans="1:14" x14ac:dyDescent="0.3">
      <c r="A2744" t="s">
        <v>2768</v>
      </c>
      <c r="B2744" t="s">
        <v>19</v>
      </c>
      <c r="C2744" t="s">
        <v>35</v>
      </c>
      <c r="D2744">
        <v>66</v>
      </c>
      <c r="E2744" t="s">
        <v>14</v>
      </c>
      <c r="F2744" t="s">
        <v>16</v>
      </c>
      <c r="G2744">
        <v>68.75</v>
      </c>
      <c r="H2744">
        <v>4447.55</v>
      </c>
      <c r="I2744" t="s">
        <v>15</v>
      </c>
      <c r="J2744" t="s">
        <v>15</v>
      </c>
      <c r="K2744" t="s">
        <v>24</v>
      </c>
      <c r="L2744">
        <v>4447.55</v>
      </c>
      <c r="M2744" t="s">
        <v>5033</v>
      </c>
      <c r="N2744" t="s">
        <v>5034</v>
      </c>
    </row>
    <row r="2745" spans="1:14" x14ac:dyDescent="0.3">
      <c r="A2745" t="s">
        <v>2769</v>
      </c>
      <c r="B2745" t="s">
        <v>19</v>
      </c>
      <c r="C2745" t="s">
        <v>35</v>
      </c>
      <c r="D2745">
        <v>67</v>
      </c>
      <c r="E2745" t="s">
        <v>26</v>
      </c>
      <c r="F2745" t="s">
        <v>16</v>
      </c>
      <c r="G2745">
        <v>111.05</v>
      </c>
      <c r="H2745">
        <v>7321.05</v>
      </c>
      <c r="I2745" t="s">
        <v>15</v>
      </c>
      <c r="J2745" t="s">
        <v>16</v>
      </c>
      <c r="K2745" t="s">
        <v>17</v>
      </c>
      <c r="L2745">
        <v>7321.05</v>
      </c>
      <c r="M2745" t="s">
        <v>5033</v>
      </c>
      <c r="N2745" t="s">
        <v>5034</v>
      </c>
    </row>
    <row r="2746" spans="1:14" x14ac:dyDescent="0.3">
      <c r="A2746" t="s">
        <v>2770</v>
      </c>
      <c r="B2746" t="s">
        <v>12</v>
      </c>
      <c r="C2746" t="s">
        <v>35</v>
      </c>
      <c r="D2746">
        <v>42</v>
      </c>
      <c r="E2746" t="s">
        <v>26</v>
      </c>
      <c r="F2746" t="s">
        <v>16</v>
      </c>
      <c r="G2746">
        <v>99</v>
      </c>
      <c r="H2746">
        <v>4135</v>
      </c>
      <c r="I2746" t="s">
        <v>15</v>
      </c>
      <c r="J2746" t="s">
        <v>16</v>
      </c>
      <c r="K2746" t="s">
        <v>29</v>
      </c>
      <c r="L2746">
        <v>4135</v>
      </c>
      <c r="M2746" t="s">
        <v>5033</v>
      </c>
      <c r="N2746" t="s">
        <v>5034</v>
      </c>
    </row>
    <row r="2747" spans="1:14" x14ac:dyDescent="0.3">
      <c r="A2747" t="s">
        <v>2771</v>
      </c>
      <c r="B2747" t="s">
        <v>19</v>
      </c>
      <c r="C2747" t="s">
        <v>13</v>
      </c>
      <c r="D2747">
        <v>1</v>
      </c>
      <c r="E2747" t="s">
        <v>26</v>
      </c>
      <c r="F2747" t="s">
        <v>15</v>
      </c>
      <c r="G2747">
        <v>86.05</v>
      </c>
      <c r="H2747">
        <v>86.05</v>
      </c>
      <c r="I2747" t="s">
        <v>16</v>
      </c>
      <c r="J2747" t="s">
        <v>16</v>
      </c>
      <c r="K2747" t="s">
        <v>17</v>
      </c>
      <c r="L2747">
        <v>86.05</v>
      </c>
      <c r="M2747" t="s">
        <v>5030</v>
      </c>
      <c r="N2747" t="s">
        <v>5031</v>
      </c>
    </row>
    <row r="2748" spans="1:14" x14ac:dyDescent="0.3">
      <c r="A2748" t="s">
        <v>2772</v>
      </c>
      <c r="B2748" t="s">
        <v>12</v>
      </c>
      <c r="C2748" t="s">
        <v>35</v>
      </c>
      <c r="D2748">
        <v>31</v>
      </c>
      <c r="E2748" t="s">
        <v>15</v>
      </c>
      <c r="F2748" t="s">
        <v>36</v>
      </c>
      <c r="G2748">
        <v>21</v>
      </c>
      <c r="H2748">
        <v>697.7</v>
      </c>
      <c r="I2748" t="s">
        <v>15</v>
      </c>
      <c r="J2748" t="s">
        <v>15</v>
      </c>
      <c r="K2748" t="s">
        <v>21</v>
      </c>
      <c r="L2748">
        <v>697.7</v>
      </c>
      <c r="M2748" t="s">
        <v>5032</v>
      </c>
      <c r="N2748" t="s">
        <v>5031</v>
      </c>
    </row>
    <row r="2749" spans="1:14" x14ac:dyDescent="0.3">
      <c r="A2749" t="s">
        <v>2773</v>
      </c>
      <c r="B2749" t="s">
        <v>19</v>
      </c>
      <c r="C2749" t="s">
        <v>13</v>
      </c>
      <c r="D2749">
        <v>7</v>
      </c>
      <c r="E2749" t="s">
        <v>15</v>
      </c>
      <c r="F2749" t="s">
        <v>36</v>
      </c>
      <c r="G2749">
        <v>19.399999999999999</v>
      </c>
      <c r="H2749">
        <v>168.65</v>
      </c>
      <c r="I2749" t="s">
        <v>15</v>
      </c>
      <c r="J2749" t="s">
        <v>16</v>
      </c>
      <c r="K2749" t="s">
        <v>21</v>
      </c>
      <c r="L2749">
        <v>168.65</v>
      </c>
      <c r="M2749" t="s">
        <v>5030</v>
      </c>
      <c r="N2749" t="s">
        <v>5031</v>
      </c>
    </row>
    <row r="2750" spans="1:14" x14ac:dyDescent="0.3">
      <c r="A2750" t="s">
        <v>2774</v>
      </c>
      <c r="B2750" t="s">
        <v>19</v>
      </c>
      <c r="C2750" t="s">
        <v>13</v>
      </c>
      <c r="D2750">
        <v>4</v>
      </c>
      <c r="E2750" t="s">
        <v>14</v>
      </c>
      <c r="F2750" t="s">
        <v>15</v>
      </c>
      <c r="G2750">
        <v>44.55</v>
      </c>
      <c r="H2750">
        <v>174.3</v>
      </c>
      <c r="I2750" t="s">
        <v>16</v>
      </c>
      <c r="J2750" t="s">
        <v>16</v>
      </c>
      <c r="K2750" t="s">
        <v>17</v>
      </c>
      <c r="L2750">
        <v>174.3</v>
      </c>
      <c r="M2750" t="s">
        <v>5030</v>
      </c>
      <c r="N2750" t="s">
        <v>5031</v>
      </c>
    </row>
    <row r="2751" spans="1:14" x14ac:dyDescent="0.3">
      <c r="A2751" t="s">
        <v>2775</v>
      </c>
      <c r="B2751" t="s">
        <v>19</v>
      </c>
      <c r="C2751" t="s">
        <v>20</v>
      </c>
      <c r="D2751">
        <v>34</v>
      </c>
      <c r="E2751" t="s">
        <v>14</v>
      </c>
      <c r="F2751" t="s">
        <v>15</v>
      </c>
      <c r="G2751">
        <v>77.2</v>
      </c>
      <c r="H2751">
        <v>2753.8</v>
      </c>
      <c r="I2751" t="s">
        <v>15</v>
      </c>
      <c r="J2751" t="s">
        <v>15</v>
      </c>
      <c r="K2751" t="s">
        <v>24</v>
      </c>
      <c r="L2751">
        <v>2753.8</v>
      </c>
      <c r="M2751" t="s">
        <v>5032</v>
      </c>
      <c r="N2751" t="s">
        <v>5034</v>
      </c>
    </row>
    <row r="2752" spans="1:14" x14ac:dyDescent="0.3">
      <c r="A2752" t="s">
        <v>2776</v>
      </c>
      <c r="B2752" t="s">
        <v>19</v>
      </c>
      <c r="C2752" t="s">
        <v>20</v>
      </c>
      <c r="D2752">
        <v>3</v>
      </c>
      <c r="E2752" t="s">
        <v>15</v>
      </c>
      <c r="F2752" t="s">
        <v>36</v>
      </c>
      <c r="G2752">
        <v>19.45</v>
      </c>
      <c r="H2752">
        <v>69.25</v>
      </c>
      <c r="I2752" t="s">
        <v>15</v>
      </c>
      <c r="J2752" t="s">
        <v>16</v>
      </c>
      <c r="K2752" t="s">
        <v>21</v>
      </c>
      <c r="L2752">
        <v>69.25</v>
      </c>
      <c r="M2752" t="s">
        <v>5030</v>
      </c>
      <c r="N2752" t="s">
        <v>5031</v>
      </c>
    </row>
    <row r="2753" spans="1:14" x14ac:dyDescent="0.3">
      <c r="A2753" t="s">
        <v>2777</v>
      </c>
      <c r="B2753" t="s">
        <v>12</v>
      </c>
      <c r="C2753" t="s">
        <v>13</v>
      </c>
      <c r="D2753">
        <v>19</v>
      </c>
      <c r="E2753" t="s">
        <v>14</v>
      </c>
      <c r="F2753" t="s">
        <v>15</v>
      </c>
      <c r="G2753">
        <v>24.85</v>
      </c>
      <c r="H2753">
        <v>434.8</v>
      </c>
      <c r="I2753" t="s">
        <v>15</v>
      </c>
      <c r="J2753" t="s">
        <v>16</v>
      </c>
      <c r="K2753" t="s">
        <v>21</v>
      </c>
      <c r="L2753">
        <v>434.8</v>
      </c>
      <c r="M2753" t="s">
        <v>5032</v>
      </c>
      <c r="N2753" t="s">
        <v>5031</v>
      </c>
    </row>
    <row r="2754" spans="1:14" x14ac:dyDescent="0.3">
      <c r="A2754" t="s">
        <v>2778</v>
      </c>
      <c r="B2754" t="s">
        <v>19</v>
      </c>
      <c r="C2754" t="s">
        <v>13</v>
      </c>
      <c r="D2754">
        <v>31</v>
      </c>
      <c r="E2754" t="s">
        <v>14</v>
      </c>
      <c r="F2754" t="s">
        <v>16</v>
      </c>
      <c r="G2754">
        <v>35.4</v>
      </c>
      <c r="H2754">
        <v>1077.5</v>
      </c>
      <c r="I2754" t="s">
        <v>16</v>
      </c>
      <c r="J2754" t="s">
        <v>15</v>
      </c>
      <c r="K2754" t="s">
        <v>24</v>
      </c>
      <c r="L2754">
        <v>1077.5</v>
      </c>
      <c r="M2754" t="s">
        <v>5032</v>
      </c>
      <c r="N2754" t="s">
        <v>5031</v>
      </c>
    </row>
    <row r="2755" spans="1:14" x14ac:dyDescent="0.3">
      <c r="A2755" t="s">
        <v>2779</v>
      </c>
      <c r="B2755" t="s">
        <v>12</v>
      </c>
      <c r="C2755" t="s">
        <v>13</v>
      </c>
      <c r="D2755">
        <v>1</v>
      </c>
      <c r="E2755" t="s">
        <v>26</v>
      </c>
      <c r="F2755" t="s">
        <v>15</v>
      </c>
      <c r="G2755">
        <v>95.65</v>
      </c>
      <c r="H2755">
        <v>95.65</v>
      </c>
      <c r="I2755" t="s">
        <v>16</v>
      </c>
      <c r="J2755" t="s">
        <v>15</v>
      </c>
      <c r="K2755" t="s">
        <v>21</v>
      </c>
      <c r="L2755">
        <v>95.65</v>
      </c>
      <c r="M2755" t="s">
        <v>5030</v>
      </c>
      <c r="N2755" t="s">
        <v>5031</v>
      </c>
    </row>
    <row r="2756" spans="1:14" x14ac:dyDescent="0.3">
      <c r="A2756" t="s">
        <v>2780</v>
      </c>
      <c r="B2756" t="s">
        <v>19</v>
      </c>
      <c r="C2756" t="s">
        <v>13</v>
      </c>
      <c r="D2756">
        <v>3</v>
      </c>
      <c r="E2756" t="s">
        <v>14</v>
      </c>
      <c r="F2756" t="s">
        <v>16</v>
      </c>
      <c r="G2756">
        <v>41.35</v>
      </c>
      <c r="H2756">
        <v>107.25</v>
      </c>
      <c r="I2756" t="s">
        <v>15</v>
      </c>
      <c r="J2756" t="s">
        <v>15</v>
      </c>
      <c r="K2756" t="s">
        <v>21</v>
      </c>
      <c r="L2756">
        <v>107.25</v>
      </c>
      <c r="M2756" t="s">
        <v>5030</v>
      </c>
      <c r="N2756" t="s">
        <v>5031</v>
      </c>
    </row>
    <row r="2757" spans="1:14" x14ac:dyDescent="0.3">
      <c r="A2757" t="s">
        <v>2781</v>
      </c>
      <c r="B2757" t="s">
        <v>19</v>
      </c>
      <c r="C2757" t="s">
        <v>13</v>
      </c>
      <c r="D2757">
        <v>46</v>
      </c>
      <c r="E2757" t="s">
        <v>15</v>
      </c>
      <c r="F2757" t="s">
        <v>36</v>
      </c>
      <c r="G2757">
        <v>19.600000000000001</v>
      </c>
      <c r="H2757">
        <v>851.2</v>
      </c>
      <c r="I2757" t="s">
        <v>15</v>
      </c>
      <c r="J2757" t="s">
        <v>15</v>
      </c>
      <c r="K2757" t="s">
        <v>17</v>
      </c>
      <c r="L2757">
        <v>851.2</v>
      </c>
      <c r="M2757" t="s">
        <v>5033</v>
      </c>
      <c r="N2757" t="s">
        <v>5031</v>
      </c>
    </row>
    <row r="2758" spans="1:14" x14ac:dyDescent="0.3">
      <c r="A2758" t="s">
        <v>2782</v>
      </c>
      <c r="B2758" t="s">
        <v>12</v>
      </c>
      <c r="C2758" t="s">
        <v>13</v>
      </c>
      <c r="D2758">
        <v>1</v>
      </c>
      <c r="E2758" t="s">
        <v>15</v>
      </c>
      <c r="F2758" t="s">
        <v>36</v>
      </c>
      <c r="G2758">
        <v>20.95</v>
      </c>
      <c r="H2758">
        <v>20.95</v>
      </c>
      <c r="I2758" t="s">
        <v>16</v>
      </c>
      <c r="J2758" t="s">
        <v>15</v>
      </c>
      <c r="K2758" t="s">
        <v>21</v>
      </c>
      <c r="L2758">
        <v>20.95</v>
      </c>
      <c r="M2758" t="s">
        <v>5030</v>
      </c>
      <c r="N2758" t="s">
        <v>5031</v>
      </c>
    </row>
    <row r="2759" spans="1:14" x14ac:dyDescent="0.3">
      <c r="A2759" t="s">
        <v>2783</v>
      </c>
      <c r="B2759" t="s">
        <v>12</v>
      </c>
      <c r="C2759" t="s">
        <v>20</v>
      </c>
      <c r="D2759">
        <v>69</v>
      </c>
      <c r="E2759" t="s">
        <v>26</v>
      </c>
      <c r="F2759" t="s">
        <v>15</v>
      </c>
      <c r="G2759">
        <v>84.45</v>
      </c>
      <c r="H2759">
        <v>5848.6</v>
      </c>
      <c r="I2759" t="s">
        <v>15</v>
      </c>
      <c r="J2759" t="s">
        <v>15</v>
      </c>
      <c r="K2759" t="s">
        <v>24</v>
      </c>
      <c r="L2759">
        <v>5848.6</v>
      </c>
      <c r="M2759" t="s">
        <v>5033</v>
      </c>
      <c r="N2759" t="s">
        <v>5034</v>
      </c>
    </row>
    <row r="2760" spans="1:14" x14ac:dyDescent="0.3">
      <c r="A2760" t="s">
        <v>2784</v>
      </c>
      <c r="B2760" t="s">
        <v>19</v>
      </c>
      <c r="C2760" t="s">
        <v>13</v>
      </c>
      <c r="D2760">
        <v>5</v>
      </c>
      <c r="E2760" t="s">
        <v>15</v>
      </c>
      <c r="F2760" t="s">
        <v>36</v>
      </c>
      <c r="G2760">
        <v>20.25</v>
      </c>
      <c r="H2760">
        <v>109.8</v>
      </c>
      <c r="I2760" t="s">
        <v>15</v>
      </c>
      <c r="J2760" t="s">
        <v>15</v>
      </c>
      <c r="K2760" t="s">
        <v>21</v>
      </c>
      <c r="L2760">
        <v>109.8</v>
      </c>
      <c r="M2760" t="s">
        <v>5030</v>
      </c>
      <c r="N2760" t="s">
        <v>5031</v>
      </c>
    </row>
    <row r="2761" spans="1:14" x14ac:dyDescent="0.3">
      <c r="A2761" t="s">
        <v>2785</v>
      </c>
      <c r="B2761" t="s">
        <v>19</v>
      </c>
      <c r="C2761" t="s">
        <v>13</v>
      </c>
      <c r="D2761">
        <v>1</v>
      </c>
      <c r="E2761" t="s">
        <v>15</v>
      </c>
      <c r="F2761" t="s">
        <v>36</v>
      </c>
      <c r="G2761">
        <v>19.649999999999999</v>
      </c>
      <c r="H2761">
        <v>19.649999999999999</v>
      </c>
      <c r="I2761" t="s">
        <v>15</v>
      </c>
      <c r="J2761" t="s">
        <v>15</v>
      </c>
      <c r="K2761" t="s">
        <v>24</v>
      </c>
      <c r="L2761">
        <v>19.649999999999999</v>
      </c>
      <c r="M2761" t="s">
        <v>5030</v>
      </c>
      <c r="N2761" t="s">
        <v>5031</v>
      </c>
    </row>
    <row r="2762" spans="1:14" x14ac:dyDescent="0.3">
      <c r="A2762" t="s">
        <v>2786</v>
      </c>
      <c r="B2762" t="s">
        <v>19</v>
      </c>
      <c r="C2762" t="s">
        <v>20</v>
      </c>
      <c r="D2762">
        <v>26</v>
      </c>
      <c r="E2762" t="s">
        <v>15</v>
      </c>
      <c r="F2762" t="s">
        <v>36</v>
      </c>
      <c r="G2762">
        <v>20.65</v>
      </c>
      <c r="H2762">
        <v>595.5</v>
      </c>
      <c r="I2762" t="s">
        <v>15</v>
      </c>
      <c r="J2762" t="s">
        <v>16</v>
      </c>
      <c r="K2762" t="s">
        <v>29</v>
      </c>
      <c r="L2762">
        <v>595.5</v>
      </c>
      <c r="M2762" t="s">
        <v>5032</v>
      </c>
      <c r="N2762" t="s">
        <v>5031</v>
      </c>
    </row>
    <row r="2763" spans="1:14" x14ac:dyDescent="0.3">
      <c r="A2763" t="s">
        <v>2787</v>
      </c>
      <c r="B2763" t="s">
        <v>12</v>
      </c>
      <c r="C2763" t="s">
        <v>13</v>
      </c>
      <c r="D2763">
        <v>10</v>
      </c>
      <c r="E2763" t="s">
        <v>14</v>
      </c>
      <c r="F2763" t="s">
        <v>15</v>
      </c>
      <c r="G2763">
        <v>34.700000000000003</v>
      </c>
      <c r="H2763">
        <v>329.8</v>
      </c>
      <c r="I2763" t="s">
        <v>16</v>
      </c>
      <c r="J2763" t="s">
        <v>16</v>
      </c>
      <c r="K2763" t="s">
        <v>17</v>
      </c>
      <c r="L2763">
        <v>329.8</v>
      </c>
      <c r="M2763" t="s">
        <v>5030</v>
      </c>
      <c r="N2763" t="s">
        <v>5031</v>
      </c>
    </row>
    <row r="2764" spans="1:14" x14ac:dyDescent="0.3">
      <c r="A2764" t="s">
        <v>2788</v>
      </c>
      <c r="B2764" t="s">
        <v>19</v>
      </c>
      <c r="C2764" t="s">
        <v>35</v>
      </c>
      <c r="D2764">
        <v>25</v>
      </c>
      <c r="E2764" t="s">
        <v>26</v>
      </c>
      <c r="F2764" t="s">
        <v>16</v>
      </c>
      <c r="G2764">
        <v>99.3</v>
      </c>
      <c r="H2764">
        <v>2513.5</v>
      </c>
      <c r="I2764" t="s">
        <v>15</v>
      </c>
      <c r="J2764" t="s">
        <v>15</v>
      </c>
      <c r="K2764" t="s">
        <v>24</v>
      </c>
      <c r="L2764">
        <v>2513.5</v>
      </c>
      <c r="M2764" t="s">
        <v>5032</v>
      </c>
      <c r="N2764" t="s">
        <v>5034</v>
      </c>
    </row>
    <row r="2765" spans="1:14" x14ac:dyDescent="0.3">
      <c r="A2765" t="s">
        <v>2789</v>
      </c>
      <c r="B2765" t="s">
        <v>19</v>
      </c>
      <c r="C2765" t="s">
        <v>13</v>
      </c>
      <c r="D2765">
        <v>64</v>
      </c>
      <c r="E2765" t="s">
        <v>26</v>
      </c>
      <c r="F2765" t="s">
        <v>15</v>
      </c>
      <c r="G2765">
        <v>81.05</v>
      </c>
      <c r="H2765">
        <v>5135.3500000000004</v>
      </c>
      <c r="I2765" t="s">
        <v>15</v>
      </c>
      <c r="J2765" t="s">
        <v>15</v>
      </c>
      <c r="K2765" t="s">
        <v>17</v>
      </c>
      <c r="L2765">
        <v>5135.3500000000004</v>
      </c>
      <c r="M2765" t="s">
        <v>5033</v>
      </c>
      <c r="N2765" t="s">
        <v>5034</v>
      </c>
    </row>
    <row r="2766" spans="1:14" x14ac:dyDescent="0.3">
      <c r="A2766" t="s">
        <v>2790</v>
      </c>
      <c r="B2766" t="s">
        <v>19</v>
      </c>
      <c r="C2766" t="s">
        <v>13</v>
      </c>
      <c r="D2766">
        <v>30</v>
      </c>
      <c r="E2766" t="s">
        <v>14</v>
      </c>
      <c r="F2766" t="s">
        <v>16</v>
      </c>
      <c r="G2766">
        <v>67.599999999999994</v>
      </c>
      <c r="H2766">
        <v>2000.2</v>
      </c>
      <c r="I2766" t="s">
        <v>15</v>
      </c>
      <c r="J2766" t="s">
        <v>15</v>
      </c>
      <c r="K2766" t="s">
        <v>17</v>
      </c>
      <c r="L2766">
        <v>2000.2</v>
      </c>
      <c r="M2766" t="s">
        <v>5032</v>
      </c>
      <c r="N2766" t="s">
        <v>5031</v>
      </c>
    </row>
    <row r="2767" spans="1:14" x14ac:dyDescent="0.3">
      <c r="A2767" t="s">
        <v>2791</v>
      </c>
      <c r="B2767" t="s">
        <v>19</v>
      </c>
      <c r="C2767" t="s">
        <v>13</v>
      </c>
      <c r="D2767">
        <v>13</v>
      </c>
      <c r="E2767" t="s">
        <v>26</v>
      </c>
      <c r="F2767" t="s">
        <v>15</v>
      </c>
      <c r="G2767">
        <v>70.150000000000006</v>
      </c>
      <c r="H2767">
        <v>931.75</v>
      </c>
      <c r="I2767" t="s">
        <v>15</v>
      </c>
      <c r="J2767" t="s">
        <v>16</v>
      </c>
      <c r="K2767" t="s">
        <v>17</v>
      </c>
      <c r="L2767">
        <v>931.75</v>
      </c>
      <c r="M2767" t="s">
        <v>5032</v>
      </c>
      <c r="N2767" t="s">
        <v>5031</v>
      </c>
    </row>
    <row r="2768" spans="1:14" x14ac:dyDescent="0.3">
      <c r="A2768" t="s">
        <v>2792</v>
      </c>
      <c r="B2768" t="s">
        <v>12</v>
      </c>
      <c r="C2768" t="s">
        <v>20</v>
      </c>
      <c r="D2768">
        <v>64</v>
      </c>
      <c r="E2768" t="s">
        <v>26</v>
      </c>
      <c r="F2768" t="s">
        <v>16</v>
      </c>
      <c r="G2768">
        <v>115</v>
      </c>
      <c r="H2768">
        <v>7396.15</v>
      </c>
      <c r="I2768" t="s">
        <v>15</v>
      </c>
      <c r="J2768" t="s">
        <v>16</v>
      </c>
      <c r="K2768" t="s">
        <v>17</v>
      </c>
      <c r="L2768">
        <v>7396.15</v>
      </c>
      <c r="M2768" t="s">
        <v>5033</v>
      </c>
      <c r="N2768" t="s">
        <v>5034</v>
      </c>
    </row>
    <row r="2769" spans="1:14" x14ac:dyDescent="0.3">
      <c r="A2769" t="s">
        <v>2793</v>
      </c>
      <c r="B2769" t="s">
        <v>12</v>
      </c>
      <c r="C2769" t="s">
        <v>13</v>
      </c>
      <c r="D2769">
        <v>46</v>
      </c>
      <c r="E2769" t="s">
        <v>26</v>
      </c>
      <c r="F2769" t="s">
        <v>16</v>
      </c>
      <c r="G2769">
        <v>84.8</v>
      </c>
      <c r="H2769">
        <v>3958.85</v>
      </c>
      <c r="I2769" t="s">
        <v>15</v>
      </c>
      <c r="J2769" t="s">
        <v>16</v>
      </c>
      <c r="K2769" t="s">
        <v>24</v>
      </c>
      <c r="L2769">
        <v>3958.85</v>
      </c>
      <c r="M2769" t="s">
        <v>5033</v>
      </c>
      <c r="N2769" t="s">
        <v>5034</v>
      </c>
    </row>
    <row r="2770" spans="1:14" x14ac:dyDescent="0.3">
      <c r="A2770" t="s">
        <v>2794</v>
      </c>
      <c r="B2770" t="s">
        <v>12</v>
      </c>
      <c r="C2770" t="s">
        <v>20</v>
      </c>
      <c r="D2770">
        <v>12</v>
      </c>
      <c r="E2770" t="s">
        <v>15</v>
      </c>
      <c r="F2770" t="s">
        <v>36</v>
      </c>
      <c r="G2770">
        <v>19.7</v>
      </c>
      <c r="H2770">
        <v>260.89999999999998</v>
      </c>
      <c r="I2770" t="s">
        <v>15</v>
      </c>
      <c r="J2770" t="s">
        <v>15</v>
      </c>
      <c r="K2770" t="s">
        <v>21</v>
      </c>
      <c r="L2770">
        <v>260.89999999999998</v>
      </c>
      <c r="M2770" t="s">
        <v>5030</v>
      </c>
      <c r="N2770" t="s">
        <v>5031</v>
      </c>
    </row>
    <row r="2771" spans="1:14" x14ac:dyDescent="0.3">
      <c r="A2771" t="s">
        <v>2795</v>
      </c>
      <c r="B2771" t="s">
        <v>12</v>
      </c>
      <c r="C2771" t="s">
        <v>13</v>
      </c>
      <c r="D2771">
        <v>15</v>
      </c>
      <c r="E2771" t="s">
        <v>15</v>
      </c>
      <c r="F2771" t="s">
        <v>36</v>
      </c>
      <c r="G2771">
        <v>19.75</v>
      </c>
      <c r="H2771">
        <v>297.3</v>
      </c>
      <c r="I2771" t="s">
        <v>16</v>
      </c>
      <c r="J2771" t="s">
        <v>15</v>
      </c>
      <c r="K2771" t="s">
        <v>24</v>
      </c>
      <c r="L2771">
        <v>297.3</v>
      </c>
      <c r="M2771" t="s">
        <v>5032</v>
      </c>
      <c r="N2771" t="s">
        <v>5031</v>
      </c>
    </row>
    <row r="2772" spans="1:14" x14ac:dyDescent="0.3">
      <c r="A2772" t="s">
        <v>2796</v>
      </c>
      <c r="B2772" t="s">
        <v>19</v>
      </c>
      <c r="C2772" t="s">
        <v>13</v>
      </c>
      <c r="D2772">
        <v>17</v>
      </c>
      <c r="E2772" t="s">
        <v>26</v>
      </c>
      <c r="F2772" t="s">
        <v>15</v>
      </c>
      <c r="G2772">
        <v>92.55</v>
      </c>
      <c r="H2772">
        <v>1515.1</v>
      </c>
      <c r="I2772" t="s">
        <v>16</v>
      </c>
      <c r="J2772" t="s">
        <v>16</v>
      </c>
      <c r="K2772" t="s">
        <v>17</v>
      </c>
      <c r="L2772">
        <v>1515.1</v>
      </c>
      <c r="M2772" t="s">
        <v>5032</v>
      </c>
      <c r="N2772" t="s">
        <v>5031</v>
      </c>
    </row>
    <row r="2773" spans="1:14" x14ac:dyDescent="0.3">
      <c r="A2773" t="s">
        <v>2797</v>
      </c>
      <c r="B2773" t="s">
        <v>12</v>
      </c>
      <c r="C2773" t="s">
        <v>13</v>
      </c>
      <c r="D2773">
        <v>13</v>
      </c>
      <c r="E2773" t="s">
        <v>14</v>
      </c>
      <c r="F2773" t="s">
        <v>15</v>
      </c>
      <c r="G2773">
        <v>63.15</v>
      </c>
      <c r="H2773">
        <v>816.8</v>
      </c>
      <c r="I2773" t="s">
        <v>15</v>
      </c>
      <c r="J2773" t="s">
        <v>16</v>
      </c>
      <c r="K2773" t="s">
        <v>21</v>
      </c>
      <c r="L2773">
        <v>816.8</v>
      </c>
      <c r="M2773" t="s">
        <v>5032</v>
      </c>
      <c r="N2773" t="s">
        <v>5031</v>
      </c>
    </row>
    <row r="2774" spans="1:14" x14ac:dyDescent="0.3">
      <c r="A2774" t="s">
        <v>2798</v>
      </c>
      <c r="B2774" t="s">
        <v>12</v>
      </c>
      <c r="C2774" t="s">
        <v>35</v>
      </c>
      <c r="D2774">
        <v>67</v>
      </c>
      <c r="E2774" t="s">
        <v>14</v>
      </c>
      <c r="F2774" t="s">
        <v>16</v>
      </c>
      <c r="G2774">
        <v>74</v>
      </c>
      <c r="H2774">
        <v>4868.3999999999996</v>
      </c>
      <c r="I2774" t="s">
        <v>15</v>
      </c>
      <c r="J2774" t="s">
        <v>15</v>
      </c>
      <c r="K2774" t="s">
        <v>29</v>
      </c>
      <c r="L2774">
        <v>4868.3999999999996</v>
      </c>
      <c r="M2774" t="s">
        <v>5033</v>
      </c>
      <c r="N2774" t="s">
        <v>5034</v>
      </c>
    </row>
    <row r="2775" spans="1:14" x14ac:dyDescent="0.3">
      <c r="A2775" t="s">
        <v>2799</v>
      </c>
      <c r="B2775" t="s">
        <v>19</v>
      </c>
      <c r="C2775" t="s">
        <v>13</v>
      </c>
      <c r="D2775">
        <v>24</v>
      </c>
      <c r="E2775" t="s">
        <v>14</v>
      </c>
      <c r="F2775" t="s">
        <v>15</v>
      </c>
      <c r="G2775">
        <v>29.1</v>
      </c>
      <c r="H2775">
        <v>688</v>
      </c>
      <c r="I2775" t="s">
        <v>15</v>
      </c>
      <c r="J2775" t="s">
        <v>15</v>
      </c>
      <c r="K2775" t="s">
        <v>17</v>
      </c>
      <c r="L2775">
        <v>688</v>
      </c>
      <c r="M2775" t="s">
        <v>5032</v>
      </c>
      <c r="N2775" t="s">
        <v>5031</v>
      </c>
    </row>
    <row r="2776" spans="1:14" x14ac:dyDescent="0.3">
      <c r="A2776" t="s">
        <v>2800</v>
      </c>
      <c r="B2776" t="s">
        <v>19</v>
      </c>
      <c r="C2776" t="s">
        <v>13</v>
      </c>
      <c r="D2776">
        <v>6</v>
      </c>
      <c r="E2776" t="s">
        <v>14</v>
      </c>
      <c r="F2776" t="s">
        <v>16</v>
      </c>
      <c r="G2776">
        <v>50.05</v>
      </c>
      <c r="H2776">
        <v>288.35000000000002</v>
      </c>
      <c r="I2776" t="s">
        <v>15</v>
      </c>
      <c r="J2776" t="s">
        <v>15</v>
      </c>
      <c r="K2776" t="s">
        <v>21</v>
      </c>
      <c r="L2776">
        <v>288.35000000000002</v>
      </c>
      <c r="M2776" t="s">
        <v>5030</v>
      </c>
      <c r="N2776" t="s">
        <v>5031</v>
      </c>
    </row>
    <row r="2777" spans="1:14" x14ac:dyDescent="0.3">
      <c r="A2777" t="s">
        <v>2801</v>
      </c>
      <c r="B2777" t="s">
        <v>19</v>
      </c>
      <c r="C2777" t="s">
        <v>20</v>
      </c>
      <c r="D2777">
        <v>53</v>
      </c>
      <c r="E2777" t="s">
        <v>14</v>
      </c>
      <c r="F2777" t="s">
        <v>16</v>
      </c>
      <c r="G2777">
        <v>60.05</v>
      </c>
      <c r="H2777">
        <v>3229.65</v>
      </c>
      <c r="I2777" t="s">
        <v>16</v>
      </c>
      <c r="J2777" t="s">
        <v>16</v>
      </c>
      <c r="K2777" t="s">
        <v>17</v>
      </c>
      <c r="L2777">
        <v>3229.65</v>
      </c>
      <c r="M2777" t="s">
        <v>5033</v>
      </c>
      <c r="N2777" t="s">
        <v>5034</v>
      </c>
    </row>
    <row r="2778" spans="1:14" x14ac:dyDescent="0.3">
      <c r="A2778" t="s">
        <v>2802</v>
      </c>
      <c r="B2778" t="s">
        <v>19</v>
      </c>
      <c r="C2778" t="s">
        <v>13</v>
      </c>
      <c r="D2778">
        <v>16</v>
      </c>
      <c r="E2778" t="s">
        <v>26</v>
      </c>
      <c r="F2778" t="s">
        <v>15</v>
      </c>
      <c r="G2778">
        <v>74.3</v>
      </c>
      <c r="H2778">
        <v>1178.25</v>
      </c>
      <c r="I2778" t="s">
        <v>16</v>
      </c>
      <c r="J2778" t="s">
        <v>16</v>
      </c>
      <c r="K2778" t="s">
        <v>29</v>
      </c>
      <c r="L2778">
        <v>1178.25</v>
      </c>
      <c r="M2778" t="s">
        <v>5032</v>
      </c>
      <c r="N2778" t="s">
        <v>5031</v>
      </c>
    </row>
    <row r="2779" spans="1:14" x14ac:dyDescent="0.3">
      <c r="A2779" t="s">
        <v>2803</v>
      </c>
      <c r="B2779" t="s">
        <v>19</v>
      </c>
      <c r="C2779" t="s">
        <v>13</v>
      </c>
      <c r="D2779">
        <v>10</v>
      </c>
      <c r="E2779" t="s">
        <v>15</v>
      </c>
      <c r="F2779" t="s">
        <v>36</v>
      </c>
      <c r="G2779">
        <v>20</v>
      </c>
      <c r="H2779">
        <v>185.4</v>
      </c>
      <c r="I2779" t="s">
        <v>15</v>
      </c>
      <c r="J2779" t="s">
        <v>15</v>
      </c>
      <c r="K2779" t="s">
        <v>17</v>
      </c>
      <c r="L2779">
        <v>185.4</v>
      </c>
      <c r="M2779" t="s">
        <v>5030</v>
      </c>
      <c r="N2779" t="s">
        <v>5031</v>
      </c>
    </row>
    <row r="2780" spans="1:14" x14ac:dyDescent="0.3">
      <c r="A2780" t="s">
        <v>2804</v>
      </c>
      <c r="B2780" t="s">
        <v>12</v>
      </c>
      <c r="C2780" t="s">
        <v>20</v>
      </c>
      <c r="D2780">
        <v>13</v>
      </c>
      <c r="E2780" t="s">
        <v>26</v>
      </c>
      <c r="F2780" t="s">
        <v>15</v>
      </c>
      <c r="G2780">
        <v>74.650000000000006</v>
      </c>
      <c r="H2780">
        <v>966.25</v>
      </c>
      <c r="I2780" t="s">
        <v>15</v>
      </c>
      <c r="J2780" t="s">
        <v>16</v>
      </c>
      <c r="K2780" t="s">
        <v>21</v>
      </c>
      <c r="L2780">
        <v>966.25</v>
      </c>
      <c r="M2780" t="s">
        <v>5032</v>
      </c>
      <c r="N2780" t="s">
        <v>5031</v>
      </c>
    </row>
    <row r="2781" spans="1:14" x14ac:dyDescent="0.3">
      <c r="A2781" t="s">
        <v>2805</v>
      </c>
      <c r="B2781" t="s">
        <v>19</v>
      </c>
      <c r="C2781" t="s">
        <v>13</v>
      </c>
      <c r="D2781">
        <v>9</v>
      </c>
      <c r="E2781" t="s">
        <v>26</v>
      </c>
      <c r="F2781" t="s">
        <v>15</v>
      </c>
      <c r="G2781">
        <v>85.35</v>
      </c>
      <c r="H2781">
        <v>758.6</v>
      </c>
      <c r="I2781" t="s">
        <v>16</v>
      </c>
      <c r="J2781" t="s">
        <v>16</v>
      </c>
      <c r="K2781" t="s">
        <v>17</v>
      </c>
      <c r="L2781">
        <v>758.6</v>
      </c>
      <c r="M2781" t="s">
        <v>5030</v>
      </c>
      <c r="N2781" t="s">
        <v>5031</v>
      </c>
    </row>
    <row r="2782" spans="1:14" x14ac:dyDescent="0.3">
      <c r="A2782" t="s">
        <v>2806</v>
      </c>
      <c r="B2782" t="s">
        <v>12</v>
      </c>
      <c r="C2782" t="s">
        <v>20</v>
      </c>
      <c r="D2782">
        <v>25</v>
      </c>
      <c r="E2782" t="s">
        <v>14</v>
      </c>
      <c r="F2782" t="s">
        <v>16</v>
      </c>
      <c r="G2782">
        <v>74.3</v>
      </c>
      <c r="H2782">
        <v>1863.8</v>
      </c>
      <c r="I2782" t="s">
        <v>16</v>
      </c>
      <c r="J2782" t="s">
        <v>15</v>
      </c>
      <c r="K2782" t="s">
        <v>21</v>
      </c>
      <c r="L2782">
        <v>1863.8</v>
      </c>
      <c r="M2782" t="s">
        <v>5032</v>
      </c>
      <c r="N2782" t="s">
        <v>5031</v>
      </c>
    </row>
    <row r="2783" spans="1:14" x14ac:dyDescent="0.3">
      <c r="A2783" t="s">
        <v>2807</v>
      </c>
      <c r="B2783" t="s">
        <v>19</v>
      </c>
      <c r="C2783" t="s">
        <v>13</v>
      </c>
      <c r="D2783">
        <v>7</v>
      </c>
      <c r="E2783" t="s">
        <v>14</v>
      </c>
      <c r="F2783" t="s">
        <v>16</v>
      </c>
      <c r="G2783">
        <v>44.4</v>
      </c>
      <c r="H2783">
        <v>265.8</v>
      </c>
      <c r="I2783" t="s">
        <v>15</v>
      </c>
      <c r="J2783" t="s">
        <v>16</v>
      </c>
      <c r="K2783" t="s">
        <v>17</v>
      </c>
      <c r="L2783">
        <v>265.8</v>
      </c>
      <c r="M2783" t="s">
        <v>5030</v>
      </c>
      <c r="N2783" t="s">
        <v>5031</v>
      </c>
    </row>
    <row r="2784" spans="1:14" x14ac:dyDescent="0.3">
      <c r="A2784" t="s">
        <v>2808</v>
      </c>
      <c r="B2784" t="s">
        <v>19</v>
      </c>
      <c r="C2784" t="s">
        <v>35</v>
      </c>
      <c r="D2784">
        <v>38</v>
      </c>
      <c r="E2784" t="s">
        <v>14</v>
      </c>
      <c r="F2784" t="s">
        <v>16</v>
      </c>
      <c r="G2784">
        <v>85.4</v>
      </c>
      <c r="H2784">
        <v>3297</v>
      </c>
      <c r="I2784" t="s">
        <v>15</v>
      </c>
      <c r="J2784" t="s">
        <v>16</v>
      </c>
      <c r="K2784" t="s">
        <v>24</v>
      </c>
      <c r="L2784">
        <v>3297</v>
      </c>
      <c r="M2784" t="s">
        <v>5033</v>
      </c>
      <c r="N2784" t="s">
        <v>5034</v>
      </c>
    </row>
    <row r="2785" spans="1:14" x14ac:dyDescent="0.3">
      <c r="A2785" t="s">
        <v>2809</v>
      </c>
      <c r="B2785" t="s">
        <v>12</v>
      </c>
      <c r="C2785" t="s">
        <v>13</v>
      </c>
      <c r="D2785">
        <v>43</v>
      </c>
      <c r="E2785" t="s">
        <v>26</v>
      </c>
      <c r="F2785" t="s">
        <v>15</v>
      </c>
      <c r="G2785">
        <v>94.1</v>
      </c>
      <c r="H2785">
        <v>4107.3</v>
      </c>
      <c r="I2785" t="s">
        <v>15</v>
      </c>
      <c r="J2785" t="s">
        <v>16</v>
      </c>
      <c r="K2785" t="s">
        <v>17</v>
      </c>
      <c r="L2785">
        <v>4107.3</v>
      </c>
      <c r="M2785" t="s">
        <v>5033</v>
      </c>
      <c r="N2785" t="s">
        <v>5034</v>
      </c>
    </row>
    <row r="2786" spans="1:14" x14ac:dyDescent="0.3">
      <c r="A2786" t="s">
        <v>2810</v>
      </c>
      <c r="B2786" t="s">
        <v>12</v>
      </c>
      <c r="C2786" t="s">
        <v>13</v>
      </c>
      <c r="D2786">
        <v>4</v>
      </c>
      <c r="E2786" t="s">
        <v>26</v>
      </c>
      <c r="F2786" t="s">
        <v>16</v>
      </c>
      <c r="G2786">
        <v>98.1</v>
      </c>
      <c r="H2786">
        <v>396.3</v>
      </c>
      <c r="I2786" t="s">
        <v>16</v>
      </c>
      <c r="J2786" t="s">
        <v>16</v>
      </c>
      <c r="K2786" t="s">
        <v>24</v>
      </c>
      <c r="L2786">
        <v>396.3</v>
      </c>
      <c r="M2786" t="s">
        <v>5030</v>
      </c>
      <c r="N2786" t="s">
        <v>5031</v>
      </c>
    </row>
    <row r="2787" spans="1:14" x14ac:dyDescent="0.3">
      <c r="A2787" t="s">
        <v>2811</v>
      </c>
      <c r="B2787" t="s">
        <v>12</v>
      </c>
      <c r="C2787" t="s">
        <v>35</v>
      </c>
      <c r="D2787">
        <v>25</v>
      </c>
      <c r="E2787" t="s">
        <v>26</v>
      </c>
      <c r="F2787" t="s">
        <v>16</v>
      </c>
      <c r="G2787">
        <v>108.9</v>
      </c>
      <c r="H2787">
        <v>2809.05</v>
      </c>
      <c r="I2787" t="s">
        <v>15</v>
      </c>
      <c r="J2787" t="s">
        <v>15</v>
      </c>
      <c r="K2787" t="s">
        <v>17</v>
      </c>
      <c r="L2787">
        <v>2809.05</v>
      </c>
      <c r="M2787" t="s">
        <v>5032</v>
      </c>
      <c r="N2787" t="s">
        <v>5034</v>
      </c>
    </row>
    <row r="2788" spans="1:14" x14ac:dyDescent="0.3">
      <c r="A2788" t="s">
        <v>2812</v>
      </c>
      <c r="B2788" t="s">
        <v>19</v>
      </c>
      <c r="C2788" t="s">
        <v>20</v>
      </c>
      <c r="D2788">
        <v>27</v>
      </c>
      <c r="E2788" t="s">
        <v>14</v>
      </c>
      <c r="F2788" t="s">
        <v>15</v>
      </c>
      <c r="G2788">
        <v>56.2</v>
      </c>
      <c r="H2788">
        <v>1567.55</v>
      </c>
      <c r="I2788" t="s">
        <v>15</v>
      </c>
      <c r="J2788" t="s">
        <v>15</v>
      </c>
      <c r="K2788" t="s">
        <v>21</v>
      </c>
      <c r="L2788">
        <v>1567.55</v>
      </c>
      <c r="M2788" t="s">
        <v>5032</v>
      </c>
      <c r="N2788" t="s">
        <v>5031</v>
      </c>
    </row>
    <row r="2789" spans="1:14" x14ac:dyDescent="0.3">
      <c r="A2789" t="s">
        <v>2813</v>
      </c>
      <c r="B2789" t="s">
        <v>19</v>
      </c>
      <c r="C2789" t="s">
        <v>35</v>
      </c>
      <c r="D2789">
        <v>72</v>
      </c>
      <c r="E2789" t="s">
        <v>15</v>
      </c>
      <c r="F2789" t="s">
        <v>36</v>
      </c>
      <c r="G2789">
        <v>26.1</v>
      </c>
      <c r="H2789">
        <v>1851.45</v>
      </c>
      <c r="I2789" t="s">
        <v>15</v>
      </c>
      <c r="J2789" t="s">
        <v>15</v>
      </c>
      <c r="K2789" t="s">
        <v>21</v>
      </c>
      <c r="L2789">
        <v>1851.45</v>
      </c>
      <c r="M2789" t="s">
        <v>5033</v>
      </c>
      <c r="N2789" t="s">
        <v>5031</v>
      </c>
    </row>
    <row r="2790" spans="1:14" x14ac:dyDescent="0.3">
      <c r="A2790" t="s">
        <v>2814</v>
      </c>
      <c r="B2790" t="s">
        <v>19</v>
      </c>
      <c r="C2790" t="s">
        <v>20</v>
      </c>
      <c r="D2790">
        <v>71</v>
      </c>
      <c r="E2790" t="s">
        <v>26</v>
      </c>
      <c r="F2790" t="s">
        <v>15</v>
      </c>
      <c r="G2790">
        <v>85.45</v>
      </c>
      <c r="H2790">
        <v>6028.95</v>
      </c>
      <c r="I2790" t="s">
        <v>15</v>
      </c>
      <c r="J2790" t="s">
        <v>16</v>
      </c>
      <c r="K2790" t="s">
        <v>29</v>
      </c>
      <c r="L2790">
        <v>6028.95</v>
      </c>
      <c r="M2790" t="s">
        <v>5033</v>
      </c>
      <c r="N2790" t="s">
        <v>5034</v>
      </c>
    </row>
    <row r="2791" spans="1:14" x14ac:dyDescent="0.3">
      <c r="A2791" t="s">
        <v>2815</v>
      </c>
      <c r="B2791" t="s">
        <v>12</v>
      </c>
      <c r="C2791" t="s">
        <v>13</v>
      </c>
      <c r="D2791">
        <v>24</v>
      </c>
      <c r="E2791" t="s">
        <v>26</v>
      </c>
      <c r="F2791" t="s">
        <v>15</v>
      </c>
      <c r="G2791">
        <v>88.95</v>
      </c>
      <c r="H2791">
        <v>2072.75</v>
      </c>
      <c r="I2791" t="s">
        <v>15</v>
      </c>
      <c r="J2791" t="s">
        <v>16</v>
      </c>
      <c r="K2791" t="s">
        <v>29</v>
      </c>
      <c r="L2791">
        <v>2072.75</v>
      </c>
      <c r="M2791" t="s">
        <v>5032</v>
      </c>
      <c r="N2791" t="s">
        <v>5031</v>
      </c>
    </row>
    <row r="2792" spans="1:14" x14ac:dyDescent="0.3">
      <c r="A2792" t="s">
        <v>2816</v>
      </c>
      <c r="B2792" t="s">
        <v>12</v>
      </c>
      <c r="C2792" t="s">
        <v>35</v>
      </c>
      <c r="D2792">
        <v>50</v>
      </c>
      <c r="E2792" t="s">
        <v>26</v>
      </c>
      <c r="F2792" t="s">
        <v>16</v>
      </c>
      <c r="G2792">
        <v>109.65</v>
      </c>
      <c r="H2792">
        <v>5551.15</v>
      </c>
      <c r="I2792" t="s">
        <v>16</v>
      </c>
      <c r="J2792" t="s">
        <v>16</v>
      </c>
      <c r="K2792" t="s">
        <v>17</v>
      </c>
      <c r="L2792">
        <v>5551.15</v>
      </c>
      <c r="M2792" t="s">
        <v>5033</v>
      </c>
      <c r="N2792" t="s">
        <v>5034</v>
      </c>
    </row>
    <row r="2793" spans="1:14" x14ac:dyDescent="0.3">
      <c r="A2793" t="s">
        <v>2817</v>
      </c>
      <c r="B2793" t="s">
        <v>19</v>
      </c>
      <c r="C2793" t="s">
        <v>35</v>
      </c>
      <c r="D2793">
        <v>57</v>
      </c>
      <c r="E2793" t="s">
        <v>14</v>
      </c>
      <c r="F2793" t="s">
        <v>15</v>
      </c>
      <c r="G2793">
        <v>74.349999999999994</v>
      </c>
      <c r="H2793">
        <v>4317.3500000000004</v>
      </c>
      <c r="I2793" t="s">
        <v>15</v>
      </c>
      <c r="J2793" t="s">
        <v>16</v>
      </c>
      <c r="K2793" t="s">
        <v>24</v>
      </c>
      <c r="L2793">
        <v>4317.3500000000004</v>
      </c>
      <c r="M2793" t="s">
        <v>5033</v>
      </c>
      <c r="N2793" t="s">
        <v>5034</v>
      </c>
    </row>
    <row r="2794" spans="1:14" x14ac:dyDescent="0.3">
      <c r="A2794" t="s">
        <v>2818</v>
      </c>
      <c r="B2794" t="s">
        <v>12</v>
      </c>
      <c r="C2794" t="s">
        <v>13</v>
      </c>
      <c r="D2794">
        <v>15</v>
      </c>
      <c r="E2794" t="s">
        <v>14</v>
      </c>
      <c r="F2794" t="s">
        <v>15</v>
      </c>
      <c r="G2794">
        <v>48.85</v>
      </c>
      <c r="H2794">
        <v>736.8</v>
      </c>
      <c r="I2794" t="s">
        <v>15</v>
      </c>
      <c r="J2794" t="s">
        <v>15</v>
      </c>
      <c r="K2794" t="s">
        <v>17</v>
      </c>
      <c r="L2794">
        <v>736.8</v>
      </c>
      <c r="M2794" t="s">
        <v>5032</v>
      </c>
      <c r="N2794" t="s">
        <v>5031</v>
      </c>
    </row>
    <row r="2795" spans="1:14" x14ac:dyDescent="0.3">
      <c r="A2795" t="s">
        <v>2819</v>
      </c>
      <c r="B2795" t="s">
        <v>19</v>
      </c>
      <c r="C2795" t="s">
        <v>13</v>
      </c>
      <c r="D2795">
        <v>4</v>
      </c>
      <c r="E2795" t="s">
        <v>26</v>
      </c>
      <c r="F2795" t="s">
        <v>15</v>
      </c>
      <c r="G2795">
        <v>80.099999999999994</v>
      </c>
      <c r="H2795">
        <v>336.15</v>
      </c>
      <c r="I2795" t="s">
        <v>15</v>
      </c>
      <c r="J2795" t="s">
        <v>16</v>
      </c>
      <c r="K2795" t="s">
        <v>17</v>
      </c>
      <c r="L2795">
        <v>336.15</v>
      </c>
      <c r="M2795" t="s">
        <v>5030</v>
      </c>
      <c r="N2795" t="s">
        <v>5031</v>
      </c>
    </row>
    <row r="2796" spans="1:14" x14ac:dyDescent="0.3">
      <c r="A2796" t="s">
        <v>2820</v>
      </c>
      <c r="B2796" t="s">
        <v>12</v>
      </c>
      <c r="C2796" t="s">
        <v>13</v>
      </c>
      <c r="D2796">
        <v>28</v>
      </c>
      <c r="E2796" t="s">
        <v>14</v>
      </c>
      <c r="F2796" t="s">
        <v>15</v>
      </c>
      <c r="G2796">
        <v>56.05</v>
      </c>
      <c r="H2796">
        <v>1522.65</v>
      </c>
      <c r="I2796" t="s">
        <v>15</v>
      </c>
      <c r="J2796" t="s">
        <v>15</v>
      </c>
      <c r="K2796" t="s">
        <v>17</v>
      </c>
      <c r="L2796">
        <v>1522.65</v>
      </c>
      <c r="M2796" t="s">
        <v>5032</v>
      </c>
      <c r="N2796" t="s">
        <v>5031</v>
      </c>
    </row>
    <row r="2797" spans="1:14" x14ac:dyDescent="0.3">
      <c r="A2797" t="s">
        <v>2821</v>
      </c>
      <c r="B2797" t="s">
        <v>12</v>
      </c>
      <c r="C2797" t="s">
        <v>13</v>
      </c>
      <c r="D2797">
        <v>9</v>
      </c>
      <c r="E2797" t="s">
        <v>26</v>
      </c>
      <c r="F2797" t="s">
        <v>15</v>
      </c>
      <c r="G2797">
        <v>74.55</v>
      </c>
      <c r="H2797">
        <v>622.9</v>
      </c>
      <c r="I2797" t="s">
        <v>16</v>
      </c>
      <c r="J2797" t="s">
        <v>16</v>
      </c>
      <c r="K2797" t="s">
        <v>17</v>
      </c>
      <c r="L2797">
        <v>622.9</v>
      </c>
      <c r="M2797" t="s">
        <v>5030</v>
      </c>
      <c r="N2797" t="s">
        <v>5031</v>
      </c>
    </row>
    <row r="2798" spans="1:14" x14ac:dyDescent="0.3">
      <c r="A2798" t="s">
        <v>2822</v>
      </c>
      <c r="B2798" t="s">
        <v>12</v>
      </c>
      <c r="C2798" t="s">
        <v>13</v>
      </c>
      <c r="D2798">
        <v>55</v>
      </c>
      <c r="E2798" t="s">
        <v>26</v>
      </c>
      <c r="F2798" t="s">
        <v>15</v>
      </c>
      <c r="G2798">
        <v>89.8</v>
      </c>
      <c r="H2798">
        <v>4959.6000000000004</v>
      </c>
      <c r="I2798" t="s">
        <v>15</v>
      </c>
      <c r="J2798" t="s">
        <v>16</v>
      </c>
      <c r="K2798" t="s">
        <v>24</v>
      </c>
      <c r="L2798">
        <v>4959.6000000000004</v>
      </c>
      <c r="M2798" t="s">
        <v>5033</v>
      </c>
      <c r="N2798" t="s">
        <v>5034</v>
      </c>
    </row>
    <row r="2799" spans="1:14" x14ac:dyDescent="0.3">
      <c r="A2799" t="s">
        <v>2823</v>
      </c>
      <c r="B2799" t="s">
        <v>19</v>
      </c>
      <c r="C2799" t="s">
        <v>13</v>
      </c>
      <c r="D2799">
        <v>3</v>
      </c>
      <c r="E2799" t="s">
        <v>26</v>
      </c>
      <c r="F2799" t="s">
        <v>15</v>
      </c>
      <c r="G2799">
        <v>100.95</v>
      </c>
      <c r="H2799">
        <v>329.95</v>
      </c>
      <c r="I2799" t="s">
        <v>16</v>
      </c>
      <c r="J2799" t="s">
        <v>16</v>
      </c>
      <c r="K2799" t="s">
        <v>17</v>
      </c>
      <c r="L2799">
        <v>329.95</v>
      </c>
      <c r="M2799" t="s">
        <v>5030</v>
      </c>
      <c r="N2799" t="s">
        <v>5031</v>
      </c>
    </row>
    <row r="2800" spans="1:14" x14ac:dyDescent="0.3">
      <c r="A2800" t="s">
        <v>2824</v>
      </c>
      <c r="B2800" t="s">
        <v>19</v>
      </c>
      <c r="C2800" t="s">
        <v>13</v>
      </c>
      <c r="D2800">
        <v>10</v>
      </c>
      <c r="E2800" t="s">
        <v>26</v>
      </c>
      <c r="F2800" t="s">
        <v>15</v>
      </c>
      <c r="G2800">
        <v>94.9</v>
      </c>
      <c r="H2800">
        <v>1048.8499999999999</v>
      </c>
      <c r="I2800" t="s">
        <v>16</v>
      </c>
      <c r="J2800" t="s">
        <v>16</v>
      </c>
      <c r="K2800" t="s">
        <v>17</v>
      </c>
      <c r="L2800">
        <v>1048.8499999999999</v>
      </c>
      <c r="M2800" t="s">
        <v>5030</v>
      </c>
      <c r="N2800" t="s">
        <v>5031</v>
      </c>
    </row>
    <row r="2801" spans="1:14" x14ac:dyDescent="0.3">
      <c r="A2801" t="s">
        <v>2825</v>
      </c>
      <c r="B2801" t="s">
        <v>19</v>
      </c>
      <c r="C2801" t="s">
        <v>20</v>
      </c>
      <c r="D2801">
        <v>55</v>
      </c>
      <c r="E2801" t="s">
        <v>15</v>
      </c>
      <c r="F2801" t="s">
        <v>36</v>
      </c>
      <c r="G2801">
        <v>19.100000000000001</v>
      </c>
      <c r="H2801">
        <v>1001.5</v>
      </c>
      <c r="I2801" t="s">
        <v>15</v>
      </c>
      <c r="J2801" t="s">
        <v>15</v>
      </c>
      <c r="K2801" t="s">
        <v>24</v>
      </c>
      <c r="L2801">
        <v>1001.5</v>
      </c>
      <c r="M2801" t="s">
        <v>5033</v>
      </c>
      <c r="N2801" t="s">
        <v>5031</v>
      </c>
    </row>
    <row r="2802" spans="1:14" x14ac:dyDescent="0.3">
      <c r="A2802" t="s">
        <v>2826</v>
      </c>
      <c r="B2802" t="s">
        <v>12</v>
      </c>
      <c r="C2802" t="s">
        <v>13</v>
      </c>
      <c r="D2802">
        <v>20</v>
      </c>
      <c r="E2802" t="s">
        <v>15</v>
      </c>
      <c r="F2802" t="s">
        <v>36</v>
      </c>
      <c r="G2802">
        <v>20.350000000000001</v>
      </c>
      <c r="H2802">
        <v>442.6</v>
      </c>
      <c r="I2802" t="s">
        <v>15</v>
      </c>
      <c r="J2802" t="s">
        <v>15</v>
      </c>
      <c r="K2802" t="s">
        <v>21</v>
      </c>
      <c r="L2802">
        <v>442.6</v>
      </c>
      <c r="M2802" t="s">
        <v>5032</v>
      </c>
      <c r="N2802" t="s">
        <v>5031</v>
      </c>
    </row>
    <row r="2803" spans="1:14" x14ac:dyDescent="0.3">
      <c r="A2803" t="s">
        <v>2827</v>
      </c>
      <c r="B2803" t="s">
        <v>12</v>
      </c>
      <c r="C2803" t="s">
        <v>20</v>
      </c>
      <c r="D2803">
        <v>62</v>
      </c>
      <c r="E2803" t="s">
        <v>26</v>
      </c>
      <c r="F2803" t="s">
        <v>16</v>
      </c>
      <c r="G2803">
        <v>106.05</v>
      </c>
      <c r="H2803">
        <v>6703.5</v>
      </c>
      <c r="I2803" t="s">
        <v>15</v>
      </c>
      <c r="J2803" t="s">
        <v>16</v>
      </c>
      <c r="K2803" t="s">
        <v>29</v>
      </c>
      <c r="L2803">
        <v>6703.5</v>
      </c>
      <c r="M2803" t="s">
        <v>5033</v>
      </c>
      <c r="N2803" t="s">
        <v>5034</v>
      </c>
    </row>
    <row r="2804" spans="1:14" x14ac:dyDescent="0.3">
      <c r="A2804" t="s">
        <v>2828</v>
      </c>
      <c r="B2804" t="s">
        <v>19</v>
      </c>
      <c r="C2804" t="s">
        <v>13</v>
      </c>
      <c r="D2804">
        <v>32</v>
      </c>
      <c r="E2804" t="s">
        <v>26</v>
      </c>
      <c r="F2804" t="s">
        <v>16</v>
      </c>
      <c r="G2804">
        <v>104.9</v>
      </c>
      <c r="H2804">
        <v>3351.55</v>
      </c>
      <c r="I2804" t="s">
        <v>16</v>
      </c>
      <c r="J2804" t="s">
        <v>16</v>
      </c>
      <c r="K2804" t="s">
        <v>17</v>
      </c>
      <c r="L2804">
        <v>3351.55</v>
      </c>
      <c r="M2804" t="s">
        <v>5032</v>
      </c>
      <c r="N2804" t="s">
        <v>5034</v>
      </c>
    </row>
    <row r="2805" spans="1:14" x14ac:dyDescent="0.3">
      <c r="A2805" t="s">
        <v>2829</v>
      </c>
      <c r="B2805" t="s">
        <v>12</v>
      </c>
      <c r="C2805" t="s">
        <v>35</v>
      </c>
      <c r="D2805">
        <v>43</v>
      </c>
      <c r="E2805" t="s">
        <v>15</v>
      </c>
      <c r="F2805" t="s">
        <v>36</v>
      </c>
      <c r="G2805">
        <v>19.649999999999999</v>
      </c>
      <c r="H2805">
        <v>779.25</v>
      </c>
      <c r="I2805" t="s">
        <v>15</v>
      </c>
      <c r="J2805" t="s">
        <v>16</v>
      </c>
      <c r="K2805" t="s">
        <v>24</v>
      </c>
      <c r="L2805">
        <v>779.25</v>
      </c>
      <c r="M2805" t="s">
        <v>5033</v>
      </c>
      <c r="N2805" t="s">
        <v>5031</v>
      </c>
    </row>
    <row r="2806" spans="1:14" x14ac:dyDescent="0.3">
      <c r="A2806" t="s">
        <v>2830</v>
      </c>
      <c r="B2806" t="s">
        <v>19</v>
      </c>
      <c r="C2806" t="s">
        <v>20</v>
      </c>
      <c r="D2806">
        <v>9</v>
      </c>
      <c r="E2806" t="s">
        <v>14</v>
      </c>
      <c r="F2806" t="s">
        <v>15</v>
      </c>
      <c r="G2806">
        <v>24.1</v>
      </c>
      <c r="H2806">
        <v>259.8</v>
      </c>
      <c r="I2806" t="s">
        <v>16</v>
      </c>
      <c r="J2806" t="s">
        <v>15</v>
      </c>
      <c r="K2806" t="s">
        <v>24</v>
      </c>
      <c r="L2806">
        <v>259.8</v>
      </c>
      <c r="M2806" t="s">
        <v>5030</v>
      </c>
      <c r="N2806" t="s">
        <v>5031</v>
      </c>
    </row>
    <row r="2807" spans="1:14" x14ac:dyDescent="0.3">
      <c r="A2807" t="s">
        <v>2831</v>
      </c>
      <c r="B2807" t="s">
        <v>12</v>
      </c>
      <c r="C2807" t="s">
        <v>35</v>
      </c>
      <c r="D2807">
        <v>60</v>
      </c>
      <c r="E2807" t="s">
        <v>14</v>
      </c>
      <c r="F2807" t="s">
        <v>16</v>
      </c>
      <c r="G2807">
        <v>59.85</v>
      </c>
      <c r="H2807">
        <v>3483.45</v>
      </c>
      <c r="I2807" t="s">
        <v>15</v>
      </c>
      <c r="J2807" t="s">
        <v>15</v>
      </c>
      <c r="K2807" t="s">
        <v>24</v>
      </c>
      <c r="L2807">
        <v>3483.45</v>
      </c>
      <c r="M2807" t="s">
        <v>5033</v>
      </c>
      <c r="N2807" t="s">
        <v>5034</v>
      </c>
    </row>
    <row r="2808" spans="1:14" x14ac:dyDescent="0.3">
      <c r="A2808" t="s">
        <v>2832</v>
      </c>
      <c r="B2808" t="s">
        <v>19</v>
      </c>
      <c r="C2808" t="s">
        <v>35</v>
      </c>
      <c r="D2808">
        <v>58</v>
      </c>
      <c r="E2808" t="s">
        <v>14</v>
      </c>
      <c r="F2808" t="s">
        <v>15</v>
      </c>
      <c r="G2808">
        <v>86.1</v>
      </c>
      <c r="H2808">
        <v>4890.5</v>
      </c>
      <c r="I2808" t="s">
        <v>15</v>
      </c>
      <c r="J2808" t="s">
        <v>16</v>
      </c>
      <c r="K2808" t="s">
        <v>17</v>
      </c>
      <c r="L2808">
        <v>4890.5</v>
      </c>
      <c r="M2808" t="s">
        <v>5033</v>
      </c>
      <c r="N2808" t="s">
        <v>5034</v>
      </c>
    </row>
    <row r="2809" spans="1:14" x14ac:dyDescent="0.3">
      <c r="A2809" t="s">
        <v>2833</v>
      </c>
      <c r="B2809" t="s">
        <v>19</v>
      </c>
      <c r="C2809" t="s">
        <v>20</v>
      </c>
      <c r="D2809">
        <v>7</v>
      </c>
      <c r="E2809" t="s">
        <v>15</v>
      </c>
      <c r="F2809" t="s">
        <v>36</v>
      </c>
      <c r="G2809">
        <v>19.45</v>
      </c>
      <c r="H2809">
        <v>136.75</v>
      </c>
      <c r="I2809" t="s">
        <v>15</v>
      </c>
      <c r="J2809" t="s">
        <v>15</v>
      </c>
      <c r="K2809" t="s">
        <v>21</v>
      </c>
      <c r="L2809">
        <v>136.75</v>
      </c>
      <c r="M2809" t="s">
        <v>5030</v>
      </c>
      <c r="N2809" t="s">
        <v>5031</v>
      </c>
    </row>
    <row r="2810" spans="1:14" x14ac:dyDescent="0.3">
      <c r="A2810" t="s">
        <v>2834</v>
      </c>
      <c r="B2810" t="s">
        <v>19</v>
      </c>
      <c r="C2810" t="s">
        <v>13</v>
      </c>
      <c r="D2810">
        <v>2</v>
      </c>
      <c r="E2810" t="s">
        <v>26</v>
      </c>
      <c r="F2810" t="s">
        <v>15</v>
      </c>
      <c r="G2810">
        <v>97.1</v>
      </c>
      <c r="H2810">
        <v>184.15</v>
      </c>
      <c r="I2810" t="s">
        <v>15</v>
      </c>
      <c r="J2810" t="s">
        <v>15</v>
      </c>
      <c r="K2810" t="s">
        <v>17</v>
      </c>
      <c r="L2810">
        <v>184.15</v>
      </c>
      <c r="M2810" t="s">
        <v>5030</v>
      </c>
      <c r="N2810" t="s">
        <v>5031</v>
      </c>
    </row>
    <row r="2811" spans="1:14" x14ac:dyDescent="0.3">
      <c r="A2811" t="s">
        <v>2835</v>
      </c>
      <c r="B2811" t="s">
        <v>19</v>
      </c>
      <c r="C2811" t="s">
        <v>13</v>
      </c>
      <c r="D2811">
        <v>37</v>
      </c>
      <c r="E2811" t="s">
        <v>14</v>
      </c>
      <c r="F2811" t="s">
        <v>15</v>
      </c>
      <c r="G2811">
        <v>36.65</v>
      </c>
      <c r="H2811">
        <v>1315</v>
      </c>
      <c r="I2811" t="s">
        <v>15</v>
      </c>
      <c r="J2811" t="s">
        <v>15</v>
      </c>
      <c r="K2811" t="s">
        <v>17</v>
      </c>
      <c r="L2811">
        <v>1315</v>
      </c>
      <c r="M2811" t="s">
        <v>5033</v>
      </c>
      <c r="N2811" t="s">
        <v>5031</v>
      </c>
    </row>
    <row r="2812" spans="1:14" x14ac:dyDescent="0.3">
      <c r="A2812" t="s">
        <v>2836</v>
      </c>
      <c r="B2812" t="s">
        <v>12</v>
      </c>
      <c r="C2812" t="s">
        <v>20</v>
      </c>
      <c r="D2812">
        <v>65</v>
      </c>
      <c r="E2812" t="s">
        <v>26</v>
      </c>
      <c r="F2812" t="s">
        <v>16</v>
      </c>
      <c r="G2812">
        <v>103.9</v>
      </c>
      <c r="H2812">
        <v>6767.1</v>
      </c>
      <c r="I2812" t="s">
        <v>15</v>
      </c>
      <c r="J2812" t="s">
        <v>16</v>
      </c>
      <c r="K2812" t="s">
        <v>24</v>
      </c>
      <c r="L2812">
        <v>6767.1</v>
      </c>
      <c r="M2812" t="s">
        <v>5033</v>
      </c>
      <c r="N2812" t="s">
        <v>5034</v>
      </c>
    </row>
    <row r="2813" spans="1:14" x14ac:dyDescent="0.3">
      <c r="A2813" t="s">
        <v>2837</v>
      </c>
      <c r="B2813" t="s">
        <v>12</v>
      </c>
      <c r="C2813" t="s">
        <v>35</v>
      </c>
      <c r="D2813">
        <v>39</v>
      </c>
      <c r="E2813" t="s">
        <v>15</v>
      </c>
      <c r="F2813" t="s">
        <v>36</v>
      </c>
      <c r="G2813">
        <v>19.75</v>
      </c>
      <c r="H2813">
        <v>757.95</v>
      </c>
      <c r="I2813" t="s">
        <v>15</v>
      </c>
      <c r="J2813" t="s">
        <v>15</v>
      </c>
      <c r="K2813" t="s">
        <v>21</v>
      </c>
      <c r="L2813">
        <v>757.95</v>
      </c>
      <c r="M2813" t="s">
        <v>5033</v>
      </c>
      <c r="N2813" t="s">
        <v>5031</v>
      </c>
    </row>
    <row r="2814" spans="1:14" x14ac:dyDescent="0.3">
      <c r="A2814" t="s">
        <v>2838</v>
      </c>
      <c r="B2814" t="s">
        <v>19</v>
      </c>
      <c r="C2814" t="s">
        <v>20</v>
      </c>
      <c r="D2814">
        <v>66</v>
      </c>
      <c r="E2814" t="s">
        <v>26</v>
      </c>
      <c r="F2814" t="s">
        <v>16</v>
      </c>
      <c r="G2814">
        <v>104.05</v>
      </c>
      <c r="H2814">
        <v>6890</v>
      </c>
      <c r="I2814" t="s">
        <v>16</v>
      </c>
      <c r="J2814" t="s">
        <v>16</v>
      </c>
      <c r="K2814" t="s">
        <v>17</v>
      </c>
      <c r="L2814">
        <v>6890</v>
      </c>
      <c r="M2814" t="s">
        <v>5033</v>
      </c>
      <c r="N2814" t="s">
        <v>5034</v>
      </c>
    </row>
    <row r="2815" spans="1:14" x14ac:dyDescent="0.3">
      <c r="A2815" t="s">
        <v>2839</v>
      </c>
      <c r="B2815" t="s">
        <v>19</v>
      </c>
      <c r="C2815" t="s">
        <v>35</v>
      </c>
      <c r="D2815">
        <v>68</v>
      </c>
      <c r="E2815" t="s">
        <v>15</v>
      </c>
      <c r="F2815" t="s">
        <v>36</v>
      </c>
      <c r="G2815">
        <v>24.55</v>
      </c>
      <c r="H2815">
        <v>1657.4</v>
      </c>
      <c r="I2815" t="s">
        <v>15</v>
      </c>
      <c r="J2815" t="s">
        <v>15</v>
      </c>
      <c r="K2815" t="s">
        <v>21</v>
      </c>
      <c r="L2815">
        <v>1657.4</v>
      </c>
      <c r="M2815" t="s">
        <v>5033</v>
      </c>
      <c r="N2815" t="s">
        <v>5031</v>
      </c>
    </row>
    <row r="2816" spans="1:14" x14ac:dyDescent="0.3">
      <c r="A2816" t="s">
        <v>2840</v>
      </c>
      <c r="B2816" t="s">
        <v>12</v>
      </c>
      <c r="C2816" t="s">
        <v>35</v>
      </c>
      <c r="D2816">
        <v>62</v>
      </c>
      <c r="E2816" t="s">
        <v>14</v>
      </c>
      <c r="F2816" t="s">
        <v>16</v>
      </c>
      <c r="G2816">
        <v>48.7</v>
      </c>
      <c r="H2816">
        <v>3008.55</v>
      </c>
      <c r="I2816" t="s">
        <v>15</v>
      </c>
      <c r="J2816" t="s">
        <v>15</v>
      </c>
      <c r="K2816" t="s">
        <v>24</v>
      </c>
      <c r="L2816">
        <v>3008.55</v>
      </c>
      <c r="M2816" t="s">
        <v>5033</v>
      </c>
      <c r="N2816" t="s">
        <v>5034</v>
      </c>
    </row>
    <row r="2817" spans="1:14" x14ac:dyDescent="0.3">
      <c r="A2817" t="s">
        <v>2841</v>
      </c>
      <c r="B2817" t="s">
        <v>19</v>
      </c>
      <c r="C2817" t="s">
        <v>13</v>
      </c>
      <c r="D2817">
        <v>3</v>
      </c>
      <c r="E2817" t="s">
        <v>26</v>
      </c>
      <c r="F2817" t="s">
        <v>16</v>
      </c>
      <c r="G2817">
        <v>88.35</v>
      </c>
      <c r="H2817">
        <v>262.05</v>
      </c>
      <c r="I2817" t="s">
        <v>16</v>
      </c>
      <c r="J2817" t="s">
        <v>16</v>
      </c>
      <c r="K2817" t="s">
        <v>21</v>
      </c>
      <c r="L2817">
        <v>262.05</v>
      </c>
      <c r="M2817" t="s">
        <v>5030</v>
      </c>
      <c r="N2817" t="s">
        <v>5031</v>
      </c>
    </row>
    <row r="2818" spans="1:14" x14ac:dyDescent="0.3">
      <c r="A2818" t="s">
        <v>2842</v>
      </c>
      <c r="B2818" t="s">
        <v>12</v>
      </c>
      <c r="C2818" t="s">
        <v>35</v>
      </c>
      <c r="D2818">
        <v>72</v>
      </c>
      <c r="E2818" t="s">
        <v>26</v>
      </c>
      <c r="F2818" t="s">
        <v>15</v>
      </c>
      <c r="G2818">
        <v>109.55</v>
      </c>
      <c r="H2818">
        <v>8165.1</v>
      </c>
      <c r="I2818" t="s">
        <v>15</v>
      </c>
      <c r="J2818" t="s">
        <v>16</v>
      </c>
      <c r="K2818" t="s">
        <v>17</v>
      </c>
      <c r="L2818">
        <v>8165.1</v>
      </c>
      <c r="M2818" t="s">
        <v>5033</v>
      </c>
      <c r="N2818" t="s">
        <v>5034</v>
      </c>
    </row>
    <row r="2819" spans="1:14" x14ac:dyDescent="0.3">
      <c r="A2819" t="s">
        <v>2843</v>
      </c>
      <c r="B2819" t="s">
        <v>12</v>
      </c>
      <c r="C2819" t="s">
        <v>35</v>
      </c>
      <c r="D2819">
        <v>41</v>
      </c>
      <c r="E2819" t="s">
        <v>15</v>
      </c>
      <c r="F2819" t="s">
        <v>36</v>
      </c>
      <c r="G2819">
        <v>20.65</v>
      </c>
      <c r="H2819">
        <v>875.55</v>
      </c>
      <c r="I2819" t="s">
        <v>15</v>
      </c>
      <c r="J2819" t="s">
        <v>15</v>
      </c>
      <c r="K2819" t="s">
        <v>29</v>
      </c>
      <c r="L2819">
        <v>875.55</v>
      </c>
      <c r="M2819" t="s">
        <v>5033</v>
      </c>
      <c r="N2819" t="s">
        <v>5031</v>
      </c>
    </row>
    <row r="2820" spans="1:14" x14ac:dyDescent="0.3">
      <c r="A2820" t="s">
        <v>2844</v>
      </c>
      <c r="B2820" t="s">
        <v>19</v>
      </c>
      <c r="C2820" t="s">
        <v>13</v>
      </c>
      <c r="D2820">
        <v>29</v>
      </c>
      <c r="E2820" t="s">
        <v>26</v>
      </c>
      <c r="F2820" t="s">
        <v>15</v>
      </c>
      <c r="G2820">
        <v>94.65</v>
      </c>
      <c r="H2820">
        <v>2649.15</v>
      </c>
      <c r="I2820" t="s">
        <v>16</v>
      </c>
      <c r="J2820" t="s">
        <v>15</v>
      </c>
      <c r="K2820" t="s">
        <v>29</v>
      </c>
      <c r="L2820">
        <v>2649.15</v>
      </c>
      <c r="M2820" t="s">
        <v>5032</v>
      </c>
      <c r="N2820" t="s">
        <v>5034</v>
      </c>
    </row>
    <row r="2821" spans="1:14" x14ac:dyDescent="0.3">
      <c r="A2821" t="s">
        <v>2845</v>
      </c>
      <c r="B2821" t="s">
        <v>12</v>
      </c>
      <c r="C2821" t="s">
        <v>13</v>
      </c>
      <c r="D2821">
        <v>4</v>
      </c>
      <c r="E2821" t="s">
        <v>14</v>
      </c>
      <c r="F2821" t="s">
        <v>15</v>
      </c>
      <c r="G2821">
        <v>55.2</v>
      </c>
      <c r="H2821">
        <v>220.65</v>
      </c>
      <c r="I2821" t="s">
        <v>15</v>
      </c>
      <c r="J2821" t="s">
        <v>15</v>
      </c>
      <c r="K2821" t="s">
        <v>17</v>
      </c>
      <c r="L2821">
        <v>220.65</v>
      </c>
      <c r="M2821" t="s">
        <v>5030</v>
      </c>
      <c r="N2821" t="s">
        <v>5031</v>
      </c>
    </row>
    <row r="2822" spans="1:14" x14ac:dyDescent="0.3">
      <c r="A2822" t="s">
        <v>2846</v>
      </c>
      <c r="B2822" t="s">
        <v>19</v>
      </c>
      <c r="C2822" t="s">
        <v>20</v>
      </c>
      <c r="D2822">
        <v>53</v>
      </c>
      <c r="E2822" t="s">
        <v>15</v>
      </c>
      <c r="F2822" t="s">
        <v>36</v>
      </c>
      <c r="G2822">
        <v>24.05</v>
      </c>
      <c r="H2822">
        <v>1301.9000000000001</v>
      </c>
      <c r="I2822" t="s">
        <v>15</v>
      </c>
      <c r="J2822" t="s">
        <v>15</v>
      </c>
      <c r="K2822" t="s">
        <v>24</v>
      </c>
      <c r="L2822">
        <v>1301.9000000000001</v>
      </c>
      <c r="M2822" t="s">
        <v>5033</v>
      </c>
      <c r="N2822" t="s">
        <v>5031</v>
      </c>
    </row>
    <row r="2823" spans="1:14" x14ac:dyDescent="0.3">
      <c r="A2823" t="s">
        <v>2847</v>
      </c>
      <c r="B2823" t="s">
        <v>19</v>
      </c>
      <c r="C2823" t="s">
        <v>13</v>
      </c>
      <c r="D2823">
        <v>1</v>
      </c>
      <c r="E2823" t="s">
        <v>26</v>
      </c>
      <c r="F2823" t="s">
        <v>15</v>
      </c>
      <c r="G2823">
        <v>74.400000000000006</v>
      </c>
      <c r="H2823">
        <v>74.400000000000006</v>
      </c>
      <c r="I2823" t="s">
        <v>16</v>
      </c>
      <c r="J2823" t="s">
        <v>16</v>
      </c>
      <c r="K2823" t="s">
        <v>17</v>
      </c>
      <c r="L2823">
        <v>74.400000000000006</v>
      </c>
      <c r="M2823" t="s">
        <v>5030</v>
      </c>
      <c r="N2823" t="s">
        <v>5031</v>
      </c>
    </row>
    <row r="2824" spans="1:14" x14ac:dyDescent="0.3">
      <c r="A2824" t="s">
        <v>2848</v>
      </c>
      <c r="B2824" t="s">
        <v>12</v>
      </c>
      <c r="C2824" t="s">
        <v>13</v>
      </c>
      <c r="D2824">
        <v>41</v>
      </c>
      <c r="E2824" t="s">
        <v>14</v>
      </c>
      <c r="F2824" t="s">
        <v>16</v>
      </c>
      <c r="G2824">
        <v>79.900000000000006</v>
      </c>
      <c r="H2824">
        <v>3326.2</v>
      </c>
      <c r="I2824" t="s">
        <v>16</v>
      </c>
      <c r="J2824" t="s">
        <v>15</v>
      </c>
      <c r="K2824" t="s">
        <v>29</v>
      </c>
      <c r="L2824">
        <v>3326.2</v>
      </c>
      <c r="M2824" t="s">
        <v>5033</v>
      </c>
      <c r="N2824" t="s">
        <v>5034</v>
      </c>
    </row>
    <row r="2825" spans="1:14" x14ac:dyDescent="0.3">
      <c r="A2825" t="s">
        <v>2849</v>
      </c>
      <c r="B2825" t="s">
        <v>19</v>
      </c>
      <c r="C2825" t="s">
        <v>35</v>
      </c>
      <c r="D2825">
        <v>39</v>
      </c>
      <c r="E2825" t="s">
        <v>15</v>
      </c>
      <c r="F2825" t="s">
        <v>36</v>
      </c>
      <c r="G2825">
        <v>20.45</v>
      </c>
      <c r="H2825">
        <v>790</v>
      </c>
      <c r="I2825" t="s">
        <v>15</v>
      </c>
      <c r="J2825" t="s">
        <v>16</v>
      </c>
      <c r="K2825" t="s">
        <v>24</v>
      </c>
      <c r="L2825">
        <v>790</v>
      </c>
      <c r="M2825" t="s">
        <v>5033</v>
      </c>
      <c r="N2825" t="s">
        <v>5031</v>
      </c>
    </row>
    <row r="2826" spans="1:14" x14ac:dyDescent="0.3">
      <c r="A2826" t="s">
        <v>2850</v>
      </c>
      <c r="B2826" t="s">
        <v>19</v>
      </c>
      <c r="C2826" t="s">
        <v>35</v>
      </c>
      <c r="D2826">
        <v>63</v>
      </c>
      <c r="E2826" t="s">
        <v>15</v>
      </c>
      <c r="F2826" t="s">
        <v>36</v>
      </c>
      <c r="G2826">
        <v>19.25</v>
      </c>
      <c r="H2826">
        <v>1237.6500000000001</v>
      </c>
      <c r="I2826" t="s">
        <v>15</v>
      </c>
      <c r="J2826" t="s">
        <v>15</v>
      </c>
      <c r="K2826" t="s">
        <v>21</v>
      </c>
      <c r="L2826">
        <v>1237.6500000000001</v>
      </c>
      <c r="M2826" t="s">
        <v>5033</v>
      </c>
      <c r="N2826" t="s">
        <v>5031</v>
      </c>
    </row>
    <row r="2827" spans="1:14" x14ac:dyDescent="0.3">
      <c r="A2827" t="s">
        <v>2851</v>
      </c>
      <c r="B2827" t="s">
        <v>19</v>
      </c>
      <c r="C2827" t="s">
        <v>13</v>
      </c>
      <c r="D2827">
        <v>15</v>
      </c>
      <c r="E2827" t="s">
        <v>15</v>
      </c>
      <c r="F2827" t="s">
        <v>36</v>
      </c>
      <c r="G2827">
        <v>26.35</v>
      </c>
      <c r="H2827">
        <v>378.6</v>
      </c>
      <c r="I2827" t="s">
        <v>15</v>
      </c>
      <c r="J2827" t="s">
        <v>16</v>
      </c>
      <c r="K2827" t="s">
        <v>17</v>
      </c>
      <c r="L2827">
        <v>378.6</v>
      </c>
      <c r="M2827" t="s">
        <v>5032</v>
      </c>
      <c r="N2827" t="s">
        <v>5031</v>
      </c>
    </row>
    <row r="2828" spans="1:14" x14ac:dyDescent="0.3">
      <c r="A2828" t="s">
        <v>2852</v>
      </c>
      <c r="B2828" t="s">
        <v>12</v>
      </c>
      <c r="C2828" t="s">
        <v>20</v>
      </c>
      <c r="D2828">
        <v>13</v>
      </c>
      <c r="E2828" t="s">
        <v>14</v>
      </c>
      <c r="F2828" t="s">
        <v>15</v>
      </c>
      <c r="G2828">
        <v>43.8</v>
      </c>
      <c r="H2828">
        <v>592.65</v>
      </c>
      <c r="I2828" t="s">
        <v>15</v>
      </c>
      <c r="J2828" t="s">
        <v>15</v>
      </c>
      <c r="K2828" t="s">
        <v>17</v>
      </c>
      <c r="L2828">
        <v>592.65</v>
      </c>
      <c r="M2828" t="s">
        <v>5032</v>
      </c>
      <c r="N2828" t="s">
        <v>5031</v>
      </c>
    </row>
    <row r="2829" spans="1:14" x14ac:dyDescent="0.3">
      <c r="A2829" t="s">
        <v>2853</v>
      </c>
      <c r="B2829" t="s">
        <v>19</v>
      </c>
      <c r="C2829" t="s">
        <v>13</v>
      </c>
      <c r="D2829">
        <v>1</v>
      </c>
      <c r="E2829" t="s">
        <v>14</v>
      </c>
      <c r="F2829" t="s">
        <v>15</v>
      </c>
      <c r="G2829">
        <v>50.15</v>
      </c>
      <c r="H2829">
        <v>50.15</v>
      </c>
      <c r="I2829" t="s">
        <v>15</v>
      </c>
      <c r="J2829" t="s">
        <v>16</v>
      </c>
      <c r="K2829" t="s">
        <v>21</v>
      </c>
      <c r="L2829">
        <v>50.15</v>
      </c>
      <c r="M2829" t="s">
        <v>5030</v>
      </c>
      <c r="N2829" t="s">
        <v>5031</v>
      </c>
    </row>
    <row r="2830" spans="1:14" x14ac:dyDescent="0.3">
      <c r="A2830" t="s">
        <v>2854</v>
      </c>
      <c r="B2830" t="s">
        <v>19</v>
      </c>
      <c r="C2830" t="s">
        <v>35</v>
      </c>
      <c r="D2830">
        <v>1</v>
      </c>
      <c r="E2830" t="s">
        <v>15</v>
      </c>
      <c r="F2830" t="s">
        <v>36</v>
      </c>
      <c r="G2830">
        <v>20.45</v>
      </c>
      <c r="H2830">
        <v>20.45</v>
      </c>
      <c r="I2830" t="s">
        <v>15</v>
      </c>
      <c r="J2830" t="s">
        <v>15</v>
      </c>
      <c r="K2830" t="s">
        <v>21</v>
      </c>
      <c r="L2830">
        <v>20.45</v>
      </c>
      <c r="M2830" t="s">
        <v>5030</v>
      </c>
      <c r="N2830" t="s">
        <v>5031</v>
      </c>
    </row>
    <row r="2831" spans="1:14" x14ac:dyDescent="0.3">
      <c r="A2831" t="s">
        <v>2855</v>
      </c>
      <c r="B2831" t="s">
        <v>19</v>
      </c>
      <c r="C2831" t="s">
        <v>13</v>
      </c>
      <c r="D2831">
        <v>8</v>
      </c>
      <c r="E2831" t="s">
        <v>26</v>
      </c>
      <c r="F2831" t="s">
        <v>15</v>
      </c>
      <c r="G2831">
        <v>69.7</v>
      </c>
      <c r="H2831">
        <v>560.85</v>
      </c>
      <c r="I2831" t="s">
        <v>16</v>
      </c>
      <c r="J2831" t="s">
        <v>16</v>
      </c>
      <c r="K2831" t="s">
        <v>17</v>
      </c>
      <c r="L2831">
        <v>560.85</v>
      </c>
      <c r="M2831" t="s">
        <v>5030</v>
      </c>
      <c r="N2831" t="s">
        <v>5031</v>
      </c>
    </row>
    <row r="2832" spans="1:14" x14ac:dyDescent="0.3">
      <c r="A2832" t="s">
        <v>2856</v>
      </c>
      <c r="B2832" t="s">
        <v>19</v>
      </c>
      <c r="C2832" t="s">
        <v>35</v>
      </c>
      <c r="D2832">
        <v>60</v>
      </c>
      <c r="E2832" t="s">
        <v>14</v>
      </c>
      <c r="F2832" t="s">
        <v>15</v>
      </c>
      <c r="G2832">
        <v>61.4</v>
      </c>
      <c r="H2832">
        <v>3638.25</v>
      </c>
      <c r="I2832" t="s">
        <v>15</v>
      </c>
      <c r="J2832" t="s">
        <v>15</v>
      </c>
      <c r="K2832" t="s">
        <v>17</v>
      </c>
      <c r="L2832">
        <v>3638.25</v>
      </c>
      <c r="M2832" t="s">
        <v>5033</v>
      </c>
      <c r="N2832" t="s">
        <v>5034</v>
      </c>
    </row>
    <row r="2833" spans="1:14" x14ac:dyDescent="0.3">
      <c r="A2833" t="s">
        <v>2857</v>
      </c>
      <c r="B2833" t="s">
        <v>12</v>
      </c>
      <c r="C2833" t="s">
        <v>13</v>
      </c>
      <c r="D2833">
        <v>12</v>
      </c>
      <c r="E2833" t="s">
        <v>26</v>
      </c>
      <c r="F2833" t="s">
        <v>15</v>
      </c>
      <c r="G2833">
        <v>98.1</v>
      </c>
      <c r="H2833">
        <v>1060.2</v>
      </c>
      <c r="I2833" t="s">
        <v>16</v>
      </c>
      <c r="J2833" t="s">
        <v>16</v>
      </c>
      <c r="K2833" t="s">
        <v>17</v>
      </c>
      <c r="L2833">
        <v>1060.2</v>
      </c>
      <c r="M2833" t="s">
        <v>5030</v>
      </c>
      <c r="N2833" t="s">
        <v>5031</v>
      </c>
    </row>
    <row r="2834" spans="1:14" x14ac:dyDescent="0.3">
      <c r="A2834" t="s">
        <v>2858</v>
      </c>
      <c r="B2834" t="s">
        <v>19</v>
      </c>
      <c r="C2834" t="s">
        <v>20</v>
      </c>
      <c r="D2834">
        <v>40</v>
      </c>
      <c r="E2834" t="s">
        <v>14</v>
      </c>
      <c r="F2834" t="s">
        <v>16</v>
      </c>
      <c r="G2834">
        <v>70.75</v>
      </c>
      <c r="H2834">
        <v>2921.75</v>
      </c>
      <c r="I2834" t="s">
        <v>15</v>
      </c>
      <c r="J2834" t="s">
        <v>15</v>
      </c>
      <c r="K2834" t="s">
        <v>29</v>
      </c>
      <c r="L2834">
        <v>2921.75</v>
      </c>
      <c r="M2834" t="s">
        <v>5033</v>
      </c>
      <c r="N2834" t="s">
        <v>5034</v>
      </c>
    </row>
    <row r="2835" spans="1:14" x14ac:dyDescent="0.3">
      <c r="A2835" t="s">
        <v>2859</v>
      </c>
      <c r="B2835" t="s">
        <v>12</v>
      </c>
      <c r="C2835" t="s">
        <v>35</v>
      </c>
      <c r="D2835">
        <v>66</v>
      </c>
      <c r="E2835" t="s">
        <v>14</v>
      </c>
      <c r="F2835" t="s">
        <v>15</v>
      </c>
      <c r="G2835">
        <v>61.15</v>
      </c>
      <c r="H2835">
        <v>4017.45</v>
      </c>
      <c r="I2835" t="s">
        <v>15</v>
      </c>
      <c r="J2835" t="s">
        <v>16</v>
      </c>
      <c r="K2835" t="s">
        <v>24</v>
      </c>
      <c r="L2835">
        <v>4017.45</v>
      </c>
      <c r="M2835" t="s">
        <v>5033</v>
      </c>
      <c r="N2835" t="s">
        <v>5034</v>
      </c>
    </row>
    <row r="2836" spans="1:14" x14ac:dyDescent="0.3">
      <c r="A2836" t="s">
        <v>2860</v>
      </c>
      <c r="B2836" t="s">
        <v>19</v>
      </c>
      <c r="C2836" t="s">
        <v>20</v>
      </c>
      <c r="D2836">
        <v>42</v>
      </c>
      <c r="E2836" t="s">
        <v>15</v>
      </c>
      <c r="F2836" t="s">
        <v>36</v>
      </c>
      <c r="G2836">
        <v>20.25</v>
      </c>
      <c r="H2836">
        <v>854.9</v>
      </c>
      <c r="I2836" t="s">
        <v>15</v>
      </c>
      <c r="J2836" t="s">
        <v>15</v>
      </c>
      <c r="K2836" t="s">
        <v>21</v>
      </c>
      <c r="L2836">
        <v>854.9</v>
      </c>
      <c r="M2836" t="s">
        <v>5033</v>
      </c>
      <c r="N2836" t="s">
        <v>5031</v>
      </c>
    </row>
    <row r="2837" spans="1:14" x14ac:dyDescent="0.3">
      <c r="A2837" t="s">
        <v>2861</v>
      </c>
      <c r="B2837" t="s">
        <v>12</v>
      </c>
      <c r="C2837" t="s">
        <v>20</v>
      </c>
      <c r="D2837">
        <v>66</v>
      </c>
      <c r="E2837" t="s">
        <v>14</v>
      </c>
      <c r="F2837" t="s">
        <v>16</v>
      </c>
      <c r="G2837">
        <v>63.85</v>
      </c>
      <c r="H2837">
        <v>4174.3500000000004</v>
      </c>
      <c r="I2837" t="s">
        <v>15</v>
      </c>
      <c r="J2837" t="s">
        <v>16</v>
      </c>
      <c r="K2837" t="s">
        <v>29</v>
      </c>
      <c r="L2837">
        <v>4174.3500000000004</v>
      </c>
      <c r="M2837" t="s">
        <v>5033</v>
      </c>
      <c r="N2837" t="s">
        <v>5034</v>
      </c>
    </row>
    <row r="2838" spans="1:14" x14ac:dyDescent="0.3">
      <c r="A2838" t="s">
        <v>2862</v>
      </c>
      <c r="B2838" t="s">
        <v>19</v>
      </c>
      <c r="C2838" t="s">
        <v>13</v>
      </c>
      <c r="D2838">
        <v>49</v>
      </c>
      <c r="E2838" t="s">
        <v>26</v>
      </c>
      <c r="F2838" t="s">
        <v>15</v>
      </c>
      <c r="G2838">
        <v>98.7</v>
      </c>
      <c r="H2838">
        <v>4920.55</v>
      </c>
      <c r="I2838" t="s">
        <v>15</v>
      </c>
      <c r="J2838" t="s">
        <v>15</v>
      </c>
      <c r="K2838" t="s">
        <v>17</v>
      </c>
      <c r="L2838">
        <v>4920.55</v>
      </c>
      <c r="M2838" t="s">
        <v>5033</v>
      </c>
      <c r="N2838" t="s">
        <v>5034</v>
      </c>
    </row>
    <row r="2839" spans="1:14" x14ac:dyDescent="0.3">
      <c r="A2839" t="s">
        <v>2863</v>
      </c>
      <c r="B2839" t="s">
        <v>12</v>
      </c>
      <c r="C2839" t="s">
        <v>13</v>
      </c>
      <c r="D2839">
        <v>1</v>
      </c>
      <c r="E2839" t="s">
        <v>15</v>
      </c>
      <c r="F2839" t="s">
        <v>36</v>
      </c>
      <c r="G2839">
        <v>20.5</v>
      </c>
      <c r="H2839">
        <v>20.5</v>
      </c>
      <c r="I2839" t="s">
        <v>16</v>
      </c>
      <c r="J2839" t="s">
        <v>15</v>
      </c>
      <c r="K2839" t="s">
        <v>21</v>
      </c>
      <c r="L2839">
        <v>20.5</v>
      </c>
      <c r="M2839" t="s">
        <v>5030</v>
      </c>
      <c r="N2839" t="s">
        <v>5031</v>
      </c>
    </row>
    <row r="2840" spans="1:14" x14ac:dyDescent="0.3">
      <c r="A2840" t="s">
        <v>2864</v>
      </c>
      <c r="B2840" t="s">
        <v>12</v>
      </c>
      <c r="C2840" t="s">
        <v>35</v>
      </c>
      <c r="D2840">
        <v>41</v>
      </c>
      <c r="E2840" t="s">
        <v>15</v>
      </c>
      <c r="F2840" t="s">
        <v>36</v>
      </c>
      <c r="G2840">
        <v>20</v>
      </c>
      <c r="H2840">
        <v>810.3</v>
      </c>
      <c r="I2840" t="s">
        <v>15</v>
      </c>
      <c r="J2840" t="s">
        <v>15</v>
      </c>
      <c r="K2840" t="s">
        <v>21</v>
      </c>
      <c r="L2840">
        <v>810.3</v>
      </c>
      <c r="M2840" t="s">
        <v>5033</v>
      </c>
      <c r="N2840" t="s">
        <v>5031</v>
      </c>
    </row>
    <row r="2841" spans="1:14" x14ac:dyDescent="0.3">
      <c r="A2841" t="s">
        <v>2865</v>
      </c>
      <c r="B2841" t="s">
        <v>12</v>
      </c>
      <c r="C2841" t="s">
        <v>35</v>
      </c>
      <c r="D2841">
        <v>41</v>
      </c>
      <c r="E2841" t="s">
        <v>15</v>
      </c>
      <c r="F2841" t="s">
        <v>36</v>
      </c>
      <c r="G2841">
        <v>19.3</v>
      </c>
      <c r="H2841">
        <v>772.4</v>
      </c>
      <c r="I2841" t="s">
        <v>15</v>
      </c>
      <c r="J2841" t="s">
        <v>15</v>
      </c>
      <c r="K2841" t="s">
        <v>24</v>
      </c>
      <c r="L2841">
        <v>772.4</v>
      </c>
      <c r="M2841" t="s">
        <v>5033</v>
      </c>
      <c r="N2841" t="s">
        <v>5031</v>
      </c>
    </row>
    <row r="2842" spans="1:14" x14ac:dyDescent="0.3">
      <c r="A2842" t="s">
        <v>2866</v>
      </c>
      <c r="B2842" t="s">
        <v>12</v>
      </c>
      <c r="C2842" t="s">
        <v>13</v>
      </c>
      <c r="D2842">
        <v>23</v>
      </c>
      <c r="E2842" t="s">
        <v>26</v>
      </c>
      <c r="F2842" t="s">
        <v>16</v>
      </c>
      <c r="G2842">
        <v>84.4</v>
      </c>
      <c r="H2842">
        <v>1936.85</v>
      </c>
      <c r="I2842" t="s">
        <v>15</v>
      </c>
      <c r="J2842" t="s">
        <v>15</v>
      </c>
      <c r="K2842" t="s">
        <v>21</v>
      </c>
      <c r="L2842">
        <v>1936.85</v>
      </c>
      <c r="M2842" t="s">
        <v>5032</v>
      </c>
      <c r="N2842" t="s">
        <v>5031</v>
      </c>
    </row>
    <row r="2843" spans="1:14" x14ac:dyDescent="0.3">
      <c r="A2843" t="s">
        <v>2867</v>
      </c>
      <c r="B2843" t="s">
        <v>19</v>
      </c>
      <c r="C2843" t="s">
        <v>13</v>
      </c>
      <c r="D2843">
        <v>3</v>
      </c>
      <c r="E2843" t="s">
        <v>14</v>
      </c>
      <c r="F2843" t="s">
        <v>15</v>
      </c>
      <c r="G2843">
        <v>25.1</v>
      </c>
      <c r="H2843">
        <v>79.8</v>
      </c>
      <c r="I2843" t="s">
        <v>15</v>
      </c>
      <c r="J2843" t="s">
        <v>15</v>
      </c>
      <c r="K2843" t="s">
        <v>17</v>
      </c>
      <c r="L2843">
        <v>79.8</v>
      </c>
      <c r="M2843" t="s">
        <v>5030</v>
      </c>
      <c r="N2843" t="s">
        <v>5031</v>
      </c>
    </row>
    <row r="2844" spans="1:14" x14ac:dyDescent="0.3">
      <c r="A2844" t="s">
        <v>2868</v>
      </c>
      <c r="B2844" t="s">
        <v>12</v>
      </c>
      <c r="C2844" t="s">
        <v>13</v>
      </c>
      <c r="D2844">
        <v>4</v>
      </c>
      <c r="E2844" t="s">
        <v>14</v>
      </c>
      <c r="F2844" t="s">
        <v>16</v>
      </c>
      <c r="G2844">
        <v>48.25</v>
      </c>
      <c r="H2844">
        <v>202.25</v>
      </c>
      <c r="I2844" t="s">
        <v>15</v>
      </c>
      <c r="J2844" t="s">
        <v>15</v>
      </c>
      <c r="K2844" t="s">
        <v>21</v>
      </c>
      <c r="L2844">
        <v>202.25</v>
      </c>
      <c r="M2844" t="s">
        <v>5030</v>
      </c>
      <c r="N2844" t="s">
        <v>5031</v>
      </c>
    </row>
    <row r="2845" spans="1:14" x14ac:dyDescent="0.3">
      <c r="A2845" t="s">
        <v>2869</v>
      </c>
      <c r="B2845" t="s">
        <v>12</v>
      </c>
      <c r="C2845" t="s">
        <v>35</v>
      </c>
      <c r="D2845">
        <v>52</v>
      </c>
      <c r="E2845" t="s">
        <v>15</v>
      </c>
      <c r="F2845" t="s">
        <v>36</v>
      </c>
      <c r="G2845">
        <v>19.850000000000001</v>
      </c>
      <c r="H2845">
        <v>1070.5</v>
      </c>
      <c r="I2845" t="s">
        <v>15</v>
      </c>
      <c r="J2845" t="s">
        <v>15</v>
      </c>
      <c r="K2845" t="s">
        <v>21</v>
      </c>
      <c r="L2845">
        <v>1070.5</v>
      </c>
      <c r="M2845" t="s">
        <v>5033</v>
      </c>
      <c r="N2845" t="s">
        <v>5031</v>
      </c>
    </row>
    <row r="2846" spans="1:14" x14ac:dyDescent="0.3">
      <c r="A2846" t="s">
        <v>2870</v>
      </c>
      <c r="B2846" t="s">
        <v>12</v>
      </c>
      <c r="C2846" t="s">
        <v>13</v>
      </c>
      <c r="D2846">
        <v>4</v>
      </c>
      <c r="E2846" t="s">
        <v>26</v>
      </c>
      <c r="F2846" t="s">
        <v>15</v>
      </c>
      <c r="G2846">
        <v>99.6</v>
      </c>
      <c r="H2846">
        <v>347.65</v>
      </c>
      <c r="I2846" t="s">
        <v>16</v>
      </c>
      <c r="J2846" t="s">
        <v>16</v>
      </c>
      <c r="K2846" t="s">
        <v>17</v>
      </c>
      <c r="L2846">
        <v>347.65</v>
      </c>
      <c r="M2846" t="s">
        <v>5030</v>
      </c>
      <c r="N2846" t="s">
        <v>5031</v>
      </c>
    </row>
    <row r="2847" spans="1:14" x14ac:dyDescent="0.3">
      <c r="A2847" t="s">
        <v>2871</v>
      </c>
      <c r="B2847" t="s">
        <v>12</v>
      </c>
      <c r="C2847" t="s">
        <v>13</v>
      </c>
      <c r="D2847">
        <v>11</v>
      </c>
      <c r="E2847" t="s">
        <v>26</v>
      </c>
      <c r="F2847" t="s">
        <v>16</v>
      </c>
      <c r="G2847">
        <v>94.2</v>
      </c>
      <c r="H2847">
        <v>999.9</v>
      </c>
      <c r="I2847" t="s">
        <v>15</v>
      </c>
      <c r="J2847" t="s">
        <v>16</v>
      </c>
      <c r="K2847" t="s">
        <v>17</v>
      </c>
      <c r="L2847">
        <v>999.9</v>
      </c>
      <c r="M2847" t="s">
        <v>5030</v>
      </c>
      <c r="N2847" t="s">
        <v>5031</v>
      </c>
    </row>
    <row r="2848" spans="1:14" x14ac:dyDescent="0.3">
      <c r="A2848" t="s">
        <v>2872</v>
      </c>
      <c r="B2848" t="s">
        <v>12</v>
      </c>
      <c r="C2848" t="s">
        <v>13</v>
      </c>
      <c r="D2848">
        <v>2</v>
      </c>
      <c r="E2848" t="s">
        <v>14</v>
      </c>
      <c r="F2848" t="s">
        <v>15</v>
      </c>
      <c r="G2848">
        <v>62.15</v>
      </c>
      <c r="H2848">
        <v>113.1</v>
      </c>
      <c r="I2848" t="s">
        <v>15</v>
      </c>
      <c r="J2848" t="s">
        <v>16</v>
      </c>
      <c r="K2848" t="s">
        <v>21</v>
      </c>
      <c r="L2848">
        <v>113.1</v>
      </c>
      <c r="M2848" t="s">
        <v>5030</v>
      </c>
      <c r="N2848" t="s">
        <v>5031</v>
      </c>
    </row>
    <row r="2849" spans="1:14" x14ac:dyDescent="0.3">
      <c r="A2849" t="s">
        <v>2873</v>
      </c>
      <c r="B2849" t="s">
        <v>12</v>
      </c>
      <c r="C2849" t="s">
        <v>13</v>
      </c>
      <c r="D2849">
        <v>26</v>
      </c>
      <c r="E2849" t="s">
        <v>26</v>
      </c>
      <c r="F2849" t="s">
        <v>15</v>
      </c>
      <c r="G2849">
        <v>79.3</v>
      </c>
      <c r="H2849">
        <v>2015.8</v>
      </c>
      <c r="I2849" t="s">
        <v>15</v>
      </c>
      <c r="J2849" t="s">
        <v>15</v>
      </c>
      <c r="K2849" t="s">
        <v>24</v>
      </c>
      <c r="L2849">
        <v>2015.8</v>
      </c>
      <c r="M2849" t="s">
        <v>5032</v>
      </c>
      <c r="N2849" t="s">
        <v>5031</v>
      </c>
    </row>
    <row r="2850" spans="1:14" x14ac:dyDescent="0.3">
      <c r="A2850" t="s">
        <v>2874</v>
      </c>
      <c r="B2850" t="s">
        <v>19</v>
      </c>
      <c r="C2850" t="s">
        <v>20</v>
      </c>
      <c r="D2850">
        <v>24</v>
      </c>
      <c r="E2850" t="s">
        <v>14</v>
      </c>
      <c r="F2850" t="s">
        <v>15</v>
      </c>
      <c r="G2850">
        <v>56.25</v>
      </c>
      <c r="H2850">
        <v>1454.25</v>
      </c>
      <c r="I2850" t="s">
        <v>15</v>
      </c>
      <c r="J2850" t="s">
        <v>16</v>
      </c>
      <c r="K2850" t="s">
        <v>29</v>
      </c>
      <c r="L2850">
        <v>1454.25</v>
      </c>
      <c r="M2850" t="s">
        <v>5032</v>
      </c>
      <c r="N2850" t="s">
        <v>5031</v>
      </c>
    </row>
    <row r="2851" spans="1:14" x14ac:dyDescent="0.3">
      <c r="A2851" t="s">
        <v>2875</v>
      </c>
      <c r="B2851" t="s">
        <v>12</v>
      </c>
      <c r="C2851" t="s">
        <v>13</v>
      </c>
      <c r="D2851">
        <v>12</v>
      </c>
      <c r="E2851" t="s">
        <v>15</v>
      </c>
      <c r="F2851" t="s">
        <v>36</v>
      </c>
      <c r="G2851">
        <v>20.3</v>
      </c>
      <c r="H2851">
        <v>246.7</v>
      </c>
      <c r="I2851" t="s">
        <v>15</v>
      </c>
      <c r="J2851" t="s">
        <v>15</v>
      </c>
      <c r="K2851" t="s">
        <v>21</v>
      </c>
      <c r="L2851">
        <v>246.7</v>
      </c>
      <c r="M2851" t="s">
        <v>5030</v>
      </c>
      <c r="N2851" t="s">
        <v>5031</v>
      </c>
    </row>
    <row r="2852" spans="1:14" x14ac:dyDescent="0.3">
      <c r="A2852" t="s">
        <v>2876</v>
      </c>
      <c r="B2852" t="s">
        <v>19</v>
      </c>
      <c r="C2852" t="s">
        <v>13</v>
      </c>
      <c r="D2852">
        <v>60</v>
      </c>
      <c r="E2852" t="s">
        <v>26</v>
      </c>
      <c r="F2852" t="s">
        <v>16</v>
      </c>
      <c r="G2852">
        <v>99</v>
      </c>
      <c r="H2852">
        <v>6017.9</v>
      </c>
      <c r="I2852" t="s">
        <v>15</v>
      </c>
      <c r="J2852" t="s">
        <v>16</v>
      </c>
      <c r="K2852" t="s">
        <v>17</v>
      </c>
      <c r="L2852">
        <v>6017.9</v>
      </c>
      <c r="M2852" t="s">
        <v>5033</v>
      </c>
      <c r="N2852" t="s">
        <v>5034</v>
      </c>
    </row>
    <row r="2853" spans="1:14" x14ac:dyDescent="0.3">
      <c r="A2853" t="s">
        <v>2877</v>
      </c>
      <c r="B2853" t="s">
        <v>12</v>
      </c>
      <c r="C2853" t="s">
        <v>35</v>
      </c>
      <c r="D2853">
        <v>64</v>
      </c>
      <c r="E2853" t="s">
        <v>14</v>
      </c>
      <c r="F2853" t="s">
        <v>16</v>
      </c>
      <c r="G2853">
        <v>90.6</v>
      </c>
      <c r="H2853">
        <v>5817.45</v>
      </c>
      <c r="I2853" t="s">
        <v>15</v>
      </c>
      <c r="J2853" t="s">
        <v>16</v>
      </c>
      <c r="K2853" t="s">
        <v>21</v>
      </c>
      <c r="L2853">
        <v>5817.45</v>
      </c>
      <c r="M2853" t="s">
        <v>5033</v>
      </c>
      <c r="N2853" t="s">
        <v>5034</v>
      </c>
    </row>
    <row r="2854" spans="1:14" x14ac:dyDescent="0.3">
      <c r="A2854" t="s">
        <v>2878</v>
      </c>
      <c r="B2854" t="s">
        <v>19</v>
      </c>
      <c r="C2854" t="s">
        <v>35</v>
      </c>
      <c r="D2854">
        <v>66</v>
      </c>
      <c r="E2854" t="s">
        <v>14</v>
      </c>
      <c r="F2854" t="s">
        <v>16</v>
      </c>
      <c r="G2854">
        <v>85.9</v>
      </c>
      <c r="H2854">
        <v>5595.3</v>
      </c>
      <c r="I2854" t="s">
        <v>15</v>
      </c>
      <c r="J2854" t="s">
        <v>16</v>
      </c>
      <c r="K2854" t="s">
        <v>24</v>
      </c>
      <c r="L2854">
        <v>5595.3</v>
      </c>
      <c r="M2854" t="s">
        <v>5033</v>
      </c>
      <c r="N2854" t="s">
        <v>5034</v>
      </c>
    </row>
    <row r="2855" spans="1:14" x14ac:dyDescent="0.3">
      <c r="A2855" t="s">
        <v>2879</v>
      </c>
      <c r="B2855" t="s">
        <v>12</v>
      </c>
      <c r="C2855" t="s">
        <v>20</v>
      </c>
      <c r="D2855">
        <v>60</v>
      </c>
      <c r="E2855" t="s">
        <v>26</v>
      </c>
      <c r="F2855" t="s">
        <v>15</v>
      </c>
      <c r="G2855">
        <v>79.2</v>
      </c>
      <c r="H2855">
        <v>4765</v>
      </c>
      <c r="I2855" t="s">
        <v>15</v>
      </c>
      <c r="J2855" t="s">
        <v>16</v>
      </c>
      <c r="K2855" t="s">
        <v>24</v>
      </c>
      <c r="L2855">
        <v>4765</v>
      </c>
      <c r="M2855" t="s">
        <v>5033</v>
      </c>
      <c r="N2855" t="s">
        <v>5034</v>
      </c>
    </row>
    <row r="2856" spans="1:14" x14ac:dyDescent="0.3">
      <c r="A2856" t="s">
        <v>2880</v>
      </c>
      <c r="B2856" t="s">
        <v>19</v>
      </c>
      <c r="C2856" t="s">
        <v>20</v>
      </c>
      <c r="D2856">
        <v>17</v>
      </c>
      <c r="E2856" t="s">
        <v>14</v>
      </c>
      <c r="F2856" t="s">
        <v>15</v>
      </c>
      <c r="G2856">
        <v>70.349999999999994</v>
      </c>
      <c r="H2856">
        <v>1201.6500000000001</v>
      </c>
      <c r="I2856" t="s">
        <v>15</v>
      </c>
      <c r="J2856" t="s">
        <v>16</v>
      </c>
      <c r="K2856" t="s">
        <v>24</v>
      </c>
      <c r="L2856">
        <v>1201.6500000000001</v>
      </c>
      <c r="M2856" t="s">
        <v>5032</v>
      </c>
      <c r="N2856" t="s">
        <v>5031</v>
      </c>
    </row>
    <row r="2857" spans="1:14" x14ac:dyDescent="0.3">
      <c r="A2857" t="s">
        <v>2881</v>
      </c>
      <c r="B2857" t="s">
        <v>19</v>
      </c>
      <c r="C2857" t="s">
        <v>35</v>
      </c>
      <c r="D2857">
        <v>42</v>
      </c>
      <c r="E2857" t="s">
        <v>15</v>
      </c>
      <c r="F2857" t="s">
        <v>36</v>
      </c>
      <c r="G2857">
        <v>19.350000000000001</v>
      </c>
      <c r="H2857">
        <v>867.3</v>
      </c>
      <c r="I2857" t="s">
        <v>15</v>
      </c>
      <c r="J2857" t="s">
        <v>15</v>
      </c>
      <c r="K2857" t="s">
        <v>21</v>
      </c>
      <c r="L2857">
        <v>867.3</v>
      </c>
      <c r="M2857" t="s">
        <v>5033</v>
      </c>
      <c r="N2857" t="s">
        <v>5031</v>
      </c>
    </row>
    <row r="2858" spans="1:14" x14ac:dyDescent="0.3">
      <c r="A2858" t="s">
        <v>2882</v>
      </c>
      <c r="B2858" t="s">
        <v>19</v>
      </c>
      <c r="C2858" t="s">
        <v>13</v>
      </c>
      <c r="D2858">
        <v>1</v>
      </c>
      <c r="E2858" t="s">
        <v>14</v>
      </c>
      <c r="F2858" t="s">
        <v>15</v>
      </c>
      <c r="G2858">
        <v>50.15</v>
      </c>
      <c r="H2858">
        <v>50.15</v>
      </c>
      <c r="I2858" t="s">
        <v>15</v>
      </c>
      <c r="J2858" t="s">
        <v>16</v>
      </c>
      <c r="K2858" t="s">
        <v>17</v>
      </c>
      <c r="L2858">
        <v>50.15</v>
      </c>
      <c r="M2858" t="s">
        <v>5030</v>
      </c>
      <c r="N2858" t="s">
        <v>5031</v>
      </c>
    </row>
    <row r="2859" spans="1:14" x14ac:dyDescent="0.3">
      <c r="A2859" t="s">
        <v>2883</v>
      </c>
      <c r="B2859" t="s">
        <v>12</v>
      </c>
      <c r="C2859" t="s">
        <v>35</v>
      </c>
      <c r="D2859">
        <v>47</v>
      </c>
      <c r="E2859" t="s">
        <v>14</v>
      </c>
      <c r="F2859" t="s">
        <v>16</v>
      </c>
      <c r="G2859">
        <v>63.8</v>
      </c>
      <c r="H2859">
        <v>3007.25</v>
      </c>
      <c r="I2859" t="s">
        <v>15</v>
      </c>
      <c r="J2859" t="s">
        <v>15</v>
      </c>
      <c r="K2859" t="s">
        <v>24</v>
      </c>
      <c r="L2859">
        <v>3007.25</v>
      </c>
      <c r="M2859" t="s">
        <v>5033</v>
      </c>
      <c r="N2859" t="s">
        <v>5034</v>
      </c>
    </row>
    <row r="2860" spans="1:14" x14ac:dyDescent="0.3">
      <c r="A2860" t="s">
        <v>2884</v>
      </c>
      <c r="B2860" t="s">
        <v>12</v>
      </c>
      <c r="C2860" t="s">
        <v>13</v>
      </c>
      <c r="D2860">
        <v>10</v>
      </c>
      <c r="E2860" t="s">
        <v>15</v>
      </c>
      <c r="F2860" t="s">
        <v>36</v>
      </c>
      <c r="G2860">
        <v>20.55</v>
      </c>
      <c r="H2860">
        <v>252.75</v>
      </c>
      <c r="I2860" t="s">
        <v>15</v>
      </c>
      <c r="J2860" t="s">
        <v>16</v>
      </c>
      <c r="K2860" t="s">
        <v>21</v>
      </c>
      <c r="L2860">
        <v>252.75</v>
      </c>
      <c r="M2860" t="s">
        <v>5030</v>
      </c>
      <c r="N2860" t="s">
        <v>5031</v>
      </c>
    </row>
    <row r="2861" spans="1:14" x14ac:dyDescent="0.3">
      <c r="A2861" t="s">
        <v>2885</v>
      </c>
      <c r="B2861" t="s">
        <v>19</v>
      </c>
      <c r="C2861" t="s">
        <v>35</v>
      </c>
      <c r="D2861">
        <v>70</v>
      </c>
      <c r="E2861" t="s">
        <v>14</v>
      </c>
      <c r="F2861" t="s">
        <v>16</v>
      </c>
      <c r="G2861">
        <v>88.55</v>
      </c>
      <c r="H2861">
        <v>6306.5</v>
      </c>
      <c r="I2861" t="s">
        <v>15</v>
      </c>
      <c r="J2861" t="s">
        <v>16</v>
      </c>
      <c r="K2861" t="s">
        <v>29</v>
      </c>
      <c r="L2861">
        <v>6306.5</v>
      </c>
      <c r="M2861" t="s">
        <v>5033</v>
      </c>
      <c r="N2861" t="s">
        <v>5034</v>
      </c>
    </row>
    <row r="2862" spans="1:14" x14ac:dyDescent="0.3">
      <c r="A2862" t="s">
        <v>2886</v>
      </c>
      <c r="B2862" t="s">
        <v>19</v>
      </c>
      <c r="C2862" t="s">
        <v>13</v>
      </c>
      <c r="D2862">
        <v>67</v>
      </c>
      <c r="E2862" t="s">
        <v>26</v>
      </c>
      <c r="F2862" t="s">
        <v>15</v>
      </c>
      <c r="G2862">
        <v>101.4</v>
      </c>
      <c r="H2862">
        <v>6841.05</v>
      </c>
      <c r="I2862" t="s">
        <v>15</v>
      </c>
      <c r="J2862" t="s">
        <v>16</v>
      </c>
      <c r="K2862" t="s">
        <v>29</v>
      </c>
      <c r="L2862">
        <v>6841.05</v>
      </c>
      <c r="M2862" t="s">
        <v>5033</v>
      </c>
      <c r="N2862" t="s">
        <v>5034</v>
      </c>
    </row>
    <row r="2863" spans="1:14" x14ac:dyDescent="0.3">
      <c r="A2863" t="s">
        <v>2887</v>
      </c>
      <c r="B2863" t="s">
        <v>12</v>
      </c>
      <c r="C2863" t="s">
        <v>13</v>
      </c>
      <c r="D2863">
        <v>1</v>
      </c>
      <c r="E2863" t="s">
        <v>26</v>
      </c>
      <c r="F2863" t="s">
        <v>15</v>
      </c>
      <c r="G2863">
        <v>81.95</v>
      </c>
      <c r="H2863">
        <v>81.95</v>
      </c>
      <c r="I2863" t="s">
        <v>16</v>
      </c>
      <c r="J2863" t="s">
        <v>16</v>
      </c>
      <c r="K2863" t="s">
        <v>17</v>
      </c>
      <c r="L2863">
        <v>81.95</v>
      </c>
      <c r="M2863" t="s">
        <v>5030</v>
      </c>
      <c r="N2863" t="s">
        <v>5031</v>
      </c>
    </row>
    <row r="2864" spans="1:14" x14ac:dyDescent="0.3">
      <c r="A2864" t="s">
        <v>2888</v>
      </c>
      <c r="B2864" t="s">
        <v>19</v>
      </c>
      <c r="C2864" t="s">
        <v>13</v>
      </c>
      <c r="D2864">
        <v>7</v>
      </c>
      <c r="E2864" t="s">
        <v>26</v>
      </c>
      <c r="F2864" t="s">
        <v>15</v>
      </c>
      <c r="G2864">
        <v>69.349999999999994</v>
      </c>
      <c r="H2864">
        <v>451.1</v>
      </c>
      <c r="I2864" t="s">
        <v>16</v>
      </c>
      <c r="J2864" t="s">
        <v>16</v>
      </c>
      <c r="K2864" t="s">
        <v>17</v>
      </c>
      <c r="L2864">
        <v>451.1</v>
      </c>
      <c r="M2864" t="s">
        <v>5030</v>
      </c>
      <c r="N2864" t="s">
        <v>5031</v>
      </c>
    </row>
    <row r="2865" spans="1:14" x14ac:dyDescent="0.3">
      <c r="A2865" t="s">
        <v>2889</v>
      </c>
      <c r="B2865" t="s">
        <v>19</v>
      </c>
      <c r="C2865" t="s">
        <v>13</v>
      </c>
      <c r="D2865">
        <v>1</v>
      </c>
      <c r="E2865" t="s">
        <v>14</v>
      </c>
      <c r="F2865" t="s">
        <v>15</v>
      </c>
      <c r="G2865">
        <v>44.6</v>
      </c>
      <c r="H2865">
        <v>44.6</v>
      </c>
      <c r="I2865" t="s">
        <v>15</v>
      </c>
      <c r="J2865" t="s">
        <v>15</v>
      </c>
      <c r="K2865" t="s">
        <v>21</v>
      </c>
      <c r="L2865">
        <v>44.6</v>
      </c>
      <c r="M2865" t="s">
        <v>5030</v>
      </c>
      <c r="N2865" t="s">
        <v>5031</v>
      </c>
    </row>
    <row r="2866" spans="1:14" x14ac:dyDescent="0.3">
      <c r="A2866" t="s">
        <v>2890</v>
      </c>
      <c r="B2866" t="s">
        <v>19</v>
      </c>
      <c r="C2866" t="s">
        <v>13</v>
      </c>
      <c r="D2866">
        <v>4</v>
      </c>
      <c r="E2866" t="s">
        <v>14</v>
      </c>
      <c r="F2866" t="s">
        <v>16</v>
      </c>
      <c r="G2866">
        <v>63.75</v>
      </c>
      <c r="H2866">
        <v>226.2</v>
      </c>
      <c r="I2866" t="s">
        <v>15</v>
      </c>
      <c r="J2866" t="s">
        <v>16</v>
      </c>
      <c r="K2866" t="s">
        <v>24</v>
      </c>
      <c r="L2866">
        <v>226.2</v>
      </c>
      <c r="M2866" t="s">
        <v>5030</v>
      </c>
      <c r="N2866" t="s">
        <v>5031</v>
      </c>
    </row>
    <row r="2867" spans="1:14" x14ac:dyDescent="0.3">
      <c r="A2867" t="s">
        <v>2891</v>
      </c>
      <c r="B2867" t="s">
        <v>12</v>
      </c>
      <c r="C2867" t="s">
        <v>35</v>
      </c>
      <c r="D2867">
        <v>66</v>
      </c>
      <c r="E2867" t="s">
        <v>26</v>
      </c>
      <c r="F2867" t="s">
        <v>15</v>
      </c>
      <c r="G2867">
        <v>109.25</v>
      </c>
      <c r="H2867">
        <v>7082.5</v>
      </c>
      <c r="I2867" t="s">
        <v>15</v>
      </c>
      <c r="J2867" t="s">
        <v>15</v>
      </c>
      <c r="K2867" t="s">
        <v>24</v>
      </c>
      <c r="L2867">
        <v>7082.5</v>
      </c>
      <c r="M2867" t="s">
        <v>5033</v>
      </c>
      <c r="N2867" t="s">
        <v>5034</v>
      </c>
    </row>
    <row r="2868" spans="1:14" x14ac:dyDescent="0.3">
      <c r="A2868" t="s">
        <v>2892</v>
      </c>
      <c r="B2868" t="s">
        <v>12</v>
      </c>
      <c r="C2868" t="s">
        <v>13</v>
      </c>
      <c r="D2868">
        <v>12</v>
      </c>
      <c r="E2868" t="s">
        <v>26</v>
      </c>
      <c r="F2868" t="s">
        <v>15</v>
      </c>
      <c r="G2868">
        <v>84.6</v>
      </c>
      <c r="H2868">
        <v>1017.35</v>
      </c>
      <c r="I2868" t="s">
        <v>15</v>
      </c>
      <c r="J2868" t="s">
        <v>16</v>
      </c>
      <c r="K2868" t="s">
        <v>17</v>
      </c>
      <c r="L2868">
        <v>1017.35</v>
      </c>
      <c r="M2868" t="s">
        <v>5030</v>
      </c>
      <c r="N2868" t="s">
        <v>5031</v>
      </c>
    </row>
    <row r="2869" spans="1:14" x14ac:dyDescent="0.3">
      <c r="A2869" t="s">
        <v>2893</v>
      </c>
      <c r="B2869" t="s">
        <v>12</v>
      </c>
      <c r="C2869" t="s">
        <v>20</v>
      </c>
      <c r="D2869">
        <v>24</v>
      </c>
      <c r="E2869" t="s">
        <v>15</v>
      </c>
      <c r="F2869" t="s">
        <v>36</v>
      </c>
      <c r="G2869">
        <v>20.45</v>
      </c>
      <c r="H2869">
        <v>527.35</v>
      </c>
      <c r="I2869" t="s">
        <v>15</v>
      </c>
      <c r="J2869" t="s">
        <v>15</v>
      </c>
      <c r="K2869" t="s">
        <v>29</v>
      </c>
      <c r="L2869">
        <v>527.35</v>
      </c>
      <c r="M2869" t="s">
        <v>5032</v>
      </c>
      <c r="N2869" t="s">
        <v>5031</v>
      </c>
    </row>
    <row r="2870" spans="1:14" x14ac:dyDescent="0.3">
      <c r="A2870" t="s">
        <v>2894</v>
      </c>
      <c r="B2870" t="s">
        <v>19</v>
      </c>
      <c r="C2870" t="s">
        <v>13</v>
      </c>
      <c r="D2870">
        <v>26</v>
      </c>
      <c r="E2870" t="s">
        <v>26</v>
      </c>
      <c r="F2870" t="s">
        <v>15</v>
      </c>
      <c r="G2870">
        <v>85.75</v>
      </c>
      <c r="H2870">
        <v>2146.5</v>
      </c>
      <c r="I2870" t="s">
        <v>15</v>
      </c>
      <c r="J2870" t="s">
        <v>16</v>
      </c>
      <c r="K2870" t="s">
        <v>17</v>
      </c>
      <c r="L2870">
        <v>2146.5</v>
      </c>
      <c r="M2870" t="s">
        <v>5032</v>
      </c>
      <c r="N2870" t="s">
        <v>5031</v>
      </c>
    </row>
    <row r="2871" spans="1:14" x14ac:dyDescent="0.3">
      <c r="A2871" t="s">
        <v>2895</v>
      </c>
      <c r="B2871" t="s">
        <v>12</v>
      </c>
      <c r="C2871" t="s">
        <v>13</v>
      </c>
      <c r="D2871">
        <v>6</v>
      </c>
      <c r="E2871" t="s">
        <v>26</v>
      </c>
      <c r="F2871" t="s">
        <v>15</v>
      </c>
      <c r="G2871">
        <v>91.1</v>
      </c>
      <c r="H2871">
        <v>455.3</v>
      </c>
      <c r="I2871" t="s">
        <v>16</v>
      </c>
      <c r="J2871" t="s">
        <v>16</v>
      </c>
      <c r="K2871" t="s">
        <v>17</v>
      </c>
      <c r="L2871">
        <v>455.3</v>
      </c>
      <c r="M2871" t="s">
        <v>5030</v>
      </c>
      <c r="N2871" t="s">
        <v>5031</v>
      </c>
    </row>
    <row r="2872" spans="1:14" x14ac:dyDescent="0.3">
      <c r="A2872" t="s">
        <v>2896</v>
      </c>
      <c r="B2872" t="s">
        <v>19</v>
      </c>
      <c r="C2872" t="s">
        <v>35</v>
      </c>
      <c r="D2872">
        <v>57</v>
      </c>
      <c r="E2872" t="s">
        <v>26</v>
      </c>
      <c r="F2872" t="s">
        <v>16</v>
      </c>
      <c r="G2872">
        <v>107.95</v>
      </c>
      <c r="H2872">
        <v>5969.85</v>
      </c>
      <c r="I2872" t="s">
        <v>15</v>
      </c>
      <c r="J2872" t="s">
        <v>15</v>
      </c>
      <c r="K2872" t="s">
        <v>17</v>
      </c>
      <c r="L2872">
        <v>5969.85</v>
      </c>
      <c r="M2872" t="s">
        <v>5033</v>
      </c>
      <c r="N2872" t="s">
        <v>5034</v>
      </c>
    </row>
    <row r="2873" spans="1:14" x14ac:dyDescent="0.3">
      <c r="A2873" t="s">
        <v>2897</v>
      </c>
      <c r="B2873" t="s">
        <v>19</v>
      </c>
      <c r="C2873" t="s">
        <v>13</v>
      </c>
      <c r="D2873">
        <v>14</v>
      </c>
      <c r="E2873" t="s">
        <v>26</v>
      </c>
      <c r="F2873" t="s">
        <v>15</v>
      </c>
      <c r="G2873">
        <v>86.1</v>
      </c>
      <c r="H2873">
        <v>1235.55</v>
      </c>
      <c r="I2873" t="s">
        <v>16</v>
      </c>
      <c r="J2873" t="s">
        <v>16</v>
      </c>
      <c r="K2873" t="s">
        <v>17</v>
      </c>
      <c r="L2873">
        <v>1235.55</v>
      </c>
      <c r="M2873" t="s">
        <v>5032</v>
      </c>
      <c r="N2873" t="s">
        <v>5031</v>
      </c>
    </row>
    <row r="2874" spans="1:14" x14ac:dyDescent="0.3">
      <c r="A2874" t="s">
        <v>2898</v>
      </c>
      <c r="B2874" t="s">
        <v>12</v>
      </c>
      <c r="C2874" t="s">
        <v>35</v>
      </c>
      <c r="D2874">
        <v>42</v>
      </c>
      <c r="E2874" t="s">
        <v>15</v>
      </c>
      <c r="F2874" t="s">
        <v>36</v>
      </c>
      <c r="G2874">
        <v>22.95</v>
      </c>
      <c r="H2874">
        <v>1014.25</v>
      </c>
      <c r="I2874" t="s">
        <v>15</v>
      </c>
      <c r="J2874" t="s">
        <v>15</v>
      </c>
      <c r="K2874" t="s">
        <v>17</v>
      </c>
      <c r="L2874">
        <v>1014.25</v>
      </c>
      <c r="M2874" t="s">
        <v>5033</v>
      </c>
      <c r="N2874" t="s">
        <v>5031</v>
      </c>
    </row>
    <row r="2875" spans="1:14" x14ac:dyDescent="0.3">
      <c r="A2875" t="s">
        <v>2899</v>
      </c>
      <c r="B2875" t="s">
        <v>19</v>
      </c>
      <c r="C2875" t="s">
        <v>13</v>
      </c>
      <c r="D2875">
        <v>25</v>
      </c>
      <c r="E2875" t="s">
        <v>26</v>
      </c>
      <c r="F2875" t="s">
        <v>15</v>
      </c>
      <c r="G2875">
        <v>94.7</v>
      </c>
      <c r="H2875">
        <v>2362.1</v>
      </c>
      <c r="I2875" t="s">
        <v>16</v>
      </c>
      <c r="J2875" t="s">
        <v>16</v>
      </c>
      <c r="K2875" t="s">
        <v>24</v>
      </c>
      <c r="L2875">
        <v>2362.1</v>
      </c>
      <c r="M2875" t="s">
        <v>5032</v>
      </c>
      <c r="N2875" t="s">
        <v>5031</v>
      </c>
    </row>
    <row r="2876" spans="1:14" x14ac:dyDescent="0.3">
      <c r="A2876" t="s">
        <v>2900</v>
      </c>
      <c r="B2876" t="s">
        <v>12</v>
      </c>
      <c r="C2876" t="s">
        <v>35</v>
      </c>
      <c r="D2876">
        <v>64</v>
      </c>
      <c r="E2876" t="s">
        <v>15</v>
      </c>
      <c r="F2876" t="s">
        <v>36</v>
      </c>
      <c r="G2876">
        <v>19.45</v>
      </c>
      <c r="H2876">
        <v>1225.6500000000001</v>
      </c>
      <c r="I2876" t="s">
        <v>15</v>
      </c>
      <c r="J2876" t="s">
        <v>15</v>
      </c>
      <c r="K2876" t="s">
        <v>29</v>
      </c>
      <c r="L2876">
        <v>1225.6500000000001</v>
      </c>
      <c r="M2876" t="s">
        <v>5033</v>
      </c>
      <c r="N2876" t="s">
        <v>5031</v>
      </c>
    </row>
    <row r="2877" spans="1:14" x14ac:dyDescent="0.3">
      <c r="A2877" t="s">
        <v>2901</v>
      </c>
      <c r="B2877" t="s">
        <v>19</v>
      </c>
      <c r="C2877" t="s">
        <v>13</v>
      </c>
      <c r="D2877">
        <v>22</v>
      </c>
      <c r="E2877" t="s">
        <v>26</v>
      </c>
      <c r="F2877" t="s">
        <v>15</v>
      </c>
      <c r="G2877">
        <v>85.1</v>
      </c>
      <c r="H2877">
        <v>1873.7</v>
      </c>
      <c r="I2877" t="s">
        <v>16</v>
      </c>
      <c r="J2877" t="s">
        <v>16</v>
      </c>
      <c r="K2877" t="s">
        <v>17</v>
      </c>
      <c r="L2877">
        <v>1873.7</v>
      </c>
      <c r="M2877" t="s">
        <v>5032</v>
      </c>
      <c r="N2877" t="s">
        <v>5031</v>
      </c>
    </row>
    <row r="2878" spans="1:14" x14ac:dyDescent="0.3">
      <c r="A2878" t="s">
        <v>2902</v>
      </c>
      <c r="B2878" t="s">
        <v>19</v>
      </c>
      <c r="C2878" t="s">
        <v>20</v>
      </c>
      <c r="D2878">
        <v>19</v>
      </c>
      <c r="E2878" t="s">
        <v>15</v>
      </c>
      <c r="F2878" t="s">
        <v>36</v>
      </c>
      <c r="G2878">
        <v>19.7</v>
      </c>
      <c r="H2878">
        <v>386.5</v>
      </c>
      <c r="I2878" t="s">
        <v>15</v>
      </c>
      <c r="J2878" t="s">
        <v>16</v>
      </c>
      <c r="K2878" t="s">
        <v>29</v>
      </c>
      <c r="L2878">
        <v>386.5</v>
      </c>
      <c r="M2878" t="s">
        <v>5032</v>
      </c>
      <c r="N2878" t="s">
        <v>5031</v>
      </c>
    </row>
    <row r="2879" spans="1:14" x14ac:dyDescent="0.3">
      <c r="A2879" t="s">
        <v>2903</v>
      </c>
      <c r="B2879" t="s">
        <v>12</v>
      </c>
      <c r="C2879" t="s">
        <v>13</v>
      </c>
      <c r="D2879">
        <v>61</v>
      </c>
      <c r="E2879" t="s">
        <v>26</v>
      </c>
      <c r="F2879" t="s">
        <v>15</v>
      </c>
      <c r="G2879">
        <v>99.15</v>
      </c>
      <c r="H2879">
        <v>6010.05</v>
      </c>
      <c r="I2879" t="s">
        <v>16</v>
      </c>
      <c r="J2879" t="s">
        <v>16</v>
      </c>
      <c r="K2879" t="s">
        <v>17</v>
      </c>
      <c r="L2879">
        <v>6010.05</v>
      </c>
      <c r="M2879" t="s">
        <v>5033</v>
      </c>
      <c r="N2879" t="s">
        <v>5034</v>
      </c>
    </row>
    <row r="2880" spans="1:14" x14ac:dyDescent="0.3">
      <c r="A2880" t="s">
        <v>2904</v>
      </c>
      <c r="B2880" t="s">
        <v>19</v>
      </c>
      <c r="C2880" t="s">
        <v>13</v>
      </c>
      <c r="D2880">
        <v>22</v>
      </c>
      <c r="E2880" t="s">
        <v>26</v>
      </c>
      <c r="F2880" t="s">
        <v>15</v>
      </c>
      <c r="G2880">
        <v>87</v>
      </c>
      <c r="H2880">
        <v>1850.65</v>
      </c>
      <c r="I2880" t="s">
        <v>15</v>
      </c>
      <c r="J2880" t="s">
        <v>16</v>
      </c>
      <c r="K2880" t="s">
        <v>24</v>
      </c>
      <c r="L2880">
        <v>1850.65</v>
      </c>
      <c r="M2880" t="s">
        <v>5032</v>
      </c>
      <c r="N2880" t="s">
        <v>5031</v>
      </c>
    </row>
    <row r="2881" spans="1:14" x14ac:dyDescent="0.3">
      <c r="A2881" t="s">
        <v>2905</v>
      </c>
      <c r="B2881" t="s">
        <v>19</v>
      </c>
      <c r="C2881" t="s">
        <v>13</v>
      </c>
      <c r="D2881">
        <v>70</v>
      </c>
      <c r="E2881" t="s">
        <v>26</v>
      </c>
      <c r="F2881" t="s">
        <v>15</v>
      </c>
      <c r="G2881">
        <v>102.95</v>
      </c>
      <c r="H2881">
        <v>7101.5</v>
      </c>
      <c r="I2881" t="s">
        <v>16</v>
      </c>
      <c r="J2881" t="s">
        <v>16</v>
      </c>
      <c r="K2881" t="s">
        <v>17</v>
      </c>
      <c r="L2881">
        <v>7101.5</v>
      </c>
      <c r="M2881" t="s">
        <v>5033</v>
      </c>
      <c r="N2881" t="s">
        <v>5034</v>
      </c>
    </row>
    <row r="2882" spans="1:14" x14ac:dyDescent="0.3">
      <c r="A2882" t="s">
        <v>2906</v>
      </c>
      <c r="B2882" t="s">
        <v>19</v>
      </c>
      <c r="C2882" t="s">
        <v>13</v>
      </c>
      <c r="D2882">
        <v>12</v>
      </c>
      <c r="E2882" t="s">
        <v>26</v>
      </c>
      <c r="F2882" t="s">
        <v>15</v>
      </c>
      <c r="G2882">
        <v>79.95</v>
      </c>
      <c r="H2882">
        <v>1043.4000000000001</v>
      </c>
      <c r="I2882" t="s">
        <v>15</v>
      </c>
      <c r="J2882" t="s">
        <v>16</v>
      </c>
      <c r="K2882" t="s">
        <v>24</v>
      </c>
      <c r="L2882">
        <v>1043.4000000000001</v>
      </c>
      <c r="M2882" t="s">
        <v>5030</v>
      </c>
      <c r="N2882" t="s">
        <v>5031</v>
      </c>
    </row>
    <row r="2883" spans="1:14" x14ac:dyDescent="0.3">
      <c r="A2883" t="s">
        <v>2907</v>
      </c>
      <c r="B2883" t="s">
        <v>12</v>
      </c>
      <c r="C2883" t="s">
        <v>20</v>
      </c>
      <c r="D2883">
        <v>31</v>
      </c>
      <c r="E2883" t="s">
        <v>14</v>
      </c>
      <c r="F2883" t="s">
        <v>16</v>
      </c>
      <c r="G2883">
        <v>64</v>
      </c>
      <c r="H2883">
        <v>1910.75</v>
      </c>
      <c r="I2883" t="s">
        <v>15</v>
      </c>
      <c r="J2883" t="s">
        <v>16</v>
      </c>
      <c r="K2883" t="s">
        <v>17</v>
      </c>
      <c r="L2883">
        <v>1910.75</v>
      </c>
      <c r="M2883" t="s">
        <v>5032</v>
      </c>
      <c r="N2883" t="s">
        <v>5031</v>
      </c>
    </row>
    <row r="2884" spans="1:14" x14ac:dyDescent="0.3">
      <c r="A2884" t="s">
        <v>2908</v>
      </c>
      <c r="B2884" t="s">
        <v>12</v>
      </c>
      <c r="C2884" t="s">
        <v>13</v>
      </c>
      <c r="D2884">
        <v>11</v>
      </c>
      <c r="E2884" t="s">
        <v>14</v>
      </c>
      <c r="F2884" t="s">
        <v>15</v>
      </c>
      <c r="G2884">
        <v>64.900000000000006</v>
      </c>
      <c r="H2884">
        <v>716.1</v>
      </c>
      <c r="I2884" t="s">
        <v>15</v>
      </c>
      <c r="J2884" t="s">
        <v>16</v>
      </c>
      <c r="K2884" t="s">
        <v>17</v>
      </c>
      <c r="L2884">
        <v>716.1</v>
      </c>
      <c r="M2884" t="s">
        <v>5030</v>
      </c>
      <c r="N2884" t="s">
        <v>5031</v>
      </c>
    </row>
    <row r="2885" spans="1:14" x14ac:dyDescent="0.3">
      <c r="A2885" t="s">
        <v>2909</v>
      </c>
      <c r="B2885" t="s">
        <v>19</v>
      </c>
      <c r="C2885" t="s">
        <v>35</v>
      </c>
      <c r="D2885">
        <v>68</v>
      </c>
      <c r="E2885" t="s">
        <v>15</v>
      </c>
      <c r="F2885" t="s">
        <v>36</v>
      </c>
      <c r="G2885">
        <v>25.75</v>
      </c>
      <c r="H2885">
        <v>1686.15</v>
      </c>
      <c r="I2885" t="s">
        <v>15</v>
      </c>
      <c r="J2885" t="s">
        <v>15</v>
      </c>
      <c r="K2885" t="s">
        <v>21</v>
      </c>
      <c r="L2885">
        <v>1686.15</v>
      </c>
      <c r="M2885" t="s">
        <v>5033</v>
      </c>
      <c r="N2885" t="s">
        <v>5031</v>
      </c>
    </row>
    <row r="2886" spans="1:14" x14ac:dyDescent="0.3">
      <c r="A2886" t="s">
        <v>2910</v>
      </c>
      <c r="B2886" t="s">
        <v>12</v>
      </c>
      <c r="C2886" t="s">
        <v>35</v>
      </c>
      <c r="D2886">
        <v>72</v>
      </c>
      <c r="E2886" t="s">
        <v>14</v>
      </c>
      <c r="F2886" t="s">
        <v>16</v>
      </c>
      <c r="G2886">
        <v>90.15</v>
      </c>
      <c r="H2886">
        <v>6716.45</v>
      </c>
      <c r="I2886" t="s">
        <v>15</v>
      </c>
      <c r="J2886" t="s">
        <v>16</v>
      </c>
      <c r="K2886" t="s">
        <v>24</v>
      </c>
      <c r="L2886">
        <v>6716.45</v>
      </c>
      <c r="M2886" t="s">
        <v>5033</v>
      </c>
      <c r="N2886" t="s">
        <v>5034</v>
      </c>
    </row>
    <row r="2887" spans="1:14" x14ac:dyDescent="0.3">
      <c r="A2887" t="s">
        <v>2911</v>
      </c>
      <c r="B2887" t="s">
        <v>19</v>
      </c>
      <c r="C2887" t="s">
        <v>35</v>
      </c>
      <c r="D2887">
        <v>67</v>
      </c>
      <c r="E2887" t="s">
        <v>26</v>
      </c>
      <c r="F2887" t="s">
        <v>16</v>
      </c>
      <c r="G2887">
        <v>116.1</v>
      </c>
      <c r="H2887">
        <v>7839.85</v>
      </c>
      <c r="I2887" t="s">
        <v>15</v>
      </c>
      <c r="J2887" t="s">
        <v>16</v>
      </c>
      <c r="K2887" t="s">
        <v>29</v>
      </c>
      <c r="L2887">
        <v>7839.85</v>
      </c>
      <c r="M2887" t="s">
        <v>5033</v>
      </c>
      <c r="N2887" t="s">
        <v>5034</v>
      </c>
    </row>
    <row r="2888" spans="1:14" x14ac:dyDescent="0.3">
      <c r="A2888" t="s">
        <v>2912</v>
      </c>
      <c r="B2888" t="s">
        <v>12</v>
      </c>
      <c r="C2888" t="s">
        <v>13</v>
      </c>
      <c r="D2888">
        <v>60</v>
      </c>
      <c r="E2888" t="s">
        <v>26</v>
      </c>
      <c r="F2888" t="s">
        <v>16</v>
      </c>
      <c r="G2888">
        <v>104.95</v>
      </c>
      <c r="H2888">
        <v>6236.75</v>
      </c>
      <c r="I2888" t="s">
        <v>15</v>
      </c>
      <c r="J2888" t="s">
        <v>16</v>
      </c>
      <c r="K2888" t="s">
        <v>24</v>
      </c>
      <c r="L2888">
        <v>6236.75</v>
      </c>
      <c r="M2888" t="s">
        <v>5033</v>
      </c>
      <c r="N2888" t="s">
        <v>5034</v>
      </c>
    </row>
    <row r="2889" spans="1:14" x14ac:dyDescent="0.3">
      <c r="A2889" t="s">
        <v>2913</v>
      </c>
      <c r="B2889" t="s">
        <v>19</v>
      </c>
      <c r="C2889" t="s">
        <v>13</v>
      </c>
      <c r="D2889">
        <v>1</v>
      </c>
      <c r="E2889" t="s">
        <v>14</v>
      </c>
      <c r="F2889" t="s">
        <v>15</v>
      </c>
      <c r="G2889">
        <v>45.05</v>
      </c>
      <c r="H2889">
        <v>45.05</v>
      </c>
      <c r="I2889" t="s">
        <v>16</v>
      </c>
      <c r="J2889" t="s">
        <v>16</v>
      </c>
      <c r="K2889" t="s">
        <v>21</v>
      </c>
      <c r="L2889">
        <v>45.05</v>
      </c>
      <c r="M2889" t="s">
        <v>5030</v>
      </c>
      <c r="N2889" t="s">
        <v>5031</v>
      </c>
    </row>
    <row r="2890" spans="1:14" x14ac:dyDescent="0.3">
      <c r="A2890" t="s">
        <v>2914</v>
      </c>
      <c r="B2890" t="s">
        <v>12</v>
      </c>
      <c r="C2890" t="s">
        <v>13</v>
      </c>
      <c r="D2890">
        <v>1</v>
      </c>
      <c r="E2890" t="s">
        <v>26</v>
      </c>
      <c r="F2890" t="s">
        <v>15</v>
      </c>
      <c r="G2890">
        <v>71</v>
      </c>
      <c r="H2890">
        <v>71</v>
      </c>
      <c r="I2890" t="s">
        <v>16</v>
      </c>
      <c r="J2890" t="s">
        <v>16</v>
      </c>
      <c r="K2890" t="s">
        <v>17</v>
      </c>
      <c r="L2890">
        <v>71</v>
      </c>
      <c r="M2890" t="s">
        <v>5030</v>
      </c>
      <c r="N2890" t="s">
        <v>5031</v>
      </c>
    </row>
    <row r="2891" spans="1:14" x14ac:dyDescent="0.3">
      <c r="A2891" t="s">
        <v>2915</v>
      </c>
      <c r="B2891" t="s">
        <v>19</v>
      </c>
      <c r="C2891" t="s">
        <v>20</v>
      </c>
      <c r="D2891">
        <v>58</v>
      </c>
      <c r="E2891" t="s">
        <v>14</v>
      </c>
      <c r="F2891" t="s">
        <v>15</v>
      </c>
      <c r="G2891">
        <v>50</v>
      </c>
      <c r="H2891">
        <v>2919.85</v>
      </c>
      <c r="I2891" t="s">
        <v>15</v>
      </c>
      <c r="J2891" t="s">
        <v>15</v>
      </c>
      <c r="K2891" t="s">
        <v>21</v>
      </c>
      <c r="L2891">
        <v>2919.85</v>
      </c>
      <c r="M2891" t="s">
        <v>5033</v>
      </c>
      <c r="N2891" t="s">
        <v>5034</v>
      </c>
    </row>
    <row r="2892" spans="1:14" x14ac:dyDescent="0.3">
      <c r="A2892" t="s">
        <v>2916</v>
      </c>
      <c r="B2892" t="s">
        <v>12</v>
      </c>
      <c r="C2892" t="s">
        <v>13</v>
      </c>
      <c r="D2892">
        <v>47</v>
      </c>
      <c r="E2892" t="s">
        <v>26</v>
      </c>
      <c r="F2892" t="s">
        <v>15</v>
      </c>
      <c r="G2892">
        <v>70.55</v>
      </c>
      <c r="H2892">
        <v>3309.25</v>
      </c>
      <c r="I2892" t="s">
        <v>16</v>
      </c>
      <c r="J2892" t="s">
        <v>15</v>
      </c>
      <c r="K2892" t="s">
        <v>24</v>
      </c>
      <c r="L2892">
        <v>3309.25</v>
      </c>
      <c r="M2892" t="s">
        <v>5033</v>
      </c>
      <c r="N2892" t="s">
        <v>5034</v>
      </c>
    </row>
    <row r="2893" spans="1:14" x14ac:dyDescent="0.3">
      <c r="A2893" t="s">
        <v>2917</v>
      </c>
      <c r="B2893" t="s">
        <v>12</v>
      </c>
      <c r="C2893" t="s">
        <v>13</v>
      </c>
      <c r="D2893">
        <v>1</v>
      </c>
      <c r="E2893" t="s">
        <v>26</v>
      </c>
      <c r="F2893" t="s">
        <v>15</v>
      </c>
      <c r="G2893">
        <v>79.7</v>
      </c>
      <c r="H2893">
        <v>79.7</v>
      </c>
      <c r="I2893" t="s">
        <v>16</v>
      </c>
      <c r="J2893" t="s">
        <v>16</v>
      </c>
      <c r="K2893" t="s">
        <v>17</v>
      </c>
      <c r="L2893">
        <v>79.7</v>
      </c>
      <c r="M2893" t="s">
        <v>5030</v>
      </c>
      <c r="N2893" t="s">
        <v>5031</v>
      </c>
    </row>
    <row r="2894" spans="1:14" x14ac:dyDescent="0.3">
      <c r="A2894" t="s">
        <v>2918</v>
      </c>
      <c r="B2894" t="s">
        <v>19</v>
      </c>
      <c r="C2894" t="s">
        <v>13</v>
      </c>
      <c r="D2894">
        <v>1</v>
      </c>
      <c r="E2894" t="s">
        <v>15</v>
      </c>
      <c r="F2894" t="s">
        <v>36</v>
      </c>
      <c r="G2894">
        <v>20.45</v>
      </c>
      <c r="H2894">
        <v>20.45</v>
      </c>
      <c r="I2894" t="s">
        <v>15</v>
      </c>
      <c r="J2894" t="s">
        <v>15</v>
      </c>
      <c r="K2894" t="s">
        <v>21</v>
      </c>
      <c r="L2894">
        <v>20.45</v>
      </c>
      <c r="M2894" t="s">
        <v>5030</v>
      </c>
      <c r="N2894" t="s">
        <v>5031</v>
      </c>
    </row>
    <row r="2895" spans="1:14" x14ac:dyDescent="0.3">
      <c r="A2895" t="s">
        <v>2919</v>
      </c>
      <c r="B2895" t="s">
        <v>19</v>
      </c>
      <c r="C2895" t="s">
        <v>13</v>
      </c>
      <c r="D2895">
        <v>22</v>
      </c>
      <c r="E2895" t="s">
        <v>14</v>
      </c>
      <c r="F2895" t="s">
        <v>15</v>
      </c>
      <c r="G2895">
        <v>59</v>
      </c>
      <c r="H2895">
        <v>1254.7</v>
      </c>
      <c r="I2895" t="s">
        <v>16</v>
      </c>
      <c r="J2895" t="s">
        <v>15</v>
      </c>
      <c r="K2895" t="s">
        <v>17</v>
      </c>
      <c r="L2895">
        <v>1254.7</v>
      </c>
      <c r="M2895" t="s">
        <v>5032</v>
      </c>
      <c r="N2895" t="s">
        <v>5031</v>
      </c>
    </row>
    <row r="2896" spans="1:14" x14ac:dyDescent="0.3">
      <c r="A2896" t="s">
        <v>2920</v>
      </c>
      <c r="B2896" t="s">
        <v>12</v>
      </c>
      <c r="C2896" t="s">
        <v>20</v>
      </c>
      <c r="D2896">
        <v>48</v>
      </c>
      <c r="E2896" t="s">
        <v>14</v>
      </c>
      <c r="F2896" t="s">
        <v>16</v>
      </c>
      <c r="G2896">
        <v>60.35</v>
      </c>
      <c r="H2896">
        <v>2896.4</v>
      </c>
      <c r="I2896" t="s">
        <v>16</v>
      </c>
      <c r="J2896" t="s">
        <v>16</v>
      </c>
      <c r="K2896" t="s">
        <v>29</v>
      </c>
      <c r="L2896">
        <v>2896.4</v>
      </c>
      <c r="M2896" t="s">
        <v>5033</v>
      </c>
      <c r="N2896" t="s">
        <v>5034</v>
      </c>
    </row>
    <row r="2897" spans="1:14" x14ac:dyDescent="0.3">
      <c r="A2897" t="s">
        <v>2921</v>
      </c>
      <c r="B2897" t="s">
        <v>12</v>
      </c>
      <c r="C2897" t="s">
        <v>20</v>
      </c>
      <c r="D2897">
        <v>37</v>
      </c>
      <c r="E2897" t="s">
        <v>15</v>
      </c>
      <c r="F2897" t="s">
        <v>36</v>
      </c>
      <c r="G2897">
        <v>19.850000000000001</v>
      </c>
      <c r="H2897">
        <v>717.5</v>
      </c>
      <c r="I2897" t="s">
        <v>15</v>
      </c>
      <c r="J2897" t="s">
        <v>16</v>
      </c>
      <c r="K2897" t="s">
        <v>24</v>
      </c>
      <c r="L2897">
        <v>717.5</v>
      </c>
      <c r="M2897" t="s">
        <v>5033</v>
      </c>
      <c r="N2897" t="s">
        <v>5031</v>
      </c>
    </row>
    <row r="2898" spans="1:14" x14ac:dyDescent="0.3">
      <c r="A2898" t="s">
        <v>2922</v>
      </c>
      <c r="B2898" t="s">
        <v>19</v>
      </c>
      <c r="C2898" t="s">
        <v>20</v>
      </c>
      <c r="D2898">
        <v>13</v>
      </c>
      <c r="E2898" t="s">
        <v>15</v>
      </c>
      <c r="F2898" t="s">
        <v>36</v>
      </c>
      <c r="G2898">
        <v>19.95</v>
      </c>
      <c r="H2898">
        <v>253.8</v>
      </c>
      <c r="I2898" t="s">
        <v>15</v>
      </c>
      <c r="J2898" t="s">
        <v>16</v>
      </c>
      <c r="K2898" t="s">
        <v>17</v>
      </c>
      <c r="L2898">
        <v>253.8</v>
      </c>
      <c r="M2898" t="s">
        <v>5032</v>
      </c>
      <c r="N2898" t="s">
        <v>5031</v>
      </c>
    </row>
    <row r="2899" spans="1:14" x14ac:dyDescent="0.3">
      <c r="A2899" t="s">
        <v>2923</v>
      </c>
      <c r="B2899" t="s">
        <v>19</v>
      </c>
      <c r="C2899" t="s">
        <v>35</v>
      </c>
      <c r="D2899">
        <v>43</v>
      </c>
      <c r="E2899" t="s">
        <v>15</v>
      </c>
      <c r="F2899" t="s">
        <v>36</v>
      </c>
      <c r="G2899">
        <v>26.45</v>
      </c>
      <c r="H2899">
        <v>1110.05</v>
      </c>
      <c r="I2899" t="s">
        <v>15</v>
      </c>
      <c r="J2899" t="s">
        <v>15</v>
      </c>
      <c r="K2899" t="s">
        <v>24</v>
      </c>
      <c r="L2899">
        <v>1110.05</v>
      </c>
      <c r="M2899" t="s">
        <v>5033</v>
      </c>
      <c r="N2899" t="s">
        <v>5031</v>
      </c>
    </row>
    <row r="2900" spans="1:14" x14ac:dyDescent="0.3">
      <c r="A2900" t="s">
        <v>2924</v>
      </c>
      <c r="B2900" t="s">
        <v>12</v>
      </c>
      <c r="C2900" t="s">
        <v>35</v>
      </c>
      <c r="D2900">
        <v>6</v>
      </c>
      <c r="E2900" t="s">
        <v>14</v>
      </c>
      <c r="F2900" t="s">
        <v>16</v>
      </c>
      <c r="G2900">
        <v>63.4</v>
      </c>
      <c r="H2900">
        <v>348.8</v>
      </c>
      <c r="I2900" t="s">
        <v>15</v>
      </c>
      <c r="J2900" t="s">
        <v>16</v>
      </c>
      <c r="K2900" t="s">
        <v>21</v>
      </c>
      <c r="L2900">
        <v>348.8</v>
      </c>
      <c r="M2900" t="s">
        <v>5030</v>
      </c>
      <c r="N2900" t="s">
        <v>5031</v>
      </c>
    </row>
    <row r="2901" spans="1:14" x14ac:dyDescent="0.3">
      <c r="A2901" t="s">
        <v>2925</v>
      </c>
      <c r="B2901" t="s">
        <v>19</v>
      </c>
      <c r="C2901" t="s">
        <v>35</v>
      </c>
      <c r="D2901">
        <v>71</v>
      </c>
      <c r="E2901" t="s">
        <v>14</v>
      </c>
      <c r="F2901" t="s">
        <v>16</v>
      </c>
      <c r="G2901">
        <v>53.95</v>
      </c>
      <c r="H2901">
        <v>3888.65</v>
      </c>
      <c r="I2901" t="s">
        <v>15</v>
      </c>
      <c r="J2901" t="s">
        <v>15</v>
      </c>
      <c r="K2901" t="s">
        <v>24</v>
      </c>
      <c r="L2901">
        <v>3888.65</v>
      </c>
      <c r="M2901" t="s">
        <v>5033</v>
      </c>
      <c r="N2901" t="s">
        <v>5034</v>
      </c>
    </row>
    <row r="2902" spans="1:14" x14ac:dyDescent="0.3">
      <c r="A2902" t="s">
        <v>2926</v>
      </c>
      <c r="B2902" t="s">
        <v>12</v>
      </c>
      <c r="C2902" t="s">
        <v>13</v>
      </c>
      <c r="D2902">
        <v>1</v>
      </c>
      <c r="E2902" t="s">
        <v>26</v>
      </c>
      <c r="F2902" t="s">
        <v>15</v>
      </c>
      <c r="G2902">
        <v>69.25</v>
      </c>
      <c r="H2902">
        <v>69.25</v>
      </c>
      <c r="I2902" t="s">
        <v>16</v>
      </c>
      <c r="J2902" t="s">
        <v>16</v>
      </c>
      <c r="K2902" t="s">
        <v>17</v>
      </c>
      <c r="L2902">
        <v>69.25</v>
      </c>
      <c r="M2902" t="s">
        <v>5030</v>
      </c>
      <c r="N2902" t="s">
        <v>5031</v>
      </c>
    </row>
    <row r="2903" spans="1:14" x14ac:dyDescent="0.3">
      <c r="A2903" t="s">
        <v>2927</v>
      </c>
      <c r="B2903" t="s">
        <v>12</v>
      </c>
      <c r="C2903" t="s">
        <v>35</v>
      </c>
      <c r="D2903">
        <v>72</v>
      </c>
      <c r="E2903" t="s">
        <v>26</v>
      </c>
      <c r="F2903" t="s">
        <v>15</v>
      </c>
      <c r="G2903">
        <v>95.1</v>
      </c>
      <c r="H2903">
        <v>6843.15</v>
      </c>
      <c r="I2903" t="s">
        <v>15</v>
      </c>
      <c r="J2903" t="s">
        <v>16</v>
      </c>
      <c r="K2903" t="s">
        <v>17</v>
      </c>
      <c r="L2903">
        <v>6843.15</v>
      </c>
      <c r="M2903" t="s">
        <v>5033</v>
      </c>
      <c r="N2903" t="s">
        <v>5034</v>
      </c>
    </row>
    <row r="2904" spans="1:14" x14ac:dyDescent="0.3">
      <c r="A2904" t="s">
        <v>2928</v>
      </c>
      <c r="B2904" t="s">
        <v>12</v>
      </c>
      <c r="C2904" t="s">
        <v>13</v>
      </c>
      <c r="D2904">
        <v>6</v>
      </c>
      <c r="E2904" t="s">
        <v>26</v>
      </c>
      <c r="F2904" t="s">
        <v>15</v>
      </c>
      <c r="G2904">
        <v>74.099999999999994</v>
      </c>
      <c r="H2904">
        <v>450.9</v>
      </c>
      <c r="I2904" t="s">
        <v>15</v>
      </c>
      <c r="J2904" t="s">
        <v>16</v>
      </c>
      <c r="K2904" t="s">
        <v>17</v>
      </c>
      <c r="L2904">
        <v>450.9</v>
      </c>
      <c r="M2904" t="s">
        <v>5030</v>
      </c>
      <c r="N2904" t="s">
        <v>5031</v>
      </c>
    </row>
    <row r="2905" spans="1:14" x14ac:dyDescent="0.3">
      <c r="A2905" t="s">
        <v>2929</v>
      </c>
      <c r="B2905" t="s">
        <v>19</v>
      </c>
      <c r="C2905" t="s">
        <v>13</v>
      </c>
      <c r="D2905">
        <v>12</v>
      </c>
      <c r="E2905" t="s">
        <v>14</v>
      </c>
      <c r="F2905" t="s">
        <v>16</v>
      </c>
      <c r="G2905">
        <v>35.5</v>
      </c>
      <c r="H2905">
        <v>432.25</v>
      </c>
      <c r="I2905" t="s">
        <v>15</v>
      </c>
      <c r="J2905" t="s">
        <v>15</v>
      </c>
      <c r="K2905" t="s">
        <v>21</v>
      </c>
      <c r="L2905">
        <v>432.25</v>
      </c>
      <c r="M2905" t="s">
        <v>5030</v>
      </c>
      <c r="N2905" t="s">
        <v>5031</v>
      </c>
    </row>
    <row r="2906" spans="1:14" x14ac:dyDescent="0.3">
      <c r="A2906" t="s">
        <v>2930</v>
      </c>
      <c r="B2906" t="s">
        <v>19</v>
      </c>
      <c r="C2906" t="s">
        <v>13</v>
      </c>
      <c r="D2906">
        <v>25</v>
      </c>
      <c r="E2906" t="s">
        <v>26</v>
      </c>
      <c r="F2906" t="s">
        <v>15</v>
      </c>
      <c r="G2906">
        <v>70.95</v>
      </c>
      <c r="H2906">
        <v>1767.35</v>
      </c>
      <c r="I2906" t="s">
        <v>16</v>
      </c>
      <c r="J2906" t="s">
        <v>15</v>
      </c>
      <c r="K2906" t="s">
        <v>21</v>
      </c>
      <c r="L2906">
        <v>1767.35</v>
      </c>
      <c r="M2906" t="s">
        <v>5032</v>
      </c>
      <c r="N2906" t="s">
        <v>5031</v>
      </c>
    </row>
    <row r="2907" spans="1:14" x14ac:dyDescent="0.3">
      <c r="A2907" t="s">
        <v>2931</v>
      </c>
      <c r="B2907" t="s">
        <v>12</v>
      </c>
      <c r="C2907" t="s">
        <v>20</v>
      </c>
      <c r="D2907">
        <v>21</v>
      </c>
      <c r="E2907" t="s">
        <v>26</v>
      </c>
      <c r="F2907" t="s">
        <v>16</v>
      </c>
      <c r="G2907">
        <v>79.2</v>
      </c>
      <c r="H2907">
        <v>1742.45</v>
      </c>
      <c r="I2907" t="s">
        <v>15</v>
      </c>
      <c r="J2907" t="s">
        <v>15</v>
      </c>
      <c r="K2907" t="s">
        <v>17</v>
      </c>
      <c r="L2907">
        <v>1742.45</v>
      </c>
      <c r="M2907" t="s">
        <v>5032</v>
      </c>
      <c r="N2907" t="s">
        <v>5031</v>
      </c>
    </row>
    <row r="2908" spans="1:14" x14ac:dyDescent="0.3">
      <c r="A2908" t="s">
        <v>2932</v>
      </c>
      <c r="B2908" t="s">
        <v>12</v>
      </c>
      <c r="C2908" t="s">
        <v>13</v>
      </c>
      <c r="D2908">
        <v>6</v>
      </c>
      <c r="E2908" t="s">
        <v>14</v>
      </c>
      <c r="F2908" t="s">
        <v>16</v>
      </c>
      <c r="G2908">
        <v>48.8</v>
      </c>
      <c r="H2908">
        <v>297.35000000000002</v>
      </c>
      <c r="I2908" t="s">
        <v>15</v>
      </c>
      <c r="J2908" t="s">
        <v>16</v>
      </c>
      <c r="K2908" t="s">
        <v>21</v>
      </c>
      <c r="L2908">
        <v>297.35000000000002</v>
      </c>
      <c r="M2908" t="s">
        <v>5030</v>
      </c>
      <c r="N2908" t="s">
        <v>5031</v>
      </c>
    </row>
    <row r="2909" spans="1:14" x14ac:dyDescent="0.3">
      <c r="A2909" t="s">
        <v>2933</v>
      </c>
      <c r="B2909" t="s">
        <v>19</v>
      </c>
      <c r="C2909" t="s">
        <v>13</v>
      </c>
      <c r="D2909">
        <v>20</v>
      </c>
      <c r="E2909" t="s">
        <v>26</v>
      </c>
      <c r="F2909" t="s">
        <v>15</v>
      </c>
      <c r="G2909">
        <v>89</v>
      </c>
      <c r="H2909">
        <v>1820.45</v>
      </c>
      <c r="I2909" t="s">
        <v>16</v>
      </c>
      <c r="J2909" t="s">
        <v>16</v>
      </c>
      <c r="K2909" t="s">
        <v>21</v>
      </c>
      <c r="L2909">
        <v>1820.45</v>
      </c>
      <c r="M2909" t="s">
        <v>5032</v>
      </c>
      <c r="N2909" t="s">
        <v>5031</v>
      </c>
    </row>
    <row r="2910" spans="1:14" x14ac:dyDescent="0.3">
      <c r="A2910" t="s">
        <v>2934</v>
      </c>
      <c r="B2910" t="s">
        <v>19</v>
      </c>
      <c r="C2910" t="s">
        <v>13</v>
      </c>
      <c r="D2910">
        <v>18</v>
      </c>
      <c r="E2910" t="s">
        <v>26</v>
      </c>
      <c r="F2910" t="s">
        <v>15</v>
      </c>
      <c r="G2910">
        <v>99.4</v>
      </c>
      <c r="H2910">
        <v>1742.95</v>
      </c>
      <c r="I2910" t="s">
        <v>16</v>
      </c>
      <c r="J2910" t="s">
        <v>16</v>
      </c>
      <c r="K2910" t="s">
        <v>17</v>
      </c>
      <c r="L2910">
        <v>1742.95</v>
      </c>
      <c r="M2910" t="s">
        <v>5032</v>
      </c>
      <c r="N2910" t="s">
        <v>5031</v>
      </c>
    </row>
    <row r="2911" spans="1:14" x14ac:dyDescent="0.3">
      <c r="A2911" t="s">
        <v>2935</v>
      </c>
      <c r="B2911" t="s">
        <v>12</v>
      </c>
      <c r="C2911" t="s">
        <v>20</v>
      </c>
      <c r="D2911">
        <v>43</v>
      </c>
      <c r="E2911" t="s">
        <v>14</v>
      </c>
      <c r="F2911" t="s">
        <v>16</v>
      </c>
      <c r="G2911">
        <v>55.45</v>
      </c>
      <c r="H2911">
        <v>2444.25</v>
      </c>
      <c r="I2911" t="s">
        <v>15</v>
      </c>
      <c r="J2911" t="s">
        <v>15</v>
      </c>
      <c r="K2911" t="s">
        <v>17</v>
      </c>
      <c r="L2911">
        <v>2444.25</v>
      </c>
      <c r="M2911" t="s">
        <v>5033</v>
      </c>
      <c r="N2911" t="s">
        <v>5031</v>
      </c>
    </row>
    <row r="2912" spans="1:14" x14ac:dyDescent="0.3">
      <c r="A2912" t="s">
        <v>2936</v>
      </c>
      <c r="B2912" t="s">
        <v>12</v>
      </c>
      <c r="C2912" t="s">
        <v>35</v>
      </c>
      <c r="D2912">
        <v>35</v>
      </c>
      <c r="E2912" t="s">
        <v>15</v>
      </c>
      <c r="F2912" t="s">
        <v>36</v>
      </c>
      <c r="G2912">
        <v>25.4</v>
      </c>
      <c r="H2912">
        <v>949.8</v>
      </c>
      <c r="I2912" t="s">
        <v>15</v>
      </c>
      <c r="J2912" t="s">
        <v>16</v>
      </c>
      <c r="K2912" t="s">
        <v>29</v>
      </c>
      <c r="L2912">
        <v>949.8</v>
      </c>
      <c r="M2912" t="s">
        <v>5032</v>
      </c>
      <c r="N2912" t="s">
        <v>5031</v>
      </c>
    </row>
    <row r="2913" spans="1:14" x14ac:dyDescent="0.3">
      <c r="A2913" t="s">
        <v>2937</v>
      </c>
      <c r="B2913" t="s">
        <v>12</v>
      </c>
      <c r="C2913" t="s">
        <v>13</v>
      </c>
      <c r="D2913">
        <v>1</v>
      </c>
      <c r="E2913" t="s">
        <v>26</v>
      </c>
      <c r="F2913" t="s">
        <v>15</v>
      </c>
      <c r="G2913">
        <v>73.5</v>
      </c>
      <c r="H2913">
        <v>73.5</v>
      </c>
      <c r="I2913" t="s">
        <v>16</v>
      </c>
      <c r="J2913" t="s">
        <v>15</v>
      </c>
      <c r="K2913" t="s">
        <v>24</v>
      </c>
      <c r="L2913">
        <v>73.5</v>
      </c>
      <c r="M2913" t="s">
        <v>5030</v>
      </c>
      <c r="N2913" t="s">
        <v>5031</v>
      </c>
    </row>
    <row r="2914" spans="1:14" x14ac:dyDescent="0.3">
      <c r="A2914" t="s">
        <v>2938</v>
      </c>
      <c r="B2914" t="s">
        <v>19</v>
      </c>
      <c r="C2914" t="s">
        <v>13</v>
      </c>
      <c r="D2914">
        <v>32</v>
      </c>
      <c r="E2914" t="s">
        <v>26</v>
      </c>
      <c r="F2914" t="s">
        <v>15</v>
      </c>
      <c r="G2914">
        <v>93.5</v>
      </c>
      <c r="H2914">
        <v>2970.8</v>
      </c>
      <c r="I2914" t="s">
        <v>15</v>
      </c>
      <c r="J2914" t="s">
        <v>16</v>
      </c>
      <c r="K2914" t="s">
        <v>17</v>
      </c>
      <c r="L2914">
        <v>2970.8</v>
      </c>
      <c r="M2914" t="s">
        <v>5032</v>
      </c>
      <c r="N2914" t="s">
        <v>5034</v>
      </c>
    </row>
    <row r="2915" spans="1:14" x14ac:dyDescent="0.3">
      <c r="A2915" t="s">
        <v>2939</v>
      </c>
      <c r="B2915" t="s">
        <v>19</v>
      </c>
      <c r="C2915" t="s">
        <v>35</v>
      </c>
      <c r="D2915">
        <v>52</v>
      </c>
      <c r="E2915" t="s">
        <v>14</v>
      </c>
      <c r="F2915" t="s">
        <v>16</v>
      </c>
      <c r="G2915">
        <v>63.9</v>
      </c>
      <c r="H2915">
        <v>3334.95</v>
      </c>
      <c r="I2915" t="s">
        <v>15</v>
      </c>
      <c r="J2915" t="s">
        <v>15</v>
      </c>
      <c r="K2915" t="s">
        <v>29</v>
      </c>
      <c r="L2915">
        <v>3334.95</v>
      </c>
      <c r="M2915" t="s">
        <v>5033</v>
      </c>
      <c r="N2915" t="s">
        <v>5034</v>
      </c>
    </row>
    <row r="2916" spans="1:14" x14ac:dyDescent="0.3">
      <c r="A2916" t="s">
        <v>2940</v>
      </c>
      <c r="B2916" t="s">
        <v>19</v>
      </c>
      <c r="C2916" t="s">
        <v>20</v>
      </c>
      <c r="D2916">
        <v>32</v>
      </c>
      <c r="E2916" t="s">
        <v>14</v>
      </c>
      <c r="F2916" t="s">
        <v>15</v>
      </c>
      <c r="G2916">
        <v>64.849999999999994</v>
      </c>
      <c r="H2916">
        <v>2010.95</v>
      </c>
      <c r="I2916" t="s">
        <v>15</v>
      </c>
      <c r="J2916" t="s">
        <v>16</v>
      </c>
      <c r="K2916" t="s">
        <v>24</v>
      </c>
      <c r="L2916">
        <v>2010.95</v>
      </c>
      <c r="M2916" t="s">
        <v>5032</v>
      </c>
      <c r="N2916" t="s">
        <v>5031</v>
      </c>
    </row>
    <row r="2917" spans="1:14" x14ac:dyDescent="0.3">
      <c r="A2917" t="s">
        <v>2941</v>
      </c>
      <c r="B2917" t="s">
        <v>12</v>
      </c>
      <c r="C2917" t="s">
        <v>35</v>
      </c>
      <c r="D2917">
        <v>72</v>
      </c>
      <c r="E2917" t="s">
        <v>14</v>
      </c>
      <c r="F2917" t="s">
        <v>16</v>
      </c>
      <c r="G2917">
        <v>63.8</v>
      </c>
      <c r="H2917">
        <v>4684.3</v>
      </c>
      <c r="I2917" t="s">
        <v>15</v>
      </c>
      <c r="J2917" t="s">
        <v>16</v>
      </c>
      <c r="K2917" t="s">
        <v>24</v>
      </c>
      <c r="L2917">
        <v>4684.3</v>
      </c>
      <c r="M2917" t="s">
        <v>5033</v>
      </c>
      <c r="N2917" t="s">
        <v>5034</v>
      </c>
    </row>
    <row r="2918" spans="1:14" x14ac:dyDescent="0.3">
      <c r="A2918" t="s">
        <v>2942</v>
      </c>
      <c r="B2918" t="s">
        <v>19</v>
      </c>
      <c r="C2918" t="s">
        <v>13</v>
      </c>
      <c r="D2918">
        <v>51</v>
      </c>
      <c r="E2918" t="s">
        <v>14</v>
      </c>
      <c r="F2918" t="s">
        <v>16</v>
      </c>
      <c r="G2918">
        <v>44.45</v>
      </c>
      <c r="H2918">
        <v>2181.5500000000002</v>
      </c>
      <c r="I2918" t="s">
        <v>15</v>
      </c>
      <c r="J2918" t="s">
        <v>16</v>
      </c>
      <c r="K2918" t="s">
        <v>29</v>
      </c>
      <c r="L2918">
        <v>2181.5500000000002</v>
      </c>
      <c r="M2918" t="s">
        <v>5033</v>
      </c>
      <c r="N2918" t="s">
        <v>5031</v>
      </c>
    </row>
    <row r="2919" spans="1:14" x14ac:dyDescent="0.3">
      <c r="A2919" t="s">
        <v>2943</v>
      </c>
      <c r="B2919" t="s">
        <v>19</v>
      </c>
      <c r="C2919" t="s">
        <v>35</v>
      </c>
      <c r="D2919">
        <v>68</v>
      </c>
      <c r="E2919" t="s">
        <v>15</v>
      </c>
      <c r="F2919" t="s">
        <v>36</v>
      </c>
      <c r="G2919">
        <v>19.95</v>
      </c>
      <c r="H2919">
        <v>1303.25</v>
      </c>
      <c r="I2919" t="s">
        <v>15</v>
      </c>
      <c r="J2919" t="s">
        <v>16</v>
      </c>
      <c r="K2919" t="s">
        <v>24</v>
      </c>
      <c r="L2919">
        <v>1303.25</v>
      </c>
      <c r="M2919" t="s">
        <v>5033</v>
      </c>
      <c r="N2919" t="s">
        <v>5031</v>
      </c>
    </row>
    <row r="2920" spans="1:14" x14ac:dyDescent="0.3">
      <c r="A2920" t="s">
        <v>2944</v>
      </c>
      <c r="B2920" t="s">
        <v>19</v>
      </c>
      <c r="C2920" t="s">
        <v>13</v>
      </c>
      <c r="D2920">
        <v>8</v>
      </c>
      <c r="E2920" t="s">
        <v>14</v>
      </c>
      <c r="F2920" t="s">
        <v>15</v>
      </c>
      <c r="G2920">
        <v>43.35</v>
      </c>
      <c r="H2920">
        <v>371.4</v>
      </c>
      <c r="I2920" t="s">
        <v>15</v>
      </c>
      <c r="J2920" t="s">
        <v>16</v>
      </c>
      <c r="K2920" t="s">
        <v>21</v>
      </c>
      <c r="L2920">
        <v>371.4</v>
      </c>
      <c r="M2920" t="s">
        <v>5030</v>
      </c>
      <c r="N2920" t="s">
        <v>5031</v>
      </c>
    </row>
    <row r="2921" spans="1:14" x14ac:dyDescent="0.3">
      <c r="A2921" t="s">
        <v>2945</v>
      </c>
      <c r="B2921" t="s">
        <v>19</v>
      </c>
      <c r="C2921" t="s">
        <v>35</v>
      </c>
      <c r="D2921">
        <v>49</v>
      </c>
      <c r="E2921" t="s">
        <v>14</v>
      </c>
      <c r="F2921" t="s">
        <v>15</v>
      </c>
      <c r="G2921">
        <v>49.65</v>
      </c>
      <c r="H2921">
        <v>2409.9</v>
      </c>
      <c r="I2921" t="s">
        <v>15</v>
      </c>
      <c r="J2921" t="s">
        <v>15</v>
      </c>
      <c r="K2921" t="s">
        <v>29</v>
      </c>
      <c r="L2921">
        <v>2409.9</v>
      </c>
      <c r="M2921" t="s">
        <v>5033</v>
      </c>
      <c r="N2921" t="s">
        <v>5031</v>
      </c>
    </row>
    <row r="2922" spans="1:14" x14ac:dyDescent="0.3">
      <c r="A2922" t="s">
        <v>2946</v>
      </c>
      <c r="B2922" t="s">
        <v>12</v>
      </c>
      <c r="C2922" t="s">
        <v>35</v>
      </c>
      <c r="D2922">
        <v>72</v>
      </c>
      <c r="E2922" t="s">
        <v>14</v>
      </c>
      <c r="F2922" t="s">
        <v>16</v>
      </c>
      <c r="G2922">
        <v>85.1</v>
      </c>
      <c r="H2922">
        <v>6155.4</v>
      </c>
      <c r="I2922" t="s">
        <v>15</v>
      </c>
      <c r="J2922" t="s">
        <v>15</v>
      </c>
      <c r="K2922" t="s">
        <v>21</v>
      </c>
      <c r="L2922">
        <v>6155.4</v>
      </c>
      <c r="M2922" t="s">
        <v>5033</v>
      </c>
      <c r="N2922" t="s">
        <v>5034</v>
      </c>
    </row>
    <row r="2923" spans="1:14" x14ac:dyDescent="0.3">
      <c r="A2923" t="s">
        <v>2947</v>
      </c>
      <c r="B2923" t="s">
        <v>19</v>
      </c>
      <c r="C2923" t="s">
        <v>13</v>
      </c>
      <c r="D2923">
        <v>9</v>
      </c>
      <c r="E2923" t="s">
        <v>26</v>
      </c>
      <c r="F2923" t="s">
        <v>15</v>
      </c>
      <c r="G2923">
        <v>95.5</v>
      </c>
      <c r="H2923">
        <v>829.1</v>
      </c>
      <c r="I2923" t="s">
        <v>16</v>
      </c>
      <c r="J2923" t="s">
        <v>16</v>
      </c>
      <c r="K2923" t="s">
        <v>17</v>
      </c>
      <c r="L2923">
        <v>829.1</v>
      </c>
      <c r="M2923" t="s">
        <v>5030</v>
      </c>
      <c r="N2923" t="s">
        <v>5031</v>
      </c>
    </row>
    <row r="2924" spans="1:14" x14ac:dyDescent="0.3">
      <c r="A2924" t="s">
        <v>2948</v>
      </c>
      <c r="B2924" t="s">
        <v>12</v>
      </c>
      <c r="C2924" t="s">
        <v>13</v>
      </c>
      <c r="D2924">
        <v>28</v>
      </c>
      <c r="E2924" t="s">
        <v>26</v>
      </c>
      <c r="F2924" t="s">
        <v>15</v>
      </c>
      <c r="G2924">
        <v>92.35</v>
      </c>
      <c r="H2924">
        <v>2602.9</v>
      </c>
      <c r="I2924" t="s">
        <v>16</v>
      </c>
      <c r="J2924" t="s">
        <v>16</v>
      </c>
      <c r="K2924" t="s">
        <v>21</v>
      </c>
      <c r="L2924">
        <v>2602.9</v>
      </c>
      <c r="M2924" t="s">
        <v>5032</v>
      </c>
      <c r="N2924" t="s">
        <v>5034</v>
      </c>
    </row>
    <row r="2925" spans="1:14" x14ac:dyDescent="0.3">
      <c r="A2925" t="s">
        <v>2949</v>
      </c>
      <c r="B2925" t="s">
        <v>19</v>
      </c>
      <c r="C2925" t="s">
        <v>13</v>
      </c>
      <c r="D2925">
        <v>54</v>
      </c>
      <c r="E2925" t="s">
        <v>26</v>
      </c>
      <c r="F2925" t="s">
        <v>15</v>
      </c>
      <c r="G2925">
        <v>89.8</v>
      </c>
      <c r="H2925">
        <v>4667</v>
      </c>
      <c r="I2925" t="s">
        <v>15</v>
      </c>
      <c r="J2925" t="s">
        <v>15</v>
      </c>
      <c r="K2925" t="s">
        <v>21</v>
      </c>
      <c r="L2925">
        <v>4667</v>
      </c>
      <c r="M2925" t="s">
        <v>5033</v>
      </c>
      <c r="N2925" t="s">
        <v>5034</v>
      </c>
    </row>
    <row r="2926" spans="1:14" x14ac:dyDescent="0.3">
      <c r="A2926" t="s">
        <v>2950</v>
      </c>
      <c r="B2926" t="s">
        <v>19</v>
      </c>
      <c r="C2926" t="s">
        <v>13</v>
      </c>
      <c r="D2926">
        <v>11</v>
      </c>
      <c r="E2926" t="s">
        <v>26</v>
      </c>
      <c r="F2926" t="s">
        <v>15</v>
      </c>
      <c r="G2926">
        <v>74.55</v>
      </c>
      <c r="H2926">
        <v>824.75</v>
      </c>
      <c r="I2926" t="s">
        <v>16</v>
      </c>
      <c r="J2926" t="s">
        <v>16</v>
      </c>
      <c r="K2926" t="s">
        <v>17</v>
      </c>
      <c r="L2926">
        <v>824.75</v>
      </c>
      <c r="M2926" t="s">
        <v>5030</v>
      </c>
      <c r="N2926" t="s">
        <v>5031</v>
      </c>
    </row>
    <row r="2927" spans="1:14" x14ac:dyDescent="0.3">
      <c r="A2927" t="s">
        <v>2951</v>
      </c>
      <c r="B2927" t="s">
        <v>12</v>
      </c>
      <c r="C2927" t="s">
        <v>20</v>
      </c>
      <c r="D2927">
        <v>50</v>
      </c>
      <c r="E2927" t="s">
        <v>26</v>
      </c>
      <c r="F2927" t="s">
        <v>16</v>
      </c>
      <c r="G2927">
        <v>103.05</v>
      </c>
      <c r="H2927">
        <v>5153.5</v>
      </c>
      <c r="I2927" t="s">
        <v>15</v>
      </c>
      <c r="J2927" t="s">
        <v>15</v>
      </c>
      <c r="K2927" t="s">
        <v>21</v>
      </c>
      <c r="L2927">
        <v>5153.5</v>
      </c>
      <c r="M2927" t="s">
        <v>5033</v>
      </c>
      <c r="N2927" t="s">
        <v>5034</v>
      </c>
    </row>
    <row r="2928" spans="1:14" x14ac:dyDescent="0.3">
      <c r="A2928" t="s">
        <v>2952</v>
      </c>
      <c r="B2928" t="s">
        <v>12</v>
      </c>
      <c r="C2928" t="s">
        <v>35</v>
      </c>
      <c r="D2928">
        <v>69</v>
      </c>
      <c r="E2928" t="s">
        <v>26</v>
      </c>
      <c r="F2928" t="s">
        <v>16</v>
      </c>
      <c r="G2928">
        <v>116</v>
      </c>
      <c r="H2928">
        <v>8182.85</v>
      </c>
      <c r="I2928" t="s">
        <v>15</v>
      </c>
      <c r="J2928" t="s">
        <v>16</v>
      </c>
      <c r="K2928" t="s">
        <v>17</v>
      </c>
      <c r="L2928">
        <v>8182.85</v>
      </c>
      <c r="M2928" t="s">
        <v>5033</v>
      </c>
      <c r="N2928" t="s">
        <v>5034</v>
      </c>
    </row>
    <row r="2929" spans="1:14" x14ac:dyDescent="0.3">
      <c r="A2929" t="s">
        <v>2953</v>
      </c>
      <c r="B2929" t="s">
        <v>19</v>
      </c>
      <c r="C2929" t="s">
        <v>13</v>
      </c>
      <c r="D2929">
        <v>1</v>
      </c>
      <c r="E2929" t="s">
        <v>26</v>
      </c>
      <c r="F2929" t="s">
        <v>15</v>
      </c>
      <c r="G2929">
        <v>69.900000000000006</v>
      </c>
      <c r="H2929">
        <v>69.900000000000006</v>
      </c>
      <c r="I2929" t="s">
        <v>15</v>
      </c>
      <c r="J2929" t="s">
        <v>16</v>
      </c>
      <c r="K2929" t="s">
        <v>17</v>
      </c>
      <c r="L2929">
        <v>69.900000000000006</v>
      </c>
      <c r="M2929" t="s">
        <v>5030</v>
      </c>
      <c r="N2929" t="s">
        <v>5031</v>
      </c>
    </row>
    <row r="2930" spans="1:14" x14ac:dyDescent="0.3">
      <c r="A2930" t="s">
        <v>2954</v>
      </c>
      <c r="B2930" t="s">
        <v>19</v>
      </c>
      <c r="C2930" t="s">
        <v>35</v>
      </c>
      <c r="D2930">
        <v>68</v>
      </c>
      <c r="E2930" t="s">
        <v>26</v>
      </c>
      <c r="F2930" t="s">
        <v>16</v>
      </c>
      <c r="G2930">
        <v>95.1</v>
      </c>
      <c r="H2930">
        <v>6683.4</v>
      </c>
      <c r="I2930" t="s">
        <v>15</v>
      </c>
      <c r="J2930" t="s">
        <v>15</v>
      </c>
      <c r="K2930" t="s">
        <v>24</v>
      </c>
      <c r="L2930">
        <v>6683.4</v>
      </c>
      <c r="M2930" t="s">
        <v>5033</v>
      </c>
      <c r="N2930" t="s">
        <v>5034</v>
      </c>
    </row>
    <row r="2931" spans="1:14" x14ac:dyDescent="0.3">
      <c r="A2931" t="s">
        <v>2955</v>
      </c>
      <c r="B2931" t="s">
        <v>19</v>
      </c>
      <c r="C2931" t="s">
        <v>20</v>
      </c>
      <c r="D2931">
        <v>40</v>
      </c>
      <c r="E2931" t="s">
        <v>14</v>
      </c>
      <c r="F2931" t="s">
        <v>16</v>
      </c>
      <c r="G2931">
        <v>40.25</v>
      </c>
      <c r="H2931">
        <v>1564.05</v>
      </c>
      <c r="I2931" t="s">
        <v>15</v>
      </c>
      <c r="J2931" t="s">
        <v>15</v>
      </c>
      <c r="K2931" t="s">
        <v>21</v>
      </c>
      <c r="L2931">
        <v>1564.05</v>
      </c>
      <c r="M2931" t="s">
        <v>5033</v>
      </c>
      <c r="N2931" t="s">
        <v>5031</v>
      </c>
    </row>
    <row r="2932" spans="1:14" x14ac:dyDescent="0.3">
      <c r="A2932" t="s">
        <v>2956</v>
      </c>
      <c r="B2932" t="s">
        <v>19</v>
      </c>
      <c r="C2932" t="s">
        <v>35</v>
      </c>
      <c r="D2932">
        <v>31</v>
      </c>
      <c r="E2932" t="s">
        <v>15</v>
      </c>
      <c r="F2932" t="s">
        <v>36</v>
      </c>
      <c r="G2932">
        <v>25.75</v>
      </c>
      <c r="H2932">
        <v>755.6</v>
      </c>
      <c r="I2932" t="s">
        <v>15</v>
      </c>
      <c r="J2932" t="s">
        <v>15</v>
      </c>
      <c r="K2932" t="s">
        <v>21</v>
      </c>
      <c r="L2932">
        <v>755.6</v>
      </c>
      <c r="M2932" t="s">
        <v>5032</v>
      </c>
      <c r="N2932" t="s">
        <v>5031</v>
      </c>
    </row>
    <row r="2933" spans="1:14" x14ac:dyDescent="0.3">
      <c r="A2933" t="s">
        <v>2957</v>
      </c>
      <c r="B2933" t="s">
        <v>12</v>
      </c>
      <c r="C2933" t="s">
        <v>13</v>
      </c>
      <c r="D2933">
        <v>33</v>
      </c>
      <c r="E2933" t="s">
        <v>26</v>
      </c>
      <c r="F2933" t="s">
        <v>15</v>
      </c>
      <c r="G2933">
        <v>105.35</v>
      </c>
      <c r="H2933">
        <v>3465.05</v>
      </c>
      <c r="I2933" t="s">
        <v>15</v>
      </c>
      <c r="J2933" t="s">
        <v>16</v>
      </c>
      <c r="K2933" t="s">
        <v>24</v>
      </c>
      <c r="L2933">
        <v>3465.05</v>
      </c>
      <c r="M2933" t="s">
        <v>5032</v>
      </c>
      <c r="N2933" t="s">
        <v>5034</v>
      </c>
    </row>
    <row r="2934" spans="1:14" x14ac:dyDescent="0.3">
      <c r="A2934" t="s">
        <v>2958</v>
      </c>
      <c r="B2934" t="s">
        <v>19</v>
      </c>
      <c r="C2934" t="s">
        <v>35</v>
      </c>
      <c r="D2934">
        <v>55</v>
      </c>
      <c r="E2934" t="s">
        <v>26</v>
      </c>
      <c r="F2934" t="s">
        <v>16</v>
      </c>
      <c r="G2934">
        <v>113.6</v>
      </c>
      <c r="H2934">
        <v>6292.7</v>
      </c>
      <c r="I2934" t="s">
        <v>15</v>
      </c>
      <c r="J2934" t="s">
        <v>16</v>
      </c>
      <c r="K2934" t="s">
        <v>17</v>
      </c>
      <c r="L2934">
        <v>6292.7</v>
      </c>
      <c r="M2934" t="s">
        <v>5033</v>
      </c>
      <c r="N2934" t="s">
        <v>5034</v>
      </c>
    </row>
    <row r="2935" spans="1:14" x14ac:dyDescent="0.3">
      <c r="A2935" t="s">
        <v>2959</v>
      </c>
      <c r="B2935" t="s">
        <v>19</v>
      </c>
      <c r="C2935" t="s">
        <v>35</v>
      </c>
      <c r="D2935">
        <v>68</v>
      </c>
      <c r="E2935" t="s">
        <v>15</v>
      </c>
      <c r="F2935" t="s">
        <v>36</v>
      </c>
      <c r="G2935">
        <v>24</v>
      </c>
      <c r="H2935">
        <v>1664.3</v>
      </c>
      <c r="I2935" t="s">
        <v>15</v>
      </c>
      <c r="J2935" t="s">
        <v>16</v>
      </c>
      <c r="K2935" t="s">
        <v>24</v>
      </c>
      <c r="L2935">
        <v>1664.3</v>
      </c>
      <c r="M2935" t="s">
        <v>5033</v>
      </c>
      <c r="N2935" t="s">
        <v>5031</v>
      </c>
    </row>
    <row r="2936" spans="1:14" x14ac:dyDescent="0.3">
      <c r="A2936" t="s">
        <v>2960</v>
      </c>
      <c r="B2936" t="s">
        <v>12</v>
      </c>
      <c r="C2936" t="s">
        <v>13</v>
      </c>
      <c r="D2936">
        <v>12</v>
      </c>
      <c r="E2936" t="s">
        <v>15</v>
      </c>
      <c r="F2936" t="s">
        <v>36</v>
      </c>
      <c r="G2936">
        <v>19.399999999999999</v>
      </c>
      <c r="H2936">
        <v>198.1</v>
      </c>
      <c r="I2936" t="s">
        <v>15</v>
      </c>
      <c r="J2936" t="s">
        <v>15</v>
      </c>
      <c r="K2936" t="s">
        <v>24</v>
      </c>
      <c r="L2936">
        <v>198.1</v>
      </c>
      <c r="M2936" t="s">
        <v>5030</v>
      </c>
      <c r="N2936" t="s">
        <v>5031</v>
      </c>
    </row>
    <row r="2937" spans="1:14" x14ac:dyDescent="0.3">
      <c r="A2937" t="s">
        <v>2961</v>
      </c>
      <c r="B2937" t="s">
        <v>19</v>
      </c>
      <c r="C2937" t="s">
        <v>35</v>
      </c>
      <c r="D2937">
        <v>71</v>
      </c>
      <c r="E2937" t="s">
        <v>14</v>
      </c>
      <c r="F2937" t="s">
        <v>16</v>
      </c>
      <c r="G2937">
        <v>86.1</v>
      </c>
      <c r="H2937">
        <v>6045.9</v>
      </c>
      <c r="I2937" t="s">
        <v>15</v>
      </c>
      <c r="J2937" t="s">
        <v>16</v>
      </c>
      <c r="K2937" t="s">
        <v>24</v>
      </c>
      <c r="L2937">
        <v>6045.9</v>
      </c>
      <c r="M2937" t="s">
        <v>5033</v>
      </c>
      <c r="N2937" t="s">
        <v>5034</v>
      </c>
    </row>
    <row r="2938" spans="1:14" x14ac:dyDescent="0.3">
      <c r="A2938" t="s">
        <v>2962</v>
      </c>
      <c r="B2938" t="s">
        <v>19</v>
      </c>
      <c r="C2938" t="s">
        <v>13</v>
      </c>
      <c r="D2938">
        <v>40</v>
      </c>
      <c r="E2938" t="s">
        <v>26</v>
      </c>
      <c r="F2938" t="s">
        <v>15</v>
      </c>
      <c r="G2938">
        <v>102.65</v>
      </c>
      <c r="H2938">
        <v>4108.1499999999996</v>
      </c>
      <c r="I2938" t="s">
        <v>15</v>
      </c>
      <c r="J2938" t="s">
        <v>16</v>
      </c>
      <c r="K2938" t="s">
        <v>21</v>
      </c>
      <c r="L2938">
        <v>4108.1499999999996</v>
      </c>
      <c r="M2938" t="s">
        <v>5033</v>
      </c>
      <c r="N2938" t="s">
        <v>5034</v>
      </c>
    </row>
    <row r="2939" spans="1:14" x14ac:dyDescent="0.3">
      <c r="A2939" t="s">
        <v>2963</v>
      </c>
      <c r="B2939" t="s">
        <v>12</v>
      </c>
      <c r="C2939" t="s">
        <v>20</v>
      </c>
      <c r="D2939">
        <v>64</v>
      </c>
      <c r="E2939" t="s">
        <v>26</v>
      </c>
      <c r="F2939" t="s">
        <v>15</v>
      </c>
      <c r="G2939">
        <v>92.85</v>
      </c>
      <c r="H2939">
        <v>5980.75</v>
      </c>
      <c r="I2939" t="s">
        <v>15</v>
      </c>
      <c r="J2939" t="s">
        <v>16</v>
      </c>
      <c r="K2939" t="s">
        <v>17</v>
      </c>
      <c r="L2939">
        <v>5980.75</v>
      </c>
      <c r="M2939" t="s">
        <v>5033</v>
      </c>
      <c r="N2939" t="s">
        <v>5034</v>
      </c>
    </row>
    <row r="2940" spans="1:14" x14ac:dyDescent="0.3">
      <c r="A2940" t="s">
        <v>2964</v>
      </c>
      <c r="B2940" t="s">
        <v>19</v>
      </c>
      <c r="C2940" t="s">
        <v>20</v>
      </c>
      <c r="D2940">
        <v>53</v>
      </c>
      <c r="E2940" t="s">
        <v>26</v>
      </c>
      <c r="F2940" t="s">
        <v>16</v>
      </c>
      <c r="G2940">
        <v>97.75</v>
      </c>
      <c r="H2940">
        <v>5043.2</v>
      </c>
      <c r="I2940" t="s">
        <v>15</v>
      </c>
      <c r="J2940" t="s">
        <v>15</v>
      </c>
      <c r="K2940" t="s">
        <v>24</v>
      </c>
      <c r="L2940">
        <v>5043.2</v>
      </c>
      <c r="M2940" t="s">
        <v>5033</v>
      </c>
      <c r="N2940" t="s">
        <v>5034</v>
      </c>
    </row>
    <row r="2941" spans="1:14" x14ac:dyDescent="0.3">
      <c r="A2941" t="s">
        <v>2965</v>
      </c>
      <c r="B2941" t="s">
        <v>19</v>
      </c>
      <c r="C2941" t="s">
        <v>13</v>
      </c>
      <c r="D2941">
        <v>12</v>
      </c>
      <c r="E2941" t="s">
        <v>26</v>
      </c>
      <c r="F2941" t="s">
        <v>16</v>
      </c>
      <c r="G2941">
        <v>83.8</v>
      </c>
      <c r="H2941">
        <v>1029.75</v>
      </c>
      <c r="I2941" t="s">
        <v>16</v>
      </c>
      <c r="J2941" t="s">
        <v>16</v>
      </c>
      <c r="K2941" t="s">
        <v>21</v>
      </c>
      <c r="L2941">
        <v>1029.75</v>
      </c>
      <c r="M2941" t="s">
        <v>5030</v>
      </c>
      <c r="N2941" t="s">
        <v>5031</v>
      </c>
    </row>
    <row r="2942" spans="1:14" x14ac:dyDescent="0.3">
      <c r="A2942" t="s">
        <v>2966</v>
      </c>
      <c r="B2942" t="s">
        <v>19</v>
      </c>
      <c r="C2942" t="s">
        <v>13</v>
      </c>
      <c r="D2942">
        <v>53</v>
      </c>
      <c r="E2942" t="s">
        <v>14</v>
      </c>
      <c r="F2942" t="s">
        <v>15</v>
      </c>
      <c r="G2942">
        <v>54.45</v>
      </c>
      <c r="H2942">
        <v>2854.55</v>
      </c>
      <c r="I2942" t="s">
        <v>16</v>
      </c>
      <c r="J2942" t="s">
        <v>16</v>
      </c>
      <c r="K2942" t="s">
        <v>17</v>
      </c>
      <c r="L2942">
        <v>2854.55</v>
      </c>
      <c r="M2942" t="s">
        <v>5033</v>
      </c>
      <c r="N2942" t="s">
        <v>5034</v>
      </c>
    </row>
    <row r="2943" spans="1:14" x14ac:dyDescent="0.3">
      <c r="A2943" t="s">
        <v>2967</v>
      </c>
      <c r="B2943" t="s">
        <v>19</v>
      </c>
      <c r="C2943" t="s">
        <v>35</v>
      </c>
      <c r="D2943">
        <v>72</v>
      </c>
      <c r="E2943" t="s">
        <v>26</v>
      </c>
      <c r="F2943" t="s">
        <v>15</v>
      </c>
      <c r="G2943">
        <v>97.95</v>
      </c>
      <c r="H2943">
        <v>7114.25</v>
      </c>
      <c r="I2943" t="s">
        <v>15</v>
      </c>
      <c r="J2943" t="s">
        <v>16</v>
      </c>
      <c r="K2943" t="s">
        <v>29</v>
      </c>
      <c r="L2943">
        <v>7114.25</v>
      </c>
      <c r="M2943" t="s">
        <v>5033</v>
      </c>
      <c r="N2943" t="s">
        <v>5034</v>
      </c>
    </row>
    <row r="2944" spans="1:14" x14ac:dyDescent="0.3">
      <c r="A2944" t="s">
        <v>2968</v>
      </c>
      <c r="B2944" t="s">
        <v>19</v>
      </c>
      <c r="C2944" t="s">
        <v>35</v>
      </c>
      <c r="D2944">
        <v>46</v>
      </c>
      <c r="E2944" t="s">
        <v>15</v>
      </c>
      <c r="F2944" t="s">
        <v>36</v>
      </c>
      <c r="G2944">
        <v>19.95</v>
      </c>
      <c r="H2944">
        <v>907.05</v>
      </c>
      <c r="I2944" t="s">
        <v>15</v>
      </c>
      <c r="J2944" t="s">
        <v>15</v>
      </c>
      <c r="K2944" t="s">
        <v>17</v>
      </c>
      <c r="L2944">
        <v>907.05</v>
      </c>
      <c r="M2944" t="s">
        <v>5033</v>
      </c>
      <c r="N2944" t="s">
        <v>5031</v>
      </c>
    </row>
    <row r="2945" spans="1:14" x14ac:dyDescent="0.3">
      <c r="A2945" t="s">
        <v>2969</v>
      </c>
      <c r="B2945" t="s">
        <v>19</v>
      </c>
      <c r="C2945" t="s">
        <v>35</v>
      </c>
      <c r="D2945">
        <v>40</v>
      </c>
      <c r="E2945" t="s">
        <v>15</v>
      </c>
      <c r="F2945" t="s">
        <v>36</v>
      </c>
      <c r="G2945">
        <v>24.6</v>
      </c>
      <c r="H2945">
        <v>973.95</v>
      </c>
      <c r="I2945" t="s">
        <v>15</v>
      </c>
      <c r="J2945" t="s">
        <v>16</v>
      </c>
      <c r="K2945" t="s">
        <v>21</v>
      </c>
      <c r="L2945">
        <v>973.95</v>
      </c>
      <c r="M2945" t="s">
        <v>5033</v>
      </c>
      <c r="N2945" t="s">
        <v>5031</v>
      </c>
    </row>
    <row r="2946" spans="1:14" x14ac:dyDescent="0.3">
      <c r="A2946" t="s">
        <v>2970</v>
      </c>
      <c r="B2946" t="s">
        <v>19</v>
      </c>
      <c r="C2946" t="s">
        <v>13</v>
      </c>
      <c r="D2946">
        <v>12</v>
      </c>
      <c r="E2946" t="s">
        <v>14</v>
      </c>
      <c r="F2946" t="s">
        <v>16</v>
      </c>
      <c r="G2946">
        <v>50.95</v>
      </c>
      <c r="H2946">
        <v>605.75</v>
      </c>
      <c r="I2946" t="s">
        <v>15</v>
      </c>
      <c r="J2946" t="s">
        <v>16</v>
      </c>
      <c r="K2946" t="s">
        <v>24</v>
      </c>
      <c r="L2946">
        <v>605.75</v>
      </c>
      <c r="M2946" t="s">
        <v>5030</v>
      </c>
      <c r="N2946" t="s">
        <v>5031</v>
      </c>
    </row>
    <row r="2947" spans="1:14" x14ac:dyDescent="0.3">
      <c r="A2947" t="s">
        <v>2971</v>
      </c>
      <c r="B2947" t="s">
        <v>19</v>
      </c>
      <c r="C2947" t="s">
        <v>13</v>
      </c>
      <c r="D2947">
        <v>9</v>
      </c>
      <c r="E2947" t="s">
        <v>26</v>
      </c>
      <c r="F2947" t="s">
        <v>15</v>
      </c>
      <c r="G2947">
        <v>75.599999999999994</v>
      </c>
      <c r="H2947">
        <v>661.55</v>
      </c>
      <c r="I2947" t="s">
        <v>15</v>
      </c>
      <c r="J2947" t="s">
        <v>15</v>
      </c>
      <c r="K2947" t="s">
        <v>17</v>
      </c>
      <c r="L2947">
        <v>661.55</v>
      </c>
      <c r="M2947" t="s">
        <v>5030</v>
      </c>
      <c r="N2947" t="s">
        <v>5031</v>
      </c>
    </row>
    <row r="2948" spans="1:14" x14ac:dyDescent="0.3">
      <c r="A2948" t="s">
        <v>2972</v>
      </c>
      <c r="B2948" t="s">
        <v>12</v>
      </c>
      <c r="C2948" t="s">
        <v>13</v>
      </c>
      <c r="D2948">
        <v>51</v>
      </c>
      <c r="E2948" t="s">
        <v>26</v>
      </c>
      <c r="F2948" t="s">
        <v>16</v>
      </c>
      <c r="G2948">
        <v>80.75</v>
      </c>
      <c r="H2948">
        <v>4116.8999999999996</v>
      </c>
      <c r="I2948" t="s">
        <v>15</v>
      </c>
      <c r="J2948" t="s">
        <v>16</v>
      </c>
      <c r="K2948" t="s">
        <v>17</v>
      </c>
      <c r="L2948">
        <v>4116.8999999999996</v>
      </c>
      <c r="M2948" t="s">
        <v>5033</v>
      </c>
      <c r="N2948" t="s">
        <v>5034</v>
      </c>
    </row>
    <row r="2949" spans="1:14" x14ac:dyDescent="0.3">
      <c r="A2949" t="s">
        <v>2973</v>
      </c>
      <c r="B2949" t="s">
        <v>19</v>
      </c>
      <c r="C2949" t="s">
        <v>13</v>
      </c>
      <c r="D2949">
        <v>49</v>
      </c>
      <c r="E2949" t="s">
        <v>26</v>
      </c>
      <c r="F2949" t="s">
        <v>15</v>
      </c>
      <c r="G2949">
        <v>90.4</v>
      </c>
      <c r="H2949">
        <v>4494.6499999999996</v>
      </c>
      <c r="I2949" t="s">
        <v>15</v>
      </c>
      <c r="J2949" t="s">
        <v>16</v>
      </c>
      <c r="K2949" t="s">
        <v>29</v>
      </c>
      <c r="L2949">
        <v>4494.6499999999996</v>
      </c>
      <c r="M2949" t="s">
        <v>5033</v>
      </c>
      <c r="N2949" t="s">
        <v>5034</v>
      </c>
    </row>
    <row r="2950" spans="1:14" x14ac:dyDescent="0.3">
      <c r="A2950" t="s">
        <v>2974</v>
      </c>
      <c r="B2950" t="s">
        <v>19</v>
      </c>
      <c r="C2950" t="s">
        <v>13</v>
      </c>
      <c r="D2950">
        <v>41</v>
      </c>
      <c r="E2950" t="s">
        <v>26</v>
      </c>
      <c r="F2950" t="s">
        <v>15</v>
      </c>
      <c r="G2950">
        <v>99.8</v>
      </c>
      <c r="H2950">
        <v>4259.3</v>
      </c>
      <c r="I2950" t="s">
        <v>16</v>
      </c>
      <c r="J2950" t="s">
        <v>16</v>
      </c>
      <c r="K2950" t="s">
        <v>17</v>
      </c>
      <c r="L2950">
        <v>4259.3</v>
      </c>
      <c r="M2950" t="s">
        <v>5033</v>
      </c>
      <c r="N2950" t="s">
        <v>5034</v>
      </c>
    </row>
    <row r="2951" spans="1:14" x14ac:dyDescent="0.3">
      <c r="A2951" t="s">
        <v>2975</v>
      </c>
      <c r="B2951" t="s">
        <v>12</v>
      </c>
      <c r="C2951" t="s">
        <v>20</v>
      </c>
      <c r="D2951">
        <v>56</v>
      </c>
      <c r="E2951" t="s">
        <v>14</v>
      </c>
      <c r="F2951" t="s">
        <v>16</v>
      </c>
      <c r="G2951">
        <v>60.25</v>
      </c>
      <c r="H2951">
        <v>3282.75</v>
      </c>
      <c r="I2951" t="s">
        <v>15</v>
      </c>
      <c r="J2951" t="s">
        <v>16</v>
      </c>
      <c r="K2951" t="s">
        <v>29</v>
      </c>
      <c r="L2951">
        <v>3282.75</v>
      </c>
      <c r="M2951" t="s">
        <v>5033</v>
      </c>
      <c r="N2951" t="s">
        <v>5034</v>
      </c>
    </row>
    <row r="2952" spans="1:14" x14ac:dyDescent="0.3">
      <c r="A2952" t="s">
        <v>2976</v>
      </c>
      <c r="B2952" t="s">
        <v>19</v>
      </c>
      <c r="C2952" t="s">
        <v>13</v>
      </c>
      <c r="D2952">
        <v>4</v>
      </c>
      <c r="E2952" t="s">
        <v>15</v>
      </c>
      <c r="F2952" t="s">
        <v>36</v>
      </c>
      <c r="G2952">
        <v>20.2</v>
      </c>
      <c r="H2952">
        <v>55.7</v>
      </c>
      <c r="I2952" t="s">
        <v>15</v>
      </c>
      <c r="J2952" t="s">
        <v>16</v>
      </c>
      <c r="K2952" t="s">
        <v>17</v>
      </c>
      <c r="L2952">
        <v>55.7</v>
      </c>
      <c r="M2952" t="s">
        <v>5030</v>
      </c>
      <c r="N2952" t="s">
        <v>5031</v>
      </c>
    </row>
    <row r="2953" spans="1:14" x14ac:dyDescent="0.3">
      <c r="A2953" t="s">
        <v>2977</v>
      </c>
      <c r="B2953" t="s">
        <v>19</v>
      </c>
      <c r="C2953" t="s">
        <v>20</v>
      </c>
      <c r="D2953">
        <v>20</v>
      </c>
      <c r="E2953" t="s">
        <v>14</v>
      </c>
      <c r="F2953" t="s">
        <v>16</v>
      </c>
      <c r="G2953">
        <v>64.150000000000006</v>
      </c>
      <c r="H2953">
        <v>1274.45</v>
      </c>
      <c r="I2953" t="s">
        <v>15</v>
      </c>
      <c r="J2953" t="s">
        <v>16</v>
      </c>
      <c r="K2953" t="s">
        <v>21</v>
      </c>
      <c r="L2953">
        <v>1274.45</v>
      </c>
      <c r="M2953" t="s">
        <v>5032</v>
      </c>
      <c r="N2953" t="s">
        <v>5031</v>
      </c>
    </row>
    <row r="2954" spans="1:14" x14ac:dyDescent="0.3">
      <c r="A2954" t="s">
        <v>2978</v>
      </c>
      <c r="B2954" t="s">
        <v>12</v>
      </c>
      <c r="C2954" t="s">
        <v>13</v>
      </c>
      <c r="D2954">
        <v>26</v>
      </c>
      <c r="E2954" t="s">
        <v>15</v>
      </c>
      <c r="F2954" t="s">
        <v>36</v>
      </c>
      <c r="G2954">
        <v>20.25</v>
      </c>
      <c r="H2954">
        <v>493.95</v>
      </c>
      <c r="I2954" t="s">
        <v>15</v>
      </c>
      <c r="J2954" t="s">
        <v>16</v>
      </c>
      <c r="K2954" t="s">
        <v>29</v>
      </c>
      <c r="L2954">
        <v>493.95</v>
      </c>
      <c r="M2954" t="s">
        <v>5032</v>
      </c>
      <c r="N2954" t="s">
        <v>5031</v>
      </c>
    </row>
    <row r="2955" spans="1:14" x14ac:dyDescent="0.3">
      <c r="A2955" t="s">
        <v>2979</v>
      </c>
      <c r="B2955" t="s">
        <v>12</v>
      </c>
      <c r="C2955" t="s">
        <v>13</v>
      </c>
      <c r="D2955">
        <v>20</v>
      </c>
      <c r="E2955" t="s">
        <v>26</v>
      </c>
      <c r="F2955" t="s">
        <v>15</v>
      </c>
      <c r="G2955">
        <v>105.85</v>
      </c>
      <c r="H2955">
        <v>2239.65</v>
      </c>
      <c r="I2955" t="s">
        <v>16</v>
      </c>
      <c r="J2955" t="s">
        <v>16</v>
      </c>
      <c r="K2955" t="s">
        <v>24</v>
      </c>
      <c r="L2955">
        <v>2239.65</v>
      </c>
      <c r="M2955" t="s">
        <v>5032</v>
      </c>
      <c r="N2955" t="s">
        <v>5031</v>
      </c>
    </row>
    <row r="2956" spans="1:14" x14ac:dyDescent="0.3">
      <c r="A2956" t="s">
        <v>2980</v>
      </c>
      <c r="B2956" t="s">
        <v>12</v>
      </c>
      <c r="C2956" t="s">
        <v>13</v>
      </c>
      <c r="D2956">
        <v>7</v>
      </c>
      <c r="E2956" t="s">
        <v>26</v>
      </c>
      <c r="F2956" t="s">
        <v>15</v>
      </c>
      <c r="G2956">
        <v>75.45</v>
      </c>
      <c r="H2956">
        <v>480.75</v>
      </c>
      <c r="I2956" t="s">
        <v>16</v>
      </c>
      <c r="J2956" t="s">
        <v>15</v>
      </c>
      <c r="K2956" t="s">
        <v>21</v>
      </c>
      <c r="L2956">
        <v>480.75</v>
      </c>
      <c r="M2956" t="s">
        <v>5030</v>
      </c>
      <c r="N2956" t="s">
        <v>5031</v>
      </c>
    </row>
    <row r="2957" spans="1:14" x14ac:dyDescent="0.3">
      <c r="A2957" t="s">
        <v>2981</v>
      </c>
      <c r="B2957" t="s">
        <v>19</v>
      </c>
      <c r="C2957" t="s">
        <v>13</v>
      </c>
      <c r="D2957">
        <v>7</v>
      </c>
      <c r="E2957" t="s">
        <v>26</v>
      </c>
      <c r="F2957" t="s">
        <v>15</v>
      </c>
      <c r="G2957">
        <v>93.85</v>
      </c>
      <c r="H2957">
        <v>635.6</v>
      </c>
      <c r="I2957" t="s">
        <v>16</v>
      </c>
      <c r="J2957" t="s">
        <v>16</v>
      </c>
      <c r="K2957" t="s">
        <v>17</v>
      </c>
      <c r="L2957">
        <v>635.6</v>
      </c>
      <c r="M2957" t="s">
        <v>5030</v>
      </c>
      <c r="N2957" t="s">
        <v>5031</v>
      </c>
    </row>
    <row r="2958" spans="1:14" x14ac:dyDescent="0.3">
      <c r="A2958" t="s">
        <v>2982</v>
      </c>
      <c r="B2958" t="s">
        <v>19</v>
      </c>
      <c r="C2958" t="s">
        <v>13</v>
      </c>
      <c r="D2958">
        <v>51</v>
      </c>
      <c r="E2958" t="s">
        <v>26</v>
      </c>
      <c r="F2958" t="s">
        <v>15</v>
      </c>
      <c r="G2958">
        <v>99</v>
      </c>
      <c r="H2958">
        <v>5038.1499999999996</v>
      </c>
      <c r="I2958" t="s">
        <v>15</v>
      </c>
      <c r="J2958" t="s">
        <v>16</v>
      </c>
      <c r="K2958" t="s">
        <v>17</v>
      </c>
      <c r="L2958">
        <v>5038.1499999999996</v>
      </c>
      <c r="M2958" t="s">
        <v>5033</v>
      </c>
      <c r="N2958" t="s">
        <v>5034</v>
      </c>
    </row>
    <row r="2959" spans="1:14" x14ac:dyDescent="0.3">
      <c r="A2959" t="s">
        <v>2983</v>
      </c>
      <c r="B2959" t="s">
        <v>12</v>
      </c>
      <c r="C2959" t="s">
        <v>13</v>
      </c>
      <c r="D2959">
        <v>4</v>
      </c>
      <c r="E2959" t="s">
        <v>26</v>
      </c>
      <c r="F2959" t="s">
        <v>15</v>
      </c>
      <c r="G2959">
        <v>80.3</v>
      </c>
      <c r="H2959">
        <v>324.2</v>
      </c>
      <c r="I2959" t="s">
        <v>15</v>
      </c>
      <c r="J2959" t="s">
        <v>16</v>
      </c>
      <c r="K2959" t="s">
        <v>21</v>
      </c>
      <c r="L2959">
        <v>324.2</v>
      </c>
      <c r="M2959" t="s">
        <v>5030</v>
      </c>
      <c r="N2959" t="s">
        <v>5031</v>
      </c>
    </row>
    <row r="2960" spans="1:14" x14ac:dyDescent="0.3">
      <c r="A2960" t="s">
        <v>2984</v>
      </c>
      <c r="B2960" t="s">
        <v>12</v>
      </c>
      <c r="C2960" t="s">
        <v>13</v>
      </c>
      <c r="D2960">
        <v>1</v>
      </c>
      <c r="E2960" t="s">
        <v>15</v>
      </c>
      <c r="F2960" t="s">
        <v>36</v>
      </c>
      <c r="G2960">
        <v>19.55</v>
      </c>
      <c r="H2960">
        <v>19.55</v>
      </c>
      <c r="I2960" t="s">
        <v>15</v>
      </c>
      <c r="J2960" t="s">
        <v>15</v>
      </c>
      <c r="K2960" t="s">
        <v>29</v>
      </c>
      <c r="L2960">
        <v>19.55</v>
      </c>
      <c r="M2960" t="s">
        <v>5030</v>
      </c>
      <c r="N2960" t="s">
        <v>5031</v>
      </c>
    </row>
    <row r="2961" spans="1:14" x14ac:dyDescent="0.3">
      <c r="A2961" t="s">
        <v>2985</v>
      </c>
      <c r="B2961" t="s">
        <v>19</v>
      </c>
      <c r="C2961" t="s">
        <v>13</v>
      </c>
      <c r="D2961">
        <v>27</v>
      </c>
      <c r="E2961" t="s">
        <v>26</v>
      </c>
      <c r="F2961" t="s">
        <v>16</v>
      </c>
      <c r="G2961">
        <v>100.75</v>
      </c>
      <c r="H2961">
        <v>2793.55</v>
      </c>
      <c r="I2961" t="s">
        <v>15</v>
      </c>
      <c r="J2961" t="s">
        <v>15</v>
      </c>
      <c r="K2961" t="s">
        <v>17</v>
      </c>
      <c r="L2961">
        <v>2793.55</v>
      </c>
      <c r="M2961" t="s">
        <v>5032</v>
      </c>
      <c r="N2961" t="s">
        <v>5034</v>
      </c>
    </row>
    <row r="2962" spans="1:14" x14ac:dyDescent="0.3">
      <c r="A2962" t="s">
        <v>2986</v>
      </c>
      <c r="B2962" t="s">
        <v>19</v>
      </c>
      <c r="C2962" t="s">
        <v>13</v>
      </c>
      <c r="D2962">
        <v>22</v>
      </c>
      <c r="E2962" t="s">
        <v>26</v>
      </c>
      <c r="F2962" t="s">
        <v>15</v>
      </c>
      <c r="G2962">
        <v>100.75</v>
      </c>
      <c r="H2962">
        <v>2095</v>
      </c>
      <c r="I2962" t="s">
        <v>16</v>
      </c>
      <c r="J2962" t="s">
        <v>16</v>
      </c>
      <c r="K2962" t="s">
        <v>17</v>
      </c>
      <c r="L2962">
        <v>2095</v>
      </c>
      <c r="M2962" t="s">
        <v>5032</v>
      </c>
      <c r="N2962" t="s">
        <v>5031</v>
      </c>
    </row>
    <row r="2963" spans="1:14" x14ac:dyDescent="0.3">
      <c r="A2963" t="s">
        <v>2987</v>
      </c>
      <c r="B2963" t="s">
        <v>19</v>
      </c>
      <c r="C2963" t="s">
        <v>13</v>
      </c>
      <c r="D2963">
        <v>12</v>
      </c>
      <c r="E2963" t="s">
        <v>14</v>
      </c>
      <c r="F2963" t="s">
        <v>16</v>
      </c>
      <c r="G2963">
        <v>53.75</v>
      </c>
      <c r="H2963">
        <v>648.65</v>
      </c>
      <c r="I2963" t="s">
        <v>15</v>
      </c>
      <c r="J2963" t="s">
        <v>16</v>
      </c>
      <c r="K2963" t="s">
        <v>21</v>
      </c>
      <c r="L2963">
        <v>648.65</v>
      </c>
      <c r="M2963" t="s">
        <v>5030</v>
      </c>
      <c r="N2963" t="s">
        <v>5031</v>
      </c>
    </row>
    <row r="2964" spans="1:14" x14ac:dyDescent="0.3">
      <c r="A2964" t="s">
        <v>2988</v>
      </c>
      <c r="B2964" t="s">
        <v>12</v>
      </c>
      <c r="C2964" t="s">
        <v>13</v>
      </c>
      <c r="D2964">
        <v>3</v>
      </c>
      <c r="E2964" t="s">
        <v>14</v>
      </c>
      <c r="F2964" t="s">
        <v>16</v>
      </c>
      <c r="G2964">
        <v>31</v>
      </c>
      <c r="H2964">
        <v>95.05</v>
      </c>
      <c r="I2964" t="s">
        <v>16</v>
      </c>
      <c r="J2964" t="s">
        <v>16</v>
      </c>
      <c r="K2964" t="s">
        <v>21</v>
      </c>
      <c r="L2964">
        <v>95.05</v>
      </c>
      <c r="M2964" t="s">
        <v>5030</v>
      </c>
      <c r="N2964" t="s">
        <v>5031</v>
      </c>
    </row>
    <row r="2965" spans="1:14" x14ac:dyDescent="0.3">
      <c r="A2965" t="s">
        <v>2989</v>
      </c>
      <c r="B2965" t="s">
        <v>12</v>
      </c>
      <c r="C2965" t="s">
        <v>20</v>
      </c>
      <c r="D2965">
        <v>34</v>
      </c>
      <c r="E2965" t="s">
        <v>15</v>
      </c>
      <c r="F2965" t="s">
        <v>36</v>
      </c>
      <c r="G2965">
        <v>25.6</v>
      </c>
      <c r="H2965">
        <v>917.15</v>
      </c>
      <c r="I2965" t="s">
        <v>15</v>
      </c>
      <c r="J2965" t="s">
        <v>16</v>
      </c>
      <c r="K2965" t="s">
        <v>29</v>
      </c>
      <c r="L2965">
        <v>917.15</v>
      </c>
      <c r="M2965" t="s">
        <v>5032</v>
      </c>
      <c r="N2965" t="s">
        <v>5031</v>
      </c>
    </row>
    <row r="2966" spans="1:14" x14ac:dyDescent="0.3">
      <c r="A2966" t="s">
        <v>2990</v>
      </c>
      <c r="B2966" t="s">
        <v>19</v>
      </c>
      <c r="C2966" t="s">
        <v>20</v>
      </c>
      <c r="D2966">
        <v>24</v>
      </c>
      <c r="E2966" t="s">
        <v>14</v>
      </c>
      <c r="F2966" t="s">
        <v>16</v>
      </c>
      <c r="G2966">
        <v>58.35</v>
      </c>
      <c r="H2966">
        <v>1346.9</v>
      </c>
      <c r="I2966" t="s">
        <v>15</v>
      </c>
      <c r="J2966" t="s">
        <v>16</v>
      </c>
      <c r="K2966" t="s">
        <v>17</v>
      </c>
      <c r="L2966">
        <v>1346.9</v>
      </c>
      <c r="M2966" t="s">
        <v>5032</v>
      </c>
      <c r="N2966" t="s">
        <v>5031</v>
      </c>
    </row>
    <row r="2967" spans="1:14" x14ac:dyDescent="0.3">
      <c r="A2967" t="s">
        <v>2991</v>
      </c>
      <c r="B2967" t="s">
        <v>19</v>
      </c>
      <c r="C2967" t="s">
        <v>13</v>
      </c>
      <c r="D2967">
        <v>51</v>
      </c>
      <c r="E2967" t="s">
        <v>26</v>
      </c>
      <c r="F2967" t="s">
        <v>15</v>
      </c>
      <c r="G2967">
        <v>80</v>
      </c>
      <c r="H2967">
        <v>4242.3500000000004</v>
      </c>
      <c r="I2967" t="s">
        <v>16</v>
      </c>
      <c r="J2967" t="s">
        <v>15</v>
      </c>
      <c r="K2967" t="s">
        <v>29</v>
      </c>
      <c r="L2967">
        <v>4242.3500000000004</v>
      </c>
      <c r="M2967" t="s">
        <v>5033</v>
      </c>
      <c r="N2967" t="s">
        <v>5034</v>
      </c>
    </row>
    <row r="2968" spans="1:14" x14ac:dyDescent="0.3">
      <c r="A2968" t="s">
        <v>2992</v>
      </c>
      <c r="B2968" t="s">
        <v>12</v>
      </c>
      <c r="C2968" t="s">
        <v>13</v>
      </c>
      <c r="D2968">
        <v>14</v>
      </c>
      <c r="E2968" t="s">
        <v>14</v>
      </c>
      <c r="F2968" t="s">
        <v>15</v>
      </c>
      <c r="G2968">
        <v>46.35</v>
      </c>
      <c r="H2968">
        <v>672.7</v>
      </c>
      <c r="I2968" t="s">
        <v>15</v>
      </c>
      <c r="J2968" t="s">
        <v>16</v>
      </c>
      <c r="K2968" t="s">
        <v>17</v>
      </c>
      <c r="L2968">
        <v>672.7</v>
      </c>
      <c r="M2968" t="s">
        <v>5032</v>
      </c>
      <c r="N2968" t="s">
        <v>5031</v>
      </c>
    </row>
    <row r="2969" spans="1:14" x14ac:dyDescent="0.3">
      <c r="A2969" t="s">
        <v>2993</v>
      </c>
      <c r="B2969" t="s">
        <v>19</v>
      </c>
      <c r="C2969" t="s">
        <v>35</v>
      </c>
      <c r="D2969">
        <v>59</v>
      </c>
      <c r="E2969" t="s">
        <v>26</v>
      </c>
      <c r="F2969" t="s">
        <v>16</v>
      </c>
      <c r="G2969">
        <v>113.75</v>
      </c>
      <c r="H2969">
        <v>6561.25</v>
      </c>
      <c r="I2969" t="s">
        <v>15</v>
      </c>
      <c r="J2969" t="s">
        <v>15</v>
      </c>
      <c r="K2969" t="s">
        <v>17</v>
      </c>
      <c r="L2969">
        <v>6561.25</v>
      </c>
      <c r="M2969" t="s">
        <v>5033</v>
      </c>
      <c r="N2969" t="s">
        <v>5034</v>
      </c>
    </row>
    <row r="2970" spans="1:14" x14ac:dyDescent="0.3">
      <c r="A2970" t="s">
        <v>2994</v>
      </c>
      <c r="B2970" t="s">
        <v>19</v>
      </c>
      <c r="C2970" t="s">
        <v>13</v>
      </c>
      <c r="D2970">
        <v>3</v>
      </c>
      <c r="E2970" t="s">
        <v>26</v>
      </c>
      <c r="F2970" t="s">
        <v>15</v>
      </c>
      <c r="G2970">
        <v>90.4</v>
      </c>
      <c r="H2970">
        <v>268.45</v>
      </c>
      <c r="I2970" t="s">
        <v>15</v>
      </c>
      <c r="J2970" t="s">
        <v>15</v>
      </c>
      <c r="K2970" t="s">
        <v>17</v>
      </c>
      <c r="L2970">
        <v>268.45</v>
      </c>
      <c r="M2970" t="s">
        <v>5030</v>
      </c>
      <c r="N2970" t="s">
        <v>5031</v>
      </c>
    </row>
    <row r="2971" spans="1:14" x14ac:dyDescent="0.3">
      <c r="A2971" t="s">
        <v>2995</v>
      </c>
      <c r="B2971" t="s">
        <v>12</v>
      </c>
      <c r="C2971" t="s">
        <v>35</v>
      </c>
      <c r="D2971">
        <v>65</v>
      </c>
      <c r="E2971" t="s">
        <v>26</v>
      </c>
      <c r="F2971" t="s">
        <v>16</v>
      </c>
      <c r="G2971">
        <v>109.3</v>
      </c>
      <c r="H2971">
        <v>7337.55</v>
      </c>
      <c r="I2971" t="s">
        <v>15</v>
      </c>
      <c r="J2971" t="s">
        <v>15</v>
      </c>
      <c r="K2971" t="s">
        <v>17</v>
      </c>
      <c r="L2971">
        <v>7337.55</v>
      </c>
      <c r="M2971" t="s">
        <v>5033</v>
      </c>
      <c r="N2971" t="s">
        <v>5034</v>
      </c>
    </row>
    <row r="2972" spans="1:14" x14ac:dyDescent="0.3">
      <c r="A2972" t="s">
        <v>2996</v>
      </c>
      <c r="B2972" t="s">
        <v>19</v>
      </c>
      <c r="C2972" t="s">
        <v>13</v>
      </c>
      <c r="D2972">
        <v>5</v>
      </c>
      <c r="E2972" t="s">
        <v>26</v>
      </c>
      <c r="F2972" t="s">
        <v>15</v>
      </c>
      <c r="G2972">
        <v>70.25</v>
      </c>
      <c r="H2972">
        <v>331.9</v>
      </c>
      <c r="I2972" t="s">
        <v>16</v>
      </c>
      <c r="J2972" t="s">
        <v>16</v>
      </c>
      <c r="K2972" t="s">
        <v>21</v>
      </c>
      <c r="L2972">
        <v>331.9</v>
      </c>
      <c r="M2972" t="s">
        <v>5030</v>
      </c>
      <c r="N2972" t="s">
        <v>5031</v>
      </c>
    </row>
    <row r="2973" spans="1:14" x14ac:dyDescent="0.3">
      <c r="A2973" t="s">
        <v>2997</v>
      </c>
      <c r="B2973" t="s">
        <v>12</v>
      </c>
      <c r="C2973" t="s">
        <v>35</v>
      </c>
      <c r="D2973">
        <v>59</v>
      </c>
      <c r="E2973" t="s">
        <v>14</v>
      </c>
      <c r="F2973" t="s">
        <v>16</v>
      </c>
      <c r="G2973">
        <v>90.3</v>
      </c>
      <c r="H2973">
        <v>5194.05</v>
      </c>
      <c r="I2973" t="s">
        <v>15</v>
      </c>
      <c r="J2973" t="s">
        <v>15</v>
      </c>
      <c r="K2973" t="s">
        <v>29</v>
      </c>
      <c r="L2973">
        <v>5194.05</v>
      </c>
      <c r="M2973" t="s">
        <v>5033</v>
      </c>
      <c r="N2973" t="s">
        <v>5034</v>
      </c>
    </row>
    <row r="2974" spans="1:14" x14ac:dyDescent="0.3">
      <c r="A2974" t="s">
        <v>2998</v>
      </c>
      <c r="B2974" t="s">
        <v>19</v>
      </c>
      <c r="C2974" t="s">
        <v>35</v>
      </c>
      <c r="D2974">
        <v>72</v>
      </c>
      <c r="E2974" t="s">
        <v>14</v>
      </c>
      <c r="F2974" t="s">
        <v>16</v>
      </c>
      <c r="G2974">
        <v>65.25</v>
      </c>
      <c r="H2974">
        <v>4478.8500000000004</v>
      </c>
      <c r="I2974" t="s">
        <v>15</v>
      </c>
      <c r="J2974" t="s">
        <v>16</v>
      </c>
      <c r="K2974" t="s">
        <v>29</v>
      </c>
      <c r="L2974">
        <v>4478.8500000000004</v>
      </c>
      <c r="M2974" t="s">
        <v>5033</v>
      </c>
      <c r="N2974" t="s">
        <v>5034</v>
      </c>
    </row>
    <row r="2975" spans="1:14" x14ac:dyDescent="0.3">
      <c r="A2975" t="s">
        <v>2999</v>
      </c>
      <c r="B2975" t="s">
        <v>12</v>
      </c>
      <c r="C2975" t="s">
        <v>13</v>
      </c>
      <c r="D2975">
        <v>62</v>
      </c>
      <c r="E2975" t="s">
        <v>26</v>
      </c>
      <c r="F2975" t="s">
        <v>15</v>
      </c>
      <c r="G2975">
        <v>100.15</v>
      </c>
      <c r="H2975">
        <v>6283.3</v>
      </c>
      <c r="I2975" t="s">
        <v>16</v>
      </c>
      <c r="J2975" t="s">
        <v>16</v>
      </c>
      <c r="K2975" t="s">
        <v>17</v>
      </c>
      <c r="L2975">
        <v>6283.3</v>
      </c>
      <c r="M2975" t="s">
        <v>5033</v>
      </c>
      <c r="N2975" t="s">
        <v>5034</v>
      </c>
    </row>
    <row r="2976" spans="1:14" x14ac:dyDescent="0.3">
      <c r="A2976" t="s">
        <v>3000</v>
      </c>
      <c r="B2976" t="s">
        <v>19</v>
      </c>
      <c r="C2976" t="s">
        <v>13</v>
      </c>
      <c r="D2976">
        <v>28</v>
      </c>
      <c r="E2976" t="s">
        <v>26</v>
      </c>
      <c r="F2976" t="s">
        <v>15</v>
      </c>
      <c r="G2976">
        <v>94.5</v>
      </c>
      <c r="H2976">
        <v>2659.4</v>
      </c>
      <c r="I2976" t="s">
        <v>16</v>
      </c>
      <c r="J2976" t="s">
        <v>16</v>
      </c>
      <c r="K2976" t="s">
        <v>29</v>
      </c>
      <c r="L2976">
        <v>2659.4</v>
      </c>
      <c r="M2976" t="s">
        <v>5032</v>
      </c>
      <c r="N2976" t="s">
        <v>5034</v>
      </c>
    </row>
    <row r="2977" spans="1:14" x14ac:dyDescent="0.3">
      <c r="A2977" t="s">
        <v>3001</v>
      </c>
      <c r="B2977" t="s">
        <v>19</v>
      </c>
      <c r="C2977" t="s">
        <v>13</v>
      </c>
      <c r="D2977">
        <v>3</v>
      </c>
      <c r="E2977" t="s">
        <v>14</v>
      </c>
      <c r="F2977" t="s">
        <v>16</v>
      </c>
      <c r="G2977">
        <v>60.65</v>
      </c>
      <c r="H2977">
        <v>196.9</v>
      </c>
      <c r="I2977" t="s">
        <v>15</v>
      </c>
      <c r="J2977" t="s">
        <v>15</v>
      </c>
      <c r="K2977" t="s">
        <v>21</v>
      </c>
      <c r="L2977">
        <v>196.9</v>
      </c>
      <c r="M2977" t="s">
        <v>5030</v>
      </c>
      <c r="N2977" t="s">
        <v>5031</v>
      </c>
    </row>
    <row r="2978" spans="1:14" x14ac:dyDescent="0.3">
      <c r="A2978" t="s">
        <v>3002</v>
      </c>
      <c r="B2978" t="s">
        <v>19</v>
      </c>
      <c r="C2978" t="s">
        <v>13</v>
      </c>
      <c r="D2978">
        <v>19</v>
      </c>
      <c r="E2978" t="s">
        <v>15</v>
      </c>
      <c r="F2978" t="s">
        <v>36</v>
      </c>
      <c r="G2978">
        <v>24.1</v>
      </c>
      <c r="H2978">
        <v>439.2</v>
      </c>
      <c r="I2978" t="s">
        <v>15</v>
      </c>
      <c r="J2978" t="s">
        <v>16</v>
      </c>
      <c r="K2978" t="s">
        <v>29</v>
      </c>
      <c r="L2978">
        <v>439.2</v>
      </c>
      <c r="M2978" t="s">
        <v>5032</v>
      </c>
      <c r="N2978" t="s">
        <v>5031</v>
      </c>
    </row>
    <row r="2979" spans="1:14" x14ac:dyDescent="0.3">
      <c r="A2979" t="s">
        <v>3003</v>
      </c>
      <c r="B2979" t="s">
        <v>19</v>
      </c>
      <c r="C2979" t="s">
        <v>13</v>
      </c>
      <c r="D2979">
        <v>1</v>
      </c>
      <c r="E2979" t="s">
        <v>15</v>
      </c>
      <c r="F2979" t="s">
        <v>36</v>
      </c>
      <c r="G2979">
        <v>19.5</v>
      </c>
      <c r="H2979">
        <v>19.5</v>
      </c>
      <c r="I2979" t="s">
        <v>15</v>
      </c>
      <c r="J2979" t="s">
        <v>16</v>
      </c>
      <c r="K2979" t="s">
        <v>21</v>
      </c>
      <c r="L2979">
        <v>19.5</v>
      </c>
      <c r="M2979" t="s">
        <v>5030</v>
      </c>
      <c r="N2979" t="s">
        <v>5031</v>
      </c>
    </row>
    <row r="2980" spans="1:14" x14ac:dyDescent="0.3">
      <c r="A2980" t="s">
        <v>3004</v>
      </c>
      <c r="B2980" t="s">
        <v>19</v>
      </c>
      <c r="C2980" t="s">
        <v>13</v>
      </c>
      <c r="D2980">
        <v>24</v>
      </c>
      <c r="E2980" t="s">
        <v>26</v>
      </c>
      <c r="F2980" t="s">
        <v>16</v>
      </c>
      <c r="G2980">
        <v>85.95</v>
      </c>
      <c r="H2980">
        <v>2107.15</v>
      </c>
      <c r="I2980" t="s">
        <v>15</v>
      </c>
      <c r="J2980" t="s">
        <v>16</v>
      </c>
      <c r="K2980" t="s">
        <v>17</v>
      </c>
      <c r="L2980">
        <v>2107.15</v>
      </c>
      <c r="M2980" t="s">
        <v>5032</v>
      </c>
      <c r="N2980" t="s">
        <v>5031</v>
      </c>
    </row>
    <row r="2981" spans="1:14" x14ac:dyDescent="0.3">
      <c r="A2981" t="s">
        <v>3005</v>
      </c>
      <c r="B2981" t="s">
        <v>19</v>
      </c>
      <c r="C2981" t="s">
        <v>20</v>
      </c>
      <c r="D2981">
        <v>57</v>
      </c>
      <c r="E2981" t="s">
        <v>14</v>
      </c>
      <c r="F2981" t="s">
        <v>16</v>
      </c>
      <c r="G2981">
        <v>53.5</v>
      </c>
      <c r="H2981">
        <v>3035.8</v>
      </c>
      <c r="I2981" t="s">
        <v>15</v>
      </c>
      <c r="J2981" t="s">
        <v>16</v>
      </c>
      <c r="K2981" t="s">
        <v>17</v>
      </c>
      <c r="L2981">
        <v>3035.8</v>
      </c>
      <c r="M2981" t="s">
        <v>5033</v>
      </c>
      <c r="N2981" t="s">
        <v>5034</v>
      </c>
    </row>
    <row r="2982" spans="1:14" x14ac:dyDescent="0.3">
      <c r="A2982" t="s">
        <v>3006</v>
      </c>
      <c r="B2982" t="s">
        <v>12</v>
      </c>
      <c r="C2982" t="s">
        <v>35</v>
      </c>
      <c r="D2982">
        <v>72</v>
      </c>
      <c r="E2982" t="s">
        <v>15</v>
      </c>
      <c r="F2982" t="s">
        <v>36</v>
      </c>
      <c r="G2982">
        <v>25.45</v>
      </c>
      <c r="H2982">
        <v>1866.45</v>
      </c>
      <c r="I2982" t="s">
        <v>15</v>
      </c>
      <c r="J2982" t="s">
        <v>15</v>
      </c>
      <c r="K2982" t="s">
        <v>29</v>
      </c>
      <c r="L2982">
        <v>1866.45</v>
      </c>
      <c r="M2982" t="s">
        <v>5033</v>
      </c>
      <c r="N2982" t="s">
        <v>5031</v>
      </c>
    </row>
    <row r="2983" spans="1:14" x14ac:dyDescent="0.3">
      <c r="A2983" t="s">
        <v>3007</v>
      </c>
      <c r="B2983" t="s">
        <v>19</v>
      </c>
      <c r="C2983" t="s">
        <v>35</v>
      </c>
      <c r="D2983">
        <v>67</v>
      </c>
      <c r="E2983" t="s">
        <v>15</v>
      </c>
      <c r="F2983" t="s">
        <v>36</v>
      </c>
      <c r="G2983">
        <v>20.5</v>
      </c>
      <c r="H2983">
        <v>1430.95</v>
      </c>
      <c r="I2983" t="s">
        <v>15</v>
      </c>
      <c r="J2983" t="s">
        <v>15</v>
      </c>
      <c r="K2983" t="s">
        <v>24</v>
      </c>
      <c r="L2983">
        <v>1430.95</v>
      </c>
      <c r="M2983" t="s">
        <v>5033</v>
      </c>
      <c r="N2983" t="s">
        <v>5031</v>
      </c>
    </row>
    <row r="2984" spans="1:14" x14ac:dyDescent="0.3">
      <c r="A2984" t="s">
        <v>3008</v>
      </c>
      <c r="B2984" t="s">
        <v>19</v>
      </c>
      <c r="C2984" t="s">
        <v>20</v>
      </c>
      <c r="D2984">
        <v>52</v>
      </c>
      <c r="E2984" t="s">
        <v>15</v>
      </c>
      <c r="F2984" t="s">
        <v>36</v>
      </c>
      <c r="G2984">
        <v>20.85</v>
      </c>
      <c r="H2984">
        <v>1071.5999999999999</v>
      </c>
      <c r="I2984" t="s">
        <v>15</v>
      </c>
      <c r="J2984" t="s">
        <v>16</v>
      </c>
      <c r="K2984" t="s">
        <v>29</v>
      </c>
      <c r="L2984">
        <v>1071.5999999999999</v>
      </c>
      <c r="M2984" t="s">
        <v>5033</v>
      </c>
      <c r="N2984" t="s">
        <v>5031</v>
      </c>
    </row>
    <row r="2985" spans="1:14" x14ac:dyDescent="0.3">
      <c r="A2985" t="s">
        <v>3009</v>
      </c>
      <c r="B2985" t="s">
        <v>19</v>
      </c>
      <c r="C2985" t="s">
        <v>35</v>
      </c>
      <c r="D2985">
        <v>71</v>
      </c>
      <c r="E2985" t="s">
        <v>14</v>
      </c>
      <c r="F2985" t="s">
        <v>16</v>
      </c>
      <c r="G2985">
        <v>89.9</v>
      </c>
      <c r="H2985">
        <v>6457.15</v>
      </c>
      <c r="I2985" t="s">
        <v>15</v>
      </c>
      <c r="J2985" t="s">
        <v>15</v>
      </c>
      <c r="K2985" t="s">
        <v>29</v>
      </c>
      <c r="L2985">
        <v>6457.15</v>
      </c>
      <c r="M2985" t="s">
        <v>5033</v>
      </c>
      <c r="N2985" t="s">
        <v>5034</v>
      </c>
    </row>
    <row r="2986" spans="1:14" x14ac:dyDescent="0.3">
      <c r="A2986" t="s">
        <v>3010</v>
      </c>
      <c r="B2986" t="s">
        <v>12</v>
      </c>
      <c r="C2986" t="s">
        <v>20</v>
      </c>
      <c r="D2986">
        <v>26</v>
      </c>
      <c r="E2986" t="s">
        <v>15</v>
      </c>
      <c r="F2986" t="s">
        <v>36</v>
      </c>
      <c r="G2986">
        <v>26</v>
      </c>
      <c r="H2986">
        <v>684.05</v>
      </c>
      <c r="I2986" t="s">
        <v>15</v>
      </c>
      <c r="J2986" t="s">
        <v>15</v>
      </c>
      <c r="K2986" t="s">
        <v>21</v>
      </c>
      <c r="L2986">
        <v>684.05</v>
      </c>
      <c r="M2986" t="s">
        <v>5032</v>
      </c>
      <c r="N2986" t="s">
        <v>5031</v>
      </c>
    </row>
    <row r="2987" spans="1:14" x14ac:dyDescent="0.3">
      <c r="A2987" t="s">
        <v>3011</v>
      </c>
      <c r="B2987" t="s">
        <v>12</v>
      </c>
      <c r="C2987" t="s">
        <v>35</v>
      </c>
      <c r="D2987">
        <v>35</v>
      </c>
      <c r="E2987" t="s">
        <v>26</v>
      </c>
      <c r="F2987" t="s">
        <v>16</v>
      </c>
      <c r="G2987">
        <v>113.2</v>
      </c>
      <c r="H2987">
        <v>3914.05</v>
      </c>
      <c r="I2987" t="s">
        <v>15</v>
      </c>
      <c r="J2987" t="s">
        <v>16</v>
      </c>
      <c r="K2987" t="s">
        <v>21</v>
      </c>
      <c r="L2987">
        <v>3914.05</v>
      </c>
      <c r="M2987" t="s">
        <v>5032</v>
      </c>
      <c r="N2987" t="s">
        <v>5034</v>
      </c>
    </row>
    <row r="2988" spans="1:14" x14ac:dyDescent="0.3">
      <c r="A2988" t="s">
        <v>3012</v>
      </c>
      <c r="B2988" t="s">
        <v>12</v>
      </c>
      <c r="C2988" t="s">
        <v>35</v>
      </c>
      <c r="D2988">
        <v>55</v>
      </c>
      <c r="E2988" t="s">
        <v>26</v>
      </c>
      <c r="F2988" t="s">
        <v>15</v>
      </c>
      <c r="G2988">
        <v>69.05</v>
      </c>
      <c r="H2988">
        <v>3842.6</v>
      </c>
      <c r="I2988" t="s">
        <v>15</v>
      </c>
      <c r="J2988" t="s">
        <v>16</v>
      </c>
      <c r="K2988" t="s">
        <v>29</v>
      </c>
      <c r="L2988">
        <v>3842.6</v>
      </c>
      <c r="M2988" t="s">
        <v>5033</v>
      </c>
      <c r="N2988" t="s">
        <v>5034</v>
      </c>
    </row>
    <row r="2989" spans="1:14" x14ac:dyDescent="0.3">
      <c r="A2989" t="s">
        <v>3013</v>
      </c>
      <c r="B2989" t="s">
        <v>12</v>
      </c>
      <c r="C2989" t="s">
        <v>35</v>
      </c>
      <c r="D2989">
        <v>33</v>
      </c>
      <c r="E2989" t="s">
        <v>15</v>
      </c>
      <c r="F2989" t="s">
        <v>36</v>
      </c>
      <c r="G2989">
        <v>20.100000000000001</v>
      </c>
      <c r="H2989">
        <v>670.35</v>
      </c>
      <c r="I2989" t="s">
        <v>15</v>
      </c>
      <c r="J2989" t="s">
        <v>15</v>
      </c>
      <c r="K2989" t="s">
        <v>21</v>
      </c>
      <c r="L2989">
        <v>670.35</v>
      </c>
      <c r="M2989" t="s">
        <v>5032</v>
      </c>
      <c r="N2989" t="s">
        <v>5031</v>
      </c>
    </row>
    <row r="2990" spans="1:14" x14ac:dyDescent="0.3">
      <c r="A2990" t="s">
        <v>3014</v>
      </c>
      <c r="B2990" t="s">
        <v>19</v>
      </c>
      <c r="C2990" t="s">
        <v>35</v>
      </c>
      <c r="D2990">
        <v>72</v>
      </c>
      <c r="E2990" t="s">
        <v>26</v>
      </c>
      <c r="F2990" t="s">
        <v>15</v>
      </c>
      <c r="G2990">
        <v>109.65</v>
      </c>
      <c r="H2990">
        <v>7880.25</v>
      </c>
      <c r="I2990" t="s">
        <v>15</v>
      </c>
      <c r="J2990" t="s">
        <v>16</v>
      </c>
      <c r="K2990" t="s">
        <v>17</v>
      </c>
      <c r="L2990">
        <v>7880.25</v>
      </c>
      <c r="M2990" t="s">
        <v>5033</v>
      </c>
      <c r="N2990" t="s">
        <v>5034</v>
      </c>
    </row>
    <row r="2991" spans="1:14" x14ac:dyDescent="0.3">
      <c r="A2991" t="s">
        <v>3015</v>
      </c>
      <c r="B2991" t="s">
        <v>19</v>
      </c>
      <c r="C2991" t="s">
        <v>13</v>
      </c>
      <c r="D2991">
        <v>1</v>
      </c>
      <c r="E2991" t="s">
        <v>15</v>
      </c>
      <c r="F2991" t="s">
        <v>36</v>
      </c>
      <c r="G2991">
        <v>19.2</v>
      </c>
      <c r="H2991">
        <v>19.2</v>
      </c>
      <c r="I2991" t="s">
        <v>15</v>
      </c>
      <c r="J2991" t="s">
        <v>16</v>
      </c>
      <c r="K2991" t="s">
        <v>21</v>
      </c>
      <c r="L2991">
        <v>19.2</v>
      </c>
      <c r="M2991" t="s">
        <v>5030</v>
      </c>
      <c r="N2991" t="s">
        <v>5031</v>
      </c>
    </row>
    <row r="2992" spans="1:14" x14ac:dyDescent="0.3">
      <c r="A2992" t="s">
        <v>3016</v>
      </c>
      <c r="B2992" t="s">
        <v>19</v>
      </c>
      <c r="C2992" t="s">
        <v>13</v>
      </c>
      <c r="D2992">
        <v>10</v>
      </c>
      <c r="E2992" t="s">
        <v>14</v>
      </c>
      <c r="F2992" t="s">
        <v>15</v>
      </c>
      <c r="G2992">
        <v>33.9</v>
      </c>
      <c r="H2992">
        <v>298.45</v>
      </c>
      <c r="I2992" t="s">
        <v>16</v>
      </c>
      <c r="J2992" t="s">
        <v>16</v>
      </c>
      <c r="K2992" t="s">
        <v>21</v>
      </c>
      <c r="L2992">
        <v>298.45</v>
      </c>
      <c r="M2992" t="s">
        <v>5030</v>
      </c>
      <c r="N2992" t="s">
        <v>5031</v>
      </c>
    </row>
    <row r="2993" spans="1:14" x14ac:dyDescent="0.3">
      <c r="A2993" t="s">
        <v>3017</v>
      </c>
      <c r="B2993" t="s">
        <v>12</v>
      </c>
      <c r="C2993" t="s">
        <v>13</v>
      </c>
      <c r="D2993">
        <v>37</v>
      </c>
      <c r="E2993" t="s">
        <v>26</v>
      </c>
      <c r="F2993" t="s">
        <v>16</v>
      </c>
      <c r="G2993">
        <v>90</v>
      </c>
      <c r="H2993">
        <v>3371.75</v>
      </c>
      <c r="I2993" t="s">
        <v>15</v>
      </c>
      <c r="J2993" t="s">
        <v>15</v>
      </c>
      <c r="K2993" t="s">
        <v>17</v>
      </c>
      <c r="L2993">
        <v>3371.75</v>
      </c>
      <c r="M2993" t="s">
        <v>5033</v>
      </c>
      <c r="N2993" t="s">
        <v>5034</v>
      </c>
    </row>
    <row r="2994" spans="1:14" x14ac:dyDescent="0.3">
      <c r="A2994" t="s">
        <v>3018</v>
      </c>
      <c r="B2994" t="s">
        <v>19</v>
      </c>
      <c r="C2994" t="s">
        <v>13</v>
      </c>
      <c r="D2994">
        <v>12</v>
      </c>
      <c r="E2994" t="s">
        <v>14</v>
      </c>
      <c r="F2994" t="s">
        <v>16</v>
      </c>
      <c r="G2994">
        <v>34</v>
      </c>
      <c r="H2994">
        <v>442.45</v>
      </c>
      <c r="I2994" t="s">
        <v>15</v>
      </c>
      <c r="J2994" t="s">
        <v>15</v>
      </c>
      <c r="K2994" t="s">
        <v>21</v>
      </c>
      <c r="L2994">
        <v>442.45</v>
      </c>
      <c r="M2994" t="s">
        <v>5030</v>
      </c>
      <c r="N2994" t="s">
        <v>5031</v>
      </c>
    </row>
    <row r="2995" spans="1:14" x14ac:dyDescent="0.3">
      <c r="A2995" t="s">
        <v>3019</v>
      </c>
      <c r="B2995" t="s">
        <v>19</v>
      </c>
      <c r="C2995" t="s">
        <v>20</v>
      </c>
      <c r="D2995">
        <v>1</v>
      </c>
      <c r="E2995" t="s">
        <v>15</v>
      </c>
      <c r="F2995" t="s">
        <v>36</v>
      </c>
      <c r="G2995">
        <v>20.399999999999999</v>
      </c>
      <c r="H2995">
        <v>20.399999999999999</v>
      </c>
      <c r="I2995" t="s">
        <v>15</v>
      </c>
      <c r="J2995" t="s">
        <v>15</v>
      </c>
      <c r="K2995" t="s">
        <v>21</v>
      </c>
      <c r="L2995">
        <v>20.399999999999999</v>
      </c>
      <c r="M2995" t="s">
        <v>5030</v>
      </c>
      <c r="N2995" t="s">
        <v>5031</v>
      </c>
    </row>
    <row r="2996" spans="1:14" x14ac:dyDescent="0.3">
      <c r="A2996" t="s">
        <v>3020</v>
      </c>
      <c r="B2996" t="s">
        <v>19</v>
      </c>
      <c r="C2996" t="s">
        <v>35</v>
      </c>
      <c r="D2996">
        <v>62</v>
      </c>
      <c r="E2996" t="s">
        <v>14</v>
      </c>
      <c r="F2996" t="s">
        <v>16</v>
      </c>
      <c r="G2996">
        <v>38.6</v>
      </c>
      <c r="H2996">
        <v>2345.5500000000002</v>
      </c>
      <c r="I2996" t="s">
        <v>15</v>
      </c>
      <c r="J2996" t="s">
        <v>16</v>
      </c>
      <c r="K2996" t="s">
        <v>29</v>
      </c>
      <c r="L2996">
        <v>2345.5500000000002</v>
      </c>
      <c r="M2996" t="s">
        <v>5033</v>
      </c>
      <c r="N2996" t="s">
        <v>5031</v>
      </c>
    </row>
    <row r="2997" spans="1:14" x14ac:dyDescent="0.3">
      <c r="A2997" t="s">
        <v>3021</v>
      </c>
      <c r="B2997" t="s">
        <v>12</v>
      </c>
      <c r="C2997" t="s">
        <v>13</v>
      </c>
      <c r="D2997">
        <v>1</v>
      </c>
      <c r="E2997" t="s">
        <v>14</v>
      </c>
      <c r="F2997" t="s">
        <v>15</v>
      </c>
      <c r="G2997">
        <v>25.25</v>
      </c>
      <c r="H2997">
        <v>25.25</v>
      </c>
      <c r="I2997" t="s">
        <v>15</v>
      </c>
      <c r="J2997" t="s">
        <v>15</v>
      </c>
      <c r="K2997" t="s">
        <v>24</v>
      </c>
      <c r="L2997">
        <v>25.25</v>
      </c>
      <c r="M2997" t="s">
        <v>5030</v>
      </c>
      <c r="N2997" t="s">
        <v>5031</v>
      </c>
    </row>
    <row r="2998" spans="1:14" x14ac:dyDescent="0.3">
      <c r="A2998" t="s">
        <v>3022</v>
      </c>
      <c r="B2998" t="s">
        <v>12</v>
      </c>
      <c r="C2998" t="s">
        <v>13</v>
      </c>
      <c r="D2998">
        <v>18</v>
      </c>
      <c r="E2998" t="s">
        <v>14</v>
      </c>
      <c r="F2998" t="s">
        <v>15</v>
      </c>
      <c r="G2998">
        <v>60.6</v>
      </c>
      <c r="H2998">
        <v>1156.3499999999999</v>
      </c>
      <c r="I2998" t="s">
        <v>15</v>
      </c>
      <c r="J2998" t="s">
        <v>16</v>
      </c>
      <c r="K2998" t="s">
        <v>21</v>
      </c>
      <c r="L2998">
        <v>1156.3499999999999</v>
      </c>
      <c r="M2998" t="s">
        <v>5032</v>
      </c>
      <c r="N2998" t="s">
        <v>5031</v>
      </c>
    </row>
    <row r="2999" spans="1:14" x14ac:dyDescent="0.3">
      <c r="A2999" t="s">
        <v>3023</v>
      </c>
      <c r="B2999" t="s">
        <v>19</v>
      </c>
      <c r="C2999" t="s">
        <v>13</v>
      </c>
      <c r="D2999">
        <v>69</v>
      </c>
      <c r="E2999" t="s">
        <v>26</v>
      </c>
      <c r="F2999" t="s">
        <v>15</v>
      </c>
      <c r="G2999">
        <v>89.95</v>
      </c>
      <c r="H2999">
        <v>6143.15</v>
      </c>
      <c r="I2999" t="s">
        <v>16</v>
      </c>
      <c r="J2999" t="s">
        <v>16</v>
      </c>
      <c r="K2999" t="s">
        <v>17</v>
      </c>
      <c r="L2999">
        <v>6143.15</v>
      </c>
      <c r="M2999" t="s">
        <v>5033</v>
      </c>
      <c r="N2999" t="s">
        <v>5034</v>
      </c>
    </row>
    <row r="3000" spans="1:14" x14ac:dyDescent="0.3">
      <c r="A3000" t="s">
        <v>3024</v>
      </c>
      <c r="B3000" t="s">
        <v>19</v>
      </c>
      <c r="C3000" t="s">
        <v>13</v>
      </c>
      <c r="D3000">
        <v>2</v>
      </c>
      <c r="E3000" t="s">
        <v>26</v>
      </c>
      <c r="F3000" t="s">
        <v>15</v>
      </c>
      <c r="G3000">
        <v>74.75</v>
      </c>
      <c r="H3000">
        <v>144.80000000000001</v>
      </c>
      <c r="I3000" t="s">
        <v>15</v>
      </c>
      <c r="J3000" t="s">
        <v>16</v>
      </c>
      <c r="K3000" t="s">
        <v>17</v>
      </c>
      <c r="L3000">
        <v>144.80000000000001</v>
      </c>
      <c r="M3000" t="s">
        <v>5030</v>
      </c>
      <c r="N3000" t="s">
        <v>5031</v>
      </c>
    </row>
    <row r="3001" spans="1:14" x14ac:dyDescent="0.3">
      <c r="A3001" t="s">
        <v>3025</v>
      </c>
      <c r="B3001" t="s">
        <v>19</v>
      </c>
      <c r="C3001" t="s">
        <v>13</v>
      </c>
      <c r="D3001">
        <v>19</v>
      </c>
      <c r="E3001" t="s">
        <v>15</v>
      </c>
      <c r="F3001" t="s">
        <v>36</v>
      </c>
      <c r="G3001">
        <v>20.6</v>
      </c>
      <c r="H3001">
        <v>414.95</v>
      </c>
      <c r="I3001" t="s">
        <v>15</v>
      </c>
      <c r="J3001" t="s">
        <v>15</v>
      </c>
      <c r="K3001" t="s">
        <v>21</v>
      </c>
      <c r="L3001">
        <v>414.95</v>
      </c>
      <c r="M3001" t="s">
        <v>5032</v>
      </c>
      <c r="N3001" t="s">
        <v>5031</v>
      </c>
    </row>
    <row r="3002" spans="1:14" x14ac:dyDescent="0.3">
      <c r="A3002" t="s">
        <v>3026</v>
      </c>
      <c r="B3002" t="s">
        <v>19</v>
      </c>
      <c r="C3002" t="s">
        <v>13</v>
      </c>
      <c r="D3002">
        <v>12</v>
      </c>
      <c r="E3002" t="s">
        <v>26</v>
      </c>
      <c r="F3002" t="s">
        <v>15</v>
      </c>
      <c r="G3002">
        <v>84.45</v>
      </c>
      <c r="H3002">
        <v>1059.55</v>
      </c>
      <c r="I3002" t="s">
        <v>16</v>
      </c>
      <c r="J3002" t="s">
        <v>16</v>
      </c>
      <c r="K3002" t="s">
        <v>17</v>
      </c>
      <c r="L3002">
        <v>1059.55</v>
      </c>
      <c r="M3002" t="s">
        <v>5030</v>
      </c>
      <c r="N3002" t="s">
        <v>5031</v>
      </c>
    </row>
    <row r="3003" spans="1:14" x14ac:dyDescent="0.3">
      <c r="A3003" t="s">
        <v>3027</v>
      </c>
      <c r="B3003" t="s">
        <v>19</v>
      </c>
      <c r="C3003" t="s">
        <v>13</v>
      </c>
      <c r="D3003">
        <v>9</v>
      </c>
      <c r="E3003" t="s">
        <v>15</v>
      </c>
      <c r="F3003" t="s">
        <v>36</v>
      </c>
      <c r="G3003">
        <v>20.399999999999999</v>
      </c>
      <c r="H3003">
        <v>181.8</v>
      </c>
      <c r="I3003" t="s">
        <v>15</v>
      </c>
      <c r="J3003" t="s">
        <v>15</v>
      </c>
      <c r="K3003" t="s">
        <v>21</v>
      </c>
      <c r="L3003">
        <v>181.8</v>
      </c>
      <c r="M3003" t="s">
        <v>5030</v>
      </c>
      <c r="N3003" t="s">
        <v>5031</v>
      </c>
    </row>
    <row r="3004" spans="1:14" x14ac:dyDescent="0.3">
      <c r="A3004" t="s">
        <v>3028</v>
      </c>
      <c r="B3004" t="s">
        <v>19</v>
      </c>
      <c r="C3004" t="s">
        <v>20</v>
      </c>
      <c r="D3004">
        <v>27</v>
      </c>
      <c r="E3004" t="s">
        <v>14</v>
      </c>
      <c r="F3004" t="s">
        <v>16</v>
      </c>
      <c r="G3004">
        <v>81.7</v>
      </c>
      <c r="H3004">
        <v>2212.5500000000002</v>
      </c>
      <c r="I3004" t="s">
        <v>15</v>
      </c>
      <c r="J3004" t="s">
        <v>15</v>
      </c>
      <c r="K3004" t="s">
        <v>17</v>
      </c>
      <c r="L3004">
        <v>2212.5500000000002</v>
      </c>
      <c r="M3004" t="s">
        <v>5032</v>
      </c>
      <c r="N3004" t="s">
        <v>5031</v>
      </c>
    </row>
    <row r="3005" spans="1:14" x14ac:dyDescent="0.3">
      <c r="A3005" t="s">
        <v>3029</v>
      </c>
      <c r="B3005" t="s">
        <v>19</v>
      </c>
      <c r="C3005" t="s">
        <v>13</v>
      </c>
      <c r="D3005">
        <v>27</v>
      </c>
      <c r="E3005" t="s">
        <v>26</v>
      </c>
      <c r="F3005" t="s">
        <v>16</v>
      </c>
      <c r="G3005">
        <v>79.5</v>
      </c>
      <c r="H3005">
        <v>2180.5500000000002</v>
      </c>
      <c r="I3005" t="s">
        <v>16</v>
      </c>
      <c r="J3005" t="s">
        <v>16</v>
      </c>
      <c r="K3005" t="s">
        <v>17</v>
      </c>
      <c r="L3005">
        <v>2180.5500000000002</v>
      </c>
      <c r="M3005" t="s">
        <v>5032</v>
      </c>
      <c r="N3005" t="s">
        <v>5031</v>
      </c>
    </row>
    <row r="3006" spans="1:14" x14ac:dyDescent="0.3">
      <c r="A3006" t="s">
        <v>3030</v>
      </c>
      <c r="B3006" t="s">
        <v>19</v>
      </c>
      <c r="C3006" t="s">
        <v>13</v>
      </c>
      <c r="D3006">
        <v>1</v>
      </c>
      <c r="E3006" t="s">
        <v>26</v>
      </c>
      <c r="F3006" t="s">
        <v>15</v>
      </c>
      <c r="G3006">
        <v>89.15</v>
      </c>
      <c r="H3006">
        <v>89.15</v>
      </c>
      <c r="I3006" t="s">
        <v>16</v>
      </c>
      <c r="J3006" t="s">
        <v>15</v>
      </c>
      <c r="K3006" t="s">
        <v>21</v>
      </c>
      <c r="L3006">
        <v>89.15</v>
      </c>
      <c r="M3006" t="s">
        <v>5030</v>
      </c>
      <c r="N3006" t="s">
        <v>5031</v>
      </c>
    </row>
    <row r="3007" spans="1:14" x14ac:dyDescent="0.3">
      <c r="A3007" t="s">
        <v>3031</v>
      </c>
      <c r="B3007" t="s">
        <v>12</v>
      </c>
      <c r="C3007" t="s">
        <v>13</v>
      </c>
      <c r="D3007">
        <v>24</v>
      </c>
      <c r="E3007" t="s">
        <v>15</v>
      </c>
      <c r="F3007" t="s">
        <v>36</v>
      </c>
      <c r="G3007">
        <v>20.3</v>
      </c>
      <c r="H3007">
        <v>459.95</v>
      </c>
      <c r="I3007" t="s">
        <v>15</v>
      </c>
      <c r="J3007" t="s">
        <v>16</v>
      </c>
      <c r="K3007" t="s">
        <v>21</v>
      </c>
      <c r="L3007">
        <v>459.95</v>
      </c>
      <c r="M3007" t="s">
        <v>5032</v>
      </c>
      <c r="N3007" t="s">
        <v>5031</v>
      </c>
    </row>
    <row r="3008" spans="1:14" x14ac:dyDescent="0.3">
      <c r="A3008" t="s">
        <v>3032</v>
      </c>
      <c r="B3008" t="s">
        <v>19</v>
      </c>
      <c r="C3008" t="s">
        <v>13</v>
      </c>
      <c r="D3008">
        <v>14</v>
      </c>
      <c r="E3008" t="s">
        <v>26</v>
      </c>
      <c r="F3008" t="s">
        <v>15</v>
      </c>
      <c r="G3008">
        <v>74.95</v>
      </c>
      <c r="H3008">
        <v>1036.75</v>
      </c>
      <c r="I3008" t="s">
        <v>16</v>
      </c>
      <c r="J3008" t="s">
        <v>16</v>
      </c>
      <c r="K3008" t="s">
        <v>17</v>
      </c>
      <c r="L3008">
        <v>1036.75</v>
      </c>
      <c r="M3008" t="s">
        <v>5032</v>
      </c>
      <c r="N3008" t="s">
        <v>5031</v>
      </c>
    </row>
    <row r="3009" spans="1:14" x14ac:dyDescent="0.3">
      <c r="A3009" t="s">
        <v>3033</v>
      </c>
      <c r="B3009" t="s">
        <v>12</v>
      </c>
      <c r="C3009" t="s">
        <v>13</v>
      </c>
      <c r="D3009">
        <v>32</v>
      </c>
      <c r="E3009" t="s">
        <v>26</v>
      </c>
      <c r="F3009" t="s">
        <v>15</v>
      </c>
      <c r="G3009">
        <v>74.400000000000006</v>
      </c>
      <c r="H3009">
        <v>2276.9499999999998</v>
      </c>
      <c r="I3009" t="s">
        <v>16</v>
      </c>
      <c r="J3009" t="s">
        <v>16</v>
      </c>
      <c r="K3009" t="s">
        <v>17</v>
      </c>
      <c r="L3009">
        <v>2276.9499999999998</v>
      </c>
      <c r="M3009" t="s">
        <v>5032</v>
      </c>
      <c r="N3009" t="s">
        <v>5031</v>
      </c>
    </row>
    <row r="3010" spans="1:14" x14ac:dyDescent="0.3">
      <c r="A3010" t="s">
        <v>3034</v>
      </c>
      <c r="B3010" t="s">
        <v>12</v>
      </c>
      <c r="C3010" t="s">
        <v>20</v>
      </c>
      <c r="D3010">
        <v>11</v>
      </c>
      <c r="E3010" t="s">
        <v>15</v>
      </c>
      <c r="F3010" t="s">
        <v>36</v>
      </c>
      <c r="G3010">
        <v>20</v>
      </c>
      <c r="H3010">
        <v>211.95</v>
      </c>
      <c r="I3010" t="s">
        <v>15</v>
      </c>
      <c r="J3010" t="s">
        <v>15</v>
      </c>
      <c r="K3010" t="s">
        <v>21</v>
      </c>
      <c r="L3010">
        <v>211.95</v>
      </c>
      <c r="M3010" t="s">
        <v>5030</v>
      </c>
      <c r="N3010" t="s">
        <v>5031</v>
      </c>
    </row>
    <row r="3011" spans="1:14" x14ac:dyDescent="0.3">
      <c r="A3011" t="s">
        <v>3035</v>
      </c>
      <c r="B3011" t="s">
        <v>19</v>
      </c>
      <c r="C3011" t="s">
        <v>13</v>
      </c>
      <c r="D3011">
        <v>1</v>
      </c>
      <c r="E3011" t="s">
        <v>15</v>
      </c>
      <c r="F3011" t="s">
        <v>36</v>
      </c>
      <c r="G3011">
        <v>25</v>
      </c>
      <c r="H3011">
        <v>25</v>
      </c>
      <c r="I3011" t="s">
        <v>15</v>
      </c>
      <c r="J3011" t="s">
        <v>16</v>
      </c>
      <c r="K3011" t="s">
        <v>21</v>
      </c>
      <c r="L3011">
        <v>25</v>
      </c>
      <c r="M3011" t="s">
        <v>5030</v>
      </c>
      <c r="N3011" t="s">
        <v>5031</v>
      </c>
    </row>
    <row r="3012" spans="1:14" x14ac:dyDescent="0.3">
      <c r="A3012" t="s">
        <v>3036</v>
      </c>
      <c r="B3012" t="s">
        <v>19</v>
      </c>
      <c r="C3012" t="s">
        <v>13</v>
      </c>
      <c r="D3012">
        <v>38</v>
      </c>
      <c r="E3012" t="s">
        <v>26</v>
      </c>
      <c r="F3012" t="s">
        <v>15</v>
      </c>
      <c r="G3012">
        <v>80.45</v>
      </c>
      <c r="H3012">
        <v>3162.65</v>
      </c>
      <c r="I3012" t="s">
        <v>15</v>
      </c>
      <c r="J3012" t="s">
        <v>16</v>
      </c>
      <c r="K3012" t="s">
        <v>21</v>
      </c>
      <c r="L3012">
        <v>3162.65</v>
      </c>
      <c r="M3012" t="s">
        <v>5033</v>
      </c>
      <c r="N3012" t="s">
        <v>5034</v>
      </c>
    </row>
    <row r="3013" spans="1:14" x14ac:dyDescent="0.3">
      <c r="A3013" t="s">
        <v>3037</v>
      </c>
      <c r="B3013" t="s">
        <v>12</v>
      </c>
      <c r="C3013" t="s">
        <v>35</v>
      </c>
      <c r="D3013">
        <v>9</v>
      </c>
      <c r="E3013" t="s">
        <v>15</v>
      </c>
      <c r="F3013" t="s">
        <v>36</v>
      </c>
      <c r="G3013">
        <v>19.75</v>
      </c>
      <c r="H3013">
        <v>210.65</v>
      </c>
      <c r="I3013" t="s">
        <v>15</v>
      </c>
      <c r="J3013" t="s">
        <v>15</v>
      </c>
      <c r="K3013" t="s">
        <v>21</v>
      </c>
      <c r="L3013">
        <v>210.65</v>
      </c>
      <c r="M3013" t="s">
        <v>5030</v>
      </c>
      <c r="N3013" t="s">
        <v>5031</v>
      </c>
    </row>
    <row r="3014" spans="1:14" x14ac:dyDescent="0.3">
      <c r="A3014" t="s">
        <v>3038</v>
      </c>
      <c r="B3014" t="s">
        <v>19</v>
      </c>
      <c r="C3014" t="s">
        <v>35</v>
      </c>
      <c r="D3014">
        <v>54</v>
      </c>
      <c r="E3014" t="s">
        <v>14</v>
      </c>
      <c r="F3014" t="s">
        <v>16</v>
      </c>
      <c r="G3014">
        <v>65.650000000000006</v>
      </c>
      <c r="H3014">
        <v>3566.7</v>
      </c>
      <c r="I3014" t="s">
        <v>15</v>
      </c>
      <c r="J3014" t="s">
        <v>16</v>
      </c>
      <c r="K3014" t="s">
        <v>29</v>
      </c>
      <c r="L3014">
        <v>3566.7</v>
      </c>
      <c r="M3014" t="s">
        <v>5033</v>
      </c>
      <c r="N3014" t="s">
        <v>5034</v>
      </c>
    </row>
    <row r="3015" spans="1:14" x14ac:dyDescent="0.3">
      <c r="A3015" t="s">
        <v>3039</v>
      </c>
      <c r="B3015" t="s">
        <v>12</v>
      </c>
      <c r="C3015" t="s">
        <v>20</v>
      </c>
      <c r="D3015">
        <v>29</v>
      </c>
      <c r="E3015" t="s">
        <v>14</v>
      </c>
      <c r="F3015" t="s">
        <v>15</v>
      </c>
      <c r="G3015">
        <v>71</v>
      </c>
      <c r="H3015">
        <v>2080.1</v>
      </c>
      <c r="I3015" t="s">
        <v>15</v>
      </c>
      <c r="J3015" t="s">
        <v>16</v>
      </c>
      <c r="K3015" t="s">
        <v>29</v>
      </c>
      <c r="L3015">
        <v>2080.1</v>
      </c>
      <c r="M3015" t="s">
        <v>5032</v>
      </c>
      <c r="N3015" t="s">
        <v>5031</v>
      </c>
    </row>
    <row r="3016" spans="1:14" x14ac:dyDescent="0.3">
      <c r="A3016" t="s">
        <v>3040</v>
      </c>
      <c r="B3016" t="s">
        <v>19</v>
      </c>
      <c r="C3016" t="s">
        <v>13</v>
      </c>
      <c r="D3016">
        <v>44</v>
      </c>
      <c r="E3016" t="s">
        <v>26</v>
      </c>
      <c r="F3016" t="s">
        <v>15</v>
      </c>
      <c r="G3016">
        <v>89.2</v>
      </c>
      <c r="H3016">
        <v>4040.2</v>
      </c>
      <c r="I3016" t="s">
        <v>15</v>
      </c>
      <c r="J3016" t="s">
        <v>16</v>
      </c>
      <c r="K3016" t="s">
        <v>17</v>
      </c>
      <c r="L3016">
        <v>4040.2</v>
      </c>
      <c r="M3016" t="s">
        <v>5033</v>
      </c>
      <c r="N3016" t="s">
        <v>5034</v>
      </c>
    </row>
    <row r="3017" spans="1:14" x14ac:dyDescent="0.3">
      <c r="A3017" t="s">
        <v>3041</v>
      </c>
      <c r="B3017" t="s">
        <v>19</v>
      </c>
      <c r="C3017" t="s">
        <v>35</v>
      </c>
      <c r="D3017">
        <v>59</v>
      </c>
      <c r="E3017" t="s">
        <v>14</v>
      </c>
      <c r="F3017" t="s">
        <v>16</v>
      </c>
      <c r="G3017">
        <v>86.75</v>
      </c>
      <c r="H3017">
        <v>5186</v>
      </c>
      <c r="I3017" t="s">
        <v>15</v>
      </c>
      <c r="J3017" t="s">
        <v>16</v>
      </c>
      <c r="K3017" t="s">
        <v>17</v>
      </c>
      <c r="L3017">
        <v>5186</v>
      </c>
      <c r="M3017" t="s">
        <v>5033</v>
      </c>
      <c r="N3017" t="s">
        <v>5034</v>
      </c>
    </row>
    <row r="3018" spans="1:14" x14ac:dyDescent="0.3">
      <c r="A3018" t="s">
        <v>3042</v>
      </c>
      <c r="B3018" t="s">
        <v>12</v>
      </c>
      <c r="C3018" t="s">
        <v>13</v>
      </c>
      <c r="D3018">
        <v>3</v>
      </c>
      <c r="E3018" t="s">
        <v>14</v>
      </c>
      <c r="F3018" t="s">
        <v>15</v>
      </c>
      <c r="G3018">
        <v>55.3</v>
      </c>
      <c r="H3018">
        <v>196.15</v>
      </c>
      <c r="I3018" t="s">
        <v>16</v>
      </c>
      <c r="J3018" t="s">
        <v>16</v>
      </c>
      <c r="K3018" t="s">
        <v>17</v>
      </c>
      <c r="L3018">
        <v>196.15</v>
      </c>
      <c r="M3018" t="s">
        <v>5030</v>
      </c>
      <c r="N3018" t="s">
        <v>5031</v>
      </c>
    </row>
    <row r="3019" spans="1:14" x14ac:dyDescent="0.3">
      <c r="A3019" t="s">
        <v>3043</v>
      </c>
      <c r="B3019" t="s">
        <v>12</v>
      </c>
      <c r="C3019" t="s">
        <v>20</v>
      </c>
      <c r="D3019">
        <v>18</v>
      </c>
      <c r="E3019" t="s">
        <v>14</v>
      </c>
      <c r="F3019" t="s">
        <v>16</v>
      </c>
      <c r="G3019">
        <v>61.5</v>
      </c>
      <c r="H3019">
        <v>1087.45</v>
      </c>
      <c r="I3019" t="s">
        <v>15</v>
      </c>
      <c r="J3019" t="s">
        <v>16</v>
      </c>
      <c r="K3019" t="s">
        <v>21</v>
      </c>
      <c r="L3019">
        <v>1087.45</v>
      </c>
      <c r="M3019" t="s">
        <v>5032</v>
      </c>
      <c r="N3019" t="s">
        <v>5031</v>
      </c>
    </row>
    <row r="3020" spans="1:14" x14ac:dyDescent="0.3">
      <c r="A3020" t="s">
        <v>3044</v>
      </c>
      <c r="B3020" t="s">
        <v>19</v>
      </c>
      <c r="C3020" t="s">
        <v>35</v>
      </c>
      <c r="D3020">
        <v>67</v>
      </c>
      <c r="E3020" t="s">
        <v>15</v>
      </c>
      <c r="F3020" t="s">
        <v>36</v>
      </c>
      <c r="G3020">
        <v>25.1</v>
      </c>
      <c r="H3020">
        <v>1672.15</v>
      </c>
      <c r="I3020" t="s">
        <v>15</v>
      </c>
      <c r="J3020" t="s">
        <v>15</v>
      </c>
      <c r="K3020" t="s">
        <v>29</v>
      </c>
      <c r="L3020">
        <v>1672.15</v>
      </c>
      <c r="M3020" t="s">
        <v>5033</v>
      </c>
      <c r="N3020" t="s">
        <v>5031</v>
      </c>
    </row>
    <row r="3021" spans="1:14" x14ac:dyDescent="0.3">
      <c r="A3021" t="s">
        <v>3045</v>
      </c>
      <c r="B3021" t="s">
        <v>12</v>
      </c>
      <c r="C3021" t="s">
        <v>13</v>
      </c>
      <c r="D3021">
        <v>22</v>
      </c>
      <c r="E3021" t="s">
        <v>14</v>
      </c>
      <c r="F3021" t="s">
        <v>16</v>
      </c>
      <c r="G3021">
        <v>55.15</v>
      </c>
      <c r="H3021">
        <v>1206.05</v>
      </c>
      <c r="I3021" t="s">
        <v>16</v>
      </c>
      <c r="J3021" t="s">
        <v>15</v>
      </c>
      <c r="K3021" t="s">
        <v>17</v>
      </c>
      <c r="L3021">
        <v>1206.05</v>
      </c>
      <c r="M3021" t="s">
        <v>5032</v>
      </c>
      <c r="N3021" t="s">
        <v>5031</v>
      </c>
    </row>
    <row r="3022" spans="1:14" x14ac:dyDescent="0.3">
      <c r="A3022" t="s">
        <v>3046</v>
      </c>
      <c r="B3022" t="s">
        <v>19</v>
      </c>
      <c r="C3022" t="s">
        <v>20</v>
      </c>
      <c r="D3022">
        <v>33</v>
      </c>
      <c r="E3022" t="s">
        <v>14</v>
      </c>
      <c r="F3022" t="s">
        <v>16</v>
      </c>
      <c r="G3022">
        <v>34.049999999999997</v>
      </c>
      <c r="H3022">
        <v>1113.95</v>
      </c>
      <c r="I3022" t="s">
        <v>15</v>
      </c>
      <c r="J3022" t="s">
        <v>15</v>
      </c>
      <c r="K3022" t="s">
        <v>29</v>
      </c>
      <c r="L3022">
        <v>1113.95</v>
      </c>
      <c r="M3022" t="s">
        <v>5032</v>
      </c>
      <c r="N3022" t="s">
        <v>5031</v>
      </c>
    </row>
    <row r="3023" spans="1:14" x14ac:dyDescent="0.3">
      <c r="A3023" t="s">
        <v>3047</v>
      </c>
      <c r="B3023" t="s">
        <v>19</v>
      </c>
      <c r="C3023" t="s">
        <v>13</v>
      </c>
      <c r="D3023">
        <v>5</v>
      </c>
      <c r="E3023" t="s">
        <v>15</v>
      </c>
      <c r="F3023" t="s">
        <v>36</v>
      </c>
      <c r="G3023">
        <v>19.95</v>
      </c>
      <c r="H3023">
        <v>107.05</v>
      </c>
      <c r="I3023" t="s">
        <v>15</v>
      </c>
      <c r="J3023" t="s">
        <v>15</v>
      </c>
      <c r="K3023" t="s">
        <v>21</v>
      </c>
      <c r="L3023">
        <v>107.05</v>
      </c>
      <c r="M3023" t="s">
        <v>5030</v>
      </c>
      <c r="N3023" t="s">
        <v>5031</v>
      </c>
    </row>
    <row r="3024" spans="1:14" x14ac:dyDescent="0.3">
      <c r="A3024" t="s">
        <v>3048</v>
      </c>
      <c r="B3024" t="s">
        <v>12</v>
      </c>
      <c r="C3024" t="s">
        <v>13</v>
      </c>
      <c r="D3024">
        <v>2</v>
      </c>
      <c r="E3024" t="s">
        <v>15</v>
      </c>
      <c r="F3024" t="s">
        <v>36</v>
      </c>
      <c r="G3024">
        <v>19.95</v>
      </c>
      <c r="H3024">
        <v>38.15</v>
      </c>
      <c r="I3024" t="s">
        <v>15</v>
      </c>
      <c r="J3024" t="s">
        <v>15</v>
      </c>
      <c r="K3024" t="s">
        <v>21</v>
      </c>
      <c r="L3024">
        <v>38.15</v>
      </c>
      <c r="M3024" t="s">
        <v>5030</v>
      </c>
      <c r="N3024" t="s">
        <v>5031</v>
      </c>
    </row>
    <row r="3025" spans="1:14" x14ac:dyDescent="0.3">
      <c r="A3025" t="s">
        <v>3049</v>
      </c>
      <c r="B3025" t="s">
        <v>19</v>
      </c>
      <c r="C3025" t="s">
        <v>35</v>
      </c>
      <c r="D3025">
        <v>72</v>
      </c>
      <c r="E3025" t="s">
        <v>14</v>
      </c>
      <c r="F3025" t="s">
        <v>16</v>
      </c>
      <c r="G3025">
        <v>89.7</v>
      </c>
      <c r="H3025">
        <v>6339.3</v>
      </c>
      <c r="I3025" t="s">
        <v>15</v>
      </c>
      <c r="J3025" t="s">
        <v>15</v>
      </c>
      <c r="K3025" t="s">
        <v>29</v>
      </c>
      <c r="L3025">
        <v>6339.3</v>
      </c>
      <c r="M3025" t="s">
        <v>5033</v>
      </c>
      <c r="N3025" t="s">
        <v>5034</v>
      </c>
    </row>
    <row r="3026" spans="1:14" x14ac:dyDescent="0.3">
      <c r="A3026" t="s">
        <v>3050</v>
      </c>
      <c r="B3026" t="s">
        <v>19</v>
      </c>
      <c r="C3026" t="s">
        <v>13</v>
      </c>
      <c r="D3026">
        <v>9</v>
      </c>
      <c r="E3026" t="s">
        <v>15</v>
      </c>
      <c r="F3026" t="s">
        <v>36</v>
      </c>
      <c r="G3026">
        <v>20.399999999999999</v>
      </c>
      <c r="H3026">
        <v>184.1</v>
      </c>
      <c r="I3026" t="s">
        <v>15</v>
      </c>
      <c r="J3026" t="s">
        <v>15</v>
      </c>
      <c r="K3026" t="s">
        <v>21</v>
      </c>
      <c r="L3026">
        <v>184.1</v>
      </c>
      <c r="M3026" t="s">
        <v>5030</v>
      </c>
      <c r="N3026" t="s">
        <v>5031</v>
      </c>
    </row>
    <row r="3027" spans="1:14" x14ac:dyDescent="0.3">
      <c r="A3027" t="s">
        <v>3051</v>
      </c>
      <c r="B3027" t="s">
        <v>19</v>
      </c>
      <c r="C3027" t="s">
        <v>35</v>
      </c>
      <c r="D3027">
        <v>67</v>
      </c>
      <c r="E3027" t="s">
        <v>15</v>
      </c>
      <c r="F3027" t="s">
        <v>36</v>
      </c>
      <c r="G3027">
        <v>26.3</v>
      </c>
      <c r="H3027">
        <v>1688.9</v>
      </c>
      <c r="I3027" t="s">
        <v>15</v>
      </c>
      <c r="J3027" t="s">
        <v>15</v>
      </c>
      <c r="K3027" t="s">
        <v>21</v>
      </c>
      <c r="L3027">
        <v>1688.9</v>
      </c>
      <c r="M3027" t="s">
        <v>5033</v>
      </c>
      <c r="N3027" t="s">
        <v>5031</v>
      </c>
    </row>
    <row r="3028" spans="1:14" x14ac:dyDescent="0.3">
      <c r="A3028" t="s">
        <v>3052</v>
      </c>
      <c r="B3028" t="s">
        <v>12</v>
      </c>
      <c r="C3028" t="s">
        <v>13</v>
      </c>
      <c r="D3028">
        <v>16</v>
      </c>
      <c r="E3028" t="s">
        <v>26</v>
      </c>
      <c r="F3028" t="s">
        <v>15</v>
      </c>
      <c r="G3028">
        <v>84.95</v>
      </c>
      <c r="H3028">
        <v>1378.25</v>
      </c>
      <c r="I3028" t="s">
        <v>16</v>
      </c>
      <c r="J3028" t="s">
        <v>16</v>
      </c>
      <c r="K3028" t="s">
        <v>17</v>
      </c>
      <c r="L3028">
        <v>1378.25</v>
      </c>
      <c r="M3028" t="s">
        <v>5032</v>
      </c>
      <c r="N3028" t="s">
        <v>5031</v>
      </c>
    </row>
    <row r="3029" spans="1:14" x14ac:dyDescent="0.3">
      <c r="A3029" t="s">
        <v>3053</v>
      </c>
      <c r="B3029" t="s">
        <v>12</v>
      </c>
      <c r="C3029" t="s">
        <v>13</v>
      </c>
      <c r="D3029">
        <v>8</v>
      </c>
      <c r="E3029" t="s">
        <v>15</v>
      </c>
      <c r="F3029" t="s">
        <v>36</v>
      </c>
      <c r="G3029">
        <v>20.7</v>
      </c>
      <c r="H3029">
        <v>137.6</v>
      </c>
      <c r="I3029" t="s">
        <v>15</v>
      </c>
      <c r="J3029" t="s">
        <v>16</v>
      </c>
      <c r="K3029" t="s">
        <v>21</v>
      </c>
      <c r="L3029">
        <v>137.6</v>
      </c>
      <c r="M3029" t="s">
        <v>5030</v>
      </c>
      <c r="N3029" t="s">
        <v>5031</v>
      </c>
    </row>
    <row r="3030" spans="1:14" x14ac:dyDescent="0.3">
      <c r="A3030" t="s">
        <v>3054</v>
      </c>
      <c r="B3030" t="s">
        <v>19</v>
      </c>
      <c r="C3030" t="s">
        <v>13</v>
      </c>
      <c r="D3030">
        <v>5</v>
      </c>
      <c r="E3030" t="s">
        <v>14</v>
      </c>
      <c r="F3030" t="s">
        <v>16</v>
      </c>
      <c r="G3030">
        <v>43.25</v>
      </c>
      <c r="H3030">
        <v>219</v>
      </c>
      <c r="I3030" t="s">
        <v>16</v>
      </c>
      <c r="J3030" t="s">
        <v>16</v>
      </c>
      <c r="K3030" t="s">
        <v>21</v>
      </c>
      <c r="L3030">
        <v>219</v>
      </c>
      <c r="M3030" t="s">
        <v>5030</v>
      </c>
      <c r="N3030" t="s">
        <v>5031</v>
      </c>
    </row>
    <row r="3031" spans="1:14" x14ac:dyDescent="0.3">
      <c r="A3031" t="s">
        <v>3055</v>
      </c>
      <c r="B3031" t="s">
        <v>19</v>
      </c>
      <c r="C3031" t="s">
        <v>20</v>
      </c>
      <c r="D3031">
        <v>23</v>
      </c>
      <c r="E3031" t="s">
        <v>14</v>
      </c>
      <c r="F3031" t="s">
        <v>15</v>
      </c>
      <c r="G3031">
        <v>48.35</v>
      </c>
      <c r="H3031">
        <v>1067.1500000000001</v>
      </c>
      <c r="I3031" t="s">
        <v>16</v>
      </c>
      <c r="J3031" t="s">
        <v>16</v>
      </c>
      <c r="K3031" t="s">
        <v>29</v>
      </c>
      <c r="L3031">
        <v>1067.1500000000001</v>
      </c>
      <c r="M3031" t="s">
        <v>5032</v>
      </c>
      <c r="N3031" t="s">
        <v>5031</v>
      </c>
    </row>
    <row r="3032" spans="1:14" x14ac:dyDescent="0.3">
      <c r="A3032" t="s">
        <v>3056</v>
      </c>
      <c r="B3032" t="s">
        <v>19</v>
      </c>
      <c r="C3032" t="s">
        <v>13</v>
      </c>
      <c r="D3032">
        <v>1</v>
      </c>
      <c r="E3032" t="s">
        <v>26</v>
      </c>
      <c r="F3032" t="s">
        <v>15</v>
      </c>
      <c r="G3032">
        <v>79.55</v>
      </c>
      <c r="H3032">
        <v>79.55</v>
      </c>
      <c r="I3032" t="s">
        <v>16</v>
      </c>
      <c r="J3032" t="s">
        <v>16</v>
      </c>
      <c r="K3032" t="s">
        <v>17</v>
      </c>
      <c r="L3032">
        <v>79.55</v>
      </c>
      <c r="M3032" t="s">
        <v>5030</v>
      </c>
      <c r="N3032" t="s">
        <v>5031</v>
      </c>
    </row>
    <row r="3033" spans="1:14" x14ac:dyDescent="0.3">
      <c r="A3033" t="s">
        <v>3057</v>
      </c>
      <c r="B3033" t="s">
        <v>12</v>
      </c>
      <c r="C3033" t="s">
        <v>13</v>
      </c>
      <c r="D3033">
        <v>50</v>
      </c>
      <c r="E3033" t="s">
        <v>26</v>
      </c>
      <c r="F3033" t="s">
        <v>15</v>
      </c>
      <c r="G3033">
        <v>71.05</v>
      </c>
      <c r="H3033">
        <v>3444.85</v>
      </c>
      <c r="I3033" t="s">
        <v>16</v>
      </c>
      <c r="J3033" t="s">
        <v>16</v>
      </c>
      <c r="K3033" t="s">
        <v>17</v>
      </c>
      <c r="L3033">
        <v>3444.85</v>
      </c>
      <c r="M3033" t="s">
        <v>5033</v>
      </c>
      <c r="N3033" t="s">
        <v>5034</v>
      </c>
    </row>
    <row r="3034" spans="1:14" x14ac:dyDescent="0.3">
      <c r="A3034" t="s">
        <v>3058</v>
      </c>
      <c r="B3034" t="s">
        <v>19</v>
      </c>
      <c r="C3034" t="s">
        <v>35</v>
      </c>
      <c r="D3034">
        <v>17</v>
      </c>
      <c r="E3034" t="s">
        <v>15</v>
      </c>
      <c r="F3034" t="s">
        <v>36</v>
      </c>
      <c r="G3034">
        <v>19.45</v>
      </c>
      <c r="H3034">
        <v>369.05</v>
      </c>
      <c r="I3034" t="s">
        <v>15</v>
      </c>
      <c r="J3034" t="s">
        <v>15</v>
      </c>
      <c r="K3034" t="s">
        <v>29</v>
      </c>
      <c r="L3034">
        <v>369.05</v>
      </c>
      <c r="M3034" t="s">
        <v>5032</v>
      </c>
      <c r="N3034" t="s">
        <v>5031</v>
      </c>
    </row>
    <row r="3035" spans="1:14" x14ac:dyDescent="0.3">
      <c r="A3035" t="s">
        <v>3059</v>
      </c>
      <c r="B3035" t="s">
        <v>12</v>
      </c>
      <c r="C3035" t="s">
        <v>35</v>
      </c>
      <c r="D3035">
        <v>68</v>
      </c>
      <c r="E3035" t="s">
        <v>26</v>
      </c>
      <c r="F3035" t="s">
        <v>15</v>
      </c>
      <c r="G3035">
        <v>110.8</v>
      </c>
      <c r="H3035">
        <v>7553.6</v>
      </c>
      <c r="I3035" t="s">
        <v>15</v>
      </c>
      <c r="J3035" t="s">
        <v>16</v>
      </c>
      <c r="K3035" t="s">
        <v>24</v>
      </c>
      <c r="L3035">
        <v>7553.6</v>
      </c>
      <c r="M3035" t="s">
        <v>5033</v>
      </c>
      <c r="N3035" t="s">
        <v>5034</v>
      </c>
    </row>
    <row r="3036" spans="1:14" x14ac:dyDescent="0.3">
      <c r="A3036" t="s">
        <v>3060</v>
      </c>
      <c r="B3036" t="s">
        <v>19</v>
      </c>
      <c r="C3036" t="s">
        <v>13</v>
      </c>
      <c r="D3036">
        <v>1</v>
      </c>
      <c r="E3036" t="s">
        <v>26</v>
      </c>
      <c r="F3036" t="s">
        <v>15</v>
      </c>
      <c r="G3036">
        <v>84.5</v>
      </c>
      <c r="H3036">
        <v>84.5</v>
      </c>
      <c r="I3036" t="s">
        <v>16</v>
      </c>
      <c r="J3036" t="s">
        <v>15</v>
      </c>
      <c r="K3036" t="s">
        <v>17</v>
      </c>
      <c r="L3036">
        <v>84.5</v>
      </c>
      <c r="M3036" t="s">
        <v>5030</v>
      </c>
      <c r="N3036" t="s">
        <v>5031</v>
      </c>
    </row>
    <row r="3037" spans="1:14" x14ac:dyDescent="0.3">
      <c r="A3037" t="s">
        <v>3061</v>
      </c>
      <c r="B3037" t="s">
        <v>12</v>
      </c>
      <c r="C3037" t="s">
        <v>13</v>
      </c>
      <c r="D3037">
        <v>25</v>
      </c>
      <c r="E3037" t="s">
        <v>26</v>
      </c>
      <c r="F3037" t="s">
        <v>15</v>
      </c>
      <c r="G3037">
        <v>69.3</v>
      </c>
      <c r="H3037">
        <v>1813.1</v>
      </c>
      <c r="I3037" t="s">
        <v>15</v>
      </c>
      <c r="J3037" t="s">
        <v>16</v>
      </c>
      <c r="K3037" t="s">
        <v>17</v>
      </c>
      <c r="L3037">
        <v>1813.1</v>
      </c>
      <c r="M3037" t="s">
        <v>5032</v>
      </c>
      <c r="N3037" t="s">
        <v>5031</v>
      </c>
    </row>
    <row r="3038" spans="1:14" x14ac:dyDescent="0.3">
      <c r="A3038" t="s">
        <v>3062</v>
      </c>
      <c r="B3038" t="s">
        <v>19</v>
      </c>
      <c r="C3038" t="s">
        <v>20</v>
      </c>
      <c r="D3038">
        <v>67</v>
      </c>
      <c r="E3038" t="s">
        <v>14</v>
      </c>
      <c r="F3038" t="s">
        <v>16</v>
      </c>
      <c r="G3038">
        <v>49.35</v>
      </c>
      <c r="H3038">
        <v>3321.35</v>
      </c>
      <c r="I3038" t="s">
        <v>15</v>
      </c>
      <c r="J3038" t="s">
        <v>16</v>
      </c>
      <c r="K3038" t="s">
        <v>24</v>
      </c>
      <c r="L3038">
        <v>3321.35</v>
      </c>
      <c r="M3038" t="s">
        <v>5033</v>
      </c>
      <c r="N3038" t="s">
        <v>5034</v>
      </c>
    </row>
    <row r="3039" spans="1:14" x14ac:dyDescent="0.3">
      <c r="A3039" t="s">
        <v>3063</v>
      </c>
      <c r="B3039" t="s">
        <v>19</v>
      </c>
      <c r="C3039" t="s">
        <v>20</v>
      </c>
      <c r="D3039">
        <v>32</v>
      </c>
      <c r="E3039" t="s">
        <v>15</v>
      </c>
      <c r="F3039" t="s">
        <v>36</v>
      </c>
      <c r="G3039">
        <v>20.350000000000001</v>
      </c>
      <c r="H3039">
        <v>707.5</v>
      </c>
      <c r="I3039" t="s">
        <v>15</v>
      </c>
      <c r="J3039" t="s">
        <v>15</v>
      </c>
      <c r="K3039" t="s">
        <v>29</v>
      </c>
      <c r="L3039">
        <v>707.5</v>
      </c>
      <c r="M3039" t="s">
        <v>5032</v>
      </c>
      <c r="N3039" t="s">
        <v>5031</v>
      </c>
    </row>
    <row r="3040" spans="1:14" x14ac:dyDescent="0.3">
      <c r="A3040" t="s">
        <v>3064</v>
      </c>
      <c r="B3040" t="s">
        <v>12</v>
      </c>
      <c r="C3040" t="s">
        <v>20</v>
      </c>
      <c r="D3040">
        <v>67</v>
      </c>
      <c r="E3040" t="s">
        <v>26</v>
      </c>
      <c r="F3040" t="s">
        <v>15</v>
      </c>
      <c r="G3040">
        <v>105.6</v>
      </c>
      <c r="H3040">
        <v>7112.15</v>
      </c>
      <c r="I3040" t="s">
        <v>15</v>
      </c>
      <c r="J3040" t="s">
        <v>16</v>
      </c>
      <c r="K3040" t="s">
        <v>17</v>
      </c>
      <c r="L3040">
        <v>7112.15</v>
      </c>
      <c r="M3040" t="s">
        <v>5033</v>
      </c>
      <c r="N3040" t="s">
        <v>5034</v>
      </c>
    </row>
    <row r="3041" spans="1:14" x14ac:dyDescent="0.3">
      <c r="A3041" t="s">
        <v>3065</v>
      </c>
      <c r="B3041" t="s">
        <v>19</v>
      </c>
      <c r="C3041" t="s">
        <v>35</v>
      </c>
      <c r="D3041">
        <v>72</v>
      </c>
      <c r="E3041" t="s">
        <v>14</v>
      </c>
      <c r="F3041" t="s">
        <v>16</v>
      </c>
      <c r="G3041">
        <v>64.45</v>
      </c>
      <c r="H3041">
        <v>4641.1000000000004</v>
      </c>
      <c r="I3041" t="s">
        <v>15</v>
      </c>
      <c r="J3041" t="s">
        <v>16</v>
      </c>
      <c r="K3041" t="s">
        <v>29</v>
      </c>
      <c r="L3041">
        <v>4641.1000000000004</v>
      </c>
      <c r="M3041" t="s">
        <v>5033</v>
      </c>
      <c r="N3041" t="s">
        <v>5034</v>
      </c>
    </row>
    <row r="3042" spans="1:14" x14ac:dyDescent="0.3">
      <c r="A3042" t="s">
        <v>3066</v>
      </c>
      <c r="B3042" t="s">
        <v>19</v>
      </c>
      <c r="C3042" t="s">
        <v>35</v>
      </c>
      <c r="D3042">
        <v>71</v>
      </c>
      <c r="E3042" t="s">
        <v>26</v>
      </c>
      <c r="F3042" t="s">
        <v>16</v>
      </c>
      <c r="G3042">
        <v>108.6</v>
      </c>
      <c r="H3042">
        <v>7690.9</v>
      </c>
      <c r="I3042" t="s">
        <v>16</v>
      </c>
      <c r="J3042" t="s">
        <v>16</v>
      </c>
      <c r="K3042" t="s">
        <v>29</v>
      </c>
      <c r="L3042">
        <v>7690.9</v>
      </c>
      <c r="M3042" t="s">
        <v>5033</v>
      </c>
      <c r="N3042" t="s">
        <v>5034</v>
      </c>
    </row>
    <row r="3043" spans="1:14" x14ac:dyDescent="0.3">
      <c r="A3043" t="s">
        <v>3067</v>
      </c>
      <c r="B3043" t="s">
        <v>19</v>
      </c>
      <c r="C3043" t="s">
        <v>13</v>
      </c>
      <c r="D3043">
        <v>1</v>
      </c>
      <c r="E3043" t="s">
        <v>14</v>
      </c>
      <c r="F3043" t="s">
        <v>15</v>
      </c>
      <c r="G3043">
        <v>49.9</v>
      </c>
      <c r="H3043">
        <v>49.9</v>
      </c>
      <c r="I3043" t="s">
        <v>15</v>
      </c>
      <c r="J3043" t="s">
        <v>16</v>
      </c>
      <c r="K3043" t="s">
        <v>17</v>
      </c>
      <c r="L3043">
        <v>49.9</v>
      </c>
      <c r="M3043" t="s">
        <v>5030</v>
      </c>
      <c r="N3043" t="s">
        <v>5031</v>
      </c>
    </row>
    <row r="3044" spans="1:14" x14ac:dyDescent="0.3">
      <c r="A3044" t="s">
        <v>3068</v>
      </c>
      <c r="B3044" t="s">
        <v>19</v>
      </c>
      <c r="C3044" t="s">
        <v>13</v>
      </c>
      <c r="D3044">
        <v>46</v>
      </c>
      <c r="E3044" t="s">
        <v>14</v>
      </c>
      <c r="F3044" t="s">
        <v>15</v>
      </c>
      <c r="G3044">
        <v>30.3</v>
      </c>
      <c r="H3044">
        <v>1380.1</v>
      </c>
      <c r="I3044" t="s">
        <v>16</v>
      </c>
      <c r="J3044" t="s">
        <v>15</v>
      </c>
      <c r="K3044" t="s">
        <v>24</v>
      </c>
      <c r="L3044">
        <v>1380.1</v>
      </c>
      <c r="M3044" t="s">
        <v>5033</v>
      </c>
      <c r="N3044" t="s">
        <v>5031</v>
      </c>
    </row>
    <row r="3045" spans="1:14" x14ac:dyDescent="0.3">
      <c r="A3045" t="s">
        <v>3069</v>
      </c>
      <c r="B3045" t="s">
        <v>12</v>
      </c>
      <c r="C3045" t="s">
        <v>13</v>
      </c>
      <c r="D3045">
        <v>2</v>
      </c>
      <c r="E3045" t="s">
        <v>14</v>
      </c>
      <c r="F3045" t="s">
        <v>15</v>
      </c>
      <c r="G3045">
        <v>30.4</v>
      </c>
      <c r="H3045">
        <v>78.650000000000006</v>
      </c>
      <c r="I3045" t="s">
        <v>16</v>
      </c>
      <c r="J3045" t="s">
        <v>16</v>
      </c>
      <c r="K3045" t="s">
        <v>17</v>
      </c>
      <c r="L3045">
        <v>78.650000000000006</v>
      </c>
      <c r="M3045" t="s">
        <v>5030</v>
      </c>
      <c r="N3045" t="s">
        <v>5031</v>
      </c>
    </row>
    <row r="3046" spans="1:14" x14ac:dyDescent="0.3">
      <c r="A3046" t="s">
        <v>3070</v>
      </c>
      <c r="B3046" t="s">
        <v>12</v>
      </c>
      <c r="C3046" t="s">
        <v>13</v>
      </c>
      <c r="D3046">
        <v>1</v>
      </c>
      <c r="E3046" t="s">
        <v>14</v>
      </c>
      <c r="F3046" t="s">
        <v>15</v>
      </c>
      <c r="G3046">
        <v>45.4</v>
      </c>
      <c r="H3046">
        <v>45.4</v>
      </c>
      <c r="I3046" t="s">
        <v>16</v>
      </c>
      <c r="J3046" t="s">
        <v>16</v>
      </c>
      <c r="K3046" t="s">
        <v>21</v>
      </c>
      <c r="L3046">
        <v>45.4</v>
      </c>
      <c r="M3046" t="s">
        <v>5030</v>
      </c>
      <c r="N3046" t="s">
        <v>5031</v>
      </c>
    </row>
    <row r="3047" spans="1:14" x14ac:dyDescent="0.3">
      <c r="A3047" t="s">
        <v>3071</v>
      </c>
      <c r="B3047" t="s">
        <v>12</v>
      </c>
      <c r="C3047" t="s">
        <v>20</v>
      </c>
      <c r="D3047">
        <v>48</v>
      </c>
      <c r="E3047" t="s">
        <v>14</v>
      </c>
      <c r="F3047" t="s">
        <v>15</v>
      </c>
      <c r="G3047">
        <v>65.650000000000006</v>
      </c>
      <c r="H3047">
        <v>3094.65</v>
      </c>
      <c r="I3047" t="s">
        <v>15</v>
      </c>
      <c r="J3047" t="s">
        <v>16</v>
      </c>
      <c r="K3047" t="s">
        <v>17</v>
      </c>
      <c r="L3047">
        <v>3094.65</v>
      </c>
      <c r="M3047" t="s">
        <v>5033</v>
      </c>
      <c r="N3047" t="s">
        <v>5034</v>
      </c>
    </row>
    <row r="3048" spans="1:14" x14ac:dyDescent="0.3">
      <c r="A3048" t="s">
        <v>3072</v>
      </c>
      <c r="B3048" t="s">
        <v>12</v>
      </c>
      <c r="C3048" t="s">
        <v>20</v>
      </c>
      <c r="D3048">
        <v>61</v>
      </c>
      <c r="E3048" t="s">
        <v>26</v>
      </c>
      <c r="F3048" t="s">
        <v>16</v>
      </c>
      <c r="G3048">
        <v>103.3</v>
      </c>
      <c r="H3048">
        <v>6518.35</v>
      </c>
      <c r="I3048" t="s">
        <v>15</v>
      </c>
      <c r="J3048" t="s">
        <v>16</v>
      </c>
      <c r="K3048" t="s">
        <v>24</v>
      </c>
      <c r="L3048">
        <v>6518.35</v>
      </c>
      <c r="M3048" t="s">
        <v>5033</v>
      </c>
      <c r="N3048" t="s">
        <v>5034</v>
      </c>
    </row>
    <row r="3049" spans="1:14" x14ac:dyDescent="0.3">
      <c r="A3049" t="s">
        <v>3073</v>
      </c>
      <c r="B3049" t="s">
        <v>12</v>
      </c>
      <c r="C3049" t="s">
        <v>13</v>
      </c>
      <c r="D3049">
        <v>32</v>
      </c>
      <c r="E3049" t="s">
        <v>26</v>
      </c>
      <c r="F3049" t="s">
        <v>15</v>
      </c>
      <c r="G3049">
        <v>84.15</v>
      </c>
      <c r="H3049">
        <v>2585.9499999999998</v>
      </c>
      <c r="I3049" t="s">
        <v>16</v>
      </c>
      <c r="J3049" t="s">
        <v>15</v>
      </c>
      <c r="K3049" t="s">
        <v>24</v>
      </c>
      <c r="L3049">
        <v>2585.9499999999998</v>
      </c>
      <c r="M3049" t="s">
        <v>5032</v>
      </c>
      <c r="N3049" t="s">
        <v>5034</v>
      </c>
    </row>
    <row r="3050" spans="1:14" x14ac:dyDescent="0.3">
      <c r="A3050" t="s">
        <v>3074</v>
      </c>
      <c r="B3050" t="s">
        <v>12</v>
      </c>
      <c r="C3050" t="s">
        <v>13</v>
      </c>
      <c r="D3050">
        <v>2</v>
      </c>
      <c r="E3050" t="s">
        <v>14</v>
      </c>
      <c r="F3050" t="s">
        <v>15</v>
      </c>
      <c r="G3050">
        <v>44.45</v>
      </c>
      <c r="H3050">
        <v>82.7</v>
      </c>
      <c r="I3050" t="s">
        <v>15</v>
      </c>
      <c r="J3050" t="s">
        <v>15</v>
      </c>
      <c r="K3050" t="s">
        <v>17</v>
      </c>
      <c r="L3050">
        <v>82.7</v>
      </c>
      <c r="M3050" t="s">
        <v>5030</v>
      </c>
      <c r="N3050" t="s">
        <v>5031</v>
      </c>
    </row>
    <row r="3051" spans="1:14" x14ac:dyDescent="0.3">
      <c r="A3051" t="s">
        <v>3075</v>
      </c>
      <c r="B3051" t="s">
        <v>12</v>
      </c>
      <c r="C3051" t="s">
        <v>13</v>
      </c>
      <c r="D3051">
        <v>3</v>
      </c>
      <c r="E3051" t="s">
        <v>15</v>
      </c>
      <c r="F3051" t="s">
        <v>36</v>
      </c>
      <c r="G3051">
        <v>19.75</v>
      </c>
      <c r="H3051">
        <v>58.85</v>
      </c>
      <c r="I3051" t="s">
        <v>16</v>
      </c>
      <c r="J3051" t="s">
        <v>15</v>
      </c>
      <c r="K3051" t="s">
        <v>17</v>
      </c>
      <c r="L3051">
        <v>58.85</v>
      </c>
      <c r="M3051" t="s">
        <v>5030</v>
      </c>
      <c r="N3051" t="s">
        <v>5031</v>
      </c>
    </row>
    <row r="3052" spans="1:14" x14ac:dyDescent="0.3">
      <c r="A3052" t="s">
        <v>3076</v>
      </c>
      <c r="B3052" t="s">
        <v>12</v>
      </c>
      <c r="C3052" t="s">
        <v>13</v>
      </c>
      <c r="D3052">
        <v>5</v>
      </c>
      <c r="E3052" t="s">
        <v>26</v>
      </c>
      <c r="F3052" t="s">
        <v>16</v>
      </c>
      <c r="G3052">
        <v>85.4</v>
      </c>
      <c r="H3052">
        <v>425.9</v>
      </c>
      <c r="I3052" t="s">
        <v>16</v>
      </c>
      <c r="J3052" t="s">
        <v>16</v>
      </c>
      <c r="K3052" t="s">
        <v>29</v>
      </c>
      <c r="L3052">
        <v>425.9</v>
      </c>
      <c r="M3052" t="s">
        <v>5030</v>
      </c>
      <c r="N3052" t="s">
        <v>5031</v>
      </c>
    </row>
    <row r="3053" spans="1:14" x14ac:dyDescent="0.3">
      <c r="A3053" t="s">
        <v>3077</v>
      </c>
      <c r="B3053" t="s">
        <v>12</v>
      </c>
      <c r="C3053" t="s">
        <v>35</v>
      </c>
      <c r="D3053">
        <v>71</v>
      </c>
      <c r="E3053" t="s">
        <v>14</v>
      </c>
      <c r="F3053" t="s">
        <v>16</v>
      </c>
      <c r="G3053">
        <v>89.9</v>
      </c>
      <c r="H3053">
        <v>6342.7</v>
      </c>
      <c r="I3053" t="s">
        <v>15</v>
      </c>
      <c r="J3053" t="s">
        <v>15</v>
      </c>
      <c r="K3053" t="s">
        <v>24</v>
      </c>
      <c r="L3053">
        <v>6342.7</v>
      </c>
      <c r="M3053" t="s">
        <v>5033</v>
      </c>
      <c r="N3053" t="s">
        <v>5034</v>
      </c>
    </row>
    <row r="3054" spans="1:14" x14ac:dyDescent="0.3">
      <c r="A3054" t="s">
        <v>3078</v>
      </c>
      <c r="B3054" t="s">
        <v>19</v>
      </c>
      <c r="C3054" t="s">
        <v>13</v>
      </c>
      <c r="D3054">
        <v>37</v>
      </c>
      <c r="E3054" t="s">
        <v>14</v>
      </c>
      <c r="F3054" t="s">
        <v>15</v>
      </c>
      <c r="G3054">
        <v>55.05</v>
      </c>
      <c r="H3054">
        <v>2030.75</v>
      </c>
      <c r="I3054" t="s">
        <v>15</v>
      </c>
      <c r="J3054" t="s">
        <v>16</v>
      </c>
      <c r="K3054" t="s">
        <v>21</v>
      </c>
      <c r="L3054">
        <v>2030.75</v>
      </c>
      <c r="M3054" t="s">
        <v>5033</v>
      </c>
      <c r="N3054" t="s">
        <v>5031</v>
      </c>
    </row>
    <row r="3055" spans="1:14" x14ac:dyDescent="0.3">
      <c r="A3055" t="s">
        <v>3079</v>
      </c>
      <c r="B3055" t="s">
        <v>19</v>
      </c>
      <c r="C3055" t="s">
        <v>35</v>
      </c>
      <c r="D3055">
        <v>65</v>
      </c>
      <c r="E3055" t="s">
        <v>26</v>
      </c>
      <c r="F3055" t="s">
        <v>16</v>
      </c>
      <c r="G3055">
        <v>104.1</v>
      </c>
      <c r="H3055">
        <v>6700.05</v>
      </c>
      <c r="I3055" t="s">
        <v>15</v>
      </c>
      <c r="J3055" t="s">
        <v>16</v>
      </c>
      <c r="K3055" t="s">
        <v>24</v>
      </c>
      <c r="L3055">
        <v>6700.05</v>
      </c>
      <c r="M3055" t="s">
        <v>5033</v>
      </c>
      <c r="N3055" t="s">
        <v>5034</v>
      </c>
    </row>
    <row r="3056" spans="1:14" x14ac:dyDescent="0.3">
      <c r="A3056" t="s">
        <v>3080</v>
      </c>
      <c r="B3056" t="s">
        <v>12</v>
      </c>
      <c r="C3056" t="s">
        <v>20</v>
      </c>
      <c r="D3056">
        <v>67</v>
      </c>
      <c r="E3056" t="s">
        <v>26</v>
      </c>
      <c r="F3056" t="s">
        <v>16</v>
      </c>
      <c r="G3056">
        <v>106.6</v>
      </c>
      <c r="H3056">
        <v>7244.7</v>
      </c>
      <c r="I3056" t="s">
        <v>15</v>
      </c>
      <c r="J3056" t="s">
        <v>16</v>
      </c>
      <c r="K3056" t="s">
        <v>24</v>
      </c>
      <c r="L3056">
        <v>7244.7</v>
      </c>
      <c r="M3056" t="s">
        <v>5033</v>
      </c>
      <c r="N3056" t="s">
        <v>5034</v>
      </c>
    </row>
    <row r="3057" spans="1:14" x14ac:dyDescent="0.3">
      <c r="A3057" t="s">
        <v>3081</v>
      </c>
      <c r="B3057" t="s">
        <v>19</v>
      </c>
      <c r="C3057" t="s">
        <v>13</v>
      </c>
      <c r="D3057">
        <v>49</v>
      </c>
      <c r="E3057" t="s">
        <v>26</v>
      </c>
      <c r="F3057" t="s">
        <v>15</v>
      </c>
      <c r="G3057">
        <v>75.2</v>
      </c>
      <c r="H3057">
        <v>3678.3</v>
      </c>
      <c r="I3057" t="s">
        <v>16</v>
      </c>
      <c r="J3057" t="s">
        <v>15</v>
      </c>
      <c r="K3057" t="s">
        <v>29</v>
      </c>
      <c r="L3057">
        <v>3678.3</v>
      </c>
      <c r="M3057" t="s">
        <v>5033</v>
      </c>
      <c r="N3057" t="s">
        <v>5034</v>
      </c>
    </row>
    <row r="3058" spans="1:14" x14ac:dyDescent="0.3">
      <c r="A3058" t="s">
        <v>3082</v>
      </c>
      <c r="B3058" t="s">
        <v>19</v>
      </c>
      <c r="C3058" t="s">
        <v>35</v>
      </c>
      <c r="D3058">
        <v>50</v>
      </c>
      <c r="E3058" t="s">
        <v>14</v>
      </c>
      <c r="F3058" t="s">
        <v>16</v>
      </c>
      <c r="G3058">
        <v>70.5</v>
      </c>
      <c r="H3058">
        <v>3486.65</v>
      </c>
      <c r="I3058" t="s">
        <v>15</v>
      </c>
      <c r="J3058" t="s">
        <v>16</v>
      </c>
      <c r="K3058" t="s">
        <v>29</v>
      </c>
      <c r="L3058">
        <v>3486.65</v>
      </c>
      <c r="M3058" t="s">
        <v>5033</v>
      </c>
      <c r="N3058" t="s">
        <v>5034</v>
      </c>
    </row>
    <row r="3059" spans="1:14" x14ac:dyDescent="0.3">
      <c r="A3059" t="s">
        <v>3083</v>
      </c>
      <c r="B3059" t="s">
        <v>19</v>
      </c>
      <c r="C3059" t="s">
        <v>20</v>
      </c>
      <c r="D3059">
        <v>25</v>
      </c>
      <c r="E3059" t="s">
        <v>15</v>
      </c>
      <c r="F3059" t="s">
        <v>36</v>
      </c>
      <c r="G3059">
        <v>19.600000000000001</v>
      </c>
      <c r="H3059">
        <v>411.15</v>
      </c>
      <c r="I3059" t="s">
        <v>15</v>
      </c>
      <c r="J3059" t="s">
        <v>15</v>
      </c>
      <c r="K3059" t="s">
        <v>17</v>
      </c>
      <c r="L3059">
        <v>411.15</v>
      </c>
      <c r="M3059" t="s">
        <v>5032</v>
      </c>
      <c r="N3059" t="s">
        <v>5031</v>
      </c>
    </row>
    <row r="3060" spans="1:14" x14ac:dyDescent="0.3">
      <c r="A3060" t="s">
        <v>3084</v>
      </c>
      <c r="B3060" t="s">
        <v>12</v>
      </c>
      <c r="C3060" t="s">
        <v>20</v>
      </c>
      <c r="D3060">
        <v>17</v>
      </c>
      <c r="E3060" t="s">
        <v>14</v>
      </c>
      <c r="F3060" t="s">
        <v>15</v>
      </c>
      <c r="G3060">
        <v>55.85</v>
      </c>
      <c r="H3060">
        <v>937.5</v>
      </c>
      <c r="I3060" t="s">
        <v>16</v>
      </c>
      <c r="J3060" t="s">
        <v>16</v>
      </c>
      <c r="K3060" t="s">
        <v>21</v>
      </c>
      <c r="L3060">
        <v>937.5</v>
      </c>
      <c r="M3060" t="s">
        <v>5032</v>
      </c>
      <c r="N3060" t="s">
        <v>5031</v>
      </c>
    </row>
    <row r="3061" spans="1:14" x14ac:dyDescent="0.3">
      <c r="A3061" t="s">
        <v>3085</v>
      </c>
      <c r="B3061" t="s">
        <v>12</v>
      </c>
      <c r="C3061" t="s">
        <v>35</v>
      </c>
      <c r="D3061">
        <v>64</v>
      </c>
      <c r="E3061" t="s">
        <v>15</v>
      </c>
      <c r="F3061" t="s">
        <v>36</v>
      </c>
      <c r="G3061">
        <v>24.05</v>
      </c>
      <c r="H3061">
        <v>1559.15</v>
      </c>
      <c r="I3061" t="s">
        <v>15</v>
      </c>
      <c r="J3061" t="s">
        <v>16</v>
      </c>
      <c r="K3061" t="s">
        <v>21</v>
      </c>
      <c r="L3061">
        <v>1559.15</v>
      </c>
      <c r="M3061" t="s">
        <v>5033</v>
      </c>
      <c r="N3061" t="s">
        <v>5031</v>
      </c>
    </row>
    <row r="3062" spans="1:14" x14ac:dyDescent="0.3">
      <c r="A3062" t="s">
        <v>3086</v>
      </c>
      <c r="B3062" t="s">
        <v>19</v>
      </c>
      <c r="C3062" t="s">
        <v>20</v>
      </c>
      <c r="D3062">
        <v>25</v>
      </c>
      <c r="E3062" t="s">
        <v>14</v>
      </c>
      <c r="F3062" t="s">
        <v>15</v>
      </c>
      <c r="G3062">
        <v>38.1</v>
      </c>
      <c r="H3062">
        <v>970.4</v>
      </c>
      <c r="I3062" t="s">
        <v>15</v>
      </c>
      <c r="J3062" t="s">
        <v>16</v>
      </c>
      <c r="K3062" t="s">
        <v>29</v>
      </c>
      <c r="L3062">
        <v>970.4</v>
      </c>
      <c r="M3062" t="s">
        <v>5032</v>
      </c>
      <c r="N3062" t="s">
        <v>5031</v>
      </c>
    </row>
    <row r="3063" spans="1:14" x14ac:dyDescent="0.3">
      <c r="A3063" t="s">
        <v>3087</v>
      </c>
      <c r="B3063" t="s">
        <v>19</v>
      </c>
      <c r="C3063" t="s">
        <v>13</v>
      </c>
      <c r="D3063">
        <v>23</v>
      </c>
      <c r="E3063" t="s">
        <v>26</v>
      </c>
      <c r="F3063" t="s">
        <v>15</v>
      </c>
      <c r="G3063">
        <v>106.4</v>
      </c>
      <c r="H3063">
        <v>2483.5</v>
      </c>
      <c r="I3063" t="s">
        <v>16</v>
      </c>
      <c r="J3063" t="s">
        <v>16</v>
      </c>
      <c r="K3063" t="s">
        <v>17</v>
      </c>
      <c r="L3063">
        <v>2483.5</v>
      </c>
      <c r="M3063" t="s">
        <v>5032</v>
      </c>
      <c r="N3063" t="s">
        <v>5031</v>
      </c>
    </row>
    <row r="3064" spans="1:14" x14ac:dyDescent="0.3">
      <c r="A3064" t="s">
        <v>3088</v>
      </c>
      <c r="B3064" t="s">
        <v>19</v>
      </c>
      <c r="C3064" t="s">
        <v>13</v>
      </c>
      <c r="D3064">
        <v>24</v>
      </c>
      <c r="E3064" t="s">
        <v>14</v>
      </c>
      <c r="F3064" t="s">
        <v>16</v>
      </c>
      <c r="G3064">
        <v>34.25</v>
      </c>
      <c r="H3064">
        <v>828.2</v>
      </c>
      <c r="I3064" t="s">
        <v>15</v>
      </c>
      <c r="J3064" t="s">
        <v>15</v>
      </c>
      <c r="K3064" t="s">
        <v>21</v>
      </c>
      <c r="L3064">
        <v>828.2</v>
      </c>
      <c r="M3064" t="s">
        <v>5032</v>
      </c>
      <c r="N3064" t="s">
        <v>5031</v>
      </c>
    </row>
    <row r="3065" spans="1:14" x14ac:dyDescent="0.3">
      <c r="A3065" t="s">
        <v>3089</v>
      </c>
      <c r="B3065" t="s">
        <v>12</v>
      </c>
      <c r="C3065" t="s">
        <v>13</v>
      </c>
      <c r="D3065">
        <v>37</v>
      </c>
      <c r="E3065" t="s">
        <v>26</v>
      </c>
      <c r="F3065" t="s">
        <v>15</v>
      </c>
      <c r="G3065">
        <v>100.05</v>
      </c>
      <c r="H3065">
        <v>3810.55</v>
      </c>
      <c r="I3065" t="s">
        <v>15</v>
      </c>
      <c r="J3065" t="s">
        <v>16</v>
      </c>
      <c r="K3065" t="s">
        <v>17</v>
      </c>
      <c r="L3065">
        <v>3810.55</v>
      </c>
      <c r="M3065" t="s">
        <v>5033</v>
      </c>
      <c r="N3065" t="s">
        <v>5034</v>
      </c>
    </row>
    <row r="3066" spans="1:14" x14ac:dyDescent="0.3">
      <c r="A3066" t="s">
        <v>3090</v>
      </c>
      <c r="B3066" t="s">
        <v>12</v>
      </c>
      <c r="C3066" t="s">
        <v>13</v>
      </c>
      <c r="D3066">
        <v>21</v>
      </c>
      <c r="E3066" t="s">
        <v>26</v>
      </c>
      <c r="F3066" t="s">
        <v>15</v>
      </c>
      <c r="G3066">
        <v>68.650000000000006</v>
      </c>
      <c r="H3066">
        <v>1493.2</v>
      </c>
      <c r="I3066" t="s">
        <v>15</v>
      </c>
      <c r="J3066" t="s">
        <v>16</v>
      </c>
      <c r="K3066" t="s">
        <v>17</v>
      </c>
      <c r="L3066">
        <v>1493.2</v>
      </c>
      <c r="M3066" t="s">
        <v>5032</v>
      </c>
      <c r="N3066" t="s">
        <v>5031</v>
      </c>
    </row>
    <row r="3067" spans="1:14" x14ac:dyDescent="0.3">
      <c r="A3067" t="s">
        <v>3091</v>
      </c>
      <c r="B3067" t="s">
        <v>19</v>
      </c>
      <c r="C3067" t="s">
        <v>13</v>
      </c>
      <c r="D3067">
        <v>1</v>
      </c>
      <c r="E3067" t="s">
        <v>14</v>
      </c>
      <c r="F3067" t="s">
        <v>15</v>
      </c>
      <c r="G3067">
        <v>45.8</v>
      </c>
      <c r="H3067">
        <v>45.8</v>
      </c>
      <c r="I3067" t="s">
        <v>15</v>
      </c>
      <c r="J3067" t="s">
        <v>16</v>
      </c>
      <c r="K3067" t="s">
        <v>21</v>
      </c>
      <c r="L3067">
        <v>45.8</v>
      </c>
      <c r="M3067" t="s">
        <v>5030</v>
      </c>
      <c r="N3067" t="s">
        <v>5031</v>
      </c>
    </row>
    <row r="3068" spans="1:14" x14ac:dyDescent="0.3">
      <c r="A3068" t="s">
        <v>3092</v>
      </c>
      <c r="B3068" t="s">
        <v>12</v>
      </c>
      <c r="C3068" t="s">
        <v>13</v>
      </c>
      <c r="D3068">
        <v>10</v>
      </c>
      <c r="E3068" t="s">
        <v>26</v>
      </c>
      <c r="F3068" t="s">
        <v>15</v>
      </c>
      <c r="G3068">
        <v>75.75</v>
      </c>
      <c r="H3068">
        <v>777.3</v>
      </c>
      <c r="I3068" t="s">
        <v>15</v>
      </c>
      <c r="J3068" t="s">
        <v>16</v>
      </c>
      <c r="K3068" t="s">
        <v>21</v>
      </c>
      <c r="L3068">
        <v>777.3</v>
      </c>
      <c r="M3068" t="s">
        <v>5030</v>
      </c>
      <c r="N3068" t="s">
        <v>5031</v>
      </c>
    </row>
    <row r="3069" spans="1:14" x14ac:dyDescent="0.3">
      <c r="A3069" t="s">
        <v>3093</v>
      </c>
      <c r="B3069" t="s">
        <v>19</v>
      </c>
      <c r="C3069" t="s">
        <v>13</v>
      </c>
      <c r="D3069">
        <v>6</v>
      </c>
      <c r="E3069" t="s">
        <v>26</v>
      </c>
      <c r="F3069" t="s">
        <v>15</v>
      </c>
      <c r="G3069">
        <v>84.4</v>
      </c>
      <c r="H3069">
        <v>556.35</v>
      </c>
      <c r="I3069" t="s">
        <v>16</v>
      </c>
      <c r="J3069" t="s">
        <v>16</v>
      </c>
      <c r="K3069" t="s">
        <v>17</v>
      </c>
      <c r="L3069">
        <v>556.35</v>
      </c>
      <c r="M3069" t="s">
        <v>5030</v>
      </c>
      <c r="N3069" t="s">
        <v>5031</v>
      </c>
    </row>
    <row r="3070" spans="1:14" x14ac:dyDescent="0.3">
      <c r="A3070" t="s">
        <v>3094</v>
      </c>
      <c r="B3070" t="s">
        <v>19</v>
      </c>
      <c r="C3070" t="s">
        <v>20</v>
      </c>
      <c r="D3070">
        <v>51</v>
      </c>
      <c r="E3070" t="s">
        <v>26</v>
      </c>
      <c r="F3070" t="s">
        <v>15</v>
      </c>
      <c r="G3070">
        <v>96.4</v>
      </c>
      <c r="H3070">
        <v>4911.05</v>
      </c>
      <c r="I3070" t="s">
        <v>15</v>
      </c>
      <c r="J3070" t="s">
        <v>16</v>
      </c>
      <c r="K3070" t="s">
        <v>29</v>
      </c>
      <c r="L3070">
        <v>4911.05</v>
      </c>
      <c r="M3070" t="s">
        <v>5033</v>
      </c>
      <c r="N3070" t="s">
        <v>5034</v>
      </c>
    </row>
    <row r="3071" spans="1:14" x14ac:dyDescent="0.3">
      <c r="A3071" t="s">
        <v>3095</v>
      </c>
      <c r="B3071" t="s">
        <v>12</v>
      </c>
      <c r="C3071" t="s">
        <v>13</v>
      </c>
      <c r="D3071">
        <v>10</v>
      </c>
      <c r="E3071" t="s">
        <v>15</v>
      </c>
      <c r="F3071" t="s">
        <v>36</v>
      </c>
      <c r="G3071">
        <v>20.55</v>
      </c>
      <c r="H3071">
        <v>187.35</v>
      </c>
      <c r="I3071" t="s">
        <v>15</v>
      </c>
      <c r="J3071" t="s">
        <v>16</v>
      </c>
      <c r="K3071" t="s">
        <v>21</v>
      </c>
      <c r="L3071">
        <v>187.35</v>
      </c>
      <c r="M3071" t="s">
        <v>5030</v>
      </c>
      <c r="N3071" t="s">
        <v>5031</v>
      </c>
    </row>
    <row r="3072" spans="1:14" x14ac:dyDescent="0.3">
      <c r="A3072" t="s">
        <v>3096</v>
      </c>
      <c r="B3072" t="s">
        <v>12</v>
      </c>
      <c r="C3072" t="s">
        <v>13</v>
      </c>
      <c r="D3072">
        <v>6</v>
      </c>
      <c r="E3072" t="s">
        <v>14</v>
      </c>
      <c r="F3072" t="s">
        <v>16</v>
      </c>
      <c r="G3072">
        <v>50.95</v>
      </c>
      <c r="H3072">
        <v>307.60000000000002</v>
      </c>
      <c r="I3072" t="s">
        <v>15</v>
      </c>
      <c r="J3072" t="s">
        <v>15</v>
      </c>
      <c r="K3072" t="s">
        <v>29</v>
      </c>
      <c r="L3072">
        <v>307.60000000000002</v>
      </c>
      <c r="M3072" t="s">
        <v>5030</v>
      </c>
      <c r="N3072" t="s">
        <v>5031</v>
      </c>
    </row>
    <row r="3073" spans="1:14" x14ac:dyDescent="0.3">
      <c r="A3073" t="s">
        <v>3097</v>
      </c>
      <c r="B3073" t="s">
        <v>19</v>
      </c>
      <c r="C3073" t="s">
        <v>35</v>
      </c>
      <c r="D3073">
        <v>47</v>
      </c>
      <c r="E3073" t="s">
        <v>14</v>
      </c>
      <c r="F3073" t="s">
        <v>16</v>
      </c>
      <c r="G3073">
        <v>90.5</v>
      </c>
      <c r="H3073">
        <v>4318.3500000000004</v>
      </c>
      <c r="I3073" t="s">
        <v>15</v>
      </c>
      <c r="J3073" t="s">
        <v>16</v>
      </c>
      <c r="K3073" t="s">
        <v>21</v>
      </c>
      <c r="L3073">
        <v>4318.3500000000004</v>
      </c>
      <c r="M3073" t="s">
        <v>5033</v>
      </c>
      <c r="N3073" t="s">
        <v>5034</v>
      </c>
    </row>
    <row r="3074" spans="1:14" x14ac:dyDescent="0.3">
      <c r="A3074" t="s">
        <v>3098</v>
      </c>
      <c r="B3074" t="s">
        <v>12</v>
      </c>
      <c r="C3074" t="s">
        <v>20</v>
      </c>
      <c r="D3074">
        <v>61</v>
      </c>
      <c r="E3074" t="s">
        <v>14</v>
      </c>
      <c r="F3074" t="s">
        <v>16</v>
      </c>
      <c r="G3074">
        <v>79.400000000000006</v>
      </c>
      <c r="H3074">
        <v>4820.55</v>
      </c>
      <c r="I3074" t="s">
        <v>15</v>
      </c>
      <c r="J3074" t="s">
        <v>16</v>
      </c>
      <c r="K3074" t="s">
        <v>17</v>
      </c>
      <c r="L3074">
        <v>4820.55</v>
      </c>
      <c r="M3074" t="s">
        <v>5033</v>
      </c>
      <c r="N3074" t="s">
        <v>5034</v>
      </c>
    </row>
    <row r="3075" spans="1:14" x14ac:dyDescent="0.3">
      <c r="A3075" t="s">
        <v>3099</v>
      </c>
      <c r="B3075" t="s">
        <v>12</v>
      </c>
      <c r="C3075" t="s">
        <v>35</v>
      </c>
      <c r="D3075">
        <v>52</v>
      </c>
      <c r="E3075" t="s">
        <v>14</v>
      </c>
      <c r="F3075" t="s">
        <v>15</v>
      </c>
      <c r="G3075">
        <v>58.75</v>
      </c>
      <c r="H3075">
        <v>3038.55</v>
      </c>
      <c r="I3075" t="s">
        <v>15</v>
      </c>
      <c r="J3075" t="s">
        <v>16</v>
      </c>
      <c r="K3075" t="s">
        <v>24</v>
      </c>
      <c r="L3075">
        <v>3038.55</v>
      </c>
      <c r="M3075" t="s">
        <v>5033</v>
      </c>
      <c r="N3075" t="s">
        <v>5034</v>
      </c>
    </row>
    <row r="3076" spans="1:14" x14ac:dyDescent="0.3">
      <c r="A3076" t="s">
        <v>3100</v>
      </c>
      <c r="B3076" t="s">
        <v>12</v>
      </c>
      <c r="C3076" t="s">
        <v>13</v>
      </c>
      <c r="D3076">
        <v>35</v>
      </c>
      <c r="E3076" t="s">
        <v>14</v>
      </c>
      <c r="F3076" t="s">
        <v>15</v>
      </c>
      <c r="G3076">
        <v>59.45</v>
      </c>
      <c r="H3076">
        <v>2136.9</v>
      </c>
      <c r="I3076" t="s">
        <v>15</v>
      </c>
      <c r="J3076" t="s">
        <v>16</v>
      </c>
      <c r="K3076" t="s">
        <v>29</v>
      </c>
      <c r="L3076">
        <v>2136.9</v>
      </c>
      <c r="M3076" t="s">
        <v>5032</v>
      </c>
      <c r="N3076" t="s">
        <v>5031</v>
      </c>
    </row>
    <row r="3077" spans="1:14" x14ac:dyDescent="0.3">
      <c r="A3077" t="s">
        <v>3101</v>
      </c>
      <c r="B3077" t="s">
        <v>19</v>
      </c>
      <c r="C3077" t="s">
        <v>20</v>
      </c>
      <c r="D3077">
        <v>71</v>
      </c>
      <c r="E3077" t="s">
        <v>26</v>
      </c>
      <c r="F3077" t="s">
        <v>15</v>
      </c>
      <c r="G3077">
        <v>105.7</v>
      </c>
      <c r="H3077">
        <v>7472.15</v>
      </c>
      <c r="I3077" t="s">
        <v>15</v>
      </c>
      <c r="J3077" t="s">
        <v>16</v>
      </c>
      <c r="K3077" t="s">
        <v>24</v>
      </c>
      <c r="L3077">
        <v>7472.15</v>
      </c>
      <c r="M3077" t="s">
        <v>5033</v>
      </c>
      <c r="N3077" t="s">
        <v>5034</v>
      </c>
    </row>
    <row r="3078" spans="1:14" x14ac:dyDescent="0.3">
      <c r="A3078" t="s">
        <v>3102</v>
      </c>
      <c r="B3078" t="s">
        <v>12</v>
      </c>
      <c r="C3078" t="s">
        <v>13</v>
      </c>
      <c r="D3078">
        <v>6</v>
      </c>
      <c r="E3078" t="s">
        <v>14</v>
      </c>
      <c r="F3078" t="s">
        <v>15</v>
      </c>
      <c r="G3078">
        <v>56.25</v>
      </c>
      <c r="H3078">
        <v>389.1</v>
      </c>
      <c r="I3078" t="s">
        <v>16</v>
      </c>
      <c r="J3078" t="s">
        <v>15</v>
      </c>
      <c r="K3078" t="s">
        <v>17</v>
      </c>
      <c r="L3078">
        <v>389.1</v>
      </c>
      <c r="M3078" t="s">
        <v>5030</v>
      </c>
      <c r="N3078" t="s">
        <v>5031</v>
      </c>
    </row>
    <row r="3079" spans="1:14" x14ac:dyDescent="0.3">
      <c r="A3079" t="s">
        <v>3103</v>
      </c>
      <c r="B3079" t="s">
        <v>19</v>
      </c>
      <c r="C3079" t="s">
        <v>35</v>
      </c>
      <c r="D3079">
        <v>45</v>
      </c>
      <c r="E3079" t="s">
        <v>14</v>
      </c>
      <c r="F3079" t="s">
        <v>15</v>
      </c>
      <c r="G3079">
        <v>53.3</v>
      </c>
      <c r="H3079">
        <v>2296.25</v>
      </c>
      <c r="I3079" t="s">
        <v>15</v>
      </c>
      <c r="J3079" t="s">
        <v>15</v>
      </c>
      <c r="K3079" t="s">
        <v>29</v>
      </c>
      <c r="L3079">
        <v>2296.25</v>
      </c>
      <c r="M3079" t="s">
        <v>5033</v>
      </c>
      <c r="N3079" t="s">
        <v>5031</v>
      </c>
    </row>
    <row r="3080" spans="1:14" x14ac:dyDescent="0.3">
      <c r="A3080" t="s">
        <v>3104</v>
      </c>
      <c r="B3080" t="s">
        <v>12</v>
      </c>
      <c r="C3080" t="s">
        <v>13</v>
      </c>
      <c r="D3080">
        <v>2</v>
      </c>
      <c r="E3080" t="s">
        <v>26</v>
      </c>
      <c r="F3080" t="s">
        <v>15</v>
      </c>
      <c r="G3080">
        <v>85.55</v>
      </c>
      <c r="H3080">
        <v>187.45</v>
      </c>
      <c r="I3080" t="s">
        <v>16</v>
      </c>
      <c r="J3080" t="s">
        <v>16</v>
      </c>
      <c r="K3080" t="s">
        <v>17</v>
      </c>
      <c r="L3080">
        <v>187.45</v>
      </c>
      <c r="M3080" t="s">
        <v>5030</v>
      </c>
      <c r="N3080" t="s">
        <v>5031</v>
      </c>
    </row>
    <row r="3081" spans="1:14" x14ac:dyDescent="0.3">
      <c r="A3081" t="s">
        <v>3105</v>
      </c>
      <c r="B3081" t="s">
        <v>12</v>
      </c>
      <c r="C3081" t="s">
        <v>13</v>
      </c>
      <c r="D3081">
        <v>4</v>
      </c>
      <c r="E3081" t="s">
        <v>14</v>
      </c>
      <c r="F3081" t="s">
        <v>15</v>
      </c>
      <c r="G3081">
        <v>68.650000000000006</v>
      </c>
      <c r="H3081">
        <v>261.25</v>
      </c>
      <c r="I3081" t="s">
        <v>16</v>
      </c>
      <c r="J3081" t="s">
        <v>16</v>
      </c>
      <c r="K3081" t="s">
        <v>24</v>
      </c>
      <c r="L3081">
        <v>261.25</v>
      </c>
      <c r="M3081" t="s">
        <v>5030</v>
      </c>
      <c r="N3081" t="s">
        <v>5031</v>
      </c>
    </row>
    <row r="3082" spans="1:14" x14ac:dyDescent="0.3">
      <c r="A3082" t="s">
        <v>3106</v>
      </c>
      <c r="B3082" t="s">
        <v>19</v>
      </c>
      <c r="C3082" t="s">
        <v>13</v>
      </c>
      <c r="D3082">
        <v>2</v>
      </c>
      <c r="E3082" t="s">
        <v>14</v>
      </c>
      <c r="F3082" t="s">
        <v>15</v>
      </c>
      <c r="G3082">
        <v>24.3</v>
      </c>
      <c r="H3082">
        <v>38.450000000000003</v>
      </c>
      <c r="I3082" t="s">
        <v>15</v>
      </c>
      <c r="J3082" t="s">
        <v>15</v>
      </c>
      <c r="K3082" t="s">
        <v>21</v>
      </c>
      <c r="L3082">
        <v>38.450000000000003</v>
      </c>
      <c r="M3082" t="s">
        <v>5030</v>
      </c>
      <c r="N3082" t="s">
        <v>5031</v>
      </c>
    </row>
    <row r="3083" spans="1:14" x14ac:dyDescent="0.3">
      <c r="A3083" t="s">
        <v>3107</v>
      </c>
      <c r="B3083" t="s">
        <v>19</v>
      </c>
      <c r="C3083" t="s">
        <v>13</v>
      </c>
      <c r="D3083">
        <v>4</v>
      </c>
      <c r="E3083" t="s">
        <v>26</v>
      </c>
      <c r="F3083" t="s">
        <v>15</v>
      </c>
      <c r="G3083">
        <v>77.849999999999994</v>
      </c>
      <c r="H3083">
        <v>299.2</v>
      </c>
      <c r="I3083" t="s">
        <v>16</v>
      </c>
      <c r="J3083" t="s">
        <v>15</v>
      </c>
      <c r="K3083" t="s">
        <v>17</v>
      </c>
      <c r="L3083">
        <v>299.2</v>
      </c>
      <c r="M3083" t="s">
        <v>5030</v>
      </c>
      <c r="N3083" t="s">
        <v>5031</v>
      </c>
    </row>
    <row r="3084" spans="1:14" x14ac:dyDescent="0.3">
      <c r="A3084" t="s">
        <v>3108</v>
      </c>
      <c r="B3084" t="s">
        <v>19</v>
      </c>
      <c r="C3084" t="s">
        <v>20</v>
      </c>
      <c r="D3084">
        <v>51</v>
      </c>
      <c r="E3084" t="s">
        <v>14</v>
      </c>
      <c r="F3084" t="s">
        <v>16</v>
      </c>
      <c r="G3084">
        <v>59.9</v>
      </c>
      <c r="H3084">
        <v>3043.6</v>
      </c>
      <c r="I3084" t="s">
        <v>15</v>
      </c>
      <c r="J3084" t="s">
        <v>15</v>
      </c>
      <c r="K3084" t="s">
        <v>29</v>
      </c>
      <c r="L3084">
        <v>3043.6</v>
      </c>
      <c r="M3084" t="s">
        <v>5033</v>
      </c>
      <c r="N3084" t="s">
        <v>5034</v>
      </c>
    </row>
    <row r="3085" spans="1:14" x14ac:dyDescent="0.3">
      <c r="A3085" t="s">
        <v>3109</v>
      </c>
      <c r="B3085" t="s">
        <v>19</v>
      </c>
      <c r="C3085" t="s">
        <v>20</v>
      </c>
      <c r="D3085">
        <v>60</v>
      </c>
      <c r="E3085" t="s">
        <v>15</v>
      </c>
      <c r="F3085" t="s">
        <v>36</v>
      </c>
      <c r="G3085">
        <v>23.95</v>
      </c>
      <c r="H3085">
        <v>1506.4</v>
      </c>
      <c r="I3085" t="s">
        <v>15</v>
      </c>
      <c r="J3085" t="s">
        <v>15</v>
      </c>
      <c r="K3085" t="s">
        <v>29</v>
      </c>
      <c r="L3085">
        <v>1506.4</v>
      </c>
      <c r="M3085" t="s">
        <v>5033</v>
      </c>
      <c r="N3085" t="s">
        <v>5031</v>
      </c>
    </row>
    <row r="3086" spans="1:14" x14ac:dyDescent="0.3">
      <c r="A3086" t="s">
        <v>3110</v>
      </c>
      <c r="B3086" t="s">
        <v>19</v>
      </c>
      <c r="C3086" t="s">
        <v>20</v>
      </c>
      <c r="D3086">
        <v>9</v>
      </c>
      <c r="E3086" t="s">
        <v>15</v>
      </c>
      <c r="F3086" t="s">
        <v>36</v>
      </c>
      <c r="G3086">
        <v>20.149999999999999</v>
      </c>
      <c r="H3086">
        <v>163.69999999999999</v>
      </c>
      <c r="I3086" t="s">
        <v>15</v>
      </c>
      <c r="J3086" t="s">
        <v>16</v>
      </c>
      <c r="K3086" t="s">
        <v>21</v>
      </c>
      <c r="L3086">
        <v>163.69999999999999</v>
      </c>
      <c r="M3086" t="s">
        <v>5030</v>
      </c>
      <c r="N3086" t="s">
        <v>5031</v>
      </c>
    </row>
    <row r="3087" spans="1:14" x14ac:dyDescent="0.3">
      <c r="A3087" t="s">
        <v>3111</v>
      </c>
      <c r="B3087" t="s">
        <v>19</v>
      </c>
      <c r="C3087" t="s">
        <v>13</v>
      </c>
      <c r="D3087">
        <v>3</v>
      </c>
      <c r="E3087" t="s">
        <v>26</v>
      </c>
      <c r="F3087" t="s">
        <v>15</v>
      </c>
      <c r="G3087">
        <v>105.35</v>
      </c>
      <c r="H3087">
        <v>323.25</v>
      </c>
      <c r="I3087" t="s">
        <v>16</v>
      </c>
      <c r="J3087" t="s">
        <v>16</v>
      </c>
      <c r="K3087" t="s">
        <v>24</v>
      </c>
      <c r="L3087">
        <v>323.25</v>
      </c>
      <c r="M3087" t="s">
        <v>5030</v>
      </c>
      <c r="N3087" t="s">
        <v>5031</v>
      </c>
    </row>
    <row r="3088" spans="1:14" x14ac:dyDescent="0.3">
      <c r="A3088" t="s">
        <v>3112</v>
      </c>
      <c r="B3088" t="s">
        <v>19</v>
      </c>
      <c r="C3088" t="s">
        <v>13</v>
      </c>
      <c r="D3088">
        <v>17</v>
      </c>
      <c r="E3088" t="s">
        <v>26</v>
      </c>
      <c r="F3088" t="s">
        <v>16</v>
      </c>
      <c r="G3088">
        <v>95.65</v>
      </c>
      <c r="H3088">
        <v>1640</v>
      </c>
      <c r="I3088" t="s">
        <v>15</v>
      </c>
      <c r="J3088" t="s">
        <v>16</v>
      </c>
      <c r="K3088" t="s">
        <v>24</v>
      </c>
      <c r="L3088">
        <v>1640</v>
      </c>
      <c r="M3088" t="s">
        <v>5032</v>
      </c>
      <c r="N3088" t="s">
        <v>5031</v>
      </c>
    </row>
    <row r="3089" spans="1:14" x14ac:dyDescent="0.3">
      <c r="A3089" t="s">
        <v>3113</v>
      </c>
      <c r="B3089" t="s">
        <v>12</v>
      </c>
      <c r="C3089" t="s">
        <v>13</v>
      </c>
      <c r="D3089">
        <v>8</v>
      </c>
      <c r="E3089" t="s">
        <v>26</v>
      </c>
      <c r="F3089" t="s">
        <v>15</v>
      </c>
      <c r="G3089">
        <v>87.05</v>
      </c>
      <c r="H3089">
        <v>762.1</v>
      </c>
      <c r="I3089" t="s">
        <v>16</v>
      </c>
      <c r="J3089" t="s">
        <v>16</v>
      </c>
      <c r="K3089" t="s">
        <v>17</v>
      </c>
      <c r="L3089">
        <v>762.1</v>
      </c>
      <c r="M3089" t="s">
        <v>5030</v>
      </c>
      <c r="N3089" t="s">
        <v>5031</v>
      </c>
    </row>
    <row r="3090" spans="1:14" x14ac:dyDescent="0.3">
      <c r="A3090" t="s">
        <v>3114</v>
      </c>
      <c r="B3090" t="s">
        <v>19</v>
      </c>
      <c r="C3090" t="s">
        <v>35</v>
      </c>
      <c r="D3090">
        <v>46</v>
      </c>
      <c r="E3090" t="s">
        <v>14</v>
      </c>
      <c r="F3090" t="s">
        <v>16</v>
      </c>
      <c r="G3090">
        <v>81</v>
      </c>
      <c r="H3090">
        <v>3846.35</v>
      </c>
      <c r="I3090" t="s">
        <v>15</v>
      </c>
      <c r="J3090" t="s">
        <v>15</v>
      </c>
      <c r="K3090" t="s">
        <v>21</v>
      </c>
      <c r="L3090">
        <v>3846.35</v>
      </c>
      <c r="M3090" t="s">
        <v>5033</v>
      </c>
      <c r="N3090" t="s">
        <v>5034</v>
      </c>
    </row>
    <row r="3091" spans="1:14" x14ac:dyDescent="0.3">
      <c r="A3091" t="s">
        <v>3115</v>
      </c>
      <c r="B3091" t="s">
        <v>12</v>
      </c>
      <c r="C3091" t="s">
        <v>35</v>
      </c>
      <c r="D3091">
        <v>68</v>
      </c>
      <c r="E3091" t="s">
        <v>14</v>
      </c>
      <c r="F3091" t="s">
        <v>16</v>
      </c>
      <c r="G3091">
        <v>82.45</v>
      </c>
      <c r="H3091">
        <v>5646.6</v>
      </c>
      <c r="I3091" t="s">
        <v>15</v>
      </c>
      <c r="J3091" t="s">
        <v>16</v>
      </c>
      <c r="K3091" t="s">
        <v>29</v>
      </c>
      <c r="L3091">
        <v>5646.6</v>
      </c>
      <c r="M3091" t="s">
        <v>5033</v>
      </c>
      <c r="N3091" t="s">
        <v>5034</v>
      </c>
    </row>
    <row r="3092" spans="1:14" x14ac:dyDescent="0.3">
      <c r="A3092" t="s">
        <v>3116</v>
      </c>
      <c r="B3092" t="s">
        <v>19</v>
      </c>
      <c r="C3092" t="s">
        <v>13</v>
      </c>
      <c r="D3092">
        <v>1</v>
      </c>
      <c r="E3092" t="s">
        <v>14</v>
      </c>
      <c r="F3092" t="s">
        <v>15</v>
      </c>
      <c r="G3092">
        <v>53.5</v>
      </c>
      <c r="H3092">
        <v>53.5</v>
      </c>
      <c r="I3092" t="s">
        <v>16</v>
      </c>
      <c r="J3092" t="s">
        <v>16</v>
      </c>
      <c r="K3092" t="s">
        <v>21</v>
      </c>
      <c r="L3092">
        <v>53.5</v>
      </c>
      <c r="M3092" t="s">
        <v>5030</v>
      </c>
      <c r="N3092" t="s">
        <v>5031</v>
      </c>
    </row>
    <row r="3093" spans="1:14" x14ac:dyDescent="0.3">
      <c r="A3093" t="s">
        <v>3117</v>
      </c>
      <c r="B3093" t="s">
        <v>12</v>
      </c>
      <c r="C3093" t="s">
        <v>20</v>
      </c>
      <c r="D3093">
        <v>4</v>
      </c>
      <c r="E3093" t="s">
        <v>15</v>
      </c>
      <c r="F3093" t="s">
        <v>36</v>
      </c>
      <c r="G3093">
        <v>20.5</v>
      </c>
      <c r="H3093">
        <v>79.05</v>
      </c>
      <c r="I3093" t="s">
        <v>15</v>
      </c>
      <c r="J3093" t="s">
        <v>15</v>
      </c>
      <c r="K3093" t="s">
        <v>24</v>
      </c>
      <c r="L3093">
        <v>79.05</v>
      </c>
      <c r="M3093" t="s">
        <v>5030</v>
      </c>
      <c r="N3093" t="s">
        <v>5031</v>
      </c>
    </row>
    <row r="3094" spans="1:14" x14ac:dyDescent="0.3">
      <c r="A3094" t="s">
        <v>3118</v>
      </c>
      <c r="B3094" t="s">
        <v>12</v>
      </c>
      <c r="C3094" t="s">
        <v>13</v>
      </c>
      <c r="D3094">
        <v>1</v>
      </c>
      <c r="E3094" t="s">
        <v>14</v>
      </c>
      <c r="F3094" t="s">
        <v>15</v>
      </c>
      <c r="G3094">
        <v>25.1</v>
      </c>
      <c r="H3094">
        <v>25.1</v>
      </c>
      <c r="I3094" t="s">
        <v>16</v>
      </c>
      <c r="J3094" t="s">
        <v>16</v>
      </c>
      <c r="K3094" t="s">
        <v>21</v>
      </c>
      <c r="L3094">
        <v>25.1</v>
      </c>
      <c r="M3094" t="s">
        <v>5030</v>
      </c>
      <c r="N3094" t="s">
        <v>5031</v>
      </c>
    </row>
    <row r="3095" spans="1:14" x14ac:dyDescent="0.3">
      <c r="A3095" t="s">
        <v>3119</v>
      </c>
      <c r="B3095" t="s">
        <v>19</v>
      </c>
      <c r="C3095" t="s">
        <v>20</v>
      </c>
      <c r="D3095">
        <v>28</v>
      </c>
      <c r="E3095" t="s">
        <v>14</v>
      </c>
      <c r="F3095" t="s">
        <v>16</v>
      </c>
      <c r="G3095">
        <v>54.4</v>
      </c>
      <c r="H3095">
        <v>1516.6</v>
      </c>
      <c r="I3095" t="s">
        <v>15</v>
      </c>
      <c r="J3095" t="s">
        <v>16</v>
      </c>
      <c r="K3095" t="s">
        <v>29</v>
      </c>
      <c r="L3095">
        <v>1516.6</v>
      </c>
      <c r="M3095" t="s">
        <v>5032</v>
      </c>
      <c r="N3095" t="s">
        <v>5031</v>
      </c>
    </row>
    <row r="3096" spans="1:14" x14ac:dyDescent="0.3">
      <c r="A3096" t="s">
        <v>3120</v>
      </c>
      <c r="B3096" t="s">
        <v>12</v>
      </c>
      <c r="C3096" t="s">
        <v>20</v>
      </c>
      <c r="D3096">
        <v>39</v>
      </c>
      <c r="E3096" t="s">
        <v>14</v>
      </c>
      <c r="F3096" t="s">
        <v>15</v>
      </c>
      <c r="G3096">
        <v>58.6</v>
      </c>
      <c r="H3096">
        <v>2224.5</v>
      </c>
      <c r="I3096" t="s">
        <v>15</v>
      </c>
      <c r="J3096" t="s">
        <v>16</v>
      </c>
      <c r="K3096" t="s">
        <v>29</v>
      </c>
      <c r="L3096">
        <v>2224.5</v>
      </c>
      <c r="M3096" t="s">
        <v>5033</v>
      </c>
      <c r="N3096" t="s">
        <v>5031</v>
      </c>
    </row>
    <row r="3097" spans="1:14" x14ac:dyDescent="0.3">
      <c r="A3097" t="s">
        <v>3121</v>
      </c>
      <c r="B3097" t="s">
        <v>19</v>
      </c>
      <c r="C3097" t="s">
        <v>13</v>
      </c>
      <c r="D3097">
        <v>11</v>
      </c>
      <c r="E3097" t="s">
        <v>26</v>
      </c>
      <c r="F3097" t="s">
        <v>15</v>
      </c>
      <c r="G3097">
        <v>84.8</v>
      </c>
      <c r="H3097">
        <v>888.75</v>
      </c>
      <c r="I3097" t="s">
        <v>15</v>
      </c>
      <c r="J3097" t="s">
        <v>15</v>
      </c>
      <c r="K3097" t="s">
        <v>17</v>
      </c>
      <c r="L3097">
        <v>888.75</v>
      </c>
      <c r="M3097" t="s">
        <v>5030</v>
      </c>
      <c r="N3097" t="s">
        <v>5031</v>
      </c>
    </row>
    <row r="3098" spans="1:14" x14ac:dyDescent="0.3">
      <c r="A3098" t="s">
        <v>3122</v>
      </c>
      <c r="B3098" t="s">
        <v>12</v>
      </c>
      <c r="C3098" t="s">
        <v>35</v>
      </c>
      <c r="D3098">
        <v>71</v>
      </c>
      <c r="E3098" t="s">
        <v>14</v>
      </c>
      <c r="F3098" t="s">
        <v>16</v>
      </c>
      <c r="G3098">
        <v>61.4</v>
      </c>
      <c r="H3098">
        <v>4310.3500000000004</v>
      </c>
      <c r="I3098" t="s">
        <v>15</v>
      </c>
      <c r="J3098" t="s">
        <v>16</v>
      </c>
      <c r="K3098" t="s">
        <v>29</v>
      </c>
      <c r="L3098">
        <v>4310.3500000000004</v>
      </c>
      <c r="M3098" t="s">
        <v>5033</v>
      </c>
      <c r="N3098" t="s">
        <v>5034</v>
      </c>
    </row>
    <row r="3099" spans="1:14" x14ac:dyDescent="0.3">
      <c r="A3099" t="s">
        <v>3123</v>
      </c>
      <c r="B3099" t="s">
        <v>19</v>
      </c>
      <c r="C3099" t="s">
        <v>13</v>
      </c>
      <c r="D3099">
        <v>2</v>
      </c>
      <c r="E3099" t="s">
        <v>15</v>
      </c>
      <c r="F3099" t="s">
        <v>36</v>
      </c>
      <c r="G3099">
        <v>20.399999999999999</v>
      </c>
      <c r="H3099">
        <v>42.9</v>
      </c>
      <c r="I3099" t="s">
        <v>15</v>
      </c>
      <c r="J3099" t="s">
        <v>15</v>
      </c>
      <c r="K3099" t="s">
        <v>21</v>
      </c>
      <c r="L3099">
        <v>42.9</v>
      </c>
      <c r="M3099" t="s">
        <v>5030</v>
      </c>
      <c r="N3099" t="s">
        <v>5031</v>
      </c>
    </row>
    <row r="3100" spans="1:14" x14ac:dyDescent="0.3">
      <c r="A3100" t="s">
        <v>3124</v>
      </c>
      <c r="B3100" t="s">
        <v>19</v>
      </c>
      <c r="C3100" t="s">
        <v>13</v>
      </c>
      <c r="D3100">
        <v>30</v>
      </c>
      <c r="E3100" t="s">
        <v>26</v>
      </c>
      <c r="F3100" t="s">
        <v>15</v>
      </c>
      <c r="G3100">
        <v>79.650000000000006</v>
      </c>
      <c r="H3100">
        <v>2365.15</v>
      </c>
      <c r="I3100" t="s">
        <v>16</v>
      </c>
      <c r="J3100" t="s">
        <v>16</v>
      </c>
      <c r="K3100" t="s">
        <v>21</v>
      </c>
      <c r="L3100">
        <v>2365.15</v>
      </c>
      <c r="M3100" t="s">
        <v>5032</v>
      </c>
      <c r="N3100" t="s">
        <v>5031</v>
      </c>
    </row>
    <row r="3101" spans="1:14" x14ac:dyDescent="0.3">
      <c r="A3101" t="s">
        <v>3125</v>
      </c>
      <c r="B3101" t="s">
        <v>12</v>
      </c>
      <c r="C3101" t="s">
        <v>20</v>
      </c>
      <c r="D3101">
        <v>17</v>
      </c>
      <c r="E3101" t="s">
        <v>15</v>
      </c>
      <c r="F3101" t="s">
        <v>36</v>
      </c>
      <c r="G3101">
        <v>20.149999999999999</v>
      </c>
      <c r="H3101">
        <v>353.65</v>
      </c>
      <c r="I3101" t="s">
        <v>15</v>
      </c>
      <c r="J3101" t="s">
        <v>15</v>
      </c>
      <c r="K3101" t="s">
        <v>21</v>
      </c>
      <c r="L3101">
        <v>353.65</v>
      </c>
      <c r="M3101" t="s">
        <v>5032</v>
      </c>
      <c r="N3101" t="s">
        <v>5031</v>
      </c>
    </row>
    <row r="3102" spans="1:14" x14ac:dyDescent="0.3">
      <c r="A3102" t="s">
        <v>3126</v>
      </c>
      <c r="B3102" t="s">
        <v>12</v>
      </c>
      <c r="C3102" t="s">
        <v>13</v>
      </c>
      <c r="D3102">
        <v>55</v>
      </c>
      <c r="E3102" t="s">
        <v>26</v>
      </c>
      <c r="F3102" t="s">
        <v>15</v>
      </c>
      <c r="G3102">
        <v>94.45</v>
      </c>
      <c r="H3102">
        <v>5073.1000000000004</v>
      </c>
      <c r="I3102" t="s">
        <v>15</v>
      </c>
      <c r="J3102" t="s">
        <v>16</v>
      </c>
      <c r="K3102" t="s">
        <v>29</v>
      </c>
      <c r="L3102">
        <v>5073.1000000000004</v>
      </c>
      <c r="M3102" t="s">
        <v>5033</v>
      </c>
      <c r="N3102" t="s">
        <v>5034</v>
      </c>
    </row>
    <row r="3103" spans="1:14" x14ac:dyDescent="0.3">
      <c r="A3103" t="s">
        <v>3127</v>
      </c>
      <c r="B3103" t="s">
        <v>12</v>
      </c>
      <c r="C3103" t="s">
        <v>13</v>
      </c>
      <c r="D3103">
        <v>58</v>
      </c>
      <c r="E3103" t="s">
        <v>26</v>
      </c>
      <c r="F3103" t="s">
        <v>15</v>
      </c>
      <c r="G3103">
        <v>79.8</v>
      </c>
      <c r="H3103">
        <v>4526.8500000000004</v>
      </c>
      <c r="I3103" t="s">
        <v>15</v>
      </c>
      <c r="J3103" t="s">
        <v>16</v>
      </c>
      <c r="K3103" t="s">
        <v>24</v>
      </c>
      <c r="L3103">
        <v>4526.8500000000004</v>
      </c>
      <c r="M3103" t="s">
        <v>5033</v>
      </c>
      <c r="N3103" t="s">
        <v>5034</v>
      </c>
    </row>
    <row r="3104" spans="1:14" x14ac:dyDescent="0.3">
      <c r="A3104" t="s">
        <v>3128</v>
      </c>
      <c r="B3104" t="s">
        <v>12</v>
      </c>
      <c r="C3104" t="s">
        <v>13</v>
      </c>
      <c r="D3104">
        <v>5</v>
      </c>
      <c r="E3104" t="s">
        <v>14</v>
      </c>
      <c r="F3104" t="s">
        <v>16</v>
      </c>
      <c r="G3104">
        <v>54.2</v>
      </c>
      <c r="H3104">
        <v>308.25</v>
      </c>
      <c r="I3104" t="s">
        <v>16</v>
      </c>
      <c r="J3104" t="s">
        <v>15</v>
      </c>
      <c r="K3104" t="s">
        <v>17</v>
      </c>
      <c r="L3104">
        <v>308.25</v>
      </c>
      <c r="M3104" t="s">
        <v>5030</v>
      </c>
      <c r="N3104" t="s">
        <v>5031</v>
      </c>
    </row>
    <row r="3105" spans="1:14" x14ac:dyDescent="0.3">
      <c r="A3105" t="s">
        <v>3129</v>
      </c>
      <c r="B3105" t="s">
        <v>12</v>
      </c>
      <c r="C3105" t="s">
        <v>13</v>
      </c>
      <c r="D3105">
        <v>1</v>
      </c>
      <c r="E3105" t="s">
        <v>15</v>
      </c>
      <c r="F3105" t="s">
        <v>36</v>
      </c>
      <c r="G3105">
        <v>19.45</v>
      </c>
      <c r="H3105">
        <v>19.45</v>
      </c>
      <c r="I3105" t="s">
        <v>16</v>
      </c>
      <c r="J3105" t="s">
        <v>16</v>
      </c>
      <c r="K3105" t="s">
        <v>17</v>
      </c>
      <c r="L3105">
        <v>19.45</v>
      </c>
      <c r="M3105" t="s">
        <v>5030</v>
      </c>
      <c r="N3105" t="s">
        <v>5031</v>
      </c>
    </row>
    <row r="3106" spans="1:14" x14ac:dyDescent="0.3">
      <c r="A3106" t="s">
        <v>3130</v>
      </c>
      <c r="B3106" t="s">
        <v>19</v>
      </c>
      <c r="C3106" t="s">
        <v>13</v>
      </c>
      <c r="D3106">
        <v>9</v>
      </c>
      <c r="E3106" t="s">
        <v>26</v>
      </c>
      <c r="F3106" t="s">
        <v>15</v>
      </c>
      <c r="G3106">
        <v>74.05</v>
      </c>
      <c r="H3106">
        <v>678.45</v>
      </c>
      <c r="I3106" t="s">
        <v>15</v>
      </c>
      <c r="J3106" t="s">
        <v>16</v>
      </c>
      <c r="K3106" t="s">
        <v>17</v>
      </c>
      <c r="L3106">
        <v>678.45</v>
      </c>
      <c r="M3106" t="s">
        <v>5030</v>
      </c>
      <c r="N3106" t="s">
        <v>5031</v>
      </c>
    </row>
    <row r="3107" spans="1:14" x14ac:dyDescent="0.3">
      <c r="A3107" t="s">
        <v>3131</v>
      </c>
      <c r="B3107" t="s">
        <v>19</v>
      </c>
      <c r="C3107" t="s">
        <v>13</v>
      </c>
      <c r="D3107">
        <v>26</v>
      </c>
      <c r="E3107" t="s">
        <v>14</v>
      </c>
      <c r="F3107" t="s">
        <v>16</v>
      </c>
      <c r="G3107">
        <v>49.15</v>
      </c>
      <c r="H3107">
        <v>1237.3</v>
      </c>
      <c r="I3107" t="s">
        <v>15</v>
      </c>
      <c r="J3107" t="s">
        <v>15</v>
      </c>
      <c r="K3107" t="s">
        <v>24</v>
      </c>
      <c r="L3107">
        <v>1237.3</v>
      </c>
      <c r="M3107" t="s">
        <v>5032</v>
      </c>
      <c r="N3107" t="s">
        <v>5031</v>
      </c>
    </row>
    <row r="3108" spans="1:14" x14ac:dyDescent="0.3">
      <c r="A3108" t="s">
        <v>3132</v>
      </c>
      <c r="B3108" t="s">
        <v>12</v>
      </c>
      <c r="C3108" t="s">
        <v>35</v>
      </c>
      <c r="D3108">
        <v>50</v>
      </c>
      <c r="E3108" t="s">
        <v>15</v>
      </c>
      <c r="F3108" t="s">
        <v>36</v>
      </c>
      <c r="G3108">
        <v>19.399999999999999</v>
      </c>
      <c r="H3108">
        <v>1023.95</v>
      </c>
      <c r="I3108" t="s">
        <v>15</v>
      </c>
      <c r="J3108" t="s">
        <v>15</v>
      </c>
      <c r="K3108" t="s">
        <v>29</v>
      </c>
      <c r="L3108">
        <v>1023.95</v>
      </c>
      <c r="M3108" t="s">
        <v>5033</v>
      </c>
      <c r="N3108" t="s">
        <v>5031</v>
      </c>
    </row>
    <row r="3109" spans="1:14" x14ac:dyDescent="0.3">
      <c r="A3109" t="s">
        <v>3133</v>
      </c>
      <c r="B3109" t="s">
        <v>12</v>
      </c>
      <c r="C3109" t="s">
        <v>35</v>
      </c>
      <c r="D3109">
        <v>72</v>
      </c>
      <c r="E3109" t="s">
        <v>26</v>
      </c>
      <c r="F3109" t="s">
        <v>16</v>
      </c>
      <c r="G3109">
        <v>113.65</v>
      </c>
      <c r="H3109">
        <v>8182.75</v>
      </c>
      <c r="I3109" t="s">
        <v>15</v>
      </c>
      <c r="J3109" t="s">
        <v>16</v>
      </c>
      <c r="K3109" t="s">
        <v>24</v>
      </c>
      <c r="L3109">
        <v>8182.75</v>
      </c>
      <c r="M3109" t="s">
        <v>5033</v>
      </c>
      <c r="N3109" t="s">
        <v>5034</v>
      </c>
    </row>
    <row r="3110" spans="1:14" x14ac:dyDescent="0.3">
      <c r="A3110" t="s">
        <v>3134</v>
      </c>
      <c r="B3110" t="s">
        <v>12</v>
      </c>
      <c r="C3110" t="s">
        <v>20</v>
      </c>
      <c r="D3110">
        <v>43</v>
      </c>
      <c r="E3110" t="s">
        <v>26</v>
      </c>
      <c r="F3110" t="s">
        <v>16</v>
      </c>
      <c r="G3110">
        <v>106</v>
      </c>
      <c r="H3110">
        <v>4532.3</v>
      </c>
      <c r="I3110" t="s">
        <v>15</v>
      </c>
      <c r="J3110" t="s">
        <v>16</v>
      </c>
      <c r="K3110" t="s">
        <v>29</v>
      </c>
      <c r="L3110">
        <v>4532.3</v>
      </c>
      <c r="M3110" t="s">
        <v>5033</v>
      </c>
      <c r="N3110" t="s">
        <v>5034</v>
      </c>
    </row>
    <row r="3111" spans="1:14" x14ac:dyDescent="0.3">
      <c r="A3111" t="s">
        <v>3135</v>
      </c>
      <c r="B3111" t="s">
        <v>19</v>
      </c>
      <c r="C3111" t="s">
        <v>35</v>
      </c>
      <c r="D3111">
        <v>56</v>
      </c>
      <c r="E3111" t="s">
        <v>15</v>
      </c>
      <c r="F3111" t="s">
        <v>36</v>
      </c>
      <c r="G3111">
        <v>25.95</v>
      </c>
      <c r="H3111">
        <v>1444.05</v>
      </c>
      <c r="I3111" t="s">
        <v>15</v>
      </c>
      <c r="J3111" t="s">
        <v>16</v>
      </c>
      <c r="K3111" t="s">
        <v>24</v>
      </c>
      <c r="L3111">
        <v>1444.05</v>
      </c>
      <c r="M3111" t="s">
        <v>5033</v>
      </c>
      <c r="N3111" t="s">
        <v>5031</v>
      </c>
    </row>
    <row r="3112" spans="1:14" x14ac:dyDescent="0.3">
      <c r="A3112" t="s">
        <v>3136</v>
      </c>
      <c r="B3112" t="s">
        <v>12</v>
      </c>
      <c r="C3112" t="s">
        <v>13</v>
      </c>
      <c r="D3112">
        <v>1</v>
      </c>
      <c r="E3112" t="s">
        <v>15</v>
      </c>
      <c r="F3112" t="s">
        <v>36</v>
      </c>
      <c r="G3112">
        <v>19.100000000000001</v>
      </c>
      <c r="H3112">
        <v>19.100000000000001</v>
      </c>
      <c r="I3112" t="s">
        <v>15</v>
      </c>
      <c r="J3112" t="s">
        <v>15</v>
      </c>
      <c r="K3112" t="s">
        <v>21</v>
      </c>
      <c r="L3112">
        <v>19.100000000000001</v>
      </c>
      <c r="M3112" t="s">
        <v>5030</v>
      </c>
      <c r="N3112" t="s">
        <v>5031</v>
      </c>
    </row>
    <row r="3113" spans="1:14" x14ac:dyDescent="0.3">
      <c r="A3113" t="s">
        <v>3137</v>
      </c>
      <c r="B3113" t="s">
        <v>19</v>
      </c>
      <c r="C3113" t="s">
        <v>35</v>
      </c>
      <c r="D3113">
        <v>72</v>
      </c>
      <c r="E3113" t="s">
        <v>26</v>
      </c>
      <c r="F3113" t="s">
        <v>15</v>
      </c>
      <c r="G3113">
        <v>103.4</v>
      </c>
      <c r="H3113">
        <v>7372.65</v>
      </c>
      <c r="I3113" t="s">
        <v>16</v>
      </c>
      <c r="J3113" t="s">
        <v>16</v>
      </c>
      <c r="K3113" t="s">
        <v>17</v>
      </c>
      <c r="L3113">
        <v>7372.65</v>
      </c>
      <c r="M3113" t="s">
        <v>5033</v>
      </c>
      <c r="N3113" t="s">
        <v>5034</v>
      </c>
    </row>
    <row r="3114" spans="1:14" x14ac:dyDescent="0.3">
      <c r="A3114" t="s">
        <v>3138</v>
      </c>
      <c r="B3114" t="s">
        <v>19</v>
      </c>
      <c r="C3114" t="s">
        <v>35</v>
      </c>
      <c r="D3114">
        <v>72</v>
      </c>
      <c r="E3114" t="s">
        <v>26</v>
      </c>
      <c r="F3114" t="s">
        <v>16</v>
      </c>
      <c r="G3114">
        <v>100.55</v>
      </c>
      <c r="H3114">
        <v>7325.1</v>
      </c>
      <c r="I3114" t="s">
        <v>15</v>
      </c>
      <c r="J3114" t="s">
        <v>16</v>
      </c>
      <c r="K3114" t="s">
        <v>24</v>
      </c>
      <c r="L3114">
        <v>7325.1</v>
      </c>
      <c r="M3114" t="s">
        <v>5033</v>
      </c>
      <c r="N3114" t="s">
        <v>5034</v>
      </c>
    </row>
    <row r="3115" spans="1:14" x14ac:dyDescent="0.3">
      <c r="A3115" t="s">
        <v>3139</v>
      </c>
      <c r="B3115" t="s">
        <v>19</v>
      </c>
      <c r="C3115" t="s">
        <v>13</v>
      </c>
      <c r="D3115">
        <v>36</v>
      </c>
      <c r="E3115" t="s">
        <v>26</v>
      </c>
      <c r="F3115" t="s">
        <v>15</v>
      </c>
      <c r="G3115">
        <v>95.4</v>
      </c>
      <c r="H3115">
        <v>3474.2</v>
      </c>
      <c r="I3115" t="s">
        <v>15</v>
      </c>
      <c r="J3115" t="s">
        <v>16</v>
      </c>
      <c r="K3115" t="s">
        <v>17</v>
      </c>
      <c r="L3115">
        <v>3474.2</v>
      </c>
      <c r="M3115" t="s">
        <v>5032</v>
      </c>
      <c r="N3115" t="s">
        <v>5034</v>
      </c>
    </row>
    <row r="3116" spans="1:14" x14ac:dyDescent="0.3">
      <c r="A3116" t="s">
        <v>3140</v>
      </c>
      <c r="B3116" t="s">
        <v>19</v>
      </c>
      <c r="C3116" t="s">
        <v>13</v>
      </c>
      <c r="D3116">
        <v>5</v>
      </c>
      <c r="E3116" t="s">
        <v>14</v>
      </c>
      <c r="F3116" t="s">
        <v>16</v>
      </c>
      <c r="G3116">
        <v>75.150000000000006</v>
      </c>
      <c r="H3116">
        <v>392.65</v>
      </c>
      <c r="I3116" t="s">
        <v>15</v>
      </c>
      <c r="J3116" t="s">
        <v>15</v>
      </c>
      <c r="K3116" t="s">
        <v>24</v>
      </c>
      <c r="L3116">
        <v>392.65</v>
      </c>
      <c r="M3116" t="s">
        <v>5030</v>
      </c>
      <c r="N3116" t="s">
        <v>5031</v>
      </c>
    </row>
    <row r="3117" spans="1:14" x14ac:dyDescent="0.3">
      <c r="A3117" t="s">
        <v>3141</v>
      </c>
      <c r="B3117" t="s">
        <v>12</v>
      </c>
      <c r="C3117" t="s">
        <v>13</v>
      </c>
      <c r="D3117">
        <v>13</v>
      </c>
      <c r="E3117" t="s">
        <v>26</v>
      </c>
      <c r="F3117" t="s">
        <v>15</v>
      </c>
      <c r="G3117">
        <v>84.45</v>
      </c>
      <c r="H3117">
        <v>1058.5999999999999</v>
      </c>
      <c r="I3117" t="s">
        <v>16</v>
      </c>
      <c r="J3117" t="s">
        <v>16</v>
      </c>
      <c r="K3117" t="s">
        <v>17</v>
      </c>
      <c r="L3117">
        <v>1058.5999999999999</v>
      </c>
      <c r="M3117" t="s">
        <v>5032</v>
      </c>
      <c r="N3117" t="s">
        <v>5031</v>
      </c>
    </row>
    <row r="3118" spans="1:14" x14ac:dyDescent="0.3">
      <c r="A3118" t="s">
        <v>3142</v>
      </c>
      <c r="B3118" t="s">
        <v>12</v>
      </c>
      <c r="C3118" t="s">
        <v>20</v>
      </c>
      <c r="D3118">
        <v>44</v>
      </c>
      <c r="E3118" t="s">
        <v>26</v>
      </c>
      <c r="F3118" t="s">
        <v>15</v>
      </c>
      <c r="G3118">
        <v>89.15</v>
      </c>
      <c r="H3118">
        <v>3990.75</v>
      </c>
      <c r="I3118" t="s">
        <v>15</v>
      </c>
      <c r="J3118" t="s">
        <v>15</v>
      </c>
      <c r="K3118" t="s">
        <v>29</v>
      </c>
      <c r="L3118">
        <v>3990.75</v>
      </c>
      <c r="M3118" t="s">
        <v>5033</v>
      </c>
      <c r="N3118" t="s">
        <v>5034</v>
      </c>
    </row>
    <row r="3119" spans="1:14" x14ac:dyDescent="0.3">
      <c r="A3119" t="s">
        <v>3143</v>
      </c>
      <c r="B3119" t="s">
        <v>12</v>
      </c>
      <c r="C3119" t="s">
        <v>20</v>
      </c>
      <c r="D3119">
        <v>70</v>
      </c>
      <c r="E3119" t="s">
        <v>26</v>
      </c>
      <c r="F3119" t="s">
        <v>16</v>
      </c>
      <c r="G3119">
        <v>107.9</v>
      </c>
      <c r="H3119">
        <v>7475.85</v>
      </c>
      <c r="I3119" t="s">
        <v>15</v>
      </c>
      <c r="J3119" t="s">
        <v>16</v>
      </c>
      <c r="K3119" t="s">
        <v>17</v>
      </c>
      <c r="L3119">
        <v>7475.85</v>
      </c>
      <c r="M3119" t="s">
        <v>5033</v>
      </c>
      <c r="N3119" t="s">
        <v>5034</v>
      </c>
    </row>
    <row r="3120" spans="1:14" x14ac:dyDescent="0.3">
      <c r="A3120" t="s">
        <v>3144</v>
      </c>
      <c r="B3120" t="s">
        <v>19</v>
      </c>
      <c r="C3120" t="s">
        <v>20</v>
      </c>
      <c r="D3120">
        <v>44</v>
      </c>
      <c r="E3120" t="s">
        <v>15</v>
      </c>
      <c r="F3120" t="s">
        <v>36</v>
      </c>
      <c r="G3120">
        <v>19.5</v>
      </c>
      <c r="H3120">
        <v>835.5</v>
      </c>
      <c r="I3120" t="s">
        <v>15</v>
      </c>
      <c r="J3120" t="s">
        <v>15</v>
      </c>
      <c r="K3120" t="s">
        <v>29</v>
      </c>
      <c r="L3120">
        <v>835.5</v>
      </c>
      <c r="M3120" t="s">
        <v>5033</v>
      </c>
      <c r="N3120" t="s">
        <v>5031</v>
      </c>
    </row>
    <row r="3121" spans="1:14" x14ac:dyDescent="0.3">
      <c r="A3121" t="s">
        <v>3145</v>
      </c>
      <c r="B3121" t="s">
        <v>12</v>
      </c>
      <c r="C3121" t="s">
        <v>13</v>
      </c>
      <c r="D3121">
        <v>32</v>
      </c>
      <c r="E3121" t="s">
        <v>26</v>
      </c>
      <c r="F3121" t="s">
        <v>15</v>
      </c>
      <c r="G3121">
        <v>85.95</v>
      </c>
      <c r="H3121">
        <v>2628.6</v>
      </c>
      <c r="I3121" t="s">
        <v>16</v>
      </c>
      <c r="J3121" t="s">
        <v>16</v>
      </c>
      <c r="K3121" t="s">
        <v>29</v>
      </c>
      <c r="L3121">
        <v>2628.6</v>
      </c>
      <c r="M3121" t="s">
        <v>5032</v>
      </c>
      <c r="N3121" t="s">
        <v>5034</v>
      </c>
    </row>
    <row r="3122" spans="1:14" x14ac:dyDescent="0.3">
      <c r="A3122" t="s">
        <v>3146</v>
      </c>
      <c r="B3122" t="s">
        <v>12</v>
      </c>
      <c r="C3122" t="s">
        <v>35</v>
      </c>
      <c r="D3122">
        <v>69</v>
      </c>
      <c r="E3122" t="s">
        <v>15</v>
      </c>
      <c r="F3122" t="s">
        <v>36</v>
      </c>
      <c r="G3122">
        <v>24.95</v>
      </c>
      <c r="H3122">
        <v>1718.35</v>
      </c>
      <c r="I3122" t="s">
        <v>15</v>
      </c>
      <c r="J3122" t="s">
        <v>16</v>
      </c>
      <c r="K3122" t="s">
        <v>29</v>
      </c>
      <c r="L3122">
        <v>1718.35</v>
      </c>
      <c r="M3122" t="s">
        <v>5033</v>
      </c>
      <c r="N3122" t="s">
        <v>5031</v>
      </c>
    </row>
    <row r="3123" spans="1:14" x14ac:dyDescent="0.3">
      <c r="A3123" t="s">
        <v>3147</v>
      </c>
      <c r="B3123" t="s">
        <v>12</v>
      </c>
      <c r="C3123" t="s">
        <v>13</v>
      </c>
      <c r="D3123">
        <v>16</v>
      </c>
      <c r="E3123" t="s">
        <v>14</v>
      </c>
      <c r="F3123" t="s">
        <v>16</v>
      </c>
      <c r="G3123">
        <v>59.4</v>
      </c>
      <c r="H3123">
        <v>1023.9</v>
      </c>
      <c r="I3123" t="s">
        <v>16</v>
      </c>
      <c r="J3123" t="s">
        <v>15</v>
      </c>
      <c r="K3123" t="s">
        <v>17</v>
      </c>
      <c r="L3123">
        <v>1023.9</v>
      </c>
      <c r="M3123" t="s">
        <v>5032</v>
      </c>
      <c r="N3123" t="s">
        <v>5031</v>
      </c>
    </row>
    <row r="3124" spans="1:14" x14ac:dyDescent="0.3">
      <c r="A3124" t="s">
        <v>3148</v>
      </c>
      <c r="B3124" t="s">
        <v>19</v>
      </c>
      <c r="C3124" t="s">
        <v>20</v>
      </c>
      <c r="D3124">
        <v>68</v>
      </c>
      <c r="E3124" t="s">
        <v>15</v>
      </c>
      <c r="F3124" t="s">
        <v>36</v>
      </c>
      <c r="G3124">
        <v>19.5</v>
      </c>
      <c r="H3124">
        <v>1193.55</v>
      </c>
      <c r="I3124" t="s">
        <v>15</v>
      </c>
      <c r="J3124" t="s">
        <v>15</v>
      </c>
      <c r="K3124" t="s">
        <v>24</v>
      </c>
      <c r="L3124">
        <v>1193.55</v>
      </c>
      <c r="M3124" t="s">
        <v>5033</v>
      </c>
      <c r="N3124" t="s">
        <v>5031</v>
      </c>
    </row>
    <row r="3125" spans="1:14" x14ac:dyDescent="0.3">
      <c r="A3125" t="s">
        <v>3149</v>
      </c>
      <c r="B3125" t="s">
        <v>19</v>
      </c>
      <c r="C3125" t="s">
        <v>13</v>
      </c>
      <c r="D3125">
        <v>16</v>
      </c>
      <c r="E3125" t="s">
        <v>26</v>
      </c>
      <c r="F3125" t="s">
        <v>15</v>
      </c>
      <c r="G3125">
        <v>69.95</v>
      </c>
      <c r="H3125">
        <v>1205.5</v>
      </c>
      <c r="I3125" t="s">
        <v>15</v>
      </c>
      <c r="J3125" t="s">
        <v>16</v>
      </c>
      <c r="K3125" t="s">
        <v>29</v>
      </c>
      <c r="L3125">
        <v>1205.5</v>
      </c>
      <c r="M3125" t="s">
        <v>5032</v>
      </c>
      <c r="N3125" t="s">
        <v>5031</v>
      </c>
    </row>
    <row r="3126" spans="1:14" x14ac:dyDescent="0.3">
      <c r="A3126" t="s">
        <v>3150</v>
      </c>
      <c r="B3126" t="s">
        <v>19</v>
      </c>
      <c r="C3126" t="s">
        <v>35</v>
      </c>
      <c r="D3126">
        <v>68</v>
      </c>
      <c r="E3126" t="s">
        <v>14</v>
      </c>
      <c r="F3126" t="s">
        <v>16</v>
      </c>
      <c r="G3126">
        <v>82.85</v>
      </c>
      <c r="H3126">
        <v>5776.45</v>
      </c>
      <c r="I3126" t="s">
        <v>15</v>
      </c>
      <c r="J3126" t="s">
        <v>15</v>
      </c>
      <c r="K3126" t="s">
        <v>24</v>
      </c>
      <c r="L3126">
        <v>5776.45</v>
      </c>
      <c r="M3126" t="s">
        <v>5033</v>
      </c>
      <c r="N3126" t="s">
        <v>5034</v>
      </c>
    </row>
    <row r="3127" spans="1:14" x14ac:dyDescent="0.3">
      <c r="A3127" t="s">
        <v>3151</v>
      </c>
      <c r="B3127" t="s">
        <v>19</v>
      </c>
      <c r="C3127" t="s">
        <v>13</v>
      </c>
      <c r="D3127">
        <v>4</v>
      </c>
      <c r="E3127" t="s">
        <v>15</v>
      </c>
      <c r="F3127" t="s">
        <v>36</v>
      </c>
      <c r="G3127">
        <v>19</v>
      </c>
      <c r="H3127">
        <v>78.900000000000006</v>
      </c>
      <c r="I3127" t="s">
        <v>15</v>
      </c>
      <c r="J3127" t="s">
        <v>15</v>
      </c>
      <c r="K3127" t="s">
        <v>21</v>
      </c>
      <c r="L3127">
        <v>78.900000000000006</v>
      </c>
      <c r="M3127" t="s">
        <v>5030</v>
      </c>
      <c r="N3127" t="s">
        <v>5031</v>
      </c>
    </row>
    <row r="3128" spans="1:14" x14ac:dyDescent="0.3">
      <c r="A3128" t="s">
        <v>3152</v>
      </c>
      <c r="B3128" t="s">
        <v>12</v>
      </c>
      <c r="C3128" t="s">
        <v>13</v>
      </c>
      <c r="D3128">
        <v>26</v>
      </c>
      <c r="E3128" t="s">
        <v>14</v>
      </c>
      <c r="F3128" t="s">
        <v>16</v>
      </c>
      <c r="G3128">
        <v>38.85</v>
      </c>
      <c r="H3128">
        <v>1025.1500000000001</v>
      </c>
      <c r="I3128" t="s">
        <v>15</v>
      </c>
      <c r="J3128" t="s">
        <v>15</v>
      </c>
      <c r="K3128" t="s">
        <v>29</v>
      </c>
      <c r="L3128">
        <v>1025.1500000000001</v>
      </c>
      <c r="M3128" t="s">
        <v>5032</v>
      </c>
      <c r="N3128" t="s">
        <v>5031</v>
      </c>
    </row>
    <row r="3129" spans="1:14" x14ac:dyDescent="0.3">
      <c r="A3129" t="s">
        <v>3153</v>
      </c>
      <c r="B3129" t="s">
        <v>12</v>
      </c>
      <c r="C3129" t="s">
        <v>13</v>
      </c>
      <c r="D3129">
        <v>29</v>
      </c>
      <c r="E3129" t="s">
        <v>14</v>
      </c>
      <c r="F3129" t="s">
        <v>15</v>
      </c>
      <c r="G3129">
        <v>30.6</v>
      </c>
      <c r="H3129">
        <v>856.35</v>
      </c>
      <c r="I3129" t="s">
        <v>16</v>
      </c>
      <c r="J3129" t="s">
        <v>16</v>
      </c>
      <c r="K3129" t="s">
        <v>17</v>
      </c>
      <c r="L3129">
        <v>856.35</v>
      </c>
      <c r="M3129" t="s">
        <v>5032</v>
      </c>
      <c r="N3129" t="s">
        <v>5031</v>
      </c>
    </row>
    <row r="3130" spans="1:14" x14ac:dyDescent="0.3">
      <c r="A3130" t="s">
        <v>3154</v>
      </c>
      <c r="B3130" t="s">
        <v>19</v>
      </c>
      <c r="C3130" t="s">
        <v>13</v>
      </c>
      <c r="D3130">
        <v>5</v>
      </c>
      <c r="E3130" t="s">
        <v>15</v>
      </c>
      <c r="F3130" t="s">
        <v>36</v>
      </c>
      <c r="G3130">
        <v>20.350000000000001</v>
      </c>
      <c r="H3130">
        <v>122</v>
      </c>
      <c r="I3130" t="s">
        <v>15</v>
      </c>
      <c r="J3130" t="s">
        <v>15</v>
      </c>
      <c r="K3130" t="s">
        <v>29</v>
      </c>
      <c r="L3130">
        <v>122</v>
      </c>
      <c r="M3130" t="s">
        <v>5030</v>
      </c>
      <c r="N3130" t="s">
        <v>5031</v>
      </c>
    </row>
    <row r="3131" spans="1:14" x14ac:dyDescent="0.3">
      <c r="A3131" t="s">
        <v>3155</v>
      </c>
      <c r="B3131" t="s">
        <v>19</v>
      </c>
      <c r="C3131" t="s">
        <v>20</v>
      </c>
      <c r="D3131">
        <v>70</v>
      </c>
      <c r="E3131" t="s">
        <v>26</v>
      </c>
      <c r="F3131" t="s">
        <v>15</v>
      </c>
      <c r="G3131">
        <v>95</v>
      </c>
      <c r="H3131">
        <v>6602.9</v>
      </c>
      <c r="I3131" t="s">
        <v>15</v>
      </c>
      <c r="J3131" t="s">
        <v>16</v>
      </c>
      <c r="K3131" t="s">
        <v>24</v>
      </c>
      <c r="L3131">
        <v>6602.9</v>
      </c>
      <c r="M3131" t="s">
        <v>5033</v>
      </c>
      <c r="N3131" t="s">
        <v>5034</v>
      </c>
    </row>
    <row r="3132" spans="1:14" x14ac:dyDescent="0.3">
      <c r="A3132" t="s">
        <v>3156</v>
      </c>
      <c r="B3132" t="s">
        <v>19</v>
      </c>
      <c r="C3132" t="s">
        <v>20</v>
      </c>
      <c r="D3132">
        <v>24</v>
      </c>
      <c r="E3132" t="s">
        <v>14</v>
      </c>
      <c r="F3132" t="s">
        <v>16</v>
      </c>
      <c r="G3132">
        <v>74.400000000000006</v>
      </c>
      <c r="H3132">
        <v>1712.9</v>
      </c>
      <c r="I3132" t="s">
        <v>15</v>
      </c>
      <c r="J3132" t="s">
        <v>15</v>
      </c>
      <c r="K3132" t="s">
        <v>24</v>
      </c>
      <c r="L3132">
        <v>1712.9</v>
      </c>
      <c r="M3132" t="s">
        <v>5032</v>
      </c>
      <c r="N3132" t="s">
        <v>5031</v>
      </c>
    </row>
    <row r="3133" spans="1:14" x14ac:dyDescent="0.3">
      <c r="A3133" t="s">
        <v>3157</v>
      </c>
      <c r="B3133" t="s">
        <v>12</v>
      </c>
      <c r="C3133" t="s">
        <v>35</v>
      </c>
      <c r="D3133">
        <v>72</v>
      </c>
      <c r="E3133" t="s">
        <v>14</v>
      </c>
      <c r="F3133" t="s">
        <v>16</v>
      </c>
      <c r="G3133">
        <v>78.45</v>
      </c>
      <c r="H3133">
        <v>5682.25</v>
      </c>
      <c r="I3133" t="s">
        <v>15</v>
      </c>
      <c r="J3133" t="s">
        <v>15</v>
      </c>
      <c r="K3133" t="s">
        <v>24</v>
      </c>
      <c r="L3133">
        <v>5682.25</v>
      </c>
      <c r="M3133" t="s">
        <v>5033</v>
      </c>
      <c r="N3133" t="s">
        <v>5034</v>
      </c>
    </row>
    <row r="3134" spans="1:14" x14ac:dyDescent="0.3">
      <c r="A3134" t="s">
        <v>3158</v>
      </c>
      <c r="B3134" t="s">
        <v>19</v>
      </c>
      <c r="C3134" t="s">
        <v>13</v>
      </c>
      <c r="D3134">
        <v>1</v>
      </c>
      <c r="E3134" t="s">
        <v>26</v>
      </c>
      <c r="F3134" t="s">
        <v>16</v>
      </c>
      <c r="G3134">
        <v>74.3</v>
      </c>
      <c r="H3134">
        <v>74.3</v>
      </c>
      <c r="I3134" t="s">
        <v>15</v>
      </c>
      <c r="J3134" t="s">
        <v>16</v>
      </c>
      <c r="K3134" t="s">
        <v>21</v>
      </c>
      <c r="L3134">
        <v>74.3</v>
      </c>
      <c r="M3134" t="s">
        <v>5030</v>
      </c>
      <c r="N3134" t="s">
        <v>5031</v>
      </c>
    </row>
    <row r="3135" spans="1:14" x14ac:dyDescent="0.3">
      <c r="A3135" t="s">
        <v>3159</v>
      </c>
      <c r="B3135" t="s">
        <v>19</v>
      </c>
      <c r="C3135" t="s">
        <v>20</v>
      </c>
      <c r="D3135">
        <v>70</v>
      </c>
      <c r="E3135" t="s">
        <v>14</v>
      </c>
      <c r="F3135" t="s">
        <v>16</v>
      </c>
      <c r="G3135">
        <v>51.05</v>
      </c>
      <c r="H3135">
        <v>3635.15</v>
      </c>
      <c r="I3135" t="s">
        <v>15</v>
      </c>
      <c r="J3135" t="s">
        <v>16</v>
      </c>
      <c r="K3135" t="s">
        <v>24</v>
      </c>
      <c r="L3135">
        <v>3635.15</v>
      </c>
      <c r="M3135" t="s">
        <v>5033</v>
      </c>
      <c r="N3135" t="s">
        <v>5034</v>
      </c>
    </row>
    <row r="3136" spans="1:14" x14ac:dyDescent="0.3">
      <c r="A3136" t="s">
        <v>3160</v>
      </c>
      <c r="B3136" t="s">
        <v>12</v>
      </c>
      <c r="C3136" t="s">
        <v>13</v>
      </c>
      <c r="D3136">
        <v>36</v>
      </c>
      <c r="E3136" t="s">
        <v>15</v>
      </c>
      <c r="F3136" t="s">
        <v>36</v>
      </c>
      <c r="G3136">
        <v>19.2</v>
      </c>
      <c r="H3136">
        <v>702.9</v>
      </c>
      <c r="I3136" t="s">
        <v>15</v>
      </c>
      <c r="J3136" t="s">
        <v>15</v>
      </c>
      <c r="K3136" t="s">
        <v>24</v>
      </c>
      <c r="L3136">
        <v>702.9</v>
      </c>
      <c r="M3136" t="s">
        <v>5032</v>
      </c>
      <c r="N3136" t="s">
        <v>5031</v>
      </c>
    </row>
    <row r="3137" spans="1:14" x14ac:dyDescent="0.3">
      <c r="A3137" t="s">
        <v>3161</v>
      </c>
      <c r="B3137" t="s">
        <v>12</v>
      </c>
      <c r="C3137" t="s">
        <v>13</v>
      </c>
      <c r="D3137">
        <v>38</v>
      </c>
      <c r="E3137" t="s">
        <v>26</v>
      </c>
      <c r="F3137" t="s">
        <v>16</v>
      </c>
      <c r="G3137">
        <v>99.55</v>
      </c>
      <c r="H3137">
        <v>3734.25</v>
      </c>
      <c r="I3137" t="s">
        <v>16</v>
      </c>
      <c r="J3137" t="s">
        <v>16</v>
      </c>
      <c r="K3137" t="s">
        <v>17</v>
      </c>
      <c r="L3137">
        <v>3734.25</v>
      </c>
      <c r="M3137" t="s">
        <v>5033</v>
      </c>
      <c r="N3137" t="s">
        <v>5034</v>
      </c>
    </row>
    <row r="3138" spans="1:14" x14ac:dyDescent="0.3">
      <c r="A3138" t="s">
        <v>3162</v>
      </c>
      <c r="B3138" t="s">
        <v>12</v>
      </c>
      <c r="C3138" t="s">
        <v>13</v>
      </c>
      <c r="D3138">
        <v>17</v>
      </c>
      <c r="E3138" t="s">
        <v>26</v>
      </c>
      <c r="F3138" t="s">
        <v>15</v>
      </c>
      <c r="G3138">
        <v>70</v>
      </c>
      <c r="H3138">
        <v>1144.5</v>
      </c>
      <c r="I3138" t="s">
        <v>16</v>
      </c>
      <c r="J3138" t="s">
        <v>16</v>
      </c>
      <c r="K3138" t="s">
        <v>17</v>
      </c>
      <c r="L3138">
        <v>1144.5</v>
      </c>
      <c r="M3138" t="s">
        <v>5032</v>
      </c>
      <c r="N3138" t="s">
        <v>5031</v>
      </c>
    </row>
    <row r="3139" spans="1:14" x14ac:dyDescent="0.3">
      <c r="A3139" t="s">
        <v>3163</v>
      </c>
      <c r="B3139" t="s">
        <v>12</v>
      </c>
      <c r="C3139" t="s">
        <v>20</v>
      </c>
      <c r="D3139">
        <v>41</v>
      </c>
      <c r="E3139" t="s">
        <v>26</v>
      </c>
      <c r="F3139" t="s">
        <v>16</v>
      </c>
      <c r="G3139">
        <v>109.1</v>
      </c>
      <c r="H3139">
        <v>4454.25</v>
      </c>
      <c r="I3139" t="s">
        <v>15</v>
      </c>
      <c r="J3139" t="s">
        <v>16</v>
      </c>
      <c r="K3139" t="s">
        <v>24</v>
      </c>
      <c r="L3139">
        <v>4454.25</v>
      </c>
      <c r="M3139" t="s">
        <v>5033</v>
      </c>
      <c r="N3139" t="s">
        <v>5034</v>
      </c>
    </row>
    <row r="3140" spans="1:14" x14ac:dyDescent="0.3">
      <c r="A3140" t="s">
        <v>3164</v>
      </c>
      <c r="B3140" t="s">
        <v>12</v>
      </c>
      <c r="C3140" t="s">
        <v>13</v>
      </c>
      <c r="D3140">
        <v>1</v>
      </c>
      <c r="E3140" t="s">
        <v>14</v>
      </c>
      <c r="F3140" t="s">
        <v>15</v>
      </c>
      <c r="G3140">
        <v>45.3</v>
      </c>
      <c r="H3140">
        <v>45.3</v>
      </c>
      <c r="I3140" t="s">
        <v>16</v>
      </c>
      <c r="J3140" t="s">
        <v>16</v>
      </c>
      <c r="K3140" t="s">
        <v>17</v>
      </c>
      <c r="L3140">
        <v>45.3</v>
      </c>
      <c r="M3140" t="s">
        <v>5030</v>
      </c>
      <c r="N3140" t="s">
        <v>5031</v>
      </c>
    </row>
    <row r="3141" spans="1:14" x14ac:dyDescent="0.3">
      <c r="A3141" t="s">
        <v>3165</v>
      </c>
      <c r="B3141" t="s">
        <v>19</v>
      </c>
      <c r="C3141" t="s">
        <v>13</v>
      </c>
      <c r="D3141">
        <v>2</v>
      </c>
      <c r="E3141" t="s">
        <v>14</v>
      </c>
      <c r="F3141" t="s">
        <v>16</v>
      </c>
      <c r="G3141">
        <v>29.85</v>
      </c>
      <c r="H3141">
        <v>75.599999999999994</v>
      </c>
      <c r="I3141" t="s">
        <v>16</v>
      </c>
      <c r="J3141" t="s">
        <v>15</v>
      </c>
      <c r="K3141" t="s">
        <v>24</v>
      </c>
      <c r="L3141">
        <v>75.599999999999994</v>
      </c>
      <c r="M3141" t="s">
        <v>5030</v>
      </c>
      <c r="N3141" t="s">
        <v>5031</v>
      </c>
    </row>
    <row r="3142" spans="1:14" x14ac:dyDescent="0.3">
      <c r="A3142" t="s">
        <v>3166</v>
      </c>
      <c r="B3142" t="s">
        <v>19</v>
      </c>
      <c r="C3142" t="s">
        <v>13</v>
      </c>
      <c r="D3142">
        <v>14</v>
      </c>
      <c r="E3142" t="s">
        <v>26</v>
      </c>
      <c r="F3142" t="s">
        <v>15</v>
      </c>
      <c r="G3142">
        <v>76.45</v>
      </c>
      <c r="H3142">
        <v>1117.55</v>
      </c>
      <c r="I3142" t="s">
        <v>15</v>
      </c>
      <c r="J3142" t="s">
        <v>15</v>
      </c>
      <c r="K3142" t="s">
        <v>17</v>
      </c>
      <c r="L3142">
        <v>1117.55</v>
      </c>
      <c r="M3142" t="s">
        <v>5032</v>
      </c>
      <c r="N3142" t="s">
        <v>5031</v>
      </c>
    </row>
    <row r="3143" spans="1:14" x14ac:dyDescent="0.3">
      <c r="A3143" t="s">
        <v>3167</v>
      </c>
      <c r="B3143" t="s">
        <v>19</v>
      </c>
      <c r="C3143" t="s">
        <v>13</v>
      </c>
      <c r="D3143">
        <v>2</v>
      </c>
      <c r="E3143" t="s">
        <v>26</v>
      </c>
      <c r="F3143" t="s">
        <v>16</v>
      </c>
      <c r="G3143">
        <v>95.1</v>
      </c>
      <c r="H3143">
        <v>180.25</v>
      </c>
      <c r="I3143" t="s">
        <v>16</v>
      </c>
      <c r="J3143" t="s">
        <v>16</v>
      </c>
      <c r="K3143" t="s">
        <v>29</v>
      </c>
      <c r="L3143">
        <v>180.25</v>
      </c>
      <c r="M3143" t="s">
        <v>5030</v>
      </c>
      <c r="N3143" t="s">
        <v>5031</v>
      </c>
    </row>
    <row r="3144" spans="1:14" x14ac:dyDescent="0.3">
      <c r="A3144" t="s">
        <v>3168</v>
      </c>
      <c r="B3144" t="s">
        <v>19</v>
      </c>
      <c r="C3144" t="s">
        <v>13</v>
      </c>
      <c r="D3144">
        <v>1</v>
      </c>
      <c r="E3144" t="s">
        <v>15</v>
      </c>
      <c r="F3144" t="s">
        <v>36</v>
      </c>
      <c r="G3144">
        <v>19.8</v>
      </c>
      <c r="H3144">
        <v>19.8</v>
      </c>
      <c r="I3144" t="s">
        <v>16</v>
      </c>
      <c r="J3144" t="s">
        <v>15</v>
      </c>
      <c r="K3144" t="s">
        <v>21</v>
      </c>
      <c r="L3144">
        <v>19.8</v>
      </c>
      <c r="M3144" t="s">
        <v>5030</v>
      </c>
      <c r="N3144" t="s">
        <v>5031</v>
      </c>
    </row>
    <row r="3145" spans="1:14" x14ac:dyDescent="0.3">
      <c r="A3145" t="s">
        <v>3169</v>
      </c>
      <c r="B3145" t="s">
        <v>19</v>
      </c>
      <c r="C3145" t="s">
        <v>13</v>
      </c>
      <c r="D3145">
        <v>13</v>
      </c>
      <c r="E3145" t="s">
        <v>14</v>
      </c>
      <c r="F3145" t="s">
        <v>16</v>
      </c>
      <c r="G3145">
        <v>72.8</v>
      </c>
      <c r="H3145">
        <v>930.05</v>
      </c>
      <c r="I3145" t="s">
        <v>15</v>
      </c>
      <c r="J3145" t="s">
        <v>16</v>
      </c>
      <c r="K3145" t="s">
        <v>17</v>
      </c>
      <c r="L3145">
        <v>930.05</v>
      </c>
      <c r="M3145" t="s">
        <v>5032</v>
      </c>
      <c r="N3145" t="s">
        <v>5031</v>
      </c>
    </row>
    <row r="3146" spans="1:14" x14ac:dyDescent="0.3">
      <c r="A3146" t="s">
        <v>3170</v>
      </c>
      <c r="B3146" t="s">
        <v>19</v>
      </c>
      <c r="C3146" t="s">
        <v>13</v>
      </c>
      <c r="D3146">
        <v>6</v>
      </c>
      <c r="E3146" t="s">
        <v>15</v>
      </c>
      <c r="F3146" t="s">
        <v>36</v>
      </c>
      <c r="G3146">
        <v>18.95</v>
      </c>
      <c r="H3146">
        <v>110.15</v>
      </c>
      <c r="I3146" t="s">
        <v>15</v>
      </c>
      <c r="J3146" t="s">
        <v>15</v>
      </c>
      <c r="K3146" t="s">
        <v>21</v>
      </c>
      <c r="L3146">
        <v>110.15</v>
      </c>
      <c r="M3146" t="s">
        <v>5030</v>
      </c>
      <c r="N3146" t="s">
        <v>5031</v>
      </c>
    </row>
    <row r="3147" spans="1:14" x14ac:dyDescent="0.3">
      <c r="A3147" t="s">
        <v>3171</v>
      </c>
      <c r="B3147" t="s">
        <v>12</v>
      </c>
      <c r="C3147" t="s">
        <v>13</v>
      </c>
      <c r="D3147">
        <v>4</v>
      </c>
      <c r="E3147" t="s">
        <v>26</v>
      </c>
      <c r="F3147" t="s">
        <v>15</v>
      </c>
      <c r="G3147">
        <v>76.650000000000006</v>
      </c>
      <c r="H3147">
        <v>333.6</v>
      </c>
      <c r="I3147" t="s">
        <v>16</v>
      </c>
      <c r="J3147" t="s">
        <v>16</v>
      </c>
      <c r="K3147" t="s">
        <v>24</v>
      </c>
      <c r="L3147">
        <v>333.6</v>
      </c>
      <c r="M3147" t="s">
        <v>5030</v>
      </c>
      <c r="N3147" t="s">
        <v>5031</v>
      </c>
    </row>
    <row r="3148" spans="1:14" x14ac:dyDescent="0.3">
      <c r="A3148" t="s">
        <v>3172</v>
      </c>
      <c r="B3148" t="s">
        <v>12</v>
      </c>
      <c r="C3148" t="s">
        <v>13</v>
      </c>
      <c r="D3148">
        <v>5</v>
      </c>
      <c r="E3148" t="s">
        <v>26</v>
      </c>
      <c r="F3148" t="s">
        <v>16</v>
      </c>
      <c r="G3148">
        <v>99.15</v>
      </c>
      <c r="H3148">
        <v>465.05</v>
      </c>
      <c r="I3148" t="s">
        <v>16</v>
      </c>
      <c r="J3148" t="s">
        <v>16</v>
      </c>
      <c r="K3148" t="s">
        <v>21</v>
      </c>
      <c r="L3148">
        <v>465.05</v>
      </c>
      <c r="M3148" t="s">
        <v>5030</v>
      </c>
      <c r="N3148" t="s">
        <v>5031</v>
      </c>
    </row>
    <row r="3149" spans="1:14" x14ac:dyDescent="0.3">
      <c r="A3149" t="s">
        <v>3173</v>
      </c>
      <c r="B3149" t="s">
        <v>12</v>
      </c>
      <c r="C3149" t="s">
        <v>13</v>
      </c>
      <c r="D3149">
        <v>15</v>
      </c>
      <c r="E3149" t="s">
        <v>26</v>
      </c>
      <c r="F3149" t="s">
        <v>15</v>
      </c>
      <c r="G3149">
        <v>101.75</v>
      </c>
      <c r="H3149">
        <v>1669.4</v>
      </c>
      <c r="I3149" t="s">
        <v>15</v>
      </c>
      <c r="J3149" t="s">
        <v>15</v>
      </c>
      <c r="K3149" t="s">
        <v>17</v>
      </c>
      <c r="L3149">
        <v>1669.4</v>
      </c>
      <c r="M3149" t="s">
        <v>5032</v>
      </c>
      <c r="N3149" t="s">
        <v>5031</v>
      </c>
    </row>
    <row r="3150" spans="1:14" x14ac:dyDescent="0.3">
      <c r="A3150" t="s">
        <v>3174</v>
      </c>
      <c r="B3150" t="s">
        <v>12</v>
      </c>
      <c r="C3150" t="s">
        <v>13</v>
      </c>
      <c r="D3150">
        <v>47</v>
      </c>
      <c r="E3150" t="s">
        <v>26</v>
      </c>
      <c r="F3150" t="s">
        <v>15</v>
      </c>
      <c r="G3150">
        <v>75.45</v>
      </c>
      <c r="H3150">
        <v>3545.1</v>
      </c>
      <c r="I3150" t="s">
        <v>15</v>
      </c>
      <c r="J3150" t="s">
        <v>15</v>
      </c>
      <c r="K3150" t="s">
        <v>29</v>
      </c>
      <c r="L3150">
        <v>3545.1</v>
      </c>
      <c r="M3150" t="s">
        <v>5033</v>
      </c>
      <c r="N3150" t="s">
        <v>5034</v>
      </c>
    </row>
    <row r="3151" spans="1:14" x14ac:dyDescent="0.3">
      <c r="A3151" t="s">
        <v>3175</v>
      </c>
      <c r="B3151" t="s">
        <v>12</v>
      </c>
      <c r="C3151" t="s">
        <v>13</v>
      </c>
      <c r="D3151">
        <v>8</v>
      </c>
      <c r="E3151" t="s">
        <v>14</v>
      </c>
      <c r="F3151" t="s">
        <v>16</v>
      </c>
      <c r="G3151">
        <v>64.099999999999994</v>
      </c>
      <c r="H3151">
        <v>504.05</v>
      </c>
      <c r="I3151" t="s">
        <v>15</v>
      </c>
      <c r="J3151" t="s">
        <v>15</v>
      </c>
      <c r="K3151" t="s">
        <v>21</v>
      </c>
      <c r="L3151">
        <v>504.05</v>
      </c>
      <c r="M3151" t="s">
        <v>5030</v>
      </c>
      <c r="N3151" t="s">
        <v>5031</v>
      </c>
    </row>
    <row r="3152" spans="1:14" x14ac:dyDescent="0.3">
      <c r="A3152" t="s">
        <v>3176</v>
      </c>
      <c r="B3152" t="s">
        <v>19</v>
      </c>
      <c r="C3152" t="s">
        <v>13</v>
      </c>
      <c r="D3152">
        <v>17</v>
      </c>
      <c r="E3152" t="s">
        <v>14</v>
      </c>
      <c r="F3152" t="s">
        <v>15</v>
      </c>
      <c r="G3152">
        <v>25.65</v>
      </c>
      <c r="H3152">
        <v>440.2</v>
      </c>
      <c r="I3152" t="s">
        <v>15</v>
      </c>
      <c r="J3152" t="s">
        <v>16</v>
      </c>
      <c r="K3152" t="s">
        <v>21</v>
      </c>
      <c r="L3152">
        <v>440.2</v>
      </c>
      <c r="M3152" t="s">
        <v>5032</v>
      </c>
      <c r="N3152" t="s">
        <v>5031</v>
      </c>
    </row>
    <row r="3153" spans="1:14" x14ac:dyDescent="0.3">
      <c r="A3153" t="s">
        <v>3177</v>
      </c>
      <c r="B3153" t="s">
        <v>19</v>
      </c>
      <c r="C3153" t="s">
        <v>13</v>
      </c>
      <c r="D3153">
        <v>15</v>
      </c>
      <c r="E3153" t="s">
        <v>26</v>
      </c>
      <c r="F3153" t="s">
        <v>15</v>
      </c>
      <c r="G3153">
        <v>75.099999999999994</v>
      </c>
      <c r="H3153">
        <v>1151.55</v>
      </c>
      <c r="I3153" t="s">
        <v>15</v>
      </c>
      <c r="J3153" t="s">
        <v>15</v>
      </c>
      <c r="K3153" t="s">
        <v>21</v>
      </c>
      <c r="L3153">
        <v>1151.55</v>
      </c>
      <c r="M3153" t="s">
        <v>5032</v>
      </c>
      <c r="N3153" t="s">
        <v>5031</v>
      </c>
    </row>
    <row r="3154" spans="1:14" x14ac:dyDescent="0.3">
      <c r="A3154" t="s">
        <v>3178</v>
      </c>
      <c r="B3154" t="s">
        <v>12</v>
      </c>
      <c r="C3154" t="s">
        <v>20</v>
      </c>
      <c r="D3154">
        <v>26</v>
      </c>
      <c r="E3154" t="s">
        <v>26</v>
      </c>
      <c r="F3154" t="s">
        <v>16</v>
      </c>
      <c r="G3154">
        <v>95.85</v>
      </c>
      <c r="H3154">
        <v>2475.35</v>
      </c>
      <c r="I3154" t="s">
        <v>15</v>
      </c>
      <c r="J3154" t="s">
        <v>16</v>
      </c>
      <c r="K3154" t="s">
        <v>24</v>
      </c>
      <c r="L3154">
        <v>2475.35</v>
      </c>
      <c r="M3154" t="s">
        <v>5032</v>
      </c>
      <c r="N3154" t="s">
        <v>5031</v>
      </c>
    </row>
    <row r="3155" spans="1:14" x14ac:dyDescent="0.3">
      <c r="A3155" t="s">
        <v>3179</v>
      </c>
      <c r="B3155" t="s">
        <v>12</v>
      </c>
      <c r="C3155" t="s">
        <v>13</v>
      </c>
      <c r="D3155">
        <v>23</v>
      </c>
      <c r="E3155" t="s">
        <v>14</v>
      </c>
      <c r="F3155" t="s">
        <v>15</v>
      </c>
      <c r="G3155">
        <v>54.4</v>
      </c>
      <c r="H3155">
        <v>1249.25</v>
      </c>
      <c r="I3155" t="s">
        <v>15</v>
      </c>
      <c r="J3155" t="s">
        <v>15</v>
      </c>
      <c r="K3155" t="s">
        <v>17</v>
      </c>
      <c r="L3155">
        <v>1249.25</v>
      </c>
      <c r="M3155" t="s">
        <v>5032</v>
      </c>
      <c r="N3155" t="s">
        <v>5031</v>
      </c>
    </row>
    <row r="3156" spans="1:14" x14ac:dyDescent="0.3">
      <c r="A3156" t="s">
        <v>3180</v>
      </c>
      <c r="B3156" t="s">
        <v>12</v>
      </c>
      <c r="C3156" t="s">
        <v>13</v>
      </c>
      <c r="D3156">
        <v>4</v>
      </c>
      <c r="E3156" t="s">
        <v>26</v>
      </c>
      <c r="F3156" t="s">
        <v>15</v>
      </c>
      <c r="G3156">
        <v>72.75</v>
      </c>
      <c r="H3156">
        <v>317.75</v>
      </c>
      <c r="I3156" t="s">
        <v>15</v>
      </c>
      <c r="J3156" t="s">
        <v>15</v>
      </c>
      <c r="K3156" t="s">
        <v>17</v>
      </c>
      <c r="L3156">
        <v>317.75</v>
      </c>
      <c r="M3156" t="s">
        <v>5030</v>
      </c>
      <c r="N3156" t="s">
        <v>5031</v>
      </c>
    </row>
    <row r="3157" spans="1:14" x14ac:dyDescent="0.3">
      <c r="A3157" t="s">
        <v>3181</v>
      </c>
      <c r="B3157" t="s">
        <v>19</v>
      </c>
      <c r="C3157" t="s">
        <v>20</v>
      </c>
      <c r="D3157">
        <v>29</v>
      </c>
      <c r="E3157" t="s">
        <v>15</v>
      </c>
      <c r="F3157" t="s">
        <v>36</v>
      </c>
      <c r="G3157">
        <v>19.850000000000001</v>
      </c>
      <c r="H3157">
        <v>535.04999999999995</v>
      </c>
      <c r="I3157" t="s">
        <v>15</v>
      </c>
      <c r="J3157" t="s">
        <v>15</v>
      </c>
      <c r="K3157" t="s">
        <v>21</v>
      </c>
      <c r="L3157">
        <v>535.04999999999995</v>
      </c>
      <c r="M3157" t="s">
        <v>5032</v>
      </c>
      <c r="N3157" t="s">
        <v>5031</v>
      </c>
    </row>
    <row r="3158" spans="1:14" x14ac:dyDescent="0.3">
      <c r="A3158" t="s">
        <v>3182</v>
      </c>
      <c r="B3158" t="s">
        <v>12</v>
      </c>
      <c r="C3158" t="s">
        <v>13</v>
      </c>
      <c r="D3158">
        <v>25</v>
      </c>
      <c r="E3158" t="s">
        <v>15</v>
      </c>
      <c r="F3158" t="s">
        <v>36</v>
      </c>
      <c r="G3158">
        <v>19.05</v>
      </c>
      <c r="H3158">
        <v>461.3</v>
      </c>
      <c r="I3158" t="s">
        <v>15</v>
      </c>
      <c r="J3158" t="s">
        <v>15</v>
      </c>
      <c r="K3158" t="s">
        <v>21</v>
      </c>
      <c r="L3158">
        <v>461.3</v>
      </c>
      <c r="M3158" t="s">
        <v>5032</v>
      </c>
      <c r="N3158" t="s">
        <v>5031</v>
      </c>
    </row>
    <row r="3159" spans="1:14" x14ac:dyDescent="0.3">
      <c r="A3159" t="s">
        <v>3183</v>
      </c>
      <c r="B3159" t="s">
        <v>19</v>
      </c>
      <c r="C3159" t="s">
        <v>13</v>
      </c>
      <c r="D3159">
        <v>9</v>
      </c>
      <c r="E3159" t="s">
        <v>14</v>
      </c>
      <c r="F3159" t="s">
        <v>15</v>
      </c>
      <c r="G3159">
        <v>44.95</v>
      </c>
      <c r="H3159">
        <v>431</v>
      </c>
      <c r="I3159" t="s">
        <v>16</v>
      </c>
      <c r="J3159" t="s">
        <v>15</v>
      </c>
      <c r="K3159" t="s">
        <v>21</v>
      </c>
      <c r="L3159">
        <v>431</v>
      </c>
      <c r="M3159" t="s">
        <v>5030</v>
      </c>
      <c r="N3159" t="s">
        <v>5031</v>
      </c>
    </row>
    <row r="3160" spans="1:14" x14ac:dyDescent="0.3">
      <c r="A3160" t="s">
        <v>3184</v>
      </c>
      <c r="B3160" t="s">
        <v>19</v>
      </c>
      <c r="C3160" t="s">
        <v>13</v>
      </c>
      <c r="D3160">
        <v>18</v>
      </c>
      <c r="E3160" t="s">
        <v>14</v>
      </c>
      <c r="F3160" t="s">
        <v>15</v>
      </c>
      <c r="G3160">
        <v>49.55</v>
      </c>
      <c r="H3160">
        <v>878.35</v>
      </c>
      <c r="I3160" t="s">
        <v>16</v>
      </c>
      <c r="J3160" t="s">
        <v>16</v>
      </c>
      <c r="K3160" t="s">
        <v>21</v>
      </c>
      <c r="L3160">
        <v>878.35</v>
      </c>
      <c r="M3160" t="s">
        <v>5032</v>
      </c>
      <c r="N3160" t="s">
        <v>5031</v>
      </c>
    </row>
    <row r="3161" spans="1:14" x14ac:dyDescent="0.3">
      <c r="A3161" t="s">
        <v>3185</v>
      </c>
      <c r="B3161" t="s">
        <v>19</v>
      </c>
      <c r="C3161" t="s">
        <v>13</v>
      </c>
      <c r="D3161">
        <v>3</v>
      </c>
      <c r="E3161" t="s">
        <v>26</v>
      </c>
      <c r="F3161" t="s">
        <v>15</v>
      </c>
      <c r="G3161">
        <v>94.85</v>
      </c>
      <c r="H3161">
        <v>335.75</v>
      </c>
      <c r="I3161" t="s">
        <v>15</v>
      </c>
      <c r="J3161" t="s">
        <v>16</v>
      </c>
      <c r="K3161" t="s">
        <v>17</v>
      </c>
      <c r="L3161">
        <v>335.75</v>
      </c>
      <c r="M3161" t="s">
        <v>5030</v>
      </c>
      <c r="N3161" t="s">
        <v>5031</v>
      </c>
    </row>
    <row r="3162" spans="1:14" x14ac:dyDescent="0.3">
      <c r="A3162" t="s">
        <v>3186</v>
      </c>
      <c r="B3162" t="s">
        <v>12</v>
      </c>
      <c r="C3162" t="s">
        <v>35</v>
      </c>
      <c r="D3162">
        <v>69</v>
      </c>
      <c r="E3162" t="s">
        <v>14</v>
      </c>
      <c r="F3162" t="s">
        <v>16</v>
      </c>
      <c r="G3162">
        <v>46.25</v>
      </c>
      <c r="H3162">
        <v>3121.4</v>
      </c>
      <c r="I3162" t="s">
        <v>15</v>
      </c>
      <c r="J3162" t="s">
        <v>15</v>
      </c>
      <c r="K3162" t="s">
        <v>24</v>
      </c>
      <c r="L3162">
        <v>3121.4</v>
      </c>
      <c r="M3162" t="s">
        <v>5033</v>
      </c>
      <c r="N3162" t="s">
        <v>5034</v>
      </c>
    </row>
    <row r="3163" spans="1:14" x14ac:dyDescent="0.3">
      <c r="A3163" t="s">
        <v>3187</v>
      </c>
      <c r="B3163" t="s">
        <v>19</v>
      </c>
      <c r="C3163" t="s">
        <v>20</v>
      </c>
      <c r="D3163">
        <v>14</v>
      </c>
      <c r="E3163" t="s">
        <v>15</v>
      </c>
      <c r="F3163" t="s">
        <v>36</v>
      </c>
      <c r="G3163">
        <v>19.350000000000001</v>
      </c>
      <c r="H3163">
        <v>324.8</v>
      </c>
      <c r="I3163" t="s">
        <v>15</v>
      </c>
      <c r="J3163" t="s">
        <v>15</v>
      </c>
      <c r="K3163" t="s">
        <v>21</v>
      </c>
      <c r="L3163">
        <v>324.8</v>
      </c>
      <c r="M3163" t="s">
        <v>5032</v>
      </c>
      <c r="N3163" t="s">
        <v>5031</v>
      </c>
    </row>
    <row r="3164" spans="1:14" x14ac:dyDescent="0.3">
      <c r="A3164" t="s">
        <v>3188</v>
      </c>
      <c r="B3164" t="s">
        <v>19</v>
      </c>
      <c r="C3164" t="s">
        <v>13</v>
      </c>
      <c r="D3164">
        <v>19</v>
      </c>
      <c r="E3164" t="s">
        <v>14</v>
      </c>
      <c r="F3164" t="s">
        <v>15</v>
      </c>
      <c r="G3164">
        <v>69.599999999999994</v>
      </c>
      <c r="H3164">
        <v>1394.55</v>
      </c>
      <c r="I3164" t="s">
        <v>15</v>
      </c>
      <c r="J3164" t="s">
        <v>15</v>
      </c>
      <c r="K3164" t="s">
        <v>21</v>
      </c>
      <c r="L3164">
        <v>1394.55</v>
      </c>
      <c r="M3164" t="s">
        <v>5032</v>
      </c>
      <c r="N3164" t="s">
        <v>5031</v>
      </c>
    </row>
    <row r="3165" spans="1:14" x14ac:dyDescent="0.3">
      <c r="A3165" t="s">
        <v>3189</v>
      </c>
      <c r="B3165" t="s">
        <v>19</v>
      </c>
      <c r="C3165" t="s">
        <v>13</v>
      </c>
      <c r="D3165">
        <v>39</v>
      </c>
      <c r="E3165" t="s">
        <v>26</v>
      </c>
      <c r="F3165" t="s">
        <v>15</v>
      </c>
      <c r="G3165">
        <v>90.7</v>
      </c>
      <c r="H3165">
        <v>3413.25</v>
      </c>
      <c r="I3165" t="s">
        <v>15</v>
      </c>
      <c r="J3165" t="s">
        <v>15</v>
      </c>
      <c r="K3165" t="s">
        <v>17</v>
      </c>
      <c r="L3165">
        <v>3413.25</v>
      </c>
      <c r="M3165" t="s">
        <v>5033</v>
      </c>
      <c r="N3165" t="s">
        <v>5034</v>
      </c>
    </row>
    <row r="3166" spans="1:14" x14ac:dyDescent="0.3">
      <c r="A3166" t="s">
        <v>3190</v>
      </c>
      <c r="B3166" t="s">
        <v>19</v>
      </c>
      <c r="C3166" t="s">
        <v>13</v>
      </c>
      <c r="D3166">
        <v>31</v>
      </c>
      <c r="E3166" t="s">
        <v>26</v>
      </c>
      <c r="F3166" t="s">
        <v>15</v>
      </c>
      <c r="G3166">
        <v>101.4</v>
      </c>
      <c r="H3166">
        <v>3143.65</v>
      </c>
      <c r="I3166" t="s">
        <v>15</v>
      </c>
      <c r="J3166" t="s">
        <v>16</v>
      </c>
      <c r="K3166" t="s">
        <v>17</v>
      </c>
      <c r="L3166">
        <v>3143.65</v>
      </c>
      <c r="M3166" t="s">
        <v>5032</v>
      </c>
      <c r="N3166" t="s">
        <v>5034</v>
      </c>
    </row>
    <row r="3167" spans="1:14" x14ac:dyDescent="0.3">
      <c r="A3167" t="s">
        <v>3191</v>
      </c>
      <c r="B3167" t="s">
        <v>19</v>
      </c>
      <c r="C3167" t="s">
        <v>20</v>
      </c>
      <c r="D3167">
        <v>24</v>
      </c>
      <c r="E3167" t="s">
        <v>15</v>
      </c>
      <c r="F3167" t="s">
        <v>36</v>
      </c>
      <c r="G3167">
        <v>20.25</v>
      </c>
      <c r="H3167">
        <v>439.75</v>
      </c>
      <c r="I3167" t="s">
        <v>15</v>
      </c>
      <c r="J3167" t="s">
        <v>15</v>
      </c>
      <c r="K3167" t="s">
        <v>21</v>
      </c>
      <c r="L3167">
        <v>439.75</v>
      </c>
      <c r="M3167" t="s">
        <v>5032</v>
      </c>
      <c r="N3167" t="s">
        <v>5031</v>
      </c>
    </row>
    <row r="3168" spans="1:14" x14ac:dyDescent="0.3">
      <c r="A3168" t="s">
        <v>3192</v>
      </c>
      <c r="B3168" t="s">
        <v>19</v>
      </c>
      <c r="C3168" t="s">
        <v>13</v>
      </c>
      <c r="D3168">
        <v>14</v>
      </c>
      <c r="E3168" t="s">
        <v>14</v>
      </c>
      <c r="F3168" t="s">
        <v>16</v>
      </c>
      <c r="G3168">
        <v>48.8</v>
      </c>
      <c r="H3168">
        <v>664.4</v>
      </c>
      <c r="I3168" t="s">
        <v>15</v>
      </c>
      <c r="J3168" t="s">
        <v>15</v>
      </c>
      <c r="K3168" t="s">
        <v>24</v>
      </c>
      <c r="L3168">
        <v>664.4</v>
      </c>
      <c r="M3168" t="s">
        <v>5032</v>
      </c>
      <c r="N3168" t="s">
        <v>5031</v>
      </c>
    </row>
    <row r="3169" spans="1:14" x14ac:dyDescent="0.3">
      <c r="A3169" t="s">
        <v>3193</v>
      </c>
      <c r="B3169" t="s">
        <v>12</v>
      </c>
      <c r="C3169" t="s">
        <v>35</v>
      </c>
      <c r="D3169">
        <v>64</v>
      </c>
      <c r="E3169" t="s">
        <v>14</v>
      </c>
      <c r="F3169" t="s">
        <v>16</v>
      </c>
      <c r="G3169">
        <v>74.349999999999994</v>
      </c>
      <c r="H3169">
        <v>4759.55</v>
      </c>
      <c r="I3169" t="s">
        <v>15</v>
      </c>
      <c r="J3169" t="s">
        <v>16</v>
      </c>
      <c r="K3169" t="s">
        <v>21</v>
      </c>
      <c r="L3169">
        <v>4759.55</v>
      </c>
      <c r="M3169" t="s">
        <v>5033</v>
      </c>
      <c r="N3169" t="s">
        <v>5034</v>
      </c>
    </row>
    <row r="3170" spans="1:14" x14ac:dyDescent="0.3">
      <c r="A3170" t="s">
        <v>3194</v>
      </c>
      <c r="B3170" t="s">
        <v>12</v>
      </c>
      <c r="C3170" t="s">
        <v>20</v>
      </c>
      <c r="D3170">
        <v>50</v>
      </c>
      <c r="E3170" t="s">
        <v>15</v>
      </c>
      <c r="F3170" t="s">
        <v>36</v>
      </c>
      <c r="G3170">
        <v>19.350000000000001</v>
      </c>
      <c r="H3170">
        <v>1033</v>
      </c>
      <c r="I3170" t="s">
        <v>15</v>
      </c>
      <c r="J3170" t="s">
        <v>16</v>
      </c>
      <c r="K3170" t="s">
        <v>21</v>
      </c>
      <c r="L3170">
        <v>1033</v>
      </c>
      <c r="M3170" t="s">
        <v>5033</v>
      </c>
      <c r="N3170" t="s">
        <v>5031</v>
      </c>
    </row>
    <row r="3171" spans="1:14" x14ac:dyDescent="0.3">
      <c r="A3171" t="s">
        <v>3195</v>
      </c>
      <c r="B3171" t="s">
        <v>19</v>
      </c>
      <c r="C3171" t="s">
        <v>20</v>
      </c>
      <c r="D3171">
        <v>52</v>
      </c>
      <c r="E3171" t="s">
        <v>14</v>
      </c>
      <c r="F3171" t="s">
        <v>16</v>
      </c>
      <c r="G3171">
        <v>68.75</v>
      </c>
      <c r="H3171">
        <v>3482.85</v>
      </c>
      <c r="I3171" t="s">
        <v>15</v>
      </c>
      <c r="J3171" t="s">
        <v>16</v>
      </c>
      <c r="K3171" t="s">
        <v>17</v>
      </c>
      <c r="L3171">
        <v>3482.85</v>
      </c>
      <c r="M3171" t="s">
        <v>5033</v>
      </c>
      <c r="N3171" t="s">
        <v>5034</v>
      </c>
    </row>
    <row r="3172" spans="1:14" x14ac:dyDescent="0.3">
      <c r="A3172" t="s">
        <v>3196</v>
      </c>
      <c r="B3172" t="s">
        <v>19</v>
      </c>
      <c r="C3172" t="s">
        <v>20</v>
      </c>
      <c r="D3172">
        <v>28</v>
      </c>
      <c r="E3172" t="s">
        <v>26</v>
      </c>
      <c r="F3172" t="s">
        <v>15</v>
      </c>
      <c r="G3172">
        <v>100.2</v>
      </c>
      <c r="H3172">
        <v>2688.45</v>
      </c>
      <c r="I3172" t="s">
        <v>15</v>
      </c>
      <c r="J3172" t="s">
        <v>15</v>
      </c>
      <c r="K3172" t="s">
        <v>17</v>
      </c>
      <c r="L3172">
        <v>2688.45</v>
      </c>
      <c r="M3172" t="s">
        <v>5032</v>
      </c>
      <c r="N3172" t="s">
        <v>5034</v>
      </c>
    </row>
    <row r="3173" spans="1:14" x14ac:dyDescent="0.3">
      <c r="A3173" t="s">
        <v>3197</v>
      </c>
      <c r="B3173" t="s">
        <v>12</v>
      </c>
      <c r="C3173" t="s">
        <v>35</v>
      </c>
      <c r="D3173">
        <v>21</v>
      </c>
      <c r="E3173" t="s">
        <v>15</v>
      </c>
      <c r="F3173" t="s">
        <v>36</v>
      </c>
      <c r="G3173">
        <v>20.85</v>
      </c>
      <c r="H3173">
        <v>435.25</v>
      </c>
      <c r="I3173" t="s">
        <v>15</v>
      </c>
      <c r="J3173" t="s">
        <v>16</v>
      </c>
      <c r="K3173" t="s">
        <v>29</v>
      </c>
      <c r="L3173">
        <v>435.25</v>
      </c>
      <c r="M3173" t="s">
        <v>5032</v>
      </c>
      <c r="N3173" t="s">
        <v>5031</v>
      </c>
    </row>
    <row r="3174" spans="1:14" x14ac:dyDescent="0.3">
      <c r="A3174" t="s">
        <v>3198</v>
      </c>
      <c r="B3174" t="s">
        <v>19</v>
      </c>
      <c r="C3174" t="s">
        <v>13</v>
      </c>
      <c r="D3174">
        <v>25</v>
      </c>
      <c r="E3174" t="s">
        <v>26</v>
      </c>
      <c r="F3174" t="s">
        <v>15</v>
      </c>
      <c r="G3174">
        <v>95.9</v>
      </c>
      <c r="H3174">
        <v>2448.75</v>
      </c>
      <c r="I3174" t="s">
        <v>16</v>
      </c>
      <c r="J3174" t="s">
        <v>16</v>
      </c>
      <c r="K3174" t="s">
        <v>17</v>
      </c>
      <c r="L3174">
        <v>2448.75</v>
      </c>
      <c r="M3174" t="s">
        <v>5032</v>
      </c>
      <c r="N3174" t="s">
        <v>5031</v>
      </c>
    </row>
    <row r="3175" spans="1:14" x14ac:dyDescent="0.3">
      <c r="A3175" t="s">
        <v>3199</v>
      </c>
      <c r="B3175" t="s">
        <v>12</v>
      </c>
      <c r="C3175" t="s">
        <v>20</v>
      </c>
      <c r="D3175">
        <v>17</v>
      </c>
      <c r="E3175" t="s">
        <v>15</v>
      </c>
      <c r="F3175" t="s">
        <v>36</v>
      </c>
      <c r="G3175">
        <v>19.350000000000001</v>
      </c>
      <c r="H3175">
        <v>307</v>
      </c>
      <c r="I3175" t="s">
        <v>15</v>
      </c>
      <c r="J3175" t="s">
        <v>15</v>
      </c>
      <c r="K3175" t="s">
        <v>21</v>
      </c>
      <c r="L3175">
        <v>307</v>
      </c>
      <c r="M3175" t="s">
        <v>5032</v>
      </c>
      <c r="N3175" t="s">
        <v>5031</v>
      </c>
    </row>
    <row r="3176" spans="1:14" x14ac:dyDescent="0.3">
      <c r="A3176" t="s">
        <v>3200</v>
      </c>
      <c r="B3176" t="s">
        <v>19</v>
      </c>
      <c r="C3176" t="s">
        <v>20</v>
      </c>
      <c r="D3176">
        <v>58</v>
      </c>
      <c r="E3176" t="s">
        <v>14</v>
      </c>
      <c r="F3176" t="s">
        <v>15</v>
      </c>
      <c r="G3176">
        <v>45</v>
      </c>
      <c r="H3176">
        <v>2689.35</v>
      </c>
      <c r="I3176" t="s">
        <v>15</v>
      </c>
      <c r="J3176" t="s">
        <v>16</v>
      </c>
      <c r="K3176" t="s">
        <v>29</v>
      </c>
      <c r="L3176">
        <v>2689.35</v>
      </c>
      <c r="M3176" t="s">
        <v>5033</v>
      </c>
      <c r="N3176" t="s">
        <v>5034</v>
      </c>
    </row>
    <row r="3177" spans="1:14" x14ac:dyDescent="0.3">
      <c r="A3177" t="s">
        <v>3201</v>
      </c>
      <c r="B3177" t="s">
        <v>19</v>
      </c>
      <c r="C3177" t="s">
        <v>13</v>
      </c>
      <c r="D3177">
        <v>17</v>
      </c>
      <c r="E3177" t="s">
        <v>26</v>
      </c>
      <c r="F3177" t="s">
        <v>15</v>
      </c>
      <c r="G3177">
        <v>81.5</v>
      </c>
      <c r="H3177">
        <v>1329.2</v>
      </c>
      <c r="I3177" t="s">
        <v>16</v>
      </c>
      <c r="J3177" t="s">
        <v>15</v>
      </c>
      <c r="K3177" t="s">
        <v>24</v>
      </c>
      <c r="L3177">
        <v>1329.2</v>
      </c>
      <c r="M3177" t="s">
        <v>5032</v>
      </c>
      <c r="N3177" t="s">
        <v>5031</v>
      </c>
    </row>
    <row r="3178" spans="1:14" x14ac:dyDescent="0.3">
      <c r="A3178" t="s">
        <v>3202</v>
      </c>
      <c r="B3178" t="s">
        <v>12</v>
      </c>
      <c r="C3178" t="s">
        <v>35</v>
      </c>
      <c r="D3178">
        <v>51</v>
      </c>
      <c r="E3178" t="s">
        <v>15</v>
      </c>
      <c r="F3178" t="s">
        <v>36</v>
      </c>
      <c r="G3178">
        <v>25.5</v>
      </c>
      <c r="H3178">
        <v>1281.25</v>
      </c>
      <c r="I3178" t="s">
        <v>15</v>
      </c>
      <c r="J3178" t="s">
        <v>15</v>
      </c>
      <c r="K3178" t="s">
        <v>21</v>
      </c>
      <c r="L3178">
        <v>1281.25</v>
      </c>
      <c r="M3178" t="s">
        <v>5033</v>
      </c>
      <c r="N3178" t="s">
        <v>5031</v>
      </c>
    </row>
    <row r="3179" spans="1:14" x14ac:dyDescent="0.3">
      <c r="A3179" t="s">
        <v>3203</v>
      </c>
      <c r="B3179" t="s">
        <v>19</v>
      </c>
      <c r="C3179" t="s">
        <v>35</v>
      </c>
      <c r="D3179">
        <v>72</v>
      </c>
      <c r="E3179" t="s">
        <v>14</v>
      </c>
      <c r="F3179" t="s">
        <v>16</v>
      </c>
      <c r="G3179">
        <v>48.9</v>
      </c>
      <c r="H3179">
        <v>3527</v>
      </c>
      <c r="I3179" t="s">
        <v>15</v>
      </c>
      <c r="J3179" t="s">
        <v>15</v>
      </c>
      <c r="K3179" t="s">
        <v>21</v>
      </c>
      <c r="L3179">
        <v>3527</v>
      </c>
      <c r="M3179" t="s">
        <v>5033</v>
      </c>
      <c r="N3179" t="s">
        <v>5034</v>
      </c>
    </row>
    <row r="3180" spans="1:14" x14ac:dyDescent="0.3">
      <c r="A3180" t="s">
        <v>3204</v>
      </c>
      <c r="B3180" t="s">
        <v>19</v>
      </c>
      <c r="C3180" t="s">
        <v>13</v>
      </c>
      <c r="D3180">
        <v>52</v>
      </c>
      <c r="E3180" t="s">
        <v>26</v>
      </c>
      <c r="F3180" t="s">
        <v>15</v>
      </c>
      <c r="G3180">
        <v>84.1</v>
      </c>
      <c r="H3180">
        <v>4348.6499999999996</v>
      </c>
      <c r="I3180" t="s">
        <v>16</v>
      </c>
      <c r="J3180" t="s">
        <v>15</v>
      </c>
      <c r="K3180" t="s">
        <v>17</v>
      </c>
      <c r="L3180">
        <v>4348.6499999999996</v>
      </c>
      <c r="M3180" t="s">
        <v>5033</v>
      </c>
      <c r="N3180" t="s">
        <v>5034</v>
      </c>
    </row>
    <row r="3181" spans="1:14" x14ac:dyDescent="0.3">
      <c r="A3181" t="s">
        <v>3205</v>
      </c>
      <c r="B3181" t="s">
        <v>12</v>
      </c>
      <c r="C3181" t="s">
        <v>35</v>
      </c>
      <c r="D3181">
        <v>27</v>
      </c>
      <c r="E3181" t="s">
        <v>15</v>
      </c>
      <c r="F3181" t="s">
        <v>36</v>
      </c>
      <c r="G3181">
        <v>19.600000000000001</v>
      </c>
      <c r="H3181">
        <v>561.15</v>
      </c>
      <c r="I3181" t="s">
        <v>15</v>
      </c>
      <c r="J3181" t="s">
        <v>16</v>
      </c>
      <c r="K3181" t="s">
        <v>21</v>
      </c>
      <c r="L3181">
        <v>561.15</v>
      </c>
      <c r="M3181" t="s">
        <v>5032</v>
      </c>
      <c r="N3181" t="s">
        <v>5031</v>
      </c>
    </row>
    <row r="3182" spans="1:14" x14ac:dyDescent="0.3">
      <c r="A3182" t="s">
        <v>3206</v>
      </c>
      <c r="B3182" t="s">
        <v>12</v>
      </c>
      <c r="C3182" t="s">
        <v>13</v>
      </c>
      <c r="D3182">
        <v>3</v>
      </c>
      <c r="E3182" t="s">
        <v>15</v>
      </c>
      <c r="F3182" t="s">
        <v>36</v>
      </c>
      <c r="G3182">
        <v>20</v>
      </c>
      <c r="H3182">
        <v>63.6</v>
      </c>
      <c r="I3182" t="s">
        <v>15</v>
      </c>
      <c r="J3182" t="s">
        <v>15</v>
      </c>
      <c r="K3182" t="s">
        <v>21</v>
      </c>
      <c r="L3182">
        <v>63.6</v>
      </c>
      <c r="M3182" t="s">
        <v>5030</v>
      </c>
      <c r="N3182" t="s">
        <v>5031</v>
      </c>
    </row>
    <row r="3183" spans="1:14" x14ac:dyDescent="0.3">
      <c r="A3183" t="s">
        <v>3207</v>
      </c>
      <c r="B3183" t="s">
        <v>12</v>
      </c>
      <c r="C3183" t="s">
        <v>35</v>
      </c>
      <c r="D3183">
        <v>64</v>
      </c>
      <c r="E3183" t="s">
        <v>14</v>
      </c>
      <c r="F3183" t="s">
        <v>16</v>
      </c>
      <c r="G3183">
        <v>81.3</v>
      </c>
      <c r="H3183">
        <v>5129.3</v>
      </c>
      <c r="I3183" t="s">
        <v>15</v>
      </c>
      <c r="J3183" t="s">
        <v>16</v>
      </c>
      <c r="K3183" t="s">
        <v>21</v>
      </c>
      <c r="L3183">
        <v>5129.3</v>
      </c>
      <c r="M3183" t="s">
        <v>5033</v>
      </c>
      <c r="N3183" t="s">
        <v>5034</v>
      </c>
    </row>
    <row r="3184" spans="1:14" x14ac:dyDescent="0.3">
      <c r="A3184" t="s">
        <v>3208</v>
      </c>
      <c r="B3184" t="s">
        <v>12</v>
      </c>
      <c r="C3184" t="s">
        <v>35</v>
      </c>
      <c r="D3184">
        <v>45</v>
      </c>
      <c r="E3184" t="s">
        <v>26</v>
      </c>
      <c r="F3184" t="s">
        <v>16</v>
      </c>
      <c r="G3184">
        <v>95.2</v>
      </c>
      <c r="H3184">
        <v>4285.8</v>
      </c>
      <c r="I3184" t="s">
        <v>15</v>
      </c>
      <c r="J3184" t="s">
        <v>16</v>
      </c>
      <c r="K3184" t="s">
        <v>29</v>
      </c>
      <c r="L3184">
        <v>4285.8</v>
      </c>
      <c r="M3184" t="s">
        <v>5033</v>
      </c>
      <c r="N3184" t="s">
        <v>5034</v>
      </c>
    </row>
    <row r="3185" spans="1:14" x14ac:dyDescent="0.3">
      <c r="A3185" t="s">
        <v>3209</v>
      </c>
      <c r="B3185" t="s">
        <v>19</v>
      </c>
      <c r="C3185" t="s">
        <v>13</v>
      </c>
      <c r="D3185">
        <v>3</v>
      </c>
      <c r="E3185" t="s">
        <v>14</v>
      </c>
      <c r="F3185" t="s">
        <v>15</v>
      </c>
      <c r="G3185">
        <v>36.450000000000003</v>
      </c>
      <c r="H3185">
        <v>93.7</v>
      </c>
      <c r="I3185" t="s">
        <v>16</v>
      </c>
      <c r="J3185" t="s">
        <v>16</v>
      </c>
      <c r="K3185" t="s">
        <v>21</v>
      </c>
      <c r="L3185">
        <v>93.7</v>
      </c>
      <c r="M3185" t="s">
        <v>5030</v>
      </c>
      <c r="N3185" t="s">
        <v>5031</v>
      </c>
    </row>
    <row r="3186" spans="1:14" x14ac:dyDescent="0.3">
      <c r="A3186" t="s">
        <v>3210</v>
      </c>
      <c r="B3186" t="s">
        <v>12</v>
      </c>
      <c r="C3186" t="s">
        <v>35</v>
      </c>
      <c r="D3186">
        <v>71</v>
      </c>
      <c r="E3186" t="s">
        <v>14</v>
      </c>
      <c r="F3186" t="s">
        <v>16</v>
      </c>
      <c r="G3186">
        <v>83.3</v>
      </c>
      <c r="H3186">
        <v>5894.5</v>
      </c>
      <c r="I3186" t="s">
        <v>15</v>
      </c>
      <c r="J3186" t="s">
        <v>16</v>
      </c>
      <c r="K3186" t="s">
        <v>29</v>
      </c>
      <c r="L3186">
        <v>5894.5</v>
      </c>
      <c r="M3186" t="s">
        <v>5033</v>
      </c>
      <c r="N3186" t="s">
        <v>5034</v>
      </c>
    </row>
    <row r="3187" spans="1:14" x14ac:dyDescent="0.3">
      <c r="A3187" t="s">
        <v>3211</v>
      </c>
      <c r="B3187" t="s">
        <v>12</v>
      </c>
      <c r="C3187" t="s">
        <v>13</v>
      </c>
      <c r="D3187">
        <v>1</v>
      </c>
      <c r="E3187" t="s">
        <v>14</v>
      </c>
      <c r="F3187" t="s">
        <v>15</v>
      </c>
      <c r="G3187">
        <v>25.05</v>
      </c>
      <c r="H3187">
        <v>25.05</v>
      </c>
      <c r="I3187" t="s">
        <v>16</v>
      </c>
      <c r="J3187" t="s">
        <v>15</v>
      </c>
      <c r="K3187" t="s">
        <v>21</v>
      </c>
      <c r="L3187">
        <v>25.05</v>
      </c>
      <c r="M3187" t="s">
        <v>5030</v>
      </c>
      <c r="N3187" t="s">
        <v>5031</v>
      </c>
    </row>
    <row r="3188" spans="1:14" x14ac:dyDescent="0.3">
      <c r="A3188" t="s">
        <v>3212</v>
      </c>
      <c r="B3188" t="s">
        <v>12</v>
      </c>
      <c r="C3188" t="s">
        <v>35</v>
      </c>
      <c r="D3188">
        <v>58</v>
      </c>
      <c r="E3188" t="s">
        <v>15</v>
      </c>
      <c r="F3188" t="s">
        <v>36</v>
      </c>
      <c r="G3188">
        <v>20.3</v>
      </c>
      <c r="H3188">
        <v>1160.75</v>
      </c>
      <c r="I3188" t="s">
        <v>15</v>
      </c>
      <c r="J3188" t="s">
        <v>15</v>
      </c>
      <c r="K3188" t="s">
        <v>29</v>
      </c>
      <c r="L3188">
        <v>1160.75</v>
      </c>
      <c r="M3188" t="s">
        <v>5033</v>
      </c>
      <c r="N3188" t="s">
        <v>5031</v>
      </c>
    </row>
    <row r="3189" spans="1:14" x14ac:dyDescent="0.3">
      <c r="A3189" t="s">
        <v>3213</v>
      </c>
      <c r="B3189" t="s">
        <v>19</v>
      </c>
      <c r="C3189" t="s">
        <v>13</v>
      </c>
      <c r="D3189">
        <v>34</v>
      </c>
      <c r="E3189" t="s">
        <v>26</v>
      </c>
      <c r="F3189" t="s">
        <v>15</v>
      </c>
      <c r="G3189">
        <v>89.85</v>
      </c>
      <c r="H3189">
        <v>3091.75</v>
      </c>
      <c r="I3189" t="s">
        <v>15</v>
      </c>
      <c r="J3189" t="s">
        <v>16</v>
      </c>
      <c r="K3189" t="s">
        <v>17</v>
      </c>
      <c r="L3189">
        <v>3091.75</v>
      </c>
      <c r="M3189" t="s">
        <v>5032</v>
      </c>
      <c r="N3189" t="s">
        <v>5034</v>
      </c>
    </row>
    <row r="3190" spans="1:14" x14ac:dyDescent="0.3">
      <c r="A3190" t="s">
        <v>3214</v>
      </c>
      <c r="B3190" t="s">
        <v>12</v>
      </c>
      <c r="C3190" t="s">
        <v>13</v>
      </c>
      <c r="D3190">
        <v>8</v>
      </c>
      <c r="E3190" t="s">
        <v>14</v>
      </c>
      <c r="F3190" t="s">
        <v>15</v>
      </c>
      <c r="G3190">
        <v>49.85</v>
      </c>
      <c r="H3190">
        <v>365.55</v>
      </c>
      <c r="I3190" t="s">
        <v>16</v>
      </c>
      <c r="J3190" t="s">
        <v>16</v>
      </c>
      <c r="K3190" t="s">
        <v>17</v>
      </c>
      <c r="L3190">
        <v>365.55</v>
      </c>
      <c r="M3190" t="s">
        <v>5030</v>
      </c>
      <c r="N3190" t="s">
        <v>5031</v>
      </c>
    </row>
    <row r="3191" spans="1:14" x14ac:dyDescent="0.3">
      <c r="A3191" t="s">
        <v>3215</v>
      </c>
      <c r="B3191" t="s">
        <v>12</v>
      </c>
      <c r="C3191" t="s">
        <v>13</v>
      </c>
      <c r="D3191">
        <v>15</v>
      </c>
      <c r="E3191" t="s">
        <v>15</v>
      </c>
      <c r="F3191" t="s">
        <v>36</v>
      </c>
      <c r="G3191">
        <v>19.8</v>
      </c>
      <c r="H3191">
        <v>272.95</v>
      </c>
      <c r="I3191" t="s">
        <v>15</v>
      </c>
      <c r="J3191" t="s">
        <v>15</v>
      </c>
      <c r="K3191" t="s">
        <v>21</v>
      </c>
      <c r="L3191">
        <v>272.95</v>
      </c>
      <c r="M3191" t="s">
        <v>5032</v>
      </c>
      <c r="N3191" t="s">
        <v>5031</v>
      </c>
    </row>
    <row r="3192" spans="1:14" x14ac:dyDescent="0.3">
      <c r="A3192" t="s">
        <v>3216</v>
      </c>
      <c r="B3192" t="s">
        <v>19</v>
      </c>
      <c r="C3192" t="s">
        <v>35</v>
      </c>
      <c r="D3192">
        <v>66</v>
      </c>
      <c r="E3192" t="s">
        <v>14</v>
      </c>
      <c r="F3192" t="s">
        <v>16</v>
      </c>
      <c r="G3192">
        <v>54.65</v>
      </c>
      <c r="H3192">
        <v>3632</v>
      </c>
      <c r="I3192" t="s">
        <v>15</v>
      </c>
      <c r="J3192" t="s">
        <v>15</v>
      </c>
      <c r="K3192" t="s">
        <v>24</v>
      </c>
      <c r="L3192">
        <v>3632</v>
      </c>
      <c r="M3192" t="s">
        <v>5033</v>
      </c>
      <c r="N3192" t="s">
        <v>5034</v>
      </c>
    </row>
    <row r="3193" spans="1:14" x14ac:dyDescent="0.3">
      <c r="A3193" t="s">
        <v>3217</v>
      </c>
      <c r="B3193" t="s">
        <v>19</v>
      </c>
      <c r="C3193" t="s">
        <v>13</v>
      </c>
      <c r="D3193">
        <v>12</v>
      </c>
      <c r="E3193" t="s">
        <v>14</v>
      </c>
      <c r="F3193" t="s">
        <v>15</v>
      </c>
      <c r="G3193">
        <v>29.35</v>
      </c>
      <c r="H3193">
        <v>381.2</v>
      </c>
      <c r="I3193" t="s">
        <v>15</v>
      </c>
      <c r="J3193" t="s">
        <v>16</v>
      </c>
      <c r="K3193" t="s">
        <v>29</v>
      </c>
      <c r="L3193">
        <v>381.2</v>
      </c>
      <c r="M3193" t="s">
        <v>5030</v>
      </c>
      <c r="N3193" t="s">
        <v>5031</v>
      </c>
    </row>
    <row r="3194" spans="1:14" x14ac:dyDescent="0.3">
      <c r="A3194" t="s">
        <v>3218</v>
      </c>
      <c r="B3194" t="s">
        <v>19</v>
      </c>
      <c r="C3194" t="s">
        <v>35</v>
      </c>
      <c r="D3194">
        <v>58</v>
      </c>
      <c r="E3194" t="s">
        <v>15</v>
      </c>
      <c r="F3194" t="s">
        <v>36</v>
      </c>
      <c r="G3194">
        <v>19.149999999999999</v>
      </c>
      <c r="H3194">
        <v>1035.5</v>
      </c>
      <c r="I3194" t="s">
        <v>15</v>
      </c>
      <c r="J3194" t="s">
        <v>16</v>
      </c>
      <c r="K3194" t="s">
        <v>24</v>
      </c>
      <c r="L3194">
        <v>1035.5</v>
      </c>
      <c r="M3194" t="s">
        <v>5033</v>
      </c>
      <c r="N3194" t="s">
        <v>5031</v>
      </c>
    </row>
    <row r="3195" spans="1:14" x14ac:dyDescent="0.3">
      <c r="A3195" t="s">
        <v>3219</v>
      </c>
      <c r="B3195" t="s">
        <v>12</v>
      </c>
      <c r="C3195" t="s">
        <v>35</v>
      </c>
      <c r="D3195">
        <v>3</v>
      </c>
      <c r="E3195" t="s">
        <v>15</v>
      </c>
      <c r="F3195" t="s">
        <v>36</v>
      </c>
      <c r="G3195">
        <v>19.100000000000001</v>
      </c>
      <c r="H3195">
        <v>52</v>
      </c>
      <c r="I3195" t="s">
        <v>15</v>
      </c>
      <c r="J3195" t="s">
        <v>15</v>
      </c>
      <c r="K3195" t="s">
        <v>21</v>
      </c>
      <c r="L3195">
        <v>52</v>
      </c>
      <c r="M3195" t="s">
        <v>5030</v>
      </c>
      <c r="N3195" t="s">
        <v>5031</v>
      </c>
    </row>
    <row r="3196" spans="1:14" x14ac:dyDescent="0.3">
      <c r="A3196" t="s">
        <v>3220</v>
      </c>
      <c r="B3196" t="s">
        <v>12</v>
      </c>
      <c r="C3196" t="s">
        <v>13</v>
      </c>
      <c r="D3196">
        <v>43</v>
      </c>
      <c r="E3196" t="s">
        <v>14</v>
      </c>
      <c r="F3196" t="s">
        <v>15</v>
      </c>
      <c r="G3196">
        <v>55.55</v>
      </c>
      <c r="H3196">
        <v>2342.1999999999998</v>
      </c>
      <c r="I3196" t="s">
        <v>16</v>
      </c>
      <c r="J3196" t="s">
        <v>15</v>
      </c>
      <c r="K3196" t="s">
        <v>29</v>
      </c>
      <c r="L3196">
        <v>2342.1999999999998</v>
      </c>
      <c r="M3196" t="s">
        <v>5033</v>
      </c>
      <c r="N3196" t="s">
        <v>5031</v>
      </c>
    </row>
    <row r="3197" spans="1:14" x14ac:dyDescent="0.3">
      <c r="A3197" t="s">
        <v>3221</v>
      </c>
      <c r="B3197" t="s">
        <v>12</v>
      </c>
      <c r="C3197" t="s">
        <v>13</v>
      </c>
      <c r="D3197">
        <v>9</v>
      </c>
      <c r="E3197" t="s">
        <v>26</v>
      </c>
      <c r="F3197" t="s">
        <v>15</v>
      </c>
      <c r="G3197">
        <v>80.55</v>
      </c>
      <c r="H3197">
        <v>653.9</v>
      </c>
      <c r="I3197" t="s">
        <v>15</v>
      </c>
      <c r="J3197" t="s">
        <v>15</v>
      </c>
      <c r="K3197" t="s">
        <v>17</v>
      </c>
      <c r="L3197">
        <v>653.9</v>
      </c>
      <c r="M3197" t="s">
        <v>5030</v>
      </c>
      <c r="N3197" t="s">
        <v>5031</v>
      </c>
    </row>
    <row r="3198" spans="1:14" x14ac:dyDescent="0.3">
      <c r="A3198" t="s">
        <v>3222</v>
      </c>
      <c r="B3198" t="s">
        <v>12</v>
      </c>
      <c r="C3198" t="s">
        <v>20</v>
      </c>
      <c r="D3198">
        <v>3</v>
      </c>
      <c r="E3198" t="s">
        <v>15</v>
      </c>
      <c r="F3198" t="s">
        <v>36</v>
      </c>
      <c r="G3198">
        <v>20.25</v>
      </c>
      <c r="H3198">
        <v>71.2</v>
      </c>
      <c r="I3198" t="s">
        <v>15</v>
      </c>
      <c r="J3198" t="s">
        <v>15</v>
      </c>
      <c r="K3198" t="s">
        <v>21</v>
      </c>
      <c r="L3198">
        <v>71.2</v>
      </c>
      <c r="M3198" t="s">
        <v>5030</v>
      </c>
      <c r="N3198" t="s">
        <v>5031</v>
      </c>
    </row>
    <row r="3199" spans="1:14" x14ac:dyDescent="0.3">
      <c r="A3199" t="s">
        <v>3223</v>
      </c>
      <c r="B3199" t="s">
        <v>12</v>
      </c>
      <c r="C3199" t="s">
        <v>20</v>
      </c>
      <c r="D3199">
        <v>22</v>
      </c>
      <c r="E3199" t="s">
        <v>14</v>
      </c>
      <c r="F3199" t="s">
        <v>15</v>
      </c>
      <c r="G3199">
        <v>69.5</v>
      </c>
      <c r="H3199">
        <v>1498.2</v>
      </c>
      <c r="I3199" t="s">
        <v>16</v>
      </c>
      <c r="J3199" t="s">
        <v>16</v>
      </c>
      <c r="K3199" t="s">
        <v>24</v>
      </c>
      <c r="L3199">
        <v>1498.2</v>
      </c>
      <c r="M3199" t="s">
        <v>5032</v>
      </c>
      <c r="N3199" t="s">
        <v>5031</v>
      </c>
    </row>
    <row r="3200" spans="1:14" x14ac:dyDescent="0.3">
      <c r="A3200" t="s">
        <v>3224</v>
      </c>
      <c r="B3200" t="s">
        <v>19</v>
      </c>
      <c r="C3200" t="s">
        <v>20</v>
      </c>
      <c r="D3200">
        <v>40</v>
      </c>
      <c r="E3200" t="s">
        <v>26</v>
      </c>
      <c r="F3200" t="s">
        <v>15</v>
      </c>
      <c r="G3200">
        <v>106</v>
      </c>
      <c r="H3200">
        <v>4178.6499999999996</v>
      </c>
      <c r="I3200" t="s">
        <v>15</v>
      </c>
      <c r="J3200" t="s">
        <v>16</v>
      </c>
      <c r="K3200" t="s">
        <v>24</v>
      </c>
      <c r="L3200">
        <v>4178.6499999999996</v>
      </c>
      <c r="M3200" t="s">
        <v>5033</v>
      </c>
      <c r="N3200" t="s">
        <v>5034</v>
      </c>
    </row>
    <row r="3201" spans="1:14" x14ac:dyDescent="0.3">
      <c r="A3201" t="s">
        <v>3225</v>
      </c>
      <c r="B3201" t="s">
        <v>12</v>
      </c>
      <c r="C3201" t="s">
        <v>35</v>
      </c>
      <c r="D3201">
        <v>68</v>
      </c>
      <c r="E3201" t="s">
        <v>15</v>
      </c>
      <c r="F3201" t="s">
        <v>36</v>
      </c>
      <c r="G3201">
        <v>25.5</v>
      </c>
      <c r="H3201">
        <v>1821.8</v>
      </c>
      <c r="I3201" t="s">
        <v>15</v>
      </c>
      <c r="J3201" t="s">
        <v>15</v>
      </c>
      <c r="K3201" t="s">
        <v>24</v>
      </c>
      <c r="L3201">
        <v>1821.8</v>
      </c>
      <c r="M3201" t="s">
        <v>5033</v>
      </c>
      <c r="N3201" t="s">
        <v>5031</v>
      </c>
    </row>
    <row r="3202" spans="1:14" x14ac:dyDescent="0.3">
      <c r="A3202" t="s">
        <v>3226</v>
      </c>
      <c r="B3202" t="s">
        <v>19</v>
      </c>
      <c r="C3202" t="s">
        <v>13</v>
      </c>
      <c r="D3202">
        <v>54</v>
      </c>
      <c r="E3202" t="s">
        <v>26</v>
      </c>
      <c r="F3202" t="s">
        <v>15</v>
      </c>
      <c r="G3202">
        <v>104.3</v>
      </c>
      <c r="H3202">
        <v>5278.15</v>
      </c>
      <c r="I3202" t="s">
        <v>16</v>
      </c>
      <c r="J3202" t="s">
        <v>16</v>
      </c>
      <c r="K3202" t="s">
        <v>17</v>
      </c>
      <c r="L3202">
        <v>5278.15</v>
      </c>
      <c r="M3202" t="s">
        <v>5033</v>
      </c>
      <c r="N3202" t="s">
        <v>5034</v>
      </c>
    </row>
    <row r="3203" spans="1:14" x14ac:dyDescent="0.3">
      <c r="A3203" t="s">
        <v>3227</v>
      </c>
      <c r="B3203" t="s">
        <v>12</v>
      </c>
      <c r="C3203" t="s">
        <v>35</v>
      </c>
      <c r="D3203">
        <v>50</v>
      </c>
      <c r="E3203" t="s">
        <v>14</v>
      </c>
      <c r="F3203" t="s">
        <v>16</v>
      </c>
      <c r="G3203">
        <v>79.599999999999994</v>
      </c>
      <c r="H3203">
        <v>4024.2</v>
      </c>
      <c r="I3203" t="s">
        <v>15</v>
      </c>
      <c r="J3203" t="s">
        <v>16</v>
      </c>
      <c r="K3203" t="s">
        <v>21</v>
      </c>
      <c r="L3203">
        <v>4024.2</v>
      </c>
      <c r="M3203" t="s">
        <v>5033</v>
      </c>
      <c r="N3203" t="s">
        <v>5034</v>
      </c>
    </row>
    <row r="3204" spans="1:14" x14ac:dyDescent="0.3">
      <c r="A3204" t="s">
        <v>3228</v>
      </c>
      <c r="B3204" t="s">
        <v>19</v>
      </c>
      <c r="C3204" t="s">
        <v>13</v>
      </c>
      <c r="D3204">
        <v>1</v>
      </c>
      <c r="E3204" t="s">
        <v>14</v>
      </c>
      <c r="F3204" t="s">
        <v>15</v>
      </c>
      <c r="G3204">
        <v>55.25</v>
      </c>
      <c r="H3204">
        <v>55.25</v>
      </c>
      <c r="I3204" t="s">
        <v>15</v>
      </c>
      <c r="J3204" t="s">
        <v>16</v>
      </c>
      <c r="K3204" t="s">
        <v>17</v>
      </c>
      <c r="L3204">
        <v>55.25</v>
      </c>
      <c r="M3204" t="s">
        <v>5030</v>
      </c>
      <c r="N3204" t="s">
        <v>5031</v>
      </c>
    </row>
    <row r="3205" spans="1:14" x14ac:dyDescent="0.3">
      <c r="A3205" t="s">
        <v>3229</v>
      </c>
      <c r="B3205" t="s">
        <v>12</v>
      </c>
      <c r="C3205" t="s">
        <v>35</v>
      </c>
      <c r="D3205">
        <v>72</v>
      </c>
      <c r="E3205" t="s">
        <v>14</v>
      </c>
      <c r="F3205" t="s">
        <v>16</v>
      </c>
      <c r="G3205">
        <v>88.05</v>
      </c>
      <c r="H3205">
        <v>6520.8</v>
      </c>
      <c r="I3205" t="s">
        <v>15</v>
      </c>
      <c r="J3205" t="s">
        <v>15</v>
      </c>
      <c r="K3205" t="s">
        <v>24</v>
      </c>
      <c r="L3205">
        <v>6520.8</v>
      </c>
      <c r="M3205" t="s">
        <v>5033</v>
      </c>
      <c r="N3205" t="s">
        <v>5034</v>
      </c>
    </row>
    <row r="3206" spans="1:14" x14ac:dyDescent="0.3">
      <c r="A3206" t="s">
        <v>3230</v>
      </c>
      <c r="B3206" t="s">
        <v>19</v>
      </c>
      <c r="C3206" t="s">
        <v>20</v>
      </c>
      <c r="D3206">
        <v>40</v>
      </c>
      <c r="E3206" t="s">
        <v>15</v>
      </c>
      <c r="F3206" t="s">
        <v>36</v>
      </c>
      <c r="G3206">
        <v>20.399999999999999</v>
      </c>
      <c r="H3206">
        <v>854.9</v>
      </c>
      <c r="I3206" t="s">
        <v>15</v>
      </c>
      <c r="J3206" t="s">
        <v>16</v>
      </c>
      <c r="K3206" t="s">
        <v>24</v>
      </c>
      <c r="L3206">
        <v>854.9</v>
      </c>
      <c r="M3206" t="s">
        <v>5033</v>
      </c>
      <c r="N3206" t="s">
        <v>5031</v>
      </c>
    </row>
    <row r="3207" spans="1:14" x14ac:dyDescent="0.3">
      <c r="A3207" t="s">
        <v>3231</v>
      </c>
      <c r="B3207" t="s">
        <v>12</v>
      </c>
      <c r="C3207" t="s">
        <v>35</v>
      </c>
      <c r="D3207">
        <v>72</v>
      </c>
      <c r="E3207" t="s">
        <v>26</v>
      </c>
      <c r="F3207" t="s">
        <v>16</v>
      </c>
      <c r="G3207">
        <v>117.6</v>
      </c>
      <c r="H3207">
        <v>8308.9</v>
      </c>
      <c r="I3207" t="s">
        <v>15</v>
      </c>
      <c r="J3207" t="s">
        <v>16</v>
      </c>
      <c r="K3207" t="s">
        <v>24</v>
      </c>
      <c r="L3207">
        <v>8308.9</v>
      </c>
      <c r="M3207" t="s">
        <v>5033</v>
      </c>
      <c r="N3207" t="s">
        <v>5034</v>
      </c>
    </row>
    <row r="3208" spans="1:14" x14ac:dyDescent="0.3">
      <c r="A3208" t="s">
        <v>3232</v>
      </c>
      <c r="B3208" t="s">
        <v>12</v>
      </c>
      <c r="C3208" t="s">
        <v>13</v>
      </c>
      <c r="D3208">
        <v>6</v>
      </c>
      <c r="E3208" t="s">
        <v>15</v>
      </c>
      <c r="F3208" t="s">
        <v>36</v>
      </c>
      <c r="G3208">
        <v>20</v>
      </c>
      <c r="H3208">
        <v>109.2</v>
      </c>
      <c r="I3208" t="s">
        <v>15</v>
      </c>
      <c r="J3208" t="s">
        <v>15</v>
      </c>
      <c r="K3208" t="s">
        <v>21</v>
      </c>
      <c r="L3208">
        <v>109.2</v>
      </c>
      <c r="M3208" t="s">
        <v>5030</v>
      </c>
      <c r="N3208" t="s">
        <v>5031</v>
      </c>
    </row>
    <row r="3209" spans="1:14" x14ac:dyDescent="0.3">
      <c r="A3209" t="s">
        <v>3233</v>
      </c>
      <c r="B3209" t="s">
        <v>12</v>
      </c>
      <c r="C3209" t="s">
        <v>13</v>
      </c>
      <c r="D3209">
        <v>5</v>
      </c>
      <c r="E3209" t="s">
        <v>15</v>
      </c>
      <c r="F3209" t="s">
        <v>36</v>
      </c>
      <c r="G3209">
        <v>19.649999999999999</v>
      </c>
      <c r="H3209">
        <v>92.05</v>
      </c>
      <c r="I3209" t="s">
        <v>15</v>
      </c>
      <c r="J3209" t="s">
        <v>16</v>
      </c>
      <c r="K3209" t="s">
        <v>29</v>
      </c>
      <c r="L3209">
        <v>92.05</v>
      </c>
      <c r="M3209" t="s">
        <v>5030</v>
      </c>
      <c r="N3209" t="s">
        <v>5031</v>
      </c>
    </row>
    <row r="3210" spans="1:14" x14ac:dyDescent="0.3">
      <c r="A3210" t="s">
        <v>3234</v>
      </c>
      <c r="B3210" t="s">
        <v>19</v>
      </c>
      <c r="C3210" t="s">
        <v>20</v>
      </c>
      <c r="D3210">
        <v>48</v>
      </c>
      <c r="E3210" t="s">
        <v>14</v>
      </c>
      <c r="F3210" t="s">
        <v>15</v>
      </c>
      <c r="G3210">
        <v>70.55</v>
      </c>
      <c r="H3210">
        <v>3420.5</v>
      </c>
      <c r="I3210" t="s">
        <v>15</v>
      </c>
      <c r="J3210" t="s">
        <v>16</v>
      </c>
      <c r="K3210" t="s">
        <v>29</v>
      </c>
      <c r="L3210">
        <v>3420.5</v>
      </c>
      <c r="M3210" t="s">
        <v>5033</v>
      </c>
      <c r="N3210" t="s">
        <v>5034</v>
      </c>
    </row>
    <row r="3211" spans="1:14" x14ac:dyDescent="0.3">
      <c r="A3211" t="s">
        <v>3235</v>
      </c>
      <c r="B3211" t="s">
        <v>12</v>
      </c>
      <c r="C3211" t="s">
        <v>13</v>
      </c>
      <c r="D3211">
        <v>1</v>
      </c>
      <c r="E3211" t="s">
        <v>26</v>
      </c>
      <c r="F3211" t="s">
        <v>15</v>
      </c>
      <c r="G3211">
        <v>93.85</v>
      </c>
      <c r="H3211">
        <v>93.85</v>
      </c>
      <c r="I3211" t="s">
        <v>16</v>
      </c>
      <c r="J3211" t="s">
        <v>16</v>
      </c>
      <c r="K3211" t="s">
        <v>17</v>
      </c>
      <c r="L3211">
        <v>93.85</v>
      </c>
      <c r="M3211" t="s">
        <v>5030</v>
      </c>
      <c r="N3211" t="s">
        <v>5031</v>
      </c>
    </row>
    <row r="3212" spans="1:14" x14ac:dyDescent="0.3">
      <c r="A3212" t="s">
        <v>3236</v>
      </c>
      <c r="B3212" t="s">
        <v>12</v>
      </c>
      <c r="C3212" t="s">
        <v>20</v>
      </c>
      <c r="D3212">
        <v>64</v>
      </c>
      <c r="E3212" t="s">
        <v>14</v>
      </c>
      <c r="F3212" t="s">
        <v>16</v>
      </c>
      <c r="G3212">
        <v>65.8</v>
      </c>
      <c r="H3212">
        <v>4068</v>
      </c>
      <c r="I3212" t="s">
        <v>15</v>
      </c>
      <c r="J3212" t="s">
        <v>15</v>
      </c>
      <c r="K3212" t="s">
        <v>21</v>
      </c>
      <c r="L3212">
        <v>4068</v>
      </c>
      <c r="M3212" t="s">
        <v>5033</v>
      </c>
      <c r="N3212" t="s">
        <v>5034</v>
      </c>
    </row>
    <row r="3213" spans="1:14" x14ac:dyDescent="0.3">
      <c r="A3213" t="s">
        <v>3237</v>
      </c>
      <c r="B3213" t="s">
        <v>12</v>
      </c>
      <c r="C3213" t="s">
        <v>20</v>
      </c>
      <c r="D3213">
        <v>17</v>
      </c>
      <c r="E3213" t="s">
        <v>15</v>
      </c>
      <c r="F3213" t="s">
        <v>36</v>
      </c>
      <c r="G3213">
        <v>20.05</v>
      </c>
      <c r="H3213">
        <v>337.9</v>
      </c>
      <c r="I3213" t="s">
        <v>15</v>
      </c>
      <c r="J3213" t="s">
        <v>15</v>
      </c>
      <c r="K3213" t="s">
        <v>29</v>
      </c>
      <c r="L3213">
        <v>337.9</v>
      </c>
      <c r="M3213" t="s">
        <v>5032</v>
      </c>
      <c r="N3213" t="s">
        <v>5031</v>
      </c>
    </row>
    <row r="3214" spans="1:14" x14ac:dyDescent="0.3">
      <c r="A3214" t="s">
        <v>3238</v>
      </c>
      <c r="B3214" t="s">
        <v>19</v>
      </c>
      <c r="C3214" t="s">
        <v>13</v>
      </c>
      <c r="D3214">
        <v>40</v>
      </c>
      <c r="E3214" t="s">
        <v>26</v>
      </c>
      <c r="F3214" t="s">
        <v>15</v>
      </c>
      <c r="G3214">
        <v>80</v>
      </c>
      <c r="H3214">
        <v>3168.75</v>
      </c>
      <c r="I3214" t="s">
        <v>15</v>
      </c>
      <c r="J3214" t="s">
        <v>16</v>
      </c>
      <c r="K3214" t="s">
        <v>17</v>
      </c>
      <c r="L3214">
        <v>3168.75</v>
      </c>
      <c r="M3214" t="s">
        <v>5033</v>
      </c>
      <c r="N3214" t="s">
        <v>5034</v>
      </c>
    </row>
    <row r="3215" spans="1:14" x14ac:dyDescent="0.3">
      <c r="A3215" t="s">
        <v>3239</v>
      </c>
      <c r="B3215" t="s">
        <v>12</v>
      </c>
      <c r="C3215" t="s">
        <v>20</v>
      </c>
      <c r="D3215">
        <v>41</v>
      </c>
      <c r="E3215" t="s">
        <v>14</v>
      </c>
      <c r="F3215" t="s">
        <v>15</v>
      </c>
      <c r="G3215">
        <v>35.4</v>
      </c>
      <c r="H3215">
        <v>1412.4</v>
      </c>
      <c r="I3215" t="s">
        <v>15</v>
      </c>
      <c r="J3215" t="s">
        <v>15</v>
      </c>
      <c r="K3215" t="s">
        <v>29</v>
      </c>
      <c r="L3215">
        <v>1412.4</v>
      </c>
      <c r="M3215" t="s">
        <v>5033</v>
      </c>
      <c r="N3215" t="s">
        <v>5031</v>
      </c>
    </row>
    <row r="3216" spans="1:14" x14ac:dyDescent="0.3">
      <c r="A3216" t="s">
        <v>3240</v>
      </c>
      <c r="B3216" t="s">
        <v>19</v>
      </c>
      <c r="C3216" t="s">
        <v>20</v>
      </c>
      <c r="D3216">
        <v>51</v>
      </c>
      <c r="E3216" t="s">
        <v>26</v>
      </c>
      <c r="F3216" t="s">
        <v>15</v>
      </c>
      <c r="G3216">
        <v>79.599999999999994</v>
      </c>
      <c r="H3216">
        <v>3974.7</v>
      </c>
      <c r="I3216" t="s">
        <v>15</v>
      </c>
      <c r="J3216" t="s">
        <v>16</v>
      </c>
      <c r="K3216" t="s">
        <v>24</v>
      </c>
      <c r="L3216">
        <v>3974.7</v>
      </c>
      <c r="M3216" t="s">
        <v>5033</v>
      </c>
      <c r="N3216" t="s">
        <v>5034</v>
      </c>
    </row>
    <row r="3217" spans="1:14" x14ac:dyDescent="0.3">
      <c r="A3217" t="s">
        <v>3241</v>
      </c>
      <c r="B3217" t="s">
        <v>19</v>
      </c>
      <c r="C3217" t="s">
        <v>13</v>
      </c>
      <c r="D3217">
        <v>41</v>
      </c>
      <c r="E3217" t="s">
        <v>26</v>
      </c>
      <c r="F3217" t="s">
        <v>15</v>
      </c>
      <c r="G3217">
        <v>80.25</v>
      </c>
      <c r="H3217">
        <v>3439</v>
      </c>
      <c r="I3217" t="s">
        <v>15</v>
      </c>
      <c r="J3217" t="s">
        <v>16</v>
      </c>
      <c r="K3217" t="s">
        <v>17</v>
      </c>
      <c r="L3217">
        <v>3439</v>
      </c>
      <c r="M3217" t="s">
        <v>5033</v>
      </c>
      <c r="N3217" t="s">
        <v>5034</v>
      </c>
    </row>
    <row r="3218" spans="1:14" x14ac:dyDescent="0.3">
      <c r="A3218" t="s">
        <v>3242</v>
      </c>
      <c r="B3218" t="s">
        <v>12</v>
      </c>
      <c r="C3218" t="s">
        <v>13</v>
      </c>
      <c r="D3218">
        <v>1</v>
      </c>
      <c r="E3218" t="s">
        <v>14</v>
      </c>
      <c r="F3218" t="s">
        <v>15</v>
      </c>
      <c r="G3218">
        <v>50.45</v>
      </c>
      <c r="H3218">
        <v>50.45</v>
      </c>
      <c r="I3218" t="s">
        <v>16</v>
      </c>
      <c r="J3218" t="s">
        <v>15</v>
      </c>
      <c r="K3218" t="s">
        <v>21</v>
      </c>
      <c r="L3218">
        <v>50.45</v>
      </c>
      <c r="M3218" t="s">
        <v>5030</v>
      </c>
      <c r="N3218" t="s">
        <v>5031</v>
      </c>
    </row>
    <row r="3219" spans="1:14" x14ac:dyDescent="0.3">
      <c r="A3219" t="s">
        <v>3243</v>
      </c>
      <c r="B3219" t="s">
        <v>12</v>
      </c>
      <c r="C3219" t="s">
        <v>13</v>
      </c>
      <c r="D3219">
        <v>2</v>
      </c>
      <c r="E3219" t="s">
        <v>15</v>
      </c>
      <c r="F3219" t="s">
        <v>36</v>
      </c>
      <c r="G3219">
        <v>20.45</v>
      </c>
      <c r="H3219">
        <v>42.45</v>
      </c>
      <c r="I3219" t="s">
        <v>15</v>
      </c>
      <c r="J3219" t="s">
        <v>16</v>
      </c>
      <c r="K3219" t="s">
        <v>21</v>
      </c>
      <c r="L3219">
        <v>42.45</v>
      </c>
      <c r="M3219" t="s">
        <v>5030</v>
      </c>
      <c r="N3219" t="s">
        <v>5031</v>
      </c>
    </row>
    <row r="3220" spans="1:14" x14ac:dyDescent="0.3">
      <c r="A3220" t="s">
        <v>3244</v>
      </c>
      <c r="B3220" t="s">
        <v>19</v>
      </c>
      <c r="C3220" t="s">
        <v>20</v>
      </c>
      <c r="D3220">
        <v>68</v>
      </c>
      <c r="E3220" t="s">
        <v>26</v>
      </c>
      <c r="F3220" t="s">
        <v>15</v>
      </c>
      <c r="G3220">
        <v>79.599999999999994</v>
      </c>
      <c r="H3220">
        <v>5461.45</v>
      </c>
      <c r="I3220" t="s">
        <v>15</v>
      </c>
      <c r="J3220" t="s">
        <v>15</v>
      </c>
      <c r="K3220" t="s">
        <v>29</v>
      </c>
      <c r="L3220">
        <v>5461.45</v>
      </c>
      <c r="M3220" t="s">
        <v>5033</v>
      </c>
      <c r="N3220" t="s">
        <v>5034</v>
      </c>
    </row>
    <row r="3221" spans="1:14" x14ac:dyDescent="0.3">
      <c r="A3221" t="s">
        <v>3245</v>
      </c>
      <c r="B3221" t="s">
        <v>12</v>
      </c>
      <c r="C3221" t="s">
        <v>35</v>
      </c>
      <c r="D3221">
        <v>24</v>
      </c>
      <c r="E3221" t="s">
        <v>15</v>
      </c>
      <c r="F3221" t="s">
        <v>36</v>
      </c>
      <c r="G3221">
        <v>24.7</v>
      </c>
      <c r="H3221">
        <v>571.75</v>
      </c>
      <c r="I3221" t="s">
        <v>15</v>
      </c>
      <c r="J3221" t="s">
        <v>15</v>
      </c>
      <c r="K3221" t="s">
        <v>21</v>
      </c>
      <c r="L3221">
        <v>571.75</v>
      </c>
      <c r="M3221" t="s">
        <v>5032</v>
      </c>
      <c r="N3221" t="s">
        <v>5031</v>
      </c>
    </row>
    <row r="3222" spans="1:14" x14ac:dyDescent="0.3">
      <c r="A3222" t="s">
        <v>3246</v>
      </c>
      <c r="B3222" t="s">
        <v>19</v>
      </c>
      <c r="C3222" t="s">
        <v>35</v>
      </c>
      <c r="D3222">
        <v>70</v>
      </c>
      <c r="E3222" t="s">
        <v>14</v>
      </c>
      <c r="F3222" t="s">
        <v>16</v>
      </c>
      <c r="G3222">
        <v>77.3</v>
      </c>
      <c r="H3222">
        <v>5498.2</v>
      </c>
      <c r="I3222" t="s">
        <v>15</v>
      </c>
      <c r="J3222" t="s">
        <v>15</v>
      </c>
      <c r="K3222" t="s">
        <v>29</v>
      </c>
      <c r="L3222">
        <v>5498.2</v>
      </c>
      <c r="M3222" t="s">
        <v>5033</v>
      </c>
      <c r="N3222" t="s">
        <v>5034</v>
      </c>
    </row>
    <row r="3223" spans="1:14" x14ac:dyDescent="0.3">
      <c r="A3223" t="s">
        <v>3247</v>
      </c>
      <c r="B3223" t="s">
        <v>19</v>
      </c>
      <c r="C3223" t="s">
        <v>13</v>
      </c>
      <c r="D3223">
        <v>3</v>
      </c>
      <c r="E3223" t="s">
        <v>14</v>
      </c>
      <c r="F3223" t="s">
        <v>16</v>
      </c>
      <c r="G3223">
        <v>29.75</v>
      </c>
      <c r="H3223">
        <v>96.85</v>
      </c>
      <c r="I3223" t="s">
        <v>15</v>
      </c>
      <c r="J3223" t="s">
        <v>16</v>
      </c>
      <c r="K3223" t="s">
        <v>17</v>
      </c>
      <c r="L3223">
        <v>96.85</v>
      </c>
      <c r="M3223" t="s">
        <v>5030</v>
      </c>
      <c r="N3223" t="s">
        <v>5031</v>
      </c>
    </row>
    <row r="3224" spans="1:14" x14ac:dyDescent="0.3">
      <c r="A3224" t="s">
        <v>3248</v>
      </c>
      <c r="B3224" t="s">
        <v>19</v>
      </c>
      <c r="C3224" t="s">
        <v>13</v>
      </c>
      <c r="D3224">
        <v>2</v>
      </c>
      <c r="E3224" t="s">
        <v>14</v>
      </c>
      <c r="F3224" t="s">
        <v>15</v>
      </c>
      <c r="G3224">
        <v>44.9</v>
      </c>
      <c r="H3224">
        <v>111.05</v>
      </c>
      <c r="I3224" t="s">
        <v>15</v>
      </c>
      <c r="J3224" t="s">
        <v>15</v>
      </c>
      <c r="K3224" t="s">
        <v>24</v>
      </c>
      <c r="L3224">
        <v>111.05</v>
      </c>
      <c r="M3224" t="s">
        <v>5030</v>
      </c>
      <c r="N3224" t="s">
        <v>5031</v>
      </c>
    </row>
    <row r="3225" spans="1:14" x14ac:dyDescent="0.3">
      <c r="A3225" t="s">
        <v>3249</v>
      </c>
      <c r="B3225" t="s">
        <v>19</v>
      </c>
      <c r="C3225" t="s">
        <v>13</v>
      </c>
      <c r="D3225">
        <v>3</v>
      </c>
      <c r="E3225" t="s">
        <v>14</v>
      </c>
      <c r="F3225" t="s">
        <v>15</v>
      </c>
      <c r="G3225">
        <v>29.8</v>
      </c>
      <c r="H3225">
        <v>94.4</v>
      </c>
      <c r="I3225" t="s">
        <v>15</v>
      </c>
      <c r="J3225" t="s">
        <v>15</v>
      </c>
      <c r="K3225" t="s">
        <v>29</v>
      </c>
      <c r="L3225">
        <v>94.4</v>
      </c>
      <c r="M3225" t="s">
        <v>5030</v>
      </c>
      <c r="N3225" t="s">
        <v>5031</v>
      </c>
    </row>
    <row r="3226" spans="1:14" x14ac:dyDescent="0.3">
      <c r="A3226" t="s">
        <v>3250</v>
      </c>
      <c r="B3226" t="s">
        <v>12</v>
      </c>
      <c r="C3226" t="s">
        <v>13</v>
      </c>
      <c r="D3226">
        <v>7</v>
      </c>
      <c r="E3226" t="s">
        <v>14</v>
      </c>
      <c r="F3226" t="s">
        <v>16</v>
      </c>
      <c r="G3226">
        <v>74.650000000000006</v>
      </c>
      <c r="H3226">
        <v>521.1</v>
      </c>
      <c r="I3226" t="s">
        <v>16</v>
      </c>
      <c r="J3226" t="s">
        <v>16</v>
      </c>
      <c r="K3226" t="s">
        <v>17</v>
      </c>
      <c r="L3226">
        <v>521.1</v>
      </c>
      <c r="M3226" t="s">
        <v>5030</v>
      </c>
      <c r="N3226" t="s">
        <v>5031</v>
      </c>
    </row>
    <row r="3227" spans="1:14" x14ac:dyDescent="0.3">
      <c r="A3227" t="s">
        <v>3251</v>
      </c>
      <c r="B3227" t="s">
        <v>12</v>
      </c>
      <c r="C3227" t="s">
        <v>13</v>
      </c>
      <c r="D3227">
        <v>13</v>
      </c>
      <c r="E3227" t="s">
        <v>14</v>
      </c>
      <c r="F3227" t="s">
        <v>15</v>
      </c>
      <c r="G3227">
        <v>71.95</v>
      </c>
      <c r="H3227">
        <v>923.85</v>
      </c>
      <c r="I3227" t="s">
        <v>15</v>
      </c>
      <c r="J3227" t="s">
        <v>16</v>
      </c>
      <c r="K3227" t="s">
        <v>17</v>
      </c>
      <c r="L3227">
        <v>923.85</v>
      </c>
      <c r="M3227" t="s">
        <v>5032</v>
      </c>
      <c r="N3227" t="s">
        <v>5031</v>
      </c>
    </row>
    <row r="3228" spans="1:14" x14ac:dyDescent="0.3">
      <c r="A3228" t="s">
        <v>3252</v>
      </c>
      <c r="B3228" t="s">
        <v>19</v>
      </c>
      <c r="C3228" t="s">
        <v>13</v>
      </c>
      <c r="D3228">
        <v>7</v>
      </c>
      <c r="E3228" t="s">
        <v>15</v>
      </c>
      <c r="F3228" t="s">
        <v>36</v>
      </c>
      <c r="G3228">
        <v>20.75</v>
      </c>
      <c r="H3228">
        <v>141.1</v>
      </c>
      <c r="I3228" t="s">
        <v>15</v>
      </c>
      <c r="J3228" t="s">
        <v>15</v>
      </c>
      <c r="K3228" t="s">
        <v>21</v>
      </c>
      <c r="L3228">
        <v>141.1</v>
      </c>
      <c r="M3228" t="s">
        <v>5030</v>
      </c>
      <c r="N3228" t="s">
        <v>5031</v>
      </c>
    </row>
    <row r="3229" spans="1:14" x14ac:dyDescent="0.3">
      <c r="A3229" t="s">
        <v>3253</v>
      </c>
      <c r="B3229" t="s">
        <v>19</v>
      </c>
      <c r="C3229" t="s">
        <v>13</v>
      </c>
      <c r="D3229">
        <v>12</v>
      </c>
      <c r="E3229" t="s">
        <v>14</v>
      </c>
      <c r="F3229" t="s">
        <v>15</v>
      </c>
      <c r="G3229">
        <v>56.3</v>
      </c>
      <c r="H3229">
        <v>628.65</v>
      </c>
      <c r="I3229" t="s">
        <v>15</v>
      </c>
      <c r="J3229" t="s">
        <v>16</v>
      </c>
      <c r="K3229" t="s">
        <v>21</v>
      </c>
      <c r="L3229">
        <v>628.65</v>
      </c>
      <c r="M3229" t="s">
        <v>5030</v>
      </c>
      <c r="N3229" t="s">
        <v>5031</v>
      </c>
    </row>
    <row r="3230" spans="1:14" x14ac:dyDescent="0.3">
      <c r="A3230" t="s">
        <v>3254</v>
      </c>
      <c r="B3230" t="s">
        <v>19</v>
      </c>
      <c r="C3230" t="s">
        <v>20</v>
      </c>
      <c r="D3230">
        <v>53</v>
      </c>
      <c r="E3230" t="s">
        <v>26</v>
      </c>
      <c r="F3230" t="s">
        <v>15</v>
      </c>
      <c r="G3230">
        <v>105.25</v>
      </c>
      <c r="H3230">
        <v>5576.3</v>
      </c>
      <c r="I3230" t="s">
        <v>15</v>
      </c>
      <c r="J3230" t="s">
        <v>16</v>
      </c>
      <c r="K3230" t="s">
        <v>17</v>
      </c>
      <c r="L3230">
        <v>5576.3</v>
      </c>
      <c r="M3230" t="s">
        <v>5033</v>
      </c>
      <c r="N3230" t="s">
        <v>5034</v>
      </c>
    </row>
    <row r="3231" spans="1:14" x14ac:dyDescent="0.3">
      <c r="A3231" t="s">
        <v>3255</v>
      </c>
      <c r="B3231" t="s">
        <v>12</v>
      </c>
      <c r="C3231" t="s">
        <v>13</v>
      </c>
      <c r="D3231">
        <v>12</v>
      </c>
      <c r="E3231" t="s">
        <v>26</v>
      </c>
      <c r="F3231" t="s">
        <v>15</v>
      </c>
      <c r="G3231">
        <v>94.2</v>
      </c>
      <c r="H3231">
        <v>1046.0999999999999</v>
      </c>
      <c r="I3231" t="s">
        <v>16</v>
      </c>
      <c r="J3231" t="s">
        <v>16</v>
      </c>
      <c r="K3231" t="s">
        <v>17</v>
      </c>
      <c r="L3231">
        <v>1046.0999999999999</v>
      </c>
      <c r="M3231" t="s">
        <v>5030</v>
      </c>
      <c r="N3231" t="s">
        <v>5031</v>
      </c>
    </row>
    <row r="3232" spans="1:14" x14ac:dyDescent="0.3">
      <c r="A3232" t="s">
        <v>3256</v>
      </c>
      <c r="B3232" t="s">
        <v>19</v>
      </c>
      <c r="C3232" t="s">
        <v>35</v>
      </c>
      <c r="D3232">
        <v>63</v>
      </c>
      <c r="E3232" t="s">
        <v>15</v>
      </c>
      <c r="F3232" t="s">
        <v>36</v>
      </c>
      <c r="G3232">
        <v>19.55</v>
      </c>
      <c r="H3232">
        <v>1245.5999999999999</v>
      </c>
      <c r="I3232" t="s">
        <v>15</v>
      </c>
      <c r="J3232" t="s">
        <v>15</v>
      </c>
      <c r="K3232" t="s">
        <v>21</v>
      </c>
      <c r="L3232">
        <v>1245.5999999999999</v>
      </c>
      <c r="M3232" t="s">
        <v>5033</v>
      </c>
      <c r="N3232" t="s">
        <v>5031</v>
      </c>
    </row>
    <row r="3233" spans="1:14" x14ac:dyDescent="0.3">
      <c r="A3233" t="s">
        <v>3257</v>
      </c>
      <c r="B3233" t="s">
        <v>12</v>
      </c>
      <c r="C3233" t="s">
        <v>13</v>
      </c>
      <c r="D3233">
        <v>15</v>
      </c>
      <c r="E3233" t="s">
        <v>14</v>
      </c>
      <c r="F3233" t="s">
        <v>16</v>
      </c>
      <c r="G3233">
        <v>84.45</v>
      </c>
      <c r="H3233">
        <v>1287.8499999999999</v>
      </c>
      <c r="I3233" t="s">
        <v>15</v>
      </c>
      <c r="J3233" t="s">
        <v>15</v>
      </c>
      <c r="K3233" t="s">
        <v>21</v>
      </c>
      <c r="L3233">
        <v>1287.8499999999999</v>
      </c>
      <c r="M3233" t="s">
        <v>5032</v>
      </c>
      <c r="N3233" t="s">
        <v>5031</v>
      </c>
    </row>
    <row r="3234" spans="1:14" x14ac:dyDescent="0.3">
      <c r="A3234" t="s">
        <v>3258</v>
      </c>
      <c r="B3234" t="s">
        <v>19</v>
      </c>
      <c r="C3234" t="s">
        <v>20</v>
      </c>
      <c r="D3234">
        <v>36</v>
      </c>
      <c r="E3234" t="s">
        <v>14</v>
      </c>
      <c r="F3234" t="s">
        <v>15</v>
      </c>
      <c r="G3234">
        <v>53.65</v>
      </c>
      <c r="H3234">
        <v>1939.35</v>
      </c>
      <c r="I3234" t="s">
        <v>15</v>
      </c>
      <c r="J3234" t="s">
        <v>15</v>
      </c>
      <c r="K3234" t="s">
        <v>21</v>
      </c>
      <c r="L3234">
        <v>1939.35</v>
      </c>
      <c r="M3234" t="s">
        <v>5032</v>
      </c>
      <c r="N3234" t="s">
        <v>5031</v>
      </c>
    </row>
    <row r="3235" spans="1:14" x14ac:dyDescent="0.3">
      <c r="A3235" t="s">
        <v>3259</v>
      </c>
      <c r="B3235" t="s">
        <v>19</v>
      </c>
      <c r="C3235" t="s">
        <v>13</v>
      </c>
      <c r="D3235">
        <v>4</v>
      </c>
      <c r="E3235" t="s">
        <v>14</v>
      </c>
      <c r="F3235" t="s">
        <v>15</v>
      </c>
      <c r="G3235">
        <v>29.9</v>
      </c>
      <c r="H3235">
        <v>118.25</v>
      </c>
      <c r="I3235" t="s">
        <v>15</v>
      </c>
      <c r="J3235" t="s">
        <v>16</v>
      </c>
      <c r="K3235" t="s">
        <v>17</v>
      </c>
      <c r="L3235">
        <v>118.25</v>
      </c>
      <c r="M3235" t="s">
        <v>5030</v>
      </c>
      <c r="N3235" t="s">
        <v>5031</v>
      </c>
    </row>
    <row r="3236" spans="1:14" x14ac:dyDescent="0.3">
      <c r="A3236" t="s">
        <v>3260</v>
      </c>
      <c r="B3236" t="s">
        <v>12</v>
      </c>
      <c r="C3236" t="s">
        <v>35</v>
      </c>
      <c r="D3236">
        <v>24</v>
      </c>
      <c r="E3236" t="s">
        <v>15</v>
      </c>
      <c r="F3236" t="s">
        <v>36</v>
      </c>
      <c r="G3236">
        <v>19.7</v>
      </c>
      <c r="H3236">
        <v>452.55</v>
      </c>
      <c r="I3236" t="s">
        <v>15</v>
      </c>
      <c r="J3236" t="s">
        <v>15</v>
      </c>
      <c r="K3236" t="s">
        <v>21</v>
      </c>
      <c r="L3236">
        <v>452.55</v>
      </c>
      <c r="M3236" t="s">
        <v>5032</v>
      </c>
      <c r="N3236" t="s">
        <v>5031</v>
      </c>
    </row>
    <row r="3237" spans="1:14" x14ac:dyDescent="0.3">
      <c r="A3237" t="s">
        <v>3261</v>
      </c>
      <c r="B3237" t="s">
        <v>12</v>
      </c>
      <c r="C3237" t="s">
        <v>20</v>
      </c>
      <c r="D3237">
        <v>61</v>
      </c>
      <c r="E3237" t="s">
        <v>14</v>
      </c>
      <c r="F3237" t="s">
        <v>16</v>
      </c>
      <c r="G3237">
        <v>43.7</v>
      </c>
      <c r="H3237">
        <v>2696.55</v>
      </c>
      <c r="I3237" t="s">
        <v>15</v>
      </c>
      <c r="J3237" t="s">
        <v>15</v>
      </c>
      <c r="K3237" t="s">
        <v>29</v>
      </c>
      <c r="L3237">
        <v>2696.55</v>
      </c>
      <c r="M3237" t="s">
        <v>5033</v>
      </c>
      <c r="N3237" t="s">
        <v>5034</v>
      </c>
    </row>
    <row r="3238" spans="1:14" x14ac:dyDescent="0.3">
      <c r="A3238" t="s">
        <v>3262</v>
      </c>
      <c r="B3238" t="s">
        <v>19</v>
      </c>
      <c r="C3238" t="s">
        <v>13</v>
      </c>
      <c r="D3238">
        <v>16</v>
      </c>
      <c r="E3238" t="s">
        <v>14</v>
      </c>
      <c r="F3238" t="s">
        <v>15</v>
      </c>
      <c r="G3238">
        <v>55.3</v>
      </c>
      <c r="H3238">
        <v>875.35</v>
      </c>
      <c r="I3238" t="s">
        <v>15</v>
      </c>
      <c r="J3238" t="s">
        <v>15</v>
      </c>
      <c r="K3238" t="s">
        <v>17</v>
      </c>
      <c r="L3238">
        <v>875.35</v>
      </c>
      <c r="M3238" t="s">
        <v>5032</v>
      </c>
      <c r="N3238" t="s">
        <v>5031</v>
      </c>
    </row>
    <row r="3239" spans="1:14" x14ac:dyDescent="0.3">
      <c r="A3239" t="s">
        <v>3263</v>
      </c>
      <c r="B3239" t="s">
        <v>19</v>
      </c>
      <c r="C3239" t="s">
        <v>35</v>
      </c>
      <c r="D3239">
        <v>65</v>
      </c>
      <c r="E3239" t="s">
        <v>15</v>
      </c>
      <c r="F3239" t="s">
        <v>36</v>
      </c>
      <c r="G3239">
        <v>19.850000000000001</v>
      </c>
      <c r="H3239">
        <v>1267.05</v>
      </c>
      <c r="I3239" t="s">
        <v>15</v>
      </c>
      <c r="J3239" t="s">
        <v>16</v>
      </c>
      <c r="K3239" t="s">
        <v>29</v>
      </c>
      <c r="L3239">
        <v>1267.05</v>
      </c>
      <c r="M3239" t="s">
        <v>5033</v>
      </c>
      <c r="N3239" t="s">
        <v>5031</v>
      </c>
    </row>
    <row r="3240" spans="1:14" x14ac:dyDescent="0.3">
      <c r="A3240" t="s">
        <v>3264</v>
      </c>
      <c r="B3240" t="s">
        <v>12</v>
      </c>
      <c r="C3240" t="s">
        <v>35</v>
      </c>
      <c r="D3240">
        <v>26</v>
      </c>
      <c r="E3240" t="s">
        <v>15</v>
      </c>
      <c r="F3240" t="s">
        <v>36</v>
      </c>
      <c r="G3240">
        <v>19.649999999999999</v>
      </c>
      <c r="H3240">
        <v>494.9</v>
      </c>
      <c r="I3240" t="s">
        <v>15</v>
      </c>
      <c r="J3240" t="s">
        <v>15</v>
      </c>
      <c r="K3240" t="s">
        <v>29</v>
      </c>
      <c r="L3240">
        <v>494.9</v>
      </c>
      <c r="M3240" t="s">
        <v>5032</v>
      </c>
      <c r="N3240" t="s">
        <v>5031</v>
      </c>
    </row>
    <row r="3241" spans="1:14" x14ac:dyDescent="0.3">
      <c r="A3241" t="s">
        <v>3265</v>
      </c>
      <c r="B3241" t="s">
        <v>19</v>
      </c>
      <c r="C3241" t="s">
        <v>13</v>
      </c>
      <c r="D3241">
        <v>16</v>
      </c>
      <c r="E3241" t="s">
        <v>14</v>
      </c>
      <c r="F3241" t="s">
        <v>16</v>
      </c>
      <c r="G3241">
        <v>49.45</v>
      </c>
      <c r="H3241">
        <v>799</v>
      </c>
      <c r="I3241" t="s">
        <v>15</v>
      </c>
      <c r="J3241" t="s">
        <v>16</v>
      </c>
      <c r="K3241" t="s">
        <v>21</v>
      </c>
      <c r="L3241">
        <v>799</v>
      </c>
      <c r="M3241" t="s">
        <v>5032</v>
      </c>
      <c r="N3241" t="s">
        <v>5031</v>
      </c>
    </row>
    <row r="3242" spans="1:14" x14ac:dyDescent="0.3">
      <c r="A3242" t="s">
        <v>3266</v>
      </c>
      <c r="B3242" t="s">
        <v>12</v>
      </c>
      <c r="C3242" t="s">
        <v>20</v>
      </c>
      <c r="D3242">
        <v>54</v>
      </c>
      <c r="E3242" t="s">
        <v>26</v>
      </c>
      <c r="F3242" t="s">
        <v>15</v>
      </c>
      <c r="G3242">
        <v>106.55</v>
      </c>
      <c r="H3242">
        <v>5763.3</v>
      </c>
      <c r="I3242" t="s">
        <v>16</v>
      </c>
      <c r="J3242" t="s">
        <v>15</v>
      </c>
      <c r="K3242" t="s">
        <v>24</v>
      </c>
      <c r="L3242">
        <v>5763.3</v>
      </c>
      <c r="M3242" t="s">
        <v>5033</v>
      </c>
      <c r="N3242" t="s">
        <v>5034</v>
      </c>
    </row>
    <row r="3243" spans="1:14" x14ac:dyDescent="0.3">
      <c r="A3243" t="s">
        <v>3267</v>
      </c>
      <c r="B3243" t="s">
        <v>19</v>
      </c>
      <c r="C3243" t="s">
        <v>13</v>
      </c>
      <c r="D3243">
        <v>1</v>
      </c>
      <c r="E3243" t="s">
        <v>15</v>
      </c>
      <c r="F3243" t="s">
        <v>36</v>
      </c>
      <c r="G3243">
        <v>20.100000000000001</v>
      </c>
      <c r="H3243">
        <v>20.100000000000001</v>
      </c>
      <c r="I3243" t="s">
        <v>16</v>
      </c>
      <c r="J3243" t="s">
        <v>15</v>
      </c>
      <c r="K3243" t="s">
        <v>21</v>
      </c>
      <c r="L3243">
        <v>20.100000000000001</v>
      </c>
      <c r="M3243" t="s">
        <v>5030</v>
      </c>
      <c r="N3243" t="s">
        <v>5031</v>
      </c>
    </row>
    <row r="3244" spans="1:14" x14ac:dyDescent="0.3">
      <c r="A3244" t="s">
        <v>3268</v>
      </c>
      <c r="B3244" t="s">
        <v>19</v>
      </c>
      <c r="C3244" t="s">
        <v>35</v>
      </c>
      <c r="D3244">
        <v>5</v>
      </c>
      <c r="E3244" t="s">
        <v>15</v>
      </c>
      <c r="F3244" t="s">
        <v>36</v>
      </c>
      <c r="G3244">
        <v>20.45</v>
      </c>
      <c r="H3244">
        <v>106.9</v>
      </c>
      <c r="I3244" t="s">
        <v>15</v>
      </c>
      <c r="J3244" t="s">
        <v>15</v>
      </c>
      <c r="K3244" t="s">
        <v>21</v>
      </c>
      <c r="L3244">
        <v>106.9</v>
      </c>
      <c r="M3244" t="s">
        <v>5030</v>
      </c>
      <c r="N3244" t="s">
        <v>5031</v>
      </c>
    </row>
    <row r="3245" spans="1:14" x14ac:dyDescent="0.3">
      <c r="A3245" t="s">
        <v>3269</v>
      </c>
      <c r="B3245" t="s">
        <v>12</v>
      </c>
      <c r="C3245" t="s">
        <v>13</v>
      </c>
      <c r="D3245">
        <v>19</v>
      </c>
      <c r="E3245" t="s">
        <v>14</v>
      </c>
      <c r="F3245" t="s">
        <v>15</v>
      </c>
      <c r="G3245">
        <v>39.700000000000003</v>
      </c>
      <c r="H3245">
        <v>710.05</v>
      </c>
      <c r="I3245" t="s">
        <v>15</v>
      </c>
      <c r="J3245" t="s">
        <v>16</v>
      </c>
      <c r="K3245" t="s">
        <v>17</v>
      </c>
      <c r="L3245">
        <v>710.05</v>
      </c>
      <c r="M3245" t="s">
        <v>5032</v>
      </c>
      <c r="N3245" t="s">
        <v>5031</v>
      </c>
    </row>
    <row r="3246" spans="1:14" x14ac:dyDescent="0.3">
      <c r="A3246" t="s">
        <v>3270</v>
      </c>
      <c r="B3246" t="s">
        <v>19</v>
      </c>
      <c r="C3246" t="s">
        <v>13</v>
      </c>
      <c r="D3246">
        <v>10</v>
      </c>
      <c r="E3246" t="s">
        <v>14</v>
      </c>
      <c r="F3246" t="s">
        <v>15</v>
      </c>
      <c r="G3246">
        <v>54.5</v>
      </c>
      <c r="H3246">
        <v>568.20000000000005</v>
      </c>
      <c r="I3246" t="s">
        <v>15</v>
      </c>
      <c r="J3246" t="s">
        <v>16</v>
      </c>
      <c r="K3246" t="s">
        <v>29</v>
      </c>
      <c r="L3246">
        <v>568.20000000000005</v>
      </c>
      <c r="M3246" t="s">
        <v>5030</v>
      </c>
      <c r="N3246" t="s">
        <v>5031</v>
      </c>
    </row>
    <row r="3247" spans="1:14" x14ac:dyDescent="0.3">
      <c r="A3247" t="s">
        <v>3271</v>
      </c>
      <c r="B3247" t="s">
        <v>12</v>
      </c>
      <c r="C3247" t="s">
        <v>13</v>
      </c>
      <c r="D3247">
        <v>23</v>
      </c>
      <c r="E3247" t="s">
        <v>26</v>
      </c>
      <c r="F3247" t="s">
        <v>16</v>
      </c>
      <c r="G3247">
        <v>83.8</v>
      </c>
      <c r="H3247">
        <v>1900.25</v>
      </c>
      <c r="I3247" t="s">
        <v>16</v>
      </c>
      <c r="J3247" t="s">
        <v>15</v>
      </c>
      <c r="K3247" t="s">
        <v>17</v>
      </c>
      <c r="L3247">
        <v>1900.25</v>
      </c>
      <c r="M3247" t="s">
        <v>5032</v>
      </c>
      <c r="N3247" t="s">
        <v>5031</v>
      </c>
    </row>
    <row r="3248" spans="1:14" x14ac:dyDescent="0.3">
      <c r="A3248" t="s">
        <v>3272</v>
      </c>
      <c r="B3248" t="s">
        <v>19</v>
      </c>
      <c r="C3248" t="s">
        <v>13</v>
      </c>
      <c r="D3248">
        <v>3</v>
      </c>
      <c r="E3248" t="s">
        <v>14</v>
      </c>
      <c r="F3248" t="s">
        <v>15</v>
      </c>
      <c r="G3248">
        <v>55.15</v>
      </c>
      <c r="H3248">
        <v>159.15</v>
      </c>
      <c r="I3248" t="s">
        <v>16</v>
      </c>
      <c r="J3248" t="s">
        <v>15</v>
      </c>
      <c r="K3248" t="s">
        <v>21</v>
      </c>
      <c r="L3248">
        <v>159.15</v>
      </c>
      <c r="M3248" t="s">
        <v>5030</v>
      </c>
      <c r="N3248" t="s">
        <v>5031</v>
      </c>
    </row>
    <row r="3249" spans="1:14" x14ac:dyDescent="0.3">
      <c r="A3249" t="s">
        <v>3273</v>
      </c>
      <c r="B3249" t="s">
        <v>12</v>
      </c>
      <c r="C3249" t="s">
        <v>35</v>
      </c>
      <c r="D3249">
        <v>72</v>
      </c>
      <c r="E3249" t="s">
        <v>26</v>
      </c>
      <c r="F3249" t="s">
        <v>16</v>
      </c>
      <c r="G3249">
        <v>111.6</v>
      </c>
      <c r="H3249">
        <v>8012.75</v>
      </c>
      <c r="I3249" t="s">
        <v>15</v>
      </c>
      <c r="J3249" t="s">
        <v>16</v>
      </c>
      <c r="K3249" t="s">
        <v>24</v>
      </c>
      <c r="L3249">
        <v>8012.75</v>
      </c>
      <c r="M3249" t="s">
        <v>5033</v>
      </c>
      <c r="N3249" t="s">
        <v>5034</v>
      </c>
    </row>
    <row r="3250" spans="1:14" x14ac:dyDescent="0.3">
      <c r="A3250" t="s">
        <v>3274</v>
      </c>
      <c r="B3250" t="s">
        <v>19</v>
      </c>
      <c r="C3250" t="s">
        <v>13</v>
      </c>
      <c r="D3250">
        <v>10</v>
      </c>
      <c r="E3250" t="s">
        <v>26</v>
      </c>
      <c r="F3250" t="s">
        <v>15</v>
      </c>
      <c r="G3250">
        <v>86.65</v>
      </c>
      <c r="H3250">
        <v>856.65</v>
      </c>
      <c r="I3250" t="s">
        <v>16</v>
      </c>
      <c r="J3250" t="s">
        <v>16</v>
      </c>
      <c r="K3250" t="s">
        <v>17</v>
      </c>
      <c r="L3250">
        <v>856.65</v>
      </c>
      <c r="M3250" t="s">
        <v>5030</v>
      </c>
      <c r="N3250" t="s">
        <v>5031</v>
      </c>
    </row>
    <row r="3251" spans="1:14" x14ac:dyDescent="0.3">
      <c r="A3251" t="s">
        <v>3275</v>
      </c>
      <c r="B3251" t="s">
        <v>12</v>
      </c>
      <c r="C3251" t="s">
        <v>13</v>
      </c>
      <c r="D3251">
        <v>10</v>
      </c>
      <c r="E3251" t="s">
        <v>14</v>
      </c>
      <c r="F3251" t="s">
        <v>15</v>
      </c>
      <c r="G3251">
        <v>55.55</v>
      </c>
      <c r="H3251">
        <v>551.29999999999995</v>
      </c>
      <c r="I3251" t="s">
        <v>15</v>
      </c>
      <c r="J3251" t="s">
        <v>16</v>
      </c>
      <c r="K3251" t="s">
        <v>21</v>
      </c>
      <c r="L3251">
        <v>551.29999999999995</v>
      </c>
      <c r="M3251" t="s">
        <v>5030</v>
      </c>
      <c r="N3251" t="s">
        <v>5031</v>
      </c>
    </row>
    <row r="3252" spans="1:14" x14ac:dyDescent="0.3">
      <c r="A3252" t="s">
        <v>3276</v>
      </c>
      <c r="B3252" t="s">
        <v>19</v>
      </c>
      <c r="C3252" t="s">
        <v>20</v>
      </c>
      <c r="D3252">
        <v>11</v>
      </c>
      <c r="E3252" t="s">
        <v>15</v>
      </c>
      <c r="F3252" t="s">
        <v>36</v>
      </c>
      <c r="G3252">
        <v>20.55</v>
      </c>
      <c r="H3252">
        <v>184.95</v>
      </c>
      <c r="I3252" t="s">
        <v>15</v>
      </c>
      <c r="J3252" t="s">
        <v>16</v>
      </c>
      <c r="K3252" t="s">
        <v>21</v>
      </c>
      <c r="L3252">
        <v>184.95</v>
      </c>
      <c r="M3252" t="s">
        <v>5030</v>
      </c>
      <c r="N3252" t="s">
        <v>5031</v>
      </c>
    </row>
    <row r="3253" spans="1:14" x14ac:dyDescent="0.3">
      <c r="A3253" t="s">
        <v>3277</v>
      </c>
      <c r="B3253" t="s">
        <v>12</v>
      </c>
      <c r="C3253" t="s">
        <v>13</v>
      </c>
      <c r="D3253">
        <v>37</v>
      </c>
      <c r="E3253" t="s">
        <v>26</v>
      </c>
      <c r="F3253" t="s">
        <v>15</v>
      </c>
      <c r="G3253">
        <v>106.75</v>
      </c>
      <c r="H3253">
        <v>4056.75</v>
      </c>
      <c r="I3253" t="s">
        <v>16</v>
      </c>
      <c r="J3253" t="s">
        <v>16</v>
      </c>
      <c r="K3253" t="s">
        <v>24</v>
      </c>
      <c r="L3253">
        <v>4056.75</v>
      </c>
      <c r="M3253" t="s">
        <v>5033</v>
      </c>
      <c r="N3253" t="s">
        <v>5034</v>
      </c>
    </row>
    <row r="3254" spans="1:14" x14ac:dyDescent="0.3">
      <c r="A3254" t="s">
        <v>3278</v>
      </c>
      <c r="B3254" t="s">
        <v>19</v>
      </c>
      <c r="C3254" t="s">
        <v>20</v>
      </c>
      <c r="D3254">
        <v>17</v>
      </c>
      <c r="E3254" t="s">
        <v>14</v>
      </c>
      <c r="F3254" t="s">
        <v>16</v>
      </c>
      <c r="G3254">
        <v>62.1</v>
      </c>
      <c r="H3254">
        <v>1096.6500000000001</v>
      </c>
      <c r="I3254" t="s">
        <v>15</v>
      </c>
      <c r="J3254" t="s">
        <v>16</v>
      </c>
      <c r="K3254" t="s">
        <v>21</v>
      </c>
      <c r="L3254">
        <v>1096.6500000000001</v>
      </c>
      <c r="M3254" t="s">
        <v>5032</v>
      </c>
      <c r="N3254" t="s">
        <v>5031</v>
      </c>
    </row>
    <row r="3255" spans="1:14" x14ac:dyDescent="0.3">
      <c r="A3255" t="s">
        <v>3279</v>
      </c>
      <c r="B3255" t="s">
        <v>12</v>
      </c>
      <c r="C3255" t="s">
        <v>13</v>
      </c>
      <c r="D3255">
        <v>36</v>
      </c>
      <c r="E3255" t="s">
        <v>26</v>
      </c>
      <c r="F3255" t="s">
        <v>15</v>
      </c>
      <c r="G3255">
        <v>104.5</v>
      </c>
      <c r="H3255">
        <v>3684.95</v>
      </c>
      <c r="I3255" t="s">
        <v>15</v>
      </c>
      <c r="J3255" t="s">
        <v>16</v>
      </c>
      <c r="K3255" t="s">
        <v>29</v>
      </c>
      <c r="L3255">
        <v>3684.95</v>
      </c>
      <c r="M3255" t="s">
        <v>5032</v>
      </c>
      <c r="N3255" t="s">
        <v>5034</v>
      </c>
    </row>
    <row r="3256" spans="1:14" x14ac:dyDescent="0.3">
      <c r="A3256" t="s">
        <v>3280</v>
      </c>
      <c r="B3256" t="s">
        <v>19</v>
      </c>
      <c r="C3256" t="s">
        <v>13</v>
      </c>
      <c r="D3256">
        <v>17</v>
      </c>
      <c r="E3256" t="s">
        <v>26</v>
      </c>
      <c r="F3256" t="s">
        <v>15</v>
      </c>
      <c r="G3256">
        <v>101.8</v>
      </c>
      <c r="H3256">
        <v>1752.45</v>
      </c>
      <c r="I3256" t="s">
        <v>15</v>
      </c>
      <c r="J3256" t="s">
        <v>16</v>
      </c>
      <c r="K3256" t="s">
        <v>17</v>
      </c>
      <c r="L3256">
        <v>1752.45</v>
      </c>
      <c r="M3256" t="s">
        <v>5032</v>
      </c>
      <c r="N3256" t="s">
        <v>5031</v>
      </c>
    </row>
    <row r="3257" spans="1:14" x14ac:dyDescent="0.3">
      <c r="A3257" t="s">
        <v>3281</v>
      </c>
      <c r="B3257" t="s">
        <v>12</v>
      </c>
      <c r="C3257" t="s">
        <v>20</v>
      </c>
      <c r="D3257">
        <v>66</v>
      </c>
      <c r="E3257" t="s">
        <v>26</v>
      </c>
      <c r="F3257" t="s">
        <v>16</v>
      </c>
      <c r="G3257">
        <v>110.6</v>
      </c>
      <c r="H3257">
        <v>7210.85</v>
      </c>
      <c r="I3257" t="s">
        <v>15</v>
      </c>
      <c r="J3257" t="s">
        <v>16</v>
      </c>
      <c r="K3257" t="s">
        <v>29</v>
      </c>
      <c r="L3257">
        <v>7210.85</v>
      </c>
      <c r="M3257" t="s">
        <v>5033</v>
      </c>
      <c r="N3257" t="s">
        <v>5034</v>
      </c>
    </row>
    <row r="3258" spans="1:14" x14ac:dyDescent="0.3">
      <c r="A3258" t="s">
        <v>3282</v>
      </c>
      <c r="B3258" t="s">
        <v>19</v>
      </c>
      <c r="C3258" t="s">
        <v>20</v>
      </c>
      <c r="D3258">
        <v>61</v>
      </c>
      <c r="E3258" t="s">
        <v>14</v>
      </c>
      <c r="F3258" t="s">
        <v>16</v>
      </c>
      <c r="G3258">
        <v>84.9</v>
      </c>
      <c r="H3258">
        <v>5264.5</v>
      </c>
      <c r="I3258" t="s">
        <v>15</v>
      </c>
      <c r="J3258" t="s">
        <v>15</v>
      </c>
      <c r="K3258" t="s">
        <v>24</v>
      </c>
      <c r="L3258">
        <v>5264.5</v>
      </c>
      <c r="M3258" t="s">
        <v>5033</v>
      </c>
      <c r="N3258" t="s">
        <v>5034</v>
      </c>
    </row>
    <row r="3259" spans="1:14" x14ac:dyDescent="0.3">
      <c r="A3259" t="s">
        <v>3283</v>
      </c>
      <c r="B3259" t="s">
        <v>19</v>
      </c>
      <c r="C3259" t="s">
        <v>13</v>
      </c>
      <c r="D3259">
        <v>22</v>
      </c>
      <c r="E3259" t="s">
        <v>26</v>
      </c>
      <c r="F3259" t="s">
        <v>15</v>
      </c>
      <c r="G3259">
        <v>93.2</v>
      </c>
      <c r="H3259">
        <v>2157.3000000000002</v>
      </c>
      <c r="I3259" t="s">
        <v>15</v>
      </c>
      <c r="J3259" t="s">
        <v>16</v>
      </c>
      <c r="K3259" t="s">
        <v>21</v>
      </c>
      <c r="L3259">
        <v>2157.3000000000002</v>
      </c>
      <c r="M3259" t="s">
        <v>5032</v>
      </c>
      <c r="N3259" t="s">
        <v>5031</v>
      </c>
    </row>
    <row r="3260" spans="1:14" x14ac:dyDescent="0.3">
      <c r="A3260" t="s">
        <v>3284</v>
      </c>
      <c r="B3260" t="s">
        <v>19</v>
      </c>
      <c r="C3260" t="s">
        <v>13</v>
      </c>
      <c r="D3260">
        <v>1</v>
      </c>
      <c r="E3260" t="s">
        <v>14</v>
      </c>
      <c r="F3260" t="s">
        <v>15</v>
      </c>
      <c r="G3260">
        <v>24.4</v>
      </c>
      <c r="H3260">
        <v>24.4</v>
      </c>
      <c r="I3260" t="s">
        <v>15</v>
      </c>
      <c r="J3260" t="s">
        <v>16</v>
      </c>
      <c r="K3260" t="s">
        <v>17</v>
      </c>
      <c r="L3260">
        <v>24.4</v>
      </c>
      <c r="M3260" t="s">
        <v>5030</v>
      </c>
      <c r="N3260" t="s">
        <v>5031</v>
      </c>
    </row>
    <row r="3261" spans="1:14" x14ac:dyDescent="0.3">
      <c r="A3261" t="s">
        <v>3285</v>
      </c>
      <c r="B3261" t="s">
        <v>12</v>
      </c>
      <c r="C3261" t="s">
        <v>13</v>
      </c>
      <c r="D3261">
        <v>6</v>
      </c>
      <c r="E3261" t="s">
        <v>26</v>
      </c>
      <c r="F3261" t="s">
        <v>15</v>
      </c>
      <c r="G3261">
        <v>70.55</v>
      </c>
      <c r="H3261">
        <v>433.95</v>
      </c>
      <c r="I3261" t="s">
        <v>15</v>
      </c>
      <c r="J3261" t="s">
        <v>15</v>
      </c>
      <c r="K3261" t="s">
        <v>29</v>
      </c>
      <c r="L3261">
        <v>433.95</v>
      </c>
      <c r="M3261" t="s">
        <v>5030</v>
      </c>
      <c r="N3261" t="s">
        <v>5031</v>
      </c>
    </row>
    <row r="3262" spans="1:14" x14ac:dyDescent="0.3">
      <c r="A3262" t="s">
        <v>3286</v>
      </c>
      <c r="B3262" t="s">
        <v>19</v>
      </c>
      <c r="C3262" t="s">
        <v>13</v>
      </c>
      <c r="D3262">
        <v>31</v>
      </c>
      <c r="E3262" t="s">
        <v>26</v>
      </c>
      <c r="F3262" t="s">
        <v>16</v>
      </c>
      <c r="G3262">
        <v>78.45</v>
      </c>
      <c r="H3262">
        <v>2435.15</v>
      </c>
      <c r="I3262" t="s">
        <v>16</v>
      </c>
      <c r="J3262" t="s">
        <v>16</v>
      </c>
      <c r="K3262" t="s">
        <v>17</v>
      </c>
      <c r="L3262">
        <v>2435.15</v>
      </c>
      <c r="M3262" t="s">
        <v>5032</v>
      </c>
      <c r="N3262" t="s">
        <v>5031</v>
      </c>
    </row>
    <row r="3263" spans="1:14" x14ac:dyDescent="0.3">
      <c r="A3263" t="s">
        <v>3287</v>
      </c>
      <c r="B3263" t="s">
        <v>12</v>
      </c>
      <c r="C3263" t="s">
        <v>35</v>
      </c>
      <c r="D3263">
        <v>68</v>
      </c>
      <c r="E3263" t="s">
        <v>14</v>
      </c>
      <c r="F3263" t="s">
        <v>16</v>
      </c>
      <c r="G3263">
        <v>85</v>
      </c>
      <c r="H3263">
        <v>5607.75</v>
      </c>
      <c r="I3263" t="s">
        <v>15</v>
      </c>
      <c r="J3263" t="s">
        <v>16</v>
      </c>
      <c r="K3263" t="s">
        <v>29</v>
      </c>
      <c r="L3263">
        <v>5607.75</v>
      </c>
      <c r="M3263" t="s">
        <v>5033</v>
      </c>
      <c r="N3263" t="s">
        <v>5034</v>
      </c>
    </row>
    <row r="3264" spans="1:14" x14ac:dyDescent="0.3">
      <c r="A3264" t="s">
        <v>3288</v>
      </c>
      <c r="B3264" t="s">
        <v>12</v>
      </c>
      <c r="C3264" t="s">
        <v>13</v>
      </c>
      <c r="D3264">
        <v>34</v>
      </c>
      <c r="E3264" t="s">
        <v>26</v>
      </c>
      <c r="F3264" t="s">
        <v>15</v>
      </c>
      <c r="G3264">
        <v>87.45</v>
      </c>
      <c r="H3264">
        <v>2874.15</v>
      </c>
      <c r="I3264" t="s">
        <v>16</v>
      </c>
      <c r="J3264" t="s">
        <v>15</v>
      </c>
      <c r="K3264" t="s">
        <v>17</v>
      </c>
      <c r="L3264">
        <v>2874.15</v>
      </c>
      <c r="M3264" t="s">
        <v>5032</v>
      </c>
      <c r="N3264" t="s">
        <v>5034</v>
      </c>
    </row>
    <row r="3265" spans="1:14" x14ac:dyDescent="0.3">
      <c r="A3265" t="s">
        <v>3289</v>
      </c>
      <c r="B3265" t="s">
        <v>12</v>
      </c>
      <c r="C3265" t="s">
        <v>13</v>
      </c>
      <c r="D3265">
        <v>52</v>
      </c>
      <c r="E3265" t="s">
        <v>26</v>
      </c>
      <c r="F3265" t="s">
        <v>16</v>
      </c>
      <c r="G3265">
        <v>85.8</v>
      </c>
      <c r="H3265">
        <v>4433.3</v>
      </c>
      <c r="I3265" t="s">
        <v>15</v>
      </c>
      <c r="J3265" t="s">
        <v>15</v>
      </c>
      <c r="K3265" t="s">
        <v>24</v>
      </c>
      <c r="L3265">
        <v>4433.3</v>
      </c>
      <c r="M3265" t="s">
        <v>5033</v>
      </c>
      <c r="N3265" t="s">
        <v>5034</v>
      </c>
    </row>
    <row r="3266" spans="1:14" x14ac:dyDescent="0.3">
      <c r="A3266" t="s">
        <v>3290</v>
      </c>
      <c r="B3266" t="s">
        <v>12</v>
      </c>
      <c r="C3266" t="s">
        <v>13</v>
      </c>
      <c r="D3266">
        <v>10</v>
      </c>
      <c r="E3266" t="s">
        <v>26</v>
      </c>
      <c r="F3266" t="s">
        <v>16</v>
      </c>
      <c r="G3266">
        <v>91.1</v>
      </c>
      <c r="H3266">
        <v>964.35</v>
      </c>
      <c r="I3266" t="s">
        <v>15</v>
      </c>
      <c r="J3266" t="s">
        <v>16</v>
      </c>
      <c r="K3266" t="s">
        <v>17</v>
      </c>
      <c r="L3266">
        <v>964.35</v>
      </c>
      <c r="M3266" t="s">
        <v>5030</v>
      </c>
      <c r="N3266" t="s">
        <v>5031</v>
      </c>
    </row>
    <row r="3267" spans="1:14" x14ac:dyDescent="0.3">
      <c r="A3267" t="s">
        <v>3291</v>
      </c>
      <c r="B3267" t="s">
        <v>19</v>
      </c>
      <c r="C3267" t="s">
        <v>13</v>
      </c>
      <c r="D3267">
        <v>29</v>
      </c>
      <c r="E3267" t="s">
        <v>26</v>
      </c>
      <c r="F3267" t="s">
        <v>15</v>
      </c>
      <c r="G3267">
        <v>70.75</v>
      </c>
      <c r="H3267">
        <v>1974.8</v>
      </c>
      <c r="I3267" t="s">
        <v>16</v>
      </c>
      <c r="J3267" t="s">
        <v>16</v>
      </c>
      <c r="K3267" t="s">
        <v>17</v>
      </c>
      <c r="L3267">
        <v>1974.8</v>
      </c>
      <c r="M3267" t="s">
        <v>5032</v>
      </c>
      <c r="N3267" t="s">
        <v>5031</v>
      </c>
    </row>
    <row r="3268" spans="1:14" x14ac:dyDescent="0.3">
      <c r="A3268" t="s">
        <v>3292</v>
      </c>
      <c r="B3268" t="s">
        <v>12</v>
      </c>
      <c r="C3268" t="s">
        <v>35</v>
      </c>
      <c r="D3268">
        <v>72</v>
      </c>
      <c r="E3268" t="s">
        <v>15</v>
      </c>
      <c r="F3268" t="s">
        <v>36</v>
      </c>
      <c r="G3268">
        <v>20.100000000000001</v>
      </c>
      <c r="H3268">
        <v>1460.85</v>
      </c>
      <c r="I3268" t="s">
        <v>15</v>
      </c>
      <c r="J3268" t="s">
        <v>15</v>
      </c>
      <c r="K3268" t="s">
        <v>24</v>
      </c>
      <c r="L3268">
        <v>1460.85</v>
      </c>
      <c r="M3268" t="s">
        <v>5033</v>
      </c>
      <c r="N3268" t="s">
        <v>5031</v>
      </c>
    </row>
    <row r="3269" spans="1:14" x14ac:dyDescent="0.3">
      <c r="A3269" t="s">
        <v>3293</v>
      </c>
      <c r="B3269" t="s">
        <v>19</v>
      </c>
      <c r="C3269" t="s">
        <v>20</v>
      </c>
      <c r="D3269">
        <v>47</v>
      </c>
      <c r="E3269" t="s">
        <v>15</v>
      </c>
      <c r="F3269" t="s">
        <v>36</v>
      </c>
      <c r="G3269">
        <v>20.05</v>
      </c>
      <c r="H3269">
        <v>951.55</v>
      </c>
      <c r="I3269" t="s">
        <v>15</v>
      </c>
      <c r="J3269" t="s">
        <v>15</v>
      </c>
      <c r="K3269" t="s">
        <v>21</v>
      </c>
      <c r="L3269">
        <v>951.55</v>
      </c>
      <c r="M3269" t="s">
        <v>5033</v>
      </c>
      <c r="N3269" t="s">
        <v>5031</v>
      </c>
    </row>
    <row r="3270" spans="1:14" x14ac:dyDescent="0.3">
      <c r="A3270" t="s">
        <v>3294</v>
      </c>
      <c r="B3270" t="s">
        <v>19</v>
      </c>
      <c r="C3270" t="s">
        <v>20</v>
      </c>
      <c r="D3270">
        <v>24</v>
      </c>
      <c r="E3270" t="s">
        <v>14</v>
      </c>
      <c r="F3270" t="s">
        <v>15</v>
      </c>
      <c r="G3270">
        <v>74.8</v>
      </c>
      <c r="H3270">
        <v>1821.2</v>
      </c>
      <c r="I3270" t="s">
        <v>15</v>
      </c>
      <c r="J3270" t="s">
        <v>15</v>
      </c>
      <c r="K3270" t="s">
        <v>21</v>
      </c>
      <c r="L3270">
        <v>1821.2</v>
      </c>
      <c r="M3270" t="s">
        <v>5032</v>
      </c>
      <c r="N3270" t="s">
        <v>5031</v>
      </c>
    </row>
    <row r="3271" spans="1:14" x14ac:dyDescent="0.3">
      <c r="A3271" t="s">
        <v>3295</v>
      </c>
      <c r="B3271" t="s">
        <v>19</v>
      </c>
      <c r="C3271" t="s">
        <v>20</v>
      </c>
      <c r="D3271">
        <v>65</v>
      </c>
      <c r="E3271" t="s">
        <v>15</v>
      </c>
      <c r="F3271" t="s">
        <v>36</v>
      </c>
      <c r="G3271">
        <v>24.8</v>
      </c>
      <c r="H3271">
        <v>1600.95</v>
      </c>
      <c r="I3271" t="s">
        <v>15</v>
      </c>
      <c r="J3271" t="s">
        <v>15</v>
      </c>
      <c r="K3271" t="s">
        <v>29</v>
      </c>
      <c r="L3271">
        <v>1600.95</v>
      </c>
      <c r="M3271" t="s">
        <v>5033</v>
      </c>
      <c r="N3271" t="s">
        <v>5031</v>
      </c>
    </row>
    <row r="3272" spans="1:14" x14ac:dyDescent="0.3">
      <c r="A3272" t="s">
        <v>3296</v>
      </c>
      <c r="B3272" t="s">
        <v>12</v>
      </c>
      <c r="C3272" t="s">
        <v>13</v>
      </c>
      <c r="D3272">
        <v>4</v>
      </c>
      <c r="E3272" t="s">
        <v>26</v>
      </c>
      <c r="F3272" t="s">
        <v>16</v>
      </c>
      <c r="G3272">
        <v>100.85</v>
      </c>
      <c r="H3272">
        <v>399.25</v>
      </c>
      <c r="I3272" t="s">
        <v>15</v>
      </c>
      <c r="J3272" t="s">
        <v>16</v>
      </c>
      <c r="K3272" t="s">
        <v>21</v>
      </c>
      <c r="L3272">
        <v>399.25</v>
      </c>
      <c r="M3272" t="s">
        <v>5030</v>
      </c>
      <c r="N3272" t="s">
        <v>5031</v>
      </c>
    </row>
    <row r="3273" spans="1:14" x14ac:dyDescent="0.3">
      <c r="A3273" t="s">
        <v>3297</v>
      </c>
      <c r="B3273" t="s">
        <v>19</v>
      </c>
      <c r="C3273" t="s">
        <v>13</v>
      </c>
      <c r="D3273">
        <v>12</v>
      </c>
      <c r="E3273" t="s">
        <v>26</v>
      </c>
      <c r="F3273" t="s">
        <v>15</v>
      </c>
      <c r="G3273">
        <v>101.35</v>
      </c>
      <c r="H3273">
        <v>1218.55</v>
      </c>
      <c r="I3273" t="s">
        <v>16</v>
      </c>
      <c r="J3273" t="s">
        <v>16</v>
      </c>
      <c r="K3273" t="s">
        <v>17</v>
      </c>
      <c r="L3273">
        <v>1218.55</v>
      </c>
      <c r="M3273" t="s">
        <v>5030</v>
      </c>
      <c r="N3273" t="s">
        <v>5031</v>
      </c>
    </row>
    <row r="3274" spans="1:14" x14ac:dyDescent="0.3">
      <c r="A3274" t="s">
        <v>3298</v>
      </c>
      <c r="B3274" t="s">
        <v>19</v>
      </c>
      <c r="C3274" t="s">
        <v>13</v>
      </c>
      <c r="D3274">
        <v>1</v>
      </c>
      <c r="E3274" t="s">
        <v>26</v>
      </c>
      <c r="F3274" t="s">
        <v>15</v>
      </c>
      <c r="G3274">
        <v>81.7</v>
      </c>
      <c r="H3274">
        <v>81.7</v>
      </c>
      <c r="I3274" t="s">
        <v>16</v>
      </c>
      <c r="J3274" t="s">
        <v>16</v>
      </c>
      <c r="K3274" t="s">
        <v>17</v>
      </c>
      <c r="L3274">
        <v>81.7</v>
      </c>
      <c r="M3274" t="s">
        <v>5030</v>
      </c>
      <c r="N3274" t="s">
        <v>5031</v>
      </c>
    </row>
    <row r="3275" spans="1:14" x14ac:dyDescent="0.3">
      <c r="A3275" t="s">
        <v>3299</v>
      </c>
      <c r="B3275" t="s">
        <v>19</v>
      </c>
      <c r="C3275" t="s">
        <v>13</v>
      </c>
      <c r="D3275">
        <v>33</v>
      </c>
      <c r="E3275" t="s">
        <v>26</v>
      </c>
      <c r="F3275" t="s">
        <v>15</v>
      </c>
      <c r="G3275">
        <v>68.25</v>
      </c>
      <c r="H3275">
        <v>2171.15</v>
      </c>
      <c r="I3275" t="s">
        <v>16</v>
      </c>
      <c r="J3275" t="s">
        <v>15</v>
      </c>
      <c r="K3275" t="s">
        <v>17</v>
      </c>
      <c r="L3275">
        <v>2171.15</v>
      </c>
      <c r="M3275" t="s">
        <v>5032</v>
      </c>
      <c r="N3275" t="s">
        <v>5031</v>
      </c>
    </row>
    <row r="3276" spans="1:14" x14ac:dyDescent="0.3">
      <c r="A3276" t="s">
        <v>3300</v>
      </c>
      <c r="B3276" t="s">
        <v>12</v>
      </c>
      <c r="C3276" t="s">
        <v>13</v>
      </c>
      <c r="D3276">
        <v>34</v>
      </c>
      <c r="E3276" t="s">
        <v>26</v>
      </c>
      <c r="F3276" t="s">
        <v>16</v>
      </c>
      <c r="G3276">
        <v>105.1</v>
      </c>
      <c r="H3276">
        <v>3634.8</v>
      </c>
      <c r="I3276" t="s">
        <v>15</v>
      </c>
      <c r="J3276" t="s">
        <v>16</v>
      </c>
      <c r="K3276" t="s">
        <v>17</v>
      </c>
      <c r="L3276">
        <v>3634.8</v>
      </c>
      <c r="M3276" t="s">
        <v>5032</v>
      </c>
      <c r="N3276" t="s">
        <v>5034</v>
      </c>
    </row>
    <row r="3277" spans="1:14" x14ac:dyDescent="0.3">
      <c r="A3277" t="s">
        <v>3301</v>
      </c>
      <c r="B3277" t="s">
        <v>12</v>
      </c>
      <c r="C3277" t="s">
        <v>35</v>
      </c>
      <c r="D3277">
        <v>14</v>
      </c>
      <c r="E3277" t="s">
        <v>15</v>
      </c>
      <c r="F3277" t="s">
        <v>36</v>
      </c>
      <c r="G3277">
        <v>20.399999999999999</v>
      </c>
      <c r="H3277">
        <v>292.39999999999998</v>
      </c>
      <c r="I3277" t="s">
        <v>15</v>
      </c>
      <c r="J3277" t="s">
        <v>15</v>
      </c>
      <c r="K3277" t="s">
        <v>21</v>
      </c>
      <c r="L3277">
        <v>292.39999999999998</v>
      </c>
      <c r="M3277" t="s">
        <v>5032</v>
      </c>
      <c r="N3277" t="s">
        <v>5031</v>
      </c>
    </row>
    <row r="3278" spans="1:14" x14ac:dyDescent="0.3">
      <c r="A3278" t="s">
        <v>3302</v>
      </c>
      <c r="B3278" t="s">
        <v>12</v>
      </c>
      <c r="C3278" t="s">
        <v>13</v>
      </c>
      <c r="D3278">
        <v>4</v>
      </c>
      <c r="E3278" t="s">
        <v>26</v>
      </c>
      <c r="F3278" t="s">
        <v>15</v>
      </c>
      <c r="G3278">
        <v>79.150000000000006</v>
      </c>
      <c r="H3278">
        <v>317.25</v>
      </c>
      <c r="I3278" t="s">
        <v>16</v>
      </c>
      <c r="J3278" t="s">
        <v>16</v>
      </c>
      <c r="K3278" t="s">
        <v>17</v>
      </c>
      <c r="L3278">
        <v>317.25</v>
      </c>
      <c r="M3278" t="s">
        <v>5030</v>
      </c>
      <c r="N3278" t="s">
        <v>5031</v>
      </c>
    </row>
    <row r="3279" spans="1:14" x14ac:dyDescent="0.3">
      <c r="A3279" t="s">
        <v>3303</v>
      </c>
      <c r="B3279" t="s">
        <v>19</v>
      </c>
      <c r="C3279" t="s">
        <v>20</v>
      </c>
      <c r="D3279">
        <v>13</v>
      </c>
      <c r="E3279" t="s">
        <v>15</v>
      </c>
      <c r="F3279" t="s">
        <v>36</v>
      </c>
      <c r="G3279">
        <v>20</v>
      </c>
      <c r="H3279">
        <v>218.55</v>
      </c>
      <c r="I3279" t="s">
        <v>15</v>
      </c>
      <c r="J3279" t="s">
        <v>15</v>
      </c>
      <c r="K3279" t="s">
        <v>21</v>
      </c>
      <c r="L3279">
        <v>218.55</v>
      </c>
      <c r="M3279" t="s">
        <v>5032</v>
      </c>
      <c r="N3279" t="s">
        <v>5031</v>
      </c>
    </row>
    <row r="3280" spans="1:14" x14ac:dyDescent="0.3">
      <c r="A3280" t="s">
        <v>3304</v>
      </c>
      <c r="B3280" t="s">
        <v>12</v>
      </c>
      <c r="C3280" t="s">
        <v>35</v>
      </c>
      <c r="D3280">
        <v>65</v>
      </c>
      <c r="E3280" t="s">
        <v>14</v>
      </c>
      <c r="F3280" t="s">
        <v>16</v>
      </c>
      <c r="G3280">
        <v>79.400000000000006</v>
      </c>
      <c r="H3280">
        <v>5071.8999999999996</v>
      </c>
      <c r="I3280" t="s">
        <v>15</v>
      </c>
      <c r="J3280" t="s">
        <v>16</v>
      </c>
      <c r="K3280" t="s">
        <v>24</v>
      </c>
      <c r="L3280">
        <v>5071.8999999999996</v>
      </c>
      <c r="M3280" t="s">
        <v>5033</v>
      </c>
      <c r="N3280" t="s">
        <v>5034</v>
      </c>
    </row>
    <row r="3281" spans="1:14" x14ac:dyDescent="0.3">
      <c r="A3281" t="s">
        <v>3305</v>
      </c>
      <c r="B3281" t="s">
        <v>19</v>
      </c>
      <c r="C3281" t="s">
        <v>20</v>
      </c>
      <c r="D3281">
        <v>23</v>
      </c>
      <c r="E3281" t="s">
        <v>14</v>
      </c>
      <c r="F3281" t="s">
        <v>16</v>
      </c>
      <c r="G3281">
        <v>57.2</v>
      </c>
      <c r="H3281">
        <v>1423.35</v>
      </c>
      <c r="I3281" t="s">
        <v>15</v>
      </c>
      <c r="J3281" t="s">
        <v>15</v>
      </c>
      <c r="K3281" t="s">
        <v>29</v>
      </c>
      <c r="L3281">
        <v>1423.35</v>
      </c>
      <c r="M3281" t="s">
        <v>5032</v>
      </c>
      <c r="N3281" t="s">
        <v>5031</v>
      </c>
    </row>
    <row r="3282" spans="1:14" x14ac:dyDescent="0.3">
      <c r="A3282" t="s">
        <v>3306</v>
      </c>
      <c r="B3282" t="s">
        <v>19</v>
      </c>
      <c r="C3282" t="s">
        <v>35</v>
      </c>
      <c r="D3282">
        <v>55</v>
      </c>
      <c r="E3282" t="s">
        <v>14</v>
      </c>
      <c r="F3282" t="s">
        <v>15</v>
      </c>
      <c r="G3282">
        <v>58.6</v>
      </c>
      <c r="H3282">
        <v>3068.6</v>
      </c>
      <c r="I3282" t="s">
        <v>15</v>
      </c>
      <c r="J3282" t="s">
        <v>15</v>
      </c>
      <c r="K3282" t="s">
        <v>17</v>
      </c>
      <c r="L3282">
        <v>3068.6</v>
      </c>
      <c r="M3282" t="s">
        <v>5033</v>
      </c>
      <c r="N3282" t="s">
        <v>5034</v>
      </c>
    </row>
    <row r="3283" spans="1:14" x14ac:dyDescent="0.3">
      <c r="A3283" t="s">
        <v>3307</v>
      </c>
      <c r="B3283" t="s">
        <v>19</v>
      </c>
      <c r="C3283" t="s">
        <v>35</v>
      </c>
      <c r="D3283">
        <v>49</v>
      </c>
      <c r="E3283" t="s">
        <v>26</v>
      </c>
      <c r="F3283" t="s">
        <v>15</v>
      </c>
      <c r="G3283">
        <v>94.8</v>
      </c>
      <c r="H3283">
        <v>4690.6499999999996</v>
      </c>
      <c r="I3283" t="s">
        <v>15</v>
      </c>
      <c r="J3283" t="s">
        <v>16</v>
      </c>
      <c r="K3283" t="s">
        <v>17</v>
      </c>
      <c r="L3283">
        <v>4690.6499999999996</v>
      </c>
      <c r="M3283" t="s">
        <v>5033</v>
      </c>
      <c r="N3283" t="s">
        <v>5034</v>
      </c>
    </row>
    <row r="3284" spans="1:14" x14ac:dyDescent="0.3">
      <c r="A3284" t="s">
        <v>3308</v>
      </c>
      <c r="B3284" t="s">
        <v>19</v>
      </c>
      <c r="C3284" t="s">
        <v>20</v>
      </c>
      <c r="D3284">
        <v>60</v>
      </c>
      <c r="E3284" t="s">
        <v>26</v>
      </c>
      <c r="F3284" t="s">
        <v>15</v>
      </c>
      <c r="G3284">
        <v>102.5</v>
      </c>
      <c r="H3284">
        <v>6157.6</v>
      </c>
      <c r="I3284" t="s">
        <v>15</v>
      </c>
      <c r="J3284" t="s">
        <v>15</v>
      </c>
      <c r="K3284" t="s">
        <v>24</v>
      </c>
      <c r="L3284">
        <v>6157.6</v>
      </c>
      <c r="M3284" t="s">
        <v>5033</v>
      </c>
      <c r="N3284" t="s">
        <v>5034</v>
      </c>
    </row>
    <row r="3285" spans="1:14" x14ac:dyDescent="0.3">
      <c r="A3285" t="s">
        <v>3309</v>
      </c>
      <c r="B3285" t="s">
        <v>12</v>
      </c>
      <c r="C3285" t="s">
        <v>20</v>
      </c>
      <c r="D3285">
        <v>69</v>
      </c>
      <c r="E3285" t="s">
        <v>15</v>
      </c>
      <c r="F3285" t="s">
        <v>36</v>
      </c>
      <c r="G3285">
        <v>20.350000000000001</v>
      </c>
      <c r="H3285">
        <v>1442.65</v>
      </c>
      <c r="I3285" t="s">
        <v>15</v>
      </c>
      <c r="J3285" t="s">
        <v>16</v>
      </c>
      <c r="K3285" t="s">
        <v>29</v>
      </c>
      <c r="L3285">
        <v>1442.65</v>
      </c>
      <c r="M3285" t="s">
        <v>5033</v>
      </c>
      <c r="N3285" t="s">
        <v>5031</v>
      </c>
    </row>
    <row r="3286" spans="1:14" x14ac:dyDescent="0.3">
      <c r="A3286" t="s">
        <v>3310</v>
      </c>
      <c r="B3286" t="s">
        <v>19</v>
      </c>
      <c r="C3286" t="s">
        <v>13</v>
      </c>
      <c r="D3286">
        <v>40</v>
      </c>
      <c r="E3286" t="s">
        <v>26</v>
      </c>
      <c r="F3286" t="s">
        <v>15</v>
      </c>
      <c r="G3286">
        <v>84.9</v>
      </c>
      <c r="H3286">
        <v>3369.05</v>
      </c>
      <c r="I3286" t="s">
        <v>15</v>
      </c>
      <c r="J3286" t="s">
        <v>16</v>
      </c>
      <c r="K3286" t="s">
        <v>17</v>
      </c>
      <c r="L3286">
        <v>3369.05</v>
      </c>
      <c r="M3286" t="s">
        <v>5033</v>
      </c>
      <c r="N3286" t="s">
        <v>5034</v>
      </c>
    </row>
    <row r="3287" spans="1:14" x14ac:dyDescent="0.3">
      <c r="A3287" t="s">
        <v>3311</v>
      </c>
      <c r="B3287" t="s">
        <v>19</v>
      </c>
      <c r="C3287" t="s">
        <v>35</v>
      </c>
      <c r="D3287">
        <v>67</v>
      </c>
      <c r="E3287" t="s">
        <v>14</v>
      </c>
      <c r="F3287" t="s">
        <v>16</v>
      </c>
      <c r="G3287">
        <v>69.2</v>
      </c>
      <c r="H3287">
        <v>4671.6499999999996</v>
      </c>
      <c r="I3287" t="s">
        <v>15</v>
      </c>
      <c r="J3287" t="s">
        <v>16</v>
      </c>
      <c r="K3287" t="s">
        <v>29</v>
      </c>
      <c r="L3287">
        <v>4671.6499999999996</v>
      </c>
      <c r="M3287" t="s">
        <v>5033</v>
      </c>
      <c r="N3287" t="s">
        <v>5034</v>
      </c>
    </row>
    <row r="3288" spans="1:14" x14ac:dyDescent="0.3">
      <c r="A3288" t="s">
        <v>3312</v>
      </c>
      <c r="B3288" t="s">
        <v>19</v>
      </c>
      <c r="C3288" t="s">
        <v>13</v>
      </c>
      <c r="D3288">
        <v>35</v>
      </c>
      <c r="E3288" t="s">
        <v>26</v>
      </c>
      <c r="F3288" t="s">
        <v>15</v>
      </c>
      <c r="G3288">
        <v>95.45</v>
      </c>
      <c r="H3288">
        <v>3474.05</v>
      </c>
      <c r="I3288" t="s">
        <v>16</v>
      </c>
      <c r="J3288" t="s">
        <v>16</v>
      </c>
      <c r="K3288" t="s">
        <v>17</v>
      </c>
      <c r="L3288">
        <v>3474.05</v>
      </c>
      <c r="M3288" t="s">
        <v>5032</v>
      </c>
      <c r="N3288" t="s">
        <v>5034</v>
      </c>
    </row>
    <row r="3289" spans="1:14" x14ac:dyDescent="0.3">
      <c r="A3289" t="s">
        <v>3313</v>
      </c>
      <c r="B3289" t="s">
        <v>19</v>
      </c>
      <c r="C3289" t="s">
        <v>20</v>
      </c>
      <c r="D3289">
        <v>19</v>
      </c>
      <c r="E3289" t="s">
        <v>26</v>
      </c>
      <c r="F3289" t="s">
        <v>16</v>
      </c>
      <c r="G3289">
        <v>100.95</v>
      </c>
      <c r="H3289">
        <v>1875.55</v>
      </c>
      <c r="I3289" t="s">
        <v>16</v>
      </c>
      <c r="J3289" t="s">
        <v>16</v>
      </c>
      <c r="K3289" t="s">
        <v>17</v>
      </c>
      <c r="L3289">
        <v>1875.55</v>
      </c>
      <c r="M3289" t="s">
        <v>5032</v>
      </c>
      <c r="N3289" t="s">
        <v>5031</v>
      </c>
    </row>
    <row r="3290" spans="1:14" x14ac:dyDescent="0.3">
      <c r="A3290" t="s">
        <v>3314</v>
      </c>
      <c r="B3290" t="s">
        <v>12</v>
      </c>
      <c r="C3290" t="s">
        <v>35</v>
      </c>
      <c r="D3290">
        <v>13</v>
      </c>
      <c r="E3290" t="s">
        <v>15</v>
      </c>
      <c r="F3290" t="s">
        <v>36</v>
      </c>
      <c r="G3290">
        <v>20.85</v>
      </c>
      <c r="H3290">
        <v>272.35000000000002</v>
      </c>
      <c r="I3290" t="s">
        <v>15</v>
      </c>
      <c r="J3290" t="s">
        <v>15</v>
      </c>
      <c r="K3290" t="s">
        <v>21</v>
      </c>
      <c r="L3290">
        <v>272.35000000000002</v>
      </c>
      <c r="M3290" t="s">
        <v>5032</v>
      </c>
      <c r="N3290" t="s">
        <v>5031</v>
      </c>
    </row>
    <row r="3291" spans="1:14" x14ac:dyDescent="0.3">
      <c r="A3291" t="s">
        <v>3315</v>
      </c>
      <c r="B3291" t="s">
        <v>12</v>
      </c>
      <c r="C3291" t="s">
        <v>13</v>
      </c>
      <c r="D3291">
        <v>41</v>
      </c>
      <c r="E3291" t="s">
        <v>26</v>
      </c>
      <c r="F3291" t="s">
        <v>15</v>
      </c>
      <c r="G3291">
        <v>88.5</v>
      </c>
      <c r="H3291">
        <v>3645.05</v>
      </c>
      <c r="I3291" t="s">
        <v>15</v>
      </c>
      <c r="J3291" t="s">
        <v>16</v>
      </c>
      <c r="K3291" t="s">
        <v>24</v>
      </c>
      <c r="L3291">
        <v>3645.05</v>
      </c>
      <c r="M3291" t="s">
        <v>5033</v>
      </c>
      <c r="N3291" t="s">
        <v>5034</v>
      </c>
    </row>
    <row r="3292" spans="1:14" x14ac:dyDescent="0.3">
      <c r="A3292" t="s">
        <v>3316</v>
      </c>
      <c r="B3292" t="s">
        <v>12</v>
      </c>
      <c r="C3292" t="s">
        <v>13</v>
      </c>
      <c r="D3292">
        <v>4</v>
      </c>
      <c r="E3292" t="s">
        <v>14</v>
      </c>
      <c r="F3292" t="s">
        <v>15</v>
      </c>
      <c r="G3292">
        <v>35</v>
      </c>
      <c r="H3292">
        <v>135.75</v>
      </c>
      <c r="I3292" t="s">
        <v>15</v>
      </c>
      <c r="J3292" t="s">
        <v>15</v>
      </c>
      <c r="K3292" t="s">
        <v>21</v>
      </c>
      <c r="L3292">
        <v>135.75</v>
      </c>
      <c r="M3292" t="s">
        <v>5030</v>
      </c>
      <c r="N3292" t="s">
        <v>5031</v>
      </c>
    </row>
    <row r="3293" spans="1:14" x14ac:dyDescent="0.3">
      <c r="A3293" t="s">
        <v>3317</v>
      </c>
      <c r="B3293" t="s">
        <v>12</v>
      </c>
      <c r="C3293" t="s">
        <v>13</v>
      </c>
      <c r="D3293">
        <v>24</v>
      </c>
      <c r="E3293" t="s">
        <v>14</v>
      </c>
      <c r="F3293" t="s">
        <v>16</v>
      </c>
      <c r="G3293">
        <v>55.15</v>
      </c>
      <c r="H3293">
        <v>1319.85</v>
      </c>
      <c r="I3293" t="s">
        <v>15</v>
      </c>
      <c r="J3293" t="s">
        <v>15</v>
      </c>
      <c r="K3293" t="s">
        <v>17</v>
      </c>
      <c r="L3293">
        <v>1319.85</v>
      </c>
      <c r="M3293" t="s">
        <v>5032</v>
      </c>
      <c r="N3293" t="s">
        <v>5031</v>
      </c>
    </row>
    <row r="3294" spans="1:14" x14ac:dyDescent="0.3">
      <c r="A3294" t="s">
        <v>3318</v>
      </c>
      <c r="B3294" t="s">
        <v>12</v>
      </c>
      <c r="C3294" t="s">
        <v>13</v>
      </c>
      <c r="D3294">
        <v>5</v>
      </c>
      <c r="E3294" t="s">
        <v>14</v>
      </c>
      <c r="F3294" t="s">
        <v>15</v>
      </c>
      <c r="G3294">
        <v>50.95</v>
      </c>
      <c r="H3294">
        <v>229.4</v>
      </c>
      <c r="I3294" t="s">
        <v>15</v>
      </c>
      <c r="J3294" t="s">
        <v>16</v>
      </c>
      <c r="K3294" t="s">
        <v>29</v>
      </c>
      <c r="L3294">
        <v>229.4</v>
      </c>
      <c r="M3294" t="s">
        <v>5030</v>
      </c>
      <c r="N3294" t="s">
        <v>5031</v>
      </c>
    </row>
    <row r="3295" spans="1:14" x14ac:dyDescent="0.3">
      <c r="A3295" t="s">
        <v>3319</v>
      </c>
      <c r="B3295" t="s">
        <v>12</v>
      </c>
      <c r="C3295" t="s">
        <v>13</v>
      </c>
      <c r="D3295">
        <v>5</v>
      </c>
      <c r="E3295" t="s">
        <v>14</v>
      </c>
      <c r="F3295" t="s">
        <v>15</v>
      </c>
      <c r="G3295">
        <v>64</v>
      </c>
      <c r="H3295">
        <v>370.25</v>
      </c>
      <c r="I3295" t="s">
        <v>15</v>
      </c>
      <c r="J3295" t="s">
        <v>16</v>
      </c>
      <c r="K3295" t="s">
        <v>17</v>
      </c>
      <c r="L3295">
        <v>370.25</v>
      </c>
      <c r="M3295" t="s">
        <v>5030</v>
      </c>
      <c r="N3295" t="s">
        <v>5031</v>
      </c>
    </row>
    <row r="3296" spans="1:14" x14ac:dyDescent="0.3">
      <c r="A3296" t="s">
        <v>3320</v>
      </c>
      <c r="B3296" t="s">
        <v>12</v>
      </c>
      <c r="C3296" t="s">
        <v>13</v>
      </c>
      <c r="D3296">
        <v>1</v>
      </c>
      <c r="E3296" t="s">
        <v>26</v>
      </c>
      <c r="F3296" t="s">
        <v>15</v>
      </c>
      <c r="G3296">
        <v>69.099999999999994</v>
      </c>
      <c r="H3296">
        <v>69.099999999999994</v>
      </c>
      <c r="I3296" t="s">
        <v>16</v>
      </c>
      <c r="J3296" t="s">
        <v>16</v>
      </c>
      <c r="K3296" t="s">
        <v>21</v>
      </c>
      <c r="L3296">
        <v>69.099999999999994</v>
      </c>
      <c r="M3296" t="s">
        <v>5030</v>
      </c>
      <c r="N3296" t="s">
        <v>5031</v>
      </c>
    </row>
    <row r="3297" spans="1:14" x14ac:dyDescent="0.3">
      <c r="A3297" t="s">
        <v>3321</v>
      </c>
      <c r="B3297" t="s">
        <v>12</v>
      </c>
      <c r="C3297" t="s">
        <v>35</v>
      </c>
      <c r="D3297">
        <v>72</v>
      </c>
      <c r="E3297" t="s">
        <v>14</v>
      </c>
      <c r="F3297" t="s">
        <v>16</v>
      </c>
      <c r="G3297">
        <v>80.2</v>
      </c>
      <c r="H3297">
        <v>5714.2</v>
      </c>
      <c r="I3297" t="s">
        <v>15</v>
      </c>
      <c r="J3297" t="s">
        <v>15</v>
      </c>
      <c r="K3297" t="s">
        <v>24</v>
      </c>
      <c r="L3297">
        <v>5714.2</v>
      </c>
      <c r="M3297" t="s">
        <v>5033</v>
      </c>
      <c r="N3297" t="s">
        <v>5034</v>
      </c>
    </row>
    <row r="3298" spans="1:14" x14ac:dyDescent="0.3">
      <c r="A3298" t="s">
        <v>3322</v>
      </c>
      <c r="B3298" t="s">
        <v>12</v>
      </c>
      <c r="C3298" t="s">
        <v>13</v>
      </c>
      <c r="D3298">
        <v>24</v>
      </c>
      <c r="E3298" t="s">
        <v>14</v>
      </c>
      <c r="F3298" t="s">
        <v>15</v>
      </c>
      <c r="G3298">
        <v>49.3</v>
      </c>
      <c r="H3298">
        <v>1233.25</v>
      </c>
      <c r="I3298" t="s">
        <v>15</v>
      </c>
      <c r="J3298" t="s">
        <v>16</v>
      </c>
      <c r="K3298" t="s">
        <v>29</v>
      </c>
      <c r="L3298">
        <v>1233.25</v>
      </c>
      <c r="M3298" t="s">
        <v>5032</v>
      </c>
      <c r="N3298" t="s">
        <v>5031</v>
      </c>
    </row>
    <row r="3299" spans="1:14" x14ac:dyDescent="0.3">
      <c r="A3299" t="s">
        <v>3323</v>
      </c>
      <c r="B3299" t="s">
        <v>12</v>
      </c>
      <c r="C3299" t="s">
        <v>35</v>
      </c>
      <c r="D3299">
        <v>42</v>
      </c>
      <c r="E3299" t="s">
        <v>14</v>
      </c>
      <c r="F3299" t="s">
        <v>16</v>
      </c>
      <c r="G3299">
        <v>84.35</v>
      </c>
      <c r="H3299">
        <v>3571.6</v>
      </c>
      <c r="I3299" t="s">
        <v>15</v>
      </c>
      <c r="J3299" t="s">
        <v>15</v>
      </c>
      <c r="K3299" t="s">
        <v>29</v>
      </c>
      <c r="L3299">
        <v>3571.6</v>
      </c>
      <c r="M3299" t="s">
        <v>5033</v>
      </c>
      <c r="N3299" t="s">
        <v>5034</v>
      </c>
    </row>
    <row r="3300" spans="1:14" x14ac:dyDescent="0.3">
      <c r="A3300" t="s">
        <v>3324</v>
      </c>
      <c r="B3300" t="s">
        <v>12</v>
      </c>
      <c r="C3300" t="s">
        <v>13</v>
      </c>
      <c r="D3300">
        <v>4</v>
      </c>
      <c r="E3300" t="s">
        <v>15</v>
      </c>
      <c r="F3300" t="s">
        <v>36</v>
      </c>
      <c r="G3300">
        <v>20.05</v>
      </c>
      <c r="H3300">
        <v>83.3</v>
      </c>
      <c r="I3300" t="s">
        <v>15</v>
      </c>
      <c r="J3300" t="s">
        <v>15</v>
      </c>
      <c r="K3300" t="s">
        <v>21</v>
      </c>
      <c r="L3300">
        <v>83.3</v>
      </c>
      <c r="M3300" t="s">
        <v>5030</v>
      </c>
      <c r="N3300" t="s">
        <v>5031</v>
      </c>
    </row>
    <row r="3301" spans="1:14" x14ac:dyDescent="0.3">
      <c r="A3301" t="s">
        <v>3325</v>
      </c>
      <c r="B3301" t="s">
        <v>19</v>
      </c>
      <c r="C3301" t="s">
        <v>20</v>
      </c>
      <c r="D3301">
        <v>68</v>
      </c>
      <c r="E3301" t="s">
        <v>26</v>
      </c>
      <c r="F3301" t="s">
        <v>16</v>
      </c>
      <c r="G3301">
        <v>117.2</v>
      </c>
      <c r="H3301">
        <v>8035.95</v>
      </c>
      <c r="I3301" t="s">
        <v>15</v>
      </c>
      <c r="J3301" t="s">
        <v>16</v>
      </c>
      <c r="K3301" t="s">
        <v>29</v>
      </c>
      <c r="L3301">
        <v>8035.95</v>
      </c>
      <c r="M3301" t="s">
        <v>5033</v>
      </c>
      <c r="N3301" t="s">
        <v>5034</v>
      </c>
    </row>
    <row r="3302" spans="1:14" x14ac:dyDescent="0.3">
      <c r="A3302" t="s">
        <v>3326</v>
      </c>
      <c r="B3302" t="s">
        <v>12</v>
      </c>
      <c r="C3302" t="s">
        <v>20</v>
      </c>
      <c r="D3302">
        <v>33</v>
      </c>
      <c r="E3302" t="s">
        <v>15</v>
      </c>
      <c r="F3302" t="s">
        <v>36</v>
      </c>
      <c r="G3302">
        <v>20.100000000000001</v>
      </c>
      <c r="H3302">
        <v>579.4</v>
      </c>
      <c r="I3302" t="s">
        <v>15</v>
      </c>
      <c r="J3302" t="s">
        <v>15</v>
      </c>
      <c r="K3302" t="s">
        <v>21</v>
      </c>
      <c r="L3302">
        <v>579.4</v>
      </c>
      <c r="M3302" t="s">
        <v>5032</v>
      </c>
      <c r="N3302" t="s">
        <v>5031</v>
      </c>
    </row>
    <row r="3303" spans="1:14" x14ac:dyDescent="0.3">
      <c r="A3303" t="s">
        <v>3327</v>
      </c>
      <c r="B3303" t="s">
        <v>12</v>
      </c>
      <c r="C3303" t="s">
        <v>13</v>
      </c>
      <c r="D3303">
        <v>1</v>
      </c>
      <c r="E3303" t="s">
        <v>26</v>
      </c>
      <c r="F3303" t="s">
        <v>15</v>
      </c>
      <c r="G3303">
        <v>69.599999999999994</v>
      </c>
      <c r="H3303">
        <v>69.599999999999994</v>
      </c>
      <c r="I3303" t="s">
        <v>16</v>
      </c>
      <c r="J3303" t="s">
        <v>16</v>
      </c>
      <c r="K3303" t="s">
        <v>17</v>
      </c>
      <c r="L3303">
        <v>69.599999999999994</v>
      </c>
      <c r="M3303" t="s">
        <v>5030</v>
      </c>
      <c r="N3303" t="s">
        <v>5031</v>
      </c>
    </row>
    <row r="3304" spans="1:14" x14ac:dyDescent="0.3">
      <c r="A3304" t="s">
        <v>3328</v>
      </c>
      <c r="B3304" t="s">
        <v>19</v>
      </c>
      <c r="C3304" t="s">
        <v>20</v>
      </c>
      <c r="D3304">
        <v>31</v>
      </c>
      <c r="E3304" t="s">
        <v>26</v>
      </c>
      <c r="F3304" t="s">
        <v>15</v>
      </c>
      <c r="G3304">
        <v>103.45</v>
      </c>
      <c r="H3304">
        <v>3066.45</v>
      </c>
      <c r="I3304" t="s">
        <v>16</v>
      </c>
      <c r="J3304" t="s">
        <v>16</v>
      </c>
      <c r="K3304" t="s">
        <v>17</v>
      </c>
      <c r="L3304">
        <v>3066.45</v>
      </c>
      <c r="M3304" t="s">
        <v>5032</v>
      </c>
      <c r="N3304" t="s">
        <v>5034</v>
      </c>
    </row>
    <row r="3305" spans="1:14" x14ac:dyDescent="0.3">
      <c r="A3305" t="s">
        <v>3329</v>
      </c>
      <c r="B3305" t="s">
        <v>12</v>
      </c>
      <c r="C3305" t="s">
        <v>13</v>
      </c>
      <c r="D3305">
        <v>4</v>
      </c>
      <c r="E3305" t="s">
        <v>26</v>
      </c>
      <c r="F3305" t="s">
        <v>15</v>
      </c>
      <c r="G3305">
        <v>77.95</v>
      </c>
      <c r="H3305">
        <v>305.55</v>
      </c>
      <c r="I3305" t="s">
        <v>16</v>
      </c>
      <c r="J3305" t="s">
        <v>15</v>
      </c>
      <c r="K3305" t="s">
        <v>24</v>
      </c>
      <c r="L3305">
        <v>305.55</v>
      </c>
      <c r="M3305" t="s">
        <v>5030</v>
      </c>
      <c r="N3305" t="s">
        <v>5031</v>
      </c>
    </row>
    <row r="3306" spans="1:14" x14ac:dyDescent="0.3">
      <c r="A3306" t="s">
        <v>3330</v>
      </c>
      <c r="B3306" t="s">
        <v>19</v>
      </c>
      <c r="C3306" t="s">
        <v>35</v>
      </c>
      <c r="D3306">
        <v>69</v>
      </c>
      <c r="E3306" t="s">
        <v>26</v>
      </c>
      <c r="F3306" t="s">
        <v>16</v>
      </c>
      <c r="G3306">
        <v>109.95</v>
      </c>
      <c r="H3306">
        <v>7634.25</v>
      </c>
      <c r="I3306" t="s">
        <v>15</v>
      </c>
      <c r="J3306" t="s">
        <v>16</v>
      </c>
      <c r="K3306" t="s">
        <v>17</v>
      </c>
      <c r="L3306">
        <v>7634.25</v>
      </c>
      <c r="M3306" t="s">
        <v>5033</v>
      </c>
      <c r="N3306" t="s">
        <v>5034</v>
      </c>
    </row>
    <row r="3307" spans="1:14" x14ac:dyDescent="0.3">
      <c r="A3307" t="s">
        <v>3331</v>
      </c>
      <c r="B3307" t="s">
        <v>19</v>
      </c>
      <c r="C3307" t="s">
        <v>13</v>
      </c>
      <c r="D3307">
        <v>38</v>
      </c>
      <c r="E3307" t="s">
        <v>26</v>
      </c>
      <c r="F3307" t="s">
        <v>15</v>
      </c>
      <c r="G3307">
        <v>94.75</v>
      </c>
      <c r="H3307">
        <v>3653</v>
      </c>
      <c r="I3307" t="s">
        <v>15</v>
      </c>
      <c r="J3307" t="s">
        <v>15</v>
      </c>
      <c r="K3307" t="s">
        <v>17</v>
      </c>
      <c r="L3307">
        <v>3653</v>
      </c>
      <c r="M3307" t="s">
        <v>5033</v>
      </c>
      <c r="N3307" t="s">
        <v>5034</v>
      </c>
    </row>
    <row r="3308" spans="1:14" x14ac:dyDescent="0.3">
      <c r="A3308" t="s">
        <v>3332</v>
      </c>
      <c r="B3308" t="s">
        <v>12</v>
      </c>
      <c r="C3308" t="s">
        <v>13</v>
      </c>
      <c r="D3308">
        <v>3</v>
      </c>
      <c r="E3308" t="s">
        <v>26</v>
      </c>
      <c r="F3308" t="s">
        <v>16</v>
      </c>
      <c r="G3308">
        <v>80</v>
      </c>
      <c r="H3308">
        <v>241.3</v>
      </c>
      <c r="I3308" t="s">
        <v>15</v>
      </c>
      <c r="J3308" t="s">
        <v>16</v>
      </c>
      <c r="K3308" t="s">
        <v>17</v>
      </c>
      <c r="L3308">
        <v>241.3</v>
      </c>
      <c r="M3308" t="s">
        <v>5030</v>
      </c>
      <c r="N3308" t="s">
        <v>5031</v>
      </c>
    </row>
    <row r="3309" spans="1:14" x14ac:dyDescent="0.3">
      <c r="A3309" t="s">
        <v>3333</v>
      </c>
      <c r="B3309" t="s">
        <v>12</v>
      </c>
      <c r="C3309" t="s">
        <v>35</v>
      </c>
      <c r="D3309">
        <v>48</v>
      </c>
      <c r="E3309" t="s">
        <v>14</v>
      </c>
      <c r="F3309" t="s">
        <v>16</v>
      </c>
      <c r="G3309">
        <v>79.650000000000006</v>
      </c>
      <c r="H3309">
        <v>3870.3</v>
      </c>
      <c r="I3309" t="s">
        <v>15</v>
      </c>
      <c r="J3309" t="s">
        <v>15</v>
      </c>
      <c r="K3309" t="s">
        <v>17</v>
      </c>
      <c r="L3309">
        <v>3870.3</v>
      </c>
      <c r="M3309" t="s">
        <v>5033</v>
      </c>
      <c r="N3309" t="s">
        <v>5034</v>
      </c>
    </row>
    <row r="3310" spans="1:14" x14ac:dyDescent="0.3">
      <c r="A3310" t="s">
        <v>3334</v>
      </c>
      <c r="B3310" t="s">
        <v>12</v>
      </c>
      <c r="C3310" t="s">
        <v>35</v>
      </c>
      <c r="D3310">
        <v>15</v>
      </c>
      <c r="E3310" t="s">
        <v>15</v>
      </c>
      <c r="F3310" t="s">
        <v>36</v>
      </c>
      <c r="G3310">
        <v>25.2</v>
      </c>
      <c r="H3310">
        <v>387.9</v>
      </c>
      <c r="I3310" t="s">
        <v>15</v>
      </c>
      <c r="J3310" t="s">
        <v>15</v>
      </c>
      <c r="K3310" t="s">
        <v>21</v>
      </c>
      <c r="L3310">
        <v>387.9</v>
      </c>
      <c r="M3310" t="s">
        <v>5032</v>
      </c>
      <c r="N3310" t="s">
        <v>5031</v>
      </c>
    </row>
    <row r="3311" spans="1:14" x14ac:dyDescent="0.3">
      <c r="A3311" t="s">
        <v>3335</v>
      </c>
      <c r="B3311" t="s">
        <v>12</v>
      </c>
      <c r="C3311" t="s">
        <v>20</v>
      </c>
      <c r="D3311">
        <v>25</v>
      </c>
      <c r="E3311" t="s">
        <v>15</v>
      </c>
      <c r="F3311" t="s">
        <v>36</v>
      </c>
      <c r="G3311">
        <v>19.899999999999999</v>
      </c>
      <c r="H3311">
        <v>527.5</v>
      </c>
      <c r="I3311" t="s">
        <v>15</v>
      </c>
      <c r="J3311" t="s">
        <v>15</v>
      </c>
      <c r="K3311" t="s">
        <v>29</v>
      </c>
      <c r="L3311">
        <v>527.5</v>
      </c>
      <c r="M3311" t="s">
        <v>5032</v>
      </c>
      <c r="N3311" t="s">
        <v>5031</v>
      </c>
    </row>
    <row r="3312" spans="1:14" x14ac:dyDescent="0.3">
      <c r="A3312" t="s">
        <v>3336</v>
      </c>
      <c r="B3312" t="s">
        <v>12</v>
      </c>
      <c r="C3312" t="s">
        <v>13</v>
      </c>
      <c r="D3312">
        <v>1</v>
      </c>
      <c r="E3312" t="s">
        <v>26</v>
      </c>
      <c r="F3312" t="s">
        <v>15</v>
      </c>
      <c r="G3312">
        <v>78.45</v>
      </c>
      <c r="H3312">
        <v>78.45</v>
      </c>
      <c r="I3312" t="s">
        <v>16</v>
      </c>
      <c r="J3312" t="s">
        <v>15</v>
      </c>
      <c r="K3312" t="s">
        <v>17</v>
      </c>
      <c r="L3312">
        <v>78.45</v>
      </c>
      <c r="M3312" t="s">
        <v>5030</v>
      </c>
      <c r="N3312" t="s">
        <v>5031</v>
      </c>
    </row>
    <row r="3313" spans="1:14" x14ac:dyDescent="0.3">
      <c r="A3313" t="s">
        <v>3337</v>
      </c>
      <c r="B3313" t="s">
        <v>12</v>
      </c>
      <c r="C3313" t="s">
        <v>13</v>
      </c>
      <c r="D3313">
        <v>48</v>
      </c>
      <c r="E3313" t="s">
        <v>14</v>
      </c>
      <c r="F3313" t="s">
        <v>15</v>
      </c>
      <c r="G3313">
        <v>44.8</v>
      </c>
      <c r="H3313">
        <v>2104.5500000000002</v>
      </c>
      <c r="I3313" t="s">
        <v>15</v>
      </c>
      <c r="J3313" t="s">
        <v>16</v>
      </c>
      <c r="K3313" t="s">
        <v>17</v>
      </c>
      <c r="L3313">
        <v>2104.5500000000002</v>
      </c>
      <c r="M3313" t="s">
        <v>5033</v>
      </c>
      <c r="N3313" t="s">
        <v>5031</v>
      </c>
    </row>
    <row r="3314" spans="1:14" x14ac:dyDescent="0.3">
      <c r="A3314" t="s">
        <v>3338</v>
      </c>
      <c r="B3314" t="s">
        <v>19</v>
      </c>
      <c r="C3314" t="s">
        <v>13</v>
      </c>
      <c r="D3314">
        <v>1</v>
      </c>
      <c r="E3314" t="s">
        <v>15</v>
      </c>
      <c r="F3314" t="s">
        <v>36</v>
      </c>
      <c r="G3314">
        <v>20.3</v>
      </c>
      <c r="H3314">
        <v>20.3</v>
      </c>
      <c r="I3314" t="s">
        <v>15</v>
      </c>
      <c r="J3314" t="s">
        <v>15</v>
      </c>
      <c r="K3314" t="s">
        <v>21</v>
      </c>
      <c r="L3314">
        <v>20.3</v>
      </c>
      <c r="M3314" t="s">
        <v>5030</v>
      </c>
      <c r="N3314" t="s">
        <v>5031</v>
      </c>
    </row>
    <row r="3315" spans="1:14" x14ac:dyDescent="0.3">
      <c r="A3315" t="s">
        <v>3339</v>
      </c>
      <c r="B3315" t="s">
        <v>19</v>
      </c>
      <c r="C3315" t="s">
        <v>13</v>
      </c>
      <c r="D3315">
        <v>1</v>
      </c>
      <c r="E3315" t="s">
        <v>15</v>
      </c>
      <c r="F3315" t="s">
        <v>36</v>
      </c>
      <c r="G3315">
        <v>19.2</v>
      </c>
      <c r="H3315">
        <v>19.2</v>
      </c>
      <c r="I3315" t="s">
        <v>15</v>
      </c>
      <c r="J3315" t="s">
        <v>15</v>
      </c>
      <c r="K3315" t="s">
        <v>17</v>
      </c>
      <c r="L3315">
        <v>19.2</v>
      </c>
      <c r="M3315" t="s">
        <v>5030</v>
      </c>
      <c r="N3315" t="s">
        <v>5031</v>
      </c>
    </row>
    <row r="3316" spans="1:14" x14ac:dyDescent="0.3">
      <c r="A3316" t="s">
        <v>3340</v>
      </c>
      <c r="B3316" t="s">
        <v>12</v>
      </c>
      <c r="C3316" t="s">
        <v>20</v>
      </c>
      <c r="D3316">
        <v>37</v>
      </c>
      <c r="E3316" t="s">
        <v>26</v>
      </c>
      <c r="F3316" t="s">
        <v>15</v>
      </c>
      <c r="G3316">
        <v>80.05</v>
      </c>
      <c r="H3316">
        <v>3019.1</v>
      </c>
      <c r="I3316" t="s">
        <v>15</v>
      </c>
      <c r="J3316" t="s">
        <v>15</v>
      </c>
      <c r="K3316" t="s">
        <v>17</v>
      </c>
      <c r="L3316">
        <v>3019.1</v>
      </c>
      <c r="M3316" t="s">
        <v>5033</v>
      </c>
      <c r="N3316" t="s">
        <v>5034</v>
      </c>
    </row>
    <row r="3317" spans="1:14" x14ac:dyDescent="0.3">
      <c r="A3317" t="s">
        <v>3341</v>
      </c>
      <c r="B3317" t="s">
        <v>19</v>
      </c>
      <c r="C3317" t="s">
        <v>20</v>
      </c>
      <c r="D3317">
        <v>66</v>
      </c>
      <c r="E3317" t="s">
        <v>26</v>
      </c>
      <c r="F3317" t="s">
        <v>16</v>
      </c>
      <c r="G3317">
        <v>107.35</v>
      </c>
      <c r="H3317">
        <v>7051.95</v>
      </c>
      <c r="I3317" t="s">
        <v>15</v>
      </c>
      <c r="J3317" t="s">
        <v>16</v>
      </c>
      <c r="K3317" t="s">
        <v>24</v>
      </c>
      <c r="L3317">
        <v>7051.95</v>
      </c>
      <c r="M3317" t="s">
        <v>5033</v>
      </c>
      <c r="N3317" t="s">
        <v>5034</v>
      </c>
    </row>
    <row r="3318" spans="1:14" x14ac:dyDescent="0.3">
      <c r="A3318" t="s">
        <v>3342</v>
      </c>
      <c r="B3318" t="s">
        <v>12</v>
      </c>
      <c r="C3318" t="s">
        <v>20</v>
      </c>
      <c r="D3318">
        <v>26</v>
      </c>
      <c r="E3318" t="s">
        <v>14</v>
      </c>
      <c r="F3318" t="s">
        <v>15</v>
      </c>
      <c r="G3318">
        <v>47.85</v>
      </c>
      <c r="H3318">
        <v>1190.5</v>
      </c>
      <c r="I3318" t="s">
        <v>15</v>
      </c>
      <c r="J3318" t="s">
        <v>15</v>
      </c>
      <c r="K3318" t="s">
        <v>24</v>
      </c>
      <c r="L3318">
        <v>1190.5</v>
      </c>
      <c r="M3318" t="s">
        <v>5032</v>
      </c>
      <c r="N3318" t="s">
        <v>5031</v>
      </c>
    </row>
    <row r="3319" spans="1:14" x14ac:dyDescent="0.3">
      <c r="A3319" t="s">
        <v>3343</v>
      </c>
      <c r="B3319" t="s">
        <v>19</v>
      </c>
      <c r="C3319" t="s">
        <v>20</v>
      </c>
      <c r="D3319">
        <v>63</v>
      </c>
      <c r="E3319" t="s">
        <v>14</v>
      </c>
      <c r="F3319" t="s">
        <v>16</v>
      </c>
      <c r="G3319">
        <v>70.8</v>
      </c>
      <c r="H3319">
        <v>4448.8</v>
      </c>
      <c r="I3319" t="s">
        <v>15</v>
      </c>
      <c r="J3319" t="s">
        <v>15</v>
      </c>
      <c r="K3319" t="s">
        <v>29</v>
      </c>
      <c r="L3319">
        <v>4448.8</v>
      </c>
      <c r="M3319" t="s">
        <v>5033</v>
      </c>
      <c r="N3319" t="s">
        <v>5034</v>
      </c>
    </row>
    <row r="3320" spans="1:14" x14ac:dyDescent="0.3">
      <c r="A3320" t="s">
        <v>3344</v>
      </c>
      <c r="B3320" t="s">
        <v>19</v>
      </c>
      <c r="C3320" t="s">
        <v>13</v>
      </c>
      <c r="D3320">
        <v>10</v>
      </c>
      <c r="E3320" t="s">
        <v>14</v>
      </c>
      <c r="F3320" t="s">
        <v>15</v>
      </c>
      <c r="G3320">
        <v>29.5</v>
      </c>
      <c r="H3320">
        <v>255.25</v>
      </c>
      <c r="I3320" t="s">
        <v>16</v>
      </c>
      <c r="J3320" t="s">
        <v>15</v>
      </c>
      <c r="K3320" t="s">
        <v>21</v>
      </c>
      <c r="L3320">
        <v>255.25</v>
      </c>
      <c r="M3320" t="s">
        <v>5030</v>
      </c>
      <c r="N3320" t="s">
        <v>5031</v>
      </c>
    </row>
    <row r="3321" spans="1:14" x14ac:dyDescent="0.3">
      <c r="A3321" t="s">
        <v>3345</v>
      </c>
      <c r="B3321" t="s">
        <v>12</v>
      </c>
      <c r="C3321" t="s">
        <v>13</v>
      </c>
      <c r="D3321">
        <v>2</v>
      </c>
      <c r="E3321" t="s">
        <v>14</v>
      </c>
      <c r="F3321" t="s">
        <v>15</v>
      </c>
      <c r="G3321">
        <v>70.75</v>
      </c>
      <c r="H3321">
        <v>146.9</v>
      </c>
      <c r="I3321" t="s">
        <v>16</v>
      </c>
      <c r="J3321" t="s">
        <v>16</v>
      </c>
      <c r="K3321" t="s">
        <v>17</v>
      </c>
      <c r="L3321">
        <v>146.9</v>
      </c>
      <c r="M3321" t="s">
        <v>5030</v>
      </c>
      <c r="N3321" t="s">
        <v>5031</v>
      </c>
    </row>
    <row r="3322" spans="1:14" x14ac:dyDescent="0.3">
      <c r="A3322" t="s">
        <v>3346</v>
      </c>
      <c r="B3322" t="s">
        <v>19</v>
      </c>
      <c r="C3322" t="s">
        <v>13</v>
      </c>
      <c r="D3322">
        <v>18</v>
      </c>
      <c r="E3322" t="s">
        <v>14</v>
      </c>
      <c r="F3322" t="s">
        <v>15</v>
      </c>
      <c r="G3322">
        <v>59.1</v>
      </c>
      <c r="H3322">
        <v>1011.05</v>
      </c>
      <c r="I3322" t="s">
        <v>15</v>
      </c>
      <c r="J3322" t="s">
        <v>16</v>
      </c>
      <c r="K3322" t="s">
        <v>29</v>
      </c>
      <c r="L3322">
        <v>1011.05</v>
      </c>
      <c r="M3322" t="s">
        <v>5032</v>
      </c>
      <c r="N3322" t="s">
        <v>5031</v>
      </c>
    </row>
    <row r="3323" spans="1:14" x14ac:dyDescent="0.3">
      <c r="A3323" t="s">
        <v>3347</v>
      </c>
      <c r="B3323" t="s">
        <v>12</v>
      </c>
      <c r="C3323" t="s">
        <v>35</v>
      </c>
      <c r="D3323">
        <v>64</v>
      </c>
      <c r="E3323" t="s">
        <v>15</v>
      </c>
      <c r="F3323" t="s">
        <v>36</v>
      </c>
      <c r="G3323">
        <v>25.55</v>
      </c>
      <c r="H3323">
        <v>1714.95</v>
      </c>
      <c r="I3323" t="s">
        <v>15</v>
      </c>
      <c r="J3323" t="s">
        <v>15</v>
      </c>
      <c r="K3323" t="s">
        <v>21</v>
      </c>
      <c r="L3323">
        <v>1714.95</v>
      </c>
      <c r="M3323" t="s">
        <v>5033</v>
      </c>
      <c r="N3323" t="s">
        <v>5031</v>
      </c>
    </row>
    <row r="3324" spans="1:14" x14ac:dyDescent="0.3">
      <c r="A3324" t="s">
        <v>3348</v>
      </c>
      <c r="B3324" t="s">
        <v>12</v>
      </c>
      <c r="C3324" t="s">
        <v>13</v>
      </c>
      <c r="D3324">
        <v>9</v>
      </c>
      <c r="E3324" t="s">
        <v>26</v>
      </c>
      <c r="F3324" t="s">
        <v>15</v>
      </c>
      <c r="G3324">
        <v>84.45</v>
      </c>
      <c r="H3324">
        <v>762.5</v>
      </c>
      <c r="I3324" t="s">
        <v>16</v>
      </c>
      <c r="J3324" t="s">
        <v>16</v>
      </c>
      <c r="K3324" t="s">
        <v>17</v>
      </c>
      <c r="L3324">
        <v>762.5</v>
      </c>
      <c r="M3324" t="s">
        <v>5030</v>
      </c>
      <c r="N3324" t="s">
        <v>5031</v>
      </c>
    </row>
    <row r="3325" spans="1:14" x14ac:dyDescent="0.3">
      <c r="A3325" t="s">
        <v>3349</v>
      </c>
      <c r="B3325" t="s">
        <v>12</v>
      </c>
      <c r="C3325" t="s">
        <v>13</v>
      </c>
      <c r="D3325">
        <v>28</v>
      </c>
      <c r="E3325" t="s">
        <v>15</v>
      </c>
      <c r="F3325" t="s">
        <v>36</v>
      </c>
      <c r="G3325">
        <v>20.25</v>
      </c>
      <c r="H3325">
        <v>535.35</v>
      </c>
      <c r="I3325" t="s">
        <v>15</v>
      </c>
      <c r="J3325" t="s">
        <v>15</v>
      </c>
      <c r="K3325" t="s">
        <v>21</v>
      </c>
      <c r="L3325">
        <v>535.35</v>
      </c>
      <c r="M3325" t="s">
        <v>5032</v>
      </c>
      <c r="N3325" t="s">
        <v>5031</v>
      </c>
    </row>
    <row r="3326" spans="1:14" x14ac:dyDescent="0.3">
      <c r="A3326" t="s">
        <v>3350</v>
      </c>
      <c r="B3326" t="s">
        <v>12</v>
      </c>
      <c r="C3326" t="s">
        <v>13</v>
      </c>
      <c r="D3326">
        <v>1</v>
      </c>
      <c r="E3326" t="s">
        <v>26</v>
      </c>
      <c r="F3326" t="s">
        <v>15</v>
      </c>
      <c r="G3326">
        <v>75.55</v>
      </c>
      <c r="H3326">
        <v>75.55</v>
      </c>
      <c r="I3326" t="s">
        <v>15</v>
      </c>
      <c r="J3326" t="s">
        <v>15</v>
      </c>
      <c r="K3326" t="s">
        <v>17</v>
      </c>
      <c r="L3326">
        <v>75.55</v>
      </c>
      <c r="M3326" t="s">
        <v>5030</v>
      </c>
      <c r="N3326" t="s">
        <v>5031</v>
      </c>
    </row>
    <row r="3327" spans="1:14" x14ac:dyDescent="0.3">
      <c r="A3327" t="s">
        <v>3351</v>
      </c>
      <c r="B3327" t="s">
        <v>19</v>
      </c>
      <c r="C3327" t="s">
        <v>13</v>
      </c>
      <c r="D3327">
        <v>4</v>
      </c>
      <c r="E3327" t="s">
        <v>26</v>
      </c>
      <c r="F3327" t="s">
        <v>15</v>
      </c>
      <c r="G3327">
        <v>85.65</v>
      </c>
      <c r="H3327">
        <v>338.9</v>
      </c>
      <c r="I3327" t="s">
        <v>16</v>
      </c>
      <c r="J3327" t="s">
        <v>16</v>
      </c>
      <c r="K3327" t="s">
        <v>17</v>
      </c>
      <c r="L3327">
        <v>338.9</v>
      </c>
      <c r="M3327" t="s">
        <v>5030</v>
      </c>
      <c r="N3327" t="s">
        <v>5031</v>
      </c>
    </row>
    <row r="3328" spans="1:14" x14ac:dyDescent="0.3">
      <c r="A3328" t="s">
        <v>3352</v>
      </c>
      <c r="B3328" t="s">
        <v>19</v>
      </c>
      <c r="C3328" t="s">
        <v>20</v>
      </c>
      <c r="D3328">
        <v>38</v>
      </c>
      <c r="E3328" t="s">
        <v>14</v>
      </c>
      <c r="F3328" t="s">
        <v>16</v>
      </c>
      <c r="G3328">
        <v>70.150000000000006</v>
      </c>
      <c r="H3328">
        <v>2497.35</v>
      </c>
      <c r="I3328" t="s">
        <v>16</v>
      </c>
      <c r="J3328" t="s">
        <v>16</v>
      </c>
      <c r="K3328" t="s">
        <v>29</v>
      </c>
      <c r="L3328">
        <v>2497.35</v>
      </c>
      <c r="M3328" t="s">
        <v>5033</v>
      </c>
      <c r="N3328" t="s">
        <v>5031</v>
      </c>
    </row>
    <row r="3329" spans="1:14" x14ac:dyDescent="0.3">
      <c r="A3329" t="s">
        <v>3353</v>
      </c>
      <c r="B3329" t="s">
        <v>19</v>
      </c>
      <c r="C3329" t="s">
        <v>20</v>
      </c>
      <c r="D3329">
        <v>66</v>
      </c>
      <c r="E3329" t="s">
        <v>26</v>
      </c>
      <c r="F3329" t="s">
        <v>15</v>
      </c>
      <c r="G3329">
        <v>95.3</v>
      </c>
      <c r="H3329">
        <v>6273.4</v>
      </c>
      <c r="I3329" t="s">
        <v>15</v>
      </c>
      <c r="J3329" t="s">
        <v>15</v>
      </c>
      <c r="K3329" t="s">
        <v>17</v>
      </c>
      <c r="L3329">
        <v>6273.4</v>
      </c>
      <c r="M3329" t="s">
        <v>5033</v>
      </c>
      <c r="N3329" t="s">
        <v>5034</v>
      </c>
    </row>
    <row r="3330" spans="1:14" x14ac:dyDescent="0.3">
      <c r="A3330" t="s">
        <v>3354</v>
      </c>
      <c r="B3330" t="s">
        <v>12</v>
      </c>
      <c r="C3330" t="s">
        <v>13</v>
      </c>
      <c r="D3330">
        <v>1</v>
      </c>
      <c r="E3330" t="s">
        <v>26</v>
      </c>
      <c r="F3330" t="s">
        <v>15</v>
      </c>
      <c r="G3330">
        <v>70.25</v>
      </c>
      <c r="H3330">
        <v>70.25</v>
      </c>
      <c r="I3330" t="s">
        <v>15</v>
      </c>
      <c r="J3330" t="s">
        <v>16</v>
      </c>
      <c r="K3330" t="s">
        <v>17</v>
      </c>
      <c r="L3330">
        <v>70.25</v>
      </c>
      <c r="M3330" t="s">
        <v>5030</v>
      </c>
      <c r="N3330" t="s">
        <v>5031</v>
      </c>
    </row>
    <row r="3331" spans="1:14" x14ac:dyDescent="0.3">
      <c r="A3331" t="s">
        <v>3355</v>
      </c>
      <c r="B3331" t="s">
        <v>12</v>
      </c>
      <c r="C3331" t="s">
        <v>13</v>
      </c>
      <c r="D3331">
        <v>18</v>
      </c>
      <c r="E3331" t="s">
        <v>14</v>
      </c>
      <c r="F3331" t="s">
        <v>16</v>
      </c>
      <c r="G3331">
        <v>50.3</v>
      </c>
      <c r="H3331">
        <v>908.75</v>
      </c>
      <c r="I3331" t="s">
        <v>15</v>
      </c>
      <c r="J3331" t="s">
        <v>16</v>
      </c>
      <c r="K3331" t="s">
        <v>21</v>
      </c>
      <c r="L3331">
        <v>908.75</v>
      </c>
      <c r="M3331" t="s">
        <v>5032</v>
      </c>
      <c r="N3331" t="s">
        <v>5031</v>
      </c>
    </row>
    <row r="3332" spans="1:14" x14ac:dyDescent="0.3">
      <c r="A3332" t="s">
        <v>3356</v>
      </c>
      <c r="B3332" t="s">
        <v>19</v>
      </c>
      <c r="C3332" t="s">
        <v>13</v>
      </c>
      <c r="D3332">
        <v>51</v>
      </c>
      <c r="E3332" t="s">
        <v>26</v>
      </c>
      <c r="F3332" t="s">
        <v>15</v>
      </c>
      <c r="G3332">
        <v>97.8</v>
      </c>
      <c r="H3332">
        <v>4913.3</v>
      </c>
      <c r="I3332" t="s">
        <v>16</v>
      </c>
      <c r="J3332" t="s">
        <v>16</v>
      </c>
      <c r="K3332" t="s">
        <v>17</v>
      </c>
      <c r="L3332">
        <v>4913.3</v>
      </c>
      <c r="M3332" t="s">
        <v>5033</v>
      </c>
      <c r="N3332" t="s">
        <v>5034</v>
      </c>
    </row>
    <row r="3333" spans="1:14" x14ac:dyDescent="0.3">
      <c r="A3333" t="s">
        <v>3357</v>
      </c>
      <c r="B3333" t="s">
        <v>19</v>
      </c>
      <c r="C3333" t="s">
        <v>35</v>
      </c>
      <c r="D3333">
        <v>0</v>
      </c>
      <c r="E3333" t="s">
        <v>15</v>
      </c>
      <c r="F3333" t="s">
        <v>36</v>
      </c>
      <c r="G3333">
        <v>19.850000000000001</v>
      </c>
      <c r="H3333" t="s">
        <v>514</v>
      </c>
      <c r="I3333" t="s">
        <v>15</v>
      </c>
      <c r="J3333" t="s">
        <v>15</v>
      </c>
      <c r="K3333" t="s">
        <v>21</v>
      </c>
      <c r="L3333">
        <v>0</v>
      </c>
      <c r="M3333" t="s">
        <v>5030</v>
      </c>
      <c r="N3333" t="s">
        <v>5034</v>
      </c>
    </row>
    <row r="3334" spans="1:14" x14ac:dyDescent="0.3">
      <c r="A3334" t="s">
        <v>3358</v>
      </c>
      <c r="B3334" t="s">
        <v>19</v>
      </c>
      <c r="C3334" t="s">
        <v>13</v>
      </c>
      <c r="D3334">
        <v>1</v>
      </c>
      <c r="E3334" t="s">
        <v>14</v>
      </c>
      <c r="F3334" t="s">
        <v>15</v>
      </c>
      <c r="G3334">
        <v>46.3</v>
      </c>
      <c r="H3334">
        <v>46.3</v>
      </c>
      <c r="I3334" t="s">
        <v>16</v>
      </c>
      <c r="J3334" t="s">
        <v>15</v>
      </c>
      <c r="K3334" t="s">
        <v>21</v>
      </c>
      <c r="L3334">
        <v>46.3</v>
      </c>
      <c r="M3334" t="s">
        <v>5030</v>
      </c>
      <c r="N3334" t="s">
        <v>5031</v>
      </c>
    </row>
    <row r="3335" spans="1:14" x14ac:dyDescent="0.3">
      <c r="A3335" t="s">
        <v>3359</v>
      </c>
      <c r="B3335" t="s">
        <v>19</v>
      </c>
      <c r="C3335" t="s">
        <v>35</v>
      </c>
      <c r="D3335">
        <v>12</v>
      </c>
      <c r="E3335" t="s">
        <v>15</v>
      </c>
      <c r="F3335" t="s">
        <v>36</v>
      </c>
      <c r="G3335">
        <v>19.350000000000001</v>
      </c>
      <c r="H3335">
        <v>212.3</v>
      </c>
      <c r="I3335" t="s">
        <v>15</v>
      </c>
      <c r="J3335" t="s">
        <v>15</v>
      </c>
      <c r="K3335" t="s">
        <v>24</v>
      </c>
      <c r="L3335">
        <v>212.3</v>
      </c>
      <c r="M3335" t="s">
        <v>5030</v>
      </c>
      <c r="N3335" t="s">
        <v>5031</v>
      </c>
    </row>
    <row r="3336" spans="1:14" x14ac:dyDescent="0.3">
      <c r="A3336" t="s">
        <v>3360</v>
      </c>
      <c r="B3336" t="s">
        <v>12</v>
      </c>
      <c r="C3336" t="s">
        <v>13</v>
      </c>
      <c r="D3336">
        <v>41</v>
      </c>
      <c r="E3336" t="s">
        <v>26</v>
      </c>
      <c r="F3336" t="s">
        <v>15</v>
      </c>
      <c r="G3336">
        <v>106.3</v>
      </c>
      <c r="H3336">
        <v>4443.45</v>
      </c>
      <c r="I3336" t="s">
        <v>16</v>
      </c>
      <c r="J3336" t="s">
        <v>16</v>
      </c>
      <c r="K3336" t="s">
        <v>17</v>
      </c>
      <c r="L3336">
        <v>4443.45</v>
      </c>
      <c r="M3336" t="s">
        <v>5033</v>
      </c>
      <c r="N3336" t="s">
        <v>5034</v>
      </c>
    </row>
    <row r="3337" spans="1:14" x14ac:dyDescent="0.3">
      <c r="A3337" t="s">
        <v>3361</v>
      </c>
      <c r="B3337" t="s">
        <v>19</v>
      </c>
      <c r="C3337" t="s">
        <v>13</v>
      </c>
      <c r="D3337">
        <v>12</v>
      </c>
      <c r="E3337" t="s">
        <v>15</v>
      </c>
      <c r="F3337" t="s">
        <v>36</v>
      </c>
      <c r="G3337">
        <v>25</v>
      </c>
      <c r="H3337">
        <v>316.2</v>
      </c>
      <c r="I3337" t="s">
        <v>15</v>
      </c>
      <c r="J3337" t="s">
        <v>15</v>
      </c>
      <c r="K3337" t="s">
        <v>17</v>
      </c>
      <c r="L3337">
        <v>316.2</v>
      </c>
      <c r="M3337" t="s">
        <v>5030</v>
      </c>
      <c r="N3337" t="s">
        <v>5031</v>
      </c>
    </row>
    <row r="3338" spans="1:14" x14ac:dyDescent="0.3">
      <c r="A3338" t="s">
        <v>3362</v>
      </c>
      <c r="B3338" t="s">
        <v>12</v>
      </c>
      <c r="C3338" t="s">
        <v>35</v>
      </c>
      <c r="D3338">
        <v>55</v>
      </c>
      <c r="E3338" t="s">
        <v>15</v>
      </c>
      <c r="F3338" t="s">
        <v>36</v>
      </c>
      <c r="G3338">
        <v>20.3</v>
      </c>
      <c r="H3338">
        <v>1079.05</v>
      </c>
      <c r="I3338" t="s">
        <v>15</v>
      </c>
      <c r="J3338" t="s">
        <v>15</v>
      </c>
      <c r="K3338" t="s">
        <v>21</v>
      </c>
      <c r="L3338">
        <v>1079.05</v>
      </c>
      <c r="M3338" t="s">
        <v>5033</v>
      </c>
      <c r="N3338" t="s">
        <v>5031</v>
      </c>
    </row>
    <row r="3339" spans="1:14" x14ac:dyDescent="0.3">
      <c r="A3339" t="s">
        <v>3363</v>
      </c>
      <c r="B3339" t="s">
        <v>12</v>
      </c>
      <c r="C3339" t="s">
        <v>13</v>
      </c>
      <c r="D3339">
        <v>7</v>
      </c>
      <c r="E3339" t="s">
        <v>26</v>
      </c>
      <c r="F3339" t="s">
        <v>15</v>
      </c>
      <c r="G3339">
        <v>75.349999999999994</v>
      </c>
      <c r="H3339">
        <v>564.65</v>
      </c>
      <c r="I3339" t="s">
        <v>15</v>
      </c>
      <c r="J3339" t="s">
        <v>16</v>
      </c>
      <c r="K3339" t="s">
        <v>17</v>
      </c>
      <c r="L3339">
        <v>564.65</v>
      </c>
      <c r="M3339" t="s">
        <v>5030</v>
      </c>
      <c r="N3339" t="s">
        <v>5031</v>
      </c>
    </row>
    <row r="3340" spans="1:14" x14ac:dyDescent="0.3">
      <c r="A3340" t="s">
        <v>3364</v>
      </c>
      <c r="B3340" t="s">
        <v>12</v>
      </c>
      <c r="C3340" t="s">
        <v>13</v>
      </c>
      <c r="D3340">
        <v>12</v>
      </c>
      <c r="E3340" t="s">
        <v>26</v>
      </c>
      <c r="F3340" t="s">
        <v>16</v>
      </c>
      <c r="G3340">
        <v>89.4</v>
      </c>
      <c r="H3340">
        <v>1095.6500000000001</v>
      </c>
      <c r="I3340" t="s">
        <v>16</v>
      </c>
      <c r="J3340" t="s">
        <v>16</v>
      </c>
      <c r="K3340" t="s">
        <v>17</v>
      </c>
      <c r="L3340">
        <v>1095.6500000000001</v>
      </c>
      <c r="M3340" t="s">
        <v>5030</v>
      </c>
      <c r="N3340" t="s">
        <v>5031</v>
      </c>
    </row>
    <row r="3341" spans="1:14" x14ac:dyDescent="0.3">
      <c r="A3341" t="s">
        <v>3365</v>
      </c>
      <c r="B3341" t="s">
        <v>12</v>
      </c>
      <c r="C3341" t="s">
        <v>35</v>
      </c>
      <c r="D3341">
        <v>68</v>
      </c>
      <c r="E3341" t="s">
        <v>14</v>
      </c>
      <c r="F3341" t="s">
        <v>16</v>
      </c>
      <c r="G3341">
        <v>88</v>
      </c>
      <c r="H3341">
        <v>6161.9</v>
      </c>
      <c r="I3341" t="s">
        <v>15</v>
      </c>
      <c r="J3341" t="s">
        <v>15</v>
      </c>
      <c r="K3341" t="s">
        <v>29</v>
      </c>
      <c r="L3341">
        <v>6161.9</v>
      </c>
      <c r="M3341" t="s">
        <v>5033</v>
      </c>
      <c r="N3341" t="s">
        <v>5034</v>
      </c>
    </row>
    <row r="3342" spans="1:14" x14ac:dyDescent="0.3">
      <c r="A3342" t="s">
        <v>3366</v>
      </c>
      <c r="B3342" t="s">
        <v>12</v>
      </c>
      <c r="C3342" t="s">
        <v>13</v>
      </c>
      <c r="D3342">
        <v>5</v>
      </c>
      <c r="E3342" t="s">
        <v>26</v>
      </c>
      <c r="F3342" t="s">
        <v>15</v>
      </c>
      <c r="G3342">
        <v>83.15</v>
      </c>
      <c r="H3342">
        <v>446.05</v>
      </c>
      <c r="I3342" t="s">
        <v>16</v>
      </c>
      <c r="J3342" t="s">
        <v>16</v>
      </c>
      <c r="K3342" t="s">
        <v>29</v>
      </c>
      <c r="L3342">
        <v>446.05</v>
      </c>
      <c r="M3342" t="s">
        <v>5030</v>
      </c>
      <c r="N3342" t="s">
        <v>5031</v>
      </c>
    </row>
    <row r="3343" spans="1:14" x14ac:dyDescent="0.3">
      <c r="A3343" t="s">
        <v>3367</v>
      </c>
      <c r="B3343" t="s">
        <v>12</v>
      </c>
      <c r="C3343" t="s">
        <v>13</v>
      </c>
      <c r="D3343">
        <v>49</v>
      </c>
      <c r="E3343" t="s">
        <v>14</v>
      </c>
      <c r="F3343" t="s">
        <v>15</v>
      </c>
      <c r="G3343">
        <v>43.8</v>
      </c>
      <c r="H3343">
        <v>2106.0500000000002</v>
      </c>
      <c r="I3343" t="s">
        <v>15</v>
      </c>
      <c r="J3343" t="s">
        <v>15</v>
      </c>
      <c r="K3343" t="s">
        <v>21</v>
      </c>
      <c r="L3343">
        <v>2106.0500000000002</v>
      </c>
      <c r="M3343" t="s">
        <v>5033</v>
      </c>
      <c r="N3343" t="s">
        <v>5031</v>
      </c>
    </row>
    <row r="3344" spans="1:14" x14ac:dyDescent="0.3">
      <c r="A3344" t="s">
        <v>3368</v>
      </c>
      <c r="B3344" t="s">
        <v>19</v>
      </c>
      <c r="C3344" t="s">
        <v>20</v>
      </c>
      <c r="D3344">
        <v>40</v>
      </c>
      <c r="E3344" t="s">
        <v>14</v>
      </c>
      <c r="F3344" t="s">
        <v>15</v>
      </c>
      <c r="G3344">
        <v>62.05</v>
      </c>
      <c r="H3344">
        <v>2511.5500000000002</v>
      </c>
      <c r="I3344" t="s">
        <v>15</v>
      </c>
      <c r="J3344" t="s">
        <v>15</v>
      </c>
      <c r="K3344" t="s">
        <v>29</v>
      </c>
      <c r="L3344">
        <v>2511.5500000000002</v>
      </c>
      <c r="M3344" t="s">
        <v>5033</v>
      </c>
      <c r="N3344" t="s">
        <v>5034</v>
      </c>
    </row>
    <row r="3345" spans="1:14" x14ac:dyDescent="0.3">
      <c r="A3345" t="s">
        <v>3369</v>
      </c>
      <c r="B3345" t="s">
        <v>12</v>
      </c>
      <c r="C3345" t="s">
        <v>20</v>
      </c>
      <c r="D3345">
        <v>16</v>
      </c>
      <c r="E3345" t="s">
        <v>15</v>
      </c>
      <c r="F3345" t="s">
        <v>36</v>
      </c>
      <c r="G3345">
        <v>20.100000000000001</v>
      </c>
      <c r="H3345">
        <v>318.60000000000002</v>
      </c>
      <c r="I3345" t="s">
        <v>15</v>
      </c>
      <c r="J3345" t="s">
        <v>15</v>
      </c>
      <c r="K3345" t="s">
        <v>24</v>
      </c>
      <c r="L3345">
        <v>318.60000000000002</v>
      </c>
      <c r="M3345" t="s">
        <v>5032</v>
      </c>
      <c r="N3345" t="s">
        <v>5031</v>
      </c>
    </row>
    <row r="3346" spans="1:14" x14ac:dyDescent="0.3">
      <c r="A3346" t="s">
        <v>3370</v>
      </c>
      <c r="B3346" t="s">
        <v>19</v>
      </c>
      <c r="C3346" t="s">
        <v>13</v>
      </c>
      <c r="D3346">
        <v>10</v>
      </c>
      <c r="E3346" t="s">
        <v>26</v>
      </c>
      <c r="F3346" t="s">
        <v>15</v>
      </c>
      <c r="G3346">
        <v>74.150000000000006</v>
      </c>
      <c r="H3346">
        <v>811.8</v>
      </c>
      <c r="I3346" t="s">
        <v>16</v>
      </c>
      <c r="J3346" t="s">
        <v>16</v>
      </c>
      <c r="K3346" t="s">
        <v>21</v>
      </c>
      <c r="L3346">
        <v>811.8</v>
      </c>
      <c r="M3346" t="s">
        <v>5030</v>
      </c>
      <c r="N3346" t="s">
        <v>5031</v>
      </c>
    </row>
    <row r="3347" spans="1:14" x14ac:dyDescent="0.3">
      <c r="A3347" t="s">
        <v>3371</v>
      </c>
      <c r="B3347" t="s">
        <v>12</v>
      </c>
      <c r="C3347" t="s">
        <v>20</v>
      </c>
      <c r="D3347">
        <v>72</v>
      </c>
      <c r="E3347" t="s">
        <v>26</v>
      </c>
      <c r="F3347" t="s">
        <v>15</v>
      </c>
      <c r="G3347">
        <v>101.35</v>
      </c>
      <c r="H3347">
        <v>7323.15</v>
      </c>
      <c r="I3347" t="s">
        <v>15</v>
      </c>
      <c r="J3347" t="s">
        <v>16</v>
      </c>
      <c r="K3347" t="s">
        <v>17</v>
      </c>
      <c r="L3347">
        <v>7323.15</v>
      </c>
      <c r="M3347" t="s">
        <v>5033</v>
      </c>
      <c r="N3347" t="s">
        <v>5034</v>
      </c>
    </row>
    <row r="3348" spans="1:14" x14ac:dyDescent="0.3">
      <c r="A3348" t="s">
        <v>3372</v>
      </c>
      <c r="B3348" t="s">
        <v>12</v>
      </c>
      <c r="C3348" t="s">
        <v>13</v>
      </c>
      <c r="D3348">
        <v>2</v>
      </c>
      <c r="E3348" t="s">
        <v>26</v>
      </c>
      <c r="F3348" t="s">
        <v>15</v>
      </c>
      <c r="G3348">
        <v>84.05</v>
      </c>
      <c r="H3348">
        <v>186.05</v>
      </c>
      <c r="I3348" t="s">
        <v>15</v>
      </c>
      <c r="J3348" t="s">
        <v>16</v>
      </c>
      <c r="K3348" t="s">
        <v>17</v>
      </c>
      <c r="L3348">
        <v>186.05</v>
      </c>
      <c r="M3348" t="s">
        <v>5030</v>
      </c>
      <c r="N3348" t="s">
        <v>5031</v>
      </c>
    </row>
    <row r="3349" spans="1:14" x14ac:dyDescent="0.3">
      <c r="A3349" t="s">
        <v>3373</v>
      </c>
      <c r="B3349" t="s">
        <v>19</v>
      </c>
      <c r="C3349" t="s">
        <v>35</v>
      </c>
      <c r="D3349">
        <v>23</v>
      </c>
      <c r="E3349" t="s">
        <v>15</v>
      </c>
      <c r="F3349" t="s">
        <v>36</v>
      </c>
      <c r="G3349">
        <v>20.9</v>
      </c>
      <c r="H3349">
        <v>454</v>
      </c>
      <c r="I3349" t="s">
        <v>15</v>
      </c>
      <c r="J3349" t="s">
        <v>15</v>
      </c>
      <c r="K3349" t="s">
        <v>21</v>
      </c>
      <c r="L3349">
        <v>454</v>
      </c>
      <c r="M3349" t="s">
        <v>5032</v>
      </c>
      <c r="N3349" t="s">
        <v>5031</v>
      </c>
    </row>
    <row r="3350" spans="1:14" x14ac:dyDescent="0.3">
      <c r="A3350" t="s">
        <v>3374</v>
      </c>
      <c r="B3350" t="s">
        <v>12</v>
      </c>
      <c r="C3350" t="s">
        <v>20</v>
      </c>
      <c r="D3350">
        <v>71</v>
      </c>
      <c r="E3350" t="s">
        <v>26</v>
      </c>
      <c r="F3350" t="s">
        <v>15</v>
      </c>
      <c r="G3350">
        <v>105.9</v>
      </c>
      <c r="H3350">
        <v>7521.95</v>
      </c>
      <c r="I3350" t="s">
        <v>15</v>
      </c>
      <c r="J3350" t="s">
        <v>16</v>
      </c>
      <c r="K3350" t="s">
        <v>17</v>
      </c>
      <c r="L3350">
        <v>7521.95</v>
      </c>
      <c r="M3350" t="s">
        <v>5033</v>
      </c>
      <c r="N3350" t="s">
        <v>5034</v>
      </c>
    </row>
    <row r="3351" spans="1:14" x14ac:dyDescent="0.3">
      <c r="A3351" t="s">
        <v>3375</v>
      </c>
      <c r="B3351" t="s">
        <v>12</v>
      </c>
      <c r="C3351" t="s">
        <v>13</v>
      </c>
      <c r="D3351">
        <v>11</v>
      </c>
      <c r="E3351" t="s">
        <v>26</v>
      </c>
      <c r="F3351" t="s">
        <v>15</v>
      </c>
      <c r="G3351">
        <v>99.5</v>
      </c>
      <c r="H3351">
        <v>1056.95</v>
      </c>
      <c r="I3351" t="s">
        <v>16</v>
      </c>
      <c r="J3351" t="s">
        <v>16</v>
      </c>
      <c r="K3351" t="s">
        <v>17</v>
      </c>
      <c r="L3351">
        <v>1056.95</v>
      </c>
      <c r="M3351" t="s">
        <v>5030</v>
      </c>
      <c r="N3351" t="s">
        <v>5031</v>
      </c>
    </row>
    <row r="3352" spans="1:14" x14ac:dyDescent="0.3">
      <c r="A3352" t="s">
        <v>3376</v>
      </c>
      <c r="B3352" t="s">
        <v>19</v>
      </c>
      <c r="C3352" t="s">
        <v>13</v>
      </c>
      <c r="D3352">
        <v>1</v>
      </c>
      <c r="E3352" t="s">
        <v>14</v>
      </c>
      <c r="F3352" t="s">
        <v>15</v>
      </c>
      <c r="G3352">
        <v>44.15</v>
      </c>
      <c r="H3352">
        <v>44.15</v>
      </c>
      <c r="I3352" t="s">
        <v>16</v>
      </c>
      <c r="J3352" t="s">
        <v>16</v>
      </c>
      <c r="K3352" t="s">
        <v>21</v>
      </c>
      <c r="L3352">
        <v>44.15</v>
      </c>
      <c r="M3352" t="s">
        <v>5030</v>
      </c>
      <c r="N3352" t="s">
        <v>5031</v>
      </c>
    </row>
    <row r="3353" spans="1:14" x14ac:dyDescent="0.3">
      <c r="A3353" t="s">
        <v>3377</v>
      </c>
      <c r="B3353" t="s">
        <v>12</v>
      </c>
      <c r="C3353" t="s">
        <v>13</v>
      </c>
      <c r="D3353">
        <v>16</v>
      </c>
      <c r="E3353" t="s">
        <v>14</v>
      </c>
      <c r="F3353" t="s">
        <v>16</v>
      </c>
      <c r="G3353">
        <v>53.9</v>
      </c>
      <c r="H3353">
        <v>834.15</v>
      </c>
      <c r="I3353" t="s">
        <v>16</v>
      </c>
      <c r="J3353" t="s">
        <v>16</v>
      </c>
      <c r="K3353" t="s">
        <v>21</v>
      </c>
      <c r="L3353">
        <v>834.15</v>
      </c>
      <c r="M3353" t="s">
        <v>5032</v>
      </c>
      <c r="N3353" t="s">
        <v>5031</v>
      </c>
    </row>
    <row r="3354" spans="1:14" x14ac:dyDescent="0.3">
      <c r="A3354" t="s">
        <v>3378</v>
      </c>
      <c r="B3354" t="s">
        <v>12</v>
      </c>
      <c r="C3354" t="s">
        <v>13</v>
      </c>
      <c r="D3354">
        <v>1</v>
      </c>
      <c r="E3354" t="s">
        <v>26</v>
      </c>
      <c r="F3354" t="s">
        <v>15</v>
      </c>
      <c r="G3354">
        <v>85.45</v>
      </c>
      <c r="H3354">
        <v>85.45</v>
      </c>
      <c r="I3354" t="s">
        <v>16</v>
      </c>
      <c r="J3354" t="s">
        <v>16</v>
      </c>
      <c r="K3354" t="s">
        <v>21</v>
      </c>
      <c r="L3354">
        <v>85.45</v>
      </c>
      <c r="M3354" t="s">
        <v>5030</v>
      </c>
      <c r="N3354" t="s">
        <v>5031</v>
      </c>
    </row>
    <row r="3355" spans="1:14" x14ac:dyDescent="0.3">
      <c r="A3355" t="s">
        <v>3379</v>
      </c>
      <c r="B3355" t="s">
        <v>19</v>
      </c>
      <c r="C3355" t="s">
        <v>13</v>
      </c>
      <c r="D3355">
        <v>12</v>
      </c>
      <c r="E3355" t="s">
        <v>26</v>
      </c>
      <c r="F3355" t="s">
        <v>15</v>
      </c>
      <c r="G3355">
        <v>85.05</v>
      </c>
      <c r="H3355">
        <v>999.8</v>
      </c>
      <c r="I3355" t="s">
        <v>15</v>
      </c>
      <c r="J3355" t="s">
        <v>16</v>
      </c>
      <c r="K3355" t="s">
        <v>29</v>
      </c>
      <c r="L3355">
        <v>999.8</v>
      </c>
      <c r="M3355" t="s">
        <v>5030</v>
      </c>
      <c r="N3355" t="s">
        <v>5031</v>
      </c>
    </row>
    <row r="3356" spans="1:14" x14ac:dyDescent="0.3">
      <c r="A3356" t="s">
        <v>3380</v>
      </c>
      <c r="B3356" t="s">
        <v>12</v>
      </c>
      <c r="C3356" t="s">
        <v>20</v>
      </c>
      <c r="D3356">
        <v>54</v>
      </c>
      <c r="E3356" t="s">
        <v>14</v>
      </c>
      <c r="F3356" t="s">
        <v>16</v>
      </c>
      <c r="G3356">
        <v>44.1</v>
      </c>
      <c r="H3356">
        <v>2369.6999999999998</v>
      </c>
      <c r="I3356" t="s">
        <v>15</v>
      </c>
      <c r="J3356" t="s">
        <v>15</v>
      </c>
      <c r="K3356" t="s">
        <v>24</v>
      </c>
      <c r="L3356">
        <v>2369.6999999999998</v>
      </c>
      <c r="M3356" t="s">
        <v>5033</v>
      </c>
      <c r="N3356" t="s">
        <v>5031</v>
      </c>
    </row>
    <row r="3357" spans="1:14" x14ac:dyDescent="0.3">
      <c r="A3357" t="s">
        <v>3381</v>
      </c>
      <c r="B3357" t="s">
        <v>12</v>
      </c>
      <c r="C3357" t="s">
        <v>35</v>
      </c>
      <c r="D3357">
        <v>68</v>
      </c>
      <c r="E3357" t="s">
        <v>26</v>
      </c>
      <c r="F3357" t="s">
        <v>16</v>
      </c>
      <c r="G3357">
        <v>90.2</v>
      </c>
      <c r="H3357">
        <v>6297.65</v>
      </c>
      <c r="I3357" t="s">
        <v>15</v>
      </c>
      <c r="J3357" t="s">
        <v>15</v>
      </c>
      <c r="K3357" t="s">
        <v>29</v>
      </c>
      <c r="L3357">
        <v>6297.65</v>
      </c>
      <c r="M3357" t="s">
        <v>5033</v>
      </c>
      <c r="N3357" t="s">
        <v>5034</v>
      </c>
    </row>
    <row r="3358" spans="1:14" x14ac:dyDescent="0.3">
      <c r="A3358" t="s">
        <v>3382</v>
      </c>
      <c r="B3358" t="s">
        <v>12</v>
      </c>
      <c r="C3358" t="s">
        <v>13</v>
      </c>
      <c r="D3358">
        <v>4</v>
      </c>
      <c r="E3358" t="s">
        <v>14</v>
      </c>
      <c r="F3358" t="s">
        <v>15</v>
      </c>
      <c r="G3358">
        <v>50.85</v>
      </c>
      <c r="H3358">
        <v>239.55</v>
      </c>
      <c r="I3358" t="s">
        <v>16</v>
      </c>
      <c r="J3358" t="s">
        <v>15</v>
      </c>
      <c r="K3358" t="s">
        <v>21</v>
      </c>
      <c r="L3358">
        <v>239.55</v>
      </c>
      <c r="M3358" t="s">
        <v>5030</v>
      </c>
      <c r="N3358" t="s">
        <v>5031</v>
      </c>
    </row>
    <row r="3359" spans="1:14" x14ac:dyDescent="0.3">
      <c r="A3359" t="s">
        <v>3383</v>
      </c>
      <c r="B3359" t="s">
        <v>12</v>
      </c>
      <c r="C3359" t="s">
        <v>13</v>
      </c>
      <c r="D3359">
        <v>1</v>
      </c>
      <c r="E3359" t="s">
        <v>14</v>
      </c>
      <c r="F3359" t="s">
        <v>15</v>
      </c>
      <c r="G3359">
        <v>59.2</v>
      </c>
      <c r="H3359">
        <v>59.2</v>
      </c>
      <c r="I3359" t="s">
        <v>16</v>
      </c>
      <c r="J3359" t="s">
        <v>15</v>
      </c>
      <c r="K3359" t="s">
        <v>17</v>
      </c>
      <c r="L3359">
        <v>59.2</v>
      </c>
      <c r="M3359" t="s">
        <v>5030</v>
      </c>
      <c r="N3359" t="s">
        <v>5031</v>
      </c>
    </row>
    <row r="3360" spans="1:14" x14ac:dyDescent="0.3">
      <c r="A3360" t="s">
        <v>3384</v>
      </c>
      <c r="B3360" t="s">
        <v>19</v>
      </c>
      <c r="C3360" t="s">
        <v>13</v>
      </c>
      <c r="D3360">
        <v>27</v>
      </c>
      <c r="E3360" t="s">
        <v>14</v>
      </c>
      <c r="F3360" t="s">
        <v>16</v>
      </c>
      <c r="G3360">
        <v>53.45</v>
      </c>
      <c r="H3360">
        <v>1461.45</v>
      </c>
      <c r="I3360" t="s">
        <v>15</v>
      </c>
      <c r="J3360" t="s">
        <v>15</v>
      </c>
      <c r="K3360" t="s">
        <v>21</v>
      </c>
      <c r="L3360">
        <v>1461.45</v>
      </c>
      <c r="M3360" t="s">
        <v>5032</v>
      </c>
      <c r="N3360" t="s">
        <v>5031</v>
      </c>
    </row>
    <row r="3361" spans="1:14" x14ac:dyDescent="0.3">
      <c r="A3361" t="s">
        <v>3385</v>
      </c>
      <c r="B3361" t="s">
        <v>19</v>
      </c>
      <c r="C3361" t="s">
        <v>13</v>
      </c>
      <c r="D3361">
        <v>21</v>
      </c>
      <c r="E3361" t="s">
        <v>15</v>
      </c>
      <c r="F3361" t="s">
        <v>36</v>
      </c>
      <c r="G3361">
        <v>19.95</v>
      </c>
      <c r="H3361">
        <v>416.4</v>
      </c>
      <c r="I3361" t="s">
        <v>15</v>
      </c>
      <c r="J3361" t="s">
        <v>16</v>
      </c>
      <c r="K3361" t="s">
        <v>21</v>
      </c>
      <c r="L3361">
        <v>416.4</v>
      </c>
      <c r="M3361" t="s">
        <v>5032</v>
      </c>
      <c r="N3361" t="s">
        <v>5031</v>
      </c>
    </row>
    <row r="3362" spans="1:14" x14ac:dyDescent="0.3">
      <c r="A3362" t="s">
        <v>3386</v>
      </c>
      <c r="B3362" t="s">
        <v>19</v>
      </c>
      <c r="C3362" t="s">
        <v>13</v>
      </c>
      <c r="D3362">
        <v>13</v>
      </c>
      <c r="E3362" t="s">
        <v>26</v>
      </c>
      <c r="F3362" t="s">
        <v>15</v>
      </c>
      <c r="G3362">
        <v>83.2</v>
      </c>
      <c r="H3362">
        <v>1060.5999999999999</v>
      </c>
      <c r="I3362" t="s">
        <v>16</v>
      </c>
      <c r="J3362" t="s">
        <v>16</v>
      </c>
      <c r="K3362" t="s">
        <v>17</v>
      </c>
      <c r="L3362">
        <v>1060.5999999999999</v>
      </c>
      <c r="M3362" t="s">
        <v>5032</v>
      </c>
      <c r="N3362" t="s">
        <v>5031</v>
      </c>
    </row>
    <row r="3363" spans="1:14" x14ac:dyDescent="0.3">
      <c r="A3363" t="s">
        <v>3387</v>
      </c>
      <c r="B3363" t="s">
        <v>12</v>
      </c>
      <c r="C3363" t="s">
        <v>13</v>
      </c>
      <c r="D3363">
        <v>64</v>
      </c>
      <c r="E3363" t="s">
        <v>14</v>
      </c>
      <c r="F3363" t="s">
        <v>16</v>
      </c>
      <c r="G3363">
        <v>74.650000000000006</v>
      </c>
      <c r="H3363">
        <v>4869.3500000000004</v>
      </c>
      <c r="I3363" t="s">
        <v>15</v>
      </c>
      <c r="J3363" t="s">
        <v>15</v>
      </c>
      <c r="K3363" t="s">
        <v>29</v>
      </c>
      <c r="L3363">
        <v>4869.3500000000004</v>
      </c>
      <c r="M3363" t="s">
        <v>5033</v>
      </c>
      <c r="N3363" t="s">
        <v>5034</v>
      </c>
    </row>
    <row r="3364" spans="1:14" x14ac:dyDescent="0.3">
      <c r="A3364" t="s">
        <v>3388</v>
      </c>
      <c r="B3364" t="s">
        <v>12</v>
      </c>
      <c r="C3364" t="s">
        <v>13</v>
      </c>
      <c r="D3364">
        <v>1</v>
      </c>
      <c r="E3364" t="s">
        <v>14</v>
      </c>
      <c r="F3364" t="s">
        <v>15</v>
      </c>
      <c r="G3364">
        <v>54.9</v>
      </c>
      <c r="H3364">
        <v>54.9</v>
      </c>
      <c r="I3364" t="s">
        <v>16</v>
      </c>
      <c r="J3364" t="s">
        <v>16</v>
      </c>
      <c r="K3364" t="s">
        <v>17</v>
      </c>
      <c r="L3364">
        <v>54.9</v>
      </c>
      <c r="M3364" t="s">
        <v>5030</v>
      </c>
      <c r="N3364" t="s">
        <v>5031</v>
      </c>
    </row>
    <row r="3365" spans="1:14" x14ac:dyDescent="0.3">
      <c r="A3365" t="s">
        <v>3389</v>
      </c>
      <c r="B3365" t="s">
        <v>19</v>
      </c>
      <c r="C3365" t="s">
        <v>35</v>
      </c>
      <c r="D3365">
        <v>57</v>
      </c>
      <c r="E3365" t="s">
        <v>14</v>
      </c>
      <c r="F3365" t="s">
        <v>16</v>
      </c>
      <c r="G3365">
        <v>57.5</v>
      </c>
      <c r="H3365">
        <v>3265.95</v>
      </c>
      <c r="I3365" t="s">
        <v>15</v>
      </c>
      <c r="J3365" t="s">
        <v>16</v>
      </c>
      <c r="K3365" t="s">
        <v>24</v>
      </c>
      <c r="L3365">
        <v>3265.95</v>
      </c>
      <c r="M3365" t="s">
        <v>5033</v>
      </c>
      <c r="N3365" t="s">
        <v>5034</v>
      </c>
    </row>
    <row r="3366" spans="1:14" x14ac:dyDescent="0.3">
      <c r="A3366" t="s">
        <v>3390</v>
      </c>
      <c r="B3366" t="s">
        <v>12</v>
      </c>
      <c r="C3366" t="s">
        <v>13</v>
      </c>
      <c r="D3366">
        <v>21</v>
      </c>
      <c r="E3366" t="s">
        <v>26</v>
      </c>
      <c r="F3366" t="s">
        <v>15</v>
      </c>
      <c r="G3366">
        <v>103.9</v>
      </c>
      <c r="H3366">
        <v>2254.1999999999998</v>
      </c>
      <c r="I3366" t="s">
        <v>16</v>
      </c>
      <c r="J3366" t="s">
        <v>16</v>
      </c>
      <c r="K3366" t="s">
        <v>17</v>
      </c>
      <c r="L3366">
        <v>2254.1999999999998</v>
      </c>
      <c r="M3366" t="s">
        <v>5032</v>
      </c>
      <c r="N3366" t="s">
        <v>5031</v>
      </c>
    </row>
    <row r="3367" spans="1:14" x14ac:dyDescent="0.3">
      <c r="A3367" t="s">
        <v>3391</v>
      </c>
      <c r="B3367" t="s">
        <v>19</v>
      </c>
      <c r="C3367" t="s">
        <v>35</v>
      </c>
      <c r="D3367">
        <v>19</v>
      </c>
      <c r="E3367" t="s">
        <v>15</v>
      </c>
      <c r="F3367" t="s">
        <v>36</v>
      </c>
      <c r="G3367">
        <v>19.649999999999999</v>
      </c>
      <c r="H3367">
        <v>358.15</v>
      </c>
      <c r="I3367" t="s">
        <v>15</v>
      </c>
      <c r="J3367" t="s">
        <v>15</v>
      </c>
      <c r="K3367" t="s">
        <v>21</v>
      </c>
      <c r="L3367">
        <v>358.15</v>
      </c>
      <c r="M3367" t="s">
        <v>5032</v>
      </c>
      <c r="N3367" t="s">
        <v>5031</v>
      </c>
    </row>
    <row r="3368" spans="1:14" x14ac:dyDescent="0.3">
      <c r="A3368" t="s">
        <v>3392</v>
      </c>
      <c r="B3368" t="s">
        <v>19</v>
      </c>
      <c r="C3368" t="s">
        <v>20</v>
      </c>
      <c r="D3368">
        <v>31</v>
      </c>
      <c r="E3368" t="s">
        <v>26</v>
      </c>
      <c r="F3368" t="s">
        <v>15</v>
      </c>
      <c r="G3368">
        <v>93.8</v>
      </c>
      <c r="H3368">
        <v>2939.8</v>
      </c>
      <c r="I3368" t="s">
        <v>15</v>
      </c>
      <c r="J3368" t="s">
        <v>16</v>
      </c>
      <c r="K3368" t="s">
        <v>17</v>
      </c>
      <c r="L3368">
        <v>2939.8</v>
      </c>
      <c r="M3368" t="s">
        <v>5032</v>
      </c>
      <c r="N3368" t="s">
        <v>5034</v>
      </c>
    </row>
    <row r="3369" spans="1:14" x14ac:dyDescent="0.3">
      <c r="A3369" t="s">
        <v>3393</v>
      </c>
      <c r="B3369" t="s">
        <v>19</v>
      </c>
      <c r="C3369" t="s">
        <v>35</v>
      </c>
      <c r="D3369">
        <v>52</v>
      </c>
      <c r="E3369" t="s">
        <v>14</v>
      </c>
      <c r="F3369" t="s">
        <v>16</v>
      </c>
      <c r="G3369">
        <v>89.25</v>
      </c>
      <c r="H3369">
        <v>4652.3999999999996</v>
      </c>
      <c r="I3369" t="s">
        <v>15</v>
      </c>
      <c r="J3369" t="s">
        <v>16</v>
      </c>
      <c r="K3369" t="s">
        <v>21</v>
      </c>
      <c r="L3369">
        <v>4652.3999999999996</v>
      </c>
      <c r="M3369" t="s">
        <v>5033</v>
      </c>
      <c r="N3369" t="s">
        <v>5034</v>
      </c>
    </row>
    <row r="3370" spans="1:14" x14ac:dyDescent="0.3">
      <c r="A3370" t="s">
        <v>3394</v>
      </c>
      <c r="B3370" t="s">
        <v>12</v>
      </c>
      <c r="C3370" t="s">
        <v>20</v>
      </c>
      <c r="D3370">
        <v>46</v>
      </c>
      <c r="E3370" t="s">
        <v>26</v>
      </c>
      <c r="F3370" t="s">
        <v>15</v>
      </c>
      <c r="G3370">
        <v>94.15</v>
      </c>
      <c r="H3370">
        <v>4408.45</v>
      </c>
      <c r="I3370" t="s">
        <v>15</v>
      </c>
      <c r="J3370" t="s">
        <v>16</v>
      </c>
      <c r="K3370" t="s">
        <v>17</v>
      </c>
      <c r="L3370">
        <v>4408.45</v>
      </c>
      <c r="M3370" t="s">
        <v>5033</v>
      </c>
      <c r="N3370" t="s">
        <v>5034</v>
      </c>
    </row>
    <row r="3371" spans="1:14" x14ac:dyDescent="0.3">
      <c r="A3371" t="s">
        <v>3395</v>
      </c>
      <c r="B3371" t="s">
        <v>12</v>
      </c>
      <c r="C3371" t="s">
        <v>13</v>
      </c>
      <c r="D3371">
        <v>11</v>
      </c>
      <c r="E3371" t="s">
        <v>14</v>
      </c>
      <c r="F3371" t="s">
        <v>15</v>
      </c>
      <c r="G3371">
        <v>55.6</v>
      </c>
      <c r="H3371">
        <v>580.79999999999995</v>
      </c>
      <c r="I3371" t="s">
        <v>15</v>
      </c>
      <c r="J3371" t="s">
        <v>16</v>
      </c>
      <c r="K3371" t="s">
        <v>17</v>
      </c>
      <c r="L3371">
        <v>580.79999999999995</v>
      </c>
      <c r="M3371" t="s">
        <v>5030</v>
      </c>
      <c r="N3371" t="s">
        <v>5031</v>
      </c>
    </row>
    <row r="3372" spans="1:14" x14ac:dyDescent="0.3">
      <c r="A3372" t="s">
        <v>3396</v>
      </c>
      <c r="B3372" t="s">
        <v>12</v>
      </c>
      <c r="C3372" t="s">
        <v>13</v>
      </c>
      <c r="D3372">
        <v>53</v>
      </c>
      <c r="E3372" t="s">
        <v>14</v>
      </c>
      <c r="F3372" t="s">
        <v>15</v>
      </c>
      <c r="G3372">
        <v>48.7</v>
      </c>
      <c r="H3372">
        <v>2495.1999999999998</v>
      </c>
      <c r="I3372" t="s">
        <v>15</v>
      </c>
      <c r="J3372" t="s">
        <v>16</v>
      </c>
      <c r="K3372" t="s">
        <v>24</v>
      </c>
      <c r="L3372">
        <v>2495.1999999999998</v>
      </c>
      <c r="M3372" t="s">
        <v>5033</v>
      </c>
      <c r="N3372" t="s">
        <v>5031</v>
      </c>
    </row>
    <row r="3373" spans="1:14" x14ac:dyDescent="0.3">
      <c r="A3373" t="s">
        <v>3397</v>
      </c>
      <c r="B3373" t="s">
        <v>12</v>
      </c>
      <c r="C3373" t="s">
        <v>13</v>
      </c>
      <c r="D3373">
        <v>11</v>
      </c>
      <c r="E3373" t="s">
        <v>15</v>
      </c>
      <c r="F3373" t="s">
        <v>36</v>
      </c>
      <c r="G3373">
        <v>19.25</v>
      </c>
      <c r="H3373">
        <v>180.3</v>
      </c>
      <c r="I3373" t="s">
        <v>16</v>
      </c>
      <c r="J3373" t="s">
        <v>16</v>
      </c>
      <c r="K3373" t="s">
        <v>21</v>
      </c>
      <c r="L3373">
        <v>180.3</v>
      </c>
      <c r="M3373" t="s">
        <v>5030</v>
      </c>
      <c r="N3373" t="s">
        <v>5031</v>
      </c>
    </row>
    <row r="3374" spans="1:14" x14ac:dyDescent="0.3">
      <c r="A3374" t="s">
        <v>3398</v>
      </c>
      <c r="B3374" t="s">
        <v>19</v>
      </c>
      <c r="C3374" t="s">
        <v>13</v>
      </c>
      <c r="D3374">
        <v>57</v>
      </c>
      <c r="E3374" t="s">
        <v>26</v>
      </c>
      <c r="F3374" t="s">
        <v>16</v>
      </c>
      <c r="G3374">
        <v>104.9</v>
      </c>
      <c r="H3374">
        <v>5913.95</v>
      </c>
      <c r="I3374" t="s">
        <v>15</v>
      </c>
      <c r="J3374" t="s">
        <v>16</v>
      </c>
      <c r="K3374" t="s">
        <v>24</v>
      </c>
      <c r="L3374">
        <v>5913.95</v>
      </c>
      <c r="M3374" t="s">
        <v>5033</v>
      </c>
      <c r="N3374" t="s">
        <v>5034</v>
      </c>
    </row>
    <row r="3375" spans="1:14" x14ac:dyDescent="0.3">
      <c r="A3375" t="s">
        <v>3399</v>
      </c>
      <c r="B3375" t="s">
        <v>12</v>
      </c>
      <c r="C3375" t="s">
        <v>13</v>
      </c>
      <c r="D3375">
        <v>2</v>
      </c>
      <c r="E3375" t="s">
        <v>26</v>
      </c>
      <c r="F3375" t="s">
        <v>15</v>
      </c>
      <c r="G3375">
        <v>75.45</v>
      </c>
      <c r="H3375">
        <v>158.4</v>
      </c>
      <c r="I3375" t="s">
        <v>16</v>
      </c>
      <c r="J3375" t="s">
        <v>16</v>
      </c>
      <c r="K3375" t="s">
        <v>21</v>
      </c>
      <c r="L3375">
        <v>158.4</v>
      </c>
      <c r="M3375" t="s">
        <v>5030</v>
      </c>
      <c r="N3375" t="s">
        <v>5031</v>
      </c>
    </row>
    <row r="3376" spans="1:14" x14ac:dyDescent="0.3">
      <c r="A3376" t="s">
        <v>3400</v>
      </c>
      <c r="B3376" t="s">
        <v>12</v>
      </c>
      <c r="C3376" t="s">
        <v>13</v>
      </c>
      <c r="D3376">
        <v>2</v>
      </c>
      <c r="E3376" t="s">
        <v>14</v>
      </c>
      <c r="F3376" t="s">
        <v>15</v>
      </c>
      <c r="G3376">
        <v>54.85</v>
      </c>
      <c r="H3376">
        <v>104.2</v>
      </c>
      <c r="I3376" t="s">
        <v>16</v>
      </c>
      <c r="J3376" t="s">
        <v>15</v>
      </c>
      <c r="K3376" t="s">
        <v>21</v>
      </c>
      <c r="L3376">
        <v>104.2</v>
      </c>
      <c r="M3376" t="s">
        <v>5030</v>
      </c>
      <c r="N3376" t="s">
        <v>5031</v>
      </c>
    </row>
    <row r="3377" spans="1:14" x14ac:dyDescent="0.3">
      <c r="A3377" t="s">
        <v>3401</v>
      </c>
      <c r="B3377" t="s">
        <v>12</v>
      </c>
      <c r="C3377" t="s">
        <v>35</v>
      </c>
      <c r="D3377">
        <v>71</v>
      </c>
      <c r="E3377" t="s">
        <v>15</v>
      </c>
      <c r="F3377" t="s">
        <v>36</v>
      </c>
      <c r="G3377">
        <v>19.899999999999999</v>
      </c>
      <c r="H3377">
        <v>1389.35</v>
      </c>
      <c r="I3377" t="s">
        <v>15</v>
      </c>
      <c r="J3377" t="s">
        <v>15</v>
      </c>
      <c r="K3377" t="s">
        <v>24</v>
      </c>
      <c r="L3377">
        <v>1389.35</v>
      </c>
      <c r="M3377" t="s">
        <v>5033</v>
      </c>
      <c r="N3377" t="s">
        <v>5031</v>
      </c>
    </row>
    <row r="3378" spans="1:14" x14ac:dyDescent="0.3">
      <c r="A3378" t="s">
        <v>3402</v>
      </c>
      <c r="B3378" t="s">
        <v>12</v>
      </c>
      <c r="C3378" t="s">
        <v>13</v>
      </c>
      <c r="D3378">
        <v>1</v>
      </c>
      <c r="E3378" t="s">
        <v>15</v>
      </c>
      <c r="F3378" t="s">
        <v>36</v>
      </c>
      <c r="G3378">
        <v>19.399999999999999</v>
      </c>
      <c r="H3378">
        <v>19.399999999999999</v>
      </c>
      <c r="I3378" t="s">
        <v>15</v>
      </c>
      <c r="J3378" t="s">
        <v>16</v>
      </c>
      <c r="K3378" t="s">
        <v>21</v>
      </c>
      <c r="L3378">
        <v>19.399999999999999</v>
      </c>
      <c r="M3378" t="s">
        <v>5030</v>
      </c>
      <c r="N3378" t="s">
        <v>5031</v>
      </c>
    </row>
    <row r="3379" spans="1:14" x14ac:dyDescent="0.3">
      <c r="A3379" t="s">
        <v>3403</v>
      </c>
      <c r="B3379" t="s">
        <v>19</v>
      </c>
      <c r="C3379" t="s">
        <v>35</v>
      </c>
      <c r="D3379">
        <v>68</v>
      </c>
      <c r="E3379" t="s">
        <v>15</v>
      </c>
      <c r="F3379" t="s">
        <v>36</v>
      </c>
      <c r="G3379">
        <v>25.05</v>
      </c>
      <c r="H3379">
        <v>1629.2</v>
      </c>
      <c r="I3379" t="s">
        <v>15</v>
      </c>
      <c r="J3379" t="s">
        <v>15</v>
      </c>
      <c r="K3379" t="s">
        <v>29</v>
      </c>
      <c r="L3379">
        <v>1629.2</v>
      </c>
      <c r="M3379" t="s">
        <v>5033</v>
      </c>
      <c r="N3379" t="s">
        <v>5031</v>
      </c>
    </row>
    <row r="3380" spans="1:14" x14ac:dyDescent="0.3">
      <c r="A3380" t="s">
        <v>3404</v>
      </c>
      <c r="B3380" t="s">
        <v>19</v>
      </c>
      <c r="C3380" t="s">
        <v>35</v>
      </c>
      <c r="D3380">
        <v>72</v>
      </c>
      <c r="E3380" t="s">
        <v>14</v>
      </c>
      <c r="F3380" t="s">
        <v>16</v>
      </c>
      <c r="G3380">
        <v>84.45</v>
      </c>
      <c r="H3380">
        <v>6033.1</v>
      </c>
      <c r="I3380" t="s">
        <v>15</v>
      </c>
      <c r="J3380" t="s">
        <v>15</v>
      </c>
      <c r="K3380" t="s">
        <v>21</v>
      </c>
      <c r="L3380">
        <v>6033.1</v>
      </c>
      <c r="M3380" t="s">
        <v>5033</v>
      </c>
      <c r="N3380" t="s">
        <v>5034</v>
      </c>
    </row>
    <row r="3381" spans="1:14" x14ac:dyDescent="0.3">
      <c r="A3381" t="s">
        <v>3405</v>
      </c>
      <c r="B3381" t="s">
        <v>12</v>
      </c>
      <c r="C3381" t="s">
        <v>13</v>
      </c>
      <c r="D3381">
        <v>2</v>
      </c>
      <c r="E3381" t="s">
        <v>15</v>
      </c>
      <c r="F3381" t="s">
        <v>36</v>
      </c>
      <c r="G3381">
        <v>19.3</v>
      </c>
      <c r="H3381">
        <v>44.4</v>
      </c>
      <c r="I3381" t="s">
        <v>15</v>
      </c>
      <c r="J3381" t="s">
        <v>15</v>
      </c>
      <c r="K3381" t="s">
        <v>21</v>
      </c>
      <c r="L3381">
        <v>44.4</v>
      </c>
      <c r="M3381" t="s">
        <v>5030</v>
      </c>
      <c r="N3381" t="s">
        <v>5031</v>
      </c>
    </row>
    <row r="3382" spans="1:14" x14ac:dyDescent="0.3">
      <c r="A3382" t="s">
        <v>3406</v>
      </c>
      <c r="B3382" t="s">
        <v>19</v>
      </c>
      <c r="C3382" t="s">
        <v>13</v>
      </c>
      <c r="D3382">
        <v>1</v>
      </c>
      <c r="E3382" t="s">
        <v>26</v>
      </c>
      <c r="F3382" t="s">
        <v>15</v>
      </c>
      <c r="G3382">
        <v>95.1</v>
      </c>
      <c r="H3382">
        <v>95.1</v>
      </c>
      <c r="I3382" t="s">
        <v>16</v>
      </c>
      <c r="J3382" t="s">
        <v>16</v>
      </c>
      <c r="K3382" t="s">
        <v>17</v>
      </c>
      <c r="L3382">
        <v>95.1</v>
      </c>
      <c r="M3382" t="s">
        <v>5030</v>
      </c>
      <c r="N3382" t="s">
        <v>5031</v>
      </c>
    </row>
    <row r="3383" spans="1:14" x14ac:dyDescent="0.3">
      <c r="A3383" t="s">
        <v>3407</v>
      </c>
      <c r="B3383" t="s">
        <v>12</v>
      </c>
      <c r="C3383" t="s">
        <v>20</v>
      </c>
      <c r="D3383">
        <v>41</v>
      </c>
      <c r="E3383" t="s">
        <v>14</v>
      </c>
      <c r="F3383" t="s">
        <v>16</v>
      </c>
      <c r="G3383">
        <v>79.849999999999994</v>
      </c>
      <c r="H3383">
        <v>3320.75</v>
      </c>
      <c r="I3383" t="s">
        <v>15</v>
      </c>
      <c r="J3383" t="s">
        <v>16</v>
      </c>
      <c r="K3383" t="s">
        <v>24</v>
      </c>
      <c r="L3383">
        <v>3320.75</v>
      </c>
      <c r="M3383" t="s">
        <v>5033</v>
      </c>
      <c r="N3383" t="s">
        <v>5034</v>
      </c>
    </row>
    <row r="3384" spans="1:14" x14ac:dyDescent="0.3">
      <c r="A3384" t="s">
        <v>3408</v>
      </c>
      <c r="B3384" t="s">
        <v>19</v>
      </c>
      <c r="C3384" t="s">
        <v>35</v>
      </c>
      <c r="D3384">
        <v>72</v>
      </c>
      <c r="E3384" t="s">
        <v>15</v>
      </c>
      <c r="F3384" t="s">
        <v>36</v>
      </c>
      <c r="G3384">
        <v>25.55</v>
      </c>
      <c r="H3384">
        <v>1867.7</v>
      </c>
      <c r="I3384" t="s">
        <v>15</v>
      </c>
      <c r="J3384" t="s">
        <v>15</v>
      </c>
      <c r="K3384" t="s">
        <v>29</v>
      </c>
      <c r="L3384">
        <v>1867.7</v>
      </c>
      <c r="M3384" t="s">
        <v>5033</v>
      </c>
      <c r="N3384" t="s">
        <v>5031</v>
      </c>
    </row>
    <row r="3385" spans="1:14" x14ac:dyDescent="0.3">
      <c r="A3385" t="s">
        <v>3409</v>
      </c>
      <c r="B3385" t="s">
        <v>19</v>
      </c>
      <c r="C3385" t="s">
        <v>13</v>
      </c>
      <c r="D3385">
        <v>6</v>
      </c>
      <c r="E3385" t="s">
        <v>26</v>
      </c>
      <c r="F3385" t="s">
        <v>15</v>
      </c>
      <c r="G3385">
        <v>75.5</v>
      </c>
      <c r="H3385">
        <v>438</v>
      </c>
      <c r="I3385" t="s">
        <v>16</v>
      </c>
      <c r="J3385" t="s">
        <v>16</v>
      </c>
      <c r="K3385" t="s">
        <v>17</v>
      </c>
      <c r="L3385">
        <v>438</v>
      </c>
      <c r="M3385" t="s">
        <v>5030</v>
      </c>
      <c r="N3385" t="s">
        <v>5031</v>
      </c>
    </row>
    <row r="3386" spans="1:14" x14ac:dyDescent="0.3">
      <c r="A3386" t="s">
        <v>3410</v>
      </c>
      <c r="B3386" t="s">
        <v>12</v>
      </c>
      <c r="C3386" t="s">
        <v>13</v>
      </c>
      <c r="D3386">
        <v>4</v>
      </c>
      <c r="E3386" t="s">
        <v>26</v>
      </c>
      <c r="F3386" t="s">
        <v>15</v>
      </c>
      <c r="G3386">
        <v>73.75</v>
      </c>
      <c r="H3386">
        <v>325.45</v>
      </c>
      <c r="I3386" t="s">
        <v>16</v>
      </c>
      <c r="J3386" t="s">
        <v>16</v>
      </c>
      <c r="K3386" t="s">
        <v>17</v>
      </c>
      <c r="L3386">
        <v>325.45</v>
      </c>
      <c r="M3386" t="s">
        <v>5030</v>
      </c>
      <c r="N3386" t="s">
        <v>5031</v>
      </c>
    </row>
    <row r="3387" spans="1:14" x14ac:dyDescent="0.3">
      <c r="A3387" t="s">
        <v>3411</v>
      </c>
      <c r="B3387" t="s">
        <v>19</v>
      </c>
      <c r="C3387" t="s">
        <v>13</v>
      </c>
      <c r="D3387">
        <v>12</v>
      </c>
      <c r="E3387" t="s">
        <v>26</v>
      </c>
      <c r="F3387" t="s">
        <v>15</v>
      </c>
      <c r="G3387">
        <v>96.05</v>
      </c>
      <c r="H3387">
        <v>1148.0999999999999</v>
      </c>
      <c r="I3387" t="s">
        <v>16</v>
      </c>
      <c r="J3387" t="s">
        <v>16</v>
      </c>
      <c r="K3387" t="s">
        <v>17</v>
      </c>
      <c r="L3387">
        <v>1148.0999999999999</v>
      </c>
      <c r="M3387" t="s">
        <v>5030</v>
      </c>
      <c r="N3387" t="s">
        <v>5031</v>
      </c>
    </row>
    <row r="3388" spans="1:14" x14ac:dyDescent="0.3">
      <c r="A3388" t="s">
        <v>3412</v>
      </c>
      <c r="B3388" t="s">
        <v>12</v>
      </c>
      <c r="C3388" t="s">
        <v>20</v>
      </c>
      <c r="D3388">
        <v>58</v>
      </c>
      <c r="E3388" t="s">
        <v>14</v>
      </c>
      <c r="F3388" t="s">
        <v>16</v>
      </c>
      <c r="G3388">
        <v>68.400000000000006</v>
      </c>
      <c r="H3388">
        <v>3972.25</v>
      </c>
      <c r="I3388" t="s">
        <v>15</v>
      </c>
      <c r="J3388" t="s">
        <v>16</v>
      </c>
      <c r="K3388" t="s">
        <v>17</v>
      </c>
      <c r="L3388">
        <v>3972.25</v>
      </c>
      <c r="M3388" t="s">
        <v>5033</v>
      </c>
      <c r="N3388" t="s">
        <v>5034</v>
      </c>
    </row>
    <row r="3389" spans="1:14" x14ac:dyDescent="0.3">
      <c r="A3389" t="s">
        <v>3413</v>
      </c>
      <c r="B3389" t="s">
        <v>12</v>
      </c>
      <c r="C3389" t="s">
        <v>13</v>
      </c>
      <c r="D3389">
        <v>7</v>
      </c>
      <c r="E3389" t="s">
        <v>15</v>
      </c>
      <c r="F3389" t="s">
        <v>36</v>
      </c>
      <c r="G3389">
        <v>20.65</v>
      </c>
      <c r="H3389">
        <v>155.9</v>
      </c>
      <c r="I3389" t="s">
        <v>15</v>
      </c>
      <c r="J3389" t="s">
        <v>15</v>
      </c>
      <c r="K3389" t="s">
        <v>21</v>
      </c>
      <c r="L3389">
        <v>155.9</v>
      </c>
      <c r="M3389" t="s">
        <v>5030</v>
      </c>
      <c r="N3389" t="s">
        <v>5031</v>
      </c>
    </row>
    <row r="3390" spans="1:14" x14ac:dyDescent="0.3">
      <c r="A3390" t="s">
        <v>3414</v>
      </c>
      <c r="B3390" t="s">
        <v>12</v>
      </c>
      <c r="C3390" t="s">
        <v>13</v>
      </c>
      <c r="D3390">
        <v>65</v>
      </c>
      <c r="E3390" t="s">
        <v>14</v>
      </c>
      <c r="F3390" t="s">
        <v>15</v>
      </c>
      <c r="G3390">
        <v>55.15</v>
      </c>
      <c r="H3390">
        <v>3673.15</v>
      </c>
      <c r="I3390" t="s">
        <v>15</v>
      </c>
      <c r="J3390" t="s">
        <v>16</v>
      </c>
      <c r="K3390" t="s">
        <v>21</v>
      </c>
      <c r="L3390">
        <v>3673.15</v>
      </c>
      <c r="M3390" t="s">
        <v>5033</v>
      </c>
      <c r="N3390" t="s">
        <v>5034</v>
      </c>
    </row>
    <row r="3391" spans="1:14" x14ac:dyDescent="0.3">
      <c r="A3391" t="s">
        <v>3415</v>
      </c>
      <c r="B3391" t="s">
        <v>19</v>
      </c>
      <c r="C3391" t="s">
        <v>13</v>
      </c>
      <c r="D3391">
        <v>1</v>
      </c>
      <c r="E3391" t="s">
        <v>26</v>
      </c>
      <c r="F3391" t="s">
        <v>15</v>
      </c>
      <c r="G3391">
        <v>70.599999999999994</v>
      </c>
      <c r="H3391">
        <v>70.599999999999994</v>
      </c>
      <c r="I3391" t="s">
        <v>15</v>
      </c>
      <c r="J3391" t="s">
        <v>16</v>
      </c>
      <c r="K3391" t="s">
        <v>21</v>
      </c>
      <c r="L3391">
        <v>70.599999999999994</v>
      </c>
      <c r="M3391" t="s">
        <v>5030</v>
      </c>
      <c r="N3391" t="s">
        <v>5031</v>
      </c>
    </row>
    <row r="3392" spans="1:14" x14ac:dyDescent="0.3">
      <c r="A3392" t="s">
        <v>3416</v>
      </c>
      <c r="B3392" t="s">
        <v>19</v>
      </c>
      <c r="C3392" t="s">
        <v>20</v>
      </c>
      <c r="D3392">
        <v>56</v>
      </c>
      <c r="E3392" t="s">
        <v>15</v>
      </c>
      <c r="F3392" t="s">
        <v>36</v>
      </c>
      <c r="G3392">
        <v>19.95</v>
      </c>
      <c r="H3392">
        <v>1126.75</v>
      </c>
      <c r="I3392" t="s">
        <v>15</v>
      </c>
      <c r="J3392" t="s">
        <v>15</v>
      </c>
      <c r="K3392" t="s">
        <v>29</v>
      </c>
      <c r="L3392">
        <v>1126.75</v>
      </c>
      <c r="M3392" t="s">
        <v>5033</v>
      </c>
      <c r="N3392" t="s">
        <v>5031</v>
      </c>
    </row>
    <row r="3393" spans="1:14" x14ac:dyDescent="0.3">
      <c r="A3393" t="s">
        <v>3417</v>
      </c>
      <c r="B3393" t="s">
        <v>19</v>
      </c>
      <c r="C3393" t="s">
        <v>13</v>
      </c>
      <c r="D3393">
        <v>4</v>
      </c>
      <c r="E3393" t="s">
        <v>15</v>
      </c>
      <c r="F3393" t="s">
        <v>36</v>
      </c>
      <c r="G3393">
        <v>19</v>
      </c>
      <c r="H3393">
        <v>73.45</v>
      </c>
      <c r="I3393" t="s">
        <v>15</v>
      </c>
      <c r="J3393" t="s">
        <v>15</v>
      </c>
      <c r="K3393" t="s">
        <v>21</v>
      </c>
      <c r="L3393">
        <v>73.45</v>
      </c>
      <c r="M3393" t="s">
        <v>5030</v>
      </c>
      <c r="N3393" t="s">
        <v>5031</v>
      </c>
    </row>
    <row r="3394" spans="1:14" x14ac:dyDescent="0.3">
      <c r="A3394" t="s">
        <v>3418</v>
      </c>
      <c r="B3394" t="s">
        <v>12</v>
      </c>
      <c r="C3394" t="s">
        <v>20</v>
      </c>
      <c r="D3394">
        <v>58</v>
      </c>
      <c r="E3394" t="s">
        <v>14</v>
      </c>
      <c r="F3394" t="s">
        <v>15</v>
      </c>
      <c r="G3394">
        <v>44.1</v>
      </c>
      <c r="H3394">
        <v>2413.0500000000002</v>
      </c>
      <c r="I3394" t="s">
        <v>15</v>
      </c>
      <c r="J3394" t="s">
        <v>16</v>
      </c>
      <c r="K3394" t="s">
        <v>21</v>
      </c>
      <c r="L3394">
        <v>2413.0500000000002</v>
      </c>
      <c r="M3394" t="s">
        <v>5033</v>
      </c>
      <c r="N3394" t="s">
        <v>5031</v>
      </c>
    </row>
    <row r="3395" spans="1:14" x14ac:dyDescent="0.3">
      <c r="A3395" t="s">
        <v>3419</v>
      </c>
      <c r="B3395" t="s">
        <v>19</v>
      </c>
      <c r="C3395" t="s">
        <v>35</v>
      </c>
      <c r="D3395">
        <v>62</v>
      </c>
      <c r="E3395" t="s">
        <v>26</v>
      </c>
      <c r="F3395" t="s">
        <v>16</v>
      </c>
      <c r="G3395">
        <v>107.6</v>
      </c>
      <c r="H3395">
        <v>6912.7</v>
      </c>
      <c r="I3395" t="s">
        <v>15</v>
      </c>
      <c r="J3395" t="s">
        <v>16</v>
      </c>
      <c r="K3395" t="s">
        <v>24</v>
      </c>
      <c r="L3395">
        <v>6912.7</v>
      </c>
      <c r="M3395" t="s">
        <v>5033</v>
      </c>
      <c r="N3395" t="s">
        <v>5034</v>
      </c>
    </row>
    <row r="3396" spans="1:14" x14ac:dyDescent="0.3">
      <c r="A3396" t="s">
        <v>3420</v>
      </c>
      <c r="B3396" t="s">
        <v>19</v>
      </c>
      <c r="C3396" t="s">
        <v>20</v>
      </c>
      <c r="D3396">
        <v>26</v>
      </c>
      <c r="E3396" t="s">
        <v>14</v>
      </c>
      <c r="F3396" t="s">
        <v>15</v>
      </c>
      <c r="G3396">
        <v>61.55</v>
      </c>
      <c r="H3396">
        <v>1581.95</v>
      </c>
      <c r="I3396" t="s">
        <v>15</v>
      </c>
      <c r="J3396" t="s">
        <v>15</v>
      </c>
      <c r="K3396" t="s">
        <v>17</v>
      </c>
      <c r="L3396">
        <v>1581.95</v>
      </c>
      <c r="M3396" t="s">
        <v>5032</v>
      </c>
      <c r="N3396" t="s">
        <v>5031</v>
      </c>
    </row>
    <row r="3397" spans="1:14" x14ac:dyDescent="0.3">
      <c r="A3397" t="s">
        <v>3421</v>
      </c>
      <c r="B3397" t="s">
        <v>19</v>
      </c>
      <c r="C3397" t="s">
        <v>13</v>
      </c>
      <c r="D3397">
        <v>62</v>
      </c>
      <c r="E3397" t="s">
        <v>26</v>
      </c>
      <c r="F3397" t="s">
        <v>15</v>
      </c>
      <c r="G3397">
        <v>90.7</v>
      </c>
      <c r="H3397">
        <v>5586.45</v>
      </c>
      <c r="I3397" t="s">
        <v>15</v>
      </c>
      <c r="J3397" t="s">
        <v>15</v>
      </c>
      <c r="K3397" t="s">
        <v>24</v>
      </c>
      <c r="L3397">
        <v>5586.45</v>
      </c>
      <c r="M3397" t="s">
        <v>5033</v>
      </c>
      <c r="N3397" t="s">
        <v>5034</v>
      </c>
    </row>
    <row r="3398" spans="1:14" x14ac:dyDescent="0.3">
      <c r="A3398" t="s">
        <v>3422</v>
      </c>
      <c r="B3398" t="s">
        <v>12</v>
      </c>
      <c r="C3398" t="s">
        <v>20</v>
      </c>
      <c r="D3398">
        <v>58</v>
      </c>
      <c r="E3398" t="s">
        <v>26</v>
      </c>
      <c r="F3398" t="s">
        <v>15</v>
      </c>
      <c r="G3398">
        <v>99.25</v>
      </c>
      <c r="H3398">
        <v>5846.65</v>
      </c>
      <c r="I3398" t="s">
        <v>15</v>
      </c>
      <c r="J3398" t="s">
        <v>15</v>
      </c>
      <c r="K3398" t="s">
        <v>29</v>
      </c>
      <c r="L3398">
        <v>5846.65</v>
      </c>
      <c r="M3398" t="s">
        <v>5033</v>
      </c>
      <c r="N3398" t="s">
        <v>5034</v>
      </c>
    </row>
    <row r="3399" spans="1:14" x14ac:dyDescent="0.3">
      <c r="A3399" t="s">
        <v>3423</v>
      </c>
      <c r="B3399" t="s">
        <v>12</v>
      </c>
      <c r="C3399" t="s">
        <v>35</v>
      </c>
      <c r="D3399">
        <v>68</v>
      </c>
      <c r="E3399" t="s">
        <v>14</v>
      </c>
      <c r="F3399" t="s">
        <v>16</v>
      </c>
      <c r="G3399">
        <v>91.7</v>
      </c>
      <c r="H3399">
        <v>6424.7</v>
      </c>
      <c r="I3399" t="s">
        <v>15</v>
      </c>
      <c r="J3399" t="s">
        <v>16</v>
      </c>
      <c r="K3399" t="s">
        <v>17</v>
      </c>
      <c r="L3399">
        <v>6424.7</v>
      </c>
      <c r="M3399" t="s">
        <v>5033</v>
      </c>
      <c r="N3399" t="s">
        <v>5034</v>
      </c>
    </row>
    <row r="3400" spans="1:14" x14ac:dyDescent="0.3">
      <c r="A3400" t="s">
        <v>3424</v>
      </c>
      <c r="B3400" t="s">
        <v>12</v>
      </c>
      <c r="C3400" t="s">
        <v>20</v>
      </c>
      <c r="D3400">
        <v>61</v>
      </c>
      <c r="E3400" t="s">
        <v>26</v>
      </c>
      <c r="F3400" t="s">
        <v>15</v>
      </c>
      <c r="G3400">
        <v>100.7</v>
      </c>
      <c r="H3400">
        <v>6018.65</v>
      </c>
      <c r="I3400" t="s">
        <v>15</v>
      </c>
      <c r="J3400" t="s">
        <v>16</v>
      </c>
      <c r="K3400" t="s">
        <v>29</v>
      </c>
      <c r="L3400">
        <v>6018.65</v>
      </c>
      <c r="M3400" t="s">
        <v>5033</v>
      </c>
      <c r="N3400" t="s">
        <v>5034</v>
      </c>
    </row>
    <row r="3401" spans="1:14" x14ac:dyDescent="0.3">
      <c r="A3401" t="s">
        <v>3425</v>
      </c>
      <c r="B3401" t="s">
        <v>12</v>
      </c>
      <c r="C3401" t="s">
        <v>35</v>
      </c>
      <c r="D3401">
        <v>42</v>
      </c>
      <c r="E3401" t="s">
        <v>14</v>
      </c>
      <c r="F3401" t="s">
        <v>16</v>
      </c>
      <c r="G3401">
        <v>78.45</v>
      </c>
      <c r="H3401">
        <v>3373.4</v>
      </c>
      <c r="I3401" t="s">
        <v>15</v>
      </c>
      <c r="J3401" t="s">
        <v>16</v>
      </c>
      <c r="K3401" t="s">
        <v>29</v>
      </c>
      <c r="L3401">
        <v>3373.4</v>
      </c>
      <c r="M3401" t="s">
        <v>5033</v>
      </c>
      <c r="N3401" t="s">
        <v>5034</v>
      </c>
    </row>
    <row r="3402" spans="1:14" x14ac:dyDescent="0.3">
      <c r="A3402" t="s">
        <v>3426</v>
      </c>
      <c r="B3402" t="s">
        <v>19</v>
      </c>
      <c r="C3402" t="s">
        <v>13</v>
      </c>
      <c r="D3402">
        <v>18</v>
      </c>
      <c r="E3402" t="s">
        <v>26</v>
      </c>
      <c r="F3402" t="s">
        <v>15</v>
      </c>
      <c r="G3402">
        <v>84.3</v>
      </c>
      <c r="H3402">
        <v>1537.9</v>
      </c>
      <c r="I3402" t="s">
        <v>15</v>
      </c>
      <c r="J3402" t="s">
        <v>15</v>
      </c>
      <c r="K3402" t="s">
        <v>24</v>
      </c>
      <c r="L3402">
        <v>1537.9</v>
      </c>
      <c r="M3402" t="s">
        <v>5032</v>
      </c>
      <c r="N3402" t="s">
        <v>5031</v>
      </c>
    </row>
    <row r="3403" spans="1:14" x14ac:dyDescent="0.3">
      <c r="A3403" t="s">
        <v>3427</v>
      </c>
      <c r="B3403" t="s">
        <v>12</v>
      </c>
      <c r="C3403" t="s">
        <v>35</v>
      </c>
      <c r="D3403">
        <v>56</v>
      </c>
      <c r="E3403" t="s">
        <v>15</v>
      </c>
      <c r="F3403" t="s">
        <v>36</v>
      </c>
      <c r="G3403">
        <v>19.55</v>
      </c>
      <c r="H3403">
        <v>1080.55</v>
      </c>
      <c r="I3403" t="s">
        <v>15</v>
      </c>
      <c r="J3403" t="s">
        <v>16</v>
      </c>
      <c r="K3403" t="s">
        <v>24</v>
      </c>
      <c r="L3403">
        <v>1080.55</v>
      </c>
      <c r="M3403" t="s">
        <v>5033</v>
      </c>
      <c r="N3403" t="s">
        <v>5031</v>
      </c>
    </row>
    <row r="3404" spans="1:14" x14ac:dyDescent="0.3">
      <c r="A3404" t="s">
        <v>3428</v>
      </c>
      <c r="B3404" t="s">
        <v>12</v>
      </c>
      <c r="C3404" t="s">
        <v>13</v>
      </c>
      <c r="D3404">
        <v>4</v>
      </c>
      <c r="E3404" t="s">
        <v>26</v>
      </c>
      <c r="F3404" t="s">
        <v>15</v>
      </c>
      <c r="G3404">
        <v>88.95</v>
      </c>
      <c r="H3404">
        <v>355.2</v>
      </c>
      <c r="I3404" t="s">
        <v>16</v>
      </c>
      <c r="J3404" t="s">
        <v>16</v>
      </c>
      <c r="K3404" t="s">
        <v>17</v>
      </c>
      <c r="L3404">
        <v>355.2</v>
      </c>
      <c r="M3404" t="s">
        <v>5030</v>
      </c>
      <c r="N3404" t="s">
        <v>5031</v>
      </c>
    </row>
    <row r="3405" spans="1:14" x14ac:dyDescent="0.3">
      <c r="A3405" t="s">
        <v>3429</v>
      </c>
      <c r="B3405" t="s">
        <v>12</v>
      </c>
      <c r="C3405" t="s">
        <v>13</v>
      </c>
      <c r="D3405">
        <v>4</v>
      </c>
      <c r="E3405" t="s">
        <v>15</v>
      </c>
      <c r="F3405" t="s">
        <v>36</v>
      </c>
      <c r="G3405">
        <v>20.45</v>
      </c>
      <c r="H3405">
        <v>82.85</v>
      </c>
      <c r="I3405" t="s">
        <v>15</v>
      </c>
      <c r="J3405" t="s">
        <v>15</v>
      </c>
      <c r="K3405" t="s">
        <v>29</v>
      </c>
      <c r="L3405">
        <v>82.85</v>
      </c>
      <c r="M3405" t="s">
        <v>5030</v>
      </c>
      <c r="N3405" t="s">
        <v>5031</v>
      </c>
    </row>
    <row r="3406" spans="1:14" x14ac:dyDescent="0.3">
      <c r="A3406" t="s">
        <v>3430</v>
      </c>
      <c r="B3406" t="s">
        <v>12</v>
      </c>
      <c r="C3406" t="s">
        <v>20</v>
      </c>
      <c r="D3406">
        <v>35</v>
      </c>
      <c r="E3406" t="s">
        <v>14</v>
      </c>
      <c r="F3406" t="s">
        <v>15</v>
      </c>
      <c r="G3406">
        <v>55.6</v>
      </c>
      <c r="H3406">
        <v>2016.45</v>
      </c>
      <c r="I3406" t="s">
        <v>15</v>
      </c>
      <c r="J3406" t="s">
        <v>15</v>
      </c>
      <c r="K3406" t="s">
        <v>29</v>
      </c>
      <c r="L3406">
        <v>2016.45</v>
      </c>
      <c r="M3406" t="s">
        <v>5032</v>
      </c>
      <c r="N3406" t="s">
        <v>5031</v>
      </c>
    </row>
    <row r="3407" spans="1:14" x14ac:dyDescent="0.3">
      <c r="A3407" t="s">
        <v>3431</v>
      </c>
      <c r="B3407" t="s">
        <v>12</v>
      </c>
      <c r="C3407" t="s">
        <v>13</v>
      </c>
      <c r="D3407">
        <v>64</v>
      </c>
      <c r="E3407" t="s">
        <v>26</v>
      </c>
      <c r="F3407" t="s">
        <v>16</v>
      </c>
      <c r="G3407">
        <v>86.8</v>
      </c>
      <c r="H3407">
        <v>5327.25</v>
      </c>
      <c r="I3407" t="s">
        <v>15</v>
      </c>
      <c r="J3407" t="s">
        <v>16</v>
      </c>
      <c r="K3407" t="s">
        <v>24</v>
      </c>
      <c r="L3407">
        <v>5327.25</v>
      </c>
      <c r="M3407" t="s">
        <v>5033</v>
      </c>
      <c r="N3407" t="s">
        <v>5034</v>
      </c>
    </row>
    <row r="3408" spans="1:14" x14ac:dyDescent="0.3">
      <c r="A3408" t="s">
        <v>3432</v>
      </c>
      <c r="B3408" t="s">
        <v>12</v>
      </c>
      <c r="C3408" t="s">
        <v>20</v>
      </c>
      <c r="D3408">
        <v>31</v>
      </c>
      <c r="E3408" t="s">
        <v>15</v>
      </c>
      <c r="F3408" t="s">
        <v>36</v>
      </c>
      <c r="G3408">
        <v>20.95</v>
      </c>
      <c r="H3408">
        <v>683.25</v>
      </c>
      <c r="I3408" t="s">
        <v>15</v>
      </c>
      <c r="J3408" t="s">
        <v>15</v>
      </c>
      <c r="K3408" t="s">
        <v>21</v>
      </c>
      <c r="L3408">
        <v>683.25</v>
      </c>
      <c r="M3408" t="s">
        <v>5032</v>
      </c>
      <c r="N3408" t="s">
        <v>5031</v>
      </c>
    </row>
    <row r="3409" spans="1:14" x14ac:dyDescent="0.3">
      <c r="A3409" t="s">
        <v>3433</v>
      </c>
      <c r="B3409" t="s">
        <v>12</v>
      </c>
      <c r="C3409" t="s">
        <v>35</v>
      </c>
      <c r="D3409">
        <v>67</v>
      </c>
      <c r="E3409" t="s">
        <v>15</v>
      </c>
      <c r="F3409" t="s">
        <v>36</v>
      </c>
      <c r="G3409">
        <v>20.05</v>
      </c>
      <c r="H3409">
        <v>1263.05</v>
      </c>
      <c r="I3409" t="s">
        <v>15</v>
      </c>
      <c r="J3409" t="s">
        <v>16</v>
      </c>
      <c r="K3409" t="s">
        <v>24</v>
      </c>
      <c r="L3409">
        <v>1263.05</v>
      </c>
      <c r="M3409" t="s">
        <v>5033</v>
      </c>
      <c r="N3409" t="s">
        <v>5031</v>
      </c>
    </row>
    <row r="3410" spans="1:14" x14ac:dyDescent="0.3">
      <c r="A3410" t="s">
        <v>3434</v>
      </c>
      <c r="B3410" t="s">
        <v>12</v>
      </c>
      <c r="C3410" t="s">
        <v>13</v>
      </c>
      <c r="D3410">
        <v>4</v>
      </c>
      <c r="E3410" t="s">
        <v>14</v>
      </c>
      <c r="F3410" t="s">
        <v>15</v>
      </c>
      <c r="G3410">
        <v>50.7</v>
      </c>
      <c r="H3410">
        <v>151.30000000000001</v>
      </c>
      <c r="I3410" t="s">
        <v>16</v>
      </c>
      <c r="J3410" t="s">
        <v>15</v>
      </c>
      <c r="K3410" t="s">
        <v>29</v>
      </c>
      <c r="L3410">
        <v>151.30000000000001</v>
      </c>
      <c r="M3410" t="s">
        <v>5030</v>
      </c>
      <c r="N3410" t="s">
        <v>5031</v>
      </c>
    </row>
    <row r="3411" spans="1:14" x14ac:dyDescent="0.3">
      <c r="A3411" t="s">
        <v>3435</v>
      </c>
      <c r="B3411" t="s">
        <v>12</v>
      </c>
      <c r="C3411" t="s">
        <v>35</v>
      </c>
      <c r="D3411">
        <v>70</v>
      </c>
      <c r="E3411" t="s">
        <v>26</v>
      </c>
      <c r="F3411" t="s">
        <v>16</v>
      </c>
      <c r="G3411">
        <v>113.65</v>
      </c>
      <c r="H3411">
        <v>7714.65</v>
      </c>
      <c r="I3411" t="s">
        <v>15</v>
      </c>
      <c r="J3411" t="s">
        <v>16</v>
      </c>
      <c r="K3411" t="s">
        <v>17</v>
      </c>
      <c r="L3411">
        <v>7714.65</v>
      </c>
      <c r="M3411" t="s">
        <v>5033</v>
      </c>
      <c r="N3411" t="s">
        <v>5034</v>
      </c>
    </row>
    <row r="3412" spans="1:14" x14ac:dyDescent="0.3">
      <c r="A3412" t="s">
        <v>3436</v>
      </c>
      <c r="B3412" t="s">
        <v>19</v>
      </c>
      <c r="C3412" t="s">
        <v>13</v>
      </c>
      <c r="D3412">
        <v>3</v>
      </c>
      <c r="E3412" t="s">
        <v>14</v>
      </c>
      <c r="F3412" t="s">
        <v>15</v>
      </c>
      <c r="G3412">
        <v>53.4</v>
      </c>
      <c r="H3412">
        <v>188.7</v>
      </c>
      <c r="I3412" t="s">
        <v>16</v>
      </c>
      <c r="J3412" t="s">
        <v>15</v>
      </c>
      <c r="K3412" t="s">
        <v>29</v>
      </c>
      <c r="L3412">
        <v>188.7</v>
      </c>
      <c r="M3412" t="s">
        <v>5030</v>
      </c>
      <c r="N3412" t="s">
        <v>5031</v>
      </c>
    </row>
    <row r="3413" spans="1:14" x14ac:dyDescent="0.3">
      <c r="A3413" t="s">
        <v>3437</v>
      </c>
      <c r="B3413" t="s">
        <v>19</v>
      </c>
      <c r="C3413" t="s">
        <v>13</v>
      </c>
      <c r="D3413">
        <v>53</v>
      </c>
      <c r="E3413" t="s">
        <v>26</v>
      </c>
      <c r="F3413" t="s">
        <v>15</v>
      </c>
      <c r="G3413">
        <v>101.9</v>
      </c>
      <c r="H3413">
        <v>5549.4</v>
      </c>
      <c r="I3413" t="s">
        <v>16</v>
      </c>
      <c r="J3413" t="s">
        <v>16</v>
      </c>
      <c r="K3413" t="s">
        <v>17</v>
      </c>
      <c r="L3413">
        <v>5549.4</v>
      </c>
      <c r="M3413" t="s">
        <v>5033</v>
      </c>
      <c r="N3413" t="s">
        <v>5034</v>
      </c>
    </row>
    <row r="3414" spans="1:14" x14ac:dyDescent="0.3">
      <c r="A3414" t="s">
        <v>3438</v>
      </c>
      <c r="B3414" t="s">
        <v>19</v>
      </c>
      <c r="C3414" t="s">
        <v>35</v>
      </c>
      <c r="D3414">
        <v>2</v>
      </c>
      <c r="E3414" t="s">
        <v>14</v>
      </c>
      <c r="F3414" t="s">
        <v>16</v>
      </c>
      <c r="G3414">
        <v>59.5</v>
      </c>
      <c r="H3414">
        <v>130.5</v>
      </c>
      <c r="I3414" t="s">
        <v>15</v>
      </c>
      <c r="J3414" t="s">
        <v>15</v>
      </c>
      <c r="K3414" t="s">
        <v>21</v>
      </c>
      <c r="L3414">
        <v>130.5</v>
      </c>
      <c r="M3414" t="s">
        <v>5030</v>
      </c>
      <c r="N3414" t="s">
        <v>5031</v>
      </c>
    </row>
    <row r="3415" spans="1:14" x14ac:dyDescent="0.3">
      <c r="A3415" t="s">
        <v>3439</v>
      </c>
      <c r="B3415" t="s">
        <v>12</v>
      </c>
      <c r="C3415" t="s">
        <v>13</v>
      </c>
      <c r="D3415">
        <v>29</v>
      </c>
      <c r="E3415" t="s">
        <v>26</v>
      </c>
      <c r="F3415" t="s">
        <v>15</v>
      </c>
      <c r="G3415">
        <v>87.8</v>
      </c>
      <c r="H3415">
        <v>2621.75</v>
      </c>
      <c r="I3415" t="s">
        <v>15</v>
      </c>
      <c r="J3415" t="s">
        <v>16</v>
      </c>
      <c r="K3415" t="s">
        <v>29</v>
      </c>
      <c r="L3415">
        <v>2621.75</v>
      </c>
      <c r="M3415" t="s">
        <v>5032</v>
      </c>
      <c r="N3415" t="s">
        <v>5034</v>
      </c>
    </row>
    <row r="3416" spans="1:14" x14ac:dyDescent="0.3">
      <c r="A3416" t="s">
        <v>3440</v>
      </c>
      <c r="B3416" t="s">
        <v>12</v>
      </c>
      <c r="C3416" t="s">
        <v>35</v>
      </c>
      <c r="D3416">
        <v>47</v>
      </c>
      <c r="E3416" t="s">
        <v>14</v>
      </c>
      <c r="F3416" t="s">
        <v>16</v>
      </c>
      <c r="G3416">
        <v>41.9</v>
      </c>
      <c r="H3416">
        <v>1875.25</v>
      </c>
      <c r="I3416" t="s">
        <v>15</v>
      </c>
      <c r="J3416" t="s">
        <v>15</v>
      </c>
      <c r="K3416" t="s">
        <v>21</v>
      </c>
      <c r="L3416">
        <v>1875.25</v>
      </c>
      <c r="M3416" t="s">
        <v>5033</v>
      </c>
      <c r="N3416" t="s">
        <v>5031</v>
      </c>
    </row>
    <row r="3417" spans="1:14" x14ac:dyDescent="0.3">
      <c r="A3417" t="s">
        <v>3441</v>
      </c>
      <c r="B3417" t="s">
        <v>12</v>
      </c>
      <c r="C3417" t="s">
        <v>20</v>
      </c>
      <c r="D3417">
        <v>68</v>
      </c>
      <c r="E3417" t="s">
        <v>26</v>
      </c>
      <c r="F3417" t="s">
        <v>15</v>
      </c>
      <c r="G3417">
        <v>83</v>
      </c>
      <c r="H3417">
        <v>5685.8</v>
      </c>
      <c r="I3417" t="s">
        <v>16</v>
      </c>
      <c r="J3417" t="s">
        <v>16</v>
      </c>
      <c r="K3417" t="s">
        <v>17</v>
      </c>
      <c r="L3417">
        <v>5685.8</v>
      </c>
      <c r="M3417" t="s">
        <v>5033</v>
      </c>
      <c r="N3417" t="s">
        <v>5034</v>
      </c>
    </row>
    <row r="3418" spans="1:14" x14ac:dyDescent="0.3">
      <c r="A3418" t="s">
        <v>3442</v>
      </c>
      <c r="B3418" t="s">
        <v>19</v>
      </c>
      <c r="C3418" t="s">
        <v>13</v>
      </c>
      <c r="D3418">
        <v>12</v>
      </c>
      <c r="E3418" t="s">
        <v>14</v>
      </c>
      <c r="F3418" t="s">
        <v>15</v>
      </c>
      <c r="G3418">
        <v>69.849999999999994</v>
      </c>
      <c r="H3418">
        <v>837.5</v>
      </c>
      <c r="I3418" t="s">
        <v>15</v>
      </c>
      <c r="J3418" t="s">
        <v>16</v>
      </c>
      <c r="K3418" t="s">
        <v>21</v>
      </c>
      <c r="L3418">
        <v>837.5</v>
      </c>
      <c r="M3418" t="s">
        <v>5030</v>
      </c>
      <c r="N3418" t="s">
        <v>5031</v>
      </c>
    </row>
    <row r="3419" spans="1:14" x14ac:dyDescent="0.3">
      <c r="A3419" t="s">
        <v>3443</v>
      </c>
      <c r="B3419" t="s">
        <v>12</v>
      </c>
      <c r="C3419" t="s">
        <v>13</v>
      </c>
      <c r="D3419">
        <v>8</v>
      </c>
      <c r="E3419" t="s">
        <v>14</v>
      </c>
      <c r="F3419" t="s">
        <v>16</v>
      </c>
      <c r="G3419">
        <v>56.3</v>
      </c>
      <c r="H3419">
        <v>401.5</v>
      </c>
      <c r="I3419" t="s">
        <v>15</v>
      </c>
      <c r="J3419" t="s">
        <v>15</v>
      </c>
      <c r="K3419" t="s">
        <v>24</v>
      </c>
      <c r="L3419">
        <v>401.5</v>
      </c>
      <c r="M3419" t="s">
        <v>5030</v>
      </c>
      <c r="N3419" t="s">
        <v>5031</v>
      </c>
    </row>
    <row r="3420" spans="1:14" x14ac:dyDescent="0.3">
      <c r="A3420" t="s">
        <v>3444</v>
      </c>
      <c r="B3420" t="s">
        <v>19</v>
      </c>
      <c r="C3420" t="s">
        <v>13</v>
      </c>
      <c r="D3420">
        <v>54</v>
      </c>
      <c r="E3420" t="s">
        <v>26</v>
      </c>
      <c r="F3420" t="s">
        <v>15</v>
      </c>
      <c r="G3420">
        <v>109.55</v>
      </c>
      <c r="H3420">
        <v>6118.95</v>
      </c>
      <c r="I3420" t="s">
        <v>15</v>
      </c>
      <c r="J3420" t="s">
        <v>15</v>
      </c>
      <c r="K3420" t="s">
        <v>17</v>
      </c>
      <c r="L3420">
        <v>6118.95</v>
      </c>
      <c r="M3420" t="s">
        <v>5033</v>
      </c>
      <c r="N3420" t="s">
        <v>5034</v>
      </c>
    </row>
    <row r="3421" spans="1:14" x14ac:dyDescent="0.3">
      <c r="A3421" t="s">
        <v>3445</v>
      </c>
      <c r="B3421" t="s">
        <v>19</v>
      </c>
      <c r="C3421" t="s">
        <v>35</v>
      </c>
      <c r="D3421">
        <v>69</v>
      </c>
      <c r="E3421" t="s">
        <v>26</v>
      </c>
      <c r="F3421" t="s">
        <v>16</v>
      </c>
      <c r="G3421">
        <v>92.15</v>
      </c>
      <c r="H3421">
        <v>6480.9</v>
      </c>
      <c r="I3421" t="s">
        <v>15</v>
      </c>
      <c r="J3421" t="s">
        <v>16</v>
      </c>
      <c r="K3421" t="s">
        <v>21</v>
      </c>
      <c r="L3421">
        <v>6480.9</v>
      </c>
      <c r="M3421" t="s">
        <v>5033</v>
      </c>
      <c r="N3421" t="s">
        <v>5034</v>
      </c>
    </row>
    <row r="3422" spans="1:14" x14ac:dyDescent="0.3">
      <c r="A3422" t="s">
        <v>3446</v>
      </c>
      <c r="B3422" t="s">
        <v>12</v>
      </c>
      <c r="C3422" t="s">
        <v>13</v>
      </c>
      <c r="D3422">
        <v>26</v>
      </c>
      <c r="E3422" t="s">
        <v>14</v>
      </c>
      <c r="F3422" t="s">
        <v>15</v>
      </c>
      <c r="G3422">
        <v>69.5</v>
      </c>
      <c r="H3422">
        <v>1800.05</v>
      </c>
      <c r="I3422" t="s">
        <v>15</v>
      </c>
      <c r="J3422" t="s">
        <v>16</v>
      </c>
      <c r="K3422" t="s">
        <v>24</v>
      </c>
      <c r="L3422">
        <v>1800.05</v>
      </c>
      <c r="M3422" t="s">
        <v>5032</v>
      </c>
      <c r="N3422" t="s">
        <v>5031</v>
      </c>
    </row>
    <row r="3423" spans="1:14" x14ac:dyDescent="0.3">
      <c r="A3423" t="s">
        <v>3447</v>
      </c>
      <c r="B3423" t="s">
        <v>12</v>
      </c>
      <c r="C3423" t="s">
        <v>35</v>
      </c>
      <c r="D3423">
        <v>72</v>
      </c>
      <c r="E3423" t="s">
        <v>26</v>
      </c>
      <c r="F3423" t="s">
        <v>16</v>
      </c>
      <c r="G3423">
        <v>97</v>
      </c>
      <c r="H3423">
        <v>7104.2</v>
      </c>
      <c r="I3423" t="s">
        <v>15</v>
      </c>
      <c r="J3423" t="s">
        <v>16</v>
      </c>
      <c r="K3423" t="s">
        <v>24</v>
      </c>
      <c r="L3423">
        <v>7104.2</v>
      </c>
      <c r="M3423" t="s">
        <v>5033</v>
      </c>
      <c r="N3423" t="s">
        <v>5034</v>
      </c>
    </row>
    <row r="3424" spans="1:14" x14ac:dyDescent="0.3">
      <c r="A3424" t="s">
        <v>3448</v>
      </c>
      <c r="B3424" t="s">
        <v>12</v>
      </c>
      <c r="C3424" t="s">
        <v>35</v>
      </c>
      <c r="D3424">
        <v>70</v>
      </c>
      <c r="E3424" t="s">
        <v>14</v>
      </c>
      <c r="F3424" t="s">
        <v>16</v>
      </c>
      <c r="G3424">
        <v>58.35</v>
      </c>
      <c r="H3424">
        <v>4214.25</v>
      </c>
      <c r="I3424" t="s">
        <v>15</v>
      </c>
      <c r="J3424" t="s">
        <v>16</v>
      </c>
      <c r="K3424" t="s">
        <v>24</v>
      </c>
      <c r="L3424">
        <v>4214.25</v>
      </c>
      <c r="M3424" t="s">
        <v>5033</v>
      </c>
      <c r="N3424" t="s">
        <v>5034</v>
      </c>
    </row>
    <row r="3425" spans="1:14" x14ac:dyDescent="0.3">
      <c r="A3425" t="s">
        <v>3449</v>
      </c>
      <c r="B3425" t="s">
        <v>19</v>
      </c>
      <c r="C3425" t="s">
        <v>13</v>
      </c>
      <c r="D3425">
        <v>1</v>
      </c>
      <c r="E3425" t="s">
        <v>14</v>
      </c>
      <c r="F3425" t="s">
        <v>15</v>
      </c>
      <c r="G3425">
        <v>50.6</v>
      </c>
      <c r="H3425">
        <v>50.6</v>
      </c>
      <c r="I3425" t="s">
        <v>16</v>
      </c>
      <c r="J3425" t="s">
        <v>15</v>
      </c>
      <c r="K3425" t="s">
        <v>21</v>
      </c>
      <c r="L3425">
        <v>50.6</v>
      </c>
      <c r="M3425" t="s">
        <v>5030</v>
      </c>
      <c r="N3425" t="s">
        <v>5031</v>
      </c>
    </row>
    <row r="3426" spans="1:14" x14ac:dyDescent="0.3">
      <c r="A3426" t="s">
        <v>3450</v>
      </c>
      <c r="B3426" t="s">
        <v>19</v>
      </c>
      <c r="C3426" t="s">
        <v>13</v>
      </c>
      <c r="D3426">
        <v>10</v>
      </c>
      <c r="E3426" t="s">
        <v>26</v>
      </c>
      <c r="F3426" t="s">
        <v>15</v>
      </c>
      <c r="G3426">
        <v>89.5</v>
      </c>
      <c r="H3426">
        <v>863.1</v>
      </c>
      <c r="I3426" t="s">
        <v>16</v>
      </c>
      <c r="J3426" t="s">
        <v>16</v>
      </c>
      <c r="K3426" t="s">
        <v>17</v>
      </c>
      <c r="L3426">
        <v>863.1</v>
      </c>
      <c r="M3426" t="s">
        <v>5030</v>
      </c>
      <c r="N3426" t="s">
        <v>5031</v>
      </c>
    </row>
    <row r="3427" spans="1:14" x14ac:dyDescent="0.3">
      <c r="A3427" t="s">
        <v>3451</v>
      </c>
      <c r="B3427" t="s">
        <v>12</v>
      </c>
      <c r="C3427" t="s">
        <v>20</v>
      </c>
      <c r="D3427">
        <v>28</v>
      </c>
      <c r="E3427" t="s">
        <v>26</v>
      </c>
      <c r="F3427" t="s">
        <v>15</v>
      </c>
      <c r="G3427">
        <v>70.400000000000006</v>
      </c>
      <c r="H3427">
        <v>1992.2</v>
      </c>
      <c r="I3427" t="s">
        <v>15</v>
      </c>
      <c r="J3427" t="s">
        <v>16</v>
      </c>
      <c r="K3427" t="s">
        <v>24</v>
      </c>
      <c r="L3427">
        <v>1992.2</v>
      </c>
      <c r="M3427" t="s">
        <v>5032</v>
      </c>
      <c r="N3427" t="s">
        <v>5031</v>
      </c>
    </row>
    <row r="3428" spans="1:14" x14ac:dyDescent="0.3">
      <c r="A3428" t="s">
        <v>3452</v>
      </c>
      <c r="B3428" t="s">
        <v>19</v>
      </c>
      <c r="C3428" t="s">
        <v>13</v>
      </c>
      <c r="D3428">
        <v>1</v>
      </c>
      <c r="E3428" t="s">
        <v>26</v>
      </c>
      <c r="F3428" t="s">
        <v>15</v>
      </c>
      <c r="G3428">
        <v>69.8</v>
      </c>
      <c r="H3428">
        <v>69.8</v>
      </c>
      <c r="I3428" t="s">
        <v>16</v>
      </c>
      <c r="J3428" t="s">
        <v>16</v>
      </c>
      <c r="K3428" t="s">
        <v>17</v>
      </c>
      <c r="L3428">
        <v>69.8</v>
      </c>
      <c r="M3428" t="s">
        <v>5030</v>
      </c>
      <c r="N3428" t="s">
        <v>5031</v>
      </c>
    </row>
    <row r="3429" spans="1:14" x14ac:dyDescent="0.3">
      <c r="A3429" t="s">
        <v>3453</v>
      </c>
      <c r="B3429" t="s">
        <v>12</v>
      </c>
      <c r="C3429" t="s">
        <v>13</v>
      </c>
      <c r="D3429">
        <v>21</v>
      </c>
      <c r="E3429" t="s">
        <v>26</v>
      </c>
      <c r="F3429" t="s">
        <v>15</v>
      </c>
      <c r="G3429">
        <v>94.3</v>
      </c>
      <c r="H3429">
        <v>1948.35</v>
      </c>
      <c r="I3429" t="s">
        <v>15</v>
      </c>
      <c r="J3429" t="s">
        <v>16</v>
      </c>
      <c r="K3429" t="s">
        <v>17</v>
      </c>
      <c r="L3429">
        <v>1948.35</v>
      </c>
      <c r="M3429" t="s">
        <v>5032</v>
      </c>
      <c r="N3429" t="s">
        <v>5031</v>
      </c>
    </row>
    <row r="3430" spans="1:14" x14ac:dyDescent="0.3">
      <c r="A3430" t="s">
        <v>3454</v>
      </c>
      <c r="B3430" t="s">
        <v>19</v>
      </c>
      <c r="C3430" t="s">
        <v>13</v>
      </c>
      <c r="D3430">
        <v>51</v>
      </c>
      <c r="E3430" t="s">
        <v>26</v>
      </c>
      <c r="F3430" t="s">
        <v>15</v>
      </c>
      <c r="G3430">
        <v>93.8</v>
      </c>
      <c r="H3430">
        <v>4750.95</v>
      </c>
      <c r="I3430" t="s">
        <v>16</v>
      </c>
      <c r="J3430" t="s">
        <v>16</v>
      </c>
      <c r="K3430" t="s">
        <v>24</v>
      </c>
      <c r="L3430">
        <v>4750.95</v>
      </c>
      <c r="M3430" t="s">
        <v>5033</v>
      </c>
      <c r="N3430" t="s">
        <v>5034</v>
      </c>
    </row>
    <row r="3431" spans="1:14" x14ac:dyDescent="0.3">
      <c r="A3431" t="s">
        <v>3455</v>
      </c>
      <c r="B3431" t="s">
        <v>12</v>
      </c>
      <c r="C3431" t="s">
        <v>20</v>
      </c>
      <c r="D3431">
        <v>53</v>
      </c>
      <c r="E3431" t="s">
        <v>15</v>
      </c>
      <c r="F3431" t="s">
        <v>36</v>
      </c>
      <c r="G3431">
        <v>19.55</v>
      </c>
      <c r="H3431">
        <v>1007.9</v>
      </c>
      <c r="I3431" t="s">
        <v>15</v>
      </c>
      <c r="J3431" t="s">
        <v>15</v>
      </c>
      <c r="K3431" t="s">
        <v>24</v>
      </c>
      <c r="L3431">
        <v>1007.9</v>
      </c>
      <c r="M3431" t="s">
        <v>5033</v>
      </c>
      <c r="N3431" t="s">
        <v>5031</v>
      </c>
    </row>
    <row r="3432" spans="1:14" x14ac:dyDescent="0.3">
      <c r="A3432" t="s">
        <v>3456</v>
      </c>
      <c r="B3432" t="s">
        <v>19</v>
      </c>
      <c r="C3432" t="s">
        <v>20</v>
      </c>
      <c r="D3432">
        <v>53</v>
      </c>
      <c r="E3432" t="s">
        <v>26</v>
      </c>
      <c r="F3432" t="s">
        <v>15</v>
      </c>
      <c r="G3432">
        <v>95.95</v>
      </c>
      <c r="H3432">
        <v>5036.8999999999996</v>
      </c>
      <c r="I3432" t="s">
        <v>15</v>
      </c>
      <c r="J3432" t="s">
        <v>15</v>
      </c>
      <c r="K3432" t="s">
        <v>17</v>
      </c>
      <c r="L3432">
        <v>5036.8999999999996</v>
      </c>
      <c r="M3432" t="s">
        <v>5033</v>
      </c>
      <c r="N3432" t="s">
        <v>5034</v>
      </c>
    </row>
    <row r="3433" spans="1:14" x14ac:dyDescent="0.3">
      <c r="A3433" t="s">
        <v>3457</v>
      </c>
      <c r="B3433" t="s">
        <v>19</v>
      </c>
      <c r="C3433" t="s">
        <v>13</v>
      </c>
      <c r="D3433">
        <v>24</v>
      </c>
      <c r="E3433" t="s">
        <v>26</v>
      </c>
      <c r="F3433" t="s">
        <v>15</v>
      </c>
      <c r="G3433">
        <v>101.05</v>
      </c>
      <c r="H3433">
        <v>2391.8000000000002</v>
      </c>
      <c r="I3433" t="s">
        <v>16</v>
      </c>
      <c r="J3433" t="s">
        <v>16</v>
      </c>
      <c r="K3433" t="s">
        <v>17</v>
      </c>
      <c r="L3433">
        <v>2391.8000000000002</v>
      </c>
      <c r="M3433" t="s">
        <v>5032</v>
      </c>
      <c r="N3433" t="s">
        <v>5031</v>
      </c>
    </row>
    <row r="3434" spans="1:14" x14ac:dyDescent="0.3">
      <c r="A3434" t="s">
        <v>3458</v>
      </c>
      <c r="B3434" t="s">
        <v>12</v>
      </c>
      <c r="C3434" t="s">
        <v>35</v>
      </c>
      <c r="D3434">
        <v>70</v>
      </c>
      <c r="E3434" t="s">
        <v>14</v>
      </c>
      <c r="F3434" t="s">
        <v>16</v>
      </c>
      <c r="G3434">
        <v>94.8</v>
      </c>
      <c r="H3434">
        <v>6859.05</v>
      </c>
      <c r="I3434" t="s">
        <v>15</v>
      </c>
      <c r="J3434" t="s">
        <v>16</v>
      </c>
      <c r="K3434" t="s">
        <v>29</v>
      </c>
      <c r="L3434">
        <v>6859.05</v>
      </c>
      <c r="M3434" t="s">
        <v>5033</v>
      </c>
      <c r="N3434" t="s">
        <v>5034</v>
      </c>
    </row>
    <row r="3435" spans="1:14" x14ac:dyDescent="0.3">
      <c r="A3435" t="s">
        <v>3459</v>
      </c>
      <c r="B3435" t="s">
        <v>19</v>
      </c>
      <c r="C3435" t="s">
        <v>20</v>
      </c>
      <c r="D3435">
        <v>61</v>
      </c>
      <c r="E3435" t="s">
        <v>26</v>
      </c>
      <c r="F3435" t="s">
        <v>15</v>
      </c>
      <c r="G3435">
        <v>107.75</v>
      </c>
      <c r="H3435">
        <v>6521.9</v>
      </c>
      <c r="I3435" t="s">
        <v>15</v>
      </c>
      <c r="J3435" t="s">
        <v>16</v>
      </c>
      <c r="K3435" t="s">
        <v>17</v>
      </c>
      <c r="L3435">
        <v>6521.9</v>
      </c>
      <c r="M3435" t="s">
        <v>5033</v>
      </c>
      <c r="N3435" t="s">
        <v>5034</v>
      </c>
    </row>
    <row r="3436" spans="1:14" x14ac:dyDescent="0.3">
      <c r="A3436" t="s">
        <v>3460</v>
      </c>
      <c r="B3436" t="s">
        <v>12</v>
      </c>
      <c r="C3436" t="s">
        <v>20</v>
      </c>
      <c r="D3436">
        <v>11</v>
      </c>
      <c r="E3436" t="s">
        <v>14</v>
      </c>
      <c r="F3436" t="s">
        <v>16</v>
      </c>
      <c r="G3436">
        <v>54.6</v>
      </c>
      <c r="H3436">
        <v>617.85</v>
      </c>
      <c r="I3436" t="s">
        <v>15</v>
      </c>
      <c r="J3436" t="s">
        <v>16</v>
      </c>
      <c r="K3436" t="s">
        <v>21</v>
      </c>
      <c r="L3436">
        <v>617.85</v>
      </c>
      <c r="M3436" t="s">
        <v>5030</v>
      </c>
      <c r="N3436" t="s">
        <v>5031</v>
      </c>
    </row>
    <row r="3437" spans="1:14" x14ac:dyDescent="0.3">
      <c r="A3437" t="s">
        <v>3461</v>
      </c>
      <c r="B3437" t="s">
        <v>19</v>
      </c>
      <c r="C3437" t="s">
        <v>13</v>
      </c>
      <c r="D3437">
        <v>2</v>
      </c>
      <c r="E3437" t="s">
        <v>26</v>
      </c>
      <c r="F3437" t="s">
        <v>15</v>
      </c>
      <c r="G3437">
        <v>71.3</v>
      </c>
      <c r="H3437">
        <v>157.75</v>
      </c>
      <c r="I3437" t="s">
        <v>15</v>
      </c>
      <c r="J3437" t="s">
        <v>16</v>
      </c>
      <c r="K3437" t="s">
        <v>29</v>
      </c>
      <c r="L3437">
        <v>157.75</v>
      </c>
      <c r="M3437" t="s">
        <v>5030</v>
      </c>
      <c r="N3437" t="s">
        <v>5031</v>
      </c>
    </row>
    <row r="3438" spans="1:14" x14ac:dyDescent="0.3">
      <c r="A3438" t="s">
        <v>3462</v>
      </c>
      <c r="B3438" t="s">
        <v>19</v>
      </c>
      <c r="C3438" t="s">
        <v>20</v>
      </c>
      <c r="D3438">
        <v>25</v>
      </c>
      <c r="E3438" t="s">
        <v>15</v>
      </c>
      <c r="F3438" t="s">
        <v>36</v>
      </c>
      <c r="G3438">
        <v>19.5</v>
      </c>
      <c r="H3438">
        <v>516.29999999999995</v>
      </c>
      <c r="I3438" t="s">
        <v>15</v>
      </c>
      <c r="J3438" t="s">
        <v>16</v>
      </c>
      <c r="K3438" t="s">
        <v>24</v>
      </c>
      <c r="L3438">
        <v>516.29999999999995</v>
      </c>
      <c r="M3438" t="s">
        <v>5032</v>
      </c>
      <c r="N3438" t="s">
        <v>5031</v>
      </c>
    </row>
    <row r="3439" spans="1:14" x14ac:dyDescent="0.3">
      <c r="A3439" t="s">
        <v>3463</v>
      </c>
      <c r="B3439" t="s">
        <v>12</v>
      </c>
      <c r="C3439" t="s">
        <v>20</v>
      </c>
      <c r="D3439">
        <v>41</v>
      </c>
      <c r="E3439" t="s">
        <v>14</v>
      </c>
      <c r="F3439" t="s">
        <v>15</v>
      </c>
      <c r="G3439">
        <v>56.3</v>
      </c>
      <c r="H3439">
        <v>2364</v>
      </c>
      <c r="I3439" t="s">
        <v>15</v>
      </c>
      <c r="J3439" t="s">
        <v>16</v>
      </c>
      <c r="K3439" t="s">
        <v>29</v>
      </c>
      <c r="L3439">
        <v>2364</v>
      </c>
      <c r="M3439" t="s">
        <v>5033</v>
      </c>
      <c r="N3439" t="s">
        <v>5031</v>
      </c>
    </row>
    <row r="3440" spans="1:14" x14ac:dyDescent="0.3">
      <c r="A3440" t="s">
        <v>3464</v>
      </c>
      <c r="B3440" t="s">
        <v>19</v>
      </c>
      <c r="C3440" t="s">
        <v>13</v>
      </c>
      <c r="D3440">
        <v>18</v>
      </c>
      <c r="E3440" t="s">
        <v>26</v>
      </c>
      <c r="F3440" t="s">
        <v>15</v>
      </c>
      <c r="G3440">
        <v>94.7</v>
      </c>
      <c r="H3440">
        <v>1687.95</v>
      </c>
      <c r="I3440" t="s">
        <v>16</v>
      </c>
      <c r="J3440" t="s">
        <v>16</v>
      </c>
      <c r="K3440" t="s">
        <v>17</v>
      </c>
      <c r="L3440">
        <v>1687.95</v>
      </c>
      <c r="M3440" t="s">
        <v>5032</v>
      </c>
      <c r="N3440" t="s">
        <v>5031</v>
      </c>
    </row>
    <row r="3441" spans="1:14" x14ac:dyDescent="0.3">
      <c r="A3441" t="s">
        <v>3465</v>
      </c>
      <c r="B3441" t="s">
        <v>19</v>
      </c>
      <c r="C3441" t="s">
        <v>35</v>
      </c>
      <c r="D3441">
        <v>72</v>
      </c>
      <c r="E3441" t="s">
        <v>26</v>
      </c>
      <c r="F3441" t="s">
        <v>15</v>
      </c>
      <c r="G3441">
        <v>104.15</v>
      </c>
      <c r="H3441">
        <v>7689.95</v>
      </c>
      <c r="I3441" t="s">
        <v>16</v>
      </c>
      <c r="J3441" t="s">
        <v>16</v>
      </c>
      <c r="K3441" t="s">
        <v>24</v>
      </c>
      <c r="L3441">
        <v>7689.95</v>
      </c>
      <c r="M3441" t="s">
        <v>5033</v>
      </c>
      <c r="N3441" t="s">
        <v>5034</v>
      </c>
    </row>
    <row r="3442" spans="1:14" x14ac:dyDescent="0.3">
      <c r="A3442" t="s">
        <v>3466</v>
      </c>
      <c r="B3442" t="s">
        <v>12</v>
      </c>
      <c r="C3442" t="s">
        <v>35</v>
      </c>
      <c r="D3442">
        <v>71</v>
      </c>
      <c r="E3442" t="s">
        <v>14</v>
      </c>
      <c r="F3442" t="s">
        <v>16</v>
      </c>
      <c r="G3442">
        <v>90.55</v>
      </c>
      <c r="H3442">
        <v>6239.05</v>
      </c>
      <c r="I3442" t="s">
        <v>15</v>
      </c>
      <c r="J3442" t="s">
        <v>16</v>
      </c>
      <c r="K3442" t="s">
        <v>29</v>
      </c>
      <c r="L3442">
        <v>6239.05</v>
      </c>
      <c r="M3442" t="s">
        <v>5033</v>
      </c>
      <c r="N3442" t="s">
        <v>5034</v>
      </c>
    </row>
    <row r="3443" spans="1:14" x14ac:dyDescent="0.3">
      <c r="A3443" t="s">
        <v>3467</v>
      </c>
      <c r="B3443" t="s">
        <v>12</v>
      </c>
      <c r="C3443" t="s">
        <v>20</v>
      </c>
      <c r="D3443">
        <v>34</v>
      </c>
      <c r="E3443" t="s">
        <v>14</v>
      </c>
      <c r="F3443" t="s">
        <v>15</v>
      </c>
      <c r="G3443">
        <v>60.8</v>
      </c>
      <c r="H3443">
        <v>2042.05</v>
      </c>
      <c r="I3443" t="s">
        <v>15</v>
      </c>
      <c r="J3443" t="s">
        <v>16</v>
      </c>
      <c r="K3443" t="s">
        <v>21</v>
      </c>
      <c r="L3443">
        <v>2042.05</v>
      </c>
      <c r="M3443" t="s">
        <v>5032</v>
      </c>
      <c r="N3443" t="s">
        <v>5031</v>
      </c>
    </row>
    <row r="3444" spans="1:14" x14ac:dyDescent="0.3">
      <c r="A3444" t="s">
        <v>3468</v>
      </c>
      <c r="B3444" t="s">
        <v>19</v>
      </c>
      <c r="C3444" t="s">
        <v>13</v>
      </c>
      <c r="D3444">
        <v>29</v>
      </c>
      <c r="E3444" t="s">
        <v>26</v>
      </c>
      <c r="F3444" t="s">
        <v>16</v>
      </c>
      <c r="G3444">
        <v>98.8</v>
      </c>
      <c r="H3444">
        <v>2807.1</v>
      </c>
      <c r="I3444" t="s">
        <v>15</v>
      </c>
      <c r="J3444" t="s">
        <v>16</v>
      </c>
      <c r="K3444" t="s">
        <v>29</v>
      </c>
      <c r="L3444">
        <v>2807.1</v>
      </c>
      <c r="M3444" t="s">
        <v>5032</v>
      </c>
      <c r="N3444" t="s">
        <v>5034</v>
      </c>
    </row>
    <row r="3445" spans="1:14" x14ac:dyDescent="0.3">
      <c r="A3445" t="s">
        <v>3469</v>
      </c>
      <c r="B3445" t="s">
        <v>19</v>
      </c>
      <c r="C3445" t="s">
        <v>20</v>
      </c>
      <c r="D3445">
        <v>40</v>
      </c>
      <c r="E3445" t="s">
        <v>26</v>
      </c>
      <c r="F3445" t="s">
        <v>16</v>
      </c>
      <c r="G3445">
        <v>98.15</v>
      </c>
      <c r="H3445">
        <v>4116.8</v>
      </c>
      <c r="I3445" t="s">
        <v>15</v>
      </c>
      <c r="J3445" t="s">
        <v>16</v>
      </c>
      <c r="K3445" t="s">
        <v>29</v>
      </c>
      <c r="L3445">
        <v>4116.8</v>
      </c>
      <c r="M3445" t="s">
        <v>5033</v>
      </c>
      <c r="N3445" t="s">
        <v>5034</v>
      </c>
    </row>
    <row r="3446" spans="1:14" x14ac:dyDescent="0.3">
      <c r="A3446" t="s">
        <v>3470</v>
      </c>
      <c r="B3446" t="s">
        <v>19</v>
      </c>
      <c r="C3446" t="s">
        <v>20</v>
      </c>
      <c r="D3446">
        <v>36</v>
      </c>
      <c r="E3446" t="s">
        <v>14</v>
      </c>
      <c r="F3446" t="s">
        <v>15</v>
      </c>
      <c r="G3446">
        <v>35.35</v>
      </c>
      <c r="H3446">
        <v>1317.95</v>
      </c>
      <c r="I3446" t="s">
        <v>15</v>
      </c>
      <c r="J3446" t="s">
        <v>15</v>
      </c>
      <c r="K3446" t="s">
        <v>21</v>
      </c>
      <c r="L3446">
        <v>1317.95</v>
      </c>
      <c r="M3446" t="s">
        <v>5032</v>
      </c>
      <c r="N3446" t="s">
        <v>5031</v>
      </c>
    </row>
    <row r="3447" spans="1:14" x14ac:dyDescent="0.3">
      <c r="A3447" t="s">
        <v>3471</v>
      </c>
      <c r="B3447" t="s">
        <v>12</v>
      </c>
      <c r="C3447" t="s">
        <v>20</v>
      </c>
      <c r="D3447">
        <v>46</v>
      </c>
      <c r="E3447" t="s">
        <v>26</v>
      </c>
      <c r="F3447" t="s">
        <v>16</v>
      </c>
      <c r="G3447">
        <v>103.15</v>
      </c>
      <c r="H3447">
        <v>4594.6499999999996</v>
      </c>
      <c r="I3447" t="s">
        <v>15</v>
      </c>
      <c r="J3447" t="s">
        <v>16</v>
      </c>
      <c r="K3447" t="s">
        <v>17</v>
      </c>
      <c r="L3447">
        <v>4594.6499999999996</v>
      </c>
      <c r="M3447" t="s">
        <v>5033</v>
      </c>
      <c r="N3447" t="s">
        <v>5034</v>
      </c>
    </row>
    <row r="3448" spans="1:14" x14ac:dyDescent="0.3">
      <c r="A3448" t="s">
        <v>3472</v>
      </c>
      <c r="B3448" t="s">
        <v>12</v>
      </c>
      <c r="C3448" t="s">
        <v>20</v>
      </c>
      <c r="D3448">
        <v>58</v>
      </c>
      <c r="E3448" t="s">
        <v>26</v>
      </c>
      <c r="F3448" t="s">
        <v>15</v>
      </c>
      <c r="G3448">
        <v>107.75</v>
      </c>
      <c r="H3448">
        <v>6332.75</v>
      </c>
      <c r="I3448" t="s">
        <v>15</v>
      </c>
      <c r="J3448" t="s">
        <v>16</v>
      </c>
      <c r="K3448" t="s">
        <v>17</v>
      </c>
      <c r="L3448">
        <v>6332.75</v>
      </c>
      <c r="M3448" t="s">
        <v>5033</v>
      </c>
      <c r="N3448" t="s">
        <v>5034</v>
      </c>
    </row>
    <row r="3449" spans="1:14" x14ac:dyDescent="0.3">
      <c r="A3449" t="s">
        <v>3473</v>
      </c>
      <c r="B3449" t="s">
        <v>19</v>
      </c>
      <c r="C3449" t="s">
        <v>20</v>
      </c>
      <c r="D3449">
        <v>39</v>
      </c>
      <c r="E3449" t="s">
        <v>26</v>
      </c>
      <c r="F3449" t="s">
        <v>15</v>
      </c>
      <c r="G3449">
        <v>81.400000000000006</v>
      </c>
      <c r="H3449">
        <v>3213.75</v>
      </c>
      <c r="I3449" t="s">
        <v>15</v>
      </c>
      <c r="J3449" t="s">
        <v>15</v>
      </c>
      <c r="K3449" t="s">
        <v>29</v>
      </c>
      <c r="L3449">
        <v>3213.75</v>
      </c>
      <c r="M3449" t="s">
        <v>5033</v>
      </c>
      <c r="N3449" t="s">
        <v>5034</v>
      </c>
    </row>
    <row r="3450" spans="1:14" x14ac:dyDescent="0.3">
      <c r="A3450" t="s">
        <v>3474</v>
      </c>
      <c r="B3450" t="s">
        <v>19</v>
      </c>
      <c r="C3450" t="s">
        <v>13</v>
      </c>
      <c r="D3450">
        <v>4</v>
      </c>
      <c r="E3450" t="s">
        <v>14</v>
      </c>
      <c r="F3450" t="s">
        <v>16</v>
      </c>
      <c r="G3450">
        <v>61.45</v>
      </c>
      <c r="H3450">
        <v>229.55</v>
      </c>
      <c r="I3450" t="s">
        <v>16</v>
      </c>
      <c r="J3450" t="s">
        <v>15</v>
      </c>
      <c r="K3450" t="s">
        <v>29</v>
      </c>
      <c r="L3450">
        <v>229.55</v>
      </c>
      <c r="M3450" t="s">
        <v>5030</v>
      </c>
      <c r="N3450" t="s">
        <v>5031</v>
      </c>
    </row>
    <row r="3451" spans="1:14" x14ac:dyDescent="0.3">
      <c r="A3451" t="s">
        <v>3475</v>
      </c>
      <c r="B3451" t="s">
        <v>12</v>
      </c>
      <c r="C3451" t="s">
        <v>20</v>
      </c>
      <c r="D3451">
        <v>52</v>
      </c>
      <c r="E3451" t="s">
        <v>26</v>
      </c>
      <c r="F3451" t="s">
        <v>15</v>
      </c>
      <c r="G3451">
        <v>95.7</v>
      </c>
      <c r="H3451">
        <v>4976.1499999999996</v>
      </c>
      <c r="I3451" t="s">
        <v>15</v>
      </c>
      <c r="J3451" t="s">
        <v>16</v>
      </c>
      <c r="K3451" t="s">
        <v>29</v>
      </c>
      <c r="L3451">
        <v>4976.1499999999996</v>
      </c>
      <c r="M3451" t="s">
        <v>5033</v>
      </c>
      <c r="N3451" t="s">
        <v>5034</v>
      </c>
    </row>
    <row r="3452" spans="1:14" x14ac:dyDescent="0.3">
      <c r="A3452" t="s">
        <v>3476</v>
      </c>
      <c r="B3452" t="s">
        <v>19</v>
      </c>
      <c r="C3452" t="s">
        <v>20</v>
      </c>
      <c r="D3452">
        <v>70</v>
      </c>
      <c r="E3452" t="s">
        <v>26</v>
      </c>
      <c r="F3452" t="s">
        <v>15</v>
      </c>
      <c r="G3452">
        <v>104.8</v>
      </c>
      <c r="H3452">
        <v>7308.95</v>
      </c>
      <c r="I3452" t="s">
        <v>15</v>
      </c>
      <c r="J3452" t="s">
        <v>16</v>
      </c>
      <c r="K3452" t="s">
        <v>17</v>
      </c>
      <c r="L3452">
        <v>7308.95</v>
      </c>
      <c r="M3452" t="s">
        <v>5033</v>
      </c>
      <c r="N3452" t="s">
        <v>5034</v>
      </c>
    </row>
    <row r="3453" spans="1:14" x14ac:dyDescent="0.3">
      <c r="A3453" t="s">
        <v>3477</v>
      </c>
      <c r="B3453" t="s">
        <v>19</v>
      </c>
      <c r="C3453" t="s">
        <v>20</v>
      </c>
      <c r="D3453">
        <v>65</v>
      </c>
      <c r="E3453" t="s">
        <v>26</v>
      </c>
      <c r="F3453" t="s">
        <v>15</v>
      </c>
      <c r="G3453">
        <v>70.95</v>
      </c>
      <c r="H3453">
        <v>4555.2</v>
      </c>
      <c r="I3453" t="s">
        <v>15</v>
      </c>
      <c r="J3453" t="s">
        <v>16</v>
      </c>
      <c r="K3453" t="s">
        <v>24</v>
      </c>
      <c r="L3453">
        <v>4555.2</v>
      </c>
      <c r="M3453" t="s">
        <v>5033</v>
      </c>
      <c r="N3453" t="s">
        <v>5034</v>
      </c>
    </row>
    <row r="3454" spans="1:14" x14ac:dyDescent="0.3">
      <c r="A3454" t="s">
        <v>3478</v>
      </c>
      <c r="B3454" t="s">
        <v>19</v>
      </c>
      <c r="C3454" t="s">
        <v>13</v>
      </c>
      <c r="D3454">
        <v>1</v>
      </c>
      <c r="E3454" t="s">
        <v>14</v>
      </c>
      <c r="F3454" t="s">
        <v>15</v>
      </c>
      <c r="G3454">
        <v>44.95</v>
      </c>
      <c r="H3454">
        <v>44.95</v>
      </c>
      <c r="I3454" t="s">
        <v>15</v>
      </c>
      <c r="J3454" t="s">
        <v>16</v>
      </c>
      <c r="K3454" t="s">
        <v>21</v>
      </c>
      <c r="L3454">
        <v>44.95</v>
      </c>
      <c r="M3454" t="s">
        <v>5030</v>
      </c>
      <c r="N3454" t="s">
        <v>5031</v>
      </c>
    </row>
    <row r="3455" spans="1:14" x14ac:dyDescent="0.3">
      <c r="A3455" t="s">
        <v>3479</v>
      </c>
      <c r="B3455" t="s">
        <v>12</v>
      </c>
      <c r="C3455" t="s">
        <v>20</v>
      </c>
      <c r="D3455">
        <v>70</v>
      </c>
      <c r="E3455" t="s">
        <v>26</v>
      </c>
      <c r="F3455" t="s">
        <v>15</v>
      </c>
      <c r="G3455">
        <v>97.65</v>
      </c>
      <c r="H3455">
        <v>6982.5</v>
      </c>
      <c r="I3455" t="s">
        <v>15</v>
      </c>
      <c r="J3455" t="s">
        <v>16</v>
      </c>
      <c r="K3455" t="s">
        <v>17</v>
      </c>
      <c r="L3455">
        <v>6982.5</v>
      </c>
      <c r="M3455" t="s">
        <v>5033</v>
      </c>
      <c r="N3455" t="s">
        <v>5034</v>
      </c>
    </row>
    <row r="3456" spans="1:14" x14ac:dyDescent="0.3">
      <c r="A3456" t="s">
        <v>3480</v>
      </c>
      <c r="B3456" t="s">
        <v>12</v>
      </c>
      <c r="C3456" t="s">
        <v>13</v>
      </c>
      <c r="D3456">
        <v>29</v>
      </c>
      <c r="E3456" t="s">
        <v>14</v>
      </c>
      <c r="F3456" t="s">
        <v>15</v>
      </c>
      <c r="G3456">
        <v>35.65</v>
      </c>
      <c r="H3456">
        <v>1025.1500000000001</v>
      </c>
      <c r="I3456" t="s">
        <v>15</v>
      </c>
      <c r="J3456" t="s">
        <v>16</v>
      </c>
      <c r="K3456" t="s">
        <v>21</v>
      </c>
      <c r="L3456">
        <v>1025.1500000000001</v>
      </c>
      <c r="M3456" t="s">
        <v>5032</v>
      </c>
      <c r="N3456" t="s">
        <v>5031</v>
      </c>
    </row>
    <row r="3457" spans="1:14" x14ac:dyDescent="0.3">
      <c r="A3457" t="s">
        <v>3481</v>
      </c>
      <c r="B3457" t="s">
        <v>19</v>
      </c>
      <c r="C3457" t="s">
        <v>13</v>
      </c>
      <c r="D3457">
        <v>1</v>
      </c>
      <c r="E3457" t="s">
        <v>26</v>
      </c>
      <c r="F3457" t="s">
        <v>15</v>
      </c>
      <c r="G3457">
        <v>90.55</v>
      </c>
      <c r="H3457">
        <v>90.55</v>
      </c>
      <c r="I3457" t="s">
        <v>16</v>
      </c>
      <c r="J3457" t="s">
        <v>16</v>
      </c>
      <c r="K3457" t="s">
        <v>17</v>
      </c>
      <c r="L3457">
        <v>90.55</v>
      </c>
      <c r="M3457" t="s">
        <v>5030</v>
      </c>
      <c r="N3457" t="s">
        <v>5031</v>
      </c>
    </row>
    <row r="3458" spans="1:14" x14ac:dyDescent="0.3">
      <c r="A3458" t="s">
        <v>3482</v>
      </c>
      <c r="B3458" t="s">
        <v>12</v>
      </c>
      <c r="C3458" t="s">
        <v>35</v>
      </c>
      <c r="D3458">
        <v>67</v>
      </c>
      <c r="E3458" t="s">
        <v>14</v>
      </c>
      <c r="F3458" t="s">
        <v>16</v>
      </c>
      <c r="G3458">
        <v>85.25</v>
      </c>
      <c r="H3458">
        <v>5714.2</v>
      </c>
      <c r="I3458" t="s">
        <v>15</v>
      </c>
      <c r="J3458" t="s">
        <v>16</v>
      </c>
      <c r="K3458" t="s">
        <v>21</v>
      </c>
      <c r="L3458">
        <v>5714.2</v>
      </c>
      <c r="M3458" t="s">
        <v>5033</v>
      </c>
      <c r="N3458" t="s">
        <v>5034</v>
      </c>
    </row>
    <row r="3459" spans="1:14" x14ac:dyDescent="0.3">
      <c r="A3459" t="s">
        <v>3483</v>
      </c>
      <c r="B3459" t="s">
        <v>12</v>
      </c>
      <c r="C3459" t="s">
        <v>13</v>
      </c>
      <c r="D3459">
        <v>1</v>
      </c>
      <c r="E3459" t="s">
        <v>15</v>
      </c>
      <c r="F3459" t="s">
        <v>36</v>
      </c>
      <c r="G3459">
        <v>19.5</v>
      </c>
      <c r="H3459">
        <v>19.5</v>
      </c>
      <c r="I3459" t="s">
        <v>15</v>
      </c>
      <c r="J3459" t="s">
        <v>16</v>
      </c>
      <c r="K3459" t="s">
        <v>21</v>
      </c>
      <c r="L3459">
        <v>19.5</v>
      </c>
      <c r="M3459" t="s">
        <v>5030</v>
      </c>
      <c r="N3459" t="s">
        <v>5031</v>
      </c>
    </row>
    <row r="3460" spans="1:14" x14ac:dyDescent="0.3">
      <c r="A3460" t="s">
        <v>3484</v>
      </c>
      <c r="B3460" t="s">
        <v>12</v>
      </c>
      <c r="C3460" t="s">
        <v>13</v>
      </c>
      <c r="D3460">
        <v>26</v>
      </c>
      <c r="E3460" t="s">
        <v>26</v>
      </c>
      <c r="F3460" t="s">
        <v>15</v>
      </c>
      <c r="G3460">
        <v>88.8</v>
      </c>
      <c r="H3460">
        <v>2274.35</v>
      </c>
      <c r="I3460" t="s">
        <v>16</v>
      </c>
      <c r="J3460" t="s">
        <v>16</v>
      </c>
      <c r="K3460" t="s">
        <v>24</v>
      </c>
      <c r="L3460">
        <v>2274.35</v>
      </c>
      <c r="M3460" t="s">
        <v>5032</v>
      </c>
      <c r="N3460" t="s">
        <v>5031</v>
      </c>
    </row>
    <row r="3461" spans="1:14" x14ac:dyDescent="0.3">
      <c r="A3461" t="s">
        <v>3485</v>
      </c>
      <c r="B3461" t="s">
        <v>12</v>
      </c>
      <c r="C3461" t="s">
        <v>35</v>
      </c>
      <c r="D3461">
        <v>30</v>
      </c>
      <c r="E3461" t="s">
        <v>15</v>
      </c>
      <c r="F3461" t="s">
        <v>36</v>
      </c>
      <c r="G3461">
        <v>25.1</v>
      </c>
      <c r="H3461">
        <v>789.55</v>
      </c>
      <c r="I3461" t="s">
        <v>15</v>
      </c>
      <c r="J3461" t="s">
        <v>16</v>
      </c>
      <c r="K3461" t="s">
        <v>21</v>
      </c>
      <c r="L3461">
        <v>789.55</v>
      </c>
      <c r="M3461" t="s">
        <v>5032</v>
      </c>
      <c r="N3461" t="s">
        <v>5031</v>
      </c>
    </row>
    <row r="3462" spans="1:14" x14ac:dyDescent="0.3">
      <c r="A3462" t="s">
        <v>3486</v>
      </c>
      <c r="B3462" t="s">
        <v>12</v>
      </c>
      <c r="C3462" t="s">
        <v>13</v>
      </c>
      <c r="D3462">
        <v>48</v>
      </c>
      <c r="E3462" t="s">
        <v>26</v>
      </c>
      <c r="F3462" t="s">
        <v>16</v>
      </c>
      <c r="G3462">
        <v>100.05</v>
      </c>
      <c r="H3462">
        <v>4834</v>
      </c>
      <c r="I3462" t="s">
        <v>15</v>
      </c>
      <c r="J3462" t="s">
        <v>16</v>
      </c>
      <c r="K3462" t="s">
        <v>29</v>
      </c>
      <c r="L3462">
        <v>4834</v>
      </c>
      <c r="M3462" t="s">
        <v>5033</v>
      </c>
      <c r="N3462" t="s">
        <v>5034</v>
      </c>
    </row>
    <row r="3463" spans="1:14" x14ac:dyDescent="0.3">
      <c r="A3463" t="s">
        <v>3487</v>
      </c>
      <c r="B3463" t="s">
        <v>12</v>
      </c>
      <c r="C3463" t="s">
        <v>13</v>
      </c>
      <c r="D3463">
        <v>55</v>
      </c>
      <c r="E3463" t="s">
        <v>14</v>
      </c>
      <c r="F3463" t="s">
        <v>15</v>
      </c>
      <c r="G3463">
        <v>55.7</v>
      </c>
      <c r="H3463">
        <v>3131.8</v>
      </c>
      <c r="I3463" t="s">
        <v>15</v>
      </c>
      <c r="J3463" t="s">
        <v>15</v>
      </c>
      <c r="K3463" t="s">
        <v>17</v>
      </c>
      <c r="L3463">
        <v>3131.8</v>
      </c>
      <c r="M3463" t="s">
        <v>5033</v>
      </c>
      <c r="N3463" t="s">
        <v>5034</v>
      </c>
    </row>
    <row r="3464" spans="1:14" x14ac:dyDescent="0.3">
      <c r="A3464" t="s">
        <v>3488</v>
      </c>
      <c r="B3464" t="s">
        <v>19</v>
      </c>
      <c r="C3464" t="s">
        <v>13</v>
      </c>
      <c r="D3464">
        <v>7</v>
      </c>
      <c r="E3464" t="s">
        <v>26</v>
      </c>
      <c r="F3464" t="s">
        <v>15</v>
      </c>
      <c r="G3464">
        <v>85.2</v>
      </c>
      <c r="H3464">
        <v>602.54999999999995</v>
      </c>
      <c r="I3464" t="s">
        <v>16</v>
      </c>
      <c r="J3464" t="s">
        <v>16</v>
      </c>
      <c r="K3464" t="s">
        <v>21</v>
      </c>
      <c r="L3464">
        <v>602.54999999999995</v>
      </c>
      <c r="M3464" t="s">
        <v>5030</v>
      </c>
      <c r="N3464" t="s">
        <v>5031</v>
      </c>
    </row>
    <row r="3465" spans="1:14" x14ac:dyDescent="0.3">
      <c r="A3465" t="s">
        <v>3489</v>
      </c>
      <c r="B3465" t="s">
        <v>19</v>
      </c>
      <c r="C3465" t="s">
        <v>13</v>
      </c>
      <c r="D3465">
        <v>37</v>
      </c>
      <c r="E3465" t="s">
        <v>26</v>
      </c>
      <c r="F3465" t="s">
        <v>15</v>
      </c>
      <c r="G3465">
        <v>91.15</v>
      </c>
      <c r="H3465">
        <v>3369.25</v>
      </c>
      <c r="I3465" t="s">
        <v>15</v>
      </c>
      <c r="J3465" t="s">
        <v>16</v>
      </c>
      <c r="K3465" t="s">
        <v>17</v>
      </c>
      <c r="L3465">
        <v>3369.25</v>
      </c>
      <c r="M3465" t="s">
        <v>5033</v>
      </c>
      <c r="N3465" t="s">
        <v>5034</v>
      </c>
    </row>
    <row r="3466" spans="1:14" x14ac:dyDescent="0.3">
      <c r="A3466" t="s">
        <v>3490</v>
      </c>
      <c r="B3466" t="s">
        <v>12</v>
      </c>
      <c r="C3466" t="s">
        <v>13</v>
      </c>
      <c r="D3466">
        <v>31</v>
      </c>
      <c r="E3466" t="s">
        <v>26</v>
      </c>
      <c r="F3466" t="s">
        <v>15</v>
      </c>
      <c r="G3466">
        <v>83.85</v>
      </c>
      <c r="H3466">
        <v>2674.15</v>
      </c>
      <c r="I3466" t="s">
        <v>15</v>
      </c>
      <c r="J3466" t="s">
        <v>16</v>
      </c>
      <c r="K3466" t="s">
        <v>24</v>
      </c>
      <c r="L3466">
        <v>2674.15</v>
      </c>
      <c r="M3466" t="s">
        <v>5032</v>
      </c>
      <c r="N3466" t="s">
        <v>5034</v>
      </c>
    </row>
    <row r="3467" spans="1:14" x14ac:dyDescent="0.3">
      <c r="A3467" t="s">
        <v>3491</v>
      </c>
      <c r="B3467" t="s">
        <v>19</v>
      </c>
      <c r="C3467" t="s">
        <v>13</v>
      </c>
      <c r="D3467">
        <v>4</v>
      </c>
      <c r="E3467" t="s">
        <v>14</v>
      </c>
      <c r="F3467" t="s">
        <v>15</v>
      </c>
      <c r="G3467">
        <v>45.9</v>
      </c>
      <c r="H3467">
        <v>199.75</v>
      </c>
      <c r="I3467" t="s">
        <v>15</v>
      </c>
      <c r="J3467" t="s">
        <v>16</v>
      </c>
      <c r="K3467" t="s">
        <v>17</v>
      </c>
      <c r="L3467">
        <v>199.75</v>
      </c>
      <c r="M3467" t="s">
        <v>5030</v>
      </c>
      <c r="N3467" t="s">
        <v>5031</v>
      </c>
    </row>
    <row r="3468" spans="1:14" x14ac:dyDescent="0.3">
      <c r="A3468" t="s">
        <v>3492</v>
      </c>
      <c r="B3468" t="s">
        <v>19</v>
      </c>
      <c r="C3468" t="s">
        <v>35</v>
      </c>
      <c r="D3468">
        <v>72</v>
      </c>
      <c r="E3468" t="s">
        <v>15</v>
      </c>
      <c r="F3468" t="s">
        <v>36</v>
      </c>
      <c r="G3468">
        <v>25.1</v>
      </c>
      <c r="H3468">
        <v>1790.8</v>
      </c>
      <c r="I3468" t="s">
        <v>15</v>
      </c>
      <c r="J3468" t="s">
        <v>16</v>
      </c>
      <c r="K3468" t="s">
        <v>29</v>
      </c>
      <c r="L3468">
        <v>1790.8</v>
      </c>
      <c r="M3468" t="s">
        <v>5033</v>
      </c>
      <c r="N3468" t="s">
        <v>5031</v>
      </c>
    </row>
    <row r="3469" spans="1:14" x14ac:dyDescent="0.3">
      <c r="A3469" t="s">
        <v>3493</v>
      </c>
      <c r="B3469" t="s">
        <v>19</v>
      </c>
      <c r="C3469" t="s">
        <v>13</v>
      </c>
      <c r="D3469">
        <v>5</v>
      </c>
      <c r="E3469" t="s">
        <v>26</v>
      </c>
      <c r="F3469" t="s">
        <v>15</v>
      </c>
      <c r="G3469">
        <v>91.4</v>
      </c>
      <c r="H3469">
        <v>449.75</v>
      </c>
      <c r="I3469" t="s">
        <v>16</v>
      </c>
      <c r="J3469" t="s">
        <v>16</v>
      </c>
      <c r="K3469" t="s">
        <v>17</v>
      </c>
      <c r="L3469">
        <v>449.75</v>
      </c>
      <c r="M3469" t="s">
        <v>5030</v>
      </c>
      <c r="N3469" t="s">
        <v>5031</v>
      </c>
    </row>
    <row r="3470" spans="1:14" x14ac:dyDescent="0.3">
      <c r="A3470" t="s">
        <v>3494</v>
      </c>
      <c r="B3470" t="s">
        <v>19</v>
      </c>
      <c r="C3470" t="s">
        <v>13</v>
      </c>
      <c r="D3470">
        <v>1</v>
      </c>
      <c r="E3470" t="s">
        <v>15</v>
      </c>
      <c r="F3470" t="s">
        <v>36</v>
      </c>
      <c r="G3470">
        <v>19.7</v>
      </c>
      <c r="H3470">
        <v>19.7</v>
      </c>
      <c r="I3470" t="s">
        <v>15</v>
      </c>
      <c r="J3470" t="s">
        <v>15</v>
      </c>
      <c r="K3470" t="s">
        <v>21</v>
      </c>
      <c r="L3470">
        <v>19.7</v>
      </c>
      <c r="M3470" t="s">
        <v>5030</v>
      </c>
      <c r="N3470" t="s">
        <v>5031</v>
      </c>
    </row>
    <row r="3471" spans="1:14" x14ac:dyDescent="0.3">
      <c r="A3471" t="s">
        <v>3495</v>
      </c>
      <c r="B3471" t="s">
        <v>12</v>
      </c>
      <c r="C3471" t="s">
        <v>13</v>
      </c>
      <c r="D3471">
        <v>15</v>
      </c>
      <c r="E3471" t="s">
        <v>26</v>
      </c>
      <c r="F3471" t="s">
        <v>15</v>
      </c>
      <c r="G3471">
        <v>91.5</v>
      </c>
      <c r="H3471">
        <v>1400.3</v>
      </c>
      <c r="I3471" t="s">
        <v>15</v>
      </c>
      <c r="J3471" t="s">
        <v>16</v>
      </c>
      <c r="K3471" t="s">
        <v>17</v>
      </c>
      <c r="L3471">
        <v>1400.3</v>
      </c>
      <c r="M3471" t="s">
        <v>5032</v>
      </c>
      <c r="N3471" t="s">
        <v>5031</v>
      </c>
    </row>
    <row r="3472" spans="1:14" x14ac:dyDescent="0.3">
      <c r="A3472" t="s">
        <v>3496</v>
      </c>
      <c r="B3472" t="s">
        <v>19</v>
      </c>
      <c r="C3472" t="s">
        <v>13</v>
      </c>
      <c r="D3472">
        <v>8</v>
      </c>
      <c r="E3472" t="s">
        <v>14</v>
      </c>
      <c r="F3472" t="s">
        <v>15</v>
      </c>
      <c r="G3472">
        <v>51.3</v>
      </c>
      <c r="H3472">
        <v>411.6</v>
      </c>
      <c r="I3472" t="s">
        <v>15</v>
      </c>
      <c r="J3472" t="s">
        <v>16</v>
      </c>
      <c r="K3472" t="s">
        <v>29</v>
      </c>
      <c r="L3472">
        <v>411.6</v>
      </c>
      <c r="M3472" t="s">
        <v>5030</v>
      </c>
      <c r="N3472" t="s">
        <v>5031</v>
      </c>
    </row>
    <row r="3473" spans="1:14" x14ac:dyDescent="0.3">
      <c r="A3473" t="s">
        <v>3497</v>
      </c>
      <c r="B3473" t="s">
        <v>12</v>
      </c>
      <c r="C3473" t="s">
        <v>20</v>
      </c>
      <c r="D3473">
        <v>35</v>
      </c>
      <c r="E3473" t="s">
        <v>15</v>
      </c>
      <c r="F3473" t="s">
        <v>36</v>
      </c>
      <c r="G3473">
        <v>21.1</v>
      </c>
      <c r="H3473">
        <v>741</v>
      </c>
      <c r="I3473" t="s">
        <v>15</v>
      </c>
      <c r="J3473" t="s">
        <v>15</v>
      </c>
      <c r="K3473" t="s">
        <v>21</v>
      </c>
      <c r="L3473">
        <v>741</v>
      </c>
      <c r="M3473" t="s">
        <v>5032</v>
      </c>
      <c r="N3473" t="s">
        <v>5031</v>
      </c>
    </row>
    <row r="3474" spans="1:14" x14ac:dyDescent="0.3">
      <c r="A3474" t="s">
        <v>3498</v>
      </c>
      <c r="B3474" t="s">
        <v>12</v>
      </c>
      <c r="C3474" t="s">
        <v>13</v>
      </c>
      <c r="D3474">
        <v>56</v>
      </c>
      <c r="E3474" t="s">
        <v>26</v>
      </c>
      <c r="F3474" t="s">
        <v>15</v>
      </c>
      <c r="G3474">
        <v>104.75</v>
      </c>
      <c r="H3474">
        <v>5841.35</v>
      </c>
      <c r="I3474" t="s">
        <v>15</v>
      </c>
      <c r="J3474" t="s">
        <v>15</v>
      </c>
      <c r="K3474" t="s">
        <v>17</v>
      </c>
      <c r="L3474">
        <v>5841.35</v>
      </c>
      <c r="M3474" t="s">
        <v>5033</v>
      </c>
      <c r="N3474" t="s">
        <v>5034</v>
      </c>
    </row>
    <row r="3475" spans="1:14" x14ac:dyDescent="0.3">
      <c r="A3475" t="s">
        <v>3499</v>
      </c>
      <c r="B3475" t="s">
        <v>19</v>
      </c>
      <c r="C3475" t="s">
        <v>13</v>
      </c>
      <c r="D3475">
        <v>42</v>
      </c>
      <c r="E3475" t="s">
        <v>26</v>
      </c>
      <c r="F3475" t="s">
        <v>16</v>
      </c>
      <c r="G3475">
        <v>106.15</v>
      </c>
      <c r="H3475">
        <v>4512.7</v>
      </c>
      <c r="I3475" t="s">
        <v>16</v>
      </c>
      <c r="J3475" t="s">
        <v>16</v>
      </c>
      <c r="K3475" t="s">
        <v>24</v>
      </c>
      <c r="L3475">
        <v>4512.7</v>
      </c>
      <c r="M3475" t="s">
        <v>5033</v>
      </c>
      <c r="N3475" t="s">
        <v>5034</v>
      </c>
    </row>
    <row r="3476" spans="1:14" x14ac:dyDescent="0.3">
      <c r="A3476" t="s">
        <v>3500</v>
      </c>
      <c r="B3476" t="s">
        <v>19</v>
      </c>
      <c r="C3476" t="s">
        <v>13</v>
      </c>
      <c r="D3476">
        <v>65</v>
      </c>
      <c r="E3476" t="s">
        <v>26</v>
      </c>
      <c r="F3476" t="s">
        <v>15</v>
      </c>
      <c r="G3476">
        <v>85.75</v>
      </c>
      <c r="H3476">
        <v>5688.45</v>
      </c>
      <c r="I3476" t="s">
        <v>15</v>
      </c>
      <c r="J3476" t="s">
        <v>16</v>
      </c>
      <c r="K3476" t="s">
        <v>17</v>
      </c>
      <c r="L3476">
        <v>5688.45</v>
      </c>
      <c r="M3476" t="s">
        <v>5033</v>
      </c>
      <c r="N3476" t="s">
        <v>5034</v>
      </c>
    </row>
    <row r="3477" spans="1:14" x14ac:dyDescent="0.3">
      <c r="A3477" t="s">
        <v>3501</v>
      </c>
      <c r="B3477" t="s">
        <v>12</v>
      </c>
      <c r="C3477" t="s">
        <v>20</v>
      </c>
      <c r="D3477">
        <v>2</v>
      </c>
      <c r="E3477" t="s">
        <v>15</v>
      </c>
      <c r="F3477" t="s">
        <v>36</v>
      </c>
      <c r="G3477">
        <v>20.3</v>
      </c>
      <c r="H3477">
        <v>31.9</v>
      </c>
      <c r="I3477" t="s">
        <v>15</v>
      </c>
      <c r="J3477" t="s">
        <v>15</v>
      </c>
      <c r="K3477" t="s">
        <v>21</v>
      </c>
      <c r="L3477">
        <v>31.9</v>
      </c>
      <c r="M3477" t="s">
        <v>5030</v>
      </c>
      <c r="N3477" t="s">
        <v>5031</v>
      </c>
    </row>
    <row r="3478" spans="1:14" x14ac:dyDescent="0.3">
      <c r="A3478" t="s">
        <v>3502</v>
      </c>
      <c r="B3478" t="s">
        <v>19</v>
      </c>
      <c r="C3478" t="s">
        <v>20</v>
      </c>
      <c r="D3478">
        <v>65</v>
      </c>
      <c r="E3478" t="s">
        <v>26</v>
      </c>
      <c r="F3478" t="s">
        <v>15</v>
      </c>
      <c r="G3478">
        <v>100.75</v>
      </c>
      <c r="H3478">
        <v>6674.65</v>
      </c>
      <c r="I3478" t="s">
        <v>15</v>
      </c>
      <c r="J3478" t="s">
        <v>16</v>
      </c>
      <c r="K3478" t="s">
        <v>17</v>
      </c>
      <c r="L3478">
        <v>6674.65</v>
      </c>
      <c r="M3478" t="s">
        <v>5033</v>
      </c>
      <c r="N3478" t="s">
        <v>5034</v>
      </c>
    </row>
    <row r="3479" spans="1:14" x14ac:dyDescent="0.3">
      <c r="A3479" t="s">
        <v>3503</v>
      </c>
      <c r="B3479" t="s">
        <v>12</v>
      </c>
      <c r="C3479" t="s">
        <v>13</v>
      </c>
      <c r="D3479">
        <v>18</v>
      </c>
      <c r="E3479" t="s">
        <v>26</v>
      </c>
      <c r="F3479" t="s">
        <v>15</v>
      </c>
      <c r="G3479">
        <v>74.150000000000006</v>
      </c>
      <c r="H3479">
        <v>1345.75</v>
      </c>
      <c r="I3479" t="s">
        <v>15</v>
      </c>
      <c r="J3479" t="s">
        <v>16</v>
      </c>
      <c r="K3479" t="s">
        <v>17</v>
      </c>
      <c r="L3479">
        <v>1345.75</v>
      </c>
      <c r="M3479" t="s">
        <v>5032</v>
      </c>
      <c r="N3479" t="s">
        <v>5031</v>
      </c>
    </row>
    <row r="3480" spans="1:14" x14ac:dyDescent="0.3">
      <c r="A3480" t="s">
        <v>3504</v>
      </c>
      <c r="B3480" t="s">
        <v>12</v>
      </c>
      <c r="C3480" t="s">
        <v>20</v>
      </c>
      <c r="D3480">
        <v>23</v>
      </c>
      <c r="E3480" t="s">
        <v>14</v>
      </c>
      <c r="F3480" t="s">
        <v>15</v>
      </c>
      <c r="G3480">
        <v>78.55</v>
      </c>
      <c r="H3480">
        <v>1843.05</v>
      </c>
      <c r="I3480" t="s">
        <v>15</v>
      </c>
      <c r="J3480" t="s">
        <v>16</v>
      </c>
      <c r="K3480" t="s">
        <v>17</v>
      </c>
      <c r="L3480">
        <v>1843.05</v>
      </c>
      <c r="M3480" t="s">
        <v>5032</v>
      </c>
      <c r="N3480" t="s">
        <v>5031</v>
      </c>
    </row>
    <row r="3481" spans="1:14" x14ac:dyDescent="0.3">
      <c r="A3481" t="s">
        <v>3505</v>
      </c>
      <c r="B3481" t="s">
        <v>12</v>
      </c>
      <c r="C3481" t="s">
        <v>13</v>
      </c>
      <c r="D3481">
        <v>4</v>
      </c>
      <c r="E3481" t="s">
        <v>14</v>
      </c>
      <c r="F3481" t="s">
        <v>15</v>
      </c>
      <c r="G3481">
        <v>45.3</v>
      </c>
      <c r="H3481">
        <v>196.95</v>
      </c>
      <c r="I3481" t="s">
        <v>16</v>
      </c>
      <c r="J3481" t="s">
        <v>16</v>
      </c>
      <c r="K3481" t="s">
        <v>21</v>
      </c>
      <c r="L3481">
        <v>196.95</v>
      </c>
      <c r="M3481" t="s">
        <v>5030</v>
      </c>
      <c r="N3481" t="s">
        <v>5031</v>
      </c>
    </row>
    <row r="3482" spans="1:14" x14ac:dyDescent="0.3">
      <c r="A3482" t="s">
        <v>3506</v>
      </c>
      <c r="B3482" t="s">
        <v>19</v>
      </c>
      <c r="C3482" t="s">
        <v>35</v>
      </c>
      <c r="D3482">
        <v>70</v>
      </c>
      <c r="E3482" t="s">
        <v>15</v>
      </c>
      <c r="F3482" t="s">
        <v>36</v>
      </c>
      <c r="G3482">
        <v>19.850000000000001</v>
      </c>
      <c r="H3482">
        <v>1433.8</v>
      </c>
      <c r="I3482" t="s">
        <v>15</v>
      </c>
      <c r="J3482" t="s">
        <v>15</v>
      </c>
      <c r="K3482" t="s">
        <v>29</v>
      </c>
      <c r="L3482">
        <v>1433.8</v>
      </c>
      <c r="M3482" t="s">
        <v>5033</v>
      </c>
      <c r="N3482" t="s">
        <v>5031</v>
      </c>
    </row>
    <row r="3483" spans="1:14" x14ac:dyDescent="0.3">
      <c r="A3483" t="s">
        <v>3507</v>
      </c>
      <c r="B3483" t="s">
        <v>12</v>
      </c>
      <c r="C3483" t="s">
        <v>13</v>
      </c>
      <c r="D3483">
        <v>4</v>
      </c>
      <c r="E3483" t="s">
        <v>14</v>
      </c>
      <c r="F3483" t="s">
        <v>15</v>
      </c>
      <c r="G3483">
        <v>50.7</v>
      </c>
      <c r="H3483">
        <v>214.55</v>
      </c>
      <c r="I3483" t="s">
        <v>15</v>
      </c>
      <c r="J3483" t="s">
        <v>15</v>
      </c>
      <c r="K3483" t="s">
        <v>17</v>
      </c>
      <c r="L3483">
        <v>214.55</v>
      </c>
      <c r="M3483" t="s">
        <v>5030</v>
      </c>
      <c r="N3483" t="s">
        <v>5031</v>
      </c>
    </row>
    <row r="3484" spans="1:14" x14ac:dyDescent="0.3">
      <c r="A3484" t="s">
        <v>3508</v>
      </c>
      <c r="B3484" t="s">
        <v>19</v>
      </c>
      <c r="C3484" t="s">
        <v>13</v>
      </c>
      <c r="D3484">
        <v>19</v>
      </c>
      <c r="E3484" t="s">
        <v>14</v>
      </c>
      <c r="F3484" t="s">
        <v>15</v>
      </c>
      <c r="G3484">
        <v>45</v>
      </c>
      <c r="H3484">
        <v>865.85</v>
      </c>
      <c r="I3484" t="s">
        <v>15</v>
      </c>
      <c r="J3484" t="s">
        <v>16</v>
      </c>
      <c r="K3484" t="s">
        <v>24</v>
      </c>
      <c r="L3484">
        <v>865.85</v>
      </c>
      <c r="M3484" t="s">
        <v>5032</v>
      </c>
      <c r="N3484" t="s">
        <v>5031</v>
      </c>
    </row>
    <row r="3485" spans="1:14" x14ac:dyDescent="0.3">
      <c r="A3485" t="s">
        <v>3509</v>
      </c>
      <c r="B3485" t="s">
        <v>12</v>
      </c>
      <c r="C3485" t="s">
        <v>13</v>
      </c>
      <c r="D3485">
        <v>18</v>
      </c>
      <c r="E3485" t="s">
        <v>26</v>
      </c>
      <c r="F3485" t="s">
        <v>15</v>
      </c>
      <c r="G3485">
        <v>77.8</v>
      </c>
      <c r="H3485">
        <v>1358.6</v>
      </c>
      <c r="I3485" t="s">
        <v>15</v>
      </c>
      <c r="J3485" t="s">
        <v>15</v>
      </c>
      <c r="K3485" t="s">
        <v>17</v>
      </c>
      <c r="L3485">
        <v>1358.6</v>
      </c>
      <c r="M3485" t="s">
        <v>5032</v>
      </c>
      <c r="N3485" t="s">
        <v>5031</v>
      </c>
    </row>
    <row r="3486" spans="1:14" x14ac:dyDescent="0.3">
      <c r="A3486" t="s">
        <v>3510</v>
      </c>
      <c r="B3486" t="s">
        <v>12</v>
      </c>
      <c r="C3486" t="s">
        <v>13</v>
      </c>
      <c r="D3486">
        <v>38</v>
      </c>
      <c r="E3486" t="s">
        <v>26</v>
      </c>
      <c r="F3486" t="s">
        <v>15</v>
      </c>
      <c r="G3486">
        <v>83.45</v>
      </c>
      <c r="H3486">
        <v>3147.15</v>
      </c>
      <c r="I3486" t="s">
        <v>15</v>
      </c>
      <c r="J3486" t="s">
        <v>16</v>
      </c>
      <c r="K3486" t="s">
        <v>17</v>
      </c>
      <c r="L3486">
        <v>3147.15</v>
      </c>
      <c r="M3486" t="s">
        <v>5033</v>
      </c>
      <c r="N3486" t="s">
        <v>5034</v>
      </c>
    </row>
    <row r="3487" spans="1:14" x14ac:dyDescent="0.3">
      <c r="A3487" t="s">
        <v>3511</v>
      </c>
      <c r="B3487" t="s">
        <v>19</v>
      </c>
      <c r="C3487" t="s">
        <v>13</v>
      </c>
      <c r="D3487">
        <v>2</v>
      </c>
      <c r="E3487" t="s">
        <v>26</v>
      </c>
      <c r="F3487" t="s">
        <v>15</v>
      </c>
      <c r="G3487">
        <v>73.25</v>
      </c>
      <c r="H3487">
        <v>131.05000000000001</v>
      </c>
      <c r="I3487" t="s">
        <v>16</v>
      </c>
      <c r="J3487" t="s">
        <v>16</v>
      </c>
      <c r="K3487" t="s">
        <v>29</v>
      </c>
      <c r="L3487">
        <v>131.05000000000001</v>
      </c>
      <c r="M3487" t="s">
        <v>5030</v>
      </c>
      <c r="N3487" t="s">
        <v>5031</v>
      </c>
    </row>
    <row r="3488" spans="1:14" x14ac:dyDescent="0.3">
      <c r="A3488" t="s">
        <v>3512</v>
      </c>
      <c r="B3488" t="s">
        <v>19</v>
      </c>
      <c r="C3488" t="s">
        <v>20</v>
      </c>
      <c r="D3488">
        <v>47</v>
      </c>
      <c r="E3488" t="s">
        <v>26</v>
      </c>
      <c r="F3488" t="s">
        <v>15</v>
      </c>
      <c r="G3488">
        <v>94.8</v>
      </c>
      <c r="H3488">
        <v>4535.8500000000004</v>
      </c>
      <c r="I3488" t="s">
        <v>15</v>
      </c>
      <c r="J3488" t="s">
        <v>15</v>
      </c>
      <c r="K3488" t="s">
        <v>24</v>
      </c>
      <c r="L3488">
        <v>4535.8500000000004</v>
      </c>
      <c r="M3488" t="s">
        <v>5033</v>
      </c>
      <c r="N3488" t="s">
        <v>5034</v>
      </c>
    </row>
    <row r="3489" spans="1:14" x14ac:dyDescent="0.3">
      <c r="A3489" t="s">
        <v>3513</v>
      </c>
      <c r="B3489" t="s">
        <v>12</v>
      </c>
      <c r="C3489" t="s">
        <v>35</v>
      </c>
      <c r="D3489">
        <v>52</v>
      </c>
      <c r="E3489" t="s">
        <v>15</v>
      </c>
      <c r="F3489" t="s">
        <v>36</v>
      </c>
      <c r="G3489">
        <v>20.100000000000001</v>
      </c>
      <c r="H3489">
        <v>1078.75</v>
      </c>
      <c r="I3489" t="s">
        <v>15</v>
      </c>
      <c r="J3489" t="s">
        <v>15</v>
      </c>
      <c r="K3489" t="s">
        <v>24</v>
      </c>
      <c r="L3489">
        <v>1078.75</v>
      </c>
      <c r="M3489" t="s">
        <v>5033</v>
      </c>
      <c r="N3489" t="s">
        <v>5031</v>
      </c>
    </row>
    <row r="3490" spans="1:14" x14ac:dyDescent="0.3">
      <c r="A3490" t="s">
        <v>3514</v>
      </c>
      <c r="B3490" t="s">
        <v>19</v>
      </c>
      <c r="C3490" t="s">
        <v>13</v>
      </c>
      <c r="D3490">
        <v>9</v>
      </c>
      <c r="E3490" t="s">
        <v>14</v>
      </c>
      <c r="F3490" t="s">
        <v>15</v>
      </c>
      <c r="G3490">
        <v>59.9</v>
      </c>
      <c r="H3490">
        <v>542.4</v>
      </c>
      <c r="I3490" t="s">
        <v>15</v>
      </c>
      <c r="J3490" t="s">
        <v>15</v>
      </c>
      <c r="K3490" t="s">
        <v>21</v>
      </c>
      <c r="L3490">
        <v>542.4</v>
      </c>
      <c r="M3490" t="s">
        <v>5030</v>
      </c>
      <c r="N3490" t="s">
        <v>5031</v>
      </c>
    </row>
    <row r="3491" spans="1:14" x14ac:dyDescent="0.3">
      <c r="A3491" t="s">
        <v>3515</v>
      </c>
      <c r="B3491" t="s">
        <v>12</v>
      </c>
      <c r="C3491" t="s">
        <v>20</v>
      </c>
      <c r="D3491">
        <v>26</v>
      </c>
      <c r="E3491" t="s">
        <v>14</v>
      </c>
      <c r="F3491" t="s">
        <v>16</v>
      </c>
      <c r="G3491">
        <v>90.1</v>
      </c>
      <c r="H3491">
        <v>2312.5500000000002</v>
      </c>
      <c r="I3491" t="s">
        <v>15</v>
      </c>
      <c r="J3491" t="s">
        <v>16</v>
      </c>
      <c r="K3491" t="s">
        <v>29</v>
      </c>
      <c r="L3491">
        <v>2312.5500000000002</v>
      </c>
      <c r="M3491" t="s">
        <v>5032</v>
      </c>
      <c r="N3491" t="s">
        <v>5031</v>
      </c>
    </row>
    <row r="3492" spans="1:14" x14ac:dyDescent="0.3">
      <c r="A3492" t="s">
        <v>3516</v>
      </c>
      <c r="B3492" t="s">
        <v>19</v>
      </c>
      <c r="C3492" t="s">
        <v>13</v>
      </c>
      <c r="D3492">
        <v>8</v>
      </c>
      <c r="E3492" t="s">
        <v>14</v>
      </c>
      <c r="F3492" t="s">
        <v>15</v>
      </c>
      <c r="G3492">
        <v>51.05</v>
      </c>
      <c r="H3492">
        <v>415.05</v>
      </c>
      <c r="I3492" t="s">
        <v>16</v>
      </c>
      <c r="J3492" t="s">
        <v>16</v>
      </c>
      <c r="K3492" t="s">
        <v>17</v>
      </c>
      <c r="L3492">
        <v>415.05</v>
      </c>
      <c r="M3492" t="s">
        <v>5030</v>
      </c>
      <c r="N3492" t="s">
        <v>5031</v>
      </c>
    </row>
    <row r="3493" spans="1:14" x14ac:dyDescent="0.3">
      <c r="A3493" t="s">
        <v>3517</v>
      </c>
      <c r="B3493" t="s">
        <v>19</v>
      </c>
      <c r="C3493" t="s">
        <v>20</v>
      </c>
      <c r="D3493">
        <v>44</v>
      </c>
      <c r="E3493" t="s">
        <v>14</v>
      </c>
      <c r="F3493" t="s">
        <v>16</v>
      </c>
      <c r="G3493">
        <v>70.95</v>
      </c>
      <c r="H3493">
        <v>3250.45</v>
      </c>
      <c r="I3493" t="s">
        <v>15</v>
      </c>
      <c r="J3493" t="s">
        <v>16</v>
      </c>
      <c r="K3493" t="s">
        <v>17</v>
      </c>
      <c r="L3493">
        <v>3250.45</v>
      </c>
      <c r="M3493" t="s">
        <v>5033</v>
      </c>
      <c r="N3493" t="s">
        <v>5034</v>
      </c>
    </row>
    <row r="3494" spans="1:14" x14ac:dyDescent="0.3">
      <c r="A3494" t="s">
        <v>3518</v>
      </c>
      <c r="B3494" t="s">
        <v>12</v>
      </c>
      <c r="C3494" t="s">
        <v>13</v>
      </c>
      <c r="D3494">
        <v>3</v>
      </c>
      <c r="E3494" t="s">
        <v>14</v>
      </c>
      <c r="F3494" t="s">
        <v>15</v>
      </c>
      <c r="G3494">
        <v>29.2</v>
      </c>
      <c r="H3494">
        <v>98.5</v>
      </c>
      <c r="I3494" t="s">
        <v>15</v>
      </c>
      <c r="J3494" t="s">
        <v>15</v>
      </c>
      <c r="K3494" t="s">
        <v>21</v>
      </c>
      <c r="L3494">
        <v>98.5</v>
      </c>
      <c r="M3494" t="s">
        <v>5030</v>
      </c>
      <c r="N3494" t="s">
        <v>5031</v>
      </c>
    </row>
    <row r="3495" spans="1:14" x14ac:dyDescent="0.3">
      <c r="A3495" t="s">
        <v>3519</v>
      </c>
      <c r="B3495" t="s">
        <v>19</v>
      </c>
      <c r="C3495" t="s">
        <v>13</v>
      </c>
      <c r="D3495">
        <v>2</v>
      </c>
      <c r="E3495" t="s">
        <v>14</v>
      </c>
      <c r="F3495" t="s">
        <v>15</v>
      </c>
      <c r="G3495">
        <v>46.6</v>
      </c>
      <c r="H3495">
        <v>87.9</v>
      </c>
      <c r="I3495" t="s">
        <v>15</v>
      </c>
      <c r="J3495" t="s">
        <v>16</v>
      </c>
      <c r="K3495" t="s">
        <v>24</v>
      </c>
      <c r="L3495">
        <v>87.9</v>
      </c>
      <c r="M3495" t="s">
        <v>5030</v>
      </c>
      <c r="N3495" t="s">
        <v>5031</v>
      </c>
    </row>
    <row r="3496" spans="1:14" x14ac:dyDescent="0.3">
      <c r="A3496" t="s">
        <v>3520</v>
      </c>
      <c r="B3496" t="s">
        <v>12</v>
      </c>
      <c r="C3496" t="s">
        <v>13</v>
      </c>
      <c r="D3496">
        <v>9</v>
      </c>
      <c r="E3496" t="s">
        <v>26</v>
      </c>
      <c r="F3496" t="s">
        <v>15</v>
      </c>
      <c r="G3496">
        <v>85.35</v>
      </c>
      <c r="H3496">
        <v>754.65</v>
      </c>
      <c r="I3496" t="s">
        <v>16</v>
      </c>
      <c r="J3496" t="s">
        <v>16</v>
      </c>
      <c r="K3496" t="s">
        <v>24</v>
      </c>
      <c r="L3496">
        <v>754.65</v>
      </c>
      <c r="M3496" t="s">
        <v>5030</v>
      </c>
      <c r="N3496" t="s">
        <v>5031</v>
      </c>
    </row>
    <row r="3497" spans="1:14" x14ac:dyDescent="0.3">
      <c r="A3497" t="s">
        <v>3521</v>
      </c>
      <c r="B3497" t="s">
        <v>19</v>
      </c>
      <c r="C3497" t="s">
        <v>13</v>
      </c>
      <c r="D3497">
        <v>1</v>
      </c>
      <c r="E3497" t="s">
        <v>26</v>
      </c>
      <c r="F3497" t="s">
        <v>15</v>
      </c>
      <c r="G3497">
        <v>75.349999999999994</v>
      </c>
      <c r="H3497">
        <v>75.349999999999994</v>
      </c>
      <c r="I3497" t="s">
        <v>16</v>
      </c>
      <c r="J3497" t="s">
        <v>16</v>
      </c>
      <c r="K3497" t="s">
        <v>17</v>
      </c>
      <c r="L3497">
        <v>75.349999999999994</v>
      </c>
      <c r="M3497" t="s">
        <v>5030</v>
      </c>
      <c r="N3497" t="s">
        <v>5031</v>
      </c>
    </row>
    <row r="3498" spans="1:14" x14ac:dyDescent="0.3">
      <c r="A3498" t="s">
        <v>3522</v>
      </c>
      <c r="B3498" t="s">
        <v>19</v>
      </c>
      <c r="C3498" t="s">
        <v>13</v>
      </c>
      <c r="D3498">
        <v>25</v>
      </c>
      <c r="E3498" t="s">
        <v>26</v>
      </c>
      <c r="F3498" t="s">
        <v>15</v>
      </c>
      <c r="G3498">
        <v>74.3</v>
      </c>
      <c r="H3498">
        <v>1952.25</v>
      </c>
      <c r="I3498" t="s">
        <v>15</v>
      </c>
      <c r="J3498" t="s">
        <v>15</v>
      </c>
      <c r="K3498" t="s">
        <v>24</v>
      </c>
      <c r="L3498">
        <v>1952.25</v>
      </c>
      <c r="M3498" t="s">
        <v>5032</v>
      </c>
      <c r="N3498" t="s">
        <v>5031</v>
      </c>
    </row>
    <row r="3499" spans="1:14" x14ac:dyDescent="0.3">
      <c r="A3499" t="s">
        <v>3523</v>
      </c>
      <c r="B3499" t="s">
        <v>12</v>
      </c>
      <c r="C3499" t="s">
        <v>13</v>
      </c>
      <c r="D3499">
        <v>2</v>
      </c>
      <c r="E3499" t="s">
        <v>26</v>
      </c>
      <c r="F3499" t="s">
        <v>15</v>
      </c>
      <c r="G3499">
        <v>69.3</v>
      </c>
      <c r="H3499">
        <v>153.80000000000001</v>
      </c>
      <c r="I3499" t="s">
        <v>15</v>
      </c>
      <c r="J3499" t="s">
        <v>16</v>
      </c>
      <c r="K3499" t="s">
        <v>17</v>
      </c>
      <c r="L3499">
        <v>153.80000000000001</v>
      </c>
      <c r="M3499" t="s">
        <v>5030</v>
      </c>
      <c r="N3499" t="s">
        <v>5031</v>
      </c>
    </row>
    <row r="3500" spans="1:14" x14ac:dyDescent="0.3">
      <c r="A3500" t="s">
        <v>3524</v>
      </c>
      <c r="B3500" t="s">
        <v>19</v>
      </c>
      <c r="C3500" t="s">
        <v>13</v>
      </c>
      <c r="D3500">
        <v>43</v>
      </c>
      <c r="E3500" t="s">
        <v>26</v>
      </c>
      <c r="F3500" t="s">
        <v>15</v>
      </c>
      <c r="G3500">
        <v>75.2</v>
      </c>
      <c r="H3500">
        <v>3198.6</v>
      </c>
      <c r="I3500" t="s">
        <v>16</v>
      </c>
      <c r="J3500" t="s">
        <v>16</v>
      </c>
      <c r="K3500" t="s">
        <v>17</v>
      </c>
      <c r="L3500">
        <v>3198.6</v>
      </c>
      <c r="M3500" t="s">
        <v>5033</v>
      </c>
      <c r="N3500" t="s">
        <v>5034</v>
      </c>
    </row>
    <row r="3501" spans="1:14" x14ac:dyDescent="0.3">
      <c r="A3501" t="s">
        <v>3525</v>
      </c>
      <c r="B3501" t="s">
        <v>12</v>
      </c>
      <c r="C3501" t="s">
        <v>13</v>
      </c>
      <c r="D3501">
        <v>1</v>
      </c>
      <c r="E3501" t="s">
        <v>15</v>
      </c>
      <c r="F3501" t="s">
        <v>36</v>
      </c>
      <c r="G3501">
        <v>20.9</v>
      </c>
      <c r="H3501">
        <v>20.9</v>
      </c>
      <c r="I3501" t="s">
        <v>16</v>
      </c>
      <c r="J3501" t="s">
        <v>15</v>
      </c>
      <c r="K3501" t="s">
        <v>21</v>
      </c>
      <c r="L3501">
        <v>20.9</v>
      </c>
      <c r="M3501" t="s">
        <v>5030</v>
      </c>
      <c r="N3501" t="s">
        <v>5031</v>
      </c>
    </row>
    <row r="3502" spans="1:14" x14ac:dyDescent="0.3">
      <c r="A3502" t="s">
        <v>3526</v>
      </c>
      <c r="B3502" t="s">
        <v>12</v>
      </c>
      <c r="C3502" t="s">
        <v>20</v>
      </c>
      <c r="D3502">
        <v>58</v>
      </c>
      <c r="E3502" t="s">
        <v>26</v>
      </c>
      <c r="F3502" t="s">
        <v>15</v>
      </c>
      <c r="G3502">
        <v>94.3</v>
      </c>
      <c r="H3502">
        <v>5610.15</v>
      </c>
      <c r="I3502" t="s">
        <v>15</v>
      </c>
      <c r="J3502" t="s">
        <v>16</v>
      </c>
      <c r="K3502" t="s">
        <v>17</v>
      </c>
      <c r="L3502">
        <v>5610.15</v>
      </c>
      <c r="M3502" t="s">
        <v>5033</v>
      </c>
      <c r="N3502" t="s">
        <v>5034</v>
      </c>
    </row>
    <row r="3503" spans="1:14" x14ac:dyDescent="0.3">
      <c r="A3503" t="s">
        <v>3527</v>
      </c>
      <c r="B3503" t="s">
        <v>12</v>
      </c>
      <c r="C3503" t="s">
        <v>35</v>
      </c>
      <c r="D3503">
        <v>59</v>
      </c>
      <c r="E3503" t="s">
        <v>14</v>
      </c>
      <c r="F3503" t="s">
        <v>16</v>
      </c>
      <c r="G3503">
        <v>76.45</v>
      </c>
      <c r="H3503">
        <v>4519.5</v>
      </c>
      <c r="I3503" t="s">
        <v>15</v>
      </c>
      <c r="J3503" t="s">
        <v>16</v>
      </c>
      <c r="K3503" t="s">
        <v>21</v>
      </c>
      <c r="L3503">
        <v>4519.5</v>
      </c>
      <c r="M3503" t="s">
        <v>5033</v>
      </c>
      <c r="N3503" t="s">
        <v>5034</v>
      </c>
    </row>
    <row r="3504" spans="1:14" x14ac:dyDescent="0.3">
      <c r="A3504" t="s">
        <v>3528</v>
      </c>
      <c r="B3504" t="s">
        <v>19</v>
      </c>
      <c r="C3504" t="s">
        <v>20</v>
      </c>
      <c r="D3504">
        <v>44</v>
      </c>
      <c r="E3504" t="s">
        <v>14</v>
      </c>
      <c r="F3504" t="s">
        <v>15</v>
      </c>
      <c r="G3504">
        <v>54</v>
      </c>
      <c r="H3504">
        <v>2440.25</v>
      </c>
      <c r="I3504" t="s">
        <v>15</v>
      </c>
      <c r="J3504" t="s">
        <v>16</v>
      </c>
      <c r="K3504" t="s">
        <v>17</v>
      </c>
      <c r="L3504">
        <v>2440.25</v>
      </c>
      <c r="M3504" t="s">
        <v>5033</v>
      </c>
      <c r="N3504" t="s">
        <v>5031</v>
      </c>
    </row>
    <row r="3505" spans="1:14" x14ac:dyDescent="0.3">
      <c r="A3505" t="s">
        <v>3529</v>
      </c>
      <c r="B3505" t="s">
        <v>19</v>
      </c>
      <c r="C3505" t="s">
        <v>20</v>
      </c>
      <c r="D3505">
        <v>66</v>
      </c>
      <c r="E3505" t="s">
        <v>26</v>
      </c>
      <c r="F3505" t="s">
        <v>16</v>
      </c>
      <c r="G3505">
        <v>104.25</v>
      </c>
      <c r="H3505">
        <v>6860.6</v>
      </c>
      <c r="I3505" t="s">
        <v>15</v>
      </c>
      <c r="J3505" t="s">
        <v>16</v>
      </c>
      <c r="K3505" t="s">
        <v>17</v>
      </c>
      <c r="L3505">
        <v>6860.6</v>
      </c>
      <c r="M3505" t="s">
        <v>5033</v>
      </c>
      <c r="N3505" t="s">
        <v>5034</v>
      </c>
    </row>
    <row r="3506" spans="1:14" x14ac:dyDescent="0.3">
      <c r="A3506" t="s">
        <v>3530</v>
      </c>
      <c r="B3506" t="s">
        <v>19</v>
      </c>
      <c r="C3506" t="s">
        <v>35</v>
      </c>
      <c r="D3506">
        <v>68</v>
      </c>
      <c r="E3506" t="s">
        <v>15</v>
      </c>
      <c r="F3506" t="s">
        <v>36</v>
      </c>
      <c r="G3506">
        <v>19.95</v>
      </c>
      <c r="H3506">
        <v>1377.7</v>
      </c>
      <c r="I3506" t="s">
        <v>15</v>
      </c>
      <c r="J3506" t="s">
        <v>15</v>
      </c>
      <c r="K3506" t="s">
        <v>24</v>
      </c>
      <c r="L3506">
        <v>1377.7</v>
      </c>
      <c r="M3506" t="s">
        <v>5033</v>
      </c>
      <c r="N3506" t="s">
        <v>5031</v>
      </c>
    </row>
    <row r="3507" spans="1:14" x14ac:dyDescent="0.3">
      <c r="A3507" t="s">
        <v>3531</v>
      </c>
      <c r="B3507" t="s">
        <v>19</v>
      </c>
      <c r="C3507" t="s">
        <v>13</v>
      </c>
      <c r="D3507">
        <v>9</v>
      </c>
      <c r="E3507" t="s">
        <v>14</v>
      </c>
      <c r="F3507" t="s">
        <v>15</v>
      </c>
      <c r="G3507">
        <v>24.95</v>
      </c>
      <c r="H3507">
        <v>190.25</v>
      </c>
      <c r="I3507" t="s">
        <v>15</v>
      </c>
      <c r="J3507" t="s">
        <v>16</v>
      </c>
      <c r="K3507" t="s">
        <v>17</v>
      </c>
      <c r="L3507">
        <v>190.25</v>
      </c>
      <c r="M3507" t="s">
        <v>5030</v>
      </c>
      <c r="N3507" t="s">
        <v>5031</v>
      </c>
    </row>
    <row r="3508" spans="1:14" x14ac:dyDescent="0.3">
      <c r="A3508" t="s">
        <v>3532</v>
      </c>
      <c r="B3508" t="s">
        <v>19</v>
      </c>
      <c r="C3508" t="s">
        <v>13</v>
      </c>
      <c r="D3508">
        <v>19</v>
      </c>
      <c r="E3508" t="s">
        <v>26</v>
      </c>
      <c r="F3508" t="s">
        <v>15</v>
      </c>
      <c r="G3508">
        <v>84.75</v>
      </c>
      <c r="H3508">
        <v>1651.95</v>
      </c>
      <c r="I3508" t="s">
        <v>15</v>
      </c>
      <c r="J3508" t="s">
        <v>16</v>
      </c>
      <c r="K3508" t="s">
        <v>17</v>
      </c>
      <c r="L3508">
        <v>1651.95</v>
      </c>
      <c r="M3508" t="s">
        <v>5032</v>
      </c>
      <c r="N3508" t="s">
        <v>5031</v>
      </c>
    </row>
    <row r="3509" spans="1:14" x14ac:dyDescent="0.3">
      <c r="A3509" t="s">
        <v>3533</v>
      </c>
      <c r="B3509" t="s">
        <v>19</v>
      </c>
      <c r="C3509" t="s">
        <v>13</v>
      </c>
      <c r="D3509">
        <v>4</v>
      </c>
      <c r="E3509" t="s">
        <v>15</v>
      </c>
      <c r="F3509" t="s">
        <v>36</v>
      </c>
      <c r="G3509">
        <v>19.75</v>
      </c>
      <c r="H3509">
        <v>78.3</v>
      </c>
      <c r="I3509" t="s">
        <v>15</v>
      </c>
      <c r="J3509" t="s">
        <v>15</v>
      </c>
      <c r="K3509" t="s">
        <v>21</v>
      </c>
      <c r="L3509">
        <v>78.3</v>
      </c>
      <c r="M3509" t="s">
        <v>5030</v>
      </c>
      <c r="N3509" t="s">
        <v>5031</v>
      </c>
    </row>
    <row r="3510" spans="1:14" x14ac:dyDescent="0.3">
      <c r="A3510" t="s">
        <v>3534</v>
      </c>
      <c r="B3510" t="s">
        <v>12</v>
      </c>
      <c r="C3510" t="s">
        <v>35</v>
      </c>
      <c r="D3510">
        <v>70</v>
      </c>
      <c r="E3510" t="s">
        <v>26</v>
      </c>
      <c r="F3510" t="s">
        <v>16</v>
      </c>
      <c r="G3510">
        <v>113.65</v>
      </c>
      <c r="H3510">
        <v>7939.25</v>
      </c>
      <c r="I3510" t="s">
        <v>15</v>
      </c>
      <c r="J3510" t="s">
        <v>16</v>
      </c>
      <c r="K3510" t="s">
        <v>24</v>
      </c>
      <c r="L3510">
        <v>7939.25</v>
      </c>
      <c r="M3510" t="s">
        <v>5033</v>
      </c>
      <c r="N3510" t="s">
        <v>5034</v>
      </c>
    </row>
    <row r="3511" spans="1:14" x14ac:dyDescent="0.3">
      <c r="A3511" t="s">
        <v>3535</v>
      </c>
      <c r="B3511" t="s">
        <v>19</v>
      </c>
      <c r="C3511" t="s">
        <v>13</v>
      </c>
      <c r="D3511">
        <v>1</v>
      </c>
      <c r="E3511" t="s">
        <v>14</v>
      </c>
      <c r="F3511" t="s">
        <v>15</v>
      </c>
      <c r="G3511">
        <v>44.9</v>
      </c>
      <c r="H3511">
        <v>44.9</v>
      </c>
      <c r="I3511" t="s">
        <v>15</v>
      </c>
      <c r="J3511" t="s">
        <v>16</v>
      </c>
      <c r="K3511" t="s">
        <v>21</v>
      </c>
      <c r="L3511">
        <v>44.9</v>
      </c>
      <c r="M3511" t="s">
        <v>5030</v>
      </c>
      <c r="N3511" t="s">
        <v>5031</v>
      </c>
    </row>
    <row r="3512" spans="1:14" x14ac:dyDescent="0.3">
      <c r="A3512" t="s">
        <v>3536</v>
      </c>
      <c r="B3512" t="s">
        <v>12</v>
      </c>
      <c r="C3512" t="s">
        <v>13</v>
      </c>
      <c r="D3512">
        <v>8</v>
      </c>
      <c r="E3512" t="s">
        <v>26</v>
      </c>
      <c r="F3512" t="s">
        <v>15</v>
      </c>
      <c r="G3512">
        <v>75.25</v>
      </c>
      <c r="H3512">
        <v>576.70000000000005</v>
      </c>
      <c r="I3512" t="s">
        <v>15</v>
      </c>
      <c r="J3512" t="s">
        <v>16</v>
      </c>
      <c r="K3512" t="s">
        <v>17</v>
      </c>
      <c r="L3512">
        <v>576.70000000000005</v>
      </c>
      <c r="M3512" t="s">
        <v>5030</v>
      </c>
      <c r="N3512" t="s">
        <v>5031</v>
      </c>
    </row>
    <row r="3513" spans="1:14" x14ac:dyDescent="0.3">
      <c r="A3513" t="s">
        <v>3537</v>
      </c>
      <c r="B3513" t="s">
        <v>19</v>
      </c>
      <c r="C3513" t="s">
        <v>35</v>
      </c>
      <c r="D3513">
        <v>53</v>
      </c>
      <c r="E3513" t="s">
        <v>15</v>
      </c>
      <c r="F3513" t="s">
        <v>36</v>
      </c>
      <c r="G3513">
        <v>24.6</v>
      </c>
      <c r="H3513">
        <v>1279</v>
      </c>
      <c r="I3513" t="s">
        <v>15</v>
      </c>
      <c r="J3513" t="s">
        <v>15</v>
      </c>
      <c r="K3513" t="s">
        <v>21</v>
      </c>
      <c r="L3513">
        <v>1279</v>
      </c>
      <c r="M3513" t="s">
        <v>5033</v>
      </c>
      <c r="N3513" t="s">
        <v>5031</v>
      </c>
    </row>
    <row r="3514" spans="1:14" x14ac:dyDescent="0.3">
      <c r="A3514" t="s">
        <v>3538</v>
      </c>
      <c r="B3514" t="s">
        <v>19</v>
      </c>
      <c r="C3514" t="s">
        <v>20</v>
      </c>
      <c r="D3514">
        <v>51</v>
      </c>
      <c r="E3514" t="s">
        <v>15</v>
      </c>
      <c r="F3514" t="s">
        <v>36</v>
      </c>
      <c r="G3514">
        <v>25</v>
      </c>
      <c r="H3514">
        <v>1260.7</v>
      </c>
      <c r="I3514" t="s">
        <v>15</v>
      </c>
      <c r="J3514" t="s">
        <v>15</v>
      </c>
      <c r="K3514" t="s">
        <v>24</v>
      </c>
      <c r="L3514">
        <v>1260.7</v>
      </c>
      <c r="M3514" t="s">
        <v>5033</v>
      </c>
      <c r="N3514" t="s">
        <v>5031</v>
      </c>
    </row>
    <row r="3515" spans="1:14" x14ac:dyDescent="0.3">
      <c r="A3515" t="s">
        <v>3539</v>
      </c>
      <c r="B3515" t="s">
        <v>19</v>
      </c>
      <c r="C3515" t="s">
        <v>13</v>
      </c>
      <c r="D3515">
        <v>11</v>
      </c>
      <c r="E3515" t="s">
        <v>15</v>
      </c>
      <c r="F3515" t="s">
        <v>36</v>
      </c>
      <c r="G3515">
        <v>20.95</v>
      </c>
      <c r="H3515">
        <v>267.35000000000002</v>
      </c>
      <c r="I3515" t="s">
        <v>15</v>
      </c>
      <c r="J3515" t="s">
        <v>15</v>
      </c>
      <c r="K3515" t="s">
        <v>24</v>
      </c>
      <c r="L3515">
        <v>267.35000000000002</v>
      </c>
      <c r="M3515" t="s">
        <v>5030</v>
      </c>
      <c r="N3515" t="s">
        <v>5031</v>
      </c>
    </row>
    <row r="3516" spans="1:14" x14ac:dyDescent="0.3">
      <c r="A3516" t="s">
        <v>3540</v>
      </c>
      <c r="B3516" t="s">
        <v>19</v>
      </c>
      <c r="C3516" t="s">
        <v>35</v>
      </c>
      <c r="D3516">
        <v>60</v>
      </c>
      <c r="E3516" t="s">
        <v>26</v>
      </c>
      <c r="F3516" t="s">
        <v>16</v>
      </c>
      <c r="G3516">
        <v>110.6</v>
      </c>
      <c r="H3516">
        <v>6586.85</v>
      </c>
      <c r="I3516" t="s">
        <v>15</v>
      </c>
      <c r="J3516" t="s">
        <v>16</v>
      </c>
      <c r="K3516" t="s">
        <v>17</v>
      </c>
      <c r="L3516">
        <v>6586.85</v>
      </c>
      <c r="M3516" t="s">
        <v>5033</v>
      </c>
      <c r="N3516" t="s">
        <v>5034</v>
      </c>
    </row>
    <row r="3517" spans="1:14" x14ac:dyDescent="0.3">
      <c r="A3517" t="s">
        <v>3541</v>
      </c>
      <c r="B3517" t="s">
        <v>19</v>
      </c>
      <c r="C3517" t="s">
        <v>13</v>
      </c>
      <c r="D3517">
        <v>17</v>
      </c>
      <c r="E3517" t="s">
        <v>14</v>
      </c>
      <c r="F3517" t="s">
        <v>15</v>
      </c>
      <c r="G3517">
        <v>55.5</v>
      </c>
      <c r="H3517">
        <v>934.15</v>
      </c>
      <c r="I3517" t="s">
        <v>15</v>
      </c>
      <c r="J3517" t="s">
        <v>16</v>
      </c>
      <c r="K3517" t="s">
        <v>29</v>
      </c>
      <c r="L3517">
        <v>934.15</v>
      </c>
      <c r="M3517" t="s">
        <v>5032</v>
      </c>
      <c r="N3517" t="s">
        <v>5031</v>
      </c>
    </row>
    <row r="3518" spans="1:14" x14ac:dyDescent="0.3">
      <c r="A3518" t="s">
        <v>3542</v>
      </c>
      <c r="B3518" t="s">
        <v>19</v>
      </c>
      <c r="C3518" t="s">
        <v>13</v>
      </c>
      <c r="D3518">
        <v>3</v>
      </c>
      <c r="E3518" t="s">
        <v>14</v>
      </c>
      <c r="F3518" t="s">
        <v>15</v>
      </c>
      <c r="G3518">
        <v>43.3</v>
      </c>
      <c r="H3518">
        <v>123.65</v>
      </c>
      <c r="I3518" t="s">
        <v>16</v>
      </c>
      <c r="J3518" t="s">
        <v>16</v>
      </c>
      <c r="K3518" t="s">
        <v>17</v>
      </c>
      <c r="L3518">
        <v>123.65</v>
      </c>
      <c r="M3518" t="s">
        <v>5030</v>
      </c>
      <c r="N3518" t="s">
        <v>5031</v>
      </c>
    </row>
    <row r="3519" spans="1:14" x14ac:dyDescent="0.3">
      <c r="A3519" t="s">
        <v>3543</v>
      </c>
      <c r="B3519" t="s">
        <v>19</v>
      </c>
      <c r="C3519" t="s">
        <v>20</v>
      </c>
      <c r="D3519">
        <v>70</v>
      </c>
      <c r="E3519" t="s">
        <v>26</v>
      </c>
      <c r="F3519" t="s">
        <v>16</v>
      </c>
      <c r="G3519">
        <v>109.5</v>
      </c>
      <c r="H3519">
        <v>7534.65</v>
      </c>
      <c r="I3519" t="s">
        <v>16</v>
      </c>
      <c r="J3519" t="s">
        <v>16</v>
      </c>
      <c r="K3519" t="s">
        <v>24</v>
      </c>
      <c r="L3519">
        <v>7534.65</v>
      </c>
      <c r="M3519" t="s">
        <v>5033</v>
      </c>
      <c r="N3519" t="s">
        <v>5034</v>
      </c>
    </row>
    <row r="3520" spans="1:14" x14ac:dyDescent="0.3">
      <c r="A3520" t="s">
        <v>3544</v>
      </c>
      <c r="B3520" t="s">
        <v>19</v>
      </c>
      <c r="C3520" t="s">
        <v>13</v>
      </c>
      <c r="D3520">
        <v>1</v>
      </c>
      <c r="E3520" t="s">
        <v>15</v>
      </c>
      <c r="F3520" t="s">
        <v>36</v>
      </c>
      <c r="G3520">
        <v>19.45</v>
      </c>
      <c r="H3520">
        <v>19.45</v>
      </c>
      <c r="I3520" t="s">
        <v>15</v>
      </c>
      <c r="J3520" t="s">
        <v>15</v>
      </c>
      <c r="K3520" t="s">
        <v>21</v>
      </c>
      <c r="L3520">
        <v>19.45</v>
      </c>
      <c r="M3520" t="s">
        <v>5030</v>
      </c>
      <c r="N3520" t="s">
        <v>5031</v>
      </c>
    </row>
    <row r="3521" spans="1:14" x14ac:dyDescent="0.3">
      <c r="A3521" t="s">
        <v>3545</v>
      </c>
      <c r="B3521" t="s">
        <v>19</v>
      </c>
      <c r="C3521" t="s">
        <v>13</v>
      </c>
      <c r="D3521">
        <v>43</v>
      </c>
      <c r="E3521" t="s">
        <v>26</v>
      </c>
      <c r="F3521" t="s">
        <v>15</v>
      </c>
      <c r="G3521">
        <v>84.85</v>
      </c>
      <c r="H3521">
        <v>3645.6</v>
      </c>
      <c r="I3521" t="s">
        <v>15</v>
      </c>
      <c r="J3521" t="s">
        <v>16</v>
      </c>
      <c r="K3521" t="s">
        <v>17</v>
      </c>
      <c r="L3521">
        <v>3645.6</v>
      </c>
      <c r="M3521" t="s">
        <v>5033</v>
      </c>
      <c r="N3521" t="s">
        <v>5034</v>
      </c>
    </row>
    <row r="3522" spans="1:14" x14ac:dyDescent="0.3">
      <c r="A3522" t="s">
        <v>3546</v>
      </c>
      <c r="B3522" t="s">
        <v>12</v>
      </c>
      <c r="C3522" t="s">
        <v>13</v>
      </c>
      <c r="D3522">
        <v>16</v>
      </c>
      <c r="E3522" t="s">
        <v>15</v>
      </c>
      <c r="F3522" t="s">
        <v>36</v>
      </c>
      <c r="G3522">
        <v>19.600000000000001</v>
      </c>
      <c r="H3522">
        <v>314.45</v>
      </c>
      <c r="I3522" t="s">
        <v>15</v>
      </c>
      <c r="J3522" t="s">
        <v>15</v>
      </c>
      <c r="K3522" t="s">
        <v>21</v>
      </c>
      <c r="L3522">
        <v>314.45</v>
      </c>
      <c r="M3522" t="s">
        <v>5032</v>
      </c>
      <c r="N3522" t="s">
        <v>5031</v>
      </c>
    </row>
    <row r="3523" spans="1:14" x14ac:dyDescent="0.3">
      <c r="A3523" t="s">
        <v>3547</v>
      </c>
      <c r="B3523" t="s">
        <v>12</v>
      </c>
      <c r="C3523" t="s">
        <v>20</v>
      </c>
      <c r="D3523">
        <v>57</v>
      </c>
      <c r="E3523" t="s">
        <v>14</v>
      </c>
      <c r="F3523" t="s">
        <v>15</v>
      </c>
      <c r="G3523">
        <v>53.45</v>
      </c>
      <c r="H3523">
        <v>3053</v>
      </c>
      <c r="I3523" t="s">
        <v>15</v>
      </c>
      <c r="J3523" t="s">
        <v>15</v>
      </c>
      <c r="K3523" t="s">
        <v>17</v>
      </c>
      <c r="L3523">
        <v>3053</v>
      </c>
      <c r="M3523" t="s">
        <v>5033</v>
      </c>
      <c r="N3523" t="s">
        <v>5034</v>
      </c>
    </row>
    <row r="3524" spans="1:14" x14ac:dyDescent="0.3">
      <c r="A3524" t="s">
        <v>3548</v>
      </c>
      <c r="B3524" t="s">
        <v>19</v>
      </c>
      <c r="C3524" t="s">
        <v>20</v>
      </c>
      <c r="D3524">
        <v>37</v>
      </c>
      <c r="E3524" t="s">
        <v>15</v>
      </c>
      <c r="F3524" t="s">
        <v>36</v>
      </c>
      <c r="G3524">
        <v>19.8</v>
      </c>
      <c r="H3524">
        <v>677.05</v>
      </c>
      <c r="I3524" t="s">
        <v>15</v>
      </c>
      <c r="J3524" t="s">
        <v>15</v>
      </c>
      <c r="K3524" t="s">
        <v>29</v>
      </c>
      <c r="L3524">
        <v>677.05</v>
      </c>
      <c r="M3524" t="s">
        <v>5033</v>
      </c>
      <c r="N3524" t="s">
        <v>5031</v>
      </c>
    </row>
    <row r="3525" spans="1:14" x14ac:dyDescent="0.3">
      <c r="A3525" t="s">
        <v>3549</v>
      </c>
      <c r="B3525" t="s">
        <v>12</v>
      </c>
      <c r="C3525" t="s">
        <v>35</v>
      </c>
      <c r="D3525">
        <v>72</v>
      </c>
      <c r="E3525" t="s">
        <v>26</v>
      </c>
      <c r="F3525" t="s">
        <v>16</v>
      </c>
      <c r="G3525">
        <v>112.1</v>
      </c>
      <c r="H3525">
        <v>7965.95</v>
      </c>
      <c r="I3525" t="s">
        <v>15</v>
      </c>
      <c r="J3525" t="s">
        <v>15</v>
      </c>
      <c r="K3525" t="s">
        <v>29</v>
      </c>
      <c r="L3525">
        <v>7965.95</v>
      </c>
      <c r="M3525" t="s">
        <v>5033</v>
      </c>
      <c r="N3525" t="s">
        <v>5034</v>
      </c>
    </row>
    <row r="3526" spans="1:14" x14ac:dyDescent="0.3">
      <c r="A3526" t="s">
        <v>3550</v>
      </c>
      <c r="B3526" t="s">
        <v>12</v>
      </c>
      <c r="C3526" t="s">
        <v>13</v>
      </c>
      <c r="D3526">
        <v>11</v>
      </c>
      <c r="E3526" t="s">
        <v>26</v>
      </c>
      <c r="F3526" t="s">
        <v>15</v>
      </c>
      <c r="G3526">
        <v>84.8</v>
      </c>
      <c r="H3526">
        <v>906.85</v>
      </c>
      <c r="I3526" t="s">
        <v>16</v>
      </c>
      <c r="J3526" t="s">
        <v>16</v>
      </c>
      <c r="K3526" t="s">
        <v>29</v>
      </c>
      <c r="L3526">
        <v>906.85</v>
      </c>
      <c r="M3526" t="s">
        <v>5030</v>
      </c>
      <c r="N3526" t="s">
        <v>5031</v>
      </c>
    </row>
    <row r="3527" spans="1:14" x14ac:dyDescent="0.3">
      <c r="A3527" t="s">
        <v>3551</v>
      </c>
      <c r="B3527" t="s">
        <v>12</v>
      </c>
      <c r="C3527" t="s">
        <v>13</v>
      </c>
      <c r="D3527">
        <v>50</v>
      </c>
      <c r="E3527" t="s">
        <v>26</v>
      </c>
      <c r="F3527" t="s">
        <v>15</v>
      </c>
      <c r="G3527">
        <v>95.05</v>
      </c>
      <c r="H3527">
        <v>4888.7</v>
      </c>
      <c r="I3527" t="s">
        <v>16</v>
      </c>
      <c r="J3527" t="s">
        <v>16</v>
      </c>
      <c r="K3527" t="s">
        <v>17</v>
      </c>
      <c r="L3527">
        <v>4888.7</v>
      </c>
      <c r="M3527" t="s">
        <v>5033</v>
      </c>
      <c r="N3527" t="s">
        <v>5034</v>
      </c>
    </row>
    <row r="3528" spans="1:14" x14ac:dyDescent="0.3">
      <c r="A3528" t="s">
        <v>3552</v>
      </c>
      <c r="B3528" t="s">
        <v>19</v>
      </c>
      <c r="C3528" t="s">
        <v>13</v>
      </c>
      <c r="D3528">
        <v>5</v>
      </c>
      <c r="E3528" t="s">
        <v>14</v>
      </c>
      <c r="F3528" t="s">
        <v>15</v>
      </c>
      <c r="G3528">
        <v>50.35</v>
      </c>
      <c r="H3528">
        <v>237.25</v>
      </c>
      <c r="I3528" t="s">
        <v>16</v>
      </c>
      <c r="J3528" t="s">
        <v>15</v>
      </c>
      <c r="K3528" t="s">
        <v>17</v>
      </c>
      <c r="L3528">
        <v>237.25</v>
      </c>
      <c r="M3528" t="s">
        <v>5030</v>
      </c>
      <c r="N3528" t="s">
        <v>5031</v>
      </c>
    </row>
    <row r="3529" spans="1:14" x14ac:dyDescent="0.3">
      <c r="A3529" t="s">
        <v>3553</v>
      </c>
      <c r="B3529" t="s">
        <v>19</v>
      </c>
      <c r="C3529" t="s">
        <v>13</v>
      </c>
      <c r="D3529">
        <v>1</v>
      </c>
      <c r="E3529" t="s">
        <v>26</v>
      </c>
      <c r="F3529" t="s">
        <v>15</v>
      </c>
      <c r="G3529">
        <v>74.599999999999994</v>
      </c>
      <c r="H3529">
        <v>74.599999999999994</v>
      </c>
      <c r="I3529" t="s">
        <v>16</v>
      </c>
      <c r="J3529" t="s">
        <v>16</v>
      </c>
      <c r="K3529" t="s">
        <v>24</v>
      </c>
      <c r="L3529">
        <v>74.599999999999994</v>
      </c>
      <c r="M3529" t="s">
        <v>5030</v>
      </c>
      <c r="N3529" t="s">
        <v>5031</v>
      </c>
    </row>
    <row r="3530" spans="1:14" x14ac:dyDescent="0.3">
      <c r="A3530" t="s">
        <v>3554</v>
      </c>
      <c r="B3530" t="s">
        <v>19</v>
      </c>
      <c r="C3530" t="s">
        <v>13</v>
      </c>
      <c r="D3530">
        <v>16</v>
      </c>
      <c r="E3530" t="s">
        <v>15</v>
      </c>
      <c r="F3530" t="s">
        <v>36</v>
      </c>
      <c r="G3530">
        <v>19.7</v>
      </c>
      <c r="H3530">
        <v>342.4</v>
      </c>
      <c r="I3530" t="s">
        <v>16</v>
      </c>
      <c r="J3530" t="s">
        <v>16</v>
      </c>
      <c r="K3530" t="s">
        <v>21</v>
      </c>
      <c r="L3530">
        <v>342.4</v>
      </c>
      <c r="M3530" t="s">
        <v>5032</v>
      </c>
      <c r="N3530" t="s">
        <v>5031</v>
      </c>
    </row>
    <row r="3531" spans="1:14" x14ac:dyDescent="0.3">
      <c r="A3531" t="s">
        <v>3555</v>
      </c>
      <c r="B3531" t="s">
        <v>19</v>
      </c>
      <c r="C3531" t="s">
        <v>13</v>
      </c>
      <c r="D3531">
        <v>2</v>
      </c>
      <c r="E3531" t="s">
        <v>26</v>
      </c>
      <c r="F3531" t="s">
        <v>15</v>
      </c>
      <c r="G3531">
        <v>74.2</v>
      </c>
      <c r="H3531">
        <v>140.1</v>
      </c>
      <c r="I3531" t="s">
        <v>15</v>
      </c>
      <c r="J3531" t="s">
        <v>16</v>
      </c>
      <c r="K3531" t="s">
        <v>17</v>
      </c>
      <c r="L3531">
        <v>140.1</v>
      </c>
      <c r="M3531" t="s">
        <v>5030</v>
      </c>
      <c r="N3531" t="s">
        <v>5031</v>
      </c>
    </row>
    <row r="3532" spans="1:14" x14ac:dyDescent="0.3">
      <c r="A3532" t="s">
        <v>3556</v>
      </c>
      <c r="B3532" t="s">
        <v>12</v>
      </c>
      <c r="C3532" t="s">
        <v>13</v>
      </c>
      <c r="D3532">
        <v>17</v>
      </c>
      <c r="E3532" t="s">
        <v>14</v>
      </c>
      <c r="F3532" t="s">
        <v>16</v>
      </c>
      <c r="G3532">
        <v>69</v>
      </c>
      <c r="H3532">
        <v>1108</v>
      </c>
      <c r="I3532" t="s">
        <v>15</v>
      </c>
      <c r="J3532" t="s">
        <v>16</v>
      </c>
      <c r="K3532" t="s">
        <v>21</v>
      </c>
      <c r="L3532">
        <v>1108</v>
      </c>
      <c r="M3532" t="s">
        <v>5032</v>
      </c>
      <c r="N3532" t="s">
        <v>5031</v>
      </c>
    </row>
    <row r="3533" spans="1:14" x14ac:dyDescent="0.3">
      <c r="A3533" t="s">
        <v>3557</v>
      </c>
      <c r="B3533" t="s">
        <v>12</v>
      </c>
      <c r="C3533" t="s">
        <v>20</v>
      </c>
      <c r="D3533">
        <v>16</v>
      </c>
      <c r="E3533" t="s">
        <v>15</v>
      </c>
      <c r="F3533" t="s">
        <v>36</v>
      </c>
      <c r="G3533">
        <v>19.350000000000001</v>
      </c>
      <c r="H3533">
        <v>295.55</v>
      </c>
      <c r="I3533" t="s">
        <v>15</v>
      </c>
      <c r="J3533" t="s">
        <v>15</v>
      </c>
      <c r="K3533" t="s">
        <v>29</v>
      </c>
      <c r="L3533">
        <v>295.55</v>
      </c>
      <c r="M3533" t="s">
        <v>5032</v>
      </c>
      <c r="N3533" t="s">
        <v>5031</v>
      </c>
    </row>
    <row r="3534" spans="1:14" x14ac:dyDescent="0.3">
      <c r="A3534" t="s">
        <v>3558</v>
      </c>
      <c r="B3534" t="s">
        <v>12</v>
      </c>
      <c r="C3534" t="s">
        <v>13</v>
      </c>
      <c r="D3534">
        <v>15</v>
      </c>
      <c r="E3534" t="s">
        <v>14</v>
      </c>
      <c r="F3534" t="s">
        <v>15</v>
      </c>
      <c r="G3534">
        <v>59.45</v>
      </c>
      <c r="H3534">
        <v>892.65</v>
      </c>
      <c r="I3534" t="s">
        <v>16</v>
      </c>
      <c r="J3534" t="s">
        <v>16</v>
      </c>
      <c r="K3534" t="s">
        <v>17</v>
      </c>
      <c r="L3534">
        <v>892.65</v>
      </c>
      <c r="M3534" t="s">
        <v>5032</v>
      </c>
      <c r="N3534" t="s">
        <v>5031</v>
      </c>
    </row>
    <row r="3535" spans="1:14" x14ac:dyDescent="0.3">
      <c r="A3535" t="s">
        <v>3559</v>
      </c>
      <c r="B3535" t="s">
        <v>12</v>
      </c>
      <c r="C3535" t="s">
        <v>20</v>
      </c>
      <c r="D3535">
        <v>10</v>
      </c>
      <c r="E3535" t="s">
        <v>15</v>
      </c>
      <c r="F3535" t="s">
        <v>36</v>
      </c>
      <c r="G3535">
        <v>19.8</v>
      </c>
      <c r="H3535">
        <v>198.25</v>
      </c>
      <c r="I3535" t="s">
        <v>15</v>
      </c>
      <c r="J3535" t="s">
        <v>16</v>
      </c>
      <c r="K3535" t="s">
        <v>21</v>
      </c>
      <c r="L3535">
        <v>198.25</v>
      </c>
      <c r="M3535" t="s">
        <v>5030</v>
      </c>
      <c r="N3535" t="s">
        <v>5031</v>
      </c>
    </row>
    <row r="3536" spans="1:14" x14ac:dyDescent="0.3">
      <c r="A3536" t="s">
        <v>3560</v>
      </c>
      <c r="B3536" t="s">
        <v>12</v>
      </c>
      <c r="C3536" t="s">
        <v>20</v>
      </c>
      <c r="D3536">
        <v>46</v>
      </c>
      <c r="E3536" t="s">
        <v>26</v>
      </c>
      <c r="F3536" t="s">
        <v>16</v>
      </c>
      <c r="G3536">
        <v>105.2</v>
      </c>
      <c r="H3536">
        <v>4822.8500000000004</v>
      </c>
      <c r="I3536" t="s">
        <v>16</v>
      </c>
      <c r="J3536" t="s">
        <v>16</v>
      </c>
      <c r="K3536" t="s">
        <v>24</v>
      </c>
      <c r="L3536">
        <v>4822.8500000000004</v>
      </c>
      <c r="M3536" t="s">
        <v>5033</v>
      </c>
      <c r="N3536" t="s">
        <v>5034</v>
      </c>
    </row>
    <row r="3537" spans="1:14" x14ac:dyDescent="0.3">
      <c r="A3537" t="s">
        <v>3561</v>
      </c>
      <c r="B3537" t="s">
        <v>19</v>
      </c>
      <c r="C3537" t="s">
        <v>35</v>
      </c>
      <c r="D3537">
        <v>64</v>
      </c>
      <c r="E3537" t="s">
        <v>26</v>
      </c>
      <c r="F3537" t="s">
        <v>16</v>
      </c>
      <c r="G3537">
        <v>109.2</v>
      </c>
      <c r="H3537">
        <v>6741.15</v>
      </c>
      <c r="I3537" t="s">
        <v>15</v>
      </c>
      <c r="J3537" t="s">
        <v>16</v>
      </c>
      <c r="K3537" t="s">
        <v>29</v>
      </c>
      <c r="L3537">
        <v>6741.15</v>
      </c>
      <c r="M3537" t="s">
        <v>5033</v>
      </c>
      <c r="N3537" t="s">
        <v>5034</v>
      </c>
    </row>
    <row r="3538" spans="1:14" x14ac:dyDescent="0.3">
      <c r="A3538" t="s">
        <v>3562</v>
      </c>
      <c r="B3538" t="s">
        <v>12</v>
      </c>
      <c r="C3538" t="s">
        <v>13</v>
      </c>
      <c r="D3538">
        <v>1</v>
      </c>
      <c r="E3538" t="s">
        <v>26</v>
      </c>
      <c r="F3538" t="s">
        <v>15</v>
      </c>
      <c r="G3538">
        <v>79.150000000000006</v>
      </c>
      <c r="H3538">
        <v>79.150000000000006</v>
      </c>
      <c r="I3538" t="s">
        <v>15</v>
      </c>
      <c r="J3538" t="s">
        <v>16</v>
      </c>
      <c r="K3538" t="s">
        <v>21</v>
      </c>
      <c r="L3538">
        <v>79.150000000000006</v>
      </c>
      <c r="M3538" t="s">
        <v>5030</v>
      </c>
      <c r="N3538" t="s">
        <v>5031</v>
      </c>
    </row>
    <row r="3539" spans="1:14" x14ac:dyDescent="0.3">
      <c r="A3539" t="s">
        <v>3563</v>
      </c>
      <c r="B3539" t="s">
        <v>19</v>
      </c>
      <c r="C3539" t="s">
        <v>20</v>
      </c>
      <c r="D3539">
        <v>25</v>
      </c>
      <c r="E3539" t="s">
        <v>14</v>
      </c>
      <c r="F3539" t="s">
        <v>15</v>
      </c>
      <c r="G3539">
        <v>53.65</v>
      </c>
      <c r="H3539">
        <v>1355.45</v>
      </c>
      <c r="I3539" t="s">
        <v>15</v>
      </c>
      <c r="J3539" t="s">
        <v>15</v>
      </c>
      <c r="K3539" t="s">
        <v>21</v>
      </c>
      <c r="L3539">
        <v>1355.45</v>
      </c>
      <c r="M3539" t="s">
        <v>5032</v>
      </c>
      <c r="N3539" t="s">
        <v>5031</v>
      </c>
    </row>
    <row r="3540" spans="1:14" x14ac:dyDescent="0.3">
      <c r="A3540" t="s">
        <v>3564</v>
      </c>
      <c r="B3540" t="s">
        <v>19</v>
      </c>
      <c r="C3540" t="s">
        <v>35</v>
      </c>
      <c r="D3540">
        <v>71</v>
      </c>
      <c r="E3540" t="s">
        <v>26</v>
      </c>
      <c r="F3540" t="s">
        <v>16</v>
      </c>
      <c r="G3540">
        <v>100.2</v>
      </c>
      <c r="H3540">
        <v>7209</v>
      </c>
      <c r="I3540" t="s">
        <v>15</v>
      </c>
      <c r="J3540" t="s">
        <v>15</v>
      </c>
      <c r="K3540" t="s">
        <v>29</v>
      </c>
      <c r="L3540">
        <v>7209</v>
      </c>
      <c r="M3540" t="s">
        <v>5033</v>
      </c>
      <c r="N3540" t="s">
        <v>5034</v>
      </c>
    </row>
    <row r="3541" spans="1:14" x14ac:dyDescent="0.3">
      <c r="A3541" t="s">
        <v>3565</v>
      </c>
      <c r="B3541" t="s">
        <v>19</v>
      </c>
      <c r="C3541" t="s">
        <v>13</v>
      </c>
      <c r="D3541">
        <v>8</v>
      </c>
      <c r="E3541" t="s">
        <v>14</v>
      </c>
      <c r="F3541" t="s">
        <v>15</v>
      </c>
      <c r="G3541">
        <v>45.15</v>
      </c>
      <c r="H3541">
        <v>438.4</v>
      </c>
      <c r="I3541" t="s">
        <v>16</v>
      </c>
      <c r="J3541" t="s">
        <v>16</v>
      </c>
      <c r="K3541" t="s">
        <v>21</v>
      </c>
      <c r="L3541">
        <v>438.4</v>
      </c>
      <c r="M3541" t="s">
        <v>5030</v>
      </c>
      <c r="N3541" t="s">
        <v>5031</v>
      </c>
    </row>
    <row r="3542" spans="1:14" x14ac:dyDescent="0.3">
      <c r="A3542" t="s">
        <v>3566</v>
      </c>
      <c r="B3542" t="s">
        <v>12</v>
      </c>
      <c r="C3542" t="s">
        <v>35</v>
      </c>
      <c r="D3542">
        <v>72</v>
      </c>
      <c r="E3542" t="s">
        <v>26</v>
      </c>
      <c r="F3542" t="s">
        <v>16</v>
      </c>
      <c r="G3542">
        <v>108.65</v>
      </c>
      <c r="H3542">
        <v>7726.35</v>
      </c>
      <c r="I3542" t="s">
        <v>15</v>
      </c>
      <c r="J3542" t="s">
        <v>16</v>
      </c>
      <c r="K3542" t="s">
        <v>24</v>
      </c>
      <c r="L3542">
        <v>7726.35</v>
      </c>
      <c r="M3542" t="s">
        <v>5033</v>
      </c>
      <c r="N3542" t="s">
        <v>5034</v>
      </c>
    </row>
    <row r="3543" spans="1:14" x14ac:dyDescent="0.3">
      <c r="A3543" t="s">
        <v>3567</v>
      </c>
      <c r="B3543" t="s">
        <v>12</v>
      </c>
      <c r="C3543" t="s">
        <v>13</v>
      </c>
      <c r="D3543">
        <v>49</v>
      </c>
      <c r="E3543" t="s">
        <v>14</v>
      </c>
      <c r="F3543" t="s">
        <v>15</v>
      </c>
      <c r="G3543">
        <v>40.65</v>
      </c>
      <c r="H3543">
        <v>2070.75</v>
      </c>
      <c r="I3543" t="s">
        <v>15</v>
      </c>
      <c r="J3543" t="s">
        <v>15</v>
      </c>
      <c r="K3543" t="s">
        <v>24</v>
      </c>
      <c r="L3543">
        <v>2070.75</v>
      </c>
      <c r="M3543" t="s">
        <v>5033</v>
      </c>
      <c r="N3543" t="s">
        <v>5031</v>
      </c>
    </row>
    <row r="3544" spans="1:14" x14ac:dyDescent="0.3">
      <c r="A3544" t="s">
        <v>3568</v>
      </c>
      <c r="B3544" t="s">
        <v>19</v>
      </c>
      <c r="C3544" t="s">
        <v>20</v>
      </c>
      <c r="D3544">
        <v>29</v>
      </c>
      <c r="E3544" t="s">
        <v>14</v>
      </c>
      <c r="F3544" t="s">
        <v>16</v>
      </c>
      <c r="G3544">
        <v>55.35</v>
      </c>
      <c r="H3544">
        <v>1636.95</v>
      </c>
      <c r="I3544" t="s">
        <v>15</v>
      </c>
      <c r="J3544" t="s">
        <v>16</v>
      </c>
      <c r="K3544" t="s">
        <v>29</v>
      </c>
      <c r="L3544">
        <v>1636.95</v>
      </c>
      <c r="M3544" t="s">
        <v>5032</v>
      </c>
      <c r="N3544" t="s">
        <v>5031</v>
      </c>
    </row>
    <row r="3545" spans="1:14" x14ac:dyDescent="0.3">
      <c r="A3545" t="s">
        <v>3569</v>
      </c>
      <c r="B3545" t="s">
        <v>19</v>
      </c>
      <c r="C3545" t="s">
        <v>35</v>
      </c>
      <c r="D3545">
        <v>72</v>
      </c>
      <c r="E3545" t="s">
        <v>26</v>
      </c>
      <c r="F3545" t="s">
        <v>16</v>
      </c>
      <c r="G3545">
        <v>105.6</v>
      </c>
      <c r="H3545">
        <v>7581.5</v>
      </c>
      <c r="I3545" t="s">
        <v>15</v>
      </c>
      <c r="J3545" t="s">
        <v>15</v>
      </c>
      <c r="K3545" t="s">
        <v>24</v>
      </c>
      <c r="L3545">
        <v>7581.5</v>
      </c>
      <c r="M3545" t="s">
        <v>5033</v>
      </c>
      <c r="N3545" t="s">
        <v>5034</v>
      </c>
    </row>
    <row r="3546" spans="1:14" x14ac:dyDescent="0.3">
      <c r="A3546" t="s">
        <v>3570</v>
      </c>
      <c r="B3546" t="s">
        <v>19</v>
      </c>
      <c r="C3546" t="s">
        <v>13</v>
      </c>
      <c r="D3546">
        <v>31</v>
      </c>
      <c r="E3546" t="s">
        <v>26</v>
      </c>
      <c r="F3546" t="s">
        <v>15</v>
      </c>
      <c r="G3546">
        <v>93.8</v>
      </c>
      <c r="H3546">
        <v>3019.5</v>
      </c>
      <c r="I3546" t="s">
        <v>16</v>
      </c>
      <c r="J3546" t="s">
        <v>15</v>
      </c>
      <c r="K3546" t="s">
        <v>17</v>
      </c>
      <c r="L3546">
        <v>3019.5</v>
      </c>
      <c r="M3546" t="s">
        <v>5032</v>
      </c>
      <c r="N3546" t="s">
        <v>5034</v>
      </c>
    </row>
    <row r="3547" spans="1:14" x14ac:dyDescent="0.3">
      <c r="A3547" t="s">
        <v>3571</v>
      </c>
      <c r="B3547" t="s">
        <v>12</v>
      </c>
      <c r="C3547" t="s">
        <v>13</v>
      </c>
      <c r="D3547">
        <v>50</v>
      </c>
      <c r="E3547" t="s">
        <v>26</v>
      </c>
      <c r="F3547" t="s">
        <v>15</v>
      </c>
      <c r="G3547">
        <v>95.7</v>
      </c>
      <c r="H3547">
        <v>4729.75</v>
      </c>
      <c r="I3547" t="s">
        <v>15</v>
      </c>
      <c r="J3547" t="s">
        <v>16</v>
      </c>
      <c r="K3547" t="s">
        <v>17</v>
      </c>
      <c r="L3547">
        <v>4729.75</v>
      </c>
      <c r="M3547" t="s">
        <v>5033</v>
      </c>
      <c r="N3547" t="s">
        <v>5034</v>
      </c>
    </row>
    <row r="3548" spans="1:14" x14ac:dyDescent="0.3">
      <c r="A3548" t="s">
        <v>3572</v>
      </c>
      <c r="B3548" t="s">
        <v>19</v>
      </c>
      <c r="C3548" t="s">
        <v>35</v>
      </c>
      <c r="D3548">
        <v>71</v>
      </c>
      <c r="E3548" t="s">
        <v>14</v>
      </c>
      <c r="F3548" t="s">
        <v>16</v>
      </c>
      <c r="G3548">
        <v>83.2</v>
      </c>
      <c r="H3548">
        <v>6126.1</v>
      </c>
      <c r="I3548" t="s">
        <v>15</v>
      </c>
      <c r="J3548" t="s">
        <v>15</v>
      </c>
      <c r="K3548" t="s">
        <v>17</v>
      </c>
      <c r="L3548">
        <v>6126.1</v>
      </c>
      <c r="M3548" t="s">
        <v>5033</v>
      </c>
      <c r="N3548" t="s">
        <v>5034</v>
      </c>
    </row>
    <row r="3549" spans="1:14" x14ac:dyDescent="0.3">
      <c r="A3549" t="s">
        <v>3573</v>
      </c>
      <c r="B3549" t="s">
        <v>19</v>
      </c>
      <c r="C3549" t="s">
        <v>35</v>
      </c>
      <c r="D3549">
        <v>70</v>
      </c>
      <c r="E3549" t="s">
        <v>14</v>
      </c>
      <c r="F3549" t="s">
        <v>16</v>
      </c>
      <c r="G3549">
        <v>90.05</v>
      </c>
      <c r="H3549">
        <v>6333.4</v>
      </c>
      <c r="I3549" t="s">
        <v>15</v>
      </c>
      <c r="J3549" t="s">
        <v>15</v>
      </c>
      <c r="K3549" t="s">
        <v>29</v>
      </c>
      <c r="L3549">
        <v>6333.4</v>
      </c>
      <c r="M3549" t="s">
        <v>5033</v>
      </c>
      <c r="N3549" t="s">
        <v>5034</v>
      </c>
    </row>
    <row r="3550" spans="1:14" x14ac:dyDescent="0.3">
      <c r="A3550" t="s">
        <v>3574</v>
      </c>
      <c r="B3550" t="s">
        <v>19</v>
      </c>
      <c r="C3550" t="s">
        <v>20</v>
      </c>
      <c r="D3550">
        <v>71</v>
      </c>
      <c r="E3550" t="s">
        <v>26</v>
      </c>
      <c r="F3550" t="s">
        <v>16</v>
      </c>
      <c r="G3550">
        <v>97.65</v>
      </c>
      <c r="H3550">
        <v>6687.85</v>
      </c>
      <c r="I3550" t="s">
        <v>15</v>
      </c>
      <c r="J3550" t="s">
        <v>15</v>
      </c>
      <c r="K3550" t="s">
        <v>29</v>
      </c>
      <c r="L3550">
        <v>6687.85</v>
      </c>
      <c r="M3550" t="s">
        <v>5033</v>
      </c>
      <c r="N3550" t="s">
        <v>5034</v>
      </c>
    </row>
    <row r="3551" spans="1:14" x14ac:dyDescent="0.3">
      <c r="A3551" t="s">
        <v>3575</v>
      </c>
      <c r="B3551" t="s">
        <v>19</v>
      </c>
      <c r="C3551" t="s">
        <v>35</v>
      </c>
      <c r="D3551">
        <v>61</v>
      </c>
      <c r="E3551" t="s">
        <v>14</v>
      </c>
      <c r="F3551" t="s">
        <v>16</v>
      </c>
      <c r="G3551">
        <v>68.05</v>
      </c>
      <c r="H3551">
        <v>4158.25</v>
      </c>
      <c r="I3551" t="s">
        <v>15</v>
      </c>
      <c r="J3551" t="s">
        <v>16</v>
      </c>
      <c r="K3551" t="s">
        <v>24</v>
      </c>
      <c r="L3551">
        <v>4158.25</v>
      </c>
      <c r="M3551" t="s">
        <v>5033</v>
      </c>
      <c r="N3551" t="s">
        <v>5034</v>
      </c>
    </row>
    <row r="3552" spans="1:14" x14ac:dyDescent="0.3">
      <c r="A3552" t="s">
        <v>3576</v>
      </c>
      <c r="B3552" t="s">
        <v>19</v>
      </c>
      <c r="C3552" t="s">
        <v>13</v>
      </c>
      <c r="D3552">
        <v>32</v>
      </c>
      <c r="E3552" t="s">
        <v>26</v>
      </c>
      <c r="F3552" t="s">
        <v>16</v>
      </c>
      <c r="G3552">
        <v>96.2</v>
      </c>
      <c r="H3552">
        <v>3183.4</v>
      </c>
      <c r="I3552" t="s">
        <v>16</v>
      </c>
      <c r="J3552" t="s">
        <v>16</v>
      </c>
      <c r="K3552" t="s">
        <v>17</v>
      </c>
      <c r="L3552">
        <v>3183.4</v>
      </c>
      <c r="M3552" t="s">
        <v>5032</v>
      </c>
      <c r="N3552" t="s">
        <v>5034</v>
      </c>
    </row>
    <row r="3553" spans="1:14" x14ac:dyDescent="0.3">
      <c r="A3553" t="s">
        <v>3577</v>
      </c>
      <c r="B3553" t="s">
        <v>12</v>
      </c>
      <c r="C3553" t="s">
        <v>13</v>
      </c>
      <c r="D3553">
        <v>1</v>
      </c>
      <c r="E3553" t="s">
        <v>26</v>
      </c>
      <c r="F3553" t="s">
        <v>15</v>
      </c>
      <c r="G3553">
        <v>79.599999999999994</v>
      </c>
      <c r="H3553">
        <v>79.599999999999994</v>
      </c>
      <c r="I3553" t="s">
        <v>16</v>
      </c>
      <c r="J3553" t="s">
        <v>16</v>
      </c>
      <c r="K3553" t="s">
        <v>17</v>
      </c>
      <c r="L3553">
        <v>79.599999999999994</v>
      </c>
      <c r="M3553" t="s">
        <v>5030</v>
      </c>
      <c r="N3553" t="s">
        <v>5031</v>
      </c>
    </row>
    <row r="3554" spans="1:14" x14ac:dyDescent="0.3">
      <c r="A3554" t="s">
        <v>3578</v>
      </c>
      <c r="B3554" t="s">
        <v>19</v>
      </c>
      <c r="C3554" t="s">
        <v>35</v>
      </c>
      <c r="D3554">
        <v>68</v>
      </c>
      <c r="E3554" t="s">
        <v>26</v>
      </c>
      <c r="F3554" t="s">
        <v>15</v>
      </c>
      <c r="G3554">
        <v>102.1</v>
      </c>
      <c r="H3554">
        <v>7149.35</v>
      </c>
      <c r="I3554" t="s">
        <v>15</v>
      </c>
      <c r="J3554" t="s">
        <v>16</v>
      </c>
      <c r="K3554" t="s">
        <v>24</v>
      </c>
      <c r="L3554">
        <v>7149.35</v>
      </c>
      <c r="M3554" t="s">
        <v>5033</v>
      </c>
      <c r="N3554" t="s">
        <v>5034</v>
      </c>
    </row>
    <row r="3555" spans="1:14" x14ac:dyDescent="0.3">
      <c r="A3555" t="s">
        <v>3579</v>
      </c>
      <c r="B3555" t="s">
        <v>19</v>
      </c>
      <c r="C3555" t="s">
        <v>35</v>
      </c>
      <c r="D3555">
        <v>62</v>
      </c>
      <c r="E3555" t="s">
        <v>15</v>
      </c>
      <c r="F3555" t="s">
        <v>36</v>
      </c>
      <c r="G3555">
        <v>23.4</v>
      </c>
      <c r="H3555">
        <v>1429.65</v>
      </c>
      <c r="I3555" t="s">
        <v>15</v>
      </c>
      <c r="J3555" t="s">
        <v>15</v>
      </c>
      <c r="K3555" t="s">
        <v>24</v>
      </c>
      <c r="L3555">
        <v>1429.65</v>
      </c>
      <c r="M3555" t="s">
        <v>5033</v>
      </c>
      <c r="N3555" t="s">
        <v>5031</v>
      </c>
    </row>
    <row r="3556" spans="1:14" x14ac:dyDescent="0.3">
      <c r="A3556" t="s">
        <v>3580</v>
      </c>
      <c r="B3556" t="s">
        <v>12</v>
      </c>
      <c r="C3556" t="s">
        <v>13</v>
      </c>
      <c r="D3556">
        <v>7</v>
      </c>
      <c r="E3556" t="s">
        <v>26</v>
      </c>
      <c r="F3556" t="s">
        <v>15</v>
      </c>
      <c r="G3556">
        <v>71.05</v>
      </c>
      <c r="H3556">
        <v>472.65</v>
      </c>
      <c r="I3556" t="s">
        <v>15</v>
      </c>
      <c r="J3556" t="s">
        <v>16</v>
      </c>
      <c r="K3556" t="s">
        <v>17</v>
      </c>
      <c r="L3556">
        <v>472.65</v>
      </c>
      <c r="M3556" t="s">
        <v>5030</v>
      </c>
      <c r="N3556" t="s">
        <v>5031</v>
      </c>
    </row>
    <row r="3557" spans="1:14" x14ac:dyDescent="0.3">
      <c r="A3557" t="s">
        <v>3581</v>
      </c>
      <c r="B3557" t="s">
        <v>19</v>
      </c>
      <c r="C3557" t="s">
        <v>13</v>
      </c>
      <c r="D3557">
        <v>20</v>
      </c>
      <c r="E3557" t="s">
        <v>26</v>
      </c>
      <c r="F3557" t="s">
        <v>15</v>
      </c>
      <c r="G3557">
        <v>85.25</v>
      </c>
      <c r="H3557">
        <v>1734.5</v>
      </c>
      <c r="I3557" t="s">
        <v>16</v>
      </c>
      <c r="J3557" t="s">
        <v>16</v>
      </c>
      <c r="K3557" t="s">
        <v>17</v>
      </c>
      <c r="L3557">
        <v>1734.5</v>
      </c>
      <c r="M3557" t="s">
        <v>5032</v>
      </c>
      <c r="N3557" t="s">
        <v>5031</v>
      </c>
    </row>
    <row r="3558" spans="1:14" x14ac:dyDescent="0.3">
      <c r="A3558" t="s">
        <v>3582</v>
      </c>
      <c r="B3558" t="s">
        <v>19</v>
      </c>
      <c r="C3558" t="s">
        <v>20</v>
      </c>
      <c r="D3558">
        <v>6</v>
      </c>
      <c r="E3558" t="s">
        <v>15</v>
      </c>
      <c r="F3558" t="s">
        <v>36</v>
      </c>
      <c r="G3558">
        <v>19.45</v>
      </c>
      <c r="H3558">
        <v>113.5</v>
      </c>
      <c r="I3558" t="s">
        <v>15</v>
      </c>
      <c r="J3558" t="s">
        <v>15</v>
      </c>
      <c r="K3558" t="s">
        <v>21</v>
      </c>
      <c r="L3558">
        <v>113.5</v>
      </c>
      <c r="M3558" t="s">
        <v>5030</v>
      </c>
      <c r="N3558" t="s">
        <v>5031</v>
      </c>
    </row>
    <row r="3559" spans="1:14" x14ac:dyDescent="0.3">
      <c r="A3559" t="s">
        <v>3583</v>
      </c>
      <c r="B3559" t="s">
        <v>12</v>
      </c>
      <c r="C3559" t="s">
        <v>13</v>
      </c>
      <c r="D3559">
        <v>33</v>
      </c>
      <c r="E3559" t="s">
        <v>14</v>
      </c>
      <c r="F3559" t="s">
        <v>15</v>
      </c>
      <c r="G3559">
        <v>59.45</v>
      </c>
      <c r="H3559">
        <v>1884.65</v>
      </c>
      <c r="I3559" t="s">
        <v>15</v>
      </c>
      <c r="J3559" t="s">
        <v>16</v>
      </c>
      <c r="K3559" t="s">
        <v>24</v>
      </c>
      <c r="L3559">
        <v>1884.65</v>
      </c>
      <c r="M3559" t="s">
        <v>5032</v>
      </c>
      <c r="N3559" t="s">
        <v>5031</v>
      </c>
    </row>
    <row r="3560" spans="1:14" x14ac:dyDescent="0.3">
      <c r="A3560" t="s">
        <v>3584</v>
      </c>
      <c r="B3560" t="s">
        <v>19</v>
      </c>
      <c r="C3560" t="s">
        <v>20</v>
      </c>
      <c r="D3560">
        <v>28</v>
      </c>
      <c r="E3560" t="s">
        <v>26</v>
      </c>
      <c r="F3560" t="s">
        <v>15</v>
      </c>
      <c r="G3560">
        <v>92.2</v>
      </c>
      <c r="H3560">
        <v>2568.15</v>
      </c>
      <c r="I3560" t="s">
        <v>15</v>
      </c>
      <c r="J3560" t="s">
        <v>15</v>
      </c>
      <c r="K3560" t="s">
        <v>24</v>
      </c>
      <c r="L3560">
        <v>2568.15</v>
      </c>
      <c r="M3560" t="s">
        <v>5032</v>
      </c>
      <c r="N3560" t="s">
        <v>5034</v>
      </c>
    </row>
    <row r="3561" spans="1:14" x14ac:dyDescent="0.3">
      <c r="A3561" t="s">
        <v>3585</v>
      </c>
      <c r="B3561" t="s">
        <v>19</v>
      </c>
      <c r="C3561" t="s">
        <v>35</v>
      </c>
      <c r="D3561">
        <v>27</v>
      </c>
      <c r="E3561" t="s">
        <v>15</v>
      </c>
      <c r="F3561" t="s">
        <v>36</v>
      </c>
      <c r="G3561">
        <v>19.850000000000001</v>
      </c>
      <c r="H3561">
        <v>470</v>
      </c>
      <c r="I3561" t="s">
        <v>15</v>
      </c>
      <c r="J3561" t="s">
        <v>15</v>
      </c>
      <c r="K3561" t="s">
        <v>29</v>
      </c>
      <c r="L3561">
        <v>470</v>
      </c>
      <c r="M3561" t="s">
        <v>5032</v>
      </c>
      <c r="N3561" t="s">
        <v>5031</v>
      </c>
    </row>
    <row r="3562" spans="1:14" x14ac:dyDescent="0.3">
      <c r="A3562" t="s">
        <v>3586</v>
      </c>
      <c r="B3562" t="s">
        <v>19</v>
      </c>
      <c r="C3562" t="s">
        <v>13</v>
      </c>
      <c r="D3562">
        <v>7</v>
      </c>
      <c r="E3562" t="s">
        <v>14</v>
      </c>
      <c r="F3562" t="s">
        <v>15</v>
      </c>
      <c r="G3562">
        <v>43.9</v>
      </c>
      <c r="H3562">
        <v>278.39999999999998</v>
      </c>
      <c r="I3562" t="s">
        <v>15</v>
      </c>
      <c r="J3562" t="s">
        <v>15</v>
      </c>
      <c r="K3562" t="s">
        <v>21</v>
      </c>
      <c r="L3562">
        <v>278.39999999999998</v>
      </c>
      <c r="M3562" t="s">
        <v>5030</v>
      </c>
      <c r="N3562" t="s">
        <v>5031</v>
      </c>
    </row>
    <row r="3563" spans="1:14" x14ac:dyDescent="0.3">
      <c r="A3563" t="s">
        <v>3587</v>
      </c>
      <c r="B3563" t="s">
        <v>19</v>
      </c>
      <c r="C3563" t="s">
        <v>13</v>
      </c>
      <c r="D3563">
        <v>26</v>
      </c>
      <c r="E3563" t="s">
        <v>26</v>
      </c>
      <c r="F3563" t="s">
        <v>16</v>
      </c>
      <c r="G3563">
        <v>80.5</v>
      </c>
      <c r="H3563">
        <v>2088.8000000000002</v>
      </c>
      <c r="I3563" t="s">
        <v>16</v>
      </c>
      <c r="J3563" t="s">
        <v>16</v>
      </c>
      <c r="K3563" t="s">
        <v>17</v>
      </c>
      <c r="L3563">
        <v>2088.8000000000002</v>
      </c>
      <c r="M3563" t="s">
        <v>5032</v>
      </c>
      <c r="N3563" t="s">
        <v>5031</v>
      </c>
    </row>
    <row r="3564" spans="1:14" x14ac:dyDescent="0.3">
      <c r="A3564" t="s">
        <v>3588</v>
      </c>
      <c r="B3564" t="s">
        <v>19</v>
      </c>
      <c r="C3564" t="s">
        <v>13</v>
      </c>
      <c r="D3564">
        <v>5</v>
      </c>
      <c r="E3564" t="s">
        <v>26</v>
      </c>
      <c r="F3564" t="s">
        <v>15</v>
      </c>
      <c r="G3564">
        <v>89.8</v>
      </c>
      <c r="H3564">
        <v>502.6</v>
      </c>
      <c r="I3564" t="s">
        <v>16</v>
      </c>
      <c r="J3564" t="s">
        <v>16</v>
      </c>
      <c r="K3564" t="s">
        <v>17</v>
      </c>
      <c r="L3564">
        <v>502.6</v>
      </c>
      <c r="M3564" t="s">
        <v>5030</v>
      </c>
      <c r="N3564" t="s">
        <v>5031</v>
      </c>
    </row>
    <row r="3565" spans="1:14" x14ac:dyDescent="0.3">
      <c r="A3565" t="s">
        <v>3589</v>
      </c>
      <c r="B3565" t="s">
        <v>19</v>
      </c>
      <c r="C3565" t="s">
        <v>13</v>
      </c>
      <c r="D3565">
        <v>30</v>
      </c>
      <c r="E3565" t="s">
        <v>26</v>
      </c>
      <c r="F3565" t="s">
        <v>15</v>
      </c>
      <c r="G3565">
        <v>90.5</v>
      </c>
      <c r="H3565">
        <v>2595.85</v>
      </c>
      <c r="I3565" t="s">
        <v>15</v>
      </c>
      <c r="J3565" t="s">
        <v>16</v>
      </c>
      <c r="K3565" t="s">
        <v>29</v>
      </c>
      <c r="L3565">
        <v>2595.85</v>
      </c>
      <c r="M3565" t="s">
        <v>5032</v>
      </c>
      <c r="N3565" t="s">
        <v>5034</v>
      </c>
    </row>
    <row r="3566" spans="1:14" x14ac:dyDescent="0.3">
      <c r="A3566" t="s">
        <v>3590</v>
      </c>
      <c r="B3566" t="s">
        <v>19</v>
      </c>
      <c r="C3566" t="s">
        <v>20</v>
      </c>
      <c r="D3566">
        <v>63</v>
      </c>
      <c r="E3566" t="s">
        <v>26</v>
      </c>
      <c r="F3566" t="s">
        <v>15</v>
      </c>
      <c r="G3566">
        <v>90.45</v>
      </c>
      <c r="H3566">
        <v>5825.5</v>
      </c>
      <c r="I3566" t="s">
        <v>15</v>
      </c>
      <c r="J3566" t="s">
        <v>15</v>
      </c>
      <c r="K3566" t="s">
        <v>29</v>
      </c>
      <c r="L3566">
        <v>5825.5</v>
      </c>
      <c r="M3566" t="s">
        <v>5033</v>
      </c>
      <c r="N3566" t="s">
        <v>5034</v>
      </c>
    </row>
    <row r="3567" spans="1:14" x14ac:dyDescent="0.3">
      <c r="A3567" t="s">
        <v>3591</v>
      </c>
      <c r="B3567" t="s">
        <v>19</v>
      </c>
      <c r="C3567" t="s">
        <v>13</v>
      </c>
      <c r="D3567">
        <v>1</v>
      </c>
      <c r="E3567" t="s">
        <v>14</v>
      </c>
      <c r="F3567" t="s">
        <v>15</v>
      </c>
      <c r="G3567">
        <v>50.75</v>
      </c>
      <c r="H3567">
        <v>50.75</v>
      </c>
      <c r="I3567" t="s">
        <v>16</v>
      </c>
      <c r="J3567" t="s">
        <v>16</v>
      </c>
      <c r="K3567" t="s">
        <v>17</v>
      </c>
      <c r="L3567">
        <v>50.75</v>
      </c>
      <c r="M3567" t="s">
        <v>5030</v>
      </c>
      <c r="N3567" t="s">
        <v>5031</v>
      </c>
    </row>
    <row r="3568" spans="1:14" x14ac:dyDescent="0.3">
      <c r="A3568" t="s">
        <v>3592</v>
      </c>
      <c r="B3568" t="s">
        <v>12</v>
      </c>
      <c r="C3568" t="s">
        <v>20</v>
      </c>
      <c r="D3568">
        <v>53</v>
      </c>
      <c r="E3568" t="s">
        <v>14</v>
      </c>
      <c r="F3568" t="s">
        <v>16</v>
      </c>
      <c r="G3568">
        <v>84.6</v>
      </c>
      <c r="H3568">
        <v>4449.75</v>
      </c>
      <c r="I3568" t="s">
        <v>15</v>
      </c>
      <c r="J3568" t="s">
        <v>16</v>
      </c>
      <c r="K3568" t="s">
        <v>17</v>
      </c>
      <c r="L3568">
        <v>4449.75</v>
      </c>
      <c r="M3568" t="s">
        <v>5033</v>
      </c>
      <c r="N3568" t="s">
        <v>5034</v>
      </c>
    </row>
    <row r="3569" spans="1:14" x14ac:dyDescent="0.3">
      <c r="A3569" t="s">
        <v>3593</v>
      </c>
      <c r="B3569" t="s">
        <v>12</v>
      </c>
      <c r="C3569" t="s">
        <v>13</v>
      </c>
      <c r="D3569">
        <v>14</v>
      </c>
      <c r="E3569" t="s">
        <v>26</v>
      </c>
      <c r="F3569" t="s">
        <v>16</v>
      </c>
      <c r="G3569">
        <v>89.65</v>
      </c>
      <c r="H3569">
        <v>1208.3499999999999</v>
      </c>
      <c r="I3569" t="s">
        <v>16</v>
      </c>
      <c r="J3569" t="s">
        <v>16</v>
      </c>
      <c r="K3569" t="s">
        <v>29</v>
      </c>
      <c r="L3569">
        <v>1208.3499999999999</v>
      </c>
      <c r="M3569" t="s">
        <v>5032</v>
      </c>
      <c r="N3569" t="s">
        <v>5031</v>
      </c>
    </row>
    <row r="3570" spans="1:14" x14ac:dyDescent="0.3">
      <c r="A3570" t="s">
        <v>3594</v>
      </c>
      <c r="B3570" t="s">
        <v>12</v>
      </c>
      <c r="C3570" t="s">
        <v>13</v>
      </c>
      <c r="D3570">
        <v>21</v>
      </c>
      <c r="E3570" t="s">
        <v>26</v>
      </c>
      <c r="F3570" t="s">
        <v>16</v>
      </c>
      <c r="G3570">
        <v>99.15</v>
      </c>
      <c r="H3570">
        <v>1956.4</v>
      </c>
      <c r="I3570" t="s">
        <v>15</v>
      </c>
      <c r="J3570" t="s">
        <v>16</v>
      </c>
      <c r="K3570" t="s">
        <v>24</v>
      </c>
      <c r="L3570">
        <v>1956.4</v>
      </c>
      <c r="M3570" t="s">
        <v>5032</v>
      </c>
      <c r="N3570" t="s">
        <v>5031</v>
      </c>
    </row>
    <row r="3571" spans="1:14" x14ac:dyDescent="0.3">
      <c r="A3571" t="s">
        <v>3595</v>
      </c>
      <c r="B3571" t="s">
        <v>19</v>
      </c>
      <c r="C3571" t="s">
        <v>20</v>
      </c>
      <c r="D3571">
        <v>17</v>
      </c>
      <c r="E3571" t="s">
        <v>15</v>
      </c>
      <c r="F3571" t="s">
        <v>36</v>
      </c>
      <c r="G3571">
        <v>19.95</v>
      </c>
      <c r="H3571">
        <v>310.60000000000002</v>
      </c>
      <c r="I3571" t="s">
        <v>15</v>
      </c>
      <c r="J3571" t="s">
        <v>15</v>
      </c>
      <c r="K3571" t="s">
        <v>21</v>
      </c>
      <c r="L3571">
        <v>310.60000000000002</v>
      </c>
      <c r="M3571" t="s">
        <v>5032</v>
      </c>
      <c r="N3571" t="s">
        <v>5031</v>
      </c>
    </row>
    <row r="3572" spans="1:14" x14ac:dyDescent="0.3">
      <c r="A3572" t="s">
        <v>3596</v>
      </c>
      <c r="B3572" t="s">
        <v>19</v>
      </c>
      <c r="C3572" t="s">
        <v>35</v>
      </c>
      <c r="D3572">
        <v>16</v>
      </c>
      <c r="E3572" t="s">
        <v>15</v>
      </c>
      <c r="F3572" t="s">
        <v>36</v>
      </c>
      <c r="G3572">
        <v>20.5</v>
      </c>
      <c r="H3572">
        <v>290.55</v>
      </c>
      <c r="I3572" t="s">
        <v>15</v>
      </c>
      <c r="J3572" t="s">
        <v>15</v>
      </c>
      <c r="K3572" t="s">
        <v>21</v>
      </c>
      <c r="L3572">
        <v>290.55</v>
      </c>
      <c r="M3572" t="s">
        <v>5032</v>
      </c>
      <c r="N3572" t="s">
        <v>5031</v>
      </c>
    </row>
    <row r="3573" spans="1:14" x14ac:dyDescent="0.3">
      <c r="A3573" t="s">
        <v>3597</v>
      </c>
      <c r="B3573" t="s">
        <v>12</v>
      </c>
      <c r="C3573" t="s">
        <v>13</v>
      </c>
      <c r="D3573">
        <v>35</v>
      </c>
      <c r="E3573" t="s">
        <v>14</v>
      </c>
      <c r="F3573" t="s">
        <v>15</v>
      </c>
      <c r="G3573">
        <v>62.1</v>
      </c>
      <c r="H3573">
        <v>2096.1</v>
      </c>
      <c r="I3573" t="s">
        <v>15</v>
      </c>
      <c r="J3573" t="s">
        <v>16</v>
      </c>
      <c r="K3573" t="s">
        <v>17</v>
      </c>
      <c r="L3573">
        <v>2096.1</v>
      </c>
      <c r="M3573" t="s">
        <v>5032</v>
      </c>
      <c r="N3573" t="s">
        <v>5031</v>
      </c>
    </row>
    <row r="3574" spans="1:14" x14ac:dyDescent="0.3">
      <c r="A3574" t="s">
        <v>3598</v>
      </c>
      <c r="B3574" t="s">
        <v>12</v>
      </c>
      <c r="C3574" t="s">
        <v>13</v>
      </c>
      <c r="D3574">
        <v>32</v>
      </c>
      <c r="E3574" t="s">
        <v>26</v>
      </c>
      <c r="F3574" t="s">
        <v>15</v>
      </c>
      <c r="G3574">
        <v>79.5</v>
      </c>
      <c r="H3574">
        <v>2665</v>
      </c>
      <c r="I3574" t="s">
        <v>15</v>
      </c>
      <c r="J3574" t="s">
        <v>16</v>
      </c>
      <c r="K3574" t="s">
        <v>17</v>
      </c>
      <c r="L3574">
        <v>2665</v>
      </c>
      <c r="M3574" t="s">
        <v>5032</v>
      </c>
      <c r="N3574" t="s">
        <v>5034</v>
      </c>
    </row>
    <row r="3575" spans="1:14" x14ac:dyDescent="0.3">
      <c r="A3575" t="s">
        <v>3599</v>
      </c>
      <c r="B3575" t="s">
        <v>12</v>
      </c>
      <c r="C3575" t="s">
        <v>13</v>
      </c>
      <c r="D3575">
        <v>28</v>
      </c>
      <c r="E3575" t="s">
        <v>15</v>
      </c>
      <c r="F3575" t="s">
        <v>36</v>
      </c>
      <c r="G3575">
        <v>19.55</v>
      </c>
      <c r="H3575">
        <v>543.79999999999995</v>
      </c>
      <c r="I3575" t="s">
        <v>15</v>
      </c>
      <c r="J3575" t="s">
        <v>16</v>
      </c>
      <c r="K3575" t="s">
        <v>24</v>
      </c>
      <c r="L3575">
        <v>543.79999999999995</v>
      </c>
      <c r="M3575" t="s">
        <v>5032</v>
      </c>
      <c r="N3575" t="s">
        <v>5031</v>
      </c>
    </row>
    <row r="3576" spans="1:14" x14ac:dyDescent="0.3">
      <c r="A3576" t="s">
        <v>3600</v>
      </c>
      <c r="B3576" t="s">
        <v>12</v>
      </c>
      <c r="C3576" t="s">
        <v>13</v>
      </c>
      <c r="D3576">
        <v>1</v>
      </c>
      <c r="E3576" t="s">
        <v>15</v>
      </c>
      <c r="F3576" t="s">
        <v>36</v>
      </c>
      <c r="G3576">
        <v>20.350000000000001</v>
      </c>
      <c r="H3576">
        <v>20.350000000000001</v>
      </c>
      <c r="I3576" t="s">
        <v>15</v>
      </c>
      <c r="J3576" t="s">
        <v>16</v>
      </c>
      <c r="K3576" t="s">
        <v>21</v>
      </c>
      <c r="L3576">
        <v>20.350000000000001</v>
      </c>
      <c r="M3576" t="s">
        <v>5030</v>
      </c>
      <c r="N3576" t="s">
        <v>5031</v>
      </c>
    </row>
    <row r="3577" spans="1:14" x14ac:dyDescent="0.3">
      <c r="A3577" t="s">
        <v>3601</v>
      </c>
      <c r="B3577" t="s">
        <v>19</v>
      </c>
      <c r="C3577" t="s">
        <v>13</v>
      </c>
      <c r="D3577">
        <v>59</v>
      </c>
      <c r="E3577" t="s">
        <v>14</v>
      </c>
      <c r="F3577" t="s">
        <v>16</v>
      </c>
      <c r="G3577">
        <v>51.7</v>
      </c>
      <c r="H3577">
        <v>3005.8</v>
      </c>
      <c r="I3577" t="s">
        <v>15</v>
      </c>
      <c r="J3577" t="s">
        <v>16</v>
      </c>
      <c r="K3577" t="s">
        <v>17</v>
      </c>
      <c r="L3577">
        <v>3005.8</v>
      </c>
      <c r="M3577" t="s">
        <v>5033</v>
      </c>
      <c r="N3577" t="s">
        <v>5034</v>
      </c>
    </row>
    <row r="3578" spans="1:14" x14ac:dyDescent="0.3">
      <c r="A3578" t="s">
        <v>3602</v>
      </c>
      <c r="B3578" t="s">
        <v>12</v>
      </c>
      <c r="C3578" t="s">
        <v>20</v>
      </c>
      <c r="D3578">
        <v>72</v>
      </c>
      <c r="E3578" t="s">
        <v>15</v>
      </c>
      <c r="F3578" t="s">
        <v>36</v>
      </c>
      <c r="G3578">
        <v>23.3</v>
      </c>
      <c r="H3578">
        <v>1623.15</v>
      </c>
      <c r="I3578" t="s">
        <v>15</v>
      </c>
      <c r="J3578" t="s">
        <v>16</v>
      </c>
      <c r="K3578" t="s">
        <v>24</v>
      </c>
      <c r="L3578">
        <v>1623.15</v>
      </c>
      <c r="M3578" t="s">
        <v>5033</v>
      </c>
      <c r="N3578" t="s">
        <v>5031</v>
      </c>
    </row>
    <row r="3579" spans="1:14" x14ac:dyDescent="0.3">
      <c r="A3579" t="s">
        <v>3603</v>
      </c>
      <c r="B3579" t="s">
        <v>19</v>
      </c>
      <c r="C3579" t="s">
        <v>20</v>
      </c>
      <c r="D3579">
        <v>36</v>
      </c>
      <c r="E3579" t="s">
        <v>14</v>
      </c>
      <c r="F3579" t="s">
        <v>16</v>
      </c>
      <c r="G3579">
        <v>65.400000000000006</v>
      </c>
      <c r="H3579">
        <v>2498.4</v>
      </c>
      <c r="I3579" t="s">
        <v>16</v>
      </c>
      <c r="J3579" t="s">
        <v>16</v>
      </c>
      <c r="K3579" t="s">
        <v>21</v>
      </c>
      <c r="L3579">
        <v>2498.4</v>
      </c>
      <c r="M3579" t="s">
        <v>5032</v>
      </c>
      <c r="N3579" t="s">
        <v>5031</v>
      </c>
    </row>
    <row r="3580" spans="1:14" x14ac:dyDescent="0.3">
      <c r="A3580" t="s">
        <v>3604</v>
      </c>
      <c r="B3580" t="s">
        <v>12</v>
      </c>
      <c r="C3580" t="s">
        <v>13</v>
      </c>
      <c r="D3580">
        <v>40</v>
      </c>
      <c r="E3580" t="s">
        <v>14</v>
      </c>
      <c r="F3580" t="s">
        <v>15</v>
      </c>
      <c r="G3580">
        <v>65.099999999999994</v>
      </c>
      <c r="H3580">
        <v>2586</v>
      </c>
      <c r="I3580" t="s">
        <v>15</v>
      </c>
      <c r="J3580" t="s">
        <v>15</v>
      </c>
      <c r="K3580" t="s">
        <v>21</v>
      </c>
      <c r="L3580">
        <v>2586</v>
      </c>
      <c r="M3580" t="s">
        <v>5033</v>
      </c>
      <c r="N3580" t="s">
        <v>5034</v>
      </c>
    </row>
    <row r="3581" spans="1:14" x14ac:dyDescent="0.3">
      <c r="A3581" t="s">
        <v>3605</v>
      </c>
      <c r="B3581" t="s">
        <v>19</v>
      </c>
      <c r="C3581" t="s">
        <v>13</v>
      </c>
      <c r="D3581">
        <v>40</v>
      </c>
      <c r="E3581" t="s">
        <v>26</v>
      </c>
      <c r="F3581" t="s">
        <v>15</v>
      </c>
      <c r="G3581">
        <v>81.2</v>
      </c>
      <c r="H3581">
        <v>3292.3</v>
      </c>
      <c r="I3581" t="s">
        <v>15</v>
      </c>
      <c r="J3581" t="s">
        <v>16</v>
      </c>
      <c r="K3581" t="s">
        <v>17</v>
      </c>
      <c r="L3581">
        <v>3292.3</v>
      </c>
      <c r="M3581" t="s">
        <v>5033</v>
      </c>
      <c r="N3581" t="s">
        <v>5034</v>
      </c>
    </row>
    <row r="3582" spans="1:14" x14ac:dyDescent="0.3">
      <c r="A3582" t="s">
        <v>3606</v>
      </c>
      <c r="B3582" t="s">
        <v>12</v>
      </c>
      <c r="C3582" t="s">
        <v>13</v>
      </c>
      <c r="D3582">
        <v>9</v>
      </c>
      <c r="E3582" t="s">
        <v>14</v>
      </c>
      <c r="F3582" t="s">
        <v>16</v>
      </c>
      <c r="G3582">
        <v>72.900000000000006</v>
      </c>
      <c r="H3582">
        <v>651.4</v>
      </c>
      <c r="I3582" t="s">
        <v>16</v>
      </c>
      <c r="J3582" t="s">
        <v>16</v>
      </c>
      <c r="K3582" t="s">
        <v>21</v>
      </c>
      <c r="L3582">
        <v>651.4</v>
      </c>
      <c r="M3582" t="s">
        <v>5030</v>
      </c>
      <c r="N3582" t="s">
        <v>5031</v>
      </c>
    </row>
    <row r="3583" spans="1:14" x14ac:dyDescent="0.3">
      <c r="A3583" t="s">
        <v>3607</v>
      </c>
      <c r="B3583" t="s">
        <v>19</v>
      </c>
      <c r="C3583" t="s">
        <v>35</v>
      </c>
      <c r="D3583">
        <v>63</v>
      </c>
      <c r="E3583" t="s">
        <v>14</v>
      </c>
      <c r="F3583" t="s">
        <v>16</v>
      </c>
      <c r="G3583">
        <v>74.5</v>
      </c>
      <c r="H3583">
        <v>4674.55</v>
      </c>
      <c r="I3583" t="s">
        <v>15</v>
      </c>
      <c r="J3583" t="s">
        <v>15</v>
      </c>
      <c r="K3583" t="s">
        <v>29</v>
      </c>
      <c r="L3583">
        <v>4674.55</v>
      </c>
      <c r="M3583" t="s">
        <v>5033</v>
      </c>
      <c r="N3583" t="s">
        <v>5034</v>
      </c>
    </row>
    <row r="3584" spans="1:14" x14ac:dyDescent="0.3">
      <c r="A3584" t="s">
        <v>3608</v>
      </c>
      <c r="B3584" t="s">
        <v>12</v>
      </c>
      <c r="C3584" t="s">
        <v>13</v>
      </c>
      <c r="D3584">
        <v>3</v>
      </c>
      <c r="E3584" t="s">
        <v>26</v>
      </c>
      <c r="F3584" t="s">
        <v>15</v>
      </c>
      <c r="G3584">
        <v>80.5</v>
      </c>
      <c r="H3584">
        <v>232.35</v>
      </c>
      <c r="I3584" t="s">
        <v>15</v>
      </c>
      <c r="J3584" t="s">
        <v>16</v>
      </c>
      <c r="K3584" t="s">
        <v>17</v>
      </c>
      <c r="L3584">
        <v>232.35</v>
      </c>
      <c r="M3584" t="s">
        <v>5030</v>
      </c>
      <c r="N3584" t="s">
        <v>5031</v>
      </c>
    </row>
    <row r="3585" spans="1:14" x14ac:dyDescent="0.3">
      <c r="A3585" t="s">
        <v>3609</v>
      </c>
      <c r="B3585" t="s">
        <v>19</v>
      </c>
      <c r="C3585" t="s">
        <v>20</v>
      </c>
      <c r="D3585">
        <v>40</v>
      </c>
      <c r="E3585" t="s">
        <v>14</v>
      </c>
      <c r="F3585" t="s">
        <v>16</v>
      </c>
      <c r="G3585">
        <v>60.3</v>
      </c>
      <c r="H3585">
        <v>2448.5</v>
      </c>
      <c r="I3585" t="s">
        <v>15</v>
      </c>
      <c r="J3585" t="s">
        <v>15</v>
      </c>
      <c r="K3585" t="s">
        <v>21</v>
      </c>
      <c r="L3585">
        <v>2448.5</v>
      </c>
      <c r="M3585" t="s">
        <v>5033</v>
      </c>
      <c r="N3585" t="s">
        <v>5031</v>
      </c>
    </row>
    <row r="3586" spans="1:14" x14ac:dyDescent="0.3">
      <c r="A3586" t="s">
        <v>3610</v>
      </c>
      <c r="B3586" t="s">
        <v>19</v>
      </c>
      <c r="C3586" t="s">
        <v>13</v>
      </c>
      <c r="D3586">
        <v>8</v>
      </c>
      <c r="E3586" t="s">
        <v>26</v>
      </c>
      <c r="F3586" t="s">
        <v>15</v>
      </c>
      <c r="G3586">
        <v>75</v>
      </c>
      <c r="H3586">
        <v>658.1</v>
      </c>
      <c r="I3586" t="s">
        <v>15</v>
      </c>
      <c r="J3586" t="s">
        <v>16</v>
      </c>
      <c r="K3586" t="s">
        <v>21</v>
      </c>
      <c r="L3586">
        <v>658.1</v>
      </c>
      <c r="M3586" t="s">
        <v>5030</v>
      </c>
      <c r="N3586" t="s">
        <v>5031</v>
      </c>
    </row>
    <row r="3587" spans="1:14" x14ac:dyDescent="0.3">
      <c r="A3587" t="s">
        <v>3611</v>
      </c>
      <c r="B3587" t="s">
        <v>19</v>
      </c>
      <c r="C3587" t="s">
        <v>20</v>
      </c>
      <c r="D3587">
        <v>34</v>
      </c>
      <c r="E3587" t="s">
        <v>26</v>
      </c>
      <c r="F3587" t="s">
        <v>16</v>
      </c>
      <c r="G3587">
        <v>90.15</v>
      </c>
      <c r="H3587">
        <v>3128.8</v>
      </c>
      <c r="I3587" t="s">
        <v>15</v>
      </c>
      <c r="J3587" t="s">
        <v>15</v>
      </c>
      <c r="K3587" t="s">
        <v>21</v>
      </c>
      <c r="L3587">
        <v>3128.8</v>
      </c>
      <c r="M3587" t="s">
        <v>5032</v>
      </c>
      <c r="N3587" t="s">
        <v>5034</v>
      </c>
    </row>
    <row r="3588" spans="1:14" x14ac:dyDescent="0.3">
      <c r="A3588" t="s">
        <v>3612</v>
      </c>
      <c r="B3588" t="s">
        <v>19</v>
      </c>
      <c r="C3588" t="s">
        <v>13</v>
      </c>
      <c r="D3588">
        <v>5</v>
      </c>
      <c r="E3588" t="s">
        <v>14</v>
      </c>
      <c r="F3588" t="s">
        <v>16</v>
      </c>
      <c r="G3588">
        <v>40</v>
      </c>
      <c r="H3588">
        <v>223.45</v>
      </c>
      <c r="I3588" t="s">
        <v>16</v>
      </c>
      <c r="J3588" t="s">
        <v>15</v>
      </c>
      <c r="K3588" t="s">
        <v>21</v>
      </c>
      <c r="L3588">
        <v>223.45</v>
      </c>
      <c r="M3588" t="s">
        <v>5030</v>
      </c>
      <c r="N3588" t="s">
        <v>5031</v>
      </c>
    </row>
    <row r="3589" spans="1:14" x14ac:dyDescent="0.3">
      <c r="A3589" t="s">
        <v>3613</v>
      </c>
      <c r="B3589" t="s">
        <v>19</v>
      </c>
      <c r="C3589" t="s">
        <v>13</v>
      </c>
      <c r="D3589">
        <v>9</v>
      </c>
      <c r="E3589" t="s">
        <v>26</v>
      </c>
      <c r="F3589" t="s">
        <v>15</v>
      </c>
      <c r="G3589">
        <v>99.45</v>
      </c>
      <c r="H3589">
        <v>919.4</v>
      </c>
      <c r="I3589" t="s">
        <v>16</v>
      </c>
      <c r="J3589" t="s">
        <v>16</v>
      </c>
      <c r="K3589" t="s">
        <v>29</v>
      </c>
      <c r="L3589">
        <v>919.4</v>
      </c>
      <c r="M3589" t="s">
        <v>5030</v>
      </c>
      <c r="N3589" t="s">
        <v>5031</v>
      </c>
    </row>
    <row r="3590" spans="1:14" x14ac:dyDescent="0.3">
      <c r="A3590" t="s">
        <v>3614</v>
      </c>
      <c r="B3590" t="s">
        <v>19</v>
      </c>
      <c r="C3590" t="s">
        <v>13</v>
      </c>
      <c r="D3590">
        <v>9</v>
      </c>
      <c r="E3590" t="s">
        <v>14</v>
      </c>
      <c r="F3590" t="s">
        <v>15</v>
      </c>
      <c r="G3590">
        <v>69.05</v>
      </c>
      <c r="H3590">
        <v>653.95000000000005</v>
      </c>
      <c r="I3590" t="s">
        <v>15</v>
      </c>
      <c r="J3590" t="s">
        <v>16</v>
      </c>
      <c r="K3590" t="s">
        <v>29</v>
      </c>
      <c r="L3590">
        <v>653.95000000000005</v>
      </c>
      <c r="M3590" t="s">
        <v>5030</v>
      </c>
      <c r="N3590" t="s">
        <v>5031</v>
      </c>
    </row>
    <row r="3591" spans="1:14" x14ac:dyDescent="0.3">
      <c r="A3591" t="s">
        <v>3615</v>
      </c>
      <c r="B3591" t="s">
        <v>19</v>
      </c>
      <c r="C3591" t="s">
        <v>13</v>
      </c>
      <c r="D3591">
        <v>31</v>
      </c>
      <c r="E3591" t="s">
        <v>14</v>
      </c>
      <c r="F3591" t="s">
        <v>15</v>
      </c>
      <c r="G3591">
        <v>59.7</v>
      </c>
      <c r="H3591">
        <v>1825.5</v>
      </c>
      <c r="I3591" t="s">
        <v>15</v>
      </c>
      <c r="J3591" t="s">
        <v>15</v>
      </c>
      <c r="K3591" t="s">
        <v>24</v>
      </c>
      <c r="L3591">
        <v>1825.5</v>
      </c>
      <c r="M3591" t="s">
        <v>5032</v>
      </c>
      <c r="N3591" t="s">
        <v>5031</v>
      </c>
    </row>
    <row r="3592" spans="1:14" x14ac:dyDescent="0.3">
      <c r="A3592" t="s">
        <v>3616</v>
      </c>
      <c r="B3592" t="s">
        <v>12</v>
      </c>
      <c r="C3592" t="s">
        <v>20</v>
      </c>
      <c r="D3592">
        <v>50</v>
      </c>
      <c r="E3592" t="s">
        <v>15</v>
      </c>
      <c r="F3592" t="s">
        <v>36</v>
      </c>
      <c r="G3592">
        <v>19.850000000000001</v>
      </c>
      <c r="H3592">
        <v>943.1</v>
      </c>
      <c r="I3592" t="s">
        <v>15</v>
      </c>
      <c r="J3592" t="s">
        <v>16</v>
      </c>
      <c r="K3592" t="s">
        <v>24</v>
      </c>
      <c r="L3592">
        <v>943.1</v>
      </c>
      <c r="M3592" t="s">
        <v>5033</v>
      </c>
      <c r="N3592" t="s">
        <v>5031</v>
      </c>
    </row>
    <row r="3593" spans="1:14" x14ac:dyDescent="0.3">
      <c r="A3593" t="s">
        <v>3617</v>
      </c>
      <c r="B3593" t="s">
        <v>12</v>
      </c>
      <c r="C3593" t="s">
        <v>13</v>
      </c>
      <c r="D3593">
        <v>2</v>
      </c>
      <c r="E3593" t="s">
        <v>26</v>
      </c>
      <c r="F3593" t="s">
        <v>16</v>
      </c>
      <c r="G3593">
        <v>86.25</v>
      </c>
      <c r="H3593">
        <v>181.65</v>
      </c>
      <c r="I3593" t="s">
        <v>16</v>
      </c>
      <c r="J3593" t="s">
        <v>16</v>
      </c>
      <c r="K3593" t="s">
        <v>17</v>
      </c>
      <c r="L3593">
        <v>181.65</v>
      </c>
      <c r="M3593" t="s">
        <v>5030</v>
      </c>
      <c r="N3593" t="s">
        <v>5031</v>
      </c>
    </row>
    <row r="3594" spans="1:14" x14ac:dyDescent="0.3">
      <c r="A3594" t="s">
        <v>3618</v>
      </c>
      <c r="B3594" t="s">
        <v>12</v>
      </c>
      <c r="C3594" t="s">
        <v>13</v>
      </c>
      <c r="D3594">
        <v>1</v>
      </c>
      <c r="E3594" t="s">
        <v>14</v>
      </c>
      <c r="F3594" t="s">
        <v>15</v>
      </c>
      <c r="G3594">
        <v>45.65</v>
      </c>
      <c r="H3594">
        <v>45.65</v>
      </c>
      <c r="I3594" t="s">
        <v>16</v>
      </c>
      <c r="J3594" t="s">
        <v>16</v>
      </c>
      <c r="K3594" t="s">
        <v>17</v>
      </c>
      <c r="L3594">
        <v>45.65</v>
      </c>
      <c r="M3594" t="s">
        <v>5030</v>
      </c>
      <c r="N3594" t="s">
        <v>5031</v>
      </c>
    </row>
    <row r="3595" spans="1:14" x14ac:dyDescent="0.3">
      <c r="A3595" t="s">
        <v>3619</v>
      </c>
      <c r="B3595" t="s">
        <v>19</v>
      </c>
      <c r="C3595" t="s">
        <v>13</v>
      </c>
      <c r="D3595">
        <v>8</v>
      </c>
      <c r="E3595" t="s">
        <v>26</v>
      </c>
      <c r="F3595" t="s">
        <v>15</v>
      </c>
      <c r="G3595">
        <v>70.099999999999994</v>
      </c>
      <c r="H3595">
        <v>551.35</v>
      </c>
      <c r="I3595" t="s">
        <v>16</v>
      </c>
      <c r="J3595" t="s">
        <v>16</v>
      </c>
      <c r="K3595" t="s">
        <v>21</v>
      </c>
      <c r="L3595">
        <v>551.35</v>
      </c>
      <c r="M3595" t="s">
        <v>5030</v>
      </c>
      <c r="N3595" t="s">
        <v>5031</v>
      </c>
    </row>
    <row r="3596" spans="1:14" x14ac:dyDescent="0.3">
      <c r="A3596" t="s">
        <v>3620</v>
      </c>
      <c r="B3596" t="s">
        <v>12</v>
      </c>
      <c r="C3596" t="s">
        <v>13</v>
      </c>
      <c r="D3596">
        <v>9</v>
      </c>
      <c r="E3596" t="s">
        <v>14</v>
      </c>
      <c r="F3596" t="s">
        <v>15</v>
      </c>
      <c r="G3596">
        <v>40.75</v>
      </c>
      <c r="H3596">
        <v>359.4</v>
      </c>
      <c r="I3596" t="s">
        <v>15</v>
      </c>
      <c r="J3596" t="s">
        <v>15</v>
      </c>
      <c r="K3596" t="s">
        <v>17</v>
      </c>
      <c r="L3596">
        <v>359.4</v>
      </c>
      <c r="M3596" t="s">
        <v>5030</v>
      </c>
      <c r="N3596" t="s">
        <v>5031</v>
      </c>
    </row>
    <row r="3597" spans="1:14" x14ac:dyDescent="0.3">
      <c r="A3597" t="s">
        <v>3621</v>
      </c>
      <c r="B3597" t="s">
        <v>12</v>
      </c>
      <c r="C3597" t="s">
        <v>13</v>
      </c>
      <c r="D3597">
        <v>2</v>
      </c>
      <c r="E3597" t="s">
        <v>26</v>
      </c>
      <c r="F3597" t="s">
        <v>15</v>
      </c>
      <c r="G3597">
        <v>70.2</v>
      </c>
      <c r="H3597">
        <v>115.95</v>
      </c>
      <c r="I3597" t="s">
        <v>16</v>
      </c>
      <c r="J3597" t="s">
        <v>16</v>
      </c>
      <c r="K3597" t="s">
        <v>24</v>
      </c>
      <c r="L3597">
        <v>115.95</v>
      </c>
      <c r="M3597" t="s">
        <v>5030</v>
      </c>
      <c r="N3597" t="s">
        <v>5031</v>
      </c>
    </row>
    <row r="3598" spans="1:14" x14ac:dyDescent="0.3">
      <c r="A3598" t="s">
        <v>3622</v>
      </c>
      <c r="B3598" t="s">
        <v>12</v>
      </c>
      <c r="C3598" t="s">
        <v>13</v>
      </c>
      <c r="D3598">
        <v>3</v>
      </c>
      <c r="E3598" t="s">
        <v>14</v>
      </c>
      <c r="F3598" t="s">
        <v>15</v>
      </c>
      <c r="G3598">
        <v>55.35</v>
      </c>
      <c r="H3598">
        <v>165.2</v>
      </c>
      <c r="I3598" t="s">
        <v>16</v>
      </c>
      <c r="J3598" t="s">
        <v>15</v>
      </c>
      <c r="K3598" t="s">
        <v>17</v>
      </c>
      <c r="L3598">
        <v>165.2</v>
      </c>
      <c r="M3598" t="s">
        <v>5030</v>
      </c>
      <c r="N3598" t="s">
        <v>5031</v>
      </c>
    </row>
    <row r="3599" spans="1:14" x14ac:dyDescent="0.3">
      <c r="A3599" t="s">
        <v>3623</v>
      </c>
      <c r="B3599" t="s">
        <v>19</v>
      </c>
      <c r="C3599" t="s">
        <v>13</v>
      </c>
      <c r="D3599">
        <v>25</v>
      </c>
      <c r="E3599" t="s">
        <v>26</v>
      </c>
      <c r="F3599" t="s">
        <v>16</v>
      </c>
      <c r="G3599">
        <v>95.7</v>
      </c>
      <c r="H3599">
        <v>2338.35</v>
      </c>
      <c r="I3599" t="s">
        <v>15</v>
      </c>
      <c r="J3599" t="s">
        <v>16</v>
      </c>
      <c r="K3599" t="s">
        <v>29</v>
      </c>
      <c r="L3599">
        <v>2338.35</v>
      </c>
      <c r="M3599" t="s">
        <v>5032</v>
      </c>
      <c r="N3599" t="s">
        <v>5031</v>
      </c>
    </row>
    <row r="3600" spans="1:14" x14ac:dyDescent="0.3">
      <c r="A3600" t="s">
        <v>3624</v>
      </c>
      <c r="B3600" t="s">
        <v>19</v>
      </c>
      <c r="C3600" t="s">
        <v>13</v>
      </c>
      <c r="D3600">
        <v>1</v>
      </c>
      <c r="E3600" t="s">
        <v>14</v>
      </c>
      <c r="F3600" t="s">
        <v>15</v>
      </c>
      <c r="G3600">
        <v>46.3</v>
      </c>
      <c r="H3600">
        <v>46.3</v>
      </c>
      <c r="I3600" t="s">
        <v>15</v>
      </c>
      <c r="J3600" t="s">
        <v>15</v>
      </c>
      <c r="K3600" t="s">
        <v>17</v>
      </c>
      <c r="L3600">
        <v>46.3</v>
      </c>
      <c r="M3600" t="s">
        <v>5030</v>
      </c>
      <c r="N3600" t="s">
        <v>5031</v>
      </c>
    </row>
    <row r="3601" spans="1:14" x14ac:dyDescent="0.3">
      <c r="A3601" t="s">
        <v>3625</v>
      </c>
      <c r="B3601" t="s">
        <v>12</v>
      </c>
      <c r="C3601" t="s">
        <v>13</v>
      </c>
      <c r="D3601">
        <v>45</v>
      </c>
      <c r="E3601" t="s">
        <v>14</v>
      </c>
      <c r="F3601" t="s">
        <v>16</v>
      </c>
      <c r="G3601">
        <v>81.3</v>
      </c>
      <c r="H3601">
        <v>3541.1</v>
      </c>
      <c r="I3601" t="s">
        <v>15</v>
      </c>
      <c r="J3601" t="s">
        <v>15</v>
      </c>
      <c r="K3601" t="s">
        <v>21</v>
      </c>
      <c r="L3601">
        <v>3541.1</v>
      </c>
      <c r="M3601" t="s">
        <v>5033</v>
      </c>
      <c r="N3601" t="s">
        <v>5034</v>
      </c>
    </row>
    <row r="3602" spans="1:14" x14ac:dyDescent="0.3">
      <c r="A3602" t="s">
        <v>3626</v>
      </c>
      <c r="B3602" t="s">
        <v>19</v>
      </c>
      <c r="C3602" t="s">
        <v>13</v>
      </c>
      <c r="D3602">
        <v>51</v>
      </c>
      <c r="E3602" t="s">
        <v>26</v>
      </c>
      <c r="F3602" t="s">
        <v>15</v>
      </c>
      <c r="G3602">
        <v>84.2</v>
      </c>
      <c r="H3602">
        <v>4146.05</v>
      </c>
      <c r="I3602" t="s">
        <v>16</v>
      </c>
      <c r="J3602" t="s">
        <v>16</v>
      </c>
      <c r="K3602" t="s">
        <v>17</v>
      </c>
      <c r="L3602">
        <v>4146.05</v>
      </c>
      <c r="M3602" t="s">
        <v>5033</v>
      </c>
      <c r="N3602" t="s">
        <v>5034</v>
      </c>
    </row>
    <row r="3603" spans="1:14" x14ac:dyDescent="0.3">
      <c r="A3603" t="s">
        <v>3627</v>
      </c>
      <c r="B3603" t="s">
        <v>12</v>
      </c>
      <c r="C3603" t="s">
        <v>13</v>
      </c>
      <c r="D3603">
        <v>55</v>
      </c>
      <c r="E3603" t="s">
        <v>15</v>
      </c>
      <c r="F3603" t="s">
        <v>36</v>
      </c>
      <c r="G3603">
        <v>20</v>
      </c>
      <c r="H3603">
        <v>1087.25</v>
      </c>
      <c r="I3603" t="s">
        <v>15</v>
      </c>
      <c r="J3603" t="s">
        <v>15</v>
      </c>
      <c r="K3603" t="s">
        <v>29</v>
      </c>
      <c r="L3603">
        <v>1087.25</v>
      </c>
      <c r="M3603" t="s">
        <v>5033</v>
      </c>
      <c r="N3603" t="s">
        <v>5031</v>
      </c>
    </row>
    <row r="3604" spans="1:14" x14ac:dyDescent="0.3">
      <c r="A3604" t="s">
        <v>3628</v>
      </c>
      <c r="B3604" t="s">
        <v>12</v>
      </c>
      <c r="C3604" t="s">
        <v>13</v>
      </c>
      <c r="D3604">
        <v>38</v>
      </c>
      <c r="E3604" t="s">
        <v>14</v>
      </c>
      <c r="F3604" t="s">
        <v>15</v>
      </c>
      <c r="G3604">
        <v>66.150000000000006</v>
      </c>
      <c r="H3604">
        <v>2522.4</v>
      </c>
      <c r="I3604" t="s">
        <v>15</v>
      </c>
      <c r="J3604" t="s">
        <v>16</v>
      </c>
      <c r="K3604" t="s">
        <v>24</v>
      </c>
      <c r="L3604">
        <v>2522.4</v>
      </c>
      <c r="M3604" t="s">
        <v>5033</v>
      </c>
      <c r="N3604" t="s">
        <v>5034</v>
      </c>
    </row>
    <row r="3605" spans="1:14" x14ac:dyDescent="0.3">
      <c r="A3605" t="s">
        <v>3629</v>
      </c>
      <c r="B3605" t="s">
        <v>19</v>
      </c>
      <c r="C3605" t="s">
        <v>13</v>
      </c>
      <c r="D3605">
        <v>2</v>
      </c>
      <c r="E3605" t="s">
        <v>14</v>
      </c>
      <c r="F3605" t="s">
        <v>15</v>
      </c>
      <c r="G3605">
        <v>45.85</v>
      </c>
      <c r="H3605">
        <v>81</v>
      </c>
      <c r="I3605" t="s">
        <v>16</v>
      </c>
      <c r="J3605" t="s">
        <v>15</v>
      </c>
      <c r="K3605" t="s">
        <v>21</v>
      </c>
      <c r="L3605">
        <v>81</v>
      </c>
      <c r="M3605" t="s">
        <v>5030</v>
      </c>
      <c r="N3605" t="s">
        <v>5031</v>
      </c>
    </row>
    <row r="3606" spans="1:14" x14ac:dyDescent="0.3">
      <c r="A3606" t="s">
        <v>3630</v>
      </c>
      <c r="B3606" t="s">
        <v>19</v>
      </c>
      <c r="C3606" t="s">
        <v>13</v>
      </c>
      <c r="D3606">
        <v>38</v>
      </c>
      <c r="E3606" t="s">
        <v>15</v>
      </c>
      <c r="F3606" t="s">
        <v>36</v>
      </c>
      <c r="G3606">
        <v>19.600000000000001</v>
      </c>
      <c r="H3606">
        <v>717.3</v>
      </c>
      <c r="I3606" t="s">
        <v>15</v>
      </c>
      <c r="J3606" t="s">
        <v>15</v>
      </c>
      <c r="K3606" t="s">
        <v>17</v>
      </c>
      <c r="L3606">
        <v>717.3</v>
      </c>
      <c r="M3606" t="s">
        <v>5033</v>
      </c>
      <c r="N3606" t="s">
        <v>5031</v>
      </c>
    </row>
    <row r="3607" spans="1:14" x14ac:dyDescent="0.3">
      <c r="A3607" t="s">
        <v>3631</v>
      </c>
      <c r="B3607" t="s">
        <v>19</v>
      </c>
      <c r="C3607" t="s">
        <v>13</v>
      </c>
      <c r="D3607">
        <v>34</v>
      </c>
      <c r="E3607" t="s">
        <v>14</v>
      </c>
      <c r="F3607" t="s">
        <v>15</v>
      </c>
      <c r="G3607">
        <v>49.8</v>
      </c>
      <c r="H3607">
        <v>1734.2</v>
      </c>
      <c r="I3607" t="s">
        <v>15</v>
      </c>
      <c r="J3607" t="s">
        <v>16</v>
      </c>
      <c r="K3607" t="s">
        <v>17</v>
      </c>
      <c r="L3607">
        <v>1734.2</v>
      </c>
      <c r="M3607" t="s">
        <v>5032</v>
      </c>
      <c r="N3607" t="s">
        <v>5031</v>
      </c>
    </row>
    <row r="3608" spans="1:14" x14ac:dyDescent="0.3">
      <c r="A3608" t="s">
        <v>3632</v>
      </c>
      <c r="B3608" t="s">
        <v>12</v>
      </c>
      <c r="C3608" t="s">
        <v>20</v>
      </c>
      <c r="D3608">
        <v>70</v>
      </c>
      <c r="E3608" t="s">
        <v>26</v>
      </c>
      <c r="F3608" t="s">
        <v>15</v>
      </c>
      <c r="G3608">
        <v>101.75</v>
      </c>
      <c r="H3608">
        <v>7069.3</v>
      </c>
      <c r="I3608" t="s">
        <v>15</v>
      </c>
      <c r="J3608" t="s">
        <v>16</v>
      </c>
      <c r="K3608" t="s">
        <v>17</v>
      </c>
      <c r="L3608">
        <v>7069.3</v>
      </c>
      <c r="M3608" t="s">
        <v>5033</v>
      </c>
      <c r="N3608" t="s">
        <v>5034</v>
      </c>
    </row>
    <row r="3609" spans="1:14" x14ac:dyDescent="0.3">
      <c r="A3609" t="s">
        <v>3633</v>
      </c>
      <c r="B3609" t="s">
        <v>12</v>
      </c>
      <c r="C3609" t="s">
        <v>20</v>
      </c>
      <c r="D3609">
        <v>13</v>
      </c>
      <c r="E3609" t="s">
        <v>14</v>
      </c>
      <c r="F3609" t="s">
        <v>16</v>
      </c>
      <c r="G3609">
        <v>55.15</v>
      </c>
      <c r="H3609">
        <v>742.9</v>
      </c>
      <c r="I3609" t="s">
        <v>15</v>
      </c>
      <c r="J3609" t="s">
        <v>15</v>
      </c>
      <c r="K3609" t="s">
        <v>21</v>
      </c>
      <c r="L3609">
        <v>742.9</v>
      </c>
      <c r="M3609" t="s">
        <v>5032</v>
      </c>
      <c r="N3609" t="s">
        <v>5031</v>
      </c>
    </row>
    <row r="3610" spans="1:14" x14ac:dyDescent="0.3">
      <c r="A3610" t="s">
        <v>3634</v>
      </c>
      <c r="B3610" t="s">
        <v>19</v>
      </c>
      <c r="C3610" t="s">
        <v>13</v>
      </c>
      <c r="D3610">
        <v>39</v>
      </c>
      <c r="E3610" t="s">
        <v>26</v>
      </c>
      <c r="F3610" t="s">
        <v>15</v>
      </c>
      <c r="G3610">
        <v>75.25</v>
      </c>
      <c r="H3610">
        <v>3017.65</v>
      </c>
      <c r="I3610" t="s">
        <v>16</v>
      </c>
      <c r="J3610" t="s">
        <v>15</v>
      </c>
      <c r="K3610" t="s">
        <v>17</v>
      </c>
      <c r="L3610">
        <v>3017.65</v>
      </c>
      <c r="M3610" t="s">
        <v>5033</v>
      </c>
      <c r="N3610" t="s">
        <v>5034</v>
      </c>
    </row>
    <row r="3611" spans="1:14" x14ac:dyDescent="0.3">
      <c r="A3611" t="s">
        <v>3635</v>
      </c>
      <c r="B3611" t="s">
        <v>12</v>
      </c>
      <c r="C3611" t="s">
        <v>20</v>
      </c>
      <c r="D3611">
        <v>61</v>
      </c>
      <c r="E3611" t="s">
        <v>26</v>
      </c>
      <c r="F3611" t="s">
        <v>15</v>
      </c>
      <c r="G3611">
        <v>103.95</v>
      </c>
      <c r="H3611">
        <v>6423</v>
      </c>
      <c r="I3611" t="s">
        <v>15</v>
      </c>
      <c r="J3611" t="s">
        <v>16</v>
      </c>
      <c r="K3611" t="s">
        <v>17</v>
      </c>
      <c r="L3611">
        <v>6423</v>
      </c>
      <c r="M3611" t="s">
        <v>5033</v>
      </c>
      <c r="N3611" t="s">
        <v>5034</v>
      </c>
    </row>
    <row r="3612" spans="1:14" x14ac:dyDescent="0.3">
      <c r="A3612" t="s">
        <v>3636</v>
      </c>
      <c r="B3612" t="s">
        <v>12</v>
      </c>
      <c r="C3612" t="s">
        <v>13</v>
      </c>
      <c r="D3612">
        <v>12</v>
      </c>
      <c r="E3612" t="s">
        <v>26</v>
      </c>
      <c r="F3612" t="s">
        <v>15</v>
      </c>
      <c r="G3612">
        <v>100.15</v>
      </c>
      <c r="H3612">
        <v>1164.3</v>
      </c>
      <c r="I3612" t="s">
        <v>16</v>
      </c>
      <c r="J3612" t="s">
        <v>16</v>
      </c>
      <c r="K3612" t="s">
        <v>24</v>
      </c>
      <c r="L3612">
        <v>1164.3</v>
      </c>
      <c r="M3612" t="s">
        <v>5030</v>
      </c>
      <c r="N3612" t="s">
        <v>5031</v>
      </c>
    </row>
    <row r="3613" spans="1:14" x14ac:dyDescent="0.3">
      <c r="A3613" t="s">
        <v>3637</v>
      </c>
      <c r="B3613" t="s">
        <v>19</v>
      </c>
      <c r="C3613" t="s">
        <v>35</v>
      </c>
      <c r="D3613">
        <v>41</v>
      </c>
      <c r="E3613" t="s">
        <v>26</v>
      </c>
      <c r="F3613" t="s">
        <v>16</v>
      </c>
      <c r="G3613">
        <v>99.65</v>
      </c>
      <c r="H3613">
        <v>4220.3500000000004</v>
      </c>
      <c r="I3613" t="s">
        <v>15</v>
      </c>
      <c r="J3613" t="s">
        <v>16</v>
      </c>
      <c r="K3613" t="s">
        <v>29</v>
      </c>
      <c r="L3613">
        <v>4220.3500000000004</v>
      </c>
      <c r="M3613" t="s">
        <v>5033</v>
      </c>
      <c r="N3613" t="s">
        <v>5034</v>
      </c>
    </row>
    <row r="3614" spans="1:14" x14ac:dyDescent="0.3">
      <c r="A3614" t="s">
        <v>3638</v>
      </c>
      <c r="B3614" t="s">
        <v>19</v>
      </c>
      <c r="C3614" t="s">
        <v>13</v>
      </c>
      <c r="D3614">
        <v>21</v>
      </c>
      <c r="E3614" t="s">
        <v>26</v>
      </c>
      <c r="F3614" t="s">
        <v>15</v>
      </c>
      <c r="G3614">
        <v>73.7</v>
      </c>
      <c r="H3614">
        <v>1558.7</v>
      </c>
      <c r="I3614" t="s">
        <v>15</v>
      </c>
      <c r="J3614" t="s">
        <v>16</v>
      </c>
      <c r="K3614" t="s">
        <v>17</v>
      </c>
      <c r="L3614">
        <v>1558.7</v>
      </c>
      <c r="M3614" t="s">
        <v>5032</v>
      </c>
      <c r="N3614" t="s">
        <v>5031</v>
      </c>
    </row>
    <row r="3615" spans="1:14" x14ac:dyDescent="0.3">
      <c r="A3615" t="s">
        <v>3639</v>
      </c>
      <c r="B3615" t="s">
        <v>19</v>
      </c>
      <c r="C3615" t="s">
        <v>20</v>
      </c>
      <c r="D3615">
        <v>55</v>
      </c>
      <c r="E3615" t="s">
        <v>14</v>
      </c>
      <c r="F3615" t="s">
        <v>15</v>
      </c>
      <c r="G3615">
        <v>50.05</v>
      </c>
      <c r="H3615">
        <v>2743.45</v>
      </c>
      <c r="I3615" t="s">
        <v>15</v>
      </c>
      <c r="J3615" t="s">
        <v>16</v>
      </c>
      <c r="K3615" t="s">
        <v>24</v>
      </c>
      <c r="L3615">
        <v>2743.45</v>
      </c>
      <c r="M3615" t="s">
        <v>5033</v>
      </c>
      <c r="N3615" t="s">
        <v>5034</v>
      </c>
    </row>
    <row r="3616" spans="1:14" x14ac:dyDescent="0.3">
      <c r="A3616" t="s">
        <v>3640</v>
      </c>
      <c r="B3616" t="s">
        <v>19</v>
      </c>
      <c r="C3616" t="s">
        <v>35</v>
      </c>
      <c r="D3616">
        <v>69</v>
      </c>
      <c r="E3616" t="s">
        <v>14</v>
      </c>
      <c r="F3616" t="s">
        <v>16</v>
      </c>
      <c r="G3616">
        <v>60.25</v>
      </c>
      <c r="H3616">
        <v>4055.5</v>
      </c>
      <c r="I3616" t="s">
        <v>15</v>
      </c>
      <c r="J3616" t="s">
        <v>15</v>
      </c>
      <c r="K3616" t="s">
        <v>24</v>
      </c>
      <c r="L3616">
        <v>4055.5</v>
      </c>
      <c r="M3616" t="s">
        <v>5033</v>
      </c>
      <c r="N3616" t="s">
        <v>5034</v>
      </c>
    </row>
    <row r="3617" spans="1:14" x14ac:dyDescent="0.3">
      <c r="A3617" t="s">
        <v>3641</v>
      </c>
      <c r="B3617" t="s">
        <v>19</v>
      </c>
      <c r="C3617" t="s">
        <v>13</v>
      </c>
      <c r="D3617">
        <v>26</v>
      </c>
      <c r="E3617" t="s">
        <v>26</v>
      </c>
      <c r="F3617" t="s">
        <v>15</v>
      </c>
      <c r="G3617">
        <v>105.75</v>
      </c>
      <c r="H3617">
        <v>2710.25</v>
      </c>
      <c r="I3617" t="s">
        <v>16</v>
      </c>
      <c r="J3617" t="s">
        <v>15</v>
      </c>
      <c r="K3617" t="s">
        <v>17</v>
      </c>
      <c r="L3617">
        <v>2710.25</v>
      </c>
      <c r="M3617" t="s">
        <v>5032</v>
      </c>
      <c r="N3617" t="s">
        <v>5034</v>
      </c>
    </row>
    <row r="3618" spans="1:14" x14ac:dyDescent="0.3">
      <c r="A3618" t="s">
        <v>3642</v>
      </c>
      <c r="B3618" t="s">
        <v>12</v>
      </c>
      <c r="C3618" t="s">
        <v>20</v>
      </c>
      <c r="D3618">
        <v>69</v>
      </c>
      <c r="E3618" t="s">
        <v>26</v>
      </c>
      <c r="F3618" t="s">
        <v>15</v>
      </c>
      <c r="G3618">
        <v>87.3</v>
      </c>
      <c r="H3618">
        <v>6055.55</v>
      </c>
      <c r="I3618" t="s">
        <v>15</v>
      </c>
      <c r="J3618" t="s">
        <v>15</v>
      </c>
      <c r="K3618" t="s">
        <v>29</v>
      </c>
      <c r="L3618">
        <v>6055.55</v>
      </c>
      <c r="M3618" t="s">
        <v>5033</v>
      </c>
      <c r="N3618" t="s">
        <v>5034</v>
      </c>
    </row>
    <row r="3619" spans="1:14" x14ac:dyDescent="0.3">
      <c r="A3619" t="s">
        <v>3643</v>
      </c>
      <c r="B3619" t="s">
        <v>12</v>
      </c>
      <c r="C3619" t="s">
        <v>13</v>
      </c>
      <c r="D3619">
        <v>18</v>
      </c>
      <c r="E3619" t="s">
        <v>14</v>
      </c>
      <c r="F3619" t="s">
        <v>15</v>
      </c>
      <c r="G3619">
        <v>48.35</v>
      </c>
      <c r="H3619">
        <v>810.7</v>
      </c>
      <c r="I3619" t="s">
        <v>16</v>
      </c>
      <c r="J3619" t="s">
        <v>16</v>
      </c>
      <c r="K3619" t="s">
        <v>17</v>
      </c>
      <c r="L3619">
        <v>810.7</v>
      </c>
      <c r="M3619" t="s">
        <v>5032</v>
      </c>
      <c r="N3619" t="s">
        <v>5031</v>
      </c>
    </row>
    <row r="3620" spans="1:14" x14ac:dyDescent="0.3">
      <c r="A3620" t="s">
        <v>3644</v>
      </c>
      <c r="B3620" t="s">
        <v>19</v>
      </c>
      <c r="C3620" t="s">
        <v>13</v>
      </c>
      <c r="D3620">
        <v>47</v>
      </c>
      <c r="E3620" t="s">
        <v>14</v>
      </c>
      <c r="F3620" t="s">
        <v>15</v>
      </c>
      <c r="G3620">
        <v>54.25</v>
      </c>
      <c r="H3620">
        <v>2538.1999999999998</v>
      </c>
      <c r="I3620" t="s">
        <v>15</v>
      </c>
      <c r="J3620" t="s">
        <v>15</v>
      </c>
      <c r="K3620" t="s">
        <v>17</v>
      </c>
      <c r="L3620">
        <v>2538.1999999999998</v>
      </c>
      <c r="M3620" t="s">
        <v>5033</v>
      </c>
      <c r="N3620" t="s">
        <v>5034</v>
      </c>
    </row>
    <row r="3621" spans="1:14" x14ac:dyDescent="0.3">
      <c r="A3621" t="s">
        <v>3645</v>
      </c>
      <c r="B3621" t="s">
        <v>12</v>
      </c>
      <c r="C3621" t="s">
        <v>35</v>
      </c>
      <c r="D3621">
        <v>72</v>
      </c>
      <c r="E3621" t="s">
        <v>14</v>
      </c>
      <c r="F3621" t="s">
        <v>16</v>
      </c>
      <c r="G3621">
        <v>85.3</v>
      </c>
      <c r="H3621">
        <v>6129.2</v>
      </c>
      <c r="I3621" t="s">
        <v>15</v>
      </c>
      <c r="J3621" t="s">
        <v>15</v>
      </c>
      <c r="K3621" t="s">
        <v>24</v>
      </c>
      <c r="L3621">
        <v>6129.2</v>
      </c>
      <c r="M3621" t="s">
        <v>5033</v>
      </c>
      <c r="N3621" t="s">
        <v>5034</v>
      </c>
    </row>
    <row r="3622" spans="1:14" x14ac:dyDescent="0.3">
      <c r="A3622" t="s">
        <v>3646</v>
      </c>
      <c r="B3622" t="s">
        <v>19</v>
      </c>
      <c r="C3622" t="s">
        <v>13</v>
      </c>
      <c r="D3622">
        <v>33</v>
      </c>
      <c r="E3622" t="s">
        <v>14</v>
      </c>
      <c r="F3622" t="s">
        <v>16</v>
      </c>
      <c r="G3622">
        <v>50</v>
      </c>
      <c r="H3622">
        <v>1750.85</v>
      </c>
      <c r="I3622" t="s">
        <v>15</v>
      </c>
      <c r="J3622" t="s">
        <v>16</v>
      </c>
      <c r="K3622" t="s">
        <v>17</v>
      </c>
      <c r="L3622">
        <v>1750.85</v>
      </c>
      <c r="M3622" t="s">
        <v>5032</v>
      </c>
      <c r="N3622" t="s">
        <v>5031</v>
      </c>
    </row>
    <row r="3623" spans="1:14" x14ac:dyDescent="0.3">
      <c r="A3623" t="s">
        <v>3647</v>
      </c>
      <c r="B3623" t="s">
        <v>12</v>
      </c>
      <c r="C3623" t="s">
        <v>13</v>
      </c>
      <c r="D3623">
        <v>2</v>
      </c>
      <c r="E3623" t="s">
        <v>14</v>
      </c>
      <c r="F3623" t="s">
        <v>15</v>
      </c>
      <c r="G3623">
        <v>24.4</v>
      </c>
      <c r="H3623">
        <v>36.549999999999997</v>
      </c>
      <c r="I3623" t="s">
        <v>16</v>
      </c>
      <c r="J3623" t="s">
        <v>16</v>
      </c>
      <c r="K3623" t="s">
        <v>21</v>
      </c>
      <c r="L3623">
        <v>36.549999999999997</v>
      </c>
      <c r="M3623" t="s">
        <v>5030</v>
      </c>
      <c r="N3623" t="s">
        <v>5031</v>
      </c>
    </row>
    <row r="3624" spans="1:14" x14ac:dyDescent="0.3">
      <c r="A3624" t="s">
        <v>3648</v>
      </c>
      <c r="B3624" t="s">
        <v>12</v>
      </c>
      <c r="C3624" t="s">
        <v>35</v>
      </c>
      <c r="D3624">
        <v>72</v>
      </c>
      <c r="E3624" t="s">
        <v>14</v>
      </c>
      <c r="F3624" t="s">
        <v>16</v>
      </c>
      <c r="G3624">
        <v>90.95</v>
      </c>
      <c r="H3624">
        <v>6652.45</v>
      </c>
      <c r="I3624" t="s">
        <v>15</v>
      </c>
      <c r="J3624" t="s">
        <v>15</v>
      </c>
      <c r="K3624" t="s">
        <v>29</v>
      </c>
      <c r="L3624">
        <v>6652.45</v>
      </c>
      <c r="M3624" t="s">
        <v>5033</v>
      </c>
      <c r="N3624" t="s">
        <v>5034</v>
      </c>
    </row>
    <row r="3625" spans="1:14" x14ac:dyDescent="0.3">
      <c r="A3625" t="s">
        <v>3649</v>
      </c>
      <c r="B3625" t="s">
        <v>19</v>
      </c>
      <c r="C3625" t="s">
        <v>13</v>
      </c>
      <c r="D3625">
        <v>37</v>
      </c>
      <c r="E3625" t="s">
        <v>26</v>
      </c>
      <c r="F3625" t="s">
        <v>15</v>
      </c>
      <c r="G3625">
        <v>72.25</v>
      </c>
      <c r="H3625">
        <v>2575.4499999999998</v>
      </c>
      <c r="I3625" t="s">
        <v>15</v>
      </c>
      <c r="J3625" t="s">
        <v>16</v>
      </c>
      <c r="K3625" t="s">
        <v>24</v>
      </c>
      <c r="L3625">
        <v>2575.4499999999998</v>
      </c>
      <c r="M3625" t="s">
        <v>5033</v>
      </c>
      <c r="N3625" t="s">
        <v>5034</v>
      </c>
    </row>
    <row r="3626" spans="1:14" x14ac:dyDescent="0.3">
      <c r="A3626" t="s">
        <v>3650</v>
      </c>
      <c r="B3626" t="s">
        <v>12</v>
      </c>
      <c r="C3626" t="s">
        <v>13</v>
      </c>
      <c r="D3626">
        <v>62</v>
      </c>
      <c r="E3626" t="s">
        <v>26</v>
      </c>
      <c r="F3626" t="s">
        <v>15</v>
      </c>
      <c r="G3626">
        <v>96.1</v>
      </c>
      <c r="H3626">
        <v>6019.35</v>
      </c>
      <c r="I3626" t="s">
        <v>15</v>
      </c>
      <c r="J3626" t="s">
        <v>16</v>
      </c>
      <c r="K3626" t="s">
        <v>29</v>
      </c>
      <c r="L3626">
        <v>6019.35</v>
      </c>
      <c r="M3626" t="s">
        <v>5033</v>
      </c>
      <c r="N3626" t="s">
        <v>5034</v>
      </c>
    </row>
    <row r="3627" spans="1:14" x14ac:dyDescent="0.3">
      <c r="A3627" t="s">
        <v>3651</v>
      </c>
      <c r="B3627" t="s">
        <v>12</v>
      </c>
      <c r="C3627" t="s">
        <v>35</v>
      </c>
      <c r="D3627">
        <v>71</v>
      </c>
      <c r="E3627" t="s">
        <v>15</v>
      </c>
      <c r="F3627" t="s">
        <v>36</v>
      </c>
      <c r="G3627">
        <v>19.850000000000001</v>
      </c>
      <c r="H3627">
        <v>1379.6</v>
      </c>
      <c r="I3627" t="s">
        <v>15</v>
      </c>
      <c r="J3627" t="s">
        <v>15</v>
      </c>
      <c r="K3627" t="s">
        <v>29</v>
      </c>
      <c r="L3627">
        <v>1379.6</v>
      </c>
      <c r="M3627" t="s">
        <v>5033</v>
      </c>
      <c r="N3627" t="s">
        <v>5031</v>
      </c>
    </row>
    <row r="3628" spans="1:14" x14ac:dyDescent="0.3">
      <c r="A3628" t="s">
        <v>3652</v>
      </c>
      <c r="B3628" t="s">
        <v>19</v>
      </c>
      <c r="C3628" t="s">
        <v>13</v>
      </c>
      <c r="D3628">
        <v>23</v>
      </c>
      <c r="E3628" t="s">
        <v>14</v>
      </c>
      <c r="F3628" t="s">
        <v>16</v>
      </c>
      <c r="G3628">
        <v>55.3</v>
      </c>
      <c r="H3628">
        <v>1284.2</v>
      </c>
      <c r="I3628" t="s">
        <v>15</v>
      </c>
      <c r="J3628" t="s">
        <v>16</v>
      </c>
      <c r="K3628" t="s">
        <v>24</v>
      </c>
      <c r="L3628">
        <v>1284.2</v>
      </c>
      <c r="M3628" t="s">
        <v>5032</v>
      </c>
      <c r="N3628" t="s">
        <v>5031</v>
      </c>
    </row>
    <row r="3629" spans="1:14" x14ac:dyDescent="0.3">
      <c r="A3629" t="s">
        <v>3653</v>
      </c>
      <c r="B3629" t="s">
        <v>12</v>
      </c>
      <c r="C3629" t="s">
        <v>20</v>
      </c>
      <c r="D3629">
        <v>16</v>
      </c>
      <c r="E3629" t="s">
        <v>15</v>
      </c>
      <c r="F3629" t="s">
        <v>36</v>
      </c>
      <c r="G3629">
        <v>20.100000000000001</v>
      </c>
      <c r="H3629">
        <v>296.14999999999998</v>
      </c>
      <c r="I3629" t="s">
        <v>15</v>
      </c>
      <c r="J3629" t="s">
        <v>15</v>
      </c>
      <c r="K3629" t="s">
        <v>21</v>
      </c>
      <c r="L3629">
        <v>296.14999999999998</v>
      </c>
      <c r="M3629" t="s">
        <v>5032</v>
      </c>
      <c r="N3629" t="s">
        <v>5031</v>
      </c>
    </row>
    <row r="3630" spans="1:14" x14ac:dyDescent="0.3">
      <c r="A3630" t="s">
        <v>3654</v>
      </c>
      <c r="B3630" t="s">
        <v>19</v>
      </c>
      <c r="C3630" t="s">
        <v>13</v>
      </c>
      <c r="D3630">
        <v>9</v>
      </c>
      <c r="E3630" t="s">
        <v>14</v>
      </c>
      <c r="F3630" t="s">
        <v>16</v>
      </c>
      <c r="G3630">
        <v>69.5</v>
      </c>
      <c r="H3630">
        <v>653.25</v>
      </c>
      <c r="I3630" t="s">
        <v>15</v>
      </c>
      <c r="J3630" t="s">
        <v>16</v>
      </c>
      <c r="K3630" t="s">
        <v>21</v>
      </c>
      <c r="L3630">
        <v>653.25</v>
      </c>
      <c r="M3630" t="s">
        <v>5030</v>
      </c>
      <c r="N3630" t="s">
        <v>5031</v>
      </c>
    </row>
    <row r="3631" spans="1:14" x14ac:dyDescent="0.3">
      <c r="A3631" t="s">
        <v>3655</v>
      </c>
      <c r="B3631" t="s">
        <v>19</v>
      </c>
      <c r="C3631" t="s">
        <v>35</v>
      </c>
      <c r="D3631">
        <v>17</v>
      </c>
      <c r="E3631" t="s">
        <v>15</v>
      </c>
      <c r="F3631" t="s">
        <v>36</v>
      </c>
      <c r="G3631">
        <v>25.15</v>
      </c>
      <c r="H3631">
        <v>412.6</v>
      </c>
      <c r="I3631" t="s">
        <v>15</v>
      </c>
      <c r="J3631" t="s">
        <v>16</v>
      </c>
      <c r="K3631" t="s">
        <v>21</v>
      </c>
      <c r="L3631">
        <v>412.6</v>
      </c>
      <c r="M3631" t="s">
        <v>5032</v>
      </c>
      <c r="N3631" t="s">
        <v>5031</v>
      </c>
    </row>
    <row r="3632" spans="1:14" x14ac:dyDescent="0.3">
      <c r="A3632" t="s">
        <v>3656</v>
      </c>
      <c r="B3632" t="s">
        <v>12</v>
      </c>
      <c r="C3632" t="s">
        <v>13</v>
      </c>
      <c r="D3632">
        <v>4</v>
      </c>
      <c r="E3632" t="s">
        <v>15</v>
      </c>
      <c r="F3632" t="s">
        <v>36</v>
      </c>
      <c r="G3632">
        <v>20.95</v>
      </c>
      <c r="H3632">
        <v>85.5</v>
      </c>
      <c r="I3632" t="s">
        <v>16</v>
      </c>
      <c r="J3632" t="s">
        <v>15</v>
      </c>
      <c r="K3632" t="s">
        <v>24</v>
      </c>
      <c r="L3632">
        <v>85.5</v>
      </c>
      <c r="M3632" t="s">
        <v>5030</v>
      </c>
      <c r="N3632" t="s">
        <v>5031</v>
      </c>
    </row>
    <row r="3633" spans="1:14" x14ac:dyDescent="0.3">
      <c r="A3633" t="s">
        <v>3657</v>
      </c>
      <c r="B3633" t="s">
        <v>12</v>
      </c>
      <c r="C3633" t="s">
        <v>13</v>
      </c>
      <c r="D3633">
        <v>1</v>
      </c>
      <c r="E3633" t="s">
        <v>14</v>
      </c>
      <c r="F3633" t="s">
        <v>15</v>
      </c>
      <c r="G3633">
        <v>49.55</v>
      </c>
      <c r="H3633">
        <v>49.55</v>
      </c>
      <c r="I3633" t="s">
        <v>16</v>
      </c>
      <c r="J3633" t="s">
        <v>16</v>
      </c>
      <c r="K3633" t="s">
        <v>17</v>
      </c>
      <c r="L3633">
        <v>49.55</v>
      </c>
      <c r="M3633" t="s">
        <v>5030</v>
      </c>
      <c r="N3633" t="s">
        <v>5031</v>
      </c>
    </row>
    <row r="3634" spans="1:14" x14ac:dyDescent="0.3">
      <c r="A3634" t="s">
        <v>3658</v>
      </c>
      <c r="B3634" t="s">
        <v>12</v>
      </c>
      <c r="C3634" t="s">
        <v>13</v>
      </c>
      <c r="D3634">
        <v>24</v>
      </c>
      <c r="E3634" t="s">
        <v>26</v>
      </c>
      <c r="F3634" t="s">
        <v>15</v>
      </c>
      <c r="G3634">
        <v>79.650000000000006</v>
      </c>
      <c r="H3634">
        <v>1928.7</v>
      </c>
      <c r="I3634" t="s">
        <v>15</v>
      </c>
      <c r="J3634" t="s">
        <v>16</v>
      </c>
      <c r="K3634" t="s">
        <v>21</v>
      </c>
      <c r="L3634">
        <v>1928.7</v>
      </c>
      <c r="M3634" t="s">
        <v>5032</v>
      </c>
      <c r="N3634" t="s">
        <v>5031</v>
      </c>
    </row>
    <row r="3635" spans="1:14" x14ac:dyDescent="0.3">
      <c r="A3635" t="s">
        <v>3659</v>
      </c>
      <c r="B3635" t="s">
        <v>12</v>
      </c>
      <c r="C3635" t="s">
        <v>13</v>
      </c>
      <c r="D3635">
        <v>1</v>
      </c>
      <c r="E3635" t="s">
        <v>26</v>
      </c>
      <c r="F3635" t="s">
        <v>15</v>
      </c>
      <c r="G3635">
        <v>71.25</v>
      </c>
      <c r="H3635">
        <v>71.25</v>
      </c>
      <c r="I3635" t="s">
        <v>15</v>
      </c>
      <c r="J3635" t="s">
        <v>16</v>
      </c>
      <c r="K3635" t="s">
        <v>17</v>
      </c>
      <c r="L3635">
        <v>71.25</v>
      </c>
      <c r="M3635" t="s">
        <v>5030</v>
      </c>
      <c r="N3635" t="s">
        <v>5031</v>
      </c>
    </row>
    <row r="3636" spans="1:14" x14ac:dyDescent="0.3">
      <c r="A3636" t="s">
        <v>3660</v>
      </c>
      <c r="B3636" t="s">
        <v>19</v>
      </c>
      <c r="C3636" t="s">
        <v>35</v>
      </c>
      <c r="D3636">
        <v>72</v>
      </c>
      <c r="E3636" t="s">
        <v>26</v>
      </c>
      <c r="F3636" t="s">
        <v>16</v>
      </c>
      <c r="G3636">
        <v>113.8</v>
      </c>
      <c r="H3636">
        <v>7845.8</v>
      </c>
      <c r="I3636" t="s">
        <v>15</v>
      </c>
      <c r="J3636" t="s">
        <v>15</v>
      </c>
      <c r="K3636" t="s">
        <v>24</v>
      </c>
      <c r="L3636">
        <v>7845.8</v>
      </c>
      <c r="M3636" t="s">
        <v>5033</v>
      </c>
      <c r="N3636" t="s">
        <v>5034</v>
      </c>
    </row>
    <row r="3637" spans="1:14" x14ac:dyDescent="0.3">
      <c r="A3637" t="s">
        <v>3661</v>
      </c>
      <c r="B3637" t="s">
        <v>12</v>
      </c>
      <c r="C3637" t="s">
        <v>35</v>
      </c>
      <c r="D3637">
        <v>72</v>
      </c>
      <c r="E3637" t="s">
        <v>15</v>
      </c>
      <c r="F3637" t="s">
        <v>36</v>
      </c>
      <c r="G3637">
        <v>24.55</v>
      </c>
      <c r="H3637">
        <v>1750.7</v>
      </c>
      <c r="I3637" t="s">
        <v>15</v>
      </c>
      <c r="J3637" t="s">
        <v>15</v>
      </c>
      <c r="K3637" t="s">
        <v>17</v>
      </c>
      <c r="L3637">
        <v>1750.7</v>
      </c>
      <c r="M3637" t="s">
        <v>5033</v>
      </c>
      <c r="N3637" t="s">
        <v>5031</v>
      </c>
    </row>
    <row r="3638" spans="1:14" x14ac:dyDescent="0.3">
      <c r="A3638" t="s">
        <v>3662</v>
      </c>
      <c r="B3638" t="s">
        <v>12</v>
      </c>
      <c r="C3638" t="s">
        <v>13</v>
      </c>
      <c r="D3638">
        <v>11</v>
      </c>
      <c r="E3638" t="s">
        <v>15</v>
      </c>
      <c r="F3638" t="s">
        <v>36</v>
      </c>
      <c r="G3638">
        <v>19.7</v>
      </c>
      <c r="H3638">
        <v>216.2</v>
      </c>
      <c r="I3638" t="s">
        <v>15</v>
      </c>
      <c r="J3638" t="s">
        <v>15</v>
      </c>
      <c r="K3638" t="s">
        <v>29</v>
      </c>
      <c r="L3638">
        <v>216.2</v>
      </c>
      <c r="M3638" t="s">
        <v>5030</v>
      </c>
      <c r="N3638" t="s">
        <v>5031</v>
      </c>
    </row>
    <row r="3639" spans="1:14" x14ac:dyDescent="0.3">
      <c r="A3639" t="s">
        <v>3663</v>
      </c>
      <c r="B3639" t="s">
        <v>19</v>
      </c>
      <c r="C3639" t="s">
        <v>13</v>
      </c>
      <c r="D3639">
        <v>9</v>
      </c>
      <c r="E3639" t="s">
        <v>15</v>
      </c>
      <c r="F3639" t="s">
        <v>36</v>
      </c>
      <c r="G3639">
        <v>20.25</v>
      </c>
      <c r="H3639">
        <v>178.5</v>
      </c>
      <c r="I3639" t="s">
        <v>16</v>
      </c>
      <c r="J3639" t="s">
        <v>15</v>
      </c>
      <c r="K3639" t="s">
        <v>21</v>
      </c>
      <c r="L3639">
        <v>178.5</v>
      </c>
      <c r="M3639" t="s">
        <v>5030</v>
      </c>
      <c r="N3639" t="s">
        <v>5031</v>
      </c>
    </row>
    <row r="3640" spans="1:14" x14ac:dyDescent="0.3">
      <c r="A3640" t="s">
        <v>3664</v>
      </c>
      <c r="B3640" t="s">
        <v>12</v>
      </c>
      <c r="C3640" t="s">
        <v>13</v>
      </c>
      <c r="D3640">
        <v>2</v>
      </c>
      <c r="E3640" t="s">
        <v>14</v>
      </c>
      <c r="F3640" t="s">
        <v>15</v>
      </c>
      <c r="G3640">
        <v>50.15</v>
      </c>
      <c r="H3640">
        <v>115.1</v>
      </c>
      <c r="I3640" t="s">
        <v>16</v>
      </c>
      <c r="J3640" t="s">
        <v>15</v>
      </c>
      <c r="K3640" t="s">
        <v>29</v>
      </c>
      <c r="L3640">
        <v>115.1</v>
      </c>
      <c r="M3640" t="s">
        <v>5030</v>
      </c>
      <c r="N3640" t="s">
        <v>5031</v>
      </c>
    </row>
    <row r="3641" spans="1:14" x14ac:dyDescent="0.3">
      <c r="A3641" t="s">
        <v>3665</v>
      </c>
      <c r="B3641" t="s">
        <v>12</v>
      </c>
      <c r="C3641" t="s">
        <v>20</v>
      </c>
      <c r="D3641">
        <v>60</v>
      </c>
      <c r="E3641" t="s">
        <v>26</v>
      </c>
      <c r="F3641" t="s">
        <v>15</v>
      </c>
      <c r="G3641">
        <v>100.5</v>
      </c>
      <c r="H3641">
        <v>6029</v>
      </c>
      <c r="I3641" t="s">
        <v>15</v>
      </c>
      <c r="J3641" t="s">
        <v>16</v>
      </c>
      <c r="K3641" t="s">
        <v>29</v>
      </c>
      <c r="L3641">
        <v>6029</v>
      </c>
      <c r="M3641" t="s">
        <v>5033</v>
      </c>
      <c r="N3641" t="s">
        <v>5034</v>
      </c>
    </row>
    <row r="3642" spans="1:14" x14ac:dyDescent="0.3">
      <c r="A3642" t="s">
        <v>3666</v>
      </c>
      <c r="B3642" t="s">
        <v>19</v>
      </c>
      <c r="C3642" t="s">
        <v>13</v>
      </c>
      <c r="D3642">
        <v>29</v>
      </c>
      <c r="E3642" t="s">
        <v>26</v>
      </c>
      <c r="F3642" t="s">
        <v>15</v>
      </c>
      <c r="G3642">
        <v>95.9</v>
      </c>
      <c r="H3642">
        <v>2745.2</v>
      </c>
      <c r="I3642" t="s">
        <v>16</v>
      </c>
      <c r="J3642" t="s">
        <v>16</v>
      </c>
      <c r="K3642" t="s">
        <v>17</v>
      </c>
      <c r="L3642">
        <v>2745.2</v>
      </c>
      <c r="M3642" t="s">
        <v>5032</v>
      </c>
      <c r="N3642" t="s">
        <v>5034</v>
      </c>
    </row>
    <row r="3643" spans="1:14" x14ac:dyDescent="0.3">
      <c r="A3643" t="s">
        <v>3667</v>
      </c>
      <c r="B3643" t="s">
        <v>12</v>
      </c>
      <c r="C3643" t="s">
        <v>35</v>
      </c>
      <c r="D3643">
        <v>49</v>
      </c>
      <c r="E3643" t="s">
        <v>14</v>
      </c>
      <c r="F3643" t="s">
        <v>16</v>
      </c>
      <c r="G3643">
        <v>74.45</v>
      </c>
      <c r="H3643">
        <v>3721.9</v>
      </c>
      <c r="I3643" t="s">
        <v>15</v>
      </c>
      <c r="J3643" t="s">
        <v>16</v>
      </c>
      <c r="K3643" t="s">
        <v>24</v>
      </c>
      <c r="L3643">
        <v>3721.9</v>
      </c>
      <c r="M3643" t="s">
        <v>5033</v>
      </c>
      <c r="N3643" t="s">
        <v>5034</v>
      </c>
    </row>
    <row r="3644" spans="1:14" x14ac:dyDescent="0.3">
      <c r="A3644" t="s">
        <v>3668</v>
      </c>
      <c r="B3644" t="s">
        <v>12</v>
      </c>
      <c r="C3644" t="s">
        <v>13</v>
      </c>
      <c r="D3644">
        <v>30</v>
      </c>
      <c r="E3644" t="s">
        <v>26</v>
      </c>
      <c r="F3644" t="s">
        <v>15</v>
      </c>
      <c r="G3644">
        <v>104.1</v>
      </c>
      <c r="H3644">
        <v>3121.1</v>
      </c>
      <c r="I3644" t="s">
        <v>15</v>
      </c>
      <c r="J3644" t="s">
        <v>16</v>
      </c>
      <c r="K3644" t="s">
        <v>17</v>
      </c>
      <c r="L3644">
        <v>3121.1</v>
      </c>
      <c r="M3644" t="s">
        <v>5032</v>
      </c>
      <c r="N3644" t="s">
        <v>5034</v>
      </c>
    </row>
    <row r="3645" spans="1:14" x14ac:dyDescent="0.3">
      <c r="A3645" t="s">
        <v>3669</v>
      </c>
      <c r="B3645" t="s">
        <v>12</v>
      </c>
      <c r="C3645" t="s">
        <v>20</v>
      </c>
      <c r="D3645">
        <v>53</v>
      </c>
      <c r="E3645" t="s">
        <v>15</v>
      </c>
      <c r="F3645" t="s">
        <v>36</v>
      </c>
      <c r="G3645">
        <v>19.05</v>
      </c>
      <c r="H3645">
        <v>990.45</v>
      </c>
      <c r="I3645" t="s">
        <v>15</v>
      </c>
      <c r="J3645" t="s">
        <v>15</v>
      </c>
      <c r="K3645" t="s">
        <v>29</v>
      </c>
      <c r="L3645">
        <v>990.45</v>
      </c>
      <c r="M3645" t="s">
        <v>5033</v>
      </c>
      <c r="N3645" t="s">
        <v>5031</v>
      </c>
    </row>
    <row r="3646" spans="1:14" x14ac:dyDescent="0.3">
      <c r="A3646" t="s">
        <v>3670</v>
      </c>
      <c r="B3646" t="s">
        <v>19</v>
      </c>
      <c r="C3646" t="s">
        <v>35</v>
      </c>
      <c r="D3646">
        <v>39</v>
      </c>
      <c r="E3646" t="s">
        <v>15</v>
      </c>
      <c r="F3646" t="s">
        <v>36</v>
      </c>
      <c r="G3646">
        <v>25</v>
      </c>
      <c r="H3646">
        <v>1004.35</v>
      </c>
      <c r="I3646" t="s">
        <v>15</v>
      </c>
      <c r="J3646" t="s">
        <v>15</v>
      </c>
      <c r="K3646" t="s">
        <v>21</v>
      </c>
      <c r="L3646">
        <v>1004.35</v>
      </c>
      <c r="M3646" t="s">
        <v>5033</v>
      </c>
      <c r="N3646" t="s">
        <v>5031</v>
      </c>
    </row>
    <row r="3647" spans="1:14" x14ac:dyDescent="0.3">
      <c r="A3647" t="s">
        <v>3671</v>
      </c>
      <c r="B3647" t="s">
        <v>12</v>
      </c>
      <c r="C3647" t="s">
        <v>13</v>
      </c>
      <c r="D3647">
        <v>9</v>
      </c>
      <c r="E3647" t="s">
        <v>15</v>
      </c>
      <c r="F3647" t="s">
        <v>36</v>
      </c>
      <c r="G3647">
        <v>19.05</v>
      </c>
      <c r="H3647">
        <v>157.65</v>
      </c>
      <c r="I3647" t="s">
        <v>15</v>
      </c>
      <c r="J3647" t="s">
        <v>15</v>
      </c>
      <c r="K3647" t="s">
        <v>21</v>
      </c>
      <c r="L3647">
        <v>157.65</v>
      </c>
      <c r="M3647" t="s">
        <v>5030</v>
      </c>
      <c r="N3647" t="s">
        <v>5031</v>
      </c>
    </row>
    <row r="3648" spans="1:14" x14ac:dyDescent="0.3">
      <c r="A3648" t="s">
        <v>3672</v>
      </c>
      <c r="B3648" t="s">
        <v>19</v>
      </c>
      <c r="C3648" t="s">
        <v>20</v>
      </c>
      <c r="D3648">
        <v>39</v>
      </c>
      <c r="E3648" t="s">
        <v>26</v>
      </c>
      <c r="F3648" t="s">
        <v>16</v>
      </c>
      <c r="G3648">
        <v>81.900000000000006</v>
      </c>
      <c r="H3648">
        <v>3219.75</v>
      </c>
      <c r="I3648" t="s">
        <v>15</v>
      </c>
      <c r="J3648" t="s">
        <v>15</v>
      </c>
      <c r="K3648" t="s">
        <v>17</v>
      </c>
      <c r="L3648">
        <v>3219.75</v>
      </c>
      <c r="M3648" t="s">
        <v>5033</v>
      </c>
      <c r="N3648" t="s">
        <v>5034</v>
      </c>
    </row>
    <row r="3649" spans="1:14" x14ac:dyDescent="0.3">
      <c r="A3649" t="s">
        <v>3673</v>
      </c>
      <c r="B3649" t="s">
        <v>19</v>
      </c>
      <c r="C3649" t="s">
        <v>13</v>
      </c>
      <c r="D3649">
        <v>8</v>
      </c>
      <c r="E3649" t="s">
        <v>26</v>
      </c>
      <c r="F3649" t="s">
        <v>15</v>
      </c>
      <c r="G3649">
        <v>69.7</v>
      </c>
      <c r="H3649">
        <v>572.85</v>
      </c>
      <c r="I3649" t="s">
        <v>15</v>
      </c>
      <c r="J3649" t="s">
        <v>16</v>
      </c>
      <c r="K3649" t="s">
        <v>17</v>
      </c>
      <c r="L3649">
        <v>572.85</v>
      </c>
      <c r="M3649" t="s">
        <v>5030</v>
      </c>
      <c r="N3649" t="s">
        <v>5031</v>
      </c>
    </row>
    <row r="3650" spans="1:14" x14ac:dyDescent="0.3">
      <c r="A3650" t="s">
        <v>3674</v>
      </c>
      <c r="B3650" t="s">
        <v>12</v>
      </c>
      <c r="C3650" t="s">
        <v>20</v>
      </c>
      <c r="D3650">
        <v>51</v>
      </c>
      <c r="E3650" t="s">
        <v>26</v>
      </c>
      <c r="F3650" t="s">
        <v>15</v>
      </c>
      <c r="G3650">
        <v>90.15</v>
      </c>
      <c r="H3650">
        <v>4554.8500000000004</v>
      </c>
      <c r="I3650" t="s">
        <v>15</v>
      </c>
      <c r="J3650" t="s">
        <v>16</v>
      </c>
      <c r="K3650" t="s">
        <v>17</v>
      </c>
      <c r="L3650">
        <v>4554.8500000000004</v>
      </c>
      <c r="M3650" t="s">
        <v>5033</v>
      </c>
      <c r="N3650" t="s">
        <v>5034</v>
      </c>
    </row>
    <row r="3651" spans="1:14" x14ac:dyDescent="0.3">
      <c r="A3651" t="s">
        <v>3675</v>
      </c>
      <c r="B3651" t="s">
        <v>19</v>
      </c>
      <c r="C3651" t="s">
        <v>35</v>
      </c>
      <c r="D3651">
        <v>71</v>
      </c>
      <c r="E3651" t="s">
        <v>15</v>
      </c>
      <c r="F3651" t="s">
        <v>36</v>
      </c>
      <c r="G3651">
        <v>25.35</v>
      </c>
      <c r="H3651">
        <v>1847.55</v>
      </c>
      <c r="I3651" t="s">
        <v>15</v>
      </c>
      <c r="J3651" t="s">
        <v>15</v>
      </c>
      <c r="K3651" t="s">
        <v>29</v>
      </c>
      <c r="L3651">
        <v>1847.55</v>
      </c>
      <c r="M3651" t="s">
        <v>5033</v>
      </c>
      <c r="N3651" t="s">
        <v>5031</v>
      </c>
    </row>
    <row r="3652" spans="1:14" x14ac:dyDescent="0.3">
      <c r="A3652" t="s">
        <v>3676</v>
      </c>
      <c r="B3652" t="s">
        <v>19</v>
      </c>
      <c r="C3652" t="s">
        <v>35</v>
      </c>
      <c r="D3652">
        <v>71</v>
      </c>
      <c r="E3652" t="s">
        <v>15</v>
      </c>
      <c r="F3652" t="s">
        <v>36</v>
      </c>
      <c r="G3652">
        <v>24.65</v>
      </c>
      <c r="H3652">
        <v>1766.75</v>
      </c>
      <c r="I3652" t="s">
        <v>15</v>
      </c>
      <c r="J3652" t="s">
        <v>16</v>
      </c>
      <c r="K3652" t="s">
        <v>21</v>
      </c>
      <c r="L3652">
        <v>1766.75</v>
      </c>
      <c r="M3652" t="s">
        <v>5033</v>
      </c>
      <c r="N3652" t="s">
        <v>5031</v>
      </c>
    </row>
    <row r="3653" spans="1:14" x14ac:dyDescent="0.3">
      <c r="A3653" t="s">
        <v>3677</v>
      </c>
      <c r="B3653" t="s">
        <v>12</v>
      </c>
      <c r="C3653" t="s">
        <v>35</v>
      </c>
      <c r="D3653">
        <v>70</v>
      </c>
      <c r="E3653" t="s">
        <v>15</v>
      </c>
      <c r="F3653" t="s">
        <v>36</v>
      </c>
      <c r="G3653">
        <v>19.55</v>
      </c>
      <c r="H3653">
        <v>1462.05</v>
      </c>
      <c r="I3653" t="s">
        <v>15</v>
      </c>
      <c r="J3653" t="s">
        <v>16</v>
      </c>
      <c r="K3653" t="s">
        <v>29</v>
      </c>
      <c r="L3653">
        <v>1462.05</v>
      </c>
      <c r="M3653" t="s">
        <v>5033</v>
      </c>
      <c r="N3653" t="s">
        <v>5031</v>
      </c>
    </row>
    <row r="3654" spans="1:14" x14ac:dyDescent="0.3">
      <c r="A3654" t="s">
        <v>3678</v>
      </c>
      <c r="B3654" t="s">
        <v>12</v>
      </c>
      <c r="C3654" t="s">
        <v>13</v>
      </c>
      <c r="D3654">
        <v>1</v>
      </c>
      <c r="E3654" t="s">
        <v>14</v>
      </c>
      <c r="F3654" t="s">
        <v>15</v>
      </c>
      <c r="G3654">
        <v>25.25</v>
      </c>
      <c r="H3654">
        <v>25.25</v>
      </c>
      <c r="I3654" t="s">
        <v>16</v>
      </c>
      <c r="J3654" t="s">
        <v>15</v>
      </c>
      <c r="K3654" t="s">
        <v>17</v>
      </c>
      <c r="L3654">
        <v>25.25</v>
      </c>
      <c r="M3654" t="s">
        <v>5030</v>
      </c>
      <c r="N3654" t="s">
        <v>5031</v>
      </c>
    </row>
    <row r="3655" spans="1:14" x14ac:dyDescent="0.3">
      <c r="A3655" t="s">
        <v>3679</v>
      </c>
      <c r="B3655" t="s">
        <v>19</v>
      </c>
      <c r="C3655" t="s">
        <v>35</v>
      </c>
      <c r="D3655">
        <v>38</v>
      </c>
      <c r="E3655" t="s">
        <v>14</v>
      </c>
      <c r="F3655" t="s">
        <v>16</v>
      </c>
      <c r="G3655">
        <v>60</v>
      </c>
      <c r="H3655">
        <v>2193.1999999999998</v>
      </c>
      <c r="I3655" t="s">
        <v>15</v>
      </c>
      <c r="J3655" t="s">
        <v>16</v>
      </c>
      <c r="K3655" t="s">
        <v>24</v>
      </c>
      <c r="L3655">
        <v>2193.1999999999998</v>
      </c>
      <c r="M3655" t="s">
        <v>5033</v>
      </c>
      <c r="N3655" t="s">
        <v>5031</v>
      </c>
    </row>
    <row r="3656" spans="1:14" x14ac:dyDescent="0.3">
      <c r="A3656" t="s">
        <v>3680</v>
      </c>
      <c r="B3656" t="s">
        <v>12</v>
      </c>
      <c r="C3656" t="s">
        <v>13</v>
      </c>
      <c r="D3656">
        <v>28</v>
      </c>
      <c r="E3656" t="s">
        <v>26</v>
      </c>
      <c r="F3656" t="s">
        <v>15</v>
      </c>
      <c r="G3656">
        <v>89.9</v>
      </c>
      <c r="H3656">
        <v>2433.5</v>
      </c>
      <c r="I3656" t="s">
        <v>15</v>
      </c>
      <c r="J3656" t="s">
        <v>15</v>
      </c>
      <c r="K3656" t="s">
        <v>29</v>
      </c>
      <c r="L3656">
        <v>2433.5</v>
      </c>
      <c r="M3656" t="s">
        <v>5032</v>
      </c>
      <c r="N3656" t="s">
        <v>5031</v>
      </c>
    </row>
    <row r="3657" spans="1:14" x14ac:dyDescent="0.3">
      <c r="A3657" t="s">
        <v>3681</v>
      </c>
      <c r="B3657" t="s">
        <v>12</v>
      </c>
      <c r="C3657" t="s">
        <v>13</v>
      </c>
      <c r="D3657">
        <v>32</v>
      </c>
      <c r="E3657" t="s">
        <v>15</v>
      </c>
      <c r="F3657" t="s">
        <v>36</v>
      </c>
      <c r="G3657">
        <v>19.399999999999999</v>
      </c>
      <c r="H3657">
        <v>641.15</v>
      </c>
      <c r="I3657" t="s">
        <v>15</v>
      </c>
      <c r="J3657" t="s">
        <v>15</v>
      </c>
      <c r="K3657" t="s">
        <v>24</v>
      </c>
      <c r="L3657">
        <v>641.15</v>
      </c>
      <c r="M3657" t="s">
        <v>5032</v>
      </c>
      <c r="N3657" t="s">
        <v>5031</v>
      </c>
    </row>
    <row r="3658" spans="1:14" x14ac:dyDescent="0.3">
      <c r="A3658" t="s">
        <v>3682</v>
      </c>
      <c r="B3658" t="s">
        <v>19</v>
      </c>
      <c r="C3658" t="s">
        <v>35</v>
      </c>
      <c r="D3658">
        <v>49</v>
      </c>
      <c r="E3658" t="s">
        <v>14</v>
      </c>
      <c r="F3658" t="s">
        <v>15</v>
      </c>
      <c r="G3658">
        <v>49.8</v>
      </c>
      <c r="H3658">
        <v>2398.4</v>
      </c>
      <c r="I3658" t="s">
        <v>15</v>
      </c>
      <c r="J3658" t="s">
        <v>15</v>
      </c>
      <c r="K3658" t="s">
        <v>21</v>
      </c>
      <c r="L3658">
        <v>2398.4</v>
      </c>
      <c r="M3658" t="s">
        <v>5033</v>
      </c>
      <c r="N3658" t="s">
        <v>5031</v>
      </c>
    </row>
    <row r="3659" spans="1:14" x14ac:dyDescent="0.3">
      <c r="A3659" t="s">
        <v>3683</v>
      </c>
      <c r="B3659" t="s">
        <v>12</v>
      </c>
      <c r="C3659" t="s">
        <v>35</v>
      </c>
      <c r="D3659">
        <v>37</v>
      </c>
      <c r="E3659" t="s">
        <v>15</v>
      </c>
      <c r="F3659" t="s">
        <v>36</v>
      </c>
      <c r="G3659">
        <v>24.1</v>
      </c>
      <c r="H3659">
        <v>861.85</v>
      </c>
      <c r="I3659" t="s">
        <v>15</v>
      </c>
      <c r="J3659" t="s">
        <v>16</v>
      </c>
      <c r="K3659" t="s">
        <v>24</v>
      </c>
      <c r="L3659">
        <v>861.85</v>
      </c>
      <c r="M3659" t="s">
        <v>5033</v>
      </c>
      <c r="N3659" t="s">
        <v>5031</v>
      </c>
    </row>
    <row r="3660" spans="1:14" x14ac:dyDescent="0.3">
      <c r="A3660" t="s">
        <v>3684</v>
      </c>
      <c r="B3660" t="s">
        <v>12</v>
      </c>
      <c r="C3660" t="s">
        <v>13</v>
      </c>
      <c r="D3660">
        <v>10</v>
      </c>
      <c r="E3660" t="s">
        <v>14</v>
      </c>
      <c r="F3660" t="s">
        <v>16</v>
      </c>
      <c r="G3660">
        <v>54.25</v>
      </c>
      <c r="H3660">
        <v>583</v>
      </c>
      <c r="I3660" t="s">
        <v>15</v>
      </c>
      <c r="J3660" t="s">
        <v>15</v>
      </c>
      <c r="K3660" t="s">
        <v>17</v>
      </c>
      <c r="L3660">
        <v>583</v>
      </c>
      <c r="M3660" t="s">
        <v>5030</v>
      </c>
      <c r="N3660" t="s">
        <v>5031</v>
      </c>
    </row>
    <row r="3661" spans="1:14" x14ac:dyDescent="0.3">
      <c r="A3661" t="s">
        <v>3685</v>
      </c>
      <c r="B3661" t="s">
        <v>19</v>
      </c>
      <c r="C3661" t="s">
        <v>20</v>
      </c>
      <c r="D3661">
        <v>67</v>
      </c>
      <c r="E3661" t="s">
        <v>26</v>
      </c>
      <c r="F3661" t="s">
        <v>15</v>
      </c>
      <c r="G3661">
        <v>109.9</v>
      </c>
      <c r="H3661">
        <v>7332.4</v>
      </c>
      <c r="I3661" t="s">
        <v>15</v>
      </c>
      <c r="J3661" t="s">
        <v>15</v>
      </c>
      <c r="K3661" t="s">
        <v>29</v>
      </c>
      <c r="L3661">
        <v>7332.4</v>
      </c>
      <c r="M3661" t="s">
        <v>5033</v>
      </c>
      <c r="N3661" t="s">
        <v>5034</v>
      </c>
    </row>
    <row r="3662" spans="1:14" x14ac:dyDescent="0.3">
      <c r="A3662" t="s">
        <v>3686</v>
      </c>
      <c r="B3662" t="s">
        <v>19</v>
      </c>
      <c r="C3662" t="s">
        <v>20</v>
      </c>
      <c r="D3662">
        <v>7</v>
      </c>
      <c r="E3662" t="s">
        <v>14</v>
      </c>
      <c r="F3662" t="s">
        <v>16</v>
      </c>
      <c r="G3662">
        <v>35.5</v>
      </c>
      <c r="H3662">
        <v>249.55</v>
      </c>
      <c r="I3662" t="s">
        <v>15</v>
      </c>
      <c r="J3662" t="s">
        <v>16</v>
      </c>
      <c r="K3662" t="s">
        <v>29</v>
      </c>
      <c r="L3662">
        <v>249.55</v>
      </c>
      <c r="M3662" t="s">
        <v>5030</v>
      </c>
      <c r="N3662" t="s">
        <v>5031</v>
      </c>
    </row>
    <row r="3663" spans="1:14" x14ac:dyDescent="0.3">
      <c r="A3663" t="s">
        <v>3687</v>
      </c>
      <c r="B3663" t="s">
        <v>12</v>
      </c>
      <c r="C3663" t="s">
        <v>20</v>
      </c>
      <c r="D3663">
        <v>51</v>
      </c>
      <c r="E3663" t="s">
        <v>26</v>
      </c>
      <c r="F3663" t="s">
        <v>15</v>
      </c>
      <c r="G3663">
        <v>87.55</v>
      </c>
      <c r="H3663">
        <v>4475.8999999999996</v>
      </c>
      <c r="I3663" t="s">
        <v>15</v>
      </c>
      <c r="J3663" t="s">
        <v>15</v>
      </c>
      <c r="K3663" t="s">
        <v>29</v>
      </c>
      <c r="L3663">
        <v>4475.8999999999996</v>
      </c>
      <c r="M3663" t="s">
        <v>5033</v>
      </c>
      <c r="N3663" t="s">
        <v>5034</v>
      </c>
    </row>
    <row r="3664" spans="1:14" x14ac:dyDescent="0.3">
      <c r="A3664" t="s">
        <v>3688</v>
      </c>
      <c r="B3664" t="s">
        <v>12</v>
      </c>
      <c r="C3664" t="s">
        <v>13</v>
      </c>
      <c r="D3664">
        <v>9</v>
      </c>
      <c r="E3664" t="s">
        <v>14</v>
      </c>
      <c r="F3664" t="s">
        <v>15</v>
      </c>
      <c r="G3664">
        <v>45.15</v>
      </c>
      <c r="H3664">
        <v>416.45</v>
      </c>
      <c r="I3664" t="s">
        <v>16</v>
      </c>
      <c r="J3664" t="s">
        <v>15</v>
      </c>
      <c r="K3664" t="s">
        <v>17</v>
      </c>
      <c r="L3664">
        <v>416.45</v>
      </c>
      <c r="M3664" t="s">
        <v>5030</v>
      </c>
      <c r="N3664" t="s">
        <v>5031</v>
      </c>
    </row>
    <row r="3665" spans="1:14" x14ac:dyDescent="0.3">
      <c r="A3665" t="s">
        <v>3689</v>
      </c>
      <c r="B3665" t="s">
        <v>12</v>
      </c>
      <c r="C3665" t="s">
        <v>13</v>
      </c>
      <c r="D3665">
        <v>9</v>
      </c>
      <c r="E3665" t="s">
        <v>26</v>
      </c>
      <c r="F3665" t="s">
        <v>15</v>
      </c>
      <c r="G3665">
        <v>88.4</v>
      </c>
      <c r="H3665">
        <v>788.6</v>
      </c>
      <c r="I3665" t="s">
        <v>15</v>
      </c>
      <c r="J3665" t="s">
        <v>16</v>
      </c>
      <c r="K3665" t="s">
        <v>21</v>
      </c>
      <c r="L3665">
        <v>788.6</v>
      </c>
      <c r="M3665" t="s">
        <v>5030</v>
      </c>
      <c r="N3665" t="s">
        <v>5031</v>
      </c>
    </row>
    <row r="3666" spans="1:14" x14ac:dyDescent="0.3">
      <c r="A3666" t="s">
        <v>3690</v>
      </c>
      <c r="B3666" t="s">
        <v>19</v>
      </c>
      <c r="C3666" t="s">
        <v>13</v>
      </c>
      <c r="D3666">
        <v>4</v>
      </c>
      <c r="E3666" t="s">
        <v>14</v>
      </c>
      <c r="F3666" t="s">
        <v>16</v>
      </c>
      <c r="G3666">
        <v>50.8</v>
      </c>
      <c r="H3666">
        <v>202.3</v>
      </c>
      <c r="I3666" t="s">
        <v>15</v>
      </c>
      <c r="J3666" t="s">
        <v>16</v>
      </c>
      <c r="K3666" t="s">
        <v>21</v>
      </c>
      <c r="L3666">
        <v>202.3</v>
      </c>
      <c r="M3666" t="s">
        <v>5030</v>
      </c>
      <c r="N3666" t="s">
        <v>5031</v>
      </c>
    </row>
    <row r="3667" spans="1:14" x14ac:dyDescent="0.3">
      <c r="A3667" t="s">
        <v>3691</v>
      </c>
      <c r="B3667" t="s">
        <v>19</v>
      </c>
      <c r="C3667" t="s">
        <v>35</v>
      </c>
      <c r="D3667">
        <v>71</v>
      </c>
      <c r="E3667" t="s">
        <v>26</v>
      </c>
      <c r="F3667" t="s">
        <v>15</v>
      </c>
      <c r="G3667">
        <v>99</v>
      </c>
      <c r="H3667">
        <v>6994.6</v>
      </c>
      <c r="I3667" t="s">
        <v>15</v>
      </c>
      <c r="J3667" t="s">
        <v>16</v>
      </c>
      <c r="K3667" t="s">
        <v>17</v>
      </c>
      <c r="L3667">
        <v>6994.6</v>
      </c>
      <c r="M3667" t="s">
        <v>5033</v>
      </c>
      <c r="N3667" t="s">
        <v>5034</v>
      </c>
    </row>
    <row r="3668" spans="1:14" x14ac:dyDescent="0.3">
      <c r="A3668" t="s">
        <v>3692</v>
      </c>
      <c r="B3668" t="s">
        <v>12</v>
      </c>
      <c r="C3668" t="s">
        <v>13</v>
      </c>
      <c r="D3668">
        <v>50</v>
      </c>
      <c r="E3668" t="s">
        <v>26</v>
      </c>
      <c r="F3668" t="s">
        <v>15</v>
      </c>
      <c r="G3668">
        <v>84.4</v>
      </c>
      <c r="H3668">
        <v>4116.1499999999996</v>
      </c>
      <c r="I3668" t="s">
        <v>16</v>
      </c>
      <c r="J3668" t="s">
        <v>16</v>
      </c>
      <c r="K3668" t="s">
        <v>24</v>
      </c>
      <c r="L3668">
        <v>4116.1499999999996</v>
      </c>
      <c r="M3668" t="s">
        <v>5033</v>
      </c>
      <c r="N3668" t="s">
        <v>5034</v>
      </c>
    </row>
    <row r="3669" spans="1:14" x14ac:dyDescent="0.3">
      <c r="A3669" t="s">
        <v>3693</v>
      </c>
      <c r="B3669" t="s">
        <v>12</v>
      </c>
      <c r="C3669" t="s">
        <v>35</v>
      </c>
      <c r="D3669">
        <v>24</v>
      </c>
      <c r="E3669" t="s">
        <v>26</v>
      </c>
      <c r="F3669" t="s">
        <v>15</v>
      </c>
      <c r="G3669">
        <v>96.55</v>
      </c>
      <c r="H3669">
        <v>2263.4499999999998</v>
      </c>
      <c r="I3669" t="s">
        <v>15</v>
      </c>
      <c r="J3669" t="s">
        <v>16</v>
      </c>
      <c r="K3669" t="s">
        <v>17</v>
      </c>
      <c r="L3669">
        <v>2263.4499999999998</v>
      </c>
      <c r="M3669" t="s">
        <v>5032</v>
      </c>
      <c r="N3669" t="s">
        <v>5031</v>
      </c>
    </row>
    <row r="3670" spans="1:14" x14ac:dyDescent="0.3">
      <c r="A3670" t="s">
        <v>3694</v>
      </c>
      <c r="B3670" t="s">
        <v>19</v>
      </c>
      <c r="C3670" t="s">
        <v>20</v>
      </c>
      <c r="D3670">
        <v>22</v>
      </c>
      <c r="E3670" t="s">
        <v>14</v>
      </c>
      <c r="F3670" t="s">
        <v>15</v>
      </c>
      <c r="G3670">
        <v>59.75</v>
      </c>
      <c r="H3670">
        <v>1374.35</v>
      </c>
      <c r="I3670" t="s">
        <v>15</v>
      </c>
      <c r="J3670" t="s">
        <v>16</v>
      </c>
      <c r="K3670" t="s">
        <v>24</v>
      </c>
      <c r="L3670">
        <v>1374.35</v>
      </c>
      <c r="M3670" t="s">
        <v>5032</v>
      </c>
      <c r="N3670" t="s">
        <v>5031</v>
      </c>
    </row>
    <row r="3671" spans="1:14" x14ac:dyDescent="0.3">
      <c r="A3671" t="s">
        <v>3695</v>
      </c>
      <c r="B3671" t="s">
        <v>19</v>
      </c>
      <c r="C3671" t="s">
        <v>13</v>
      </c>
      <c r="D3671">
        <v>44</v>
      </c>
      <c r="E3671" t="s">
        <v>26</v>
      </c>
      <c r="F3671" t="s">
        <v>15</v>
      </c>
      <c r="G3671">
        <v>111.5</v>
      </c>
      <c r="H3671">
        <v>4915.1499999999996</v>
      </c>
      <c r="I3671" t="s">
        <v>15</v>
      </c>
      <c r="J3671" t="s">
        <v>16</v>
      </c>
      <c r="K3671" t="s">
        <v>17</v>
      </c>
      <c r="L3671">
        <v>4915.1499999999996</v>
      </c>
      <c r="M3671" t="s">
        <v>5033</v>
      </c>
      <c r="N3671" t="s">
        <v>5034</v>
      </c>
    </row>
    <row r="3672" spans="1:14" x14ac:dyDescent="0.3">
      <c r="A3672" t="s">
        <v>3696</v>
      </c>
      <c r="B3672" t="s">
        <v>12</v>
      </c>
      <c r="C3672" t="s">
        <v>13</v>
      </c>
      <c r="D3672">
        <v>33</v>
      </c>
      <c r="E3672" t="s">
        <v>15</v>
      </c>
      <c r="F3672" t="s">
        <v>36</v>
      </c>
      <c r="G3672">
        <v>24.25</v>
      </c>
      <c r="H3672">
        <v>838.5</v>
      </c>
      <c r="I3672" t="s">
        <v>15</v>
      </c>
      <c r="J3672" t="s">
        <v>15</v>
      </c>
      <c r="K3672" t="s">
        <v>24</v>
      </c>
      <c r="L3672">
        <v>838.5</v>
      </c>
      <c r="M3672" t="s">
        <v>5032</v>
      </c>
      <c r="N3672" t="s">
        <v>5031</v>
      </c>
    </row>
    <row r="3673" spans="1:14" x14ac:dyDescent="0.3">
      <c r="A3673" t="s">
        <v>3697</v>
      </c>
      <c r="B3673" t="s">
        <v>12</v>
      </c>
      <c r="C3673" t="s">
        <v>13</v>
      </c>
      <c r="D3673">
        <v>1</v>
      </c>
      <c r="E3673" t="s">
        <v>26</v>
      </c>
      <c r="F3673" t="s">
        <v>15</v>
      </c>
      <c r="G3673">
        <v>75.099999999999994</v>
      </c>
      <c r="H3673">
        <v>75.099999999999994</v>
      </c>
      <c r="I3673" t="s">
        <v>16</v>
      </c>
      <c r="J3673" t="s">
        <v>16</v>
      </c>
      <c r="K3673" t="s">
        <v>17</v>
      </c>
      <c r="L3673">
        <v>75.099999999999994</v>
      </c>
      <c r="M3673" t="s">
        <v>5030</v>
      </c>
      <c r="N3673" t="s">
        <v>5031</v>
      </c>
    </row>
    <row r="3674" spans="1:14" x14ac:dyDescent="0.3">
      <c r="A3674" t="s">
        <v>3698</v>
      </c>
      <c r="B3674" t="s">
        <v>12</v>
      </c>
      <c r="C3674" t="s">
        <v>20</v>
      </c>
      <c r="D3674">
        <v>54</v>
      </c>
      <c r="E3674" t="s">
        <v>14</v>
      </c>
      <c r="F3674" t="s">
        <v>15</v>
      </c>
      <c r="G3674">
        <v>70.150000000000006</v>
      </c>
      <c r="H3674">
        <v>3715.65</v>
      </c>
      <c r="I3674" t="s">
        <v>16</v>
      </c>
      <c r="J3674" t="s">
        <v>16</v>
      </c>
      <c r="K3674" t="s">
        <v>29</v>
      </c>
      <c r="L3674">
        <v>3715.65</v>
      </c>
      <c r="M3674" t="s">
        <v>5033</v>
      </c>
      <c r="N3674" t="s">
        <v>5034</v>
      </c>
    </row>
    <row r="3675" spans="1:14" x14ac:dyDescent="0.3">
      <c r="A3675" t="s">
        <v>3699</v>
      </c>
      <c r="B3675" t="s">
        <v>19</v>
      </c>
      <c r="C3675" t="s">
        <v>13</v>
      </c>
      <c r="D3675">
        <v>42</v>
      </c>
      <c r="E3675" t="s">
        <v>26</v>
      </c>
      <c r="F3675" t="s">
        <v>15</v>
      </c>
      <c r="G3675">
        <v>101.75</v>
      </c>
      <c r="H3675">
        <v>4273.45</v>
      </c>
      <c r="I3675" t="s">
        <v>16</v>
      </c>
      <c r="J3675" t="s">
        <v>16</v>
      </c>
      <c r="K3675" t="s">
        <v>17</v>
      </c>
      <c r="L3675">
        <v>4273.45</v>
      </c>
      <c r="M3675" t="s">
        <v>5033</v>
      </c>
      <c r="N3675" t="s">
        <v>5034</v>
      </c>
    </row>
    <row r="3676" spans="1:14" x14ac:dyDescent="0.3">
      <c r="A3676" t="s">
        <v>3700</v>
      </c>
      <c r="B3676" t="s">
        <v>12</v>
      </c>
      <c r="C3676" t="s">
        <v>13</v>
      </c>
      <c r="D3676">
        <v>1</v>
      </c>
      <c r="E3676" t="s">
        <v>14</v>
      </c>
      <c r="F3676" t="s">
        <v>15</v>
      </c>
      <c r="G3676">
        <v>45.8</v>
      </c>
      <c r="H3676">
        <v>45.8</v>
      </c>
      <c r="I3676" t="s">
        <v>16</v>
      </c>
      <c r="J3676" t="s">
        <v>15</v>
      </c>
      <c r="K3676" t="s">
        <v>17</v>
      </c>
      <c r="L3676">
        <v>45.8</v>
      </c>
      <c r="M3676" t="s">
        <v>5030</v>
      </c>
      <c r="N3676" t="s">
        <v>5031</v>
      </c>
    </row>
    <row r="3677" spans="1:14" x14ac:dyDescent="0.3">
      <c r="A3677" t="s">
        <v>3701</v>
      </c>
      <c r="B3677" t="s">
        <v>12</v>
      </c>
      <c r="C3677" t="s">
        <v>13</v>
      </c>
      <c r="D3677">
        <v>1</v>
      </c>
      <c r="E3677" t="s">
        <v>15</v>
      </c>
      <c r="F3677" t="s">
        <v>36</v>
      </c>
      <c r="G3677">
        <v>20.5</v>
      </c>
      <c r="H3677">
        <v>20.5</v>
      </c>
      <c r="I3677" t="s">
        <v>15</v>
      </c>
      <c r="J3677" t="s">
        <v>15</v>
      </c>
      <c r="K3677" t="s">
        <v>21</v>
      </c>
      <c r="L3677">
        <v>20.5</v>
      </c>
      <c r="M3677" t="s">
        <v>5030</v>
      </c>
      <c r="N3677" t="s">
        <v>5031</v>
      </c>
    </row>
    <row r="3678" spans="1:14" x14ac:dyDescent="0.3">
      <c r="A3678" t="s">
        <v>3702</v>
      </c>
      <c r="B3678" t="s">
        <v>19</v>
      </c>
      <c r="C3678" t="s">
        <v>20</v>
      </c>
      <c r="D3678">
        <v>30</v>
      </c>
      <c r="E3678" t="s">
        <v>14</v>
      </c>
      <c r="F3678" t="s">
        <v>16</v>
      </c>
      <c r="G3678">
        <v>70.400000000000006</v>
      </c>
      <c r="H3678">
        <v>2044.75</v>
      </c>
      <c r="I3678" t="s">
        <v>15</v>
      </c>
      <c r="J3678" t="s">
        <v>15</v>
      </c>
      <c r="K3678" t="s">
        <v>17</v>
      </c>
      <c r="L3678">
        <v>2044.75</v>
      </c>
      <c r="M3678" t="s">
        <v>5032</v>
      </c>
      <c r="N3678" t="s">
        <v>5031</v>
      </c>
    </row>
    <row r="3679" spans="1:14" x14ac:dyDescent="0.3">
      <c r="A3679" t="s">
        <v>3703</v>
      </c>
      <c r="B3679" t="s">
        <v>12</v>
      </c>
      <c r="C3679" t="s">
        <v>13</v>
      </c>
      <c r="D3679">
        <v>1</v>
      </c>
      <c r="E3679" t="s">
        <v>14</v>
      </c>
      <c r="F3679" t="s">
        <v>16</v>
      </c>
      <c r="G3679">
        <v>30.55</v>
      </c>
      <c r="H3679">
        <v>30.55</v>
      </c>
      <c r="I3679" t="s">
        <v>15</v>
      </c>
      <c r="J3679" t="s">
        <v>15</v>
      </c>
      <c r="K3679" t="s">
        <v>21</v>
      </c>
      <c r="L3679">
        <v>30.55</v>
      </c>
      <c r="M3679" t="s">
        <v>5030</v>
      </c>
      <c r="N3679" t="s">
        <v>5031</v>
      </c>
    </row>
    <row r="3680" spans="1:14" x14ac:dyDescent="0.3">
      <c r="A3680" t="s">
        <v>3704</v>
      </c>
      <c r="B3680" t="s">
        <v>19</v>
      </c>
      <c r="C3680" t="s">
        <v>13</v>
      </c>
      <c r="D3680">
        <v>16</v>
      </c>
      <c r="E3680" t="s">
        <v>14</v>
      </c>
      <c r="F3680" t="s">
        <v>16</v>
      </c>
      <c r="G3680">
        <v>84.9</v>
      </c>
      <c r="H3680">
        <v>1398.25</v>
      </c>
      <c r="I3680" t="s">
        <v>15</v>
      </c>
      <c r="J3680" t="s">
        <v>15</v>
      </c>
      <c r="K3680" t="s">
        <v>17</v>
      </c>
      <c r="L3680">
        <v>1398.25</v>
      </c>
      <c r="M3680" t="s">
        <v>5032</v>
      </c>
      <c r="N3680" t="s">
        <v>5031</v>
      </c>
    </row>
    <row r="3681" spans="1:14" x14ac:dyDescent="0.3">
      <c r="A3681" t="s">
        <v>3705</v>
      </c>
      <c r="B3681" t="s">
        <v>19</v>
      </c>
      <c r="C3681" t="s">
        <v>13</v>
      </c>
      <c r="D3681">
        <v>1</v>
      </c>
      <c r="E3681" t="s">
        <v>15</v>
      </c>
      <c r="F3681" t="s">
        <v>36</v>
      </c>
      <c r="G3681">
        <v>20.100000000000001</v>
      </c>
      <c r="H3681">
        <v>20.100000000000001</v>
      </c>
      <c r="I3681" t="s">
        <v>16</v>
      </c>
      <c r="J3681" t="s">
        <v>16</v>
      </c>
      <c r="K3681" t="s">
        <v>21</v>
      </c>
      <c r="L3681">
        <v>20.100000000000001</v>
      </c>
      <c r="M3681" t="s">
        <v>5030</v>
      </c>
      <c r="N3681" t="s">
        <v>5031</v>
      </c>
    </row>
    <row r="3682" spans="1:14" x14ac:dyDescent="0.3">
      <c r="A3682" t="s">
        <v>3706</v>
      </c>
      <c r="B3682" t="s">
        <v>19</v>
      </c>
      <c r="C3682" t="s">
        <v>13</v>
      </c>
      <c r="D3682">
        <v>9</v>
      </c>
      <c r="E3682" t="s">
        <v>14</v>
      </c>
      <c r="F3682" t="s">
        <v>16</v>
      </c>
      <c r="G3682">
        <v>40.65</v>
      </c>
      <c r="H3682">
        <v>328.95</v>
      </c>
      <c r="I3682" t="s">
        <v>16</v>
      </c>
      <c r="J3682" t="s">
        <v>15</v>
      </c>
      <c r="K3682" t="s">
        <v>21</v>
      </c>
      <c r="L3682">
        <v>328.95</v>
      </c>
      <c r="M3682" t="s">
        <v>5030</v>
      </c>
      <c r="N3682" t="s">
        <v>5031</v>
      </c>
    </row>
    <row r="3683" spans="1:14" x14ac:dyDescent="0.3">
      <c r="A3683" t="s">
        <v>3707</v>
      </c>
      <c r="B3683" t="s">
        <v>19</v>
      </c>
      <c r="C3683" t="s">
        <v>13</v>
      </c>
      <c r="D3683">
        <v>46</v>
      </c>
      <c r="E3683" t="s">
        <v>26</v>
      </c>
      <c r="F3683" t="s">
        <v>15</v>
      </c>
      <c r="G3683">
        <v>101</v>
      </c>
      <c r="H3683">
        <v>4680.05</v>
      </c>
      <c r="I3683" t="s">
        <v>16</v>
      </c>
      <c r="J3683" t="s">
        <v>16</v>
      </c>
      <c r="K3683" t="s">
        <v>17</v>
      </c>
      <c r="L3683">
        <v>4680.05</v>
      </c>
      <c r="M3683" t="s">
        <v>5033</v>
      </c>
      <c r="N3683" t="s">
        <v>5034</v>
      </c>
    </row>
    <row r="3684" spans="1:14" x14ac:dyDescent="0.3">
      <c r="A3684" t="s">
        <v>3708</v>
      </c>
      <c r="B3684" t="s">
        <v>19</v>
      </c>
      <c r="C3684" t="s">
        <v>13</v>
      </c>
      <c r="D3684">
        <v>1</v>
      </c>
      <c r="E3684" t="s">
        <v>26</v>
      </c>
      <c r="F3684" t="s">
        <v>15</v>
      </c>
      <c r="G3684">
        <v>69.099999999999994</v>
      </c>
      <c r="H3684">
        <v>69.099999999999994</v>
      </c>
      <c r="I3684" t="s">
        <v>16</v>
      </c>
      <c r="J3684" t="s">
        <v>16</v>
      </c>
      <c r="K3684" t="s">
        <v>17</v>
      </c>
      <c r="L3684">
        <v>69.099999999999994</v>
      </c>
      <c r="M3684" t="s">
        <v>5030</v>
      </c>
      <c r="N3684" t="s">
        <v>5031</v>
      </c>
    </row>
    <row r="3685" spans="1:14" x14ac:dyDescent="0.3">
      <c r="A3685" t="s">
        <v>3709</v>
      </c>
      <c r="B3685" t="s">
        <v>19</v>
      </c>
      <c r="C3685" t="s">
        <v>35</v>
      </c>
      <c r="D3685">
        <v>71</v>
      </c>
      <c r="E3685" t="s">
        <v>14</v>
      </c>
      <c r="F3685" t="s">
        <v>16</v>
      </c>
      <c r="G3685">
        <v>54.5</v>
      </c>
      <c r="H3685">
        <v>3778.2</v>
      </c>
      <c r="I3685" t="s">
        <v>15</v>
      </c>
      <c r="J3685" t="s">
        <v>15</v>
      </c>
      <c r="K3685" t="s">
        <v>24</v>
      </c>
      <c r="L3685">
        <v>3778.2</v>
      </c>
      <c r="M3685" t="s">
        <v>5033</v>
      </c>
      <c r="N3685" t="s">
        <v>5034</v>
      </c>
    </row>
    <row r="3686" spans="1:14" x14ac:dyDescent="0.3">
      <c r="A3686" t="s">
        <v>3710</v>
      </c>
      <c r="B3686" t="s">
        <v>19</v>
      </c>
      <c r="C3686" t="s">
        <v>13</v>
      </c>
      <c r="D3686">
        <v>43</v>
      </c>
      <c r="E3686" t="s">
        <v>26</v>
      </c>
      <c r="F3686" t="s">
        <v>15</v>
      </c>
      <c r="G3686">
        <v>75.349999999999994</v>
      </c>
      <c r="H3686">
        <v>3161.4</v>
      </c>
      <c r="I3686" t="s">
        <v>15</v>
      </c>
      <c r="J3686" t="s">
        <v>16</v>
      </c>
      <c r="K3686" t="s">
        <v>29</v>
      </c>
      <c r="L3686">
        <v>3161.4</v>
      </c>
      <c r="M3686" t="s">
        <v>5033</v>
      </c>
      <c r="N3686" t="s">
        <v>5034</v>
      </c>
    </row>
    <row r="3687" spans="1:14" x14ac:dyDescent="0.3">
      <c r="A3687" t="s">
        <v>3711</v>
      </c>
      <c r="B3687" t="s">
        <v>19</v>
      </c>
      <c r="C3687" t="s">
        <v>20</v>
      </c>
      <c r="D3687">
        <v>50</v>
      </c>
      <c r="E3687" t="s">
        <v>14</v>
      </c>
      <c r="F3687" t="s">
        <v>16</v>
      </c>
      <c r="G3687">
        <v>44.45</v>
      </c>
      <c r="H3687">
        <v>2188.4499999999998</v>
      </c>
      <c r="I3687" t="s">
        <v>15</v>
      </c>
      <c r="J3687" t="s">
        <v>16</v>
      </c>
      <c r="K3687" t="s">
        <v>24</v>
      </c>
      <c r="L3687">
        <v>2188.4499999999998</v>
      </c>
      <c r="M3687" t="s">
        <v>5033</v>
      </c>
      <c r="N3687" t="s">
        <v>5031</v>
      </c>
    </row>
    <row r="3688" spans="1:14" x14ac:dyDescent="0.3">
      <c r="A3688" t="s">
        <v>3712</v>
      </c>
      <c r="B3688" t="s">
        <v>12</v>
      </c>
      <c r="C3688" t="s">
        <v>13</v>
      </c>
      <c r="D3688">
        <v>13</v>
      </c>
      <c r="E3688" t="s">
        <v>26</v>
      </c>
      <c r="F3688" t="s">
        <v>15</v>
      </c>
      <c r="G3688">
        <v>75</v>
      </c>
      <c r="H3688">
        <v>999.45</v>
      </c>
      <c r="I3688" t="s">
        <v>16</v>
      </c>
      <c r="J3688" t="s">
        <v>16</v>
      </c>
      <c r="K3688" t="s">
        <v>21</v>
      </c>
      <c r="L3688">
        <v>999.45</v>
      </c>
      <c r="M3688" t="s">
        <v>5032</v>
      </c>
      <c r="N3688" t="s">
        <v>5031</v>
      </c>
    </row>
    <row r="3689" spans="1:14" x14ac:dyDescent="0.3">
      <c r="A3689" t="s">
        <v>3713</v>
      </c>
      <c r="B3689" t="s">
        <v>19</v>
      </c>
      <c r="C3689" t="s">
        <v>20</v>
      </c>
      <c r="D3689">
        <v>19</v>
      </c>
      <c r="E3689" t="s">
        <v>26</v>
      </c>
      <c r="F3689" t="s">
        <v>16</v>
      </c>
      <c r="G3689">
        <v>100</v>
      </c>
      <c r="H3689">
        <v>1888.65</v>
      </c>
      <c r="I3689" t="s">
        <v>16</v>
      </c>
      <c r="J3689" t="s">
        <v>15</v>
      </c>
      <c r="K3689" t="s">
        <v>24</v>
      </c>
      <c r="L3689">
        <v>1888.65</v>
      </c>
      <c r="M3689" t="s">
        <v>5032</v>
      </c>
      <c r="N3689" t="s">
        <v>5031</v>
      </c>
    </row>
    <row r="3690" spans="1:14" x14ac:dyDescent="0.3">
      <c r="A3690" t="s">
        <v>3714</v>
      </c>
      <c r="B3690" t="s">
        <v>12</v>
      </c>
      <c r="C3690" t="s">
        <v>13</v>
      </c>
      <c r="D3690">
        <v>41</v>
      </c>
      <c r="E3690" t="s">
        <v>26</v>
      </c>
      <c r="F3690" t="s">
        <v>15</v>
      </c>
      <c r="G3690">
        <v>98.05</v>
      </c>
      <c r="H3690">
        <v>3990.6</v>
      </c>
      <c r="I3690" t="s">
        <v>15</v>
      </c>
      <c r="J3690" t="s">
        <v>15</v>
      </c>
      <c r="K3690" t="s">
        <v>24</v>
      </c>
      <c r="L3690">
        <v>3990.6</v>
      </c>
      <c r="M3690" t="s">
        <v>5033</v>
      </c>
      <c r="N3690" t="s">
        <v>5034</v>
      </c>
    </row>
    <row r="3691" spans="1:14" x14ac:dyDescent="0.3">
      <c r="A3691" t="s">
        <v>3715</v>
      </c>
      <c r="B3691" t="s">
        <v>12</v>
      </c>
      <c r="C3691" t="s">
        <v>13</v>
      </c>
      <c r="D3691">
        <v>1</v>
      </c>
      <c r="E3691" t="s">
        <v>26</v>
      </c>
      <c r="F3691" t="s">
        <v>15</v>
      </c>
      <c r="G3691">
        <v>71.150000000000006</v>
      </c>
      <c r="H3691">
        <v>71.150000000000006</v>
      </c>
      <c r="I3691" t="s">
        <v>16</v>
      </c>
      <c r="J3691" t="s">
        <v>16</v>
      </c>
      <c r="K3691" t="s">
        <v>17</v>
      </c>
      <c r="L3691">
        <v>71.150000000000006</v>
      </c>
      <c r="M3691" t="s">
        <v>5030</v>
      </c>
      <c r="N3691" t="s">
        <v>5031</v>
      </c>
    </row>
    <row r="3692" spans="1:14" x14ac:dyDescent="0.3">
      <c r="A3692" t="s">
        <v>3716</v>
      </c>
      <c r="B3692" t="s">
        <v>12</v>
      </c>
      <c r="C3692" t="s">
        <v>13</v>
      </c>
      <c r="D3692">
        <v>24</v>
      </c>
      <c r="E3692" t="s">
        <v>14</v>
      </c>
      <c r="F3692" t="s">
        <v>15</v>
      </c>
      <c r="G3692">
        <v>54.15</v>
      </c>
      <c r="H3692">
        <v>1240.25</v>
      </c>
      <c r="I3692" t="s">
        <v>16</v>
      </c>
      <c r="J3692" t="s">
        <v>16</v>
      </c>
      <c r="K3692" t="s">
        <v>29</v>
      </c>
      <c r="L3692">
        <v>1240.25</v>
      </c>
      <c r="M3692" t="s">
        <v>5032</v>
      </c>
      <c r="N3692" t="s">
        <v>5031</v>
      </c>
    </row>
    <row r="3693" spans="1:14" x14ac:dyDescent="0.3">
      <c r="A3693" t="s">
        <v>3717</v>
      </c>
      <c r="B3693" t="s">
        <v>12</v>
      </c>
      <c r="C3693" t="s">
        <v>20</v>
      </c>
      <c r="D3693">
        <v>40</v>
      </c>
      <c r="E3693" t="s">
        <v>14</v>
      </c>
      <c r="F3693" t="s">
        <v>15</v>
      </c>
      <c r="G3693">
        <v>63.9</v>
      </c>
      <c r="H3693">
        <v>2635</v>
      </c>
      <c r="I3693" t="s">
        <v>15</v>
      </c>
      <c r="J3693" t="s">
        <v>15</v>
      </c>
      <c r="K3693" t="s">
        <v>24</v>
      </c>
      <c r="L3693">
        <v>2635</v>
      </c>
      <c r="M3693" t="s">
        <v>5033</v>
      </c>
      <c r="N3693" t="s">
        <v>5034</v>
      </c>
    </row>
    <row r="3694" spans="1:14" x14ac:dyDescent="0.3">
      <c r="A3694" t="s">
        <v>3718</v>
      </c>
      <c r="B3694" t="s">
        <v>12</v>
      </c>
      <c r="C3694" t="s">
        <v>13</v>
      </c>
      <c r="D3694">
        <v>3</v>
      </c>
      <c r="E3694" t="s">
        <v>14</v>
      </c>
      <c r="F3694" t="s">
        <v>15</v>
      </c>
      <c r="G3694">
        <v>69.150000000000006</v>
      </c>
      <c r="H3694">
        <v>235</v>
      </c>
      <c r="I3694" t="s">
        <v>15</v>
      </c>
      <c r="J3694" t="s">
        <v>16</v>
      </c>
      <c r="K3694" t="s">
        <v>24</v>
      </c>
      <c r="L3694">
        <v>235</v>
      </c>
      <c r="M3694" t="s">
        <v>5030</v>
      </c>
      <c r="N3694" t="s">
        <v>5031</v>
      </c>
    </row>
    <row r="3695" spans="1:14" x14ac:dyDescent="0.3">
      <c r="A3695" t="s">
        <v>3719</v>
      </c>
      <c r="B3695" t="s">
        <v>12</v>
      </c>
      <c r="C3695" t="s">
        <v>20</v>
      </c>
      <c r="D3695">
        <v>37</v>
      </c>
      <c r="E3695" t="s">
        <v>14</v>
      </c>
      <c r="F3695" t="s">
        <v>15</v>
      </c>
      <c r="G3695">
        <v>64.650000000000006</v>
      </c>
      <c r="H3695">
        <v>2347.85</v>
      </c>
      <c r="I3695" t="s">
        <v>15</v>
      </c>
      <c r="J3695" t="s">
        <v>15</v>
      </c>
      <c r="K3695" t="s">
        <v>24</v>
      </c>
      <c r="L3695">
        <v>2347.85</v>
      </c>
      <c r="M3695" t="s">
        <v>5033</v>
      </c>
      <c r="N3695" t="s">
        <v>5031</v>
      </c>
    </row>
    <row r="3696" spans="1:14" x14ac:dyDescent="0.3">
      <c r="A3696" t="s">
        <v>3720</v>
      </c>
      <c r="B3696" t="s">
        <v>12</v>
      </c>
      <c r="C3696" t="s">
        <v>35</v>
      </c>
      <c r="D3696">
        <v>67</v>
      </c>
      <c r="E3696" t="s">
        <v>26</v>
      </c>
      <c r="F3696" t="s">
        <v>16</v>
      </c>
      <c r="G3696">
        <v>108.75</v>
      </c>
      <c r="H3696">
        <v>7156.2</v>
      </c>
      <c r="I3696" t="s">
        <v>16</v>
      </c>
      <c r="J3696" t="s">
        <v>16</v>
      </c>
      <c r="K3696" t="s">
        <v>29</v>
      </c>
      <c r="L3696">
        <v>7156.2</v>
      </c>
      <c r="M3696" t="s">
        <v>5033</v>
      </c>
      <c r="N3696" t="s">
        <v>5034</v>
      </c>
    </row>
    <row r="3697" spans="1:14" x14ac:dyDescent="0.3">
      <c r="A3697" t="s">
        <v>3721</v>
      </c>
      <c r="B3697" t="s">
        <v>12</v>
      </c>
      <c r="C3697" t="s">
        <v>13</v>
      </c>
      <c r="D3697">
        <v>32</v>
      </c>
      <c r="E3697" t="s">
        <v>26</v>
      </c>
      <c r="F3697" t="s">
        <v>15</v>
      </c>
      <c r="G3697">
        <v>98.85</v>
      </c>
      <c r="H3697">
        <v>3089.6</v>
      </c>
      <c r="I3697" t="s">
        <v>15</v>
      </c>
      <c r="J3697" t="s">
        <v>16</v>
      </c>
      <c r="K3697" t="s">
        <v>17</v>
      </c>
      <c r="L3697">
        <v>3089.6</v>
      </c>
      <c r="M3697" t="s">
        <v>5032</v>
      </c>
      <c r="N3697" t="s">
        <v>5034</v>
      </c>
    </row>
    <row r="3698" spans="1:14" x14ac:dyDescent="0.3">
      <c r="A3698" t="s">
        <v>3722</v>
      </c>
      <c r="B3698" t="s">
        <v>12</v>
      </c>
      <c r="C3698" t="s">
        <v>13</v>
      </c>
      <c r="D3698">
        <v>6</v>
      </c>
      <c r="E3698" t="s">
        <v>14</v>
      </c>
      <c r="F3698" t="s">
        <v>16</v>
      </c>
      <c r="G3698">
        <v>49.15</v>
      </c>
      <c r="H3698">
        <v>270.8</v>
      </c>
      <c r="I3698" t="s">
        <v>16</v>
      </c>
      <c r="J3698" t="s">
        <v>16</v>
      </c>
      <c r="K3698" t="s">
        <v>17</v>
      </c>
      <c r="L3698">
        <v>270.8</v>
      </c>
      <c r="M3698" t="s">
        <v>5030</v>
      </c>
      <c r="N3698" t="s">
        <v>5031</v>
      </c>
    </row>
    <row r="3699" spans="1:14" x14ac:dyDescent="0.3">
      <c r="A3699" t="s">
        <v>3723</v>
      </c>
      <c r="B3699" t="s">
        <v>12</v>
      </c>
      <c r="C3699" t="s">
        <v>13</v>
      </c>
      <c r="D3699">
        <v>32</v>
      </c>
      <c r="E3699" t="s">
        <v>26</v>
      </c>
      <c r="F3699" t="s">
        <v>15</v>
      </c>
      <c r="G3699">
        <v>89.6</v>
      </c>
      <c r="H3699">
        <v>2901.8</v>
      </c>
      <c r="I3699" t="s">
        <v>15</v>
      </c>
      <c r="J3699" t="s">
        <v>15</v>
      </c>
      <c r="K3699" t="s">
        <v>17</v>
      </c>
      <c r="L3699">
        <v>2901.8</v>
      </c>
      <c r="M3699" t="s">
        <v>5032</v>
      </c>
      <c r="N3699" t="s">
        <v>5034</v>
      </c>
    </row>
    <row r="3700" spans="1:14" x14ac:dyDescent="0.3">
      <c r="A3700" t="s">
        <v>3724</v>
      </c>
      <c r="B3700" t="s">
        <v>12</v>
      </c>
      <c r="C3700" t="s">
        <v>13</v>
      </c>
      <c r="D3700">
        <v>59</v>
      </c>
      <c r="E3700" t="s">
        <v>26</v>
      </c>
      <c r="F3700" t="s">
        <v>15</v>
      </c>
      <c r="G3700">
        <v>83.25</v>
      </c>
      <c r="H3700">
        <v>4949.1000000000004</v>
      </c>
      <c r="I3700" t="s">
        <v>15</v>
      </c>
      <c r="J3700" t="s">
        <v>16</v>
      </c>
      <c r="K3700" t="s">
        <v>17</v>
      </c>
      <c r="L3700">
        <v>4949.1000000000004</v>
      </c>
      <c r="M3700" t="s">
        <v>5033</v>
      </c>
      <c r="N3700" t="s">
        <v>5034</v>
      </c>
    </row>
    <row r="3701" spans="1:14" x14ac:dyDescent="0.3">
      <c r="A3701" t="s">
        <v>3725</v>
      </c>
      <c r="B3701" t="s">
        <v>12</v>
      </c>
      <c r="C3701" t="s">
        <v>20</v>
      </c>
      <c r="D3701">
        <v>30</v>
      </c>
      <c r="E3701" t="s">
        <v>14</v>
      </c>
      <c r="F3701" t="s">
        <v>16</v>
      </c>
      <c r="G3701">
        <v>70.25</v>
      </c>
      <c r="H3701">
        <v>2198.9</v>
      </c>
      <c r="I3701" t="s">
        <v>15</v>
      </c>
      <c r="J3701" t="s">
        <v>15</v>
      </c>
      <c r="K3701" t="s">
        <v>24</v>
      </c>
      <c r="L3701">
        <v>2198.9</v>
      </c>
      <c r="M3701" t="s">
        <v>5032</v>
      </c>
      <c r="N3701" t="s">
        <v>5031</v>
      </c>
    </row>
    <row r="3702" spans="1:14" x14ac:dyDescent="0.3">
      <c r="A3702" t="s">
        <v>3726</v>
      </c>
      <c r="B3702" t="s">
        <v>19</v>
      </c>
      <c r="C3702" t="s">
        <v>13</v>
      </c>
      <c r="D3702">
        <v>20</v>
      </c>
      <c r="E3702" t="s">
        <v>15</v>
      </c>
      <c r="F3702" t="s">
        <v>36</v>
      </c>
      <c r="G3702">
        <v>19.399999999999999</v>
      </c>
      <c r="H3702">
        <v>374.5</v>
      </c>
      <c r="I3702" t="s">
        <v>16</v>
      </c>
      <c r="J3702" t="s">
        <v>16</v>
      </c>
      <c r="K3702" t="s">
        <v>17</v>
      </c>
      <c r="L3702">
        <v>374.5</v>
      </c>
      <c r="M3702" t="s">
        <v>5032</v>
      </c>
      <c r="N3702" t="s">
        <v>5031</v>
      </c>
    </row>
    <row r="3703" spans="1:14" x14ac:dyDescent="0.3">
      <c r="A3703" t="s">
        <v>3727</v>
      </c>
      <c r="B3703" t="s">
        <v>12</v>
      </c>
      <c r="C3703" t="s">
        <v>35</v>
      </c>
      <c r="D3703">
        <v>27</v>
      </c>
      <c r="E3703" t="s">
        <v>15</v>
      </c>
      <c r="F3703" t="s">
        <v>36</v>
      </c>
      <c r="G3703">
        <v>24.5</v>
      </c>
      <c r="H3703">
        <v>761.95</v>
      </c>
      <c r="I3703" t="s">
        <v>15</v>
      </c>
      <c r="J3703" t="s">
        <v>15</v>
      </c>
      <c r="K3703" t="s">
        <v>17</v>
      </c>
      <c r="L3703">
        <v>761.95</v>
      </c>
      <c r="M3703" t="s">
        <v>5032</v>
      </c>
      <c r="N3703" t="s">
        <v>5031</v>
      </c>
    </row>
    <row r="3704" spans="1:14" x14ac:dyDescent="0.3">
      <c r="A3704" t="s">
        <v>3728</v>
      </c>
      <c r="B3704" t="s">
        <v>12</v>
      </c>
      <c r="C3704" t="s">
        <v>13</v>
      </c>
      <c r="D3704">
        <v>20</v>
      </c>
      <c r="E3704" t="s">
        <v>26</v>
      </c>
      <c r="F3704" t="s">
        <v>15</v>
      </c>
      <c r="G3704">
        <v>79.150000000000006</v>
      </c>
      <c r="H3704">
        <v>1520.9</v>
      </c>
      <c r="I3704" t="s">
        <v>16</v>
      </c>
      <c r="J3704" t="s">
        <v>16</v>
      </c>
      <c r="K3704" t="s">
        <v>17</v>
      </c>
      <c r="L3704">
        <v>1520.9</v>
      </c>
      <c r="M3704" t="s">
        <v>5032</v>
      </c>
      <c r="N3704" t="s">
        <v>5031</v>
      </c>
    </row>
    <row r="3705" spans="1:14" x14ac:dyDescent="0.3">
      <c r="A3705" t="s">
        <v>3729</v>
      </c>
      <c r="B3705" t="s">
        <v>19</v>
      </c>
      <c r="C3705" t="s">
        <v>20</v>
      </c>
      <c r="D3705">
        <v>9</v>
      </c>
      <c r="E3705" t="s">
        <v>15</v>
      </c>
      <c r="F3705" t="s">
        <v>36</v>
      </c>
      <c r="G3705">
        <v>20.100000000000001</v>
      </c>
      <c r="H3705">
        <v>190.25</v>
      </c>
      <c r="I3705" t="s">
        <v>15</v>
      </c>
      <c r="J3705" t="s">
        <v>15</v>
      </c>
      <c r="K3705" t="s">
        <v>21</v>
      </c>
      <c r="L3705">
        <v>190.25</v>
      </c>
      <c r="M3705" t="s">
        <v>5030</v>
      </c>
      <c r="N3705" t="s">
        <v>5031</v>
      </c>
    </row>
    <row r="3706" spans="1:14" x14ac:dyDescent="0.3">
      <c r="A3706" t="s">
        <v>3730</v>
      </c>
      <c r="B3706" t="s">
        <v>12</v>
      </c>
      <c r="C3706" t="s">
        <v>20</v>
      </c>
      <c r="D3706">
        <v>68</v>
      </c>
      <c r="E3706" t="s">
        <v>14</v>
      </c>
      <c r="F3706" t="s">
        <v>15</v>
      </c>
      <c r="G3706">
        <v>73</v>
      </c>
      <c r="H3706">
        <v>5163</v>
      </c>
      <c r="I3706" t="s">
        <v>15</v>
      </c>
      <c r="J3706" t="s">
        <v>16</v>
      </c>
      <c r="K3706" t="s">
        <v>29</v>
      </c>
      <c r="L3706">
        <v>5163</v>
      </c>
      <c r="M3706" t="s">
        <v>5033</v>
      </c>
      <c r="N3706" t="s">
        <v>5034</v>
      </c>
    </row>
    <row r="3707" spans="1:14" x14ac:dyDescent="0.3">
      <c r="A3707" t="s">
        <v>3731</v>
      </c>
      <c r="B3707" t="s">
        <v>12</v>
      </c>
      <c r="C3707" t="s">
        <v>35</v>
      </c>
      <c r="D3707">
        <v>69</v>
      </c>
      <c r="E3707" t="s">
        <v>14</v>
      </c>
      <c r="F3707" t="s">
        <v>16</v>
      </c>
      <c r="G3707">
        <v>61.4</v>
      </c>
      <c r="H3707">
        <v>4059.85</v>
      </c>
      <c r="I3707" t="s">
        <v>15</v>
      </c>
      <c r="J3707" t="s">
        <v>15</v>
      </c>
      <c r="K3707" t="s">
        <v>29</v>
      </c>
      <c r="L3707">
        <v>4059.85</v>
      </c>
      <c r="M3707" t="s">
        <v>5033</v>
      </c>
      <c r="N3707" t="s">
        <v>5034</v>
      </c>
    </row>
    <row r="3708" spans="1:14" x14ac:dyDescent="0.3">
      <c r="A3708" t="s">
        <v>3732</v>
      </c>
      <c r="B3708" t="s">
        <v>19</v>
      </c>
      <c r="C3708" t="s">
        <v>13</v>
      </c>
      <c r="D3708">
        <v>26</v>
      </c>
      <c r="E3708" t="s">
        <v>26</v>
      </c>
      <c r="F3708" t="s">
        <v>16</v>
      </c>
      <c r="G3708">
        <v>84.3</v>
      </c>
      <c r="H3708">
        <v>2281.6</v>
      </c>
      <c r="I3708" t="s">
        <v>15</v>
      </c>
      <c r="J3708" t="s">
        <v>16</v>
      </c>
      <c r="K3708" t="s">
        <v>21</v>
      </c>
      <c r="L3708">
        <v>2281.6</v>
      </c>
      <c r="M3708" t="s">
        <v>5032</v>
      </c>
      <c r="N3708" t="s">
        <v>5031</v>
      </c>
    </row>
    <row r="3709" spans="1:14" x14ac:dyDescent="0.3">
      <c r="A3709" t="s">
        <v>3733</v>
      </c>
      <c r="B3709" t="s">
        <v>19</v>
      </c>
      <c r="C3709" t="s">
        <v>35</v>
      </c>
      <c r="D3709">
        <v>69</v>
      </c>
      <c r="E3709" t="s">
        <v>15</v>
      </c>
      <c r="F3709" t="s">
        <v>36</v>
      </c>
      <c r="G3709">
        <v>19.899999999999999</v>
      </c>
      <c r="H3709">
        <v>1356.7</v>
      </c>
      <c r="I3709" t="s">
        <v>15</v>
      </c>
      <c r="J3709" t="s">
        <v>15</v>
      </c>
      <c r="K3709" t="s">
        <v>24</v>
      </c>
      <c r="L3709">
        <v>1356.7</v>
      </c>
      <c r="M3709" t="s">
        <v>5033</v>
      </c>
      <c r="N3709" t="s">
        <v>5031</v>
      </c>
    </row>
    <row r="3710" spans="1:14" x14ac:dyDescent="0.3">
      <c r="A3710" t="s">
        <v>3734</v>
      </c>
      <c r="B3710" t="s">
        <v>19</v>
      </c>
      <c r="C3710" t="s">
        <v>35</v>
      </c>
      <c r="D3710">
        <v>11</v>
      </c>
      <c r="E3710" t="s">
        <v>15</v>
      </c>
      <c r="F3710" t="s">
        <v>36</v>
      </c>
      <c r="G3710">
        <v>20.399999999999999</v>
      </c>
      <c r="H3710">
        <v>231.45</v>
      </c>
      <c r="I3710" t="s">
        <v>15</v>
      </c>
      <c r="J3710" t="s">
        <v>15</v>
      </c>
      <c r="K3710" t="s">
        <v>21</v>
      </c>
      <c r="L3710">
        <v>231.45</v>
      </c>
      <c r="M3710" t="s">
        <v>5030</v>
      </c>
      <c r="N3710" t="s">
        <v>5031</v>
      </c>
    </row>
    <row r="3711" spans="1:14" x14ac:dyDescent="0.3">
      <c r="A3711" t="s">
        <v>3735</v>
      </c>
      <c r="B3711" t="s">
        <v>19</v>
      </c>
      <c r="C3711" t="s">
        <v>13</v>
      </c>
      <c r="D3711">
        <v>1</v>
      </c>
      <c r="E3711" t="s">
        <v>14</v>
      </c>
      <c r="F3711" t="s">
        <v>15</v>
      </c>
      <c r="G3711">
        <v>50.75</v>
      </c>
      <c r="H3711">
        <v>50.75</v>
      </c>
      <c r="I3711" t="s">
        <v>15</v>
      </c>
      <c r="J3711" t="s">
        <v>15</v>
      </c>
      <c r="K3711" t="s">
        <v>21</v>
      </c>
      <c r="L3711">
        <v>50.75</v>
      </c>
      <c r="M3711" t="s">
        <v>5030</v>
      </c>
      <c r="N3711" t="s">
        <v>5031</v>
      </c>
    </row>
    <row r="3712" spans="1:14" x14ac:dyDescent="0.3">
      <c r="A3712" t="s">
        <v>3736</v>
      </c>
      <c r="B3712" t="s">
        <v>19</v>
      </c>
      <c r="C3712" t="s">
        <v>20</v>
      </c>
      <c r="D3712">
        <v>10</v>
      </c>
      <c r="E3712" t="s">
        <v>15</v>
      </c>
      <c r="F3712" t="s">
        <v>36</v>
      </c>
      <c r="G3712">
        <v>20.45</v>
      </c>
      <c r="H3712">
        <v>242.4</v>
      </c>
      <c r="I3712" t="s">
        <v>15</v>
      </c>
      <c r="J3712" t="s">
        <v>15</v>
      </c>
      <c r="K3712" t="s">
        <v>21</v>
      </c>
      <c r="L3712">
        <v>242.4</v>
      </c>
      <c r="M3712" t="s">
        <v>5030</v>
      </c>
      <c r="N3712" t="s">
        <v>5031</v>
      </c>
    </row>
    <row r="3713" spans="1:14" x14ac:dyDescent="0.3">
      <c r="A3713" t="s">
        <v>3737</v>
      </c>
      <c r="B3713" t="s">
        <v>12</v>
      </c>
      <c r="C3713" t="s">
        <v>20</v>
      </c>
      <c r="D3713">
        <v>55</v>
      </c>
      <c r="E3713" t="s">
        <v>14</v>
      </c>
      <c r="F3713" t="s">
        <v>16</v>
      </c>
      <c r="G3713">
        <v>75.75</v>
      </c>
      <c r="H3713">
        <v>4264.25</v>
      </c>
      <c r="I3713" t="s">
        <v>15</v>
      </c>
      <c r="J3713" t="s">
        <v>16</v>
      </c>
      <c r="K3713" t="s">
        <v>24</v>
      </c>
      <c r="L3713">
        <v>4264.25</v>
      </c>
      <c r="M3713" t="s">
        <v>5033</v>
      </c>
      <c r="N3713" t="s">
        <v>5034</v>
      </c>
    </row>
    <row r="3714" spans="1:14" x14ac:dyDescent="0.3">
      <c r="A3714" t="s">
        <v>3738</v>
      </c>
      <c r="B3714" t="s">
        <v>19</v>
      </c>
      <c r="C3714" t="s">
        <v>20</v>
      </c>
      <c r="D3714">
        <v>44</v>
      </c>
      <c r="E3714" t="s">
        <v>14</v>
      </c>
      <c r="F3714" t="s">
        <v>16</v>
      </c>
      <c r="G3714">
        <v>65.400000000000006</v>
      </c>
      <c r="H3714">
        <v>2774.55</v>
      </c>
      <c r="I3714" t="s">
        <v>15</v>
      </c>
      <c r="J3714" t="s">
        <v>15</v>
      </c>
      <c r="K3714" t="s">
        <v>17</v>
      </c>
      <c r="L3714">
        <v>2774.55</v>
      </c>
      <c r="M3714" t="s">
        <v>5033</v>
      </c>
      <c r="N3714" t="s">
        <v>5034</v>
      </c>
    </row>
    <row r="3715" spans="1:14" x14ac:dyDescent="0.3">
      <c r="A3715" t="s">
        <v>3739</v>
      </c>
      <c r="B3715" t="s">
        <v>19</v>
      </c>
      <c r="C3715" t="s">
        <v>13</v>
      </c>
      <c r="D3715">
        <v>46</v>
      </c>
      <c r="E3715" t="s">
        <v>26</v>
      </c>
      <c r="F3715" t="s">
        <v>15</v>
      </c>
      <c r="G3715">
        <v>80.400000000000006</v>
      </c>
      <c r="H3715">
        <v>3605.2</v>
      </c>
      <c r="I3715" t="s">
        <v>16</v>
      </c>
      <c r="J3715" t="s">
        <v>16</v>
      </c>
      <c r="K3715" t="s">
        <v>17</v>
      </c>
      <c r="L3715">
        <v>3605.2</v>
      </c>
      <c r="M3715" t="s">
        <v>5033</v>
      </c>
      <c r="N3715" t="s">
        <v>5034</v>
      </c>
    </row>
    <row r="3716" spans="1:14" x14ac:dyDescent="0.3">
      <c r="A3716" t="s">
        <v>3740</v>
      </c>
      <c r="B3716" t="s">
        <v>19</v>
      </c>
      <c r="C3716" t="s">
        <v>35</v>
      </c>
      <c r="D3716">
        <v>69</v>
      </c>
      <c r="E3716" t="s">
        <v>14</v>
      </c>
      <c r="F3716" t="s">
        <v>15</v>
      </c>
      <c r="G3716">
        <v>59.75</v>
      </c>
      <c r="H3716">
        <v>4069.9</v>
      </c>
      <c r="I3716" t="s">
        <v>15</v>
      </c>
      <c r="J3716" t="s">
        <v>16</v>
      </c>
      <c r="K3716" t="s">
        <v>24</v>
      </c>
      <c r="L3716">
        <v>4069.9</v>
      </c>
      <c r="M3716" t="s">
        <v>5033</v>
      </c>
      <c r="N3716" t="s">
        <v>5034</v>
      </c>
    </row>
    <row r="3717" spans="1:14" x14ac:dyDescent="0.3">
      <c r="A3717" t="s">
        <v>3741</v>
      </c>
      <c r="B3717" t="s">
        <v>19</v>
      </c>
      <c r="C3717" t="s">
        <v>13</v>
      </c>
      <c r="D3717">
        <v>11</v>
      </c>
      <c r="E3717" t="s">
        <v>26</v>
      </c>
      <c r="F3717" t="s">
        <v>15</v>
      </c>
      <c r="G3717">
        <v>78.5</v>
      </c>
      <c r="H3717">
        <v>874.2</v>
      </c>
      <c r="I3717" t="s">
        <v>15</v>
      </c>
      <c r="J3717" t="s">
        <v>16</v>
      </c>
      <c r="K3717" t="s">
        <v>17</v>
      </c>
      <c r="L3717">
        <v>874.2</v>
      </c>
      <c r="M3717" t="s">
        <v>5030</v>
      </c>
      <c r="N3717" t="s">
        <v>5031</v>
      </c>
    </row>
    <row r="3718" spans="1:14" x14ac:dyDescent="0.3">
      <c r="A3718" t="s">
        <v>3742</v>
      </c>
      <c r="B3718" t="s">
        <v>12</v>
      </c>
      <c r="C3718" t="s">
        <v>13</v>
      </c>
      <c r="D3718">
        <v>11</v>
      </c>
      <c r="E3718" t="s">
        <v>26</v>
      </c>
      <c r="F3718" t="s">
        <v>15</v>
      </c>
      <c r="G3718">
        <v>102</v>
      </c>
      <c r="H3718">
        <v>1145.3499999999999</v>
      </c>
      <c r="I3718" t="s">
        <v>16</v>
      </c>
      <c r="J3718" t="s">
        <v>16</v>
      </c>
      <c r="K3718" t="s">
        <v>17</v>
      </c>
      <c r="L3718">
        <v>1145.3499999999999</v>
      </c>
      <c r="M3718" t="s">
        <v>5030</v>
      </c>
      <c r="N3718" t="s">
        <v>5031</v>
      </c>
    </row>
    <row r="3719" spans="1:14" x14ac:dyDescent="0.3">
      <c r="A3719" t="s">
        <v>3743</v>
      </c>
      <c r="B3719" t="s">
        <v>19</v>
      </c>
      <c r="C3719" t="s">
        <v>13</v>
      </c>
      <c r="D3719">
        <v>29</v>
      </c>
      <c r="E3719" t="s">
        <v>14</v>
      </c>
      <c r="F3719" t="s">
        <v>15</v>
      </c>
      <c r="G3719">
        <v>48.95</v>
      </c>
      <c r="H3719">
        <v>1323.7</v>
      </c>
      <c r="I3719" t="s">
        <v>15</v>
      </c>
      <c r="J3719" t="s">
        <v>15</v>
      </c>
      <c r="K3719" t="s">
        <v>24</v>
      </c>
      <c r="L3719">
        <v>1323.7</v>
      </c>
      <c r="M3719" t="s">
        <v>5032</v>
      </c>
      <c r="N3719" t="s">
        <v>5031</v>
      </c>
    </row>
    <row r="3720" spans="1:14" x14ac:dyDescent="0.3">
      <c r="A3720" t="s">
        <v>3744</v>
      </c>
      <c r="B3720" t="s">
        <v>12</v>
      </c>
      <c r="C3720" t="s">
        <v>13</v>
      </c>
      <c r="D3720">
        <v>57</v>
      </c>
      <c r="E3720" t="s">
        <v>26</v>
      </c>
      <c r="F3720" t="s">
        <v>15</v>
      </c>
      <c r="G3720">
        <v>99.65</v>
      </c>
      <c r="H3720">
        <v>5497.05</v>
      </c>
      <c r="I3720" t="s">
        <v>15</v>
      </c>
      <c r="J3720" t="s">
        <v>16</v>
      </c>
      <c r="K3720" t="s">
        <v>17</v>
      </c>
      <c r="L3720">
        <v>5497.05</v>
      </c>
      <c r="M3720" t="s">
        <v>5033</v>
      </c>
      <c r="N3720" t="s">
        <v>5034</v>
      </c>
    </row>
    <row r="3721" spans="1:14" x14ac:dyDescent="0.3">
      <c r="A3721" t="s">
        <v>3745</v>
      </c>
      <c r="B3721" t="s">
        <v>19</v>
      </c>
      <c r="C3721" t="s">
        <v>20</v>
      </c>
      <c r="D3721">
        <v>28</v>
      </c>
      <c r="E3721" t="s">
        <v>15</v>
      </c>
      <c r="F3721" t="s">
        <v>36</v>
      </c>
      <c r="G3721">
        <v>18.25</v>
      </c>
      <c r="H3721">
        <v>534.70000000000005</v>
      </c>
      <c r="I3721" t="s">
        <v>15</v>
      </c>
      <c r="J3721" t="s">
        <v>15</v>
      </c>
      <c r="K3721" t="s">
        <v>29</v>
      </c>
      <c r="L3721">
        <v>534.70000000000005</v>
      </c>
      <c r="M3721" t="s">
        <v>5032</v>
      </c>
      <c r="N3721" t="s">
        <v>5031</v>
      </c>
    </row>
    <row r="3722" spans="1:14" x14ac:dyDescent="0.3">
      <c r="A3722" t="s">
        <v>3746</v>
      </c>
      <c r="B3722" t="s">
        <v>12</v>
      </c>
      <c r="C3722" t="s">
        <v>13</v>
      </c>
      <c r="D3722">
        <v>42</v>
      </c>
      <c r="E3722" t="s">
        <v>14</v>
      </c>
      <c r="F3722" t="s">
        <v>15</v>
      </c>
      <c r="G3722">
        <v>54.55</v>
      </c>
      <c r="H3722">
        <v>2455.0500000000002</v>
      </c>
      <c r="I3722" t="s">
        <v>15</v>
      </c>
      <c r="J3722" t="s">
        <v>15</v>
      </c>
      <c r="K3722" t="s">
        <v>29</v>
      </c>
      <c r="L3722">
        <v>2455.0500000000002</v>
      </c>
      <c r="M3722" t="s">
        <v>5033</v>
      </c>
      <c r="N3722" t="s">
        <v>5031</v>
      </c>
    </row>
    <row r="3723" spans="1:14" x14ac:dyDescent="0.3">
      <c r="A3723" t="s">
        <v>3747</v>
      </c>
      <c r="B3723" t="s">
        <v>12</v>
      </c>
      <c r="C3723" t="s">
        <v>13</v>
      </c>
      <c r="D3723">
        <v>2</v>
      </c>
      <c r="E3723" t="s">
        <v>15</v>
      </c>
      <c r="F3723" t="s">
        <v>36</v>
      </c>
      <c r="G3723">
        <v>20.65</v>
      </c>
      <c r="H3723">
        <v>38.700000000000003</v>
      </c>
      <c r="I3723" t="s">
        <v>16</v>
      </c>
      <c r="J3723" t="s">
        <v>15</v>
      </c>
      <c r="K3723" t="s">
        <v>21</v>
      </c>
      <c r="L3723">
        <v>38.700000000000003</v>
      </c>
      <c r="M3723" t="s">
        <v>5030</v>
      </c>
      <c r="N3723" t="s">
        <v>5031</v>
      </c>
    </row>
    <row r="3724" spans="1:14" x14ac:dyDescent="0.3">
      <c r="A3724" t="s">
        <v>3748</v>
      </c>
      <c r="B3724" t="s">
        <v>19</v>
      </c>
      <c r="C3724" t="s">
        <v>20</v>
      </c>
      <c r="D3724">
        <v>23</v>
      </c>
      <c r="E3724" t="s">
        <v>14</v>
      </c>
      <c r="F3724" t="s">
        <v>16</v>
      </c>
      <c r="G3724">
        <v>40.65</v>
      </c>
      <c r="H3724">
        <v>947.4</v>
      </c>
      <c r="I3724" t="s">
        <v>15</v>
      </c>
      <c r="J3724" t="s">
        <v>15</v>
      </c>
      <c r="K3724" t="s">
        <v>24</v>
      </c>
      <c r="L3724">
        <v>947.4</v>
      </c>
      <c r="M3724" t="s">
        <v>5032</v>
      </c>
      <c r="N3724" t="s">
        <v>5031</v>
      </c>
    </row>
    <row r="3725" spans="1:14" x14ac:dyDescent="0.3">
      <c r="A3725" t="s">
        <v>3749</v>
      </c>
      <c r="B3725" t="s">
        <v>12</v>
      </c>
      <c r="C3725" t="s">
        <v>13</v>
      </c>
      <c r="D3725">
        <v>18</v>
      </c>
      <c r="E3725" t="s">
        <v>15</v>
      </c>
      <c r="F3725" t="s">
        <v>36</v>
      </c>
      <c r="G3725">
        <v>20.45</v>
      </c>
      <c r="H3725">
        <v>357</v>
      </c>
      <c r="I3725" t="s">
        <v>15</v>
      </c>
      <c r="J3725" t="s">
        <v>15</v>
      </c>
      <c r="K3725" t="s">
        <v>21</v>
      </c>
      <c r="L3725">
        <v>357</v>
      </c>
      <c r="M3725" t="s">
        <v>5032</v>
      </c>
      <c r="N3725" t="s">
        <v>5031</v>
      </c>
    </row>
    <row r="3726" spans="1:14" x14ac:dyDescent="0.3">
      <c r="A3726" t="s">
        <v>3750</v>
      </c>
      <c r="B3726" t="s">
        <v>19</v>
      </c>
      <c r="C3726" t="s">
        <v>20</v>
      </c>
      <c r="D3726">
        <v>62</v>
      </c>
      <c r="E3726" t="s">
        <v>15</v>
      </c>
      <c r="F3726" t="s">
        <v>36</v>
      </c>
      <c r="G3726">
        <v>24.8</v>
      </c>
      <c r="H3726">
        <v>1476.25</v>
      </c>
      <c r="I3726" t="s">
        <v>15</v>
      </c>
      <c r="J3726" t="s">
        <v>15</v>
      </c>
      <c r="K3726" t="s">
        <v>24</v>
      </c>
      <c r="L3726">
        <v>1476.25</v>
      </c>
      <c r="M3726" t="s">
        <v>5033</v>
      </c>
      <c r="N3726" t="s">
        <v>5031</v>
      </c>
    </row>
    <row r="3727" spans="1:14" x14ac:dyDescent="0.3">
      <c r="A3727" t="s">
        <v>3751</v>
      </c>
      <c r="B3727" t="s">
        <v>12</v>
      </c>
      <c r="C3727" t="s">
        <v>13</v>
      </c>
      <c r="D3727">
        <v>1</v>
      </c>
      <c r="E3727" t="s">
        <v>26</v>
      </c>
      <c r="F3727" t="s">
        <v>15</v>
      </c>
      <c r="G3727">
        <v>70.8</v>
      </c>
      <c r="H3727">
        <v>70.8</v>
      </c>
      <c r="I3727" t="s">
        <v>16</v>
      </c>
      <c r="J3727" t="s">
        <v>16</v>
      </c>
      <c r="K3727" t="s">
        <v>21</v>
      </c>
      <c r="L3727">
        <v>70.8</v>
      </c>
      <c r="M3727" t="s">
        <v>5030</v>
      </c>
      <c r="N3727" t="s">
        <v>5031</v>
      </c>
    </row>
    <row r="3728" spans="1:14" x14ac:dyDescent="0.3">
      <c r="A3728" t="s">
        <v>3752</v>
      </c>
      <c r="B3728" t="s">
        <v>19</v>
      </c>
      <c r="C3728" t="s">
        <v>13</v>
      </c>
      <c r="D3728">
        <v>16</v>
      </c>
      <c r="E3728" t="s">
        <v>26</v>
      </c>
      <c r="F3728" t="s">
        <v>16</v>
      </c>
      <c r="G3728">
        <v>89.05</v>
      </c>
      <c r="H3728">
        <v>1448.6</v>
      </c>
      <c r="I3728" t="s">
        <v>16</v>
      </c>
      <c r="J3728" t="s">
        <v>16</v>
      </c>
      <c r="K3728" t="s">
        <v>29</v>
      </c>
      <c r="L3728">
        <v>1448.6</v>
      </c>
      <c r="M3728" t="s">
        <v>5032</v>
      </c>
      <c r="N3728" t="s">
        <v>5031</v>
      </c>
    </row>
    <row r="3729" spans="1:14" x14ac:dyDescent="0.3">
      <c r="A3729" t="s">
        <v>3753</v>
      </c>
      <c r="B3729" t="s">
        <v>12</v>
      </c>
      <c r="C3729" t="s">
        <v>13</v>
      </c>
      <c r="D3729">
        <v>3</v>
      </c>
      <c r="E3729" t="s">
        <v>26</v>
      </c>
      <c r="F3729" t="s">
        <v>15</v>
      </c>
      <c r="G3729">
        <v>96.6</v>
      </c>
      <c r="H3729">
        <v>291.89999999999998</v>
      </c>
      <c r="I3729" t="s">
        <v>16</v>
      </c>
      <c r="J3729" t="s">
        <v>16</v>
      </c>
      <c r="K3729" t="s">
        <v>17</v>
      </c>
      <c r="L3729">
        <v>291.89999999999998</v>
      </c>
      <c r="M3729" t="s">
        <v>5030</v>
      </c>
      <c r="N3729" t="s">
        <v>5031</v>
      </c>
    </row>
    <row r="3730" spans="1:14" x14ac:dyDescent="0.3">
      <c r="A3730" t="s">
        <v>3754</v>
      </c>
      <c r="B3730" t="s">
        <v>19</v>
      </c>
      <c r="C3730" t="s">
        <v>20</v>
      </c>
      <c r="D3730">
        <v>67</v>
      </c>
      <c r="E3730" t="s">
        <v>14</v>
      </c>
      <c r="F3730" t="s">
        <v>16</v>
      </c>
      <c r="G3730">
        <v>88.8</v>
      </c>
      <c r="H3730">
        <v>5903.15</v>
      </c>
      <c r="I3730" t="s">
        <v>15</v>
      </c>
      <c r="J3730" t="s">
        <v>16</v>
      </c>
      <c r="K3730" t="s">
        <v>24</v>
      </c>
      <c r="L3730">
        <v>5903.15</v>
      </c>
      <c r="M3730" t="s">
        <v>5033</v>
      </c>
      <c r="N3730" t="s">
        <v>5034</v>
      </c>
    </row>
    <row r="3731" spans="1:14" x14ac:dyDescent="0.3">
      <c r="A3731" t="s">
        <v>3755</v>
      </c>
      <c r="B3731" t="s">
        <v>19</v>
      </c>
      <c r="C3731" t="s">
        <v>35</v>
      </c>
      <c r="D3731">
        <v>62</v>
      </c>
      <c r="E3731" t="s">
        <v>15</v>
      </c>
      <c r="F3731" t="s">
        <v>36</v>
      </c>
      <c r="G3731">
        <v>20.05</v>
      </c>
      <c r="H3731">
        <v>1201.6500000000001</v>
      </c>
      <c r="I3731" t="s">
        <v>15</v>
      </c>
      <c r="J3731" t="s">
        <v>16</v>
      </c>
      <c r="K3731" t="s">
        <v>29</v>
      </c>
      <c r="L3731">
        <v>1201.6500000000001</v>
      </c>
      <c r="M3731" t="s">
        <v>5033</v>
      </c>
      <c r="N3731" t="s">
        <v>5031</v>
      </c>
    </row>
    <row r="3732" spans="1:14" x14ac:dyDescent="0.3">
      <c r="A3732" t="s">
        <v>3756</v>
      </c>
      <c r="B3732" t="s">
        <v>12</v>
      </c>
      <c r="C3732" t="s">
        <v>13</v>
      </c>
      <c r="D3732">
        <v>57</v>
      </c>
      <c r="E3732" t="s">
        <v>26</v>
      </c>
      <c r="F3732" t="s">
        <v>15</v>
      </c>
      <c r="G3732">
        <v>104.5</v>
      </c>
      <c r="H3732">
        <v>5921.35</v>
      </c>
      <c r="I3732" t="s">
        <v>16</v>
      </c>
      <c r="J3732" t="s">
        <v>16</v>
      </c>
      <c r="K3732" t="s">
        <v>29</v>
      </c>
      <c r="L3732">
        <v>5921.35</v>
      </c>
      <c r="M3732" t="s">
        <v>5033</v>
      </c>
      <c r="N3732" t="s">
        <v>5034</v>
      </c>
    </row>
    <row r="3733" spans="1:14" x14ac:dyDescent="0.3">
      <c r="A3733" t="s">
        <v>3757</v>
      </c>
      <c r="B3733" t="s">
        <v>19</v>
      </c>
      <c r="C3733" t="s">
        <v>13</v>
      </c>
      <c r="D3733">
        <v>2</v>
      </c>
      <c r="E3733" t="s">
        <v>26</v>
      </c>
      <c r="F3733" t="s">
        <v>15</v>
      </c>
      <c r="G3733">
        <v>69.8</v>
      </c>
      <c r="H3733">
        <v>146.65</v>
      </c>
      <c r="I3733" t="s">
        <v>15</v>
      </c>
      <c r="J3733" t="s">
        <v>16</v>
      </c>
      <c r="K3733" t="s">
        <v>17</v>
      </c>
      <c r="L3733">
        <v>146.65</v>
      </c>
      <c r="M3733" t="s">
        <v>5030</v>
      </c>
      <c r="N3733" t="s">
        <v>5031</v>
      </c>
    </row>
    <row r="3734" spans="1:14" x14ac:dyDescent="0.3">
      <c r="A3734" t="s">
        <v>3758</v>
      </c>
      <c r="B3734" t="s">
        <v>12</v>
      </c>
      <c r="C3734" t="s">
        <v>35</v>
      </c>
      <c r="D3734">
        <v>23</v>
      </c>
      <c r="E3734" t="s">
        <v>14</v>
      </c>
      <c r="F3734" t="s">
        <v>16</v>
      </c>
      <c r="G3734">
        <v>77.150000000000006</v>
      </c>
      <c r="H3734">
        <v>1759.4</v>
      </c>
      <c r="I3734" t="s">
        <v>15</v>
      </c>
      <c r="J3734" t="s">
        <v>16</v>
      </c>
      <c r="K3734" t="s">
        <v>24</v>
      </c>
      <c r="L3734">
        <v>1759.4</v>
      </c>
      <c r="M3734" t="s">
        <v>5032</v>
      </c>
      <c r="N3734" t="s">
        <v>5031</v>
      </c>
    </row>
    <row r="3735" spans="1:14" x14ac:dyDescent="0.3">
      <c r="A3735" t="s">
        <v>3759</v>
      </c>
      <c r="B3735" t="s">
        <v>12</v>
      </c>
      <c r="C3735" t="s">
        <v>35</v>
      </c>
      <c r="D3735">
        <v>25</v>
      </c>
      <c r="E3735" t="s">
        <v>14</v>
      </c>
      <c r="F3735" t="s">
        <v>16</v>
      </c>
      <c r="G3735">
        <v>35.049999999999997</v>
      </c>
      <c r="H3735">
        <v>844.45</v>
      </c>
      <c r="I3735" t="s">
        <v>15</v>
      </c>
      <c r="J3735" t="s">
        <v>15</v>
      </c>
      <c r="K3735" t="s">
        <v>24</v>
      </c>
      <c r="L3735">
        <v>844.45</v>
      </c>
      <c r="M3735" t="s">
        <v>5032</v>
      </c>
      <c r="N3735" t="s">
        <v>5031</v>
      </c>
    </row>
    <row r="3736" spans="1:14" x14ac:dyDescent="0.3">
      <c r="A3736" t="s">
        <v>3760</v>
      </c>
      <c r="B3736" t="s">
        <v>12</v>
      </c>
      <c r="C3736" t="s">
        <v>35</v>
      </c>
      <c r="D3736">
        <v>72</v>
      </c>
      <c r="E3736" t="s">
        <v>26</v>
      </c>
      <c r="F3736" t="s">
        <v>16</v>
      </c>
      <c r="G3736">
        <v>108.1</v>
      </c>
      <c r="H3736">
        <v>7774.05</v>
      </c>
      <c r="I3736" t="s">
        <v>15</v>
      </c>
      <c r="J3736" t="s">
        <v>16</v>
      </c>
      <c r="K3736" t="s">
        <v>24</v>
      </c>
      <c r="L3736">
        <v>7774.05</v>
      </c>
      <c r="M3736" t="s">
        <v>5033</v>
      </c>
      <c r="N3736" t="s">
        <v>5034</v>
      </c>
    </row>
    <row r="3737" spans="1:14" x14ac:dyDescent="0.3">
      <c r="A3737" t="s">
        <v>3761</v>
      </c>
      <c r="B3737" t="s">
        <v>12</v>
      </c>
      <c r="C3737" t="s">
        <v>13</v>
      </c>
      <c r="D3737">
        <v>2</v>
      </c>
      <c r="E3737" t="s">
        <v>26</v>
      </c>
      <c r="F3737" t="s">
        <v>15</v>
      </c>
      <c r="G3737">
        <v>84.05</v>
      </c>
      <c r="H3737">
        <v>134.05000000000001</v>
      </c>
      <c r="I3737" t="s">
        <v>15</v>
      </c>
      <c r="J3737" t="s">
        <v>16</v>
      </c>
      <c r="K3737" t="s">
        <v>17</v>
      </c>
      <c r="L3737">
        <v>134.05000000000001</v>
      </c>
      <c r="M3737" t="s">
        <v>5030</v>
      </c>
      <c r="N3737" t="s">
        <v>5031</v>
      </c>
    </row>
    <row r="3738" spans="1:14" x14ac:dyDescent="0.3">
      <c r="A3738" t="s">
        <v>3762</v>
      </c>
      <c r="B3738" t="s">
        <v>12</v>
      </c>
      <c r="C3738" t="s">
        <v>20</v>
      </c>
      <c r="D3738">
        <v>8</v>
      </c>
      <c r="E3738" t="s">
        <v>15</v>
      </c>
      <c r="F3738" t="s">
        <v>36</v>
      </c>
      <c r="G3738">
        <v>20.2</v>
      </c>
      <c r="H3738">
        <v>140.94999999999999</v>
      </c>
      <c r="I3738" t="s">
        <v>15</v>
      </c>
      <c r="J3738" t="s">
        <v>16</v>
      </c>
      <c r="K3738" t="s">
        <v>24</v>
      </c>
      <c r="L3738">
        <v>140.94999999999999</v>
      </c>
      <c r="M3738" t="s">
        <v>5030</v>
      </c>
      <c r="N3738" t="s">
        <v>5031</v>
      </c>
    </row>
    <row r="3739" spans="1:14" x14ac:dyDescent="0.3">
      <c r="A3739" t="s">
        <v>3763</v>
      </c>
      <c r="B3739" t="s">
        <v>12</v>
      </c>
      <c r="C3739" t="s">
        <v>13</v>
      </c>
      <c r="D3739">
        <v>5</v>
      </c>
      <c r="E3739" t="s">
        <v>14</v>
      </c>
      <c r="F3739" t="s">
        <v>15</v>
      </c>
      <c r="G3739">
        <v>50.6</v>
      </c>
      <c r="H3739">
        <v>249.95</v>
      </c>
      <c r="I3739" t="s">
        <v>16</v>
      </c>
      <c r="J3739" t="s">
        <v>16</v>
      </c>
      <c r="K3739" t="s">
        <v>21</v>
      </c>
      <c r="L3739">
        <v>249.95</v>
      </c>
      <c r="M3739" t="s">
        <v>5030</v>
      </c>
      <c r="N3739" t="s">
        <v>5031</v>
      </c>
    </row>
    <row r="3740" spans="1:14" x14ac:dyDescent="0.3">
      <c r="A3740" t="s">
        <v>3764</v>
      </c>
      <c r="B3740" t="s">
        <v>19</v>
      </c>
      <c r="C3740" t="s">
        <v>13</v>
      </c>
      <c r="D3740">
        <v>35</v>
      </c>
      <c r="E3740" t="s">
        <v>14</v>
      </c>
      <c r="F3740" t="s">
        <v>15</v>
      </c>
      <c r="G3740">
        <v>49.2</v>
      </c>
      <c r="H3740">
        <v>1701.65</v>
      </c>
      <c r="I3740" t="s">
        <v>15</v>
      </c>
      <c r="J3740" t="s">
        <v>15</v>
      </c>
      <c r="K3740" t="s">
        <v>17</v>
      </c>
      <c r="L3740">
        <v>1701.65</v>
      </c>
      <c r="M3740" t="s">
        <v>5032</v>
      </c>
      <c r="N3740" t="s">
        <v>5031</v>
      </c>
    </row>
    <row r="3741" spans="1:14" x14ac:dyDescent="0.3">
      <c r="A3741" t="s">
        <v>3765</v>
      </c>
      <c r="B3741" t="s">
        <v>19</v>
      </c>
      <c r="C3741" t="s">
        <v>20</v>
      </c>
      <c r="D3741">
        <v>24</v>
      </c>
      <c r="E3741" t="s">
        <v>15</v>
      </c>
      <c r="F3741" t="s">
        <v>36</v>
      </c>
      <c r="G3741">
        <v>24.6</v>
      </c>
      <c r="H3741">
        <v>592.65</v>
      </c>
      <c r="I3741" t="s">
        <v>15</v>
      </c>
      <c r="J3741" t="s">
        <v>15</v>
      </c>
      <c r="K3741" t="s">
        <v>17</v>
      </c>
      <c r="L3741">
        <v>592.65</v>
      </c>
      <c r="M3741" t="s">
        <v>5032</v>
      </c>
      <c r="N3741" t="s">
        <v>5031</v>
      </c>
    </row>
    <row r="3742" spans="1:14" x14ac:dyDescent="0.3">
      <c r="A3742" t="s">
        <v>3766</v>
      </c>
      <c r="B3742" t="s">
        <v>12</v>
      </c>
      <c r="C3742" t="s">
        <v>13</v>
      </c>
      <c r="D3742">
        <v>2</v>
      </c>
      <c r="E3742" t="s">
        <v>26</v>
      </c>
      <c r="F3742" t="s">
        <v>15</v>
      </c>
      <c r="G3742">
        <v>71.650000000000006</v>
      </c>
      <c r="H3742">
        <v>135.75</v>
      </c>
      <c r="I3742" t="s">
        <v>15</v>
      </c>
      <c r="J3742" t="s">
        <v>16</v>
      </c>
      <c r="K3742" t="s">
        <v>17</v>
      </c>
      <c r="L3742">
        <v>135.75</v>
      </c>
      <c r="M3742" t="s">
        <v>5030</v>
      </c>
      <c r="N3742" t="s">
        <v>5031</v>
      </c>
    </row>
    <row r="3743" spans="1:14" x14ac:dyDescent="0.3">
      <c r="A3743" t="s">
        <v>3767</v>
      </c>
      <c r="B3743" t="s">
        <v>19</v>
      </c>
      <c r="C3743" t="s">
        <v>35</v>
      </c>
      <c r="D3743">
        <v>72</v>
      </c>
      <c r="E3743" t="s">
        <v>26</v>
      </c>
      <c r="F3743" t="s">
        <v>16</v>
      </c>
      <c r="G3743">
        <v>104.9</v>
      </c>
      <c r="H3743">
        <v>7732.65</v>
      </c>
      <c r="I3743" t="s">
        <v>15</v>
      </c>
      <c r="J3743" t="s">
        <v>16</v>
      </c>
      <c r="K3743" t="s">
        <v>29</v>
      </c>
      <c r="L3743">
        <v>7732.65</v>
      </c>
      <c r="M3743" t="s">
        <v>5033</v>
      </c>
      <c r="N3743" t="s">
        <v>5034</v>
      </c>
    </row>
    <row r="3744" spans="1:14" x14ac:dyDescent="0.3">
      <c r="A3744" t="s">
        <v>3768</v>
      </c>
      <c r="B3744" t="s">
        <v>12</v>
      </c>
      <c r="C3744" t="s">
        <v>13</v>
      </c>
      <c r="D3744">
        <v>41</v>
      </c>
      <c r="E3744" t="s">
        <v>26</v>
      </c>
      <c r="F3744" t="s">
        <v>16</v>
      </c>
      <c r="G3744">
        <v>106.5</v>
      </c>
      <c r="H3744">
        <v>4282.3999999999996</v>
      </c>
      <c r="I3744" t="s">
        <v>15</v>
      </c>
      <c r="J3744" t="s">
        <v>16</v>
      </c>
      <c r="K3744" t="s">
        <v>17</v>
      </c>
      <c r="L3744">
        <v>4282.3999999999996</v>
      </c>
      <c r="M3744" t="s">
        <v>5033</v>
      </c>
      <c r="N3744" t="s">
        <v>5034</v>
      </c>
    </row>
    <row r="3745" spans="1:14" x14ac:dyDescent="0.3">
      <c r="A3745" t="s">
        <v>3769</v>
      </c>
      <c r="B3745" t="s">
        <v>19</v>
      </c>
      <c r="C3745" t="s">
        <v>13</v>
      </c>
      <c r="D3745">
        <v>4</v>
      </c>
      <c r="E3745" t="s">
        <v>14</v>
      </c>
      <c r="F3745" t="s">
        <v>15</v>
      </c>
      <c r="G3745">
        <v>49.35</v>
      </c>
      <c r="H3745">
        <v>219.65</v>
      </c>
      <c r="I3745" t="s">
        <v>16</v>
      </c>
      <c r="J3745" t="s">
        <v>15</v>
      </c>
      <c r="K3745" t="s">
        <v>17</v>
      </c>
      <c r="L3745">
        <v>219.65</v>
      </c>
      <c r="M3745" t="s">
        <v>5030</v>
      </c>
      <c r="N3745" t="s">
        <v>5031</v>
      </c>
    </row>
    <row r="3746" spans="1:14" x14ac:dyDescent="0.3">
      <c r="A3746" t="s">
        <v>3770</v>
      </c>
      <c r="B3746" t="s">
        <v>19</v>
      </c>
      <c r="C3746" t="s">
        <v>20</v>
      </c>
      <c r="D3746">
        <v>26</v>
      </c>
      <c r="E3746" t="s">
        <v>26</v>
      </c>
      <c r="F3746" t="s">
        <v>15</v>
      </c>
      <c r="G3746">
        <v>75.5</v>
      </c>
      <c r="H3746">
        <v>2018.1</v>
      </c>
      <c r="I3746" t="s">
        <v>15</v>
      </c>
      <c r="J3746" t="s">
        <v>15</v>
      </c>
      <c r="K3746" t="s">
        <v>24</v>
      </c>
      <c r="L3746">
        <v>2018.1</v>
      </c>
      <c r="M3746" t="s">
        <v>5032</v>
      </c>
      <c r="N3746" t="s">
        <v>5031</v>
      </c>
    </row>
    <row r="3747" spans="1:14" x14ac:dyDescent="0.3">
      <c r="A3747" t="s">
        <v>3771</v>
      </c>
      <c r="B3747" t="s">
        <v>19</v>
      </c>
      <c r="C3747" t="s">
        <v>13</v>
      </c>
      <c r="D3747">
        <v>7</v>
      </c>
      <c r="E3747" t="s">
        <v>26</v>
      </c>
      <c r="F3747" t="s">
        <v>15</v>
      </c>
      <c r="G3747">
        <v>94.25</v>
      </c>
      <c r="H3747">
        <v>669</v>
      </c>
      <c r="I3747" t="s">
        <v>16</v>
      </c>
      <c r="J3747" t="s">
        <v>16</v>
      </c>
      <c r="K3747" t="s">
        <v>17</v>
      </c>
      <c r="L3747">
        <v>669</v>
      </c>
      <c r="M3747" t="s">
        <v>5030</v>
      </c>
      <c r="N3747" t="s">
        <v>5031</v>
      </c>
    </row>
    <row r="3748" spans="1:14" x14ac:dyDescent="0.3">
      <c r="A3748" t="s">
        <v>3772</v>
      </c>
      <c r="B3748" t="s">
        <v>12</v>
      </c>
      <c r="C3748" t="s">
        <v>13</v>
      </c>
      <c r="D3748">
        <v>1</v>
      </c>
      <c r="E3748" t="s">
        <v>26</v>
      </c>
      <c r="F3748" t="s">
        <v>15</v>
      </c>
      <c r="G3748">
        <v>68.95</v>
      </c>
      <c r="H3748">
        <v>68.95</v>
      </c>
      <c r="I3748" t="s">
        <v>16</v>
      </c>
      <c r="J3748" t="s">
        <v>16</v>
      </c>
      <c r="K3748" t="s">
        <v>17</v>
      </c>
      <c r="L3748">
        <v>68.95</v>
      </c>
      <c r="M3748" t="s">
        <v>5030</v>
      </c>
      <c r="N3748" t="s">
        <v>5031</v>
      </c>
    </row>
    <row r="3749" spans="1:14" x14ac:dyDescent="0.3">
      <c r="A3749" t="s">
        <v>3773</v>
      </c>
      <c r="B3749" t="s">
        <v>12</v>
      </c>
      <c r="C3749" t="s">
        <v>13</v>
      </c>
      <c r="D3749">
        <v>4</v>
      </c>
      <c r="E3749" t="s">
        <v>14</v>
      </c>
      <c r="F3749" t="s">
        <v>16</v>
      </c>
      <c r="G3749">
        <v>58.5</v>
      </c>
      <c r="H3749">
        <v>224.85</v>
      </c>
      <c r="I3749" t="s">
        <v>15</v>
      </c>
      <c r="J3749" t="s">
        <v>16</v>
      </c>
      <c r="K3749" t="s">
        <v>21</v>
      </c>
      <c r="L3749">
        <v>224.85</v>
      </c>
      <c r="M3749" t="s">
        <v>5030</v>
      </c>
      <c r="N3749" t="s">
        <v>5031</v>
      </c>
    </row>
    <row r="3750" spans="1:14" x14ac:dyDescent="0.3">
      <c r="A3750" t="s">
        <v>3774</v>
      </c>
      <c r="B3750" t="s">
        <v>19</v>
      </c>
      <c r="C3750" t="s">
        <v>35</v>
      </c>
      <c r="D3750">
        <v>48</v>
      </c>
      <c r="E3750" t="s">
        <v>14</v>
      </c>
      <c r="F3750" t="s">
        <v>16</v>
      </c>
      <c r="G3750">
        <v>78.900000000000006</v>
      </c>
      <c r="H3750">
        <v>3771.5</v>
      </c>
      <c r="I3750" t="s">
        <v>15</v>
      </c>
      <c r="J3750" t="s">
        <v>15</v>
      </c>
      <c r="K3750" t="s">
        <v>29</v>
      </c>
      <c r="L3750">
        <v>3771.5</v>
      </c>
      <c r="M3750" t="s">
        <v>5033</v>
      </c>
      <c r="N3750" t="s">
        <v>5034</v>
      </c>
    </row>
    <row r="3751" spans="1:14" x14ac:dyDescent="0.3">
      <c r="A3751" t="s">
        <v>3775</v>
      </c>
      <c r="B3751" t="s">
        <v>19</v>
      </c>
      <c r="C3751" t="s">
        <v>13</v>
      </c>
      <c r="D3751">
        <v>2</v>
      </c>
      <c r="E3751" t="s">
        <v>26</v>
      </c>
      <c r="F3751" t="s">
        <v>15</v>
      </c>
      <c r="G3751">
        <v>93.85</v>
      </c>
      <c r="H3751">
        <v>196.75</v>
      </c>
      <c r="I3751" t="s">
        <v>16</v>
      </c>
      <c r="J3751" t="s">
        <v>16</v>
      </c>
      <c r="K3751" t="s">
        <v>17</v>
      </c>
      <c r="L3751">
        <v>196.75</v>
      </c>
      <c r="M3751" t="s">
        <v>5030</v>
      </c>
      <c r="N3751" t="s">
        <v>5031</v>
      </c>
    </row>
    <row r="3752" spans="1:14" x14ac:dyDescent="0.3">
      <c r="A3752" t="s">
        <v>3776</v>
      </c>
      <c r="B3752" t="s">
        <v>12</v>
      </c>
      <c r="C3752" t="s">
        <v>20</v>
      </c>
      <c r="D3752">
        <v>12</v>
      </c>
      <c r="E3752" t="s">
        <v>14</v>
      </c>
      <c r="F3752" t="s">
        <v>16</v>
      </c>
      <c r="G3752">
        <v>79.2</v>
      </c>
      <c r="H3752">
        <v>943.85</v>
      </c>
      <c r="I3752" t="s">
        <v>15</v>
      </c>
      <c r="J3752" t="s">
        <v>16</v>
      </c>
      <c r="K3752" t="s">
        <v>17</v>
      </c>
      <c r="L3752">
        <v>943.85</v>
      </c>
      <c r="M3752" t="s">
        <v>5030</v>
      </c>
      <c r="N3752" t="s">
        <v>5031</v>
      </c>
    </row>
    <row r="3753" spans="1:14" x14ac:dyDescent="0.3">
      <c r="A3753" t="s">
        <v>3777</v>
      </c>
      <c r="B3753" t="s">
        <v>19</v>
      </c>
      <c r="C3753" t="s">
        <v>13</v>
      </c>
      <c r="D3753">
        <v>60</v>
      </c>
      <c r="E3753" t="s">
        <v>26</v>
      </c>
      <c r="F3753" t="s">
        <v>16</v>
      </c>
      <c r="G3753">
        <v>109.45</v>
      </c>
      <c r="H3753">
        <v>6572.85</v>
      </c>
      <c r="I3753" t="s">
        <v>15</v>
      </c>
      <c r="J3753" t="s">
        <v>16</v>
      </c>
      <c r="K3753" t="s">
        <v>24</v>
      </c>
      <c r="L3753">
        <v>6572.85</v>
      </c>
      <c r="M3753" t="s">
        <v>5033</v>
      </c>
      <c r="N3753" t="s">
        <v>5034</v>
      </c>
    </row>
    <row r="3754" spans="1:14" x14ac:dyDescent="0.3">
      <c r="A3754" t="s">
        <v>3778</v>
      </c>
      <c r="B3754" t="s">
        <v>19</v>
      </c>
      <c r="C3754" t="s">
        <v>35</v>
      </c>
      <c r="D3754">
        <v>55</v>
      </c>
      <c r="E3754" t="s">
        <v>14</v>
      </c>
      <c r="F3754" t="s">
        <v>16</v>
      </c>
      <c r="G3754">
        <v>59.2</v>
      </c>
      <c r="H3754">
        <v>3175.85</v>
      </c>
      <c r="I3754" t="s">
        <v>15</v>
      </c>
      <c r="J3754" t="s">
        <v>16</v>
      </c>
      <c r="K3754" t="s">
        <v>17</v>
      </c>
      <c r="L3754">
        <v>3175.85</v>
      </c>
      <c r="M3754" t="s">
        <v>5033</v>
      </c>
      <c r="N3754" t="s">
        <v>5034</v>
      </c>
    </row>
    <row r="3755" spans="1:14" x14ac:dyDescent="0.3">
      <c r="A3755" t="s">
        <v>3779</v>
      </c>
      <c r="B3755" t="s">
        <v>19</v>
      </c>
      <c r="C3755" t="s">
        <v>13</v>
      </c>
      <c r="D3755">
        <v>1</v>
      </c>
      <c r="E3755" t="s">
        <v>14</v>
      </c>
      <c r="F3755" t="s">
        <v>16</v>
      </c>
      <c r="G3755">
        <v>29.15</v>
      </c>
      <c r="H3755">
        <v>29.15</v>
      </c>
      <c r="I3755" t="s">
        <v>15</v>
      </c>
      <c r="J3755" t="s">
        <v>15</v>
      </c>
      <c r="K3755" t="s">
        <v>21</v>
      </c>
      <c r="L3755">
        <v>29.15</v>
      </c>
      <c r="M3755" t="s">
        <v>5030</v>
      </c>
      <c r="N3755" t="s">
        <v>5031</v>
      </c>
    </row>
    <row r="3756" spans="1:14" x14ac:dyDescent="0.3">
      <c r="A3756" t="s">
        <v>3780</v>
      </c>
      <c r="B3756" t="s">
        <v>19</v>
      </c>
      <c r="C3756" t="s">
        <v>13</v>
      </c>
      <c r="D3756">
        <v>1</v>
      </c>
      <c r="E3756" t="s">
        <v>15</v>
      </c>
      <c r="F3756" t="s">
        <v>36</v>
      </c>
      <c r="G3756">
        <v>20.05</v>
      </c>
      <c r="H3756">
        <v>20.05</v>
      </c>
      <c r="I3756" t="s">
        <v>15</v>
      </c>
      <c r="J3756" t="s">
        <v>15</v>
      </c>
      <c r="K3756" t="s">
        <v>21</v>
      </c>
      <c r="L3756">
        <v>20.05</v>
      </c>
      <c r="M3756" t="s">
        <v>5030</v>
      </c>
      <c r="N3756" t="s">
        <v>5031</v>
      </c>
    </row>
    <row r="3757" spans="1:14" x14ac:dyDescent="0.3">
      <c r="A3757" t="s">
        <v>3781</v>
      </c>
      <c r="B3757" t="s">
        <v>19</v>
      </c>
      <c r="C3757" t="s">
        <v>13</v>
      </c>
      <c r="D3757">
        <v>4</v>
      </c>
      <c r="E3757" t="s">
        <v>26</v>
      </c>
      <c r="F3757" t="s">
        <v>15</v>
      </c>
      <c r="G3757">
        <v>76.05</v>
      </c>
      <c r="H3757">
        <v>318.89999999999998</v>
      </c>
      <c r="I3757" t="s">
        <v>16</v>
      </c>
      <c r="J3757" t="s">
        <v>16</v>
      </c>
      <c r="K3757" t="s">
        <v>17</v>
      </c>
      <c r="L3757">
        <v>318.89999999999998</v>
      </c>
      <c r="M3757" t="s">
        <v>5030</v>
      </c>
      <c r="N3757" t="s">
        <v>5031</v>
      </c>
    </row>
    <row r="3758" spans="1:14" x14ac:dyDescent="0.3">
      <c r="A3758" t="s">
        <v>3782</v>
      </c>
      <c r="B3758" t="s">
        <v>19</v>
      </c>
      <c r="C3758" t="s">
        <v>13</v>
      </c>
      <c r="D3758">
        <v>1</v>
      </c>
      <c r="E3758" t="s">
        <v>14</v>
      </c>
      <c r="F3758" t="s">
        <v>15</v>
      </c>
      <c r="G3758">
        <v>24.45</v>
      </c>
      <c r="H3758">
        <v>24.45</v>
      </c>
      <c r="I3758" t="s">
        <v>16</v>
      </c>
      <c r="J3758" t="s">
        <v>16</v>
      </c>
      <c r="K3758" t="s">
        <v>21</v>
      </c>
      <c r="L3758">
        <v>24.45</v>
      </c>
      <c r="M3758" t="s">
        <v>5030</v>
      </c>
      <c r="N3758" t="s">
        <v>5031</v>
      </c>
    </row>
    <row r="3759" spans="1:14" x14ac:dyDescent="0.3">
      <c r="A3759" t="s">
        <v>3783</v>
      </c>
      <c r="B3759" t="s">
        <v>12</v>
      </c>
      <c r="C3759" t="s">
        <v>35</v>
      </c>
      <c r="D3759">
        <v>42</v>
      </c>
      <c r="E3759" t="s">
        <v>14</v>
      </c>
      <c r="F3759" t="s">
        <v>16</v>
      </c>
      <c r="G3759">
        <v>66.5</v>
      </c>
      <c r="H3759">
        <v>2762.75</v>
      </c>
      <c r="I3759" t="s">
        <v>15</v>
      </c>
      <c r="J3759" t="s">
        <v>15</v>
      </c>
      <c r="K3759" t="s">
        <v>29</v>
      </c>
      <c r="L3759">
        <v>2762.75</v>
      </c>
      <c r="M3759" t="s">
        <v>5033</v>
      </c>
      <c r="N3759" t="s">
        <v>5034</v>
      </c>
    </row>
    <row r="3760" spans="1:14" x14ac:dyDescent="0.3">
      <c r="A3760" t="s">
        <v>3784</v>
      </c>
      <c r="B3760" t="s">
        <v>12</v>
      </c>
      <c r="C3760" t="s">
        <v>13</v>
      </c>
      <c r="D3760">
        <v>1</v>
      </c>
      <c r="E3760" t="s">
        <v>14</v>
      </c>
      <c r="F3760" t="s">
        <v>15</v>
      </c>
      <c r="G3760">
        <v>49.55</v>
      </c>
      <c r="H3760">
        <v>49.55</v>
      </c>
      <c r="I3760" t="s">
        <v>15</v>
      </c>
      <c r="J3760" t="s">
        <v>15</v>
      </c>
      <c r="K3760" t="s">
        <v>24</v>
      </c>
      <c r="L3760">
        <v>49.55</v>
      </c>
      <c r="M3760" t="s">
        <v>5030</v>
      </c>
      <c r="N3760" t="s">
        <v>5031</v>
      </c>
    </row>
    <row r="3761" spans="1:14" x14ac:dyDescent="0.3">
      <c r="A3761" t="s">
        <v>3785</v>
      </c>
      <c r="B3761" t="s">
        <v>19</v>
      </c>
      <c r="C3761" t="s">
        <v>13</v>
      </c>
      <c r="D3761">
        <v>7</v>
      </c>
      <c r="E3761" t="s">
        <v>26</v>
      </c>
      <c r="F3761" t="s">
        <v>15</v>
      </c>
      <c r="G3761">
        <v>89.35</v>
      </c>
      <c r="H3761">
        <v>631.85</v>
      </c>
      <c r="I3761" t="s">
        <v>16</v>
      </c>
      <c r="J3761" t="s">
        <v>16</v>
      </c>
      <c r="K3761" t="s">
        <v>29</v>
      </c>
      <c r="L3761">
        <v>631.85</v>
      </c>
      <c r="M3761" t="s">
        <v>5030</v>
      </c>
      <c r="N3761" t="s">
        <v>5031</v>
      </c>
    </row>
    <row r="3762" spans="1:14" x14ac:dyDescent="0.3">
      <c r="A3762" t="s">
        <v>3786</v>
      </c>
      <c r="B3762" t="s">
        <v>19</v>
      </c>
      <c r="C3762" t="s">
        <v>13</v>
      </c>
      <c r="D3762">
        <v>3</v>
      </c>
      <c r="E3762" t="s">
        <v>26</v>
      </c>
      <c r="F3762" t="s">
        <v>15</v>
      </c>
      <c r="G3762">
        <v>73.599999999999994</v>
      </c>
      <c r="H3762">
        <v>232.5</v>
      </c>
      <c r="I3762" t="s">
        <v>15</v>
      </c>
      <c r="J3762" t="s">
        <v>16</v>
      </c>
      <c r="K3762" t="s">
        <v>29</v>
      </c>
      <c r="L3762">
        <v>232.5</v>
      </c>
      <c r="M3762" t="s">
        <v>5030</v>
      </c>
      <c r="N3762" t="s">
        <v>5031</v>
      </c>
    </row>
    <row r="3763" spans="1:14" x14ac:dyDescent="0.3">
      <c r="A3763" t="s">
        <v>3787</v>
      </c>
      <c r="B3763" t="s">
        <v>12</v>
      </c>
      <c r="C3763" t="s">
        <v>35</v>
      </c>
      <c r="D3763">
        <v>72</v>
      </c>
      <c r="E3763" t="s">
        <v>14</v>
      </c>
      <c r="F3763" t="s">
        <v>15</v>
      </c>
      <c r="G3763">
        <v>82.65</v>
      </c>
      <c r="H3763">
        <v>5919.35</v>
      </c>
      <c r="I3763" t="s">
        <v>15</v>
      </c>
      <c r="J3763" t="s">
        <v>16</v>
      </c>
      <c r="K3763" t="s">
        <v>29</v>
      </c>
      <c r="L3763">
        <v>5919.35</v>
      </c>
      <c r="M3763" t="s">
        <v>5033</v>
      </c>
      <c r="N3763" t="s">
        <v>5034</v>
      </c>
    </row>
    <row r="3764" spans="1:14" x14ac:dyDescent="0.3">
      <c r="A3764" t="s">
        <v>3788</v>
      </c>
      <c r="B3764" t="s">
        <v>19</v>
      </c>
      <c r="C3764" t="s">
        <v>13</v>
      </c>
      <c r="D3764">
        <v>15</v>
      </c>
      <c r="E3764" t="s">
        <v>14</v>
      </c>
      <c r="F3764" t="s">
        <v>15</v>
      </c>
      <c r="G3764">
        <v>49</v>
      </c>
      <c r="H3764">
        <v>749.25</v>
      </c>
      <c r="I3764" t="s">
        <v>15</v>
      </c>
      <c r="J3764" t="s">
        <v>16</v>
      </c>
      <c r="K3764" t="s">
        <v>17</v>
      </c>
      <c r="L3764">
        <v>749.25</v>
      </c>
      <c r="M3764" t="s">
        <v>5032</v>
      </c>
      <c r="N3764" t="s">
        <v>5031</v>
      </c>
    </row>
    <row r="3765" spans="1:14" x14ac:dyDescent="0.3">
      <c r="A3765" t="s">
        <v>3789</v>
      </c>
      <c r="B3765" t="s">
        <v>19</v>
      </c>
      <c r="C3765" t="s">
        <v>13</v>
      </c>
      <c r="D3765">
        <v>4</v>
      </c>
      <c r="E3765" t="s">
        <v>26</v>
      </c>
      <c r="F3765" t="s">
        <v>15</v>
      </c>
      <c r="G3765">
        <v>80.349999999999994</v>
      </c>
      <c r="H3765">
        <v>307.39999999999998</v>
      </c>
      <c r="I3765" t="s">
        <v>16</v>
      </c>
      <c r="J3765" t="s">
        <v>16</v>
      </c>
      <c r="K3765" t="s">
        <v>17</v>
      </c>
      <c r="L3765">
        <v>307.39999999999998</v>
      </c>
      <c r="M3765" t="s">
        <v>5030</v>
      </c>
      <c r="N3765" t="s">
        <v>5031</v>
      </c>
    </row>
    <row r="3766" spans="1:14" x14ac:dyDescent="0.3">
      <c r="A3766" t="s">
        <v>3790</v>
      </c>
      <c r="B3766" t="s">
        <v>12</v>
      </c>
      <c r="C3766" t="s">
        <v>20</v>
      </c>
      <c r="D3766">
        <v>11</v>
      </c>
      <c r="E3766" t="s">
        <v>15</v>
      </c>
      <c r="F3766" t="s">
        <v>36</v>
      </c>
      <c r="G3766">
        <v>25.2</v>
      </c>
      <c r="H3766">
        <v>245.15</v>
      </c>
      <c r="I3766" t="s">
        <v>15</v>
      </c>
      <c r="J3766" t="s">
        <v>15</v>
      </c>
      <c r="K3766" t="s">
        <v>17</v>
      </c>
      <c r="L3766">
        <v>245.15</v>
      </c>
      <c r="M3766" t="s">
        <v>5030</v>
      </c>
      <c r="N3766" t="s">
        <v>5031</v>
      </c>
    </row>
    <row r="3767" spans="1:14" x14ac:dyDescent="0.3">
      <c r="A3767" t="s">
        <v>3791</v>
      </c>
      <c r="B3767" t="s">
        <v>12</v>
      </c>
      <c r="C3767" t="s">
        <v>13</v>
      </c>
      <c r="D3767">
        <v>5</v>
      </c>
      <c r="E3767" t="s">
        <v>15</v>
      </c>
      <c r="F3767" t="s">
        <v>36</v>
      </c>
      <c r="G3767">
        <v>25.45</v>
      </c>
      <c r="H3767">
        <v>134.75</v>
      </c>
      <c r="I3767" t="s">
        <v>15</v>
      </c>
      <c r="J3767" t="s">
        <v>15</v>
      </c>
      <c r="K3767" t="s">
        <v>21</v>
      </c>
      <c r="L3767">
        <v>134.75</v>
      </c>
      <c r="M3767" t="s">
        <v>5030</v>
      </c>
      <c r="N3767" t="s">
        <v>5031</v>
      </c>
    </row>
    <row r="3768" spans="1:14" x14ac:dyDescent="0.3">
      <c r="A3768" t="s">
        <v>3792</v>
      </c>
      <c r="B3768" t="s">
        <v>12</v>
      </c>
      <c r="C3768" t="s">
        <v>13</v>
      </c>
      <c r="D3768">
        <v>1</v>
      </c>
      <c r="E3768" t="s">
        <v>14</v>
      </c>
      <c r="F3768" t="s">
        <v>15</v>
      </c>
      <c r="G3768">
        <v>55.8</v>
      </c>
      <c r="H3768">
        <v>55.8</v>
      </c>
      <c r="I3768" t="s">
        <v>16</v>
      </c>
      <c r="J3768" t="s">
        <v>16</v>
      </c>
      <c r="K3768" t="s">
        <v>17</v>
      </c>
      <c r="L3768">
        <v>55.8</v>
      </c>
      <c r="M3768" t="s">
        <v>5030</v>
      </c>
      <c r="N3768" t="s">
        <v>5031</v>
      </c>
    </row>
    <row r="3769" spans="1:14" x14ac:dyDescent="0.3">
      <c r="A3769" t="s">
        <v>3793</v>
      </c>
      <c r="B3769" t="s">
        <v>19</v>
      </c>
      <c r="C3769" t="s">
        <v>35</v>
      </c>
      <c r="D3769">
        <v>72</v>
      </c>
      <c r="E3769" t="s">
        <v>26</v>
      </c>
      <c r="F3769" t="s">
        <v>16</v>
      </c>
      <c r="G3769">
        <v>110.9</v>
      </c>
      <c r="H3769">
        <v>8240.85</v>
      </c>
      <c r="I3769" t="s">
        <v>15</v>
      </c>
      <c r="J3769" t="s">
        <v>16</v>
      </c>
      <c r="K3769" t="s">
        <v>29</v>
      </c>
      <c r="L3769">
        <v>8240.85</v>
      </c>
      <c r="M3769" t="s">
        <v>5033</v>
      </c>
      <c r="N3769" t="s">
        <v>5034</v>
      </c>
    </row>
    <row r="3770" spans="1:14" x14ac:dyDescent="0.3">
      <c r="A3770" t="s">
        <v>3794</v>
      </c>
      <c r="B3770" t="s">
        <v>12</v>
      </c>
      <c r="C3770" t="s">
        <v>13</v>
      </c>
      <c r="D3770">
        <v>55</v>
      </c>
      <c r="E3770" t="s">
        <v>26</v>
      </c>
      <c r="F3770" t="s">
        <v>15</v>
      </c>
      <c r="G3770">
        <v>77.75</v>
      </c>
      <c r="H3770">
        <v>4266.3999999999996</v>
      </c>
      <c r="I3770" t="s">
        <v>15</v>
      </c>
      <c r="J3770" t="s">
        <v>16</v>
      </c>
      <c r="K3770" t="s">
        <v>29</v>
      </c>
      <c r="L3770">
        <v>4266.3999999999996</v>
      </c>
      <c r="M3770" t="s">
        <v>5033</v>
      </c>
      <c r="N3770" t="s">
        <v>5034</v>
      </c>
    </row>
    <row r="3771" spans="1:14" x14ac:dyDescent="0.3">
      <c r="A3771" t="s">
        <v>3795</v>
      </c>
      <c r="B3771" t="s">
        <v>12</v>
      </c>
      <c r="C3771" t="s">
        <v>13</v>
      </c>
      <c r="D3771">
        <v>40</v>
      </c>
      <c r="E3771" t="s">
        <v>15</v>
      </c>
      <c r="F3771" t="s">
        <v>36</v>
      </c>
      <c r="G3771">
        <v>26.2</v>
      </c>
      <c r="H3771">
        <v>1077.5</v>
      </c>
      <c r="I3771" t="s">
        <v>15</v>
      </c>
      <c r="J3771" t="s">
        <v>16</v>
      </c>
      <c r="K3771" t="s">
        <v>17</v>
      </c>
      <c r="L3771">
        <v>1077.5</v>
      </c>
      <c r="M3771" t="s">
        <v>5033</v>
      </c>
      <c r="N3771" t="s">
        <v>5031</v>
      </c>
    </row>
    <row r="3772" spans="1:14" x14ac:dyDescent="0.3">
      <c r="A3772" t="s">
        <v>3796</v>
      </c>
      <c r="B3772" t="s">
        <v>12</v>
      </c>
      <c r="C3772" t="s">
        <v>35</v>
      </c>
      <c r="D3772">
        <v>57</v>
      </c>
      <c r="E3772" t="s">
        <v>15</v>
      </c>
      <c r="F3772" t="s">
        <v>36</v>
      </c>
      <c r="G3772">
        <v>19.899999999999999</v>
      </c>
      <c r="H3772">
        <v>1115.5999999999999</v>
      </c>
      <c r="I3772" t="s">
        <v>15</v>
      </c>
      <c r="J3772" t="s">
        <v>15</v>
      </c>
      <c r="K3772" t="s">
        <v>24</v>
      </c>
      <c r="L3772">
        <v>1115.5999999999999</v>
      </c>
      <c r="M3772" t="s">
        <v>5033</v>
      </c>
      <c r="N3772" t="s">
        <v>5031</v>
      </c>
    </row>
    <row r="3773" spans="1:14" x14ac:dyDescent="0.3">
      <c r="A3773" t="s">
        <v>3797</v>
      </c>
      <c r="B3773" t="s">
        <v>19</v>
      </c>
      <c r="C3773" t="s">
        <v>13</v>
      </c>
      <c r="D3773">
        <v>1</v>
      </c>
      <c r="E3773" t="s">
        <v>26</v>
      </c>
      <c r="F3773" t="s">
        <v>15</v>
      </c>
      <c r="G3773">
        <v>79.05</v>
      </c>
      <c r="H3773">
        <v>79.05</v>
      </c>
      <c r="I3773" t="s">
        <v>16</v>
      </c>
      <c r="J3773" t="s">
        <v>16</v>
      </c>
      <c r="K3773" t="s">
        <v>17</v>
      </c>
      <c r="L3773">
        <v>79.05</v>
      </c>
      <c r="M3773" t="s">
        <v>5030</v>
      </c>
      <c r="N3773" t="s">
        <v>5031</v>
      </c>
    </row>
    <row r="3774" spans="1:14" x14ac:dyDescent="0.3">
      <c r="A3774" t="s">
        <v>3798</v>
      </c>
      <c r="B3774" t="s">
        <v>19</v>
      </c>
      <c r="C3774" t="s">
        <v>13</v>
      </c>
      <c r="D3774">
        <v>1</v>
      </c>
      <c r="E3774" t="s">
        <v>26</v>
      </c>
      <c r="F3774" t="s">
        <v>15</v>
      </c>
      <c r="G3774">
        <v>95</v>
      </c>
      <c r="H3774">
        <v>95</v>
      </c>
      <c r="I3774" t="s">
        <v>16</v>
      </c>
      <c r="J3774" t="s">
        <v>16</v>
      </c>
      <c r="K3774" t="s">
        <v>17</v>
      </c>
      <c r="L3774">
        <v>95</v>
      </c>
      <c r="M3774" t="s">
        <v>5030</v>
      </c>
      <c r="N3774" t="s">
        <v>5031</v>
      </c>
    </row>
    <row r="3775" spans="1:14" x14ac:dyDescent="0.3">
      <c r="A3775" t="s">
        <v>3799</v>
      </c>
      <c r="B3775" t="s">
        <v>12</v>
      </c>
      <c r="C3775" t="s">
        <v>13</v>
      </c>
      <c r="D3775">
        <v>1</v>
      </c>
      <c r="E3775" t="s">
        <v>14</v>
      </c>
      <c r="F3775" t="s">
        <v>15</v>
      </c>
      <c r="G3775">
        <v>25.2</v>
      </c>
      <c r="H3775">
        <v>25.2</v>
      </c>
      <c r="I3775" t="s">
        <v>16</v>
      </c>
      <c r="J3775" t="s">
        <v>15</v>
      </c>
      <c r="K3775" t="s">
        <v>21</v>
      </c>
      <c r="L3775">
        <v>25.2</v>
      </c>
      <c r="M3775" t="s">
        <v>5030</v>
      </c>
      <c r="N3775" t="s">
        <v>5031</v>
      </c>
    </row>
    <row r="3776" spans="1:14" x14ac:dyDescent="0.3">
      <c r="A3776" t="s">
        <v>3800</v>
      </c>
      <c r="B3776" t="s">
        <v>19</v>
      </c>
      <c r="C3776" t="s">
        <v>20</v>
      </c>
      <c r="D3776">
        <v>52</v>
      </c>
      <c r="E3776" t="s">
        <v>14</v>
      </c>
      <c r="F3776" t="s">
        <v>15</v>
      </c>
      <c r="G3776">
        <v>80.849999999999994</v>
      </c>
      <c r="H3776">
        <v>4079.55</v>
      </c>
      <c r="I3776" t="s">
        <v>15</v>
      </c>
      <c r="J3776" t="s">
        <v>16</v>
      </c>
      <c r="K3776" t="s">
        <v>17</v>
      </c>
      <c r="L3776">
        <v>4079.55</v>
      </c>
      <c r="M3776" t="s">
        <v>5033</v>
      </c>
      <c r="N3776" t="s">
        <v>5034</v>
      </c>
    </row>
    <row r="3777" spans="1:14" x14ac:dyDescent="0.3">
      <c r="A3777" t="s">
        <v>3801</v>
      </c>
      <c r="B3777" t="s">
        <v>19</v>
      </c>
      <c r="C3777" t="s">
        <v>13</v>
      </c>
      <c r="D3777">
        <v>41</v>
      </c>
      <c r="E3777" t="s">
        <v>26</v>
      </c>
      <c r="F3777" t="s">
        <v>15</v>
      </c>
      <c r="G3777">
        <v>98.4</v>
      </c>
      <c r="H3777">
        <v>4187.75</v>
      </c>
      <c r="I3777" t="s">
        <v>16</v>
      </c>
      <c r="J3777" t="s">
        <v>16</v>
      </c>
      <c r="K3777" t="s">
        <v>17</v>
      </c>
      <c r="L3777">
        <v>4187.75</v>
      </c>
      <c r="M3777" t="s">
        <v>5033</v>
      </c>
      <c r="N3777" t="s">
        <v>5034</v>
      </c>
    </row>
    <row r="3778" spans="1:14" x14ac:dyDescent="0.3">
      <c r="A3778" t="s">
        <v>3802</v>
      </c>
      <c r="B3778" t="s">
        <v>19</v>
      </c>
      <c r="C3778" t="s">
        <v>20</v>
      </c>
      <c r="D3778">
        <v>43</v>
      </c>
      <c r="E3778" t="s">
        <v>14</v>
      </c>
      <c r="F3778" t="s">
        <v>15</v>
      </c>
      <c r="G3778">
        <v>56.35</v>
      </c>
      <c r="H3778">
        <v>2391.15</v>
      </c>
      <c r="I3778" t="s">
        <v>15</v>
      </c>
      <c r="J3778" t="s">
        <v>16</v>
      </c>
      <c r="K3778" t="s">
        <v>21</v>
      </c>
      <c r="L3778">
        <v>2391.15</v>
      </c>
      <c r="M3778" t="s">
        <v>5033</v>
      </c>
      <c r="N3778" t="s">
        <v>5031</v>
      </c>
    </row>
    <row r="3779" spans="1:14" x14ac:dyDescent="0.3">
      <c r="A3779" t="s">
        <v>3803</v>
      </c>
      <c r="B3779" t="s">
        <v>12</v>
      </c>
      <c r="C3779" t="s">
        <v>35</v>
      </c>
      <c r="D3779">
        <v>47</v>
      </c>
      <c r="E3779" t="s">
        <v>15</v>
      </c>
      <c r="F3779" t="s">
        <v>36</v>
      </c>
      <c r="G3779">
        <v>19.3</v>
      </c>
      <c r="H3779">
        <v>890.5</v>
      </c>
      <c r="I3779" t="s">
        <v>15</v>
      </c>
      <c r="J3779" t="s">
        <v>15</v>
      </c>
      <c r="K3779" t="s">
        <v>24</v>
      </c>
      <c r="L3779">
        <v>890.5</v>
      </c>
      <c r="M3779" t="s">
        <v>5033</v>
      </c>
      <c r="N3779" t="s">
        <v>5031</v>
      </c>
    </row>
    <row r="3780" spans="1:14" x14ac:dyDescent="0.3">
      <c r="A3780" t="s">
        <v>3804</v>
      </c>
      <c r="B3780" t="s">
        <v>19</v>
      </c>
      <c r="C3780" t="s">
        <v>13</v>
      </c>
      <c r="D3780">
        <v>3</v>
      </c>
      <c r="E3780" t="s">
        <v>14</v>
      </c>
      <c r="F3780" t="s">
        <v>15</v>
      </c>
      <c r="G3780">
        <v>50.4</v>
      </c>
      <c r="H3780">
        <v>137.25</v>
      </c>
      <c r="I3780" t="s">
        <v>15</v>
      </c>
      <c r="J3780" t="s">
        <v>15</v>
      </c>
      <c r="K3780" t="s">
        <v>24</v>
      </c>
      <c r="L3780">
        <v>137.25</v>
      </c>
      <c r="M3780" t="s">
        <v>5030</v>
      </c>
      <c r="N3780" t="s">
        <v>5031</v>
      </c>
    </row>
    <row r="3781" spans="1:14" x14ac:dyDescent="0.3">
      <c r="A3781" t="s">
        <v>3805</v>
      </c>
      <c r="B3781" t="s">
        <v>19</v>
      </c>
      <c r="C3781" t="s">
        <v>35</v>
      </c>
      <c r="D3781">
        <v>66</v>
      </c>
      <c r="E3781" t="s">
        <v>14</v>
      </c>
      <c r="F3781" t="s">
        <v>16</v>
      </c>
      <c r="G3781">
        <v>79.400000000000006</v>
      </c>
      <c r="H3781">
        <v>5154.6000000000004</v>
      </c>
      <c r="I3781" t="s">
        <v>16</v>
      </c>
      <c r="J3781" t="s">
        <v>15</v>
      </c>
      <c r="K3781" t="s">
        <v>29</v>
      </c>
      <c r="L3781">
        <v>5154.6000000000004</v>
      </c>
      <c r="M3781" t="s">
        <v>5033</v>
      </c>
      <c r="N3781" t="s">
        <v>5034</v>
      </c>
    </row>
    <row r="3782" spans="1:14" x14ac:dyDescent="0.3">
      <c r="A3782" t="s">
        <v>3806</v>
      </c>
      <c r="B3782" t="s">
        <v>19</v>
      </c>
      <c r="C3782" t="s">
        <v>35</v>
      </c>
      <c r="D3782">
        <v>55</v>
      </c>
      <c r="E3782" t="s">
        <v>14</v>
      </c>
      <c r="F3782" t="s">
        <v>16</v>
      </c>
      <c r="G3782">
        <v>55.25</v>
      </c>
      <c r="H3782">
        <v>3119.9</v>
      </c>
      <c r="I3782" t="s">
        <v>15</v>
      </c>
      <c r="J3782" t="s">
        <v>16</v>
      </c>
      <c r="K3782" t="s">
        <v>29</v>
      </c>
      <c r="L3782">
        <v>3119.9</v>
      </c>
      <c r="M3782" t="s">
        <v>5033</v>
      </c>
      <c r="N3782" t="s">
        <v>5034</v>
      </c>
    </row>
    <row r="3783" spans="1:14" x14ac:dyDescent="0.3">
      <c r="A3783" t="s">
        <v>3807</v>
      </c>
      <c r="B3783" t="s">
        <v>19</v>
      </c>
      <c r="C3783" t="s">
        <v>20</v>
      </c>
      <c r="D3783">
        <v>29</v>
      </c>
      <c r="E3783" t="s">
        <v>15</v>
      </c>
      <c r="F3783" t="s">
        <v>36</v>
      </c>
      <c r="G3783">
        <v>19.100000000000001</v>
      </c>
      <c r="H3783">
        <v>529.5</v>
      </c>
      <c r="I3783" t="s">
        <v>15</v>
      </c>
      <c r="J3783" t="s">
        <v>15</v>
      </c>
      <c r="K3783" t="s">
        <v>21</v>
      </c>
      <c r="L3783">
        <v>529.5</v>
      </c>
      <c r="M3783" t="s">
        <v>5032</v>
      </c>
      <c r="N3783" t="s">
        <v>5031</v>
      </c>
    </row>
    <row r="3784" spans="1:14" x14ac:dyDescent="0.3">
      <c r="A3784" t="s">
        <v>3808</v>
      </c>
      <c r="B3784" t="s">
        <v>12</v>
      </c>
      <c r="C3784" t="s">
        <v>13</v>
      </c>
      <c r="D3784">
        <v>12</v>
      </c>
      <c r="E3784" t="s">
        <v>26</v>
      </c>
      <c r="F3784" t="s">
        <v>15</v>
      </c>
      <c r="G3784">
        <v>84.05</v>
      </c>
      <c r="H3784">
        <v>966.55</v>
      </c>
      <c r="I3784" t="s">
        <v>15</v>
      </c>
      <c r="J3784" t="s">
        <v>16</v>
      </c>
      <c r="K3784" t="s">
        <v>17</v>
      </c>
      <c r="L3784">
        <v>966.55</v>
      </c>
      <c r="M3784" t="s">
        <v>5030</v>
      </c>
      <c r="N3784" t="s">
        <v>5031</v>
      </c>
    </row>
    <row r="3785" spans="1:14" x14ac:dyDescent="0.3">
      <c r="A3785" t="s">
        <v>3809</v>
      </c>
      <c r="B3785" t="s">
        <v>12</v>
      </c>
      <c r="C3785" t="s">
        <v>13</v>
      </c>
      <c r="D3785">
        <v>66</v>
      </c>
      <c r="E3785" t="s">
        <v>26</v>
      </c>
      <c r="F3785" t="s">
        <v>15</v>
      </c>
      <c r="G3785">
        <v>105.2</v>
      </c>
      <c r="H3785">
        <v>6936.85</v>
      </c>
      <c r="I3785" t="s">
        <v>15</v>
      </c>
      <c r="J3785" t="s">
        <v>16</v>
      </c>
      <c r="K3785" t="s">
        <v>17</v>
      </c>
      <c r="L3785">
        <v>6936.85</v>
      </c>
      <c r="M3785" t="s">
        <v>5033</v>
      </c>
      <c r="N3785" t="s">
        <v>5034</v>
      </c>
    </row>
    <row r="3786" spans="1:14" x14ac:dyDescent="0.3">
      <c r="A3786" t="s">
        <v>3810</v>
      </c>
      <c r="B3786" t="s">
        <v>19</v>
      </c>
      <c r="C3786" t="s">
        <v>13</v>
      </c>
      <c r="D3786">
        <v>35</v>
      </c>
      <c r="E3786" t="s">
        <v>26</v>
      </c>
      <c r="F3786" t="s">
        <v>15</v>
      </c>
      <c r="G3786">
        <v>101.4</v>
      </c>
      <c r="H3786">
        <v>3496.3</v>
      </c>
      <c r="I3786" t="s">
        <v>16</v>
      </c>
      <c r="J3786" t="s">
        <v>16</v>
      </c>
      <c r="K3786" t="s">
        <v>17</v>
      </c>
      <c r="L3786">
        <v>3496.3</v>
      </c>
      <c r="M3786" t="s">
        <v>5032</v>
      </c>
      <c r="N3786" t="s">
        <v>5034</v>
      </c>
    </row>
    <row r="3787" spans="1:14" x14ac:dyDescent="0.3">
      <c r="A3787" t="s">
        <v>3811</v>
      </c>
      <c r="B3787" t="s">
        <v>19</v>
      </c>
      <c r="C3787" t="s">
        <v>13</v>
      </c>
      <c r="D3787">
        <v>10</v>
      </c>
      <c r="E3787" t="s">
        <v>26</v>
      </c>
      <c r="F3787" t="s">
        <v>15</v>
      </c>
      <c r="G3787">
        <v>89.8</v>
      </c>
      <c r="H3787">
        <v>914.3</v>
      </c>
      <c r="I3787" t="s">
        <v>16</v>
      </c>
      <c r="J3787" t="s">
        <v>16</v>
      </c>
      <c r="K3787" t="s">
        <v>17</v>
      </c>
      <c r="L3787">
        <v>914.3</v>
      </c>
      <c r="M3787" t="s">
        <v>5030</v>
      </c>
      <c r="N3787" t="s">
        <v>5031</v>
      </c>
    </row>
    <row r="3788" spans="1:14" x14ac:dyDescent="0.3">
      <c r="A3788" t="s">
        <v>3812</v>
      </c>
      <c r="B3788" t="s">
        <v>19</v>
      </c>
      <c r="C3788" t="s">
        <v>13</v>
      </c>
      <c r="D3788">
        <v>27</v>
      </c>
      <c r="E3788" t="s">
        <v>26</v>
      </c>
      <c r="F3788" t="s">
        <v>15</v>
      </c>
      <c r="G3788">
        <v>75.75</v>
      </c>
      <c r="H3788">
        <v>1929</v>
      </c>
      <c r="I3788" t="s">
        <v>15</v>
      </c>
      <c r="J3788" t="s">
        <v>16</v>
      </c>
      <c r="K3788" t="s">
        <v>24</v>
      </c>
      <c r="L3788">
        <v>1929</v>
      </c>
      <c r="M3788" t="s">
        <v>5032</v>
      </c>
      <c r="N3788" t="s">
        <v>5031</v>
      </c>
    </row>
    <row r="3789" spans="1:14" x14ac:dyDescent="0.3">
      <c r="A3789" t="s">
        <v>3813</v>
      </c>
      <c r="B3789" t="s">
        <v>12</v>
      </c>
      <c r="C3789" t="s">
        <v>13</v>
      </c>
      <c r="D3789">
        <v>58</v>
      </c>
      <c r="E3789" t="s">
        <v>26</v>
      </c>
      <c r="F3789" t="s">
        <v>16</v>
      </c>
      <c r="G3789">
        <v>95.3</v>
      </c>
      <c r="H3789">
        <v>5817.7</v>
      </c>
      <c r="I3789" t="s">
        <v>15</v>
      </c>
      <c r="J3789" t="s">
        <v>16</v>
      </c>
      <c r="K3789" t="s">
        <v>17</v>
      </c>
      <c r="L3789">
        <v>5817.7</v>
      </c>
      <c r="M3789" t="s">
        <v>5033</v>
      </c>
      <c r="N3789" t="s">
        <v>5034</v>
      </c>
    </row>
    <row r="3790" spans="1:14" x14ac:dyDescent="0.3">
      <c r="A3790" t="s">
        <v>3814</v>
      </c>
      <c r="B3790" t="s">
        <v>19</v>
      </c>
      <c r="C3790" t="s">
        <v>35</v>
      </c>
      <c r="D3790">
        <v>54</v>
      </c>
      <c r="E3790" t="s">
        <v>26</v>
      </c>
      <c r="F3790" t="s">
        <v>16</v>
      </c>
      <c r="G3790">
        <v>109.75</v>
      </c>
      <c r="H3790">
        <v>6110.2</v>
      </c>
      <c r="I3790" t="s">
        <v>16</v>
      </c>
      <c r="J3790" t="s">
        <v>15</v>
      </c>
      <c r="K3790" t="s">
        <v>24</v>
      </c>
      <c r="L3790">
        <v>6110.2</v>
      </c>
      <c r="M3790" t="s">
        <v>5033</v>
      </c>
      <c r="N3790" t="s">
        <v>5034</v>
      </c>
    </row>
    <row r="3791" spans="1:14" x14ac:dyDescent="0.3">
      <c r="A3791" t="s">
        <v>3815</v>
      </c>
      <c r="B3791" t="s">
        <v>19</v>
      </c>
      <c r="C3791" t="s">
        <v>13</v>
      </c>
      <c r="D3791">
        <v>9</v>
      </c>
      <c r="E3791" t="s">
        <v>15</v>
      </c>
      <c r="F3791" t="s">
        <v>36</v>
      </c>
      <c r="G3791">
        <v>19.850000000000001</v>
      </c>
      <c r="H3791">
        <v>178.8</v>
      </c>
      <c r="I3791" t="s">
        <v>15</v>
      </c>
      <c r="J3791" t="s">
        <v>15</v>
      </c>
      <c r="K3791" t="s">
        <v>21</v>
      </c>
      <c r="L3791">
        <v>178.8</v>
      </c>
      <c r="M3791" t="s">
        <v>5030</v>
      </c>
      <c r="N3791" t="s">
        <v>5031</v>
      </c>
    </row>
    <row r="3792" spans="1:14" x14ac:dyDescent="0.3">
      <c r="A3792" t="s">
        <v>3816</v>
      </c>
      <c r="B3792" t="s">
        <v>19</v>
      </c>
      <c r="C3792" t="s">
        <v>20</v>
      </c>
      <c r="D3792">
        <v>2</v>
      </c>
      <c r="E3792" t="s">
        <v>15</v>
      </c>
      <c r="F3792" t="s">
        <v>36</v>
      </c>
      <c r="G3792">
        <v>19.3</v>
      </c>
      <c r="H3792">
        <v>28.3</v>
      </c>
      <c r="I3792" t="s">
        <v>16</v>
      </c>
      <c r="J3792" t="s">
        <v>15</v>
      </c>
      <c r="K3792" t="s">
        <v>29</v>
      </c>
      <c r="L3792">
        <v>28.3</v>
      </c>
      <c r="M3792" t="s">
        <v>5030</v>
      </c>
      <c r="N3792" t="s">
        <v>5031</v>
      </c>
    </row>
    <row r="3793" spans="1:14" x14ac:dyDescent="0.3">
      <c r="A3793" t="s">
        <v>3817</v>
      </c>
      <c r="B3793" t="s">
        <v>19</v>
      </c>
      <c r="C3793" t="s">
        <v>13</v>
      </c>
      <c r="D3793">
        <v>6</v>
      </c>
      <c r="E3793" t="s">
        <v>26</v>
      </c>
      <c r="F3793" t="s">
        <v>15</v>
      </c>
      <c r="G3793">
        <v>69.099999999999994</v>
      </c>
      <c r="H3793">
        <v>435</v>
      </c>
      <c r="I3793" t="s">
        <v>15</v>
      </c>
      <c r="J3793" t="s">
        <v>16</v>
      </c>
      <c r="K3793" t="s">
        <v>17</v>
      </c>
      <c r="L3793">
        <v>435</v>
      </c>
      <c r="M3793" t="s">
        <v>5030</v>
      </c>
      <c r="N3793" t="s">
        <v>5031</v>
      </c>
    </row>
    <row r="3794" spans="1:14" x14ac:dyDescent="0.3">
      <c r="A3794" t="s">
        <v>3818</v>
      </c>
      <c r="B3794" t="s">
        <v>12</v>
      </c>
      <c r="C3794" t="s">
        <v>13</v>
      </c>
      <c r="D3794">
        <v>26</v>
      </c>
      <c r="E3794" t="s">
        <v>26</v>
      </c>
      <c r="F3794" t="s">
        <v>15</v>
      </c>
      <c r="G3794">
        <v>91.25</v>
      </c>
      <c r="H3794">
        <v>2351.8000000000002</v>
      </c>
      <c r="I3794" t="s">
        <v>16</v>
      </c>
      <c r="J3794" t="s">
        <v>16</v>
      </c>
      <c r="K3794" t="s">
        <v>17</v>
      </c>
      <c r="L3794">
        <v>2351.8000000000002</v>
      </c>
      <c r="M3794" t="s">
        <v>5032</v>
      </c>
      <c r="N3794" t="s">
        <v>5031</v>
      </c>
    </row>
    <row r="3795" spans="1:14" x14ac:dyDescent="0.3">
      <c r="A3795" t="s">
        <v>3819</v>
      </c>
      <c r="B3795" t="s">
        <v>12</v>
      </c>
      <c r="C3795" t="s">
        <v>13</v>
      </c>
      <c r="D3795">
        <v>9</v>
      </c>
      <c r="E3795" t="s">
        <v>15</v>
      </c>
      <c r="F3795" t="s">
        <v>36</v>
      </c>
      <c r="G3795">
        <v>20.25</v>
      </c>
      <c r="H3795">
        <v>186.15</v>
      </c>
      <c r="I3795" t="s">
        <v>15</v>
      </c>
      <c r="J3795" t="s">
        <v>15</v>
      </c>
      <c r="K3795" t="s">
        <v>21</v>
      </c>
      <c r="L3795">
        <v>186.15</v>
      </c>
      <c r="M3795" t="s">
        <v>5030</v>
      </c>
      <c r="N3795" t="s">
        <v>5031</v>
      </c>
    </row>
    <row r="3796" spans="1:14" x14ac:dyDescent="0.3">
      <c r="A3796" t="s">
        <v>3820</v>
      </c>
      <c r="B3796" t="s">
        <v>19</v>
      </c>
      <c r="C3796" t="s">
        <v>13</v>
      </c>
      <c r="D3796">
        <v>8</v>
      </c>
      <c r="E3796" t="s">
        <v>14</v>
      </c>
      <c r="F3796" t="s">
        <v>15</v>
      </c>
      <c r="G3796">
        <v>54.75</v>
      </c>
      <c r="H3796">
        <v>445.85</v>
      </c>
      <c r="I3796" t="s">
        <v>15</v>
      </c>
      <c r="J3796" t="s">
        <v>16</v>
      </c>
      <c r="K3796" t="s">
        <v>21</v>
      </c>
      <c r="L3796">
        <v>445.85</v>
      </c>
      <c r="M3796" t="s">
        <v>5030</v>
      </c>
      <c r="N3796" t="s">
        <v>5031</v>
      </c>
    </row>
    <row r="3797" spans="1:14" x14ac:dyDescent="0.3">
      <c r="A3797" t="s">
        <v>3821</v>
      </c>
      <c r="B3797" t="s">
        <v>19</v>
      </c>
      <c r="C3797" t="s">
        <v>13</v>
      </c>
      <c r="D3797">
        <v>12</v>
      </c>
      <c r="E3797" t="s">
        <v>26</v>
      </c>
      <c r="F3797" t="s">
        <v>15</v>
      </c>
      <c r="G3797">
        <v>81.45</v>
      </c>
      <c r="H3797">
        <v>912</v>
      </c>
      <c r="I3797" t="s">
        <v>15</v>
      </c>
      <c r="J3797" t="s">
        <v>16</v>
      </c>
      <c r="K3797" t="s">
        <v>17</v>
      </c>
      <c r="L3797">
        <v>912</v>
      </c>
      <c r="M3797" t="s">
        <v>5030</v>
      </c>
      <c r="N3797" t="s">
        <v>5031</v>
      </c>
    </row>
    <row r="3798" spans="1:14" x14ac:dyDescent="0.3">
      <c r="A3798" t="s">
        <v>3822</v>
      </c>
      <c r="B3798" t="s">
        <v>12</v>
      </c>
      <c r="C3798" t="s">
        <v>13</v>
      </c>
      <c r="D3798">
        <v>15</v>
      </c>
      <c r="E3798" t="s">
        <v>14</v>
      </c>
      <c r="F3798" t="s">
        <v>15</v>
      </c>
      <c r="G3798">
        <v>49.1</v>
      </c>
      <c r="H3798">
        <v>679.55</v>
      </c>
      <c r="I3798" t="s">
        <v>16</v>
      </c>
      <c r="J3798" t="s">
        <v>16</v>
      </c>
      <c r="K3798" t="s">
        <v>17</v>
      </c>
      <c r="L3798">
        <v>679.55</v>
      </c>
      <c r="M3798" t="s">
        <v>5032</v>
      </c>
      <c r="N3798" t="s">
        <v>5031</v>
      </c>
    </row>
    <row r="3799" spans="1:14" x14ac:dyDescent="0.3">
      <c r="A3799" t="s">
        <v>3823</v>
      </c>
      <c r="B3799" t="s">
        <v>19</v>
      </c>
      <c r="C3799" t="s">
        <v>20</v>
      </c>
      <c r="D3799">
        <v>43</v>
      </c>
      <c r="E3799" t="s">
        <v>14</v>
      </c>
      <c r="F3799" t="s">
        <v>15</v>
      </c>
      <c r="G3799">
        <v>80.2</v>
      </c>
      <c r="H3799">
        <v>3581.6</v>
      </c>
      <c r="I3799" t="s">
        <v>15</v>
      </c>
      <c r="J3799" t="s">
        <v>16</v>
      </c>
      <c r="K3799" t="s">
        <v>17</v>
      </c>
      <c r="L3799">
        <v>3581.6</v>
      </c>
      <c r="M3799" t="s">
        <v>5033</v>
      </c>
      <c r="N3799" t="s">
        <v>5034</v>
      </c>
    </row>
    <row r="3800" spans="1:14" x14ac:dyDescent="0.3">
      <c r="A3800" t="s">
        <v>3824</v>
      </c>
      <c r="B3800" t="s">
        <v>19</v>
      </c>
      <c r="C3800" t="s">
        <v>13</v>
      </c>
      <c r="D3800">
        <v>42</v>
      </c>
      <c r="E3800" t="s">
        <v>26</v>
      </c>
      <c r="F3800" t="s">
        <v>16</v>
      </c>
      <c r="G3800">
        <v>100.3</v>
      </c>
      <c r="H3800">
        <v>4222.95</v>
      </c>
      <c r="I3800" t="s">
        <v>15</v>
      </c>
      <c r="J3800" t="s">
        <v>16</v>
      </c>
      <c r="K3800" t="s">
        <v>17</v>
      </c>
      <c r="L3800">
        <v>4222.95</v>
      </c>
      <c r="M3800" t="s">
        <v>5033</v>
      </c>
      <c r="N3800" t="s">
        <v>5034</v>
      </c>
    </row>
    <row r="3801" spans="1:14" x14ac:dyDescent="0.3">
      <c r="A3801" t="s">
        <v>3825</v>
      </c>
      <c r="B3801" t="s">
        <v>12</v>
      </c>
      <c r="C3801" t="s">
        <v>13</v>
      </c>
      <c r="D3801">
        <v>31</v>
      </c>
      <c r="E3801" t="s">
        <v>14</v>
      </c>
      <c r="F3801" t="s">
        <v>16</v>
      </c>
      <c r="G3801">
        <v>65.25</v>
      </c>
      <c r="H3801">
        <v>1994.3</v>
      </c>
      <c r="I3801" t="s">
        <v>16</v>
      </c>
      <c r="J3801" t="s">
        <v>15</v>
      </c>
      <c r="K3801" t="s">
        <v>29</v>
      </c>
      <c r="L3801">
        <v>1994.3</v>
      </c>
      <c r="M3801" t="s">
        <v>5032</v>
      </c>
      <c r="N3801" t="s">
        <v>5031</v>
      </c>
    </row>
    <row r="3802" spans="1:14" x14ac:dyDescent="0.3">
      <c r="A3802" t="s">
        <v>3826</v>
      </c>
      <c r="B3802" t="s">
        <v>12</v>
      </c>
      <c r="C3802" t="s">
        <v>35</v>
      </c>
      <c r="D3802">
        <v>66</v>
      </c>
      <c r="E3802" t="s">
        <v>26</v>
      </c>
      <c r="F3802" t="s">
        <v>16</v>
      </c>
      <c r="G3802">
        <v>90.95</v>
      </c>
      <c r="H3802">
        <v>5930.05</v>
      </c>
      <c r="I3802" t="s">
        <v>15</v>
      </c>
      <c r="J3802" t="s">
        <v>16</v>
      </c>
      <c r="K3802" t="s">
        <v>29</v>
      </c>
      <c r="L3802">
        <v>5930.05</v>
      </c>
      <c r="M3802" t="s">
        <v>5033</v>
      </c>
      <c r="N3802" t="s">
        <v>5034</v>
      </c>
    </row>
    <row r="3803" spans="1:14" x14ac:dyDescent="0.3">
      <c r="A3803" t="s">
        <v>3827</v>
      </c>
      <c r="B3803" t="s">
        <v>12</v>
      </c>
      <c r="C3803" t="s">
        <v>13</v>
      </c>
      <c r="D3803">
        <v>18</v>
      </c>
      <c r="E3803" t="s">
        <v>26</v>
      </c>
      <c r="F3803" t="s">
        <v>16</v>
      </c>
      <c r="G3803">
        <v>85.45</v>
      </c>
      <c r="H3803">
        <v>1505.85</v>
      </c>
      <c r="I3803" t="s">
        <v>16</v>
      </c>
      <c r="J3803" t="s">
        <v>16</v>
      </c>
      <c r="K3803" t="s">
        <v>17</v>
      </c>
      <c r="L3803">
        <v>1505.85</v>
      </c>
      <c r="M3803" t="s">
        <v>5032</v>
      </c>
      <c r="N3803" t="s">
        <v>5031</v>
      </c>
    </row>
    <row r="3804" spans="1:14" x14ac:dyDescent="0.3">
      <c r="A3804" t="s">
        <v>3828</v>
      </c>
      <c r="B3804" t="s">
        <v>19</v>
      </c>
      <c r="C3804" t="s">
        <v>13</v>
      </c>
      <c r="D3804">
        <v>1</v>
      </c>
      <c r="E3804" t="s">
        <v>15</v>
      </c>
      <c r="F3804" t="s">
        <v>36</v>
      </c>
      <c r="G3804">
        <v>20</v>
      </c>
      <c r="H3804">
        <v>20</v>
      </c>
      <c r="I3804" t="s">
        <v>15</v>
      </c>
      <c r="J3804" t="s">
        <v>15</v>
      </c>
      <c r="K3804" t="s">
        <v>21</v>
      </c>
      <c r="L3804">
        <v>20</v>
      </c>
      <c r="M3804" t="s">
        <v>5030</v>
      </c>
      <c r="N3804" t="s">
        <v>5031</v>
      </c>
    </row>
    <row r="3805" spans="1:14" x14ac:dyDescent="0.3">
      <c r="A3805" t="s">
        <v>3829</v>
      </c>
      <c r="B3805" t="s">
        <v>19</v>
      </c>
      <c r="C3805" t="s">
        <v>35</v>
      </c>
      <c r="D3805">
        <v>61</v>
      </c>
      <c r="E3805" t="s">
        <v>26</v>
      </c>
      <c r="F3805" t="s">
        <v>16</v>
      </c>
      <c r="G3805">
        <v>94.1</v>
      </c>
      <c r="H3805">
        <v>5638.3</v>
      </c>
      <c r="I3805" t="s">
        <v>16</v>
      </c>
      <c r="J3805" t="s">
        <v>16</v>
      </c>
      <c r="K3805" t="s">
        <v>17</v>
      </c>
      <c r="L3805">
        <v>5638.3</v>
      </c>
      <c r="M3805" t="s">
        <v>5033</v>
      </c>
      <c r="N3805" t="s">
        <v>5034</v>
      </c>
    </row>
    <row r="3806" spans="1:14" x14ac:dyDescent="0.3">
      <c r="A3806" t="s">
        <v>3830</v>
      </c>
      <c r="B3806" t="s">
        <v>19</v>
      </c>
      <c r="C3806" t="s">
        <v>13</v>
      </c>
      <c r="D3806">
        <v>10</v>
      </c>
      <c r="E3806" t="s">
        <v>26</v>
      </c>
      <c r="F3806" t="s">
        <v>15</v>
      </c>
      <c r="G3806">
        <v>79.849999999999994</v>
      </c>
      <c r="H3806">
        <v>797.25</v>
      </c>
      <c r="I3806" t="s">
        <v>15</v>
      </c>
      <c r="J3806" t="s">
        <v>15</v>
      </c>
      <c r="K3806" t="s">
        <v>17</v>
      </c>
      <c r="L3806">
        <v>797.25</v>
      </c>
      <c r="M3806" t="s">
        <v>5030</v>
      </c>
      <c r="N3806" t="s">
        <v>5031</v>
      </c>
    </row>
    <row r="3807" spans="1:14" x14ac:dyDescent="0.3">
      <c r="A3807" t="s">
        <v>3831</v>
      </c>
      <c r="B3807" t="s">
        <v>19</v>
      </c>
      <c r="C3807" t="s">
        <v>13</v>
      </c>
      <c r="D3807">
        <v>1</v>
      </c>
      <c r="E3807" t="s">
        <v>26</v>
      </c>
      <c r="F3807" t="s">
        <v>15</v>
      </c>
      <c r="G3807">
        <v>71.650000000000006</v>
      </c>
      <c r="H3807">
        <v>71.650000000000006</v>
      </c>
      <c r="I3807" t="s">
        <v>16</v>
      </c>
      <c r="J3807" t="s">
        <v>16</v>
      </c>
      <c r="K3807" t="s">
        <v>17</v>
      </c>
      <c r="L3807">
        <v>71.650000000000006</v>
      </c>
      <c r="M3807" t="s">
        <v>5030</v>
      </c>
      <c r="N3807" t="s">
        <v>5031</v>
      </c>
    </row>
    <row r="3808" spans="1:14" x14ac:dyDescent="0.3">
      <c r="A3808" t="s">
        <v>3832</v>
      </c>
      <c r="B3808" t="s">
        <v>12</v>
      </c>
      <c r="C3808" t="s">
        <v>13</v>
      </c>
      <c r="D3808">
        <v>18</v>
      </c>
      <c r="E3808" t="s">
        <v>26</v>
      </c>
      <c r="F3808" t="s">
        <v>15</v>
      </c>
      <c r="G3808">
        <v>73.55</v>
      </c>
      <c r="H3808">
        <v>1359.45</v>
      </c>
      <c r="I3808" t="s">
        <v>15</v>
      </c>
      <c r="J3808" t="s">
        <v>16</v>
      </c>
      <c r="K3808" t="s">
        <v>17</v>
      </c>
      <c r="L3808">
        <v>1359.45</v>
      </c>
      <c r="M3808" t="s">
        <v>5032</v>
      </c>
      <c r="N3808" t="s">
        <v>5031</v>
      </c>
    </row>
    <row r="3809" spans="1:14" x14ac:dyDescent="0.3">
      <c r="A3809" t="s">
        <v>3833</v>
      </c>
      <c r="B3809" t="s">
        <v>19</v>
      </c>
      <c r="C3809" t="s">
        <v>13</v>
      </c>
      <c r="D3809">
        <v>24</v>
      </c>
      <c r="E3809" t="s">
        <v>26</v>
      </c>
      <c r="F3809" t="s">
        <v>15</v>
      </c>
      <c r="G3809">
        <v>104.65</v>
      </c>
      <c r="H3809">
        <v>2542.4499999999998</v>
      </c>
      <c r="I3809" t="s">
        <v>16</v>
      </c>
      <c r="J3809" t="s">
        <v>16</v>
      </c>
      <c r="K3809" t="s">
        <v>17</v>
      </c>
      <c r="L3809">
        <v>2542.4499999999998</v>
      </c>
      <c r="M3809" t="s">
        <v>5032</v>
      </c>
      <c r="N3809" t="s">
        <v>5034</v>
      </c>
    </row>
    <row r="3810" spans="1:14" x14ac:dyDescent="0.3">
      <c r="A3810" t="s">
        <v>3834</v>
      </c>
      <c r="B3810" t="s">
        <v>12</v>
      </c>
      <c r="C3810" t="s">
        <v>13</v>
      </c>
      <c r="D3810">
        <v>3</v>
      </c>
      <c r="E3810" t="s">
        <v>15</v>
      </c>
      <c r="F3810" t="s">
        <v>36</v>
      </c>
      <c r="G3810">
        <v>19.3</v>
      </c>
      <c r="H3810">
        <v>54.7</v>
      </c>
      <c r="I3810" t="s">
        <v>15</v>
      </c>
      <c r="J3810" t="s">
        <v>15</v>
      </c>
      <c r="K3810" t="s">
        <v>21</v>
      </c>
      <c r="L3810">
        <v>54.7</v>
      </c>
      <c r="M3810" t="s">
        <v>5030</v>
      </c>
      <c r="N3810" t="s">
        <v>5031</v>
      </c>
    </row>
    <row r="3811" spans="1:14" x14ac:dyDescent="0.3">
      <c r="A3811" t="s">
        <v>3835</v>
      </c>
      <c r="B3811" t="s">
        <v>19</v>
      </c>
      <c r="C3811" t="s">
        <v>20</v>
      </c>
      <c r="D3811">
        <v>50</v>
      </c>
      <c r="E3811" t="s">
        <v>15</v>
      </c>
      <c r="F3811" t="s">
        <v>36</v>
      </c>
      <c r="G3811">
        <v>20.149999999999999</v>
      </c>
      <c r="H3811">
        <v>989.05</v>
      </c>
      <c r="I3811" t="s">
        <v>15</v>
      </c>
      <c r="J3811" t="s">
        <v>15</v>
      </c>
      <c r="K3811" t="s">
        <v>29</v>
      </c>
      <c r="L3811">
        <v>989.05</v>
      </c>
      <c r="M3811" t="s">
        <v>5033</v>
      </c>
      <c r="N3811" t="s">
        <v>5031</v>
      </c>
    </row>
    <row r="3812" spans="1:14" x14ac:dyDescent="0.3">
      <c r="A3812" t="s">
        <v>3836</v>
      </c>
      <c r="B3812" t="s">
        <v>19</v>
      </c>
      <c r="C3812" t="s">
        <v>13</v>
      </c>
      <c r="D3812">
        <v>1</v>
      </c>
      <c r="E3812" t="s">
        <v>14</v>
      </c>
      <c r="F3812" t="s">
        <v>15</v>
      </c>
      <c r="G3812">
        <v>44.55</v>
      </c>
      <c r="H3812">
        <v>44.55</v>
      </c>
      <c r="I3812" t="s">
        <v>15</v>
      </c>
      <c r="J3812" t="s">
        <v>15</v>
      </c>
      <c r="K3812" t="s">
        <v>17</v>
      </c>
      <c r="L3812">
        <v>44.55</v>
      </c>
      <c r="M3812" t="s">
        <v>5030</v>
      </c>
      <c r="N3812" t="s">
        <v>5031</v>
      </c>
    </row>
    <row r="3813" spans="1:14" x14ac:dyDescent="0.3">
      <c r="A3813" t="s">
        <v>3837</v>
      </c>
      <c r="B3813" t="s">
        <v>19</v>
      </c>
      <c r="C3813" t="s">
        <v>13</v>
      </c>
      <c r="D3813">
        <v>2</v>
      </c>
      <c r="E3813" t="s">
        <v>14</v>
      </c>
      <c r="F3813" t="s">
        <v>16</v>
      </c>
      <c r="G3813">
        <v>54.45</v>
      </c>
      <c r="H3813">
        <v>87.3</v>
      </c>
      <c r="I3813" t="s">
        <v>15</v>
      </c>
      <c r="J3813" t="s">
        <v>16</v>
      </c>
      <c r="K3813" t="s">
        <v>21</v>
      </c>
      <c r="L3813">
        <v>87.3</v>
      </c>
      <c r="M3813" t="s">
        <v>5030</v>
      </c>
      <c r="N3813" t="s">
        <v>5031</v>
      </c>
    </row>
    <row r="3814" spans="1:14" x14ac:dyDescent="0.3">
      <c r="A3814" t="s">
        <v>3838</v>
      </c>
      <c r="B3814" t="s">
        <v>19</v>
      </c>
      <c r="C3814" t="s">
        <v>20</v>
      </c>
      <c r="D3814">
        <v>17</v>
      </c>
      <c r="E3814" t="s">
        <v>15</v>
      </c>
      <c r="F3814" t="s">
        <v>36</v>
      </c>
      <c r="G3814">
        <v>19.649999999999999</v>
      </c>
      <c r="H3814">
        <v>351.55</v>
      </c>
      <c r="I3814" t="s">
        <v>15</v>
      </c>
      <c r="J3814" t="s">
        <v>16</v>
      </c>
      <c r="K3814" t="s">
        <v>24</v>
      </c>
      <c r="L3814">
        <v>351.55</v>
      </c>
      <c r="M3814" t="s">
        <v>5032</v>
      </c>
      <c r="N3814" t="s">
        <v>5031</v>
      </c>
    </row>
    <row r="3815" spans="1:14" x14ac:dyDescent="0.3">
      <c r="A3815" t="s">
        <v>3839</v>
      </c>
      <c r="B3815" t="s">
        <v>19</v>
      </c>
      <c r="C3815" t="s">
        <v>35</v>
      </c>
      <c r="D3815">
        <v>69</v>
      </c>
      <c r="E3815" t="s">
        <v>26</v>
      </c>
      <c r="F3815" t="s">
        <v>15</v>
      </c>
      <c r="G3815">
        <v>105</v>
      </c>
      <c r="H3815">
        <v>7297.75</v>
      </c>
      <c r="I3815" t="s">
        <v>15</v>
      </c>
      <c r="J3815" t="s">
        <v>16</v>
      </c>
      <c r="K3815" t="s">
        <v>17</v>
      </c>
      <c r="L3815">
        <v>7297.75</v>
      </c>
      <c r="M3815" t="s">
        <v>5033</v>
      </c>
      <c r="N3815" t="s">
        <v>5034</v>
      </c>
    </row>
    <row r="3816" spans="1:14" x14ac:dyDescent="0.3">
      <c r="A3816" t="s">
        <v>3840</v>
      </c>
      <c r="B3816" t="s">
        <v>19</v>
      </c>
      <c r="C3816" t="s">
        <v>35</v>
      </c>
      <c r="D3816">
        <v>72</v>
      </c>
      <c r="E3816" t="s">
        <v>14</v>
      </c>
      <c r="F3816" t="s">
        <v>16</v>
      </c>
      <c r="G3816">
        <v>88.7</v>
      </c>
      <c r="H3816">
        <v>6301.7</v>
      </c>
      <c r="I3816" t="s">
        <v>15</v>
      </c>
      <c r="J3816" t="s">
        <v>16</v>
      </c>
      <c r="K3816" t="s">
        <v>29</v>
      </c>
      <c r="L3816">
        <v>6301.7</v>
      </c>
      <c r="M3816" t="s">
        <v>5033</v>
      </c>
      <c r="N3816" t="s">
        <v>5034</v>
      </c>
    </row>
    <row r="3817" spans="1:14" x14ac:dyDescent="0.3">
      <c r="A3817" t="s">
        <v>3841</v>
      </c>
      <c r="B3817" t="s">
        <v>12</v>
      </c>
      <c r="C3817" t="s">
        <v>13</v>
      </c>
      <c r="D3817">
        <v>3</v>
      </c>
      <c r="E3817" t="s">
        <v>26</v>
      </c>
      <c r="F3817" t="s">
        <v>15</v>
      </c>
      <c r="G3817">
        <v>74.25</v>
      </c>
      <c r="H3817">
        <v>210.3</v>
      </c>
      <c r="I3817" t="s">
        <v>16</v>
      </c>
      <c r="J3817" t="s">
        <v>16</v>
      </c>
      <c r="K3817" t="s">
        <v>17</v>
      </c>
      <c r="L3817">
        <v>210.3</v>
      </c>
      <c r="M3817" t="s">
        <v>5030</v>
      </c>
      <c r="N3817" t="s">
        <v>5031</v>
      </c>
    </row>
    <row r="3818" spans="1:14" x14ac:dyDescent="0.3">
      <c r="A3818" t="s">
        <v>3842</v>
      </c>
      <c r="B3818" t="s">
        <v>19</v>
      </c>
      <c r="C3818" t="s">
        <v>35</v>
      </c>
      <c r="D3818">
        <v>50</v>
      </c>
      <c r="E3818" t="s">
        <v>14</v>
      </c>
      <c r="F3818" t="s">
        <v>15</v>
      </c>
      <c r="G3818">
        <v>75.150000000000006</v>
      </c>
      <c r="H3818">
        <v>3822.45</v>
      </c>
      <c r="I3818" t="s">
        <v>15</v>
      </c>
      <c r="J3818" t="s">
        <v>16</v>
      </c>
      <c r="K3818" t="s">
        <v>24</v>
      </c>
      <c r="L3818">
        <v>3822.45</v>
      </c>
      <c r="M3818" t="s">
        <v>5033</v>
      </c>
      <c r="N3818" t="s">
        <v>5034</v>
      </c>
    </row>
    <row r="3819" spans="1:14" x14ac:dyDescent="0.3">
      <c r="A3819" t="s">
        <v>3843</v>
      </c>
      <c r="B3819" t="s">
        <v>12</v>
      </c>
      <c r="C3819" t="s">
        <v>35</v>
      </c>
      <c r="D3819">
        <v>53</v>
      </c>
      <c r="E3819" t="s">
        <v>15</v>
      </c>
      <c r="F3819" t="s">
        <v>36</v>
      </c>
      <c r="G3819">
        <v>20.25</v>
      </c>
      <c r="H3819">
        <v>1048.45</v>
      </c>
      <c r="I3819" t="s">
        <v>15</v>
      </c>
      <c r="J3819" t="s">
        <v>15</v>
      </c>
      <c r="K3819" t="s">
        <v>21</v>
      </c>
      <c r="L3819">
        <v>1048.45</v>
      </c>
      <c r="M3819" t="s">
        <v>5033</v>
      </c>
      <c r="N3819" t="s">
        <v>5031</v>
      </c>
    </row>
    <row r="3820" spans="1:14" x14ac:dyDescent="0.3">
      <c r="A3820" t="s">
        <v>3844</v>
      </c>
      <c r="B3820" t="s">
        <v>12</v>
      </c>
      <c r="C3820" t="s">
        <v>35</v>
      </c>
      <c r="D3820">
        <v>58</v>
      </c>
      <c r="E3820" t="s">
        <v>26</v>
      </c>
      <c r="F3820" t="s">
        <v>16</v>
      </c>
      <c r="G3820">
        <v>109.1</v>
      </c>
      <c r="H3820">
        <v>6393.65</v>
      </c>
      <c r="I3820" t="s">
        <v>15</v>
      </c>
      <c r="J3820" t="s">
        <v>16</v>
      </c>
      <c r="K3820" t="s">
        <v>29</v>
      </c>
      <c r="L3820">
        <v>6393.65</v>
      </c>
      <c r="M3820" t="s">
        <v>5033</v>
      </c>
      <c r="N3820" t="s">
        <v>5034</v>
      </c>
    </row>
    <row r="3821" spans="1:14" x14ac:dyDescent="0.3">
      <c r="A3821" t="s">
        <v>3845</v>
      </c>
      <c r="B3821" t="s">
        <v>19</v>
      </c>
      <c r="C3821" t="s">
        <v>20</v>
      </c>
      <c r="D3821">
        <v>46</v>
      </c>
      <c r="E3821" t="s">
        <v>14</v>
      </c>
      <c r="F3821" t="s">
        <v>15</v>
      </c>
      <c r="G3821">
        <v>30.75</v>
      </c>
      <c r="H3821">
        <v>1489.3</v>
      </c>
      <c r="I3821" t="s">
        <v>15</v>
      </c>
      <c r="J3821" t="s">
        <v>16</v>
      </c>
      <c r="K3821" t="s">
        <v>24</v>
      </c>
      <c r="L3821">
        <v>1489.3</v>
      </c>
      <c r="M3821" t="s">
        <v>5033</v>
      </c>
      <c r="N3821" t="s">
        <v>5031</v>
      </c>
    </row>
    <row r="3822" spans="1:14" x14ac:dyDescent="0.3">
      <c r="A3822" t="s">
        <v>3846</v>
      </c>
      <c r="B3822" t="s">
        <v>19</v>
      </c>
      <c r="C3822" t="s">
        <v>13</v>
      </c>
      <c r="D3822">
        <v>72</v>
      </c>
      <c r="E3822" t="s">
        <v>26</v>
      </c>
      <c r="F3822" t="s">
        <v>16</v>
      </c>
      <c r="G3822">
        <v>112.9</v>
      </c>
      <c r="H3822">
        <v>8061.5</v>
      </c>
      <c r="I3822" t="s">
        <v>15</v>
      </c>
      <c r="J3822" t="s">
        <v>16</v>
      </c>
      <c r="K3822" t="s">
        <v>29</v>
      </c>
      <c r="L3822">
        <v>8061.5</v>
      </c>
      <c r="M3822" t="s">
        <v>5033</v>
      </c>
      <c r="N3822" t="s">
        <v>5034</v>
      </c>
    </row>
    <row r="3823" spans="1:14" x14ac:dyDescent="0.3">
      <c r="A3823" t="s">
        <v>3847</v>
      </c>
      <c r="B3823" t="s">
        <v>12</v>
      </c>
      <c r="C3823" t="s">
        <v>13</v>
      </c>
      <c r="D3823">
        <v>1</v>
      </c>
      <c r="E3823" t="s">
        <v>26</v>
      </c>
      <c r="F3823" t="s">
        <v>15</v>
      </c>
      <c r="G3823">
        <v>74.2</v>
      </c>
      <c r="H3823">
        <v>74.2</v>
      </c>
      <c r="I3823" t="s">
        <v>16</v>
      </c>
      <c r="J3823" t="s">
        <v>16</v>
      </c>
      <c r="K3823" t="s">
        <v>17</v>
      </c>
      <c r="L3823">
        <v>74.2</v>
      </c>
      <c r="M3823" t="s">
        <v>5030</v>
      </c>
      <c r="N3823" t="s">
        <v>5031</v>
      </c>
    </row>
    <row r="3824" spans="1:14" x14ac:dyDescent="0.3">
      <c r="A3824" t="s">
        <v>3848</v>
      </c>
      <c r="B3824" t="s">
        <v>12</v>
      </c>
      <c r="C3824" t="s">
        <v>13</v>
      </c>
      <c r="D3824">
        <v>6</v>
      </c>
      <c r="E3824" t="s">
        <v>26</v>
      </c>
      <c r="F3824" t="s">
        <v>15</v>
      </c>
      <c r="G3824">
        <v>94.05</v>
      </c>
      <c r="H3824">
        <v>518.75</v>
      </c>
      <c r="I3824" t="s">
        <v>15</v>
      </c>
      <c r="J3824" t="s">
        <v>16</v>
      </c>
      <c r="K3824" t="s">
        <v>21</v>
      </c>
      <c r="L3824">
        <v>518.75</v>
      </c>
      <c r="M3824" t="s">
        <v>5030</v>
      </c>
      <c r="N3824" t="s">
        <v>5031</v>
      </c>
    </row>
    <row r="3825" spans="1:14" x14ac:dyDescent="0.3">
      <c r="A3825" t="s">
        <v>3849</v>
      </c>
      <c r="B3825" t="s">
        <v>19</v>
      </c>
      <c r="C3825" t="s">
        <v>35</v>
      </c>
      <c r="D3825">
        <v>72</v>
      </c>
      <c r="E3825" t="s">
        <v>14</v>
      </c>
      <c r="F3825" t="s">
        <v>16</v>
      </c>
      <c r="G3825">
        <v>78.849999999999994</v>
      </c>
      <c r="H3825">
        <v>5763.15</v>
      </c>
      <c r="I3825" t="s">
        <v>15</v>
      </c>
      <c r="J3825" t="s">
        <v>15</v>
      </c>
      <c r="K3825" t="s">
        <v>24</v>
      </c>
      <c r="L3825">
        <v>5763.15</v>
      </c>
      <c r="M3825" t="s">
        <v>5033</v>
      </c>
      <c r="N3825" t="s">
        <v>5034</v>
      </c>
    </row>
    <row r="3826" spans="1:14" x14ac:dyDescent="0.3">
      <c r="A3826" t="s">
        <v>3850</v>
      </c>
      <c r="B3826" t="s">
        <v>19</v>
      </c>
      <c r="C3826" t="s">
        <v>13</v>
      </c>
      <c r="D3826">
        <v>4</v>
      </c>
      <c r="E3826" t="s">
        <v>14</v>
      </c>
      <c r="F3826" t="s">
        <v>15</v>
      </c>
      <c r="G3826">
        <v>55.3</v>
      </c>
      <c r="H3826">
        <v>238.5</v>
      </c>
      <c r="I3826" t="s">
        <v>15</v>
      </c>
      <c r="J3826" t="s">
        <v>16</v>
      </c>
      <c r="K3826" t="s">
        <v>21</v>
      </c>
      <c r="L3826">
        <v>238.5</v>
      </c>
      <c r="M3826" t="s">
        <v>5030</v>
      </c>
      <c r="N3826" t="s">
        <v>5031</v>
      </c>
    </row>
    <row r="3827" spans="1:14" x14ac:dyDescent="0.3">
      <c r="A3827" t="s">
        <v>3851</v>
      </c>
      <c r="B3827" t="s">
        <v>12</v>
      </c>
      <c r="C3827" t="s">
        <v>35</v>
      </c>
      <c r="D3827">
        <v>52</v>
      </c>
      <c r="E3827" t="s">
        <v>15</v>
      </c>
      <c r="F3827" t="s">
        <v>36</v>
      </c>
      <c r="G3827">
        <v>19.350000000000001</v>
      </c>
      <c r="H3827">
        <v>1031.7</v>
      </c>
      <c r="I3827" t="s">
        <v>15</v>
      </c>
      <c r="J3827" t="s">
        <v>15</v>
      </c>
      <c r="K3827" t="s">
        <v>21</v>
      </c>
      <c r="L3827">
        <v>1031.7</v>
      </c>
      <c r="M3827" t="s">
        <v>5033</v>
      </c>
      <c r="N3827" t="s">
        <v>5031</v>
      </c>
    </row>
    <row r="3828" spans="1:14" x14ac:dyDescent="0.3">
      <c r="A3828" t="s">
        <v>3852</v>
      </c>
      <c r="B3828" t="s">
        <v>19</v>
      </c>
      <c r="C3828" t="s">
        <v>35</v>
      </c>
      <c r="D3828">
        <v>0</v>
      </c>
      <c r="E3828" t="s">
        <v>15</v>
      </c>
      <c r="F3828" t="s">
        <v>36</v>
      </c>
      <c r="G3828">
        <v>25.35</v>
      </c>
      <c r="H3828" t="s">
        <v>514</v>
      </c>
      <c r="I3828" t="s">
        <v>15</v>
      </c>
      <c r="J3828" t="s">
        <v>15</v>
      </c>
      <c r="K3828" t="s">
        <v>21</v>
      </c>
      <c r="L3828">
        <v>0</v>
      </c>
      <c r="M3828" t="s">
        <v>5030</v>
      </c>
      <c r="N3828" t="s">
        <v>5034</v>
      </c>
    </row>
    <row r="3829" spans="1:14" x14ac:dyDescent="0.3">
      <c r="A3829" t="s">
        <v>3853</v>
      </c>
      <c r="B3829" t="s">
        <v>12</v>
      </c>
      <c r="C3829" t="s">
        <v>20</v>
      </c>
      <c r="D3829">
        <v>2</v>
      </c>
      <c r="E3829" t="s">
        <v>15</v>
      </c>
      <c r="F3829" t="s">
        <v>36</v>
      </c>
      <c r="G3829">
        <v>20.45</v>
      </c>
      <c r="H3829">
        <v>34.799999999999997</v>
      </c>
      <c r="I3829" t="s">
        <v>15</v>
      </c>
      <c r="J3829" t="s">
        <v>15</v>
      </c>
      <c r="K3829" t="s">
        <v>21</v>
      </c>
      <c r="L3829">
        <v>34.799999999999997</v>
      </c>
      <c r="M3829" t="s">
        <v>5030</v>
      </c>
      <c r="N3829" t="s">
        <v>5031</v>
      </c>
    </row>
    <row r="3830" spans="1:14" x14ac:dyDescent="0.3">
      <c r="A3830" t="s">
        <v>3854</v>
      </c>
      <c r="B3830" t="s">
        <v>12</v>
      </c>
      <c r="C3830" t="s">
        <v>35</v>
      </c>
      <c r="D3830">
        <v>65</v>
      </c>
      <c r="E3830" t="s">
        <v>15</v>
      </c>
      <c r="F3830" t="s">
        <v>36</v>
      </c>
      <c r="G3830">
        <v>19.350000000000001</v>
      </c>
      <c r="H3830">
        <v>1319.95</v>
      </c>
      <c r="I3830" t="s">
        <v>15</v>
      </c>
      <c r="J3830" t="s">
        <v>15</v>
      </c>
      <c r="K3830" t="s">
        <v>24</v>
      </c>
      <c r="L3830">
        <v>1319.95</v>
      </c>
      <c r="M3830" t="s">
        <v>5033</v>
      </c>
      <c r="N3830" t="s">
        <v>5031</v>
      </c>
    </row>
    <row r="3831" spans="1:14" x14ac:dyDescent="0.3">
      <c r="A3831" t="s">
        <v>3855</v>
      </c>
      <c r="B3831" t="s">
        <v>19</v>
      </c>
      <c r="C3831" t="s">
        <v>13</v>
      </c>
      <c r="D3831">
        <v>43</v>
      </c>
      <c r="E3831" t="s">
        <v>26</v>
      </c>
      <c r="F3831" t="s">
        <v>15</v>
      </c>
      <c r="G3831">
        <v>101</v>
      </c>
      <c r="H3831">
        <v>4388.3999999999996</v>
      </c>
      <c r="I3831" t="s">
        <v>16</v>
      </c>
      <c r="J3831" t="s">
        <v>16</v>
      </c>
      <c r="K3831" t="s">
        <v>17</v>
      </c>
      <c r="L3831">
        <v>4388.3999999999996</v>
      </c>
      <c r="M3831" t="s">
        <v>5033</v>
      </c>
      <c r="N3831" t="s">
        <v>5034</v>
      </c>
    </row>
    <row r="3832" spans="1:14" x14ac:dyDescent="0.3">
      <c r="A3832" t="s">
        <v>3856</v>
      </c>
      <c r="B3832" t="s">
        <v>19</v>
      </c>
      <c r="C3832" t="s">
        <v>13</v>
      </c>
      <c r="D3832">
        <v>4</v>
      </c>
      <c r="E3832" t="s">
        <v>26</v>
      </c>
      <c r="F3832" t="s">
        <v>15</v>
      </c>
      <c r="G3832">
        <v>100.2</v>
      </c>
      <c r="H3832">
        <v>420.2</v>
      </c>
      <c r="I3832" t="s">
        <v>16</v>
      </c>
      <c r="J3832" t="s">
        <v>16</v>
      </c>
      <c r="K3832" t="s">
        <v>17</v>
      </c>
      <c r="L3832">
        <v>420.2</v>
      </c>
      <c r="M3832" t="s">
        <v>5030</v>
      </c>
      <c r="N3832" t="s">
        <v>5031</v>
      </c>
    </row>
    <row r="3833" spans="1:14" x14ac:dyDescent="0.3">
      <c r="A3833" t="s">
        <v>3857</v>
      </c>
      <c r="B3833" t="s">
        <v>19</v>
      </c>
      <c r="C3833" t="s">
        <v>20</v>
      </c>
      <c r="D3833">
        <v>25</v>
      </c>
      <c r="E3833" t="s">
        <v>26</v>
      </c>
      <c r="F3833" t="s">
        <v>15</v>
      </c>
      <c r="G3833">
        <v>89.05</v>
      </c>
      <c r="H3833">
        <v>2177.4499999999998</v>
      </c>
      <c r="I3833" t="s">
        <v>16</v>
      </c>
      <c r="J3833" t="s">
        <v>16</v>
      </c>
      <c r="K3833" t="s">
        <v>17</v>
      </c>
      <c r="L3833">
        <v>2177.4499999999998</v>
      </c>
      <c r="M3833" t="s">
        <v>5032</v>
      </c>
      <c r="N3833" t="s">
        <v>5031</v>
      </c>
    </row>
    <row r="3834" spans="1:14" x14ac:dyDescent="0.3">
      <c r="A3834" t="s">
        <v>3858</v>
      </c>
      <c r="B3834" t="s">
        <v>12</v>
      </c>
      <c r="C3834" t="s">
        <v>20</v>
      </c>
      <c r="D3834">
        <v>51</v>
      </c>
      <c r="E3834" t="s">
        <v>14</v>
      </c>
      <c r="F3834" t="s">
        <v>16</v>
      </c>
      <c r="G3834">
        <v>78.650000000000006</v>
      </c>
      <c r="H3834">
        <v>3950.85</v>
      </c>
      <c r="I3834" t="s">
        <v>15</v>
      </c>
      <c r="J3834" t="s">
        <v>16</v>
      </c>
      <c r="K3834" t="s">
        <v>29</v>
      </c>
      <c r="L3834">
        <v>3950.85</v>
      </c>
      <c r="M3834" t="s">
        <v>5033</v>
      </c>
      <c r="N3834" t="s">
        <v>5034</v>
      </c>
    </row>
    <row r="3835" spans="1:14" x14ac:dyDescent="0.3">
      <c r="A3835" t="s">
        <v>3859</v>
      </c>
      <c r="B3835" t="s">
        <v>19</v>
      </c>
      <c r="C3835" t="s">
        <v>13</v>
      </c>
      <c r="D3835">
        <v>12</v>
      </c>
      <c r="E3835" t="s">
        <v>14</v>
      </c>
      <c r="F3835" t="s">
        <v>15</v>
      </c>
      <c r="G3835">
        <v>74.75</v>
      </c>
      <c r="H3835">
        <v>827.05</v>
      </c>
      <c r="I3835" t="s">
        <v>15</v>
      </c>
      <c r="J3835" t="s">
        <v>15</v>
      </c>
      <c r="K3835" t="s">
        <v>24</v>
      </c>
      <c r="L3835">
        <v>827.05</v>
      </c>
      <c r="M3835" t="s">
        <v>5030</v>
      </c>
      <c r="N3835" t="s">
        <v>5031</v>
      </c>
    </row>
    <row r="3836" spans="1:14" x14ac:dyDescent="0.3">
      <c r="A3836" t="s">
        <v>3860</v>
      </c>
      <c r="B3836" t="s">
        <v>12</v>
      </c>
      <c r="C3836" t="s">
        <v>20</v>
      </c>
      <c r="D3836">
        <v>57</v>
      </c>
      <c r="E3836" t="s">
        <v>14</v>
      </c>
      <c r="F3836" t="s">
        <v>15</v>
      </c>
      <c r="G3836">
        <v>70.099999999999994</v>
      </c>
      <c r="H3836">
        <v>3913.3</v>
      </c>
      <c r="I3836" t="s">
        <v>16</v>
      </c>
      <c r="J3836" t="s">
        <v>16</v>
      </c>
      <c r="K3836" t="s">
        <v>24</v>
      </c>
      <c r="L3836">
        <v>3913.3</v>
      </c>
      <c r="M3836" t="s">
        <v>5033</v>
      </c>
      <c r="N3836" t="s">
        <v>5034</v>
      </c>
    </row>
    <row r="3837" spans="1:14" x14ac:dyDescent="0.3">
      <c r="A3837" t="s">
        <v>3861</v>
      </c>
      <c r="B3837" t="s">
        <v>12</v>
      </c>
      <c r="C3837" t="s">
        <v>20</v>
      </c>
      <c r="D3837">
        <v>24</v>
      </c>
      <c r="E3837" t="s">
        <v>15</v>
      </c>
      <c r="F3837" t="s">
        <v>36</v>
      </c>
      <c r="G3837">
        <v>19.899999999999999</v>
      </c>
      <c r="H3837">
        <v>533.5</v>
      </c>
      <c r="I3837" t="s">
        <v>15</v>
      </c>
      <c r="J3837" t="s">
        <v>15</v>
      </c>
      <c r="K3837" t="s">
        <v>21</v>
      </c>
      <c r="L3837">
        <v>533.5</v>
      </c>
      <c r="M3837" t="s">
        <v>5032</v>
      </c>
      <c r="N3837" t="s">
        <v>5031</v>
      </c>
    </row>
    <row r="3838" spans="1:14" x14ac:dyDescent="0.3">
      <c r="A3838" t="s">
        <v>3862</v>
      </c>
      <c r="B3838" t="s">
        <v>12</v>
      </c>
      <c r="C3838" t="s">
        <v>20</v>
      </c>
      <c r="D3838">
        <v>64</v>
      </c>
      <c r="E3838" t="s">
        <v>14</v>
      </c>
      <c r="F3838" t="s">
        <v>16</v>
      </c>
      <c r="G3838">
        <v>58.35</v>
      </c>
      <c r="H3838">
        <v>3756.45</v>
      </c>
      <c r="I3838" t="s">
        <v>15</v>
      </c>
      <c r="J3838" t="s">
        <v>15</v>
      </c>
      <c r="K3838" t="s">
        <v>24</v>
      </c>
      <c r="L3838">
        <v>3756.45</v>
      </c>
      <c r="M3838" t="s">
        <v>5033</v>
      </c>
      <c r="N3838" t="s">
        <v>5034</v>
      </c>
    </row>
    <row r="3839" spans="1:14" x14ac:dyDescent="0.3">
      <c r="A3839" t="s">
        <v>3863</v>
      </c>
      <c r="B3839" t="s">
        <v>12</v>
      </c>
      <c r="C3839" t="s">
        <v>20</v>
      </c>
      <c r="D3839">
        <v>4</v>
      </c>
      <c r="E3839" t="s">
        <v>26</v>
      </c>
      <c r="F3839" t="s">
        <v>16</v>
      </c>
      <c r="G3839">
        <v>105.65</v>
      </c>
      <c r="H3839">
        <v>443.9</v>
      </c>
      <c r="I3839" t="s">
        <v>16</v>
      </c>
      <c r="J3839" t="s">
        <v>16</v>
      </c>
      <c r="K3839" t="s">
        <v>17</v>
      </c>
      <c r="L3839">
        <v>443.9</v>
      </c>
      <c r="M3839" t="s">
        <v>5030</v>
      </c>
      <c r="N3839" t="s">
        <v>5031</v>
      </c>
    </row>
    <row r="3840" spans="1:14" x14ac:dyDescent="0.3">
      <c r="A3840" t="s">
        <v>3864</v>
      </c>
      <c r="B3840" t="s">
        <v>12</v>
      </c>
      <c r="C3840" t="s">
        <v>13</v>
      </c>
      <c r="D3840">
        <v>26</v>
      </c>
      <c r="E3840" t="s">
        <v>26</v>
      </c>
      <c r="F3840" t="s">
        <v>15</v>
      </c>
      <c r="G3840">
        <v>100.5</v>
      </c>
      <c r="H3840">
        <v>2599.9499999999998</v>
      </c>
      <c r="I3840" t="s">
        <v>15</v>
      </c>
      <c r="J3840" t="s">
        <v>16</v>
      </c>
      <c r="K3840" t="s">
        <v>24</v>
      </c>
      <c r="L3840">
        <v>2599.9499999999998</v>
      </c>
      <c r="M3840" t="s">
        <v>5032</v>
      </c>
      <c r="N3840" t="s">
        <v>5034</v>
      </c>
    </row>
    <row r="3841" spans="1:14" x14ac:dyDescent="0.3">
      <c r="A3841" t="s">
        <v>3865</v>
      </c>
      <c r="B3841" t="s">
        <v>12</v>
      </c>
      <c r="C3841" t="s">
        <v>13</v>
      </c>
      <c r="D3841">
        <v>15</v>
      </c>
      <c r="E3841" t="s">
        <v>15</v>
      </c>
      <c r="F3841" t="s">
        <v>36</v>
      </c>
      <c r="G3841">
        <v>20.05</v>
      </c>
      <c r="H3841">
        <v>284.3</v>
      </c>
      <c r="I3841" t="s">
        <v>15</v>
      </c>
      <c r="J3841" t="s">
        <v>15</v>
      </c>
      <c r="K3841" t="s">
        <v>21</v>
      </c>
      <c r="L3841">
        <v>284.3</v>
      </c>
      <c r="M3841" t="s">
        <v>5032</v>
      </c>
      <c r="N3841" t="s">
        <v>5031</v>
      </c>
    </row>
    <row r="3842" spans="1:14" x14ac:dyDescent="0.3">
      <c r="A3842" t="s">
        <v>3866</v>
      </c>
      <c r="B3842" t="s">
        <v>19</v>
      </c>
      <c r="C3842" t="s">
        <v>35</v>
      </c>
      <c r="D3842">
        <v>64</v>
      </c>
      <c r="E3842" t="s">
        <v>15</v>
      </c>
      <c r="F3842" t="s">
        <v>36</v>
      </c>
      <c r="G3842">
        <v>25.65</v>
      </c>
      <c r="H3842">
        <v>1740.8</v>
      </c>
      <c r="I3842" t="s">
        <v>15</v>
      </c>
      <c r="J3842" t="s">
        <v>15</v>
      </c>
      <c r="K3842" t="s">
        <v>29</v>
      </c>
      <c r="L3842">
        <v>1740.8</v>
      </c>
      <c r="M3842" t="s">
        <v>5033</v>
      </c>
      <c r="N3842" t="s">
        <v>5031</v>
      </c>
    </row>
    <row r="3843" spans="1:14" x14ac:dyDescent="0.3">
      <c r="A3843" t="s">
        <v>3867</v>
      </c>
      <c r="B3843" t="s">
        <v>19</v>
      </c>
      <c r="C3843" t="s">
        <v>13</v>
      </c>
      <c r="D3843">
        <v>36</v>
      </c>
      <c r="E3843" t="s">
        <v>26</v>
      </c>
      <c r="F3843" t="s">
        <v>15</v>
      </c>
      <c r="G3843">
        <v>96.5</v>
      </c>
      <c r="H3843">
        <v>3436.1</v>
      </c>
      <c r="I3843" t="s">
        <v>16</v>
      </c>
      <c r="J3843" t="s">
        <v>16</v>
      </c>
      <c r="K3843" t="s">
        <v>17</v>
      </c>
      <c r="L3843">
        <v>3436.1</v>
      </c>
      <c r="M3843" t="s">
        <v>5032</v>
      </c>
      <c r="N3843" t="s">
        <v>5034</v>
      </c>
    </row>
    <row r="3844" spans="1:14" x14ac:dyDescent="0.3">
      <c r="A3844" t="s">
        <v>3868</v>
      </c>
      <c r="B3844" t="s">
        <v>12</v>
      </c>
      <c r="C3844" t="s">
        <v>13</v>
      </c>
      <c r="D3844">
        <v>27</v>
      </c>
      <c r="E3844" t="s">
        <v>26</v>
      </c>
      <c r="F3844" t="s">
        <v>15</v>
      </c>
      <c r="G3844">
        <v>95</v>
      </c>
      <c r="H3844">
        <v>2462.5500000000002</v>
      </c>
      <c r="I3844" t="s">
        <v>15</v>
      </c>
      <c r="J3844" t="s">
        <v>15</v>
      </c>
      <c r="K3844" t="s">
        <v>29</v>
      </c>
      <c r="L3844">
        <v>2462.5500000000002</v>
      </c>
      <c r="M3844" t="s">
        <v>5032</v>
      </c>
      <c r="N3844" t="s">
        <v>5031</v>
      </c>
    </row>
    <row r="3845" spans="1:14" x14ac:dyDescent="0.3">
      <c r="A3845" t="s">
        <v>3869</v>
      </c>
      <c r="B3845" t="s">
        <v>19</v>
      </c>
      <c r="C3845" t="s">
        <v>13</v>
      </c>
      <c r="D3845">
        <v>1</v>
      </c>
      <c r="E3845" t="s">
        <v>26</v>
      </c>
      <c r="F3845" t="s">
        <v>15</v>
      </c>
      <c r="G3845">
        <v>70.849999999999994</v>
      </c>
      <c r="H3845">
        <v>70.849999999999994</v>
      </c>
      <c r="I3845" t="s">
        <v>16</v>
      </c>
      <c r="J3845" t="s">
        <v>15</v>
      </c>
      <c r="K3845" t="s">
        <v>21</v>
      </c>
      <c r="L3845">
        <v>70.849999999999994</v>
      </c>
      <c r="M3845" t="s">
        <v>5030</v>
      </c>
      <c r="N3845" t="s">
        <v>5031</v>
      </c>
    </row>
    <row r="3846" spans="1:14" x14ac:dyDescent="0.3">
      <c r="A3846" t="s">
        <v>3870</v>
      </c>
      <c r="B3846" t="s">
        <v>12</v>
      </c>
      <c r="C3846" t="s">
        <v>20</v>
      </c>
      <c r="D3846">
        <v>35</v>
      </c>
      <c r="E3846" t="s">
        <v>14</v>
      </c>
      <c r="F3846" t="s">
        <v>16</v>
      </c>
      <c r="G3846">
        <v>85.95</v>
      </c>
      <c r="H3846">
        <v>3110.1</v>
      </c>
      <c r="I3846" t="s">
        <v>16</v>
      </c>
      <c r="J3846" t="s">
        <v>16</v>
      </c>
      <c r="K3846" t="s">
        <v>29</v>
      </c>
      <c r="L3846">
        <v>3110.1</v>
      </c>
      <c r="M3846" t="s">
        <v>5032</v>
      </c>
      <c r="N3846" t="s">
        <v>5034</v>
      </c>
    </row>
    <row r="3847" spans="1:14" x14ac:dyDescent="0.3">
      <c r="A3847" t="s">
        <v>3871</v>
      </c>
      <c r="B3847" t="s">
        <v>19</v>
      </c>
      <c r="C3847" t="s">
        <v>13</v>
      </c>
      <c r="D3847">
        <v>4</v>
      </c>
      <c r="E3847" t="s">
        <v>26</v>
      </c>
      <c r="F3847" t="s">
        <v>15</v>
      </c>
      <c r="G3847">
        <v>73.900000000000006</v>
      </c>
      <c r="H3847">
        <v>280.85000000000002</v>
      </c>
      <c r="I3847" t="s">
        <v>16</v>
      </c>
      <c r="J3847" t="s">
        <v>16</v>
      </c>
      <c r="K3847" t="s">
        <v>17</v>
      </c>
      <c r="L3847">
        <v>280.85000000000002</v>
      </c>
      <c r="M3847" t="s">
        <v>5030</v>
      </c>
      <c r="N3847" t="s">
        <v>5031</v>
      </c>
    </row>
    <row r="3848" spans="1:14" x14ac:dyDescent="0.3">
      <c r="A3848" t="s">
        <v>3872</v>
      </c>
      <c r="B3848" t="s">
        <v>12</v>
      </c>
      <c r="C3848" t="s">
        <v>13</v>
      </c>
      <c r="D3848">
        <v>8</v>
      </c>
      <c r="E3848" t="s">
        <v>14</v>
      </c>
      <c r="F3848" t="s">
        <v>15</v>
      </c>
      <c r="G3848">
        <v>45.45</v>
      </c>
      <c r="H3848">
        <v>411.75</v>
      </c>
      <c r="I3848" t="s">
        <v>15</v>
      </c>
      <c r="J3848" t="s">
        <v>16</v>
      </c>
      <c r="K3848" t="s">
        <v>17</v>
      </c>
      <c r="L3848">
        <v>411.75</v>
      </c>
      <c r="M3848" t="s">
        <v>5030</v>
      </c>
      <c r="N3848" t="s">
        <v>5031</v>
      </c>
    </row>
    <row r="3849" spans="1:14" x14ac:dyDescent="0.3">
      <c r="A3849" t="s">
        <v>3873</v>
      </c>
      <c r="B3849" t="s">
        <v>19</v>
      </c>
      <c r="C3849" t="s">
        <v>13</v>
      </c>
      <c r="D3849">
        <v>10</v>
      </c>
      <c r="E3849" t="s">
        <v>15</v>
      </c>
      <c r="F3849" t="s">
        <v>36</v>
      </c>
      <c r="G3849">
        <v>20</v>
      </c>
      <c r="H3849">
        <v>198.6</v>
      </c>
      <c r="I3849" t="s">
        <v>15</v>
      </c>
      <c r="J3849" t="s">
        <v>16</v>
      </c>
      <c r="K3849" t="s">
        <v>29</v>
      </c>
      <c r="L3849">
        <v>198.6</v>
      </c>
      <c r="M3849" t="s">
        <v>5030</v>
      </c>
      <c r="N3849" t="s">
        <v>5031</v>
      </c>
    </row>
    <row r="3850" spans="1:14" x14ac:dyDescent="0.3">
      <c r="A3850" t="s">
        <v>3874</v>
      </c>
      <c r="B3850" t="s">
        <v>12</v>
      </c>
      <c r="C3850" t="s">
        <v>13</v>
      </c>
      <c r="D3850">
        <v>2</v>
      </c>
      <c r="E3850" t="s">
        <v>14</v>
      </c>
      <c r="F3850" t="s">
        <v>15</v>
      </c>
      <c r="G3850">
        <v>49.2</v>
      </c>
      <c r="H3850">
        <v>103.7</v>
      </c>
      <c r="I3850" t="s">
        <v>15</v>
      </c>
      <c r="J3850" t="s">
        <v>15</v>
      </c>
      <c r="K3850" t="s">
        <v>21</v>
      </c>
      <c r="L3850">
        <v>103.7</v>
      </c>
      <c r="M3850" t="s">
        <v>5030</v>
      </c>
      <c r="N3850" t="s">
        <v>5031</v>
      </c>
    </row>
    <row r="3851" spans="1:14" x14ac:dyDescent="0.3">
      <c r="A3851" t="s">
        <v>3875</v>
      </c>
      <c r="B3851" t="s">
        <v>12</v>
      </c>
      <c r="C3851" t="s">
        <v>35</v>
      </c>
      <c r="D3851">
        <v>58</v>
      </c>
      <c r="E3851" t="s">
        <v>26</v>
      </c>
      <c r="F3851" t="s">
        <v>15</v>
      </c>
      <c r="G3851">
        <v>109.45</v>
      </c>
      <c r="H3851">
        <v>6144.55</v>
      </c>
      <c r="I3851" t="s">
        <v>16</v>
      </c>
      <c r="J3851" t="s">
        <v>16</v>
      </c>
      <c r="K3851" t="s">
        <v>24</v>
      </c>
      <c r="L3851">
        <v>6144.55</v>
      </c>
      <c r="M3851" t="s">
        <v>5033</v>
      </c>
      <c r="N3851" t="s">
        <v>5034</v>
      </c>
    </row>
    <row r="3852" spans="1:14" x14ac:dyDescent="0.3">
      <c r="A3852" t="s">
        <v>3876</v>
      </c>
      <c r="B3852" t="s">
        <v>19</v>
      </c>
      <c r="C3852" t="s">
        <v>35</v>
      </c>
      <c r="D3852">
        <v>51</v>
      </c>
      <c r="E3852" t="s">
        <v>14</v>
      </c>
      <c r="F3852" t="s">
        <v>16</v>
      </c>
      <c r="G3852">
        <v>83.25</v>
      </c>
      <c r="H3852">
        <v>4089.45</v>
      </c>
      <c r="I3852" t="s">
        <v>15</v>
      </c>
      <c r="J3852" t="s">
        <v>16</v>
      </c>
      <c r="K3852" t="s">
        <v>29</v>
      </c>
      <c r="L3852">
        <v>4089.45</v>
      </c>
      <c r="M3852" t="s">
        <v>5033</v>
      </c>
      <c r="N3852" t="s">
        <v>5034</v>
      </c>
    </row>
    <row r="3853" spans="1:14" x14ac:dyDescent="0.3">
      <c r="A3853" t="s">
        <v>3877</v>
      </c>
      <c r="B3853" t="s">
        <v>12</v>
      </c>
      <c r="C3853" t="s">
        <v>35</v>
      </c>
      <c r="D3853">
        <v>46</v>
      </c>
      <c r="E3853" t="s">
        <v>15</v>
      </c>
      <c r="F3853" t="s">
        <v>36</v>
      </c>
      <c r="G3853">
        <v>19.25</v>
      </c>
      <c r="H3853">
        <v>864.2</v>
      </c>
      <c r="I3853" t="s">
        <v>15</v>
      </c>
      <c r="J3853" t="s">
        <v>16</v>
      </c>
      <c r="K3853" t="s">
        <v>21</v>
      </c>
      <c r="L3853">
        <v>864.2</v>
      </c>
      <c r="M3853" t="s">
        <v>5033</v>
      </c>
      <c r="N3853" t="s">
        <v>5031</v>
      </c>
    </row>
    <row r="3854" spans="1:14" x14ac:dyDescent="0.3">
      <c r="A3854" t="s">
        <v>3878</v>
      </c>
      <c r="B3854" t="s">
        <v>19</v>
      </c>
      <c r="C3854" t="s">
        <v>13</v>
      </c>
      <c r="D3854">
        <v>1</v>
      </c>
      <c r="E3854" t="s">
        <v>15</v>
      </c>
      <c r="F3854" t="s">
        <v>36</v>
      </c>
      <c r="G3854">
        <v>19.649999999999999</v>
      </c>
      <c r="H3854">
        <v>19.649999999999999</v>
      </c>
      <c r="I3854" t="s">
        <v>15</v>
      </c>
      <c r="J3854" t="s">
        <v>16</v>
      </c>
      <c r="K3854" t="s">
        <v>24</v>
      </c>
      <c r="L3854">
        <v>19.649999999999999</v>
      </c>
      <c r="M3854" t="s">
        <v>5030</v>
      </c>
      <c r="N3854" t="s">
        <v>5031</v>
      </c>
    </row>
    <row r="3855" spans="1:14" x14ac:dyDescent="0.3">
      <c r="A3855" t="s">
        <v>3879</v>
      </c>
      <c r="B3855" t="s">
        <v>19</v>
      </c>
      <c r="C3855" t="s">
        <v>13</v>
      </c>
      <c r="D3855">
        <v>46</v>
      </c>
      <c r="E3855" t="s">
        <v>26</v>
      </c>
      <c r="F3855" t="s">
        <v>15</v>
      </c>
      <c r="G3855">
        <v>72.8</v>
      </c>
      <c r="H3855">
        <v>3249.4</v>
      </c>
      <c r="I3855" t="s">
        <v>15</v>
      </c>
      <c r="J3855" t="s">
        <v>15</v>
      </c>
      <c r="K3855" t="s">
        <v>24</v>
      </c>
      <c r="L3855">
        <v>3249.4</v>
      </c>
      <c r="M3855" t="s">
        <v>5033</v>
      </c>
      <c r="N3855" t="s">
        <v>5034</v>
      </c>
    </row>
    <row r="3856" spans="1:14" x14ac:dyDescent="0.3">
      <c r="A3856" t="s">
        <v>3880</v>
      </c>
      <c r="B3856" t="s">
        <v>12</v>
      </c>
      <c r="C3856" t="s">
        <v>13</v>
      </c>
      <c r="D3856">
        <v>50</v>
      </c>
      <c r="E3856" t="s">
        <v>26</v>
      </c>
      <c r="F3856" t="s">
        <v>16</v>
      </c>
      <c r="G3856">
        <v>109.65</v>
      </c>
      <c r="H3856">
        <v>5405.8</v>
      </c>
      <c r="I3856" t="s">
        <v>15</v>
      </c>
      <c r="J3856" t="s">
        <v>16</v>
      </c>
      <c r="K3856" t="s">
        <v>24</v>
      </c>
      <c r="L3856">
        <v>5405.8</v>
      </c>
      <c r="M3856" t="s">
        <v>5033</v>
      </c>
      <c r="N3856" t="s">
        <v>5034</v>
      </c>
    </row>
    <row r="3857" spans="1:14" x14ac:dyDescent="0.3">
      <c r="A3857" t="s">
        <v>3881</v>
      </c>
      <c r="B3857" t="s">
        <v>19</v>
      </c>
      <c r="C3857" t="s">
        <v>13</v>
      </c>
      <c r="D3857">
        <v>53</v>
      </c>
      <c r="E3857" t="s">
        <v>14</v>
      </c>
      <c r="F3857" t="s">
        <v>16</v>
      </c>
      <c r="G3857">
        <v>65</v>
      </c>
      <c r="H3857">
        <v>3363.8</v>
      </c>
      <c r="I3857" t="s">
        <v>15</v>
      </c>
      <c r="J3857" t="s">
        <v>15</v>
      </c>
      <c r="K3857" t="s">
        <v>29</v>
      </c>
      <c r="L3857">
        <v>3363.8</v>
      </c>
      <c r="M3857" t="s">
        <v>5033</v>
      </c>
      <c r="N3857" t="s">
        <v>5034</v>
      </c>
    </row>
    <row r="3858" spans="1:14" x14ac:dyDescent="0.3">
      <c r="A3858" t="s">
        <v>3882</v>
      </c>
      <c r="B3858" t="s">
        <v>19</v>
      </c>
      <c r="C3858" t="s">
        <v>13</v>
      </c>
      <c r="D3858">
        <v>61</v>
      </c>
      <c r="E3858" t="s">
        <v>26</v>
      </c>
      <c r="F3858" t="s">
        <v>16</v>
      </c>
      <c r="G3858">
        <v>114.1</v>
      </c>
      <c r="H3858">
        <v>7132.15</v>
      </c>
      <c r="I3858" t="s">
        <v>15</v>
      </c>
      <c r="J3858" t="s">
        <v>16</v>
      </c>
      <c r="K3858" t="s">
        <v>17</v>
      </c>
      <c r="L3858">
        <v>7132.15</v>
      </c>
      <c r="M3858" t="s">
        <v>5033</v>
      </c>
      <c r="N3858" t="s">
        <v>5034</v>
      </c>
    </row>
    <row r="3859" spans="1:14" x14ac:dyDescent="0.3">
      <c r="A3859" t="s">
        <v>3883</v>
      </c>
      <c r="B3859" t="s">
        <v>19</v>
      </c>
      <c r="C3859" t="s">
        <v>13</v>
      </c>
      <c r="D3859">
        <v>5</v>
      </c>
      <c r="E3859" t="s">
        <v>15</v>
      </c>
      <c r="F3859" t="s">
        <v>36</v>
      </c>
      <c r="G3859">
        <v>20.65</v>
      </c>
      <c r="H3859">
        <v>93.55</v>
      </c>
      <c r="I3859" t="s">
        <v>15</v>
      </c>
      <c r="J3859" t="s">
        <v>15</v>
      </c>
      <c r="K3859" t="s">
        <v>24</v>
      </c>
      <c r="L3859">
        <v>93.55</v>
      </c>
      <c r="M3859" t="s">
        <v>5030</v>
      </c>
      <c r="N3859" t="s">
        <v>5031</v>
      </c>
    </row>
    <row r="3860" spans="1:14" x14ac:dyDescent="0.3">
      <c r="A3860" t="s">
        <v>3884</v>
      </c>
      <c r="B3860" t="s">
        <v>19</v>
      </c>
      <c r="C3860" t="s">
        <v>20</v>
      </c>
      <c r="D3860">
        <v>47</v>
      </c>
      <c r="E3860" t="s">
        <v>14</v>
      </c>
      <c r="F3860" t="s">
        <v>16</v>
      </c>
      <c r="G3860">
        <v>86.95</v>
      </c>
      <c r="H3860">
        <v>4138.8999999999996</v>
      </c>
      <c r="I3860" t="s">
        <v>15</v>
      </c>
      <c r="J3860" t="s">
        <v>16</v>
      </c>
      <c r="K3860" t="s">
        <v>24</v>
      </c>
      <c r="L3860">
        <v>4138.8999999999996</v>
      </c>
      <c r="M3860" t="s">
        <v>5033</v>
      </c>
      <c r="N3860" t="s">
        <v>5034</v>
      </c>
    </row>
    <row r="3861" spans="1:14" x14ac:dyDescent="0.3">
      <c r="A3861" t="s">
        <v>3885</v>
      </c>
      <c r="B3861" t="s">
        <v>12</v>
      </c>
      <c r="C3861" t="s">
        <v>20</v>
      </c>
      <c r="D3861">
        <v>54</v>
      </c>
      <c r="E3861" t="s">
        <v>26</v>
      </c>
      <c r="F3861" t="s">
        <v>15</v>
      </c>
      <c r="G3861">
        <v>94.75</v>
      </c>
      <c r="H3861">
        <v>5121.75</v>
      </c>
      <c r="I3861" t="s">
        <v>15</v>
      </c>
      <c r="J3861" t="s">
        <v>16</v>
      </c>
      <c r="K3861" t="s">
        <v>24</v>
      </c>
      <c r="L3861">
        <v>5121.75</v>
      </c>
      <c r="M3861" t="s">
        <v>5033</v>
      </c>
      <c r="N3861" t="s">
        <v>5034</v>
      </c>
    </row>
    <row r="3862" spans="1:14" x14ac:dyDescent="0.3">
      <c r="A3862" t="s">
        <v>3886</v>
      </c>
      <c r="B3862" t="s">
        <v>19</v>
      </c>
      <c r="C3862" t="s">
        <v>13</v>
      </c>
      <c r="D3862">
        <v>19</v>
      </c>
      <c r="E3862" t="s">
        <v>14</v>
      </c>
      <c r="F3862" t="s">
        <v>15</v>
      </c>
      <c r="G3862">
        <v>25.35</v>
      </c>
      <c r="H3862">
        <v>566.1</v>
      </c>
      <c r="I3862" t="s">
        <v>15</v>
      </c>
      <c r="J3862" t="s">
        <v>16</v>
      </c>
      <c r="K3862" t="s">
        <v>29</v>
      </c>
      <c r="L3862">
        <v>566.1</v>
      </c>
      <c r="M3862" t="s">
        <v>5032</v>
      </c>
      <c r="N3862" t="s">
        <v>5031</v>
      </c>
    </row>
    <row r="3863" spans="1:14" x14ac:dyDescent="0.3">
      <c r="A3863" t="s">
        <v>3887</v>
      </c>
      <c r="B3863" t="s">
        <v>12</v>
      </c>
      <c r="C3863" t="s">
        <v>35</v>
      </c>
      <c r="D3863">
        <v>26</v>
      </c>
      <c r="E3863" t="s">
        <v>26</v>
      </c>
      <c r="F3863" t="s">
        <v>16</v>
      </c>
      <c r="G3863">
        <v>105.45</v>
      </c>
      <c r="H3863">
        <v>2715.3</v>
      </c>
      <c r="I3863" t="s">
        <v>15</v>
      </c>
      <c r="J3863" t="s">
        <v>16</v>
      </c>
      <c r="K3863" t="s">
        <v>17</v>
      </c>
      <c r="L3863">
        <v>2715.3</v>
      </c>
      <c r="M3863" t="s">
        <v>5032</v>
      </c>
      <c r="N3863" t="s">
        <v>5034</v>
      </c>
    </row>
    <row r="3864" spans="1:14" x14ac:dyDescent="0.3">
      <c r="A3864" t="s">
        <v>3888</v>
      </c>
      <c r="B3864" t="s">
        <v>19</v>
      </c>
      <c r="C3864" t="s">
        <v>35</v>
      </c>
      <c r="D3864">
        <v>70</v>
      </c>
      <c r="E3864" t="s">
        <v>15</v>
      </c>
      <c r="F3864" t="s">
        <v>36</v>
      </c>
      <c r="G3864">
        <v>25.4</v>
      </c>
      <c r="H3864">
        <v>1782.05</v>
      </c>
      <c r="I3864" t="s">
        <v>15</v>
      </c>
      <c r="J3864" t="s">
        <v>15</v>
      </c>
      <c r="K3864" t="s">
        <v>21</v>
      </c>
      <c r="L3864">
        <v>1782.05</v>
      </c>
      <c r="M3864" t="s">
        <v>5033</v>
      </c>
      <c r="N3864" t="s">
        <v>5031</v>
      </c>
    </row>
    <row r="3865" spans="1:14" x14ac:dyDescent="0.3">
      <c r="A3865" t="s">
        <v>3889</v>
      </c>
      <c r="B3865" t="s">
        <v>19</v>
      </c>
      <c r="C3865" t="s">
        <v>13</v>
      </c>
      <c r="D3865">
        <v>17</v>
      </c>
      <c r="E3865" t="s">
        <v>26</v>
      </c>
      <c r="F3865" t="s">
        <v>15</v>
      </c>
      <c r="G3865">
        <v>102.55</v>
      </c>
      <c r="H3865">
        <v>1742.5</v>
      </c>
      <c r="I3865" t="s">
        <v>15</v>
      </c>
      <c r="J3865" t="s">
        <v>16</v>
      </c>
      <c r="K3865" t="s">
        <v>17</v>
      </c>
      <c r="L3865">
        <v>1742.5</v>
      </c>
      <c r="M3865" t="s">
        <v>5032</v>
      </c>
      <c r="N3865" t="s">
        <v>5031</v>
      </c>
    </row>
    <row r="3866" spans="1:14" x14ac:dyDescent="0.3">
      <c r="A3866" t="s">
        <v>3890</v>
      </c>
      <c r="B3866" t="s">
        <v>12</v>
      </c>
      <c r="C3866" t="s">
        <v>13</v>
      </c>
      <c r="D3866">
        <v>30</v>
      </c>
      <c r="E3866" t="s">
        <v>26</v>
      </c>
      <c r="F3866" t="s">
        <v>15</v>
      </c>
      <c r="G3866">
        <v>100.2</v>
      </c>
      <c r="H3866">
        <v>2983.8</v>
      </c>
      <c r="I3866" t="s">
        <v>16</v>
      </c>
      <c r="J3866" t="s">
        <v>16</v>
      </c>
      <c r="K3866" t="s">
        <v>17</v>
      </c>
      <c r="L3866">
        <v>2983.8</v>
      </c>
      <c r="M3866" t="s">
        <v>5032</v>
      </c>
      <c r="N3866" t="s">
        <v>5034</v>
      </c>
    </row>
    <row r="3867" spans="1:14" x14ac:dyDescent="0.3">
      <c r="A3867" t="s">
        <v>3891</v>
      </c>
      <c r="B3867" t="s">
        <v>12</v>
      </c>
      <c r="C3867" t="s">
        <v>13</v>
      </c>
      <c r="D3867">
        <v>1</v>
      </c>
      <c r="E3867" t="s">
        <v>15</v>
      </c>
      <c r="F3867" t="s">
        <v>36</v>
      </c>
      <c r="G3867">
        <v>24</v>
      </c>
      <c r="H3867">
        <v>24</v>
      </c>
      <c r="I3867" t="s">
        <v>15</v>
      </c>
      <c r="J3867" t="s">
        <v>15</v>
      </c>
      <c r="K3867" t="s">
        <v>21</v>
      </c>
      <c r="L3867">
        <v>24</v>
      </c>
      <c r="M3867" t="s">
        <v>5030</v>
      </c>
      <c r="N3867" t="s">
        <v>5031</v>
      </c>
    </row>
    <row r="3868" spans="1:14" x14ac:dyDescent="0.3">
      <c r="A3868" t="s">
        <v>3892</v>
      </c>
      <c r="B3868" t="s">
        <v>12</v>
      </c>
      <c r="C3868" t="s">
        <v>35</v>
      </c>
      <c r="D3868">
        <v>19</v>
      </c>
      <c r="E3868" t="s">
        <v>15</v>
      </c>
      <c r="F3868" t="s">
        <v>36</v>
      </c>
      <c r="G3868">
        <v>25.6</v>
      </c>
      <c r="H3868">
        <v>485.9</v>
      </c>
      <c r="I3868" t="s">
        <v>15</v>
      </c>
      <c r="J3868" t="s">
        <v>15</v>
      </c>
      <c r="K3868" t="s">
        <v>21</v>
      </c>
      <c r="L3868">
        <v>485.9</v>
      </c>
      <c r="M3868" t="s">
        <v>5032</v>
      </c>
      <c r="N3868" t="s">
        <v>5031</v>
      </c>
    </row>
    <row r="3869" spans="1:14" x14ac:dyDescent="0.3">
      <c r="A3869" t="s">
        <v>3893</v>
      </c>
      <c r="B3869" t="s">
        <v>12</v>
      </c>
      <c r="C3869" t="s">
        <v>35</v>
      </c>
      <c r="D3869">
        <v>26</v>
      </c>
      <c r="E3869" t="s">
        <v>14</v>
      </c>
      <c r="F3869" t="s">
        <v>15</v>
      </c>
      <c r="G3869">
        <v>73.5</v>
      </c>
      <c r="H3869">
        <v>1905.7</v>
      </c>
      <c r="I3869" t="s">
        <v>15</v>
      </c>
      <c r="J3869" t="s">
        <v>16</v>
      </c>
      <c r="K3869" t="s">
        <v>29</v>
      </c>
      <c r="L3869">
        <v>1905.7</v>
      </c>
      <c r="M3869" t="s">
        <v>5032</v>
      </c>
      <c r="N3869" t="s">
        <v>5031</v>
      </c>
    </row>
    <row r="3870" spans="1:14" x14ac:dyDescent="0.3">
      <c r="A3870" t="s">
        <v>3894</v>
      </c>
      <c r="B3870" t="s">
        <v>12</v>
      </c>
      <c r="C3870" t="s">
        <v>13</v>
      </c>
      <c r="D3870">
        <v>21</v>
      </c>
      <c r="E3870" t="s">
        <v>26</v>
      </c>
      <c r="F3870" t="s">
        <v>15</v>
      </c>
      <c r="G3870">
        <v>74.05</v>
      </c>
      <c r="H3870">
        <v>1565.7</v>
      </c>
      <c r="I3870" t="s">
        <v>16</v>
      </c>
      <c r="J3870" t="s">
        <v>16</v>
      </c>
      <c r="K3870" t="s">
        <v>24</v>
      </c>
      <c r="L3870">
        <v>1565.7</v>
      </c>
      <c r="M3870" t="s">
        <v>5032</v>
      </c>
      <c r="N3870" t="s">
        <v>5031</v>
      </c>
    </row>
    <row r="3871" spans="1:14" x14ac:dyDescent="0.3">
      <c r="A3871" t="s">
        <v>3895</v>
      </c>
      <c r="B3871" t="s">
        <v>19</v>
      </c>
      <c r="C3871" t="s">
        <v>20</v>
      </c>
      <c r="D3871">
        <v>50</v>
      </c>
      <c r="E3871" t="s">
        <v>26</v>
      </c>
      <c r="F3871" t="s">
        <v>15</v>
      </c>
      <c r="G3871">
        <v>98.25</v>
      </c>
      <c r="H3871">
        <v>4858.7</v>
      </c>
      <c r="I3871" t="s">
        <v>15</v>
      </c>
      <c r="J3871" t="s">
        <v>16</v>
      </c>
      <c r="K3871" t="s">
        <v>17</v>
      </c>
      <c r="L3871">
        <v>4858.7</v>
      </c>
      <c r="M3871" t="s">
        <v>5033</v>
      </c>
      <c r="N3871" t="s">
        <v>5034</v>
      </c>
    </row>
    <row r="3872" spans="1:14" x14ac:dyDescent="0.3">
      <c r="A3872" t="s">
        <v>3896</v>
      </c>
      <c r="B3872" t="s">
        <v>12</v>
      </c>
      <c r="C3872" t="s">
        <v>20</v>
      </c>
      <c r="D3872">
        <v>68</v>
      </c>
      <c r="E3872" t="s">
        <v>14</v>
      </c>
      <c r="F3872" t="s">
        <v>15</v>
      </c>
      <c r="G3872">
        <v>54.4</v>
      </c>
      <c r="H3872">
        <v>3723.65</v>
      </c>
      <c r="I3872" t="s">
        <v>15</v>
      </c>
      <c r="J3872" t="s">
        <v>16</v>
      </c>
      <c r="K3872" t="s">
        <v>17</v>
      </c>
      <c r="L3872">
        <v>3723.65</v>
      </c>
      <c r="M3872" t="s">
        <v>5033</v>
      </c>
      <c r="N3872" t="s">
        <v>5034</v>
      </c>
    </row>
    <row r="3873" spans="1:14" x14ac:dyDescent="0.3">
      <c r="A3873" t="s">
        <v>3897</v>
      </c>
      <c r="B3873" t="s">
        <v>19</v>
      </c>
      <c r="C3873" t="s">
        <v>13</v>
      </c>
      <c r="D3873">
        <v>3</v>
      </c>
      <c r="E3873" t="s">
        <v>26</v>
      </c>
      <c r="F3873" t="s">
        <v>15</v>
      </c>
      <c r="G3873">
        <v>101.55</v>
      </c>
      <c r="H3873">
        <v>298.35000000000002</v>
      </c>
      <c r="I3873" t="s">
        <v>16</v>
      </c>
      <c r="J3873" t="s">
        <v>16</v>
      </c>
      <c r="K3873" t="s">
        <v>24</v>
      </c>
      <c r="L3873">
        <v>298.35000000000002</v>
      </c>
      <c r="M3873" t="s">
        <v>5030</v>
      </c>
      <c r="N3873" t="s">
        <v>5031</v>
      </c>
    </row>
    <row r="3874" spans="1:14" x14ac:dyDescent="0.3">
      <c r="A3874" t="s">
        <v>3898</v>
      </c>
      <c r="B3874" t="s">
        <v>19</v>
      </c>
      <c r="C3874" t="s">
        <v>13</v>
      </c>
      <c r="D3874">
        <v>9</v>
      </c>
      <c r="E3874" t="s">
        <v>26</v>
      </c>
      <c r="F3874" t="s">
        <v>16</v>
      </c>
      <c r="G3874">
        <v>103.1</v>
      </c>
      <c r="H3874">
        <v>970.45</v>
      </c>
      <c r="I3874" t="s">
        <v>15</v>
      </c>
      <c r="J3874" t="s">
        <v>15</v>
      </c>
      <c r="K3874" t="s">
        <v>17</v>
      </c>
      <c r="L3874">
        <v>970.45</v>
      </c>
      <c r="M3874" t="s">
        <v>5030</v>
      </c>
      <c r="N3874" t="s">
        <v>5031</v>
      </c>
    </row>
    <row r="3875" spans="1:14" x14ac:dyDescent="0.3">
      <c r="A3875" t="s">
        <v>3899</v>
      </c>
      <c r="B3875" t="s">
        <v>12</v>
      </c>
      <c r="C3875" t="s">
        <v>35</v>
      </c>
      <c r="D3875">
        <v>51</v>
      </c>
      <c r="E3875" t="s">
        <v>14</v>
      </c>
      <c r="F3875" t="s">
        <v>16</v>
      </c>
      <c r="G3875">
        <v>34.200000000000003</v>
      </c>
      <c r="H3875">
        <v>1782</v>
      </c>
      <c r="I3875" t="s">
        <v>15</v>
      </c>
      <c r="J3875" t="s">
        <v>15</v>
      </c>
      <c r="K3875" t="s">
        <v>24</v>
      </c>
      <c r="L3875">
        <v>1782</v>
      </c>
      <c r="M3875" t="s">
        <v>5033</v>
      </c>
      <c r="N3875" t="s">
        <v>5031</v>
      </c>
    </row>
    <row r="3876" spans="1:14" x14ac:dyDescent="0.3">
      <c r="A3876" t="s">
        <v>3900</v>
      </c>
      <c r="B3876" t="s">
        <v>12</v>
      </c>
      <c r="C3876" t="s">
        <v>13</v>
      </c>
      <c r="D3876">
        <v>9</v>
      </c>
      <c r="E3876" t="s">
        <v>14</v>
      </c>
      <c r="F3876" t="s">
        <v>15</v>
      </c>
      <c r="G3876">
        <v>43.75</v>
      </c>
      <c r="H3876">
        <v>405.7</v>
      </c>
      <c r="I3876" t="s">
        <v>15</v>
      </c>
      <c r="J3876" t="s">
        <v>16</v>
      </c>
      <c r="K3876" t="s">
        <v>17</v>
      </c>
      <c r="L3876">
        <v>405.7</v>
      </c>
      <c r="M3876" t="s">
        <v>5030</v>
      </c>
      <c r="N3876" t="s">
        <v>5031</v>
      </c>
    </row>
    <row r="3877" spans="1:14" x14ac:dyDescent="0.3">
      <c r="A3877" t="s">
        <v>3901</v>
      </c>
      <c r="B3877" t="s">
        <v>19</v>
      </c>
      <c r="C3877" t="s">
        <v>20</v>
      </c>
      <c r="D3877">
        <v>41</v>
      </c>
      <c r="E3877" t="s">
        <v>26</v>
      </c>
      <c r="F3877" t="s">
        <v>16</v>
      </c>
      <c r="G3877">
        <v>111.95</v>
      </c>
      <c r="H3877">
        <v>4534.8999999999996</v>
      </c>
      <c r="I3877" t="s">
        <v>16</v>
      </c>
      <c r="J3877" t="s">
        <v>16</v>
      </c>
      <c r="K3877" t="s">
        <v>17</v>
      </c>
      <c r="L3877">
        <v>4534.8999999999996</v>
      </c>
      <c r="M3877" t="s">
        <v>5033</v>
      </c>
      <c r="N3877" t="s">
        <v>5034</v>
      </c>
    </row>
    <row r="3878" spans="1:14" x14ac:dyDescent="0.3">
      <c r="A3878" t="s">
        <v>3902</v>
      </c>
      <c r="B3878" t="s">
        <v>19</v>
      </c>
      <c r="C3878" t="s">
        <v>13</v>
      </c>
      <c r="D3878">
        <v>22</v>
      </c>
      <c r="E3878" t="s">
        <v>26</v>
      </c>
      <c r="F3878" t="s">
        <v>15</v>
      </c>
      <c r="G3878">
        <v>100.65</v>
      </c>
      <c r="H3878">
        <v>2415.9499999999998</v>
      </c>
      <c r="I3878" t="s">
        <v>15</v>
      </c>
      <c r="J3878" t="s">
        <v>16</v>
      </c>
      <c r="K3878" t="s">
        <v>17</v>
      </c>
      <c r="L3878">
        <v>2415.9499999999998</v>
      </c>
      <c r="M3878" t="s">
        <v>5032</v>
      </c>
      <c r="N3878" t="s">
        <v>5031</v>
      </c>
    </row>
    <row r="3879" spans="1:14" x14ac:dyDescent="0.3">
      <c r="A3879" t="s">
        <v>3903</v>
      </c>
      <c r="B3879" t="s">
        <v>12</v>
      </c>
      <c r="C3879" t="s">
        <v>20</v>
      </c>
      <c r="D3879">
        <v>21</v>
      </c>
      <c r="E3879" t="s">
        <v>14</v>
      </c>
      <c r="F3879" t="s">
        <v>15</v>
      </c>
      <c r="G3879">
        <v>55.95</v>
      </c>
      <c r="H3879">
        <v>1157.05</v>
      </c>
      <c r="I3879" t="s">
        <v>16</v>
      </c>
      <c r="J3879" t="s">
        <v>16</v>
      </c>
      <c r="K3879" t="s">
        <v>17</v>
      </c>
      <c r="L3879">
        <v>1157.05</v>
      </c>
      <c r="M3879" t="s">
        <v>5032</v>
      </c>
      <c r="N3879" t="s">
        <v>5031</v>
      </c>
    </row>
    <row r="3880" spans="1:14" x14ac:dyDescent="0.3">
      <c r="A3880" t="s">
        <v>3904</v>
      </c>
      <c r="B3880" t="s">
        <v>19</v>
      </c>
      <c r="C3880" t="s">
        <v>35</v>
      </c>
      <c r="D3880">
        <v>71</v>
      </c>
      <c r="E3880" t="s">
        <v>26</v>
      </c>
      <c r="F3880" t="s">
        <v>16</v>
      </c>
      <c r="G3880">
        <v>116.05</v>
      </c>
      <c r="H3880">
        <v>8297.5</v>
      </c>
      <c r="I3880" t="s">
        <v>15</v>
      </c>
      <c r="J3880" t="s">
        <v>16</v>
      </c>
      <c r="K3880" t="s">
        <v>24</v>
      </c>
      <c r="L3880">
        <v>8297.5</v>
      </c>
      <c r="M3880" t="s">
        <v>5033</v>
      </c>
      <c r="N3880" t="s">
        <v>5034</v>
      </c>
    </row>
    <row r="3881" spans="1:14" x14ac:dyDescent="0.3">
      <c r="A3881" t="s">
        <v>3905</v>
      </c>
      <c r="B3881" t="s">
        <v>19</v>
      </c>
      <c r="C3881" t="s">
        <v>13</v>
      </c>
      <c r="D3881">
        <v>1</v>
      </c>
      <c r="E3881" t="s">
        <v>14</v>
      </c>
      <c r="F3881" t="s">
        <v>15</v>
      </c>
      <c r="G3881">
        <v>45.75</v>
      </c>
      <c r="H3881">
        <v>45.75</v>
      </c>
      <c r="I3881" t="s">
        <v>16</v>
      </c>
      <c r="J3881" t="s">
        <v>15</v>
      </c>
      <c r="K3881" t="s">
        <v>17</v>
      </c>
      <c r="L3881">
        <v>45.75</v>
      </c>
      <c r="M3881" t="s">
        <v>5030</v>
      </c>
      <c r="N3881" t="s">
        <v>5031</v>
      </c>
    </row>
    <row r="3882" spans="1:14" x14ac:dyDescent="0.3">
      <c r="A3882" t="s">
        <v>3906</v>
      </c>
      <c r="B3882" t="s">
        <v>19</v>
      </c>
      <c r="C3882" t="s">
        <v>20</v>
      </c>
      <c r="D3882">
        <v>26</v>
      </c>
      <c r="E3882" t="s">
        <v>14</v>
      </c>
      <c r="F3882" t="s">
        <v>16</v>
      </c>
      <c r="G3882">
        <v>82</v>
      </c>
      <c r="H3882">
        <v>2083.1</v>
      </c>
      <c r="I3882" t="s">
        <v>15</v>
      </c>
      <c r="J3882" t="s">
        <v>16</v>
      </c>
      <c r="K3882" t="s">
        <v>29</v>
      </c>
      <c r="L3882">
        <v>2083.1</v>
      </c>
      <c r="M3882" t="s">
        <v>5032</v>
      </c>
      <c r="N3882" t="s">
        <v>5031</v>
      </c>
    </row>
    <row r="3883" spans="1:14" x14ac:dyDescent="0.3">
      <c r="A3883" t="s">
        <v>3907</v>
      </c>
      <c r="B3883" t="s">
        <v>19</v>
      </c>
      <c r="C3883" t="s">
        <v>35</v>
      </c>
      <c r="D3883">
        <v>71</v>
      </c>
      <c r="E3883" t="s">
        <v>14</v>
      </c>
      <c r="F3883" t="s">
        <v>16</v>
      </c>
      <c r="G3883">
        <v>65.150000000000006</v>
      </c>
      <c r="H3883">
        <v>4681.75</v>
      </c>
      <c r="I3883" t="s">
        <v>15</v>
      </c>
      <c r="J3883" t="s">
        <v>15</v>
      </c>
      <c r="K3883" t="s">
        <v>24</v>
      </c>
      <c r="L3883">
        <v>4681.75</v>
      </c>
      <c r="M3883" t="s">
        <v>5033</v>
      </c>
      <c r="N3883" t="s">
        <v>5034</v>
      </c>
    </row>
    <row r="3884" spans="1:14" x14ac:dyDescent="0.3">
      <c r="A3884" t="s">
        <v>3908</v>
      </c>
      <c r="B3884" t="s">
        <v>19</v>
      </c>
      <c r="C3884" t="s">
        <v>13</v>
      </c>
      <c r="D3884">
        <v>4</v>
      </c>
      <c r="E3884" t="s">
        <v>14</v>
      </c>
      <c r="F3884" t="s">
        <v>15</v>
      </c>
      <c r="G3884">
        <v>44.8</v>
      </c>
      <c r="H3884">
        <v>176.2</v>
      </c>
      <c r="I3884" t="s">
        <v>15</v>
      </c>
      <c r="J3884" t="s">
        <v>16</v>
      </c>
      <c r="K3884" t="s">
        <v>29</v>
      </c>
      <c r="L3884">
        <v>176.2</v>
      </c>
      <c r="M3884" t="s">
        <v>5030</v>
      </c>
      <c r="N3884" t="s">
        <v>5031</v>
      </c>
    </row>
    <row r="3885" spans="1:14" x14ac:dyDescent="0.3">
      <c r="A3885" t="s">
        <v>3909</v>
      </c>
      <c r="B3885" t="s">
        <v>12</v>
      </c>
      <c r="C3885" t="s">
        <v>13</v>
      </c>
      <c r="D3885">
        <v>12</v>
      </c>
      <c r="E3885" t="s">
        <v>26</v>
      </c>
      <c r="F3885" t="s">
        <v>15</v>
      </c>
      <c r="G3885">
        <v>79.8</v>
      </c>
      <c r="H3885">
        <v>1001.2</v>
      </c>
      <c r="I3885" t="s">
        <v>15</v>
      </c>
      <c r="J3885" t="s">
        <v>16</v>
      </c>
      <c r="K3885" t="s">
        <v>17</v>
      </c>
      <c r="L3885">
        <v>1001.2</v>
      </c>
      <c r="M3885" t="s">
        <v>5030</v>
      </c>
      <c r="N3885" t="s">
        <v>5031</v>
      </c>
    </row>
    <row r="3886" spans="1:14" x14ac:dyDescent="0.3">
      <c r="A3886" t="s">
        <v>3910</v>
      </c>
      <c r="B3886" t="s">
        <v>12</v>
      </c>
      <c r="C3886" t="s">
        <v>13</v>
      </c>
      <c r="D3886">
        <v>18</v>
      </c>
      <c r="E3886" t="s">
        <v>26</v>
      </c>
      <c r="F3886" t="s">
        <v>16</v>
      </c>
      <c r="G3886">
        <v>88.85</v>
      </c>
      <c r="H3886">
        <v>1594.75</v>
      </c>
      <c r="I3886" t="s">
        <v>15</v>
      </c>
      <c r="J3886" t="s">
        <v>16</v>
      </c>
      <c r="K3886" t="s">
        <v>17</v>
      </c>
      <c r="L3886">
        <v>1594.75</v>
      </c>
      <c r="M3886" t="s">
        <v>5032</v>
      </c>
      <c r="N3886" t="s">
        <v>5031</v>
      </c>
    </row>
    <row r="3887" spans="1:14" x14ac:dyDescent="0.3">
      <c r="A3887" t="s">
        <v>3911</v>
      </c>
      <c r="B3887" t="s">
        <v>12</v>
      </c>
      <c r="C3887" t="s">
        <v>13</v>
      </c>
      <c r="D3887">
        <v>3</v>
      </c>
      <c r="E3887" t="s">
        <v>26</v>
      </c>
      <c r="F3887" t="s">
        <v>15</v>
      </c>
      <c r="G3887">
        <v>74.95</v>
      </c>
      <c r="H3887">
        <v>212.4</v>
      </c>
      <c r="I3887" t="s">
        <v>15</v>
      </c>
      <c r="J3887" t="s">
        <v>16</v>
      </c>
      <c r="K3887" t="s">
        <v>17</v>
      </c>
      <c r="L3887">
        <v>212.4</v>
      </c>
      <c r="M3887" t="s">
        <v>5030</v>
      </c>
      <c r="N3887" t="s">
        <v>5031</v>
      </c>
    </row>
    <row r="3888" spans="1:14" x14ac:dyDescent="0.3">
      <c r="A3888" t="s">
        <v>3912</v>
      </c>
      <c r="B3888" t="s">
        <v>12</v>
      </c>
      <c r="C3888" t="s">
        <v>20</v>
      </c>
      <c r="D3888">
        <v>72</v>
      </c>
      <c r="E3888" t="s">
        <v>26</v>
      </c>
      <c r="F3888" t="s">
        <v>15</v>
      </c>
      <c r="G3888">
        <v>106.85</v>
      </c>
      <c r="H3888">
        <v>7677.4</v>
      </c>
      <c r="I3888" t="s">
        <v>15</v>
      </c>
      <c r="J3888" t="s">
        <v>16</v>
      </c>
      <c r="K3888" t="s">
        <v>24</v>
      </c>
      <c r="L3888">
        <v>7677.4</v>
      </c>
      <c r="M3888" t="s">
        <v>5033</v>
      </c>
      <c r="N3888" t="s">
        <v>5034</v>
      </c>
    </row>
    <row r="3889" spans="1:14" x14ac:dyDescent="0.3">
      <c r="A3889" t="s">
        <v>3913</v>
      </c>
      <c r="B3889" t="s">
        <v>19</v>
      </c>
      <c r="C3889" t="s">
        <v>13</v>
      </c>
      <c r="D3889">
        <v>11</v>
      </c>
      <c r="E3889" t="s">
        <v>26</v>
      </c>
      <c r="F3889" t="s">
        <v>15</v>
      </c>
      <c r="G3889">
        <v>74.95</v>
      </c>
      <c r="H3889">
        <v>815.5</v>
      </c>
      <c r="I3889" t="s">
        <v>16</v>
      </c>
      <c r="J3889" t="s">
        <v>15</v>
      </c>
      <c r="K3889" t="s">
        <v>17</v>
      </c>
      <c r="L3889">
        <v>815.5</v>
      </c>
      <c r="M3889" t="s">
        <v>5030</v>
      </c>
      <c r="N3889" t="s">
        <v>5031</v>
      </c>
    </row>
    <row r="3890" spans="1:14" x14ac:dyDescent="0.3">
      <c r="A3890" t="s">
        <v>3914</v>
      </c>
      <c r="B3890" t="s">
        <v>12</v>
      </c>
      <c r="C3890" t="s">
        <v>13</v>
      </c>
      <c r="D3890">
        <v>1</v>
      </c>
      <c r="E3890" t="s">
        <v>26</v>
      </c>
      <c r="F3890" t="s">
        <v>15</v>
      </c>
      <c r="G3890">
        <v>80.150000000000006</v>
      </c>
      <c r="H3890">
        <v>80.150000000000006</v>
      </c>
      <c r="I3890" t="s">
        <v>16</v>
      </c>
      <c r="J3890" t="s">
        <v>15</v>
      </c>
      <c r="K3890" t="s">
        <v>29</v>
      </c>
      <c r="L3890">
        <v>80.150000000000006</v>
      </c>
      <c r="M3890" t="s">
        <v>5030</v>
      </c>
      <c r="N3890" t="s">
        <v>5031</v>
      </c>
    </row>
    <row r="3891" spans="1:14" x14ac:dyDescent="0.3">
      <c r="A3891" t="s">
        <v>3915</v>
      </c>
      <c r="B3891" t="s">
        <v>19</v>
      </c>
      <c r="C3891" t="s">
        <v>20</v>
      </c>
      <c r="D3891">
        <v>13</v>
      </c>
      <c r="E3891" t="s">
        <v>15</v>
      </c>
      <c r="F3891" t="s">
        <v>36</v>
      </c>
      <c r="G3891">
        <v>19.3</v>
      </c>
      <c r="H3891">
        <v>259.64999999999998</v>
      </c>
      <c r="I3891" t="s">
        <v>15</v>
      </c>
      <c r="J3891" t="s">
        <v>15</v>
      </c>
      <c r="K3891" t="s">
        <v>29</v>
      </c>
      <c r="L3891">
        <v>259.64999999999998</v>
      </c>
      <c r="M3891" t="s">
        <v>5032</v>
      </c>
      <c r="N3891" t="s">
        <v>5031</v>
      </c>
    </row>
    <row r="3892" spans="1:14" x14ac:dyDescent="0.3">
      <c r="A3892" t="s">
        <v>3916</v>
      </c>
      <c r="B3892" t="s">
        <v>12</v>
      </c>
      <c r="C3892" t="s">
        <v>20</v>
      </c>
      <c r="D3892">
        <v>72</v>
      </c>
      <c r="E3892" t="s">
        <v>26</v>
      </c>
      <c r="F3892" t="s">
        <v>16</v>
      </c>
      <c r="G3892">
        <v>109.25</v>
      </c>
      <c r="H3892">
        <v>8109.8</v>
      </c>
      <c r="I3892" t="s">
        <v>16</v>
      </c>
      <c r="J3892" t="s">
        <v>16</v>
      </c>
      <c r="K3892" t="s">
        <v>17</v>
      </c>
      <c r="L3892">
        <v>8109.8</v>
      </c>
      <c r="M3892" t="s">
        <v>5033</v>
      </c>
      <c r="N3892" t="s">
        <v>5034</v>
      </c>
    </row>
    <row r="3893" spans="1:14" x14ac:dyDescent="0.3">
      <c r="A3893" t="s">
        <v>3917</v>
      </c>
      <c r="B3893" t="s">
        <v>19</v>
      </c>
      <c r="C3893" t="s">
        <v>20</v>
      </c>
      <c r="D3893">
        <v>42</v>
      </c>
      <c r="E3893" t="s">
        <v>14</v>
      </c>
      <c r="F3893" t="s">
        <v>15</v>
      </c>
      <c r="G3893">
        <v>56.1</v>
      </c>
      <c r="H3893">
        <v>2386.85</v>
      </c>
      <c r="I3893" t="s">
        <v>15</v>
      </c>
      <c r="J3893" t="s">
        <v>15</v>
      </c>
      <c r="K3893" t="s">
        <v>29</v>
      </c>
      <c r="L3893">
        <v>2386.85</v>
      </c>
      <c r="M3893" t="s">
        <v>5033</v>
      </c>
      <c r="N3893" t="s">
        <v>5031</v>
      </c>
    </row>
    <row r="3894" spans="1:14" x14ac:dyDescent="0.3">
      <c r="A3894" t="s">
        <v>3918</v>
      </c>
      <c r="B3894" t="s">
        <v>12</v>
      </c>
      <c r="C3894" t="s">
        <v>13</v>
      </c>
      <c r="D3894">
        <v>17</v>
      </c>
      <c r="E3894" t="s">
        <v>15</v>
      </c>
      <c r="F3894" t="s">
        <v>36</v>
      </c>
      <c r="G3894">
        <v>19.7</v>
      </c>
      <c r="H3894">
        <v>340.35</v>
      </c>
      <c r="I3894" t="s">
        <v>15</v>
      </c>
      <c r="J3894" t="s">
        <v>15</v>
      </c>
      <c r="K3894" t="s">
        <v>29</v>
      </c>
      <c r="L3894">
        <v>340.35</v>
      </c>
      <c r="M3894" t="s">
        <v>5032</v>
      </c>
      <c r="N3894" t="s">
        <v>5031</v>
      </c>
    </row>
    <row r="3895" spans="1:14" x14ac:dyDescent="0.3">
      <c r="A3895" t="s">
        <v>3919</v>
      </c>
      <c r="B3895" t="s">
        <v>12</v>
      </c>
      <c r="C3895" t="s">
        <v>13</v>
      </c>
      <c r="D3895">
        <v>7</v>
      </c>
      <c r="E3895" t="s">
        <v>14</v>
      </c>
      <c r="F3895" t="s">
        <v>15</v>
      </c>
      <c r="G3895">
        <v>51.3</v>
      </c>
      <c r="H3895">
        <v>419.35</v>
      </c>
      <c r="I3895" t="s">
        <v>15</v>
      </c>
      <c r="J3895" t="s">
        <v>16</v>
      </c>
      <c r="K3895" t="s">
        <v>21</v>
      </c>
      <c r="L3895">
        <v>419.35</v>
      </c>
      <c r="M3895" t="s">
        <v>5030</v>
      </c>
      <c r="N3895" t="s">
        <v>5031</v>
      </c>
    </row>
    <row r="3896" spans="1:14" x14ac:dyDescent="0.3">
      <c r="A3896" t="s">
        <v>3920</v>
      </c>
      <c r="B3896" t="s">
        <v>12</v>
      </c>
      <c r="C3896" t="s">
        <v>35</v>
      </c>
      <c r="D3896">
        <v>68</v>
      </c>
      <c r="E3896" t="s">
        <v>26</v>
      </c>
      <c r="F3896" t="s">
        <v>16</v>
      </c>
      <c r="G3896">
        <v>118.6</v>
      </c>
      <c r="H3896">
        <v>7990.05</v>
      </c>
      <c r="I3896" t="s">
        <v>15</v>
      </c>
      <c r="J3896" t="s">
        <v>15</v>
      </c>
      <c r="K3896" t="s">
        <v>21</v>
      </c>
      <c r="L3896">
        <v>7990.05</v>
      </c>
      <c r="M3896" t="s">
        <v>5033</v>
      </c>
      <c r="N3896" t="s">
        <v>5034</v>
      </c>
    </row>
    <row r="3897" spans="1:14" x14ac:dyDescent="0.3">
      <c r="A3897" t="s">
        <v>3921</v>
      </c>
      <c r="B3897" t="s">
        <v>19</v>
      </c>
      <c r="C3897" t="s">
        <v>35</v>
      </c>
      <c r="D3897">
        <v>56</v>
      </c>
      <c r="E3897" t="s">
        <v>15</v>
      </c>
      <c r="F3897" t="s">
        <v>36</v>
      </c>
      <c r="G3897">
        <v>24.15</v>
      </c>
      <c r="H3897">
        <v>1402.25</v>
      </c>
      <c r="I3897" t="s">
        <v>15</v>
      </c>
      <c r="J3897" t="s">
        <v>15</v>
      </c>
      <c r="K3897" t="s">
        <v>24</v>
      </c>
      <c r="L3897">
        <v>1402.25</v>
      </c>
      <c r="M3897" t="s">
        <v>5033</v>
      </c>
      <c r="N3897" t="s">
        <v>5031</v>
      </c>
    </row>
    <row r="3898" spans="1:14" x14ac:dyDescent="0.3">
      <c r="A3898" t="s">
        <v>3922</v>
      </c>
      <c r="B3898" t="s">
        <v>12</v>
      </c>
      <c r="C3898" t="s">
        <v>20</v>
      </c>
      <c r="D3898">
        <v>38</v>
      </c>
      <c r="E3898" t="s">
        <v>15</v>
      </c>
      <c r="F3898" t="s">
        <v>36</v>
      </c>
      <c r="G3898">
        <v>20.3</v>
      </c>
      <c r="H3898">
        <v>749.35</v>
      </c>
      <c r="I3898" t="s">
        <v>15</v>
      </c>
      <c r="J3898" t="s">
        <v>15</v>
      </c>
      <c r="K3898" t="s">
        <v>21</v>
      </c>
      <c r="L3898">
        <v>749.35</v>
      </c>
      <c r="M3898" t="s">
        <v>5033</v>
      </c>
      <c r="N3898" t="s">
        <v>5031</v>
      </c>
    </row>
    <row r="3899" spans="1:14" x14ac:dyDescent="0.3">
      <c r="A3899" t="s">
        <v>3923</v>
      </c>
      <c r="B3899" t="s">
        <v>12</v>
      </c>
      <c r="C3899" t="s">
        <v>35</v>
      </c>
      <c r="D3899">
        <v>72</v>
      </c>
      <c r="E3899" t="s">
        <v>26</v>
      </c>
      <c r="F3899" t="s">
        <v>16</v>
      </c>
      <c r="G3899">
        <v>115.5</v>
      </c>
      <c r="H3899">
        <v>8425.15</v>
      </c>
      <c r="I3899" t="s">
        <v>15</v>
      </c>
      <c r="J3899" t="s">
        <v>16</v>
      </c>
      <c r="K3899" t="s">
        <v>17</v>
      </c>
      <c r="L3899">
        <v>8425.15</v>
      </c>
      <c r="M3899" t="s">
        <v>5033</v>
      </c>
      <c r="N3899" t="s">
        <v>5034</v>
      </c>
    </row>
    <row r="3900" spans="1:14" x14ac:dyDescent="0.3">
      <c r="A3900" t="s">
        <v>3924</v>
      </c>
      <c r="B3900" t="s">
        <v>12</v>
      </c>
      <c r="C3900" t="s">
        <v>20</v>
      </c>
      <c r="D3900">
        <v>48</v>
      </c>
      <c r="E3900" t="s">
        <v>15</v>
      </c>
      <c r="F3900" t="s">
        <v>36</v>
      </c>
      <c r="G3900">
        <v>25.05</v>
      </c>
      <c r="H3900">
        <v>1171.5</v>
      </c>
      <c r="I3900" t="s">
        <v>15</v>
      </c>
      <c r="J3900" t="s">
        <v>15</v>
      </c>
      <c r="K3900" t="s">
        <v>29</v>
      </c>
      <c r="L3900">
        <v>1171.5</v>
      </c>
      <c r="M3900" t="s">
        <v>5033</v>
      </c>
      <c r="N3900" t="s">
        <v>5031</v>
      </c>
    </row>
    <row r="3901" spans="1:14" x14ac:dyDescent="0.3">
      <c r="A3901" t="s">
        <v>3925</v>
      </c>
      <c r="B3901" t="s">
        <v>12</v>
      </c>
      <c r="C3901" t="s">
        <v>13</v>
      </c>
      <c r="D3901">
        <v>52</v>
      </c>
      <c r="E3901" t="s">
        <v>26</v>
      </c>
      <c r="F3901" t="s">
        <v>15</v>
      </c>
      <c r="G3901">
        <v>109.1</v>
      </c>
      <c r="H3901">
        <v>5647.95</v>
      </c>
      <c r="I3901" t="s">
        <v>15</v>
      </c>
      <c r="J3901" t="s">
        <v>16</v>
      </c>
      <c r="K3901" t="s">
        <v>17</v>
      </c>
      <c r="L3901">
        <v>5647.95</v>
      </c>
      <c r="M3901" t="s">
        <v>5033</v>
      </c>
      <c r="N3901" t="s">
        <v>5034</v>
      </c>
    </row>
    <row r="3902" spans="1:14" x14ac:dyDescent="0.3">
      <c r="A3902" t="s">
        <v>3926</v>
      </c>
      <c r="B3902" t="s">
        <v>12</v>
      </c>
      <c r="C3902" t="s">
        <v>20</v>
      </c>
      <c r="D3902">
        <v>35</v>
      </c>
      <c r="E3902" t="s">
        <v>15</v>
      </c>
      <c r="F3902" t="s">
        <v>36</v>
      </c>
      <c r="G3902">
        <v>19.649999999999999</v>
      </c>
      <c r="H3902">
        <v>708.8</v>
      </c>
      <c r="I3902" t="s">
        <v>15</v>
      </c>
      <c r="J3902" t="s">
        <v>15</v>
      </c>
      <c r="K3902" t="s">
        <v>21</v>
      </c>
      <c r="L3902">
        <v>708.8</v>
      </c>
      <c r="M3902" t="s">
        <v>5032</v>
      </c>
      <c r="N3902" t="s">
        <v>5031</v>
      </c>
    </row>
    <row r="3903" spans="1:14" x14ac:dyDescent="0.3">
      <c r="A3903" t="s">
        <v>3927</v>
      </c>
      <c r="B3903" t="s">
        <v>19</v>
      </c>
      <c r="C3903" t="s">
        <v>35</v>
      </c>
      <c r="D3903">
        <v>67</v>
      </c>
      <c r="E3903" t="s">
        <v>26</v>
      </c>
      <c r="F3903" t="s">
        <v>16</v>
      </c>
      <c r="G3903">
        <v>111.3</v>
      </c>
      <c r="H3903">
        <v>7567.2</v>
      </c>
      <c r="I3903" t="s">
        <v>15</v>
      </c>
      <c r="J3903" t="s">
        <v>16</v>
      </c>
      <c r="K3903" t="s">
        <v>24</v>
      </c>
      <c r="L3903">
        <v>7567.2</v>
      </c>
      <c r="M3903" t="s">
        <v>5033</v>
      </c>
      <c r="N3903" t="s">
        <v>5034</v>
      </c>
    </row>
    <row r="3904" spans="1:14" x14ac:dyDescent="0.3">
      <c r="A3904" t="s">
        <v>3928</v>
      </c>
      <c r="B3904" t="s">
        <v>12</v>
      </c>
      <c r="C3904" t="s">
        <v>13</v>
      </c>
      <c r="D3904">
        <v>1</v>
      </c>
      <c r="E3904" t="s">
        <v>14</v>
      </c>
      <c r="F3904" t="s">
        <v>15</v>
      </c>
      <c r="G3904">
        <v>29.9</v>
      </c>
      <c r="H3904">
        <v>29.9</v>
      </c>
      <c r="I3904" t="s">
        <v>15</v>
      </c>
      <c r="J3904" t="s">
        <v>15</v>
      </c>
      <c r="K3904" t="s">
        <v>21</v>
      </c>
      <c r="L3904">
        <v>29.9</v>
      </c>
      <c r="M3904" t="s">
        <v>5030</v>
      </c>
      <c r="N3904" t="s">
        <v>5031</v>
      </c>
    </row>
    <row r="3905" spans="1:14" x14ac:dyDescent="0.3">
      <c r="A3905" t="s">
        <v>3929</v>
      </c>
      <c r="B3905" t="s">
        <v>19</v>
      </c>
      <c r="C3905" t="s">
        <v>13</v>
      </c>
      <c r="D3905">
        <v>53</v>
      </c>
      <c r="E3905" t="s">
        <v>26</v>
      </c>
      <c r="F3905" t="s">
        <v>16</v>
      </c>
      <c r="G3905">
        <v>80.599999999999994</v>
      </c>
      <c r="H3905">
        <v>4348.1000000000004</v>
      </c>
      <c r="I3905" t="s">
        <v>15</v>
      </c>
      <c r="J3905" t="s">
        <v>16</v>
      </c>
      <c r="K3905" t="s">
        <v>21</v>
      </c>
      <c r="L3905">
        <v>4348.1000000000004</v>
      </c>
      <c r="M3905" t="s">
        <v>5033</v>
      </c>
      <c r="N3905" t="s">
        <v>5034</v>
      </c>
    </row>
    <row r="3906" spans="1:14" x14ac:dyDescent="0.3">
      <c r="A3906" t="s">
        <v>3930</v>
      </c>
      <c r="B3906" t="s">
        <v>19</v>
      </c>
      <c r="C3906" t="s">
        <v>13</v>
      </c>
      <c r="D3906">
        <v>34</v>
      </c>
      <c r="E3906" t="s">
        <v>15</v>
      </c>
      <c r="F3906" t="s">
        <v>36</v>
      </c>
      <c r="G3906">
        <v>20.8</v>
      </c>
      <c r="H3906">
        <v>635.9</v>
      </c>
      <c r="I3906" t="s">
        <v>15</v>
      </c>
      <c r="J3906" t="s">
        <v>15</v>
      </c>
      <c r="K3906" t="s">
        <v>21</v>
      </c>
      <c r="L3906">
        <v>635.9</v>
      </c>
      <c r="M3906" t="s">
        <v>5032</v>
      </c>
      <c r="N3906" t="s">
        <v>5031</v>
      </c>
    </row>
    <row r="3907" spans="1:14" x14ac:dyDescent="0.3">
      <c r="A3907" t="s">
        <v>3931</v>
      </c>
      <c r="B3907" t="s">
        <v>12</v>
      </c>
      <c r="C3907" t="s">
        <v>13</v>
      </c>
      <c r="D3907">
        <v>3</v>
      </c>
      <c r="E3907" t="s">
        <v>14</v>
      </c>
      <c r="F3907" t="s">
        <v>15</v>
      </c>
      <c r="G3907">
        <v>35.200000000000003</v>
      </c>
      <c r="H3907">
        <v>108.95</v>
      </c>
      <c r="I3907" t="s">
        <v>16</v>
      </c>
      <c r="J3907" t="s">
        <v>15</v>
      </c>
      <c r="K3907" t="s">
        <v>29</v>
      </c>
      <c r="L3907">
        <v>108.95</v>
      </c>
      <c r="M3907" t="s">
        <v>5030</v>
      </c>
      <c r="N3907" t="s">
        <v>5031</v>
      </c>
    </row>
    <row r="3908" spans="1:14" x14ac:dyDescent="0.3">
      <c r="A3908" t="s">
        <v>3932</v>
      </c>
      <c r="B3908" t="s">
        <v>12</v>
      </c>
      <c r="C3908" t="s">
        <v>13</v>
      </c>
      <c r="D3908">
        <v>1</v>
      </c>
      <c r="E3908" t="s">
        <v>26</v>
      </c>
      <c r="F3908" t="s">
        <v>15</v>
      </c>
      <c r="G3908">
        <v>78.8</v>
      </c>
      <c r="H3908">
        <v>78.8</v>
      </c>
      <c r="I3908" t="s">
        <v>16</v>
      </c>
      <c r="J3908" t="s">
        <v>15</v>
      </c>
      <c r="K3908" t="s">
        <v>17</v>
      </c>
      <c r="L3908">
        <v>78.8</v>
      </c>
      <c r="M3908" t="s">
        <v>5030</v>
      </c>
      <c r="N3908" t="s">
        <v>5031</v>
      </c>
    </row>
    <row r="3909" spans="1:14" x14ac:dyDescent="0.3">
      <c r="A3909" t="s">
        <v>3933</v>
      </c>
      <c r="B3909" t="s">
        <v>19</v>
      </c>
      <c r="C3909" t="s">
        <v>13</v>
      </c>
      <c r="D3909">
        <v>19</v>
      </c>
      <c r="E3909" t="s">
        <v>26</v>
      </c>
      <c r="F3909" t="s">
        <v>16</v>
      </c>
      <c r="G3909">
        <v>89.95</v>
      </c>
      <c r="H3909">
        <v>1682.4</v>
      </c>
      <c r="I3909" t="s">
        <v>15</v>
      </c>
      <c r="J3909" t="s">
        <v>15</v>
      </c>
      <c r="K3909" t="s">
        <v>21</v>
      </c>
      <c r="L3909">
        <v>1682.4</v>
      </c>
      <c r="M3909" t="s">
        <v>5032</v>
      </c>
      <c r="N3909" t="s">
        <v>5031</v>
      </c>
    </row>
    <row r="3910" spans="1:14" x14ac:dyDescent="0.3">
      <c r="A3910" t="s">
        <v>3934</v>
      </c>
      <c r="B3910" t="s">
        <v>12</v>
      </c>
      <c r="C3910" t="s">
        <v>35</v>
      </c>
      <c r="D3910">
        <v>60</v>
      </c>
      <c r="E3910" t="s">
        <v>26</v>
      </c>
      <c r="F3910" t="s">
        <v>16</v>
      </c>
      <c r="G3910">
        <v>116.05</v>
      </c>
      <c r="H3910">
        <v>6925.9</v>
      </c>
      <c r="I3910" t="s">
        <v>15</v>
      </c>
      <c r="J3910" t="s">
        <v>16</v>
      </c>
      <c r="K3910" t="s">
        <v>24</v>
      </c>
      <c r="L3910">
        <v>6925.9</v>
      </c>
      <c r="M3910" t="s">
        <v>5033</v>
      </c>
      <c r="N3910" t="s">
        <v>5034</v>
      </c>
    </row>
    <row r="3911" spans="1:14" x14ac:dyDescent="0.3">
      <c r="A3911" t="s">
        <v>3935</v>
      </c>
      <c r="B3911" t="s">
        <v>19</v>
      </c>
      <c r="C3911" t="s">
        <v>35</v>
      </c>
      <c r="D3911">
        <v>11</v>
      </c>
      <c r="E3911" t="s">
        <v>15</v>
      </c>
      <c r="F3911" t="s">
        <v>36</v>
      </c>
      <c r="G3911">
        <v>19.55</v>
      </c>
      <c r="H3911">
        <v>223.15</v>
      </c>
      <c r="I3911" t="s">
        <v>15</v>
      </c>
      <c r="J3911" t="s">
        <v>15</v>
      </c>
      <c r="K3911" t="s">
        <v>29</v>
      </c>
      <c r="L3911">
        <v>223.15</v>
      </c>
      <c r="M3911" t="s">
        <v>5030</v>
      </c>
      <c r="N3911" t="s">
        <v>5031</v>
      </c>
    </row>
    <row r="3912" spans="1:14" x14ac:dyDescent="0.3">
      <c r="A3912" t="s">
        <v>3936</v>
      </c>
      <c r="B3912" t="s">
        <v>12</v>
      </c>
      <c r="C3912" t="s">
        <v>13</v>
      </c>
      <c r="D3912">
        <v>47</v>
      </c>
      <c r="E3912" t="s">
        <v>26</v>
      </c>
      <c r="F3912" t="s">
        <v>15</v>
      </c>
      <c r="G3912">
        <v>106.4</v>
      </c>
      <c r="H3912">
        <v>5127.95</v>
      </c>
      <c r="I3912" t="s">
        <v>16</v>
      </c>
      <c r="J3912" t="s">
        <v>16</v>
      </c>
      <c r="K3912" t="s">
        <v>17</v>
      </c>
      <c r="L3912">
        <v>5127.95</v>
      </c>
      <c r="M3912" t="s">
        <v>5033</v>
      </c>
      <c r="N3912" t="s">
        <v>5034</v>
      </c>
    </row>
    <row r="3913" spans="1:14" x14ac:dyDescent="0.3">
      <c r="A3913" t="s">
        <v>3937</v>
      </c>
      <c r="B3913" t="s">
        <v>19</v>
      </c>
      <c r="C3913" t="s">
        <v>13</v>
      </c>
      <c r="D3913">
        <v>18</v>
      </c>
      <c r="E3913" t="s">
        <v>14</v>
      </c>
      <c r="F3913" t="s">
        <v>15</v>
      </c>
      <c r="G3913">
        <v>49.4</v>
      </c>
      <c r="H3913">
        <v>874.8</v>
      </c>
      <c r="I3913" t="s">
        <v>16</v>
      </c>
      <c r="J3913" t="s">
        <v>15</v>
      </c>
      <c r="K3913" t="s">
        <v>17</v>
      </c>
      <c r="L3913">
        <v>874.8</v>
      </c>
      <c r="M3913" t="s">
        <v>5032</v>
      </c>
      <c r="N3913" t="s">
        <v>5031</v>
      </c>
    </row>
    <row r="3914" spans="1:14" x14ac:dyDescent="0.3">
      <c r="A3914" t="s">
        <v>3938</v>
      </c>
      <c r="B3914" t="s">
        <v>12</v>
      </c>
      <c r="C3914" t="s">
        <v>35</v>
      </c>
      <c r="D3914">
        <v>60</v>
      </c>
      <c r="E3914" t="s">
        <v>26</v>
      </c>
      <c r="F3914" t="s">
        <v>16</v>
      </c>
      <c r="G3914">
        <v>115.25</v>
      </c>
      <c r="H3914">
        <v>6758.45</v>
      </c>
      <c r="I3914" t="s">
        <v>15</v>
      </c>
      <c r="J3914" t="s">
        <v>15</v>
      </c>
      <c r="K3914" t="s">
        <v>29</v>
      </c>
      <c r="L3914">
        <v>6758.45</v>
      </c>
      <c r="M3914" t="s">
        <v>5033</v>
      </c>
      <c r="N3914" t="s">
        <v>5034</v>
      </c>
    </row>
    <row r="3915" spans="1:14" x14ac:dyDescent="0.3">
      <c r="A3915" t="s">
        <v>3939</v>
      </c>
      <c r="B3915" t="s">
        <v>19</v>
      </c>
      <c r="C3915" t="s">
        <v>35</v>
      </c>
      <c r="D3915">
        <v>72</v>
      </c>
      <c r="E3915" t="s">
        <v>15</v>
      </c>
      <c r="F3915" t="s">
        <v>36</v>
      </c>
      <c r="G3915">
        <v>24.8</v>
      </c>
      <c r="H3915">
        <v>1874.3</v>
      </c>
      <c r="I3915" t="s">
        <v>15</v>
      </c>
      <c r="J3915" t="s">
        <v>15</v>
      </c>
      <c r="K3915" t="s">
        <v>29</v>
      </c>
      <c r="L3915">
        <v>1874.3</v>
      </c>
      <c r="M3915" t="s">
        <v>5033</v>
      </c>
      <c r="N3915" t="s">
        <v>5031</v>
      </c>
    </row>
    <row r="3916" spans="1:14" x14ac:dyDescent="0.3">
      <c r="A3916" t="s">
        <v>3940</v>
      </c>
      <c r="B3916" t="s">
        <v>19</v>
      </c>
      <c r="C3916" t="s">
        <v>20</v>
      </c>
      <c r="D3916">
        <v>39</v>
      </c>
      <c r="E3916" t="s">
        <v>15</v>
      </c>
      <c r="F3916" t="s">
        <v>36</v>
      </c>
      <c r="G3916">
        <v>19.899999999999999</v>
      </c>
      <c r="H3916">
        <v>791.15</v>
      </c>
      <c r="I3916" t="s">
        <v>15</v>
      </c>
      <c r="J3916" t="s">
        <v>15</v>
      </c>
      <c r="K3916" t="s">
        <v>21</v>
      </c>
      <c r="L3916">
        <v>791.15</v>
      </c>
      <c r="M3916" t="s">
        <v>5033</v>
      </c>
      <c r="N3916" t="s">
        <v>5031</v>
      </c>
    </row>
    <row r="3917" spans="1:14" x14ac:dyDescent="0.3">
      <c r="A3917" t="s">
        <v>3941</v>
      </c>
      <c r="B3917" t="s">
        <v>12</v>
      </c>
      <c r="C3917" t="s">
        <v>20</v>
      </c>
      <c r="D3917">
        <v>59</v>
      </c>
      <c r="E3917" t="s">
        <v>26</v>
      </c>
      <c r="F3917" t="s">
        <v>15</v>
      </c>
      <c r="G3917">
        <v>81.25</v>
      </c>
      <c r="H3917">
        <v>4639.45</v>
      </c>
      <c r="I3917" t="s">
        <v>15</v>
      </c>
      <c r="J3917" t="s">
        <v>16</v>
      </c>
      <c r="K3917" t="s">
        <v>29</v>
      </c>
      <c r="L3917">
        <v>4639.45</v>
      </c>
      <c r="M3917" t="s">
        <v>5033</v>
      </c>
      <c r="N3917" t="s">
        <v>5034</v>
      </c>
    </row>
    <row r="3918" spans="1:14" x14ac:dyDescent="0.3">
      <c r="A3918" t="s">
        <v>3942</v>
      </c>
      <c r="B3918" t="s">
        <v>19</v>
      </c>
      <c r="C3918" t="s">
        <v>13</v>
      </c>
      <c r="D3918">
        <v>2</v>
      </c>
      <c r="E3918" t="s">
        <v>26</v>
      </c>
      <c r="F3918" t="s">
        <v>15</v>
      </c>
      <c r="G3918">
        <v>69.95</v>
      </c>
      <c r="H3918">
        <v>143.9</v>
      </c>
      <c r="I3918" t="s">
        <v>15</v>
      </c>
      <c r="J3918" t="s">
        <v>15</v>
      </c>
      <c r="K3918" t="s">
        <v>21</v>
      </c>
      <c r="L3918">
        <v>143.9</v>
      </c>
      <c r="M3918" t="s">
        <v>5030</v>
      </c>
      <c r="N3918" t="s">
        <v>5031</v>
      </c>
    </row>
    <row r="3919" spans="1:14" x14ac:dyDescent="0.3">
      <c r="A3919" t="s">
        <v>3943</v>
      </c>
      <c r="B3919" t="s">
        <v>19</v>
      </c>
      <c r="C3919" t="s">
        <v>13</v>
      </c>
      <c r="D3919">
        <v>1</v>
      </c>
      <c r="E3919" t="s">
        <v>26</v>
      </c>
      <c r="F3919" t="s">
        <v>15</v>
      </c>
      <c r="G3919">
        <v>69.099999999999994</v>
      </c>
      <c r="H3919">
        <v>69.099999999999994</v>
      </c>
      <c r="I3919" t="s">
        <v>16</v>
      </c>
      <c r="J3919" t="s">
        <v>15</v>
      </c>
      <c r="K3919" t="s">
        <v>17</v>
      </c>
      <c r="L3919">
        <v>69.099999999999994</v>
      </c>
      <c r="M3919" t="s">
        <v>5030</v>
      </c>
      <c r="N3919" t="s">
        <v>5031</v>
      </c>
    </row>
    <row r="3920" spans="1:14" x14ac:dyDescent="0.3">
      <c r="A3920" t="s">
        <v>3944</v>
      </c>
      <c r="B3920" t="s">
        <v>19</v>
      </c>
      <c r="C3920" t="s">
        <v>13</v>
      </c>
      <c r="D3920">
        <v>20</v>
      </c>
      <c r="E3920" t="s">
        <v>26</v>
      </c>
      <c r="F3920" t="s">
        <v>15</v>
      </c>
      <c r="G3920">
        <v>90.2</v>
      </c>
      <c r="H3920">
        <v>1776.55</v>
      </c>
      <c r="I3920" t="s">
        <v>16</v>
      </c>
      <c r="J3920" t="s">
        <v>16</v>
      </c>
      <c r="K3920" t="s">
        <v>17</v>
      </c>
      <c r="L3920">
        <v>1776.55</v>
      </c>
      <c r="M3920" t="s">
        <v>5032</v>
      </c>
      <c r="N3920" t="s">
        <v>5031</v>
      </c>
    </row>
    <row r="3921" spans="1:14" x14ac:dyDescent="0.3">
      <c r="A3921" t="s">
        <v>3945</v>
      </c>
      <c r="B3921" t="s">
        <v>12</v>
      </c>
      <c r="C3921" t="s">
        <v>13</v>
      </c>
      <c r="D3921">
        <v>6</v>
      </c>
      <c r="E3921" t="s">
        <v>26</v>
      </c>
      <c r="F3921" t="s">
        <v>15</v>
      </c>
      <c r="G3921">
        <v>93.55</v>
      </c>
      <c r="H3921">
        <v>536.4</v>
      </c>
      <c r="I3921" t="s">
        <v>16</v>
      </c>
      <c r="J3921" t="s">
        <v>16</v>
      </c>
      <c r="K3921" t="s">
        <v>24</v>
      </c>
      <c r="L3921">
        <v>536.4</v>
      </c>
      <c r="M3921" t="s">
        <v>5030</v>
      </c>
      <c r="N3921" t="s">
        <v>5031</v>
      </c>
    </row>
    <row r="3922" spans="1:14" x14ac:dyDescent="0.3">
      <c r="A3922" t="s">
        <v>3946</v>
      </c>
      <c r="B3922" t="s">
        <v>19</v>
      </c>
      <c r="C3922" t="s">
        <v>35</v>
      </c>
      <c r="D3922">
        <v>71</v>
      </c>
      <c r="E3922" t="s">
        <v>26</v>
      </c>
      <c r="F3922" t="s">
        <v>16</v>
      </c>
      <c r="G3922">
        <v>86.4</v>
      </c>
      <c r="H3922">
        <v>6172</v>
      </c>
      <c r="I3922" t="s">
        <v>15</v>
      </c>
      <c r="J3922" t="s">
        <v>16</v>
      </c>
      <c r="K3922" t="s">
        <v>29</v>
      </c>
      <c r="L3922">
        <v>6172</v>
      </c>
      <c r="M3922" t="s">
        <v>5033</v>
      </c>
      <c r="N3922" t="s">
        <v>5034</v>
      </c>
    </row>
    <row r="3923" spans="1:14" x14ac:dyDescent="0.3">
      <c r="A3923" t="s">
        <v>3947</v>
      </c>
      <c r="B3923" t="s">
        <v>12</v>
      </c>
      <c r="C3923" t="s">
        <v>13</v>
      </c>
      <c r="D3923">
        <v>24</v>
      </c>
      <c r="E3923" t="s">
        <v>14</v>
      </c>
      <c r="F3923" t="s">
        <v>15</v>
      </c>
      <c r="G3923">
        <v>66.3</v>
      </c>
      <c r="H3923">
        <v>1559.45</v>
      </c>
      <c r="I3923" t="s">
        <v>15</v>
      </c>
      <c r="J3923" t="s">
        <v>15</v>
      </c>
      <c r="K3923" t="s">
        <v>21</v>
      </c>
      <c r="L3923">
        <v>1559.45</v>
      </c>
      <c r="M3923" t="s">
        <v>5032</v>
      </c>
      <c r="N3923" t="s">
        <v>5031</v>
      </c>
    </row>
    <row r="3924" spans="1:14" x14ac:dyDescent="0.3">
      <c r="A3924" t="s">
        <v>3948</v>
      </c>
      <c r="B3924" t="s">
        <v>19</v>
      </c>
      <c r="C3924" t="s">
        <v>13</v>
      </c>
      <c r="D3924">
        <v>67</v>
      </c>
      <c r="E3924" t="s">
        <v>26</v>
      </c>
      <c r="F3924" t="s">
        <v>15</v>
      </c>
      <c r="G3924">
        <v>94.65</v>
      </c>
      <c r="H3924">
        <v>6079</v>
      </c>
      <c r="I3924" t="s">
        <v>15</v>
      </c>
      <c r="J3924" t="s">
        <v>16</v>
      </c>
      <c r="K3924" t="s">
        <v>29</v>
      </c>
      <c r="L3924">
        <v>6079</v>
      </c>
      <c r="M3924" t="s">
        <v>5033</v>
      </c>
      <c r="N3924" t="s">
        <v>5034</v>
      </c>
    </row>
    <row r="3925" spans="1:14" x14ac:dyDescent="0.3">
      <c r="A3925" t="s">
        <v>3949</v>
      </c>
      <c r="B3925" t="s">
        <v>19</v>
      </c>
      <c r="C3925" t="s">
        <v>13</v>
      </c>
      <c r="D3925">
        <v>1</v>
      </c>
      <c r="E3925" t="s">
        <v>26</v>
      </c>
      <c r="F3925" t="s">
        <v>15</v>
      </c>
      <c r="G3925">
        <v>80.849999999999994</v>
      </c>
      <c r="H3925">
        <v>80.849999999999994</v>
      </c>
      <c r="I3925" t="s">
        <v>16</v>
      </c>
      <c r="J3925" t="s">
        <v>16</v>
      </c>
      <c r="K3925" t="s">
        <v>21</v>
      </c>
      <c r="L3925">
        <v>80.849999999999994</v>
      </c>
      <c r="M3925" t="s">
        <v>5030</v>
      </c>
      <c r="N3925" t="s">
        <v>5031</v>
      </c>
    </row>
    <row r="3926" spans="1:14" x14ac:dyDescent="0.3">
      <c r="A3926" t="s">
        <v>3950</v>
      </c>
      <c r="B3926" t="s">
        <v>12</v>
      </c>
      <c r="C3926" t="s">
        <v>20</v>
      </c>
      <c r="D3926">
        <v>48</v>
      </c>
      <c r="E3926" t="s">
        <v>26</v>
      </c>
      <c r="F3926" t="s">
        <v>15</v>
      </c>
      <c r="G3926">
        <v>82.05</v>
      </c>
      <c r="H3926">
        <v>4029.95</v>
      </c>
      <c r="I3926" t="s">
        <v>16</v>
      </c>
      <c r="J3926" t="s">
        <v>16</v>
      </c>
      <c r="K3926" t="s">
        <v>21</v>
      </c>
      <c r="L3926">
        <v>4029.95</v>
      </c>
      <c r="M3926" t="s">
        <v>5033</v>
      </c>
      <c r="N3926" t="s">
        <v>5034</v>
      </c>
    </row>
    <row r="3927" spans="1:14" x14ac:dyDescent="0.3">
      <c r="A3927" t="s">
        <v>3951</v>
      </c>
      <c r="B3927" t="s">
        <v>12</v>
      </c>
      <c r="C3927" t="s">
        <v>20</v>
      </c>
      <c r="D3927">
        <v>37</v>
      </c>
      <c r="E3927" t="s">
        <v>14</v>
      </c>
      <c r="F3927" t="s">
        <v>16</v>
      </c>
      <c r="G3927">
        <v>72.099999999999994</v>
      </c>
      <c r="H3927">
        <v>2658.4</v>
      </c>
      <c r="I3927" t="s">
        <v>15</v>
      </c>
      <c r="J3927" t="s">
        <v>15</v>
      </c>
      <c r="K3927" t="s">
        <v>21</v>
      </c>
      <c r="L3927">
        <v>2658.4</v>
      </c>
      <c r="M3927" t="s">
        <v>5033</v>
      </c>
      <c r="N3927" t="s">
        <v>5034</v>
      </c>
    </row>
    <row r="3928" spans="1:14" x14ac:dyDescent="0.3">
      <c r="A3928" t="s">
        <v>3952</v>
      </c>
      <c r="B3928" t="s">
        <v>19</v>
      </c>
      <c r="C3928" t="s">
        <v>13</v>
      </c>
      <c r="D3928">
        <v>11</v>
      </c>
      <c r="E3928" t="s">
        <v>14</v>
      </c>
      <c r="F3928" t="s">
        <v>15</v>
      </c>
      <c r="G3928">
        <v>34.700000000000003</v>
      </c>
      <c r="H3928">
        <v>383.55</v>
      </c>
      <c r="I3928" t="s">
        <v>15</v>
      </c>
      <c r="J3928" t="s">
        <v>15</v>
      </c>
      <c r="K3928" t="s">
        <v>21</v>
      </c>
      <c r="L3928">
        <v>383.55</v>
      </c>
      <c r="M3928" t="s">
        <v>5030</v>
      </c>
      <c r="N3928" t="s">
        <v>5031</v>
      </c>
    </row>
    <row r="3929" spans="1:14" x14ac:dyDescent="0.3">
      <c r="A3929" t="s">
        <v>3953</v>
      </c>
      <c r="B3929" t="s">
        <v>19</v>
      </c>
      <c r="C3929" t="s">
        <v>13</v>
      </c>
      <c r="D3929">
        <v>3</v>
      </c>
      <c r="E3929" t="s">
        <v>15</v>
      </c>
      <c r="F3929" t="s">
        <v>36</v>
      </c>
      <c r="G3929">
        <v>20.55</v>
      </c>
      <c r="H3929">
        <v>51.15</v>
      </c>
      <c r="I3929" t="s">
        <v>16</v>
      </c>
      <c r="J3929" t="s">
        <v>16</v>
      </c>
      <c r="K3929" t="s">
        <v>29</v>
      </c>
      <c r="L3929">
        <v>51.15</v>
      </c>
      <c r="M3929" t="s">
        <v>5030</v>
      </c>
      <c r="N3929" t="s">
        <v>5031</v>
      </c>
    </row>
    <row r="3930" spans="1:14" x14ac:dyDescent="0.3">
      <c r="A3930" t="s">
        <v>3954</v>
      </c>
      <c r="B3930" t="s">
        <v>12</v>
      </c>
      <c r="C3930" t="s">
        <v>13</v>
      </c>
      <c r="D3930">
        <v>18</v>
      </c>
      <c r="E3930" t="s">
        <v>26</v>
      </c>
      <c r="F3930" t="s">
        <v>15</v>
      </c>
      <c r="G3930">
        <v>95.95</v>
      </c>
      <c r="H3930">
        <v>1745.5</v>
      </c>
      <c r="I3930" t="s">
        <v>15</v>
      </c>
      <c r="J3930" t="s">
        <v>16</v>
      </c>
      <c r="K3930" t="s">
        <v>29</v>
      </c>
      <c r="L3930">
        <v>1745.5</v>
      </c>
      <c r="M3930" t="s">
        <v>5032</v>
      </c>
      <c r="N3930" t="s">
        <v>5031</v>
      </c>
    </row>
    <row r="3931" spans="1:14" x14ac:dyDescent="0.3">
      <c r="A3931" t="s">
        <v>3955</v>
      </c>
      <c r="B3931" t="s">
        <v>19</v>
      </c>
      <c r="C3931" t="s">
        <v>20</v>
      </c>
      <c r="D3931">
        <v>50</v>
      </c>
      <c r="E3931" t="s">
        <v>14</v>
      </c>
      <c r="F3931" t="s">
        <v>15</v>
      </c>
      <c r="G3931">
        <v>44.8</v>
      </c>
      <c r="H3931">
        <v>2230.85</v>
      </c>
      <c r="I3931" t="s">
        <v>15</v>
      </c>
      <c r="J3931" t="s">
        <v>16</v>
      </c>
      <c r="K3931" t="s">
        <v>24</v>
      </c>
      <c r="L3931">
        <v>2230.85</v>
      </c>
      <c r="M3931" t="s">
        <v>5033</v>
      </c>
      <c r="N3931" t="s">
        <v>5031</v>
      </c>
    </row>
    <row r="3932" spans="1:14" x14ac:dyDescent="0.3">
      <c r="A3932" t="s">
        <v>3956</v>
      </c>
      <c r="B3932" t="s">
        <v>12</v>
      </c>
      <c r="C3932" t="s">
        <v>20</v>
      </c>
      <c r="D3932">
        <v>67</v>
      </c>
      <c r="E3932" t="s">
        <v>26</v>
      </c>
      <c r="F3932" t="s">
        <v>16</v>
      </c>
      <c r="G3932">
        <v>109.4</v>
      </c>
      <c r="H3932">
        <v>7281.6</v>
      </c>
      <c r="I3932" t="s">
        <v>15</v>
      </c>
      <c r="J3932" t="s">
        <v>16</v>
      </c>
      <c r="K3932" t="s">
        <v>17</v>
      </c>
      <c r="L3932">
        <v>7281.6</v>
      </c>
      <c r="M3932" t="s">
        <v>5033</v>
      </c>
      <c r="N3932" t="s">
        <v>5034</v>
      </c>
    </row>
    <row r="3933" spans="1:14" x14ac:dyDescent="0.3">
      <c r="A3933" t="s">
        <v>3957</v>
      </c>
      <c r="B3933" t="s">
        <v>12</v>
      </c>
      <c r="C3933" t="s">
        <v>13</v>
      </c>
      <c r="D3933">
        <v>25</v>
      </c>
      <c r="E3933" t="s">
        <v>14</v>
      </c>
      <c r="F3933" t="s">
        <v>16</v>
      </c>
      <c r="G3933">
        <v>71.05</v>
      </c>
      <c r="H3933">
        <v>1837.7</v>
      </c>
      <c r="I3933" t="s">
        <v>15</v>
      </c>
      <c r="J3933" t="s">
        <v>16</v>
      </c>
      <c r="K3933" t="s">
        <v>21</v>
      </c>
      <c r="L3933">
        <v>1837.7</v>
      </c>
      <c r="M3933" t="s">
        <v>5032</v>
      </c>
      <c r="N3933" t="s">
        <v>5031</v>
      </c>
    </row>
    <row r="3934" spans="1:14" x14ac:dyDescent="0.3">
      <c r="A3934" t="s">
        <v>3958</v>
      </c>
      <c r="B3934" t="s">
        <v>12</v>
      </c>
      <c r="C3934" t="s">
        <v>13</v>
      </c>
      <c r="D3934">
        <v>2</v>
      </c>
      <c r="E3934" t="s">
        <v>26</v>
      </c>
      <c r="F3934" t="s">
        <v>15</v>
      </c>
      <c r="G3934">
        <v>78.55</v>
      </c>
      <c r="H3934">
        <v>149.55000000000001</v>
      </c>
      <c r="I3934" t="s">
        <v>16</v>
      </c>
      <c r="J3934" t="s">
        <v>16</v>
      </c>
      <c r="K3934" t="s">
        <v>17</v>
      </c>
      <c r="L3934">
        <v>149.55000000000001</v>
      </c>
      <c r="M3934" t="s">
        <v>5030</v>
      </c>
      <c r="N3934" t="s">
        <v>5031</v>
      </c>
    </row>
    <row r="3935" spans="1:14" x14ac:dyDescent="0.3">
      <c r="A3935" t="s">
        <v>3959</v>
      </c>
      <c r="B3935" t="s">
        <v>19</v>
      </c>
      <c r="C3935" t="s">
        <v>13</v>
      </c>
      <c r="D3935">
        <v>9</v>
      </c>
      <c r="E3935" t="s">
        <v>15</v>
      </c>
      <c r="F3935" t="s">
        <v>36</v>
      </c>
      <c r="G3935">
        <v>19.7</v>
      </c>
      <c r="H3935">
        <v>180.7</v>
      </c>
      <c r="I3935" t="s">
        <v>15</v>
      </c>
      <c r="J3935" t="s">
        <v>15</v>
      </c>
      <c r="K3935" t="s">
        <v>29</v>
      </c>
      <c r="L3935">
        <v>180.7</v>
      </c>
      <c r="M3935" t="s">
        <v>5030</v>
      </c>
      <c r="N3935" t="s">
        <v>5031</v>
      </c>
    </row>
    <row r="3936" spans="1:14" x14ac:dyDescent="0.3">
      <c r="A3936" t="s">
        <v>3960</v>
      </c>
      <c r="B3936" t="s">
        <v>12</v>
      </c>
      <c r="C3936" t="s">
        <v>20</v>
      </c>
      <c r="D3936">
        <v>10</v>
      </c>
      <c r="E3936" t="s">
        <v>14</v>
      </c>
      <c r="F3936" t="s">
        <v>16</v>
      </c>
      <c r="G3936">
        <v>40.25</v>
      </c>
      <c r="H3936">
        <v>411.45</v>
      </c>
      <c r="I3936" t="s">
        <v>15</v>
      </c>
      <c r="J3936" t="s">
        <v>15</v>
      </c>
      <c r="K3936" t="s">
        <v>21</v>
      </c>
      <c r="L3936">
        <v>411.45</v>
      </c>
      <c r="M3936" t="s">
        <v>5030</v>
      </c>
      <c r="N3936" t="s">
        <v>5031</v>
      </c>
    </row>
    <row r="3937" spans="1:14" x14ac:dyDescent="0.3">
      <c r="A3937" t="s">
        <v>3961</v>
      </c>
      <c r="B3937" t="s">
        <v>12</v>
      </c>
      <c r="C3937" t="s">
        <v>35</v>
      </c>
      <c r="D3937">
        <v>70</v>
      </c>
      <c r="E3937" t="s">
        <v>15</v>
      </c>
      <c r="F3937" t="s">
        <v>36</v>
      </c>
      <c r="G3937">
        <v>19.850000000000001</v>
      </c>
      <c r="H3937">
        <v>1328.35</v>
      </c>
      <c r="I3937" t="s">
        <v>15</v>
      </c>
      <c r="J3937" t="s">
        <v>15</v>
      </c>
      <c r="K3937" t="s">
        <v>29</v>
      </c>
      <c r="L3937">
        <v>1328.35</v>
      </c>
      <c r="M3937" t="s">
        <v>5033</v>
      </c>
      <c r="N3937" t="s">
        <v>5031</v>
      </c>
    </row>
    <row r="3938" spans="1:14" x14ac:dyDescent="0.3">
      <c r="A3938" t="s">
        <v>3962</v>
      </c>
      <c r="B3938" t="s">
        <v>19</v>
      </c>
      <c r="C3938" t="s">
        <v>13</v>
      </c>
      <c r="D3938">
        <v>9</v>
      </c>
      <c r="E3938" t="s">
        <v>14</v>
      </c>
      <c r="F3938" t="s">
        <v>16</v>
      </c>
      <c r="G3938">
        <v>68.25</v>
      </c>
      <c r="H3938">
        <v>576.95000000000005</v>
      </c>
      <c r="I3938" t="s">
        <v>15</v>
      </c>
      <c r="J3938" t="s">
        <v>16</v>
      </c>
      <c r="K3938" t="s">
        <v>24</v>
      </c>
      <c r="L3938">
        <v>576.95000000000005</v>
      </c>
      <c r="M3938" t="s">
        <v>5030</v>
      </c>
      <c r="N3938" t="s">
        <v>5031</v>
      </c>
    </row>
    <row r="3939" spans="1:14" x14ac:dyDescent="0.3">
      <c r="A3939" t="s">
        <v>3963</v>
      </c>
      <c r="B3939" t="s">
        <v>12</v>
      </c>
      <c r="C3939" t="s">
        <v>13</v>
      </c>
      <c r="D3939">
        <v>4</v>
      </c>
      <c r="E3939" t="s">
        <v>15</v>
      </c>
      <c r="F3939" t="s">
        <v>36</v>
      </c>
      <c r="G3939">
        <v>20.149999999999999</v>
      </c>
      <c r="H3939">
        <v>68.45</v>
      </c>
      <c r="I3939" t="s">
        <v>15</v>
      </c>
      <c r="J3939" t="s">
        <v>16</v>
      </c>
      <c r="K3939" t="s">
        <v>29</v>
      </c>
      <c r="L3939">
        <v>68.45</v>
      </c>
      <c r="M3939" t="s">
        <v>5030</v>
      </c>
      <c r="N3939" t="s">
        <v>5031</v>
      </c>
    </row>
    <row r="3940" spans="1:14" x14ac:dyDescent="0.3">
      <c r="A3940" t="s">
        <v>3964</v>
      </c>
      <c r="B3940" t="s">
        <v>12</v>
      </c>
      <c r="C3940" t="s">
        <v>13</v>
      </c>
      <c r="D3940">
        <v>2</v>
      </c>
      <c r="E3940" t="s">
        <v>14</v>
      </c>
      <c r="F3940" t="s">
        <v>15</v>
      </c>
      <c r="G3940">
        <v>50.95</v>
      </c>
      <c r="H3940">
        <v>123.05</v>
      </c>
      <c r="I3940" t="s">
        <v>15</v>
      </c>
      <c r="J3940" t="s">
        <v>15</v>
      </c>
      <c r="K3940" t="s">
        <v>21</v>
      </c>
      <c r="L3940">
        <v>123.05</v>
      </c>
      <c r="M3940" t="s">
        <v>5030</v>
      </c>
      <c r="N3940" t="s">
        <v>5031</v>
      </c>
    </row>
    <row r="3941" spans="1:14" x14ac:dyDescent="0.3">
      <c r="A3941" t="s">
        <v>3965</v>
      </c>
      <c r="B3941" t="s">
        <v>12</v>
      </c>
      <c r="C3941" t="s">
        <v>13</v>
      </c>
      <c r="D3941">
        <v>1</v>
      </c>
      <c r="E3941" t="s">
        <v>26</v>
      </c>
      <c r="F3941" t="s">
        <v>15</v>
      </c>
      <c r="G3941">
        <v>78.650000000000006</v>
      </c>
      <c r="H3941">
        <v>78.650000000000006</v>
      </c>
      <c r="I3941" t="s">
        <v>16</v>
      </c>
      <c r="J3941" t="s">
        <v>15</v>
      </c>
      <c r="K3941" t="s">
        <v>17</v>
      </c>
      <c r="L3941">
        <v>78.650000000000006</v>
      </c>
      <c r="M3941" t="s">
        <v>5030</v>
      </c>
      <c r="N3941" t="s">
        <v>5031</v>
      </c>
    </row>
    <row r="3942" spans="1:14" x14ac:dyDescent="0.3">
      <c r="A3942" t="s">
        <v>3966</v>
      </c>
      <c r="B3942" t="s">
        <v>19</v>
      </c>
      <c r="C3942" t="s">
        <v>13</v>
      </c>
      <c r="D3942">
        <v>19</v>
      </c>
      <c r="E3942" t="s">
        <v>14</v>
      </c>
      <c r="F3942" t="s">
        <v>15</v>
      </c>
      <c r="G3942">
        <v>25.15</v>
      </c>
      <c r="H3942">
        <v>468.35</v>
      </c>
      <c r="I3942" t="s">
        <v>15</v>
      </c>
      <c r="J3942" t="s">
        <v>16</v>
      </c>
      <c r="K3942" t="s">
        <v>24</v>
      </c>
      <c r="L3942">
        <v>468.35</v>
      </c>
      <c r="M3942" t="s">
        <v>5032</v>
      </c>
      <c r="N3942" t="s">
        <v>5031</v>
      </c>
    </row>
    <row r="3943" spans="1:14" x14ac:dyDescent="0.3">
      <c r="A3943" t="s">
        <v>3967</v>
      </c>
      <c r="B3943" t="s">
        <v>19</v>
      </c>
      <c r="C3943" t="s">
        <v>13</v>
      </c>
      <c r="D3943">
        <v>7</v>
      </c>
      <c r="E3943" t="s">
        <v>15</v>
      </c>
      <c r="F3943" t="s">
        <v>36</v>
      </c>
      <c r="G3943">
        <v>20.25</v>
      </c>
      <c r="H3943">
        <v>174.7</v>
      </c>
      <c r="I3943" t="s">
        <v>15</v>
      </c>
      <c r="J3943" t="s">
        <v>16</v>
      </c>
      <c r="K3943" t="s">
        <v>24</v>
      </c>
      <c r="L3943">
        <v>174.7</v>
      </c>
      <c r="M3943" t="s">
        <v>5030</v>
      </c>
      <c r="N3943" t="s">
        <v>5031</v>
      </c>
    </row>
    <row r="3944" spans="1:14" x14ac:dyDescent="0.3">
      <c r="A3944" t="s">
        <v>3968</v>
      </c>
      <c r="B3944" t="s">
        <v>19</v>
      </c>
      <c r="C3944" t="s">
        <v>13</v>
      </c>
      <c r="D3944">
        <v>1</v>
      </c>
      <c r="E3944" t="s">
        <v>14</v>
      </c>
      <c r="F3944" t="s">
        <v>15</v>
      </c>
      <c r="G3944">
        <v>42.9</v>
      </c>
      <c r="H3944">
        <v>42.9</v>
      </c>
      <c r="I3944" t="s">
        <v>16</v>
      </c>
      <c r="J3944" t="s">
        <v>16</v>
      </c>
      <c r="K3944" t="s">
        <v>17</v>
      </c>
      <c r="L3944">
        <v>42.9</v>
      </c>
      <c r="M3944" t="s">
        <v>5030</v>
      </c>
      <c r="N3944" t="s">
        <v>5031</v>
      </c>
    </row>
    <row r="3945" spans="1:14" x14ac:dyDescent="0.3">
      <c r="A3945" t="s">
        <v>3969</v>
      </c>
      <c r="B3945" t="s">
        <v>19</v>
      </c>
      <c r="C3945" t="s">
        <v>13</v>
      </c>
      <c r="D3945">
        <v>1</v>
      </c>
      <c r="E3945" t="s">
        <v>14</v>
      </c>
      <c r="F3945" t="s">
        <v>15</v>
      </c>
      <c r="G3945">
        <v>44</v>
      </c>
      <c r="H3945">
        <v>44</v>
      </c>
      <c r="I3945" t="s">
        <v>15</v>
      </c>
      <c r="J3945" t="s">
        <v>15</v>
      </c>
      <c r="K3945" t="s">
        <v>17</v>
      </c>
      <c r="L3945">
        <v>44</v>
      </c>
      <c r="M3945" t="s">
        <v>5030</v>
      </c>
      <c r="N3945" t="s">
        <v>5031</v>
      </c>
    </row>
    <row r="3946" spans="1:14" x14ac:dyDescent="0.3">
      <c r="A3946" t="s">
        <v>3970</v>
      </c>
      <c r="B3946" t="s">
        <v>12</v>
      </c>
      <c r="C3946" t="s">
        <v>20</v>
      </c>
      <c r="D3946">
        <v>9</v>
      </c>
      <c r="E3946" t="s">
        <v>15</v>
      </c>
      <c r="F3946" t="s">
        <v>36</v>
      </c>
      <c r="G3946">
        <v>20.25</v>
      </c>
      <c r="H3946">
        <v>172.35</v>
      </c>
      <c r="I3946" t="s">
        <v>15</v>
      </c>
      <c r="J3946" t="s">
        <v>15</v>
      </c>
      <c r="K3946" t="s">
        <v>21</v>
      </c>
      <c r="L3946">
        <v>172.35</v>
      </c>
      <c r="M3946" t="s">
        <v>5030</v>
      </c>
      <c r="N3946" t="s">
        <v>5031</v>
      </c>
    </row>
    <row r="3947" spans="1:14" x14ac:dyDescent="0.3">
      <c r="A3947" t="s">
        <v>3971</v>
      </c>
      <c r="B3947" t="s">
        <v>12</v>
      </c>
      <c r="C3947" t="s">
        <v>13</v>
      </c>
      <c r="D3947">
        <v>3</v>
      </c>
      <c r="E3947" t="s">
        <v>14</v>
      </c>
      <c r="F3947" t="s">
        <v>16</v>
      </c>
      <c r="G3947">
        <v>34.25</v>
      </c>
      <c r="H3947">
        <v>139.35</v>
      </c>
      <c r="I3947" t="s">
        <v>16</v>
      </c>
      <c r="J3947" t="s">
        <v>15</v>
      </c>
      <c r="K3947" t="s">
        <v>21</v>
      </c>
      <c r="L3947">
        <v>139.35</v>
      </c>
      <c r="M3947" t="s">
        <v>5030</v>
      </c>
      <c r="N3947" t="s">
        <v>5031</v>
      </c>
    </row>
    <row r="3948" spans="1:14" x14ac:dyDescent="0.3">
      <c r="A3948" t="s">
        <v>3972</v>
      </c>
      <c r="B3948" t="s">
        <v>12</v>
      </c>
      <c r="C3948" t="s">
        <v>13</v>
      </c>
      <c r="D3948">
        <v>9</v>
      </c>
      <c r="E3948" t="s">
        <v>14</v>
      </c>
      <c r="F3948" t="s">
        <v>16</v>
      </c>
      <c r="G3948">
        <v>58.5</v>
      </c>
      <c r="H3948">
        <v>539.85</v>
      </c>
      <c r="I3948" t="s">
        <v>16</v>
      </c>
      <c r="J3948" t="s">
        <v>15</v>
      </c>
      <c r="K3948" t="s">
        <v>21</v>
      </c>
      <c r="L3948">
        <v>539.85</v>
      </c>
      <c r="M3948" t="s">
        <v>5030</v>
      </c>
      <c r="N3948" t="s">
        <v>5031</v>
      </c>
    </row>
    <row r="3949" spans="1:14" x14ac:dyDescent="0.3">
      <c r="A3949" t="s">
        <v>3973</v>
      </c>
      <c r="B3949" t="s">
        <v>12</v>
      </c>
      <c r="C3949" t="s">
        <v>13</v>
      </c>
      <c r="D3949">
        <v>5</v>
      </c>
      <c r="E3949" t="s">
        <v>14</v>
      </c>
      <c r="F3949" t="s">
        <v>15</v>
      </c>
      <c r="G3949">
        <v>55.8</v>
      </c>
      <c r="H3949">
        <v>300.39999999999998</v>
      </c>
      <c r="I3949" t="s">
        <v>15</v>
      </c>
      <c r="J3949" t="s">
        <v>15</v>
      </c>
      <c r="K3949" t="s">
        <v>29</v>
      </c>
      <c r="L3949">
        <v>300.39999999999998</v>
      </c>
      <c r="M3949" t="s">
        <v>5030</v>
      </c>
      <c r="N3949" t="s">
        <v>5031</v>
      </c>
    </row>
    <row r="3950" spans="1:14" x14ac:dyDescent="0.3">
      <c r="A3950" t="s">
        <v>3974</v>
      </c>
      <c r="B3950" t="s">
        <v>12</v>
      </c>
      <c r="C3950" t="s">
        <v>20</v>
      </c>
      <c r="D3950">
        <v>56</v>
      </c>
      <c r="E3950" t="s">
        <v>26</v>
      </c>
      <c r="F3950" t="s">
        <v>15</v>
      </c>
      <c r="G3950">
        <v>88.9</v>
      </c>
      <c r="H3950">
        <v>4968</v>
      </c>
      <c r="I3950" t="s">
        <v>15</v>
      </c>
      <c r="J3950" t="s">
        <v>15</v>
      </c>
      <c r="K3950" t="s">
        <v>24</v>
      </c>
      <c r="L3950">
        <v>4968</v>
      </c>
      <c r="M3950" t="s">
        <v>5033</v>
      </c>
      <c r="N3950" t="s">
        <v>5034</v>
      </c>
    </row>
    <row r="3951" spans="1:14" x14ac:dyDescent="0.3">
      <c r="A3951" t="s">
        <v>3975</v>
      </c>
      <c r="B3951" t="s">
        <v>12</v>
      </c>
      <c r="C3951" t="s">
        <v>13</v>
      </c>
      <c r="D3951">
        <v>18</v>
      </c>
      <c r="E3951" t="s">
        <v>14</v>
      </c>
      <c r="F3951" t="s">
        <v>15</v>
      </c>
      <c r="G3951">
        <v>57.65</v>
      </c>
      <c r="H3951">
        <v>992.7</v>
      </c>
      <c r="I3951" t="s">
        <v>15</v>
      </c>
      <c r="J3951" t="s">
        <v>15</v>
      </c>
      <c r="K3951" t="s">
        <v>21</v>
      </c>
      <c r="L3951">
        <v>992.7</v>
      </c>
      <c r="M3951" t="s">
        <v>5032</v>
      </c>
      <c r="N3951" t="s">
        <v>5031</v>
      </c>
    </row>
    <row r="3952" spans="1:14" x14ac:dyDescent="0.3">
      <c r="A3952" t="s">
        <v>3976</v>
      </c>
      <c r="B3952" t="s">
        <v>19</v>
      </c>
      <c r="C3952" t="s">
        <v>13</v>
      </c>
      <c r="D3952">
        <v>49</v>
      </c>
      <c r="E3952" t="s">
        <v>26</v>
      </c>
      <c r="F3952" t="s">
        <v>15</v>
      </c>
      <c r="G3952">
        <v>96.2</v>
      </c>
      <c r="H3952">
        <v>4718.25</v>
      </c>
      <c r="I3952" t="s">
        <v>16</v>
      </c>
      <c r="J3952" t="s">
        <v>16</v>
      </c>
      <c r="K3952" t="s">
        <v>17</v>
      </c>
      <c r="L3952">
        <v>4718.25</v>
      </c>
      <c r="M3952" t="s">
        <v>5033</v>
      </c>
      <c r="N3952" t="s">
        <v>5034</v>
      </c>
    </row>
    <row r="3953" spans="1:14" x14ac:dyDescent="0.3">
      <c r="A3953" t="s">
        <v>3977</v>
      </c>
      <c r="B3953" t="s">
        <v>19</v>
      </c>
      <c r="C3953" t="s">
        <v>35</v>
      </c>
      <c r="D3953">
        <v>70</v>
      </c>
      <c r="E3953" t="s">
        <v>14</v>
      </c>
      <c r="F3953" t="s">
        <v>16</v>
      </c>
      <c r="G3953">
        <v>79.150000000000006</v>
      </c>
      <c r="H3953">
        <v>5536.5</v>
      </c>
      <c r="I3953" t="s">
        <v>15</v>
      </c>
      <c r="J3953" t="s">
        <v>15</v>
      </c>
      <c r="K3953" t="s">
        <v>21</v>
      </c>
      <c r="L3953">
        <v>5536.5</v>
      </c>
      <c r="M3953" t="s">
        <v>5033</v>
      </c>
      <c r="N3953" t="s">
        <v>5034</v>
      </c>
    </row>
    <row r="3954" spans="1:14" x14ac:dyDescent="0.3">
      <c r="A3954" t="s">
        <v>3978</v>
      </c>
      <c r="B3954" t="s">
        <v>12</v>
      </c>
      <c r="C3954" t="s">
        <v>35</v>
      </c>
      <c r="D3954">
        <v>72</v>
      </c>
      <c r="E3954" t="s">
        <v>26</v>
      </c>
      <c r="F3954" t="s">
        <v>16</v>
      </c>
      <c r="G3954">
        <v>108.05</v>
      </c>
      <c r="H3954">
        <v>7806.6</v>
      </c>
      <c r="I3954" t="s">
        <v>15</v>
      </c>
      <c r="J3954" t="s">
        <v>16</v>
      </c>
      <c r="K3954" t="s">
        <v>29</v>
      </c>
      <c r="L3954">
        <v>7806.6</v>
      </c>
      <c r="M3954" t="s">
        <v>5033</v>
      </c>
      <c r="N3954" t="s">
        <v>5034</v>
      </c>
    </row>
    <row r="3955" spans="1:14" x14ac:dyDescent="0.3">
      <c r="A3955" t="s">
        <v>3979</v>
      </c>
      <c r="B3955" t="s">
        <v>12</v>
      </c>
      <c r="C3955" t="s">
        <v>13</v>
      </c>
      <c r="D3955">
        <v>6</v>
      </c>
      <c r="E3955" t="s">
        <v>26</v>
      </c>
      <c r="F3955" t="s">
        <v>15</v>
      </c>
      <c r="G3955">
        <v>74.400000000000006</v>
      </c>
      <c r="H3955">
        <v>434.1</v>
      </c>
      <c r="I3955" t="s">
        <v>16</v>
      </c>
      <c r="J3955" t="s">
        <v>15</v>
      </c>
      <c r="K3955" t="s">
        <v>17</v>
      </c>
      <c r="L3955">
        <v>434.1</v>
      </c>
      <c r="M3955" t="s">
        <v>5030</v>
      </c>
      <c r="N3955" t="s">
        <v>5031</v>
      </c>
    </row>
    <row r="3956" spans="1:14" x14ac:dyDescent="0.3">
      <c r="A3956" t="s">
        <v>3980</v>
      </c>
      <c r="B3956" t="s">
        <v>19</v>
      </c>
      <c r="C3956" t="s">
        <v>13</v>
      </c>
      <c r="D3956">
        <v>17</v>
      </c>
      <c r="E3956" t="s">
        <v>26</v>
      </c>
      <c r="F3956" t="s">
        <v>15</v>
      </c>
      <c r="G3956">
        <v>94.8</v>
      </c>
      <c r="H3956">
        <v>1563.9</v>
      </c>
      <c r="I3956" t="s">
        <v>15</v>
      </c>
      <c r="J3956" t="s">
        <v>16</v>
      </c>
      <c r="K3956" t="s">
        <v>17</v>
      </c>
      <c r="L3956">
        <v>1563.9</v>
      </c>
      <c r="M3956" t="s">
        <v>5032</v>
      </c>
      <c r="N3956" t="s">
        <v>5031</v>
      </c>
    </row>
    <row r="3957" spans="1:14" x14ac:dyDescent="0.3">
      <c r="A3957" t="s">
        <v>3981</v>
      </c>
      <c r="B3957" t="s">
        <v>19</v>
      </c>
      <c r="C3957" t="s">
        <v>13</v>
      </c>
      <c r="D3957">
        <v>29</v>
      </c>
      <c r="E3957" t="s">
        <v>14</v>
      </c>
      <c r="F3957" t="s">
        <v>15</v>
      </c>
      <c r="G3957">
        <v>45.9</v>
      </c>
      <c r="H3957">
        <v>1332.4</v>
      </c>
      <c r="I3957" t="s">
        <v>15</v>
      </c>
      <c r="J3957" t="s">
        <v>16</v>
      </c>
      <c r="K3957" t="s">
        <v>17</v>
      </c>
      <c r="L3957">
        <v>1332.4</v>
      </c>
      <c r="M3957" t="s">
        <v>5032</v>
      </c>
      <c r="N3957" t="s">
        <v>5031</v>
      </c>
    </row>
    <row r="3958" spans="1:14" x14ac:dyDescent="0.3">
      <c r="A3958" t="s">
        <v>3982</v>
      </c>
      <c r="B3958" t="s">
        <v>12</v>
      </c>
      <c r="C3958" t="s">
        <v>13</v>
      </c>
      <c r="D3958">
        <v>6</v>
      </c>
      <c r="E3958" t="s">
        <v>26</v>
      </c>
      <c r="F3958" t="s">
        <v>15</v>
      </c>
      <c r="G3958">
        <v>105.3</v>
      </c>
      <c r="H3958">
        <v>545.20000000000005</v>
      </c>
      <c r="I3958" t="s">
        <v>16</v>
      </c>
      <c r="J3958" t="s">
        <v>16</v>
      </c>
      <c r="K3958" t="s">
        <v>17</v>
      </c>
      <c r="L3958">
        <v>545.20000000000005</v>
      </c>
      <c r="M3958" t="s">
        <v>5030</v>
      </c>
      <c r="N3958" t="s">
        <v>5031</v>
      </c>
    </row>
    <row r="3959" spans="1:14" x14ac:dyDescent="0.3">
      <c r="A3959" t="s">
        <v>3983</v>
      </c>
      <c r="B3959" t="s">
        <v>19</v>
      </c>
      <c r="C3959" t="s">
        <v>35</v>
      </c>
      <c r="D3959">
        <v>63</v>
      </c>
      <c r="E3959" t="s">
        <v>26</v>
      </c>
      <c r="F3959" t="s">
        <v>15</v>
      </c>
      <c r="G3959">
        <v>102.6</v>
      </c>
      <c r="H3959">
        <v>6296.75</v>
      </c>
      <c r="I3959" t="s">
        <v>15</v>
      </c>
      <c r="J3959" t="s">
        <v>15</v>
      </c>
      <c r="K3959" t="s">
        <v>17</v>
      </c>
      <c r="L3959">
        <v>6296.75</v>
      </c>
      <c r="M3959" t="s">
        <v>5033</v>
      </c>
      <c r="N3959" t="s">
        <v>5034</v>
      </c>
    </row>
    <row r="3960" spans="1:14" x14ac:dyDescent="0.3">
      <c r="A3960" t="s">
        <v>3984</v>
      </c>
      <c r="B3960" t="s">
        <v>19</v>
      </c>
      <c r="C3960" t="s">
        <v>13</v>
      </c>
      <c r="D3960">
        <v>16</v>
      </c>
      <c r="E3960" t="s">
        <v>26</v>
      </c>
      <c r="F3960" t="s">
        <v>15</v>
      </c>
      <c r="G3960">
        <v>73.849999999999994</v>
      </c>
      <c r="H3960">
        <v>1284.2</v>
      </c>
      <c r="I3960" t="s">
        <v>16</v>
      </c>
      <c r="J3960" t="s">
        <v>16</v>
      </c>
      <c r="K3960" t="s">
        <v>24</v>
      </c>
      <c r="L3960">
        <v>1284.2</v>
      </c>
      <c r="M3960" t="s">
        <v>5032</v>
      </c>
      <c r="N3960" t="s">
        <v>5031</v>
      </c>
    </row>
    <row r="3961" spans="1:14" x14ac:dyDescent="0.3">
      <c r="A3961" t="s">
        <v>3985</v>
      </c>
      <c r="B3961" t="s">
        <v>19</v>
      </c>
      <c r="C3961" t="s">
        <v>20</v>
      </c>
      <c r="D3961">
        <v>59</v>
      </c>
      <c r="E3961" t="s">
        <v>14</v>
      </c>
      <c r="F3961" t="s">
        <v>15</v>
      </c>
      <c r="G3961">
        <v>61.35</v>
      </c>
      <c r="H3961">
        <v>3645.5</v>
      </c>
      <c r="I3961" t="s">
        <v>15</v>
      </c>
      <c r="J3961" t="s">
        <v>16</v>
      </c>
      <c r="K3961" t="s">
        <v>24</v>
      </c>
      <c r="L3961">
        <v>3645.5</v>
      </c>
      <c r="M3961" t="s">
        <v>5033</v>
      </c>
      <c r="N3961" t="s">
        <v>5034</v>
      </c>
    </row>
    <row r="3962" spans="1:14" x14ac:dyDescent="0.3">
      <c r="A3962" t="s">
        <v>3986</v>
      </c>
      <c r="B3962" t="s">
        <v>12</v>
      </c>
      <c r="C3962" t="s">
        <v>13</v>
      </c>
      <c r="D3962">
        <v>3</v>
      </c>
      <c r="E3962" t="s">
        <v>14</v>
      </c>
      <c r="F3962" t="s">
        <v>15</v>
      </c>
      <c r="G3962">
        <v>57.55</v>
      </c>
      <c r="H3962">
        <v>161.44999999999999</v>
      </c>
      <c r="I3962" t="s">
        <v>15</v>
      </c>
      <c r="J3962" t="s">
        <v>15</v>
      </c>
      <c r="K3962" t="s">
        <v>17</v>
      </c>
      <c r="L3962">
        <v>161.44999999999999</v>
      </c>
      <c r="M3962" t="s">
        <v>5030</v>
      </c>
      <c r="N3962" t="s">
        <v>5031</v>
      </c>
    </row>
    <row r="3963" spans="1:14" x14ac:dyDescent="0.3">
      <c r="A3963" t="s">
        <v>3987</v>
      </c>
      <c r="B3963" t="s">
        <v>12</v>
      </c>
      <c r="C3963" t="s">
        <v>13</v>
      </c>
      <c r="D3963">
        <v>8</v>
      </c>
      <c r="E3963" t="s">
        <v>14</v>
      </c>
      <c r="F3963" t="s">
        <v>15</v>
      </c>
      <c r="G3963">
        <v>29.25</v>
      </c>
      <c r="H3963">
        <v>226.95</v>
      </c>
      <c r="I3963" t="s">
        <v>15</v>
      </c>
      <c r="J3963" t="s">
        <v>16</v>
      </c>
      <c r="K3963" t="s">
        <v>21</v>
      </c>
      <c r="L3963">
        <v>226.95</v>
      </c>
      <c r="M3963" t="s">
        <v>5030</v>
      </c>
      <c r="N3963" t="s">
        <v>5031</v>
      </c>
    </row>
    <row r="3964" spans="1:14" x14ac:dyDescent="0.3">
      <c r="A3964" t="s">
        <v>3988</v>
      </c>
      <c r="B3964" t="s">
        <v>12</v>
      </c>
      <c r="C3964" t="s">
        <v>13</v>
      </c>
      <c r="D3964">
        <v>7</v>
      </c>
      <c r="E3964" t="s">
        <v>26</v>
      </c>
      <c r="F3964" t="s">
        <v>15</v>
      </c>
      <c r="G3964">
        <v>84.55</v>
      </c>
      <c r="H3964">
        <v>646.85</v>
      </c>
      <c r="I3964" t="s">
        <v>16</v>
      </c>
      <c r="J3964" t="s">
        <v>16</v>
      </c>
      <c r="K3964" t="s">
        <v>17</v>
      </c>
      <c r="L3964">
        <v>646.85</v>
      </c>
      <c r="M3964" t="s">
        <v>5030</v>
      </c>
      <c r="N3964" t="s">
        <v>5031</v>
      </c>
    </row>
    <row r="3965" spans="1:14" x14ac:dyDescent="0.3">
      <c r="A3965" t="s">
        <v>3989</v>
      </c>
      <c r="B3965" t="s">
        <v>12</v>
      </c>
      <c r="C3965" t="s">
        <v>35</v>
      </c>
      <c r="D3965">
        <v>68</v>
      </c>
      <c r="E3965" t="s">
        <v>15</v>
      </c>
      <c r="F3965" t="s">
        <v>36</v>
      </c>
      <c r="G3965">
        <v>19.600000000000001</v>
      </c>
      <c r="H3965">
        <v>1441.65</v>
      </c>
      <c r="I3965" t="s">
        <v>15</v>
      </c>
      <c r="J3965" t="s">
        <v>15</v>
      </c>
      <c r="K3965" t="s">
        <v>29</v>
      </c>
      <c r="L3965">
        <v>1441.65</v>
      </c>
      <c r="M3965" t="s">
        <v>5033</v>
      </c>
      <c r="N3965" t="s">
        <v>5031</v>
      </c>
    </row>
    <row r="3966" spans="1:14" x14ac:dyDescent="0.3">
      <c r="A3966" t="s">
        <v>3990</v>
      </c>
      <c r="B3966" t="s">
        <v>12</v>
      </c>
      <c r="C3966" t="s">
        <v>35</v>
      </c>
      <c r="D3966">
        <v>68</v>
      </c>
      <c r="E3966" t="s">
        <v>26</v>
      </c>
      <c r="F3966" t="s">
        <v>16</v>
      </c>
      <c r="G3966">
        <v>111.75</v>
      </c>
      <c r="H3966">
        <v>7511.3</v>
      </c>
      <c r="I3966" t="s">
        <v>15</v>
      </c>
      <c r="J3966" t="s">
        <v>15</v>
      </c>
      <c r="K3966" t="s">
        <v>29</v>
      </c>
      <c r="L3966">
        <v>7511.3</v>
      </c>
      <c r="M3966" t="s">
        <v>5033</v>
      </c>
      <c r="N3966" t="s">
        <v>5034</v>
      </c>
    </row>
    <row r="3967" spans="1:14" x14ac:dyDescent="0.3">
      <c r="A3967" t="s">
        <v>3991</v>
      </c>
      <c r="B3967" t="s">
        <v>12</v>
      </c>
      <c r="C3967" t="s">
        <v>20</v>
      </c>
      <c r="D3967">
        <v>52</v>
      </c>
      <c r="E3967" t="s">
        <v>26</v>
      </c>
      <c r="F3967" t="s">
        <v>15</v>
      </c>
      <c r="G3967">
        <v>106.5</v>
      </c>
      <c r="H3967">
        <v>5621.85</v>
      </c>
      <c r="I3967" t="s">
        <v>15</v>
      </c>
      <c r="J3967" t="s">
        <v>16</v>
      </c>
      <c r="K3967" t="s">
        <v>17</v>
      </c>
      <c r="L3967">
        <v>5621.85</v>
      </c>
      <c r="M3967" t="s">
        <v>5033</v>
      </c>
      <c r="N3967" t="s">
        <v>5034</v>
      </c>
    </row>
    <row r="3968" spans="1:14" x14ac:dyDescent="0.3">
      <c r="A3968" t="s">
        <v>3992</v>
      </c>
      <c r="B3968" t="s">
        <v>19</v>
      </c>
      <c r="C3968" t="s">
        <v>35</v>
      </c>
      <c r="D3968">
        <v>72</v>
      </c>
      <c r="E3968" t="s">
        <v>26</v>
      </c>
      <c r="F3968" t="s">
        <v>16</v>
      </c>
      <c r="G3968">
        <v>107.7</v>
      </c>
      <c r="H3968">
        <v>7919.8</v>
      </c>
      <c r="I3968" t="s">
        <v>15</v>
      </c>
      <c r="J3968" t="s">
        <v>16</v>
      </c>
      <c r="K3968" t="s">
        <v>29</v>
      </c>
      <c r="L3968">
        <v>7919.8</v>
      </c>
      <c r="M3968" t="s">
        <v>5033</v>
      </c>
      <c r="N3968" t="s">
        <v>5034</v>
      </c>
    </row>
    <row r="3969" spans="1:14" x14ac:dyDescent="0.3">
      <c r="A3969" t="s">
        <v>3993</v>
      </c>
      <c r="B3969" t="s">
        <v>12</v>
      </c>
      <c r="C3969" t="s">
        <v>20</v>
      </c>
      <c r="D3969">
        <v>32</v>
      </c>
      <c r="E3969" t="s">
        <v>15</v>
      </c>
      <c r="F3969" t="s">
        <v>36</v>
      </c>
      <c r="G3969">
        <v>19.3</v>
      </c>
      <c r="H3969">
        <v>593.20000000000005</v>
      </c>
      <c r="I3969" t="s">
        <v>15</v>
      </c>
      <c r="J3969" t="s">
        <v>15</v>
      </c>
      <c r="K3969" t="s">
        <v>21</v>
      </c>
      <c r="L3969">
        <v>593.20000000000005</v>
      </c>
      <c r="M3969" t="s">
        <v>5032</v>
      </c>
      <c r="N3969" t="s">
        <v>5031</v>
      </c>
    </row>
    <row r="3970" spans="1:14" x14ac:dyDescent="0.3">
      <c r="A3970" t="s">
        <v>3994</v>
      </c>
      <c r="B3970" t="s">
        <v>12</v>
      </c>
      <c r="C3970" t="s">
        <v>35</v>
      </c>
      <c r="D3970">
        <v>72</v>
      </c>
      <c r="E3970" t="s">
        <v>15</v>
      </c>
      <c r="F3970" t="s">
        <v>36</v>
      </c>
      <c r="G3970">
        <v>20.05</v>
      </c>
      <c r="H3970">
        <v>1423.65</v>
      </c>
      <c r="I3970" t="s">
        <v>15</v>
      </c>
      <c r="J3970" t="s">
        <v>15</v>
      </c>
      <c r="K3970" t="s">
        <v>24</v>
      </c>
      <c r="L3970">
        <v>1423.65</v>
      </c>
      <c r="M3970" t="s">
        <v>5033</v>
      </c>
      <c r="N3970" t="s">
        <v>5031</v>
      </c>
    </row>
    <row r="3971" spans="1:14" x14ac:dyDescent="0.3">
      <c r="A3971" t="s">
        <v>3995</v>
      </c>
      <c r="B3971" t="s">
        <v>19</v>
      </c>
      <c r="C3971" t="s">
        <v>13</v>
      </c>
      <c r="D3971">
        <v>1</v>
      </c>
      <c r="E3971" t="s">
        <v>26</v>
      </c>
      <c r="F3971" t="s">
        <v>15</v>
      </c>
      <c r="G3971">
        <v>69.95</v>
      </c>
      <c r="H3971">
        <v>69.95</v>
      </c>
      <c r="I3971" t="s">
        <v>15</v>
      </c>
      <c r="J3971" t="s">
        <v>16</v>
      </c>
      <c r="K3971" t="s">
        <v>29</v>
      </c>
      <c r="L3971">
        <v>69.95</v>
      </c>
      <c r="M3971" t="s">
        <v>5030</v>
      </c>
      <c r="N3971" t="s">
        <v>5031</v>
      </c>
    </row>
    <row r="3972" spans="1:14" x14ac:dyDescent="0.3">
      <c r="A3972" t="s">
        <v>3996</v>
      </c>
      <c r="B3972" t="s">
        <v>19</v>
      </c>
      <c r="C3972" t="s">
        <v>20</v>
      </c>
      <c r="D3972">
        <v>42</v>
      </c>
      <c r="E3972" t="s">
        <v>14</v>
      </c>
      <c r="F3972" t="s">
        <v>16</v>
      </c>
      <c r="G3972">
        <v>63.7</v>
      </c>
      <c r="H3972">
        <v>2763.35</v>
      </c>
      <c r="I3972" t="s">
        <v>15</v>
      </c>
      <c r="J3972" t="s">
        <v>15</v>
      </c>
      <c r="K3972" t="s">
        <v>29</v>
      </c>
      <c r="L3972">
        <v>2763.35</v>
      </c>
      <c r="M3972" t="s">
        <v>5033</v>
      </c>
      <c r="N3972" t="s">
        <v>5034</v>
      </c>
    </row>
    <row r="3973" spans="1:14" x14ac:dyDescent="0.3">
      <c r="A3973" t="s">
        <v>3997</v>
      </c>
      <c r="B3973" t="s">
        <v>12</v>
      </c>
      <c r="C3973" t="s">
        <v>35</v>
      </c>
      <c r="D3973">
        <v>25</v>
      </c>
      <c r="E3973" t="s">
        <v>15</v>
      </c>
      <c r="F3973" t="s">
        <v>36</v>
      </c>
      <c r="G3973">
        <v>24.75</v>
      </c>
      <c r="H3973">
        <v>692.1</v>
      </c>
      <c r="I3973" t="s">
        <v>16</v>
      </c>
      <c r="J3973" t="s">
        <v>15</v>
      </c>
      <c r="K3973" t="s">
        <v>29</v>
      </c>
      <c r="L3973">
        <v>692.1</v>
      </c>
      <c r="M3973" t="s">
        <v>5032</v>
      </c>
      <c r="N3973" t="s">
        <v>5031</v>
      </c>
    </row>
    <row r="3974" spans="1:14" x14ac:dyDescent="0.3">
      <c r="A3974" t="s">
        <v>3998</v>
      </c>
      <c r="B3974" t="s">
        <v>19</v>
      </c>
      <c r="C3974" t="s">
        <v>13</v>
      </c>
      <c r="D3974">
        <v>45</v>
      </c>
      <c r="E3974" t="s">
        <v>14</v>
      </c>
      <c r="F3974" t="s">
        <v>15</v>
      </c>
      <c r="G3974">
        <v>50.9</v>
      </c>
      <c r="H3974">
        <v>2298.5500000000002</v>
      </c>
      <c r="I3974" t="s">
        <v>15</v>
      </c>
      <c r="J3974" t="s">
        <v>16</v>
      </c>
      <c r="K3974" t="s">
        <v>24</v>
      </c>
      <c r="L3974">
        <v>2298.5500000000002</v>
      </c>
      <c r="M3974" t="s">
        <v>5033</v>
      </c>
      <c r="N3974" t="s">
        <v>5031</v>
      </c>
    </row>
    <row r="3975" spans="1:14" x14ac:dyDescent="0.3">
      <c r="A3975" t="s">
        <v>3999</v>
      </c>
      <c r="B3975" t="s">
        <v>12</v>
      </c>
      <c r="C3975" t="s">
        <v>20</v>
      </c>
      <c r="D3975">
        <v>43</v>
      </c>
      <c r="E3975" t="s">
        <v>14</v>
      </c>
      <c r="F3975" t="s">
        <v>16</v>
      </c>
      <c r="G3975">
        <v>60.4</v>
      </c>
      <c r="H3975">
        <v>2640.55</v>
      </c>
      <c r="I3975" t="s">
        <v>15</v>
      </c>
      <c r="J3975" t="s">
        <v>16</v>
      </c>
      <c r="K3975" t="s">
        <v>29</v>
      </c>
      <c r="L3975">
        <v>2640.55</v>
      </c>
      <c r="M3975" t="s">
        <v>5033</v>
      </c>
      <c r="N3975" t="s">
        <v>5034</v>
      </c>
    </row>
    <row r="3976" spans="1:14" x14ac:dyDescent="0.3">
      <c r="A3976" t="s">
        <v>4000</v>
      </c>
      <c r="B3976" t="s">
        <v>19</v>
      </c>
      <c r="C3976" t="s">
        <v>20</v>
      </c>
      <c r="D3976">
        <v>37</v>
      </c>
      <c r="E3976" t="s">
        <v>14</v>
      </c>
      <c r="F3976" t="s">
        <v>15</v>
      </c>
      <c r="G3976">
        <v>79.25</v>
      </c>
      <c r="H3976">
        <v>2911.8</v>
      </c>
      <c r="I3976" t="s">
        <v>15</v>
      </c>
      <c r="J3976" t="s">
        <v>15</v>
      </c>
      <c r="K3976" t="s">
        <v>21</v>
      </c>
      <c r="L3976">
        <v>2911.8</v>
      </c>
      <c r="M3976" t="s">
        <v>5033</v>
      </c>
      <c r="N3976" t="s">
        <v>5034</v>
      </c>
    </row>
    <row r="3977" spans="1:14" x14ac:dyDescent="0.3">
      <c r="A3977" t="s">
        <v>4001</v>
      </c>
      <c r="B3977" t="s">
        <v>12</v>
      </c>
      <c r="C3977" t="s">
        <v>13</v>
      </c>
      <c r="D3977">
        <v>20</v>
      </c>
      <c r="E3977" t="s">
        <v>26</v>
      </c>
      <c r="F3977" t="s">
        <v>15</v>
      </c>
      <c r="G3977">
        <v>85.8</v>
      </c>
      <c r="H3977">
        <v>1727.5</v>
      </c>
      <c r="I3977" t="s">
        <v>16</v>
      </c>
      <c r="J3977" t="s">
        <v>16</v>
      </c>
      <c r="K3977" t="s">
        <v>29</v>
      </c>
      <c r="L3977">
        <v>1727.5</v>
      </c>
      <c r="M3977" t="s">
        <v>5032</v>
      </c>
      <c r="N3977" t="s">
        <v>5031</v>
      </c>
    </row>
    <row r="3978" spans="1:14" x14ac:dyDescent="0.3">
      <c r="A3978" t="s">
        <v>4002</v>
      </c>
      <c r="B3978" t="s">
        <v>12</v>
      </c>
      <c r="C3978" t="s">
        <v>13</v>
      </c>
      <c r="D3978">
        <v>4</v>
      </c>
      <c r="E3978" t="s">
        <v>14</v>
      </c>
      <c r="F3978" t="s">
        <v>15</v>
      </c>
      <c r="G3978">
        <v>24.45</v>
      </c>
      <c r="H3978">
        <v>86.6</v>
      </c>
      <c r="I3978" t="s">
        <v>16</v>
      </c>
      <c r="J3978" t="s">
        <v>16</v>
      </c>
      <c r="K3978" t="s">
        <v>17</v>
      </c>
      <c r="L3978">
        <v>86.6</v>
      </c>
      <c r="M3978" t="s">
        <v>5030</v>
      </c>
      <c r="N3978" t="s">
        <v>5031</v>
      </c>
    </row>
    <row r="3979" spans="1:14" x14ac:dyDescent="0.3">
      <c r="A3979" t="s">
        <v>4003</v>
      </c>
      <c r="B3979" t="s">
        <v>19</v>
      </c>
      <c r="C3979" t="s">
        <v>35</v>
      </c>
      <c r="D3979">
        <v>63</v>
      </c>
      <c r="E3979" t="s">
        <v>26</v>
      </c>
      <c r="F3979" t="s">
        <v>16</v>
      </c>
      <c r="G3979">
        <v>110.1</v>
      </c>
      <c r="H3979">
        <v>6705.7</v>
      </c>
      <c r="I3979" t="s">
        <v>15</v>
      </c>
      <c r="J3979" t="s">
        <v>16</v>
      </c>
      <c r="K3979" t="s">
        <v>29</v>
      </c>
      <c r="L3979">
        <v>6705.7</v>
      </c>
      <c r="M3979" t="s">
        <v>5033</v>
      </c>
      <c r="N3979" t="s">
        <v>5034</v>
      </c>
    </row>
    <row r="3980" spans="1:14" x14ac:dyDescent="0.3">
      <c r="A3980" t="s">
        <v>4004</v>
      </c>
      <c r="B3980" t="s">
        <v>19</v>
      </c>
      <c r="C3980" t="s">
        <v>13</v>
      </c>
      <c r="D3980">
        <v>3</v>
      </c>
      <c r="E3980" t="s">
        <v>26</v>
      </c>
      <c r="F3980" t="s">
        <v>15</v>
      </c>
      <c r="G3980">
        <v>90.7</v>
      </c>
      <c r="H3980">
        <v>237.65</v>
      </c>
      <c r="I3980" t="s">
        <v>15</v>
      </c>
      <c r="J3980" t="s">
        <v>15</v>
      </c>
      <c r="K3980" t="s">
        <v>21</v>
      </c>
      <c r="L3980">
        <v>237.65</v>
      </c>
      <c r="M3980" t="s">
        <v>5030</v>
      </c>
      <c r="N3980" t="s">
        <v>5031</v>
      </c>
    </row>
    <row r="3981" spans="1:14" x14ac:dyDescent="0.3">
      <c r="A3981" t="s">
        <v>4005</v>
      </c>
      <c r="B3981" t="s">
        <v>19</v>
      </c>
      <c r="C3981" t="s">
        <v>35</v>
      </c>
      <c r="D3981">
        <v>66</v>
      </c>
      <c r="E3981" t="s">
        <v>15</v>
      </c>
      <c r="F3981" t="s">
        <v>36</v>
      </c>
      <c r="G3981">
        <v>25.3</v>
      </c>
      <c r="H3981">
        <v>1672.35</v>
      </c>
      <c r="I3981" t="s">
        <v>15</v>
      </c>
      <c r="J3981" t="s">
        <v>16</v>
      </c>
      <c r="K3981" t="s">
        <v>29</v>
      </c>
      <c r="L3981">
        <v>1672.35</v>
      </c>
      <c r="M3981" t="s">
        <v>5033</v>
      </c>
      <c r="N3981" t="s">
        <v>5031</v>
      </c>
    </row>
    <row r="3982" spans="1:14" x14ac:dyDescent="0.3">
      <c r="A3982" t="s">
        <v>4006</v>
      </c>
      <c r="B3982" t="s">
        <v>19</v>
      </c>
      <c r="C3982" t="s">
        <v>13</v>
      </c>
      <c r="D3982">
        <v>28</v>
      </c>
      <c r="E3982" t="s">
        <v>26</v>
      </c>
      <c r="F3982" t="s">
        <v>15</v>
      </c>
      <c r="G3982">
        <v>105.7</v>
      </c>
      <c r="H3982">
        <v>2979.5</v>
      </c>
      <c r="I3982" t="s">
        <v>16</v>
      </c>
      <c r="J3982" t="s">
        <v>16</v>
      </c>
      <c r="K3982" t="s">
        <v>17</v>
      </c>
      <c r="L3982">
        <v>2979.5</v>
      </c>
      <c r="M3982" t="s">
        <v>5032</v>
      </c>
      <c r="N3982" t="s">
        <v>5034</v>
      </c>
    </row>
    <row r="3983" spans="1:14" x14ac:dyDescent="0.3">
      <c r="A3983" t="s">
        <v>4007</v>
      </c>
      <c r="B3983" t="s">
        <v>12</v>
      </c>
      <c r="C3983" t="s">
        <v>13</v>
      </c>
      <c r="D3983">
        <v>8</v>
      </c>
      <c r="E3983" t="s">
        <v>26</v>
      </c>
      <c r="F3983" t="s">
        <v>15</v>
      </c>
      <c r="G3983">
        <v>85.2</v>
      </c>
      <c r="H3983">
        <v>695.75</v>
      </c>
      <c r="I3983" t="s">
        <v>15</v>
      </c>
      <c r="J3983" t="s">
        <v>15</v>
      </c>
      <c r="K3983" t="s">
        <v>17</v>
      </c>
      <c r="L3983">
        <v>695.75</v>
      </c>
      <c r="M3983" t="s">
        <v>5030</v>
      </c>
      <c r="N3983" t="s">
        <v>5031</v>
      </c>
    </row>
    <row r="3984" spans="1:14" x14ac:dyDescent="0.3">
      <c r="A3984" t="s">
        <v>4008</v>
      </c>
      <c r="B3984" t="s">
        <v>19</v>
      </c>
      <c r="C3984" t="s">
        <v>35</v>
      </c>
      <c r="D3984">
        <v>71</v>
      </c>
      <c r="E3984" t="s">
        <v>15</v>
      </c>
      <c r="F3984" t="s">
        <v>36</v>
      </c>
      <c r="G3984">
        <v>24.35</v>
      </c>
      <c r="H3984">
        <v>1654.6</v>
      </c>
      <c r="I3984" t="s">
        <v>15</v>
      </c>
      <c r="J3984" t="s">
        <v>15</v>
      </c>
      <c r="K3984" t="s">
        <v>21</v>
      </c>
      <c r="L3984">
        <v>1654.6</v>
      </c>
      <c r="M3984" t="s">
        <v>5033</v>
      </c>
      <c r="N3984" t="s">
        <v>5031</v>
      </c>
    </row>
    <row r="3985" spans="1:14" x14ac:dyDescent="0.3">
      <c r="A3985" t="s">
        <v>4009</v>
      </c>
      <c r="B3985" t="s">
        <v>19</v>
      </c>
      <c r="C3985" t="s">
        <v>13</v>
      </c>
      <c r="D3985">
        <v>1</v>
      </c>
      <c r="E3985" t="s">
        <v>14</v>
      </c>
      <c r="F3985" t="s">
        <v>15</v>
      </c>
      <c r="G3985">
        <v>24.25</v>
      </c>
      <c r="H3985">
        <v>24.25</v>
      </c>
      <c r="I3985" t="s">
        <v>16</v>
      </c>
      <c r="J3985" t="s">
        <v>16</v>
      </c>
      <c r="K3985" t="s">
        <v>17</v>
      </c>
      <c r="L3985">
        <v>24.25</v>
      </c>
      <c r="M3985" t="s">
        <v>5030</v>
      </c>
      <c r="N3985" t="s">
        <v>5031</v>
      </c>
    </row>
    <row r="3986" spans="1:14" x14ac:dyDescent="0.3">
      <c r="A3986" t="s">
        <v>4010</v>
      </c>
      <c r="B3986" t="s">
        <v>12</v>
      </c>
      <c r="C3986" t="s">
        <v>35</v>
      </c>
      <c r="D3986">
        <v>72</v>
      </c>
      <c r="E3986" t="s">
        <v>15</v>
      </c>
      <c r="F3986" t="s">
        <v>36</v>
      </c>
      <c r="G3986">
        <v>25.1</v>
      </c>
      <c r="H3986">
        <v>1857.85</v>
      </c>
      <c r="I3986" t="s">
        <v>15</v>
      </c>
      <c r="J3986" t="s">
        <v>15</v>
      </c>
      <c r="K3986" t="s">
        <v>24</v>
      </c>
      <c r="L3986">
        <v>1857.85</v>
      </c>
      <c r="M3986" t="s">
        <v>5033</v>
      </c>
      <c r="N3986" t="s">
        <v>5031</v>
      </c>
    </row>
    <row r="3987" spans="1:14" x14ac:dyDescent="0.3">
      <c r="A3987" t="s">
        <v>4011</v>
      </c>
      <c r="B3987" t="s">
        <v>19</v>
      </c>
      <c r="C3987" t="s">
        <v>13</v>
      </c>
      <c r="D3987">
        <v>16</v>
      </c>
      <c r="E3987" t="s">
        <v>14</v>
      </c>
      <c r="F3987" t="s">
        <v>15</v>
      </c>
      <c r="G3987">
        <v>54.55</v>
      </c>
      <c r="H3987">
        <v>825.1</v>
      </c>
      <c r="I3987" t="s">
        <v>15</v>
      </c>
      <c r="J3987" t="s">
        <v>16</v>
      </c>
      <c r="K3987" t="s">
        <v>24</v>
      </c>
      <c r="L3987">
        <v>825.1</v>
      </c>
      <c r="M3987" t="s">
        <v>5032</v>
      </c>
      <c r="N3987" t="s">
        <v>5031</v>
      </c>
    </row>
    <row r="3988" spans="1:14" x14ac:dyDescent="0.3">
      <c r="A3988" t="s">
        <v>4012</v>
      </c>
      <c r="B3988" t="s">
        <v>19</v>
      </c>
      <c r="C3988" t="s">
        <v>35</v>
      </c>
      <c r="D3988">
        <v>66</v>
      </c>
      <c r="E3988" t="s">
        <v>26</v>
      </c>
      <c r="F3988" t="s">
        <v>16</v>
      </c>
      <c r="G3988">
        <v>96.6</v>
      </c>
      <c r="H3988">
        <v>6424.25</v>
      </c>
      <c r="I3988" t="s">
        <v>15</v>
      </c>
      <c r="J3988" t="s">
        <v>15</v>
      </c>
      <c r="K3988" t="s">
        <v>21</v>
      </c>
      <c r="L3988">
        <v>6424.25</v>
      </c>
      <c r="M3988" t="s">
        <v>5033</v>
      </c>
      <c r="N3988" t="s">
        <v>5034</v>
      </c>
    </row>
    <row r="3989" spans="1:14" x14ac:dyDescent="0.3">
      <c r="A3989" t="s">
        <v>4013</v>
      </c>
      <c r="B3989" t="s">
        <v>12</v>
      </c>
      <c r="C3989" t="s">
        <v>13</v>
      </c>
      <c r="D3989">
        <v>11</v>
      </c>
      <c r="E3989" t="s">
        <v>26</v>
      </c>
      <c r="F3989" t="s">
        <v>15</v>
      </c>
      <c r="G3989">
        <v>76.5</v>
      </c>
      <c r="H3989">
        <v>837.95</v>
      </c>
      <c r="I3989" t="s">
        <v>16</v>
      </c>
      <c r="J3989" t="s">
        <v>16</v>
      </c>
      <c r="K3989" t="s">
        <v>17</v>
      </c>
      <c r="L3989">
        <v>837.95</v>
      </c>
      <c r="M3989" t="s">
        <v>5030</v>
      </c>
      <c r="N3989" t="s">
        <v>5031</v>
      </c>
    </row>
    <row r="3990" spans="1:14" x14ac:dyDescent="0.3">
      <c r="A3990" t="s">
        <v>4014</v>
      </c>
      <c r="B3990" t="s">
        <v>19</v>
      </c>
      <c r="C3990" t="s">
        <v>20</v>
      </c>
      <c r="D3990">
        <v>51</v>
      </c>
      <c r="E3990" t="s">
        <v>14</v>
      </c>
      <c r="F3990" t="s">
        <v>16</v>
      </c>
      <c r="G3990">
        <v>81.150000000000006</v>
      </c>
      <c r="H3990">
        <v>4126.2</v>
      </c>
      <c r="I3990" t="s">
        <v>15</v>
      </c>
      <c r="J3990" t="s">
        <v>16</v>
      </c>
      <c r="K3990" t="s">
        <v>29</v>
      </c>
      <c r="L3990">
        <v>4126.2</v>
      </c>
      <c r="M3990" t="s">
        <v>5033</v>
      </c>
      <c r="N3990" t="s">
        <v>5034</v>
      </c>
    </row>
    <row r="3991" spans="1:14" x14ac:dyDescent="0.3">
      <c r="A3991" t="s">
        <v>4015</v>
      </c>
      <c r="B3991" t="s">
        <v>12</v>
      </c>
      <c r="C3991" t="s">
        <v>13</v>
      </c>
      <c r="D3991">
        <v>8</v>
      </c>
      <c r="E3991" t="s">
        <v>14</v>
      </c>
      <c r="F3991" t="s">
        <v>15</v>
      </c>
      <c r="G3991">
        <v>38.5</v>
      </c>
      <c r="H3991">
        <v>330.8</v>
      </c>
      <c r="I3991" t="s">
        <v>15</v>
      </c>
      <c r="J3991" t="s">
        <v>16</v>
      </c>
      <c r="K3991" t="s">
        <v>17</v>
      </c>
      <c r="L3991">
        <v>330.8</v>
      </c>
      <c r="M3991" t="s">
        <v>5030</v>
      </c>
      <c r="N3991" t="s">
        <v>5031</v>
      </c>
    </row>
    <row r="3992" spans="1:14" x14ac:dyDescent="0.3">
      <c r="A3992" t="s">
        <v>4016</v>
      </c>
      <c r="B3992" t="s">
        <v>19</v>
      </c>
      <c r="C3992" t="s">
        <v>13</v>
      </c>
      <c r="D3992">
        <v>14</v>
      </c>
      <c r="E3992" t="s">
        <v>26</v>
      </c>
      <c r="F3992" t="s">
        <v>15</v>
      </c>
      <c r="G3992">
        <v>92.9</v>
      </c>
      <c r="H3992">
        <v>1337.45</v>
      </c>
      <c r="I3992" t="s">
        <v>15</v>
      </c>
      <c r="J3992" t="s">
        <v>16</v>
      </c>
      <c r="K3992" t="s">
        <v>17</v>
      </c>
      <c r="L3992">
        <v>1337.45</v>
      </c>
      <c r="M3992" t="s">
        <v>5032</v>
      </c>
      <c r="N3992" t="s">
        <v>5031</v>
      </c>
    </row>
    <row r="3993" spans="1:14" x14ac:dyDescent="0.3">
      <c r="A3993" t="s">
        <v>4017</v>
      </c>
      <c r="B3993" t="s">
        <v>12</v>
      </c>
      <c r="C3993" t="s">
        <v>13</v>
      </c>
      <c r="D3993">
        <v>4</v>
      </c>
      <c r="E3993" t="s">
        <v>26</v>
      </c>
      <c r="F3993" t="s">
        <v>16</v>
      </c>
      <c r="G3993">
        <v>93.5</v>
      </c>
      <c r="H3993">
        <v>362.2</v>
      </c>
      <c r="I3993" t="s">
        <v>16</v>
      </c>
      <c r="J3993" t="s">
        <v>16</v>
      </c>
      <c r="K3993" t="s">
        <v>17</v>
      </c>
      <c r="L3993">
        <v>362.2</v>
      </c>
      <c r="M3993" t="s">
        <v>5030</v>
      </c>
      <c r="N3993" t="s">
        <v>5031</v>
      </c>
    </row>
    <row r="3994" spans="1:14" x14ac:dyDescent="0.3">
      <c r="A3994" t="s">
        <v>4018</v>
      </c>
      <c r="B3994" t="s">
        <v>12</v>
      </c>
      <c r="C3994" t="s">
        <v>35</v>
      </c>
      <c r="D3994">
        <v>70</v>
      </c>
      <c r="E3994" t="s">
        <v>14</v>
      </c>
      <c r="F3994" t="s">
        <v>15</v>
      </c>
      <c r="G3994">
        <v>84.7</v>
      </c>
      <c r="H3994">
        <v>5991.05</v>
      </c>
      <c r="I3994" t="s">
        <v>15</v>
      </c>
      <c r="J3994" t="s">
        <v>15</v>
      </c>
      <c r="K3994" t="s">
        <v>21</v>
      </c>
      <c r="L3994">
        <v>5991.05</v>
      </c>
      <c r="M3994" t="s">
        <v>5033</v>
      </c>
      <c r="N3994" t="s">
        <v>5034</v>
      </c>
    </row>
    <row r="3995" spans="1:14" x14ac:dyDescent="0.3">
      <c r="A3995" t="s">
        <v>4019</v>
      </c>
      <c r="B3995" t="s">
        <v>12</v>
      </c>
      <c r="C3995" t="s">
        <v>35</v>
      </c>
      <c r="D3995">
        <v>70</v>
      </c>
      <c r="E3995" t="s">
        <v>14</v>
      </c>
      <c r="F3995" t="s">
        <v>16</v>
      </c>
      <c r="G3995">
        <v>66</v>
      </c>
      <c r="H3995">
        <v>4891.5</v>
      </c>
      <c r="I3995" t="s">
        <v>15</v>
      </c>
      <c r="J3995" t="s">
        <v>15</v>
      </c>
      <c r="K3995" t="s">
        <v>17</v>
      </c>
      <c r="L3995">
        <v>4891.5</v>
      </c>
      <c r="M3995" t="s">
        <v>5033</v>
      </c>
      <c r="N3995" t="s">
        <v>5034</v>
      </c>
    </row>
    <row r="3996" spans="1:14" x14ac:dyDescent="0.3">
      <c r="A3996" t="s">
        <v>4020</v>
      </c>
      <c r="B3996" t="s">
        <v>12</v>
      </c>
      <c r="C3996" t="s">
        <v>20</v>
      </c>
      <c r="D3996">
        <v>54</v>
      </c>
      <c r="E3996" t="s">
        <v>26</v>
      </c>
      <c r="F3996" t="s">
        <v>15</v>
      </c>
      <c r="G3996">
        <v>101.5</v>
      </c>
      <c r="H3996">
        <v>5373.1</v>
      </c>
      <c r="I3996" t="s">
        <v>16</v>
      </c>
      <c r="J3996" t="s">
        <v>16</v>
      </c>
      <c r="K3996" t="s">
        <v>29</v>
      </c>
      <c r="L3996">
        <v>5373.1</v>
      </c>
      <c r="M3996" t="s">
        <v>5033</v>
      </c>
      <c r="N3996" t="s">
        <v>5034</v>
      </c>
    </row>
    <row r="3997" spans="1:14" x14ac:dyDescent="0.3">
      <c r="A3997" t="s">
        <v>4021</v>
      </c>
      <c r="B3997" t="s">
        <v>19</v>
      </c>
      <c r="C3997" t="s">
        <v>13</v>
      </c>
      <c r="D3997">
        <v>28</v>
      </c>
      <c r="E3997" t="s">
        <v>26</v>
      </c>
      <c r="F3997" t="s">
        <v>15</v>
      </c>
      <c r="G3997">
        <v>74.900000000000006</v>
      </c>
      <c r="H3997">
        <v>2068.5500000000002</v>
      </c>
      <c r="I3997" t="s">
        <v>16</v>
      </c>
      <c r="J3997" t="s">
        <v>16</v>
      </c>
      <c r="K3997" t="s">
        <v>24</v>
      </c>
      <c r="L3997">
        <v>2068.5500000000002</v>
      </c>
      <c r="M3997" t="s">
        <v>5032</v>
      </c>
      <c r="N3997" t="s">
        <v>5031</v>
      </c>
    </row>
    <row r="3998" spans="1:14" x14ac:dyDescent="0.3">
      <c r="A3998" t="s">
        <v>4022</v>
      </c>
      <c r="B3998" t="s">
        <v>19</v>
      </c>
      <c r="C3998" t="s">
        <v>35</v>
      </c>
      <c r="D3998">
        <v>24</v>
      </c>
      <c r="E3998" t="s">
        <v>15</v>
      </c>
      <c r="F3998" t="s">
        <v>36</v>
      </c>
      <c r="G3998">
        <v>20.75</v>
      </c>
      <c r="H3998">
        <v>487.05</v>
      </c>
      <c r="I3998" t="s">
        <v>15</v>
      </c>
      <c r="J3998" t="s">
        <v>15</v>
      </c>
      <c r="K3998" t="s">
        <v>21</v>
      </c>
      <c r="L3998">
        <v>487.05</v>
      </c>
      <c r="M3998" t="s">
        <v>5032</v>
      </c>
      <c r="N3998" t="s">
        <v>5031</v>
      </c>
    </row>
    <row r="3999" spans="1:14" x14ac:dyDescent="0.3">
      <c r="A3999" t="s">
        <v>4023</v>
      </c>
      <c r="B3999" t="s">
        <v>12</v>
      </c>
      <c r="C3999" t="s">
        <v>35</v>
      </c>
      <c r="D3999">
        <v>69</v>
      </c>
      <c r="E3999" t="s">
        <v>14</v>
      </c>
      <c r="F3999" t="s">
        <v>15</v>
      </c>
      <c r="G3999">
        <v>61.45</v>
      </c>
      <c r="H3999">
        <v>4131.2</v>
      </c>
      <c r="I3999" t="s">
        <v>15</v>
      </c>
      <c r="J3999" t="s">
        <v>16</v>
      </c>
      <c r="K3999" t="s">
        <v>29</v>
      </c>
      <c r="L3999">
        <v>4131.2</v>
      </c>
      <c r="M3999" t="s">
        <v>5033</v>
      </c>
      <c r="N3999" t="s">
        <v>5034</v>
      </c>
    </row>
    <row r="4000" spans="1:14" x14ac:dyDescent="0.3">
      <c r="A4000" t="s">
        <v>4024</v>
      </c>
      <c r="B4000" t="s">
        <v>19</v>
      </c>
      <c r="C4000" t="s">
        <v>13</v>
      </c>
      <c r="D4000">
        <v>42</v>
      </c>
      <c r="E4000" t="s">
        <v>14</v>
      </c>
      <c r="F4000" t="s">
        <v>15</v>
      </c>
      <c r="G4000">
        <v>54.5</v>
      </c>
      <c r="H4000">
        <v>2301.15</v>
      </c>
      <c r="I4000" t="s">
        <v>15</v>
      </c>
      <c r="J4000" t="s">
        <v>15</v>
      </c>
      <c r="K4000" t="s">
        <v>21</v>
      </c>
      <c r="L4000">
        <v>2301.15</v>
      </c>
      <c r="M4000" t="s">
        <v>5033</v>
      </c>
      <c r="N4000" t="s">
        <v>5031</v>
      </c>
    </row>
    <row r="4001" spans="1:14" x14ac:dyDescent="0.3">
      <c r="A4001" t="s">
        <v>4025</v>
      </c>
      <c r="B4001" t="s">
        <v>12</v>
      </c>
      <c r="C4001" t="s">
        <v>13</v>
      </c>
      <c r="D4001">
        <v>2</v>
      </c>
      <c r="E4001" t="s">
        <v>26</v>
      </c>
      <c r="F4001" t="s">
        <v>15</v>
      </c>
      <c r="G4001">
        <v>69.599999999999994</v>
      </c>
      <c r="H4001">
        <v>131.65</v>
      </c>
      <c r="I4001" t="s">
        <v>16</v>
      </c>
      <c r="J4001" t="s">
        <v>16</v>
      </c>
      <c r="K4001" t="s">
        <v>17</v>
      </c>
      <c r="L4001">
        <v>131.65</v>
      </c>
      <c r="M4001" t="s">
        <v>5030</v>
      </c>
      <c r="N4001" t="s">
        <v>5031</v>
      </c>
    </row>
    <row r="4002" spans="1:14" x14ac:dyDescent="0.3">
      <c r="A4002" t="s">
        <v>4026</v>
      </c>
      <c r="B4002" t="s">
        <v>12</v>
      </c>
      <c r="C4002" t="s">
        <v>13</v>
      </c>
      <c r="D4002">
        <v>39</v>
      </c>
      <c r="E4002" t="s">
        <v>26</v>
      </c>
      <c r="F4002" t="s">
        <v>15</v>
      </c>
      <c r="G4002">
        <v>99.75</v>
      </c>
      <c r="H4002">
        <v>4036</v>
      </c>
      <c r="I4002" t="s">
        <v>15</v>
      </c>
      <c r="J4002" t="s">
        <v>16</v>
      </c>
      <c r="K4002" t="s">
        <v>17</v>
      </c>
      <c r="L4002">
        <v>4036</v>
      </c>
      <c r="M4002" t="s">
        <v>5033</v>
      </c>
      <c r="N4002" t="s">
        <v>5034</v>
      </c>
    </row>
    <row r="4003" spans="1:14" x14ac:dyDescent="0.3">
      <c r="A4003" t="s">
        <v>4027</v>
      </c>
      <c r="B4003" t="s">
        <v>19</v>
      </c>
      <c r="C4003" t="s">
        <v>35</v>
      </c>
      <c r="D4003">
        <v>45</v>
      </c>
      <c r="E4003" t="s">
        <v>26</v>
      </c>
      <c r="F4003" t="s">
        <v>16</v>
      </c>
      <c r="G4003">
        <v>109.75</v>
      </c>
      <c r="H4003">
        <v>4900.6499999999996</v>
      </c>
      <c r="I4003" t="s">
        <v>15</v>
      </c>
      <c r="J4003" t="s">
        <v>16</v>
      </c>
      <c r="K4003" t="s">
        <v>24</v>
      </c>
      <c r="L4003">
        <v>4900.6499999999996</v>
      </c>
      <c r="M4003" t="s">
        <v>5033</v>
      </c>
      <c r="N4003" t="s">
        <v>5034</v>
      </c>
    </row>
    <row r="4004" spans="1:14" x14ac:dyDescent="0.3">
      <c r="A4004" t="s">
        <v>4028</v>
      </c>
      <c r="B4004" t="s">
        <v>19</v>
      </c>
      <c r="C4004" t="s">
        <v>35</v>
      </c>
      <c r="D4004">
        <v>72</v>
      </c>
      <c r="E4004" t="s">
        <v>14</v>
      </c>
      <c r="F4004" t="s">
        <v>16</v>
      </c>
      <c r="G4004">
        <v>80.849999999999994</v>
      </c>
      <c r="H4004">
        <v>5727.45</v>
      </c>
      <c r="I4004" t="s">
        <v>15</v>
      </c>
      <c r="J4004" t="s">
        <v>16</v>
      </c>
      <c r="K4004" t="s">
        <v>24</v>
      </c>
      <c r="L4004">
        <v>5727.45</v>
      </c>
      <c r="M4004" t="s">
        <v>5033</v>
      </c>
      <c r="N4004" t="s">
        <v>5034</v>
      </c>
    </row>
    <row r="4005" spans="1:14" x14ac:dyDescent="0.3">
      <c r="A4005" t="s">
        <v>4029</v>
      </c>
      <c r="B4005" t="s">
        <v>12</v>
      </c>
      <c r="C4005" t="s">
        <v>35</v>
      </c>
      <c r="D4005">
        <v>38</v>
      </c>
      <c r="E4005" t="s">
        <v>15</v>
      </c>
      <c r="F4005" t="s">
        <v>36</v>
      </c>
      <c r="G4005">
        <v>20.3</v>
      </c>
      <c r="H4005">
        <v>743.05</v>
      </c>
      <c r="I4005" t="s">
        <v>15</v>
      </c>
      <c r="J4005" t="s">
        <v>15</v>
      </c>
      <c r="K4005" t="s">
        <v>21</v>
      </c>
      <c r="L4005">
        <v>743.05</v>
      </c>
      <c r="M4005" t="s">
        <v>5033</v>
      </c>
      <c r="N4005" t="s">
        <v>5031</v>
      </c>
    </row>
    <row r="4006" spans="1:14" x14ac:dyDescent="0.3">
      <c r="A4006" t="s">
        <v>4030</v>
      </c>
      <c r="B4006" t="s">
        <v>19</v>
      </c>
      <c r="C4006" t="s">
        <v>35</v>
      </c>
      <c r="D4006">
        <v>72</v>
      </c>
      <c r="E4006" t="s">
        <v>14</v>
      </c>
      <c r="F4006" t="s">
        <v>16</v>
      </c>
      <c r="G4006">
        <v>67.8</v>
      </c>
      <c r="H4006">
        <v>4804.6499999999996</v>
      </c>
      <c r="I4006" t="s">
        <v>15</v>
      </c>
      <c r="J4006" t="s">
        <v>16</v>
      </c>
      <c r="K4006" t="s">
        <v>24</v>
      </c>
      <c r="L4006">
        <v>4804.6499999999996</v>
      </c>
      <c r="M4006" t="s">
        <v>5033</v>
      </c>
      <c r="N4006" t="s">
        <v>5034</v>
      </c>
    </row>
    <row r="4007" spans="1:14" x14ac:dyDescent="0.3">
      <c r="A4007" t="s">
        <v>4031</v>
      </c>
      <c r="B4007" t="s">
        <v>19</v>
      </c>
      <c r="C4007" t="s">
        <v>13</v>
      </c>
      <c r="D4007">
        <v>1</v>
      </c>
      <c r="E4007" t="s">
        <v>15</v>
      </c>
      <c r="F4007" t="s">
        <v>36</v>
      </c>
      <c r="G4007">
        <v>24.05</v>
      </c>
      <c r="H4007">
        <v>24.05</v>
      </c>
      <c r="I4007" t="s">
        <v>16</v>
      </c>
      <c r="J4007" t="s">
        <v>16</v>
      </c>
      <c r="K4007" t="s">
        <v>21</v>
      </c>
      <c r="L4007">
        <v>24.05</v>
      </c>
      <c r="M4007" t="s">
        <v>5030</v>
      </c>
      <c r="N4007" t="s">
        <v>5031</v>
      </c>
    </row>
    <row r="4008" spans="1:14" x14ac:dyDescent="0.3">
      <c r="A4008" t="s">
        <v>4032</v>
      </c>
      <c r="B4008" t="s">
        <v>19</v>
      </c>
      <c r="C4008" t="s">
        <v>35</v>
      </c>
      <c r="D4008">
        <v>72</v>
      </c>
      <c r="E4008" t="s">
        <v>15</v>
      </c>
      <c r="F4008" t="s">
        <v>36</v>
      </c>
      <c r="G4008">
        <v>19.8</v>
      </c>
      <c r="H4008">
        <v>1414.65</v>
      </c>
      <c r="I4008" t="s">
        <v>15</v>
      </c>
      <c r="J4008" t="s">
        <v>16</v>
      </c>
      <c r="K4008" t="s">
        <v>29</v>
      </c>
      <c r="L4008">
        <v>1414.65</v>
      </c>
      <c r="M4008" t="s">
        <v>5033</v>
      </c>
      <c r="N4008" t="s">
        <v>5031</v>
      </c>
    </row>
    <row r="4009" spans="1:14" x14ac:dyDescent="0.3">
      <c r="A4009" t="s">
        <v>4033</v>
      </c>
      <c r="B4009" t="s">
        <v>19</v>
      </c>
      <c r="C4009" t="s">
        <v>35</v>
      </c>
      <c r="D4009">
        <v>55</v>
      </c>
      <c r="E4009" t="s">
        <v>15</v>
      </c>
      <c r="F4009" t="s">
        <v>36</v>
      </c>
      <c r="G4009">
        <v>25.7</v>
      </c>
      <c r="H4009">
        <v>1443.65</v>
      </c>
      <c r="I4009" t="s">
        <v>15</v>
      </c>
      <c r="J4009" t="s">
        <v>15</v>
      </c>
      <c r="K4009" t="s">
        <v>24</v>
      </c>
      <c r="L4009">
        <v>1443.65</v>
      </c>
      <c r="M4009" t="s">
        <v>5033</v>
      </c>
      <c r="N4009" t="s">
        <v>5031</v>
      </c>
    </row>
    <row r="4010" spans="1:14" x14ac:dyDescent="0.3">
      <c r="A4010" t="s">
        <v>4034</v>
      </c>
      <c r="B4010" t="s">
        <v>12</v>
      </c>
      <c r="C4010" t="s">
        <v>20</v>
      </c>
      <c r="D4010">
        <v>51</v>
      </c>
      <c r="E4010" t="s">
        <v>14</v>
      </c>
      <c r="F4010" t="s">
        <v>16</v>
      </c>
      <c r="G4010">
        <v>56.15</v>
      </c>
      <c r="H4010">
        <v>2898.95</v>
      </c>
      <c r="I4010" t="s">
        <v>15</v>
      </c>
      <c r="J4010" t="s">
        <v>16</v>
      </c>
      <c r="K4010" t="s">
        <v>17</v>
      </c>
      <c r="L4010">
        <v>2898.95</v>
      </c>
      <c r="M4010" t="s">
        <v>5033</v>
      </c>
      <c r="N4010" t="s">
        <v>5034</v>
      </c>
    </row>
    <row r="4011" spans="1:14" x14ac:dyDescent="0.3">
      <c r="A4011" t="s">
        <v>4035</v>
      </c>
      <c r="B4011" t="s">
        <v>19</v>
      </c>
      <c r="C4011" t="s">
        <v>35</v>
      </c>
      <c r="D4011">
        <v>63</v>
      </c>
      <c r="E4011" t="s">
        <v>14</v>
      </c>
      <c r="F4011" t="s">
        <v>16</v>
      </c>
      <c r="G4011">
        <v>86.7</v>
      </c>
      <c r="H4011">
        <v>5309.5</v>
      </c>
      <c r="I4011" t="s">
        <v>15</v>
      </c>
      <c r="J4011" t="s">
        <v>16</v>
      </c>
      <c r="K4011" t="s">
        <v>24</v>
      </c>
      <c r="L4011">
        <v>5309.5</v>
      </c>
      <c r="M4011" t="s">
        <v>5033</v>
      </c>
      <c r="N4011" t="s">
        <v>5034</v>
      </c>
    </row>
    <row r="4012" spans="1:14" x14ac:dyDescent="0.3">
      <c r="A4012" t="s">
        <v>4036</v>
      </c>
      <c r="B4012" t="s">
        <v>12</v>
      </c>
      <c r="C4012" t="s">
        <v>13</v>
      </c>
      <c r="D4012">
        <v>1</v>
      </c>
      <c r="E4012" t="s">
        <v>15</v>
      </c>
      <c r="F4012" t="s">
        <v>36</v>
      </c>
      <c r="G4012">
        <v>20.399999999999999</v>
      </c>
      <c r="H4012">
        <v>20.399999999999999</v>
      </c>
      <c r="I4012" t="s">
        <v>15</v>
      </c>
      <c r="J4012" t="s">
        <v>15</v>
      </c>
      <c r="K4012" t="s">
        <v>21</v>
      </c>
      <c r="L4012">
        <v>20.399999999999999</v>
      </c>
      <c r="M4012" t="s">
        <v>5030</v>
      </c>
      <c r="N4012" t="s">
        <v>5031</v>
      </c>
    </row>
    <row r="4013" spans="1:14" x14ac:dyDescent="0.3">
      <c r="A4013" t="s">
        <v>4037</v>
      </c>
      <c r="B4013" t="s">
        <v>12</v>
      </c>
      <c r="C4013" t="s">
        <v>35</v>
      </c>
      <c r="D4013">
        <v>23</v>
      </c>
      <c r="E4013" t="s">
        <v>15</v>
      </c>
      <c r="F4013" t="s">
        <v>36</v>
      </c>
      <c r="G4013">
        <v>19.649999999999999</v>
      </c>
      <c r="H4013">
        <v>451.55</v>
      </c>
      <c r="I4013" t="s">
        <v>15</v>
      </c>
      <c r="J4013" t="s">
        <v>16</v>
      </c>
      <c r="K4013" t="s">
        <v>21</v>
      </c>
      <c r="L4013">
        <v>451.55</v>
      </c>
      <c r="M4013" t="s">
        <v>5032</v>
      </c>
      <c r="N4013" t="s">
        <v>5031</v>
      </c>
    </row>
    <row r="4014" spans="1:14" x14ac:dyDescent="0.3">
      <c r="A4014" t="s">
        <v>4038</v>
      </c>
      <c r="B4014" t="s">
        <v>12</v>
      </c>
      <c r="C4014" t="s">
        <v>13</v>
      </c>
      <c r="D4014">
        <v>1</v>
      </c>
      <c r="E4014" t="s">
        <v>14</v>
      </c>
      <c r="F4014" t="s">
        <v>15</v>
      </c>
      <c r="G4014">
        <v>50.55</v>
      </c>
      <c r="H4014">
        <v>50.55</v>
      </c>
      <c r="I4014" t="s">
        <v>16</v>
      </c>
      <c r="J4014" t="s">
        <v>15</v>
      </c>
      <c r="K4014" t="s">
        <v>17</v>
      </c>
      <c r="L4014">
        <v>50.55</v>
      </c>
      <c r="M4014" t="s">
        <v>5030</v>
      </c>
      <c r="N4014" t="s">
        <v>5031</v>
      </c>
    </row>
    <row r="4015" spans="1:14" x14ac:dyDescent="0.3">
      <c r="A4015" t="s">
        <v>4039</v>
      </c>
      <c r="B4015" t="s">
        <v>12</v>
      </c>
      <c r="C4015" t="s">
        <v>13</v>
      </c>
      <c r="D4015">
        <v>2</v>
      </c>
      <c r="E4015" t="s">
        <v>14</v>
      </c>
      <c r="F4015" t="s">
        <v>16</v>
      </c>
      <c r="G4015">
        <v>54.35</v>
      </c>
      <c r="H4015">
        <v>117.05</v>
      </c>
      <c r="I4015" t="s">
        <v>15</v>
      </c>
      <c r="J4015" t="s">
        <v>16</v>
      </c>
      <c r="K4015" t="s">
        <v>21</v>
      </c>
      <c r="L4015">
        <v>117.05</v>
      </c>
      <c r="M4015" t="s">
        <v>5030</v>
      </c>
      <c r="N4015" t="s">
        <v>5031</v>
      </c>
    </row>
    <row r="4016" spans="1:14" x14ac:dyDescent="0.3">
      <c r="A4016" t="s">
        <v>4040</v>
      </c>
      <c r="B4016" t="s">
        <v>12</v>
      </c>
      <c r="C4016" t="s">
        <v>13</v>
      </c>
      <c r="D4016">
        <v>52</v>
      </c>
      <c r="E4016" t="s">
        <v>26</v>
      </c>
      <c r="F4016" t="s">
        <v>15</v>
      </c>
      <c r="G4016">
        <v>108.1</v>
      </c>
      <c r="H4016">
        <v>5839.3</v>
      </c>
      <c r="I4016" t="s">
        <v>15</v>
      </c>
      <c r="J4016" t="s">
        <v>15</v>
      </c>
      <c r="K4016" t="s">
        <v>29</v>
      </c>
      <c r="L4016">
        <v>5839.3</v>
      </c>
      <c r="M4016" t="s">
        <v>5033</v>
      </c>
      <c r="N4016" t="s">
        <v>5034</v>
      </c>
    </row>
    <row r="4017" spans="1:14" x14ac:dyDescent="0.3">
      <c r="A4017" t="s">
        <v>4041</v>
      </c>
      <c r="B4017" t="s">
        <v>12</v>
      </c>
      <c r="C4017" t="s">
        <v>20</v>
      </c>
      <c r="D4017">
        <v>36</v>
      </c>
      <c r="E4017" t="s">
        <v>14</v>
      </c>
      <c r="F4017" t="s">
        <v>15</v>
      </c>
      <c r="G4017">
        <v>54.45</v>
      </c>
      <c r="H4017">
        <v>1893.5</v>
      </c>
      <c r="I4017" t="s">
        <v>15</v>
      </c>
      <c r="J4017" t="s">
        <v>15</v>
      </c>
      <c r="K4017" t="s">
        <v>21</v>
      </c>
      <c r="L4017">
        <v>1893.5</v>
      </c>
      <c r="M4017" t="s">
        <v>5032</v>
      </c>
      <c r="N4017" t="s">
        <v>5031</v>
      </c>
    </row>
    <row r="4018" spans="1:14" x14ac:dyDescent="0.3">
      <c r="A4018" t="s">
        <v>4042</v>
      </c>
      <c r="B4018" t="s">
        <v>12</v>
      </c>
      <c r="C4018" t="s">
        <v>13</v>
      </c>
      <c r="D4018">
        <v>1</v>
      </c>
      <c r="E4018" t="s">
        <v>14</v>
      </c>
      <c r="F4018" t="s">
        <v>15</v>
      </c>
      <c r="G4018">
        <v>45.35</v>
      </c>
      <c r="H4018">
        <v>45.35</v>
      </c>
      <c r="I4018" t="s">
        <v>15</v>
      </c>
      <c r="J4018" t="s">
        <v>15</v>
      </c>
      <c r="K4018" t="s">
        <v>21</v>
      </c>
      <c r="L4018">
        <v>45.35</v>
      </c>
      <c r="M4018" t="s">
        <v>5030</v>
      </c>
      <c r="N4018" t="s">
        <v>5031</v>
      </c>
    </row>
    <row r="4019" spans="1:14" x14ac:dyDescent="0.3">
      <c r="A4019" t="s">
        <v>4043</v>
      </c>
      <c r="B4019" t="s">
        <v>12</v>
      </c>
      <c r="C4019" t="s">
        <v>20</v>
      </c>
      <c r="D4019">
        <v>28</v>
      </c>
      <c r="E4019" t="s">
        <v>14</v>
      </c>
      <c r="F4019" t="s">
        <v>15</v>
      </c>
      <c r="G4019">
        <v>59</v>
      </c>
      <c r="H4019">
        <v>1654.45</v>
      </c>
      <c r="I4019" t="s">
        <v>15</v>
      </c>
      <c r="J4019" t="s">
        <v>15</v>
      </c>
      <c r="K4019" t="s">
        <v>21</v>
      </c>
      <c r="L4019">
        <v>1654.45</v>
      </c>
      <c r="M4019" t="s">
        <v>5032</v>
      </c>
      <c r="N4019" t="s">
        <v>5031</v>
      </c>
    </row>
    <row r="4020" spans="1:14" x14ac:dyDescent="0.3">
      <c r="A4020" t="s">
        <v>4044</v>
      </c>
      <c r="B4020" t="s">
        <v>12</v>
      </c>
      <c r="C4020" t="s">
        <v>20</v>
      </c>
      <c r="D4020">
        <v>7</v>
      </c>
      <c r="E4020" t="s">
        <v>14</v>
      </c>
      <c r="F4020" t="s">
        <v>15</v>
      </c>
      <c r="G4020">
        <v>69.45</v>
      </c>
      <c r="H4020">
        <v>477.05</v>
      </c>
      <c r="I4020" t="s">
        <v>15</v>
      </c>
      <c r="J4020" t="s">
        <v>15</v>
      </c>
      <c r="K4020" t="s">
        <v>17</v>
      </c>
      <c r="L4020">
        <v>477.05</v>
      </c>
      <c r="M4020" t="s">
        <v>5030</v>
      </c>
      <c r="N4020" t="s">
        <v>5031</v>
      </c>
    </row>
    <row r="4021" spans="1:14" x14ac:dyDescent="0.3">
      <c r="A4021" t="s">
        <v>4045</v>
      </c>
      <c r="B4021" t="s">
        <v>19</v>
      </c>
      <c r="C4021" t="s">
        <v>13</v>
      </c>
      <c r="D4021">
        <v>14</v>
      </c>
      <c r="E4021" t="s">
        <v>26</v>
      </c>
      <c r="F4021" t="s">
        <v>15</v>
      </c>
      <c r="G4021">
        <v>100.55</v>
      </c>
      <c r="H4021">
        <v>1415.55</v>
      </c>
      <c r="I4021" t="s">
        <v>16</v>
      </c>
      <c r="J4021" t="s">
        <v>16</v>
      </c>
      <c r="K4021" t="s">
        <v>17</v>
      </c>
      <c r="L4021">
        <v>1415.55</v>
      </c>
      <c r="M4021" t="s">
        <v>5032</v>
      </c>
      <c r="N4021" t="s">
        <v>5031</v>
      </c>
    </row>
    <row r="4022" spans="1:14" x14ac:dyDescent="0.3">
      <c r="A4022" t="s">
        <v>4046</v>
      </c>
      <c r="B4022" t="s">
        <v>19</v>
      </c>
      <c r="C4022" t="s">
        <v>35</v>
      </c>
      <c r="D4022">
        <v>72</v>
      </c>
      <c r="E4022" t="s">
        <v>14</v>
      </c>
      <c r="F4022" t="s">
        <v>16</v>
      </c>
      <c r="G4022">
        <v>64.95</v>
      </c>
      <c r="H4022">
        <v>4546</v>
      </c>
      <c r="I4022" t="s">
        <v>15</v>
      </c>
      <c r="J4022" t="s">
        <v>16</v>
      </c>
      <c r="K4022" t="s">
        <v>29</v>
      </c>
      <c r="L4022">
        <v>4546</v>
      </c>
      <c r="M4022" t="s">
        <v>5033</v>
      </c>
      <c r="N4022" t="s">
        <v>5034</v>
      </c>
    </row>
    <row r="4023" spans="1:14" x14ac:dyDescent="0.3">
      <c r="A4023" t="s">
        <v>4047</v>
      </c>
      <c r="B4023" t="s">
        <v>12</v>
      </c>
      <c r="C4023" t="s">
        <v>13</v>
      </c>
      <c r="D4023">
        <v>1</v>
      </c>
      <c r="E4023" t="s">
        <v>15</v>
      </c>
      <c r="F4023" t="s">
        <v>36</v>
      </c>
      <c r="G4023">
        <v>20.5</v>
      </c>
      <c r="H4023">
        <v>20.5</v>
      </c>
      <c r="I4023" t="s">
        <v>16</v>
      </c>
      <c r="J4023" t="s">
        <v>16</v>
      </c>
      <c r="K4023" t="s">
        <v>21</v>
      </c>
      <c r="L4023">
        <v>20.5</v>
      </c>
      <c r="M4023" t="s">
        <v>5030</v>
      </c>
      <c r="N4023" t="s">
        <v>5031</v>
      </c>
    </row>
    <row r="4024" spans="1:14" x14ac:dyDescent="0.3">
      <c r="A4024" t="s">
        <v>4048</v>
      </c>
      <c r="B4024" t="s">
        <v>12</v>
      </c>
      <c r="C4024" t="s">
        <v>13</v>
      </c>
      <c r="D4024">
        <v>10</v>
      </c>
      <c r="E4024" t="s">
        <v>15</v>
      </c>
      <c r="F4024" t="s">
        <v>36</v>
      </c>
      <c r="G4024">
        <v>18.850000000000001</v>
      </c>
      <c r="H4024">
        <v>163.19999999999999</v>
      </c>
      <c r="I4024" t="s">
        <v>15</v>
      </c>
      <c r="J4024" t="s">
        <v>15</v>
      </c>
      <c r="K4024" t="s">
        <v>21</v>
      </c>
      <c r="L4024">
        <v>163.19999999999999</v>
      </c>
      <c r="M4024" t="s">
        <v>5030</v>
      </c>
      <c r="N4024" t="s">
        <v>5031</v>
      </c>
    </row>
    <row r="4025" spans="1:14" x14ac:dyDescent="0.3">
      <c r="A4025" t="s">
        <v>4049</v>
      </c>
      <c r="B4025" t="s">
        <v>19</v>
      </c>
      <c r="C4025" t="s">
        <v>20</v>
      </c>
      <c r="D4025">
        <v>42</v>
      </c>
      <c r="E4025" t="s">
        <v>15</v>
      </c>
      <c r="F4025" t="s">
        <v>36</v>
      </c>
      <c r="G4025">
        <v>19.8</v>
      </c>
      <c r="H4025">
        <v>849.9</v>
      </c>
      <c r="I4025" t="s">
        <v>15</v>
      </c>
      <c r="J4025" t="s">
        <v>15</v>
      </c>
      <c r="K4025" t="s">
        <v>24</v>
      </c>
      <c r="L4025">
        <v>849.9</v>
      </c>
      <c r="M4025" t="s">
        <v>5033</v>
      </c>
      <c r="N4025" t="s">
        <v>5031</v>
      </c>
    </row>
    <row r="4026" spans="1:14" x14ac:dyDescent="0.3">
      <c r="A4026" t="s">
        <v>4050</v>
      </c>
      <c r="B4026" t="s">
        <v>12</v>
      </c>
      <c r="C4026" t="s">
        <v>13</v>
      </c>
      <c r="D4026">
        <v>7</v>
      </c>
      <c r="E4026" t="s">
        <v>14</v>
      </c>
      <c r="F4026" t="s">
        <v>15</v>
      </c>
      <c r="G4026">
        <v>25.05</v>
      </c>
      <c r="H4026">
        <v>189.95</v>
      </c>
      <c r="I4026" t="s">
        <v>15</v>
      </c>
      <c r="J4026" t="s">
        <v>15</v>
      </c>
      <c r="K4026" t="s">
        <v>24</v>
      </c>
      <c r="L4026">
        <v>189.95</v>
      </c>
      <c r="M4026" t="s">
        <v>5030</v>
      </c>
      <c r="N4026" t="s">
        <v>5031</v>
      </c>
    </row>
    <row r="4027" spans="1:14" x14ac:dyDescent="0.3">
      <c r="A4027" t="s">
        <v>4051</v>
      </c>
      <c r="B4027" t="s">
        <v>19</v>
      </c>
      <c r="C4027" t="s">
        <v>13</v>
      </c>
      <c r="D4027">
        <v>4</v>
      </c>
      <c r="E4027" t="s">
        <v>26</v>
      </c>
      <c r="F4027" t="s">
        <v>15</v>
      </c>
      <c r="G4027">
        <v>74.8</v>
      </c>
      <c r="H4027">
        <v>321.89999999999998</v>
      </c>
      <c r="I4027" t="s">
        <v>16</v>
      </c>
      <c r="J4027" t="s">
        <v>16</v>
      </c>
      <c r="K4027" t="s">
        <v>24</v>
      </c>
      <c r="L4027">
        <v>321.89999999999998</v>
      </c>
      <c r="M4027" t="s">
        <v>5030</v>
      </c>
      <c r="N4027" t="s">
        <v>5031</v>
      </c>
    </row>
    <row r="4028" spans="1:14" x14ac:dyDescent="0.3">
      <c r="A4028" t="s">
        <v>4052</v>
      </c>
      <c r="B4028" t="s">
        <v>19</v>
      </c>
      <c r="C4028" t="s">
        <v>35</v>
      </c>
      <c r="D4028">
        <v>72</v>
      </c>
      <c r="E4028" t="s">
        <v>26</v>
      </c>
      <c r="F4028" t="s">
        <v>16</v>
      </c>
      <c r="G4028">
        <v>114.3</v>
      </c>
      <c r="H4028">
        <v>8058.55</v>
      </c>
      <c r="I4028" t="s">
        <v>15</v>
      </c>
      <c r="J4028" t="s">
        <v>16</v>
      </c>
      <c r="K4028" t="s">
        <v>29</v>
      </c>
      <c r="L4028">
        <v>8058.55</v>
      </c>
      <c r="M4028" t="s">
        <v>5033</v>
      </c>
      <c r="N4028" t="s">
        <v>5034</v>
      </c>
    </row>
    <row r="4029" spans="1:14" x14ac:dyDescent="0.3">
      <c r="A4029" t="s">
        <v>4053</v>
      </c>
      <c r="B4029" t="s">
        <v>12</v>
      </c>
      <c r="C4029" t="s">
        <v>13</v>
      </c>
      <c r="D4029">
        <v>20</v>
      </c>
      <c r="E4029" t="s">
        <v>14</v>
      </c>
      <c r="F4029" t="s">
        <v>15</v>
      </c>
      <c r="G4029">
        <v>24.45</v>
      </c>
      <c r="H4029">
        <v>482.8</v>
      </c>
      <c r="I4029" t="s">
        <v>16</v>
      </c>
      <c r="J4029" t="s">
        <v>16</v>
      </c>
      <c r="K4029" t="s">
        <v>17</v>
      </c>
      <c r="L4029">
        <v>482.8</v>
      </c>
      <c r="M4029" t="s">
        <v>5032</v>
      </c>
      <c r="N4029" t="s">
        <v>5031</v>
      </c>
    </row>
    <row r="4030" spans="1:14" x14ac:dyDescent="0.3">
      <c r="A4030" t="s">
        <v>4054</v>
      </c>
      <c r="B4030" t="s">
        <v>19</v>
      </c>
      <c r="C4030" t="s">
        <v>35</v>
      </c>
      <c r="D4030">
        <v>63</v>
      </c>
      <c r="E4030" t="s">
        <v>26</v>
      </c>
      <c r="F4030" t="s">
        <v>16</v>
      </c>
      <c r="G4030">
        <v>109.2</v>
      </c>
      <c r="H4030">
        <v>7049.75</v>
      </c>
      <c r="I4030" t="s">
        <v>15</v>
      </c>
      <c r="J4030" t="s">
        <v>15</v>
      </c>
      <c r="K4030" t="s">
        <v>29</v>
      </c>
      <c r="L4030">
        <v>7049.75</v>
      </c>
      <c r="M4030" t="s">
        <v>5033</v>
      </c>
      <c r="N4030" t="s">
        <v>5034</v>
      </c>
    </row>
    <row r="4031" spans="1:14" x14ac:dyDescent="0.3">
      <c r="A4031" t="s">
        <v>4055</v>
      </c>
      <c r="B4031" t="s">
        <v>12</v>
      </c>
      <c r="C4031" t="s">
        <v>35</v>
      </c>
      <c r="D4031">
        <v>56</v>
      </c>
      <c r="E4031" t="s">
        <v>14</v>
      </c>
      <c r="F4031" t="s">
        <v>16</v>
      </c>
      <c r="G4031">
        <v>45.05</v>
      </c>
      <c r="H4031">
        <v>2560.1</v>
      </c>
      <c r="I4031" t="s">
        <v>15</v>
      </c>
      <c r="J4031" t="s">
        <v>15</v>
      </c>
      <c r="K4031" t="s">
        <v>24</v>
      </c>
      <c r="L4031">
        <v>2560.1</v>
      </c>
      <c r="M4031" t="s">
        <v>5033</v>
      </c>
      <c r="N4031" t="s">
        <v>5034</v>
      </c>
    </row>
    <row r="4032" spans="1:14" x14ac:dyDescent="0.3">
      <c r="A4032" t="s">
        <v>4056</v>
      </c>
      <c r="B4032" t="s">
        <v>12</v>
      </c>
      <c r="C4032" t="s">
        <v>13</v>
      </c>
      <c r="D4032">
        <v>5</v>
      </c>
      <c r="E4032" t="s">
        <v>14</v>
      </c>
      <c r="F4032" t="s">
        <v>16</v>
      </c>
      <c r="G4032">
        <v>51</v>
      </c>
      <c r="H4032">
        <v>286.8</v>
      </c>
      <c r="I4032" t="s">
        <v>15</v>
      </c>
      <c r="J4032" t="s">
        <v>16</v>
      </c>
      <c r="K4032" t="s">
        <v>21</v>
      </c>
      <c r="L4032">
        <v>286.8</v>
      </c>
      <c r="M4032" t="s">
        <v>5030</v>
      </c>
      <c r="N4032" t="s">
        <v>5031</v>
      </c>
    </row>
    <row r="4033" spans="1:14" x14ac:dyDescent="0.3">
      <c r="A4033" t="s">
        <v>4057</v>
      </c>
      <c r="B4033" t="s">
        <v>12</v>
      </c>
      <c r="C4033" t="s">
        <v>35</v>
      </c>
      <c r="D4033">
        <v>72</v>
      </c>
      <c r="E4033" t="s">
        <v>26</v>
      </c>
      <c r="F4033" t="s">
        <v>16</v>
      </c>
      <c r="G4033">
        <v>110.45</v>
      </c>
      <c r="H4033">
        <v>7982.5</v>
      </c>
      <c r="I4033" t="s">
        <v>15</v>
      </c>
      <c r="J4033" t="s">
        <v>16</v>
      </c>
      <c r="K4033" t="s">
        <v>24</v>
      </c>
      <c r="L4033">
        <v>7982.5</v>
      </c>
      <c r="M4033" t="s">
        <v>5033</v>
      </c>
      <c r="N4033" t="s">
        <v>5034</v>
      </c>
    </row>
    <row r="4034" spans="1:14" x14ac:dyDescent="0.3">
      <c r="A4034" t="s">
        <v>4058</v>
      </c>
      <c r="B4034" t="s">
        <v>19</v>
      </c>
      <c r="C4034" t="s">
        <v>13</v>
      </c>
      <c r="D4034">
        <v>68</v>
      </c>
      <c r="E4034" t="s">
        <v>26</v>
      </c>
      <c r="F4034" t="s">
        <v>15</v>
      </c>
      <c r="G4034">
        <v>84.65</v>
      </c>
      <c r="H4034">
        <v>5683.6</v>
      </c>
      <c r="I4034" t="s">
        <v>15</v>
      </c>
      <c r="J4034" t="s">
        <v>16</v>
      </c>
      <c r="K4034" t="s">
        <v>17</v>
      </c>
      <c r="L4034">
        <v>5683.6</v>
      </c>
      <c r="M4034" t="s">
        <v>5033</v>
      </c>
      <c r="N4034" t="s">
        <v>5034</v>
      </c>
    </row>
    <row r="4035" spans="1:14" x14ac:dyDescent="0.3">
      <c r="A4035" t="s">
        <v>4059</v>
      </c>
      <c r="B4035" t="s">
        <v>19</v>
      </c>
      <c r="C4035" t="s">
        <v>20</v>
      </c>
      <c r="D4035">
        <v>67</v>
      </c>
      <c r="E4035" t="s">
        <v>14</v>
      </c>
      <c r="F4035" t="s">
        <v>16</v>
      </c>
      <c r="G4035">
        <v>60.05</v>
      </c>
      <c r="H4035">
        <v>3994.05</v>
      </c>
      <c r="I4035" t="s">
        <v>15</v>
      </c>
      <c r="J4035" t="s">
        <v>15</v>
      </c>
      <c r="K4035" t="s">
        <v>21</v>
      </c>
      <c r="L4035">
        <v>3994.05</v>
      </c>
      <c r="M4035" t="s">
        <v>5033</v>
      </c>
      <c r="N4035" t="s">
        <v>5034</v>
      </c>
    </row>
    <row r="4036" spans="1:14" x14ac:dyDescent="0.3">
      <c r="A4036" t="s">
        <v>4060</v>
      </c>
      <c r="B4036" t="s">
        <v>19</v>
      </c>
      <c r="C4036" t="s">
        <v>13</v>
      </c>
      <c r="D4036">
        <v>8</v>
      </c>
      <c r="E4036" t="s">
        <v>14</v>
      </c>
      <c r="F4036" t="s">
        <v>15</v>
      </c>
      <c r="G4036">
        <v>44.65</v>
      </c>
      <c r="H4036">
        <v>369.15</v>
      </c>
      <c r="I4036" t="s">
        <v>15</v>
      </c>
      <c r="J4036" t="s">
        <v>15</v>
      </c>
      <c r="K4036" t="s">
        <v>24</v>
      </c>
      <c r="L4036">
        <v>369.15</v>
      </c>
      <c r="M4036" t="s">
        <v>5030</v>
      </c>
      <c r="N4036" t="s">
        <v>5031</v>
      </c>
    </row>
    <row r="4037" spans="1:14" x14ac:dyDescent="0.3">
      <c r="A4037" t="s">
        <v>4061</v>
      </c>
      <c r="B4037" t="s">
        <v>19</v>
      </c>
      <c r="C4037" t="s">
        <v>13</v>
      </c>
      <c r="D4037">
        <v>52</v>
      </c>
      <c r="E4037" t="s">
        <v>26</v>
      </c>
      <c r="F4037" t="s">
        <v>16</v>
      </c>
      <c r="G4037">
        <v>93.25</v>
      </c>
      <c r="H4037">
        <v>4631.7</v>
      </c>
      <c r="I4037" t="s">
        <v>15</v>
      </c>
      <c r="J4037" t="s">
        <v>16</v>
      </c>
      <c r="K4037" t="s">
        <v>24</v>
      </c>
      <c r="L4037">
        <v>4631.7</v>
      </c>
      <c r="M4037" t="s">
        <v>5033</v>
      </c>
      <c r="N4037" t="s">
        <v>5034</v>
      </c>
    </row>
    <row r="4038" spans="1:14" x14ac:dyDescent="0.3">
      <c r="A4038" t="s">
        <v>4062</v>
      </c>
      <c r="B4038" t="s">
        <v>12</v>
      </c>
      <c r="C4038" t="s">
        <v>13</v>
      </c>
      <c r="D4038">
        <v>18</v>
      </c>
      <c r="E4038" t="s">
        <v>15</v>
      </c>
      <c r="F4038" t="s">
        <v>36</v>
      </c>
      <c r="G4038">
        <v>20.25</v>
      </c>
      <c r="H4038">
        <v>401.95</v>
      </c>
      <c r="I4038" t="s">
        <v>15</v>
      </c>
      <c r="J4038" t="s">
        <v>16</v>
      </c>
      <c r="K4038" t="s">
        <v>21</v>
      </c>
      <c r="L4038">
        <v>401.95</v>
      </c>
      <c r="M4038" t="s">
        <v>5032</v>
      </c>
      <c r="N4038" t="s">
        <v>5031</v>
      </c>
    </row>
    <row r="4039" spans="1:14" x14ac:dyDescent="0.3">
      <c r="A4039" t="s">
        <v>4063</v>
      </c>
      <c r="B4039" t="s">
        <v>12</v>
      </c>
      <c r="C4039" t="s">
        <v>35</v>
      </c>
      <c r="D4039">
        <v>59</v>
      </c>
      <c r="E4039" t="s">
        <v>15</v>
      </c>
      <c r="F4039" t="s">
        <v>36</v>
      </c>
      <c r="G4039">
        <v>25.45</v>
      </c>
      <c r="H4039">
        <v>1534.05</v>
      </c>
      <c r="I4039" t="s">
        <v>15</v>
      </c>
      <c r="J4039" t="s">
        <v>15</v>
      </c>
      <c r="K4039" t="s">
        <v>21</v>
      </c>
      <c r="L4039">
        <v>1534.05</v>
      </c>
      <c r="M4039" t="s">
        <v>5033</v>
      </c>
      <c r="N4039" t="s">
        <v>5031</v>
      </c>
    </row>
    <row r="4040" spans="1:14" x14ac:dyDescent="0.3">
      <c r="A4040" t="s">
        <v>4064</v>
      </c>
      <c r="B4040" t="s">
        <v>12</v>
      </c>
      <c r="C4040" t="s">
        <v>35</v>
      </c>
      <c r="D4040">
        <v>60</v>
      </c>
      <c r="E4040" t="s">
        <v>15</v>
      </c>
      <c r="F4040" t="s">
        <v>36</v>
      </c>
      <c r="G4040">
        <v>20.6</v>
      </c>
      <c r="H4040">
        <v>1093</v>
      </c>
      <c r="I4040" t="s">
        <v>15</v>
      </c>
      <c r="J4040" t="s">
        <v>15</v>
      </c>
      <c r="K4040" t="s">
        <v>21</v>
      </c>
      <c r="L4040">
        <v>1093</v>
      </c>
      <c r="M4040" t="s">
        <v>5033</v>
      </c>
      <c r="N4040" t="s">
        <v>5031</v>
      </c>
    </row>
    <row r="4041" spans="1:14" x14ac:dyDescent="0.3">
      <c r="A4041" t="s">
        <v>4065</v>
      </c>
      <c r="B4041" t="s">
        <v>19</v>
      </c>
      <c r="C4041" t="s">
        <v>13</v>
      </c>
      <c r="D4041">
        <v>7</v>
      </c>
      <c r="E4041" t="s">
        <v>26</v>
      </c>
      <c r="F4041" t="s">
        <v>15</v>
      </c>
      <c r="G4041">
        <v>94.1</v>
      </c>
      <c r="H4041">
        <v>701.3</v>
      </c>
      <c r="I4041" t="s">
        <v>15</v>
      </c>
      <c r="J4041" t="s">
        <v>16</v>
      </c>
      <c r="K4041" t="s">
        <v>17</v>
      </c>
      <c r="L4041">
        <v>701.3</v>
      </c>
      <c r="M4041" t="s">
        <v>5030</v>
      </c>
      <c r="N4041" t="s">
        <v>5031</v>
      </c>
    </row>
    <row r="4042" spans="1:14" x14ac:dyDescent="0.3">
      <c r="A4042" t="s">
        <v>4066</v>
      </c>
      <c r="B4042" t="s">
        <v>19</v>
      </c>
      <c r="C4042" t="s">
        <v>20</v>
      </c>
      <c r="D4042">
        <v>59</v>
      </c>
      <c r="E4042" t="s">
        <v>14</v>
      </c>
      <c r="F4042" t="s">
        <v>15</v>
      </c>
      <c r="G4042">
        <v>34.799999999999997</v>
      </c>
      <c r="H4042">
        <v>1980.3</v>
      </c>
      <c r="I4042" t="s">
        <v>15</v>
      </c>
      <c r="J4042" t="s">
        <v>15</v>
      </c>
      <c r="K4042" t="s">
        <v>21</v>
      </c>
      <c r="L4042">
        <v>1980.3</v>
      </c>
      <c r="M4042" t="s">
        <v>5033</v>
      </c>
      <c r="N4042" t="s">
        <v>5031</v>
      </c>
    </row>
    <row r="4043" spans="1:14" x14ac:dyDescent="0.3">
      <c r="A4043" t="s">
        <v>4067</v>
      </c>
      <c r="B4043" t="s">
        <v>19</v>
      </c>
      <c r="C4043" t="s">
        <v>35</v>
      </c>
      <c r="D4043">
        <v>46</v>
      </c>
      <c r="E4043" t="s">
        <v>14</v>
      </c>
      <c r="F4043" t="s">
        <v>16</v>
      </c>
      <c r="G4043">
        <v>60.75</v>
      </c>
      <c r="H4043">
        <v>2893.4</v>
      </c>
      <c r="I4043" t="s">
        <v>15</v>
      </c>
      <c r="J4043" t="s">
        <v>16</v>
      </c>
      <c r="K4043" t="s">
        <v>24</v>
      </c>
      <c r="L4043">
        <v>2893.4</v>
      </c>
      <c r="M4043" t="s">
        <v>5033</v>
      </c>
      <c r="N4043" t="s">
        <v>5034</v>
      </c>
    </row>
    <row r="4044" spans="1:14" x14ac:dyDescent="0.3">
      <c r="A4044" t="s">
        <v>4068</v>
      </c>
      <c r="B4044" t="s">
        <v>19</v>
      </c>
      <c r="C4044" t="s">
        <v>13</v>
      </c>
      <c r="D4044">
        <v>5</v>
      </c>
      <c r="E4044" t="s">
        <v>14</v>
      </c>
      <c r="F4044" t="s">
        <v>15</v>
      </c>
      <c r="G4044">
        <v>51.35</v>
      </c>
      <c r="H4044">
        <v>262.3</v>
      </c>
      <c r="I4044" t="s">
        <v>15</v>
      </c>
      <c r="J4044" t="s">
        <v>16</v>
      </c>
      <c r="K4044" t="s">
        <v>17</v>
      </c>
      <c r="L4044">
        <v>262.3</v>
      </c>
      <c r="M4044" t="s">
        <v>5030</v>
      </c>
      <c r="N4044" t="s">
        <v>5031</v>
      </c>
    </row>
    <row r="4045" spans="1:14" x14ac:dyDescent="0.3">
      <c r="A4045" t="s">
        <v>4069</v>
      </c>
      <c r="B4045" t="s">
        <v>19</v>
      </c>
      <c r="C4045" t="s">
        <v>35</v>
      </c>
      <c r="D4045">
        <v>59</v>
      </c>
      <c r="E4045" t="s">
        <v>14</v>
      </c>
      <c r="F4045" t="s">
        <v>16</v>
      </c>
      <c r="G4045">
        <v>64.05</v>
      </c>
      <c r="H4045">
        <v>3886.85</v>
      </c>
      <c r="I4045" t="s">
        <v>15</v>
      </c>
      <c r="J4045" t="s">
        <v>16</v>
      </c>
      <c r="K4045" t="s">
        <v>29</v>
      </c>
      <c r="L4045">
        <v>3886.85</v>
      </c>
      <c r="M4045" t="s">
        <v>5033</v>
      </c>
      <c r="N4045" t="s">
        <v>5034</v>
      </c>
    </row>
    <row r="4046" spans="1:14" x14ac:dyDescent="0.3">
      <c r="A4046" t="s">
        <v>4070</v>
      </c>
      <c r="B4046" t="s">
        <v>12</v>
      </c>
      <c r="C4046" t="s">
        <v>35</v>
      </c>
      <c r="D4046">
        <v>70</v>
      </c>
      <c r="E4046" t="s">
        <v>14</v>
      </c>
      <c r="F4046" t="s">
        <v>16</v>
      </c>
      <c r="G4046">
        <v>84.8</v>
      </c>
      <c r="H4046">
        <v>5917.55</v>
      </c>
      <c r="I4046" t="s">
        <v>15</v>
      </c>
      <c r="J4046" t="s">
        <v>16</v>
      </c>
      <c r="K4046" t="s">
        <v>24</v>
      </c>
      <c r="L4046">
        <v>5917.55</v>
      </c>
      <c r="M4046" t="s">
        <v>5033</v>
      </c>
      <c r="N4046" t="s">
        <v>5034</v>
      </c>
    </row>
    <row r="4047" spans="1:14" x14ac:dyDescent="0.3">
      <c r="A4047" t="s">
        <v>4071</v>
      </c>
      <c r="B4047" t="s">
        <v>12</v>
      </c>
      <c r="C4047" t="s">
        <v>13</v>
      </c>
      <c r="D4047">
        <v>14</v>
      </c>
      <c r="E4047" t="s">
        <v>26</v>
      </c>
      <c r="F4047" t="s">
        <v>15</v>
      </c>
      <c r="G4047">
        <v>71</v>
      </c>
      <c r="H4047">
        <v>914</v>
      </c>
      <c r="I4047" t="s">
        <v>16</v>
      </c>
      <c r="J4047" t="s">
        <v>16</v>
      </c>
      <c r="K4047" t="s">
        <v>29</v>
      </c>
      <c r="L4047">
        <v>914</v>
      </c>
      <c r="M4047" t="s">
        <v>5032</v>
      </c>
      <c r="N4047" t="s">
        <v>5031</v>
      </c>
    </row>
    <row r="4048" spans="1:14" x14ac:dyDescent="0.3">
      <c r="A4048" t="s">
        <v>4072</v>
      </c>
      <c r="B4048" t="s">
        <v>12</v>
      </c>
      <c r="C4048" t="s">
        <v>13</v>
      </c>
      <c r="D4048">
        <v>44</v>
      </c>
      <c r="E4048" t="s">
        <v>14</v>
      </c>
      <c r="F4048" t="s">
        <v>15</v>
      </c>
      <c r="G4048">
        <v>50.15</v>
      </c>
      <c r="H4048">
        <v>2139.1</v>
      </c>
      <c r="I4048" t="s">
        <v>15</v>
      </c>
      <c r="J4048" t="s">
        <v>16</v>
      </c>
      <c r="K4048" t="s">
        <v>21</v>
      </c>
      <c r="L4048">
        <v>2139.1</v>
      </c>
      <c r="M4048" t="s">
        <v>5033</v>
      </c>
      <c r="N4048" t="s">
        <v>5031</v>
      </c>
    </row>
    <row r="4049" spans="1:14" x14ac:dyDescent="0.3">
      <c r="A4049" t="s">
        <v>4073</v>
      </c>
      <c r="B4049" t="s">
        <v>12</v>
      </c>
      <c r="C4049" t="s">
        <v>35</v>
      </c>
      <c r="D4049">
        <v>64</v>
      </c>
      <c r="E4049" t="s">
        <v>26</v>
      </c>
      <c r="F4049" t="s">
        <v>15</v>
      </c>
      <c r="G4049">
        <v>94.6</v>
      </c>
      <c r="H4049">
        <v>5948.7</v>
      </c>
      <c r="I4049" t="s">
        <v>15</v>
      </c>
      <c r="J4049" t="s">
        <v>16</v>
      </c>
      <c r="K4049" t="s">
        <v>29</v>
      </c>
      <c r="L4049">
        <v>5948.7</v>
      </c>
      <c r="M4049" t="s">
        <v>5033</v>
      </c>
      <c r="N4049" t="s">
        <v>5034</v>
      </c>
    </row>
    <row r="4050" spans="1:14" x14ac:dyDescent="0.3">
      <c r="A4050" t="s">
        <v>4074</v>
      </c>
      <c r="B4050" t="s">
        <v>12</v>
      </c>
      <c r="C4050" t="s">
        <v>35</v>
      </c>
      <c r="D4050">
        <v>58</v>
      </c>
      <c r="E4050" t="s">
        <v>14</v>
      </c>
      <c r="F4050" t="s">
        <v>16</v>
      </c>
      <c r="G4050">
        <v>59.75</v>
      </c>
      <c r="H4050">
        <v>3624.35</v>
      </c>
      <c r="I4050" t="s">
        <v>15</v>
      </c>
      <c r="J4050" t="s">
        <v>15</v>
      </c>
      <c r="K4050" t="s">
        <v>21</v>
      </c>
      <c r="L4050">
        <v>3624.35</v>
      </c>
      <c r="M4050" t="s">
        <v>5033</v>
      </c>
      <c r="N4050" t="s">
        <v>5034</v>
      </c>
    </row>
    <row r="4051" spans="1:14" x14ac:dyDescent="0.3">
      <c r="A4051" t="s">
        <v>4075</v>
      </c>
      <c r="B4051" t="s">
        <v>12</v>
      </c>
      <c r="C4051" t="s">
        <v>20</v>
      </c>
      <c r="D4051">
        <v>46</v>
      </c>
      <c r="E4051" t="s">
        <v>26</v>
      </c>
      <c r="F4051" t="s">
        <v>16</v>
      </c>
      <c r="G4051">
        <v>100.25</v>
      </c>
      <c r="H4051">
        <v>4753.8500000000004</v>
      </c>
      <c r="I4051" t="s">
        <v>15</v>
      </c>
      <c r="J4051" t="s">
        <v>15</v>
      </c>
      <c r="K4051" t="s">
        <v>17</v>
      </c>
      <c r="L4051">
        <v>4753.8500000000004</v>
      </c>
      <c r="M4051" t="s">
        <v>5033</v>
      </c>
      <c r="N4051" t="s">
        <v>5034</v>
      </c>
    </row>
    <row r="4052" spans="1:14" x14ac:dyDescent="0.3">
      <c r="A4052" t="s">
        <v>4076</v>
      </c>
      <c r="B4052" t="s">
        <v>19</v>
      </c>
      <c r="C4052" t="s">
        <v>13</v>
      </c>
      <c r="D4052">
        <v>58</v>
      </c>
      <c r="E4052" t="s">
        <v>26</v>
      </c>
      <c r="F4052" t="s">
        <v>15</v>
      </c>
      <c r="G4052">
        <v>98.9</v>
      </c>
      <c r="H4052">
        <v>5780.7</v>
      </c>
      <c r="I4052" t="s">
        <v>15</v>
      </c>
      <c r="J4052" t="s">
        <v>16</v>
      </c>
      <c r="K4052" t="s">
        <v>17</v>
      </c>
      <c r="L4052">
        <v>5780.7</v>
      </c>
      <c r="M4052" t="s">
        <v>5033</v>
      </c>
      <c r="N4052" t="s">
        <v>5034</v>
      </c>
    </row>
    <row r="4053" spans="1:14" x14ac:dyDescent="0.3">
      <c r="A4053" t="s">
        <v>4077</v>
      </c>
      <c r="B4053" t="s">
        <v>12</v>
      </c>
      <c r="C4053" t="s">
        <v>35</v>
      </c>
      <c r="D4053">
        <v>72</v>
      </c>
      <c r="E4053" t="s">
        <v>26</v>
      </c>
      <c r="F4053" t="s">
        <v>15</v>
      </c>
      <c r="G4053">
        <v>97.7</v>
      </c>
      <c r="H4053">
        <v>6869.7</v>
      </c>
      <c r="I4053" t="s">
        <v>15</v>
      </c>
      <c r="J4053" t="s">
        <v>16</v>
      </c>
      <c r="K4053" t="s">
        <v>29</v>
      </c>
      <c r="L4053">
        <v>6869.7</v>
      </c>
      <c r="M4053" t="s">
        <v>5033</v>
      </c>
      <c r="N4053" t="s">
        <v>5034</v>
      </c>
    </row>
    <row r="4054" spans="1:14" x14ac:dyDescent="0.3">
      <c r="A4054" t="s">
        <v>4078</v>
      </c>
      <c r="B4054" t="s">
        <v>12</v>
      </c>
      <c r="C4054" t="s">
        <v>13</v>
      </c>
      <c r="D4054">
        <v>30</v>
      </c>
      <c r="E4054" t="s">
        <v>14</v>
      </c>
      <c r="F4054" t="s">
        <v>15</v>
      </c>
      <c r="G4054">
        <v>40.299999999999997</v>
      </c>
      <c r="H4054">
        <v>1172.95</v>
      </c>
      <c r="I4054" t="s">
        <v>16</v>
      </c>
      <c r="J4054" t="s">
        <v>16</v>
      </c>
      <c r="K4054" t="s">
        <v>17</v>
      </c>
      <c r="L4054">
        <v>1172.95</v>
      </c>
      <c r="M4054" t="s">
        <v>5032</v>
      </c>
      <c r="N4054" t="s">
        <v>5031</v>
      </c>
    </row>
    <row r="4055" spans="1:14" x14ac:dyDescent="0.3">
      <c r="A4055" t="s">
        <v>4079</v>
      </c>
      <c r="B4055" t="s">
        <v>19</v>
      </c>
      <c r="C4055" t="s">
        <v>13</v>
      </c>
      <c r="D4055">
        <v>11</v>
      </c>
      <c r="E4055" t="s">
        <v>14</v>
      </c>
      <c r="F4055" t="s">
        <v>15</v>
      </c>
      <c r="G4055">
        <v>60.25</v>
      </c>
      <c r="H4055">
        <v>662.95</v>
      </c>
      <c r="I4055" t="s">
        <v>15</v>
      </c>
      <c r="J4055" t="s">
        <v>15</v>
      </c>
      <c r="K4055" t="s">
        <v>24</v>
      </c>
      <c r="L4055">
        <v>662.95</v>
      </c>
      <c r="M4055" t="s">
        <v>5030</v>
      </c>
      <c r="N4055" t="s">
        <v>5031</v>
      </c>
    </row>
    <row r="4056" spans="1:14" x14ac:dyDescent="0.3">
      <c r="A4056" t="s">
        <v>4080</v>
      </c>
      <c r="B4056" t="s">
        <v>12</v>
      </c>
      <c r="C4056" t="s">
        <v>13</v>
      </c>
      <c r="D4056">
        <v>34</v>
      </c>
      <c r="E4056" t="s">
        <v>14</v>
      </c>
      <c r="F4056" t="s">
        <v>15</v>
      </c>
      <c r="G4056">
        <v>56.25</v>
      </c>
      <c r="H4056">
        <v>1765.95</v>
      </c>
      <c r="I4056" t="s">
        <v>15</v>
      </c>
      <c r="J4056" t="s">
        <v>16</v>
      </c>
      <c r="K4056" t="s">
        <v>17</v>
      </c>
      <c r="L4056">
        <v>1765.95</v>
      </c>
      <c r="M4056" t="s">
        <v>5032</v>
      </c>
      <c r="N4056" t="s">
        <v>5031</v>
      </c>
    </row>
    <row r="4057" spans="1:14" x14ac:dyDescent="0.3">
      <c r="A4057" t="s">
        <v>4081</v>
      </c>
      <c r="B4057" t="s">
        <v>19</v>
      </c>
      <c r="C4057" t="s">
        <v>35</v>
      </c>
      <c r="D4057">
        <v>54</v>
      </c>
      <c r="E4057" t="s">
        <v>14</v>
      </c>
      <c r="F4057" t="s">
        <v>15</v>
      </c>
      <c r="G4057">
        <v>46.2</v>
      </c>
      <c r="H4057">
        <v>2431.9499999999998</v>
      </c>
      <c r="I4057" t="s">
        <v>15</v>
      </c>
      <c r="J4057" t="s">
        <v>15</v>
      </c>
      <c r="K4057" t="s">
        <v>24</v>
      </c>
      <c r="L4057">
        <v>2431.9499999999998</v>
      </c>
      <c r="M4057" t="s">
        <v>5033</v>
      </c>
      <c r="N4057" t="s">
        <v>5031</v>
      </c>
    </row>
    <row r="4058" spans="1:14" x14ac:dyDescent="0.3">
      <c r="A4058" t="s">
        <v>4082</v>
      </c>
      <c r="B4058" t="s">
        <v>12</v>
      </c>
      <c r="C4058" t="s">
        <v>13</v>
      </c>
      <c r="D4058">
        <v>3</v>
      </c>
      <c r="E4058" t="s">
        <v>14</v>
      </c>
      <c r="F4058" t="s">
        <v>15</v>
      </c>
      <c r="G4058">
        <v>50.6</v>
      </c>
      <c r="H4058">
        <v>155.35</v>
      </c>
      <c r="I4058" t="s">
        <v>16</v>
      </c>
      <c r="J4058" t="s">
        <v>16</v>
      </c>
      <c r="K4058" t="s">
        <v>17</v>
      </c>
      <c r="L4058">
        <v>155.35</v>
      </c>
      <c r="M4058" t="s">
        <v>5030</v>
      </c>
      <c r="N4058" t="s">
        <v>5031</v>
      </c>
    </row>
    <row r="4059" spans="1:14" x14ac:dyDescent="0.3">
      <c r="A4059" t="s">
        <v>4083</v>
      </c>
      <c r="B4059" t="s">
        <v>12</v>
      </c>
      <c r="C4059" t="s">
        <v>35</v>
      </c>
      <c r="D4059">
        <v>72</v>
      </c>
      <c r="E4059" t="s">
        <v>15</v>
      </c>
      <c r="F4059" t="s">
        <v>36</v>
      </c>
      <c r="G4059">
        <v>24.9</v>
      </c>
      <c r="H4059">
        <v>1859.2</v>
      </c>
      <c r="I4059" t="s">
        <v>15</v>
      </c>
      <c r="J4059" t="s">
        <v>15</v>
      </c>
      <c r="K4059" t="s">
        <v>21</v>
      </c>
      <c r="L4059">
        <v>1859.2</v>
      </c>
      <c r="M4059" t="s">
        <v>5033</v>
      </c>
      <c r="N4059" t="s">
        <v>5031</v>
      </c>
    </row>
    <row r="4060" spans="1:14" x14ac:dyDescent="0.3">
      <c r="A4060" t="s">
        <v>4084</v>
      </c>
      <c r="B4060" t="s">
        <v>12</v>
      </c>
      <c r="C4060" t="s">
        <v>13</v>
      </c>
      <c r="D4060">
        <v>40</v>
      </c>
      <c r="E4060" t="s">
        <v>26</v>
      </c>
      <c r="F4060" t="s">
        <v>16</v>
      </c>
      <c r="G4060">
        <v>84.85</v>
      </c>
      <c r="H4060">
        <v>3303.05</v>
      </c>
      <c r="I4060" t="s">
        <v>16</v>
      </c>
      <c r="J4060" t="s">
        <v>16</v>
      </c>
      <c r="K4060" t="s">
        <v>17</v>
      </c>
      <c r="L4060">
        <v>3303.05</v>
      </c>
      <c r="M4060" t="s">
        <v>5033</v>
      </c>
      <c r="N4060" t="s">
        <v>5034</v>
      </c>
    </row>
    <row r="4061" spans="1:14" x14ac:dyDescent="0.3">
      <c r="A4061" t="s">
        <v>4085</v>
      </c>
      <c r="B4061" t="s">
        <v>12</v>
      </c>
      <c r="C4061" t="s">
        <v>13</v>
      </c>
      <c r="D4061">
        <v>2</v>
      </c>
      <c r="E4061" t="s">
        <v>14</v>
      </c>
      <c r="F4061" t="s">
        <v>15</v>
      </c>
      <c r="G4061">
        <v>65.7</v>
      </c>
      <c r="H4061">
        <v>134.35</v>
      </c>
      <c r="I4061" t="s">
        <v>16</v>
      </c>
      <c r="J4061" t="s">
        <v>15</v>
      </c>
      <c r="K4061" t="s">
        <v>21</v>
      </c>
      <c r="L4061">
        <v>134.35</v>
      </c>
      <c r="M4061" t="s">
        <v>5030</v>
      </c>
      <c r="N4061" t="s">
        <v>5031</v>
      </c>
    </row>
    <row r="4062" spans="1:14" x14ac:dyDescent="0.3">
      <c r="A4062" t="s">
        <v>4086</v>
      </c>
      <c r="B4062" t="s">
        <v>19</v>
      </c>
      <c r="C4062" t="s">
        <v>35</v>
      </c>
      <c r="D4062">
        <v>54</v>
      </c>
      <c r="E4062" t="s">
        <v>14</v>
      </c>
      <c r="F4062" t="s">
        <v>15</v>
      </c>
      <c r="G4062">
        <v>63.35</v>
      </c>
      <c r="H4062">
        <v>3409.1</v>
      </c>
      <c r="I4062" t="s">
        <v>15</v>
      </c>
      <c r="J4062" t="s">
        <v>15</v>
      </c>
      <c r="K4062" t="s">
        <v>29</v>
      </c>
      <c r="L4062">
        <v>3409.1</v>
      </c>
      <c r="M4062" t="s">
        <v>5033</v>
      </c>
      <c r="N4062" t="s">
        <v>5034</v>
      </c>
    </row>
    <row r="4063" spans="1:14" x14ac:dyDescent="0.3">
      <c r="A4063" t="s">
        <v>4087</v>
      </c>
      <c r="B4063" t="s">
        <v>12</v>
      </c>
      <c r="C4063" t="s">
        <v>13</v>
      </c>
      <c r="D4063">
        <v>14</v>
      </c>
      <c r="E4063" t="s">
        <v>14</v>
      </c>
      <c r="F4063" t="s">
        <v>15</v>
      </c>
      <c r="G4063">
        <v>50.1</v>
      </c>
      <c r="H4063">
        <v>709.5</v>
      </c>
      <c r="I4063" t="s">
        <v>15</v>
      </c>
      <c r="J4063" t="s">
        <v>15</v>
      </c>
      <c r="K4063" t="s">
        <v>24</v>
      </c>
      <c r="L4063">
        <v>709.5</v>
      </c>
      <c r="M4063" t="s">
        <v>5032</v>
      </c>
      <c r="N4063" t="s">
        <v>5031</v>
      </c>
    </row>
    <row r="4064" spans="1:14" x14ac:dyDescent="0.3">
      <c r="A4064" t="s">
        <v>4088</v>
      </c>
      <c r="B4064" t="s">
        <v>12</v>
      </c>
      <c r="C4064" t="s">
        <v>13</v>
      </c>
      <c r="D4064">
        <v>1</v>
      </c>
      <c r="E4064" t="s">
        <v>26</v>
      </c>
      <c r="F4064" t="s">
        <v>15</v>
      </c>
      <c r="G4064">
        <v>70.5</v>
      </c>
      <c r="H4064">
        <v>70.5</v>
      </c>
      <c r="I4064" t="s">
        <v>16</v>
      </c>
      <c r="J4064" t="s">
        <v>15</v>
      </c>
      <c r="K4064" t="s">
        <v>17</v>
      </c>
      <c r="L4064">
        <v>70.5</v>
      </c>
      <c r="M4064" t="s">
        <v>5030</v>
      </c>
      <c r="N4064" t="s">
        <v>5031</v>
      </c>
    </row>
    <row r="4065" spans="1:14" x14ac:dyDescent="0.3">
      <c r="A4065" t="s">
        <v>4089</v>
      </c>
      <c r="B4065" t="s">
        <v>12</v>
      </c>
      <c r="C4065" t="s">
        <v>13</v>
      </c>
      <c r="D4065">
        <v>10</v>
      </c>
      <c r="E4065" t="s">
        <v>26</v>
      </c>
      <c r="F4065" t="s">
        <v>15</v>
      </c>
      <c r="G4065">
        <v>94.85</v>
      </c>
      <c r="H4065">
        <v>953.45</v>
      </c>
      <c r="I4065" t="s">
        <v>16</v>
      </c>
      <c r="J4065" t="s">
        <v>16</v>
      </c>
      <c r="K4065" t="s">
        <v>17</v>
      </c>
      <c r="L4065">
        <v>953.45</v>
      </c>
      <c r="M4065" t="s">
        <v>5030</v>
      </c>
      <c r="N4065" t="s">
        <v>5031</v>
      </c>
    </row>
    <row r="4066" spans="1:14" x14ac:dyDescent="0.3">
      <c r="A4066" t="s">
        <v>4090</v>
      </c>
      <c r="B4066" t="s">
        <v>12</v>
      </c>
      <c r="C4066" t="s">
        <v>13</v>
      </c>
      <c r="D4066">
        <v>1</v>
      </c>
      <c r="E4066" t="s">
        <v>14</v>
      </c>
      <c r="F4066" t="s">
        <v>15</v>
      </c>
      <c r="G4066">
        <v>50.15</v>
      </c>
      <c r="H4066">
        <v>50.15</v>
      </c>
      <c r="I4066" t="s">
        <v>15</v>
      </c>
      <c r="J4066" t="s">
        <v>15</v>
      </c>
      <c r="K4066" t="s">
        <v>17</v>
      </c>
      <c r="L4066">
        <v>50.15</v>
      </c>
      <c r="M4066" t="s">
        <v>5030</v>
      </c>
      <c r="N4066" t="s">
        <v>5031</v>
      </c>
    </row>
    <row r="4067" spans="1:14" x14ac:dyDescent="0.3">
      <c r="A4067" t="s">
        <v>4091</v>
      </c>
      <c r="B4067" t="s">
        <v>19</v>
      </c>
      <c r="C4067" t="s">
        <v>13</v>
      </c>
      <c r="D4067">
        <v>1</v>
      </c>
      <c r="E4067" t="s">
        <v>15</v>
      </c>
      <c r="F4067" t="s">
        <v>36</v>
      </c>
      <c r="G4067">
        <v>19.75</v>
      </c>
      <c r="H4067">
        <v>19.75</v>
      </c>
      <c r="I4067" t="s">
        <v>16</v>
      </c>
      <c r="J4067" t="s">
        <v>15</v>
      </c>
      <c r="K4067" t="s">
        <v>21</v>
      </c>
      <c r="L4067">
        <v>19.75</v>
      </c>
      <c r="M4067" t="s">
        <v>5030</v>
      </c>
      <c r="N4067" t="s">
        <v>5031</v>
      </c>
    </row>
    <row r="4068" spans="1:14" x14ac:dyDescent="0.3">
      <c r="A4068" t="s">
        <v>4092</v>
      </c>
      <c r="B4068" t="s">
        <v>19</v>
      </c>
      <c r="C4068" t="s">
        <v>20</v>
      </c>
      <c r="D4068">
        <v>56</v>
      </c>
      <c r="E4068" t="s">
        <v>14</v>
      </c>
      <c r="F4068" t="s">
        <v>16</v>
      </c>
      <c r="G4068">
        <v>64.650000000000006</v>
      </c>
      <c r="H4068">
        <v>3665.55</v>
      </c>
      <c r="I4068" t="s">
        <v>15</v>
      </c>
      <c r="J4068" t="s">
        <v>16</v>
      </c>
      <c r="K4068" t="s">
        <v>24</v>
      </c>
      <c r="L4068">
        <v>3665.55</v>
      </c>
      <c r="M4068" t="s">
        <v>5033</v>
      </c>
      <c r="N4068" t="s">
        <v>5034</v>
      </c>
    </row>
    <row r="4069" spans="1:14" x14ac:dyDescent="0.3">
      <c r="A4069" t="s">
        <v>4093</v>
      </c>
      <c r="B4069" t="s">
        <v>12</v>
      </c>
      <c r="C4069" t="s">
        <v>35</v>
      </c>
      <c r="D4069">
        <v>68</v>
      </c>
      <c r="E4069" t="s">
        <v>14</v>
      </c>
      <c r="F4069" t="s">
        <v>16</v>
      </c>
      <c r="G4069">
        <v>79.599999999999994</v>
      </c>
      <c r="H4069">
        <v>5515.8</v>
      </c>
      <c r="I4069" t="s">
        <v>15</v>
      </c>
      <c r="J4069" t="s">
        <v>16</v>
      </c>
      <c r="K4069" t="s">
        <v>24</v>
      </c>
      <c r="L4069">
        <v>5515.8</v>
      </c>
      <c r="M4069" t="s">
        <v>5033</v>
      </c>
      <c r="N4069" t="s">
        <v>5034</v>
      </c>
    </row>
    <row r="4070" spans="1:14" x14ac:dyDescent="0.3">
      <c r="A4070" t="s">
        <v>4094</v>
      </c>
      <c r="B4070" t="s">
        <v>12</v>
      </c>
      <c r="C4070" t="s">
        <v>20</v>
      </c>
      <c r="D4070">
        <v>14</v>
      </c>
      <c r="E4070" t="s">
        <v>15</v>
      </c>
      <c r="F4070" t="s">
        <v>36</v>
      </c>
      <c r="G4070">
        <v>19.5</v>
      </c>
      <c r="H4070">
        <v>272</v>
      </c>
      <c r="I4070" t="s">
        <v>15</v>
      </c>
      <c r="J4070" t="s">
        <v>16</v>
      </c>
      <c r="K4070" t="s">
        <v>21</v>
      </c>
      <c r="L4070">
        <v>272</v>
      </c>
      <c r="M4070" t="s">
        <v>5032</v>
      </c>
      <c r="N4070" t="s">
        <v>5031</v>
      </c>
    </row>
    <row r="4071" spans="1:14" x14ac:dyDescent="0.3">
      <c r="A4071" t="s">
        <v>4095</v>
      </c>
      <c r="B4071" t="s">
        <v>19</v>
      </c>
      <c r="C4071" t="s">
        <v>35</v>
      </c>
      <c r="D4071">
        <v>68</v>
      </c>
      <c r="E4071" t="s">
        <v>26</v>
      </c>
      <c r="F4071" t="s">
        <v>16</v>
      </c>
      <c r="G4071">
        <v>99.55</v>
      </c>
      <c r="H4071">
        <v>6668</v>
      </c>
      <c r="I4071" t="s">
        <v>15</v>
      </c>
      <c r="J4071" t="s">
        <v>16</v>
      </c>
      <c r="K4071" t="s">
        <v>17</v>
      </c>
      <c r="L4071">
        <v>6668</v>
      </c>
      <c r="M4071" t="s">
        <v>5033</v>
      </c>
      <c r="N4071" t="s">
        <v>5034</v>
      </c>
    </row>
    <row r="4072" spans="1:14" x14ac:dyDescent="0.3">
      <c r="A4072" t="s">
        <v>4096</v>
      </c>
      <c r="B4072" t="s">
        <v>19</v>
      </c>
      <c r="C4072" t="s">
        <v>13</v>
      </c>
      <c r="D4072">
        <v>55</v>
      </c>
      <c r="E4072" t="s">
        <v>26</v>
      </c>
      <c r="F4072" t="s">
        <v>15</v>
      </c>
      <c r="G4072">
        <v>74</v>
      </c>
      <c r="H4072">
        <v>4052.4</v>
      </c>
      <c r="I4072" t="s">
        <v>15</v>
      </c>
      <c r="J4072" t="s">
        <v>16</v>
      </c>
      <c r="K4072" t="s">
        <v>17</v>
      </c>
      <c r="L4072">
        <v>4052.4</v>
      </c>
      <c r="M4072" t="s">
        <v>5033</v>
      </c>
      <c r="N4072" t="s">
        <v>5034</v>
      </c>
    </row>
    <row r="4073" spans="1:14" x14ac:dyDescent="0.3">
      <c r="A4073" t="s">
        <v>4097</v>
      </c>
      <c r="B4073" t="s">
        <v>12</v>
      </c>
      <c r="C4073" t="s">
        <v>13</v>
      </c>
      <c r="D4073">
        <v>16</v>
      </c>
      <c r="E4073" t="s">
        <v>14</v>
      </c>
      <c r="F4073" t="s">
        <v>15</v>
      </c>
      <c r="G4073">
        <v>38.9</v>
      </c>
      <c r="H4073">
        <v>664.4</v>
      </c>
      <c r="I4073" t="s">
        <v>15</v>
      </c>
      <c r="J4073" t="s">
        <v>16</v>
      </c>
      <c r="K4073" t="s">
        <v>17</v>
      </c>
      <c r="L4073">
        <v>664.4</v>
      </c>
      <c r="M4073" t="s">
        <v>5032</v>
      </c>
      <c r="N4073" t="s">
        <v>5031</v>
      </c>
    </row>
    <row r="4074" spans="1:14" x14ac:dyDescent="0.3">
      <c r="A4074" t="s">
        <v>4098</v>
      </c>
      <c r="B4074" t="s">
        <v>19</v>
      </c>
      <c r="C4074" t="s">
        <v>13</v>
      </c>
      <c r="D4074">
        <v>9</v>
      </c>
      <c r="E4074" t="s">
        <v>26</v>
      </c>
      <c r="F4074" t="s">
        <v>15</v>
      </c>
      <c r="G4074">
        <v>79.55</v>
      </c>
      <c r="H4074">
        <v>718.55</v>
      </c>
      <c r="I4074" t="s">
        <v>15</v>
      </c>
      <c r="J4074" t="s">
        <v>16</v>
      </c>
      <c r="K4074" t="s">
        <v>17</v>
      </c>
      <c r="L4074">
        <v>718.55</v>
      </c>
      <c r="M4074" t="s">
        <v>5030</v>
      </c>
      <c r="N4074" t="s">
        <v>5031</v>
      </c>
    </row>
    <row r="4075" spans="1:14" x14ac:dyDescent="0.3">
      <c r="A4075" t="s">
        <v>4099</v>
      </c>
      <c r="B4075" t="s">
        <v>19</v>
      </c>
      <c r="C4075" t="s">
        <v>13</v>
      </c>
      <c r="D4075">
        <v>14</v>
      </c>
      <c r="E4075" t="s">
        <v>14</v>
      </c>
      <c r="F4075" t="s">
        <v>15</v>
      </c>
      <c r="G4075">
        <v>65.45</v>
      </c>
      <c r="H4075">
        <v>937.6</v>
      </c>
      <c r="I4075" t="s">
        <v>16</v>
      </c>
      <c r="J4075" t="s">
        <v>16</v>
      </c>
      <c r="K4075" t="s">
        <v>17</v>
      </c>
      <c r="L4075">
        <v>937.6</v>
      </c>
      <c r="M4075" t="s">
        <v>5032</v>
      </c>
      <c r="N4075" t="s">
        <v>5031</v>
      </c>
    </row>
    <row r="4076" spans="1:14" x14ac:dyDescent="0.3">
      <c r="A4076" t="s">
        <v>4100</v>
      </c>
      <c r="B4076" t="s">
        <v>19</v>
      </c>
      <c r="C4076" t="s">
        <v>13</v>
      </c>
      <c r="D4076">
        <v>58</v>
      </c>
      <c r="E4076" t="s">
        <v>26</v>
      </c>
      <c r="F4076" t="s">
        <v>15</v>
      </c>
      <c r="G4076">
        <v>98.7</v>
      </c>
      <c r="H4076">
        <v>5812.6</v>
      </c>
      <c r="I4076" t="s">
        <v>16</v>
      </c>
      <c r="J4076" t="s">
        <v>16</v>
      </c>
      <c r="K4076" t="s">
        <v>17</v>
      </c>
      <c r="L4076">
        <v>5812.6</v>
      </c>
      <c r="M4076" t="s">
        <v>5033</v>
      </c>
      <c r="N4076" t="s">
        <v>5034</v>
      </c>
    </row>
    <row r="4077" spans="1:14" x14ac:dyDescent="0.3">
      <c r="A4077" t="s">
        <v>4101</v>
      </c>
      <c r="B4077" t="s">
        <v>19</v>
      </c>
      <c r="C4077" t="s">
        <v>13</v>
      </c>
      <c r="D4077">
        <v>53</v>
      </c>
      <c r="E4077" t="s">
        <v>14</v>
      </c>
      <c r="F4077" t="s">
        <v>15</v>
      </c>
      <c r="G4077">
        <v>46.3</v>
      </c>
      <c r="H4077">
        <v>2546.85</v>
      </c>
      <c r="I4077" t="s">
        <v>15</v>
      </c>
      <c r="J4077" t="s">
        <v>16</v>
      </c>
      <c r="K4077" t="s">
        <v>24</v>
      </c>
      <c r="L4077">
        <v>2546.85</v>
      </c>
      <c r="M4077" t="s">
        <v>5033</v>
      </c>
      <c r="N4077" t="s">
        <v>5034</v>
      </c>
    </row>
    <row r="4078" spans="1:14" x14ac:dyDescent="0.3">
      <c r="A4078" t="s">
        <v>4102</v>
      </c>
      <c r="B4078" t="s">
        <v>19</v>
      </c>
      <c r="C4078" t="s">
        <v>35</v>
      </c>
      <c r="D4078">
        <v>70</v>
      </c>
      <c r="E4078" t="s">
        <v>26</v>
      </c>
      <c r="F4078" t="s">
        <v>15</v>
      </c>
      <c r="G4078">
        <v>99.35</v>
      </c>
      <c r="H4078">
        <v>6944.5</v>
      </c>
      <c r="I4078" t="s">
        <v>15</v>
      </c>
      <c r="J4078" t="s">
        <v>16</v>
      </c>
      <c r="K4078" t="s">
        <v>29</v>
      </c>
      <c r="L4078">
        <v>6944.5</v>
      </c>
      <c r="M4078" t="s">
        <v>5033</v>
      </c>
      <c r="N4078" t="s">
        <v>5034</v>
      </c>
    </row>
    <row r="4079" spans="1:14" x14ac:dyDescent="0.3">
      <c r="A4079" t="s">
        <v>4103</v>
      </c>
      <c r="B4079" t="s">
        <v>12</v>
      </c>
      <c r="C4079" t="s">
        <v>13</v>
      </c>
      <c r="D4079">
        <v>14</v>
      </c>
      <c r="E4079" t="s">
        <v>26</v>
      </c>
      <c r="F4079" t="s">
        <v>15</v>
      </c>
      <c r="G4079">
        <v>95.8</v>
      </c>
      <c r="H4079">
        <v>1346.3</v>
      </c>
      <c r="I4079" t="s">
        <v>15</v>
      </c>
      <c r="J4079" t="s">
        <v>16</v>
      </c>
      <c r="K4079" t="s">
        <v>17</v>
      </c>
      <c r="L4079">
        <v>1346.3</v>
      </c>
      <c r="M4079" t="s">
        <v>5032</v>
      </c>
      <c r="N4079" t="s">
        <v>5031</v>
      </c>
    </row>
    <row r="4080" spans="1:14" x14ac:dyDescent="0.3">
      <c r="A4080" t="s">
        <v>4104</v>
      </c>
      <c r="B4080" t="s">
        <v>19</v>
      </c>
      <c r="C4080" t="s">
        <v>20</v>
      </c>
      <c r="D4080">
        <v>22</v>
      </c>
      <c r="E4080" t="s">
        <v>14</v>
      </c>
      <c r="F4080" t="s">
        <v>16</v>
      </c>
      <c r="G4080">
        <v>67.5</v>
      </c>
      <c r="H4080">
        <v>1544.05</v>
      </c>
      <c r="I4080" t="s">
        <v>16</v>
      </c>
      <c r="J4080" t="s">
        <v>16</v>
      </c>
      <c r="K4080" t="s">
        <v>24</v>
      </c>
      <c r="L4080">
        <v>1544.05</v>
      </c>
      <c r="M4080" t="s">
        <v>5032</v>
      </c>
      <c r="N4080" t="s">
        <v>5031</v>
      </c>
    </row>
    <row r="4081" spans="1:14" x14ac:dyDescent="0.3">
      <c r="A4081" t="s">
        <v>4105</v>
      </c>
      <c r="B4081" t="s">
        <v>12</v>
      </c>
      <c r="C4081" t="s">
        <v>13</v>
      </c>
      <c r="D4081">
        <v>10</v>
      </c>
      <c r="E4081" t="s">
        <v>26</v>
      </c>
      <c r="F4081" t="s">
        <v>15</v>
      </c>
      <c r="G4081">
        <v>78.150000000000006</v>
      </c>
      <c r="H4081">
        <v>765.15</v>
      </c>
      <c r="I4081" t="s">
        <v>15</v>
      </c>
      <c r="J4081" t="s">
        <v>16</v>
      </c>
      <c r="K4081" t="s">
        <v>29</v>
      </c>
      <c r="L4081">
        <v>765.15</v>
      </c>
      <c r="M4081" t="s">
        <v>5030</v>
      </c>
      <c r="N4081" t="s">
        <v>5031</v>
      </c>
    </row>
    <row r="4082" spans="1:14" x14ac:dyDescent="0.3">
      <c r="A4082" t="s">
        <v>4106</v>
      </c>
      <c r="B4082" t="s">
        <v>12</v>
      </c>
      <c r="C4082" t="s">
        <v>35</v>
      </c>
      <c r="D4082">
        <v>29</v>
      </c>
      <c r="E4082" t="s">
        <v>15</v>
      </c>
      <c r="F4082" t="s">
        <v>36</v>
      </c>
      <c r="G4082">
        <v>26.1</v>
      </c>
      <c r="H4082">
        <v>692.55</v>
      </c>
      <c r="I4082" t="s">
        <v>15</v>
      </c>
      <c r="J4082" t="s">
        <v>15</v>
      </c>
      <c r="K4082" t="s">
        <v>21</v>
      </c>
      <c r="L4082">
        <v>692.55</v>
      </c>
      <c r="M4082" t="s">
        <v>5032</v>
      </c>
      <c r="N4082" t="s">
        <v>5031</v>
      </c>
    </row>
    <row r="4083" spans="1:14" x14ac:dyDescent="0.3">
      <c r="A4083" t="s">
        <v>4107</v>
      </c>
      <c r="B4083" t="s">
        <v>12</v>
      </c>
      <c r="C4083" t="s">
        <v>13</v>
      </c>
      <c r="D4083">
        <v>1</v>
      </c>
      <c r="E4083" t="s">
        <v>26</v>
      </c>
      <c r="F4083" t="s">
        <v>15</v>
      </c>
      <c r="G4083">
        <v>69.599999999999994</v>
      </c>
      <c r="H4083">
        <v>69.599999999999994</v>
      </c>
      <c r="I4083" t="s">
        <v>16</v>
      </c>
      <c r="J4083" t="s">
        <v>16</v>
      </c>
      <c r="K4083" t="s">
        <v>17</v>
      </c>
      <c r="L4083">
        <v>69.599999999999994</v>
      </c>
      <c r="M4083" t="s">
        <v>5030</v>
      </c>
      <c r="N4083" t="s">
        <v>5031</v>
      </c>
    </row>
    <row r="4084" spans="1:14" x14ac:dyDescent="0.3">
      <c r="A4084" t="s">
        <v>4108</v>
      </c>
      <c r="B4084" t="s">
        <v>19</v>
      </c>
      <c r="C4084" t="s">
        <v>20</v>
      </c>
      <c r="D4084">
        <v>49</v>
      </c>
      <c r="E4084" t="s">
        <v>14</v>
      </c>
      <c r="F4084" t="s">
        <v>16</v>
      </c>
      <c r="G4084">
        <v>84.35</v>
      </c>
      <c r="H4084">
        <v>4059.35</v>
      </c>
      <c r="I4084" t="s">
        <v>16</v>
      </c>
      <c r="J4084" t="s">
        <v>15</v>
      </c>
      <c r="K4084" t="s">
        <v>17</v>
      </c>
      <c r="L4084">
        <v>4059.35</v>
      </c>
      <c r="M4084" t="s">
        <v>5033</v>
      </c>
      <c r="N4084" t="s">
        <v>5034</v>
      </c>
    </row>
    <row r="4085" spans="1:14" x14ac:dyDescent="0.3">
      <c r="A4085" t="s">
        <v>4109</v>
      </c>
      <c r="B4085" t="s">
        <v>12</v>
      </c>
      <c r="C4085" t="s">
        <v>13</v>
      </c>
      <c r="D4085">
        <v>68</v>
      </c>
      <c r="E4085" t="s">
        <v>26</v>
      </c>
      <c r="F4085" t="s">
        <v>15</v>
      </c>
      <c r="G4085">
        <v>100.2</v>
      </c>
      <c r="H4085">
        <v>6851.65</v>
      </c>
      <c r="I4085" t="s">
        <v>16</v>
      </c>
      <c r="J4085" t="s">
        <v>16</v>
      </c>
      <c r="K4085" t="s">
        <v>17</v>
      </c>
      <c r="L4085">
        <v>6851.65</v>
      </c>
      <c r="M4085" t="s">
        <v>5033</v>
      </c>
      <c r="N4085" t="s">
        <v>5034</v>
      </c>
    </row>
    <row r="4086" spans="1:14" x14ac:dyDescent="0.3">
      <c r="A4086" t="s">
        <v>4110</v>
      </c>
      <c r="B4086" t="s">
        <v>12</v>
      </c>
      <c r="C4086" t="s">
        <v>13</v>
      </c>
      <c r="D4086">
        <v>1</v>
      </c>
      <c r="E4086" t="s">
        <v>26</v>
      </c>
      <c r="F4086" t="s">
        <v>15</v>
      </c>
      <c r="G4086">
        <v>78.05</v>
      </c>
      <c r="H4086">
        <v>78.05</v>
      </c>
      <c r="I4086" t="s">
        <v>16</v>
      </c>
      <c r="J4086" t="s">
        <v>15</v>
      </c>
      <c r="K4086" t="s">
        <v>17</v>
      </c>
      <c r="L4086">
        <v>78.05</v>
      </c>
      <c r="M4086" t="s">
        <v>5030</v>
      </c>
      <c r="N4086" t="s">
        <v>5031</v>
      </c>
    </row>
    <row r="4087" spans="1:14" x14ac:dyDescent="0.3">
      <c r="A4087" t="s">
        <v>4111</v>
      </c>
      <c r="B4087" t="s">
        <v>12</v>
      </c>
      <c r="C4087" t="s">
        <v>20</v>
      </c>
      <c r="D4087">
        <v>30</v>
      </c>
      <c r="E4087" t="s">
        <v>14</v>
      </c>
      <c r="F4087" t="s">
        <v>16</v>
      </c>
      <c r="G4087">
        <v>40.35</v>
      </c>
      <c r="H4087">
        <v>1187.05</v>
      </c>
      <c r="I4087" t="s">
        <v>15</v>
      </c>
      <c r="J4087" t="s">
        <v>16</v>
      </c>
      <c r="K4087" t="s">
        <v>29</v>
      </c>
      <c r="L4087">
        <v>1187.05</v>
      </c>
      <c r="M4087" t="s">
        <v>5032</v>
      </c>
      <c r="N4087" t="s">
        <v>5031</v>
      </c>
    </row>
    <row r="4088" spans="1:14" x14ac:dyDescent="0.3">
      <c r="A4088" t="s">
        <v>4112</v>
      </c>
      <c r="B4088" t="s">
        <v>12</v>
      </c>
      <c r="C4088" t="s">
        <v>35</v>
      </c>
      <c r="D4088">
        <v>72</v>
      </c>
      <c r="E4088" t="s">
        <v>14</v>
      </c>
      <c r="F4088" t="s">
        <v>16</v>
      </c>
      <c r="G4088">
        <v>79.2</v>
      </c>
      <c r="H4088">
        <v>5401.9</v>
      </c>
      <c r="I4088" t="s">
        <v>15</v>
      </c>
      <c r="J4088" t="s">
        <v>15</v>
      </c>
      <c r="K4088" t="s">
        <v>29</v>
      </c>
      <c r="L4088">
        <v>5401.9</v>
      </c>
      <c r="M4088" t="s">
        <v>5033</v>
      </c>
      <c r="N4088" t="s">
        <v>5034</v>
      </c>
    </row>
    <row r="4089" spans="1:14" x14ac:dyDescent="0.3">
      <c r="A4089" t="s">
        <v>4113</v>
      </c>
      <c r="B4089" t="s">
        <v>12</v>
      </c>
      <c r="C4089" t="s">
        <v>13</v>
      </c>
      <c r="D4089">
        <v>10</v>
      </c>
      <c r="E4089" t="s">
        <v>15</v>
      </c>
      <c r="F4089" t="s">
        <v>36</v>
      </c>
      <c r="G4089">
        <v>20.9</v>
      </c>
      <c r="H4089">
        <v>247</v>
      </c>
      <c r="I4089" t="s">
        <v>15</v>
      </c>
      <c r="J4089" t="s">
        <v>16</v>
      </c>
      <c r="K4089" t="s">
        <v>21</v>
      </c>
      <c r="L4089">
        <v>247</v>
      </c>
      <c r="M4089" t="s">
        <v>5030</v>
      </c>
      <c r="N4089" t="s">
        <v>5031</v>
      </c>
    </row>
    <row r="4090" spans="1:14" x14ac:dyDescent="0.3">
      <c r="A4090" t="s">
        <v>4114</v>
      </c>
      <c r="B4090" t="s">
        <v>19</v>
      </c>
      <c r="C4090" t="s">
        <v>13</v>
      </c>
      <c r="D4090">
        <v>7</v>
      </c>
      <c r="E4090" t="s">
        <v>26</v>
      </c>
      <c r="F4090" t="s">
        <v>15</v>
      </c>
      <c r="G4090">
        <v>73.599999999999994</v>
      </c>
      <c r="H4090">
        <v>520</v>
      </c>
      <c r="I4090" t="s">
        <v>16</v>
      </c>
      <c r="J4090" t="s">
        <v>15</v>
      </c>
      <c r="K4090" t="s">
        <v>17</v>
      </c>
      <c r="L4090">
        <v>520</v>
      </c>
      <c r="M4090" t="s">
        <v>5030</v>
      </c>
      <c r="N4090" t="s">
        <v>5031</v>
      </c>
    </row>
    <row r="4091" spans="1:14" x14ac:dyDescent="0.3">
      <c r="A4091" t="s">
        <v>4115</v>
      </c>
      <c r="B4091" t="s">
        <v>12</v>
      </c>
      <c r="C4091" t="s">
        <v>13</v>
      </c>
      <c r="D4091">
        <v>9</v>
      </c>
      <c r="E4091" t="s">
        <v>26</v>
      </c>
      <c r="F4091" t="s">
        <v>15</v>
      </c>
      <c r="G4091">
        <v>74.75</v>
      </c>
      <c r="H4091">
        <v>706.6</v>
      </c>
      <c r="I4091" t="s">
        <v>16</v>
      </c>
      <c r="J4091" t="s">
        <v>16</v>
      </c>
      <c r="K4091" t="s">
        <v>17</v>
      </c>
      <c r="L4091">
        <v>706.6</v>
      </c>
      <c r="M4091" t="s">
        <v>5030</v>
      </c>
      <c r="N4091" t="s">
        <v>5031</v>
      </c>
    </row>
    <row r="4092" spans="1:14" x14ac:dyDescent="0.3">
      <c r="A4092" t="s">
        <v>4116</v>
      </c>
      <c r="B4092" t="s">
        <v>12</v>
      </c>
      <c r="C4092" t="s">
        <v>13</v>
      </c>
      <c r="D4092">
        <v>1</v>
      </c>
      <c r="E4092" t="s">
        <v>14</v>
      </c>
      <c r="F4092" t="s">
        <v>15</v>
      </c>
      <c r="G4092">
        <v>49.9</v>
      </c>
      <c r="H4092">
        <v>49.9</v>
      </c>
      <c r="I4092" t="s">
        <v>15</v>
      </c>
      <c r="J4092" t="s">
        <v>15</v>
      </c>
      <c r="K4092" t="s">
        <v>21</v>
      </c>
      <c r="L4092">
        <v>49.9</v>
      </c>
      <c r="M4092" t="s">
        <v>5030</v>
      </c>
      <c r="N4092" t="s">
        <v>5031</v>
      </c>
    </row>
    <row r="4093" spans="1:14" x14ac:dyDescent="0.3">
      <c r="A4093" t="s">
        <v>4117</v>
      </c>
      <c r="B4093" t="s">
        <v>12</v>
      </c>
      <c r="C4093" t="s">
        <v>13</v>
      </c>
      <c r="D4093">
        <v>20</v>
      </c>
      <c r="E4093" t="s">
        <v>14</v>
      </c>
      <c r="F4093" t="s">
        <v>16</v>
      </c>
      <c r="G4093">
        <v>68.900000000000006</v>
      </c>
      <c r="H4093">
        <v>1370.35</v>
      </c>
      <c r="I4093" t="s">
        <v>15</v>
      </c>
      <c r="J4093" t="s">
        <v>16</v>
      </c>
      <c r="K4093" t="s">
        <v>29</v>
      </c>
      <c r="L4093">
        <v>1370.35</v>
      </c>
      <c r="M4093" t="s">
        <v>5032</v>
      </c>
      <c r="N4093" t="s">
        <v>5031</v>
      </c>
    </row>
    <row r="4094" spans="1:14" x14ac:dyDescent="0.3">
      <c r="A4094" t="s">
        <v>4118</v>
      </c>
      <c r="B4094" t="s">
        <v>12</v>
      </c>
      <c r="C4094" t="s">
        <v>13</v>
      </c>
      <c r="D4094">
        <v>1</v>
      </c>
      <c r="E4094" t="s">
        <v>15</v>
      </c>
      <c r="F4094" t="s">
        <v>36</v>
      </c>
      <c r="G4094">
        <v>20.25</v>
      </c>
      <c r="H4094">
        <v>20.25</v>
      </c>
      <c r="I4094" t="s">
        <v>15</v>
      </c>
      <c r="J4094" t="s">
        <v>16</v>
      </c>
      <c r="K4094" t="s">
        <v>21</v>
      </c>
      <c r="L4094">
        <v>20.25</v>
      </c>
      <c r="M4094" t="s">
        <v>5030</v>
      </c>
      <c r="N4094" t="s">
        <v>5031</v>
      </c>
    </row>
    <row r="4095" spans="1:14" x14ac:dyDescent="0.3">
      <c r="A4095" t="s">
        <v>4119</v>
      </c>
      <c r="B4095" t="s">
        <v>12</v>
      </c>
      <c r="C4095" t="s">
        <v>13</v>
      </c>
      <c r="D4095">
        <v>29</v>
      </c>
      <c r="E4095" t="s">
        <v>26</v>
      </c>
      <c r="F4095" t="s">
        <v>15</v>
      </c>
      <c r="G4095">
        <v>76</v>
      </c>
      <c r="H4095">
        <v>2215.25</v>
      </c>
      <c r="I4095" t="s">
        <v>15</v>
      </c>
      <c r="J4095" t="s">
        <v>16</v>
      </c>
      <c r="K4095" t="s">
        <v>29</v>
      </c>
      <c r="L4095">
        <v>2215.25</v>
      </c>
      <c r="M4095" t="s">
        <v>5032</v>
      </c>
      <c r="N4095" t="s">
        <v>5031</v>
      </c>
    </row>
    <row r="4096" spans="1:14" x14ac:dyDescent="0.3">
      <c r="A4096" t="s">
        <v>4120</v>
      </c>
      <c r="B4096" t="s">
        <v>19</v>
      </c>
      <c r="C4096" t="s">
        <v>13</v>
      </c>
      <c r="D4096">
        <v>1</v>
      </c>
      <c r="E4096" t="s">
        <v>26</v>
      </c>
      <c r="F4096" t="s">
        <v>16</v>
      </c>
      <c r="G4096">
        <v>74</v>
      </c>
      <c r="H4096">
        <v>74</v>
      </c>
      <c r="I4096" t="s">
        <v>15</v>
      </c>
      <c r="J4096" t="s">
        <v>15</v>
      </c>
      <c r="K4096" t="s">
        <v>17</v>
      </c>
      <c r="L4096">
        <v>74</v>
      </c>
      <c r="M4096" t="s">
        <v>5030</v>
      </c>
      <c r="N4096" t="s">
        <v>5031</v>
      </c>
    </row>
    <row r="4097" spans="1:14" x14ac:dyDescent="0.3">
      <c r="A4097" t="s">
        <v>4121</v>
      </c>
      <c r="B4097" t="s">
        <v>19</v>
      </c>
      <c r="C4097" t="s">
        <v>13</v>
      </c>
      <c r="D4097">
        <v>3</v>
      </c>
      <c r="E4097" t="s">
        <v>26</v>
      </c>
      <c r="F4097" t="s">
        <v>16</v>
      </c>
      <c r="G4097">
        <v>82.3</v>
      </c>
      <c r="H4097">
        <v>214.4</v>
      </c>
      <c r="I4097" t="s">
        <v>15</v>
      </c>
      <c r="J4097" t="s">
        <v>16</v>
      </c>
      <c r="K4097" t="s">
        <v>21</v>
      </c>
      <c r="L4097">
        <v>214.4</v>
      </c>
      <c r="M4097" t="s">
        <v>5030</v>
      </c>
      <c r="N4097" t="s">
        <v>5031</v>
      </c>
    </row>
    <row r="4098" spans="1:14" x14ac:dyDescent="0.3">
      <c r="A4098" t="s">
        <v>4122</v>
      </c>
      <c r="B4098" t="s">
        <v>12</v>
      </c>
      <c r="C4098" t="s">
        <v>13</v>
      </c>
      <c r="D4098">
        <v>20</v>
      </c>
      <c r="E4098" t="s">
        <v>26</v>
      </c>
      <c r="F4098" t="s">
        <v>15</v>
      </c>
      <c r="G4098">
        <v>89.4</v>
      </c>
      <c r="H4098">
        <v>1871.15</v>
      </c>
      <c r="I4098" t="s">
        <v>15</v>
      </c>
      <c r="J4098" t="s">
        <v>16</v>
      </c>
      <c r="K4098" t="s">
        <v>24</v>
      </c>
      <c r="L4098">
        <v>1871.15</v>
      </c>
      <c r="M4098" t="s">
        <v>5032</v>
      </c>
      <c r="N4098" t="s">
        <v>5031</v>
      </c>
    </row>
    <row r="4099" spans="1:14" x14ac:dyDescent="0.3">
      <c r="A4099" t="s">
        <v>4123</v>
      </c>
      <c r="B4099" t="s">
        <v>19</v>
      </c>
      <c r="C4099" t="s">
        <v>13</v>
      </c>
      <c r="D4099">
        <v>64</v>
      </c>
      <c r="E4099" t="s">
        <v>26</v>
      </c>
      <c r="F4099" t="s">
        <v>16</v>
      </c>
      <c r="G4099">
        <v>99.15</v>
      </c>
      <c r="H4099">
        <v>6171.2</v>
      </c>
      <c r="I4099" t="s">
        <v>15</v>
      </c>
      <c r="J4099" t="s">
        <v>16</v>
      </c>
      <c r="K4099" t="s">
        <v>29</v>
      </c>
      <c r="L4099">
        <v>6171.2</v>
      </c>
      <c r="M4099" t="s">
        <v>5033</v>
      </c>
      <c r="N4099" t="s">
        <v>5034</v>
      </c>
    </row>
    <row r="4100" spans="1:14" x14ac:dyDescent="0.3">
      <c r="A4100" t="s">
        <v>4124</v>
      </c>
      <c r="B4100" t="s">
        <v>19</v>
      </c>
      <c r="C4100" t="s">
        <v>13</v>
      </c>
      <c r="D4100">
        <v>1</v>
      </c>
      <c r="E4100" t="s">
        <v>15</v>
      </c>
      <c r="F4100" t="s">
        <v>36</v>
      </c>
      <c r="G4100">
        <v>20.2</v>
      </c>
      <c r="H4100">
        <v>20.2</v>
      </c>
      <c r="I4100" t="s">
        <v>16</v>
      </c>
      <c r="J4100" t="s">
        <v>16</v>
      </c>
      <c r="K4100" t="s">
        <v>21</v>
      </c>
      <c r="L4100">
        <v>20.2</v>
      </c>
      <c r="M4100" t="s">
        <v>5030</v>
      </c>
      <c r="N4100" t="s">
        <v>5031</v>
      </c>
    </row>
    <row r="4101" spans="1:14" x14ac:dyDescent="0.3">
      <c r="A4101" t="s">
        <v>4125</v>
      </c>
      <c r="B4101" t="s">
        <v>12</v>
      </c>
      <c r="C4101" t="s">
        <v>13</v>
      </c>
      <c r="D4101">
        <v>6</v>
      </c>
      <c r="E4101" t="s">
        <v>14</v>
      </c>
      <c r="F4101" t="s">
        <v>15</v>
      </c>
      <c r="G4101">
        <v>29.45</v>
      </c>
      <c r="H4101">
        <v>161.44999999999999</v>
      </c>
      <c r="I4101" t="s">
        <v>15</v>
      </c>
      <c r="J4101" t="s">
        <v>15</v>
      </c>
      <c r="K4101" t="s">
        <v>24</v>
      </c>
      <c r="L4101">
        <v>161.44999999999999</v>
      </c>
      <c r="M4101" t="s">
        <v>5030</v>
      </c>
      <c r="N4101" t="s">
        <v>5031</v>
      </c>
    </row>
    <row r="4102" spans="1:14" x14ac:dyDescent="0.3">
      <c r="A4102" t="s">
        <v>4126</v>
      </c>
      <c r="B4102" t="s">
        <v>19</v>
      </c>
      <c r="C4102" t="s">
        <v>35</v>
      </c>
      <c r="D4102">
        <v>50</v>
      </c>
      <c r="E4102" t="s">
        <v>15</v>
      </c>
      <c r="F4102" t="s">
        <v>36</v>
      </c>
      <c r="G4102">
        <v>19.8</v>
      </c>
      <c r="H4102">
        <v>1013.2</v>
      </c>
      <c r="I4102" t="s">
        <v>15</v>
      </c>
      <c r="J4102" t="s">
        <v>15</v>
      </c>
      <c r="K4102" t="s">
        <v>17</v>
      </c>
      <c r="L4102">
        <v>1013.2</v>
      </c>
      <c r="M4102" t="s">
        <v>5033</v>
      </c>
      <c r="N4102" t="s">
        <v>5031</v>
      </c>
    </row>
    <row r="4103" spans="1:14" x14ac:dyDescent="0.3">
      <c r="A4103" t="s">
        <v>4127</v>
      </c>
      <c r="B4103" t="s">
        <v>19</v>
      </c>
      <c r="C4103" t="s">
        <v>13</v>
      </c>
      <c r="D4103">
        <v>6</v>
      </c>
      <c r="E4103" t="s">
        <v>14</v>
      </c>
      <c r="F4103" t="s">
        <v>15</v>
      </c>
      <c r="G4103">
        <v>59.15</v>
      </c>
      <c r="H4103">
        <v>336.7</v>
      </c>
      <c r="I4103" t="s">
        <v>15</v>
      </c>
      <c r="J4103" t="s">
        <v>16</v>
      </c>
      <c r="K4103" t="s">
        <v>24</v>
      </c>
      <c r="L4103">
        <v>336.7</v>
      </c>
      <c r="M4103" t="s">
        <v>5030</v>
      </c>
      <c r="N4103" t="s">
        <v>5031</v>
      </c>
    </row>
    <row r="4104" spans="1:14" x14ac:dyDescent="0.3">
      <c r="A4104" t="s">
        <v>4128</v>
      </c>
      <c r="B4104" t="s">
        <v>19</v>
      </c>
      <c r="C4104" t="s">
        <v>13</v>
      </c>
      <c r="D4104">
        <v>7</v>
      </c>
      <c r="E4104" t="s">
        <v>14</v>
      </c>
      <c r="F4104" t="s">
        <v>15</v>
      </c>
      <c r="G4104">
        <v>44.75</v>
      </c>
      <c r="H4104">
        <v>333.65</v>
      </c>
      <c r="I4104" t="s">
        <v>15</v>
      </c>
      <c r="J4104" t="s">
        <v>15</v>
      </c>
      <c r="K4104" t="s">
        <v>17</v>
      </c>
      <c r="L4104">
        <v>333.65</v>
      </c>
      <c r="M4104" t="s">
        <v>5030</v>
      </c>
      <c r="N4104" t="s">
        <v>5031</v>
      </c>
    </row>
    <row r="4105" spans="1:14" x14ac:dyDescent="0.3">
      <c r="A4105" t="s">
        <v>4129</v>
      </c>
      <c r="B4105" t="s">
        <v>19</v>
      </c>
      <c r="C4105" t="s">
        <v>35</v>
      </c>
      <c r="D4105">
        <v>72</v>
      </c>
      <c r="E4105" t="s">
        <v>26</v>
      </c>
      <c r="F4105" t="s">
        <v>15</v>
      </c>
      <c r="G4105">
        <v>90.8</v>
      </c>
      <c r="H4105">
        <v>6511.8</v>
      </c>
      <c r="I4105" t="s">
        <v>15</v>
      </c>
      <c r="J4105" t="s">
        <v>16</v>
      </c>
      <c r="K4105" t="s">
        <v>29</v>
      </c>
      <c r="L4105">
        <v>6511.8</v>
      </c>
      <c r="M4105" t="s">
        <v>5033</v>
      </c>
      <c r="N4105" t="s">
        <v>5034</v>
      </c>
    </row>
    <row r="4106" spans="1:14" x14ac:dyDescent="0.3">
      <c r="A4106" t="s">
        <v>4130</v>
      </c>
      <c r="B4106" t="s">
        <v>19</v>
      </c>
      <c r="C4106" t="s">
        <v>13</v>
      </c>
      <c r="D4106">
        <v>8</v>
      </c>
      <c r="E4106" t="s">
        <v>14</v>
      </c>
      <c r="F4106" t="s">
        <v>15</v>
      </c>
      <c r="G4106">
        <v>49.55</v>
      </c>
      <c r="H4106">
        <v>393.45</v>
      </c>
      <c r="I4106" t="s">
        <v>15</v>
      </c>
      <c r="J4106" t="s">
        <v>16</v>
      </c>
      <c r="K4106" t="s">
        <v>24</v>
      </c>
      <c r="L4106">
        <v>393.45</v>
      </c>
      <c r="M4106" t="s">
        <v>5030</v>
      </c>
      <c r="N4106" t="s">
        <v>5031</v>
      </c>
    </row>
    <row r="4107" spans="1:14" x14ac:dyDescent="0.3">
      <c r="A4107" t="s">
        <v>4131</v>
      </c>
      <c r="B4107" t="s">
        <v>12</v>
      </c>
      <c r="C4107" t="s">
        <v>35</v>
      </c>
      <c r="D4107">
        <v>67</v>
      </c>
      <c r="E4107" t="s">
        <v>26</v>
      </c>
      <c r="F4107" t="s">
        <v>16</v>
      </c>
      <c r="G4107">
        <v>106.7</v>
      </c>
      <c r="H4107">
        <v>7009.5</v>
      </c>
      <c r="I4107" t="s">
        <v>15</v>
      </c>
      <c r="J4107" t="s">
        <v>15</v>
      </c>
      <c r="K4107" t="s">
        <v>29</v>
      </c>
      <c r="L4107">
        <v>7009.5</v>
      </c>
      <c r="M4107" t="s">
        <v>5033</v>
      </c>
      <c r="N4107" t="s">
        <v>5034</v>
      </c>
    </row>
    <row r="4108" spans="1:14" x14ac:dyDescent="0.3">
      <c r="A4108" t="s">
        <v>4132</v>
      </c>
      <c r="B4108" t="s">
        <v>12</v>
      </c>
      <c r="C4108" t="s">
        <v>13</v>
      </c>
      <c r="D4108">
        <v>24</v>
      </c>
      <c r="E4108" t="s">
        <v>26</v>
      </c>
      <c r="F4108" t="s">
        <v>15</v>
      </c>
      <c r="G4108">
        <v>93.55</v>
      </c>
      <c r="H4108">
        <v>2264.0500000000002</v>
      </c>
      <c r="I4108" t="s">
        <v>16</v>
      </c>
      <c r="J4108" t="s">
        <v>16</v>
      </c>
      <c r="K4108" t="s">
        <v>17</v>
      </c>
      <c r="L4108">
        <v>2264.0500000000002</v>
      </c>
      <c r="M4108" t="s">
        <v>5032</v>
      </c>
      <c r="N4108" t="s">
        <v>5031</v>
      </c>
    </row>
    <row r="4109" spans="1:14" x14ac:dyDescent="0.3">
      <c r="A4109" t="s">
        <v>4133</v>
      </c>
      <c r="B4109" t="s">
        <v>12</v>
      </c>
      <c r="C4109" t="s">
        <v>35</v>
      </c>
      <c r="D4109">
        <v>72</v>
      </c>
      <c r="E4109" t="s">
        <v>26</v>
      </c>
      <c r="F4109" t="s">
        <v>15</v>
      </c>
      <c r="G4109">
        <v>94.45</v>
      </c>
      <c r="H4109">
        <v>6921.7</v>
      </c>
      <c r="I4109" t="s">
        <v>15</v>
      </c>
      <c r="J4109" t="s">
        <v>16</v>
      </c>
      <c r="K4109" t="s">
        <v>29</v>
      </c>
      <c r="L4109">
        <v>6921.7</v>
      </c>
      <c r="M4109" t="s">
        <v>5033</v>
      </c>
      <c r="N4109" t="s">
        <v>5034</v>
      </c>
    </row>
    <row r="4110" spans="1:14" x14ac:dyDescent="0.3">
      <c r="A4110" t="s">
        <v>4134</v>
      </c>
      <c r="B4110" t="s">
        <v>19</v>
      </c>
      <c r="C4110" t="s">
        <v>20</v>
      </c>
      <c r="D4110">
        <v>33</v>
      </c>
      <c r="E4110" t="s">
        <v>15</v>
      </c>
      <c r="F4110" t="s">
        <v>36</v>
      </c>
      <c r="G4110">
        <v>19.45</v>
      </c>
      <c r="H4110">
        <v>600.25</v>
      </c>
      <c r="I4110" t="s">
        <v>15</v>
      </c>
      <c r="J4110" t="s">
        <v>16</v>
      </c>
      <c r="K4110" t="s">
        <v>24</v>
      </c>
      <c r="L4110">
        <v>600.25</v>
      </c>
      <c r="M4110" t="s">
        <v>5032</v>
      </c>
      <c r="N4110" t="s">
        <v>5031</v>
      </c>
    </row>
    <row r="4111" spans="1:14" x14ac:dyDescent="0.3">
      <c r="A4111" t="s">
        <v>4135</v>
      </c>
      <c r="B4111" t="s">
        <v>19</v>
      </c>
      <c r="C4111" t="s">
        <v>13</v>
      </c>
      <c r="D4111">
        <v>2</v>
      </c>
      <c r="E4111" t="s">
        <v>14</v>
      </c>
      <c r="F4111" t="s">
        <v>15</v>
      </c>
      <c r="G4111">
        <v>25.05</v>
      </c>
      <c r="H4111">
        <v>56.35</v>
      </c>
      <c r="I4111" t="s">
        <v>16</v>
      </c>
      <c r="J4111" t="s">
        <v>16</v>
      </c>
      <c r="K4111" t="s">
        <v>17</v>
      </c>
      <c r="L4111">
        <v>56.35</v>
      </c>
      <c r="M4111" t="s">
        <v>5030</v>
      </c>
      <c r="N4111" t="s">
        <v>5031</v>
      </c>
    </row>
    <row r="4112" spans="1:14" x14ac:dyDescent="0.3">
      <c r="A4112" t="s">
        <v>4136</v>
      </c>
      <c r="B4112" t="s">
        <v>19</v>
      </c>
      <c r="C4112" t="s">
        <v>35</v>
      </c>
      <c r="D4112">
        <v>70</v>
      </c>
      <c r="E4112" t="s">
        <v>14</v>
      </c>
      <c r="F4112" t="s">
        <v>16</v>
      </c>
      <c r="G4112">
        <v>67.95</v>
      </c>
      <c r="H4112">
        <v>4664.1499999999996</v>
      </c>
      <c r="I4112" t="s">
        <v>15</v>
      </c>
      <c r="J4112" t="s">
        <v>15</v>
      </c>
      <c r="K4112" t="s">
        <v>21</v>
      </c>
      <c r="L4112">
        <v>4664.1499999999996</v>
      </c>
      <c r="M4112" t="s">
        <v>5033</v>
      </c>
      <c r="N4112" t="s">
        <v>5034</v>
      </c>
    </row>
    <row r="4113" spans="1:14" x14ac:dyDescent="0.3">
      <c r="A4113" t="s">
        <v>4137</v>
      </c>
      <c r="B4113" t="s">
        <v>12</v>
      </c>
      <c r="C4113" t="s">
        <v>20</v>
      </c>
      <c r="D4113">
        <v>22</v>
      </c>
      <c r="E4113" t="s">
        <v>14</v>
      </c>
      <c r="F4113" t="s">
        <v>15</v>
      </c>
      <c r="G4113">
        <v>65.25</v>
      </c>
      <c r="H4113">
        <v>1441.8</v>
      </c>
      <c r="I4113" t="s">
        <v>15</v>
      </c>
      <c r="J4113" t="s">
        <v>15</v>
      </c>
      <c r="K4113" t="s">
        <v>24</v>
      </c>
      <c r="L4113">
        <v>1441.8</v>
      </c>
      <c r="M4113" t="s">
        <v>5032</v>
      </c>
      <c r="N4113" t="s">
        <v>5031</v>
      </c>
    </row>
    <row r="4114" spans="1:14" x14ac:dyDescent="0.3">
      <c r="A4114" t="s">
        <v>4138</v>
      </c>
      <c r="B4114" t="s">
        <v>12</v>
      </c>
      <c r="C4114" t="s">
        <v>13</v>
      </c>
      <c r="D4114">
        <v>59</v>
      </c>
      <c r="E4114" t="s">
        <v>26</v>
      </c>
      <c r="F4114" t="s">
        <v>15</v>
      </c>
      <c r="G4114">
        <v>99.45</v>
      </c>
      <c r="H4114">
        <v>5623.7</v>
      </c>
      <c r="I4114" t="s">
        <v>15</v>
      </c>
      <c r="J4114" t="s">
        <v>16</v>
      </c>
      <c r="K4114" t="s">
        <v>24</v>
      </c>
      <c r="L4114">
        <v>5623.7</v>
      </c>
      <c r="M4114" t="s">
        <v>5033</v>
      </c>
      <c r="N4114" t="s">
        <v>5034</v>
      </c>
    </row>
    <row r="4115" spans="1:14" x14ac:dyDescent="0.3">
      <c r="A4115" t="s">
        <v>4139</v>
      </c>
      <c r="B4115" t="s">
        <v>19</v>
      </c>
      <c r="C4115" t="s">
        <v>20</v>
      </c>
      <c r="D4115">
        <v>36</v>
      </c>
      <c r="E4115" t="s">
        <v>15</v>
      </c>
      <c r="F4115" t="s">
        <v>36</v>
      </c>
      <c r="G4115">
        <v>20.350000000000001</v>
      </c>
      <c r="H4115">
        <v>695.85</v>
      </c>
      <c r="I4115" t="s">
        <v>15</v>
      </c>
      <c r="J4115" t="s">
        <v>16</v>
      </c>
      <c r="K4115" t="s">
        <v>29</v>
      </c>
      <c r="L4115">
        <v>695.85</v>
      </c>
      <c r="M4115" t="s">
        <v>5032</v>
      </c>
      <c r="N4115" t="s">
        <v>5031</v>
      </c>
    </row>
    <row r="4116" spans="1:14" x14ac:dyDescent="0.3">
      <c r="A4116" t="s">
        <v>4140</v>
      </c>
      <c r="B4116" t="s">
        <v>12</v>
      </c>
      <c r="C4116" t="s">
        <v>35</v>
      </c>
      <c r="D4116">
        <v>51</v>
      </c>
      <c r="E4116" t="s">
        <v>15</v>
      </c>
      <c r="F4116" t="s">
        <v>36</v>
      </c>
      <c r="G4116">
        <v>19.95</v>
      </c>
      <c r="H4116">
        <v>1028.75</v>
      </c>
      <c r="I4116" t="s">
        <v>15</v>
      </c>
      <c r="J4116" t="s">
        <v>15</v>
      </c>
      <c r="K4116" t="s">
        <v>21</v>
      </c>
      <c r="L4116">
        <v>1028.75</v>
      </c>
      <c r="M4116" t="s">
        <v>5033</v>
      </c>
      <c r="N4116" t="s">
        <v>5031</v>
      </c>
    </row>
    <row r="4117" spans="1:14" x14ac:dyDescent="0.3">
      <c r="A4117" t="s">
        <v>4141</v>
      </c>
      <c r="B4117" t="s">
        <v>19</v>
      </c>
      <c r="C4117" t="s">
        <v>20</v>
      </c>
      <c r="D4117">
        <v>53</v>
      </c>
      <c r="E4117" t="s">
        <v>14</v>
      </c>
      <c r="F4117" t="s">
        <v>16</v>
      </c>
      <c r="G4117">
        <v>77.400000000000006</v>
      </c>
      <c r="H4117">
        <v>4155.95</v>
      </c>
      <c r="I4117" t="s">
        <v>15</v>
      </c>
      <c r="J4117" t="s">
        <v>15</v>
      </c>
      <c r="K4117" t="s">
        <v>24</v>
      </c>
      <c r="L4117">
        <v>4155.95</v>
      </c>
      <c r="M4117" t="s">
        <v>5033</v>
      </c>
      <c r="N4117" t="s">
        <v>5034</v>
      </c>
    </row>
    <row r="4118" spans="1:14" x14ac:dyDescent="0.3">
      <c r="A4118" t="s">
        <v>4142</v>
      </c>
      <c r="B4118" t="s">
        <v>12</v>
      </c>
      <c r="C4118" t="s">
        <v>20</v>
      </c>
      <c r="D4118">
        <v>20</v>
      </c>
      <c r="E4118" t="s">
        <v>15</v>
      </c>
      <c r="F4118" t="s">
        <v>36</v>
      </c>
      <c r="G4118">
        <v>19.7</v>
      </c>
      <c r="H4118">
        <v>395.6</v>
      </c>
      <c r="I4118" t="s">
        <v>15</v>
      </c>
      <c r="J4118" t="s">
        <v>15</v>
      </c>
      <c r="K4118" t="s">
        <v>24</v>
      </c>
      <c r="L4118">
        <v>395.6</v>
      </c>
      <c r="M4118" t="s">
        <v>5032</v>
      </c>
      <c r="N4118" t="s">
        <v>5031</v>
      </c>
    </row>
    <row r="4119" spans="1:14" x14ac:dyDescent="0.3">
      <c r="A4119" t="s">
        <v>4143</v>
      </c>
      <c r="B4119" t="s">
        <v>19</v>
      </c>
      <c r="C4119" t="s">
        <v>35</v>
      </c>
      <c r="D4119">
        <v>63</v>
      </c>
      <c r="E4119" t="s">
        <v>26</v>
      </c>
      <c r="F4119" t="s">
        <v>15</v>
      </c>
      <c r="G4119">
        <v>99.7</v>
      </c>
      <c r="H4119">
        <v>6330.4</v>
      </c>
      <c r="I4119" t="s">
        <v>15</v>
      </c>
      <c r="J4119" t="s">
        <v>15</v>
      </c>
      <c r="K4119" t="s">
        <v>29</v>
      </c>
      <c r="L4119">
        <v>6330.4</v>
      </c>
      <c r="M4119" t="s">
        <v>5033</v>
      </c>
      <c r="N4119" t="s">
        <v>5034</v>
      </c>
    </row>
    <row r="4120" spans="1:14" x14ac:dyDescent="0.3">
      <c r="A4120" t="s">
        <v>4144</v>
      </c>
      <c r="B4120" t="s">
        <v>12</v>
      </c>
      <c r="C4120" t="s">
        <v>13</v>
      </c>
      <c r="D4120">
        <v>40</v>
      </c>
      <c r="E4120" t="s">
        <v>26</v>
      </c>
      <c r="F4120" t="s">
        <v>15</v>
      </c>
      <c r="G4120">
        <v>74.8</v>
      </c>
      <c r="H4120">
        <v>2971.7</v>
      </c>
      <c r="I4120" t="s">
        <v>15</v>
      </c>
      <c r="J4120" t="s">
        <v>15</v>
      </c>
      <c r="K4120" t="s">
        <v>29</v>
      </c>
      <c r="L4120">
        <v>2971.7</v>
      </c>
      <c r="M4120" t="s">
        <v>5033</v>
      </c>
      <c r="N4120" t="s">
        <v>5034</v>
      </c>
    </row>
    <row r="4121" spans="1:14" x14ac:dyDescent="0.3">
      <c r="A4121" t="s">
        <v>4145</v>
      </c>
      <c r="B4121" t="s">
        <v>19</v>
      </c>
      <c r="C4121" t="s">
        <v>20</v>
      </c>
      <c r="D4121">
        <v>35</v>
      </c>
      <c r="E4121" t="s">
        <v>15</v>
      </c>
      <c r="F4121" t="s">
        <v>36</v>
      </c>
      <c r="G4121">
        <v>19.149999999999999</v>
      </c>
      <c r="H4121">
        <v>638</v>
      </c>
      <c r="I4121" t="s">
        <v>15</v>
      </c>
      <c r="J4121" t="s">
        <v>16</v>
      </c>
      <c r="K4121" t="s">
        <v>21</v>
      </c>
      <c r="L4121">
        <v>638</v>
      </c>
      <c r="M4121" t="s">
        <v>5032</v>
      </c>
      <c r="N4121" t="s">
        <v>5031</v>
      </c>
    </row>
    <row r="4122" spans="1:14" x14ac:dyDescent="0.3">
      <c r="A4122" t="s">
        <v>4146</v>
      </c>
      <c r="B4122" t="s">
        <v>19</v>
      </c>
      <c r="C4122" t="s">
        <v>20</v>
      </c>
      <c r="D4122">
        <v>26</v>
      </c>
      <c r="E4122" t="s">
        <v>26</v>
      </c>
      <c r="F4122" t="s">
        <v>15</v>
      </c>
      <c r="G4122">
        <v>78.95</v>
      </c>
      <c r="H4122">
        <v>2034.25</v>
      </c>
      <c r="I4122" t="s">
        <v>15</v>
      </c>
      <c r="J4122" t="s">
        <v>15</v>
      </c>
      <c r="K4122" t="s">
        <v>24</v>
      </c>
      <c r="L4122">
        <v>2034.25</v>
      </c>
      <c r="M4122" t="s">
        <v>5032</v>
      </c>
      <c r="N4122" t="s">
        <v>5031</v>
      </c>
    </row>
    <row r="4123" spans="1:14" x14ac:dyDescent="0.3">
      <c r="A4123" t="s">
        <v>4147</v>
      </c>
      <c r="B4123" t="s">
        <v>19</v>
      </c>
      <c r="C4123" t="s">
        <v>13</v>
      </c>
      <c r="D4123">
        <v>27</v>
      </c>
      <c r="E4123" t="s">
        <v>26</v>
      </c>
      <c r="F4123" t="s">
        <v>15</v>
      </c>
      <c r="G4123">
        <v>95.55</v>
      </c>
      <c r="H4123">
        <v>2510.1999999999998</v>
      </c>
      <c r="I4123" t="s">
        <v>16</v>
      </c>
      <c r="J4123" t="s">
        <v>16</v>
      </c>
      <c r="K4123" t="s">
        <v>17</v>
      </c>
      <c r="L4123">
        <v>2510.1999999999998</v>
      </c>
      <c r="M4123" t="s">
        <v>5032</v>
      </c>
      <c r="N4123" t="s">
        <v>5034</v>
      </c>
    </row>
    <row r="4124" spans="1:14" x14ac:dyDescent="0.3">
      <c r="A4124" t="s">
        <v>4148</v>
      </c>
      <c r="B4124" t="s">
        <v>19</v>
      </c>
      <c r="C4124" t="s">
        <v>20</v>
      </c>
      <c r="D4124">
        <v>53</v>
      </c>
      <c r="E4124" t="s">
        <v>14</v>
      </c>
      <c r="F4124" t="s">
        <v>16</v>
      </c>
      <c r="G4124">
        <v>62.85</v>
      </c>
      <c r="H4124">
        <v>3419.5</v>
      </c>
      <c r="I4124" t="s">
        <v>15</v>
      </c>
      <c r="J4124" t="s">
        <v>15</v>
      </c>
      <c r="K4124" t="s">
        <v>29</v>
      </c>
      <c r="L4124">
        <v>3419.5</v>
      </c>
      <c r="M4124" t="s">
        <v>5033</v>
      </c>
      <c r="N4124" t="s">
        <v>5034</v>
      </c>
    </row>
    <row r="4125" spans="1:14" x14ac:dyDescent="0.3">
      <c r="A4125" t="s">
        <v>4149</v>
      </c>
      <c r="B4125" t="s">
        <v>19</v>
      </c>
      <c r="C4125" t="s">
        <v>13</v>
      </c>
      <c r="D4125">
        <v>34</v>
      </c>
      <c r="E4125" t="s">
        <v>26</v>
      </c>
      <c r="F4125" t="s">
        <v>15</v>
      </c>
      <c r="G4125">
        <v>71.55</v>
      </c>
      <c r="H4125">
        <v>2427.35</v>
      </c>
      <c r="I4125" t="s">
        <v>15</v>
      </c>
      <c r="J4125" t="s">
        <v>15</v>
      </c>
      <c r="K4125" t="s">
        <v>29</v>
      </c>
      <c r="L4125">
        <v>2427.35</v>
      </c>
      <c r="M4125" t="s">
        <v>5032</v>
      </c>
      <c r="N4125" t="s">
        <v>5031</v>
      </c>
    </row>
    <row r="4126" spans="1:14" x14ac:dyDescent="0.3">
      <c r="A4126" t="s">
        <v>4150</v>
      </c>
      <c r="B4126" t="s">
        <v>12</v>
      </c>
      <c r="C4126" t="s">
        <v>13</v>
      </c>
      <c r="D4126">
        <v>19</v>
      </c>
      <c r="E4126" t="s">
        <v>26</v>
      </c>
      <c r="F4126" t="s">
        <v>15</v>
      </c>
      <c r="G4126">
        <v>94.95</v>
      </c>
      <c r="H4126">
        <v>1760.25</v>
      </c>
      <c r="I4126" t="s">
        <v>15</v>
      </c>
      <c r="J4126" t="s">
        <v>16</v>
      </c>
      <c r="K4126" t="s">
        <v>17</v>
      </c>
      <c r="L4126">
        <v>1760.25</v>
      </c>
      <c r="M4126" t="s">
        <v>5032</v>
      </c>
      <c r="N4126" t="s">
        <v>5031</v>
      </c>
    </row>
    <row r="4127" spans="1:14" x14ac:dyDescent="0.3">
      <c r="A4127" t="s">
        <v>4151</v>
      </c>
      <c r="B4127" t="s">
        <v>19</v>
      </c>
      <c r="C4127" t="s">
        <v>13</v>
      </c>
      <c r="D4127">
        <v>43</v>
      </c>
      <c r="E4127" t="s">
        <v>26</v>
      </c>
      <c r="F4127" t="s">
        <v>15</v>
      </c>
      <c r="G4127">
        <v>86.1</v>
      </c>
      <c r="H4127">
        <v>3551.65</v>
      </c>
      <c r="I4127" t="s">
        <v>15</v>
      </c>
      <c r="J4127" t="s">
        <v>16</v>
      </c>
      <c r="K4127" t="s">
        <v>29</v>
      </c>
      <c r="L4127">
        <v>3551.65</v>
      </c>
      <c r="M4127" t="s">
        <v>5033</v>
      </c>
      <c r="N4127" t="s">
        <v>5034</v>
      </c>
    </row>
    <row r="4128" spans="1:14" x14ac:dyDescent="0.3">
      <c r="A4128" t="s">
        <v>4152</v>
      </c>
      <c r="B4128" t="s">
        <v>19</v>
      </c>
      <c r="C4128" t="s">
        <v>13</v>
      </c>
      <c r="D4128">
        <v>6</v>
      </c>
      <c r="E4128" t="s">
        <v>15</v>
      </c>
      <c r="F4128" t="s">
        <v>36</v>
      </c>
      <c r="G4128">
        <v>19.55</v>
      </c>
      <c r="H4128">
        <v>122.9</v>
      </c>
      <c r="I4128" t="s">
        <v>15</v>
      </c>
      <c r="J4128" t="s">
        <v>15</v>
      </c>
      <c r="K4128" t="s">
        <v>21</v>
      </c>
      <c r="L4128">
        <v>122.9</v>
      </c>
      <c r="M4128" t="s">
        <v>5030</v>
      </c>
      <c r="N4128" t="s">
        <v>5031</v>
      </c>
    </row>
    <row r="4129" spans="1:14" x14ac:dyDescent="0.3">
      <c r="A4129" t="s">
        <v>4153</v>
      </c>
      <c r="B4129" t="s">
        <v>19</v>
      </c>
      <c r="C4129" t="s">
        <v>35</v>
      </c>
      <c r="D4129">
        <v>56</v>
      </c>
      <c r="E4129" t="s">
        <v>15</v>
      </c>
      <c r="F4129" t="s">
        <v>36</v>
      </c>
      <c r="G4129">
        <v>24.8</v>
      </c>
      <c r="H4129">
        <v>1424.2</v>
      </c>
      <c r="I4129" t="s">
        <v>15</v>
      </c>
      <c r="J4129" t="s">
        <v>16</v>
      </c>
      <c r="K4129" t="s">
        <v>21</v>
      </c>
      <c r="L4129">
        <v>1424.2</v>
      </c>
      <c r="M4129" t="s">
        <v>5033</v>
      </c>
      <c r="N4129" t="s">
        <v>5031</v>
      </c>
    </row>
    <row r="4130" spans="1:14" x14ac:dyDescent="0.3">
      <c r="A4130" t="s">
        <v>4154</v>
      </c>
      <c r="B4130" t="s">
        <v>19</v>
      </c>
      <c r="C4130" t="s">
        <v>13</v>
      </c>
      <c r="D4130">
        <v>57</v>
      </c>
      <c r="E4130" t="s">
        <v>14</v>
      </c>
      <c r="F4130" t="s">
        <v>15</v>
      </c>
      <c r="G4130">
        <v>39.299999999999997</v>
      </c>
      <c r="H4130">
        <v>2111.4499999999998</v>
      </c>
      <c r="I4130" t="s">
        <v>16</v>
      </c>
      <c r="J4130" t="s">
        <v>16</v>
      </c>
      <c r="K4130" t="s">
        <v>17</v>
      </c>
      <c r="L4130">
        <v>2111.4499999999998</v>
      </c>
      <c r="M4130" t="s">
        <v>5033</v>
      </c>
      <c r="N4130" t="s">
        <v>5031</v>
      </c>
    </row>
    <row r="4131" spans="1:14" x14ac:dyDescent="0.3">
      <c r="A4131" t="s">
        <v>4155</v>
      </c>
      <c r="B4131" t="s">
        <v>19</v>
      </c>
      <c r="C4131" t="s">
        <v>13</v>
      </c>
      <c r="D4131">
        <v>34</v>
      </c>
      <c r="E4131" t="s">
        <v>26</v>
      </c>
      <c r="F4131" t="s">
        <v>15</v>
      </c>
      <c r="G4131">
        <v>84.05</v>
      </c>
      <c r="H4131">
        <v>2909.95</v>
      </c>
      <c r="I4131" t="s">
        <v>15</v>
      </c>
      <c r="J4131" t="s">
        <v>16</v>
      </c>
      <c r="K4131" t="s">
        <v>21</v>
      </c>
      <c r="L4131">
        <v>2909.95</v>
      </c>
      <c r="M4131" t="s">
        <v>5032</v>
      </c>
      <c r="N4131" t="s">
        <v>5034</v>
      </c>
    </row>
    <row r="4132" spans="1:14" x14ac:dyDescent="0.3">
      <c r="A4132" t="s">
        <v>4156</v>
      </c>
      <c r="B4132" t="s">
        <v>12</v>
      </c>
      <c r="C4132" t="s">
        <v>13</v>
      </c>
      <c r="D4132">
        <v>10</v>
      </c>
      <c r="E4132" t="s">
        <v>14</v>
      </c>
      <c r="F4132" t="s">
        <v>16</v>
      </c>
      <c r="G4132">
        <v>36.25</v>
      </c>
      <c r="H4132">
        <v>374</v>
      </c>
      <c r="I4132" t="s">
        <v>15</v>
      </c>
      <c r="J4132" t="s">
        <v>15</v>
      </c>
      <c r="K4132" t="s">
        <v>17</v>
      </c>
      <c r="L4132">
        <v>374</v>
      </c>
      <c r="M4132" t="s">
        <v>5030</v>
      </c>
      <c r="N4132" t="s">
        <v>5031</v>
      </c>
    </row>
    <row r="4133" spans="1:14" x14ac:dyDescent="0.3">
      <c r="A4133" t="s">
        <v>4157</v>
      </c>
      <c r="B4133" t="s">
        <v>12</v>
      </c>
      <c r="C4133" t="s">
        <v>13</v>
      </c>
      <c r="D4133">
        <v>1</v>
      </c>
      <c r="E4133" t="s">
        <v>15</v>
      </c>
      <c r="F4133" t="s">
        <v>36</v>
      </c>
      <c r="G4133">
        <v>20.25</v>
      </c>
      <c r="H4133">
        <v>20.25</v>
      </c>
      <c r="I4133" t="s">
        <v>16</v>
      </c>
      <c r="J4133" t="s">
        <v>16</v>
      </c>
      <c r="K4133" t="s">
        <v>21</v>
      </c>
      <c r="L4133">
        <v>20.25</v>
      </c>
      <c r="M4133" t="s">
        <v>5030</v>
      </c>
      <c r="N4133" t="s">
        <v>5031</v>
      </c>
    </row>
    <row r="4134" spans="1:14" x14ac:dyDescent="0.3">
      <c r="A4134" t="s">
        <v>4158</v>
      </c>
      <c r="B4134" t="s">
        <v>12</v>
      </c>
      <c r="C4134" t="s">
        <v>13</v>
      </c>
      <c r="D4134">
        <v>13</v>
      </c>
      <c r="E4134" t="s">
        <v>14</v>
      </c>
      <c r="F4134" t="s">
        <v>15</v>
      </c>
      <c r="G4134">
        <v>23.9</v>
      </c>
      <c r="H4134">
        <v>300.8</v>
      </c>
      <c r="I4134" t="s">
        <v>16</v>
      </c>
      <c r="J4134" t="s">
        <v>16</v>
      </c>
      <c r="K4134" t="s">
        <v>17</v>
      </c>
      <c r="L4134">
        <v>300.8</v>
      </c>
      <c r="M4134" t="s">
        <v>5032</v>
      </c>
      <c r="N4134" t="s">
        <v>5031</v>
      </c>
    </row>
    <row r="4135" spans="1:14" x14ac:dyDescent="0.3">
      <c r="A4135" t="s">
        <v>4159</v>
      </c>
      <c r="B4135" t="s">
        <v>19</v>
      </c>
      <c r="C4135" t="s">
        <v>13</v>
      </c>
      <c r="D4135">
        <v>56</v>
      </c>
      <c r="E4135" t="s">
        <v>26</v>
      </c>
      <c r="F4135" t="s">
        <v>15</v>
      </c>
      <c r="G4135">
        <v>98.6</v>
      </c>
      <c r="H4135">
        <v>5581.05</v>
      </c>
      <c r="I4135" t="s">
        <v>15</v>
      </c>
      <c r="J4135" t="s">
        <v>15</v>
      </c>
      <c r="K4135" t="s">
        <v>17</v>
      </c>
      <c r="L4135">
        <v>5581.05</v>
      </c>
      <c r="M4135" t="s">
        <v>5033</v>
      </c>
      <c r="N4135" t="s">
        <v>5034</v>
      </c>
    </row>
    <row r="4136" spans="1:14" x14ac:dyDescent="0.3">
      <c r="A4136" t="s">
        <v>4160</v>
      </c>
      <c r="B4136" t="s">
        <v>12</v>
      </c>
      <c r="C4136" t="s">
        <v>13</v>
      </c>
      <c r="D4136">
        <v>55</v>
      </c>
      <c r="E4136" t="s">
        <v>26</v>
      </c>
      <c r="F4136" t="s">
        <v>15</v>
      </c>
      <c r="G4136">
        <v>103.65</v>
      </c>
      <c r="H4136">
        <v>5676.65</v>
      </c>
      <c r="I4136" t="s">
        <v>15</v>
      </c>
      <c r="J4136" t="s">
        <v>16</v>
      </c>
      <c r="K4136" t="s">
        <v>29</v>
      </c>
      <c r="L4136">
        <v>5676.65</v>
      </c>
      <c r="M4136" t="s">
        <v>5033</v>
      </c>
      <c r="N4136" t="s">
        <v>5034</v>
      </c>
    </row>
    <row r="4137" spans="1:14" x14ac:dyDescent="0.3">
      <c r="A4137" t="s">
        <v>4161</v>
      </c>
      <c r="B4137" t="s">
        <v>12</v>
      </c>
      <c r="C4137" t="s">
        <v>35</v>
      </c>
      <c r="D4137">
        <v>36</v>
      </c>
      <c r="E4137" t="s">
        <v>14</v>
      </c>
      <c r="F4137" t="s">
        <v>16</v>
      </c>
      <c r="G4137">
        <v>92.9</v>
      </c>
      <c r="H4137">
        <v>3379.25</v>
      </c>
      <c r="I4137" t="s">
        <v>15</v>
      </c>
      <c r="J4137" t="s">
        <v>16</v>
      </c>
      <c r="K4137" t="s">
        <v>29</v>
      </c>
      <c r="L4137">
        <v>3379.25</v>
      </c>
      <c r="M4137" t="s">
        <v>5032</v>
      </c>
      <c r="N4137" t="s">
        <v>5034</v>
      </c>
    </row>
    <row r="4138" spans="1:14" x14ac:dyDescent="0.3">
      <c r="A4138" t="s">
        <v>4162</v>
      </c>
      <c r="B4138" t="s">
        <v>19</v>
      </c>
      <c r="C4138" t="s">
        <v>20</v>
      </c>
      <c r="D4138">
        <v>47</v>
      </c>
      <c r="E4138" t="s">
        <v>15</v>
      </c>
      <c r="F4138" t="s">
        <v>36</v>
      </c>
      <c r="G4138">
        <v>19.899999999999999</v>
      </c>
      <c r="H4138">
        <v>942.95</v>
      </c>
      <c r="I4138" t="s">
        <v>15</v>
      </c>
      <c r="J4138" t="s">
        <v>15</v>
      </c>
      <c r="K4138" t="s">
        <v>24</v>
      </c>
      <c r="L4138">
        <v>942.95</v>
      </c>
      <c r="M4138" t="s">
        <v>5033</v>
      </c>
      <c r="N4138" t="s">
        <v>5031</v>
      </c>
    </row>
    <row r="4139" spans="1:14" x14ac:dyDescent="0.3">
      <c r="A4139" t="s">
        <v>4163</v>
      </c>
      <c r="B4139" t="s">
        <v>12</v>
      </c>
      <c r="C4139" t="s">
        <v>13</v>
      </c>
      <c r="D4139">
        <v>12</v>
      </c>
      <c r="E4139" t="s">
        <v>15</v>
      </c>
      <c r="F4139" t="s">
        <v>36</v>
      </c>
      <c r="G4139">
        <v>20.100000000000001</v>
      </c>
      <c r="H4139">
        <v>232.4</v>
      </c>
      <c r="I4139" t="s">
        <v>15</v>
      </c>
      <c r="J4139" t="s">
        <v>16</v>
      </c>
      <c r="K4139" t="s">
        <v>29</v>
      </c>
      <c r="L4139">
        <v>232.4</v>
      </c>
      <c r="M4139" t="s">
        <v>5030</v>
      </c>
      <c r="N4139" t="s">
        <v>5031</v>
      </c>
    </row>
    <row r="4140" spans="1:14" x14ac:dyDescent="0.3">
      <c r="A4140" t="s">
        <v>4164</v>
      </c>
      <c r="B4140" t="s">
        <v>12</v>
      </c>
      <c r="C4140" t="s">
        <v>13</v>
      </c>
      <c r="D4140">
        <v>1</v>
      </c>
      <c r="E4140" t="s">
        <v>26</v>
      </c>
      <c r="F4140" t="s">
        <v>15</v>
      </c>
      <c r="G4140">
        <v>85.45</v>
      </c>
      <c r="H4140">
        <v>85.45</v>
      </c>
      <c r="I4140" t="s">
        <v>16</v>
      </c>
      <c r="J4140" t="s">
        <v>16</v>
      </c>
      <c r="K4140" t="s">
        <v>17</v>
      </c>
      <c r="L4140">
        <v>85.45</v>
      </c>
      <c r="M4140" t="s">
        <v>5030</v>
      </c>
      <c r="N4140" t="s">
        <v>5031</v>
      </c>
    </row>
    <row r="4141" spans="1:14" x14ac:dyDescent="0.3">
      <c r="A4141" t="s">
        <v>4165</v>
      </c>
      <c r="B4141" t="s">
        <v>19</v>
      </c>
      <c r="C4141" t="s">
        <v>13</v>
      </c>
      <c r="D4141">
        <v>24</v>
      </c>
      <c r="E4141" t="s">
        <v>26</v>
      </c>
      <c r="F4141" t="s">
        <v>15</v>
      </c>
      <c r="G4141">
        <v>80.5</v>
      </c>
      <c r="H4141">
        <v>2088.4499999999998</v>
      </c>
      <c r="I4141" t="s">
        <v>15</v>
      </c>
      <c r="J4141" t="s">
        <v>16</v>
      </c>
      <c r="K4141" t="s">
        <v>17</v>
      </c>
      <c r="L4141">
        <v>2088.4499999999998</v>
      </c>
      <c r="M4141" t="s">
        <v>5032</v>
      </c>
      <c r="N4141" t="s">
        <v>5031</v>
      </c>
    </row>
    <row r="4142" spans="1:14" x14ac:dyDescent="0.3">
      <c r="A4142" t="s">
        <v>4166</v>
      </c>
      <c r="B4142" t="s">
        <v>12</v>
      </c>
      <c r="C4142" t="s">
        <v>20</v>
      </c>
      <c r="D4142">
        <v>63</v>
      </c>
      <c r="E4142" t="s">
        <v>26</v>
      </c>
      <c r="F4142" t="s">
        <v>15</v>
      </c>
      <c r="G4142">
        <v>99.9</v>
      </c>
      <c r="H4142">
        <v>6137</v>
      </c>
      <c r="I4142" t="s">
        <v>16</v>
      </c>
      <c r="J4142" t="s">
        <v>15</v>
      </c>
      <c r="K4142" t="s">
        <v>24</v>
      </c>
      <c r="L4142">
        <v>6137</v>
      </c>
      <c r="M4142" t="s">
        <v>5033</v>
      </c>
      <c r="N4142" t="s">
        <v>5034</v>
      </c>
    </row>
    <row r="4143" spans="1:14" x14ac:dyDescent="0.3">
      <c r="A4143" t="s">
        <v>4167</v>
      </c>
      <c r="B4143" t="s">
        <v>12</v>
      </c>
      <c r="C4143" t="s">
        <v>13</v>
      </c>
      <c r="D4143">
        <v>35</v>
      </c>
      <c r="E4143" t="s">
        <v>14</v>
      </c>
      <c r="F4143" t="s">
        <v>15</v>
      </c>
      <c r="G4143">
        <v>39.85</v>
      </c>
      <c r="H4143">
        <v>1434.6</v>
      </c>
      <c r="I4143" t="s">
        <v>15</v>
      </c>
      <c r="J4143" t="s">
        <v>16</v>
      </c>
      <c r="K4143" t="s">
        <v>17</v>
      </c>
      <c r="L4143">
        <v>1434.6</v>
      </c>
      <c r="M4143" t="s">
        <v>5032</v>
      </c>
      <c r="N4143" t="s">
        <v>5031</v>
      </c>
    </row>
    <row r="4144" spans="1:14" x14ac:dyDescent="0.3">
      <c r="A4144" t="s">
        <v>4168</v>
      </c>
      <c r="B4144" t="s">
        <v>12</v>
      </c>
      <c r="C4144" t="s">
        <v>20</v>
      </c>
      <c r="D4144">
        <v>67</v>
      </c>
      <c r="E4144" t="s">
        <v>14</v>
      </c>
      <c r="F4144" t="s">
        <v>16</v>
      </c>
      <c r="G4144">
        <v>60.5</v>
      </c>
      <c r="H4144">
        <v>3870</v>
      </c>
      <c r="I4144" t="s">
        <v>15</v>
      </c>
      <c r="J4144" t="s">
        <v>15</v>
      </c>
      <c r="K4144" t="s">
        <v>29</v>
      </c>
      <c r="L4144">
        <v>3870</v>
      </c>
      <c r="M4144" t="s">
        <v>5033</v>
      </c>
      <c r="N4144" t="s">
        <v>5034</v>
      </c>
    </row>
    <row r="4145" spans="1:14" x14ac:dyDescent="0.3">
      <c r="A4145" t="s">
        <v>4169</v>
      </c>
      <c r="B4145" t="s">
        <v>19</v>
      </c>
      <c r="C4145" t="s">
        <v>13</v>
      </c>
      <c r="D4145">
        <v>25</v>
      </c>
      <c r="E4145" t="s">
        <v>26</v>
      </c>
      <c r="F4145" t="s">
        <v>15</v>
      </c>
      <c r="G4145">
        <v>84.8</v>
      </c>
      <c r="H4145">
        <v>2043.45</v>
      </c>
      <c r="I4145" t="s">
        <v>16</v>
      </c>
      <c r="J4145" t="s">
        <v>16</v>
      </c>
      <c r="K4145" t="s">
        <v>17</v>
      </c>
      <c r="L4145">
        <v>2043.45</v>
      </c>
      <c r="M4145" t="s">
        <v>5032</v>
      </c>
      <c r="N4145" t="s">
        <v>5031</v>
      </c>
    </row>
    <row r="4146" spans="1:14" x14ac:dyDescent="0.3">
      <c r="A4146" t="s">
        <v>4170</v>
      </c>
      <c r="B4146" t="s">
        <v>19</v>
      </c>
      <c r="C4146" t="s">
        <v>13</v>
      </c>
      <c r="D4146">
        <v>21</v>
      </c>
      <c r="E4146" t="s">
        <v>26</v>
      </c>
      <c r="F4146" t="s">
        <v>15</v>
      </c>
      <c r="G4146">
        <v>103.85</v>
      </c>
      <c r="H4146">
        <v>2215</v>
      </c>
      <c r="I4146" t="s">
        <v>15</v>
      </c>
      <c r="J4146" t="s">
        <v>15</v>
      </c>
      <c r="K4146" t="s">
        <v>21</v>
      </c>
      <c r="L4146">
        <v>2215</v>
      </c>
      <c r="M4146" t="s">
        <v>5032</v>
      </c>
      <c r="N4146" t="s">
        <v>5031</v>
      </c>
    </row>
    <row r="4147" spans="1:14" x14ac:dyDescent="0.3">
      <c r="A4147" t="s">
        <v>4171</v>
      </c>
      <c r="B4147" t="s">
        <v>12</v>
      </c>
      <c r="C4147" t="s">
        <v>13</v>
      </c>
      <c r="D4147">
        <v>13</v>
      </c>
      <c r="E4147" t="s">
        <v>14</v>
      </c>
      <c r="F4147" t="s">
        <v>16</v>
      </c>
      <c r="G4147">
        <v>67.8</v>
      </c>
      <c r="H4147">
        <v>842.25</v>
      </c>
      <c r="I4147" t="s">
        <v>15</v>
      </c>
      <c r="J4147" t="s">
        <v>15</v>
      </c>
      <c r="K4147" t="s">
        <v>24</v>
      </c>
      <c r="L4147">
        <v>842.25</v>
      </c>
      <c r="M4147" t="s">
        <v>5032</v>
      </c>
      <c r="N4147" t="s">
        <v>5031</v>
      </c>
    </row>
    <row r="4148" spans="1:14" x14ac:dyDescent="0.3">
      <c r="A4148" t="s">
        <v>4172</v>
      </c>
      <c r="B4148" t="s">
        <v>19</v>
      </c>
      <c r="C4148" t="s">
        <v>13</v>
      </c>
      <c r="D4148">
        <v>35</v>
      </c>
      <c r="E4148" t="s">
        <v>26</v>
      </c>
      <c r="F4148" t="s">
        <v>15</v>
      </c>
      <c r="G4148">
        <v>75.2</v>
      </c>
      <c r="H4148">
        <v>2576.1999999999998</v>
      </c>
      <c r="I4148" t="s">
        <v>16</v>
      </c>
      <c r="J4148" t="s">
        <v>16</v>
      </c>
      <c r="K4148" t="s">
        <v>17</v>
      </c>
      <c r="L4148">
        <v>2576.1999999999998</v>
      </c>
      <c r="M4148" t="s">
        <v>5032</v>
      </c>
      <c r="N4148" t="s">
        <v>5034</v>
      </c>
    </row>
    <row r="4149" spans="1:14" x14ac:dyDescent="0.3">
      <c r="A4149" t="s">
        <v>4173</v>
      </c>
      <c r="B4149" t="s">
        <v>19</v>
      </c>
      <c r="C4149" t="s">
        <v>35</v>
      </c>
      <c r="D4149">
        <v>71</v>
      </c>
      <c r="E4149" t="s">
        <v>15</v>
      </c>
      <c r="F4149" t="s">
        <v>36</v>
      </c>
      <c r="G4149">
        <v>24.85</v>
      </c>
      <c r="H4149">
        <v>1901</v>
      </c>
      <c r="I4149" t="s">
        <v>15</v>
      </c>
      <c r="J4149" t="s">
        <v>15</v>
      </c>
      <c r="K4149" t="s">
        <v>24</v>
      </c>
      <c r="L4149">
        <v>1901</v>
      </c>
      <c r="M4149" t="s">
        <v>5033</v>
      </c>
      <c r="N4149" t="s">
        <v>5031</v>
      </c>
    </row>
    <row r="4150" spans="1:14" x14ac:dyDescent="0.3">
      <c r="A4150" t="s">
        <v>4174</v>
      </c>
      <c r="B4150" t="s">
        <v>12</v>
      </c>
      <c r="C4150" t="s">
        <v>13</v>
      </c>
      <c r="D4150">
        <v>29</v>
      </c>
      <c r="E4150" t="s">
        <v>15</v>
      </c>
      <c r="F4150" t="s">
        <v>36</v>
      </c>
      <c r="G4150">
        <v>19.350000000000001</v>
      </c>
      <c r="H4150">
        <v>601.6</v>
      </c>
      <c r="I4150" t="s">
        <v>15</v>
      </c>
      <c r="J4150" t="s">
        <v>15</v>
      </c>
      <c r="K4150" t="s">
        <v>29</v>
      </c>
      <c r="L4150">
        <v>601.6</v>
      </c>
      <c r="M4150" t="s">
        <v>5032</v>
      </c>
      <c r="N4150" t="s">
        <v>5031</v>
      </c>
    </row>
    <row r="4151" spans="1:14" x14ac:dyDescent="0.3">
      <c r="A4151" t="s">
        <v>4175</v>
      </c>
      <c r="B4151" t="s">
        <v>19</v>
      </c>
      <c r="C4151" t="s">
        <v>35</v>
      </c>
      <c r="D4151">
        <v>71</v>
      </c>
      <c r="E4151" t="s">
        <v>14</v>
      </c>
      <c r="F4151" t="s">
        <v>15</v>
      </c>
      <c r="G4151">
        <v>49.35</v>
      </c>
      <c r="H4151">
        <v>3515.25</v>
      </c>
      <c r="I4151" t="s">
        <v>16</v>
      </c>
      <c r="J4151" t="s">
        <v>15</v>
      </c>
      <c r="K4151" t="s">
        <v>17</v>
      </c>
      <c r="L4151">
        <v>3515.25</v>
      </c>
      <c r="M4151" t="s">
        <v>5033</v>
      </c>
      <c r="N4151" t="s">
        <v>5034</v>
      </c>
    </row>
    <row r="4152" spans="1:14" x14ac:dyDescent="0.3">
      <c r="A4152" t="s">
        <v>4176</v>
      </c>
      <c r="B4152" t="s">
        <v>19</v>
      </c>
      <c r="C4152" t="s">
        <v>13</v>
      </c>
      <c r="D4152">
        <v>7</v>
      </c>
      <c r="E4152" t="s">
        <v>26</v>
      </c>
      <c r="F4152" t="s">
        <v>15</v>
      </c>
      <c r="G4152">
        <v>89</v>
      </c>
      <c r="H4152">
        <v>605.45000000000005</v>
      </c>
      <c r="I4152" t="s">
        <v>15</v>
      </c>
      <c r="J4152" t="s">
        <v>16</v>
      </c>
      <c r="K4152" t="s">
        <v>17</v>
      </c>
      <c r="L4152">
        <v>605.45000000000005</v>
      </c>
      <c r="M4152" t="s">
        <v>5030</v>
      </c>
      <c r="N4152" t="s">
        <v>5031</v>
      </c>
    </row>
    <row r="4153" spans="1:14" x14ac:dyDescent="0.3">
      <c r="A4153" t="s">
        <v>4177</v>
      </c>
      <c r="B4153" t="s">
        <v>12</v>
      </c>
      <c r="C4153" t="s">
        <v>13</v>
      </c>
      <c r="D4153">
        <v>57</v>
      </c>
      <c r="E4153" t="s">
        <v>14</v>
      </c>
      <c r="F4153" t="s">
        <v>15</v>
      </c>
      <c r="G4153">
        <v>55</v>
      </c>
      <c r="H4153">
        <v>3094.05</v>
      </c>
      <c r="I4153" t="s">
        <v>15</v>
      </c>
      <c r="J4153" t="s">
        <v>16</v>
      </c>
      <c r="K4153" t="s">
        <v>17</v>
      </c>
      <c r="L4153">
        <v>3094.05</v>
      </c>
      <c r="M4153" t="s">
        <v>5033</v>
      </c>
      <c r="N4153" t="s">
        <v>5034</v>
      </c>
    </row>
    <row r="4154" spans="1:14" x14ac:dyDescent="0.3">
      <c r="A4154" t="s">
        <v>4178</v>
      </c>
      <c r="B4154" t="s">
        <v>19</v>
      </c>
      <c r="C4154" t="s">
        <v>35</v>
      </c>
      <c r="D4154">
        <v>65</v>
      </c>
      <c r="E4154" t="s">
        <v>14</v>
      </c>
      <c r="F4154" t="s">
        <v>16</v>
      </c>
      <c r="G4154">
        <v>76.150000000000006</v>
      </c>
      <c r="H4154">
        <v>4929.55</v>
      </c>
      <c r="I4154" t="s">
        <v>15</v>
      </c>
      <c r="J4154" t="s">
        <v>15</v>
      </c>
      <c r="K4154" t="s">
        <v>24</v>
      </c>
      <c r="L4154">
        <v>4929.55</v>
      </c>
      <c r="M4154" t="s">
        <v>5033</v>
      </c>
      <c r="N4154" t="s">
        <v>5034</v>
      </c>
    </row>
    <row r="4155" spans="1:14" x14ac:dyDescent="0.3">
      <c r="A4155" t="s">
        <v>4179</v>
      </c>
      <c r="B4155" t="s">
        <v>19</v>
      </c>
      <c r="C4155" t="s">
        <v>20</v>
      </c>
      <c r="D4155">
        <v>27</v>
      </c>
      <c r="E4155" t="s">
        <v>15</v>
      </c>
      <c r="F4155" t="s">
        <v>36</v>
      </c>
      <c r="G4155">
        <v>20.3</v>
      </c>
      <c r="H4155">
        <v>595.04999999999995</v>
      </c>
      <c r="I4155" t="s">
        <v>15</v>
      </c>
      <c r="J4155" t="s">
        <v>15</v>
      </c>
      <c r="K4155" t="s">
        <v>21</v>
      </c>
      <c r="L4155">
        <v>595.04999999999995</v>
      </c>
      <c r="M4155" t="s">
        <v>5032</v>
      </c>
      <c r="N4155" t="s">
        <v>5031</v>
      </c>
    </row>
    <row r="4156" spans="1:14" x14ac:dyDescent="0.3">
      <c r="A4156" t="s">
        <v>4180</v>
      </c>
      <c r="B4156" t="s">
        <v>19</v>
      </c>
      <c r="C4156" t="s">
        <v>13</v>
      </c>
      <c r="D4156">
        <v>6</v>
      </c>
      <c r="E4156" t="s">
        <v>26</v>
      </c>
      <c r="F4156" t="s">
        <v>15</v>
      </c>
      <c r="G4156">
        <v>74.900000000000006</v>
      </c>
      <c r="H4156">
        <v>469.8</v>
      </c>
      <c r="I4156" t="s">
        <v>16</v>
      </c>
      <c r="J4156" t="s">
        <v>16</v>
      </c>
      <c r="K4156" t="s">
        <v>17</v>
      </c>
      <c r="L4156">
        <v>469.8</v>
      </c>
      <c r="M4156" t="s">
        <v>5030</v>
      </c>
      <c r="N4156" t="s">
        <v>5031</v>
      </c>
    </row>
    <row r="4157" spans="1:14" x14ac:dyDescent="0.3">
      <c r="A4157" t="s">
        <v>4181</v>
      </c>
      <c r="B4157" t="s">
        <v>12</v>
      </c>
      <c r="C4157" t="s">
        <v>35</v>
      </c>
      <c r="D4157">
        <v>72</v>
      </c>
      <c r="E4157" t="s">
        <v>26</v>
      </c>
      <c r="F4157" t="s">
        <v>16</v>
      </c>
      <c r="G4157">
        <v>117.35</v>
      </c>
      <c r="H4157">
        <v>8436.25</v>
      </c>
      <c r="I4157" t="s">
        <v>15</v>
      </c>
      <c r="J4157" t="s">
        <v>16</v>
      </c>
      <c r="K4157" t="s">
        <v>29</v>
      </c>
      <c r="L4157">
        <v>8436.25</v>
      </c>
      <c r="M4157" t="s">
        <v>5033</v>
      </c>
      <c r="N4157" t="s">
        <v>5034</v>
      </c>
    </row>
    <row r="4158" spans="1:14" x14ac:dyDescent="0.3">
      <c r="A4158" t="s">
        <v>4182</v>
      </c>
      <c r="B4158" t="s">
        <v>19</v>
      </c>
      <c r="C4158" t="s">
        <v>13</v>
      </c>
      <c r="D4158">
        <v>1</v>
      </c>
      <c r="E4158" t="s">
        <v>15</v>
      </c>
      <c r="F4158" t="s">
        <v>36</v>
      </c>
      <c r="G4158">
        <v>19.75</v>
      </c>
      <c r="H4158">
        <v>19.75</v>
      </c>
      <c r="I4158" t="s">
        <v>15</v>
      </c>
      <c r="J4158" t="s">
        <v>16</v>
      </c>
      <c r="K4158" t="s">
        <v>21</v>
      </c>
      <c r="L4158">
        <v>19.75</v>
      </c>
      <c r="M4158" t="s">
        <v>5030</v>
      </c>
      <c r="N4158" t="s">
        <v>5031</v>
      </c>
    </row>
    <row r="4159" spans="1:14" x14ac:dyDescent="0.3">
      <c r="A4159" t="s">
        <v>4183</v>
      </c>
      <c r="B4159" t="s">
        <v>19</v>
      </c>
      <c r="C4159" t="s">
        <v>13</v>
      </c>
      <c r="D4159">
        <v>11</v>
      </c>
      <c r="E4159" t="s">
        <v>14</v>
      </c>
      <c r="F4159" t="s">
        <v>15</v>
      </c>
      <c r="G4159">
        <v>45.2</v>
      </c>
      <c r="H4159">
        <v>492</v>
      </c>
      <c r="I4159" t="s">
        <v>15</v>
      </c>
      <c r="J4159" t="s">
        <v>15</v>
      </c>
      <c r="K4159" t="s">
        <v>29</v>
      </c>
      <c r="L4159">
        <v>492</v>
      </c>
      <c r="M4159" t="s">
        <v>5030</v>
      </c>
      <c r="N4159" t="s">
        <v>5031</v>
      </c>
    </row>
    <row r="4160" spans="1:14" x14ac:dyDescent="0.3">
      <c r="A4160" t="s">
        <v>4184</v>
      </c>
      <c r="B4160" t="s">
        <v>19</v>
      </c>
      <c r="C4160" t="s">
        <v>35</v>
      </c>
      <c r="D4160">
        <v>39</v>
      </c>
      <c r="E4160" t="s">
        <v>15</v>
      </c>
      <c r="F4160" t="s">
        <v>36</v>
      </c>
      <c r="G4160">
        <v>25.2</v>
      </c>
      <c r="H4160">
        <v>987.95</v>
      </c>
      <c r="I4160" t="s">
        <v>15</v>
      </c>
      <c r="J4160" t="s">
        <v>15</v>
      </c>
      <c r="K4160" t="s">
        <v>21</v>
      </c>
      <c r="L4160">
        <v>987.95</v>
      </c>
      <c r="M4160" t="s">
        <v>5033</v>
      </c>
      <c r="N4160" t="s">
        <v>5031</v>
      </c>
    </row>
    <row r="4161" spans="1:14" x14ac:dyDescent="0.3">
      <c r="A4161" t="s">
        <v>4185</v>
      </c>
      <c r="B4161" t="s">
        <v>12</v>
      </c>
      <c r="C4161" t="s">
        <v>13</v>
      </c>
      <c r="D4161">
        <v>59</v>
      </c>
      <c r="E4161" t="s">
        <v>26</v>
      </c>
      <c r="F4161" t="s">
        <v>15</v>
      </c>
      <c r="G4161">
        <v>89.75</v>
      </c>
      <c r="H4161">
        <v>5496.9</v>
      </c>
      <c r="I4161" t="s">
        <v>15</v>
      </c>
      <c r="J4161" t="s">
        <v>16</v>
      </c>
      <c r="K4161" t="s">
        <v>17</v>
      </c>
      <c r="L4161">
        <v>5496.9</v>
      </c>
      <c r="M4161" t="s">
        <v>5033</v>
      </c>
      <c r="N4161" t="s">
        <v>5034</v>
      </c>
    </row>
    <row r="4162" spans="1:14" x14ac:dyDescent="0.3">
      <c r="A4162" t="s">
        <v>4186</v>
      </c>
      <c r="B4162" t="s">
        <v>19</v>
      </c>
      <c r="C4162" t="s">
        <v>20</v>
      </c>
      <c r="D4162">
        <v>26</v>
      </c>
      <c r="E4162" t="s">
        <v>14</v>
      </c>
      <c r="F4162" t="s">
        <v>16</v>
      </c>
      <c r="G4162">
        <v>75</v>
      </c>
      <c r="H4162">
        <v>1908.35</v>
      </c>
      <c r="I4162" t="s">
        <v>15</v>
      </c>
      <c r="J4162" t="s">
        <v>15</v>
      </c>
      <c r="K4162" t="s">
        <v>24</v>
      </c>
      <c r="L4162">
        <v>1908.35</v>
      </c>
      <c r="M4162" t="s">
        <v>5032</v>
      </c>
      <c r="N4162" t="s">
        <v>5031</v>
      </c>
    </row>
    <row r="4163" spans="1:14" x14ac:dyDescent="0.3">
      <c r="A4163" t="s">
        <v>4187</v>
      </c>
      <c r="B4163" t="s">
        <v>19</v>
      </c>
      <c r="C4163" t="s">
        <v>13</v>
      </c>
      <c r="D4163">
        <v>2</v>
      </c>
      <c r="E4163" t="s">
        <v>14</v>
      </c>
      <c r="F4163" t="s">
        <v>15</v>
      </c>
      <c r="G4163">
        <v>49.95</v>
      </c>
      <c r="H4163">
        <v>107.1</v>
      </c>
      <c r="I4163" t="s">
        <v>15</v>
      </c>
      <c r="J4163" t="s">
        <v>15</v>
      </c>
      <c r="K4163" t="s">
        <v>21</v>
      </c>
      <c r="L4163">
        <v>107.1</v>
      </c>
      <c r="M4163" t="s">
        <v>5030</v>
      </c>
      <c r="N4163" t="s">
        <v>5031</v>
      </c>
    </row>
    <row r="4164" spans="1:14" x14ac:dyDescent="0.3">
      <c r="A4164" t="s">
        <v>4188</v>
      </c>
      <c r="B4164" t="s">
        <v>12</v>
      </c>
      <c r="C4164" t="s">
        <v>35</v>
      </c>
      <c r="D4164">
        <v>72</v>
      </c>
      <c r="E4164" t="s">
        <v>14</v>
      </c>
      <c r="F4164" t="s">
        <v>16</v>
      </c>
      <c r="G4164">
        <v>65.7</v>
      </c>
      <c r="H4164">
        <v>4575.3500000000004</v>
      </c>
      <c r="I4164" t="s">
        <v>15</v>
      </c>
      <c r="J4164" t="s">
        <v>15</v>
      </c>
      <c r="K4164" t="s">
        <v>24</v>
      </c>
      <c r="L4164">
        <v>4575.3500000000004</v>
      </c>
      <c r="M4164" t="s">
        <v>5033</v>
      </c>
      <c r="N4164" t="s">
        <v>5034</v>
      </c>
    </row>
    <row r="4165" spans="1:14" x14ac:dyDescent="0.3">
      <c r="A4165" t="s">
        <v>4189</v>
      </c>
      <c r="B4165" t="s">
        <v>19</v>
      </c>
      <c r="C4165" t="s">
        <v>20</v>
      </c>
      <c r="D4165">
        <v>65</v>
      </c>
      <c r="E4165" t="s">
        <v>14</v>
      </c>
      <c r="F4165" t="s">
        <v>15</v>
      </c>
      <c r="G4165">
        <v>67.05</v>
      </c>
      <c r="H4165">
        <v>4309.55</v>
      </c>
      <c r="I4165" t="s">
        <v>15</v>
      </c>
      <c r="J4165" t="s">
        <v>15</v>
      </c>
      <c r="K4165" t="s">
        <v>29</v>
      </c>
      <c r="L4165">
        <v>4309.55</v>
      </c>
      <c r="M4165" t="s">
        <v>5033</v>
      </c>
      <c r="N4165" t="s">
        <v>5034</v>
      </c>
    </row>
    <row r="4166" spans="1:14" x14ac:dyDescent="0.3">
      <c r="A4166" t="s">
        <v>4190</v>
      </c>
      <c r="B4166" t="s">
        <v>19</v>
      </c>
      <c r="C4166" t="s">
        <v>35</v>
      </c>
      <c r="D4166">
        <v>72</v>
      </c>
      <c r="E4166" t="s">
        <v>26</v>
      </c>
      <c r="F4166" t="s">
        <v>16</v>
      </c>
      <c r="G4166">
        <v>110.9</v>
      </c>
      <c r="H4166">
        <v>7922.75</v>
      </c>
      <c r="I4166" t="s">
        <v>15</v>
      </c>
      <c r="J4166" t="s">
        <v>15</v>
      </c>
      <c r="K4166" t="s">
        <v>29</v>
      </c>
      <c r="L4166">
        <v>7922.75</v>
      </c>
      <c r="M4166" t="s">
        <v>5033</v>
      </c>
      <c r="N4166" t="s">
        <v>5034</v>
      </c>
    </row>
    <row r="4167" spans="1:14" x14ac:dyDescent="0.3">
      <c r="A4167" t="s">
        <v>4191</v>
      </c>
      <c r="B4167" t="s">
        <v>19</v>
      </c>
      <c r="C4167" t="s">
        <v>13</v>
      </c>
      <c r="D4167">
        <v>6</v>
      </c>
      <c r="E4167" t="s">
        <v>26</v>
      </c>
      <c r="F4167" t="s">
        <v>16</v>
      </c>
      <c r="G4167">
        <v>87.95</v>
      </c>
      <c r="H4167">
        <v>522.35</v>
      </c>
      <c r="I4167" t="s">
        <v>15</v>
      </c>
      <c r="J4167" t="s">
        <v>16</v>
      </c>
      <c r="K4167" t="s">
        <v>24</v>
      </c>
      <c r="L4167">
        <v>522.35</v>
      </c>
      <c r="M4167" t="s">
        <v>5030</v>
      </c>
      <c r="N4167" t="s">
        <v>5031</v>
      </c>
    </row>
    <row r="4168" spans="1:14" x14ac:dyDescent="0.3">
      <c r="A4168" t="s">
        <v>4192</v>
      </c>
      <c r="B4168" t="s">
        <v>19</v>
      </c>
      <c r="C4168" t="s">
        <v>20</v>
      </c>
      <c r="D4168">
        <v>32</v>
      </c>
      <c r="E4168" t="s">
        <v>15</v>
      </c>
      <c r="F4168" t="s">
        <v>36</v>
      </c>
      <c r="G4168">
        <v>19.8</v>
      </c>
      <c r="H4168">
        <v>587.70000000000005</v>
      </c>
      <c r="I4168" t="s">
        <v>15</v>
      </c>
      <c r="J4168" t="s">
        <v>15</v>
      </c>
      <c r="K4168" t="s">
        <v>29</v>
      </c>
      <c r="L4168">
        <v>587.70000000000005</v>
      </c>
      <c r="M4168" t="s">
        <v>5032</v>
      </c>
      <c r="N4168" t="s">
        <v>5031</v>
      </c>
    </row>
    <row r="4169" spans="1:14" x14ac:dyDescent="0.3">
      <c r="A4169" t="s">
        <v>4193</v>
      </c>
      <c r="B4169" t="s">
        <v>12</v>
      </c>
      <c r="C4169" t="s">
        <v>20</v>
      </c>
      <c r="D4169">
        <v>50</v>
      </c>
      <c r="E4169" t="s">
        <v>14</v>
      </c>
      <c r="F4169" t="s">
        <v>15</v>
      </c>
      <c r="G4169">
        <v>75.7</v>
      </c>
      <c r="H4169">
        <v>3876.2</v>
      </c>
      <c r="I4169" t="s">
        <v>15</v>
      </c>
      <c r="J4169" t="s">
        <v>15</v>
      </c>
      <c r="K4169" t="s">
        <v>24</v>
      </c>
      <c r="L4169">
        <v>3876.2</v>
      </c>
      <c r="M4169" t="s">
        <v>5033</v>
      </c>
      <c r="N4169" t="s">
        <v>5034</v>
      </c>
    </row>
    <row r="4170" spans="1:14" x14ac:dyDescent="0.3">
      <c r="A4170" t="s">
        <v>4194</v>
      </c>
      <c r="B4170" t="s">
        <v>19</v>
      </c>
      <c r="C4170" t="s">
        <v>35</v>
      </c>
      <c r="D4170">
        <v>61</v>
      </c>
      <c r="E4170" t="s">
        <v>14</v>
      </c>
      <c r="F4170" t="s">
        <v>16</v>
      </c>
      <c r="G4170">
        <v>62.15</v>
      </c>
      <c r="H4170">
        <v>3778.85</v>
      </c>
      <c r="I4170" t="s">
        <v>15</v>
      </c>
      <c r="J4170" t="s">
        <v>16</v>
      </c>
      <c r="K4170" t="s">
        <v>21</v>
      </c>
      <c r="L4170">
        <v>3778.85</v>
      </c>
      <c r="M4170" t="s">
        <v>5033</v>
      </c>
      <c r="N4170" t="s">
        <v>5034</v>
      </c>
    </row>
    <row r="4171" spans="1:14" x14ac:dyDescent="0.3">
      <c r="A4171" t="s">
        <v>4195</v>
      </c>
      <c r="B4171" t="s">
        <v>12</v>
      </c>
      <c r="C4171" t="s">
        <v>13</v>
      </c>
      <c r="D4171">
        <v>15</v>
      </c>
      <c r="E4171" t="s">
        <v>26</v>
      </c>
      <c r="F4171" t="s">
        <v>15</v>
      </c>
      <c r="G4171">
        <v>101.25</v>
      </c>
      <c r="H4171">
        <v>1457.25</v>
      </c>
      <c r="I4171" t="s">
        <v>16</v>
      </c>
      <c r="J4171" t="s">
        <v>16</v>
      </c>
      <c r="K4171" t="s">
        <v>17</v>
      </c>
      <c r="L4171">
        <v>1457.25</v>
      </c>
      <c r="M4171" t="s">
        <v>5032</v>
      </c>
      <c r="N4171" t="s">
        <v>5031</v>
      </c>
    </row>
    <row r="4172" spans="1:14" x14ac:dyDescent="0.3">
      <c r="A4172" t="s">
        <v>4196</v>
      </c>
      <c r="B4172" t="s">
        <v>19</v>
      </c>
      <c r="C4172" t="s">
        <v>35</v>
      </c>
      <c r="D4172">
        <v>72</v>
      </c>
      <c r="E4172" t="s">
        <v>26</v>
      </c>
      <c r="F4172" t="s">
        <v>16</v>
      </c>
      <c r="G4172">
        <v>115.15</v>
      </c>
      <c r="H4172">
        <v>8349.4500000000007</v>
      </c>
      <c r="I4172" t="s">
        <v>15</v>
      </c>
      <c r="J4172" t="s">
        <v>15</v>
      </c>
      <c r="K4172" t="s">
        <v>24</v>
      </c>
      <c r="L4172">
        <v>8349.4500000000007</v>
      </c>
      <c r="M4172" t="s">
        <v>5033</v>
      </c>
      <c r="N4172" t="s">
        <v>5034</v>
      </c>
    </row>
    <row r="4173" spans="1:14" x14ac:dyDescent="0.3">
      <c r="A4173" t="s">
        <v>4197</v>
      </c>
      <c r="B4173" t="s">
        <v>19</v>
      </c>
      <c r="C4173" t="s">
        <v>13</v>
      </c>
      <c r="D4173">
        <v>9</v>
      </c>
      <c r="E4173" t="s">
        <v>15</v>
      </c>
      <c r="F4173" t="s">
        <v>36</v>
      </c>
      <c r="G4173">
        <v>18.95</v>
      </c>
      <c r="H4173">
        <v>185.6</v>
      </c>
      <c r="I4173" t="s">
        <v>16</v>
      </c>
      <c r="J4173" t="s">
        <v>16</v>
      </c>
      <c r="K4173" t="s">
        <v>21</v>
      </c>
      <c r="L4173">
        <v>185.6</v>
      </c>
      <c r="M4173" t="s">
        <v>5030</v>
      </c>
      <c r="N4173" t="s">
        <v>5031</v>
      </c>
    </row>
    <row r="4174" spans="1:14" x14ac:dyDescent="0.3">
      <c r="A4174" t="s">
        <v>4198</v>
      </c>
      <c r="B4174" t="s">
        <v>12</v>
      </c>
      <c r="C4174" t="s">
        <v>13</v>
      </c>
      <c r="D4174">
        <v>1</v>
      </c>
      <c r="E4174" t="s">
        <v>15</v>
      </c>
      <c r="F4174" t="s">
        <v>36</v>
      </c>
      <c r="G4174">
        <v>19.5</v>
      </c>
      <c r="H4174">
        <v>19.5</v>
      </c>
      <c r="I4174" t="s">
        <v>15</v>
      </c>
      <c r="J4174" t="s">
        <v>15</v>
      </c>
      <c r="K4174" t="s">
        <v>21</v>
      </c>
      <c r="L4174">
        <v>19.5</v>
      </c>
      <c r="M4174" t="s">
        <v>5030</v>
      </c>
      <c r="N4174" t="s">
        <v>5031</v>
      </c>
    </row>
    <row r="4175" spans="1:14" x14ac:dyDescent="0.3">
      <c r="A4175" t="s">
        <v>4199</v>
      </c>
      <c r="B4175" t="s">
        <v>12</v>
      </c>
      <c r="C4175" t="s">
        <v>13</v>
      </c>
      <c r="D4175">
        <v>12</v>
      </c>
      <c r="E4175" t="s">
        <v>26</v>
      </c>
      <c r="F4175" t="s">
        <v>15</v>
      </c>
      <c r="G4175">
        <v>86.55</v>
      </c>
      <c r="H4175">
        <v>1066.9000000000001</v>
      </c>
      <c r="I4175" t="s">
        <v>15</v>
      </c>
      <c r="J4175" t="s">
        <v>16</v>
      </c>
      <c r="K4175" t="s">
        <v>17</v>
      </c>
      <c r="L4175">
        <v>1066.9000000000001</v>
      </c>
      <c r="M4175" t="s">
        <v>5030</v>
      </c>
      <c r="N4175" t="s">
        <v>5031</v>
      </c>
    </row>
    <row r="4176" spans="1:14" x14ac:dyDescent="0.3">
      <c r="A4176" t="s">
        <v>4200</v>
      </c>
      <c r="B4176" t="s">
        <v>12</v>
      </c>
      <c r="C4176" t="s">
        <v>13</v>
      </c>
      <c r="D4176">
        <v>37</v>
      </c>
      <c r="E4176" t="s">
        <v>14</v>
      </c>
      <c r="F4176" t="s">
        <v>16</v>
      </c>
      <c r="G4176">
        <v>28.6</v>
      </c>
      <c r="H4176">
        <v>973.55</v>
      </c>
      <c r="I4176" t="s">
        <v>16</v>
      </c>
      <c r="J4176" t="s">
        <v>15</v>
      </c>
      <c r="K4176" t="s">
        <v>29</v>
      </c>
      <c r="L4176">
        <v>973.55</v>
      </c>
      <c r="M4176" t="s">
        <v>5033</v>
      </c>
      <c r="N4176" t="s">
        <v>5031</v>
      </c>
    </row>
    <row r="4177" spans="1:14" x14ac:dyDescent="0.3">
      <c r="A4177" t="s">
        <v>4201</v>
      </c>
      <c r="B4177" t="s">
        <v>19</v>
      </c>
      <c r="C4177" t="s">
        <v>20</v>
      </c>
      <c r="D4177">
        <v>61</v>
      </c>
      <c r="E4177" t="s">
        <v>15</v>
      </c>
      <c r="F4177" t="s">
        <v>36</v>
      </c>
      <c r="G4177">
        <v>20.399999999999999</v>
      </c>
      <c r="H4177">
        <v>1226.45</v>
      </c>
      <c r="I4177" t="s">
        <v>15</v>
      </c>
      <c r="J4177" t="s">
        <v>15</v>
      </c>
      <c r="K4177" t="s">
        <v>21</v>
      </c>
      <c r="L4177">
        <v>1226.45</v>
      </c>
      <c r="M4177" t="s">
        <v>5033</v>
      </c>
      <c r="N4177" t="s">
        <v>5031</v>
      </c>
    </row>
    <row r="4178" spans="1:14" x14ac:dyDescent="0.3">
      <c r="A4178" t="s">
        <v>4202</v>
      </c>
      <c r="B4178" t="s">
        <v>19</v>
      </c>
      <c r="C4178" t="s">
        <v>20</v>
      </c>
      <c r="D4178">
        <v>18</v>
      </c>
      <c r="E4178" t="s">
        <v>15</v>
      </c>
      <c r="F4178" t="s">
        <v>36</v>
      </c>
      <c r="G4178">
        <v>19.8</v>
      </c>
      <c r="H4178">
        <v>342.3</v>
      </c>
      <c r="I4178" t="s">
        <v>15</v>
      </c>
      <c r="J4178" t="s">
        <v>15</v>
      </c>
      <c r="K4178" t="s">
        <v>24</v>
      </c>
      <c r="L4178">
        <v>342.3</v>
      </c>
      <c r="M4178" t="s">
        <v>5032</v>
      </c>
      <c r="N4178" t="s">
        <v>5031</v>
      </c>
    </row>
    <row r="4179" spans="1:14" x14ac:dyDescent="0.3">
      <c r="A4179" t="s">
        <v>4203</v>
      </c>
      <c r="B4179" t="s">
        <v>19</v>
      </c>
      <c r="C4179" t="s">
        <v>13</v>
      </c>
      <c r="D4179">
        <v>21</v>
      </c>
      <c r="E4179" t="s">
        <v>14</v>
      </c>
      <c r="F4179" t="s">
        <v>15</v>
      </c>
      <c r="G4179">
        <v>45.65</v>
      </c>
      <c r="H4179">
        <v>985.05</v>
      </c>
      <c r="I4179" t="s">
        <v>15</v>
      </c>
      <c r="J4179" t="s">
        <v>15</v>
      </c>
      <c r="K4179" t="s">
        <v>21</v>
      </c>
      <c r="L4179">
        <v>985.05</v>
      </c>
      <c r="M4179" t="s">
        <v>5032</v>
      </c>
      <c r="N4179" t="s">
        <v>5031</v>
      </c>
    </row>
    <row r="4180" spans="1:14" x14ac:dyDescent="0.3">
      <c r="A4180" t="s">
        <v>4204</v>
      </c>
      <c r="B4180" t="s">
        <v>19</v>
      </c>
      <c r="C4180" t="s">
        <v>35</v>
      </c>
      <c r="D4180">
        <v>68</v>
      </c>
      <c r="E4180" t="s">
        <v>14</v>
      </c>
      <c r="F4180" t="s">
        <v>16</v>
      </c>
      <c r="G4180">
        <v>56.4</v>
      </c>
      <c r="H4180">
        <v>3948.45</v>
      </c>
      <c r="I4180" t="s">
        <v>15</v>
      </c>
      <c r="J4180" t="s">
        <v>16</v>
      </c>
      <c r="K4180" t="s">
        <v>21</v>
      </c>
      <c r="L4180">
        <v>3948.45</v>
      </c>
      <c r="M4180" t="s">
        <v>5033</v>
      </c>
      <c r="N4180" t="s">
        <v>5034</v>
      </c>
    </row>
    <row r="4181" spans="1:14" x14ac:dyDescent="0.3">
      <c r="A4181" t="s">
        <v>4205</v>
      </c>
      <c r="B4181" t="s">
        <v>19</v>
      </c>
      <c r="C4181" t="s">
        <v>13</v>
      </c>
      <c r="D4181">
        <v>12</v>
      </c>
      <c r="E4181" t="s">
        <v>26</v>
      </c>
      <c r="F4181" t="s">
        <v>15</v>
      </c>
      <c r="G4181">
        <v>73.3</v>
      </c>
      <c r="H4181">
        <v>828.05</v>
      </c>
      <c r="I4181" t="s">
        <v>15</v>
      </c>
      <c r="J4181" t="s">
        <v>16</v>
      </c>
      <c r="K4181" t="s">
        <v>29</v>
      </c>
      <c r="L4181">
        <v>828.05</v>
      </c>
      <c r="M4181" t="s">
        <v>5030</v>
      </c>
      <c r="N4181" t="s">
        <v>5031</v>
      </c>
    </row>
    <row r="4182" spans="1:14" x14ac:dyDescent="0.3">
      <c r="A4182" t="s">
        <v>4206</v>
      </c>
      <c r="B4182" t="s">
        <v>12</v>
      </c>
      <c r="C4182" t="s">
        <v>13</v>
      </c>
      <c r="D4182">
        <v>2</v>
      </c>
      <c r="E4182" t="s">
        <v>14</v>
      </c>
      <c r="F4182" t="s">
        <v>15</v>
      </c>
      <c r="G4182">
        <v>24.35</v>
      </c>
      <c r="H4182">
        <v>41.85</v>
      </c>
      <c r="I4182" t="s">
        <v>16</v>
      </c>
      <c r="J4182" t="s">
        <v>15</v>
      </c>
      <c r="K4182" t="s">
        <v>17</v>
      </c>
      <c r="L4182">
        <v>41.85</v>
      </c>
      <c r="M4182" t="s">
        <v>5030</v>
      </c>
      <c r="N4182" t="s">
        <v>5031</v>
      </c>
    </row>
    <row r="4183" spans="1:14" x14ac:dyDescent="0.3">
      <c r="A4183" t="s">
        <v>4207</v>
      </c>
      <c r="B4183" t="s">
        <v>12</v>
      </c>
      <c r="C4183" t="s">
        <v>13</v>
      </c>
      <c r="D4183">
        <v>62</v>
      </c>
      <c r="E4183" t="s">
        <v>26</v>
      </c>
      <c r="F4183" t="s">
        <v>15</v>
      </c>
      <c r="G4183">
        <v>101.35</v>
      </c>
      <c r="H4183">
        <v>6164.7</v>
      </c>
      <c r="I4183" t="s">
        <v>15</v>
      </c>
      <c r="J4183" t="s">
        <v>16</v>
      </c>
      <c r="K4183" t="s">
        <v>17</v>
      </c>
      <c r="L4183">
        <v>6164.7</v>
      </c>
      <c r="M4183" t="s">
        <v>5033</v>
      </c>
      <c r="N4183" t="s">
        <v>5034</v>
      </c>
    </row>
    <row r="4184" spans="1:14" x14ac:dyDescent="0.3">
      <c r="A4184" t="s">
        <v>4208</v>
      </c>
      <c r="B4184" t="s">
        <v>12</v>
      </c>
      <c r="C4184" t="s">
        <v>13</v>
      </c>
      <c r="D4184">
        <v>29</v>
      </c>
      <c r="E4184" t="s">
        <v>26</v>
      </c>
      <c r="F4184" t="s">
        <v>16</v>
      </c>
      <c r="G4184">
        <v>98.65</v>
      </c>
      <c r="H4184">
        <v>2862.75</v>
      </c>
      <c r="I4184" t="s">
        <v>16</v>
      </c>
      <c r="J4184" t="s">
        <v>15</v>
      </c>
      <c r="K4184" t="s">
        <v>17</v>
      </c>
      <c r="L4184">
        <v>2862.75</v>
      </c>
      <c r="M4184" t="s">
        <v>5032</v>
      </c>
      <c r="N4184" t="s">
        <v>5034</v>
      </c>
    </row>
    <row r="4185" spans="1:14" x14ac:dyDescent="0.3">
      <c r="A4185" t="s">
        <v>4209</v>
      </c>
      <c r="B4185" t="s">
        <v>19</v>
      </c>
      <c r="C4185" t="s">
        <v>13</v>
      </c>
      <c r="D4185">
        <v>1</v>
      </c>
      <c r="E4185" t="s">
        <v>14</v>
      </c>
      <c r="F4185" t="s">
        <v>16</v>
      </c>
      <c r="G4185">
        <v>33.6</v>
      </c>
      <c r="H4185">
        <v>33.6</v>
      </c>
      <c r="I4185" t="s">
        <v>15</v>
      </c>
      <c r="J4185" t="s">
        <v>15</v>
      </c>
      <c r="K4185" t="s">
        <v>21</v>
      </c>
      <c r="L4185">
        <v>33.6</v>
      </c>
      <c r="M4185" t="s">
        <v>5030</v>
      </c>
      <c r="N4185" t="s">
        <v>5031</v>
      </c>
    </row>
    <row r="4186" spans="1:14" x14ac:dyDescent="0.3">
      <c r="A4186" t="s">
        <v>4210</v>
      </c>
      <c r="B4186" t="s">
        <v>19</v>
      </c>
      <c r="C4186" t="s">
        <v>13</v>
      </c>
      <c r="D4186">
        <v>5</v>
      </c>
      <c r="E4186" t="s">
        <v>26</v>
      </c>
      <c r="F4186" t="s">
        <v>15</v>
      </c>
      <c r="G4186">
        <v>79.900000000000006</v>
      </c>
      <c r="H4186">
        <v>343.95</v>
      </c>
      <c r="I4186" t="s">
        <v>16</v>
      </c>
      <c r="J4186" t="s">
        <v>16</v>
      </c>
      <c r="K4186" t="s">
        <v>24</v>
      </c>
      <c r="L4186">
        <v>343.95</v>
      </c>
      <c r="M4186" t="s">
        <v>5030</v>
      </c>
      <c r="N4186" t="s">
        <v>5031</v>
      </c>
    </row>
    <row r="4187" spans="1:14" x14ac:dyDescent="0.3">
      <c r="A4187" t="s">
        <v>4211</v>
      </c>
      <c r="B4187" t="s">
        <v>12</v>
      </c>
      <c r="C4187" t="s">
        <v>13</v>
      </c>
      <c r="D4187">
        <v>1</v>
      </c>
      <c r="E4187" t="s">
        <v>15</v>
      </c>
      <c r="F4187" t="s">
        <v>36</v>
      </c>
      <c r="G4187">
        <v>20.7</v>
      </c>
      <c r="H4187">
        <v>20.7</v>
      </c>
      <c r="I4187" t="s">
        <v>15</v>
      </c>
      <c r="J4187" t="s">
        <v>15</v>
      </c>
      <c r="K4187" t="s">
        <v>17</v>
      </c>
      <c r="L4187">
        <v>20.7</v>
      </c>
      <c r="M4187" t="s">
        <v>5030</v>
      </c>
      <c r="N4187" t="s">
        <v>5031</v>
      </c>
    </row>
    <row r="4188" spans="1:14" x14ac:dyDescent="0.3">
      <c r="A4188" t="s">
        <v>4212</v>
      </c>
      <c r="B4188" t="s">
        <v>19</v>
      </c>
      <c r="C4188" t="s">
        <v>35</v>
      </c>
      <c r="D4188">
        <v>62</v>
      </c>
      <c r="E4188" t="s">
        <v>26</v>
      </c>
      <c r="F4188" t="s">
        <v>16</v>
      </c>
      <c r="G4188">
        <v>104.05</v>
      </c>
      <c r="H4188">
        <v>6590.5</v>
      </c>
      <c r="I4188" t="s">
        <v>15</v>
      </c>
      <c r="J4188" t="s">
        <v>16</v>
      </c>
      <c r="K4188" t="s">
        <v>17</v>
      </c>
      <c r="L4188">
        <v>6590.5</v>
      </c>
      <c r="M4188" t="s">
        <v>5033</v>
      </c>
      <c r="N4188" t="s">
        <v>5034</v>
      </c>
    </row>
    <row r="4189" spans="1:14" x14ac:dyDescent="0.3">
      <c r="A4189" t="s">
        <v>4213</v>
      </c>
      <c r="B4189" t="s">
        <v>12</v>
      </c>
      <c r="C4189" t="s">
        <v>35</v>
      </c>
      <c r="D4189">
        <v>36</v>
      </c>
      <c r="E4189" t="s">
        <v>15</v>
      </c>
      <c r="F4189" t="s">
        <v>36</v>
      </c>
      <c r="G4189">
        <v>20.25</v>
      </c>
      <c r="H4189">
        <v>717.95</v>
      </c>
      <c r="I4189" t="s">
        <v>15</v>
      </c>
      <c r="J4189" t="s">
        <v>15</v>
      </c>
      <c r="K4189" t="s">
        <v>24</v>
      </c>
      <c r="L4189">
        <v>717.95</v>
      </c>
      <c r="M4189" t="s">
        <v>5032</v>
      </c>
      <c r="N4189" t="s">
        <v>5031</v>
      </c>
    </row>
    <row r="4190" spans="1:14" x14ac:dyDescent="0.3">
      <c r="A4190" t="s">
        <v>4214</v>
      </c>
      <c r="B4190" t="s">
        <v>12</v>
      </c>
      <c r="C4190" t="s">
        <v>13</v>
      </c>
      <c r="D4190">
        <v>28</v>
      </c>
      <c r="E4190" t="s">
        <v>26</v>
      </c>
      <c r="F4190" t="s">
        <v>16</v>
      </c>
      <c r="G4190">
        <v>103.3</v>
      </c>
      <c r="H4190">
        <v>2890.65</v>
      </c>
      <c r="I4190" t="s">
        <v>16</v>
      </c>
      <c r="J4190" t="s">
        <v>16</v>
      </c>
      <c r="K4190" t="s">
        <v>17</v>
      </c>
      <c r="L4190">
        <v>2890.65</v>
      </c>
      <c r="M4190" t="s">
        <v>5032</v>
      </c>
      <c r="N4190" t="s">
        <v>5034</v>
      </c>
    </row>
    <row r="4191" spans="1:14" x14ac:dyDescent="0.3">
      <c r="A4191" t="s">
        <v>4215</v>
      </c>
      <c r="B4191" t="s">
        <v>12</v>
      </c>
      <c r="C4191" t="s">
        <v>20</v>
      </c>
      <c r="D4191">
        <v>69</v>
      </c>
      <c r="E4191" t="s">
        <v>14</v>
      </c>
      <c r="F4191" t="s">
        <v>16</v>
      </c>
      <c r="G4191">
        <v>73.7</v>
      </c>
      <c r="H4191">
        <v>4885.8500000000004</v>
      </c>
      <c r="I4191" t="s">
        <v>15</v>
      </c>
      <c r="J4191" t="s">
        <v>15</v>
      </c>
      <c r="K4191" t="s">
        <v>29</v>
      </c>
      <c r="L4191">
        <v>4885.8500000000004</v>
      </c>
      <c r="M4191" t="s">
        <v>5033</v>
      </c>
      <c r="N4191" t="s">
        <v>5034</v>
      </c>
    </row>
    <row r="4192" spans="1:14" x14ac:dyDescent="0.3">
      <c r="A4192" t="s">
        <v>4216</v>
      </c>
      <c r="B4192" t="s">
        <v>12</v>
      </c>
      <c r="C4192" t="s">
        <v>13</v>
      </c>
      <c r="D4192">
        <v>11</v>
      </c>
      <c r="E4192" t="s">
        <v>26</v>
      </c>
      <c r="F4192" t="s">
        <v>16</v>
      </c>
      <c r="G4192">
        <v>96.2</v>
      </c>
      <c r="H4192">
        <v>1222.05</v>
      </c>
      <c r="I4192" t="s">
        <v>16</v>
      </c>
      <c r="J4192" t="s">
        <v>16</v>
      </c>
      <c r="K4192" t="s">
        <v>29</v>
      </c>
      <c r="L4192">
        <v>1222.05</v>
      </c>
      <c r="M4192" t="s">
        <v>5030</v>
      </c>
      <c r="N4192" t="s">
        <v>5031</v>
      </c>
    </row>
    <row r="4193" spans="1:14" x14ac:dyDescent="0.3">
      <c r="A4193" t="s">
        <v>4217</v>
      </c>
      <c r="B4193" t="s">
        <v>12</v>
      </c>
      <c r="C4193" t="s">
        <v>13</v>
      </c>
      <c r="D4193">
        <v>63</v>
      </c>
      <c r="E4193" t="s">
        <v>26</v>
      </c>
      <c r="F4193" t="s">
        <v>16</v>
      </c>
      <c r="G4193">
        <v>108.75</v>
      </c>
      <c r="H4193">
        <v>6871.7</v>
      </c>
      <c r="I4193" t="s">
        <v>15</v>
      </c>
      <c r="J4193" t="s">
        <v>16</v>
      </c>
      <c r="K4193" t="s">
        <v>17</v>
      </c>
      <c r="L4193">
        <v>6871.7</v>
      </c>
      <c r="M4193" t="s">
        <v>5033</v>
      </c>
      <c r="N4193" t="s">
        <v>5034</v>
      </c>
    </row>
    <row r="4194" spans="1:14" x14ac:dyDescent="0.3">
      <c r="A4194" t="s">
        <v>4218</v>
      </c>
      <c r="B4194" t="s">
        <v>19</v>
      </c>
      <c r="C4194" t="s">
        <v>20</v>
      </c>
      <c r="D4194">
        <v>23</v>
      </c>
      <c r="E4194" t="s">
        <v>15</v>
      </c>
      <c r="F4194" t="s">
        <v>36</v>
      </c>
      <c r="G4194">
        <v>20.149999999999999</v>
      </c>
      <c r="H4194">
        <v>405.6</v>
      </c>
      <c r="I4194" t="s">
        <v>15</v>
      </c>
      <c r="J4194" t="s">
        <v>15</v>
      </c>
      <c r="K4194" t="s">
        <v>24</v>
      </c>
      <c r="L4194">
        <v>405.6</v>
      </c>
      <c r="M4194" t="s">
        <v>5032</v>
      </c>
      <c r="N4194" t="s">
        <v>5031</v>
      </c>
    </row>
    <row r="4195" spans="1:14" x14ac:dyDescent="0.3">
      <c r="A4195" t="s">
        <v>4219</v>
      </c>
      <c r="B4195" t="s">
        <v>19</v>
      </c>
      <c r="C4195" t="s">
        <v>13</v>
      </c>
      <c r="D4195">
        <v>10</v>
      </c>
      <c r="E4195" t="s">
        <v>15</v>
      </c>
      <c r="F4195" t="s">
        <v>36</v>
      </c>
      <c r="G4195">
        <v>19.75</v>
      </c>
      <c r="H4195">
        <v>208.25</v>
      </c>
      <c r="I4195" t="s">
        <v>15</v>
      </c>
      <c r="J4195" t="s">
        <v>15</v>
      </c>
      <c r="K4195" t="s">
        <v>29</v>
      </c>
      <c r="L4195">
        <v>208.25</v>
      </c>
      <c r="M4195" t="s">
        <v>5030</v>
      </c>
      <c r="N4195" t="s">
        <v>5031</v>
      </c>
    </row>
    <row r="4196" spans="1:14" x14ac:dyDescent="0.3">
      <c r="A4196" t="s">
        <v>4220</v>
      </c>
      <c r="B4196" t="s">
        <v>12</v>
      </c>
      <c r="C4196" t="s">
        <v>35</v>
      </c>
      <c r="D4196">
        <v>71</v>
      </c>
      <c r="E4196" t="s">
        <v>15</v>
      </c>
      <c r="F4196" t="s">
        <v>36</v>
      </c>
      <c r="G4196">
        <v>25.95</v>
      </c>
      <c r="H4196">
        <v>1801.9</v>
      </c>
      <c r="I4196" t="s">
        <v>15</v>
      </c>
      <c r="J4196" t="s">
        <v>16</v>
      </c>
      <c r="K4196" t="s">
        <v>29</v>
      </c>
      <c r="L4196">
        <v>1801.9</v>
      </c>
      <c r="M4196" t="s">
        <v>5033</v>
      </c>
      <c r="N4196" t="s">
        <v>5031</v>
      </c>
    </row>
    <row r="4197" spans="1:14" x14ac:dyDescent="0.3">
      <c r="A4197" t="s">
        <v>4221</v>
      </c>
      <c r="B4197" t="s">
        <v>12</v>
      </c>
      <c r="C4197" t="s">
        <v>13</v>
      </c>
      <c r="D4197">
        <v>45</v>
      </c>
      <c r="E4197" t="s">
        <v>14</v>
      </c>
      <c r="F4197" t="s">
        <v>16</v>
      </c>
      <c r="G4197">
        <v>70.05</v>
      </c>
      <c r="H4197">
        <v>3062.45</v>
      </c>
      <c r="I4197" t="s">
        <v>15</v>
      </c>
      <c r="J4197" t="s">
        <v>16</v>
      </c>
      <c r="K4197" t="s">
        <v>17</v>
      </c>
      <c r="L4197">
        <v>3062.45</v>
      </c>
      <c r="M4197" t="s">
        <v>5033</v>
      </c>
      <c r="N4197" t="s">
        <v>5034</v>
      </c>
    </row>
    <row r="4198" spans="1:14" x14ac:dyDescent="0.3">
      <c r="A4198" t="s">
        <v>4222</v>
      </c>
      <c r="B4198" t="s">
        <v>12</v>
      </c>
      <c r="C4198" t="s">
        <v>35</v>
      </c>
      <c r="D4198">
        <v>70</v>
      </c>
      <c r="E4198" t="s">
        <v>15</v>
      </c>
      <c r="F4198" t="s">
        <v>36</v>
      </c>
      <c r="G4198">
        <v>24.05</v>
      </c>
      <c r="H4198">
        <v>1764.75</v>
      </c>
      <c r="I4198" t="s">
        <v>15</v>
      </c>
      <c r="J4198" t="s">
        <v>15</v>
      </c>
      <c r="K4198" t="s">
        <v>21</v>
      </c>
      <c r="L4198">
        <v>1764.75</v>
      </c>
      <c r="M4198" t="s">
        <v>5033</v>
      </c>
      <c r="N4198" t="s">
        <v>5031</v>
      </c>
    </row>
    <row r="4199" spans="1:14" x14ac:dyDescent="0.3">
      <c r="A4199" t="s">
        <v>4223</v>
      </c>
      <c r="B4199" t="s">
        <v>12</v>
      </c>
      <c r="C4199" t="s">
        <v>13</v>
      </c>
      <c r="D4199">
        <v>22</v>
      </c>
      <c r="E4199" t="s">
        <v>26</v>
      </c>
      <c r="F4199" t="s">
        <v>15</v>
      </c>
      <c r="G4199">
        <v>84.75</v>
      </c>
      <c r="H4199">
        <v>1816.75</v>
      </c>
      <c r="I4199" t="s">
        <v>15</v>
      </c>
      <c r="J4199" t="s">
        <v>16</v>
      </c>
      <c r="K4199" t="s">
        <v>17</v>
      </c>
      <c r="L4199">
        <v>1816.75</v>
      </c>
      <c r="M4199" t="s">
        <v>5032</v>
      </c>
      <c r="N4199" t="s">
        <v>5031</v>
      </c>
    </row>
    <row r="4200" spans="1:14" x14ac:dyDescent="0.3">
      <c r="A4200" t="s">
        <v>4224</v>
      </c>
      <c r="B4200" t="s">
        <v>12</v>
      </c>
      <c r="C4200" t="s">
        <v>35</v>
      </c>
      <c r="D4200">
        <v>52</v>
      </c>
      <c r="E4200" t="s">
        <v>15</v>
      </c>
      <c r="F4200" t="s">
        <v>36</v>
      </c>
      <c r="G4200">
        <v>23.05</v>
      </c>
      <c r="H4200">
        <v>1255.0999999999999</v>
      </c>
      <c r="I4200" t="s">
        <v>15</v>
      </c>
      <c r="J4200" t="s">
        <v>15</v>
      </c>
      <c r="K4200" t="s">
        <v>21</v>
      </c>
      <c r="L4200">
        <v>1255.0999999999999</v>
      </c>
      <c r="M4200" t="s">
        <v>5033</v>
      </c>
      <c r="N4200" t="s">
        <v>5031</v>
      </c>
    </row>
    <row r="4201" spans="1:14" x14ac:dyDescent="0.3">
      <c r="A4201" t="s">
        <v>4225</v>
      </c>
      <c r="B4201" t="s">
        <v>19</v>
      </c>
      <c r="C4201" t="s">
        <v>20</v>
      </c>
      <c r="D4201">
        <v>55</v>
      </c>
      <c r="E4201" t="s">
        <v>26</v>
      </c>
      <c r="F4201" t="s">
        <v>16</v>
      </c>
      <c r="G4201">
        <v>104.15</v>
      </c>
      <c r="H4201">
        <v>5743.05</v>
      </c>
      <c r="I4201" t="s">
        <v>16</v>
      </c>
      <c r="J4201" t="s">
        <v>16</v>
      </c>
      <c r="K4201" t="s">
        <v>17</v>
      </c>
      <c r="L4201">
        <v>5743.05</v>
      </c>
      <c r="M4201" t="s">
        <v>5033</v>
      </c>
      <c r="N4201" t="s">
        <v>5034</v>
      </c>
    </row>
    <row r="4202" spans="1:14" x14ac:dyDescent="0.3">
      <c r="A4202" t="s">
        <v>4226</v>
      </c>
      <c r="B4202" t="s">
        <v>12</v>
      </c>
      <c r="C4202" t="s">
        <v>35</v>
      </c>
      <c r="D4202">
        <v>65</v>
      </c>
      <c r="E4202" t="s">
        <v>14</v>
      </c>
      <c r="F4202" t="s">
        <v>16</v>
      </c>
      <c r="G4202">
        <v>59.95</v>
      </c>
      <c r="H4202">
        <v>3921.1</v>
      </c>
      <c r="I4202" t="s">
        <v>15</v>
      </c>
      <c r="J4202" t="s">
        <v>15</v>
      </c>
      <c r="K4202" t="s">
        <v>29</v>
      </c>
      <c r="L4202">
        <v>3921.1</v>
      </c>
      <c r="M4202" t="s">
        <v>5033</v>
      </c>
      <c r="N4202" t="s">
        <v>5034</v>
      </c>
    </row>
    <row r="4203" spans="1:14" x14ac:dyDescent="0.3">
      <c r="A4203" t="s">
        <v>4227</v>
      </c>
      <c r="B4203" t="s">
        <v>12</v>
      </c>
      <c r="C4203" t="s">
        <v>35</v>
      </c>
      <c r="D4203">
        <v>72</v>
      </c>
      <c r="E4203" t="s">
        <v>15</v>
      </c>
      <c r="F4203" t="s">
        <v>36</v>
      </c>
      <c r="G4203">
        <v>19.55</v>
      </c>
      <c r="H4203">
        <v>1463.45</v>
      </c>
      <c r="I4203" t="s">
        <v>15</v>
      </c>
      <c r="J4203" t="s">
        <v>15</v>
      </c>
      <c r="K4203" t="s">
        <v>24</v>
      </c>
      <c r="L4203">
        <v>1463.45</v>
      </c>
      <c r="M4203" t="s">
        <v>5033</v>
      </c>
      <c r="N4203" t="s">
        <v>5031</v>
      </c>
    </row>
    <row r="4204" spans="1:14" x14ac:dyDescent="0.3">
      <c r="A4204" t="s">
        <v>4228</v>
      </c>
      <c r="B4204" t="s">
        <v>19</v>
      </c>
      <c r="C4204" t="s">
        <v>20</v>
      </c>
      <c r="D4204">
        <v>10</v>
      </c>
      <c r="E4204" t="s">
        <v>15</v>
      </c>
      <c r="F4204" t="s">
        <v>36</v>
      </c>
      <c r="G4204">
        <v>19.600000000000001</v>
      </c>
      <c r="H4204">
        <v>189.45</v>
      </c>
      <c r="I4204" t="s">
        <v>15</v>
      </c>
      <c r="J4204" t="s">
        <v>15</v>
      </c>
      <c r="K4204" t="s">
        <v>24</v>
      </c>
      <c r="L4204">
        <v>189.45</v>
      </c>
      <c r="M4204" t="s">
        <v>5030</v>
      </c>
      <c r="N4204" t="s">
        <v>5031</v>
      </c>
    </row>
    <row r="4205" spans="1:14" x14ac:dyDescent="0.3">
      <c r="A4205" t="s">
        <v>4229</v>
      </c>
      <c r="B4205" t="s">
        <v>12</v>
      </c>
      <c r="C4205" t="s">
        <v>20</v>
      </c>
      <c r="D4205">
        <v>7</v>
      </c>
      <c r="E4205" t="s">
        <v>15</v>
      </c>
      <c r="F4205" t="s">
        <v>36</v>
      </c>
      <c r="G4205">
        <v>20.05</v>
      </c>
      <c r="H4205">
        <v>96.8</v>
      </c>
      <c r="I4205" t="s">
        <v>15</v>
      </c>
      <c r="J4205" t="s">
        <v>15</v>
      </c>
      <c r="K4205" t="s">
        <v>21</v>
      </c>
      <c r="L4205">
        <v>96.8</v>
      </c>
      <c r="M4205" t="s">
        <v>5030</v>
      </c>
      <c r="N4205" t="s">
        <v>5031</v>
      </c>
    </row>
    <row r="4206" spans="1:14" x14ac:dyDescent="0.3">
      <c r="A4206" t="s">
        <v>4230</v>
      </c>
      <c r="B4206" t="s">
        <v>19</v>
      </c>
      <c r="C4206" t="s">
        <v>13</v>
      </c>
      <c r="D4206">
        <v>5</v>
      </c>
      <c r="E4206" t="s">
        <v>26</v>
      </c>
      <c r="F4206" t="s">
        <v>15</v>
      </c>
      <c r="G4206">
        <v>85.55</v>
      </c>
      <c r="H4206">
        <v>408.5</v>
      </c>
      <c r="I4206" t="s">
        <v>15</v>
      </c>
      <c r="J4206" t="s">
        <v>16</v>
      </c>
      <c r="K4206" t="s">
        <v>17</v>
      </c>
      <c r="L4206">
        <v>408.5</v>
      </c>
      <c r="M4206" t="s">
        <v>5030</v>
      </c>
      <c r="N4206" t="s">
        <v>5031</v>
      </c>
    </row>
    <row r="4207" spans="1:14" x14ac:dyDescent="0.3">
      <c r="A4207" t="s">
        <v>4231</v>
      </c>
      <c r="B4207" t="s">
        <v>12</v>
      </c>
      <c r="C4207" t="s">
        <v>35</v>
      </c>
      <c r="D4207">
        <v>24</v>
      </c>
      <c r="E4207" t="s">
        <v>14</v>
      </c>
      <c r="F4207" t="s">
        <v>15</v>
      </c>
      <c r="G4207">
        <v>78.599999999999994</v>
      </c>
      <c r="H4207">
        <v>1846.65</v>
      </c>
      <c r="I4207" t="s">
        <v>15</v>
      </c>
      <c r="J4207" t="s">
        <v>15</v>
      </c>
      <c r="K4207" t="s">
        <v>29</v>
      </c>
      <c r="L4207">
        <v>1846.65</v>
      </c>
      <c r="M4207" t="s">
        <v>5032</v>
      </c>
      <c r="N4207" t="s">
        <v>5031</v>
      </c>
    </row>
    <row r="4208" spans="1:14" x14ac:dyDescent="0.3">
      <c r="A4208" t="s">
        <v>4232</v>
      </c>
      <c r="B4208" t="s">
        <v>12</v>
      </c>
      <c r="C4208" t="s">
        <v>35</v>
      </c>
      <c r="D4208">
        <v>72</v>
      </c>
      <c r="E4208" t="s">
        <v>26</v>
      </c>
      <c r="F4208" t="s">
        <v>16</v>
      </c>
      <c r="G4208">
        <v>116.8</v>
      </c>
      <c r="H4208">
        <v>8456.75</v>
      </c>
      <c r="I4208" t="s">
        <v>15</v>
      </c>
      <c r="J4208" t="s">
        <v>16</v>
      </c>
      <c r="K4208" t="s">
        <v>29</v>
      </c>
      <c r="L4208">
        <v>8456.75</v>
      </c>
      <c r="M4208" t="s">
        <v>5033</v>
      </c>
      <c r="N4208" t="s">
        <v>5034</v>
      </c>
    </row>
    <row r="4209" spans="1:14" x14ac:dyDescent="0.3">
      <c r="A4209" t="s">
        <v>4233</v>
      </c>
      <c r="B4209" t="s">
        <v>19</v>
      </c>
      <c r="C4209" t="s">
        <v>13</v>
      </c>
      <c r="D4209">
        <v>21</v>
      </c>
      <c r="E4209" t="s">
        <v>14</v>
      </c>
      <c r="F4209" t="s">
        <v>16</v>
      </c>
      <c r="G4209">
        <v>43.55</v>
      </c>
      <c r="H4209">
        <v>1011.5</v>
      </c>
      <c r="I4209" t="s">
        <v>15</v>
      </c>
      <c r="J4209" t="s">
        <v>16</v>
      </c>
      <c r="K4209" t="s">
        <v>21</v>
      </c>
      <c r="L4209">
        <v>1011.5</v>
      </c>
      <c r="M4209" t="s">
        <v>5032</v>
      </c>
      <c r="N4209" t="s">
        <v>5031</v>
      </c>
    </row>
    <row r="4210" spans="1:14" x14ac:dyDescent="0.3">
      <c r="A4210" t="s">
        <v>4234</v>
      </c>
      <c r="B4210" t="s">
        <v>19</v>
      </c>
      <c r="C4210" t="s">
        <v>20</v>
      </c>
      <c r="D4210">
        <v>69</v>
      </c>
      <c r="E4210" t="s">
        <v>14</v>
      </c>
      <c r="F4210" t="s">
        <v>16</v>
      </c>
      <c r="G4210">
        <v>60.8</v>
      </c>
      <c r="H4210">
        <v>4263.3999999999996</v>
      </c>
      <c r="I4210" t="s">
        <v>15</v>
      </c>
      <c r="J4210" t="s">
        <v>16</v>
      </c>
      <c r="K4210" t="s">
        <v>29</v>
      </c>
      <c r="L4210">
        <v>4263.3999999999996</v>
      </c>
      <c r="M4210" t="s">
        <v>5033</v>
      </c>
      <c r="N4210" t="s">
        <v>5034</v>
      </c>
    </row>
    <row r="4211" spans="1:14" x14ac:dyDescent="0.3">
      <c r="A4211" t="s">
        <v>4235</v>
      </c>
      <c r="B4211" t="s">
        <v>19</v>
      </c>
      <c r="C4211" t="s">
        <v>13</v>
      </c>
      <c r="D4211">
        <v>44</v>
      </c>
      <c r="E4211" t="s">
        <v>14</v>
      </c>
      <c r="F4211" t="s">
        <v>16</v>
      </c>
      <c r="G4211">
        <v>54.9</v>
      </c>
      <c r="H4211">
        <v>2549.1</v>
      </c>
      <c r="I4211" t="s">
        <v>15</v>
      </c>
      <c r="J4211" t="s">
        <v>16</v>
      </c>
      <c r="K4211" t="s">
        <v>24</v>
      </c>
      <c r="L4211">
        <v>2549.1</v>
      </c>
      <c r="M4211" t="s">
        <v>5033</v>
      </c>
      <c r="N4211" t="s">
        <v>5034</v>
      </c>
    </row>
    <row r="4212" spans="1:14" x14ac:dyDescent="0.3">
      <c r="A4212" t="s">
        <v>4236</v>
      </c>
      <c r="B4212" t="s">
        <v>12</v>
      </c>
      <c r="C4212" t="s">
        <v>20</v>
      </c>
      <c r="D4212">
        <v>61</v>
      </c>
      <c r="E4212" t="s">
        <v>14</v>
      </c>
      <c r="F4212" t="s">
        <v>15</v>
      </c>
      <c r="G4212">
        <v>65.2</v>
      </c>
      <c r="H4212">
        <v>3965.05</v>
      </c>
      <c r="I4212" t="s">
        <v>15</v>
      </c>
      <c r="J4212" t="s">
        <v>16</v>
      </c>
      <c r="K4212" t="s">
        <v>17</v>
      </c>
      <c r="L4212">
        <v>3965.05</v>
      </c>
      <c r="M4212" t="s">
        <v>5033</v>
      </c>
      <c r="N4212" t="s">
        <v>5034</v>
      </c>
    </row>
    <row r="4213" spans="1:14" x14ac:dyDescent="0.3">
      <c r="A4213" t="s">
        <v>4237</v>
      </c>
      <c r="B4213" t="s">
        <v>19</v>
      </c>
      <c r="C4213" t="s">
        <v>13</v>
      </c>
      <c r="D4213">
        <v>24</v>
      </c>
      <c r="E4213" t="s">
        <v>26</v>
      </c>
      <c r="F4213" t="s">
        <v>15</v>
      </c>
      <c r="G4213">
        <v>102.95</v>
      </c>
      <c r="H4213">
        <v>2496.6999999999998</v>
      </c>
      <c r="I4213" t="s">
        <v>16</v>
      </c>
      <c r="J4213" t="s">
        <v>16</v>
      </c>
      <c r="K4213" t="s">
        <v>29</v>
      </c>
      <c r="L4213">
        <v>2496.6999999999998</v>
      </c>
      <c r="M4213" t="s">
        <v>5032</v>
      </c>
      <c r="N4213" t="s">
        <v>5031</v>
      </c>
    </row>
    <row r="4214" spans="1:14" x14ac:dyDescent="0.3">
      <c r="A4214" t="s">
        <v>4238</v>
      </c>
      <c r="B4214" t="s">
        <v>12</v>
      </c>
      <c r="C4214" t="s">
        <v>13</v>
      </c>
      <c r="D4214">
        <v>1</v>
      </c>
      <c r="E4214" t="s">
        <v>26</v>
      </c>
      <c r="F4214" t="s">
        <v>15</v>
      </c>
      <c r="G4214">
        <v>90.6</v>
      </c>
      <c r="H4214">
        <v>90.6</v>
      </c>
      <c r="I4214" t="s">
        <v>16</v>
      </c>
      <c r="J4214" t="s">
        <v>15</v>
      </c>
      <c r="K4214" t="s">
        <v>17</v>
      </c>
      <c r="L4214">
        <v>90.6</v>
      </c>
      <c r="M4214" t="s">
        <v>5030</v>
      </c>
      <c r="N4214" t="s">
        <v>5031</v>
      </c>
    </row>
    <row r="4215" spans="1:14" x14ac:dyDescent="0.3">
      <c r="A4215" t="s">
        <v>4239</v>
      </c>
      <c r="B4215" t="s">
        <v>12</v>
      </c>
      <c r="C4215" t="s">
        <v>13</v>
      </c>
      <c r="D4215">
        <v>6</v>
      </c>
      <c r="E4215" t="s">
        <v>14</v>
      </c>
      <c r="F4215" t="s">
        <v>16</v>
      </c>
      <c r="G4215">
        <v>50.8</v>
      </c>
      <c r="H4215">
        <v>288.05</v>
      </c>
      <c r="I4215" t="s">
        <v>16</v>
      </c>
      <c r="J4215" t="s">
        <v>16</v>
      </c>
      <c r="K4215" t="s">
        <v>24</v>
      </c>
      <c r="L4215">
        <v>288.05</v>
      </c>
      <c r="M4215" t="s">
        <v>5030</v>
      </c>
      <c r="N4215" t="s">
        <v>5031</v>
      </c>
    </row>
    <row r="4216" spans="1:14" x14ac:dyDescent="0.3">
      <c r="A4216" t="s">
        <v>4240</v>
      </c>
      <c r="B4216" t="s">
        <v>19</v>
      </c>
      <c r="C4216" t="s">
        <v>13</v>
      </c>
      <c r="D4216">
        <v>4</v>
      </c>
      <c r="E4216" t="s">
        <v>26</v>
      </c>
      <c r="F4216" t="s">
        <v>15</v>
      </c>
      <c r="G4216">
        <v>90.05</v>
      </c>
      <c r="H4216">
        <v>368.1</v>
      </c>
      <c r="I4216" t="s">
        <v>16</v>
      </c>
      <c r="J4216" t="s">
        <v>16</v>
      </c>
      <c r="K4216" t="s">
        <v>17</v>
      </c>
      <c r="L4216">
        <v>368.1</v>
      </c>
      <c r="M4216" t="s">
        <v>5030</v>
      </c>
      <c r="N4216" t="s">
        <v>5031</v>
      </c>
    </row>
    <row r="4217" spans="1:14" x14ac:dyDescent="0.3">
      <c r="A4217" t="s">
        <v>4241</v>
      </c>
      <c r="B4217" t="s">
        <v>19</v>
      </c>
      <c r="C4217" t="s">
        <v>35</v>
      </c>
      <c r="D4217">
        <v>72</v>
      </c>
      <c r="E4217" t="s">
        <v>26</v>
      </c>
      <c r="F4217" t="s">
        <v>16</v>
      </c>
      <c r="G4217">
        <v>108.2</v>
      </c>
      <c r="H4217">
        <v>7840.6</v>
      </c>
      <c r="I4217" t="s">
        <v>15</v>
      </c>
      <c r="J4217" t="s">
        <v>16</v>
      </c>
      <c r="K4217" t="s">
        <v>17</v>
      </c>
      <c r="L4217">
        <v>7840.6</v>
      </c>
      <c r="M4217" t="s">
        <v>5033</v>
      </c>
      <c r="N4217" t="s">
        <v>5034</v>
      </c>
    </row>
    <row r="4218" spans="1:14" x14ac:dyDescent="0.3">
      <c r="A4218" t="s">
        <v>4242</v>
      </c>
      <c r="B4218" t="s">
        <v>19</v>
      </c>
      <c r="C4218" t="s">
        <v>35</v>
      </c>
      <c r="D4218">
        <v>72</v>
      </c>
      <c r="E4218" t="s">
        <v>14</v>
      </c>
      <c r="F4218" t="s">
        <v>16</v>
      </c>
      <c r="G4218">
        <v>92</v>
      </c>
      <c r="H4218">
        <v>6632.75</v>
      </c>
      <c r="I4218" t="s">
        <v>15</v>
      </c>
      <c r="J4218" t="s">
        <v>15</v>
      </c>
      <c r="K4218" t="s">
        <v>24</v>
      </c>
      <c r="L4218">
        <v>6632.75</v>
      </c>
      <c r="M4218" t="s">
        <v>5033</v>
      </c>
      <c r="N4218" t="s">
        <v>5034</v>
      </c>
    </row>
    <row r="4219" spans="1:14" x14ac:dyDescent="0.3">
      <c r="A4219" t="s">
        <v>4243</v>
      </c>
      <c r="B4219" t="s">
        <v>19</v>
      </c>
      <c r="C4219" t="s">
        <v>13</v>
      </c>
      <c r="D4219">
        <v>14</v>
      </c>
      <c r="E4219" t="s">
        <v>26</v>
      </c>
      <c r="F4219" t="s">
        <v>15</v>
      </c>
      <c r="G4219">
        <v>75.099999999999994</v>
      </c>
      <c r="H4219">
        <v>1013.35</v>
      </c>
      <c r="I4219" t="s">
        <v>15</v>
      </c>
      <c r="J4219" t="s">
        <v>16</v>
      </c>
      <c r="K4219" t="s">
        <v>17</v>
      </c>
      <c r="L4219">
        <v>1013.35</v>
      </c>
      <c r="M4219" t="s">
        <v>5032</v>
      </c>
      <c r="N4219" t="s">
        <v>5031</v>
      </c>
    </row>
    <row r="4220" spans="1:14" x14ac:dyDescent="0.3">
      <c r="A4220" t="s">
        <v>4244</v>
      </c>
      <c r="B4220" t="s">
        <v>19</v>
      </c>
      <c r="C4220" t="s">
        <v>13</v>
      </c>
      <c r="D4220">
        <v>7</v>
      </c>
      <c r="E4220" t="s">
        <v>15</v>
      </c>
      <c r="F4220" t="s">
        <v>36</v>
      </c>
      <c r="G4220">
        <v>25.05</v>
      </c>
      <c r="H4220">
        <v>152.94999999999999</v>
      </c>
      <c r="I4220" t="s">
        <v>15</v>
      </c>
      <c r="J4220" t="s">
        <v>16</v>
      </c>
      <c r="K4220" t="s">
        <v>24</v>
      </c>
      <c r="L4220">
        <v>152.94999999999999</v>
      </c>
      <c r="M4220" t="s">
        <v>5030</v>
      </c>
      <c r="N4220" t="s">
        <v>5031</v>
      </c>
    </row>
    <row r="4221" spans="1:14" x14ac:dyDescent="0.3">
      <c r="A4221" t="s">
        <v>4245</v>
      </c>
      <c r="B4221" t="s">
        <v>12</v>
      </c>
      <c r="C4221" t="s">
        <v>20</v>
      </c>
      <c r="D4221">
        <v>48</v>
      </c>
      <c r="E4221" t="s">
        <v>26</v>
      </c>
      <c r="F4221" t="s">
        <v>15</v>
      </c>
      <c r="G4221">
        <v>75.150000000000006</v>
      </c>
      <c r="H4221">
        <v>3772.65</v>
      </c>
      <c r="I4221" t="s">
        <v>15</v>
      </c>
      <c r="J4221" t="s">
        <v>15</v>
      </c>
      <c r="K4221" t="s">
        <v>17</v>
      </c>
      <c r="L4221">
        <v>3772.65</v>
      </c>
      <c r="M4221" t="s">
        <v>5033</v>
      </c>
      <c r="N4221" t="s">
        <v>5034</v>
      </c>
    </row>
    <row r="4222" spans="1:14" x14ac:dyDescent="0.3">
      <c r="A4222" t="s">
        <v>4246</v>
      </c>
      <c r="B4222" t="s">
        <v>19</v>
      </c>
      <c r="C4222" t="s">
        <v>20</v>
      </c>
      <c r="D4222">
        <v>55</v>
      </c>
      <c r="E4222" t="s">
        <v>15</v>
      </c>
      <c r="F4222" t="s">
        <v>36</v>
      </c>
      <c r="G4222">
        <v>19.5</v>
      </c>
      <c r="H4222">
        <v>1026.3499999999999</v>
      </c>
      <c r="I4222" t="s">
        <v>15</v>
      </c>
      <c r="J4222" t="s">
        <v>15</v>
      </c>
      <c r="K4222" t="s">
        <v>21</v>
      </c>
      <c r="L4222">
        <v>1026.3499999999999</v>
      </c>
      <c r="M4222" t="s">
        <v>5033</v>
      </c>
      <c r="N4222" t="s">
        <v>5031</v>
      </c>
    </row>
    <row r="4223" spans="1:14" x14ac:dyDescent="0.3">
      <c r="A4223" t="s">
        <v>4247</v>
      </c>
      <c r="B4223" t="s">
        <v>19</v>
      </c>
      <c r="C4223" t="s">
        <v>13</v>
      </c>
      <c r="D4223">
        <v>1</v>
      </c>
      <c r="E4223" t="s">
        <v>15</v>
      </c>
      <c r="F4223" t="s">
        <v>36</v>
      </c>
      <c r="G4223">
        <v>19.3</v>
      </c>
      <c r="H4223">
        <v>19.3</v>
      </c>
      <c r="I4223" t="s">
        <v>15</v>
      </c>
      <c r="J4223" t="s">
        <v>15</v>
      </c>
      <c r="K4223" t="s">
        <v>29</v>
      </c>
      <c r="L4223">
        <v>19.3</v>
      </c>
      <c r="M4223" t="s">
        <v>5030</v>
      </c>
      <c r="N4223" t="s">
        <v>5031</v>
      </c>
    </row>
    <row r="4224" spans="1:14" x14ac:dyDescent="0.3">
      <c r="A4224" t="s">
        <v>4248</v>
      </c>
      <c r="B4224" t="s">
        <v>19</v>
      </c>
      <c r="C4224" t="s">
        <v>20</v>
      </c>
      <c r="D4224">
        <v>45</v>
      </c>
      <c r="E4224" t="s">
        <v>26</v>
      </c>
      <c r="F4224" t="s">
        <v>16</v>
      </c>
      <c r="G4224">
        <v>112.2</v>
      </c>
      <c r="H4224">
        <v>5031.8500000000004</v>
      </c>
      <c r="I4224" t="s">
        <v>15</v>
      </c>
      <c r="J4224" t="s">
        <v>15</v>
      </c>
      <c r="K4224" t="s">
        <v>29</v>
      </c>
      <c r="L4224">
        <v>5031.8500000000004</v>
      </c>
      <c r="M4224" t="s">
        <v>5033</v>
      </c>
      <c r="N4224" t="s">
        <v>5034</v>
      </c>
    </row>
    <row r="4225" spans="1:14" x14ac:dyDescent="0.3">
      <c r="A4225" t="s">
        <v>4249</v>
      </c>
      <c r="B4225" t="s">
        <v>19</v>
      </c>
      <c r="C4225" t="s">
        <v>13</v>
      </c>
      <c r="D4225">
        <v>3</v>
      </c>
      <c r="E4225" t="s">
        <v>26</v>
      </c>
      <c r="F4225" t="s">
        <v>15</v>
      </c>
      <c r="G4225">
        <v>70.3</v>
      </c>
      <c r="H4225">
        <v>220.4</v>
      </c>
      <c r="I4225" t="s">
        <v>15</v>
      </c>
      <c r="J4225" t="s">
        <v>16</v>
      </c>
      <c r="K4225" t="s">
        <v>21</v>
      </c>
      <c r="L4225">
        <v>220.4</v>
      </c>
      <c r="M4225" t="s">
        <v>5030</v>
      </c>
      <c r="N4225" t="s">
        <v>5031</v>
      </c>
    </row>
    <row r="4226" spans="1:14" x14ac:dyDescent="0.3">
      <c r="A4226" t="s">
        <v>4250</v>
      </c>
      <c r="B4226" t="s">
        <v>12</v>
      </c>
      <c r="C4226" t="s">
        <v>35</v>
      </c>
      <c r="D4226">
        <v>71</v>
      </c>
      <c r="E4226" t="s">
        <v>15</v>
      </c>
      <c r="F4226" t="s">
        <v>36</v>
      </c>
      <c r="G4226">
        <v>19.600000000000001</v>
      </c>
      <c r="H4226">
        <v>1416.5</v>
      </c>
      <c r="I4226" t="s">
        <v>15</v>
      </c>
      <c r="J4226" t="s">
        <v>15</v>
      </c>
      <c r="K4226" t="s">
        <v>21</v>
      </c>
      <c r="L4226">
        <v>1416.5</v>
      </c>
      <c r="M4226" t="s">
        <v>5033</v>
      </c>
      <c r="N4226" t="s">
        <v>5031</v>
      </c>
    </row>
    <row r="4227" spans="1:14" x14ac:dyDescent="0.3">
      <c r="A4227" t="s">
        <v>4251</v>
      </c>
      <c r="B4227" t="s">
        <v>19</v>
      </c>
      <c r="C4227" t="s">
        <v>13</v>
      </c>
      <c r="D4227">
        <v>8</v>
      </c>
      <c r="E4227" t="s">
        <v>15</v>
      </c>
      <c r="F4227" t="s">
        <v>36</v>
      </c>
      <c r="G4227">
        <v>20.25</v>
      </c>
      <c r="H4227">
        <v>158.35</v>
      </c>
      <c r="I4227" t="s">
        <v>15</v>
      </c>
      <c r="J4227" t="s">
        <v>15</v>
      </c>
      <c r="K4227" t="s">
        <v>21</v>
      </c>
      <c r="L4227">
        <v>158.35</v>
      </c>
      <c r="M4227" t="s">
        <v>5030</v>
      </c>
      <c r="N4227" t="s">
        <v>5031</v>
      </c>
    </row>
    <row r="4228" spans="1:14" x14ac:dyDescent="0.3">
      <c r="A4228" t="s">
        <v>4252</v>
      </c>
      <c r="B4228" t="s">
        <v>12</v>
      </c>
      <c r="C4228" t="s">
        <v>13</v>
      </c>
      <c r="D4228">
        <v>3</v>
      </c>
      <c r="E4228" t="s">
        <v>26</v>
      </c>
      <c r="F4228" t="s">
        <v>15</v>
      </c>
      <c r="G4228">
        <v>75.849999999999994</v>
      </c>
      <c r="H4228">
        <v>256.60000000000002</v>
      </c>
      <c r="I4228" t="s">
        <v>16</v>
      </c>
      <c r="J4228" t="s">
        <v>16</v>
      </c>
      <c r="K4228" t="s">
        <v>17</v>
      </c>
      <c r="L4228">
        <v>256.60000000000002</v>
      </c>
      <c r="M4228" t="s">
        <v>5030</v>
      </c>
      <c r="N4228" t="s">
        <v>5031</v>
      </c>
    </row>
    <row r="4229" spans="1:14" x14ac:dyDescent="0.3">
      <c r="A4229" t="s">
        <v>4253</v>
      </c>
      <c r="B4229" t="s">
        <v>19</v>
      </c>
      <c r="C4229" t="s">
        <v>35</v>
      </c>
      <c r="D4229">
        <v>69</v>
      </c>
      <c r="E4229" t="s">
        <v>14</v>
      </c>
      <c r="F4229" t="s">
        <v>16</v>
      </c>
      <c r="G4229">
        <v>80.650000000000006</v>
      </c>
      <c r="H4229">
        <v>5542.55</v>
      </c>
      <c r="I4229" t="s">
        <v>15</v>
      </c>
      <c r="J4229" t="s">
        <v>15</v>
      </c>
      <c r="K4229" t="s">
        <v>24</v>
      </c>
      <c r="L4229">
        <v>5542.55</v>
      </c>
      <c r="M4229" t="s">
        <v>5033</v>
      </c>
      <c r="N4229" t="s">
        <v>5034</v>
      </c>
    </row>
    <row r="4230" spans="1:14" x14ac:dyDescent="0.3">
      <c r="A4230" t="s">
        <v>4254</v>
      </c>
      <c r="B4230" t="s">
        <v>19</v>
      </c>
      <c r="C4230" t="s">
        <v>13</v>
      </c>
      <c r="D4230">
        <v>1</v>
      </c>
      <c r="E4230" t="s">
        <v>26</v>
      </c>
      <c r="F4230" t="s">
        <v>15</v>
      </c>
      <c r="G4230">
        <v>68.5</v>
      </c>
      <c r="H4230">
        <v>68.5</v>
      </c>
      <c r="I4230" t="s">
        <v>16</v>
      </c>
      <c r="J4230" t="s">
        <v>16</v>
      </c>
      <c r="K4230" t="s">
        <v>17</v>
      </c>
      <c r="L4230">
        <v>68.5</v>
      </c>
      <c r="M4230" t="s">
        <v>5030</v>
      </c>
      <c r="N4230" t="s">
        <v>5031</v>
      </c>
    </row>
    <row r="4231" spans="1:14" x14ac:dyDescent="0.3">
      <c r="A4231" t="s">
        <v>4255</v>
      </c>
      <c r="B4231" t="s">
        <v>12</v>
      </c>
      <c r="C4231" t="s">
        <v>35</v>
      </c>
      <c r="D4231">
        <v>72</v>
      </c>
      <c r="E4231" t="s">
        <v>26</v>
      </c>
      <c r="F4231" t="s">
        <v>16</v>
      </c>
      <c r="G4231">
        <v>115.75</v>
      </c>
      <c r="H4231">
        <v>8443.7000000000007</v>
      </c>
      <c r="I4231" t="s">
        <v>15</v>
      </c>
      <c r="J4231" t="s">
        <v>16</v>
      </c>
      <c r="K4231" t="s">
        <v>29</v>
      </c>
      <c r="L4231">
        <v>8443.7000000000007</v>
      </c>
      <c r="M4231" t="s">
        <v>5033</v>
      </c>
      <c r="N4231" t="s">
        <v>5034</v>
      </c>
    </row>
    <row r="4232" spans="1:14" x14ac:dyDescent="0.3">
      <c r="A4232" t="s">
        <v>4256</v>
      </c>
      <c r="B4232" t="s">
        <v>19</v>
      </c>
      <c r="C4232" t="s">
        <v>13</v>
      </c>
      <c r="D4232">
        <v>11</v>
      </c>
      <c r="E4232" t="s">
        <v>26</v>
      </c>
      <c r="F4232" t="s">
        <v>15</v>
      </c>
      <c r="G4232">
        <v>73.5</v>
      </c>
      <c r="H4232">
        <v>791.75</v>
      </c>
      <c r="I4232" t="s">
        <v>16</v>
      </c>
      <c r="J4232" t="s">
        <v>16</v>
      </c>
      <c r="K4232" t="s">
        <v>17</v>
      </c>
      <c r="L4232">
        <v>791.75</v>
      </c>
      <c r="M4232" t="s">
        <v>5030</v>
      </c>
      <c r="N4232" t="s">
        <v>5031</v>
      </c>
    </row>
    <row r="4233" spans="1:14" x14ac:dyDescent="0.3">
      <c r="A4233" t="s">
        <v>4257</v>
      </c>
      <c r="B4233" t="s">
        <v>19</v>
      </c>
      <c r="C4233" t="s">
        <v>35</v>
      </c>
      <c r="D4233">
        <v>71</v>
      </c>
      <c r="E4233" t="s">
        <v>14</v>
      </c>
      <c r="F4233" t="s">
        <v>16</v>
      </c>
      <c r="G4233">
        <v>80.599999999999994</v>
      </c>
      <c r="H4233">
        <v>5708.2</v>
      </c>
      <c r="I4233" t="s">
        <v>15</v>
      </c>
      <c r="J4233" t="s">
        <v>15</v>
      </c>
      <c r="K4233" t="s">
        <v>24</v>
      </c>
      <c r="L4233">
        <v>5708.2</v>
      </c>
      <c r="M4233" t="s">
        <v>5033</v>
      </c>
      <c r="N4233" t="s">
        <v>5034</v>
      </c>
    </row>
    <row r="4234" spans="1:14" x14ac:dyDescent="0.3">
      <c r="A4234" t="s">
        <v>4258</v>
      </c>
      <c r="B4234" t="s">
        <v>12</v>
      </c>
      <c r="C4234" t="s">
        <v>13</v>
      </c>
      <c r="D4234">
        <v>1</v>
      </c>
      <c r="E4234" t="s">
        <v>26</v>
      </c>
      <c r="F4234" t="s">
        <v>15</v>
      </c>
      <c r="G4234">
        <v>69.95</v>
      </c>
      <c r="H4234">
        <v>69.95</v>
      </c>
      <c r="I4234" t="s">
        <v>16</v>
      </c>
      <c r="J4234" t="s">
        <v>16</v>
      </c>
      <c r="K4234" t="s">
        <v>21</v>
      </c>
      <c r="L4234">
        <v>69.95</v>
      </c>
      <c r="M4234" t="s">
        <v>5030</v>
      </c>
      <c r="N4234" t="s">
        <v>5031</v>
      </c>
    </row>
    <row r="4235" spans="1:14" x14ac:dyDescent="0.3">
      <c r="A4235" t="s">
        <v>4259</v>
      </c>
      <c r="B4235" t="s">
        <v>12</v>
      </c>
      <c r="C4235" t="s">
        <v>35</v>
      </c>
      <c r="D4235">
        <v>33</v>
      </c>
      <c r="E4235" t="s">
        <v>14</v>
      </c>
      <c r="F4235" t="s">
        <v>16</v>
      </c>
      <c r="G4235">
        <v>59.55</v>
      </c>
      <c r="H4235">
        <v>2016.3</v>
      </c>
      <c r="I4235" t="s">
        <v>15</v>
      </c>
      <c r="J4235" t="s">
        <v>15</v>
      </c>
      <c r="K4235" t="s">
        <v>24</v>
      </c>
      <c r="L4235">
        <v>2016.3</v>
      </c>
      <c r="M4235" t="s">
        <v>5032</v>
      </c>
      <c r="N4235" t="s">
        <v>5031</v>
      </c>
    </row>
    <row r="4236" spans="1:14" x14ac:dyDescent="0.3">
      <c r="A4236" t="s">
        <v>4260</v>
      </c>
      <c r="B4236" t="s">
        <v>12</v>
      </c>
      <c r="C4236" t="s">
        <v>20</v>
      </c>
      <c r="D4236">
        <v>16</v>
      </c>
      <c r="E4236" t="s">
        <v>15</v>
      </c>
      <c r="F4236" t="s">
        <v>36</v>
      </c>
      <c r="G4236">
        <v>19.05</v>
      </c>
      <c r="H4236">
        <v>326.64999999999998</v>
      </c>
      <c r="I4236" t="s">
        <v>15</v>
      </c>
      <c r="J4236" t="s">
        <v>15</v>
      </c>
      <c r="K4236" t="s">
        <v>21</v>
      </c>
      <c r="L4236">
        <v>326.64999999999998</v>
      </c>
      <c r="M4236" t="s">
        <v>5032</v>
      </c>
      <c r="N4236" t="s">
        <v>5031</v>
      </c>
    </row>
    <row r="4237" spans="1:14" x14ac:dyDescent="0.3">
      <c r="A4237" t="s">
        <v>4261</v>
      </c>
      <c r="B4237" t="s">
        <v>12</v>
      </c>
      <c r="C4237" t="s">
        <v>20</v>
      </c>
      <c r="D4237">
        <v>56</v>
      </c>
      <c r="E4237" t="s">
        <v>26</v>
      </c>
      <c r="F4237" t="s">
        <v>16</v>
      </c>
      <c r="G4237">
        <v>95.65</v>
      </c>
      <c r="H4237">
        <v>5471.75</v>
      </c>
      <c r="I4237" t="s">
        <v>15</v>
      </c>
      <c r="J4237" t="s">
        <v>15</v>
      </c>
      <c r="K4237" t="s">
        <v>17</v>
      </c>
      <c r="L4237">
        <v>5471.75</v>
      </c>
      <c r="M4237" t="s">
        <v>5033</v>
      </c>
      <c r="N4237" t="s">
        <v>5034</v>
      </c>
    </row>
    <row r="4238" spans="1:14" x14ac:dyDescent="0.3">
      <c r="A4238" t="s">
        <v>4262</v>
      </c>
      <c r="B4238" t="s">
        <v>12</v>
      </c>
      <c r="C4238" t="s">
        <v>13</v>
      </c>
      <c r="D4238">
        <v>1</v>
      </c>
      <c r="E4238" t="s">
        <v>15</v>
      </c>
      <c r="F4238" t="s">
        <v>36</v>
      </c>
      <c r="G4238">
        <v>19.95</v>
      </c>
      <c r="H4238">
        <v>19.95</v>
      </c>
      <c r="I4238" t="s">
        <v>15</v>
      </c>
      <c r="J4238" t="s">
        <v>15</v>
      </c>
      <c r="K4238" t="s">
        <v>29</v>
      </c>
      <c r="L4238">
        <v>19.95</v>
      </c>
      <c r="M4238" t="s">
        <v>5030</v>
      </c>
      <c r="N4238" t="s">
        <v>5031</v>
      </c>
    </row>
    <row r="4239" spans="1:14" x14ac:dyDescent="0.3">
      <c r="A4239" t="s">
        <v>4263</v>
      </c>
      <c r="B4239" t="s">
        <v>19</v>
      </c>
      <c r="C4239" t="s">
        <v>13</v>
      </c>
      <c r="D4239">
        <v>5</v>
      </c>
      <c r="E4239" t="s">
        <v>14</v>
      </c>
      <c r="F4239" t="s">
        <v>15</v>
      </c>
      <c r="G4239">
        <v>70.05</v>
      </c>
      <c r="H4239">
        <v>346.4</v>
      </c>
      <c r="I4239" t="s">
        <v>16</v>
      </c>
      <c r="J4239" t="s">
        <v>16</v>
      </c>
      <c r="K4239" t="s">
        <v>17</v>
      </c>
      <c r="L4239">
        <v>346.4</v>
      </c>
      <c r="M4239" t="s">
        <v>5030</v>
      </c>
      <c r="N4239" t="s">
        <v>5031</v>
      </c>
    </row>
    <row r="4240" spans="1:14" x14ac:dyDescent="0.3">
      <c r="A4240" t="s">
        <v>4264</v>
      </c>
      <c r="B4240" t="s">
        <v>19</v>
      </c>
      <c r="C4240" t="s">
        <v>20</v>
      </c>
      <c r="D4240">
        <v>57</v>
      </c>
      <c r="E4240" t="s">
        <v>15</v>
      </c>
      <c r="F4240" t="s">
        <v>36</v>
      </c>
      <c r="G4240">
        <v>19.399999999999999</v>
      </c>
      <c r="H4240">
        <v>1061.5999999999999</v>
      </c>
      <c r="I4240" t="s">
        <v>15</v>
      </c>
      <c r="J4240" t="s">
        <v>15</v>
      </c>
      <c r="K4240" t="s">
        <v>21</v>
      </c>
      <c r="L4240">
        <v>1061.5999999999999</v>
      </c>
      <c r="M4240" t="s">
        <v>5033</v>
      </c>
      <c r="N4240" t="s">
        <v>5031</v>
      </c>
    </row>
    <row r="4241" spans="1:14" x14ac:dyDescent="0.3">
      <c r="A4241" t="s">
        <v>4265</v>
      </c>
      <c r="B4241" t="s">
        <v>19</v>
      </c>
      <c r="C4241" t="s">
        <v>20</v>
      </c>
      <c r="D4241">
        <v>56</v>
      </c>
      <c r="E4241" t="s">
        <v>14</v>
      </c>
      <c r="F4241" t="s">
        <v>15</v>
      </c>
      <c r="G4241">
        <v>36.1</v>
      </c>
      <c r="H4241">
        <v>1971.5</v>
      </c>
      <c r="I4241" t="s">
        <v>15</v>
      </c>
      <c r="J4241" t="s">
        <v>16</v>
      </c>
      <c r="K4241" t="s">
        <v>29</v>
      </c>
      <c r="L4241">
        <v>1971.5</v>
      </c>
      <c r="M4241" t="s">
        <v>5033</v>
      </c>
      <c r="N4241" t="s">
        <v>5031</v>
      </c>
    </row>
    <row r="4242" spans="1:14" x14ac:dyDescent="0.3">
      <c r="A4242" t="s">
        <v>4266</v>
      </c>
      <c r="B4242" t="s">
        <v>19</v>
      </c>
      <c r="C4242" t="s">
        <v>13</v>
      </c>
      <c r="D4242">
        <v>8</v>
      </c>
      <c r="E4242" t="s">
        <v>26</v>
      </c>
      <c r="F4242" t="s">
        <v>15</v>
      </c>
      <c r="G4242">
        <v>94</v>
      </c>
      <c r="H4242">
        <v>773.65</v>
      </c>
      <c r="I4242" t="s">
        <v>16</v>
      </c>
      <c r="J4242" t="s">
        <v>16</v>
      </c>
      <c r="K4242" t="s">
        <v>17</v>
      </c>
      <c r="L4242">
        <v>773.65</v>
      </c>
      <c r="M4242" t="s">
        <v>5030</v>
      </c>
      <c r="N4242" t="s">
        <v>5031</v>
      </c>
    </row>
    <row r="4243" spans="1:14" x14ac:dyDescent="0.3">
      <c r="A4243" t="s">
        <v>4267</v>
      </c>
      <c r="B4243" t="s">
        <v>12</v>
      </c>
      <c r="C4243" t="s">
        <v>13</v>
      </c>
      <c r="D4243">
        <v>22</v>
      </c>
      <c r="E4243" t="s">
        <v>14</v>
      </c>
      <c r="F4243" t="s">
        <v>15</v>
      </c>
      <c r="G4243">
        <v>61.15</v>
      </c>
      <c r="H4243">
        <v>1422.05</v>
      </c>
      <c r="I4243" t="s">
        <v>16</v>
      </c>
      <c r="J4243" t="s">
        <v>15</v>
      </c>
      <c r="K4243" t="s">
        <v>21</v>
      </c>
      <c r="L4243">
        <v>1422.05</v>
      </c>
      <c r="M4243" t="s">
        <v>5032</v>
      </c>
      <c r="N4243" t="s">
        <v>5031</v>
      </c>
    </row>
    <row r="4244" spans="1:14" x14ac:dyDescent="0.3">
      <c r="A4244" t="s">
        <v>4268</v>
      </c>
      <c r="B4244" t="s">
        <v>12</v>
      </c>
      <c r="C4244" t="s">
        <v>13</v>
      </c>
      <c r="D4244">
        <v>1</v>
      </c>
      <c r="E4244" t="s">
        <v>15</v>
      </c>
      <c r="F4244" t="s">
        <v>36</v>
      </c>
      <c r="G4244">
        <v>19.75</v>
      </c>
      <c r="H4244">
        <v>19.75</v>
      </c>
      <c r="I4244" t="s">
        <v>15</v>
      </c>
      <c r="J4244" t="s">
        <v>15</v>
      </c>
      <c r="K4244" t="s">
        <v>21</v>
      </c>
      <c r="L4244">
        <v>19.75</v>
      </c>
      <c r="M4244" t="s">
        <v>5030</v>
      </c>
      <c r="N4244" t="s">
        <v>5031</v>
      </c>
    </row>
    <row r="4245" spans="1:14" x14ac:dyDescent="0.3">
      <c r="A4245" t="s">
        <v>4269</v>
      </c>
      <c r="B4245" t="s">
        <v>12</v>
      </c>
      <c r="C4245" t="s">
        <v>13</v>
      </c>
      <c r="D4245">
        <v>40</v>
      </c>
      <c r="E4245" t="s">
        <v>14</v>
      </c>
      <c r="F4245" t="s">
        <v>16</v>
      </c>
      <c r="G4245">
        <v>64.099999999999994</v>
      </c>
      <c r="H4245">
        <v>2460.35</v>
      </c>
      <c r="I4245" t="s">
        <v>15</v>
      </c>
      <c r="J4245" t="s">
        <v>16</v>
      </c>
      <c r="K4245" t="s">
        <v>29</v>
      </c>
      <c r="L4245">
        <v>2460.35</v>
      </c>
      <c r="M4245" t="s">
        <v>5033</v>
      </c>
      <c r="N4245" t="s">
        <v>5031</v>
      </c>
    </row>
    <row r="4246" spans="1:14" x14ac:dyDescent="0.3">
      <c r="A4246" t="s">
        <v>4270</v>
      </c>
      <c r="B4246" t="s">
        <v>19</v>
      </c>
      <c r="C4246" t="s">
        <v>35</v>
      </c>
      <c r="D4246">
        <v>46</v>
      </c>
      <c r="E4246" t="s">
        <v>15</v>
      </c>
      <c r="F4246" t="s">
        <v>36</v>
      </c>
      <c r="G4246">
        <v>19.75</v>
      </c>
      <c r="H4246">
        <v>856.5</v>
      </c>
      <c r="I4246" t="s">
        <v>15</v>
      </c>
      <c r="J4246" t="s">
        <v>15</v>
      </c>
      <c r="K4246" t="s">
        <v>29</v>
      </c>
      <c r="L4246">
        <v>856.5</v>
      </c>
      <c r="M4246" t="s">
        <v>5033</v>
      </c>
      <c r="N4246" t="s">
        <v>5031</v>
      </c>
    </row>
    <row r="4247" spans="1:14" x14ac:dyDescent="0.3">
      <c r="A4247" t="s">
        <v>4271</v>
      </c>
      <c r="B4247" t="s">
        <v>19</v>
      </c>
      <c r="C4247" t="s">
        <v>35</v>
      </c>
      <c r="D4247">
        <v>63</v>
      </c>
      <c r="E4247" t="s">
        <v>15</v>
      </c>
      <c r="F4247" t="s">
        <v>36</v>
      </c>
      <c r="G4247">
        <v>19.7</v>
      </c>
      <c r="H4247">
        <v>1275.8499999999999</v>
      </c>
      <c r="I4247" t="s">
        <v>15</v>
      </c>
      <c r="J4247" t="s">
        <v>15</v>
      </c>
      <c r="K4247" t="s">
        <v>21</v>
      </c>
      <c r="L4247">
        <v>1275.8499999999999</v>
      </c>
      <c r="M4247" t="s">
        <v>5033</v>
      </c>
      <c r="N4247" t="s">
        <v>5031</v>
      </c>
    </row>
    <row r="4248" spans="1:14" x14ac:dyDescent="0.3">
      <c r="A4248" t="s">
        <v>4272</v>
      </c>
      <c r="B4248" t="s">
        <v>19</v>
      </c>
      <c r="C4248" t="s">
        <v>35</v>
      </c>
      <c r="D4248">
        <v>68</v>
      </c>
      <c r="E4248" t="s">
        <v>26</v>
      </c>
      <c r="F4248" t="s">
        <v>15</v>
      </c>
      <c r="G4248">
        <v>110.2</v>
      </c>
      <c r="H4248">
        <v>7467.5</v>
      </c>
      <c r="I4248" t="s">
        <v>15</v>
      </c>
      <c r="J4248" t="s">
        <v>16</v>
      </c>
      <c r="K4248" t="s">
        <v>17</v>
      </c>
      <c r="L4248">
        <v>7467.5</v>
      </c>
      <c r="M4248" t="s">
        <v>5033</v>
      </c>
      <c r="N4248" t="s">
        <v>5034</v>
      </c>
    </row>
    <row r="4249" spans="1:14" x14ac:dyDescent="0.3">
      <c r="A4249" t="s">
        <v>4273</v>
      </c>
      <c r="B4249" t="s">
        <v>19</v>
      </c>
      <c r="C4249" t="s">
        <v>35</v>
      </c>
      <c r="D4249">
        <v>69</v>
      </c>
      <c r="E4249" t="s">
        <v>26</v>
      </c>
      <c r="F4249" t="s">
        <v>16</v>
      </c>
      <c r="G4249">
        <v>106.35</v>
      </c>
      <c r="H4249">
        <v>7261.75</v>
      </c>
      <c r="I4249" t="s">
        <v>15</v>
      </c>
      <c r="J4249" t="s">
        <v>16</v>
      </c>
      <c r="K4249" t="s">
        <v>29</v>
      </c>
      <c r="L4249">
        <v>7261.75</v>
      </c>
      <c r="M4249" t="s">
        <v>5033</v>
      </c>
      <c r="N4249" t="s">
        <v>5034</v>
      </c>
    </row>
    <row r="4250" spans="1:14" x14ac:dyDescent="0.3">
      <c r="A4250" t="s">
        <v>4274</v>
      </c>
      <c r="B4250" t="s">
        <v>12</v>
      </c>
      <c r="C4250" t="s">
        <v>13</v>
      </c>
      <c r="D4250">
        <v>56</v>
      </c>
      <c r="E4250" t="s">
        <v>26</v>
      </c>
      <c r="F4250" t="s">
        <v>16</v>
      </c>
      <c r="G4250">
        <v>90.55</v>
      </c>
      <c r="H4250">
        <v>5116.6000000000004</v>
      </c>
      <c r="I4250" t="s">
        <v>15</v>
      </c>
      <c r="J4250" t="s">
        <v>15</v>
      </c>
      <c r="K4250" t="s">
        <v>17</v>
      </c>
      <c r="L4250">
        <v>5116.6000000000004</v>
      </c>
      <c r="M4250" t="s">
        <v>5033</v>
      </c>
      <c r="N4250" t="s">
        <v>5034</v>
      </c>
    </row>
    <row r="4251" spans="1:14" x14ac:dyDescent="0.3">
      <c r="A4251" t="s">
        <v>4275</v>
      </c>
      <c r="B4251" t="s">
        <v>12</v>
      </c>
      <c r="C4251" t="s">
        <v>20</v>
      </c>
      <c r="D4251">
        <v>10</v>
      </c>
      <c r="E4251" t="s">
        <v>14</v>
      </c>
      <c r="F4251" t="s">
        <v>15</v>
      </c>
      <c r="G4251">
        <v>65.900000000000006</v>
      </c>
      <c r="H4251">
        <v>660.05</v>
      </c>
      <c r="I4251" t="s">
        <v>15</v>
      </c>
      <c r="J4251" t="s">
        <v>16</v>
      </c>
      <c r="K4251" t="s">
        <v>21</v>
      </c>
      <c r="L4251">
        <v>660.05</v>
      </c>
      <c r="M4251" t="s">
        <v>5030</v>
      </c>
      <c r="N4251" t="s">
        <v>5031</v>
      </c>
    </row>
    <row r="4252" spans="1:14" x14ac:dyDescent="0.3">
      <c r="A4252" t="s">
        <v>4276</v>
      </c>
      <c r="B4252" t="s">
        <v>19</v>
      </c>
      <c r="C4252" t="s">
        <v>20</v>
      </c>
      <c r="D4252">
        <v>63</v>
      </c>
      <c r="E4252" t="s">
        <v>26</v>
      </c>
      <c r="F4252" t="s">
        <v>16</v>
      </c>
      <c r="G4252">
        <v>104.5</v>
      </c>
      <c r="H4252">
        <v>6590.8</v>
      </c>
      <c r="I4252" t="s">
        <v>15</v>
      </c>
      <c r="J4252" t="s">
        <v>15</v>
      </c>
      <c r="K4252" t="s">
        <v>29</v>
      </c>
      <c r="L4252">
        <v>6590.8</v>
      </c>
      <c r="M4252" t="s">
        <v>5033</v>
      </c>
      <c r="N4252" t="s">
        <v>5034</v>
      </c>
    </row>
    <row r="4253" spans="1:14" x14ac:dyDescent="0.3">
      <c r="A4253" t="s">
        <v>4277</v>
      </c>
      <c r="B4253" t="s">
        <v>12</v>
      </c>
      <c r="C4253" t="s">
        <v>35</v>
      </c>
      <c r="D4253">
        <v>24</v>
      </c>
      <c r="E4253" t="s">
        <v>14</v>
      </c>
      <c r="F4253" t="s">
        <v>16</v>
      </c>
      <c r="G4253">
        <v>52.5</v>
      </c>
      <c r="H4253">
        <v>1208.1500000000001</v>
      </c>
      <c r="I4253" t="s">
        <v>15</v>
      </c>
      <c r="J4253" t="s">
        <v>16</v>
      </c>
      <c r="K4253" t="s">
        <v>21</v>
      </c>
      <c r="L4253">
        <v>1208.1500000000001</v>
      </c>
      <c r="M4253" t="s">
        <v>5032</v>
      </c>
      <c r="N4253" t="s">
        <v>5031</v>
      </c>
    </row>
    <row r="4254" spans="1:14" x14ac:dyDescent="0.3">
      <c r="A4254" t="s">
        <v>4278</v>
      </c>
      <c r="B4254" t="s">
        <v>12</v>
      </c>
      <c r="C4254" t="s">
        <v>13</v>
      </c>
      <c r="D4254">
        <v>19</v>
      </c>
      <c r="E4254" t="s">
        <v>14</v>
      </c>
      <c r="F4254" t="s">
        <v>15</v>
      </c>
      <c r="G4254">
        <v>56.1</v>
      </c>
      <c r="H4254">
        <v>1033.9000000000001</v>
      </c>
      <c r="I4254" t="s">
        <v>15</v>
      </c>
      <c r="J4254" t="s">
        <v>16</v>
      </c>
      <c r="K4254" t="s">
        <v>21</v>
      </c>
      <c r="L4254">
        <v>1033.9000000000001</v>
      </c>
      <c r="M4254" t="s">
        <v>5032</v>
      </c>
      <c r="N4254" t="s">
        <v>5031</v>
      </c>
    </row>
    <row r="4255" spans="1:14" x14ac:dyDescent="0.3">
      <c r="A4255" t="s">
        <v>4279</v>
      </c>
      <c r="B4255" t="s">
        <v>19</v>
      </c>
      <c r="C4255" t="s">
        <v>13</v>
      </c>
      <c r="D4255">
        <v>22</v>
      </c>
      <c r="E4255" t="s">
        <v>26</v>
      </c>
      <c r="F4255" t="s">
        <v>15</v>
      </c>
      <c r="G4255">
        <v>88.75</v>
      </c>
      <c r="H4255">
        <v>1885.15</v>
      </c>
      <c r="I4255" t="s">
        <v>15</v>
      </c>
      <c r="J4255" t="s">
        <v>16</v>
      </c>
      <c r="K4255" t="s">
        <v>17</v>
      </c>
      <c r="L4255">
        <v>1885.15</v>
      </c>
      <c r="M4255" t="s">
        <v>5032</v>
      </c>
      <c r="N4255" t="s">
        <v>5031</v>
      </c>
    </row>
    <row r="4256" spans="1:14" x14ac:dyDescent="0.3">
      <c r="A4256" t="s">
        <v>4280</v>
      </c>
      <c r="B4256" t="s">
        <v>19</v>
      </c>
      <c r="C4256" t="s">
        <v>13</v>
      </c>
      <c r="D4256">
        <v>29</v>
      </c>
      <c r="E4256" t="s">
        <v>26</v>
      </c>
      <c r="F4256" t="s">
        <v>15</v>
      </c>
      <c r="G4256">
        <v>84.45</v>
      </c>
      <c r="H4256">
        <v>2467.1</v>
      </c>
      <c r="I4256" t="s">
        <v>16</v>
      </c>
      <c r="J4256" t="s">
        <v>16</v>
      </c>
      <c r="K4256" t="s">
        <v>17</v>
      </c>
      <c r="L4256">
        <v>2467.1</v>
      </c>
      <c r="M4256" t="s">
        <v>5032</v>
      </c>
      <c r="N4256" t="s">
        <v>5031</v>
      </c>
    </row>
    <row r="4257" spans="1:14" x14ac:dyDescent="0.3">
      <c r="A4257" t="s">
        <v>4281</v>
      </c>
      <c r="B4257" t="s">
        <v>19</v>
      </c>
      <c r="C4257" t="s">
        <v>20</v>
      </c>
      <c r="D4257">
        <v>13</v>
      </c>
      <c r="E4257" t="s">
        <v>14</v>
      </c>
      <c r="F4257" t="s">
        <v>15</v>
      </c>
      <c r="G4257">
        <v>75.3</v>
      </c>
      <c r="H4257">
        <v>989.45</v>
      </c>
      <c r="I4257" t="s">
        <v>16</v>
      </c>
      <c r="J4257" t="s">
        <v>16</v>
      </c>
      <c r="K4257" t="s">
        <v>21</v>
      </c>
      <c r="L4257">
        <v>989.45</v>
      </c>
      <c r="M4257" t="s">
        <v>5032</v>
      </c>
      <c r="N4257" t="s">
        <v>5031</v>
      </c>
    </row>
    <row r="4258" spans="1:14" x14ac:dyDescent="0.3">
      <c r="A4258" t="s">
        <v>4282</v>
      </c>
      <c r="B4258" t="s">
        <v>12</v>
      </c>
      <c r="C4258" t="s">
        <v>35</v>
      </c>
      <c r="D4258">
        <v>70</v>
      </c>
      <c r="E4258" t="s">
        <v>15</v>
      </c>
      <c r="F4258" t="s">
        <v>36</v>
      </c>
      <c r="G4258">
        <v>26</v>
      </c>
      <c r="H4258">
        <v>2006.95</v>
      </c>
      <c r="I4258" t="s">
        <v>15</v>
      </c>
      <c r="J4258" t="s">
        <v>16</v>
      </c>
      <c r="K4258" t="s">
        <v>24</v>
      </c>
      <c r="L4258">
        <v>2006.95</v>
      </c>
      <c r="M4258" t="s">
        <v>5033</v>
      </c>
      <c r="N4258" t="s">
        <v>5031</v>
      </c>
    </row>
    <row r="4259" spans="1:14" x14ac:dyDescent="0.3">
      <c r="A4259" t="s">
        <v>4283</v>
      </c>
      <c r="B4259" t="s">
        <v>12</v>
      </c>
      <c r="C4259" t="s">
        <v>13</v>
      </c>
      <c r="D4259">
        <v>49</v>
      </c>
      <c r="E4259" t="s">
        <v>26</v>
      </c>
      <c r="F4259" t="s">
        <v>15</v>
      </c>
      <c r="G4259">
        <v>99.4</v>
      </c>
      <c r="H4259">
        <v>5025</v>
      </c>
      <c r="I4259" t="s">
        <v>15</v>
      </c>
      <c r="J4259" t="s">
        <v>15</v>
      </c>
      <c r="K4259" t="s">
        <v>17</v>
      </c>
      <c r="L4259">
        <v>5025</v>
      </c>
      <c r="M4259" t="s">
        <v>5033</v>
      </c>
      <c r="N4259" t="s">
        <v>5034</v>
      </c>
    </row>
    <row r="4260" spans="1:14" x14ac:dyDescent="0.3">
      <c r="A4260" t="s">
        <v>4284</v>
      </c>
      <c r="B4260" t="s">
        <v>12</v>
      </c>
      <c r="C4260" t="s">
        <v>20</v>
      </c>
      <c r="D4260">
        <v>43</v>
      </c>
      <c r="E4260" t="s">
        <v>26</v>
      </c>
      <c r="F4260" t="s">
        <v>16</v>
      </c>
      <c r="G4260">
        <v>109.55</v>
      </c>
      <c r="H4260">
        <v>4830.25</v>
      </c>
      <c r="I4260" t="s">
        <v>16</v>
      </c>
      <c r="J4260" t="s">
        <v>16</v>
      </c>
      <c r="K4260" t="s">
        <v>21</v>
      </c>
      <c r="L4260">
        <v>4830.25</v>
      </c>
      <c r="M4260" t="s">
        <v>5033</v>
      </c>
      <c r="N4260" t="s">
        <v>5034</v>
      </c>
    </row>
    <row r="4261" spans="1:14" x14ac:dyDescent="0.3">
      <c r="A4261" t="s">
        <v>4285</v>
      </c>
      <c r="B4261" t="s">
        <v>12</v>
      </c>
      <c r="C4261" t="s">
        <v>13</v>
      </c>
      <c r="D4261">
        <v>3</v>
      </c>
      <c r="E4261" t="s">
        <v>15</v>
      </c>
      <c r="F4261" t="s">
        <v>36</v>
      </c>
      <c r="G4261">
        <v>19.600000000000001</v>
      </c>
      <c r="H4261">
        <v>59.75</v>
      </c>
      <c r="I4261" t="s">
        <v>16</v>
      </c>
      <c r="J4261" t="s">
        <v>16</v>
      </c>
      <c r="K4261" t="s">
        <v>21</v>
      </c>
      <c r="L4261">
        <v>59.75</v>
      </c>
      <c r="M4261" t="s">
        <v>5030</v>
      </c>
      <c r="N4261" t="s">
        <v>5031</v>
      </c>
    </row>
    <row r="4262" spans="1:14" x14ac:dyDescent="0.3">
      <c r="A4262" t="s">
        <v>4286</v>
      </c>
      <c r="B4262" t="s">
        <v>19</v>
      </c>
      <c r="C4262" t="s">
        <v>20</v>
      </c>
      <c r="D4262">
        <v>42</v>
      </c>
      <c r="E4262" t="s">
        <v>14</v>
      </c>
      <c r="F4262" t="s">
        <v>16</v>
      </c>
      <c r="G4262">
        <v>73.150000000000006</v>
      </c>
      <c r="H4262">
        <v>3088.25</v>
      </c>
      <c r="I4262" t="s">
        <v>15</v>
      </c>
      <c r="J4262" t="s">
        <v>15</v>
      </c>
      <c r="K4262" t="s">
        <v>17</v>
      </c>
      <c r="L4262">
        <v>3088.25</v>
      </c>
      <c r="M4262" t="s">
        <v>5033</v>
      </c>
      <c r="N4262" t="s">
        <v>5034</v>
      </c>
    </row>
    <row r="4263" spans="1:14" x14ac:dyDescent="0.3">
      <c r="A4263" t="s">
        <v>4287</v>
      </c>
      <c r="B4263" t="s">
        <v>19</v>
      </c>
      <c r="C4263" t="s">
        <v>20</v>
      </c>
      <c r="D4263">
        <v>57</v>
      </c>
      <c r="E4263" t="s">
        <v>14</v>
      </c>
      <c r="F4263" t="s">
        <v>16</v>
      </c>
      <c r="G4263">
        <v>54.65</v>
      </c>
      <c r="H4263">
        <v>3134.7</v>
      </c>
      <c r="I4263" t="s">
        <v>15</v>
      </c>
      <c r="J4263" t="s">
        <v>16</v>
      </c>
      <c r="K4263" t="s">
        <v>21</v>
      </c>
      <c r="L4263">
        <v>3134.7</v>
      </c>
      <c r="M4263" t="s">
        <v>5033</v>
      </c>
      <c r="N4263" t="s">
        <v>5034</v>
      </c>
    </row>
    <row r="4264" spans="1:14" x14ac:dyDescent="0.3">
      <c r="A4264" t="s">
        <v>4288</v>
      </c>
      <c r="B4264" t="s">
        <v>19</v>
      </c>
      <c r="C4264" t="s">
        <v>13</v>
      </c>
      <c r="D4264">
        <v>2</v>
      </c>
      <c r="E4264" t="s">
        <v>14</v>
      </c>
      <c r="F4264" t="s">
        <v>15</v>
      </c>
      <c r="G4264">
        <v>66.400000000000006</v>
      </c>
      <c r="H4264">
        <v>94.55</v>
      </c>
      <c r="I4264" t="s">
        <v>16</v>
      </c>
      <c r="J4264" t="s">
        <v>15</v>
      </c>
      <c r="K4264" t="s">
        <v>24</v>
      </c>
      <c r="L4264">
        <v>94.55</v>
      </c>
      <c r="M4264" t="s">
        <v>5030</v>
      </c>
      <c r="N4264" t="s">
        <v>5031</v>
      </c>
    </row>
    <row r="4265" spans="1:14" x14ac:dyDescent="0.3">
      <c r="A4265" t="s">
        <v>4289</v>
      </c>
      <c r="B4265" t="s">
        <v>12</v>
      </c>
      <c r="C4265" t="s">
        <v>35</v>
      </c>
      <c r="D4265">
        <v>72</v>
      </c>
      <c r="E4265" t="s">
        <v>26</v>
      </c>
      <c r="F4265" t="s">
        <v>16</v>
      </c>
      <c r="G4265">
        <v>115.55</v>
      </c>
      <c r="H4265">
        <v>8312.4</v>
      </c>
      <c r="I4265" t="s">
        <v>15</v>
      </c>
      <c r="J4265" t="s">
        <v>16</v>
      </c>
      <c r="K4265" t="s">
        <v>29</v>
      </c>
      <c r="L4265">
        <v>8312.4</v>
      </c>
      <c r="M4265" t="s">
        <v>5033</v>
      </c>
      <c r="N4265" t="s">
        <v>5034</v>
      </c>
    </row>
    <row r="4266" spans="1:14" x14ac:dyDescent="0.3">
      <c r="A4266" t="s">
        <v>4290</v>
      </c>
      <c r="B4266" t="s">
        <v>12</v>
      </c>
      <c r="C4266" t="s">
        <v>13</v>
      </c>
      <c r="D4266">
        <v>46</v>
      </c>
      <c r="E4266" t="s">
        <v>26</v>
      </c>
      <c r="F4266" t="s">
        <v>15</v>
      </c>
      <c r="G4266">
        <v>104.45</v>
      </c>
      <c r="H4266">
        <v>4863.8500000000004</v>
      </c>
      <c r="I4266" t="s">
        <v>15</v>
      </c>
      <c r="J4266" t="s">
        <v>16</v>
      </c>
      <c r="K4266" t="s">
        <v>17</v>
      </c>
      <c r="L4266">
        <v>4863.8500000000004</v>
      </c>
      <c r="M4266" t="s">
        <v>5033</v>
      </c>
      <c r="N4266" t="s">
        <v>5034</v>
      </c>
    </row>
    <row r="4267" spans="1:14" x14ac:dyDescent="0.3">
      <c r="A4267" t="s">
        <v>4291</v>
      </c>
      <c r="B4267" t="s">
        <v>19</v>
      </c>
      <c r="C4267" t="s">
        <v>13</v>
      </c>
      <c r="D4267">
        <v>66</v>
      </c>
      <c r="E4267" t="s">
        <v>26</v>
      </c>
      <c r="F4267" t="s">
        <v>16</v>
      </c>
      <c r="G4267">
        <v>100.05</v>
      </c>
      <c r="H4267">
        <v>6871.9</v>
      </c>
      <c r="I4267" t="s">
        <v>16</v>
      </c>
      <c r="J4267" t="s">
        <v>16</v>
      </c>
      <c r="K4267" t="s">
        <v>29</v>
      </c>
      <c r="L4267">
        <v>6871.9</v>
      </c>
      <c r="M4267" t="s">
        <v>5033</v>
      </c>
      <c r="N4267" t="s">
        <v>5034</v>
      </c>
    </row>
    <row r="4268" spans="1:14" x14ac:dyDescent="0.3">
      <c r="A4268" t="s">
        <v>4292</v>
      </c>
      <c r="B4268" t="s">
        <v>19</v>
      </c>
      <c r="C4268" t="s">
        <v>20</v>
      </c>
      <c r="D4268">
        <v>62</v>
      </c>
      <c r="E4268" t="s">
        <v>26</v>
      </c>
      <c r="F4268" t="s">
        <v>16</v>
      </c>
      <c r="G4268">
        <v>102</v>
      </c>
      <c r="H4268">
        <v>6529.25</v>
      </c>
      <c r="I4268" t="s">
        <v>16</v>
      </c>
      <c r="J4268" t="s">
        <v>15</v>
      </c>
      <c r="K4268" t="s">
        <v>17</v>
      </c>
      <c r="L4268">
        <v>6529.25</v>
      </c>
      <c r="M4268" t="s">
        <v>5033</v>
      </c>
      <c r="N4268" t="s">
        <v>5034</v>
      </c>
    </row>
    <row r="4269" spans="1:14" x14ac:dyDescent="0.3">
      <c r="A4269" t="s">
        <v>4293</v>
      </c>
      <c r="B4269" t="s">
        <v>12</v>
      </c>
      <c r="C4269" t="s">
        <v>35</v>
      </c>
      <c r="D4269">
        <v>72</v>
      </c>
      <c r="E4269" t="s">
        <v>14</v>
      </c>
      <c r="F4269" t="s">
        <v>16</v>
      </c>
      <c r="G4269">
        <v>91.15</v>
      </c>
      <c r="H4269">
        <v>6637.9</v>
      </c>
      <c r="I4269" t="s">
        <v>15</v>
      </c>
      <c r="J4269" t="s">
        <v>16</v>
      </c>
      <c r="K4269" t="s">
        <v>24</v>
      </c>
      <c r="L4269">
        <v>6637.9</v>
      </c>
      <c r="M4269" t="s">
        <v>5033</v>
      </c>
      <c r="N4269" t="s">
        <v>5034</v>
      </c>
    </row>
    <row r="4270" spans="1:14" x14ac:dyDescent="0.3">
      <c r="A4270" t="s">
        <v>4294</v>
      </c>
      <c r="B4270" t="s">
        <v>19</v>
      </c>
      <c r="C4270" t="s">
        <v>20</v>
      </c>
      <c r="D4270">
        <v>35</v>
      </c>
      <c r="E4270" t="s">
        <v>26</v>
      </c>
      <c r="F4270" t="s">
        <v>16</v>
      </c>
      <c r="G4270">
        <v>89.7</v>
      </c>
      <c r="H4270">
        <v>3165.6</v>
      </c>
      <c r="I4270" t="s">
        <v>15</v>
      </c>
      <c r="J4270" t="s">
        <v>16</v>
      </c>
      <c r="K4270" t="s">
        <v>17</v>
      </c>
      <c r="L4270">
        <v>3165.6</v>
      </c>
      <c r="M4270" t="s">
        <v>5032</v>
      </c>
      <c r="N4270" t="s">
        <v>5034</v>
      </c>
    </row>
    <row r="4271" spans="1:14" x14ac:dyDescent="0.3">
      <c r="A4271" t="s">
        <v>4295</v>
      </c>
      <c r="B4271" t="s">
        <v>19</v>
      </c>
      <c r="C4271" t="s">
        <v>13</v>
      </c>
      <c r="D4271">
        <v>17</v>
      </c>
      <c r="E4271" t="s">
        <v>26</v>
      </c>
      <c r="F4271" t="s">
        <v>15</v>
      </c>
      <c r="G4271">
        <v>90.2</v>
      </c>
      <c r="H4271">
        <v>1454.15</v>
      </c>
      <c r="I4271" t="s">
        <v>16</v>
      </c>
      <c r="J4271" t="s">
        <v>15</v>
      </c>
      <c r="K4271" t="s">
        <v>29</v>
      </c>
      <c r="L4271">
        <v>1454.15</v>
      </c>
      <c r="M4271" t="s">
        <v>5032</v>
      </c>
      <c r="N4271" t="s">
        <v>5031</v>
      </c>
    </row>
    <row r="4272" spans="1:14" x14ac:dyDescent="0.3">
      <c r="A4272" t="s">
        <v>4296</v>
      </c>
      <c r="B4272" t="s">
        <v>12</v>
      </c>
      <c r="C4272" t="s">
        <v>35</v>
      </c>
      <c r="D4272">
        <v>72</v>
      </c>
      <c r="E4272" t="s">
        <v>14</v>
      </c>
      <c r="F4272" t="s">
        <v>16</v>
      </c>
      <c r="G4272">
        <v>92.4</v>
      </c>
      <c r="H4272">
        <v>6786.1</v>
      </c>
      <c r="I4272" t="s">
        <v>15</v>
      </c>
      <c r="J4272" t="s">
        <v>16</v>
      </c>
      <c r="K4272" t="s">
        <v>17</v>
      </c>
      <c r="L4272">
        <v>6786.1</v>
      </c>
      <c r="M4272" t="s">
        <v>5033</v>
      </c>
      <c r="N4272" t="s">
        <v>5034</v>
      </c>
    </row>
    <row r="4273" spans="1:14" x14ac:dyDescent="0.3">
      <c r="A4273" t="s">
        <v>4297</v>
      </c>
      <c r="B4273" t="s">
        <v>12</v>
      </c>
      <c r="C4273" t="s">
        <v>20</v>
      </c>
      <c r="D4273">
        <v>28</v>
      </c>
      <c r="E4273" t="s">
        <v>15</v>
      </c>
      <c r="F4273" t="s">
        <v>36</v>
      </c>
      <c r="G4273">
        <v>19.899999999999999</v>
      </c>
      <c r="H4273">
        <v>543</v>
      </c>
      <c r="I4273" t="s">
        <v>15</v>
      </c>
      <c r="J4273" t="s">
        <v>15</v>
      </c>
      <c r="K4273" t="s">
        <v>21</v>
      </c>
      <c r="L4273">
        <v>543</v>
      </c>
      <c r="M4273" t="s">
        <v>5032</v>
      </c>
      <c r="N4273" t="s">
        <v>5031</v>
      </c>
    </row>
    <row r="4274" spans="1:14" x14ac:dyDescent="0.3">
      <c r="A4274" t="s">
        <v>4298</v>
      </c>
      <c r="B4274" t="s">
        <v>19</v>
      </c>
      <c r="C4274" t="s">
        <v>35</v>
      </c>
      <c r="D4274">
        <v>56</v>
      </c>
      <c r="E4274" t="s">
        <v>15</v>
      </c>
      <c r="F4274" t="s">
        <v>36</v>
      </c>
      <c r="G4274">
        <v>25.15</v>
      </c>
      <c r="H4274">
        <v>1327.15</v>
      </c>
      <c r="I4274" t="s">
        <v>16</v>
      </c>
      <c r="J4274" t="s">
        <v>16</v>
      </c>
      <c r="K4274" t="s">
        <v>29</v>
      </c>
      <c r="L4274">
        <v>1327.15</v>
      </c>
      <c r="M4274" t="s">
        <v>5033</v>
      </c>
      <c r="N4274" t="s">
        <v>5031</v>
      </c>
    </row>
    <row r="4275" spans="1:14" x14ac:dyDescent="0.3">
      <c r="A4275" t="s">
        <v>4299</v>
      </c>
      <c r="B4275" t="s">
        <v>12</v>
      </c>
      <c r="C4275" t="s">
        <v>13</v>
      </c>
      <c r="D4275">
        <v>31</v>
      </c>
      <c r="E4275" t="s">
        <v>26</v>
      </c>
      <c r="F4275" t="s">
        <v>16</v>
      </c>
      <c r="G4275">
        <v>79.849999999999994</v>
      </c>
      <c r="H4275">
        <v>2404.15</v>
      </c>
      <c r="I4275" t="s">
        <v>16</v>
      </c>
      <c r="J4275" t="s">
        <v>16</v>
      </c>
      <c r="K4275" t="s">
        <v>29</v>
      </c>
      <c r="L4275">
        <v>2404.15</v>
      </c>
      <c r="M4275" t="s">
        <v>5032</v>
      </c>
      <c r="N4275" t="s">
        <v>5031</v>
      </c>
    </row>
    <row r="4276" spans="1:14" x14ac:dyDescent="0.3">
      <c r="A4276" t="s">
        <v>4300</v>
      </c>
      <c r="B4276" t="s">
        <v>19</v>
      </c>
      <c r="C4276" t="s">
        <v>20</v>
      </c>
      <c r="D4276">
        <v>45</v>
      </c>
      <c r="E4276" t="s">
        <v>15</v>
      </c>
      <c r="F4276" t="s">
        <v>36</v>
      </c>
      <c r="G4276">
        <v>18.850000000000001</v>
      </c>
      <c r="H4276">
        <v>867.3</v>
      </c>
      <c r="I4276" t="s">
        <v>15</v>
      </c>
      <c r="J4276" t="s">
        <v>15</v>
      </c>
      <c r="K4276" t="s">
        <v>24</v>
      </c>
      <c r="L4276">
        <v>867.3</v>
      </c>
      <c r="M4276" t="s">
        <v>5033</v>
      </c>
      <c r="N4276" t="s">
        <v>5031</v>
      </c>
    </row>
    <row r="4277" spans="1:14" x14ac:dyDescent="0.3">
      <c r="A4277" t="s">
        <v>4301</v>
      </c>
      <c r="B4277" t="s">
        <v>12</v>
      </c>
      <c r="C4277" t="s">
        <v>13</v>
      </c>
      <c r="D4277">
        <v>1</v>
      </c>
      <c r="E4277" t="s">
        <v>15</v>
      </c>
      <c r="F4277" t="s">
        <v>36</v>
      </c>
      <c r="G4277">
        <v>25.75</v>
      </c>
      <c r="H4277">
        <v>25.75</v>
      </c>
      <c r="I4277" t="s">
        <v>15</v>
      </c>
      <c r="J4277" t="s">
        <v>16</v>
      </c>
      <c r="K4277" t="s">
        <v>21</v>
      </c>
      <c r="L4277">
        <v>25.75</v>
      </c>
      <c r="M4277" t="s">
        <v>5030</v>
      </c>
      <c r="N4277" t="s">
        <v>5031</v>
      </c>
    </row>
    <row r="4278" spans="1:14" x14ac:dyDescent="0.3">
      <c r="A4278" t="s">
        <v>4302</v>
      </c>
      <c r="B4278" t="s">
        <v>12</v>
      </c>
      <c r="C4278" t="s">
        <v>13</v>
      </c>
      <c r="D4278">
        <v>2</v>
      </c>
      <c r="E4278" t="s">
        <v>14</v>
      </c>
      <c r="F4278" t="s">
        <v>15</v>
      </c>
      <c r="G4278">
        <v>49.6</v>
      </c>
      <c r="H4278">
        <v>114.7</v>
      </c>
      <c r="I4278" t="s">
        <v>16</v>
      </c>
      <c r="J4278" t="s">
        <v>16</v>
      </c>
      <c r="K4278" t="s">
        <v>21</v>
      </c>
      <c r="L4278">
        <v>114.7</v>
      </c>
      <c r="M4278" t="s">
        <v>5030</v>
      </c>
      <c r="N4278" t="s">
        <v>5031</v>
      </c>
    </row>
    <row r="4279" spans="1:14" x14ac:dyDescent="0.3">
      <c r="A4279" t="s">
        <v>4303</v>
      </c>
      <c r="B4279" t="s">
        <v>12</v>
      </c>
      <c r="C4279" t="s">
        <v>13</v>
      </c>
      <c r="D4279">
        <v>6</v>
      </c>
      <c r="E4279" t="s">
        <v>15</v>
      </c>
      <c r="F4279" t="s">
        <v>36</v>
      </c>
      <c r="G4279">
        <v>20.95</v>
      </c>
      <c r="H4279">
        <v>109.5</v>
      </c>
      <c r="I4279" t="s">
        <v>15</v>
      </c>
      <c r="J4279" t="s">
        <v>16</v>
      </c>
      <c r="K4279" t="s">
        <v>21</v>
      </c>
      <c r="L4279">
        <v>109.5</v>
      </c>
      <c r="M4279" t="s">
        <v>5030</v>
      </c>
      <c r="N4279" t="s">
        <v>5031</v>
      </c>
    </row>
    <row r="4280" spans="1:14" x14ac:dyDescent="0.3">
      <c r="A4280" t="s">
        <v>4304</v>
      </c>
      <c r="B4280" t="s">
        <v>12</v>
      </c>
      <c r="C4280" t="s">
        <v>20</v>
      </c>
      <c r="D4280">
        <v>48</v>
      </c>
      <c r="E4280" t="s">
        <v>26</v>
      </c>
      <c r="F4280" t="s">
        <v>15</v>
      </c>
      <c r="G4280">
        <v>97.05</v>
      </c>
      <c r="H4280">
        <v>4692.95</v>
      </c>
      <c r="I4280" t="s">
        <v>15</v>
      </c>
      <c r="J4280" t="s">
        <v>16</v>
      </c>
      <c r="K4280" t="s">
        <v>17</v>
      </c>
      <c r="L4280">
        <v>4692.95</v>
      </c>
      <c r="M4280" t="s">
        <v>5033</v>
      </c>
      <c r="N4280" t="s">
        <v>5034</v>
      </c>
    </row>
    <row r="4281" spans="1:14" x14ac:dyDescent="0.3">
      <c r="A4281" t="s">
        <v>4305</v>
      </c>
      <c r="B4281" t="s">
        <v>19</v>
      </c>
      <c r="C4281" t="s">
        <v>13</v>
      </c>
      <c r="D4281">
        <v>25</v>
      </c>
      <c r="E4281" t="s">
        <v>15</v>
      </c>
      <c r="F4281" t="s">
        <v>36</v>
      </c>
      <c r="G4281">
        <v>25.4</v>
      </c>
      <c r="H4281">
        <v>546.85</v>
      </c>
      <c r="I4281" t="s">
        <v>15</v>
      </c>
      <c r="J4281" t="s">
        <v>16</v>
      </c>
      <c r="K4281" t="s">
        <v>24</v>
      </c>
      <c r="L4281">
        <v>546.85</v>
      </c>
      <c r="M4281" t="s">
        <v>5032</v>
      </c>
      <c r="N4281" t="s">
        <v>5031</v>
      </c>
    </row>
    <row r="4282" spans="1:14" x14ac:dyDescent="0.3">
      <c r="A4282" t="s">
        <v>4306</v>
      </c>
      <c r="B4282" t="s">
        <v>19</v>
      </c>
      <c r="C4282" t="s">
        <v>35</v>
      </c>
      <c r="D4282">
        <v>64</v>
      </c>
      <c r="E4282" t="s">
        <v>15</v>
      </c>
      <c r="F4282" t="s">
        <v>36</v>
      </c>
      <c r="G4282">
        <v>19.7</v>
      </c>
      <c r="H4282">
        <v>1274.05</v>
      </c>
      <c r="I4282" t="s">
        <v>15</v>
      </c>
      <c r="J4282" t="s">
        <v>16</v>
      </c>
      <c r="K4282" t="s">
        <v>24</v>
      </c>
      <c r="L4282">
        <v>1274.05</v>
      </c>
      <c r="M4282" t="s">
        <v>5033</v>
      </c>
      <c r="N4282" t="s">
        <v>5031</v>
      </c>
    </row>
    <row r="4283" spans="1:14" x14ac:dyDescent="0.3">
      <c r="A4283" t="s">
        <v>4307</v>
      </c>
      <c r="B4283" t="s">
        <v>19</v>
      </c>
      <c r="C4283" t="s">
        <v>13</v>
      </c>
      <c r="D4283">
        <v>50</v>
      </c>
      <c r="E4283" t="s">
        <v>14</v>
      </c>
      <c r="F4283" t="s">
        <v>15</v>
      </c>
      <c r="G4283">
        <v>35</v>
      </c>
      <c r="H4283">
        <v>1782.4</v>
      </c>
      <c r="I4283" t="s">
        <v>15</v>
      </c>
      <c r="J4283" t="s">
        <v>16</v>
      </c>
      <c r="K4283" t="s">
        <v>21</v>
      </c>
      <c r="L4283">
        <v>1782.4</v>
      </c>
      <c r="M4283" t="s">
        <v>5033</v>
      </c>
      <c r="N4283" t="s">
        <v>5031</v>
      </c>
    </row>
    <row r="4284" spans="1:14" x14ac:dyDescent="0.3">
      <c r="A4284" t="s">
        <v>4308</v>
      </c>
      <c r="B4284" t="s">
        <v>12</v>
      </c>
      <c r="C4284" t="s">
        <v>20</v>
      </c>
      <c r="D4284">
        <v>52</v>
      </c>
      <c r="E4284" t="s">
        <v>26</v>
      </c>
      <c r="F4284" t="s">
        <v>15</v>
      </c>
      <c r="G4284">
        <v>101.25</v>
      </c>
      <c r="H4284">
        <v>5301.1</v>
      </c>
      <c r="I4284" t="s">
        <v>15</v>
      </c>
      <c r="J4284" t="s">
        <v>15</v>
      </c>
      <c r="K4284" t="s">
        <v>24</v>
      </c>
      <c r="L4284">
        <v>5301.1</v>
      </c>
      <c r="M4284" t="s">
        <v>5033</v>
      </c>
      <c r="N4284" t="s">
        <v>5034</v>
      </c>
    </row>
    <row r="4285" spans="1:14" x14ac:dyDescent="0.3">
      <c r="A4285" t="s">
        <v>4309</v>
      </c>
      <c r="B4285" t="s">
        <v>19</v>
      </c>
      <c r="C4285" t="s">
        <v>13</v>
      </c>
      <c r="D4285">
        <v>4</v>
      </c>
      <c r="E4285" t="s">
        <v>26</v>
      </c>
      <c r="F4285" t="s">
        <v>15</v>
      </c>
      <c r="G4285">
        <v>70.2</v>
      </c>
      <c r="H4285">
        <v>280.35000000000002</v>
      </c>
      <c r="I4285" t="s">
        <v>15</v>
      </c>
      <c r="J4285" t="s">
        <v>16</v>
      </c>
      <c r="K4285" t="s">
        <v>17</v>
      </c>
      <c r="L4285">
        <v>280.35000000000002</v>
      </c>
      <c r="M4285" t="s">
        <v>5030</v>
      </c>
      <c r="N4285" t="s">
        <v>5031</v>
      </c>
    </row>
    <row r="4286" spans="1:14" x14ac:dyDescent="0.3">
      <c r="A4286" t="s">
        <v>4310</v>
      </c>
      <c r="B4286" t="s">
        <v>12</v>
      </c>
      <c r="C4286" t="s">
        <v>13</v>
      </c>
      <c r="D4286">
        <v>32</v>
      </c>
      <c r="E4286" t="s">
        <v>26</v>
      </c>
      <c r="F4286" t="s">
        <v>15</v>
      </c>
      <c r="G4286">
        <v>90.95</v>
      </c>
      <c r="H4286">
        <v>2897.95</v>
      </c>
      <c r="I4286" t="s">
        <v>15</v>
      </c>
      <c r="J4286" t="s">
        <v>15</v>
      </c>
      <c r="K4286" t="s">
        <v>17</v>
      </c>
      <c r="L4286">
        <v>2897.95</v>
      </c>
      <c r="M4286" t="s">
        <v>5032</v>
      </c>
      <c r="N4286" t="s">
        <v>5034</v>
      </c>
    </row>
    <row r="4287" spans="1:14" x14ac:dyDescent="0.3">
      <c r="A4287" t="s">
        <v>4311</v>
      </c>
      <c r="B4287" t="s">
        <v>19</v>
      </c>
      <c r="C4287" t="s">
        <v>35</v>
      </c>
      <c r="D4287">
        <v>45</v>
      </c>
      <c r="E4287" t="s">
        <v>14</v>
      </c>
      <c r="F4287" t="s">
        <v>16</v>
      </c>
      <c r="G4287">
        <v>73.849999999999994</v>
      </c>
      <c r="H4287">
        <v>3371</v>
      </c>
      <c r="I4287" t="s">
        <v>15</v>
      </c>
      <c r="J4287" t="s">
        <v>15</v>
      </c>
      <c r="K4287" t="s">
        <v>29</v>
      </c>
      <c r="L4287">
        <v>3371</v>
      </c>
      <c r="M4287" t="s">
        <v>5033</v>
      </c>
      <c r="N4287" t="s">
        <v>5034</v>
      </c>
    </row>
    <row r="4288" spans="1:14" x14ac:dyDescent="0.3">
      <c r="A4288" t="s">
        <v>4312</v>
      </c>
      <c r="B4288" t="s">
        <v>19</v>
      </c>
      <c r="C4288" t="s">
        <v>13</v>
      </c>
      <c r="D4288">
        <v>9</v>
      </c>
      <c r="E4288" t="s">
        <v>26</v>
      </c>
      <c r="F4288" t="s">
        <v>15</v>
      </c>
      <c r="G4288">
        <v>88.05</v>
      </c>
      <c r="H4288">
        <v>801.3</v>
      </c>
      <c r="I4288" t="s">
        <v>15</v>
      </c>
      <c r="J4288" t="s">
        <v>16</v>
      </c>
      <c r="K4288" t="s">
        <v>17</v>
      </c>
      <c r="L4288">
        <v>801.3</v>
      </c>
      <c r="M4288" t="s">
        <v>5030</v>
      </c>
      <c r="N4288" t="s">
        <v>5031</v>
      </c>
    </row>
    <row r="4289" spans="1:14" x14ac:dyDescent="0.3">
      <c r="A4289" t="s">
        <v>4313</v>
      </c>
      <c r="B4289" t="s">
        <v>12</v>
      </c>
      <c r="C4289" t="s">
        <v>20</v>
      </c>
      <c r="D4289">
        <v>66</v>
      </c>
      <c r="E4289" t="s">
        <v>26</v>
      </c>
      <c r="F4289" t="s">
        <v>16</v>
      </c>
      <c r="G4289">
        <v>105.95</v>
      </c>
      <c r="H4289">
        <v>6975.25</v>
      </c>
      <c r="I4289" t="s">
        <v>16</v>
      </c>
      <c r="J4289" t="s">
        <v>16</v>
      </c>
      <c r="K4289" t="s">
        <v>29</v>
      </c>
      <c r="L4289">
        <v>6975.25</v>
      </c>
      <c r="M4289" t="s">
        <v>5033</v>
      </c>
      <c r="N4289" t="s">
        <v>5034</v>
      </c>
    </row>
    <row r="4290" spans="1:14" x14ac:dyDescent="0.3">
      <c r="A4290" t="s">
        <v>4314</v>
      </c>
      <c r="B4290" t="s">
        <v>19</v>
      </c>
      <c r="C4290" t="s">
        <v>13</v>
      </c>
      <c r="D4290">
        <v>3</v>
      </c>
      <c r="E4290" t="s">
        <v>26</v>
      </c>
      <c r="F4290" t="s">
        <v>15</v>
      </c>
      <c r="G4290">
        <v>91.85</v>
      </c>
      <c r="H4290">
        <v>257.05</v>
      </c>
      <c r="I4290" t="s">
        <v>16</v>
      </c>
      <c r="J4290" t="s">
        <v>15</v>
      </c>
      <c r="K4290" t="s">
        <v>17</v>
      </c>
      <c r="L4290">
        <v>257.05</v>
      </c>
      <c r="M4290" t="s">
        <v>5030</v>
      </c>
      <c r="N4290" t="s">
        <v>5031</v>
      </c>
    </row>
    <row r="4291" spans="1:14" x14ac:dyDescent="0.3">
      <c r="A4291" t="s">
        <v>4315</v>
      </c>
      <c r="B4291" t="s">
        <v>12</v>
      </c>
      <c r="C4291" t="s">
        <v>35</v>
      </c>
      <c r="D4291">
        <v>54</v>
      </c>
      <c r="E4291" t="s">
        <v>15</v>
      </c>
      <c r="F4291" t="s">
        <v>36</v>
      </c>
      <c r="G4291">
        <v>20.100000000000001</v>
      </c>
      <c r="H4291">
        <v>1079.45</v>
      </c>
      <c r="I4291" t="s">
        <v>15</v>
      </c>
      <c r="J4291" t="s">
        <v>15</v>
      </c>
      <c r="K4291" t="s">
        <v>21</v>
      </c>
      <c r="L4291">
        <v>1079.45</v>
      </c>
      <c r="M4291" t="s">
        <v>5033</v>
      </c>
      <c r="N4291" t="s">
        <v>5031</v>
      </c>
    </row>
    <row r="4292" spans="1:14" x14ac:dyDescent="0.3">
      <c r="A4292" t="s">
        <v>4316</v>
      </c>
      <c r="B4292" t="s">
        <v>12</v>
      </c>
      <c r="C4292" t="s">
        <v>13</v>
      </c>
      <c r="D4292">
        <v>1</v>
      </c>
      <c r="E4292" t="s">
        <v>14</v>
      </c>
      <c r="F4292" t="s">
        <v>16</v>
      </c>
      <c r="G4292">
        <v>40.1</v>
      </c>
      <c r="H4292">
        <v>40.1</v>
      </c>
      <c r="I4292" t="s">
        <v>16</v>
      </c>
      <c r="J4292" t="s">
        <v>15</v>
      </c>
      <c r="K4292" t="s">
        <v>17</v>
      </c>
      <c r="L4292">
        <v>40.1</v>
      </c>
      <c r="M4292" t="s">
        <v>5030</v>
      </c>
      <c r="N4292" t="s">
        <v>5031</v>
      </c>
    </row>
    <row r="4293" spans="1:14" x14ac:dyDescent="0.3">
      <c r="A4293" t="s">
        <v>4317</v>
      </c>
      <c r="B4293" t="s">
        <v>12</v>
      </c>
      <c r="C4293" t="s">
        <v>35</v>
      </c>
      <c r="D4293">
        <v>64</v>
      </c>
      <c r="E4293" t="s">
        <v>26</v>
      </c>
      <c r="F4293" t="s">
        <v>16</v>
      </c>
      <c r="G4293">
        <v>110.3</v>
      </c>
      <c r="H4293">
        <v>6997.3</v>
      </c>
      <c r="I4293" t="s">
        <v>15</v>
      </c>
      <c r="J4293" t="s">
        <v>15</v>
      </c>
      <c r="K4293" t="s">
        <v>24</v>
      </c>
      <c r="L4293">
        <v>6997.3</v>
      </c>
      <c r="M4293" t="s">
        <v>5033</v>
      </c>
      <c r="N4293" t="s">
        <v>5034</v>
      </c>
    </row>
    <row r="4294" spans="1:14" x14ac:dyDescent="0.3">
      <c r="A4294" t="s">
        <v>4318</v>
      </c>
      <c r="B4294" t="s">
        <v>12</v>
      </c>
      <c r="C4294" t="s">
        <v>13</v>
      </c>
      <c r="D4294">
        <v>31</v>
      </c>
      <c r="E4294" t="s">
        <v>26</v>
      </c>
      <c r="F4294" t="s">
        <v>15</v>
      </c>
      <c r="G4294">
        <v>73.900000000000006</v>
      </c>
      <c r="H4294">
        <v>2217.15</v>
      </c>
      <c r="I4294" t="s">
        <v>16</v>
      </c>
      <c r="J4294" t="s">
        <v>16</v>
      </c>
      <c r="K4294" t="s">
        <v>17</v>
      </c>
      <c r="L4294">
        <v>2217.15</v>
      </c>
      <c r="M4294" t="s">
        <v>5032</v>
      </c>
      <c r="N4294" t="s">
        <v>5031</v>
      </c>
    </row>
    <row r="4295" spans="1:14" x14ac:dyDescent="0.3">
      <c r="A4295" t="s">
        <v>4319</v>
      </c>
      <c r="B4295" t="s">
        <v>12</v>
      </c>
      <c r="C4295" t="s">
        <v>13</v>
      </c>
      <c r="D4295">
        <v>14</v>
      </c>
      <c r="E4295" t="s">
        <v>26</v>
      </c>
      <c r="F4295" t="s">
        <v>15</v>
      </c>
      <c r="G4295">
        <v>89.8</v>
      </c>
      <c r="H4295">
        <v>1129.0999999999999</v>
      </c>
      <c r="I4295" t="s">
        <v>16</v>
      </c>
      <c r="J4295" t="s">
        <v>16</v>
      </c>
      <c r="K4295" t="s">
        <v>21</v>
      </c>
      <c r="L4295">
        <v>1129.0999999999999</v>
      </c>
      <c r="M4295" t="s">
        <v>5032</v>
      </c>
      <c r="N4295" t="s">
        <v>5031</v>
      </c>
    </row>
    <row r="4296" spans="1:14" x14ac:dyDescent="0.3">
      <c r="A4296" t="s">
        <v>4320</v>
      </c>
      <c r="B4296" t="s">
        <v>12</v>
      </c>
      <c r="C4296" t="s">
        <v>20</v>
      </c>
      <c r="D4296">
        <v>12</v>
      </c>
      <c r="E4296" t="s">
        <v>26</v>
      </c>
      <c r="F4296" t="s">
        <v>15</v>
      </c>
      <c r="G4296">
        <v>85.15</v>
      </c>
      <c r="H4296">
        <v>979.05</v>
      </c>
      <c r="I4296" t="s">
        <v>15</v>
      </c>
      <c r="J4296" t="s">
        <v>16</v>
      </c>
      <c r="K4296" t="s">
        <v>29</v>
      </c>
      <c r="L4296">
        <v>979.05</v>
      </c>
      <c r="M4296" t="s">
        <v>5030</v>
      </c>
      <c r="N4296" t="s">
        <v>5031</v>
      </c>
    </row>
    <row r="4297" spans="1:14" x14ac:dyDescent="0.3">
      <c r="A4297" t="s">
        <v>4321</v>
      </c>
      <c r="B4297" t="s">
        <v>19</v>
      </c>
      <c r="C4297" t="s">
        <v>20</v>
      </c>
      <c r="D4297">
        <v>67</v>
      </c>
      <c r="E4297" t="s">
        <v>14</v>
      </c>
      <c r="F4297" t="s">
        <v>16</v>
      </c>
      <c r="G4297">
        <v>60.95</v>
      </c>
      <c r="H4297">
        <v>4119.3999999999996</v>
      </c>
      <c r="I4297" t="s">
        <v>15</v>
      </c>
      <c r="J4297" t="s">
        <v>16</v>
      </c>
      <c r="K4297" t="s">
        <v>24</v>
      </c>
      <c r="L4297">
        <v>4119.3999999999996</v>
      </c>
      <c r="M4297" t="s">
        <v>5033</v>
      </c>
      <c r="N4297" t="s">
        <v>5034</v>
      </c>
    </row>
    <row r="4298" spans="1:14" x14ac:dyDescent="0.3">
      <c r="A4298" t="s">
        <v>4322</v>
      </c>
      <c r="B4298" t="s">
        <v>12</v>
      </c>
      <c r="C4298" t="s">
        <v>13</v>
      </c>
      <c r="D4298">
        <v>35</v>
      </c>
      <c r="E4298" t="s">
        <v>14</v>
      </c>
      <c r="F4298" t="s">
        <v>16</v>
      </c>
      <c r="G4298">
        <v>72.25</v>
      </c>
      <c r="H4298">
        <v>2568.5500000000002</v>
      </c>
      <c r="I4298" t="s">
        <v>16</v>
      </c>
      <c r="J4298" t="s">
        <v>15</v>
      </c>
      <c r="K4298" t="s">
        <v>17</v>
      </c>
      <c r="L4298">
        <v>2568.5500000000002</v>
      </c>
      <c r="M4298" t="s">
        <v>5032</v>
      </c>
      <c r="N4298" t="s">
        <v>5034</v>
      </c>
    </row>
    <row r="4299" spans="1:14" x14ac:dyDescent="0.3">
      <c r="A4299" t="s">
        <v>4323</v>
      </c>
      <c r="B4299" t="s">
        <v>12</v>
      </c>
      <c r="C4299" t="s">
        <v>35</v>
      </c>
      <c r="D4299">
        <v>45</v>
      </c>
      <c r="E4299" t="s">
        <v>14</v>
      </c>
      <c r="F4299" t="s">
        <v>16</v>
      </c>
      <c r="G4299">
        <v>73.55</v>
      </c>
      <c r="H4299">
        <v>3349.1</v>
      </c>
      <c r="I4299" t="s">
        <v>15</v>
      </c>
      <c r="J4299" t="s">
        <v>15</v>
      </c>
      <c r="K4299" t="s">
        <v>21</v>
      </c>
      <c r="L4299">
        <v>3349.1</v>
      </c>
      <c r="M4299" t="s">
        <v>5033</v>
      </c>
      <c r="N4299" t="s">
        <v>5034</v>
      </c>
    </row>
    <row r="4300" spans="1:14" x14ac:dyDescent="0.3">
      <c r="A4300" t="s">
        <v>4324</v>
      </c>
      <c r="B4300" t="s">
        <v>19</v>
      </c>
      <c r="C4300" t="s">
        <v>13</v>
      </c>
      <c r="D4300">
        <v>10</v>
      </c>
      <c r="E4300" t="s">
        <v>14</v>
      </c>
      <c r="F4300" t="s">
        <v>15</v>
      </c>
      <c r="G4300">
        <v>46</v>
      </c>
      <c r="H4300">
        <v>492.1</v>
      </c>
      <c r="I4300" t="s">
        <v>15</v>
      </c>
      <c r="J4300" t="s">
        <v>15</v>
      </c>
      <c r="K4300" t="s">
        <v>21</v>
      </c>
      <c r="L4300">
        <v>492.1</v>
      </c>
      <c r="M4300" t="s">
        <v>5030</v>
      </c>
      <c r="N4300" t="s">
        <v>5031</v>
      </c>
    </row>
    <row r="4301" spans="1:14" x14ac:dyDescent="0.3">
      <c r="A4301" t="s">
        <v>4325</v>
      </c>
      <c r="B4301" t="s">
        <v>12</v>
      </c>
      <c r="C4301" t="s">
        <v>13</v>
      </c>
      <c r="D4301">
        <v>29</v>
      </c>
      <c r="E4301" t="s">
        <v>14</v>
      </c>
      <c r="F4301" t="s">
        <v>15</v>
      </c>
      <c r="G4301">
        <v>58.55</v>
      </c>
      <c r="H4301">
        <v>1718.95</v>
      </c>
      <c r="I4301" t="s">
        <v>15</v>
      </c>
      <c r="J4301" t="s">
        <v>16</v>
      </c>
      <c r="K4301" t="s">
        <v>24</v>
      </c>
      <c r="L4301">
        <v>1718.95</v>
      </c>
      <c r="M4301" t="s">
        <v>5032</v>
      </c>
      <c r="N4301" t="s">
        <v>5031</v>
      </c>
    </row>
    <row r="4302" spans="1:14" x14ac:dyDescent="0.3">
      <c r="A4302" t="s">
        <v>4326</v>
      </c>
      <c r="B4302" t="s">
        <v>12</v>
      </c>
      <c r="C4302" t="s">
        <v>20</v>
      </c>
      <c r="D4302">
        <v>24</v>
      </c>
      <c r="E4302" t="s">
        <v>15</v>
      </c>
      <c r="F4302" t="s">
        <v>36</v>
      </c>
      <c r="G4302">
        <v>24.6</v>
      </c>
      <c r="H4302">
        <v>605.25</v>
      </c>
      <c r="I4302" t="s">
        <v>15</v>
      </c>
      <c r="J4302" t="s">
        <v>15</v>
      </c>
      <c r="K4302" t="s">
        <v>24</v>
      </c>
      <c r="L4302">
        <v>605.25</v>
      </c>
      <c r="M4302" t="s">
        <v>5032</v>
      </c>
      <c r="N4302" t="s">
        <v>5031</v>
      </c>
    </row>
    <row r="4303" spans="1:14" x14ac:dyDescent="0.3">
      <c r="A4303" t="s">
        <v>4327</v>
      </c>
      <c r="B4303" t="s">
        <v>19</v>
      </c>
      <c r="C4303" t="s">
        <v>35</v>
      </c>
      <c r="D4303">
        <v>66</v>
      </c>
      <c r="E4303" t="s">
        <v>15</v>
      </c>
      <c r="F4303" t="s">
        <v>36</v>
      </c>
      <c r="G4303">
        <v>19.75</v>
      </c>
      <c r="H4303">
        <v>1344.5</v>
      </c>
      <c r="I4303" t="s">
        <v>15</v>
      </c>
      <c r="J4303" t="s">
        <v>16</v>
      </c>
      <c r="K4303" t="s">
        <v>21</v>
      </c>
      <c r="L4303">
        <v>1344.5</v>
      </c>
      <c r="M4303" t="s">
        <v>5033</v>
      </c>
      <c r="N4303" t="s">
        <v>5031</v>
      </c>
    </row>
    <row r="4304" spans="1:14" x14ac:dyDescent="0.3">
      <c r="A4304" t="s">
        <v>4328</v>
      </c>
      <c r="B4304" t="s">
        <v>19</v>
      </c>
      <c r="C4304" t="s">
        <v>20</v>
      </c>
      <c r="D4304">
        <v>51</v>
      </c>
      <c r="E4304" t="s">
        <v>26</v>
      </c>
      <c r="F4304" t="s">
        <v>15</v>
      </c>
      <c r="G4304">
        <v>86.35</v>
      </c>
      <c r="H4304">
        <v>4267.1499999999996</v>
      </c>
      <c r="I4304" t="s">
        <v>15</v>
      </c>
      <c r="J4304" t="s">
        <v>15</v>
      </c>
      <c r="K4304" t="s">
        <v>21</v>
      </c>
      <c r="L4304">
        <v>4267.1499999999996</v>
      </c>
      <c r="M4304" t="s">
        <v>5033</v>
      </c>
      <c r="N4304" t="s">
        <v>5034</v>
      </c>
    </row>
    <row r="4305" spans="1:14" x14ac:dyDescent="0.3">
      <c r="A4305" t="s">
        <v>4329</v>
      </c>
      <c r="B4305" t="s">
        <v>12</v>
      </c>
      <c r="C4305" t="s">
        <v>35</v>
      </c>
      <c r="D4305">
        <v>45</v>
      </c>
      <c r="E4305" t="s">
        <v>15</v>
      </c>
      <c r="F4305" t="s">
        <v>36</v>
      </c>
      <c r="G4305">
        <v>25.5</v>
      </c>
      <c r="H4305">
        <v>1121.05</v>
      </c>
      <c r="I4305" t="s">
        <v>15</v>
      </c>
      <c r="J4305" t="s">
        <v>15</v>
      </c>
      <c r="K4305" t="s">
        <v>21</v>
      </c>
      <c r="L4305">
        <v>1121.05</v>
      </c>
      <c r="M4305" t="s">
        <v>5033</v>
      </c>
      <c r="N4305" t="s">
        <v>5031</v>
      </c>
    </row>
    <row r="4306" spans="1:14" x14ac:dyDescent="0.3">
      <c r="A4306" t="s">
        <v>4330</v>
      </c>
      <c r="B4306" t="s">
        <v>12</v>
      </c>
      <c r="C4306" t="s">
        <v>20</v>
      </c>
      <c r="D4306">
        <v>49</v>
      </c>
      <c r="E4306" t="s">
        <v>15</v>
      </c>
      <c r="F4306" t="s">
        <v>36</v>
      </c>
      <c r="G4306">
        <v>19</v>
      </c>
      <c r="H4306">
        <v>918.7</v>
      </c>
      <c r="I4306" t="s">
        <v>15</v>
      </c>
      <c r="J4306" t="s">
        <v>15</v>
      </c>
      <c r="K4306" t="s">
        <v>29</v>
      </c>
      <c r="L4306">
        <v>918.7</v>
      </c>
      <c r="M4306" t="s">
        <v>5033</v>
      </c>
      <c r="N4306" t="s">
        <v>5031</v>
      </c>
    </row>
    <row r="4307" spans="1:14" x14ac:dyDescent="0.3">
      <c r="A4307" t="s">
        <v>4331</v>
      </c>
      <c r="B4307" t="s">
        <v>12</v>
      </c>
      <c r="C4307" t="s">
        <v>35</v>
      </c>
      <c r="D4307">
        <v>29</v>
      </c>
      <c r="E4307" t="s">
        <v>15</v>
      </c>
      <c r="F4307" t="s">
        <v>36</v>
      </c>
      <c r="G4307">
        <v>19.55</v>
      </c>
      <c r="H4307">
        <v>521.79999999999995</v>
      </c>
      <c r="I4307" t="s">
        <v>15</v>
      </c>
      <c r="J4307" t="s">
        <v>16</v>
      </c>
      <c r="K4307" t="s">
        <v>21</v>
      </c>
      <c r="L4307">
        <v>521.79999999999995</v>
      </c>
      <c r="M4307" t="s">
        <v>5032</v>
      </c>
      <c r="N4307" t="s">
        <v>5031</v>
      </c>
    </row>
    <row r="4308" spans="1:14" x14ac:dyDescent="0.3">
      <c r="A4308" t="s">
        <v>4332</v>
      </c>
      <c r="B4308" t="s">
        <v>19</v>
      </c>
      <c r="C4308" t="s">
        <v>13</v>
      </c>
      <c r="D4308">
        <v>40</v>
      </c>
      <c r="E4308" t="s">
        <v>26</v>
      </c>
      <c r="F4308" t="s">
        <v>16</v>
      </c>
      <c r="G4308">
        <v>110.1</v>
      </c>
      <c r="H4308">
        <v>4469.1000000000004</v>
      </c>
      <c r="I4308" t="s">
        <v>15</v>
      </c>
      <c r="J4308" t="s">
        <v>16</v>
      </c>
      <c r="K4308" t="s">
        <v>29</v>
      </c>
      <c r="L4308">
        <v>4469.1000000000004</v>
      </c>
      <c r="M4308" t="s">
        <v>5033</v>
      </c>
      <c r="N4308" t="s">
        <v>5034</v>
      </c>
    </row>
    <row r="4309" spans="1:14" x14ac:dyDescent="0.3">
      <c r="A4309" t="s">
        <v>4333</v>
      </c>
      <c r="B4309" t="s">
        <v>12</v>
      </c>
      <c r="C4309" t="s">
        <v>13</v>
      </c>
      <c r="D4309">
        <v>37</v>
      </c>
      <c r="E4309" t="s">
        <v>26</v>
      </c>
      <c r="F4309" t="s">
        <v>15</v>
      </c>
      <c r="G4309">
        <v>96.55</v>
      </c>
      <c r="H4309">
        <v>3580.3</v>
      </c>
      <c r="I4309" t="s">
        <v>16</v>
      </c>
      <c r="J4309" t="s">
        <v>16</v>
      </c>
      <c r="K4309" t="s">
        <v>17</v>
      </c>
      <c r="L4309">
        <v>3580.3</v>
      </c>
      <c r="M4309" t="s">
        <v>5033</v>
      </c>
      <c r="N4309" t="s">
        <v>5034</v>
      </c>
    </row>
    <row r="4310" spans="1:14" x14ac:dyDescent="0.3">
      <c r="A4310" t="s">
        <v>4334</v>
      </c>
      <c r="B4310" t="s">
        <v>19</v>
      </c>
      <c r="C4310" t="s">
        <v>13</v>
      </c>
      <c r="D4310">
        <v>25</v>
      </c>
      <c r="E4310" t="s">
        <v>26</v>
      </c>
      <c r="F4310" t="s">
        <v>15</v>
      </c>
      <c r="G4310">
        <v>69.75</v>
      </c>
      <c r="H4310">
        <v>1729.35</v>
      </c>
      <c r="I4310" t="s">
        <v>15</v>
      </c>
      <c r="J4310" t="s">
        <v>15</v>
      </c>
      <c r="K4310" t="s">
        <v>17</v>
      </c>
      <c r="L4310">
        <v>1729.35</v>
      </c>
      <c r="M4310" t="s">
        <v>5032</v>
      </c>
      <c r="N4310" t="s">
        <v>5031</v>
      </c>
    </row>
    <row r="4311" spans="1:14" x14ac:dyDescent="0.3">
      <c r="A4311" t="s">
        <v>4335</v>
      </c>
      <c r="B4311" t="s">
        <v>12</v>
      </c>
      <c r="C4311" t="s">
        <v>13</v>
      </c>
      <c r="D4311">
        <v>22</v>
      </c>
      <c r="E4311" t="s">
        <v>14</v>
      </c>
      <c r="F4311" t="s">
        <v>15</v>
      </c>
      <c r="G4311">
        <v>50.6</v>
      </c>
      <c r="H4311">
        <v>1073.3</v>
      </c>
      <c r="I4311" t="s">
        <v>15</v>
      </c>
      <c r="J4311" t="s">
        <v>16</v>
      </c>
      <c r="K4311" t="s">
        <v>17</v>
      </c>
      <c r="L4311">
        <v>1073.3</v>
      </c>
      <c r="M4311" t="s">
        <v>5032</v>
      </c>
      <c r="N4311" t="s">
        <v>5031</v>
      </c>
    </row>
    <row r="4312" spans="1:14" x14ac:dyDescent="0.3">
      <c r="A4312" t="s">
        <v>4336</v>
      </c>
      <c r="B4312" t="s">
        <v>19</v>
      </c>
      <c r="C4312" t="s">
        <v>35</v>
      </c>
      <c r="D4312">
        <v>72</v>
      </c>
      <c r="E4312" t="s">
        <v>14</v>
      </c>
      <c r="F4312" t="s">
        <v>16</v>
      </c>
      <c r="G4312">
        <v>65.599999999999994</v>
      </c>
      <c r="H4312">
        <v>4566.5</v>
      </c>
      <c r="I4312" t="s">
        <v>15</v>
      </c>
      <c r="J4312" t="s">
        <v>16</v>
      </c>
      <c r="K4312" t="s">
        <v>24</v>
      </c>
      <c r="L4312">
        <v>4566.5</v>
      </c>
      <c r="M4312" t="s">
        <v>5033</v>
      </c>
      <c r="N4312" t="s">
        <v>5034</v>
      </c>
    </row>
    <row r="4313" spans="1:14" x14ac:dyDescent="0.3">
      <c r="A4313" t="s">
        <v>4337</v>
      </c>
      <c r="B4313" t="s">
        <v>12</v>
      </c>
      <c r="C4313" t="s">
        <v>13</v>
      </c>
      <c r="D4313">
        <v>7</v>
      </c>
      <c r="E4313" t="s">
        <v>14</v>
      </c>
      <c r="F4313" t="s">
        <v>15</v>
      </c>
      <c r="G4313">
        <v>40.1</v>
      </c>
      <c r="H4313">
        <v>293.3</v>
      </c>
      <c r="I4313" t="s">
        <v>16</v>
      </c>
      <c r="J4313" t="s">
        <v>16</v>
      </c>
      <c r="K4313" t="s">
        <v>29</v>
      </c>
      <c r="L4313">
        <v>293.3</v>
      </c>
      <c r="M4313" t="s">
        <v>5030</v>
      </c>
      <c r="N4313" t="s">
        <v>5031</v>
      </c>
    </row>
    <row r="4314" spans="1:14" x14ac:dyDescent="0.3">
      <c r="A4314" t="s">
        <v>4338</v>
      </c>
      <c r="B4314" t="s">
        <v>19</v>
      </c>
      <c r="C4314" t="s">
        <v>35</v>
      </c>
      <c r="D4314">
        <v>33</v>
      </c>
      <c r="E4314" t="s">
        <v>14</v>
      </c>
      <c r="F4314" t="s">
        <v>16</v>
      </c>
      <c r="G4314">
        <v>82.1</v>
      </c>
      <c r="H4314">
        <v>2603.1</v>
      </c>
      <c r="I4314" t="s">
        <v>15</v>
      </c>
      <c r="J4314" t="s">
        <v>15</v>
      </c>
      <c r="K4314" t="s">
        <v>29</v>
      </c>
      <c r="L4314">
        <v>2603.1</v>
      </c>
      <c r="M4314" t="s">
        <v>5032</v>
      </c>
      <c r="N4314" t="s">
        <v>5034</v>
      </c>
    </row>
    <row r="4315" spans="1:14" x14ac:dyDescent="0.3">
      <c r="A4315" t="s">
        <v>4339</v>
      </c>
      <c r="B4315" t="s">
        <v>12</v>
      </c>
      <c r="C4315" t="s">
        <v>13</v>
      </c>
      <c r="D4315">
        <v>23</v>
      </c>
      <c r="E4315" t="s">
        <v>26</v>
      </c>
      <c r="F4315" t="s">
        <v>16</v>
      </c>
      <c r="G4315">
        <v>79.099999999999994</v>
      </c>
      <c r="H4315">
        <v>1783.75</v>
      </c>
      <c r="I4315" t="s">
        <v>15</v>
      </c>
      <c r="J4315" t="s">
        <v>16</v>
      </c>
      <c r="K4315" t="s">
        <v>21</v>
      </c>
      <c r="L4315">
        <v>1783.75</v>
      </c>
      <c r="M4315" t="s">
        <v>5032</v>
      </c>
      <c r="N4315" t="s">
        <v>5031</v>
      </c>
    </row>
    <row r="4316" spans="1:14" x14ac:dyDescent="0.3">
      <c r="A4316" t="s">
        <v>4340</v>
      </c>
      <c r="B4316" t="s">
        <v>19</v>
      </c>
      <c r="C4316" t="s">
        <v>13</v>
      </c>
      <c r="D4316">
        <v>24</v>
      </c>
      <c r="E4316" t="s">
        <v>26</v>
      </c>
      <c r="F4316" t="s">
        <v>15</v>
      </c>
      <c r="G4316">
        <v>101.25</v>
      </c>
      <c r="H4316">
        <v>2440.15</v>
      </c>
      <c r="I4316" t="s">
        <v>16</v>
      </c>
      <c r="J4316" t="s">
        <v>16</v>
      </c>
      <c r="K4316" t="s">
        <v>17</v>
      </c>
      <c r="L4316">
        <v>2440.15</v>
      </c>
      <c r="M4316" t="s">
        <v>5032</v>
      </c>
      <c r="N4316" t="s">
        <v>5031</v>
      </c>
    </row>
    <row r="4317" spans="1:14" x14ac:dyDescent="0.3">
      <c r="A4317" t="s">
        <v>4341</v>
      </c>
      <c r="B4317" t="s">
        <v>12</v>
      </c>
      <c r="C4317" t="s">
        <v>13</v>
      </c>
      <c r="D4317">
        <v>1</v>
      </c>
      <c r="E4317" t="s">
        <v>26</v>
      </c>
      <c r="F4317" t="s">
        <v>15</v>
      </c>
      <c r="G4317">
        <v>79.55</v>
      </c>
      <c r="H4317">
        <v>79.55</v>
      </c>
      <c r="I4317" t="s">
        <v>16</v>
      </c>
      <c r="J4317" t="s">
        <v>15</v>
      </c>
      <c r="K4317" t="s">
        <v>17</v>
      </c>
      <c r="L4317">
        <v>79.55</v>
      </c>
      <c r="M4317" t="s">
        <v>5030</v>
      </c>
      <c r="N4317" t="s">
        <v>5031</v>
      </c>
    </row>
    <row r="4318" spans="1:14" x14ac:dyDescent="0.3">
      <c r="A4318" t="s">
        <v>4342</v>
      </c>
      <c r="B4318" t="s">
        <v>19</v>
      </c>
      <c r="C4318" t="s">
        <v>35</v>
      </c>
      <c r="D4318">
        <v>69</v>
      </c>
      <c r="E4318" t="s">
        <v>14</v>
      </c>
      <c r="F4318" t="s">
        <v>16</v>
      </c>
      <c r="G4318">
        <v>90.65</v>
      </c>
      <c r="H4318">
        <v>6322.1</v>
      </c>
      <c r="I4318" t="s">
        <v>15</v>
      </c>
      <c r="J4318" t="s">
        <v>15</v>
      </c>
      <c r="K4318" t="s">
        <v>21</v>
      </c>
      <c r="L4318">
        <v>6322.1</v>
      </c>
      <c r="M4318" t="s">
        <v>5033</v>
      </c>
      <c r="N4318" t="s">
        <v>5034</v>
      </c>
    </row>
    <row r="4319" spans="1:14" x14ac:dyDescent="0.3">
      <c r="A4319" t="s">
        <v>4343</v>
      </c>
      <c r="B4319" t="s">
        <v>12</v>
      </c>
      <c r="C4319" t="s">
        <v>20</v>
      </c>
      <c r="D4319">
        <v>3</v>
      </c>
      <c r="E4319" t="s">
        <v>15</v>
      </c>
      <c r="F4319" t="s">
        <v>36</v>
      </c>
      <c r="G4319">
        <v>20.55</v>
      </c>
      <c r="H4319">
        <v>57.4</v>
      </c>
      <c r="I4319" t="s">
        <v>15</v>
      </c>
      <c r="J4319" t="s">
        <v>16</v>
      </c>
      <c r="K4319" t="s">
        <v>29</v>
      </c>
      <c r="L4319">
        <v>57.4</v>
      </c>
      <c r="M4319" t="s">
        <v>5030</v>
      </c>
      <c r="N4319" t="s">
        <v>5031</v>
      </c>
    </row>
    <row r="4320" spans="1:14" x14ac:dyDescent="0.3">
      <c r="A4320" t="s">
        <v>4344</v>
      </c>
      <c r="B4320" t="s">
        <v>19</v>
      </c>
      <c r="C4320" t="s">
        <v>20</v>
      </c>
      <c r="D4320">
        <v>56</v>
      </c>
      <c r="E4320" t="s">
        <v>14</v>
      </c>
      <c r="F4320" t="s">
        <v>16</v>
      </c>
      <c r="G4320">
        <v>75.75</v>
      </c>
      <c r="H4320">
        <v>4284.6499999999996</v>
      </c>
      <c r="I4320" t="s">
        <v>15</v>
      </c>
      <c r="J4320" t="s">
        <v>16</v>
      </c>
      <c r="K4320" t="s">
        <v>24</v>
      </c>
      <c r="L4320">
        <v>4284.6499999999996</v>
      </c>
      <c r="M4320" t="s">
        <v>5033</v>
      </c>
      <c r="N4320" t="s">
        <v>5034</v>
      </c>
    </row>
    <row r="4321" spans="1:14" x14ac:dyDescent="0.3">
      <c r="A4321" t="s">
        <v>4345</v>
      </c>
      <c r="B4321" t="s">
        <v>19</v>
      </c>
      <c r="C4321" t="s">
        <v>20</v>
      </c>
      <c r="D4321">
        <v>65</v>
      </c>
      <c r="E4321" t="s">
        <v>26</v>
      </c>
      <c r="F4321" t="s">
        <v>16</v>
      </c>
      <c r="G4321">
        <v>110</v>
      </c>
      <c r="H4321">
        <v>7138.65</v>
      </c>
      <c r="I4321" t="s">
        <v>15</v>
      </c>
      <c r="J4321" t="s">
        <v>16</v>
      </c>
      <c r="K4321" t="s">
        <v>29</v>
      </c>
      <c r="L4321">
        <v>7138.65</v>
      </c>
      <c r="M4321" t="s">
        <v>5033</v>
      </c>
      <c r="N4321" t="s">
        <v>5034</v>
      </c>
    </row>
    <row r="4322" spans="1:14" x14ac:dyDescent="0.3">
      <c r="A4322" t="s">
        <v>4346</v>
      </c>
      <c r="B4322" t="s">
        <v>19</v>
      </c>
      <c r="C4322" t="s">
        <v>20</v>
      </c>
      <c r="D4322">
        <v>71</v>
      </c>
      <c r="E4322" t="s">
        <v>15</v>
      </c>
      <c r="F4322" t="s">
        <v>36</v>
      </c>
      <c r="G4322">
        <v>20.85</v>
      </c>
      <c r="H4322">
        <v>1539.75</v>
      </c>
      <c r="I4322" t="s">
        <v>15</v>
      </c>
      <c r="J4322" t="s">
        <v>15</v>
      </c>
      <c r="K4322" t="s">
        <v>17</v>
      </c>
      <c r="L4322">
        <v>1539.75</v>
      </c>
      <c r="M4322" t="s">
        <v>5033</v>
      </c>
      <c r="N4322" t="s">
        <v>5031</v>
      </c>
    </row>
    <row r="4323" spans="1:14" x14ac:dyDescent="0.3">
      <c r="A4323" t="s">
        <v>4347</v>
      </c>
      <c r="B4323" t="s">
        <v>12</v>
      </c>
      <c r="C4323" t="s">
        <v>13</v>
      </c>
      <c r="D4323">
        <v>14</v>
      </c>
      <c r="E4323" t="s">
        <v>26</v>
      </c>
      <c r="F4323" t="s">
        <v>15</v>
      </c>
      <c r="G4323">
        <v>80.349999999999994</v>
      </c>
      <c r="H4323">
        <v>1058.0999999999999</v>
      </c>
      <c r="I4323" t="s">
        <v>15</v>
      </c>
      <c r="J4323" t="s">
        <v>16</v>
      </c>
      <c r="K4323" t="s">
        <v>24</v>
      </c>
      <c r="L4323">
        <v>1058.0999999999999</v>
      </c>
      <c r="M4323" t="s">
        <v>5032</v>
      </c>
      <c r="N4323" t="s">
        <v>5031</v>
      </c>
    </row>
    <row r="4324" spans="1:14" x14ac:dyDescent="0.3">
      <c r="A4324" t="s">
        <v>4348</v>
      </c>
      <c r="B4324" t="s">
        <v>12</v>
      </c>
      <c r="C4324" t="s">
        <v>13</v>
      </c>
      <c r="D4324">
        <v>2</v>
      </c>
      <c r="E4324" t="s">
        <v>26</v>
      </c>
      <c r="F4324" t="s">
        <v>15</v>
      </c>
      <c r="G4324">
        <v>70.150000000000006</v>
      </c>
      <c r="H4324">
        <v>123.8</v>
      </c>
      <c r="I4324" t="s">
        <v>15</v>
      </c>
      <c r="J4324" t="s">
        <v>16</v>
      </c>
      <c r="K4324" t="s">
        <v>17</v>
      </c>
      <c r="L4324">
        <v>123.8</v>
      </c>
      <c r="M4324" t="s">
        <v>5030</v>
      </c>
      <c r="N4324" t="s">
        <v>5031</v>
      </c>
    </row>
    <row r="4325" spans="1:14" x14ac:dyDescent="0.3">
      <c r="A4325" t="s">
        <v>4349</v>
      </c>
      <c r="B4325" t="s">
        <v>12</v>
      </c>
      <c r="C4325" t="s">
        <v>20</v>
      </c>
      <c r="D4325">
        <v>32</v>
      </c>
      <c r="E4325" t="s">
        <v>26</v>
      </c>
      <c r="F4325" t="s">
        <v>15</v>
      </c>
      <c r="G4325">
        <v>84.05</v>
      </c>
      <c r="H4325">
        <v>2781.85</v>
      </c>
      <c r="I4325" t="s">
        <v>16</v>
      </c>
      <c r="J4325" t="s">
        <v>15</v>
      </c>
      <c r="K4325" t="s">
        <v>17</v>
      </c>
      <c r="L4325">
        <v>2781.85</v>
      </c>
      <c r="M4325" t="s">
        <v>5032</v>
      </c>
      <c r="N4325" t="s">
        <v>5034</v>
      </c>
    </row>
    <row r="4326" spans="1:14" x14ac:dyDescent="0.3">
      <c r="A4326" t="s">
        <v>4350</v>
      </c>
      <c r="B4326" t="s">
        <v>19</v>
      </c>
      <c r="C4326" t="s">
        <v>13</v>
      </c>
      <c r="D4326">
        <v>40</v>
      </c>
      <c r="E4326" t="s">
        <v>14</v>
      </c>
      <c r="F4326" t="s">
        <v>15</v>
      </c>
      <c r="G4326">
        <v>67.45</v>
      </c>
      <c r="H4326">
        <v>2731</v>
      </c>
      <c r="I4326" t="s">
        <v>15</v>
      </c>
      <c r="J4326" t="s">
        <v>15</v>
      </c>
      <c r="K4326" t="s">
        <v>17</v>
      </c>
      <c r="L4326">
        <v>2731</v>
      </c>
      <c r="M4326" t="s">
        <v>5033</v>
      </c>
      <c r="N4326" t="s">
        <v>5034</v>
      </c>
    </row>
    <row r="4327" spans="1:14" x14ac:dyDescent="0.3">
      <c r="A4327" t="s">
        <v>4351</v>
      </c>
      <c r="B4327" t="s">
        <v>19</v>
      </c>
      <c r="C4327" t="s">
        <v>13</v>
      </c>
      <c r="D4327">
        <v>1</v>
      </c>
      <c r="E4327" t="s">
        <v>15</v>
      </c>
      <c r="F4327" t="s">
        <v>36</v>
      </c>
      <c r="G4327">
        <v>20.75</v>
      </c>
      <c r="H4327">
        <v>20.75</v>
      </c>
      <c r="I4327" t="s">
        <v>15</v>
      </c>
      <c r="J4327" t="s">
        <v>15</v>
      </c>
      <c r="K4327" t="s">
        <v>29</v>
      </c>
      <c r="L4327">
        <v>20.75</v>
      </c>
      <c r="M4327" t="s">
        <v>5030</v>
      </c>
      <c r="N4327" t="s">
        <v>5031</v>
      </c>
    </row>
    <row r="4328" spans="1:14" x14ac:dyDescent="0.3">
      <c r="A4328" t="s">
        <v>4352</v>
      </c>
      <c r="B4328" t="s">
        <v>19</v>
      </c>
      <c r="C4328" t="s">
        <v>13</v>
      </c>
      <c r="D4328">
        <v>1</v>
      </c>
      <c r="E4328" t="s">
        <v>26</v>
      </c>
      <c r="F4328" t="s">
        <v>15</v>
      </c>
      <c r="G4328">
        <v>89.1</v>
      </c>
      <c r="H4328">
        <v>89.1</v>
      </c>
      <c r="I4328" t="s">
        <v>16</v>
      </c>
      <c r="J4328" t="s">
        <v>16</v>
      </c>
      <c r="K4328" t="s">
        <v>17</v>
      </c>
      <c r="L4328">
        <v>89.1</v>
      </c>
      <c r="M4328" t="s">
        <v>5030</v>
      </c>
      <c r="N4328" t="s">
        <v>5031</v>
      </c>
    </row>
    <row r="4329" spans="1:14" x14ac:dyDescent="0.3">
      <c r="A4329" t="s">
        <v>4353</v>
      </c>
      <c r="B4329" t="s">
        <v>12</v>
      </c>
      <c r="C4329" t="s">
        <v>13</v>
      </c>
      <c r="D4329">
        <v>7</v>
      </c>
      <c r="E4329" t="s">
        <v>26</v>
      </c>
      <c r="F4329" t="s">
        <v>15</v>
      </c>
      <c r="G4329">
        <v>69.900000000000006</v>
      </c>
      <c r="H4329">
        <v>497.3</v>
      </c>
      <c r="I4329" t="s">
        <v>15</v>
      </c>
      <c r="J4329" t="s">
        <v>16</v>
      </c>
      <c r="K4329" t="s">
        <v>21</v>
      </c>
      <c r="L4329">
        <v>497.3</v>
      </c>
      <c r="M4329" t="s">
        <v>5030</v>
      </c>
      <c r="N4329" t="s">
        <v>5031</v>
      </c>
    </row>
    <row r="4330" spans="1:14" x14ac:dyDescent="0.3">
      <c r="A4330" t="s">
        <v>4354</v>
      </c>
      <c r="B4330" t="s">
        <v>12</v>
      </c>
      <c r="C4330" t="s">
        <v>13</v>
      </c>
      <c r="D4330">
        <v>15</v>
      </c>
      <c r="E4330" t="s">
        <v>14</v>
      </c>
      <c r="F4330" t="s">
        <v>15</v>
      </c>
      <c r="G4330">
        <v>51.1</v>
      </c>
      <c r="H4330">
        <v>711.15</v>
      </c>
      <c r="I4330" t="s">
        <v>15</v>
      </c>
      <c r="J4330" t="s">
        <v>16</v>
      </c>
      <c r="K4330" t="s">
        <v>17</v>
      </c>
      <c r="L4330">
        <v>711.15</v>
      </c>
      <c r="M4330" t="s">
        <v>5032</v>
      </c>
      <c r="N4330" t="s">
        <v>5031</v>
      </c>
    </row>
    <row r="4331" spans="1:14" x14ac:dyDescent="0.3">
      <c r="A4331" t="s">
        <v>4355</v>
      </c>
      <c r="B4331" t="s">
        <v>12</v>
      </c>
      <c r="C4331" t="s">
        <v>13</v>
      </c>
      <c r="D4331">
        <v>17</v>
      </c>
      <c r="E4331" t="s">
        <v>26</v>
      </c>
      <c r="F4331" t="s">
        <v>15</v>
      </c>
      <c r="G4331">
        <v>94.4</v>
      </c>
      <c r="H4331">
        <v>1607.2</v>
      </c>
      <c r="I4331" t="s">
        <v>16</v>
      </c>
      <c r="J4331" t="s">
        <v>15</v>
      </c>
      <c r="K4331" t="s">
        <v>17</v>
      </c>
      <c r="L4331">
        <v>1607.2</v>
      </c>
      <c r="M4331" t="s">
        <v>5032</v>
      </c>
      <c r="N4331" t="s">
        <v>5031</v>
      </c>
    </row>
    <row r="4332" spans="1:14" x14ac:dyDescent="0.3">
      <c r="A4332" t="s">
        <v>4356</v>
      </c>
      <c r="B4332" t="s">
        <v>19</v>
      </c>
      <c r="C4332" t="s">
        <v>13</v>
      </c>
      <c r="D4332">
        <v>19</v>
      </c>
      <c r="E4332" t="s">
        <v>26</v>
      </c>
      <c r="F4332" t="s">
        <v>15</v>
      </c>
      <c r="G4332">
        <v>78.25</v>
      </c>
      <c r="H4332">
        <v>1490.95</v>
      </c>
      <c r="I4332" t="s">
        <v>16</v>
      </c>
      <c r="J4332" t="s">
        <v>16</v>
      </c>
      <c r="K4332" t="s">
        <v>17</v>
      </c>
      <c r="L4332">
        <v>1490.95</v>
      </c>
      <c r="M4332" t="s">
        <v>5032</v>
      </c>
      <c r="N4332" t="s">
        <v>5031</v>
      </c>
    </row>
    <row r="4333" spans="1:14" x14ac:dyDescent="0.3">
      <c r="A4333" t="s">
        <v>4357</v>
      </c>
      <c r="B4333" t="s">
        <v>19</v>
      </c>
      <c r="C4333" t="s">
        <v>35</v>
      </c>
      <c r="D4333">
        <v>71</v>
      </c>
      <c r="E4333" t="s">
        <v>15</v>
      </c>
      <c r="F4333" t="s">
        <v>36</v>
      </c>
      <c r="G4333">
        <v>25.55</v>
      </c>
      <c r="H4333">
        <v>1898.1</v>
      </c>
      <c r="I4333" t="s">
        <v>15</v>
      </c>
      <c r="J4333" t="s">
        <v>15</v>
      </c>
      <c r="K4333" t="s">
        <v>24</v>
      </c>
      <c r="L4333">
        <v>1898.1</v>
      </c>
      <c r="M4333" t="s">
        <v>5033</v>
      </c>
      <c r="N4333" t="s">
        <v>5031</v>
      </c>
    </row>
    <row r="4334" spans="1:14" x14ac:dyDescent="0.3">
      <c r="A4334" t="s">
        <v>4358</v>
      </c>
      <c r="B4334" t="s">
        <v>12</v>
      </c>
      <c r="C4334" t="s">
        <v>35</v>
      </c>
      <c r="D4334">
        <v>54</v>
      </c>
      <c r="E4334" t="s">
        <v>14</v>
      </c>
      <c r="F4334" t="s">
        <v>16</v>
      </c>
      <c r="G4334">
        <v>60</v>
      </c>
      <c r="H4334">
        <v>3273.95</v>
      </c>
      <c r="I4334" t="s">
        <v>15</v>
      </c>
      <c r="J4334" t="s">
        <v>15</v>
      </c>
      <c r="K4334" t="s">
        <v>24</v>
      </c>
      <c r="L4334">
        <v>3273.95</v>
      </c>
      <c r="M4334" t="s">
        <v>5033</v>
      </c>
      <c r="N4334" t="s">
        <v>5034</v>
      </c>
    </row>
    <row r="4335" spans="1:14" x14ac:dyDescent="0.3">
      <c r="A4335" t="s">
        <v>4359</v>
      </c>
      <c r="B4335" t="s">
        <v>19</v>
      </c>
      <c r="C4335" t="s">
        <v>13</v>
      </c>
      <c r="D4335">
        <v>31</v>
      </c>
      <c r="E4335" t="s">
        <v>26</v>
      </c>
      <c r="F4335" t="s">
        <v>16</v>
      </c>
      <c r="G4335">
        <v>90.55</v>
      </c>
      <c r="H4335">
        <v>2929.75</v>
      </c>
      <c r="I4335" t="s">
        <v>15</v>
      </c>
      <c r="J4335" t="s">
        <v>16</v>
      </c>
      <c r="K4335" t="s">
        <v>29</v>
      </c>
      <c r="L4335">
        <v>2929.75</v>
      </c>
      <c r="M4335" t="s">
        <v>5032</v>
      </c>
      <c r="N4335" t="s">
        <v>5034</v>
      </c>
    </row>
    <row r="4336" spans="1:14" x14ac:dyDescent="0.3">
      <c r="A4336" t="s">
        <v>4360</v>
      </c>
      <c r="B4336" t="s">
        <v>12</v>
      </c>
      <c r="C4336" t="s">
        <v>13</v>
      </c>
      <c r="D4336">
        <v>11</v>
      </c>
      <c r="E4336" t="s">
        <v>26</v>
      </c>
      <c r="F4336" t="s">
        <v>15</v>
      </c>
      <c r="G4336">
        <v>76.400000000000006</v>
      </c>
      <c r="H4336">
        <v>838.7</v>
      </c>
      <c r="I4336" t="s">
        <v>15</v>
      </c>
      <c r="J4336" t="s">
        <v>15</v>
      </c>
      <c r="K4336" t="s">
        <v>17</v>
      </c>
      <c r="L4336">
        <v>838.7</v>
      </c>
      <c r="M4336" t="s">
        <v>5030</v>
      </c>
      <c r="N4336" t="s">
        <v>5031</v>
      </c>
    </row>
    <row r="4337" spans="1:14" x14ac:dyDescent="0.3">
      <c r="A4337" t="s">
        <v>4361</v>
      </c>
      <c r="B4337" t="s">
        <v>12</v>
      </c>
      <c r="C4337" t="s">
        <v>13</v>
      </c>
      <c r="D4337">
        <v>18</v>
      </c>
      <c r="E4337" t="s">
        <v>26</v>
      </c>
      <c r="F4337" t="s">
        <v>15</v>
      </c>
      <c r="G4337">
        <v>84.95</v>
      </c>
      <c r="H4337">
        <v>1443.65</v>
      </c>
      <c r="I4337" t="s">
        <v>15</v>
      </c>
      <c r="J4337" t="s">
        <v>16</v>
      </c>
      <c r="K4337" t="s">
        <v>17</v>
      </c>
      <c r="L4337">
        <v>1443.65</v>
      </c>
      <c r="M4337" t="s">
        <v>5032</v>
      </c>
      <c r="N4337" t="s">
        <v>5031</v>
      </c>
    </row>
    <row r="4338" spans="1:14" x14ac:dyDescent="0.3">
      <c r="A4338" t="s">
        <v>4362</v>
      </c>
      <c r="B4338" t="s">
        <v>12</v>
      </c>
      <c r="C4338" t="s">
        <v>35</v>
      </c>
      <c r="D4338">
        <v>72</v>
      </c>
      <c r="E4338" t="s">
        <v>26</v>
      </c>
      <c r="F4338" t="s">
        <v>16</v>
      </c>
      <c r="G4338">
        <v>110.1</v>
      </c>
      <c r="H4338">
        <v>7746.7</v>
      </c>
      <c r="I4338" t="s">
        <v>15</v>
      </c>
      <c r="J4338" t="s">
        <v>16</v>
      </c>
      <c r="K4338" t="s">
        <v>24</v>
      </c>
      <c r="L4338">
        <v>7746.7</v>
      </c>
      <c r="M4338" t="s">
        <v>5033</v>
      </c>
      <c r="N4338" t="s">
        <v>5034</v>
      </c>
    </row>
    <row r="4339" spans="1:14" x14ac:dyDescent="0.3">
      <c r="A4339" t="s">
        <v>4363</v>
      </c>
      <c r="B4339" t="s">
        <v>12</v>
      </c>
      <c r="C4339" t="s">
        <v>13</v>
      </c>
      <c r="D4339">
        <v>71</v>
      </c>
      <c r="E4339" t="s">
        <v>26</v>
      </c>
      <c r="F4339" t="s">
        <v>15</v>
      </c>
      <c r="G4339">
        <v>99.65</v>
      </c>
      <c r="H4339">
        <v>6951.15</v>
      </c>
      <c r="I4339" t="s">
        <v>15</v>
      </c>
      <c r="J4339" t="s">
        <v>16</v>
      </c>
      <c r="K4339" t="s">
        <v>29</v>
      </c>
      <c r="L4339">
        <v>6951.15</v>
      </c>
      <c r="M4339" t="s">
        <v>5033</v>
      </c>
      <c r="N4339" t="s">
        <v>5034</v>
      </c>
    </row>
    <row r="4340" spans="1:14" x14ac:dyDescent="0.3">
      <c r="A4340" t="s">
        <v>4364</v>
      </c>
      <c r="B4340" t="s">
        <v>19</v>
      </c>
      <c r="C4340" t="s">
        <v>13</v>
      </c>
      <c r="D4340">
        <v>5</v>
      </c>
      <c r="E4340" t="s">
        <v>14</v>
      </c>
      <c r="F4340" t="s">
        <v>16</v>
      </c>
      <c r="G4340">
        <v>45.4</v>
      </c>
      <c r="H4340">
        <v>214.75</v>
      </c>
      <c r="I4340" t="s">
        <v>15</v>
      </c>
      <c r="J4340" t="s">
        <v>15</v>
      </c>
      <c r="K4340" t="s">
        <v>29</v>
      </c>
      <c r="L4340">
        <v>214.75</v>
      </c>
      <c r="M4340" t="s">
        <v>5030</v>
      </c>
      <c r="N4340" t="s">
        <v>5031</v>
      </c>
    </row>
    <row r="4341" spans="1:14" x14ac:dyDescent="0.3">
      <c r="A4341" t="s">
        <v>4365</v>
      </c>
      <c r="B4341" t="s">
        <v>19</v>
      </c>
      <c r="C4341" t="s">
        <v>20</v>
      </c>
      <c r="D4341">
        <v>38</v>
      </c>
      <c r="E4341" t="s">
        <v>14</v>
      </c>
      <c r="F4341" t="s">
        <v>16</v>
      </c>
      <c r="G4341">
        <v>69</v>
      </c>
      <c r="H4341">
        <v>2669.45</v>
      </c>
      <c r="I4341" t="s">
        <v>15</v>
      </c>
      <c r="J4341" t="s">
        <v>15</v>
      </c>
      <c r="K4341" t="s">
        <v>29</v>
      </c>
      <c r="L4341">
        <v>2669.45</v>
      </c>
      <c r="M4341" t="s">
        <v>5033</v>
      </c>
      <c r="N4341" t="s">
        <v>5034</v>
      </c>
    </row>
    <row r="4342" spans="1:14" x14ac:dyDescent="0.3">
      <c r="A4342" t="s">
        <v>4366</v>
      </c>
      <c r="B4342" t="s">
        <v>19</v>
      </c>
      <c r="C4342" t="s">
        <v>13</v>
      </c>
      <c r="D4342">
        <v>5</v>
      </c>
      <c r="E4342" t="s">
        <v>14</v>
      </c>
      <c r="F4342" t="s">
        <v>16</v>
      </c>
      <c r="G4342">
        <v>48.65</v>
      </c>
      <c r="H4342">
        <v>235.2</v>
      </c>
      <c r="I4342" t="s">
        <v>15</v>
      </c>
      <c r="J4342" t="s">
        <v>16</v>
      </c>
      <c r="K4342" t="s">
        <v>24</v>
      </c>
      <c r="L4342">
        <v>235.2</v>
      </c>
      <c r="M4342" t="s">
        <v>5030</v>
      </c>
      <c r="N4342" t="s">
        <v>5031</v>
      </c>
    </row>
    <row r="4343" spans="1:14" x14ac:dyDescent="0.3">
      <c r="A4343" t="s">
        <v>4367</v>
      </c>
      <c r="B4343" t="s">
        <v>19</v>
      </c>
      <c r="C4343" t="s">
        <v>13</v>
      </c>
      <c r="D4343">
        <v>2</v>
      </c>
      <c r="E4343" t="s">
        <v>14</v>
      </c>
      <c r="F4343" t="s">
        <v>15</v>
      </c>
      <c r="G4343">
        <v>44.15</v>
      </c>
      <c r="H4343">
        <v>92.65</v>
      </c>
      <c r="I4343" t="s">
        <v>16</v>
      </c>
      <c r="J4343" t="s">
        <v>16</v>
      </c>
      <c r="K4343" t="s">
        <v>17</v>
      </c>
      <c r="L4343">
        <v>92.65</v>
      </c>
      <c r="M4343" t="s">
        <v>5030</v>
      </c>
      <c r="N4343" t="s">
        <v>5031</v>
      </c>
    </row>
    <row r="4344" spans="1:14" x14ac:dyDescent="0.3">
      <c r="A4344" t="s">
        <v>4368</v>
      </c>
      <c r="B4344" t="s">
        <v>12</v>
      </c>
      <c r="C4344" t="s">
        <v>35</v>
      </c>
      <c r="D4344">
        <v>52</v>
      </c>
      <c r="E4344" t="s">
        <v>14</v>
      </c>
      <c r="F4344" t="s">
        <v>15</v>
      </c>
      <c r="G4344">
        <v>59.85</v>
      </c>
      <c r="H4344">
        <v>3103.25</v>
      </c>
      <c r="I4344" t="s">
        <v>15</v>
      </c>
      <c r="J4344" t="s">
        <v>15</v>
      </c>
      <c r="K4344" t="s">
        <v>24</v>
      </c>
      <c r="L4344">
        <v>3103.25</v>
      </c>
      <c r="M4344" t="s">
        <v>5033</v>
      </c>
      <c r="N4344" t="s">
        <v>5034</v>
      </c>
    </row>
    <row r="4345" spans="1:14" x14ac:dyDescent="0.3">
      <c r="A4345" t="s">
        <v>4369</v>
      </c>
      <c r="B4345" t="s">
        <v>12</v>
      </c>
      <c r="C4345" t="s">
        <v>13</v>
      </c>
      <c r="D4345">
        <v>8</v>
      </c>
      <c r="E4345" t="s">
        <v>26</v>
      </c>
      <c r="F4345" t="s">
        <v>15</v>
      </c>
      <c r="G4345">
        <v>75.75</v>
      </c>
      <c r="H4345">
        <v>606.25</v>
      </c>
      <c r="I4345" t="s">
        <v>16</v>
      </c>
      <c r="J4345" t="s">
        <v>16</v>
      </c>
      <c r="K4345" t="s">
        <v>17</v>
      </c>
      <c r="L4345">
        <v>606.25</v>
      </c>
      <c r="M4345" t="s">
        <v>5030</v>
      </c>
      <c r="N4345" t="s">
        <v>5031</v>
      </c>
    </row>
    <row r="4346" spans="1:14" x14ac:dyDescent="0.3">
      <c r="A4346" t="s">
        <v>4370</v>
      </c>
      <c r="B4346" t="s">
        <v>12</v>
      </c>
      <c r="C4346" t="s">
        <v>35</v>
      </c>
      <c r="D4346">
        <v>68</v>
      </c>
      <c r="E4346" t="s">
        <v>14</v>
      </c>
      <c r="F4346" t="s">
        <v>15</v>
      </c>
      <c r="G4346">
        <v>80.650000000000006</v>
      </c>
      <c r="H4346">
        <v>5330.2</v>
      </c>
      <c r="I4346" t="s">
        <v>15</v>
      </c>
      <c r="J4346" t="s">
        <v>16</v>
      </c>
      <c r="K4346" t="s">
        <v>17</v>
      </c>
      <c r="L4346">
        <v>5330.2</v>
      </c>
      <c r="M4346" t="s">
        <v>5033</v>
      </c>
      <c r="N4346" t="s">
        <v>5034</v>
      </c>
    </row>
    <row r="4347" spans="1:14" x14ac:dyDescent="0.3">
      <c r="A4347" t="s">
        <v>4371</v>
      </c>
      <c r="B4347" t="s">
        <v>19</v>
      </c>
      <c r="C4347" t="s">
        <v>20</v>
      </c>
      <c r="D4347">
        <v>69</v>
      </c>
      <c r="E4347" t="s">
        <v>15</v>
      </c>
      <c r="F4347" t="s">
        <v>36</v>
      </c>
      <c r="G4347">
        <v>20.55</v>
      </c>
      <c r="H4347">
        <v>1403.1</v>
      </c>
      <c r="I4347" t="s">
        <v>15</v>
      </c>
      <c r="J4347" t="s">
        <v>16</v>
      </c>
      <c r="K4347" t="s">
        <v>29</v>
      </c>
      <c r="L4347">
        <v>1403.1</v>
      </c>
      <c r="M4347" t="s">
        <v>5033</v>
      </c>
      <c r="N4347" t="s">
        <v>5031</v>
      </c>
    </row>
    <row r="4348" spans="1:14" x14ac:dyDescent="0.3">
      <c r="A4348" t="s">
        <v>4372</v>
      </c>
      <c r="B4348" t="s">
        <v>12</v>
      </c>
      <c r="C4348" t="s">
        <v>13</v>
      </c>
      <c r="D4348">
        <v>42</v>
      </c>
      <c r="E4348" t="s">
        <v>14</v>
      </c>
      <c r="F4348" t="s">
        <v>16</v>
      </c>
      <c r="G4348">
        <v>66.400000000000006</v>
      </c>
      <c r="H4348">
        <v>2727.8</v>
      </c>
      <c r="I4348" t="s">
        <v>15</v>
      </c>
      <c r="J4348" t="s">
        <v>16</v>
      </c>
      <c r="K4348" t="s">
        <v>29</v>
      </c>
      <c r="L4348">
        <v>2727.8</v>
      </c>
      <c r="M4348" t="s">
        <v>5033</v>
      </c>
      <c r="N4348" t="s">
        <v>5034</v>
      </c>
    </row>
    <row r="4349" spans="1:14" x14ac:dyDescent="0.3">
      <c r="A4349" t="s">
        <v>4373</v>
      </c>
      <c r="B4349" t="s">
        <v>12</v>
      </c>
      <c r="C4349" t="s">
        <v>35</v>
      </c>
      <c r="D4349">
        <v>50</v>
      </c>
      <c r="E4349" t="s">
        <v>26</v>
      </c>
      <c r="F4349" t="s">
        <v>16</v>
      </c>
      <c r="G4349">
        <v>100.2</v>
      </c>
      <c r="H4349">
        <v>5038.45</v>
      </c>
      <c r="I4349" t="s">
        <v>15</v>
      </c>
      <c r="J4349" t="s">
        <v>16</v>
      </c>
      <c r="K4349" t="s">
        <v>21</v>
      </c>
      <c r="L4349">
        <v>5038.45</v>
      </c>
      <c r="M4349" t="s">
        <v>5033</v>
      </c>
      <c r="N4349" t="s">
        <v>5034</v>
      </c>
    </row>
    <row r="4350" spans="1:14" x14ac:dyDescent="0.3">
      <c r="A4350" t="s">
        <v>4374</v>
      </c>
      <c r="B4350" t="s">
        <v>12</v>
      </c>
      <c r="C4350" t="s">
        <v>13</v>
      </c>
      <c r="D4350">
        <v>1</v>
      </c>
      <c r="E4350" t="s">
        <v>15</v>
      </c>
      <c r="F4350" t="s">
        <v>36</v>
      </c>
      <c r="G4350">
        <v>19.100000000000001</v>
      </c>
      <c r="H4350">
        <v>19.100000000000001</v>
      </c>
      <c r="I4350" t="s">
        <v>16</v>
      </c>
      <c r="J4350" t="s">
        <v>16</v>
      </c>
      <c r="K4350" t="s">
        <v>21</v>
      </c>
      <c r="L4350">
        <v>19.100000000000001</v>
      </c>
      <c r="M4350" t="s">
        <v>5030</v>
      </c>
      <c r="N4350" t="s">
        <v>5031</v>
      </c>
    </row>
    <row r="4351" spans="1:14" x14ac:dyDescent="0.3">
      <c r="A4351" t="s">
        <v>4375</v>
      </c>
      <c r="B4351" t="s">
        <v>19</v>
      </c>
      <c r="C4351" t="s">
        <v>13</v>
      </c>
      <c r="D4351">
        <v>1</v>
      </c>
      <c r="E4351" t="s">
        <v>26</v>
      </c>
      <c r="F4351" t="s">
        <v>15</v>
      </c>
      <c r="G4351">
        <v>80.3</v>
      </c>
      <c r="H4351">
        <v>80.3</v>
      </c>
      <c r="I4351" t="s">
        <v>16</v>
      </c>
      <c r="J4351" t="s">
        <v>16</v>
      </c>
      <c r="K4351" t="s">
        <v>17</v>
      </c>
      <c r="L4351">
        <v>80.3</v>
      </c>
      <c r="M4351" t="s">
        <v>5030</v>
      </c>
      <c r="N4351" t="s">
        <v>5031</v>
      </c>
    </row>
    <row r="4352" spans="1:14" x14ac:dyDescent="0.3">
      <c r="A4352" t="s">
        <v>4376</v>
      </c>
      <c r="B4352" t="s">
        <v>19</v>
      </c>
      <c r="C4352" t="s">
        <v>13</v>
      </c>
      <c r="D4352">
        <v>33</v>
      </c>
      <c r="E4352" t="s">
        <v>14</v>
      </c>
      <c r="F4352" t="s">
        <v>15</v>
      </c>
      <c r="G4352">
        <v>44.55</v>
      </c>
      <c r="H4352">
        <v>1462.6</v>
      </c>
      <c r="I4352" t="s">
        <v>15</v>
      </c>
      <c r="J4352" t="s">
        <v>16</v>
      </c>
      <c r="K4352" t="s">
        <v>29</v>
      </c>
      <c r="L4352">
        <v>1462.6</v>
      </c>
      <c r="M4352" t="s">
        <v>5032</v>
      </c>
      <c r="N4352" t="s">
        <v>5031</v>
      </c>
    </row>
    <row r="4353" spans="1:14" x14ac:dyDescent="0.3">
      <c r="A4353" t="s">
        <v>4377</v>
      </c>
      <c r="B4353" t="s">
        <v>12</v>
      </c>
      <c r="C4353" t="s">
        <v>13</v>
      </c>
      <c r="D4353">
        <v>7</v>
      </c>
      <c r="E4353" t="s">
        <v>15</v>
      </c>
      <c r="F4353" t="s">
        <v>36</v>
      </c>
      <c r="G4353">
        <v>20.350000000000001</v>
      </c>
      <c r="H4353">
        <v>150.6</v>
      </c>
      <c r="I4353" t="s">
        <v>15</v>
      </c>
      <c r="J4353" t="s">
        <v>15</v>
      </c>
      <c r="K4353" t="s">
        <v>21</v>
      </c>
      <c r="L4353">
        <v>150.6</v>
      </c>
      <c r="M4353" t="s">
        <v>5030</v>
      </c>
      <c r="N4353" t="s">
        <v>5031</v>
      </c>
    </row>
    <row r="4354" spans="1:14" x14ac:dyDescent="0.3">
      <c r="A4354" t="s">
        <v>4378</v>
      </c>
      <c r="B4354" t="s">
        <v>19</v>
      </c>
      <c r="C4354" t="s">
        <v>13</v>
      </c>
      <c r="D4354">
        <v>64</v>
      </c>
      <c r="E4354" t="s">
        <v>26</v>
      </c>
      <c r="F4354" t="s">
        <v>15</v>
      </c>
      <c r="G4354">
        <v>91.8</v>
      </c>
      <c r="H4354">
        <v>5960.5</v>
      </c>
      <c r="I4354" t="s">
        <v>15</v>
      </c>
      <c r="J4354" t="s">
        <v>16</v>
      </c>
      <c r="K4354" t="s">
        <v>17</v>
      </c>
      <c r="L4354">
        <v>5960.5</v>
      </c>
      <c r="M4354" t="s">
        <v>5033</v>
      </c>
      <c r="N4354" t="s">
        <v>5034</v>
      </c>
    </row>
    <row r="4355" spans="1:14" x14ac:dyDescent="0.3">
      <c r="A4355" t="s">
        <v>4379</v>
      </c>
      <c r="B4355" t="s">
        <v>12</v>
      </c>
      <c r="C4355" t="s">
        <v>13</v>
      </c>
      <c r="D4355">
        <v>1</v>
      </c>
      <c r="E4355" t="s">
        <v>26</v>
      </c>
      <c r="F4355" t="s">
        <v>15</v>
      </c>
      <c r="G4355">
        <v>74.900000000000006</v>
      </c>
      <c r="H4355">
        <v>74.900000000000006</v>
      </c>
      <c r="I4355" t="s">
        <v>16</v>
      </c>
      <c r="J4355" t="s">
        <v>16</v>
      </c>
      <c r="K4355" t="s">
        <v>17</v>
      </c>
      <c r="L4355">
        <v>74.900000000000006</v>
      </c>
      <c r="M4355" t="s">
        <v>5030</v>
      </c>
      <c r="N4355" t="s">
        <v>5031</v>
      </c>
    </row>
    <row r="4356" spans="1:14" x14ac:dyDescent="0.3">
      <c r="A4356" t="s">
        <v>4380</v>
      </c>
      <c r="B4356" t="s">
        <v>19</v>
      </c>
      <c r="C4356" t="s">
        <v>35</v>
      </c>
      <c r="D4356">
        <v>59</v>
      </c>
      <c r="E4356" t="s">
        <v>15</v>
      </c>
      <c r="F4356" t="s">
        <v>36</v>
      </c>
      <c r="G4356">
        <v>20.2</v>
      </c>
      <c r="H4356">
        <v>1192.3</v>
      </c>
      <c r="I4356" t="s">
        <v>15</v>
      </c>
      <c r="J4356" t="s">
        <v>16</v>
      </c>
      <c r="K4356" t="s">
        <v>24</v>
      </c>
      <c r="L4356">
        <v>1192.3</v>
      </c>
      <c r="M4356" t="s">
        <v>5033</v>
      </c>
      <c r="N4356" t="s">
        <v>5031</v>
      </c>
    </row>
    <row r="4357" spans="1:14" x14ac:dyDescent="0.3">
      <c r="A4357" t="s">
        <v>4381</v>
      </c>
      <c r="B4357" t="s">
        <v>12</v>
      </c>
      <c r="C4357" t="s">
        <v>13</v>
      </c>
      <c r="D4357">
        <v>6</v>
      </c>
      <c r="E4357" t="s">
        <v>14</v>
      </c>
      <c r="F4357" t="s">
        <v>15</v>
      </c>
      <c r="G4357">
        <v>50.35</v>
      </c>
      <c r="H4357">
        <v>314.55</v>
      </c>
      <c r="I4357" t="s">
        <v>15</v>
      </c>
      <c r="J4357" t="s">
        <v>15</v>
      </c>
      <c r="K4357" t="s">
        <v>17</v>
      </c>
      <c r="L4357">
        <v>314.55</v>
      </c>
      <c r="M4357" t="s">
        <v>5030</v>
      </c>
      <c r="N4357" t="s">
        <v>5031</v>
      </c>
    </row>
    <row r="4358" spans="1:14" x14ac:dyDescent="0.3">
      <c r="A4358" t="s">
        <v>4382</v>
      </c>
      <c r="B4358" t="s">
        <v>12</v>
      </c>
      <c r="C4358" t="s">
        <v>13</v>
      </c>
      <c r="D4358">
        <v>3</v>
      </c>
      <c r="E4358" t="s">
        <v>15</v>
      </c>
      <c r="F4358" t="s">
        <v>36</v>
      </c>
      <c r="G4358">
        <v>18.8</v>
      </c>
      <c r="H4358">
        <v>56</v>
      </c>
      <c r="I4358" t="s">
        <v>15</v>
      </c>
      <c r="J4358" t="s">
        <v>15</v>
      </c>
      <c r="K4358" t="s">
        <v>21</v>
      </c>
      <c r="L4358">
        <v>56</v>
      </c>
      <c r="M4358" t="s">
        <v>5030</v>
      </c>
      <c r="N4358" t="s">
        <v>5031</v>
      </c>
    </row>
    <row r="4359" spans="1:14" x14ac:dyDescent="0.3">
      <c r="A4359" t="s">
        <v>4383</v>
      </c>
      <c r="B4359" t="s">
        <v>12</v>
      </c>
      <c r="C4359" t="s">
        <v>13</v>
      </c>
      <c r="D4359">
        <v>15</v>
      </c>
      <c r="E4359" t="s">
        <v>15</v>
      </c>
      <c r="F4359" t="s">
        <v>36</v>
      </c>
      <c r="G4359">
        <v>20.45</v>
      </c>
      <c r="H4359">
        <v>330.8</v>
      </c>
      <c r="I4359" t="s">
        <v>15</v>
      </c>
      <c r="J4359" t="s">
        <v>15</v>
      </c>
      <c r="K4359" t="s">
        <v>29</v>
      </c>
      <c r="L4359">
        <v>330.8</v>
      </c>
      <c r="M4359" t="s">
        <v>5032</v>
      </c>
      <c r="N4359" t="s">
        <v>5031</v>
      </c>
    </row>
    <row r="4360" spans="1:14" x14ac:dyDescent="0.3">
      <c r="A4360" t="s">
        <v>4384</v>
      </c>
      <c r="B4360" t="s">
        <v>19</v>
      </c>
      <c r="C4360" t="s">
        <v>20</v>
      </c>
      <c r="D4360">
        <v>13</v>
      </c>
      <c r="E4360" t="s">
        <v>14</v>
      </c>
      <c r="F4360" t="s">
        <v>15</v>
      </c>
      <c r="G4360">
        <v>64.75</v>
      </c>
      <c r="H4360">
        <v>877.35</v>
      </c>
      <c r="I4360" t="s">
        <v>15</v>
      </c>
      <c r="J4360" t="s">
        <v>16</v>
      </c>
      <c r="K4360" t="s">
        <v>17</v>
      </c>
      <c r="L4360">
        <v>877.35</v>
      </c>
      <c r="M4360" t="s">
        <v>5032</v>
      </c>
      <c r="N4360" t="s">
        <v>5031</v>
      </c>
    </row>
    <row r="4361" spans="1:14" x14ac:dyDescent="0.3">
      <c r="A4361" t="s">
        <v>4385</v>
      </c>
      <c r="B4361" t="s">
        <v>12</v>
      </c>
      <c r="C4361" t="s">
        <v>13</v>
      </c>
      <c r="D4361">
        <v>23</v>
      </c>
      <c r="E4361" t="s">
        <v>26</v>
      </c>
      <c r="F4361" t="s">
        <v>15</v>
      </c>
      <c r="G4361">
        <v>98.7</v>
      </c>
      <c r="H4361">
        <v>2249.1</v>
      </c>
      <c r="I4361" t="s">
        <v>15</v>
      </c>
      <c r="J4361" t="s">
        <v>16</v>
      </c>
      <c r="K4361" t="s">
        <v>29</v>
      </c>
      <c r="L4361">
        <v>2249.1</v>
      </c>
      <c r="M4361" t="s">
        <v>5032</v>
      </c>
      <c r="N4361" t="s">
        <v>5031</v>
      </c>
    </row>
    <row r="4362" spans="1:14" x14ac:dyDescent="0.3">
      <c r="A4362" t="s">
        <v>4386</v>
      </c>
      <c r="B4362" t="s">
        <v>19</v>
      </c>
      <c r="C4362" t="s">
        <v>13</v>
      </c>
      <c r="D4362">
        <v>31</v>
      </c>
      <c r="E4362" t="s">
        <v>26</v>
      </c>
      <c r="F4362" t="s">
        <v>15</v>
      </c>
      <c r="G4362">
        <v>89.45</v>
      </c>
      <c r="H4362">
        <v>2807.65</v>
      </c>
      <c r="I4362" t="s">
        <v>15</v>
      </c>
      <c r="J4362" t="s">
        <v>15</v>
      </c>
      <c r="K4362" t="s">
        <v>17</v>
      </c>
      <c r="L4362">
        <v>2807.65</v>
      </c>
      <c r="M4362" t="s">
        <v>5032</v>
      </c>
      <c r="N4362" t="s">
        <v>5034</v>
      </c>
    </row>
    <row r="4363" spans="1:14" x14ac:dyDescent="0.3">
      <c r="A4363" t="s">
        <v>4387</v>
      </c>
      <c r="B4363" t="s">
        <v>19</v>
      </c>
      <c r="C4363" t="s">
        <v>20</v>
      </c>
      <c r="D4363">
        <v>29</v>
      </c>
      <c r="E4363" t="s">
        <v>14</v>
      </c>
      <c r="F4363" t="s">
        <v>16</v>
      </c>
      <c r="G4363">
        <v>58.75</v>
      </c>
      <c r="H4363">
        <v>1696.2</v>
      </c>
      <c r="I4363" t="s">
        <v>15</v>
      </c>
      <c r="J4363" t="s">
        <v>16</v>
      </c>
      <c r="K4363" t="s">
        <v>17</v>
      </c>
      <c r="L4363">
        <v>1696.2</v>
      </c>
      <c r="M4363" t="s">
        <v>5032</v>
      </c>
      <c r="N4363" t="s">
        <v>5031</v>
      </c>
    </row>
    <row r="4364" spans="1:14" x14ac:dyDescent="0.3">
      <c r="A4364" t="s">
        <v>4388</v>
      </c>
      <c r="B4364" t="s">
        <v>12</v>
      </c>
      <c r="C4364" t="s">
        <v>20</v>
      </c>
      <c r="D4364">
        <v>49</v>
      </c>
      <c r="E4364" t="s">
        <v>15</v>
      </c>
      <c r="F4364" t="s">
        <v>36</v>
      </c>
      <c r="G4364">
        <v>20.7</v>
      </c>
      <c r="H4364">
        <v>1032.05</v>
      </c>
      <c r="I4364" t="s">
        <v>15</v>
      </c>
      <c r="J4364" t="s">
        <v>15</v>
      </c>
      <c r="K4364" t="s">
        <v>29</v>
      </c>
      <c r="L4364">
        <v>1032.05</v>
      </c>
      <c r="M4364" t="s">
        <v>5033</v>
      </c>
      <c r="N4364" t="s">
        <v>5031</v>
      </c>
    </row>
    <row r="4365" spans="1:14" x14ac:dyDescent="0.3">
      <c r="A4365" t="s">
        <v>4389</v>
      </c>
      <c r="B4365" t="s">
        <v>12</v>
      </c>
      <c r="C4365" t="s">
        <v>13</v>
      </c>
      <c r="D4365">
        <v>56</v>
      </c>
      <c r="E4365" t="s">
        <v>26</v>
      </c>
      <c r="F4365" t="s">
        <v>15</v>
      </c>
      <c r="G4365">
        <v>85.6</v>
      </c>
      <c r="H4365">
        <v>4902.8</v>
      </c>
      <c r="I4365" t="s">
        <v>15</v>
      </c>
      <c r="J4365" t="s">
        <v>16</v>
      </c>
      <c r="K4365" t="s">
        <v>24</v>
      </c>
      <c r="L4365">
        <v>4902.8</v>
      </c>
      <c r="M4365" t="s">
        <v>5033</v>
      </c>
      <c r="N4365" t="s">
        <v>5034</v>
      </c>
    </row>
    <row r="4366" spans="1:14" x14ac:dyDescent="0.3">
      <c r="A4366" t="s">
        <v>4390</v>
      </c>
      <c r="B4366" t="s">
        <v>12</v>
      </c>
      <c r="C4366" t="s">
        <v>35</v>
      </c>
      <c r="D4366">
        <v>63</v>
      </c>
      <c r="E4366" t="s">
        <v>14</v>
      </c>
      <c r="F4366" t="s">
        <v>16</v>
      </c>
      <c r="G4366">
        <v>80.3</v>
      </c>
      <c r="H4366">
        <v>4995.3500000000004</v>
      </c>
      <c r="I4366" t="s">
        <v>15</v>
      </c>
      <c r="J4366" t="s">
        <v>16</v>
      </c>
      <c r="K4366" t="s">
        <v>29</v>
      </c>
      <c r="L4366">
        <v>4995.3500000000004</v>
      </c>
      <c r="M4366" t="s">
        <v>5033</v>
      </c>
      <c r="N4366" t="s">
        <v>5034</v>
      </c>
    </row>
    <row r="4367" spans="1:14" x14ac:dyDescent="0.3">
      <c r="A4367" t="s">
        <v>4391</v>
      </c>
      <c r="B4367" t="s">
        <v>19</v>
      </c>
      <c r="C4367" t="s">
        <v>35</v>
      </c>
      <c r="D4367">
        <v>63</v>
      </c>
      <c r="E4367" t="s">
        <v>14</v>
      </c>
      <c r="F4367" t="s">
        <v>16</v>
      </c>
      <c r="G4367">
        <v>79.8</v>
      </c>
      <c r="H4367">
        <v>5034.05</v>
      </c>
      <c r="I4367" t="s">
        <v>15</v>
      </c>
      <c r="J4367" t="s">
        <v>15</v>
      </c>
      <c r="K4367" t="s">
        <v>29</v>
      </c>
      <c r="L4367">
        <v>5034.05</v>
      </c>
      <c r="M4367" t="s">
        <v>5033</v>
      </c>
      <c r="N4367" t="s">
        <v>5034</v>
      </c>
    </row>
    <row r="4368" spans="1:14" x14ac:dyDescent="0.3">
      <c r="A4368" t="s">
        <v>4392</v>
      </c>
      <c r="B4368" t="s">
        <v>19</v>
      </c>
      <c r="C4368" t="s">
        <v>13</v>
      </c>
      <c r="D4368">
        <v>24</v>
      </c>
      <c r="E4368" t="s">
        <v>26</v>
      </c>
      <c r="F4368" t="s">
        <v>15</v>
      </c>
      <c r="G4368">
        <v>79.849999999999994</v>
      </c>
      <c r="H4368">
        <v>1857.75</v>
      </c>
      <c r="I4368" t="s">
        <v>15</v>
      </c>
      <c r="J4368" t="s">
        <v>16</v>
      </c>
      <c r="K4368" t="s">
        <v>17</v>
      </c>
      <c r="L4368">
        <v>1857.75</v>
      </c>
      <c r="M4368" t="s">
        <v>5032</v>
      </c>
      <c r="N4368" t="s">
        <v>5031</v>
      </c>
    </row>
    <row r="4369" spans="1:14" x14ac:dyDescent="0.3">
      <c r="A4369" t="s">
        <v>4393</v>
      </c>
      <c r="B4369" t="s">
        <v>19</v>
      </c>
      <c r="C4369" t="s">
        <v>20</v>
      </c>
      <c r="D4369">
        <v>36</v>
      </c>
      <c r="E4369" t="s">
        <v>14</v>
      </c>
      <c r="F4369" t="s">
        <v>16</v>
      </c>
      <c r="G4369">
        <v>54.1</v>
      </c>
      <c r="H4369">
        <v>1992.85</v>
      </c>
      <c r="I4369" t="s">
        <v>15</v>
      </c>
      <c r="J4369" t="s">
        <v>15</v>
      </c>
      <c r="K4369" t="s">
        <v>29</v>
      </c>
      <c r="L4369">
        <v>1992.85</v>
      </c>
      <c r="M4369" t="s">
        <v>5032</v>
      </c>
      <c r="N4369" t="s">
        <v>5031</v>
      </c>
    </row>
    <row r="4370" spans="1:14" x14ac:dyDescent="0.3">
      <c r="A4370" t="s">
        <v>4394</v>
      </c>
      <c r="B4370" t="s">
        <v>12</v>
      </c>
      <c r="C4370" t="s">
        <v>13</v>
      </c>
      <c r="D4370">
        <v>9</v>
      </c>
      <c r="E4370" t="s">
        <v>26</v>
      </c>
      <c r="F4370" t="s">
        <v>15</v>
      </c>
      <c r="G4370">
        <v>80.849999999999994</v>
      </c>
      <c r="H4370">
        <v>751.65</v>
      </c>
      <c r="I4370" t="s">
        <v>16</v>
      </c>
      <c r="J4370" t="s">
        <v>16</v>
      </c>
      <c r="K4370" t="s">
        <v>17</v>
      </c>
      <c r="L4370">
        <v>751.65</v>
      </c>
      <c r="M4370" t="s">
        <v>5030</v>
      </c>
      <c r="N4370" t="s">
        <v>5031</v>
      </c>
    </row>
    <row r="4371" spans="1:14" x14ac:dyDescent="0.3">
      <c r="A4371" t="s">
        <v>4395</v>
      </c>
      <c r="B4371" t="s">
        <v>19</v>
      </c>
      <c r="C4371" t="s">
        <v>13</v>
      </c>
      <c r="D4371">
        <v>3</v>
      </c>
      <c r="E4371" t="s">
        <v>14</v>
      </c>
      <c r="F4371" t="s">
        <v>15</v>
      </c>
      <c r="G4371">
        <v>24.75</v>
      </c>
      <c r="H4371">
        <v>66.95</v>
      </c>
      <c r="I4371" t="s">
        <v>16</v>
      </c>
      <c r="J4371" t="s">
        <v>15</v>
      </c>
      <c r="K4371" t="s">
        <v>17</v>
      </c>
      <c r="L4371">
        <v>66.95</v>
      </c>
      <c r="M4371" t="s">
        <v>5030</v>
      </c>
      <c r="N4371" t="s">
        <v>5031</v>
      </c>
    </row>
    <row r="4372" spans="1:14" x14ac:dyDescent="0.3">
      <c r="A4372" t="s">
        <v>4396</v>
      </c>
      <c r="B4372" t="s">
        <v>12</v>
      </c>
      <c r="C4372" t="s">
        <v>20</v>
      </c>
      <c r="D4372">
        <v>21</v>
      </c>
      <c r="E4372" t="s">
        <v>14</v>
      </c>
      <c r="F4372" t="s">
        <v>16</v>
      </c>
      <c r="G4372">
        <v>80.900000000000006</v>
      </c>
      <c r="H4372">
        <v>1714.95</v>
      </c>
      <c r="I4372" t="s">
        <v>15</v>
      </c>
      <c r="J4372" t="s">
        <v>15</v>
      </c>
      <c r="K4372" t="s">
        <v>21</v>
      </c>
      <c r="L4372">
        <v>1714.95</v>
      </c>
      <c r="M4372" t="s">
        <v>5032</v>
      </c>
      <c r="N4372" t="s">
        <v>5031</v>
      </c>
    </row>
    <row r="4373" spans="1:14" x14ac:dyDescent="0.3">
      <c r="A4373" t="s">
        <v>4397</v>
      </c>
      <c r="B4373" t="s">
        <v>19</v>
      </c>
      <c r="C4373" t="s">
        <v>20</v>
      </c>
      <c r="D4373">
        <v>13</v>
      </c>
      <c r="E4373" t="s">
        <v>15</v>
      </c>
      <c r="F4373" t="s">
        <v>36</v>
      </c>
      <c r="G4373">
        <v>24.5</v>
      </c>
      <c r="H4373">
        <v>343.6</v>
      </c>
      <c r="I4373" t="s">
        <v>15</v>
      </c>
      <c r="J4373" t="s">
        <v>15</v>
      </c>
      <c r="K4373" t="s">
        <v>24</v>
      </c>
      <c r="L4373">
        <v>343.6</v>
      </c>
      <c r="M4373" t="s">
        <v>5032</v>
      </c>
      <c r="N4373" t="s">
        <v>5031</v>
      </c>
    </row>
    <row r="4374" spans="1:14" x14ac:dyDescent="0.3">
      <c r="A4374" t="s">
        <v>4398</v>
      </c>
      <c r="B4374" t="s">
        <v>19</v>
      </c>
      <c r="C4374" t="s">
        <v>13</v>
      </c>
      <c r="D4374">
        <v>1</v>
      </c>
      <c r="E4374" t="s">
        <v>15</v>
      </c>
      <c r="F4374" t="s">
        <v>36</v>
      </c>
      <c r="G4374">
        <v>20.149999999999999</v>
      </c>
      <c r="H4374">
        <v>20.149999999999999</v>
      </c>
      <c r="I4374" t="s">
        <v>15</v>
      </c>
      <c r="J4374" t="s">
        <v>16</v>
      </c>
      <c r="K4374" t="s">
        <v>24</v>
      </c>
      <c r="L4374">
        <v>20.149999999999999</v>
      </c>
      <c r="M4374" t="s">
        <v>5030</v>
      </c>
      <c r="N4374" t="s">
        <v>5031</v>
      </c>
    </row>
    <row r="4375" spans="1:14" x14ac:dyDescent="0.3">
      <c r="A4375" t="s">
        <v>4399</v>
      </c>
      <c r="B4375" t="s">
        <v>12</v>
      </c>
      <c r="C4375" t="s">
        <v>20</v>
      </c>
      <c r="D4375">
        <v>25</v>
      </c>
      <c r="E4375" t="s">
        <v>15</v>
      </c>
      <c r="F4375" t="s">
        <v>36</v>
      </c>
      <c r="G4375">
        <v>20.05</v>
      </c>
      <c r="H4375">
        <v>520.1</v>
      </c>
      <c r="I4375" t="s">
        <v>15</v>
      </c>
      <c r="J4375" t="s">
        <v>15</v>
      </c>
      <c r="K4375" t="s">
        <v>21</v>
      </c>
      <c r="L4375">
        <v>520.1</v>
      </c>
      <c r="M4375" t="s">
        <v>5032</v>
      </c>
      <c r="N4375" t="s">
        <v>5031</v>
      </c>
    </row>
    <row r="4376" spans="1:14" x14ac:dyDescent="0.3">
      <c r="A4376" t="s">
        <v>4400</v>
      </c>
      <c r="B4376" t="s">
        <v>19</v>
      </c>
      <c r="C4376" t="s">
        <v>35</v>
      </c>
      <c r="D4376">
        <v>71</v>
      </c>
      <c r="E4376" t="s">
        <v>15</v>
      </c>
      <c r="F4376" t="s">
        <v>36</v>
      </c>
      <c r="G4376">
        <v>19.600000000000001</v>
      </c>
      <c r="H4376">
        <v>1387.45</v>
      </c>
      <c r="I4376" t="s">
        <v>15</v>
      </c>
      <c r="J4376" t="s">
        <v>16</v>
      </c>
      <c r="K4376" t="s">
        <v>24</v>
      </c>
      <c r="L4376">
        <v>1387.45</v>
      </c>
      <c r="M4376" t="s">
        <v>5033</v>
      </c>
      <c r="N4376" t="s">
        <v>5031</v>
      </c>
    </row>
    <row r="4377" spans="1:14" x14ac:dyDescent="0.3">
      <c r="A4377" t="s">
        <v>4401</v>
      </c>
      <c r="B4377" t="s">
        <v>19</v>
      </c>
      <c r="C4377" t="s">
        <v>20</v>
      </c>
      <c r="D4377">
        <v>66</v>
      </c>
      <c r="E4377" t="s">
        <v>26</v>
      </c>
      <c r="F4377" t="s">
        <v>16</v>
      </c>
      <c r="G4377">
        <v>114.3</v>
      </c>
      <c r="H4377">
        <v>7383.7</v>
      </c>
      <c r="I4377" t="s">
        <v>15</v>
      </c>
      <c r="J4377" t="s">
        <v>16</v>
      </c>
      <c r="K4377" t="s">
        <v>24</v>
      </c>
      <c r="L4377">
        <v>7383.7</v>
      </c>
      <c r="M4377" t="s">
        <v>5033</v>
      </c>
      <c r="N4377" t="s">
        <v>5034</v>
      </c>
    </row>
    <row r="4378" spans="1:14" x14ac:dyDescent="0.3">
      <c r="A4378" t="s">
        <v>4402</v>
      </c>
      <c r="B4378" t="s">
        <v>12</v>
      </c>
      <c r="C4378" t="s">
        <v>20</v>
      </c>
      <c r="D4378">
        <v>45</v>
      </c>
      <c r="E4378" t="s">
        <v>26</v>
      </c>
      <c r="F4378" t="s">
        <v>15</v>
      </c>
      <c r="G4378">
        <v>100.3</v>
      </c>
      <c r="H4378">
        <v>4483.95</v>
      </c>
      <c r="I4378" t="s">
        <v>15</v>
      </c>
      <c r="J4378" t="s">
        <v>16</v>
      </c>
      <c r="K4378" t="s">
        <v>17</v>
      </c>
      <c r="L4378">
        <v>4483.95</v>
      </c>
      <c r="M4378" t="s">
        <v>5033</v>
      </c>
      <c r="N4378" t="s">
        <v>5034</v>
      </c>
    </row>
    <row r="4379" spans="1:14" x14ac:dyDescent="0.3">
      <c r="A4379" t="s">
        <v>4403</v>
      </c>
      <c r="B4379" t="s">
        <v>12</v>
      </c>
      <c r="C4379" t="s">
        <v>13</v>
      </c>
      <c r="D4379">
        <v>22</v>
      </c>
      <c r="E4379" t="s">
        <v>26</v>
      </c>
      <c r="F4379" t="s">
        <v>15</v>
      </c>
      <c r="G4379">
        <v>80</v>
      </c>
      <c r="H4379">
        <v>1706.45</v>
      </c>
      <c r="I4379" t="s">
        <v>15</v>
      </c>
      <c r="J4379" t="s">
        <v>16</v>
      </c>
      <c r="K4379" t="s">
        <v>29</v>
      </c>
      <c r="L4379">
        <v>1706.45</v>
      </c>
      <c r="M4379" t="s">
        <v>5032</v>
      </c>
      <c r="N4379" t="s">
        <v>5031</v>
      </c>
    </row>
    <row r="4380" spans="1:14" x14ac:dyDescent="0.3">
      <c r="A4380" t="s">
        <v>4404</v>
      </c>
      <c r="B4380" t="s">
        <v>12</v>
      </c>
      <c r="C4380" t="s">
        <v>20</v>
      </c>
      <c r="D4380">
        <v>67</v>
      </c>
      <c r="E4380" t="s">
        <v>15</v>
      </c>
      <c r="F4380" t="s">
        <v>36</v>
      </c>
      <c r="G4380">
        <v>20.85</v>
      </c>
      <c r="H4380">
        <v>1327.4</v>
      </c>
      <c r="I4380" t="s">
        <v>15</v>
      </c>
      <c r="J4380" t="s">
        <v>16</v>
      </c>
      <c r="K4380" t="s">
        <v>24</v>
      </c>
      <c r="L4380">
        <v>1327.4</v>
      </c>
      <c r="M4380" t="s">
        <v>5033</v>
      </c>
      <c r="N4380" t="s">
        <v>5031</v>
      </c>
    </row>
    <row r="4381" spans="1:14" x14ac:dyDescent="0.3">
      <c r="A4381" t="s">
        <v>4405</v>
      </c>
      <c r="B4381" t="s">
        <v>12</v>
      </c>
      <c r="C4381" t="s">
        <v>35</v>
      </c>
      <c r="D4381">
        <v>68</v>
      </c>
      <c r="E4381" t="s">
        <v>26</v>
      </c>
      <c r="F4381" t="s">
        <v>15</v>
      </c>
      <c r="G4381">
        <v>89.95</v>
      </c>
      <c r="H4381">
        <v>5974.3</v>
      </c>
      <c r="I4381" t="s">
        <v>15</v>
      </c>
      <c r="J4381" t="s">
        <v>16</v>
      </c>
      <c r="K4381" t="s">
        <v>24</v>
      </c>
      <c r="L4381">
        <v>5974.3</v>
      </c>
      <c r="M4381" t="s">
        <v>5033</v>
      </c>
      <c r="N4381" t="s">
        <v>5034</v>
      </c>
    </row>
    <row r="4382" spans="1:14" x14ac:dyDescent="0.3">
      <c r="A4382" t="s">
        <v>4406</v>
      </c>
      <c r="B4382" t="s">
        <v>12</v>
      </c>
      <c r="C4382" t="s">
        <v>35</v>
      </c>
      <c r="D4382">
        <v>0</v>
      </c>
      <c r="E4382" t="s">
        <v>15</v>
      </c>
      <c r="F4382" t="s">
        <v>36</v>
      </c>
      <c r="G4382">
        <v>20</v>
      </c>
      <c r="H4382" t="s">
        <v>514</v>
      </c>
      <c r="I4382" t="s">
        <v>15</v>
      </c>
      <c r="J4382" t="s">
        <v>15</v>
      </c>
      <c r="K4382" t="s">
        <v>21</v>
      </c>
      <c r="L4382">
        <v>0</v>
      </c>
      <c r="M4382" t="s">
        <v>5030</v>
      </c>
      <c r="N4382" t="s">
        <v>5034</v>
      </c>
    </row>
    <row r="4383" spans="1:14" x14ac:dyDescent="0.3">
      <c r="A4383" t="s">
        <v>4407</v>
      </c>
      <c r="B4383" t="s">
        <v>12</v>
      </c>
      <c r="C4383" t="s">
        <v>13</v>
      </c>
      <c r="D4383">
        <v>49</v>
      </c>
      <c r="E4383" t="s">
        <v>26</v>
      </c>
      <c r="F4383" t="s">
        <v>15</v>
      </c>
      <c r="G4383">
        <v>90.85</v>
      </c>
      <c r="H4383">
        <v>4515.8500000000004</v>
      </c>
      <c r="I4383" t="s">
        <v>16</v>
      </c>
      <c r="J4383" t="s">
        <v>16</v>
      </c>
      <c r="K4383" t="s">
        <v>29</v>
      </c>
      <c r="L4383">
        <v>4515.8500000000004</v>
      </c>
      <c r="M4383" t="s">
        <v>5033</v>
      </c>
      <c r="N4383" t="s">
        <v>5034</v>
      </c>
    </row>
    <row r="4384" spans="1:14" x14ac:dyDescent="0.3">
      <c r="A4384" t="s">
        <v>4408</v>
      </c>
      <c r="B4384" t="s">
        <v>12</v>
      </c>
      <c r="C4384" t="s">
        <v>13</v>
      </c>
      <c r="D4384">
        <v>4</v>
      </c>
      <c r="E4384" t="s">
        <v>14</v>
      </c>
      <c r="F4384" t="s">
        <v>15</v>
      </c>
      <c r="G4384">
        <v>48.75</v>
      </c>
      <c r="H4384">
        <v>179.85</v>
      </c>
      <c r="I4384" t="s">
        <v>15</v>
      </c>
      <c r="J4384" t="s">
        <v>15</v>
      </c>
      <c r="K4384" t="s">
        <v>21</v>
      </c>
      <c r="L4384">
        <v>179.85</v>
      </c>
      <c r="M4384" t="s">
        <v>5030</v>
      </c>
      <c r="N4384" t="s">
        <v>5031</v>
      </c>
    </row>
    <row r="4385" spans="1:14" x14ac:dyDescent="0.3">
      <c r="A4385" t="s">
        <v>4409</v>
      </c>
      <c r="B4385" t="s">
        <v>19</v>
      </c>
      <c r="C4385" t="s">
        <v>20</v>
      </c>
      <c r="D4385">
        <v>63</v>
      </c>
      <c r="E4385" t="s">
        <v>14</v>
      </c>
      <c r="F4385" t="s">
        <v>16</v>
      </c>
      <c r="G4385">
        <v>80</v>
      </c>
      <c r="H4385">
        <v>5040.2</v>
      </c>
      <c r="I4385" t="s">
        <v>15</v>
      </c>
      <c r="J4385" t="s">
        <v>15</v>
      </c>
      <c r="K4385" t="s">
        <v>29</v>
      </c>
      <c r="L4385">
        <v>5040.2</v>
      </c>
      <c r="M4385" t="s">
        <v>5033</v>
      </c>
      <c r="N4385" t="s">
        <v>5034</v>
      </c>
    </row>
    <row r="4386" spans="1:14" x14ac:dyDescent="0.3">
      <c r="A4386" t="s">
        <v>4410</v>
      </c>
      <c r="B4386" t="s">
        <v>12</v>
      </c>
      <c r="C4386" t="s">
        <v>13</v>
      </c>
      <c r="D4386">
        <v>2</v>
      </c>
      <c r="E4386" t="s">
        <v>26</v>
      </c>
      <c r="F4386" t="s">
        <v>15</v>
      </c>
      <c r="G4386">
        <v>79.7</v>
      </c>
      <c r="H4386">
        <v>165</v>
      </c>
      <c r="I4386" t="s">
        <v>16</v>
      </c>
      <c r="J4386" t="s">
        <v>15</v>
      </c>
      <c r="K4386" t="s">
        <v>24</v>
      </c>
      <c r="L4386">
        <v>165</v>
      </c>
      <c r="M4386" t="s">
        <v>5030</v>
      </c>
      <c r="N4386" t="s">
        <v>5031</v>
      </c>
    </row>
    <row r="4387" spans="1:14" x14ac:dyDescent="0.3">
      <c r="A4387" t="s">
        <v>4411</v>
      </c>
      <c r="B4387" t="s">
        <v>19</v>
      </c>
      <c r="C4387" t="s">
        <v>20</v>
      </c>
      <c r="D4387">
        <v>21</v>
      </c>
      <c r="E4387" t="s">
        <v>15</v>
      </c>
      <c r="F4387" t="s">
        <v>36</v>
      </c>
      <c r="G4387">
        <v>20.350000000000001</v>
      </c>
      <c r="H4387">
        <v>422.7</v>
      </c>
      <c r="I4387" t="s">
        <v>15</v>
      </c>
      <c r="J4387" t="s">
        <v>16</v>
      </c>
      <c r="K4387" t="s">
        <v>21</v>
      </c>
      <c r="L4387">
        <v>422.7</v>
      </c>
      <c r="M4387" t="s">
        <v>5032</v>
      </c>
      <c r="N4387" t="s">
        <v>5031</v>
      </c>
    </row>
    <row r="4388" spans="1:14" x14ac:dyDescent="0.3">
      <c r="A4388" t="s">
        <v>4412</v>
      </c>
      <c r="B4388" t="s">
        <v>19</v>
      </c>
      <c r="C4388" t="s">
        <v>35</v>
      </c>
      <c r="D4388">
        <v>55</v>
      </c>
      <c r="E4388" t="s">
        <v>14</v>
      </c>
      <c r="F4388" t="s">
        <v>16</v>
      </c>
      <c r="G4388">
        <v>57.55</v>
      </c>
      <c r="H4388">
        <v>3046.4</v>
      </c>
      <c r="I4388" t="s">
        <v>16</v>
      </c>
      <c r="J4388" t="s">
        <v>15</v>
      </c>
      <c r="K4388" t="s">
        <v>24</v>
      </c>
      <c r="L4388">
        <v>3046.4</v>
      </c>
      <c r="M4388" t="s">
        <v>5033</v>
      </c>
      <c r="N4388" t="s">
        <v>5034</v>
      </c>
    </row>
    <row r="4389" spans="1:14" x14ac:dyDescent="0.3">
      <c r="A4389" t="s">
        <v>4413</v>
      </c>
      <c r="B4389" t="s">
        <v>19</v>
      </c>
      <c r="C4389" t="s">
        <v>13</v>
      </c>
      <c r="D4389">
        <v>1</v>
      </c>
      <c r="E4389" t="s">
        <v>15</v>
      </c>
      <c r="F4389" t="s">
        <v>36</v>
      </c>
      <c r="G4389">
        <v>20.25</v>
      </c>
      <c r="H4389">
        <v>20.25</v>
      </c>
      <c r="I4389" t="s">
        <v>15</v>
      </c>
      <c r="J4389" t="s">
        <v>16</v>
      </c>
      <c r="K4389" t="s">
        <v>21</v>
      </c>
      <c r="L4389">
        <v>20.25</v>
      </c>
      <c r="M4389" t="s">
        <v>5030</v>
      </c>
      <c r="N4389" t="s">
        <v>5031</v>
      </c>
    </row>
    <row r="4390" spans="1:14" x14ac:dyDescent="0.3">
      <c r="A4390" t="s">
        <v>4414</v>
      </c>
      <c r="B4390" t="s">
        <v>12</v>
      </c>
      <c r="C4390" t="s">
        <v>35</v>
      </c>
      <c r="D4390">
        <v>17</v>
      </c>
      <c r="E4390" t="s">
        <v>15</v>
      </c>
      <c r="F4390" t="s">
        <v>36</v>
      </c>
      <c r="G4390">
        <v>19.399999999999999</v>
      </c>
      <c r="H4390">
        <v>358.05</v>
      </c>
      <c r="I4390" t="s">
        <v>15</v>
      </c>
      <c r="J4390" t="s">
        <v>15</v>
      </c>
      <c r="K4390" t="s">
        <v>21</v>
      </c>
      <c r="L4390">
        <v>358.05</v>
      </c>
      <c r="M4390" t="s">
        <v>5032</v>
      </c>
      <c r="N4390" t="s">
        <v>5031</v>
      </c>
    </row>
    <row r="4391" spans="1:14" x14ac:dyDescent="0.3">
      <c r="A4391" t="s">
        <v>4415</v>
      </c>
      <c r="B4391" t="s">
        <v>19</v>
      </c>
      <c r="C4391" t="s">
        <v>13</v>
      </c>
      <c r="D4391">
        <v>30</v>
      </c>
      <c r="E4391" t="s">
        <v>26</v>
      </c>
      <c r="F4391" t="s">
        <v>15</v>
      </c>
      <c r="G4391">
        <v>100.4</v>
      </c>
      <c r="H4391">
        <v>2936.25</v>
      </c>
      <c r="I4391" t="s">
        <v>15</v>
      </c>
      <c r="J4391" t="s">
        <v>16</v>
      </c>
      <c r="K4391" t="s">
        <v>24</v>
      </c>
      <c r="L4391">
        <v>2936.25</v>
      </c>
      <c r="M4391" t="s">
        <v>5032</v>
      </c>
      <c r="N4391" t="s">
        <v>5034</v>
      </c>
    </row>
    <row r="4392" spans="1:14" x14ac:dyDescent="0.3">
      <c r="A4392" t="s">
        <v>4416</v>
      </c>
      <c r="B4392" t="s">
        <v>19</v>
      </c>
      <c r="C4392" t="s">
        <v>13</v>
      </c>
      <c r="D4392">
        <v>22</v>
      </c>
      <c r="E4392" t="s">
        <v>14</v>
      </c>
      <c r="F4392" t="s">
        <v>16</v>
      </c>
      <c r="G4392">
        <v>57.95</v>
      </c>
      <c r="H4392">
        <v>1271.8</v>
      </c>
      <c r="I4392" t="s">
        <v>15</v>
      </c>
      <c r="J4392" t="s">
        <v>16</v>
      </c>
      <c r="K4392" t="s">
        <v>21</v>
      </c>
      <c r="L4392">
        <v>1271.8</v>
      </c>
      <c r="M4392" t="s">
        <v>5032</v>
      </c>
      <c r="N4392" t="s">
        <v>5031</v>
      </c>
    </row>
    <row r="4393" spans="1:14" x14ac:dyDescent="0.3">
      <c r="A4393" t="s">
        <v>4417</v>
      </c>
      <c r="B4393" t="s">
        <v>12</v>
      </c>
      <c r="C4393" t="s">
        <v>13</v>
      </c>
      <c r="D4393">
        <v>9</v>
      </c>
      <c r="E4393" t="s">
        <v>14</v>
      </c>
      <c r="F4393" t="s">
        <v>16</v>
      </c>
      <c r="G4393">
        <v>59.5</v>
      </c>
      <c r="H4393">
        <v>530.04999999999995</v>
      </c>
      <c r="I4393" t="s">
        <v>15</v>
      </c>
      <c r="J4393" t="s">
        <v>16</v>
      </c>
      <c r="K4393" t="s">
        <v>24</v>
      </c>
      <c r="L4393">
        <v>530.04999999999995</v>
      </c>
      <c r="M4393" t="s">
        <v>5030</v>
      </c>
      <c r="N4393" t="s">
        <v>5031</v>
      </c>
    </row>
    <row r="4394" spans="1:14" x14ac:dyDescent="0.3">
      <c r="A4394" t="s">
        <v>4418</v>
      </c>
      <c r="B4394" t="s">
        <v>19</v>
      </c>
      <c r="C4394" t="s">
        <v>13</v>
      </c>
      <c r="D4394">
        <v>1</v>
      </c>
      <c r="E4394" t="s">
        <v>15</v>
      </c>
      <c r="F4394" t="s">
        <v>36</v>
      </c>
      <c r="G4394">
        <v>19.2</v>
      </c>
      <c r="H4394">
        <v>19.2</v>
      </c>
      <c r="I4394" t="s">
        <v>15</v>
      </c>
      <c r="J4394" t="s">
        <v>15</v>
      </c>
      <c r="K4394" t="s">
        <v>21</v>
      </c>
      <c r="L4394">
        <v>19.2</v>
      </c>
      <c r="M4394" t="s">
        <v>5030</v>
      </c>
      <c r="N4394" t="s">
        <v>5031</v>
      </c>
    </row>
    <row r="4395" spans="1:14" x14ac:dyDescent="0.3">
      <c r="A4395" t="s">
        <v>4419</v>
      </c>
      <c r="B4395" t="s">
        <v>12</v>
      </c>
      <c r="C4395" t="s">
        <v>13</v>
      </c>
      <c r="D4395">
        <v>21</v>
      </c>
      <c r="E4395" t="s">
        <v>26</v>
      </c>
      <c r="F4395" t="s">
        <v>15</v>
      </c>
      <c r="G4395">
        <v>86.5</v>
      </c>
      <c r="H4395">
        <v>1808.7</v>
      </c>
      <c r="I4395" t="s">
        <v>16</v>
      </c>
      <c r="J4395" t="s">
        <v>16</v>
      </c>
      <c r="K4395" t="s">
        <v>17</v>
      </c>
      <c r="L4395">
        <v>1808.7</v>
      </c>
      <c r="M4395" t="s">
        <v>5032</v>
      </c>
      <c r="N4395" t="s">
        <v>5031</v>
      </c>
    </row>
    <row r="4396" spans="1:14" x14ac:dyDescent="0.3">
      <c r="A4396" t="s">
        <v>4420</v>
      </c>
      <c r="B4396" t="s">
        <v>19</v>
      </c>
      <c r="C4396" t="s">
        <v>13</v>
      </c>
      <c r="D4396">
        <v>19</v>
      </c>
      <c r="E4396" t="s">
        <v>14</v>
      </c>
      <c r="F4396" t="s">
        <v>16</v>
      </c>
      <c r="G4396">
        <v>59.55</v>
      </c>
      <c r="H4396">
        <v>1144.5999999999999</v>
      </c>
      <c r="I4396" t="s">
        <v>15</v>
      </c>
      <c r="J4396" t="s">
        <v>15</v>
      </c>
      <c r="K4396" t="s">
        <v>17</v>
      </c>
      <c r="L4396">
        <v>1144.5999999999999</v>
      </c>
      <c r="M4396" t="s">
        <v>5032</v>
      </c>
      <c r="N4396" t="s">
        <v>5031</v>
      </c>
    </row>
    <row r="4397" spans="1:14" x14ac:dyDescent="0.3">
      <c r="A4397" t="s">
        <v>4421</v>
      </c>
      <c r="B4397" t="s">
        <v>12</v>
      </c>
      <c r="C4397" t="s">
        <v>13</v>
      </c>
      <c r="D4397">
        <v>69</v>
      </c>
      <c r="E4397" t="s">
        <v>26</v>
      </c>
      <c r="F4397" t="s">
        <v>15</v>
      </c>
      <c r="G4397">
        <v>103.95</v>
      </c>
      <c r="H4397">
        <v>7446.9</v>
      </c>
      <c r="I4397" t="s">
        <v>16</v>
      </c>
      <c r="J4397" t="s">
        <v>16</v>
      </c>
      <c r="K4397" t="s">
        <v>17</v>
      </c>
      <c r="L4397">
        <v>7446.9</v>
      </c>
      <c r="M4397" t="s">
        <v>5033</v>
      </c>
      <c r="N4397" t="s">
        <v>5034</v>
      </c>
    </row>
    <row r="4398" spans="1:14" x14ac:dyDescent="0.3">
      <c r="A4398" t="s">
        <v>4422</v>
      </c>
      <c r="B4398" t="s">
        <v>19</v>
      </c>
      <c r="C4398" t="s">
        <v>13</v>
      </c>
      <c r="D4398">
        <v>1</v>
      </c>
      <c r="E4398" t="s">
        <v>14</v>
      </c>
      <c r="F4398" t="s">
        <v>15</v>
      </c>
      <c r="G4398">
        <v>25.1</v>
      </c>
      <c r="H4398">
        <v>25.1</v>
      </c>
      <c r="I4398" t="s">
        <v>16</v>
      </c>
      <c r="J4398" t="s">
        <v>16</v>
      </c>
      <c r="K4398" t="s">
        <v>17</v>
      </c>
      <c r="L4398">
        <v>25.1</v>
      </c>
      <c r="M4398" t="s">
        <v>5030</v>
      </c>
      <c r="N4398" t="s">
        <v>5031</v>
      </c>
    </row>
    <row r="4399" spans="1:14" x14ac:dyDescent="0.3">
      <c r="A4399" t="s">
        <v>4423</v>
      </c>
      <c r="B4399" t="s">
        <v>12</v>
      </c>
      <c r="C4399" t="s">
        <v>35</v>
      </c>
      <c r="D4399">
        <v>72</v>
      </c>
      <c r="E4399" t="s">
        <v>26</v>
      </c>
      <c r="F4399" t="s">
        <v>16</v>
      </c>
      <c r="G4399">
        <v>103.95</v>
      </c>
      <c r="H4399">
        <v>7556.9</v>
      </c>
      <c r="I4399" t="s">
        <v>15</v>
      </c>
      <c r="J4399" t="s">
        <v>16</v>
      </c>
      <c r="K4399" t="s">
        <v>24</v>
      </c>
      <c r="L4399">
        <v>7556.9</v>
      </c>
      <c r="M4399" t="s">
        <v>5033</v>
      </c>
      <c r="N4399" t="s">
        <v>5034</v>
      </c>
    </row>
    <row r="4400" spans="1:14" x14ac:dyDescent="0.3">
      <c r="A4400" t="s">
        <v>4424</v>
      </c>
      <c r="B4400" t="s">
        <v>19</v>
      </c>
      <c r="C4400" t="s">
        <v>35</v>
      </c>
      <c r="D4400">
        <v>70</v>
      </c>
      <c r="E4400" t="s">
        <v>14</v>
      </c>
      <c r="F4400" t="s">
        <v>15</v>
      </c>
      <c r="G4400">
        <v>68.95</v>
      </c>
      <c r="H4400">
        <v>4858.7</v>
      </c>
      <c r="I4400" t="s">
        <v>15</v>
      </c>
      <c r="J4400" t="s">
        <v>15</v>
      </c>
      <c r="K4400" t="s">
        <v>29</v>
      </c>
      <c r="L4400">
        <v>4858.7</v>
      </c>
      <c r="M4400" t="s">
        <v>5033</v>
      </c>
      <c r="N4400" t="s">
        <v>5034</v>
      </c>
    </row>
    <row r="4401" spans="1:14" x14ac:dyDescent="0.3">
      <c r="A4401" t="s">
        <v>4425</v>
      </c>
      <c r="B4401" t="s">
        <v>12</v>
      </c>
      <c r="C4401" t="s">
        <v>13</v>
      </c>
      <c r="D4401">
        <v>66</v>
      </c>
      <c r="E4401" t="s">
        <v>26</v>
      </c>
      <c r="F4401" t="s">
        <v>16</v>
      </c>
      <c r="G4401">
        <v>103.1</v>
      </c>
      <c r="H4401">
        <v>6595</v>
      </c>
      <c r="I4401" t="s">
        <v>15</v>
      </c>
      <c r="J4401" t="s">
        <v>16</v>
      </c>
      <c r="K4401" t="s">
        <v>24</v>
      </c>
      <c r="L4401">
        <v>6595</v>
      </c>
      <c r="M4401" t="s">
        <v>5033</v>
      </c>
      <c r="N4401" t="s">
        <v>5034</v>
      </c>
    </row>
    <row r="4402" spans="1:14" x14ac:dyDescent="0.3">
      <c r="A4402" t="s">
        <v>4426</v>
      </c>
      <c r="B4402" t="s">
        <v>12</v>
      </c>
      <c r="C4402" t="s">
        <v>13</v>
      </c>
      <c r="D4402">
        <v>7</v>
      </c>
      <c r="E4402" t="s">
        <v>14</v>
      </c>
      <c r="F4402" t="s">
        <v>15</v>
      </c>
      <c r="G4402">
        <v>24.7</v>
      </c>
      <c r="H4402">
        <v>149.05000000000001</v>
      </c>
      <c r="I4402" t="s">
        <v>15</v>
      </c>
      <c r="J4402" t="s">
        <v>16</v>
      </c>
      <c r="K4402" t="s">
        <v>17</v>
      </c>
      <c r="L4402">
        <v>149.05000000000001</v>
      </c>
      <c r="M4402" t="s">
        <v>5030</v>
      </c>
      <c r="N4402" t="s">
        <v>5031</v>
      </c>
    </row>
    <row r="4403" spans="1:14" x14ac:dyDescent="0.3">
      <c r="A4403" t="s">
        <v>4427</v>
      </c>
      <c r="B4403" t="s">
        <v>12</v>
      </c>
      <c r="C4403" t="s">
        <v>13</v>
      </c>
      <c r="D4403">
        <v>46</v>
      </c>
      <c r="E4403" t="s">
        <v>26</v>
      </c>
      <c r="F4403" t="s">
        <v>16</v>
      </c>
      <c r="G4403">
        <v>110.2</v>
      </c>
      <c r="H4403">
        <v>4972.1000000000004</v>
      </c>
      <c r="I4403" t="s">
        <v>15</v>
      </c>
      <c r="J4403" t="s">
        <v>16</v>
      </c>
      <c r="K4403" t="s">
        <v>17</v>
      </c>
      <c r="L4403">
        <v>4972.1000000000004</v>
      </c>
      <c r="M4403" t="s">
        <v>5033</v>
      </c>
      <c r="N4403" t="s">
        <v>5034</v>
      </c>
    </row>
    <row r="4404" spans="1:14" x14ac:dyDescent="0.3">
      <c r="A4404" t="s">
        <v>4428</v>
      </c>
      <c r="B4404" t="s">
        <v>19</v>
      </c>
      <c r="C4404" t="s">
        <v>13</v>
      </c>
      <c r="D4404">
        <v>39</v>
      </c>
      <c r="E4404" t="s">
        <v>14</v>
      </c>
      <c r="F4404" t="s">
        <v>16</v>
      </c>
      <c r="G4404">
        <v>48.95</v>
      </c>
      <c r="H4404">
        <v>1880.85</v>
      </c>
      <c r="I4404" t="s">
        <v>16</v>
      </c>
      <c r="J4404" t="s">
        <v>16</v>
      </c>
      <c r="K4404" t="s">
        <v>29</v>
      </c>
      <c r="L4404">
        <v>1880.85</v>
      </c>
      <c r="M4404" t="s">
        <v>5033</v>
      </c>
      <c r="N4404" t="s">
        <v>5031</v>
      </c>
    </row>
    <row r="4405" spans="1:14" x14ac:dyDescent="0.3">
      <c r="A4405" t="s">
        <v>4429</v>
      </c>
      <c r="B4405" t="s">
        <v>12</v>
      </c>
      <c r="C4405" t="s">
        <v>13</v>
      </c>
      <c r="D4405">
        <v>32</v>
      </c>
      <c r="E4405" t="s">
        <v>14</v>
      </c>
      <c r="F4405" t="s">
        <v>15</v>
      </c>
      <c r="G4405">
        <v>62.45</v>
      </c>
      <c r="H4405">
        <v>2045.55</v>
      </c>
      <c r="I4405" t="s">
        <v>15</v>
      </c>
      <c r="J4405" t="s">
        <v>15</v>
      </c>
      <c r="K4405" t="s">
        <v>24</v>
      </c>
      <c r="L4405">
        <v>2045.55</v>
      </c>
      <c r="M4405" t="s">
        <v>5032</v>
      </c>
      <c r="N4405" t="s">
        <v>5031</v>
      </c>
    </row>
    <row r="4406" spans="1:14" x14ac:dyDescent="0.3">
      <c r="A4406" t="s">
        <v>4430</v>
      </c>
      <c r="B4406" t="s">
        <v>19</v>
      </c>
      <c r="C4406" t="s">
        <v>13</v>
      </c>
      <c r="D4406">
        <v>24</v>
      </c>
      <c r="E4406" t="s">
        <v>26</v>
      </c>
      <c r="F4406" t="s">
        <v>15</v>
      </c>
      <c r="G4406">
        <v>89.55</v>
      </c>
      <c r="H4406">
        <v>2187.15</v>
      </c>
      <c r="I4406" t="s">
        <v>15</v>
      </c>
      <c r="J4406" t="s">
        <v>16</v>
      </c>
      <c r="K4406" t="s">
        <v>17</v>
      </c>
      <c r="L4406">
        <v>2187.15</v>
      </c>
      <c r="M4406" t="s">
        <v>5032</v>
      </c>
      <c r="N4406" t="s">
        <v>5031</v>
      </c>
    </row>
    <row r="4407" spans="1:14" x14ac:dyDescent="0.3">
      <c r="A4407" t="s">
        <v>4431</v>
      </c>
      <c r="B4407" t="s">
        <v>19</v>
      </c>
      <c r="C4407" t="s">
        <v>13</v>
      </c>
      <c r="D4407">
        <v>6</v>
      </c>
      <c r="E4407" t="s">
        <v>26</v>
      </c>
      <c r="F4407" t="s">
        <v>15</v>
      </c>
      <c r="G4407">
        <v>83.55</v>
      </c>
      <c r="H4407">
        <v>477.55</v>
      </c>
      <c r="I4407" t="s">
        <v>16</v>
      </c>
      <c r="J4407" t="s">
        <v>16</v>
      </c>
      <c r="K4407" t="s">
        <v>29</v>
      </c>
      <c r="L4407">
        <v>477.55</v>
      </c>
      <c r="M4407" t="s">
        <v>5030</v>
      </c>
      <c r="N4407" t="s">
        <v>5031</v>
      </c>
    </row>
    <row r="4408" spans="1:14" x14ac:dyDescent="0.3">
      <c r="A4408" t="s">
        <v>4432</v>
      </c>
      <c r="B4408" t="s">
        <v>12</v>
      </c>
      <c r="C4408" t="s">
        <v>13</v>
      </c>
      <c r="D4408">
        <v>37</v>
      </c>
      <c r="E4408" t="s">
        <v>14</v>
      </c>
      <c r="F4408" t="s">
        <v>16</v>
      </c>
      <c r="G4408">
        <v>78.900000000000006</v>
      </c>
      <c r="H4408">
        <v>2976.95</v>
      </c>
      <c r="I4408" t="s">
        <v>15</v>
      </c>
      <c r="J4408" t="s">
        <v>16</v>
      </c>
      <c r="K4408" t="s">
        <v>29</v>
      </c>
      <c r="L4408">
        <v>2976.95</v>
      </c>
      <c r="M4408" t="s">
        <v>5033</v>
      </c>
      <c r="N4408" t="s">
        <v>5034</v>
      </c>
    </row>
    <row r="4409" spans="1:14" x14ac:dyDescent="0.3">
      <c r="A4409" t="s">
        <v>4433</v>
      </c>
      <c r="B4409" t="s">
        <v>19</v>
      </c>
      <c r="C4409" t="s">
        <v>13</v>
      </c>
      <c r="D4409">
        <v>8</v>
      </c>
      <c r="E4409" t="s">
        <v>15</v>
      </c>
      <c r="F4409" t="s">
        <v>36</v>
      </c>
      <c r="G4409">
        <v>20.350000000000001</v>
      </c>
      <c r="H4409">
        <v>178.7</v>
      </c>
      <c r="I4409" t="s">
        <v>15</v>
      </c>
      <c r="J4409" t="s">
        <v>15</v>
      </c>
      <c r="K4409" t="s">
        <v>21</v>
      </c>
      <c r="L4409">
        <v>178.7</v>
      </c>
      <c r="M4409" t="s">
        <v>5030</v>
      </c>
      <c r="N4409" t="s">
        <v>5031</v>
      </c>
    </row>
    <row r="4410" spans="1:14" x14ac:dyDescent="0.3">
      <c r="A4410" t="s">
        <v>4434</v>
      </c>
      <c r="B4410" t="s">
        <v>12</v>
      </c>
      <c r="C4410" t="s">
        <v>35</v>
      </c>
      <c r="D4410">
        <v>72</v>
      </c>
      <c r="E4410" t="s">
        <v>14</v>
      </c>
      <c r="F4410" t="s">
        <v>15</v>
      </c>
      <c r="G4410">
        <v>71.45</v>
      </c>
      <c r="H4410">
        <v>5025.8500000000004</v>
      </c>
      <c r="I4410" t="s">
        <v>15</v>
      </c>
      <c r="J4410" t="s">
        <v>16</v>
      </c>
      <c r="K4410" t="s">
        <v>24</v>
      </c>
      <c r="L4410">
        <v>5025.8500000000004</v>
      </c>
      <c r="M4410" t="s">
        <v>5033</v>
      </c>
      <c r="N4410" t="s">
        <v>5034</v>
      </c>
    </row>
    <row r="4411" spans="1:14" x14ac:dyDescent="0.3">
      <c r="A4411" t="s">
        <v>4435</v>
      </c>
      <c r="B4411" t="s">
        <v>19</v>
      </c>
      <c r="C4411" t="s">
        <v>35</v>
      </c>
      <c r="D4411">
        <v>71</v>
      </c>
      <c r="E4411" t="s">
        <v>14</v>
      </c>
      <c r="F4411" t="s">
        <v>16</v>
      </c>
      <c r="G4411">
        <v>46.35</v>
      </c>
      <c r="H4411">
        <v>3353.4</v>
      </c>
      <c r="I4411" t="s">
        <v>15</v>
      </c>
      <c r="J4411" t="s">
        <v>15</v>
      </c>
      <c r="K4411" t="s">
        <v>29</v>
      </c>
      <c r="L4411">
        <v>3353.4</v>
      </c>
      <c r="M4411" t="s">
        <v>5033</v>
      </c>
      <c r="N4411" t="s">
        <v>5034</v>
      </c>
    </row>
    <row r="4412" spans="1:14" x14ac:dyDescent="0.3">
      <c r="A4412" t="s">
        <v>4436</v>
      </c>
      <c r="B4412" t="s">
        <v>12</v>
      </c>
      <c r="C4412" t="s">
        <v>13</v>
      </c>
      <c r="D4412">
        <v>16</v>
      </c>
      <c r="E4412" t="s">
        <v>26</v>
      </c>
      <c r="F4412" t="s">
        <v>15</v>
      </c>
      <c r="G4412">
        <v>94.65</v>
      </c>
      <c r="H4412">
        <v>1461.15</v>
      </c>
      <c r="I4412" t="s">
        <v>15</v>
      </c>
      <c r="J4412" t="s">
        <v>16</v>
      </c>
      <c r="K4412" t="s">
        <v>24</v>
      </c>
      <c r="L4412">
        <v>1461.15</v>
      </c>
      <c r="M4412" t="s">
        <v>5032</v>
      </c>
      <c r="N4412" t="s">
        <v>5031</v>
      </c>
    </row>
    <row r="4413" spans="1:14" x14ac:dyDescent="0.3">
      <c r="A4413" t="s">
        <v>4437</v>
      </c>
      <c r="B4413" t="s">
        <v>12</v>
      </c>
      <c r="C4413" t="s">
        <v>13</v>
      </c>
      <c r="D4413">
        <v>57</v>
      </c>
      <c r="E4413" t="s">
        <v>14</v>
      </c>
      <c r="F4413" t="s">
        <v>16</v>
      </c>
      <c r="G4413">
        <v>49.9</v>
      </c>
      <c r="H4413">
        <v>2782.4</v>
      </c>
      <c r="I4413" t="s">
        <v>15</v>
      </c>
      <c r="J4413" t="s">
        <v>16</v>
      </c>
      <c r="K4413" t="s">
        <v>24</v>
      </c>
      <c r="L4413">
        <v>2782.4</v>
      </c>
      <c r="M4413" t="s">
        <v>5033</v>
      </c>
      <c r="N4413" t="s">
        <v>5034</v>
      </c>
    </row>
    <row r="4414" spans="1:14" x14ac:dyDescent="0.3">
      <c r="A4414" t="s">
        <v>4438</v>
      </c>
      <c r="B4414" t="s">
        <v>19</v>
      </c>
      <c r="C4414" t="s">
        <v>20</v>
      </c>
      <c r="D4414">
        <v>66</v>
      </c>
      <c r="E4414" t="s">
        <v>15</v>
      </c>
      <c r="F4414" t="s">
        <v>36</v>
      </c>
      <c r="G4414">
        <v>25.45</v>
      </c>
      <c r="H4414">
        <v>1699.15</v>
      </c>
      <c r="I4414" t="s">
        <v>15</v>
      </c>
      <c r="J4414" t="s">
        <v>15</v>
      </c>
      <c r="K4414" t="s">
        <v>24</v>
      </c>
      <c r="L4414">
        <v>1699.15</v>
      </c>
      <c r="M4414" t="s">
        <v>5033</v>
      </c>
      <c r="N4414" t="s">
        <v>5031</v>
      </c>
    </row>
    <row r="4415" spans="1:14" x14ac:dyDescent="0.3">
      <c r="A4415" t="s">
        <v>4439</v>
      </c>
      <c r="B4415" t="s">
        <v>12</v>
      </c>
      <c r="C4415" t="s">
        <v>13</v>
      </c>
      <c r="D4415">
        <v>17</v>
      </c>
      <c r="E4415" t="s">
        <v>26</v>
      </c>
      <c r="F4415" t="s">
        <v>15</v>
      </c>
      <c r="G4415">
        <v>89.15</v>
      </c>
      <c r="H4415">
        <v>1496.9</v>
      </c>
      <c r="I4415" t="s">
        <v>16</v>
      </c>
      <c r="J4415" t="s">
        <v>16</v>
      </c>
      <c r="K4415" t="s">
        <v>17</v>
      </c>
      <c r="L4415">
        <v>1496.9</v>
      </c>
      <c r="M4415" t="s">
        <v>5032</v>
      </c>
      <c r="N4415" t="s">
        <v>5031</v>
      </c>
    </row>
    <row r="4416" spans="1:14" x14ac:dyDescent="0.3">
      <c r="A4416" t="s">
        <v>4440</v>
      </c>
      <c r="B4416" t="s">
        <v>12</v>
      </c>
      <c r="C4416" t="s">
        <v>13</v>
      </c>
      <c r="D4416">
        <v>21</v>
      </c>
      <c r="E4416" t="s">
        <v>15</v>
      </c>
      <c r="F4416" t="s">
        <v>36</v>
      </c>
      <c r="G4416">
        <v>20.75</v>
      </c>
      <c r="H4416">
        <v>452.2</v>
      </c>
      <c r="I4416" t="s">
        <v>15</v>
      </c>
      <c r="J4416" t="s">
        <v>15</v>
      </c>
      <c r="K4416" t="s">
        <v>21</v>
      </c>
      <c r="L4416">
        <v>452.2</v>
      </c>
      <c r="M4416" t="s">
        <v>5032</v>
      </c>
      <c r="N4416" t="s">
        <v>5031</v>
      </c>
    </row>
    <row r="4417" spans="1:14" x14ac:dyDescent="0.3">
      <c r="A4417" t="s">
        <v>4441</v>
      </c>
      <c r="B4417" t="s">
        <v>19</v>
      </c>
      <c r="C4417" t="s">
        <v>35</v>
      </c>
      <c r="D4417">
        <v>66</v>
      </c>
      <c r="E4417" t="s">
        <v>14</v>
      </c>
      <c r="F4417" t="s">
        <v>15</v>
      </c>
      <c r="G4417">
        <v>66.099999999999994</v>
      </c>
      <c r="H4417">
        <v>4428.45</v>
      </c>
      <c r="I4417" t="s">
        <v>15</v>
      </c>
      <c r="J4417" t="s">
        <v>16</v>
      </c>
      <c r="K4417" t="s">
        <v>29</v>
      </c>
      <c r="L4417">
        <v>4428.45</v>
      </c>
      <c r="M4417" t="s">
        <v>5033</v>
      </c>
      <c r="N4417" t="s">
        <v>5034</v>
      </c>
    </row>
    <row r="4418" spans="1:14" x14ac:dyDescent="0.3">
      <c r="A4418" t="s">
        <v>4442</v>
      </c>
      <c r="B4418" t="s">
        <v>12</v>
      </c>
      <c r="C4418" t="s">
        <v>13</v>
      </c>
      <c r="D4418">
        <v>17</v>
      </c>
      <c r="E4418" t="s">
        <v>14</v>
      </c>
      <c r="F4418" t="s">
        <v>15</v>
      </c>
      <c r="G4418">
        <v>75.400000000000006</v>
      </c>
      <c r="H4418">
        <v>1322.55</v>
      </c>
      <c r="I4418" t="s">
        <v>15</v>
      </c>
      <c r="J4418" t="s">
        <v>16</v>
      </c>
      <c r="K4418" t="s">
        <v>24</v>
      </c>
      <c r="L4418">
        <v>1322.55</v>
      </c>
      <c r="M4418" t="s">
        <v>5032</v>
      </c>
      <c r="N4418" t="s">
        <v>5031</v>
      </c>
    </row>
    <row r="4419" spans="1:14" x14ac:dyDescent="0.3">
      <c r="A4419" t="s">
        <v>4443</v>
      </c>
      <c r="B4419" t="s">
        <v>19</v>
      </c>
      <c r="C4419" t="s">
        <v>13</v>
      </c>
      <c r="D4419">
        <v>1</v>
      </c>
      <c r="E4419" t="s">
        <v>26</v>
      </c>
      <c r="F4419" t="s">
        <v>15</v>
      </c>
      <c r="G4419">
        <v>70.45</v>
      </c>
      <c r="H4419">
        <v>70.45</v>
      </c>
      <c r="I4419" t="s">
        <v>16</v>
      </c>
      <c r="J4419" t="s">
        <v>16</v>
      </c>
      <c r="K4419" t="s">
        <v>21</v>
      </c>
      <c r="L4419">
        <v>70.45</v>
      </c>
      <c r="M4419" t="s">
        <v>5030</v>
      </c>
      <c r="N4419" t="s">
        <v>5031</v>
      </c>
    </row>
    <row r="4420" spans="1:14" x14ac:dyDescent="0.3">
      <c r="A4420" t="s">
        <v>4444</v>
      </c>
      <c r="B4420" t="s">
        <v>19</v>
      </c>
      <c r="C4420" t="s">
        <v>20</v>
      </c>
      <c r="D4420">
        <v>58</v>
      </c>
      <c r="E4420" t="s">
        <v>14</v>
      </c>
      <c r="F4420" t="s">
        <v>15</v>
      </c>
      <c r="G4420">
        <v>60.3</v>
      </c>
      <c r="H4420">
        <v>3563.8</v>
      </c>
      <c r="I4420" t="s">
        <v>16</v>
      </c>
      <c r="J4420" t="s">
        <v>15</v>
      </c>
      <c r="K4420" t="s">
        <v>29</v>
      </c>
      <c r="L4420">
        <v>3563.8</v>
      </c>
      <c r="M4420" t="s">
        <v>5033</v>
      </c>
      <c r="N4420" t="s">
        <v>5034</v>
      </c>
    </row>
    <row r="4421" spans="1:14" x14ac:dyDescent="0.3">
      <c r="A4421" t="s">
        <v>4445</v>
      </c>
      <c r="B4421" t="s">
        <v>12</v>
      </c>
      <c r="C4421" t="s">
        <v>13</v>
      </c>
      <c r="D4421">
        <v>8</v>
      </c>
      <c r="E4421" t="s">
        <v>15</v>
      </c>
      <c r="F4421" t="s">
        <v>36</v>
      </c>
      <c r="G4421">
        <v>21.05</v>
      </c>
      <c r="H4421">
        <v>139.75</v>
      </c>
      <c r="I4421" t="s">
        <v>15</v>
      </c>
      <c r="J4421" t="s">
        <v>15</v>
      </c>
      <c r="K4421" t="s">
        <v>29</v>
      </c>
      <c r="L4421">
        <v>139.75</v>
      </c>
      <c r="M4421" t="s">
        <v>5030</v>
      </c>
      <c r="N4421" t="s">
        <v>5031</v>
      </c>
    </row>
    <row r="4422" spans="1:14" x14ac:dyDescent="0.3">
      <c r="A4422" t="s">
        <v>4446</v>
      </c>
      <c r="B4422" t="s">
        <v>19</v>
      </c>
      <c r="C4422" t="s">
        <v>20</v>
      </c>
      <c r="D4422">
        <v>27</v>
      </c>
      <c r="E4422" t="s">
        <v>14</v>
      </c>
      <c r="F4422" t="s">
        <v>16</v>
      </c>
      <c r="G4422">
        <v>69.349999999999994</v>
      </c>
      <c r="H4422">
        <v>1927.3</v>
      </c>
      <c r="I4422" t="s">
        <v>15</v>
      </c>
      <c r="J4422" t="s">
        <v>15</v>
      </c>
      <c r="K4422" t="s">
        <v>29</v>
      </c>
      <c r="L4422">
        <v>1927.3</v>
      </c>
      <c r="M4422" t="s">
        <v>5032</v>
      </c>
      <c r="N4422" t="s">
        <v>5031</v>
      </c>
    </row>
    <row r="4423" spans="1:14" x14ac:dyDescent="0.3">
      <c r="A4423" t="s">
        <v>4447</v>
      </c>
      <c r="B4423" t="s">
        <v>19</v>
      </c>
      <c r="C4423" t="s">
        <v>13</v>
      </c>
      <c r="D4423">
        <v>34</v>
      </c>
      <c r="E4423" t="s">
        <v>26</v>
      </c>
      <c r="F4423" t="s">
        <v>15</v>
      </c>
      <c r="G4423">
        <v>88.85</v>
      </c>
      <c r="H4423">
        <v>3000.25</v>
      </c>
      <c r="I4423" t="s">
        <v>15</v>
      </c>
      <c r="J4423" t="s">
        <v>15</v>
      </c>
      <c r="K4423" t="s">
        <v>21</v>
      </c>
      <c r="L4423">
        <v>3000.25</v>
      </c>
      <c r="M4423" t="s">
        <v>5032</v>
      </c>
      <c r="N4423" t="s">
        <v>5034</v>
      </c>
    </row>
    <row r="4424" spans="1:14" x14ac:dyDescent="0.3">
      <c r="A4424" t="s">
        <v>4448</v>
      </c>
      <c r="B4424" t="s">
        <v>19</v>
      </c>
      <c r="C4424" t="s">
        <v>20</v>
      </c>
      <c r="D4424">
        <v>30</v>
      </c>
      <c r="E4424" t="s">
        <v>26</v>
      </c>
      <c r="F4424" t="s">
        <v>15</v>
      </c>
      <c r="G4424">
        <v>97</v>
      </c>
      <c r="H4424">
        <v>3021.3</v>
      </c>
      <c r="I4424" t="s">
        <v>15</v>
      </c>
      <c r="J4424" t="s">
        <v>16</v>
      </c>
      <c r="K4424" t="s">
        <v>24</v>
      </c>
      <c r="L4424">
        <v>3021.3</v>
      </c>
      <c r="M4424" t="s">
        <v>5032</v>
      </c>
      <c r="N4424" t="s">
        <v>5034</v>
      </c>
    </row>
    <row r="4425" spans="1:14" x14ac:dyDescent="0.3">
      <c r="A4425" t="s">
        <v>4449</v>
      </c>
      <c r="B4425" t="s">
        <v>19</v>
      </c>
      <c r="C4425" t="s">
        <v>13</v>
      </c>
      <c r="D4425">
        <v>33</v>
      </c>
      <c r="E4425" t="s">
        <v>14</v>
      </c>
      <c r="F4425" t="s">
        <v>15</v>
      </c>
      <c r="G4425">
        <v>66.400000000000006</v>
      </c>
      <c r="H4425">
        <v>2245.4</v>
      </c>
      <c r="I4425" t="s">
        <v>15</v>
      </c>
      <c r="J4425" t="s">
        <v>16</v>
      </c>
      <c r="K4425" t="s">
        <v>29</v>
      </c>
      <c r="L4425">
        <v>2245.4</v>
      </c>
      <c r="M4425" t="s">
        <v>5032</v>
      </c>
      <c r="N4425" t="s">
        <v>5031</v>
      </c>
    </row>
    <row r="4426" spans="1:14" x14ac:dyDescent="0.3">
      <c r="A4426" t="s">
        <v>4450</v>
      </c>
      <c r="B4426" t="s">
        <v>19</v>
      </c>
      <c r="C4426" t="s">
        <v>13</v>
      </c>
      <c r="D4426">
        <v>1</v>
      </c>
      <c r="E4426" t="s">
        <v>14</v>
      </c>
      <c r="F4426" t="s">
        <v>15</v>
      </c>
      <c r="G4426">
        <v>24.75</v>
      </c>
      <c r="H4426">
        <v>24.75</v>
      </c>
      <c r="I4426" t="s">
        <v>16</v>
      </c>
      <c r="J4426" t="s">
        <v>15</v>
      </c>
      <c r="K4426" t="s">
        <v>17</v>
      </c>
      <c r="L4426">
        <v>24.75</v>
      </c>
      <c r="M4426" t="s">
        <v>5030</v>
      </c>
      <c r="N4426" t="s">
        <v>5031</v>
      </c>
    </row>
    <row r="4427" spans="1:14" x14ac:dyDescent="0.3">
      <c r="A4427" t="s">
        <v>4451</v>
      </c>
      <c r="B4427" t="s">
        <v>19</v>
      </c>
      <c r="C4427" t="s">
        <v>13</v>
      </c>
      <c r="D4427">
        <v>14</v>
      </c>
      <c r="E4427" t="s">
        <v>14</v>
      </c>
      <c r="F4427" t="s">
        <v>15</v>
      </c>
      <c r="G4427">
        <v>69.2</v>
      </c>
      <c r="H4427">
        <v>944.65</v>
      </c>
      <c r="I4427" t="s">
        <v>15</v>
      </c>
      <c r="J4427" t="s">
        <v>15</v>
      </c>
      <c r="K4427" t="s">
        <v>21</v>
      </c>
      <c r="L4427">
        <v>944.65</v>
      </c>
      <c r="M4427" t="s">
        <v>5032</v>
      </c>
      <c r="N4427" t="s">
        <v>5031</v>
      </c>
    </row>
    <row r="4428" spans="1:14" x14ac:dyDescent="0.3">
      <c r="A4428" t="s">
        <v>4452</v>
      </c>
      <c r="B4428" t="s">
        <v>12</v>
      </c>
      <c r="C4428" t="s">
        <v>20</v>
      </c>
      <c r="D4428">
        <v>16</v>
      </c>
      <c r="E4428" t="s">
        <v>26</v>
      </c>
      <c r="F4428" t="s">
        <v>16</v>
      </c>
      <c r="G4428">
        <v>79.5</v>
      </c>
      <c r="H4428">
        <v>1264.2</v>
      </c>
      <c r="I4428" t="s">
        <v>15</v>
      </c>
      <c r="J4428" t="s">
        <v>16</v>
      </c>
      <c r="K4428" t="s">
        <v>29</v>
      </c>
      <c r="L4428">
        <v>1264.2</v>
      </c>
      <c r="M4428" t="s">
        <v>5032</v>
      </c>
      <c r="N4428" t="s">
        <v>5031</v>
      </c>
    </row>
    <row r="4429" spans="1:14" x14ac:dyDescent="0.3">
      <c r="A4429" t="s">
        <v>4453</v>
      </c>
      <c r="B4429" t="s">
        <v>12</v>
      </c>
      <c r="C4429" t="s">
        <v>35</v>
      </c>
      <c r="D4429">
        <v>49</v>
      </c>
      <c r="E4429" t="s">
        <v>26</v>
      </c>
      <c r="F4429" t="s">
        <v>16</v>
      </c>
      <c r="G4429">
        <v>100.65</v>
      </c>
      <c r="H4429">
        <v>4917.75</v>
      </c>
      <c r="I4429" t="s">
        <v>15</v>
      </c>
      <c r="J4429" t="s">
        <v>15</v>
      </c>
      <c r="K4429" t="s">
        <v>29</v>
      </c>
      <c r="L4429">
        <v>4917.75</v>
      </c>
      <c r="M4429" t="s">
        <v>5033</v>
      </c>
      <c r="N4429" t="s">
        <v>5034</v>
      </c>
    </row>
    <row r="4430" spans="1:14" x14ac:dyDescent="0.3">
      <c r="A4430" t="s">
        <v>4454</v>
      </c>
      <c r="B4430" t="s">
        <v>19</v>
      </c>
      <c r="C4430" t="s">
        <v>13</v>
      </c>
      <c r="D4430">
        <v>19</v>
      </c>
      <c r="E4430" t="s">
        <v>26</v>
      </c>
      <c r="F4430" t="s">
        <v>16</v>
      </c>
      <c r="G4430">
        <v>103.3</v>
      </c>
      <c r="H4430">
        <v>2012.7</v>
      </c>
      <c r="I4430" t="s">
        <v>16</v>
      </c>
      <c r="J4430" t="s">
        <v>15</v>
      </c>
      <c r="K4430" t="s">
        <v>17</v>
      </c>
      <c r="L4430">
        <v>2012.7</v>
      </c>
      <c r="M4430" t="s">
        <v>5032</v>
      </c>
      <c r="N4430" t="s">
        <v>5031</v>
      </c>
    </row>
    <row r="4431" spans="1:14" x14ac:dyDescent="0.3">
      <c r="A4431" t="s">
        <v>4455</v>
      </c>
      <c r="B4431" t="s">
        <v>12</v>
      </c>
      <c r="C4431" t="s">
        <v>35</v>
      </c>
      <c r="D4431">
        <v>70</v>
      </c>
      <c r="E4431" t="s">
        <v>14</v>
      </c>
      <c r="F4431" t="s">
        <v>16</v>
      </c>
      <c r="G4431">
        <v>79.7</v>
      </c>
      <c r="H4431">
        <v>5743.3</v>
      </c>
      <c r="I4431" t="s">
        <v>15</v>
      </c>
      <c r="J4431" t="s">
        <v>15</v>
      </c>
      <c r="K4431" t="s">
        <v>24</v>
      </c>
      <c r="L4431">
        <v>5743.3</v>
      </c>
      <c r="M4431" t="s">
        <v>5033</v>
      </c>
      <c r="N4431" t="s">
        <v>5034</v>
      </c>
    </row>
    <row r="4432" spans="1:14" x14ac:dyDescent="0.3">
      <c r="A4432" t="s">
        <v>4456</v>
      </c>
      <c r="B4432" t="s">
        <v>12</v>
      </c>
      <c r="C4432" t="s">
        <v>13</v>
      </c>
      <c r="D4432">
        <v>32</v>
      </c>
      <c r="E4432" t="s">
        <v>14</v>
      </c>
      <c r="F4432" t="s">
        <v>16</v>
      </c>
      <c r="G4432">
        <v>61.4</v>
      </c>
      <c r="H4432">
        <v>1864.65</v>
      </c>
      <c r="I4432" t="s">
        <v>15</v>
      </c>
      <c r="J4432" t="s">
        <v>15</v>
      </c>
      <c r="K4432" t="s">
        <v>24</v>
      </c>
      <c r="L4432">
        <v>1864.65</v>
      </c>
      <c r="M4432" t="s">
        <v>5032</v>
      </c>
      <c r="N4432" t="s">
        <v>5031</v>
      </c>
    </row>
    <row r="4433" spans="1:14" x14ac:dyDescent="0.3">
      <c r="A4433" t="s">
        <v>4457</v>
      </c>
      <c r="B4433" t="s">
        <v>12</v>
      </c>
      <c r="C4433" t="s">
        <v>13</v>
      </c>
      <c r="D4433">
        <v>18</v>
      </c>
      <c r="E4433" t="s">
        <v>26</v>
      </c>
      <c r="F4433" t="s">
        <v>15</v>
      </c>
      <c r="G4433">
        <v>69.8</v>
      </c>
      <c r="H4433">
        <v>1221.6500000000001</v>
      </c>
      <c r="I4433" t="s">
        <v>15</v>
      </c>
      <c r="J4433" t="s">
        <v>16</v>
      </c>
      <c r="K4433" t="s">
        <v>17</v>
      </c>
      <c r="L4433">
        <v>1221.6500000000001</v>
      </c>
      <c r="M4433" t="s">
        <v>5032</v>
      </c>
      <c r="N4433" t="s">
        <v>5031</v>
      </c>
    </row>
    <row r="4434" spans="1:14" x14ac:dyDescent="0.3">
      <c r="A4434" t="s">
        <v>4458</v>
      </c>
      <c r="B4434" t="s">
        <v>19</v>
      </c>
      <c r="C4434" t="s">
        <v>35</v>
      </c>
      <c r="D4434">
        <v>37</v>
      </c>
      <c r="E4434" t="s">
        <v>14</v>
      </c>
      <c r="F4434" t="s">
        <v>16</v>
      </c>
      <c r="G4434">
        <v>40.549999999999997</v>
      </c>
      <c r="H4434">
        <v>1390.85</v>
      </c>
      <c r="I4434" t="s">
        <v>15</v>
      </c>
      <c r="J4434" t="s">
        <v>16</v>
      </c>
      <c r="K4434" t="s">
        <v>21</v>
      </c>
      <c r="L4434">
        <v>1390.85</v>
      </c>
      <c r="M4434" t="s">
        <v>5033</v>
      </c>
      <c r="N4434" t="s">
        <v>5031</v>
      </c>
    </row>
    <row r="4435" spans="1:14" x14ac:dyDescent="0.3">
      <c r="A4435" t="s">
        <v>4459</v>
      </c>
      <c r="B4435" t="s">
        <v>12</v>
      </c>
      <c r="C4435" t="s">
        <v>13</v>
      </c>
      <c r="D4435">
        <v>4</v>
      </c>
      <c r="E4435" t="s">
        <v>26</v>
      </c>
      <c r="F4435" t="s">
        <v>15</v>
      </c>
      <c r="G4435">
        <v>75.650000000000006</v>
      </c>
      <c r="H4435">
        <v>302.35000000000002</v>
      </c>
      <c r="I4435" t="s">
        <v>15</v>
      </c>
      <c r="J4435" t="s">
        <v>16</v>
      </c>
      <c r="K4435" t="s">
        <v>17</v>
      </c>
      <c r="L4435">
        <v>302.35000000000002</v>
      </c>
      <c r="M4435" t="s">
        <v>5030</v>
      </c>
      <c r="N4435" t="s">
        <v>5031</v>
      </c>
    </row>
    <row r="4436" spans="1:14" x14ac:dyDescent="0.3">
      <c r="A4436" t="s">
        <v>4460</v>
      </c>
      <c r="B4436" t="s">
        <v>12</v>
      </c>
      <c r="C4436" t="s">
        <v>13</v>
      </c>
      <c r="D4436">
        <v>16</v>
      </c>
      <c r="E4436" t="s">
        <v>26</v>
      </c>
      <c r="F4436" t="s">
        <v>15</v>
      </c>
      <c r="G4436">
        <v>90.7</v>
      </c>
      <c r="H4436">
        <v>1374.9</v>
      </c>
      <c r="I4436" t="s">
        <v>15</v>
      </c>
      <c r="J4436" t="s">
        <v>15</v>
      </c>
      <c r="K4436" t="s">
        <v>17</v>
      </c>
      <c r="L4436">
        <v>1374.9</v>
      </c>
      <c r="M4436" t="s">
        <v>5032</v>
      </c>
      <c r="N4436" t="s">
        <v>5031</v>
      </c>
    </row>
    <row r="4437" spans="1:14" x14ac:dyDescent="0.3">
      <c r="A4437" t="s">
        <v>4461</v>
      </c>
      <c r="B4437" t="s">
        <v>19</v>
      </c>
      <c r="C4437" t="s">
        <v>13</v>
      </c>
      <c r="D4437">
        <v>17</v>
      </c>
      <c r="E4437" t="s">
        <v>26</v>
      </c>
      <c r="F4437" t="s">
        <v>15</v>
      </c>
      <c r="G4437">
        <v>80.5</v>
      </c>
      <c r="H4437">
        <v>1336.9</v>
      </c>
      <c r="I4437" t="s">
        <v>15</v>
      </c>
      <c r="J4437" t="s">
        <v>16</v>
      </c>
      <c r="K4437" t="s">
        <v>24</v>
      </c>
      <c r="L4437">
        <v>1336.9</v>
      </c>
      <c r="M4437" t="s">
        <v>5032</v>
      </c>
      <c r="N4437" t="s">
        <v>5031</v>
      </c>
    </row>
    <row r="4438" spans="1:14" x14ac:dyDescent="0.3">
      <c r="A4438" t="s">
        <v>4462</v>
      </c>
      <c r="B4438" t="s">
        <v>12</v>
      </c>
      <c r="C4438" t="s">
        <v>13</v>
      </c>
      <c r="D4438">
        <v>19</v>
      </c>
      <c r="E4438" t="s">
        <v>14</v>
      </c>
      <c r="F4438" t="s">
        <v>15</v>
      </c>
      <c r="G4438">
        <v>60.6</v>
      </c>
      <c r="H4438">
        <v>1297.8</v>
      </c>
      <c r="I4438" t="s">
        <v>15</v>
      </c>
      <c r="J4438" t="s">
        <v>16</v>
      </c>
      <c r="K4438" t="s">
        <v>17</v>
      </c>
      <c r="L4438">
        <v>1297.8</v>
      </c>
      <c r="M4438" t="s">
        <v>5032</v>
      </c>
      <c r="N4438" t="s">
        <v>5031</v>
      </c>
    </row>
    <row r="4439" spans="1:14" x14ac:dyDescent="0.3">
      <c r="A4439" t="s">
        <v>4463</v>
      </c>
      <c r="B4439" t="s">
        <v>19</v>
      </c>
      <c r="C4439" t="s">
        <v>35</v>
      </c>
      <c r="D4439">
        <v>60</v>
      </c>
      <c r="E4439" t="s">
        <v>26</v>
      </c>
      <c r="F4439" t="s">
        <v>15</v>
      </c>
      <c r="G4439">
        <v>101.15</v>
      </c>
      <c r="H4439">
        <v>6067.4</v>
      </c>
      <c r="I4439" t="s">
        <v>15</v>
      </c>
      <c r="J4439" t="s">
        <v>15</v>
      </c>
      <c r="K4439" t="s">
        <v>29</v>
      </c>
      <c r="L4439">
        <v>6067.4</v>
      </c>
      <c r="M4439" t="s">
        <v>5033</v>
      </c>
      <c r="N4439" t="s">
        <v>5034</v>
      </c>
    </row>
    <row r="4440" spans="1:14" x14ac:dyDescent="0.3">
      <c r="A4440" t="s">
        <v>4464</v>
      </c>
      <c r="B4440" t="s">
        <v>19</v>
      </c>
      <c r="C4440" t="s">
        <v>35</v>
      </c>
      <c r="D4440">
        <v>51</v>
      </c>
      <c r="E4440" t="s">
        <v>15</v>
      </c>
      <c r="F4440" t="s">
        <v>36</v>
      </c>
      <c r="G4440">
        <v>24.95</v>
      </c>
      <c r="H4440">
        <v>1222.25</v>
      </c>
      <c r="I4440" t="s">
        <v>15</v>
      </c>
      <c r="J4440" t="s">
        <v>16</v>
      </c>
      <c r="K4440" t="s">
        <v>21</v>
      </c>
      <c r="L4440">
        <v>1222.25</v>
      </c>
      <c r="M4440" t="s">
        <v>5033</v>
      </c>
      <c r="N4440" t="s">
        <v>5031</v>
      </c>
    </row>
    <row r="4441" spans="1:14" x14ac:dyDescent="0.3">
      <c r="A4441" t="s">
        <v>4465</v>
      </c>
      <c r="B4441" t="s">
        <v>19</v>
      </c>
      <c r="C4441" t="s">
        <v>35</v>
      </c>
      <c r="D4441">
        <v>28</v>
      </c>
      <c r="E4441" t="s">
        <v>15</v>
      </c>
      <c r="F4441" t="s">
        <v>36</v>
      </c>
      <c r="G4441">
        <v>20.3</v>
      </c>
      <c r="H4441">
        <v>487.95</v>
      </c>
      <c r="I4441" t="s">
        <v>15</v>
      </c>
      <c r="J4441" t="s">
        <v>16</v>
      </c>
      <c r="K4441" t="s">
        <v>29</v>
      </c>
      <c r="L4441">
        <v>487.95</v>
      </c>
      <c r="M4441" t="s">
        <v>5032</v>
      </c>
      <c r="N4441" t="s">
        <v>5031</v>
      </c>
    </row>
    <row r="4442" spans="1:14" x14ac:dyDescent="0.3">
      <c r="A4442" t="s">
        <v>4466</v>
      </c>
      <c r="B4442" t="s">
        <v>19</v>
      </c>
      <c r="C4442" t="s">
        <v>35</v>
      </c>
      <c r="D4442">
        <v>43</v>
      </c>
      <c r="E4442" t="s">
        <v>14</v>
      </c>
      <c r="F4442" t="s">
        <v>15</v>
      </c>
      <c r="G4442">
        <v>60</v>
      </c>
      <c r="H4442">
        <v>2548.5500000000002</v>
      </c>
      <c r="I4442" t="s">
        <v>15</v>
      </c>
      <c r="J4442" t="s">
        <v>16</v>
      </c>
      <c r="K4442" t="s">
        <v>17</v>
      </c>
      <c r="L4442">
        <v>2548.5500000000002</v>
      </c>
      <c r="M4442" t="s">
        <v>5033</v>
      </c>
      <c r="N4442" t="s">
        <v>5034</v>
      </c>
    </row>
    <row r="4443" spans="1:14" x14ac:dyDescent="0.3">
      <c r="A4443" t="s">
        <v>4467</v>
      </c>
      <c r="B4443" t="s">
        <v>19</v>
      </c>
      <c r="C4443" t="s">
        <v>35</v>
      </c>
      <c r="D4443">
        <v>42</v>
      </c>
      <c r="E4443" t="s">
        <v>15</v>
      </c>
      <c r="F4443" t="s">
        <v>36</v>
      </c>
      <c r="G4443">
        <v>20.25</v>
      </c>
      <c r="H4443">
        <v>835.5</v>
      </c>
      <c r="I4443" t="s">
        <v>15</v>
      </c>
      <c r="J4443" t="s">
        <v>15</v>
      </c>
      <c r="K4443" t="s">
        <v>17</v>
      </c>
      <c r="L4443">
        <v>835.5</v>
      </c>
      <c r="M4443" t="s">
        <v>5033</v>
      </c>
      <c r="N4443" t="s">
        <v>5031</v>
      </c>
    </row>
    <row r="4444" spans="1:14" x14ac:dyDescent="0.3">
      <c r="A4444" t="s">
        <v>4468</v>
      </c>
      <c r="B4444" t="s">
        <v>19</v>
      </c>
      <c r="C4444" t="s">
        <v>13</v>
      </c>
      <c r="D4444">
        <v>3</v>
      </c>
      <c r="E4444" t="s">
        <v>26</v>
      </c>
      <c r="F4444" t="s">
        <v>15</v>
      </c>
      <c r="G4444">
        <v>78.5</v>
      </c>
      <c r="H4444">
        <v>242.05</v>
      </c>
      <c r="I4444" t="s">
        <v>16</v>
      </c>
      <c r="J4444" t="s">
        <v>16</v>
      </c>
      <c r="K4444" t="s">
        <v>17</v>
      </c>
      <c r="L4444">
        <v>242.05</v>
      </c>
      <c r="M4444" t="s">
        <v>5030</v>
      </c>
      <c r="N4444" t="s">
        <v>5031</v>
      </c>
    </row>
    <row r="4445" spans="1:14" x14ac:dyDescent="0.3">
      <c r="A4445" t="s">
        <v>4469</v>
      </c>
      <c r="B4445" t="s">
        <v>12</v>
      </c>
      <c r="C4445" t="s">
        <v>13</v>
      </c>
      <c r="D4445">
        <v>1</v>
      </c>
      <c r="E4445" t="s">
        <v>14</v>
      </c>
      <c r="F4445" t="s">
        <v>15</v>
      </c>
      <c r="G4445">
        <v>44.75</v>
      </c>
      <c r="H4445">
        <v>44.75</v>
      </c>
      <c r="I4445" t="s">
        <v>15</v>
      </c>
      <c r="J4445" t="s">
        <v>15</v>
      </c>
      <c r="K4445" t="s">
        <v>21</v>
      </c>
      <c r="L4445">
        <v>44.75</v>
      </c>
      <c r="M4445" t="s">
        <v>5030</v>
      </c>
      <c r="N4445" t="s">
        <v>5031</v>
      </c>
    </row>
    <row r="4446" spans="1:14" x14ac:dyDescent="0.3">
      <c r="A4446" t="s">
        <v>4470</v>
      </c>
      <c r="B4446" t="s">
        <v>12</v>
      </c>
      <c r="C4446" t="s">
        <v>13</v>
      </c>
      <c r="D4446">
        <v>3</v>
      </c>
      <c r="E4446" t="s">
        <v>15</v>
      </c>
      <c r="F4446" t="s">
        <v>36</v>
      </c>
      <c r="G4446">
        <v>19.850000000000001</v>
      </c>
      <c r="H4446">
        <v>63.75</v>
      </c>
      <c r="I4446" t="s">
        <v>16</v>
      </c>
      <c r="J4446" t="s">
        <v>15</v>
      </c>
      <c r="K4446" t="s">
        <v>21</v>
      </c>
      <c r="L4446">
        <v>63.75</v>
      </c>
      <c r="M4446" t="s">
        <v>5030</v>
      </c>
      <c r="N4446" t="s">
        <v>5031</v>
      </c>
    </row>
    <row r="4447" spans="1:14" x14ac:dyDescent="0.3">
      <c r="A4447" t="s">
        <v>4471</v>
      </c>
      <c r="B4447" t="s">
        <v>12</v>
      </c>
      <c r="C4447" t="s">
        <v>35</v>
      </c>
      <c r="D4447">
        <v>63</v>
      </c>
      <c r="E4447" t="s">
        <v>26</v>
      </c>
      <c r="F4447" t="s">
        <v>15</v>
      </c>
      <c r="G4447">
        <v>98</v>
      </c>
      <c r="H4447">
        <v>6218.45</v>
      </c>
      <c r="I4447" t="s">
        <v>15</v>
      </c>
      <c r="J4447" t="s">
        <v>15</v>
      </c>
      <c r="K4447" t="s">
        <v>29</v>
      </c>
      <c r="L4447">
        <v>6218.45</v>
      </c>
      <c r="M4447" t="s">
        <v>5033</v>
      </c>
      <c r="N4447" t="s">
        <v>5034</v>
      </c>
    </row>
    <row r="4448" spans="1:14" x14ac:dyDescent="0.3">
      <c r="A4448" t="s">
        <v>4472</v>
      </c>
      <c r="B4448" t="s">
        <v>19</v>
      </c>
      <c r="C4448" t="s">
        <v>13</v>
      </c>
      <c r="D4448">
        <v>3</v>
      </c>
      <c r="E4448" t="s">
        <v>26</v>
      </c>
      <c r="F4448" t="s">
        <v>15</v>
      </c>
      <c r="G4448">
        <v>79.900000000000006</v>
      </c>
      <c r="H4448">
        <v>260.89999999999998</v>
      </c>
      <c r="I4448" t="s">
        <v>16</v>
      </c>
      <c r="J4448" t="s">
        <v>16</v>
      </c>
      <c r="K4448" t="s">
        <v>17</v>
      </c>
      <c r="L4448">
        <v>260.89999999999998</v>
      </c>
      <c r="M4448" t="s">
        <v>5030</v>
      </c>
      <c r="N4448" t="s">
        <v>5031</v>
      </c>
    </row>
    <row r="4449" spans="1:14" x14ac:dyDescent="0.3">
      <c r="A4449" t="s">
        <v>4473</v>
      </c>
      <c r="B4449" t="s">
        <v>19</v>
      </c>
      <c r="C4449" t="s">
        <v>13</v>
      </c>
      <c r="D4449">
        <v>68</v>
      </c>
      <c r="E4449" t="s">
        <v>26</v>
      </c>
      <c r="F4449" t="s">
        <v>16</v>
      </c>
      <c r="G4449">
        <v>107.7</v>
      </c>
      <c r="H4449">
        <v>7320.9</v>
      </c>
      <c r="I4449" t="s">
        <v>15</v>
      </c>
      <c r="J4449" t="s">
        <v>16</v>
      </c>
      <c r="K4449" t="s">
        <v>17</v>
      </c>
      <c r="L4449">
        <v>7320.9</v>
      </c>
      <c r="M4449" t="s">
        <v>5033</v>
      </c>
      <c r="N4449" t="s">
        <v>5034</v>
      </c>
    </row>
    <row r="4450" spans="1:14" x14ac:dyDescent="0.3">
      <c r="A4450" t="s">
        <v>4474</v>
      </c>
      <c r="B4450" t="s">
        <v>12</v>
      </c>
      <c r="C4450" t="s">
        <v>13</v>
      </c>
      <c r="D4450">
        <v>30</v>
      </c>
      <c r="E4450" t="s">
        <v>26</v>
      </c>
      <c r="F4450" t="s">
        <v>15</v>
      </c>
      <c r="G4450">
        <v>99.7</v>
      </c>
      <c r="H4450">
        <v>2967.35</v>
      </c>
      <c r="I4450" t="s">
        <v>16</v>
      </c>
      <c r="J4450" t="s">
        <v>16</v>
      </c>
      <c r="K4450" t="s">
        <v>17</v>
      </c>
      <c r="L4450">
        <v>2967.35</v>
      </c>
      <c r="M4450" t="s">
        <v>5032</v>
      </c>
      <c r="N4450" t="s">
        <v>5034</v>
      </c>
    </row>
    <row r="4451" spans="1:14" x14ac:dyDescent="0.3">
      <c r="A4451" t="s">
        <v>4475</v>
      </c>
      <c r="B4451" t="s">
        <v>12</v>
      </c>
      <c r="C4451" t="s">
        <v>35</v>
      </c>
      <c r="D4451">
        <v>60</v>
      </c>
      <c r="E4451" t="s">
        <v>26</v>
      </c>
      <c r="F4451" t="s">
        <v>15</v>
      </c>
      <c r="G4451">
        <v>104.7</v>
      </c>
      <c r="H4451">
        <v>6333.8</v>
      </c>
      <c r="I4451" t="s">
        <v>15</v>
      </c>
      <c r="J4451" t="s">
        <v>15</v>
      </c>
      <c r="K4451" t="s">
        <v>17</v>
      </c>
      <c r="L4451">
        <v>6333.8</v>
      </c>
      <c r="M4451" t="s">
        <v>5033</v>
      </c>
      <c r="N4451" t="s">
        <v>5034</v>
      </c>
    </row>
    <row r="4452" spans="1:14" x14ac:dyDescent="0.3">
      <c r="A4452" t="s">
        <v>4476</v>
      </c>
      <c r="B4452" t="s">
        <v>19</v>
      </c>
      <c r="C4452" t="s">
        <v>13</v>
      </c>
      <c r="D4452">
        <v>15</v>
      </c>
      <c r="E4452" t="s">
        <v>14</v>
      </c>
      <c r="F4452" t="s">
        <v>16</v>
      </c>
      <c r="G4452">
        <v>58.6</v>
      </c>
      <c r="H4452">
        <v>939.7</v>
      </c>
      <c r="I4452" t="s">
        <v>16</v>
      </c>
      <c r="J4452" t="s">
        <v>16</v>
      </c>
      <c r="K4452" t="s">
        <v>29</v>
      </c>
      <c r="L4452">
        <v>939.7</v>
      </c>
      <c r="M4452" t="s">
        <v>5032</v>
      </c>
      <c r="N4452" t="s">
        <v>5031</v>
      </c>
    </row>
    <row r="4453" spans="1:14" x14ac:dyDescent="0.3">
      <c r="A4453" t="s">
        <v>4477</v>
      </c>
      <c r="B4453" t="s">
        <v>19</v>
      </c>
      <c r="C4453" t="s">
        <v>13</v>
      </c>
      <c r="D4453">
        <v>45</v>
      </c>
      <c r="E4453" t="s">
        <v>26</v>
      </c>
      <c r="F4453" t="s">
        <v>15</v>
      </c>
      <c r="G4453">
        <v>93.9</v>
      </c>
      <c r="H4453">
        <v>4200.25</v>
      </c>
      <c r="I4453" t="s">
        <v>15</v>
      </c>
      <c r="J4453" t="s">
        <v>16</v>
      </c>
      <c r="K4453" t="s">
        <v>24</v>
      </c>
      <c r="L4453">
        <v>4200.25</v>
      </c>
      <c r="M4453" t="s">
        <v>5033</v>
      </c>
      <c r="N4453" t="s">
        <v>5034</v>
      </c>
    </row>
    <row r="4454" spans="1:14" x14ac:dyDescent="0.3">
      <c r="A4454" t="s">
        <v>4478</v>
      </c>
      <c r="B4454" t="s">
        <v>12</v>
      </c>
      <c r="C4454" t="s">
        <v>35</v>
      </c>
      <c r="D4454">
        <v>70</v>
      </c>
      <c r="E4454" t="s">
        <v>14</v>
      </c>
      <c r="F4454" t="s">
        <v>16</v>
      </c>
      <c r="G4454">
        <v>86.45</v>
      </c>
      <c r="H4454">
        <v>5950.2</v>
      </c>
      <c r="I4454" t="s">
        <v>15</v>
      </c>
      <c r="J4454" t="s">
        <v>15</v>
      </c>
      <c r="K4454" t="s">
        <v>29</v>
      </c>
      <c r="L4454">
        <v>5950.2</v>
      </c>
      <c r="M4454" t="s">
        <v>5033</v>
      </c>
      <c r="N4454" t="s">
        <v>5034</v>
      </c>
    </row>
    <row r="4455" spans="1:14" x14ac:dyDescent="0.3">
      <c r="A4455" t="s">
        <v>4479</v>
      </c>
      <c r="B4455" t="s">
        <v>19</v>
      </c>
      <c r="C4455" t="s">
        <v>13</v>
      </c>
      <c r="D4455">
        <v>10</v>
      </c>
      <c r="E4455" t="s">
        <v>26</v>
      </c>
      <c r="F4455" t="s">
        <v>15</v>
      </c>
      <c r="G4455">
        <v>98.5</v>
      </c>
      <c r="H4455">
        <v>1037.75</v>
      </c>
      <c r="I4455" t="s">
        <v>16</v>
      </c>
      <c r="J4455" t="s">
        <v>16</v>
      </c>
      <c r="K4455" t="s">
        <v>17</v>
      </c>
      <c r="L4455">
        <v>1037.75</v>
      </c>
      <c r="M4455" t="s">
        <v>5030</v>
      </c>
      <c r="N4455" t="s">
        <v>5031</v>
      </c>
    </row>
    <row r="4456" spans="1:14" x14ac:dyDescent="0.3">
      <c r="A4456" t="s">
        <v>4480</v>
      </c>
      <c r="B4456" t="s">
        <v>19</v>
      </c>
      <c r="C4456" t="s">
        <v>13</v>
      </c>
      <c r="D4456">
        <v>4</v>
      </c>
      <c r="E4456" t="s">
        <v>15</v>
      </c>
      <c r="F4456" t="s">
        <v>36</v>
      </c>
      <c r="G4456">
        <v>19.399999999999999</v>
      </c>
      <c r="H4456">
        <v>93.4</v>
      </c>
      <c r="I4456" t="s">
        <v>15</v>
      </c>
      <c r="J4456" t="s">
        <v>15</v>
      </c>
      <c r="K4456" t="s">
        <v>21</v>
      </c>
      <c r="L4456">
        <v>93.4</v>
      </c>
      <c r="M4456" t="s">
        <v>5030</v>
      </c>
      <c r="N4456" t="s">
        <v>5031</v>
      </c>
    </row>
    <row r="4457" spans="1:14" x14ac:dyDescent="0.3">
      <c r="A4457" t="s">
        <v>4481</v>
      </c>
      <c r="B4457" t="s">
        <v>12</v>
      </c>
      <c r="C4457" t="s">
        <v>13</v>
      </c>
      <c r="D4457">
        <v>1</v>
      </c>
      <c r="E4457" t="s">
        <v>14</v>
      </c>
      <c r="F4457" t="s">
        <v>15</v>
      </c>
      <c r="G4457">
        <v>50.45</v>
      </c>
      <c r="H4457">
        <v>50.45</v>
      </c>
      <c r="I4457" t="s">
        <v>16</v>
      </c>
      <c r="J4457" t="s">
        <v>16</v>
      </c>
      <c r="K4457" t="s">
        <v>21</v>
      </c>
      <c r="L4457">
        <v>50.45</v>
      </c>
      <c r="M4457" t="s">
        <v>5030</v>
      </c>
      <c r="N4457" t="s">
        <v>5031</v>
      </c>
    </row>
    <row r="4458" spans="1:14" x14ac:dyDescent="0.3">
      <c r="A4458" t="s">
        <v>4482</v>
      </c>
      <c r="B4458" t="s">
        <v>12</v>
      </c>
      <c r="C4458" t="s">
        <v>35</v>
      </c>
      <c r="D4458">
        <v>68</v>
      </c>
      <c r="E4458" t="s">
        <v>15</v>
      </c>
      <c r="F4458" t="s">
        <v>36</v>
      </c>
      <c r="G4458">
        <v>24.95</v>
      </c>
      <c r="H4458">
        <v>1614.9</v>
      </c>
      <c r="I4458" t="s">
        <v>15</v>
      </c>
      <c r="J4458" t="s">
        <v>16</v>
      </c>
      <c r="K4458" t="s">
        <v>29</v>
      </c>
      <c r="L4458">
        <v>1614.9</v>
      </c>
      <c r="M4458" t="s">
        <v>5033</v>
      </c>
      <c r="N4458" t="s">
        <v>5031</v>
      </c>
    </row>
    <row r="4459" spans="1:14" x14ac:dyDescent="0.3">
      <c r="A4459" t="s">
        <v>4483</v>
      </c>
      <c r="B4459" t="s">
        <v>19</v>
      </c>
      <c r="C4459" t="s">
        <v>13</v>
      </c>
      <c r="D4459">
        <v>22</v>
      </c>
      <c r="E4459" t="s">
        <v>26</v>
      </c>
      <c r="F4459" t="s">
        <v>15</v>
      </c>
      <c r="G4459">
        <v>75</v>
      </c>
      <c r="H4459">
        <v>1573.95</v>
      </c>
      <c r="I4459" t="s">
        <v>15</v>
      </c>
      <c r="J4459" t="s">
        <v>15</v>
      </c>
      <c r="K4459" t="s">
        <v>24</v>
      </c>
      <c r="L4459">
        <v>1573.95</v>
      </c>
      <c r="M4459" t="s">
        <v>5032</v>
      </c>
      <c r="N4459" t="s">
        <v>5031</v>
      </c>
    </row>
    <row r="4460" spans="1:14" x14ac:dyDescent="0.3">
      <c r="A4460" t="s">
        <v>4484</v>
      </c>
      <c r="B4460" t="s">
        <v>19</v>
      </c>
      <c r="C4460" t="s">
        <v>13</v>
      </c>
      <c r="D4460">
        <v>38</v>
      </c>
      <c r="E4460" t="s">
        <v>26</v>
      </c>
      <c r="F4460" t="s">
        <v>15</v>
      </c>
      <c r="G4460">
        <v>94.65</v>
      </c>
      <c r="H4460">
        <v>3624.3</v>
      </c>
      <c r="I4460" t="s">
        <v>16</v>
      </c>
      <c r="J4460" t="s">
        <v>16</v>
      </c>
      <c r="K4460" t="s">
        <v>17</v>
      </c>
      <c r="L4460">
        <v>3624.3</v>
      </c>
      <c r="M4460" t="s">
        <v>5033</v>
      </c>
      <c r="N4460" t="s">
        <v>5034</v>
      </c>
    </row>
    <row r="4461" spans="1:14" x14ac:dyDescent="0.3">
      <c r="A4461" t="s">
        <v>4485</v>
      </c>
      <c r="B4461" t="s">
        <v>12</v>
      </c>
      <c r="C4461" t="s">
        <v>13</v>
      </c>
      <c r="D4461">
        <v>1</v>
      </c>
      <c r="E4461" t="s">
        <v>26</v>
      </c>
      <c r="F4461" t="s">
        <v>15</v>
      </c>
      <c r="G4461">
        <v>100.25</v>
      </c>
      <c r="H4461">
        <v>100.25</v>
      </c>
      <c r="I4461" t="s">
        <v>16</v>
      </c>
      <c r="J4461" t="s">
        <v>16</v>
      </c>
      <c r="K4461" t="s">
        <v>29</v>
      </c>
      <c r="L4461">
        <v>100.25</v>
      </c>
      <c r="M4461" t="s">
        <v>5030</v>
      </c>
      <c r="N4461" t="s">
        <v>5031</v>
      </c>
    </row>
    <row r="4462" spans="1:14" x14ac:dyDescent="0.3">
      <c r="A4462" t="s">
        <v>4486</v>
      </c>
      <c r="B4462" t="s">
        <v>19</v>
      </c>
      <c r="C4462" t="s">
        <v>13</v>
      </c>
      <c r="D4462">
        <v>18</v>
      </c>
      <c r="E4462" t="s">
        <v>26</v>
      </c>
      <c r="F4462" t="s">
        <v>16</v>
      </c>
      <c r="G4462">
        <v>78.2</v>
      </c>
      <c r="H4462">
        <v>1468.75</v>
      </c>
      <c r="I4462" t="s">
        <v>15</v>
      </c>
      <c r="J4462" t="s">
        <v>15</v>
      </c>
      <c r="K4462" t="s">
        <v>17</v>
      </c>
      <c r="L4462">
        <v>1468.75</v>
      </c>
      <c r="M4462" t="s">
        <v>5032</v>
      </c>
      <c r="N4462" t="s">
        <v>5031</v>
      </c>
    </row>
    <row r="4463" spans="1:14" x14ac:dyDescent="0.3">
      <c r="A4463" t="s">
        <v>4487</v>
      </c>
      <c r="B4463" t="s">
        <v>19</v>
      </c>
      <c r="C4463" t="s">
        <v>13</v>
      </c>
      <c r="D4463">
        <v>29</v>
      </c>
      <c r="E4463" t="s">
        <v>26</v>
      </c>
      <c r="F4463" t="s">
        <v>16</v>
      </c>
      <c r="G4463">
        <v>94.2</v>
      </c>
      <c r="H4463">
        <v>2607.6</v>
      </c>
      <c r="I4463" t="s">
        <v>15</v>
      </c>
      <c r="J4463" t="s">
        <v>16</v>
      </c>
      <c r="K4463" t="s">
        <v>17</v>
      </c>
      <c r="L4463">
        <v>2607.6</v>
      </c>
      <c r="M4463" t="s">
        <v>5032</v>
      </c>
      <c r="N4463" t="s">
        <v>5034</v>
      </c>
    </row>
    <row r="4464" spans="1:14" x14ac:dyDescent="0.3">
      <c r="A4464" t="s">
        <v>4488</v>
      </c>
      <c r="B4464" t="s">
        <v>12</v>
      </c>
      <c r="C4464" t="s">
        <v>13</v>
      </c>
      <c r="D4464">
        <v>16</v>
      </c>
      <c r="E4464" t="s">
        <v>26</v>
      </c>
      <c r="F4464" t="s">
        <v>15</v>
      </c>
      <c r="G4464">
        <v>88.45</v>
      </c>
      <c r="H4464">
        <v>1422.1</v>
      </c>
      <c r="I4464" t="s">
        <v>16</v>
      </c>
      <c r="J4464" t="s">
        <v>16</v>
      </c>
      <c r="K4464" t="s">
        <v>17</v>
      </c>
      <c r="L4464">
        <v>1422.1</v>
      </c>
      <c r="M4464" t="s">
        <v>5032</v>
      </c>
      <c r="N4464" t="s">
        <v>5031</v>
      </c>
    </row>
    <row r="4465" spans="1:14" x14ac:dyDescent="0.3">
      <c r="A4465" t="s">
        <v>4489</v>
      </c>
      <c r="B4465" t="s">
        <v>19</v>
      </c>
      <c r="C4465" t="s">
        <v>13</v>
      </c>
      <c r="D4465">
        <v>1</v>
      </c>
      <c r="E4465" t="s">
        <v>26</v>
      </c>
      <c r="F4465" t="s">
        <v>15</v>
      </c>
      <c r="G4465">
        <v>69.849999999999994</v>
      </c>
      <c r="H4465">
        <v>69.849999999999994</v>
      </c>
      <c r="I4465" t="s">
        <v>16</v>
      </c>
      <c r="J4465" t="s">
        <v>16</v>
      </c>
      <c r="K4465" t="s">
        <v>17</v>
      </c>
      <c r="L4465">
        <v>69.849999999999994</v>
      </c>
      <c r="M4465" t="s">
        <v>5030</v>
      </c>
      <c r="N4465" t="s">
        <v>5031</v>
      </c>
    </row>
    <row r="4466" spans="1:14" x14ac:dyDescent="0.3">
      <c r="A4466" t="s">
        <v>4490</v>
      </c>
      <c r="B4466" t="s">
        <v>19</v>
      </c>
      <c r="C4466" t="s">
        <v>13</v>
      </c>
      <c r="D4466">
        <v>12</v>
      </c>
      <c r="E4466" t="s">
        <v>26</v>
      </c>
      <c r="F4466" t="s">
        <v>15</v>
      </c>
      <c r="G4466">
        <v>81.7</v>
      </c>
      <c r="H4466">
        <v>858.6</v>
      </c>
      <c r="I4466" t="s">
        <v>16</v>
      </c>
      <c r="J4466" t="s">
        <v>15</v>
      </c>
      <c r="K4466" t="s">
        <v>24</v>
      </c>
      <c r="L4466">
        <v>858.6</v>
      </c>
      <c r="M4466" t="s">
        <v>5030</v>
      </c>
      <c r="N4466" t="s">
        <v>5031</v>
      </c>
    </row>
    <row r="4467" spans="1:14" x14ac:dyDescent="0.3">
      <c r="A4467" t="s">
        <v>4491</v>
      </c>
      <c r="B4467" t="s">
        <v>19</v>
      </c>
      <c r="C4467" t="s">
        <v>20</v>
      </c>
      <c r="D4467">
        <v>31</v>
      </c>
      <c r="E4467" t="s">
        <v>14</v>
      </c>
      <c r="F4467" t="s">
        <v>15</v>
      </c>
      <c r="G4467">
        <v>50.05</v>
      </c>
      <c r="H4467">
        <v>1523.4</v>
      </c>
      <c r="I4467" t="s">
        <v>15</v>
      </c>
      <c r="J4467" t="s">
        <v>16</v>
      </c>
      <c r="K4467" t="s">
        <v>17</v>
      </c>
      <c r="L4467">
        <v>1523.4</v>
      </c>
      <c r="M4467" t="s">
        <v>5032</v>
      </c>
      <c r="N4467" t="s">
        <v>5031</v>
      </c>
    </row>
    <row r="4468" spans="1:14" x14ac:dyDescent="0.3">
      <c r="A4468" t="s">
        <v>4492</v>
      </c>
      <c r="B4468" t="s">
        <v>19</v>
      </c>
      <c r="C4468" t="s">
        <v>13</v>
      </c>
      <c r="D4468">
        <v>4</v>
      </c>
      <c r="E4468" t="s">
        <v>26</v>
      </c>
      <c r="F4468" t="s">
        <v>15</v>
      </c>
      <c r="G4468">
        <v>79.900000000000006</v>
      </c>
      <c r="H4468">
        <v>324.3</v>
      </c>
      <c r="I4468" t="s">
        <v>16</v>
      </c>
      <c r="J4468" t="s">
        <v>16</v>
      </c>
      <c r="K4468" t="s">
        <v>17</v>
      </c>
      <c r="L4468">
        <v>324.3</v>
      </c>
      <c r="M4468" t="s">
        <v>5030</v>
      </c>
      <c r="N4468" t="s">
        <v>5031</v>
      </c>
    </row>
    <row r="4469" spans="1:14" x14ac:dyDescent="0.3">
      <c r="A4469" t="s">
        <v>4493</v>
      </c>
      <c r="B4469" t="s">
        <v>12</v>
      </c>
      <c r="C4469" t="s">
        <v>20</v>
      </c>
      <c r="D4469">
        <v>48</v>
      </c>
      <c r="E4469" t="s">
        <v>14</v>
      </c>
      <c r="F4469" t="s">
        <v>16</v>
      </c>
      <c r="G4469">
        <v>69.55</v>
      </c>
      <c r="H4469">
        <v>3435.6</v>
      </c>
      <c r="I4469" t="s">
        <v>15</v>
      </c>
      <c r="J4469" t="s">
        <v>16</v>
      </c>
      <c r="K4469" t="s">
        <v>21</v>
      </c>
      <c r="L4469">
        <v>3435.6</v>
      </c>
      <c r="M4469" t="s">
        <v>5033</v>
      </c>
      <c r="N4469" t="s">
        <v>5034</v>
      </c>
    </row>
    <row r="4470" spans="1:14" x14ac:dyDescent="0.3">
      <c r="A4470" t="s">
        <v>4494</v>
      </c>
      <c r="B4470" t="s">
        <v>12</v>
      </c>
      <c r="C4470" t="s">
        <v>13</v>
      </c>
      <c r="D4470">
        <v>15</v>
      </c>
      <c r="E4470" t="s">
        <v>15</v>
      </c>
      <c r="F4470" t="s">
        <v>36</v>
      </c>
      <c r="G4470">
        <v>25.4</v>
      </c>
      <c r="H4470">
        <v>399.6</v>
      </c>
      <c r="I4470" t="s">
        <v>16</v>
      </c>
      <c r="J4470" t="s">
        <v>16</v>
      </c>
      <c r="K4470" t="s">
        <v>29</v>
      </c>
      <c r="L4470">
        <v>399.6</v>
      </c>
      <c r="M4470" t="s">
        <v>5032</v>
      </c>
      <c r="N4470" t="s">
        <v>5031</v>
      </c>
    </row>
    <row r="4471" spans="1:14" x14ac:dyDescent="0.3">
      <c r="A4471" t="s">
        <v>4495</v>
      </c>
      <c r="B4471" t="s">
        <v>19</v>
      </c>
      <c r="C4471" t="s">
        <v>20</v>
      </c>
      <c r="D4471">
        <v>50</v>
      </c>
      <c r="E4471" t="s">
        <v>26</v>
      </c>
      <c r="F4471" t="s">
        <v>16</v>
      </c>
      <c r="G4471">
        <v>90.1</v>
      </c>
      <c r="H4471">
        <v>4549.45</v>
      </c>
      <c r="I4471" t="s">
        <v>15</v>
      </c>
      <c r="J4471" t="s">
        <v>16</v>
      </c>
      <c r="K4471" t="s">
        <v>29</v>
      </c>
      <c r="L4471">
        <v>4549.45</v>
      </c>
      <c r="M4471" t="s">
        <v>5033</v>
      </c>
      <c r="N4471" t="s">
        <v>5034</v>
      </c>
    </row>
    <row r="4472" spans="1:14" x14ac:dyDescent="0.3">
      <c r="A4472" t="s">
        <v>4496</v>
      </c>
      <c r="B4472" t="s">
        <v>19</v>
      </c>
      <c r="C4472" t="s">
        <v>13</v>
      </c>
      <c r="D4472">
        <v>7</v>
      </c>
      <c r="E4472" t="s">
        <v>14</v>
      </c>
      <c r="F4472" t="s">
        <v>15</v>
      </c>
      <c r="G4472">
        <v>44.65</v>
      </c>
      <c r="H4472">
        <v>322.5</v>
      </c>
      <c r="I4472" t="s">
        <v>15</v>
      </c>
      <c r="J4472" t="s">
        <v>16</v>
      </c>
      <c r="K4472" t="s">
        <v>24</v>
      </c>
      <c r="L4472">
        <v>322.5</v>
      </c>
      <c r="M4472" t="s">
        <v>5030</v>
      </c>
      <c r="N4472" t="s">
        <v>5031</v>
      </c>
    </row>
    <row r="4473" spans="1:14" x14ac:dyDescent="0.3">
      <c r="A4473" t="s">
        <v>4497</v>
      </c>
      <c r="B4473" t="s">
        <v>19</v>
      </c>
      <c r="C4473" t="s">
        <v>13</v>
      </c>
      <c r="D4473">
        <v>41</v>
      </c>
      <c r="E4473" t="s">
        <v>26</v>
      </c>
      <c r="F4473" t="s">
        <v>15</v>
      </c>
      <c r="G4473">
        <v>83.75</v>
      </c>
      <c r="H4473">
        <v>3273.55</v>
      </c>
      <c r="I4473" t="s">
        <v>16</v>
      </c>
      <c r="J4473" t="s">
        <v>16</v>
      </c>
      <c r="K4473" t="s">
        <v>24</v>
      </c>
      <c r="L4473">
        <v>3273.55</v>
      </c>
      <c r="M4473" t="s">
        <v>5033</v>
      </c>
      <c r="N4473" t="s">
        <v>5034</v>
      </c>
    </row>
    <row r="4474" spans="1:14" x14ac:dyDescent="0.3">
      <c r="A4474" t="s">
        <v>4498</v>
      </c>
      <c r="B4474" t="s">
        <v>19</v>
      </c>
      <c r="C4474" t="s">
        <v>35</v>
      </c>
      <c r="D4474">
        <v>68</v>
      </c>
      <c r="E4474" t="s">
        <v>26</v>
      </c>
      <c r="F4474" t="s">
        <v>15</v>
      </c>
      <c r="G4474">
        <v>80.349999999999994</v>
      </c>
      <c r="H4474">
        <v>5375.15</v>
      </c>
      <c r="I4474" t="s">
        <v>15</v>
      </c>
      <c r="J4474" t="s">
        <v>15</v>
      </c>
      <c r="K4474" t="s">
        <v>29</v>
      </c>
      <c r="L4474">
        <v>5375.15</v>
      </c>
      <c r="M4474" t="s">
        <v>5033</v>
      </c>
      <c r="N4474" t="s">
        <v>5034</v>
      </c>
    </row>
    <row r="4475" spans="1:14" x14ac:dyDescent="0.3">
      <c r="A4475" t="s">
        <v>4499</v>
      </c>
      <c r="B4475" t="s">
        <v>12</v>
      </c>
      <c r="C4475" t="s">
        <v>13</v>
      </c>
      <c r="D4475">
        <v>26</v>
      </c>
      <c r="E4475" t="s">
        <v>26</v>
      </c>
      <c r="F4475" t="s">
        <v>15</v>
      </c>
      <c r="G4475">
        <v>98.1</v>
      </c>
      <c r="H4475">
        <v>2510.6999999999998</v>
      </c>
      <c r="I4475" t="s">
        <v>15</v>
      </c>
      <c r="J4475" t="s">
        <v>16</v>
      </c>
      <c r="K4475" t="s">
        <v>24</v>
      </c>
      <c r="L4475">
        <v>2510.6999999999998</v>
      </c>
      <c r="M4475" t="s">
        <v>5032</v>
      </c>
      <c r="N4475" t="s">
        <v>5034</v>
      </c>
    </row>
    <row r="4476" spans="1:14" x14ac:dyDescent="0.3">
      <c r="A4476" t="s">
        <v>4500</v>
      </c>
      <c r="B4476" t="s">
        <v>19</v>
      </c>
      <c r="C4476" t="s">
        <v>35</v>
      </c>
      <c r="D4476">
        <v>57</v>
      </c>
      <c r="E4476" t="s">
        <v>14</v>
      </c>
      <c r="F4476" t="s">
        <v>16</v>
      </c>
      <c r="G4476">
        <v>53.35</v>
      </c>
      <c r="H4476">
        <v>3090.05</v>
      </c>
      <c r="I4476" t="s">
        <v>15</v>
      </c>
      <c r="J4476" t="s">
        <v>15</v>
      </c>
      <c r="K4476" t="s">
        <v>29</v>
      </c>
      <c r="L4476">
        <v>3090.05</v>
      </c>
      <c r="M4476" t="s">
        <v>5033</v>
      </c>
      <c r="N4476" t="s">
        <v>5034</v>
      </c>
    </row>
    <row r="4477" spans="1:14" x14ac:dyDescent="0.3">
      <c r="A4477" t="s">
        <v>4501</v>
      </c>
      <c r="B4477" t="s">
        <v>12</v>
      </c>
      <c r="C4477" t="s">
        <v>13</v>
      </c>
      <c r="D4477">
        <v>3</v>
      </c>
      <c r="E4477" t="s">
        <v>15</v>
      </c>
      <c r="F4477" t="s">
        <v>36</v>
      </c>
      <c r="G4477">
        <v>19.55</v>
      </c>
      <c r="H4477">
        <v>61.05</v>
      </c>
      <c r="I4477" t="s">
        <v>15</v>
      </c>
      <c r="J4477" t="s">
        <v>15</v>
      </c>
      <c r="K4477" t="s">
        <v>17</v>
      </c>
      <c r="L4477">
        <v>61.05</v>
      </c>
      <c r="M4477" t="s">
        <v>5030</v>
      </c>
      <c r="N4477" t="s">
        <v>5031</v>
      </c>
    </row>
    <row r="4478" spans="1:14" x14ac:dyDescent="0.3">
      <c r="A4478" t="s">
        <v>4502</v>
      </c>
      <c r="B4478" t="s">
        <v>12</v>
      </c>
      <c r="C4478" t="s">
        <v>13</v>
      </c>
      <c r="D4478">
        <v>1</v>
      </c>
      <c r="E4478" t="s">
        <v>15</v>
      </c>
      <c r="F4478" t="s">
        <v>36</v>
      </c>
      <c r="G4478">
        <v>20.9</v>
      </c>
      <c r="H4478">
        <v>20.9</v>
      </c>
      <c r="I4478" t="s">
        <v>16</v>
      </c>
      <c r="J4478" t="s">
        <v>15</v>
      </c>
      <c r="K4478" t="s">
        <v>21</v>
      </c>
      <c r="L4478">
        <v>20.9</v>
      </c>
      <c r="M4478" t="s">
        <v>5030</v>
      </c>
      <c r="N4478" t="s">
        <v>5031</v>
      </c>
    </row>
    <row r="4479" spans="1:14" x14ac:dyDescent="0.3">
      <c r="A4479" t="s">
        <v>4503</v>
      </c>
      <c r="B4479" t="s">
        <v>19</v>
      </c>
      <c r="C4479" t="s">
        <v>20</v>
      </c>
      <c r="D4479">
        <v>19</v>
      </c>
      <c r="E4479" t="s">
        <v>14</v>
      </c>
      <c r="F4479" t="s">
        <v>15</v>
      </c>
      <c r="G4479">
        <v>48.95</v>
      </c>
      <c r="H4479">
        <v>955.6</v>
      </c>
      <c r="I4479" t="s">
        <v>15</v>
      </c>
      <c r="J4479" t="s">
        <v>16</v>
      </c>
      <c r="K4479" t="s">
        <v>24</v>
      </c>
      <c r="L4479">
        <v>955.6</v>
      </c>
      <c r="M4479" t="s">
        <v>5032</v>
      </c>
      <c r="N4479" t="s">
        <v>5031</v>
      </c>
    </row>
    <row r="4480" spans="1:14" x14ac:dyDescent="0.3">
      <c r="A4480" t="s">
        <v>4504</v>
      </c>
      <c r="B4480" t="s">
        <v>12</v>
      </c>
      <c r="C4480" t="s">
        <v>13</v>
      </c>
      <c r="D4480">
        <v>3</v>
      </c>
      <c r="E4480" t="s">
        <v>14</v>
      </c>
      <c r="F4480" t="s">
        <v>15</v>
      </c>
      <c r="G4480">
        <v>54.2</v>
      </c>
      <c r="H4480">
        <v>140.4</v>
      </c>
      <c r="I4480" t="s">
        <v>15</v>
      </c>
      <c r="J4480" t="s">
        <v>16</v>
      </c>
      <c r="K4480" t="s">
        <v>17</v>
      </c>
      <c r="L4480">
        <v>140.4</v>
      </c>
      <c r="M4480" t="s">
        <v>5030</v>
      </c>
      <c r="N4480" t="s">
        <v>5031</v>
      </c>
    </row>
    <row r="4481" spans="1:14" x14ac:dyDescent="0.3">
      <c r="A4481" t="s">
        <v>4505</v>
      </c>
      <c r="B4481" t="s">
        <v>12</v>
      </c>
      <c r="C4481" t="s">
        <v>35</v>
      </c>
      <c r="D4481">
        <v>59</v>
      </c>
      <c r="E4481" t="s">
        <v>15</v>
      </c>
      <c r="F4481" t="s">
        <v>36</v>
      </c>
      <c r="G4481">
        <v>24.45</v>
      </c>
      <c r="H4481">
        <v>1493.1</v>
      </c>
      <c r="I4481" t="s">
        <v>15</v>
      </c>
      <c r="J4481" t="s">
        <v>15</v>
      </c>
      <c r="K4481" t="s">
        <v>17</v>
      </c>
      <c r="L4481">
        <v>1493.1</v>
      </c>
      <c r="M4481" t="s">
        <v>5033</v>
      </c>
      <c r="N4481" t="s">
        <v>5031</v>
      </c>
    </row>
    <row r="4482" spans="1:14" x14ac:dyDescent="0.3">
      <c r="A4482" t="s">
        <v>4506</v>
      </c>
      <c r="B4482" t="s">
        <v>12</v>
      </c>
      <c r="C4482" t="s">
        <v>13</v>
      </c>
      <c r="D4482">
        <v>1</v>
      </c>
      <c r="E4482" t="s">
        <v>26</v>
      </c>
      <c r="F4482" t="s">
        <v>15</v>
      </c>
      <c r="G4482">
        <v>69.400000000000006</v>
      </c>
      <c r="H4482">
        <v>69.400000000000006</v>
      </c>
      <c r="I4482" t="s">
        <v>16</v>
      </c>
      <c r="J4482" t="s">
        <v>16</v>
      </c>
      <c r="K4482" t="s">
        <v>21</v>
      </c>
      <c r="L4482">
        <v>69.400000000000006</v>
      </c>
      <c r="M4482" t="s">
        <v>5030</v>
      </c>
      <c r="N4482" t="s">
        <v>5031</v>
      </c>
    </row>
    <row r="4483" spans="1:14" x14ac:dyDescent="0.3">
      <c r="A4483" t="s">
        <v>4507</v>
      </c>
      <c r="B4483" t="s">
        <v>19</v>
      </c>
      <c r="C4483" t="s">
        <v>13</v>
      </c>
      <c r="D4483">
        <v>42</v>
      </c>
      <c r="E4483" t="s">
        <v>14</v>
      </c>
      <c r="F4483" t="s">
        <v>15</v>
      </c>
      <c r="G4483">
        <v>40.15</v>
      </c>
      <c r="H4483">
        <v>1626.05</v>
      </c>
      <c r="I4483" t="s">
        <v>15</v>
      </c>
      <c r="J4483" t="s">
        <v>16</v>
      </c>
      <c r="K4483" t="s">
        <v>24</v>
      </c>
      <c r="L4483">
        <v>1626.05</v>
      </c>
      <c r="M4483" t="s">
        <v>5033</v>
      </c>
      <c r="N4483" t="s">
        <v>5031</v>
      </c>
    </row>
    <row r="4484" spans="1:14" x14ac:dyDescent="0.3">
      <c r="A4484" t="s">
        <v>4508</v>
      </c>
      <c r="B4484" t="s">
        <v>12</v>
      </c>
      <c r="C4484" t="s">
        <v>13</v>
      </c>
      <c r="D4484">
        <v>7</v>
      </c>
      <c r="E4484" t="s">
        <v>26</v>
      </c>
      <c r="F4484" t="s">
        <v>15</v>
      </c>
      <c r="G4484">
        <v>74.900000000000006</v>
      </c>
      <c r="H4484">
        <v>541.15</v>
      </c>
      <c r="I4484" t="s">
        <v>16</v>
      </c>
      <c r="J4484" t="s">
        <v>16</v>
      </c>
      <c r="K4484" t="s">
        <v>17</v>
      </c>
      <c r="L4484">
        <v>541.15</v>
      </c>
      <c r="M4484" t="s">
        <v>5030</v>
      </c>
      <c r="N4484" t="s">
        <v>5031</v>
      </c>
    </row>
    <row r="4485" spans="1:14" x14ac:dyDescent="0.3">
      <c r="A4485" t="s">
        <v>4509</v>
      </c>
      <c r="B4485" t="s">
        <v>19</v>
      </c>
      <c r="C4485" t="s">
        <v>35</v>
      </c>
      <c r="D4485">
        <v>67</v>
      </c>
      <c r="E4485" t="s">
        <v>15</v>
      </c>
      <c r="F4485" t="s">
        <v>36</v>
      </c>
      <c r="G4485">
        <v>25.6</v>
      </c>
      <c r="H4485">
        <v>1784.9</v>
      </c>
      <c r="I4485" t="s">
        <v>15</v>
      </c>
      <c r="J4485" t="s">
        <v>15</v>
      </c>
      <c r="K4485" t="s">
        <v>29</v>
      </c>
      <c r="L4485">
        <v>1784.9</v>
      </c>
      <c r="M4485" t="s">
        <v>5033</v>
      </c>
      <c r="N4485" t="s">
        <v>5031</v>
      </c>
    </row>
    <row r="4486" spans="1:14" x14ac:dyDescent="0.3">
      <c r="A4486" t="s">
        <v>4510</v>
      </c>
      <c r="B4486" t="s">
        <v>19</v>
      </c>
      <c r="C4486" t="s">
        <v>13</v>
      </c>
      <c r="D4486">
        <v>1</v>
      </c>
      <c r="E4486" t="s">
        <v>26</v>
      </c>
      <c r="F4486" t="s">
        <v>15</v>
      </c>
      <c r="G4486">
        <v>70.349999999999994</v>
      </c>
      <c r="H4486">
        <v>70.349999999999994</v>
      </c>
      <c r="I4486" t="s">
        <v>15</v>
      </c>
      <c r="J4486" t="s">
        <v>16</v>
      </c>
      <c r="K4486" t="s">
        <v>17</v>
      </c>
      <c r="L4486">
        <v>70.349999999999994</v>
      </c>
      <c r="M4486" t="s">
        <v>5030</v>
      </c>
      <c r="N4486" t="s">
        <v>5031</v>
      </c>
    </row>
    <row r="4487" spans="1:14" x14ac:dyDescent="0.3">
      <c r="A4487" t="s">
        <v>4511</v>
      </c>
      <c r="B4487" t="s">
        <v>19</v>
      </c>
      <c r="C4487" t="s">
        <v>35</v>
      </c>
      <c r="D4487">
        <v>66</v>
      </c>
      <c r="E4487" t="s">
        <v>14</v>
      </c>
      <c r="F4487" t="s">
        <v>16</v>
      </c>
      <c r="G4487">
        <v>91.7</v>
      </c>
      <c r="H4487">
        <v>6075.9</v>
      </c>
      <c r="I4487" t="s">
        <v>15</v>
      </c>
      <c r="J4487" t="s">
        <v>15</v>
      </c>
      <c r="K4487" t="s">
        <v>24</v>
      </c>
      <c r="L4487">
        <v>6075.9</v>
      </c>
      <c r="M4487" t="s">
        <v>5033</v>
      </c>
      <c r="N4487" t="s">
        <v>5034</v>
      </c>
    </row>
    <row r="4488" spans="1:14" x14ac:dyDescent="0.3">
      <c r="A4488" t="s">
        <v>4512</v>
      </c>
      <c r="B4488" t="s">
        <v>12</v>
      </c>
      <c r="C4488" t="s">
        <v>13</v>
      </c>
      <c r="D4488">
        <v>61</v>
      </c>
      <c r="E4488" t="s">
        <v>26</v>
      </c>
      <c r="F4488" t="s">
        <v>15</v>
      </c>
      <c r="G4488">
        <v>89.2</v>
      </c>
      <c r="H4488">
        <v>5500.6</v>
      </c>
      <c r="I4488" t="s">
        <v>15</v>
      </c>
      <c r="J4488" t="s">
        <v>15</v>
      </c>
      <c r="K4488" t="s">
        <v>21</v>
      </c>
      <c r="L4488">
        <v>5500.6</v>
      </c>
      <c r="M4488" t="s">
        <v>5033</v>
      </c>
      <c r="N4488" t="s">
        <v>5034</v>
      </c>
    </row>
    <row r="4489" spans="1:14" x14ac:dyDescent="0.3">
      <c r="A4489" t="s">
        <v>4513</v>
      </c>
      <c r="B4489" t="s">
        <v>19</v>
      </c>
      <c r="C4489" t="s">
        <v>20</v>
      </c>
      <c r="D4489">
        <v>4</v>
      </c>
      <c r="E4489" t="s">
        <v>15</v>
      </c>
      <c r="F4489" t="s">
        <v>36</v>
      </c>
      <c r="G4489">
        <v>24.1</v>
      </c>
      <c r="H4489">
        <v>73.099999999999994</v>
      </c>
      <c r="I4489" t="s">
        <v>15</v>
      </c>
      <c r="J4489" t="s">
        <v>15</v>
      </c>
      <c r="K4489" t="s">
        <v>29</v>
      </c>
      <c r="L4489">
        <v>73.099999999999994</v>
      </c>
      <c r="M4489" t="s">
        <v>5030</v>
      </c>
      <c r="N4489" t="s">
        <v>5031</v>
      </c>
    </row>
    <row r="4490" spans="1:14" x14ac:dyDescent="0.3">
      <c r="A4490" t="s">
        <v>4514</v>
      </c>
      <c r="B4490" t="s">
        <v>12</v>
      </c>
      <c r="C4490" t="s">
        <v>13</v>
      </c>
      <c r="D4490">
        <v>42</v>
      </c>
      <c r="E4490" t="s">
        <v>26</v>
      </c>
      <c r="F4490" t="s">
        <v>15</v>
      </c>
      <c r="G4490">
        <v>74.150000000000006</v>
      </c>
      <c r="H4490">
        <v>3229.4</v>
      </c>
      <c r="I4490" t="s">
        <v>16</v>
      </c>
      <c r="J4490" t="s">
        <v>16</v>
      </c>
      <c r="K4490" t="s">
        <v>29</v>
      </c>
      <c r="L4490">
        <v>3229.4</v>
      </c>
      <c r="M4490" t="s">
        <v>5033</v>
      </c>
      <c r="N4490" t="s">
        <v>5034</v>
      </c>
    </row>
    <row r="4491" spans="1:14" x14ac:dyDescent="0.3">
      <c r="A4491" t="s">
        <v>4515</v>
      </c>
      <c r="B4491" t="s">
        <v>12</v>
      </c>
      <c r="C4491" t="s">
        <v>20</v>
      </c>
      <c r="D4491">
        <v>64</v>
      </c>
      <c r="E4491" t="s">
        <v>14</v>
      </c>
      <c r="F4491" t="s">
        <v>15</v>
      </c>
      <c r="G4491">
        <v>53.85</v>
      </c>
      <c r="H4491">
        <v>3399.85</v>
      </c>
      <c r="I4491" t="s">
        <v>15</v>
      </c>
      <c r="J4491" t="s">
        <v>16</v>
      </c>
      <c r="K4491" t="s">
        <v>24</v>
      </c>
      <c r="L4491">
        <v>3399.85</v>
      </c>
      <c r="M4491" t="s">
        <v>5033</v>
      </c>
      <c r="N4491" t="s">
        <v>5034</v>
      </c>
    </row>
    <row r="4492" spans="1:14" x14ac:dyDescent="0.3">
      <c r="A4492" t="s">
        <v>4516</v>
      </c>
      <c r="B4492" t="s">
        <v>12</v>
      </c>
      <c r="C4492" t="s">
        <v>20</v>
      </c>
      <c r="D4492">
        <v>54</v>
      </c>
      <c r="E4492" t="s">
        <v>26</v>
      </c>
      <c r="F4492" t="s">
        <v>16</v>
      </c>
      <c r="G4492">
        <v>115.6</v>
      </c>
      <c r="H4492">
        <v>6431.05</v>
      </c>
      <c r="I4492" t="s">
        <v>15</v>
      </c>
      <c r="J4492" t="s">
        <v>16</v>
      </c>
      <c r="K4492" t="s">
        <v>24</v>
      </c>
      <c r="L4492">
        <v>6431.05</v>
      </c>
      <c r="M4492" t="s">
        <v>5033</v>
      </c>
      <c r="N4492" t="s">
        <v>5034</v>
      </c>
    </row>
    <row r="4493" spans="1:14" x14ac:dyDescent="0.3">
      <c r="A4493" t="s">
        <v>4517</v>
      </c>
      <c r="B4493" t="s">
        <v>19</v>
      </c>
      <c r="C4493" t="s">
        <v>13</v>
      </c>
      <c r="D4493">
        <v>1</v>
      </c>
      <c r="E4493" t="s">
        <v>15</v>
      </c>
      <c r="F4493" t="s">
        <v>36</v>
      </c>
      <c r="G4493">
        <v>19.75</v>
      </c>
      <c r="H4493">
        <v>19.75</v>
      </c>
      <c r="I4493" t="s">
        <v>15</v>
      </c>
      <c r="J4493" t="s">
        <v>16</v>
      </c>
      <c r="K4493" t="s">
        <v>29</v>
      </c>
      <c r="L4493">
        <v>19.75</v>
      </c>
      <c r="M4493" t="s">
        <v>5030</v>
      </c>
      <c r="N4493" t="s">
        <v>5031</v>
      </c>
    </row>
    <row r="4494" spans="1:14" x14ac:dyDescent="0.3">
      <c r="A4494" t="s">
        <v>4518</v>
      </c>
      <c r="B4494" t="s">
        <v>19</v>
      </c>
      <c r="C4494" t="s">
        <v>35</v>
      </c>
      <c r="D4494">
        <v>54</v>
      </c>
      <c r="E4494" t="s">
        <v>15</v>
      </c>
      <c r="F4494" t="s">
        <v>36</v>
      </c>
      <c r="G4494">
        <v>24.05</v>
      </c>
      <c r="H4494">
        <v>1230.9000000000001</v>
      </c>
      <c r="I4494" t="s">
        <v>15</v>
      </c>
      <c r="J4494" t="s">
        <v>16</v>
      </c>
      <c r="K4494" t="s">
        <v>24</v>
      </c>
      <c r="L4494">
        <v>1230.9000000000001</v>
      </c>
      <c r="M4494" t="s">
        <v>5033</v>
      </c>
      <c r="N4494" t="s">
        <v>5031</v>
      </c>
    </row>
    <row r="4495" spans="1:14" x14ac:dyDescent="0.3">
      <c r="A4495" t="s">
        <v>4519</v>
      </c>
      <c r="B4495" t="s">
        <v>12</v>
      </c>
      <c r="C4495" t="s">
        <v>35</v>
      </c>
      <c r="D4495">
        <v>18</v>
      </c>
      <c r="E4495" t="s">
        <v>15</v>
      </c>
      <c r="F4495" t="s">
        <v>36</v>
      </c>
      <c r="G4495">
        <v>25.3</v>
      </c>
      <c r="H4495">
        <v>454.65</v>
      </c>
      <c r="I4495" t="s">
        <v>15</v>
      </c>
      <c r="J4495" t="s">
        <v>15</v>
      </c>
      <c r="K4495" t="s">
        <v>29</v>
      </c>
      <c r="L4495">
        <v>454.65</v>
      </c>
      <c r="M4495" t="s">
        <v>5032</v>
      </c>
      <c r="N4495" t="s">
        <v>5031</v>
      </c>
    </row>
    <row r="4496" spans="1:14" x14ac:dyDescent="0.3">
      <c r="A4496" t="s">
        <v>4520</v>
      </c>
      <c r="B4496" t="s">
        <v>19</v>
      </c>
      <c r="C4496" t="s">
        <v>13</v>
      </c>
      <c r="D4496">
        <v>3</v>
      </c>
      <c r="E4496" t="s">
        <v>26</v>
      </c>
      <c r="F4496" t="s">
        <v>15</v>
      </c>
      <c r="G4496">
        <v>84.3</v>
      </c>
      <c r="H4496">
        <v>235.05</v>
      </c>
      <c r="I4496" t="s">
        <v>15</v>
      </c>
      <c r="J4496" t="s">
        <v>15</v>
      </c>
      <c r="K4496" t="s">
        <v>17</v>
      </c>
      <c r="L4496">
        <v>235.05</v>
      </c>
      <c r="M4496" t="s">
        <v>5030</v>
      </c>
      <c r="N4496" t="s">
        <v>5031</v>
      </c>
    </row>
    <row r="4497" spans="1:14" x14ac:dyDescent="0.3">
      <c r="A4497" t="s">
        <v>4521</v>
      </c>
      <c r="B4497" t="s">
        <v>12</v>
      </c>
      <c r="C4497" t="s">
        <v>13</v>
      </c>
      <c r="D4497">
        <v>1</v>
      </c>
      <c r="E4497" t="s">
        <v>26</v>
      </c>
      <c r="F4497" t="s">
        <v>15</v>
      </c>
      <c r="G4497">
        <v>70.099999999999994</v>
      </c>
      <c r="H4497">
        <v>70.099999999999994</v>
      </c>
      <c r="I4497" t="s">
        <v>16</v>
      </c>
      <c r="J4497" t="s">
        <v>16</v>
      </c>
      <c r="K4497" t="s">
        <v>17</v>
      </c>
      <c r="L4497">
        <v>70.099999999999994</v>
      </c>
      <c r="M4497" t="s">
        <v>5030</v>
      </c>
      <c r="N4497" t="s">
        <v>5031</v>
      </c>
    </row>
    <row r="4498" spans="1:14" x14ac:dyDescent="0.3">
      <c r="A4498" t="s">
        <v>4522</v>
      </c>
      <c r="B4498" t="s">
        <v>12</v>
      </c>
      <c r="C4498" t="s">
        <v>35</v>
      </c>
      <c r="D4498">
        <v>72</v>
      </c>
      <c r="E4498" t="s">
        <v>14</v>
      </c>
      <c r="F4498" t="s">
        <v>16</v>
      </c>
      <c r="G4498">
        <v>89.75</v>
      </c>
      <c r="H4498">
        <v>6595.9</v>
      </c>
      <c r="I4498" t="s">
        <v>15</v>
      </c>
      <c r="J4498" t="s">
        <v>15</v>
      </c>
      <c r="K4498" t="s">
        <v>29</v>
      </c>
      <c r="L4498">
        <v>6595.9</v>
      </c>
      <c r="M4498" t="s">
        <v>5033</v>
      </c>
      <c r="N4498" t="s">
        <v>5034</v>
      </c>
    </row>
    <row r="4499" spans="1:14" x14ac:dyDescent="0.3">
      <c r="A4499" t="s">
        <v>4523</v>
      </c>
      <c r="B4499" t="s">
        <v>19</v>
      </c>
      <c r="C4499" t="s">
        <v>20</v>
      </c>
      <c r="D4499">
        <v>60</v>
      </c>
      <c r="E4499" t="s">
        <v>26</v>
      </c>
      <c r="F4499" t="s">
        <v>15</v>
      </c>
      <c r="G4499">
        <v>97.95</v>
      </c>
      <c r="H4499">
        <v>5867</v>
      </c>
      <c r="I4499" t="s">
        <v>15</v>
      </c>
      <c r="J4499" t="s">
        <v>16</v>
      </c>
      <c r="K4499" t="s">
        <v>17</v>
      </c>
      <c r="L4499">
        <v>5867</v>
      </c>
      <c r="M4499" t="s">
        <v>5033</v>
      </c>
      <c r="N4499" t="s">
        <v>5034</v>
      </c>
    </row>
    <row r="4500" spans="1:14" x14ac:dyDescent="0.3">
      <c r="A4500" t="s">
        <v>4524</v>
      </c>
      <c r="B4500" t="s">
        <v>12</v>
      </c>
      <c r="C4500" t="s">
        <v>20</v>
      </c>
      <c r="D4500">
        <v>11</v>
      </c>
      <c r="E4500" t="s">
        <v>15</v>
      </c>
      <c r="F4500" t="s">
        <v>36</v>
      </c>
      <c r="G4500">
        <v>20</v>
      </c>
      <c r="H4500">
        <v>196.35</v>
      </c>
      <c r="I4500" t="s">
        <v>15</v>
      </c>
      <c r="J4500" t="s">
        <v>16</v>
      </c>
      <c r="K4500" t="s">
        <v>21</v>
      </c>
      <c r="L4500">
        <v>196.35</v>
      </c>
      <c r="M4500" t="s">
        <v>5030</v>
      </c>
      <c r="N4500" t="s">
        <v>5031</v>
      </c>
    </row>
    <row r="4501" spans="1:14" x14ac:dyDescent="0.3">
      <c r="A4501" t="s">
        <v>4525</v>
      </c>
      <c r="B4501" t="s">
        <v>12</v>
      </c>
      <c r="C4501" t="s">
        <v>13</v>
      </c>
      <c r="D4501">
        <v>12</v>
      </c>
      <c r="E4501" t="s">
        <v>26</v>
      </c>
      <c r="F4501" t="s">
        <v>15</v>
      </c>
      <c r="G4501">
        <v>78.3</v>
      </c>
      <c r="H4501">
        <v>909.25</v>
      </c>
      <c r="I4501" t="s">
        <v>16</v>
      </c>
      <c r="J4501" t="s">
        <v>16</v>
      </c>
      <c r="K4501" t="s">
        <v>17</v>
      </c>
      <c r="L4501">
        <v>909.25</v>
      </c>
      <c r="M4501" t="s">
        <v>5030</v>
      </c>
      <c r="N4501" t="s">
        <v>5031</v>
      </c>
    </row>
    <row r="4502" spans="1:14" x14ac:dyDescent="0.3">
      <c r="A4502" t="s">
        <v>4526</v>
      </c>
      <c r="B4502" t="s">
        <v>19</v>
      </c>
      <c r="C4502" t="s">
        <v>20</v>
      </c>
      <c r="D4502">
        <v>61</v>
      </c>
      <c r="E4502" t="s">
        <v>26</v>
      </c>
      <c r="F4502" t="s">
        <v>16</v>
      </c>
      <c r="G4502">
        <v>103.9</v>
      </c>
      <c r="H4502">
        <v>6449.15</v>
      </c>
      <c r="I4502" t="s">
        <v>15</v>
      </c>
      <c r="J4502" t="s">
        <v>15</v>
      </c>
      <c r="K4502" t="s">
        <v>29</v>
      </c>
      <c r="L4502">
        <v>6449.15</v>
      </c>
      <c r="M4502" t="s">
        <v>5033</v>
      </c>
      <c r="N4502" t="s">
        <v>5034</v>
      </c>
    </row>
    <row r="4503" spans="1:14" x14ac:dyDescent="0.3">
      <c r="A4503" t="s">
        <v>4527</v>
      </c>
      <c r="B4503" t="s">
        <v>12</v>
      </c>
      <c r="C4503" t="s">
        <v>35</v>
      </c>
      <c r="D4503">
        <v>39</v>
      </c>
      <c r="E4503" t="s">
        <v>15</v>
      </c>
      <c r="F4503" t="s">
        <v>36</v>
      </c>
      <c r="G4503">
        <v>20.7</v>
      </c>
      <c r="H4503">
        <v>762.45</v>
      </c>
      <c r="I4503" t="s">
        <v>15</v>
      </c>
      <c r="J4503" t="s">
        <v>15</v>
      </c>
      <c r="K4503" t="s">
        <v>29</v>
      </c>
      <c r="L4503">
        <v>762.45</v>
      </c>
      <c r="M4503" t="s">
        <v>5033</v>
      </c>
      <c r="N4503" t="s">
        <v>5031</v>
      </c>
    </row>
    <row r="4504" spans="1:14" x14ac:dyDescent="0.3">
      <c r="A4504" t="s">
        <v>4528</v>
      </c>
      <c r="B4504" t="s">
        <v>19</v>
      </c>
      <c r="C4504" t="s">
        <v>13</v>
      </c>
      <c r="D4504">
        <v>55</v>
      </c>
      <c r="E4504" t="s">
        <v>26</v>
      </c>
      <c r="F4504" t="s">
        <v>15</v>
      </c>
      <c r="G4504">
        <v>96.8</v>
      </c>
      <c r="H4504">
        <v>5283.95</v>
      </c>
      <c r="I4504" t="s">
        <v>16</v>
      </c>
      <c r="J4504" t="s">
        <v>16</v>
      </c>
      <c r="K4504" t="s">
        <v>17</v>
      </c>
      <c r="L4504">
        <v>5283.95</v>
      </c>
      <c r="M4504" t="s">
        <v>5033</v>
      </c>
      <c r="N4504" t="s">
        <v>5034</v>
      </c>
    </row>
    <row r="4505" spans="1:14" x14ac:dyDescent="0.3">
      <c r="A4505" t="s">
        <v>4529</v>
      </c>
      <c r="B4505" t="s">
        <v>12</v>
      </c>
      <c r="C4505" t="s">
        <v>13</v>
      </c>
      <c r="D4505">
        <v>17</v>
      </c>
      <c r="E4505" t="s">
        <v>26</v>
      </c>
      <c r="F4505" t="s">
        <v>15</v>
      </c>
      <c r="G4505">
        <v>94.4</v>
      </c>
      <c r="H4505">
        <v>1617.5</v>
      </c>
      <c r="I4505" t="s">
        <v>16</v>
      </c>
      <c r="J4505" t="s">
        <v>16</v>
      </c>
      <c r="K4505" t="s">
        <v>17</v>
      </c>
      <c r="L4505">
        <v>1617.5</v>
      </c>
      <c r="M4505" t="s">
        <v>5032</v>
      </c>
      <c r="N4505" t="s">
        <v>5031</v>
      </c>
    </row>
    <row r="4506" spans="1:14" x14ac:dyDescent="0.3">
      <c r="A4506" t="s">
        <v>4530</v>
      </c>
      <c r="B4506" t="s">
        <v>19</v>
      </c>
      <c r="C4506" t="s">
        <v>20</v>
      </c>
      <c r="D4506">
        <v>37</v>
      </c>
      <c r="E4506" t="s">
        <v>15</v>
      </c>
      <c r="F4506" t="s">
        <v>36</v>
      </c>
      <c r="G4506">
        <v>20.149999999999999</v>
      </c>
      <c r="H4506">
        <v>785.75</v>
      </c>
      <c r="I4506" t="s">
        <v>15</v>
      </c>
      <c r="J4506" t="s">
        <v>15</v>
      </c>
      <c r="K4506" t="s">
        <v>29</v>
      </c>
      <c r="L4506">
        <v>785.75</v>
      </c>
      <c r="M4506" t="s">
        <v>5033</v>
      </c>
      <c r="N4506" t="s">
        <v>5031</v>
      </c>
    </row>
    <row r="4507" spans="1:14" x14ac:dyDescent="0.3">
      <c r="A4507" t="s">
        <v>4531</v>
      </c>
      <c r="B4507" t="s">
        <v>12</v>
      </c>
      <c r="C4507" t="s">
        <v>35</v>
      </c>
      <c r="D4507">
        <v>72</v>
      </c>
      <c r="E4507" t="s">
        <v>15</v>
      </c>
      <c r="F4507" t="s">
        <v>36</v>
      </c>
      <c r="G4507">
        <v>26</v>
      </c>
      <c r="H4507">
        <v>1776</v>
      </c>
      <c r="I4507" t="s">
        <v>15</v>
      </c>
      <c r="J4507" t="s">
        <v>16</v>
      </c>
      <c r="K4507" t="s">
        <v>21</v>
      </c>
      <c r="L4507">
        <v>1776</v>
      </c>
      <c r="M4507" t="s">
        <v>5033</v>
      </c>
      <c r="N4507" t="s">
        <v>5031</v>
      </c>
    </row>
    <row r="4508" spans="1:14" x14ac:dyDescent="0.3">
      <c r="A4508" t="s">
        <v>4532</v>
      </c>
      <c r="B4508" t="s">
        <v>19</v>
      </c>
      <c r="C4508" t="s">
        <v>35</v>
      </c>
      <c r="D4508">
        <v>72</v>
      </c>
      <c r="E4508" t="s">
        <v>14</v>
      </c>
      <c r="F4508" t="s">
        <v>16</v>
      </c>
      <c r="G4508">
        <v>77.349999999999994</v>
      </c>
      <c r="H4508">
        <v>5396.25</v>
      </c>
      <c r="I4508" t="s">
        <v>15</v>
      </c>
      <c r="J4508" t="s">
        <v>15</v>
      </c>
      <c r="K4508" t="s">
        <v>29</v>
      </c>
      <c r="L4508">
        <v>5396.25</v>
      </c>
      <c r="M4508" t="s">
        <v>5033</v>
      </c>
      <c r="N4508" t="s">
        <v>5034</v>
      </c>
    </row>
    <row r="4509" spans="1:14" x14ac:dyDescent="0.3">
      <c r="A4509" t="s">
        <v>4533</v>
      </c>
      <c r="B4509" t="s">
        <v>12</v>
      </c>
      <c r="C4509" t="s">
        <v>13</v>
      </c>
      <c r="D4509">
        <v>8</v>
      </c>
      <c r="E4509" t="s">
        <v>14</v>
      </c>
      <c r="F4509" t="s">
        <v>16</v>
      </c>
      <c r="G4509">
        <v>66.05</v>
      </c>
      <c r="H4509">
        <v>574.5</v>
      </c>
      <c r="I4509" t="s">
        <v>15</v>
      </c>
      <c r="J4509" t="s">
        <v>15</v>
      </c>
      <c r="K4509" t="s">
        <v>24</v>
      </c>
      <c r="L4509">
        <v>574.5</v>
      </c>
      <c r="M4509" t="s">
        <v>5030</v>
      </c>
      <c r="N4509" t="s">
        <v>5031</v>
      </c>
    </row>
    <row r="4510" spans="1:14" x14ac:dyDescent="0.3">
      <c r="A4510" t="s">
        <v>4534</v>
      </c>
      <c r="B4510" t="s">
        <v>12</v>
      </c>
      <c r="C4510" t="s">
        <v>13</v>
      </c>
      <c r="D4510">
        <v>22</v>
      </c>
      <c r="E4510" t="s">
        <v>15</v>
      </c>
      <c r="F4510" t="s">
        <v>36</v>
      </c>
      <c r="G4510">
        <v>19.899999999999999</v>
      </c>
      <c r="H4510">
        <v>400.3</v>
      </c>
      <c r="I4510" t="s">
        <v>15</v>
      </c>
      <c r="J4510" t="s">
        <v>15</v>
      </c>
      <c r="K4510" t="s">
        <v>21</v>
      </c>
      <c r="L4510">
        <v>400.3</v>
      </c>
      <c r="M4510" t="s">
        <v>5032</v>
      </c>
      <c r="N4510" t="s">
        <v>5031</v>
      </c>
    </row>
    <row r="4511" spans="1:14" x14ac:dyDescent="0.3">
      <c r="A4511" t="s">
        <v>4535</v>
      </c>
      <c r="B4511" t="s">
        <v>12</v>
      </c>
      <c r="C4511" t="s">
        <v>13</v>
      </c>
      <c r="D4511">
        <v>1</v>
      </c>
      <c r="E4511" t="s">
        <v>26</v>
      </c>
      <c r="F4511" t="s">
        <v>15</v>
      </c>
      <c r="G4511">
        <v>84.3</v>
      </c>
      <c r="H4511">
        <v>84.3</v>
      </c>
      <c r="I4511" t="s">
        <v>16</v>
      </c>
      <c r="J4511" t="s">
        <v>15</v>
      </c>
      <c r="K4511" t="s">
        <v>17</v>
      </c>
      <c r="L4511">
        <v>84.3</v>
      </c>
      <c r="M4511" t="s">
        <v>5030</v>
      </c>
      <c r="N4511" t="s">
        <v>5031</v>
      </c>
    </row>
    <row r="4512" spans="1:14" x14ac:dyDescent="0.3">
      <c r="A4512" t="s">
        <v>4536</v>
      </c>
      <c r="B4512" t="s">
        <v>12</v>
      </c>
      <c r="C4512" t="s">
        <v>13</v>
      </c>
      <c r="D4512">
        <v>38</v>
      </c>
      <c r="E4512" t="s">
        <v>14</v>
      </c>
      <c r="F4512" t="s">
        <v>16</v>
      </c>
      <c r="G4512">
        <v>68.150000000000006</v>
      </c>
      <c r="H4512">
        <v>2656.3</v>
      </c>
      <c r="I4512" t="s">
        <v>15</v>
      </c>
      <c r="J4512" t="s">
        <v>15</v>
      </c>
      <c r="K4512" t="s">
        <v>29</v>
      </c>
      <c r="L4512">
        <v>2656.3</v>
      </c>
      <c r="M4512" t="s">
        <v>5033</v>
      </c>
      <c r="N4512" t="s">
        <v>5034</v>
      </c>
    </row>
    <row r="4513" spans="1:14" x14ac:dyDescent="0.3">
      <c r="A4513" t="s">
        <v>4537</v>
      </c>
      <c r="B4513" t="s">
        <v>19</v>
      </c>
      <c r="C4513" t="s">
        <v>20</v>
      </c>
      <c r="D4513">
        <v>17</v>
      </c>
      <c r="E4513" t="s">
        <v>14</v>
      </c>
      <c r="F4513" t="s">
        <v>16</v>
      </c>
      <c r="G4513">
        <v>80.849999999999994</v>
      </c>
      <c r="H4513">
        <v>1445.95</v>
      </c>
      <c r="I4513" t="s">
        <v>15</v>
      </c>
      <c r="J4513" t="s">
        <v>15</v>
      </c>
      <c r="K4513" t="s">
        <v>17</v>
      </c>
      <c r="L4513">
        <v>1445.95</v>
      </c>
      <c r="M4513" t="s">
        <v>5032</v>
      </c>
      <c r="N4513" t="s">
        <v>5031</v>
      </c>
    </row>
    <row r="4514" spans="1:14" x14ac:dyDescent="0.3">
      <c r="A4514" t="s">
        <v>4538</v>
      </c>
      <c r="B4514" t="s">
        <v>12</v>
      </c>
      <c r="C4514" t="s">
        <v>35</v>
      </c>
      <c r="D4514">
        <v>70</v>
      </c>
      <c r="E4514" t="s">
        <v>14</v>
      </c>
      <c r="F4514" t="s">
        <v>16</v>
      </c>
      <c r="G4514">
        <v>75.5</v>
      </c>
      <c r="H4514">
        <v>5212.6499999999996</v>
      </c>
      <c r="I4514" t="s">
        <v>15</v>
      </c>
      <c r="J4514" t="s">
        <v>16</v>
      </c>
      <c r="K4514" t="s">
        <v>24</v>
      </c>
      <c r="L4514">
        <v>5212.6499999999996</v>
      </c>
      <c r="M4514" t="s">
        <v>5033</v>
      </c>
      <c r="N4514" t="s">
        <v>5034</v>
      </c>
    </row>
    <row r="4515" spans="1:14" x14ac:dyDescent="0.3">
      <c r="A4515" t="s">
        <v>4539</v>
      </c>
      <c r="B4515" t="s">
        <v>12</v>
      </c>
      <c r="C4515" t="s">
        <v>35</v>
      </c>
      <c r="D4515">
        <v>72</v>
      </c>
      <c r="E4515" t="s">
        <v>14</v>
      </c>
      <c r="F4515" t="s">
        <v>16</v>
      </c>
      <c r="G4515">
        <v>92.45</v>
      </c>
      <c r="H4515">
        <v>6440.25</v>
      </c>
      <c r="I4515" t="s">
        <v>16</v>
      </c>
      <c r="J4515" t="s">
        <v>15</v>
      </c>
      <c r="K4515" t="s">
        <v>29</v>
      </c>
      <c r="L4515">
        <v>6440.25</v>
      </c>
      <c r="M4515" t="s">
        <v>5033</v>
      </c>
      <c r="N4515" t="s">
        <v>5034</v>
      </c>
    </row>
    <row r="4516" spans="1:14" x14ac:dyDescent="0.3">
      <c r="A4516" t="s">
        <v>4540</v>
      </c>
      <c r="B4516" t="s">
        <v>12</v>
      </c>
      <c r="C4516" t="s">
        <v>13</v>
      </c>
      <c r="D4516">
        <v>28</v>
      </c>
      <c r="E4516" t="s">
        <v>26</v>
      </c>
      <c r="F4516" t="s">
        <v>15</v>
      </c>
      <c r="G4516">
        <v>80.599999999999994</v>
      </c>
      <c r="H4516">
        <v>2244.9499999999998</v>
      </c>
      <c r="I4516" t="s">
        <v>15</v>
      </c>
      <c r="J4516" t="s">
        <v>16</v>
      </c>
      <c r="K4516" t="s">
        <v>17</v>
      </c>
      <c r="L4516">
        <v>2244.9499999999998</v>
      </c>
      <c r="M4516" t="s">
        <v>5032</v>
      </c>
      <c r="N4516" t="s">
        <v>5031</v>
      </c>
    </row>
    <row r="4517" spans="1:14" x14ac:dyDescent="0.3">
      <c r="A4517" t="s">
        <v>4541</v>
      </c>
      <c r="B4517" t="s">
        <v>12</v>
      </c>
      <c r="C4517" t="s">
        <v>13</v>
      </c>
      <c r="D4517">
        <v>15</v>
      </c>
      <c r="E4517" t="s">
        <v>26</v>
      </c>
      <c r="F4517" t="s">
        <v>15</v>
      </c>
      <c r="G4517">
        <v>83.2</v>
      </c>
      <c r="H4517">
        <v>1130</v>
      </c>
      <c r="I4517" t="s">
        <v>15</v>
      </c>
      <c r="J4517" t="s">
        <v>16</v>
      </c>
      <c r="K4517" t="s">
        <v>24</v>
      </c>
      <c r="L4517">
        <v>1130</v>
      </c>
      <c r="M4517" t="s">
        <v>5032</v>
      </c>
      <c r="N4517" t="s">
        <v>5031</v>
      </c>
    </row>
    <row r="4518" spans="1:14" x14ac:dyDescent="0.3">
      <c r="A4518" t="s">
        <v>4542</v>
      </c>
      <c r="B4518" t="s">
        <v>19</v>
      </c>
      <c r="C4518" t="s">
        <v>35</v>
      </c>
      <c r="D4518">
        <v>72</v>
      </c>
      <c r="E4518" t="s">
        <v>14</v>
      </c>
      <c r="F4518" t="s">
        <v>16</v>
      </c>
      <c r="G4518">
        <v>87.55</v>
      </c>
      <c r="H4518">
        <v>6463.15</v>
      </c>
      <c r="I4518" t="s">
        <v>15</v>
      </c>
      <c r="J4518" t="s">
        <v>16</v>
      </c>
      <c r="K4518" t="s">
        <v>24</v>
      </c>
      <c r="L4518">
        <v>6463.15</v>
      </c>
      <c r="M4518" t="s">
        <v>5033</v>
      </c>
      <c r="N4518" t="s">
        <v>5034</v>
      </c>
    </row>
    <row r="4519" spans="1:14" x14ac:dyDescent="0.3">
      <c r="A4519" t="s">
        <v>4543</v>
      </c>
      <c r="B4519" t="s">
        <v>12</v>
      </c>
      <c r="C4519" t="s">
        <v>13</v>
      </c>
      <c r="D4519">
        <v>11</v>
      </c>
      <c r="E4519" t="s">
        <v>26</v>
      </c>
      <c r="F4519" t="s">
        <v>15</v>
      </c>
      <c r="G4519">
        <v>99.55</v>
      </c>
      <c r="H4519">
        <v>1131.2</v>
      </c>
      <c r="I4519" t="s">
        <v>16</v>
      </c>
      <c r="J4519" t="s">
        <v>16</v>
      </c>
      <c r="K4519" t="s">
        <v>17</v>
      </c>
      <c r="L4519">
        <v>1131.2</v>
      </c>
      <c r="M4519" t="s">
        <v>5030</v>
      </c>
      <c r="N4519" t="s">
        <v>5031</v>
      </c>
    </row>
    <row r="4520" spans="1:14" x14ac:dyDescent="0.3">
      <c r="A4520" t="s">
        <v>4544</v>
      </c>
      <c r="B4520" t="s">
        <v>19</v>
      </c>
      <c r="C4520" t="s">
        <v>13</v>
      </c>
      <c r="D4520">
        <v>8</v>
      </c>
      <c r="E4520" t="s">
        <v>26</v>
      </c>
      <c r="F4520" t="s">
        <v>15</v>
      </c>
      <c r="G4520">
        <v>81.25</v>
      </c>
      <c r="H4520">
        <v>585.95000000000005</v>
      </c>
      <c r="I4520" t="s">
        <v>16</v>
      </c>
      <c r="J4520" t="s">
        <v>16</v>
      </c>
      <c r="K4520" t="s">
        <v>17</v>
      </c>
      <c r="L4520">
        <v>585.95000000000005</v>
      </c>
      <c r="M4520" t="s">
        <v>5030</v>
      </c>
      <c r="N4520" t="s">
        <v>5031</v>
      </c>
    </row>
    <row r="4521" spans="1:14" x14ac:dyDescent="0.3">
      <c r="A4521" t="s">
        <v>4545</v>
      </c>
      <c r="B4521" t="s">
        <v>12</v>
      </c>
      <c r="C4521" t="s">
        <v>20</v>
      </c>
      <c r="D4521">
        <v>57</v>
      </c>
      <c r="E4521" t="s">
        <v>26</v>
      </c>
      <c r="F4521" t="s">
        <v>16</v>
      </c>
      <c r="G4521">
        <v>109.4</v>
      </c>
      <c r="H4521">
        <v>6252.7</v>
      </c>
      <c r="I4521" t="s">
        <v>15</v>
      </c>
      <c r="J4521" t="s">
        <v>16</v>
      </c>
      <c r="K4521" t="s">
        <v>24</v>
      </c>
      <c r="L4521">
        <v>6252.7</v>
      </c>
      <c r="M4521" t="s">
        <v>5033</v>
      </c>
      <c r="N4521" t="s">
        <v>5034</v>
      </c>
    </row>
    <row r="4522" spans="1:14" x14ac:dyDescent="0.3">
      <c r="A4522" t="s">
        <v>4546</v>
      </c>
      <c r="B4522" t="s">
        <v>19</v>
      </c>
      <c r="C4522" t="s">
        <v>13</v>
      </c>
      <c r="D4522">
        <v>1</v>
      </c>
      <c r="E4522" t="s">
        <v>15</v>
      </c>
      <c r="F4522" t="s">
        <v>36</v>
      </c>
      <c r="G4522">
        <v>19.95</v>
      </c>
      <c r="H4522">
        <v>19.95</v>
      </c>
      <c r="I4522" t="s">
        <v>16</v>
      </c>
      <c r="J4522" t="s">
        <v>15</v>
      </c>
      <c r="K4522" t="s">
        <v>24</v>
      </c>
      <c r="L4522">
        <v>19.95</v>
      </c>
      <c r="M4522" t="s">
        <v>5030</v>
      </c>
      <c r="N4522" t="s">
        <v>5031</v>
      </c>
    </row>
    <row r="4523" spans="1:14" x14ac:dyDescent="0.3">
      <c r="A4523" t="s">
        <v>4547</v>
      </c>
      <c r="B4523" t="s">
        <v>12</v>
      </c>
      <c r="C4523" t="s">
        <v>13</v>
      </c>
      <c r="D4523">
        <v>46</v>
      </c>
      <c r="E4523" t="s">
        <v>14</v>
      </c>
      <c r="F4523" t="s">
        <v>15</v>
      </c>
      <c r="G4523">
        <v>45.55</v>
      </c>
      <c r="H4523">
        <v>2062.15</v>
      </c>
      <c r="I4523" t="s">
        <v>15</v>
      </c>
      <c r="J4523" t="s">
        <v>15</v>
      </c>
      <c r="K4523" t="s">
        <v>17</v>
      </c>
      <c r="L4523">
        <v>2062.15</v>
      </c>
      <c r="M4523" t="s">
        <v>5033</v>
      </c>
      <c r="N4523" t="s">
        <v>5031</v>
      </c>
    </row>
    <row r="4524" spans="1:14" x14ac:dyDescent="0.3">
      <c r="A4524" t="s">
        <v>4548</v>
      </c>
      <c r="B4524" t="s">
        <v>19</v>
      </c>
      <c r="C4524" t="s">
        <v>20</v>
      </c>
      <c r="D4524">
        <v>30</v>
      </c>
      <c r="E4524" t="s">
        <v>15</v>
      </c>
      <c r="F4524" t="s">
        <v>36</v>
      </c>
      <c r="G4524">
        <v>20.7</v>
      </c>
      <c r="H4524">
        <v>587.1</v>
      </c>
      <c r="I4524" t="s">
        <v>15</v>
      </c>
      <c r="J4524" t="s">
        <v>15</v>
      </c>
      <c r="K4524" t="s">
        <v>29</v>
      </c>
      <c r="L4524">
        <v>587.1</v>
      </c>
      <c r="M4524" t="s">
        <v>5032</v>
      </c>
      <c r="N4524" t="s">
        <v>5031</v>
      </c>
    </row>
    <row r="4525" spans="1:14" x14ac:dyDescent="0.3">
      <c r="A4525" t="s">
        <v>4549</v>
      </c>
      <c r="B4525" t="s">
        <v>19</v>
      </c>
      <c r="C4525" t="s">
        <v>13</v>
      </c>
      <c r="D4525">
        <v>10</v>
      </c>
      <c r="E4525" t="s">
        <v>26</v>
      </c>
      <c r="F4525" t="s">
        <v>15</v>
      </c>
      <c r="G4525">
        <v>75.3</v>
      </c>
      <c r="H4525">
        <v>720.45</v>
      </c>
      <c r="I4525" t="s">
        <v>15</v>
      </c>
      <c r="J4525" t="s">
        <v>15</v>
      </c>
      <c r="K4525" t="s">
        <v>17</v>
      </c>
      <c r="L4525">
        <v>720.45</v>
      </c>
      <c r="M4525" t="s">
        <v>5030</v>
      </c>
      <c r="N4525" t="s">
        <v>5031</v>
      </c>
    </row>
    <row r="4526" spans="1:14" x14ac:dyDescent="0.3">
      <c r="A4526" t="s">
        <v>4550</v>
      </c>
      <c r="B4526" t="s">
        <v>19</v>
      </c>
      <c r="C4526" t="s">
        <v>13</v>
      </c>
      <c r="D4526">
        <v>23</v>
      </c>
      <c r="E4526" t="s">
        <v>26</v>
      </c>
      <c r="F4526" t="s">
        <v>15</v>
      </c>
      <c r="G4526">
        <v>99.25</v>
      </c>
      <c r="H4526">
        <v>2186.4</v>
      </c>
      <c r="I4526" t="s">
        <v>16</v>
      </c>
      <c r="J4526" t="s">
        <v>16</v>
      </c>
      <c r="K4526" t="s">
        <v>17</v>
      </c>
      <c r="L4526">
        <v>2186.4</v>
      </c>
      <c r="M4526" t="s">
        <v>5032</v>
      </c>
      <c r="N4526" t="s">
        <v>5031</v>
      </c>
    </row>
    <row r="4527" spans="1:14" x14ac:dyDescent="0.3">
      <c r="A4527" t="s">
        <v>4551</v>
      </c>
      <c r="B4527" t="s">
        <v>19</v>
      </c>
      <c r="C4527" t="s">
        <v>13</v>
      </c>
      <c r="D4527">
        <v>32</v>
      </c>
      <c r="E4527" t="s">
        <v>26</v>
      </c>
      <c r="F4527" t="s">
        <v>15</v>
      </c>
      <c r="G4527">
        <v>93.4</v>
      </c>
      <c r="H4527">
        <v>2979.3</v>
      </c>
      <c r="I4527" t="s">
        <v>15</v>
      </c>
      <c r="J4527" t="s">
        <v>16</v>
      </c>
      <c r="K4527" t="s">
        <v>29</v>
      </c>
      <c r="L4527">
        <v>2979.3</v>
      </c>
      <c r="M4527" t="s">
        <v>5032</v>
      </c>
      <c r="N4527" t="s">
        <v>5034</v>
      </c>
    </row>
    <row r="4528" spans="1:14" x14ac:dyDescent="0.3">
      <c r="A4528" t="s">
        <v>4552</v>
      </c>
      <c r="B4528" t="s">
        <v>19</v>
      </c>
      <c r="C4528" t="s">
        <v>13</v>
      </c>
      <c r="D4528">
        <v>13</v>
      </c>
      <c r="E4528" t="s">
        <v>26</v>
      </c>
      <c r="F4528" t="s">
        <v>15</v>
      </c>
      <c r="G4528">
        <v>73.75</v>
      </c>
      <c r="H4528">
        <v>956.65</v>
      </c>
      <c r="I4528" t="s">
        <v>15</v>
      </c>
      <c r="J4528" t="s">
        <v>16</v>
      </c>
      <c r="K4528" t="s">
        <v>29</v>
      </c>
      <c r="L4528">
        <v>956.65</v>
      </c>
      <c r="M4528" t="s">
        <v>5032</v>
      </c>
      <c r="N4528" t="s">
        <v>5031</v>
      </c>
    </row>
    <row r="4529" spans="1:14" x14ac:dyDescent="0.3">
      <c r="A4529" t="s">
        <v>4553</v>
      </c>
      <c r="B4529" t="s">
        <v>12</v>
      </c>
      <c r="C4529" t="s">
        <v>35</v>
      </c>
      <c r="D4529">
        <v>39</v>
      </c>
      <c r="E4529" t="s">
        <v>26</v>
      </c>
      <c r="F4529" t="s">
        <v>16</v>
      </c>
      <c r="G4529">
        <v>80.45</v>
      </c>
      <c r="H4529">
        <v>3201.55</v>
      </c>
      <c r="I4529" t="s">
        <v>16</v>
      </c>
      <c r="J4529" t="s">
        <v>16</v>
      </c>
      <c r="K4529" t="s">
        <v>17</v>
      </c>
      <c r="L4529">
        <v>3201.55</v>
      </c>
      <c r="M4529" t="s">
        <v>5033</v>
      </c>
      <c r="N4529" t="s">
        <v>5034</v>
      </c>
    </row>
    <row r="4530" spans="1:14" x14ac:dyDescent="0.3">
      <c r="A4530" t="s">
        <v>4554</v>
      </c>
      <c r="B4530" t="s">
        <v>12</v>
      </c>
      <c r="C4530" t="s">
        <v>13</v>
      </c>
      <c r="D4530">
        <v>44</v>
      </c>
      <c r="E4530" t="s">
        <v>26</v>
      </c>
      <c r="F4530" t="s">
        <v>15</v>
      </c>
      <c r="G4530">
        <v>88.15</v>
      </c>
      <c r="H4530">
        <v>3973.2</v>
      </c>
      <c r="I4530" t="s">
        <v>15</v>
      </c>
      <c r="J4530" t="s">
        <v>16</v>
      </c>
      <c r="K4530" t="s">
        <v>29</v>
      </c>
      <c r="L4530">
        <v>3973.2</v>
      </c>
      <c r="M4530" t="s">
        <v>5033</v>
      </c>
      <c r="N4530" t="s">
        <v>5034</v>
      </c>
    </row>
    <row r="4531" spans="1:14" x14ac:dyDescent="0.3">
      <c r="A4531" t="s">
        <v>4555</v>
      </c>
      <c r="B4531" t="s">
        <v>19</v>
      </c>
      <c r="C4531" t="s">
        <v>13</v>
      </c>
      <c r="D4531">
        <v>9</v>
      </c>
      <c r="E4531" t="s">
        <v>14</v>
      </c>
      <c r="F4531" t="s">
        <v>16</v>
      </c>
      <c r="G4531">
        <v>49.2</v>
      </c>
      <c r="H4531">
        <v>447.9</v>
      </c>
      <c r="I4531" t="s">
        <v>15</v>
      </c>
      <c r="J4531" t="s">
        <v>15</v>
      </c>
      <c r="K4531" t="s">
        <v>21</v>
      </c>
      <c r="L4531">
        <v>447.9</v>
      </c>
      <c r="M4531" t="s">
        <v>5030</v>
      </c>
      <c r="N4531" t="s">
        <v>5031</v>
      </c>
    </row>
    <row r="4532" spans="1:14" x14ac:dyDescent="0.3">
      <c r="A4532" t="s">
        <v>4556</v>
      </c>
      <c r="B4532" t="s">
        <v>12</v>
      </c>
      <c r="C4532" t="s">
        <v>35</v>
      </c>
      <c r="D4532">
        <v>67</v>
      </c>
      <c r="E4532" t="s">
        <v>15</v>
      </c>
      <c r="F4532" t="s">
        <v>36</v>
      </c>
      <c r="G4532">
        <v>19.649999999999999</v>
      </c>
      <c r="H4532">
        <v>1335.2</v>
      </c>
      <c r="I4532" t="s">
        <v>15</v>
      </c>
      <c r="J4532" t="s">
        <v>15</v>
      </c>
      <c r="K4532" t="s">
        <v>21</v>
      </c>
      <c r="L4532">
        <v>1335.2</v>
      </c>
      <c r="M4532" t="s">
        <v>5033</v>
      </c>
      <c r="N4532" t="s">
        <v>5031</v>
      </c>
    </row>
    <row r="4533" spans="1:14" x14ac:dyDescent="0.3">
      <c r="A4533" t="s">
        <v>4557</v>
      </c>
      <c r="B4533" t="s">
        <v>19</v>
      </c>
      <c r="C4533" t="s">
        <v>13</v>
      </c>
      <c r="D4533">
        <v>9</v>
      </c>
      <c r="E4533" t="s">
        <v>26</v>
      </c>
      <c r="F4533" t="s">
        <v>15</v>
      </c>
      <c r="G4533">
        <v>79.349999999999994</v>
      </c>
      <c r="H4533">
        <v>661.25</v>
      </c>
      <c r="I4533" t="s">
        <v>16</v>
      </c>
      <c r="J4533" t="s">
        <v>16</v>
      </c>
      <c r="K4533" t="s">
        <v>24</v>
      </c>
      <c r="L4533">
        <v>661.25</v>
      </c>
      <c r="M4533" t="s">
        <v>5030</v>
      </c>
      <c r="N4533" t="s">
        <v>5031</v>
      </c>
    </row>
    <row r="4534" spans="1:14" x14ac:dyDescent="0.3">
      <c r="A4534" t="s">
        <v>4558</v>
      </c>
      <c r="B4534" t="s">
        <v>12</v>
      </c>
      <c r="C4534" t="s">
        <v>13</v>
      </c>
      <c r="D4534">
        <v>15</v>
      </c>
      <c r="E4534" t="s">
        <v>26</v>
      </c>
      <c r="F4534" t="s">
        <v>15</v>
      </c>
      <c r="G4534">
        <v>79.75</v>
      </c>
      <c r="H4534">
        <v>1111.8499999999999</v>
      </c>
      <c r="I4534" t="s">
        <v>16</v>
      </c>
      <c r="J4534" t="s">
        <v>16</v>
      </c>
      <c r="K4534" t="s">
        <v>17</v>
      </c>
      <c r="L4534">
        <v>1111.8499999999999</v>
      </c>
      <c r="M4534" t="s">
        <v>5032</v>
      </c>
      <c r="N4534" t="s">
        <v>5031</v>
      </c>
    </row>
    <row r="4535" spans="1:14" x14ac:dyDescent="0.3">
      <c r="A4535" t="s">
        <v>4559</v>
      </c>
      <c r="B4535" t="s">
        <v>12</v>
      </c>
      <c r="C4535" t="s">
        <v>35</v>
      </c>
      <c r="D4535">
        <v>71</v>
      </c>
      <c r="E4535" t="s">
        <v>26</v>
      </c>
      <c r="F4535" t="s">
        <v>15</v>
      </c>
      <c r="G4535">
        <v>105.15</v>
      </c>
      <c r="H4535">
        <v>7555</v>
      </c>
      <c r="I4535" t="s">
        <v>15</v>
      </c>
      <c r="J4535" t="s">
        <v>16</v>
      </c>
      <c r="K4535" t="s">
        <v>24</v>
      </c>
      <c r="L4535">
        <v>7555</v>
      </c>
      <c r="M4535" t="s">
        <v>5033</v>
      </c>
      <c r="N4535" t="s">
        <v>5034</v>
      </c>
    </row>
    <row r="4536" spans="1:14" x14ac:dyDescent="0.3">
      <c r="A4536" t="s">
        <v>4560</v>
      </c>
      <c r="B4536" t="s">
        <v>19</v>
      </c>
      <c r="C4536" t="s">
        <v>13</v>
      </c>
      <c r="D4536">
        <v>1</v>
      </c>
      <c r="E4536" t="s">
        <v>14</v>
      </c>
      <c r="F4536" t="s">
        <v>16</v>
      </c>
      <c r="G4536">
        <v>49</v>
      </c>
      <c r="H4536">
        <v>49</v>
      </c>
      <c r="I4536" t="s">
        <v>15</v>
      </c>
      <c r="J4536" t="s">
        <v>15</v>
      </c>
      <c r="K4536" t="s">
        <v>29</v>
      </c>
      <c r="L4536">
        <v>49</v>
      </c>
      <c r="M4536" t="s">
        <v>5030</v>
      </c>
      <c r="N4536" t="s">
        <v>5031</v>
      </c>
    </row>
    <row r="4537" spans="1:14" x14ac:dyDescent="0.3">
      <c r="A4537" t="s">
        <v>4561</v>
      </c>
      <c r="B4537" t="s">
        <v>12</v>
      </c>
      <c r="C4537" t="s">
        <v>13</v>
      </c>
      <c r="D4537">
        <v>30</v>
      </c>
      <c r="E4537" t="s">
        <v>26</v>
      </c>
      <c r="F4537" t="s">
        <v>15</v>
      </c>
      <c r="G4537">
        <v>100.05</v>
      </c>
      <c r="H4537">
        <v>3046.15</v>
      </c>
      <c r="I4537" t="s">
        <v>16</v>
      </c>
      <c r="J4537" t="s">
        <v>16</v>
      </c>
      <c r="K4537" t="s">
        <v>17</v>
      </c>
      <c r="L4537">
        <v>3046.15</v>
      </c>
      <c r="M4537" t="s">
        <v>5032</v>
      </c>
      <c r="N4537" t="s">
        <v>5034</v>
      </c>
    </row>
    <row r="4538" spans="1:14" x14ac:dyDescent="0.3">
      <c r="A4538" t="s">
        <v>4562</v>
      </c>
      <c r="B4538" t="s">
        <v>19</v>
      </c>
      <c r="C4538" t="s">
        <v>13</v>
      </c>
      <c r="D4538">
        <v>1</v>
      </c>
      <c r="E4538" t="s">
        <v>26</v>
      </c>
      <c r="F4538" t="s">
        <v>15</v>
      </c>
      <c r="G4538">
        <v>69.349999999999994</v>
      </c>
      <c r="H4538">
        <v>69.349999999999994</v>
      </c>
      <c r="I4538" t="s">
        <v>16</v>
      </c>
      <c r="J4538" t="s">
        <v>16</v>
      </c>
      <c r="K4538" t="s">
        <v>17</v>
      </c>
      <c r="L4538">
        <v>69.349999999999994</v>
      </c>
      <c r="M4538" t="s">
        <v>5030</v>
      </c>
      <c r="N4538" t="s">
        <v>5031</v>
      </c>
    </row>
    <row r="4539" spans="1:14" x14ac:dyDescent="0.3">
      <c r="A4539" t="s">
        <v>4563</v>
      </c>
      <c r="B4539" t="s">
        <v>19</v>
      </c>
      <c r="C4539" t="s">
        <v>13</v>
      </c>
      <c r="D4539">
        <v>17</v>
      </c>
      <c r="E4539" t="s">
        <v>14</v>
      </c>
      <c r="F4539" t="s">
        <v>15</v>
      </c>
      <c r="G4539">
        <v>49.8</v>
      </c>
      <c r="H4539">
        <v>836.35</v>
      </c>
      <c r="I4539" t="s">
        <v>15</v>
      </c>
      <c r="J4539" t="s">
        <v>16</v>
      </c>
      <c r="K4539" t="s">
        <v>21</v>
      </c>
      <c r="L4539">
        <v>836.35</v>
      </c>
      <c r="M4539" t="s">
        <v>5032</v>
      </c>
      <c r="N4539" t="s">
        <v>5031</v>
      </c>
    </row>
    <row r="4540" spans="1:14" x14ac:dyDescent="0.3">
      <c r="A4540" t="s">
        <v>4564</v>
      </c>
      <c r="B4540" t="s">
        <v>12</v>
      </c>
      <c r="C4540" t="s">
        <v>13</v>
      </c>
      <c r="D4540">
        <v>3</v>
      </c>
      <c r="E4540" t="s">
        <v>26</v>
      </c>
      <c r="F4540" t="s">
        <v>16</v>
      </c>
      <c r="G4540">
        <v>85.8</v>
      </c>
      <c r="H4540">
        <v>272.2</v>
      </c>
      <c r="I4540" t="s">
        <v>16</v>
      </c>
      <c r="J4540" t="s">
        <v>15</v>
      </c>
      <c r="K4540" t="s">
        <v>17</v>
      </c>
      <c r="L4540">
        <v>272.2</v>
      </c>
      <c r="M4540" t="s">
        <v>5030</v>
      </c>
      <c r="N4540" t="s">
        <v>5031</v>
      </c>
    </row>
    <row r="4541" spans="1:14" x14ac:dyDescent="0.3">
      <c r="A4541" t="s">
        <v>4565</v>
      </c>
      <c r="B4541" t="s">
        <v>19</v>
      </c>
      <c r="C4541" t="s">
        <v>35</v>
      </c>
      <c r="D4541">
        <v>67</v>
      </c>
      <c r="E4541" t="s">
        <v>14</v>
      </c>
      <c r="F4541" t="s">
        <v>15</v>
      </c>
      <c r="G4541">
        <v>79.7</v>
      </c>
      <c r="H4541">
        <v>5293.4</v>
      </c>
      <c r="I4541" t="s">
        <v>16</v>
      </c>
      <c r="J4541" t="s">
        <v>16</v>
      </c>
      <c r="K4541" t="s">
        <v>17</v>
      </c>
      <c r="L4541">
        <v>5293.4</v>
      </c>
      <c r="M4541" t="s">
        <v>5033</v>
      </c>
      <c r="N4541" t="s">
        <v>5034</v>
      </c>
    </row>
    <row r="4542" spans="1:14" x14ac:dyDescent="0.3">
      <c r="A4542" t="s">
        <v>4566</v>
      </c>
      <c r="B4542" t="s">
        <v>19</v>
      </c>
      <c r="C4542" t="s">
        <v>13</v>
      </c>
      <c r="D4542">
        <v>1</v>
      </c>
      <c r="E4542" t="s">
        <v>15</v>
      </c>
      <c r="F4542" t="s">
        <v>36</v>
      </c>
      <c r="G4542">
        <v>20.95</v>
      </c>
      <c r="H4542">
        <v>20.95</v>
      </c>
      <c r="I4542" t="s">
        <v>15</v>
      </c>
      <c r="J4542" t="s">
        <v>15</v>
      </c>
      <c r="K4542" t="s">
        <v>24</v>
      </c>
      <c r="L4542">
        <v>20.95</v>
      </c>
      <c r="M4542" t="s">
        <v>5030</v>
      </c>
      <c r="N4542" t="s">
        <v>5031</v>
      </c>
    </row>
    <row r="4543" spans="1:14" x14ac:dyDescent="0.3">
      <c r="A4543" t="s">
        <v>4567</v>
      </c>
      <c r="B4543" t="s">
        <v>12</v>
      </c>
      <c r="C4543" t="s">
        <v>13</v>
      </c>
      <c r="D4543">
        <v>1</v>
      </c>
      <c r="E4543" t="s">
        <v>14</v>
      </c>
      <c r="F4543" t="s">
        <v>15</v>
      </c>
      <c r="G4543">
        <v>50.55</v>
      </c>
      <c r="H4543">
        <v>50.55</v>
      </c>
      <c r="I4543" t="s">
        <v>16</v>
      </c>
      <c r="J4543" t="s">
        <v>15</v>
      </c>
      <c r="K4543" t="s">
        <v>21</v>
      </c>
      <c r="L4543">
        <v>50.55</v>
      </c>
      <c r="M4543" t="s">
        <v>5030</v>
      </c>
      <c r="N4543" t="s">
        <v>5031</v>
      </c>
    </row>
    <row r="4544" spans="1:14" x14ac:dyDescent="0.3">
      <c r="A4544" t="s">
        <v>4568</v>
      </c>
      <c r="B4544" t="s">
        <v>12</v>
      </c>
      <c r="C4544" t="s">
        <v>13</v>
      </c>
      <c r="D4544">
        <v>32</v>
      </c>
      <c r="E4544" t="s">
        <v>26</v>
      </c>
      <c r="F4544" t="s">
        <v>15</v>
      </c>
      <c r="G4544">
        <v>79.3</v>
      </c>
      <c r="H4544">
        <v>2570</v>
      </c>
      <c r="I4544" t="s">
        <v>15</v>
      </c>
      <c r="J4544" t="s">
        <v>15</v>
      </c>
      <c r="K4544" t="s">
        <v>21</v>
      </c>
      <c r="L4544">
        <v>2570</v>
      </c>
      <c r="M4544" t="s">
        <v>5032</v>
      </c>
      <c r="N4544" t="s">
        <v>5034</v>
      </c>
    </row>
    <row r="4545" spans="1:14" x14ac:dyDescent="0.3">
      <c r="A4545" t="s">
        <v>4569</v>
      </c>
      <c r="B4545" t="s">
        <v>19</v>
      </c>
      <c r="C4545" t="s">
        <v>20</v>
      </c>
      <c r="D4545">
        <v>41</v>
      </c>
      <c r="E4545" t="s">
        <v>15</v>
      </c>
      <c r="F4545" t="s">
        <v>36</v>
      </c>
      <c r="G4545">
        <v>19.5</v>
      </c>
      <c r="H4545">
        <v>798.2</v>
      </c>
      <c r="I4545" t="s">
        <v>15</v>
      </c>
      <c r="J4545" t="s">
        <v>15</v>
      </c>
      <c r="K4545" t="s">
        <v>24</v>
      </c>
      <c r="L4545">
        <v>798.2</v>
      </c>
      <c r="M4545" t="s">
        <v>5033</v>
      </c>
      <c r="N4545" t="s">
        <v>5031</v>
      </c>
    </row>
    <row r="4546" spans="1:14" x14ac:dyDescent="0.3">
      <c r="A4546" t="s">
        <v>4570</v>
      </c>
      <c r="B4546" t="s">
        <v>19</v>
      </c>
      <c r="C4546" t="s">
        <v>13</v>
      </c>
      <c r="D4546">
        <v>1</v>
      </c>
      <c r="E4546" t="s">
        <v>26</v>
      </c>
      <c r="F4546" t="s">
        <v>15</v>
      </c>
      <c r="G4546">
        <v>80.55</v>
      </c>
      <c r="H4546">
        <v>80.55</v>
      </c>
      <c r="I4546" t="s">
        <v>16</v>
      </c>
      <c r="J4546" t="s">
        <v>16</v>
      </c>
      <c r="K4546" t="s">
        <v>17</v>
      </c>
      <c r="L4546">
        <v>80.55</v>
      </c>
      <c r="M4546" t="s">
        <v>5030</v>
      </c>
      <c r="N4546" t="s">
        <v>5031</v>
      </c>
    </row>
    <row r="4547" spans="1:14" x14ac:dyDescent="0.3">
      <c r="A4547" t="s">
        <v>4571</v>
      </c>
      <c r="B4547" t="s">
        <v>12</v>
      </c>
      <c r="C4547" t="s">
        <v>13</v>
      </c>
      <c r="D4547">
        <v>1</v>
      </c>
      <c r="E4547" t="s">
        <v>14</v>
      </c>
      <c r="F4547" t="s">
        <v>15</v>
      </c>
      <c r="G4547">
        <v>44.15</v>
      </c>
      <c r="H4547">
        <v>44.15</v>
      </c>
      <c r="I4547" t="s">
        <v>15</v>
      </c>
      <c r="J4547" t="s">
        <v>15</v>
      </c>
      <c r="K4547" t="s">
        <v>24</v>
      </c>
      <c r="L4547">
        <v>44.15</v>
      </c>
      <c r="M4547" t="s">
        <v>5030</v>
      </c>
      <c r="N4547" t="s">
        <v>5031</v>
      </c>
    </row>
    <row r="4548" spans="1:14" x14ac:dyDescent="0.3">
      <c r="A4548" t="s">
        <v>4572</v>
      </c>
      <c r="B4548" t="s">
        <v>12</v>
      </c>
      <c r="C4548" t="s">
        <v>13</v>
      </c>
      <c r="D4548">
        <v>12</v>
      </c>
      <c r="E4548" t="s">
        <v>26</v>
      </c>
      <c r="F4548" t="s">
        <v>15</v>
      </c>
      <c r="G4548">
        <v>84.5</v>
      </c>
      <c r="H4548">
        <v>916.9</v>
      </c>
      <c r="I4548" t="s">
        <v>16</v>
      </c>
      <c r="J4548" t="s">
        <v>16</v>
      </c>
      <c r="K4548" t="s">
        <v>17</v>
      </c>
      <c r="L4548">
        <v>916.9</v>
      </c>
      <c r="M4548" t="s">
        <v>5030</v>
      </c>
      <c r="N4548" t="s">
        <v>5031</v>
      </c>
    </row>
    <row r="4549" spans="1:14" x14ac:dyDescent="0.3">
      <c r="A4549" t="s">
        <v>4573</v>
      </c>
      <c r="B4549" t="s">
        <v>19</v>
      </c>
      <c r="C4549" t="s">
        <v>13</v>
      </c>
      <c r="D4549">
        <v>62</v>
      </c>
      <c r="E4549" t="s">
        <v>26</v>
      </c>
      <c r="F4549" t="s">
        <v>15</v>
      </c>
      <c r="G4549">
        <v>105.5</v>
      </c>
      <c r="H4549">
        <v>6487.2</v>
      </c>
      <c r="I4549" t="s">
        <v>15</v>
      </c>
      <c r="J4549" t="s">
        <v>16</v>
      </c>
      <c r="K4549" t="s">
        <v>17</v>
      </c>
      <c r="L4549">
        <v>6487.2</v>
      </c>
      <c r="M4549" t="s">
        <v>5033</v>
      </c>
      <c r="N4549" t="s">
        <v>5034</v>
      </c>
    </row>
    <row r="4550" spans="1:14" x14ac:dyDescent="0.3">
      <c r="A4550" t="s">
        <v>4574</v>
      </c>
      <c r="B4550" t="s">
        <v>12</v>
      </c>
      <c r="C4550" t="s">
        <v>13</v>
      </c>
      <c r="D4550">
        <v>22</v>
      </c>
      <c r="E4550" t="s">
        <v>26</v>
      </c>
      <c r="F4550" t="s">
        <v>15</v>
      </c>
      <c r="G4550">
        <v>84.3</v>
      </c>
      <c r="H4550">
        <v>1855.65</v>
      </c>
      <c r="I4550" t="s">
        <v>16</v>
      </c>
      <c r="J4550" t="s">
        <v>16</v>
      </c>
      <c r="K4550" t="s">
        <v>21</v>
      </c>
      <c r="L4550">
        <v>1855.65</v>
      </c>
      <c r="M4550" t="s">
        <v>5032</v>
      </c>
      <c r="N4550" t="s">
        <v>5031</v>
      </c>
    </row>
    <row r="4551" spans="1:14" x14ac:dyDescent="0.3">
      <c r="A4551" t="s">
        <v>4575</v>
      </c>
      <c r="B4551" t="s">
        <v>12</v>
      </c>
      <c r="C4551" t="s">
        <v>13</v>
      </c>
      <c r="D4551">
        <v>17</v>
      </c>
      <c r="E4551" t="s">
        <v>26</v>
      </c>
      <c r="F4551" t="s">
        <v>16</v>
      </c>
      <c r="G4551">
        <v>92.7</v>
      </c>
      <c r="H4551">
        <v>1556.85</v>
      </c>
      <c r="I4551" t="s">
        <v>15</v>
      </c>
      <c r="J4551" t="s">
        <v>16</v>
      </c>
      <c r="K4551" t="s">
        <v>29</v>
      </c>
      <c r="L4551">
        <v>1556.85</v>
      </c>
      <c r="M4551" t="s">
        <v>5032</v>
      </c>
      <c r="N4551" t="s">
        <v>5031</v>
      </c>
    </row>
    <row r="4552" spans="1:14" x14ac:dyDescent="0.3">
      <c r="A4552" t="s">
        <v>4576</v>
      </c>
      <c r="B4552" t="s">
        <v>12</v>
      </c>
      <c r="C4552" t="s">
        <v>35</v>
      </c>
      <c r="D4552">
        <v>72</v>
      </c>
      <c r="E4552" t="s">
        <v>15</v>
      </c>
      <c r="F4552" t="s">
        <v>36</v>
      </c>
      <c r="G4552">
        <v>26.25</v>
      </c>
      <c r="H4552">
        <v>1988.05</v>
      </c>
      <c r="I4552" t="s">
        <v>15</v>
      </c>
      <c r="J4552" t="s">
        <v>16</v>
      </c>
      <c r="K4552" t="s">
        <v>24</v>
      </c>
      <c r="L4552">
        <v>1988.05</v>
      </c>
      <c r="M4552" t="s">
        <v>5033</v>
      </c>
      <c r="N4552" t="s">
        <v>5031</v>
      </c>
    </row>
    <row r="4553" spans="1:14" x14ac:dyDescent="0.3">
      <c r="A4553" t="s">
        <v>4577</v>
      </c>
      <c r="B4553" t="s">
        <v>19</v>
      </c>
      <c r="C4553" t="s">
        <v>13</v>
      </c>
      <c r="D4553">
        <v>56</v>
      </c>
      <c r="E4553" t="s">
        <v>26</v>
      </c>
      <c r="F4553" t="s">
        <v>16</v>
      </c>
      <c r="G4553">
        <v>96.95</v>
      </c>
      <c r="H4553">
        <v>5432.2</v>
      </c>
      <c r="I4553" t="s">
        <v>15</v>
      </c>
      <c r="J4553" t="s">
        <v>16</v>
      </c>
      <c r="K4553" t="s">
        <v>29</v>
      </c>
      <c r="L4553">
        <v>5432.2</v>
      </c>
      <c r="M4553" t="s">
        <v>5033</v>
      </c>
      <c r="N4553" t="s">
        <v>5034</v>
      </c>
    </row>
    <row r="4554" spans="1:14" x14ac:dyDescent="0.3">
      <c r="A4554" t="s">
        <v>4578</v>
      </c>
      <c r="B4554" t="s">
        <v>12</v>
      </c>
      <c r="C4554" t="s">
        <v>13</v>
      </c>
      <c r="D4554">
        <v>9</v>
      </c>
      <c r="E4554" t="s">
        <v>15</v>
      </c>
      <c r="F4554" t="s">
        <v>36</v>
      </c>
      <c r="G4554">
        <v>20.45</v>
      </c>
      <c r="H4554">
        <v>147.55000000000001</v>
      </c>
      <c r="I4554" t="s">
        <v>15</v>
      </c>
      <c r="J4554" t="s">
        <v>16</v>
      </c>
      <c r="K4554" t="s">
        <v>29</v>
      </c>
      <c r="L4554">
        <v>147.55000000000001</v>
      </c>
      <c r="M4554" t="s">
        <v>5030</v>
      </c>
      <c r="N4554" t="s">
        <v>5031</v>
      </c>
    </row>
    <row r="4555" spans="1:14" x14ac:dyDescent="0.3">
      <c r="A4555" t="s">
        <v>4579</v>
      </c>
      <c r="B4555" t="s">
        <v>19</v>
      </c>
      <c r="C4555" t="s">
        <v>35</v>
      </c>
      <c r="D4555">
        <v>72</v>
      </c>
      <c r="E4555" t="s">
        <v>26</v>
      </c>
      <c r="F4555" t="s">
        <v>16</v>
      </c>
      <c r="G4555">
        <v>115.8</v>
      </c>
      <c r="H4555">
        <v>8424.9</v>
      </c>
      <c r="I4555" t="s">
        <v>15</v>
      </c>
      <c r="J4555" t="s">
        <v>16</v>
      </c>
      <c r="K4555" t="s">
        <v>24</v>
      </c>
      <c r="L4555">
        <v>8424.9</v>
      </c>
      <c r="M4555" t="s">
        <v>5033</v>
      </c>
      <c r="N4555" t="s">
        <v>5034</v>
      </c>
    </row>
    <row r="4556" spans="1:14" x14ac:dyDescent="0.3">
      <c r="A4556" t="s">
        <v>4580</v>
      </c>
      <c r="B4556" t="s">
        <v>19</v>
      </c>
      <c r="C4556" t="s">
        <v>13</v>
      </c>
      <c r="D4556">
        <v>20</v>
      </c>
      <c r="E4556" t="s">
        <v>26</v>
      </c>
      <c r="F4556" t="s">
        <v>16</v>
      </c>
      <c r="G4556">
        <v>108.2</v>
      </c>
      <c r="H4556">
        <v>2203.6999999999998</v>
      </c>
      <c r="I4556" t="s">
        <v>15</v>
      </c>
      <c r="J4556" t="s">
        <v>16</v>
      </c>
      <c r="K4556" t="s">
        <v>24</v>
      </c>
      <c r="L4556">
        <v>2203.6999999999998</v>
      </c>
      <c r="M4556" t="s">
        <v>5032</v>
      </c>
      <c r="N4556" t="s">
        <v>5031</v>
      </c>
    </row>
    <row r="4557" spans="1:14" x14ac:dyDescent="0.3">
      <c r="A4557" t="s">
        <v>4581</v>
      </c>
      <c r="B4557" t="s">
        <v>19</v>
      </c>
      <c r="C4557" t="s">
        <v>35</v>
      </c>
      <c r="D4557">
        <v>19</v>
      </c>
      <c r="E4557" t="s">
        <v>15</v>
      </c>
      <c r="F4557" t="s">
        <v>36</v>
      </c>
      <c r="G4557">
        <v>20.2</v>
      </c>
      <c r="H4557">
        <v>387.4</v>
      </c>
      <c r="I4557" t="s">
        <v>15</v>
      </c>
      <c r="J4557" t="s">
        <v>15</v>
      </c>
      <c r="K4557" t="s">
        <v>21</v>
      </c>
      <c r="L4557">
        <v>387.4</v>
      </c>
      <c r="M4557" t="s">
        <v>5032</v>
      </c>
      <c r="N4557" t="s">
        <v>5031</v>
      </c>
    </row>
    <row r="4558" spans="1:14" x14ac:dyDescent="0.3">
      <c r="A4558" t="s">
        <v>4582</v>
      </c>
      <c r="B4558" t="s">
        <v>19</v>
      </c>
      <c r="C4558" t="s">
        <v>13</v>
      </c>
      <c r="D4558">
        <v>2</v>
      </c>
      <c r="E4558" t="s">
        <v>26</v>
      </c>
      <c r="F4558" t="s">
        <v>15</v>
      </c>
      <c r="G4558">
        <v>67.75</v>
      </c>
      <c r="H4558">
        <v>116.65</v>
      </c>
      <c r="I4558" t="s">
        <v>16</v>
      </c>
      <c r="J4558" t="s">
        <v>16</v>
      </c>
      <c r="K4558" t="s">
        <v>17</v>
      </c>
      <c r="L4558">
        <v>116.65</v>
      </c>
      <c r="M4558" t="s">
        <v>5030</v>
      </c>
      <c r="N4558" t="s">
        <v>5031</v>
      </c>
    </row>
    <row r="4559" spans="1:14" x14ac:dyDescent="0.3">
      <c r="A4559" t="s">
        <v>4583</v>
      </c>
      <c r="B4559" t="s">
        <v>19</v>
      </c>
      <c r="C4559" t="s">
        <v>20</v>
      </c>
      <c r="D4559">
        <v>53</v>
      </c>
      <c r="E4559" t="s">
        <v>14</v>
      </c>
      <c r="F4559" t="s">
        <v>16</v>
      </c>
      <c r="G4559">
        <v>54.9</v>
      </c>
      <c r="H4559">
        <v>3045.75</v>
      </c>
      <c r="I4559" t="s">
        <v>15</v>
      </c>
      <c r="J4559" t="s">
        <v>15</v>
      </c>
      <c r="K4559" t="s">
        <v>29</v>
      </c>
      <c r="L4559">
        <v>3045.75</v>
      </c>
      <c r="M4559" t="s">
        <v>5033</v>
      </c>
      <c r="N4559" t="s">
        <v>5034</v>
      </c>
    </row>
    <row r="4560" spans="1:14" x14ac:dyDescent="0.3">
      <c r="A4560" t="s">
        <v>4584</v>
      </c>
      <c r="B4560" t="s">
        <v>12</v>
      </c>
      <c r="C4560" t="s">
        <v>13</v>
      </c>
      <c r="D4560">
        <v>27</v>
      </c>
      <c r="E4560" t="s">
        <v>26</v>
      </c>
      <c r="F4560" t="s">
        <v>15</v>
      </c>
      <c r="G4560">
        <v>85.25</v>
      </c>
      <c r="H4560">
        <v>2287.25</v>
      </c>
      <c r="I4560" t="s">
        <v>16</v>
      </c>
      <c r="J4560" t="s">
        <v>16</v>
      </c>
      <c r="K4560" t="s">
        <v>17</v>
      </c>
      <c r="L4560">
        <v>2287.25</v>
      </c>
      <c r="M4560" t="s">
        <v>5032</v>
      </c>
      <c r="N4560" t="s">
        <v>5031</v>
      </c>
    </row>
    <row r="4561" spans="1:14" x14ac:dyDescent="0.3">
      <c r="A4561" t="s">
        <v>4585</v>
      </c>
      <c r="B4561" t="s">
        <v>19</v>
      </c>
      <c r="C4561" t="s">
        <v>13</v>
      </c>
      <c r="D4561">
        <v>6</v>
      </c>
      <c r="E4561" t="s">
        <v>15</v>
      </c>
      <c r="F4561" t="s">
        <v>36</v>
      </c>
      <c r="G4561">
        <v>20.149999999999999</v>
      </c>
      <c r="H4561">
        <v>130.5</v>
      </c>
      <c r="I4561" t="s">
        <v>15</v>
      </c>
      <c r="J4561" t="s">
        <v>15</v>
      </c>
      <c r="K4561" t="s">
        <v>24</v>
      </c>
      <c r="L4561">
        <v>130.5</v>
      </c>
      <c r="M4561" t="s">
        <v>5030</v>
      </c>
      <c r="N4561" t="s">
        <v>5031</v>
      </c>
    </row>
    <row r="4562" spans="1:14" x14ac:dyDescent="0.3">
      <c r="A4562" t="s">
        <v>4586</v>
      </c>
      <c r="B4562" t="s">
        <v>19</v>
      </c>
      <c r="C4562" t="s">
        <v>20</v>
      </c>
      <c r="D4562">
        <v>9</v>
      </c>
      <c r="E4562" t="s">
        <v>26</v>
      </c>
      <c r="F4562" t="s">
        <v>15</v>
      </c>
      <c r="G4562">
        <v>90.35</v>
      </c>
      <c r="H4562">
        <v>767.9</v>
      </c>
      <c r="I4562" t="s">
        <v>15</v>
      </c>
      <c r="J4562" t="s">
        <v>16</v>
      </c>
      <c r="K4562" t="s">
        <v>17</v>
      </c>
      <c r="L4562">
        <v>767.9</v>
      </c>
      <c r="M4562" t="s">
        <v>5030</v>
      </c>
      <c r="N4562" t="s">
        <v>5031</v>
      </c>
    </row>
    <row r="4563" spans="1:14" x14ac:dyDescent="0.3">
      <c r="A4563" t="s">
        <v>4587</v>
      </c>
      <c r="B4563" t="s">
        <v>12</v>
      </c>
      <c r="C4563" t="s">
        <v>13</v>
      </c>
      <c r="D4563">
        <v>8</v>
      </c>
      <c r="E4563" t="s">
        <v>14</v>
      </c>
      <c r="F4563" t="s">
        <v>15</v>
      </c>
      <c r="G4563">
        <v>55.75</v>
      </c>
      <c r="H4563">
        <v>446.8</v>
      </c>
      <c r="I4563" t="s">
        <v>15</v>
      </c>
      <c r="J4563" t="s">
        <v>15</v>
      </c>
      <c r="K4563" t="s">
        <v>17</v>
      </c>
      <c r="L4563">
        <v>446.8</v>
      </c>
      <c r="M4563" t="s">
        <v>5030</v>
      </c>
      <c r="N4563" t="s">
        <v>5031</v>
      </c>
    </row>
    <row r="4564" spans="1:14" x14ac:dyDescent="0.3">
      <c r="A4564" t="s">
        <v>4588</v>
      </c>
      <c r="B4564" t="s">
        <v>12</v>
      </c>
      <c r="C4564" t="s">
        <v>35</v>
      </c>
      <c r="D4564">
        <v>71</v>
      </c>
      <c r="E4564" t="s">
        <v>26</v>
      </c>
      <c r="F4564" t="s">
        <v>16</v>
      </c>
      <c r="G4564">
        <v>114.6</v>
      </c>
      <c r="H4564">
        <v>8100.25</v>
      </c>
      <c r="I4564" t="s">
        <v>15</v>
      </c>
      <c r="J4564" t="s">
        <v>15</v>
      </c>
      <c r="K4564" t="s">
        <v>24</v>
      </c>
      <c r="L4564">
        <v>8100.25</v>
      </c>
      <c r="M4564" t="s">
        <v>5033</v>
      </c>
      <c r="N4564" t="s">
        <v>5034</v>
      </c>
    </row>
    <row r="4565" spans="1:14" x14ac:dyDescent="0.3">
      <c r="A4565" t="s">
        <v>4589</v>
      </c>
      <c r="B4565" t="s">
        <v>12</v>
      </c>
      <c r="C4565" t="s">
        <v>13</v>
      </c>
      <c r="D4565">
        <v>10</v>
      </c>
      <c r="E4565" t="s">
        <v>26</v>
      </c>
      <c r="F4565" t="s">
        <v>15</v>
      </c>
      <c r="G4565">
        <v>80.05</v>
      </c>
      <c r="H4565">
        <v>830.7</v>
      </c>
      <c r="I4565" t="s">
        <v>16</v>
      </c>
      <c r="J4565" t="s">
        <v>16</v>
      </c>
      <c r="K4565" t="s">
        <v>24</v>
      </c>
      <c r="L4565">
        <v>830.7</v>
      </c>
      <c r="M4565" t="s">
        <v>5030</v>
      </c>
      <c r="N4565" t="s">
        <v>5031</v>
      </c>
    </row>
    <row r="4566" spans="1:14" x14ac:dyDescent="0.3">
      <c r="A4566" t="s">
        <v>4590</v>
      </c>
      <c r="B4566" t="s">
        <v>19</v>
      </c>
      <c r="C4566" t="s">
        <v>13</v>
      </c>
      <c r="D4566">
        <v>1</v>
      </c>
      <c r="E4566" t="s">
        <v>15</v>
      </c>
      <c r="F4566" t="s">
        <v>36</v>
      </c>
      <c r="G4566">
        <v>20</v>
      </c>
      <c r="H4566">
        <v>20</v>
      </c>
      <c r="I4566" t="s">
        <v>16</v>
      </c>
      <c r="J4566" t="s">
        <v>15</v>
      </c>
      <c r="K4566" t="s">
        <v>21</v>
      </c>
      <c r="L4566">
        <v>20</v>
      </c>
      <c r="M4566" t="s">
        <v>5030</v>
      </c>
      <c r="N4566" t="s">
        <v>5031</v>
      </c>
    </row>
    <row r="4567" spans="1:14" x14ac:dyDescent="0.3">
      <c r="A4567" t="s">
        <v>4591</v>
      </c>
      <c r="B4567" t="s">
        <v>12</v>
      </c>
      <c r="C4567" t="s">
        <v>20</v>
      </c>
      <c r="D4567">
        <v>71</v>
      </c>
      <c r="E4567" t="s">
        <v>14</v>
      </c>
      <c r="F4567" t="s">
        <v>16</v>
      </c>
      <c r="G4567">
        <v>66.8</v>
      </c>
      <c r="H4567">
        <v>4689.1499999999996</v>
      </c>
      <c r="I4567" t="s">
        <v>15</v>
      </c>
      <c r="J4567" t="s">
        <v>15</v>
      </c>
      <c r="K4567" t="s">
        <v>24</v>
      </c>
      <c r="L4567">
        <v>4689.1499999999996</v>
      </c>
      <c r="M4567" t="s">
        <v>5033</v>
      </c>
      <c r="N4567" t="s">
        <v>5034</v>
      </c>
    </row>
    <row r="4568" spans="1:14" x14ac:dyDescent="0.3">
      <c r="A4568" t="s">
        <v>4592</v>
      </c>
      <c r="B4568" t="s">
        <v>19</v>
      </c>
      <c r="C4568" t="s">
        <v>20</v>
      </c>
      <c r="D4568">
        <v>68</v>
      </c>
      <c r="E4568" t="s">
        <v>26</v>
      </c>
      <c r="F4568" t="s">
        <v>16</v>
      </c>
      <c r="G4568">
        <v>100.3</v>
      </c>
      <c r="H4568">
        <v>6754.35</v>
      </c>
      <c r="I4568" t="s">
        <v>15</v>
      </c>
      <c r="J4568" t="s">
        <v>16</v>
      </c>
      <c r="K4568" t="s">
        <v>17</v>
      </c>
      <c r="L4568">
        <v>6754.35</v>
      </c>
      <c r="M4568" t="s">
        <v>5033</v>
      </c>
      <c r="N4568" t="s">
        <v>5034</v>
      </c>
    </row>
    <row r="4569" spans="1:14" x14ac:dyDescent="0.3">
      <c r="A4569" t="s">
        <v>4593</v>
      </c>
      <c r="B4569" t="s">
        <v>19</v>
      </c>
      <c r="C4569" t="s">
        <v>13</v>
      </c>
      <c r="D4569">
        <v>34</v>
      </c>
      <c r="E4569" t="s">
        <v>26</v>
      </c>
      <c r="F4569" t="s">
        <v>16</v>
      </c>
      <c r="G4569">
        <v>105.35</v>
      </c>
      <c r="H4569">
        <v>3540.65</v>
      </c>
      <c r="I4569" t="s">
        <v>15</v>
      </c>
      <c r="J4569" t="s">
        <v>16</v>
      </c>
      <c r="K4569" t="s">
        <v>17</v>
      </c>
      <c r="L4569">
        <v>3540.65</v>
      </c>
      <c r="M4569" t="s">
        <v>5032</v>
      </c>
      <c r="N4569" t="s">
        <v>5034</v>
      </c>
    </row>
    <row r="4570" spans="1:14" x14ac:dyDescent="0.3">
      <c r="A4570" t="s">
        <v>4594</v>
      </c>
      <c r="B4570" t="s">
        <v>19</v>
      </c>
      <c r="C4570" t="s">
        <v>20</v>
      </c>
      <c r="D4570">
        <v>26</v>
      </c>
      <c r="E4570" t="s">
        <v>26</v>
      </c>
      <c r="F4570" t="s">
        <v>16</v>
      </c>
      <c r="G4570">
        <v>85.2</v>
      </c>
      <c r="H4570">
        <v>2184.6</v>
      </c>
      <c r="I4570" t="s">
        <v>15</v>
      </c>
      <c r="J4570" t="s">
        <v>16</v>
      </c>
      <c r="K4570" t="s">
        <v>17</v>
      </c>
      <c r="L4570">
        <v>2184.6</v>
      </c>
      <c r="M4570" t="s">
        <v>5032</v>
      </c>
      <c r="N4570" t="s">
        <v>5031</v>
      </c>
    </row>
    <row r="4571" spans="1:14" x14ac:dyDescent="0.3">
      <c r="A4571" t="s">
        <v>4595</v>
      </c>
      <c r="B4571" t="s">
        <v>12</v>
      </c>
      <c r="C4571" t="s">
        <v>13</v>
      </c>
      <c r="D4571">
        <v>22</v>
      </c>
      <c r="E4571" t="s">
        <v>14</v>
      </c>
      <c r="F4571" t="s">
        <v>15</v>
      </c>
      <c r="G4571">
        <v>48.8</v>
      </c>
      <c r="H4571">
        <v>1054.5999999999999</v>
      </c>
      <c r="I4571" t="s">
        <v>16</v>
      </c>
      <c r="J4571" t="s">
        <v>16</v>
      </c>
      <c r="K4571" t="s">
        <v>29</v>
      </c>
      <c r="L4571">
        <v>1054.5999999999999</v>
      </c>
      <c r="M4571" t="s">
        <v>5032</v>
      </c>
      <c r="N4571" t="s">
        <v>5031</v>
      </c>
    </row>
    <row r="4572" spans="1:14" x14ac:dyDescent="0.3">
      <c r="A4572" t="s">
        <v>4596</v>
      </c>
      <c r="B4572" t="s">
        <v>19</v>
      </c>
      <c r="C4572" t="s">
        <v>13</v>
      </c>
      <c r="D4572">
        <v>7</v>
      </c>
      <c r="E4572" t="s">
        <v>15</v>
      </c>
      <c r="F4572" t="s">
        <v>36</v>
      </c>
      <c r="G4572">
        <v>18.95</v>
      </c>
      <c r="H4572">
        <v>130.55000000000001</v>
      </c>
      <c r="I4572" t="s">
        <v>15</v>
      </c>
      <c r="J4572" t="s">
        <v>16</v>
      </c>
      <c r="K4572" t="s">
        <v>21</v>
      </c>
      <c r="L4572">
        <v>130.55000000000001</v>
      </c>
      <c r="M4572" t="s">
        <v>5030</v>
      </c>
      <c r="N4572" t="s">
        <v>5031</v>
      </c>
    </row>
    <row r="4573" spans="1:14" x14ac:dyDescent="0.3">
      <c r="A4573" t="s">
        <v>4597</v>
      </c>
      <c r="B4573" t="s">
        <v>12</v>
      </c>
      <c r="C4573" t="s">
        <v>13</v>
      </c>
      <c r="D4573">
        <v>20</v>
      </c>
      <c r="E4573" t="s">
        <v>26</v>
      </c>
      <c r="F4573" t="s">
        <v>15</v>
      </c>
      <c r="G4573">
        <v>69.8</v>
      </c>
      <c r="H4573">
        <v>1540.35</v>
      </c>
      <c r="I4573" t="s">
        <v>15</v>
      </c>
      <c r="J4573" t="s">
        <v>16</v>
      </c>
      <c r="K4573" t="s">
        <v>24</v>
      </c>
      <c r="L4573">
        <v>1540.35</v>
      </c>
      <c r="M4573" t="s">
        <v>5032</v>
      </c>
      <c r="N4573" t="s">
        <v>5031</v>
      </c>
    </row>
    <row r="4574" spans="1:14" x14ac:dyDescent="0.3">
      <c r="A4574" t="s">
        <v>4598</v>
      </c>
      <c r="B4574" t="s">
        <v>12</v>
      </c>
      <c r="C4574" t="s">
        <v>13</v>
      </c>
      <c r="D4574">
        <v>60</v>
      </c>
      <c r="E4574" t="s">
        <v>26</v>
      </c>
      <c r="F4574" t="s">
        <v>15</v>
      </c>
      <c r="G4574">
        <v>106.15</v>
      </c>
      <c r="H4574">
        <v>6411.25</v>
      </c>
      <c r="I4574" t="s">
        <v>15</v>
      </c>
      <c r="J4574" t="s">
        <v>16</v>
      </c>
      <c r="K4574" t="s">
        <v>17</v>
      </c>
      <c r="L4574">
        <v>6411.25</v>
      </c>
      <c r="M4574" t="s">
        <v>5033</v>
      </c>
      <c r="N4574" t="s">
        <v>5034</v>
      </c>
    </row>
    <row r="4575" spans="1:14" x14ac:dyDescent="0.3">
      <c r="A4575" t="s">
        <v>4599</v>
      </c>
      <c r="B4575" t="s">
        <v>19</v>
      </c>
      <c r="C4575" t="s">
        <v>35</v>
      </c>
      <c r="D4575">
        <v>72</v>
      </c>
      <c r="E4575" t="s">
        <v>15</v>
      </c>
      <c r="F4575" t="s">
        <v>36</v>
      </c>
      <c r="G4575">
        <v>20.55</v>
      </c>
      <c r="H4575">
        <v>1432.55</v>
      </c>
      <c r="I4575" t="s">
        <v>15</v>
      </c>
      <c r="J4575" t="s">
        <v>15</v>
      </c>
      <c r="K4575" t="s">
        <v>17</v>
      </c>
      <c r="L4575">
        <v>1432.55</v>
      </c>
      <c r="M4575" t="s">
        <v>5033</v>
      </c>
      <c r="N4575" t="s">
        <v>5031</v>
      </c>
    </row>
    <row r="4576" spans="1:14" x14ac:dyDescent="0.3">
      <c r="A4576" t="s">
        <v>4600</v>
      </c>
      <c r="B4576" t="s">
        <v>12</v>
      </c>
      <c r="C4576" t="s">
        <v>20</v>
      </c>
      <c r="D4576">
        <v>72</v>
      </c>
      <c r="E4576" t="s">
        <v>26</v>
      </c>
      <c r="F4576" t="s">
        <v>15</v>
      </c>
      <c r="G4576">
        <v>105.75</v>
      </c>
      <c r="H4576">
        <v>7629.85</v>
      </c>
      <c r="I4576" t="s">
        <v>15</v>
      </c>
      <c r="J4576" t="s">
        <v>16</v>
      </c>
      <c r="K4576" t="s">
        <v>29</v>
      </c>
      <c r="L4576">
        <v>7629.85</v>
      </c>
      <c r="M4576" t="s">
        <v>5033</v>
      </c>
      <c r="N4576" t="s">
        <v>5034</v>
      </c>
    </row>
    <row r="4577" spans="1:14" x14ac:dyDescent="0.3">
      <c r="A4577" t="s">
        <v>4601</v>
      </c>
      <c r="B4577" t="s">
        <v>19</v>
      </c>
      <c r="C4577" t="s">
        <v>13</v>
      </c>
      <c r="D4577">
        <v>4</v>
      </c>
      <c r="E4577" t="s">
        <v>15</v>
      </c>
      <c r="F4577" t="s">
        <v>36</v>
      </c>
      <c r="G4577">
        <v>25.25</v>
      </c>
      <c r="H4577">
        <v>101.9</v>
      </c>
      <c r="I4577" t="s">
        <v>15</v>
      </c>
      <c r="J4577" t="s">
        <v>15</v>
      </c>
      <c r="K4577" t="s">
        <v>21</v>
      </c>
      <c r="L4577">
        <v>101.9</v>
      </c>
      <c r="M4577" t="s">
        <v>5030</v>
      </c>
      <c r="N4577" t="s">
        <v>5031</v>
      </c>
    </row>
    <row r="4578" spans="1:14" x14ac:dyDescent="0.3">
      <c r="A4578" t="s">
        <v>4602</v>
      </c>
      <c r="B4578" t="s">
        <v>19</v>
      </c>
      <c r="C4578" t="s">
        <v>13</v>
      </c>
      <c r="D4578">
        <v>16</v>
      </c>
      <c r="E4578" t="s">
        <v>15</v>
      </c>
      <c r="F4578" t="s">
        <v>36</v>
      </c>
      <c r="G4578">
        <v>19.75</v>
      </c>
      <c r="H4578">
        <v>313.39999999999998</v>
      </c>
      <c r="I4578" t="s">
        <v>15</v>
      </c>
      <c r="J4578" t="s">
        <v>15</v>
      </c>
      <c r="K4578" t="s">
        <v>17</v>
      </c>
      <c r="L4578">
        <v>313.39999999999998</v>
      </c>
      <c r="M4578" t="s">
        <v>5032</v>
      </c>
      <c r="N4578" t="s">
        <v>5031</v>
      </c>
    </row>
    <row r="4579" spans="1:14" x14ac:dyDescent="0.3">
      <c r="A4579" t="s">
        <v>4603</v>
      </c>
      <c r="B4579" t="s">
        <v>12</v>
      </c>
      <c r="C4579" t="s">
        <v>20</v>
      </c>
      <c r="D4579">
        <v>62</v>
      </c>
      <c r="E4579" t="s">
        <v>26</v>
      </c>
      <c r="F4579" t="s">
        <v>15</v>
      </c>
      <c r="G4579">
        <v>104.85</v>
      </c>
      <c r="H4579">
        <v>6312.9</v>
      </c>
      <c r="I4579" t="s">
        <v>15</v>
      </c>
      <c r="J4579" t="s">
        <v>16</v>
      </c>
      <c r="K4579" t="s">
        <v>17</v>
      </c>
      <c r="L4579">
        <v>6312.9</v>
      </c>
      <c r="M4579" t="s">
        <v>5033</v>
      </c>
      <c r="N4579" t="s">
        <v>5034</v>
      </c>
    </row>
    <row r="4580" spans="1:14" x14ac:dyDescent="0.3">
      <c r="A4580" t="s">
        <v>4604</v>
      </c>
      <c r="B4580" t="s">
        <v>12</v>
      </c>
      <c r="C4580" t="s">
        <v>13</v>
      </c>
      <c r="D4580">
        <v>10</v>
      </c>
      <c r="E4580" t="s">
        <v>14</v>
      </c>
      <c r="F4580" t="s">
        <v>16</v>
      </c>
      <c r="G4580">
        <v>60.95</v>
      </c>
      <c r="H4580">
        <v>629.54999999999995</v>
      </c>
      <c r="I4580" t="s">
        <v>15</v>
      </c>
      <c r="J4580" t="s">
        <v>16</v>
      </c>
      <c r="K4580" t="s">
        <v>21</v>
      </c>
      <c r="L4580">
        <v>629.54999999999995</v>
      </c>
      <c r="M4580" t="s">
        <v>5030</v>
      </c>
      <c r="N4580" t="s">
        <v>5031</v>
      </c>
    </row>
    <row r="4581" spans="1:14" x14ac:dyDescent="0.3">
      <c r="A4581" t="s">
        <v>4605</v>
      </c>
      <c r="B4581" t="s">
        <v>19</v>
      </c>
      <c r="C4581" t="s">
        <v>13</v>
      </c>
      <c r="D4581">
        <v>31</v>
      </c>
      <c r="E4581" t="s">
        <v>26</v>
      </c>
      <c r="F4581" t="s">
        <v>15</v>
      </c>
      <c r="G4581">
        <v>81.150000000000006</v>
      </c>
      <c r="H4581">
        <v>2640.55</v>
      </c>
      <c r="I4581" t="s">
        <v>15</v>
      </c>
      <c r="J4581" t="s">
        <v>16</v>
      </c>
      <c r="K4581" t="s">
        <v>17</v>
      </c>
      <c r="L4581">
        <v>2640.55</v>
      </c>
      <c r="M4581" t="s">
        <v>5032</v>
      </c>
      <c r="N4581" t="s">
        <v>5034</v>
      </c>
    </row>
    <row r="4582" spans="1:14" x14ac:dyDescent="0.3">
      <c r="A4582" t="s">
        <v>4606</v>
      </c>
      <c r="B4582" t="s">
        <v>12</v>
      </c>
      <c r="C4582" t="s">
        <v>35</v>
      </c>
      <c r="D4582">
        <v>71</v>
      </c>
      <c r="E4582" t="s">
        <v>15</v>
      </c>
      <c r="F4582" t="s">
        <v>36</v>
      </c>
      <c r="G4582">
        <v>19.100000000000001</v>
      </c>
      <c r="H4582">
        <v>1372.45</v>
      </c>
      <c r="I4582" t="s">
        <v>15</v>
      </c>
      <c r="J4582" t="s">
        <v>15</v>
      </c>
      <c r="K4582" t="s">
        <v>29</v>
      </c>
      <c r="L4582">
        <v>1372.45</v>
      </c>
      <c r="M4582" t="s">
        <v>5033</v>
      </c>
      <c r="N4582" t="s">
        <v>5031</v>
      </c>
    </row>
    <row r="4583" spans="1:14" x14ac:dyDescent="0.3">
      <c r="A4583" t="s">
        <v>4607</v>
      </c>
      <c r="B4583" t="s">
        <v>19</v>
      </c>
      <c r="C4583" t="s">
        <v>35</v>
      </c>
      <c r="D4583">
        <v>58</v>
      </c>
      <c r="E4583" t="s">
        <v>15</v>
      </c>
      <c r="F4583" t="s">
        <v>36</v>
      </c>
      <c r="G4583">
        <v>20.8</v>
      </c>
      <c r="H4583">
        <v>1212.25</v>
      </c>
      <c r="I4583" t="s">
        <v>15</v>
      </c>
      <c r="J4583" t="s">
        <v>15</v>
      </c>
      <c r="K4583" t="s">
        <v>21</v>
      </c>
      <c r="L4583">
        <v>1212.25</v>
      </c>
      <c r="M4583" t="s">
        <v>5033</v>
      </c>
      <c r="N4583" t="s">
        <v>5031</v>
      </c>
    </row>
    <row r="4584" spans="1:14" x14ac:dyDescent="0.3">
      <c r="A4584" t="s">
        <v>4608</v>
      </c>
      <c r="B4584" t="s">
        <v>19</v>
      </c>
      <c r="C4584" t="s">
        <v>35</v>
      </c>
      <c r="D4584">
        <v>70</v>
      </c>
      <c r="E4584" t="s">
        <v>14</v>
      </c>
      <c r="F4584" t="s">
        <v>16</v>
      </c>
      <c r="G4584">
        <v>90.15</v>
      </c>
      <c r="H4584">
        <v>6237.05</v>
      </c>
      <c r="I4584" t="s">
        <v>15</v>
      </c>
      <c r="J4584" t="s">
        <v>16</v>
      </c>
      <c r="K4584" t="s">
        <v>29</v>
      </c>
      <c r="L4584">
        <v>6237.05</v>
      </c>
      <c r="M4584" t="s">
        <v>5033</v>
      </c>
      <c r="N4584" t="s">
        <v>5034</v>
      </c>
    </row>
    <row r="4585" spans="1:14" x14ac:dyDescent="0.3">
      <c r="A4585" t="s">
        <v>4609</v>
      </c>
      <c r="B4585" t="s">
        <v>12</v>
      </c>
      <c r="C4585" t="s">
        <v>35</v>
      </c>
      <c r="D4585">
        <v>71</v>
      </c>
      <c r="E4585" t="s">
        <v>14</v>
      </c>
      <c r="F4585" t="s">
        <v>16</v>
      </c>
      <c r="G4585">
        <v>90.1</v>
      </c>
      <c r="H4585">
        <v>6310.9</v>
      </c>
      <c r="I4585" t="s">
        <v>15</v>
      </c>
      <c r="J4585" t="s">
        <v>15</v>
      </c>
      <c r="K4585" t="s">
        <v>17</v>
      </c>
      <c r="L4585">
        <v>6310.9</v>
      </c>
      <c r="M4585" t="s">
        <v>5033</v>
      </c>
      <c r="N4585" t="s">
        <v>5034</v>
      </c>
    </row>
    <row r="4586" spans="1:14" x14ac:dyDescent="0.3">
      <c r="A4586" t="s">
        <v>4610</v>
      </c>
      <c r="B4586" t="s">
        <v>19</v>
      </c>
      <c r="C4586" t="s">
        <v>35</v>
      </c>
      <c r="D4586">
        <v>69</v>
      </c>
      <c r="E4586" t="s">
        <v>14</v>
      </c>
      <c r="F4586" t="s">
        <v>16</v>
      </c>
      <c r="G4586">
        <v>74.099999999999994</v>
      </c>
      <c r="H4586">
        <v>5031</v>
      </c>
      <c r="I4586" t="s">
        <v>15</v>
      </c>
      <c r="J4586" t="s">
        <v>15</v>
      </c>
      <c r="K4586" t="s">
        <v>29</v>
      </c>
      <c r="L4586">
        <v>5031</v>
      </c>
      <c r="M4586" t="s">
        <v>5033</v>
      </c>
      <c r="N4586" t="s">
        <v>5034</v>
      </c>
    </row>
    <row r="4587" spans="1:14" x14ac:dyDescent="0.3">
      <c r="A4587" t="s">
        <v>4611</v>
      </c>
      <c r="B4587" t="s">
        <v>12</v>
      </c>
      <c r="C4587" t="s">
        <v>13</v>
      </c>
      <c r="D4587">
        <v>1</v>
      </c>
      <c r="E4587" t="s">
        <v>26</v>
      </c>
      <c r="F4587" t="s">
        <v>15</v>
      </c>
      <c r="G4587">
        <v>85.05</v>
      </c>
      <c r="H4587">
        <v>85.05</v>
      </c>
      <c r="I4587" t="s">
        <v>16</v>
      </c>
      <c r="J4587" t="s">
        <v>16</v>
      </c>
      <c r="K4587" t="s">
        <v>17</v>
      </c>
      <c r="L4587">
        <v>85.05</v>
      </c>
      <c r="M4587" t="s">
        <v>5030</v>
      </c>
      <c r="N4587" t="s">
        <v>5031</v>
      </c>
    </row>
    <row r="4588" spans="1:14" x14ac:dyDescent="0.3">
      <c r="A4588" t="s">
        <v>4612</v>
      </c>
      <c r="B4588" t="s">
        <v>12</v>
      </c>
      <c r="C4588" t="s">
        <v>35</v>
      </c>
      <c r="D4588">
        <v>72</v>
      </c>
      <c r="E4588" t="s">
        <v>26</v>
      </c>
      <c r="F4588" t="s">
        <v>16</v>
      </c>
      <c r="G4588">
        <v>118.75</v>
      </c>
      <c r="H4588">
        <v>8672.4500000000007</v>
      </c>
      <c r="I4588" t="s">
        <v>15</v>
      </c>
      <c r="J4588" t="s">
        <v>16</v>
      </c>
      <c r="K4588" t="s">
        <v>24</v>
      </c>
      <c r="L4588">
        <v>8672.4500000000007</v>
      </c>
      <c r="M4588" t="s">
        <v>5033</v>
      </c>
      <c r="N4588" t="s">
        <v>5034</v>
      </c>
    </row>
    <row r="4589" spans="1:14" x14ac:dyDescent="0.3">
      <c r="A4589" t="s">
        <v>4613</v>
      </c>
      <c r="B4589" t="s">
        <v>12</v>
      </c>
      <c r="C4589" t="s">
        <v>13</v>
      </c>
      <c r="D4589">
        <v>26</v>
      </c>
      <c r="E4589" t="s">
        <v>26</v>
      </c>
      <c r="F4589" t="s">
        <v>16</v>
      </c>
      <c r="G4589">
        <v>85.9</v>
      </c>
      <c r="H4589">
        <v>2196.4499999999998</v>
      </c>
      <c r="I4589" t="s">
        <v>15</v>
      </c>
      <c r="J4589" t="s">
        <v>15</v>
      </c>
      <c r="K4589" t="s">
        <v>29</v>
      </c>
      <c r="L4589">
        <v>2196.4499999999998</v>
      </c>
      <c r="M4589" t="s">
        <v>5032</v>
      </c>
      <c r="N4589" t="s">
        <v>5031</v>
      </c>
    </row>
    <row r="4590" spans="1:14" x14ac:dyDescent="0.3">
      <c r="A4590" t="s">
        <v>4614</v>
      </c>
      <c r="B4590" t="s">
        <v>12</v>
      </c>
      <c r="C4590" t="s">
        <v>13</v>
      </c>
      <c r="D4590">
        <v>33</v>
      </c>
      <c r="E4590" t="s">
        <v>26</v>
      </c>
      <c r="F4590" t="s">
        <v>16</v>
      </c>
      <c r="G4590">
        <v>95</v>
      </c>
      <c r="H4590">
        <v>3008.15</v>
      </c>
      <c r="I4590" t="s">
        <v>15</v>
      </c>
      <c r="J4590" t="s">
        <v>16</v>
      </c>
      <c r="K4590" t="s">
        <v>29</v>
      </c>
      <c r="L4590">
        <v>3008.15</v>
      </c>
      <c r="M4590" t="s">
        <v>5032</v>
      </c>
      <c r="N4590" t="s">
        <v>5034</v>
      </c>
    </row>
    <row r="4591" spans="1:14" x14ac:dyDescent="0.3">
      <c r="A4591" t="s">
        <v>4615</v>
      </c>
      <c r="B4591" t="s">
        <v>12</v>
      </c>
      <c r="C4591" t="s">
        <v>35</v>
      </c>
      <c r="D4591">
        <v>10</v>
      </c>
      <c r="E4591" t="s">
        <v>15</v>
      </c>
      <c r="F4591" t="s">
        <v>36</v>
      </c>
      <c r="G4591">
        <v>20.149999999999999</v>
      </c>
      <c r="H4591">
        <v>220.8</v>
      </c>
      <c r="I4591" t="s">
        <v>15</v>
      </c>
      <c r="J4591" t="s">
        <v>15</v>
      </c>
      <c r="K4591" t="s">
        <v>21</v>
      </c>
      <c r="L4591">
        <v>220.8</v>
      </c>
      <c r="M4591" t="s">
        <v>5030</v>
      </c>
      <c r="N4591" t="s">
        <v>5031</v>
      </c>
    </row>
    <row r="4592" spans="1:14" x14ac:dyDescent="0.3">
      <c r="A4592" t="s">
        <v>4616</v>
      </c>
      <c r="B4592" t="s">
        <v>12</v>
      </c>
      <c r="C4592" t="s">
        <v>35</v>
      </c>
      <c r="D4592">
        <v>57</v>
      </c>
      <c r="E4592" t="s">
        <v>26</v>
      </c>
      <c r="F4592" t="s">
        <v>16</v>
      </c>
      <c r="G4592">
        <v>101.3</v>
      </c>
      <c r="H4592">
        <v>5779.6</v>
      </c>
      <c r="I4592" t="s">
        <v>15</v>
      </c>
      <c r="J4592" t="s">
        <v>15</v>
      </c>
      <c r="K4592" t="s">
        <v>29</v>
      </c>
      <c r="L4592">
        <v>5779.6</v>
      </c>
      <c r="M4592" t="s">
        <v>5033</v>
      </c>
      <c r="N4592" t="s">
        <v>5034</v>
      </c>
    </row>
    <row r="4593" spans="1:14" x14ac:dyDescent="0.3">
      <c r="A4593" t="s">
        <v>4617</v>
      </c>
      <c r="B4593" t="s">
        <v>12</v>
      </c>
      <c r="C4593" t="s">
        <v>13</v>
      </c>
      <c r="D4593">
        <v>10</v>
      </c>
      <c r="E4593" t="s">
        <v>15</v>
      </c>
      <c r="F4593" t="s">
        <v>36</v>
      </c>
      <c r="G4593">
        <v>21.2</v>
      </c>
      <c r="H4593">
        <v>222.65</v>
      </c>
      <c r="I4593" t="s">
        <v>15</v>
      </c>
      <c r="J4593" t="s">
        <v>16</v>
      </c>
      <c r="K4593" t="s">
        <v>17</v>
      </c>
      <c r="L4593">
        <v>222.65</v>
      </c>
      <c r="M4593" t="s">
        <v>5030</v>
      </c>
      <c r="N4593" t="s">
        <v>5031</v>
      </c>
    </row>
    <row r="4594" spans="1:14" x14ac:dyDescent="0.3">
      <c r="A4594" t="s">
        <v>4618</v>
      </c>
      <c r="B4594" t="s">
        <v>12</v>
      </c>
      <c r="C4594" t="s">
        <v>20</v>
      </c>
      <c r="D4594">
        <v>39</v>
      </c>
      <c r="E4594" t="s">
        <v>15</v>
      </c>
      <c r="F4594" t="s">
        <v>36</v>
      </c>
      <c r="G4594">
        <v>24.2</v>
      </c>
      <c r="H4594">
        <v>914.6</v>
      </c>
      <c r="I4594" t="s">
        <v>15</v>
      </c>
      <c r="J4594" t="s">
        <v>16</v>
      </c>
      <c r="K4594" t="s">
        <v>21</v>
      </c>
      <c r="L4594">
        <v>914.6</v>
      </c>
      <c r="M4594" t="s">
        <v>5033</v>
      </c>
      <c r="N4594" t="s">
        <v>5031</v>
      </c>
    </row>
    <row r="4595" spans="1:14" x14ac:dyDescent="0.3">
      <c r="A4595" t="s">
        <v>4619</v>
      </c>
      <c r="B4595" t="s">
        <v>12</v>
      </c>
      <c r="C4595" t="s">
        <v>13</v>
      </c>
      <c r="D4595">
        <v>11</v>
      </c>
      <c r="E4595" t="s">
        <v>15</v>
      </c>
      <c r="F4595" t="s">
        <v>36</v>
      </c>
      <c r="G4595">
        <v>20.3</v>
      </c>
      <c r="H4595">
        <v>246.3</v>
      </c>
      <c r="I4595" t="s">
        <v>15</v>
      </c>
      <c r="J4595" t="s">
        <v>15</v>
      </c>
      <c r="K4595" t="s">
        <v>24</v>
      </c>
      <c r="L4595">
        <v>246.3</v>
      </c>
      <c r="M4595" t="s">
        <v>5030</v>
      </c>
      <c r="N4595" t="s">
        <v>5031</v>
      </c>
    </row>
    <row r="4596" spans="1:14" x14ac:dyDescent="0.3">
      <c r="A4596" t="s">
        <v>4620</v>
      </c>
      <c r="B4596" t="s">
        <v>12</v>
      </c>
      <c r="C4596" t="s">
        <v>13</v>
      </c>
      <c r="D4596">
        <v>21</v>
      </c>
      <c r="E4596" t="s">
        <v>26</v>
      </c>
      <c r="F4596" t="s">
        <v>16</v>
      </c>
      <c r="G4596">
        <v>102.8</v>
      </c>
      <c r="H4596">
        <v>2110.15</v>
      </c>
      <c r="I4596" t="s">
        <v>16</v>
      </c>
      <c r="J4596" t="s">
        <v>16</v>
      </c>
      <c r="K4596" t="s">
        <v>17</v>
      </c>
      <c r="L4596">
        <v>2110.15</v>
      </c>
      <c r="M4596" t="s">
        <v>5032</v>
      </c>
      <c r="N4596" t="s">
        <v>5031</v>
      </c>
    </row>
    <row r="4597" spans="1:14" x14ac:dyDescent="0.3">
      <c r="A4597" t="s">
        <v>4621</v>
      </c>
      <c r="B4597" t="s">
        <v>12</v>
      </c>
      <c r="C4597" t="s">
        <v>35</v>
      </c>
      <c r="D4597">
        <v>68</v>
      </c>
      <c r="E4597" t="s">
        <v>14</v>
      </c>
      <c r="F4597" t="s">
        <v>16</v>
      </c>
      <c r="G4597">
        <v>85.3</v>
      </c>
      <c r="H4597">
        <v>5560</v>
      </c>
      <c r="I4597" t="s">
        <v>15</v>
      </c>
      <c r="J4597" t="s">
        <v>15</v>
      </c>
      <c r="K4597" t="s">
        <v>24</v>
      </c>
      <c r="L4597">
        <v>5560</v>
      </c>
      <c r="M4597" t="s">
        <v>5033</v>
      </c>
      <c r="N4597" t="s">
        <v>5034</v>
      </c>
    </row>
    <row r="4598" spans="1:14" x14ac:dyDescent="0.3">
      <c r="A4598" t="s">
        <v>4622</v>
      </c>
      <c r="B4598" t="s">
        <v>19</v>
      </c>
      <c r="C4598" t="s">
        <v>20</v>
      </c>
      <c r="D4598">
        <v>18</v>
      </c>
      <c r="E4598" t="s">
        <v>26</v>
      </c>
      <c r="F4598" t="s">
        <v>15</v>
      </c>
      <c r="G4598">
        <v>89.6</v>
      </c>
      <c r="H4598">
        <v>1633</v>
      </c>
      <c r="I4598" t="s">
        <v>15</v>
      </c>
      <c r="J4598" t="s">
        <v>16</v>
      </c>
      <c r="K4598" t="s">
        <v>29</v>
      </c>
      <c r="L4598">
        <v>1633</v>
      </c>
      <c r="M4598" t="s">
        <v>5032</v>
      </c>
      <c r="N4598" t="s">
        <v>5031</v>
      </c>
    </row>
    <row r="4599" spans="1:14" x14ac:dyDescent="0.3">
      <c r="A4599" t="s">
        <v>4623</v>
      </c>
      <c r="B4599" t="s">
        <v>12</v>
      </c>
      <c r="C4599" t="s">
        <v>13</v>
      </c>
      <c r="D4599">
        <v>6</v>
      </c>
      <c r="E4599" t="s">
        <v>26</v>
      </c>
      <c r="F4599" t="s">
        <v>16</v>
      </c>
      <c r="G4599">
        <v>99.95</v>
      </c>
      <c r="H4599">
        <v>547.65</v>
      </c>
      <c r="I4599" t="s">
        <v>16</v>
      </c>
      <c r="J4599" t="s">
        <v>16</v>
      </c>
      <c r="K4599" t="s">
        <v>21</v>
      </c>
      <c r="L4599">
        <v>547.65</v>
      </c>
      <c r="M4599" t="s">
        <v>5030</v>
      </c>
      <c r="N4599" t="s">
        <v>5031</v>
      </c>
    </row>
    <row r="4600" spans="1:14" x14ac:dyDescent="0.3">
      <c r="A4600" t="s">
        <v>4624</v>
      </c>
      <c r="B4600" t="s">
        <v>19</v>
      </c>
      <c r="C4600" t="s">
        <v>13</v>
      </c>
      <c r="D4600">
        <v>18</v>
      </c>
      <c r="E4600" t="s">
        <v>14</v>
      </c>
      <c r="F4600" t="s">
        <v>15</v>
      </c>
      <c r="G4600">
        <v>56.25</v>
      </c>
      <c r="H4600">
        <v>969.85</v>
      </c>
      <c r="I4600" t="s">
        <v>15</v>
      </c>
      <c r="J4600" t="s">
        <v>15</v>
      </c>
      <c r="K4600" t="s">
        <v>21</v>
      </c>
      <c r="L4600">
        <v>969.85</v>
      </c>
      <c r="M4600" t="s">
        <v>5032</v>
      </c>
      <c r="N4600" t="s">
        <v>5031</v>
      </c>
    </row>
    <row r="4601" spans="1:14" x14ac:dyDescent="0.3">
      <c r="A4601" t="s">
        <v>4625</v>
      </c>
      <c r="B4601" t="s">
        <v>12</v>
      </c>
      <c r="C4601" t="s">
        <v>20</v>
      </c>
      <c r="D4601">
        <v>52</v>
      </c>
      <c r="E4601" t="s">
        <v>14</v>
      </c>
      <c r="F4601" t="s">
        <v>15</v>
      </c>
      <c r="G4601">
        <v>50.95</v>
      </c>
      <c r="H4601">
        <v>2610.65</v>
      </c>
      <c r="I4601" t="s">
        <v>15</v>
      </c>
      <c r="J4601" t="s">
        <v>16</v>
      </c>
      <c r="K4601" t="s">
        <v>24</v>
      </c>
      <c r="L4601">
        <v>2610.65</v>
      </c>
      <c r="M4601" t="s">
        <v>5033</v>
      </c>
      <c r="N4601" t="s">
        <v>5034</v>
      </c>
    </row>
    <row r="4602" spans="1:14" x14ac:dyDescent="0.3">
      <c r="A4602" t="s">
        <v>4626</v>
      </c>
      <c r="B4602" t="s">
        <v>19</v>
      </c>
      <c r="C4602" t="s">
        <v>35</v>
      </c>
      <c r="D4602">
        <v>56</v>
      </c>
      <c r="E4602" t="s">
        <v>26</v>
      </c>
      <c r="F4602" t="s">
        <v>16</v>
      </c>
      <c r="G4602">
        <v>115.85</v>
      </c>
      <c r="H4602">
        <v>6567.9</v>
      </c>
      <c r="I4602" t="s">
        <v>15</v>
      </c>
      <c r="J4602" t="s">
        <v>15</v>
      </c>
      <c r="K4602" t="s">
        <v>21</v>
      </c>
      <c r="L4602">
        <v>6567.9</v>
      </c>
      <c r="M4602" t="s">
        <v>5033</v>
      </c>
      <c r="N4602" t="s">
        <v>5034</v>
      </c>
    </row>
    <row r="4603" spans="1:14" x14ac:dyDescent="0.3">
      <c r="A4603" t="s">
        <v>4627</v>
      </c>
      <c r="B4603" t="s">
        <v>19</v>
      </c>
      <c r="C4603" t="s">
        <v>13</v>
      </c>
      <c r="D4603">
        <v>45</v>
      </c>
      <c r="E4603" t="s">
        <v>26</v>
      </c>
      <c r="F4603" t="s">
        <v>16</v>
      </c>
      <c r="G4603">
        <v>103.65</v>
      </c>
      <c r="H4603">
        <v>4747.8500000000004</v>
      </c>
      <c r="I4603" t="s">
        <v>15</v>
      </c>
      <c r="J4603" t="s">
        <v>16</v>
      </c>
      <c r="K4603" t="s">
        <v>24</v>
      </c>
      <c r="L4603">
        <v>4747.8500000000004</v>
      </c>
      <c r="M4603" t="s">
        <v>5033</v>
      </c>
      <c r="N4603" t="s">
        <v>5034</v>
      </c>
    </row>
    <row r="4604" spans="1:14" x14ac:dyDescent="0.3">
      <c r="A4604" t="s">
        <v>4628</v>
      </c>
      <c r="B4604" t="s">
        <v>12</v>
      </c>
      <c r="C4604" t="s">
        <v>35</v>
      </c>
      <c r="D4604">
        <v>67</v>
      </c>
      <c r="E4604" t="s">
        <v>15</v>
      </c>
      <c r="F4604" t="s">
        <v>36</v>
      </c>
      <c r="G4604">
        <v>26.1</v>
      </c>
      <c r="H4604">
        <v>1759.55</v>
      </c>
      <c r="I4604" t="s">
        <v>15</v>
      </c>
      <c r="J4604" t="s">
        <v>16</v>
      </c>
      <c r="K4604" t="s">
        <v>21</v>
      </c>
      <c r="L4604">
        <v>1759.55</v>
      </c>
      <c r="M4604" t="s">
        <v>5033</v>
      </c>
      <c r="N4604" t="s">
        <v>5031</v>
      </c>
    </row>
    <row r="4605" spans="1:14" x14ac:dyDescent="0.3">
      <c r="A4605" t="s">
        <v>4629</v>
      </c>
      <c r="B4605" t="s">
        <v>19</v>
      </c>
      <c r="C4605" t="s">
        <v>13</v>
      </c>
      <c r="D4605">
        <v>3</v>
      </c>
      <c r="E4605" t="s">
        <v>14</v>
      </c>
      <c r="F4605" t="s">
        <v>16</v>
      </c>
      <c r="G4605">
        <v>35.1</v>
      </c>
      <c r="H4605">
        <v>101.1</v>
      </c>
      <c r="I4605" t="s">
        <v>15</v>
      </c>
      <c r="J4605" t="s">
        <v>15</v>
      </c>
      <c r="K4605" t="s">
        <v>21</v>
      </c>
      <c r="L4605">
        <v>101.1</v>
      </c>
      <c r="M4605" t="s">
        <v>5030</v>
      </c>
      <c r="N4605" t="s">
        <v>5031</v>
      </c>
    </row>
    <row r="4606" spans="1:14" x14ac:dyDescent="0.3">
      <c r="A4606" t="s">
        <v>4630</v>
      </c>
      <c r="B4606" t="s">
        <v>19</v>
      </c>
      <c r="C4606" t="s">
        <v>13</v>
      </c>
      <c r="D4606">
        <v>65</v>
      </c>
      <c r="E4606" t="s">
        <v>26</v>
      </c>
      <c r="F4606" t="s">
        <v>15</v>
      </c>
      <c r="G4606">
        <v>99.1</v>
      </c>
      <c r="H4606">
        <v>6496.15</v>
      </c>
      <c r="I4606" t="s">
        <v>15</v>
      </c>
      <c r="J4606" t="s">
        <v>16</v>
      </c>
      <c r="K4606" t="s">
        <v>24</v>
      </c>
      <c r="L4606">
        <v>6496.15</v>
      </c>
      <c r="M4606" t="s">
        <v>5033</v>
      </c>
      <c r="N4606" t="s">
        <v>5034</v>
      </c>
    </row>
    <row r="4607" spans="1:14" x14ac:dyDescent="0.3">
      <c r="A4607" t="s">
        <v>4631</v>
      </c>
      <c r="B4607" t="s">
        <v>19</v>
      </c>
      <c r="C4607" t="s">
        <v>35</v>
      </c>
      <c r="D4607">
        <v>63</v>
      </c>
      <c r="E4607" t="s">
        <v>14</v>
      </c>
      <c r="F4607" t="s">
        <v>16</v>
      </c>
      <c r="G4607">
        <v>67.25</v>
      </c>
      <c r="H4607">
        <v>4234.1499999999996</v>
      </c>
      <c r="I4607" t="s">
        <v>15</v>
      </c>
      <c r="J4607" t="s">
        <v>15</v>
      </c>
      <c r="K4607" t="s">
        <v>21</v>
      </c>
      <c r="L4607">
        <v>4234.1499999999996</v>
      </c>
      <c r="M4607" t="s">
        <v>5033</v>
      </c>
      <c r="N4607" t="s">
        <v>5034</v>
      </c>
    </row>
    <row r="4608" spans="1:14" x14ac:dyDescent="0.3">
      <c r="A4608" t="s">
        <v>4632</v>
      </c>
      <c r="B4608" t="s">
        <v>12</v>
      </c>
      <c r="C4608" t="s">
        <v>35</v>
      </c>
      <c r="D4608">
        <v>11</v>
      </c>
      <c r="E4608" t="s">
        <v>15</v>
      </c>
      <c r="F4608" t="s">
        <v>36</v>
      </c>
      <c r="G4608">
        <v>25</v>
      </c>
      <c r="H4608">
        <v>300.7</v>
      </c>
      <c r="I4608" t="s">
        <v>15</v>
      </c>
      <c r="J4608" t="s">
        <v>15</v>
      </c>
      <c r="K4608" t="s">
        <v>21</v>
      </c>
      <c r="L4608">
        <v>300.7</v>
      </c>
      <c r="M4608" t="s">
        <v>5030</v>
      </c>
      <c r="N4608" t="s">
        <v>5031</v>
      </c>
    </row>
    <row r="4609" spans="1:14" x14ac:dyDescent="0.3">
      <c r="A4609" t="s">
        <v>4633</v>
      </c>
      <c r="B4609" t="s">
        <v>19</v>
      </c>
      <c r="C4609" t="s">
        <v>13</v>
      </c>
      <c r="D4609">
        <v>1</v>
      </c>
      <c r="E4609" t="s">
        <v>14</v>
      </c>
      <c r="F4609" t="s">
        <v>16</v>
      </c>
      <c r="G4609">
        <v>59.55</v>
      </c>
      <c r="H4609">
        <v>59.55</v>
      </c>
      <c r="I4609" t="s">
        <v>15</v>
      </c>
      <c r="J4609" t="s">
        <v>16</v>
      </c>
      <c r="K4609" t="s">
        <v>21</v>
      </c>
      <c r="L4609">
        <v>59.55</v>
      </c>
      <c r="M4609" t="s">
        <v>5030</v>
      </c>
      <c r="N4609" t="s">
        <v>5031</v>
      </c>
    </row>
    <row r="4610" spans="1:14" x14ac:dyDescent="0.3">
      <c r="A4610" t="s">
        <v>4634</v>
      </c>
      <c r="B4610" t="s">
        <v>19</v>
      </c>
      <c r="C4610" t="s">
        <v>35</v>
      </c>
      <c r="D4610">
        <v>55</v>
      </c>
      <c r="E4610" t="s">
        <v>14</v>
      </c>
      <c r="F4610" t="s">
        <v>15</v>
      </c>
      <c r="G4610">
        <v>77.8</v>
      </c>
      <c r="H4610">
        <v>4323.3500000000004</v>
      </c>
      <c r="I4610" t="s">
        <v>15</v>
      </c>
      <c r="J4610" t="s">
        <v>16</v>
      </c>
      <c r="K4610" t="s">
        <v>24</v>
      </c>
      <c r="L4610">
        <v>4323.3500000000004</v>
      </c>
      <c r="M4610" t="s">
        <v>5033</v>
      </c>
      <c r="N4610" t="s">
        <v>5034</v>
      </c>
    </row>
    <row r="4611" spans="1:14" x14ac:dyDescent="0.3">
      <c r="A4611" t="s">
        <v>4635</v>
      </c>
      <c r="B4611" t="s">
        <v>19</v>
      </c>
      <c r="C4611" t="s">
        <v>20</v>
      </c>
      <c r="D4611">
        <v>25</v>
      </c>
      <c r="E4611" t="s">
        <v>14</v>
      </c>
      <c r="F4611" t="s">
        <v>16</v>
      </c>
      <c r="G4611">
        <v>55.1</v>
      </c>
      <c r="H4611">
        <v>1466.1</v>
      </c>
      <c r="I4611" t="s">
        <v>15</v>
      </c>
      <c r="J4611" t="s">
        <v>16</v>
      </c>
      <c r="K4611" t="s">
        <v>21</v>
      </c>
      <c r="L4611">
        <v>1466.1</v>
      </c>
      <c r="M4611" t="s">
        <v>5032</v>
      </c>
      <c r="N4611" t="s">
        <v>5031</v>
      </c>
    </row>
    <row r="4612" spans="1:14" x14ac:dyDescent="0.3">
      <c r="A4612" t="s">
        <v>4636</v>
      </c>
      <c r="B4612" t="s">
        <v>19</v>
      </c>
      <c r="C4612" t="s">
        <v>20</v>
      </c>
      <c r="D4612">
        <v>72</v>
      </c>
      <c r="E4612" t="s">
        <v>26</v>
      </c>
      <c r="F4612" t="s">
        <v>16</v>
      </c>
      <c r="G4612">
        <v>117.8</v>
      </c>
      <c r="H4612">
        <v>8684.7999999999993</v>
      </c>
      <c r="I4612" t="s">
        <v>16</v>
      </c>
      <c r="J4612" t="s">
        <v>16</v>
      </c>
      <c r="K4612" t="s">
        <v>24</v>
      </c>
      <c r="L4612">
        <v>8684.7999999999993</v>
      </c>
      <c r="M4612" t="s">
        <v>5033</v>
      </c>
      <c r="N4612" t="s">
        <v>5034</v>
      </c>
    </row>
    <row r="4613" spans="1:14" x14ac:dyDescent="0.3">
      <c r="A4613" t="s">
        <v>4637</v>
      </c>
      <c r="B4613" t="s">
        <v>12</v>
      </c>
      <c r="C4613" t="s">
        <v>35</v>
      </c>
      <c r="D4613">
        <v>72</v>
      </c>
      <c r="E4613" t="s">
        <v>15</v>
      </c>
      <c r="F4613" t="s">
        <v>36</v>
      </c>
      <c r="G4613">
        <v>24.15</v>
      </c>
      <c r="H4613">
        <v>1776.45</v>
      </c>
      <c r="I4613" t="s">
        <v>15</v>
      </c>
      <c r="J4613" t="s">
        <v>16</v>
      </c>
      <c r="K4613" t="s">
        <v>29</v>
      </c>
      <c r="L4613">
        <v>1776.45</v>
      </c>
      <c r="M4613" t="s">
        <v>5033</v>
      </c>
      <c r="N4613" t="s">
        <v>5031</v>
      </c>
    </row>
    <row r="4614" spans="1:14" x14ac:dyDescent="0.3">
      <c r="A4614" t="s">
        <v>4638</v>
      </c>
      <c r="B4614" t="s">
        <v>12</v>
      </c>
      <c r="C4614" t="s">
        <v>35</v>
      </c>
      <c r="D4614">
        <v>65</v>
      </c>
      <c r="E4614" t="s">
        <v>14</v>
      </c>
      <c r="F4614" t="s">
        <v>16</v>
      </c>
      <c r="G4614">
        <v>45.25</v>
      </c>
      <c r="H4614">
        <v>2933.95</v>
      </c>
      <c r="I4614" t="s">
        <v>15</v>
      </c>
      <c r="J4614" t="s">
        <v>15</v>
      </c>
      <c r="K4614" t="s">
        <v>21</v>
      </c>
      <c r="L4614">
        <v>2933.95</v>
      </c>
      <c r="M4614" t="s">
        <v>5033</v>
      </c>
      <c r="N4614" t="s">
        <v>5034</v>
      </c>
    </row>
    <row r="4615" spans="1:14" x14ac:dyDescent="0.3">
      <c r="A4615" t="s">
        <v>4639</v>
      </c>
      <c r="B4615" t="s">
        <v>12</v>
      </c>
      <c r="C4615" t="s">
        <v>13</v>
      </c>
      <c r="D4615">
        <v>54</v>
      </c>
      <c r="E4615" t="s">
        <v>26</v>
      </c>
      <c r="F4615" t="s">
        <v>15</v>
      </c>
      <c r="G4615">
        <v>79.5</v>
      </c>
      <c r="H4615">
        <v>4370.25</v>
      </c>
      <c r="I4615" t="s">
        <v>16</v>
      </c>
      <c r="J4615" t="s">
        <v>16</v>
      </c>
      <c r="K4615" t="s">
        <v>17</v>
      </c>
      <c r="L4615">
        <v>4370.25</v>
      </c>
      <c r="M4615" t="s">
        <v>5033</v>
      </c>
      <c r="N4615" t="s">
        <v>5034</v>
      </c>
    </row>
    <row r="4616" spans="1:14" x14ac:dyDescent="0.3">
      <c r="A4616" t="s">
        <v>4640</v>
      </c>
      <c r="B4616" t="s">
        <v>19</v>
      </c>
      <c r="C4616" t="s">
        <v>13</v>
      </c>
      <c r="D4616">
        <v>7</v>
      </c>
      <c r="E4616" t="s">
        <v>15</v>
      </c>
      <c r="F4616" t="s">
        <v>36</v>
      </c>
      <c r="G4616">
        <v>20.25</v>
      </c>
      <c r="H4616">
        <v>144.35</v>
      </c>
      <c r="I4616" t="s">
        <v>15</v>
      </c>
      <c r="J4616" t="s">
        <v>15</v>
      </c>
      <c r="K4616" t="s">
        <v>21</v>
      </c>
      <c r="L4616">
        <v>144.35</v>
      </c>
      <c r="M4616" t="s">
        <v>5030</v>
      </c>
      <c r="N4616" t="s">
        <v>5031</v>
      </c>
    </row>
    <row r="4617" spans="1:14" x14ac:dyDescent="0.3">
      <c r="A4617" t="s">
        <v>4641</v>
      </c>
      <c r="B4617" t="s">
        <v>12</v>
      </c>
      <c r="C4617" t="s">
        <v>35</v>
      </c>
      <c r="D4617">
        <v>72</v>
      </c>
      <c r="E4617" t="s">
        <v>14</v>
      </c>
      <c r="F4617" t="s">
        <v>16</v>
      </c>
      <c r="G4617">
        <v>64.75</v>
      </c>
      <c r="H4617">
        <v>4804.75</v>
      </c>
      <c r="I4617" t="s">
        <v>15</v>
      </c>
      <c r="J4617" t="s">
        <v>15</v>
      </c>
      <c r="K4617" t="s">
        <v>24</v>
      </c>
      <c r="L4617">
        <v>4804.75</v>
      </c>
      <c r="M4617" t="s">
        <v>5033</v>
      </c>
      <c r="N4617" t="s">
        <v>5034</v>
      </c>
    </row>
    <row r="4618" spans="1:14" x14ac:dyDescent="0.3">
      <c r="A4618" t="s">
        <v>4642</v>
      </c>
      <c r="B4618" t="s">
        <v>19</v>
      </c>
      <c r="C4618" t="s">
        <v>13</v>
      </c>
      <c r="D4618">
        <v>21</v>
      </c>
      <c r="E4618" t="s">
        <v>14</v>
      </c>
      <c r="F4618" t="s">
        <v>15</v>
      </c>
      <c r="G4618">
        <v>54.6</v>
      </c>
      <c r="H4618">
        <v>1125.2</v>
      </c>
      <c r="I4618" t="s">
        <v>15</v>
      </c>
      <c r="J4618" t="s">
        <v>15</v>
      </c>
      <c r="K4618" t="s">
        <v>24</v>
      </c>
      <c r="L4618">
        <v>1125.2</v>
      </c>
      <c r="M4618" t="s">
        <v>5032</v>
      </c>
      <c r="N4618" t="s">
        <v>5031</v>
      </c>
    </row>
    <row r="4619" spans="1:14" x14ac:dyDescent="0.3">
      <c r="A4619" t="s">
        <v>4643</v>
      </c>
      <c r="B4619" t="s">
        <v>12</v>
      </c>
      <c r="C4619" t="s">
        <v>13</v>
      </c>
      <c r="D4619">
        <v>2</v>
      </c>
      <c r="E4619" t="s">
        <v>15</v>
      </c>
      <c r="F4619" t="s">
        <v>36</v>
      </c>
      <c r="G4619">
        <v>20.7</v>
      </c>
      <c r="H4619">
        <v>39.85</v>
      </c>
      <c r="I4619" t="s">
        <v>15</v>
      </c>
      <c r="J4619" t="s">
        <v>16</v>
      </c>
      <c r="K4619" t="s">
        <v>24</v>
      </c>
      <c r="L4619">
        <v>39.85</v>
      </c>
      <c r="M4619" t="s">
        <v>5030</v>
      </c>
      <c r="N4619" t="s">
        <v>5031</v>
      </c>
    </row>
    <row r="4620" spans="1:14" x14ac:dyDescent="0.3">
      <c r="A4620" t="s">
        <v>4644</v>
      </c>
      <c r="B4620" t="s">
        <v>19</v>
      </c>
      <c r="C4620" t="s">
        <v>13</v>
      </c>
      <c r="D4620">
        <v>4</v>
      </c>
      <c r="E4620" t="s">
        <v>26</v>
      </c>
      <c r="F4620" t="s">
        <v>15</v>
      </c>
      <c r="G4620">
        <v>94.75</v>
      </c>
      <c r="H4620">
        <v>422.4</v>
      </c>
      <c r="I4620" t="s">
        <v>15</v>
      </c>
      <c r="J4620" t="s">
        <v>16</v>
      </c>
      <c r="K4620" t="s">
        <v>17</v>
      </c>
      <c r="L4620">
        <v>422.4</v>
      </c>
      <c r="M4620" t="s">
        <v>5030</v>
      </c>
      <c r="N4620" t="s">
        <v>5031</v>
      </c>
    </row>
    <row r="4621" spans="1:14" x14ac:dyDescent="0.3">
      <c r="A4621" t="s">
        <v>4645</v>
      </c>
      <c r="B4621" t="s">
        <v>19</v>
      </c>
      <c r="C4621" t="s">
        <v>13</v>
      </c>
      <c r="D4621">
        <v>3</v>
      </c>
      <c r="E4621" t="s">
        <v>26</v>
      </c>
      <c r="F4621" t="s">
        <v>16</v>
      </c>
      <c r="G4621">
        <v>79.650000000000006</v>
      </c>
      <c r="H4621">
        <v>251.75</v>
      </c>
      <c r="I4621" t="s">
        <v>16</v>
      </c>
      <c r="J4621" t="s">
        <v>16</v>
      </c>
      <c r="K4621" t="s">
        <v>24</v>
      </c>
      <c r="L4621">
        <v>251.75</v>
      </c>
      <c r="M4621" t="s">
        <v>5030</v>
      </c>
      <c r="N4621" t="s">
        <v>5031</v>
      </c>
    </row>
    <row r="4622" spans="1:14" x14ac:dyDescent="0.3">
      <c r="A4622" t="s">
        <v>4646</v>
      </c>
      <c r="B4622" t="s">
        <v>19</v>
      </c>
      <c r="C4622" t="s">
        <v>35</v>
      </c>
      <c r="D4622">
        <v>72</v>
      </c>
      <c r="E4622" t="s">
        <v>26</v>
      </c>
      <c r="F4622" t="s">
        <v>16</v>
      </c>
      <c r="G4622">
        <v>115.8</v>
      </c>
      <c r="H4622">
        <v>8332.15</v>
      </c>
      <c r="I4622" t="s">
        <v>15</v>
      </c>
      <c r="J4622" t="s">
        <v>15</v>
      </c>
      <c r="K4622" t="s">
        <v>29</v>
      </c>
      <c r="L4622">
        <v>8332.15</v>
      </c>
      <c r="M4622" t="s">
        <v>5033</v>
      </c>
      <c r="N4622" t="s">
        <v>5034</v>
      </c>
    </row>
    <row r="4623" spans="1:14" x14ac:dyDescent="0.3">
      <c r="A4623" t="s">
        <v>4647</v>
      </c>
      <c r="B4623" t="s">
        <v>12</v>
      </c>
      <c r="C4623" t="s">
        <v>13</v>
      </c>
      <c r="D4623">
        <v>6</v>
      </c>
      <c r="E4623" t="s">
        <v>14</v>
      </c>
      <c r="F4623" t="s">
        <v>15</v>
      </c>
      <c r="G4623">
        <v>49.45</v>
      </c>
      <c r="H4623">
        <v>314.60000000000002</v>
      </c>
      <c r="I4623" t="s">
        <v>15</v>
      </c>
      <c r="J4623" t="s">
        <v>16</v>
      </c>
      <c r="K4623" t="s">
        <v>17</v>
      </c>
      <c r="L4623">
        <v>314.60000000000002</v>
      </c>
      <c r="M4623" t="s">
        <v>5030</v>
      </c>
      <c r="N4623" t="s">
        <v>5031</v>
      </c>
    </row>
    <row r="4624" spans="1:14" x14ac:dyDescent="0.3">
      <c r="A4624" t="s">
        <v>4648</v>
      </c>
      <c r="B4624" t="s">
        <v>19</v>
      </c>
      <c r="C4624" t="s">
        <v>13</v>
      </c>
      <c r="D4624">
        <v>52</v>
      </c>
      <c r="E4624" t="s">
        <v>26</v>
      </c>
      <c r="F4624" t="s">
        <v>15</v>
      </c>
      <c r="G4624">
        <v>83.8</v>
      </c>
      <c r="H4624">
        <v>4331.3999999999996</v>
      </c>
      <c r="I4624" t="s">
        <v>15</v>
      </c>
      <c r="J4624" t="s">
        <v>16</v>
      </c>
      <c r="K4624" t="s">
        <v>29</v>
      </c>
      <c r="L4624">
        <v>4331.3999999999996</v>
      </c>
      <c r="M4624" t="s">
        <v>5033</v>
      </c>
      <c r="N4624" t="s">
        <v>5034</v>
      </c>
    </row>
    <row r="4625" spans="1:14" x14ac:dyDescent="0.3">
      <c r="A4625" t="s">
        <v>4649</v>
      </c>
      <c r="B4625" t="s">
        <v>19</v>
      </c>
      <c r="C4625" t="s">
        <v>13</v>
      </c>
      <c r="D4625">
        <v>69</v>
      </c>
      <c r="E4625" t="s">
        <v>26</v>
      </c>
      <c r="F4625" t="s">
        <v>15</v>
      </c>
      <c r="G4625">
        <v>95.35</v>
      </c>
      <c r="H4625">
        <v>6382</v>
      </c>
      <c r="I4625" t="s">
        <v>15</v>
      </c>
      <c r="J4625" t="s">
        <v>16</v>
      </c>
      <c r="K4625" t="s">
        <v>24</v>
      </c>
      <c r="L4625">
        <v>6382</v>
      </c>
      <c r="M4625" t="s">
        <v>5033</v>
      </c>
      <c r="N4625" t="s">
        <v>5034</v>
      </c>
    </row>
    <row r="4626" spans="1:14" x14ac:dyDescent="0.3">
      <c r="A4626" t="s">
        <v>4650</v>
      </c>
      <c r="B4626" t="s">
        <v>19</v>
      </c>
      <c r="C4626" t="s">
        <v>13</v>
      </c>
      <c r="D4626">
        <v>8</v>
      </c>
      <c r="E4626" t="s">
        <v>26</v>
      </c>
      <c r="F4626" t="s">
        <v>15</v>
      </c>
      <c r="G4626">
        <v>94.7</v>
      </c>
      <c r="H4626">
        <v>740.3</v>
      </c>
      <c r="I4626" t="s">
        <v>16</v>
      </c>
      <c r="J4626" t="s">
        <v>16</v>
      </c>
      <c r="K4626" t="s">
        <v>17</v>
      </c>
      <c r="L4626">
        <v>740.3</v>
      </c>
      <c r="M4626" t="s">
        <v>5030</v>
      </c>
      <c r="N4626" t="s">
        <v>5031</v>
      </c>
    </row>
    <row r="4627" spans="1:14" x14ac:dyDescent="0.3">
      <c r="A4627" t="s">
        <v>4651</v>
      </c>
      <c r="B4627" t="s">
        <v>12</v>
      </c>
      <c r="C4627" t="s">
        <v>13</v>
      </c>
      <c r="D4627">
        <v>8</v>
      </c>
      <c r="E4627" t="s">
        <v>26</v>
      </c>
      <c r="F4627" t="s">
        <v>15</v>
      </c>
      <c r="G4627">
        <v>74.05</v>
      </c>
      <c r="H4627">
        <v>600.15</v>
      </c>
      <c r="I4627" t="s">
        <v>15</v>
      </c>
      <c r="J4627" t="s">
        <v>16</v>
      </c>
      <c r="K4627" t="s">
        <v>24</v>
      </c>
      <c r="L4627">
        <v>600.15</v>
      </c>
      <c r="M4627" t="s">
        <v>5030</v>
      </c>
      <c r="N4627" t="s">
        <v>5031</v>
      </c>
    </row>
    <row r="4628" spans="1:14" x14ac:dyDescent="0.3">
      <c r="A4628" t="s">
        <v>4652</v>
      </c>
      <c r="B4628" t="s">
        <v>12</v>
      </c>
      <c r="C4628" t="s">
        <v>13</v>
      </c>
      <c r="D4628">
        <v>63</v>
      </c>
      <c r="E4628" t="s">
        <v>26</v>
      </c>
      <c r="F4628" t="s">
        <v>15</v>
      </c>
      <c r="G4628">
        <v>89.6</v>
      </c>
      <c r="H4628">
        <v>5538.8</v>
      </c>
      <c r="I4628" t="s">
        <v>15</v>
      </c>
      <c r="J4628" t="s">
        <v>16</v>
      </c>
      <c r="K4628" t="s">
        <v>24</v>
      </c>
      <c r="L4628">
        <v>5538.8</v>
      </c>
      <c r="M4628" t="s">
        <v>5033</v>
      </c>
      <c r="N4628" t="s">
        <v>5034</v>
      </c>
    </row>
    <row r="4629" spans="1:14" x14ac:dyDescent="0.3">
      <c r="A4629" t="s">
        <v>4653</v>
      </c>
      <c r="B4629" t="s">
        <v>19</v>
      </c>
      <c r="C4629" t="s">
        <v>20</v>
      </c>
      <c r="D4629">
        <v>60</v>
      </c>
      <c r="E4629" t="s">
        <v>26</v>
      </c>
      <c r="F4629" t="s">
        <v>16</v>
      </c>
      <c r="G4629">
        <v>116.6</v>
      </c>
      <c r="H4629">
        <v>7049.5</v>
      </c>
      <c r="I4629" t="s">
        <v>15</v>
      </c>
      <c r="J4629" t="s">
        <v>16</v>
      </c>
      <c r="K4629" t="s">
        <v>29</v>
      </c>
      <c r="L4629">
        <v>7049.5</v>
      </c>
      <c r="M4629" t="s">
        <v>5033</v>
      </c>
      <c r="N4629" t="s">
        <v>5034</v>
      </c>
    </row>
    <row r="4630" spans="1:14" x14ac:dyDescent="0.3">
      <c r="A4630" t="s">
        <v>4654</v>
      </c>
      <c r="B4630" t="s">
        <v>12</v>
      </c>
      <c r="C4630" t="s">
        <v>13</v>
      </c>
      <c r="D4630">
        <v>12</v>
      </c>
      <c r="E4630" t="s">
        <v>14</v>
      </c>
      <c r="F4630" t="s">
        <v>16</v>
      </c>
      <c r="G4630">
        <v>54.2</v>
      </c>
      <c r="H4630">
        <v>690.5</v>
      </c>
      <c r="I4630" t="s">
        <v>15</v>
      </c>
      <c r="J4630" t="s">
        <v>15</v>
      </c>
      <c r="K4630" t="s">
        <v>24</v>
      </c>
      <c r="L4630">
        <v>690.5</v>
      </c>
      <c r="M4630" t="s">
        <v>5030</v>
      </c>
      <c r="N4630" t="s">
        <v>5031</v>
      </c>
    </row>
    <row r="4631" spans="1:14" x14ac:dyDescent="0.3">
      <c r="A4631" t="s">
        <v>4655</v>
      </c>
      <c r="B4631" t="s">
        <v>12</v>
      </c>
      <c r="C4631" t="s">
        <v>13</v>
      </c>
      <c r="D4631">
        <v>13</v>
      </c>
      <c r="E4631" t="s">
        <v>15</v>
      </c>
      <c r="F4631" t="s">
        <v>36</v>
      </c>
      <c r="G4631">
        <v>19.3</v>
      </c>
      <c r="H4631">
        <v>279.3</v>
      </c>
      <c r="I4631" t="s">
        <v>15</v>
      </c>
      <c r="J4631" t="s">
        <v>16</v>
      </c>
      <c r="K4631" t="s">
        <v>21</v>
      </c>
      <c r="L4631">
        <v>279.3</v>
      </c>
      <c r="M4631" t="s">
        <v>5032</v>
      </c>
      <c r="N4631" t="s">
        <v>5031</v>
      </c>
    </row>
    <row r="4632" spans="1:14" x14ac:dyDescent="0.3">
      <c r="A4632" t="s">
        <v>4656</v>
      </c>
      <c r="B4632" t="s">
        <v>19</v>
      </c>
      <c r="C4632" t="s">
        <v>13</v>
      </c>
      <c r="D4632">
        <v>22</v>
      </c>
      <c r="E4632" t="s">
        <v>14</v>
      </c>
      <c r="F4632" t="s">
        <v>15</v>
      </c>
      <c r="G4632">
        <v>65.05</v>
      </c>
      <c r="H4632">
        <v>1427.55</v>
      </c>
      <c r="I4632" t="s">
        <v>15</v>
      </c>
      <c r="J4632" t="s">
        <v>15</v>
      </c>
      <c r="K4632" t="s">
        <v>21</v>
      </c>
      <c r="L4632">
        <v>1427.55</v>
      </c>
      <c r="M4632" t="s">
        <v>5032</v>
      </c>
      <c r="N4632" t="s">
        <v>5031</v>
      </c>
    </row>
    <row r="4633" spans="1:14" x14ac:dyDescent="0.3">
      <c r="A4633" t="s">
        <v>4657</v>
      </c>
      <c r="B4633" t="s">
        <v>19</v>
      </c>
      <c r="C4633" t="s">
        <v>13</v>
      </c>
      <c r="D4633">
        <v>5</v>
      </c>
      <c r="E4633" t="s">
        <v>26</v>
      </c>
      <c r="F4633" t="s">
        <v>15</v>
      </c>
      <c r="G4633">
        <v>92.5</v>
      </c>
      <c r="H4633">
        <v>452.7</v>
      </c>
      <c r="I4633" t="s">
        <v>16</v>
      </c>
      <c r="J4633" t="s">
        <v>16</v>
      </c>
      <c r="K4633" t="s">
        <v>17</v>
      </c>
      <c r="L4633">
        <v>452.7</v>
      </c>
      <c r="M4633" t="s">
        <v>5030</v>
      </c>
      <c r="N4633" t="s">
        <v>5031</v>
      </c>
    </row>
    <row r="4634" spans="1:14" x14ac:dyDescent="0.3">
      <c r="A4634" t="s">
        <v>4658</v>
      </c>
      <c r="B4634" t="s">
        <v>12</v>
      </c>
      <c r="C4634" t="s">
        <v>13</v>
      </c>
      <c r="D4634">
        <v>1</v>
      </c>
      <c r="E4634" t="s">
        <v>15</v>
      </c>
      <c r="F4634" t="s">
        <v>36</v>
      </c>
      <c r="G4634">
        <v>19.45</v>
      </c>
      <c r="H4634">
        <v>19.45</v>
      </c>
      <c r="I4634" t="s">
        <v>16</v>
      </c>
      <c r="J4634" t="s">
        <v>15</v>
      </c>
      <c r="K4634" t="s">
        <v>21</v>
      </c>
      <c r="L4634">
        <v>19.45</v>
      </c>
      <c r="M4634" t="s">
        <v>5030</v>
      </c>
      <c r="N4634" t="s">
        <v>5031</v>
      </c>
    </row>
    <row r="4635" spans="1:14" x14ac:dyDescent="0.3">
      <c r="A4635" t="s">
        <v>4659</v>
      </c>
      <c r="B4635" t="s">
        <v>12</v>
      </c>
      <c r="C4635" t="s">
        <v>35</v>
      </c>
      <c r="D4635">
        <v>72</v>
      </c>
      <c r="E4635" t="s">
        <v>15</v>
      </c>
      <c r="F4635" t="s">
        <v>36</v>
      </c>
      <c r="G4635">
        <v>24.05</v>
      </c>
      <c r="H4635">
        <v>1709.15</v>
      </c>
      <c r="I4635" t="s">
        <v>15</v>
      </c>
      <c r="J4635" t="s">
        <v>16</v>
      </c>
      <c r="K4635" t="s">
        <v>24</v>
      </c>
      <c r="L4635">
        <v>1709.15</v>
      </c>
      <c r="M4635" t="s">
        <v>5033</v>
      </c>
      <c r="N4635" t="s">
        <v>5031</v>
      </c>
    </row>
    <row r="4636" spans="1:14" x14ac:dyDescent="0.3">
      <c r="A4636" t="s">
        <v>4660</v>
      </c>
      <c r="B4636" t="s">
        <v>12</v>
      </c>
      <c r="C4636" t="s">
        <v>13</v>
      </c>
      <c r="D4636">
        <v>2</v>
      </c>
      <c r="E4636" t="s">
        <v>15</v>
      </c>
      <c r="F4636" t="s">
        <v>36</v>
      </c>
      <c r="G4636">
        <v>18.75</v>
      </c>
      <c r="H4636">
        <v>53.15</v>
      </c>
      <c r="I4636" t="s">
        <v>15</v>
      </c>
      <c r="J4636" t="s">
        <v>15</v>
      </c>
      <c r="K4636" t="s">
        <v>24</v>
      </c>
      <c r="L4636">
        <v>53.15</v>
      </c>
      <c r="M4636" t="s">
        <v>5030</v>
      </c>
      <c r="N4636" t="s">
        <v>5031</v>
      </c>
    </row>
    <row r="4637" spans="1:14" x14ac:dyDescent="0.3">
      <c r="A4637" t="s">
        <v>4661</v>
      </c>
      <c r="B4637" t="s">
        <v>12</v>
      </c>
      <c r="C4637" t="s">
        <v>35</v>
      </c>
      <c r="D4637">
        <v>40</v>
      </c>
      <c r="E4637" t="s">
        <v>15</v>
      </c>
      <c r="F4637" t="s">
        <v>36</v>
      </c>
      <c r="G4637">
        <v>20.149999999999999</v>
      </c>
      <c r="H4637">
        <v>777.35</v>
      </c>
      <c r="I4637" t="s">
        <v>15</v>
      </c>
      <c r="J4637" t="s">
        <v>15</v>
      </c>
      <c r="K4637" t="s">
        <v>24</v>
      </c>
      <c r="L4637">
        <v>777.35</v>
      </c>
      <c r="M4637" t="s">
        <v>5033</v>
      </c>
      <c r="N4637" t="s">
        <v>5031</v>
      </c>
    </row>
    <row r="4638" spans="1:14" x14ac:dyDescent="0.3">
      <c r="A4638" t="s">
        <v>4662</v>
      </c>
      <c r="B4638" t="s">
        <v>19</v>
      </c>
      <c r="C4638" t="s">
        <v>20</v>
      </c>
      <c r="D4638">
        <v>44</v>
      </c>
      <c r="E4638" t="s">
        <v>15</v>
      </c>
      <c r="F4638" t="s">
        <v>36</v>
      </c>
      <c r="G4638">
        <v>20</v>
      </c>
      <c r="H4638">
        <v>860.85</v>
      </c>
      <c r="I4638" t="s">
        <v>15</v>
      </c>
      <c r="J4638" t="s">
        <v>15</v>
      </c>
      <c r="K4638" t="s">
        <v>24</v>
      </c>
      <c r="L4638">
        <v>860.85</v>
      </c>
      <c r="M4638" t="s">
        <v>5033</v>
      </c>
      <c r="N4638" t="s">
        <v>5031</v>
      </c>
    </row>
    <row r="4639" spans="1:14" x14ac:dyDescent="0.3">
      <c r="A4639" t="s">
        <v>4663</v>
      </c>
      <c r="B4639" t="s">
        <v>19</v>
      </c>
      <c r="C4639" t="s">
        <v>20</v>
      </c>
      <c r="D4639">
        <v>71</v>
      </c>
      <c r="E4639" t="s">
        <v>14</v>
      </c>
      <c r="F4639" t="s">
        <v>16</v>
      </c>
      <c r="G4639">
        <v>71</v>
      </c>
      <c r="H4639">
        <v>5012.1000000000004</v>
      </c>
      <c r="I4639" t="s">
        <v>15</v>
      </c>
      <c r="J4639" t="s">
        <v>16</v>
      </c>
      <c r="K4639" t="s">
        <v>24</v>
      </c>
      <c r="L4639">
        <v>5012.1000000000004</v>
      </c>
      <c r="M4639" t="s">
        <v>5033</v>
      </c>
      <c r="N4639" t="s">
        <v>5034</v>
      </c>
    </row>
    <row r="4640" spans="1:14" x14ac:dyDescent="0.3">
      <c r="A4640" t="s">
        <v>4664</v>
      </c>
      <c r="B4640" t="s">
        <v>12</v>
      </c>
      <c r="C4640" t="s">
        <v>13</v>
      </c>
      <c r="D4640">
        <v>2</v>
      </c>
      <c r="E4640" t="s">
        <v>26</v>
      </c>
      <c r="F4640" t="s">
        <v>15</v>
      </c>
      <c r="G4640">
        <v>75.55</v>
      </c>
      <c r="H4640">
        <v>166.3</v>
      </c>
      <c r="I4640" t="s">
        <v>16</v>
      </c>
      <c r="J4640" t="s">
        <v>16</v>
      </c>
      <c r="K4640" t="s">
        <v>17</v>
      </c>
      <c r="L4640">
        <v>166.3</v>
      </c>
      <c r="M4640" t="s">
        <v>5030</v>
      </c>
      <c r="N4640" t="s">
        <v>5031</v>
      </c>
    </row>
    <row r="4641" spans="1:14" x14ac:dyDescent="0.3">
      <c r="A4641" t="s">
        <v>4665</v>
      </c>
      <c r="B4641" t="s">
        <v>19</v>
      </c>
      <c r="C4641" t="s">
        <v>13</v>
      </c>
      <c r="D4641">
        <v>26</v>
      </c>
      <c r="E4641" t="s">
        <v>26</v>
      </c>
      <c r="F4641" t="s">
        <v>15</v>
      </c>
      <c r="G4641">
        <v>93.6</v>
      </c>
      <c r="H4641">
        <v>2404.1</v>
      </c>
      <c r="I4641" t="s">
        <v>15</v>
      </c>
      <c r="J4641" t="s">
        <v>16</v>
      </c>
      <c r="K4641" t="s">
        <v>17</v>
      </c>
      <c r="L4641">
        <v>2404.1</v>
      </c>
      <c r="M4641" t="s">
        <v>5032</v>
      </c>
      <c r="N4641" t="s">
        <v>5031</v>
      </c>
    </row>
    <row r="4642" spans="1:14" x14ac:dyDescent="0.3">
      <c r="A4642" t="s">
        <v>4666</v>
      </c>
      <c r="B4642" t="s">
        <v>19</v>
      </c>
      <c r="C4642" t="s">
        <v>13</v>
      </c>
      <c r="D4642">
        <v>1</v>
      </c>
      <c r="E4642" t="s">
        <v>26</v>
      </c>
      <c r="F4642" t="s">
        <v>15</v>
      </c>
      <c r="G4642">
        <v>70</v>
      </c>
      <c r="H4642">
        <v>70</v>
      </c>
      <c r="I4642" t="s">
        <v>16</v>
      </c>
      <c r="J4642" t="s">
        <v>16</v>
      </c>
      <c r="K4642" t="s">
        <v>17</v>
      </c>
      <c r="L4642">
        <v>70</v>
      </c>
      <c r="M4642" t="s">
        <v>5030</v>
      </c>
      <c r="N4642" t="s">
        <v>5031</v>
      </c>
    </row>
    <row r="4643" spans="1:14" x14ac:dyDescent="0.3">
      <c r="A4643" t="s">
        <v>4667</v>
      </c>
      <c r="B4643" t="s">
        <v>12</v>
      </c>
      <c r="C4643" t="s">
        <v>13</v>
      </c>
      <c r="D4643">
        <v>1</v>
      </c>
      <c r="E4643" t="s">
        <v>14</v>
      </c>
      <c r="F4643" t="s">
        <v>15</v>
      </c>
      <c r="G4643">
        <v>24.4</v>
      </c>
      <c r="H4643">
        <v>24.4</v>
      </c>
      <c r="I4643" t="s">
        <v>15</v>
      </c>
      <c r="J4643" t="s">
        <v>15</v>
      </c>
      <c r="K4643" t="s">
        <v>21</v>
      </c>
      <c r="L4643">
        <v>24.4</v>
      </c>
      <c r="M4643" t="s">
        <v>5030</v>
      </c>
      <c r="N4643" t="s">
        <v>5031</v>
      </c>
    </row>
    <row r="4644" spans="1:14" x14ac:dyDescent="0.3">
      <c r="A4644" t="s">
        <v>4668</v>
      </c>
      <c r="B4644" t="s">
        <v>19</v>
      </c>
      <c r="C4644" t="s">
        <v>35</v>
      </c>
      <c r="D4644">
        <v>65</v>
      </c>
      <c r="E4644" t="s">
        <v>14</v>
      </c>
      <c r="F4644" t="s">
        <v>16</v>
      </c>
      <c r="G4644">
        <v>74.8</v>
      </c>
      <c r="H4644">
        <v>4820.1499999999996</v>
      </c>
      <c r="I4644" t="s">
        <v>16</v>
      </c>
      <c r="J4644" t="s">
        <v>16</v>
      </c>
      <c r="K4644" t="s">
        <v>24</v>
      </c>
      <c r="L4644">
        <v>4820.1499999999996</v>
      </c>
      <c r="M4644" t="s">
        <v>5033</v>
      </c>
      <c r="N4644" t="s">
        <v>5034</v>
      </c>
    </row>
    <row r="4645" spans="1:14" x14ac:dyDescent="0.3">
      <c r="A4645" t="s">
        <v>4669</v>
      </c>
      <c r="B4645" t="s">
        <v>19</v>
      </c>
      <c r="C4645" t="s">
        <v>13</v>
      </c>
      <c r="D4645">
        <v>3</v>
      </c>
      <c r="E4645" t="s">
        <v>14</v>
      </c>
      <c r="F4645" t="s">
        <v>16</v>
      </c>
      <c r="G4645">
        <v>65.25</v>
      </c>
      <c r="H4645">
        <v>209.9</v>
      </c>
      <c r="I4645" t="s">
        <v>15</v>
      </c>
      <c r="J4645" t="s">
        <v>16</v>
      </c>
      <c r="K4645" t="s">
        <v>21</v>
      </c>
      <c r="L4645">
        <v>209.9</v>
      </c>
      <c r="M4645" t="s">
        <v>5030</v>
      </c>
      <c r="N4645" t="s">
        <v>5031</v>
      </c>
    </row>
    <row r="4646" spans="1:14" x14ac:dyDescent="0.3">
      <c r="A4646" t="s">
        <v>4670</v>
      </c>
      <c r="B4646" t="s">
        <v>19</v>
      </c>
      <c r="C4646" t="s">
        <v>13</v>
      </c>
      <c r="D4646">
        <v>13</v>
      </c>
      <c r="E4646" t="s">
        <v>14</v>
      </c>
      <c r="F4646" t="s">
        <v>16</v>
      </c>
      <c r="G4646">
        <v>50.55</v>
      </c>
      <c r="H4646">
        <v>610.75</v>
      </c>
      <c r="I4646" t="s">
        <v>15</v>
      </c>
      <c r="J4646" t="s">
        <v>16</v>
      </c>
      <c r="K4646" t="s">
        <v>21</v>
      </c>
      <c r="L4646">
        <v>610.75</v>
      </c>
      <c r="M4646" t="s">
        <v>5032</v>
      </c>
      <c r="N4646" t="s">
        <v>5031</v>
      </c>
    </row>
    <row r="4647" spans="1:14" x14ac:dyDescent="0.3">
      <c r="A4647" t="s">
        <v>4671</v>
      </c>
      <c r="B4647" t="s">
        <v>12</v>
      </c>
      <c r="C4647" t="s">
        <v>13</v>
      </c>
      <c r="D4647">
        <v>33</v>
      </c>
      <c r="E4647" t="s">
        <v>26</v>
      </c>
      <c r="F4647" t="s">
        <v>15</v>
      </c>
      <c r="G4647">
        <v>104.4</v>
      </c>
      <c r="H4647">
        <v>3409.6</v>
      </c>
      <c r="I4647" t="s">
        <v>16</v>
      </c>
      <c r="J4647" t="s">
        <v>16</v>
      </c>
      <c r="K4647" t="s">
        <v>17</v>
      </c>
      <c r="L4647">
        <v>3409.6</v>
      </c>
      <c r="M4647" t="s">
        <v>5032</v>
      </c>
      <c r="N4647" t="s">
        <v>5034</v>
      </c>
    </row>
    <row r="4648" spans="1:14" x14ac:dyDescent="0.3">
      <c r="A4648" t="s">
        <v>4672</v>
      </c>
      <c r="B4648" t="s">
        <v>12</v>
      </c>
      <c r="C4648" t="s">
        <v>13</v>
      </c>
      <c r="D4648">
        <v>1</v>
      </c>
      <c r="E4648" t="s">
        <v>26</v>
      </c>
      <c r="F4648" t="s">
        <v>15</v>
      </c>
      <c r="G4648">
        <v>70.7</v>
      </c>
      <c r="H4648">
        <v>70.7</v>
      </c>
      <c r="I4648" t="s">
        <v>15</v>
      </c>
      <c r="J4648" t="s">
        <v>16</v>
      </c>
      <c r="K4648" t="s">
        <v>21</v>
      </c>
      <c r="L4648">
        <v>70.7</v>
      </c>
      <c r="M4648" t="s">
        <v>5030</v>
      </c>
      <c r="N4648" t="s">
        <v>5031</v>
      </c>
    </row>
    <row r="4649" spans="1:14" x14ac:dyDescent="0.3">
      <c r="A4649" t="s">
        <v>4673</v>
      </c>
      <c r="B4649" t="s">
        <v>19</v>
      </c>
      <c r="C4649" t="s">
        <v>13</v>
      </c>
      <c r="D4649">
        <v>4</v>
      </c>
      <c r="E4649" t="s">
        <v>14</v>
      </c>
      <c r="F4649" t="s">
        <v>15</v>
      </c>
      <c r="G4649">
        <v>45.25</v>
      </c>
      <c r="H4649">
        <v>155.35</v>
      </c>
      <c r="I4649" t="s">
        <v>15</v>
      </c>
      <c r="J4649" t="s">
        <v>15</v>
      </c>
      <c r="K4649" t="s">
        <v>21</v>
      </c>
      <c r="L4649">
        <v>155.35</v>
      </c>
      <c r="M4649" t="s">
        <v>5030</v>
      </c>
      <c r="N4649" t="s">
        <v>5031</v>
      </c>
    </row>
    <row r="4650" spans="1:14" x14ac:dyDescent="0.3">
      <c r="A4650" t="s">
        <v>4674</v>
      </c>
      <c r="B4650" t="s">
        <v>19</v>
      </c>
      <c r="C4650" t="s">
        <v>13</v>
      </c>
      <c r="D4650">
        <v>2</v>
      </c>
      <c r="E4650" t="s">
        <v>26</v>
      </c>
      <c r="F4650" t="s">
        <v>15</v>
      </c>
      <c r="G4650">
        <v>70.3</v>
      </c>
      <c r="H4650">
        <v>144</v>
      </c>
      <c r="I4650" t="s">
        <v>15</v>
      </c>
      <c r="J4650" t="s">
        <v>16</v>
      </c>
      <c r="K4650" t="s">
        <v>17</v>
      </c>
      <c r="L4650">
        <v>144</v>
      </c>
      <c r="M4650" t="s">
        <v>5030</v>
      </c>
      <c r="N4650" t="s">
        <v>5031</v>
      </c>
    </row>
    <row r="4651" spans="1:14" x14ac:dyDescent="0.3">
      <c r="A4651" t="s">
        <v>4675</v>
      </c>
      <c r="B4651" t="s">
        <v>19</v>
      </c>
      <c r="C4651" t="s">
        <v>35</v>
      </c>
      <c r="D4651">
        <v>72</v>
      </c>
      <c r="E4651" t="s">
        <v>26</v>
      </c>
      <c r="F4651" t="s">
        <v>16</v>
      </c>
      <c r="G4651">
        <v>108.95</v>
      </c>
      <c r="H4651">
        <v>7875</v>
      </c>
      <c r="I4651" t="s">
        <v>15</v>
      </c>
      <c r="J4651" t="s">
        <v>16</v>
      </c>
      <c r="K4651" t="s">
        <v>29</v>
      </c>
      <c r="L4651">
        <v>7875</v>
      </c>
      <c r="M4651" t="s">
        <v>5033</v>
      </c>
      <c r="N4651" t="s">
        <v>5034</v>
      </c>
    </row>
    <row r="4652" spans="1:14" x14ac:dyDescent="0.3">
      <c r="A4652" t="s">
        <v>4676</v>
      </c>
      <c r="B4652" t="s">
        <v>12</v>
      </c>
      <c r="C4652" t="s">
        <v>13</v>
      </c>
      <c r="D4652">
        <v>37</v>
      </c>
      <c r="E4652" t="s">
        <v>15</v>
      </c>
      <c r="F4652" t="s">
        <v>36</v>
      </c>
      <c r="G4652">
        <v>26.45</v>
      </c>
      <c r="H4652">
        <v>911.6</v>
      </c>
      <c r="I4652" t="s">
        <v>15</v>
      </c>
      <c r="J4652" t="s">
        <v>15</v>
      </c>
      <c r="K4652" t="s">
        <v>21</v>
      </c>
      <c r="L4652">
        <v>911.6</v>
      </c>
      <c r="M4652" t="s">
        <v>5033</v>
      </c>
      <c r="N4652" t="s">
        <v>5031</v>
      </c>
    </row>
    <row r="4653" spans="1:14" x14ac:dyDescent="0.3">
      <c r="A4653" t="s">
        <v>4677</v>
      </c>
      <c r="B4653" t="s">
        <v>12</v>
      </c>
      <c r="C4653" t="s">
        <v>13</v>
      </c>
      <c r="D4653">
        <v>15</v>
      </c>
      <c r="E4653" t="s">
        <v>26</v>
      </c>
      <c r="F4653" t="s">
        <v>15</v>
      </c>
      <c r="G4653">
        <v>86.2</v>
      </c>
      <c r="H4653">
        <v>1270.2</v>
      </c>
      <c r="I4653" t="s">
        <v>16</v>
      </c>
      <c r="J4653" t="s">
        <v>15</v>
      </c>
      <c r="K4653" t="s">
        <v>17</v>
      </c>
      <c r="L4653">
        <v>1270.2</v>
      </c>
      <c r="M4653" t="s">
        <v>5032</v>
      </c>
      <c r="N4653" t="s">
        <v>5031</v>
      </c>
    </row>
    <row r="4654" spans="1:14" x14ac:dyDescent="0.3">
      <c r="A4654" t="s">
        <v>4678</v>
      </c>
      <c r="B4654" t="s">
        <v>12</v>
      </c>
      <c r="C4654" t="s">
        <v>20</v>
      </c>
      <c r="D4654">
        <v>23</v>
      </c>
      <c r="E4654" t="s">
        <v>15</v>
      </c>
      <c r="F4654" t="s">
        <v>36</v>
      </c>
      <c r="G4654">
        <v>19.649999999999999</v>
      </c>
      <c r="H4654">
        <v>478.1</v>
      </c>
      <c r="I4654" t="s">
        <v>15</v>
      </c>
      <c r="J4654" t="s">
        <v>16</v>
      </c>
      <c r="K4654" t="s">
        <v>29</v>
      </c>
      <c r="L4654">
        <v>478.1</v>
      </c>
      <c r="M4654" t="s">
        <v>5032</v>
      </c>
      <c r="N4654" t="s">
        <v>5031</v>
      </c>
    </row>
    <row r="4655" spans="1:14" x14ac:dyDescent="0.3">
      <c r="A4655" t="s">
        <v>4679</v>
      </c>
      <c r="B4655" t="s">
        <v>12</v>
      </c>
      <c r="C4655" t="s">
        <v>13</v>
      </c>
      <c r="D4655">
        <v>30</v>
      </c>
      <c r="E4655" t="s">
        <v>14</v>
      </c>
      <c r="F4655" t="s">
        <v>16</v>
      </c>
      <c r="G4655">
        <v>51.2</v>
      </c>
      <c r="H4655">
        <v>1561.5</v>
      </c>
      <c r="I4655" t="s">
        <v>16</v>
      </c>
      <c r="J4655" t="s">
        <v>15</v>
      </c>
      <c r="K4655" t="s">
        <v>29</v>
      </c>
      <c r="L4655">
        <v>1561.5</v>
      </c>
      <c r="M4655" t="s">
        <v>5032</v>
      </c>
      <c r="N4655" t="s">
        <v>5031</v>
      </c>
    </row>
    <row r="4656" spans="1:14" x14ac:dyDescent="0.3">
      <c r="A4656" t="s">
        <v>4680</v>
      </c>
      <c r="B4656" t="s">
        <v>12</v>
      </c>
      <c r="C4656" t="s">
        <v>20</v>
      </c>
      <c r="D4656">
        <v>42</v>
      </c>
      <c r="E4656" t="s">
        <v>15</v>
      </c>
      <c r="F4656" t="s">
        <v>36</v>
      </c>
      <c r="G4656">
        <v>19.05</v>
      </c>
      <c r="H4656">
        <v>761.85</v>
      </c>
      <c r="I4656" t="s">
        <v>15</v>
      </c>
      <c r="J4656" t="s">
        <v>16</v>
      </c>
      <c r="K4656" t="s">
        <v>17</v>
      </c>
      <c r="L4656">
        <v>761.85</v>
      </c>
      <c r="M4656" t="s">
        <v>5033</v>
      </c>
      <c r="N4656" t="s">
        <v>5031</v>
      </c>
    </row>
    <row r="4657" spans="1:14" x14ac:dyDescent="0.3">
      <c r="A4657" t="s">
        <v>4681</v>
      </c>
      <c r="B4657" t="s">
        <v>12</v>
      </c>
      <c r="C4657" t="s">
        <v>20</v>
      </c>
      <c r="D4657">
        <v>32</v>
      </c>
      <c r="E4657" t="s">
        <v>14</v>
      </c>
      <c r="F4657" t="s">
        <v>15</v>
      </c>
      <c r="G4657">
        <v>74.75</v>
      </c>
      <c r="H4657">
        <v>2282.9499999999998</v>
      </c>
      <c r="I4657" t="s">
        <v>15</v>
      </c>
      <c r="J4657" t="s">
        <v>15</v>
      </c>
      <c r="K4657" t="s">
        <v>21</v>
      </c>
      <c r="L4657">
        <v>2282.9499999999998</v>
      </c>
      <c r="M4657" t="s">
        <v>5032</v>
      </c>
      <c r="N4657" t="s">
        <v>5031</v>
      </c>
    </row>
    <row r="4658" spans="1:14" x14ac:dyDescent="0.3">
      <c r="A4658" t="s">
        <v>4682</v>
      </c>
      <c r="B4658" t="s">
        <v>12</v>
      </c>
      <c r="C4658" t="s">
        <v>13</v>
      </c>
      <c r="D4658">
        <v>22</v>
      </c>
      <c r="E4658" t="s">
        <v>26</v>
      </c>
      <c r="F4658" t="s">
        <v>15</v>
      </c>
      <c r="G4658">
        <v>75.8</v>
      </c>
      <c r="H4658">
        <v>1615.1</v>
      </c>
      <c r="I4658" t="s">
        <v>15</v>
      </c>
      <c r="J4658" t="s">
        <v>16</v>
      </c>
      <c r="K4658" t="s">
        <v>24</v>
      </c>
      <c r="L4658">
        <v>1615.1</v>
      </c>
      <c r="M4658" t="s">
        <v>5032</v>
      </c>
      <c r="N4658" t="s">
        <v>5031</v>
      </c>
    </row>
    <row r="4659" spans="1:14" x14ac:dyDescent="0.3">
      <c r="A4659" t="s">
        <v>4683</v>
      </c>
      <c r="B4659" t="s">
        <v>19</v>
      </c>
      <c r="C4659" t="s">
        <v>13</v>
      </c>
      <c r="D4659">
        <v>42</v>
      </c>
      <c r="E4659" t="s">
        <v>14</v>
      </c>
      <c r="F4659" t="s">
        <v>15</v>
      </c>
      <c r="G4659">
        <v>25.1</v>
      </c>
      <c r="H4659">
        <v>1097.1500000000001</v>
      </c>
      <c r="I4659" t="s">
        <v>15</v>
      </c>
      <c r="J4659" t="s">
        <v>16</v>
      </c>
      <c r="K4659" t="s">
        <v>29</v>
      </c>
      <c r="L4659">
        <v>1097.1500000000001</v>
      </c>
      <c r="M4659" t="s">
        <v>5033</v>
      </c>
      <c r="N4659" t="s">
        <v>5031</v>
      </c>
    </row>
    <row r="4660" spans="1:14" x14ac:dyDescent="0.3">
      <c r="A4660" t="s">
        <v>4684</v>
      </c>
      <c r="B4660" t="s">
        <v>12</v>
      </c>
      <c r="C4660" t="s">
        <v>13</v>
      </c>
      <c r="D4660">
        <v>8</v>
      </c>
      <c r="E4660" t="s">
        <v>14</v>
      </c>
      <c r="F4660" t="s">
        <v>15</v>
      </c>
      <c r="G4660">
        <v>44.45</v>
      </c>
      <c r="H4660">
        <v>369.3</v>
      </c>
      <c r="I4660" t="s">
        <v>15</v>
      </c>
      <c r="J4660" t="s">
        <v>15</v>
      </c>
      <c r="K4660" t="s">
        <v>21</v>
      </c>
      <c r="L4660">
        <v>369.3</v>
      </c>
      <c r="M4660" t="s">
        <v>5030</v>
      </c>
      <c r="N4660" t="s">
        <v>5031</v>
      </c>
    </row>
    <row r="4661" spans="1:14" x14ac:dyDescent="0.3">
      <c r="A4661" t="s">
        <v>4685</v>
      </c>
      <c r="B4661" t="s">
        <v>12</v>
      </c>
      <c r="C4661" t="s">
        <v>35</v>
      </c>
      <c r="D4661">
        <v>65</v>
      </c>
      <c r="E4661" t="s">
        <v>26</v>
      </c>
      <c r="F4661" t="s">
        <v>15</v>
      </c>
      <c r="G4661">
        <v>104.3</v>
      </c>
      <c r="H4661">
        <v>6725.3</v>
      </c>
      <c r="I4661" t="s">
        <v>15</v>
      </c>
      <c r="J4661" t="s">
        <v>16</v>
      </c>
      <c r="K4661" t="s">
        <v>29</v>
      </c>
      <c r="L4661">
        <v>6725.3</v>
      </c>
      <c r="M4661" t="s">
        <v>5033</v>
      </c>
      <c r="N4661" t="s">
        <v>5034</v>
      </c>
    </row>
    <row r="4662" spans="1:14" x14ac:dyDescent="0.3">
      <c r="A4662" t="s">
        <v>4686</v>
      </c>
      <c r="B4662" t="s">
        <v>12</v>
      </c>
      <c r="C4662" t="s">
        <v>13</v>
      </c>
      <c r="D4662">
        <v>2</v>
      </c>
      <c r="E4662" t="s">
        <v>15</v>
      </c>
      <c r="F4662" t="s">
        <v>36</v>
      </c>
      <c r="G4662">
        <v>19.5</v>
      </c>
      <c r="H4662">
        <v>31.55</v>
      </c>
      <c r="I4662" t="s">
        <v>16</v>
      </c>
      <c r="J4662" t="s">
        <v>15</v>
      </c>
      <c r="K4662" t="s">
        <v>21</v>
      </c>
      <c r="L4662">
        <v>31.55</v>
      </c>
      <c r="M4662" t="s">
        <v>5030</v>
      </c>
      <c r="N4662" t="s">
        <v>5031</v>
      </c>
    </row>
    <row r="4663" spans="1:14" x14ac:dyDescent="0.3">
      <c r="A4663" t="s">
        <v>4687</v>
      </c>
      <c r="B4663" t="s">
        <v>12</v>
      </c>
      <c r="C4663" t="s">
        <v>35</v>
      </c>
      <c r="D4663">
        <v>70</v>
      </c>
      <c r="E4663" t="s">
        <v>14</v>
      </c>
      <c r="F4663" t="s">
        <v>16</v>
      </c>
      <c r="G4663">
        <v>89</v>
      </c>
      <c r="H4663">
        <v>6293.2</v>
      </c>
      <c r="I4663" t="s">
        <v>15</v>
      </c>
      <c r="J4663" t="s">
        <v>16</v>
      </c>
      <c r="K4663" t="s">
        <v>24</v>
      </c>
      <c r="L4663">
        <v>6293.2</v>
      </c>
      <c r="M4663" t="s">
        <v>5033</v>
      </c>
      <c r="N4663" t="s">
        <v>5034</v>
      </c>
    </row>
    <row r="4664" spans="1:14" x14ac:dyDescent="0.3">
      <c r="A4664" t="s">
        <v>4688</v>
      </c>
      <c r="B4664" t="s">
        <v>19</v>
      </c>
      <c r="C4664" t="s">
        <v>13</v>
      </c>
      <c r="D4664">
        <v>22</v>
      </c>
      <c r="E4664" t="s">
        <v>15</v>
      </c>
      <c r="F4664" t="s">
        <v>36</v>
      </c>
      <c r="G4664">
        <v>20.149999999999999</v>
      </c>
      <c r="H4664">
        <v>432.5</v>
      </c>
      <c r="I4664" t="s">
        <v>15</v>
      </c>
      <c r="J4664" t="s">
        <v>15</v>
      </c>
      <c r="K4664" t="s">
        <v>29</v>
      </c>
      <c r="L4664">
        <v>432.5</v>
      </c>
      <c r="M4664" t="s">
        <v>5032</v>
      </c>
      <c r="N4664" t="s">
        <v>5031</v>
      </c>
    </row>
    <row r="4665" spans="1:14" x14ac:dyDescent="0.3">
      <c r="A4665" t="s">
        <v>4689</v>
      </c>
      <c r="B4665" t="s">
        <v>12</v>
      </c>
      <c r="C4665" t="s">
        <v>13</v>
      </c>
      <c r="D4665">
        <v>4</v>
      </c>
      <c r="E4665" t="s">
        <v>26</v>
      </c>
      <c r="F4665" t="s">
        <v>15</v>
      </c>
      <c r="G4665">
        <v>74.900000000000006</v>
      </c>
      <c r="H4665">
        <v>321.75</v>
      </c>
      <c r="I4665" t="s">
        <v>16</v>
      </c>
      <c r="J4665" t="s">
        <v>16</v>
      </c>
      <c r="K4665" t="s">
        <v>17</v>
      </c>
      <c r="L4665">
        <v>321.75</v>
      </c>
      <c r="M4665" t="s">
        <v>5030</v>
      </c>
      <c r="N4665" t="s">
        <v>5031</v>
      </c>
    </row>
    <row r="4666" spans="1:14" x14ac:dyDescent="0.3">
      <c r="A4666" t="s">
        <v>4690</v>
      </c>
      <c r="B4666" t="s">
        <v>12</v>
      </c>
      <c r="C4666" t="s">
        <v>13</v>
      </c>
      <c r="D4666">
        <v>2</v>
      </c>
      <c r="E4666" t="s">
        <v>26</v>
      </c>
      <c r="F4666" t="s">
        <v>15</v>
      </c>
      <c r="G4666">
        <v>74.900000000000006</v>
      </c>
      <c r="H4666">
        <v>147.15</v>
      </c>
      <c r="I4666" t="s">
        <v>16</v>
      </c>
      <c r="J4666" t="s">
        <v>15</v>
      </c>
      <c r="K4666" t="s">
        <v>29</v>
      </c>
      <c r="L4666">
        <v>147.15</v>
      </c>
      <c r="M4666" t="s">
        <v>5030</v>
      </c>
      <c r="N4666" t="s">
        <v>5031</v>
      </c>
    </row>
    <row r="4667" spans="1:14" x14ac:dyDescent="0.3">
      <c r="A4667" t="s">
        <v>4691</v>
      </c>
      <c r="B4667" t="s">
        <v>12</v>
      </c>
      <c r="C4667" t="s">
        <v>35</v>
      </c>
      <c r="D4667">
        <v>67</v>
      </c>
      <c r="E4667" t="s">
        <v>14</v>
      </c>
      <c r="F4667" t="s">
        <v>15</v>
      </c>
      <c r="G4667">
        <v>36.15</v>
      </c>
      <c r="H4667">
        <v>2434.4499999999998</v>
      </c>
      <c r="I4667" t="s">
        <v>15</v>
      </c>
      <c r="J4667" t="s">
        <v>15</v>
      </c>
      <c r="K4667" t="s">
        <v>24</v>
      </c>
      <c r="L4667">
        <v>2434.4499999999998</v>
      </c>
      <c r="M4667" t="s">
        <v>5033</v>
      </c>
      <c r="N4667" t="s">
        <v>5031</v>
      </c>
    </row>
    <row r="4668" spans="1:14" x14ac:dyDescent="0.3">
      <c r="A4668" t="s">
        <v>4692</v>
      </c>
      <c r="B4668" t="s">
        <v>12</v>
      </c>
      <c r="C4668" t="s">
        <v>13</v>
      </c>
      <c r="D4668">
        <v>25</v>
      </c>
      <c r="E4668" t="s">
        <v>15</v>
      </c>
      <c r="F4668" t="s">
        <v>36</v>
      </c>
      <c r="G4668">
        <v>19.2</v>
      </c>
      <c r="H4668">
        <v>532.1</v>
      </c>
      <c r="I4668" t="s">
        <v>15</v>
      </c>
      <c r="J4668" t="s">
        <v>16</v>
      </c>
      <c r="K4668" t="s">
        <v>29</v>
      </c>
      <c r="L4668">
        <v>532.1</v>
      </c>
      <c r="M4668" t="s">
        <v>5032</v>
      </c>
      <c r="N4668" t="s">
        <v>5031</v>
      </c>
    </row>
    <row r="4669" spans="1:14" x14ac:dyDescent="0.3">
      <c r="A4669" t="s">
        <v>4693</v>
      </c>
      <c r="B4669" t="s">
        <v>12</v>
      </c>
      <c r="C4669" t="s">
        <v>13</v>
      </c>
      <c r="D4669">
        <v>20</v>
      </c>
      <c r="E4669" t="s">
        <v>15</v>
      </c>
      <c r="F4669" t="s">
        <v>36</v>
      </c>
      <c r="G4669">
        <v>19.25</v>
      </c>
      <c r="H4669">
        <v>375.25</v>
      </c>
      <c r="I4669" t="s">
        <v>15</v>
      </c>
      <c r="J4669" t="s">
        <v>15</v>
      </c>
      <c r="K4669" t="s">
        <v>24</v>
      </c>
      <c r="L4669">
        <v>375.25</v>
      </c>
      <c r="M4669" t="s">
        <v>5032</v>
      </c>
      <c r="N4669" t="s">
        <v>5031</v>
      </c>
    </row>
    <row r="4670" spans="1:14" x14ac:dyDescent="0.3">
      <c r="A4670" t="s">
        <v>4694</v>
      </c>
      <c r="B4670" t="s">
        <v>12</v>
      </c>
      <c r="C4670" t="s">
        <v>13</v>
      </c>
      <c r="D4670">
        <v>2</v>
      </c>
      <c r="E4670" t="s">
        <v>14</v>
      </c>
      <c r="F4670" t="s">
        <v>15</v>
      </c>
      <c r="G4670">
        <v>61.2</v>
      </c>
      <c r="H4670">
        <v>125.95</v>
      </c>
      <c r="I4670" t="s">
        <v>15</v>
      </c>
      <c r="J4670" t="s">
        <v>16</v>
      </c>
      <c r="K4670" t="s">
        <v>29</v>
      </c>
      <c r="L4670">
        <v>125.95</v>
      </c>
      <c r="M4670" t="s">
        <v>5030</v>
      </c>
      <c r="N4670" t="s">
        <v>5031</v>
      </c>
    </row>
    <row r="4671" spans="1:14" x14ac:dyDescent="0.3">
      <c r="A4671" t="s">
        <v>4695</v>
      </c>
      <c r="B4671" t="s">
        <v>19</v>
      </c>
      <c r="C4671" t="s">
        <v>35</v>
      </c>
      <c r="D4671">
        <v>51</v>
      </c>
      <c r="E4671" t="s">
        <v>15</v>
      </c>
      <c r="F4671" t="s">
        <v>36</v>
      </c>
      <c r="G4671">
        <v>20.45</v>
      </c>
      <c r="H4671">
        <v>1042.6500000000001</v>
      </c>
      <c r="I4671" t="s">
        <v>15</v>
      </c>
      <c r="J4671" t="s">
        <v>15</v>
      </c>
      <c r="K4671" t="s">
        <v>21</v>
      </c>
      <c r="L4671">
        <v>1042.6500000000001</v>
      </c>
      <c r="M4671" t="s">
        <v>5033</v>
      </c>
      <c r="N4671" t="s">
        <v>5031</v>
      </c>
    </row>
    <row r="4672" spans="1:14" x14ac:dyDescent="0.3">
      <c r="A4672" t="s">
        <v>4696</v>
      </c>
      <c r="B4672" t="s">
        <v>12</v>
      </c>
      <c r="C4672" t="s">
        <v>13</v>
      </c>
      <c r="D4672">
        <v>46</v>
      </c>
      <c r="E4672" t="s">
        <v>14</v>
      </c>
      <c r="F4672" t="s">
        <v>15</v>
      </c>
      <c r="G4672">
        <v>35.049999999999997</v>
      </c>
      <c r="H4672">
        <v>1620.25</v>
      </c>
      <c r="I4672" t="s">
        <v>15</v>
      </c>
      <c r="J4672" t="s">
        <v>15</v>
      </c>
      <c r="K4672" t="s">
        <v>24</v>
      </c>
      <c r="L4672">
        <v>1620.25</v>
      </c>
      <c r="M4672" t="s">
        <v>5033</v>
      </c>
      <c r="N4672" t="s">
        <v>5031</v>
      </c>
    </row>
    <row r="4673" spans="1:14" x14ac:dyDescent="0.3">
      <c r="A4673" t="s">
        <v>4697</v>
      </c>
      <c r="B4673" t="s">
        <v>12</v>
      </c>
      <c r="C4673" t="s">
        <v>13</v>
      </c>
      <c r="D4673">
        <v>25</v>
      </c>
      <c r="E4673" t="s">
        <v>26</v>
      </c>
      <c r="F4673" t="s">
        <v>15</v>
      </c>
      <c r="G4673">
        <v>100.25</v>
      </c>
      <c r="H4673">
        <v>2387.75</v>
      </c>
      <c r="I4673" t="s">
        <v>16</v>
      </c>
      <c r="J4673" t="s">
        <v>16</v>
      </c>
      <c r="K4673" t="s">
        <v>17</v>
      </c>
      <c r="L4673">
        <v>2387.75</v>
      </c>
      <c r="M4673" t="s">
        <v>5032</v>
      </c>
      <c r="N4673" t="s">
        <v>5031</v>
      </c>
    </row>
    <row r="4674" spans="1:14" x14ac:dyDescent="0.3">
      <c r="A4674" t="s">
        <v>4698</v>
      </c>
      <c r="B4674" t="s">
        <v>19</v>
      </c>
      <c r="C4674" t="s">
        <v>13</v>
      </c>
      <c r="D4674">
        <v>13</v>
      </c>
      <c r="E4674" t="s">
        <v>14</v>
      </c>
      <c r="F4674" t="s">
        <v>15</v>
      </c>
      <c r="G4674">
        <v>44</v>
      </c>
      <c r="H4674">
        <v>659.35</v>
      </c>
      <c r="I4674" t="s">
        <v>15</v>
      </c>
      <c r="J4674" t="s">
        <v>15</v>
      </c>
      <c r="K4674" t="s">
        <v>21</v>
      </c>
      <c r="L4674">
        <v>659.35</v>
      </c>
      <c r="M4674" t="s">
        <v>5032</v>
      </c>
      <c r="N4674" t="s">
        <v>5031</v>
      </c>
    </row>
    <row r="4675" spans="1:14" x14ac:dyDescent="0.3">
      <c r="A4675" t="s">
        <v>4699</v>
      </c>
      <c r="B4675" t="s">
        <v>12</v>
      </c>
      <c r="C4675" t="s">
        <v>13</v>
      </c>
      <c r="D4675">
        <v>25</v>
      </c>
      <c r="E4675" t="s">
        <v>26</v>
      </c>
      <c r="F4675" t="s">
        <v>15</v>
      </c>
      <c r="G4675">
        <v>102.8</v>
      </c>
      <c r="H4675">
        <v>2660.2</v>
      </c>
      <c r="I4675" t="s">
        <v>16</v>
      </c>
      <c r="J4675" t="s">
        <v>16</v>
      </c>
      <c r="K4675" t="s">
        <v>21</v>
      </c>
      <c r="L4675">
        <v>2660.2</v>
      </c>
      <c r="M4675" t="s">
        <v>5032</v>
      </c>
      <c r="N4675" t="s">
        <v>5034</v>
      </c>
    </row>
    <row r="4676" spans="1:14" x14ac:dyDescent="0.3">
      <c r="A4676" t="s">
        <v>4700</v>
      </c>
      <c r="B4676" t="s">
        <v>19</v>
      </c>
      <c r="C4676" t="s">
        <v>20</v>
      </c>
      <c r="D4676">
        <v>26</v>
      </c>
      <c r="E4676" t="s">
        <v>14</v>
      </c>
      <c r="F4676" t="s">
        <v>15</v>
      </c>
      <c r="G4676">
        <v>50.35</v>
      </c>
      <c r="H4676">
        <v>1285.8</v>
      </c>
      <c r="I4676" t="s">
        <v>15</v>
      </c>
      <c r="J4676" t="s">
        <v>15</v>
      </c>
      <c r="K4676" t="s">
        <v>21</v>
      </c>
      <c r="L4676">
        <v>1285.8</v>
      </c>
      <c r="M4676" t="s">
        <v>5032</v>
      </c>
      <c r="N4676" t="s">
        <v>5031</v>
      </c>
    </row>
    <row r="4677" spans="1:14" x14ac:dyDescent="0.3">
      <c r="A4677" t="s">
        <v>4701</v>
      </c>
      <c r="B4677" t="s">
        <v>19</v>
      </c>
      <c r="C4677" t="s">
        <v>20</v>
      </c>
      <c r="D4677">
        <v>43</v>
      </c>
      <c r="E4677" t="s">
        <v>26</v>
      </c>
      <c r="F4677" t="s">
        <v>16</v>
      </c>
      <c r="G4677">
        <v>100</v>
      </c>
      <c r="H4677">
        <v>4211.55</v>
      </c>
      <c r="I4677" t="s">
        <v>16</v>
      </c>
      <c r="J4677" t="s">
        <v>16</v>
      </c>
      <c r="K4677" t="s">
        <v>17</v>
      </c>
      <c r="L4677">
        <v>4211.55</v>
      </c>
      <c r="M4677" t="s">
        <v>5033</v>
      </c>
      <c r="N4677" t="s">
        <v>5034</v>
      </c>
    </row>
    <row r="4678" spans="1:14" x14ac:dyDescent="0.3">
      <c r="A4678" t="s">
        <v>4702</v>
      </c>
      <c r="B4678" t="s">
        <v>19</v>
      </c>
      <c r="C4678" t="s">
        <v>13</v>
      </c>
      <c r="D4678">
        <v>19</v>
      </c>
      <c r="E4678" t="s">
        <v>15</v>
      </c>
      <c r="F4678" t="s">
        <v>36</v>
      </c>
      <c r="G4678">
        <v>20</v>
      </c>
      <c r="H4678">
        <v>377.55</v>
      </c>
      <c r="I4678" t="s">
        <v>15</v>
      </c>
      <c r="J4678" t="s">
        <v>16</v>
      </c>
      <c r="K4678" t="s">
        <v>17</v>
      </c>
      <c r="L4678">
        <v>377.55</v>
      </c>
      <c r="M4678" t="s">
        <v>5032</v>
      </c>
      <c r="N4678" t="s">
        <v>5031</v>
      </c>
    </row>
    <row r="4679" spans="1:14" x14ac:dyDescent="0.3">
      <c r="A4679" t="s">
        <v>4703</v>
      </c>
      <c r="B4679" t="s">
        <v>19</v>
      </c>
      <c r="C4679" t="s">
        <v>13</v>
      </c>
      <c r="D4679">
        <v>10</v>
      </c>
      <c r="E4679" t="s">
        <v>26</v>
      </c>
      <c r="F4679" t="s">
        <v>16</v>
      </c>
      <c r="G4679">
        <v>99.85</v>
      </c>
      <c r="H4679">
        <v>990.9</v>
      </c>
      <c r="I4679" t="s">
        <v>16</v>
      </c>
      <c r="J4679" t="s">
        <v>16</v>
      </c>
      <c r="K4679" t="s">
        <v>17</v>
      </c>
      <c r="L4679">
        <v>990.9</v>
      </c>
      <c r="M4679" t="s">
        <v>5030</v>
      </c>
      <c r="N4679" t="s">
        <v>5031</v>
      </c>
    </row>
    <row r="4680" spans="1:14" x14ac:dyDescent="0.3">
      <c r="A4680" t="s">
        <v>4704</v>
      </c>
      <c r="B4680" t="s">
        <v>12</v>
      </c>
      <c r="C4680" t="s">
        <v>13</v>
      </c>
      <c r="D4680">
        <v>2</v>
      </c>
      <c r="E4680" t="s">
        <v>26</v>
      </c>
      <c r="F4680" t="s">
        <v>15</v>
      </c>
      <c r="G4680">
        <v>94.2</v>
      </c>
      <c r="H4680">
        <v>193.8</v>
      </c>
      <c r="I4680" t="s">
        <v>16</v>
      </c>
      <c r="J4680" t="s">
        <v>16</v>
      </c>
      <c r="K4680" t="s">
        <v>24</v>
      </c>
      <c r="L4680">
        <v>193.8</v>
      </c>
      <c r="M4680" t="s">
        <v>5030</v>
      </c>
      <c r="N4680" t="s">
        <v>5031</v>
      </c>
    </row>
    <row r="4681" spans="1:14" x14ac:dyDescent="0.3">
      <c r="A4681" t="s">
        <v>4705</v>
      </c>
      <c r="B4681" t="s">
        <v>12</v>
      </c>
      <c r="C4681" t="s">
        <v>35</v>
      </c>
      <c r="D4681">
        <v>72</v>
      </c>
      <c r="E4681" t="s">
        <v>14</v>
      </c>
      <c r="F4681" t="s">
        <v>16</v>
      </c>
      <c r="G4681">
        <v>86.4</v>
      </c>
      <c r="H4681">
        <v>6058.95</v>
      </c>
      <c r="I4681" t="s">
        <v>15</v>
      </c>
      <c r="J4681" t="s">
        <v>16</v>
      </c>
      <c r="K4681" t="s">
        <v>24</v>
      </c>
      <c r="L4681">
        <v>6058.95</v>
      </c>
      <c r="M4681" t="s">
        <v>5033</v>
      </c>
      <c r="N4681" t="s">
        <v>5034</v>
      </c>
    </row>
    <row r="4682" spans="1:14" x14ac:dyDescent="0.3">
      <c r="A4682" t="s">
        <v>4706</v>
      </c>
      <c r="B4682" t="s">
        <v>19</v>
      </c>
      <c r="C4682" t="s">
        <v>13</v>
      </c>
      <c r="D4682">
        <v>18</v>
      </c>
      <c r="E4682" t="s">
        <v>14</v>
      </c>
      <c r="F4682" t="s">
        <v>15</v>
      </c>
      <c r="G4682">
        <v>58.4</v>
      </c>
      <c r="H4682">
        <v>964.9</v>
      </c>
      <c r="I4682" t="s">
        <v>15</v>
      </c>
      <c r="J4682" t="s">
        <v>16</v>
      </c>
      <c r="K4682" t="s">
        <v>29</v>
      </c>
      <c r="L4682">
        <v>964.9</v>
      </c>
      <c r="M4682" t="s">
        <v>5032</v>
      </c>
      <c r="N4682" t="s">
        <v>5031</v>
      </c>
    </row>
    <row r="4683" spans="1:14" x14ac:dyDescent="0.3">
      <c r="A4683" t="s">
        <v>4707</v>
      </c>
      <c r="B4683" t="s">
        <v>19</v>
      </c>
      <c r="C4683" t="s">
        <v>13</v>
      </c>
      <c r="D4683">
        <v>9</v>
      </c>
      <c r="E4683" t="s">
        <v>26</v>
      </c>
      <c r="F4683" t="s">
        <v>15</v>
      </c>
      <c r="G4683">
        <v>83.85</v>
      </c>
      <c r="H4683">
        <v>790.15</v>
      </c>
      <c r="I4683" t="s">
        <v>16</v>
      </c>
      <c r="J4683" t="s">
        <v>16</v>
      </c>
      <c r="K4683" t="s">
        <v>17</v>
      </c>
      <c r="L4683">
        <v>790.15</v>
      </c>
      <c r="M4683" t="s">
        <v>5030</v>
      </c>
      <c r="N4683" t="s">
        <v>5031</v>
      </c>
    </row>
    <row r="4684" spans="1:14" x14ac:dyDescent="0.3">
      <c r="A4684" t="s">
        <v>4708</v>
      </c>
      <c r="B4684" t="s">
        <v>12</v>
      </c>
      <c r="C4684" t="s">
        <v>13</v>
      </c>
      <c r="D4684">
        <v>27</v>
      </c>
      <c r="E4684" t="s">
        <v>26</v>
      </c>
      <c r="F4684" t="s">
        <v>15</v>
      </c>
      <c r="G4684">
        <v>88.3</v>
      </c>
      <c r="H4684">
        <v>2467.75</v>
      </c>
      <c r="I4684" t="s">
        <v>16</v>
      </c>
      <c r="J4684" t="s">
        <v>15</v>
      </c>
      <c r="K4684" t="s">
        <v>29</v>
      </c>
      <c r="L4684">
        <v>2467.75</v>
      </c>
      <c r="M4684" t="s">
        <v>5032</v>
      </c>
      <c r="N4684" t="s">
        <v>5031</v>
      </c>
    </row>
    <row r="4685" spans="1:14" x14ac:dyDescent="0.3">
      <c r="A4685" t="s">
        <v>4709</v>
      </c>
      <c r="B4685" t="s">
        <v>19</v>
      </c>
      <c r="C4685" t="s">
        <v>13</v>
      </c>
      <c r="D4685">
        <v>24</v>
      </c>
      <c r="E4685" t="s">
        <v>26</v>
      </c>
      <c r="F4685" t="s">
        <v>15</v>
      </c>
      <c r="G4685">
        <v>94.1</v>
      </c>
      <c r="H4685">
        <v>2322.85</v>
      </c>
      <c r="I4685" t="s">
        <v>15</v>
      </c>
      <c r="J4685" t="s">
        <v>16</v>
      </c>
      <c r="K4685" t="s">
        <v>17</v>
      </c>
      <c r="L4685">
        <v>2322.85</v>
      </c>
      <c r="M4685" t="s">
        <v>5032</v>
      </c>
      <c r="N4685" t="s">
        <v>5031</v>
      </c>
    </row>
    <row r="4686" spans="1:14" x14ac:dyDescent="0.3">
      <c r="A4686" t="s">
        <v>4710</v>
      </c>
      <c r="B4686" t="s">
        <v>19</v>
      </c>
      <c r="C4686" t="s">
        <v>20</v>
      </c>
      <c r="D4686">
        <v>69</v>
      </c>
      <c r="E4686" t="s">
        <v>26</v>
      </c>
      <c r="F4686" t="s">
        <v>16</v>
      </c>
      <c r="G4686">
        <v>104.05</v>
      </c>
      <c r="H4686">
        <v>7262</v>
      </c>
      <c r="I4686" t="s">
        <v>16</v>
      </c>
      <c r="J4686" t="s">
        <v>16</v>
      </c>
      <c r="K4686" t="s">
        <v>24</v>
      </c>
      <c r="L4686">
        <v>7262</v>
      </c>
      <c r="M4686" t="s">
        <v>5033</v>
      </c>
      <c r="N4686" t="s">
        <v>5034</v>
      </c>
    </row>
    <row r="4687" spans="1:14" x14ac:dyDescent="0.3">
      <c r="A4687" t="s">
        <v>4711</v>
      </c>
      <c r="B4687" t="s">
        <v>12</v>
      </c>
      <c r="C4687" t="s">
        <v>35</v>
      </c>
      <c r="D4687">
        <v>46</v>
      </c>
      <c r="E4687" t="s">
        <v>26</v>
      </c>
      <c r="F4687" t="s">
        <v>16</v>
      </c>
      <c r="G4687">
        <v>108.9</v>
      </c>
      <c r="H4687">
        <v>4854.3</v>
      </c>
      <c r="I4687" t="s">
        <v>15</v>
      </c>
      <c r="J4687" t="s">
        <v>16</v>
      </c>
      <c r="K4687" t="s">
        <v>29</v>
      </c>
      <c r="L4687">
        <v>4854.3</v>
      </c>
      <c r="M4687" t="s">
        <v>5033</v>
      </c>
      <c r="N4687" t="s">
        <v>5034</v>
      </c>
    </row>
    <row r="4688" spans="1:14" x14ac:dyDescent="0.3">
      <c r="A4688" t="s">
        <v>4712</v>
      </c>
      <c r="B4688" t="s">
        <v>12</v>
      </c>
      <c r="C4688" t="s">
        <v>35</v>
      </c>
      <c r="D4688">
        <v>72</v>
      </c>
      <c r="E4688" t="s">
        <v>26</v>
      </c>
      <c r="F4688" t="s">
        <v>16</v>
      </c>
      <c r="G4688">
        <v>107.4</v>
      </c>
      <c r="H4688">
        <v>7748.75</v>
      </c>
      <c r="I4688" t="s">
        <v>15</v>
      </c>
      <c r="J4688" t="s">
        <v>16</v>
      </c>
      <c r="K4688" t="s">
        <v>24</v>
      </c>
      <c r="L4688">
        <v>7748.75</v>
      </c>
      <c r="M4688" t="s">
        <v>5033</v>
      </c>
      <c r="N4688" t="s">
        <v>5034</v>
      </c>
    </row>
    <row r="4689" spans="1:14" x14ac:dyDescent="0.3">
      <c r="A4689" t="s">
        <v>4713</v>
      </c>
      <c r="B4689" t="s">
        <v>19</v>
      </c>
      <c r="C4689" t="s">
        <v>13</v>
      </c>
      <c r="D4689">
        <v>22</v>
      </c>
      <c r="E4689" t="s">
        <v>26</v>
      </c>
      <c r="F4689" t="s">
        <v>15</v>
      </c>
      <c r="G4689">
        <v>94.7</v>
      </c>
      <c r="H4689">
        <v>1914.9</v>
      </c>
      <c r="I4689" t="s">
        <v>16</v>
      </c>
      <c r="J4689" t="s">
        <v>16</v>
      </c>
      <c r="K4689" t="s">
        <v>29</v>
      </c>
      <c r="L4689">
        <v>1914.9</v>
      </c>
      <c r="M4689" t="s">
        <v>5032</v>
      </c>
      <c r="N4689" t="s">
        <v>5031</v>
      </c>
    </row>
    <row r="4690" spans="1:14" x14ac:dyDescent="0.3">
      <c r="A4690" t="s">
        <v>4714</v>
      </c>
      <c r="B4690" t="s">
        <v>12</v>
      </c>
      <c r="C4690" t="s">
        <v>13</v>
      </c>
      <c r="D4690">
        <v>70</v>
      </c>
      <c r="E4690" t="s">
        <v>26</v>
      </c>
      <c r="F4690" t="s">
        <v>15</v>
      </c>
      <c r="G4690">
        <v>90.85</v>
      </c>
      <c r="H4690">
        <v>6470.1</v>
      </c>
      <c r="I4690" t="s">
        <v>15</v>
      </c>
      <c r="J4690" t="s">
        <v>16</v>
      </c>
      <c r="K4690" t="s">
        <v>17</v>
      </c>
      <c r="L4690">
        <v>6470.1</v>
      </c>
      <c r="M4690" t="s">
        <v>5033</v>
      </c>
      <c r="N4690" t="s">
        <v>5034</v>
      </c>
    </row>
    <row r="4691" spans="1:14" x14ac:dyDescent="0.3">
      <c r="A4691" t="s">
        <v>4715</v>
      </c>
      <c r="B4691" t="s">
        <v>12</v>
      </c>
      <c r="C4691" t="s">
        <v>13</v>
      </c>
      <c r="D4691">
        <v>2</v>
      </c>
      <c r="E4691" t="s">
        <v>15</v>
      </c>
      <c r="F4691" t="s">
        <v>36</v>
      </c>
      <c r="G4691">
        <v>19.899999999999999</v>
      </c>
      <c r="H4691">
        <v>57.4</v>
      </c>
      <c r="I4691" t="s">
        <v>15</v>
      </c>
      <c r="J4691" t="s">
        <v>15</v>
      </c>
      <c r="K4691" t="s">
        <v>17</v>
      </c>
      <c r="L4691">
        <v>57.4</v>
      </c>
      <c r="M4691" t="s">
        <v>5030</v>
      </c>
      <c r="N4691" t="s">
        <v>5031</v>
      </c>
    </row>
    <row r="4692" spans="1:14" x14ac:dyDescent="0.3">
      <c r="A4692" t="s">
        <v>4716</v>
      </c>
      <c r="B4692" t="s">
        <v>19</v>
      </c>
      <c r="C4692" t="s">
        <v>13</v>
      </c>
      <c r="D4692">
        <v>31</v>
      </c>
      <c r="E4692" t="s">
        <v>14</v>
      </c>
      <c r="F4692" t="s">
        <v>16</v>
      </c>
      <c r="G4692">
        <v>66.400000000000006</v>
      </c>
      <c r="H4692">
        <v>2019.8</v>
      </c>
      <c r="I4692" t="s">
        <v>15</v>
      </c>
      <c r="J4692" t="s">
        <v>16</v>
      </c>
      <c r="K4692" t="s">
        <v>29</v>
      </c>
      <c r="L4692">
        <v>2019.8</v>
      </c>
      <c r="M4692" t="s">
        <v>5032</v>
      </c>
      <c r="N4692" t="s">
        <v>5031</v>
      </c>
    </row>
    <row r="4693" spans="1:14" x14ac:dyDescent="0.3">
      <c r="A4693" t="s">
        <v>4717</v>
      </c>
      <c r="B4693" t="s">
        <v>12</v>
      </c>
      <c r="C4693" t="s">
        <v>13</v>
      </c>
      <c r="D4693">
        <v>56</v>
      </c>
      <c r="E4693" t="s">
        <v>26</v>
      </c>
      <c r="F4693" t="s">
        <v>15</v>
      </c>
      <c r="G4693">
        <v>100.65</v>
      </c>
      <c r="H4693">
        <v>5688.05</v>
      </c>
      <c r="I4693" t="s">
        <v>16</v>
      </c>
      <c r="J4693" t="s">
        <v>16</v>
      </c>
      <c r="K4693" t="s">
        <v>24</v>
      </c>
      <c r="L4693">
        <v>5688.05</v>
      </c>
      <c r="M4693" t="s">
        <v>5033</v>
      </c>
      <c r="N4693" t="s">
        <v>5034</v>
      </c>
    </row>
    <row r="4694" spans="1:14" x14ac:dyDescent="0.3">
      <c r="A4694" t="s">
        <v>4718</v>
      </c>
      <c r="B4694" t="s">
        <v>12</v>
      </c>
      <c r="C4694" t="s">
        <v>13</v>
      </c>
      <c r="D4694">
        <v>16</v>
      </c>
      <c r="E4694" t="s">
        <v>26</v>
      </c>
      <c r="F4694" t="s">
        <v>15</v>
      </c>
      <c r="G4694">
        <v>100.7</v>
      </c>
      <c r="H4694">
        <v>1522.7</v>
      </c>
      <c r="I4694" t="s">
        <v>15</v>
      </c>
      <c r="J4694" t="s">
        <v>15</v>
      </c>
      <c r="K4694" t="s">
        <v>24</v>
      </c>
      <c r="L4694">
        <v>1522.7</v>
      </c>
      <c r="M4694" t="s">
        <v>5032</v>
      </c>
      <c r="N4694" t="s">
        <v>5031</v>
      </c>
    </row>
    <row r="4695" spans="1:14" x14ac:dyDescent="0.3">
      <c r="A4695" t="s">
        <v>4719</v>
      </c>
      <c r="B4695" t="s">
        <v>19</v>
      </c>
      <c r="C4695" t="s">
        <v>35</v>
      </c>
      <c r="D4695">
        <v>52</v>
      </c>
      <c r="E4695" t="s">
        <v>15</v>
      </c>
      <c r="F4695" t="s">
        <v>36</v>
      </c>
      <c r="G4695">
        <v>25.6</v>
      </c>
      <c r="H4695">
        <v>1334.5</v>
      </c>
      <c r="I4695" t="s">
        <v>15</v>
      </c>
      <c r="J4695" t="s">
        <v>15</v>
      </c>
      <c r="K4695" t="s">
        <v>29</v>
      </c>
      <c r="L4695">
        <v>1334.5</v>
      </c>
      <c r="M4695" t="s">
        <v>5033</v>
      </c>
      <c r="N4695" t="s">
        <v>5031</v>
      </c>
    </row>
    <row r="4696" spans="1:14" x14ac:dyDescent="0.3">
      <c r="A4696" t="s">
        <v>4720</v>
      </c>
      <c r="B4696" t="s">
        <v>19</v>
      </c>
      <c r="C4696" t="s">
        <v>13</v>
      </c>
      <c r="D4696">
        <v>13</v>
      </c>
      <c r="E4696" t="s">
        <v>15</v>
      </c>
      <c r="F4696" t="s">
        <v>36</v>
      </c>
      <c r="G4696">
        <v>19.850000000000001</v>
      </c>
      <c r="H4696">
        <v>252</v>
      </c>
      <c r="I4696" t="s">
        <v>15</v>
      </c>
      <c r="J4696" t="s">
        <v>16</v>
      </c>
      <c r="K4696" t="s">
        <v>21</v>
      </c>
      <c r="L4696">
        <v>252</v>
      </c>
      <c r="M4696" t="s">
        <v>5032</v>
      </c>
      <c r="N4696" t="s">
        <v>5031</v>
      </c>
    </row>
    <row r="4697" spans="1:14" x14ac:dyDescent="0.3">
      <c r="A4697" t="s">
        <v>4721</v>
      </c>
      <c r="B4697" t="s">
        <v>12</v>
      </c>
      <c r="C4697" t="s">
        <v>20</v>
      </c>
      <c r="D4697">
        <v>35</v>
      </c>
      <c r="E4697" t="s">
        <v>15</v>
      </c>
      <c r="F4697" t="s">
        <v>36</v>
      </c>
      <c r="G4697">
        <v>20.75</v>
      </c>
      <c r="H4697">
        <v>700.45</v>
      </c>
      <c r="I4697" t="s">
        <v>15</v>
      </c>
      <c r="J4697" t="s">
        <v>15</v>
      </c>
      <c r="K4697" t="s">
        <v>21</v>
      </c>
      <c r="L4697">
        <v>700.45</v>
      </c>
      <c r="M4697" t="s">
        <v>5032</v>
      </c>
      <c r="N4697" t="s">
        <v>5031</v>
      </c>
    </row>
    <row r="4698" spans="1:14" x14ac:dyDescent="0.3">
      <c r="A4698" t="s">
        <v>4722</v>
      </c>
      <c r="B4698" t="s">
        <v>12</v>
      </c>
      <c r="C4698" t="s">
        <v>35</v>
      </c>
      <c r="D4698">
        <v>59</v>
      </c>
      <c r="E4698" t="s">
        <v>26</v>
      </c>
      <c r="F4698" t="s">
        <v>15</v>
      </c>
      <c r="G4698">
        <v>95.8</v>
      </c>
      <c r="H4698">
        <v>5655.45</v>
      </c>
      <c r="I4698" t="s">
        <v>15</v>
      </c>
      <c r="J4698" t="s">
        <v>15</v>
      </c>
      <c r="K4698" t="s">
        <v>17</v>
      </c>
      <c r="L4698">
        <v>5655.45</v>
      </c>
      <c r="M4698" t="s">
        <v>5033</v>
      </c>
      <c r="N4698" t="s">
        <v>5034</v>
      </c>
    </row>
    <row r="4699" spans="1:14" x14ac:dyDescent="0.3">
      <c r="A4699" t="s">
        <v>4723</v>
      </c>
      <c r="B4699" t="s">
        <v>19</v>
      </c>
      <c r="C4699" t="s">
        <v>13</v>
      </c>
      <c r="D4699">
        <v>72</v>
      </c>
      <c r="E4699" t="s">
        <v>26</v>
      </c>
      <c r="F4699" t="s">
        <v>15</v>
      </c>
      <c r="G4699">
        <v>94.65</v>
      </c>
      <c r="H4699">
        <v>6747.35</v>
      </c>
      <c r="I4699" t="s">
        <v>15</v>
      </c>
      <c r="J4699" t="s">
        <v>16</v>
      </c>
      <c r="K4699" t="s">
        <v>17</v>
      </c>
      <c r="L4699">
        <v>6747.35</v>
      </c>
      <c r="M4699" t="s">
        <v>5033</v>
      </c>
      <c r="N4699" t="s">
        <v>5034</v>
      </c>
    </row>
    <row r="4700" spans="1:14" x14ac:dyDescent="0.3">
      <c r="A4700" t="s">
        <v>4724</v>
      </c>
      <c r="B4700" t="s">
        <v>12</v>
      </c>
      <c r="C4700" t="s">
        <v>35</v>
      </c>
      <c r="D4700">
        <v>66</v>
      </c>
      <c r="E4700" t="s">
        <v>14</v>
      </c>
      <c r="F4700" t="s">
        <v>15</v>
      </c>
      <c r="G4700">
        <v>80.55</v>
      </c>
      <c r="H4700">
        <v>5265.1</v>
      </c>
      <c r="I4700" t="s">
        <v>16</v>
      </c>
      <c r="J4700" t="s">
        <v>16</v>
      </c>
      <c r="K4700" t="s">
        <v>24</v>
      </c>
      <c r="L4700">
        <v>5265.1</v>
      </c>
      <c r="M4700" t="s">
        <v>5033</v>
      </c>
      <c r="N4700" t="s">
        <v>5034</v>
      </c>
    </row>
    <row r="4701" spans="1:14" x14ac:dyDescent="0.3">
      <c r="A4701" t="s">
        <v>4725</v>
      </c>
      <c r="B4701" t="s">
        <v>12</v>
      </c>
      <c r="C4701" t="s">
        <v>35</v>
      </c>
      <c r="D4701">
        <v>49</v>
      </c>
      <c r="E4701" t="s">
        <v>26</v>
      </c>
      <c r="F4701" t="s">
        <v>16</v>
      </c>
      <c r="G4701">
        <v>106.65</v>
      </c>
      <c r="H4701">
        <v>5174.3500000000004</v>
      </c>
      <c r="I4701" t="s">
        <v>15</v>
      </c>
      <c r="J4701" t="s">
        <v>15</v>
      </c>
      <c r="K4701" t="s">
        <v>29</v>
      </c>
      <c r="L4701">
        <v>5174.3500000000004</v>
      </c>
      <c r="M4701" t="s">
        <v>5033</v>
      </c>
      <c r="N4701" t="s">
        <v>5034</v>
      </c>
    </row>
    <row r="4702" spans="1:14" x14ac:dyDescent="0.3">
      <c r="A4702" t="s">
        <v>4726</v>
      </c>
      <c r="B4702" t="s">
        <v>12</v>
      </c>
      <c r="C4702" t="s">
        <v>13</v>
      </c>
      <c r="D4702">
        <v>2</v>
      </c>
      <c r="E4702" t="s">
        <v>14</v>
      </c>
      <c r="F4702" t="s">
        <v>15</v>
      </c>
      <c r="G4702">
        <v>45.85</v>
      </c>
      <c r="H4702">
        <v>105.6</v>
      </c>
      <c r="I4702" t="s">
        <v>15</v>
      </c>
      <c r="J4702" t="s">
        <v>16</v>
      </c>
      <c r="K4702" t="s">
        <v>21</v>
      </c>
      <c r="L4702">
        <v>105.6</v>
      </c>
      <c r="M4702" t="s">
        <v>5030</v>
      </c>
      <c r="N4702" t="s">
        <v>5031</v>
      </c>
    </row>
    <row r="4703" spans="1:14" x14ac:dyDescent="0.3">
      <c r="A4703" t="s">
        <v>4727</v>
      </c>
      <c r="B4703" t="s">
        <v>19</v>
      </c>
      <c r="C4703" t="s">
        <v>13</v>
      </c>
      <c r="D4703">
        <v>21</v>
      </c>
      <c r="E4703" t="s">
        <v>26</v>
      </c>
      <c r="F4703" t="s">
        <v>15</v>
      </c>
      <c r="G4703">
        <v>104.35</v>
      </c>
      <c r="H4703">
        <v>2271.85</v>
      </c>
      <c r="I4703" t="s">
        <v>15</v>
      </c>
      <c r="J4703" t="s">
        <v>16</v>
      </c>
      <c r="K4703" t="s">
        <v>17</v>
      </c>
      <c r="L4703">
        <v>2271.85</v>
      </c>
      <c r="M4703" t="s">
        <v>5032</v>
      </c>
      <c r="N4703" t="s">
        <v>5031</v>
      </c>
    </row>
    <row r="4704" spans="1:14" x14ac:dyDescent="0.3">
      <c r="A4704" t="s">
        <v>4728</v>
      </c>
      <c r="B4704" t="s">
        <v>19</v>
      </c>
      <c r="C4704" t="s">
        <v>20</v>
      </c>
      <c r="D4704">
        <v>54</v>
      </c>
      <c r="E4704" t="s">
        <v>14</v>
      </c>
      <c r="F4704" t="s">
        <v>15</v>
      </c>
      <c r="G4704">
        <v>55.45</v>
      </c>
      <c r="H4704">
        <v>2966.95</v>
      </c>
      <c r="I4704" t="s">
        <v>15</v>
      </c>
      <c r="J4704" t="s">
        <v>16</v>
      </c>
      <c r="K4704" t="s">
        <v>17</v>
      </c>
      <c r="L4704">
        <v>2966.95</v>
      </c>
      <c r="M4704" t="s">
        <v>5033</v>
      </c>
      <c r="N4704" t="s">
        <v>5034</v>
      </c>
    </row>
    <row r="4705" spans="1:14" x14ac:dyDescent="0.3">
      <c r="A4705" t="s">
        <v>4729</v>
      </c>
      <c r="B4705" t="s">
        <v>19</v>
      </c>
      <c r="C4705" t="s">
        <v>13</v>
      </c>
      <c r="D4705">
        <v>24</v>
      </c>
      <c r="E4705" t="s">
        <v>26</v>
      </c>
      <c r="F4705" t="s">
        <v>15</v>
      </c>
      <c r="G4705">
        <v>78.849999999999994</v>
      </c>
      <c r="H4705">
        <v>1772.25</v>
      </c>
      <c r="I4705" t="s">
        <v>16</v>
      </c>
      <c r="J4705" t="s">
        <v>16</v>
      </c>
      <c r="K4705" t="s">
        <v>17</v>
      </c>
      <c r="L4705">
        <v>1772.25</v>
      </c>
      <c r="M4705" t="s">
        <v>5032</v>
      </c>
      <c r="N4705" t="s">
        <v>5031</v>
      </c>
    </row>
    <row r="4706" spans="1:14" x14ac:dyDescent="0.3">
      <c r="A4706" t="s">
        <v>4730</v>
      </c>
      <c r="B4706" t="s">
        <v>19</v>
      </c>
      <c r="C4706" t="s">
        <v>13</v>
      </c>
      <c r="D4706">
        <v>1</v>
      </c>
      <c r="E4706" t="s">
        <v>14</v>
      </c>
      <c r="F4706" t="s">
        <v>15</v>
      </c>
      <c r="G4706">
        <v>61.15</v>
      </c>
      <c r="H4706">
        <v>61.15</v>
      </c>
      <c r="I4706" t="s">
        <v>15</v>
      </c>
      <c r="J4706" t="s">
        <v>15</v>
      </c>
      <c r="K4706" t="s">
        <v>17</v>
      </c>
      <c r="L4706">
        <v>61.15</v>
      </c>
      <c r="M4706" t="s">
        <v>5030</v>
      </c>
      <c r="N4706" t="s">
        <v>5031</v>
      </c>
    </row>
    <row r="4707" spans="1:14" x14ac:dyDescent="0.3">
      <c r="A4707" t="s">
        <v>4731</v>
      </c>
      <c r="B4707" t="s">
        <v>19</v>
      </c>
      <c r="C4707" t="s">
        <v>13</v>
      </c>
      <c r="D4707">
        <v>6</v>
      </c>
      <c r="E4707" t="s">
        <v>26</v>
      </c>
      <c r="F4707" t="s">
        <v>15</v>
      </c>
      <c r="G4707">
        <v>78.95</v>
      </c>
      <c r="H4707">
        <v>494.95</v>
      </c>
      <c r="I4707" t="s">
        <v>15</v>
      </c>
      <c r="J4707" t="s">
        <v>16</v>
      </c>
      <c r="K4707" t="s">
        <v>17</v>
      </c>
      <c r="L4707">
        <v>494.95</v>
      </c>
      <c r="M4707" t="s">
        <v>5030</v>
      </c>
      <c r="N4707" t="s">
        <v>5031</v>
      </c>
    </row>
    <row r="4708" spans="1:14" x14ac:dyDescent="0.3">
      <c r="A4708" t="s">
        <v>4732</v>
      </c>
      <c r="B4708" t="s">
        <v>12</v>
      </c>
      <c r="C4708" t="s">
        <v>13</v>
      </c>
      <c r="D4708">
        <v>1</v>
      </c>
      <c r="E4708" t="s">
        <v>14</v>
      </c>
      <c r="F4708" t="s">
        <v>15</v>
      </c>
      <c r="G4708">
        <v>44.45</v>
      </c>
      <c r="H4708">
        <v>44.45</v>
      </c>
      <c r="I4708" t="s">
        <v>16</v>
      </c>
      <c r="J4708" t="s">
        <v>16</v>
      </c>
      <c r="K4708" t="s">
        <v>21</v>
      </c>
      <c r="L4708">
        <v>44.45</v>
      </c>
      <c r="M4708" t="s">
        <v>5030</v>
      </c>
      <c r="N4708" t="s">
        <v>5031</v>
      </c>
    </row>
    <row r="4709" spans="1:14" x14ac:dyDescent="0.3">
      <c r="A4709" t="s">
        <v>4733</v>
      </c>
      <c r="B4709" t="s">
        <v>19</v>
      </c>
      <c r="C4709" t="s">
        <v>20</v>
      </c>
      <c r="D4709">
        <v>49</v>
      </c>
      <c r="E4709" t="s">
        <v>26</v>
      </c>
      <c r="F4709" t="s">
        <v>15</v>
      </c>
      <c r="G4709">
        <v>109.2</v>
      </c>
      <c r="H4709">
        <v>5290.45</v>
      </c>
      <c r="I4709" t="s">
        <v>15</v>
      </c>
      <c r="J4709" t="s">
        <v>16</v>
      </c>
      <c r="K4709" t="s">
        <v>29</v>
      </c>
      <c r="L4709">
        <v>5290.45</v>
      </c>
      <c r="M4709" t="s">
        <v>5033</v>
      </c>
      <c r="N4709" t="s">
        <v>5034</v>
      </c>
    </row>
    <row r="4710" spans="1:14" x14ac:dyDescent="0.3">
      <c r="A4710" t="s">
        <v>4734</v>
      </c>
      <c r="B4710" t="s">
        <v>12</v>
      </c>
      <c r="C4710" t="s">
        <v>35</v>
      </c>
      <c r="D4710">
        <v>56</v>
      </c>
      <c r="E4710" t="s">
        <v>14</v>
      </c>
      <c r="F4710" t="s">
        <v>15</v>
      </c>
      <c r="G4710">
        <v>61.3</v>
      </c>
      <c r="H4710">
        <v>3346.8</v>
      </c>
      <c r="I4710" t="s">
        <v>15</v>
      </c>
      <c r="J4710" t="s">
        <v>16</v>
      </c>
      <c r="K4710" t="s">
        <v>29</v>
      </c>
      <c r="L4710">
        <v>3346.8</v>
      </c>
      <c r="M4710" t="s">
        <v>5033</v>
      </c>
      <c r="N4710" t="s">
        <v>5034</v>
      </c>
    </row>
    <row r="4711" spans="1:14" x14ac:dyDescent="0.3">
      <c r="A4711" t="s">
        <v>4735</v>
      </c>
      <c r="B4711" t="s">
        <v>12</v>
      </c>
      <c r="C4711" t="s">
        <v>13</v>
      </c>
      <c r="D4711">
        <v>56</v>
      </c>
      <c r="E4711" t="s">
        <v>26</v>
      </c>
      <c r="F4711" t="s">
        <v>15</v>
      </c>
      <c r="G4711">
        <v>96.85</v>
      </c>
      <c r="H4711">
        <v>5219.6499999999996</v>
      </c>
      <c r="I4711" t="s">
        <v>15</v>
      </c>
      <c r="J4711" t="s">
        <v>16</v>
      </c>
      <c r="K4711" t="s">
        <v>17</v>
      </c>
      <c r="L4711">
        <v>5219.6499999999996</v>
      </c>
      <c r="M4711" t="s">
        <v>5033</v>
      </c>
      <c r="N4711" t="s">
        <v>5034</v>
      </c>
    </row>
    <row r="4712" spans="1:14" x14ac:dyDescent="0.3">
      <c r="A4712" t="s">
        <v>4736</v>
      </c>
      <c r="B4712" t="s">
        <v>12</v>
      </c>
      <c r="C4712" t="s">
        <v>35</v>
      </c>
      <c r="D4712">
        <v>6</v>
      </c>
      <c r="E4712" t="s">
        <v>14</v>
      </c>
      <c r="F4712" t="s">
        <v>16</v>
      </c>
      <c r="G4712">
        <v>40.549999999999997</v>
      </c>
      <c r="H4712">
        <v>217.5</v>
      </c>
      <c r="I4712" t="s">
        <v>15</v>
      </c>
      <c r="J4712" t="s">
        <v>15</v>
      </c>
      <c r="K4712" t="s">
        <v>21</v>
      </c>
      <c r="L4712">
        <v>217.5</v>
      </c>
      <c r="M4712" t="s">
        <v>5030</v>
      </c>
      <c r="N4712" t="s">
        <v>5031</v>
      </c>
    </row>
    <row r="4713" spans="1:14" x14ac:dyDescent="0.3">
      <c r="A4713" t="s">
        <v>4737</v>
      </c>
      <c r="B4713" t="s">
        <v>19</v>
      </c>
      <c r="C4713" t="s">
        <v>20</v>
      </c>
      <c r="D4713">
        <v>32</v>
      </c>
      <c r="E4713" t="s">
        <v>15</v>
      </c>
      <c r="F4713" t="s">
        <v>36</v>
      </c>
      <c r="G4713">
        <v>19.8</v>
      </c>
      <c r="H4713">
        <v>607.70000000000005</v>
      </c>
      <c r="I4713" t="s">
        <v>15</v>
      </c>
      <c r="J4713" t="s">
        <v>15</v>
      </c>
      <c r="K4713" t="s">
        <v>21</v>
      </c>
      <c r="L4713">
        <v>607.70000000000005</v>
      </c>
      <c r="M4713" t="s">
        <v>5032</v>
      </c>
      <c r="N4713" t="s">
        <v>5031</v>
      </c>
    </row>
    <row r="4714" spans="1:14" x14ac:dyDescent="0.3">
      <c r="A4714" t="s">
        <v>4738</v>
      </c>
      <c r="B4714" t="s">
        <v>19</v>
      </c>
      <c r="C4714" t="s">
        <v>20</v>
      </c>
      <c r="D4714">
        <v>50</v>
      </c>
      <c r="E4714" t="s">
        <v>26</v>
      </c>
      <c r="F4714" t="s">
        <v>15</v>
      </c>
      <c r="G4714">
        <v>108.25</v>
      </c>
      <c r="H4714">
        <v>5431.4</v>
      </c>
      <c r="I4714" t="s">
        <v>15</v>
      </c>
      <c r="J4714" t="s">
        <v>16</v>
      </c>
      <c r="K4714" t="s">
        <v>17</v>
      </c>
      <c r="L4714">
        <v>5431.4</v>
      </c>
      <c r="M4714" t="s">
        <v>5033</v>
      </c>
      <c r="N4714" t="s">
        <v>5034</v>
      </c>
    </row>
    <row r="4715" spans="1:14" x14ac:dyDescent="0.3">
      <c r="A4715" t="s">
        <v>4739</v>
      </c>
      <c r="B4715" t="s">
        <v>19</v>
      </c>
      <c r="C4715" t="s">
        <v>20</v>
      </c>
      <c r="D4715">
        <v>58</v>
      </c>
      <c r="E4715" t="s">
        <v>26</v>
      </c>
      <c r="F4715" t="s">
        <v>16</v>
      </c>
      <c r="G4715">
        <v>105.05</v>
      </c>
      <c r="H4715">
        <v>6004.85</v>
      </c>
      <c r="I4715" t="s">
        <v>15</v>
      </c>
      <c r="J4715" t="s">
        <v>16</v>
      </c>
      <c r="K4715" t="s">
        <v>24</v>
      </c>
      <c r="L4715">
        <v>6004.85</v>
      </c>
      <c r="M4715" t="s">
        <v>5033</v>
      </c>
      <c r="N4715" t="s">
        <v>5034</v>
      </c>
    </row>
    <row r="4716" spans="1:14" x14ac:dyDescent="0.3">
      <c r="A4716" t="s">
        <v>4740</v>
      </c>
      <c r="B4716" t="s">
        <v>12</v>
      </c>
      <c r="C4716" t="s">
        <v>35</v>
      </c>
      <c r="D4716">
        <v>65</v>
      </c>
      <c r="E4716" t="s">
        <v>14</v>
      </c>
      <c r="F4716" t="s">
        <v>16</v>
      </c>
      <c r="G4716">
        <v>90.45</v>
      </c>
      <c r="H4716">
        <v>5957.9</v>
      </c>
      <c r="I4716" t="s">
        <v>15</v>
      </c>
      <c r="J4716" t="s">
        <v>16</v>
      </c>
      <c r="K4716" t="s">
        <v>21</v>
      </c>
      <c r="L4716">
        <v>5957.9</v>
      </c>
      <c r="M4716" t="s">
        <v>5033</v>
      </c>
      <c r="N4716" t="s">
        <v>5034</v>
      </c>
    </row>
    <row r="4717" spans="1:14" x14ac:dyDescent="0.3">
      <c r="A4717" t="s">
        <v>4741</v>
      </c>
      <c r="B4717" t="s">
        <v>12</v>
      </c>
      <c r="C4717" t="s">
        <v>35</v>
      </c>
      <c r="D4717">
        <v>64</v>
      </c>
      <c r="E4717" t="s">
        <v>14</v>
      </c>
      <c r="F4717" t="s">
        <v>16</v>
      </c>
      <c r="G4717">
        <v>86.4</v>
      </c>
      <c r="H4717">
        <v>5442.05</v>
      </c>
      <c r="I4717" t="s">
        <v>15</v>
      </c>
      <c r="J4717" t="s">
        <v>16</v>
      </c>
      <c r="K4717" t="s">
        <v>29</v>
      </c>
      <c r="L4717">
        <v>5442.05</v>
      </c>
      <c r="M4717" t="s">
        <v>5033</v>
      </c>
      <c r="N4717" t="s">
        <v>5034</v>
      </c>
    </row>
    <row r="4718" spans="1:14" x14ac:dyDescent="0.3">
      <c r="A4718" t="s">
        <v>4742</v>
      </c>
      <c r="B4718" t="s">
        <v>12</v>
      </c>
      <c r="C4718" t="s">
        <v>35</v>
      </c>
      <c r="D4718">
        <v>66</v>
      </c>
      <c r="E4718" t="s">
        <v>14</v>
      </c>
      <c r="F4718" t="s">
        <v>15</v>
      </c>
      <c r="G4718">
        <v>66.900000000000006</v>
      </c>
      <c r="H4718">
        <v>4370.25</v>
      </c>
      <c r="I4718" t="s">
        <v>15</v>
      </c>
      <c r="J4718" t="s">
        <v>15</v>
      </c>
      <c r="K4718" t="s">
        <v>24</v>
      </c>
      <c r="L4718">
        <v>4370.25</v>
      </c>
      <c r="M4718" t="s">
        <v>5033</v>
      </c>
      <c r="N4718" t="s">
        <v>5034</v>
      </c>
    </row>
    <row r="4719" spans="1:14" x14ac:dyDescent="0.3">
      <c r="A4719" t="s">
        <v>4743</v>
      </c>
      <c r="B4719" t="s">
        <v>19</v>
      </c>
      <c r="C4719" t="s">
        <v>20</v>
      </c>
      <c r="D4719">
        <v>38</v>
      </c>
      <c r="E4719" t="s">
        <v>26</v>
      </c>
      <c r="F4719" t="s">
        <v>16</v>
      </c>
      <c r="G4719">
        <v>110.7</v>
      </c>
      <c r="H4719">
        <v>4428.6000000000004</v>
      </c>
      <c r="I4719" t="s">
        <v>15</v>
      </c>
      <c r="J4719" t="s">
        <v>16</v>
      </c>
      <c r="K4719" t="s">
        <v>17</v>
      </c>
      <c r="L4719">
        <v>4428.6000000000004</v>
      </c>
      <c r="M4719" t="s">
        <v>5033</v>
      </c>
      <c r="N4719" t="s">
        <v>5034</v>
      </c>
    </row>
    <row r="4720" spans="1:14" x14ac:dyDescent="0.3">
      <c r="A4720" t="s">
        <v>4744</v>
      </c>
      <c r="B4720" t="s">
        <v>12</v>
      </c>
      <c r="C4720" t="s">
        <v>20</v>
      </c>
      <c r="D4720">
        <v>20</v>
      </c>
      <c r="E4720" t="s">
        <v>15</v>
      </c>
      <c r="F4720" t="s">
        <v>36</v>
      </c>
      <c r="G4720">
        <v>20</v>
      </c>
      <c r="H4720">
        <v>416.45</v>
      </c>
      <c r="I4720" t="s">
        <v>15</v>
      </c>
      <c r="J4720" t="s">
        <v>16</v>
      </c>
      <c r="K4720" t="s">
        <v>21</v>
      </c>
      <c r="L4720">
        <v>416.45</v>
      </c>
      <c r="M4720" t="s">
        <v>5032</v>
      </c>
      <c r="N4720" t="s">
        <v>5031</v>
      </c>
    </row>
    <row r="4721" spans="1:14" x14ac:dyDescent="0.3">
      <c r="A4721" t="s">
        <v>4745</v>
      </c>
      <c r="B4721" t="s">
        <v>19</v>
      </c>
      <c r="C4721" t="s">
        <v>13</v>
      </c>
      <c r="D4721">
        <v>36</v>
      </c>
      <c r="E4721" t="s">
        <v>26</v>
      </c>
      <c r="F4721" t="s">
        <v>15</v>
      </c>
      <c r="G4721">
        <v>84.9</v>
      </c>
      <c r="H4721">
        <v>3067.2</v>
      </c>
      <c r="I4721" t="s">
        <v>16</v>
      </c>
      <c r="J4721" t="s">
        <v>16</v>
      </c>
      <c r="K4721" t="s">
        <v>17</v>
      </c>
      <c r="L4721">
        <v>3067.2</v>
      </c>
      <c r="M4721" t="s">
        <v>5032</v>
      </c>
      <c r="N4721" t="s">
        <v>5034</v>
      </c>
    </row>
    <row r="4722" spans="1:14" x14ac:dyDescent="0.3">
      <c r="A4722" t="s">
        <v>4746</v>
      </c>
      <c r="B4722" t="s">
        <v>19</v>
      </c>
      <c r="C4722" t="s">
        <v>20</v>
      </c>
      <c r="D4722">
        <v>64</v>
      </c>
      <c r="E4722" t="s">
        <v>26</v>
      </c>
      <c r="F4722" t="s">
        <v>16</v>
      </c>
      <c r="G4722">
        <v>102.1</v>
      </c>
      <c r="H4722">
        <v>6688.1</v>
      </c>
      <c r="I4722" t="s">
        <v>15</v>
      </c>
      <c r="J4722" t="s">
        <v>15</v>
      </c>
      <c r="K4722" t="s">
        <v>17</v>
      </c>
      <c r="L4722">
        <v>6688.1</v>
      </c>
      <c r="M4722" t="s">
        <v>5033</v>
      </c>
      <c r="N4722" t="s">
        <v>5034</v>
      </c>
    </row>
    <row r="4723" spans="1:14" x14ac:dyDescent="0.3">
      <c r="A4723" t="s">
        <v>4747</v>
      </c>
      <c r="B4723" t="s">
        <v>19</v>
      </c>
      <c r="C4723" t="s">
        <v>13</v>
      </c>
      <c r="D4723">
        <v>1</v>
      </c>
      <c r="E4723" t="s">
        <v>15</v>
      </c>
      <c r="F4723" t="s">
        <v>36</v>
      </c>
      <c r="G4723">
        <v>20.25</v>
      </c>
      <c r="H4723">
        <v>20.25</v>
      </c>
      <c r="I4723" t="s">
        <v>16</v>
      </c>
      <c r="J4723" t="s">
        <v>15</v>
      </c>
      <c r="K4723" t="s">
        <v>21</v>
      </c>
      <c r="L4723">
        <v>20.25</v>
      </c>
      <c r="M4723" t="s">
        <v>5030</v>
      </c>
      <c r="N4723" t="s">
        <v>5031</v>
      </c>
    </row>
    <row r="4724" spans="1:14" x14ac:dyDescent="0.3">
      <c r="A4724" t="s">
        <v>4748</v>
      </c>
      <c r="B4724" t="s">
        <v>12</v>
      </c>
      <c r="C4724" t="s">
        <v>20</v>
      </c>
      <c r="D4724">
        <v>60</v>
      </c>
      <c r="E4724" t="s">
        <v>14</v>
      </c>
      <c r="F4724" t="s">
        <v>16</v>
      </c>
      <c r="G4724">
        <v>70.150000000000006</v>
      </c>
      <c r="H4724">
        <v>4224.7</v>
      </c>
      <c r="I4724" t="s">
        <v>15</v>
      </c>
      <c r="J4724" t="s">
        <v>16</v>
      </c>
      <c r="K4724" t="s">
        <v>29</v>
      </c>
      <c r="L4724">
        <v>4224.7</v>
      </c>
      <c r="M4724" t="s">
        <v>5033</v>
      </c>
      <c r="N4724" t="s">
        <v>5034</v>
      </c>
    </row>
    <row r="4725" spans="1:14" x14ac:dyDescent="0.3">
      <c r="A4725" t="s">
        <v>4749</v>
      </c>
      <c r="B4725" t="s">
        <v>19</v>
      </c>
      <c r="C4725" t="s">
        <v>13</v>
      </c>
      <c r="D4725">
        <v>1</v>
      </c>
      <c r="E4725" t="s">
        <v>26</v>
      </c>
      <c r="F4725" t="s">
        <v>15</v>
      </c>
      <c r="G4725">
        <v>74.349999999999994</v>
      </c>
      <c r="H4725">
        <v>74.349999999999994</v>
      </c>
      <c r="I4725" t="s">
        <v>16</v>
      </c>
      <c r="J4725" t="s">
        <v>16</v>
      </c>
      <c r="K4725" t="s">
        <v>17</v>
      </c>
      <c r="L4725">
        <v>74.349999999999994</v>
      </c>
      <c r="M4725" t="s">
        <v>5030</v>
      </c>
      <c r="N4725" t="s">
        <v>5031</v>
      </c>
    </row>
    <row r="4726" spans="1:14" x14ac:dyDescent="0.3">
      <c r="A4726" t="s">
        <v>4750</v>
      </c>
      <c r="B4726" t="s">
        <v>12</v>
      </c>
      <c r="C4726" t="s">
        <v>20</v>
      </c>
      <c r="D4726">
        <v>50</v>
      </c>
      <c r="E4726" t="s">
        <v>14</v>
      </c>
      <c r="F4726" t="s">
        <v>16</v>
      </c>
      <c r="G4726">
        <v>80.05</v>
      </c>
      <c r="H4726">
        <v>4042.2</v>
      </c>
      <c r="I4726" t="s">
        <v>15</v>
      </c>
      <c r="J4726" t="s">
        <v>16</v>
      </c>
      <c r="K4726" t="s">
        <v>24</v>
      </c>
      <c r="L4726">
        <v>4042.2</v>
      </c>
      <c r="M4726" t="s">
        <v>5033</v>
      </c>
      <c r="N4726" t="s">
        <v>5034</v>
      </c>
    </row>
    <row r="4727" spans="1:14" x14ac:dyDescent="0.3">
      <c r="A4727" t="s">
        <v>4751</v>
      </c>
      <c r="B4727" t="s">
        <v>19</v>
      </c>
      <c r="C4727" t="s">
        <v>13</v>
      </c>
      <c r="D4727">
        <v>1</v>
      </c>
      <c r="E4727" t="s">
        <v>14</v>
      </c>
      <c r="F4727" t="s">
        <v>16</v>
      </c>
      <c r="G4727">
        <v>62.05</v>
      </c>
      <c r="H4727">
        <v>62.05</v>
      </c>
      <c r="I4727" t="s">
        <v>16</v>
      </c>
      <c r="J4727" t="s">
        <v>15</v>
      </c>
      <c r="K4727" t="s">
        <v>21</v>
      </c>
      <c r="L4727">
        <v>62.05</v>
      </c>
      <c r="M4727" t="s">
        <v>5030</v>
      </c>
      <c r="N4727" t="s">
        <v>5031</v>
      </c>
    </row>
    <row r="4728" spans="1:14" x14ac:dyDescent="0.3">
      <c r="A4728" t="s">
        <v>4752</v>
      </c>
      <c r="B4728" t="s">
        <v>12</v>
      </c>
      <c r="C4728" t="s">
        <v>35</v>
      </c>
      <c r="D4728">
        <v>72</v>
      </c>
      <c r="E4728" t="s">
        <v>14</v>
      </c>
      <c r="F4728" t="s">
        <v>15</v>
      </c>
      <c r="G4728">
        <v>49.2</v>
      </c>
      <c r="H4728">
        <v>3580.95</v>
      </c>
      <c r="I4728" t="s">
        <v>15</v>
      </c>
      <c r="J4728" t="s">
        <v>16</v>
      </c>
      <c r="K4728" t="s">
        <v>17</v>
      </c>
      <c r="L4728">
        <v>3580.95</v>
      </c>
      <c r="M4728" t="s">
        <v>5033</v>
      </c>
      <c r="N4728" t="s">
        <v>5034</v>
      </c>
    </row>
    <row r="4729" spans="1:14" x14ac:dyDescent="0.3">
      <c r="A4729" t="s">
        <v>4753</v>
      </c>
      <c r="B4729" t="s">
        <v>19</v>
      </c>
      <c r="C4729" t="s">
        <v>35</v>
      </c>
      <c r="D4729">
        <v>60</v>
      </c>
      <c r="E4729" t="s">
        <v>15</v>
      </c>
      <c r="F4729" t="s">
        <v>36</v>
      </c>
      <c r="G4729">
        <v>20.5</v>
      </c>
      <c r="H4729">
        <v>1198.8</v>
      </c>
      <c r="I4729" t="s">
        <v>15</v>
      </c>
      <c r="J4729" t="s">
        <v>16</v>
      </c>
      <c r="K4729" t="s">
        <v>24</v>
      </c>
      <c r="L4729">
        <v>1198.8</v>
      </c>
      <c r="M4729" t="s">
        <v>5033</v>
      </c>
      <c r="N4729" t="s">
        <v>5031</v>
      </c>
    </row>
    <row r="4730" spans="1:14" x14ac:dyDescent="0.3">
      <c r="A4730" t="s">
        <v>4754</v>
      </c>
      <c r="B4730" t="s">
        <v>19</v>
      </c>
      <c r="C4730" t="s">
        <v>35</v>
      </c>
      <c r="D4730">
        <v>46</v>
      </c>
      <c r="E4730" t="s">
        <v>14</v>
      </c>
      <c r="F4730" t="s">
        <v>16</v>
      </c>
      <c r="G4730">
        <v>38.25</v>
      </c>
      <c r="H4730">
        <v>1755.35</v>
      </c>
      <c r="I4730" t="s">
        <v>15</v>
      </c>
      <c r="J4730" t="s">
        <v>15</v>
      </c>
      <c r="K4730" t="s">
        <v>21</v>
      </c>
      <c r="L4730">
        <v>1755.35</v>
      </c>
      <c r="M4730" t="s">
        <v>5033</v>
      </c>
      <c r="N4730" t="s">
        <v>5031</v>
      </c>
    </row>
    <row r="4731" spans="1:14" x14ac:dyDescent="0.3">
      <c r="A4731" t="s">
        <v>4755</v>
      </c>
      <c r="B4731" t="s">
        <v>12</v>
      </c>
      <c r="C4731" t="s">
        <v>35</v>
      </c>
      <c r="D4731">
        <v>69</v>
      </c>
      <c r="E4731" t="s">
        <v>14</v>
      </c>
      <c r="F4731" t="s">
        <v>15</v>
      </c>
      <c r="G4731">
        <v>54.95</v>
      </c>
      <c r="H4731">
        <v>3772.5</v>
      </c>
      <c r="I4731" t="s">
        <v>15</v>
      </c>
      <c r="J4731" t="s">
        <v>16</v>
      </c>
      <c r="K4731" t="s">
        <v>29</v>
      </c>
      <c r="L4731">
        <v>3772.5</v>
      </c>
      <c r="M4731" t="s">
        <v>5033</v>
      </c>
      <c r="N4731" t="s">
        <v>5034</v>
      </c>
    </row>
    <row r="4732" spans="1:14" x14ac:dyDescent="0.3">
      <c r="A4732" t="s">
        <v>4756</v>
      </c>
      <c r="B4732" t="s">
        <v>19</v>
      </c>
      <c r="C4732" t="s">
        <v>13</v>
      </c>
      <c r="D4732">
        <v>31</v>
      </c>
      <c r="E4732" t="s">
        <v>26</v>
      </c>
      <c r="F4732" t="s">
        <v>16</v>
      </c>
      <c r="G4732">
        <v>96.6</v>
      </c>
      <c r="H4732">
        <v>2877.95</v>
      </c>
      <c r="I4732" t="s">
        <v>15</v>
      </c>
      <c r="J4732" t="s">
        <v>16</v>
      </c>
      <c r="K4732" t="s">
        <v>24</v>
      </c>
      <c r="L4732">
        <v>2877.95</v>
      </c>
      <c r="M4732" t="s">
        <v>5032</v>
      </c>
      <c r="N4732" t="s">
        <v>5034</v>
      </c>
    </row>
    <row r="4733" spans="1:14" x14ac:dyDescent="0.3">
      <c r="A4733" t="s">
        <v>4757</v>
      </c>
      <c r="B4733" t="s">
        <v>19</v>
      </c>
      <c r="C4733" t="s">
        <v>20</v>
      </c>
      <c r="D4733">
        <v>19</v>
      </c>
      <c r="E4733" t="s">
        <v>15</v>
      </c>
      <c r="F4733" t="s">
        <v>36</v>
      </c>
      <c r="G4733">
        <v>19.899999999999999</v>
      </c>
      <c r="H4733">
        <v>357.7</v>
      </c>
      <c r="I4733" t="s">
        <v>15</v>
      </c>
      <c r="J4733" t="s">
        <v>15</v>
      </c>
      <c r="K4733" t="s">
        <v>21</v>
      </c>
      <c r="L4733">
        <v>357.7</v>
      </c>
      <c r="M4733" t="s">
        <v>5032</v>
      </c>
      <c r="N4733" t="s">
        <v>5031</v>
      </c>
    </row>
    <row r="4734" spans="1:14" x14ac:dyDescent="0.3">
      <c r="A4734" t="s">
        <v>4758</v>
      </c>
      <c r="B4734" t="s">
        <v>12</v>
      </c>
      <c r="C4734" t="s">
        <v>35</v>
      </c>
      <c r="D4734">
        <v>71</v>
      </c>
      <c r="E4734" t="s">
        <v>15</v>
      </c>
      <c r="F4734" t="s">
        <v>36</v>
      </c>
      <c r="G4734">
        <v>19.899999999999999</v>
      </c>
      <c r="H4734">
        <v>1397.3</v>
      </c>
      <c r="I4734" t="s">
        <v>15</v>
      </c>
      <c r="J4734" t="s">
        <v>15</v>
      </c>
      <c r="K4734" t="s">
        <v>29</v>
      </c>
      <c r="L4734">
        <v>1397.3</v>
      </c>
      <c r="M4734" t="s">
        <v>5033</v>
      </c>
      <c r="N4734" t="s">
        <v>5031</v>
      </c>
    </row>
    <row r="4735" spans="1:14" x14ac:dyDescent="0.3">
      <c r="A4735" t="s">
        <v>4759</v>
      </c>
      <c r="B4735" t="s">
        <v>19</v>
      </c>
      <c r="C4735" t="s">
        <v>13</v>
      </c>
      <c r="D4735">
        <v>12</v>
      </c>
      <c r="E4735" t="s">
        <v>26</v>
      </c>
      <c r="F4735" t="s">
        <v>15</v>
      </c>
      <c r="G4735">
        <v>84.6</v>
      </c>
      <c r="H4735">
        <v>959.9</v>
      </c>
      <c r="I4735" t="s">
        <v>15</v>
      </c>
      <c r="J4735" t="s">
        <v>16</v>
      </c>
      <c r="K4735" t="s">
        <v>17</v>
      </c>
      <c r="L4735">
        <v>959.9</v>
      </c>
      <c r="M4735" t="s">
        <v>5030</v>
      </c>
      <c r="N4735" t="s">
        <v>5031</v>
      </c>
    </row>
    <row r="4736" spans="1:14" x14ac:dyDescent="0.3">
      <c r="A4736" t="s">
        <v>4760</v>
      </c>
      <c r="B4736" t="s">
        <v>19</v>
      </c>
      <c r="C4736" t="s">
        <v>20</v>
      </c>
      <c r="D4736">
        <v>39</v>
      </c>
      <c r="E4736" t="s">
        <v>14</v>
      </c>
      <c r="F4736" t="s">
        <v>16</v>
      </c>
      <c r="G4736">
        <v>80</v>
      </c>
      <c r="H4736">
        <v>3182.95</v>
      </c>
      <c r="I4736" t="s">
        <v>16</v>
      </c>
      <c r="J4736" t="s">
        <v>15</v>
      </c>
      <c r="K4736" t="s">
        <v>29</v>
      </c>
      <c r="L4736">
        <v>3182.95</v>
      </c>
      <c r="M4736" t="s">
        <v>5033</v>
      </c>
      <c r="N4736" t="s">
        <v>5034</v>
      </c>
    </row>
    <row r="4737" spans="1:14" x14ac:dyDescent="0.3">
      <c r="A4737" t="s">
        <v>4761</v>
      </c>
      <c r="B4737" t="s">
        <v>19</v>
      </c>
      <c r="C4737" t="s">
        <v>20</v>
      </c>
      <c r="D4737">
        <v>44</v>
      </c>
      <c r="E4737" t="s">
        <v>14</v>
      </c>
      <c r="F4737" t="s">
        <v>16</v>
      </c>
      <c r="G4737">
        <v>85.25</v>
      </c>
      <c r="H4737">
        <v>3704.15</v>
      </c>
      <c r="I4737" t="s">
        <v>15</v>
      </c>
      <c r="J4737" t="s">
        <v>16</v>
      </c>
      <c r="K4737" t="s">
        <v>24</v>
      </c>
      <c r="L4737">
        <v>3704.15</v>
      </c>
      <c r="M4737" t="s">
        <v>5033</v>
      </c>
      <c r="N4737" t="s">
        <v>5034</v>
      </c>
    </row>
    <row r="4738" spans="1:14" x14ac:dyDescent="0.3">
      <c r="A4738" t="s">
        <v>4762</v>
      </c>
      <c r="B4738" t="s">
        <v>12</v>
      </c>
      <c r="C4738" t="s">
        <v>35</v>
      </c>
      <c r="D4738">
        <v>56</v>
      </c>
      <c r="E4738" t="s">
        <v>14</v>
      </c>
      <c r="F4738" t="s">
        <v>16</v>
      </c>
      <c r="G4738">
        <v>81.25</v>
      </c>
      <c r="H4738">
        <v>4620.3999999999996</v>
      </c>
      <c r="I4738" t="s">
        <v>15</v>
      </c>
      <c r="J4738" t="s">
        <v>15</v>
      </c>
      <c r="K4738" t="s">
        <v>29</v>
      </c>
      <c r="L4738">
        <v>4620.3999999999996</v>
      </c>
      <c r="M4738" t="s">
        <v>5033</v>
      </c>
      <c r="N4738" t="s">
        <v>5034</v>
      </c>
    </row>
    <row r="4739" spans="1:14" x14ac:dyDescent="0.3">
      <c r="A4739" t="s">
        <v>4763</v>
      </c>
      <c r="B4739" t="s">
        <v>12</v>
      </c>
      <c r="C4739" t="s">
        <v>35</v>
      </c>
      <c r="D4739">
        <v>72</v>
      </c>
      <c r="E4739" t="s">
        <v>26</v>
      </c>
      <c r="F4739" t="s">
        <v>16</v>
      </c>
      <c r="G4739">
        <v>115.5</v>
      </c>
      <c r="H4739">
        <v>8312.75</v>
      </c>
      <c r="I4739" t="s">
        <v>15</v>
      </c>
      <c r="J4739" t="s">
        <v>16</v>
      </c>
      <c r="K4739" t="s">
        <v>24</v>
      </c>
      <c r="L4739">
        <v>8312.75</v>
      </c>
      <c r="M4739" t="s">
        <v>5033</v>
      </c>
      <c r="N4739" t="s">
        <v>5034</v>
      </c>
    </row>
    <row r="4740" spans="1:14" x14ac:dyDescent="0.3">
      <c r="A4740" t="s">
        <v>4764</v>
      </c>
      <c r="B4740" t="s">
        <v>19</v>
      </c>
      <c r="C4740" t="s">
        <v>13</v>
      </c>
      <c r="D4740">
        <v>5</v>
      </c>
      <c r="E4740" t="s">
        <v>26</v>
      </c>
      <c r="F4740" t="s">
        <v>15</v>
      </c>
      <c r="G4740">
        <v>104.1</v>
      </c>
      <c r="H4740">
        <v>541.9</v>
      </c>
      <c r="I4740" t="s">
        <v>16</v>
      </c>
      <c r="J4740" t="s">
        <v>15</v>
      </c>
      <c r="K4740" t="s">
        <v>21</v>
      </c>
      <c r="L4740">
        <v>541.9</v>
      </c>
      <c r="M4740" t="s">
        <v>5030</v>
      </c>
      <c r="N4740" t="s">
        <v>5031</v>
      </c>
    </row>
    <row r="4741" spans="1:14" x14ac:dyDescent="0.3">
      <c r="A4741" t="s">
        <v>4765</v>
      </c>
      <c r="B4741" t="s">
        <v>12</v>
      </c>
      <c r="C4741" t="s">
        <v>13</v>
      </c>
      <c r="D4741">
        <v>11</v>
      </c>
      <c r="E4741" t="s">
        <v>26</v>
      </c>
      <c r="F4741" t="s">
        <v>15</v>
      </c>
      <c r="G4741">
        <v>79</v>
      </c>
      <c r="H4741">
        <v>929.3</v>
      </c>
      <c r="I4741" t="s">
        <v>15</v>
      </c>
      <c r="J4741" t="s">
        <v>16</v>
      </c>
      <c r="K4741" t="s">
        <v>24</v>
      </c>
      <c r="L4741">
        <v>929.3</v>
      </c>
      <c r="M4741" t="s">
        <v>5030</v>
      </c>
      <c r="N4741" t="s">
        <v>5031</v>
      </c>
    </row>
    <row r="4742" spans="1:14" x14ac:dyDescent="0.3">
      <c r="A4742" t="s">
        <v>4766</v>
      </c>
      <c r="B4742" t="s">
        <v>19</v>
      </c>
      <c r="C4742" t="s">
        <v>13</v>
      </c>
      <c r="D4742">
        <v>24</v>
      </c>
      <c r="E4742" t="s">
        <v>14</v>
      </c>
      <c r="F4742" t="s">
        <v>15</v>
      </c>
      <c r="G4742">
        <v>39.1</v>
      </c>
      <c r="H4742">
        <v>971.3</v>
      </c>
      <c r="I4742" t="s">
        <v>16</v>
      </c>
      <c r="J4742" t="s">
        <v>15</v>
      </c>
      <c r="K4742" t="s">
        <v>24</v>
      </c>
      <c r="L4742">
        <v>971.3</v>
      </c>
      <c r="M4742" t="s">
        <v>5032</v>
      </c>
      <c r="N4742" t="s">
        <v>5031</v>
      </c>
    </row>
    <row r="4743" spans="1:14" x14ac:dyDescent="0.3">
      <c r="A4743" t="s">
        <v>4767</v>
      </c>
      <c r="B4743" t="s">
        <v>12</v>
      </c>
      <c r="C4743" t="s">
        <v>13</v>
      </c>
      <c r="D4743">
        <v>15</v>
      </c>
      <c r="E4743" t="s">
        <v>26</v>
      </c>
      <c r="F4743" t="s">
        <v>15</v>
      </c>
      <c r="G4743">
        <v>94.65</v>
      </c>
      <c r="H4743">
        <v>1285.05</v>
      </c>
      <c r="I4743" t="s">
        <v>15</v>
      </c>
      <c r="J4743" t="s">
        <v>16</v>
      </c>
      <c r="K4743" t="s">
        <v>17</v>
      </c>
      <c r="L4743">
        <v>1285.05</v>
      </c>
      <c r="M4743" t="s">
        <v>5032</v>
      </c>
      <c r="N4743" t="s">
        <v>5031</v>
      </c>
    </row>
    <row r="4744" spans="1:14" x14ac:dyDescent="0.3">
      <c r="A4744" t="s">
        <v>4768</v>
      </c>
      <c r="B4744" t="s">
        <v>19</v>
      </c>
      <c r="C4744" t="s">
        <v>35</v>
      </c>
      <c r="D4744">
        <v>72</v>
      </c>
      <c r="E4744" t="s">
        <v>15</v>
      </c>
      <c r="F4744" t="s">
        <v>36</v>
      </c>
      <c r="G4744">
        <v>20.8</v>
      </c>
      <c r="H4744">
        <v>1521.2</v>
      </c>
      <c r="I4744" t="s">
        <v>15</v>
      </c>
      <c r="J4744" t="s">
        <v>16</v>
      </c>
      <c r="K4744" t="s">
        <v>21</v>
      </c>
      <c r="L4744">
        <v>1521.2</v>
      </c>
      <c r="M4744" t="s">
        <v>5033</v>
      </c>
      <c r="N4744" t="s">
        <v>5031</v>
      </c>
    </row>
    <row r="4745" spans="1:14" x14ac:dyDescent="0.3">
      <c r="A4745" t="s">
        <v>4769</v>
      </c>
      <c r="B4745" t="s">
        <v>19</v>
      </c>
      <c r="C4745" t="s">
        <v>35</v>
      </c>
      <c r="D4745">
        <v>56</v>
      </c>
      <c r="E4745" t="s">
        <v>14</v>
      </c>
      <c r="F4745" t="s">
        <v>15</v>
      </c>
      <c r="G4745">
        <v>59.5</v>
      </c>
      <c r="H4745">
        <v>3389.25</v>
      </c>
      <c r="I4745" t="s">
        <v>15</v>
      </c>
      <c r="J4745" t="s">
        <v>15</v>
      </c>
      <c r="K4745" t="s">
        <v>29</v>
      </c>
      <c r="L4745">
        <v>3389.25</v>
      </c>
      <c r="M4745" t="s">
        <v>5033</v>
      </c>
      <c r="N4745" t="s">
        <v>5034</v>
      </c>
    </row>
    <row r="4746" spans="1:14" x14ac:dyDescent="0.3">
      <c r="A4746" t="s">
        <v>4770</v>
      </c>
      <c r="B4746" t="s">
        <v>19</v>
      </c>
      <c r="C4746" t="s">
        <v>35</v>
      </c>
      <c r="D4746">
        <v>64</v>
      </c>
      <c r="E4746" t="s">
        <v>15</v>
      </c>
      <c r="F4746" t="s">
        <v>36</v>
      </c>
      <c r="G4746">
        <v>20.05</v>
      </c>
      <c r="H4746">
        <v>1198.05</v>
      </c>
      <c r="I4746" t="s">
        <v>15</v>
      </c>
      <c r="J4746" t="s">
        <v>16</v>
      </c>
      <c r="K4746" t="s">
        <v>24</v>
      </c>
      <c r="L4746">
        <v>1198.05</v>
      </c>
      <c r="M4746" t="s">
        <v>5033</v>
      </c>
      <c r="N4746" t="s">
        <v>5031</v>
      </c>
    </row>
    <row r="4747" spans="1:14" x14ac:dyDescent="0.3">
      <c r="A4747" t="s">
        <v>4771</v>
      </c>
      <c r="B4747" t="s">
        <v>12</v>
      </c>
      <c r="C4747" t="s">
        <v>13</v>
      </c>
      <c r="D4747">
        <v>34</v>
      </c>
      <c r="E4747" t="s">
        <v>26</v>
      </c>
      <c r="F4747" t="s">
        <v>15</v>
      </c>
      <c r="G4747">
        <v>100.45</v>
      </c>
      <c r="H4747">
        <v>3414.65</v>
      </c>
      <c r="I4747" t="s">
        <v>15</v>
      </c>
      <c r="J4747" t="s">
        <v>16</v>
      </c>
      <c r="K4747" t="s">
        <v>17</v>
      </c>
      <c r="L4747">
        <v>3414.65</v>
      </c>
      <c r="M4747" t="s">
        <v>5032</v>
      </c>
      <c r="N4747" t="s">
        <v>5034</v>
      </c>
    </row>
    <row r="4748" spans="1:14" x14ac:dyDescent="0.3">
      <c r="A4748" t="s">
        <v>4772</v>
      </c>
      <c r="B4748" t="s">
        <v>19</v>
      </c>
      <c r="C4748" t="s">
        <v>13</v>
      </c>
      <c r="D4748">
        <v>2</v>
      </c>
      <c r="E4748" t="s">
        <v>26</v>
      </c>
      <c r="F4748" t="s">
        <v>15</v>
      </c>
      <c r="G4748">
        <v>76.5</v>
      </c>
      <c r="H4748">
        <v>162.44999999999999</v>
      </c>
      <c r="I4748" t="s">
        <v>16</v>
      </c>
      <c r="J4748" t="s">
        <v>16</v>
      </c>
      <c r="K4748" t="s">
        <v>17</v>
      </c>
      <c r="L4748">
        <v>162.44999999999999</v>
      </c>
      <c r="M4748" t="s">
        <v>5030</v>
      </c>
      <c r="N4748" t="s">
        <v>5031</v>
      </c>
    </row>
    <row r="4749" spans="1:14" x14ac:dyDescent="0.3">
      <c r="A4749" t="s">
        <v>4773</v>
      </c>
      <c r="B4749" t="s">
        <v>19</v>
      </c>
      <c r="C4749" t="s">
        <v>20</v>
      </c>
      <c r="D4749">
        <v>35</v>
      </c>
      <c r="E4749" t="s">
        <v>15</v>
      </c>
      <c r="F4749" t="s">
        <v>36</v>
      </c>
      <c r="G4749">
        <v>20.6</v>
      </c>
      <c r="H4749">
        <v>754</v>
      </c>
      <c r="I4749" t="s">
        <v>15</v>
      </c>
      <c r="J4749" t="s">
        <v>15</v>
      </c>
      <c r="K4749" t="s">
        <v>24</v>
      </c>
      <c r="L4749">
        <v>754</v>
      </c>
      <c r="M4749" t="s">
        <v>5032</v>
      </c>
      <c r="N4749" t="s">
        <v>5031</v>
      </c>
    </row>
    <row r="4750" spans="1:14" x14ac:dyDescent="0.3">
      <c r="A4750" t="s">
        <v>4774</v>
      </c>
      <c r="B4750" t="s">
        <v>19</v>
      </c>
      <c r="C4750" t="s">
        <v>20</v>
      </c>
      <c r="D4750">
        <v>22</v>
      </c>
      <c r="E4750" t="s">
        <v>15</v>
      </c>
      <c r="F4750" t="s">
        <v>36</v>
      </c>
      <c r="G4750">
        <v>20.3</v>
      </c>
      <c r="H4750">
        <v>467.15</v>
      </c>
      <c r="I4750" t="s">
        <v>15</v>
      </c>
      <c r="J4750" t="s">
        <v>15</v>
      </c>
      <c r="K4750" t="s">
        <v>29</v>
      </c>
      <c r="L4750">
        <v>467.15</v>
      </c>
      <c r="M4750" t="s">
        <v>5032</v>
      </c>
      <c r="N4750" t="s">
        <v>5031</v>
      </c>
    </row>
    <row r="4751" spans="1:14" x14ac:dyDescent="0.3">
      <c r="A4751" t="s">
        <v>4775</v>
      </c>
      <c r="B4751" t="s">
        <v>19</v>
      </c>
      <c r="C4751" t="s">
        <v>13</v>
      </c>
      <c r="D4751">
        <v>5</v>
      </c>
      <c r="E4751" t="s">
        <v>14</v>
      </c>
      <c r="F4751" t="s">
        <v>16</v>
      </c>
      <c r="G4751">
        <v>49.2</v>
      </c>
      <c r="H4751">
        <v>216.9</v>
      </c>
      <c r="I4751" t="s">
        <v>16</v>
      </c>
      <c r="J4751" t="s">
        <v>16</v>
      </c>
      <c r="K4751" t="s">
        <v>17</v>
      </c>
      <c r="L4751">
        <v>216.9</v>
      </c>
      <c r="M4751" t="s">
        <v>5030</v>
      </c>
      <c r="N4751" t="s">
        <v>5031</v>
      </c>
    </row>
    <row r="4752" spans="1:14" x14ac:dyDescent="0.3">
      <c r="A4752" t="s">
        <v>4776</v>
      </c>
      <c r="B4752" t="s">
        <v>19</v>
      </c>
      <c r="C4752" t="s">
        <v>20</v>
      </c>
      <c r="D4752">
        <v>9</v>
      </c>
      <c r="E4752" t="s">
        <v>14</v>
      </c>
      <c r="F4752" t="s">
        <v>15</v>
      </c>
      <c r="G4752">
        <v>39.549999999999997</v>
      </c>
      <c r="H4752">
        <v>373</v>
      </c>
      <c r="I4752" t="s">
        <v>15</v>
      </c>
      <c r="J4752" t="s">
        <v>15</v>
      </c>
      <c r="K4752" t="s">
        <v>21</v>
      </c>
      <c r="L4752">
        <v>373</v>
      </c>
      <c r="M4752" t="s">
        <v>5030</v>
      </c>
      <c r="N4752" t="s">
        <v>5031</v>
      </c>
    </row>
    <row r="4753" spans="1:14" x14ac:dyDescent="0.3">
      <c r="A4753" t="s">
        <v>4777</v>
      </c>
      <c r="B4753" t="s">
        <v>19</v>
      </c>
      <c r="C4753" t="s">
        <v>13</v>
      </c>
      <c r="D4753">
        <v>11</v>
      </c>
      <c r="E4753" t="s">
        <v>15</v>
      </c>
      <c r="F4753" t="s">
        <v>36</v>
      </c>
      <c r="G4753">
        <v>23.15</v>
      </c>
      <c r="H4753">
        <v>245.2</v>
      </c>
      <c r="I4753" t="s">
        <v>16</v>
      </c>
      <c r="J4753" t="s">
        <v>15</v>
      </c>
      <c r="K4753" t="s">
        <v>29</v>
      </c>
      <c r="L4753">
        <v>245.2</v>
      </c>
      <c r="M4753" t="s">
        <v>5030</v>
      </c>
      <c r="N4753" t="s">
        <v>5031</v>
      </c>
    </row>
    <row r="4754" spans="1:14" x14ac:dyDescent="0.3">
      <c r="A4754" t="s">
        <v>4778</v>
      </c>
      <c r="B4754" t="s">
        <v>19</v>
      </c>
      <c r="C4754" t="s">
        <v>20</v>
      </c>
      <c r="D4754">
        <v>23</v>
      </c>
      <c r="E4754" t="s">
        <v>15</v>
      </c>
      <c r="F4754" t="s">
        <v>36</v>
      </c>
      <c r="G4754">
        <v>20.45</v>
      </c>
      <c r="H4754">
        <v>481.1</v>
      </c>
      <c r="I4754" t="s">
        <v>15</v>
      </c>
      <c r="J4754" t="s">
        <v>15</v>
      </c>
      <c r="K4754" t="s">
        <v>21</v>
      </c>
      <c r="L4754">
        <v>481.1</v>
      </c>
      <c r="M4754" t="s">
        <v>5032</v>
      </c>
      <c r="N4754" t="s">
        <v>5031</v>
      </c>
    </row>
    <row r="4755" spans="1:14" x14ac:dyDescent="0.3">
      <c r="A4755" t="s">
        <v>4779</v>
      </c>
      <c r="B4755" t="s">
        <v>12</v>
      </c>
      <c r="C4755" t="s">
        <v>13</v>
      </c>
      <c r="D4755">
        <v>4</v>
      </c>
      <c r="E4755" t="s">
        <v>26</v>
      </c>
      <c r="F4755" t="s">
        <v>15</v>
      </c>
      <c r="G4755">
        <v>80.849999999999994</v>
      </c>
      <c r="H4755">
        <v>302.75</v>
      </c>
      <c r="I4755" t="s">
        <v>16</v>
      </c>
      <c r="J4755" t="s">
        <v>15</v>
      </c>
      <c r="K4755" t="s">
        <v>17</v>
      </c>
      <c r="L4755">
        <v>302.75</v>
      </c>
      <c r="M4755" t="s">
        <v>5030</v>
      </c>
      <c r="N4755" t="s">
        <v>5031</v>
      </c>
    </row>
    <row r="4756" spans="1:14" x14ac:dyDescent="0.3">
      <c r="A4756" t="s">
        <v>4780</v>
      </c>
      <c r="B4756" t="s">
        <v>19</v>
      </c>
      <c r="C4756" t="s">
        <v>35</v>
      </c>
      <c r="D4756">
        <v>68</v>
      </c>
      <c r="E4756" t="s">
        <v>15</v>
      </c>
      <c r="F4756" t="s">
        <v>36</v>
      </c>
      <c r="G4756">
        <v>25.25</v>
      </c>
      <c r="H4756">
        <v>1728.2</v>
      </c>
      <c r="I4756" t="s">
        <v>15</v>
      </c>
      <c r="J4756" t="s">
        <v>15</v>
      </c>
      <c r="K4756" t="s">
        <v>24</v>
      </c>
      <c r="L4756">
        <v>1728.2</v>
      </c>
      <c r="M4756" t="s">
        <v>5033</v>
      </c>
      <c r="N4756" t="s">
        <v>5031</v>
      </c>
    </row>
    <row r="4757" spans="1:14" x14ac:dyDescent="0.3">
      <c r="A4757" t="s">
        <v>4781</v>
      </c>
      <c r="B4757" t="s">
        <v>19</v>
      </c>
      <c r="C4757" t="s">
        <v>13</v>
      </c>
      <c r="D4757">
        <v>33</v>
      </c>
      <c r="E4757" t="s">
        <v>26</v>
      </c>
      <c r="F4757" t="s">
        <v>15</v>
      </c>
      <c r="G4757">
        <v>91.25</v>
      </c>
      <c r="H4757">
        <v>2964.05</v>
      </c>
      <c r="I4757" t="s">
        <v>15</v>
      </c>
      <c r="J4757" t="s">
        <v>15</v>
      </c>
      <c r="K4757" t="s">
        <v>17</v>
      </c>
      <c r="L4757">
        <v>2964.05</v>
      </c>
      <c r="M4757" t="s">
        <v>5032</v>
      </c>
      <c r="N4757" t="s">
        <v>5034</v>
      </c>
    </row>
    <row r="4758" spans="1:14" x14ac:dyDescent="0.3">
      <c r="A4758" t="s">
        <v>4782</v>
      </c>
      <c r="B4758" t="s">
        <v>19</v>
      </c>
      <c r="C4758" t="s">
        <v>13</v>
      </c>
      <c r="D4758">
        <v>31</v>
      </c>
      <c r="E4758" t="s">
        <v>14</v>
      </c>
      <c r="F4758" t="s">
        <v>16</v>
      </c>
      <c r="G4758">
        <v>72.45</v>
      </c>
      <c r="H4758">
        <v>2156.25</v>
      </c>
      <c r="I4758" t="s">
        <v>15</v>
      </c>
      <c r="J4758" t="s">
        <v>16</v>
      </c>
      <c r="K4758" t="s">
        <v>24</v>
      </c>
      <c r="L4758">
        <v>2156.25</v>
      </c>
      <c r="M4758" t="s">
        <v>5032</v>
      </c>
      <c r="N4758" t="s">
        <v>5031</v>
      </c>
    </row>
    <row r="4759" spans="1:14" x14ac:dyDescent="0.3">
      <c r="A4759" t="s">
        <v>4783</v>
      </c>
      <c r="B4759" t="s">
        <v>19</v>
      </c>
      <c r="C4759" t="s">
        <v>13</v>
      </c>
      <c r="D4759">
        <v>1</v>
      </c>
      <c r="E4759" t="s">
        <v>14</v>
      </c>
      <c r="F4759" t="s">
        <v>16</v>
      </c>
      <c r="G4759">
        <v>60.1</v>
      </c>
      <c r="H4759">
        <v>60.1</v>
      </c>
      <c r="I4759" t="s">
        <v>16</v>
      </c>
      <c r="J4759" t="s">
        <v>15</v>
      </c>
      <c r="K4759" t="s">
        <v>21</v>
      </c>
      <c r="L4759">
        <v>60.1</v>
      </c>
      <c r="M4759" t="s">
        <v>5030</v>
      </c>
      <c r="N4759" t="s">
        <v>5031</v>
      </c>
    </row>
    <row r="4760" spans="1:14" x14ac:dyDescent="0.3">
      <c r="A4760" t="s">
        <v>4784</v>
      </c>
      <c r="B4760" t="s">
        <v>12</v>
      </c>
      <c r="C4760" t="s">
        <v>35</v>
      </c>
      <c r="D4760">
        <v>56</v>
      </c>
      <c r="E4760" t="s">
        <v>15</v>
      </c>
      <c r="F4760" t="s">
        <v>36</v>
      </c>
      <c r="G4760">
        <v>19.7</v>
      </c>
      <c r="H4760">
        <v>1051.9000000000001</v>
      </c>
      <c r="I4760" t="s">
        <v>15</v>
      </c>
      <c r="J4760" t="s">
        <v>15</v>
      </c>
      <c r="K4760" t="s">
        <v>24</v>
      </c>
      <c r="L4760">
        <v>1051.9000000000001</v>
      </c>
      <c r="M4760" t="s">
        <v>5033</v>
      </c>
      <c r="N4760" t="s">
        <v>5031</v>
      </c>
    </row>
    <row r="4761" spans="1:14" x14ac:dyDescent="0.3">
      <c r="A4761" t="s">
        <v>4785</v>
      </c>
      <c r="B4761" t="s">
        <v>19</v>
      </c>
      <c r="C4761" t="s">
        <v>13</v>
      </c>
      <c r="D4761">
        <v>1</v>
      </c>
      <c r="E4761" t="s">
        <v>26</v>
      </c>
      <c r="F4761" t="s">
        <v>15</v>
      </c>
      <c r="G4761">
        <v>78.95</v>
      </c>
      <c r="H4761">
        <v>78.95</v>
      </c>
      <c r="I4761" t="s">
        <v>16</v>
      </c>
      <c r="J4761" t="s">
        <v>16</v>
      </c>
      <c r="K4761" t="s">
        <v>17</v>
      </c>
      <c r="L4761">
        <v>78.95</v>
      </c>
      <c r="M4761" t="s">
        <v>5030</v>
      </c>
      <c r="N4761" t="s">
        <v>5031</v>
      </c>
    </row>
    <row r="4762" spans="1:14" x14ac:dyDescent="0.3">
      <c r="A4762" t="s">
        <v>4786</v>
      </c>
      <c r="B4762" t="s">
        <v>19</v>
      </c>
      <c r="C4762" t="s">
        <v>20</v>
      </c>
      <c r="D4762">
        <v>66</v>
      </c>
      <c r="E4762" t="s">
        <v>14</v>
      </c>
      <c r="F4762" t="s">
        <v>16</v>
      </c>
      <c r="G4762">
        <v>75.099999999999994</v>
      </c>
      <c r="H4762">
        <v>5013</v>
      </c>
      <c r="I4762" t="s">
        <v>15</v>
      </c>
      <c r="J4762" t="s">
        <v>16</v>
      </c>
      <c r="K4762" t="s">
        <v>17</v>
      </c>
      <c r="L4762">
        <v>5013</v>
      </c>
      <c r="M4762" t="s">
        <v>5033</v>
      </c>
      <c r="N4762" t="s">
        <v>5034</v>
      </c>
    </row>
    <row r="4763" spans="1:14" x14ac:dyDescent="0.3">
      <c r="A4763" t="s">
        <v>4787</v>
      </c>
      <c r="B4763" t="s">
        <v>19</v>
      </c>
      <c r="C4763" t="s">
        <v>35</v>
      </c>
      <c r="D4763">
        <v>72</v>
      </c>
      <c r="E4763" t="s">
        <v>15</v>
      </c>
      <c r="F4763" t="s">
        <v>36</v>
      </c>
      <c r="G4763">
        <v>25</v>
      </c>
      <c r="H4763">
        <v>1738.9</v>
      </c>
      <c r="I4763" t="s">
        <v>15</v>
      </c>
      <c r="J4763" t="s">
        <v>15</v>
      </c>
      <c r="K4763" t="s">
        <v>24</v>
      </c>
      <c r="L4763">
        <v>1738.9</v>
      </c>
      <c r="M4763" t="s">
        <v>5033</v>
      </c>
      <c r="N4763" t="s">
        <v>5031</v>
      </c>
    </row>
    <row r="4764" spans="1:14" x14ac:dyDescent="0.3">
      <c r="A4764" t="s">
        <v>4788</v>
      </c>
      <c r="B4764" t="s">
        <v>19</v>
      </c>
      <c r="C4764" t="s">
        <v>13</v>
      </c>
      <c r="D4764">
        <v>34</v>
      </c>
      <c r="E4764" t="s">
        <v>26</v>
      </c>
      <c r="F4764" t="s">
        <v>15</v>
      </c>
      <c r="G4764">
        <v>69.150000000000006</v>
      </c>
      <c r="H4764">
        <v>2275.1</v>
      </c>
      <c r="I4764" t="s">
        <v>15</v>
      </c>
      <c r="J4764" t="s">
        <v>15</v>
      </c>
      <c r="K4764" t="s">
        <v>29</v>
      </c>
      <c r="L4764">
        <v>2275.1</v>
      </c>
      <c r="M4764" t="s">
        <v>5032</v>
      </c>
      <c r="N4764" t="s">
        <v>5031</v>
      </c>
    </row>
    <row r="4765" spans="1:14" x14ac:dyDescent="0.3">
      <c r="A4765" t="s">
        <v>4789</v>
      </c>
      <c r="B4765" t="s">
        <v>12</v>
      </c>
      <c r="C4765" t="s">
        <v>13</v>
      </c>
      <c r="D4765">
        <v>58</v>
      </c>
      <c r="E4765" t="s">
        <v>26</v>
      </c>
      <c r="F4765" t="s">
        <v>15</v>
      </c>
      <c r="G4765">
        <v>91.55</v>
      </c>
      <c r="H4765">
        <v>5511.65</v>
      </c>
      <c r="I4765" t="s">
        <v>15</v>
      </c>
      <c r="J4765" t="s">
        <v>16</v>
      </c>
      <c r="K4765" t="s">
        <v>17</v>
      </c>
      <c r="L4765">
        <v>5511.65</v>
      </c>
      <c r="M4765" t="s">
        <v>5033</v>
      </c>
      <c r="N4765" t="s">
        <v>5034</v>
      </c>
    </row>
    <row r="4766" spans="1:14" x14ac:dyDescent="0.3">
      <c r="A4766" t="s">
        <v>4790</v>
      </c>
      <c r="B4766" t="s">
        <v>19</v>
      </c>
      <c r="C4766" t="s">
        <v>13</v>
      </c>
      <c r="D4766">
        <v>2</v>
      </c>
      <c r="E4766" t="s">
        <v>14</v>
      </c>
      <c r="F4766" t="s">
        <v>15</v>
      </c>
      <c r="G4766">
        <v>45.15</v>
      </c>
      <c r="H4766">
        <v>98.5</v>
      </c>
      <c r="I4766" t="s">
        <v>16</v>
      </c>
      <c r="J4766" t="s">
        <v>16</v>
      </c>
      <c r="K4766" t="s">
        <v>17</v>
      </c>
      <c r="L4766">
        <v>98.5</v>
      </c>
      <c r="M4766" t="s">
        <v>5030</v>
      </c>
      <c r="N4766" t="s">
        <v>5031</v>
      </c>
    </row>
    <row r="4767" spans="1:14" x14ac:dyDescent="0.3">
      <c r="A4767" t="s">
        <v>4791</v>
      </c>
      <c r="B4767" t="s">
        <v>19</v>
      </c>
      <c r="C4767" t="s">
        <v>35</v>
      </c>
      <c r="D4767">
        <v>37</v>
      </c>
      <c r="E4767" t="s">
        <v>14</v>
      </c>
      <c r="F4767" t="s">
        <v>15</v>
      </c>
      <c r="G4767">
        <v>35.799999999999997</v>
      </c>
      <c r="H4767">
        <v>1316.9</v>
      </c>
      <c r="I4767" t="s">
        <v>15</v>
      </c>
      <c r="J4767" t="s">
        <v>15</v>
      </c>
      <c r="K4767" t="s">
        <v>29</v>
      </c>
      <c r="L4767">
        <v>1316.9</v>
      </c>
      <c r="M4767" t="s">
        <v>5033</v>
      </c>
      <c r="N4767" t="s">
        <v>5031</v>
      </c>
    </row>
    <row r="4768" spans="1:14" x14ac:dyDescent="0.3">
      <c r="A4768" t="s">
        <v>4792</v>
      </c>
      <c r="B4768" t="s">
        <v>12</v>
      </c>
      <c r="C4768" t="s">
        <v>35</v>
      </c>
      <c r="D4768">
        <v>71</v>
      </c>
      <c r="E4768" t="s">
        <v>26</v>
      </c>
      <c r="F4768" t="s">
        <v>16</v>
      </c>
      <c r="G4768">
        <v>113.15</v>
      </c>
      <c r="H4768">
        <v>7993.3</v>
      </c>
      <c r="I4768" t="s">
        <v>15</v>
      </c>
      <c r="J4768" t="s">
        <v>16</v>
      </c>
      <c r="K4768" t="s">
        <v>29</v>
      </c>
      <c r="L4768">
        <v>7993.3</v>
      </c>
      <c r="M4768" t="s">
        <v>5033</v>
      </c>
      <c r="N4768" t="s">
        <v>5034</v>
      </c>
    </row>
    <row r="4769" spans="1:14" x14ac:dyDescent="0.3">
      <c r="A4769" t="s">
        <v>4793</v>
      </c>
      <c r="B4769" t="s">
        <v>19</v>
      </c>
      <c r="C4769" t="s">
        <v>20</v>
      </c>
      <c r="D4769">
        <v>1</v>
      </c>
      <c r="E4769" t="s">
        <v>15</v>
      </c>
      <c r="F4769" t="s">
        <v>36</v>
      </c>
      <c r="G4769">
        <v>19.850000000000001</v>
      </c>
      <c r="H4769">
        <v>19.850000000000001</v>
      </c>
      <c r="I4769" t="s">
        <v>15</v>
      </c>
      <c r="J4769" t="s">
        <v>15</v>
      </c>
      <c r="K4769" t="s">
        <v>29</v>
      </c>
      <c r="L4769">
        <v>19.850000000000001</v>
      </c>
      <c r="M4769" t="s">
        <v>5030</v>
      </c>
      <c r="N4769" t="s">
        <v>5031</v>
      </c>
    </row>
    <row r="4770" spans="1:14" x14ac:dyDescent="0.3">
      <c r="A4770" t="s">
        <v>4794</v>
      </c>
      <c r="B4770" t="s">
        <v>19</v>
      </c>
      <c r="C4770" t="s">
        <v>35</v>
      </c>
      <c r="D4770">
        <v>71</v>
      </c>
      <c r="E4770" t="s">
        <v>15</v>
      </c>
      <c r="F4770" t="s">
        <v>36</v>
      </c>
      <c r="G4770">
        <v>19.8</v>
      </c>
      <c r="H4770">
        <v>1388.45</v>
      </c>
      <c r="I4770" t="s">
        <v>15</v>
      </c>
      <c r="J4770" t="s">
        <v>15</v>
      </c>
      <c r="K4770" t="s">
        <v>29</v>
      </c>
      <c r="L4770">
        <v>1388.45</v>
      </c>
      <c r="M4770" t="s">
        <v>5033</v>
      </c>
      <c r="N4770" t="s">
        <v>5031</v>
      </c>
    </row>
    <row r="4771" spans="1:14" x14ac:dyDescent="0.3">
      <c r="A4771" t="s">
        <v>4795</v>
      </c>
      <c r="B4771" t="s">
        <v>19</v>
      </c>
      <c r="C4771" t="s">
        <v>20</v>
      </c>
      <c r="D4771">
        <v>35</v>
      </c>
      <c r="E4771" t="s">
        <v>15</v>
      </c>
      <c r="F4771" t="s">
        <v>36</v>
      </c>
      <c r="G4771">
        <v>19.899999999999999</v>
      </c>
      <c r="H4771">
        <v>666</v>
      </c>
      <c r="I4771" t="s">
        <v>15</v>
      </c>
      <c r="J4771" t="s">
        <v>15</v>
      </c>
      <c r="K4771" t="s">
        <v>17</v>
      </c>
      <c r="L4771">
        <v>666</v>
      </c>
      <c r="M4771" t="s">
        <v>5032</v>
      </c>
      <c r="N4771" t="s">
        <v>5031</v>
      </c>
    </row>
    <row r="4772" spans="1:14" x14ac:dyDescent="0.3">
      <c r="A4772" t="s">
        <v>4796</v>
      </c>
      <c r="B4772" t="s">
        <v>12</v>
      </c>
      <c r="C4772" t="s">
        <v>20</v>
      </c>
      <c r="D4772">
        <v>6</v>
      </c>
      <c r="E4772" t="s">
        <v>15</v>
      </c>
      <c r="F4772" t="s">
        <v>36</v>
      </c>
      <c r="G4772">
        <v>19.7</v>
      </c>
      <c r="H4772">
        <v>94.45</v>
      </c>
      <c r="I4772" t="s">
        <v>15</v>
      </c>
      <c r="J4772" t="s">
        <v>15</v>
      </c>
      <c r="K4772" t="s">
        <v>21</v>
      </c>
      <c r="L4772">
        <v>94.45</v>
      </c>
      <c r="M4772" t="s">
        <v>5030</v>
      </c>
      <c r="N4772" t="s">
        <v>5031</v>
      </c>
    </row>
    <row r="4773" spans="1:14" x14ac:dyDescent="0.3">
      <c r="A4773" t="s">
        <v>4797</v>
      </c>
      <c r="B4773" t="s">
        <v>12</v>
      </c>
      <c r="C4773" t="s">
        <v>13</v>
      </c>
      <c r="D4773">
        <v>3</v>
      </c>
      <c r="E4773" t="s">
        <v>26</v>
      </c>
      <c r="F4773" t="s">
        <v>15</v>
      </c>
      <c r="G4773">
        <v>79.400000000000006</v>
      </c>
      <c r="H4773">
        <v>244.65</v>
      </c>
      <c r="I4773" t="s">
        <v>16</v>
      </c>
      <c r="J4773" t="s">
        <v>16</v>
      </c>
      <c r="K4773" t="s">
        <v>17</v>
      </c>
      <c r="L4773">
        <v>244.65</v>
      </c>
      <c r="M4773" t="s">
        <v>5030</v>
      </c>
      <c r="N4773" t="s">
        <v>5031</v>
      </c>
    </row>
    <row r="4774" spans="1:14" x14ac:dyDescent="0.3">
      <c r="A4774" t="s">
        <v>4798</v>
      </c>
      <c r="B4774" t="s">
        <v>12</v>
      </c>
      <c r="C4774" t="s">
        <v>20</v>
      </c>
      <c r="D4774">
        <v>69</v>
      </c>
      <c r="E4774" t="s">
        <v>14</v>
      </c>
      <c r="F4774" t="s">
        <v>16</v>
      </c>
      <c r="G4774">
        <v>59.1</v>
      </c>
      <c r="H4774">
        <v>4134.7</v>
      </c>
      <c r="I4774" t="s">
        <v>15</v>
      </c>
      <c r="J4774" t="s">
        <v>15</v>
      </c>
      <c r="K4774" t="s">
        <v>24</v>
      </c>
      <c r="L4774">
        <v>4134.7</v>
      </c>
      <c r="M4774" t="s">
        <v>5033</v>
      </c>
      <c r="N4774" t="s">
        <v>5034</v>
      </c>
    </row>
    <row r="4775" spans="1:14" x14ac:dyDescent="0.3">
      <c r="A4775" t="s">
        <v>4799</v>
      </c>
      <c r="B4775" t="s">
        <v>19</v>
      </c>
      <c r="C4775" t="s">
        <v>20</v>
      </c>
      <c r="D4775">
        <v>44</v>
      </c>
      <c r="E4775" t="s">
        <v>14</v>
      </c>
      <c r="F4775" t="s">
        <v>15</v>
      </c>
      <c r="G4775">
        <v>53.95</v>
      </c>
      <c r="H4775">
        <v>2375.4</v>
      </c>
      <c r="I4775" t="s">
        <v>16</v>
      </c>
      <c r="J4775" t="s">
        <v>16</v>
      </c>
      <c r="K4775" t="s">
        <v>21</v>
      </c>
      <c r="L4775">
        <v>2375.4</v>
      </c>
      <c r="M4775" t="s">
        <v>5033</v>
      </c>
      <c r="N4775" t="s">
        <v>5031</v>
      </c>
    </row>
    <row r="4776" spans="1:14" x14ac:dyDescent="0.3">
      <c r="A4776" t="s">
        <v>4800</v>
      </c>
      <c r="B4776" t="s">
        <v>12</v>
      </c>
      <c r="C4776" t="s">
        <v>20</v>
      </c>
      <c r="D4776">
        <v>53</v>
      </c>
      <c r="E4776" t="s">
        <v>26</v>
      </c>
      <c r="F4776" t="s">
        <v>16</v>
      </c>
      <c r="G4776">
        <v>91.15</v>
      </c>
      <c r="H4776">
        <v>4862.5</v>
      </c>
      <c r="I4776" t="s">
        <v>15</v>
      </c>
      <c r="J4776" t="s">
        <v>16</v>
      </c>
      <c r="K4776" t="s">
        <v>17</v>
      </c>
      <c r="L4776">
        <v>4862.5</v>
      </c>
      <c r="M4776" t="s">
        <v>5033</v>
      </c>
      <c r="N4776" t="s">
        <v>5034</v>
      </c>
    </row>
    <row r="4777" spans="1:14" x14ac:dyDescent="0.3">
      <c r="A4777" t="s">
        <v>4801</v>
      </c>
      <c r="B4777" t="s">
        <v>12</v>
      </c>
      <c r="C4777" t="s">
        <v>13</v>
      </c>
      <c r="D4777">
        <v>24</v>
      </c>
      <c r="E4777" t="s">
        <v>26</v>
      </c>
      <c r="F4777" t="s">
        <v>15</v>
      </c>
      <c r="G4777">
        <v>99.3</v>
      </c>
      <c r="H4777">
        <v>2431.35</v>
      </c>
      <c r="I4777" t="s">
        <v>16</v>
      </c>
      <c r="J4777" t="s">
        <v>16</v>
      </c>
      <c r="K4777" t="s">
        <v>29</v>
      </c>
      <c r="L4777">
        <v>2431.35</v>
      </c>
      <c r="M4777" t="s">
        <v>5032</v>
      </c>
      <c r="N4777" t="s">
        <v>5031</v>
      </c>
    </row>
    <row r="4778" spans="1:14" x14ac:dyDescent="0.3">
      <c r="A4778" t="s">
        <v>4802</v>
      </c>
      <c r="B4778" t="s">
        <v>12</v>
      </c>
      <c r="C4778" t="s">
        <v>13</v>
      </c>
      <c r="D4778">
        <v>5</v>
      </c>
      <c r="E4778" t="s">
        <v>26</v>
      </c>
      <c r="F4778" t="s">
        <v>15</v>
      </c>
      <c r="G4778">
        <v>68.95</v>
      </c>
      <c r="H4778">
        <v>351.5</v>
      </c>
      <c r="I4778" t="s">
        <v>15</v>
      </c>
      <c r="J4778" t="s">
        <v>16</v>
      </c>
      <c r="K4778" t="s">
        <v>17</v>
      </c>
      <c r="L4778">
        <v>351.5</v>
      </c>
      <c r="M4778" t="s">
        <v>5030</v>
      </c>
      <c r="N4778" t="s">
        <v>5031</v>
      </c>
    </row>
    <row r="4779" spans="1:14" x14ac:dyDescent="0.3">
      <c r="A4779" t="s">
        <v>4803</v>
      </c>
      <c r="B4779" t="s">
        <v>12</v>
      </c>
      <c r="C4779" t="s">
        <v>13</v>
      </c>
      <c r="D4779">
        <v>2</v>
      </c>
      <c r="E4779" t="s">
        <v>14</v>
      </c>
      <c r="F4779" t="s">
        <v>15</v>
      </c>
      <c r="G4779">
        <v>51.55</v>
      </c>
      <c r="H4779">
        <v>106.2</v>
      </c>
      <c r="I4779" t="s">
        <v>15</v>
      </c>
      <c r="J4779" t="s">
        <v>15</v>
      </c>
      <c r="K4779" t="s">
        <v>21</v>
      </c>
      <c r="L4779">
        <v>106.2</v>
      </c>
      <c r="M4779" t="s">
        <v>5030</v>
      </c>
      <c r="N4779" t="s">
        <v>5031</v>
      </c>
    </row>
    <row r="4780" spans="1:14" x14ac:dyDescent="0.3">
      <c r="A4780" t="s">
        <v>4804</v>
      </c>
      <c r="B4780" t="s">
        <v>19</v>
      </c>
      <c r="C4780" t="s">
        <v>35</v>
      </c>
      <c r="D4780">
        <v>62</v>
      </c>
      <c r="E4780" t="s">
        <v>15</v>
      </c>
      <c r="F4780" t="s">
        <v>36</v>
      </c>
      <c r="G4780">
        <v>24.4</v>
      </c>
      <c r="H4780">
        <v>1413</v>
      </c>
      <c r="I4780" t="s">
        <v>15</v>
      </c>
      <c r="J4780" t="s">
        <v>16</v>
      </c>
      <c r="K4780" t="s">
        <v>21</v>
      </c>
      <c r="L4780">
        <v>1413</v>
      </c>
      <c r="M4780" t="s">
        <v>5033</v>
      </c>
      <c r="N4780" t="s">
        <v>5031</v>
      </c>
    </row>
    <row r="4781" spans="1:14" x14ac:dyDescent="0.3">
      <c r="A4781" t="s">
        <v>4805</v>
      </c>
      <c r="B4781" t="s">
        <v>12</v>
      </c>
      <c r="C4781" t="s">
        <v>13</v>
      </c>
      <c r="D4781">
        <v>19</v>
      </c>
      <c r="E4781" t="s">
        <v>26</v>
      </c>
      <c r="F4781" t="s">
        <v>15</v>
      </c>
      <c r="G4781">
        <v>96.8</v>
      </c>
      <c r="H4781">
        <v>1743.05</v>
      </c>
      <c r="I4781" t="s">
        <v>15</v>
      </c>
      <c r="J4781" t="s">
        <v>16</v>
      </c>
      <c r="K4781" t="s">
        <v>17</v>
      </c>
      <c r="L4781">
        <v>1743.05</v>
      </c>
      <c r="M4781" t="s">
        <v>5032</v>
      </c>
      <c r="N4781" t="s">
        <v>5031</v>
      </c>
    </row>
    <row r="4782" spans="1:14" x14ac:dyDescent="0.3">
      <c r="A4782" t="s">
        <v>4806</v>
      </c>
      <c r="B4782" t="s">
        <v>19</v>
      </c>
      <c r="C4782" t="s">
        <v>13</v>
      </c>
      <c r="D4782">
        <v>9</v>
      </c>
      <c r="E4782" t="s">
        <v>26</v>
      </c>
      <c r="F4782" t="s">
        <v>15</v>
      </c>
      <c r="G4782">
        <v>70.05</v>
      </c>
      <c r="H4782">
        <v>657.5</v>
      </c>
      <c r="I4782" t="s">
        <v>15</v>
      </c>
      <c r="J4782" t="s">
        <v>15</v>
      </c>
      <c r="K4782" t="s">
        <v>21</v>
      </c>
      <c r="L4782">
        <v>657.5</v>
      </c>
      <c r="M4782" t="s">
        <v>5030</v>
      </c>
      <c r="N4782" t="s">
        <v>5031</v>
      </c>
    </row>
    <row r="4783" spans="1:14" x14ac:dyDescent="0.3">
      <c r="A4783" t="s">
        <v>4807</v>
      </c>
      <c r="B4783" t="s">
        <v>19</v>
      </c>
      <c r="C4783" t="s">
        <v>35</v>
      </c>
      <c r="D4783">
        <v>53</v>
      </c>
      <c r="E4783" t="s">
        <v>15</v>
      </c>
      <c r="F4783" t="s">
        <v>36</v>
      </c>
      <c r="G4783">
        <v>19.5</v>
      </c>
      <c r="H4783">
        <v>1050.5</v>
      </c>
      <c r="I4783" t="s">
        <v>15</v>
      </c>
      <c r="J4783" t="s">
        <v>15</v>
      </c>
      <c r="K4783" t="s">
        <v>29</v>
      </c>
      <c r="L4783">
        <v>1050.5</v>
      </c>
      <c r="M4783" t="s">
        <v>5033</v>
      </c>
      <c r="N4783" t="s">
        <v>5031</v>
      </c>
    </row>
    <row r="4784" spans="1:14" x14ac:dyDescent="0.3">
      <c r="A4784" t="s">
        <v>4808</v>
      </c>
      <c r="B4784" t="s">
        <v>19</v>
      </c>
      <c r="C4784" t="s">
        <v>13</v>
      </c>
      <c r="D4784">
        <v>5</v>
      </c>
      <c r="E4784" t="s">
        <v>26</v>
      </c>
      <c r="F4784" t="s">
        <v>15</v>
      </c>
      <c r="G4784">
        <v>78.75</v>
      </c>
      <c r="H4784">
        <v>426.35</v>
      </c>
      <c r="I4784" t="s">
        <v>15</v>
      </c>
      <c r="J4784" t="s">
        <v>15</v>
      </c>
      <c r="K4784" t="s">
        <v>21</v>
      </c>
      <c r="L4784">
        <v>426.35</v>
      </c>
      <c r="M4784" t="s">
        <v>5030</v>
      </c>
      <c r="N4784" t="s">
        <v>5031</v>
      </c>
    </row>
    <row r="4785" spans="1:14" x14ac:dyDescent="0.3">
      <c r="A4785" t="s">
        <v>4809</v>
      </c>
      <c r="B4785" t="s">
        <v>12</v>
      </c>
      <c r="C4785" t="s">
        <v>20</v>
      </c>
      <c r="D4785">
        <v>71</v>
      </c>
      <c r="E4785" t="s">
        <v>14</v>
      </c>
      <c r="F4785" t="s">
        <v>15</v>
      </c>
      <c r="G4785">
        <v>69.2</v>
      </c>
      <c r="H4785">
        <v>4982.5</v>
      </c>
      <c r="I4785" t="s">
        <v>15</v>
      </c>
      <c r="J4785" t="s">
        <v>15</v>
      </c>
      <c r="K4785" t="s">
        <v>17</v>
      </c>
      <c r="L4785">
        <v>4982.5</v>
      </c>
      <c r="M4785" t="s">
        <v>5033</v>
      </c>
      <c r="N4785" t="s">
        <v>5034</v>
      </c>
    </row>
    <row r="4786" spans="1:14" x14ac:dyDescent="0.3">
      <c r="A4786" t="s">
        <v>4810</v>
      </c>
      <c r="B4786" t="s">
        <v>12</v>
      </c>
      <c r="C4786" t="s">
        <v>13</v>
      </c>
      <c r="D4786">
        <v>1</v>
      </c>
      <c r="E4786" t="s">
        <v>15</v>
      </c>
      <c r="F4786" t="s">
        <v>36</v>
      </c>
      <c r="G4786">
        <v>19.55</v>
      </c>
      <c r="H4786">
        <v>19.55</v>
      </c>
      <c r="I4786" t="s">
        <v>15</v>
      </c>
      <c r="J4786" t="s">
        <v>16</v>
      </c>
      <c r="K4786" t="s">
        <v>21</v>
      </c>
      <c r="L4786">
        <v>19.55</v>
      </c>
      <c r="M4786" t="s">
        <v>5030</v>
      </c>
      <c r="N4786" t="s">
        <v>5031</v>
      </c>
    </row>
    <row r="4787" spans="1:14" x14ac:dyDescent="0.3">
      <c r="A4787" t="s">
        <v>4811</v>
      </c>
      <c r="B4787" t="s">
        <v>19</v>
      </c>
      <c r="C4787" t="s">
        <v>13</v>
      </c>
      <c r="D4787">
        <v>18</v>
      </c>
      <c r="E4787" t="s">
        <v>26</v>
      </c>
      <c r="F4787" t="s">
        <v>15</v>
      </c>
      <c r="G4787">
        <v>80.650000000000006</v>
      </c>
      <c r="H4787">
        <v>1451.9</v>
      </c>
      <c r="I4787" t="s">
        <v>16</v>
      </c>
      <c r="J4787" t="s">
        <v>16</v>
      </c>
      <c r="K4787" t="s">
        <v>17</v>
      </c>
      <c r="L4787">
        <v>1451.9</v>
      </c>
      <c r="M4787" t="s">
        <v>5032</v>
      </c>
      <c r="N4787" t="s">
        <v>5031</v>
      </c>
    </row>
    <row r="4788" spans="1:14" x14ac:dyDescent="0.3">
      <c r="A4788" t="s">
        <v>4812</v>
      </c>
      <c r="B4788" t="s">
        <v>19</v>
      </c>
      <c r="C4788" t="s">
        <v>35</v>
      </c>
      <c r="D4788">
        <v>72</v>
      </c>
      <c r="E4788" t="s">
        <v>26</v>
      </c>
      <c r="F4788" t="s">
        <v>15</v>
      </c>
      <c r="G4788">
        <v>103.65</v>
      </c>
      <c r="H4788">
        <v>7634.8</v>
      </c>
      <c r="I4788" t="s">
        <v>15</v>
      </c>
      <c r="J4788" t="s">
        <v>16</v>
      </c>
      <c r="K4788" t="s">
        <v>17</v>
      </c>
      <c r="L4788">
        <v>7634.8</v>
      </c>
      <c r="M4788" t="s">
        <v>5033</v>
      </c>
      <c r="N4788" t="s">
        <v>5034</v>
      </c>
    </row>
    <row r="4789" spans="1:14" x14ac:dyDescent="0.3">
      <c r="A4789" t="s">
        <v>4813</v>
      </c>
      <c r="B4789" t="s">
        <v>12</v>
      </c>
      <c r="C4789" t="s">
        <v>13</v>
      </c>
      <c r="D4789">
        <v>4</v>
      </c>
      <c r="E4789" t="s">
        <v>14</v>
      </c>
      <c r="F4789" t="s">
        <v>15</v>
      </c>
      <c r="G4789">
        <v>54.7</v>
      </c>
      <c r="H4789">
        <v>235.05</v>
      </c>
      <c r="I4789" t="s">
        <v>15</v>
      </c>
      <c r="J4789" t="s">
        <v>15</v>
      </c>
      <c r="K4789" t="s">
        <v>21</v>
      </c>
      <c r="L4789">
        <v>235.05</v>
      </c>
      <c r="M4789" t="s">
        <v>5030</v>
      </c>
      <c r="N4789" t="s">
        <v>5031</v>
      </c>
    </row>
    <row r="4790" spans="1:14" x14ac:dyDescent="0.3">
      <c r="A4790" t="s">
        <v>4814</v>
      </c>
      <c r="B4790" t="s">
        <v>19</v>
      </c>
      <c r="C4790" t="s">
        <v>35</v>
      </c>
      <c r="D4790">
        <v>59</v>
      </c>
      <c r="E4790" t="s">
        <v>14</v>
      </c>
      <c r="F4790" t="s">
        <v>15</v>
      </c>
      <c r="G4790">
        <v>54.15</v>
      </c>
      <c r="H4790">
        <v>3116.15</v>
      </c>
      <c r="I4790" t="s">
        <v>15</v>
      </c>
      <c r="J4790" t="s">
        <v>15</v>
      </c>
      <c r="K4790" t="s">
        <v>29</v>
      </c>
      <c r="L4790">
        <v>3116.15</v>
      </c>
      <c r="M4790" t="s">
        <v>5033</v>
      </c>
      <c r="N4790" t="s">
        <v>5034</v>
      </c>
    </row>
    <row r="4791" spans="1:14" x14ac:dyDescent="0.3">
      <c r="A4791" t="s">
        <v>4815</v>
      </c>
      <c r="B4791" t="s">
        <v>12</v>
      </c>
      <c r="C4791" t="s">
        <v>13</v>
      </c>
      <c r="D4791">
        <v>1</v>
      </c>
      <c r="E4791" t="s">
        <v>26</v>
      </c>
      <c r="F4791" t="s">
        <v>15</v>
      </c>
      <c r="G4791">
        <v>71.099999999999994</v>
      </c>
      <c r="H4791">
        <v>71.099999999999994</v>
      </c>
      <c r="I4791" t="s">
        <v>16</v>
      </c>
      <c r="J4791" t="s">
        <v>15</v>
      </c>
      <c r="K4791" t="s">
        <v>21</v>
      </c>
      <c r="L4791">
        <v>71.099999999999994</v>
      </c>
      <c r="M4791" t="s">
        <v>5030</v>
      </c>
      <c r="N4791" t="s">
        <v>5031</v>
      </c>
    </row>
    <row r="4792" spans="1:14" x14ac:dyDescent="0.3">
      <c r="A4792" t="s">
        <v>4816</v>
      </c>
      <c r="B4792" t="s">
        <v>12</v>
      </c>
      <c r="C4792" t="s">
        <v>13</v>
      </c>
      <c r="D4792">
        <v>31</v>
      </c>
      <c r="E4792" t="s">
        <v>26</v>
      </c>
      <c r="F4792" t="s">
        <v>15</v>
      </c>
      <c r="G4792">
        <v>84.85</v>
      </c>
      <c r="H4792">
        <v>2633.4</v>
      </c>
      <c r="I4792" t="s">
        <v>15</v>
      </c>
      <c r="J4792" t="s">
        <v>16</v>
      </c>
      <c r="K4792" t="s">
        <v>17</v>
      </c>
      <c r="L4792">
        <v>2633.4</v>
      </c>
      <c r="M4792" t="s">
        <v>5032</v>
      </c>
      <c r="N4792" t="s">
        <v>5034</v>
      </c>
    </row>
    <row r="4793" spans="1:14" x14ac:dyDescent="0.3">
      <c r="A4793" t="s">
        <v>4817</v>
      </c>
      <c r="B4793" t="s">
        <v>19</v>
      </c>
      <c r="C4793" t="s">
        <v>13</v>
      </c>
      <c r="D4793">
        <v>3</v>
      </c>
      <c r="E4793" t="s">
        <v>15</v>
      </c>
      <c r="F4793" t="s">
        <v>36</v>
      </c>
      <c r="G4793">
        <v>20</v>
      </c>
      <c r="H4793">
        <v>49.65</v>
      </c>
      <c r="I4793" t="s">
        <v>15</v>
      </c>
      <c r="J4793" t="s">
        <v>15</v>
      </c>
      <c r="K4793" t="s">
        <v>24</v>
      </c>
      <c r="L4793">
        <v>49.65</v>
      </c>
      <c r="M4793" t="s">
        <v>5030</v>
      </c>
      <c r="N4793" t="s">
        <v>5031</v>
      </c>
    </row>
    <row r="4794" spans="1:14" x14ac:dyDescent="0.3">
      <c r="A4794" t="s">
        <v>4818</v>
      </c>
      <c r="B4794" t="s">
        <v>12</v>
      </c>
      <c r="C4794" t="s">
        <v>20</v>
      </c>
      <c r="D4794">
        <v>65</v>
      </c>
      <c r="E4794" t="s">
        <v>26</v>
      </c>
      <c r="F4794" t="s">
        <v>15</v>
      </c>
      <c r="G4794">
        <v>106.25</v>
      </c>
      <c r="H4794">
        <v>6979.8</v>
      </c>
      <c r="I4794" t="s">
        <v>16</v>
      </c>
      <c r="J4794" t="s">
        <v>16</v>
      </c>
      <c r="K4794" t="s">
        <v>17</v>
      </c>
      <c r="L4794">
        <v>6979.8</v>
      </c>
      <c r="M4794" t="s">
        <v>5033</v>
      </c>
      <c r="N4794" t="s">
        <v>5034</v>
      </c>
    </row>
    <row r="4795" spans="1:14" x14ac:dyDescent="0.3">
      <c r="A4795" t="s">
        <v>4819</v>
      </c>
      <c r="B4795" t="s">
        <v>19</v>
      </c>
      <c r="C4795" t="s">
        <v>20</v>
      </c>
      <c r="D4795">
        <v>49</v>
      </c>
      <c r="E4795" t="s">
        <v>26</v>
      </c>
      <c r="F4795" t="s">
        <v>16</v>
      </c>
      <c r="G4795">
        <v>99.25</v>
      </c>
      <c r="H4795">
        <v>4920.8</v>
      </c>
      <c r="I4795" t="s">
        <v>15</v>
      </c>
      <c r="J4795" t="s">
        <v>16</v>
      </c>
      <c r="K4795" t="s">
        <v>29</v>
      </c>
      <c r="L4795">
        <v>4920.8</v>
      </c>
      <c r="M4795" t="s">
        <v>5033</v>
      </c>
      <c r="N4795" t="s">
        <v>5034</v>
      </c>
    </row>
    <row r="4796" spans="1:14" x14ac:dyDescent="0.3">
      <c r="A4796" t="s">
        <v>4820</v>
      </c>
      <c r="B4796" t="s">
        <v>19</v>
      </c>
      <c r="C4796" t="s">
        <v>13</v>
      </c>
      <c r="D4796">
        <v>2</v>
      </c>
      <c r="E4796" t="s">
        <v>15</v>
      </c>
      <c r="F4796" t="s">
        <v>36</v>
      </c>
      <c r="G4796">
        <v>19.350000000000001</v>
      </c>
      <c r="H4796">
        <v>46.35</v>
      </c>
      <c r="I4796" t="s">
        <v>15</v>
      </c>
      <c r="J4796" t="s">
        <v>15</v>
      </c>
      <c r="K4796" t="s">
        <v>21</v>
      </c>
      <c r="L4796">
        <v>46.35</v>
      </c>
      <c r="M4796" t="s">
        <v>5030</v>
      </c>
      <c r="N4796" t="s">
        <v>5031</v>
      </c>
    </row>
    <row r="4797" spans="1:14" x14ac:dyDescent="0.3">
      <c r="A4797" t="s">
        <v>4821</v>
      </c>
      <c r="B4797" t="s">
        <v>12</v>
      </c>
      <c r="C4797" t="s">
        <v>20</v>
      </c>
      <c r="D4797">
        <v>53</v>
      </c>
      <c r="E4797" t="s">
        <v>15</v>
      </c>
      <c r="F4797" t="s">
        <v>36</v>
      </c>
      <c r="G4797">
        <v>20.8</v>
      </c>
      <c r="H4797">
        <v>1021.8</v>
      </c>
      <c r="I4797" t="s">
        <v>16</v>
      </c>
      <c r="J4797" t="s">
        <v>15</v>
      </c>
      <c r="K4797" t="s">
        <v>24</v>
      </c>
      <c r="L4797">
        <v>1021.8</v>
      </c>
      <c r="M4797" t="s">
        <v>5033</v>
      </c>
      <c r="N4797" t="s">
        <v>5031</v>
      </c>
    </row>
    <row r="4798" spans="1:14" x14ac:dyDescent="0.3">
      <c r="A4798" t="s">
        <v>4822</v>
      </c>
      <c r="B4798" t="s">
        <v>12</v>
      </c>
      <c r="C4798" t="s">
        <v>20</v>
      </c>
      <c r="D4798">
        <v>55</v>
      </c>
      <c r="E4798" t="s">
        <v>26</v>
      </c>
      <c r="F4798" t="s">
        <v>15</v>
      </c>
      <c r="G4798">
        <v>94.75</v>
      </c>
      <c r="H4798">
        <v>5276.1</v>
      </c>
      <c r="I4798" t="s">
        <v>15</v>
      </c>
      <c r="J4798" t="s">
        <v>16</v>
      </c>
      <c r="K4798" t="s">
        <v>17</v>
      </c>
      <c r="L4798">
        <v>5276.1</v>
      </c>
      <c r="M4798" t="s">
        <v>5033</v>
      </c>
      <c r="N4798" t="s">
        <v>5034</v>
      </c>
    </row>
    <row r="4799" spans="1:14" x14ac:dyDescent="0.3">
      <c r="A4799" t="s">
        <v>4823</v>
      </c>
      <c r="B4799" t="s">
        <v>19</v>
      </c>
      <c r="C4799" t="s">
        <v>35</v>
      </c>
      <c r="D4799">
        <v>72</v>
      </c>
      <c r="E4799" t="s">
        <v>26</v>
      </c>
      <c r="F4799" t="s">
        <v>16</v>
      </c>
      <c r="G4799">
        <v>114.05</v>
      </c>
      <c r="H4799">
        <v>8289.2000000000007</v>
      </c>
      <c r="I4799" t="s">
        <v>15</v>
      </c>
      <c r="J4799" t="s">
        <v>16</v>
      </c>
      <c r="K4799" t="s">
        <v>29</v>
      </c>
      <c r="L4799">
        <v>8289.2000000000007</v>
      </c>
      <c r="M4799" t="s">
        <v>5033</v>
      </c>
      <c r="N4799" t="s">
        <v>5034</v>
      </c>
    </row>
    <row r="4800" spans="1:14" x14ac:dyDescent="0.3">
      <c r="A4800" t="s">
        <v>4824</v>
      </c>
      <c r="B4800" t="s">
        <v>12</v>
      </c>
      <c r="C4800" t="s">
        <v>13</v>
      </c>
      <c r="D4800">
        <v>36</v>
      </c>
      <c r="E4800" t="s">
        <v>26</v>
      </c>
      <c r="F4800" t="s">
        <v>15</v>
      </c>
      <c r="G4800">
        <v>74.900000000000006</v>
      </c>
      <c r="H4800">
        <v>2659.45</v>
      </c>
      <c r="I4800" t="s">
        <v>15</v>
      </c>
      <c r="J4800" t="s">
        <v>16</v>
      </c>
      <c r="K4800" t="s">
        <v>24</v>
      </c>
      <c r="L4800">
        <v>2659.45</v>
      </c>
      <c r="M4800" t="s">
        <v>5032</v>
      </c>
      <c r="N4800" t="s">
        <v>5034</v>
      </c>
    </row>
    <row r="4801" spans="1:14" x14ac:dyDescent="0.3">
      <c r="A4801" t="s">
        <v>4825</v>
      </c>
      <c r="B4801" t="s">
        <v>12</v>
      </c>
      <c r="C4801" t="s">
        <v>13</v>
      </c>
      <c r="D4801">
        <v>10</v>
      </c>
      <c r="E4801" t="s">
        <v>15</v>
      </c>
      <c r="F4801" t="s">
        <v>36</v>
      </c>
      <c r="G4801">
        <v>19.8</v>
      </c>
      <c r="H4801">
        <v>196.75</v>
      </c>
      <c r="I4801" t="s">
        <v>15</v>
      </c>
      <c r="J4801" t="s">
        <v>16</v>
      </c>
      <c r="K4801" t="s">
        <v>24</v>
      </c>
      <c r="L4801">
        <v>196.75</v>
      </c>
      <c r="M4801" t="s">
        <v>5030</v>
      </c>
      <c r="N4801" t="s">
        <v>5031</v>
      </c>
    </row>
    <row r="4802" spans="1:14" x14ac:dyDescent="0.3">
      <c r="A4802" t="s">
        <v>4826</v>
      </c>
      <c r="B4802" t="s">
        <v>19</v>
      </c>
      <c r="C4802" t="s">
        <v>13</v>
      </c>
      <c r="D4802">
        <v>1</v>
      </c>
      <c r="E4802" t="s">
        <v>26</v>
      </c>
      <c r="F4802" t="s">
        <v>15</v>
      </c>
      <c r="G4802">
        <v>94</v>
      </c>
      <c r="H4802">
        <v>94</v>
      </c>
      <c r="I4802" t="s">
        <v>16</v>
      </c>
      <c r="J4802" t="s">
        <v>16</v>
      </c>
      <c r="K4802" t="s">
        <v>17</v>
      </c>
      <c r="L4802">
        <v>94</v>
      </c>
      <c r="M4802" t="s">
        <v>5030</v>
      </c>
      <c r="N4802" t="s">
        <v>5031</v>
      </c>
    </row>
    <row r="4803" spans="1:14" x14ac:dyDescent="0.3">
      <c r="A4803" t="s">
        <v>4827</v>
      </c>
      <c r="B4803" t="s">
        <v>12</v>
      </c>
      <c r="C4803" t="s">
        <v>35</v>
      </c>
      <c r="D4803">
        <v>72</v>
      </c>
      <c r="E4803" t="s">
        <v>14</v>
      </c>
      <c r="F4803" t="s">
        <v>16</v>
      </c>
      <c r="G4803">
        <v>80.849999999999994</v>
      </c>
      <c r="H4803">
        <v>5824.75</v>
      </c>
      <c r="I4803" t="s">
        <v>15</v>
      </c>
      <c r="J4803" t="s">
        <v>15</v>
      </c>
      <c r="K4803" t="s">
        <v>24</v>
      </c>
      <c r="L4803">
        <v>5824.75</v>
      </c>
      <c r="M4803" t="s">
        <v>5033</v>
      </c>
      <c r="N4803" t="s">
        <v>5034</v>
      </c>
    </row>
    <row r="4804" spans="1:14" x14ac:dyDescent="0.3">
      <c r="A4804" t="s">
        <v>4828</v>
      </c>
      <c r="B4804" t="s">
        <v>12</v>
      </c>
      <c r="C4804" t="s">
        <v>13</v>
      </c>
      <c r="D4804">
        <v>28</v>
      </c>
      <c r="E4804" t="s">
        <v>14</v>
      </c>
      <c r="F4804" t="s">
        <v>16</v>
      </c>
      <c r="G4804">
        <v>54.65</v>
      </c>
      <c r="H4804">
        <v>1517.5</v>
      </c>
      <c r="I4804" t="s">
        <v>15</v>
      </c>
      <c r="J4804" t="s">
        <v>15</v>
      </c>
      <c r="K4804" t="s">
        <v>24</v>
      </c>
      <c r="L4804">
        <v>1517.5</v>
      </c>
      <c r="M4804" t="s">
        <v>5032</v>
      </c>
      <c r="N4804" t="s">
        <v>5031</v>
      </c>
    </row>
    <row r="4805" spans="1:14" x14ac:dyDescent="0.3">
      <c r="A4805" t="s">
        <v>4829</v>
      </c>
      <c r="B4805" t="s">
        <v>19</v>
      </c>
      <c r="C4805" t="s">
        <v>13</v>
      </c>
      <c r="D4805">
        <v>38</v>
      </c>
      <c r="E4805" t="s">
        <v>26</v>
      </c>
      <c r="F4805" t="s">
        <v>15</v>
      </c>
      <c r="G4805">
        <v>91.7</v>
      </c>
      <c r="H4805">
        <v>3479.05</v>
      </c>
      <c r="I4805" t="s">
        <v>15</v>
      </c>
      <c r="J4805" t="s">
        <v>15</v>
      </c>
      <c r="K4805" t="s">
        <v>24</v>
      </c>
      <c r="L4805">
        <v>3479.05</v>
      </c>
      <c r="M4805" t="s">
        <v>5033</v>
      </c>
      <c r="N4805" t="s">
        <v>5034</v>
      </c>
    </row>
    <row r="4806" spans="1:14" x14ac:dyDescent="0.3">
      <c r="A4806" t="s">
        <v>4830</v>
      </c>
      <c r="B4806" t="s">
        <v>12</v>
      </c>
      <c r="C4806" t="s">
        <v>20</v>
      </c>
      <c r="D4806">
        <v>61</v>
      </c>
      <c r="E4806" t="s">
        <v>26</v>
      </c>
      <c r="F4806" t="s">
        <v>16</v>
      </c>
      <c r="G4806">
        <v>118.6</v>
      </c>
      <c r="H4806">
        <v>7365.7</v>
      </c>
      <c r="I4806" t="s">
        <v>15</v>
      </c>
      <c r="J4806" t="s">
        <v>16</v>
      </c>
      <c r="K4806" t="s">
        <v>17</v>
      </c>
      <c r="L4806">
        <v>7365.7</v>
      </c>
      <c r="M4806" t="s">
        <v>5033</v>
      </c>
      <c r="N4806" t="s">
        <v>5034</v>
      </c>
    </row>
    <row r="4807" spans="1:14" x14ac:dyDescent="0.3">
      <c r="A4807" t="s">
        <v>4831</v>
      </c>
      <c r="B4807" t="s">
        <v>19</v>
      </c>
      <c r="C4807" t="s">
        <v>35</v>
      </c>
      <c r="D4807">
        <v>52</v>
      </c>
      <c r="E4807" t="s">
        <v>15</v>
      </c>
      <c r="F4807" t="s">
        <v>36</v>
      </c>
      <c r="G4807">
        <v>24.55</v>
      </c>
      <c r="H4807">
        <v>1331.05</v>
      </c>
      <c r="I4807" t="s">
        <v>15</v>
      </c>
      <c r="J4807" t="s">
        <v>15</v>
      </c>
      <c r="K4807" t="s">
        <v>21</v>
      </c>
      <c r="L4807">
        <v>1331.05</v>
      </c>
      <c r="M4807" t="s">
        <v>5033</v>
      </c>
      <c r="N4807" t="s">
        <v>5031</v>
      </c>
    </row>
    <row r="4808" spans="1:14" x14ac:dyDescent="0.3">
      <c r="A4808" t="s">
        <v>4832</v>
      </c>
      <c r="B4808" t="s">
        <v>19</v>
      </c>
      <c r="C4808" t="s">
        <v>20</v>
      </c>
      <c r="D4808">
        <v>67</v>
      </c>
      <c r="E4808" t="s">
        <v>15</v>
      </c>
      <c r="F4808" t="s">
        <v>36</v>
      </c>
      <c r="G4808">
        <v>19.45</v>
      </c>
      <c r="H4808">
        <v>1195.95</v>
      </c>
      <c r="I4808" t="s">
        <v>15</v>
      </c>
      <c r="J4808" t="s">
        <v>16</v>
      </c>
      <c r="K4808" t="s">
        <v>21</v>
      </c>
      <c r="L4808">
        <v>1195.95</v>
      </c>
      <c r="M4808" t="s">
        <v>5033</v>
      </c>
      <c r="N4808" t="s">
        <v>5031</v>
      </c>
    </row>
    <row r="4809" spans="1:14" x14ac:dyDescent="0.3">
      <c r="A4809" t="s">
        <v>4833</v>
      </c>
      <c r="B4809" t="s">
        <v>12</v>
      </c>
      <c r="C4809" t="s">
        <v>35</v>
      </c>
      <c r="D4809">
        <v>34</v>
      </c>
      <c r="E4809" t="s">
        <v>26</v>
      </c>
      <c r="F4809" t="s">
        <v>16</v>
      </c>
      <c r="G4809">
        <v>116.15</v>
      </c>
      <c r="H4809">
        <v>3946.9</v>
      </c>
      <c r="I4809" t="s">
        <v>15</v>
      </c>
      <c r="J4809" t="s">
        <v>16</v>
      </c>
      <c r="K4809" t="s">
        <v>29</v>
      </c>
      <c r="L4809">
        <v>3946.9</v>
      </c>
      <c r="M4809" t="s">
        <v>5032</v>
      </c>
      <c r="N4809" t="s">
        <v>5034</v>
      </c>
    </row>
    <row r="4810" spans="1:14" x14ac:dyDescent="0.3">
      <c r="A4810" t="s">
        <v>4834</v>
      </c>
      <c r="B4810" t="s">
        <v>12</v>
      </c>
      <c r="C4810" t="s">
        <v>35</v>
      </c>
      <c r="D4810">
        <v>54</v>
      </c>
      <c r="E4810" t="s">
        <v>14</v>
      </c>
      <c r="F4810" t="s">
        <v>16</v>
      </c>
      <c r="G4810">
        <v>80.599999999999994</v>
      </c>
      <c r="H4810">
        <v>4299.95</v>
      </c>
      <c r="I4810" t="s">
        <v>15</v>
      </c>
      <c r="J4810" t="s">
        <v>15</v>
      </c>
      <c r="K4810" t="s">
        <v>17</v>
      </c>
      <c r="L4810">
        <v>4299.95</v>
      </c>
      <c r="M4810" t="s">
        <v>5033</v>
      </c>
      <c r="N4810" t="s">
        <v>5034</v>
      </c>
    </row>
    <row r="4811" spans="1:14" x14ac:dyDescent="0.3">
      <c r="A4811" t="s">
        <v>4835</v>
      </c>
      <c r="B4811" t="s">
        <v>12</v>
      </c>
      <c r="C4811" t="s">
        <v>13</v>
      </c>
      <c r="D4811">
        <v>1</v>
      </c>
      <c r="E4811" t="s">
        <v>15</v>
      </c>
      <c r="F4811" t="s">
        <v>36</v>
      </c>
      <c r="G4811">
        <v>20.3</v>
      </c>
      <c r="H4811">
        <v>20.3</v>
      </c>
      <c r="I4811" t="s">
        <v>15</v>
      </c>
      <c r="J4811" t="s">
        <v>16</v>
      </c>
      <c r="K4811" t="s">
        <v>24</v>
      </c>
      <c r="L4811">
        <v>20.3</v>
      </c>
      <c r="M4811" t="s">
        <v>5030</v>
      </c>
      <c r="N4811" t="s">
        <v>5031</v>
      </c>
    </row>
    <row r="4812" spans="1:14" x14ac:dyDescent="0.3">
      <c r="A4812" t="s">
        <v>4836</v>
      </c>
      <c r="B4812" t="s">
        <v>12</v>
      </c>
      <c r="C4812" t="s">
        <v>13</v>
      </c>
      <c r="D4812">
        <v>15</v>
      </c>
      <c r="E4812" t="s">
        <v>26</v>
      </c>
      <c r="F4812" t="s">
        <v>15</v>
      </c>
      <c r="G4812">
        <v>89.85</v>
      </c>
      <c r="H4812">
        <v>1424.95</v>
      </c>
      <c r="I4812" t="s">
        <v>16</v>
      </c>
      <c r="J4812" t="s">
        <v>15</v>
      </c>
      <c r="K4812" t="s">
        <v>17</v>
      </c>
      <c r="L4812">
        <v>1424.95</v>
      </c>
      <c r="M4812" t="s">
        <v>5032</v>
      </c>
      <c r="N4812" t="s">
        <v>5031</v>
      </c>
    </row>
    <row r="4813" spans="1:14" x14ac:dyDescent="0.3">
      <c r="A4813" t="s">
        <v>4837</v>
      </c>
      <c r="B4813" t="s">
        <v>12</v>
      </c>
      <c r="C4813" t="s">
        <v>13</v>
      </c>
      <c r="D4813">
        <v>4</v>
      </c>
      <c r="E4813" t="s">
        <v>14</v>
      </c>
      <c r="F4813" t="s">
        <v>15</v>
      </c>
      <c r="G4813">
        <v>46</v>
      </c>
      <c r="H4813">
        <v>193.6</v>
      </c>
      <c r="I4813" t="s">
        <v>16</v>
      </c>
      <c r="J4813" t="s">
        <v>16</v>
      </c>
      <c r="K4813" t="s">
        <v>21</v>
      </c>
      <c r="L4813">
        <v>193.6</v>
      </c>
      <c r="M4813" t="s">
        <v>5030</v>
      </c>
      <c r="N4813" t="s">
        <v>5031</v>
      </c>
    </row>
    <row r="4814" spans="1:14" x14ac:dyDescent="0.3">
      <c r="A4814" t="s">
        <v>4838</v>
      </c>
      <c r="B4814" t="s">
        <v>12</v>
      </c>
      <c r="C4814" t="s">
        <v>13</v>
      </c>
      <c r="D4814">
        <v>9</v>
      </c>
      <c r="E4814" t="s">
        <v>14</v>
      </c>
      <c r="F4814" t="s">
        <v>16</v>
      </c>
      <c r="G4814">
        <v>66.25</v>
      </c>
      <c r="H4814">
        <v>620.54999999999995</v>
      </c>
      <c r="I4814" t="s">
        <v>16</v>
      </c>
      <c r="J4814" t="s">
        <v>15</v>
      </c>
      <c r="K4814" t="s">
        <v>21</v>
      </c>
      <c r="L4814">
        <v>620.54999999999995</v>
      </c>
      <c r="M4814" t="s">
        <v>5030</v>
      </c>
      <c r="N4814" t="s">
        <v>5031</v>
      </c>
    </row>
    <row r="4815" spans="1:14" x14ac:dyDescent="0.3">
      <c r="A4815" t="s">
        <v>4839</v>
      </c>
      <c r="B4815" t="s">
        <v>12</v>
      </c>
      <c r="C4815" t="s">
        <v>13</v>
      </c>
      <c r="D4815">
        <v>46</v>
      </c>
      <c r="E4815" t="s">
        <v>26</v>
      </c>
      <c r="F4815" t="s">
        <v>15</v>
      </c>
      <c r="G4815">
        <v>99.8</v>
      </c>
      <c r="H4815">
        <v>4391.25</v>
      </c>
      <c r="I4815" t="s">
        <v>15</v>
      </c>
      <c r="J4815" t="s">
        <v>16</v>
      </c>
      <c r="K4815" t="s">
        <v>17</v>
      </c>
      <c r="L4815">
        <v>4391.25</v>
      </c>
      <c r="M4815" t="s">
        <v>5033</v>
      </c>
      <c r="N4815" t="s">
        <v>5034</v>
      </c>
    </row>
    <row r="4816" spans="1:14" x14ac:dyDescent="0.3">
      <c r="A4816" t="s">
        <v>4840</v>
      </c>
      <c r="B4816" t="s">
        <v>12</v>
      </c>
      <c r="C4816" t="s">
        <v>13</v>
      </c>
      <c r="D4816">
        <v>22</v>
      </c>
      <c r="E4816" t="s">
        <v>26</v>
      </c>
      <c r="F4816" t="s">
        <v>16</v>
      </c>
      <c r="G4816">
        <v>90</v>
      </c>
      <c r="H4816">
        <v>1993.8</v>
      </c>
      <c r="I4816" t="s">
        <v>16</v>
      </c>
      <c r="J4816" t="s">
        <v>16</v>
      </c>
      <c r="K4816" t="s">
        <v>17</v>
      </c>
      <c r="L4816">
        <v>1993.8</v>
      </c>
      <c r="M4816" t="s">
        <v>5032</v>
      </c>
      <c r="N4816" t="s">
        <v>5031</v>
      </c>
    </row>
    <row r="4817" spans="1:14" x14ac:dyDescent="0.3">
      <c r="A4817" t="s">
        <v>4841</v>
      </c>
      <c r="B4817" t="s">
        <v>19</v>
      </c>
      <c r="C4817" t="s">
        <v>20</v>
      </c>
      <c r="D4817">
        <v>38</v>
      </c>
      <c r="E4817" t="s">
        <v>26</v>
      </c>
      <c r="F4817" t="s">
        <v>15</v>
      </c>
      <c r="G4817">
        <v>70.45</v>
      </c>
      <c r="H4817">
        <v>2597.6</v>
      </c>
      <c r="I4817" t="s">
        <v>16</v>
      </c>
      <c r="J4817" t="s">
        <v>16</v>
      </c>
      <c r="K4817" t="s">
        <v>24</v>
      </c>
      <c r="L4817">
        <v>2597.6</v>
      </c>
      <c r="M4817" t="s">
        <v>5033</v>
      </c>
      <c r="N4817" t="s">
        <v>5034</v>
      </c>
    </row>
    <row r="4818" spans="1:14" x14ac:dyDescent="0.3">
      <c r="A4818" t="s">
        <v>4842</v>
      </c>
      <c r="B4818" t="s">
        <v>12</v>
      </c>
      <c r="C4818" t="s">
        <v>20</v>
      </c>
      <c r="D4818">
        <v>55</v>
      </c>
      <c r="E4818" t="s">
        <v>14</v>
      </c>
      <c r="F4818" t="s">
        <v>16</v>
      </c>
      <c r="G4818">
        <v>75</v>
      </c>
      <c r="H4818">
        <v>4213.8999999999996</v>
      </c>
      <c r="I4818" t="s">
        <v>15</v>
      </c>
      <c r="J4818" t="s">
        <v>16</v>
      </c>
      <c r="K4818" t="s">
        <v>29</v>
      </c>
      <c r="L4818">
        <v>4213.8999999999996</v>
      </c>
      <c r="M4818" t="s">
        <v>5033</v>
      </c>
      <c r="N4818" t="s">
        <v>5034</v>
      </c>
    </row>
    <row r="4819" spans="1:14" x14ac:dyDescent="0.3">
      <c r="A4819" t="s">
        <v>4843</v>
      </c>
      <c r="B4819" t="s">
        <v>12</v>
      </c>
      <c r="C4819" t="s">
        <v>13</v>
      </c>
      <c r="D4819">
        <v>1</v>
      </c>
      <c r="E4819" t="s">
        <v>15</v>
      </c>
      <c r="F4819" t="s">
        <v>36</v>
      </c>
      <c r="G4819">
        <v>19.899999999999999</v>
      </c>
      <c r="H4819">
        <v>19.899999999999999</v>
      </c>
      <c r="I4819" t="s">
        <v>15</v>
      </c>
      <c r="J4819" t="s">
        <v>15</v>
      </c>
      <c r="K4819" t="s">
        <v>21</v>
      </c>
      <c r="L4819">
        <v>19.899999999999999</v>
      </c>
      <c r="M4819" t="s">
        <v>5030</v>
      </c>
      <c r="N4819" t="s">
        <v>5031</v>
      </c>
    </row>
    <row r="4820" spans="1:14" x14ac:dyDescent="0.3">
      <c r="A4820" t="s">
        <v>4844</v>
      </c>
      <c r="B4820" t="s">
        <v>19</v>
      </c>
      <c r="C4820" t="s">
        <v>20</v>
      </c>
      <c r="D4820">
        <v>64</v>
      </c>
      <c r="E4820" t="s">
        <v>26</v>
      </c>
      <c r="F4820" t="s">
        <v>15</v>
      </c>
      <c r="G4820">
        <v>80.3</v>
      </c>
      <c r="H4820">
        <v>5017.7</v>
      </c>
      <c r="I4820" t="s">
        <v>15</v>
      </c>
      <c r="J4820" t="s">
        <v>15</v>
      </c>
      <c r="K4820" t="s">
        <v>29</v>
      </c>
      <c r="L4820">
        <v>5017.7</v>
      </c>
      <c r="M4820" t="s">
        <v>5033</v>
      </c>
      <c r="N4820" t="s">
        <v>5034</v>
      </c>
    </row>
    <row r="4821" spans="1:14" x14ac:dyDescent="0.3">
      <c r="A4821" t="s">
        <v>4845</v>
      </c>
      <c r="B4821" t="s">
        <v>19</v>
      </c>
      <c r="C4821" t="s">
        <v>35</v>
      </c>
      <c r="D4821">
        <v>53</v>
      </c>
      <c r="E4821" t="s">
        <v>15</v>
      </c>
      <c r="F4821" t="s">
        <v>36</v>
      </c>
      <c r="G4821">
        <v>19.75</v>
      </c>
      <c r="H4821">
        <v>1052.3499999999999</v>
      </c>
      <c r="I4821" t="s">
        <v>16</v>
      </c>
      <c r="J4821" t="s">
        <v>15</v>
      </c>
      <c r="K4821" t="s">
        <v>24</v>
      </c>
      <c r="L4821">
        <v>1052.3499999999999</v>
      </c>
      <c r="M4821" t="s">
        <v>5033</v>
      </c>
      <c r="N4821" t="s">
        <v>5031</v>
      </c>
    </row>
    <row r="4822" spans="1:14" x14ac:dyDescent="0.3">
      <c r="A4822" t="s">
        <v>4846</v>
      </c>
      <c r="B4822" t="s">
        <v>12</v>
      </c>
      <c r="C4822" t="s">
        <v>35</v>
      </c>
      <c r="D4822">
        <v>58</v>
      </c>
      <c r="E4822" t="s">
        <v>14</v>
      </c>
      <c r="F4822" t="s">
        <v>16</v>
      </c>
      <c r="G4822">
        <v>84.3</v>
      </c>
      <c r="H4822">
        <v>4916.3999999999996</v>
      </c>
      <c r="I4822" t="s">
        <v>15</v>
      </c>
      <c r="J4822" t="s">
        <v>16</v>
      </c>
      <c r="K4822" t="s">
        <v>17</v>
      </c>
      <c r="L4822">
        <v>4916.3999999999996</v>
      </c>
      <c r="M4822" t="s">
        <v>5033</v>
      </c>
      <c r="N4822" t="s">
        <v>5034</v>
      </c>
    </row>
    <row r="4823" spans="1:14" x14ac:dyDescent="0.3">
      <c r="A4823" t="s">
        <v>4847</v>
      </c>
      <c r="B4823" t="s">
        <v>19</v>
      </c>
      <c r="C4823" t="s">
        <v>20</v>
      </c>
      <c r="D4823">
        <v>56</v>
      </c>
      <c r="E4823" t="s">
        <v>14</v>
      </c>
      <c r="F4823" t="s">
        <v>16</v>
      </c>
      <c r="G4823">
        <v>54.05</v>
      </c>
      <c r="H4823">
        <v>2959.8</v>
      </c>
      <c r="I4823" t="s">
        <v>15</v>
      </c>
      <c r="J4823" t="s">
        <v>16</v>
      </c>
      <c r="K4823" t="s">
        <v>24</v>
      </c>
      <c r="L4823">
        <v>2959.8</v>
      </c>
      <c r="M4823" t="s">
        <v>5033</v>
      </c>
      <c r="N4823" t="s">
        <v>5034</v>
      </c>
    </row>
    <row r="4824" spans="1:14" x14ac:dyDescent="0.3">
      <c r="A4824" t="s">
        <v>4848</v>
      </c>
      <c r="B4824" t="s">
        <v>19</v>
      </c>
      <c r="C4824" t="s">
        <v>35</v>
      </c>
      <c r="D4824">
        <v>72</v>
      </c>
      <c r="E4824" t="s">
        <v>26</v>
      </c>
      <c r="F4824" t="s">
        <v>16</v>
      </c>
      <c r="G4824">
        <v>104.9</v>
      </c>
      <c r="H4824">
        <v>7559.55</v>
      </c>
      <c r="I4824" t="s">
        <v>15</v>
      </c>
      <c r="J4824" t="s">
        <v>16</v>
      </c>
      <c r="K4824" t="s">
        <v>29</v>
      </c>
      <c r="L4824">
        <v>7559.55</v>
      </c>
      <c r="M4824" t="s">
        <v>5033</v>
      </c>
      <c r="N4824" t="s">
        <v>5034</v>
      </c>
    </row>
    <row r="4825" spans="1:14" x14ac:dyDescent="0.3">
      <c r="A4825" t="s">
        <v>4849</v>
      </c>
      <c r="B4825" t="s">
        <v>19</v>
      </c>
      <c r="C4825" t="s">
        <v>13</v>
      </c>
      <c r="D4825">
        <v>1</v>
      </c>
      <c r="E4825" t="s">
        <v>14</v>
      </c>
      <c r="F4825" t="s">
        <v>16</v>
      </c>
      <c r="G4825">
        <v>53.95</v>
      </c>
      <c r="H4825">
        <v>53.95</v>
      </c>
      <c r="I4825" t="s">
        <v>16</v>
      </c>
      <c r="J4825" t="s">
        <v>16</v>
      </c>
      <c r="K4825" t="s">
        <v>17</v>
      </c>
      <c r="L4825">
        <v>53.95</v>
      </c>
      <c r="M4825" t="s">
        <v>5030</v>
      </c>
      <c r="N4825" t="s">
        <v>5031</v>
      </c>
    </row>
    <row r="4826" spans="1:14" x14ac:dyDescent="0.3">
      <c r="A4826" t="s">
        <v>4850</v>
      </c>
      <c r="B4826" t="s">
        <v>19</v>
      </c>
      <c r="C4826" t="s">
        <v>20</v>
      </c>
      <c r="D4826">
        <v>72</v>
      </c>
      <c r="E4826" t="s">
        <v>26</v>
      </c>
      <c r="F4826" t="s">
        <v>15</v>
      </c>
      <c r="G4826">
        <v>97.25</v>
      </c>
      <c r="H4826">
        <v>7133.1</v>
      </c>
      <c r="I4826" t="s">
        <v>15</v>
      </c>
      <c r="J4826" t="s">
        <v>16</v>
      </c>
      <c r="K4826" t="s">
        <v>29</v>
      </c>
      <c r="L4826">
        <v>7133.1</v>
      </c>
      <c r="M4826" t="s">
        <v>5033</v>
      </c>
      <c r="N4826" t="s">
        <v>5034</v>
      </c>
    </row>
    <row r="4827" spans="1:14" x14ac:dyDescent="0.3">
      <c r="A4827" t="s">
        <v>4851</v>
      </c>
      <c r="B4827" t="s">
        <v>19</v>
      </c>
      <c r="C4827" t="s">
        <v>13</v>
      </c>
      <c r="D4827">
        <v>22</v>
      </c>
      <c r="E4827" t="s">
        <v>26</v>
      </c>
      <c r="F4827" t="s">
        <v>15</v>
      </c>
      <c r="G4827">
        <v>83.05</v>
      </c>
      <c r="H4827">
        <v>1799.3</v>
      </c>
      <c r="I4827" t="s">
        <v>15</v>
      </c>
      <c r="J4827" t="s">
        <v>15</v>
      </c>
      <c r="K4827" t="s">
        <v>17</v>
      </c>
      <c r="L4827">
        <v>1799.3</v>
      </c>
      <c r="M4827" t="s">
        <v>5032</v>
      </c>
      <c r="N4827" t="s">
        <v>5031</v>
      </c>
    </row>
    <row r="4828" spans="1:14" x14ac:dyDescent="0.3">
      <c r="A4828" t="s">
        <v>4852</v>
      </c>
      <c r="B4828" t="s">
        <v>12</v>
      </c>
      <c r="C4828" t="s">
        <v>13</v>
      </c>
      <c r="D4828">
        <v>8</v>
      </c>
      <c r="E4828" t="s">
        <v>26</v>
      </c>
      <c r="F4828" t="s">
        <v>15</v>
      </c>
      <c r="G4828">
        <v>105.5</v>
      </c>
      <c r="H4828">
        <v>829.55</v>
      </c>
      <c r="I4828" t="s">
        <v>16</v>
      </c>
      <c r="J4828" t="s">
        <v>16</v>
      </c>
      <c r="K4828" t="s">
        <v>17</v>
      </c>
      <c r="L4828">
        <v>829.55</v>
      </c>
      <c r="M4828" t="s">
        <v>5030</v>
      </c>
      <c r="N4828" t="s">
        <v>5031</v>
      </c>
    </row>
    <row r="4829" spans="1:14" x14ac:dyDescent="0.3">
      <c r="A4829" t="s">
        <v>4853</v>
      </c>
      <c r="B4829" t="s">
        <v>12</v>
      </c>
      <c r="C4829" t="s">
        <v>13</v>
      </c>
      <c r="D4829">
        <v>16</v>
      </c>
      <c r="E4829" t="s">
        <v>26</v>
      </c>
      <c r="F4829" t="s">
        <v>15</v>
      </c>
      <c r="G4829">
        <v>81</v>
      </c>
      <c r="H4829">
        <v>1312.15</v>
      </c>
      <c r="I4829" t="s">
        <v>16</v>
      </c>
      <c r="J4829" t="s">
        <v>16</v>
      </c>
      <c r="K4829" t="s">
        <v>17</v>
      </c>
      <c r="L4829">
        <v>1312.15</v>
      </c>
      <c r="M4829" t="s">
        <v>5032</v>
      </c>
      <c r="N4829" t="s">
        <v>5031</v>
      </c>
    </row>
    <row r="4830" spans="1:14" x14ac:dyDescent="0.3">
      <c r="A4830" t="s">
        <v>4854</v>
      </c>
      <c r="B4830" t="s">
        <v>12</v>
      </c>
      <c r="C4830" t="s">
        <v>13</v>
      </c>
      <c r="D4830">
        <v>39</v>
      </c>
      <c r="E4830" t="s">
        <v>14</v>
      </c>
      <c r="F4830" t="s">
        <v>16</v>
      </c>
      <c r="G4830">
        <v>41.1</v>
      </c>
      <c r="H4830">
        <v>1597.05</v>
      </c>
      <c r="I4830" t="s">
        <v>15</v>
      </c>
      <c r="J4830" t="s">
        <v>15</v>
      </c>
      <c r="K4830" t="s">
        <v>24</v>
      </c>
      <c r="L4830">
        <v>1597.05</v>
      </c>
      <c r="M4830" t="s">
        <v>5033</v>
      </c>
      <c r="N4830" t="s">
        <v>5031</v>
      </c>
    </row>
    <row r="4831" spans="1:14" x14ac:dyDescent="0.3">
      <c r="A4831" t="s">
        <v>4855</v>
      </c>
      <c r="B4831" t="s">
        <v>12</v>
      </c>
      <c r="C4831" t="s">
        <v>13</v>
      </c>
      <c r="D4831">
        <v>12</v>
      </c>
      <c r="E4831" t="s">
        <v>14</v>
      </c>
      <c r="F4831" t="s">
        <v>15</v>
      </c>
      <c r="G4831">
        <v>45</v>
      </c>
      <c r="H4831">
        <v>524.35</v>
      </c>
      <c r="I4831" t="s">
        <v>15</v>
      </c>
      <c r="J4831" t="s">
        <v>16</v>
      </c>
      <c r="K4831" t="s">
        <v>24</v>
      </c>
      <c r="L4831">
        <v>524.35</v>
      </c>
      <c r="M4831" t="s">
        <v>5030</v>
      </c>
      <c r="N4831" t="s">
        <v>5031</v>
      </c>
    </row>
    <row r="4832" spans="1:14" x14ac:dyDescent="0.3">
      <c r="A4832" t="s">
        <v>4856</v>
      </c>
      <c r="B4832" t="s">
        <v>19</v>
      </c>
      <c r="C4832" t="s">
        <v>35</v>
      </c>
      <c r="D4832">
        <v>54</v>
      </c>
      <c r="E4832" t="s">
        <v>14</v>
      </c>
      <c r="F4832" t="s">
        <v>15</v>
      </c>
      <c r="G4832">
        <v>74.55</v>
      </c>
      <c r="H4832">
        <v>4191.45</v>
      </c>
      <c r="I4832" t="s">
        <v>15</v>
      </c>
      <c r="J4832" t="s">
        <v>16</v>
      </c>
      <c r="K4832" t="s">
        <v>24</v>
      </c>
      <c r="L4832">
        <v>4191.45</v>
      </c>
      <c r="M4832" t="s">
        <v>5033</v>
      </c>
      <c r="N4832" t="s">
        <v>5034</v>
      </c>
    </row>
    <row r="4833" spans="1:14" x14ac:dyDescent="0.3">
      <c r="A4833" t="s">
        <v>4857</v>
      </c>
      <c r="B4833" t="s">
        <v>12</v>
      </c>
      <c r="C4833" t="s">
        <v>20</v>
      </c>
      <c r="D4833">
        <v>18</v>
      </c>
      <c r="E4833" t="s">
        <v>14</v>
      </c>
      <c r="F4833" t="s">
        <v>16</v>
      </c>
      <c r="G4833">
        <v>40.200000000000003</v>
      </c>
      <c r="H4833">
        <v>711.95</v>
      </c>
      <c r="I4833" t="s">
        <v>15</v>
      </c>
      <c r="J4833" t="s">
        <v>16</v>
      </c>
      <c r="K4833" t="s">
        <v>21</v>
      </c>
      <c r="L4833">
        <v>711.95</v>
      </c>
      <c r="M4833" t="s">
        <v>5032</v>
      </c>
      <c r="N4833" t="s">
        <v>5031</v>
      </c>
    </row>
    <row r="4834" spans="1:14" x14ac:dyDescent="0.3">
      <c r="A4834" t="s">
        <v>4858</v>
      </c>
      <c r="B4834" t="s">
        <v>19</v>
      </c>
      <c r="C4834" t="s">
        <v>20</v>
      </c>
      <c r="D4834">
        <v>32</v>
      </c>
      <c r="E4834" t="s">
        <v>14</v>
      </c>
      <c r="F4834" t="s">
        <v>16</v>
      </c>
      <c r="G4834">
        <v>70.5</v>
      </c>
      <c r="H4834">
        <v>2201.75</v>
      </c>
      <c r="I4834" t="s">
        <v>15</v>
      </c>
      <c r="J4834" t="s">
        <v>15</v>
      </c>
      <c r="K4834" t="s">
        <v>21</v>
      </c>
      <c r="L4834">
        <v>2201.75</v>
      </c>
      <c r="M4834" t="s">
        <v>5032</v>
      </c>
      <c r="N4834" t="s">
        <v>5031</v>
      </c>
    </row>
    <row r="4835" spans="1:14" x14ac:dyDescent="0.3">
      <c r="A4835" t="s">
        <v>4859</v>
      </c>
      <c r="B4835" t="s">
        <v>12</v>
      </c>
      <c r="C4835" t="s">
        <v>20</v>
      </c>
      <c r="D4835">
        <v>41</v>
      </c>
      <c r="E4835" t="s">
        <v>15</v>
      </c>
      <c r="F4835" t="s">
        <v>36</v>
      </c>
      <c r="G4835">
        <v>19.75</v>
      </c>
      <c r="H4835">
        <v>806.95</v>
      </c>
      <c r="I4835" t="s">
        <v>15</v>
      </c>
      <c r="J4835" t="s">
        <v>16</v>
      </c>
      <c r="K4835" t="s">
        <v>21</v>
      </c>
      <c r="L4835">
        <v>806.95</v>
      </c>
      <c r="M4835" t="s">
        <v>5033</v>
      </c>
      <c r="N4835" t="s">
        <v>5031</v>
      </c>
    </row>
    <row r="4836" spans="1:14" x14ac:dyDescent="0.3">
      <c r="A4836" t="s">
        <v>4860</v>
      </c>
      <c r="B4836" t="s">
        <v>19</v>
      </c>
      <c r="C4836" t="s">
        <v>35</v>
      </c>
      <c r="D4836">
        <v>67</v>
      </c>
      <c r="E4836" t="s">
        <v>15</v>
      </c>
      <c r="F4836" t="s">
        <v>36</v>
      </c>
      <c r="G4836">
        <v>24.65</v>
      </c>
      <c r="H4836">
        <v>1620.45</v>
      </c>
      <c r="I4836" t="s">
        <v>15</v>
      </c>
      <c r="J4836" t="s">
        <v>15</v>
      </c>
      <c r="K4836" t="s">
        <v>24</v>
      </c>
      <c r="L4836">
        <v>1620.45</v>
      </c>
      <c r="M4836" t="s">
        <v>5033</v>
      </c>
      <c r="N4836" t="s">
        <v>5031</v>
      </c>
    </row>
    <row r="4837" spans="1:14" x14ac:dyDescent="0.3">
      <c r="A4837" t="s">
        <v>4861</v>
      </c>
      <c r="B4837" t="s">
        <v>19</v>
      </c>
      <c r="C4837" t="s">
        <v>13</v>
      </c>
      <c r="D4837">
        <v>65</v>
      </c>
      <c r="E4837" t="s">
        <v>26</v>
      </c>
      <c r="F4837" t="s">
        <v>15</v>
      </c>
      <c r="G4837">
        <v>104.25</v>
      </c>
      <c r="H4837">
        <v>6812.95</v>
      </c>
      <c r="I4837" t="s">
        <v>15</v>
      </c>
      <c r="J4837" t="s">
        <v>16</v>
      </c>
      <c r="K4837" t="s">
        <v>17</v>
      </c>
      <c r="L4837">
        <v>6812.95</v>
      </c>
      <c r="M4837" t="s">
        <v>5033</v>
      </c>
      <c r="N4837" t="s">
        <v>5034</v>
      </c>
    </row>
    <row r="4838" spans="1:14" x14ac:dyDescent="0.3">
      <c r="A4838" t="s">
        <v>4862</v>
      </c>
      <c r="B4838" t="s">
        <v>12</v>
      </c>
      <c r="C4838" t="s">
        <v>13</v>
      </c>
      <c r="D4838">
        <v>25</v>
      </c>
      <c r="E4838" t="s">
        <v>14</v>
      </c>
      <c r="F4838" t="s">
        <v>16</v>
      </c>
      <c r="G4838">
        <v>78.349999999999994</v>
      </c>
      <c r="H4838">
        <v>1837.9</v>
      </c>
      <c r="I4838" t="s">
        <v>15</v>
      </c>
      <c r="J4838" t="s">
        <v>16</v>
      </c>
      <c r="K4838" t="s">
        <v>24</v>
      </c>
      <c r="L4838">
        <v>1837.9</v>
      </c>
      <c r="M4838" t="s">
        <v>5032</v>
      </c>
      <c r="N4838" t="s">
        <v>5031</v>
      </c>
    </row>
    <row r="4839" spans="1:14" x14ac:dyDescent="0.3">
      <c r="A4839" t="s">
        <v>4863</v>
      </c>
      <c r="B4839" t="s">
        <v>12</v>
      </c>
      <c r="C4839" t="s">
        <v>13</v>
      </c>
      <c r="D4839">
        <v>1</v>
      </c>
      <c r="E4839" t="s">
        <v>26</v>
      </c>
      <c r="F4839" t="s">
        <v>15</v>
      </c>
      <c r="G4839">
        <v>69.8</v>
      </c>
      <c r="H4839">
        <v>69.8</v>
      </c>
      <c r="I4839" t="s">
        <v>16</v>
      </c>
      <c r="J4839" t="s">
        <v>16</v>
      </c>
      <c r="K4839" t="s">
        <v>17</v>
      </c>
      <c r="L4839">
        <v>69.8</v>
      </c>
      <c r="M4839" t="s">
        <v>5030</v>
      </c>
      <c r="N4839" t="s">
        <v>5031</v>
      </c>
    </row>
    <row r="4840" spans="1:14" x14ac:dyDescent="0.3">
      <c r="A4840" t="s">
        <v>4864</v>
      </c>
      <c r="B4840" t="s">
        <v>12</v>
      </c>
      <c r="C4840" t="s">
        <v>20</v>
      </c>
      <c r="D4840">
        <v>67</v>
      </c>
      <c r="E4840" t="s">
        <v>26</v>
      </c>
      <c r="F4840" t="s">
        <v>16</v>
      </c>
      <c r="G4840">
        <v>109.7</v>
      </c>
      <c r="H4840">
        <v>7344.45</v>
      </c>
      <c r="I4840" t="s">
        <v>15</v>
      </c>
      <c r="J4840" t="s">
        <v>16</v>
      </c>
      <c r="K4840" t="s">
        <v>29</v>
      </c>
      <c r="L4840">
        <v>7344.45</v>
      </c>
      <c r="M4840" t="s">
        <v>5033</v>
      </c>
      <c r="N4840" t="s">
        <v>5034</v>
      </c>
    </row>
    <row r="4841" spans="1:14" x14ac:dyDescent="0.3">
      <c r="A4841" t="s">
        <v>4865</v>
      </c>
      <c r="B4841" t="s">
        <v>19</v>
      </c>
      <c r="C4841" t="s">
        <v>13</v>
      </c>
      <c r="D4841">
        <v>7</v>
      </c>
      <c r="E4841" t="s">
        <v>26</v>
      </c>
      <c r="F4841" t="s">
        <v>15</v>
      </c>
      <c r="G4841">
        <v>73.75</v>
      </c>
      <c r="H4841">
        <v>545.15</v>
      </c>
      <c r="I4841" t="s">
        <v>16</v>
      </c>
      <c r="J4841" t="s">
        <v>15</v>
      </c>
      <c r="K4841" t="s">
        <v>21</v>
      </c>
      <c r="L4841">
        <v>545.15</v>
      </c>
      <c r="M4841" t="s">
        <v>5030</v>
      </c>
      <c r="N4841" t="s">
        <v>5031</v>
      </c>
    </row>
    <row r="4842" spans="1:14" x14ac:dyDescent="0.3">
      <c r="A4842" t="s">
        <v>4866</v>
      </c>
      <c r="B4842" t="s">
        <v>12</v>
      </c>
      <c r="C4842" t="s">
        <v>13</v>
      </c>
      <c r="D4842">
        <v>43</v>
      </c>
      <c r="E4842" t="s">
        <v>14</v>
      </c>
      <c r="F4842" t="s">
        <v>15</v>
      </c>
      <c r="G4842">
        <v>33.450000000000003</v>
      </c>
      <c r="H4842">
        <v>1500.25</v>
      </c>
      <c r="I4842" t="s">
        <v>15</v>
      </c>
      <c r="J4842" t="s">
        <v>16</v>
      </c>
      <c r="K4842" t="s">
        <v>29</v>
      </c>
      <c r="L4842">
        <v>1500.25</v>
      </c>
      <c r="M4842" t="s">
        <v>5033</v>
      </c>
      <c r="N4842" t="s">
        <v>5031</v>
      </c>
    </row>
    <row r="4843" spans="1:14" x14ac:dyDescent="0.3">
      <c r="A4843" t="s">
        <v>4867</v>
      </c>
      <c r="B4843" t="s">
        <v>12</v>
      </c>
      <c r="C4843" t="s">
        <v>13</v>
      </c>
      <c r="D4843">
        <v>24</v>
      </c>
      <c r="E4843" t="s">
        <v>26</v>
      </c>
      <c r="F4843" t="s">
        <v>15</v>
      </c>
      <c r="G4843">
        <v>94.6</v>
      </c>
      <c r="H4843">
        <v>2283.15</v>
      </c>
      <c r="I4843" t="s">
        <v>15</v>
      </c>
      <c r="J4843" t="s">
        <v>16</v>
      </c>
      <c r="K4843" t="s">
        <v>17</v>
      </c>
      <c r="L4843">
        <v>2283.15</v>
      </c>
      <c r="M4843" t="s">
        <v>5032</v>
      </c>
      <c r="N4843" t="s">
        <v>5031</v>
      </c>
    </row>
    <row r="4844" spans="1:14" x14ac:dyDescent="0.3">
      <c r="A4844" t="s">
        <v>4868</v>
      </c>
      <c r="B4844" t="s">
        <v>19</v>
      </c>
      <c r="C4844" t="s">
        <v>13</v>
      </c>
      <c r="D4844">
        <v>9</v>
      </c>
      <c r="E4844" t="s">
        <v>14</v>
      </c>
      <c r="F4844" t="s">
        <v>15</v>
      </c>
      <c r="G4844">
        <v>54.55</v>
      </c>
      <c r="H4844">
        <v>494.05</v>
      </c>
      <c r="I4844" t="s">
        <v>16</v>
      </c>
      <c r="J4844" t="s">
        <v>15</v>
      </c>
      <c r="K4844" t="s">
        <v>17</v>
      </c>
      <c r="L4844">
        <v>494.05</v>
      </c>
      <c r="M4844" t="s">
        <v>5030</v>
      </c>
      <c r="N4844" t="s">
        <v>5031</v>
      </c>
    </row>
    <row r="4845" spans="1:14" x14ac:dyDescent="0.3">
      <c r="A4845" t="s">
        <v>4869</v>
      </c>
      <c r="B4845" t="s">
        <v>19</v>
      </c>
      <c r="C4845" t="s">
        <v>35</v>
      </c>
      <c r="D4845">
        <v>69</v>
      </c>
      <c r="E4845" t="s">
        <v>15</v>
      </c>
      <c r="F4845" t="s">
        <v>36</v>
      </c>
      <c r="G4845">
        <v>20.2</v>
      </c>
      <c r="H4845">
        <v>1376.5</v>
      </c>
      <c r="I4845" t="s">
        <v>15</v>
      </c>
      <c r="J4845" t="s">
        <v>15</v>
      </c>
      <c r="K4845" t="s">
        <v>24</v>
      </c>
      <c r="L4845">
        <v>1376.5</v>
      </c>
      <c r="M4845" t="s">
        <v>5033</v>
      </c>
      <c r="N4845" t="s">
        <v>5031</v>
      </c>
    </row>
    <row r="4846" spans="1:14" x14ac:dyDescent="0.3">
      <c r="A4846" t="s">
        <v>4870</v>
      </c>
      <c r="B4846" t="s">
        <v>12</v>
      </c>
      <c r="C4846" t="s">
        <v>20</v>
      </c>
      <c r="D4846">
        <v>37</v>
      </c>
      <c r="E4846" t="s">
        <v>15</v>
      </c>
      <c r="F4846" t="s">
        <v>36</v>
      </c>
      <c r="G4846">
        <v>20.3</v>
      </c>
      <c r="H4846">
        <v>755.4</v>
      </c>
      <c r="I4846" t="s">
        <v>15</v>
      </c>
      <c r="J4846" t="s">
        <v>15</v>
      </c>
      <c r="K4846" t="s">
        <v>24</v>
      </c>
      <c r="L4846">
        <v>755.4</v>
      </c>
      <c r="M4846" t="s">
        <v>5033</v>
      </c>
      <c r="N4846" t="s">
        <v>5031</v>
      </c>
    </row>
    <row r="4847" spans="1:14" x14ac:dyDescent="0.3">
      <c r="A4847" t="s">
        <v>4871</v>
      </c>
      <c r="B4847" t="s">
        <v>19</v>
      </c>
      <c r="C4847" t="s">
        <v>35</v>
      </c>
      <c r="D4847">
        <v>20</v>
      </c>
      <c r="E4847" t="s">
        <v>14</v>
      </c>
      <c r="F4847" t="s">
        <v>16</v>
      </c>
      <c r="G4847">
        <v>39.4</v>
      </c>
      <c r="H4847">
        <v>825.4</v>
      </c>
      <c r="I4847" t="s">
        <v>15</v>
      </c>
      <c r="J4847" t="s">
        <v>16</v>
      </c>
      <c r="K4847" t="s">
        <v>29</v>
      </c>
      <c r="L4847">
        <v>825.4</v>
      </c>
      <c r="M4847" t="s">
        <v>5032</v>
      </c>
      <c r="N4847" t="s">
        <v>5031</v>
      </c>
    </row>
    <row r="4848" spans="1:14" x14ac:dyDescent="0.3">
      <c r="A4848" t="s">
        <v>4872</v>
      </c>
      <c r="B4848" t="s">
        <v>19</v>
      </c>
      <c r="C4848" t="s">
        <v>13</v>
      </c>
      <c r="D4848">
        <v>7</v>
      </c>
      <c r="E4848" t="s">
        <v>26</v>
      </c>
      <c r="F4848" t="s">
        <v>15</v>
      </c>
      <c r="G4848">
        <v>69.150000000000006</v>
      </c>
      <c r="H4848">
        <v>488.65</v>
      </c>
      <c r="I4848" t="s">
        <v>15</v>
      </c>
      <c r="J4848" t="s">
        <v>15</v>
      </c>
      <c r="K4848" t="s">
        <v>24</v>
      </c>
      <c r="L4848">
        <v>488.65</v>
      </c>
      <c r="M4848" t="s">
        <v>5030</v>
      </c>
      <c r="N4848" t="s">
        <v>5031</v>
      </c>
    </row>
    <row r="4849" spans="1:14" x14ac:dyDescent="0.3">
      <c r="A4849" t="s">
        <v>4873</v>
      </c>
      <c r="B4849" t="s">
        <v>12</v>
      </c>
      <c r="C4849" t="s">
        <v>13</v>
      </c>
      <c r="D4849">
        <v>37</v>
      </c>
      <c r="E4849" t="s">
        <v>26</v>
      </c>
      <c r="F4849" t="s">
        <v>15</v>
      </c>
      <c r="G4849">
        <v>76.25</v>
      </c>
      <c r="H4849">
        <v>2841.55</v>
      </c>
      <c r="I4849" t="s">
        <v>16</v>
      </c>
      <c r="J4849" t="s">
        <v>16</v>
      </c>
      <c r="K4849" t="s">
        <v>17</v>
      </c>
      <c r="L4849">
        <v>2841.55</v>
      </c>
      <c r="M4849" t="s">
        <v>5033</v>
      </c>
      <c r="N4849" t="s">
        <v>5034</v>
      </c>
    </row>
    <row r="4850" spans="1:14" x14ac:dyDescent="0.3">
      <c r="A4850" t="s">
        <v>4874</v>
      </c>
      <c r="B4850" t="s">
        <v>12</v>
      </c>
      <c r="C4850" t="s">
        <v>13</v>
      </c>
      <c r="D4850">
        <v>5</v>
      </c>
      <c r="E4850" t="s">
        <v>26</v>
      </c>
      <c r="F4850" t="s">
        <v>15</v>
      </c>
      <c r="G4850">
        <v>93.9</v>
      </c>
      <c r="H4850">
        <v>486.85</v>
      </c>
      <c r="I4850" t="s">
        <v>16</v>
      </c>
      <c r="J4850" t="s">
        <v>16</v>
      </c>
      <c r="K4850" t="s">
        <v>21</v>
      </c>
      <c r="L4850">
        <v>486.85</v>
      </c>
      <c r="M4850" t="s">
        <v>5030</v>
      </c>
      <c r="N4850" t="s">
        <v>5031</v>
      </c>
    </row>
    <row r="4851" spans="1:14" x14ac:dyDescent="0.3">
      <c r="A4851" t="s">
        <v>4875</v>
      </c>
      <c r="B4851" t="s">
        <v>19</v>
      </c>
      <c r="C4851" t="s">
        <v>20</v>
      </c>
      <c r="D4851">
        <v>41</v>
      </c>
      <c r="E4851" t="s">
        <v>14</v>
      </c>
      <c r="F4851" t="s">
        <v>15</v>
      </c>
      <c r="G4851">
        <v>51.35</v>
      </c>
      <c r="H4851">
        <v>2075.1</v>
      </c>
      <c r="I4851" t="s">
        <v>15</v>
      </c>
      <c r="J4851" t="s">
        <v>16</v>
      </c>
      <c r="K4851" t="s">
        <v>17</v>
      </c>
      <c r="L4851">
        <v>2075.1</v>
      </c>
      <c r="M4851" t="s">
        <v>5033</v>
      </c>
      <c r="N4851" t="s">
        <v>5031</v>
      </c>
    </row>
    <row r="4852" spans="1:14" x14ac:dyDescent="0.3">
      <c r="A4852" t="s">
        <v>4876</v>
      </c>
      <c r="B4852" t="s">
        <v>12</v>
      </c>
      <c r="C4852" t="s">
        <v>20</v>
      </c>
      <c r="D4852">
        <v>54</v>
      </c>
      <c r="E4852" t="s">
        <v>26</v>
      </c>
      <c r="F4852" t="s">
        <v>15</v>
      </c>
      <c r="G4852">
        <v>100.05</v>
      </c>
      <c r="H4852">
        <v>5299.65</v>
      </c>
      <c r="I4852" t="s">
        <v>15</v>
      </c>
      <c r="J4852" t="s">
        <v>16</v>
      </c>
      <c r="K4852" t="s">
        <v>29</v>
      </c>
      <c r="L4852">
        <v>5299.65</v>
      </c>
      <c r="M4852" t="s">
        <v>5033</v>
      </c>
      <c r="N4852" t="s">
        <v>5034</v>
      </c>
    </row>
    <row r="4853" spans="1:14" x14ac:dyDescent="0.3">
      <c r="A4853" t="s">
        <v>4877</v>
      </c>
      <c r="B4853" t="s">
        <v>12</v>
      </c>
      <c r="C4853" t="s">
        <v>13</v>
      </c>
      <c r="D4853">
        <v>3</v>
      </c>
      <c r="E4853" t="s">
        <v>26</v>
      </c>
      <c r="F4853" t="s">
        <v>15</v>
      </c>
      <c r="G4853">
        <v>70.400000000000006</v>
      </c>
      <c r="H4853">
        <v>204.7</v>
      </c>
      <c r="I4853" t="s">
        <v>16</v>
      </c>
      <c r="J4853" t="s">
        <v>16</v>
      </c>
      <c r="K4853" t="s">
        <v>17</v>
      </c>
      <c r="L4853">
        <v>204.7</v>
      </c>
      <c r="M4853" t="s">
        <v>5030</v>
      </c>
      <c r="N4853" t="s">
        <v>5031</v>
      </c>
    </row>
    <row r="4854" spans="1:14" x14ac:dyDescent="0.3">
      <c r="A4854" t="s">
        <v>4878</v>
      </c>
      <c r="B4854" t="s">
        <v>19</v>
      </c>
      <c r="C4854" t="s">
        <v>35</v>
      </c>
      <c r="D4854">
        <v>69</v>
      </c>
      <c r="E4854" t="s">
        <v>15</v>
      </c>
      <c r="F4854" t="s">
        <v>36</v>
      </c>
      <c r="G4854">
        <v>20.3</v>
      </c>
      <c r="H4854">
        <v>1356.3</v>
      </c>
      <c r="I4854" t="s">
        <v>15</v>
      </c>
      <c r="J4854" t="s">
        <v>15</v>
      </c>
      <c r="K4854" t="s">
        <v>29</v>
      </c>
      <c r="L4854">
        <v>1356.3</v>
      </c>
      <c r="M4854" t="s">
        <v>5033</v>
      </c>
      <c r="N4854" t="s">
        <v>5031</v>
      </c>
    </row>
    <row r="4855" spans="1:14" x14ac:dyDescent="0.3">
      <c r="A4855" t="s">
        <v>4879</v>
      </c>
      <c r="B4855" t="s">
        <v>12</v>
      </c>
      <c r="C4855" t="s">
        <v>20</v>
      </c>
      <c r="D4855">
        <v>53</v>
      </c>
      <c r="E4855" t="s">
        <v>26</v>
      </c>
      <c r="F4855" t="s">
        <v>16</v>
      </c>
      <c r="G4855">
        <v>94.45</v>
      </c>
      <c r="H4855">
        <v>5042.75</v>
      </c>
      <c r="I4855" t="s">
        <v>15</v>
      </c>
      <c r="J4855" t="s">
        <v>16</v>
      </c>
      <c r="K4855" t="s">
        <v>29</v>
      </c>
      <c r="L4855">
        <v>5042.75</v>
      </c>
      <c r="M4855" t="s">
        <v>5033</v>
      </c>
      <c r="N4855" t="s">
        <v>5034</v>
      </c>
    </row>
    <row r="4856" spans="1:14" x14ac:dyDescent="0.3">
      <c r="A4856" t="s">
        <v>4880</v>
      </c>
      <c r="B4856" t="s">
        <v>19</v>
      </c>
      <c r="C4856" t="s">
        <v>20</v>
      </c>
      <c r="D4856">
        <v>18</v>
      </c>
      <c r="E4856" t="s">
        <v>14</v>
      </c>
      <c r="F4856" t="s">
        <v>15</v>
      </c>
      <c r="G4856">
        <v>46.4</v>
      </c>
      <c r="H4856">
        <v>812.4</v>
      </c>
      <c r="I4856" t="s">
        <v>15</v>
      </c>
      <c r="J4856" t="s">
        <v>15</v>
      </c>
      <c r="K4856" t="s">
        <v>29</v>
      </c>
      <c r="L4856">
        <v>812.4</v>
      </c>
      <c r="M4856" t="s">
        <v>5032</v>
      </c>
      <c r="N4856" t="s">
        <v>5031</v>
      </c>
    </row>
    <row r="4857" spans="1:14" x14ac:dyDescent="0.3">
      <c r="A4857" t="s">
        <v>4881</v>
      </c>
      <c r="B4857" t="s">
        <v>19</v>
      </c>
      <c r="C4857" t="s">
        <v>35</v>
      </c>
      <c r="D4857">
        <v>64</v>
      </c>
      <c r="E4857" t="s">
        <v>26</v>
      </c>
      <c r="F4857" t="s">
        <v>16</v>
      </c>
      <c r="G4857">
        <v>104.05</v>
      </c>
      <c r="H4857">
        <v>6605.55</v>
      </c>
      <c r="I4857" t="s">
        <v>15</v>
      </c>
      <c r="J4857" t="s">
        <v>16</v>
      </c>
      <c r="K4857" t="s">
        <v>29</v>
      </c>
      <c r="L4857">
        <v>6605.55</v>
      </c>
      <c r="M4857" t="s">
        <v>5033</v>
      </c>
      <c r="N4857" t="s">
        <v>5034</v>
      </c>
    </row>
    <row r="4858" spans="1:14" x14ac:dyDescent="0.3">
      <c r="A4858" t="s">
        <v>4882</v>
      </c>
      <c r="B4858" t="s">
        <v>12</v>
      </c>
      <c r="C4858" t="s">
        <v>13</v>
      </c>
      <c r="D4858">
        <v>31</v>
      </c>
      <c r="E4858" t="s">
        <v>26</v>
      </c>
      <c r="F4858" t="s">
        <v>15</v>
      </c>
      <c r="G4858">
        <v>91.15</v>
      </c>
      <c r="H4858">
        <v>2995.45</v>
      </c>
      <c r="I4858" t="s">
        <v>16</v>
      </c>
      <c r="J4858" t="s">
        <v>16</v>
      </c>
      <c r="K4858" t="s">
        <v>17</v>
      </c>
      <c r="L4858">
        <v>2995.45</v>
      </c>
      <c r="M4858" t="s">
        <v>5032</v>
      </c>
      <c r="N4858" t="s">
        <v>5034</v>
      </c>
    </row>
    <row r="4859" spans="1:14" x14ac:dyDescent="0.3">
      <c r="A4859" t="s">
        <v>4883</v>
      </c>
      <c r="B4859" t="s">
        <v>12</v>
      </c>
      <c r="C4859" t="s">
        <v>13</v>
      </c>
      <c r="D4859">
        <v>20</v>
      </c>
      <c r="E4859" t="s">
        <v>14</v>
      </c>
      <c r="F4859" t="s">
        <v>15</v>
      </c>
      <c r="G4859">
        <v>24.9</v>
      </c>
      <c r="H4859">
        <v>505.95</v>
      </c>
      <c r="I4859" t="s">
        <v>15</v>
      </c>
      <c r="J4859" t="s">
        <v>15</v>
      </c>
      <c r="K4859" t="s">
        <v>29</v>
      </c>
      <c r="L4859">
        <v>505.95</v>
      </c>
      <c r="M4859" t="s">
        <v>5032</v>
      </c>
      <c r="N4859" t="s">
        <v>5031</v>
      </c>
    </row>
    <row r="4860" spans="1:14" x14ac:dyDescent="0.3">
      <c r="A4860" t="s">
        <v>4884</v>
      </c>
      <c r="B4860" t="s">
        <v>19</v>
      </c>
      <c r="C4860" t="s">
        <v>20</v>
      </c>
      <c r="D4860">
        <v>57</v>
      </c>
      <c r="E4860" t="s">
        <v>14</v>
      </c>
      <c r="F4860" t="s">
        <v>16</v>
      </c>
      <c r="G4860">
        <v>59.6</v>
      </c>
      <c r="H4860">
        <v>3509.4</v>
      </c>
      <c r="I4860" t="s">
        <v>15</v>
      </c>
      <c r="J4860" t="s">
        <v>15</v>
      </c>
      <c r="K4860" t="s">
        <v>21</v>
      </c>
      <c r="L4860">
        <v>3509.4</v>
      </c>
      <c r="M4860" t="s">
        <v>5033</v>
      </c>
      <c r="N4860" t="s">
        <v>5034</v>
      </c>
    </row>
    <row r="4861" spans="1:14" x14ac:dyDescent="0.3">
      <c r="A4861" t="s">
        <v>4885</v>
      </c>
      <c r="B4861" t="s">
        <v>19</v>
      </c>
      <c r="C4861" t="s">
        <v>35</v>
      </c>
      <c r="D4861">
        <v>63</v>
      </c>
      <c r="E4861" t="s">
        <v>26</v>
      </c>
      <c r="F4861" t="s">
        <v>15</v>
      </c>
      <c r="G4861">
        <v>108.5</v>
      </c>
      <c r="H4861">
        <v>6991.9</v>
      </c>
      <c r="I4861" t="s">
        <v>15</v>
      </c>
      <c r="J4861" t="s">
        <v>15</v>
      </c>
      <c r="K4861" t="s">
        <v>29</v>
      </c>
      <c r="L4861">
        <v>6991.9</v>
      </c>
      <c r="M4861" t="s">
        <v>5033</v>
      </c>
      <c r="N4861" t="s">
        <v>5034</v>
      </c>
    </row>
    <row r="4862" spans="1:14" x14ac:dyDescent="0.3">
      <c r="A4862" t="s">
        <v>4886</v>
      </c>
      <c r="B4862" t="s">
        <v>19</v>
      </c>
      <c r="C4862" t="s">
        <v>35</v>
      </c>
      <c r="D4862">
        <v>13</v>
      </c>
      <c r="E4862" t="s">
        <v>14</v>
      </c>
      <c r="F4862" t="s">
        <v>16</v>
      </c>
      <c r="G4862">
        <v>40.549999999999997</v>
      </c>
      <c r="H4862">
        <v>590.35</v>
      </c>
      <c r="I4862" t="s">
        <v>15</v>
      </c>
      <c r="J4862" t="s">
        <v>15</v>
      </c>
      <c r="K4862" t="s">
        <v>21</v>
      </c>
      <c r="L4862">
        <v>590.35</v>
      </c>
      <c r="M4862" t="s">
        <v>5032</v>
      </c>
      <c r="N4862" t="s">
        <v>5031</v>
      </c>
    </row>
    <row r="4863" spans="1:14" x14ac:dyDescent="0.3">
      <c r="A4863" t="s">
        <v>4887</v>
      </c>
      <c r="B4863" t="s">
        <v>12</v>
      </c>
      <c r="C4863" t="s">
        <v>20</v>
      </c>
      <c r="D4863">
        <v>48</v>
      </c>
      <c r="E4863" t="s">
        <v>14</v>
      </c>
      <c r="F4863" t="s">
        <v>15</v>
      </c>
      <c r="G4863">
        <v>58.95</v>
      </c>
      <c r="H4863">
        <v>2789.7</v>
      </c>
      <c r="I4863" t="s">
        <v>15</v>
      </c>
      <c r="J4863" t="s">
        <v>16</v>
      </c>
      <c r="K4863" t="s">
        <v>24</v>
      </c>
      <c r="L4863">
        <v>2789.7</v>
      </c>
      <c r="M4863" t="s">
        <v>5033</v>
      </c>
      <c r="N4863" t="s">
        <v>5034</v>
      </c>
    </row>
    <row r="4864" spans="1:14" x14ac:dyDescent="0.3">
      <c r="A4864" t="s">
        <v>4888</v>
      </c>
      <c r="B4864" t="s">
        <v>12</v>
      </c>
      <c r="C4864" t="s">
        <v>13</v>
      </c>
      <c r="D4864">
        <v>2</v>
      </c>
      <c r="E4864" t="s">
        <v>26</v>
      </c>
      <c r="F4864" t="s">
        <v>15</v>
      </c>
      <c r="G4864">
        <v>70.95</v>
      </c>
      <c r="H4864">
        <v>137.94999999999999</v>
      </c>
      <c r="I4864" t="s">
        <v>16</v>
      </c>
      <c r="J4864" t="s">
        <v>16</v>
      </c>
      <c r="K4864" t="s">
        <v>17</v>
      </c>
      <c r="L4864">
        <v>137.94999999999999</v>
      </c>
      <c r="M4864" t="s">
        <v>5030</v>
      </c>
      <c r="N4864" t="s">
        <v>5031</v>
      </c>
    </row>
    <row r="4865" spans="1:14" x14ac:dyDescent="0.3">
      <c r="A4865" t="s">
        <v>4889</v>
      </c>
      <c r="B4865" t="s">
        <v>19</v>
      </c>
      <c r="C4865" t="s">
        <v>35</v>
      </c>
      <c r="D4865">
        <v>57</v>
      </c>
      <c r="E4865" t="s">
        <v>15</v>
      </c>
      <c r="F4865" t="s">
        <v>36</v>
      </c>
      <c r="G4865">
        <v>20.75</v>
      </c>
      <c r="H4865">
        <v>1123.1500000000001</v>
      </c>
      <c r="I4865" t="s">
        <v>15</v>
      </c>
      <c r="J4865" t="s">
        <v>15</v>
      </c>
      <c r="K4865" t="s">
        <v>21</v>
      </c>
      <c r="L4865">
        <v>1123.1500000000001</v>
      </c>
      <c r="M4865" t="s">
        <v>5033</v>
      </c>
      <c r="N4865" t="s">
        <v>5031</v>
      </c>
    </row>
    <row r="4866" spans="1:14" x14ac:dyDescent="0.3">
      <c r="A4866" t="s">
        <v>4890</v>
      </c>
      <c r="B4866" t="s">
        <v>19</v>
      </c>
      <c r="C4866" t="s">
        <v>20</v>
      </c>
      <c r="D4866">
        <v>71</v>
      </c>
      <c r="E4866" t="s">
        <v>26</v>
      </c>
      <c r="F4866" t="s">
        <v>16</v>
      </c>
      <c r="G4866">
        <v>113.15</v>
      </c>
      <c r="H4866">
        <v>7953.25</v>
      </c>
      <c r="I4866" t="s">
        <v>15</v>
      </c>
      <c r="J4866" t="s">
        <v>16</v>
      </c>
      <c r="K4866" t="s">
        <v>24</v>
      </c>
      <c r="L4866">
        <v>7953.25</v>
      </c>
      <c r="M4866" t="s">
        <v>5033</v>
      </c>
      <c r="N4866" t="s">
        <v>5034</v>
      </c>
    </row>
    <row r="4867" spans="1:14" x14ac:dyDescent="0.3">
      <c r="A4867" t="s">
        <v>4891</v>
      </c>
      <c r="B4867" t="s">
        <v>12</v>
      </c>
      <c r="C4867" t="s">
        <v>13</v>
      </c>
      <c r="D4867">
        <v>7</v>
      </c>
      <c r="E4867" t="s">
        <v>14</v>
      </c>
      <c r="F4867" t="s">
        <v>15</v>
      </c>
      <c r="G4867">
        <v>48.8</v>
      </c>
      <c r="H4867">
        <v>349.8</v>
      </c>
      <c r="I4867" t="s">
        <v>15</v>
      </c>
      <c r="J4867" t="s">
        <v>15</v>
      </c>
      <c r="K4867" t="s">
        <v>17</v>
      </c>
      <c r="L4867">
        <v>349.8</v>
      </c>
      <c r="M4867" t="s">
        <v>5030</v>
      </c>
      <c r="N4867" t="s">
        <v>5031</v>
      </c>
    </row>
    <row r="4868" spans="1:14" x14ac:dyDescent="0.3">
      <c r="A4868" t="s">
        <v>4892</v>
      </c>
      <c r="B4868" t="s">
        <v>12</v>
      </c>
      <c r="C4868" t="s">
        <v>13</v>
      </c>
      <c r="D4868">
        <v>16</v>
      </c>
      <c r="E4868" t="s">
        <v>14</v>
      </c>
      <c r="F4868" t="s">
        <v>15</v>
      </c>
      <c r="G4868">
        <v>63.05</v>
      </c>
      <c r="H4868">
        <v>1067.05</v>
      </c>
      <c r="I4868" t="s">
        <v>15</v>
      </c>
      <c r="J4868" t="s">
        <v>16</v>
      </c>
      <c r="K4868" t="s">
        <v>24</v>
      </c>
      <c r="L4868">
        <v>1067.05</v>
      </c>
      <c r="M4868" t="s">
        <v>5032</v>
      </c>
      <c r="N4868" t="s">
        <v>5031</v>
      </c>
    </row>
    <row r="4869" spans="1:14" x14ac:dyDescent="0.3">
      <c r="A4869" t="s">
        <v>4893</v>
      </c>
      <c r="B4869" t="s">
        <v>19</v>
      </c>
      <c r="C4869" t="s">
        <v>13</v>
      </c>
      <c r="D4869">
        <v>34</v>
      </c>
      <c r="E4869" t="s">
        <v>26</v>
      </c>
      <c r="F4869" t="s">
        <v>15</v>
      </c>
      <c r="G4869">
        <v>100.85</v>
      </c>
      <c r="H4869">
        <v>3527.3</v>
      </c>
      <c r="I4869" t="s">
        <v>15</v>
      </c>
      <c r="J4869" t="s">
        <v>15</v>
      </c>
      <c r="K4869" t="s">
        <v>17</v>
      </c>
      <c r="L4869">
        <v>3527.3</v>
      </c>
      <c r="M4869" t="s">
        <v>5032</v>
      </c>
      <c r="N4869" t="s">
        <v>5034</v>
      </c>
    </row>
    <row r="4870" spans="1:14" x14ac:dyDescent="0.3">
      <c r="A4870" t="s">
        <v>4894</v>
      </c>
      <c r="B4870" t="s">
        <v>12</v>
      </c>
      <c r="C4870" t="s">
        <v>13</v>
      </c>
      <c r="D4870">
        <v>37</v>
      </c>
      <c r="E4870" t="s">
        <v>26</v>
      </c>
      <c r="F4870" t="s">
        <v>15</v>
      </c>
      <c r="G4870">
        <v>99.5</v>
      </c>
      <c r="H4870">
        <v>3762</v>
      </c>
      <c r="I4870" t="s">
        <v>16</v>
      </c>
      <c r="J4870" t="s">
        <v>16</v>
      </c>
      <c r="K4870" t="s">
        <v>17</v>
      </c>
      <c r="L4870">
        <v>3762</v>
      </c>
      <c r="M4870" t="s">
        <v>5033</v>
      </c>
      <c r="N4870" t="s">
        <v>5034</v>
      </c>
    </row>
    <row r="4871" spans="1:14" x14ac:dyDescent="0.3">
      <c r="A4871" t="s">
        <v>4895</v>
      </c>
      <c r="B4871" t="s">
        <v>19</v>
      </c>
      <c r="C4871" t="s">
        <v>13</v>
      </c>
      <c r="D4871">
        <v>16</v>
      </c>
      <c r="E4871" t="s">
        <v>26</v>
      </c>
      <c r="F4871" t="s">
        <v>15</v>
      </c>
      <c r="G4871">
        <v>80.55</v>
      </c>
      <c r="H4871">
        <v>1248.9000000000001</v>
      </c>
      <c r="I4871" t="s">
        <v>15</v>
      </c>
      <c r="J4871" t="s">
        <v>16</v>
      </c>
      <c r="K4871" t="s">
        <v>21</v>
      </c>
      <c r="L4871">
        <v>1248.9000000000001</v>
      </c>
      <c r="M4871" t="s">
        <v>5032</v>
      </c>
      <c r="N4871" t="s">
        <v>5031</v>
      </c>
    </row>
    <row r="4872" spans="1:14" x14ac:dyDescent="0.3">
      <c r="A4872" t="s">
        <v>4896</v>
      </c>
      <c r="B4872" t="s">
        <v>19</v>
      </c>
      <c r="C4872" t="s">
        <v>20</v>
      </c>
      <c r="D4872">
        <v>48</v>
      </c>
      <c r="E4872" t="s">
        <v>14</v>
      </c>
      <c r="F4872" t="s">
        <v>15</v>
      </c>
      <c r="G4872">
        <v>64.400000000000006</v>
      </c>
      <c r="H4872">
        <v>3035.35</v>
      </c>
      <c r="I4872" t="s">
        <v>15</v>
      </c>
      <c r="J4872" t="s">
        <v>16</v>
      </c>
      <c r="K4872" t="s">
        <v>24</v>
      </c>
      <c r="L4872">
        <v>3035.35</v>
      </c>
      <c r="M4872" t="s">
        <v>5033</v>
      </c>
      <c r="N4872" t="s">
        <v>5034</v>
      </c>
    </row>
    <row r="4873" spans="1:14" x14ac:dyDescent="0.3">
      <c r="A4873" t="s">
        <v>4897</v>
      </c>
      <c r="B4873" t="s">
        <v>19</v>
      </c>
      <c r="C4873" t="s">
        <v>20</v>
      </c>
      <c r="D4873">
        <v>58</v>
      </c>
      <c r="E4873" t="s">
        <v>14</v>
      </c>
      <c r="F4873" t="s">
        <v>16</v>
      </c>
      <c r="G4873">
        <v>75.2</v>
      </c>
      <c r="H4873">
        <v>4300.8</v>
      </c>
      <c r="I4873" t="s">
        <v>15</v>
      </c>
      <c r="J4873" t="s">
        <v>16</v>
      </c>
      <c r="K4873" t="s">
        <v>29</v>
      </c>
      <c r="L4873">
        <v>4300.8</v>
      </c>
      <c r="M4873" t="s">
        <v>5033</v>
      </c>
      <c r="N4873" t="s">
        <v>5034</v>
      </c>
    </row>
    <row r="4874" spans="1:14" x14ac:dyDescent="0.3">
      <c r="A4874" t="s">
        <v>4898</v>
      </c>
      <c r="B4874" t="s">
        <v>12</v>
      </c>
      <c r="C4874" t="s">
        <v>35</v>
      </c>
      <c r="D4874">
        <v>72</v>
      </c>
      <c r="E4874" t="s">
        <v>14</v>
      </c>
      <c r="F4874" t="s">
        <v>16</v>
      </c>
      <c r="G4874">
        <v>84.9</v>
      </c>
      <c r="H4874">
        <v>6065.3</v>
      </c>
      <c r="I4874" t="s">
        <v>15</v>
      </c>
      <c r="J4874" t="s">
        <v>16</v>
      </c>
      <c r="K4874" t="s">
        <v>24</v>
      </c>
      <c r="L4874">
        <v>6065.3</v>
      </c>
      <c r="M4874" t="s">
        <v>5033</v>
      </c>
      <c r="N4874" t="s">
        <v>5034</v>
      </c>
    </row>
    <row r="4875" spans="1:14" x14ac:dyDescent="0.3">
      <c r="A4875" t="s">
        <v>4899</v>
      </c>
      <c r="B4875" t="s">
        <v>12</v>
      </c>
      <c r="C4875" t="s">
        <v>13</v>
      </c>
      <c r="D4875">
        <v>7</v>
      </c>
      <c r="E4875" t="s">
        <v>15</v>
      </c>
      <c r="F4875" t="s">
        <v>36</v>
      </c>
      <c r="G4875">
        <v>19.3</v>
      </c>
      <c r="H4875">
        <v>144.94999999999999</v>
      </c>
      <c r="I4875" t="s">
        <v>15</v>
      </c>
      <c r="J4875" t="s">
        <v>15</v>
      </c>
      <c r="K4875" t="s">
        <v>21</v>
      </c>
      <c r="L4875">
        <v>144.94999999999999</v>
      </c>
      <c r="M4875" t="s">
        <v>5030</v>
      </c>
      <c r="N4875" t="s">
        <v>5031</v>
      </c>
    </row>
    <row r="4876" spans="1:14" x14ac:dyDescent="0.3">
      <c r="A4876" t="s">
        <v>4900</v>
      </c>
      <c r="B4876" t="s">
        <v>12</v>
      </c>
      <c r="C4876" t="s">
        <v>13</v>
      </c>
      <c r="D4876">
        <v>38</v>
      </c>
      <c r="E4876" t="s">
        <v>26</v>
      </c>
      <c r="F4876" t="s">
        <v>15</v>
      </c>
      <c r="G4876">
        <v>83.9</v>
      </c>
      <c r="H4876">
        <v>3233.6</v>
      </c>
      <c r="I4876" t="s">
        <v>16</v>
      </c>
      <c r="J4876" t="s">
        <v>16</v>
      </c>
      <c r="K4876" t="s">
        <v>29</v>
      </c>
      <c r="L4876">
        <v>3233.6</v>
      </c>
      <c r="M4876" t="s">
        <v>5033</v>
      </c>
      <c r="N4876" t="s">
        <v>5034</v>
      </c>
    </row>
    <row r="4877" spans="1:14" x14ac:dyDescent="0.3">
      <c r="A4877" t="s">
        <v>4901</v>
      </c>
      <c r="B4877" t="s">
        <v>12</v>
      </c>
      <c r="C4877" t="s">
        <v>13</v>
      </c>
      <c r="D4877">
        <v>48</v>
      </c>
      <c r="E4877" t="s">
        <v>26</v>
      </c>
      <c r="F4877" t="s">
        <v>16</v>
      </c>
      <c r="G4877">
        <v>117.45</v>
      </c>
      <c r="H4877">
        <v>5438.9</v>
      </c>
      <c r="I4877" t="s">
        <v>16</v>
      </c>
      <c r="J4877" t="s">
        <v>15</v>
      </c>
      <c r="K4877" t="s">
        <v>17</v>
      </c>
      <c r="L4877">
        <v>5438.9</v>
      </c>
      <c r="M4877" t="s">
        <v>5033</v>
      </c>
      <c r="N4877" t="s">
        <v>5034</v>
      </c>
    </row>
    <row r="4878" spans="1:14" x14ac:dyDescent="0.3">
      <c r="A4878" t="s">
        <v>4902</v>
      </c>
      <c r="B4878" t="s">
        <v>19</v>
      </c>
      <c r="C4878" t="s">
        <v>13</v>
      </c>
      <c r="D4878">
        <v>10</v>
      </c>
      <c r="E4878" t="s">
        <v>26</v>
      </c>
      <c r="F4878" t="s">
        <v>15</v>
      </c>
      <c r="G4878">
        <v>104.4</v>
      </c>
      <c r="H4878">
        <v>1081.45</v>
      </c>
      <c r="I4878" t="s">
        <v>16</v>
      </c>
      <c r="J4878" t="s">
        <v>16</v>
      </c>
      <c r="K4878" t="s">
        <v>17</v>
      </c>
      <c r="L4878">
        <v>1081.45</v>
      </c>
      <c r="M4878" t="s">
        <v>5030</v>
      </c>
      <c r="N4878" t="s">
        <v>5031</v>
      </c>
    </row>
    <row r="4879" spans="1:14" x14ac:dyDescent="0.3">
      <c r="A4879" t="s">
        <v>4903</v>
      </c>
      <c r="B4879" t="s">
        <v>12</v>
      </c>
      <c r="C4879" t="s">
        <v>20</v>
      </c>
      <c r="D4879">
        <v>30</v>
      </c>
      <c r="E4879" t="s">
        <v>14</v>
      </c>
      <c r="F4879" t="s">
        <v>16</v>
      </c>
      <c r="G4879">
        <v>74.650000000000006</v>
      </c>
      <c r="H4879">
        <v>2308.6</v>
      </c>
      <c r="I4879" t="s">
        <v>15</v>
      </c>
      <c r="J4879" t="s">
        <v>15</v>
      </c>
      <c r="K4879" t="s">
        <v>29</v>
      </c>
      <c r="L4879">
        <v>2308.6</v>
      </c>
      <c r="M4879" t="s">
        <v>5032</v>
      </c>
      <c r="N4879" t="s">
        <v>5031</v>
      </c>
    </row>
    <row r="4880" spans="1:14" x14ac:dyDescent="0.3">
      <c r="A4880" t="s">
        <v>4904</v>
      </c>
      <c r="B4880" t="s">
        <v>19</v>
      </c>
      <c r="C4880" t="s">
        <v>13</v>
      </c>
      <c r="D4880">
        <v>31</v>
      </c>
      <c r="E4880" t="s">
        <v>14</v>
      </c>
      <c r="F4880" t="s">
        <v>15</v>
      </c>
      <c r="G4880">
        <v>59.05</v>
      </c>
      <c r="H4880">
        <v>1882.8</v>
      </c>
      <c r="I4880" t="s">
        <v>15</v>
      </c>
      <c r="J4880" t="s">
        <v>16</v>
      </c>
      <c r="K4880" t="s">
        <v>29</v>
      </c>
      <c r="L4880">
        <v>1882.8</v>
      </c>
      <c r="M4880" t="s">
        <v>5032</v>
      </c>
      <c r="N4880" t="s">
        <v>5031</v>
      </c>
    </row>
    <row r="4881" spans="1:14" x14ac:dyDescent="0.3">
      <c r="A4881" t="s">
        <v>4905</v>
      </c>
      <c r="B4881" t="s">
        <v>12</v>
      </c>
      <c r="C4881" t="s">
        <v>20</v>
      </c>
      <c r="D4881">
        <v>46</v>
      </c>
      <c r="E4881" t="s">
        <v>14</v>
      </c>
      <c r="F4881" t="s">
        <v>16</v>
      </c>
      <c r="G4881">
        <v>69.099999999999994</v>
      </c>
      <c r="H4881">
        <v>3255.35</v>
      </c>
      <c r="I4881" t="s">
        <v>15</v>
      </c>
      <c r="J4881" t="s">
        <v>16</v>
      </c>
      <c r="K4881" t="s">
        <v>29</v>
      </c>
      <c r="L4881">
        <v>3255.35</v>
      </c>
      <c r="M4881" t="s">
        <v>5033</v>
      </c>
      <c r="N4881" t="s">
        <v>5034</v>
      </c>
    </row>
    <row r="4882" spans="1:14" x14ac:dyDescent="0.3">
      <c r="A4882" t="s">
        <v>4906</v>
      </c>
      <c r="B4882" t="s">
        <v>19</v>
      </c>
      <c r="C4882" t="s">
        <v>35</v>
      </c>
      <c r="D4882">
        <v>50</v>
      </c>
      <c r="E4882" t="s">
        <v>15</v>
      </c>
      <c r="F4882" t="s">
        <v>36</v>
      </c>
      <c r="G4882">
        <v>20.55</v>
      </c>
      <c r="H4882">
        <v>1067.6500000000001</v>
      </c>
      <c r="I4882" t="s">
        <v>15</v>
      </c>
      <c r="J4882" t="s">
        <v>15</v>
      </c>
      <c r="K4882" t="s">
        <v>21</v>
      </c>
      <c r="L4882">
        <v>1067.6500000000001</v>
      </c>
      <c r="M4882" t="s">
        <v>5033</v>
      </c>
      <c r="N4882" t="s">
        <v>5031</v>
      </c>
    </row>
    <row r="4883" spans="1:14" x14ac:dyDescent="0.3">
      <c r="A4883" t="s">
        <v>4907</v>
      </c>
      <c r="B4883" t="s">
        <v>19</v>
      </c>
      <c r="C4883" t="s">
        <v>13</v>
      </c>
      <c r="D4883">
        <v>28</v>
      </c>
      <c r="E4883" t="s">
        <v>26</v>
      </c>
      <c r="F4883" t="s">
        <v>16</v>
      </c>
      <c r="G4883">
        <v>76.55</v>
      </c>
      <c r="H4883">
        <v>2065.4</v>
      </c>
      <c r="I4883" t="s">
        <v>15</v>
      </c>
      <c r="J4883" t="s">
        <v>15</v>
      </c>
      <c r="K4883" t="s">
        <v>24</v>
      </c>
      <c r="L4883">
        <v>2065.4</v>
      </c>
      <c r="M4883" t="s">
        <v>5032</v>
      </c>
      <c r="N4883" t="s">
        <v>5031</v>
      </c>
    </row>
    <row r="4884" spans="1:14" x14ac:dyDescent="0.3">
      <c r="A4884" t="s">
        <v>4908</v>
      </c>
      <c r="B4884" t="s">
        <v>12</v>
      </c>
      <c r="C4884" t="s">
        <v>35</v>
      </c>
      <c r="D4884">
        <v>66</v>
      </c>
      <c r="E4884" t="s">
        <v>14</v>
      </c>
      <c r="F4884" t="s">
        <v>16</v>
      </c>
      <c r="G4884">
        <v>62.5</v>
      </c>
      <c r="H4884">
        <v>4136.3999999999996</v>
      </c>
      <c r="I4884" t="s">
        <v>15</v>
      </c>
      <c r="J4884" t="s">
        <v>16</v>
      </c>
      <c r="K4884" t="s">
        <v>24</v>
      </c>
      <c r="L4884">
        <v>4136.3999999999996</v>
      </c>
      <c r="M4884" t="s">
        <v>5033</v>
      </c>
      <c r="N4884" t="s">
        <v>5034</v>
      </c>
    </row>
    <row r="4885" spans="1:14" x14ac:dyDescent="0.3">
      <c r="A4885" t="s">
        <v>4909</v>
      </c>
      <c r="B4885" t="s">
        <v>19</v>
      </c>
      <c r="C4885" t="s">
        <v>13</v>
      </c>
      <c r="D4885">
        <v>8</v>
      </c>
      <c r="E4885" t="s">
        <v>14</v>
      </c>
      <c r="F4885" t="s">
        <v>15</v>
      </c>
      <c r="G4885">
        <v>29.4</v>
      </c>
      <c r="H4885">
        <v>221.9</v>
      </c>
      <c r="I4885" t="s">
        <v>16</v>
      </c>
      <c r="J4885" t="s">
        <v>16</v>
      </c>
      <c r="K4885" t="s">
        <v>17</v>
      </c>
      <c r="L4885">
        <v>221.9</v>
      </c>
      <c r="M4885" t="s">
        <v>5030</v>
      </c>
      <c r="N4885" t="s">
        <v>5031</v>
      </c>
    </row>
    <row r="4886" spans="1:14" x14ac:dyDescent="0.3">
      <c r="A4886" t="s">
        <v>4910</v>
      </c>
      <c r="B4886" t="s">
        <v>12</v>
      </c>
      <c r="C4886" t="s">
        <v>13</v>
      </c>
      <c r="D4886">
        <v>41</v>
      </c>
      <c r="E4886" t="s">
        <v>26</v>
      </c>
      <c r="F4886" t="s">
        <v>15</v>
      </c>
      <c r="G4886">
        <v>94.9</v>
      </c>
      <c r="H4886">
        <v>3848</v>
      </c>
      <c r="I4886" t="s">
        <v>15</v>
      </c>
      <c r="J4886" t="s">
        <v>16</v>
      </c>
      <c r="K4886" t="s">
        <v>24</v>
      </c>
      <c r="L4886">
        <v>3848</v>
      </c>
      <c r="M4886" t="s">
        <v>5033</v>
      </c>
      <c r="N4886" t="s">
        <v>5034</v>
      </c>
    </row>
    <row r="4887" spans="1:14" x14ac:dyDescent="0.3">
      <c r="A4887" t="s">
        <v>4911</v>
      </c>
      <c r="B4887" t="s">
        <v>19</v>
      </c>
      <c r="C4887" t="s">
        <v>35</v>
      </c>
      <c r="D4887">
        <v>72</v>
      </c>
      <c r="E4887" t="s">
        <v>26</v>
      </c>
      <c r="F4887" t="s">
        <v>16</v>
      </c>
      <c r="G4887">
        <v>111.65</v>
      </c>
      <c r="H4887">
        <v>8022.85</v>
      </c>
      <c r="I4887" t="s">
        <v>15</v>
      </c>
      <c r="J4887" t="s">
        <v>16</v>
      </c>
      <c r="K4887" t="s">
        <v>24</v>
      </c>
      <c r="L4887">
        <v>8022.85</v>
      </c>
      <c r="M4887" t="s">
        <v>5033</v>
      </c>
      <c r="N4887" t="s">
        <v>5034</v>
      </c>
    </row>
    <row r="4888" spans="1:14" x14ac:dyDescent="0.3">
      <c r="A4888" t="s">
        <v>4912</v>
      </c>
      <c r="B4888" t="s">
        <v>12</v>
      </c>
      <c r="C4888" t="s">
        <v>20</v>
      </c>
      <c r="D4888">
        <v>7</v>
      </c>
      <c r="E4888" t="s">
        <v>15</v>
      </c>
      <c r="F4888" t="s">
        <v>36</v>
      </c>
      <c r="G4888">
        <v>19.899999999999999</v>
      </c>
      <c r="H4888">
        <v>173.15</v>
      </c>
      <c r="I4888" t="s">
        <v>15</v>
      </c>
      <c r="J4888" t="s">
        <v>15</v>
      </c>
      <c r="K4888" t="s">
        <v>21</v>
      </c>
      <c r="L4888">
        <v>173.15</v>
      </c>
      <c r="M4888" t="s">
        <v>5030</v>
      </c>
      <c r="N4888" t="s">
        <v>5031</v>
      </c>
    </row>
    <row r="4889" spans="1:14" x14ac:dyDescent="0.3">
      <c r="A4889" t="s">
        <v>4913</v>
      </c>
      <c r="B4889" t="s">
        <v>12</v>
      </c>
      <c r="C4889" t="s">
        <v>13</v>
      </c>
      <c r="D4889">
        <v>38</v>
      </c>
      <c r="E4889" t="s">
        <v>15</v>
      </c>
      <c r="F4889" t="s">
        <v>36</v>
      </c>
      <c r="G4889">
        <v>20.45</v>
      </c>
      <c r="H4889">
        <v>781.25</v>
      </c>
      <c r="I4889" t="s">
        <v>15</v>
      </c>
      <c r="J4889" t="s">
        <v>15</v>
      </c>
      <c r="K4889" t="s">
        <v>21</v>
      </c>
      <c r="L4889">
        <v>781.25</v>
      </c>
      <c r="M4889" t="s">
        <v>5033</v>
      </c>
      <c r="N4889" t="s">
        <v>5031</v>
      </c>
    </row>
    <row r="4890" spans="1:14" x14ac:dyDescent="0.3">
      <c r="A4890" t="s">
        <v>4914</v>
      </c>
      <c r="B4890" t="s">
        <v>19</v>
      </c>
      <c r="C4890" t="s">
        <v>20</v>
      </c>
      <c r="D4890">
        <v>44</v>
      </c>
      <c r="E4890" t="s">
        <v>26</v>
      </c>
      <c r="F4890" t="s">
        <v>15</v>
      </c>
      <c r="G4890">
        <v>106.05</v>
      </c>
      <c r="H4890">
        <v>4510.8</v>
      </c>
      <c r="I4890" t="s">
        <v>15</v>
      </c>
      <c r="J4890" t="s">
        <v>16</v>
      </c>
      <c r="K4890" t="s">
        <v>17</v>
      </c>
      <c r="L4890">
        <v>4510.8</v>
      </c>
      <c r="M4890" t="s">
        <v>5033</v>
      </c>
      <c r="N4890" t="s">
        <v>5034</v>
      </c>
    </row>
    <row r="4891" spans="1:14" x14ac:dyDescent="0.3">
      <c r="A4891" t="s">
        <v>4915</v>
      </c>
      <c r="B4891" t="s">
        <v>19</v>
      </c>
      <c r="C4891" t="s">
        <v>20</v>
      </c>
      <c r="D4891">
        <v>47</v>
      </c>
      <c r="E4891" t="s">
        <v>26</v>
      </c>
      <c r="F4891" t="s">
        <v>16</v>
      </c>
      <c r="G4891">
        <v>113.45</v>
      </c>
      <c r="H4891">
        <v>5317.8</v>
      </c>
      <c r="I4891" t="s">
        <v>15</v>
      </c>
      <c r="J4891" t="s">
        <v>16</v>
      </c>
      <c r="K4891" t="s">
        <v>24</v>
      </c>
      <c r="L4891">
        <v>5317.8</v>
      </c>
      <c r="M4891" t="s">
        <v>5033</v>
      </c>
      <c r="N4891" t="s">
        <v>5034</v>
      </c>
    </row>
    <row r="4892" spans="1:14" x14ac:dyDescent="0.3">
      <c r="A4892" t="s">
        <v>4916</v>
      </c>
      <c r="B4892" t="s">
        <v>19</v>
      </c>
      <c r="C4892" t="s">
        <v>13</v>
      </c>
      <c r="D4892">
        <v>53</v>
      </c>
      <c r="E4892" t="s">
        <v>26</v>
      </c>
      <c r="F4892" t="s">
        <v>16</v>
      </c>
      <c r="G4892">
        <v>92.55</v>
      </c>
      <c r="H4892">
        <v>4779.45</v>
      </c>
      <c r="I4892" t="s">
        <v>15</v>
      </c>
      <c r="J4892" t="s">
        <v>16</v>
      </c>
      <c r="K4892" t="s">
        <v>17</v>
      </c>
      <c r="L4892">
        <v>4779.45</v>
      </c>
      <c r="M4892" t="s">
        <v>5033</v>
      </c>
      <c r="N4892" t="s">
        <v>5034</v>
      </c>
    </row>
    <row r="4893" spans="1:14" x14ac:dyDescent="0.3">
      <c r="A4893" t="s">
        <v>4917</v>
      </c>
      <c r="B4893" t="s">
        <v>19</v>
      </c>
      <c r="C4893" t="s">
        <v>13</v>
      </c>
      <c r="D4893">
        <v>4</v>
      </c>
      <c r="E4893" t="s">
        <v>14</v>
      </c>
      <c r="F4893" t="s">
        <v>15</v>
      </c>
      <c r="G4893">
        <v>65.599999999999994</v>
      </c>
      <c r="H4893">
        <v>250.1</v>
      </c>
      <c r="I4893" t="s">
        <v>15</v>
      </c>
      <c r="J4893" t="s">
        <v>15</v>
      </c>
      <c r="K4893" t="s">
        <v>17</v>
      </c>
      <c r="L4893">
        <v>250.1</v>
      </c>
      <c r="M4893" t="s">
        <v>5030</v>
      </c>
      <c r="N4893" t="s">
        <v>5031</v>
      </c>
    </row>
    <row r="4894" spans="1:14" x14ac:dyDescent="0.3">
      <c r="A4894" t="s">
        <v>4918</v>
      </c>
      <c r="B4894" t="s">
        <v>19</v>
      </c>
      <c r="C4894" t="s">
        <v>13</v>
      </c>
      <c r="D4894">
        <v>20</v>
      </c>
      <c r="E4894" t="s">
        <v>26</v>
      </c>
      <c r="F4894" t="s">
        <v>15</v>
      </c>
      <c r="G4894">
        <v>84.35</v>
      </c>
      <c r="H4894">
        <v>1745.2</v>
      </c>
      <c r="I4894" t="s">
        <v>15</v>
      </c>
      <c r="J4894" t="s">
        <v>16</v>
      </c>
      <c r="K4894" t="s">
        <v>17</v>
      </c>
      <c r="L4894">
        <v>1745.2</v>
      </c>
      <c r="M4894" t="s">
        <v>5032</v>
      </c>
      <c r="N4894" t="s">
        <v>5031</v>
      </c>
    </row>
    <row r="4895" spans="1:14" x14ac:dyDescent="0.3">
      <c r="A4895" t="s">
        <v>4919</v>
      </c>
      <c r="B4895" t="s">
        <v>19</v>
      </c>
      <c r="C4895" t="s">
        <v>13</v>
      </c>
      <c r="D4895">
        <v>2</v>
      </c>
      <c r="E4895" t="s">
        <v>14</v>
      </c>
      <c r="F4895" t="s">
        <v>15</v>
      </c>
      <c r="G4895">
        <v>44.65</v>
      </c>
      <c r="H4895">
        <v>74.900000000000006</v>
      </c>
      <c r="I4895" t="s">
        <v>16</v>
      </c>
      <c r="J4895" t="s">
        <v>15</v>
      </c>
      <c r="K4895" t="s">
        <v>21</v>
      </c>
      <c r="L4895">
        <v>74.900000000000006</v>
      </c>
      <c r="M4895" t="s">
        <v>5030</v>
      </c>
      <c r="N4895" t="s">
        <v>5031</v>
      </c>
    </row>
    <row r="4896" spans="1:14" x14ac:dyDescent="0.3">
      <c r="A4896" t="s">
        <v>4920</v>
      </c>
      <c r="B4896" t="s">
        <v>19</v>
      </c>
      <c r="C4896" t="s">
        <v>20</v>
      </c>
      <c r="D4896">
        <v>57</v>
      </c>
      <c r="E4896" t="s">
        <v>14</v>
      </c>
      <c r="F4896" t="s">
        <v>15</v>
      </c>
      <c r="G4896">
        <v>71.099999999999994</v>
      </c>
      <c r="H4896">
        <v>4140.1000000000004</v>
      </c>
      <c r="I4896" t="s">
        <v>15</v>
      </c>
      <c r="J4896" t="s">
        <v>16</v>
      </c>
      <c r="K4896" t="s">
        <v>29</v>
      </c>
      <c r="L4896">
        <v>4140.1000000000004</v>
      </c>
      <c r="M4896" t="s">
        <v>5033</v>
      </c>
      <c r="N4896" t="s">
        <v>5034</v>
      </c>
    </row>
    <row r="4897" spans="1:14" x14ac:dyDescent="0.3">
      <c r="A4897" t="s">
        <v>4921</v>
      </c>
      <c r="B4897" t="s">
        <v>12</v>
      </c>
      <c r="C4897" t="s">
        <v>13</v>
      </c>
      <c r="D4897">
        <v>44</v>
      </c>
      <c r="E4897" t="s">
        <v>26</v>
      </c>
      <c r="F4897" t="s">
        <v>16</v>
      </c>
      <c r="G4897">
        <v>85.15</v>
      </c>
      <c r="H4897">
        <v>3670.5</v>
      </c>
      <c r="I4897" t="s">
        <v>15</v>
      </c>
      <c r="J4897" t="s">
        <v>16</v>
      </c>
      <c r="K4897" t="s">
        <v>17</v>
      </c>
      <c r="L4897">
        <v>3670.5</v>
      </c>
      <c r="M4897" t="s">
        <v>5033</v>
      </c>
      <c r="N4897" t="s">
        <v>5034</v>
      </c>
    </row>
    <row r="4898" spans="1:14" x14ac:dyDescent="0.3">
      <c r="A4898" t="s">
        <v>4922</v>
      </c>
      <c r="B4898" t="s">
        <v>19</v>
      </c>
      <c r="C4898" t="s">
        <v>13</v>
      </c>
      <c r="D4898">
        <v>24</v>
      </c>
      <c r="E4898" t="s">
        <v>14</v>
      </c>
      <c r="F4898" t="s">
        <v>15</v>
      </c>
      <c r="G4898">
        <v>49.7</v>
      </c>
      <c r="H4898">
        <v>1167.8</v>
      </c>
      <c r="I4898" t="s">
        <v>15</v>
      </c>
      <c r="J4898" t="s">
        <v>16</v>
      </c>
      <c r="K4898" t="s">
        <v>21</v>
      </c>
      <c r="L4898">
        <v>1167.8</v>
      </c>
      <c r="M4898" t="s">
        <v>5032</v>
      </c>
      <c r="N4898" t="s">
        <v>5031</v>
      </c>
    </row>
    <row r="4899" spans="1:14" x14ac:dyDescent="0.3">
      <c r="A4899" t="s">
        <v>4923</v>
      </c>
      <c r="B4899" t="s">
        <v>19</v>
      </c>
      <c r="C4899" t="s">
        <v>13</v>
      </c>
      <c r="D4899">
        <v>15</v>
      </c>
      <c r="E4899" t="s">
        <v>14</v>
      </c>
      <c r="F4899" t="s">
        <v>15</v>
      </c>
      <c r="G4899">
        <v>30.2</v>
      </c>
      <c r="H4899">
        <v>469.65</v>
      </c>
      <c r="I4899" t="s">
        <v>15</v>
      </c>
      <c r="J4899" t="s">
        <v>16</v>
      </c>
      <c r="K4899" t="s">
        <v>24</v>
      </c>
      <c r="L4899">
        <v>469.65</v>
      </c>
      <c r="M4899" t="s">
        <v>5032</v>
      </c>
      <c r="N4899" t="s">
        <v>5031</v>
      </c>
    </row>
    <row r="4900" spans="1:14" x14ac:dyDescent="0.3">
      <c r="A4900" t="s">
        <v>4924</v>
      </c>
      <c r="B4900" t="s">
        <v>12</v>
      </c>
      <c r="C4900" t="s">
        <v>13</v>
      </c>
      <c r="D4900">
        <v>3</v>
      </c>
      <c r="E4900" t="s">
        <v>14</v>
      </c>
      <c r="F4900" t="s">
        <v>15</v>
      </c>
      <c r="G4900">
        <v>25.25</v>
      </c>
      <c r="H4900">
        <v>58.9</v>
      </c>
      <c r="I4900" t="s">
        <v>16</v>
      </c>
      <c r="J4900" t="s">
        <v>15</v>
      </c>
      <c r="K4900" t="s">
        <v>17</v>
      </c>
      <c r="L4900">
        <v>58.9</v>
      </c>
      <c r="M4900" t="s">
        <v>5030</v>
      </c>
      <c r="N4900" t="s">
        <v>5031</v>
      </c>
    </row>
    <row r="4901" spans="1:14" x14ac:dyDescent="0.3">
      <c r="A4901" t="s">
        <v>4925</v>
      </c>
      <c r="B4901" t="s">
        <v>12</v>
      </c>
      <c r="C4901" t="s">
        <v>13</v>
      </c>
      <c r="D4901">
        <v>4</v>
      </c>
      <c r="E4901" t="s">
        <v>26</v>
      </c>
      <c r="F4901" t="s">
        <v>15</v>
      </c>
      <c r="G4901">
        <v>84.05</v>
      </c>
      <c r="H4901">
        <v>333.55</v>
      </c>
      <c r="I4901" t="s">
        <v>16</v>
      </c>
      <c r="J4901" t="s">
        <v>15</v>
      </c>
      <c r="K4901" t="s">
        <v>24</v>
      </c>
      <c r="L4901">
        <v>333.55</v>
      </c>
      <c r="M4901" t="s">
        <v>5030</v>
      </c>
      <c r="N4901" t="s">
        <v>5031</v>
      </c>
    </row>
    <row r="4902" spans="1:14" x14ac:dyDescent="0.3">
      <c r="A4902" t="s">
        <v>4926</v>
      </c>
      <c r="B4902" t="s">
        <v>19</v>
      </c>
      <c r="C4902" t="s">
        <v>13</v>
      </c>
      <c r="D4902">
        <v>37</v>
      </c>
      <c r="E4902" t="s">
        <v>26</v>
      </c>
      <c r="F4902" t="s">
        <v>15</v>
      </c>
      <c r="G4902">
        <v>85.7</v>
      </c>
      <c r="H4902">
        <v>3171.15</v>
      </c>
      <c r="I4902" t="s">
        <v>16</v>
      </c>
      <c r="J4902" t="s">
        <v>16</v>
      </c>
      <c r="K4902" t="s">
        <v>17</v>
      </c>
      <c r="L4902">
        <v>3171.15</v>
      </c>
      <c r="M4902" t="s">
        <v>5033</v>
      </c>
      <c r="N4902" t="s">
        <v>5034</v>
      </c>
    </row>
    <row r="4903" spans="1:14" x14ac:dyDescent="0.3">
      <c r="A4903" t="s">
        <v>4927</v>
      </c>
      <c r="B4903" t="s">
        <v>12</v>
      </c>
      <c r="C4903" t="s">
        <v>13</v>
      </c>
      <c r="D4903">
        <v>1</v>
      </c>
      <c r="E4903" t="s">
        <v>26</v>
      </c>
      <c r="F4903" t="s">
        <v>15</v>
      </c>
      <c r="G4903">
        <v>74.7</v>
      </c>
      <c r="H4903">
        <v>74.7</v>
      </c>
      <c r="I4903" t="s">
        <v>16</v>
      </c>
      <c r="J4903" t="s">
        <v>16</v>
      </c>
      <c r="K4903" t="s">
        <v>17</v>
      </c>
      <c r="L4903">
        <v>74.7</v>
      </c>
      <c r="M4903" t="s">
        <v>5030</v>
      </c>
      <c r="N4903" t="s">
        <v>5031</v>
      </c>
    </row>
    <row r="4904" spans="1:14" x14ac:dyDescent="0.3">
      <c r="A4904" t="s">
        <v>4928</v>
      </c>
      <c r="B4904" t="s">
        <v>12</v>
      </c>
      <c r="C4904" t="s">
        <v>13</v>
      </c>
      <c r="D4904">
        <v>24</v>
      </c>
      <c r="E4904" t="s">
        <v>14</v>
      </c>
      <c r="F4904" t="s">
        <v>16</v>
      </c>
      <c r="G4904">
        <v>56.35</v>
      </c>
      <c r="H4904">
        <v>1381.2</v>
      </c>
      <c r="I4904" t="s">
        <v>15</v>
      </c>
      <c r="J4904" t="s">
        <v>15</v>
      </c>
      <c r="K4904" t="s">
        <v>29</v>
      </c>
      <c r="L4904">
        <v>1381.2</v>
      </c>
      <c r="M4904" t="s">
        <v>5032</v>
      </c>
      <c r="N4904" t="s">
        <v>5031</v>
      </c>
    </row>
    <row r="4905" spans="1:14" x14ac:dyDescent="0.3">
      <c r="A4905" t="s">
        <v>4929</v>
      </c>
      <c r="B4905" t="s">
        <v>12</v>
      </c>
      <c r="C4905" t="s">
        <v>13</v>
      </c>
      <c r="D4905">
        <v>5</v>
      </c>
      <c r="E4905" t="s">
        <v>26</v>
      </c>
      <c r="F4905" t="s">
        <v>15</v>
      </c>
      <c r="G4905">
        <v>90.8</v>
      </c>
      <c r="H4905">
        <v>455.5</v>
      </c>
      <c r="I4905" t="s">
        <v>16</v>
      </c>
      <c r="J4905" t="s">
        <v>16</v>
      </c>
      <c r="K4905" t="s">
        <v>17</v>
      </c>
      <c r="L4905">
        <v>455.5</v>
      </c>
      <c r="M4905" t="s">
        <v>5030</v>
      </c>
      <c r="N4905" t="s">
        <v>5031</v>
      </c>
    </row>
    <row r="4906" spans="1:14" x14ac:dyDescent="0.3">
      <c r="A4906" t="s">
        <v>4930</v>
      </c>
      <c r="B4906" t="s">
        <v>12</v>
      </c>
      <c r="C4906" t="s">
        <v>13</v>
      </c>
      <c r="D4906">
        <v>33</v>
      </c>
      <c r="E4906" t="s">
        <v>26</v>
      </c>
      <c r="F4906" t="s">
        <v>15</v>
      </c>
      <c r="G4906">
        <v>107.55</v>
      </c>
      <c r="H4906">
        <v>3645.5</v>
      </c>
      <c r="I4906" t="s">
        <v>15</v>
      </c>
      <c r="J4906" t="s">
        <v>15</v>
      </c>
      <c r="K4906" t="s">
        <v>17</v>
      </c>
      <c r="L4906">
        <v>3645.5</v>
      </c>
      <c r="M4906" t="s">
        <v>5032</v>
      </c>
      <c r="N4906" t="s">
        <v>5034</v>
      </c>
    </row>
    <row r="4907" spans="1:14" x14ac:dyDescent="0.3">
      <c r="A4907" t="s">
        <v>4931</v>
      </c>
      <c r="B4907" t="s">
        <v>12</v>
      </c>
      <c r="C4907" t="s">
        <v>35</v>
      </c>
      <c r="D4907">
        <v>58</v>
      </c>
      <c r="E4907" t="s">
        <v>15</v>
      </c>
      <c r="F4907" t="s">
        <v>36</v>
      </c>
      <c r="G4907">
        <v>19.850000000000001</v>
      </c>
      <c r="H4907">
        <v>1158.8499999999999</v>
      </c>
      <c r="I4907" t="s">
        <v>15</v>
      </c>
      <c r="J4907" t="s">
        <v>16</v>
      </c>
      <c r="K4907" t="s">
        <v>21</v>
      </c>
      <c r="L4907">
        <v>1158.8499999999999</v>
      </c>
      <c r="M4907" t="s">
        <v>5033</v>
      </c>
      <c r="N4907" t="s">
        <v>5031</v>
      </c>
    </row>
    <row r="4908" spans="1:14" x14ac:dyDescent="0.3">
      <c r="A4908" t="s">
        <v>4932</v>
      </c>
      <c r="B4908" t="s">
        <v>12</v>
      </c>
      <c r="C4908" t="s">
        <v>35</v>
      </c>
      <c r="D4908">
        <v>72</v>
      </c>
      <c r="E4908" t="s">
        <v>26</v>
      </c>
      <c r="F4908" t="s">
        <v>15</v>
      </c>
      <c r="G4908">
        <v>95.9</v>
      </c>
      <c r="H4908">
        <v>6954.15</v>
      </c>
      <c r="I4908" t="s">
        <v>15</v>
      </c>
      <c r="J4908" t="s">
        <v>16</v>
      </c>
      <c r="K4908" t="s">
        <v>24</v>
      </c>
      <c r="L4908">
        <v>6954.15</v>
      </c>
      <c r="M4908" t="s">
        <v>5033</v>
      </c>
      <c r="N4908" t="s">
        <v>5034</v>
      </c>
    </row>
    <row r="4909" spans="1:14" x14ac:dyDescent="0.3">
      <c r="A4909" t="s">
        <v>4933</v>
      </c>
      <c r="B4909" t="s">
        <v>12</v>
      </c>
      <c r="C4909" t="s">
        <v>35</v>
      </c>
      <c r="D4909">
        <v>71</v>
      </c>
      <c r="E4909" t="s">
        <v>15</v>
      </c>
      <c r="F4909" t="s">
        <v>36</v>
      </c>
      <c r="G4909">
        <v>23.85</v>
      </c>
      <c r="H4909">
        <v>1672.1</v>
      </c>
      <c r="I4909" t="s">
        <v>15</v>
      </c>
      <c r="J4909" t="s">
        <v>15</v>
      </c>
      <c r="K4909" t="s">
        <v>21</v>
      </c>
      <c r="L4909">
        <v>1672.1</v>
      </c>
      <c r="M4909" t="s">
        <v>5033</v>
      </c>
      <c r="N4909" t="s">
        <v>5031</v>
      </c>
    </row>
    <row r="4910" spans="1:14" x14ac:dyDescent="0.3">
      <c r="A4910" t="s">
        <v>4934</v>
      </c>
      <c r="B4910" t="s">
        <v>12</v>
      </c>
      <c r="C4910" t="s">
        <v>13</v>
      </c>
      <c r="D4910">
        <v>28</v>
      </c>
      <c r="E4910" t="s">
        <v>26</v>
      </c>
      <c r="F4910" t="s">
        <v>15</v>
      </c>
      <c r="G4910">
        <v>106.15</v>
      </c>
      <c r="H4910">
        <v>3152.5</v>
      </c>
      <c r="I4910" t="s">
        <v>16</v>
      </c>
      <c r="J4910" t="s">
        <v>16</v>
      </c>
      <c r="K4910" t="s">
        <v>17</v>
      </c>
      <c r="L4910">
        <v>3152.5</v>
      </c>
      <c r="M4910" t="s">
        <v>5032</v>
      </c>
      <c r="N4910" t="s">
        <v>5034</v>
      </c>
    </row>
    <row r="4911" spans="1:14" x14ac:dyDescent="0.3">
      <c r="A4911" t="s">
        <v>4935</v>
      </c>
      <c r="B4911" t="s">
        <v>19</v>
      </c>
      <c r="C4911" t="s">
        <v>35</v>
      </c>
      <c r="D4911">
        <v>51</v>
      </c>
      <c r="E4911" t="s">
        <v>14</v>
      </c>
      <c r="F4911" t="s">
        <v>16</v>
      </c>
      <c r="G4911">
        <v>83.85</v>
      </c>
      <c r="H4911">
        <v>4307.1000000000004</v>
      </c>
      <c r="I4911" t="s">
        <v>15</v>
      </c>
      <c r="J4911" t="s">
        <v>16</v>
      </c>
      <c r="K4911" t="s">
        <v>29</v>
      </c>
      <c r="L4911">
        <v>4307.1000000000004</v>
      </c>
      <c r="M4911" t="s">
        <v>5033</v>
      </c>
      <c r="N4911" t="s">
        <v>5034</v>
      </c>
    </row>
    <row r="4912" spans="1:14" x14ac:dyDescent="0.3">
      <c r="A4912" t="s">
        <v>4936</v>
      </c>
      <c r="B4912" t="s">
        <v>12</v>
      </c>
      <c r="C4912" t="s">
        <v>20</v>
      </c>
      <c r="D4912">
        <v>30</v>
      </c>
      <c r="E4912" t="s">
        <v>14</v>
      </c>
      <c r="F4912" t="s">
        <v>16</v>
      </c>
      <c r="G4912">
        <v>85.35</v>
      </c>
      <c r="H4912">
        <v>2530.4</v>
      </c>
      <c r="I4912" t="s">
        <v>16</v>
      </c>
      <c r="J4912" t="s">
        <v>15</v>
      </c>
      <c r="K4912" t="s">
        <v>24</v>
      </c>
      <c r="L4912">
        <v>2530.4</v>
      </c>
      <c r="M4912" t="s">
        <v>5032</v>
      </c>
      <c r="N4912" t="s">
        <v>5034</v>
      </c>
    </row>
    <row r="4913" spans="1:14" x14ac:dyDescent="0.3">
      <c r="A4913" t="s">
        <v>4937</v>
      </c>
      <c r="B4913" t="s">
        <v>19</v>
      </c>
      <c r="C4913" t="s">
        <v>35</v>
      </c>
      <c r="D4913">
        <v>72</v>
      </c>
      <c r="E4913" t="s">
        <v>26</v>
      </c>
      <c r="F4913" t="s">
        <v>16</v>
      </c>
      <c r="G4913">
        <v>84.8</v>
      </c>
      <c r="H4913">
        <v>6141.65</v>
      </c>
      <c r="I4913" t="s">
        <v>15</v>
      </c>
      <c r="J4913" t="s">
        <v>16</v>
      </c>
      <c r="K4913" t="s">
        <v>29</v>
      </c>
      <c r="L4913">
        <v>6141.65</v>
      </c>
      <c r="M4913" t="s">
        <v>5033</v>
      </c>
      <c r="N4913" t="s">
        <v>5034</v>
      </c>
    </row>
    <row r="4914" spans="1:14" x14ac:dyDescent="0.3">
      <c r="A4914" t="s">
        <v>4938</v>
      </c>
      <c r="B4914" t="s">
        <v>19</v>
      </c>
      <c r="C4914" t="s">
        <v>13</v>
      </c>
      <c r="D4914">
        <v>36</v>
      </c>
      <c r="E4914" t="s">
        <v>26</v>
      </c>
      <c r="F4914" t="s">
        <v>15</v>
      </c>
      <c r="G4914">
        <v>90.85</v>
      </c>
      <c r="H4914">
        <v>3186.7</v>
      </c>
      <c r="I4914" t="s">
        <v>16</v>
      </c>
      <c r="J4914" t="s">
        <v>16</v>
      </c>
      <c r="K4914" t="s">
        <v>17</v>
      </c>
      <c r="L4914">
        <v>3186.7</v>
      </c>
      <c r="M4914" t="s">
        <v>5032</v>
      </c>
      <c r="N4914" t="s">
        <v>5034</v>
      </c>
    </row>
    <row r="4915" spans="1:14" x14ac:dyDescent="0.3">
      <c r="A4915" t="s">
        <v>4939</v>
      </c>
      <c r="B4915" t="s">
        <v>19</v>
      </c>
      <c r="C4915" t="s">
        <v>35</v>
      </c>
      <c r="D4915">
        <v>14</v>
      </c>
      <c r="E4915" t="s">
        <v>14</v>
      </c>
      <c r="F4915" t="s">
        <v>16</v>
      </c>
      <c r="G4915">
        <v>76.099999999999994</v>
      </c>
      <c r="H4915">
        <v>1054.8</v>
      </c>
      <c r="I4915" t="s">
        <v>15</v>
      </c>
      <c r="J4915" t="s">
        <v>15</v>
      </c>
      <c r="K4915" t="s">
        <v>24</v>
      </c>
      <c r="L4915">
        <v>1054.8</v>
      </c>
      <c r="M4915" t="s">
        <v>5032</v>
      </c>
      <c r="N4915" t="s">
        <v>5031</v>
      </c>
    </row>
    <row r="4916" spans="1:14" x14ac:dyDescent="0.3">
      <c r="A4916" t="s">
        <v>4940</v>
      </c>
      <c r="B4916" t="s">
        <v>12</v>
      </c>
      <c r="C4916" t="s">
        <v>35</v>
      </c>
      <c r="D4916">
        <v>72</v>
      </c>
      <c r="E4916" t="s">
        <v>14</v>
      </c>
      <c r="F4916" t="s">
        <v>16</v>
      </c>
      <c r="G4916">
        <v>74.55</v>
      </c>
      <c r="H4916">
        <v>5430.65</v>
      </c>
      <c r="I4916" t="s">
        <v>15</v>
      </c>
      <c r="J4916" t="s">
        <v>15</v>
      </c>
      <c r="K4916" t="s">
        <v>21</v>
      </c>
      <c r="L4916">
        <v>5430.65</v>
      </c>
      <c r="M4916" t="s">
        <v>5033</v>
      </c>
      <c r="N4916" t="s">
        <v>5034</v>
      </c>
    </row>
    <row r="4917" spans="1:14" x14ac:dyDescent="0.3">
      <c r="A4917" t="s">
        <v>4941</v>
      </c>
      <c r="B4917" t="s">
        <v>12</v>
      </c>
      <c r="C4917" t="s">
        <v>13</v>
      </c>
      <c r="D4917">
        <v>22</v>
      </c>
      <c r="E4917" t="s">
        <v>14</v>
      </c>
      <c r="F4917" t="s">
        <v>15</v>
      </c>
      <c r="G4917">
        <v>39.200000000000003</v>
      </c>
      <c r="H4917">
        <v>849.9</v>
      </c>
      <c r="I4917" t="s">
        <v>15</v>
      </c>
      <c r="J4917" t="s">
        <v>15</v>
      </c>
      <c r="K4917" t="s">
        <v>17</v>
      </c>
      <c r="L4917">
        <v>849.9</v>
      </c>
      <c r="M4917" t="s">
        <v>5032</v>
      </c>
      <c r="N4917" t="s">
        <v>5031</v>
      </c>
    </row>
    <row r="4918" spans="1:14" x14ac:dyDescent="0.3">
      <c r="A4918" t="s">
        <v>4942</v>
      </c>
      <c r="B4918" t="s">
        <v>12</v>
      </c>
      <c r="C4918" t="s">
        <v>13</v>
      </c>
      <c r="D4918">
        <v>2</v>
      </c>
      <c r="E4918" t="s">
        <v>26</v>
      </c>
      <c r="F4918" t="s">
        <v>15</v>
      </c>
      <c r="G4918">
        <v>79.55</v>
      </c>
      <c r="H4918">
        <v>151.75</v>
      </c>
      <c r="I4918" t="s">
        <v>15</v>
      </c>
      <c r="J4918" t="s">
        <v>15</v>
      </c>
      <c r="K4918" t="s">
        <v>17</v>
      </c>
      <c r="L4918">
        <v>151.75</v>
      </c>
      <c r="M4918" t="s">
        <v>5030</v>
      </c>
      <c r="N4918" t="s">
        <v>5031</v>
      </c>
    </row>
    <row r="4919" spans="1:14" x14ac:dyDescent="0.3">
      <c r="A4919" t="s">
        <v>4943</v>
      </c>
      <c r="B4919" t="s">
        <v>12</v>
      </c>
      <c r="C4919" t="s">
        <v>13</v>
      </c>
      <c r="D4919">
        <v>15</v>
      </c>
      <c r="E4919" t="s">
        <v>15</v>
      </c>
      <c r="F4919" t="s">
        <v>36</v>
      </c>
      <c r="G4919">
        <v>19.600000000000001</v>
      </c>
      <c r="H4919">
        <v>299.39999999999998</v>
      </c>
      <c r="I4919" t="s">
        <v>15</v>
      </c>
      <c r="J4919" t="s">
        <v>15</v>
      </c>
      <c r="K4919" t="s">
        <v>21</v>
      </c>
      <c r="L4919">
        <v>299.39999999999998</v>
      </c>
      <c r="M4919" t="s">
        <v>5032</v>
      </c>
      <c r="N4919" t="s">
        <v>5031</v>
      </c>
    </row>
    <row r="4920" spans="1:14" x14ac:dyDescent="0.3">
      <c r="A4920" t="s">
        <v>4944</v>
      </c>
      <c r="B4920" t="s">
        <v>19</v>
      </c>
      <c r="C4920" t="s">
        <v>35</v>
      </c>
      <c r="D4920">
        <v>51</v>
      </c>
      <c r="E4920" t="s">
        <v>15</v>
      </c>
      <c r="F4920" t="s">
        <v>36</v>
      </c>
      <c r="G4920">
        <v>19.55</v>
      </c>
      <c r="H4920">
        <v>1086.75</v>
      </c>
      <c r="I4920" t="s">
        <v>15</v>
      </c>
      <c r="J4920" t="s">
        <v>15</v>
      </c>
      <c r="K4920" t="s">
        <v>29</v>
      </c>
      <c r="L4920">
        <v>1086.75</v>
      </c>
      <c r="M4920" t="s">
        <v>5033</v>
      </c>
      <c r="N4920" t="s">
        <v>5031</v>
      </c>
    </row>
    <row r="4921" spans="1:14" x14ac:dyDescent="0.3">
      <c r="A4921" t="s">
        <v>4945</v>
      </c>
      <c r="B4921" t="s">
        <v>19</v>
      </c>
      <c r="C4921" t="s">
        <v>35</v>
      </c>
      <c r="D4921">
        <v>70</v>
      </c>
      <c r="E4921" t="s">
        <v>14</v>
      </c>
      <c r="F4921" t="s">
        <v>16</v>
      </c>
      <c r="G4921">
        <v>39.15</v>
      </c>
      <c r="H4921">
        <v>2692.75</v>
      </c>
      <c r="I4921" t="s">
        <v>15</v>
      </c>
      <c r="J4921" t="s">
        <v>16</v>
      </c>
      <c r="K4921" t="s">
        <v>29</v>
      </c>
      <c r="L4921">
        <v>2692.75</v>
      </c>
      <c r="M4921" t="s">
        <v>5033</v>
      </c>
      <c r="N4921" t="s">
        <v>5034</v>
      </c>
    </row>
    <row r="4922" spans="1:14" x14ac:dyDescent="0.3">
      <c r="A4922" t="s">
        <v>4946</v>
      </c>
      <c r="B4922" t="s">
        <v>12</v>
      </c>
      <c r="C4922" t="s">
        <v>35</v>
      </c>
      <c r="D4922">
        <v>71</v>
      </c>
      <c r="E4922" t="s">
        <v>15</v>
      </c>
      <c r="F4922" t="s">
        <v>36</v>
      </c>
      <c r="G4922">
        <v>20.100000000000001</v>
      </c>
      <c r="H4922">
        <v>1389.6</v>
      </c>
      <c r="I4922" t="s">
        <v>15</v>
      </c>
      <c r="J4922" t="s">
        <v>15</v>
      </c>
      <c r="K4922" t="s">
        <v>24</v>
      </c>
      <c r="L4922">
        <v>1389.6</v>
      </c>
      <c r="M4922" t="s">
        <v>5033</v>
      </c>
      <c r="N4922" t="s">
        <v>5031</v>
      </c>
    </row>
    <row r="4923" spans="1:14" x14ac:dyDescent="0.3">
      <c r="A4923" t="s">
        <v>4947</v>
      </c>
      <c r="B4923" t="s">
        <v>12</v>
      </c>
      <c r="C4923" t="s">
        <v>13</v>
      </c>
      <c r="D4923">
        <v>39</v>
      </c>
      <c r="E4923" t="s">
        <v>26</v>
      </c>
      <c r="F4923" t="s">
        <v>16</v>
      </c>
      <c r="G4923">
        <v>99.95</v>
      </c>
      <c r="H4923">
        <v>3767.4</v>
      </c>
      <c r="I4923" t="s">
        <v>15</v>
      </c>
      <c r="J4923" t="s">
        <v>16</v>
      </c>
      <c r="K4923" t="s">
        <v>29</v>
      </c>
      <c r="L4923">
        <v>3767.4</v>
      </c>
      <c r="M4923" t="s">
        <v>5033</v>
      </c>
      <c r="N4923" t="s">
        <v>5034</v>
      </c>
    </row>
    <row r="4924" spans="1:14" x14ac:dyDescent="0.3">
      <c r="A4924" t="s">
        <v>4948</v>
      </c>
      <c r="B4924" t="s">
        <v>12</v>
      </c>
      <c r="C4924" t="s">
        <v>13</v>
      </c>
      <c r="D4924">
        <v>61</v>
      </c>
      <c r="E4924" t="s">
        <v>14</v>
      </c>
      <c r="F4924" t="s">
        <v>15</v>
      </c>
      <c r="G4924">
        <v>59.8</v>
      </c>
      <c r="H4924">
        <v>3641.5</v>
      </c>
      <c r="I4924" t="s">
        <v>15</v>
      </c>
      <c r="J4924" t="s">
        <v>15</v>
      </c>
      <c r="K4924" t="s">
        <v>17</v>
      </c>
      <c r="L4924">
        <v>3641.5</v>
      </c>
      <c r="M4924" t="s">
        <v>5033</v>
      </c>
      <c r="N4924" t="s">
        <v>5034</v>
      </c>
    </row>
    <row r="4925" spans="1:14" x14ac:dyDescent="0.3">
      <c r="A4925" t="s">
        <v>4949</v>
      </c>
      <c r="B4925" t="s">
        <v>12</v>
      </c>
      <c r="C4925" t="s">
        <v>13</v>
      </c>
      <c r="D4925">
        <v>52</v>
      </c>
      <c r="E4925" t="s">
        <v>14</v>
      </c>
      <c r="F4925" t="s">
        <v>15</v>
      </c>
      <c r="G4925">
        <v>49.75</v>
      </c>
      <c r="H4925">
        <v>2535.5500000000002</v>
      </c>
      <c r="I4925" t="s">
        <v>15</v>
      </c>
      <c r="J4925" t="s">
        <v>16</v>
      </c>
      <c r="K4925" t="s">
        <v>24</v>
      </c>
      <c r="L4925">
        <v>2535.5500000000002</v>
      </c>
      <c r="M4925" t="s">
        <v>5033</v>
      </c>
      <c r="N4925" t="s">
        <v>5034</v>
      </c>
    </row>
    <row r="4926" spans="1:14" x14ac:dyDescent="0.3">
      <c r="A4926" t="s">
        <v>4950</v>
      </c>
      <c r="B4926" t="s">
        <v>12</v>
      </c>
      <c r="C4926" t="s">
        <v>13</v>
      </c>
      <c r="D4926">
        <v>1</v>
      </c>
      <c r="E4926" t="s">
        <v>14</v>
      </c>
      <c r="F4926" t="s">
        <v>15</v>
      </c>
      <c r="G4926">
        <v>35.75</v>
      </c>
      <c r="H4926">
        <v>35.75</v>
      </c>
      <c r="I4926" t="s">
        <v>16</v>
      </c>
      <c r="J4926" t="s">
        <v>16</v>
      </c>
      <c r="K4926" t="s">
        <v>17</v>
      </c>
      <c r="L4926">
        <v>35.75</v>
      </c>
      <c r="M4926" t="s">
        <v>5030</v>
      </c>
      <c r="N4926" t="s">
        <v>5031</v>
      </c>
    </row>
    <row r="4927" spans="1:14" x14ac:dyDescent="0.3">
      <c r="A4927" t="s">
        <v>4951</v>
      </c>
      <c r="B4927" t="s">
        <v>19</v>
      </c>
      <c r="C4927" t="s">
        <v>20</v>
      </c>
      <c r="D4927">
        <v>64</v>
      </c>
      <c r="E4927" t="s">
        <v>26</v>
      </c>
      <c r="F4927" t="s">
        <v>16</v>
      </c>
      <c r="G4927">
        <v>108.5</v>
      </c>
      <c r="H4927">
        <v>6880.85</v>
      </c>
      <c r="I4927" t="s">
        <v>15</v>
      </c>
      <c r="J4927" t="s">
        <v>16</v>
      </c>
      <c r="K4927" t="s">
        <v>21</v>
      </c>
      <c r="L4927">
        <v>6880.85</v>
      </c>
      <c r="M4927" t="s">
        <v>5033</v>
      </c>
      <c r="N4927" t="s">
        <v>5034</v>
      </c>
    </row>
    <row r="4928" spans="1:14" x14ac:dyDescent="0.3">
      <c r="A4928" t="s">
        <v>4952</v>
      </c>
      <c r="B4928" t="s">
        <v>19</v>
      </c>
      <c r="C4928" t="s">
        <v>35</v>
      </c>
      <c r="D4928">
        <v>62</v>
      </c>
      <c r="E4928" t="s">
        <v>14</v>
      </c>
      <c r="F4928" t="s">
        <v>16</v>
      </c>
      <c r="G4928">
        <v>60.15</v>
      </c>
      <c r="H4928">
        <v>3753.2</v>
      </c>
      <c r="I4928" t="s">
        <v>15</v>
      </c>
      <c r="J4928" t="s">
        <v>16</v>
      </c>
      <c r="K4928" t="s">
        <v>29</v>
      </c>
      <c r="L4928">
        <v>3753.2</v>
      </c>
      <c r="M4928" t="s">
        <v>5033</v>
      </c>
      <c r="N4928" t="s">
        <v>5034</v>
      </c>
    </row>
    <row r="4929" spans="1:14" x14ac:dyDescent="0.3">
      <c r="A4929" t="s">
        <v>4953</v>
      </c>
      <c r="B4929" t="s">
        <v>19</v>
      </c>
      <c r="C4929" t="s">
        <v>35</v>
      </c>
      <c r="D4929">
        <v>30</v>
      </c>
      <c r="E4929" t="s">
        <v>15</v>
      </c>
      <c r="F4929" t="s">
        <v>36</v>
      </c>
      <c r="G4929">
        <v>19.05</v>
      </c>
      <c r="H4929">
        <v>637.54999999999995</v>
      </c>
      <c r="I4929" t="s">
        <v>15</v>
      </c>
      <c r="J4929" t="s">
        <v>15</v>
      </c>
      <c r="K4929" t="s">
        <v>21</v>
      </c>
      <c r="L4929">
        <v>637.54999999999995</v>
      </c>
      <c r="M4929" t="s">
        <v>5032</v>
      </c>
      <c r="N4929" t="s">
        <v>5031</v>
      </c>
    </row>
    <row r="4930" spans="1:14" x14ac:dyDescent="0.3">
      <c r="A4930" t="s">
        <v>4954</v>
      </c>
      <c r="B4930" t="s">
        <v>12</v>
      </c>
      <c r="C4930" t="s">
        <v>13</v>
      </c>
      <c r="D4930">
        <v>4</v>
      </c>
      <c r="E4930" t="s">
        <v>14</v>
      </c>
      <c r="F4930" t="s">
        <v>15</v>
      </c>
      <c r="G4930">
        <v>46</v>
      </c>
      <c r="H4930">
        <v>181.6</v>
      </c>
      <c r="I4930" t="s">
        <v>16</v>
      </c>
      <c r="J4930" t="s">
        <v>15</v>
      </c>
      <c r="K4930" t="s">
        <v>17</v>
      </c>
      <c r="L4930">
        <v>181.6</v>
      </c>
      <c r="M4930" t="s">
        <v>5030</v>
      </c>
      <c r="N4930" t="s">
        <v>5031</v>
      </c>
    </row>
    <row r="4931" spans="1:14" x14ac:dyDescent="0.3">
      <c r="A4931" t="s">
        <v>4955</v>
      </c>
      <c r="B4931" t="s">
        <v>19</v>
      </c>
      <c r="C4931" t="s">
        <v>20</v>
      </c>
      <c r="D4931">
        <v>63</v>
      </c>
      <c r="E4931" t="s">
        <v>14</v>
      </c>
      <c r="F4931" t="s">
        <v>16</v>
      </c>
      <c r="G4931">
        <v>84</v>
      </c>
      <c r="H4931">
        <v>5329.55</v>
      </c>
      <c r="I4931" t="s">
        <v>15</v>
      </c>
      <c r="J4931" t="s">
        <v>16</v>
      </c>
      <c r="K4931" t="s">
        <v>24</v>
      </c>
      <c r="L4931">
        <v>5329.55</v>
      </c>
      <c r="M4931" t="s">
        <v>5033</v>
      </c>
      <c r="N4931" t="s">
        <v>5034</v>
      </c>
    </row>
    <row r="4932" spans="1:14" x14ac:dyDescent="0.3">
      <c r="A4932" t="s">
        <v>4956</v>
      </c>
      <c r="B4932" t="s">
        <v>12</v>
      </c>
      <c r="C4932" t="s">
        <v>13</v>
      </c>
      <c r="D4932">
        <v>1</v>
      </c>
      <c r="E4932" t="s">
        <v>14</v>
      </c>
      <c r="F4932" t="s">
        <v>15</v>
      </c>
      <c r="G4932">
        <v>44.55</v>
      </c>
      <c r="H4932">
        <v>44.55</v>
      </c>
      <c r="I4932" t="s">
        <v>15</v>
      </c>
      <c r="J4932" t="s">
        <v>16</v>
      </c>
      <c r="K4932" t="s">
        <v>29</v>
      </c>
      <c r="L4932">
        <v>44.55</v>
      </c>
      <c r="M4932" t="s">
        <v>5030</v>
      </c>
      <c r="N4932" t="s">
        <v>5031</v>
      </c>
    </row>
    <row r="4933" spans="1:14" x14ac:dyDescent="0.3">
      <c r="A4933" t="s">
        <v>4957</v>
      </c>
      <c r="B4933" t="s">
        <v>19</v>
      </c>
      <c r="C4933" t="s">
        <v>13</v>
      </c>
      <c r="D4933">
        <v>15</v>
      </c>
      <c r="E4933" t="s">
        <v>26</v>
      </c>
      <c r="F4933" t="s">
        <v>16</v>
      </c>
      <c r="G4933">
        <v>103.45</v>
      </c>
      <c r="H4933">
        <v>1539.8</v>
      </c>
      <c r="I4933" t="s">
        <v>15</v>
      </c>
      <c r="J4933" t="s">
        <v>16</v>
      </c>
      <c r="K4933" t="s">
        <v>17</v>
      </c>
      <c r="L4933">
        <v>1539.8</v>
      </c>
      <c r="M4933" t="s">
        <v>5032</v>
      </c>
      <c r="N4933" t="s">
        <v>5031</v>
      </c>
    </row>
    <row r="4934" spans="1:14" x14ac:dyDescent="0.3">
      <c r="A4934" t="s">
        <v>4958</v>
      </c>
      <c r="B4934" t="s">
        <v>19</v>
      </c>
      <c r="C4934" t="s">
        <v>20</v>
      </c>
      <c r="D4934">
        <v>27</v>
      </c>
      <c r="E4934" t="s">
        <v>26</v>
      </c>
      <c r="F4934" t="s">
        <v>15</v>
      </c>
      <c r="G4934">
        <v>80.650000000000006</v>
      </c>
      <c r="H4934">
        <v>2209.75</v>
      </c>
      <c r="I4934" t="s">
        <v>15</v>
      </c>
      <c r="J4934" t="s">
        <v>16</v>
      </c>
      <c r="K4934" t="s">
        <v>29</v>
      </c>
      <c r="L4934">
        <v>2209.75</v>
      </c>
      <c r="M4934" t="s">
        <v>5032</v>
      </c>
      <c r="N4934" t="s">
        <v>5031</v>
      </c>
    </row>
    <row r="4935" spans="1:14" x14ac:dyDescent="0.3">
      <c r="A4935" t="s">
        <v>4959</v>
      </c>
      <c r="B4935" t="s">
        <v>12</v>
      </c>
      <c r="C4935" t="s">
        <v>13</v>
      </c>
      <c r="D4935">
        <v>4</v>
      </c>
      <c r="E4935" t="s">
        <v>14</v>
      </c>
      <c r="F4935" t="s">
        <v>15</v>
      </c>
      <c r="G4935">
        <v>57.2</v>
      </c>
      <c r="H4935">
        <v>223.75</v>
      </c>
      <c r="I4935" t="s">
        <v>15</v>
      </c>
      <c r="J4935" t="s">
        <v>16</v>
      </c>
      <c r="K4935" t="s">
        <v>21</v>
      </c>
      <c r="L4935">
        <v>223.75</v>
      </c>
      <c r="M4935" t="s">
        <v>5030</v>
      </c>
      <c r="N4935" t="s">
        <v>5031</v>
      </c>
    </row>
    <row r="4936" spans="1:14" x14ac:dyDescent="0.3">
      <c r="A4936" t="s">
        <v>4960</v>
      </c>
      <c r="B4936" t="s">
        <v>12</v>
      </c>
      <c r="C4936" t="s">
        <v>35</v>
      </c>
      <c r="D4936">
        <v>72</v>
      </c>
      <c r="E4936" t="s">
        <v>26</v>
      </c>
      <c r="F4936" t="s">
        <v>15</v>
      </c>
      <c r="G4936">
        <v>110.75</v>
      </c>
      <c r="H4936">
        <v>7751.7</v>
      </c>
      <c r="I4936" t="s">
        <v>15</v>
      </c>
      <c r="J4936" t="s">
        <v>16</v>
      </c>
      <c r="K4936" t="s">
        <v>17</v>
      </c>
      <c r="L4936">
        <v>7751.7</v>
      </c>
      <c r="M4936" t="s">
        <v>5033</v>
      </c>
      <c r="N4936" t="s">
        <v>5034</v>
      </c>
    </row>
    <row r="4937" spans="1:14" x14ac:dyDescent="0.3">
      <c r="A4937" t="s">
        <v>4961</v>
      </c>
      <c r="B4937" t="s">
        <v>19</v>
      </c>
      <c r="C4937" t="s">
        <v>20</v>
      </c>
      <c r="D4937">
        <v>45</v>
      </c>
      <c r="E4937" t="s">
        <v>15</v>
      </c>
      <c r="F4937" t="s">
        <v>36</v>
      </c>
      <c r="G4937">
        <v>24.7</v>
      </c>
      <c r="H4937">
        <v>1174.3499999999999</v>
      </c>
      <c r="I4937" t="s">
        <v>15</v>
      </c>
      <c r="J4937" t="s">
        <v>15</v>
      </c>
      <c r="K4937" t="s">
        <v>29</v>
      </c>
      <c r="L4937">
        <v>1174.3499999999999</v>
      </c>
      <c r="M4937" t="s">
        <v>5033</v>
      </c>
      <c r="N4937" t="s">
        <v>5031</v>
      </c>
    </row>
    <row r="4938" spans="1:14" x14ac:dyDescent="0.3">
      <c r="A4938" t="s">
        <v>4962</v>
      </c>
      <c r="B4938" t="s">
        <v>12</v>
      </c>
      <c r="C4938" t="s">
        <v>13</v>
      </c>
      <c r="D4938">
        <v>45</v>
      </c>
      <c r="E4938" t="s">
        <v>26</v>
      </c>
      <c r="F4938" t="s">
        <v>16</v>
      </c>
      <c r="G4938">
        <v>97.05</v>
      </c>
      <c r="H4938">
        <v>4385.05</v>
      </c>
      <c r="I4938" t="s">
        <v>15</v>
      </c>
      <c r="J4938" t="s">
        <v>16</v>
      </c>
      <c r="K4938" t="s">
        <v>17</v>
      </c>
      <c r="L4938">
        <v>4385.05</v>
      </c>
      <c r="M4938" t="s">
        <v>5033</v>
      </c>
      <c r="N4938" t="s">
        <v>5034</v>
      </c>
    </row>
    <row r="4939" spans="1:14" x14ac:dyDescent="0.3">
      <c r="A4939" t="s">
        <v>4963</v>
      </c>
      <c r="B4939" t="s">
        <v>12</v>
      </c>
      <c r="C4939" t="s">
        <v>20</v>
      </c>
      <c r="D4939">
        <v>36</v>
      </c>
      <c r="E4939" t="s">
        <v>14</v>
      </c>
      <c r="F4939" t="s">
        <v>16</v>
      </c>
      <c r="G4939">
        <v>76.349999999999994</v>
      </c>
      <c r="H4939">
        <v>2606.35</v>
      </c>
      <c r="I4939" t="s">
        <v>15</v>
      </c>
      <c r="J4939" t="s">
        <v>16</v>
      </c>
      <c r="K4939" t="s">
        <v>21</v>
      </c>
      <c r="L4939">
        <v>2606.35</v>
      </c>
      <c r="M4939" t="s">
        <v>5032</v>
      </c>
      <c r="N4939" t="s">
        <v>5034</v>
      </c>
    </row>
    <row r="4940" spans="1:14" x14ac:dyDescent="0.3">
      <c r="A4940" t="s">
        <v>4964</v>
      </c>
      <c r="B4940" t="s">
        <v>19</v>
      </c>
      <c r="C4940" t="s">
        <v>13</v>
      </c>
      <c r="D4940">
        <v>17</v>
      </c>
      <c r="E4940" t="s">
        <v>26</v>
      </c>
      <c r="F4940" t="s">
        <v>15</v>
      </c>
      <c r="G4940">
        <v>89.4</v>
      </c>
      <c r="H4940">
        <v>1539.45</v>
      </c>
      <c r="I4940" t="s">
        <v>16</v>
      </c>
      <c r="J4940" t="s">
        <v>16</v>
      </c>
      <c r="K4940" t="s">
        <v>17</v>
      </c>
      <c r="L4940">
        <v>1539.45</v>
      </c>
      <c r="M4940" t="s">
        <v>5032</v>
      </c>
      <c r="N4940" t="s">
        <v>5031</v>
      </c>
    </row>
    <row r="4941" spans="1:14" x14ac:dyDescent="0.3">
      <c r="A4941" t="s">
        <v>4965</v>
      </c>
      <c r="B4941" t="s">
        <v>19</v>
      </c>
      <c r="C4941" t="s">
        <v>13</v>
      </c>
      <c r="D4941">
        <v>1</v>
      </c>
      <c r="E4941" t="s">
        <v>15</v>
      </c>
      <c r="F4941" t="s">
        <v>36</v>
      </c>
      <c r="G4941">
        <v>18.899999999999999</v>
      </c>
      <c r="H4941">
        <v>18.899999999999999</v>
      </c>
      <c r="I4941" t="s">
        <v>15</v>
      </c>
      <c r="J4941" t="s">
        <v>15</v>
      </c>
      <c r="K4941" t="s">
        <v>21</v>
      </c>
      <c r="L4941">
        <v>18.899999999999999</v>
      </c>
      <c r="M4941" t="s">
        <v>5030</v>
      </c>
      <c r="N4941" t="s">
        <v>5031</v>
      </c>
    </row>
    <row r="4942" spans="1:14" x14ac:dyDescent="0.3">
      <c r="A4942" t="s">
        <v>4966</v>
      </c>
      <c r="B4942" t="s">
        <v>19</v>
      </c>
      <c r="C4942" t="s">
        <v>13</v>
      </c>
      <c r="D4942">
        <v>16</v>
      </c>
      <c r="E4942" t="s">
        <v>26</v>
      </c>
      <c r="F4942" t="s">
        <v>15</v>
      </c>
      <c r="G4942">
        <v>74.45</v>
      </c>
      <c r="H4942">
        <v>1261.3499999999999</v>
      </c>
      <c r="I4942" t="s">
        <v>15</v>
      </c>
      <c r="J4942" t="s">
        <v>16</v>
      </c>
      <c r="K4942" t="s">
        <v>24</v>
      </c>
      <c r="L4942">
        <v>1261.3499999999999</v>
      </c>
      <c r="M4942" t="s">
        <v>5032</v>
      </c>
      <c r="N4942" t="s">
        <v>5031</v>
      </c>
    </row>
    <row r="4943" spans="1:14" x14ac:dyDescent="0.3">
      <c r="A4943" t="s">
        <v>4967</v>
      </c>
      <c r="B4943" t="s">
        <v>19</v>
      </c>
      <c r="C4943" t="s">
        <v>13</v>
      </c>
      <c r="D4943">
        <v>3</v>
      </c>
      <c r="E4943" t="s">
        <v>15</v>
      </c>
      <c r="F4943" t="s">
        <v>36</v>
      </c>
      <c r="G4943">
        <v>19.8</v>
      </c>
      <c r="H4943">
        <v>58.15</v>
      </c>
      <c r="I4943" t="s">
        <v>16</v>
      </c>
      <c r="J4943" t="s">
        <v>16</v>
      </c>
      <c r="K4943" t="s">
        <v>21</v>
      </c>
      <c r="L4943">
        <v>58.15</v>
      </c>
      <c r="M4943" t="s">
        <v>5030</v>
      </c>
      <c r="N4943" t="s">
        <v>5031</v>
      </c>
    </row>
    <row r="4944" spans="1:14" x14ac:dyDescent="0.3">
      <c r="A4944" t="s">
        <v>4968</v>
      </c>
      <c r="B4944" t="s">
        <v>19</v>
      </c>
      <c r="C4944" t="s">
        <v>13</v>
      </c>
      <c r="D4944">
        <v>4</v>
      </c>
      <c r="E4944" t="s">
        <v>14</v>
      </c>
      <c r="F4944" t="s">
        <v>15</v>
      </c>
      <c r="G4944">
        <v>50.9</v>
      </c>
      <c r="H4944">
        <v>225.6</v>
      </c>
      <c r="I4944" t="s">
        <v>16</v>
      </c>
      <c r="J4944" t="s">
        <v>16</v>
      </c>
      <c r="K4944" t="s">
        <v>17</v>
      </c>
      <c r="L4944">
        <v>225.6</v>
      </c>
      <c r="M4944" t="s">
        <v>5030</v>
      </c>
      <c r="N4944" t="s">
        <v>5031</v>
      </c>
    </row>
    <row r="4945" spans="1:14" x14ac:dyDescent="0.3">
      <c r="A4945" t="s">
        <v>4969</v>
      </c>
      <c r="B4945" t="s">
        <v>12</v>
      </c>
      <c r="C4945" t="s">
        <v>35</v>
      </c>
      <c r="D4945">
        <v>71</v>
      </c>
      <c r="E4945" t="s">
        <v>14</v>
      </c>
      <c r="F4945" t="s">
        <v>16</v>
      </c>
      <c r="G4945">
        <v>84.4</v>
      </c>
      <c r="H4945">
        <v>5969.3</v>
      </c>
      <c r="I4945" t="s">
        <v>15</v>
      </c>
      <c r="J4945" t="s">
        <v>16</v>
      </c>
      <c r="K4945" t="s">
        <v>29</v>
      </c>
      <c r="L4945">
        <v>5969.3</v>
      </c>
      <c r="M4945" t="s">
        <v>5033</v>
      </c>
      <c r="N4945" t="s">
        <v>5034</v>
      </c>
    </row>
    <row r="4946" spans="1:14" x14ac:dyDescent="0.3">
      <c r="A4946" t="s">
        <v>4970</v>
      </c>
      <c r="B4946" t="s">
        <v>19</v>
      </c>
      <c r="C4946" t="s">
        <v>13</v>
      </c>
      <c r="D4946">
        <v>10</v>
      </c>
      <c r="E4946" t="s">
        <v>15</v>
      </c>
      <c r="F4946" t="s">
        <v>36</v>
      </c>
      <c r="G4946">
        <v>24.4</v>
      </c>
      <c r="H4946">
        <v>253.9</v>
      </c>
      <c r="I4946" t="s">
        <v>15</v>
      </c>
      <c r="J4946" t="s">
        <v>16</v>
      </c>
      <c r="K4946" t="s">
        <v>21</v>
      </c>
      <c r="L4946">
        <v>253.9</v>
      </c>
      <c r="M4946" t="s">
        <v>5030</v>
      </c>
      <c r="N4946" t="s">
        <v>5031</v>
      </c>
    </row>
    <row r="4947" spans="1:14" x14ac:dyDescent="0.3">
      <c r="A4947" t="s">
        <v>4971</v>
      </c>
      <c r="B4947" t="s">
        <v>19</v>
      </c>
      <c r="C4947" t="s">
        <v>35</v>
      </c>
      <c r="D4947">
        <v>20</v>
      </c>
      <c r="E4947" t="s">
        <v>15</v>
      </c>
      <c r="F4947" t="s">
        <v>36</v>
      </c>
      <c r="G4947">
        <v>20.05</v>
      </c>
      <c r="H4947">
        <v>400</v>
      </c>
      <c r="I4947" t="s">
        <v>15</v>
      </c>
      <c r="J4947" t="s">
        <v>15</v>
      </c>
      <c r="K4947" t="s">
        <v>21</v>
      </c>
      <c r="L4947">
        <v>400</v>
      </c>
      <c r="M4947" t="s">
        <v>5032</v>
      </c>
      <c r="N4947" t="s">
        <v>5031</v>
      </c>
    </row>
    <row r="4948" spans="1:14" x14ac:dyDescent="0.3">
      <c r="A4948" t="s">
        <v>4972</v>
      </c>
      <c r="B4948" t="s">
        <v>19</v>
      </c>
      <c r="C4948" t="s">
        <v>13</v>
      </c>
      <c r="D4948">
        <v>4</v>
      </c>
      <c r="E4948" t="s">
        <v>26</v>
      </c>
      <c r="F4948" t="s">
        <v>15</v>
      </c>
      <c r="G4948">
        <v>81</v>
      </c>
      <c r="H4948">
        <v>340.85</v>
      </c>
      <c r="I4948" t="s">
        <v>16</v>
      </c>
      <c r="J4948" t="s">
        <v>16</v>
      </c>
      <c r="K4948" t="s">
        <v>17</v>
      </c>
      <c r="L4948">
        <v>340.85</v>
      </c>
      <c r="M4948" t="s">
        <v>5030</v>
      </c>
      <c r="N4948" t="s">
        <v>5031</v>
      </c>
    </row>
    <row r="4949" spans="1:14" x14ac:dyDescent="0.3">
      <c r="A4949" t="s">
        <v>4973</v>
      </c>
      <c r="B4949" t="s">
        <v>19</v>
      </c>
      <c r="C4949" t="s">
        <v>13</v>
      </c>
      <c r="D4949">
        <v>26</v>
      </c>
      <c r="E4949" t="s">
        <v>26</v>
      </c>
      <c r="F4949" t="s">
        <v>15</v>
      </c>
      <c r="G4949">
        <v>98.35</v>
      </c>
      <c r="H4949">
        <v>2515.3000000000002</v>
      </c>
      <c r="I4949" t="s">
        <v>16</v>
      </c>
      <c r="J4949" t="s">
        <v>16</v>
      </c>
      <c r="K4949" t="s">
        <v>17</v>
      </c>
      <c r="L4949">
        <v>2515.3000000000002</v>
      </c>
      <c r="M4949" t="s">
        <v>5032</v>
      </c>
      <c r="N4949" t="s">
        <v>5034</v>
      </c>
    </row>
    <row r="4950" spans="1:14" x14ac:dyDescent="0.3">
      <c r="A4950" t="s">
        <v>4974</v>
      </c>
      <c r="B4950" t="s">
        <v>12</v>
      </c>
      <c r="C4950" t="s">
        <v>13</v>
      </c>
      <c r="D4950">
        <v>4</v>
      </c>
      <c r="E4950" t="s">
        <v>14</v>
      </c>
      <c r="F4950" t="s">
        <v>15</v>
      </c>
      <c r="G4950">
        <v>55.5</v>
      </c>
      <c r="H4950">
        <v>227.35</v>
      </c>
      <c r="I4950" t="s">
        <v>15</v>
      </c>
      <c r="J4950" t="s">
        <v>15</v>
      </c>
      <c r="K4950" t="s">
        <v>29</v>
      </c>
      <c r="L4950">
        <v>227.35</v>
      </c>
      <c r="M4950" t="s">
        <v>5030</v>
      </c>
      <c r="N4950" t="s">
        <v>5031</v>
      </c>
    </row>
    <row r="4951" spans="1:14" x14ac:dyDescent="0.3">
      <c r="A4951" t="s">
        <v>4975</v>
      </c>
      <c r="B4951" t="s">
        <v>19</v>
      </c>
      <c r="C4951" t="s">
        <v>13</v>
      </c>
      <c r="D4951">
        <v>5</v>
      </c>
      <c r="E4951" t="s">
        <v>14</v>
      </c>
      <c r="F4951" t="s">
        <v>15</v>
      </c>
      <c r="G4951">
        <v>51</v>
      </c>
      <c r="H4951">
        <v>305.95</v>
      </c>
      <c r="I4951" t="s">
        <v>16</v>
      </c>
      <c r="J4951" t="s">
        <v>16</v>
      </c>
      <c r="K4951" t="s">
        <v>21</v>
      </c>
      <c r="L4951">
        <v>305.95</v>
      </c>
      <c r="M4951" t="s">
        <v>5030</v>
      </c>
      <c r="N4951" t="s">
        <v>5031</v>
      </c>
    </row>
    <row r="4952" spans="1:14" x14ac:dyDescent="0.3">
      <c r="A4952" t="s">
        <v>4976</v>
      </c>
      <c r="B4952" t="s">
        <v>12</v>
      </c>
      <c r="C4952" t="s">
        <v>13</v>
      </c>
      <c r="D4952">
        <v>4</v>
      </c>
      <c r="E4952" t="s">
        <v>26</v>
      </c>
      <c r="F4952" t="s">
        <v>15</v>
      </c>
      <c r="G4952">
        <v>91.65</v>
      </c>
      <c r="H4952">
        <v>365.4</v>
      </c>
      <c r="I4952" t="s">
        <v>16</v>
      </c>
      <c r="J4952" t="s">
        <v>16</v>
      </c>
      <c r="K4952" t="s">
        <v>17</v>
      </c>
      <c r="L4952">
        <v>365.4</v>
      </c>
      <c r="M4952" t="s">
        <v>5030</v>
      </c>
      <c r="N4952" t="s">
        <v>5031</v>
      </c>
    </row>
    <row r="4953" spans="1:14" x14ac:dyDescent="0.3">
      <c r="A4953" t="s">
        <v>4977</v>
      </c>
      <c r="B4953" t="s">
        <v>19</v>
      </c>
      <c r="C4953" t="s">
        <v>13</v>
      </c>
      <c r="D4953">
        <v>29</v>
      </c>
      <c r="E4953" t="s">
        <v>26</v>
      </c>
      <c r="F4953" t="s">
        <v>15</v>
      </c>
      <c r="G4953">
        <v>84.3</v>
      </c>
      <c r="H4953">
        <v>2357.75</v>
      </c>
      <c r="I4953" t="s">
        <v>15</v>
      </c>
      <c r="J4953" t="s">
        <v>16</v>
      </c>
      <c r="K4953" t="s">
        <v>17</v>
      </c>
      <c r="L4953">
        <v>2357.75</v>
      </c>
      <c r="M4953" t="s">
        <v>5032</v>
      </c>
      <c r="N4953" t="s">
        <v>5031</v>
      </c>
    </row>
    <row r="4954" spans="1:14" x14ac:dyDescent="0.3">
      <c r="A4954" t="s">
        <v>4978</v>
      </c>
      <c r="B4954" t="s">
        <v>19</v>
      </c>
      <c r="C4954" t="s">
        <v>13</v>
      </c>
      <c r="D4954">
        <v>2</v>
      </c>
      <c r="E4954" t="s">
        <v>26</v>
      </c>
      <c r="F4954" t="s">
        <v>15</v>
      </c>
      <c r="G4954">
        <v>100.2</v>
      </c>
      <c r="H4954">
        <v>198.5</v>
      </c>
      <c r="I4954" t="s">
        <v>15</v>
      </c>
      <c r="J4954" t="s">
        <v>15</v>
      </c>
      <c r="K4954" t="s">
        <v>17</v>
      </c>
      <c r="L4954">
        <v>198.5</v>
      </c>
      <c r="M4954" t="s">
        <v>5030</v>
      </c>
      <c r="N4954" t="s">
        <v>5031</v>
      </c>
    </row>
    <row r="4955" spans="1:14" x14ac:dyDescent="0.3">
      <c r="A4955" t="s">
        <v>4979</v>
      </c>
      <c r="B4955" t="s">
        <v>12</v>
      </c>
      <c r="C4955" t="s">
        <v>35</v>
      </c>
      <c r="D4955">
        <v>29</v>
      </c>
      <c r="E4955" t="s">
        <v>15</v>
      </c>
      <c r="F4955" t="s">
        <v>36</v>
      </c>
      <c r="G4955">
        <v>19.399999999999999</v>
      </c>
      <c r="H4955">
        <v>554.25</v>
      </c>
      <c r="I4955" t="s">
        <v>15</v>
      </c>
      <c r="J4955" t="s">
        <v>15</v>
      </c>
      <c r="K4955" t="s">
        <v>21</v>
      </c>
      <c r="L4955">
        <v>554.25</v>
      </c>
      <c r="M4955" t="s">
        <v>5032</v>
      </c>
      <c r="N4955" t="s">
        <v>5031</v>
      </c>
    </row>
    <row r="4956" spans="1:14" x14ac:dyDescent="0.3">
      <c r="A4956" t="s">
        <v>4980</v>
      </c>
      <c r="B4956" t="s">
        <v>19</v>
      </c>
      <c r="C4956" t="s">
        <v>13</v>
      </c>
      <c r="D4956">
        <v>1</v>
      </c>
      <c r="E4956" t="s">
        <v>26</v>
      </c>
      <c r="F4956" t="s">
        <v>15</v>
      </c>
      <c r="G4956">
        <v>90.85</v>
      </c>
      <c r="H4956">
        <v>90.85</v>
      </c>
      <c r="I4956" t="s">
        <v>16</v>
      </c>
      <c r="J4956" t="s">
        <v>16</v>
      </c>
      <c r="K4956" t="s">
        <v>17</v>
      </c>
      <c r="L4956">
        <v>90.85</v>
      </c>
      <c r="M4956" t="s">
        <v>5030</v>
      </c>
      <c r="N4956" t="s">
        <v>5031</v>
      </c>
    </row>
    <row r="4957" spans="1:14" x14ac:dyDescent="0.3">
      <c r="A4957" t="s">
        <v>4981</v>
      </c>
      <c r="B4957" t="s">
        <v>19</v>
      </c>
      <c r="C4957" t="s">
        <v>13</v>
      </c>
      <c r="D4957">
        <v>1</v>
      </c>
      <c r="E4957" t="s">
        <v>26</v>
      </c>
      <c r="F4957" t="s">
        <v>15</v>
      </c>
      <c r="G4957">
        <v>69.400000000000006</v>
      </c>
      <c r="H4957">
        <v>69.400000000000006</v>
      </c>
      <c r="I4957" t="s">
        <v>16</v>
      </c>
      <c r="J4957" t="s">
        <v>15</v>
      </c>
      <c r="K4957" t="s">
        <v>21</v>
      </c>
      <c r="L4957">
        <v>69.400000000000006</v>
      </c>
      <c r="M4957" t="s">
        <v>5030</v>
      </c>
      <c r="N4957" t="s">
        <v>5031</v>
      </c>
    </row>
    <row r="4958" spans="1:14" x14ac:dyDescent="0.3">
      <c r="A4958" t="s">
        <v>4982</v>
      </c>
      <c r="B4958" t="s">
        <v>12</v>
      </c>
      <c r="C4958" t="s">
        <v>13</v>
      </c>
      <c r="D4958">
        <v>8</v>
      </c>
      <c r="E4958" t="s">
        <v>26</v>
      </c>
      <c r="F4958" t="s">
        <v>15</v>
      </c>
      <c r="G4958">
        <v>94.45</v>
      </c>
      <c r="H4958">
        <v>742.95</v>
      </c>
      <c r="I4958" t="s">
        <v>16</v>
      </c>
      <c r="J4958" t="s">
        <v>16</v>
      </c>
      <c r="K4958" t="s">
        <v>29</v>
      </c>
      <c r="L4958">
        <v>742.95</v>
      </c>
      <c r="M4958" t="s">
        <v>5030</v>
      </c>
      <c r="N4958" t="s">
        <v>5031</v>
      </c>
    </row>
    <row r="4959" spans="1:14" x14ac:dyDescent="0.3">
      <c r="A4959" t="s">
        <v>4983</v>
      </c>
      <c r="B4959" t="s">
        <v>19</v>
      </c>
      <c r="C4959" t="s">
        <v>13</v>
      </c>
      <c r="D4959">
        <v>13</v>
      </c>
      <c r="E4959" t="s">
        <v>15</v>
      </c>
      <c r="F4959" t="s">
        <v>36</v>
      </c>
      <c r="G4959">
        <v>20.399999999999999</v>
      </c>
      <c r="H4959">
        <v>251.65</v>
      </c>
      <c r="I4959" t="s">
        <v>15</v>
      </c>
      <c r="J4959" t="s">
        <v>16</v>
      </c>
      <c r="K4959" t="s">
        <v>17</v>
      </c>
      <c r="L4959">
        <v>251.65</v>
      </c>
      <c r="M4959" t="s">
        <v>5032</v>
      </c>
      <c r="N4959" t="s">
        <v>5031</v>
      </c>
    </row>
    <row r="4960" spans="1:14" x14ac:dyDescent="0.3">
      <c r="A4960" t="s">
        <v>4984</v>
      </c>
      <c r="B4960" t="s">
        <v>12</v>
      </c>
      <c r="C4960" t="s">
        <v>13</v>
      </c>
      <c r="D4960">
        <v>59</v>
      </c>
      <c r="E4960" t="s">
        <v>26</v>
      </c>
      <c r="F4960" t="s">
        <v>15</v>
      </c>
      <c r="G4960">
        <v>94.75</v>
      </c>
      <c r="H4960">
        <v>5597.65</v>
      </c>
      <c r="I4960" t="s">
        <v>15</v>
      </c>
      <c r="J4960" t="s">
        <v>16</v>
      </c>
      <c r="K4960" t="s">
        <v>17</v>
      </c>
      <c r="L4960">
        <v>5597.65</v>
      </c>
      <c r="M4960" t="s">
        <v>5033</v>
      </c>
      <c r="N4960" t="s">
        <v>5034</v>
      </c>
    </row>
    <row r="4961" spans="1:14" x14ac:dyDescent="0.3">
      <c r="A4961" t="s">
        <v>4985</v>
      </c>
      <c r="B4961" t="s">
        <v>12</v>
      </c>
      <c r="C4961" t="s">
        <v>13</v>
      </c>
      <c r="D4961">
        <v>1</v>
      </c>
      <c r="E4961" t="s">
        <v>15</v>
      </c>
      <c r="F4961" t="s">
        <v>36</v>
      </c>
      <c r="G4961">
        <v>20.149999999999999</v>
      </c>
      <c r="H4961">
        <v>20.149999999999999</v>
      </c>
      <c r="I4961" t="s">
        <v>16</v>
      </c>
      <c r="J4961" t="s">
        <v>16</v>
      </c>
      <c r="K4961" t="s">
        <v>29</v>
      </c>
      <c r="L4961">
        <v>20.149999999999999</v>
      </c>
      <c r="M4961" t="s">
        <v>5030</v>
      </c>
      <c r="N4961" t="s">
        <v>5031</v>
      </c>
    </row>
    <row r="4962" spans="1:14" x14ac:dyDescent="0.3">
      <c r="A4962" t="s">
        <v>4986</v>
      </c>
      <c r="B4962" t="s">
        <v>19</v>
      </c>
      <c r="C4962" t="s">
        <v>13</v>
      </c>
      <c r="D4962">
        <v>50</v>
      </c>
      <c r="E4962" t="s">
        <v>26</v>
      </c>
      <c r="F4962" t="s">
        <v>15</v>
      </c>
      <c r="G4962">
        <v>95.7</v>
      </c>
      <c r="H4962">
        <v>4816.7</v>
      </c>
      <c r="I4962" t="s">
        <v>16</v>
      </c>
      <c r="J4962" t="s">
        <v>16</v>
      </c>
      <c r="K4962" t="s">
        <v>17</v>
      </c>
      <c r="L4962">
        <v>4816.7</v>
      </c>
      <c r="M4962" t="s">
        <v>5033</v>
      </c>
      <c r="N4962" t="s">
        <v>5034</v>
      </c>
    </row>
    <row r="4963" spans="1:14" x14ac:dyDescent="0.3">
      <c r="A4963" t="s">
        <v>4987</v>
      </c>
      <c r="B4963" t="s">
        <v>19</v>
      </c>
      <c r="C4963" t="s">
        <v>13</v>
      </c>
      <c r="D4963">
        <v>18</v>
      </c>
      <c r="E4963" t="s">
        <v>14</v>
      </c>
      <c r="F4963" t="s">
        <v>15</v>
      </c>
      <c r="G4963">
        <v>44.35</v>
      </c>
      <c r="H4963">
        <v>768.05</v>
      </c>
      <c r="I4963" t="s">
        <v>15</v>
      </c>
      <c r="J4963" t="s">
        <v>16</v>
      </c>
      <c r="K4963" t="s">
        <v>24</v>
      </c>
      <c r="L4963">
        <v>768.05</v>
      </c>
      <c r="M4963" t="s">
        <v>5032</v>
      </c>
      <c r="N4963" t="s">
        <v>5031</v>
      </c>
    </row>
    <row r="4964" spans="1:14" x14ac:dyDescent="0.3">
      <c r="A4964" t="s">
        <v>4988</v>
      </c>
      <c r="B4964" t="s">
        <v>12</v>
      </c>
      <c r="C4964" t="s">
        <v>13</v>
      </c>
      <c r="D4964">
        <v>17</v>
      </c>
      <c r="E4964" t="s">
        <v>14</v>
      </c>
      <c r="F4964" t="s">
        <v>15</v>
      </c>
      <c r="G4964">
        <v>74.55</v>
      </c>
      <c r="H4964">
        <v>1215.8</v>
      </c>
      <c r="I4964" t="s">
        <v>15</v>
      </c>
      <c r="J4964" t="s">
        <v>15</v>
      </c>
      <c r="K4964" t="s">
        <v>21</v>
      </c>
      <c r="L4964">
        <v>1215.8</v>
      </c>
      <c r="M4964" t="s">
        <v>5032</v>
      </c>
      <c r="N4964" t="s">
        <v>5031</v>
      </c>
    </row>
    <row r="4965" spans="1:14" x14ac:dyDescent="0.3">
      <c r="A4965" t="s">
        <v>4989</v>
      </c>
      <c r="B4965" t="s">
        <v>19</v>
      </c>
      <c r="C4965" t="s">
        <v>35</v>
      </c>
      <c r="D4965">
        <v>47</v>
      </c>
      <c r="E4965" t="s">
        <v>14</v>
      </c>
      <c r="F4965" t="s">
        <v>15</v>
      </c>
      <c r="G4965">
        <v>73.599999999999994</v>
      </c>
      <c r="H4965">
        <v>3522.65</v>
      </c>
      <c r="I4965" t="s">
        <v>15</v>
      </c>
      <c r="J4965" t="s">
        <v>15</v>
      </c>
      <c r="K4965" t="s">
        <v>17</v>
      </c>
      <c r="L4965">
        <v>3522.65</v>
      </c>
      <c r="M4965" t="s">
        <v>5033</v>
      </c>
      <c r="N4965" t="s">
        <v>5034</v>
      </c>
    </row>
    <row r="4966" spans="1:14" x14ac:dyDescent="0.3">
      <c r="A4966" t="s">
        <v>4990</v>
      </c>
      <c r="B4966" t="s">
        <v>12</v>
      </c>
      <c r="C4966" t="s">
        <v>13</v>
      </c>
      <c r="D4966">
        <v>26</v>
      </c>
      <c r="E4966" t="s">
        <v>26</v>
      </c>
      <c r="F4966" t="s">
        <v>15</v>
      </c>
      <c r="G4966">
        <v>74.95</v>
      </c>
      <c r="H4966">
        <v>1834.95</v>
      </c>
      <c r="I4966" t="s">
        <v>16</v>
      </c>
      <c r="J4966" t="s">
        <v>16</v>
      </c>
      <c r="K4966" t="s">
        <v>24</v>
      </c>
      <c r="L4966">
        <v>1834.95</v>
      </c>
      <c r="M4966" t="s">
        <v>5032</v>
      </c>
      <c r="N4966" t="s">
        <v>5031</v>
      </c>
    </row>
    <row r="4967" spans="1:14" x14ac:dyDescent="0.3">
      <c r="A4967" t="s">
        <v>4991</v>
      </c>
      <c r="B4967" t="s">
        <v>12</v>
      </c>
      <c r="C4967" t="s">
        <v>13</v>
      </c>
      <c r="D4967">
        <v>6</v>
      </c>
      <c r="E4967" t="s">
        <v>14</v>
      </c>
      <c r="F4967" t="s">
        <v>15</v>
      </c>
      <c r="G4967">
        <v>47.95</v>
      </c>
      <c r="H4967">
        <v>305.10000000000002</v>
      </c>
      <c r="I4967" t="s">
        <v>16</v>
      </c>
      <c r="J4967" t="s">
        <v>16</v>
      </c>
      <c r="K4967" t="s">
        <v>17</v>
      </c>
      <c r="L4967">
        <v>305.10000000000002</v>
      </c>
      <c r="M4967" t="s">
        <v>5030</v>
      </c>
      <c r="N4967" t="s">
        <v>5031</v>
      </c>
    </row>
    <row r="4968" spans="1:14" x14ac:dyDescent="0.3">
      <c r="A4968" t="s">
        <v>4992</v>
      </c>
      <c r="B4968" t="s">
        <v>19</v>
      </c>
      <c r="C4968" t="s">
        <v>13</v>
      </c>
      <c r="D4968">
        <v>19</v>
      </c>
      <c r="E4968" t="s">
        <v>14</v>
      </c>
      <c r="F4968" t="s">
        <v>15</v>
      </c>
      <c r="G4968">
        <v>50.1</v>
      </c>
      <c r="H4968">
        <v>910.45</v>
      </c>
      <c r="I4968" t="s">
        <v>15</v>
      </c>
      <c r="J4968" t="s">
        <v>15</v>
      </c>
      <c r="K4968" t="s">
        <v>29</v>
      </c>
      <c r="L4968">
        <v>910.45</v>
      </c>
      <c r="M4968" t="s">
        <v>5032</v>
      </c>
      <c r="N4968" t="s">
        <v>5031</v>
      </c>
    </row>
    <row r="4969" spans="1:14" x14ac:dyDescent="0.3">
      <c r="A4969" t="s">
        <v>4993</v>
      </c>
      <c r="B4969" t="s">
        <v>12</v>
      </c>
      <c r="C4969" t="s">
        <v>13</v>
      </c>
      <c r="D4969">
        <v>3</v>
      </c>
      <c r="E4969" t="s">
        <v>14</v>
      </c>
      <c r="F4969" t="s">
        <v>16</v>
      </c>
      <c r="G4969">
        <v>63.6</v>
      </c>
      <c r="H4969">
        <v>155.65</v>
      </c>
      <c r="I4969" t="s">
        <v>16</v>
      </c>
      <c r="J4969" t="s">
        <v>16</v>
      </c>
      <c r="K4969" t="s">
        <v>17</v>
      </c>
      <c r="L4969">
        <v>155.65</v>
      </c>
      <c r="M4969" t="s">
        <v>5030</v>
      </c>
      <c r="N4969" t="s">
        <v>5031</v>
      </c>
    </row>
    <row r="4970" spans="1:14" x14ac:dyDescent="0.3">
      <c r="A4970" t="s">
        <v>4994</v>
      </c>
      <c r="B4970" t="s">
        <v>12</v>
      </c>
      <c r="C4970" t="s">
        <v>35</v>
      </c>
      <c r="D4970">
        <v>68</v>
      </c>
      <c r="E4970" t="s">
        <v>14</v>
      </c>
      <c r="F4970" t="s">
        <v>15</v>
      </c>
      <c r="G4970">
        <v>53</v>
      </c>
      <c r="H4970">
        <v>3656.25</v>
      </c>
      <c r="I4970" t="s">
        <v>15</v>
      </c>
      <c r="J4970" t="s">
        <v>16</v>
      </c>
      <c r="K4970" t="s">
        <v>17</v>
      </c>
      <c r="L4970">
        <v>3656.25</v>
      </c>
      <c r="M4970" t="s">
        <v>5033</v>
      </c>
      <c r="N4970" t="s">
        <v>5034</v>
      </c>
    </row>
    <row r="4971" spans="1:14" x14ac:dyDescent="0.3">
      <c r="A4971" t="s">
        <v>4995</v>
      </c>
      <c r="B4971" t="s">
        <v>12</v>
      </c>
      <c r="C4971" t="s">
        <v>13</v>
      </c>
      <c r="D4971">
        <v>2</v>
      </c>
      <c r="E4971" t="s">
        <v>15</v>
      </c>
      <c r="F4971" t="s">
        <v>36</v>
      </c>
      <c r="G4971">
        <v>19.850000000000001</v>
      </c>
      <c r="H4971">
        <v>52</v>
      </c>
      <c r="I4971" t="s">
        <v>15</v>
      </c>
      <c r="J4971" t="s">
        <v>15</v>
      </c>
      <c r="K4971" t="s">
        <v>24</v>
      </c>
      <c r="L4971">
        <v>52</v>
      </c>
      <c r="M4971" t="s">
        <v>5030</v>
      </c>
      <c r="N4971" t="s">
        <v>5031</v>
      </c>
    </row>
    <row r="4972" spans="1:14" x14ac:dyDescent="0.3">
      <c r="A4972" t="s">
        <v>4996</v>
      </c>
      <c r="B4972" t="s">
        <v>19</v>
      </c>
      <c r="C4972" t="s">
        <v>20</v>
      </c>
      <c r="D4972">
        <v>7</v>
      </c>
      <c r="E4972" t="s">
        <v>14</v>
      </c>
      <c r="F4972" t="s">
        <v>15</v>
      </c>
      <c r="G4972">
        <v>24.35</v>
      </c>
      <c r="H4972">
        <v>150.85</v>
      </c>
      <c r="I4972" t="s">
        <v>15</v>
      </c>
      <c r="J4972" t="s">
        <v>16</v>
      </c>
      <c r="K4972" t="s">
        <v>29</v>
      </c>
      <c r="L4972">
        <v>150.85</v>
      </c>
      <c r="M4972" t="s">
        <v>5030</v>
      </c>
      <c r="N4972" t="s">
        <v>5031</v>
      </c>
    </row>
    <row r="4973" spans="1:14" x14ac:dyDescent="0.3">
      <c r="A4973" t="s">
        <v>4997</v>
      </c>
      <c r="B4973" t="s">
        <v>12</v>
      </c>
      <c r="C4973" t="s">
        <v>13</v>
      </c>
      <c r="D4973">
        <v>18</v>
      </c>
      <c r="E4973" t="s">
        <v>15</v>
      </c>
      <c r="F4973" t="s">
        <v>36</v>
      </c>
      <c r="G4973">
        <v>19.55</v>
      </c>
      <c r="H4973">
        <v>389.25</v>
      </c>
      <c r="I4973" t="s">
        <v>15</v>
      </c>
      <c r="J4973" t="s">
        <v>16</v>
      </c>
      <c r="K4973" t="s">
        <v>21</v>
      </c>
      <c r="L4973">
        <v>389.25</v>
      </c>
      <c r="M4973" t="s">
        <v>5032</v>
      </c>
      <c r="N4973" t="s">
        <v>5031</v>
      </c>
    </row>
    <row r="4974" spans="1:14" x14ac:dyDescent="0.3">
      <c r="A4974" t="s">
        <v>4998</v>
      </c>
      <c r="B4974" t="s">
        <v>12</v>
      </c>
      <c r="C4974" t="s">
        <v>35</v>
      </c>
      <c r="D4974">
        <v>71</v>
      </c>
      <c r="E4974" t="s">
        <v>15</v>
      </c>
      <c r="F4974" t="s">
        <v>36</v>
      </c>
      <c r="G4974">
        <v>25.05</v>
      </c>
      <c r="H4974">
        <v>1873.7</v>
      </c>
      <c r="I4974" t="s">
        <v>15</v>
      </c>
      <c r="J4974" t="s">
        <v>15</v>
      </c>
      <c r="K4974" t="s">
        <v>29</v>
      </c>
      <c r="L4974">
        <v>1873.7</v>
      </c>
      <c r="M4974" t="s">
        <v>5033</v>
      </c>
      <c r="N4974" t="s">
        <v>5031</v>
      </c>
    </row>
    <row r="4975" spans="1:14" x14ac:dyDescent="0.3">
      <c r="A4975" t="s">
        <v>4999</v>
      </c>
      <c r="B4975" t="s">
        <v>19</v>
      </c>
      <c r="C4975" t="s">
        <v>13</v>
      </c>
      <c r="D4975">
        <v>13</v>
      </c>
      <c r="E4975" t="s">
        <v>26</v>
      </c>
      <c r="F4975" t="s">
        <v>15</v>
      </c>
      <c r="G4975">
        <v>93.8</v>
      </c>
      <c r="H4975">
        <v>1261</v>
      </c>
      <c r="I4975" t="s">
        <v>15</v>
      </c>
      <c r="J4975" t="s">
        <v>15</v>
      </c>
      <c r="K4975" t="s">
        <v>29</v>
      </c>
      <c r="L4975">
        <v>1261</v>
      </c>
      <c r="M4975" t="s">
        <v>5032</v>
      </c>
      <c r="N4975" t="s">
        <v>5031</v>
      </c>
    </row>
    <row r="4976" spans="1:14" x14ac:dyDescent="0.3">
      <c r="A4976" t="s">
        <v>5000</v>
      </c>
      <c r="B4976" t="s">
        <v>19</v>
      </c>
      <c r="C4976" t="s">
        <v>13</v>
      </c>
      <c r="D4976">
        <v>3</v>
      </c>
      <c r="E4976" t="s">
        <v>14</v>
      </c>
      <c r="F4976" t="s">
        <v>16</v>
      </c>
      <c r="G4976">
        <v>36.85</v>
      </c>
      <c r="H4976">
        <v>108.7</v>
      </c>
      <c r="I4976" t="s">
        <v>16</v>
      </c>
      <c r="J4976" t="s">
        <v>16</v>
      </c>
      <c r="K4976" t="s">
        <v>21</v>
      </c>
      <c r="L4976">
        <v>108.7</v>
      </c>
      <c r="M4976" t="s">
        <v>5030</v>
      </c>
      <c r="N4976" t="s">
        <v>5031</v>
      </c>
    </row>
    <row r="4977" spans="1:14" x14ac:dyDescent="0.3">
      <c r="A4977" t="s">
        <v>5001</v>
      </c>
      <c r="B4977" t="s">
        <v>19</v>
      </c>
      <c r="C4977" t="s">
        <v>35</v>
      </c>
      <c r="D4977">
        <v>72</v>
      </c>
      <c r="E4977" t="s">
        <v>26</v>
      </c>
      <c r="F4977" t="s">
        <v>15</v>
      </c>
      <c r="G4977">
        <v>103.75</v>
      </c>
      <c r="H4977">
        <v>7346.2</v>
      </c>
      <c r="I4977" t="s">
        <v>15</v>
      </c>
      <c r="J4977" t="s">
        <v>16</v>
      </c>
      <c r="K4977" t="s">
        <v>24</v>
      </c>
      <c r="L4977">
        <v>7346.2</v>
      </c>
      <c r="M4977" t="s">
        <v>5033</v>
      </c>
      <c r="N4977" t="s">
        <v>5034</v>
      </c>
    </row>
    <row r="4978" spans="1:14" x14ac:dyDescent="0.3">
      <c r="A4978" t="s">
        <v>5002</v>
      </c>
      <c r="B4978" t="s">
        <v>19</v>
      </c>
      <c r="C4978" t="s">
        <v>35</v>
      </c>
      <c r="D4978">
        <v>66</v>
      </c>
      <c r="E4978" t="s">
        <v>14</v>
      </c>
      <c r="F4978" t="s">
        <v>15</v>
      </c>
      <c r="G4978">
        <v>56.75</v>
      </c>
      <c r="H4978">
        <v>3708.4</v>
      </c>
      <c r="I4978" t="s">
        <v>15</v>
      </c>
      <c r="J4978" t="s">
        <v>16</v>
      </c>
      <c r="K4978" t="s">
        <v>29</v>
      </c>
      <c r="L4978">
        <v>3708.4</v>
      </c>
      <c r="M4978" t="s">
        <v>5033</v>
      </c>
      <c r="N4978" t="s">
        <v>5034</v>
      </c>
    </row>
    <row r="4979" spans="1:14" x14ac:dyDescent="0.3">
      <c r="A4979" t="s">
        <v>5003</v>
      </c>
      <c r="B4979" t="s">
        <v>19</v>
      </c>
      <c r="C4979" t="s">
        <v>20</v>
      </c>
      <c r="D4979">
        <v>24</v>
      </c>
      <c r="E4979" t="s">
        <v>15</v>
      </c>
      <c r="F4979" t="s">
        <v>36</v>
      </c>
      <c r="G4979">
        <v>20.8</v>
      </c>
      <c r="H4979">
        <v>469.65</v>
      </c>
      <c r="I4979" t="s">
        <v>15</v>
      </c>
      <c r="J4979" t="s">
        <v>16</v>
      </c>
      <c r="K4979" t="s">
        <v>29</v>
      </c>
      <c r="L4979">
        <v>469.65</v>
      </c>
      <c r="M4979" t="s">
        <v>5032</v>
      </c>
      <c r="N4979" t="s">
        <v>5031</v>
      </c>
    </row>
    <row r="4980" spans="1:14" x14ac:dyDescent="0.3">
      <c r="A4980" t="s">
        <v>5004</v>
      </c>
      <c r="B4980" t="s">
        <v>12</v>
      </c>
      <c r="C4980" t="s">
        <v>13</v>
      </c>
      <c r="D4980">
        <v>1</v>
      </c>
      <c r="E4980" t="s">
        <v>14</v>
      </c>
      <c r="F4980" t="s">
        <v>15</v>
      </c>
      <c r="G4980">
        <v>44.1</v>
      </c>
      <c r="H4980">
        <v>44.1</v>
      </c>
      <c r="I4980" t="s">
        <v>16</v>
      </c>
      <c r="J4980" t="s">
        <v>16</v>
      </c>
      <c r="K4980" t="s">
        <v>17</v>
      </c>
      <c r="L4980">
        <v>44.1</v>
      </c>
      <c r="M4980" t="s">
        <v>5030</v>
      </c>
      <c r="N4980" t="s">
        <v>5031</v>
      </c>
    </row>
    <row r="4981" spans="1:14" x14ac:dyDescent="0.3">
      <c r="A4981" t="s">
        <v>5005</v>
      </c>
      <c r="B4981" t="s">
        <v>12</v>
      </c>
      <c r="C4981" t="s">
        <v>35</v>
      </c>
      <c r="D4981">
        <v>56</v>
      </c>
      <c r="E4981" t="s">
        <v>15</v>
      </c>
      <c r="F4981" t="s">
        <v>36</v>
      </c>
      <c r="G4981">
        <v>24.45</v>
      </c>
      <c r="H4981">
        <v>1385.85</v>
      </c>
      <c r="I4981" t="s">
        <v>15</v>
      </c>
      <c r="J4981" t="s">
        <v>16</v>
      </c>
      <c r="K4981" t="s">
        <v>21</v>
      </c>
      <c r="L4981">
        <v>1385.85</v>
      </c>
      <c r="M4981" t="s">
        <v>5033</v>
      </c>
      <c r="N4981" t="s">
        <v>5031</v>
      </c>
    </row>
    <row r="4982" spans="1:14" x14ac:dyDescent="0.3">
      <c r="A4982" t="s">
        <v>5006</v>
      </c>
      <c r="B4982" t="s">
        <v>12</v>
      </c>
      <c r="C4982" t="s">
        <v>20</v>
      </c>
      <c r="D4982">
        <v>22</v>
      </c>
      <c r="E4982" t="s">
        <v>15</v>
      </c>
      <c r="F4982" t="s">
        <v>36</v>
      </c>
      <c r="G4982">
        <v>25.6</v>
      </c>
      <c r="H4982">
        <v>548.79999999999995</v>
      </c>
      <c r="I4982" t="s">
        <v>15</v>
      </c>
      <c r="J4982" t="s">
        <v>15</v>
      </c>
      <c r="K4982" t="s">
        <v>24</v>
      </c>
      <c r="L4982">
        <v>548.79999999999995</v>
      </c>
      <c r="M4982" t="s">
        <v>5032</v>
      </c>
      <c r="N4982" t="s">
        <v>5031</v>
      </c>
    </row>
    <row r="4983" spans="1:14" x14ac:dyDescent="0.3">
      <c r="A4983" t="s">
        <v>5007</v>
      </c>
      <c r="B4983" t="s">
        <v>19</v>
      </c>
      <c r="C4983" t="s">
        <v>13</v>
      </c>
      <c r="D4983">
        <v>14</v>
      </c>
      <c r="E4983" t="s">
        <v>14</v>
      </c>
      <c r="F4983" t="s">
        <v>15</v>
      </c>
      <c r="G4983">
        <v>50.75</v>
      </c>
      <c r="H4983">
        <v>712.75</v>
      </c>
      <c r="I4983" t="s">
        <v>16</v>
      </c>
      <c r="J4983" t="s">
        <v>16</v>
      </c>
      <c r="K4983" t="s">
        <v>17</v>
      </c>
      <c r="L4983">
        <v>712.75</v>
      </c>
      <c r="M4983" t="s">
        <v>5032</v>
      </c>
      <c r="N4983" t="s">
        <v>5031</v>
      </c>
    </row>
    <row r="4984" spans="1:14" x14ac:dyDescent="0.3">
      <c r="A4984" t="s">
        <v>5008</v>
      </c>
      <c r="B4984" t="s">
        <v>12</v>
      </c>
      <c r="C4984" t="s">
        <v>20</v>
      </c>
      <c r="D4984">
        <v>61</v>
      </c>
      <c r="E4984" t="s">
        <v>26</v>
      </c>
      <c r="F4984" t="s">
        <v>15</v>
      </c>
      <c r="G4984">
        <v>104.4</v>
      </c>
      <c r="H4984">
        <v>6405</v>
      </c>
      <c r="I4984" t="s">
        <v>16</v>
      </c>
      <c r="J4984" t="s">
        <v>16</v>
      </c>
      <c r="K4984" t="s">
        <v>29</v>
      </c>
      <c r="L4984">
        <v>6405</v>
      </c>
      <c r="M4984" t="s">
        <v>5033</v>
      </c>
      <c r="N4984" t="s">
        <v>5034</v>
      </c>
    </row>
    <row r="4985" spans="1:14" x14ac:dyDescent="0.3">
      <c r="A4985" t="s">
        <v>5009</v>
      </c>
      <c r="B4985" t="s">
        <v>12</v>
      </c>
      <c r="C4985" t="s">
        <v>13</v>
      </c>
      <c r="D4985">
        <v>40</v>
      </c>
      <c r="E4985" t="s">
        <v>14</v>
      </c>
      <c r="F4985" t="s">
        <v>15</v>
      </c>
      <c r="G4985">
        <v>39.299999999999997</v>
      </c>
      <c r="H4985">
        <v>1637.4</v>
      </c>
      <c r="I4985" t="s">
        <v>16</v>
      </c>
      <c r="J4985" t="s">
        <v>16</v>
      </c>
      <c r="K4985" t="s">
        <v>17</v>
      </c>
      <c r="L4985">
        <v>1637.4</v>
      </c>
      <c r="M4985" t="s">
        <v>5033</v>
      </c>
      <c r="N4985" t="s">
        <v>5031</v>
      </c>
    </row>
    <row r="4986" spans="1:14" x14ac:dyDescent="0.3">
      <c r="A4986" t="s">
        <v>5010</v>
      </c>
      <c r="B4986" t="s">
        <v>12</v>
      </c>
      <c r="C4986" t="s">
        <v>13</v>
      </c>
      <c r="D4986">
        <v>42</v>
      </c>
      <c r="E4986" t="s">
        <v>14</v>
      </c>
      <c r="F4986" t="s">
        <v>15</v>
      </c>
      <c r="G4986">
        <v>59.65</v>
      </c>
      <c r="H4986">
        <v>2536.5500000000002</v>
      </c>
      <c r="I4986" t="s">
        <v>15</v>
      </c>
      <c r="J4986" t="s">
        <v>15</v>
      </c>
      <c r="K4986" t="s">
        <v>24</v>
      </c>
      <c r="L4986">
        <v>2536.5500000000002</v>
      </c>
      <c r="M4986" t="s">
        <v>5033</v>
      </c>
      <c r="N4986" t="s">
        <v>5034</v>
      </c>
    </row>
    <row r="4987" spans="1:14" x14ac:dyDescent="0.3">
      <c r="A4987" t="s">
        <v>5011</v>
      </c>
      <c r="B4987" t="s">
        <v>12</v>
      </c>
      <c r="C4987" t="s">
        <v>35</v>
      </c>
      <c r="D4987">
        <v>72</v>
      </c>
      <c r="E4987" t="s">
        <v>14</v>
      </c>
      <c r="F4987" t="s">
        <v>16</v>
      </c>
      <c r="G4987">
        <v>83.3</v>
      </c>
      <c r="H4987">
        <v>6042.7</v>
      </c>
      <c r="I4987" t="s">
        <v>15</v>
      </c>
      <c r="J4987" t="s">
        <v>16</v>
      </c>
      <c r="K4987" t="s">
        <v>24</v>
      </c>
      <c r="L4987">
        <v>6042.7</v>
      </c>
      <c r="M4987" t="s">
        <v>5033</v>
      </c>
      <c r="N4987" t="s">
        <v>5034</v>
      </c>
    </row>
    <row r="4988" spans="1:14" x14ac:dyDescent="0.3">
      <c r="A4988" t="s">
        <v>5012</v>
      </c>
      <c r="B4988" t="s">
        <v>12</v>
      </c>
      <c r="C4988" t="s">
        <v>13</v>
      </c>
      <c r="D4988">
        <v>12</v>
      </c>
      <c r="E4988" t="s">
        <v>26</v>
      </c>
      <c r="F4988" t="s">
        <v>16</v>
      </c>
      <c r="G4988">
        <v>79.55</v>
      </c>
      <c r="H4988">
        <v>958.25</v>
      </c>
      <c r="I4988" t="s">
        <v>15</v>
      </c>
      <c r="J4988" t="s">
        <v>16</v>
      </c>
      <c r="K4988" t="s">
        <v>29</v>
      </c>
      <c r="L4988">
        <v>958.25</v>
      </c>
      <c r="M4988" t="s">
        <v>5030</v>
      </c>
      <c r="N4988" t="s">
        <v>5031</v>
      </c>
    </row>
    <row r="4989" spans="1:14" x14ac:dyDescent="0.3">
      <c r="A4989" t="s">
        <v>5013</v>
      </c>
      <c r="B4989" t="s">
        <v>19</v>
      </c>
      <c r="C4989" t="s">
        <v>35</v>
      </c>
      <c r="D4989">
        <v>71</v>
      </c>
      <c r="E4989" t="s">
        <v>15</v>
      </c>
      <c r="F4989" t="s">
        <v>36</v>
      </c>
      <c r="G4989">
        <v>24.45</v>
      </c>
      <c r="H4989">
        <v>1730.65</v>
      </c>
      <c r="I4989" t="s">
        <v>15</v>
      </c>
      <c r="J4989" t="s">
        <v>15</v>
      </c>
      <c r="K4989" t="s">
        <v>24</v>
      </c>
      <c r="L4989">
        <v>1730.65</v>
      </c>
      <c r="M4989" t="s">
        <v>5033</v>
      </c>
      <c r="N4989" t="s">
        <v>5031</v>
      </c>
    </row>
    <row r="4990" spans="1:14" x14ac:dyDescent="0.3">
      <c r="A4990" t="s">
        <v>5014</v>
      </c>
      <c r="B4990" t="s">
        <v>12</v>
      </c>
      <c r="C4990" t="s">
        <v>20</v>
      </c>
      <c r="D4990">
        <v>26</v>
      </c>
      <c r="E4990" t="s">
        <v>15</v>
      </c>
      <c r="F4990" t="s">
        <v>36</v>
      </c>
      <c r="G4990">
        <v>19.2</v>
      </c>
      <c r="H4990">
        <v>459.6</v>
      </c>
      <c r="I4990" t="s">
        <v>15</v>
      </c>
      <c r="J4990" t="s">
        <v>15</v>
      </c>
      <c r="K4990" t="s">
        <v>21</v>
      </c>
      <c r="L4990">
        <v>459.6</v>
      </c>
      <c r="M4990" t="s">
        <v>5032</v>
      </c>
      <c r="N4990" t="s">
        <v>5031</v>
      </c>
    </row>
    <row r="4991" spans="1:14" x14ac:dyDescent="0.3">
      <c r="A4991" t="s">
        <v>5015</v>
      </c>
      <c r="B4991" t="s">
        <v>12</v>
      </c>
      <c r="C4991" t="s">
        <v>13</v>
      </c>
      <c r="D4991">
        <v>7</v>
      </c>
      <c r="E4991" t="s">
        <v>14</v>
      </c>
      <c r="F4991" t="s">
        <v>15</v>
      </c>
      <c r="G4991">
        <v>29.8</v>
      </c>
      <c r="H4991">
        <v>201.95</v>
      </c>
      <c r="I4991" t="s">
        <v>15</v>
      </c>
      <c r="J4991" t="s">
        <v>15</v>
      </c>
      <c r="K4991" t="s">
        <v>21</v>
      </c>
      <c r="L4991">
        <v>201.95</v>
      </c>
      <c r="M4991" t="s">
        <v>5030</v>
      </c>
      <c r="N4991" t="s">
        <v>5031</v>
      </c>
    </row>
    <row r="4992" spans="1:14" x14ac:dyDescent="0.3">
      <c r="A4992" t="s">
        <v>5016</v>
      </c>
      <c r="B4992" t="s">
        <v>12</v>
      </c>
      <c r="C4992" t="s">
        <v>13</v>
      </c>
      <c r="D4992">
        <v>6</v>
      </c>
      <c r="E4992" t="s">
        <v>14</v>
      </c>
      <c r="F4992" t="s">
        <v>15</v>
      </c>
      <c r="G4992">
        <v>45.5</v>
      </c>
      <c r="H4992">
        <v>285.2</v>
      </c>
      <c r="I4992" t="s">
        <v>15</v>
      </c>
      <c r="J4992" t="s">
        <v>15</v>
      </c>
      <c r="K4992" t="s">
        <v>21</v>
      </c>
      <c r="L4992">
        <v>285.2</v>
      </c>
      <c r="M4992" t="s">
        <v>5030</v>
      </c>
      <c r="N4992" t="s">
        <v>5031</v>
      </c>
    </row>
    <row r="4993" spans="1:14" x14ac:dyDescent="0.3">
      <c r="A4993" t="s">
        <v>5017</v>
      </c>
      <c r="B4993" t="s">
        <v>12</v>
      </c>
      <c r="C4993" t="s">
        <v>20</v>
      </c>
      <c r="D4993">
        <v>58</v>
      </c>
      <c r="E4993" t="s">
        <v>26</v>
      </c>
      <c r="F4993" t="s">
        <v>15</v>
      </c>
      <c r="G4993">
        <v>106.45</v>
      </c>
      <c r="H4993">
        <v>6145.85</v>
      </c>
      <c r="I4993" t="s">
        <v>16</v>
      </c>
      <c r="J4993" t="s">
        <v>16</v>
      </c>
      <c r="K4993" t="s">
        <v>17</v>
      </c>
      <c r="L4993">
        <v>6145.85</v>
      </c>
      <c r="M4993" t="s">
        <v>5033</v>
      </c>
      <c r="N4993" t="s">
        <v>5034</v>
      </c>
    </row>
    <row r="4994" spans="1:14" x14ac:dyDescent="0.3">
      <c r="A4994" t="s">
        <v>5018</v>
      </c>
      <c r="B4994" t="s">
        <v>19</v>
      </c>
      <c r="C4994" t="s">
        <v>13</v>
      </c>
      <c r="D4994">
        <v>51</v>
      </c>
      <c r="E4994" t="s">
        <v>14</v>
      </c>
      <c r="F4994" t="s">
        <v>15</v>
      </c>
      <c r="G4994">
        <v>30.05</v>
      </c>
      <c r="H4994">
        <v>1529.45</v>
      </c>
      <c r="I4994" t="s">
        <v>15</v>
      </c>
      <c r="J4994" t="s">
        <v>16</v>
      </c>
      <c r="K4994" t="s">
        <v>29</v>
      </c>
      <c r="L4994">
        <v>1529.45</v>
      </c>
      <c r="M4994" t="s">
        <v>5033</v>
      </c>
      <c r="N4994" t="s">
        <v>5031</v>
      </c>
    </row>
    <row r="4995" spans="1:14" x14ac:dyDescent="0.3">
      <c r="A4995" t="s">
        <v>5019</v>
      </c>
      <c r="B4995" t="s">
        <v>19</v>
      </c>
      <c r="C4995" t="s">
        <v>35</v>
      </c>
      <c r="D4995">
        <v>72</v>
      </c>
      <c r="E4995" t="s">
        <v>14</v>
      </c>
      <c r="F4995" t="s">
        <v>16</v>
      </c>
      <c r="G4995">
        <v>65.650000000000006</v>
      </c>
      <c r="H4995">
        <v>4664.5</v>
      </c>
      <c r="I4995" t="s">
        <v>15</v>
      </c>
      <c r="J4995" t="s">
        <v>16</v>
      </c>
      <c r="K4995" t="s">
        <v>24</v>
      </c>
      <c r="L4995">
        <v>4664.5</v>
      </c>
      <c r="M4995" t="s">
        <v>5033</v>
      </c>
      <c r="N4995" t="s">
        <v>5034</v>
      </c>
    </row>
    <row r="4996" spans="1:14" x14ac:dyDescent="0.3">
      <c r="A4996" t="s">
        <v>5020</v>
      </c>
      <c r="B4996" t="s">
        <v>12</v>
      </c>
      <c r="C4996" t="s">
        <v>13</v>
      </c>
      <c r="D4996">
        <v>18</v>
      </c>
      <c r="E4996" t="s">
        <v>26</v>
      </c>
      <c r="F4996" t="s">
        <v>15</v>
      </c>
      <c r="G4996">
        <v>96.05</v>
      </c>
      <c r="H4996">
        <v>1740.7</v>
      </c>
      <c r="I4996" t="s">
        <v>16</v>
      </c>
      <c r="J4996" t="s">
        <v>16</v>
      </c>
      <c r="K4996" t="s">
        <v>17</v>
      </c>
      <c r="L4996">
        <v>1740.7</v>
      </c>
      <c r="M4996" t="s">
        <v>5032</v>
      </c>
      <c r="N4996" t="s">
        <v>5031</v>
      </c>
    </row>
    <row r="4997" spans="1:14" x14ac:dyDescent="0.3">
      <c r="A4997" t="s">
        <v>5021</v>
      </c>
      <c r="B4997" t="s">
        <v>12</v>
      </c>
      <c r="C4997" t="s">
        <v>13</v>
      </c>
      <c r="D4997">
        <v>7</v>
      </c>
      <c r="E4997" t="s">
        <v>26</v>
      </c>
      <c r="F4997" t="s">
        <v>15</v>
      </c>
      <c r="G4997">
        <v>75.099999999999994</v>
      </c>
      <c r="H4997">
        <v>552.95000000000005</v>
      </c>
      <c r="I4997" t="s">
        <v>16</v>
      </c>
      <c r="J4997" t="s">
        <v>16</v>
      </c>
      <c r="K4997" t="s">
        <v>24</v>
      </c>
      <c r="L4997">
        <v>552.95000000000005</v>
      </c>
      <c r="M4997" t="s">
        <v>5030</v>
      </c>
      <c r="N4997" t="s">
        <v>5031</v>
      </c>
    </row>
    <row r="4998" spans="1:14" x14ac:dyDescent="0.3">
      <c r="A4998" t="s">
        <v>5022</v>
      </c>
      <c r="B4998" t="s">
        <v>12</v>
      </c>
      <c r="C4998" t="s">
        <v>35</v>
      </c>
      <c r="D4998">
        <v>47</v>
      </c>
      <c r="E4998" t="s">
        <v>14</v>
      </c>
      <c r="F4998" t="s">
        <v>16</v>
      </c>
      <c r="G4998">
        <v>74.05</v>
      </c>
      <c r="H4998">
        <v>3496.3</v>
      </c>
      <c r="I4998" t="s">
        <v>15</v>
      </c>
      <c r="J4998" t="s">
        <v>15</v>
      </c>
      <c r="K4998" t="s">
        <v>21</v>
      </c>
      <c r="L4998">
        <v>3496.3</v>
      </c>
      <c r="M4998" t="s">
        <v>5033</v>
      </c>
      <c r="N4998" t="s">
        <v>5034</v>
      </c>
    </row>
    <row r="4999" spans="1:14" x14ac:dyDescent="0.3">
      <c r="A4999" t="s">
        <v>5023</v>
      </c>
      <c r="B4999" t="s">
        <v>19</v>
      </c>
      <c r="C4999" t="s">
        <v>13</v>
      </c>
      <c r="D4999">
        <v>2</v>
      </c>
      <c r="E4999" t="s">
        <v>14</v>
      </c>
      <c r="F4999" t="s">
        <v>15</v>
      </c>
      <c r="G4999">
        <v>44.7</v>
      </c>
      <c r="H4999">
        <v>93.7</v>
      </c>
      <c r="I4999" t="s">
        <v>16</v>
      </c>
      <c r="J4999" t="s">
        <v>16</v>
      </c>
      <c r="K4999" t="s">
        <v>17</v>
      </c>
      <c r="L4999">
        <v>93.7</v>
      </c>
      <c r="M4999" t="s">
        <v>5030</v>
      </c>
      <c r="N4999" t="s">
        <v>5031</v>
      </c>
    </row>
    <row r="5000" spans="1:14" x14ac:dyDescent="0.3">
      <c r="A5000" t="s">
        <v>5024</v>
      </c>
      <c r="B5000" t="s">
        <v>19</v>
      </c>
      <c r="C5000" t="s">
        <v>20</v>
      </c>
      <c r="D5000">
        <v>62</v>
      </c>
      <c r="E5000" t="s">
        <v>26</v>
      </c>
      <c r="F5000" t="s">
        <v>16</v>
      </c>
      <c r="G5000">
        <v>110.75</v>
      </c>
      <c r="H5000">
        <v>7053.35</v>
      </c>
      <c r="I5000" t="s">
        <v>15</v>
      </c>
      <c r="J5000" t="s">
        <v>16</v>
      </c>
      <c r="K5000" t="s">
        <v>24</v>
      </c>
      <c r="L5000">
        <v>7053.35</v>
      </c>
      <c r="M5000" t="s">
        <v>5033</v>
      </c>
      <c r="N5000" t="s">
        <v>5034</v>
      </c>
    </row>
    <row r="5001" spans="1:14" x14ac:dyDescent="0.3">
      <c r="A5001" t="s">
        <v>5025</v>
      </c>
      <c r="B5001" t="s">
        <v>12</v>
      </c>
      <c r="C5001" t="s">
        <v>35</v>
      </c>
      <c r="D5001">
        <v>16</v>
      </c>
      <c r="E5001" t="s">
        <v>15</v>
      </c>
      <c r="F5001" t="s">
        <v>36</v>
      </c>
      <c r="G5001">
        <v>19.7</v>
      </c>
      <c r="H5001">
        <v>301.55</v>
      </c>
      <c r="I5001" t="s">
        <v>15</v>
      </c>
      <c r="J5001" t="s">
        <v>15</v>
      </c>
      <c r="K5001" t="s">
        <v>21</v>
      </c>
      <c r="L5001">
        <v>301.55</v>
      </c>
      <c r="M5001" t="s">
        <v>5032</v>
      </c>
      <c r="N5001" t="s">
        <v>5031</v>
      </c>
    </row>
    <row r="5002" spans="1:14" x14ac:dyDescent="0.3">
      <c r="A5002" t="s">
        <v>5026</v>
      </c>
      <c r="B5002" t="s">
        <v>19</v>
      </c>
      <c r="C5002" t="s">
        <v>13</v>
      </c>
      <c r="D5002">
        <v>6</v>
      </c>
      <c r="E5002" t="s">
        <v>14</v>
      </c>
      <c r="F5002" t="s">
        <v>16</v>
      </c>
      <c r="G5002">
        <v>49.5</v>
      </c>
      <c r="H5002">
        <v>312.7</v>
      </c>
      <c r="I5002" t="s">
        <v>15</v>
      </c>
      <c r="J5002" t="s">
        <v>16</v>
      </c>
      <c r="K5002" t="s">
        <v>29</v>
      </c>
      <c r="L5002">
        <v>312.7</v>
      </c>
      <c r="M5002" t="s">
        <v>5030</v>
      </c>
      <c r="N5002" t="s">
        <v>5031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0D61-0820-43FC-B16D-803C2A3017F3}">
  <dimension ref="B1:Q92"/>
  <sheetViews>
    <sheetView showGridLines="0" tabSelected="1" topLeftCell="A2" zoomScaleNormal="100" workbookViewId="0">
      <selection activeCell="M19" sqref="M19"/>
    </sheetView>
  </sheetViews>
  <sheetFormatPr defaultRowHeight="14.4" x14ac:dyDescent="0.3"/>
  <cols>
    <col min="2" max="2" width="16.33203125" bestFit="1" customWidth="1"/>
    <col min="3" max="3" width="28.109375" customWidth="1"/>
    <col min="4" max="4" width="19.88671875" customWidth="1"/>
    <col min="5" max="5" width="24.77734375" bestFit="1" customWidth="1"/>
  </cols>
  <sheetData>
    <row r="1" spans="2:17" ht="31.8" customHeight="1" x14ac:dyDescent="0.3"/>
    <row r="2" spans="2:17" ht="25.8" x14ac:dyDescent="0.5">
      <c r="B2" s="17" t="s">
        <v>5048</v>
      </c>
      <c r="C2" s="17"/>
      <c r="D2" s="17"/>
      <c r="E2" s="17"/>
      <c r="F2" s="17"/>
      <c r="G2" s="17"/>
      <c r="H2" s="17"/>
      <c r="I2" s="17"/>
      <c r="J2" s="17"/>
      <c r="K2" s="5"/>
      <c r="L2" s="5"/>
      <c r="M2" s="5"/>
      <c r="N2" s="5"/>
      <c r="O2" s="5"/>
      <c r="P2" s="5"/>
      <c r="Q2" s="5"/>
    </row>
    <row r="3" spans="2:17" x14ac:dyDescent="0.3">
      <c r="B3" s="16"/>
      <c r="C3" s="16"/>
      <c r="D3" s="16"/>
      <c r="E3" s="16"/>
      <c r="F3" s="16"/>
      <c r="G3" s="16"/>
      <c r="H3" s="16"/>
      <c r="I3" s="16"/>
      <c r="J3" s="16"/>
      <c r="K3" s="5"/>
      <c r="L3" s="5"/>
      <c r="M3" s="5"/>
      <c r="N3" s="5"/>
      <c r="O3" s="5"/>
      <c r="P3" s="5"/>
      <c r="Q3" s="5"/>
    </row>
    <row r="4" spans="2:17" x14ac:dyDescent="0.3">
      <c r="B4" s="16"/>
      <c r="C4" s="16"/>
      <c r="D4" s="16"/>
      <c r="E4" s="16"/>
      <c r="F4" s="16"/>
      <c r="G4" s="16"/>
      <c r="H4" s="16"/>
      <c r="I4" s="16"/>
      <c r="J4" s="16"/>
      <c r="K4" s="5"/>
      <c r="L4" s="5"/>
      <c r="M4" s="5"/>
      <c r="N4" s="5"/>
      <c r="O4" s="5"/>
      <c r="P4" s="5"/>
      <c r="Q4" s="5"/>
    </row>
    <row r="5" spans="2:17" x14ac:dyDescent="0.3">
      <c r="B5" s="16"/>
      <c r="C5" s="16"/>
      <c r="D5" s="16"/>
      <c r="E5" s="16"/>
      <c r="F5" s="16"/>
      <c r="G5" s="16"/>
      <c r="H5" s="16"/>
      <c r="I5" s="16"/>
      <c r="J5" s="16"/>
      <c r="K5" s="5"/>
      <c r="L5" s="5"/>
      <c r="M5" s="5"/>
      <c r="N5" s="5"/>
      <c r="O5" s="5"/>
      <c r="P5" s="5"/>
      <c r="Q5" s="5"/>
    </row>
    <row r="6" spans="2:17" x14ac:dyDescent="0.3">
      <c r="B6" s="16"/>
      <c r="C6" s="16"/>
      <c r="D6" s="16"/>
      <c r="E6" s="16"/>
      <c r="F6" s="16"/>
      <c r="G6" s="16"/>
      <c r="H6" s="16"/>
      <c r="I6" s="16"/>
      <c r="J6" s="16"/>
      <c r="K6" s="5"/>
      <c r="L6" s="5"/>
      <c r="M6" s="5"/>
      <c r="N6" s="5"/>
      <c r="O6" s="5"/>
      <c r="P6" s="5"/>
      <c r="Q6" s="5"/>
    </row>
    <row r="7" spans="2:17" x14ac:dyDescent="0.3">
      <c r="B7" s="16"/>
      <c r="C7" s="16"/>
      <c r="D7" s="16"/>
      <c r="E7" s="16"/>
      <c r="F7" s="16"/>
      <c r="G7" s="16"/>
      <c r="H7" s="16"/>
      <c r="I7" s="16"/>
      <c r="J7" s="16"/>
      <c r="K7" s="5"/>
      <c r="L7" s="5"/>
      <c r="M7" s="5"/>
      <c r="N7" s="5"/>
      <c r="O7" s="5"/>
      <c r="P7" s="5"/>
      <c r="Q7" s="5"/>
    </row>
    <row r="8" spans="2:17" x14ac:dyDescent="0.3">
      <c r="B8" s="16"/>
      <c r="C8" s="16"/>
      <c r="D8" s="16"/>
      <c r="E8" s="16"/>
      <c r="F8" s="16"/>
      <c r="G8" s="16"/>
      <c r="H8" s="16"/>
      <c r="I8" s="16"/>
      <c r="J8" s="16"/>
      <c r="K8" s="5"/>
      <c r="L8" s="5"/>
      <c r="M8" s="5"/>
      <c r="N8" s="5"/>
      <c r="O8" s="5"/>
      <c r="P8" s="5"/>
      <c r="Q8" s="5"/>
    </row>
    <row r="9" spans="2:17" x14ac:dyDescent="0.3">
      <c r="B9" s="16"/>
      <c r="C9" s="16"/>
      <c r="D9" s="16"/>
      <c r="E9" s="16"/>
      <c r="F9" s="16"/>
      <c r="G9" s="16"/>
      <c r="H9" s="16"/>
      <c r="I9" s="16"/>
      <c r="J9" s="16"/>
      <c r="K9" s="5"/>
      <c r="L9" s="5"/>
      <c r="M9" s="5"/>
      <c r="N9" s="5"/>
      <c r="O9" s="5"/>
      <c r="P9" s="5"/>
      <c r="Q9" s="5"/>
    </row>
    <row r="10" spans="2:17" x14ac:dyDescent="0.3">
      <c r="B10" s="16"/>
      <c r="C10" s="16"/>
      <c r="D10" s="16"/>
      <c r="E10" s="16"/>
      <c r="F10" s="16"/>
      <c r="G10" s="16"/>
      <c r="H10" s="16"/>
      <c r="I10" s="16"/>
      <c r="J10" s="16"/>
      <c r="K10" s="5"/>
      <c r="L10" s="5"/>
      <c r="M10" s="5"/>
      <c r="N10" s="5"/>
      <c r="O10" s="5"/>
      <c r="P10" s="5"/>
      <c r="Q10" s="5"/>
    </row>
    <row r="11" spans="2:17" x14ac:dyDescent="0.3">
      <c r="B11" s="16"/>
      <c r="C11" s="16"/>
      <c r="D11" s="16"/>
      <c r="E11" s="16"/>
      <c r="F11" s="16"/>
      <c r="G11" s="16"/>
      <c r="H11" s="16"/>
      <c r="I11" s="16"/>
      <c r="J11" s="16"/>
      <c r="K11" s="5"/>
      <c r="L11" s="5"/>
      <c r="M11" s="5"/>
      <c r="N11" s="5"/>
      <c r="O11" s="5"/>
      <c r="P11" s="5"/>
      <c r="Q11" s="5"/>
    </row>
    <row r="12" spans="2:17" x14ac:dyDescent="0.3">
      <c r="B12" s="16"/>
      <c r="C12" s="16"/>
      <c r="D12" s="16"/>
      <c r="E12" s="16"/>
      <c r="F12" s="16"/>
      <c r="G12" s="16"/>
      <c r="H12" s="16"/>
      <c r="I12" s="16"/>
      <c r="J12" s="16"/>
      <c r="K12" s="5"/>
      <c r="L12" s="5"/>
      <c r="M12" s="5"/>
      <c r="N12" s="5"/>
      <c r="O12" s="5"/>
      <c r="P12" s="5"/>
      <c r="Q12" s="5"/>
    </row>
    <row r="13" spans="2:17" x14ac:dyDescent="0.3">
      <c r="B13" s="16"/>
      <c r="C13" s="16"/>
      <c r="D13" s="16"/>
      <c r="E13" s="16"/>
      <c r="F13" s="16"/>
      <c r="G13" s="16"/>
      <c r="H13" s="16"/>
      <c r="I13" s="16"/>
      <c r="J13" s="16"/>
      <c r="K13" s="5"/>
      <c r="L13" s="5"/>
      <c r="M13" s="5"/>
      <c r="N13" s="5"/>
      <c r="O13" s="5"/>
      <c r="P13" s="5"/>
      <c r="Q13" s="5"/>
    </row>
    <row r="14" spans="2:17" x14ac:dyDescent="0.3">
      <c r="B14" s="16"/>
      <c r="C14" s="16"/>
      <c r="D14" s="16"/>
      <c r="E14" s="16"/>
      <c r="F14" s="16"/>
      <c r="G14" s="16"/>
      <c r="H14" s="16"/>
      <c r="I14" s="16"/>
      <c r="J14" s="16"/>
      <c r="K14" s="5"/>
      <c r="L14" s="5"/>
      <c r="M14" s="5"/>
      <c r="N14" s="5"/>
      <c r="O14" s="5"/>
      <c r="P14" s="5"/>
      <c r="Q14" s="5"/>
    </row>
    <row r="15" spans="2:17" x14ac:dyDescent="0.3">
      <c r="B15" s="16"/>
      <c r="C15" s="16"/>
      <c r="D15" s="16"/>
      <c r="E15" s="16"/>
      <c r="F15" s="16"/>
      <c r="G15" s="16"/>
      <c r="H15" s="16"/>
      <c r="I15" s="16"/>
      <c r="J15" s="16"/>
      <c r="K15" s="5"/>
      <c r="L15" s="5"/>
      <c r="M15" s="5"/>
      <c r="N15" s="5"/>
      <c r="O15" s="5"/>
      <c r="P15" s="5"/>
      <c r="Q15" s="5"/>
    </row>
    <row r="16" spans="2:17" x14ac:dyDescent="0.3">
      <c r="B16" s="16"/>
      <c r="C16" s="16"/>
      <c r="D16" s="16"/>
      <c r="E16" s="16"/>
      <c r="F16" s="16"/>
      <c r="G16" s="16"/>
      <c r="H16" s="16"/>
      <c r="I16" s="16"/>
      <c r="J16" s="16"/>
      <c r="K16" s="5"/>
      <c r="L16" s="5"/>
      <c r="M16" s="5"/>
      <c r="N16" s="5"/>
      <c r="O16" s="5"/>
      <c r="P16" s="5"/>
      <c r="Q16" s="5"/>
    </row>
    <row r="17" spans="2:17" x14ac:dyDescent="0.3">
      <c r="B17" s="16"/>
      <c r="C17" s="16"/>
      <c r="D17" s="16"/>
      <c r="E17" s="16"/>
      <c r="F17" s="16"/>
      <c r="G17" s="16"/>
      <c r="H17" s="16"/>
      <c r="I17" s="16"/>
      <c r="J17" s="16"/>
      <c r="K17" s="5"/>
      <c r="L17" s="5"/>
      <c r="M17" s="5"/>
      <c r="N17" s="5"/>
      <c r="O17" s="5"/>
      <c r="P17" s="5"/>
      <c r="Q17" s="5"/>
    </row>
    <row r="18" spans="2:17" x14ac:dyDescent="0.3">
      <c r="B18" s="16"/>
      <c r="C18" s="16"/>
      <c r="D18" s="16"/>
      <c r="E18" s="16"/>
      <c r="F18" s="16"/>
      <c r="G18" s="16"/>
      <c r="H18" s="16"/>
      <c r="I18" s="16"/>
      <c r="J18" s="16"/>
      <c r="K18" s="5"/>
      <c r="L18" s="5"/>
      <c r="M18" s="5"/>
      <c r="N18" s="5"/>
      <c r="O18" s="5"/>
      <c r="P18" s="5"/>
      <c r="Q18" s="5"/>
    </row>
    <row r="19" spans="2:17" x14ac:dyDescent="0.3">
      <c r="B19" s="16"/>
      <c r="C19" s="16"/>
      <c r="D19" s="16"/>
      <c r="E19" s="16"/>
      <c r="F19" s="16"/>
      <c r="G19" s="16"/>
      <c r="H19" s="16"/>
      <c r="I19" s="16"/>
      <c r="J19" s="16"/>
      <c r="K19" s="5"/>
      <c r="L19" s="5"/>
      <c r="M19" s="5"/>
      <c r="N19" s="5"/>
      <c r="O19" s="5"/>
      <c r="P19" s="5"/>
      <c r="Q19" s="5"/>
    </row>
    <row r="20" spans="2:17" x14ac:dyDescent="0.3">
      <c r="B20" s="16"/>
      <c r="C20" s="16"/>
      <c r="D20" s="16"/>
      <c r="E20" s="16"/>
      <c r="F20" s="16"/>
      <c r="G20" s="16"/>
      <c r="H20" s="16"/>
      <c r="I20" s="16"/>
      <c r="J20" s="16"/>
      <c r="K20" s="5"/>
      <c r="L20" s="5"/>
      <c r="M20" s="5"/>
      <c r="N20" s="5"/>
      <c r="O20" s="5"/>
      <c r="P20" s="5"/>
      <c r="Q20" s="5"/>
    </row>
    <row r="21" spans="2:17" x14ac:dyDescent="0.3">
      <c r="B21" s="16"/>
      <c r="C21" s="16"/>
      <c r="D21" s="16"/>
      <c r="E21" s="16"/>
      <c r="F21" s="16"/>
      <c r="G21" s="16"/>
      <c r="H21" s="16"/>
      <c r="I21" s="16"/>
      <c r="J21" s="16"/>
      <c r="K21" s="5"/>
      <c r="L21" s="5"/>
      <c r="M21" s="5"/>
      <c r="N21" s="5"/>
      <c r="O21" s="5"/>
      <c r="P21" s="5"/>
      <c r="Q21" s="5"/>
    </row>
    <row r="22" spans="2:17" x14ac:dyDescent="0.3">
      <c r="B22" s="16"/>
      <c r="C22" s="16"/>
      <c r="D22" s="16"/>
      <c r="E22" s="16"/>
      <c r="F22" s="16"/>
      <c r="G22" s="16"/>
      <c r="H22" s="16"/>
      <c r="I22" s="16"/>
      <c r="J22" s="16"/>
      <c r="K22" s="5"/>
      <c r="L22" s="5"/>
      <c r="M22" s="5"/>
      <c r="N22" s="5"/>
      <c r="O22" s="5"/>
      <c r="P22" s="5"/>
      <c r="Q22" s="5"/>
    </row>
    <row r="23" spans="2:17" x14ac:dyDescent="0.3">
      <c r="B23" s="16"/>
      <c r="C23" s="16"/>
      <c r="D23" s="16"/>
      <c r="E23" s="16"/>
      <c r="F23" s="16"/>
      <c r="G23" s="16"/>
      <c r="H23" s="16"/>
      <c r="I23" s="16"/>
      <c r="J23" s="16"/>
      <c r="K23" s="5"/>
      <c r="L23" s="5"/>
      <c r="M23" s="5"/>
      <c r="N23" s="5"/>
      <c r="O23" s="5"/>
      <c r="P23" s="5"/>
      <c r="Q23" s="5"/>
    </row>
    <row r="24" spans="2:17" x14ac:dyDescent="0.3">
      <c r="B24" s="16"/>
      <c r="C24" s="16"/>
      <c r="D24" s="16"/>
      <c r="E24" s="16"/>
      <c r="F24" s="16"/>
      <c r="G24" s="16"/>
      <c r="H24" s="16"/>
      <c r="I24" s="16"/>
      <c r="J24" s="16"/>
      <c r="K24" s="5"/>
      <c r="L24" s="5"/>
      <c r="M24" s="5"/>
      <c r="N24" s="5"/>
      <c r="O24" s="5"/>
      <c r="P24" s="5"/>
      <c r="Q24" s="5"/>
    </row>
    <row r="25" spans="2:17" x14ac:dyDescent="0.3">
      <c r="B25" s="16"/>
      <c r="C25" s="16"/>
      <c r="D25" s="16"/>
      <c r="E25" s="16"/>
      <c r="F25" s="16"/>
      <c r="G25" s="16"/>
      <c r="H25" s="16"/>
      <c r="I25" s="16"/>
      <c r="J25" s="16"/>
      <c r="K25" s="5"/>
      <c r="L25" s="5"/>
      <c r="M25" s="5"/>
      <c r="N25" s="5"/>
      <c r="O25" s="5"/>
      <c r="P25" s="5"/>
      <c r="Q25" s="5"/>
    </row>
    <row r="26" spans="2:17" x14ac:dyDescent="0.3">
      <c r="B26" s="16"/>
      <c r="C26" s="16"/>
      <c r="D26" s="16"/>
      <c r="E26" s="16"/>
      <c r="F26" s="16"/>
      <c r="G26" s="16"/>
      <c r="H26" s="16"/>
      <c r="I26" s="16"/>
      <c r="J26" s="16"/>
      <c r="K26" s="5"/>
      <c r="L26" s="5"/>
      <c r="M26" s="5"/>
      <c r="N26" s="5"/>
      <c r="O26" s="5"/>
      <c r="P26" s="5"/>
      <c r="Q26" s="5"/>
    </row>
    <row r="27" spans="2:17" x14ac:dyDescent="0.3">
      <c r="B27" s="16"/>
      <c r="C27" s="16"/>
      <c r="D27" s="16"/>
      <c r="E27" s="16"/>
      <c r="F27" s="16"/>
      <c r="G27" s="16"/>
      <c r="H27" s="16"/>
      <c r="I27" s="16"/>
      <c r="J27" s="16"/>
      <c r="K27" s="5"/>
      <c r="L27" s="5"/>
      <c r="M27" s="5"/>
      <c r="N27" s="5"/>
      <c r="O27" s="5"/>
      <c r="P27" s="5"/>
      <c r="Q27" s="5"/>
    </row>
    <row r="28" spans="2:17" x14ac:dyDescent="0.3">
      <c r="B28" s="16"/>
      <c r="C28" s="16"/>
      <c r="D28" s="16"/>
      <c r="E28" s="16"/>
      <c r="F28" s="16"/>
      <c r="G28" s="16"/>
      <c r="H28" s="16"/>
      <c r="I28" s="16"/>
      <c r="J28" s="16"/>
      <c r="K28" s="5"/>
      <c r="L28" s="5"/>
      <c r="M28" s="5"/>
      <c r="N28" s="5"/>
      <c r="O28" s="5"/>
      <c r="P28" s="5"/>
      <c r="Q28" s="5"/>
    </row>
    <row r="29" spans="2:17" x14ac:dyDescent="0.3">
      <c r="B29" s="16"/>
      <c r="C29" s="16"/>
      <c r="D29" s="16"/>
      <c r="E29" s="16"/>
      <c r="F29" s="16"/>
      <c r="G29" s="16"/>
      <c r="H29" s="16"/>
      <c r="I29" s="16"/>
      <c r="J29" s="16"/>
      <c r="K29" s="5"/>
      <c r="L29" s="5"/>
      <c r="M29" s="5"/>
      <c r="N29" s="5"/>
      <c r="O29" s="5"/>
      <c r="P29" s="5"/>
      <c r="Q29" s="5"/>
    </row>
    <row r="30" spans="2:17" x14ac:dyDescent="0.3">
      <c r="B30" s="16"/>
      <c r="C30" s="16"/>
      <c r="D30" s="16"/>
      <c r="E30" s="16"/>
      <c r="F30" s="16"/>
      <c r="G30" s="16"/>
      <c r="H30" s="16"/>
      <c r="I30" s="16"/>
      <c r="J30" s="16"/>
      <c r="K30" s="5"/>
      <c r="L30" s="5"/>
      <c r="M30" s="5"/>
      <c r="N30" s="5"/>
      <c r="O30" s="5"/>
      <c r="P30" s="5"/>
      <c r="Q30" s="5"/>
    </row>
    <row r="31" spans="2:17" x14ac:dyDescent="0.3">
      <c r="B31" s="16"/>
      <c r="C31" s="16"/>
      <c r="D31" s="16"/>
      <c r="E31" s="16"/>
      <c r="F31" s="16"/>
      <c r="G31" s="16"/>
      <c r="H31" s="16"/>
      <c r="I31" s="16"/>
      <c r="J31" s="16"/>
      <c r="K31" s="5"/>
      <c r="L31" s="5"/>
      <c r="M31" s="5"/>
      <c r="N31" s="5"/>
      <c r="O31" s="5"/>
      <c r="P31" s="5"/>
      <c r="Q31" s="5"/>
    </row>
    <row r="32" spans="2:17" x14ac:dyDescent="0.3">
      <c r="B32" s="16"/>
      <c r="C32" s="16"/>
      <c r="D32" s="16"/>
      <c r="E32" s="16"/>
      <c r="F32" s="16"/>
      <c r="G32" s="16"/>
      <c r="H32" s="16"/>
      <c r="I32" s="16"/>
      <c r="J32" s="16"/>
      <c r="K32" s="5"/>
      <c r="L32" s="5"/>
      <c r="M32" s="5"/>
      <c r="N32" s="5"/>
      <c r="O32" s="5"/>
      <c r="P32" s="5"/>
      <c r="Q32" s="5"/>
    </row>
    <row r="33" spans="2:17" x14ac:dyDescent="0.3">
      <c r="B33" s="16"/>
      <c r="C33" s="16"/>
      <c r="D33" s="16"/>
      <c r="E33" s="16"/>
      <c r="F33" s="16"/>
      <c r="G33" s="16"/>
      <c r="H33" s="16"/>
      <c r="I33" s="16"/>
      <c r="J33" s="16"/>
      <c r="K33" s="5"/>
      <c r="L33" s="5"/>
      <c r="M33" s="5"/>
      <c r="N33" s="5"/>
      <c r="O33" s="5"/>
      <c r="P33" s="5"/>
      <c r="Q33" s="5"/>
    </row>
    <row r="34" spans="2:17" x14ac:dyDescent="0.3">
      <c r="B34" s="5"/>
      <c r="C34" s="5"/>
      <c r="D34" s="5"/>
      <c r="E34" s="5"/>
      <c r="F34" s="5"/>
      <c r="G34" s="5"/>
      <c r="H34" s="5"/>
      <c r="I34" s="5"/>
      <c r="J34" s="5"/>
      <c r="K34" s="5"/>
      <c r="L34" s="5"/>
      <c r="M34" s="5"/>
      <c r="N34" s="5"/>
      <c r="O34" s="5"/>
      <c r="P34" s="5"/>
      <c r="Q34" s="5"/>
    </row>
    <row r="35" spans="2:17" x14ac:dyDescent="0.3">
      <c r="B35" s="5"/>
      <c r="C35" s="5"/>
      <c r="D35" s="5"/>
      <c r="E35" s="5"/>
      <c r="F35" s="5"/>
      <c r="G35" s="5"/>
      <c r="H35" s="5"/>
      <c r="I35" s="5"/>
      <c r="J35" s="5"/>
      <c r="K35" s="5"/>
      <c r="L35" s="5"/>
      <c r="M35" s="5"/>
      <c r="N35" s="5"/>
      <c r="O35" s="5"/>
      <c r="P35" s="5"/>
      <c r="Q35" s="5"/>
    </row>
    <row r="36" spans="2:17" x14ac:dyDescent="0.3">
      <c r="B36" s="5"/>
      <c r="C36" s="5"/>
      <c r="D36" s="5"/>
      <c r="E36" s="5"/>
      <c r="F36" s="5"/>
      <c r="G36" s="5"/>
      <c r="H36" s="5"/>
      <c r="I36" s="5"/>
      <c r="J36" s="5"/>
      <c r="K36" s="5"/>
      <c r="L36" s="5"/>
      <c r="M36" s="5"/>
      <c r="N36" s="5"/>
      <c r="O36" s="5"/>
      <c r="P36" s="5"/>
      <c r="Q36" s="5"/>
    </row>
    <row r="37" spans="2:17" x14ac:dyDescent="0.3">
      <c r="B37" s="5"/>
      <c r="C37" s="5"/>
      <c r="D37" s="5"/>
      <c r="E37" s="5"/>
      <c r="F37" s="5"/>
      <c r="G37" s="5"/>
      <c r="H37" s="5"/>
      <c r="I37" s="5"/>
      <c r="J37" s="5"/>
      <c r="K37" s="5"/>
      <c r="L37" s="5"/>
      <c r="M37" s="5"/>
      <c r="N37" s="5"/>
      <c r="O37" s="5"/>
      <c r="P37" s="5"/>
      <c r="Q37" s="5"/>
    </row>
    <row r="38" spans="2:17" x14ac:dyDescent="0.3">
      <c r="B38" s="5"/>
      <c r="C38" s="5"/>
      <c r="D38" s="18"/>
      <c r="E38" s="18"/>
      <c r="F38" s="5"/>
      <c r="G38" s="5"/>
      <c r="H38" s="5"/>
      <c r="I38" s="5"/>
      <c r="J38" s="5"/>
      <c r="K38" s="5"/>
      <c r="L38" s="5"/>
      <c r="M38" s="5"/>
      <c r="N38" s="5"/>
      <c r="O38" s="5"/>
      <c r="P38" s="5"/>
      <c r="Q38" s="5"/>
    </row>
    <row r="39" spans="2:17" x14ac:dyDescent="0.3">
      <c r="B39" s="5"/>
      <c r="C39" s="5"/>
      <c r="D39" s="5"/>
      <c r="E39" s="5"/>
      <c r="F39" s="5"/>
      <c r="G39" s="5"/>
      <c r="H39" s="5"/>
      <c r="I39" s="5"/>
      <c r="J39" s="5"/>
      <c r="K39" s="5"/>
      <c r="L39" s="5"/>
      <c r="M39" s="5"/>
      <c r="N39" s="5"/>
      <c r="O39" s="5"/>
      <c r="P39" s="5"/>
      <c r="Q39" s="5"/>
    </row>
    <row r="40" spans="2:17" x14ac:dyDescent="0.3">
      <c r="B40" s="5"/>
      <c r="C40" s="5"/>
      <c r="D40" s="5"/>
      <c r="E40" s="5"/>
      <c r="F40" s="5"/>
      <c r="G40" s="5"/>
      <c r="H40" s="5"/>
      <c r="I40" s="5"/>
      <c r="J40" s="5"/>
      <c r="K40" s="5"/>
      <c r="L40" s="5"/>
      <c r="M40" s="5"/>
      <c r="N40" s="5"/>
      <c r="O40" s="5"/>
      <c r="P40" s="5"/>
      <c r="Q40" s="5"/>
    </row>
    <row r="41" spans="2:17" x14ac:dyDescent="0.3">
      <c r="B41" s="5"/>
      <c r="C41" s="5"/>
      <c r="D41" s="5"/>
      <c r="E41" s="5"/>
      <c r="F41" s="5"/>
      <c r="G41" s="5"/>
      <c r="H41" s="5"/>
      <c r="I41" s="5"/>
      <c r="J41" s="5"/>
      <c r="K41" s="5"/>
      <c r="L41" s="5"/>
      <c r="M41" s="5"/>
      <c r="N41" s="5"/>
      <c r="O41" s="5"/>
      <c r="P41" s="5"/>
      <c r="Q41" s="5"/>
    </row>
    <row r="42" spans="2:17" x14ac:dyDescent="0.3">
      <c r="B42" s="5"/>
      <c r="C42" s="5"/>
      <c r="D42" s="5"/>
      <c r="E42" s="5"/>
      <c r="F42" s="5"/>
      <c r="G42" s="5"/>
      <c r="H42" s="5"/>
      <c r="I42" s="5"/>
      <c r="J42" s="5"/>
      <c r="K42" s="5"/>
      <c r="L42" s="5"/>
      <c r="M42" s="5"/>
      <c r="N42" s="5"/>
      <c r="O42" s="5"/>
      <c r="P42" s="5"/>
      <c r="Q42" s="5"/>
    </row>
    <row r="43" spans="2:17" x14ac:dyDescent="0.3">
      <c r="B43" s="5"/>
      <c r="C43" s="5"/>
      <c r="D43" s="5"/>
      <c r="E43" s="5"/>
      <c r="F43" s="5"/>
      <c r="G43" s="5"/>
      <c r="H43" s="5"/>
      <c r="I43" s="5"/>
      <c r="J43" s="5"/>
      <c r="K43" s="5"/>
      <c r="L43" s="5"/>
      <c r="M43" s="5"/>
      <c r="N43" s="5"/>
      <c r="O43" s="5"/>
      <c r="P43" s="5"/>
      <c r="Q43" s="5"/>
    </row>
    <row r="44" spans="2:17" x14ac:dyDescent="0.3">
      <c r="B44" s="5"/>
      <c r="C44" s="5"/>
      <c r="D44" s="5"/>
      <c r="E44" s="5"/>
      <c r="F44" s="5"/>
      <c r="G44" s="5"/>
      <c r="H44" s="5"/>
      <c r="I44" s="5"/>
      <c r="J44" s="5"/>
      <c r="K44" s="5"/>
      <c r="L44" s="5"/>
      <c r="M44" s="5"/>
      <c r="N44" s="5"/>
      <c r="O44" s="5"/>
      <c r="P44" s="5"/>
      <c r="Q44" s="5"/>
    </row>
    <row r="45" spans="2:17" x14ac:dyDescent="0.3">
      <c r="B45" s="5"/>
      <c r="C45" s="5"/>
      <c r="D45" s="5"/>
      <c r="E45" s="5"/>
      <c r="F45" s="5"/>
      <c r="G45" s="5"/>
      <c r="H45" s="5"/>
      <c r="I45" s="5"/>
      <c r="J45" s="5"/>
      <c r="K45" s="5"/>
      <c r="L45" s="5"/>
      <c r="M45" s="5"/>
      <c r="N45" s="5"/>
      <c r="O45" s="5"/>
      <c r="P45" s="5"/>
      <c r="Q45" s="5"/>
    </row>
    <row r="46" spans="2:17" x14ac:dyDescent="0.3">
      <c r="B46" s="5"/>
      <c r="C46" s="5"/>
      <c r="D46" s="5"/>
      <c r="E46" s="5"/>
      <c r="F46" s="5"/>
      <c r="G46" s="5"/>
      <c r="H46" s="5"/>
      <c r="I46" s="5"/>
      <c r="J46" s="5"/>
      <c r="K46" s="5"/>
      <c r="L46" s="5"/>
      <c r="M46" s="5"/>
      <c r="N46" s="5"/>
      <c r="O46" s="5"/>
      <c r="P46" s="5"/>
      <c r="Q46" s="5"/>
    </row>
    <row r="47" spans="2:17" x14ac:dyDescent="0.3">
      <c r="B47" s="5"/>
      <c r="C47" s="5"/>
      <c r="D47" s="5"/>
      <c r="E47" s="5"/>
      <c r="F47" s="5"/>
      <c r="G47" s="5"/>
      <c r="H47" s="5"/>
      <c r="I47" s="5"/>
      <c r="J47" s="5"/>
      <c r="K47" s="5"/>
      <c r="L47" s="5"/>
      <c r="M47" s="5"/>
      <c r="N47" s="5"/>
      <c r="O47" s="5"/>
      <c r="P47" s="5"/>
      <c r="Q47" s="5"/>
    </row>
    <row r="48" spans="2:17" x14ac:dyDescent="0.3">
      <c r="B48" s="5"/>
      <c r="C48" s="5"/>
      <c r="D48" s="5"/>
      <c r="E48" s="5"/>
      <c r="F48" s="5"/>
      <c r="G48" s="5"/>
      <c r="H48" s="5"/>
      <c r="I48" s="5"/>
      <c r="J48" s="5"/>
      <c r="K48" s="5"/>
      <c r="L48" s="5"/>
      <c r="M48" s="5"/>
      <c r="N48" s="5"/>
      <c r="O48" s="5"/>
      <c r="P48" s="5"/>
      <c r="Q48" s="5"/>
    </row>
    <row r="49" spans="2:17" x14ac:dyDescent="0.3">
      <c r="B49" s="5"/>
      <c r="C49" s="5"/>
      <c r="D49" s="5"/>
      <c r="E49" s="5"/>
      <c r="F49" s="5"/>
      <c r="G49" s="5"/>
      <c r="H49" s="5"/>
      <c r="I49" s="5"/>
      <c r="J49" s="5"/>
      <c r="K49" s="5"/>
      <c r="L49" s="5"/>
      <c r="M49" s="5"/>
      <c r="N49" s="5"/>
      <c r="O49" s="5"/>
      <c r="P49" s="5"/>
      <c r="Q49" s="5"/>
    </row>
    <row r="50" spans="2:17" x14ac:dyDescent="0.3">
      <c r="B50" s="5"/>
      <c r="C50" s="5"/>
      <c r="D50" s="5"/>
      <c r="E50" s="5"/>
      <c r="F50" s="5"/>
      <c r="G50" s="5"/>
      <c r="H50" s="5"/>
      <c r="I50" s="5"/>
      <c r="J50" s="5"/>
      <c r="K50" s="5"/>
      <c r="L50" s="5"/>
      <c r="M50" s="5"/>
      <c r="N50" s="5"/>
      <c r="O50" s="5"/>
      <c r="P50" s="5"/>
      <c r="Q50" s="5"/>
    </row>
    <row r="51" spans="2:17" x14ac:dyDescent="0.3">
      <c r="B51" s="5"/>
      <c r="C51" s="5"/>
      <c r="D51" s="5"/>
      <c r="E51" s="5"/>
      <c r="F51" s="5"/>
      <c r="G51" s="5"/>
      <c r="H51" s="5"/>
      <c r="I51" s="5"/>
      <c r="J51" s="5"/>
      <c r="K51" s="5"/>
    </row>
    <row r="52" spans="2:17" x14ac:dyDescent="0.3">
      <c r="B52" s="5"/>
      <c r="C52" s="5"/>
      <c r="D52" s="5"/>
      <c r="E52" s="5"/>
      <c r="F52" s="5"/>
      <c r="G52" s="5"/>
      <c r="H52" s="5"/>
      <c r="I52" s="5"/>
      <c r="J52" s="5"/>
      <c r="K52" s="5"/>
    </row>
    <row r="53" spans="2:17" x14ac:dyDescent="0.3">
      <c r="B53" s="5"/>
      <c r="C53" s="5"/>
      <c r="D53" s="5"/>
      <c r="E53" s="5"/>
      <c r="F53" s="5"/>
      <c r="G53" s="5"/>
      <c r="H53" s="5"/>
      <c r="I53" s="5"/>
      <c r="J53" s="5"/>
      <c r="K53" s="5"/>
    </row>
    <row r="54" spans="2:17" x14ac:dyDescent="0.3">
      <c r="B54" s="5"/>
      <c r="C54" s="5"/>
      <c r="D54" s="5"/>
      <c r="E54" s="5"/>
      <c r="F54" s="5"/>
      <c r="G54" s="5"/>
      <c r="H54" s="5"/>
      <c r="I54" s="5"/>
      <c r="J54" s="5"/>
      <c r="K54" s="5"/>
    </row>
    <row r="55" spans="2:17" x14ac:dyDescent="0.3">
      <c r="B55" s="5"/>
      <c r="C55" s="5"/>
      <c r="D55" s="5"/>
      <c r="E55" s="5"/>
      <c r="F55" s="5"/>
      <c r="G55" s="5"/>
      <c r="H55" s="5"/>
      <c r="I55" s="5"/>
      <c r="J55" s="5"/>
      <c r="K55" s="5"/>
    </row>
    <row r="56" spans="2:17" x14ac:dyDescent="0.3">
      <c r="B56" s="5"/>
      <c r="C56" s="5"/>
      <c r="D56" s="5"/>
      <c r="E56" s="5"/>
      <c r="F56" s="5"/>
      <c r="G56" s="5"/>
      <c r="H56" s="5"/>
      <c r="I56" s="5"/>
      <c r="J56" s="5"/>
      <c r="K56" s="5"/>
    </row>
    <row r="57" spans="2:17" x14ac:dyDescent="0.3">
      <c r="B57" s="5"/>
      <c r="C57" s="5"/>
      <c r="D57" s="5"/>
      <c r="E57" s="5"/>
      <c r="F57" s="5"/>
      <c r="G57" s="5"/>
      <c r="H57" s="5"/>
      <c r="I57" s="5"/>
      <c r="J57" s="5"/>
      <c r="K57" s="5"/>
    </row>
    <row r="58" spans="2:17" x14ac:dyDescent="0.3">
      <c r="B58" s="5"/>
      <c r="C58" s="5"/>
      <c r="D58" s="5"/>
      <c r="E58" s="5"/>
      <c r="F58" s="5"/>
      <c r="G58" s="5"/>
      <c r="H58" s="5"/>
      <c r="I58" s="5"/>
      <c r="J58" s="5"/>
      <c r="K58" s="5"/>
    </row>
    <row r="59" spans="2:17" x14ac:dyDescent="0.3">
      <c r="B59" s="5"/>
      <c r="C59" s="5"/>
      <c r="D59" s="5"/>
      <c r="E59" s="5"/>
      <c r="F59" s="5"/>
      <c r="G59" s="5"/>
      <c r="H59" s="5"/>
      <c r="I59" s="5"/>
      <c r="J59" s="5"/>
      <c r="K59" s="5"/>
    </row>
    <row r="60" spans="2:17" x14ac:dyDescent="0.3">
      <c r="B60" s="5"/>
      <c r="C60" s="5"/>
      <c r="D60" s="5"/>
      <c r="E60" s="5"/>
      <c r="F60" s="5"/>
      <c r="G60" s="5"/>
      <c r="H60" s="5"/>
      <c r="I60" s="5"/>
      <c r="J60" s="5"/>
      <c r="K60" s="5"/>
    </row>
    <row r="61" spans="2:17" x14ac:dyDescent="0.3">
      <c r="B61" s="5"/>
      <c r="C61" s="5"/>
      <c r="D61" s="5"/>
      <c r="E61" s="5"/>
      <c r="F61" s="5"/>
      <c r="G61" s="5"/>
      <c r="H61" s="5"/>
      <c r="I61" s="5"/>
      <c r="J61" s="5"/>
      <c r="K61" s="5"/>
    </row>
    <row r="62" spans="2:17" x14ac:dyDescent="0.3">
      <c r="B62" s="5"/>
      <c r="C62" s="5"/>
      <c r="D62" s="5"/>
      <c r="E62" s="5"/>
      <c r="F62" s="5"/>
      <c r="G62" s="5"/>
      <c r="H62" s="5"/>
      <c r="I62" s="5"/>
      <c r="J62" s="5"/>
      <c r="K62" s="5"/>
    </row>
    <row r="63" spans="2:17" x14ac:dyDescent="0.3">
      <c r="B63" s="5"/>
      <c r="C63" s="5"/>
      <c r="D63" s="5"/>
      <c r="E63" s="5"/>
      <c r="F63" s="5"/>
      <c r="G63" s="5"/>
      <c r="H63" s="5"/>
      <c r="I63" s="5"/>
      <c r="J63" s="5"/>
      <c r="K63" s="5"/>
    </row>
    <row r="64" spans="2:17" x14ac:dyDescent="0.3">
      <c r="B64" s="5"/>
      <c r="C64" s="5"/>
      <c r="D64" s="5"/>
      <c r="E64" s="5"/>
      <c r="F64" s="5"/>
      <c r="G64" s="5"/>
      <c r="H64" s="5"/>
      <c r="I64" s="5"/>
      <c r="J64" s="5"/>
      <c r="K64" s="5"/>
    </row>
    <row r="65" spans="2:11" x14ac:dyDescent="0.3">
      <c r="B65" s="5"/>
      <c r="C65" s="5"/>
      <c r="D65" s="5"/>
      <c r="E65" s="5"/>
      <c r="F65" s="5"/>
      <c r="G65" s="5"/>
      <c r="H65" s="5"/>
      <c r="I65" s="5"/>
      <c r="J65" s="5"/>
      <c r="K65" s="5"/>
    </row>
    <row r="66" spans="2:11" x14ac:dyDescent="0.3">
      <c r="B66" s="5"/>
      <c r="C66" s="5"/>
      <c r="D66" s="5"/>
      <c r="E66" s="5"/>
      <c r="F66" s="5"/>
      <c r="G66" s="5"/>
      <c r="H66" s="5"/>
      <c r="I66" s="5"/>
      <c r="J66" s="5"/>
      <c r="K66" s="5"/>
    </row>
    <row r="67" spans="2:11" x14ac:dyDescent="0.3">
      <c r="B67" s="5"/>
      <c r="C67" s="5"/>
      <c r="D67" s="5"/>
      <c r="E67" s="5"/>
      <c r="F67" s="5"/>
      <c r="G67" s="5"/>
      <c r="H67" s="5"/>
      <c r="I67" s="5"/>
      <c r="J67" s="5"/>
      <c r="K67" s="5"/>
    </row>
    <row r="68" spans="2:11" x14ac:dyDescent="0.3">
      <c r="B68" s="5"/>
      <c r="C68" s="5"/>
      <c r="D68" s="5"/>
      <c r="E68" s="5"/>
      <c r="F68" s="5"/>
      <c r="G68" s="5"/>
      <c r="H68" s="5"/>
      <c r="I68" s="5"/>
      <c r="J68" s="5"/>
      <c r="K68" s="5"/>
    </row>
    <row r="69" spans="2:11" x14ac:dyDescent="0.3">
      <c r="B69" s="5"/>
      <c r="C69" s="5"/>
      <c r="D69" s="5"/>
      <c r="E69" s="5"/>
      <c r="F69" s="5"/>
      <c r="G69" s="5"/>
      <c r="H69" s="5"/>
      <c r="I69" s="5"/>
      <c r="J69" s="5"/>
      <c r="K69" s="5"/>
    </row>
    <row r="70" spans="2:11" x14ac:dyDescent="0.3">
      <c r="B70" s="5"/>
      <c r="C70" s="5"/>
      <c r="D70" s="5"/>
      <c r="E70" s="5"/>
      <c r="F70" s="5"/>
      <c r="G70" s="5"/>
      <c r="H70" s="5"/>
      <c r="I70" s="5"/>
      <c r="J70" s="5"/>
      <c r="K70" s="5"/>
    </row>
    <row r="71" spans="2:11" x14ac:dyDescent="0.3">
      <c r="B71" s="5"/>
      <c r="C71" s="5"/>
      <c r="D71" s="5"/>
      <c r="E71" s="5"/>
      <c r="F71" s="5"/>
      <c r="G71" s="5"/>
      <c r="H71" s="5"/>
      <c r="I71" s="5"/>
      <c r="J71" s="5"/>
      <c r="K71" s="5"/>
    </row>
    <row r="72" spans="2:11" x14ac:dyDescent="0.3">
      <c r="B72" s="5"/>
      <c r="C72" s="5"/>
      <c r="D72" s="5"/>
      <c r="E72" s="5"/>
      <c r="F72" s="5"/>
      <c r="G72" s="5"/>
      <c r="H72" s="5"/>
      <c r="I72" s="5"/>
      <c r="J72" s="5"/>
      <c r="K72" s="5"/>
    </row>
    <row r="73" spans="2:11" x14ac:dyDescent="0.3">
      <c r="B73" s="5"/>
      <c r="C73" s="5"/>
      <c r="D73" s="5"/>
      <c r="E73" s="5"/>
      <c r="F73" s="5"/>
      <c r="G73" s="5"/>
      <c r="H73" s="5"/>
      <c r="I73" s="5"/>
      <c r="J73" s="5"/>
      <c r="K73" s="5"/>
    </row>
    <row r="74" spans="2:11" x14ac:dyDescent="0.3">
      <c r="B74" s="5"/>
      <c r="C74" s="5"/>
      <c r="D74" s="5"/>
      <c r="E74" s="5"/>
      <c r="F74" s="5"/>
      <c r="G74" s="5"/>
      <c r="H74" s="5"/>
      <c r="I74" s="5"/>
      <c r="J74" s="5"/>
      <c r="K74" s="5"/>
    </row>
    <row r="75" spans="2:11" x14ac:dyDescent="0.3">
      <c r="B75" s="5"/>
      <c r="C75" s="5"/>
      <c r="D75" s="5"/>
      <c r="E75" s="5"/>
      <c r="F75" s="5"/>
      <c r="G75" s="5"/>
      <c r="H75" s="5"/>
      <c r="I75" s="5"/>
      <c r="J75" s="5"/>
      <c r="K75" s="5"/>
    </row>
    <row r="76" spans="2:11" x14ac:dyDescent="0.3">
      <c r="B76" s="5"/>
      <c r="C76" s="5"/>
      <c r="D76" s="5"/>
      <c r="E76" s="5"/>
      <c r="F76" s="5"/>
      <c r="G76" s="5"/>
      <c r="H76" s="5"/>
      <c r="I76" s="5"/>
      <c r="J76" s="5"/>
      <c r="K76" s="5"/>
    </row>
    <row r="77" spans="2:11" x14ac:dyDescent="0.3">
      <c r="B77" s="5"/>
      <c r="C77" s="5"/>
      <c r="D77" s="5"/>
      <c r="E77" s="5"/>
      <c r="F77" s="5"/>
      <c r="G77" s="5"/>
      <c r="H77" s="5"/>
      <c r="I77" s="5"/>
      <c r="J77" s="5"/>
      <c r="K77" s="5"/>
    </row>
    <row r="78" spans="2:11" x14ac:dyDescent="0.3">
      <c r="B78" s="5"/>
      <c r="C78" s="5"/>
      <c r="D78" s="5"/>
      <c r="E78" s="5"/>
      <c r="F78" s="5"/>
      <c r="G78" s="5"/>
      <c r="H78" s="5"/>
      <c r="I78" s="5"/>
      <c r="J78" s="5"/>
      <c r="K78" s="5"/>
    </row>
    <row r="79" spans="2:11" x14ac:dyDescent="0.3">
      <c r="B79" s="5"/>
      <c r="C79" s="5"/>
      <c r="D79" s="5"/>
      <c r="E79" s="5"/>
      <c r="F79" s="5"/>
      <c r="G79" s="5"/>
      <c r="H79" s="5"/>
      <c r="I79" s="5"/>
      <c r="J79" s="5"/>
      <c r="K79" s="5"/>
    </row>
    <row r="80" spans="2:11" x14ac:dyDescent="0.3">
      <c r="B80" s="5"/>
      <c r="C80" s="5"/>
      <c r="D80" s="5"/>
      <c r="E80" s="5"/>
      <c r="F80" s="5"/>
      <c r="G80" s="5"/>
      <c r="H80" s="5"/>
      <c r="I80" s="5"/>
      <c r="J80" s="5"/>
      <c r="K80" s="5"/>
    </row>
    <row r="81" spans="2:11" x14ac:dyDescent="0.3">
      <c r="B81" s="5"/>
      <c r="C81" s="5"/>
      <c r="D81" s="5"/>
      <c r="E81" s="5"/>
      <c r="F81" s="5"/>
      <c r="G81" s="5"/>
      <c r="H81" s="5"/>
      <c r="I81" s="5"/>
      <c r="J81" s="5"/>
      <c r="K81" s="5"/>
    </row>
    <row r="82" spans="2:11" x14ac:dyDescent="0.3">
      <c r="B82" s="5"/>
      <c r="C82" s="5"/>
      <c r="D82" s="5"/>
      <c r="E82" s="5"/>
      <c r="F82" s="5"/>
      <c r="G82" s="5"/>
      <c r="H82" s="5"/>
      <c r="I82" s="5"/>
      <c r="J82" s="5"/>
      <c r="K82" s="5"/>
    </row>
    <row r="83" spans="2:11" x14ac:dyDescent="0.3">
      <c r="B83" s="5"/>
      <c r="C83" s="5"/>
      <c r="D83" s="5"/>
      <c r="E83" s="5"/>
      <c r="F83" s="5"/>
      <c r="G83" s="5"/>
      <c r="H83" s="5"/>
      <c r="I83" s="5"/>
      <c r="J83" s="5"/>
      <c r="K83" s="5"/>
    </row>
    <row r="84" spans="2:11" x14ac:dyDescent="0.3">
      <c r="B84" s="5"/>
      <c r="C84" s="5"/>
      <c r="D84" s="5"/>
      <c r="E84" s="5"/>
      <c r="F84" s="5"/>
      <c r="G84" s="5"/>
      <c r="H84" s="5"/>
      <c r="I84" s="5"/>
      <c r="J84" s="5"/>
      <c r="K84" s="5"/>
    </row>
    <row r="85" spans="2:11" x14ac:dyDescent="0.3">
      <c r="B85" s="5"/>
      <c r="C85" s="5"/>
      <c r="D85" s="5"/>
      <c r="E85" s="5"/>
      <c r="F85" s="5"/>
      <c r="G85" s="5"/>
      <c r="H85" s="5"/>
      <c r="I85" s="5"/>
      <c r="J85" s="5"/>
      <c r="K85" s="5"/>
    </row>
    <row r="86" spans="2:11" x14ac:dyDescent="0.3">
      <c r="B86" s="5"/>
      <c r="C86" s="5"/>
      <c r="D86" s="5"/>
      <c r="E86" s="5"/>
      <c r="F86" s="5"/>
      <c r="G86" s="5"/>
      <c r="H86" s="5"/>
      <c r="I86" s="5"/>
      <c r="J86" s="5"/>
      <c r="K86" s="5"/>
    </row>
    <row r="87" spans="2:11" x14ac:dyDescent="0.3">
      <c r="B87" s="5"/>
      <c r="C87" s="5"/>
      <c r="D87" s="5"/>
      <c r="E87" s="5"/>
      <c r="F87" s="5"/>
      <c r="G87" s="5"/>
      <c r="H87" s="5"/>
      <c r="I87" s="5"/>
      <c r="J87" s="5"/>
      <c r="K87" s="5"/>
    </row>
    <row r="88" spans="2:11" x14ac:dyDescent="0.3">
      <c r="B88" s="5"/>
      <c r="C88" s="5"/>
      <c r="D88" s="5"/>
      <c r="E88" s="5"/>
      <c r="F88" s="5"/>
      <c r="G88" s="5"/>
      <c r="H88" s="5"/>
      <c r="I88" s="5"/>
      <c r="J88" s="5"/>
      <c r="K88" s="5"/>
    </row>
    <row r="89" spans="2:11" x14ac:dyDescent="0.3">
      <c r="B89" s="5"/>
      <c r="C89" s="5"/>
      <c r="D89" s="5"/>
      <c r="E89" s="5"/>
      <c r="F89" s="5"/>
      <c r="G89" s="5"/>
      <c r="H89" s="5"/>
      <c r="I89" s="5"/>
      <c r="J89" s="5"/>
      <c r="K89" s="5"/>
    </row>
    <row r="90" spans="2:11" x14ac:dyDescent="0.3">
      <c r="B90" s="5"/>
      <c r="C90" s="5"/>
      <c r="D90" s="5"/>
      <c r="E90" s="5"/>
      <c r="F90" s="5"/>
      <c r="G90" s="5"/>
      <c r="H90" s="5"/>
      <c r="I90" s="5"/>
      <c r="J90" s="5"/>
      <c r="K90" s="5"/>
    </row>
    <row r="91" spans="2:11" x14ac:dyDescent="0.3">
      <c r="B91" s="5"/>
      <c r="C91" s="5"/>
      <c r="D91" s="5"/>
      <c r="E91" s="5"/>
      <c r="F91" s="5"/>
      <c r="G91" s="5"/>
      <c r="H91" s="5"/>
      <c r="I91" s="5"/>
      <c r="J91" s="5"/>
      <c r="K91" s="5"/>
    </row>
    <row r="92" spans="2:11" x14ac:dyDescent="0.3">
      <c r="B92" s="5"/>
      <c r="C92" s="5"/>
      <c r="D92" s="5"/>
      <c r="E92" s="5"/>
      <c r="F92" s="5"/>
      <c r="G92" s="5"/>
      <c r="H92" s="5"/>
      <c r="I92" s="5"/>
      <c r="J92" s="5"/>
      <c r="K92" s="5"/>
    </row>
  </sheetData>
  <mergeCells count="1">
    <mergeCell ref="B2: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5327-A27D-440F-AEF9-0A84648F34E9}">
  <dimension ref="A2:D35"/>
  <sheetViews>
    <sheetView topLeftCell="A4" workbookViewId="0">
      <selection activeCell="B41" sqref="B41"/>
    </sheetView>
  </sheetViews>
  <sheetFormatPr defaultRowHeight="14.4" x14ac:dyDescent="0.3"/>
  <cols>
    <col min="1" max="1" width="18.88671875" bestFit="1" customWidth="1"/>
    <col min="2" max="2" width="8.33203125" bestFit="1" customWidth="1"/>
    <col min="3" max="3" width="18.5546875" bestFit="1" customWidth="1"/>
    <col min="4" max="4" width="10.77734375" bestFit="1" customWidth="1"/>
  </cols>
  <sheetData>
    <row r="2" spans="1:4" x14ac:dyDescent="0.3">
      <c r="A2" s="14" t="s">
        <v>5043</v>
      </c>
    </row>
    <row r="3" spans="1:4" x14ac:dyDescent="0.3">
      <c r="A3" s="11" t="s">
        <v>5042</v>
      </c>
      <c r="B3" s="11" t="s">
        <v>5041</v>
      </c>
    </row>
    <row r="4" spans="1:4" x14ac:dyDescent="0.3">
      <c r="A4" s="11" t="s">
        <v>5039</v>
      </c>
      <c r="B4" t="s">
        <v>15</v>
      </c>
      <c r="C4" t="s">
        <v>16</v>
      </c>
      <c r="D4" t="s">
        <v>5040</v>
      </c>
    </row>
    <row r="5" spans="1:4" x14ac:dyDescent="0.3">
      <c r="A5" s="12" t="s">
        <v>13</v>
      </c>
      <c r="B5" s="13">
        <v>1601</v>
      </c>
      <c r="C5" s="13">
        <v>1172</v>
      </c>
      <c r="D5" s="13">
        <v>2773</v>
      </c>
    </row>
    <row r="6" spans="1:4" x14ac:dyDescent="0.3">
      <c r="A6" s="12" t="s">
        <v>20</v>
      </c>
      <c r="B6" s="13">
        <v>918</v>
      </c>
      <c r="C6" s="13">
        <v>113</v>
      </c>
      <c r="D6" s="13">
        <v>1031</v>
      </c>
    </row>
    <row r="7" spans="1:4" x14ac:dyDescent="0.3">
      <c r="A7" s="12" t="s">
        <v>35</v>
      </c>
      <c r="B7" s="13">
        <v>1169</v>
      </c>
      <c r="C7" s="13">
        <v>28</v>
      </c>
      <c r="D7" s="13">
        <v>1197</v>
      </c>
    </row>
    <row r="8" spans="1:4" x14ac:dyDescent="0.3">
      <c r="A8" s="12" t="s">
        <v>5040</v>
      </c>
      <c r="B8" s="13">
        <v>3688</v>
      </c>
      <c r="C8" s="13">
        <v>1313</v>
      </c>
      <c r="D8" s="13">
        <v>5001</v>
      </c>
    </row>
    <row r="12" spans="1:4" x14ac:dyDescent="0.3">
      <c r="A12" s="14" t="s">
        <v>5044</v>
      </c>
    </row>
    <row r="13" spans="1:4" x14ac:dyDescent="0.3">
      <c r="A13" s="11" t="s">
        <v>5042</v>
      </c>
      <c r="B13" s="11" t="s">
        <v>8</v>
      </c>
    </row>
    <row r="14" spans="1:4" x14ac:dyDescent="0.3">
      <c r="A14" s="11" t="s">
        <v>5028</v>
      </c>
      <c r="B14" t="s">
        <v>15</v>
      </c>
      <c r="C14" t="s">
        <v>16</v>
      </c>
      <c r="D14" t="s">
        <v>5040</v>
      </c>
    </row>
    <row r="15" spans="1:4" x14ac:dyDescent="0.3">
      <c r="A15" t="s">
        <v>5030</v>
      </c>
      <c r="B15" s="13">
        <v>845</v>
      </c>
      <c r="C15" s="13">
        <v>731</v>
      </c>
      <c r="D15" s="13">
        <v>1576</v>
      </c>
    </row>
    <row r="16" spans="1:4" x14ac:dyDescent="0.3">
      <c r="A16" t="s">
        <v>5032</v>
      </c>
      <c r="B16" s="13">
        <v>971</v>
      </c>
      <c r="C16" s="13">
        <v>344</v>
      </c>
      <c r="D16" s="13">
        <v>1315</v>
      </c>
    </row>
    <row r="17" spans="1:4" x14ac:dyDescent="0.3">
      <c r="A17" t="s">
        <v>5033</v>
      </c>
      <c r="B17" s="13">
        <v>1872</v>
      </c>
      <c r="C17" s="13">
        <v>238</v>
      </c>
      <c r="D17" s="13">
        <v>2110</v>
      </c>
    </row>
    <row r="18" spans="1:4" x14ac:dyDescent="0.3">
      <c r="A18" t="s">
        <v>5040</v>
      </c>
      <c r="B18" s="13">
        <v>3688</v>
      </c>
      <c r="C18" s="13">
        <v>1313</v>
      </c>
      <c r="D18" s="13">
        <v>5001</v>
      </c>
    </row>
    <row r="22" spans="1:4" x14ac:dyDescent="0.3">
      <c r="A22" s="14" t="s">
        <v>5045</v>
      </c>
    </row>
    <row r="23" spans="1:4" x14ac:dyDescent="0.3">
      <c r="A23" s="11" t="s">
        <v>4</v>
      </c>
      <c r="B23" s="11" t="s">
        <v>8</v>
      </c>
      <c r="C23" t="s">
        <v>5046</v>
      </c>
    </row>
    <row r="24" spans="1:4" x14ac:dyDescent="0.3">
      <c r="A24" t="s">
        <v>14</v>
      </c>
      <c r="B24" t="s">
        <v>15</v>
      </c>
      <c r="C24" s="13">
        <v>3407968.2999999993</v>
      </c>
    </row>
    <row r="25" spans="1:4" x14ac:dyDescent="0.3">
      <c r="B25" t="s">
        <v>16</v>
      </c>
      <c r="C25" s="13">
        <v>241635.14999999994</v>
      </c>
    </row>
    <row r="26" spans="1:4" x14ac:dyDescent="0.3">
      <c r="A26" t="s">
        <v>26</v>
      </c>
      <c r="B26" t="s">
        <v>15</v>
      </c>
      <c r="C26" s="13">
        <v>5245059.2000000048</v>
      </c>
    </row>
    <row r="27" spans="1:4" x14ac:dyDescent="0.3">
      <c r="B27" t="s">
        <v>16</v>
      </c>
      <c r="C27" s="13">
        <v>1729980.6499999994</v>
      </c>
    </row>
    <row r="28" spans="1:4" x14ac:dyDescent="0.3">
      <c r="A28" t="s">
        <v>15</v>
      </c>
      <c r="B28" t="s">
        <v>15</v>
      </c>
      <c r="C28" s="13">
        <v>719905.30000000016</v>
      </c>
    </row>
    <row r="29" spans="1:4" x14ac:dyDescent="0.3">
      <c r="B29" t="s">
        <v>16</v>
      </c>
      <c r="C29" s="13">
        <v>13374.850000000002</v>
      </c>
    </row>
    <row r="30" spans="1:4" x14ac:dyDescent="0.3">
      <c r="A30" t="s">
        <v>5040</v>
      </c>
      <c r="C30" s="13">
        <v>11357923.450000005</v>
      </c>
    </row>
    <row r="32" spans="1:4" x14ac:dyDescent="0.3">
      <c r="A32" s="14" t="s">
        <v>5047</v>
      </c>
    </row>
    <row r="33" spans="1:4" x14ac:dyDescent="0.3">
      <c r="A33" s="19" t="s">
        <v>5035</v>
      </c>
      <c r="B33" s="19" t="s">
        <v>5036</v>
      </c>
      <c r="C33" s="19" t="s">
        <v>5037</v>
      </c>
      <c r="D33" s="19" t="s">
        <v>5038</v>
      </c>
    </row>
    <row r="34" spans="1:4" x14ac:dyDescent="0.3">
      <c r="A34" s="20">
        <f>COUNTA(TelcoDataSet[CustomerID])</f>
        <v>5001</v>
      </c>
      <c r="B34" s="20">
        <f>COUNTIF(TelcoDataSet[Churn],"Yes")</f>
        <v>1313</v>
      </c>
      <c r="C34" s="21">
        <f>SUMIFS(TelcoDataSet[TotalCharges],TelcoDataSet[Churn], "Yes")</f>
        <v>1984990.6500000001</v>
      </c>
      <c r="D34" s="21">
        <f>AVERAGEIFS(TelcoDataSet[CleanedTotalCharges], TelecomData[Churn], "Yes")</f>
        <v>1511.7979055597868</v>
      </c>
    </row>
    <row r="35" spans="1:4" x14ac:dyDescent="0.3">
      <c r="A35" s="20"/>
      <c r="B35" s="20"/>
      <c r="C35" s="20"/>
      <c r="D35"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2DFA-DBB0-4A3D-95AE-C6060C402952}">
  <dimension ref="B1:D11"/>
  <sheetViews>
    <sheetView showGridLines="0" workbookViewId="0">
      <selection activeCell="E3" sqref="E3"/>
    </sheetView>
  </sheetViews>
  <sheetFormatPr defaultRowHeight="14.4" x14ac:dyDescent="0.3"/>
  <cols>
    <col min="3" max="3" width="152.88671875" customWidth="1"/>
  </cols>
  <sheetData>
    <row r="1" spans="2:4" ht="27" customHeight="1" x14ac:dyDescent="0.3">
      <c r="B1" s="15"/>
      <c r="C1" s="22" t="s">
        <v>5050</v>
      </c>
      <c r="D1" s="15"/>
    </row>
    <row r="2" spans="2:4" ht="15" thickBot="1" x14ac:dyDescent="0.35">
      <c r="B2" s="23"/>
      <c r="C2" s="23"/>
      <c r="D2" s="23"/>
    </row>
    <row r="3" spans="2:4" ht="101.4" thickBot="1" x14ac:dyDescent="0.35">
      <c r="B3" s="23"/>
      <c r="C3" s="24" t="s">
        <v>5051</v>
      </c>
      <c r="D3" s="23"/>
    </row>
    <row r="4" spans="2:4" x14ac:dyDescent="0.3">
      <c r="B4" s="23"/>
      <c r="C4" s="23"/>
      <c r="D4" s="23"/>
    </row>
    <row r="5" spans="2:4" ht="15" thickBot="1" x14ac:dyDescent="0.35">
      <c r="B5" s="23"/>
      <c r="C5" s="23"/>
      <c r="D5" s="23"/>
    </row>
    <row r="6" spans="2:4" ht="72.599999999999994" thickBot="1" x14ac:dyDescent="0.35">
      <c r="B6" s="23"/>
      <c r="C6" s="24" t="s">
        <v>5052</v>
      </c>
      <c r="D6" s="23"/>
    </row>
    <row r="7" spans="2:4" x14ac:dyDescent="0.3">
      <c r="B7" s="23"/>
      <c r="C7" s="23"/>
      <c r="D7" s="23"/>
    </row>
    <row r="8" spans="2:4" ht="15" thickBot="1" x14ac:dyDescent="0.35">
      <c r="B8" s="23"/>
      <c r="C8" s="23"/>
      <c r="D8" s="23"/>
    </row>
    <row r="9" spans="2:4" ht="101.4" thickBot="1" x14ac:dyDescent="0.35">
      <c r="B9" s="23"/>
      <c r="C9" s="24" t="s">
        <v>5049</v>
      </c>
      <c r="D9" s="23"/>
    </row>
    <row r="10" spans="2:4" x14ac:dyDescent="0.3">
      <c r="B10" s="23"/>
      <c r="C10" s="23"/>
      <c r="D10" s="23"/>
    </row>
    <row r="11" spans="2:4" x14ac:dyDescent="0.3">
      <c r="B11" s="23"/>
      <c r="C11" s="23"/>
      <c r="D11"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TelcoDataSet</vt:lpstr>
      <vt:lpstr>Dashboard</vt:lpstr>
      <vt:lpstr>PivoteTableSheet</vt:lpstr>
      <vt:lpstr>Executive Key Takeaways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Todkar</dc:creator>
  <cp:lastModifiedBy>Kirti Todkar</cp:lastModifiedBy>
  <dcterms:created xsi:type="dcterms:W3CDTF">2026-09-17T11:35:38Z</dcterms:created>
  <dcterms:modified xsi:type="dcterms:W3CDTF">2026-09-17T15:14:00Z</dcterms:modified>
</cp:coreProperties>
</file>